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ugo\Documents\MEGA\PROYECTOS\CCS\Analisis CCS\Python-analisys\data_source\2025\"/>
    </mc:Choice>
  </mc:AlternateContent>
  <xr:revisionPtr revIDLastSave="0" documentId="13_ncr:1_{6D309636-9FE0-4040-A161-AABA1D50B8D7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</sheets>
  <functionGroups builtInGroupCount="19"/>
  <definedNames>
    <definedName name="_xlnm._FilterDatabase" localSheetId="0" hidden="1">INSCRITOS!$A$1:$Z$276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01" i="1" l="1"/>
  <c r="Y501" i="1" s="1"/>
  <c r="V501" i="1"/>
  <c r="W500" i="1"/>
  <c r="Y500" i="1" s="1"/>
  <c r="V500" i="1"/>
  <c r="W499" i="1"/>
  <c r="Y499" i="1" s="1"/>
  <c r="V499" i="1"/>
  <c r="W498" i="1"/>
  <c r="Y498" i="1" s="1"/>
  <c r="V498" i="1"/>
  <c r="W497" i="1"/>
  <c r="Y497" i="1" s="1"/>
  <c r="V497" i="1"/>
  <c r="W496" i="1"/>
  <c r="Y496" i="1" s="1"/>
  <c r="V496" i="1"/>
  <c r="W495" i="1"/>
  <c r="Y495" i="1" s="1"/>
  <c r="V495" i="1"/>
  <c r="W494" i="1"/>
  <c r="Y494" i="1" s="1"/>
  <c r="V494" i="1"/>
  <c r="W493" i="1"/>
  <c r="Y493" i="1" s="1"/>
  <c r="V493" i="1"/>
  <c r="W492" i="1"/>
  <c r="Y492" i="1" s="1"/>
  <c r="V492" i="1"/>
  <c r="W491" i="1"/>
  <c r="Y491" i="1" s="1"/>
  <c r="V491" i="1"/>
  <c r="W490" i="1"/>
  <c r="Y490" i="1" s="1"/>
  <c r="V490" i="1"/>
  <c r="W489" i="1"/>
  <c r="Y489" i="1" s="1"/>
  <c r="V489" i="1"/>
  <c r="W488" i="1"/>
  <c r="Y488" i="1" s="1"/>
  <c r="V488" i="1"/>
  <c r="W487" i="1"/>
  <c r="Y487" i="1" s="1"/>
  <c r="V487" i="1"/>
  <c r="W486" i="1"/>
  <c r="Y486" i="1" s="1"/>
  <c r="V486" i="1"/>
  <c r="W485" i="1"/>
  <c r="Y485" i="1" s="1"/>
  <c r="V485" i="1"/>
  <c r="W484" i="1"/>
  <c r="Y484" i="1" s="1"/>
  <c r="V484" i="1"/>
  <c r="W483" i="1"/>
  <c r="Y483" i="1" s="1"/>
  <c r="V483" i="1"/>
  <c r="W482" i="1"/>
  <c r="Y482" i="1" s="1"/>
  <c r="V482" i="1"/>
  <c r="W481" i="1"/>
  <c r="Y481" i="1" s="1"/>
  <c r="V481" i="1"/>
  <c r="W480" i="1"/>
  <c r="Y480" i="1" s="1"/>
  <c r="V480" i="1"/>
  <c r="W479" i="1"/>
  <c r="Y479" i="1" s="1"/>
  <c r="V479" i="1"/>
  <c r="W478" i="1"/>
  <c r="Y478" i="1" s="1"/>
  <c r="V478" i="1"/>
  <c r="W477" i="1"/>
  <c r="Y477" i="1" s="1"/>
  <c r="V477" i="1"/>
  <c r="W476" i="1"/>
  <c r="Y476" i="1" s="1"/>
  <c r="V476" i="1"/>
  <c r="W475" i="1"/>
  <c r="Y475" i="1" s="1"/>
  <c r="V475" i="1"/>
  <c r="W474" i="1"/>
  <c r="Y474" i="1" s="1"/>
  <c r="V474" i="1"/>
  <c r="W473" i="1"/>
  <c r="Y473" i="1" s="1"/>
  <c r="V473" i="1"/>
  <c r="W472" i="1"/>
  <c r="Y472" i="1" s="1"/>
  <c r="V472" i="1"/>
  <c r="W471" i="1"/>
  <c r="Y471" i="1" s="1"/>
  <c r="V471" i="1"/>
  <c r="W470" i="1"/>
  <c r="Y470" i="1" s="1"/>
  <c r="V470" i="1"/>
  <c r="W469" i="1"/>
  <c r="Y469" i="1" s="1"/>
  <c r="V469" i="1"/>
  <c r="W468" i="1"/>
  <c r="Y468" i="1" s="1"/>
  <c r="V468" i="1"/>
  <c r="W467" i="1"/>
  <c r="Y467" i="1" s="1"/>
  <c r="V467" i="1"/>
  <c r="W466" i="1"/>
  <c r="Y466" i="1" s="1"/>
  <c r="V466" i="1"/>
  <c r="W465" i="1"/>
  <c r="Y465" i="1" s="1"/>
  <c r="V465" i="1"/>
  <c r="W464" i="1"/>
  <c r="Y464" i="1" s="1"/>
  <c r="V464" i="1"/>
  <c r="W463" i="1"/>
  <c r="Y463" i="1" s="1"/>
  <c r="V463" i="1"/>
  <c r="W462" i="1"/>
  <c r="Y462" i="1" s="1"/>
  <c r="V462" i="1"/>
  <c r="W461" i="1"/>
  <c r="Y461" i="1" s="1"/>
  <c r="V461" i="1"/>
  <c r="W460" i="1"/>
  <c r="Y460" i="1" s="1"/>
  <c r="V460" i="1"/>
  <c r="W459" i="1"/>
  <c r="Y459" i="1" s="1"/>
  <c r="V459" i="1"/>
  <c r="W458" i="1"/>
  <c r="Y458" i="1" s="1"/>
  <c r="V458" i="1"/>
  <c r="W457" i="1"/>
  <c r="Y457" i="1" s="1"/>
  <c r="V457" i="1"/>
  <c r="W456" i="1"/>
  <c r="Y456" i="1" s="1"/>
  <c r="V456" i="1"/>
  <c r="W455" i="1"/>
  <c r="Y455" i="1" s="1"/>
  <c r="V455" i="1"/>
  <c r="W454" i="1"/>
  <c r="Y454" i="1" s="1"/>
  <c r="V454" i="1"/>
  <c r="W453" i="1"/>
  <c r="Y453" i="1" s="1"/>
  <c r="V453" i="1"/>
  <c r="W452" i="1"/>
  <c r="Y452" i="1" s="1"/>
  <c r="V452" i="1"/>
  <c r="W451" i="1"/>
  <c r="Y451" i="1" s="1"/>
  <c r="V451" i="1"/>
  <c r="W450" i="1"/>
  <c r="Y450" i="1" s="1"/>
  <c r="V450" i="1"/>
  <c r="W449" i="1"/>
  <c r="Y449" i="1" s="1"/>
  <c r="V449" i="1"/>
  <c r="W448" i="1"/>
  <c r="Y448" i="1" s="1"/>
  <c r="V448" i="1"/>
  <c r="W447" i="1"/>
  <c r="Y447" i="1" s="1"/>
  <c r="V447" i="1"/>
  <c r="W446" i="1"/>
  <c r="Y446" i="1" s="1"/>
  <c r="V446" i="1"/>
  <c r="W445" i="1"/>
  <c r="Y445" i="1" s="1"/>
  <c r="V445" i="1"/>
  <c r="W444" i="1"/>
  <c r="Y444" i="1" s="1"/>
  <c r="V444" i="1"/>
  <c r="W443" i="1"/>
  <c r="Y443" i="1" s="1"/>
  <c r="Y442" i="1"/>
  <c r="W442" i="1"/>
  <c r="X442" i="1" s="1"/>
  <c r="V442" i="1"/>
  <c r="Y441" i="1"/>
  <c r="W441" i="1"/>
  <c r="X441" i="1" s="1"/>
  <c r="V441" i="1"/>
  <c r="Y440" i="1"/>
  <c r="W440" i="1"/>
  <c r="X440" i="1" s="1"/>
  <c r="V440" i="1"/>
  <c r="Y439" i="1"/>
  <c r="W439" i="1"/>
  <c r="X439" i="1" s="1"/>
  <c r="V439" i="1"/>
  <c r="Y438" i="1"/>
  <c r="W438" i="1"/>
  <c r="X438" i="1" s="1"/>
  <c r="V438" i="1"/>
  <c r="Y437" i="1"/>
  <c r="W437" i="1"/>
  <c r="X437" i="1" s="1"/>
  <c r="V437" i="1"/>
  <c r="Y436" i="1"/>
  <c r="W436" i="1"/>
  <c r="X436" i="1" s="1"/>
  <c r="V436" i="1"/>
  <c r="Y435" i="1"/>
  <c r="W435" i="1"/>
  <c r="X435" i="1" s="1"/>
  <c r="V435" i="1"/>
  <c r="Y434" i="1"/>
  <c r="W434" i="1"/>
  <c r="X434" i="1" s="1"/>
  <c r="V434" i="1"/>
  <c r="Y433" i="1"/>
  <c r="W433" i="1"/>
  <c r="X433" i="1" s="1"/>
  <c r="V433" i="1"/>
  <c r="Y432" i="1"/>
  <c r="W432" i="1"/>
  <c r="X432" i="1" s="1"/>
  <c r="V432" i="1"/>
  <c r="Y431" i="1"/>
  <c r="W431" i="1"/>
  <c r="X431" i="1" s="1"/>
  <c r="V431" i="1"/>
  <c r="Y430" i="1"/>
  <c r="W430" i="1"/>
  <c r="X430" i="1" s="1"/>
  <c r="V430" i="1"/>
  <c r="Y429" i="1"/>
  <c r="W429" i="1"/>
  <c r="X429" i="1" s="1"/>
  <c r="V429" i="1"/>
  <c r="Y428" i="1"/>
  <c r="W428" i="1"/>
  <c r="X428" i="1" s="1"/>
  <c r="V428" i="1"/>
  <c r="Y427" i="1"/>
  <c r="W427" i="1"/>
  <c r="X427" i="1" s="1"/>
  <c r="V427" i="1"/>
  <c r="Y426" i="1"/>
  <c r="W426" i="1"/>
  <c r="X426" i="1" s="1"/>
  <c r="V426" i="1"/>
  <c r="Y425" i="1"/>
  <c r="W425" i="1"/>
  <c r="X425" i="1" s="1"/>
  <c r="V425" i="1"/>
  <c r="Y424" i="1"/>
  <c r="W424" i="1"/>
  <c r="X424" i="1" s="1"/>
  <c r="V424" i="1"/>
  <c r="Y423" i="1"/>
  <c r="W423" i="1"/>
  <c r="X423" i="1" s="1"/>
  <c r="V423" i="1"/>
  <c r="Y422" i="1"/>
  <c r="W422" i="1"/>
  <c r="X422" i="1" s="1"/>
  <c r="Y421" i="1"/>
  <c r="X421" i="1"/>
  <c r="W421" i="1"/>
  <c r="V421" i="1"/>
  <c r="Y420" i="1"/>
  <c r="X420" i="1"/>
  <c r="W420" i="1"/>
  <c r="V420" i="1"/>
  <c r="Y419" i="1"/>
  <c r="X419" i="1"/>
  <c r="W419" i="1"/>
  <c r="V419" i="1"/>
  <c r="Y418" i="1"/>
  <c r="X418" i="1"/>
  <c r="W418" i="1"/>
  <c r="V418" i="1"/>
  <c r="Y417" i="1"/>
  <c r="X417" i="1"/>
  <c r="W417" i="1"/>
  <c r="V417" i="1"/>
  <c r="Y416" i="1"/>
  <c r="X416" i="1"/>
  <c r="W416" i="1"/>
  <c r="V416" i="1"/>
  <c r="Y415" i="1"/>
  <c r="X415" i="1"/>
  <c r="W415" i="1"/>
  <c r="V415" i="1"/>
  <c r="Y414" i="1"/>
  <c r="X414" i="1"/>
  <c r="W414" i="1"/>
  <c r="V414" i="1"/>
  <c r="Y413" i="1"/>
  <c r="X413" i="1"/>
  <c r="W413" i="1"/>
  <c r="V413" i="1"/>
  <c r="Y412" i="1"/>
  <c r="X412" i="1"/>
  <c r="W412" i="1"/>
  <c r="V412" i="1"/>
  <c r="Y411" i="1"/>
  <c r="X411" i="1"/>
  <c r="W411" i="1"/>
  <c r="V411" i="1"/>
  <c r="Y410" i="1"/>
  <c r="X410" i="1"/>
  <c r="W410" i="1"/>
  <c r="V410" i="1"/>
  <c r="Y409" i="1"/>
  <c r="X409" i="1"/>
  <c r="W409" i="1"/>
  <c r="V409" i="1"/>
  <c r="Y408" i="1"/>
  <c r="X408" i="1"/>
  <c r="W408" i="1"/>
  <c r="V408" i="1"/>
  <c r="Y407" i="1"/>
  <c r="X407" i="1"/>
  <c r="W407" i="1"/>
  <c r="V407" i="1"/>
  <c r="Y406" i="1"/>
  <c r="X406" i="1"/>
  <c r="W406" i="1"/>
  <c r="V406" i="1"/>
  <c r="Y405" i="1"/>
  <c r="X405" i="1"/>
  <c r="W405" i="1"/>
  <c r="V405" i="1"/>
  <c r="Y404" i="1"/>
  <c r="X404" i="1"/>
  <c r="W404" i="1"/>
  <c r="V404" i="1"/>
  <c r="Y403" i="1"/>
  <c r="X403" i="1"/>
  <c r="W403" i="1"/>
  <c r="V403" i="1"/>
  <c r="Y402" i="1"/>
  <c r="X402" i="1"/>
  <c r="W402" i="1"/>
  <c r="V402" i="1"/>
  <c r="Y401" i="1"/>
  <c r="X401" i="1"/>
  <c r="W401" i="1"/>
  <c r="V401" i="1"/>
  <c r="Y400" i="1"/>
  <c r="X400" i="1"/>
  <c r="W400" i="1"/>
  <c r="V400" i="1"/>
  <c r="Y399" i="1"/>
  <c r="X399" i="1"/>
  <c r="W399" i="1"/>
  <c r="V399" i="1"/>
  <c r="Y398" i="1"/>
  <c r="X398" i="1"/>
  <c r="W398" i="1"/>
  <c r="V398" i="1"/>
  <c r="Y397" i="1"/>
  <c r="X397" i="1"/>
  <c r="W397" i="1"/>
  <c r="V397" i="1"/>
  <c r="Y396" i="1"/>
  <c r="X396" i="1"/>
  <c r="W396" i="1"/>
  <c r="V396" i="1"/>
  <c r="Y395" i="1"/>
  <c r="X395" i="1"/>
  <c r="W395" i="1"/>
  <c r="V395" i="1"/>
  <c r="Y394" i="1"/>
  <c r="X394" i="1"/>
  <c r="W394" i="1"/>
  <c r="V394" i="1"/>
  <c r="Y393" i="1"/>
  <c r="X393" i="1"/>
  <c r="W393" i="1"/>
  <c r="V393" i="1"/>
  <c r="Y392" i="1"/>
  <c r="X392" i="1"/>
  <c r="W392" i="1"/>
  <c r="V392" i="1"/>
  <c r="Y391" i="1"/>
  <c r="X391" i="1"/>
  <c r="W391" i="1"/>
  <c r="V391" i="1"/>
  <c r="Y390" i="1"/>
  <c r="X390" i="1"/>
  <c r="W390" i="1"/>
  <c r="V390" i="1"/>
  <c r="Y389" i="1"/>
  <c r="X389" i="1"/>
  <c r="W389" i="1"/>
  <c r="V389" i="1"/>
  <c r="Y388" i="1"/>
  <c r="X388" i="1"/>
  <c r="W388" i="1"/>
  <c r="V388" i="1"/>
  <c r="Y387" i="1"/>
  <c r="X387" i="1"/>
  <c r="W387" i="1"/>
  <c r="V387" i="1"/>
  <c r="Y386" i="1"/>
  <c r="X386" i="1"/>
  <c r="W386" i="1"/>
  <c r="V386" i="1"/>
  <c r="Y385" i="1"/>
  <c r="X385" i="1"/>
  <c r="W385" i="1"/>
  <c r="V385" i="1"/>
  <c r="Y384" i="1"/>
  <c r="X384" i="1"/>
  <c r="W384" i="1"/>
  <c r="V384" i="1"/>
  <c r="Y383" i="1"/>
  <c r="X383" i="1"/>
  <c r="W383" i="1"/>
  <c r="V383" i="1"/>
  <c r="Y382" i="1"/>
  <c r="X382" i="1"/>
  <c r="W382" i="1"/>
  <c r="V382" i="1"/>
  <c r="Y381" i="1"/>
  <c r="X381" i="1"/>
  <c r="W381" i="1"/>
  <c r="V381" i="1"/>
  <c r="Y380" i="1"/>
  <c r="X380" i="1"/>
  <c r="W380" i="1"/>
  <c r="V380" i="1"/>
  <c r="Y379" i="1"/>
  <c r="X379" i="1"/>
  <c r="W379" i="1"/>
  <c r="V379" i="1"/>
  <c r="Y378" i="1"/>
  <c r="X378" i="1"/>
  <c r="W378" i="1"/>
  <c r="V378" i="1"/>
  <c r="Y377" i="1"/>
  <c r="X377" i="1"/>
  <c r="W377" i="1"/>
  <c r="V377" i="1"/>
  <c r="Y376" i="1"/>
  <c r="X376" i="1"/>
  <c r="W376" i="1"/>
  <c r="V376" i="1"/>
  <c r="Y375" i="1"/>
  <c r="X375" i="1"/>
  <c r="W375" i="1"/>
  <c r="V375" i="1"/>
  <c r="Y374" i="1"/>
  <c r="X374" i="1"/>
  <c r="W374" i="1"/>
  <c r="V374" i="1"/>
  <c r="Y373" i="1"/>
  <c r="X373" i="1"/>
  <c r="W373" i="1"/>
  <c r="V373" i="1"/>
  <c r="Y372" i="1"/>
  <c r="X372" i="1"/>
  <c r="W372" i="1"/>
  <c r="V372" i="1"/>
  <c r="Y371" i="1"/>
  <c r="X371" i="1"/>
  <c r="W371" i="1"/>
  <c r="V371" i="1"/>
  <c r="Y370" i="1"/>
  <c r="X370" i="1"/>
  <c r="W370" i="1"/>
  <c r="V370" i="1"/>
  <c r="Y369" i="1"/>
  <c r="X369" i="1"/>
  <c r="W369" i="1"/>
  <c r="V369" i="1"/>
  <c r="Y368" i="1"/>
  <c r="X368" i="1"/>
  <c r="W368" i="1"/>
  <c r="V368" i="1"/>
  <c r="Y367" i="1"/>
  <c r="X367" i="1"/>
  <c r="W367" i="1"/>
  <c r="V367" i="1"/>
  <c r="Y366" i="1"/>
  <c r="X366" i="1"/>
  <c r="W366" i="1"/>
  <c r="V366" i="1"/>
  <c r="Y365" i="1"/>
  <c r="X365" i="1"/>
  <c r="W365" i="1"/>
  <c r="V365" i="1"/>
  <c r="Y364" i="1"/>
  <c r="X364" i="1"/>
  <c r="W364" i="1"/>
  <c r="V364" i="1"/>
  <c r="Y363" i="1"/>
  <c r="X363" i="1"/>
  <c r="W363" i="1"/>
  <c r="V363" i="1"/>
  <c r="Y362" i="1"/>
  <c r="X362" i="1"/>
  <c r="W362" i="1"/>
  <c r="V362" i="1"/>
  <c r="Y361" i="1"/>
  <c r="X361" i="1"/>
  <c r="W361" i="1"/>
  <c r="V361" i="1"/>
  <c r="Y360" i="1"/>
  <c r="X360" i="1"/>
  <c r="W360" i="1"/>
  <c r="V360" i="1"/>
  <c r="Y359" i="1"/>
  <c r="X359" i="1"/>
  <c r="W359" i="1"/>
  <c r="V359" i="1"/>
  <c r="Y358" i="1"/>
  <c r="X358" i="1"/>
  <c r="W358" i="1"/>
  <c r="V358" i="1"/>
  <c r="Y357" i="1"/>
  <c r="X357" i="1"/>
  <c r="W357" i="1"/>
  <c r="V357" i="1"/>
  <c r="Y356" i="1"/>
  <c r="X356" i="1"/>
  <c r="W356" i="1"/>
  <c r="V356" i="1"/>
  <c r="Y355" i="1"/>
  <c r="X355" i="1"/>
  <c r="W355" i="1"/>
  <c r="V355" i="1"/>
  <c r="Y354" i="1"/>
  <c r="X354" i="1"/>
  <c r="W354" i="1"/>
  <c r="V354" i="1"/>
  <c r="Y353" i="1"/>
  <c r="X353" i="1"/>
  <c r="W353" i="1"/>
  <c r="V353" i="1"/>
  <c r="Y352" i="1"/>
  <c r="X352" i="1"/>
  <c r="W352" i="1"/>
  <c r="V352" i="1"/>
  <c r="Y351" i="1"/>
  <c r="X351" i="1"/>
  <c r="W351" i="1"/>
  <c r="V351" i="1"/>
  <c r="Y350" i="1"/>
  <c r="X350" i="1"/>
  <c r="W350" i="1"/>
  <c r="V350" i="1"/>
  <c r="Y349" i="1"/>
  <c r="X349" i="1"/>
  <c r="W349" i="1"/>
  <c r="V349" i="1"/>
  <c r="Y348" i="1"/>
  <c r="X348" i="1"/>
  <c r="W348" i="1"/>
  <c r="V348" i="1"/>
  <c r="Y347" i="1"/>
  <c r="X347" i="1"/>
  <c r="W347" i="1"/>
  <c r="V347" i="1"/>
  <c r="Y346" i="1"/>
  <c r="X346" i="1"/>
  <c r="W346" i="1"/>
  <c r="V346" i="1"/>
  <c r="Y345" i="1"/>
  <c r="X345" i="1"/>
  <c r="W345" i="1"/>
  <c r="V345" i="1"/>
  <c r="Y344" i="1"/>
  <c r="X344" i="1"/>
  <c r="W344" i="1"/>
  <c r="V344" i="1"/>
  <c r="Y343" i="1"/>
  <c r="X343" i="1"/>
  <c r="W343" i="1"/>
  <c r="V343" i="1"/>
  <c r="Y342" i="1"/>
  <c r="X342" i="1"/>
  <c r="W342" i="1"/>
  <c r="V342" i="1"/>
  <c r="Y341" i="1"/>
  <c r="X341" i="1"/>
  <c r="W341" i="1"/>
  <c r="V341" i="1"/>
  <c r="Y340" i="1"/>
  <c r="X340" i="1"/>
  <c r="W340" i="1"/>
  <c r="V340" i="1"/>
  <c r="Y339" i="1"/>
  <c r="X339" i="1"/>
  <c r="W339" i="1"/>
  <c r="V339" i="1"/>
  <c r="Y338" i="1"/>
  <c r="X338" i="1"/>
  <c r="W338" i="1"/>
  <c r="V338" i="1"/>
  <c r="Y337" i="1"/>
  <c r="X337" i="1"/>
  <c r="W337" i="1"/>
  <c r="V337" i="1"/>
  <c r="Y336" i="1"/>
  <c r="X336" i="1"/>
  <c r="W336" i="1"/>
  <c r="V336" i="1"/>
  <c r="Y335" i="1"/>
  <c r="X335" i="1"/>
  <c r="W335" i="1"/>
  <c r="V335" i="1"/>
  <c r="Y334" i="1"/>
  <c r="X334" i="1"/>
  <c r="W334" i="1"/>
  <c r="V334" i="1"/>
  <c r="Y333" i="1"/>
  <c r="X333" i="1"/>
  <c r="W333" i="1"/>
  <c r="V333" i="1"/>
  <c r="Y332" i="1"/>
  <c r="X332" i="1"/>
  <c r="W332" i="1"/>
  <c r="V332" i="1"/>
  <c r="Y331" i="1"/>
  <c r="X331" i="1"/>
  <c r="W331" i="1"/>
  <c r="V331" i="1"/>
  <c r="Y330" i="1"/>
  <c r="X330" i="1"/>
  <c r="W330" i="1"/>
  <c r="V330" i="1"/>
  <c r="Y329" i="1"/>
  <c r="X329" i="1"/>
  <c r="W329" i="1"/>
  <c r="V329" i="1"/>
  <c r="Y328" i="1"/>
  <c r="X328" i="1"/>
  <c r="W328" i="1"/>
  <c r="V328" i="1"/>
  <c r="Y327" i="1"/>
  <c r="X327" i="1"/>
  <c r="W327" i="1"/>
  <c r="V327" i="1"/>
  <c r="Y326" i="1"/>
  <c r="X326" i="1"/>
  <c r="W326" i="1"/>
  <c r="V326" i="1"/>
  <c r="Y325" i="1"/>
  <c r="X325" i="1"/>
  <c r="W325" i="1"/>
  <c r="V325" i="1"/>
  <c r="Y324" i="1"/>
  <c r="X324" i="1"/>
  <c r="W324" i="1"/>
  <c r="V324" i="1"/>
  <c r="Y323" i="1"/>
  <c r="X323" i="1"/>
  <c r="W323" i="1"/>
  <c r="V323" i="1"/>
  <c r="Y322" i="1"/>
  <c r="X322" i="1"/>
  <c r="W322" i="1"/>
  <c r="V322" i="1"/>
  <c r="Y321" i="1"/>
  <c r="X321" i="1"/>
  <c r="W321" i="1"/>
  <c r="V321" i="1"/>
  <c r="Y320" i="1"/>
  <c r="X320" i="1"/>
  <c r="W320" i="1"/>
  <c r="V320" i="1"/>
  <c r="Y319" i="1"/>
  <c r="X319" i="1"/>
  <c r="W319" i="1"/>
  <c r="V319" i="1"/>
  <c r="Y318" i="1"/>
  <c r="X318" i="1"/>
  <c r="W318" i="1"/>
  <c r="V318" i="1"/>
  <c r="Y317" i="1"/>
  <c r="X317" i="1"/>
  <c r="W317" i="1"/>
  <c r="V317" i="1"/>
  <c r="Y316" i="1"/>
  <c r="X316" i="1"/>
  <c r="W316" i="1"/>
  <c r="V316" i="1"/>
  <c r="Y315" i="1"/>
  <c r="X315" i="1"/>
  <c r="W315" i="1"/>
  <c r="V315" i="1"/>
  <c r="Y314" i="1"/>
  <c r="X314" i="1"/>
  <c r="W314" i="1"/>
  <c r="V314" i="1"/>
  <c r="Y313" i="1"/>
  <c r="X313" i="1"/>
  <c r="W313" i="1"/>
  <c r="V313" i="1"/>
  <c r="Y312" i="1"/>
  <c r="X312" i="1"/>
  <c r="W312" i="1"/>
  <c r="V312" i="1"/>
  <c r="Y311" i="1"/>
  <c r="X311" i="1"/>
  <c r="W311" i="1"/>
  <c r="V311" i="1"/>
  <c r="Y310" i="1"/>
  <c r="X310" i="1"/>
  <c r="W310" i="1"/>
  <c r="V310" i="1"/>
  <c r="Y309" i="1"/>
  <c r="X309" i="1"/>
  <c r="W309" i="1"/>
  <c r="V309" i="1"/>
  <c r="Y308" i="1"/>
  <c r="X308" i="1"/>
  <c r="W308" i="1"/>
  <c r="V308" i="1"/>
  <c r="Y307" i="1"/>
  <c r="X307" i="1"/>
  <c r="W307" i="1"/>
  <c r="V307" i="1"/>
  <c r="Y306" i="1"/>
  <c r="X306" i="1"/>
  <c r="W306" i="1"/>
  <c r="V306" i="1"/>
  <c r="Y305" i="1"/>
  <c r="X305" i="1"/>
  <c r="W305" i="1"/>
  <c r="V305" i="1"/>
  <c r="Y304" i="1"/>
  <c r="X304" i="1"/>
  <c r="W304" i="1"/>
  <c r="V304" i="1"/>
  <c r="Y303" i="1"/>
  <c r="X303" i="1"/>
  <c r="W303" i="1"/>
  <c r="V303" i="1"/>
  <c r="Y302" i="1"/>
  <c r="X302" i="1"/>
  <c r="W302" i="1"/>
  <c r="V302" i="1"/>
  <c r="Y301" i="1"/>
  <c r="X301" i="1"/>
  <c r="W301" i="1"/>
  <c r="V301" i="1"/>
  <c r="Y300" i="1"/>
  <c r="X300" i="1"/>
  <c r="W300" i="1"/>
  <c r="V300" i="1"/>
  <c r="Y299" i="1"/>
  <c r="X299" i="1"/>
  <c r="W299" i="1"/>
  <c r="V299" i="1"/>
  <c r="Y298" i="1"/>
  <c r="X298" i="1"/>
  <c r="W298" i="1"/>
  <c r="V298" i="1"/>
  <c r="Y297" i="1"/>
  <c r="X297" i="1"/>
  <c r="W297" i="1"/>
  <c r="V297" i="1"/>
  <c r="Y296" i="1"/>
  <c r="X296" i="1"/>
  <c r="W296" i="1"/>
  <c r="V296" i="1"/>
  <c r="Y295" i="1"/>
  <c r="X295" i="1"/>
  <c r="W295" i="1"/>
  <c r="V295" i="1"/>
  <c r="Y294" i="1"/>
  <c r="X294" i="1"/>
  <c r="W294" i="1"/>
  <c r="V294" i="1"/>
  <c r="Y293" i="1"/>
  <c r="X293" i="1"/>
  <c r="W293" i="1"/>
  <c r="V293" i="1"/>
  <c r="Y292" i="1"/>
  <c r="X292" i="1"/>
  <c r="W292" i="1"/>
  <c r="V292" i="1"/>
  <c r="Y291" i="1"/>
  <c r="X291" i="1"/>
  <c r="W291" i="1"/>
  <c r="V291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V250" i="1"/>
  <c r="W250" i="1"/>
  <c r="X250" i="1" s="1"/>
  <c r="V251" i="1"/>
  <c r="W251" i="1"/>
  <c r="X251" i="1" s="1"/>
  <c r="V252" i="1"/>
  <c r="W252" i="1"/>
  <c r="X252" i="1" s="1"/>
  <c r="V253" i="1"/>
  <c r="W253" i="1"/>
  <c r="X253" i="1" s="1"/>
  <c r="V247" i="1"/>
  <c r="W247" i="1"/>
  <c r="X247" i="1" s="1"/>
  <c r="V248" i="1"/>
  <c r="W248" i="1"/>
  <c r="X248" i="1" s="1"/>
  <c r="V249" i="1"/>
  <c r="W249" i="1"/>
  <c r="X249" i="1" s="1"/>
  <c r="V245" i="1"/>
  <c r="W245" i="1"/>
  <c r="Y245" i="1" s="1"/>
  <c r="V246" i="1"/>
  <c r="W246" i="1"/>
  <c r="X246" i="1" s="1"/>
  <c r="V238" i="1"/>
  <c r="W238" i="1"/>
  <c r="X238" i="1" s="1"/>
  <c r="V239" i="1"/>
  <c r="W239" i="1"/>
  <c r="X239" i="1" s="1"/>
  <c r="V240" i="1"/>
  <c r="W240" i="1"/>
  <c r="X240" i="1" s="1"/>
  <c r="V241" i="1"/>
  <c r="W241" i="1"/>
  <c r="X241" i="1" s="1"/>
  <c r="V242" i="1"/>
  <c r="W242" i="1"/>
  <c r="X242" i="1" s="1"/>
  <c r="V243" i="1"/>
  <c r="W243" i="1"/>
  <c r="X243" i="1" s="1"/>
  <c r="V244" i="1"/>
  <c r="W244" i="1"/>
  <c r="X244" i="1" s="1"/>
  <c r="V173" i="1"/>
  <c r="W173" i="1"/>
  <c r="X173" i="1" s="1"/>
  <c r="Y173" i="1"/>
  <c r="V174" i="1"/>
  <c r="W174" i="1"/>
  <c r="X174" i="1" s="1"/>
  <c r="V175" i="1"/>
  <c r="W175" i="1"/>
  <c r="X175" i="1" s="1"/>
  <c r="V176" i="1"/>
  <c r="W176" i="1"/>
  <c r="X176" i="1" s="1"/>
  <c r="V177" i="1"/>
  <c r="W177" i="1"/>
  <c r="X177" i="1" s="1"/>
  <c r="V178" i="1"/>
  <c r="W178" i="1"/>
  <c r="X178" i="1" s="1"/>
  <c r="V179" i="1"/>
  <c r="W179" i="1"/>
  <c r="X179" i="1" s="1"/>
  <c r="V180" i="1"/>
  <c r="W180" i="1"/>
  <c r="X180" i="1" s="1"/>
  <c r="V181" i="1"/>
  <c r="W181" i="1"/>
  <c r="X181" i="1" s="1"/>
  <c r="V182" i="1"/>
  <c r="W182" i="1"/>
  <c r="X182" i="1" s="1"/>
  <c r="V183" i="1"/>
  <c r="W183" i="1"/>
  <c r="X183" i="1" s="1"/>
  <c r="V184" i="1"/>
  <c r="W184" i="1"/>
  <c r="X184" i="1" s="1"/>
  <c r="V185" i="1"/>
  <c r="W185" i="1"/>
  <c r="X185" i="1" s="1"/>
  <c r="V186" i="1"/>
  <c r="W186" i="1"/>
  <c r="X186" i="1" s="1"/>
  <c r="V187" i="1"/>
  <c r="W187" i="1"/>
  <c r="X187" i="1" s="1"/>
  <c r="V188" i="1"/>
  <c r="W188" i="1"/>
  <c r="X188" i="1" s="1"/>
  <c r="V189" i="1"/>
  <c r="W189" i="1"/>
  <c r="X189" i="1" s="1"/>
  <c r="V190" i="1"/>
  <c r="W190" i="1"/>
  <c r="X190" i="1" s="1"/>
  <c r="W191" i="1"/>
  <c r="X191" i="1" s="1"/>
  <c r="V192" i="1"/>
  <c r="W192" i="1"/>
  <c r="X192" i="1" s="1"/>
  <c r="V193" i="1"/>
  <c r="W193" i="1"/>
  <c r="X193" i="1" s="1"/>
  <c r="V194" i="1"/>
  <c r="W194" i="1"/>
  <c r="X194" i="1" s="1"/>
  <c r="V195" i="1"/>
  <c r="W195" i="1"/>
  <c r="X195" i="1" s="1"/>
  <c r="V196" i="1"/>
  <c r="W196" i="1"/>
  <c r="X196" i="1" s="1"/>
  <c r="V197" i="1"/>
  <c r="W197" i="1"/>
  <c r="X197" i="1" s="1"/>
  <c r="V198" i="1"/>
  <c r="W198" i="1"/>
  <c r="X198" i="1" s="1"/>
  <c r="V199" i="1"/>
  <c r="W199" i="1"/>
  <c r="X199" i="1" s="1"/>
  <c r="V200" i="1"/>
  <c r="W200" i="1"/>
  <c r="X200" i="1" s="1"/>
  <c r="V201" i="1"/>
  <c r="W201" i="1"/>
  <c r="X201" i="1" s="1"/>
  <c r="V202" i="1"/>
  <c r="W202" i="1"/>
  <c r="X202" i="1" s="1"/>
  <c r="V203" i="1"/>
  <c r="W203" i="1"/>
  <c r="X203" i="1" s="1"/>
  <c r="V204" i="1"/>
  <c r="W204" i="1"/>
  <c r="X204" i="1" s="1"/>
  <c r="V205" i="1"/>
  <c r="W205" i="1"/>
  <c r="X205" i="1" s="1"/>
  <c r="V206" i="1"/>
  <c r="W206" i="1"/>
  <c r="X206" i="1" s="1"/>
  <c r="V207" i="1"/>
  <c r="W207" i="1"/>
  <c r="X207" i="1" s="1"/>
  <c r="V208" i="1"/>
  <c r="W208" i="1"/>
  <c r="X208" i="1" s="1"/>
  <c r="V209" i="1"/>
  <c r="W209" i="1"/>
  <c r="X209" i="1" s="1"/>
  <c r="V210" i="1"/>
  <c r="W210" i="1"/>
  <c r="X210" i="1" s="1"/>
  <c r="V211" i="1"/>
  <c r="W211" i="1"/>
  <c r="X211" i="1" s="1"/>
  <c r="V212" i="1"/>
  <c r="W212" i="1"/>
  <c r="X212" i="1" s="1"/>
  <c r="V213" i="1"/>
  <c r="W213" i="1"/>
  <c r="X213" i="1" s="1"/>
  <c r="V214" i="1"/>
  <c r="W214" i="1"/>
  <c r="X214" i="1" s="1"/>
  <c r="V215" i="1"/>
  <c r="W215" i="1"/>
  <c r="X215" i="1" s="1"/>
  <c r="V216" i="1"/>
  <c r="W216" i="1"/>
  <c r="X216" i="1" s="1"/>
  <c r="V217" i="1"/>
  <c r="W217" i="1"/>
  <c r="X217" i="1" s="1"/>
  <c r="V218" i="1"/>
  <c r="W218" i="1"/>
  <c r="X218" i="1" s="1"/>
  <c r="V219" i="1"/>
  <c r="W219" i="1"/>
  <c r="X219" i="1" s="1"/>
  <c r="V220" i="1"/>
  <c r="W220" i="1"/>
  <c r="X220" i="1" s="1"/>
  <c r="V221" i="1"/>
  <c r="W221" i="1"/>
  <c r="X221" i="1" s="1"/>
  <c r="V222" i="1"/>
  <c r="W222" i="1"/>
  <c r="X222" i="1" s="1"/>
  <c r="V223" i="1"/>
  <c r="W223" i="1"/>
  <c r="X223" i="1" s="1"/>
  <c r="V224" i="1"/>
  <c r="W224" i="1"/>
  <c r="X224" i="1" s="1"/>
  <c r="V225" i="1"/>
  <c r="W225" i="1"/>
  <c r="X225" i="1" s="1"/>
  <c r="V226" i="1"/>
  <c r="W226" i="1"/>
  <c r="X226" i="1" s="1"/>
  <c r="V227" i="1"/>
  <c r="W227" i="1"/>
  <c r="X227" i="1" s="1"/>
  <c r="V228" i="1"/>
  <c r="W228" i="1"/>
  <c r="X228" i="1" s="1"/>
  <c r="V229" i="1"/>
  <c r="W229" i="1"/>
  <c r="X229" i="1" s="1"/>
  <c r="V230" i="1"/>
  <c r="W230" i="1"/>
  <c r="X230" i="1" s="1"/>
  <c r="V231" i="1"/>
  <c r="W231" i="1"/>
  <c r="X231" i="1" s="1"/>
  <c r="V232" i="1"/>
  <c r="W232" i="1"/>
  <c r="X232" i="1" s="1"/>
  <c r="V233" i="1"/>
  <c r="W233" i="1"/>
  <c r="X233" i="1" s="1"/>
  <c r="V234" i="1"/>
  <c r="W234" i="1"/>
  <c r="X234" i="1" s="1"/>
  <c r="V235" i="1"/>
  <c r="W235" i="1"/>
  <c r="X235" i="1" s="1"/>
  <c r="V236" i="1"/>
  <c r="W236" i="1"/>
  <c r="X236" i="1" s="1"/>
  <c r="V237" i="1"/>
  <c r="W237" i="1"/>
  <c r="X237" i="1" s="1"/>
  <c r="V140" i="1"/>
  <c r="W140" i="1"/>
  <c r="X140" i="1" s="1"/>
  <c r="V141" i="1"/>
  <c r="W141" i="1"/>
  <c r="X141" i="1" s="1"/>
  <c r="V142" i="1"/>
  <c r="W142" i="1"/>
  <c r="X142" i="1" s="1"/>
  <c r="V143" i="1"/>
  <c r="W143" i="1"/>
  <c r="X143" i="1" s="1"/>
  <c r="V144" i="1"/>
  <c r="W144" i="1"/>
  <c r="X144" i="1" s="1"/>
  <c r="V145" i="1"/>
  <c r="W145" i="1"/>
  <c r="X145" i="1" s="1"/>
  <c r="V146" i="1"/>
  <c r="W146" i="1"/>
  <c r="X146" i="1" s="1"/>
  <c r="V147" i="1"/>
  <c r="W147" i="1"/>
  <c r="X147" i="1" s="1"/>
  <c r="V148" i="1"/>
  <c r="W148" i="1"/>
  <c r="X148" i="1" s="1"/>
  <c r="V149" i="1"/>
  <c r="W149" i="1"/>
  <c r="X149" i="1" s="1"/>
  <c r="V150" i="1"/>
  <c r="W150" i="1"/>
  <c r="X150" i="1" s="1"/>
  <c r="V151" i="1"/>
  <c r="W151" i="1"/>
  <c r="X151" i="1" s="1"/>
  <c r="V152" i="1"/>
  <c r="W152" i="1"/>
  <c r="X152" i="1" s="1"/>
  <c r="V153" i="1"/>
  <c r="W153" i="1"/>
  <c r="X153" i="1" s="1"/>
  <c r="V154" i="1"/>
  <c r="W154" i="1"/>
  <c r="X154" i="1" s="1"/>
  <c r="V155" i="1"/>
  <c r="W155" i="1"/>
  <c r="X155" i="1" s="1"/>
  <c r="V156" i="1"/>
  <c r="W156" i="1"/>
  <c r="X156" i="1" s="1"/>
  <c r="V157" i="1"/>
  <c r="W157" i="1"/>
  <c r="X157" i="1" s="1"/>
  <c r="V158" i="1"/>
  <c r="W158" i="1"/>
  <c r="X158" i="1" s="1"/>
  <c r="V159" i="1"/>
  <c r="W159" i="1"/>
  <c r="X159" i="1" s="1"/>
  <c r="V160" i="1"/>
  <c r="W160" i="1"/>
  <c r="X160" i="1" s="1"/>
  <c r="V161" i="1"/>
  <c r="W161" i="1"/>
  <c r="X161" i="1" s="1"/>
  <c r="V162" i="1"/>
  <c r="W162" i="1"/>
  <c r="X162" i="1" s="1"/>
  <c r="V163" i="1"/>
  <c r="W163" i="1"/>
  <c r="X163" i="1" s="1"/>
  <c r="V164" i="1"/>
  <c r="W164" i="1"/>
  <c r="X164" i="1" s="1"/>
  <c r="V165" i="1"/>
  <c r="W165" i="1"/>
  <c r="X165" i="1" s="1"/>
  <c r="V166" i="1"/>
  <c r="W166" i="1"/>
  <c r="X166" i="1" s="1"/>
  <c r="V167" i="1"/>
  <c r="W167" i="1"/>
  <c r="X167" i="1" s="1"/>
  <c r="V168" i="1"/>
  <c r="W168" i="1"/>
  <c r="X168" i="1" s="1"/>
  <c r="V169" i="1"/>
  <c r="W169" i="1"/>
  <c r="X169" i="1" s="1"/>
  <c r="W170" i="1"/>
  <c r="X170" i="1" s="1"/>
  <c r="V171" i="1"/>
  <c r="W171" i="1"/>
  <c r="X171" i="1" s="1"/>
  <c r="V172" i="1"/>
  <c r="W172" i="1"/>
  <c r="X172" i="1" s="1"/>
  <c r="V7" i="1"/>
  <c r="V3" i="1"/>
  <c r="W3" i="1"/>
  <c r="X3" i="1" s="1"/>
  <c r="V4" i="1"/>
  <c r="W4" i="1"/>
  <c r="X4" i="1" s="1"/>
  <c r="V5" i="1"/>
  <c r="W5" i="1"/>
  <c r="X5" i="1" s="1"/>
  <c r="V6" i="1"/>
  <c r="W6" i="1"/>
  <c r="X6" i="1" s="1"/>
  <c r="W7" i="1"/>
  <c r="X7" i="1" s="1"/>
  <c r="V8" i="1"/>
  <c r="W8" i="1"/>
  <c r="X8" i="1" s="1"/>
  <c r="V9" i="1"/>
  <c r="W9" i="1"/>
  <c r="X9" i="1" s="1"/>
  <c r="V10" i="1"/>
  <c r="W10" i="1"/>
  <c r="X10" i="1" s="1"/>
  <c r="V11" i="1"/>
  <c r="W11" i="1"/>
  <c r="X11" i="1" s="1"/>
  <c r="V12" i="1"/>
  <c r="W12" i="1"/>
  <c r="X12" i="1" s="1"/>
  <c r="V13" i="1"/>
  <c r="W13" i="1"/>
  <c r="X13" i="1" s="1"/>
  <c r="V14" i="1"/>
  <c r="W14" i="1"/>
  <c r="X14" i="1" s="1"/>
  <c r="V15" i="1"/>
  <c r="W15" i="1"/>
  <c r="X15" i="1" s="1"/>
  <c r="V16" i="1"/>
  <c r="W16" i="1"/>
  <c r="X16" i="1" s="1"/>
  <c r="V17" i="1"/>
  <c r="W17" i="1"/>
  <c r="X17" i="1" s="1"/>
  <c r="V18" i="1"/>
  <c r="W18" i="1"/>
  <c r="X18" i="1" s="1"/>
  <c r="V19" i="1"/>
  <c r="W19" i="1"/>
  <c r="X19" i="1" s="1"/>
  <c r="V20" i="1"/>
  <c r="W20" i="1"/>
  <c r="X20" i="1" s="1"/>
  <c r="V21" i="1"/>
  <c r="W21" i="1"/>
  <c r="X21" i="1" s="1"/>
  <c r="V22" i="1"/>
  <c r="W22" i="1"/>
  <c r="X22" i="1" s="1"/>
  <c r="V23" i="1"/>
  <c r="W23" i="1"/>
  <c r="X23" i="1" s="1"/>
  <c r="V24" i="1"/>
  <c r="W24" i="1"/>
  <c r="X24" i="1" s="1"/>
  <c r="V25" i="1"/>
  <c r="W25" i="1"/>
  <c r="X25" i="1" s="1"/>
  <c r="V26" i="1"/>
  <c r="W26" i="1"/>
  <c r="X26" i="1" s="1"/>
  <c r="V27" i="1"/>
  <c r="W27" i="1"/>
  <c r="X27" i="1" s="1"/>
  <c r="V28" i="1"/>
  <c r="W28" i="1"/>
  <c r="X28" i="1" s="1"/>
  <c r="V29" i="1"/>
  <c r="W29" i="1"/>
  <c r="X29" i="1" s="1"/>
  <c r="V30" i="1"/>
  <c r="W30" i="1"/>
  <c r="X30" i="1" s="1"/>
  <c r="V31" i="1"/>
  <c r="W31" i="1"/>
  <c r="X31" i="1" s="1"/>
  <c r="V32" i="1"/>
  <c r="W32" i="1"/>
  <c r="X32" i="1" s="1"/>
  <c r="V33" i="1"/>
  <c r="W33" i="1"/>
  <c r="X33" i="1" s="1"/>
  <c r="V34" i="1"/>
  <c r="W34" i="1"/>
  <c r="X34" i="1" s="1"/>
  <c r="V35" i="1"/>
  <c r="W35" i="1"/>
  <c r="X35" i="1" s="1"/>
  <c r="V36" i="1"/>
  <c r="W36" i="1"/>
  <c r="X36" i="1" s="1"/>
  <c r="V37" i="1"/>
  <c r="W37" i="1"/>
  <c r="X37" i="1" s="1"/>
  <c r="V38" i="1"/>
  <c r="W38" i="1"/>
  <c r="X38" i="1" s="1"/>
  <c r="V39" i="1"/>
  <c r="W39" i="1"/>
  <c r="X39" i="1" s="1"/>
  <c r="V40" i="1"/>
  <c r="W40" i="1"/>
  <c r="X40" i="1" s="1"/>
  <c r="V41" i="1"/>
  <c r="W41" i="1"/>
  <c r="X41" i="1" s="1"/>
  <c r="V42" i="1"/>
  <c r="W42" i="1"/>
  <c r="X42" i="1" s="1"/>
  <c r="V43" i="1"/>
  <c r="W43" i="1"/>
  <c r="V44" i="1"/>
  <c r="W44" i="1"/>
  <c r="X44" i="1" s="1"/>
  <c r="V45" i="1"/>
  <c r="W45" i="1"/>
  <c r="V46" i="1"/>
  <c r="W46" i="1"/>
  <c r="X46" i="1" s="1"/>
  <c r="V47" i="1"/>
  <c r="W47" i="1"/>
  <c r="V48" i="1"/>
  <c r="W48" i="1"/>
  <c r="X48" i="1" s="1"/>
  <c r="V49" i="1"/>
  <c r="W49" i="1"/>
  <c r="V50" i="1"/>
  <c r="W50" i="1"/>
  <c r="X50" i="1" s="1"/>
  <c r="V51" i="1"/>
  <c r="W51" i="1"/>
  <c r="V52" i="1"/>
  <c r="W52" i="1"/>
  <c r="X52" i="1" s="1"/>
  <c r="V53" i="1"/>
  <c r="W53" i="1"/>
  <c r="V54" i="1"/>
  <c r="W54" i="1"/>
  <c r="X54" i="1" s="1"/>
  <c r="V55" i="1"/>
  <c r="W55" i="1"/>
  <c r="V56" i="1"/>
  <c r="W56" i="1"/>
  <c r="X56" i="1" s="1"/>
  <c r="V57" i="1"/>
  <c r="W57" i="1"/>
  <c r="V58" i="1"/>
  <c r="W58" i="1"/>
  <c r="X58" i="1" s="1"/>
  <c r="V59" i="1"/>
  <c r="W59" i="1"/>
  <c r="V60" i="1"/>
  <c r="W60" i="1"/>
  <c r="X60" i="1" s="1"/>
  <c r="V61" i="1"/>
  <c r="W61" i="1"/>
  <c r="V62" i="1"/>
  <c r="W62" i="1"/>
  <c r="X62" i="1" s="1"/>
  <c r="V63" i="1"/>
  <c r="W63" i="1"/>
  <c r="V64" i="1"/>
  <c r="W64" i="1"/>
  <c r="X64" i="1" s="1"/>
  <c r="V65" i="1"/>
  <c r="W65" i="1"/>
  <c r="V66" i="1"/>
  <c r="W66" i="1"/>
  <c r="X66" i="1" s="1"/>
  <c r="V67" i="1"/>
  <c r="W67" i="1"/>
  <c r="V68" i="1"/>
  <c r="W68" i="1"/>
  <c r="X68" i="1" s="1"/>
  <c r="V69" i="1"/>
  <c r="W69" i="1"/>
  <c r="V70" i="1"/>
  <c r="W70" i="1"/>
  <c r="X70" i="1" s="1"/>
  <c r="V71" i="1"/>
  <c r="W71" i="1"/>
  <c r="V72" i="1"/>
  <c r="W72" i="1"/>
  <c r="X72" i="1" s="1"/>
  <c r="V73" i="1"/>
  <c r="W73" i="1"/>
  <c r="V74" i="1"/>
  <c r="W74" i="1"/>
  <c r="X74" i="1" s="1"/>
  <c r="V75" i="1"/>
  <c r="W75" i="1"/>
  <c r="V76" i="1"/>
  <c r="W76" i="1"/>
  <c r="X76" i="1" s="1"/>
  <c r="V77" i="1"/>
  <c r="W77" i="1"/>
  <c r="V78" i="1"/>
  <c r="W78" i="1"/>
  <c r="X78" i="1" s="1"/>
  <c r="V79" i="1"/>
  <c r="W79" i="1"/>
  <c r="V80" i="1"/>
  <c r="W80" i="1"/>
  <c r="X80" i="1" s="1"/>
  <c r="V81" i="1"/>
  <c r="W81" i="1"/>
  <c r="V82" i="1"/>
  <c r="W82" i="1"/>
  <c r="X82" i="1" s="1"/>
  <c r="V83" i="1"/>
  <c r="W83" i="1"/>
  <c r="V84" i="1"/>
  <c r="W84" i="1"/>
  <c r="X84" i="1" s="1"/>
  <c r="V85" i="1"/>
  <c r="W85" i="1"/>
  <c r="V86" i="1"/>
  <c r="W86" i="1"/>
  <c r="X86" i="1" s="1"/>
  <c r="V87" i="1"/>
  <c r="W87" i="1"/>
  <c r="V88" i="1"/>
  <c r="W88" i="1"/>
  <c r="X88" i="1" s="1"/>
  <c r="V89" i="1"/>
  <c r="W89" i="1"/>
  <c r="V90" i="1"/>
  <c r="W90" i="1"/>
  <c r="X90" i="1" s="1"/>
  <c r="V91" i="1"/>
  <c r="W91" i="1"/>
  <c r="V92" i="1"/>
  <c r="W92" i="1"/>
  <c r="X92" i="1" s="1"/>
  <c r="V93" i="1"/>
  <c r="W93" i="1"/>
  <c r="V94" i="1"/>
  <c r="W94" i="1"/>
  <c r="X94" i="1" s="1"/>
  <c r="V95" i="1"/>
  <c r="W95" i="1"/>
  <c r="V96" i="1"/>
  <c r="W96" i="1"/>
  <c r="X96" i="1" s="1"/>
  <c r="V97" i="1"/>
  <c r="W97" i="1"/>
  <c r="V98" i="1"/>
  <c r="W98" i="1"/>
  <c r="X98" i="1" s="1"/>
  <c r="V99" i="1"/>
  <c r="W99" i="1"/>
  <c r="V100" i="1"/>
  <c r="W100" i="1"/>
  <c r="X100" i="1" s="1"/>
  <c r="V101" i="1"/>
  <c r="W101" i="1"/>
  <c r="V102" i="1"/>
  <c r="W102" i="1"/>
  <c r="X102" i="1" s="1"/>
  <c r="V103" i="1"/>
  <c r="W103" i="1"/>
  <c r="V104" i="1"/>
  <c r="W104" i="1"/>
  <c r="X104" i="1" s="1"/>
  <c r="V105" i="1"/>
  <c r="W105" i="1"/>
  <c r="V106" i="1"/>
  <c r="W106" i="1"/>
  <c r="X106" i="1" s="1"/>
  <c r="V107" i="1"/>
  <c r="W107" i="1"/>
  <c r="V108" i="1"/>
  <c r="W108" i="1"/>
  <c r="X108" i="1" s="1"/>
  <c r="V109" i="1"/>
  <c r="W109" i="1"/>
  <c r="V110" i="1"/>
  <c r="W110" i="1"/>
  <c r="X110" i="1" s="1"/>
  <c r="V111" i="1"/>
  <c r="W111" i="1"/>
  <c r="V112" i="1"/>
  <c r="W112" i="1"/>
  <c r="X112" i="1" s="1"/>
  <c r="V113" i="1"/>
  <c r="W113" i="1"/>
  <c r="V114" i="1"/>
  <c r="W114" i="1"/>
  <c r="X114" i="1" s="1"/>
  <c r="V115" i="1"/>
  <c r="W115" i="1"/>
  <c r="V116" i="1"/>
  <c r="W116" i="1"/>
  <c r="X116" i="1" s="1"/>
  <c r="V117" i="1"/>
  <c r="W117" i="1"/>
  <c r="V118" i="1"/>
  <c r="W118" i="1"/>
  <c r="X118" i="1" s="1"/>
  <c r="V119" i="1"/>
  <c r="W119" i="1"/>
  <c r="V120" i="1"/>
  <c r="W120" i="1"/>
  <c r="X120" i="1" s="1"/>
  <c r="V121" i="1"/>
  <c r="W121" i="1"/>
  <c r="V122" i="1"/>
  <c r="W122" i="1"/>
  <c r="X122" i="1" s="1"/>
  <c r="V123" i="1"/>
  <c r="W123" i="1"/>
  <c r="V124" i="1"/>
  <c r="W124" i="1"/>
  <c r="X124" i="1" s="1"/>
  <c r="V125" i="1"/>
  <c r="W125" i="1"/>
  <c r="V126" i="1"/>
  <c r="W126" i="1"/>
  <c r="X126" i="1" s="1"/>
  <c r="V127" i="1"/>
  <c r="W127" i="1"/>
  <c r="V128" i="1"/>
  <c r="W128" i="1"/>
  <c r="X128" i="1" s="1"/>
  <c r="V129" i="1"/>
  <c r="W129" i="1"/>
  <c r="V130" i="1"/>
  <c r="W130" i="1"/>
  <c r="X130" i="1" s="1"/>
  <c r="V131" i="1"/>
  <c r="W131" i="1"/>
  <c r="V132" i="1"/>
  <c r="W132" i="1"/>
  <c r="X132" i="1" s="1"/>
  <c r="V133" i="1"/>
  <c r="W133" i="1"/>
  <c r="V134" i="1"/>
  <c r="W134" i="1"/>
  <c r="X134" i="1" s="1"/>
  <c r="V135" i="1"/>
  <c r="W135" i="1"/>
  <c r="V136" i="1"/>
  <c r="W136" i="1"/>
  <c r="X136" i="1" s="1"/>
  <c r="V137" i="1"/>
  <c r="W137" i="1"/>
  <c r="V138" i="1"/>
  <c r="W138" i="1"/>
  <c r="X138" i="1" s="1"/>
  <c r="V139" i="1"/>
  <c r="W139" i="1"/>
  <c r="X445" i="1" l="1"/>
  <c r="X448" i="1"/>
  <c r="X451" i="1"/>
  <c r="X454" i="1"/>
  <c r="X457" i="1"/>
  <c r="X460" i="1"/>
  <c r="X463" i="1"/>
  <c r="X466" i="1"/>
  <c r="X469" i="1"/>
  <c r="X472" i="1"/>
  <c r="X475" i="1"/>
  <c r="X478" i="1"/>
  <c r="X481" i="1"/>
  <c r="X484" i="1"/>
  <c r="X487" i="1"/>
  <c r="X490" i="1"/>
  <c r="X493" i="1"/>
  <c r="X496" i="1"/>
  <c r="X499" i="1"/>
  <c r="X443" i="1"/>
  <c r="X446" i="1"/>
  <c r="X449" i="1"/>
  <c r="X452" i="1"/>
  <c r="X455" i="1"/>
  <c r="X458" i="1"/>
  <c r="X461" i="1"/>
  <c r="X464" i="1"/>
  <c r="X467" i="1"/>
  <c r="X470" i="1"/>
  <c r="X473" i="1"/>
  <c r="X476" i="1"/>
  <c r="X479" i="1"/>
  <c r="X482" i="1"/>
  <c r="X485" i="1"/>
  <c r="X488" i="1"/>
  <c r="X491" i="1"/>
  <c r="X494" i="1"/>
  <c r="X497" i="1"/>
  <c r="X500" i="1"/>
  <c r="X444" i="1"/>
  <c r="X447" i="1"/>
  <c r="X450" i="1"/>
  <c r="X453" i="1"/>
  <c r="X456" i="1"/>
  <c r="X459" i="1"/>
  <c r="X462" i="1"/>
  <c r="X465" i="1"/>
  <c r="X468" i="1"/>
  <c r="X471" i="1"/>
  <c r="X474" i="1"/>
  <c r="X477" i="1"/>
  <c r="X480" i="1"/>
  <c r="X483" i="1"/>
  <c r="X486" i="1"/>
  <c r="X489" i="1"/>
  <c r="X492" i="1"/>
  <c r="X495" i="1"/>
  <c r="X498" i="1"/>
  <c r="X501" i="1"/>
  <c r="X245" i="1"/>
  <c r="Y239" i="1"/>
  <c r="Y178" i="1"/>
  <c r="Y213" i="1"/>
  <c r="Y246" i="1"/>
  <c r="Y175" i="1"/>
  <c r="Y241" i="1"/>
  <c r="Y249" i="1"/>
  <c r="Y181" i="1"/>
  <c r="Y243" i="1"/>
  <c r="Y248" i="1"/>
  <c r="Y143" i="1"/>
  <c r="Y182" i="1"/>
  <c r="Y247" i="1"/>
  <c r="Y253" i="1"/>
  <c r="Y251" i="1"/>
  <c r="Y252" i="1"/>
  <c r="Y250" i="1"/>
  <c r="Y244" i="1"/>
  <c r="Y242" i="1"/>
  <c r="Y240" i="1"/>
  <c r="Y238" i="1"/>
  <c r="Y237" i="1"/>
  <c r="Y233" i="1"/>
  <c r="Y229" i="1"/>
  <c r="Y227" i="1"/>
  <c r="Y225" i="1"/>
  <c r="Y221" i="1"/>
  <c r="Y217" i="1"/>
  <c r="Y215" i="1"/>
  <c r="Y212" i="1"/>
  <c r="Y211" i="1"/>
  <c r="Y209" i="1"/>
  <c r="Y180" i="1"/>
  <c r="Y207" i="1"/>
  <c r="Y205" i="1"/>
  <c r="Y204" i="1"/>
  <c r="Y203" i="1"/>
  <c r="Y223" i="1"/>
  <c r="Y214" i="1"/>
  <c r="Y206" i="1"/>
  <c r="Y235" i="1"/>
  <c r="Y219" i="1"/>
  <c r="Y216" i="1"/>
  <c r="Y208" i="1"/>
  <c r="Y177" i="1"/>
  <c r="Y174" i="1"/>
  <c r="Y231" i="1"/>
  <c r="Y210" i="1"/>
  <c r="Y179" i="1"/>
  <c r="Y176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236" i="1"/>
  <c r="Y232" i="1"/>
  <c r="Y228" i="1"/>
  <c r="Y222" i="1"/>
  <c r="Y218" i="1"/>
  <c r="Y234" i="1"/>
  <c r="Y230" i="1"/>
  <c r="Y226" i="1"/>
  <c r="Y224" i="1"/>
  <c r="Y220" i="1"/>
  <c r="Y141" i="1"/>
  <c r="Y151" i="1"/>
  <c r="Y149" i="1"/>
  <c r="Y165" i="1"/>
  <c r="Y155" i="1"/>
  <c r="Y147" i="1"/>
  <c r="Y153" i="1"/>
  <c r="Y145" i="1"/>
  <c r="Y171" i="1"/>
  <c r="Y169" i="1"/>
  <c r="Y167" i="1"/>
  <c r="Y163" i="1"/>
  <c r="Y161" i="1"/>
  <c r="Y159" i="1"/>
  <c r="Y157" i="1"/>
  <c r="Y172" i="1"/>
  <c r="Y170" i="1"/>
  <c r="Y168" i="1"/>
  <c r="Y166" i="1"/>
  <c r="Y164" i="1"/>
  <c r="Y162" i="1"/>
  <c r="Y160" i="1"/>
  <c r="Y158" i="1"/>
  <c r="Y156" i="1"/>
  <c r="Y154" i="1"/>
  <c r="Y152" i="1"/>
  <c r="Y150" i="1"/>
  <c r="Y148" i="1"/>
  <c r="Y146" i="1"/>
  <c r="Y144" i="1"/>
  <c r="Y142" i="1"/>
  <c r="Y140" i="1"/>
  <c r="Y74" i="1"/>
  <c r="Y114" i="1"/>
  <c r="Y130" i="1"/>
  <c r="Y94" i="1"/>
  <c r="Y82" i="1"/>
  <c r="Y138" i="1"/>
  <c r="Y122" i="1"/>
  <c r="Y106" i="1"/>
  <c r="Y20" i="1"/>
  <c r="Y4" i="1"/>
  <c r="Y62" i="1"/>
  <c r="Y50" i="1"/>
  <c r="Y118" i="1"/>
  <c r="Y78" i="1"/>
  <c r="Y110" i="1"/>
  <c r="Y66" i="1"/>
  <c r="Y134" i="1"/>
  <c r="Y98" i="1"/>
  <c r="Y58" i="1"/>
  <c r="Y126" i="1"/>
  <c r="Y90" i="1"/>
  <c r="Y46" i="1"/>
  <c r="Y42" i="1"/>
  <c r="Y40" i="1"/>
  <c r="Y38" i="1"/>
  <c r="Y36" i="1"/>
  <c r="Y34" i="1"/>
  <c r="Y32" i="1"/>
  <c r="Y30" i="1"/>
  <c r="Y28" i="1"/>
  <c r="Y26" i="1"/>
  <c r="Y24" i="1"/>
  <c r="Y22" i="1"/>
  <c r="Y18" i="1"/>
  <c r="Y16" i="1"/>
  <c r="Y14" i="1"/>
  <c r="Y12" i="1"/>
  <c r="Y10" i="1"/>
  <c r="Y8" i="1"/>
  <c r="Y6" i="1"/>
  <c r="Y136" i="1"/>
  <c r="X133" i="1"/>
  <c r="Y133" i="1"/>
  <c r="Y120" i="1"/>
  <c r="X117" i="1"/>
  <c r="Y117" i="1"/>
  <c r="Y104" i="1"/>
  <c r="X101" i="1"/>
  <c r="Y101" i="1"/>
  <c r="Y88" i="1"/>
  <c r="X85" i="1"/>
  <c r="Y85" i="1"/>
  <c r="Y72" i="1"/>
  <c r="X69" i="1"/>
  <c r="Y69" i="1"/>
  <c r="Y56" i="1"/>
  <c r="X53" i="1"/>
  <c r="Y53" i="1"/>
  <c r="X47" i="1"/>
  <c r="Y47" i="1"/>
  <c r="X139" i="1"/>
  <c r="Y139" i="1"/>
  <c r="X123" i="1"/>
  <c r="Y123" i="1"/>
  <c r="X107" i="1"/>
  <c r="Y107" i="1"/>
  <c r="X91" i="1"/>
  <c r="Y91" i="1"/>
  <c r="X75" i="1"/>
  <c r="Y75" i="1"/>
  <c r="X59" i="1"/>
  <c r="Y59" i="1"/>
  <c r="X43" i="1"/>
  <c r="Y43" i="1"/>
  <c r="X127" i="1"/>
  <c r="Y127" i="1"/>
  <c r="X95" i="1"/>
  <c r="Y95" i="1"/>
  <c r="Y132" i="1"/>
  <c r="X129" i="1"/>
  <c r="Y129" i="1"/>
  <c r="Y116" i="1"/>
  <c r="X113" i="1"/>
  <c r="Y113" i="1"/>
  <c r="Y100" i="1"/>
  <c r="X97" i="1"/>
  <c r="Y97" i="1"/>
  <c r="Y84" i="1"/>
  <c r="X81" i="1"/>
  <c r="Y81" i="1"/>
  <c r="Y68" i="1"/>
  <c r="X65" i="1"/>
  <c r="Y65" i="1"/>
  <c r="Y52" i="1"/>
  <c r="X49" i="1"/>
  <c r="Y49" i="1"/>
  <c r="X111" i="1"/>
  <c r="Y111" i="1"/>
  <c r="X79" i="1"/>
  <c r="Y79" i="1"/>
  <c r="X135" i="1"/>
  <c r="Y135" i="1"/>
  <c r="X119" i="1"/>
  <c r="Y119" i="1"/>
  <c r="X103" i="1"/>
  <c r="Y103" i="1"/>
  <c r="X87" i="1"/>
  <c r="Y87" i="1"/>
  <c r="X71" i="1"/>
  <c r="Y71" i="1"/>
  <c r="X55" i="1"/>
  <c r="Y55" i="1"/>
  <c r="X63" i="1"/>
  <c r="Y63" i="1"/>
  <c r="Y128" i="1"/>
  <c r="X125" i="1"/>
  <c r="Y125" i="1"/>
  <c r="Y112" i="1"/>
  <c r="X109" i="1"/>
  <c r="Y109" i="1"/>
  <c r="Y96" i="1"/>
  <c r="X93" i="1"/>
  <c r="Y93" i="1"/>
  <c r="Y80" i="1"/>
  <c r="X77" i="1"/>
  <c r="Y77" i="1"/>
  <c r="Y64" i="1"/>
  <c r="X61" i="1"/>
  <c r="Y61" i="1"/>
  <c r="Y48" i="1"/>
  <c r="X45" i="1"/>
  <c r="Y45" i="1"/>
  <c r="X131" i="1"/>
  <c r="Y131" i="1"/>
  <c r="X115" i="1"/>
  <c r="Y115" i="1"/>
  <c r="Y102" i="1"/>
  <c r="X99" i="1"/>
  <c r="Y99" i="1"/>
  <c r="Y86" i="1"/>
  <c r="X83" i="1"/>
  <c r="Y83" i="1"/>
  <c r="Y70" i="1"/>
  <c r="X67" i="1"/>
  <c r="Y67" i="1"/>
  <c r="Y54" i="1"/>
  <c r="X51" i="1"/>
  <c r="Y51" i="1"/>
  <c r="X137" i="1"/>
  <c r="Y137" i="1"/>
  <c r="Y124" i="1"/>
  <c r="X121" i="1"/>
  <c r="Y121" i="1"/>
  <c r="Y108" i="1"/>
  <c r="X105" i="1"/>
  <c r="Y105" i="1"/>
  <c r="Y92" i="1"/>
  <c r="X89" i="1"/>
  <c r="Y89" i="1"/>
  <c r="Y76" i="1"/>
  <c r="X73" i="1"/>
  <c r="Y73" i="1"/>
  <c r="Y60" i="1"/>
  <c r="X57" i="1"/>
  <c r="Y57" i="1"/>
  <c r="Y44" i="1"/>
  <c r="Y41" i="1"/>
  <c r="Y39" i="1"/>
  <c r="Y37" i="1"/>
  <c r="Y35" i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Y7" i="1"/>
  <c r="Y5" i="1"/>
  <c r="Y3" i="1"/>
  <c r="W2" i="1" l="1"/>
  <c r="Y2" i="1" s="1"/>
  <c r="V2" i="1"/>
  <c r="X2" i="1" l="1"/>
</calcChain>
</file>

<file path=xl/sharedStrings.xml><?xml version="1.0" encoding="utf-8"?>
<sst xmlns="http://schemas.openxmlformats.org/spreadsheetml/2006/main" count="6442" uniqueCount="577">
  <si>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</si>
  <si>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</si>
  <si>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</si>
  <si>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</si>
  <si>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</si>
  <si>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</si>
  <si>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</si>
  <si>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</si>
  <si>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</si>
  <si>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</si>
  <si>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</si>
  <si>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</si>
  <si>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</si>
  <si>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</si>
  <si>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</si>
  <si>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</si>
  <si>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</si>
  <si>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</si>
  <si>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</si>
  <si>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</si>
  <si>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DUELO</t>
  </si>
  <si>
    <t>QUIMICOS</t>
  </si>
  <si>
    <t>PRIMEROS AUXILIOS</t>
  </si>
  <si>
    <t>HUMANIZACION</t>
  </si>
  <si>
    <t>ACLS</t>
  </si>
  <si>
    <t>CAMILLERO</t>
  </si>
  <si>
    <t>TOMA DE MUESTRAS</t>
  </si>
  <si>
    <t>VIOLENCIA SEXUAL</t>
  </si>
  <si>
    <t>AIEPI</t>
  </si>
  <si>
    <t>ADMON DE MEDICAMENTOS</t>
  </si>
  <si>
    <t>OVE</t>
  </si>
  <si>
    <t>IAMI</t>
  </si>
  <si>
    <t>VIOLENCIA DE GENERO</t>
  </si>
  <si>
    <t>IGUALDAD DE GENERO</t>
  </si>
  <si>
    <t>PALIATIVOS</t>
  </si>
  <si>
    <t>POCT</t>
  </si>
  <si>
    <t>PRIMEROS AUXILIOS P</t>
  </si>
  <si>
    <t>FECHA DE NACIMIENTO</t>
  </si>
  <si>
    <t>X</t>
  </si>
  <si>
    <t>ELABORO</t>
  </si>
  <si>
    <t xml:space="preserve">CORREO </t>
  </si>
  <si>
    <t>PACIENTE</t>
  </si>
  <si>
    <t>MODALIDAD</t>
  </si>
  <si>
    <t>RESIDUOS</t>
  </si>
  <si>
    <t>GUERRA</t>
  </si>
  <si>
    <t>ANDRADE</t>
  </si>
  <si>
    <t>NARCIZA</t>
  </si>
  <si>
    <t>ANGELA</t>
  </si>
  <si>
    <t xml:space="preserve">angelaandrade.89@gmail.com </t>
  </si>
  <si>
    <t>enero</t>
  </si>
  <si>
    <t>Elizabeth</t>
  </si>
  <si>
    <t>Solarte</t>
  </si>
  <si>
    <t>Cuaspud</t>
  </si>
  <si>
    <t>Yuli</t>
  </si>
  <si>
    <t>yulisolc@gmail.com</t>
  </si>
  <si>
    <t>RAMIREZ</t>
  </si>
  <si>
    <t>CARDENAS</t>
  </si>
  <si>
    <t>LEYDI</t>
  </si>
  <si>
    <t>YOHANA</t>
  </si>
  <si>
    <t>lyramirez27252@gmail.com</t>
  </si>
  <si>
    <t>PALACIOS</t>
  </si>
  <si>
    <t>TORRES</t>
  </si>
  <si>
    <t>DEIMAN</t>
  </si>
  <si>
    <t>ALEXIS</t>
  </si>
  <si>
    <t>luiscruzy@gmail.com</t>
  </si>
  <si>
    <t>SALVAMENTO ACUATICO</t>
  </si>
  <si>
    <t>Meza</t>
  </si>
  <si>
    <t>Burbano</t>
  </si>
  <si>
    <t>Johana</t>
  </si>
  <si>
    <t>CCS</t>
  </si>
  <si>
    <t>M</t>
  </si>
  <si>
    <t>F</t>
  </si>
  <si>
    <t xml:space="preserve">Sanmelissa1140@gmail.com </t>
  </si>
  <si>
    <t>Riascos</t>
  </si>
  <si>
    <t>Arboleda</t>
  </si>
  <si>
    <t>Wilson</t>
  </si>
  <si>
    <t>Ali</t>
  </si>
  <si>
    <t>FRANCISCO</t>
  </si>
  <si>
    <t>wilsonalira@gmail.com</t>
  </si>
  <si>
    <t>NEQUI</t>
  </si>
  <si>
    <t>Erazo</t>
  </si>
  <si>
    <t>Melissa</t>
  </si>
  <si>
    <t>Andrea</t>
  </si>
  <si>
    <t>MEDIC@</t>
  </si>
  <si>
    <t xml:space="preserve">meliandre09@gmail.com </t>
  </si>
  <si>
    <t>Estrada</t>
  </si>
  <si>
    <t>Rosales</t>
  </si>
  <si>
    <t>Shirley</t>
  </si>
  <si>
    <t>Ginneth</t>
  </si>
  <si>
    <t>TERAPEUTA OCUPACIONAL</t>
  </si>
  <si>
    <t>ginethestrada@hotmail.com</t>
  </si>
  <si>
    <t>Hernández</t>
  </si>
  <si>
    <t>Bolaños</t>
  </si>
  <si>
    <t>Samara</t>
  </si>
  <si>
    <t>Jaqueline</t>
  </si>
  <si>
    <t>YURANI</t>
  </si>
  <si>
    <t>FISIOTERAPEUTA</t>
  </si>
  <si>
    <t>samarajackelinehernandezb@gmail.com</t>
  </si>
  <si>
    <t>PASCUAZA</t>
  </si>
  <si>
    <t>BARRERA</t>
  </si>
  <si>
    <t>GUSTAVO</t>
  </si>
  <si>
    <t>ANDRES</t>
  </si>
  <si>
    <t>gustavo199219262@hotmail.com</t>
  </si>
  <si>
    <t>Chaves</t>
  </si>
  <si>
    <t>Ordoñez</t>
  </si>
  <si>
    <t>Paola</t>
  </si>
  <si>
    <t>BANCOLOMBIA</t>
  </si>
  <si>
    <t>AUX DE ENFERMERIA</t>
  </si>
  <si>
    <t>REGENTE DE FARMACIA</t>
  </si>
  <si>
    <t>ENFERMERA</t>
  </si>
  <si>
    <t>pchavesordonez@gmail.com</t>
  </si>
  <si>
    <t>Acosta</t>
  </si>
  <si>
    <t>Melo</t>
  </si>
  <si>
    <t>Marisol</t>
  </si>
  <si>
    <t>Yesica</t>
  </si>
  <si>
    <t>Yesicaacosta1010@gmail.com</t>
  </si>
  <si>
    <t>Delgado</t>
  </si>
  <si>
    <t>Rivera</t>
  </si>
  <si>
    <t>Carmen</t>
  </si>
  <si>
    <t>Yoly</t>
  </si>
  <si>
    <t>carmenyolydelgado@gmail.com</t>
  </si>
  <si>
    <t>Estacio</t>
  </si>
  <si>
    <t>Wisamano</t>
  </si>
  <si>
    <t>Lida</t>
  </si>
  <si>
    <t>Fernanda</t>
  </si>
  <si>
    <t>TRIAGE</t>
  </si>
  <si>
    <t>Narvaez</t>
  </si>
  <si>
    <t>Kevin</t>
  </si>
  <si>
    <t>Charlye</t>
  </si>
  <si>
    <t>DEA</t>
  </si>
  <si>
    <t>ANDREA</t>
  </si>
  <si>
    <t>CONDUCTOR</t>
  </si>
  <si>
    <t>kevinestradanarvaez@gmail.com</t>
  </si>
  <si>
    <t>CAJA</t>
  </si>
  <si>
    <t>Torres</t>
  </si>
  <si>
    <t>Araujo</t>
  </si>
  <si>
    <t>Madeleine</t>
  </si>
  <si>
    <t>matorrra@hotmail.com</t>
  </si>
  <si>
    <t>TEMP</t>
  </si>
  <si>
    <t>Florez</t>
  </si>
  <si>
    <t>Ingrith</t>
  </si>
  <si>
    <t>Vanesa</t>
  </si>
  <si>
    <t>ESTUDIANTE</t>
  </si>
  <si>
    <t>vanesa020florez@gmail.com</t>
  </si>
  <si>
    <t>Criollo</t>
  </si>
  <si>
    <t>Eraso</t>
  </si>
  <si>
    <t>Daniela</t>
  </si>
  <si>
    <t>Estephania</t>
  </si>
  <si>
    <t>ODONTOLOGA</t>
  </si>
  <si>
    <t>danicr1095@hotmail.com</t>
  </si>
  <si>
    <t>Rodriguez</t>
  </si>
  <si>
    <t>Muñoz</t>
  </si>
  <si>
    <t>Yuliana</t>
  </si>
  <si>
    <t>Yiceth</t>
  </si>
  <si>
    <t xml:space="preserve">Yulianaayiceth@gmail.com </t>
  </si>
  <si>
    <t>Popayan</t>
  </si>
  <si>
    <t>Cordoba</t>
  </si>
  <si>
    <t>Jose</t>
  </si>
  <si>
    <t>Luban</t>
  </si>
  <si>
    <t>joseluban1985@gmail.com</t>
  </si>
  <si>
    <t>Gomez</t>
  </si>
  <si>
    <t>Coronel</t>
  </si>
  <si>
    <t>Marly</t>
  </si>
  <si>
    <t xml:space="preserve">gomezcoronelmarlypaola@gmail.com </t>
  </si>
  <si>
    <t>Pantoja</t>
  </si>
  <si>
    <t>Gabriela</t>
  </si>
  <si>
    <t>Alejandra</t>
  </si>
  <si>
    <t>alejandrapantoja885@gmail.com</t>
  </si>
  <si>
    <t>Teez</t>
  </si>
  <si>
    <t>Caicedo</t>
  </si>
  <si>
    <t>Sandra</t>
  </si>
  <si>
    <t>Elisa</t>
  </si>
  <si>
    <t>PSICOLOG@</t>
  </si>
  <si>
    <t>sandret@hotmail.es</t>
  </si>
  <si>
    <t>Guevara</t>
  </si>
  <si>
    <t>Rosero</t>
  </si>
  <si>
    <t>Tatiana</t>
  </si>
  <si>
    <t>Sofia</t>
  </si>
  <si>
    <t xml:space="preserve">sofiagro.2001@gmail.com </t>
  </si>
  <si>
    <t>13/1/2025-14/1/2025</t>
  </si>
  <si>
    <t>CAJA/NEQUI</t>
  </si>
  <si>
    <t>Sotelo</t>
  </si>
  <si>
    <t>Mejia</t>
  </si>
  <si>
    <t>Maria</t>
  </si>
  <si>
    <t>Ines</t>
  </si>
  <si>
    <t>NUTRICIONISTA</t>
  </si>
  <si>
    <t>maria.i.sotelo.mj@gmail.com</t>
  </si>
  <si>
    <t>Aguilar</t>
  </si>
  <si>
    <t>Rangel</t>
  </si>
  <si>
    <t>Marinela</t>
  </si>
  <si>
    <t xml:space="preserve">marinela1812@gmail.com </t>
  </si>
  <si>
    <t>Lopez</t>
  </si>
  <si>
    <t>Peña</t>
  </si>
  <si>
    <t>Estefany</t>
  </si>
  <si>
    <t>Yajaira</t>
  </si>
  <si>
    <t xml:space="preserve">ingeniera agroforesteal </t>
  </si>
  <si>
    <t xml:space="preserve">estefany_yajaira@hotmail.com </t>
  </si>
  <si>
    <t>Arteaga</t>
  </si>
  <si>
    <t>Díaz</t>
  </si>
  <si>
    <t>Derly</t>
  </si>
  <si>
    <t xml:space="preserve">paolaarteagad@gmail.com </t>
  </si>
  <si>
    <t>Sandoval</t>
  </si>
  <si>
    <t>Baquerizo</t>
  </si>
  <si>
    <t>Angelica</t>
  </si>
  <si>
    <t>Desiree</t>
  </si>
  <si>
    <t>Angiesandoval301@gmail.com</t>
  </si>
  <si>
    <t>DAVIPLATA</t>
  </si>
  <si>
    <t>Carlosama</t>
  </si>
  <si>
    <t>Perez</t>
  </si>
  <si>
    <t>Jimmy</t>
  </si>
  <si>
    <t>Orlando</t>
  </si>
  <si>
    <t>dcaritoch0713@gmail.com</t>
  </si>
  <si>
    <t>Charfuelan</t>
  </si>
  <si>
    <t>Moreno</t>
  </si>
  <si>
    <t>Diana</t>
  </si>
  <si>
    <t>Carolina</t>
  </si>
  <si>
    <t>CONTADOR</t>
  </si>
  <si>
    <t>dulc31987@hotmail.com</t>
  </si>
  <si>
    <t>Tarapuez</t>
  </si>
  <si>
    <t>Maritza</t>
  </si>
  <si>
    <t>liveftpz@gmail.com</t>
  </si>
  <si>
    <t>Martinez</t>
  </si>
  <si>
    <t>Andrade</t>
  </si>
  <si>
    <t>Anyi</t>
  </si>
  <si>
    <t>Gissela</t>
  </si>
  <si>
    <t>gisselamartinez44@gmail.com</t>
  </si>
  <si>
    <t>Timaran</t>
  </si>
  <si>
    <t>Guerrero</t>
  </si>
  <si>
    <t>Gabriel</t>
  </si>
  <si>
    <t>Esteban</t>
  </si>
  <si>
    <t xml:space="preserve">gabrielestebantimaran648@gmail.com </t>
  </si>
  <si>
    <t>EFECTY</t>
  </si>
  <si>
    <t>Coral</t>
  </si>
  <si>
    <t>Tobar</t>
  </si>
  <si>
    <t>Camila</t>
  </si>
  <si>
    <t>camilacoral298@gmail.com</t>
  </si>
  <si>
    <t>Obando</t>
  </si>
  <si>
    <t>TECNOLOGA EN RADIOLOGIA</t>
  </si>
  <si>
    <t>kami86201@hotmail.com</t>
  </si>
  <si>
    <t>Martha</t>
  </si>
  <si>
    <t>Yamile</t>
  </si>
  <si>
    <t xml:space="preserve">martha9895erazo@gmail.com </t>
  </si>
  <si>
    <t>Santacruz</t>
  </si>
  <si>
    <t>Jurado</t>
  </si>
  <si>
    <t>Yisell</t>
  </si>
  <si>
    <t>Fernanda1999jurado@gmail.com</t>
  </si>
  <si>
    <t>Pinta</t>
  </si>
  <si>
    <t>Meneses</t>
  </si>
  <si>
    <t>Angi</t>
  </si>
  <si>
    <t>angipinta13@gmail.com</t>
  </si>
  <si>
    <t>Fuelantala</t>
  </si>
  <si>
    <t>Chasoy</t>
  </si>
  <si>
    <t xml:space="preserve">Alejandrafuelantala@gmail.com </t>
  </si>
  <si>
    <t>14/1/2025-16/1/2025</t>
  </si>
  <si>
    <t>Manzano</t>
  </si>
  <si>
    <t>alejita2909@hotmail.com</t>
  </si>
  <si>
    <t>Mutis</t>
  </si>
  <si>
    <t>Mora</t>
  </si>
  <si>
    <t>Gatita95362@hotmail.com</t>
  </si>
  <si>
    <t>15/1/2025-17/1/2025</t>
  </si>
  <si>
    <t>Benavides</t>
  </si>
  <si>
    <t>Nefer</t>
  </si>
  <si>
    <t>Salima</t>
  </si>
  <si>
    <t>AUXILIAR DE LABORATORIO</t>
  </si>
  <si>
    <t xml:space="preserve">Neferbenavidesgomez@gmail.com </t>
  </si>
  <si>
    <t>Marulanda</t>
  </si>
  <si>
    <t>Giraldo</t>
  </si>
  <si>
    <t>Carlos</t>
  </si>
  <si>
    <t>Humberto</t>
  </si>
  <si>
    <t>AUXILIAR DE FARMACIA</t>
  </si>
  <si>
    <t>carlosmarulandagiraldo@hotmail.com</t>
  </si>
  <si>
    <t>Bacca</t>
  </si>
  <si>
    <t>Hernandez</t>
  </si>
  <si>
    <t>Ana</t>
  </si>
  <si>
    <t>ESTETICISTA</t>
  </si>
  <si>
    <t>Anagabrielahernadez451@gmail.com</t>
  </si>
  <si>
    <t>Ricaurte</t>
  </si>
  <si>
    <t>Lina</t>
  </si>
  <si>
    <t>Darlin</t>
  </si>
  <si>
    <t>Karine</t>
  </si>
  <si>
    <t>Cuaychar</t>
  </si>
  <si>
    <t>darlinmora504@gmail.com</t>
  </si>
  <si>
    <t>16/1/2025-17/1/2025</t>
  </si>
  <si>
    <t>MERCADERISTA</t>
  </si>
  <si>
    <t>linarivera486@gmail.com</t>
  </si>
  <si>
    <t>10/1/2025-17/1/2025</t>
  </si>
  <si>
    <t>Quenan</t>
  </si>
  <si>
    <t>Caipe</t>
  </si>
  <si>
    <t>Yenny</t>
  </si>
  <si>
    <t>AUXILIAR ADMINISTRATIVO</t>
  </si>
  <si>
    <t xml:space="preserve">phaola820@gmail.com </t>
  </si>
  <si>
    <t>Marcillo</t>
  </si>
  <si>
    <t>Karen</t>
  </si>
  <si>
    <t>17/1/2025-18/1/2025</t>
  </si>
  <si>
    <t>Chamorro</t>
  </si>
  <si>
    <t>Katerine</t>
  </si>
  <si>
    <t>GINECOLOGA</t>
  </si>
  <si>
    <t>kdanielahcha@outlook.com</t>
  </si>
  <si>
    <t>Cuastumal</t>
  </si>
  <si>
    <t>Ceballos</t>
  </si>
  <si>
    <t>Edison</t>
  </si>
  <si>
    <t>Felipe</t>
  </si>
  <si>
    <t xml:space="preserve">edisoncuastumal77@gmail.com </t>
  </si>
  <si>
    <t xml:space="preserve">Tabla </t>
  </si>
  <si>
    <t>Benitez</t>
  </si>
  <si>
    <t xml:space="preserve">Heiner </t>
  </si>
  <si>
    <t>Alexander</t>
  </si>
  <si>
    <t>Caja</t>
  </si>
  <si>
    <t xml:space="preserve">Portilla </t>
  </si>
  <si>
    <t xml:space="preserve">Pachajoa </t>
  </si>
  <si>
    <t>Natalia</t>
  </si>
  <si>
    <t>Julieth</t>
  </si>
  <si>
    <t>nataliaportilla.611@gmail.com</t>
  </si>
  <si>
    <t>Pastas</t>
  </si>
  <si>
    <t>Escobar</t>
  </si>
  <si>
    <t>Rosa</t>
  </si>
  <si>
    <t>Mery</t>
  </si>
  <si>
    <t xml:space="preserve">rosapastas99@gmail.com </t>
  </si>
  <si>
    <t>Ortega</t>
  </si>
  <si>
    <t>Lucia</t>
  </si>
  <si>
    <t>Margot</t>
  </si>
  <si>
    <t>LUIS PINTA</t>
  </si>
  <si>
    <t xml:space="preserve">bpaoguerrerort@hotmail.com </t>
  </si>
  <si>
    <t>Viveros</t>
  </si>
  <si>
    <t>Jesica</t>
  </si>
  <si>
    <t>Liliana</t>
  </si>
  <si>
    <t>TRABAJADORA SOCIAL</t>
  </si>
  <si>
    <t xml:space="preserve">carvavive100@gmail.com </t>
  </si>
  <si>
    <t>Pachajoa</t>
  </si>
  <si>
    <t>Potosi</t>
  </si>
  <si>
    <t>Edisson</t>
  </si>
  <si>
    <t>Armando</t>
  </si>
  <si>
    <t xml:space="preserve">edisonpacha17@gmail.com </t>
  </si>
  <si>
    <t>Ruiz</t>
  </si>
  <si>
    <t>Yela</t>
  </si>
  <si>
    <t>Maria Alicia</t>
  </si>
  <si>
    <t>danielary221@gmail.com</t>
  </si>
  <si>
    <t>Castro</t>
  </si>
  <si>
    <t>Achicanoy</t>
  </si>
  <si>
    <t>Patricia</t>
  </si>
  <si>
    <t xml:space="preserve">castroa380@gmail.com </t>
  </si>
  <si>
    <t>Clavijo</t>
  </si>
  <si>
    <t>Quetama</t>
  </si>
  <si>
    <t>Ingrid</t>
  </si>
  <si>
    <t xml:space="preserve">iale.psico97@gmail.com </t>
  </si>
  <si>
    <t>Quiroz</t>
  </si>
  <si>
    <t>Yohana</t>
  </si>
  <si>
    <t>PRIMER RESPONDIENTE</t>
  </si>
  <si>
    <t xml:space="preserve">yoha1342@gmail.com </t>
  </si>
  <si>
    <t>Ramirez</t>
  </si>
  <si>
    <t>Leguia</t>
  </si>
  <si>
    <t>Luz</t>
  </si>
  <si>
    <t xml:space="preserve">luzmeryramirezleguia@gmail.com </t>
  </si>
  <si>
    <t xml:space="preserve"> Heiner.a.tabla@gmail.com </t>
  </si>
  <si>
    <t>Comunicardor social</t>
  </si>
  <si>
    <t>Ibarra</t>
  </si>
  <si>
    <t>Katty</t>
  </si>
  <si>
    <t>Yolima</t>
  </si>
  <si>
    <t>kattyolima@hotmail.com</t>
  </si>
  <si>
    <t>Enyi</t>
  </si>
  <si>
    <t>Meloenyi244@gmail.com</t>
  </si>
  <si>
    <t>Hurtado</t>
  </si>
  <si>
    <t>Cantin</t>
  </si>
  <si>
    <t>anamcantin@hotmail.com</t>
  </si>
  <si>
    <t>Castillo</t>
  </si>
  <si>
    <t>Julio</t>
  </si>
  <si>
    <t>Cristian</t>
  </si>
  <si>
    <t>julioccantin@hotmail.com</t>
  </si>
  <si>
    <t>Manuel</t>
  </si>
  <si>
    <t>Fernando</t>
  </si>
  <si>
    <t>manuel.arboleda@hotmail.com</t>
  </si>
  <si>
    <t>Quintero</t>
  </si>
  <si>
    <t>Marquinez</t>
  </si>
  <si>
    <t>Graciela</t>
  </si>
  <si>
    <t>FONOAUDIOLOGA</t>
  </si>
  <si>
    <t>cheche.475@hotmail.com</t>
  </si>
  <si>
    <t>RENOVACION</t>
  </si>
  <si>
    <t>CAPACITACION</t>
  </si>
  <si>
    <t>Guerron</t>
  </si>
  <si>
    <t>Edilma</t>
  </si>
  <si>
    <t>edilmayela26@gmail.com</t>
  </si>
  <si>
    <t>Pasuy</t>
  </si>
  <si>
    <t>Leon</t>
  </si>
  <si>
    <t>David</t>
  </si>
  <si>
    <t>German</t>
  </si>
  <si>
    <t xml:space="preserve">dgerman33@gmail.com </t>
  </si>
  <si>
    <t>SEBAS</t>
  </si>
  <si>
    <t>CAMILO</t>
  </si>
  <si>
    <t>20/1/2025-</t>
  </si>
  <si>
    <t>Reyes</t>
  </si>
  <si>
    <t>Pazmiño</t>
  </si>
  <si>
    <t>Claudia</t>
  </si>
  <si>
    <t xml:space="preserve">reyespaz496@gmail.com </t>
  </si>
  <si>
    <t>Cuero</t>
  </si>
  <si>
    <t>Miladys</t>
  </si>
  <si>
    <t>Quiñones</t>
  </si>
  <si>
    <t>MANEJO DE HERIDAS</t>
  </si>
  <si>
    <t>miladyquinones292@gmail.com</t>
  </si>
  <si>
    <t>Paz</t>
  </si>
  <si>
    <t>Saavedra</t>
  </si>
  <si>
    <t>Hermes</t>
  </si>
  <si>
    <t>Ariel</t>
  </si>
  <si>
    <t>hermespaz11@hotmail.com</t>
  </si>
  <si>
    <t xml:space="preserve">dianacarolina0318@hotmail.com </t>
  </si>
  <si>
    <t>Madroñero</t>
  </si>
  <si>
    <t>Banda</t>
  </si>
  <si>
    <t>Paula</t>
  </si>
  <si>
    <t>Pauandre2580@gmail.com</t>
  </si>
  <si>
    <t>Angie</t>
  </si>
  <si>
    <t>Catherine</t>
  </si>
  <si>
    <t>angieportilla57@gmail.com</t>
  </si>
  <si>
    <t xml:space="preserve">marthamartinez98@outlookcom.ar </t>
  </si>
  <si>
    <t>DISTRIBUIDORA DE MED. BODEGA</t>
  </si>
  <si>
    <t xml:space="preserve">Santacruzpatrici@gmail.com </t>
  </si>
  <si>
    <t>Cadena</t>
  </si>
  <si>
    <t xml:space="preserve">alejandracadena2018@gmail.com </t>
  </si>
  <si>
    <t>Pianda</t>
  </si>
  <si>
    <t>Ascuntar</t>
  </si>
  <si>
    <t>Miladis</t>
  </si>
  <si>
    <t>Vanessa</t>
  </si>
  <si>
    <t xml:space="preserve">mipianda@umariana.edu.co </t>
  </si>
  <si>
    <t>Herrera</t>
  </si>
  <si>
    <t>Diaz</t>
  </si>
  <si>
    <t>Luis</t>
  </si>
  <si>
    <t>Menesessteven2014@outlook.com</t>
  </si>
  <si>
    <t>Isabella</t>
  </si>
  <si>
    <t>luiscahedi1992@gmail.com</t>
  </si>
  <si>
    <t>22/1/2025-23/1/2025</t>
  </si>
  <si>
    <t>22/01/2025-25/1/2025</t>
  </si>
  <si>
    <t>22/01/2025-23/1/2025</t>
  </si>
  <si>
    <t>NICO</t>
  </si>
  <si>
    <t>Cortes</t>
  </si>
  <si>
    <t>Olga</t>
  </si>
  <si>
    <t xml:space="preserve"> lucicortes78@gmail.com</t>
  </si>
  <si>
    <t>23/1/2025-</t>
  </si>
  <si>
    <t>Portilla</t>
  </si>
  <si>
    <t>Astrid</t>
  </si>
  <si>
    <t>Karina</t>
  </si>
  <si>
    <t>AUXILIAR ADMINISTRATIVO EN SALUD</t>
  </si>
  <si>
    <t xml:space="preserve">astridkarina1108@gmail.com </t>
  </si>
  <si>
    <t>Juajinoy</t>
  </si>
  <si>
    <t>Regalado</t>
  </si>
  <si>
    <t>Nathalia</t>
  </si>
  <si>
    <t>ADULTO</t>
  </si>
  <si>
    <t>ATENCION AL ADULTO MAYOR</t>
  </si>
  <si>
    <t>sofiajuajinoy99@gmail.com</t>
  </si>
  <si>
    <t>Santander</t>
  </si>
  <si>
    <t>Luisa</t>
  </si>
  <si>
    <t>luisaquintero1767@gmail.com</t>
  </si>
  <si>
    <t>Magda</t>
  </si>
  <si>
    <t>Rocio</t>
  </si>
  <si>
    <t xml:space="preserve">magdatimaran@gmail.com </t>
  </si>
  <si>
    <t>Moncayo</t>
  </si>
  <si>
    <t>Rojas</t>
  </si>
  <si>
    <t>Sonia</t>
  </si>
  <si>
    <t>Isabel</t>
  </si>
  <si>
    <t>MICROPIGMENTADORA</t>
  </si>
  <si>
    <t>17/01/2025-23/1/2025</t>
  </si>
  <si>
    <t>DEBE45</t>
  </si>
  <si>
    <t>Toro</t>
  </si>
  <si>
    <t>Tomas</t>
  </si>
  <si>
    <t>mfastorquiza2005@gmail.com</t>
  </si>
  <si>
    <t>Danilo</t>
  </si>
  <si>
    <t>Yecid</t>
  </si>
  <si>
    <t xml:space="preserve">dayeroo28@gmail.com </t>
  </si>
  <si>
    <t>Villota</t>
  </si>
  <si>
    <t>Guancha</t>
  </si>
  <si>
    <t>Sebastian</t>
  </si>
  <si>
    <t>ABOGADO</t>
  </si>
  <si>
    <t>gvillota98@gmail.com</t>
  </si>
  <si>
    <t>Montaño</t>
  </si>
  <si>
    <t>Salazar</t>
  </si>
  <si>
    <t>Amparo</t>
  </si>
  <si>
    <t>amparo19@outlook.es</t>
  </si>
  <si>
    <t xml:space="preserve">valer.osorio26@gmail.com </t>
  </si>
  <si>
    <t>Rondon</t>
  </si>
  <si>
    <t>Valeria</t>
  </si>
  <si>
    <t>Osorio</t>
  </si>
  <si>
    <t>Luna</t>
  </si>
  <si>
    <t>Miriam</t>
  </si>
  <si>
    <t>Lady</t>
  </si>
  <si>
    <t>FACTURACION</t>
  </si>
  <si>
    <t>milaguelu@gmail.com</t>
  </si>
  <si>
    <t>Alvarado</t>
  </si>
  <si>
    <t>Piaun</t>
  </si>
  <si>
    <t>Sthefania</t>
  </si>
  <si>
    <t xml:space="preserve">Daniiihamiiilton@gmail.com </t>
  </si>
  <si>
    <t>Bastidas</t>
  </si>
  <si>
    <t>Del Rosario</t>
  </si>
  <si>
    <t>ebastidas155@gmail.com</t>
  </si>
  <si>
    <t>Brigid</t>
  </si>
  <si>
    <t>erazo1998taty73@gmail.com</t>
  </si>
  <si>
    <t>Jojoa</t>
  </si>
  <si>
    <t>Chagueza</t>
  </si>
  <si>
    <t>Jhonier</t>
  </si>
  <si>
    <t>Andres</t>
  </si>
  <si>
    <t>Linares</t>
  </si>
  <si>
    <t xml:space="preserve">angiedaniela200203@gmail.com </t>
  </si>
  <si>
    <t>27/14/2025</t>
  </si>
  <si>
    <t>Raphaela</t>
  </si>
  <si>
    <t>Massiel</t>
  </si>
  <si>
    <t>DOCENTE</t>
  </si>
  <si>
    <t xml:space="preserve">teachermassiel@gmail.com </t>
  </si>
  <si>
    <t>CAJA/BANCOLOMBIA</t>
  </si>
  <si>
    <t>NEQUI/BANCOLOMBIA</t>
  </si>
  <si>
    <t>Alba</t>
  </si>
  <si>
    <t>Lorena</t>
  </si>
  <si>
    <t>AUXILIAR EN SALUD ORAL</t>
  </si>
  <si>
    <t>lorenha0607@hotmail.com</t>
  </si>
  <si>
    <t>Anderson</t>
  </si>
  <si>
    <t>Adolfo</t>
  </si>
  <si>
    <t xml:space="preserve">Narva8577@gmail.com </t>
  </si>
  <si>
    <t>Barcenas</t>
  </si>
  <si>
    <t>edison_mb@hotmail.com</t>
  </si>
  <si>
    <t>Ruano</t>
  </si>
  <si>
    <t>Enriquez</t>
  </si>
  <si>
    <t>leonruano18@gmail.com</t>
  </si>
  <si>
    <t>Yanety</t>
  </si>
  <si>
    <t>janety73@hotmail.com</t>
  </si>
  <si>
    <t>Pinza</t>
  </si>
  <si>
    <t>Lasso</t>
  </si>
  <si>
    <t>Dario</t>
  </si>
  <si>
    <t>Agreda</t>
  </si>
  <si>
    <t>Diego</t>
  </si>
  <si>
    <t>sgsst.formedical@gmail.com</t>
  </si>
  <si>
    <t>Anny</t>
  </si>
  <si>
    <t>Lisset</t>
  </si>
  <si>
    <t>TECNICO</t>
  </si>
  <si>
    <t>annyguevara_98@yahoo.es</t>
  </si>
  <si>
    <t>Segundo</t>
  </si>
  <si>
    <t>Tobias</t>
  </si>
  <si>
    <t>segundoarteaga@gmail.com</t>
  </si>
  <si>
    <t>Pinchao</t>
  </si>
  <si>
    <t>Erika</t>
  </si>
  <si>
    <t xml:space="preserve">nathicapin@gmail.com </t>
  </si>
  <si>
    <t>Lara</t>
  </si>
  <si>
    <t>Marcela</t>
  </si>
  <si>
    <t xml:space="preserve">tnarvaez408@gmail.com </t>
  </si>
  <si>
    <t>Miño</t>
  </si>
  <si>
    <t>Luciano</t>
  </si>
  <si>
    <t>Rafael</t>
  </si>
  <si>
    <t>lucianoperezm@gmail.com</t>
  </si>
  <si>
    <t>Vallejo</t>
  </si>
  <si>
    <t>dianacarove84@gmail.com</t>
  </si>
  <si>
    <t>Alarcon</t>
  </si>
  <si>
    <t>Alejandro</t>
  </si>
  <si>
    <t>Tecnologo</t>
  </si>
  <si>
    <t xml:space="preserve">alarc143@gmail.com </t>
  </si>
  <si>
    <t>Recalde</t>
  </si>
  <si>
    <t>Gimena</t>
  </si>
  <si>
    <t>ZOOTECNISTA</t>
  </si>
  <si>
    <t>clagiri8501@gmail.com</t>
  </si>
  <si>
    <t>Administrador de negocios internacionales</t>
  </si>
  <si>
    <t xml:space="preserve">Davidalarcon@hotmail.es </t>
  </si>
  <si>
    <t>asesoriascont.dg@gmail.com</t>
  </si>
  <si>
    <t>Sarasty</t>
  </si>
  <si>
    <t>INGENIERO INDUSTRIAL</t>
  </si>
  <si>
    <t xml:space="preserve">Ing.sarasty@gmail.com </t>
  </si>
  <si>
    <t>Arciniegas</t>
  </si>
  <si>
    <t>Katheryn</t>
  </si>
  <si>
    <t>Brigitte</t>
  </si>
  <si>
    <t xml:space="preserve">ktarciniegas@gmail.com </t>
  </si>
  <si>
    <t>ADMINISTRADORA PUBLICA</t>
  </si>
  <si>
    <t>28/01/2025/29/1/2025</t>
  </si>
  <si>
    <t>Mirta</t>
  </si>
  <si>
    <t>mirta.sarita82@hotmail.com</t>
  </si>
  <si>
    <t>Angulo</t>
  </si>
  <si>
    <t>Wanda</t>
  </si>
  <si>
    <t>wandae93@hotmail.com</t>
  </si>
  <si>
    <t>mariapmeza81@hotmail.com</t>
  </si>
  <si>
    <t>Cruz</t>
  </si>
  <si>
    <t>Camilo</t>
  </si>
  <si>
    <t xml:space="preserve">camilorosero108@gmail.com </t>
  </si>
  <si>
    <t>ORIGEN</t>
  </si>
  <si>
    <t>Galindez</t>
  </si>
  <si>
    <t>Viviana</t>
  </si>
  <si>
    <t>anyigalindez01@gmail.com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</si>
</sst>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</numFmts>
  <fonts count="7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0">
    <xf numFmtId="0" fontId="0" fillId="0" borderId="0" xfId="0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2" borderId="0" xfId="1" applyNumberFormat="1" applyFont="1" applyFill="1" applyBorder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2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2" borderId="1" xfId="2" applyNumberFormat="1" applyFont="1" applyFill="1" applyBorder="1" applyAlignment="1" applyProtection="1">
      <alignment horizontal="center" vertical="center"/>
      <protection locked="0"/>
    </xf>
    <xf numFmtId="164" fontId="2" fillId="2" borderId="1" xfId="1" applyNumberFormat="1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5" fillId="2" borderId="1" xfId="1" applyNumberFormat="1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2" borderId="1" xfId="3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4" fontId="6" fillId="2" borderId="1" xfId="1" applyNumberFormat="1" applyFont="1" applyFill="1" applyBorder="1" applyAlignment="1">
      <alignment horizontal="center" vertical="center"/>
    </xf>
    <xf numFmtId="164" fontId="6" fillId="2" borderId="1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" fontId="5" fillId="2" borderId="4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4" fontId="5" fillId="2" borderId="4" xfId="0" applyNumberFormat="1" applyFont="1" applyFill="1" applyBorder="1" applyAlignment="1">
      <alignment horizontal="center" vertical="center"/>
    </xf>
    <xf numFmtId="14" fontId="5" fillId="2" borderId="4" xfId="1" applyNumberFormat="1" applyFont="1" applyFill="1" applyBorder="1" applyAlignment="1">
      <alignment horizontal="center" vertical="center"/>
    </xf>
    <xf numFmtId="164" fontId="5" fillId="2" borderId="4" xfId="1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 vertical="center"/>
    </xf>
    <xf numFmtId="0" fontId="5" fillId="2" borderId="4" xfId="3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14" fontId="5" fillId="2" borderId="1" xfId="1" applyNumberFormat="1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4" fontId="5" fillId="2" borderId="4" xfId="0" applyNumberFormat="1" applyFont="1" applyFill="1" applyBorder="1" applyAlignment="1">
      <alignment horizontal="center" vertical="center" wrapText="1"/>
    </xf>
    <xf numFmtId="14" fontId="5" fillId="2" borderId="4" xfId="1" applyNumberFormat="1" applyFont="1" applyFill="1" applyBorder="1" applyAlignment="1">
      <alignment horizontal="center" vertical="center" wrapText="1"/>
    </xf>
    <xf numFmtId="164" fontId="5" fillId="2" borderId="4" xfId="0" applyNumberFormat="1" applyFont="1" applyFill="1" applyBorder="1" applyAlignment="1">
      <alignment horizontal="center" vertical="center" wrapText="1"/>
    </xf>
    <xf numFmtId="0" fontId="5" fillId="2" borderId="4" xfId="3" applyFont="1" applyFill="1" applyBorder="1" applyAlignment="1">
      <alignment horizontal="center" vertical="center" wrapText="1"/>
    </xf>
    <xf numFmtId="0" fontId="5" fillId="2" borderId="0" xfId="3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4" fillId="2" borderId="0" xfId="3" applyNumberFormat="1" applyFill="1" applyBorder="1" applyAlignment="1">
      <alignment horizontal="center" vertical="center"/>
    </xf>
    <xf numFmtId="0" fontId="4" fillId="2" borderId="1" xfId="3" applyNumberFormat="1" applyFill="1" applyBorder="1" applyAlignment="1">
      <alignment horizontal="center" vertical="center"/>
    </xf>
    <xf numFmtId="0" fontId="5" fillId="2" borderId="4" xfId="3" applyNumberFormat="1" applyFont="1" applyFill="1" applyBorder="1" applyAlignment="1">
      <alignment horizontal="center" vertical="center"/>
    </xf>
    <xf numFmtId="0" fontId="4" fillId="2" borderId="4" xfId="3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4" fontId="5" fillId="5" borderId="1" xfId="1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164" fontId="5" fillId="5" borderId="1" xfId="1" applyNumberFormat="1" applyFont="1" applyFill="1" applyBorder="1" applyAlignment="1">
      <alignment horizontal="center" vertic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MEDIC@" TargetMode="External"/><Relationship Id="rId21" Type="http://schemas.openxmlformats.org/officeDocument/2006/relationships/hyperlink" Target="mailto:gisselamartinez44@gmail.com" TargetMode="External"/><Relationship Id="rId42" Type="http://schemas.openxmlformats.org/officeDocument/2006/relationships/hyperlink" Target="mailto:MEDIC@" TargetMode="External"/><Relationship Id="rId63" Type="http://schemas.openxmlformats.org/officeDocument/2006/relationships/hyperlink" Target="mailto:MEDIC@" TargetMode="External"/><Relationship Id="rId84" Type="http://schemas.openxmlformats.org/officeDocument/2006/relationships/hyperlink" Target="mailto:PSICOLOG@" TargetMode="External"/><Relationship Id="rId138" Type="http://schemas.openxmlformats.org/officeDocument/2006/relationships/hyperlink" Target="mailto:MEDIC@" TargetMode="External"/><Relationship Id="rId107" Type="http://schemas.openxmlformats.org/officeDocument/2006/relationships/hyperlink" Target="mailto:PSICOLOG@" TargetMode="External"/><Relationship Id="rId11" Type="http://schemas.openxmlformats.org/officeDocument/2006/relationships/hyperlink" Target="mailto:PSICOLOG@" TargetMode="External"/><Relationship Id="rId32" Type="http://schemas.openxmlformats.org/officeDocument/2006/relationships/hyperlink" Target="mailto:MEDIC@" TargetMode="External"/><Relationship Id="rId53" Type="http://schemas.openxmlformats.org/officeDocument/2006/relationships/hyperlink" Target="mailto:sofiajuajinoy99@gmail.com" TargetMode="External"/><Relationship Id="rId74" Type="http://schemas.openxmlformats.org/officeDocument/2006/relationships/hyperlink" Target="mailto:MEDIC@" TargetMode="External"/><Relationship Id="rId128" Type="http://schemas.openxmlformats.org/officeDocument/2006/relationships/hyperlink" Target="mailto:sofiajuajinoy99@gmail.com" TargetMode="External"/><Relationship Id="rId149" Type="http://schemas.openxmlformats.org/officeDocument/2006/relationships/printerSettings" Target="../printerSettings/printerSettings1.bin"/><Relationship Id="rId5" Type="http://schemas.openxmlformats.org/officeDocument/2006/relationships/hyperlink" Target="mailto:MEDIC@" TargetMode="External"/><Relationship Id="rId95" Type="http://schemas.openxmlformats.org/officeDocument/2006/relationships/hyperlink" Target="mailto:gisselamartinez44@gmail.com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MEDIC@" TargetMode="External"/><Relationship Id="rId43" Type="http://schemas.openxmlformats.org/officeDocument/2006/relationships/hyperlink" Target="mailto:MEDIC@" TargetMode="External"/><Relationship Id="rId48" Type="http://schemas.openxmlformats.org/officeDocument/2006/relationships/hyperlink" Target="mailto:PSICOLOG@" TargetMode="External"/><Relationship Id="rId64" Type="http://schemas.openxmlformats.org/officeDocument/2006/relationships/hyperlink" Target="mailto:MEDIC@" TargetMode="External"/><Relationship Id="rId69" Type="http://schemas.openxmlformats.org/officeDocument/2006/relationships/hyperlink" Target="mailto:PSICOLOG@" TargetMode="External"/><Relationship Id="rId113" Type="http://schemas.openxmlformats.org/officeDocument/2006/relationships/hyperlink" Target="mailto:PSICOLOG@" TargetMode="External"/><Relationship Id="rId118" Type="http://schemas.openxmlformats.org/officeDocument/2006/relationships/hyperlink" Target="mailto:MEDIC@" TargetMode="External"/><Relationship Id="rId134" Type="http://schemas.openxmlformats.org/officeDocument/2006/relationships/hyperlink" Target="mailto:MEDIC@" TargetMode="External"/><Relationship Id="rId139" Type="http://schemas.openxmlformats.org/officeDocument/2006/relationships/hyperlink" Target="mailto:MEDIC@" TargetMode="External"/><Relationship Id="rId80" Type="http://schemas.openxmlformats.org/officeDocument/2006/relationships/hyperlink" Target="mailto:carmenyolydelgado@gmail.com" TargetMode="External"/><Relationship Id="rId85" Type="http://schemas.openxmlformats.org/officeDocument/2006/relationships/hyperlink" Target="mailto:PSICOLOG@" TargetMode="External"/><Relationship Id="rId12" Type="http://schemas.openxmlformats.org/officeDocument/2006/relationships/hyperlink" Target="mailto:PSICOLOG@" TargetMode="External"/><Relationship Id="rId17" Type="http://schemas.openxmlformats.org/officeDocument/2006/relationships/hyperlink" Target="mailto:PSICOLOG@" TargetMode="External"/><Relationship Id="rId33" Type="http://schemas.openxmlformats.org/officeDocument/2006/relationships/hyperlink" Target="mailto:PSICOLOG@" TargetMode="External"/><Relationship Id="rId38" Type="http://schemas.openxmlformats.org/officeDocument/2006/relationships/hyperlink" Target="mailto:PSICOLOG@" TargetMode="External"/><Relationship Id="rId59" Type="http://schemas.openxmlformats.org/officeDocument/2006/relationships/hyperlink" Target="mailto:MEDIC@" TargetMode="External"/><Relationship Id="rId103" Type="http://schemas.openxmlformats.org/officeDocument/2006/relationships/hyperlink" Target="mailto:MEDIC@" TargetMode="External"/><Relationship Id="rId108" Type="http://schemas.openxmlformats.org/officeDocument/2006/relationships/hyperlink" Target="mailto:PSICOLOG@" TargetMode="External"/><Relationship Id="rId124" Type="http://schemas.openxmlformats.org/officeDocument/2006/relationships/hyperlink" Target="mailto:MEDIC@" TargetMode="External"/><Relationship Id="rId129" Type="http://schemas.openxmlformats.org/officeDocument/2006/relationships/hyperlink" Target="mailto:sofiajuajinoy99@gmail.com" TargetMode="External"/><Relationship Id="rId54" Type="http://schemas.openxmlformats.org/officeDocument/2006/relationships/hyperlink" Target="mailto:sofiajuajinoy99@gmail.com" TargetMode="External"/><Relationship Id="rId70" Type="http://schemas.openxmlformats.org/officeDocument/2006/relationships/hyperlink" Target="mailto:MEDIC@" TargetMode="External"/><Relationship Id="rId75" Type="http://schemas.openxmlformats.org/officeDocument/2006/relationships/hyperlink" Target="mailto:luiscruzy@gmail.com" TargetMode="External"/><Relationship Id="rId91" Type="http://schemas.openxmlformats.org/officeDocument/2006/relationships/hyperlink" Target="mailto:PSICOLOG@" TargetMode="External"/><Relationship Id="rId96" Type="http://schemas.openxmlformats.org/officeDocument/2006/relationships/hyperlink" Target="mailto:MEDIC@" TargetMode="External"/><Relationship Id="rId140" Type="http://schemas.openxmlformats.org/officeDocument/2006/relationships/hyperlink" Target="mailto:MEDIC@" TargetMode="External"/><Relationship Id="rId145" Type="http://schemas.openxmlformats.org/officeDocument/2006/relationships/hyperlink" Target="mailto:MEDIC@" TargetMode="External"/><Relationship Id="rId1" Type="http://schemas.openxmlformats.org/officeDocument/2006/relationships/hyperlink" Target="mailto:luiscruzy@gmail.com" TargetMode="External"/><Relationship Id="rId6" Type="http://schemas.openxmlformats.org/officeDocument/2006/relationships/hyperlink" Target="mailto:carmenyolydelgado@gmail.com" TargetMode="External"/><Relationship Id="rId23" Type="http://schemas.openxmlformats.org/officeDocument/2006/relationships/hyperlink" Target="mailto:bpaoguerrerort@hotmail.com" TargetMode="External"/><Relationship Id="rId28" Type="http://schemas.openxmlformats.org/officeDocument/2006/relationships/hyperlink" Target="mailto:MEDIC@" TargetMode="External"/><Relationship Id="rId49" Type="http://schemas.openxmlformats.org/officeDocument/2006/relationships/hyperlink" Target="mailto:Pauandre2580@gmail.com" TargetMode="External"/><Relationship Id="rId114" Type="http://schemas.openxmlformats.org/officeDocument/2006/relationships/hyperlink" Target="mailto:PSICOLOG@" TargetMode="External"/><Relationship Id="rId119" Type="http://schemas.openxmlformats.org/officeDocument/2006/relationships/hyperlink" Target="mailto:MEDIC@" TargetMode="External"/><Relationship Id="rId44" Type="http://schemas.openxmlformats.org/officeDocument/2006/relationships/hyperlink" Target="mailto:MEDIC@" TargetMode="External"/><Relationship Id="rId60" Type="http://schemas.openxmlformats.org/officeDocument/2006/relationships/hyperlink" Target="mailto:MEDIC@" TargetMode="External"/><Relationship Id="rId65" Type="http://schemas.openxmlformats.org/officeDocument/2006/relationships/hyperlink" Target="mailto:MEDIC@" TargetMode="External"/><Relationship Id="rId81" Type="http://schemas.openxmlformats.org/officeDocument/2006/relationships/hyperlink" Target="mailto:carmenyolydelgado@gmail.com" TargetMode="External"/><Relationship Id="rId86" Type="http://schemas.openxmlformats.org/officeDocument/2006/relationships/hyperlink" Target="mailto:PSICOLOG@" TargetMode="External"/><Relationship Id="rId130" Type="http://schemas.openxmlformats.org/officeDocument/2006/relationships/hyperlink" Target="mailto:sofiajuajinoy99@gmail.com" TargetMode="External"/><Relationship Id="rId135" Type="http://schemas.openxmlformats.org/officeDocument/2006/relationships/hyperlink" Target="mailto:MEDIC@" TargetMode="External"/><Relationship Id="rId13" Type="http://schemas.openxmlformats.org/officeDocument/2006/relationships/hyperlink" Target="mailto:PSICOLOG@" TargetMode="External"/><Relationship Id="rId18" Type="http://schemas.openxmlformats.org/officeDocument/2006/relationships/hyperlink" Target="mailto:PSICOLOG@" TargetMode="External"/><Relationship Id="rId39" Type="http://schemas.openxmlformats.org/officeDocument/2006/relationships/hyperlink" Target="mailto:PSICOLOG@" TargetMode="External"/><Relationship Id="rId109" Type="http://schemas.openxmlformats.org/officeDocument/2006/relationships/hyperlink" Target="mailto:PSICOLOG@" TargetMode="External"/><Relationship Id="rId34" Type="http://schemas.openxmlformats.org/officeDocument/2006/relationships/hyperlink" Target="mailto:PSICOLOG@" TargetMode="External"/><Relationship Id="rId50" Type="http://schemas.openxmlformats.org/officeDocument/2006/relationships/hyperlink" Target="mailto:MEDIC@" TargetMode="External"/><Relationship Id="rId55" Type="http://schemas.openxmlformats.org/officeDocument/2006/relationships/hyperlink" Target="mailto:sofiajuajinoy99@gmail.com" TargetMode="External"/><Relationship Id="rId76" Type="http://schemas.openxmlformats.org/officeDocument/2006/relationships/hyperlink" Target="mailto:luiscruzy@gmail.com" TargetMode="External"/><Relationship Id="rId97" Type="http://schemas.openxmlformats.org/officeDocument/2006/relationships/hyperlink" Target="mailto:bpaoguerrerort@hotmail.com" TargetMode="External"/><Relationship Id="rId104" Type="http://schemas.openxmlformats.org/officeDocument/2006/relationships/hyperlink" Target="mailto:MEDIC@" TargetMode="External"/><Relationship Id="rId120" Type="http://schemas.openxmlformats.org/officeDocument/2006/relationships/hyperlink" Target="mailto:MEDIC@" TargetMode="External"/><Relationship Id="rId125" Type="http://schemas.openxmlformats.org/officeDocument/2006/relationships/hyperlink" Target="mailto:MEDIC@" TargetMode="External"/><Relationship Id="rId141" Type="http://schemas.openxmlformats.org/officeDocument/2006/relationships/hyperlink" Target="mailto:MEDIC@" TargetMode="External"/><Relationship Id="rId146" Type="http://schemas.openxmlformats.org/officeDocument/2006/relationships/hyperlink" Target="mailto:MEDIC@" TargetMode="External"/><Relationship Id="rId7" Type="http://schemas.openxmlformats.org/officeDocument/2006/relationships/hyperlink" Target="mailto:carmenyolydelgado@gmail.com" TargetMode="External"/><Relationship Id="rId71" Type="http://schemas.openxmlformats.org/officeDocument/2006/relationships/hyperlink" Target="mailto:MEDIC@" TargetMode="External"/><Relationship Id="rId92" Type="http://schemas.openxmlformats.org/officeDocument/2006/relationships/hyperlink" Target="mailto:PSICOLOG@" TargetMode="External"/><Relationship Id="rId2" Type="http://schemas.openxmlformats.org/officeDocument/2006/relationships/hyperlink" Target="mailto:luiscruzy@gmail.com" TargetMode="External"/><Relationship Id="rId29" Type="http://schemas.openxmlformats.org/officeDocument/2006/relationships/hyperlink" Target="mailto:MEDIC@" TargetMode="External"/><Relationship Id="rId24" Type="http://schemas.openxmlformats.org/officeDocument/2006/relationships/hyperlink" Target="mailto:MEDIC@" TargetMode="External"/><Relationship Id="rId40" Type="http://schemas.openxmlformats.org/officeDocument/2006/relationships/hyperlink" Target="mailto:PSICOLOG@" TargetMode="External"/><Relationship Id="rId45" Type="http://schemas.openxmlformats.org/officeDocument/2006/relationships/hyperlink" Target="mailto:MEDIC@" TargetMode="External"/><Relationship Id="rId66" Type="http://schemas.openxmlformats.org/officeDocument/2006/relationships/hyperlink" Target="mailto:MEDIC@" TargetMode="External"/><Relationship Id="rId87" Type="http://schemas.openxmlformats.org/officeDocument/2006/relationships/hyperlink" Target="mailto:PSICOLOG@" TargetMode="External"/><Relationship Id="rId110" Type="http://schemas.openxmlformats.org/officeDocument/2006/relationships/hyperlink" Target="mailto:PSICOLOG@" TargetMode="External"/><Relationship Id="rId115" Type="http://schemas.openxmlformats.org/officeDocument/2006/relationships/hyperlink" Target="mailto:MEDIC@" TargetMode="External"/><Relationship Id="rId131" Type="http://schemas.openxmlformats.org/officeDocument/2006/relationships/hyperlink" Target="mailto:sofiajuajinoy99@gmail.com" TargetMode="External"/><Relationship Id="rId136" Type="http://schemas.openxmlformats.org/officeDocument/2006/relationships/hyperlink" Target="mailto:MEDIC@" TargetMode="External"/><Relationship Id="rId61" Type="http://schemas.openxmlformats.org/officeDocument/2006/relationships/hyperlink" Target="mailto:MEDIC@" TargetMode="External"/><Relationship Id="rId82" Type="http://schemas.openxmlformats.org/officeDocument/2006/relationships/hyperlink" Target="mailto:MEDIC@" TargetMode="External"/><Relationship Id="rId19" Type="http://schemas.openxmlformats.org/officeDocument/2006/relationships/hyperlink" Target="mailto:gisselamartinez44@gmail.com" TargetMode="External"/><Relationship Id="rId14" Type="http://schemas.openxmlformats.org/officeDocument/2006/relationships/hyperlink" Target="mailto:PSICOLOG@" TargetMode="External"/><Relationship Id="rId30" Type="http://schemas.openxmlformats.org/officeDocument/2006/relationships/hyperlink" Target="mailto:MEDIC@" TargetMode="External"/><Relationship Id="rId35" Type="http://schemas.openxmlformats.org/officeDocument/2006/relationships/hyperlink" Target="mailto:PSICOLOG@" TargetMode="External"/><Relationship Id="rId56" Type="http://schemas.openxmlformats.org/officeDocument/2006/relationships/hyperlink" Target="mailto:sofiajuajinoy99@gmail.com" TargetMode="External"/><Relationship Id="rId77" Type="http://schemas.openxmlformats.org/officeDocument/2006/relationships/hyperlink" Target="mailto:wilsonalira@gmail.com" TargetMode="External"/><Relationship Id="rId100" Type="http://schemas.openxmlformats.org/officeDocument/2006/relationships/hyperlink" Target="mailto:MEDIC@" TargetMode="External"/><Relationship Id="rId105" Type="http://schemas.openxmlformats.org/officeDocument/2006/relationships/hyperlink" Target="mailto:MEDIC@" TargetMode="External"/><Relationship Id="rId126" Type="http://schemas.openxmlformats.org/officeDocument/2006/relationships/hyperlink" Target="mailto:sofiajuajinoy99@gmail.com" TargetMode="External"/><Relationship Id="rId147" Type="http://schemas.openxmlformats.org/officeDocument/2006/relationships/hyperlink" Target="mailto:MEDIC@" TargetMode="External"/><Relationship Id="rId8" Type="http://schemas.openxmlformats.org/officeDocument/2006/relationships/hyperlink" Target="mailto:MEDIC@" TargetMode="External"/><Relationship Id="rId51" Type="http://schemas.openxmlformats.org/officeDocument/2006/relationships/hyperlink" Target="mailto:MEDIC@" TargetMode="External"/><Relationship Id="rId72" Type="http://schemas.openxmlformats.org/officeDocument/2006/relationships/hyperlink" Target="mailto:MEDIC@" TargetMode="External"/><Relationship Id="rId93" Type="http://schemas.openxmlformats.org/officeDocument/2006/relationships/hyperlink" Target="mailto:gisselamartinez44@gmail.com" TargetMode="External"/><Relationship Id="rId98" Type="http://schemas.openxmlformats.org/officeDocument/2006/relationships/hyperlink" Target="mailto:MEDIC@" TargetMode="External"/><Relationship Id="rId121" Type="http://schemas.openxmlformats.org/officeDocument/2006/relationships/hyperlink" Target="mailto:MEDIC@" TargetMode="External"/><Relationship Id="rId142" Type="http://schemas.openxmlformats.org/officeDocument/2006/relationships/hyperlink" Target="mailto:MEDIC@" TargetMode="External"/><Relationship Id="rId3" Type="http://schemas.openxmlformats.org/officeDocument/2006/relationships/hyperlink" Target="mailto:wilsonalira@gmail.com" TargetMode="External"/><Relationship Id="rId25" Type="http://schemas.openxmlformats.org/officeDocument/2006/relationships/hyperlink" Target="mailto:MEDIC@" TargetMode="External"/><Relationship Id="rId46" Type="http://schemas.openxmlformats.org/officeDocument/2006/relationships/hyperlink" Target="mailto:MEDIC@" TargetMode="External"/><Relationship Id="rId67" Type="http://schemas.openxmlformats.org/officeDocument/2006/relationships/hyperlink" Target="mailto:MEDIC@" TargetMode="External"/><Relationship Id="rId116" Type="http://schemas.openxmlformats.org/officeDocument/2006/relationships/hyperlink" Target="mailto:MEDIC@" TargetMode="External"/><Relationship Id="rId137" Type="http://schemas.openxmlformats.org/officeDocument/2006/relationships/hyperlink" Target="mailto:MEDIC@" TargetMode="External"/><Relationship Id="rId20" Type="http://schemas.openxmlformats.org/officeDocument/2006/relationships/hyperlink" Target="mailto:PSICOLOG@" TargetMode="External"/><Relationship Id="rId41" Type="http://schemas.openxmlformats.org/officeDocument/2006/relationships/hyperlink" Target="mailto:MEDIC@" TargetMode="External"/><Relationship Id="rId62" Type="http://schemas.openxmlformats.org/officeDocument/2006/relationships/hyperlink" Target="mailto:MEDIC@" TargetMode="External"/><Relationship Id="rId83" Type="http://schemas.openxmlformats.org/officeDocument/2006/relationships/hyperlink" Target="mailto:Yulianaayiceth@gmail.com" TargetMode="External"/><Relationship Id="rId88" Type="http://schemas.openxmlformats.org/officeDocument/2006/relationships/hyperlink" Target="mailto:PSICOLOG@" TargetMode="External"/><Relationship Id="rId111" Type="http://schemas.openxmlformats.org/officeDocument/2006/relationships/hyperlink" Target="mailto:PSICOLOG@" TargetMode="External"/><Relationship Id="rId132" Type="http://schemas.openxmlformats.org/officeDocument/2006/relationships/hyperlink" Target="mailto:sofiajuajinoy99@gmail.com" TargetMode="External"/><Relationship Id="rId15" Type="http://schemas.openxmlformats.org/officeDocument/2006/relationships/hyperlink" Target="mailto:PSICOLOG@" TargetMode="External"/><Relationship Id="rId36" Type="http://schemas.openxmlformats.org/officeDocument/2006/relationships/hyperlink" Target="mailto:PSICOLOG@" TargetMode="External"/><Relationship Id="rId57" Type="http://schemas.openxmlformats.org/officeDocument/2006/relationships/hyperlink" Target="mailto:sofiajuajinoy99@gmail.com" TargetMode="External"/><Relationship Id="rId106" Type="http://schemas.openxmlformats.org/officeDocument/2006/relationships/hyperlink" Target="mailto:MEDIC@" TargetMode="External"/><Relationship Id="rId127" Type="http://schemas.openxmlformats.org/officeDocument/2006/relationships/hyperlink" Target="mailto:sofiajuajinoy99@gmail.com" TargetMode="External"/><Relationship Id="rId10" Type="http://schemas.openxmlformats.org/officeDocument/2006/relationships/hyperlink" Target="mailto:PSICOLOG@" TargetMode="External"/><Relationship Id="rId31" Type="http://schemas.openxmlformats.org/officeDocument/2006/relationships/hyperlink" Target="mailto:MEDIC@" TargetMode="External"/><Relationship Id="rId52" Type="http://schemas.openxmlformats.org/officeDocument/2006/relationships/hyperlink" Target="mailto:sofiajuajinoy99@gmail.com" TargetMode="External"/><Relationship Id="rId73" Type="http://schemas.openxmlformats.org/officeDocument/2006/relationships/hyperlink" Target="mailto:MEDIC@" TargetMode="External"/><Relationship Id="rId78" Type="http://schemas.openxmlformats.org/officeDocument/2006/relationships/hyperlink" Target="mailto:wilsonalira@gmail.com" TargetMode="External"/><Relationship Id="rId94" Type="http://schemas.openxmlformats.org/officeDocument/2006/relationships/hyperlink" Target="mailto:PSICOLOG@" TargetMode="External"/><Relationship Id="rId99" Type="http://schemas.openxmlformats.org/officeDocument/2006/relationships/hyperlink" Target="mailto:MEDIC@" TargetMode="External"/><Relationship Id="rId101" Type="http://schemas.openxmlformats.org/officeDocument/2006/relationships/hyperlink" Target="mailto:MEDIC@" TargetMode="External"/><Relationship Id="rId122" Type="http://schemas.openxmlformats.org/officeDocument/2006/relationships/hyperlink" Target="mailto:PSICOLOG@" TargetMode="External"/><Relationship Id="rId143" Type="http://schemas.openxmlformats.org/officeDocument/2006/relationships/hyperlink" Target="mailto:PSICOLOG@" TargetMode="External"/><Relationship Id="rId148" Type="http://schemas.openxmlformats.org/officeDocument/2006/relationships/hyperlink" Target="mailto:MEDIC@" TargetMode="External"/><Relationship Id="rId4" Type="http://schemas.openxmlformats.org/officeDocument/2006/relationships/hyperlink" Target="mailto:wilsonalira@gmail.com" TargetMode="External"/><Relationship Id="rId9" Type="http://schemas.openxmlformats.org/officeDocument/2006/relationships/hyperlink" Target="mailto:Yulianaayiceth@gmail.com" TargetMode="External"/><Relationship Id="rId26" Type="http://schemas.openxmlformats.org/officeDocument/2006/relationships/hyperlink" Target="mailto:MEDIC@" TargetMode="External"/><Relationship Id="rId47" Type="http://schemas.openxmlformats.org/officeDocument/2006/relationships/hyperlink" Target="mailto:MEDIC@" TargetMode="External"/><Relationship Id="rId68" Type="http://schemas.openxmlformats.org/officeDocument/2006/relationships/hyperlink" Target="mailto:MEDIC@" TargetMode="External"/><Relationship Id="rId89" Type="http://schemas.openxmlformats.org/officeDocument/2006/relationships/hyperlink" Target="mailto:PSICOLOG@" TargetMode="External"/><Relationship Id="rId112" Type="http://schemas.openxmlformats.org/officeDocument/2006/relationships/hyperlink" Target="mailto:PSICOLOG@" TargetMode="External"/><Relationship Id="rId133" Type="http://schemas.openxmlformats.org/officeDocument/2006/relationships/hyperlink" Target="mailto:MEDIC@" TargetMode="External"/><Relationship Id="rId16" Type="http://schemas.openxmlformats.org/officeDocument/2006/relationships/hyperlink" Target="mailto:PSICOLOG@" TargetMode="External"/><Relationship Id="rId37" Type="http://schemas.openxmlformats.org/officeDocument/2006/relationships/hyperlink" Target="mailto:PSICOLOG@" TargetMode="External"/><Relationship Id="rId58" Type="http://schemas.openxmlformats.org/officeDocument/2006/relationships/hyperlink" Target="mailto:sofiajuajinoy99@gmail.com" TargetMode="External"/><Relationship Id="rId79" Type="http://schemas.openxmlformats.org/officeDocument/2006/relationships/hyperlink" Target="mailto:MEDIC@" TargetMode="External"/><Relationship Id="rId102" Type="http://schemas.openxmlformats.org/officeDocument/2006/relationships/hyperlink" Target="mailto:MEDIC@" TargetMode="External"/><Relationship Id="rId123" Type="http://schemas.openxmlformats.org/officeDocument/2006/relationships/hyperlink" Target="mailto:Pauandre2580@gmail.com" TargetMode="External"/><Relationship Id="rId144" Type="http://schemas.openxmlformats.org/officeDocument/2006/relationships/hyperlink" Target="mailto:MEDIC@" TargetMode="External"/><Relationship Id="rId90" Type="http://schemas.openxmlformats.org/officeDocument/2006/relationships/hyperlink" Target="mailto:PSICOLOG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48574"/>
  <sheetViews>
    <sheetView tabSelected="1" zoomScale="50" zoomScaleNormal="50" workbookViewId="0">
      <pane xSplit="1" ySplit="1" topLeftCell="C207" activePane="bottomRight" state="frozen"/>
      <selection pane="topRight"/>
      <selection pane="bottomLeft"/>
      <selection pane="bottomRight" activeCell="L260" sqref="L260"/>
    </sheetView>
  </sheetViews>
  <sheetFormatPr baseColWidth="10" defaultRowHeight="15" x14ac:dyDescent="0.2"/>
  <cols>
    <col min="1" max="1" width="4.77734375" style="2" customWidth="1"/>
    <col min="2" max="2" width="34.5546875" style="2" bestFit="1" customWidth="1"/>
    <col min="3" max="3" width="21.44140625" style="2" bestFit="1" customWidth="1"/>
    <col min="4" max="4" width="23.44140625" style="2" bestFit="1" customWidth="1"/>
    <col min="5" max="5" width="20.77734375" style="2" bestFit="1" customWidth="1"/>
    <col min="6" max="6" width="22.77734375" style="2" bestFit="1" customWidth="1"/>
    <col min="7" max="7" width="5.6640625" style="2" bestFit="1" customWidth="1"/>
    <col min="8" max="8" width="10.5546875" style="2" bestFit="1" customWidth="1"/>
    <col min="9" max="9" width="15.21875" style="2" bestFit="1" customWidth="1"/>
    <col min="10" max="10" width="15.21875" style="2" customWidth="1"/>
    <col min="11" max="11" width="20.33203125" style="4" bestFit="1" customWidth="1"/>
    <col min="12" max="12" width="22.33203125" style="5" bestFit="1" customWidth="1"/>
    <col min="13" max="13" width="21" style="2" bestFit="1" customWidth="1"/>
    <col min="14" max="14" width="12.109375" style="2" bestFit="1" customWidth="1"/>
    <col min="15" max="15" width="17.44140625" style="2" bestFit="1" customWidth="1"/>
    <col min="16" max="16" width="29.44140625" style="2" bestFit="1" customWidth="1"/>
    <col min="17" max="17" width="27.44140625" style="2" bestFit="1" customWidth="1"/>
    <col min="18" max="18" width="10.77734375" style="2" bestFit="1" customWidth="1"/>
    <col min="19" max="19" width="39.44140625" style="2" bestFit="1" customWidth="1"/>
    <col min="20" max="20" width="13.6640625" style="2" bestFit="1" customWidth="1"/>
    <col min="21" max="21" width="33.21875" style="2" bestFit="1" customWidth="1"/>
    <col min="22" max="22" width="81.44140625" style="7" bestFit="1" customWidth="1"/>
    <col min="23" max="24" width="33.21875" style="7" bestFit="1" customWidth="1"/>
    <col min="25" max="25" width="65.6640625" style="3" bestFit="1" customWidth="1"/>
    <col min="26" max="16384" width="11.5546875" style="3"/>
  </cols>
  <sheetData>
    <row r="1" spans="1:25" s="19" customFormat="1" ht="15.75" x14ac:dyDescent="0.2">
      <c r="A1" s="10" t="s">
        <v>38</v>
      </c>
      <c r="B1" s="11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3" t="s">
        <v>5</v>
      </c>
      <c r="H1" s="13" t="s">
        <v>6</v>
      </c>
      <c r="I1" s="14" t="s">
        <v>42</v>
      </c>
      <c r="J1" s="14" t="s">
        <v>573</v>
      </c>
      <c r="K1" s="15" t="s">
        <v>7</v>
      </c>
      <c r="L1" s="16" t="s">
        <v>8</v>
      </c>
      <c r="M1" s="12" t="s">
        <v>9</v>
      </c>
      <c r="N1" s="12" t="s">
        <v>39</v>
      </c>
      <c r="O1" s="12" t="s">
        <v>10</v>
      </c>
      <c r="P1" s="12" t="s">
        <v>11</v>
      </c>
      <c r="Q1" s="17" t="s">
        <v>37</v>
      </c>
      <c r="R1" s="12" t="s">
        <v>12</v>
      </c>
      <c r="S1" s="12" t="s">
        <v>13</v>
      </c>
      <c r="T1" s="12" t="s">
        <v>14</v>
      </c>
      <c r="U1" s="12" t="s">
        <v>40</v>
      </c>
      <c r="V1" s="18" t="s">
        <v>15</v>
      </c>
      <c r="W1" s="18" t="s">
        <v>16</v>
      </c>
      <c r="X1" s="18" t="s">
        <v>17</v>
      </c>
      <c r="Y1" s="18" t="s">
        <v>18</v>
      </c>
    </row>
    <row r="2" spans="1:25" s="19" customFormat="1" x14ac:dyDescent="0.2">
      <c r="A2" s="20">
        <v>1</v>
      </c>
      <c r="B2" s="21">
        <v>1089458772</v>
      </c>
      <c r="C2" s="21" t="s">
        <v>45</v>
      </c>
      <c r="D2" s="21" t="s">
        <v>44</v>
      </c>
      <c r="E2" s="21" t="s">
        <v>47</v>
      </c>
      <c r="F2" s="21" t="s">
        <v>46</v>
      </c>
      <c r="G2" s="21">
        <v>2</v>
      </c>
      <c r="H2" s="21" t="s">
        <v>49</v>
      </c>
      <c r="I2" s="22" t="s">
        <v>376</v>
      </c>
      <c r="J2" s="22"/>
      <c r="K2" s="23">
        <v>45659</v>
      </c>
      <c r="L2" s="24">
        <v>40000</v>
      </c>
      <c r="M2" s="21" t="s">
        <v>106</v>
      </c>
      <c r="N2" s="21" t="s">
        <v>430</v>
      </c>
      <c r="O2" s="21" t="s">
        <v>69</v>
      </c>
      <c r="P2" s="21" t="s">
        <v>35</v>
      </c>
      <c r="Q2" s="22">
        <v>32609</v>
      </c>
      <c r="R2" s="21" t="s">
        <v>71</v>
      </c>
      <c r="S2" s="21" t="s">
        <v>107</v>
      </c>
      <c r="T2" s="25">
        <v>3028279542</v>
      </c>
      <c r="U2" s="28" t="s">
        <v>48</v>
      </c>
      <c r="V2" s="26" t="e">
        <f>IF(P2=#REF!,"DIPLOMADO EN ATENCION PRE-HOSPITALARIA",IF(P2=#REF!,"ACOMPAÑAMIENTO Y MANEJO DEL DUELO",IF(P2=#REF!,"ATENCION A VICTIMAS DE ATAQUE CON AGENTES QUIMICOS ",IF(P2=#REF!,"PRIMEROS AUXILIOS ",IF(P2=#REF!,"DIPLOMADO DE UNIDAD DE CUIDADOS INTENSIVOS (UCI)",IF(P2=#REF!,"MODELO DE ATENCION PARA EVENTOS EMERGENTES EN SALUD MENTAL (CODIGO VERDE)",IF(P2=#REF!,"HUMANIZACION EN EL SERVICIO DE LA SALUD Y BUENAS PRACTICAS EN PACIENTE ",IF(P2=#REF!,"CLINICA DE HERIDAS ",IF(P2=#REF!,"TOMA DE CITOLOGIA CERVICO VAGINAL ",IF(P2=#REF!,"SOPORTE CARDIOVASCULAR AVANZADO (ACLS) ",IF(P2=#REF!,"CAMILLERO ",IF(P2=#REF!,"TOMA DE MUESTRAS Y LABORATORIO ",IF(P2=#REF!,"SOPORTE VITAL BASICO (BLS)",IF(P2=#REF!,"ATENCION A VICTIMAS DE VIOLENCIA SEXUAL ",IF(P2=#REF!,"PROGRAMADO AMPLIADO DE INMUNIZACION (PAI - COVID 19)",IF(P2=#REF!,"ATENCION INTEGRAL EN ENFERMEDADES PREVALENTES EN PRIMERA INFANCIA (AIEPI)",IF(P2=#REF!,"ADMINISTRACION DE MEDICAMENTOS, INYECTOLOGIA  Y CANALIZACION ",IF(P2=#REF!,"OPERADOR DE VEHICULOS DE EMERGENCIA (OVE)",IF(P2=#REF!,"INSTITUCIONES AMIGAS DE LA MUJER Y LA INFANCIA (IAMI)",IF(P2=#REF!,"CUIDADO DEL DONANTE DE ORGANOS",IF(P2=#REF!,"ATENCION A VICTIMAS POR VIOLENCIA DE GENERO",IF(P2=#REF!,"IGUALDAD DE GENERO EN LA SALUD",IF(P2=#REF!,"BRIGADA DE EMERGENCIA",IF(P2=#REF!,"MANEJO DEL DOLOR Y CUIDADOS PALIATIVOS",IF(P2=#REF!,"TOMA DE MUESTRAS Y LABORATORIO POCT",IF(P2=#REF!,"IMPLANTE SUBDERMICO DE DISPOSITIVO INTRAUTERINO",IF(P2=#REF!,"SALUD MENTAL",IF(P2=#REF!,"PRIMEROS AUXILIOS PSICOLOGICOS",IF(P2=#REF!,"ATENCION A VICTIMAS POR CONFLICTO ARMADO",IF(P2=#REF!,"MANIPULACION DE ALIMENTOS Y BPM",IF(P2=#REF!,"ATENCION A PERSONAS CON DISCAPACIDAD",IF(P2=#REF!,"CUIDADO INTEGRAL DEL PACIENTE ADULTO",IF(P2=#REF!,"MANEJO DEFENSIVO",IF(P2=#REF!,"SOPORTE CARDIOVASCULAR AVANZADO NEONATAL",IF(P2=#REF!,"SEGURIDAD DEL PACIENTE",IF(P2=#REF!,"MANEJO DE RESIDUOS HOSPITALARIOS"))))))))))))))))))))))))))))))))))))</f>
        <v>#REF!</v>
      </c>
      <c r="W2" s="26" t="str">
        <f>CONCATENATE(E2," ",F2," ",C2," ",D2)</f>
        <v>ANGELA NARCIZA ANDRADE GUERRA</v>
      </c>
      <c r="X2" s="26" t="str">
        <f>PROPER(W2)</f>
        <v>Angela Narciza Andrade Guerra</v>
      </c>
      <c r="Y2" s="26" t="str">
        <f>CONCATENATE(W2,"-",B2,"-",P2)</f>
        <v>ANGELA NARCIZA ANDRADE GUERRA-1089458772-POCT</v>
      </c>
    </row>
    <row r="3" spans="1:25" s="19" customFormat="1" x14ac:dyDescent="0.2">
      <c r="A3" s="20">
        <v>2</v>
      </c>
      <c r="B3" s="21">
        <v>59788866</v>
      </c>
      <c r="C3" s="21" t="s">
        <v>51</v>
      </c>
      <c r="D3" s="21" t="s">
        <v>52</v>
      </c>
      <c r="E3" s="21" t="s">
        <v>53</v>
      </c>
      <c r="F3" s="21" t="s">
        <v>50</v>
      </c>
      <c r="G3" s="21">
        <v>3</v>
      </c>
      <c r="H3" s="21" t="s">
        <v>49</v>
      </c>
      <c r="I3" s="22" t="s">
        <v>377</v>
      </c>
      <c r="J3" s="22"/>
      <c r="K3" s="23">
        <v>45660</v>
      </c>
      <c r="L3" s="24">
        <v>70000</v>
      </c>
      <c r="M3" s="21" t="s">
        <v>106</v>
      </c>
      <c r="N3" s="21" t="s">
        <v>430</v>
      </c>
      <c r="O3" s="21" t="s">
        <v>69</v>
      </c>
      <c r="P3" s="21" t="s">
        <v>21</v>
      </c>
      <c r="Q3" s="22">
        <v>31012</v>
      </c>
      <c r="R3" s="21" t="s">
        <v>71</v>
      </c>
      <c r="S3" s="21" t="s">
        <v>108</v>
      </c>
      <c r="T3" s="25">
        <v>3188017819</v>
      </c>
      <c r="U3" s="21" t="s">
        <v>54</v>
      </c>
      <c r="V3" s="26" t="e">
        <f>IF(P3=#REF!,"DIPLOMADO EN ATENCION PRE-HOSPITALARIA",IF(P3=#REF!,"ACOMPAÑAMIENTO Y MANEJO DEL DUELO",IF(P3=#REF!,"ATENCION A VICTIMAS DE ATAQUE CON AGENTES QUIMICOS ",IF(P3=#REF!,"PRIMEROS AUXILIOS ",IF(P3=#REF!,"DIPLOMADO DE UNIDAD DE CUIDADOS INTENSIVOS (UCI)",IF(P3=#REF!,"MODELO DE ATENCION PARA EVENTOS EMERGENTES EN SALUD MENTAL (CODIGO VERDE)",IF(P3=#REF!,"HUMANIZACION EN EL SERVICIO DE LA SALUD Y BUENAS PRACTICAS EN PACIENTE ",IF(P3=#REF!,"CLINICA DE HERIDAS ",IF(P3=#REF!,"TOMA DE CITOLOGIA CERVICO VAGINAL ",IF(P3=#REF!,"SOPORTE CARDIOVASCULAR AVANZADO (ACLS) ",IF(P3=#REF!,"CAMILLERO ",IF(P3=#REF!,"TOMA DE MUESTRAS Y LABORATORIO ",IF(P3=#REF!,"SOPORTE VITAL BASICO (BLS)",IF(P3=#REF!,"ATENCION A VICTIMAS DE VIOLENCIA SEXUAL ",IF(P3=#REF!,"PROGRAMADO AMPLIADO DE INMUNIZACION (PAI - COVID 19)",IF(P3=#REF!,"ATENCION INTEGRAL EN ENFERMEDADES PREVALENTES EN PRIMERA INFANCIA (AIEPI)",IF(P3=#REF!,"ADMINISTRACION DE MEDICAMENTOS, INYECTOLOGIA  Y CANALIZACION ",IF(P3=#REF!,"OPERADOR DE VEHICULOS DE EMERGENCIA (OVE)",IF(P3=#REF!,"INSTITUCIONES AMIGAS DE LA MUJER Y LA INFANCIA (IAMI)",IF(P3=#REF!,"CUIDADO DEL DONANTE DE ORGANOS",IF(P3=#REF!,"ATENCION A VICTIMAS POR VIOLENCIA DE GENERO",IF(P3=#REF!,"IGUALDAD DE GENERO EN LA SALUD",IF(P3=#REF!,"BRIGADA DE EMERGENCIA",IF(P3=#REF!,"MANEJO DEL DOLOR Y CUIDADOS PALIATIVOS",IF(P3=#REF!,"TOMA DE MUESTRAS Y LABORATORIO POCT",IF(P3=#REF!,"IMPLANTE SUBDERMICO DE DISPOSITIVO INTRAUTERINO",IF(P3=#REF!,"SALUD MENTAL",IF(P3=#REF!,"PRIMEROS AUXILIOS PSICOLOGICOS",IF(P3=#REF!,"ATENCION A VICTIMAS POR CONFLICTO ARMADO",IF(P3=#REF!,"MANIPULACION DE ALIMENTOS Y BPM",IF(P3=#REF!,"ATENCION A PERSONAS CON DISCAPACIDAD",IF(P3=#REF!,"CUIDADO INTEGRAL DEL PACIENTE ADULTO",IF(P3=#REF!,"MANEJO DEFENSIVO",IF(P3=#REF!,"SOPORTE CARDIOVASCULAR AVANZADO NEONATAL",IF(P3=#REF!,"SEGURIDAD DEL PACIENTE",IF(P3=#REF!,"MANEJO DE RESIDUOS HOSPITALARIOS"))))))))))))))))))))))))))))))))))))</f>
        <v>#REF!</v>
      </c>
      <c r="W3" s="26" t="str">
        <f t="shared" ref="W3:W66" si="0">CONCATENATE(E3," ",F3," ",C3," ",D3)</f>
        <v>Yuli Elizabeth Solarte Cuaspud</v>
      </c>
      <c r="X3" s="26" t="str">
        <f t="shared" ref="X3:X66" si="1">PROPER(W3)</f>
        <v>Yuli Elizabeth Solarte Cuaspud</v>
      </c>
      <c r="Y3" s="26" t="str">
        <f t="shared" ref="Y3:Y66" si="2">CONCATENATE(W3,"-",B3,"-",P3)</f>
        <v>Yuli Elizabeth Solarte Cuaspud-59788866-QUIMICOS</v>
      </c>
    </row>
    <row r="4" spans="1:25" s="19" customFormat="1" x14ac:dyDescent="0.2">
      <c r="A4" s="20">
        <v>3</v>
      </c>
      <c r="B4" s="21">
        <v>59788866</v>
      </c>
      <c r="C4" s="21" t="s">
        <v>51</v>
      </c>
      <c r="D4" s="21" t="s">
        <v>52</v>
      </c>
      <c r="E4" s="21" t="s">
        <v>53</v>
      </c>
      <c r="F4" s="21" t="s">
        <v>50</v>
      </c>
      <c r="G4" s="21">
        <v>3</v>
      </c>
      <c r="H4" s="21" t="s">
        <v>49</v>
      </c>
      <c r="I4" s="22" t="s">
        <v>377</v>
      </c>
      <c r="J4" s="22"/>
      <c r="K4" s="23">
        <v>45660</v>
      </c>
      <c r="L4" s="24">
        <v>70000</v>
      </c>
      <c r="M4" s="21" t="s">
        <v>106</v>
      </c>
      <c r="N4" s="21" t="s">
        <v>430</v>
      </c>
      <c r="O4" s="21" t="s">
        <v>69</v>
      </c>
      <c r="P4" s="21" t="s">
        <v>20</v>
      </c>
      <c r="Q4" s="22">
        <v>31012</v>
      </c>
      <c r="R4" s="21" t="s">
        <v>71</v>
      </c>
      <c r="S4" s="21" t="s">
        <v>108</v>
      </c>
      <c r="T4" s="25">
        <v>3188017819</v>
      </c>
      <c r="U4" s="25" t="s">
        <v>54</v>
      </c>
      <c r="V4" s="26" t="e">
        <f>IF(P4=#REF!,"DIPLOMADO EN ATENCION PRE-HOSPITALARIA",IF(P4=#REF!,"ACOMPAÑAMIENTO Y MANEJO DEL DUELO",IF(P4=#REF!,"ATENCION A VICTIMAS DE ATAQUE CON AGENTES QUIMICOS ",IF(P4=#REF!,"PRIMEROS AUXILIOS ",IF(P4=#REF!,"DIPLOMADO DE UNIDAD DE CUIDADOS INTENSIVOS (UCI)",IF(P4=#REF!,"MODELO DE ATENCION PARA EVENTOS EMERGENTES EN SALUD MENTAL (CODIGO VERDE)",IF(P4=#REF!,"HUMANIZACION EN EL SERVICIO DE LA SALUD Y BUENAS PRACTICAS EN PACIENTE ",IF(P4=#REF!,"CLINICA DE HERIDAS ",IF(P4=#REF!,"TOMA DE CITOLOGIA CERVICO VAGINAL ",IF(P4=#REF!,"SOPORTE CARDIOVASCULAR AVANZADO (ACLS) ",IF(P4=#REF!,"CAMILLERO ",IF(P4=#REF!,"TOMA DE MUESTRAS Y LABORATORIO ",IF(P4=#REF!,"SOPORTE VITAL BASICO (BLS)",IF(P4=#REF!,"ATENCION A VICTIMAS DE VIOLENCIA SEXUAL ",IF(P4=#REF!,"PROGRAMADO AMPLIADO DE INMUNIZACION (PAI - COVID 19)",IF(P4=#REF!,"ATENCION INTEGRAL EN ENFERMEDADES PREVALENTES EN PRIMERA INFANCIA (AIEPI)",IF(P4=#REF!,"ADMINISTRACION DE MEDICAMENTOS, INYECTOLOGIA  Y CANALIZACION ",IF(P4=#REF!,"OPERADOR DE VEHICULOS DE EMERGENCIA (OVE)",IF(P4=#REF!,"INSTITUCIONES AMIGAS DE LA MUJER Y LA INFANCIA (IAMI)",IF(P4=#REF!,"CUIDADO DEL DONANTE DE ORGANOS",IF(P4=#REF!,"ATENCION A VICTIMAS POR VIOLENCIA DE GENERO",IF(P4=#REF!,"IGUALDAD DE GENERO EN LA SALUD",IF(P4=#REF!,"BRIGADA DE EMERGENCIA",IF(P4=#REF!,"MANEJO DEL DOLOR Y CUIDADOS PALIATIVOS",IF(P4=#REF!,"TOMA DE MUESTRAS Y LABORATORIO POCT",IF(P4=#REF!,"IMPLANTE SUBDERMICO DE DISPOSITIVO INTRAUTERINO",IF(P4=#REF!,"SALUD MENTAL",IF(P4=#REF!,"PRIMEROS AUXILIOS PSICOLOGICOS",IF(P4=#REF!,"ATENCION A VICTIMAS POR CONFLICTO ARMADO",IF(P4=#REF!,"MANIPULACION DE ALIMENTOS Y BPM",IF(P4=#REF!,"ATENCION A PERSONAS CON DISCAPACIDAD",IF(P4=#REF!,"CUIDADO INTEGRAL DEL PACIENTE ADULTO",IF(P4=#REF!,"MANEJO DEFENSIVO",IF(P4=#REF!,"SOPORTE CARDIOVASCULAR AVANZADO NEONATAL",IF(P4=#REF!,"SEGURIDAD DEL PACIENTE",IF(P4=#REF!,"MANEJO DE RESIDUOS HOSPITALARIOS"))))))))))))))))))))))))))))))))))))</f>
        <v>#REF!</v>
      </c>
      <c r="W4" s="26" t="str">
        <f t="shared" si="0"/>
        <v>Yuli Elizabeth Solarte Cuaspud</v>
      </c>
      <c r="X4" s="26" t="str">
        <f t="shared" si="1"/>
        <v>Yuli Elizabeth Solarte Cuaspud</v>
      </c>
      <c r="Y4" s="26" t="str">
        <f t="shared" si="2"/>
        <v>Yuli Elizabeth Solarte Cuaspud-59788866-DUELO</v>
      </c>
    </row>
    <row r="5" spans="1:25" s="19" customFormat="1" x14ac:dyDescent="0.2">
      <c r="A5" s="20">
        <v>4</v>
      </c>
      <c r="B5" s="21">
        <v>27252075</v>
      </c>
      <c r="C5" s="21" t="s">
        <v>55</v>
      </c>
      <c r="D5" s="21" t="s">
        <v>56</v>
      </c>
      <c r="E5" s="21" t="s">
        <v>57</v>
      </c>
      <c r="F5" s="21" t="s">
        <v>58</v>
      </c>
      <c r="G5" s="21">
        <v>7</v>
      </c>
      <c r="H5" s="21" t="s">
        <v>49</v>
      </c>
      <c r="I5" s="22" t="s">
        <v>376</v>
      </c>
      <c r="J5" s="22"/>
      <c r="K5" s="23">
        <v>45664</v>
      </c>
      <c r="L5" s="24">
        <v>40000</v>
      </c>
      <c r="M5" s="21" t="s">
        <v>79</v>
      </c>
      <c r="N5" s="21" t="s">
        <v>386</v>
      </c>
      <c r="O5" s="21" t="s">
        <v>69</v>
      </c>
      <c r="P5" s="21" t="s">
        <v>28</v>
      </c>
      <c r="Q5" s="22">
        <v>30293</v>
      </c>
      <c r="R5" s="21" t="s">
        <v>71</v>
      </c>
      <c r="S5" s="21" t="s">
        <v>109</v>
      </c>
      <c r="T5" s="25">
        <v>3136144477</v>
      </c>
      <c r="U5" s="25" t="s">
        <v>59</v>
      </c>
      <c r="V5" s="26" t="e">
        <f>IF(P5=#REF!,"DIPLOMADO EN ATENCION PRE-HOSPITALARIA",IF(P5=#REF!,"ACOMPAÑAMIENTO Y MANEJO DEL DUELO",IF(P5=#REF!,"ATENCION A VICTIMAS DE ATAQUE CON AGENTES QUIMICOS ",IF(P5=#REF!,"PRIMEROS AUXILIOS ",IF(P5=#REF!,"DIPLOMADO DE UNIDAD DE CUIDADOS INTENSIVOS (UCI)",IF(P5=#REF!,"MODELO DE ATENCION PARA EVENTOS EMERGENTES EN SALUD MENTAL (CODIGO VERDE)",IF(P5=#REF!,"HUMANIZACION EN EL SERVICIO DE LA SALUD Y BUENAS PRACTICAS EN PACIENTE ",IF(P5=#REF!,"CLINICA DE HERIDAS ",IF(P5=#REF!,"TOMA DE CITOLOGIA CERVICO VAGINAL ",IF(P5=#REF!,"SOPORTE CARDIOVASCULAR AVANZADO (ACLS) ",IF(P5=#REF!,"CAMILLERO ",IF(P5=#REF!,"TOMA DE MUESTRAS Y LABORATORIO ",IF(P5=#REF!,"SOPORTE VITAL BASICO (BLS)",IF(P5=#REF!,"ATENCION A VICTIMAS DE VIOLENCIA SEXUAL ",IF(P5=#REF!,"PROGRAMADO AMPLIADO DE INMUNIZACION (PAI - COVID 19)",IF(P5=#REF!,"ATENCION INTEGRAL EN ENFERMEDADES PREVALENTES EN PRIMERA INFANCIA (AIEPI)",IF(P5=#REF!,"ADMINISTRACION DE MEDICAMENTOS, INYECTOLOGIA  Y CANALIZACION ",IF(P5=#REF!,"OPERADOR DE VEHICULOS DE EMERGENCIA (OVE)",IF(P5=#REF!,"INSTITUCIONES AMIGAS DE LA MUJER Y LA INFANCIA (IAMI)",IF(P5=#REF!,"CUIDADO DEL DONANTE DE ORGANOS",IF(P5=#REF!,"ATENCION A VICTIMAS POR VIOLENCIA DE GENERO",IF(P5=#REF!,"IGUALDAD DE GENERO EN LA SALUD",IF(P5=#REF!,"BRIGADA DE EMERGENCIA",IF(P5=#REF!,"MANEJO DEL DOLOR Y CUIDADOS PALIATIVOS",IF(P5=#REF!,"TOMA DE MUESTRAS Y LABORATORIO POCT",IF(P5=#REF!,"IMPLANTE SUBDERMICO DE DISPOSITIVO INTRAUTERINO",IF(P5=#REF!,"SALUD MENTAL",IF(P5=#REF!,"PRIMEROS AUXILIOS PSICOLOGICOS",IF(P5=#REF!,"ATENCION A VICTIMAS POR CONFLICTO ARMADO",IF(P5=#REF!,"MANIPULACION DE ALIMENTOS Y BPM",IF(P5=#REF!,"ATENCION A PERSONAS CON DISCAPACIDAD",IF(P5=#REF!,"CUIDADO INTEGRAL DEL PACIENTE ADULTO",IF(P5=#REF!,"MANEJO DEFENSIVO",IF(P5=#REF!,"SOPORTE CARDIOVASCULAR AVANZADO NEONATAL",IF(P5=#REF!,"SEGURIDAD DEL PACIENTE",IF(P5=#REF!,"MANEJO DE RESIDUOS HOSPITALARIOS"))))))))))))))))))))))))))))))))))))</f>
        <v>#REF!</v>
      </c>
      <c r="W5" s="26" t="str">
        <f t="shared" si="0"/>
        <v>LEYDI YOHANA RAMIREZ CARDENAS</v>
      </c>
      <c r="X5" s="26" t="str">
        <f t="shared" si="1"/>
        <v>Leydi Yohana Ramirez Cardenas</v>
      </c>
      <c r="Y5" s="26" t="str">
        <f t="shared" si="2"/>
        <v>LEYDI YOHANA RAMIREZ CARDENAS-27252075-AIEPI</v>
      </c>
    </row>
    <row r="6" spans="1:25" s="19" customFormat="1" x14ac:dyDescent="0.2">
      <c r="A6" s="20">
        <v>5</v>
      </c>
      <c r="B6" s="21">
        <v>1087126445</v>
      </c>
      <c r="C6" s="21" t="s">
        <v>60</v>
      </c>
      <c r="D6" s="21" t="s">
        <v>61</v>
      </c>
      <c r="E6" s="21" t="s">
        <v>62</v>
      </c>
      <c r="F6" s="21" t="s">
        <v>63</v>
      </c>
      <c r="G6" s="21">
        <v>7</v>
      </c>
      <c r="H6" s="21" t="s">
        <v>49</v>
      </c>
      <c r="I6" s="22" t="s">
        <v>376</v>
      </c>
      <c r="J6" s="22"/>
      <c r="K6" s="67"/>
      <c r="L6" s="69">
        <v>35000</v>
      </c>
      <c r="M6" s="66"/>
      <c r="N6" s="21" t="s">
        <v>386</v>
      </c>
      <c r="O6" s="21" t="s">
        <v>69</v>
      </c>
      <c r="P6" s="21" t="s">
        <v>19</v>
      </c>
      <c r="Q6" s="22"/>
      <c r="R6" s="21" t="s">
        <v>70</v>
      </c>
      <c r="S6" s="21" t="s">
        <v>107</v>
      </c>
      <c r="T6" s="25">
        <v>3156160462</v>
      </c>
      <c r="U6" s="25" t="s">
        <v>64</v>
      </c>
      <c r="V6" s="26" t="e">
        <f>IF(P6=#REF!,"DIPLOMADO EN ATENCION PRE-HOSPITALARIA",IF(P6=#REF!,"ACOMPAÑAMIENTO Y MANEJO DEL DUELO",IF(P6=#REF!,"ATENCION A VICTIMAS DE ATAQUE CON AGENTES QUIMICOS ",IF(P6=#REF!,"PRIMEROS AUXILIOS ",IF(P6=#REF!,"DIPLOMADO DE UNIDAD DE CUIDADOS INTENSIVOS (UCI)",IF(P6=#REF!,"MODELO DE ATENCION PARA EVENTOS EMERGENTES EN SALUD MENTAL (CODIGO VERDE)",IF(P6=#REF!,"HUMANIZACION EN EL SERVICIO DE LA SALUD Y BUENAS PRACTICAS EN PACIENTE ",IF(P6=#REF!,"CLINICA DE HERIDAS ",IF(P6=#REF!,"TOMA DE CITOLOGIA CERVICO VAGINAL ",IF(P6=#REF!,"SOPORTE CARDIOVASCULAR AVANZADO (ACLS) ",IF(P6=#REF!,"CAMILLERO ",IF(P6=#REF!,"TOMA DE MUESTRAS Y LABORATORIO ",IF(P6=#REF!,"SOPORTE VITAL BASICO (BLS)",IF(P6=#REF!,"ATENCION A VICTIMAS DE VIOLENCIA SEXUAL ",IF(P6=#REF!,"PROGRAMADO AMPLIADO DE INMUNIZACION (PAI - COVID 19)",IF(P6=#REF!,"ATENCION INTEGRAL EN ENFERMEDADES PREVALENTES EN PRIMERA INFANCIA (AIEPI)",IF(P6=#REF!,"ADMINISTRACION DE MEDICAMENTOS, INYECTOLOGIA  Y CANALIZACION ",IF(P6=#REF!,"OPERADOR DE VEHICULOS DE EMERGENCIA (OVE)",IF(P6=#REF!,"INSTITUCIONES AMIGAS DE LA MUJER Y LA INFANCIA (IAMI)",IF(P6=#REF!,"CUIDADO DEL DONANTE DE ORGANOS",IF(P6=#REF!,"ATENCION A VICTIMAS POR VIOLENCIA DE GENERO",IF(P6=#REF!,"IGUALDAD DE GENERO EN LA SALUD",IF(P6=#REF!,"BRIGADA DE EMERGENCIA",IF(P6=#REF!,"MANEJO DEL DOLOR Y CUIDADOS PALIATIVOS",IF(P6=#REF!,"TOMA DE MUESTRAS Y LABORATORIO POCT",IF(P6=#REF!,"IMPLANTE SUBDERMICO DE DISPOSITIVO INTRAUTERINO",IF(P6=#REF!,"SALUD MENTAL",IF(P6=#REF!,"PRIMEROS AUXILIOS PSICOLOGICOS",IF(P6=#REF!,"ATENCION A VICTIMAS POR CONFLICTO ARMADO",IF(P6=#REF!,"MANIPULACION DE ALIMENTOS Y BPM",IF(P6=#REF!,"ATENCION A PERSONAS CON DISCAPACIDAD",IF(P6=#REF!,"CUIDADO INTEGRAL DEL PACIENTE ADULTO",IF(P6=#REF!,"MANEJO DEFENSIVO",IF(P6=#REF!,"SOPORTE CARDIOVASCULAR AVANZADO NEONATAL",IF(P6=#REF!,"SEGURIDAD DEL PACIENTE",IF(P6=#REF!,"MANEJO DE RESIDUOS HOSPITALARIOS"))))))))))))))))))))))))))))))))))))</f>
        <v>#REF!</v>
      </c>
      <c r="W6" s="26" t="str">
        <f t="shared" si="0"/>
        <v>DEIMAN ALEXIS PALACIOS TORRES</v>
      </c>
      <c r="X6" s="26" t="str">
        <f t="shared" si="1"/>
        <v>Deiman Alexis Palacios Torres</v>
      </c>
      <c r="Y6" s="26" t="str">
        <f t="shared" si="2"/>
        <v>DEIMAN ALEXIS PALACIOS TORRES-1087126445-BLS</v>
      </c>
    </row>
    <row r="7" spans="1:25" s="19" customFormat="1" x14ac:dyDescent="0.2">
      <c r="A7" s="20">
        <v>6</v>
      </c>
      <c r="B7" s="21">
        <v>1087126445</v>
      </c>
      <c r="C7" s="21" t="s">
        <v>60</v>
      </c>
      <c r="D7" s="21" t="s">
        <v>61</v>
      </c>
      <c r="E7" s="21" t="s">
        <v>62</v>
      </c>
      <c r="F7" s="21" t="s">
        <v>63</v>
      </c>
      <c r="G7" s="21">
        <v>7</v>
      </c>
      <c r="H7" s="21" t="s">
        <v>49</v>
      </c>
      <c r="I7" s="22" t="s">
        <v>376</v>
      </c>
      <c r="J7" s="22"/>
      <c r="K7" s="67"/>
      <c r="L7" s="69">
        <v>35000</v>
      </c>
      <c r="M7" s="66"/>
      <c r="N7" s="21" t="s">
        <v>386</v>
      </c>
      <c r="O7" s="21" t="s">
        <v>69</v>
      </c>
      <c r="P7" s="21" t="s">
        <v>65</v>
      </c>
      <c r="Q7" s="22"/>
      <c r="R7" s="21" t="s">
        <v>70</v>
      </c>
      <c r="S7" s="21" t="s">
        <v>107</v>
      </c>
      <c r="T7" s="25">
        <v>3156160462</v>
      </c>
      <c r="U7" s="25" t="s">
        <v>64</v>
      </c>
      <c r="V7" s="26" t="e">
        <f>IF(P7=#REF!,"DIPLOMADO EN ATENCION PRE-HOSPITALARIA",IF(P7=#REF!,"ACOMPAÑAMIENTO Y MANEJO DEL DUELO",IF(P7=#REF!,"ATENCION A VICTIMAS DE ATAQUE CON AGENTES QUIMICOS ",IF(P7=#REF!,"PRIMEROS AUXILIOS ",IF(P7=#REF!,"DIPLOMADO DE UNIDAD DE CUIDADOS INTENSIVOS (UCI)",IF(P7=#REF!,"MODELO DE ATENCION PARA EVENTOS EMERGENTES EN SALUD MENTAL (CODIGO VERDE)",IF(P7=#REF!,"HUMANIZACION EN EL SERVICIO DE LA SALUD Y BUENAS PRACTICAS EN PACIENTE ",IF(P7=#REF!,"CLINICA DE HERIDAS ",IF(P7=#REF!,"TOMA DE CITOLOGIA CERVICO VAGINAL ",IF(P7=#REF!,"SOPORTE CARDIOVASCULAR AVANZADO (ACLS) ",IF(P7=#REF!,"CAMILLERO ",IF(P7=#REF!,"TOMA DE MUESTRAS Y LABORATORIO ",IF(P7=#REF!,"SOPORTE VITAL BASICO (BLS)",IF(P7=#REF!,"ATENCION A VICTIMAS DE VIOLENCIA SEXUAL ",IF(P7=#REF!,"PROGRAMADO AMPLIADO DE INMUNIZACION (PAI - COVID 19)",IF(P7=#REF!,"ATENCION INTEGRAL EN ENFERMEDADES PREVALENTES EN PRIMERA INFANCIA (AIEPI)",IF(P7=#REF!,"ADMINISTRACION DE MEDICAMENTOS, INYECTOLOGIA  Y CANALIZACION ",IF(P7=#REF!,"OPERADOR DE VEHICULOS DE EMERGENCIA (OVE)",IF(P7=#REF!,"INSTITUCIONES AMIGAS DE LA MUJER Y LA INFANCIA (IAMI)",IF(P7=#REF!,"CUIDADO DEL DONANTE DE ORGANOS",IF(P7=#REF!,"ATENCION A VICTIMAS POR VIOLENCIA DE GENERO",IF(P7=#REF!,"IGUALDAD DE GENERO EN LA SALUD",IF(P7=#REF!,"BRIGADA DE EMERGENCIA",IF(P7=#REF!,"MANEJO DEL DOLOR Y CUIDADOS PALIATIVOS",IF(P7=#REF!,"TOMA DE MUESTRAS Y LABORATORIO POCT",IF(P7=#REF!,"IMPLANTE SUBDERMICO DE DISPOSITIVO INTRAUTERINO",IF(P7=#REF!,"SALUD MENTAL",IF(P7=#REF!,"PRIMEROS AUXILIOS PSICOLOGICOS",IF(P7=#REF!,"ATENCION A VICTIMAS POR CONFLICTO ARMADO",IF(P7=#REF!,"MANIPULACION DE ALIMENTOS Y BPM",IF(P7=#REF!,"ATENCION A PERSONAS CON DISCAPACIDAD",IF(P7=#REF!,"CUIDADO INTEGRAL DEL PACIENTE ADULTO",IF(P7=#REF!,"MANEJO DEFENSIVO",IF(P7=#REF!,"SOPORTE CARDIOVASCULAR AVANZADO NEONATAL",IF(P7=#REF!,"SEGURIDAD DEL PACIENTE",IF(P7=#REF!,"MANEJO DE RESIDUOS HOSPITALARIOS"))))))))))))))))))))))))))))))))))))</f>
        <v>#REF!</v>
      </c>
      <c r="W7" s="26" t="str">
        <f t="shared" si="0"/>
        <v>DEIMAN ALEXIS PALACIOS TORRES</v>
      </c>
      <c r="X7" s="26" t="str">
        <f t="shared" si="1"/>
        <v>Deiman Alexis Palacios Torres</v>
      </c>
      <c r="Y7" s="26" t="str">
        <f t="shared" si="2"/>
        <v>DEIMAN ALEXIS PALACIOS TORRES-1087126445-SALVAMENTO ACUATICO</v>
      </c>
    </row>
    <row r="8" spans="1:25" s="19" customFormat="1" x14ac:dyDescent="0.2">
      <c r="A8" s="20">
        <v>7</v>
      </c>
      <c r="B8" s="21">
        <v>1085267689</v>
      </c>
      <c r="C8" s="21" t="s">
        <v>66</v>
      </c>
      <c r="D8" s="21" t="s">
        <v>67</v>
      </c>
      <c r="E8" s="21" t="s">
        <v>68</v>
      </c>
      <c r="F8" s="21" t="s">
        <v>50</v>
      </c>
      <c r="G8" s="21">
        <v>8</v>
      </c>
      <c r="H8" s="21" t="s">
        <v>49</v>
      </c>
      <c r="I8" s="22" t="s">
        <v>377</v>
      </c>
      <c r="J8" s="22"/>
      <c r="K8" s="23">
        <v>45665</v>
      </c>
      <c r="L8" s="24">
        <v>80000</v>
      </c>
      <c r="M8" s="21" t="s">
        <v>133</v>
      </c>
      <c r="N8" s="21" t="s">
        <v>387</v>
      </c>
      <c r="O8" s="21" t="s">
        <v>69</v>
      </c>
      <c r="P8" s="21" t="s">
        <v>29</v>
      </c>
      <c r="Q8" s="22">
        <v>32350</v>
      </c>
      <c r="R8" s="21" t="s">
        <v>71</v>
      </c>
      <c r="S8" s="21" t="s">
        <v>107</v>
      </c>
      <c r="T8" s="25">
        <v>3113493847</v>
      </c>
      <c r="U8" s="21" t="s">
        <v>72</v>
      </c>
      <c r="V8" s="26" t="e">
        <f>IF(P8=#REF!,"DIPLOMADO EN ATENCION PRE-HOSPITALARIA",IF(P8=#REF!,"ACOMPAÑAMIENTO Y MANEJO DEL DUELO",IF(P8=#REF!,"ATENCION A VICTIMAS DE ATAQUE CON AGENTES QUIMICOS ",IF(P8=#REF!,"PRIMEROS AUXILIOS ",IF(P8=#REF!,"DIPLOMADO DE UNIDAD DE CUIDADOS INTENSIVOS (UCI)",IF(P8=#REF!,"MODELO DE ATENCION PARA EVENTOS EMERGENTES EN SALUD MENTAL (CODIGO VERDE)",IF(P8=#REF!,"HUMANIZACION EN EL SERVICIO DE LA SALUD Y BUENAS PRACTICAS EN PACIENTE ",IF(P8=#REF!,"CLINICA DE HERIDAS ",IF(P8=#REF!,"TOMA DE CITOLOGIA CERVICO VAGINAL ",IF(P8=#REF!,"SOPORTE CARDIOVASCULAR AVANZADO (ACLS) ",IF(P8=#REF!,"CAMILLERO ",IF(P8=#REF!,"TOMA DE MUESTRAS Y LABORATORIO ",IF(P8=#REF!,"SOPORTE VITAL BASICO (BLS)",IF(P8=#REF!,"ATENCION A VICTIMAS DE VIOLENCIA SEXUAL ",IF(P8=#REF!,"PROGRAMADO AMPLIADO DE INMUNIZACION (PAI - COVID 19)",IF(P8=#REF!,"ATENCION INTEGRAL EN ENFERMEDADES PREVALENTES EN PRIMERA INFANCIA (AIEPI)",IF(P8=#REF!,"ADMINISTRACION DE MEDICAMENTOS, INYECTOLOGIA  Y CANALIZACION ",IF(P8=#REF!,"OPERADOR DE VEHICULOS DE EMERGENCIA (OVE)",IF(P8=#REF!,"INSTITUCIONES AMIGAS DE LA MUJER Y LA INFANCIA (IAMI)",IF(P8=#REF!,"CUIDADO DEL DONANTE DE ORGANOS",IF(P8=#REF!,"ATENCION A VICTIMAS POR VIOLENCIA DE GENERO",IF(P8=#REF!,"IGUALDAD DE GENERO EN LA SALUD",IF(P8=#REF!,"BRIGADA DE EMERGENCIA",IF(P8=#REF!,"MANEJO DEL DOLOR Y CUIDADOS PALIATIVOS",IF(P8=#REF!,"TOMA DE MUESTRAS Y LABORATORIO POCT",IF(P8=#REF!,"IMPLANTE SUBDERMICO DE DISPOSITIVO INTRAUTERINO",IF(P8=#REF!,"SALUD MENTAL",IF(P8=#REF!,"PRIMEROS AUXILIOS PSICOLOGICOS",IF(P8=#REF!,"ATENCION A VICTIMAS POR CONFLICTO ARMADO",IF(P8=#REF!,"MANIPULACION DE ALIMENTOS Y BPM",IF(P8=#REF!,"ATENCION A PERSONAS CON DISCAPACIDAD",IF(P8=#REF!,"CUIDADO INTEGRAL DEL PACIENTE ADULTO",IF(P8=#REF!,"MANEJO DEFENSIVO",IF(P8=#REF!,"SOPORTE CARDIOVASCULAR AVANZADO NEONATAL",IF(P8=#REF!,"SEGURIDAD DEL PACIENTE",IF(P8=#REF!,"MANEJO DE RESIDUOS HOSPITALARIOS"))))))))))))))))))))))))))))))))))))</f>
        <v>#REF!</v>
      </c>
      <c r="W8" s="26" t="str">
        <f t="shared" si="0"/>
        <v>Johana Elizabeth Meza Burbano</v>
      </c>
      <c r="X8" s="26" t="str">
        <f t="shared" si="1"/>
        <v>Johana Elizabeth Meza Burbano</v>
      </c>
      <c r="Y8" s="26" t="str">
        <f t="shared" si="2"/>
        <v>Johana Elizabeth Meza Burbano-1085267689-ADMON DE MEDICAMENTOS</v>
      </c>
    </row>
    <row r="9" spans="1:25" s="19" customFormat="1" x14ac:dyDescent="0.2">
      <c r="A9" s="20">
        <v>8</v>
      </c>
      <c r="B9" s="21">
        <v>13053630</v>
      </c>
      <c r="C9" s="21" t="s">
        <v>73</v>
      </c>
      <c r="D9" s="21" t="s">
        <v>74</v>
      </c>
      <c r="E9" s="21" t="s">
        <v>75</v>
      </c>
      <c r="F9" s="21" t="s">
        <v>76</v>
      </c>
      <c r="G9" s="21">
        <v>8</v>
      </c>
      <c r="H9" s="21" t="s">
        <v>49</v>
      </c>
      <c r="I9" s="22" t="s">
        <v>376</v>
      </c>
      <c r="J9" s="22"/>
      <c r="K9" s="23">
        <v>45665</v>
      </c>
      <c r="L9" s="24">
        <v>60000</v>
      </c>
      <c r="M9" s="21" t="s">
        <v>79</v>
      </c>
      <c r="N9" s="21" t="s">
        <v>387</v>
      </c>
      <c r="O9" s="21" t="s">
        <v>77</v>
      </c>
      <c r="P9" s="21" t="s">
        <v>22</v>
      </c>
      <c r="Q9" s="22"/>
      <c r="R9" s="21" t="s">
        <v>70</v>
      </c>
      <c r="S9" s="25" t="s">
        <v>107</v>
      </c>
      <c r="T9" s="25"/>
      <c r="U9" s="25" t="s">
        <v>78</v>
      </c>
      <c r="V9" s="26" t="e">
        <f>IF(P9=#REF!,"DIPLOMADO EN ATENCION PRE-HOSPITALARIA",IF(P9=#REF!,"ACOMPAÑAMIENTO Y MANEJO DEL DUELO",IF(P9=#REF!,"ATENCION A VICTIMAS DE ATAQUE CON AGENTES QUIMICOS ",IF(P9=#REF!,"PRIMEROS AUXILIOS ",IF(P9=#REF!,"DIPLOMADO DE UNIDAD DE CUIDADOS INTENSIVOS (UCI)",IF(P9=#REF!,"MODELO DE ATENCION PARA EVENTOS EMERGENTES EN SALUD MENTAL (CODIGO VERDE)",IF(P9=#REF!,"HUMANIZACION EN EL SERVICIO DE LA SALUD Y BUENAS PRACTICAS EN PACIENTE ",IF(P9=#REF!,"CLINICA DE HERIDAS ",IF(P9=#REF!,"TOMA DE CITOLOGIA CERVICO VAGINAL ",IF(P9=#REF!,"SOPORTE CARDIOVASCULAR AVANZADO (ACLS) ",IF(P9=#REF!,"CAMILLERO ",IF(P9=#REF!,"TOMA DE MUESTRAS Y LABORATORIO ",IF(P9=#REF!,"SOPORTE VITAL BASICO (BLS)",IF(P9=#REF!,"ATENCION A VICTIMAS DE VIOLENCIA SEXUAL ",IF(P9=#REF!,"PROGRAMADO AMPLIADO DE INMUNIZACION (PAI - COVID 19)",IF(P9=#REF!,"ATENCION INTEGRAL EN ENFERMEDADES PREVALENTES EN PRIMERA INFANCIA (AIEPI)",IF(P9=#REF!,"ADMINISTRACION DE MEDICAMENTOS, INYECTOLOGIA  Y CANALIZACION ",IF(P9=#REF!,"OPERADOR DE VEHICULOS DE EMERGENCIA (OVE)",IF(P9=#REF!,"INSTITUCIONES AMIGAS DE LA MUJER Y LA INFANCIA (IAMI)",IF(P9=#REF!,"CUIDADO DEL DONANTE DE ORGANOS",IF(P9=#REF!,"ATENCION A VICTIMAS POR VIOLENCIA DE GENERO",IF(P9=#REF!,"IGUALDAD DE GENERO EN LA SALUD",IF(P9=#REF!,"BRIGADA DE EMERGENCIA",IF(P9=#REF!,"MANEJO DEL DOLOR Y CUIDADOS PALIATIVOS",IF(P9=#REF!,"TOMA DE MUESTRAS Y LABORATORIO POCT",IF(P9=#REF!,"IMPLANTE SUBDERMICO DE DISPOSITIVO INTRAUTERINO",IF(P9=#REF!,"SALUD MENTAL",IF(P9=#REF!,"PRIMEROS AUXILIOS PSICOLOGICOS",IF(P9=#REF!,"ATENCION A VICTIMAS POR CONFLICTO ARMADO",IF(P9=#REF!,"MANIPULACION DE ALIMENTOS Y BPM",IF(P9=#REF!,"ATENCION A PERSONAS CON DISCAPACIDAD",IF(P9=#REF!,"CUIDADO INTEGRAL DEL PACIENTE ADULTO",IF(P9=#REF!,"MANEJO DEFENSIVO",IF(P9=#REF!,"SOPORTE CARDIOVASCULAR AVANZADO NEONATAL",IF(P9=#REF!,"SEGURIDAD DEL PACIENTE",IF(P9=#REF!,"MANEJO DE RESIDUOS HOSPITALARIOS"))))))))))))))))))))))))))))))))))))</f>
        <v>#REF!</v>
      </c>
      <c r="W9" s="26" t="str">
        <f t="shared" si="0"/>
        <v>Wilson Ali Riascos Arboleda</v>
      </c>
      <c r="X9" s="26" t="str">
        <f t="shared" si="1"/>
        <v>Wilson Ali Riascos Arboleda</v>
      </c>
      <c r="Y9" s="26" t="str">
        <f t="shared" si="2"/>
        <v>Wilson Ali Riascos Arboleda-13053630-PRIMEROS AUXILIOS</v>
      </c>
    </row>
    <row r="10" spans="1:25" s="19" customFormat="1" x14ac:dyDescent="0.2">
      <c r="A10" s="20">
        <v>9</v>
      </c>
      <c r="B10" s="21">
        <v>13053630</v>
      </c>
      <c r="C10" s="21" t="s">
        <v>73</v>
      </c>
      <c r="D10" s="21" t="s">
        <v>74</v>
      </c>
      <c r="E10" s="21" t="s">
        <v>75</v>
      </c>
      <c r="F10" s="21" t="s">
        <v>76</v>
      </c>
      <c r="G10" s="21">
        <v>8</v>
      </c>
      <c r="H10" s="21" t="s">
        <v>49</v>
      </c>
      <c r="I10" s="22" t="s">
        <v>376</v>
      </c>
      <c r="J10" s="22"/>
      <c r="K10" s="23">
        <v>45665</v>
      </c>
      <c r="L10" s="24">
        <v>60000</v>
      </c>
      <c r="M10" s="21" t="s">
        <v>79</v>
      </c>
      <c r="N10" s="21" t="s">
        <v>387</v>
      </c>
      <c r="O10" s="21" t="s">
        <v>77</v>
      </c>
      <c r="P10" s="21" t="s">
        <v>30</v>
      </c>
      <c r="Q10" s="22"/>
      <c r="R10" s="21" t="s">
        <v>70</v>
      </c>
      <c r="S10" s="21" t="s">
        <v>107</v>
      </c>
      <c r="T10" s="25"/>
      <c r="U10" s="25" t="s">
        <v>78</v>
      </c>
      <c r="V10" s="26" t="e">
        <f>IF(P10=#REF!,"DIPLOMADO EN ATENCION PRE-HOSPITALARIA",IF(P10=#REF!,"ACOMPAÑAMIENTO Y MANEJO DEL DUELO",IF(P10=#REF!,"ATENCION A VICTIMAS DE ATAQUE CON AGENTES QUIMICOS ",IF(P10=#REF!,"PRIMEROS AUXILIOS ",IF(P10=#REF!,"DIPLOMADO DE UNIDAD DE CUIDADOS INTENSIVOS (UCI)",IF(P10=#REF!,"MODELO DE ATENCION PARA EVENTOS EMERGENTES EN SALUD MENTAL (CODIGO VERDE)",IF(P10=#REF!,"HUMANIZACION EN EL SERVICIO DE LA SALUD Y BUENAS PRACTICAS EN PACIENTE ",IF(P10=#REF!,"CLINICA DE HERIDAS ",IF(P10=#REF!,"TOMA DE CITOLOGIA CERVICO VAGINAL ",IF(P10=#REF!,"SOPORTE CARDIOVASCULAR AVANZADO (ACLS) ",IF(P10=#REF!,"CAMILLERO ",IF(P10=#REF!,"TOMA DE MUESTRAS Y LABORATORIO ",IF(P10=#REF!,"SOPORTE VITAL BASICO (BLS)",IF(P10=#REF!,"ATENCION A VICTIMAS DE VIOLENCIA SEXUAL ",IF(P10=#REF!,"PROGRAMADO AMPLIADO DE INMUNIZACION (PAI - COVID 19)",IF(P10=#REF!,"ATENCION INTEGRAL EN ENFERMEDADES PREVALENTES EN PRIMERA INFANCIA (AIEPI)",IF(P10=#REF!,"ADMINISTRACION DE MEDICAMENTOS, INYECTOLOGIA  Y CANALIZACION ",IF(P10=#REF!,"OPERADOR DE VEHICULOS DE EMERGENCIA (OVE)",IF(P10=#REF!,"INSTITUCIONES AMIGAS DE LA MUJER Y LA INFANCIA (IAMI)",IF(P10=#REF!,"CUIDADO DEL DONANTE DE ORGANOS",IF(P10=#REF!,"ATENCION A VICTIMAS POR VIOLENCIA DE GENERO",IF(P10=#REF!,"IGUALDAD DE GENERO EN LA SALUD",IF(P10=#REF!,"BRIGADA DE EMERGENCIA",IF(P10=#REF!,"MANEJO DEL DOLOR Y CUIDADOS PALIATIVOS",IF(P10=#REF!,"TOMA DE MUESTRAS Y LABORATORIO POCT",IF(P10=#REF!,"IMPLANTE SUBDERMICO DE DISPOSITIVO INTRAUTERINO",IF(P10=#REF!,"SALUD MENTAL",IF(P10=#REF!,"PRIMEROS AUXILIOS PSICOLOGICOS",IF(P10=#REF!,"ATENCION A VICTIMAS POR CONFLICTO ARMADO",IF(P10=#REF!,"MANIPULACION DE ALIMENTOS Y BPM",IF(P10=#REF!,"ATENCION A PERSONAS CON DISCAPACIDAD",IF(P10=#REF!,"CUIDADO INTEGRAL DEL PACIENTE ADULTO",IF(P10=#REF!,"MANEJO DEFENSIVO",IF(P10=#REF!,"SOPORTE CARDIOVASCULAR AVANZADO NEONATAL",IF(P10=#REF!,"SEGURIDAD DEL PACIENTE",IF(P10=#REF!,"MANEJO DE RESIDUOS HOSPITALARIOS"))))))))))))))))))))))))))))))))))))</f>
        <v>#REF!</v>
      </c>
      <c r="W10" s="26" t="str">
        <f t="shared" si="0"/>
        <v>Wilson Ali Riascos Arboleda</v>
      </c>
      <c r="X10" s="26" t="str">
        <f t="shared" si="1"/>
        <v>Wilson Ali Riascos Arboleda</v>
      </c>
      <c r="Y10" s="26" t="str">
        <f t="shared" si="2"/>
        <v>Wilson Ali Riascos Arboleda-13053630-OVE</v>
      </c>
    </row>
    <row r="11" spans="1:25" s="19" customFormat="1" x14ac:dyDescent="0.2">
      <c r="A11" s="20">
        <v>10</v>
      </c>
      <c r="B11" s="21">
        <v>1089482317</v>
      </c>
      <c r="C11" s="21" t="s">
        <v>67</v>
      </c>
      <c r="D11" s="21" t="s">
        <v>80</v>
      </c>
      <c r="E11" s="21" t="s">
        <v>81</v>
      </c>
      <c r="F11" s="21" t="s">
        <v>82</v>
      </c>
      <c r="G11" s="21">
        <v>8</v>
      </c>
      <c r="H11" s="21" t="s">
        <v>49</v>
      </c>
      <c r="I11" s="22" t="s">
        <v>376</v>
      </c>
      <c r="J11" s="22"/>
      <c r="K11" s="23">
        <v>45665</v>
      </c>
      <c r="L11" s="24">
        <v>100000</v>
      </c>
      <c r="M11" s="21" t="s">
        <v>79</v>
      </c>
      <c r="N11" s="21" t="s">
        <v>387</v>
      </c>
      <c r="O11" s="21" t="s">
        <v>69</v>
      </c>
      <c r="P11" s="21" t="s">
        <v>24</v>
      </c>
      <c r="Q11" s="22">
        <v>33247</v>
      </c>
      <c r="R11" s="21" t="s">
        <v>71</v>
      </c>
      <c r="S11" s="25" t="s">
        <v>83</v>
      </c>
      <c r="T11" s="25">
        <v>3116068502</v>
      </c>
      <c r="U11" s="21" t="s">
        <v>84</v>
      </c>
      <c r="V11" s="26" t="e">
        <f>IF(P11=#REF!,"DIPLOMADO EN ATENCION PRE-HOSPITALARIA",IF(P11=#REF!,"ACOMPAÑAMIENTO Y MANEJO DEL DUELO",IF(P11=#REF!,"ATENCION A VICTIMAS DE ATAQUE CON AGENTES QUIMICOS ",IF(P11=#REF!,"PRIMEROS AUXILIOS ",IF(P11=#REF!,"DIPLOMADO DE UNIDAD DE CUIDADOS INTENSIVOS (UCI)",IF(P11=#REF!,"MODELO DE ATENCION PARA EVENTOS EMERGENTES EN SALUD MENTAL (CODIGO VERDE)",IF(P11=#REF!,"HUMANIZACION EN EL SERVICIO DE LA SALUD Y BUENAS PRACTICAS EN PACIENTE ",IF(P11=#REF!,"CLINICA DE HERIDAS ",IF(P11=#REF!,"TOMA DE CITOLOGIA CERVICO VAGINAL ",IF(P11=#REF!,"SOPORTE CARDIOVASCULAR AVANZADO (ACLS) ",IF(P11=#REF!,"CAMILLERO ",IF(P11=#REF!,"TOMA DE MUESTRAS Y LABORATORIO ",IF(P11=#REF!,"SOPORTE VITAL BASICO (BLS)",IF(P11=#REF!,"ATENCION A VICTIMAS DE VIOLENCIA SEXUAL ",IF(P11=#REF!,"PROGRAMADO AMPLIADO DE INMUNIZACION (PAI - COVID 19)",IF(P11=#REF!,"ATENCION INTEGRAL EN ENFERMEDADES PREVALENTES EN PRIMERA INFANCIA (AIEPI)",IF(P11=#REF!,"ADMINISTRACION DE MEDICAMENTOS, INYECTOLOGIA  Y CANALIZACION ",IF(P11=#REF!,"OPERADOR DE VEHICULOS DE EMERGENCIA (OVE)",IF(P11=#REF!,"INSTITUCIONES AMIGAS DE LA MUJER Y LA INFANCIA (IAMI)",IF(P11=#REF!,"CUIDADO DEL DONANTE DE ORGANOS",IF(P11=#REF!,"ATENCION A VICTIMAS POR VIOLENCIA DE GENERO",IF(P11=#REF!,"IGUALDAD DE GENERO EN LA SALUD",IF(P11=#REF!,"BRIGADA DE EMERGENCIA",IF(P11=#REF!,"MANEJO DEL DOLOR Y CUIDADOS PALIATIVOS",IF(P11=#REF!,"TOMA DE MUESTRAS Y LABORATORIO POCT",IF(P11=#REF!,"IMPLANTE SUBDERMICO DE DISPOSITIVO INTRAUTERINO",IF(P11=#REF!,"SALUD MENTAL",IF(P11=#REF!,"PRIMEROS AUXILIOS PSICOLOGICOS",IF(P11=#REF!,"ATENCION A VICTIMAS POR CONFLICTO ARMADO",IF(P11=#REF!,"MANIPULACION DE ALIMENTOS Y BPM",IF(P11=#REF!,"ATENCION A PERSONAS CON DISCAPACIDAD",IF(P11=#REF!,"CUIDADO INTEGRAL DEL PACIENTE ADULTO",IF(P11=#REF!,"MANEJO DEFENSIVO",IF(P11=#REF!,"SOPORTE CARDIOVASCULAR AVANZADO NEONATAL",IF(P11=#REF!,"SEGURIDAD DEL PACIENTE",IF(P11=#REF!,"MANEJO DE RESIDUOS HOSPITALARIOS"))))))))))))))))))))))))))))))))))))</f>
        <v>#REF!</v>
      </c>
      <c r="W11" s="26" t="str">
        <f t="shared" si="0"/>
        <v>Melissa Andrea Burbano Erazo</v>
      </c>
      <c r="X11" s="26" t="str">
        <f t="shared" si="1"/>
        <v>Melissa Andrea Burbano Erazo</v>
      </c>
      <c r="Y11" s="26" t="str">
        <f t="shared" si="2"/>
        <v>Melissa Andrea Burbano Erazo-1089482317-ACLS</v>
      </c>
    </row>
    <row r="12" spans="1:25" s="19" customFormat="1" x14ac:dyDescent="0.2">
      <c r="A12" s="20">
        <v>11</v>
      </c>
      <c r="B12" s="21">
        <v>1085311659</v>
      </c>
      <c r="C12" s="21" t="s">
        <v>85</v>
      </c>
      <c r="D12" s="21" t="s">
        <v>86</v>
      </c>
      <c r="E12" s="21" t="s">
        <v>87</v>
      </c>
      <c r="F12" s="21" t="s">
        <v>88</v>
      </c>
      <c r="G12" s="21">
        <v>13</v>
      </c>
      <c r="H12" s="21" t="s">
        <v>49</v>
      </c>
      <c r="I12" s="22" t="s">
        <v>376</v>
      </c>
      <c r="J12" s="22"/>
      <c r="K12" s="23">
        <v>45665</v>
      </c>
      <c r="L12" s="24">
        <v>65000</v>
      </c>
      <c r="M12" s="21" t="s">
        <v>79</v>
      </c>
      <c r="N12" s="21" t="s">
        <v>387</v>
      </c>
      <c r="O12" s="21" t="s">
        <v>69</v>
      </c>
      <c r="P12" s="21" t="s">
        <v>29</v>
      </c>
      <c r="Q12" s="22">
        <v>34406</v>
      </c>
      <c r="R12" s="21" t="s">
        <v>71</v>
      </c>
      <c r="S12" s="21" t="s">
        <v>89</v>
      </c>
      <c r="T12" s="25">
        <v>3188659323</v>
      </c>
      <c r="U12" s="21" t="s">
        <v>90</v>
      </c>
      <c r="V12" s="26" t="e">
        <f>IF(P12=#REF!,"DIPLOMADO EN ATENCION PRE-HOSPITALARIA",IF(P12=#REF!,"ACOMPAÑAMIENTO Y MANEJO DEL DUELO",IF(P12=#REF!,"ATENCION A VICTIMAS DE ATAQUE CON AGENTES QUIMICOS ",IF(P12=#REF!,"PRIMEROS AUXILIOS ",IF(P12=#REF!,"DIPLOMADO DE UNIDAD DE CUIDADOS INTENSIVOS (UCI)",IF(P12=#REF!,"MODELO DE ATENCION PARA EVENTOS EMERGENTES EN SALUD MENTAL (CODIGO VERDE)",IF(P12=#REF!,"HUMANIZACION EN EL SERVICIO DE LA SALUD Y BUENAS PRACTICAS EN PACIENTE ",IF(P12=#REF!,"CLINICA DE HERIDAS ",IF(P12=#REF!,"TOMA DE CITOLOGIA CERVICO VAGINAL ",IF(P12=#REF!,"SOPORTE CARDIOVASCULAR AVANZADO (ACLS) ",IF(P12=#REF!,"CAMILLERO ",IF(P12=#REF!,"TOMA DE MUESTRAS Y LABORATORIO ",IF(P12=#REF!,"SOPORTE VITAL BASICO (BLS)",IF(P12=#REF!,"ATENCION A VICTIMAS DE VIOLENCIA SEXUAL ",IF(P12=#REF!,"PROGRAMADO AMPLIADO DE INMUNIZACION (PAI - COVID 19)",IF(P12=#REF!,"ATENCION INTEGRAL EN ENFERMEDADES PREVALENTES EN PRIMERA INFANCIA (AIEPI)",IF(P12=#REF!,"ADMINISTRACION DE MEDICAMENTOS, INYECTOLOGIA  Y CANALIZACION ",IF(P12=#REF!,"OPERADOR DE VEHICULOS DE EMERGENCIA (OVE)",IF(P12=#REF!,"INSTITUCIONES AMIGAS DE LA MUJER Y LA INFANCIA (IAMI)",IF(P12=#REF!,"CUIDADO DEL DONANTE DE ORGANOS",IF(P12=#REF!,"ATENCION A VICTIMAS POR VIOLENCIA DE GENERO",IF(P12=#REF!,"IGUALDAD DE GENERO EN LA SALUD",IF(P12=#REF!,"BRIGADA DE EMERGENCIA",IF(P12=#REF!,"MANEJO DEL DOLOR Y CUIDADOS PALIATIVOS",IF(P12=#REF!,"TOMA DE MUESTRAS Y LABORATORIO POCT",IF(P12=#REF!,"IMPLANTE SUBDERMICO DE DISPOSITIVO INTRAUTERINO",IF(P12=#REF!,"SALUD MENTAL",IF(P12=#REF!,"PRIMEROS AUXILIOS PSICOLOGICOS",IF(P12=#REF!,"ATENCION A VICTIMAS POR CONFLICTO ARMADO",IF(P12=#REF!,"MANIPULACION DE ALIMENTOS Y BPM",IF(P12=#REF!,"ATENCION A PERSONAS CON DISCAPACIDAD",IF(P12=#REF!,"CUIDADO INTEGRAL DEL PACIENTE ADULTO",IF(P12=#REF!,"MANEJO DEFENSIVO",IF(P12=#REF!,"SOPORTE CARDIOVASCULAR AVANZADO NEONATAL",IF(P12=#REF!,"SEGURIDAD DEL PACIENTE",IF(P12=#REF!,"MANEJO DE RESIDUOS HOSPITALARIOS"))))))))))))))))))))))))))))))))))))</f>
        <v>#REF!</v>
      </c>
      <c r="W12" s="26" t="str">
        <f t="shared" si="0"/>
        <v>Shirley Ginneth Estrada Rosales</v>
      </c>
      <c r="X12" s="26" t="str">
        <f t="shared" si="1"/>
        <v>Shirley Ginneth Estrada Rosales</v>
      </c>
      <c r="Y12" s="26" t="str">
        <f t="shared" si="2"/>
        <v>Shirley Ginneth Estrada Rosales-1085311659-ADMON DE MEDICAMENTOS</v>
      </c>
    </row>
    <row r="13" spans="1:25" s="19" customFormat="1" x14ac:dyDescent="0.2">
      <c r="A13" s="20">
        <v>12</v>
      </c>
      <c r="B13" s="21">
        <v>27456477</v>
      </c>
      <c r="C13" s="21" t="s">
        <v>91</v>
      </c>
      <c r="D13" s="21" t="s">
        <v>92</v>
      </c>
      <c r="E13" s="21" t="s">
        <v>93</v>
      </c>
      <c r="F13" s="21" t="s">
        <v>94</v>
      </c>
      <c r="G13" s="21">
        <v>8</v>
      </c>
      <c r="H13" s="21" t="s">
        <v>49</v>
      </c>
      <c r="I13" s="22" t="s">
        <v>376</v>
      </c>
      <c r="J13" s="22"/>
      <c r="K13" s="23">
        <v>45667</v>
      </c>
      <c r="L13" s="24">
        <v>100000</v>
      </c>
      <c r="M13" s="21" t="s">
        <v>106</v>
      </c>
      <c r="N13" s="21" t="s">
        <v>387</v>
      </c>
      <c r="O13" s="21" t="s">
        <v>95</v>
      </c>
      <c r="P13" s="21" t="s">
        <v>24</v>
      </c>
      <c r="Q13" s="22">
        <v>30474</v>
      </c>
      <c r="R13" s="21" t="s">
        <v>71</v>
      </c>
      <c r="S13" s="21" t="s">
        <v>96</v>
      </c>
      <c r="T13" s="25">
        <v>3165117708</v>
      </c>
      <c r="U13" s="21" t="s">
        <v>97</v>
      </c>
      <c r="V13" s="26" t="e">
        <f>IF(P13=#REF!,"DIPLOMADO EN ATENCION PRE-HOSPITALARIA",IF(P13=#REF!,"ACOMPAÑAMIENTO Y MANEJO DEL DUELO",IF(P13=#REF!,"ATENCION A VICTIMAS DE ATAQUE CON AGENTES QUIMICOS ",IF(P13=#REF!,"PRIMEROS AUXILIOS ",IF(P13=#REF!,"DIPLOMADO DE UNIDAD DE CUIDADOS INTENSIVOS (UCI)",IF(P13=#REF!,"MODELO DE ATENCION PARA EVENTOS EMERGENTES EN SALUD MENTAL (CODIGO VERDE)",IF(P13=#REF!,"HUMANIZACION EN EL SERVICIO DE LA SALUD Y BUENAS PRACTICAS EN PACIENTE ",IF(P13=#REF!,"CLINICA DE HERIDAS ",IF(P13=#REF!,"TOMA DE CITOLOGIA CERVICO VAGINAL ",IF(P13=#REF!,"SOPORTE CARDIOVASCULAR AVANZADO (ACLS) ",IF(P13=#REF!,"CAMILLERO ",IF(P13=#REF!,"TOMA DE MUESTRAS Y LABORATORIO ",IF(P13=#REF!,"SOPORTE VITAL BASICO (BLS)",IF(P13=#REF!,"ATENCION A VICTIMAS DE VIOLENCIA SEXUAL ",IF(P13=#REF!,"PROGRAMADO AMPLIADO DE INMUNIZACION (PAI - COVID 19)",IF(P13=#REF!,"ATENCION INTEGRAL EN ENFERMEDADES PREVALENTES EN PRIMERA INFANCIA (AIEPI)",IF(P13=#REF!,"ADMINISTRACION DE MEDICAMENTOS, INYECTOLOGIA  Y CANALIZACION ",IF(P13=#REF!,"OPERADOR DE VEHICULOS DE EMERGENCIA (OVE)",IF(P13=#REF!,"INSTITUCIONES AMIGAS DE LA MUJER Y LA INFANCIA (IAMI)",IF(P13=#REF!,"CUIDADO DEL DONANTE DE ORGANOS",IF(P13=#REF!,"ATENCION A VICTIMAS POR VIOLENCIA DE GENERO",IF(P13=#REF!,"IGUALDAD DE GENERO EN LA SALUD",IF(P13=#REF!,"BRIGADA DE EMERGENCIA",IF(P13=#REF!,"MANEJO DEL DOLOR Y CUIDADOS PALIATIVOS",IF(P13=#REF!,"TOMA DE MUESTRAS Y LABORATORIO POCT",IF(P13=#REF!,"IMPLANTE SUBDERMICO DE DISPOSITIVO INTRAUTERINO",IF(P13=#REF!,"SALUD MENTAL",IF(P13=#REF!,"PRIMEROS AUXILIOS PSICOLOGICOS",IF(P13=#REF!,"ATENCION A VICTIMAS POR CONFLICTO ARMADO",IF(P13=#REF!,"MANIPULACION DE ALIMENTOS Y BPM",IF(P13=#REF!,"ATENCION A PERSONAS CON DISCAPACIDAD",IF(P13=#REF!,"CUIDADO INTEGRAL DEL PACIENTE ADULTO",IF(P13=#REF!,"MANEJO DEFENSIVO",IF(P13=#REF!,"SOPORTE CARDIOVASCULAR AVANZADO NEONATAL",IF(P13=#REF!,"SEGURIDAD DEL PACIENTE",IF(P13=#REF!,"MANEJO DE RESIDUOS HOSPITALARIOS"))))))))))))))))))))))))))))))))))))</f>
        <v>#REF!</v>
      </c>
      <c r="W13" s="26" t="str">
        <f t="shared" si="0"/>
        <v>Samara Jaqueline Hernández Bolaños</v>
      </c>
      <c r="X13" s="26" t="str">
        <f t="shared" si="1"/>
        <v>Samara Jaqueline Hernández Bolaños</v>
      </c>
      <c r="Y13" s="26" t="str">
        <f t="shared" si="2"/>
        <v>Samara Jaqueline Hernández Bolaños-27456477-ACLS</v>
      </c>
    </row>
    <row r="14" spans="1:25" s="19" customFormat="1" x14ac:dyDescent="0.2">
      <c r="A14" s="20">
        <v>13</v>
      </c>
      <c r="B14" s="21">
        <v>27456477</v>
      </c>
      <c r="C14" s="21" t="s">
        <v>91</v>
      </c>
      <c r="D14" s="21" t="s">
        <v>92</v>
      </c>
      <c r="E14" s="21" t="s">
        <v>93</v>
      </c>
      <c r="F14" s="21" t="s">
        <v>94</v>
      </c>
      <c r="G14" s="21">
        <v>8</v>
      </c>
      <c r="H14" s="21" t="s">
        <v>49</v>
      </c>
      <c r="I14" s="22" t="s">
        <v>376</v>
      </c>
      <c r="J14" s="22"/>
      <c r="K14" s="23">
        <v>45667</v>
      </c>
      <c r="L14" s="24">
        <v>32000</v>
      </c>
      <c r="M14" s="21" t="s">
        <v>106</v>
      </c>
      <c r="N14" s="21" t="s">
        <v>387</v>
      </c>
      <c r="O14" s="21" t="s">
        <v>95</v>
      </c>
      <c r="P14" s="21" t="s">
        <v>27</v>
      </c>
      <c r="Q14" s="22">
        <v>30474</v>
      </c>
      <c r="R14" s="21" t="s">
        <v>71</v>
      </c>
      <c r="S14" s="21" t="s">
        <v>96</v>
      </c>
      <c r="T14" s="25">
        <v>3165117708</v>
      </c>
      <c r="U14" s="21" t="s">
        <v>97</v>
      </c>
      <c r="V14" s="26" t="e">
        <f>IF(P14=#REF!,"DIPLOMADO EN ATENCION PRE-HOSPITALARIA",IF(P14=#REF!,"ACOMPAÑAMIENTO Y MANEJO DEL DUELO",IF(P14=#REF!,"ATENCION A VICTIMAS DE ATAQUE CON AGENTES QUIMICOS ",IF(P14=#REF!,"PRIMEROS AUXILIOS ",IF(P14=#REF!,"DIPLOMADO DE UNIDAD DE CUIDADOS INTENSIVOS (UCI)",IF(P14=#REF!,"MODELO DE ATENCION PARA EVENTOS EMERGENTES EN SALUD MENTAL (CODIGO VERDE)",IF(P14=#REF!,"HUMANIZACION EN EL SERVICIO DE LA SALUD Y BUENAS PRACTICAS EN PACIENTE ",IF(P14=#REF!,"CLINICA DE HERIDAS ",IF(P14=#REF!,"TOMA DE CITOLOGIA CERVICO VAGINAL ",IF(P14=#REF!,"SOPORTE CARDIOVASCULAR AVANZADO (ACLS) ",IF(P14=#REF!,"CAMILLERO ",IF(P14=#REF!,"TOMA DE MUESTRAS Y LABORATORIO ",IF(P14=#REF!,"SOPORTE VITAL BASICO (BLS)",IF(P14=#REF!,"ATENCION A VICTIMAS DE VIOLENCIA SEXUAL ",IF(P14=#REF!,"PROGRAMADO AMPLIADO DE INMUNIZACION (PAI - COVID 19)",IF(P14=#REF!,"ATENCION INTEGRAL EN ENFERMEDADES PREVALENTES EN PRIMERA INFANCIA (AIEPI)",IF(P14=#REF!,"ADMINISTRACION DE MEDICAMENTOS, INYECTOLOGIA  Y CANALIZACION ",IF(P14=#REF!,"OPERADOR DE VEHICULOS DE EMERGENCIA (OVE)",IF(P14=#REF!,"INSTITUCIONES AMIGAS DE LA MUJER Y LA INFANCIA (IAMI)",IF(P14=#REF!,"CUIDADO DEL DONANTE DE ORGANOS",IF(P14=#REF!,"ATENCION A VICTIMAS POR VIOLENCIA DE GENERO",IF(P14=#REF!,"IGUALDAD DE GENERO EN LA SALUD",IF(P14=#REF!,"BRIGADA DE EMERGENCIA",IF(P14=#REF!,"MANEJO DEL DOLOR Y CUIDADOS PALIATIVOS",IF(P14=#REF!,"TOMA DE MUESTRAS Y LABORATORIO POCT",IF(P14=#REF!,"IMPLANTE SUBDERMICO DE DISPOSITIVO INTRAUTERINO",IF(P14=#REF!,"SALUD MENTAL",IF(P14=#REF!,"PRIMEROS AUXILIOS PSICOLOGICOS",IF(P14=#REF!,"ATENCION A VICTIMAS POR CONFLICTO ARMADO",IF(P14=#REF!,"MANIPULACION DE ALIMENTOS Y BPM",IF(P14=#REF!,"ATENCION A PERSONAS CON DISCAPACIDAD",IF(P14=#REF!,"CUIDADO INTEGRAL DEL PACIENTE ADULTO",IF(P14=#REF!,"MANEJO DEFENSIVO",IF(P14=#REF!,"SOPORTE CARDIOVASCULAR AVANZADO NEONATAL",IF(P14=#REF!,"SEGURIDAD DEL PACIENTE",IF(P14=#REF!,"MANEJO DE RESIDUOS HOSPITALARIOS"))))))))))))))))))))))))))))))))))))</f>
        <v>#REF!</v>
      </c>
      <c r="W14" s="26" t="str">
        <f t="shared" si="0"/>
        <v>Samara Jaqueline Hernández Bolaños</v>
      </c>
      <c r="X14" s="26" t="str">
        <f t="shared" si="1"/>
        <v>Samara Jaqueline Hernández Bolaños</v>
      </c>
      <c r="Y14" s="26" t="str">
        <f t="shared" si="2"/>
        <v>Samara Jaqueline Hernández Bolaños-27456477-VIOLENCIA SEXUAL</v>
      </c>
    </row>
    <row r="15" spans="1:25" s="19" customFormat="1" x14ac:dyDescent="0.2">
      <c r="A15" s="20">
        <v>14</v>
      </c>
      <c r="B15" s="21">
        <v>27456477</v>
      </c>
      <c r="C15" s="21" t="s">
        <v>91</v>
      </c>
      <c r="D15" s="21" t="s">
        <v>92</v>
      </c>
      <c r="E15" s="21" t="s">
        <v>93</v>
      </c>
      <c r="F15" s="21" t="s">
        <v>94</v>
      </c>
      <c r="G15" s="21">
        <v>8</v>
      </c>
      <c r="H15" s="21" t="s">
        <v>49</v>
      </c>
      <c r="I15" s="22" t="s">
        <v>376</v>
      </c>
      <c r="J15" s="22"/>
      <c r="K15" s="23">
        <v>45667</v>
      </c>
      <c r="L15" s="24">
        <v>32000</v>
      </c>
      <c r="M15" s="21" t="s">
        <v>106</v>
      </c>
      <c r="N15" s="21" t="s">
        <v>387</v>
      </c>
      <c r="O15" s="21" t="s">
        <v>95</v>
      </c>
      <c r="P15" s="21" t="s">
        <v>21</v>
      </c>
      <c r="Q15" s="22">
        <v>30474</v>
      </c>
      <c r="R15" s="21" t="s">
        <v>71</v>
      </c>
      <c r="S15" s="21" t="s">
        <v>96</v>
      </c>
      <c r="T15" s="25">
        <v>3165117708</v>
      </c>
      <c r="U15" s="21" t="s">
        <v>97</v>
      </c>
      <c r="V15" s="26" t="e">
        <f>IF(P15=#REF!,"DIPLOMADO EN ATENCION PRE-HOSPITALARIA",IF(P15=#REF!,"ACOMPAÑAMIENTO Y MANEJO DEL DUELO",IF(P15=#REF!,"ATENCION A VICTIMAS DE ATAQUE CON AGENTES QUIMICOS ",IF(P15=#REF!,"PRIMEROS AUXILIOS ",IF(P15=#REF!,"DIPLOMADO DE UNIDAD DE CUIDADOS INTENSIVOS (UCI)",IF(P15=#REF!,"MODELO DE ATENCION PARA EVENTOS EMERGENTES EN SALUD MENTAL (CODIGO VERDE)",IF(P15=#REF!,"HUMANIZACION EN EL SERVICIO DE LA SALUD Y BUENAS PRACTICAS EN PACIENTE ",IF(P15=#REF!,"CLINICA DE HERIDAS ",IF(P15=#REF!,"TOMA DE CITOLOGIA CERVICO VAGINAL ",IF(P15=#REF!,"SOPORTE CARDIOVASCULAR AVANZADO (ACLS) ",IF(P15=#REF!,"CAMILLERO ",IF(P15=#REF!,"TOMA DE MUESTRAS Y LABORATORIO ",IF(P15=#REF!,"SOPORTE VITAL BASICO (BLS)",IF(P15=#REF!,"ATENCION A VICTIMAS DE VIOLENCIA SEXUAL ",IF(P15=#REF!,"PROGRAMADO AMPLIADO DE INMUNIZACION (PAI - COVID 19)",IF(P15=#REF!,"ATENCION INTEGRAL EN ENFERMEDADES PREVALENTES EN PRIMERA INFANCIA (AIEPI)",IF(P15=#REF!,"ADMINISTRACION DE MEDICAMENTOS, INYECTOLOGIA  Y CANALIZACION ",IF(P15=#REF!,"OPERADOR DE VEHICULOS DE EMERGENCIA (OVE)",IF(P15=#REF!,"INSTITUCIONES AMIGAS DE LA MUJER Y LA INFANCIA (IAMI)",IF(P15=#REF!,"CUIDADO DEL DONANTE DE ORGANOS",IF(P15=#REF!,"ATENCION A VICTIMAS POR VIOLENCIA DE GENERO",IF(P15=#REF!,"IGUALDAD DE GENERO EN LA SALUD",IF(P15=#REF!,"BRIGADA DE EMERGENCIA",IF(P15=#REF!,"MANEJO DEL DOLOR Y CUIDADOS PALIATIVOS",IF(P15=#REF!,"TOMA DE MUESTRAS Y LABORATORIO POCT",IF(P15=#REF!,"IMPLANTE SUBDERMICO DE DISPOSITIVO INTRAUTERINO",IF(P15=#REF!,"SALUD MENTAL",IF(P15=#REF!,"PRIMEROS AUXILIOS PSICOLOGICOS",IF(P15=#REF!,"ATENCION A VICTIMAS POR CONFLICTO ARMADO",IF(P15=#REF!,"MANIPULACION DE ALIMENTOS Y BPM",IF(P15=#REF!,"ATENCION A PERSONAS CON DISCAPACIDAD",IF(P15=#REF!,"CUIDADO INTEGRAL DEL PACIENTE ADULTO",IF(P15=#REF!,"MANEJO DEFENSIVO",IF(P15=#REF!,"SOPORTE CARDIOVASCULAR AVANZADO NEONATAL",IF(P15=#REF!,"SEGURIDAD DEL PACIENTE",IF(P15=#REF!,"MANEJO DE RESIDUOS HOSPITALARIOS"))))))))))))))))))))))))))))))))))))</f>
        <v>#REF!</v>
      </c>
      <c r="W15" s="26" t="str">
        <f t="shared" si="0"/>
        <v>Samara Jaqueline Hernández Bolaños</v>
      </c>
      <c r="X15" s="26" t="str">
        <f t="shared" si="1"/>
        <v>Samara Jaqueline Hernández Bolaños</v>
      </c>
      <c r="Y15" s="26" t="str">
        <f t="shared" si="2"/>
        <v>Samara Jaqueline Hernández Bolaños-27456477-QUIMICOS</v>
      </c>
    </row>
    <row r="16" spans="1:25" s="19" customFormat="1" x14ac:dyDescent="0.2">
      <c r="A16" s="20">
        <v>15</v>
      </c>
      <c r="B16" s="21">
        <v>27456477</v>
      </c>
      <c r="C16" s="21" t="s">
        <v>91</v>
      </c>
      <c r="D16" s="21" t="s">
        <v>92</v>
      </c>
      <c r="E16" s="21" t="s">
        <v>93</v>
      </c>
      <c r="F16" s="21" t="s">
        <v>94</v>
      </c>
      <c r="G16" s="21">
        <v>8</v>
      </c>
      <c r="H16" s="21" t="s">
        <v>49</v>
      </c>
      <c r="I16" s="22" t="s">
        <v>376</v>
      </c>
      <c r="J16" s="22"/>
      <c r="K16" s="23">
        <v>45667</v>
      </c>
      <c r="L16" s="24">
        <v>32000</v>
      </c>
      <c r="M16" s="21" t="s">
        <v>106</v>
      </c>
      <c r="N16" s="21" t="s">
        <v>387</v>
      </c>
      <c r="O16" s="21" t="s">
        <v>95</v>
      </c>
      <c r="P16" s="21" t="s">
        <v>20</v>
      </c>
      <c r="Q16" s="22">
        <v>30474</v>
      </c>
      <c r="R16" s="21" t="s">
        <v>71</v>
      </c>
      <c r="S16" s="21" t="s">
        <v>96</v>
      </c>
      <c r="T16" s="25">
        <v>3165117708</v>
      </c>
      <c r="U16" s="21" t="s">
        <v>97</v>
      </c>
      <c r="V16" s="26" t="e">
        <f>IF(P16=#REF!,"DIPLOMADO EN ATENCION PRE-HOSPITALARIA",IF(P16=#REF!,"ACOMPAÑAMIENTO Y MANEJO DEL DUELO",IF(P16=#REF!,"ATENCION A VICTIMAS DE ATAQUE CON AGENTES QUIMICOS ",IF(P16=#REF!,"PRIMEROS AUXILIOS ",IF(P16=#REF!,"DIPLOMADO DE UNIDAD DE CUIDADOS INTENSIVOS (UCI)",IF(P16=#REF!,"MODELO DE ATENCION PARA EVENTOS EMERGENTES EN SALUD MENTAL (CODIGO VERDE)",IF(P16=#REF!,"HUMANIZACION EN EL SERVICIO DE LA SALUD Y BUENAS PRACTICAS EN PACIENTE ",IF(P16=#REF!,"CLINICA DE HERIDAS ",IF(P16=#REF!,"TOMA DE CITOLOGIA CERVICO VAGINAL ",IF(P16=#REF!,"SOPORTE CARDIOVASCULAR AVANZADO (ACLS) ",IF(P16=#REF!,"CAMILLERO ",IF(P16=#REF!,"TOMA DE MUESTRAS Y LABORATORIO ",IF(P16=#REF!,"SOPORTE VITAL BASICO (BLS)",IF(P16=#REF!,"ATENCION A VICTIMAS DE VIOLENCIA SEXUAL ",IF(P16=#REF!,"PROGRAMADO AMPLIADO DE INMUNIZACION (PAI - COVID 19)",IF(P16=#REF!,"ATENCION INTEGRAL EN ENFERMEDADES PREVALENTES EN PRIMERA INFANCIA (AIEPI)",IF(P16=#REF!,"ADMINISTRACION DE MEDICAMENTOS, INYECTOLOGIA  Y CANALIZACION ",IF(P16=#REF!,"OPERADOR DE VEHICULOS DE EMERGENCIA (OVE)",IF(P16=#REF!,"INSTITUCIONES AMIGAS DE LA MUJER Y LA INFANCIA (IAMI)",IF(P16=#REF!,"CUIDADO DEL DONANTE DE ORGANOS",IF(P16=#REF!,"ATENCION A VICTIMAS POR VIOLENCIA DE GENERO",IF(P16=#REF!,"IGUALDAD DE GENERO EN LA SALUD",IF(P16=#REF!,"BRIGADA DE EMERGENCIA",IF(P16=#REF!,"MANEJO DEL DOLOR Y CUIDADOS PALIATIVOS",IF(P16=#REF!,"TOMA DE MUESTRAS Y LABORATORIO POCT",IF(P16=#REF!,"IMPLANTE SUBDERMICO DE DISPOSITIVO INTRAUTERINO",IF(P16=#REF!,"SALUD MENTAL",IF(P16=#REF!,"PRIMEROS AUXILIOS PSICOLOGICOS",IF(P16=#REF!,"ATENCION A VICTIMAS POR CONFLICTO ARMADO",IF(P16=#REF!,"MANIPULACION DE ALIMENTOS Y BPM",IF(P16=#REF!,"ATENCION A PERSONAS CON DISCAPACIDAD",IF(P16=#REF!,"CUIDADO INTEGRAL DEL PACIENTE ADULTO",IF(P16=#REF!,"MANEJO DEFENSIVO",IF(P16=#REF!,"SOPORTE CARDIOVASCULAR AVANZADO NEONATAL",IF(P16=#REF!,"SEGURIDAD DEL PACIENTE",IF(P16=#REF!,"MANEJO DE RESIDUOS HOSPITALARIOS"))))))))))))))))))))))))))))))))))))</f>
        <v>#REF!</v>
      </c>
      <c r="W16" s="26" t="str">
        <f t="shared" si="0"/>
        <v>Samara Jaqueline Hernández Bolaños</v>
      </c>
      <c r="X16" s="26" t="str">
        <f t="shared" si="1"/>
        <v>Samara Jaqueline Hernández Bolaños</v>
      </c>
      <c r="Y16" s="26" t="str">
        <f t="shared" si="2"/>
        <v>Samara Jaqueline Hernández Bolaños-27456477-DUELO</v>
      </c>
    </row>
    <row r="17" spans="1:25" s="19" customFormat="1" x14ac:dyDescent="0.2">
      <c r="A17" s="20">
        <v>16</v>
      </c>
      <c r="B17" s="21">
        <v>1087959742</v>
      </c>
      <c r="C17" s="21" t="s">
        <v>98</v>
      </c>
      <c r="D17" s="21" t="s">
        <v>99</v>
      </c>
      <c r="E17" s="21" t="s">
        <v>100</v>
      </c>
      <c r="F17" s="21" t="s">
        <v>101</v>
      </c>
      <c r="G17" s="21">
        <v>9</v>
      </c>
      <c r="H17" s="21" t="s">
        <v>49</v>
      </c>
      <c r="I17" s="22" t="s">
        <v>376</v>
      </c>
      <c r="J17" s="22"/>
      <c r="K17" s="23">
        <v>45666</v>
      </c>
      <c r="L17" s="24">
        <v>32000</v>
      </c>
      <c r="M17" s="21" t="s">
        <v>79</v>
      </c>
      <c r="N17" s="21" t="s">
        <v>386</v>
      </c>
      <c r="O17" s="21" t="s">
        <v>69</v>
      </c>
      <c r="P17" s="21" t="s">
        <v>19</v>
      </c>
      <c r="Q17" s="22">
        <v>33870</v>
      </c>
      <c r="R17" s="21" t="s">
        <v>70</v>
      </c>
      <c r="S17" s="21" t="s">
        <v>107</v>
      </c>
      <c r="T17" s="25">
        <v>3214044131</v>
      </c>
      <c r="U17" s="25" t="s">
        <v>102</v>
      </c>
      <c r="V17" s="26" t="e">
        <f>IF(P17=#REF!,"DIPLOMADO EN ATENCION PRE-HOSPITALARIA",IF(P17=#REF!,"ACOMPAÑAMIENTO Y MANEJO DEL DUELO",IF(P17=#REF!,"ATENCION A VICTIMAS DE ATAQUE CON AGENTES QUIMICOS ",IF(P17=#REF!,"PRIMEROS AUXILIOS ",IF(P17=#REF!,"DIPLOMADO DE UNIDAD DE CUIDADOS INTENSIVOS (UCI)",IF(P17=#REF!,"MODELO DE ATENCION PARA EVENTOS EMERGENTES EN SALUD MENTAL (CODIGO VERDE)",IF(P17=#REF!,"HUMANIZACION EN EL SERVICIO DE LA SALUD Y BUENAS PRACTICAS EN PACIENTE ",IF(P17=#REF!,"CLINICA DE HERIDAS ",IF(P17=#REF!,"TOMA DE CITOLOGIA CERVICO VAGINAL ",IF(P17=#REF!,"SOPORTE CARDIOVASCULAR AVANZADO (ACLS) ",IF(P17=#REF!,"CAMILLERO ",IF(P17=#REF!,"TOMA DE MUESTRAS Y LABORATORIO ",IF(P17=#REF!,"SOPORTE VITAL BASICO (BLS)",IF(P17=#REF!,"ATENCION A VICTIMAS DE VIOLENCIA SEXUAL ",IF(P17=#REF!,"PROGRAMADO AMPLIADO DE INMUNIZACION (PAI - COVID 19)",IF(P17=#REF!,"ATENCION INTEGRAL EN ENFERMEDADES PREVALENTES EN PRIMERA INFANCIA (AIEPI)",IF(P17=#REF!,"ADMINISTRACION DE MEDICAMENTOS, INYECTOLOGIA  Y CANALIZACION ",IF(P17=#REF!,"OPERADOR DE VEHICULOS DE EMERGENCIA (OVE)",IF(P17=#REF!,"INSTITUCIONES AMIGAS DE LA MUJER Y LA INFANCIA (IAMI)",IF(P17=#REF!,"CUIDADO DEL DONANTE DE ORGANOS",IF(P17=#REF!,"ATENCION A VICTIMAS POR VIOLENCIA DE GENERO",IF(P17=#REF!,"IGUALDAD DE GENERO EN LA SALUD",IF(P17=#REF!,"BRIGADA DE EMERGENCIA",IF(P17=#REF!,"MANEJO DEL DOLOR Y CUIDADOS PALIATIVOS",IF(P17=#REF!,"TOMA DE MUESTRAS Y LABORATORIO POCT",IF(P17=#REF!,"IMPLANTE SUBDERMICO DE DISPOSITIVO INTRAUTERINO",IF(P17=#REF!,"SALUD MENTAL",IF(P17=#REF!,"PRIMEROS AUXILIOS PSICOLOGICOS",IF(P17=#REF!,"ATENCION A VICTIMAS POR CONFLICTO ARMADO",IF(P17=#REF!,"MANIPULACION DE ALIMENTOS Y BPM",IF(P17=#REF!,"ATENCION A PERSONAS CON DISCAPACIDAD",IF(P17=#REF!,"CUIDADO INTEGRAL DEL PACIENTE ADULTO",IF(P17=#REF!,"MANEJO DEFENSIVO",IF(P17=#REF!,"SOPORTE CARDIOVASCULAR AVANZADO NEONATAL",IF(P17=#REF!,"SEGURIDAD DEL PACIENTE",IF(P17=#REF!,"MANEJO DE RESIDUOS HOSPITALARIOS"))))))))))))))))))))))))))))))))))))</f>
        <v>#REF!</v>
      </c>
      <c r="W17" s="26" t="str">
        <f t="shared" si="0"/>
        <v>GUSTAVO ANDRES PASCUAZA BARRERA</v>
      </c>
      <c r="X17" s="26" t="str">
        <f t="shared" si="1"/>
        <v>Gustavo Andres Pascuaza Barrera</v>
      </c>
      <c r="Y17" s="26" t="str">
        <f t="shared" si="2"/>
        <v>GUSTAVO ANDRES PASCUAZA BARRERA-1087959742-BLS</v>
      </c>
    </row>
    <row r="18" spans="1:25" s="19" customFormat="1" x14ac:dyDescent="0.2">
      <c r="A18" s="20">
        <v>17</v>
      </c>
      <c r="B18" s="21">
        <v>1088972650</v>
      </c>
      <c r="C18" s="21" t="s">
        <v>103</v>
      </c>
      <c r="D18" s="21" t="s">
        <v>104</v>
      </c>
      <c r="E18" s="21" t="s">
        <v>105</v>
      </c>
      <c r="F18" s="21" t="s">
        <v>82</v>
      </c>
      <c r="G18" s="21">
        <v>9</v>
      </c>
      <c r="H18" s="21" t="s">
        <v>49</v>
      </c>
      <c r="I18" s="22" t="s">
        <v>376</v>
      </c>
      <c r="J18" s="22"/>
      <c r="K18" s="23">
        <v>45666</v>
      </c>
      <c r="L18" s="24">
        <v>32000</v>
      </c>
      <c r="M18" s="21" t="s">
        <v>79</v>
      </c>
      <c r="N18" s="21" t="s">
        <v>387</v>
      </c>
      <c r="O18" s="21" t="s">
        <v>69</v>
      </c>
      <c r="P18" s="21" t="s">
        <v>26</v>
      </c>
      <c r="Q18" s="22">
        <v>32867</v>
      </c>
      <c r="R18" s="21" t="s">
        <v>71</v>
      </c>
      <c r="S18" s="21" t="s">
        <v>107</v>
      </c>
      <c r="T18" s="25">
        <v>3104230765</v>
      </c>
      <c r="U18" s="25" t="s">
        <v>110</v>
      </c>
      <c r="V18" s="26" t="e">
        <f>IF(P18=#REF!,"DIPLOMADO EN ATENCION PRE-HOSPITALARIA",IF(P18=#REF!,"ACOMPAÑAMIENTO Y MANEJO DEL DUELO",IF(P18=#REF!,"ATENCION A VICTIMAS DE ATAQUE CON AGENTES QUIMICOS ",IF(P18=#REF!,"PRIMEROS AUXILIOS ",IF(P18=#REF!,"DIPLOMADO DE UNIDAD DE CUIDADOS INTENSIVOS (UCI)",IF(P18=#REF!,"MODELO DE ATENCION PARA EVENTOS EMERGENTES EN SALUD MENTAL (CODIGO VERDE)",IF(P18=#REF!,"HUMANIZACION EN EL SERVICIO DE LA SALUD Y BUENAS PRACTICAS EN PACIENTE ",IF(P18=#REF!,"CLINICA DE HERIDAS ",IF(P18=#REF!,"TOMA DE CITOLOGIA CERVICO VAGINAL ",IF(P18=#REF!,"SOPORTE CARDIOVASCULAR AVANZADO (ACLS) ",IF(P18=#REF!,"CAMILLERO ",IF(P18=#REF!,"TOMA DE MUESTRAS Y LABORATORIO ",IF(P18=#REF!,"SOPORTE VITAL BASICO (BLS)",IF(P18=#REF!,"ATENCION A VICTIMAS DE VIOLENCIA SEXUAL ",IF(P18=#REF!,"PROGRAMADO AMPLIADO DE INMUNIZACION (PAI - COVID 19)",IF(P18=#REF!,"ATENCION INTEGRAL EN ENFERMEDADES PREVALENTES EN PRIMERA INFANCIA (AIEPI)",IF(P18=#REF!,"ADMINISTRACION DE MEDICAMENTOS, INYECTOLOGIA  Y CANALIZACION ",IF(P18=#REF!,"OPERADOR DE VEHICULOS DE EMERGENCIA (OVE)",IF(P18=#REF!,"INSTITUCIONES AMIGAS DE LA MUJER Y LA INFANCIA (IAMI)",IF(P18=#REF!,"CUIDADO DEL DONANTE DE ORGANOS",IF(P18=#REF!,"ATENCION A VICTIMAS POR VIOLENCIA DE GENERO",IF(P18=#REF!,"IGUALDAD DE GENERO EN LA SALUD",IF(P18=#REF!,"BRIGADA DE EMERGENCIA",IF(P18=#REF!,"MANEJO DEL DOLOR Y CUIDADOS PALIATIVOS",IF(P18=#REF!,"TOMA DE MUESTRAS Y LABORATORIO POCT",IF(P18=#REF!,"IMPLANTE SUBDERMICO DE DISPOSITIVO INTRAUTERINO",IF(P18=#REF!,"SALUD MENTAL",IF(P18=#REF!,"PRIMEROS AUXILIOS PSICOLOGICOS",IF(P18=#REF!,"ATENCION A VICTIMAS POR CONFLICTO ARMADO",IF(P18=#REF!,"MANIPULACION DE ALIMENTOS Y BPM",IF(P18=#REF!,"ATENCION A PERSONAS CON DISCAPACIDAD",IF(P18=#REF!,"CUIDADO INTEGRAL DEL PACIENTE ADULTO",IF(P18=#REF!,"MANEJO DEFENSIVO",IF(P18=#REF!,"SOPORTE CARDIOVASCULAR AVANZADO NEONATAL",IF(P18=#REF!,"SEGURIDAD DEL PACIENTE",IF(P18=#REF!,"MANEJO DE RESIDUOS HOSPITALARIOS"))))))))))))))))))))))))))))))))))))</f>
        <v>#REF!</v>
      </c>
      <c r="W18" s="26" t="str">
        <f t="shared" si="0"/>
        <v>Paola Andrea Chaves Ordoñez</v>
      </c>
      <c r="X18" s="26" t="str">
        <f t="shared" si="1"/>
        <v>Paola Andrea Chaves Ordoñez</v>
      </c>
      <c r="Y18" s="26" t="str">
        <f t="shared" si="2"/>
        <v>Paola Andrea Chaves Ordoñez-1088972650-TOMA DE MUESTRAS</v>
      </c>
    </row>
    <row r="19" spans="1:25" s="19" customFormat="1" x14ac:dyDescent="0.2">
      <c r="A19" s="20">
        <v>18</v>
      </c>
      <c r="B19" s="21">
        <v>1085323918</v>
      </c>
      <c r="C19" s="21" t="s">
        <v>111</v>
      </c>
      <c r="D19" s="21" t="s">
        <v>112</v>
      </c>
      <c r="E19" s="21" t="s">
        <v>114</v>
      </c>
      <c r="F19" s="21" t="s">
        <v>113</v>
      </c>
      <c r="G19" s="21">
        <v>7</v>
      </c>
      <c r="H19" s="21" t="s">
        <v>49</v>
      </c>
      <c r="I19" s="22" t="s">
        <v>376</v>
      </c>
      <c r="J19" s="22"/>
      <c r="K19" s="23">
        <v>45666</v>
      </c>
      <c r="L19" s="24">
        <v>40000</v>
      </c>
      <c r="M19" s="21" t="s">
        <v>79</v>
      </c>
      <c r="N19" s="21" t="s">
        <v>387</v>
      </c>
      <c r="O19" s="21" t="s">
        <v>69</v>
      </c>
      <c r="P19" s="21" t="s">
        <v>20</v>
      </c>
      <c r="Q19" s="22">
        <v>34982</v>
      </c>
      <c r="R19" s="21" t="s">
        <v>71</v>
      </c>
      <c r="S19" s="21" t="s">
        <v>107</v>
      </c>
      <c r="T19" s="25">
        <v>3148960896</v>
      </c>
      <c r="U19" s="25" t="s">
        <v>115</v>
      </c>
      <c r="V19" s="26" t="e">
        <f>IF(P19=#REF!,"DIPLOMADO EN ATENCION PRE-HOSPITALARIA",IF(P19=#REF!,"ACOMPAÑAMIENTO Y MANEJO DEL DUELO",IF(P19=#REF!,"ATENCION A VICTIMAS DE ATAQUE CON AGENTES QUIMICOS ",IF(P19=#REF!,"PRIMEROS AUXILIOS ",IF(P19=#REF!,"DIPLOMADO DE UNIDAD DE CUIDADOS INTENSIVOS (UCI)",IF(P19=#REF!,"MODELO DE ATENCION PARA EVENTOS EMERGENTES EN SALUD MENTAL (CODIGO VERDE)",IF(P19=#REF!,"HUMANIZACION EN EL SERVICIO DE LA SALUD Y BUENAS PRACTICAS EN PACIENTE ",IF(P19=#REF!,"CLINICA DE HERIDAS ",IF(P19=#REF!,"TOMA DE CITOLOGIA CERVICO VAGINAL ",IF(P19=#REF!,"SOPORTE CARDIOVASCULAR AVANZADO (ACLS) ",IF(P19=#REF!,"CAMILLERO ",IF(P19=#REF!,"TOMA DE MUESTRAS Y LABORATORIO ",IF(P19=#REF!,"SOPORTE VITAL BASICO (BLS)",IF(P19=#REF!,"ATENCION A VICTIMAS DE VIOLENCIA SEXUAL ",IF(P19=#REF!,"PROGRAMADO AMPLIADO DE INMUNIZACION (PAI - COVID 19)",IF(P19=#REF!,"ATENCION INTEGRAL EN ENFERMEDADES PREVALENTES EN PRIMERA INFANCIA (AIEPI)",IF(P19=#REF!,"ADMINISTRACION DE MEDICAMENTOS, INYECTOLOGIA  Y CANALIZACION ",IF(P19=#REF!,"OPERADOR DE VEHICULOS DE EMERGENCIA (OVE)",IF(P19=#REF!,"INSTITUCIONES AMIGAS DE LA MUJER Y LA INFANCIA (IAMI)",IF(P19=#REF!,"CUIDADO DEL DONANTE DE ORGANOS",IF(P19=#REF!,"ATENCION A VICTIMAS POR VIOLENCIA DE GENERO",IF(P19=#REF!,"IGUALDAD DE GENERO EN LA SALUD",IF(P19=#REF!,"BRIGADA DE EMERGENCIA",IF(P19=#REF!,"MANEJO DEL DOLOR Y CUIDADOS PALIATIVOS",IF(P19=#REF!,"TOMA DE MUESTRAS Y LABORATORIO POCT",IF(P19=#REF!,"IMPLANTE SUBDERMICO DE DISPOSITIVO INTRAUTERINO",IF(P19=#REF!,"SALUD MENTAL",IF(P19=#REF!,"PRIMEROS AUXILIOS PSICOLOGICOS",IF(P19=#REF!,"ATENCION A VICTIMAS POR CONFLICTO ARMADO",IF(P19=#REF!,"MANIPULACION DE ALIMENTOS Y BPM",IF(P19=#REF!,"ATENCION A PERSONAS CON DISCAPACIDAD",IF(P19=#REF!,"CUIDADO INTEGRAL DEL PACIENTE ADULTO",IF(P19=#REF!,"MANEJO DEFENSIVO",IF(P19=#REF!,"SOPORTE CARDIOVASCULAR AVANZADO NEONATAL",IF(P19=#REF!,"SEGURIDAD DEL PACIENTE",IF(P19=#REF!,"MANEJO DE RESIDUOS HOSPITALARIOS"))))))))))))))))))))))))))))))))))))</f>
        <v>#REF!</v>
      </c>
      <c r="W19" s="26" t="str">
        <f t="shared" si="0"/>
        <v>Yesica Marisol Acosta Melo</v>
      </c>
      <c r="X19" s="26" t="str">
        <f t="shared" si="1"/>
        <v>Yesica Marisol Acosta Melo</v>
      </c>
      <c r="Y19" s="26" t="str">
        <f t="shared" si="2"/>
        <v>Yesica Marisol Acosta Melo-1085323918-DUELO</v>
      </c>
    </row>
    <row r="20" spans="1:25" s="19" customFormat="1" x14ac:dyDescent="0.2">
      <c r="A20" s="20">
        <v>19</v>
      </c>
      <c r="B20" s="21">
        <v>1085323918</v>
      </c>
      <c r="C20" s="21" t="s">
        <v>111</v>
      </c>
      <c r="D20" s="21" t="s">
        <v>112</v>
      </c>
      <c r="E20" s="21" t="s">
        <v>114</v>
      </c>
      <c r="F20" s="21" t="s">
        <v>113</v>
      </c>
      <c r="G20" s="21">
        <v>8</v>
      </c>
      <c r="H20" s="21" t="s">
        <v>49</v>
      </c>
      <c r="I20" s="22" t="s">
        <v>376</v>
      </c>
      <c r="J20" s="22"/>
      <c r="K20" s="23">
        <v>45666</v>
      </c>
      <c r="L20" s="24">
        <v>30000</v>
      </c>
      <c r="M20" s="21" t="s">
        <v>79</v>
      </c>
      <c r="N20" s="21" t="s">
        <v>387</v>
      </c>
      <c r="O20" s="21" t="s">
        <v>69</v>
      </c>
      <c r="P20" s="21" t="s">
        <v>21</v>
      </c>
      <c r="Q20" s="22">
        <v>34982</v>
      </c>
      <c r="R20" s="21" t="s">
        <v>71</v>
      </c>
      <c r="S20" s="21" t="s">
        <v>107</v>
      </c>
      <c r="T20" s="25">
        <v>3148960896</v>
      </c>
      <c r="U20" s="25" t="s">
        <v>115</v>
      </c>
      <c r="V20" s="26" t="e">
        <f>IF(P20=#REF!,"DIPLOMADO EN ATENCION PRE-HOSPITALARIA",IF(P20=#REF!,"ACOMPAÑAMIENTO Y MANEJO DEL DUELO",IF(P20=#REF!,"ATENCION A VICTIMAS DE ATAQUE CON AGENTES QUIMICOS ",IF(P20=#REF!,"PRIMEROS AUXILIOS ",IF(P20=#REF!,"DIPLOMADO DE UNIDAD DE CUIDADOS INTENSIVOS (UCI)",IF(P20=#REF!,"MODELO DE ATENCION PARA EVENTOS EMERGENTES EN SALUD MENTAL (CODIGO VERDE)",IF(P20=#REF!,"HUMANIZACION EN EL SERVICIO DE LA SALUD Y BUENAS PRACTICAS EN PACIENTE ",IF(P20=#REF!,"CLINICA DE HERIDAS ",IF(P20=#REF!,"TOMA DE CITOLOGIA CERVICO VAGINAL ",IF(P20=#REF!,"SOPORTE CARDIOVASCULAR AVANZADO (ACLS) ",IF(P20=#REF!,"CAMILLERO ",IF(P20=#REF!,"TOMA DE MUESTRAS Y LABORATORIO ",IF(P20=#REF!,"SOPORTE VITAL BASICO (BLS)",IF(P20=#REF!,"ATENCION A VICTIMAS DE VIOLENCIA SEXUAL ",IF(P20=#REF!,"PROGRAMADO AMPLIADO DE INMUNIZACION (PAI - COVID 19)",IF(P20=#REF!,"ATENCION INTEGRAL EN ENFERMEDADES PREVALENTES EN PRIMERA INFANCIA (AIEPI)",IF(P20=#REF!,"ADMINISTRACION DE MEDICAMENTOS, INYECTOLOGIA  Y CANALIZACION ",IF(P20=#REF!,"OPERADOR DE VEHICULOS DE EMERGENCIA (OVE)",IF(P20=#REF!,"INSTITUCIONES AMIGAS DE LA MUJER Y LA INFANCIA (IAMI)",IF(P20=#REF!,"CUIDADO DEL DONANTE DE ORGANOS",IF(P20=#REF!,"ATENCION A VICTIMAS POR VIOLENCIA DE GENERO",IF(P20=#REF!,"IGUALDAD DE GENERO EN LA SALUD",IF(P20=#REF!,"BRIGADA DE EMERGENCIA",IF(P20=#REF!,"MANEJO DEL DOLOR Y CUIDADOS PALIATIVOS",IF(P20=#REF!,"TOMA DE MUESTRAS Y LABORATORIO POCT",IF(P20=#REF!,"IMPLANTE SUBDERMICO DE DISPOSITIVO INTRAUTERINO",IF(P20=#REF!,"SALUD MENTAL",IF(P20=#REF!,"PRIMEROS AUXILIOS PSICOLOGICOS",IF(P20=#REF!,"ATENCION A VICTIMAS POR CONFLICTO ARMADO",IF(P20=#REF!,"MANIPULACION DE ALIMENTOS Y BPM",IF(P20=#REF!,"ATENCION A PERSONAS CON DISCAPACIDAD",IF(P20=#REF!,"CUIDADO INTEGRAL DEL PACIENTE ADULTO",IF(P20=#REF!,"MANEJO DEFENSIVO",IF(P20=#REF!,"SOPORTE CARDIOVASCULAR AVANZADO NEONATAL",IF(P20=#REF!,"SEGURIDAD DEL PACIENTE",IF(P20=#REF!,"MANEJO DE RESIDUOS HOSPITALARIOS"))))))))))))))))))))))))))))))))))))</f>
        <v>#REF!</v>
      </c>
      <c r="W20" s="26" t="str">
        <f t="shared" si="0"/>
        <v>Yesica Marisol Acosta Melo</v>
      </c>
      <c r="X20" s="26" t="str">
        <f t="shared" si="1"/>
        <v>Yesica Marisol Acosta Melo</v>
      </c>
      <c r="Y20" s="26" t="str">
        <f t="shared" si="2"/>
        <v>Yesica Marisol Acosta Melo-1085323918-QUIMICOS</v>
      </c>
    </row>
    <row r="21" spans="1:25" s="19" customFormat="1" x14ac:dyDescent="0.2">
      <c r="A21" s="20">
        <v>20</v>
      </c>
      <c r="B21" s="21">
        <v>1085323918</v>
      </c>
      <c r="C21" s="21" t="s">
        <v>111</v>
      </c>
      <c r="D21" s="21" t="s">
        <v>112</v>
      </c>
      <c r="E21" s="21" t="s">
        <v>114</v>
      </c>
      <c r="F21" s="21" t="s">
        <v>113</v>
      </c>
      <c r="G21" s="21">
        <v>8</v>
      </c>
      <c r="H21" s="21" t="s">
        <v>49</v>
      </c>
      <c r="I21" s="22" t="s">
        <v>376</v>
      </c>
      <c r="J21" s="22"/>
      <c r="K21" s="23">
        <v>45666</v>
      </c>
      <c r="L21" s="24">
        <v>30000</v>
      </c>
      <c r="M21" s="21" t="s">
        <v>79</v>
      </c>
      <c r="N21" s="21" t="s">
        <v>387</v>
      </c>
      <c r="O21" s="21" t="s">
        <v>69</v>
      </c>
      <c r="P21" s="21" t="s">
        <v>27</v>
      </c>
      <c r="Q21" s="22">
        <v>34982</v>
      </c>
      <c r="R21" s="21" t="s">
        <v>71</v>
      </c>
      <c r="S21" s="21" t="s">
        <v>107</v>
      </c>
      <c r="T21" s="25">
        <v>3148960896</v>
      </c>
      <c r="U21" s="25" t="s">
        <v>115</v>
      </c>
      <c r="V21" s="26" t="e">
        <f>IF(P21=#REF!,"DIPLOMADO EN ATENCION PRE-HOSPITALARIA",IF(P21=#REF!,"ACOMPAÑAMIENTO Y MANEJO DEL DUELO",IF(P21=#REF!,"ATENCION A VICTIMAS DE ATAQUE CON AGENTES QUIMICOS ",IF(P21=#REF!,"PRIMEROS AUXILIOS ",IF(P21=#REF!,"DIPLOMADO DE UNIDAD DE CUIDADOS INTENSIVOS (UCI)",IF(P21=#REF!,"MODELO DE ATENCION PARA EVENTOS EMERGENTES EN SALUD MENTAL (CODIGO VERDE)",IF(P21=#REF!,"HUMANIZACION EN EL SERVICIO DE LA SALUD Y BUENAS PRACTICAS EN PACIENTE ",IF(P21=#REF!,"CLINICA DE HERIDAS ",IF(P21=#REF!,"TOMA DE CITOLOGIA CERVICO VAGINAL ",IF(P21=#REF!,"SOPORTE CARDIOVASCULAR AVANZADO (ACLS) ",IF(P21=#REF!,"CAMILLERO ",IF(P21=#REF!,"TOMA DE MUESTRAS Y LABORATORIO ",IF(P21=#REF!,"SOPORTE VITAL BASICO (BLS)",IF(P21=#REF!,"ATENCION A VICTIMAS DE VIOLENCIA SEXUAL ",IF(P21=#REF!,"PROGRAMADO AMPLIADO DE INMUNIZACION (PAI - COVID 19)",IF(P21=#REF!,"ATENCION INTEGRAL EN ENFERMEDADES PREVALENTES EN PRIMERA INFANCIA (AIEPI)",IF(P21=#REF!,"ADMINISTRACION DE MEDICAMENTOS, INYECTOLOGIA  Y CANALIZACION ",IF(P21=#REF!,"OPERADOR DE VEHICULOS DE EMERGENCIA (OVE)",IF(P21=#REF!,"INSTITUCIONES AMIGAS DE LA MUJER Y LA INFANCIA (IAMI)",IF(P21=#REF!,"CUIDADO DEL DONANTE DE ORGANOS",IF(P21=#REF!,"ATENCION A VICTIMAS POR VIOLENCIA DE GENERO",IF(P21=#REF!,"IGUALDAD DE GENERO EN LA SALUD",IF(P21=#REF!,"BRIGADA DE EMERGENCIA",IF(P21=#REF!,"MANEJO DEL DOLOR Y CUIDADOS PALIATIVOS",IF(P21=#REF!,"TOMA DE MUESTRAS Y LABORATORIO POCT",IF(P21=#REF!,"IMPLANTE SUBDERMICO DE DISPOSITIVO INTRAUTERINO",IF(P21=#REF!,"SALUD MENTAL",IF(P21=#REF!,"PRIMEROS AUXILIOS PSICOLOGICOS",IF(P21=#REF!,"ATENCION A VICTIMAS POR CONFLICTO ARMADO",IF(P21=#REF!,"MANIPULACION DE ALIMENTOS Y BPM",IF(P21=#REF!,"ATENCION A PERSONAS CON DISCAPACIDAD",IF(P21=#REF!,"CUIDADO INTEGRAL DEL PACIENTE ADULTO",IF(P21=#REF!,"MANEJO DEFENSIVO",IF(P21=#REF!,"SOPORTE CARDIOVASCULAR AVANZADO NEONATAL",IF(P21=#REF!,"SEGURIDAD DEL PACIENTE",IF(P21=#REF!,"MANEJO DE RESIDUOS HOSPITALARIOS"))))))))))))))))))))))))))))))))))))</f>
        <v>#REF!</v>
      </c>
      <c r="W21" s="26" t="str">
        <f t="shared" si="0"/>
        <v>Yesica Marisol Acosta Melo</v>
      </c>
      <c r="X21" s="26" t="str">
        <f t="shared" si="1"/>
        <v>Yesica Marisol Acosta Melo</v>
      </c>
      <c r="Y21" s="26" t="str">
        <f t="shared" si="2"/>
        <v>Yesica Marisol Acosta Melo-1085323918-VIOLENCIA SEXUAL</v>
      </c>
    </row>
    <row r="22" spans="1:25" s="19" customFormat="1" x14ac:dyDescent="0.2">
      <c r="A22" s="20">
        <v>21</v>
      </c>
      <c r="B22" s="21">
        <v>1085323918</v>
      </c>
      <c r="C22" s="21" t="s">
        <v>111</v>
      </c>
      <c r="D22" s="21" t="s">
        <v>112</v>
      </c>
      <c r="E22" s="21" t="s">
        <v>114</v>
      </c>
      <c r="F22" s="21" t="s">
        <v>113</v>
      </c>
      <c r="G22" s="21">
        <v>9</v>
      </c>
      <c r="H22" s="21" t="s">
        <v>49</v>
      </c>
      <c r="I22" s="22" t="s">
        <v>376</v>
      </c>
      <c r="J22" s="22"/>
      <c r="K22" s="23">
        <v>45666</v>
      </c>
      <c r="L22" s="24">
        <v>30000</v>
      </c>
      <c r="M22" s="21" t="s">
        <v>79</v>
      </c>
      <c r="N22" s="21" t="s">
        <v>387</v>
      </c>
      <c r="O22" s="21" t="s">
        <v>69</v>
      </c>
      <c r="P22" s="21" t="s">
        <v>19</v>
      </c>
      <c r="Q22" s="22">
        <v>34982</v>
      </c>
      <c r="R22" s="21" t="s">
        <v>71</v>
      </c>
      <c r="S22" s="21" t="s">
        <v>107</v>
      </c>
      <c r="T22" s="25">
        <v>3148960896</v>
      </c>
      <c r="U22" s="25" t="s">
        <v>115</v>
      </c>
      <c r="V22" s="26" t="e">
        <f>IF(P22=#REF!,"DIPLOMADO EN ATENCION PRE-HOSPITALARIA",IF(P22=#REF!,"ACOMPAÑAMIENTO Y MANEJO DEL DUELO",IF(P22=#REF!,"ATENCION A VICTIMAS DE ATAQUE CON AGENTES QUIMICOS ",IF(P22=#REF!,"PRIMEROS AUXILIOS ",IF(P22=#REF!,"DIPLOMADO DE UNIDAD DE CUIDADOS INTENSIVOS (UCI)",IF(P22=#REF!,"MODELO DE ATENCION PARA EVENTOS EMERGENTES EN SALUD MENTAL (CODIGO VERDE)",IF(P22=#REF!,"HUMANIZACION EN EL SERVICIO DE LA SALUD Y BUENAS PRACTICAS EN PACIENTE ",IF(P22=#REF!,"CLINICA DE HERIDAS ",IF(P22=#REF!,"TOMA DE CITOLOGIA CERVICO VAGINAL ",IF(P22=#REF!,"SOPORTE CARDIOVASCULAR AVANZADO (ACLS) ",IF(P22=#REF!,"CAMILLERO ",IF(P22=#REF!,"TOMA DE MUESTRAS Y LABORATORIO ",IF(P22=#REF!,"SOPORTE VITAL BASICO (BLS)",IF(P22=#REF!,"ATENCION A VICTIMAS DE VIOLENCIA SEXUAL ",IF(P22=#REF!,"PROGRAMADO AMPLIADO DE INMUNIZACION (PAI - COVID 19)",IF(P22=#REF!,"ATENCION INTEGRAL EN ENFERMEDADES PREVALENTES EN PRIMERA INFANCIA (AIEPI)",IF(P22=#REF!,"ADMINISTRACION DE MEDICAMENTOS, INYECTOLOGIA  Y CANALIZACION ",IF(P22=#REF!,"OPERADOR DE VEHICULOS DE EMERGENCIA (OVE)",IF(P22=#REF!,"INSTITUCIONES AMIGAS DE LA MUJER Y LA INFANCIA (IAMI)",IF(P22=#REF!,"CUIDADO DEL DONANTE DE ORGANOS",IF(P22=#REF!,"ATENCION A VICTIMAS POR VIOLENCIA DE GENERO",IF(P22=#REF!,"IGUALDAD DE GENERO EN LA SALUD",IF(P22=#REF!,"BRIGADA DE EMERGENCIA",IF(P22=#REF!,"MANEJO DEL DOLOR Y CUIDADOS PALIATIVOS",IF(P22=#REF!,"TOMA DE MUESTRAS Y LABORATORIO POCT",IF(P22=#REF!,"IMPLANTE SUBDERMICO DE DISPOSITIVO INTRAUTERINO",IF(P22=#REF!,"SALUD MENTAL",IF(P22=#REF!,"PRIMEROS AUXILIOS PSICOLOGICOS",IF(P22=#REF!,"ATENCION A VICTIMAS POR CONFLICTO ARMADO",IF(P22=#REF!,"MANIPULACION DE ALIMENTOS Y BPM",IF(P22=#REF!,"ATENCION A PERSONAS CON DISCAPACIDAD",IF(P22=#REF!,"CUIDADO INTEGRAL DEL PACIENTE ADULTO",IF(P22=#REF!,"MANEJO DEFENSIVO",IF(P22=#REF!,"SOPORTE CARDIOVASCULAR AVANZADO NEONATAL",IF(P22=#REF!,"SEGURIDAD DEL PACIENTE",IF(P22=#REF!,"MANEJO DE RESIDUOS HOSPITALARIOS"))))))))))))))))))))))))))))))))))))</f>
        <v>#REF!</v>
      </c>
      <c r="W22" s="26" t="str">
        <f t="shared" si="0"/>
        <v>Yesica Marisol Acosta Melo</v>
      </c>
      <c r="X22" s="26" t="str">
        <f t="shared" si="1"/>
        <v>Yesica Marisol Acosta Melo</v>
      </c>
      <c r="Y22" s="26" t="str">
        <f t="shared" si="2"/>
        <v>Yesica Marisol Acosta Melo-1085323918-BLS</v>
      </c>
    </row>
    <row r="23" spans="1:25" s="19" customFormat="1" x14ac:dyDescent="0.2">
      <c r="A23" s="20">
        <v>22</v>
      </c>
      <c r="B23" s="21">
        <v>36953195</v>
      </c>
      <c r="C23" s="21" t="s">
        <v>116</v>
      </c>
      <c r="D23" s="21" t="s">
        <v>117</v>
      </c>
      <c r="E23" s="21" t="s">
        <v>118</v>
      </c>
      <c r="F23" s="21" t="s">
        <v>119</v>
      </c>
      <c r="G23" s="21">
        <v>9</v>
      </c>
      <c r="H23" s="21" t="s">
        <v>49</v>
      </c>
      <c r="I23" s="22" t="s">
        <v>376</v>
      </c>
      <c r="J23" s="22"/>
      <c r="K23" s="23">
        <v>45301</v>
      </c>
      <c r="L23" s="24">
        <v>80000</v>
      </c>
      <c r="M23" s="21" t="s">
        <v>106</v>
      </c>
      <c r="N23" s="21" t="s">
        <v>387</v>
      </c>
      <c r="O23" s="21" t="s">
        <v>95</v>
      </c>
      <c r="P23" s="21" t="s">
        <v>24</v>
      </c>
      <c r="Q23" s="22">
        <v>29651</v>
      </c>
      <c r="R23" s="21" t="s">
        <v>71</v>
      </c>
      <c r="S23" s="25" t="s">
        <v>109</v>
      </c>
      <c r="T23" s="21">
        <v>3223004497</v>
      </c>
      <c r="U23" s="21" t="s">
        <v>120</v>
      </c>
      <c r="V23" s="26" t="e">
        <f>IF(P23=#REF!,"DIPLOMADO EN ATENCION PRE-HOSPITALARIA",IF(P23=#REF!,"ACOMPAÑAMIENTO Y MANEJO DEL DUELO",IF(P23=#REF!,"ATENCION A VICTIMAS DE ATAQUE CON AGENTES QUIMICOS ",IF(P23=#REF!,"PRIMEROS AUXILIOS ",IF(P23=#REF!,"DIPLOMADO DE UNIDAD DE CUIDADOS INTENSIVOS (UCI)",IF(P23=#REF!,"MODELO DE ATENCION PARA EVENTOS EMERGENTES EN SALUD MENTAL (CODIGO VERDE)",IF(P23=#REF!,"HUMANIZACION EN EL SERVICIO DE LA SALUD Y BUENAS PRACTICAS EN PACIENTE ",IF(P23=#REF!,"CLINICA DE HERIDAS ",IF(P23=#REF!,"TOMA DE CITOLOGIA CERVICO VAGINAL ",IF(P23=#REF!,"SOPORTE CARDIOVASCULAR AVANZADO (ACLS) ",IF(P23=#REF!,"CAMILLERO ",IF(P23=#REF!,"TOMA DE MUESTRAS Y LABORATORIO ",IF(P23=#REF!,"SOPORTE VITAL BASICO (BLS)",IF(P23=#REF!,"ATENCION A VICTIMAS DE VIOLENCIA SEXUAL ",IF(P23=#REF!,"PROGRAMADO AMPLIADO DE INMUNIZACION (PAI - COVID 19)",IF(P23=#REF!,"ATENCION INTEGRAL EN ENFERMEDADES PREVALENTES EN PRIMERA INFANCIA (AIEPI)",IF(P23=#REF!,"ADMINISTRACION DE MEDICAMENTOS, INYECTOLOGIA  Y CANALIZACION ",IF(P23=#REF!,"OPERADOR DE VEHICULOS DE EMERGENCIA (OVE)",IF(P23=#REF!,"INSTITUCIONES AMIGAS DE LA MUJER Y LA INFANCIA (IAMI)",IF(P23=#REF!,"CUIDADO DEL DONANTE DE ORGANOS",IF(P23=#REF!,"ATENCION A VICTIMAS POR VIOLENCIA DE GENERO",IF(P23=#REF!,"IGUALDAD DE GENERO EN LA SALUD",IF(P23=#REF!,"BRIGADA DE EMERGENCIA",IF(P23=#REF!,"MANEJO DEL DOLOR Y CUIDADOS PALIATIVOS",IF(P23=#REF!,"TOMA DE MUESTRAS Y LABORATORIO POCT",IF(P23=#REF!,"IMPLANTE SUBDERMICO DE DISPOSITIVO INTRAUTERINO",IF(P23=#REF!,"SALUD MENTAL",IF(P23=#REF!,"PRIMEROS AUXILIOS PSICOLOGICOS",IF(P23=#REF!,"ATENCION A VICTIMAS POR CONFLICTO ARMADO",IF(P23=#REF!,"MANIPULACION DE ALIMENTOS Y BPM",IF(P23=#REF!,"ATENCION A PERSONAS CON DISCAPACIDAD",IF(P23=#REF!,"CUIDADO INTEGRAL DEL PACIENTE ADULTO",IF(P23=#REF!,"MANEJO DEFENSIVO",IF(P23=#REF!,"SOPORTE CARDIOVASCULAR AVANZADO NEONATAL",IF(P23=#REF!,"SEGURIDAD DEL PACIENTE",IF(P23=#REF!,"MANEJO DE RESIDUOS HOSPITALARIOS"))))))))))))))))))))))))))))))))))))</f>
        <v>#REF!</v>
      </c>
      <c r="W23" s="26" t="str">
        <f t="shared" si="0"/>
        <v>Carmen Yoly Delgado Rivera</v>
      </c>
      <c r="X23" s="26" t="str">
        <f t="shared" si="1"/>
        <v>Carmen Yoly Delgado Rivera</v>
      </c>
      <c r="Y23" s="26" t="str">
        <f t="shared" si="2"/>
        <v>Carmen Yoly Delgado Rivera-36953195-ACLS</v>
      </c>
    </row>
    <row r="24" spans="1:25" s="19" customFormat="1" x14ac:dyDescent="0.2">
      <c r="A24" s="20">
        <v>23</v>
      </c>
      <c r="B24" s="21">
        <v>36953195</v>
      </c>
      <c r="C24" s="21" t="s">
        <v>116</v>
      </c>
      <c r="D24" s="21" t="s">
        <v>117</v>
      </c>
      <c r="E24" s="21" t="s">
        <v>118</v>
      </c>
      <c r="F24" s="21" t="s">
        <v>119</v>
      </c>
      <c r="G24" s="21">
        <v>8</v>
      </c>
      <c r="H24" s="21" t="s">
        <v>49</v>
      </c>
      <c r="I24" s="22" t="s">
        <v>376</v>
      </c>
      <c r="J24" s="22"/>
      <c r="K24" s="23">
        <v>45301</v>
      </c>
      <c r="L24" s="24">
        <v>32000</v>
      </c>
      <c r="M24" s="21" t="s">
        <v>106</v>
      </c>
      <c r="N24" s="21" t="s">
        <v>387</v>
      </c>
      <c r="O24" s="21" t="s">
        <v>95</v>
      </c>
      <c r="P24" s="21" t="s">
        <v>21</v>
      </c>
      <c r="Q24" s="22">
        <v>29651</v>
      </c>
      <c r="R24" s="21" t="s">
        <v>71</v>
      </c>
      <c r="S24" s="25" t="s">
        <v>109</v>
      </c>
      <c r="T24" s="21">
        <v>3223004497</v>
      </c>
      <c r="U24" s="21" t="s">
        <v>120</v>
      </c>
      <c r="V24" s="26" t="e">
        <f>IF(P24=#REF!,"DIPLOMADO EN ATENCION PRE-HOSPITALARIA",IF(P24=#REF!,"ACOMPAÑAMIENTO Y MANEJO DEL DUELO",IF(P24=#REF!,"ATENCION A VICTIMAS DE ATAQUE CON AGENTES QUIMICOS ",IF(P24=#REF!,"PRIMEROS AUXILIOS ",IF(P24=#REF!,"DIPLOMADO DE UNIDAD DE CUIDADOS INTENSIVOS (UCI)",IF(P24=#REF!,"MODELO DE ATENCION PARA EVENTOS EMERGENTES EN SALUD MENTAL (CODIGO VERDE)",IF(P24=#REF!,"HUMANIZACION EN EL SERVICIO DE LA SALUD Y BUENAS PRACTICAS EN PACIENTE ",IF(P24=#REF!,"CLINICA DE HERIDAS ",IF(P24=#REF!,"TOMA DE CITOLOGIA CERVICO VAGINAL ",IF(P24=#REF!,"SOPORTE CARDIOVASCULAR AVANZADO (ACLS) ",IF(P24=#REF!,"CAMILLERO ",IF(P24=#REF!,"TOMA DE MUESTRAS Y LABORATORIO ",IF(P24=#REF!,"SOPORTE VITAL BASICO (BLS)",IF(P24=#REF!,"ATENCION A VICTIMAS DE VIOLENCIA SEXUAL ",IF(P24=#REF!,"PROGRAMADO AMPLIADO DE INMUNIZACION (PAI - COVID 19)",IF(P24=#REF!,"ATENCION INTEGRAL EN ENFERMEDADES PREVALENTES EN PRIMERA INFANCIA (AIEPI)",IF(P24=#REF!,"ADMINISTRACION DE MEDICAMENTOS, INYECTOLOGIA  Y CANALIZACION ",IF(P24=#REF!,"OPERADOR DE VEHICULOS DE EMERGENCIA (OVE)",IF(P24=#REF!,"INSTITUCIONES AMIGAS DE LA MUJER Y LA INFANCIA (IAMI)",IF(P24=#REF!,"CUIDADO DEL DONANTE DE ORGANOS",IF(P24=#REF!,"ATENCION A VICTIMAS POR VIOLENCIA DE GENERO",IF(P24=#REF!,"IGUALDAD DE GENERO EN LA SALUD",IF(P24=#REF!,"BRIGADA DE EMERGENCIA",IF(P24=#REF!,"MANEJO DEL DOLOR Y CUIDADOS PALIATIVOS",IF(P24=#REF!,"TOMA DE MUESTRAS Y LABORATORIO POCT",IF(P24=#REF!,"IMPLANTE SUBDERMICO DE DISPOSITIVO INTRAUTERINO",IF(P24=#REF!,"SALUD MENTAL",IF(P24=#REF!,"PRIMEROS AUXILIOS PSICOLOGICOS",IF(P24=#REF!,"ATENCION A VICTIMAS POR CONFLICTO ARMADO",IF(P24=#REF!,"MANIPULACION DE ALIMENTOS Y BPM",IF(P24=#REF!,"ATENCION A PERSONAS CON DISCAPACIDAD",IF(P24=#REF!,"CUIDADO INTEGRAL DEL PACIENTE ADULTO",IF(P24=#REF!,"MANEJO DEFENSIVO",IF(P24=#REF!,"SOPORTE CARDIOVASCULAR AVANZADO NEONATAL",IF(P24=#REF!,"SEGURIDAD DEL PACIENTE",IF(P24=#REF!,"MANEJO DE RESIDUOS HOSPITALARIOS"))))))))))))))))))))))))))))))))))))</f>
        <v>#REF!</v>
      </c>
      <c r="W24" s="26" t="str">
        <f t="shared" si="0"/>
        <v>Carmen Yoly Delgado Rivera</v>
      </c>
      <c r="X24" s="26" t="str">
        <f t="shared" si="1"/>
        <v>Carmen Yoly Delgado Rivera</v>
      </c>
      <c r="Y24" s="26" t="str">
        <f t="shared" si="2"/>
        <v>Carmen Yoly Delgado Rivera-36953195-QUIMICOS</v>
      </c>
    </row>
    <row r="25" spans="1:25" s="19" customFormat="1" x14ac:dyDescent="0.2">
      <c r="A25" s="20">
        <v>24</v>
      </c>
      <c r="B25" s="21">
        <v>36953195</v>
      </c>
      <c r="C25" s="21" t="s">
        <v>116</v>
      </c>
      <c r="D25" s="21" t="s">
        <v>117</v>
      </c>
      <c r="E25" s="21" t="s">
        <v>118</v>
      </c>
      <c r="F25" s="21" t="s">
        <v>119</v>
      </c>
      <c r="G25" s="21">
        <v>8</v>
      </c>
      <c r="H25" s="21" t="s">
        <v>49</v>
      </c>
      <c r="I25" s="22" t="s">
        <v>376</v>
      </c>
      <c r="J25" s="22"/>
      <c r="K25" s="23">
        <v>45301</v>
      </c>
      <c r="L25" s="24">
        <v>32000</v>
      </c>
      <c r="M25" s="21" t="s">
        <v>106</v>
      </c>
      <c r="N25" s="21" t="s">
        <v>387</v>
      </c>
      <c r="O25" s="21" t="s">
        <v>95</v>
      </c>
      <c r="P25" s="21" t="s">
        <v>27</v>
      </c>
      <c r="Q25" s="22">
        <v>29651</v>
      </c>
      <c r="R25" s="21" t="s">
        <v>71</v>
      </c>
      <c r="S25" s="25" t="s">
        <v>109</v>
      </c>
      <c r="T25" s="21">
        <v>3223004497</v>
      </c>
      <c r="U25" s="21" t="s">
        <v>120</v>
      </c>
      <c r="V25" s="26" t="e">
        <f>IF(P25=#REF!,"DIPLOMADO EN ATENCION PRE-HOSPITALARIA",IF(P25=#REF!,"ACOMPAÑAMIENTO Y MANEJO DEL DUELO",IF(P25=#REF!,"ATENCION A VICTIMAS DE ATAQUE CON AGENTES QUIMICOS ",IF(P25=#REF!,"PRIMEROS AUXILIOS ",IF(P25=#REF!,"DIPLOMADO DE UNIDAD DE CUIDADOS INTENSIVOS (UCI)",IF(P25=#REF!,"MODELO DE ATENCION PARA EVENTOS EMERGENTES EN SALUD MENTAL (CODIGO VERDE)",IF(P25=#REF!,"HUMANIZACION EN EL SERVICIO DE LA SALUD Y BUENAS PRACTICAS EN PACIENTE ",IF(P25=#REF!,"CLINICA DE HERIDAS ",IF(P25=#REF!,"TOMA DE CITOLOGIA CERVICO VAGINAL ",IF(P25=#REF!,"SOPORTE CARDIOVASCULAR AVANZADO (ACLS) ",IF(P25=#REF!,"CAMILLERO ",IF(P25=#REF!,"TOMA DE MUESTRAS Y LABORATORIO ",IF(P25=#REF!,"SOPORTE VITAL BASICO (BLS)",IF(P25=#REF!,"ATENCION A VICTIMAS DE VIOLENCIA SEXUAL ",IF(P25=#REF!,"PROGRAMADO AMPLIADO DE INMUNIZACION (PAI - COVID 19)",IF(P25=#REF!,"ATENCION INTEGRAL EN ENFERMEDADES PREVALENTES EN PRIMERA INFANCIA (AIEPI)",IF(P25=#REF!,"ADMINISTRACION DE MEDICAMENTOS, INYECTOLOGIA  Y CANALIZACION ",IF(P25=#REF!,"OPERADOR DE VEHICULOS DE EMERGENCIA (OVE)",IF(P25=#REF!,"INSTITUCIONES AMIGAS DE LA MUJER Y LA INFANCIA (IAMI)",IF(P25=#REF!,"CUIDADO DEL DONANTE DE ORGANOS",IF(P25=#REF!,"ATENCION A VICTIMAS POR VIOLENCIA DE GENERO",IF(P25=#REF!,"IGUALDAD DE GENERO EN LA SALUD",IF(P25=#REF!,"BRIGADA DE EMERGENCIA",IF(P25=#REF!,"MANEJO DEL DOLOR Y CUIDADOS PALIATIVOS",IF(P25=#REF!,"TOMA DE MUESTRAS Y LABORATORIO POCT",IF(P25=#REF!,"IMPLANTE SUBDERMICO DE DISPOSITIVO INTRAUTERINO",IF(P25=#REF!,"SALUD MENTAL",IF(P25=#REF!,"PRIMEROS AUXILIOS PSICOLOGICOS",IF(P25=#REF!,"ATENCION A VICTIMAS POR CONFLICTO ARMADO",IF(P25=#REF!,"MANIPULACION DE ALIMENTOS Y BPM",IF(P25=#REF!,"ATENCION A PERSONAS CON DISCAPACIDAD",IF(P25=#REF!,"CUIDADO INTEGRAL DEL PACIENTE ADULTO",IF(P25=#REF!,"MANEJO DEFENSIVO",IF(P25=#REF!,"SOPORTE CARDIOVASCULAR AVANZADO NEONATAL",IF(P25=#REF!,"SEGURIDAD DEL PACIENTE",IF(P25=#REF!,"MANEJO DE RESIDUOS HOSPITALARIOS"))))))))))))))))))))))))))))))))))))</f>
        <v>#REF!</v>
      </c>
      <c r="W25" s="26" t="str">
        <f t="shared" si="0"/>
        <v>Carmen Yoly Delgado Rivera</v>
      </c>
      <c r="X25" s="26" t="str">
        <f t="shared" si="1"/>
        <v>Carmen Yoly Delgado Rivera</v>
      </c>
      <c r="Y25" s="26" t="str">
        <f t="shared" si="2"/>
        <v>Carmen Yoly Delgado Rivera-36953195-VIOLENCIA SEXUAL</v>
      </c>
    </row>
    <row r="26" spans="1:25" s="19" customFormat="1" x14ac:dyDescent="0.2">
      <c r="A26" s="20">
        <v>25</v>
      </c>
      <c r="B26" s="21">
        <v>36953195</v>
      </c>
      <c r="C26" s="21" t="s">
        <v>116</v>
      </c>
      <c r="D26" s="21" t="s">
        <v>117</v>
      </c>
      <c r="E26" s="21" t="s">
        <v>118</v>
      </c>
      <c r="F26" s="21" t="s">
        <v>119</v>
      </c>
      <c r="G26" s="21">
        <v>7</v>
      </c>
      <c r="H26" s="21" t="s">
        <v>49</v>
      </c>
      <c r="I26" s="22" t="s">
        <v>376</v>
      </c>
      <c r="J26" s="22"/>
      <c r="K26" s="23">
        <v>45301</v>
      </c>
      <c r="L26" s="24">
        <v>32000</v>
      </c>
      <c r="M26" s="21" t="s">
        <v>106</v>
      </c>
      <c r="N26" s="21" t="s">
        <v>387</v>
      </c>
      <c r="O26" s="21" t="s">
        <v>95</v>
      </c>
      <c r="P26" s="21" t="s">
        <v>28</v>
      </c>
      <c r="Q26" s="22">
        <v>29651</v>
      </c>
      <c r="R26" s="21" t="s">
        <v>71</v>
      </c>
      <c r="S26" s="25" t="s">
        <v>109</v>
      </c>
      <c r="T26" s="21">
        <v>3223004497</v>
      </c>
      <c r="U26" s="21" t="s">
        <v>120</v>
      </c>
      <c r="V26" s="26" t="e">
        <f>IF(P26=#REF!,"DIPLOMADO EN ATENCION PRE-HOSPITALARIA",IF(P26=#REF!,"ACOMPAÑAMIENTO Y MANEJO DEL DUELO",IF(P26=#REF!,"ATENCION A VICTIMAS DE ATAQUE CON AGENTES QUIMICOS ",IF(P26=#REF!,"PRIMEROS AUXILIOS ",IF(P26=#REF!,"DIPLOMADO DE UNIDAD DE CUIDADOS INTENSIVOS (UCI)",IF(P26=#REF!,"MODELO DE ATENCION PARA EVENTOS EMERGENTES EN SALUD MENTAL (CODIGO VERDE)",IF(P26=#REF!,"HUMANIZACION EN EL SERVICIO DE LA SALUD Y BUENAS PRACTICAS EN PACIENTE ",IF(P26=#REF!,"CLINICA DE HERIDAS ",IF(P26=#REF!,"TOMA DE CITOLOGIA CERVICO VAGINAL ",IF(P26=#REF!,"SOPORTE CARDIOVASCULAR AVANZADO (ACLS) ",IF(P26=#REF!,"CAMILLERO ",IF(P26=#REF!,"TOMA DE MUESTRAS Y LABORATORIO ",IF(P26=#REF!,"SOPORTE VITAL BASICO (BLS)",IF(P26=#REF!,"ATENCION A VICTIMAS DE VIOLENCIA SEXUAL ",IF(P26=#REF!,"PROGRAMADO AMPLIADO DE INMUNIZACION (PAI - COVID 19)",IF(P26=#REF!,"ATENCION INTEGRAL EN ENFERMEDADES PREVALENTES EN PRIMERA INFANCIA (AIEPI)",IF(P26=#REF!,"ADMINISTRACION DE MEDICAMENTOS, INYECTOLOGIA  Y CANALIZACION ",IF(P26=#REF!,"OPERADOR DE VEHICULOS DE EMERGENCIA (OVE)",IF(P26=#REF!,"INSTITUCIONES AMIGAS DE LA MUJER Y LA INFANCIA (IAMI)",IF(P26=#REF!,"CUIDADO DEL DONANTE DE ORGANOS",IF(P26=#REF!,"ATENCION A VICTIMAS POR VIOLENCIA DE GENERO",IF(P26=#REF!,"IGUALDAD DE GENERO EN LA SALUD",IF(P26=#REF!,"BRIGADA DE EMERGENCIA",IF(P26=#REF!,"MANEJO DEL DOLOR Y CUIDADOS PALIATIVOS",IF(P26=#REF!,"TOMA DE MUESTRAS Y LABORATORIO POCT",IF(P26=#REF!,"IMPLANTE SUBDERMICO DE DISPOSITIVO INTRAUTERINO",IF(P26=#REF!,"SALUD MENTAL",IF(P26=#REF!,"PRIMEROS AUXILIOS PSICOLOGICOS",IF(P26=#REF!,"ATENCION A VICTIMAS POR CONFLICTO ARMADO",IF(P26=#REF!,"MANIPULACION DE ALIMENTOS Y BPM",IF(P26=#REF!,"ATENCION A PERSONAS CON DISCAPACIDAD",IF(P26=#REF!,"CUIDADO INTEGRAL DEL PACIENTE ADULTO",IF(P26=#REF!,"MANEJO DEFENSIVO",IF(P26=#REF!,"SOPORTE CARDIOVASCULAR AVANZADO NEONATAL",IF(P26=#REF!,"SEGURIDAD DEL PACIENTE",IF(P26=#REF!,"MANEJO DE RESIDUOS HOSPITALARIOS"))))))))))))))))))))))))))))))))))))</f>
        <v>#REF!</v>
      </c>
      <c r="W26" s="26" t="str">
        <f t="shared" si="0"/>
        <v>Carmen Yoly Delgado Rivera</v>
      </c>
      <c r="X26" s="26" t="str">
        <f t="shared" si="1"/>
        <v>Carmen Yoly Delgado Rivera</v>
      </c>
      <c r="Y26" s="26" t="str">
        <f t="shared" si="2"/>
        <v>Carmen Yoly Delgado Rivera-36953195-AIEPI</v>
      </c>
    </row>
    <row r="27" spans="1:25" s="19" customFormat="1" x14ac:dyDescent="0.2">
      <c r="A27" s="20">
        <v>26</v>
      </c>
      <c r="B27" s="21">
        <v>36953195</v>
      </c>
      <c r="C27" s="21" t="s">
        <v>116</v>
      </c>
      <c r="D27" s="21" t="s">
        <v>117</v>
      </c>
      <c r="E27" s="21" t="s">
        <v>118</v>
      </c>
      <c r="F27" s="21" t="s">
        <v>119</v>
      </c>
      <c r="G27" s="21">
        <v>9</v>
      </c>
      <c r="H27" s="21" t="s">
        <v>49</v>
      </c>
      <c r="I27" s="22" t="s">
        <v>376</v>
      </c>
      <c r="J27" s="22"/>
      <c r="K27" s="23">
        <v>45301</v>
      </c>
      <c r="L27" s="24">
        <v>32000</v>
      </c>
      <c r="M27" s="21" t="s">
        <v>106</v>
      </c>
      <c r="N27" s="21" t="s">
        <v>387</v>
      </c>
      <c r="O27" s="21" t="s">
        <v>95</v>
      </c>
      <c r="P27" s="21" t="s">
        <v>20</v>
      </c>
      <c r="Q27" s="22">
        <v>29651</v>
      </c>
      <c r="R27" s="21" t="s">
        <v>71</v>
      </c>
      <c r="S27" s="25" t="s">
        <v>109</v>
      </c>
      <c r="T27" s="21">
        <v>3223004497</v>
      </c>
      <c r="U27" s="25" t="s">
        <v>120</v>
      </c>
      <c r="V27" s="26" t="e">
        <f>IF(P27=#REF!,"DIPLOMADO EN ATENCION PRE-HOSPITALARIA",IF(P27=#REF!,"ACOMPAÑAMIENTO Y MANEJO DEL DUELO",IF(P27=#REF!,"ATENCION A VICTIMAS DE ATAQUE CON AGENTES QUIMICOS ",IF(P27=#REF!,"PRIMEROS AUXILIOS ",IF(P27=#REF!,"DIPLOMADO DE UNIDAD DE CUIDADOS INTENSIVOS (UCI)",IF(P27=#REF!,"MODELO DE ATENCION PARA EVENTOS EMERGENTES EN SALUD MENTAL (CODIGO VERDE)",IF(P27=#REF!,"HUMANIZACION EN EL SERVICIO DE LA SALUD Y BUENAS PRACTICAS EN PACIENTE ",IF(P27=#REF!,"CLINICA DE HERIDAS ",IF(P27=#REF!,"TOMA DE CITOLOGIA CERVICO VAGINAL ",IF(P27=#REF!,"SOPORTE CARDIOVASCULAR AVANZADO (ACLS) ",IF(P27=#REF!,"CAMILLERO ",IF(P27=#REF!,"TOMA DE MUESTRAS Y LABORATORIO ",IF(P27=#REF!,"SOPORTE VITAL BASICO (BLS)",IF(P27=#REF!,"ATENCION A VICTIMAS DE VIOLENCIA SEXUAL ",IF(P27=#REF!,"PROGRAMADO AMPLIADO DE INMUNIZACION (PAI - COVID 19)",IF(P27=#REF!,"ATENCION INTEGRAL EN ENFERMEDADES PREVALENTES EN PRIMERA INFANCIA (AIEPI)",IF(P27=#REF!,"ADMINISTRACION DE MEDICAMENTOS, INYECTOLOGIA  Y CANALIZACION ",IF(P27=#REF!,"OPERADOR DE VEHICULOS DE EMERGENCIA (OVE)",IF(P27=#REF!,"INSTITUCIONES AMIGAS DE LA MUJER Y LA INFANCIA (IAMI)",IF(P27=#REF!,"CUIDADO DEL DONANTE DE ORGANOS",IF(P27=#REF!,"ATENCION A VICTIMAS POR VIOLENCIA DE GENERO",IF(P27=#REF!,"IGUALDAD DE GENERO EN LA SALUD",IF(P27=#REF!,"BRIGADA DE EMERGENCIA",IF(P27=#REF!,"MANEJO DEL DOLOR Y CUIDADOS PALIATIVOS",IF(P27=#REF!,"TOMA DE MUESTRAS Y LABORATORIO POCT",IF(P27=#REF!,"IMPLANTE SUBDERMICO DE DISPOSITIVO INTRAUTERINO",IF(P27=#REF!,"SALUD MENTAL",IF(P27=#REF!,"PRIMEROS AUXILIOS PSICOLOGICOS",IF(P27=#REF!,"ATENCION A VICTIMAS POR CONFLICTO ARMADO",IF(P27=#REF!,"MANIPULACION DE ALIMENTOS Y BPM",IF(P27=#REF!,"ATENCION A PERSONAS CON DISCAPACIDAD",IF(P27=#REF!,"CUIDADO INTEGRAL DEL PACIENTE ADULTO",IF(P27=#REF!,"MANEJO DEFENSIVO",IF(P27=#REF!,"SOPORTE CARDIOVASCULAR AVANZADO NEONATAL",IF(P27=#REF!,"SEGURIDAD DEL PACIENTE",IF(P27=#REF!,"MANEJO DE RESIDUOS HOSPITALARIOS"))))))))))))))))))))))))))))))))))))</f>
        <v>#REF!</v>
      </c>
      <c r="W27" s="26" t="str">
        <f t="shared" si="0"/>
        <v>Carmen Yoly Delgado Rivera</v>
      </c>
      <c r="X27" s="26" t="str">
        <f t="shared" si="1"/>
        <v>Carmen Yoly Delgado Rivera</v>
      </c>
      <c r="Y27" s="26" t="str">
        <f t="shared" si="2"/>
        <v>Carmen Yoly Delgado Rivera-36953195-DUELO</v>
      </c>
    </row>
    <row r="28" spans="1:25" s="19" customFormat="1" x14ac:dyDescent="0.2">
      <c r="A28" s="20">
        <v>27</v>
      </c>
      <c r="B28" s="21">
        <v>31601962</v>
      </c>
      <c r="C28" s="21" t="s">
        <v>121</v>
      </c>
      <c r="D28" s="21" t="s">
        <v>122</v>
      </c>
      <c r="E28" s="21" t="s">
        <v>123</v>
      </c>
      <c r="F28" s="21" t="s">
        <v>124</v>
      </c>
      <c r="G28" s="21">
        <v>9</v>
      </c>
      <c r="H28" s="21" t="s">
        <v>49</v>
      </c>
      <c r="I28" s="22" t="s">
        <v>376</v>
      </c>
      <c r="J28" s="22"/>
      <c r="K28" s="23">
        <v>45666</v>
      </c>
      <c r="L28" s="24">
        <v>30000</v>
      </c>
      <c r="M28" s="21" t="s">
        <v>79</v>
      </c>
      <c r="N28" s="21" t="s">
        <v>387</v>
      </c>
      <c r="O28" s="21" t="s">
        <v>77</v>
      </c>
      <c r="P28" s="21" t="s">
        <v>125</v>
      </c>
      <c r="Q28" s="22"/>
      <c r="R28" s="21"/>
      <c r="S28" s="21"/>
      <c r="T28" s="25"/>
      <c r="U28" s="21"/>
      <c r="V28" s="26" t="e">
        <f>IF(P28=#REF!,"DIPLOMADO EN ATENCION PRE-HOSPITALARIA",IF(P28=#REF!,"ACOMPAÑAMIENTO Y MANEJO DEL DUELO",IF(P28=#REF!,"ATENCION A VICTIMAS DE ATAQUE CON AGENTES QUIMICOS ",IF(P28=#REF!,"PRIMEROS AUXILIOS ",IF(P28=#REF!,"DIPLOMADO DE UNIDAD DE CUIDADOS INTENSIVOS (UCI)",IF(P28=#REF!,"MODELO DE ATENCION PARA EVENTOS EMERGENTES EN SALUD MENTAL (CODIGO VERDE)",IF(P28=#REF!,"HUMANIZACION EN EL SERVICIO DE LA SALUD Y BUENAS PRACTICAS EN PACIENTE ",IF(P28=#REF!,"CLINICA DE HERIDAS ",IF(P28=#REF!,"TOMA DE CITOLOGIA CERVICO VAGINAL ",IF(P28=#REF!,"SOPORTE CARDIOVASCULAR AVANZADO (ACLS) ",IF(P28=#REF!,"CAMILLERO ",IF(P28=#REF!,"TOMA DE MUESTRAS Y LABORATORIO ",IF(P28=#REF!,"SOPORTE VITAL BASICO (BLS)",IF(P28=#REF!,"ATENCION A VICTIMAS DE VIOLENCIA SEXUAL ",IF(P28=#REF!,"PROGRAMADO AMPLIADO DE INMUNIZACION (PAI - COVID 19)",IF(P28=#REF!,"ATENCION INTEGRAL EN ENFERMEDADES PREVALENTES EN PRIMERA INFANCIA (AIEPI)",IF(P28=#REF!,"ADMINISTRACION DE MEDICAMENTOS, INYECTOLOGIA  Y CANALIZACION ",IF(P28=#REF!,"OPERADOR DE VEHICULOS DE EMERGENCIA (OVE)",IF(P28=#REF!,"INSTITUCIONES AMIGAS DE LA MUJER Y LA INFANCIA (IAMI)",IF(P28=#REF!,"CUIDADO DEL DONANTE DE ORGANOS",IF(P28=#REF!,"ATENCION A VICTIMAS POR VIOLENCIA DE GENERO",IF(P28=#REF!,"IGUALDAD DE GENERO EN LA SALUD",IF(P28=#REF!,"BRIGADA DE EMERGENCIA",IF(P28=#REF!,"MANEJO DEL DOLOR Y CUIDADOS PALIATIVOS",IF(P28=#REF!,"TOMA DE MUESTRAS Y LABORATORIO POCT",IF(P28=#REF!,"IMPLANTE SUBDERMICO DE DISPOSITIVO INTRAUTERINO",IF(P28=#REF!,"SALUD MENTAL",IF(P28=#REF!,"PRIMEROS AUXILIOS PSICOLOGICOS",IF(P28=#REF!,"ATENCION A VICTIMAS POR CONFLICTO ARMADO",IF(P28=#REF!,"MANIPULACION DE ALIMENTOS Y BPM",IF(P28=#REF!,"ATENCION A PERSONAS CON DISCAPACIDAD",IF(P28=#REF!,"CUIDADO INTEGRAL DEL PACIENTE ADULTO",IF(P28=#REF!,"MANEJO DEFENSIVO",IF(P28=#REF!,"SOPORTE CARDIOVASCULAR AVANZADO NEONATAL",IF(P28=#REF!,"SEGURIDAD DEL PACIENTE",IF(P28=#REF!,"MANEJO DE RESIDUOS HOSPITALARIOS"))))))))))))))))))))))))))))))))))))</f>
        <v>#REF!</v>
      </c>
      <c r="W28" s="26" t="str">
        <f t="shared" si="0"/>
        <v>Lida Fernanda Estacio Wisamano</v>
      </c>
      <c r="X28" s="26" t="str">
        <f t="shared" si="1"/>
        <v>Lida Fernanda Estacio Wisamano</v>
      </c>
      <c r="Y28" s="26" t="str">
        <f t="shared" si="2"/>
        <v>Lida Fernanda Estacio Wisamano-31601962-TRIAGE</v>
      </c>
    </row>
    <row r="29" spans="1:25" s="19" customFormat="1" x14ac:dyDescent="0.2">
      <c r="A29" s="20">
        <v>28</v>
      </c>
      <c r="B29" s="21">
        <v>31601962</v>
      </c>
      <c r="C29" s="21" t="s">
        <v>121</v>
      </c>
      <c r="D29" s="21" t="s">
        <v>122</v>
      </c>
      <c r="E29" s="21" t="s">
        <v>123</v>
      </c>
      <c r="F29" s="21" t="s">
        <v>124</v>
      </c>
      <c r="G29" s="21">
        <v>8</v>
      </c>
      <c r="H29" s="21" t="s">
        <v>49</v>
      </c>
      <c r="I29" s="22" t="s">
        <v>376</v>
      </c>
      <c r="J29" s="22"/>
      <c r="K29" s="23">
        <v>45666</v>
      </c>
      <c r="L29" s="24">
        <v>30000</v>
      </c>
      <c r="M29" s="21" t="s">
        <v>79</v>
      </c>
      <c r="N29" s="21" t="s">
        <v>387</v>
      </c>
      <c r="O29" s="21" t="s">
        <v>77</v>
      </c>
      <c r="P29" s="21" t="s">
        <v>21</v>
      </c>
      <c r="Q29" s="22"/>
      <c r="R29" s="21"/>
      <c r="S29" s="21"/>
      <c r="T29" s="25"/>
      <c r="U29" s="21"/>
      <c r="V29" s="26" t="e">
        <f>IF(P29=#REF!,"DIPLOMADO EN ATENCION PRE-HOSPITALARIA",IF(P29=#REF!,"ACOMPAÑAMIENTO Y MANEJO DEL DUELO",IF(P29=#REF!,"ATENCION A VICTIMAS DE ATAQUE CON AGENTES QUIMICOS ",IF(P29=#REF!,"PRIMEROS AUXILIOS ",IF(P29=#REF!,"DIPLOMADO DE UNIDAD DE CUIDADOS INTENSIVOS (UCI)",IF(P29=#REF!,"MODELO DE ATENCION PARA EVENTOS EMERGENTES EN SALUD MENTAL (CODIGO VERDE)",IF(P29=#REF!,"HUMANIZACION EN EL SERVICIO DE LA SALUD Y BUENAS PRACTICAS EN PACIENTE ",IF(P29=#REF!,"CLINICA DE HERIDAS ",IF(P29=#REF!,"TOMA DE CITOLOGIA CERVICO VAGINAL ",IF(P29=#REF!,"SOPORTE CARDIOVASCULAR AVANZADO (ACLS) ",IF(P29=#REF!,"CAMILLERO ",IF(P29=#REF!,"TOMA DE MUESTRAS Y LABORATORIO ",IF(P29=#REF!,"SOPORTE VITAL BASICO (BLS)",IF(P29=#REF!,"ATENCION A VICTIMAS DE VIOLENCIA SEXUAL ",IF(P29=#REF!,"PROGRAMADO AMPLIADO DE INMUNIZACION (PAI - COVID 19)",IF(P29=#REF!,"ATENCION INTEGRAL EN ENFERMEDADES PREVALENTES EN PRIMERA INFANCIA (AIEPI)",IF(P29=#REF!,"ADMINISTRACION DE MEDICAMENTOS, INYECTOLOGIA  Y CANALIZACION ",IF(P29=#REF!,"OPERADOR DE VEHICULOS DE EMERGENCIA (OVE)",IF(P29=#REF!,"INSTITUCIONES AMIGAS DE LA MUJER Y LA INFANCIA (IAMI)",IF(P29=#REF!,"CUIDADO DEL DONANTE DE ORGANOS",IF(P29=#REF!,"ATENCION A VICTIMAS POR VIOLENCIA DE GENERO",IF(P29=#REF!,"IGUALDAD DE GENERO EN LA SALUD",IF(P29=#REF!,"BRIGADA DE EMERGENCIA",IF(P29=#REF!,"MANEJO DEL DOLOR Y CUIDADOS PALIATIVOS",IF(P29=#REF!,"TOMA DE MUESTRAS Y LABORATORIO POCT",IF(P29=#REF!,"IMPLANTE SUBDERMICO DE DISPOSITIVO INTRAUTERINO",IF(P29=#REF!,"SALUD MENTAL",IF(P29=#REF!,"PRIMEROS AUXILIOS PSICOLOGICOS",IF(P29=#REF!,"ATENCION A VICTIMAS POR CONFLICTO ARMADO",IF(P29=#REF!,"MANIPULACION DE ALIMENTOS Y BPM",IF(P29=#REF!,"ATENCION A PERSONAS CON DISCAPACIDAD",IF(P29=#REF!,"CUIDADO INTEGRAL DEL PACIENTE ADULTO",IF(P29=#REF!,"MANEJO DEFENSIVO",IF(P29=#REF!,"SOPORTE CARDIOVASCULAR AVANZADO NEONATAL",IF(P29=#REF!,"SEGURIDAD DEL PACIENTE",IF(P29=#REF!,"MANEJO DE RESIDUOS HOSPITALARIOS"))))))))))))))))))))))))))))))))))))</f>
        <v>#REF!</v>
      </c>
      <c r="W29" s="26" t="str">
        <f t="shared" si="0"/>
        <v>Lida Fernanda Estacio Wisamano</v>
      </c>
      <c r="X29" s="26" t="str">
        <f t="shared" si="1"/>
        <v>Lida Fernanda Estacio Wisamano</v>
      </c>
      <c r="Y29" s="26" t="str">
        <f t="shared" si="2"/>
        <v>Lida Fernanda Estacio Wisamano-31601962-QUIMICOS</v>
      </c>
    </row>
    <row r="30" spans="1:25" s="19" customFormat="1" x14ac:dyDescent="0.2">
      <c r="A30" s="20">
        <v>29</v>
      </c>
      <c r="B30" s="21">
        <v>31601962</v>
      </c>
      <c r="C30" s="21" t="s">
        <v>121</v>
      </c>
      <c r="D30" s="21" t="s">
        <v>122</v>
      </c>
      <c r="E30" s="21" t="s">
        <v>123</v>
      </c>
      <c r="F30" s="21" t="s">
        <v>124</v>
      </c>
      <c r="G30" s="21">
        <v>8</v>
      </c>
      <c r="H30" s="21" t="s">
        <v>49</v>
      </c>
      <c r="I30" s="22" t="s">
        <v>376</v>
      </c>
      <c r="J30" s="22"/>
      <c r="K30" s="23">
        <v>45666</v>
      </c>
      <c r="L30" s="24">
        <v>30000</v>
      </c>
      <c r="M30" s="21" t="s">
        <v>79</v>
      </c>
      <c r="N30" s="21" t="s">
        <v>387</v>
      </c>
      <c r="O30" s="21" t="s">
        <v>77</v>
      </c>
      <c r="P30" s="21" t="s">
        <v>23</v>
      </c>
      <c r="Q30" s="22"/>
      <c r="R30" s="21"/>
      <c r="S30" s="21"/>
      <c r="T30" s="25"/>
      <c r="U30" s="21"/>
      <c r="V30" s="26" t="e">
        <f>IF(P30=#REF!,"DIPLOMADO EN ATENCION PRE-HOSPITALARIA",IF(P30=#REF!,"ACOMPAÑAMIENTO Y MANEJO DEL DUELO",IF(P30=#REF!,"ATENCION A VICTIMAS DE ATAQUE CON AGENTES QUIMICOS ",IF(P30=#REF!,"PRIMEROS AUXILIOS ",IF(P30=#REF!,"DIPLOMADO DE UNIDAD DE CUIDADOS INTENSIVOS (UCI)",IF(P30=#REF!,"MODELO DE ATENCION PARA EVENTOS EMERGENTES EN SALUD MENTAL (CODIGO VERDE)",IF(P30=#REF!,"HUMANIZACION EN EL SERVICIO DE LA SALUD Y BUENAS PRACTICAS EN PACIENTE ",IF(P30=#REF!,"CLINICA DE HERIDAS ",IF(P30=#REF!,"TOMA DE CITOLOGIA CERVICO VAGINAL ",IF(P30=#REF!,"SOPORTE CARDIOVASCULAR AVANZADO (ACLS) ",IF(P30=#REF!,"CAMILLERO ",IF(P30=#REF!,"TOMA DE MUESTRAS Y LABORATORIO ",IF(P30=#REF!,"SOPORTE VITAL BASICO (BLS)",IF(P30=#REF!,"ATENCION A VICTIMAS DE VIOLENCIA SEXUAL ",IF(P30=#REF!,"PROGRAMADO AMPLIADO DE INMUNIZACION (PAI - COVID 19)",IF(P30=#REF!,"ATENCION INTEGRAL EN ENFERMEDADES PREVALENTES EN PRIMERA INFANCIA (AIEPI)",IF(P30=#REF!,"ADMINISTRACION DE MEDICAMENTOS, INYECTOLOGIA  Y CANALIZACION ",IF(P30=#REF!,"OPERADOR DE VEHICULOS DE EMERGENCIA (OVE)",IF(P30=#REF!,"INSTITUCIONES AMIGAS DE LA MUJER Y LA INFANCIA (IAMI)",IF(P30=#REF!,"CUIDADO DEL DONANTE DE ORGANOS",IF(P30=#REF!,"ATENCION A VICTIMAS POR VIOLENCIA DE GENERO",IF(P30=#REF!,"IGUALDAD DE GENERO EN LA SALUD",IF(P30=#REF!,"BRIGADA DE EMERGENCIA",IF(P30=#REF!,"MANEJO DEL DOLOR Y CUIDADOS PALIATIVOS",IF(P30=#REF!,"TOMA DE MUESTRAS Y LABORATORIO POCT",IF(P30=#REF!,"IMPLANTE SUBDERMICO DE DISPOSITIVO INTRAUTERINO",IF(P30=#REF!,"SALUD MENTAL",IF(P30=#REF!,"PRIMEROS AUXILIOS PSICOLOGICOS",IF(P30=#REF!,"ATENCION A VICTIMAS POR CONFLICTO ARMADO",IF(P30=#REF!,"MANIPULACION DE ALIMENTOS Y BPM",IF(P30=#REF!,"ATENCION A PERSONAS CON DISCAPACIDAD",IF(P30=#REF!,"CUIDADO INTEGRAL DEL PACIENTE ADULTO",IF(P30=#REF!,"MANEJO DEFENSIVO",IF(P30=#REF!,"SOPORTE CARDIOVASCULAR AVANZADO NEONATAL",IF(P30=#REF!,"SEGURIDAD DEL PACIENTE",IF(P30=#REF!,"MANEJO DE RESIDUOS HOSPITALARIOS"))))))))))))))))))))))))))))))))))))</f>
        <v>#REF!</v>
      </c>
      <c r="W30" s="26" t="str">
        <f t="shared" si="0"/>
        <v>Lida Fernanda Estacio Wisamano</v>
      </c>
      <c r="X30" s="26" t="str">
        <f t="shared" si="1"/>
        <v>Lida Fernanda Estacio Wisamano</v>
      </c>
      <c r="Y30" s="26" t="str">
        <f t="shared" si="2"/>
        <v>Lida Fernanda Estacio Wisamano-31601962-HUMANIZACION</v>
      </c>
    </row>
    <row r="31" spans="1:25" s="19" customFormat="1" x14ac:dyDescent="0.2">
      <c r="A31" s="20">
        <v>30</v>
      </c>
      <c r="B31" s="21">
        <v>31601962</v>
      </c>
      <c r="C31" s="21" t="s">
        <v>121</v>
      </c>
      <c r="D31" s="21" t="s">
        <v>122</v>
      </c>
      <c r="E31" s="21" t="s">
        <v>123</v>
      </c>
      <c r="F31" s="21" t="s">
        <v>124</v>
      </c>
      <c r="G31" s="21">
        <v>7</v>
      </c>
      <c r="H31" s="21" t="s">
        <v>49</v>
      </c>
      <c r="I31" s="22" t="s">
        <v>376</v>
      </c>
      <c r="J31" s="22"/>
      <c r="K31" s="23">
        <v>45666</v>
      </c>
      <c r="L31" s="24">
        <v>30000</v>
      </c>
      <c r="M31" s="21" t="s">
        <v>79</v>
      </c>
      <c r="N31" s="21" t="s">
        <v>387</v>
      </c>
      <c r="O31" s="21" t="s">
        <v>77</v>
      </c>
      <c r="P31" s="21" t="s">
        <v>41</v>
      </c>
      <c r="Q31" s="22"/>
      <c r="R31" s="21"/>
      <c r="S31" s="21"/>
      <c r="T31" s="21"/>
      <c r="U31" s="21"/>
      <c r="V31" s="26" t="e">
        <f>IF(P31=#REF!,"DIPLOMADO EN ATENCION PRE-HOSPITALARIA",IF(P31=#REF!,"ACOMPAÑAMIENTO Y MANEJO DEL DUELO",IF(P31=#REF!,"ATENCION A VICTIMAS DE ATAQUE CON AGENTES QUIMICOS ",IF(P31=#REF!,"PRIMEROS AUXILIOS ",IF(P31=#REF!,"DIPLOMADO DE UNIDAD DE CUIDADOS INTENSIVOS (UCI)",IF(P31=#REF!,"MODELO DE ATENCION PARA EVENTOS EMERGENTES EN SALUD MENTAL (CODIGO VERDE)",IF(P31=#REF!,"HUMANIZACION EN EL SERVICIO DE LA SALUD Y BUENAS PRACTICAS EN PACIENTE ",IF(P31=#REF!,"CLINICA DE HERIDAS ",IF(P31=#REF!,"TOMA DE CITOLOGIA CERVICO VAGINAL ",IF(P31=#REF!,"SOPORTE CARDIOVASCULAR AVANZADO (ACLS) ",IF(P31=#REF!,"CAMILLERO ",IF(P31=#REF!,"TOMA DE MUESTRAS Y LABORATORIO ",IF(P31=#REF!,"SOPORTE VITAL BASICO (BLS)",IF(P31=#REF!,"ATENCION A VICTIMAS DE VIOLENCIA SEXUAL ",IF(P31=#REF!,"PROGRAMADO AMPLIADO DE INMUNIZACION (PAI - COVID 19)",IF(P31=#REF!,"ATENCION INTEGRAL EN ENFERMEDADES PREVALENTES EN PRIMERA INFANCIA (AIEPI)",IF(P31=#REF!,"ADMINISTRACION DE MEDICAMENTOS, INYECTOLOGIA  Y CANALIZACION ",IF(P31=#REF!,"OPERADOR DE VEHICULOS DE EMERGENCIA (OVE)",IF(P31=#REF!,"INSTITUCIONES AMIGAS DE LA MUJER Y LA INFANCIA (IAMI)",IF(P31=#REF!,"CUIDADO DEL DONANTE DE ORGANOS",IF(P31=#REF!,"ATENCION A VICTIMAS POR VIOLENCIA DE GENERO",IF(P31=#REF!,"IGUALDAD DE GENERO EN LA SALUD",IF(P31=#REF!,"BRIGADA DE EMERGENCIA",IF(P31=#REF!,"MANEJO DEL DOLOR Y CUIDADOS PALIATIVOS",IF(P31=#REF!,"TOMA DE MUESTRAS Y LABORATORIO POCT",IF(P31=#REF!,"IMPLANTE SUBDERMICO DE DISPOSITIVO INTRAUTERINO",IF(P31=#REF!,"SALUD MENTAL",IF(P31=#REF!,"PRIMEROS AUXILIOS PSICOLOGICOS",IF(P31=#REF!,"ATENCION A VICTIMAS POR CONFLICTO ARMADO",IF(P31=#REF!,"MANIPULACION DE ALIMENTOS Y BPM",IF(P31=#REF!,"ATENCION A PERSONAS CON DISCAPACIDAD",IF(P31=#REF!,"CUIDADO INTEGRAL DEL PACIENTE ADULTO",IF(P31=#REF!,"MANEJO DEFENSIVO",IF(P31=#REF!,"SOPORTE CARDIOVASCULAR AVANZADO NEONATAL",IF(P31=#REF!,"SEGURIDAD DEL PACIENTE",IF(P31=#REF!,"MANEJO DE RESIDUOS HOSPITALARIOS"))))))))))))))))))))))))))))))))))))</f>
        <v>#REF!</v>
      </c>
      <c r="W31" s="26" t="str">
        <f t="shared" si="0"/>
        <v>Lida Fernanda Estacio Wisamano</v>
      </c>
      <c r="X31" s="26" t="str">
        <f t="shared" si="1"/>
        <v>Lida Fernanda Estacio Wisamano</v>
      </c>
      <c r="Y31" s="26" t="str">
        <f t="shared" si="2"/>
        <v>Lida Fernanda Estacio Wisamano-31601962-PACIENTE</v>
      </c>
    </row>
    <row r="32" spans="1:25" s="19" customFormat="1" x14ac:dyDescent="0.2">
      <c r="A32" s="20">
        <v>31</v>
      </c>
      <c r="B32" s="21">
        <v>31601962</v>
      </c>
      <c r="C32" s="21" t="s">
        <v>121</v>
      </c>
      <c r="D32" s="21" t="s">
        <v>122</v>
      </c>
      <c r="E32" s="21" t="s">
        <v>123</v>
      </c>
      <c r="F32" s="21" t="s">
        <v>124</v>
      </c>
      <c r="G32" s="21">
        <v>7</v>
      </c>
      <c r="H32" s="21" t="s">
        <v>49</v>
      </c>
      <c r="I32" s="22" t="s">
        <v>376</v>
      </c>
      <c r="J32" s="22"/>
      <c r="K32" s="23">
        <v>45666</v>
      </c>
      <c r="L32" s="24">
        <v>20000</v>
      </c>
      <c r="M32" s="21" t="s">
        <v>79</v>
      </c>
      <c r="N32" s="21" t="s">
        <v>387</v>
      </c>
      <c r="O32" s="21" t="s">
        <v>77</v>
      </c>
      <c r="P32" s="21" t="s">
        <v>31</v>
      </c>
      <c r="Q32" s="22"/>
      <c r="R32" s="21"/>
      <c r="S32" s="21"/>
      <c r="T32" s="28"/>
      <c r="U32" s="21"/>
      <c r="V32" s="26" t="e">
        <f>IF(P32=#REF!,"DIPLOMADO EN ATENCION PRE-HOSPITALARIA",IF(P32=#REF!,"ACOMPAÑAMIENTO Y MANEJO DEL DUELO",IF(P32=#REF!,"ATENCION A VICTIMAS DE ATAQUE CON AGENTES QUIMICOS ",IF(P32=#REF!,"PRIMEROS AUXILIOS ",IF(P32=#REF!,"DIPLOMADO DE UNIDAD DE CUIDADOS INTENSIVOS (UCI)",IF(P32=#REF!,"MODELO DE ATENCION PARA EVENTOS EMERGENTES EN SALUD MENTAL (CODIGO VERDE)",IF(P32=#REF!,"HUMANIZACION EN EL SERVICIO DE LA SALUD Y BUENAS PRACTICAS EN PACIENTE ",IF(P32=#REF!,"CLINICA DE HERIDAS ",IF(P32=#REF!,"TOMA DE CITOLOGIA CERVICO VAGINAL ",IF(P32=#REF!,"SOPORTE CARDIOVASCULAR AVANZADO (ACLS) ",IF(P32=#REF!,"CAMILLERO ",IF(P32=#REF!,"TOMA DE MUESTRAS Y LABORATORIO ",IF(P32=#REF!,"SOPORTE VITAL BASICO (BLS)",IF(P32=#REF!,"ATENCION A VICTIMAS DE VIOLENCIA SEXUAL ",IF(P32=#REF!,"PROGRAMADO AMPLIADO DE INMUNIZACION (PAI - COVID 19)",IF(P32=#REF!,"ATENCION INTEGRAL EN ENFERMEDADES PREVALENTES EN PRIMERA INFANCIA (AIEPI)",IF(P32=#REF!,"ADMINISTRACION DE MEDICAMENTOS, INYECTOLOGIA  Y CANALIZACION ",IF(P32=#REF!,"OPERADOR DE VEHICULOS DE EMERGENCIA (OVE)",IF(P32=#REF!,"INSTITUCIONES AMIGAS DE LA MUJER Y LA INFANCIA (IAMI)",IF(P32=#REF!,"CUIDADO DEL DONANTE DE ORGANOS",IF(P32=#REF!,"ATENCION A VICTIMAS POR VIOLENCIA DE GENERO",IF(P32=#REF!,"IGUALDAD DE GENERO EN LA SALUD",IF(P32=#REF!,"BRIGADA DE EMERGENCIA",IF(P32=#REF!,"MANEJO DEL DOLOR Y CUIDADOS PALIATIVOS",IF(P32=#REF!,"TOMA DE MUESTRAS Y LABORATORIO POCT",IF(P32=#REF!,"IMPLANTE SUBDERMICO DE DISPOSITIVO INTRAUTERINO",IF(P32=#REF!,"SALUD MENTAL",IF(P32=#REF!,"PRIMEROS AUXILIOS PSICOLOGICOS",IF(P32=#REF!,"ATENCION A VICTIMAS POR CONFLICTO ARMADO",IF(P32=#REF!,"MANIPULACION DE ALIMENTOS Y BPM",IF(P32=#REF!,"ATENCION A PERSONAS CON DISCAPACIDAD",IF(P32=#REF!,"CUIDADO INTEGRAL DEL PACIENTE ADULTO",IF(P32=#REF!,"MANEJO DEFENSIVO",IF(P32=#REF!,"SOPORTE CARDIOVASCULAR AVANZADO NEONATAL",IF(P32=#REF!,"SEGURIDAD DEL PACIENTE",IF(P32=#REF!,"MANEJO DE RESIDUOS HOSPITALARIOS"))))))))))))))))))))))))))))))))))))</f>
        <v>#REF!</v>
      </c>
      <c r="W32" s="26" t="str">
        <f t="shared" si="0"/>
        <v>Lida Fernanda Estacio Wisamano</v>
      </c>
      <c r="X32" s="26" t="str">
        <f t="shared" si="1"/>
        <v>Lida Fernanda Estacio Wisamano</v>
      </c>
      <c r="Y32" s="26" t="str">
        <f t="shared" si="2"/>
        <v>Lida Fernanda Estacio Wisamano-31601962-IAMI</v>
      </c>
    </row>
    <row r="33" spans="1:25" s="19" customFormat="1" x14ac:dyDescent="0.2">
      <c r="A33" s="20">
        <v>32</v>
      </c>
      <c r="B33" s="21">
        <v>31601962</v>
      </c>
      <c r="C33" s="21" t="s">
        <v>121</v>
      </c>
      <c r="D33" s="21" t="s">
        <v>122</v>
      </c>
      <c r="E33" s="21" t="s">
        <v>123</v>
      </c>
      <c r="F33" s="21" t="s">
        <v>124</v>
      </c>
      <c r="G33" s="21">
        <v>9</v>
      </c>
      <c r="H33" s="21" t="s">
        <v>49</v>
      </c>
      <c r="I33" s="22" t="s">
        <v>376</v>
      </c>
      <c r="J33" s="22"/>
      <c r="K33" s="23">
        <v>45666</v>
      </c>
      <c r="L33" s="24">
        <v>20000</v>
      </c>
      <c r="M33" s="21" t="s">
        <v>79</v>
      </c>
      <c r="N33" s="21" t="s">
        <v>387</v>
      </c>
      <c r="O33" s="21" t="s">
        <v>77</v>
      </c>
      <c r="P33" s="21" t="s">
        <v>28</v>
      </c>
      <c r="Q33" s="22"/>
      <c r="R33" s="21"/>
      <c r="S33" s="21"/>
      <c r="T33" s="21"/>
      <c r="U33" s="21"/>
      <c r="V33" s="26" t="e">
        <f>IF(P33=#REF!,"DIPLOMADO EN ATENCION PRE-HOSPITALARIA",IF(P33=#REF!,"ACOMPAÑAMIENTO Y MANEJO DEL DUELO",IF(P33=#REF!,"ATENCION A VICTIMAS DE ATAQUE CON AGENTES QUIMICOS ",IF(P33=#REF!,"PRIMEROS AUXILIOS ",IF(P33=#REF!,"DIPLOMADO DE UNIDAD DE CUIDADOS INTENSIVOS (UCI)",IF(P33=#REF!,"MODELO DE ATENCION PARA EVENTOS EMERGENTES EN SALUD MENTAL (CODIGO VERDE)",IF(P33=#REF!,"HUMANIZACION EN EL SERVICIO DE LA SALUD Y BUENAS PRACTICAS EN PACIENTE ",IF(P33=#REF!,"CLINICA DE HERIDAS ",IF(P33=#REF!,"TOMA DE CITOLOGIA CERVICO VAGINAL ",IF(P33=#REF!,"SOPORTE CARDIOVASCULAR AVANZADO (ACLS) ",IF(P33=#REF!,"CAMILLERO ",IF(P33=#REF!,"TOMA DE MUESTRAS Y LABORATORIO ",IF(P33=#REF!,"SOPORTE VITAL BASICO (BLS)",IF(P33=#REF!,"ATENCION A VICTIMAS DE VIOLENCIA SEXUAL ",IF(P33=#REF!,"PROGRAMADO AMPLIADO DE INMUNIZACION (PAI - COVID 19)",IF(P33=#REF!,"ATENCION INTEGRAL EN ENFERMEDADES PREVALENTES EN PRIMERA INFANCIA (AIEPI)",IF(P33=#REF!,"ADMINISTRACION DE MEDICAMENTOS, INYECTOLOGIA  Y CANALIZACION ",IF(P33=#REF!,"OPERADOR DE VEHICULOS DE EMERGENCIA (OVE)",IF(P33=#REF!,"INSTITUCIONES AMIGAS DE LA MUJER Y LA INFANCIA (IAMI)",IF(P33=#REF!,"CUIDADO DEL DONANTE DE ORGANOS",IF(P33=#REF!,"ATENCION A VICTIMAS POR VIOLENCIA DE GENERO",IF(P33=#REF!,"IGUALDAD DE GENERO EN LA SALUD",IF(P33=#REF!,"BRIGADA DE EMERGENCIA",IF(P33=#REF!,"MANEJO DEL DOLOR Y CUIDADOS PALIATIVOS",IF(P33=#REF!,"TOMA DE MUESTRAS Y LABORATORIO POCT",IF(P33=#REF!,"IMPLANTE SUBDERMICO DE DISPOSITIVO INTRAUTERINO",IF(P33=#REF!,"SALUD MENTAL",IF(P33=#REF!,"PRIMEROS AUXILIOS PSICOLOGICOS",IF(P33=#REF!,"ATENCION A VICTIMAS POR CONFLICTO ARMADO",IF(P33=#REF!,"MANIPULACION DE ALIMENTOS Y BPM",IF(P33=#REF!,"ATENCION A PERSONAS CON DISCAPACIDAD",IF(P33=#REF!,"CUIDADO INTEGRAL DEL PACIENTE ADULTO",IF(P33=#REF!,"MANEJO DEFENSIVO",IF(P33=#REF!,"SOPORTE CARDIOVASCULAR AVANZADO NEONATAL",IF(P33=#REF!,"SEGURIDAD DEL PACIENTE",IF(P33=#REF!,"MANEJO DE RESIDUOS HOSPITALARIOS"))))))))))))))))))))))))))))))))))))</f>
        <v>#REF!</v>
      </c>
      <c r="W33" s="26" t="str">
        <f t="shared" si="0"/>
        <v>Lida Fernanda Estacio Wisamano</v>
      </c>
      <c r="X33" s="26" t="str">
        <f t="shared" si="1"/>
        <v>Lida Fernanda Estacio Wisamano</v>
      </c>
      <c r="Y33" s="26" t="str">
        <f t="shared" si="2"/>
        <v>Lida Fernanda Estacio Wisamano-31601962-AIEPI</v>
      </c>
    </row>
    <row r="34" spans="1:25" s="19" customFormat="1" x14ac:dyDescent="0.2">
      <c r="A34" s="20">
        <v>33</v>
      </c>
      <c r="B34" s="21">
        <v>1087647288</v>
      </c>
      <c r="C34" s="21" t="s">
        <v>85</v>
      </c>
      <c r="D34" s="21" t="s">
        <v>126</v>
      </c>
      <c r="E34" s="21" t="s">
        <v>127</v>
      </c>
      <c r="F34" s="21" t="s">
        <v>128</v>
      </c>
      <c r="G34" s="21">
        <v>9</v>
      </c>
      <c r="H34" s="21" t="s">
        <v>49</v>
      </c>
      <c r="I34" s="22" t="s">
        <v>377</v>
      </c>
      <c r="J34" s="22"/>
      <c r="K34" s="23">
        <v>45666</v>
      </c>
      <c r="L34" s="24">
        <v>51200</v>
      </c>
      <c r="M34" s="21" t="s">
        <v>106</v>
      </c>
      <c r="N34" s="21" t="s">
        <v>387</v>
      </c>
      <c r="O34" s="21" t="s">
        <v>69</v>
      </c>
      <c r="P34" s="21" t="s">
        <v>19</v>
      </c>
      <c r="Q34" s="22">
        <v>35265</v>
      </c>
      <c r="R34" s="21" t="s">
        <v>70</v>
      </c>
      <c r="S34" s="21" t="s">
        <v>131</v>
      </c>
      <c r="T34" s="21">
        <v>3127922534</v>
      </c>
      <c r="U34" s="21" t="s">
        <v>132</v>
      </c>
      <c r="V34" s="26" t="e">
        <f>IF(P34=#REF!,"DIPLOMADO EN ATENCION PRE-HOSPITALARIA",IF(P34=#REF!,"ACOMPAÑAMIENTO Y MANEJO DEL DUELO",IF(P34=#REF!,"ATENCION A VICTIMAS DE ATAQUE CON AGENTES QUIMICOS ",IF(P34=#REF!,"PRIMEROS AUXILIOS ",IF(P34=#REF!,"DIPLOMADO DE UNIDAD DE CUIDADOS INTENSIVOS (UCI)",IF(P34=#REF!,"MODELO DE ATENCION PARA EVENTOS EMERGENTES EN SALUD MENTAL (CODIGO VERDE)",IF(P34=#REF!,"HUMANIZACION EN EL SERVICIO DE LA SALUD Y BUENAS PRACTICAS EN PACIENTE ",IF(P34=#REF!,"CLINICA DE HERIDAS ",IF(P34=#REF!,"TOMA DE CITOLOGIA CERVICO VAGINAL ",IF(P34=#REF!,"SOPORTE CARDIOVASCULAR AVANZADO (ACLS) ",IF(P34=#REF!,"CAMILLERO ",IF(P34=#REF!,"TOMA DE MUESTRAS Y LABORATORIO ",IF(P34=#REF!,"SOPORTE VITAL BASICO (BLS)",IF(P34=#REF!,"ATENCION A VICTIMAS DE VIOLENCIA SEXUAL ",IF(P34=#REF!,"PROGRAMADO AMPLIADO DE INMUNIZACION (PAI - COVID 19)",IF(P34=#REF!,"ATENCION INTEGRAL EN ENFERMEDADES PREVALENTES EN PRIMERA INFANCIA (AIEPI)",IF(P34=#REF!,"ADMINISTRACION DE MEDICAMENTOS, INYECTOLOGIA  Y CANALIZACION ",IF(P34=#REF!,"OPERADOR DE VEHICULOS DE EMERGENCIA (OVE)",IF(P34=#REF!,"INSTITUCIONES AMIGAS DE LA MUJER Y LA INFANCIA (IAMI)",IF(P34=#REF!,"CUIDADO DEL DONANTE DE ORGANOS",IF(P34=#REF!,"ATENCION A VICTIMAS POR VIOLENCIA DE GENERO",IF(P34=#REF!,"IGUALDAD DE GENERO EN LA SALUD",IF(P34=#REF!,"BRIGADA DE EMERGENCIA",IF(P34=#REF!,"MANEJO DEL DOLOR Y CUIDADOS PALIATIVOS",IF(P34=#REF!,"TOMA DE MUESTRAS Y LABORATORIO POCT",IF(P34=#REF!,"IMPLANTE SUBDERMICO DE DISPOSITIVO INTRAUTERINO",IF(P34=#REF!,"SALUD MENTAL",IF(P34=#REF!,"PRIMEROS AUXILIOS PSICOLOGICOS",IF(P34=#REF!,"ATENCION A VICTIMAS POR CONFLICTO ARMADO",IF(P34=#REF!,"MANIPULACION DE ALIMENTOS Y BPM",IF(P34=#REF!,"ATENCION A PERSONAS CON DISCAPACIDAD",IF(P34=#REF!,"CUIDADO INTEGRAL DEL PACIENTE ADULTO",IF(P34=#REF!,"MANEJO DEFENSIVO",IF(P34=#REF!,"SOPORTE CARDIOVASCULAR AVANZADO NEONATAL",IF(P34=#REF!,"SEGURIDAD DEL PACIENTE",IF(P34=#REF!,"MANEJO DE RESIDUOS HOSPITALARIOS"))))))))))))))))))))))))))))))))))))</f>
        <v>#REF!</v>
      </c>
      <c r="W34" s="26" t="str">
        <f t="shared" si="0"/>
        <v>Kevin Charlye Estrada Narvaez</v>
      </c>
      <c r="X34" s="26" t="str">
        <f t="shared" si="1"/>
        <v>Kevin Charlye Estrada Narvaez</v>
      </c>
      <c r="Y34" s="26" t="str">
        <f t="shared" si="2"/>
        <v>Kevin Charlye Estrada Narvaez-1087647288-BLS</v>
      </c>
    </row>
    <row r="35" spans="1:25" s="19" customFormat="1" x14ac:dyDescent="0.2">
      <c r="A35" s="20">
        <v>34</v>
      </c>
      <c r="B35" s="21">
        <v>1087647288</v>
      </c>
      <c r="C35" s="21" t="s">
        <v>85</v>
      </c>
      <c r="D35" s="21" t="s">
        <v>126</v>
      </c>
      <c r="E35" s="21" t="s">
        <v>127</v>
      </c>
      <c r="F35" s="21" t="s">
        <v>128</v>
      </c>
      <c r="G35" s="21">
        <v>8</v>
      </c>
      <c r="H35" s="21" t="s">
        <v>49</v>
      </c>
      <c r="I35" s="22" t="s">
        <v>377</v>
      </c>
      <c r="J35" s="22"/>
      <c r="K35" s="23">
        <v>45666</v>
      </c>
      <c r="L35" s="24">
        <v>51200</v>
      </c>
      <c r="M35" s="21" t="s">
        <v>106</v>
      </c>
      <c r="N35" s="21" t="s">
        <v>387</v>
      </c>
      <c r="O35" s="21" t="s">
        <v>69</v>
      </c>
      <c r="P35" s="21" t="s">
        <v>30</v>
      </c>
      <c r="Q35" s="22">
        <v>35265</v>
      </c>
      <c r="R35" s="21" t="s">
        <v>70</v>
      </c>
      <c r="S35" s="21" t="s">
        <v>131</v>
      </c>
      <c r="T35" s="21">
        <v>3127922534</v>
      </c>
      <c r="U35" s="21" t="s">
        <v>132</v>
      </c>
      <c r="V35" s="26" t="e">
        <f>IF(P35=#REF!,"DIPLOMADO EN ATENCION PRE-HOSPITALARIA",IF(P35=#REF!,"ACOMPAÑAMIENTO Y MANEJO DEL DUELO",IF(P35=#REF!,"ATENCION A VICTIMAS DE ATAQUE CON AGENTES QUIMICOS ",IF(P35=#REF!,"PRIMEROS AUXILIOS ",IF(P35=#REF!,"DIPLOMADO DE UNIDAD DE CUIDADOS INTENSIVOS (UCI)",IF(P35=#REF!,"MODELO DE ATENCION PARA EVENTOS EMERGENTES EN SALUD MENTAL (CODIGO VERDE)",IF(P35=#REF!,"HUMANIZACION EN EL SERVICIO DE LA SALUD Y BUENAS PRACTICAS EN PACIENTE ",IF(P35=#REF!,"CLINICA DE HERIDAS ",IF(P35=#REF!,"TOMA DE CITOLOGIA CERVICO VAGINAL ",IF(P35=#REF!,"SOPORTE CARDIOVASCULAR AVANZADO (ACLS) ",IF(P35=#REF!,"CAMILLERO ",IF(P35=#REF!,"TOMA DE MUESTRAS Y LABORATORIO ",IF(P35=#REF!,"SOPORTE VITAL BASICO (BLS)",IF(P35=#REF!,"ATENCION A VICTIMAS DE VIOLENCIA SEXUAL ",IF(P35=#REF!,"PROGRAMADO AMPLIADO DE INMUNIZACION (PAI - COVID 19)",IF(P35=#REF!,"ATENCION INTEGRAL EN ENFERMEDADES PREVALENTES EN PRIMERA INFANCIA (AIEPI)",IF(P35=#REF!,"ADMINISTRACION DE MEDICAMENTOS, INYECTOLOGIA  Y CANALIZACION ",IF(P35=#REF!,"OPERADOR DE VEHICULOS DE EMERGENCIA (OVE)",IF(P35=#REF!,"INSTITUCIONES AMIGAS DE LA MUJER Y LA INFANCIA (IAMI)",IF(P35=#REF!,"CUIDADO DEL DONANTE DE ORGANOS",IF(P35=#REF!,"ATENCION A VICTIMAS POR VIOLENCIA DE GENERO",IF(P35=#REF!,"IGUALDAD DE GENERO EN LA SALUD",IF(P35=#REF!,"BRIGADA DE EMERGENCIA",IF(P35=#REF!,"MANEJO DEL DOLOR Y CUIDADOS PALIATIVOS",IF(P35=#REF!,"TOMA DE MUESTRAS Y LABORATORIO POCT",IF(P35=#REF!,"IMPLANTE SUBDERMICO DE DISPOSITIVO INTRAUTERINO",IF(P35=#REF!,"SALUD MENTAL",IF(P35=#REF!,"PRIMEROS AUXILIOS PSICOLOGICOS",IF(P35=#REF!,"ATENCION A VICTIMAS POR CONFLICTO ARMADO",IF(P35=#REF!,"MANIPULACION DE ALIMENTOS Y BPM",IF(P35=#REF!,"ATENCION A PERSONAS CON DISCAPACIDAD",IF(P35=#REF!,"CUIDADO INTEGRAL DEL PACIENTE ADULTO",IF(P35=#REF!,"MANEJO DEFENSIVO",IF(P35=#REF!,"SOPORTE CARDIOVASCULAR AVANZADO NEONATAL",IF(P35=#REF!,"SEGURIDAD DEL PACIENTE",IF(P35=#REF!,"MANEJO DE RESIDUOS HOSPITALARIOS"))))))))))))))))))))))))))))))))))))</f>
        <v>#REF!</v>
      </c>
      <c r="W35" s="26" t="str">
        <f t="shared" si="0"/>
        <v>Kevin Charlye Estrada Narvaez</v>
      </c>
      <c r="X35" s="26" t="str">
        <f t="shared" si="1"/>
        <v>Kevin Charlye Estrada Narvaez</v>
      </c>
      <c r="Y35" s="26" t="str">
        <f t="shared" si="2"/>
        <v>Kevin Charlye Estrada Narvaez-1087647288-OVE</v>
      </c>
    </row>
    <row r="36" spans="1:25" s="19" customFormat="1" x14ac:dyDescent="0.2">
      <c r="A36" s="20">
        <v>35</v>
      </c>
      <c r="B36" s="21">
        <v>1087647288</v>
      </c>
      <c r="C36" s="21" t="s">
        <v>85</v>
      </c>
      <c r="D36" s="21" t="s">
        <v>126</v>
      </c>
      <c r="E36" s="21" t="s">
        <v>127</v>
      </c>
      <c r="F36" s="21" t="s">
        <v>128</v>
      </c>
      <c r="G36" s="21">
        <v>9</v>
      </c>
      <c r="H36" s="21" t="s">
        <v>49</v>
      </c>
      <c r="I36" s="22" t="s">
        <v>377</v>
      </c>
      <c r="J36" s="22"/>
      <c r="K36" s="23">
        <v>45666</v>
      </c>
      <c r="L36" s="24">
        <v>51200</v>
      </c>
      <c r="M36" s="21" t="s">
        <v>106</v>
      </c>
      <c r="N36" s="21" t="s">
        <v>387</v>
      </c>
      <c r="O36" s="21" t="s">
        <v>69</v>
      </c>
      <c r="P36" s="21" t="s">
        <v>129</v>
      </c>
      <c r="Q36" s="22">
        <v>35265</v>
      </c>
      <c r="R36" s="21" t="s">
        <v>70</v>
      </c>
      <c r="S36" s="21" t="s">
        <v>131</v>
      </c>
      <c r="T36" s="21">
        <v>3127922534</v>
      </c>
      <c r="U36" s="21" t="s">
        <v>132</v>
      </c>
      <c r="V36" s="26" t="e">
        <f>IF(P36=#REF!,"DIPLOMADO EN ATENCION PRE-HOSPITALARIA",IF(P36=#REF!,"ACOMPAÑAMIENTO Y MANEJO DEL DUELO",IF(P36=#REF!,"ATENCION A VICTIMAS DE ATAQUE CON AGENTES QUIMICOS ",IF(P36=#REF!,"PRIMEROS AUXILIOS ",IF(P36=#REF!,"DIPLOMADO DE UNIDAD DE CUIDADOS INTENSIVOS (UCI)",IF(P36=#REF!,"MODELO DE ATENCION PARA EVENTOS EMERGENTES EN SALUD MENTAL (CODIGO VERDE)",IF(P36=#REF!,"HUMANIZACION EN EL SERVICIO DE LA SALUD Y BUENAS PRACTICAS EN PACIENTE ",IF(P36=#REF!,"CLINICA DE HERIDAS ",IF(P36=#REF!,"TOMA DE CITOLOGIA CERVICO VAGINAL ",IF(P36=#REF!,"SOPORTE CARDIOVASCULAR AVANZADO (ACLS) ",IF(P36=#REF!,"CAMILLERO ",IF(P36=#REF!,"TOMA DE MUESTRAS Y LABORATORIO ",IF(P36=#REF!,"SOPORTE VITAL BASICO (BLS)",IF(P36=#REF!,"ATENCION A VICTIMAS DE VIOLENCIA SEXUAL ",IF(P36=#REF!,"PROGRAMADO AMPLIADO DE INMUNIZACION (PAI - COVID 19)",IF(P36=#REF!,"ATENCION INTEGRAL EN ENFERMEDADES PREVALENTES EN PRIMERA INFANCIA (AIEPI)",IF(P36=#REF!,"ADMINISTRACION DE MEDICAMENTOS, INYECTOLOGIA  Y CANALIZACION ",IF(P36=#REF!,"OPERADOR DE VEHICULOS DE EMERGENCIA (OVE)",IF(P36=#REF!,"INSTITUCIONES AMIGAS DE LA MUJER Y LA INFANCIA (IAMI)",IF(P36=#REF!,"CUIDADO DEL DONANTE DE ORGANOS",IF(P36=#REF!,"ATENCION A VICTIMAS POR VIOLENCIA DE GENERO",IF(P36=#REF!,"IGUALDAD DE GENERO EN LA SALUD",IF(P36=#REF!,"BRIGADA DE EMERGENCIA",IF(P36=#REF!,"MANEJO DEL DOLOR Y CUIDADOS PALIATIVOS",IF(P36=#REF!,"TOMA DE MUESTRAS Y LABORATORIO POCT",IF(P36=#REF!,"IMPLANTE SUBDERMICO DE DISPOSITIVO INTRAUTERINO",IF(P36=#REF!,"SALUD MENTAL",IF(P36=#REF!,"PRIMEROS AUXILIOS PSICOLOGICOS",IF(P36=#REF!,"ATENCION A VICTIMAS POR CONFLICTO ARMADO",IF(P36=#REF!,"MANIPULACION DE ALIMENTOS Y BPM",IF(P36=#REF!,"ATENCION A PERSONAS CON DISCAPACIDAD",IF(P36=#REF!,"CUIDADO INTEGRAL DEL PACIENTE ADULTO",IF(P36=#REF!,"MANEJO DEFENSIVO",IF(P36=#REF!,"SOPORTE CARDIOVASCULAR AVANZADO NEONATAL",IF(P36=#REF!,"SEGURIDAD DEL PACIENTE",IF(P36=#REF!,"MANEJO DE RESIDUOS HOSPITALARIOS"))))))))))))))))))))))))))))))))))))</f>
        <v>#REF!</v>
      </c>
      <c r="W36" s="26" t="str">
        <f t="shared" si="0"/>
        <v>Kevin Charlye Estrada Narvaez</v>
      </c>
      <c r="X36" s="26" t="str">
        <f t="shared" si="1"/>
        <v>Kevin Charlye Estrada Narvaez</v>
      </c>
      <c r="Y36" s="26" t="str">
        <f t="shared" si="2"/>
        <v>Kevin Charlye Estrada Narvaez-1087647288-DEA</v>
      </c>
    </row>
    <row r="37" spans="1:25" s="19" customFormat="1" x14ac:dyDescent="0.2">
      <c r="A37" s="20">
        <v>36</v>
      </c>
      <c r="B37" s="21">
        <v>1087647288</v>
      </c>
      <c r="C37" s="21" t="s">
        <v>85</v>
      </c>
      <c r="D37" s="21" t="s">
        <v>126</v>
      </c>
      <c r="E37" s="21" t="s">
        <v>127</v>
      </c>
      <c r="F37" s="21" t="s">
        <v>128</v>
      </c>
      <c r="G37" s="21">
        <v>10</v>
      </c>
      <c r="H37" s="21" t="s">
        <v>49</v>
      </c>
      <c r="I37" s="22" t="s">
        <v>377</v>
      </c>
      <c r="J37" s="22"/>
      <c r="K37" s="23">
        <v>45666</v>
      </c>
      <c r="L37" s="24">
        <v>51200</v>
      </c>
      <c r="M37" s="21" t="s">
        <v>106</v>
      </c>
      <c r="N37" s="21" t="s">
        <v>387</v>
      </c>
      <c r="O37" s="21" t="s">
        <v>69</v>
      </c>
      <c r="P37" s="21" t="s">
        <v>21</v>
      </c>
      <c r="Q37" s="22">
        <v>35265</v>
      </c>
      <c r="R37" s="21" t="s">
        <v>70</v>
      </c>
      <c r="S37" s="21" t="s">
        <v>131</v>
      </c>
      <c r="T37" s="21">
        <v>3127922534</v>
      </c>
      <c r="U37" s="21" t="s">
        <v>132</v>
      </c>
      <c r="V37" s="26" t="e">
        <f>IF(P37=#REF!,"DIPLOMADO EN ATENCION PRE-HOSPITALARIA",IF(P37=#REF!,"ACOMPAÑAMIENTO Y MANEJO DEL DUELO",IF(P37=#REF!,"ATENCION A VICTIMAS DE ATAQUE CON AGENTES QUIMICOS ",IF(P37=#REF!,"PRIMEROS AUXILIOS ",IF(P37=#REF!,"DIPLOMADO DE UNIDAD DE CUIDADOS INTENSIVOS (UCI)",IF(P37=#REF!,"MODELO DE ATENCION PARA EVENTOS EMERGENTES EN SALUD MENTAL (CODIGO VERDE)",IF(P37=#REF!,"HUMANIZACION EN EL SERVICIO DE LA SALUD Y BUENAS PRACTICAS EN PACIENTE ",IF(P37=#REF!,"CLINICA DE HERIDAS ",IF(P37=#REF!,"TOMA DE CITOLOGIA CERVICO VAGINAL ",IF(P37=#REF!,"SOPORTE CARDIOVASCULAR AVANZADO (ACLS) ",IF(P37=#REF!,"CAMILLERO ",IF(P37=#REF!,"TOMA DE MUESTRAS Y LABORATORIO ",IF(P37=#REF!,"SOPORTE VITAL BASICO (BLS)",IF(P37=#REF!,"ATENCION A VICTIMAS DE VIOLENCIA SEXUAL ",IF(P37=#REF!,"PROGRAMADO AMPLIADO DE INMUNIZACION (PAI - COVID 19)",IF(P37=#REF!,"ATENCION INTEGRAL EN ENFERMEDADES PREVALENTES EN PRIMERA INFANCIA (AIEPI)",IF(P37=#REF!,"ADMINISTRACION DE MEDICAMENTOS, INYECTOLOGIA  Y CANALIZACION ",IF(P37=#REF!,"OPERADOR DE VEHICULOS DE EMERGENCIA (OVE)",IF(P37=#REF!,"INSTITUCIONES AMIGAS DE LA MUJER Y LA INFANCIA (IAMI)",IF(P37=#REF!,"CUIDADO DEL DONANTE DE ORGANOS",IF(P37=#REF!,"ATENCION A VICTIMAS POR VIOLENCIA DE GENERO",IF(P37=#REF!,"IGUALDAD DE GENERO EN LA SALUD",IF(P37=#REF!,"BRIGADA DE EMERGENCIA",IF(P37=#REF!,"MANEJO DEL DOLOR Y CUIDADOS PALIATIVOS",IF(P37=#REF!,"TOMA DE MUESTRAS Y LABORATORIO POCT",IF(P37=#REF!,"IMPLANTE SUBDERMICO DE DISPOSITIVO INTRAUTERINO",IF(P37=#REF!,"SALUD MENTAL",IF(P37=#REF!,"PRIMEROS AUXILIOS PSICOLOGICOS",IF(P37=#REF!,"ATENCION A VICTIMAS POR CONFLICTO ARMADO",IF(P37=#REF!,"MANIPULACION DE ALIMENTOS Y BPM",IF(P37=#REF!,"ATENCION A PERSONAS CON DISCAPACIDAD",IF(P37=#REF!,"CUIDADO INTEGRAL DEL PACIENTE ADULTO",IF(P37=#REF!,"MANEJO DEFENSIVO",IF(P37=#REF!,"SOPORTE CARDIOVASCULAR AVANZADO NEONATAL",IF(P37=#REF!,"SEGURIDAD DEL PACIENTE",IF(P37=#REF!,"MANEJO DE RESIDUOS HOSPITALARIOS"))))))))))))))))))))))))))))))))))))</f>
        <v>#REF!</v>
      </c>
      <c r="W37" s="26" t="str">
        <f t="shared" si="0"/>
        <v>Kevin Charlye Estrada Narvaez</v>
      </c>
      <c r="X37" s="26" t="str">
        <f t="shared" si="1"/>
        <v>Kevin Charlye Estrada Narvaez</v>
      </c>
      <c r="Y37" s="26" t="str">
        <f t="shared" si="2"/>
        <v>Kevin Charlye Estrada Narvaez-1087647288-QUIMICOS</v>
      </c>
    </row>
    <row r="38" spans="1:25" s="19" customFormat="1" x14ac:dyDescent="0.2">
      <c r="A38" s="20">
        <v>37</v>
      </c>
      <c r="B38" s="21">
        <v>1087647288</v>
      </c>
      <c r="C38" s="21" t="s">
        <v>85</v>
      </c>
      <c r="D38" s="21" t="s">
        <v>126</v>
      </c>
      <c r="E38" s="21" t="s">
        <v>127</v>
      </c>
      <c r="F38" s="21" t="s">
        <v>128</v>
      </c>
      <c r="G38" s="21">
        <v>10</v>
      </c>
      <c r="H38" s="21" t="s">
        <v>49</v>
      </c>
      <c r="I38" s="22" t="s">
        <v>377</v>
      </c>
      <c r="J38" s="22"/>
      <c r="K38" s="23">
        <v>45666</v>
      </c>
      <c r="L38" s="24">
        <v>51200</v>
      </c>
      <c r="M38" s="21" t="s">
        <v>106</v>
      </c>
      <c r="N38" s="21" t="s">
        <v>387</v>
      </c>
      <c r="O38" s="21" t="s">
        <v>69</v>
      </c>
      <c r="P38" s="21" t="s">
        <v>27</v>
      </c>
      <c r="Q38" s="22">
        <v>35265</v>
      </c>
      <c r="R38" s="21" t="s">
        <v>70</v>
      </c>
      <c r="S38" s="21" t="s">
        <v>131</v>
      </c>
      <c r="T38" s="21">
        <v>3127922534</v>
      </c>
      <c r="U38" s="21" t="s">
        <v>132</v>
      </c>
      <c r="V38" s="26" t="e">
        <f>IF(P38=#REF!,"DIPLOMADO EN ATENCION PRE-HOSPITALARIA",IF(P38=#REF!,"ACOMPAÑAMIENTO Y MANEJO DEL DUELO",IF(P38=#REF!,"ATENCION A VICTIMAS DE ATAQUE CON AGENTES QUIMICOS ",IF(P38=#REF!,"PRIMEROS AUXILIOS ",IF(P38=#REF!,"DIPLOMADO DE UNIDAD DE CUIDADOS INTENSIVOS (UCI)",IF(P38=#REF!,"MODELO DE ATENCION PARA EVENTOS EMERGENTES EN SALUD MENTAL (CODIGO VERDE)",IF(P38=#REF!,"HUMANIZACION EN EL SERVICIO DE LA SALUD Y BUENAS PRACTICAS EN PACIENTE ",IF(P38=#REF!,"CLINICA DE HERIDAS ",IF(P38=#REF!,"TOMA DE CITOLOGIA CERVICO VAGINAL ",IF(P38=#REF!,"SOPORTE CARDIOVASCULAR AVANZADO (ACLS) ",IF(P38=#REF!,"CAMILLERO ",IF(P38=#REF!,"TOMA DE MUESTRAS Y LABORATORIO ",IF(P38=#REF!,"SOPORTE VITAL BASICO (BLS)",IF(P38=#REF!,"ATENCION A VICTIMAS DE VIOLENCIA SEXUAL ",IF(P38=#REF!,"PROGRAMADO AMPLIADO DE INMUNIZACION (PAI - COVID 19)",IF(P38=#REF!,"ATENCION INTEGRAL EN ENFERMEDADES PREVALENTES EN PRIMERA INFANCIA (AIEPI)",IF(P38=#REF!,"ADMINISTRACION DE MEDICAMENTOS, INYECTOLOGIA  Y CANALIZACION ",IF(P38=#REF!,"OPERADOR DE VEHICULOS DE EMERGENCIA (OVE)",IF(P38=#REF!,"INSTITUCIONES AMIGAS DE LA MUJER Y LA INFANCIA (IAMI)",IF(P38=#REF!,"CUIDADO DEL DONANTE DE ORGANOS",IF(P38=#REF!,"ATENCION A VICTIMAS POR VIOLENCIA DE GENERO",IF(P38=#REF!,"IGUALDAD DE GENERO EN LA SALUD",IF(P38=#REF!,"BRIGADA DE EMERGENCIA",IF(P38=#REF!,"MANEJO DEL DOLOR Y CUIDADOS PALIATIVOS",IF(P38=#REF!,"TOMA DE MUESTRAS Y LABORATORIO POCT",IF(P38=#REF!,"IMPLANTE SUBDERMICO DE DISPOSITIVO INTRAUTERINO",IF(P38=#REF!,"SALUD MENTAL",IF(P38=#REF!,"PRIMEROS AUXILIOS PSICOLOGICOS",IF(P38=#REF!,"ATENCION A VICTIMAS POR CONFLICTO ARMADO",IF(P38=#REF!,"MANIPULACION DE ALIMENTOS Y BPM",IF(P38=#REF!,"ATENCION A PERSONAS CON DISCAPACIDAD",IF(P38=#REF!,"CUIDADO INTEGRAL DEL PACIENTE ADULTO",IF(P38=#REF!,"MANEJO DEFENSIVO",IF(P38=#REF!,"SOPORTE CARDIOVASCULAR AVANZADO NEONATAL",IF(P38=#REF!,"SEGURIDAD DEL PACIENTE",IF(P38=#REF!,"MANEJO DE RESIDUOS HOSPITALARIOS"))))))))))))))))))))))))))))))))))))</f>
        <v>#REF!</v>
      </c>
      <c r="W38" s="26" t="str">
        <f t="shared" si="0"/>
        <v>Kevin Charlye Estrada Narvaez</v>
      </c>
      <c r="X38" s="26" t="str">
        <f t="shared" si="1"/>
        <v>Kevin Charlye Estrada Narvaez</v>
      </c>
      <c r="Y38" s="26" t="str">
        <f t="shared" si="2"/>
        <v>Kevin Charlye Estrada Narvaez-1087647288-VIOLENCIA SEXUAL</v>
      </c>
    </row>
    <row r="39" spans="1:25" s="19" customFormat="1" x14ac:dyDescent="0.2">
      <c r="A39" s="20">
        <v>38</v>
      </c>
      <c r="B39" s="21">
        <v>36953195</v>
      </c>
      <c r="C39" s="21" t="s">
        <v>116</v>
      </c>
      <c r="D39" s="21" t="s">
        <v>117</v>
      </c>
      <c r="E39" s="21" t="s">
        <v>118</v>
      </c>
      <c r="F39" s="21" t="s">
        <v>119</v>
      </c>
      <c r="G39" s="21">
        <v>9</v>
      </c>
      <c r="H39" s="21" t="s">
        <v>49</v>
      </c>
      <c r="I39" s="22" t="s">
        <v>376</v>
      </c>
      <c r="J39" s="22"/>
      <c r="K39" s="23">
        <v>45301</v>
      </c>
      <c r="L39" s="24">
        <v>20000</v>
      </c>
      <c r="M39" s="21" t="s">
        <v>106</v>
      </c>
      <c r="N39" s="21" t="s">
        <v>387</v>
      </c>
      <c r="O39" s="21" t="s">
        <v>95</v>
      </c>
      <c r="P39" s="21" t="s">
        <v>19</v>
      </c>
      <c r="Q39" s="22">
        <v>29651</v>
      </c>
      <c r="R39" s="21" t="s">
        <v>71</v>
      </c>
      <c r="S39" s="25" t="s">
        <v>109</v>
      </c>
      <c r="T39" s="21">
        <v>3223004497</v>
      </c>
      <c r="U39" s="25" t="s">
        <v>120</v>
      </c>
      <c r="V39" s="26" t="e">
        <f>IF(P39=#REF!,"DIPLOMADO EN ATENCION PRE-HOSPITALARIA",IF(P39=#REF!,"ACOMPAÑAMIENTO Y MANEJO DEL DUELO",IF(P39=#REF!,"ATENCION A VICTIMAS DE ATAQUE CON AGENTES QUIMICOS ",IF(P39=#REF!,"PRIMEROS AUXILIOS ",IF(P39=#REF!,"DIPLOMADO DE UNIDAD DE CUIDADOS INTENSIVOS (UCI)",IF(P39=#REF!,"MODELO DE ATENCION PARA EVENTOS EMERGENTES EN SALUD MENTAL (CODIGO VERDE)",IF(P39=#REF!,"HUMANIZACION EN EL SERVICIO DE LA SALUD Y BUENAS PRACTICAS EN PACIENTE ",IF(P39=#REF!,"CLINICA DE HERIDAS ",IF(P39=#REF!,"TOMA DE CITOLOGIA CERVICO VAGINAL ",IF(P39=#REF!,"SOPORTE CARDIOVASCULAR AVANZADO (ACLS) ",IF(P39=#REF!,"CAMILLERO ",IF(P39=#REF!,"TOMA DE MUESTRAS Y LABORATORIO ",IF(P39=#REF!,"SOPORTE VITAL BASICO (BLS)",IF(P39=#REF!,"ATENCION A VICTIMAS DE VIOLENCIA SEXUAL ",IF(P39=#REF!,"PROGRAMADO AMPLIADO DE INMUNIZACION (PAI - COVID 19)",IF(P39=#REF!,"ATENCION INTEGRAL EN ENFERMEDADES PREVALENTES EN PRIMERA INFANCIA (AIEPI)",IF(P39=#REF!,"ADMINISTRACION DE MEDICAMENTOS, INYECTOLOGIA  Y CANALIZACION ",IF(P39=#REF!,"OPERADOR DE VEHICULOS DE EMERGENCIA (OVE)",IF(P39=#REF!,"INSTITUCIONES AMIGAS DE LA MUJER Y LA INFANCIA (IAMI)",IF(P39=#REF!,"CUIDADO DEL DONANTE DE ORGANOS",IF(P39=#REF!,"ATENCION A VICTIMAS POR VIOLENCIA DE GENERO",IF(P39=#REF!,"IGUALDAD DE GENERO EN LA SALUD",IF(P39=#REF!,"BRIGADA DE EMERGENCIA",IF(P39=#REF!,"MANEJO DEL DOLOR Y CUIDADOS PALIATIVOS",IF(P39=#REF!,"TOMA DE MUESTRAS Y LABORATORIO POCT",IF(P39=#REF!,"IMPLANTE SUBDERMICO DE DISPOSITIVO INTRAUTERINO",IF(P39=#REF!,"SALUD MENTAL",IF(P39=#REF!,"PRIMEROS AUXILIOS PSICOLOGICOS",IF(P39=#REF!,"ATENCION A VICTIMAS POR CONFLICTO ARMADO",IF(P39=#REF!,"MANIPULACION DE ALIMENTOS Y BPM",IF(P39=#REF!,"ATENCION A PERSONAS CON DISCAPACIDAD",IF(P39=#REF!,"CUIDADO INTEGRAL DEL PACIENTE ADULTO",IF(P39=#REF!,"MANEJO DEFENSIVO",IF(P39=#REF!,"SOPORTE CARDIOVASCULAR AVANZADO NEONATAL",IF(P39=#REF!,"SEGURIDAD DEL PACIENTE",IF(P39=#REF!,"MANEJO DE RESIDUOS HOSPITALARIOS"))))))))))))))))))))))))))))))))))))</f>
        <v>#REF!</v>
      </c>
      <c r="W39" s="26" t="str">
        <f t="shared" si="0"/>
        <v>Carmen Yoly Delgado Rivera</v>
      </c>
      <c r="X39" s="26" t="str">
        <f t="shared" si="1"/>
        <v>Carmen Yoly Delgado Rivera</v>
      </c>
      <c r="Y39" s="26" t="str">
        <f t="shared" si="2"/>
        <v>Carmen Yoly Delgado Rivera-36953195-BLS</v>
      </c>
    </row>
    <row r="40" spans="1:25" s="19" customFormat="1" x14ac:dyDescent="0.2">
      <c r="A40" s="20">
        <v>39</v>
      </c>
      <c r="B40" s="21">
        <v>1089482317</v>
      </c>
      <c r="C40" s="21" t="s">
        <v>67</v>
      </c>
      <c r="D40" s="21" t="s">
        <v>80</v>
      </c>
      <c r="E40" s="21" t="s">
        <v>81</v>
      </c>
      <c r="F40" s="21" t="s">
        <v>130</v>
      </c>
      <c r="G40" s="21">
        <v>10</v>
      </c>
      <c r="H40" s="21" t="s">
        <v>49</v>
      </c>
      <c r="I40" s="22" t="s">
        <v>376</v>
      </c>
      <c r="J40" s="22"/>
      <c r="K40" s="23">
        <v>45665</v>
      </c>
      <c r="L40" s="24">
        <v>104000</v>
      </c>
      <c r="M40" s="21" t="s">
        <v>79</v>
      </c>
      <c r="N40" s="21" t="s">
        <v>386</v>
      </c>
      <c r="O40" s="21" t="s">
        <v>69</v>
      </c>
      <c r="P40" s="21" t="s">
        <v>24</v>
      </c>
      <c r="Q40" s="22">
        <v>45300</v>
      </c>
      <c r="R40" s="21" t="s">
        <v>71</v>
      </c>
      <c r="S40" s="25" t="s">
        <v>83</v>
      </c>
      <c r="T40" s="25">
        <v>3116068502</v>
      </c>
      <c r="U40" s="25" t="s">
        <v>84</v>
      </c>
      <c r="V40" s="26" t="e">
        <f>IF(P40=#REF!,"DIPLOMADO EN ATENCION PRE-HOSPITALARIA",IF(P40=#REF!,"ACOMPAÑAMIENTO Y MANEJO DEL DUELO",IF(P40=#REF!,"ATENCION A VICTIMAS DE ATAQUE CON AGENTES QUIMICOS ",IF(P40=#REF!,"PRIMEROS AUXILIOS ",IF(P40=#REF!,"DIPLOMADO DE UNIDAD DE CUIDADOS INTENSIVOS (UCI)",IF(P40=#REF!,"MODELO DE ATENCION PARA EVENTOS EMERGENTES EN SALUD MENTAL (CODIGO VERDE)",IF(P40=#REF!,"HUMANIZACION EN EL SERVICIO DE LA SALUD Y BUENAS PRACTICAS EN PACIENTE ",IF(P40=#REF!,"CLINICA DE HERIDAS ",IF(P40=#REF!,"TOMA DE CITOLOGIA CERVICO VAGINAL ",IF(P40=#REF!,"SOPORTE CARDIOVASCULAR AVANZADO (ACLS) ",IF(P40=#REF!,"CAMILLERO ",IF(P40=#REF!,"TOMA DE MUESTRAS Y LABORATORIO ",IF(P40=#REF!,"SOPORTE VITAL BASICO (BLS)",IF(P40=#REF!,"ATENCION A VICTIMAS DE VIOLENCIA SEXUAL ",IF(P40=#REF!,"PROGRAMADO AMPLIADO DE INMUNIZACION (PAI - COVID 19)",IF(P40=#REF!,"ATENCION INTEGRAL EN ENFERMEDADES PREVALENTES EN PRIMERA INFANCIA (AIEPI)",IF(P40=#REF!,"ADMINISTRACION DE MEDICAMENTOS, INYECTOLOGIA  Y CANALIZACION ",IF(P40=#REF!,"OPERADOR DE VEHICULOS DE EMERGENCIA (OVE)",IF(P40=#REF!,"INSTITUCIONES AMIGAS DE LA MUJER Y LA INFANCIA (IAMI)",IF(P40=#REF!,"CUIDADO DEL DONANTE DE ORGANOS",IF(P40=#REF!,"ATENCION A VICTIMAS POR VIOLENCIA DE GENERO",IF(P40=#REF!,"IGUALDAD DE GENERO EN LA SALUD",IF(P40=#REF!,"BRIGADA DE EMERGENCIA",IF(P40=#REF!,"MANEJO DEL DOLOR Y CUIDADOS PALIATIVOS",IF(P40=#REF!,"TOMA DE MUESTRAS Y LABORATORIO POCT",IF(P40=#REF!,"IMPLANTE SUBDERMICO DE DISPOSITIVO INTRAUTERINO",IF(P40=#REF!,"SALUD MENTAL",IF(P40=#REF!,"PRIMEROS AUXILIOS PSICOLOGICOS",IF(P40=#REF!,"ATENCION A VICTIMAS POR CONFLICTO ARMADO",IF(P40=#REF!,"MANIPULACION DE ALIMENTOS Y BPM",IF(P40=#REF!,"ATENCION A PERSONAS CON DISCAPACIDAD",IF(P40=#REF!,"CUIDADO INTEGRAL DEL PACIENTE ADULTO",IF(P40=#REF!,"MANEJO DEFENSIVO",IF(P40=#REF!,"SOPORTE CARDIOVASCULAR AVANZADO NEONATAL",IF(P40=#REF!,"SEGURIDAD DEL PACIENTE",IF(P40=#REF!,"MANEJO DE RESIDUOS HOSPITALARIOS"))))))))))))))))))))))))))))))))))))</f>
        <v>#REF!</v>
      </c>
      <c r="W40" s="26" t="str">
        <f t="shared" si="0"/>
        <v>Melissa ANDREA Burbano Erazo</v>
      </c>
      <c r="X40" s="26" t="str">
        <f t="shared" si="1"/>
        <v>Melissa Andrea Burbano Erazo</v>
      </c>
      <c r="Y40" s="26" t="str">
        <f t="shared" si="2"/>
        <v>Melissa ANDREA Burbano Erazo-1089482317-ACLS</v>
      </c>
    </row>
    <row r="41" spans="1:25" s="19" customFormat="1" x14ac:dyDescent="0.2">
      <c r="A41" s="20">
        <v>40</v>
      </c>
      <c r="B41" s="21">
        <v>1089482317</v>
      </c>
      <c r="C41" s="21" t="s">
        <v>67</v>
      </c>
      <c r="D41" s="21" t="s">
        <v>80</v>
      </c>
      <c r="E41" s="21" t="s">
        <v>81</v>
      </c>
      <c r="F41" s="21" t="s">
        <v>130</v>
      </c>
      <c r="G41" s="21">
        <v>10</v>
      </c>
      <c r="H41" s="21" t="s">
        <v>49</v>
      </c>
      <c r="I41" s="22" t="s">
        <v>376</v>
      </c>
      <c r="J41" s="22"/>
      <c r="K41" s="23">
        <v>45665</v>
      </c>
      <c r="L41" s="24">
        <v>32000</v>
      </c>
      <c r="M41" s="21" t="s">
        <v>79</v>
      </c>
      <c r="N41" s="21" t="s">
        <v>386</v>
      </c>
      <c r="O41" s="21" t="s">
        <v>69</v>
      </c>
      <c r="P41" s="21" t="s">
        <v>23</v>
      </c>
      <c r="Q41" s="22">
        <v>45300</v>
      </c>
      <c r="R41" s="21" t="s">
        <v>71</v>
      </c>
      <c r="S41" s="25" t="s">
        <v>83</v>
      </c>
      <c r="T41" s="25">
        <v>3116068502</v>
      </c>
      <c r="U41" s="25" t="s">
        <v>84</v>
      </c>
      <c r="V41" s="26" t="e">
        <f>IF(P41=#REF!,"DIPLOMADO EN ATENCION PRE-HOSPITALARIA",IF(P41=#REF!,"ACOMPAÑAMIENTO Y MANEJO DEL DUELO",IF(P41=#REF!,"ATENCION A VICTIMAS DE ATAQUE CON AGENTES QUIMICOS ",IF(P41=#REF!,"PRIMEROS AUXILIOS ",IF(P41=#REF!,"DIPLOMADO DE UNIDAD DE CUIDADOS INTENSIVOS (UCI)",IF(P41=#REF!,"MODELO DE ATENCION PARA EVENTOS EMERGENTES EN SALUD MENTAL (CODIGO VERDE)",IF(P41=#REF!,"HUMANIZACION EN EL SERVICIO DE LA SALUD Y BUENAS PRACTICAS EN PACIENTE ",IF(P41=#REF!,"CLINICA DE HERIDAS ",IF(P41=#REF!,"TOMA DE CITOLOGIA CERVICO VAGINAL ",IF(P41=#REF!,"SOPORTE CARDIOVASCULAR AVANZADO (ACLS) ",IF(P41=#REF!,"CAMILLERO ",IF(P41=#REF!,"TOMA DE MUESTRAS Y LABORATORIO ",IF(P41=#REF!,"SOPORTE VITAL BASICO (BLS)",IF(P41=#REF!,"ATENCION A VICTIMAS DE VIOLENCIA SEXUAL ",IF(P41=#REF!,"PROGRAMADO AMPLIADO DE INMUNIZACION (PAI - COVID 19)",IF(P41=#REF!,"ATENCION INTEGRAL EN ENFERMEDADES PREVALENTES EN PRIMERA INFANCIA (AIEPI)",IF(P41=#REF!,"ADMINISTRACION DE MEDICAMENTOS, INYECTOLOGIA  Y CANALIZACION ",IF(P41=#REF!,"OPERADOR DE VEHICULOS DE EMERGENCIA (OVE)",IF(P41=#REF!,"INSTITUCIONES AMIGAS DE LA MUJER Y LA INFANCIA (IAMI)",IF(P41=#REF!,"CUIDADO DEL DONANTE DE ORGANOS",IF(P41=#REF!,"ATENCION A VICTIMAS POR VIOLENCIA DE GENERO",IF(P41=#REF!,"IGUALDAD DE GENERO EN LA SALUD",IF(P41=#REF!,"BRIGADA DE EMERGENCIA",IF(P41=#REF!,"MANEJO DEL DOLOR Y CUIDADOS PALIATIVOS",IF(P41=#REF!,"TOMA DE MUESTRAS Y LABORATORIO POCT",IF(P41=#REF!,"IMPLANTE SUBDERMICO DE DISPOSITIVO INTRAUTERINO",IF(P41=#REF!,"SALUD MENTAL",IF(P41=#REF!,"PRIMEROS AUXILIOS PSICOLOGICOS",IF(P41=#REF!,"ATENCION A VICTIMAS POR CONFLICTO ARMADO",IF(P41=#REF!,"MANIPULACION DE ALIMENTOS Y BPM",IF(P41=#REF!,"ATENCION A PERSONAS CON DISCAPACIDAD",IF(P41=#REF!,"CUIDADO INTEGRAL DEL PACIENTE ADULTO",IF(P41=#REF!,"MANEJO DEFENSIVO",IF(P41=#REF!,"SOPORTE CARDIOVASCULAR AVANZADO NEONATAL",IF(P41=#REF!,"SEGURIDAD DEL PACIENTE",IF(P41=#REF!,"MANEJO DE RESIDUOS HOSPITALARIOS"))))))))))))))))))))))))))))))))))))</f>
        <v>#REF!</v>
      </c>
      <c r="W41" s="26" t="str">
        <f t="shared" si="0"/>
        <v>Melissa ANDREA Burbano Erazo</v>
      </c>
      <c r="X41" s="26" t="str">
        <f t="shared" si="1"/>
        <v>Melissa Andrea Burbano Erazo</v>
      </c>
      <c r="Y41" s="26" t="str">
        <f t="shared" si="2"/>
        <v>Melissa ANDREA Burbano Erazo-1089482317-HUMANIZACION</v>
      </c>
    </row>
    <row r="42" spans="1:25" s="19" customFormat="1" x14ac:dyDescent="0.2">
      <c r="A42" s="20">
        <v>41</v>
      </c>
      <c r="B42" s="21">
        <v>1089482317</v>
      </c>
      <c r="C42" s="21" t="s">
        <v>67</v>
      </c>
      <c r="D42" s="21" t="s">
        <v>80</v>
      </c>
      <c r="E42" s="21" t="s">
        <v>81</v>
      </c>
      <c r="F42" s="21" t="s">
        <v>82</v>
      </c>
      <c r="G42" s="21">
        <v>8</v>
      </c>
      <c r="H42" s="21" t="s">
        <v>49</v>
      </c>
      <c r="I42" s="22" t="s">
        <v>376</v>
      </c>
      <c r="J42" s="22"/>
      <c r="K42" s="23">
        <v>45665</v>
      </c>
      <c r="L42" s="24">
        <v>32000</v>
      </c>
      <c r="M42" s="21" t="s">
        <v>79</v>
      </c>
      <c r="N42" s="21" t="s">
        <v>387</v>
      </c>
      <c r="O42" s="21" t="s">
        <v>69</v>
      </c>
      <c r="P42" s="21" t="s">
        <v>27</v>
      </c>
      <c r="Q42" s="22">
        <v>33247</v>
      </c>
      <c r="R42" s="21" t="s">
        <v>71</v>
      </c>
      <c r="S42" s="25" t="s">
        <v>83</v>
      </c>
      <c r="T42" s="25">
        <v>3116068502</v>
      </c>
      <c r="U42" s="21" t="s">
        <v>84</v>
      </c>
      <c r="V42" s="26" t="e">
        <f>IF(P42=#REF!,"DIPLOMADO EN ATENCION PRE-HOSPITALARIA",IF(P42=#REF!,"ACOMPAÑAMIENTO Y MANEJO DEL DUELO",IF(P42=#REF!,"ATENCION A VICTIMAS DE ATAQUE CON AGENTES QUIMICOS ",IF(P42=#REF!,"PRIMEROS AUXILIOS ",IF(P42=#REF!,"DIPLOMADO DE UNIDAD DE CUIDADOS INTENSIVOS (UCI)",IF(P42=#REF!,"MODELO DE ATENCION PARA EVENTOS EMERGENTES EN SALUD MENTAL (CODIGO VERDE)",IF(P42=#REF!,"HUMANIZACION EN EL SERVICIO DE LA SALUD Y BUENAS PRACTICAS EN PACIENTE ",IF(P42=#REF!,"CLINICA DE HERIDAS ",IF(P42=#REF!,"TOMA DE CITOLOGIA CERVICO VAGINAL ",IF(P42=#REF!,"SOPORTE CARDIOVASCULAR AVANZADO (ACLS) ",IF(P42=#REF!,"CAMILLERO ",IF(P42=#REF!,"TOMA DE MUESTRAS Y LABORATORIO ",IF(P42=#REF!,"SOPORTE VITAL BASICO (BLS)",IF(P42=#REF!,"ATENCION A VICTIMAS DE VIOLENCIA SEXUAL ",IF(P42=#REF!,"PROGRAMADO AMPLIADO DE INMUNIZACION (PAI - COVID 19)",IF(P42=#REF!,"ATENCION INTEGRAL EN ENFERMEDADES PREVALENTES EN PRIMERA INFANCIA (AIEPI)",IF(P42=#REF!,"ADMINISTRACION DE MEDICAMENTOS, INYECTOLOGIA  Y CANALIZACION ",IF(P42=#REF!,"OPERADOR DE VEHICULOS DE EMERGENCIA (OVE)",IF(P42=#REF!,"INSTITUCIONES AMIGAS DE LA MUJER Y LA INFANCIA (IAMI)",IF(P42=#REF!,"CUIDADO DEL DONANTE DE ORGANOS",IF(P42=#REF!,"ATENCION A VICTIMAS POR VIOLENCIA DE GENERO",IF(P42=#REF!,"IGUALDAD DE GENERO EN LA SALUD",IF(P42=#REF!,"BRIGADA DE EMERGENCIA",IF(P42=#REF!,"MANEJO DEL DOLOR Y CUIDADOS PALIATIVOS",IF(P42=#REF!,"TOMA DE MUESTRAS Y LABORATORIO POCT",IF(P42=#REF!,"IMPLANTE SUBDERMICO DE DISPOSITIVO INTRAUTERINO",IF(P42=#REF!,"SALUD MENTAL",IF(P42=#REF!,"PRIMEROS AUXILIOS PSICOLOGICOS",IF(P42=#REF!,"ATENCION A VICTIMAS POR CONFLICTO ARMADO",IF(P42=#REF!,"MANIPULACION DE ALIMENTOS Y BPM",IF(P42=#REF!,"ATENCION A PERSONAS CON DISCAPACIDAD",IF(P42=#REF!,"CUIDADO INTEGRAL DEL PACIENTE ADULTO",IF(P42=#REF!,"MANEJO DEFENSIVO",IF(P42=#REF!,"SOPORTE CARDIOVASCULAR AVANZADO NEONATAL",IF(P42=#REF!,"SEGURIDAD DEL PACIENTE",IF(P42=#REF!,"MANEJO DE RESIDUOS HOSPITALARIOS"))))))))))))))))))))))))))))))))))))</f>
        <v>#REF!</v>
      </c>
      <c r="W42" s="26" t="str">
        <f t="shared" si="0"/>
        <v>Melissa Andrea Burbano Erazo</v>
      </c>
      <c r="X42" s="26" t="str">
        <f t="shared" si="1"/>
        <v>Melissa Andrea Burbano Erazo</v>
      </c>
      <c r="Y42" s="26" t="str">
        <f t="shared" si="2"/>
        <v>Melissa Andrea Burbano Erazo-1089482317-VIOLENCIA SEXUAL</v>
      </c>
    </row>
    <row r="43" spans="1:25" x14ac:dyDescent="0.2">
      <c r="A43" s="29">
        <v>42</v>
      </c>
      <c r="B43" s="30">
        <v>1087193282</v>
      </c>
      <c r="C43" s="30" t="s">
        <v>134</v>
      </c>
      <c r="D43" s="30" t="s">
        <v>135</v>
      </c>
      <c r="E43" s="30" t="s">
        <v>136</v>
      </c>
      <c r="F43" s="30"/>
      <c r="G43" s="30">
        <v>7</v>
      </c>
      <c r="H43" s="30" t="s">
        <v>49</v>
      </c>
      <c r="I43" s="31" t="s">
        <v>376</v>
      </c>
      <c r="J43" s="31"/>
      <c r="K43" s="32">
        <v>45670</v>
      </c>
      <c r="L43" s="33"/>
      <c r="M43" s="30" t="s">
        <v>138</v>
      </c>
      <c r="N43" s="30" t="s">
        <v>387</v>
      </c>
      <c r="O43" s="30" t="s">
        <v>69</v>
      </c>
      <c r="P43" s="30" t="s">
        <v>28</v>
      </c>
      <c r="Q43" s="31">
        <v>33774</v>
      </c>
      <c r="R43" s="30" t="s">
        <v>71</v>
      </c>
      <c r="S43" s="25" t="s">
        <v>109</v>
      </c>
      <c r="T43" s="21">
        <v>3174247285</v>
      </c>
      <c r="U43" s="21" t="s">
        <v>137</v>
      </c>
      <c r="V43" s="34" t="e">
        <f>IF(P43=#REF!,"DIPLOMADO EN ATENCION PRE-HOSPITALARIA",IF(P43=#REF!,"ACOMPAÑAMIENTO Y MANEJO DEL DUELO",IF(P43=#REF!,"ATENCION A VICTIMAS DE ATAQUE CON AGENTES QUIMICOS ",IF(P43=#REF!,"PRIMEROS AUXILIOS ",IF(P43=#REF!,"DIPLOMADO DE UNIDAD DE CUIDADOS INTENSIVOS (UCI)",IF(P43=#REF!,"MODELO DE ATENCION PARA EVENTOS EMERGENTES EN SALUD MENTAL (CODIGO VERDE)",IF(P43=#REF!,"HUMANIZACION EN EL SERVICIO DE LA SALUD Y BUENAS PRACTICAS EN PACIENTE ",IF(P43=#REF!,"CLINICA DE HERIDAS ",IF(P43=#REF!,"TOMA DE CITOLOGIA CERVICO VAGINAL ",IF(P43=#REF!,"SOPORTE CARDIOVASCULAR AVANZADO (ACLS) ",IF(P43=#REF!,"CAMILLERO ",IF(P43=#REF!,"TOMA DE MUESTRAS Y LABORATORIO ",IF(P43=#REF!,"SOPORTE VITAL BASICO (BLS)",IF(P43=#REF!,"ATENCION A VICTIMAS DE VIOLENCIA SEXUAL ",IF(P43=#REF!,"PROGRAMADO AMPLIADO DE INMUNIZACION (PAI - COVID 19)",IF(P43=#REF!,"ATENCION INTEGRAL EN ENFERMEDADES PREVALENTES EN PRIMERA INFANCIA (AIEPI)",IF(P43=#REF!,"ADMINISTRACION DE MEDICAMENTOS, INYECTOLOGIA  Y CANALIZACION ",IF(P43=#REF!,"OPERADOR DE VEHICULOS DE EMERGENCIA (OVE)",IF(P43=#REF!,"INSTITUCIONES AMIGAS DE LA MUJER Y LA INFANCIA (IAMI)",IF(P43=#REF!,"CUIDADO DEL DONANTE DE ORGANOS",IF(P43=#REF!,"ATENCION A VICTIMAS POR VIOLENCIA DE GENERO",IF(P43=#REF!,"IGUALDAD DE GENERO EN LA SALUD",IF(P43=#REF!,"BRIGADA DE EMERGENCIA",IF(P43=#REF!,"MANEJO DEL DOLOR Y CUIDADOS PALIATIVOS",IF(P43=#REF!,"TOMA DE MUESTRAS Y LABORATORIO POCT",IF(P43=#REF!,"IMPLANTE SUBDERMICO DE DISPOSITIVO INTRAUTERINO",IF(P43=#REF!,"SALUD MENTAL",IF(P43=#REF!,"PRIMEROS AUXILIOS PSICOLOGICOS",IF(P43=#REF!,"ATENCION A VICTIMAS POR CONFLICTO ARMADO",IF(P43=#REF!,"MANIPULACION DE ALIMENTOS Y BPM",IF(P43=#REF!,"ATENCION A PERSONAS CON DISCAPACIDAD",IF(P43=#REF!,"CUIDADO INTEGRAL DEL PACIENTE ADULTO",IF(P43=#REF!,"MANEJO DEFENSIVO",IF(P43=#REF!,"SOPORTE CARDIOVASCULAR AVANZADO NEONATAL",IF(P43=#REF!,"SEGURIDAD DEL PACIENTE",IF(P43=#REF!,"MANEJO DE RESIDUOS HOSPITALARIOS"))))))))))))))))))))))))))))))))))))</f>
        <v>#REF!</v>
      </c>
      <c r="W43" s="34" t="str">
        <f t="shared" si="0"/>
        <v>Madeleine  Torres Araujo</v>
      </c>
      <c r="X43" s="34" t="str">
        <f t="shared" si="1"/>
        <v>Madeleine  Torres Araujo</v>
      </c>
      <c r="Y43" s="34" t="str">
        <f t="shared" si="2"/>
        <v>Madeleine  Torres Araujo-1087193282-AIEPI</v>
      </c>
    </row>
    <row r="44" spans="1:25" x14ac:dyDescent="0.2">
      <c r="A44" s="29">
        <v>43</v>
      </c>
      <c r="B44" s="30">
        <v>1087193282</v>
      </c>
      <c r="C44" s="30" t="s">
        <v>134</v>
      </c>
      <c r="D44" s="30" t="s">
        <v>135</v>
      </c>
      <c r="E44" s="30" t="s">
        <v>136</v>
      </c>
      <c r="F44" s="30"/>
      <c r="G44" s="30">
        <v>7</v>
      </c>
      <c r="H44" s="30" t="s">
        <v>49</v>
      </c>
      <c r="I44" s="31" t="s">
        <v>376</v>
      </c>
      <c r="J44" s="31"/>
      <c r="K44" s="32">
        <v>45670</v>
      </c>
      <c r="L44" s="33"/>
      <c r="M44" s="30" t="s">
        <v>138</v>
      </c>
      <c r="N44" s="30" t="s">
        <v>387</v>
      </c>
      <c r="O44" s="30" t="s">
        <v>69</v>
      </c>
      <c r="P44" s="30" t="s">
        <v>31</v>
      </c>
      <c r="Q44" s="31">
        <v>33774</v>
      </c>
      <c r="R44" s="30" t="s">
        <v>71</v>
      </c>
      <c r="S44" s="25" t="s">
        <v>109</v>
      </c>
      <c r="T44" s="21">
        <v>3174247285</v>
      </c>
      <c r="U44" s="21" t="s">
        <v>137</v>
      </c>
      <c r="V44" s="34" t="e">
        <f>IF(P44=#REF!,"DIPLOMADO EN ATENCION PRE-HOSPITALARIA",IF(P44=#REF!,"ACOMPAÑAMIENTO Y MANEJO DEL DUELO",IF(P44=#REF!,"ATENCION A VICTIMAS DE ATAQUE CON AGENTES QUIMICOS ",IF(P44=#REF!,"PRIMEROS AUXILIOS ",IF(P44=#REF!,"DIPLOMADO DE UNIDAD DE CUIDADOS INTENSIVOS (UCI)",IF(P44=#REF!,"MODELO DE ATENCION PARA EVENTOS EMERGENTES EN SALUD MENTAL (CODIGO VERDE)",IF(P44=#REF!,"HUMANIZACION EN EL SERVICIO DE LA SALUD Y BUENAS PRACTICAS EN PACIENTE ",IF(P44=#REF!,"CLINICA DE HERIDAS ",IF(P44=#REF!,"TOMA DE CITOLOGIA CERVICO VAGINAL ",IF(P44=#REF!,"SOPORTE CARDIOVASCULAR AVANZADO (ACLS) ",IF(P44=#REF!,"CAMILLERO ",IF(P44=#REF!,"TOMA DE MUESTRAS Y LABORATORIO ",IF(P44=#REF!,"SOPORTE VITAL BASICO (BLS)",IF(P44=#REF!,"ATENCION A VICTIMAS DE VIOLENCIA SEXUAL ",IF(P44=#REF!,"PROGRAMADO AMPLIADO DE INMUNIZACION (PAI - COVID 19)",IF(P44=#REF!,"ATENCION INTEGRAL EN ENFERMEDADES PREVALENTES EN PRIMERA INFANCIA (AIEPI)",IF(P44=#REF!,"ADMINISTRACION DE MEDICAMENTOS, INYECTOLOGIA  Y CANALIZACION ",IF(P44=#REF!,"OPERADOR DE VEHICULOS DE EMERGENCIA (OVE)",IF(P44=#REF!,"INSTITUCIONES AMIGAS DE LA MUJER Y LA INFANCIA (IAMI)",IF(P44=#REF!,"CUIDADO DEL DONANTE DE ORGANOS",IF(P44=#REF!,"ATENCION A VICTIMAS POR VIOLENCIA DE GENERO",IF(P44=#REF!,"IGUALDAD DE GENERO EN LA SALUD",IF(P44=#REF!,"BRIGADA DE EMERGENCIA",IF(P44=#REF!,"MANEJO DEL DOLOR Y CUIDADOS PALIATIVOS",IF(P44=#REF!,"TOMA DE MUESTRAS Y LABORATORIO POCT",IF(P44=#REF!,"IMPLANTE SUBDERMICO DE DISPOSITIVO INTRAUTERINO",IF(P44=#REF!,"SALUD MENTAL",IF(P44=#REF!,"PRIMEROS AUXILIOS PSICOLOGICOS",IF(P44=#REF!,"ATENCION A VICTIMAS POR CONFLICTO ARMADO",IF(P44=#REF!,"MANIPULACION DE ALIMENTOS Y BPM",IF(P44=#REF!,"ATENCION A PERSONAS CON DISCAPACIDAD",IF(P44=#REF!,"CUIDADO INTEGRAL DEL PACIENTE ADULTO",IF(P44=#REF!,"MANEJO DEFENSIVO",IF(P44=#REF!,"SOPORTE CARDIOVASCULAR AVANZADO NEONATAL",IF(P44=#REF!,"SEGURIDAD DEL PACIENTE",IF(P44=#REF!,"MANEJO DE RESIDUOS HOSPITALARIOS"))))))))))))))))))))))))))))))))))))</f>
        <v>#REF!</v>
      </c>
      <c r="W44" s="34" t="str">
        <f t="shared" si="0"/>
        <v>Madeleine  Torres Araujo</v>
      </c>
      <c r="X44" s="34" t="str">
        <f t="shared" si="1"/>
        <v>Madeleine  Torres Araujo</v>
      </c>
      <c r="Y44" s="34" t="str">
        <f t="shared" si="2"/>
        <v>Madeleine  Torres Araujo-1087193282-IAMI</v>
      </c>
    </row>
    <row r="45" spans="1:25" x14ac:dyDescent="0.2">
      <c r="A45" s="29">
        <v>44</v>
      </c>
      <c r="B45" s="30">
        <v>1087193282</v>
      </c>
      <c r="C45" s="30" t="s">
        <v>134</v>
      </c>
      <c r="D45" s="30" t="s">
        <v>135</v>
      </c>
      <c r="E45" s="30" t="s">
        <v>136</v>
      </c>
      <c r="F45" s="30"/>
      <c r="G45" s="30">
        <v>8</v>
      </c>
      <c r="H45" s="30" t="s">
        <v>49</v>
      </c>
      <c r="I45" s="31" t="s">
        <v>376</v>
      </c>
      <c r="J45" s="31"/>
      <c r="K45" s="32">
        <v>45670</v>
      </c>
      <c r="L45" s="33"/>
      <c r="M45" s="30" t="s">
        <v>138</v>
      </c>
      <c r="N45" s="30" t="s">
        <v>387</v>
      </c>
      <c r="O45" s="30" t="s">
        <v>69</v>
      </c>
      <c r="P45" s="30" t="s">
        <v>23</v>
      </c>
      <c r="Q45" s="31">
        <v>33774</v>
      </c>
      <c r="R45" s="30" t="s">
        <v>71</v>
      </c>
      <c r="S45" s="25" t="s">
        <v>109</v>
      </c>
      <c r="T45" s="21">
        <v>3174247285</v>
      </c>
      <c r="U45" s="21" t="s">
        <v>137</v>
      </c>
      <c r="V45" s="34" t="e">
        <f>IF(P45=#REF!,"DIPLOMADO EN ATENCION PRE-HOSPITALARIA",IF(P45=#REF!,"ACOMPAÑAMIENTO Y MANEJO DEL DUELO",IF(P45=#REF!,"ATENCION A VICTIMAS DE ATAQUE CON AGENTES QUIMICOS ",IF(P45=#REF!,"PRIMEROS AUXILIOS ",IF(P45=#REF!,"DIPLOMADO DE UNIDAD DE CUIDADOS INTENSIVOS (UCI)",IF(P45=#REF!,"MODELO DE ATENCION PARA EVENTOS EMERGENTES EN SALUD MENTAL (CODIGO VERDE)",IF(P45=#REF!,"HUMANIZACION EN EL SERVICIO DE LA SALUD Y BUENAS PRACTICAS EN PACIENTE ",IF(P45=#REF!,"CLINICA DE HERIDAS ",IF(P45=#REF!,"TOMA DE CITOLOGIA CERVICO VAGINAL ",IF(P45=#REF!,"SOPORTE CARDIOVASCULAR AVANZADO (ACLS) ",IF(P45=#REF!,"CAMILLERO ",IF(P45=#REF!,"TOMA DE MUESTRAS Y LABORATORIO ",IF(P45=#REF!,"SOPORTE VITAL BASICO (BLS)",IF(P45=#REF!,"ATENCION A VICTIMAS DE VIOLENCIA SEXUAL ",IF(P45=#REF!,"PROGRAMADO AMPLIADO DE INMUNIZACION (PAI - COVID 19)",IF(P45=#REF!,"ATENCION INTEGRAL EN ENFERMEDADES PREVALENTES EN PRIMERA INFANCIA (AIEPI)",IF(P45=#REF!,"ADMINISTRACION DE MEDICAMENTOS, INYECTOLOGIA  Y CANALIZACION ",IF(P45=#REF!,"OPERADOR DE VEHICULOS DE EMERGENCIA (OVE)",IF(P45=#REF!,"INSTITUCIONES AMIGAS DE LA MUJER Y LA INFANCIA (IAMI)",IF(P45=#REF!,"CUIDADO DEL DONANTE DE ORGANOS",IF(P45=#REF!,"ATENCION A VICTIMAS POR VIOLENCIA DE GENERO",IF(P45=#REF!,"IGUALDAD DE GENERO EN LA SALUD",IF(P45=#REF!,"BRIGADA DE EMERGENCIA",IF(P45=#REF!,"MANEJO DEL DOLOR Y CUIDADOS PALIATIVOS",IF(P45=#REF!,"TOMA DE MUESTRAS Y LABORATORIO POCT",IF(P45=#REF!,"IMPLANTE SUBDERMICO DE DISPOSITIVO INTRAUTERINO",IF(P45=#REF!,"SALUD MENTAL",IF(P45=#REF!,"PRIMEROS AUXILIOS PSICOLOGICOS",IF(P45=#REF!,"ATENCION A VICTIMAS POR CONFLICTO ARMADO",IF(P45=#REF!,"MANIPULACION DE ALIMENTOS Y BPM",IF(P45=#REF!,"ATENCION A PERSONAS CON DISCAPACIDAD",IF(P45=#REF!,"CUIDADO INTEGRAL DEL PACIENTE ADULTO",IF(P45=#REF!,"MANEJO DEFENSIVO",IF(P45=#REF!,"SOPORTE CARDIOVASCULAR AVANZADO NEONATAL",IF(P45=#REF!,"SEGURIDAD DEL PACIENTE",IF(P45=#REF!,"MANEJO DE RESIDUOS HOSPITALARIOS"))))))))))))))))))))))))))))))))))))</f>
        <v>#REF!</v>
      </c>
      <c r="W45" s="34" t="str">
        <f t="shared" si="0"/>
        <v>Madeleine  Torres Araujo</v>
      </c>
      <c r="X45" s="34" t="str">
        <f t="shared" si="1"/>
        <v>Madeleine  Torres Araujo</v>
      </c>
      <c r="Y45" s="34" t="str">
        <f t="shared" si="2"/>
        <v>Madeleine  Torres Araujo-1087193282-HUMANIZACION</v>
      </c>
    </row>
    <row r="46" spans="1:25" x14ac:dyDescent="0.2">
      <c r="A46" s="29">
        <v>45</v>
      </c>
      <c r="B46" s="30">
        <v>1087193282</v>
      </c>
      <c r="C46" s="30" t="s">
        <v>134</v>
      </c>
      <c r="D46" s="30" t="s">
        <v>135</v>
      </c>
      <c r="E46" s="30" t="s">
        <v>136</v>
      </c>
      <c r="F46" s="30"/>
      <c r="G46" s="30">
        <v>9</v>
      </c>
      <c r="H46" s="30" t="s">
        <v>49</v>
      </c>
      <c r="I46" s="31" t="s">
        <v>376</v>
      </c>
      <c r="J46" s="31"/>
      <c r="K46" s="32">
        <v>45670</v>
      </c>
      <c r="L46" s="33"/>
      <c r="M46" s="30" t="s">
        <v>138</v>
      </c>
      <c r="N46" s="30" t="s">
        <v>387</v>
      </c>
      <c r="O46" s="30" t="s">
        <v>69</v>
      </c>
      <c r="P46" s="30" t="s">
        <v>41</v>
      </c>
      <c r="Q46" s="31">
        <v>33774</v>
      </c>
      <c r="R46" s="30" t="s">
        <v>71</v>
      </c>
      <c r="S46" s="25" t="s">
        <v>109</v>
      </c>
      <c r="T46" s="21">
        <v>3174247285</v>
      </c>
      <c r="U46" s="21" t="s">
        <v>137</v>
      </c>
      <c r="V46" s="34" t="e">
        <f>IF(P46=#REF!,"DIPLOMADO EN ATENCION PRE-HOSPITALARIA",IF(P46=#REF!,"ACOMPAÑAMIENTO Y MANEJO DEL DUELO",IF(P46=#REF!,"ATENCION A VICTIMAS DE ATAQUE CON AGENTES QUIMICOS ",IF(P46=#REF!,"PRIMEROS AUXILIOS ",IF(P46=#REF!,"DIPLOMADO DE UNIDAD DE CUIDADOS INTENSIVOS (UCI)",IF(P46=#REF!,"MODELO DE ATENCION PARA EVENTOS EMERGENTES EN SALUD MENTAL (CODIGO VERDE)",IF(P46=#REF!,"HUMANIZACION EN EL SERVICIO DE LA SALUD Y BUENAS PRACTICAS EN PACIENTE ",IF(P46=#REF!,"CLINICA DE HERIDAS ",IF(P46=#REF!,"TOMA DE CITOLOGIA CERVICO VAGINAL ",IF(P46=#REF!,"SOPORTE CARDIOVASCULAR AVANZADO (ACLS) ",IF(P46=#REF!,"CAMILLERO ",IF(P46=#REF!,"TOMA DE MUESTRAS Y LABORATORIO ",IF(P46=#REF!,"SOPORTE VITAL BASICO (BLS)",IF(P46=#REF!,"ATENCION A VICTIMAS DE VIOLENCIA SEXUAL ",IF(P46=#REF!,"PROGRAMADO AMPLIADO DE INMUNIZACION (PAI - COVID 19)",IF(P46=#REF!,"ATENCION INTEGRAL EN ENFERMEDADES PREVALENTES EN PRIMERA INFANCIA (AIEPI)",IF(P46=#REF!,"ADMINISTRACION DE MEDICAMENTOS, INYECTOLOGIA  Y CANALIZACION ",IF(P46=#REF!,"OPERADOR DE VEHICULOS DE EMERGENCIA (OVE)",IF(P46=#REF!,"INSTITUCIONES AMIGAS DE LA MUJER Y LA INFANCIA (IAMI)",IF(P46=#REF!,"CUIDADO DEL DONANTE DE ORGANOS",IF(P46=#REF!,"ATENCION A VICTIMAS POR VIOLENCIA DE GENERO",IF(P46=#REF!,"IGUALDAD DE GENERO EN LA SALUD",IF(P46=#REF!,"BRIGADA DE EMERGENCIA",IF(P46=#REF!,"MANEJO DEL DOLOR Y CUIDADOS PALIATIVOS",IF(P46=#REF!,"TOMA DE MUESTRAS Y LABORATORIO POCT",IF(P46=#REF!,"IMPLANTE SUBDERMICO DE DISPOSITIVO INTRAUTERINO",IF(P46=#REF!,"SALUD MENTAL",IF(P46=#REF!,"PRIMEROS AUXILIOS PSICOLOGICOS",IF(P46=#REF!,"ATENCION A VICTIMAS POR CONFLICTO ARMADO",IF(P46=#REF!,"MANIPULACION DE ALIMENTOS Y BPM",IF(P46=#REF!,"ATENCION A PERSONAS CON DISCAPACIDAD",IF(P46=#REF!,"CUIDADO INTEGRAL DEL PACIENTE ADULTO",IF(P46=#REF!,"MANEJO DEFENSIVO",IF(P46=#REF!,"SOPORTE CARDIOVASCULAR AVANZADO NEONATAL",IF(P46=#REF!,"SEGURIDAD DEL PACIENTE",IF(P46=#REF!,"MANEJO DE RESIDUOS HOSPITALARIOS"))))))))))))))))))))))))))))))))))))</f>
        <v>#REF!</v>
      </c>
      <c r="W46" s="34" t="str">
        <f t="shared" si="0"/>
        <v>Madeleine  Torres Araujo</v>
      </c>
      <c r="X46" s="34" t="str">
        <f t="shared" si="1"/>
        <v>Madeleine  Torres Araujo</v>
      </c>
      <c r="Y46" s="34" t="str">
        <f t="shared" si="2"/>
        <v>Madeleine  Torres Araujo-1087193282-PACIENTE</v>
      </c>
    </row>
    <row r="47" spans="1:25" x14ac:dyDescent="0.2">
      <c r="A47" s="29">
        <v>46</v>
      </c>
      <c r="B47" s="30">
        <v>1087193282</v>
      </c>
      <c r="C47" s="30" t="s">
        <v>134</v>
      </c>
      <c r="D47" s="30" t="s">
        <v>135</v>
      </c>
      <c r="E47" s="30" t="s">
        <v>136</v>
      </c>
      <c r="F47" s="30"/>
      <c r="G47" s="30">
        <v>10</v>
      </c>
      <c r="H47" s="30" t="s">
        <v>49</v>
      </c>
      <c r="I47" s="31" t="s">
        <v>376</v>
      </c>
      <c r="J47" s="31"/>
      <c r="K47" s="32">
        <v>45670</v>
      </c>
      <c r="L47" s="33"/>
      <c r="M47" s="30" t="s">
        <v>138</v>
      </c>
      <c r="N47" s="30" t="s">
        <v>387</v>
      </c>
      <c r="O47" s="30" t="s">
        <v>69</v>
      </c>
      <c r="P47" s="30" t="s">
        <v>125</v>
      </c>
      <c r="Q47" s="31">
        <v>33774</v>
      </c>
      <c r="R47" s="30" t="s">
        <v>71</v>
      </c>
      <c r="S47" s="25" t="s">
        <v>109</v>
      </c>
      <c r="T47" s="21">
        <v>3174247285</v>
      </c>
      <c r="U47" s="21" t="s">
        <v>137</v>
      </c>
      <c r="V47" s="34" t="e">
        <f>IF(P47=#REF!,"DIPLOMADO EN ATENCION PRE-HOSPITALARIA",IF(P47=#REF!,"ACOMPAÑAMIENTO Y MANEJO DEL DUELO",IF(P47=#REF!,"ATENCION A VICTIMAS DE ATAQUE CON AGENTES QUIMICOS ",IF(P47=#REF!,"PRIMEROS AUXILIOS ",IF(P47=#REF!,"DIPLOMADO DE UNIDAD DE CUIDADOS INTENSIVOS (UCI)",IF(P47=#REF!,"MODELO DE ATENCION PARA EVENTOS EMERGENTES EN SALUD MENTAL (CODIGO VERDE)",IF(P47=#REF!,"HUMANIZACION EN EL SERVICIO DE LA SALUD Y BUENAS PRACTICAS EN PACIENTE ",IF(P47=#REF!,"CLINICA DE HERIDAS ",IF(P47=#REF!,"TOMA DE CITOLOGIA CERVICO VAGINAL ",IF(P47=#REF!,"SOPORTE CARDIOVASCULAR AVANZADO (ACLS) ",IF(P47=#REF!,"CAMILLERO ",IF(P47=#REF!,"TOMA DE MUESTRAS Y LABORATORIO ",IF(P47=#REF!,"SOPORTE VITAL BASICO (BLS)",IF(P47=#REF!,"ATENCION A VICTIMAS DE VIOLENCIA SEXUAL ",IF(P47=#REF!,"PROGRAMADO AMPLIADO DE INMUNIZACION (PAI - COVID 19)",IF(P47=#REF!,"ATENCION INTEGRAL EN ENFERMEDADES PREVALENTES EN PRIMERA INFANCIA (AIEPI)",IF(P47=#REF!,"ADMINISTRACION DE MEDICAMENTOS, INYECTOLOGIA  Y CANALIZACION ",IF(P47=#REF!,"OPERADOR DE VEHICULOS DE EMERGENCIA (OVE)",IF(P47=#REF!,"INSTITUCIONES AMIGAS DE LA MUJER Y LA INFANCIA (IAMI)",IF(P47=#REF!,"CUIDADO DEL DONANTE DE ORGANOS",IF(P47=#REF!,"ATENCION A VICTIMAS POR VIOLENCIA DE GENERO",IF(P47=#REF!,"IGUALDAD DE GENERO EN LA SALUD",IF(P47=#REF!,"BRIGADA DE EMERGENCIA",IF(P47=#REF!,"MANEJO DEL DOLOR Y CUIDADOS PALIATIVOS",IF(P47=#REF!,"TOMA DE MUESTRAS Y LABORATORIO POCT",IF(P47=#REF!,"IMPLANTE SUBDERMICO DE DISPOSITIVO INTRAUTERINO",IF(P47=#REF!,"SALUD MENTAL",IF(P47=#REF!,"PRIMEROS AUXILIOS PSICOLOGICOS",IF(P47=#REF!,"ATENCION A VICTIMAS POR CONFLICTO ARMADO",IF(P47=#REF!,"MANIPULACION DE ALIMENTOS Y BPM",IF(P47=#REF!,"ATENCION A PERSONAS CON DISCAPACIDAD",IF(P47=#REF!,"CUIDADO INTEGRAL DEL PACIENTE ADULTO",IF(P47=#REF!,"MANEJO DEFENSIVO",IF(P47=#REF!,"SOPORTE CARDIOVASCULAR AVANZADO NEONATAL",IF(P47=#REF!,"SEGURIDAD DEL PACIENTE",IF(P47=#REF!,"MANEJO DE RESIDUOS HOSPITALARIOS"))))))))))))))))))))))))))))))))))))</f>
        <v>#REF!</v>
      </c>
      <c r="W47" s="34" t="str">
        <f t="shared" si="0"/>
        <v>Madeleine  Torres Araujo</v>
      </c>
      <c r="X47" s="34" t="str">
        <f t="shared" si="1"/>
        <v>Madeleine  Torres Araujo</v>
      </c>
      <c r="Y47" s="34" t="str">
        <f t="shared" si="2"/>
        <v>Madeleine  Torres Araujo-1087193282-TRIAGE</v>
      </c>
    </row>
    <row r="48" spans="1:25" x14ac:dyDescent="0.2">
      <c r="A48" s="29">
        <v>47</v>
      </c>
      <c r="B48" s="30">
        <v>1087193282</v>
      </c>
      <c r="C48" s="30" t="s">
        <v>134</v>
      </c>
      <c r="D48" s="30" t="s">
        <v>135</v>
      </c>
      <c r="E48" s="30" t="s">
        <v>136</v>
      </c>
      <c r="F48" s="30"/>
      <c r="G48" s="30">
        <v>11</v>
      </c>
      <c r="H48" s="30" t="s">
        <v>49</v>
      </c>
      <c r="I48" s="31" t="s">
        <v>376</v>
      </c>
      <c r="J48" s="31"/>
      <c r="K48" s="32">
        <v>45670</v>
      </c>
      <c r="L48" s="33"/>
      <c r="M48" s="30" t="s">
        <v>138</v>
      </c>
      <c r="N48" s="30" t="s">
        <v>387</v>
      </c>
      <c r="O48" s="30" t="s">
        <v>69</v>
      </c>
      <c r="P48" s="30" t="s">
        <v>20</v>
      </c>
      <c r="Q48" s="31">
        <v>33774</v>
      </c>
      <c r="R48" s="30" t="s">
        <v>71</v>
      </c>
      <c r="S48" s="25" t="s">
        <v>109</v>
      </c>
      <c r="T48" s="21">
        <v>3174247285</v>
      </c>
      <c r="U48" s="21" t="s">
        <v>137</v>
      </c>
      <c r="V48" s="34" t="e">
        <f>IF(P48=#REF!,"DIPLOMADO EN ATENCION PRE-HOSPITALARIA",IF(P48=#REF!,"ACOMPAÑAMIENTO Y MANEJO DEL DUELO",IF(P48=#REF!,"ATENCION A VICTIMAS DE ATAQUE CON AGENTES QUIMICOS ",IF(P48=#REF!,"PRIMEROS AUXILIOS ",IF(P48=#REF!,"DIPLOMADO DE UNIDAD DE CUIDADOS INTENSIVOS (UCI)",IF(P48=#REF!,"MODELO DE ATENCION PARA EVENTOS EMERGENTES EN SALUD MENTAL (CODIGO VERDE)",IF(P48=#REF!,"HUMANIZACION EN EL SERVICIO DE LA SALUD Y BUENAS PRACTICAS EN PACIENTE ",IF(P48=#REF!,"CLINICA DE HERIDAS ",IF(P48=#REF!,"TOMA DE CITOLOGIA CERVICO VAGINAL ",IF(P48=#REF!,"SOPORTE CARDIOVASCULAR AVANZADO (ACLS) ",IF(P48=#REF!,"CAMILLERO ",IF(P48=#REF!,"TOMA DE MUESTRAS Y LABORATORIO ",IF(P48=#REF!,"SOPORTE VITAL BASICO (BLS)",IF(P48=#REF!,"ATENCION A VICTIMAS DE VIOLENCIA SEXUAL ",IF(P48=#REF!,"PROGRAMADO AMPLIADO DE INMUNIZACION (PAI - COVID 19)",IF(P48=#REF!,"ATENCION INTEGRAL EN ENFERMEDADES PREVALENTES EN PRIMERA INFANCIA (AIEPI)",IF(P48=#REF!,"ADMINISTRACION DE MEDICAMENTOS, INYECTOLOGIA  Y CANALIZACION ",IF(P48=#REF!,"OPERADOR DE VEHICULOS DE EMERGENCIA (OVE)",IF(P48=#REF!,"INSTITUCIONES AMIGAS DE LA MUJER Y LA INFANCIA (IAMI)",IF(P48=#REF!,"CUIDADO DEL DONANTE DE ORGANOS",IF(P48=#REF!,"ATENCION A VICTIMAS POR VIOLENCIA DE GENERO",IF(P48=#REF!,"IGUALDAD DE GENERO EN LA SALUD",IF(P48=#REF!,"BRIGADA DE EMERGENCIA",IF(P48=#REF!,"MANEJO DEL DOLOR Y CUIDADOS PALIATIVOS",IF(P48=#REF!,"TOMA DE MUESTRAS Y LABORATORIO POCT",IF(P48=#REF!,"IMPLANTE SUBDERMICO DE DISPOSITIVO INTRAUTERINO",IF(P48=#REF!,"SALUD MENTAL",IF(P48=#REF!,"PRIMEROS AUXILIOS PSICOLOGICOS",IF(P48=#REF!,"ATENCION A VICTIMAS POR CONFLICTO ARMADO",IF(P48=#REF!,"MANIPULACION DE ALIMENTOS Y BPM",IF(P48=#REF!,"ATENCION A PERSONAS CON DISCAPACIDAD",IF(P48=#REF!,"CUIDADO INTEGRAL DEL PACIENTE ADULTO",IF(P48=#REF!,"MANEJO DEFENSIVO",IF(P48=#REF!,"SOPORTE CARDIOVASCULAR AVANZADO NEONATAL",IF(P48=#REF!,"SEGURIDAD DEL PACIENTE",IF(P48=#REF!,"MANEJO DE RESIDUOS HOSPITALARIOS"))))))))))))))))))))))))))))))))))))</f>
        <v>#REF!</v>
      </c>
      <c r="W48" s="34" t="str">
        <f t="shared" si="0"/>
        <v>Madeleine  Torres Araujo</v>
      </c>
      <c r="X48" s="34" t="str">
        <f t="shared" si="1"/>
        <v>Madeleine  Torres Araujo</v>
      </c>
      <c r="Y48" s="34" t="str">
        <f t="shared" si="2"/>
        <v>Madeleine  Torres Araujo-1087193282-DUELO</v>
      </c>
    </row>
    <row r="49" spans="1:26" x14ac:dyDescent="0.2">
      <c r="A49" s="29">
        <v>48</v>
      </c>
      <c r="B49" s="30">
        <v>1087193282</v>
      </c>
      <c r="C49" s="30" t="s">
        <v>134</v>
      </c>
      <c r="D49" s="30" t="s">
        <v>135</v>
      </c>
      <c r="E49" s="30" t="s">
        <v>136</v>
      </c>
      <c r="F49" s="30"/>
      <c r="G49" s="30">
        <v>13</v>
      </c>
      <c r="H49" s="30" t="s">
        <v>49</v>
      </c>
      <c r="I49" s="31" t="s">
        <v>376</v>
      </c>
      <c r="J49" s="31"/>
      <c r="K49" s="32">
        <v>45670</v>
      </c>
      <c r="L49" s="33"/>
      <c r="M49" s="30" t="s">
        <v>138</v>
      </c>
      <c r="N49" s="30" t="s">
        <v>387</v>
      </c>
      <c r="O49" s="30" t="s">
        <v>69</v>
      </c>
      <c r="P49" s="30" t="s">
        <v>27</v>
      </c>
      <c r="Q49" s="31">
        <v>33774</v>
      </c>
      <c r="R49" s="30" t="s">
        <v>71</v>
      </c>
      <c r="S49" s="25" t="s">
        <v>109</v>
      </c>
      <c r="T49" s="21">
        <v>3174247285</v>
      </c>
      <c r="U49" s="21" t="s">
        <v>137</v>
      </c>
      <c r="V49" s="34" t="e">
        <f>IF(P49=#REF!,"DIPLOMADO EN ATENCION PRE-HOSPITALARIA",IF(P49=#REF!,"ACOMPAÑAMIENTO Y MANEJO DEL DUELO",IF(P49=#REF!,"ATENCION A VICTIMAS DE ATAQUE CON AGENTES QUIMICOS ",IF(P49=#REF!,"PRIMEROS AUXILIOS ",IF(P49=#REF!,"DIPLOMADO DE UNIDAD DE CUIDADOS INTENSIVOS (UCI)",IF(P49=#REF!,"MODELO DE ATENCION PARA EVENTOS EMERGENTES EN SALUD MENTAL (CODIGO VERDE)",IF(P49=#REF!,"HUMANIZACION EN EL SERVICIO DE LA SALUD Y BUENAS PRACTICAS EN PACIENTE ",IF(P49=#REF!,"CLINICA DE HERIDAS ",IF(P49=#REF!,"TOMA DE CITOLOGIA CERVICO VAGINAL ",IF(P49=#REF!,"SOPORTE CARDIOVASCULAR AVANZADO (ACLS) ",IF(P49=#REF!,"CAMILLERO ",IF(P49=#REF!,"TOMA DE MUESTRAS Y LABORATORIO ",IF(P49=#REF!,"SOPORTE VITAL BASICO (BLS)",IF(P49=#REF!,"ATENCION A VICTIMAS DE VIOLENCIA SEXUAL ",IF(P49=#REF!,"PROGRAMADO AMPLIADO DE INMUNIZACION (PAI - COVID 19)",IF(P49=#REF!,"ATENCION INTEGRAL EN ENFERMEDADES PREVALENTES EN PRIMERA INFANCIA (AIEPI)",IF(P49=#REF!,"ADMINISTRACION DE MEDICAMENTOS, INYECTOLOGIA  Y CANALIZACION ",IF(P49=#REF!,"OPERADOR DE VEHICULOS DE EMERGENCIA (OVE)",IF(P49=#REF!,"INSTITUCIONES AMIGAS DE LA MUJER Y LA INFANCIA (IAMI)",IF(P49=#REF!,"CUIDADO DEL DONANTE DE ORGANOS",IF(P49=#REF!,"ATENCION A VICTIMAS POR VIOLENCIA DE GENERO",IF(P49=#REF!,"IGUALDAD DE GENERO EN LA SALUD",IF(P49=#REF!,"BRIGADA DE EMERGENCIA",IF(P49=#REF!,"MANEJO DEL DOLOR Y CUIDADOS PALIATIVOS",IF(P49=#REF!,"TOMA DE MUESTRAS Y LABORATORIO POCT",IF(P49=#REF!,"IMPLANTE SUBDERMICO DE DISPOSITIVO INTRAUTERINO",IF(P49=#REF!,"SALUD MENTAL",IF(P49=#REF!,"PRIMEROS AUXILIOS PSICOLOGICOS",IF(P49=#REF!,"ATENCION A VICTIMAS POR CONFLICTO ARMADO",IF(P49=#REF!,"MANIPULACION DE ALIMENTOS Y BPM",IF(P49=#REF!,"ATENCION A PERSONAS CON DISCAPACIDAD",IF(P49=#REF!,"CUIDADO INTEGRAL DEL PACIENTE ADULTO",IF(P49=#REF!,"MANEJO DEFENSIVO",IF(P49=#REF!,"SOPORTE CARDIOVASCULAR AVANZADO NEONATAL",IF(P49=#REF!,"SEGURIDAD DEL PACIENTE",IF(P49=#REF!,"MANEJO DE RESIDUOS HOSPITALARIOS"))))))))))))))))))))))))))))))))))))</f>
        <v>#REF!</v>
      </c>
      <c r="W49" s="34" t="str">
        <f t="shared" si="0"/>
        <v>Madeleine  Torres Araujo</v>
      </c>
      <c r="X49" s="34" t="str">
        <f t="shared" si="1"/>
        <v>Madeleine  Torres Araujo</v>
      </c>
      <c r="Y49" s="34" t="str">
        <f t="shared" si="2"/>
        <v>Madeleine  Torres Araujo-1087193282-VIOLENCIA SEXUAL</v>
      </c>
    </row>
    <row r="50" spans="1:26" x14ac:dyDescent="0.2">
      <c r="A50" s="29">
        <v>49</v>
      </c>
      <c r="B50" s="30">
        <v>1087193282</v>
      </c>
      <c r="C50" s="30" t="s">
        <v>134</v>
      </c>
      <c r="D50" s="30" t="s">
        <v>135</v>
      </c>
      <c r="E50" s="30" t="s">
        <v>136</v>
      </c>
      <c r="F50" s="30"/>
      <c r="G50" s="30">
        <v>11</v>
      </c>
      <c r="H50" s="30" t="s">
        <v>49</v>
      </c>
      <c r="I50" s="31" t="s">
        <v>376</v>
      </c>
      <c r="J50" s="31"/>
      <c r="K50" s="32">
        <v>45670</v>
      </c>
      <c r="L50" s="33"/>
      <c r="M50" s="30" t="s">
        <v>138</v>
      </c>
      <c r="N50" s="30" t="s">
        <v>387</v>
      </c>
      <c r="O50" s="30" t="s">
        <v>69</v>
      </c>
      <c r="P50" s="30" t="s">
        <v>24</v>
      </c>
      <c r="Q50" s="31">
        <v>33774</v>
      </c>
      <c r="R50" s="30" t="s">
        <v>71</v>
      </c>
      <c r="S50" s="25" t="s">
        <v>109</v>
      </c>
      <c r="T50" s="21">
        <v>3174247285</v>
      </c>
      <c r="U50" s="21" t="s">
        <v>137</v>
      </c>
      <c r="V50" s="34" t="e">
        <f>IF(P50=#REF!,"DIPLOMADO EN ATENCION PRE-HOSPITALARIA",IF(P50=#REF!,"ACOMPAÑAMIENTO Y MANEJO DEL DUELO",IF(P50=#REF!,"ATENCION A VICTIMAS DE ATAQUE CON AGENTES QUIMICOS ",IF(P50=#REF!,"PRIMEROS AUXILIOS ",IF(P50=#REF!,"DIPLOMADO DE UNIDAD DE CUIDADOS INTENSIVOS (UCI)",IF(P50=#REF!,"MODELO DE ATENCION PARA EVENTOS EMERGENTES EN SALUD MENTAL (CODIGO VERDE)",IF(P50=#REF!,"HUMANIZACION EN EL SERVICIO DE LA SALUD Y BUENAS PRACTICAS EN PACIENTE ",IF(P50=#REF!,"CLINICA DE HERIDAS ",IF(P50=#REF!,"TOMA DE CITOLOGIA CERVICO VAGINAL ",IF(P50=#REF!,"SOPORTE CARDIOVASCULAR AVANZADO (ACLS) ",IF(P50=#REF!,"CAMILLERO ",IF(P50=#REF!,"TOMA DE MUESTRAS Y LABORATORIO ",IF(P50=#REF!,"SOPORTE VITAL BASICO (BLS)",IF(P50=#REF!,"ATENCION A VICTIMAS DE VIOLENCIA SEXUAL ",IF(P50=#REF!,"PROGRAMADO AMPLIADO DE INMUNIZACION (PAI - COVID 19)",IF(P50=#REF!,"ATENCION INTEGRAL EN ENFERMEDADES PREVALENTES EN PRIMERA INFANCIA (AIEPI)",IF(P50=#REF!,"ADMINISTRACION DE MEDICAMENTOS, INYECTOLOGIA  Y CANALIZACION ",IF(P50=#REF!,"OPERADOR DE VEHICULOS DE EMERGENCIA (OVE)",IF(P50=#REF!,"INSTITUCIONES AMIGAS DE LA MUJER Y LA INFANCIA (IAMI)",IF(P50=#REF!,"CUIDADO DEL DONANTE DE ORGANOS",IF(P50=#REF!,"ATENCION A VICTIMAS POR VIOLENCIA DE GENERO",IF(P50=#REF!,"IGUALDAD DE GENERO EN LA SALUD",IF(P50=#REF!,"BRIGADA DE EMERGENCIA",IF(P50=#REF!,"MANEJO DEL DOLOR Y CUIDADOS PALIATIVOS",IF(P50=#REF!,"TOMA DE MUESTRAS Y LABORATORIO POCT",IF(P50=#REF!,"IMPLANTE SUBDERMICO DE DISPOSITIVO INTRAUTERINO",IF(P50=#REF!,"SALUD MENTAL",IF(P50=#REF!,"PRIMEROS AUXILIOS PSICOLOGICOS",IF(P50=#REF!,"ATENCION A VICTIMAS POR CONFLICTO ARMADO",IF(P50=#REF!,"MANIPULACION DE ALIMENTOS Y BPM",IF(P50=#REF!,"ATENCION A PERSONAS CON DISCAPACIDAD",IF(P50=#REF!,"CUIDADO INTEGRAL DEL PACIENTE ADULTO",IF(P50=#REF!,"MANEJO DEFENSIVO",IF(P50=#REF!,"SOPORTE CARDIOVASCULAR AVANZADO NEONATAL",IF(P50=#REF!,"SEGURIDAD DEL PACIENTE",IF(P50=#REF!,"MANEJO DE RESIDUOS HOSPITALARIOS"))))))))))))))))))))))))))))))))))))</f>
        <v>#REF!</v>
      </c>
      <c r="W50" s="34" t="str">
        <f t="shared" si="0"/>
        <v>Madeleine  Torres Araujo</v>
      </c>
      <c r="X50" s="34" t="str">
        <f t="shared" si="1"/>
        <v>Madeleine  Torres Araujo</v>
      </c>
      <c r="Y50" s="34" t="str">
        <f t="shared" si="2"/>
        <v>Madeleine  Torres Araujo-1087193282-ACLS</v>
      </c>
    </row>
    <row r="51" spans="1:26" x14ac:dyDescent="0.2">
      <c r="A51" s="29">
        <v>50</v>
      </c>
      <c r="B51" s="30">
        <v>1087193282</v>
      </c>
      <c r="C51" s="30" t="s">
        <v>134</v>
      </c>
      <c r="D51" s="30" t="s">
        <v>135</v>
      </c>
      <c r="E51" s="30" t="s">
        <v>136</v>
      </c>
      <c r="F51" s="30"/>
      <c r="G51" s="30">
        <v>13</v>
      </c>
      <c r="H51" s="30" t="s">
        <v>49</v>
      </c>
      <c r="I51" s="31" t="s">
        <v>376</v>
      </c>
      <c r="J51" s="31"/>
      <c r="K51" s="32">
        <v>45670</v>
      </c>
      <c r="L51" s="33"/>
      <c r="M51" s="30" t="s">
        <v>138</v>
      </c>
      <c r="N51" s="30" t="s">
        <v>387</v>
      </c>
      <c r="O51" s="30" t="s">
        <v>69</v>
      </c>
      <c r="P51" s="30" t="s">
        <v>21</v>
      </c>
      <c r="Q51" s="31">
        <v>33774</v>
      </c>
      <c r="R51" s="30" t="s">
        <v>71</v>
      </c>
      <c r="S51" s="25" t="s">
        <v>109</v>
      </c>
      <c r="T51" s="21">
        <v>3174247285</v>
      </c>
      <c r="U51" s="21" t="s">
        <v>137</v>
      </c>
      <c r="V51" s="34" t="e">
        <f>IF(P51=#REF!,"DIPLOMADO EN ATENCION PRE-HOSPITALARIA",IF(P51=#REF!,"ACOMPAÑAMIENTO Y MANEJO DEL DUELO",IF(P51=#REF!,"ATENCION A VICTIMAS DE ATAQUE CON AGENTES QUIMICOS ",IF(P51=#REF!,"PRIMEROS AUXILIOS ",IF(P51=#REF!,"DIPLOMADO DE UNIDAD DE CUIDADOS INTENSIVOS (UCI)",IF(P51=#REF!,"MODELO DE ATENCION PARA EVENTOS EMERGENTES EN SALUD MENTAL (CODIGO VERDE)",IF(P51=#REF!,"HUMANIZACION EN EL SERVICIO DE LA SALUD Y BUENAS PRACTICAS EN PACIENTE ",IF(P51=#REF!,"CLINICA DE HERIDAS ",IF(P51=#REF!,"TOMA DE CITOLOGIA CERVICO VAGINAL ",IF(P51=#REF!,"SOPORTE CARDIOVASCULAR AVANZADO (ACLS) ",IF(P51=#REF!,"CAMILLERO ",IF(P51=#REF!,"TOMA DE MUESTRAS Y LABORATORIO ",IF(P51=#REF!,"SOPORTE VITAL BASICO (BLS)",IF(P51=#REF!,"ATENCION A VICTIMAS DE VIOLENCIA SEXUAL ",IF(P51=#REF!,"PROGRAMADO AMPLIADO DE INMUNIZACION (PAI - COVID 19)",IF(P51=#REF!,"ATENCION INTEGRAL EN ENFERMEDADES PREVALENTES EN PRIMERA INFANCIA (AIEPI)",IF(P51=#REF!,"ADMINISTRACION DE MEDICAMENTOS, INYECTOLOGIA  Y CANALIZACION ",IF(P51=#REF!,"OPERADOR DE VEHICULOS DE EMERGENCIA (OVE)",IF(P51=#REF!,"INSTITUCIONES AMIGAS DE LA MUJER Y LA INFANCIA (IAMI)",IF(P51=#REF!,"CUIDADO DEL DONANTE DE ORGANOS",IF(P51=#REF!,"ATENCION A VICTIMAS POR VIOLENCIA DE GENERO",IF(P51=#REF!,"IGUALDAD DE GENERO EN LA SALUD",IF(P51=#REF!,"BRIGADA DE EMERGENCIA",IF(P51=#REF!,"MANEJO DEL DOLOR Y CUIDADOS PALIATIVOS",IF(P51=#REF!,"TOMA DE MUESTRAS Y LABORATORIO POCT",IF(P51=#REF!,"IMPLANTE SUBDERMICO DE DISPOSITIVO INTRAUTERINO",IF(P51=#REF!,"SALUD MENTAL",IF(P51=#REF!,"PRIMEROS AUXILIOS PSICOLOGICOS",IF(P51=#REF!,"ATENCION A VICTIMAS POR CONFLICTO ARMADO",IF(P51=#REF!,"MANIPULACION DE ALIMENTOS Y BPM",IF(P51=#REF!,"ATENCION A PERSONAS CON DISCAPACIDAD",IF(P51=#REF!,"CUIDADO INTEGRAL DEL PACIENTE ADULTO",IF(P51=#REF!,"MANEJO DEFENSIVO",IF(P51=#REF!,"SOPORTE CARDIOVASCULAR AVANZADO NEONATAL",IF(P51=#REF!,"SEGURIDAD DEL PACIENTE",IF(P51=#REF!,"MANEJO DE RESIDUOS HOSPITALARIOS"))))))))))))))))))))))))))))))))))))</f>
        <v>#REF!</v>
      </c>
      <c r="W51" s="34" t="str">
        <f t="shared" si="0"/>
        <v>Madeleine  Torres Araujo</v>
      </c>
      <c r="X51" s="34" t="str">
        <f t="shared" si="1"/>
        <v>Madeleine  Torres Araujo</v>
      </c>
      <c r="Y51" s="34" t="str">
        <f t="shared" si="2"/>
        <v>Madeleine  Torres Araujo-1087193282-QUIMICOS</v>
      </c>
    </row>
    <row r="52" spans="1:26" s="19" customFormat="1" x14ac:dyDescent="0.2">
      <c r="A52" s="20">
        <v>51</v>
      </c>
      <c r="B52" s="21">
        <v>1004216066</v>
      </c>
      <c r="C52" s="21" t="s">
        <v>139</v>
      </c>
      <c r="D52" s="21"/>
      <c r="E52" s="21" t="s">
        <v>140</v>
      </c>
      <c r="F52" s="21" t="s">
        <v>141</v>
      </c>
      <c r="G52" s="21">
        <v>13</v>
      </c>
      <c r="H52" s="21" t="s">
        <v>49</v>
      </c>
      <c r="I52" s="22" t="s">
        <v>377</v>
      </c>
      <c r="J52" s="22"/>
      <c r="K52" s="23">
        <v>45657</v>
      </c>
      <c r="L52" s="24">
        <v>65000</v>
      </c>
      <c r="M52" s="21" t="s">
        <v>79</v>
      </c>
      <c r="N52" s="21" t="s">
        <v>387</v>
      </c>
      <c r="O52" s="21" t="s">
        <v>69</v>
      </c>
      <c r="P52" s="21" t="s">
        <v>29</v>
      </c>
      <c r="Q52" s="22">
        <v>37569</v>
      </c>
      <c r="R52" s="21" t="s">
        <v>71</v>
      </c>
      <c r="S52" s="21" t="s">
        <v>142</v>
      </c>
      <c r="T52" s="21">
        <v>3183883634</v>
      </c>
      <c r="U52" s="21" t="s">
        <v>143</v>
      </c>
      <c r="V52" s="26" t="e">
        <f>IF(P52=#REF!,"DIPLOMADO EN ATENCION PRE-HOSPITALARIA",IF(P52=#REF!,"ACOMPAÑAMIENTO Y MANEJO DEL DUELO",IF(P52=#REF!,"ATENCION A VICTIMAS DE ATAQUE CON AGENTES QUIMICOS ",IF(P52=#REF!,"PRIMEROS AUXILIOS ",IF(P52=#REF!,"DIPLOMADO DE UNIDAD DE CUIDADOS INTENSIVOS (UCI)",IF(P52=#REF!,"MODELO DE ATENCION PARA EVENTOS EMERGENTES EN SALUD MENTAL (CODIGO VERDE)",IF(P52=#REF!,"HUMANIZACION EN EL SERVICIO DE LA SALUD Y BUENAS PRACTICAS EN PACIENTE ",IF(P52=#REF!,"CLINICA DE HERIDAS ",IF(P52=#REF!,"TOMA DE CITOLOGIA CERVICO VAGINAL ",IF(P52=#REF!,"SOPORTE CARDIOVASCULAR AVANZADO (ACLS) ",IF(P52=#REF!,"CAMILLERO ",IF(P52=#REF!,"TOMA DE MUESTRAS Y LABORATORIO ",IF(P52=#REF!,"SOPORTE VITAL BASICO (BLS)",IF(P52=#REF!,"ATENCION A VICTIMAS DE VIOLENCIA SEXUAL ",IF(P52=#REF!,"PROGRAMADO AMPLIADO DE INMUNIZACION (PAI - COVID 19)",IF(P52=#REF!,"ATENCION INTEGRAL EN ENFERMEDADES PREVALENTES EN PRIMERA INFANCIA (AIEPI)",IF(P52=#REF!,"ADMINISTRACION DE MEDICAMENTOS, INYECTOLOGIA  Y CANALIZACION ",IF(P52=#REF!,"OPERADOR DE VEHICULOS DE EMERGENCIA (OVE)",IF(P52=#REF!,"INSTITUCIONES AMIGAS DE LA MUJER Y LA INFANCIA (IAMI)",IF(P52=#REF!,"CUIDADO DEL DONANTE DE ORGANOS",IF(P52=#REF!,"ATENCION A VICTIMAS POR VIOLENCIA DE GENERO",IF(P52=#REF!,"IGUALDAD DE GENERO EN LA SALUD",IF(P52=#REF!,"BRIGADA DE EMERGENCIA",IF(P52=#REF!,"MANEJO DEL DOLOR Y CUIDADOS PALIATIVOS",IF(P52=#REF!,"TOMA DE MUESTRAS Y LABORATORIO POCT",IF(P52=#REF!,"IMPLANTE SUBDERMICO DE DISPOSITIVO INTRAUTERINO",IF(P52=#REF!,"SALUD MENTAL",IF(P52=#REF!,"PRIMEROS AUXILIOS PSICOLOGICOS",IF(P52=#REF!,"ATENCION A VICTIMAS POR CONFLICTO ARMADO",IF(P52=#REF!,"MANIPULACION DE ALIMENTOS Y BPM",IF(P52=#REF!,"ATENCION A PERSONAS CON DISCAPACIDAD",IF(P52=#REF!,"CUIDADO INTEGRAL DEL PACIENTE ADULTO",IF(P52=#REF!,"MANEJO DEFENSIVO",IF(P52=#REF!,"SOPORTE CARDIOVASCULAR AVANZADO NEONATAL",IF(P52=#REF!,"SEGURIDAD DEL PACIENTE",IF(P52=#REF!,"MANEJO DE RESIDUOS HOSPITALARIOS"))))))))))))))))))))))))))))))))))))</f>
        <v>#REF!</v>
      </c>
      <c r="W52" s="26" t="str">
        <f t="shared" si="0"/>
        <v xml:space="preserve">Ingrith Vanesa Florez </v>
      </c>
      <c r="X52" s="26" t="str">
        <f t="shared" si="1"/>
        <v xml:space="preserve">Ingrith Vanesa Florez </v>
      </c>
      <c r="Y52" s="26" t="str">
        <f t="shared" si="2"/>
        <v>Ingrith Vanesa Florez -1004216066-ADMON DE MEDICAMENTOS</v>
      </c>
      <c r="Z52" s="35"/>
    </row>
    <row r="53" spans="1:26" x14ac:dyDescent="0.2">
      <c r="A53" s="20">
        <v>52</v>
      </c>
      <c r="B53" s="21">
        <v>1087421542</v>
      </c>
      <c r="C53" s="21" t="s">
        <v>144</v>
      </c>
      <c r="D53" s="21" t="s">
        <v>145</v>
      </c>
      <c r="E53" s="21" t="s">
        <v>146</v>
      </c>
      <c r="F53" s="21" t="s">
        <v>147</v>
      </c>
      <c r="G53" s="21">
        <v>13</v>
      </c>
      <c r="H53" s="21" t="s">
        <v>49</v>
      </c>
      <c r="I53" s="22" t="s">
        <v>376</v>
      </c>
      <c r="J53" s="22"/>
      <c r="K53" s="23">
        <v>45670</v>
      </c>
      <c r="L53" s="24">
        <v>30000</v>
      </c>
      <c r="M53" s="21" t="s">
        <v>106</v>
      </c>
      <c r="N53" s="21" t="s">
        <v>387</v>
      </c>
      <c r="O53" s="21" t="s">
        <v>95</v>
      </c>
      <c r="P53" s="21" t="s">
        <v>28</v>
      </c>
      <c r="Q53" s="22">
        <v>34799</v>
      </c>
      <c r="R53" s="21" t="s">
        <v>71</v>
      </c>
      <c r="S53" s="21" t="s">
        <v>148</v>
      </c>
      <c r="T53" s="21">
        <v>3182995233</v>
      </c>
      <c r="U53" s="21" t="s">
        <v>149</v>
      </c>
      <c r="V53" s="26" t="e">
        <f>IF(P53=#REF!,"DIPLOMADO EN ATENCION PRE-HOSPITALARIA",IF(P53=#REF!,"ACOMPAÑAMIENTO Y MANEJO DEL DUELO",IF(P53=#REF!,"ATENCION A VICTIMAS DE ATAQUE CON AGENTES QUIMICOS ",IF(P53=#REF!,"PRIMEROS AUXILIOS ",IF(P53=#REF!,"DIPLOMADO DE UNIDAD DE CUIDADOS INTENSIVOS (UCI)",IF(P53=#REF!,"MODELO DE ATENCION PARA EVENTOS EMERGENTES EN SALUD MENTAL (CODIGO VERDE)",IF(P53=#REF!,"HUMANIZACION EN EL SERVICIO DE LA SALUD Y BUENAS PRACTICAS EN PACIENTE ",IF(P53=#REF!,"CLINICA DE HERIDAS ",IF(P53=#REF!,"TOMA DE CITOLOGIA CERVICO VAGINAL ",IF(P53=#REF!,"SOPORTE CARDIOVASCULAR AVANZADO (ACLS) ",IF(P53=#REF!,"CAMILLERO ",IF(P53=#REF!,"TOMA DE MUESTRAS Y LABORATORIO ",IF(P53=#REF!,"SOPORTE VITAL BASICO (BLS)",IF(P53=#REF!,"ATENCION A VICTIMAS DE VIOLENCIA SEXUAL ",IF(P53=#REF!,"PROGRAMADO AMPLIADO DE INMUNIZACION (PAI - COVID 19)",IF(P53=#REF!,"ATENCION INTEGRAL EN ENFERMEDADES PREVALENTES EN PRIMERA INFANCIA (AIEPI)",IF(P53=#REF!,"ADMINISTRACION DE MEDICAMENTOS, INYECTOLOGIA  Y CANALIZACION ",IF(P53=#REF!,"OPERADOR DE VEHICULOS DE EMERGENCIA (OVE)",IF(P53=#REF!,"INSTITUCIONES AMIGAS DE LA MUJER Y LA INFANCIA (IAMI)",IF(P53=#REF!,"CUIDADO DEL DONANTE DE ORGANOS",IF(P53=#REF!,"ATENCION A VICTIMAS POR VIOLENCIA DE GENERO",IF(P53=#REF!,"IGUALDAD DE GENERO EN LA SALUD",IF(P53=#REF!,"BRIGADA DE EMERGENCIA",IF(P53=#REF!,"MANEJO DEL DOLOR Y CUIDADOS PALIATIVOS",IF(P53=#REF!,"TOMA DE MUESTRAS Y LABORATORIO POCT",IF(P53=#REF!,"IMPLANTE SUBDERMICO DE DISPOSITIVO INTRAUTERINO",IF(P53=#REF!,"SALUD MENTAL",IF(P53=#REF!,"PRIMEROS AUXILIOS PSICOLOGICOS",IF(P53=#REF!,"ATENCION A VICTIMAS POR CONFLICTO ARMADO",IF(P53=#REF!,"MANIPULACION DE ALIMENTOS Y BPM",IF(P53=#REF!,"ATENCION A PERSONAS CON DISCAPACIDAD",IF(P53=#REF!,"CUIDADO INTEGRAL DEL PACIENTE ADULTO",IF(P53=#REF!,"MANEJO DEFENSIVO",IF(P53=#REF!,"SOPORTE CARDIOVASCULAR AVANZADO NEONATAL",IF(P53=#REF!,"SEGURIDAD DEL PACIENTE",IF(P53=#REF!,"MANEJO DE RESIDUOS HOSPITALARIOS"))))))))))))))))))))))))))))))))))))</f>
        <v>#REF!</v>
      </c>
      <c r="W53" s="26" t="str">
        <f t="shared" si="0"/>
        <v>Daniela Estephania Criollo Eraso</v>
      </c>
      <c r="X53" s="26" t="str">
        <f t="shared" si="1"/>
        <v>Daniela Estephania Criollo Eraso</v>
      </c>
      <c r="Y53" s="26" t="str">
        <f t="shared" si="2"/>
        <v>Daniela Estephania Criollo Eraso-1087421542-AIEPI</v>
      </c>
    </row>
    <row r="54" spans="1:26" x14ac:dyDescent="0.2">
      <c r="A54" s="20">
        <v>53</v>
      </c>
      <c r="B54" s="21">
        <v>1087421542</v>
      </c>
      <c r="C54" s="21" t="s">
        <v>144</v>
      </c>
      <c r="D54" s="21" t="s">
        <v>145</v>
      </c>
      <c r="E54" s="21" t="s">
        <v>146</v>
      </c>
      <c r="F54" s="21" t="s">
        <v>147</v>
      </c>
      <c r="G54" s="21">
        <v>13</v>
      </c>
      <c r="H54" s="21" t="s">
        <v>49</v>
      </c>
      <c r="I54" s="22" t="s">
        <v>376</v>
      </c>
      <c r="J54" s="22"/>
      <c r="K54" s="23">
        <v>45670</v>
      </c>
      <c r="L54" s="24">
        <v>30000</v>
      </c>
      <c r="M54" s="21" t="s">
        <v>106</v>
      </c>
      <c r="N54" s="21" t="s">
        <v>387</v>
      </c>
      <c r="O54" s="21" t="s">
        <v>95</v>
      </c>
      <c r="P54" s="21" t="s">
        <v>23</v>
      </c>
      <c r="Q54" s="22">
        <v>34799</v>
      </c>
      <c r="R54" s="21" t="s">
        <v>71</v>
      </c>
      <c r="S54" s="21" t="s">
        <v>148</v>
      </c>
      <c r="T54" s="21">
        <v>3182995233</v>
      </c>
      <c r="U54" s="21" t="s">
        <v>149</v>
      </c>
      <c r="V54" s="26" t="e">
        <f>IF(P54=#REF!,"DIPLOMADO EN ATENCION PRE-HOSPITALARIA",IF(P54=#REF!,"ACOMPAÑAMIENTO Y MANEJO DEL DUELO",IF(P54=#REF!,"ATENCION A VICTIMAS DE ATAQUE CON AGENTES QUIMICOS ",IF(P54=#REF!,"PRIMEROS AUXILIOS ",IF(P54=#REF!,"DIPLOMADO DE UNIDAD DE CUIDADOS INTENSIVOS (UCI)",IF(P54=#REF!,"MODELO DE ATENCION PARA EVENTOS EMERGENTES EN SALUD MENTAL (CODIGO VERDE)",IF(P54=#REF!,"HUMANIZACION EN EL SERVICIO DE LA SALUD Y BUENAS PRACTICAS EN PACIENTE ",IF(P54=#REF!,"CLINICA DE HERIDAS ",IF(P54=#REF!,"TOMA DE CITOLOGIA CERVICO VAGINAL ",IF(P54=#REF!,"SOPORTE CARDIOVASCULAR AVANZADO (ACLS) ",IF(P54=#REF!,"CAMILLERO ",IF(P54=#REF!,"TOMA DE MUESTRAS Y LABORATORIO ",IF(P54=#REF!,"SOPORTE VITAL BASICO (BLS)",IF(P54=#REF!,"ATENCION A VICTIMAS DE VIOLENCIA SEXUAL ",IF(P54=#REF!,"PROGRAMADO AMPLIADO DE INMUNIZACION (PAI - COVID 19)",IF(P54=#REF!,"ATENCION INTEGRAL EN ENFERMEDADES PREVALENTES EN PRIMERA INFANCIA (AIEPI)",IF(P54=#REF!,"ADMINISTRACION DE MEDICAMENTOS, INYECTOLOGIA  Y CANALIZACION ",IF(P54=#REF!,"OPERADOR DE VEHICULOS DE EMERGENCIA (OVE)",IF(P54=#REF!,"INSTITUCIONES AMIGAS DE LA MUJER Y LA INFANCIA (IAMI)",IF(P54=#REF!,"CUIDADO DEL DONANTE DE ORGANOS",IF(P54=#REF!,"ATENCION A VICTIMAS POR VIOLENCIA DE GENERO",IF(P54=#REF!,"IGUALDAD DE GENERO EN LA SALUD",IF(P54=#REF!,"BRIGADA DE EMERGENCIA",IF(P54=#REF!,"MANEJO DEL DOLOR Y CUIDADOS PALIATIVOS",IF(P54=#REF!,"TOMA DE MUESTRAS Y LABORATORIO POCT",IF(P54=#REF!,"IMPLANTE SUBDERMICO DE DISPOSITIVO INTRAUTERINO",IF(P54=#REF!,"SALUD MENTAL",IF(P54=#REF!,"PRIMEROS AUXILIOS PSICOLOGICOS",IF(P54=#REF!,"ATENCION A VICTIMAS POR CONFLICTO ARMADO",IF(P54=#REF!,"MANIPULACION DE ALIMENTOS Y BPM",IF(P54=#REF!,"ATENCION A PERSONAS CON DISCAPACIDAD",IF(P54=#REF!,"CUIDADO INTEGRAL DEL PACIENTE ADULTO",IF(P54=#REF!,"MANEJO DEFENSIVO",IF(P54=#REF!,"SOPORTE CARDIOVASCULAR AVANZADO NEONATAL",IF(P54=#REF!,"SEGURIDAD DEL PACIENTE",IF(P54=#REF!,"MANEJO DE RESIDUOS HOSPITALARIOS"))))))))))))))))))))))))))))))))))))</f>
        <v>#REF!</v>
      </c>
      <c r="W54" s="26" t="str">
        <f t="shared" si="0"/>
        <v>Daniela Estephania Criollo Eraso</v>
      </c>
      <c r="X54" s="26" t="str">
        <f t="shared" si="1"/>
        <v>Daniela Estephania Criollo Eraso</v>
      </c>
      <c r="Y54" s="26" t="str">
        <f t="shared" si="2"/>
        <v>Daniela Estephania Criollo Eraso-1087421542-HUMANIZACION</v>
      </c>
    </row>
    <row r="55" spans="1:26" x14ac:dyDescent="0.2">
      <c r="A55" s="20">
        <v>54</v>
      </c>
      <c r="B55" s="21">
        <v>1085663691</v>
      </c>
      <c r="C55" s="21" t="s">
        <v>150</v>
      </c>
      <c r="D55" s="21" t="s">
        <v>151</v>
      </c>
      <c r="E55" s="21" t="s">
        <v>152</v>
      </c>
      <c r="F55" s="21" t="s">
        <v>153</v>
      </c>
      <c r="G55" s="21">
        <v>13</v>
      </c>
      <c r="H55" s="21" t="s">
        <v>49</v>
      </c>
      <c r="I55" s="22" t="s">
        <v>376</v>
      </c>
      <c r="J55" s="22"/>
      <c r="K55" s="23">
        <v>45670</v>
      </c>
      <c r="L55" s="24">
        <v>32000</v>
      </c>
      <c r="M55" s="21" t="s">
        <v>106</v>
      </c>
      <c r="N55" s="21" t="s">
        <v>387</v>
      </c>
      <c r="O55" s="21" t="s">
        <v>69</v>
      </c>
      <c r="P55" s="21" t="s">
        <v>19</v>
      </c>
      <c r="Q55" s="22">
        <v>35890</v>
      </c>
      <c r="R55" s="21" t="s">
        <v>71</v>
      </c>
      <c r="S55" s="21" t="s">
        <v>107</v>
      </c>
      <c r="T55" s="21">
        <v>3166952802</v>
      </c>
      <c r="U55" s="21" t="s">
        <v>154</v>
      </c>
      <c r="V55" s="26" t="e">
        <f>IF(P55=#REF!,"DIPLOMADO EN ATENCION PRE-HOSPITALARIA",IF(P55=#REF!,"ACOMPAÑAMIENTO Y MANEJO DEL DUELO",IF(P55=#REF!,"ATENCION A VICTIMAS DE ATAQUE CON AGENTES QUIMICOS ",IF(P55=#REF!,"PRIMEROS AUXILIOS ",IF(P55=#REF!,"DIPLOMADO DE UNIDAD DE CUIDADOS INTENSIVOS (UCI)",IF(P55=#REF!,"MODELO DE ATENCION PARA EVENTOS EMERGENTES EN SALUD MENTAL (CODIGO VERDE)",IF(P55=#REF!,"HUMANIZACION EN EL SERVICIO DE LA SALUD Y BUENAS PRACTICAS EN PACIENTE ",IF(P55=#REF!,"CLINICA DE HERIDAS ",IF(P55=#REF!,"TOMA DE CITOLOGIA CERVICO VAGINAL ",IF(P55=#REF!,"SOPORTE CARDIOVASCULAR AVANZADO (ACLS) ",IF(P55=#REF!,"CAMILLERO ",IF(P55=#REF!,"TOMA DE MUESTRAS Y LABORATORIO ",IF(P55=#REF!,"SOPORTE VITAL BASICO (BLS)",IF(P55=#REF!,"ATENCION A VICTIMAS DE VIOLENCIA SEXUAL ",IF(P55=#REF!,"PROGRAMADO AMPLIADO DE INMUNIZACION (PAI - COVID 19)",IF(P55=#REF!,"ATENCION INTEGRAL EN ENFERMEDADES PREVALENTES EN PRIMERA INFANCIA (AIEPI)",IF(P55=#REF!,"ADMINISTRACION DE MEDICAMENTOS, INYECTOLOGIA  Y CANALIZACION ",IF(P55=#REF!,"OPERADOR DE VEHICULOS DE EMERGENCIA (OVE)",IF(P55=#REF!,"INSTITUCIONES AMIGAS DE LA MUJER Y LA INFANCIA (IAMI)",IF(P55=#REF!,"CUIDADO DEL DONANTE DE ORGANOS",IF(P55=#REF!,"ATENCION A VICTIMAS POR VIOLENCIA DE GENERO",IF(P55=#REF!,"IGUALDAD DE GENERO EN LA SALUD",IF(P55=#REF!,"BRIGADA DE EMERGENCIA",IF(P55=#REF!,"MANEJO DEL DOLOR Y CUIDADOS PALIATIVOS",IF(P55=#REF!,"TOMA DE MUESTRAS Y LABORATORIO POCT",IF(P55=#REF!,"IMPLANTE SUBDERMICO DE DISPOSITIVO INTRAUTERINO",IF(P55=#REF!,"SALUD MENTAL",IF(P55=#REF!,"PRIMEROS AUXILIOS PSICOLOGICOS",IF(P55=#REF!,"ATENCION A VICTIMAS POR CONFLICTO ARMADO",IF(P55=#REF!,"MANIPULACION DE ALIMENTOS Y BPM",IF(P55=#REF!,"ATENCION A PERSONAS CON DISCAPACIDAD",IF(P55=#REF!,"CUIDADO INTEGRAL DEL PACIENTE ADULTO",IF(P55=#REF!,"MANEJO DEFENSIVO",IF(P55=#REF!,"SOPORTE CARDIOVASCULAR AVANZADO NEONATAL",IF(P55=#REF!,"SEGURIDAD DEL PACIENTE",IF(P55=#REF!,"MANEJO DE RESIDUOS HOSPITALARIOS"))))))))))))))))))))))))))))))))))))</f>
        <v>#REF!</v>
      </c>
      <c r="W55" s="26" t="str">
        <f t="shared" si="0"/>
        <v>Yuliana Yiceth Rodriguez Muñoz</v>
      </c>
      <c r="X55" s="26" t="str">
        <f t="shared" si="1"/>
        <v>Yuliana Yiceth Rodriguez Muñoz</v>
      </c>
      <c r="Y55" s="26" t="str">
        <f t="shared" si="2"/>
        <v>Yuliana Yiceth Rodriguez Muñoz-1085663691-BLS</v>
      </c>
    </row>
    <row r="56" spans="1:26" x14ac:dyDescent="0.2">
      <c r="A56" s="36">
        <v>55</v>
      </c>
      <c r="B56" s="37">
        <v>1085663691</v>
      </c>
      <c r="C56" s="37" t="s">
        <v>150</v>
      </c>
      <c r="D56" s="37" t="s">
        <v>151</v>
      </c>
      <c r="E56" s="37" t="s">
        <v>152</v>
      </c>
      <c r="F56" s="37" t="s">
        <v>153</v>
      </c>
      <c r="G56" s="37">
        <v>13</v>
      </c>
      <c r="H56" s="37" t="s">
        <v>49</v>
      </c>
      <c r="I56" s="38" t="s">
        <v>376</v>
      </c>
      <c r="J56" s="38"/>
      <c r="K56" s="39">
        <v>45670</v>
      </c>
      <c r="L56" s="40">
        <v>32000</v>
      </c>
      <c r="M56" s="37" t="s">
        <v>106</v>
      </c>
      <c r="N56" s="37" t="s">
        <v>387</v>
      </c>
      <c r="O56" s="37" t="s">
        <v>69</v>
      </c>
      <c r="P56" s="37" t="s">
        <v>27</v>
      </c>
      <c r="Q56" s="38">
        <v>35890</v>
      </c>
      <c r="R56" s="37" t="s">
        <v>71</v>
      </c>
      <c r="S56" s="37" t="s">
        <v>107</v>
      </c>
      <c r="T56" s="37">
        <v>3166952802</v>
      </c>
      <c r="U56" s="45" t="s">
        <v>154</v>
      </c>
      <c r="V56" s="41" t="e">
        <f>IF(P56=#REF!,"DIPLOMADO EN ATENCION PRE-HOSPITALARIA",IF(P56=#REF!,"ACOMPAÑAMIENTO Y MANEJO DEL DUELO",IF(P56=#REF!,"ATENCION A VICTIMAS DE ATAQUE CON AGENTES QUIMICOS ",IF(P56=#REF!,"PRIMEROS AUXILIOS ",IF(P56=#REF!,"DIPLOMADO DE UNIDAD DE CUIDADOS INTENSIVOS (UCI)",IF(P56=#REF!,"MODELO DE ATENCION PARA EVENTOS EMERGENTES EN SALUD MENTAL (CODIGO VERDE)",IF(P56=#REF!,"HUMANIZACION EN EL SERVICIO DE LA SALUD Y BUENAS PRACTICAS EN PACIENTE ",IF(P56=#REF!,"CLINICA DE HERIDAS ",IF(P56=#REF!,"TOMA DE CITOLOGIA CERVICO VAGINAL ",IF(P56=#REF!,"SOPORTE CARDIOVASCULAR AVANZADO (ACLS) ",IF(P56=#REF!,"CAMILLERO ",IF(P56=#REF!,"TOMA DE MUESTRAS Y LABORATORIO ",IF(P56=#REF!,"SOPORTE VITAL BASICO (BLS)",IF(P56=#REF!,"ATENCION A VICTIMAS DE VIOLENCIA SEXUAL ",IF(P56=#REF!,"PROGRAMADO AMPLIADO DE INMUNIZACION (PAI - COVID 19)",IF(P56=#REF!,"ATENCION INTEGRAL EN ENFERMEDADES PREVALENTES EN PRIMERA INFANCIA (AIEPI)",IF(P56=#REF!,"ADMINISTRACION DE MEDICAMENTOS, INYECTOLOGIA  Y CANALIZACION ",IF(P56=#REF!,"OPERADOR DE VEHICULOS DE EMERGENCIA (OVE)",IF(P56=#REF!,"INSTITUCIONES AMIGAS DE LA MUJER Y LA INFANCIA (IAMI)",IF(P56=#REF!,"CUIDADO DEL DONANTE DE ORGANOS",IF(P56=#REF!,"ATENCION A VICTIMAS POR VIOLENCIA DE GENERO",IF(P56=#REF!,"IGUALDAD DE GENERO EN LA SALUD",IF(P56=#REF!,"BRIGADA DE EMERGENCIA",IF(P56=#REF!,"MANEJO DEL DOLOR Y CUIDADOS PALIATIVOS",IF(P56=#REF!,"TOMA DE MUESTRAS Y LABORATORIO POCT",IF(P56=#REF!,"IMPLANTE SUBDERMICO DE DISPOSITIVO INTRAUTERINO",IF(P56=#REF!,"SALUD MENTAL",IF(P56=#REF!,"PRIMEROS AUXILIOS PSICOLOGICOS",IF(P56=#REF!,"ATENCION A VICTIMAS POR CONFLICTO ARMADO",IF(P56=#REF!,"MANIPULACION DE ALIMENTOS Y BPM",IF(P56=#REF!,"ATENCION A PERSONAS CON DISCAPACIDAD",IF(P56=#REF!,"CUIDADO INTEGRAL DEL PACIENTE ADULTO",IF(P56=#REF!,"MANEJO DEFENSIVO",IF(P56=#REF!,"SOPORTE CARDIOVASCULAR AVANZADO NEONATAL",IF(P56=#REF!,"SEGURIDAD DEL PACIENTE",IF(P56=#REF!,"MANEJO DE RESIDUOS HOSPITALARIOS"))))))))))))))))))))))))))))))))))))</f>
        <v>#REF!</v>
      </c>
      <c r="W56" s="41" t="str">
        <f t="shared" si="0"/>
        <v>Yuliana Yiceth Rodriguez Muñoz</v>
      </c>
      <c r="X56" s="41" t="str">
        <f t="shared" si="1"/>
        <v>Yuliana Yiceth Rodriguez Muñoz</v>
      </c>
      <c r="Y56" s="41" t="str">
        <f t="shared" si="2"/>
        <v>Yuliana Yiceth Rodriguez Muñoz-1085663691-VIOLENCIA SEXUAL</v>
      </c>
    </row>
    <row r="57" spans="1:26" s="19" customFormat="1" x14ac:dyDescent="0.2">
      <c r="A57" s="20">
        <v>56</v>
      </c>
      <c r="B57" s="21">
        <v>12845773</v>
      </c>
      <c r="C57" s="21" t="s">
        <v>155</v>
      </c>
      <c r="D57" s="21" t="s">
        <v>156</v>
      </c>
      <c r="E57" s="21" t="s">
        <v>157</v>
      </c>
      <c r="F57" s="21" t="s">
        <v>158</v>
      </c>
      <c r="G57" s="21">
        <v>14</v>
      </c>
      <c r="H57" s="21" t="s">
        <v>49</v>
      </c>
      <c r="I57" s="22" t="s">
        <v>376</v>
      </c>
      <c r="J57" s="22"/>
      <c r="K57" s="23">
        <v>45671</v>
      </c>
      <c r="L57" s="24">
        <v>32000</v>
      </c>
      <c r="M57" s="21" t="s">
        <v>79</v>
      </c>
      <c r="N57" s="21" t="s">
        <v>387</v>
      </c>
      <c r="O57" s="21" t="s">
        <v>69</v>
      </c>
      <c r="P57" s="21" t="s">
        <v>19</v>
      </c>
      <c r="Q57" s="22">
        <v>31309</v>
      </c>
      <c r="R57" s="21" t="s">
        <v>70</v>
      </c>
      <c r="S57" s="21" t="s">
        <v>107</v>
      </c>
      <c r="T57" s="21">
        <v>3126390978</v>
      </c>
      <c r="U57" s="21" t="s">
        <v>159</v>
      </c>
      <c r="V57" s="26" t="e">
        <f>IF(P57=#REF!,"DIPLOMADO EN ATENCION PRE-HOSPITALARIA",IF(P57=#REF!,"ACOMPAÑAMIENTO Y MANEJO DEL DUELO",IF(P57=#REF!,"ATENCION A VICTIMAS DE ATAQUE CON AGENTES QUIMICOS ",IF(P57=#REF!,"PRIMEROS AUXILIOS ",IF(P57=#REF!,"DIPLOMADO DE UNIDAD DE CUIDADOS INTENSIVOS (UCI)",IF(P57=#REF!,"MODELO DE ATENCION PARA EVENTOS EMERGENTES EN SALUD MENTAL (CODIGO VERDE)",IF(P57=#REF!,"HUMANIZACION EN EL SERVICIO DE LA SALUD Y BUENAS PRACTICAS EN PACIENTE ",IF(P57=#REF!,"CLINICA DE HERIDAS ",IF(P57=#REF!,"TOMA DE CITOLOGIA CERVICO VAGINAL ",IF(P57=#REF!,"SOPORTE CARDIOVASCULAR AVANZADO (ACLS) ",IF(P57=#REF!,"CAMILLERO ",IF(P57=#REF!,"TOMA DE MUESTRAS Y LABORATORIO ",IF(P57=#REF!,"SOPORTE VITAL BASICO (BLS)",IF(P57=#REF!,"ATENCION A VICTIMAS DE VIOLENCIA SEXUAL ",IF(P57=#REF!,"PROGRAMADO AMPLIADO DE INMUNIZACION (PAI - COVID 19)",IF(P57=#REF!,"ATENCION INTEGRAL EN ENFERMEDADES PREVALENTES EN PRIMERA INFANCIA (AIEPI)",IF(P57=#REF!,"ADMINISTRACION DE MEDICAMENTOS, INYECTOLOGIA  Y CANALIZACION ",IF(P57=#REF!,"OPERADOR DE VEHICULOS DE EMERGENCIA (OVE)",IF(P57=#REF!,"INSTITUCIONES AMIGAS DE LA MUJER Y LA INFANCIA (IAMI)",IF(P57=#REF!,"CUIDADO DEL DONANTE DE ORGANOS",IF(P57=#REF!,"ATENCION A VICTIMAS POR VIOLENCIA DE GENERO",IF(P57=#REF!,"IGUALDAD DE GENERO EN LA SALUD",IF(P57=#REF!,"BRIGADA DE EMERGENCIA",IF(P57=#REF!,"MANEJO DEL DOLOR Y CUIDADOS PALIATIVOS",IF(P57=#REF!,"TOMA DE MUESTRAS Y LABORATORIO POCT",IF(P57=#REF!,"IMPLANTE SUBDERMICO DE DISPOSITIVO INTRAUTERINO",IF(P57=#REF!,"SALUD MENTAL",IF(P57=#REF!,"PRIMEROS AUXILIOS PSICOLOGICOS",IF(P57=#REF!,"ATENCION A VICTIMAS POR CONFLICTO ARMADO",IF(P57=#REF!,"MANIPULACION DE ALIMENTOS Y BPM",IF(P57=#REF!,"ATENCION A PERSONAS CON DISCAPACIDAD",IF(P57=#REF!,"CUIDADO INTEGRAL DEL PACIENTE ADULTO",IF(P57=#REF!,"MANEJO DEFENSIVO",IF(P57=#REF!,"SOPORTE CARDIOVASCULAR AVANZADO NEONATAL",IF(P57=#REF!,"SEGURIDAD DEL PACIENTE",IF(P57=#REF!,"MANEJO DE RESIDUOS HOSPITALARIOS"))))))))))))))))))))))))))))))))))))</f>
        <v>#REF!</v>
      </c>
      <c r="W57" s="26" t="str">
        <f t="shared" si="0"/>
        <v>Jose Luban Popayan Cordoba</v>
      </c>
      <c r="X57" s="26" t="str">
        <f t="shared" si="1"/>
        <v>Jose Luban Popayan Cordoba</v>
      </c>
      <c r="Y57" s="26" t="str">
        <f t="shared" si="2"/>
        <v>Jose Luban Popayan Cordoba-12845773-BLS</v>
      </c>
    </row>
    <row r="58" spans="1:26" s="19" customFormat="1" x14ac:dyDescent="0.2">
      <c r="A58" s="20">
        <v>57</v>
      </c>
      <c r="B58" s="21">
        <v>1086548383</v>
      </c>
      <c r="C58" s="21" t="s">
        <v>160</v>
      </c>
      <c r="D58" s="21" t="s">
        <v>161</v>
      </c>
      <c r="E58" s="21" t="s">
        <v>162</v>
      </c>
      <c r="F58" s="21" t="s">
        <v>105</v>
      </c>
      <c r="G58" s="21">
        <v>14</v>
      </c>
      <c r="H58" s="21" t="s">
        <v>49</v>
      </c>
      <c r="I58" s="22" t="s">
        <v>376</v>
      </c>
      <c r="J58" s="22"/>
      <c r="K58" s="23">
        <v>45671</v>
      </c>
      <c r="L58" s="24">
        <v>32000</v>
      </c>
      <c r="M58" s="21" t="s">
        <v>79</v>
      </c>
      <c r="N58" s="21" t="s">
        <v>387</v>
      </c>
      <c r="O58" s="21" t="s">
        <v>69</v>
      </c>
      <c r="P58" s="21" t="s">
        <v>19</v>
      </c>
      <c r="Q58" s="22">
        <v>31885</v>
      </c>
      <c r="R58" s="21" t="s">
        <v>71</v>
      </c>
      <c r="S58" s="21" t="s">
        <v>107</v>
      </c>
      <c r="T58" s="21">
        <v>3108237443</v>
      </c>
      <c r="U58" s="21" t="s">
        <v>163</v>
      </c>
      <c r="V58" s="26" t="e">
        <f>IF(P58=#REF!,"DIPLOMADO EN ATENCION PRE-HOSPITALARIA",IF(P58=#REF!,"ACOMPAÑAMIENTO Y MANEJO DEL DUELO",IF(P58=#REF!,"ATENCION A VICTIMAS DE ATAQUE CON AGENTES QUIMICOS ",IF(P58=#REF!,"PRIMEROS AUXILIOS ",IF(P58=#REF!,"DIPLOMADO DE UNIDAD DE CUIDADOS INTENSIVOS (UCI)",IF(P58=#REF!,"MODELO DE ATENCION PARA EVENTOS EMERGENTES EN SALUD MENTAL (CODIGO VERDE)",IF(P58=#REF!,"HUMANIZACION EN EL SERVICIO DE LA SALUD Y BUENAS PRACTICAS EN PACIENTE ",IF(P58=#REF!,"CLINICA DE HERIDAS ",IF(P58=#REF!,"TOMA DE CITOLOGIA CERVICO VAGINAL ",IF(P58=#REF!,"SOPORTE CARDIOVASCULAR AVANZADO (ACLS) ",IF(P58=#REF!,"CAMILLERO ",IF(P58=#REF!,"TOMA DE MUESTRAS Y LABORATORIO ",IF(P58=#REF!,"SOPORTE VITAL BASICO (BLS)",IF(P58=#REF!,"ATENCION A VICTIMAS DE VIOLENCIA SEXUAL ",IF(P58=#REF!,"PROGRAMADO AMPLIADO DE INMUNIZACION (PAI - COVID 19)",IF(P58=#REF!,"ATENCION INTEGRAL EN ENFERMEDADES PREVALENTES EN PRIMERA INFANCIA (AIEPI)",IF(P58=#REF!,"ADMINISTRACION DE MEDICAMENTOS, INYECTOLOGIA  Y CANALIZACION ",IF(P58=#REF!,"OPERADOR DE VEHICULOS DE EMERGENCIA (OVE)",IF(P58=#REF!,"INSTITUCIONES AMIGAS DE LA MUJER Y LA INFANCIA (IAMI)",IF(P58=#REF!,"CUIDADO DEL DONANTE DE ORGANOS",IF(P58=#REF!,"ATENCION A VICTIMAS POR VIOLENCIA DE GENERO",IF(P58=#REF!,"IGUALDAD DE GENERO EN LA SALUD",IF(P58=#REF!,"BRIGADA DE EMERGENCIA",IF(P58=#REF!,"MANEJO DEL DOLOR Y CUIDADOS PALIATIVOS",IF(P58=#REF!,"TOMA DE MUESTRAS Y LABORATORIO POCT",IF(P58=#REF!,"IMPLANTE SUBDERMICO DE DISPOSITIVO INTRAUTERINO",IF(P58=#REF!,"SALUD MENTAL",IF(P58=#REF!,"PRIMEROS AUXILIOS PSICOLOGICOS",IF(P58=#REF!,"ATENCION A VICTIMAS POR CONFLICTO ARMADO",IF(P58=#REF!,"MANIPULACION DE ALIMENTOS Y BPM",IF(P58=#REF!,"ATENCION A PERSONAS CON DISCAPACIDAD",IF(P58=#REF!,"CUIDADO INTEGRAL DEL PACIENTE ADULTO",IF(P58=#REF!,"MANEJO DEFENSIVO",IF(P58=#REF!,"SOPORTE CARDIOVASCULAR AVANZADO NEONATAL",IF(P58=#REF!,"SEGURIDAD DEL PACIENTE",IF(P58=#REF!,"MANEJO DE RESIDUOS HOSPITALARIOS"))))))))))))))))))))))))))))))))))))</f>
        <v>#REF!</v>
      </c>
      <c r="W58" s="26" t="str">
        <f t="shared" si="0"/>
        <v>Marly Paola Gomez Coronel</v>
      </c>
      <c r="X58" s="26" t="str">
        <f t="shared" si="1"/>
        <v>Marly Paola Gomez Coronel</v>
      </c>
      <c r="Y58" s="26" t="str">
        <f t="shared" si="2"/>
        <v>Marly Paola Gomez Coronel-1086548383-BLS</v>
      </c>
    </row>
    <row r="59" spans="1:26" s="19" customFormat="1" x14ac:dyDescent="0.2">
      <c r="A59" s="20">
        <v>58</v>
      </c>
      <c r="B59" s="21">
        <v>1086548383</v>
      </c>
      <c r="C59" s="21" t="s">
        <v>160</v>
      </c>
      <c r="D59" s="21" t="s">
        <v>161</v>
      </c>
      <c r="E59" s="21" t="s">
        <v>162</v>
      </c>
      <c r="F59" s="21" t="s">
        <v>105</v>
      </c>
      <c r="G59" s="21">
        <v>13</v>
      </c>
      <c r="H59" s="21" t="s">
        <v>49</v>
      </c>
      <c r="I59" s="22" t="s">
        <v>376</v>
      </c>
      <c r="J59" s="22"/>
      <c r="K59" s="23">
        <v>45671</v>
      </c>
      <c r="L59" s="24">
        <v>32000</v>
      </c>
      <c r="M59" s="21" t="s">
        <v>79</v>
      </c>
      <c r="N59" s="21" t="s">
        <v>387</v>
      </c>
      <c r="O59" s="21" t="s">
        <v>69</v>
      </c>
      <c r="P59" s="21" t="s">
        <v>23</v>
      </c>
      <c r="Q59" s="22">
        <v>31885</v>
      </c>
      <c r="R59" s="21" t="s">
        <v>71</v>
      </c>
      <c r="S59" s="21" t="s">
        <v>107</v>
      </c>
      <c r="T59" s="21">
        <v>3108237443</v>
      </c>
      <c r="U59" s="21" t="s">
        <v>163</v>
      </c>
      <c r="V59" s="26" t="e">
        <f>IF(P59=#REF!,"DIPLOMADO EN ATENCION PRE-HOSPITALARIA",IF(P59=#REF!,"ACOMPAÑAMIENTO Y MANEJO DEL DUELO",IF(P59=#REF!,"ATENCION A VICTIMAS DE ATAQUE CON AGENTES QUIMICOS ",IF(P59=#REF!,"PRIMEROS AUXILIOS ",IF(P59=#REF!,"DIPLOMADO DE UNIDAD DE CUIDADOS INTENSIVOS (UCI)",IF(P59=#REF!,"MODELO DE ATENCION PARA EVENTOS EMERGENTES EN SALUD MENTAL (CODIGO VERDE)",IF(P59=#REF!,"HUMANIZACION EN EL SERVICIO DE LA SALUD Y BUENAS PRACTICAS EN PACIENTE ",IF(P59=#REF!,"CLINICA DE HERIDAS ",IF(P59=#REF!,"TOMA DE CITOLOGIA CERVICO VAGINAL ",IF(P59=#REF!,"SOPORTE CARDIOVASCULAR AVANZADO (ACLS) ",IF(P59=#REF!,"CAMILLERO ",IF(P59=#REF!,"TOMA DE MUESTRAS Y LABORATORIO ",IF(P59=#REF!,"SOPORTE VITAL BASICO (BLS)",IF(P59=#REF!,"ATENCION A VICTIMAS DE VIOLENCIA SEXUAL ",IF(P59=#REF!,"PROGRAMADO AMPLIADO DE INMUNIZACION (PAI - COVID 19)",IF(P59=#REF!,"ATENCION INTEGRAL EN ENFERMEDADES PREVALENTES EN PRIMERA INFANCIA (AIEPI)",IF(P59=#REF!,"ADMINISTRACION DE MEDICAMENTOS, INYECTOLOGIA  Y CANALIZACION ",IF(P59=#REF!,"OPERADOR DE VEHICULOS DE EMERGENCIA (OVE)",IF(P59=#REF!,"INSTITUCIONES AMIGAS DE LA MUJER Y LA INFANCIA (IAMI)",IF(P59=#REF!,"CUIDADO DEL DONANTE DE ORGANOS",IF(P59=#REF!,"ATENCION A VICTIMAS POR VIOLENCIA DE GENERO",IF(P59=#REF!,"IGUALDAD DE GENERO EN LA SALUD",IF(P59=#REF!,"BRIGADA DE EMERGENCIA",IF(P59=#REF!,"MANEJO DEL DOLOR Y CUIDADOS PALIATIVOS",IF(P59=#REF!,"TOMA DE MUESTRAS Y LABORATORIO POCT",IF(P59=#REF!,"IMPLANTE SUBDERMICO DE DISPOSITIVO INTRAUTERINO",IF(P59=#REF!,"SALUD MENTAL",IF(P59=#REF!,"PRIMEROS AUXILIOS PSICOLOGICOS",IF(P59=#REF!,"ATENCION A VICTIMAS POR CONFLICTO ARMADO",IF(P59=#REF!,"MANIPULACION DE ALIMENTOS Y BPM",IF(P59=#REF!,"ATENCION A PERSONAS CON DISCAPACIDAD",IF(P59=#REF!,"CUIDADO INTEGRAL DEL PACIENTE ADULTO",IF(P59=#REF!,"MANEJO DEFENSIVO",IF(P59=#REF!,"SOPORTE CARDIOVASCULAR AVANZADO NEONATAL",IF(P59=#REF!,"SEGURIDAD DEL PACIENTE",IF(P59=#REF!,"MANEJO DE RESIDUOS HOSPITALARIOS"))))))))))))))))))))))))))))))))))))</f>
        <v>#REF!</v>
      </c>
      <c r="W59" s="26" t="str">
        <f t="shared" si="0"/>
        <v>Marly Paola Gomez Coronel</v>
      </c>
      <c r="X59" s="26" t="str">
        <f t="shared" si="1"/>
        <v>Marly Paola Gomez Coronel</v>
      </c>
      <c r="Y59" s="26" t="str">
        <f t="shared" si="2"/>
        <v>Marly Paola Gomez Coronel-1086548383-HUMANIZACION</v>
      </c>
    </row>
    <row r="60" spans="1:26" s="19" customFormat="1" x14ac:dyDescent="0.2">
      <c r="A60" s="20">
        <v>59</v>
      </c>
      <c r="B60" s="21">
        <v>1086548383</v>
      </c>
      <c r="C60" s="21" t="s">
        <v>160</v>
      </c>
      <c r="D60" s="21" t="s">
        <v>161</v>
      </c>
      <c r="E60" s="21" t="s">
        <v>162</v>
      </c>
      <c r="F60" s="21" t="s">
        <v>105</v>
      </c>
      <c r="G60" s="21">
        <v>11</v>
      </c>
      <c r="H60" s="21" t="s">
        <v>49</v>
      </c>
      <c r="I60" s="22" t="s">
        <v>376</v>
      </c>
      <c r="J60" s="22"/>
      <c r="K60" s="23">
        <v>45671</v>
      </c>
      <c r="L60" s="24">
        <v>32000</v>
      </c>
      <c r="M60" s="21" t="s">
        <v>79</v>
      </c>
      <c r="N60" s="21" t="s">
        <v>387</v>
      </c>
      <c r="O60" s="21" t="s">
        <v>69</v>
      </c>
      <c r="P60" s="21" t="s">
        <v>20</v>
      </c>
      <c r="Q60" s="22">
        <v>31885</v>
      </c>
      <c r="R60" s="21" t="s">
        <v>71</v>
      </c>
      <c r="S60" s="21" t="s">
        <v>107</v>
      </c>
      <c r="T60" s="21">
        <v>3108237443</v>
      </c>
      <c r="U60" s="21" t="s">
        <v>163</v>
      </c>
      <c r="V60" s="26" t="e">
        <f>IF(P60=#REF!,"DIPLOMADO EN ATENCION PRE-HOSPITALARIA",IF(P60=#REF!,"ACOMPAÑAMIENTO Y MANEJO DEL DUELO",IF(P60=#REF!,"ATENCION A VICTIMAS DE ATAQUE CON AGENTES QUIMICOS ",IF(P60=#REF!,"PRIMEROS AUXILIOS ",IF(P60=#REF!,"DIPLOMADO DE UNIDAD DE CUIDADOS INTENSIVOS (UCI)",IF(P60=#REF!,"MODELO DE ATENCION PARA EVENTOS EMERGENTES EN SALUD MENTAL (CODIGO VERDE)",IF(P60=#REF!,"HUMANIZACION EN EL SERVICIO DE LA SALUD Y BUENAS PRACTICAS EN PACIENTE ",IF(P60=#REF!,"CLINICA DE HERIDAS ",IF(P60=#REF!,"TOMA DE CITOLOGIA CERVICO VAGINAL ",IF(P60=#REF!,"SOPORTE CARDIOVASCULAR AVANZADO (ACLS) ",IF(P60=#REF!,"CAMILLERO ",IF(P60=#REF!,"TOMA DE MUESTRAS Y LABORATORIO ",IF(P60=#REF!,"SOPORTE VITAL BASICO (BLS)",IF(P60=#REF!,"ATENCION A VICTIMAS DE VIOLENCIA SEXUAL ",IF(P60=#REF!,"PROGRAMADO AMPLIADO DE INMUNIZACION (PAI - COVID 19)",IF(P60=#REF!,"ATENCION INTEGRAL EN ENFERMEDADES PREVALENTES EN PRIMERA INFANCIA (AIEPI)",IF(P60=#REF!,"ADMINISTRACION DE MEDICAMENTOS, INYECTOLOGIA  Y CANALIZACION ",IF(P60=#REF!,"OPERADOR DE VEHICULOS DE EMERGENCIA (OVE)",IF(P60=#REF!,"INSTITUCIONES AMIGAS DE LA MUJER Y LA INFANCIA (IAMI)",IF(P60=#REF!,"CUIDADO DEL DONANTE DE ORGANOS",IF(P60=#REF!,"ATENCION A VICTIMAS POR VIOLENCIA DE GENERO",IF(P60=#REF!,"IGUALDAD DE GENERO EN LA SALUD",IF(P60=#REF!,"BRIGADA DE EMERGENCIA",IF(P60=#REF!,"MANEJO DEL DOLOR Y CUIDADOS PALIATIVOS",IF(P60=#REF!,"TOMA DE MUESTRAS Y LABORATORIO POCT",IF(P60=#REF!,"IMPLANTE SUBDERMICO DE DISPOSITIVO INTRAUTERINO",IF(P60=#REF!,"SALUD MENTAL",IF(P60=#REF!,"PRIMEROS AUXILIOS PSICOLOGICOS",IF(P60=#REF!,"ATENCION A VICTIMAS POR CONFLICTO ARMADO",IF(P60=#REF!,"MANIPULACION DE ALIMENTOS Y BPM",IF(P60=#REF!,"ATENCION A PERSONAS CON DISCAPACIDAD",IF(P60=#REF!,"CUIDADO INTEGRAL DEL PACIENTE ADULTO",IF(P60=#REF!,"MANEJO DEFENSIVO",IF(P60=#REF!,"SOPORTE CARDIOVASCULAR AVANZADO NEONATAL",IF(P60=#REF!,"SEGURIDAD DEL PACIENTE",IF(P60=#REF!,"MANEJO DE RESIDUOS HOSPITALARIOS"))))))))))))))))))))))))))))))))))))</f>
        <v>#REF!</v>
      </c>
      <c r="W60" s="26" t="str">
        <f t="shared" si="0"/>
        <v>Marly Paola Gomez Coronel</v>
      </c>
      <c r="X60" s="26" t="str">
        <f t="shared" si="1"/>
        <v>Marly Paola Gomez Coronel</v>
      </c>
      <c r="Y60" s="26" t="str">
        <f t="shared" si="2"/>
        <v>Marly Paola Gomez Coronel-1086548383-DUELO</v>
      </c>
    </row>
    <row r="61" spans="1:26" s="19" customFormat="1" x14ac:dyDescent="0.2">
      <c r="A61" s="20">
        <v>60</v>
      </c>
      <c r="B61" s="21">
        <v>1086548383</v>
      </c>
      <c r="C61" s="21" t="s">
        <v>160</v>
      </c>
      <c r="D61" s="21" t="s">
        <v>161</v>
      </c>
      <c r="E61" s="21" t="s">
        <v>162</v>
      </c>
      <c r="F61" s="21" t="s">
        <v>105</v>
      </c>
      <c r="G61" s="21">
        <v>10</v>
      </c>
      <c r="H61" s="21" t="s">
        <v>49</v>
      </c>
      <c r="I61" s="22" t="s">
        <v>376</v>
      </c>
      <c r="J61" s="22"/>
      <c r="K61" s="23">
        <v>45671</v>
      </c>
      <c r="L61" s="24">
        <v>32000</v>
      </c>
      <c r="M61" s="21" t="s">
        <v>79</v>
      </c>
      <c r="N61" s="21" t="s">
        <v>387</v>
      </c>
      <c r="O61" s="21" t="s">
        <v>69</v>
      </c>
      <c r="P61" s="21" t="s">
        <v>21</v>
      </c>
      <c r="Q61" s="22">
        <v>31885</v>
      </c>
      <c r="R61" s="21" t="s">
        <v>71</v>
      </c>
      <c r="S61" s="21" t="s">
        <v>107</v>
      </c>
      <c r="T61" s="21">
        <v>3108237443</v>
      </c>
      <c r="U61" s="21" t="s">
        <v>163</v>
      </c>
      <c r="V61" s="26" t="e">
        <f>IF(P61=#REF!,"DIPLOMADO EN ATENCION PRE-HOSPITALARIA",IF(P61=#REF!,"ACOMPAÑAMIENTO Y MANEJO DEL DUELO",IF(P61=#REF!,"ATENCION A VICTIMAS DE ATAQUE CON AGENTES QUIMICOS ",IF(P61=#REF!,"PRIMEROS AUXILIOS ",IF(P61=#REF!,"DIPLOMADO DE UNIDAD DE CUIDADOS INTENSIVOS (UCI)",IF(P61=#REF!,"MODELO DE ATENCION PARA EVENTOS EMERGENTES EN SALUD MENTAL (CODIGO VERDE)",IF(P61=#REF!,"HUMANIZACION EN EL SERVICIO DE LA SALUD Y BUENAS PRACTICAS EN PACIENTE ",IF(P61=#REF!,"CLINICA DE HERIDAS ",IF(P61=#REF!,"TOMA DE CITOLOGIA CERVICO VAGINAL ",IF(P61=#REF!,"SOPORTE CARDIOVASCULAR AVANZADO (ACLS) ",IF(P61=#REF!,"CAMILLERO ",IF(P61=#REF!,"TOMA DE MUESTRAS Y LABORATORIO ",IF(P61=#REF!,"SOPORTE VITAL BASICO (BLS)",IF(P61=#REF!,"ATENCION A VICTIMAS DE VIOLENCIA SEXUAL ",IF(P61=#REF!,"PROGRAMADO AMPLIADO DE INMUNIZACION (PAI - COVID 19)",IF(P61=#REF!,"ATENCION INTEGRAL EN ENFERMEDADES PREVALENTES EN PRIMERA INFANCIA (AIEPI)",IF(P61=#REF!,"ADMINISTRACION DE MEDICAMENTOS, INYECTOLOGIA  Y CANALIZACION ",IF(P61=#REF!,"OPERADOR DE VEHICULOS DE EMERGENCIA (OVE)",IF(P61=#REF!,"INSTITUCIONES AMIGAS DE LA MUJER Y LA INFANCIA (IAMI)",IF(P61=#REF!,"CUIDADO DEL DONANTE DE ORGANOS",IF(P61=#REF!,"ATENCION A VICTIMAS POR VIOLENCIA DE GENERO",IF(P61=#REF!,"IGUALDAD DE GENERO EN LA SALUD",IF(P61=#REF!,"BRIGADA DE EMERGENCIA",IF(P61=#REF!,"MANEJO DEL DOLOR Y CUIDADOS PALIATIVOS",IF(P61=#REF!,"TOMA DE MUESTRAS Y LABORATORIO POCT",IF(P61=#REF!,"IMPLANTE SUBDERMICO DE DISPOSITIVO INTRAUTERINO",IF(P61=#REF!,"SALUD MENTAL",IF(P61=#REF!,"PRIMEROS AUXILIOS PSICOLOGICOS",IF(P61=#REF!,"ATENCION A VICTIMAS POR CONFLICTO ARMADO",IF(P61=#REF!,"MANIPULACION DE ALIMENTOS Y BPM",IF(P61=#REF!,"ATENCION A PERSONAS CON DISCAPACIDAD",IF(P61=#REF!,"CUIDADO INTEGRAL DEL PACIENTE ADULTO",IF(P61=#REF!,"MANEJO DEFENSIVO",IF(P61=#REF!,"SOPORTE CARDIOVASCULAR AVANZADO NEONATAL",IF(P61=#REF!,"SEGURIDAD DEL PACIENTE",IF(P61=#REF!,"MANEJO DE RESIDUOS HOSPITALARIOS"))))))))))))))))))))))))))))))))))))</f>
        <v>#REF!</v>
      </c>
      <c r="W61" s="26" t="str">
        <f t="shared" si="0"/>
        <v>Marly Paola Gomez Coronel</v>
      </c>
      <c r="X61" s="26" t="str">
        <f t="shared" si="1"/>
        <v>Marly Paola Gomez Coronel</v>
      </c>
      <c r="Y61" s="26" t="str">
        <f t="shared" si="2"/>
        <v>Marly Paola Gomez Coronel-1086548383-QUIMICOS</v>
      </c>
      <c r="Z61" s="35"/>
    </row>
    <row r="62" spans="1:26" s="19" customFormat="1" x14ac:dyDescent="0.2">
      <c r="A62" s="20">
        <v>61</v>
      </c>
      <c r="B62" s="21">
        <v>1087961572</v>
      </c>
      <c r="C62" s="21" t="s">
        <v>151</v>
      </c>
      <c r="D62" s="21" t="s">
        <v>164</v>
      </c>
      <c r="E62" s="21" t="s">
        <v>165</v>
      </c>
      <c r="F62" s="21" t="s">
        <v>166</v>
      </c>
      <c r="G62" s="21">
        <v>14</v>
      </c>
      <c r="H62" s="21" t="s">
        <v>49</v>
      </c>
      <c r="I62" s="22" t="s">
        <v>377</v>
      </c>
      <c r="J62" s="22"/>
      <c r="K62" s="23">
        <v>45671</v>
      </c>
      <c r="L62" s="24">
        <v>65000</v>
      </c>
      <c r="M62" s="21" t="s">
        <v>133</v>
      </c>
      <c r="N62" s="21" t="s">
        <v>387</v>
      </c>
      <c r="O62" s="21" t="s">
        <v>69</v>
      </c>
      <c r="P62" s="21" t="s">
        <v>27</v>
      </c>
      <c r="Q62" s="22">
        <v>36464</v>
      </c>
      <c r="R62" s="21" t="s">
        <v>71</v>
      </c>
      <c r="S62" s="21" t="s">
        <v>142</v>
      </c>
      <c r="T62" s="25">
        <v>3105943530</v>
      </c>
      <c r="U62" s="21" t="s">
        <v>167</v>
      </c>
      <c r="V62" s="26" t="e">
        <f>IF(P62=#REF!,"DIPLOMADO EN ATENCION PRE-HOSPITALARIA",IF(P62=#REF!,"ACOMPAÑAMIENTO Y MANEJO DEL DUELO",IF(P62=#REF!,"ATENCION A VICTIMAS DE ATAQUE CON AGENTES QUIMICOS ",IF(P62=#REF!,"PRIMEROS AUXILIOS ",IF(P62=#REF!,"DIPLOMADO DE UNIDAD DE CUIDADOS INTENSIVOS (UCI)",IF(P62=#REF!,"MODELO DE ATENCION PARA EVENTOS EMERGENTES EN SALUD MENTAL (CODIGO VERDE)",IF(P62=#REF!,"HUMANIZACION EN EL SERVICIO DE LA SALUD Y BUENAS PRACTICAS EN PACIENTE ",IF(P62=#REF!,"CLINICA DE HERIDAS ",IF(P62=#REF!,"TOMA DE CITOLOGIA CERVICO VAGINAL ",IF(P62=#REF!,"SOPORTE CARDIOVASCULAR AVANZADO (ACLS) ",IF(P62=#REF!,"CAMILLERO ",IF(P62=#REF!,"TOMA DE MUESTRAS Y LABORATORIO ",IF(P62=#REF!,"SOPORTE VITAL BASICO (BLS)",IF(P62=#REF!,"ATENCION A VICTIMAS DE VIOLENCIA SEXUAL ",IF(P62=#REF!,"PROGRAMADO AMPLIADO DE INMUNIZACION (PAI - COVID 19)",IF(P62=#REF!,"ATENCION INTEGRAL EN ENFERMEDADES PREVALENTES EN PRIMERA INFANCIA (AIEPI)",IF(P62=#REF!,"ADMINISTRACION DE MEDICAMENTOS, INYECTOLOGIA  Y CANALIZACION ",IF(P62=#REF!,"OPERADOR DE VEHICULOS DE EMERGENCIA (OVE)",IF(P62=#REF!,"INSTITUCIONES AMIGAS DE LA MUJER Y LA INFANCIA (IAMI)",IF(P62=#REF!,"CUIDADO DEL DONANTE DE ORGANOS",IF(P62=#REF!,"ATENCION A VICTIMAS POR VIOLENCIA DE GENERO",IF(P62=#REF!,"IGUALDAD DE GENERO EN LA SALUD",IF(P62=#REF!,"BRIGADA DE EMERGENCIA",IF(P62=#REF!,"MANEJO DEL DOLOR Y CUIDADOS PALIATIVOS",IF(P62=#REF!,"TOMA DE MUESTRAS Y LABORATORIO POCT",IF(P62=#REF!,"IMPLANTE SUBDERMICO DE DISPOSITIVO INTRAUTERINO",IF(P62=#REF!,"SALUD MENTAL",IF(P62=#REF!,"PRIMEROS AUXILIOS PSICOLOGICOS",IF(P62=#REF!,"ATENCION A VICTIMAS POR CONFLICTO ARMADO",IF(P62=#REF!,"MANIPULACION DE ALIMENTOS Y BPM",IF(P62=#REF!,"ATENCION A PERSONAS CON DISCAPACIDAD",IF(P62=#REF!,"CUIDADO INTEGRAL DEL PACIENTE ADULTO",IF(P62=#REF!,"MANEJO DEFENSIVO",IF(P62=#REF!,"SOPORTE CARDIOVASCULAR AVANZADO NEONATAL",IF(P62=#REF!,"SEGURIDAD DEL PACIENTE",IF(P62=#REF!,"MANEJO DE RESIDUOS HOSPITALARIOS"))))))))))))))))))))))))))))))))))))</f>
        <v>#REF!</v>
      </c>
      <c r="W62" s="26" t="str">
        <f t="shared" si="0"/>
        <v>Gabriela Alejandra Muñoz Pantoja</v>
      </c>
      <c r="X62" s="26" t="str">
        <f t="shared" si="1"/>
        <v>Gabriela Alejandra Muñoz Pantoja</v>
      </c>
      <c r="Y62" s="26" t="str">
        <f t="shared" si="2"/>
        <v>Gabriela Alejandra Muñoz Pantoja-1087961572-VIOLENCIA SEXUAL</v>
      </c>
      <c r="Z62" s="35"/>
    </row>
    <row r="63" spans="1:26" x14ac:dyDescent="0.2">
      <c r="A63" s="20">
        <v>62</v>
      </c>
      <c r="B63" s="21">
        <v>27456062</v>
      </c>
      <c r="C63" s="21" t="s">
        <v>168</v>
      </c>
      <c r="D63" s="21" t="s">
        <v>169</v>
      </c>
      <c r="E63" s="21" t="s">
        <v>170</v>
      </c>
      <c r="F63" s="21" t="s">
        <v>171</v>
      </c>
      <c r="G63" s="21">
        <v>14</v>
      </c>
      <c r="H63" s="21" t="s">
        <v>49</v>
      </c>
      <c r="I63" s="22" t="s">
        <v>376</v>
      </c>
      <c r="J63" s="22"/>
      <c r="K63" s="23">
        <v>45671</v>
      </c>
      <c r="L63" s="24">
        <v>60000</v>
      </c>
      <c r="M63" s="21" t="s">
        <v>79</v>
      </c>
      <c r="N63" s="21" t="s">
        <v>387</v>
      </c>
      <c r="O63" s="21" t="s">
        <v>69</v>
      </c>
      <c r="P63" s="21" t="s">
        <v>19</v>
      </c>
      <c r="Q63" s="22">
        <v>27880</v>
      </c>
      <c r="R63" s="21" t="s">
        <v>71</v>
      </c>
      <c r="S63" s="25" t="s">
        <v>172</v>
      </c>
      <c r="T63" s="25">
        <v>3117209983</v>
      </c>
      <c r="U63" s="21" t="s">
        <v>173</v>
      </c>
      <c r="V63" s="26" t="e">
        <f>IF(P63=#REF!,"DIPLOMADO EN ATENCION PRE-HOSPITALARIA",IF(P63=#REF!,"ACOMPAÑAMIENTO Y MANEJO DEL DUELO",IF(P63=#REF!,"ATENCION A VICTIMAS DE ATAQUE CON AGENTES QUIMICOS ",IF(P63=#REF!,"PRIMEROS AUXILIOS ",IF(P63=#REF!,"DIPLOMADO DE UNIDAD DE CUIDADOS INTENSIVOS (UCI)",IF(P63=#REF!,"MODELO DE ATENCION PARA EVENTOS EMERGENTES EN SALUD MENTAL (CODIGO VERDE)",IF(P63=#REF!,"HUMANIZACION EN EL SERVICIO DE LA SALUD Y BUENAS PRACTICAS EN PACIENTE ",IF(P63=#REF!,"CLINICA DE HERIDAS ",IF(P63=#REF!,"TOMA DE CITOLOGIA CERVICO VAGINAL ",IF(P63=#REF!,"SOPORTE CARDIOVASCULAR AVANZADO (ACLS) ",IF(P63=#REF!,"CAMILLERO ",IF(P63=#REF!,"TOMA DE MUESTRAS Y LABORATORIO ",IF(P63=#REF!,"SOPORTE VITAL BASICO (BLS)",IF(P63=#REF!,"ATENCION A VICTIMAS DE VIOLENCIA SEXUAL ",IF(P63=#REF!,"PROGRAMADO AMPLIADO DE INMUNIZACION (PAI - COVID 19)",IF(P63=#REF!,"ATENCION INTEGRAL EN ENFERMEDADES PREVALENTES EN PRIMERA INFANCIA (AIEPI)",IF(P63=#REF!,"ADMINISTRACION DE MEDICAMENTOS, INYECTOLOGIA  Y CANALIZACION ",IF(P63=#REF!,"OPERADOR DE VEHICULOS DE EMERGENCIA (OVE)",IF(P63=#REF!,"INSTITUCIONES AMIGAS DE LA MUJER Y LA INFANCIA (IAMI)",IF(P63=#REF!,"CUIDADO DEL DONANTE DE ORGANOS",IF(P63=#REF!,"ATENCION A VICTIMAS POR VIOLENCIA DE GENERO",IF(P63=#REF!,"IGUALDAD DE GENERO EN LA SALUD",IF(P63=#REF!,"BRIGADA DE EMERGENCIA",IF(P63=#REF!,"MANEJO DEL DOLOR Y CUIDADOS PALIATIVOS",IF(P63=#REF!,"TOMA DE MUESTRAS Y LABORATORIO POCT",IF(P63=#REF!,"IMPLANTE SUBDERMICO DE DISPOSITIVO INTRAUTERINO",IF(P63=#REF!,"SALUD MENTAL",IF(P63=#REF!,"PRIMEROS AUXILIOS PSICOLOGICOS",IF(P63=#REF!,"ATENCION A VICTIMAS POR CONFLICTO ARMADO",IF(P63=#REF!,"MANIPULACION DE ALIMENTOS Y BPM",IF(P63=#REF!,"ATENCION A PERSONAS CON DISCAPACIDAD",IF(P63=#REF!,"CUIDADO INTEGRAL DEL PACIENTE ADULTO",IF(P63=#REF!,"MANEJO DEFENSIVO",IF(P63=#REF!,"SOPORTE CARDIOVASCULAR AVANZADO NEONATAL",IF(P63=#REF!,"SEGURIDAD DEL PACIENTE",IF(P63=#REF!,"MANEJO DE RESIDUOS HOSPITALARIOS"))))))))))))))))))))))))))))))))))))</f>
        <v>#REF!</v>
      </c>
      <c r="W63" s="26" t="str">
        <f t="shared" si="0"/>
        <v>Sandra Elisa Teez Caicedo</v>
      </c>
      <c r="X63" s="26" t="str">
        <f t="shared" si="1"/>
        <v>Sandra Elisa Teez Caicedo</v>
      </c>
      <c r="Y63" s="26" t="str">
        <f t="shared" si="2"/>
        <v>Sandra Elisa Teez Caicedo-27456062-BLS</v>
      </c>
    </row>
    <row r="64" spans="1:26" x14ac:dyDescent="0.2">
      <c r="A64" s="20">
        <v>63</v>
      </c>
      <c r="B64" s="21">
        <v>1193034433</v>
      </c>
      <c r="C64" s="21" t="s">
        <v>174</v>
      </c>
      <c r="D64" s="21" t="s">
        <v>175</v>
      </c>
      <c r="E64" s="21" t="s">
        <v>176</v>
      </c>
      <c r="F64" s="21" t="s">
        <v>177</v>
      </c>
      <c r="G64" s="21">
        <v>14</v>
      </c>
      <c r="H64" s="21" t="s">
        <v>49</v>
      </c>
      <c r="I64" s="22" t="s">
        <v>377</v>
      </c>
      <c r="J64" s="22"/>
      <c r="K64" s="23" t="s">
        <v>179</v>
      </c>
      <c r="L64" s="24">
        <v>65000</v>
      </c>
      <c r="M64" s="21" t="s">
        <v>180</v>
      </c>
      <c r="N64" s="21" t="s">
        <v>387</v>
      </c>
      <c r="O64" s="21" t="s">
        <v>69</v>
      </c>
      <c r="P64" s="21" t="s">
        <v>26</v>
      </c>
      <c r="Q64" s="22">
        <v>37046</v>
      </c>
      <c r="R64" s="21" t="s">
        <v>71</v>
      </c>
      <c r="S64" s="25" t="s">
        <v>107</v>
      </c>
      <c r="T64" s="21">
        <v>3106868275</v>
      </c>
      <c r="U64" s="21" t="s">
        <v>178</v>
      </c>
      <c r="V64" s="26" t="e">
        <f>IF(P64=#REF!,"DIPLOMADO EN ATENCION PRE-HOSPITALARIA",IF(P64=#REF!,"ACOMPAÑAMIENTO Y MANEJO DEL DUELO",IF(P64=#REF!,"ATENCION A VICTIMAS DE ATAQUE CON AGENTES QUIMICOS ",IF(P64=#REF!,"PRIMEROS AUXILIOS ",IF(P64=#REF!,"DIPLOMADO DE UNIDAD DE CUIDADOS INTENSIVOS (UCI)",IF(P64=#REF!,"MODELO DE ATENCION PARA EVENTOS EMERGENTES EN SALUD MENTAL (CODIGO VERDE)",IF(P64=#REF!,"HUMANIZACION EN EL SERVICIO DE LA SALUD Y BUENAS PRACTICAS EN PACIENTE ",IF(P64=#REF!,"CLINICA DE HERIDAS ",IF(P64=#REF!,"TOMA DE CITOLOGIA CERVICO VAGINAL ",IF(P64=#REF!,"SOPORTE CARDIOVASCULAR AVANZADO (ACLS) ",IF(P64=#REF!,"CAMILLERO ",IF(P64=#REF!,"TOMA DE MUESTRAS Y LABORATORIO ",IF(P64=#REF!,"SOPORTE VITAL BASICO (BLS)",IF(P64=#REF!,"ATENCION A VICTIMAS DE VIOLENCIA SEXUAL ",IF(P64=#REF!,"PROGRAMADO AMPLIADO DE INMUNIZACION (PAI - COVID 19)",IF(P64=#REF!,"ATENCION INTEGRAL EN ENFERMEDADES PREVALENTES EN PRIMERA INFANCIA (AIEPI)",IF(P64=#REF!,"ADMINISTRACION DE MEDICAMENTOS, INYECTOLOGIA  Y CANALIZACION ",IF(P64=#REF!,"OPERADOR DE VEHICULOS DE EMERGENCIA (OVE)",IF(P64=#REF!,"INSTITUCIONES AMIGAS DE LA MUJER Y LA INFANCIA (IAMI)",IF(P64=#REF!,"CUIDADO DEL DONANTE DE ORGANOS",IF(P64=#REF!,"ATENCION A VICTIMAS POR VIOLENCIA DE GENERO",IF(P64=#REF!,"IGUALDAD DE GENERO EN LA SALUD",IF(P64=#REF!,"BRIGADA DE EMERGENCIA",IF(P64=#REF!,"MANEJO DEL DOLOR Y CUIDADOS PALIATIVOS",IF(P64=#REF!,"TOMA DE MUESTRAS Y LABORATORIO POCT",IF(P64=#REF!,"IMPLANTE SUBDERMICO DE DISPOSITIVO INTRAUTERINO",IF(P64=#REF!,"SALUD MENTAL",IF(P64=#REF!,"PRIMEROS AUXILIOS PSICOLOGICOS",IF(P64=#REF!,"ATENCION A VICTIMAS POR CONFLICTO ARMADO",IF(P64=#REF!,"MANIPULACION DE ALIMENTOS Y BPM",IF(P64=#REF!,"ATENCION A PERSONAS CON DISCAPACIDAD",IF(P64=#REF!,"CUIDADO INTEGRAL DEL PACIENTE ADULTO",IF(P64=#REF!,"MANEJO DEFENSIVO",IF(P64=#REF!,"SOPORTE CARDIOVASCULAR AVANZADO NEONATAL",IF(P64=#REF!,"SEGURIDAD DEL PACIENTE",IF(P64=#REF!,"MANEJO DE RESIDUOS HOSPITALARIOS"))))))))))))))))))))))))))))))))))))</f>
        <v>#REF!</v>
      </c>
      <c r="W64" s="26" t="str">
        <f t="shared" si="0"/>
        <v>Tatiana Sofia Guevara Rosero</v>
      </c>
      <c r="X64" s="26" t="str">
        <f t="shared" si="1"/>
        <v>Tatiana Sofia Guevara Rosero</v>
      </c>
      <c r="Y64" s="26" t="str">
        <f t="shared" si="2"/>
        <v>Tatiana Sofia Guevara Rosero-1193034433-TOMA DE MUESTRAS</v>
      </c>
    </row>
    <row r="65" spans="1:26" x14ac:dyDescent="0.2">
      <c r="A65" s="20">
        <v>64</v>
      </c>
      <c r="B65" s="21">
        <v>1018443841</v>
      </c>
      <c r="C65" s="21" t="s">
        <v>181</v>
      </c>
      <c r="D65" s="21" t="s">
        <v>182</v>
      </c>
      <c r="E65" s="21" t="s">
        <v>183</v>
      </c>
      <c r="F65" s="21" t="s">
        <v>184</v>
      </c>
      <c r="G65" s="21">
        <v>14</v>
      </c>
      <c r="H65" s="21" t="s">
        <v>49</v>
      </c>
      <c r="I65" s="22" t="s">
        <v>377</v>
      </c>
      <c r="J65" s="22"/>
      <c r="K65" s="23">
        <v>45671</v>
      </c>
      <c r="L65" s="24">
        <v>65000</v>
      </c>
      <c r="M65" s="21" t="s">
        <v>79</v>
      </c>
      <c r="N65" s="21" t="s">
        <v>387</v>
      </c>
      <c r="O65" s="21" t="s">
        <v>69</v>
      </c>
      <c r="P65" s="21" t="s">
        <v>27</v>
      </c>
      <c r="Q65" s="22">
        <v>33282</v>
      </c>
      <c r="R65" s="21" t="s">
        <v>71</v>
      </c>
      <c r="S65" s="25" t="s">
        <v>185</v>
      </c>
      <c r="T65" s="21">
        <v>3003208391</v>
      </c>
      <c r="U65" s="21" t="s">
        <v>186</v>
      </c>
      <c r="V65" s="26" t="e">
        <f>IF(P65=#REF!,"DIPLOMADO EN ATENCION PRE-HOSPITALARIA",IF(P65=#REF!,"ACOMPAÑAMIENTO Y MANEJO DEL DUELO",IF(P65=#REF!,"ATENCION A VICTIMAS DE ATAQUE CON AGENTES QUIMICOS ",IF(P65=#REF!,"PRIMEROS AUXILIOS ",IF(P65=#REF!,"DIPLOMADO DE UNIDAD DE CUIDADOS INTENSIVOS (UCI)",IF(P65=#REF!,"MODELO DE ATENCION PARA EVENTOS EMERGENTES EN SALUD MENTAL (CODIGO VERDE)",IF(P65=#REF!,"HUMANIZACION EN EL SERVICIO DE LA SALUD Y BUENAS PRACTICAS EN PACIENTE ",IF(P65=#REF!,"CLINICA DE HERIDAS ",IF(P65=#REF!,"TOMA DE CITOLOGIA CERVICO VAGINAL ",IF(P65=#REF!,"SOPORTE CARDIOVASCULAR AVANZADO (ACLS) ",IF(P65=#REF!,"CAMILLERO ",IF(P65=#REF!,"TOMA DE MUESTRAS Y LABORATORIO ",IF(P65=#REF!,"SOPORTE VITAL BASICO (BLS)",IF(P65=#REF!,"ATENCION A VICTIMAS DE VIOLENCIA SEXUAL ",IF(P65=#REF!,"PROGRAMADO AMPLIADO DE INMUNIZACION (PAI - COVID 19)",IF(P65=#REF!,"ATENCION INTEGRAL EN ENFERMEDADES PREVALENTES EN PRIMERA INFANCIA (AIEPI)",IF(P65=#REF!,"ADMINISTRACION DE MEDICAMENTOS, INYECTOLOGIA  Y CANALIZACION ",IF(P65=#REF!,"OPERADOR DE VEHICULOS DE EMERGENCIA (OVE)",IF(P65=#REF!,"INSTITUCIONES AMIGAS DE LA MUJER Y LA INFANCIA (IAMI)",IF(P65=#REF!,"CUIDADO DEL DONANTE DE ORGANOS",IF(P65=#REF!,"ATENCION A VICTIMAS POR VIOLENCIA DE GENERO",IF(P65=#REF!,"IGUALDAD DE GENERO EN LA SALUD",IF(P65=#REF!,"BRIGADA DE EMERGENCIA",IF(P65=#REF!,"MANEJO DEL DOLOR Y CUIDADOS PALIATIVOS",IF(P65=#REF!,"TOMA DE MUESTRAS Y LABORATORIO POCT",IF(P65=#REF!,"IMPLANTE SUBDERMICO DE DISPOSITIVO INTRAUTERINO",IF(P65=#REF!,"SALUD MENTAL",IF(P65=#REF!,"PRIMEROS AUXILIOS PSICOLOGICOS",IF(P65=#REF!,"ATENCION A VICTIMAS POR CONFLICTO ARMADO",IF(P65=#REF!,"MANIPULACION DE ALIMENTOS Y BPM",IF(P65=#REF!,"ATENCION A PERSONAS CON DISCAPACIDAD",IF(P65=#REF!,"CUIDADO INTEGRAL DEL PACIENTE ADULTO",IF(P65=#REF!,"MANEJO DEFENSIVO",IF(P65=#REF!,"SOPORTE CARDIOVASCULAR AVANZADO NEONATAL",IF(P65=#REF!,"SEGURIDAD DEL PACIENTE",IF(P65=#REF!,"MANEJO DE RESIDUOS HOSPITALARIOS"))))))))))))))))))))))))))))))))))))</f>
        <v>#REF!</v>
      </c>
      <c r="W65" s="26" t="str">
        <f t="shared" si="0"/>
        <v>Maria Ines Sotelo Mejia</v>
      </c>
      <c r="X65" s="26" t="str">
        <f t="shared" si="1"/>
        <v>Maria Ines Sotelo Mejia</v>
      </c>
      <c r="Y65" s="26" t="str">
        <f t="shared" si="2"/>
        <v>Maria Ines Sotelo Mejia-1018443841-VIOLENCIA SEXUAL</v>
      </c>
    </row>
    <row r="66" spans="1:26" x14ac:dyDescent="0.2">
      <c r="A66" s="20">
        <v>65</v>
      </c>
      <c r="B66" s="21">
        <v>1087961572</v>
      </c>
      <c r="C66" s="21" t="s">
        <v>151</v>
      </c>
      <c r="D66" s="21" t="s">
        <v>164</v>
      </c>
      <c r="E66" s="21" t="s">
        <v>165</v>
      </c>
      <c r="F66" s="21" t="s">
        <v>166</v>
      </c>
      <c r="G66" s="21">
        <v>15</v>
      </c>
      <c r="H66" s="21" t="s">
        <v>49</v>
      </c>
      <c r="I66" s="22" t="s">
        <v>377</v>
      </c>
      <c r="J66" s="22"/>
      <c r="K66" s="23">
        <v>45671</v>
      </c>
      <c r="L66" s="24">
        <v>65000</v>
      </c>
      <c r="M66" s="21" t="s">
        <v>79</v>
      </c>
      <c r="N66" s="21" t="s">
        <v>387</v>
      </c>
      <c r="O66" s="21" t="s">
        <v>69</v>
      </c>
      <c r="P66" s="21" t="s">
        <v>22</v>
      </c>
      <c r="Q66" s="22">
        <v>36464</v>
      </c>
      <c r="R66" s="21" t="s">
        <v>71</v>
      </c>
      <c r="S66" s="21" t="s">
        <v>142</v>
      </c>
      <c r="T66" s="25">
        <v>3105943530</v>
      </c>
      <c r="U66" s="21" t="s">
        <v>167</v>
      </c>
      <c r="V66" s="26" t="e">
        <f>IF(P66=#REF!,"DIPLOMADO EN ATENCION PRE-HOSPITALARIA",IF(P66=#REF!,"ACOMPAÑAMIENTO Y MANEJO DEL DUELO",IF(P66=#REF!,"ATENCION A VICTIMAS DE ATAQUE CON AGENTES QUIMICOS ",IF(P66=#REF!,"PRIMEROS AUXILIOS ",IF(P66=#REF!,"DIPLOMADO DE UNIDAD DE CUIDADOS INTENSIVOS (UCI)",IF(P66=#REF!,"MODELO DE ATENCION PARA EVENTOS EMERGENTES EN SALUD MENTAL (CODIGO VERDE)",IF(P66=#REF!,"HUMANIZACION EN EL SERVICIO DE LA SALUD Y BUENAS PRACTICAS EN PACIENTE ",IF(P66=#REF!,"CLINICA DE HERIDAS ",IF(P66=#REF!,"TOMA DE CITOLOGIA CERVICO VAGINAL ",IF(P66=#REF!,"SOPORTE CARDIOVASCULAR AVANZADO (ACLS) ",IF(P66=#REF!,"CAMILLERO ",IF(P66=#REF!,"TOMA DE MUESTRAS Y LABORATORIO ",IF(P66=#REF!,"SOPORTE VITAL BASICO (BLS)",IF(P66=#REF!,"ATENCION A VICTIMAS DE VIOLENCIA SEXUAL ",IF(P66=#REF!,"PROGRAMADO AMPLIADO DE INMUNIZACION (PAI - COVID 19)",IF(P66=#REF!,"ATENCION INTEGRAL EN ENFERMEDADES PREVALENTES EN PRIMERA INFANCIA (AIEPI)",IF(P66=#REF!,"ADMINISTRACION DE MEDICAMENTOS, INYECTOLOGIA  Y CANALIZACION ",IF(P66=#REF!,"OPERADOR DE VEHICULOS DE EMERGENCIA (OVE)",IF(P66=#REF!,"INSTITUCIONES AMIGAS DE LA MUJER Y LA INFANCIA (IAMI)",IF(P66=#REF!,"CUIDADO DEL DONANTE DE ORGANOS",IF(P66=#REF!,"ATENCION A VICTIMAS POR VIOLENCIA DE GENERO",IF(P66=#REF!,"IGUALDAD DE GENERO EN LA SALUD",IF(P66=#REF!,"BRIGADA DE EMERGENCIA",IF(P66=#REF!,"MANEJO DEL DOLOR Y CUIDADOS PALIATIVOS",IF(P66=#REF!,"TOMA DE MUESTRAS Y LABORATORIO POCT",IF(P66=#REF!,"IMPLANTE SUBDERMICO DE DISPOSITIVO INTRAUTERINO",IF(P66=#REF!,"SALUD MENTAL",IF(P66=#REF!,"PRIMEROS AUXILIOS PSICOLOGICOS",IF(P66=#REF!,"ATENCION A VICTIMAS POR CONFLICTO ARMADO",IF(P66=#REF!,"MANIPULACION DE ALIMENTOS Y BPM",IF(P66=#REF!,"ATENCION A PERSONAS CON DISCAPACIDAD",IF(P66=#REF!,"CUIDADO INTEGRAL DEL PACIENTE ADULTO",IF(P66=#REF!,"MANEJO DEFENSIVO",IF(P66=#REF!,"SOPORTE CARDIOVASCULAR AVANZADO NEONATAL",IF(P66=#REF!,"SEGURIDAD DEL PACIENTE",IF(P66=#REF!,"MANEJO DE RESIDUOS HOSPITALARIOS"))))))))))))))))))))))))))))))))))))</f>
        <v>#REF!</v>
      </c>
      <c r="W66" s="26" t="str">
        <f t="shared" si="0"/>
        <v>Gabriela Alejandra Muñoz Pantoja</v>
      </c>
      <c r="X66" s="26" t="str">
        <f t="shared" si="1"/>
        <v>Gabriela Alejandra Muñoz Pantoja</v>
      </c>
      <c r="Y66" s="26" t="str">
        <f t="shared" si="2"/>
        <v>Gabriela Alejandra Muñoz Pantoja-1087961572-PRIMEROS AUXILIOS</v>
      </c>
    </row>
    <row r="67" spans="1:26" x14ac:dyDescent="0.2">
      <c r="A67" s="20">
        <v>66</v>
      </c>
      <c r="B67" s="21">
        <v>27281486</v>
      </c>
      <c r="C67" s="21" t="s">
        <v>187</v>
      </c>
      <c r="D67" s="21" t="s">
        <v>188</v>
      </c>
      <c r="E67" s="21" t="s">
        <v>189</v>
      </c>
      <c r="F67" s="21"/>
      <c r="G67" s="21">
        <v>15</v>
      </c>
      <c r="H67" s="21" t="s">
        <v>49</v>
      </c>
      <c r="I67" s="22" t="s">
        <v>377</v>
      </c>
      <c r="J67" s="22"/>
      <c r="K67" s="23">
        <v>45671</v>
      </c>
      <c r="L67" s="24">
        <v>65000</v>
      </c>
      <c r="M67" s="21" t="s">
        <v>106</v>
      </c>
      <c r="N67" s="21" t="s">
        <v>387</v>
      </c>
      <c r="O67" s="21" t="s">
        <v>69</v>
      </c>
      <c r="P67" s="21" t="s">
        <v>27</v>
      </c>
      <c r="Q67" s="22">
        <v>29573</v>
      </c>
      <c r="R67" s="21" t="s">
        <v>71</v>
      </c>
      <c r="S67" s="25" t="s">
        <v>107</v>
      </c>
      <c r="T67" s="21">
        <v>3127727981</v>
      </c>
      <c r="U67" s="21" t="s">
        <v>190</v>
      </c>
      <c r="V67" s="26" t="e">
        <f>IF(P67=#REF!,"DIPLOMADO EN ATENCION PRE-HOSPITALARIA",IF(P67=#REF!,"ACOMPAÑAMIENTO Y MANEJO DEL DUELO",IF(P67=#REF!,"ATENCION A VICTIMAS DE ATAQUE CON AGENTES QUIMICOS ",IF(P67=#REF!,"PRIMEROS AUXILIOS ",IF(P67=#REF!,"DIPLOMADO DE UNIDAD DE CUIDADOS INTENSIVOS (UCI)",IF(P67=#REF!,"MODELO DE ATENCION PARA EVENTOS EMERGENTES EN SALUD MENTAL (CODIGO VERDE)",IF(P67=#REF!,"HUMANIZACION EN EL SERVICIO DE LA SALUD Y BUENAS PRACTICAS EN PACIENTE ",IF(P67=#REF!,"CLINICA DE HERIDAS ",IF(P67=#REF!,"TOMA DE CITOLOGIA CERVICO VAGINAL ",IF(P67=#REF!,"SOPORTE CARDIOVASCULAR AVANZADO (ACLS) ",IF(P67=#REF!,"CAMILLERO ",IF(P67=#REF!,"TOMA DE MUESTRAS Y LABORATORIO ",IF(P67=#REF!,"SOPORTE VITAL BASICO (BLS)",IF(P67=#REF!,"ATENCION A VICTIMAS DE VIOLENCIA SEXUAL ",IF(P67=#REF!,"PROGRAMADO AMPLIADO DE INMUNIZACION (PAI - COVID 19)",IF(P67=#REF!,"ATENCION INTEGRAL EN ENFERMEDADES PREVALENTES EN PRIMERA INFANCIA (AIEPI)",IF(P67=#REF!,"ADMINISTRACION DE MEDICAMENTOS, INYECTOLOGIA  Y CANALIZACION ",IF(P67=#REF!,"OPERADOR DE VEHICULOS DE EMERGENCIA (OVE)",IF(P67=#REF!,"INSTITUCIONES AMIGAS DE LA MUJER Y LA INFANCIA (IAMI)",IF(P67=#REF!,"CUIDADO DEL DONANTE DE ORGANOS",IF(P67=#REF!,"ATENCION A VICTIMAS POR VIOLENCIA DE GENERO",IF(P67=#REF!,"IGUALDAD DE GENERO EN LA SALUD",IF(P67=#REF!,"BRIGADA DE EMERGENCIA",IF(P67=#REF!,"MANEJO DEL DOLOR Y CUIDADOS PALIATIVOS",IF(P67=#REF!,"TOMA DE MUESTRAS Y LABORATORIO POCT",IF(P67=#REF!,"IMPLANTE SUBDERMICO DE DISPOSITIVO INTRAUTERINO",IF(P67=#REF!,"SALUD MENTAL",IF(P67=#REF!,"PRIMEROS AUXILIOS PSICOLOGICOS",IF(P67=#REF!,"ATENCION A VICTIMAS POR CONFLICTO ARMADO",IF(P67=#REF!,"MANIPULACION DE ALIMENTOS Y BPM",IF(P67=#REF!,"ATENCION A PERSONAS CON DISCAPACIDAD",IF(P67=#REF!,"CUIDADO INTEGRAL DEL PACIENTE ADULTO",IF(P67=#REF!,"MANEJO DEFENSIVO",IF(P67=#REF!,"SOPORTE CARDIOVASCULAR AVANZADO NEONATAL",IF(P67=#REF!,"SEGURIDAD DEL PACIENTE",IF(P67=#REF!,"MANEJO DE RESIDUOS HOSPITALARIOS"))))))))))))))))))))))))))))))))))))</f>
        <v>#REF!</v>
      </c>
      <c r="W67" s="26" t="str">
        <f t="shared" ref="W67:W130" si="3">CONCATENATE(E67," ",F67," ",C67," ",D67)</f>
        <v>Marinela  Aguilar Rangel</v>
      </c>
      <c r="X67" s="26" t="str">
        <f t="shared" ref="X67:X130" si="4">PROPER(W67)</f>
        <v>Marinela  Aguilar Rangel</v>
      </c>
      <c r="Y67" s="26" t="str">
        <f t="shared" ref="Y67:Y130" si="5">CONCATENATE(W67,"-",B67,"-",P67)</f>
        <v>Marinela  Aguilar Rangel-27281486-VIOLENCIA SEXUAL</v>
      </c>
    </row>
    <row r="68" spans="1:26" s="19" customFormat="1" x14ac:dyDescent="0.2">
      <c r="A68" s="20">
        <v>67</v>
      </c>
      <c r="B68" s="21">
        <v>1085304007</v>
      </c>
      <c r="C68" s="21" t="s">
        <v>191</v>
      </c>
      <c r="D68" s="21" t="s">
        <v>192</v>
      </c>
      <c r="E68" s="21" t="s">
        <v>193</v>
      </c>
      <c r="F68" s="21" t="s">
        <v>194</v>
      </c>
      <c r="G68" s="21">
        <v>15</v>
      </c>
      <c r="H68" s="21" t="s">
        <v>49</v>
      </c>
      <c r="I68" s="22" t="s">
        <v>377</v>
      </c>
      <c r="J68" s="22"/>
      <c r="K68" s="23">
        <v>45672</v>
      </c>
      <c r="L68" s="42">
        <v>65000</v>
      </c>
      <c r="M68" s="21" t="s">
        <v>133</v>
      </c>
      <c r="N68" s="21" t="s">
        <v>386</v>
      </c>
      <c r="O68" s="21" t="s">
        <v>69</v>
      </c>
      <c r="P68" s="21" t="s">
        <v>22</v>
      </c>
      <c r="Q68" s="22">
        <v>34034</v>
      </c>
      <c r="R68" s="21" t="s">
        <v>71</v>
      </c>
      <c r="S68" s="25" t="s">
        <v>195</v>
      </c>
      <c r="T68" s="21">
        <v>3164579480</v>
      </c>
      <c r="U68" s="21" t="s">
        <v>196</v>
      </c>
      <c r="V68" s="26" t="e">
        <f>IF(P68=#REF!,"DIPLOMADO EN ATENCION PRE-HOSPITALARIA",IF(P68=#REF!,"ACOMPAÑAMIENTO Y MANEJO DEL DUELO",IF(P68=#REF!,"ATENCION A VICTIMAS DE ATAQUE CON AGENTES QUIMICOS ",IF(P68=#REF!,"PRIMEROS AUXILIOS ",IF(P68=#REF!,"DIPLOMADO DE UNIDAD DE CUIDADOS INTENSIVOS (UCI)",IF(P68=#REF!,"MODELO DE ATENCION PARA EVENTOS EMERGENTES EN SALUD MENTAL (CODIGO VERDE)",IF(P68=#REF!,"HUMANIZACION EN EL SERVICIO DE LA SALUD Y BUENAS PRACTICAS EN PACIENTE ",IF(P68=#REF!,"CLINICA DE HERIDAS ",IF(P68=#REF!,"TOMA DE CITOLOGIA CERVICO VAGINAL ",IF(P68=#REF!,"SOPORTE CARDIOVASCULAR AVANZADO (ACLS) ",IF(P68=#REF!,"CAMILLERO ",IF(P68=#REF!,"TOMA DE MUESTRAS Y LABORATORIO ",IF(P68=#REF!,"SOPORTE VITAL BASICO (BLS)",IF(P68=#REF!,"ATENCION A VICTIMAS DE VIOLENCIA SEXUAL ",IF(P68=#REF!,"PROGRAMADO AMPLIADO DE INMUNIZACION (PAI - COVID 19)",IF(P68=#REF!,"ATENCION INTEGRAL EN ENFERMEDADES PREVALENTES EN PRIMERA INFANCIA (AIEPI)",IF(P68=#REF!,"ADMINISTRACION DE MEDICAMENTOS, INYECTOLOGIA  Y CANALIZACION ",IF(P68=#REF!,"OPERADOR DE VEHICULOS DE EMERGENCIA (OVE)",IF(P68=#REF!,"INSTITUCIONES AMIGAS DE LA MUJER Y LA INFANCIA (IAMI)",IF(P68=#REF!,"CUIDADO DEL DONANTE DE ORGANOS",IF(P68=#REF!,"ATENCION A VICTIMAS POR VIOLENCIA DE GENERO",IF(P68=#REF!,"IGUALDAD DE GENERO EN LA SALUD",IF(P68=#REF!,"BRIGADA DE EMERGENCIA",IF(P68=#REF!,"MANEJO DEL DOLOR Y CUIDADOS PALIATIVOS",IF(P68=#REF!,"TOMA DE MUESTRAS Y LABORATORIO POCT",IF(P68=#REF!,"IMPLANTE SUBDERMICO DE DISPOSITIVO INTRAUTERINO",IF(P68=#REF!,"SALUD MENTAL",IF(P68=#REF!,"PRIMEROS AUXILIOS PSICOLOGICOS",IF(P68=#REF!,"ATENCION A VICTIMAS POR CONFLICTO ARMADO",IF(P68=#REF!,"MANIPULACION DE ALIMENTOS Y BPM",IF(P68=#REF!,"ATENCION A PERSONAS CON DISCAPACIDAD",IF(P68=#REF!,"CUIDADO INTEGRAL DEL PACIENTE ADULTO",IF(P68=#REF!,"MANEJO DEFENSIVO",IF(P68=#REF!,"SOPORTE CARDIOVASCULAR AVANZADO NEONATAL",IF(P68=#REF!,"SEGURIDAD DEL PACIENTE",IF(P68=#REF!,"MANEJO DE RESIDUOS HOSPITALARIOS"))))))))))))))))))))))))))))))))))))</f>
        <v>#REF!</v>
      </c>
      <c r="W68" s="26" t="str">
        <f t="shared" si="3"/>
        <v>Estefany Yajaira Lopez Peña</v>
      </c>
      <c r="X68" s="26" t="str">
        <f t="shared" si="4"/>
        <v>Estefany Yajaira Lopez Peña</v>
      </c>
      <c r="Y68" s="26" t="str">
        <f t="shared" si="5"/>
        <v>Estefany Yajaira Lopez Peña-1085304007-PRIMEROS AUXILIOS</v>
      </c>
      <c r="Z68" s="35"/>
    </row>
    <row r="69" spans="1:26" x14ac:dyDescent="0.2">
      <c r="A69" s="20">
        <v>68</v>
      </c>
      <c r="B69" s="21">
        <v>1088738423</v>
      </c>
      <c r="C69" s="21" t="s">
        <v>197</v>
      </c>
      <c r="D69" s="21" t="s">
        <v>198</v>
      </c>
      <c r="E69" s="21" t="s">
        <v>199</v>
      </c>
      <c r="F69" s="21" t="s">
        <v>105</v>
      </c>
      <c r="G69" s="21">
        <v>14</v>
      </c>
      <c r="H69" s="21" t="s">
        <v>49</v>
      </c>
      <c r="I69" s="22" t="s">
        <v>376</v>
      </c>
      <c r="J69" s="22"/>
      <c r="K69" s="23">
        <v>45672</v>
      </c>
      <c r="L69" s="42">
        <v>80000</v>
      </c>
      <c r="M69" s="21" t="s">
        <v>106</v>
      </c>
      <c r="N69" s="21" t="s">
        <v>387</v>
      </c>
      <c r="O69" s="21" t="s">
        <v>95</v>
      </c>
      <c r="P69" s="21" t="s">
        <v>24</v>
      </c>
      <c r="Q69" s="22">
        <v>35930</v>
      </c>
      <c r="R69" s="21" t="s">
        <v>71</v>
      </c>
      <c r="S69" s="25" t="s">
        <v>172</v>
      </c>
      <c r="T69" s="21">
        <v>3137052473</v>
      </c>
      <c r="U69" s="21" t="s">
        <v>200</v>
      </c>
      <c r="V69" s="26" t="e">
        <f>IF(P69=#REF!,"DIPLOMADO EN ATENCION PRE-HOSPITALARIA",IF(P69=#REF!,"ACOMPAÑAMIENTO Y MANEJO DEL DUELO",IF(P69=#REF!,"ATENCION A VICTIMAS DE ATAQUE CON AGENTES QUIMICOS ",IF(P69=#REF!,"PRIMEROS AUXILIOS ",IF(P69=#REF!,"DIPLOMADO DE UNIDAD DE CUIDADOS INTENSIVOS (UCI)",IF(P69=#REF!,"MODELO DE ATENCION PARA EVENTOS EMERGENTES EN SALUD MENTAL (CODIGO VERDE)",IF(P69=#REF!,"HUMANIZACION EN EL SERVICIO DE LA SALUD Y BUENAS PRACTICAS EN PACIENTE ",IF(P69=#REF!,"CLINICA DE HERIDAS ",IF(P69=#REF!,"TOMA DE CITOLOGIA CERVICO VAGINAL ",IF(P69=#REF!,"SOPORTE CARDIOVASCULAR AVANZADO (ACLS) ",IF(P69=#REF!,"CAMILLERO ",IF(P69=#REF!,"TOMA DE MUESTRAS Y LABORATORIO ",IF(P69=#REF!,"SOPORTE VITAL BASICO (BLS)",IF(P69=#REF!,"ATENCION A VICTIMAS DE VIOLENCIA SEXUAL ",IF(P69=#REF!,"PROGRAMADO AMPLIADO DE INMUNIZACION (PAI - COVID 19)",IF(P69=#REF!,"ATENCION INTEGRAL EN ENFERMEDADES PREVALENTES EN PRIMERA INFANCIA (AIEPI)",IF(P69=#REF!,"ADMINISTRACION DE MEDICAMENTOS, INYECTOLOGIA  Y CANALIZACION ",IF(P69=#REF!,"OPERADOR DE VEHICULOS DE EMERGENCIA (OVE)",IF(P69=#REF!,"INSTITUCIONES AMIGAS DE LA MUJER Y LA INFANCIA (IAMI)",IF(P69=#REF!,"CUIDADO DEL DONANTE DE ORGANOS",IF(P69=#REF!,"ATENCION A VICTIMAS POR VIOLENCIA DE GENERO",IF(P69=#REF!,"IGUALDAD DE GENERO EN LA SALUD",IF(P69=#REF!,"BRIGADA DE EMERGENCIA",IF(P69=#REF!,"MANEJO DEL DOLOR Y CUIDADOS PALIATIVOS",IF(P69=#REF!,"TOMA DE MUESTRAS Y LABORATORIO POCT",IF(P69=#REF!,"IMPLANTE SUBDERMICO DE DISPOSITIVO INTRAUTERINO",IF(P69=#REF!,"SALUD MENTAL",IF(P69=#REF!,"PRIMEROS AUXILIOS PSICOLOGICOS",IF(P69=#REF!,"ATENCION A VICTIMAS POR CONFLICTO ARMADO",IF(P69=#REF!,"MANIPULACION DE ALIMENTOS Y BPM",IF(P69=#REF!,"ATENCION A PERSONAS CON DISCAPACIDAD",IF(P69=#REF!,"CUIDADO INTEGRAL DEL PACIENTE ADULTO",IF(P69=#REF!,"MANEJO DEFENSIVO",IF(P69=#REF!,"SOPORTE CARDIOVASCULAR AVANZADO NEONATAL",IF(P69=#REF!,"SEGURIDAD DEL PACIENTE",IF(P69=#REF!,"MANEJO DE RESIDUOS HOSPITALARIOS"))))))))))))))))))))))))))))))))))))</f>
        <v>#REF!</v>
      </c>
      <c r="W69" s="26" t="str">
        <f t="shared" si="3"/>
        <v>Derly Paola Arteaga Díaz</v>
      </c>
      <c r="X69" s="26" t="str">
        <f t="shared" si="4"/>
        <v>Derly Paola Arteaga Díaz</v>
      </c>
      <c r="Y69" s="26" t="str">
        <f t="shared" si="5"/>
        <v>Derly Paola Arteaga Díaz-1088738423-ACLS</v>
      </c>
    </row>
    <row r="70" spans="1:26" x14ac:dyDescent="0.2">
      <c r="A70" s="20">
        <v>69</v>
      </c>
      <c r="B70" s="21">
        <v>1088738423</v>
      </c>
      <c r="C70" s="21" t="s">
        <v>197</v>
      </c>
      <c r="D70" s="21" t="s">
        <v>198</v>
      </c>
      <c r="E70" s="21" t="s">
        <v>199</v>
      </c>
      <c r="F70" s="21" t="s">
        <v>105</v>
      </c>
      <c r="G70" s="21">
        <v>14</v>
      </c>
      <c r="H70" s="21" t="s">
        <v>49</v>
      </c>
      <c r="I70" s="22" t="s">
        <v>376</v>
      </c>
      <c r="J70" s="22"/>
      <c r="K70" s="23">
        <v>45672</v>
      </c>
      <c r="L70" s="42">
        <v>20000</v>
      </c>
      <c r="M70" s="21" t="s">
        <v>106</v>
      </c>
      <c r="N70" s="21" t="s">
        <v>387</v>
      </c>
      <c r="O70" s="21" t="s">
        <v>95</v>
      </c>
      <c r="P70" s="21" t="s">
        <v>19</v>
      </c>
      <c r="Q70" s="22">
        <v>35930</v>
      </c>
      <c r="R70" s="21" t="s">
        <v>71</v>
      </c>
      <c r="S70" s="25" t="s">
        <v>172</v>
      </c>
      <c r="T70" s="21">
        <v>3137052473</v>
      </c>
      <c r="U70" s="21" t="s">
        <v>200</v>
      </c>
      <c r="V70" s="26" t="e">
        <f>IF(P70=#REF!,"DIPLOMADO EN ATENCION PRE-HOSPITALARIA",IF(P70=#REF!,"ACOMPAÑAMIENTO Y MANEJO DEL DUELO",IF(P70=#REF!,"ATENCION A VICTIMAS DE ATAQUE CON AGENTES QUIMICOS ",IF(P70=#REF!,"PRIMEROS AUXILIOS ",IF(P70=#REF!,"DIPLOMADO DE UNIDAD DE CUIDADOS INTENSIVOS (UCI)",IF(P70=#REF!,"MODELO DE ATENCION PARA EVENTOS EMERGENTES EN SALUD MENTAL (CODIGO VERDE)",IF(P70=#REF!,"HUMANIZACION EN EL SERVICIO DE LA SALUD Y BUENAS PRACTICAS EN PACIENTE ",IF(P70=#REF!,"CLINICA DE HERIDAS ",IF(P70=#REF!,"TOMA DE CITOLOGIA CERVICO VAGINAL ",IF(P70=#REF!,"SOPORTE CARDIOVASCULAR AVANZADO (ACLS) ",IF(P70=#REF!,"CAMILLERO ",IF(P70=#REF!,"TOMA DE MUESTRAS Y LABORATORIO ",IF(P70=#REF!,"SOPORTE VITAL BASICO (BLS)",IF(P70=#REF!,"ATENCION A VICTIMAS DE VIOLENCIA SEXUAL ",IF(P70=#REF!,"PROGRAMADO AMPLIADO DE INMUNIZACION (PAI - COVID 19)",IF(P70=#REF!,"ATENCION INTEGRAL EN ENFERMEDADES PREVALENTES EN PRIMERA INFANCIA (AIEPI)",IF(P70=#REF!,"ADMINISTRACION DE MEDICAMENTOS, INYECTOLOGIA  Y CANALIZACION ",IF(P70=#REF!,"OPERADOR DE VEHICULOS DE EMERGENCIA (OVE)",IF(P70=#REF!,"INSTITUCIONES AMIGAS DE LA MUJER Y LA INFANCIA (IAMI)",IF(P70=#REF!,"CUIDADO DEL DONANTE DE ORGANOS",IF(P70=#REF!,"ATENCION A VICTIMAS POR VIOLENCIA DE GENERO",IF(P70=#REF!,"IGUALDAD DE GENERO EN LA SALUD",IF(P70=#REF!,"BRIGADA DE EMERGENCIA",IF(P70=#REF!,"MANEJO DEL DOLOR Y CUIDADOS PALIATIVOS",IF(P70=#REF!,"TOMA DE MUESTRAS Y LABORATORIO POCT",IF(P70=#REF!,"IMPLANTE SUBDERMICO DE DISPOSITIVO INTRAUTERINO",IF(P70=#REF!,"SALUD MENTAL",IF(P70=#REF!,"PRIMEROS AUXILIOS PSICOLOGICOS",IF(P70=#REF!,"ATENCION A VICTIMAS POR CONFLICTO ARMADO",IF(P70=#REF!,"MANIPULACION DE ALIMENTOS Y BPM",IF(P70=#REF!,"ATENCION A PERSONAS CON DISCAPACIDAD",IF(P70=#REF!,"CUIDADO INTEGRAL DEL PACIENTE ADULTO",IF(P70=#REF!,"MANEJO DEFENSIVO",IF(P70=#REF!,"SOPORTE CARDIOVASCULAR AVANZADO NEONATAL",IF(P70=#REF!,"SEGURIDAD DEL PACIENTE",IF(P70=#REF!,"MANEJO DE RESIDUOS HOSPITALARIOS"))))))))))))))))))))))))))))))))))))</f>
        <v>#REF!</v>
      </c>
      <c r="W70" s="26" t="str">
        <f t="shared" si="3"/>
        <v>Derly Paola Arteaga Díaz</v>
      </c>
      <c r="X70" s="26" t="str">
        <f t="shared" si="4"/>
        <v>Derly Paola Arteaga Díaz</v>
      </c>
      <c r="Y70" s="26" t="str">
        <f t="shared" si="5"/>
        <v>Derly Paola Arteaga Díaz-1088738423-BLS</v>
      </c>
    </row>
    <row r="71" spans="1:26" x14ac:dyDescent="0.2">
      <c r="A71" s="20">
        <v>70</v>
      </c>
      <c r="B71" s="21">
        <v>1088738423</v>
      </c>
      <c r="C71" s="21" t="s">
        <v>197</v>
      </c>
      <c r="D71" s="21" t="s">
        <v>198</v>
      </c>
      <c r="E71" s="21" t="s">
        <v>199</v>
      </c>
      <c r="F71" s="21" t="s">
        <v>105</v>
      </c>
      <c r="G71" s="21">
        <v>13</v>
      </c>
      <c r="H71" s="21" t="s">
        <v>49</v>
      </c>
      <c r="I71" s="22" t="s">
        <v>376</v>
      </c>
      <c r="J71" s="22"/>
      <c r="K71" s="23">
        <v>45672</v>
      </c>
      <c r="L71" s="42">
        <v>32000</v>
      </c>
      <c r="M71" s="21" t="s">
        <v>106</v>
      </c>
      <c r="N71" s="21" t="s">
        <v>387</v>
      </c>
      <c r="O71" s="21" t="s">
        <v>95</v>
      </c>
      <c r="P71" s="21" t="s">
        <v>21</v>
      </c>
      <c r="Q71" s="22">
        <v>35930</v>
      </c>
      <c r="R71" s="21" t="s">
        <v>71</v>
      </c>
      <c r="S71" s="25" t="s">
        <v>172</v>
      </c>
      <c r="T71" s="21">
        <v>3137052473</v>
      </c>
      <c r="U71" s="21" t="s">
        <v>200</v>
      </c>
      <c r="V71" s="26" t="e">
        <f>IF(P71=#REF!,"DIPLOMADO EN ATENCION PRE-HOSPITALARIA",IF(P71=#REF!,"ACOMPAÑAMIENTO Y MANEJO DEL DUELO",IF(P71=#REF!,"ATENCION A VICTIMAS DE ATAQUE CON AGENTES QUIMICOS ",IF(P71=#REF!,"PRIMEROS AUXILIOS ",IF(P71=#REF!,"DIPLOMADO DE UNIDAD DE CUIDADOS INTENSIVOS (UCI)",IF(P71=#REF!,"MODELO DE ATENCION PARA EVENTOS EMERGENTES EN SALUD MENTAL (CODIGO VERDE)",IF(P71=#REF!,"HUMANIZACION EN EL SERVICIO DE LA SALUD Y BUENAS PRACTICAS EN PACIENTE ",IF(P71=#REF!,"CLINICA DE HERIDAS ",IF(P71=#REF!,"TOMA DE CITOLOGIA CERVICO VAGINAL ",IF(P71=#REF!,"SOPORTE CARDIOVASCULAR AVANZADO (ACLS) ",IF(P71=#REF!,"CAMILLERO ",IF(P71=#REF!,"TOMA DE MUESTRAS Y LABORATORIO ",IF(P71=#REF!,"SOPORTE VITAL BASICO (BLS)",IF(P71=#REF!,"ATENCION A VICTIMAS DE VIOLENCIA SEXUAL ",IF(P71=#REF!,"PROGRAMADO AMPLIADO DE INMUNIZACION (PAI - COVID 19)",IF(P71=#REF!,"ATENCION INTEGRAL EN ENFERMEDADES PREVALENTES EN PRIMERA INFANCIA (AIEPI)",IF(P71=#REF!,"ADMINISTRACION DE MEDICAMENTOS, INYECTOLOGIA  Y CANALIZACION ",IF(P71=#REF!,"OPERADOR DE VEHICULOS DE EMERGENCIA (OVE)",IF(P71=#REF!,"INSTITUCIONES AMIGAS DE LA MUJER Y LA INFANCIA (IAMI)",IF(P71=#REF!,"CUIDADO DEL DONANTE DE ORGANOS",IF(P71=#REF!,"ATENCION A VICTIMAS POR VIOLENCIA DE GENERO",IF(P71=#REF!,"IGUALDAD DE GENERO EN LA SALUD",IF(P71=#REF!,"BRIGADA DE EMERGENCIA",IF(P71=#REF!,"MANEJO DEL DOLOR Y CUIDADOS PALIATIVOS",IF(P71=#REF!,"TOMA DE MUESTRAS Y LABORATORIO POCT",IF(P71=#REF!,"IMPLANTE SUBDERMICO DE DISPOSITIVO INTRAUTERINO",IF(P71=#REF!,"SALUD MENTAL",IF(P71=#REF!,"PRIMEROS AUXILIOS PSICOLOGICOS",IF(P71=#REF!,"ATENCION A VICTIMAS POR CONFLICTO ARMADO",IF(P71=#REF!,"MANIPULACION DE ALIMENTOS Y BPM",IF(P71=#REF!,"ATENCION A PERSONAS CON DISCAPACIDAD",IF(P71=#REF!,"CUIDADO INTEGRAL DEL PACIENTE ADULTO",IF(P71=#REF!,"MANEJO DEFENSIVO",IF(P71=#REF!,"SOPORTE CARDIOVASCULAR AVANZADO NEONATAL",IF(P71=#REF!,"SEGURIDAD DEL PACIENTE",IF(P71=#REF!,"MANEJO DE RESIDUOS HOSPITALARIOS"))))))))))))))))))))))))))))))))))))</f>
        <v>#REF!</v>
      </c>
      <c r="W71" s="26" t="str">
        <f t="shared" si="3"/>
        <v>Derly Paola Arteaga Díaz</v>
      </c>
      <c r="X71" s="26" t="str">
        <f t="shared" si="4"/>
        <v>Derly Paola Arteaga Díaz</v>
      </c>
      <c r="Y71" s="26" t="str">
        <f t="shared" si="5"/>
        <v>Derly Paola Arteaga Díaz-1088738423-QUIMICOS</v>
      </c>
    </row>
    <row r="72" spans="1:26" x14ac:dyDescent="0.2">
      <c r="A72" s="20">
        <v>71</v>
      </c>
      <c r="B72" s="21">
        <v>1088738423</v>
      </c>
      <c r="C72" s="21" t="s">
        <v>197</v>
      </c>
      <c r="D72" s="21" t="s">
        <v>198</v>
      </c>
      <c r="E72" s="21" t="s">
        <v>199</v>
      </c>
      <c r="F72" s="21" t="s">
        <v>105</v>
      </c>
      <c r="G72" s="21">
        <v>15</v>
      </c>
      <c r="H72" s="21" t="s">
        <v>49</v>
      </c>
      <c r="I72" s="22" t="s">
        <v>376</v>
      </c>
      <c r="J72" s="22"/>
      <c r="K72" s="23">
        <v>45672</v>
      </c>
      <c r="L72" s="42">
        <v>32000</v>
      </c>
      <c r="M72" s="21" t="s">
        <v>106</v>
      </c>
      <c r="N72" s="21" t="s">
        <v>387</v>
      </c>
      <c r="O72" s="21" t="s">
        <v>95</v>
      </c>
      <c r="P72" s="21" t="s">
        <v>20</v>
      </c>
      <c r="Q72" s="22">
        <v>35930</v>
      </c>
      <c r="R72" s="21" t="s">
        <v>71</v>
      </c>
      <c r="S72" s="25" t="s">
        <v>172</v>
      </c>
      <c r="T72" s="21">
        <v>3137052473</v>
      </c>
      <c r="U72" s="21" t="s">
        <v>200</v>
      </c>
      <c r="V72" s="26" t="e">
        <f>IF(P72=#REF!,"DIPLOMADO EN ATENCION PRE-HOSPITALARIA",IF(P72=#REF!,"ACOMPAÑAMIENTO Y MANEJO DEL DUELO",IF(P72=#REF!,"ATENCION A VICTIMAS DE ATAQUE CON AGENTES QUIMICOS ",IF(P72=#REF!,"PRIMEROS AUXILIOS ",IF(P72=#REF!,"DIPLOMADO DE UNIDAD DE CUIDADOS INTENSIVOS (UCI)",IF(P72=#REF!,"MODELO DE ATENCION PARA EVENTOS EMERGENTES EN SALUD MENTAL (CODIGO VERDE)",IF(P72=#REF!,"HUMANIZACION EN EL SERVICIO DE LA SALUD Y BUENAS PRACTICAS EN PACIENTE ",IF(P72=#REF!,"CLINICA DE HERIDAS ",IF(P72=#REF!,"TOMA DE CITOLOGIA CERVICO VAGINAL ",IF(P72=#REF!,"SOPORTE CARDIOVASCULAR AVANZADO (ACLS) ",IF(P72=#REF!,"CAMILLERO ",IF(P72=#REF!,"TOMA DE MUESTRAS Y LABORATORIO ",IF(P72=#REF!,"SOPORTE VITAL BASICO (BLS)",IF(P72=#REF!,"ATENCION A VICTIMAS DE VIOLENCIA SEXUAL ",IF(P72=#REF!,"PROGRAMADO AMPLIADO DE INMUNIZACION (PAI - COVID 19)",IF(P72=#REF!,"ATENCION INTEGRAL EN ENFERMEDADES PREVALENTES EN PRIMERA INFANCIA (AIEPI)",IF(P72=#REF!,"ADMINISTRACION DE MEDICAMENTOS, INYECTOLOGIA  Y CANALIZACION ",IF(P72=#REF!,"OPERADOR DE VEHICULOS DE EMERGENCIA (OVE)",IF(P72=#REF!,"INSTITUCIONES AMIGAS DE LA MUJER Y LA INFANCIA (IAMI)",IF(P72=#REF!,"CUIDADO DEL DONANTE DE ORGANOS",IF(P72=#REF!,"ATENCION A VICTIMAS POR VIOLENCIA DE GENERO",IF(P72=#REF!,"IGUALDAD DE GENERO EN LA SALUD",IF(P72=#REF!,"BRIGADA DE EMERGENCIA",IF(P72=#REF!,"MANEJO DEL DOLOR Y CUIDADOS PALIATIVOS",IF(P72=#REF!,"TOMA DE MUESTRAS Y LABORATORIO POCT",IF(P72=#REF!,"IMPLANTE SUBDERMICO DE DISPOSITIVO INTRAUTERINO",IF(P72=#REF!,"SALUD MENTAL",IF(P72=#REF!,"PRIMEROS AUXILIOS PSICOLOGICOS",IF(P72=#REF!,"ATENCION A VICTIMAS POR CONFLICTO ARMADO",IF(P72=#REF!,"MANIPULACION DE ALIMENTOS Y BPM",IF(P72=#REF!,"ATENCION A PERSONAS CON DISCAPACIDAD",IF(P72=#REF!,"CUIDADO INTEGRAL DEL PACIENTE ADULTO",IF(P72=#REF!,"MANEJO DEFENSIVO",IF(P72=#REF!,"SOPORTE CARDIOVASCULAR AVANZADO NEONATAL",IF(P72=#REF!,"SEGURIDAD DEL PACIENTE",IF(P72=#REF!,"MANEJO DE RESIDUOS HOSPITALARIOS"))))))))))))))))))))))))))))))))))))</f>
        <v>#REF!</v>
      </c>
      <c r="W72" s="26" t="str">
        <f t="shared" si="3"/>
        <v>Derly Paola Arteaga Díaz</v>
      </c>
      <c r="X72" s="26" t="str">
        <f t="shared" si="4"/>
        <v>Derly Paola Arteaga Díaz</v>
      </c>
      <c r="Y72" s="26" t="str">
        <f t="shared" si="5"/>
        <v>Derly Paola Arteaga Díaz-1088738423-DUELO</v>
      </c>
    </row>
    <row r="73" spans="1:26" x14ac:dyDescent="0.2">
      <c r="A73" s="20">
        <v>72</v>
      </c>
      <c r="B73" s="21">
        <v>1088738423</v>
      </c>
      <c r="C73" s="21" t="s">
        <v>197</v>
      </c>
      <c r="D73" s="21" t="s">
        <v>198</v>
      </c>
      <c r="E73" s="21" t="s">
        <v>199</v>
      </c>
      <c r="F73" s="21" t="s">
        <v>105</v>
      </c>
      <c r="G73" s="21">
        <v>13</v>
      </c>
      <c r="H73" s="21" t="s">
        <v>49</v>
      </c>
      <c r="I73" s="22" t="s">
        <v>376</v>
      </c>
      <c r="J73" s="22"/>
      <c r="K73" s="23">
        <v>45672</v>
      </c>
      <c r="L73" s="42">
        <v>32000</v>
      </c>
      <c r="M73" s="21" t="s">
        <v>106</v>
      </c>
      <c r="N73" s="21" t="s">
        <v>387</v>
      </c>
      <c r="O73" s="21" t="s">
        <v>95</v>
      </c>
      <c r="P73" s="21" t="s">
        <v>27</v>
      </c>
      <c r="Q73" s="22">
        <v>35930</v>
      </c>
      <c r="R73" s="21" t="s">
        <v>71</v>
      </c>
      <c r="S73" s="25" t="s">
        <v>172</v>
      </c>
      <c r="T73" s="21">
        <v>3137052473</v>
      </c>
      <c r="U73" s="21" t="s">
        <v>200</v>
      </c>
      <c r="V73" s="26" t="e">
        <f>IF(P73=#REF!,"DIPLOMADO EN ATENCION PRE-HOSPITALARIA",IF(P73=#REF!,"ACOMPAÑAMIENTO Y MANEJO DEL DUELO",IF(P73=#REF!,"ATENCION A VICTIMAS DE ATAQUE CON AGENTES QUIMICOS ",IF(P73=#REF!,"PRIMEROS AUXILIOS ",IF(P73=#REF!,"DIPLOMADO DE UNIDAD DE CUIDADOS INTENSIVOS (UCI)",IF(P73=#REF!,"MODELO DE ATENCION PARA EVENTOS EMERGENTES EN SALUD MENTAL (CODIGO VERDE)",IF(P73=#REF!,"HUMANIZACION EN EL SERVICIO DE LA SALUD Y BUENAS PRACTICAS EN PACIENTE ",IF(P73=#REF!,"CLINICA DE HERIDAS ",IF(P73=#REF!,"TOMA DE CITOLOGIA CERVICO VAGINAL ",IF(P73=#REF!,"SOPORTE CARDIOVASCULAR AVANZADO (ACLS) ",IF(P73=#REF!,"CAMILLERO ",IF(P73=#REF!,"TOMA DE MUESTRAS Y LABORATORIO ",IF(P73=#REF!,"SOPORTE VITAL BASICO (BLS)",IF(P73=#REF!,"ATENCION A VICTIMAS DE VIOLENCIA SEXUAL ",IF(P73=#REF!,"PROGRAMADO AMPLIADO DE INMUNIZACION (PAI - COVID 19)",IF(P73=#REF!,"ATENCION INTEGRAL EN ENFERMEDADES PREVALENTES EN PRIMERA INFANCIA (AIEPI)",IF(P73=#REF!,"ADMINISTRACION DE MEDICAMENTOS, INYECTOLOGIA  Y CANALIZACION ",IF(P73=#REF!,"OPERADOR DE VEHICULOS DE EMERGENCIA (OVE)",IF(P73=#REF!,"INSTITUCIONES AMIGAS DE LA MUJER Y LA INFANCIA (IAMI)",IF(P73=#REF!,"CUIDADO DEL DONANTE DE ORGANOS",IF(P73=#REF!,"ATENCION A VICTIMAS POR VIOLENCIA DE GENERO",IF(P73=#REF!,"IGUALDAD DE GENERO EN LA SALUD",IF(P73=#REF!,"BRIGADA DE EMERGENCIA",IF(P73=#REF!,"MANEJO DEL DOLOR Y CUIDADOS PALIATIVOS",IF(P73=#REF!,"TOMA DE MUESTRAS Y LABORATORIO POCT",IF(P73=#REF!,"IMPLANTE SUBDERMICO DE DISPOSITIVO INTRAUTERINO",IF(P73=#REF!,"SALUD MENTAL",IF(P73=#REF!,"PRIMEROS AUXILIOS PSICOLOGICOS",IF(P73=#REF!,"ATENCION A VICTIMAS POR CONFLICTO ARMADO",IF(P73=#REF!,"MANIPULACION DE ALIMENTOS Y BPM",IF(P73=#REF!,"ATENCION A PERSONAS CON DISCAPACIDAD",IF(P73=#REF!,"CUIDADO INTEGRAL DEL PACIENTE ADULTO",IF(P73=#REF!,"MANEJO DEFENSIVO",IF(P73=#REF!,"SOPORTE CARDIOVASCULAR AVANZADO NEONATAL",IF(P73=#REF!,"SEGURIDAD DEL PACIENTE",IF(P73=#REF!,"MANEJO DE RESIDUOS HOSPITALARIOS"))))))))))))))))))))))))))))))))))))</f>
        <v>#REF!</v>
      </c>
      <c r="W73" s="26" t="str">
        <f t="shared" si="3"/>
        <v>Derly Paola Arteaga Díaz</v>
      </c>
      <c r="X73" s="26" t="str">
        <f t="shared" si="4"/>
        <v>Derly Paola Arteaga Díaz</v>
      </c>
      <c r="Y73" s="26" t="str">
        <f t="shared" si="5"/>
        <v>Derly Paola Arteaga Díaz-1088738423-VIOLENCIA SEXUAL</v>
      </c>
    </row>
    <row r="74" spans="1:26" x14ac:dyDescent="0.2">
      <c r="A74" s="20">
        <v>73</v>
      </c>
      <c r="B74" s="21">
        <v>1088738423</v>
      </c>
      <c r="C74" s="21" t="s">
        <v>197</v>
      </c>
      <c r="D74" s="21" t="s">
        <v>198</v>
      </c>
      <c r="E74" s="21" t="s">
        <v>199</v>
      </c>
      <c r="F74" s="21" t="s">
        <v>105</v>
      </c>
      <c r="G74" s="21">
        <v>11</v>
      </c>
      <c r="H74" s="21" t="s">
        <v>49</v>
      </c>
      <c r="I74" s="22" t="s">
        <v>376</v>
      </c>
      <c r="J74" s="22"/>
      <c r="K74" s="23">
        <v>45672</v>
      </c>
      <c r="L74" s="42">
        <v>32000</v>
      </c>
      <c r="M74" s="21" t="s">
        <v>106</v>
      </c>
      <c r="N74" s="21" t="s">
        <v>387</v>
      </c>
      <c r="O74" s="21" t="s">
        <v>95</v>
      </c>
      <c r="P74" s="43" t="s">
        <v>23</v>
      </c>
      <c r="Q74" s="22">
        <v>35930</v>
      </c>
      <c r="R74" s="21" t="s">
        <v>71</v>
      </c>
      <c r="S74" s="25" t="s">
        <v>172</v>
      </c>
      <c r="T74" s="21">
        <v>3137052473</v>
      </c>
      <c r="U74" s="21" t="s">
        <v>200</v>
      </c>
      <c r="V74" s="26" t="e">
        <f>IF(P74=#REF!,"DIPLOMADO EN ATENCION PRE-HOSPITALARIA",IF(P74=#REF!,"ACOMPAÑAMIENTO Y MANEJO DEL DUELO",IF(P74=#REF!,"ATENCION A VICTIMAS DE ATAQUE CON AGENTES QUIMICOS ",IF(P74=#REF!,"PRIMEROS AUXILIOS ",IF(P74=#REF!,"DIPLOMADO DE UNIDAD DE CUIDADOS INTENSIVOS (UCI)",IF(P74=#REF!,"MODELO DE ATENCION PARA EVENTOS EMERGENTES EN SALUD MENTAL (CODIGO VERDE)",IF(P74=#REF!,"HUMANIZACION EN EL SERVICIO DE LA SALUD Y BUENAS PRACTICAS EN PACIENTE ",IF(P74=#REF!,"CLINICA DE HERIDAS ",IF(P74=#REF!,"TOMA DE CITOLOGIA CERVICO VAGINAL ",IF(P74=#REF!,"SOPORTE CARDIOVASCULAR AVANZADO (ACLS) ",IF(P74=#REF!,"CAMILLERO ",IF(P74=#REF!,"TOMA DE MUESTRAS Y LABORATORIO ",IF(P74=#REF!,"SOPORTE VITAL BASICO (BLS)",IF(P74=#REF!,"ATENCION A VICTIMAS DE VIOLENCIA SEXUAL ",IF(P74=#REF!,"PROGRAMADO AMPLIADO DE INMUNIZACION (PAI - COVID 19)",IF(P74=#REF!,"ATENCION INTEGRAL EN ENFERMEDADES PREVALENTES EN PRIMERA INFANCIA (AIEPI)",IF(P74=#REF!,"ADMINISTRACION DE MEDICAMENTOS, INYECTOLOGIA  Y CANALIZACION ",IF(P74=#REF!,"OPERADOR DE VEHICULOS DE EMERGENCIA (OVE)",IF(P74=#REF!,"INSTITUCIONES AMIGAS DE LA MUJER Y LA INFANCIA (IAMI)",IF(P74=#REF!,"CUIDADO DEL DONANTE DE ORGANOS",IF(P74=#REF!,"ATENCION A VICTIMAS POR VIOLENCIA DE GENERO",IF(P74=#REF!,"IGUALDAD DE GENERO EN LA SALUD",IF(P74=#REF!,"BRIGADA DE EMERGENCIA",IF(P74=#REF!,"MANEJO DEL DOLOR Y CUIDADOS PALIATIVOS",IF(P74=#REF!,"TOMA DE MUESTRAS Y LABORATORIO POCT",IF(P74=#REF!,"IMPLANTE SUBDERMICO DE DISPOSITIVO INTRAUTERINO",IF(P74=#REF!,"SALUD MENTAL",IF(P74=#REF!,"PRIMEROS AUXILIOS PSICOLOGICOS",IF(P74=#REF!,"ATENCION A VICTIMAS POR CONFLICTO ARMADO",IF(P74=#REF!,"MANIPULACION DE ALIMENTOS Y BPM",IF(P74=#REF!,"ATENCION A PERSONAS CON DISCAPACIDAD",IF(P74=#REF!,"CUIDADO INTEGRAL DEL PACIENTE ADULTO",IF(P74=#REF!,"MANEJO DEFENSIVO",IF(P74=#REF!,"SOPORTE CARDIOVASCULAR AVANZADO NEONATAL",IF(P74=#REF!,"SEGURIDAD DEL PACIENTE",IF(P74=#REF!,"MANEJO DE RESIDUOS HOSPITALARIOS"))))))))))))))))))))))))))))))))))))</f>
        <v>#REF!</v>
      </c>
      <c r="W74" s="26" t="str">
        <f t="shared" si="3"/>
        <v>Derly Paola Arteaga Díaz</v>
      </c>
      <c r="X74" s="26" t="str">
        <f t="shared" si="4"/>
        <v>Derly Paola Arteaga Díaz</v>
      </c>
      <c r="Y74" s="26" t="str">
        <f t="shared" si="5"/>
        <v>Derly Paola Arteaga Díaz-1088738423-HUMANIZACION</v>
      </c>
    </row>
    <row r="75" spans="1:26" x14ac:dyDescent="0.2">
      <c r="A75" s="20">
        <v>74</v>
      </c>
      <c r="B75" s="21">
        <v>1088738423</v>
      </c>
      <c r="C75" s="21" t="s">
        <v>197</v>
      </c>
      <c r="D75" s="21" t="s">
        <v>198</v>
      </c>
      <c r="E75" s="21" t="s">
        <v>199</v>
      </c>
      <c r="F75" s="21" t="s">
        <v>105</v>
      </c>
      <c r="G75" s="21">
        <v>10</v>
      </c>
      <c r="H75" s="21" t="s">
        <v>49</v>
      </c>
      <c r="I75" s="22" t="s">
        <v>376</v>
      </c>
      <c r="J75" s="22"/>
      <c r="K75" s="23">
        <v>45672</v>
      </c>
      <c r="L75" s="42">
        <v>32000</v>
      </c>
      <c r="M75" s="21" t="s">
        <v>106</v>
      </c>
      <c r="N75" s="21" t="s">
        <v>387</v>
      </c>
      <c r="O75" s="21" t="s">
        <v>95</v>
      </c>
      <c r="P75" s="21" t="s">
        <v>28</v>
      </c>
      <c r="Q75" s="22">
        <v>35930</v>
      </c>
      <c r="R75" s="21" t="s">
        <v>71</v>
      </c>
      <c r="S75" s="25" t="s">
        <v>172</v>
      </c>
      <c r="T75" s="21">
        <v>3137052473</v>
      </c>
      <c r="U75" s="21" t="s">
        <v>200</v>
      </c>
      <c r="V75" s="26" t="e">
        <f>IF(P75=#REF!,"DIPLOMADO EN ATENCION PRE-HOSPITALARIA",IF(P75=#REF!,"ACOMPAÑAMIENTO Y MANEJO DEL DUELO",IF(P75=#REF!,"ATENCION A VICTIMAS DE ATAQUE CON AGENTES QUIMICOS ",IF(P75=#REF!,"PRIMEROS AUXILIOS ",IF(P75=#REF!,"DIPLOMADO DE UNIDAD DE CUIDADOS INTENSIVOS (UCI)",IF(P75=#REF!,"MODELO DE ATENCION PARA EVENTOS EMERGENTES EN SALUD MENTAL (CODIGO VERDE)",IF(P75=#REF!,"HUMANIZACION EN EL SERVICIO DE LA SALUD Y BUENAS PRACTICAS EN PACIENTE ",IF(P75=#REF!,"CLINICA DE HERIDAS ",IF(P75=#REF!,"TOMA DE CITOLOGIA CERVICO VAGINAL ",IF(P75=#REF!,"SOPORTE CARDIOVASCULAR AVANZADO (ACLS) ",IF(P75=#REF!,"CAMILLERO ",IF(P75=#REF!,"TOMA DE MUESTRAS Y LABORATORIO ",IF(P75=#REF!,"SOPORTE VITAL BASICO (BLS)",IF(P75=#REF!,"ATENCION A VICTIMAS DE VIOLENCIA SEXUAL ",IF(P75=#REF!,"PROGRAMADO AMPLIADO DE INMUNIZACION (PAI - COVID 19)",IF(P75=#REF!,"ATENCION INTEGRAL EN ENFERMEDADES PREVALENTES EN PRIMERA INFANCIA (AIEPI)",IF(P75=#REF!,"ADMINISTRACION DE MEDICAMENTOS, INYECTOLOGIA  Y CANALIZACION ",IF(P75=#REF!,"OPERADOR DE VEHICULOS DE EMERGENCIA (OVE)",IF(P75=#REF!,"INSTITUCIONES AMIGAS DE LA MUJER Y LA INFANCIA (IAMI)",IF(P75=#REF!,"CUIDADO DEL DONANTE DE ORGANOS",IF(P75=#REF!,"ATENCION A VICTIMAS POR VIOLENCIA DE GENERO",IF(P75=#REF!,"IGUALDAD DE GENERO EN LA SALUD",IF(P75=#REF!,"BRIGADA DE EMERGENCIA",IF(P75=#REF!,"MANEJO DEL DOLOR Y CUIDADOS PALIATIVOS",IF(P75=#REF!,"TOMA DE MUESTRAS Y LABORATORIO POCT",IF(P75=#REF!,"IMPLANTE SUBDERMICO DE DISPOSITIVO INTRAUTERINO",IF(P75=#REF!,"SALUD MENTAL",IF(P75=#REF!,"PRIMEROS AUXILIOS PSICOLOGICOS",IF(P75=#REF!,"ATENCION A VICTIMAS POR CONFLICTO ARMADO",IF(P75=#REF!,"MANIPULACION DE ALIMENTOS Y BPM",IF(P75=#REF!,"ATENCION A PERSONAS CON DISCAPACIDAD",IF(P75=#REF!,"CUIDADO INTEGRAL DEL PACIENTE ADULTO",IF(P75=#REF!,"MANEJO DEFENSIVO",IF(P75=#REF!,"SOPORTE CARDIOVASCULAR AVANZADO NEONATAL",IF(P75=#REF!,"SEGURIDAD DEL PACIENTE",IF(P75=#REF!,"MANEJO DE RESIDUOS HOSPITALARIOS"))))))))))))))))))))))))))))))))))))</f>
        <v>#REF!</v>
      </c>
      <c r="W75" s="26" t="str">
        <f t="shared" si="3"/>
        <v>Derly Paola Arteaga Díaz</v>
      </c>
      <c r="X75" s="26" t="str">
        <f t="shared" si="4"/>
        <v>Derly Paola Arteaga Díaz</v>
      </c>
      <c r="Y75" s="26" t="str">
        <f t="shared" si="5"/>
        <v>Derly Paola Arteaga Díaz-1088738423-AIEPI</v>
      </c>
    </row>
    <row r="76" spans="1:26" x14ac:dyDescent="0.2">
      <c r="A76" s="20">
        <v>75</v>
      </c>
      <c r="B76" s="21">
        <v>1016006903</v>
      </c>
      <c r="C76" s="21" t="s">
        <v>201</v>
      </c>
      <c r="D76" s="21" t="s">
        <v>202</v>
      </c>
      <c r="E76" s="21" t="s">
        <v>203</v>
      </c>
      <c r="F76" s="21" t="s">
        <v>204</v>
      </c>
      <c r="G76" s="21">
        <v>10</v>
      </c>
      <c r="H76" s="21" t="s">
        <v>49</v>
      </c>
      <c r="I76" s="22" t="s">
        <v>376</v>
      </c>
      <c r="J76" s="22"/>
      <c r="K76" s="23">
        <v>45671</v>
      </c>
      <c r="L76" s="42">
        <v>37500</v>
      </c>
      <c r="M76" s="21" t="s">
        <v>206</v>
      </c>
      <c r="N76" s="21" t="s">
        <v>387</v>
      </c>
      <c r="O76" s="21" t="s">
        <v>77</v>
      </c>
      <c r="P76" s="21" t="s">
        <v>28</v>
      </c>
      <c r="Q76" s="22"/>
      <c r="R76" s="21" t="s">
        <v>71</v>
      </c>
      <c r="S76" s="25"/>
      <c r="T76" s="25">
        <v>3168910790</v>
      </c>
      <c r="U76" s="21" t="s">
        <v>205</v>
      </c>
      <c r="V76" s="26" t="e">
        <f>IF(P76=#REF!,"DIPLOMADO EN ATENCION PRE-HOSPITALARIA",IF(P76=#REF!,"ACOMPAÑAMIENTO Y MANEJO DEL DUELO",IF(P76=#REF!,"ATENCION A VICTIMAS DE ATAQUE CON AGENTES QUIMICOS ",IF(P76=#REF!,"PRIMEROS AUXILIOS ",IF(P76=#REF!,"DIPLOMADO DE UNIDAD DE CUIDADOS INTENSIVOS (UCI)",IF(P76=#REF!,"MODELO DE ATENCION PARA EVENTOS EMERGENTES EN SALUD MENTAL (CODIGO VERDE)",IF(P76=#REF!,"HUMANIZACION EN EL SERVICIO DE LA SALUD Y BUENAS PRACTICAS EN PACIENTE ",IF(P76=#REF!,"CLINICA DE HERIDAS ",IF(P76=#REF!,"TOMA DE CITOLOGIA CERVICO VAGINAL ",IF(P76=#REF!,"SOPORTE CARDIOVASCULAR AVANZADO (ACLS) ",IF(P76=#REF!,"CAMILLERO ",IF(P76=#REF!,"TOMA DE MUESTRAS Y LABORATORIO ",IF(P76=#REF!,"SOPORTE VITAL BASICO (BLS)",IF(P76=#REF!,"ATENCION A VICTIMAS DE VIOLENCIA SEXUAL ",IF(P76=#REF!,"PROGRAMADO AMPLIADO DE INMUNIZACION (PAI - COVID 19)",IF(P76=#REF!,"ATENCION INTEGRAL EN ENFERMEDADES PREVALENTES EN PRIMERA INFANCIA (AIEPI)",IF(P76=#REF!,"ADMINISTRACION DE MEDICAMENTOS, INYECTOLOGIA  Y CANALIZACION ",IF(P76=#REF!,"OPERADOR DE VEHICULOS DE EMERGENCIA (OVE)",IF(P76=#REF!,"INSTITUCIONES AMIGAS DE LA MUJER Y LA INFANCIA (IAMI)",IF(P76=#REF!,"CUIDADO DEL DONANTE DE ORGANOS",IF(P76=#REF!,"ATENCION A VICTIMAS POR VIOLENCIA DE GENERO",IF(P76=#REF!,"IGUALDAD DE GENERO EN LA SALUD",IF(P76=#REF!,"BRIGADA DE EMERGENCIA",IF(P76=#REF!,"MANEJO DEL DOLOR Y CUIDADOS PALIATIVOS",IF(P76=#REF!,"TOMA DE MUESTRAS Y LABORATORIO POCT",IF(P76=#REF!,"IMPLANTE SUBDERMICO DE DISPOSITIVO INTRAUTERINO",IF(P76=#REF!,"SALUD MENTAL",IF(P76=#REF!,"PRIMEROS AUXILIOS PSICOLOGICOS",IF(P76=#REF!,"ATENCION A VICTIMAS POR CONFLICTO ARMADO",IF(P76=#REF!,"MANIPULACION DE ALIMENTOS Y BPM",IF(P76=#REF!,"ATENCION A PERSONAS CON DISCAPACIDAD",IF(P76=#REF!,"CUIDADO INTEGRAL DEL PACIENTE ADULTO",IF(P76=#REF!,"MANEJO DEFENSIVO",IF(P76=#REF!,"SOPORTE CARDIOVASCULAR AVANZADO NEONATAL",IF(P76=#REF!,"SEGURIDAD DEL PACIENTE",IF(P76=#REF!,"MANEJO DE RESIDUOS HOSPITALARIOS"))))))))))))))))))))))))))))))))))))</f>
        <v>#REF!</v>
      </c>
      <c r="W76" s="26" t="str">
        <f t="shared" si="3"/>
        <v>Angelica Desiree Sandoval Baquerizo</v>
      </c>
      <c r="X76" s="26" t="str">
        <f t="shared" si="4"/>
        <v>Angelica Desiree Sandoval Baquerizo</v>
      </c>
      <c r="Y76" s="26" t="str">
        <f t="shared" si="5"/>
        <v>Angelica Desiree Sandoval Baquerizo-1016006903-AIEPI</v>
      </c>
    </row>
    <row r="77" spans="1:26" x14ac:dyDescent="0.2">
      <c r="A77" s="20">
        <v>76</v>
      </c>
      <c r="B77" s="21">
        <v>1016006903</v>
      </c>
      <c r="C77" s="21" t="s">
        <v>201</v>
      </c>
      <c r="D77" s="21" t="s">
        <v>202</v>
      </c>
      <c r="E77" s="21" t="s">
        <v>203</v>
      </c>
      <c r="F77" s="21" t="s">
        <v>204</v>
      </c>
      <c r="G77" s="21">
        <v>13</v>
      </c>
      <c r="H77" s="21" t="s">
        <v>49</v>
      </c>
      <c r="I77" s="22" t="s">
        <v>376</v>
      </c>
      <c r="J77" s="22"/>
      <c r="K77" s="23">
        <v>45671</v>
      </c>
      <c r="L77" s="42">
        <v>37500</v>
      </c>
      <c r="M77" s="21" t="s">
        <v>206</v>
      </c>
      <c r="N77" s="21" t="s">
        <v>387</v>
      </c>
      <c r="O77" s="21" t="s">
        <v>77</v>
      </c>
      <c r="P77" s="21" t="s">
        <v>31</v>
      </c>
      <c r="Q77" s="22"/>
      <c r="R77" s="21" t="s">
        <v>71</v>
      </c>
      <c r="S77" s="25"/>
      <c r="T77" s="25">
        <v>3168910790</v>
      </c>
      <c r="U77" s="21" t="s">
        <v>205</v>
      </c>
      <c r="V77" s="26" t="e">
        <f>IF(P77=#REF!,"DIPLOMADO EN ATENCION PRE-HOSPITALARIA",IF(P77=#REF!,"ACOMPAÑAMIENTO Y MANEJO DEL DUELO",IF(P77=#REF!,"ATENCION A VICTIMAS DE ATAQUE CON AGENTES QUIMICOS ",IF(P77=#REF!,"PRIMEROS AUXILIOS ",IF(P77=#REF!,"DIPLOMADO DE UNIDAD DE CUIDADOS INTENSIVOS (UCI)",IF(P77=#REF!,"MODELO DE ATENCION PARA EVENTOS EMERGENTES EN SALUD MENTAL (CODIGO VERDE)",IF(P77=#REF!,"HUMANIZACION EN EL SERVICIO DE LA SALUD Y BUENAS PRACTICAS EN PACIENTE ",IF(P77=#REF!,"CLINICA DE HERIDAS ",IF(P77=#REF!,"TOMA DE CITOLOGIA CERVICO VAGINAL ",IF(P77=#REF!,"SOPORTE CARDIOVASCULAR AVANZADO (ACLS) ",IF(P77=#REF!,"CAMILLERO ",IF(P77=#REF!,"TOMA DE MUESTRAS Y LABORATORIO ",IF(P77=#REF!,"SOPORTE VITAL BASICO (BLS)",IF(P77=#REF!,"ATENCION A VICTIMAS DE VIOLENCIA SEXUAL ",IF(P77=#REF!,"PROGRAMADO AMPLIADO DE INMUNIZACION (PAI - COVID 19)",IF(P77=#REF!,"ATENCION INTEGRAL EN ENFERMEDADES PREVALENTES EN PRIMERA INFANCIA (AIEPI)",IF(P77=#REF!,"ADMINISTRACION DE MEDICAMENTOS, INYECTOLOGIA  Y CANALIZACION ",IF(P77=#REF!,"OPERADOR DE VEHICULOS DE EMERGENCIA (OVE)",IF(P77=#REF!,"INSTITUCIONES AMIGAS DE LA MUJER Y LA INFANCIA (IAMI)",IF(P77=#REF!,"CUIDADO DEL DONANTE DE ORGANOS",IF(P77=#REF!,"ATENCION A VICTIMAS POR VIOLENCIA DE GENERO",IF(P77=#REF!,"IGUALDAD DE GENERO EN LA SALUD",IF(P77=#REF!,"BRIGADA DE EMERGENCIA",IF(P77=#REF!,"MANEJO DEL DOLOR Y CUIDADOS PALIATIVOS",IF(P77=#REF!,"TOMA DE MUESTRAS Y LABORATORIO POCT",IF(P77=#REF!,"IMPLANTE SUBDERMICO DE DISPOSITIVO INTRAUTERINO",IF(P77=#REF!,"SALUD MENTAL",IF(P77=#REF!,"PRIMEROS AUXILIOS PSICOLOGICOS",IF(P77=#REF!,"ATENCION A VICTIMAS POR CONFLICTO ARMADO",IF(P77=#REF!,"MANIPULACION DE ALIMENTOS Y BPM",IF(P77=#REF!,"ATENCION A PERSONAS CON DISCAPACIDAD",IF(P77=#REF!,"CUIDADO INTEGRAL DEL PACIENTE ADULTO",IF(P77=#REF!,"MANEJO DEFENSIVO",IF(P77=#REF!,"SOPORTE CARDIOVASCULAR AVANZADO NEONATAL",IF(P77=#REF!,"SEGURIDAD DEL PACIENTE",IF(P77=#REF!,"MANEJO DE RESIDUOS HOSPITALARIOS"))))))))))))))))))))))))))))))))))))</f>
        <v>#REF!</v>
      </c>
      <c r="W77" s="26" t="str">
        <f t="shared" si="3"/>
        <v>Angelica Desiree Sandoval Baquerizo</v>
      </c>
      <c r="X77" s="26" t="str">
        <f t="shared" si="4"/>
        <v>Angelica Desiree Sandoval Baquerizo</v>
      </c>
      <c r="Y77" s="26" t="str">
        <f t="shared" si="5"/>
        <v>Angelica Desiree Sandoval Baquerizo-1016006903-IAMI</v>
      </c>
    </row>
    <row r="78" spans="1:26" x14ac:dyDescent="0.2">
      <c r="A78" s="20">
        <v>77</v>
      </c>
      <c r="B78" s="21">
        <v>1016006903</v>
      </c>
      <c r="C78" s="21" t="s">
        <v>201</v>
      </c>
      <c r="D78" s="21" t="s">
        <v>202</v>
      </c>
      <c r="E78" s="21" t="s">
        <v>203</v>
      </c>
      <c r="F78" s="21" t="s">
        <v>204</v>
      </c>
      <c r="G78" s="21">
        <v>14</v>
      </c>
      <c r="H78" s="21" t="s">
        <v>49</v>
      </c>
      <c r="I78" s="22" t="s">
        <v>376</v>
      </c>
      <c r="J78" s="22"/>
      <c r="K78" s="23">
        <v>45671</v>
      </c>
      <c r="L78" s="42">
        <v>37500</v>
      </c>
      <c r="M78" s="21" t="s">
        <v>206</v>
      </c>
      <c r="N78" s="21" t="s">
        <v>387</v>
      </c>
      <c r="O78" s="21" t="s">
        <v>77</v>
      </c>
      <c r="P78" s="21" t="s">
        <v>23</v>
      </c>
      <c r="Q78" s="22"/>
      <c r="R78" s="21" t="s">
        <v>71</v>
      </c>
      <c r="S78" s="25"/>
      <c r="T78" s="25">
        <v>3168910790</v>
      </c>
      <c r="U78" s="21" t="s">
        <v>205</v>
      </c>
      <c r="V78" s="26" t="e">
        <f>IF(P78=#REF!,"DIPLOMADO EN ATENCION PRE-HOSPITALARIA",IF(P78=#REF!,"ACOMPAÑAMIENTO Y MANEJO DEL DUELO",IF(P78=#REF!,"ATENCION A VICTIMAS DE ATAQUE CON AGENTES QUIMICOS ",IF(P78=#REF!,"PRIMEROS AUXILIOS ",IF(P78=#REF!,"DIPLOMADO DE UNIDAD DE CUIDADOS INTENSIVOS (UCI)",IF(P78=#REF!,"MODELO DE ATENCION PARA EVENTOS EMERGENTES EN SALUD MENTAL (CODIGO VERDE)",IF(P78=#REF!,"HUMANIZACION EN EL SERVICIO DE LA SALUD Y BUENAS PRACTICAS EN PACIENTE ",IF(P78=#REF!,"CLINICA DE HERIDAS ",IF(P78=#REF!,"TOMA DE CITOLOGIA CERVICO VAGINAL ",IF(P78=#REF!,"SOPORTE CARDIOVASCULAR AVANZADO (ACLS) ",IF(P78=#REF!,"CAMILLERO ",IF(P78=#REF!,"TOMA DE MUESTRAS Y LABORATORIO ",IF(P78=#REF!,"SOPORTE VITAL BASICO (BLS)",IF(P78=#REF!,"ATENCION A VICTIMAS DE VIOLENCIA SEXUAL ",IF(P78=#REF!,"PROGRAMADO AMPLIADO DE INMUNIZACION (PAI - COVID 19)",IF(P78=#REF!,"ATENCION INTEGRAL EN ENFERMEDADES PREVALENTES EN PRIMERA INFANCIA (AIEPI)",IF(P78=#REF!,"ADMINISTRACION DE MEDICAMENTOS, INYECTOLOGIA  Y CANALIZACION ",IF(P78=#REF!,"OPERADOR DE VEHICULOS DE EMERGENCIA (OVE)",IF(P78=#REF!,"INSTITUCIONES AMIGAS DE LA MUJER Y LA INFANCIA (IAMI)",IF(P78=#REF!,"CUIDADO DEL DONANTE DE ORGANOS",IF(P78=#REF!,"ATENCION A VICTIMAS POR VIOLENCIA DE GENERO",IF(P78=#REF!,"IGUALDAD DE GENERO EN LA SALUD",IF(P78=#REF!,"BRIGADA DE EMERGENCIA",IF(P78=#REF!,"MANEJO DEL DOLOR Y CUIDADOS PALIATIVOS",IF(P78=#REF!,"TOMA DE MUESTRAS Y LABORATORIO POCT",IF(P78=#REF!,"IMPLANTE SUBDERMICO DE DISPOSITIVO INTRAUTERINO",IF(P78=#REF!,"SALUD MENTAL",IF(P78=#REF!,"PRIMEROS AUXILIOS PSICOLOGICOS",IF(P78=#REF!,"ATENCION A VICTIMAS POR CONFLICTO ARMADO",IF(P78=#REF!,"MANIPULACION DE ALIMENTOS Y BPM",IF(P78=#REF!,"ATENCION A PERSONAS CON DISCAPACIDAD",IF(P78=#REF!,"CUIDADO INTEGRAL DEL PACIENTE ADULTO",IF(P78=#REF!,"MANEJO DEFENSIVO",IF(P78=#REF!,"SOPORTE CARDIOVASCULAR AVANZADO NEONATAL",IF(P78=#REF!,"SEGURIDAD DEL PACIENTE",IF(P78=#REF!,"MANEJO DE RESIDUOS HOSPITALARIOS"))))))))))))))))))))))))))))))))))))</f>
        <v>#REF!</v>
      </c>
      <c r="W78" s="26" t="str">
        <f t="shared" si="3"/>
        <v>Angelica Desiree Sandoval Baquerizo</v>
      </c>
      <c r="X78" s="26" t="str">
        <f t="shared" si="4"/>
        <v>Angelica Desiree Sandoval Baquerizo</v>
      </c>
      <c r="Y78" s="26" t="str">
        <f t="shared" si="5"/>
        <v>Angelica Desiree Sandoval Baquerizo-1016006903-HUMANIZACION</v>
      </c>
    </row>
    <row r="79" spans="1:26" x14ac:dyDescent="0.2">
      <c r="A79" s="20">
        <v>78</v>
      </c>
      <c r="B79" s="21">
        <v>1016006903</v>
      </c>
      <c r="C79" s="21" t="s">
        <v>201</v>
      </c>
      <c r="D79" s="21" t="s">
        <v>202</v>
      </c>
      <c r="E79" s="21" t="s">
        <v>203</v>
      </c>
      <c r="F79" s="21" t="s">
        <v>204</v>
      </c>
      <c r="G79" s="21">
        <v>15</v>
      </c>
      <c r="H79" s="21" t="s">
        <v>49</v>
      </c>
      <c r="I79" s="22" t="s">
        <v>376</v>
      </c>
      <c r="J79" s="22"/>
      <c r="K79" s="23">
        <v>45671</v>
      </c>
      <c r="L79" s="42">
        <v>37500</v>
      </c>
      <c r="M79" s="21" t="s">
        <v>206</v>
      </c>
      <c r="N79" s="21" t="s">
        <v>387</v>
      </c>
      <c r="O79" s="21" t="s">
        <v>77</v>
      </c>
      <c r="P79" s="21" t="s">
        <v>41</v>
      </c>
      <c r="Q79" s="22"/>
      <c r="R79" s="21" t="s">
        <v>71</v>
      </c>
      <c r="S79" s="25"/>
      <c r="T79" s="25">
        <v>3168910790</v>
      </c>
      <c r="U79" s="21" t="s">
        <v>205</v>
      </c>
      <c r="V79" s="26" t="e">
        <f>IF(P79=#REF!,"DIPLOMADO EN ATENCION PRE-HOSPITALARIA",IF(P79=#REF!,"ACOMPAÑAMIENTO Y MANEJO DEL DUELO",IF(P79=#REF!,"ATENCION A VICTIMAS DE ATAQUE CON AGENTES QUIMICOS ",IF(P79=#REF!,"PRIMEROS AUXILIOS ",IF(P79=#REF!,"DIPLOMADO DE UNIDAD DE CUIDADOS INTENSIVOS (UCI)",IF(P79=#REF!,"MODELO DE ATENCION PARA EVENTOS EMERGENTES EN SALUD MENTAL (CODIGO VERDE)",IF(P79=#REF!,"HUMANIZACION EN EL SERVICIO DE LA SALUD Y BUENAS PRACTICAS EN PACIENTE ",IF(P79=#REF!,"CLINICA DE HERIDAS ",IF(P79=#REF!,"TOMA DE CITOLOGIA CERVICO VAGINAL ",IF(P79=#REF!,"SOPORTE CARDIOVASCULAR AVANZADO (ACLS) ",IF(P79=#REF!,"CAMILLERO ",IF(P79=#REF!,"TOMA DE MUESTRAS Y LABORATORIO ",IF(P79=#REF!,"SOPORTE VITAL BASICO (BLS)",IF(P79=#REF!,"ATENCION A VICTIMAS DE VIOLENCIA SEXUAL ",IF(P79=#REF!,"PROGRAMADO AMPLIADO DE INMUNIZACION (PAI - COVID 19)",IF(P79=#REF!,"ATENCION INTEGRAL EN ENFERMEDADES PREVALENTES EN PRIMERA INFANCIA (AIEPI)",IF(P79=#REF!,"ADMINISTRACION DE MEDICAMENTOS, INYECTOLOGIA  Y CANALIZACION ",IF(P79=#REF!,"OPERADOR DE VEHICULOS DE EMERGENCIA (OVE)",IF(P79=#REF!,"INSTITUCIONES AMIGAS DE LA MUJER Y LA INFANCIA (IAMI)",IF(P79=#REF!,"CUIDADO DEL DONANTE DE ORGANOS",IF(P79=#REF!,"ATENCION A VICTIMAS POR VIOLENCIA DE GENERO",IF(P79=#REF!,"IGUALDAD DE GENERO EN LA SALUD",IF(P79=#REF!,"BRIGADA DE EMERGENCIA",IF(P79=#REF!,"MANEJO DEL DOLOR Y CUIDADOS PALIATIVOS",IF(P79=#REF!,"TOMA DE MUESTRAS Y LABORATORIO POCT",IF(P79=#REF!,"IMPLANTE SUBDERMICO DE DISPOSITIVO INTRAUTERINO",IF(P79=#REF!,"SALUD MENTAL",IF(P79=#REF!,"PRIMEROS AUXILIOS PSICOLOGICOS",IF(P79=#REF!,"ATENCION A VICTIMAS POR CONFLICTO ARMADO",IF(P79=#REF!,"MANIPULACION DE ALIMENTOS Y BPM",IF(P79=#REF!,"ATENCION A PERSONAS CON DISCAPACIDAD",IF(P79=#REF!,"CUIDADO INTEGRAL DEL PACIENTE ADULTO",IF(P79=#REF!,"MANEJO DEFENSIVO",IF(P79=#REF!,"SOPORTE CARDIOVASCULAR AVANZADO NEONATAL",IF(P79=#REF!,"SEGURIDAD DEL PACIENTE",IF(P79=#REF!,"MANEJO DE RESIDUOS HOSPITALARIOS"))))))))))))))))))))))))))))))))))))</f>
        <v>#REF!</v>
      </c>
      <c r="W79" s="26" t="str">
        <f t="shared" si="3"/>
        <v>Angelica Desiree Sandoval Baquerizo</v>
      </c>
      <c r="X79" s="26" t="str">
        <f t="shared" si="4"/>
        <v>Angelica Desiree Sandoval Baquerizo</v>
      </c>
      <c r="Y79" s="26" t="str">
        <f t="shared" si="5"/>
        <v>Angelica Desiree Sandoval Baquerizo-1016006903-PACIENTE</v>
      </c>
    </row>
    <row r="80" spans="1:26" x14ac:dyDescent="0.2">
      <c r="A80" s="36">
        <v>79</v>
      </c>
      <c r="B80" s="37">
        <v>87065083</v>
      </c>
      <c r="C80" s="37" t="s">
        <v>207</v>
      </c>
      <c r="D80" s="37" t="s">
        <v>208</v>
      </c>
      <c r="E80" s="37" t="s">
        <v>209</v>
      </c>
      <c r="F80" s="37" t="s">
        <v>210</v>
      </c>
      <c r="G80" s="37">
        <v>15</v>
      </c>
      <c r="H80" s="37" t="s">
        <v>49</v>
      </c>
      <c r="I80" s="38" t="s">
        <v>377</v>
      </c>
      <c r="J80" s="38"/>
      <c r="K80" s="39">
        <v>45672</v>
      </c>
      <c r="L80" s="44">
        <v>65000</v>
      </c>
      <c r="M80" s="37" t="s">
        <v>133</v>
      </c>
      <c r="N80" s="37" t="s">
        <v>387</v>
      </c>
      <c r="O80" s="37" t="s">
        <v>69</v>
      </c>
      <c r="P80" s="37" t="s">
        <v>29</v>
      </c>
      <c r="Q80" s="38">
        <v>30799</v>
      </c>
      <c r="R80" s="37" t="s">
        <v>70</v>
      </c>
      <c r="S80" s="45" t="s">
        <v>108</v>
      </c>
      <c r="T80" s="45">
        <v>3006749054</v>
      </c>
      <c r="U80" s="37" t="s">
        <v>211</v>
      </c>
      <c r="V80" s="41" t="e">
        <f>IF(P80=#REF!,"DIPLOMADO EN ATENCION PRE-HOSPITALARIA",IF(P80=#REF!,"ACOMPAÑAMIENTO Y MANEJO DEL DUELO",IF(P80=#REF!,"ATENCION A VICTIMAS DE ATAQUE CON AGENTES QUIMICOS ",IF(P80=#REF!,"PRIMEROS AUXILIOS ",IF(P80=#REF!,"DIPLOMADO DE UNIDAD DE CUIDADOS INTENSIVOS (UCI)",IF(P80=#REF!,"MODELO DE ATENCION PARA EVENTOS EMERGENTES EN SALUD MENTAL (CODIGO VERDE)",IF(P80=#REF!,"HUMANIZACION EN EL SERVICIO DE LA SALUD Y BUENAS PRACTICAS EN PACIENTE ",IF(P80=#REF!,"CLINICA DE HERIDAS ",IF(P80=#REF!,"TOMA DE CITOLOGIA CERVICO VAGINAL ",IF(P80=#REF!,"SOPORTE CARDIOVASCULAR AVANZADO (ACLS) ",IF(P80=#REF!,"CAMILLERO ",IF(P80=#REF!,"TOMA DE MUESTRAS Y LABORATORIO ",IF(P80=#REF!,"SOPORTE VITAL BASICO (BLS)",IF(P80=#REF!,"ATENCION A VICTIMAS DE VIOLENCIA SEXUAL ",IF(P80=#REF!,"PROGRAMADO AMPLIADO DE INMUNIZACION (PAI - COVID 19)",IF(P80=#REF!,"ATENCION INTEGRAL EN ENFERMEDADES PREVALENTES EN PRIMERA INFANCIA (AIEPI)",IF(P80=#REF!,"ADMINISTRACION DE MEDICAMENTOS, INYECTOLOGIA  Y CANALIZACION ",IF(P80=#REF!,"OPERADOR DE VEHICULOS DE EMERGENCIA (OVE)",IF(P80=#REF!,"INSTITUCIONES AMIGAS DE LA MUJER Y LA INFANCIA (IAMI)",IF(P80=#REF!,"CUIDADO DEL DONANTE DE ORGANOS",IF(P80=#REF!,"ATENCION A VICTIMAS POR VIOLENCIA DE GENERO",IF(P80=#REF!,"IGUALDAD DE GENERO EN LA SALUD",IF(P80=#REF!,"BRIGADA DE EMERGENCIA",IF(P80=#REF!,"MANEJO DEL DOLOR Y CUIDADOS PALIATIVOS",IF(P80=#REF!,"TOMA DE MUESTRAS Y LABORATORIO POCT",IF(P80=#REF!,"IMPLANTE SUBDERMICO DE DISPOSITIVO INTRAUTERINO",IF(P80=#REF!,"SALUD MENTAL",IF(P80=#REF!,"PRIMEROS AUXILIOS PSICOLOGICOS",IF(P80=#REF!,"ATENCION A VICTIMAS POR CONFLICTO ARMADO",IF(P80=#REF!,"MANIPULACION DE ALIMENTOS Y BPM",IF(P80=#REF!,"ATENCION A PERSONAS CON DISCAPACIDAD",IF(P80=#REF!,"CUIDADO INTEGRAL DEL PACIENTE ADULTO",IF(P80=#REF!,"MANEJO DEFENSIVO",IF(P80=#REF!,"SOPORTE CARDIOVASCULAR AVANZADO NEONATAL",IF(P80=#REF!,"SEGURIDAD DEL PACIENTE",IF(P80=#REF!,"MANEJO DE RESIDUOS HOSPITALARIOS"))))))))))))))))))))))))))))))))))))</f>
        <v>#REF!</v>
      </c>
      <c r="W80" s="41" t="str">
        <f t="shared" si="3"/>
        <v>Jimmy Orlando Carlosama Perez</v>
      </c>
      <c r="X80" s="41" t="str">
        <f t="shared" si="4"/>
        <v>Jimmy Orlando Carlosama Perez</v>
      </c>
      <c r="Y80" s="41" t="str">
        <f t="shared" si="5"/>
        <v>Jimmy Orlando Carlosama Perez-87065083-ADMON DE MEDICAMENTOS</v>
      </c>
    </row>
    <row r="81" spans="1:26" s="19" customFormat="1" x14ac:dyDescent="0.2">
      <c r="A81" s="20">
        <v>80</v>
      </c>
      <c r="B81" s="21">
        <v>1085258077</v>
      </c>
      <c r="C81" s="21" t="s">
        <v>212</v>
      </c>
      <c r="D81" s="21" t="s">
        <v>213</v>
      </c>
      <c r="E81" s="21" t="s">
        <v>214</v>
      </c>
      <c r="F81" s="21" t="s">
        <v>215</v>
      </c>
      <c r="G81" s="21">
        <v>15</v>
      </c>
      <c r="H81" s="21" t="s">
        <v>49</v>
      </c>
      <c r="I81" s="22" t="s">
        <v>377</v>
      </c>
      <c r="J81" s="22"/>
      <c r="K81" s="23">
        <v>45672</v>
      </c>
      <c r="L81" s="42">
        <v>65000</v>
      </c>
      <c r="M81" s="21" t="s">
        <v>133</v>
      </c>
      <c r="N81" s="21" t="s">
        <v>387</v>
      </c>
      <c r="O81" s="21" t="s">
        <v>69</v>
      </c>
      <c r="P81" s="21" t="s">
        <v>29</v>
      </c>
      <c r="Q81" s="22">
        <v>31898</v>
      </c>
      <c r="R81" s="21" t="s">
        <v>71</v>
      </c>
      <c r="S81" s="25" t="s">
        <v>216</v>
      </c>
      <c r="T81" s="25">
        <v>3176691983</v>
      </c>
      <c r="U81" s="21" t="s">
        <v>217</v>
      </c>
      <c r="V81" s="26" t="e">
        <f>IF(P81=#REF!,"DIPLOMADO EN ATENCION PRE-HOSPITALARIA",IF(P81=#REF!,"ACOMPAÑAMIENTO Y MANEJO DEL DUELO",IF(P81=#REF!,"ATENCION A VICTIMAS DE ATAQUE CON AGENTES QUIMICOS ",IF(P81=#REF!,"PRIMEROS AUXILIOS ",IF(P81=#REF!,"DIPLOMADO DE UNIDAD DE CUIDADOS INTENSIVOS (UCI)",IF(P81=#REF!,"MODELO DE ATENCION PARA EVENTOS EMERGENTES EN SALUD MENTAL (CODIGO VERDE)",IF(P81=#REF!,"HUMANIZACION EN EL SERVICIO DE LA SALUD Y BUENAS PRACTICAS EN PACIENTE ",IF(P81=#REF!,"CLINICA DE HERIDAS ",IF(P81=#REF!,"TOMA DE CITOLOGIA CERVICO VAGINAL ",IF(P81=#REF!,"SOPORTE CARDIOVASCULAR AVANZADO (ACLS) ",IF(P81=#REF!,"CAMILLERO ",IF(P81=#REF!,"TOMA DE MUESTRAS Y LABORATORIO ",IF(P81=#REF!,"SOPORTE VITAL BASICO (BLS)",IF(P81=#REF!,"ATENCION A VICTIMAS DE VIOLENCIA SEXUAL ",IF(P81=#REF!,"PROGRAMADO AMPLIADO DE INMUNIZACION (PAI - COVID 19)",IF(P81=#REF!,"ATENCION INTEGRAL EN ENFERMEDADES PREVALENTES EN PRIMERA INFANCIA (AIEPI)",IF(P81=#REF!,"ADMINISTRACION DE MEDICAMENTOS, INYECTOLOGIA  Y CANALIZACION ",IF(P81=#REF!,"OPERADOR DE VEHICULOS DE EMERGENCIA (OVE)",IF(P81=#REF!,"INSTITUCIONES AMIGAS DE LA MUJER Y LA INFANCIA (IAMI)",IF(P81=#REF!,"CUIDADO DEL DONANTE DE ORGANOS",IF(P81=#REF!,"ATENCION A VICTIMAS POR VIOLENCIA DE GENERO",IF(P81=#REF!,"IGUALDAD DE GENERO EN LA SALUD",IF(P81=#REF!,"BRIGADA DE EMERGENCIA",IF(P81=#REF!,"MANEJO DEL DOLOR Y CUIDADOS PALIATIVOS",IF(P81=#REF!,"TOMA DE MUESTRAS Y LABORATORIO POCT",IF(P81=#REF!,"IMPLANTE SUBDERMICO DE DISPOSITIVO INTRAUTERINO",IF(P81=#REF!,"SALUD MENTAL",IF(P81=#REF!,"PRIMEROS AUXILIOS PSICOLOGICOS",IF(P81=#REF!,"ATENCION A VICTIMAS POR CONFLICTO ARMADO",IF(P81=#REF!,"MANIPULACION DE ALIMENTOS Y BPM",IF(P81=#REF!,"ATENCION A PERSONAS CON DISCAPACIDAD",IF(P81=#REF!,"CUIDADO INTEGRAL DEL PACIENTE ADULTO",IF(P81=#REF!,"MANEJO DEFENSIVO",IF(P81=#REF!,"SOPORTE CARDIOVASCULAR AVANZADO NEONATAL",IF(P81=#REF!,"SEGURIDAD DEL PACIENTE",IF(P81=#REF!,"MANEJO DE RESIDUOS HOSPITALARIOS"))))))))))))))))))))))))))))))))))))</f>
        <v>#REF!</v>
      </c>
      <c r="W81" s="26" t="str">
        <f t="shared" si="3"/>
        <v>Diana Carolina Charfuelan Moreno</v>
      </c>
      <c r="X81" s="26" t="str">
        <f t="shared" si="4"/>
        <v>Diana Carolina Charfuelan Moreno</v>
      </c>
      <c r="Y81" s="26" t="str">
        <f t="shared" si="5"/>
        <v>Diana Carolina Charfuelan Moreno-1085258077-ADMON DE MEDICAMENTOS</v>
      </c>
    </row>
    <row r="82" spans="1:26" s="19" customFormat="1" x14ac:dyDescent="0.2">
      <c r="A82" s="20">
        <v>81</v>
      </c>
      <c r="B82" s="21">
        <v>1085309420</v>
      </c>
      <c r="C82" s="21" t="s">
        <v>218</v>
      </c>
      <c r="D82" s="21" t="s">
        <v>208</v>
      </c>
      <c r="E82" s="21" t="s">
        <v>219</v>
      </c>
      <c r="F82" s="21" t="s">
        <v>124</v>
      </c>
      <c r="G82" s="21">
        <v>15</v>
      </c>
      <c r="H82" s="21" t="s">
        <v>49</v>
      </c>
      <c r="I82" s="22" t="s">
        <v>377</v>
      </c>
      <c r="J82" s="22"/>
      <c r="K82" s="23">
        <v>45672</v>
      </c>
      <c r="L82" s="42">
        <v>65000</v>
      </c>
      <c r="M82" s="21" t="s">
        <v>133</v>
      </c>
      <c r="N82" s="21" t="s">
        <v>387</v>
      </c>
      <c r="O82" s="21" t="s">
        <v>69</v>
      </c>
      <c r="P82" s="21" t="s">
        <v>29</v>
      </c>
      <c r="Q82" s="22">
        <v>34314</v>
      </c>
      <c r="R82" s="21" t="s">
        <v>71</v>
      </c>
      <c r="S82" s="25" t="s">
        <v>107</v>
      </c>
      <c r="T82" s="25">
        <v>3152174929</v>
      </c>
      <c r="U82" s="21" t="s">
        <v>220</v>
      </c>
      <c r="V82" s="26" t="e">
        <f>IF(P82=#REF!,"DIPLOMADO EN ATENCION PRE-HOSPITALARIA",IF(P82=#REF!,"ACOMPAÑAMIENTO Y MANEJO DEL DUELO",IF(P82=#REF!,"ATENCION A VICTIMAS DE ATAQUE CON AGENTES QUIMICOS ",IF(P82=#REF!,"PRIMEROS AUXILIOS ",IF(P82=#REF!,"DIPLOMADO DE UNIDAD DE CUIDADOS INTENSIVOS (UCI)",IF(P82=#REF!,"MODELO DE ATENCION PARA EVENTOS EMERGENTES EN SALUD MENTAL (CODIGO VERDE)",IF(P82=#REF!,"HUMANIZACION EN EL SERVICIO DE LA SALUD Y BUENAS PRACTICAS EN PACIENTE ",IF(P82=#REF!,"CLINICA DE HERIDAS ",IF(P82=#REF!,"TOMA DE CITOLOGIA CERVICO VAGINAL ",IF(P82=#REF!,"SOPORTE CARDIOVASCULAR AVANZADO (ACLS) ",IF(P82=#REF!,"CAMILLERO ",IF(P82=#REF!,"TOMA DE MUESTRAS Y LABORATORIO ",IF(P82=#REF!,"SOPORTE VITAL BASICO (BLS)",IF(P82=#REF!,"ATENCION A VICTIMAS DE VIOLENCIA SEXUAL ",IF(P82=#REF!,"PROGRAMADO AMPLIADO DE INMUNIZACION (PAI - COVID 19)",IF(P82=#REF!,"ATENCION INTEGRAL EN ENFERMEDADES PREVALENTES EN PRIMERA INFANCIA (AIEPI)",IF(P82=#REF!,"ADMINISTRACION DE MEDICAMENTOS, INYECTOLOGIA  Y CANALIZACION ",IF(P82=#REF!,"OPERADOR DE VEHICULOS DE EMERGENCIA (OVE)",IF(P82=#REF!,"INSTITUCIONES AMIGAS DE LA MUJER Y LA INFANCIA (IAMI)",IF(P82=#REF!,"CUIDADO DEL DONANTE DE ORGANOS",IF(P82=#REF!,"ATENCION A VICTIMAS POR VIOLENCIA DE GENERO",IF(P82=#REF!,"IGUALDAD DE GENERO EN LA SALUD",IF(P82=#REF!,"BRIGADA DE EMERGENCIA",IF(P82=#REF!,"MANEJO DEL DOLOR Y CUIDADOS PALIATIVOS",IF(P82=#REF!,"TOMA DE MUESTRAS Y LABORATORIO POCT",IF(P82=#REF!,"IMPLANTE SUBDERMICO DE DISPOSITIVO INTRAUTERINO",IF(P82=#REF!,"SALUD MENTAL",IF(P82=#REF!,"PRIMEROS AUXILIOS PSICOLOGICOS",IF(P82=#REF!,"ATENCION A VICTIMAS POR CONFLICTO ARMADO",IF(P82=#REF!,"MANIPULACION DE ALIMENTOS Y BPM",IF(P82=#REF!,"ATENCION A PERSONAS CON DISCAPACIDAD",IF(P82=#REF!,"CUIDADO INTEGRAL DEL PACIENTE ADULTO",IF(P82=#REF!,"MANEJO DEFENSIVO",IF(P82=#REF!,"SOPORTE CARDIOVASCULAR AVANZADO NEONATAL",IF(P82=#REF!,"SEGURIDAD DEL PACIENTE",IF(P82=#REF!,"MANEJO DE RESIDUOS HOSPITALARIOS"))))))))))))))))))))))))))))))))))))</f>
        <v>#REF!</v>
      </c>
      <c r="W82" s="26" t="str">
        <f t="shared" si="3"/>
        <v>Maritza Fernanda Tarapuez Perez</v>
      </c>
      <c r="X82" s="26" t="str">
        <f t="shared" si="4"/>
        <v>Maritza Fernanda Tarapuez Perez</v>
      </c>
      <c r="Y82" s="26" t="str">
        <f t="shared" si="5"/>
        <v>Maritza Fernanda Tarapuez Perez-1085309420-ADMON DE MEDICAMENTOS</v>
      </c>
    </row>
    <row r="83" spans="1:26" s="19" customFormat="1" x14ac:dyDescent="0.2">
      <c r="A83" s="20">
        <v>82</v>
      </c>
      <c r="B83" s="21">
        <v>1007282229</v>
      </c>
      <c r="C83" s="21" t="s">
        <v>221</v>
      </c>
      <c r="D83" s="21" t="s">
        <v>222</v>
      </c>
      <c r="E83" s="21" t="s">
        <v>223</v>
      </c>
      <c r="F83" s="21" t="s">
        <v>224</v>
      </c>
      <c r="G83" s="21">
        <v>16</v>
      </c>
      <c r="H83" s="21" t="s">
        <v>49</v>
      </c>
      <c r="I83" s="22" t="s">
        <v>376</v>
      </c>
      <c r="J83" s="22"/>
      <c r="K83" s="23">
        <v>45672</v>
      </c>
      <c r="L83" s="42">
        <v>32000</v>
      </c>
      <c r="M83" s="21" t="s">
        <v>106</v>
      </c>
      <c r="N83" s="21" t="s">
        <v>387</v>
      </c>
      <c r="O83" s="21" t="s">
        <v>95</v>
      </c>
      <c r="P83" s="43" t="s">
        <v>32</v>
      </c>
      <c r="Q83" s="22">
        <v>36766</v>
      </c>
      <c r="R83" s="21" t="s">
        <v>71</v>
      </c>
      <c r="S83" s="25" t="s">
        <v>172</v>
      </c>
      <c r="T83" s="25">
        <v>3177285811</v>
      </c>
      <c r="U83" s="25" t="s">
        <v>225</v>
      </c>
      <c r="V83" s="26" t="e">
        <f>IF(P83=#REF!,"DIPLOMADO EN ATENCION PRE-HOSPITALARIA",IF(P83=#REF!,"ACOMPAÑAMIENTO Y MANEJO DEL DUELO",IF(P83=#REF!,"ATENCION A VICTIMAS DE ATAQUE CON AGENTES QUIMICOS ",IF(P83=#REF!,"PRIMEROS AUXILIOS ",IF(P83=#REF!,"DIPLOMADO DE UNIDAD DE CUIDADOS INTENSIVOS (UCI)",IF(P83=#REF!,"MODELO DE ATENCION PARA EVENTOS EMERGENTES EN SALUD MENTAL (CODIGO VERDE)",IF(P83=#REF!,"HUMANIZACION EN EL SERVICIO DE LA SALUD Y BUENAS PRACTICAS EN PACIENTE ",IF(P83=#REF!,"CLINICA DE HERIDAS ",IF(P83=#REF!,"TOMA DE CITOLOGIA CERVICO VAGINAL ",IF(P83=#REF!,"SOPORTE CARDIOVASCULAR AVANZADO (ACLS) ",IF(P83=#REF!,"CAMILLERO ",IF(P83=#REF!,"TOMA DE MUESTRAS Y LABORATORIO ",IF(P83=#REF!,"SOPORTE VITAL BASICO (BLS)",IF(P83=#REF!,"ATENCION A VICTIMAS DE VIOLENCIA SEXUAL ",IF(P83=#REF!,"PROGRAMADO AMPLIADO DE INMUNIZACION (PAI - COVID 19)",IF(P83=#REF!,"ATENCION INTEGRAL EN ENFERMEDADES PREVALENTES EN PRIMERA INFANCIA (AIEPI)",IF(P83=#REF!,"ADMINISTRACION DE MEDICAMENTOS, INYECTOLOGIA  Y CANALIZACION ",IF(P83=#REF!,"OPERADOR DE VEHICULOS DE EMERGENCIA (OVE)",IF(P83=#REF!,"INSTITUCIONES AMIGAS DE LA MUJER Y LA INFANCIA (IAMI)",IF(P83=#REF!,"CUIDADO DEL DONANTE DE ORGANOS",IF(P83=#REF!,"ATENCION A VICTIMAS POR VIOLENCIA DE GENERO",IF(P83=#REF!,"IGUALDAD DE GENERO EN LA SALUD",IF(P83=#REF!,"BRIGADA DE EMERGENCIA",IF(P83=#REF!,"MANEJO DEL DOLOR Y CUIDADOS PALIATIVOS",IF(P83=#REF!,"TOMA DE MUESTRAS Y LABORATORIO POCT",IF(P83=#REF!,"IMPLANTE SUBDERMICO DE DISPOSITIVO INTRAUTERINO",IF(P83=#REF!,"SALUD MENTAL",IF(P83=#REF!,"PRIMEROS AUXILIOS PSICOLOGICOS",IF(P83=#REF!,"ATENCION A VICTIMAS POR CONFLICTO ARMADO",IF(P83=#REF!,"MANIPULACION DE ALIMENTOS Y BPM",IF(P83=#REF!,"ATENCION A PERSONAS CON DISCAPACIDAD",IF(P83=#REF!,"CUIDADO INTEGRAL DEL PACIENTE ADULTO",IF(P83=#REF!,"MANEJO DEFENSIVO",IF(P83=#REF!,"SOPORTE CARDIOVASCULAR AVANZADO NEONATAL",IF(P83=#REF!,"SEGURIDAD DEL PACIENTE",IF(P83=#REF!,"MANEJO DE RESIDUOS HOSPITALARIOS"))))))))))))))))))))))))))))))))))))</f>
        <v>#REF!</v>
      </c>
      <c r="W83" s="26" t="str">
        <f t="shared" si="3"/>
        <v>Anyi Gissela Martinez Andrade</v>
      </c>
      <c r="X83" s="26" t="str">
        <f t="shared" si="4"/>
        <v>Anyi Gissela Martinez Andrade</v>
      </c>
      <c r="Y83" s="26" t="str">
        <f t="shared" si="5"/>
        <v>Anyi Gissela Martinez Andrade-1007282229-VIOLENCIA DE GENERO</v>
      </c>
    </row>
    <row r="84" spans="1:26" s="19" customFormat="1" x14ac:dyDescent="0.2">
      <c r="A84" s="20">
        <v>83</v>
      </c>
      <c r="B84" s="21">
        <v>1007282229</v>
      </c>
      <c r="C84" s="21" t="s">
        <v>221</v>
      </c>
      <c r="D84" s="21" t="s">
        <v>222</v>
      </c>
      <c r="E84" s="21" t="s">
        <v>223</v>
      </c>
      <c r="F84" s="21" t="s">
        <v>224</v>
      </c>
      <c r="G84" s="21">
        <v>15</v>
      </c>
      <c r="H84" s="21" t="s">
        <v>49</v>
      </c>
      <c r="I84" s="22" t="s">
        <v>376</v>
      </c>
      <c r="J84" s="22"/>
      <c r="K84" s="23">
        <v>45672</v>
      </c>
      <c r="L84" s="42">
        <v>32000</v>
      </c>
      <c r="M84" s="21" t="s">
        <v>106</v>
      </c>
      <c r="N84" s="21" t="s">
        <v>387</v>
      </c>
      <c r="O84" s="21" t="s">
        <v>95</v>
      </c>
      <c r="P84" s="43" t="s">
        <v>33</v>
      </c>
      <c r="Q84" s="22">
        <v>36766</v>
      </c>
      <c r="R84" s="21" t="s">
        <v>71</v>
      </c>
      <c r="S84" s="25" t="s">
        <v>172</v>
      </c>
      <c r="T84" s="25">
        <v>3177285811</v>
      </c>
      <c r="U84" s="25" t="s">
        <v>225</v>
      </c>
      <c r="V84" s="26" t="e">
        <f>IF(P84=#REF!,"DIPLOMADO EN ATENCION PRE-HOSPITALARIA",IF(P84=#REF!,"ACOMPAÑAMIENTO Y MANEJO DEL DUELO",IF(P84=#REF!,"ATENCION A VICTIMAS DE ATAQUE CON AGENTES QUIMICOS ",IF(P84=#REF!,"PRIMEROS AUXILIOS ",IF(P84=#REF!,"DIPLOMADO DE UNIDAD DE CUIDADOS INTENSIVOS (UCI)",IF(P84=#REF!,"MODELO DE ATENCION PARA EVENTOS EMERGENTES EN SALUD MENTAL (CODIGO VERDE)",IF(P84=#REF!,"HUMANIZACION EN EL SERVICIO DE LA SALUD Y BUENAS PRACTICAS EN PACIENTE ",IF(P84=#REF!,"CLINICA DE HERIDAS ",IF(P84=#REF!,"TOMA DE CITOLOGIA CERVICO VAGINAL ",IF(P84=#REF!,"SOPORTE CARDIOVASCULAR AVANZADO (ACLS) ",IF(P84=#REF!,"CAMILLERO ",IF(P84=#REF!,"TOMA DE MUESTRAS Y LABORATORIO ",IF(P84=#REF!,"SOPORTE VITAL BASICO (BLS)",IF(P84=#REF!,"ATENCION A VICTIMAS DE VIOLENCIA SEXUAL ",IF(P84=#REF!,"PROGRAMADO AMPLIADO DE INMUNIZACION (PAI - COVID 19)",IF(P84=#REF!,"ATENCION INTEGRAL EN ENFERMEDADES PREVALENTES EN PRIMERA INFANCIA (AIEPI)",IF(P84=#REF!,"ADMINISTRACION DE MEDICAMENTOS, INYECTOLOGIA  Y CANALIZACION ",IF(P84=#REF!,"OPERADOR DE VEHICULOS DE EMERGENCIA (OVE)",IF(P84=#REF!,"INSTITUCIONES AMIGAS DE LA MUJER Y LA INFANCIA (IAMI)",IF(P84=#REF!,"CUIDADO DEL DONANTE DE ORGANOS",IF(P84=#REF!,"ATENCION A VICTIMAS POR VIOLENCIA DE GENERO",IF(P84=#REF!,"IGUALDAD DE GENERO EN LA SALUD",IF(P84=#REF!,"BRIGADA DE EMERGENCIA",IF(P84=#REF!,"MANEJO DEL DOLOR Y CUIDADOS PALIATIVOS",IF(P84=#REF!,"TOMA DE MUESTRAS Y LABORATORIO POCT",IF(P84=#REF!,"IMPLANTE SUBDERMICO DE DISPOSITIVO INTRAUTERINO",IF(P84=#REF!,"SALUD MENTAL",IF(P84=#REF!,"PRIMEROS AUXILIOS PSICOLOGICOS",IF(P84=#REF!,"ATENCION A VICTIMAS POR CONFLICTO ARMADO",IF(P84=#REF!,"MANIPULACION DE ALIMENTOS Y BPM",IF(P84=#REF!,"ATENCION A PERSONAS CON DISCAPACIDAD",IF(P84=#REF!,"CUIDADO INTEGRAL DEL PACIENTE ADULTO",IF(P84=#REF!,"MANEJO DEFENSIVO",IF(P84=#REF!,"SOPORTE CARDIOVASCULAR AVANZADO NEONATAL",IF(P84=#REF!,"SEGURIDAD DEL PACIENTE",IF(P84=#REF!,"MANEJO DE RESIDUOS HOSPITALARIOS"))))))))))))))))))))))))))))))))))))</f>
        <v>#REF!</v>
      </c>
      <c r="W84" s="26" t="str">
        <f t="shared" si="3"/>
        <v>Anyi Gissela Martinez Andrade</v>
      </c>
      <c r="X84" s="26" t="str">
        <f t="shared" si="4"/>
        <v>Anyi Gissela Martinez Andrade</v>
      </c>
      <c r="Y84" s="26" t="str">
        <f t="shared" si="5"/>
        <v>Anyi Gissela Martinez Andrade-1007282229-IGUALDAD DE GENERO</v>
      </c>
    </row>
    <row r="85" spans="1:26" s="19" customFormat="1" x14ac:dyDescent="0.2">
      <c r="A85" s="20">
        <v>84</v>
      </c>
      <c r="B85" s="21">
        <v>1085291443</v>
      </c>
      <c r="C85" s="21" t="s">
        <v>226</v>
      </c>
      <c r="D85" s="21" t="s">
        <v>227</v>
      </c>
      <c r="E85" s="21" t="s">
        <v>228</v>
      </c>
      <c r="F85" s="21" t="s">
        <v>229</v>
      </c>
      <c r="G85" s="21">
        <v>16</v>
      </c>
      <c r="H85" s="21" t="s">
        <v>49</v>
      </c>
      <c r="I85" s="22" t="s">
        <v>376</v>
      </c>
      <c r="J85" s="22"/>
      <c r="K85" s="23">
        <v>45673</v>
      </c>
      <c r="L85" s="42">
        <v>40000</v>
      </c>
      <c r="M85" s="21" t="s">
        <v>231</v>
      </c>
      <c r="N85" s="21" t="s">
        <v>387</v>
      </c>
      <c r="O85" s="21" t="s">
        <v>69</v>
      </c>
      <c r="P85" s="43" t="s">
        <v>27</v>
      </c>
      <c r="Q85" s="22">
        <v>33380</v>
      </c>
      <c r="R85" s="22" t="s">
        <v>70</v>
      </c>
      <c r="S85" s="47" t="s">
        <v>107</v>
      </c>
      <c r="T85" s="25">
        <v>3215020010</v>
      </c>
      <c r="U85" s="21" t="s">
        <v>230</v>
      </c>
      <c r="V85" s="26" t="e">
        <f>IF(P85=#REF!,"DIPLOMADO EN ATENCION PRE-HOSPITALARIA",IF(P85=#REF!,"ACOMPAÑAMIENTO Y MANEJO DEL DUELO",IF(P85=#REF!,"ATENCION A VICTIMAS DE ATAQUE CON AGENTES QUIMICOS ",IF(P85=#REF!,"PRIMEROS AUXILIOS ",IF(P85=#REF!,"DIPLOMADO DE UNIDAD DE CUIDADOS INTENSIVOS (UCI)",IF(P85=#REF!,"MODELO DE ATENCION PARA EVENTOS EMERGENTES EN SALUD MENTAL (CODIGO VERDE)",IF(P85=#REF!,"HUMANIZACION EN EL SERVICIO DE LA SALUD Y BUENAS PRACTICAS EN PACIENTE ",IF(P85=#REF!,"CLINICA DE HERIDAS ",IF(P85=#REF!,"TOMA DE CITOLOGIA CERVICO VAGINAL ",IF(P85=#REF!,"SOPORTE CARDIOVASCULAR AVANZADO (ACLS) ",IF(P85=#REF!,"CAMILLERO ",IF(P85=#REF!,"TOMA DE MUESTRAS Y LABORATORIO ",IF(P85=#REF!,"SOPORTE VITAL BASICO (BLS)",IF(P85=#REF!,"ATENCION A VICTIMAS DE VIOLENCIA SEXUAL ",IF(P85=#REF!,"PROGRAMADO AMPLIADO DE INMUNIZACION (PAI - COVID 19)",IF(P85=#REF!,"ATENCION INTEGRAL EN ENFERMEDADES PREVALENTES EN PRIMERA INFANCIA (AIEPI)",IF(P85=#REF!,"ADMINISTRACION DE MEDICAMENTOS, INYECTOLOGIA  Y CANALIZACION ",IF(P85=#REF!,"OPERADOR DE VEHICULOS DE EMERGENCIA (OVE)",IF(P85=#REF!,"INSTITUCIONES AMIGAS DE LA MUJER Y LA INFANCIA (IAMI)",IF(P85=#REF!,"CUIDADO DEL DONANTE DE ORGANOS",IF(P85=#REF!,"ATENCION A VICTIMAS POR VIOLENCIA DE GENERO",IF(P85=#REF!,"IGUALDAD DE GENERO EN LA SALUD",IF(P85=#REF!,"BRIGADA DE EMERGENCIA",IF(P85=#REF!,"MANEJO DEL DOLOR Y CUIDADOS PALIATIVOS",IF(P85=#REF!,"TOMA DE MUESTRAS Y LABORATORIO POCT",IF(P85=#REF!,"IMPLANTE SUBDERMICO DE DISPOSITIVO INTRAUTERINO",IF(P85=#REF!,"SALUD MENTAL",IF(P85=#REF!,"PRIMEROS AUXILIOS PSICOLOGICOS",IF(P85=#REF!,"ATENCION A VICTIMAS POR CONFLICTO ARMADO",IF(P85=#REF!,"MANIPULACION DE ALIMENTOS Y BPM",IF(P85=#REF!,"ATENCION A PERSONAS CON DISCAPACIDAD",IF(P85=#REF!,"CUIDADO INTEGRAL DEL PACIENTE ADULTO",IF(P85=#REF!,"MANEJO DEFENSIVO",IF(P85=#REF!,"SOPORTE CARDIOVASCULAR AVANZADO NEONATAL",IF(P85=#REF!,"SEGURIDAD DEL PACIENTE",IF(P85=#REF!,"MANEJO DE RESIDUOS HOSPITALARIOS"))))))))))))))))))))))))))))))))))))</f>
        <v>#REF!</v>
      </c>
      <c r="W85" s="26" t="str">
        <f t="shared" si="3"/>
        <v>Gabriel Esteban Timaran Guerrero</v>
      </c>
      <c r="X85" s="26" t="str">
        <f t="shared" si="4"/>
        <v>Gabriel Esteban Timaran Guerrero</v>
      </c>
      <c r="Y85" s="26" t="str">
        <f t="shared" si="5"/>
        <v>Gabriel Esteban Timaran Guerrero-1085291443-VIOLENCIA SEXUAL</v>
      </c>
    </row>
    <row r="86" spans="1:26" s="19" customFormat="1" x14ac:dyDescent="0.2">
      <c r="A86" s="20">
        <v>85</v>
      </c>
      <c r="B86" s="21">
        <v>1085291443</v>
      </c>
      <c r="C86" s="21" t="s">
        <v>226</v>
      </c>
      <c r="D86" s="21" t="s">
        <v>227</v>
      </c>
      <c r="E86" s="21" t="s">
        <v>228</v>
      </c>
      <c r="F86" s="21" t="s">
        <v>229</v>
      </c>
      <c r="G86" s="21">
        <v>14</v>
      </c>
      <c r="H86" s="21" t="s">
        <v>49</v>
      </c>
      <c r="I86" s="22" t="s">
        <v>376</v>
      </c>
      <c r="J86" s="22"/>
      <c r="K86" s="23">
        <v>45673</v>
      </c>
      <c r="L86" s="42">
        <v>40000</v>
      </c>
      <c r="M86" s="21" t="s">
        <v>231</v>
      </c>
      <c r="N86" s="21" t="s">
        <v>387</v>
      </c>
      <c r="O86" s="21" t="s">
        <v>69</v>
      </c>
      <c r="P86" s="43" t="s">
        <v>31</v>
      </c>
      <c r="Q86" s="22">
        <v>33380</v>
      </c>
      <c r="R86" s="22" t="s">
        <v>70</v>
      </c>
      <c r="S86" s="47" t="s">
        <v>107</v>
      </c>
      <c r="T86" s="25">
        <v>3215020010</v>
      </c>
      <c r="U86" s="21" t="s">
        <v>230</v>
      </c>
      <c r="V86" s="26" t="e">
        <f>IF(P86=#REF!,"DIPLOMADO EN ATENCION PRE-HOSPITALARIA",IF(P86=#REF!,"ACOMPAÑAMIENTO Y MANEJO DEL DUELO",IF(P86=#REF!,"ATENCION A VICTIMAS DE ATAQUE CON AGENTES QUIMICOS ",IF(P86=#REF!,"PRIMEROS AUXILIOS ",IF(P86=#REF!,"DIPLOMADO DE UNIDAD DE CUIDADOS INTENSIVOS (UCI)",IF(P86=#REF!,"MODELO DE ATENCION PARA EVENTOS EMERGENTES EN SALUD MENTAL (CODIGO VERDE)",IF(P86=#REF!,"HUMANIZACION EN EL SERVICIO DE LA SALUD Y BUENAS PRACTICAS EN PACIENTE ",IF(P86=#REF!,"CLINICA DE HERIDAS ",IF(P86=#REF!,"TOMA DE CITOLOGIA CERVICO VAGINAL ",IF(P86=#REF!,"SOPORTE CARDIOVASCULAR AVANZADO (ACLS) ",IF(P86=#REF!,"CAMILLERO ",IF(P86=#REF!,"TOMA DE MUESTRAS Y LABORATORIO ",IF(P86=#REF!,"SOPORTE VITAL BASICO (BLS)",IF(P86=#REF!,"ATENCION A VICTIMAS DE VIOLENCIA SEXUAL ",IF(P86=#REF!,"PROGRAMADO AMPLIADO DE INMUNIZACION (PAI - COVID 19)",IF(P86=#REF!,"ATENCION INTEGRAL EN ENFERMEDADES PREVALENTES EN PRIMERA INFANCIA (AIEPI)",IF(P86=#REF!,"ADMINISTRACION DE MEDICAMENTOS, INYECTOLOGIA  Y CANALIZACION ",IF(P86=#REF!,"OPERADOR DE VEHICULOS DE EMERGENCIA (OVE)",IF(P86=#REF!,"INSTITUCIONES AMIGAS DE LA MUJER Y LA INFANCIA (IAMI)",IF(P86=#REF!,"CUIDADO DEL DONANTE DE ORGANOS",IF(P86=#REF!,"ATENCION A VICTIMAS POR VIOLENCIA DE GENERO",IF(P86=#REF!,"IGUALDAD DE GENERO EN LA SALUD",IF(P86=#REF!,"BRIGADA DE EMERGENCIA",IF(P86=#REF!,"MANEJO DEL DOLOR Y CUIDADOS PALIATIVOS",IF(P86=#REF!,"TOMA DE MUESTRAS Y LABORATORIO POCT",IF(P86=#REF!,"IMPLANTE SUBDERMICO DE DISPOSITIVO INTRAUTERINO",IF(P86=#REF!,"SALUD MENTAL",IF(P86=#REF!,"PRIMEROS AUXILIOS PSICOLOGICOS",IF(P86=#REF!,"ATENCION A VICTIMAS POR CONFLICTO ARMADO",IF(P86=#REF!,"MANIPULACION DE ALIMENTOS Y BPM",IF(P86=#REF!,"ATENCION A PERSONAS CON DISCAPACIDAD",IF(P86=#REF!,"CUIDADO INTEGRAL DEL PACIENTE ADULTO",IF(P86=#REF!,"MANEJO DEFENSIVO",IF(P86=#REF!,"SOPORTE CARDIOVASCULAR AVANZADO NEONATAL",IF(P86=#REF!,"SEGURIDAD DEL PACIENTE",IF(P86=#REF!,"MANEJO DE RESIDUOS HOSPITALARIOS"))))))))))))))))))))))))))))))))))))</f>
        <v>#REF!</v>
      </c>
      <c r="W86" s="26" t="str">
        <f t="shared" si="3"/>
        <v>Gabriel Esteban Timaran Guerrero</v>
      </c>
      <c r="X86" s="26" t="str">
        <f t="shared" si="4"/>
        <v>Gabriel Esteban Timaran Guerrero</v>
      </c>
      <c r="Y86" s="26" t="str">
        <f t="shared" si="5"/>
        <v>Gabriel Esteban Timaran Guerrero-1085291443-IAMI</v>
      </c>
    </row>
    <row r="87" spans="1:26" s="19" customFormat="1" x14ac:dyDescent="0.2">
      <c r="A87" s="20">
        <v>86</v>
      </c>
      <c r="B87" s="21">
        <v>1085291443</v>
      </c>
      <c r="C87" s="21" t="s">
        <v>226</v>
      </c>
      <c r="D87" s="21" t="s">
        <v>227</v>
      </c>
      <c r="E87" s="21" t="s">
        <v>228</v>
      </c>
      <c r="F87" s="21" t="s">
        <v>229</v>
      </c>
      <c r="G87" s="21">
        <v>15</v>
      </c>
      <c r="H87" s="21" t="s">
        <v>49</v>
      </c>
      <c r="I87" s="22" t="s">
        <v>376</v>
      </c>
      <c r="J87" s="22"/>
      <c r="K87" s="23">
        <v>45673</v>
      </c>
      <c r="L87" s="42">
        <v>40000</v>
      </c>
      <c r="M87" s="21" t="s">
        <v>231</v>
      </c>
      <c r="N87" s="21" t="s">
        <v>387</v>
      </c>
      <c r="O87" s="21" t="s">
        <v>69</v>
      </c>
      <c r="P87" s="43" t="s">
        <v>28</v>
      </c>
      <c r="Q87" s="22">
        <v>33380</v>
      </c>
      <c r="R87" s="22" t="s">
        <v>70</v>
      </c>
      <c r="S87" s="47" t="s">
        <v>107</v>
      </c>
      <c r="T87" s="25">
        <v>3215020010</v>
      </c>
      <c r="U87" s="21" t="s">
        <v>230</v>
      </c>
      <c r="V87" s="26" t="e">
        <f>IF(P87=#REF!,"DIPLOMADO EN ATENCION PRE-HOSPITALARIA",IF(P87=#REF!,"ACOMPAÑAMIENTO Y MANEJO DEL DUELO",IF(P87=#REF!,"ATENCION A VICTIMAS DE ATAQUE CON AGENTES QUIMICOS ",IF(P87=#REF!,"PRIMEROS AUXILIOS ",IF(P87=#REF!,"DIPLOMADO DE UNIDAD DE CUIDADOS INTENSIVOS (UCI)",IF(P87=#REF!,"MODELO DE ATENCION PARA EVENTOS EMERGENTES EN SALUD MENTAL (CODIGO VERDE)",IF(P87=#REF!,"HUMANIZACION EN EL SERVICIO DE LA SALUD Y BUENAS PRACTICAS EN PACIENTE ",IF(P87=#REF!,"CLINICA DE HERIDAS ",IF(P87=#REF!,"TOMA DE CITOLOGIA CERVICO VAGINAL ",IF(P87=#REF!,"SOPORTE CARDIOVASCULAR AVANZADO (ACLS) ",IF(P87=#REF!,"CAMILLERO ",IF(P87=#REF!,"TOMA DE MUESTRAS Y LABORATORIO ",IF(P87=#REF!,"SOPORTE VITAL BASICO (BLS)",IF(P87=#REF!,"ATENCION A VICTIMAS DE VIOLENCIA SEXUAL ",IF(P87=#REF!,"PROGRAMADO AMPLIADO DE INMUNIZACION (PAI - COVID 19)",IF(P87=#REF!,"ATENCION INTEGRAL EN ENFERMEDADES PREVALENTES EN PRIMERA INFANCIA (AIEPI)",IF(P87=#REF!,"ADMINISTRACION DE MEDICAMENTOS, INYECTOLOGIA  Y CANALIZACION ",IF(P87=#REF!,"OPERADOR DE VEHICULOS DE EMERGENCIA (OVE)",IF(P87=#REF!,"INSTITUCIONES AMIGAS DE LA MUJER Y LA INFANCIA (IAMI)",IF(P87=#REF!,"CUIDADO DEL DONANTE DE ORGANOS",IF(P87=#REF!,"ATENCION A VICTIMAS POR VIOLENCIA DE GENERO",IF(P87=#REF!,"IGUALDAD DE GENERO EN LA SALUD",IF(P87=#REF!,"BRIGADA DE EMERGENCIA",IF(P87=#REF!,"MANEJO DEL DOLOR Y CUIDADOS PALIATIVOS",IF(P87=#REF!,"TOMA DE MUESTRAS Y LABORATORIO POCT",IF(P87=#REF!,"IMPLANTE SUBDERMICO DE DISPOSITIVO INTRAUTERINO",IF(P87=#REF!,"SALUD MENTAL",IF(P87=#REF!,"PRIMEROS AUXILIOS PSICOLOGICOS",IF(P87=#REF!,"ATENCION A VICTIMAS POR CONFLICTO ARMADO",IF(P87=#REF!,"MANIPULACION DE ALIMENTOS Y BPM",IF(P87=#REF!,"ATENCION A PERSONAS CON DISCAPACIDAD",IF(P87=#REF!,"CUIDADO INTEGRAL DEL PACIENTE ADULTO",IF(P87=#REF!,"MANEJO DEFENSIVO",IF(P87=#REF!,"SOPORTE CARDIOVASCULAR AVANZADO NEONATAL",IF(P87=#REF!,"SEGURIDAD DEL PACIENTE",IF(P87=#REF!,"MANEJO DE RESIDUOS HOSPITALARIOS"))))))))))))))))))))))))))))))))))))</f>
        <v>#REF!</v>
      </c>
      <c r="W87" s="26" t="str">
        <f t="shared" si="3"/>
        <v>Gabriel Esteban Timaran Guerrero</v>
      </c>
      <c r="X87" s="26" t="str">
        <f t="shared" si="4"/>
        <v>Gabriel Esteban Timaran Guerrero</v>
      </c>
      <c r="Y87" s="26" t="str">
        <f t="shared" si="5"/>
        <v>Gabriel Esteban Timaran Guerrero-1085291443-AIEPI</v>
      </c>
    </row>
    <row r="88" spans="1:26" s="19" customFormat="1" x14ac:dyDescent="0.2">
      <c r="A88" s="20">
        <v>87</v>
      </c>
      <c r="B88" s="21">
        <v>1088654116</v>
      </c>
      <c r="C88" s="21" t="s">
        <v>232</v>
      </c>
      <c r="D88" s="21" t="s">
        <v>233</v>
      </c>
      <c r="E88" s="21" t="s">
        <v>214</v>
      </c>
      <c r="F88" s="21" t="s">
        <v>234</v>
      </c>
      <c r="G88" s="21">
        <v>16</v>
      </c>
      <c r="H88" s="21" t="s">
        <v>49</v>
      </c>
      <c r="I88" s="22" t="s">
        <v>377</v>
      </c>
      <c r="J88" s="22"/>
      <c r="K88" s="23">
        <v>45673</v>
      </c>
      <c r="L88" s="42">
        <v>64000</v>
      </c>
      <c r="M88" s="21" t="s">
        <v>79</v>
      </c>
      <c r="N88" s="21" t="s">
        <v>387</v>
      </c>
      <c r="O88" s="48" t="s">
        <v>69</v>
      </c>
      <c r="P88" s="43" t="s">
        <v>19</v>
      </c>
      <c r="Q88" s="22">
        <v>36003</v>
      </c>
      <c r="R88" s="22" t="s">
        <v>71</v>
      </c>
      <c r="S88" s="21" t="s">
        <v>107</v>
      </c>
      <c r="T88" s="25">
        <v>3155079439</v>
      </c>
      <c r="U88" s="47" t="s">
        <v>235</v>
      </c>
      <c r="V88" s="26" t="e">
        <f>IF(P88=#REF!,"DIPLOMADO EN ATENCION PRE-HOSPITALARIA",IF(P88=#REF!,"ACOMPAÑAMIENTO Y MANEJO DEL DUELO",IF(P88=#REF!,"ATENCION A VICTIMAS DE ATAQUE CON AGENTES QUIMICOS ",IF(P88=#REF!,"PRIMEROS AUXILIOS ",IF(P88=#REF!,"DIPLOMADO DE UNIDAD DE CUIDADOS INTENSIVOS (UCI)",IF(P88=#REF!,"MODELO DE ATENCION PARA EVENTOS EMERGENTES EN SALUD MENTAL (CODIGO VERDE)",IF(P88=#REF!,"HUMANIZACION EN EL SERVICIO DE LA SALUD Y BUENAS PRACTICAS EN PACIENTE ",IF(P88=#REF!,"CLINICA DE HERIDAS ",IF(P88=#REF!,"TOMA DE CITOLOGIA CERVICO VAGINAL ",IF(P88=#REF!,"SOPORTE CARDIOVASCULAR AVANZADO (ACLS) ",IF(P88=#REF!,"CAMILLERO ",IF(P88=#REF!,"TOMA DE MUESTRAS Y LABORATORIO ",IF(P88=#REF!,"SOPORTE VITAL BASICO (BLS)",IF(P88=#REF!,"ATENCION A VICTIMAS DE VIOLENCIA SEXUAL ",IF(P88=#REF!,"PROGRAMADO AMPLIADO DE INMUNIZACION (PAI - COVID 19)",IF(P88=#REF!,"ATENCION INTEGRAL EN ENFERMEDADES PREVALENTES EN PRIMERA INFANCIA (AIEPI)",IF(P88=#REF!,"ADMINISTRACION DE MEDICAMENTOS, INYECTOLOGIA  Y CANALIZACION ",IF(P88=#REF!,"OPERADOR DE VEHICULOS DE EMERGENCIA (OVE)",IF(P88=#REF!,"INSTITUCIONES AMIGAS DE LA MUJER Y LA INFANCIA (IAMI)",IF(P88=#REF!,"CUIDADO DEL DONANTE DE ORGANOS",IF(P88=#REF!,"ATENCION A VICTIMAS POR VIOLENCIA DE GENERO",IF(P88=#REF!,"IGUALDAD DE GENERO EN LA SALUD",IF(P88=#REF!,"BRIGADA DE EMERGENCIA",IF(P88=#REF!,"MANEJO DEL DOLOR Y CUIDADOS PALIATIVOS",IF(P88=#REF!,"TOMA DE MUESTRAS Y LABORATORIO POCT",IF(P88=#REF!,"IMPLANTE SUBDERMICO DE DISPOSITIVO INTRAUTERINO",IF(P88=#REF!,"SALUD MENTAL",IF(P88=#REF!,"PRIMEROS AUXILIOS PSICOLOGICOS",IF(P88=#REF!,"ATENCION A VICTIMAS POR CONFLICTO ARMADO",IF(P88=#REF!,"MANIPULACION DE ALIMENTOS Y BPM",IF(P88=#REF!,"ATENCION A PERSONAS CON DISCAPACIDAD",IF(P88=#REF!,"CUIDADO INTEGRAL DEL PACIENTE ADULTO",IF(P88=#REF!,"MANEJO DEFENSIVO",IF(P88=#REF!,"SOPORTE CARDIOVASCULAR AVANZADO NEONATAL",IF(P88=#REF!,"SEGURIDAD DEL PACIENTE",IF(P88=#REF!,"MANEJO DE RESIDUOS HOSPITALARIOS"))))))))))))))))))))))))))))))))))))</f>
        <v>#REF!</v>
      </c>
      <c r="W88" s="26" t="str">
        <f t="shared" si="3"/>
        <v>Diana Camila Coral Tobar</v>
      </c>
      <c r="X88" s="26" t="str">
        <f t="shared" si="4"/>
        <v>Diana Camila Coral Tobar</v>
      </c>
      <c r="Y88" s="26" t="str">
        <f t="shared" si="5"/>
        <v>Diana Camila Coral Tobar-1088654116-BLS</v>
      </c>
    </row>
    <row r="89" spans="1:26" s="19" customFormat="1" x14ac:dyDescent="0.2">
      <c r="A89" s="20">
        <v>88</v>
      </c>
      <c r="B89" s="21">
        <v>1088654116</v>
      </c>
      <c r="C89" s="21" t="s">
        <v>232</v>
      </c>
      <c r="D89" s="21" t="s">
        <v>233</v>
      </c>
      <c r="E89" s="21" t="s">
        <v>214</v>
      </c>
      <c r="F89" s="21" t="s">
        <v>234</v>
      </c>
      <c r="G89" s="21">
        <v>15</v>
      </c>
      <c r="H89" s="21" t="s">
        <v>49</v>
      </c>
      <c r="I89" s="22" t="s">
        <v>377</v>
      </c>
      <c r="J89" s="22"/>
      <c r="K89" s="23">
        <v>45673</v>
      </c>
      <c r="L89" s="42">
        <v>64000</v>
      </c>
      <c r="M89" s="21" t="s">
        <v>79</v>
      </c>
      <c r="N89" s="21" t="s">
        <v>387</v>
      </c>
      <c r="O89" s="48" t="s">
        <v>69</v>
      </c>
      <c r="P89" s="21" t="s">
        <v>27</v>
      </c>
      <c r="Q89" s="22">
        <v>36003</v>
      </c>
      <c r="R89" s="22" t="s">
        <v>71</v>
      </c>
      <c r="S89" s="21" t="s">
        <v>107</v>
      </c>
      <c r="T89" s="25">
        <v>3155079439</v>
      </c>
      <c r="U89" s="47" t="s">
        <v>235</v>
      </c>
      <c r="V89" s="26" t="e">
        <f>IF(P89=#REF!,"DIPLOMADO EN ATENCION PRE-HOSPITALARIA",IF(P89=#REF!,"ACOMPAÑAMIENTO Y MANEJO DEL DUELO",IF(P89=#REF!,"ATENCION A VICTIMAS DE ATAQUE CON AGENTES QUIMICOS ",IF(P89=#REF!,"PRIMEROS AUXILIOS ",IF(P89=#REF!,"DIPLOMADO DE UNIDAD DE CUIDADOS INTENSIVOS (UCI)",IF(P89=#REF!,"MODELO DE ATENCION PARA EVENTOS EMERGENTES EN SALUD MENTAL (CODIGO VERDE)",IF(P89=#REF!,"HUMANIZACION EN EL SERVICIO DE LA SALUD Y BUENAS PRACTICAS EN PACIENTE ",IF(P89=#REF!,"CLINICA DE HERIDAS ",IF(P89=#REF!,"TOMA DE CITOLOGIA CERVICO VAGINAL ",IF(P89=#REF!,"SOPORTE CARDIOVASCULAR AVANZADO (ACLS) ",IF(P89=#REF!,"CAMILLERO ",IF(P89=#REF!,"TOMA DE MUESTRAS Y LABORATORIO ",IF(P89=#REF!,"SOPORTE VITAL BASICO (BLS)",IF(P89=#REF!,"ATENCION A VICTIMAS DE VIOLENCIA SEXUAL ",IF(P89=#REF!,"PROGRAMADO AMPLIADO DE INMUNIZACION (PAI - COVID 19)",IF(P89=#REF!,"ATENCION INTEGRAL EN ENFERMEDADES PREVALENTES EN PRIMERA INFANCIA (AIEPI)",IF(P89=#REF!,"ADMINISTRACION DE MEDICAMENTOS, INYECTOLOGIA  Y CANALIZACION ",IF(P89=#REF!,"OPERADOR DE VEHICULOS DE EMERGENCIA (OVE)",IF(P89=#REF!,"INSTITUCIONES AMIGAS DE LA MUJER Y LA INFANCIA (IAMI)",IF(P89=#REF!,"CUIDADO DEL DONANTE DE ORGANOS",IF(P89=#REF!,"ATENCION A VICTIMAS POR VIOLENCIA DE GENERO",IF(P89=#REF!,"IGUALDAD DE GENERO EN LA SALUD",IF(P89=#REF!,"BRIGADA DE EMERGENCIA",IF(P89=#REF!,"MANEJO DEL DOLOR Y CUIDADOS PALIATIVOS",IF(P89=#REF!,"TOMA DE MUESTRAS Y LABORATORIO POCT",IF(P89=#REF!,"IMPLANTE SUBDERMICO DE DISPOSITIVO INTRAUTERINO",IF(P89=#REF!,"SALUD MENTAL",IF(P89=#REF!,"PRIMEROS AUXILIOS PSICOLOGICOS",IF(P89=#REF!,"ATENCION A VICTIMAS POR CONFLICTO ARMADO",IF(P89=#REF!,"MANIPULACION DE ALIMENTOS Y BPM",IF(P89=#REF!,"ATENCION A PERSONAS CON DISCAPACIDAD",IF(P89=#REF!,"CUIDADO INTEGRAL DEL PACIENTE ADULTO",IF(P89=#REF!,"MANEJO DEFENSIVO",IF(P89=#REF!,"SOPORTE CARDIOVASCULAR AVANZADO NEONATAL",IF(P89=#REF!,"SEGURIDAD DEL PACIENTE",IF(P89=#REF!,"MANEJO DE RESIDUOS HOSPITALARIOS"))))))))))))))))))))))))))))))))))))</f>
        <v>#REF!</v>
      </c>
      <c r="W89" s="26" t="str">
        <f t="shared" si="3"/>
        <v>Diana Camila Coral Tobar</v>
      </c>
      <c r="X89" s="26" t="str">
        <f t="shared" si="4"/>
        <v>Diana Camila Coral Tobar</v>
      </c>
      <c r="Y89" s="26" t="str">
        <f t="shared" si="5"/>
        <v>Diana Camila Coral Tobar-1088654116-VIOLENCIA SEXUAL</v>
      </c>
    </row>
    <row r="90" spans="1:26" s="19" customFormat="1" x14ac:dyDescent="0.2">
      <c r="A90" s="20">
        <v>89</v>
      </c>
      <c r="B90" s="21">
        <v>1088654116</v>
      </c>
      <c r="C90" s="21" t="s">
        <v>232</v>
      </c>
      <c r="D90" s="21" t="s">
        <v>233</v>
      </c>
      <c r="E90" s="21" t="s">
        <v>214</v>
      </c>
      <c r="F90" s="21" t="s">
        <v>234</v>
      </c>
      <c r="G90" s="21">
        <v>15</v>
      </c>
      <c r="H90" s="21" t="s">
        <v>49</v>
      </c>
      <c r="I90" s="22" t="s">
        <v>377</v>
      </c>
      <c r="J90" s="22"/>
      <c r="K90" s="23">
        <v>45673</v>
      </c>
      <c r="L90" s="42">
        <v>64000</v>
      </c>
      <c r="M90" s="21" t="s">
        <v>79</v>
      </c>
      <c r="N90" s="21" t="s">
        <v>387</v>
      </c>
      <c r="O90" s="48" t="s">
        <v>69</v>
      </c>
      <c r="P90" s="21" t="s">
        <v>21</v>
      </c>
      <c r="Q90" s="22">
        <v>36003</v>
      </c>
      <c r="R90" s="22" t="s">
        <v>71</v>
      </c>
      <c r="S90" s="21" t="s">
        <v>107</v>
      </c>
      <c r="T90" s="25">
        <v>3155079439</v>
      </c>
      <c r="U90" s="47" t="s">
        <v>235</v>
      </c>
      <c r="V90" s="26" t="e">
        <f>IF(P90=#REF!,"DIPLOMADO EN ATENCION PRE-HOSPITALARIA",IF(P90=#REF!,"ACOMPAÑAMIENTO Y MANEJO DEL DUELO",IF(P90=#REF!,"ATENCION A VICTIMAS DE ATAQUE CON AGENTES QUIMICOS ",IF(P90=#REF!,"PRIMEROS AUXILIOS ",IF(P90=#REF!,"DIPLOMADO DE UNIDAD DE CUIDADOS INTENSIVOS (UCI)",IF(P90=#REF!,"MODELO DE ATENCION PARA EVENTOS EMERGENTES EN SALUD MENTAL (CODIGO VERDE)",IF(P90=#REF!,"HUMANIZACION EN EL SERVICIO DE LA SALUD Y BUENAS PRACTICAS EN PACIENTE ",IF(P90=#REF!,"CLINICA DE HERIDAS ",IF(P90=#REF!,"TOMA DE CITOLOGIA CERVICO VAGINAL ",IF(P90=#REF!,"SOPORTE CARDIOVASCULAR AVANZADO (ACLS) ",IF(P90=#REF!,"CAMILLERO ",IF(P90=#REF!,"TOMA DE MUESTRAS Y LABORATORIO ",IF(P90=#REF!,"SOPORTE VITAL BASICO (BLS)",IF(P90=#REF!,"ATENCION A VICTIMAS DE VIOLENCIA SEXUAL ",IF(P90=#REF!,"PROGRAMADO AMPLIADO DE INMUNIZACION (PAI - COVID 19)",IF(P90=#REF!,"ATENCION INTEGRAL EN ENFERMEDADES PREVALENTES EN PRIMERA INFANCIA (AIEPI)",IF(P90=#REF!,"ADMINISTRACION DE MEDICAMENTOS, INYECTOLOGIA  Y CANALIZACION ",IF(P90=#REF!,"OPERADOR DE VEHICULOS DE EMERGENCIA (OVE)",IF(P90=#REF!,"INSTITUCIONES AMIGAS DE LA MUJER Y LA INFANCIA (IAMI)",IF(P90=#REF!,"CUIDADO DEL DONANTE DE ORGANOS",IF(P90=#REF!,"ATENCION A VICTIMAS POR VIOLENCIA DE GENERO",IF(P90=#REF!,"IGUALDAD DE GENERO EN LA SALUD",IF(P90=#REF!,"BRIGADA DE EMERGENCIA",IF(P90=#REF!,"MANEJO DEL DOLOR Y CUIDADOS PALIATIVOS",IF(P90=#REF!,"TOMA DE MUESTRAS Y LABORATORIO POCT",IF(P90=#REF!,"IMPLANTE SUBDERMICO DE DISPOSITIVO INTRAUTERINO",IF(P90=#REF!,"SALUD MENTAL",IF(P90=#REF!,"PRIMEROS AUXILIOS PSICOLOGICOS",IF(P90=#REF!,"ATENCION A VICTIMAS POR CONFLICTO ARMADO",IF(P90=#REF!,"MANIPULACION DE ALIMENTOS Y BPM",IF(P90=#REF!,"ATENCION A PERSONAS CON DISCAPACIDAD",IF(P90=#REF!,"CUIDADO INTEGRAL DEL PACIENTE ADULTO",IF(P90=#REF!,"MANEJO DEFENSIVO",IF(P90=#REF!,"SOPORTE CARDIOVASCULAR AVANZADO NEONATAL",IF(P90=#REF!,"SEGURIDAD DEL PACIENTE",IF(P90=#REF!,"MANEJO DE RESIDUOS HOSPITALARIOS"))))))))))))))))))))))))))))))))))))</f>
        <v>#REF!</v>
      </c>
      <c r="W90" s="26" t="str">
        <f t="shared" si="3"/>
        <v>Diana Camila Coral Tobar</v>
      </c>
      <c r="X90" s="26" t="str">
        <f t="shared" si="4"/>
        <v>Diana Camila Coral Tobar</v>
      </c>
      <c r="Y90" s="26" t="str">
        <f t="shared" si="5"/>
        <v>Diana Camila Coral Tobar-1088654116-QUIMICOS</v>
      </c>
      <c r="Z90" s="35"/>
    </row>
    <row r="91" spans="1:26" s="49" customFormat="1" x14ac:dyDescent="0.2">
      <c r="A91" s="20">
        <v>90</v>
      </c>
      <c r="B91" s="21">
        <v>1088654116</v>
      </c>
      <c r="C91" s="21" t="s">
        <v>232</v>
      </c>
      <c r="D91" s="21" t="s">
        <v>233</v>
      </c>
      <c r="E91" s="21" t="s">
        <v>214</v>
      </c>
      <c r="F91" s="21" t="s">
        <v>234</v>
      </c>
      <c r="G91" s="21">
        <v>14</v>
      </c>
      <c r="H91" s="21" t="s">
        <v>49</v>
      </c>
      <c r="I91" s="22" t="s">
        <v>377</v>
      </c>
      <c r="J91" s="22"/>
      <c r="K91" s="23">
        <v>45673</v>
      </c>
      <c r="L91" s="42">
        <v>64000</v>
      </c>
      <c r="M91" s="21" t="s">
        <v>79</v>
      </c>
      <c r="N91" s="21" t="s">
        <v>387</v>
      </c>
      <c r="O91" s="48" t="s">
        <v>69</v>
      </c>
      <c r="P91" s="21" t="s">
        <v>23</v>
      </c>
      <c r="Q91" s="22">
        <v>36003</v>
      </c>
      <c r="R91" s="22" t="s">
        <v>71</v>
      </c>
      <c r="S91" s="21" t="s">
        <v>107</v>
      </c>
      <c r="T91" s="25">
        <v>3155079439</v>
      </c>
      <c r="U91" s="47" t="s">
        <v>235</v>
      </c>
      <c r="V91" s="26" t="e">
        <f>IF(P91=#REF!,"DIPLOMADO EN ATENCION PRE-HOSPITALARIA",IF(P91=#REF!,"ACOMPAÑAMIENTO Y MANEJO DEL DUELO",IF(P91=#REF!,"ATENCION A VICTIMAS DE ATAQUE CON AGENTES QUIMICOS ",IF(P91=#REF!,"PRIMEROS AUXILIOS ",IF(P91=#REF!,"DIPLOMADO DE UNIDAD DE CUIDADOS INTENSIVOS (UCI)",IF(P91=#REF!,"MODELO DE ATENCION PARA EVENTOS EMERGENTES EN SALUD MENTAL (CODIGO VERDE)",IF(P91=#REF!,"HUMANIZACION EN EL SERVICIO DE LA SALUD Y BUENAS PRACTICAS EN PACIENTE ",IF(P91=#REF!,"CLINICA DE HERIDAS ",IF(P91=#REF!,"TOMA DE CITOLOGIA CERVICO VAGINAL ",IF(P91=#REF!,"SOPORTE CARDIOVASCULAR AVANZADO (ACLS) ",IF(P91=#REF!,"CAMILLERO ",IF(P91=#REF!,"TOMA DE MUESTRAS Y LABORATORIO ",IF(P91=#REF!,"SOPORTE VITAL BASICO (BLS)",IF(P91=#REF!,"ATENCION A VICTIMAS DE VIOLENCIA SEXUAL ",IF(P91=#REF!,"PROGRAMADO AMPLIADO DE INMUNIZACION (PAI - COVID 19)",IF(P91=#REF!,"ATENCION INTEGRAL EN ENFERMEDADES PREVALENTES EN PRIMERA INFANCIA (AIEPI)",IF(P91=#REF!,"ADMINISTRACION DE MEDICAMENTOS, INYECTOLOGIA  Y CANALIZACION ",IF(P91=#REF!,"OPERADOR DE VEHICULOS DE EMERGENCIA (OVE)",IF(P91=#REF!,"INSTITUCIONES AMIGAS DE LA MUJER Y LA INFANCIA (IAMI)",IF(P91=#REF!,"CUIDADO DEL DONANTE DE ORGANOS",IF(P91=#REF!,"ATENCION A VICTIMAS POR VIOLENCIA DE GENERO",IF(P91=#REF!,"IGUALDAD DE GENERO EN LA SALUD",IF(P91=#REF!,"BRIGADA DE EMERGENCIA",IF(P91=#REF!,"MANEJO DEL DOLOR Y CUIDADOS PALIATIVOS",IF(P91=#REF!,"TOMA DE MUESTRAS Y LABORATORIO POCT",IF(P91=#REF!,"IMPLANTE SUBDERMICO DE DISPOSITIVO INTRAUTERINO",IF(P91=#REF!,"SALUD MENTAL",IF(P91=#REF!,"PRIMEROS AUXILIOS PSICOLOGICOS",IF(P91=#REF!,"ATENCION A VICTIMAS POR CONFLICTO ARMADO",IF(P91=#REF!,"MANIPULACION DE ALIMENTOS Y BPM",IF(P91=#REF!,"ATENCION A PERSONAS CON DISCAPACIDAD",IF(P91=#REF!,"CUIDADO INTEGRAL DEL PACIENTE ADULTO",IF(P91=#REF!,"MANEJO DEFENSIVO",IF(P91=#REF!,"SOPORTE CARDIOVASCULAR AVANZADO NEONATAL",IF(P91=#REF!,"SEGURIDAD DEL PACIENTE",IF(P91=#REF!,"MANEJO DE RESIDUOS HOSPITALARIOS"))))))))))))))))))))))))))))))))))))</f>
        <v>#REF!</v>
      </c>
      <c r="W91" s="26" t="str">
        <f t="shared" si="3"/>
        <v>Diana Camila Coral Tobar</v>
      </c>
      <c r="X91" s="26" t="str">
        <f t="shared" si="4"/>
        <v>Diana Camila Coral Tobar</v>
      </c>
      <c r="Y91" s="26" t="str">
        <f t="shared" si="5"/>
        <v>Diana Camila Coral Tobar-1088654116-HUMANIZACION</v>
      </c>
      <c r="Z91" s="50"/>
    </row>
    <row r="92" spans="1:26" s="49" customFormat="1" x14ac:dyDescent="0.2">
      <c r="A92" s="20">
        <v>91</v>
      </c>
      <c r="B92" s="21">
        <v>1085296912</v>
      </c>
      <c r="C92" s="21" t="s">
        <v>236</v>
      </c>
      <c r="D92" s="21" t="s">
        <v>175</v>
      </c>
      <c r="E92" s="21" t="s">
        <v>234</v>
      </c>
      <c r="F92" s="21" t="s">
        <v>166</v>
      </c>
      <c r="G92" s="21">
        <v>16</v>
      </c>
      <c r="H92" s="21" t="s">
        <v>49</v>
      </c>
      <c r="I92" s="22" t="s">
        <v>377</v>
      </c>
      <c r="J92" s="22"/>
      <c r="K92" s="23">
        <v>45673</v>
      </c>
      <c r="L92" s="42">
        <v>65000</v>
      </c>
      <c r="M92" s="21" t="s">
        <v>106</v>
      </c>
      <c r="N92" s="21" t="s">
        <v>387</v>
      </c>
      <c r="O92" s="48" t="s">
        <v>69</v>
      </c>
      <c r="P92" s="21" t="s">
        <v>23</v>
      </c>
      <c r="Q92" s="22">
        <v>33724</v>
      </c>
      <c r="R92" s="21" t="s">
        <v>71</v>
      </c>
      <c r="S92" s="21" t="s">
        <v>237</v>
      </c>
      <c r="T92" s="21">
        <v>3206096615</v>
      </c>
      <c r="U92" s="21" t="s">
        <v>238</v>
      </c>
      <c r="V92" s="26" t="e">
        <f>IF(P92=#REF!,"DIPLOMADO EN ATENCION PRE-HOSPITALARIA",IF(P92=#REF!,"ACOMPAÑAMIENTO Y MANEJO DEL DUELO",IF(P92=#REF!,"ATENCION A VICTIMAS DE ATAQUE CON AGENTES QUIMICOS ",IF(P92=#REF!,"PRIMEROS AUXILIOS ",IF(P92=#REF!,"DIPLOMADO DE UNIDAD DE CUIDADOS INTENSIVOS (UCI)",IF(P92=#REF!,"MODELO DE ATENCION PARA EVENTOS EMERGENTES EN SALUD MENTAL (CODIGO VERDE)",IF(P92=#REF!,"HUMANIZACION EN EL SERVICIO DE LA SALUD Y BUENAS PRACTICAS EN PACIENTE ",IF(P92=#REF!,"CLINICA DE HERIDAS ",IF(P92=#REF!,"TOMA DE CITOLOGIA CERVICO VAGINAL ",IF(P92=#REF!,"SOPORTE CARDIOVASCULAR AVANZADO (ACLS) ",IF(P92=#REF!,"CAMILLERO ",IF(P92=#REF!,"TOMA DE MUESTRAS Y LABORATORIO ",IF(P92=#REF!,"SOPORTE VITAL BASICO (BLS)",IF(P92=#REF!,"ATENCION A VICTIMAS DE VIOLENCIA SEXUAL ",IF(P92=#REF!,"PROGRAMADO AMPLIADO DE INMUNIZACION (PAI - COVID 19)",IF(P92=#REF!,"ATENCION INTEGRAL EN ENFERMEDADES PREVALENTES EN PRIMERA INFANCIA (AIEPI)",IF(P92=#REF!,"ADMINISTRACION DE MEDICAMENTOS, INYECTOLOGIA  Y CANALIZACION ",IF(P92=#REF!,"OPERADOR DE VEHICULOS DE EMERGENCIA (OVE)",IF(P92=#REF!,"INSTITUCIONES AMIGAS DE LA MUJER Y LA INFANCIA (IAMI)",IF(P92=#REF!,"CUIDADO DEL DONANTE DE ORGANOS",IF(P92=#REF!,"ATENCION A VICTIMAS POR VIOLENCIA DE GENERO",IF(P92=#REF!,"IGUALDAD DE GENERO EN LA SALUD",IF(P92=#REF!,"BRIGADA DE EMERGENCIA",IF(P92=#REF!,"MANEJO DEL DOLOR Y CUIDADOS PALIATIVOS",IF(P92=#REF!,"TOMA DE MUESTRAS Y LABORATORIO POCT",IF(P92=#REF!,"IMPLANTE SUBDERMICO DE DISPOSITIVO INTRAUTERINO",IF(P92=#REF!,"SALUD MENTAL",IF(P92=#REF!,"PRIMEROS AUXILIOS PSICOLOGICOS",IF(P92=#REF!,"ATENCION A VICTIMAS POR CONFLICTO ARMADO",IF(P92=#REF!,"MANIPULACION DE ALIMENTOS Y BPM",IF(P92=#REF!,"ATENCION A PERSONAS CON DISCAPACIDAD",IF(P92=#REF!,"CUIDADO INTEGRAL DEL PACIENTE ADULTO",IF(P92=#REF!,"MANEJO DEFENSIVO",IF(P92=#REF!,"SOPORTE CARDIOVASCULAR AVANZADO NEONATAL",IF(P92=#REF!,"SEGURIDAD DEL PACIENTE",IF(P92=#REF!,"MANEJO DE RESIDUOS HOSPITALARIOS"))))))))))))))))))))))))))))))))))))</f>
        <v>#REF!</v>
      </c>
      <c r="W92" s="26" t="str">
        <f t="shared" si="3"/>
        <v>Camila Alejandra Obando Rosero</v>
      </c>
      <c r="X92" s="26" t="str">
        <f t="shared" si="4"/>
        <v>Camila Alejandra Obando Rosero</v>
      </c>
      <c r="Y92" s="26" t="str">
        <f t="shared" si="5"/>
        <v>Camila Alejandra Obando Rosero-1085296912-HUMANIZACION</v>
      </c>
      <c r="Z92" s="50"/>
    </row>
    <row r="93" spans="1:26" s="49" customFormat="1" x14ac:dyDescent="0.2">
      <c r="A93" s="20">
        <v>92</v>
      </c>
      <c r="B93" s="21">
        <v>27091459</v>
      </c>
      <c r="C93" s="21" t="s">
        <v>103</v>
      </c>
      <c r="D93" s="21" t="s">
        <v>80</v>
      </c>
      <c r="E93" s="21" t="s">
        <v>239</v>
      </c>
      <c r="F93" s="21" t="s">
        <v>240</v>
      </c>
      <c r="G93" s="21">
        <v>17</v>
      </c>
      <c r="H93" s="21" t="s">
        <v>49</v>
      </c>
      <c r="I93" s="22" t="s">
        <v>377</v>
      </c>
      <c r="J93" s="22"/>
      <c r="K93" s="23">
        <v>45673</v>
      </c>
      <c r="L93" s="42">
        <v>65000</v>
      </c>
      <c r="M93" s="21" t="s">
        <v>79</v>
      </c>
      <c r="N93" s="21" t="s">
        <v>387</v>
      </c>
      <c r="O93" s="48" t="s">
        <v>69</v>
      </c>
      <c r="P93" s="21" t="s">
        <v>19</v>
      </c>
      <c r="Q93" s="22">
        <v>29214</v>
      </c>
      <c r="R93" s="21" t="s">
        <v>71</v>
      </c>
      <c r="S93" s="21" t="s">
        <v>108</v>
      </c>
      <c r="T93" s="21">
        <v>3132772291</v>
      </c>
      <c r="U93" s="21" t="s">
        <v>241</v>
      </c>
      <c r="V93" s="26" t="e">
        <f>IF(P93=#REF!,"DIPLOMADO EN ATENCION PRE-HOSPITALARIA",IF(P93=#REF!,"ACOMPAÑAMIENTO Y MANEJO DEL DUELO",IF(P93=#REF!,"ATENCION A VICTIMAS DE ATAQUE CON AGENTES QUIMICOS ",IF(P93=#REF!,"PRIMEROS AUXILIOS ",IF(P93=#REF!,"DIPLOMADO DE UNIDAD DE CUIDADOS INTENSIVOS (UCI)",IF(P93=#REF!,"MODELO DE ATENCION PARA EVENTOS EMERGENTES EN SALUD MENTAL (CODIGO VERDE)",IF(P93=#REF!,"HUMANIZACION EN EL SERVICIO DE LA SALUD Y BUENAS PRACTICAS EN PACIENTE ",IF(P93=#REF!,"CLINICA DE HERIDAS ",IF(P93=#REF!,"TOMA DE CITOLOGIA CERVICO VAGINAL ",IF(P93=#REF!,"SOPORTE CARDIOVASCULAR AVANZADO (ACLS) ",IF(P93=#REF!,"CAMILLERO ",IF(P93=#REF!,"TOMA DE MUESTRAS Y LABORATORIO ",IF(P93=#REF!,"SOPORTE VITAL BASICO (BLS)",IF(P93=#REF!,"ATENCION A VICTIMAS DE VIOLENCIA SEXUAL ",IF(P93=#REF!,"PROGRAMADO AMPLIADO DE INMUNIZACION (PAI - COVID 19)",IF(P93=#REF!,"ATENCION INTEGRAL EN ENFERMEDADES PREVALENTES EN PRIMERA INFANCIA (AIEPI)",IF(P93=#REF!,"ADMINISTRACION DE MEDICAMENTOS, INYECTOLOGIA  Y CANALIZACION ",IF(P93=#REF!,"OPERADOR DE VEHICULOS DE EMERGENCIA (OVE)",IF(P93=#REF!,"INSTITUCIONES AMIGAS DE LA MUJER Y LA INFANCIA (IAMI)",IF(P93=#REF!,"CUIDADO DEL DONANTE DE ORGANOS",IF(P93=#REF!,"ATENCION A VICTIMAS POR VIOLENCIA DE GENERO",IF(P93=#REF!,"IGUALDAD DE GENERO EN LA SALUD",IF(P93=#REF!,"BRIGADA DE EMERGENCIA",IF(P93=#REF!,"MANEJO DEL DOLOR Y CUIDADOS PALIATIVOS",IF(P93=#REF!,"TOMA DE MUESTRAS Y LABORATORIO POCT",IF(P93=#REF!,"IMPLANTE SUBDERMICO DE DISPOSITIVO INTRAUTERINO",IF(P93=#REF!,"SALUD MENTAL",IF(P93=#REF!,"PRIMEROS AUXILIOS PSICOLOGICOS",IF(P93=#REF!,"ATENCION A VICTIMAS POR CONFLICTO ARMADO",IF(P93=#REF!,"MANIPULACION DE ALIMENTOS Y BPM",IF(P93=#REF!,"ATENCION A PERSONAS CON DISCAPACIDAD",IF(P93=#REF!,"CUIDADO INTEGRAL DEL PACIENTE ADULTO",IF(P93=#REF!,"MANEJO DEFENSIVO",IF(P93=#REF!,"SOPORTE CARDIOVASCULAR AVANZADO NEONATAL",IF(P93=#REF!,"SEGURIDAD DEL PACIENTE",IF(P93=#REF!,"MANEJO DE RESIDUOS HOSPITALARIOS"))))))))))))))))))))))))))))))))))))</f>
        <v>#REF!</v>
      </c>
      <c r="W93" s="26" t="str">
        <f t="shared" si="3"/>
        <v>Martha Yamile Chaves Erazo</v>
      </c>
      <c r="X93" s="26" t="str">
        <f t="shared" si="4"/>
        <v>Martha Yamile Chaves Erazo</v>
      </c>
      <c r="Y93" s="26" t="str">
        <f t="shared" si="5"/>
        <v>Martha Yamile Chaves Erazo-27091459-BLS</v>
      </c>
      <c r="Z93" s="50"/>
    </row>
    <row r="94" spans="1:26" s="49" customFormat="1" x14ac:dyDescent="0.2">
      <c r="A94" s="20">
        <v>93</v>
      </c>
      <c r="B94" s="21">
        <v>1233193812</v>
      </c>
      <c r="C94" s="21" t="s">
        <v>242</v>
      </c>
      <c r="D94" s="21" t="s">
        <v>243</v>
      </c>
      <c r="E94" s="21" t="s">
        <v>244</v>
      </c>
      <c r="F94" s="21" t="s">
        <v>124</v>
      </c>
      <c r="G94" s="21">
        <v>17</v>
      </c>
      <c r="H94" s="21" t="s">
        <v>49</v>
      </c>
      <c r="I94" s="22" t="s">
        <v>377</v>
      </c>
      <c r="J94" s="22"/>
      <c r="K94" s="23">
        <v>45674</v>
      </c>
      <c r="L94" s="24">
        <v>65000</v>
      </c>
      <c r="M94" s="21" t="s">
        <v>133</v>
      </c>
      <c r="N94" s="21" t="s">
        <v>387</v>
      </c>
      <c r="O94" s="21" t="s">
        <v>69</v>
      </c>
      <c r="P94" s="21" t="s">
        <v>19</v>
      </c>
      <c r="Q94" s="22">
        <v>36342</v>
      </c>
      <c r="R94" s="21" t="s">
        <v>71</v>
      </c>
      <c r="S94" s="28" t="s">
        <v>107</v>
      </c>
      <c r="T94" s="21">
        <v>3113855617</v>
      </c>
      <c r="U94" s="21" t="s">
        <v>245</v>
      </c>
      <c r="V94" s="26" t="e">
        <f>IF(P94=#REF!,"DIPLOMADO EN ATENCION PRE-HOSPITALARIA",IF(P94=#REF!,"ACOMPAÑAMIENTO Y MANEJO DEL DUELO",IF(P94=#REF!,"ATENCION A VICTIMAS DE ATAQUE CON AGENTES QUIMICOS ",IF(P94=#REF!,"PRIMEROS AUXILIOS ",IF(P94=#REF!,"DIPLOMADO DE UNIDAD DE CUIDADOS INTENSIVOS (UCI)",IF(P94=#REF!,"MODELO DE ATENCION PARA EVENTOS EMERGENTES EN SALUD MENTAL (CODIGO VERDE)",IF(P94=#REF!,"HUMANIZACION EN EL SERVICIO DE LA SALUD Y BUENAS PRACTICAS EN PACIENTE ",IF(P94=#REF!,"CLINICA DE HERIDAS ",IF(P94=#REF!,"TOMA DE CITOLOGIA CERVICO VAGINAL ",IF(P94=#REF!,"SOPORTE CARDIOVASCULAR AVANZADO (ACLS) ",IF(P94=#REF!,"CAMILLERO ",IF(P94=#REF!,"TOMA DE MUESTRAS Y LABORATORIO ",IF(P94=#REF!,"SOPORTE VITAL BASICO (BLS)",IF(P94=#REF!,"ATENCION A VICTIMAS DE VIOLENCIA SEXUAL ",IF(P94=#REF!,"PROGRAMADO AMPLIADO DE INMUNIZACION (PAI - COVID 19)",IF(P94=#REF!,"ATENCION INTEGRAL EN ENFERMEDADES PREVALENTES EN PRIMERA INFANCIA (AIEPI)",IF(P94=#REF!,"ADMINISTRACION DE MEDICAMENTOS, INYECTOLOGIA  Y CANALIZACION ",IF(P94=#REF!,"OPERADOR DE VEHICULOS DE EMERGENCIA (OVE)",IF(P94=#REF!,"INSTITUCIONES AMIGAS DE LA MUJER Y LA INFANCIA (IAMI)",IF(P94=#REF!,"CUIDADO DEL DONANTE DE ORGANOS",IF(P94=#REF!,"ATENCION A VICTIMAS POR VIOLENCIA DE GENERO",IF(P94=#REF!,"IGUALDAD DE GENERO EN LA SALUD",IF(P94=#REF!,"BRIGADA DE EMERGENCIA",IF(P94=#REF!,"MANEJO DEL DOLOR Y CUIDADOS PALIATIVOS",IF(P94=#REF!,"TOMA DE MUESTRAS Y LABORATORIO POCT",IF(P94=#REF!,"IMPLANTE SUBDERMICO DE DISPOSITIVO INTRAUTERINO",IF(P94=#REF!,"SALUD MENTAL",IF(P94=#REF!,"PRIMEROS AUXILIOS PSICOLOGICOS",IF(P94=#REF!,"ATENCION A VICTIMAS POR CONFLICTO ARMADO",IF(P94=#REF!,"MANIPULACION DE ALIMENTOS Y BPM",IF(P94=#REF!,"ATENCION A PERSONAS CON DISCAPACIDAD",IF(P94=#REF!,"CUIDADO INTEGRAL DEL PACIENTE ADULTO",IF(P94=#REF!,"MANEJO DEFENSIVO",IF(P94=#REF!,"SOPORTE CARDIOVASCULAR AVANZADO NEONATAL",IF(P94=#REF!,"SEGURIDAD DEL PACIENTE",IF(P94=#REF!,"MANEJO DE RESIDUOS HOSPITALARIOS"))))))))))))))))))))))))))))))))))))</f>
        <v>#REF!</v>
      </c>
      <c r="W94" s="26" t="str">
        <f t="shared" si="3"/>
        <v>Yisell Fernanda Santacruz Jurado</v>
      </c>
      <c r="X94" s="26" t="str">
        <f t="shared" si="4"/>
        <v>Yisell Fernanda Santacruz Jurado</v>
      </c>
      <c r="Y94" s="26" t="str">
        <f t="shared" si="5"/>
        <v>Yisell Fernanda Santacruz Jurado-1233193812-BLS</v>
      </c>
      <c r="Z94" s="50"/>
    </row>
    <row r="95" spans="1:26" s="49" customFormat="1" x14ac:dyDescent="0.2">
      <c r="A95" s="20">
        <v>94</v>
      </c>
      <c r="B95" s="21">
        <v>1080690724</v>
      </c>
      <c r="C95" s="21" t="s">
        <v>246</v>
      </c>
      <c r="D95" s="21" t="s">
        <v>247</v>
      </c>
      <c r="E95" s="21" t="s">
        <v>248</v>
      </c>
      <c r="F95" s="21" t="s">
        <v>177</v>
      </c>
      <c r="G95" s="21">
        <v>17</v>
      </c>
      <c r="H95" s="21" t="s">
        <v>49</v>
      </c>
      <c r="I95" s="22" t="s">
        <v>377</v>
      </c>
      <c r="J95" s="22"/>
      <c r="K95" s="23">
        <v>45674</v>
      </c>
      <c r="L95" s="42">
        <v>65000</v>
      </c>
      <c r="M95" s="21" t="s">
        <v>79</v>
      </c>
      <c r="N95" s="21" t="s">
        <v>387</v>
      </c>
      <c r="O95" s="21" t="s">
        <v>69</v>
      </c>
      <c r="P95" s="21" t="s">
        <v>26</v>
      </c>
      <c r="Q95" s="22">
        <v>38204</v>
      </c>
      <c r="R95" s="21" t="s">
        <v>71</v>
      </c>
      <c r="S95" s="28" t="s">
        <v>107</v>
      </c>
      <c r="T95" s="21">
        <v>3106631964</v>
      </c>
      <c r="U95" s="21" t="s">
        <v>249</v>
      </c>
      <c r="V95" s="26" t="e">
        <f>IF(P95=#REF!,"DIPLOMADO EN ATENCION PRE-HOSPITALARIA",IF(P95=#REF!,"ACOMPAÑAMIENTO Y MANEJO DEL DUELO",IF(P95=#REF!,"ATENCION A VICTIMAS DE ATAQUE CON AGENTES QUIMICOS ",IF(P95=#REF!,"PRIMEROS AUXILIOS ",IF(P95=#REF!,"DIPLOMADO DE UNIDAD DE CUIDADOS INTENSIVOS (UCI)",IF(P95=#REF!,"MODELO DE ATENCION PARA EVENTOS EMERGENTES EN SALUD MENTAL (CODIGO VERDE)",IF(P95=#REF!,"HUMANIZACION EN EL SERVICIO DE LA SALUD Y BUENAS PRACTICAS EN PACIENTE ",IF(P95=#REF!,"CLINICA DE HERIDAS ",IF(P95=#REF!,"TOMA DE CITOLOGIA CERVICO VAGINAL ",IF(P95=#REF!,"SOPORTE CARDIOVASCULAR AVANZADO (ACLS) ",IF(P95=#REF!,"CAMILLERO ",IF(P95=#REF!,"TOMA DE MUESTRAS Y LABORATORIO ",IF(P95=#REF!,"SOPORTE VITAL BASICO (BLS)",IF(P95=#REF!,"ATENCION A VICTIMAS DE VIOLENCIA SEXUAL ",IF(P95=#REF!,"PROGRAMADO AMPLIADO DE INMUNIZACION (PAI - COVID 19)",IF(P95=#REF!,"ATENCION INTEGRAL EN ENFERMEDADES PREVALENTES EN PRIMERA INFANCIA (AIEPI)",IF(P95=#REF!,"ADMINISTRACION DE MEDICAMENTOS, INYECTOLOGIA  Y CANALIZACION ",IF(P95=#REF!,"OPERADOR DE VEHICULOS DE EMERGENCIA (OVE)",IF(P95=#REF!,"INSTITUCIONES AMIGAS DE LA MUJER Y LA INFANCIA (IAMI)",IF(P95=#REF!,"CUIDADO DEL DONANTE DE ORGANOS",IF(P95=#REF!,"ATENCION A VICTIMAS POR VIOLENCIA DE GENERO",IF(P95=#REF!,"IGUALDAD DE GENERO EN LA SALUD",IF(P95=#REF!,"BRIGADA DE EMERGENCIA",IF(P95=#REF!,"MANEJO DEL DOLOR Y CUIDADOS PALIATIVOS",IF(P95=#REF!,"TOMA DE MUESTRAS Y LABORATORIO POCT",IF(P95=#REF!,"IMPLANTE SUBDERMICO DE DISPOSITIVO INTRAUTERINO",IF(P95=#REF!,"SALUD MENTAL",IF(P95=#REF!,"PRIMEROS AUXILIOS PSICOLOGICOS",IF(P95=#REF!,"ATENCION A VICTIMAS POR CONFLICTO ARMADO",IF(P95=#REF!,"MANIPULACION DE ALIMENTOS Y BPM",IF(P95=#REF!,"ATENCION A PERSONAS CON DISCAPACIDAD",IF(P95=#REF!,"CUIDADO INTEGRAL DEL PACIENTE ADULTO",IF(P95=#REF!,"MANEJO DEFENSIVO",IF(P95=#REF!,"SOPORTE CARDIOVASCULAR AVANZADO NEONATAL",IF(P95=#REF!,"SEGURIDAD DEL PACIENTE",IF(P95=#REF!,"MANEJO DE RESIDUOS HOSPITALARIOS"))))))))))))))))))))))))))))))))))))</f>
        <v>#REF!</v>
      </c>
      <c r="W95" s="26" t="str">
        <f t="shared" si="3"/>
        <v>Angi Sofia Pinta Meneses</v>
      </c>
      <c r="X95" s="26" t="str">
        <f t="shared" si="4"/>
        <v>Angi Sofia Pinta Meneses</v>
      </c>
      <c r="Y95" s="26" t="str">
        <f t="shared" si="5"/>
        <v>Angi Sofia Pinta Meneses-1080690724-TOMA DE MUESTRAS</v>
      </c>
      <c r="Z95" s="50"/>
    </row>
    <row r="96" spans="1:26" s="6" customFormat="1" x14ac:dyDescent="0.2">
      <c r="A96" s="20">
        <v>95</v>
      </c>
      <c r="B96" s="21">
        <v>27091459</v>
      </c>
      <c r="C96" s="21" t="s">
        <v>103</v>
      </c>
      <c r="D96" s="21" t="s">
        <v>80</v>
      </c>
      <c r="E96" s="21" t="s">
        <v>239</v>
      </c>
      <c r="F96" s="21" t="s">
        <v>240</v>
      </c>
      <c r="G96" s="21">
        <v>16</v>
      </c>
      <c r="H96" s="21" t="s">
        <v>49</v>
      </c>
      <c r="I96" s="22" t="s">
        <v>377</v>
      </c>
      <c r="J96" s="22"/>
      <c r="K96" s="23">
        <v>45673</v>
      </c>
      <c r="L96" s="42">
        <v>65000</v>
      </c>
      <c r="M96" s="21" t="s">
        <v>79</v>
      </c>
      <c r="N96" s="21" t="s">
        <v>387</v>
      </c>
      <c r="O96" s="48" t="s">
        <v>69</v>
      </c>
      <c r="P96" s="21" t="s">
        <v>27</v>
      </c>
      <c r="Q96" s="22">
        <v>29214</v>
      </c>
      <c r="R96" s="21" t="s">
        <v>71</v>
      </c>
      <c r="S96" s="21" t="s">
        <v>108</v>
      </c>
      <c r="T96" s="21">
        <v>3132772291</v>
      </c>
      <c r="U96" s="21" t="s">
        <v>241</v>
      </c>
      <c r="V96" s="26" t="e">
        <f>IF(P96=#REF!,"DIPLOMADO EN ATENCION PRE-HOSPITALARIA",IF(P96=#REF!,"ACOMPAÑAMIENTO Y MANEJO DEL DUELO",IF(P96=#REF!,"ATENCION A VICTIMAS DE ATAQUE CON AGENTES QUIMICOS ",IF(P96=#REF!,"PRIMEROS AUXILIOS ",IF(P96=#REF!,"DIPLOMADO DE UNIDAD DE CUIDADOS INTENSIVOS (UCI)",IF(P96=#REF!,"MODELO DE ATENCION PARA EVENTOS EMERGENTES EN SALUD MENTAL (CODIGO VERDE)",IF(P96=#REF!,"HUMANIZACION EN EL SERVICIO DE LA SALUD Y BUENAS PRACTICAS EN PACIENTE ",IF(P96=#REF!,"CLINICA DE HERIDAS ",IF(P96=#REF!,"TOMA DE CITOLOGIA CERVICO VAGINAL ",IF(P96=#REF!,"SOPORTE CARDIOVASCULAR AVANZADO (ACLS) ",IF(P96=#REF!,"CAMILLERO ",IF(P96=#REF!,"TOMA DE MUESTRAS Y LABORATORIO ",IF(P96=#REF!,"SOPORTE VITAL BASICO (BLS)",IF(P96=#REF!,"ATENCION A VICTIMAS DE VIOLENCIA SEXUAL ",IF(P96=#REF!,"PROGRAMADO AMPLIADO DE INMUNIZACION (PAI - COVID 19)",IF(P96=#REF!,"ATENCION INTEGRAL EN ENFERMEDADES PREVALENTES EN PRIMERA INFANCIA (AIEPI)",IF(P96=#REF!,"ADMINISTRACION DE MEDICAMENTOS, INYECTOLOGIA  Y CANALIZACION ",IF(P96=#REF!,"OPERADOR DE VEHICULOS DE EMERGENCIA (OVE)",IF(P96=#REF!,"INSTITUCIONES AMIGAS DE LA MUJER Y LA INFANCIA (IAMI)",IF(P96=#REF!,"CUIDADO DEL DONANTE DE ORGANOS",IF(P96=#REF!,"ATENCION A VICTIMAS POR VIOLENCIA DE GENERO",IF(P96=#REF!,"IGUALDAD DE GENERO EN LA SALUD",IF(P96=#REF!,"BRIGADA DE EMERGENCIA",IF(P96=#REF!,"MANEJO DEL DOLOR Y CUIDADOS PALIATIVOS",IF(P96=#REF!,"TOMA DE MUESTRAS Y LABORATORIO POCT",IF(P96=#REF!,"IMPLANTE SUBDERMICO DE DISPOSITIVO INTRAUTERINO",IF(P96=#REF!,"SALUD MENTAL",IF(P96=#REF!,"PRIMEROS AUXILIOS PSICOLOGICOS",IF(P96=#REF!,"ATENCION A VICTIMAS POR CONFLICTO ARMADO",IF(P96=#REF!,"MANIPULACION DE ALIMENTOS Y BPM",IF(P96=#REF!,"ATENCION A PERSONAS CON DISCAPACIDAD",IF(P96=#REF!,"CUIDADO INTEGRAL DEL PACIENTE ADULTO",IF(P96=#REF!,"MANEJO DEFENSIVO",IF(P96=#REF!,"SOPORTE CARDIOVASCULAR AVANZADO NEONATAL",IF(P96=#REF!,"SEGURIDAD DEL PACIENTE",IF(P96=#REF!,"MANEJO DE RESIDUOS HOSPITALARIOS"))))))))))))))))))))))))))))))))))))</f>
        <v>#REF!</v>
      </c>
      <c r="W96" s="26" t="str">
        <f t="shared" si="3"/>
        <v>Martha Yamile Chaves Erazo</v>
      </c>
      <c r="X96" s="26" t="str">
        <f t="shared" si="4"/>
        <v>Martha Yamile Chaves Erazo</v>
      </c>
      <c r="Y96" s="26" t="str">
        <f t="shared" si="5"/>
        <v>Martha Yamile Chaves Erazo-27091459-VIOLENCIA SEXUAL</v>
      </c>
    </row>
    <row r="97" spans="1:26" s="6" customFormat="1" x14ac:dyDescent="0.2">
      <c r="A97" s="36">
        <v>96</v>
      </c>
      <c r="B97" s="37">
        <v>27091459</v>
      </c>
      <c r="C97" s="37" t="s">
        <v>103</v>
      </c>
      <c r="D97" s="37" t="s">
        <v>80</v>
      </c>
      <c r="E97" s="37" t="s">
        <v>239</v>
      </c>
      <c r="F97" s="37" t="s">
        <v>240</v>
      </c>
      <c r="G97" s="37">
        <v>16</v>
      </c>
      <c r="H97" s="37" t="s">
        <v>49</v>
      </c>
      <c r="I97" s="38" t="s">
        <v>377</v>
      </c>
      <c r="J97" s="38"/>
      <c r="K97" s="39">
        <v>45673</v>
      </c>
      <c r="L97" s="44">
        <v>65000</v>
      </c>
      <c r="M97" s="37" t="s">
        <v>79</v>
      </c>
      <c r="N97" s="37" t="s">
        <v>387</v>
      </c>
      <c r="O97" s="51" t="s">
        <v>69</v>
      </c>
      <c r="P97" s="37" t="s">
        <v>21</v>
      </c>
      <c r="Q97" s="38">
        <v>29214</v>
      </c>
      <c r="R97" s="37" t="s">
        <v>71</v>
      </c>
      <c r="S97" s="37" t="s">
        <v>108</v>
      </c>
      <c r="T97" s="37">
        <v>3132772291</v>
      </c>
      <c r="U97" s="37" t="s">
        <v>241</v>
      </c>
      <c r="V97" s="41" t="e">
        <f>IF(P97=#REF!,"DIPLOMADO EN ATENCION PRE-HOSPITALARIA",IF(P97=#REF!,"ACOMPAÑAMIENTO Y MANEJO DEL DUELO",IF(P97=#REF!,"ATENCION A VICTIMAS DE ATAQUE CON AGENTES QUIMICOS ",IF(P97=#REF!,"PRIMEROS AUXILIOS ",IF(P97=#REF!,"DIPLOMADO DE UNIDAD DE CUIDADOS INTENSIVOS (UCI)",IF(P97=#REF!,"MODELO DE ATENCION PARA EVENTOS EMERGENTES EN SALUD MENTAL (CODIGO VERDE)",IF(P97=#REF!,"HUMANIZACION EN EL SERVICIO DE LA SALUD Y BUENAS PRACTICAS EN PACIENTE ",IF(P97=#REF!,"CLINICA DE HERIDAS ",IF(P97=#REF!,"TOMA DE CITOLOGIA CERVICO VAGINAL ",IF(P97=#REF!,"SOPORTE CARDIOVASCULAR AVANZADO (ACLS) ",IF(P97=#REF!,"CAMILLERO ",IF(P97=#REF!,"TOMA DE MUESTRAS Y LABORATORIO ",IF(P97=#REF!,"SOPORTE VITAL BASICO (BLS)",IF(P97=#REF!,"ATENCION A VICTIMAS DE VIOLENCIA SEXUAL ",IF(P97=#REF!,"PROGRAMADO AMPLIADO DE INMUNIZACION (PAI - COVID 19)",IF(P97=#REF!,"ATENCION INTEGRAL EN ENFERMEDADES PREVALENTES EN PRIMERA INFANCIA (AIEPI)",IF(P97=#REF!,"ADMINISTRACION DE MEDICAMENTOS, INYECTOLOGIA  Y CANALIZACION ",IF(P97=#REF!,"OPERADOR DE VEHICULOS DE EMERGENCIA (OVE)",IF(P97=#REF!,"INSTITUCIONES AMIGAS DE LA MUJER Y LA INFANCIA (IAMI)",IF(P97=#REF!,"CUIDADO DEL DONANTE DE ORGANOS",IF(P97=#REF!,"ATENCION A VICTIMAS POR VIOLENCIA DE GENERO",IF(P97=#REF!,"IGUALDAD DE GENERO EN LA SALUD",IF(P97=#REF!,"BRIGADA DE EMERGENCIA",IF(P97=#REF!,"MANEJO DEL DOLOR Y CUIDADOS PALIATIVOS",IF(P97=#REF!,"TOMA DE MUESTRAS Y LABORATORIO POCT",IF(P97=#REF!,"IMPLANTE SUBDERMICO DE DISPOSITIVO INTRAUTERINO",IF(P97=#REF!,"SALUD MENTAL",IF(P97=#REF!,"PRIMEROS AUXILIOS PSICOLOGICOS",IF(P97=#REF!,"ATENCION A VICTIMAS POR CONFLICTO ARMADO",IF(P97=#REF!,"MANIPULACION DE ALIMENTOS Y BPM",IF(P97=#REF!,"ATENCION A PERSONAS CON DISCAPACIDAD",IF(P97=#REF!,"CUIDADO INTEGRAL DEL PACIENTE ADULTO",IF(P97=#REF!,"MANEJO DEFENSIVO",IF(P97=#REF!,"SOPORTE CARDIOVASCULAR AVANZADO NEONATAL",IF(P97=#REF!,"SEGURIDAD DEL PACIENTE",IF(P97=#REF!,"MANEJO DE RESIDUOS HOSPITALARIOS"))))))))))))))))))))))))))))))))))))</f>
        <v>#REF!</v>
      </c>
      <c r="W97" s="41" t="str">
        <f t="shared" si="3"/>
        <v>Martha Yamile Chaves Erazo</v>
      </c>
      <c r="X97" s="41" t="str">
        <f t="shared" si="4"/>
        <v>Martha Yamile Chaves Erazo</v>
      </c>
      <c r="Y97" s="41" t="str">
        <f t="shared" si="5"/>
        <v>Martha Yamile Chaves Erazo-27091459-QUIMICOS</v>
      </c>
    </row>
    <row r="98" spans="1:26" s="49" customFormat="1" x14ac:dyDescent="0.2">
      <c r="A98" s="20">
        <v>97</v>
      </c>
      <c r="B98" s="21">
        <v>27091459</v>
      </c>
      <c r="C98" s="21" t="s">
        <v>103</v>
      </c>
      <c r="D98" s="21" t="s">
        <v>80</v>
      </c>
      <c r="E98" s="21" t="s">
        <v>239</v>
      </c>
      <c r="F98" s="21" t="s">
        <v>240</v>
      </c>
      <c r="G98" s="21">
        <v>17</v>
      </c>
      <c r="H98" s="21" t="s">
        <v>49</v>
      </c>
      <c r="I98" s="22" t="s">
        <v>377</v>
      </c>
      <c r="J98" s="22"/>
      <c r="K98" s="23">
        <v>45673</v>
      </c>
      <c r="L98" s="42">
        <v>65000</v>
      </c>
      <c r="M98" s="21" t="s">
        <v>79</v>
      </c>
      <c r="N98" s="21" t="s">
        <v>387</v>
      </c>
      <c r="O98" s="48" t="s">
        <v>69</v>
      </c>
      <c r="P98" s="21" t="s">
        <v>23</v>
      </c>
      <c r="Q98" s="22">
        <v>29214</v>
      </c>
      <c r="R98" s="21" t="s">
        <v>71</v>
      </c>
      <c r="S98" s="21" t="s">
        <v>108</v>
      </c>
      <c r="T98" s="21">
        <v>3132772291</v>
      </c>
      <c r="U98" s="21" t="s">
        <v>241</v>
      </c>
      <c r="V98" s="26" t="e">
        <f>IF(P98=#REF!,"DIPLOMADO EN ATENCION PRE-HOSPITALARIA",IF(P98=#REF!,"ACOMPAÑAMIENTO Y MANEJO DEL DUELO",IF(P98=#REF!,"ATENCION A VICTIMAS DE ATAQUE CON AGENTES QUIMICOS ",IF(P98=#REF!,"PRIMEROS AUXILIOS ",IF(P98=#REF!,"DIPLOMADO DE UNIDAD DE CUIDADOS INTENSIVOS (UCI)",IF(P98=#REF!,"MODELO DE ATENCION PARA EVENTOS EMERGENTES EN SALUD MENTAL (CODIGO VERDE)",IF(P98=#REF!,"HUMANIZACION EN EL SERVICIO DE LA SALUD Y BUENAS PRACTICAS EN PACIENTE ",IF(P98=#REF!,"CLINICA DE HERIDAS ",IF(P98=#REF!,"TOMA DE CITOLOGIA CERVICO VAGINAL ",IF(P98=#REF!,"SOPORTE CARDIOVASCULAR AVANZADO (ACLS) ",IF(P98=#REF!,"CAMILLERO ",IF(P98=#REF!,"TOMA DE MUESTRAS Y LABORATORIO ",IF(P98=#REF!,"SOPORTE VITAL BASICO (BLS)",IF(P98=#REF!,"ATENCION A VICTIMAS DE VIOLENCIA SEXUAL ",IF(P98=#REF!,"PROGRAMADO AMPLIADO DE INMUNIZACION (PAI - COVID 19)",IF(P98=#REF!,"ATENCION INTEGRAL EN ENFERMEDADES PREVALENTES EN PRIMERA INFANCIA (AIEPI)",IF(P98=#REF!,"ADMINISTRACION DE MEDICAMENTOS, INYECTOLOGIA  Y CANALIZACION ",IF(P98=#REF!,"OPERADOR DE VEHICULOS DE EMERGENCIA (OVE)",IF(P98=#REF!,"INSTITUCIONES AMIGAS DE LA MUJER Y LA INFANCIA (IAMI)",IF(P98=#REF!,"CUIDADO DEL DONANTE DE ORGANOS",IF(P98=#REF!,"ATENCION A VICTIMAS POR VIOLENCIA DE GENERO",IF(P98=#REF!,"IGUALDAD DE GENERO EN LA SALUD",IF(P98=#REF!,"BRIGADA DE EMERGENCIA",IF(P98=#REF!,"MANEJO DEL DOLOR Y CUIDADOS PALIATIVOS",IF(P98=#REF!,"TOMA DE MUESTRAS Y LABORATORIO POCT",IF(P98=#REF!,"IMPLANTE SUBDERMICO DE DISPOSITIVO INTRAUTERINO",IF(P98=#REF!,"SALUD MENTAL",IF(P98=#REF!,"PRIMEROS AUXILIOS PSICOLOGICOS",IF(P98=#REF!,"ATENCION A VICTIMAS POR CONFLICTO ARMADO",IF(P98=#REF!,"MANIPULACION DE ALIMENTOS Y BPM",IF(P98=#REF!,"ATENCION A PERSONAS CON DISCAPACIDAD",IF(P98=#REF!,"CUIDADO INTEGRAL DEL PACIENTE ADULTO",IF(P98=#REF!,"MANEJO DEFENSIVO",IF(P98=#REF!,"SOPORTE CARDIOVASCULAR AVANZADO NEONATAL",IF(P98=#REF!,"SEGURIDAD DEL PACIENTE",IF(P98=#REF!,"MANEJO DE RESIDUOS HOSPITALARIOS"))))))))))))))))))))))))))))))))))))</f>
        <v>#REF!</v>
      </c>
      <c r="W98" s="26" t="str">
        <f t="shared" si="3"/>
        <v>Martha Yamile Chaves Erazo</v>
      </c>
      <c r="X98" s="26" t="str">
        <f t="shared" si="4"/>
        <v>Martha Yamile Chaves Erazo</v>
      </c>
      <c r="Y98" s="26" t="str">
        <f t="shared" si="5"/>
        <v>Martha Yamile Chaves Erazo-27091459-HUMANIZACION</v>
      </c>
    </row>
    <row r="99" spans="1:26" s="49" customFormat="1" x14ac:dyDescent="0.2">
      <c r="A99" s="20">
        <v>98</v>
      </c>
      <c r="B99" s="21">
        <v>1085325690</v>
      </c>
      <c r="C99" s="21" t="s">
        <v>250</v>
      </c>
      <c r="D99" s="21" t="s">
        <v>251</v>
      </c>
      <c r="E99" s="21" t="s">
        <v>183</v>
      </c>
      <c r="F99" s="21" t="s">
        <v>166</v>
      </c>
      <c r="G99" s="21">
        <v>17</v>
      </c>
      <c r="H99" s="21" t="s">
        <v>49</v>
      </c>
      <c r="I99" s="22" t="s">
        <v>377</v>
      </c>
      <c r="J99" s="22"/>
      <c r="K99" s="23" t="s">
        <v>253</v>
      </c>
      <c r="L99" s="42">
        <v>65000</v>
      </c>
      <c r="M99" s="21" t="s">
        <v>79</v>
      </c>
      <c r="N99" s="21" t="s">
        <v>387</v>
      </c>
      <c r="O99" s="48" t="s">
        <v>69</v>
      </c>
      <c r="P99" s="21" t="s">
        <v>29</v>
      </c>
      <c r="Q99" s="22">
        <v>34984</v>
      </c>
      <c r="R99" s="21" t="s">
        <v>71</v>
      </c>
      <c r="S99" s="21" t="s">
        <v>107</v>
      </c>
      <c r="T99" s="21">
        <v>3225286023</v>
      </c>
      <c r="U99" s="21" t="s">
        <v>252</v>
      </c>
      <c r="V99" s="26" t="e">
        <f>IF(P99=#REF!,"DIPLOMADO EN ATENCION PRE-HOSPITALARIA",IF(P99=#REF!,"ACOMPAÑAMIENTO Y MANEJO DEL DUELO",IF(P99=#REF!,"ATENCION A VICTIMAS DE ATAQUE CON AGENTES QUIMICOS ",IF(P99=#REF!,"PRIMEROS AUXILIOS ",IF(P99=#REF!,"DIPLOMADO DE UNIDAD DE CUIDADOS INTENSIVOS (UCI)",IF(P99=#REF!,"MODELO DE ATENCION PARA EVENTOS EMERGENTES EN SALUD MENTAL (CODIGO VERDE)",IF(P99=#REF!,"HUMANIZACION EN EL SERVICIO DE LA SALUD Y BUENAS PRACTICAS EN PACIENTE ",IF(P99=#REF!,"CLINICA DE HERIDAS ",IF(P99=#REF!,"TOMA DE CITOLOGIA CERVICO VAGINAL ",IF(P99=#REF!,"SOPORTE CARDIOVASCULAR AVANZADO (ACLS) ",IF(P99=#REF!,"CAMILLERO ",IF(P99=#REF!,"TOMA DE MUESTRAS Y LABORATORIO ",IF(P99=#REF!,"SOPORTE VITAL BASICO (BLS)",IF(P99=#REF!,"ATENCION A VICTIMAS DE VIOLENCIA SEXUAL ",IF(P99=#REF!,"PROGRAMADO AMPLIADO DE INMUNIZACION (PAI - COVID 19)",IF(P99=#REF!,"ATENCION INTEGRAL EN ENFERMEDADES PREVALENTES EN PRIMERA INFANCIA (AIEPI)",IF(P99=#REF!,"ADMINISTRACION DE MEDICAMENTOS, INYECTOLOGIA  Y CANALIZACION ",IF(P99=#REF!,"OPERADOR DE VEHICULOS DE EMERGENCIA (OVE)",IF(P99=#REF!,"INSTITUCIONES AMIGAS DE LA MUJER Y LA INFANCIA (IAMI)",IF(P99=#REF!,"CUIDADO DEL DONANTE DE ORGANOS",IF(P99=#REF!,"ATENCION A VICTIMAS POR VIOLENCIA DE GENERO",IF(P99=#REF!,"IGUALDAD DE GENERO EN LA SALUD",IF(P99=#REF!,"BRIGADA DE EMERGENCIA",IF(P99=#REF!,"MANEJO DEL DOLOR Y CUIDADOS PALIATIVOS",IF(P99=#REF!,"TOMA DE MUESTRAS Y LABORATORIO POCT",IF(P99=#REF!,"IMPLANTE SUBDERMICO DE DISPOSITIVO INTRAUTERINO",IF(P99=#REF!,"SALUD MENTAL",IF(P99=#REF!,"PRIMEROS AUXILIOS PSICOLOGICOS",IF(P99=#REF!,"ATENCION A VICTIMAS POR CONFLICTO ARMADO",IF(P99=#REF!,"MANIPULACION DE ALIMENTOS Y BPM",IF(P99=#REF!,"ATENCION A PERSONAS CON DISCAPACIDAD",IF(P99=#REF!,"CUIDADO INTEGRAL DEL PACIENTE ADULTO",IF(P99=#REF!,"MANEJO DEFENSIVO",IF(P99=#REF!,"SOPORTE CARDIOVASCULAR AVANZADO NEONATAL",IF(P99=#REF!,"SEGURIDAD DEL PACIENTE",IF(P99=#REF!,"MANEJO DE RESIDUOS HOSPITALARIOS"))))))))))))))))))))))))))))))))))))</f>
        <v>#REF!</v>
      </c>
      <c r="W99" s="26" t="str">
        <f t="shared" si="3"/>
        <v>Maria Alejandra Fuelantala Chasoy</v>
      </c>
      <c r="X99" s="26" t="str">
        <f t="shared" si="4"/>
        <v>Maria Alejandra Fuelantala Chasoy</v>
      </c>
      <c r="Y99" s="26" t="str">
        <f t="shared" si="5"/>
        <v>Maria Alejandra Fuelantala Chasoy-1085325690-ADMON DE MEDICAMENTOS</v>
      </c>
    </row>
    <row r="100" spans="1:26" s="49" customFormat="1" x14ac:dyDescent="0.2">
      <c r="A100" s="20">
        <v>99</v>
      </c>
      <c r="B100" s="21">
        <v>1085300415</v>
      </c>
      <c r="C100" s="21" t="s">
        <v>232</v>
      </c>
      <c r="D100" s="21" t="s">
        <v>254</v>
      </c>
      <c r="E100" s="21" t="s">
        <v>183</v>
      </c>
      <c r="F100" s="21" t="s">
        <v>166</v>
      </c>
      <c r="G100" s="21">
        <v>17</v>
      </c>
      <c r="H100" s="21" t="s">
        <v>49</v>
      </c>
      <c r="I100" s="22" t="s">
        <v>377</v>
      </c>
      <c r="J100" s="22"/>
      <c r="K100" s="23" t="s">
        <v>285</v>
      </c>
      <c r="L100" s="42">
        <v>65000</v>
      </c>
      <c r="M100" s="21" t="s">
        <v>206</v>
      </c>
      <c r="N100" s="21" t="s">
        <v>387</v>
      </c>
      <c r="O100" s="48" t="s">
        <v>69</v>
      </c>
      <c r="P100" s="48" t="s">
        <v>21</v>
      </c>
      <c r="Q100" s="22">
        <v>33896</v>
      </c>
      <c r="R100" s="21" t="s">
        <v>71</v>
      </c>
      <c r="S100" s="25" t="s">
        <v>83</v>
      </c>
      <c r="T100" s="21">
        <v>3016590132</v>
      </c>
      <c r="U100" s="21" t="s">
        <v>255</v>
      </c>
      <c r="V100" s="26" t="e">
        <f>IF(P100=#REF!,"DIPLOMADO EN ATENCION PRE-HOSPITALARIA",IF(P100=#REF!,"ACOMPAÑAMIENTO Y MANEJO DEL DUELO",IF(P100=#REF!,"ATENCION A VICTIMAS DE ATAQUE CON AGENTES QUIMICOS ",IF(P100=#REF!,"PRIMEROS AUXILIOS ",IF(P100=#REF!,"DIPLOMADO DE UNIDAD DE CUIDADOS INTENSIVOS (UCI)",IF(P100=#REF!,"MODELO DE ATENCION PARA EVENTOS EMERGENTES EN SALUD MENTAL (CODIGO VERDE)",IF(P100=#REF!,"HUMANIZACION EN EL SERVICIO DE LA SALUD Y BUENAS PRACTICAS EN PACIENTE ",IF(P100=#REF!,"CLINICA DE HERIDAS ",IF(P100=#REF!,"TOMA DE CITOLOGIA CERVICO VAGINAL ",IF(P100=#REF!,"SOPORTE CARDIOVASCULAR AVANZADO (ACLS) ",IF(P100=#REF!,"CAMILLERO ",IF(P100=#REF!,"TOMA DE MUESTRAS Y LABORATORIO ",IF(P100=#REF!,"SOPORTE VITAL BASICO (BLS)",IF(P100=#REF!,"ATENCION A VICTIMAS DE VIOLENCIA SEXUAL ",IF(P100=#REF!,"PROGRAMADO AMPLIADO DE INMUNIZACION (PAI - COVID 19)",IF(P100=#REF!,"ATENCION INTEGRAL EN ENFERMEDADES PREVALENTES EN PRIMERA INFANCIA (AIEPI)",IF(P100=#REF!,"ADMINISTRACION DE MEDICAMENTOS, INYECTOLOGIA  Y CANALIZACION ",IF(P100=#REF!,"OPERADOR DE VEHICULOS DE EMERGENCIA (OVE)",IF(P100=#REF!,"INSTITUCIONES AMIGAS DE LA MUJER Y LA INFANCIA (IAMI)",IF(P100=#REF!,"CUIDADO DEL DONANTE DE ORGANOS",IF(P100=#REF!,"ATENCION A VICTIMAS POR VIOLENCIA DE GENERO",IF(P100=#REF!,"IGUALDAD DE GENERO EN LA SALUD",IF(P100=#REF!,"BRIGADA DE EMERGENCIA",IF(P100=#REF!,"MANEJO DEL DOLOR Y CUIDADOS PALIATIVOS",IF(P100=#REF!,"TOMA DE MUESTRAS Y LABORATORIO POCT",IF(P100=#REF!,"IMPLANTE SUBDERMICO DE DISPOSITIVO INTRAUTERINO",IF(P100=#REF!,"SALUD MENTAL",IF(P100=#REF!,"PRIMEROS AUXILIOS PSICOLOGICOS",IF(P100=#REF!,"ATENCION A VICTIMAS POR CONFLICTO ARMADO",IF(P100=#REF!,"MANIPULACION DE ALIMENTOS Y BPM",IF(P100=#REF!,"ATENCION A PERSONAS CON DISCAPACIDAD",IF(P100=#REF!,"CUIDADO INTEGRAL DEL PACIENTE ADULTO",IF(P100=#REF!,"MANEJO DEFENSIVO",IF(P100=#REF!,"SOPORTE CARDIOVASCULAR AVANZADO NEONATAL",IF(P100=#REF!,"SEGURIDAD DEL PACIENTE",IF(P100=#REF!,"MANEJO DE RESIDUOS HOSPITALARIOS"))))))))))))))))))))))))))))))))))))</f>
        <v>#REF!</v>
      </c>
      <c r="W100" s="26" t="str">
        <f t="shared" si="3"/>
        <v>Maria Alejandra Coral Manzano</v>
      </c>
      <c r="X100" s="26" t="str">
        <f t="shared" si="4"/>
        <v>Maria Alejandra Coral Manzano</v>
      </c>
      <c r="Y100" s="26" t="str">
        <f t="shared" si="5"/>
        <v>Maria Alejandra Coral Manzano-1085300415-QUIMICOS</v>
      </c>
    </row>
    <row r="101" spans="1:26" s="49" customFormat="1" x14ac:dyDescent="0.2">
      <c r="A101" s="20">
        <v>100</v>
      </c>
      <c r="B101" s="21">
        <v>1085301731</v>
      </c>
      <c r="C101" s="21" t="s">
        <v>256</v>
      </c>
      <c r="D101" s="21" t="s">
        <v>257</v>
      </c>
      <c r="E101" s="21" t="s">
        <v>183</v>
      </c>
      <c r="F101" s="21" t="s">
        <v>203</v>
      </c>
      <c r="G101" s="21">
        <v>17</v>
      </c>
      <c r="H101" s="21" t="s">
        <v>49</v>
      </c>
      <c r="I101" s="22" t="s">
        <v>377</v>
      </c>
      <c r="J101" s="22"/>
      <c r="K101" s="23" t="s">
        <v>259</v>
      </c>
      <c r="L101" s="24">
        <v>65000</v>
      </c>
      <c r="M101" s="21" t="s">
        <v>180</v>
      </c>
      <c r="N101" s="21" t="s">
        <v>387</v>
      </c>
      <c r="O101" s="21" t="s">
        <v>69</v>
      </c>
      <c r="P101" s="21" t="s">
        <v>29</v>
      </c>
      <c r="Q101" s="22">
        <v>33948</v>
      </c>
      <c r="R101" s="21" t="s">
        <v>71</v>
      </c>
      <c r="S101" s="21" t="s">
        <v>107</v>
      </c>
      <c r="T101" s="21">
        <v>3188002744</v>
      </c>
      <c r="U101" s="25" t="s">
        <v>258</v>
      </c>
      <c r="V101" s="26" t="e">
        <f>IF(P101=#REF!,"DIPLOMADO EN ATENCION PRE-HOSPITALARIA",IF(P101=#REF!,"ACOMPAÑAMIENTO Y MANEJO DEL DUELO",IF(P101=#REF!,"ATENCION A VICTIMAS DE ATAQUE CON AGENTES QUIMICOS ",IF(P101=#REF!,"PRIMEROS AUXILIOS ",IF(P101=#REF!,"DIPLOMADO DE UNIDAD DE CUIDADOS INTENSIVOS (UCI)",IF(P101=#REF!,"MODELO DE ATENCION PARA EVENTOS EMERGENTES EN SALUD MENTAL (CODIGO VERDE)",IF(P101=#REF!,"HUMANIZACION EN EL SERVICIO DE LA SALUD Y BUENAS PRACTICAS EN PACIENTE ",IF(P101=#REF!,"CLINICA DE HERIDAS ",IF(P101=#REF!,"TOMA DE CITOLOGIA CERVICO VAGINAL ",IF(P101=#REF!,"SOPORTE CARDIOVASCULAR AVANZADO (ACLS) ",IF(P101=#REF!,"CAMILLERO ",IF(P101=#REF!,"TOMA DE MUESTRAS Y LABORATORIO ",IF(P101=#REF!,"SOPORTE VITAL BASICO (BLS)",IF(P101=#REF!,"ATENCION A VICTIMAS DE VIOLENCIA SEXUAL ",IF(P101=#REF!,"PROGRAMADO AMPLIADO DE INMUNIZACION (PAI - COVID 19)",IF(P101=#REF!,"ATENCION INTEGRAL EN ENFERMEDADES PREVALENTES EN PRIMERA INFANCIA (AIEPI)",IF(P101=#REF!,"ADMINISTRACION DE MEDICAMENTOS, INYECTOLOGIA  Y CANALIZACION ",IF(P101=#REF!,"OPERADOR DE VEHICULOS DE EMERGENCIA (OVE)",IF(P101=#REF!,"INSTITUCIONES AMIGAS DE LA MUJER Y LA INFANCIA (IAMI)",IF(P101=#REF!,"CUIDADO DEL DONANTE DE ORGANOS",IF(P101=#REF!,"ATENCION A VICTIMAS POR VIOLENCIA DE GENERO",IF(P101=#REF!,"IGUALDAD DE GENERO EN LA SALUD",IF(P101=#REF!,"BRIGADA DE EMERGENCIA",IF(P101=#REF!,"MANEJO DEL DOLOR Y CUIDADOS PALIATIVOS",IF(P101=#REF!,"TOMA DE MUESTRAS Y LABORATORIO POCT",IF(P101=#REF!,"IMPLANTE SUBDERMICO DE DISPOSITIVO INTRAUTERINO",IF(P101=#REF!,"SALUD MENTAL",IF(P101=#REF!,"PRIMEROS AUXILIOS PSICOLOGICOS",IF(P101=#REF!,"ATENCION A VICTIMAS POR CONFLICTO ARMADO",IF(P101=#REF!,"MANIPULACION DE ALIMENTOS Y BPM",IF(P101=#REF!,"ATENCION A PERSONAS CON DISCAPACIDAD",IF(P101=#REF!,"CUIDADO INTEGRAL DEL PACIENTE ADULTO",IF(P101=#REF!,"MANEJO DEFENSIVO",IF(P101=#REF!,"SOPORTE CARDIOVASCULAR AVANZADO NEONATAL",IF(P101=#REF!,"SEGURIDAD DEL PACIENTE",IF(P101=#REF!,"MANEJO DE RESIDUOS HOSPITALARIOS"))))))))))))))))))))))))))))))))))))</f>
        <v>#REF!</v>
      </c>
      <c r="W101" s="26" t="str">
        <f t="shared" si="3"/>
        <v>Maria Angelica Mutis Mora</v>
      </c>
      <c r="X101" s="26" t="str">
        <f t="shared" si="4"/>
        <v>Maria Angelica Mutis Mora</v>
      </c>
      <c r="Y101" s="26" t="str">
        <f t="shared" si="5"/>
        <v>Maria Angelica Mutis Mora-1085301731-ADMON DE MEDICAMENTOS</v>
      </c>
    </row>
    <row r="102" spans="1:26" s="49" customFormat="1" x14ac:dyDescent="0.2">
      <c r="A102" s="20">
        <v>101</v>
      </c>
      <c r="B102" s="21">
        <v>27149611</v>
      </c>
      <c r="C102" s="48" t="s">
        <v>260</v>
      </c>
      <c r="D102" s="48" t="s">
        <v>160</v>
      </c>
      <c r="E102" s="48" t="s">
        <v>261</v>
      </c>
      <c r="F102" s="48" t="s">
        <v>262</v>
      </c>
      <c r="G102" s="21">
        <v>17</v>
      </c>
      <c r="H102" s="21" t="s">
        <v>49</v>
      </c>
      <c r="I102" s="22" t="s">
        <v>377</v>
      </c>
      <c r="J102" s="22"/>
      <c r="K102" s="23" t="s">
        <v>259</v>
      </c>
      <c r="L102" s="24">
        <v>65000</v>
      </c>
      <c r="M102" s="21" t="s">
        <v>206</v>
      </c>
      <c r="N102" s="21" t="s">
        <v>387</v>
      </c>
      <c r="O102" s="48" t="s">
        <v>69</v>
      </c>
      <c r="P102" s="48" t="s">
        <v>29</v>
      </c>
      <c r="Q102" s="52">
        <v>28051</v>
      </c>
      <c r="R102" s="48" t="s">
        <v>71</v>
      </c>
      <c r="S102" s="48" t="s">
        <v>263</v>
      </c>
      <c r="T102" s="53">
        <v>3117802054</v>
      </c>
      <c r="U102" s="21" t="s">
        <v>264</v>
      </c>
      <c r="V102" s="26" t="e">
        <f>IF(P102=#REF!,"DIPLOMADO EN ATENCION PRE-HOSPITALARIA",IF(P102=#REF!,"ACOMPAÑAMIENTO Y MANEJO DEL DUELO",IF(P102=#REF!,"ATENCION A VICTIMAS DE ATAQUE CON AGENTES QUIMICOS ",IF(P102=#REF!,"PRIMEROS AUXILIOS ",IF(P102=#REF!,"DIPLOMADO DE UNIDAD DE CUIDADOS INTENSIVOS (UCI)",IF(P102=#REF!,"MODELO DE ATENCION PARA EVENTOS EMERGENTES EN SALUD MENTAL (CODIGO VERDE)",IF(P102=#REF!,"HUMANIZACION EN EL SERVICIO DE LA SALUD Y BUENAS PRACTICAS EN PACIENTE ",IF(P102=#REF!,"CLINICA DE HERIDAS ",IF(P102=#REF!,"TOMA DE CITOLOGIA CERVICO VAGINAL ",IF(P102=#REF!,"SOPORTE CARDIOVASCULAR AVANZADO (ACLS) ",IF(P102=#REF!,"CAMILLERO ",IF(P102=#REF!,"TOMA DE MUESTRAS Y LABORATORIO ",IF(P102=#REF!,"SOPORTE VITAL BASICO (BLS)",IF(P102=#REF!,"ATENCION A VICTIMAS DE VIOLENCIA SEXUAL ",IF(P102=#REF!,"PROGRAMADO AMPLIADO DE INMUNIZACION (PAI - COVID 19)",IF(P102=#REF!,"ATENCION INTEGRAL EN ENFERMEDADES PREVALENTES EN PRIMERA INFANCIA (AIEPI)",IF(P102=#REF!,"ADMINISTRACION DE MEDICAMENTOS, INYECTOLOGIA  Y CANALIZACION ",IF(P102=#REF!,"OPERADOR DE VEHICULOS DE EMERGENCIA (OVE)",IF(P102=#REF!,"INSTITUCIONES AMIGAS DE LA MUJER Y LA INFANCIA (IAMI)",IF(P102=#REF!,"CUIDADO DEL DONANTE DE ORGANOS",IF(P102=#REF!,"ATENCION A VICTIMAS POR VIOLENCIA DE GENERO",IF(P102=#REF!,"IGUALDAD DE GENERO EN LA SALUD",IF(P102=#REF!,"BRIGADA DE EMERGENCIA",IF(P102=#REF!,"MANEJO DEL DOLOR Y CUIDADOS PALIATIVOS",IF(P102=#REF!,"TOMA DE MUESTRAS Y LABORATORIO POCT",IF(P102=#REF!,"IMPLANTE SUBDERMICO DE DISPOSITIVO INTRAUTERINO",IF(P102=#REF!,"SALUD MENTAL",IF(P102=#REF!,"PRIMEROS AUXILIOS PSICOLOGICOS",IF(P102=#REF!,"ATENCION A VICTIMAS POR CONFLICTO ARMADO",IF(P102=#REF!,"MANIPULACION DE ALIMENTOS Y BPM",IF(P102=#REF!,"ATENCION A PERSONAS CON DISCAPACIDAD",IF(P102=#REF!,"CUIDADO INTEGRAL DEL PACIENTE ADULTO",IF(P102=#REF!,"MANEJO DEFENSIVO",IF(P102=#REF!,"SOPORTE CARDIOVASCULAR AVANZADO NEONATAL",IF(P102=#REF!,"SEGURIDAD DEL PACIENTE",IF(P102=#REF!,"MANEJO DE RESIDUOS HOSPITALARIOS"))))))))))))))))))))))))))))))))))))</f>
        <v>#REF!</v>
      </c>
      <c r="W102" s="26" t="str">
        <f t="shared" si="3"/>
        <v>Nefer Salima Benavides Gomez</v>
      </c>
      <c r="X102" s="26" t="str">
        <f t="shared" si="4"/>
        <v>Nefer Salima Benavides Gomez</v>
      </c>
      <c r="Y102" s="26" t="str">
        <f t="shared" si="5"/>
        <v>Nefer Salima Benavides Gomez-27149611-ADMON DE MEDICAMENTOS</v>
      </c>
    </row>
    <row r="103" spans="1:26" s="49" customFormat="1" x14ac:dyDescent="0.2">
      <c r="A103" s="20">
        <v>102</v>
      </c>
      <c r="B103" s="21">
        <v>1006452111</v>
      </c>
      <c r="C103" s="48" t="s">
        <v>265</v>
      </c>
      <c r="D103" s="48" t="s">
        <v>266</v>
      </c>
      <c r="E103" s="48" t="s">
        <v>267</v>
      </c>
      <c r="F103" s="48" t="s">
        <v>268</v>
      </c>
      <c r="G103" s="21">
        <v>17</v>
      </c>
      <c r="H103" s="21" t="s">
        <v>49</v>
      </c>
      <c r="I103" s="22" t="s">
        <v>377</v>
      </c>
      <c r="J103" s="22"/>
      <c r="K103" s="23">
        <v>45674</v>
      </c>
      <c r="L103" s="24">
        <v>65000</v>
      </c>
      <c r="M103" s="21" t="s">
        <v>133</v>
      </c>
      <c r="N103" s="21" t="s">
        <v>387</v>
      </c>
      <c r="O103" s="48" t="s">
        <v>69</v>
      </c>
      <c r="P103" s="48" t="s">
        <v>29</v>
      </c>
      <c r="Q103" s="52">
        <v>34911</v>
      </c>
      <c r="R103" s="48" t="s">
        <v>71</v>
      </c>
      <c r="S103" s="48" t="s">
        <v>269</v>
      </c>
      <c r="T103" s="53">
        <v>3218288697</v>
      </c>
      <c r="U103" s="21" t="s">
        <v>270</v>
      </c>
      <c r="V103" s="26" t="e">
        <f>IF(P103=#REF!,"DIPLOMADO EN ATENCION PRE-HOSPITALARIA",IF(P103=#REF!,"ACOMPAÑAMIENTO Y MANEJO DEL DUELO",IF(P103=#REF!,"ATENCION A VICTIMAS DE ATAQUE CON AGENTES QUIMICOS ",IF(P103=#REF!,"PRIMEROS AUXILIOS ",IF(P103=#REF!,"DIPLOMADO DE UNIDAD DE CUIDADOS INTENSIVOS (UCI)",IF(P103=#REF!,"MODELO DE ATENCION PARA EVENTOS EMERGENTES EN SALUD MENTAL (CODIGO VERDE)",IF(P103=#REF!,"HUMANIZACION EN EL SERVICIO DE LA SALUD Y BUENAS PRACTICAS EN PACIENTE ",IF(P103=#REF!,"CLINICA DE HERIDAS ",IF(P103=#REF!,"TOMA DE CITOLOGIA CERVICO VAGINAL ",IF(P103=#REF!,"SOPORTE CARDIOVASCULAR AVANZADO (ACLS) ",IF(P103=#REF!,"CAMILLERO ",IF(P103=#REF!,"TOMA DE MUESTRAS Y LABORATORIO ",IF(P103=#REF!,"SOPORTE VITAL BASICO (BLS)",IF(P103=#REF!,"ATENCION A VICTIMAS DE VIOLENCIA SEXUAL ",IF(P103=#REF!,"PROGRAMADO AMPLIADO DE INMUNIZACION (PAI - COVID 19)",IF(P103=#REF!,"ATENCION INTEGRAL EN ENFERMEDADES PREVALENTES EN PRIMERA INFANCIA (AIEPI)",IF(P103=#REF!,"ADMINISTRACION DE MEDICAMENTOS, INYECTOLOGIA  Y CANALIZACION ",IF(P103=#REF!,"OPERADOR DE VEHICULOS DE EMERGENCIA (OVE)",IF(P103=#REF!,"INSTITUCIONES AMIGAS DE LA MUJER Y LA INFANCIA (IAMI)",IF(P103=#REF!,"CUIDADO DEL DONANTE DE ORGANOS",IF(P103=#REF!,"ATENCION A VICTIMAS POR VIOLENCIA DE GENERO",IF(P103=#REF!,"IGUALDAD DE GENERO EN LA SALUD",IF(P103=#REF!,"BRIGADA DE EMERGENCIA",IF(P103=#REF!,"MANEJO DEL DOLOR Y CUIDADOS PALIATIVOS",IF(P103=#REF!,"TOMA DE MUESTRAS Y LABORATORIO POCT",IF(P103=#REF!,"IMPLANTE SUBDERMICO DE DISPOSITIVO INTRAUTERINO",IF(P103=#REF!,"SALUD MENTAL",IF(P103=#REF!,"PRIMEROS AUXILIOS PSICOLOGICOS",IF(P103=#REF!,"ATENCION A VICTIMAS POR CONFLICTO ARMADO",IF(P103=#REF!,"MANIPULACION DE ALIMENTOS Y BPM",IF(P103=#REF!,"ATENCION A PERSONAS CON DISCAPACIDAD",IF(P103=#REF!,"CUIDADO INTEGRAL DEL PACIENTE ADULTO",IF(P103=#REF!,"MANEJO DEFENSIVO",IF(P103=#REF!,"SOPORTE CARDIOVASCULAR AVANZADO NEONATAL",IF(P103=#REF!,"SEGURIDAD DEL PACIENTE",IF(P103=#REF!,"MANEJO DE RESIDUOS HOSPITALARIOS"))))))))))))))))))))))))))))))))))))</f>
        <v>#REF!</v>
      </c>
      <c r="W103" s="26" t="str">
        <f t="shared" si="3"/>
        <v>Carlos Humberto Marulanda Giraldo</v>
      </c>
      <c r="X103" s="26" t="str">
        <f t="shared" si="4"/>
        <v>Carlos Humberto Marulanda Giraldo</v>
      </c>
      <c r="Y103" s="26" t="str">
        <f t="shared" si="5"/>
        <v>Carlos Humberto Marulanda Giraldo-1006452111-ADMON DE MEDICAMENTOS</v>
      </c>
      <c r="Z103" s="50"/>
    </row>
    <row r="104" spans="1:26" s="6" customFormat="1" x14ac:dyDescent="0.2">
      <c r="A104" s="20">
        <v>103</v>
      </c>
      <c r="B104" s="21">
        <v>1085322654</v>
      </c>
      <c r="C104" s="48" t="s">
        <v>271</v>
      </c>
      <c r="D104" s="48" t="s">
        <v>272</v>
      </c>
      <c r="E104" s="48" t="s">
        <v>273</v>
      </c>
      <c r="F104" s="48" t="s">
        <v>228</v>
      </c>
      <c r="G104" s="48">
        <v>17</v>
      </c>
      <c r="H104" s="21" t="s">
        <v>49</v>
      </c>
      <c r="I104" s="52" t="s">
        <v>377</v>
      </c>
      <c r="J104" s="52"/>
      <c r="K104" s="23" t="s">
        <v>282</v>
      </c>
      <c r="L104" s="24">
        <v>65000</v>
      </c>
      <c r="M104" s="21" t="s">
        <v>180</v>
      </c>
      <c r="N104" s="21" t="s">
        <v>387</v>
      </c>
      <c r="O104" s="48" t="s">
        <v>69</v>
      </c>
      <c r="P104" s="48" t="s">
        <v>29</v>
      </c>
      <c r="Q104" s="52">
        <v>34831</v>
      </c>
      <c r="R104" s="48" t="s">
        <v>71</v>
      </c>
      <c r="S104" s="48" t="s">
        <v>274</v>
      </c>
      <c r="T104" s="53">
        <v>3132430568</v>
      </c>
      <c r="U104" s="21" t="s">
        <v>275</v>
      </c>
      <c r="V104" s="26" t="e">
        <f>IF(P104=#REF!,"DIPLOMADO EN ATENCION PRE-HOSPITALARIA",IF(P104=#REF!,"ACOMPAÑAMIENTO Y MANEJO DEL DUELO",IF(P104=#REF!,"ATENCION A VICTIMAS DE ATAQUE CON AGENTES QUIMICOS ",IF(P104=#REF!,"PRIMEROS AUXILIOS ",IF(P104=#REF!,"DIPLOMADO DE UNIDAD DE CUIDADOS INTENSIVOS (UCI)",IF(P104=#REF!,"MODELO DE ATENCION PARA EVENTOS EMERGENTES EN SALUD MENTAL (CODIGO VERDE)",IF(P104=#REF!,"HUMANIZACION EN EL SERVICIO DE LA SALUD Y BUENAS PRACTICAS EN PACIENTE ",IF(P104=#REF!,"CLINICA DE HERIDAS ",IF(P104=#REF!,"TOMA DE CITOLOGIA CERVICO VAGINAL ",IF(P104=#REF!,"SOPORTE CARDIOVASCULAR AVANZADO (ACLS) ",IF(P104=#REF!,"CAMILLERO ",IF(P104=#REF!,"TOMA DE MUESTRAS Y LABORATORIO ",IF(P104=#REF!,"SOPORTE VITAL BASICO (BLS)",IF(P104=#REF!,"ATENCION A VICTIMAS DE VIOLENCIA SEXUAL ",IF(P104=#REF!,"PROGRAMADO AMPLIADO DE INMUNIZACION (PAI - COVID 19)",IF(P104=#REF!,"ATENCION INTEGRAL EN ENFERMEDADES PREVALENTES EN PRIMERA INFANCIA (AIEPI)",IF(P104=#REF!,"ADMINISTRACION DE MEDICAMENTOS, INYECTOLOGIA  Y CANALIZACION ",IF(P104=#REF!,"OPERADOR DE VEHICULOS DE EMERGENCIA (OVE)",IF(P104=#REF!,"INSTITUCIONES AMIGAS DE LA MUJER Y LA INFANCIA (IAMI)",IF(P104=#REF!,"CUIDADO DEL DONANTE DE ORGANOS",IF(P104=#REF!,"ATENCION A VICTIMAS POR VIOLENCIA DE GENERO",IF(P104=#REF!,"IGUALDAD DE GENERO EN LA SALUD",IF(P104=#REF!,"BRIGADA DE EMERGENCIA",IF(P104=#REF!,"MANEJO DEL DOLOR Y CUIDADOS PALIATIVOS",IF(P104=#REF!,"TOMA DE MUESTRAS Y LABORATORIO POCT",IF(P104=#REF!,"IMPLANTE SUBDERMICO DE DISPOSITIVO INTRAUTERINO",IF(P104=#REF!,"SALUD MENTAL",IF(P104=#REF!,"PRIMEROS AUXILIOS PSICOLOGICOS",IF(P104=#REF!,"ATENCION A VICTIMAS POR CONFLICTO ARMADO",IF(P104=#REF!,"MANIPULACION DE ALIMENTOS Y BPM",IF(P104=#REF!,"ATENCION A PERSONAS CON DISCAPACIDAD",IF(P104=#REF!,"CUIDADO INTEGRAL DEL PACIENTE ADULTO",IF(P104=#REF!,"MANEJO DEFENSIVO",IF(P104=#REF!,"SOPORTE CARDIOVASCULAR AVANZADO NEONATAL",IF(P104=#REF!,"SEGURIDAD DEL PACIENTE",IF(P104=#REF!,"MANEJO DE RESIDUOS HOSPITALARIOS"))))))))))))))))))))))))))))))))))))</f>
        <v>#REF!</v>
      </c>
      <c r="W104" s="26" t="str">
        <f t="shared" si="3"/>
        <v>Ana Gabriel Bacca Hernandez</v>
      </c>
      <c r="X104" s="26" t="str">
        <f t="shared" si="4"/>
        <v>Ana Gabriel Bacca Hernandez</v>
      </c>
      <c r="Y104" s="26" t="str">
        <f t="shared" si="5"/>
        <v>Ana Gabriel Bacca Hernandez-1085322654-ADMON DE MEDICAMENTOS</v>
      </c>
    </row>
    <row r="105" spans="1:26" s="6" customFormat="1" x14ac:dyDescent="0.2">
      <c r="A105" s="20">
        <v>104</v>
      </c>
      <c r="B105" s="21">
        <v>1233193720</v>
      </c>
      <c r="C105" s="48" t="s">
        <v>117</v>
      </c>
      <c r="D105" s="48" t="s">
        <v>276</v>
      </c>
      <c r="E105" s="48" t="s">
        <v>277</v>
      </c>
      <c r="F105" s="48" t="s">
        <v>183</v>
      </c>
      <c r="G105" s="48">
        <v>17</v>
      </c>
      <c r="H105" s="21" t="s">
        <v>49</v>
      </c>
      <c r="I105" s="52" t="s">
        <v>377</v>
      </c>
      <c r="J105" s="52"/>
      <c r="K105" s="23" t="s">
        <v>259</v>
      </c>
      <c r="L105" s="24">
        <v>65000</v>
      </c>
      <c r="M105" s="21" t="s">
        <v>180</v>
      </c>
      <c r="N105" s="21" t="s">
        <v>387</v>
      </c>
      <c r="O105" s="48" t="s">
        <v>69</v>
      </c>
      <c r="P105" s="48" t="s">
        <v>29</v>
      </c>
      <c r="Q105" s="52">
        <v>36328</v>
      </c>
      <c r="R105" s="48" t="s">
        <v>71</v>
      </c>
      <c r="S105" s="48" t="s">
        <v>283</v>
      </c>
      <c r="T105" s="53">
        <v>3172629986</v>
      </c>
      <c r="U105" s="21" t="s">
        <v>284</v>
      </c>
      <c r="V105" s="26" t="e">
        <f>IF(P105=#REF!,"DIPLOMADO EN ATENCION PRE-HOSPITALARIA",IF(P105=#REF!,"ACOMPAÑAMIENTO Y MANEJO DEL DUELO",IF(P105=#REF!,"ATENCION A VICTIMAS DE ATAQUE CON AGENTES QUIMICOS ",IF(P105=#REF!,"PRIMEROS AUXILIOS ",IF(P105=#REF!,"DIPLOMADO DE UNIDAD DE CUIDADOS INTENSIVOS (UCI)",IF(P105=#REF!,"MODELO DE ATENCION PARA EVENTOS EMERGENTES EN SALUD MENTAL (CODIGO VERDE)",IF(P105=#REF!,"HUMANIZACION EN EL SERVICIO DE LA SALUD Y BUENAS PRACTICAS EN PACIENTE ",IF(P105=#REF!,"CLINICA DE HERIDAS ",IF(P105=#REF!,"TOMA DE CITOLOGIA CERVICO VAGINAL ",IF(P105=#REF!,"SOPORTE CARDIOVASCULAR AVANZADO (ACLS) ",IF(P105=#REF!,"CAMILLERO ",IF(P105=#REF!,"TOMA DE MUESTRAS Y LABORATORIO ",IF(P105=#REF!,"SOPORTE VITAL BASICO (BLS)",IF(P105=#REF!,"ATENCION A VICTIMAS DE VIOLENCIA SEXUAL ",IF(P105=#REF!,"PROGRAMADO AMPLIADO DE INMUNIZACION (PAI - COVID 19)",IF(P105=#REF!,"ATENCION INTEGRAL EN ENFERMEDADES PREVALENTES EN PRIMERA INFANCIA (AIEPI)",IF(P105=#REF!,"ADMINISTRACION DE MEDICAMENTOS, INYECTOLOGIA  Y CANALIZACION ",IF(P105=#REF!,"OPERADOR DE VEHICULOS DE EMERGENCIA (OVE)",IF(P105=#REF!,"INSTITUCIONES AMIGAS DE LA MUJER Y LA INFANCIA (IAMI)",IF(P105=#REF!,"CUIDADO DEL DONANTE DE ORGANOS",IF(P105=#REF!,"ATENCION A VICTIMAS POR VIOLENCIA DE GENERO",IF(P105=#REF!,"IGUALDAD DE GENERO EN LA SALUD",IF(P105=#REF!,"BRIGADA DE EMERGENCIA",IF(P105=#REF!,"MANEJO DEL DOLOR Y CUIDADOS PALIATIVOS",IF(P105=#REF!,"TOMA DE MUESTRAS Y LABORATORIO POCT",IF(P105=#REF!,"IMPLANTE SUBDERMICO DE DISPOSITIVO INTRAUTERINO",IF(P105=#REF!,"SALUD MENTAL",IF(P105=#REF!,"PRIMEROS AUXILIOS PSICOLOGICOS",IF(P105=#REF!,"ATENCION A VICTIMAS POR CONFLICTO ARMADO",IF(P105=#REF!,"MANIPULACION DE ALIMENTOS Y BPM",IF(P105=#REF!,"ATENCION A PERSONAS CON DISCAPACIDAD",IF(P105=#REF!,"CUIDADO INTEGRAL DEL PACIENTE ADULTO",IF(P105=#REF!,"MANEJO DEFENSIVO",IF(P105=#REF!,"SOPORTE CARDIOVASCULAR AVANZADO NEONATAL",IF(P105=#REF!,"SEGURIDAD DEL PACIENTE",IF(P105=#REF!,"MANEJO DE RESIDUOS HOSPITALARIOS"))))))))))))))))))))))))))))))))))))</f>
        <v>#REF!</v>
      </c>
      <c r="W105" s="26" t="str">
        <f t="shared" si="3"/>
        <v>Lina Maria Rivera Ricaurte</v>
      </c>
      <c r="X105" s="26" t="str">
        <f t="shared" si="4"/>
        <v>Lina Maria Rivera Ricaurte</v>
      </c>
      <c r="Y105" s="26" t="str">
        <f t="shared" si="5"/>
        <v>Lina Maria Rivera Ricaurte-1233193720-ADMON DE MEDICAMENTOS</v>
      </c>
    </row>
    <row r="106" spans="1:26" s="6" customFormat="1" x14ac:dyDescent="0.2">
      <c r="A106" s="36">
        <v>105</v>
      </c>
      <c r="B106" s="51">
        <v>1087423182</v>
      </c>
      <c r="C106" s="51" t="s">
        <v>257</v>
      </c>
      <c r="D106" s="51" t="s">
        <v>280</v>
      </c>
      <c r="E106" s="51" t="s">
        <v>278</v>
      </c>
      <c r="F106" s="51" t="s">
        <v>279</v>
      </c>
      <c r="G106" s="51">
        <v>17</v>
      </c>
      <c r="H106" s="37" t="s">
        <v>49</v>
      </c>
      <c r="I106" s="56" t="s">
        <v>376</v>
      </c>
      <c r="J106" s="56"/>
      <c r="K106" s="57">
        <v>45674</v>
      </c>
      <c r="L106" s="58">
        <v>32000</v>
      </c>
      <c r="M106" s="51" t="s">
        <v>106</v>
      </c>
      <c r="N106" s="37" t="s">
        <v>387</v>
      </c>
      <c r="O106" s="51" t="s">
        <v>95</v>
      </c>
      <c r="P106" s="51" t="s">
        <v>21</v>
      </c>
      <c r="Q106" s="56">
        <v>1130968</v>
      </c>
      <c r="R106" s="51" t="s">
        <v>71</v>
      </c>
      <c r="S106" s="59" t="s">
        <v>107</v>
      </c>
      <c r="T106" s="51">
        <v>3187600247</v>
      </c>
      <c r="U106" s="37" t="s">
        <v>281</v>
      </c>
      <c r="V106" s="41" t="e">
        <f>IF(P106=#REF!,"DIPLOMADO EN ATENCION PRE-HOSPITALARIA",IF(P106=#REF!,"ACOMPAÑAMIENTO Y MANEJO DEL DUELO",IF(P106=#REF!,"ATENCION A VICTIMAS DE ATAQUE CON AGENTES QUIMICOS ",IF(P106=#REF!,"PRIMEROS AUXILIOS ",IF(P106=#REF!,"DIPLOMADO DE UNIDAD DE CUIDADOS INTENSIVOS (UCI)",IF(P106=#REF!,"MODELO DE ATENCION PARA EVENTOS EMERGENTES EN SALUD MENTAL (CODIGO VERDE)",IF(P106=#REF!,"HUMANIZACION EN EL SERVICIO DE LA SALUD Y BUENAS PRACTICAS EN PACIENTE ",IF(P106=#REF!,"CLINICA DE HERIDAS ",IF(P106=#REF!,"TOMA DE CITOLOGIA CERVICO VAGINAL ",IF(P106=#REF!,"SOPORTE CARDIOVASCULAR AVANZADO (ACLS) ",IF(P106=#REF!,"CAMILLERO ",IF(P106=#REF!,"TOMA DE MUESTRAS Y LABORATORIO ",IF(P106=#REF!,"SOPORTE VITAL BASICO (BLS)",IF(P106=#REF!,"ATENCION A VICTIMAS DE VIOLENCIA SEXUAL ",IF(P106=#REF!,"PROGRAMADO AMPLIADO DE INMUNIZACION (PAI - COVID 19)",IF(P106=#REF!,"ATENCION INTEGRAL EN ENFERMEDADES PREVALENTES EN PRIMERA INFANCIA (AIEPI)",IF(P106=#REF!,"ADMINISTRACION DE MEDICAMENTOS, INYECTOLOGIA  Y CANALIZACION ",IF(P106=#REF!,"OPERADOR DE VEHICULOS DE EMERGENCIA (OVE)",IF(P106=#REF!,"INSTITUCIONES AMIGAS DE LA MUJER Y LA INFANCIA (IAMI)",IF(P106=#REF!,"CUIDADO DEL DONANTE DE ORGANOS",IF(P106=#REF!,"ATENCION A VICTIMAS POR VIOLENCIA DE GENERO",IF(P106=#REF!,"IGUALDAD DE GENERO EN LA SALUD",IF(P106=#REF!,"BRIGADA DE EMERGENCIA",IF(P106=#REF!,"MANEJO DEL DOLOR Y CUIDADOS PALIATIVOS",IF(P106=#REF!,"TOMA DE MUESTRAS Y LABORATORIO POCT",IF(P106=#REF!,"IMPLANTE SUBDERMICO DE DISPOSITIVO INTRAUTERINO",IF(P106=#REF!,"SALUD MENTAL",IF(P106=#REF!,"PRIMEROS AUXILIOS PSICOLOGICOS",IF(P106=#REF!,"ATENCION A VICTIMAS POR CONFLICTO ARMADO",IF(P106=#REF!,"MANIPULACION DE ALIMENTOS Y BPM",IF(P106=#REF!,"ATENCION A PERSONAS CON DISCAPACIDAD",IF(P106=#REF!,"CUIDADO INTEGRAL DEL PACIENTE ADULTO",IF(P106=#REF!,"MANEJO DEFENSIVO",IF(P106=#REF!,"SOPORTE CARDIOVASCULAR AVANZADO NEONATAL",IF(P106=#REF!,"SEGURIDAD DEL PACIENTE",IF(P106=#REF!,"MANEJO DE RESIDUOS HOSPITALARIOS"))))))))))))))))))))))))))))))))))))</f>
        <v>#REF!</v>
      </c>
      <c r="W106" s="41" t="str">
        <f t="shared" si="3"/>
        <v>Darlin Karine Mora Cuaychar</v>
      </c>
      <c r="X106" s="41" t="str">
        <f t="shared" si="4"/>
        <v>Darlin Karine Mora Cuaychar</v>
      </c>
      <c r="Y106" s="41" t="str">
        <f t="shared" si="5"/>
        <v>Darlin Karine Mora Cuaychar-1087423182-QUIMICOS</v>
      </c>
    </row>
    <row r="107" spans="1:26" s="49" customFormat="1" x14ac:dyDescent="0.2">
      <c r="A107" s="20">
        <v>106</v>
      </c>
      <c r="B107" s="48">
        <v>1087423182</v>
      </c>
      <c r="C107" s="48" t="s">
        <v>257</v>
      </c>
      <c r="D107" s="48" t="s">
        <v>280</v>
      </c>
      <c r="E107" s="48" t="s">
        <v>278</v>
      </c>
      <c r="F107" s="48" t="s">
        <v>279</v>
      </c>
      <c r="G107" s="48">
        <v>17</v>
      </c>
      <c r="H107" s="21" t="s">
        <v>49</v>
      </c>
      <c r="I107" s="52" t="s">
        <v>376</v>
      </c>
      <c r="J107" s="52"/>
      <c r="K107" s="54">
        <v>45674</v>
      </c>
      <c r="L107" s="55">
        <v>32000</v>
      </c>
      <c r="M107" s="48" t="s">
        <v>106</v>
      </c>
      <c r="N107" s="21" t="s">
        <v>387</v>
      </c>
      <c r="O107" s="48" t="s">
        <v>95</v>
      </c>
      <c r="P107" s="48" t="s">
        <v>27</v>
      </c>
      <c r="Q107" s="52">
        <v>1130968</v>
      </c>
      <c r="R107" s="48" t="s">
        <v>71</v>
      </c>
      <c r="S107" s="53" t="s">
        <v>107</v>
      </c>
      <c r="T107" s="48">
        <v>3187600247</v>
      </c>
      <c r="U107" s="21" t="s">
        <v>281</v>
      </c>
      <c r="V107" s="26" t="e">
        <f>IF(P107=#REF!,"DIPLOMADO EN ATENCION PRE-HOSPITALARIA",IF(P107=#REF!,"ACOMPAÑAMIENTO Y MANEJO DEL DUELO",IF(P107=#REF!,"ATENCION A VICTIMAS DE ATAQUE CON AGENTES QUIMICOS ",IF(P107=#REF!,"PRIMEROS AUXILIOS ",IF(P107=#REF!,"DIPLOMADO DE UNIDAD DE CUIDADOS INTENSIVOS (UCI)",IF(P107=#REF!,"MODELO DE ATENCION PARA EVENTOS EMERGENTES EN SALUD MENTAL (CODIGO VERDE)",IF(P107=#REF!,"HUMANIZACION EN EL SERVICIO DE LA SALUD Y BUENAS PRACTICAS EN PACIENTE ",IF(P107=#REF!,"CLINICA DE HERIDAS ",IF(P107=#REF!,"TOMA DE CITOLOGIA CERVICO VAGINAL ",IF(P107=#REF!,"SOPORTE CARDIOVASCULAR AVANZADO (ACLS) ",IF(P107=#REF!,"CAMILLERO ",IF(P107=#REF!,"TOMA DE MUESTRAS Y LABORATORIO ",IF(P107=#REF!,"SOPORTE VITAL BASICO (BLS)",IF(P107=#REF!,"ATENCION A VICTIMAS DE VIOLENCIA SEXUAL ",IF(P107=#REF!,"PROGRAMADO AMPLIADO DE INMUNIZACION (PAI - COVID 19)",IF(P107=#REF!,"ATENCION INTEGRAL EN ENFERMEDADES PREVALENTES EN PRIMERA INFANCIA (AIEPI)",IF(P107=#REF!,"ADMINISTRACION DE MEDICAMENTOS, INYECTOLOGIA  Y CANALIZACION ",IF(P107=#REF!,"OPERADOR DE VEHICULOS DE EMERGENCIA (OVE)",IF(P107=#REF!,"INSTITUCIONES AMIGAS DE LA MUJER Y LA INFANCIA (IAMI)",IF(P107=#REF!,"CUIDADO DEL DONANTE DE ORGANOS",IF(P107=#REF!,"ATENCION A VICTIMAS POR VIOLENCIA DE GENERO",IF(P107=#REF!,"IGUALDAD DE GENERO EN LA SALUD",IF(P107=#REF!,"BRIGADA DE EMERGENCIA",IF(P107=#REF!,"MANEJO DEL DOLOR Y CUIDADOS PALIATIVOS",IF(P107=#REF!,"TOMA DE MUESTRAS Y LABORATORIO POCT",IF(P107=#REF!,"IMPLANTE SUBDERMICO DE DISPOSITIVO INTRAUTERINO",IF(P107=#REF!,"SALUD MENTAL",IF(P107=#REF!,"PRIMEROS AUXILIOS PSICOLOGICOS",IF(P107=#REF!,"ATENCION A VICTIMAS POR CONFLICTO ARMADO",IF(P107=#REF!,"MANIPULACION DE ALIMENTOS Y BPM",IF(P107=#REF!,"ATENCION A PERSONAS CON DISCAPACIDAD",IF(P107=#REF!,"CUIDADO INTEGRAL DEL PACIENTE ADULTO",IF(P107=#REF!,"MANEJO DEFENSIVO",IF(P107=#REF!,"SOPORTE CARDIOVASCULAR AVANZADO NEONATAL",IF(P107=#REF!,"SEGURIDAD DEL PACIENTE",IF(P107=#REF!,"MANEJO DE RESIDUOS HOSPITALARIOS"))))))))))))))))))))))))))))))))))))</f>
        <v>#REF!</v>
      </c>
      <c r="W107" s="26" t="str">
        <f t="shared" si="3"/>
        <v>Darlin Karine Mora Cuaychar</v>
      </c>
      <c r="X107" s="26" t="str">
        <f t="shared" si="4"/>
        <v>Darlin Karine Mora Cuaychar</v>
      </c>
      <c r="Y107" s="26" t="str">
        <f t="shared" si="5"/>
        <v>Darlin Karine Mora Cuaychar-1087423182-VIOLENCIA SEXUAL</v>
      </c>
    </row>
    <row r="108" spans="1:26" s="49" customFormat="1" x14ac:dyDescent="0.2">
      <c r="A108" s="20">
        <v>107</v>
      </c>
      <c r="B108" s="48">
        <v>1087423182</v>
      </c>
      <c r="C108" s="48" t="s">
        <v>257</v>
      </c>
      <c r="D108" s="48" t="s">
        <v>280</v>
      </c>
      <c r="E108" s="48" t="s">
        <v>278</v>
      </c>
      <c r="F108" s="48" t="s">
        <v>279</v>
      </c>
      <c r="G108" s="48">
        <v>16</v>
      </c>
      <c r="H108" s="21" t="s">
        <v>49</v>
      </c>
      <c r="I108" s="52" t="s">
        <v>376</v>
      </c>
      <c r="J108" s="52"/>
      <c r="K108" s="54">
        <v>45674</v>
      </c>
      <c r="L108" s="55">
        <v>32000</v>
      </c>
      <c r="M108" s="48" t="s">
        <v>106</v>
      </c>
      <c r="N108" s="21" t="s">
        <v>387</v>
      </c>
      <c r="O108" s="48" t="s">
        <v>95</v>
      </c>
      <c r="P108" s="48" t="s">
        <v>23</v>
      </c>
      <c r="Q108" s="52">
        <v>1130968</v>
      </c>
      <c r="R108" s="48" t="s">
        <v>71</v>
      </c>
      <c r="S108" s="53" t="s">
        <v>107</v>
      </c>
      <c r="T108" s="48">
        <v>3187600247</v>
      </c>
      <c r="U108" s="21" t="s">
        <v>281</v>
      </c>
      <c r="V108" s="26" t="e">
        <f>IF(P108=#REF!,"DIPLOMADO EN ATENCION PRE-HOSPITALARIA",IF(P108=#REF!,"ACOMPAÑAMIENTO Y MANEJO DEL DUELO",IF(P108=#REF!,"ATENCION A VICTIMAS DE ATAQUE CON AGENTES QUIMICOS ",IF(P108=#REF!,"PRIMEROS AUXILIOS ",IF(P108=#REF!,"DIPLOMADO DE UNIDAD DE CUIDADOS INTENSIVOS (UCI)",IF(P108=#REF!,"MODELO DE ATENCION PARA EVENTOS EMERGENTES EN SALUD MENTAL (CODIGO VERDE)",IF(P108=#REF!,"HUMANIZACION EN EL SERVICIO DE LA SALUD Y BUENAS PRACTICAS EN PACIENTE ",IF(P108=#REF!,"CLINICA DE HERIDAS ",IF(P108=#REF!,"TOMA DE CITOLOGIA CERVICO VAGINAL ",IF(P108=#REF!,"SOPORTE CARDIOVASCULAR AVANZADO (ACLS) ",IF(P108=#REF!,"CAMILLERO ",IF(P108=#REF!,"TOMA DE MUESTRAS Y LABORATORIO ",IF(P108=#REF!,"SOPORTE VITAL BASICO (BLS)",IF(P108=#REF!,"ATENCION A VICTIMAS DE VIOLENCIA SEXUAL ",IF(P108=#REF!,"PROGRAMADO AMPLIADO DE INMUNIZACION (PAI - COVID 19)",IF(P108=#REF!,"ATENCION INTEGRAL EN ENFERMEDADES PREVALENTES EN PRIMERA INFANCIA (AIEPI)",IF(P108=#REF!,"ADMINISTRACION DE MEDICAMENTOS, INYECTOLOGIA  Y CANALIZACION ",IF(P108=#REF!,"OPERADOR DE VEHICULOS DE EMERGENCIA (OVE)",IF(P108=#REF!,"INSTITUCIONES AMIGAS DE LA MUJER Y LA INFANCIA (IAMI)",IF(P108=#REF!,"CUIDADO DEL DONANTE DE ORGANOS",IF(P108=#REF!,"ATENCION A VICTIMAS POR VIOLENCIA DE GENERO",IF(P108=#REF!,"IGUALDAD DE GENERO EN LA SALUD",IF(P108=#REF!,"BRIGADA DE EMERGENCIA",IF(P108=#REF!,"MANEJO DEL DOLOR Y CUIDADOS PALIATIVOS",IF(P108=#REF!,"TOMA DE MUESTRAS Y LABORATORIO POCT",IF(P108=#REF!,"IMPLANTE SUBDERMICO DE DISPOSITIVO INTRAUTERINO",IF(P108=#REF!,"SALUD MENTAL",IF(P108=#REF!,"PRIMEROS AUXILIOS PSICOLOGICOS",IF(P108=#REF!,"ATENCION A VICTIMAS POR CONFLICTO ARMADO",IF(P108=#REF!,"MANIPULACION DE ALIMENTOS Y BPM",IF(P108=#REF!,"ATENCION A PERSONAS CON DISCAPACIDAD",IF(P108=#REF!,"CUIDADO INTEGRAL DEL PACIENTE ADULTO",IF(P108=#REF!,"MANEJO DEFENSIVO",IF(P108=#REF!,"SOPORTE CARDIOVASCULAR AVANZADO NEONATAL",IF(P108=#REF!,"SEGURIDAD DEL PACIENTE",IF(P108=#REF!,"MANEJO DE RESIDUOS HOSPITALARIOS"))))))))))))))))))))))))))))))))))))</f>
        <v>#REF!</v>
      </c>
      <c r="W108" s="26" t="str">
        <f t="shared" si="3"/>
        <v>Darlin Karine Mora Cuaychar</v>
      </c>
      <c r="X108" s="26" t="str">
        <f t="shared" si="4"/>
        <v>Darlin Karine Mora Cuaychar</v>
      </c>
      <c r="Y108" s="26" t="str">
        <f t="shared" si="5"/>
        <v>Darlin Karine Mora Cuaychar-1087423182-HUMANIZACION</v>
      </c>
    </row>
    <row r="109" spans="1:26" s="49" customFormat="1" x14ac:dyDescent="0.2">
      <c r="A109" s="20">
        <v>108</v>
      </c>
      <c r="B109" s="48">
        <v>1088652780</v>
      </c>
      <c r="C109" s="48" t="s">
        <v>286</v>
      </c>
      <c r="D109" s="48" t="s">
        <v>287</v>
      </c>
      <c r="E109" s="48" t="s">
        <v>288</v>
      </c>
      <c r="F109" s="48" t="s">
        <v>105</v>
      </c>
      <c r="G109" s="48">
        <v>18</v>
      </c>
      <c r="H109" s="21" t="s">
        <v>49</v>
      </c>
      <c r="I109" s="52" t="s">
        <v>377</v>
      </c>
      <c r="J109" s="52"/>
      <c r="K109" s="23">
        <v>45674</v>
      </c>
      <c r="L109" s="24">
        <v>64000</v>
      </c>
      <c r="M109" s="21" t="s">
        <v>79</v>
      </c>
      <c r="N109" s="21" t="s">
        <v>387</v>
      </c>
      <c r="O109" s="48" t="s">
        <v>69</v>
      </c>
      <c r="P109" s="48" t="s">
        <v>19</v>
      </c>
      <c r="Q109" s="52">
        <v>34980</v>
      </c>
      <c r="R109" s="48" t="s">
        <v>71</v>
      </c>
      <c r="S109" s="48" t="s">
        <v>289</v>
      </c>
      <c r="T109" s="53">
        <v>3235936061</v>
      </c>
      <c r="U109" s="21" t="s">
        <v>290</v>
      </c>
      <c r="V109" s="26" t="e">
        <f>IF(P109=#REF!,"DIPLOMADO EN ATENCION PRE-HOSPITALARIA",IF(P109=#REF!,"ACOMPAÑAMIENTO Y MANEJO DEL DUELO",IF(P109=#REF!,"ATENCION A VICTIMAS DE ATAQUE CON AGENTES QUIMICOS ",IF(P109=#REF!,"PRIMEROS AUXILIOS ",IF(P109=#REF!,"DIPLOMADO DE UNIDAD DE CUIDADOS INTENSIVOS (UCI)",IF(P109=#REF!,"MODELO DE ATENCION PARA EVENTOS EMERGENTES EN SALUD MENTAL (CODIGO VERDE)",IF(P109=#REF!,"HUMANIZACION EN EL SERVICIO DE LA SALUD Y BUENAS PRACTICAS EN PACIENTE ",IF(P109=#REF!,"CLINICA DE HERIDAS ",IF(P109=#REF!,"TOMA DE CITOLOGIA CERVICO VAGINAL ",IF(P109=#REF!,"SOPORTE CARDIOVASCULAR AVANZADO (ACLS) ",IF(P109=#REF!,"CAMILLERO ",IF(P109=#REF!,"TOMA DE MUESTRAS Y LABORATORIO ",IF(P109=#REF!,"SOPORTE VITAL BASICO (BLS)",IF(P109=#REF!,"ATENCION A VICTIMAS DE VIOLENCIA SEXUAL ",IF(P109=#REF!,"PROGRAMADO AMPLIADO DE INMUNIZACION (PAI - COVID 19)",IF(P109=#REF!,"ATENCION INTEGRAL EN ENFERMEDADES PREVALENTES EN PRIMERA INFANCIA (AIEPI)",IF(P109=#REF!,"ADMINISTRACION DE MEDICAMENTOS, INYECTOLOGIA  Y CANALIZACION ",IF(P109=#REF!,"OPERADOR DE VEHICULOS DE EMERGENCIA (OVE)",IF(P109=#REF!,"INSTITUCIONES AMIGAS DE LA MUJER Y LA INFANCIA (IAMI)",IF(P109=#REF!,"CUIDADO DEL DONANTE DE ORGANOS",IF(P109=#REF!,"ATENCION A VICTIMAS POR VIOLENCIA DE GENERO",IF(P109=#REF!,"IGUALDAD DE GENERO EN LA SALUD",IF(P109=#REF!,"BRIGADA DE EMERGENCIA",IF(P109=#REF!,"MANEJO DEL DOLOR Y CUIDADOS PALIATIVOS",IF(P109=#REF!,"TOMA DE MUESTRAS Y LABORATORIO POCT",IF(P109=#REF!,"IMPLANTE SUBDERMICO DE DISPOSITIVO INTRAUTERINO",IF(P109=#REF!,"SALUD MENTAL",IF(P109=#REF!,"PRIMEROS AUXILIOS PSICOLOGICOS",IF(P109=#REF!,"ATENCION A VICTIMAS POR CONFLICTO ARMADO",IF(P109=#REF!,"MANIPULACION DE ALIMENTOS Y BPM",IF(P109=#REF!,"ATENCION A PERSONAS CON DISCAPACIDAD",IF(P109=#REF!,"CUIDADO INTEGRAL DEL PACIENTE ADULTO",IF(P109=#REF!,"MANEJO DEFENSIVO",IF(P109=#REF!,"SOPORTE CARDIOVASCULAR AVANZADO NEONATAL",IF(P109=#REF!,"SEGURIDAD DEL PACIENTE",IF(P109=#REF!,"MANEJO DE RESIDUOS HOSPITALARIOS"))))))))))))))))))))))))))))))))))))</f>
        <v>#REF!</v>
      </c>
      <c r="W109" s="26" t="str">
        <f t="shared" si="3"/>
        <v>Yenny Paola Quenan Caipe</v>
      </c>
      <c r="X109" s="26" t="str">
        <f t="shared" si="4"/>
        <v>Yenny Paola Quenan Caipe</v>
      </c>
      <c r="Y109" s="26" t="str">
        <f t="shared" si="5"/>
        <v>Yenny Paola Quenan Caipe-1088652780-BLS</v>
      </c>
    </row>
    <row r="110" spans="1:26" s="49" customFormat="1" x14ac:dyDescent="0.2">
      <c r="A110" s="20">
        <v>109</v>
      </c>
      <c r="B110" s="48">
        <v>1088652780</v>
      </c>
      <c r="C110" s="48" t="s">
        <v>286</v>
      </c>
      <c r="D110" s="48" t="s">
        <v>287</v>
      </c>
      <c r="E110" s="48" t="s">
        <v>288</v>
      </c>
      <c r="F110" s="48" t="s">
        <v>105</v>
      </c>
      <c r="G110" s="48">
        <v>17</v>
      </c>
      <c r="H110" s="21" t="s">
        <v>49</v>
      </c>
      <c r="I110" s="52" t="s">
        <v>377</v>
      </c>
      <c r="J110" s="52"/>
      <c r="K110" s="23" t="s">
        <v>293</v>
      </c>
      <c r="L110" s="24">
        <v>64000</v>
      </c>
      <c r="M110" s="21" t="s">
        <v>180</v>
      </c>
      <c r="N110" s="21" t="s">
        <v>387</v>
      </c>
      <c r="O110" s="48" t="s">
        <v>69</v>
      </c>
      <c r="P110" s="21" t="s">
        <v>27</v>
      </c>
      <c r="Q110" s="52">
        <v>34980</v>
      </c>
      <c r="R110" s="48" t="s">
        <v>71</v>
      </c>
      <c r="S110" s="48" t="s">
        <v>289</v>
      </c>
      <c r="T110" s="53">
        <v>3235936061</v>
      </c>
      <c r="U110" s="21" t="s">
        <v>290</v>
      </c>
      <c r="V110" s="26" t="e">
        <f>IF(P110=#REF!,"DIPLOMADO EN ATENCION PRE-HOSPITALARIA",IF(P110=#REF!,"ACOMPAÑAMIENTO Y MANEJO DEL DUELO",IF(P110=#REF!,"ATENCION A VICTIMAS DE ATAQUE CON AGENTES QUIMICOS ",IF(P110=#REF!,"PRIMEROS AUXILIOS ",IF(P110=#REF!,"DIPLOMADO DE UNIDAD DE CUIDADOS INTENSIVOS (UCI)",IF(P110=#REF!,"MODELO DE ATENCION PARA EVENTOS EMERGENTES EN SALUD MENTAL (CODIGO VERDE)",IF(P110=#REF!,"HUMANIZACION EN EL SERVICIO DE LA SALUD Y BUENAS PRACTICAS EN PACIENTE ",IF(P110=#REF!,"CLINICA DE HERIDAS ",IF(P110=#REF!,"TOMA DE CITOLOGIA CERVICO VAGINAL ",IF(P110=#REF!,"SOPORTE CARDIOVASCULAR AVANZADO (ACLS) ",IF(P110=#REF!,"CAMILLERO ",IF(P110=#REF!,"TOMA DE MUESTRAS Y LABORATORIO ",IF(P110=#REF!,"SOPORTE VITAL BASICO (BLS)",IF(P110=#REF!,"ATENCION A VICTIMAS DE VIOLENCIA SEXUAL ",IF(P110=#REF!,"PROGRAMADO AMPLIADO DE INMUNIZACION (PAI - COVID 19)",IF(P110=#REF!,"ATENCION INTEGRAL EN ENFERMEDADES PREVALENTES EN PRIMERA INFANCIA (AIEPI)",IF(P110=#REF!,"ADMINISTRACION DE MEDICAMENTOS, INYECTOLOGIA  Y CANALIZACION ",IF(P110=#REF!,"OPERADOR DE VEHICULOS DE EMERGENCIA (OVE)",IF(P110=#REF!,"INSTITUCIONES AMIGAS DE LA MUJER Y LA INFANCIA (IAMI)",IF(P110=#REF!,"CUIDADO DEL DONANTE DE ORGANOS",IF(P110=#REF!,"ATENCION A VICTIMAS POR VIOLENCIA DE GENERO",IF(P110=#REF!,"IGUALDAD DE GENERO EN LA SALUD",IF(P110=#REF!,"BRIGADA DE EMERGENCIA",IF(P110=#REF!,"MANEJO DEL DOLOR Y CUIDADOS PALIATIVOS",IF(P110=#REF!,"TOMA DE MUESTRAS Y LABORATORIO POCT",IF(P110=#REF!,"IMPLANTE SUBDERMICO DE DISPOSITIVO INTRAUTERINO",IF(P110=#REF!,"SALUD MENTAL",IF(P110=#REF!,"PRIMEROS AUXILIOS PSICOLOGICOS",IF(P110=#REF!,"ATENCION A VICTIMAS POR CONFLICTO ARMADO",IF(P110=#REF!,"MANIPULACION DE ALIMENTOS Y BPM",IF(P110=#REF!,"ATENCION A PERSONAS CON DISCAPACIDAD",IF(P110=#REF!,"CUIDADO INTEGRAL DEL PACIENTE ADULTO",IF(P110=#REF!,"MANEJO DEFENSIVO",IF(P110=#REF!,"SOPORTE CARDIOVASCULAR AVANZADO NEONATAL",IF(P110=#REF!,"SEGURIDAD DEL PACIENTE",IF(P110=#REF!,"MANEJO DE RESIDUOS HOSPITALARIOS"))))))))))))))))))))))))))))))))))))</f>
        <v>#REF!</v>
      </c>
      <c r="W110" s="26" t="str">
        <f t="shared" si="3"/>
        <v>Yenny Paola Quenan Caipe</v>
      </c>
      <c r="X110" s="26" t="str">
        <f t="shared" si="4"/>
        <v>Yenny Paola Quenan Caipe</v>
      </c>
      <c r="Y110" s="26" t="str">
        <f t="shared" si="5"/>
        <v>Yenny Paola Quenan Caipe-1088652780-VIOLENCIA SEXUAL</v>
      </c>
    </row>
    <row r="111" spans="1:26" s="49" customFormat="1" x14ac:dyDescent="0.2">
      <c r="A111" s="20">
        <v>110</v>
      </c>
      <c r="B111" s="48">
        <v>1088652780</v>
      </c>
      <c r="C111" s="48" t="s">
        <v>286</v>
      </c>
      <c r="D111" s="48" t="s">
        <v>287</v>
      </c>
      <c r="E111" s="48" t="s">
        <v>288</v>
      </c>
      <c r="F111" s="48" t="s">
        <v>105</v>
      </c>
      <c r="G111" s="48">
        <v>17</v>
      </c>
      <c r="H111" s="21" t="s">
        <v>49</v>
      </c>
      <c r="I111" s="52" t="s">
        <v>377</v>
      </c>
      <c r="J111" s="52"/>
      <c r="K111" s="23">
        <v>45675</v>
      </c>
      <c r="L111" s="24">
        <v>64000</v>
      </c>
      <c r="M111" s="21" t="s">
        <v>133</v>
      </c>
      <c r="N111" s="21" t="s">
        <v>387</v>
      </c>
      <c r="O111" s="48" t="s">
        <v>69</v>
      </c>
      <c r="P111" s="21" t="s">
        <v>21</v>
      </c>
      <c r="Q111" s="52">
        <v>34980</v>
      </c>
      <c r="R111" s="48" t="s">
        <v>71</v>
      </c>
      <c r="S111" s="48" t="s">
        <v>289</v>
      </c>
      <c r="T111" s="53">
        <v>3235936061</v>
      </c>
      <c r="U111" s="21" t="s">
        <v>290</v>
      </c>
      <c r="V111" s="26" t="e">
        <f>IF(P111=#REF!,"DIPLOMADO EN ATENCION PRE-HOSPITALARIA",IF(P111=#REF!,"ACOMPAÑAMIENTO Y MANEJO DEL DUELO",IF(P111=#REF!,"ATENCION A VICTIMAS DE ATAQUE CON AGENTES QUIMICOS ",IF(P111=#REF!,"PRIMEROS AUXILIOS ",IF(P111=#REF!,"DIPLOMADO DE UNIDAD DE CUIDADOS INTENSIVOS (UCI)",IF(P111=#REF!,"MODELO DE ATENCION PARA EVENTOS EMERGENTES EN SALUD MENTAL (CODIGO VERDE)",IF(P111=#REF!,"HUMANIZACION EN EL SERVICIO DE LA SALUD Y BUENAS PRACTICAS EN PACIENTE ",IF(P111=#REF!,"CLINICA DE HERIDAS ",IF(P111=#REF!,"TOMA DE CITOLOGIA CERVICO VAGINAL ",IF(P111=#REF!,"SOPORTE CARDIOVASCULAR AVANZADO (ACLS) ",IF(P111=#REF!,"CAMILLERO ",IF(P111=#REF!,"TOMA DE MUESTRAS Y LABORATORIO ",IF(P111=#REF!,"SOPORTE VITAL BASICO (BLS)",IF(P111=#REF!,"ATENCION A VICTIMAS DE VIOLENCIA SEXUAL ",IF(P111=#REF!,"PROGRAMADO AMPLIADO DE INMUNIZACION (PAI - COVID 19)",IF(P111=#REF!,"ATENCION INTEGRAL EN ENFERMEDADES PREVALENTES EN PRIMERA INFANCIA (AIEPI)",IF(P111=#REF!,"ADMINISTRACION DE MEDICAMENTOS, INYECTOLOGIA  Y CANALIZACION ",IF(P111=#REF!,"OPERADOR DE VEHICULOS DE EMERGENCIA (OVE)",IF(P111=#REF!,"INSTITUCIONES AMIGAS DE LA MUJER Y LA INFANCIA (IAMI)",IF(P111=#REF!,"CUIDADO DEL DONANTE DE ORGANOS",IF(P111=#REF!,"ATENCION A VICTIMAS POR VIOLENCIA DE GENERO",IF(P111=#REF!,"IGUALDAD DE GENERO EN LA SALUD",IF(P111=#REF!,"BRIGADA DE EMERGENCIA",IF(P111=#REF!,"MANEJO DEL DOLOR Y CUIDADOS PALIATIVOS",IF(P111=#REF!,"TOMA DE MUESTRAS Y LABORATORIO POCT",IF(P111=#REF!,"IMPLANTE SUBDERMICO DE DISPOSITIVO INTRAUTERINO",IF(P111=#REF!,"SALUD MENTAL",IF(P111=#REF!,"PRIMEROS AUXILIOS PSICOLOGICOS",IF(P111=#REF!,"ATENCION A VICTIMAS POR CONFLICTO ARMADO",IF(P111=#REF!,"MANIPULACION DE ALIMENTOS Y BPM",IF(P111=#REF!,"ATENCION A PERSONAS CON DISCAPACIDAD",IF(P111=#REF!,"CUIDADO INTEGRAL DEL PACIENTE ADULTO",IF(P111=#REF!,"MANEJO DEFENSIVO",IF(P111=#REF!,"SOPORTE CARDIOVASCULAR AVANZADO NEONATAL",IF(P111=#REF!,"SEGURIDAD DEL PACIENTE",IF(P111=#REF!,"MANEJO DE RESIDUOS HOSPITALARIOS"))))))))))))))))))))))))))))))))))))</f>
        <v>#REF!</v>
      </c>
      <c r="W111" s="26" t="str">
        <f t="shared" si="3"/>
        <v>Yenny Paola Quenan Caipe</v>
      </c>
      <c r="X111" s="26" t="str">
        <f t="shared" si="4"/>
        <v>Yenny Paola Quenan Caipe</v>
      </c>
      <c r="Y111" s="26" t="str">
        <f t="shared" si="5"/>
        <v>Yenny Paola Quenan Caipe-1088652780-QUIMICOS</v>
      </c>
    </row>
    <row r="112" spans="1:26" s="19" customFormat="1" x14ac:dyDescent="0.2">
      <c r="A112" s="20">
        <v>111</v>
      </c>
      <c r="B112" s="48">
        <v>1088648491</v>
      </c>
      <c r="C112" s="48" t="s">
        <v>175</v>
      </c>
      <c r="D112" s="48" t="s">
        <v>291</v>
      </c>
      <c r="E112" s="48" t="s">
        <v>292</v>
      </c>
      <c r="F112" s="48" t="s">
        <v>82</v>
      </c>
      <c r="G112" s="48">
        <v>18</v>
      </c>
      <c r="H112" s="21" t="s">
        <v>49</v>
      </c>
      <c r="I112" s="52" t="s">
        <v>377</v>
      </c>
      <c r="J112" s="52"/>
      <c r="K112" s="23">
        <v>45675</v>
      </c>
      <c r="L112" s="24">
        <v>64000</v>
      </c>
      <c r="M112" s="21" t="s">
        <v>133</v>
      </c>
      <c r="N112" s="21" t="s">
        <v>387</v>
      </c>
      <c r="O112" s="48" t="s">
        <v>69</v>
      </c>
      <c r="P112" s="21" t="s">
        <v>19</v>
      </c>
      <c r="Q112" s="22">
        <v>38255</v>
      </c>
      <c r="R112" s="48" t="s">
        <v>71</v>
      </c>
      <c r="S112" s="48" t="s">
        <v>107</v>
      </c>
      <c r="T112" s="53">
        <v>3164072401</v>
      </c>
      <c r="U112" s="21"/>
      <c r="V112" s="26" t="e">
        <f>IF(P112=#REF!,"DIPLOMADO EN ATENCION PRE-HOSPITALARIA",IF(P112=#REF!,"ACOMPAÑAMIENTO Y MANEJO DEL DUELO",IF(P112=#REF!,"ATENCION A VICTIMAS DE ATAQUE CON AGENTES QUIMICOS ",IF(P112=#REF!,"PRIMEROS AUXILIOS ",IF(P112=#REF!,"DIPLOMADO DE UNIDAD DE CUIDADOS INTENSIVOS (UCI)",IF(P112=#REF!,"MODELO DE ATENCION PARA EVENTOS EMERGENTES EN SALUD MENTAL (CODIGO VERDE)",IF(P112=#REF!,"HUMANIZACION EN EL SERVICIO DE LA SALUD Y BUENAS PRACTICAS EN PACIENTE ",IF(P112=#REF!,"CLINICA DE HERIDAS ",IF(P112=#REF!,"TOMA DE CITOLOGIA CERVICO VAGINAL ",IF(P112=#REF!,"SOPORTE CARDIOVASCULAR AVANZADO (ACLS) ",IF(P112=#REF!,"CAMILLERO ",IF(P112=#REF!,"TOMA DE MUESTRAS Y LABORATORIO ",IF(P112=#REF!,"SOPORTE VITAL BASICO (BLS)",IF(P112=#REF!,"ATENCION A VICTIMAS DE VIOLENCIA SEXUAL ",IF(P112=#REF!,"PROGRAMADO AMPLIADO DE INMUNIZACION (PAI - COVID 19)",IF(P112=#REF!,"ATENCION INTEGRAL EN ENFERMEDADES PREVALENTES EN PRIMERA INFANCIA (AIEPI)",IF(P112=#REF!,"ADMINISTRACION DE MEDICAMENTOS, INYECTOLOGIA  Y CANALIZACION ",IF(P112=#REF!,"OPERADOR DE VEHICULOS DE EMERGENCIA (OVE)",IF(P112=#REF!,"INSTITUCIONES AMIGAS DE LA MUJER Y LA INFANCIA (IAMI)",IF(P112=#REF!,"CUIDADO DEL DONANTE DE ORGANOS",IF(P112=#REF!,"ATENCION A VICTIMAS POR VIOLENCIA DE GENERO",IF(P112=#REF!,"IGUALDAD DE GENERO EN LA SALUD",IF(P112=#REF!,"BRIGADA DE EMERGENCIA",IF(P112=#REF!,"MANEJO DEL DOLOR Y CUIDADOS PALIATIVOS",IF(P112=#REF!,"TOMA DE MUESTRAS Y LABORATORIO POCT",IF(P112=#REF!,"IMPLANTE SUBDERMICO DE DISPOSITIVO INTRAUTERINO",IF(P112=#REF!,"SALUD MENTAL",IF(P112=#REF!,"PRIMEROS AUXILIOS PSICOLOGICOS",IF(P112=#REF!,"ATENCION A VICTIMAS POR CONFLICTO ARMADO",IF(P112=#REF!,"MANIPULACION DE ALIMENTOS Y BPM",IF(P112=#REF!,"ATENCION A PERSONAS CON DISCAPACIDAD",IF(P112=#REF!,"CUIDADO INTEGRAL DEL PACIENTE ADULTO",IF(P112=#REF!,"MANEJO DEFENSIVO",IF(P112=#REF!,"SOPORTE CARDIOVASCULAR AVANZADO NEONATAL",IF(P112=#REF!,"SEGURIDAD DEL PACIENTE",IF(P112=#REF!,"MANEJO DE RESIDUOS HOSPITALARIOS"))))))))))))))))))))))))))))))))))))</f>
        <v>#REF!</v>
      </c>
      <c r="W112" s="26" t="str">
        <f t="shared" si="3"/>
        <v>Karen Andrea Rosero Marcillo</v>
      </c>
      <c r="X112" s="26" t="str">
        <f t="shared" si="4"/>
        <v>Karen Andrea Rosero Marcillo</v>
      </c>
      <c r="Y112" s="26" t="str">
        <f t="shared" si="5"/>
        <v>Karen Andrea Rosero Marcillo-1088648491-BLS</v>
      </c>
    </row>
    <row r="113" spans="1:25" s="19" customFormat="1" x14ac:dyDescent="0.2">
      <c r="A113" s="20">
        <v>112</v>
      </c>
      <c r="B113" s="48">
        <v>1088648491</v>
      </c>
      <c r="C113" s="48" t="s">
        <v>175</v>
      </c>
      <c r="D113" s="48" t="s">
        <v>291</v>
      </c>
      <c r="E113" s="48" t="s">
        <v>292</v>
      </c>
      <c r="F113" s="48" t="s">
        <v>82</v>
      </c>
      <c r="G113" s="48">
        <v>17</v>
      </c>
      <c r="H113" s="21" t="s">
        <v>49</v>
      </c>
      <c r="I113" s="52" t="s">
        <v>377</v>
      </c>
      <c r="J113" s="52"/>
      <c r="K113" s="23">
        <v>45675</v>
      </c>
      <c r="L113" s="24">
        <v>64000</v>
      </c>
      <c r="M113" s="21" t="s">
        <v>133</v>
      </c>
      <c r="N113" s="21" t="s">
        <v>387</v>
      </c>
      <c r="O113" s="48" t="s">
        <v>69</v>
      </c>
      <c r="P113" s="21" t="s">
        <v>27</v>
      </c>
      <c r="Q113" s="22">
        <v>38255</v>
      </c>
      <c r="R113" s="48" t="s">
        <v>71</v>
      </c>
      <c r="S113" s="48" t="s">
        <v>107</v>
      </c>
      <c r="T113" s="53">
        <v>3164072401</v>
      </c>
      <c r="U113" s="21"/>
      <c r="V113" s="26" t="e">
        <f>IF(P113=#REF!,"DIPLOMADO EN ATENCION PRE-HOSPITALARIA",IF(P113=#REF!,"ACOMPAÑAMIENTO Y MANEJO DEL DUELO",IF(P113=#REF!,"ATENCION A VICTIMAS DE ATAQUE CON AGENTES QUIMICOS ",IF(P113=#REF!,"PRIMEROS AUXILIOS ",IF(P113=#REF!,"DIPLOMADO DE UNIDAD DE CUIDADOS INTENSIVOS (UCI)",IF(P113=#REF!,"MODELO DE ATENCION PARA EVENTOS EMERGENTES EN SALUD MENTAL (CODIGO VERDE)",IF(P113=#REF!,"HUMANIZACION EN EL SERVICIO DE LA SALUD Y BUENAS PRACTICAS EN PACIENTE ",IF(P113=#REF!,"CLINICA DE HERIDAS ",IF(P113=#REF!,"TOMA DE CITOLOGIA CERVICO VAGINAL ",IF(P113=#REF!,"SOPORTE CARDIOVASCULAR AVANZADO (ACLS) ",IF(P113=#REF!,"CAMILLERO ",IF(P113=#REF!,"TOMA DE MUESTRAS Y LABORATORIO ",IF(P113=#REF!,"SOPORTE VITAL BASICO (BLS)",IF(P113=#REF!,"ATENCION A VICTIMAS DE VIOLENCIA SEXUAL ",IF(P113=#REF!,"PROGRAMADO AMPLIADO DE INMUNIZACION (PAI - COVID 19)",IF(P113=#REF!,"ATENCION INTEGRAL EN ENFERMEDADES PREVALENTES EN PRIMERA INFANCIA (AIEPI)",IF(P113=#REF!,"ADMINISTRACION DE MEDICAMENTOS, INYECTOLOGIA  Y CANALIZACION ",IF(P113=#REF!,"OPERADOR DE VEHICULOS DE EMERGENCIA (OVE)",IF(P113=#REF!,"INSTITUCIONES AMIGAS DE LA MUJER Y LA INFANCIA (IAMI)",IF(P113=#REF!,"CUIDADO DEL DONANTE DE ORGANOS",IF(P113=#REF!,"ATENCION A VICTIMAS POR VIOLENCIA DE GENERO",IF(P113=#REF!,"IGUALDAD DE GENERO EN LA SALUD",IF(P113=#REF!,"BRIGADA DE EMERGENCIA",IF(P113=#REF!,"MANEJO DEL DOLOR Y CUIDADOS PALIATIVOS",IF(P113=#REF!,"TOMA DE MUESTRAS Y LABORATORIO POCT",IF(P113=#REF!,"IMPLANTE SUBDERMICO DE DISPOSITIVO INTRAUTERINO",IF(P113=#REF!,"SALUD MENTAL",IF(P113=#REF!,"PRIMEROS AUXILIOS PSICOLOGICOS",IF(P113=#REF!,"ATENCION A VICTIMAS POR CONFLICTO ARMADO",IF(P113=#REF!,"MANIPULACION DE ALIMENTOS Y BPM",IF(P113=#REF!,"ATENCION A PERSONAS CON DISCAPACIDAD",IF(P113=#REF!,"CUIDADO INTEGRAL DEL PACIENTE ADULTO",IF(P113=#REF!,"MANEJO DEFENSIVO",IF(P113=#REF!,"SOPORTE CARDIOVASCULAR AVANZADO NEONATAL",IF(P113=#REF!,"SEGURIDAD DEL PACIENTE",IF(P113=#REF!,"MANEJO DE RESIDUOS HOSPITALARIOS"))))))))))))))))))))))))))))))))))))</f>
        <v>#REF!</v>
      </c>
      <c r="W113" s="26" t="str">
        <f t="shared" si="3"/>
        <v>Karen Andrea Rosero Marcillo</v>
      </c>
      <c r="X113" s="26" t="str">
        <f t="shared" si="4"/>
        <v>Karen Andrea Rosero Marcillo</v>
      </c>
      <c r="Y113" s="26" t="str">
        <f t="shared" si="5"/>
        <v>Karen Andrea Rosero Marcillo-1088648491-VIOLENCIA SEXUAL</v>
      </c>
    </row>
    <row r="114" spans="1:25" s="19" customFormat="1" x14ac:dyDescent="0.2">
      <c r="A114" s="20">
        <v>113</v>
      </c>
      <c r="B114" s="48">
        <v>1088648491</v>
      </c>
      <c r="C114" s="48" t="s">
        <v>175</v>
      </c>
      <c r="D114" s="48" t="s">
        <v>291</v>
      </c>
      <c r="E114" s="48" t="s">
        <v>292</v>
      </c>
      <c r="F114" s="48" t="s">
        <v>82</v>
      </c>
      <c r="G114" s="48">
        <v>17</v>
      </c>
      <c r="H114" s="21" t="s">
        <v>49</v>
      </c>
      <c r="I114" s="52" t="s">
        <v>377</v>
      </c>
      <c r="J114" s="52"/>
      <c r="K114" s="23">
        <v>45675</v>
      </c>
      <c r="L114" s="24">
        <v>64000</v>
      </c>
      <c r="M114" s="21" t="s">
        <v>133</v>
      </c>
      <c r="N114" s="21" t="s">
        <v>387</v>
      </c>
      <c r="O114" s="48" t="s">
        <v>69</v>
      </c>
      <c r="P114" s="21" t="s">
        <v>21</v>
      </c>
      <c r="Q114" s="22">
        <v>38255</v>
      </c>
      <c r="R114" s="48" t="s">
        <v>71</v>
      </c>
      <c r="S114" s="48" t="s">
        <v>107</v>
      </c>
      <c r="T114" s="53">
        <v>3164072401</v>
      </c>
      <c r="U114" s="21"/>
      <c r="V114" s="26" t="e">
        <f>IF(P114=#REF!,"DIPLOMADO EN ATENCION PRE-HOSPITALARIA",IF(P114=#REF!,"ACOMPAÑAMIENTO Y MANEJO DEL DUELO",IF(P114=#REF!,"ATENCION A VICTIMAS DE ATAQUE CON AGENTES QUIMICOS ",IF(P114=#REF!,"PRIMEROS AUXILIOS ",IF(P114=#REF!,"DIPLOMADO DE UNIDAD DE CUIDADOS INTENSIVOS (UCI)",IF(P114=#REF!,"MODELO DE ATENCION PARA EVENTOS EMERGENTES EN SALUD MENTAL (CODIGO VERDE)",IF(P114=#REF!,"HUMANIZACION EN EL SERVICIO DE LA SALUD Y BUENAS PRACTICAS EN PACIENTE ",IF(P114=#REF!,"CLINICA DE HERIDAS ",IF(P114=#REF!,"TOMA DE CITOLOGIA CERVICO VAGINAL ",IF(P114=#REF!,"SOPORTE CARDIOVASCULAR AVANZADO (ACLS) ",IF(P114=#REF!,"CAMILLERO ",IF(P114=#REF!,"TOMA DE MUESTRAS Y LABORATORIO ",IF(P114=#REF!,"SOPORTE VITAL BASICO (BLS)",IF(P114=#REF!,"ATENCION A VICTIMAS DE VIOLENCIA SEXUAL ",IF(P114=#REF!,"PROGRAMADO AMPLIADO DE INMUNIZACION (PAI - COVID 19)",IF(P114=#REF!,"ATENCION INTEGRAL EN ENFERMEDADES PREVALENTES EN PRIMERA INFANCIA (AIEPI)",IF(P114=#REF!,"ADMINISTRACION DE MEDICAMENTOS, INYECTOLOGIA  Y CANALIZACION ",IF(P114=#REF!,"OPERADOR DE VEHICULOS DE EMERGENCIA (OVE)",IF(P114=#REF!,"INSTITUCIONES AMIGAS DE LA MUJER Y LA INFANCIA (IAMI)",IF(P114=#REF!,"CUIDADO DEL DONANTE DE ORGANOS",IF(P114=#REF!,"ATENCION A VICTIMAS POR VIOLENCIA DE GENERO",IF(P114=#REF!,"IGUALDAD DE GENERO EN LA SALUD",IF(P114=#REF!,"BRIGADA DE EMERGENCIA",IF(P114=#REF!,"MANEJO DEL DOLOR Y CUIDADOS PALIATIVOS",IF(P114=#REF!,"TOMA DE MUESTRAS Y LABORATORIO POCT",IF(P114=#REF!,"IMPLANTE SUBDERMICO DE DISPOSITIVO INTRAUTERINO",IF(P114=#REF!,"SALUD MENTAL",IF(P114=#REF!,"PRIMEROS AUXILIOS PSICOLOGICOS",IF(P114=#REF!,"ATENCION A VICTIMAS POR CONFLICTO ARMADO",IF(P114=#REF!,"MANIPULACION DE ALIMENTOS Y BPM",IF(P114=#REF!,"ATENCION A PERSONAS CON DISCAPACIDAD",IF(P114=#REF!,"CUIDADO INTEGRAL DEL PACIENTE ADULTO",IF(P114=#REF!,"MANEJO DEFENSIVO",IF(P114=#REF!,"SOPORTE CARDIOVASCULAR AVANZADO NEONATAL",IF(P114=#REF!,"SEGURIDAD DEL PACIENTE",IF(P114=#REF!,"MANEJO DE RESIDUOS HOSPITALARIOS"))))))))))))))))))))))))))))))))))))</f>
        <v>#REF!</v>
      </c>
      <c r="W114" s="26" t="str">
        <f t="shared" si="3"/>
        <v>Karen Andrea Rosero Marcillo</v>
      </c>
      <c r="X114" s="26" t="str">
        <f t="shared" si="4"/>
        <v>Karen Andrea Rosero Marcillo</v>
      </c>
      <c r="Y114" s="26" t="str">
        <f t="shared" si="5"/>
        <v>Karen Andrea Rosero Marcillo-1088648491-QUIMICOS</v>
      </c>
    </row>
    <row r="115" spans="1:25" s="19" customFormat="1" x14ac:dyDescent="0.2">
      <c r="A115" s="20">
        <v>114</v>
      </c>
      <c r="B115" s="21">
        <v>1085916749</v>
      </c>
      <c r="C115" s="48" t="s">
        <v>272</v>
      </c>
      <c r="D115" s="48" t="s">
        <v>294</v>
      </c>
      <c r="E115" s="48" t="s">
        <v>295</v>
      </c>
      <c r="F115" s="48" t="s">
        <v>146</v>
      </c>
      <c r="G115" s="48">
        <v>17</v>
      </c>
      <c r="H115" s="21" t="s">
        <v>49</v>
      </c>
      <c r="I115" s="52" t="s">
        <v>376</v>
      </c>
      <c r="J115" s="52"/>
      <c r="K115" s="23">
        <v>45677</v>
      </c>
      <c r="L115" s="24">
        <v>80000</v>
      </c>
      <c r="M115" s="21" t="s">
        <v>106</v>
      </c>
      <c r="N115" s="21" t="s">
        <v>387</v>
      </c>
      <c r="O115" s="21" t="s">
        <v>95</v>
      </c>
      <c r="P115" s="21" t="s">
        <v>24</v>
      </c>
      <c r="Q115" s="22">
        <v>32869</v>
      </c>
      <c r="R115" s="48" t="s">
        <v>71</v>
      </c>
      <c r="S115" s="21" t="s">
        <v>296</v>
      </c>
      <c r="T115" s="21">
        <v>3128824242</v>
      </c>
      <c r="U115" s="21" t="s">
        <v>297</v>
      </c>
      <c r="V115" s="26" t="e">
        <f>IF(P115=#REF!,"DIPLOMADO EN ATENCION PRE-HOSPITALARIA",IF(P115=#REF!,"ACOMPAÑAMIENTO Y MANEJO DEL DUELO",IF(P115=#REF!,"ATENCION A VICTIMAS DE ATAQUE CON AGENTES QUIMICOS ",IF(P115=#REF!,"PRIMEROS AUXILIOS ",IF(P115=#REF!,"DIPLOMADO DE UNIDAD DE CUIDADOS INTENSIVOS (UCI)",IF(P115=#REF!,"MODELO DE ATENCION PARA EVENTOS EMERGENTES EN SALUD MENTAL (CODIGO VERDE)",IF(P115=#REF!,"HUMANIZACION EN EL SERVICIO DE LA SALUD Y BUENAS PRACTICAS EN PACIENTE ",IF(P115=#REF!,"CLINICA DE HERIDAS ",IF(P115=#REF!,"TOMA DE CITOLOGIA CERVICO VAGINAL ",IF(P115=#REF!,"SOPORTE CARDIOVASCULAR AVANZADO (ACLS) ",IF(P115=#REF!,"CAMILLERO ",IF(P115=#REF!,"TOMA DE MUESTRAS Y LABORATORIO ",IF(P115=#REF!,"SOPORTE VITAL BASICO (BLS)",IF(P115=#REF!,"ATENCION A VICTIMAS DE VIOLENCIA SEXUAL ",IF(P115=#REF!,"PROGRAMADO AMPLIADO DE INMUNIZACION (PAI - COVID 19)",IF(P115=#REF!,"ATENCION INTEGRAL EN ENFERMEDADES PREVALENTES EN PRIMERA INFANCIA (AIEPI)",IF(P115=#REF!,"ADMINISTRACION DE MEDICAMENTOS, INYECTOLOGIA  Y CANALIZACION ",IF(P115=#REF!,"OPERADOR DE VEHICULOS DE EMERGENCIA (OVE)",IF(P115=#REF!,"INSTITUCIONES AMIGAS DE LA MUJER Y LA INFANCIA (IAMI)",IF(P115=#REF!,"CUIDADO DEL DONANTE DE ORGANOS",IF(P115=#REF!,"ATENCION A VICTIMAS POR VIOLENCIA DE GENERO",IF(P115=#REF!,"IGUALDAD DE GENERO EN LA SALUD",IF(P115=#REF!,"BRIGADA DE EMERGENCIA",IF(P115=#REF!,"MANEJO DEL DOLOR Y CUIDADOS PALIATIVOS",IF(P115=#REF!,"TOMA DE MUESTRAS Y LABORATORIO POCT",IF(P115=#REF!,"IMPLANTE SUBDERMICO DE DISPOSITIVO INTRAUTERINO",IF(P115=#REF!,"SALUD MENTAL",IF(P115=#REF!,"PRIMEROS AUXILIOS PSICOLOGICOS",IF(P115=#REF!,"ATENCION A VICTIMAS POR CONFLICTO ARMADO",IF(P115=#REF!,"MANIPULACION DE ALIMENTOS Y BPM",IF(P115=#REF!,"ATENCION A PERSONAS CON DISCAPACIDAD",IF(P115=#REF!,"CUIDADO INTEGRAL DEL PACIENTE ADULTO",IF(P115=#REF!,"MANEJO DEFENSIVO",IF(P115=#REF!,"SOPORTE CARDIOVASCULAR AVANZADO NEONATAL",IF(P115=#REF!,"SEGURIDAD DEL PACIENTE",IF(P115=#REF!,"MANEJO DE RESIDUOS HOSPITALARIOS"))))))))))))))))))))))))))))))))))))</f>
        <v>#REF!</v>
      </c>
      <c r="W115" s="26" t="str">
        <f t="shared" si="3"/>
        <v>Katerine Daniela Hernandez Chamorro</v>
      </c>
      <c r="X115" s="26" t="str">
        <f t="shared" si="4"/>
        <v>Katerine Daniela Hernandez Chamorro</v>
      </c>
      <c r="Y115" s="26" t="str">
        <f t="shared" si="5"/>
        <v>Katerine Daniela Hernandez Chamorro-1085916749-ACLS</v>
      </c>
    </row>
    <row r="116" spans="1:25" s="19" customFormat="1" x14ac:dyDescent="0.2">
      <c r="A116" s="20">
        <v>115</v>
      </c>
      <c r="B116" s="21">
        <v>1085916749</v>
      </c>
      <c r="C116" s="48" t="s">
        <v>272</v>
      </c>
      <c r="D116" s="48" t="s">
        <v>294</v>
      </c>
      <c r="E116" s="48" t="s">
        <v>295</v>
      </c>
      <c r="F116" s="48" t="s">
        <v>146</v>
      </c>
      <c r="G116" s="48">
        <v>17</v>
      </c>
      <c r="H116" s="21" t="s">
        <v>49</v>
      </c>
      <c r="I116" s="52" t="s">
        <v>376</v>
      </c>
      <c r="J116" s="52"/>
      <c r="K116" s="23">
        <v>45677</v>
      </c>
      <c r="L116" s="24">
        <v>20000</v>
      </c>
      <c r="M116" s="21" t="s">
        <v>106</v>
      </c>
      <c r="N116" s="21" t="s">
        <v>387</v>
      </c>
      <c r="O116" s="21" t="s">
        <v>95</v>
      </c>
      <c r="P116" s="21" t="s">
        <v>19</v>
      </c>
      <c r="Q116" s="22">
        <v>32869</v>
      </c>
      <c r="R116" s="48" t="s">
        <v>71</v>
      </c>
      <c r="S116" s="21" t="s">
        <v>296</v>
      </c>
      <c r="T116" s="21">
        <v>3128824242</v>
      </c>
      <c r="U116" s="21" t="s">
        <v>297</v>
      </c>
      <c r="V116" s="26" t="e">
        <f>IF(P116=#REF!,"DIPLOMADO EN ATENCION PRE-HOSPITALARIA",IF(P116=#REF!,"ACOMPAÑAMIENTO Y MANEJO DEL DUELO",IF(P116=#REF!,"ATENCION A VICTIMAS DE ATAQUE CON AGENTES QUIMICOS ",IF(P116=#REF!,"PRIMEROS AUXILIOS ",IF(P116=#REF!,"DIPLOMADO DE UNIDAD DE CUIDADOS INTENSIVOS (UCI)",IF(P116=#REF!,"MODELO DE ATENCION PARA EVENTOS EMERGENTES EN SALUD MENTAL (CODIGO VERDE)",IF(P116=#REF!,"HUMANIZACION EN EL SERVICIO DE LA SALUD Y BUENAS PRACTICAS EN PACIENTE ",IF(P116=#REF!,"CLINICA DE HERIDAS ",IF(P116=#REF!,"TOMA DE CITOLOGIA CERVICO VAGINAL ",IF(P116=#REF!,"SOPORTE CARDIOVASCULAR AVANZADO (ACLS) ",IF(P116=#REF!,"CAMILLERO ",IF(P116=#REF!,"TOMA DE MUESTRAS Y LABORATORIO ",IF(P116=#REF!,"SOPORTE VITAL BASICO (BLS)",IF(P116=#REF!,"ATENCION A VICTIMAS DE VIOLENCIA SEXUAL ",IF(P116=#REF!,"PROGRAMADO AMPLIADO DE INMUNIZACION (PAI - COVID 19)",IF(P116=#REF!,"ATENCION INTEGRAL EN ENFERMEDADES PREVALENTES EN PRIMERA INFANCIA (AIEPI)",IF(P116=#REF!,"ADMINISTRACION DE MEDICAMENTOS, INYECTOLOGIA  Y CANALIZACION ",IF(P116=#REF!,"OPERADOR DE VEHICULOS DE EMERGENCIA (OVE)",IF(P116=#REF!,"INSTITUCIONES AMIGAS DE LA MUJER Y LA INFANCIA (IAMI)",IF(P116=#REF!,"CUIDADO DEL DONANTE DE ORGANOS",IF(P116=#REF!,"ATENCION A VICTIMAS POR VIOLENCIA DE GENERO",IF(P116=#REF!,"IGUALDAD DE GENERO EN LA SALUD",IF(P116=#REF!,"BRIGADA DE EMERGENCIA",IF(P116=#REF!,"MANEJO DEL DOLOR Y CUIDADOS PALIATIVOS",IF(P116=#REF!,"TOMA DE MUESTRAS Y LABORATORIO POCT",IF(P116=#REF!,"IMPLANTE SUBDERMICO DE DISPOSITIVO INTRAUTERINO",IF(P116=#REF!,"SALUD MENTAL",IF(P116=#REF!,"PRIMEROS AUXILIOS PSICOLOGICOS",IF(P116=#REF!,"ATENCION A VICTIMAS POR CONFLICTO ARMADO",IF(P116=#REF!,"MANIPULACION DE ALIMENTOS Y BPM",IF(P116=#REF!,"ATENCION A PERSONAS CON DISCAPACIDAD",IF(P116=#REF!,"CUIDADO INTEGRAL DEL PACIENTE ADULTO",IF(P116=#REF!,"MANEJO DEFENSIVO",IF(P116=#REF!,"SOPORTE CARDIOVASCULAR AVANZADO NEONATAL",IF(P116=#REF!,"SEGURIDAD DEL PACIENTE",IF(P116=#REF!,"MANEJO DE RESIDUOS HOSPITALARIOS"))))))))))))))))))))))))))))))))))))</f>
        <v>#REF!</v>
      </c>
      <c r="W116" s="26" t="str">
        <f t="shared" si="3"/>
        <v>Katerine Daniela Hernandez Chamorro</v>
      </c>
      <c r="X116" s="26" t="str">
        <f t="shared" si="4"/>
        <v>Katerine Daniela Hernandez Chamorro</v>
      </c>
      <c r="Y116" s="26" t="str">
        <f t="shared" si="5"/>
        <v>Katerine Daniela Hernandez Chamorro-1085916749-BLS</v>
      </c>
    </row>
    <row r="117" spans="1:25" s="19" customFormat="1" x14ac:dyDescent="0.2">
      <c r="A117" s="20">
        <v>116</v>
      </c>
      <c r="B117" s="21">
        <v>1085916749</v>
      </c>
      <c r="C117" s="48" t="s">
        <v>272</v>
      </c>
      <c r="D117" s="48" t="s">
        <v>294</v>
      </c>
      <c r="E117" s="48" t="s">
        <v>295</v>
      </c>
      <c r="F117" s="48" t="s">
        <v>146</v>
      </c>
      <c r="G117" s="48">
        <v>18</v>
      </c>
      <c r="H117" s="21" t="s">
        <v>49</v>
      </c>
      <c r="I117" s="52" t="s">
        <v>376</v>
      </c>
      <c r="J117" s="52"/>
      <c r="K117" s="23">
        <v>45677</v>
      </c>
      <c r="L117" s="24">
        <v>32000</v>
      </c>
      <c r="M117" s="21" t="s">
        <v>106</v>
      </c>
      <c r="N117" s="21" t="s">
        <v>387</v>
      </c>
      <c r="O117" s="21" t="s">
        <v>95</v>
      </c>
      <c r="P117" s="21" t="s">
        <v>27</v>
      </c>
      <c r="Q117" s="22">
        <v>32869</v>
      </c>
      <c r="R117" s="48" t="s">
        <v>71</v>
      </c>
      <c r="S117" s="21" t="s">
        <v>296</v>
      </c>
      <c r="T117" s="21">
        <v>3128824242</v>
      </c>
      <c r="U117" s="21" t="s">
        <v>297</v>
      </c>
      <c r="V117" s="26" t="e">
        <f>IF(P117=#REF!,"DIPLOMADO EN ATENCION PRE-HOSPITALARIA",IF(P117=#REF!,"ACOMPAÑAMIENTO Y MANEJO DEL DUELO",IF(P117=#REF!,"ATENCION A VICTIMAS DE ATAQUE CON AGENTES QUIMICOS ",IF(P117=#REF!,"PRIMEROS AUXILIOS ",IF(P117=#REF!,"DIPLOMADO DE UNIDAD DE CUIDADOS INTENSIVOS (UCI)",IF(P117=#REF!,"MODELO DE ATENCION PARA EVENTOS EMERGENTES EN SALUD MENTAL (CODIGO VERDE)",IF(P117=#REF!,"HUMANIZACION EN EL SERVICIO DE LA SALUD Y BUENAS PRACTICAS EN PACIENTE ",IF(P117=#REF!,"CLINICA DE HERIDAS ",IF(P117=#REF!,"TOMA DE CITOLOGIA CERVICO VAGINAL ",IF(P117=#REF!,"SOPORTE CARDIOVASCULAR AVANZADO (ACLS) ",IF(P117=#REF!,"CAMILLERO ",IF(P117=#REF!,"TOMA DE MUESTRAS Y LABORATORIO ",IF(P117=#REF!,"SOPORTE VITAL BASICO (BLS)",IF(P117=#REF!,"ATENCION A VICTIMAS DE VIOLENCIA SEXUAL ",IF(P117=#REF!,"PROGRAMADO AMPLIADO DE INMUNIZACION (PAI - COVID 19)",IF(P117=#REF!,"ATENCION INTEGRAL EN ENFERMEDADES PREVALENTES EN PRIMERA INFANCIA (AIEPI)",IF(P117=#REF!,"ADMINISTRACION DE MEDICAMENTOS, INYECTOLOGIA  Y CANALIZACION ",IF(P117=#REF!,"OPERADOR DE VEHICULOS DE EMERGENCIA (OVE)",IF(P117=#REF!,"INSTITUCIONES AMIGAS DE LA MUJER Y LA INFANCIA (IAMI)",IF(P117=#REF!,"CUIDADO DEL DONANTE DE ORGANOS",IF(P117=#REF!,"ATENCION A VICTIMAS POR VIOLENCIA DE GENERO",IF(P117=#REF!,"IGUALDAD DE GENERO EN LA SALUD",IF(P117=#REF!,"BRIGADA DE EMERGENCIA",IF(P117=#REF!,"MANEJO DEL DOLOR Y CUIDADOS PALIATIVOS",IF(P117=#REF!,"TOMA DE MUESTRAS Y LABORATORIO POCT",IF(P117=#REF!,"IMPLANTE SUBDERMICO DE DISPOSITIVO INTRAUTERINO",IF(P117=#REF!,"SALUD MENTAL",IF(P117=#REF!,"PRIMEROS AUXILIOS PSICOLOGICOS",IF(P117=#REF!,"ATENCION A VICTIMAS POR CONFLICTO ARMADO",IF(P117=#REF!,"MANIPULACION DE ALIMENTOS Y BPM",IF(P117=#REF!,"ATENCION A PERSONAS CON DISCAPACIDAD",IF(P117=#REF!,"CUIDADO INTEGRAL DEL PACIENTE ADULTO",IF(P117=#REF!,"MANEJO DEFENSIVO",IF(P117=#REF!,"SOPORTE CARDIOVASCULAR AVANZADO NEONATAL",IF(P117=#REF!,"SEGURIDAD DEL PACIENTE",IF(P117=#REF!,"MANEJO DE RESIDUOS HOSPITALARIOS"))))))))))))))))))))))))))))))))))))</f>
        <v>#REF!</v>
      </c>
      <c r="W117" s="26" t="str">
        <f t="shared" si="3"/>
        <v>Katerine Daniela Hernandez Chamorro</v>
      </c>
      <c r="X117" s="26" t="str">
        <f t="shared" si="4"/>
        <v>Katerine Daniela Hernandez Chamorro</v>
      </c>
      <c r="Y117" s="26" t="str">
        <f t="shared" si="5"/>
        <v>Katerine Daniela Hernandez Chamorro-1085916749-VIOLENCIA SEXUAL</v>
      </c>
    </row>
    <row r="118" spans="1:25" s="19" customFormat="1" x14ac:dyDescent="0.2">
      <c r="A118" s="20">
        <v>117</v>
      </c>
      <c r="B118" s="21">
        <v>1085916749</v>
      </c>
      <c r="C118" s="48" t="s">
        <v>272</v>
      </c>
      <c r="D118" s="48" t="s">
        <v>294</v>
      </c>
      <c r="E118" s="48" t="s">
        <v>295</v>
      </c>
      <c r="F118" s="48" t="s">
        <v>146</v>
      </c>
      <c r="G118" s="48">
        <v>18</v>
      </c>
      <c r="H118" s="21" t="s">
        <v>49</v>
      </c>
      <c r="I118" s="52" t="s">
        <v>376</v>
      </c>
      <c r="J118" s="52"/>
      <c r="K118" s="23">
        <v>45677</v>
      </c>
      <c r="L118" s="24">
        <v>32000</v>
      </c>
      <c r="M118" s="21" t="s">
        <v>106</v>
      </c>
      <c r="N118" s="21" t="s">
        <v>387</v>
      </c>
      <c r="O118" s="21" t="s">
        <v>95</v>
      </c>
      <c r="P118" s="21" t="s">
        <v>21</v>
      </c>
      <c r="Q118" s="22">
        <v>32869</v>
      </c>
      <c r="R118" s="48" t="s">
        <v>71</v>
      </c>
      <c r="S118" s="21" t="s">
        <v>296</v>
      </c>
      <c r="T118" s="21">
        <v>3128824242</v>
      </c>
      <c r="U118" s="21" t="s">
        <v>297</v>
      </c>
      <c r="V118" s="26" t="e">
        <f>IF(P118=#REF!,"DIPLOMADO EN ATENCION PRE-HOSPITALARIA",IF(P118=#REF!,"ACOMPAÑAMIENTO Y MANEJO DEL DUELO",IF(P118=#REF!,"ATENCION A VICTIMAS DE ATAQUE CON AGENTES QUIMICOS ",IF(P118=#REF!,"PRIMEROS AUXILIOS ",IF(P118=#REF!,"DIPLOMADO DE UNIDAD DE CUIDADOS INTENSIVOS (UCI)",IF(P118=#REF!,"MODELO DE ATENCION PARA EVENTOS EMERGENTES EN SALUD MENTAL (CODIGO VERDE)",IF(P118=#REF!,"HUMANIZACION EN EL SERVICIO DE LA SALUD Y BUENAS PRACTICAS EN PACIENTE ",IF(P118=#REF!,"CLINICA DE HERIDAS ",IF(P118=#REF!,"TOMA DE CITOLOGIA CERVICO VAGINAL ",IF(P118=#REF!,"SOPORTE CARDIOVASCULAR AVANZADO (ACLS) ",IF(P118=#REF!,"CAMILLERO ",IF(P118=#REF!,"TOMA DE MUESTRAS Y LABORATORIO ",IF(P118=#REF!,"SOPORTE VITAL BASICO (BLS)",IF(P118=#REF!,"ATENCION A VICTIMAS DE VIOLENCIA SEXUAL ",IF(P118=#REF!,"PROGRAMADO AMPLIADO DE INMUNIZACION (PAI - COVID 19)",IF(P118=#REF!,"ATENCION INTEGRAL EN ENFERMEDADES PREVALENTES EN PRIMERA INFANCIA (AIEPI)",IF(P118=#REF!,"ADMINISTRACION DE MEDICAMENTOS, INYECTOLOGIA  Y CANALIZACION ",IF(P118=#REF!,"OPERADOR DE VEHICULOS DE EMERGENCIA (OVE)",IF(P118=#REF!,"INSTITUCIONES AMIGAS DE LA MUJER Y LA INFANCIA (IAMI)",IF(P118=#REF!,"CUIDADO DEL DONANTE DE ORGANOS",IF(P118=#REF!,"ATENCION A VICTIMAS POR VIOLENCIA DE GENERO",IF(P118=#REF!,"IGUALDAD DE GENERO EN LA SALUD",IF(P118=#REF!,"BRIGADA DE EMERGENCIA",IF(P118=#REF!,"MANEJO DEL DOLOR Y CUIDADOS PALIATIVOS",IF(P118=#REF!,"TOMA DE MUESTRAS Y LABORATORIO POCT",IF(P118=#REF!,"IMPLANTE SUBDERMICO DE DISPOSITIVO INTRAUTERINO",IF(P118=#REF!,"SALUD MENTAL",IF(P118=#REF!,"PRIMEROS AUXILIOS PSICOLOGICOS",IF(P118=#REF!,"ATENCION A VICTIMAS POR CONFLICTO ARMADO",IF(P118=#REF!,"MANIPULACION DE ALIMENTOS Y BPM",IF(P118=#REF!,"ATENCION A PERSONAS CON DISCAPACIDAD",IF(P118=#REF!,"CUIDADO INTEGRAL DEL PACIENTE ADULTO",IF(P118=#REF!,"MANEJO DEFENSIVO",IF(P118=#REF!,"SOPORTE CARDIOVASCULAR AVANZADO NEONATAL",IF(P118=#REF!,"SEGURIDAD DEL PACIENTE",IF(P118=#REF!,"MANEJO DE RESIDUOS HOSPITALARIOS"))))))))))))))))))))))))))))))))))))</f>
        <v>#REF!</v>
      </c>
      <c r="W118" s="26" t="str">
        <f t="shared" si="3"/>
        <v>Katerine Daniela Hernandez Chamorro</v>
      </c>
      <c r="X118" s="26" t="str">
        <f t="shared" si="4"/>
        <v>Katerine Daniela Hernandez Chamorro</v>
      </c>
      <c r="Y118" s="26" t="str">
        <f t="shared" si="5"/>
        <v>Katerine Daniela Hernandez Chamorro-1085916749-QUIMICOS</v>
      </c>
    </row>
    <row r="119" spans="1:25" s="19" customFormat="1" x14ac:dyDescent="0.2">
      <c r="A119" s="20">
        <v>118</v>
      </c>
      <c r="B119" s="21">
        <v>1085916749</v>
      </c>
      <c r="C119" s="48" t="s">
        <v>272</v>
      </c>
      <c r="D119" s="48" t="s">
        <v>294</v>
      </c>
      <c r="E119" s="48" t="s">
        <v>295</v>
      </c>
      <c r="F119" s="48" t="s">
        <v>146</v>
      </c>
      <c r="G119" s="48">
        <v>16</v>
      </c>
      <c r="H119" s="21" t="s">
        <v>49</v>
      </c>
      <c r="I119" s="52" t="s">
        <v>376</v>
      </c>
      <c r="J119" s="52"/>
      <c r="K119" s="23">
        <v>45677</v>
      </c>
      <c r="L119" s="24">
        <v>32000</v>
      </c>
      <c r="M119" s="21" t="s">
        <v>106</v>
      </c>
      <c r="N119" s="21" t="s">
        <v>387</v>
      </c>
      <c r="O119" s="21" t="s">
        <v>95</v>
      </c>
      <c r="P119" s="21" t="s">
        <v>20</v>
      </c>
      <c r="Q119" s="22">
        <v>32869</v>
      </c>
      <c r="R119" s="48" t="s">
        <v>71</v>
      </c>
      <c r="S119" s="21" t="s">
        <v>296</v>
      </c>
      <c r="T119" s="21">
        <v>3128824242</v>
      </c>
      <c r="U119" s="21" t="s">
        <v>297</v>
      </c>
      <c r="V119" s="26" t="e">
        <f>IF(P119=#REF!,"DIPLOMADO EN ATENCION PRE-HOSPITALARIA",IF(P119=#REF!,"ACOMPAÑAMIENTO Y MANEJO DEL DUELO",IF(P119=#REF!,"ATENCION A VICTIMAS DE ATAQUE CON AGENTES QUIMICOS ",IF(P119=#REF!,"PRIMEROS AUXILIOS ",IF(P119=#REF!,"DIPLOMADO DE UNIDAD DE CUIDADOS INTENSIVOS (UCI)",IF(P119=#REF!,"MODELO DE ATENCION PARA EVENTOS EMERGENTES EN SALUD MENTAL (CODIGO VERDE)",IF(P119=#REF!,"HUMANIZACION EN EL SERVICIO DE LA SALUD Y BUENAS PRACTICAS EN PACIENTE ",IF(P119=#REF!,"CLINICA DE HERIDAS ",IF(P119=#REF!,"TOMA DE CITOLOGIA CERVICO VAGINAL ",IF(P119=#REF!,"SOPORTE CARDIOVASCULAR AVANZADO (ACLS) ",IF(P119=#REF!,"CAMILLERO ",IF(P119=#REF!,"TOMA DE MUESTRAS Y LABORATORIO ",IF(P119=#REF!,"SOPORTE VITAL BASICO (BLS)",IF(P119=#REF!,"ATENCION A VICTIMAS DE VIOLENCIA SEXUAL ",IF(P119=#REF!,"PROGRAMADO AMPLIADO DE INMUNIZACION (PAI - COVID 19)",IF(P119=#REF!,"ATENCION INTEGRAL EN ENFERMEDADES PREVALENTES EN PRIMERA INFANCIA (AIEPI)",IF(P119=#REF!,"ADMINISTRACION DE MEDICAMENTOS, INYECTOLOGIA  Y CANALIZACION ",IF(P119=#REF!,"OPERADOR DE VEHICULOS DE EMERGENCIA (OVE)",IF(P119=#REF!,"INSTITUCIONES AMIGAS DE LA MUJER Y LA INFANCIA (IAMI)",IF(P119=#REF!,"CUIDADO DEL DONANTE DE ORGANOS",IF(P119=#REF!,"ATENCION A VICTIMAS POR VIOLENCIA DE GENERO",IF(P119=#REF!,"IGUALDAD DE GENERO EN LA SALUD",IF(P119=#REF!,"BRIGADA DE EMERGENCIA",IF(P119=#REF!,"MANEJO DEL DOLOR Y CUIDADOS PALIATIVOS",IF(P119=#REF!,"TOMA DE MUESTRAS Y LABORATORIO POCT",IF(P119=#REF!,"IMPLANTE SUBDERMICO DE DISPOSITIVO INTRAUTERINO",IF(P119=#REF!,"SALUD MENTAL",IF(P119=#REF!,"PRIMEROS AUXILIOS PSICOLOGICOS",IF(P119=#REF!,"ATENCION A VICTIMAS POR CONFLICTO ARMADO",IF(P119=#REF!,"MANIPULACION DE ALIMENTOS Y BPM",IF(P119=#REF!,"ATENCION A PERSONAS CON DISCAPACIDAD",IF(P119=#REF!,"CUIDADO INTEGRAL DEL PACIENTE ADULTO",IF(P119=#REF!,"MANEJO DEFENSIVO",IF(P119=#REF!,"SOPORTE CARDIOVASCULAR AVANZADO NEONATAL",IF(P119=#REF!,"SEGURIDAD DEL PACIENTE",IF(P119=#REF!,"MANEJO DE RESIDUOS HOSPITALARIOS"))))))))))))))))))))))))))))))))))))</f>
        <v>#REF!</v>
      </c>
      <c r="W119" s="26" t="str">
        <f t="shared" si="3"/>
        <v>Katerine Daniela Hernandez Chamorro</v>
      </c>
      <c r="X119" s="26" t="str">
        <f t="shared" si="4"/>
        <v>Katerine Daniela Hernandez Chamorro</v>
      </c>
      <c r="Y119" s="26" t="str">
        <f t="shared" si="5"/>
        <v>Katerine Daniela Hernandez Chamorro-1085916749-DUELO</v>
      </c>
    </row>
    <row r="120" spans="1:25" s="19" customFormat="1" x14ac:dyDescent="0.2">
      <c r="A120" s="20">
        <v>119</v>
      </c>
      <c r="B120" s="48">
        <v>1004534118</v>
      </c>
      <c r="C120" s="48" t="s">
        <v>298</v>
      </c>
      <c r="D120" s="48" t="s">
        <v>299</v>
      </c>
      <c r="E120" s="48" t="s">
        <v>300</v>
      </c>
      <c r="F120" s="48" t="s">
        <v>301</v>
      </c>
      <c r="G120" s="48">
        <v>18</v>
      </c>
      <c r="H120" s="21" t="s">
        <v>49</v>
      </c>
      <c r="I120" s="52" t="s">
        <v>377</v>
      </c>
      <c r="J120" s="52"/>
      <c r="K120" s="23">
        <v>45675</v>
      </c>
      <c r="L120" s="24">
        <v>65000</v>
      </c>
      <c r="M120" s="21" t="s">
        <v>79</v>
      </c>
      <c r="N120" s="21" t="s">
        <v>387</v>
      </c>
      <c r="O120" s="21" t="s">
        <v>69</v>
      </c>
      <c r="P120" s="21" t="s">
        <v>30</v>
      </c>
      <c r="Q120" s="22">
        <v>37703</v>
      </c>
      <c r="R120" s="21" t="s">
        <v>70</v>
      </c>
      <c r="S120" s="21" t="s">
        <v>131</v>
      </c>
      <c r="T120" s="25">
        <v>3108375356</v>
      </c>
      <c r="U120" s="21" t="s">
        <v>302</v>
      </c>
      <c r="V120" s="26" t="e">
        <f>IF(P120=#REF!,"DIPLOMADO EN ATENCION PRE-HOSPITALARIA",IF(P120=#REF!,"ACOMPAÑAMIENTO Y MANEJO DEL DUELO",IF(P120=#REF!,"ATENCION A VICTIMAS DE ATAQUE CON AGENTES QUIMICOS ",IF(P120=#REF!,"PRIMEROS AUXILIOS ",IF(P120=#REF!,"DIPLOMADO DE UNIDAD DE CUIDADOS INTENSIVOS (UCI)",IF(P120=#REF!,"MODELO DE ATENCION PARA EVENTOS EMERGENTES EN SALUD MENTAL (CODIGO VERDE)",IF(P120=#REF!,"HUMANIZACION EN EL SERVICIO DE LA SALUD Y BUENAS PRACTICAS EN PACIENTE ",IF(P120=#REF!,"CLINICA DE HERIDAS ",IF(P120=#REF!,"TOMA DE CITOLOGIA CERVICO VAGINAL ",IF(P120=#REF!,"SOPORTE CARDIOVASCULAR AVANZADO (ACLS) ",IF(P120=#REF!,"CAMILLERO ",IF(P120=#REF!,"TOMA DE MUESTRAS Y LABORATORIO ",IF(P120=#REF!,"SOPORTE VITAL BASICO (BLS)",IF(P120=#REF!,"ATENCION A VICTIMAS DE VIOLENCIA SEXUAL ",IF(P120=#REF!,"PROGRAMADO AMPLIADO DE INMUNIZACION (PAI - COVID 19)",IF(P120=#REF!,"ATENCION INTEGRAL EN ENFERMEDADES PREVALENTES EN PRIMERA INFANCIA (AIEPI)",IF(P120=#REF!,"ADMINISTRACION DE MEDICAMENTOS, INYECTOLOGIA  Y CANALIZACION ",IF(P120=#REF!,"OPERADOR DE VEHICULOS DE EMERGENCIA (OVE)",IF(P120=#REF!,"INSTITUCIONES AMIGAS DE LA MUJER Y LA INFANCIA (IAMI)",IF(P120=#REF!,"CUIDADO DEL DONANTE DE ORGANOS",IF(P120=#REF!,"ATENCION A VICTIMAS POR VIOLENCIA DE GENERO",IF(P120=#REF!,"IGUALDAD DE GENERO EN LA SALUD",IF(P120=#REF!,"BRIGADA DE EMERGENCIA",IF(P120=#REF!,"MANEJO DEL DOLOR Y CUIDADOS PALIATIVOS",IF(P120=#REF!,"TOMA DE MUESTRAS Y LABORATORIO POCT",IF(P120=#REF!,"IMPLANTE SUBDERMICO DE DISPOSITIVO INTRAUTERINO",IF(P120=#REF!,"SALUD MENTAL",IF(P120=#REF!,"PRIMEROS AUXILIOS PSICOLOGICOS",IF(P120=#REF!,"ATENCION A VICTIMAS POR CONFLICTO ARMADO",IF(P120=#REF!,"MANIPULACION DE ALIMENTOS Y BPM",IF(P120=#REF!,"ATENCION A PERSONAS CON DISCAPACIDAD",IF(P120=#REF!,"CUIDADO INTEGRAL DEL PACIENTE ADULTO",IF(P120=#REF!,"MANEJO DEFENSIVO",IF(P120=#REF!,"SOPORTE CARDIOVASCULAR AVANZADO NEONATAL",IF(P120=#REF!,"SEGURIDAD DEL PACIENTE",IF(P120=#REF!,"MANEJO DE RESIDUOS HOSPITALARIOS"))))))))))))))))))))))))))))))))))))</f>
        <v>#REF!</v>
      </c>
      <c r="W120" s="26" t="str">
        <f t="shared" si="3"/>
        <v>Edison Felipe Cuastumal Ceballos</v>
      </c>
      <c r="X120" s="26" t="str">
        <f t="shared" si="4"/>
        <v>Edison Felipe Cuastumal Ceballos</v>
      </c>
      <c r="Y120" s="26" t="str">
        <f t="shared" si="5"/>
        <v>Edison Felipe Cuastumal Ceballos-1004534118-OVE</v>
      </c>
    </row>
    <row r="121" spans="1:25" s="19" customFormat="1" x14ac:dyDescent="0.2">
      <c r="A121" s="20">
        <v>120</v>
      </c>
      <c r="B121" s="48">
        <v>1004534118</v>
      </c>
      <c r="C121" s="48" t="s">
        <v>298</v>
      </c>
      <c r="D121" s="48" t="s">
        <v>299</v>
      </c>
      <c r="E121" s="48" t="s">
        <v>300</v>
      </c>
      <c r="F121" s="48" t="s">
        <v>301</v>
      </c>
      <c r="G121" s="48">
        <v>18</v>
      </c>
      <c r="H121" s="21" t="s">
        <v>49</v>
      </c>
      <c r="I121" s="52" t="s">
        <v>377</v>
      </c>
      <c r="J121" s="52"/>
      <c r="K121" s="23">
        <v>45675</v>
      </c>
      <c r="L121" s="24">
        <v>65000</v>
      </c>
      <c r="M121" s="21" t="s">
        <v>79</v>
      </c>
      <c r="N121" s="21" t="s">
        <v>387</v>
      </c>
      <c r="O121" s="21" t="s">
        <v>69</v>
      </c>
      <c r="P121" s="21" t="s">
        <v>22</v>
      </c>
      <c r="Q121" s="22">
        <v>37703</v>
      </c>
      <c r="R121" s="21" t="s">
        <v>70</v>
      </c>
      <c r="S121" s="21" t="s">
        <v>131</v>
      </c>
      <c r="T121" s="25">
        <v>3108375356</v>
      </c>
      <c r="U121" s="21" t="s">
        <v>302</v>
      </c>
      <c r="V121" s="26" t="e">
        <f>IF(P121=#REF!,"DIPLOMADO EN ATENCION PRE-HOSPITALARIA",IF(P121=#REF!,"ACOMPAÑAMIENTO Y MANEJO DEL DUELO",IF(P121=#REF!,"ATENCION A VICTIMAS DE ATAQUE CON AGENTES QUIMICOS ",IF(P121=#REF!,"PRIMEROS AUXILIOS ",IF(P121=#REF!,"DIPLOMADO DE UNIDAD DE CUIDADOS INTENSIVOS (UCI)",IF(P121=#REF!,"MODELO DE ATENCION PARA EVENTOS EMERGENTES EN SALUD MENTAL (CODIGO VERDE)",IF(P121=#REF!,"HUMANIZACION EN EL SERVICIO DE LA SALUD Y BUENAS PRACTICAS EN PACIENTE ",IF(P121=#REF!,"CLINICA DE HERIDAS ",IF(P121=#REF!,"TOMA DE CITOLOGIA CERVICO VAGINAL ",IF(P121=#REF!,"SOPORTE CARDIOVASCULAR AVANZADO (ACLS) ",IF(P121=#REF!,"CAMILLERO ",IF(P121=#REF!,"TOMA DE MUESTRAS Y LABORATORIO ",IF(P121=#REF!,"SOPORTE VITAL BASICO (BLS)",IF(P121=#REF!,"ATENCION A VICTIMAS DE VIOLENCIA SEXUAL ",IF(P121=#REF!,"PROGRAMADO AMPLIADO DE INMUNIZACION (PAI - COVID 19)",IF(P121=#REF!,"ATENCION INTEGRAL EN ENFERMEDADES PREVALENTES EN PRIMERA INFANCIA (AIEPI)",IF(P121=#REF!,"ADMINISTRACION DE MEDICAMENTOS, INYECTOLOGIA  Y CANALIZACION ",IF(P121=#REF!,"OPERADOR DE VEHICULOS DE EMERGENCIA (OVE)",IF(P121=#REF!,"INSTITUCIONES AMIGAS DE LA MUJER Y LA INFANCIA (IAMI)",IF(P121=#REF!,"CUIDADO DEL DONANTE DE ORGANOS",IF(P121=#REF!,"ATENCION A VICTIMAS POR VIOLENCIA DE GENERO",IF(P121=#REF!,"IGUALDAD DE GENERO EN LA SALUD",IF(P121=#REF!,"BRIGADA DE EMERGENCIA",IF(P121=#REF!,"MANEJO DEL DOLOR Y CUIDADOS PALIATIVOS",IF(P121=#REF!,"TOMA DE MUESTRAS Y LABORATORIO POCT",IF(P121=#REF!,"IMPLANTE SUBDERMICO DE DISPOSITIVO INTRAUTERINO",IF(P121=#REF!,"SALUD MENTAL",IF(P121=#REF!,"PRIMEROS AUXILIOS PSICOLOGICOS",IF(P121=#REF!,"ATENCION A VICTIMAS POR CONFLICTO ARMADO",IF(P121=#REF!,"MANIPULACION DE ALIMENTOS Y BPM",IF(P121=#REF!,"ATENCION A PERSONAS CON DISCAPACIDAD",IF(P121=#REF!,"CUIDADO INTEGRAL DEL PACIENTE ADULTO",IF(P121=#REF!,"MANEJO DEFENSIVO",IF(P121=#REF!,"SOPORTE CARDIOVASCULAR AVANZADO NEONATAL",IF(P121=#REF!,"SEGURIDAD DEL PACIENTE",IF(P121=#REF!,"MANEJO DE RESIDUOS HOSPITALARIOS"))))))))))))))))))))))))))))))))))))</f>
        <v>#REF!</v>
      </c>
      <c r="W121" s="26" t="str">
        <f t="shared" si="3"/>
        <v>Edison Felipe Cuastumal Ceballos</v>
      </c>
      <c r="X121" s="26" t="str">
        <f t="shared" si="4"/>
        <v>Edison Felipe Cuastumal Ceballos</v>
      </c>
      <c r="Y121" s="26" t="str">
        <f t="shared" si="5"/>
        <v>Edison Felipe Cuastumal Ceballos-1004534118-PRIMEROS AUXILIOS</v>
      </c>
    </row>
    <row r="122" spans="1:25" s="19" customFormat="1" x14ac:dyDescent="0.2">
      <c r="A122" s="20">
        <v>121</v>
      </c>
      <c r="B122" s="21">
        <v>1085314044</v>
      </c>
      <c r="C122" s="48" t="s">
        <v>303</v>
      </c>
      <c r="D122" s="48" t="s">
        <v>304</v>
      </c>
      <c r="E122" s="48" t="s">
        <v>305</v>
      </c>
      <c r="F122" s="48" t="s">
        <v>306</v>
      </c>
      <c r="G122" s="48">
        <v>20</v>
      </c>
      <c r="H122" s="21" t="s">
        <v>49</v>
      </c>
      <c r="I122" s="52" t="s">
        <v>377</v>
      </c>
      <c r="J122" s="52"/>
      <c r="K122" s="54">
        <v>45674</v>
      </c>
      <c r="L122" s="42">
        <v>65000</v>
      </c>
      <c r="M122" s="48" t="s">
        <v>307</v>
      </c>
      <c r="N122" s="21" t="s">
        <v>386</v>
      </c>
      <c r="O122" s="21" t="s">
        <v>69</v>
      </c>
      <c r="P122" s="21" t="s">
        <v>25</v>
      </c>
      <c r="Q122" s="22">
        <v>34536</v>
      </c>
      <c r="R122" s="48" t="s">
        <v>70</v>
      </c>
      <c r="S122" s="21" t="s">
        <v>354</v>
      </c>
      <c r="T122" s="25">
        <v>3183129872</v>
      </c>
      <c r="U122" s="21" t="s">
        <v>353</v>
      </c>
      <c r="V122" s="26" t="e">
        <f>IF(P122=#REF!,"DIPLOMADO EN ATENCION PRE-HOSPITALARIA",IF(P122=#REF!,"ACOMPAÑAMIENTO Y MANEJO DEL DUELO",IF(P122=#REF!,"ATENCION A VICTIMAS DE ATAQUE CON AGENTES QUIMICOS ",IF(P122=#REF!,"PRIMEROS AUXILIOS ",IF(P122=#REF!,"DIPLOMADO DE UNIDAD DE CUIDADOS INTENSIVOS (UCI)",IF(P122=#REF!,"MODELO DE ATENCION PARA EVENTOS EMERGENTES EN SALUD MENTAL (CODIGO VERDE)",IF(P122=#REF!,"HUMANIZACION EN EL SERVICIO DE LA SALUD Y BUENAS PRACTICAS EN PACIENTE ",IF(P122=#REF!,"CLINICA DE HERIDAS ",IF(P122=#REF!,"TOMA DE CITOLOGIA CERVICO VAGINAL ",IF(P122=#REF!,"SOPORTE CARDIOVASCULAR AVANZADO (ACLS) ",IF(P122=#REF!,"CAMILLERO ",IF(P122=#REF!,"TOMA DE MUESTRAS Y LABORATORIO ",IF(P122=#REF!,"SOPORTE VITAL BASICO (BLS)",IF(P122=#REF!,"ATENCION A VICTIMAS DE VIOLENCIA SEXUAL ",IF(P122=#REF!,"PROGRAMADO AMPLIADO DE INMUNIZACION (PAI - COVID 19)",IF(P122=#REF!,"ATENCION INTEGRAL EN ENFERMEDADES PREVALENTES EN PRIMERA INFANCIA (AIEPI)",IF(P122=#REF!,"ADMINISTRACION DE MEDICAMENTOS, INYECTOLOGIA  Y CANALIZACION ",IF(P122=#REF!,"OPERADOR DE VEHICULOS DE EMERGENCIA (OVE)",IF(P122=#REF!,"INSTITUCIONES AMIGAS DE LA MUJER Y LA INFANCIA (IAMI)",IF(P122=#REF!,"CUIDADO DEL DONANTE DE ORGANOS",IF(P122=#REF!,"ATENCION A VICTIMAS POR VIOLENCIA DE GENERO",IF(P122=#REF!,"IGUALDAD DE GENERO EN LA SALUD",IF(P122=#REF!,"BRIGADA DE EMERGENCIA",IF(P122=#REF!,"MANEJO DEL DOLOR Y CUIDADOS PALIATIVOS",IF(P122=#REF!,"TOMA DE MUESTRAS Y LABORATORIO POCT",IF(P122=#REF!,"IMPLANTE SUBDERMICO DE DISPOSITIVO INTRAUTERINO",IF(P122=#REF!,"SALUD MENTAL",IF(P122=#REF!,"PRIMEROS AUXILIOS PSICOLOGICOS",IF(P122=#REF!,"ATENCION A VICTIMAS POR CONFLICTO ARMADO",IF(P122=#REF!,"MANIPULACION DE ALIMENTOS Y BPM",IF(P122=#REF!,"ATENCION A PERSONAS CON DISCAPACIDAD",IF(P122=#REF!,"CUIDADO INTEGRAL DEL PACIENTE ADULTO",IF(P122=#REF!,"MANEJO DEFENSIVO",IF(P122=#REF!,"SOPORTE CARDIOVASCULAR AVANZADO NEONATAL",IF(P122=#REF!,"SEGURIDAD DEL PACIENTE",IF(P122=#REF!,"MANEJO DE RESIDUOS HOSPITALARIOS"))))))))))))))))))))))))))))))))))))</f>
        <v>#REF!</v>
      </c>
      <c r="W122" s="26" t="str">
        <f t="shared" si="3"/>
        <v>Heiner  Alexander Tabla  Benitez</v>
      </c>
      <c r="X122" s="26" t="str">
        <f t="shared" si="4"/>
        <v>Heiner  Alexander Tabla  Benitez</v>
      </c>
      <c r="Y122" s="26" t="str">
        <f t="shared" si="5"/>
        <v>Heiner  Alexander Tabla  Benitez-1085314044-CAMILLERO</v>
      </c>
    </row>
    <row r="123" spans="1:25" s="19" customFormat="1" x14ac:dyDescent="0.2">
      <c r="A123" s="20">
        <v>122</v>
      </c>
      <c r="B123" s="21">
        <v>1004232573</v>
      </c>
      <c r="C123" s="48" t="s">
        <v>308</v>
      </c>
      <c r="D123" s="48" t="s">
        <v>309</v>
      </c>
      <c r="E123" s="48" t="s">
        <v>310</v>
      </c>
      <c r="F123" s="48" t="s">
        <v>311</v>
      </c>
      <c r="G123" s="48">
        <v>20</v>
      </c>
      <c r="H123" s="21" t="s">
        <v>49</v>
      </c>
      <c r="I123" s="52" t="s">
        <v>376</v>
      </c>
      <c r="J123" s="52"/>
      <c r="K123" s="54">
        <v>45677</v>
      </c>
      <c r="L123" s="42">
        <v>48000</v>
      </c>
      <c r="M123" s="48" t="s">
        <v>79</v>
      </c>
      <c r="N123" s="21" t="s">
        <v>386</v>
      </c>
      <c r="O123" s="21" t="s">
        <v>69</v>
      </c>
      <c r="P123" s="21" t="s">
        <v>32</v>
      </c>
      <c r="Q123" s="22">
        <v>36593</v>
      </c>
      <c r="R123" s="48" t="s">
        <v>70</v>
      </c>
      <c r="S123" s="25" t="s">
        <v>172</v>
      </c>
      <c r="T123" s="25">
        <v>3053177003</v>
      </c>
      <c r="U123" s="21" t="s">
        <v>312</v>
      </c>
      <c r="V123" s="26" t="e">
        <f>IF(P123=#REF!,"DIPLOMADO EN ATENCION PRE-HOSPITALARIA",IF(P123=#REF!,"ACOMPAÑAMIENTO Y MANEJO DEL DUELO",IF(P123=#REF!,"ATENCION A VICTIMAS DE ATAQUE CON AGENTES QUIMICOS ",IF(P123=#REF!,"PRIMEROS AUXILIOS ",IF(P123=#REF!,"DIPLOMADO DE UNIDAD DE CUIDADOS INTENSIVOS (UCI)",IF(P123=#REF!,"MODELO DE ATENCION PARA EVENTOS EMERGENTES EN SALUD MENTAL (CODIGO VERDE)",IF(P123=#REF!,"HUMANIZACION EN EL SERVICIO DE LA SALUD Y BUENAS PRACTICAS EN PACIENTE ",IF(P123=#REF!,"CLINICA DE HERIDAS ",IF(P123=#REF!,"TOMA DE CITOLOGIA CERVICO VAGINAL ",IF(P123=#REF!,"SOPORTE CARDIOVASCULAR AVANZADO (ACLS) ",IF(P123=#REF!,"CAMILLERO ",IF(P123=#REF!,"TOMA DE MUESTRAS Y LABORATORIO ",IF(P123=#REF!,"SOPORTE VITAL BASICO (BLS)",IF(P123=#REF!,"ATENCION A VICTIMAS DE VIOLENCIA SEXUAL ",IF(P123=#REF!,"PROGRAMADO AMPLIADO DE INMUNIZACION (PAI - COVID 19)",IF(P123=#REF!,"ATENCION INTEGRAL EN ENFERMEDADES PREVALENTES EN PRIMERA INFANCIA (AIEPI)",IF(P123=#REF!,"ADMINISTRACION DE MEDICAMENTOS, INYECTOLOGIA  Y CANALIZACION ",IF(P123=#REF!,"OPERADOR DE VEHICULOS DE EMERGENCIA (OVE)",IF(P123=#REF!,"INSTITUCIONES AMIGAS DE LA MUJER Y LA INFANCIA (IAMI)",IF(P123=#REF!,"CUIDADO DEL DONANTE DE ORGANOS",IF(P123=#REF!,"ATENCION A VICTIMAS POR VIOLENCIA DE GENERO",IF(P123=#REF!,"IGUALDAD DE GENERO EN LA SALUD",IF(P123=#REF!,"BRIGADA DE EMERGENCIA",IF(P123=#REF!,"MANEJO DEL DOLOR Y CUIDADOS PALIATIVOS",IF(P123=#REF!,"TOMA DE MUESTRAS Y LABORATORIO POCT",IF(P123=#REF!,"IMPLANTE SUBDERMICO DE DISPOSITIVO INTRAUTERINO",IF(P123=#REF!,"SALUD MENTAL",IF(P123=#REF!,"PRIMEROS AUXILIOS PSICOLOGICOS",IF(P123=#REF!,"ATENCION A VICTIMAS POR CONFLICTO ARMADO",IF(P123=#REF!,"MANIPULACION DE ALIMENTOS Y BPM",IF(P123=#REF!,"ATENCION A PERSONAS CON DISCAPACIDAD",IF(P123=#REF!,"CUIDADO INTEGRAL DEL PACIENTE ADULTO",IF(P123=#REF!,"MANEJO DEFENSIVO",IF(P123=#REF!,"SOPORTE CARDIOVASCULAR AVANZADO NEONATAL",IF(P123=#REF!,"SEGURIDAD DEL PACIENTE",IF(P123=#REF!,"MANEJO DE RESIDUOS HOSPITALARIOS"))))))))))))))))))))))))))))))))))))</f>
        <v>#REF!</v>
      </c>
      <c r="W123" s="26" t="str">
        <f t="shared" si="3"/>
        <v xml:space="preserve">Natalia Julieth Portilla  Pachajoa </v>
      </c>
      <c r="X123" s="26" t="str">
        <f t="shared" si="4"/>
        <v xml:space="preserve">Natalia Julieth Portilla  Pachajoa </v>
      </c>
      <c r="Y123" s="26" t="str">
        <f t="shared" si="5"/>
        <v>Natalia Julieth Portilla  Pachajoa -1004232573-VIOLENCIA DE GENERO</v>
      </c>
    </row>
    <row r="124" spans="1:25" s="19" customFormat="1" x14ac:dyDescent="0.2">
      <c r="A124" s="20">
        <v>123</v>
      </c>
      <c r="B124" s="21">
        <v>1004232573</v>
      </c>
      <c r="C124" s="48" t="s">
        <v>308</v>
      </c>
      <c r="D124" s="48" t="s">
        <v>309</v>
      </c>
      <c r="E124" s="48" t="s">
        <v>310</v>
      </c>
      <c r="F124" s="48" t="s">
        <v>311</v>
      </c>
      <c r="G124" s="48">
        <v>20</v>
      </c>
      <c r="H124" s="21" t="s">
        <v>49</v>
      </c>
      <c r="I124" s="52" t="s">
        <v>376</v>
      </c>
      <c r="J124" s="52"/>
      <c r="K124" s="54">
        <v>45677</v>
      </c>
      <c r="L124" s="42">
        <v>48000</v>
      </c>
      <c r="M124" s="48" t="s">
        <v>79</v>
      </c>
      <c r="N124" s="21" t="s">
        <v>386</v>
      </c>
      <c r="O124" s="21" t="s">
        <v>69</v>
      </c>
      <c r="P124" s="21" t="s">
        <v>33</v>
      </c>
      <c r="Q124" s="22">
        <v>36593</v>
      </c>
      <c r="R124" s="48" t="s">
        <v>70</v>
      </c>
      <c r="S124" s="25" t="s">
        <v>172</v>
      </c>
      <c r="T124" s="25">
        <v>3053177003</v>
      </c>
      <c r="U124" s="21" t="s">
        <v>312</v>
      </c>
      <c r="V124" s="26" t="e">
        <f>IF(P124=#REF!,"DIPLOMADO EN ATENCION PRE-HOSPITALARIA",IF(P124=#REF!,"ACOMPAÑAMIENTO Y MANEJO DEL DUELO",IF(P124=#REF!,"ATENCION A VICTIMAS DE ATAQUE CON AGENTES QUIMICOS ",IF(P124=#REF!,"PRIMEROS AUXILIOS ",IF(P124=#REF!,"DIPLOMADO DE UNIDAD DE CUIDADOS INTENSIVOS (UCI)",IF(P124=#REF!,"MODELO DE ATENCION PARA EVENTOS EMERGENTES EN SALUD MENTAL (CODIGO VERDE)",IF(P124=#REF!,"HUMANIZACION EN EL SERVICIO DE LA SALUD Y BUENAS PRACTICAS EN PACIENTE ",IF(P124=#REF!,"CLINICA DE HERIDAS ",IF(P124=#REF!,"TOMA DE CITOLOGIA CERVICO VAGINAL ",IF(P124=#REF!,"SOPORTE CARDIOVASCULAR AVANZADO (ACLS) ",IF(P124=#REF!,"CAMILLERO ",IF(P124=#REF!,"TOMA DE MUESTRAS Y LABORATORIO ",IF(P124=#REF!,"SOPORTE VITAL BASICO (BLS)",IF(P124=#REF!,"ATENCION A VICTIMAS DE VIOLENCIA SEXUAL ",IF(P124=#REF!,"PROGRAMADO AMPLIADO DE INMUNIZACION (PAI - COVID 19)",IF(P124=#REF!,"ATENCION INTEGRAL EN ENFERMEDADES PREVALENTES EN PRIMERA INFANCIA (AIEPI)",IF(P124=#REF!,"ADMINISTRACION DE MEDICAMENTOS, INYECTOLOGIA  Y CANALIZACION ",IF(P124=#REF!,"OPERADOR DE VEHICULOS DE EMERGENCIA (OVE)",IF(P124=#REF!,"INSTITUCIONES AMIGAS DE LA MUJER Y LA INFANCIA (IAMI)",IF(P124=#REF!,"CUIDADO DEL DONANTE DE ORGANOS",IF(P124=#REF!,"ATENCION A VICTIMAS POR VIOLENCIA DE GENERO",IF(P124=#REF!,"IGUALDAD DE GENERO EN LA SALUD",IF(P124=#REF!,"BRIGADA DE EMERGENCIA",IF(P124=#REF!,"MANEJO DEL DOLOR Y CUIDADOS PALIATIVOS",IF(P124=#REF!,"TOMA DE MUESTRAS Y LABORATORIO POCT",IF(P124=#REF!,"IMPLANTE SUBDERMICO DE DISPOSITIVO INTRAUTERINO",IF(P124=#REF!,"SALUD MENTAL",IF(P124=#REF!,"PRIMEROS AUXILIOS PSICOLOGICOS",IF(P124=#REF!,"ATENCION A VICTIMAS POR CONFLICTO ARMADO",IF(P124=#REF!,"MANIPULACION DE ALIMENTOS Y BPM",IF(P124=#REF!,"ATENCION A PERSONAS CON DISCAPACIDAD",IF(P124=#REF!,"CUIDADO INTEGRAL DEL PACIENTE ADULTO",IF(P124=#REF!,"MANEJO DEFENSIVO",IF(P124=#REF!,"SOPORTE CARDIOVASCULAR AVANZADO NEONATAL",IF(P124=#REF!,"SEGURIDAD DEL PACIENTE",IF(P124=#REF!,"MANEJO DE RESIDUOS HOSPITALARIOS"))))))))))))))))))))))))))))))))))))</f>
        <v>#REF!</v>
      </c>
      <c r="W124" s="26" t="str">
        <f t="shared" si="3"/>
        <v xml:space="preserve">Natalia Julieth Portilla  Pachajoa </v>
      </c>
      <c r="X124" s="26" t="str">
        <f t="shared" si="4"/>
        <v xml:space="preserve">Natalia Julieth Portilla  Pachajoa </v>
      </c>
      <c r="Y124" s="26" t="str">
        <f t="shared" si="5"/>
        <v>Natalia Julieth Portilla  Pachajoa -1004232573-IGUALDAD DE GENERO</v>
      </c>
    </row>
    <row r="125" spans="1:25" x14ac:dyDescent="0.2">
      <c r="A125" s="20">
        <v>124</v>
      </c>
      <c r="B125" s="21">
        <v>1004578255</v>
      </c>
      <c r="C125" s="48" t="s">
        <v>313</v>
      </c>
      <c r="D125" s="48" t="s">
        <v>314</v>
      </c>
      <c r="E125" s="48" t="s">
        <v>315</v>
      </c>
      <c r="F125" s="48" t="s">
        <v>316</v>
      </c>
      <c r="G125" s="48">
        <v>21</v>
      </c>
      <c r="H125" s="21" t="s">
        <v>49</v>
      </c>
      <c r="I125" s="52" t="s">
        <v>377</v>
      </c>
      <c r="J125" s="52"/>
      <c r="K125" s="23" t="s">
        <v>388</v>
      </c>
      <c r="L125" s="42">
        <v>65000</v>
      </c>
      <c r="M125" s="48" t="s">
        <v>79</v>
      </c>
      <c r="N125" s="21" t="s">
        <v>387</v>
      </c>
      <c r="O125" s="48" t="s">
        <v>69</v>
      </c>
      <c r="P125" s="48" t="s">
        <v>29</v>
      </c>
      <c r="Q125" s="22">
        <v>36652</v>
      </c>
      <c r="R125" s="48" t="s">
        <v>71</v>
      </c>
      <c r="S125" s="53" t="s">
        <v>107</v>
      </c>
      <c r="T125" s="48">
        <v>3163622585</v>
      </c>
      <c r="U125" s="25" t="s">
        <v>317</v>
      </c>
      <c r="V125" s="26" t="e">
        <f>IF(P125=#REF!,"DIPLOMADO EN ATENCION PRE-HOSPITALARIA",IF(P125=#REF!,"ACOMPAÑAMIENTO Y MANEJO DEL DUELO",IF(P125=#REF!,"ATENCION A VICTIMAS DE ATAQUE CON AGENTES QUIMICOS ",IF(P125=#REF!,"PRIMEROS AUXILIOS ",IF(P125=#REF!,"DIPLOMADO DE UNIDAD DE CUIDADOS INTENSIVOS (UCI)",IF(P125=#REF!,"MODELO DE ATENCION PARA EVENTOS EMERGENTES EN SALUD MENTAL (CODIGO VERDE)",IF(P125=#REF!,"HUMANIZACION EN EL SERVICIO DE LA SALUD Y BUENAS PRACTICAS EN PACIENTE ",IF(P125=#REF!,"CLINICA DE HERIDAS ",IF(P125=#REF!,"TOMA DE CITOLOGIA CERVICO VAGINAL ",IF(P125=#REF!,"SOPORTE CARDIOVASCULAR AVANZADO (ACLS) ",IF(P125=#REF!,"CAMILLERO ",IF(P125=#REF!,"TOMA DE MUESTRAS Y LABORATORIO ",IF(P125=#REF!,"SOPORTE VITAL BASICO (BLS)",IF(P125=#REF!,"ATENCION A VICTIMAS DE VIOLENCIA SEXUAL ",IF(P125=#REF!,"PROGRAMADO AMPLIADO DE INMUNIZACION (PAI - COVID 19)",IF(P125=#REF!,"ATENCION INTEGRAL EN ENFERMEDADES PREVALENTES EN PRIMERA INFANCIA (AIEPI)",IF(P125=#REF!,"ADMINISTRACION DE MEDICAMENTOS, INYECTOLOGIA  Y CANALIZACION ",IF(P125=#REF!,"OPERADOR DE VEHICULOS DE EMERGENCIA (OVE)",IF(P125=#REF!,"INSTITUCIONES AMIGAS DE LA MUJER Y LA INFANCIA (IAMI)",IF(P125=#REF!,"CUIDADO DEL DONANTE DE ORGANOS",IF(P125=#REF!,"ATENCION A VICTIMAS POR VIOLENCIA DE GENERO",IF(P125=#REF!,"IGUALDAD DE GENERO EN LA SALUD",IF(P125=#REF!,"BRIGADA DE EMERGENCIA",IF(P125=#REF!,"MANEJO DEL DOLOR Y CUIDADOS PALIATIVOS",IF(P125=#REF!,"TOMA DE MUESTRAS Y LABORATORIO POCT",IF(P125=#REF!,"IMPLANTE SUBDERMICO DE DISPOSITIVO INTRAUTERINO",IF(P125=#REF!,"SALUD MENTAL",IF(P125=#REF!,"PRIMEROS AUXILIOS PSICOLOGICOS",IF(P125=#REF!,"ATENCION A VICTIMAS POR CONFLICTO ARMADO",IF(P125=#REF!,"MANIPULACION DE ALIMENTOS Y BPM",IF(P125=#REF!,"ATENCION A PERSONAS CON DISCAPACIDAD",IF(P125=#REF!,"CUIDADO INTEGRAL DEL PACIENTE ADULTO",IF(P125=#REF!,"MANEJO DEFENSIVO",IF(P125=#REF!,"SOPORTE CARDIOVASCULAR AVANZADO NEONATAL",IF(P125=#REF!,"SEGURIDAD DEL PACIENTE",IF(P125=#REF!,"MANEJO DE RESIDUOS HOSPITALARIOS"))))))))))))))))))))))))))))))))))))</f>
        <v>#REF!</v>
      </c>
      <c r="W125" s="26" t="str">
        <f t="shared" si="3"/>
        <v>Rosa Mery Pastas Escobar</v>
      </c>
      <c r="X125" s="26" t="str">
        <f t="shared" si="4"/>
        <v>Rosa Mery Pastas Escobar</v>
      </c>
      <c r="Y125" s="26" t="str">
        <f t="shared" si="5"/>
        <v>Rosa Mery Pastas Escobar-1004578255-ADMON DE MEDICAMENTOS</v>
      </c>
    </row>
    <row r="126" spans="1:25" x14ac:dyDescent="0.2">
      <c r="A126" s="20">
        <v>125</v>
      </c>
      <c r="B126" s="21">
        <v>59813505</v>
      </c>
      <c r="C126" s="48" t="s">
        <v>318</v>
      </c>
      <c r="D126" s="48" t="s">
        <v>80</v>
      </c>
      <c r="E126" s="48" t="s">
        <v>319</v>
      </c>
      <c r="F126" s="48" t="s">
        <v>320</v>
      </c>
      <c r="G126" s="48">
        <v>20</v>
      </c>
      <c r="H126" s="21" t="s">
        <v>49</v>
      </c>
      <c r="I126" s="52" t="s">
        <v>376</v>
      </c>
      <c r="J126" s="52"/>
      <c r="K126" s="23">
        <v>45684</v>
      </c>
      <c r="L126" s="42">
        <v>30000</v>
      </c>
      <c r="M126" s="48" t="s">
        <v>79</v>
      </c>
      <c r="N126" s="21" t="s">
        <v>387</v>
      </c>
      <c r="O126" s="48" t="s">
        <v>321</v>
      </c>
      <c r="P126" s="48" t="s">
        <v>22</v>
      </c>
      <c r="Q126" s="22">
        <v>23600</v>
      </c>
      <c r="R126" s="48" t="s">
        <v>71</v>
      </c>
      <c r="S126" s="53" t="s">
        <v>107</v>
      </c>
      <c r="T126" s="48">
        <v>3155311389</v>
      </c>
      <c r="U126" s="27" t="s">
        <v>322</v>
      </c>
      <c r="V126" s="26" t="e">
        <f>IF(P126=#REF!,"DIPLOMADO EN ATENCION PRE-HOSPITALARIA",IF(P126=#REF!,"ACOMPAÑAMIENTO Y MANEJO DEL DUELO",IF(P126=#REF!,"ATENCION A VICTIMAS DE ATAQUE CON AGENTES QUIMICOS ",IF(P126=#REF!,"PRIMEROS AUXILIOS ",IF(P126=#REF!,"DIPLOMADO DE UNIDAD DE CUIDADOS INTENSIVOS (UCI)",IF(P126=#REF!,"MODELO DE ATENCION PARA EVENTOS EMERGENTES EN SALUD MENTAL (CODIGO VERDE)",IF(P126=#REF!,"HUMANIZACION EN EL SERVICIO DE LA SALUD Y BUENAS PRACTICAS EN PACIENTE ",IF(P126=#REF!,"CLINICA DE HERIDAS ",IF(P126=#REF!,"TOMA DE CITOLOGIA CERVICO VAGINAL ",IF(P126=#REF!,"SOPORTE CARDIOVASCULAR AVANZADO (ACLS) ",IF(P126=#REF!,"CAMILLERO ",IF(P126=#REF!,"TOMA DE MUESTRAS Y LABORATORIO ",IF(P126=#REF!,"SOPORTE VITAL BASICO (BLS)",IF(P126=#REF!,"ATENCION A VICTIMAS DE VIOLENCIA SEXUAL ",IF(P126=#REF!,"PROGRAMADO AMPLIADO DE INMUNIZACION (PAI - COVID 19)",IF(P126=#REF!,"ATENCION INTEGRAL EN ENFERMEDADES PREVALENTES EN PRIMERA INFANCIA (AIEPI)",IF(P126=#REF!,"ADMINISTRACION DE MEDICAMENTOS, INYECTOLOGIA  Y CANALIZACION ",IF(P126=#REF!,"OPERADOR DE VEHICULOS DE EMERGENCIA (OVE)",IF(P126=#REF!,"INSTITUCIONES AMIGAS DE LA MUJER Y LA INFANCIA (IAMI)",IF(P126=#REF!,"CUIDADO DEL DONANTE DE ORGANOS",IF(P126=#REF!,"ATENCION A VICTIMAS POR VIOLENCIA DE GENERO",IF(P126=#REF!,"IGUALDAD DE GENERO EN LA SALUD",IF(P126=#REF!,"BRIGADA DE EMERGENCIA",IF(P126=#REF!,"MANEJO DEL DOLOR Y CUIDADOS PALIATIVOS",IF(P126=#REF!,"TOMA DE MUESTRAS Y LABORATORIO POCT",IF(P126=#REF!,"IMPLANTE SUBDERMICO DE DISPOSITIVO INTRAUTERINO",IF(P126=#REF!,"SALUD MENTAL",IF(P126=#REF!,"PRIMEROS AUXILIOS PSICOLOGICOS",IF(P126=#REF!,"ATENCION A VICTIMAS POR CONFLICTO ARMADO",IF(P126=#REF!,"MANIPULACION DE ALIMENTOS Y BPM",IF(P126=#REF!,"ATENCION A PERSONAS CON DISCAPACIDAD",IF(P126=#REF!,"CUIDADO INTEGRAL DEL PACIENTE ADULTO",IF(P126=#REF!,"MANEJO DEFENSIVO",IF(P126=#REF!,"SOPORTE CARDIOVASCULAR AVANZADO NEONATAL",IF(P126=#REF!,"SEGURIDAD DEL PACIENTE",IF(P126=#REF!,"MANEJO DE RESIDUOS HOSPITALARIOS"))))))))))))))))))))))))))))))))))))</f>
        <v>#REF!</v>
      </c>
      <c r="W126" s="26" t="str">
        <f t="shared" si="3"/>
        <v>Lucia Margot Ortega Erazo</v>
      </c>
      <c r="X126" s="26" t="str">
        <f t="shared" si="4"/>
        <v>Lucia Margot Ortega Erazo</v>
      </c>
      <c r="Y126" s="26" t="str">
        <f t="shared" si="5"/>
        <v>Lucia Margot Ortega Erazo-59813505-PRIMEROS AUXILIOS</v>
      </c>
    </row>
    <row r="127" spans="1:25" x14ac:dyDescent="0.2">
      <c r="A127" s="20">
        <v>126</v>
      </c>
      <c r="B127" s="21">
        <v>1007268170</v>
      </c>
      <c r="C127" s="48" t="s">
        <v>323</v>
      </c>
      <c r="D127" s="48"/>
      <c r="E127" s="48" t="s">
        <v>324</v>
      </c>
      <c r="F127" s="48" t="s">
        <v>325</v>
      </c>
      <c r="G127" s="48">
        <v>20</v>
      </c>
      <c r="H127" s="21" t="s">
        <v>49</v>
      </c>
      <c r="I127" s="52" t="s">
        <v>377</v>
      </c>
      <c r="J127" s="52"/>
      <c r="K127" s="23">
        <v>45677</v>
      </c>
      <c r="L127" s="42">
        <v>65000</v>
      </c>
      <c r="M127" s="48" t="s">
        <v>79</v>
      </c>
      <c r="N127" s="21" t="s">
        <v>387</v>
      </c>
      <c r="O127" s="21" t="s">
        <v>69</v>
      </c>
      <c r="P127" s="21" t="s">
        <v>33</v>
      </c>
      <c r="Q127" s="22">
        <v>33912</v>
      </c>
      <c r="R127" s="48" t="s">
        <v>71</v>
      </c>
      <c r="S127" s="53" t="s">
        <v>326</v>
      </c>
      <c r="T127" s="48">
        <v>3168248690</v>
      </c>
      <c r="U127" s="25" t="s">
        <v>327</v>
      </c>
      <c r="V127" s="26" t="e">
        <f>IF(P127=#REF!,"DIPLOMADO EN ATENCION PRE-HOSPITALARIA",IF(P127=#REF!,"ACOMPAÑAMIENTO Y MANEJO DEL DUELO",IF(P127=#REF!,"ATENCION A VICTIMAS DE ATAQUE CON AGENTES QUIMICOS ",IF(P127=#REF!,"PRIMEROS AUXILIOS ",IF(P127=#REF!,"DIPLOMADO DE UNIDAD DE CUIDADOS INTENSIVOS (UCI)",IF(P127=#REF!,"MODELO DE ATENCION PARA EVENTOS EMERGENTES EN SALUD MENTAL (CODIGO VERDE)",IF(P127=#REF!,"HUMANIZACION EN EL SERVICIO DE LA SALUD Y BUENAS PRACTICAS EN PACIENTE ",IF(P127=#REF!,"CLINICA DE HERIDAS ",IF(P127=#REF!,"TOMA DE CITOLOGIA CERVICO VAGINAL ",IF(P127=#REF!,"SOPORTE CARDIOVASCULAR AVANZADO (ACLS) ",IF(P127=#REF!,"CAMILLERO ",IF(P127=#REF!,"TOMA DE MUESTRAS Y LABORATORIO ",IF(P127=#REF!,"SOPORTE VITAL BASICO (BLS)",IF(P127=#REF!,"ATENCION A VICTIMAS DE VIOLENCIA SEXUAL ",IF(P127=#REF!,"PROGRAMADO AMPLIADO DE INMUNIZACION (PAI - COVID 19)",IF(P127=#REF!,"ATENCION INTEGRAL EN ENFERMEDADES PREVALENTES EN PRIMERA INFANCIA (AIEPI)",IF(P127=#REF!,"ADMINISTRACION DE MEDICAMENTOS, INYECTOLOGIA  Y CANALIZACION ",IF(P127=#REF!,"OPERADOR DE VEHICULOS DE EMERGENCIA (OVE)",IF(P127=#REF!,"INSTITUCIONES AMIGAS DE LA MUJER Y LA INFANCIA (IAMI)",IF(P127=#REF!,"CUIDADO DEL DONANTE DE ORGANOS",IF(P127=#REF!,"ATENCION A VICTIMAS POR VIOLENCIA DE GENERO",IF(P127=#REF!,"IGUALDAD DE GENERO EN LA SALUD",IF(P127=#REF!,"BRIGADA DE EMERGENCIA",IF(P127=#REF!,"MANEJO DEL DOLOR Y CUIDADOS PALIATIVOS",IF(P127=#REF!,"TOMA DE MUESTRAS Y LABORATORIO POCT",IF(P127=#REF!,"IMPLANTE SUBDERMICO DE DISPOSITIVO INTRAUTERINO",IF(P127=#REF!,"SALUD MENTAL",IF(P127=#REF!,"PRIMEROS AUXILIOS PSICOLOGICOS",IF(P127=#REF!,"ATENCION A VICTIMAS POR CONFLICTO ARMADO",IF(P127=#REF!,"MANIPULACION DE ALIMENTOS Y BPM",IF(P127=#REF!,"ATENCION A PERSONAS CON DISCAPACIDAD",IF(P127=#REF!,"CUIDADO INTEGRAL DEL PACIENTE ADULTO",IF(P127=#REF!,"MANEJO DEFENSIVO",IF(P127=#REF!,"SOPORTE CARDIOVASCULAR AVANZADO NEONATAL",IF(P127=#REF!,"SEGURIDAD DEL PACIENTE",IF(P127=#REF!,"MANEJO DE RESIDUOS HOSPITALARIOS"))))))))))))))))))))))))))))))))))))</f>
        <v>#REF!</v>
      </c>
      <c r="W127" s="26" t="str">
        <f t="shared" si="3"/>
        <v xml:space="preserve">Jesica Liliana Viveros </v>
      </c>
      <c r="X127" s="26" t="str">
        <f t="shared" si="4"/>
        <v xml:space="preserve">Jesica Liliana Viveros </v>
      </c>
      <c r="Y127" s="26" t="str">
        <f t="shared" si="5"/>
        <v>Jesica Liliana Viveros -1007268170-IGUALDAD DE GENERO</v>
      </c>
    </row>
    <row r="128" spans="1:25" x14ac:dyDescent="0.2">
      <c r="A128" s="20">
        <v>127</v>
      </c>
      <c r="B128" s="21">
        <v>1085264409</v>
      </c>
      <c r="C128" s="48" t="s">
        <v>328</v>
      </c>
      <c r="D128" s="48" t="s">
        <v>329</v>
      </c>
      <c r="E128" s="48" t="s">
        <v>330</v>
      </c>
      <c r="F128" s="48" t="s">
        <v>331</v>
      </c>
      <c r="G128" s="48">
        <v>20</v>
      </c>
      <c r="H128" s="21" t="s">
        <v>49</v>
      </c>
      <c r="I128" s="52" t="s">
        <v>376</v>
      </c>
      <c r="J128" s="52"/>
      <c r="K128" s="23">
        <v>45677</v>
      </c>
      <c r="L128" s="42">
        <v>80000</v>
      </c>
      <c r="M128" s="48" t="s">
        <v>106</v>
      </c>
      <c r="N128" s="21" t="s">
        <v>387</v>
      </c>
      <c r="O128" s="21" t="s">
        <v>69</v>
      </c>
      <c r="P128" s="21" t="s">
        <v>24</v>
      </c>
      <c r="Q128" s="22">
        <v>32149</v>
      </c>
      <c r="R128" s="48" t="s">
        <v>70</v>
      </c>
      <c r="S128" s="27" t="s">
        <v>83</v>
      </c>
      <c r="T128" s="21">
        <v>3174552359</v>
      </c>
      <c r="U128" s="21" t="s">
        <v>332</v>
      </c>
      <c r="V128" s="26" t="e">
        <f>IF(P128=#REF!,"DIPLOMADO EN ATENCION PRE-HOSPITALARIA",IF(P128=#REF!,"ACOMPAÑAMIENTO Y MANEJO DEL DUELO",IF(P128=#REF!,"ATENCION A VICTIMAS DE ATAQUE CON AGENTES QUIMICOS ",IF(P128=#REF!,"PRIMEROS AUXILIOS ",IF(P128=#REF!,"DIPLOMADO DE UNIDAD DE CUIDADOS INTENSIVOS (UCI)",IF(P128=#REF!,"MODELO DE ATENCION PARA EVENTOS EMERGENTES EN SALUD MENTAL (CODIGO VERDE)",IF(P128=#REF!,"HUMANIZACION EN EL SERVICIO DE LA SALUD Y BUENAS PRACTICAS EN PACIENTE ",IF(P128=#REF!,"CLINICA DE HERIDAS ",IF(P128=#REF!,"TOMA DE CITOLOGIA CERVICO VAGINAL ",IF(P128=#REF!,"SOPORTE CARDIOVASCULAR AVANZADO (ACLS) ",IF(P128=#REF!,"CAMILLERO ",IF(P128=#REF!,"TOMA DE MUESTRAS Y LABORATORIO ",IF(P128=#REF!,"SOPORTE VITAL BASICO (BLS)",IF(P128=#REF!,"ATENCION A VICTIMAS DE VIOLENCIA SEXUAL ",IF(P128=#REF!,"PROGRAMADO AMPLIADO DE INMUNIZACION (PAI - COVID 19)",IF(P128=#REF!,"ATENCION INTEGRAL EN ENFERMEDADES PREVALENTES EN PRIMERA INFANCIA (AIEPI)",IF(P128=#REF!,"ADMINISTRACION DE MEDICAMENTOS, INYECTOLOGIA  Y CANALIZACION ",IF(P128=#REF!,"OPERADOR DE VEHICULOS DE EMERGENCIA (OVE)",IF(P128=#REF!,"INSTITUCIONES AMIGAS DE LA MUJER Y LA INFANCIA (IAMI)",IF(P128=#REF!,"CUIDADO DEL DONANTE DE ORGANOS",IF(P128=#REF!,"ATENCION A VICTIMAS POR VIOLENCIA DE GENERO",IF(P128=#REF!,"IGUALDAD DE GENERO EN LA SALUD",IF(P128=#REF!,"BRIGADA DE EMERGENCIA",IF(P128=#REF!,"MANEJO DEL DOLOR Y CUIDADOS PALIATIVOS",IF(P128=#REF!,"TOMA DE MUESTRAS Y LABORATORIO POCT",IF(P128=#REF!,"IMPLANTE SUBDERMICO DE DISPOSITIVO INTRAUTERINO",IF(P128=#REF!,"SALUD MENTAL",IF(P128=#REF!,"PRIMEROS AUXILIOS PSICOLOGICOS",IF(P128=#REF!,"ATENCION A VICTIMAS POR CONFLICTO ARMADO",IF(P128=#REF!,"MANIPULACION DE ALIMENTOS Y BPM",IF(P128=#REF!,"ATENCION A PERSONAS CON DISCAPACIDAD",IF(P128=#REF!,"CUIDADO INTEGRAL DEL PACIENTE ADULTO",IF(P128=#REF!,"MANEJO DEFENSIVO",IF(P128=#REF!,"SOPORTE CARDIOVASCULAR AVANZADO NEONATAL",IF(P128=#REF!,"SEGURIDAD DEL PACIENTE",IF(P128=#REF!,"MANEJO DE RESIDUOS HOSPITALARIOS"))))))))))))))))))))))))))))))))))))</f>
        <v>#REF!</v>
      </c>
      <c r="W128" s="26" t="str">
        <f t="shared" si="3"/>
        <v>Edisson Armando Pachajoa Potosi</v>
      </c>
      <c r="X128" s="26" t="str">
        <f t="shared" si="4"/>
        <v>Edisson Armando Pachajoa Potosi</v>
      </c>
      <c r="Y128" s="26" t="str">
        <f t="shared" si="5"/>
        <v>Edisson Armando Pachajoa Potosi-1085264409-ACLS</v>
      </c>
    </row>
    <row r="129" spans="1:25" x14ac:dyDescent="0.2">
      <c r="A129" s="20">
        <v>128</v>
      </c>
      <c r="B129" s="21">
        <v>1085264409</v>
      </c>
      <c r="C129" s="48" t="s">
        <v>328</v>
      </c>
      <c r="D129" s="48" t="s">
        <v>329</v>
      </c>
      <c r="E129" s="48" t="s">
        <v>330</v>
      </c>
      <c r="F129" s="48" t="s">
        <v>331</v>
      </c>
      <c r="G129" s="48">
        <v>20</v>
      </c>
      <c r="H129" s="21" t="s">
        <v>49</v>
      </c>
      <c r="I129" s="52" t="s">
        <v>376</v>
      </c>
      <c r="J129" s="52"/>
      <c r="K129" s="23">
        <v>45677</v>
      </c>
      <c r="L129" s="24">
        <v>20000</v>
      </c>
      <c r="M129" s="21" t="s">
        <v>106</v>
      </c>
      <c r="N129" s="21" t="s">
        <v>387</v>
      </c>
      <c r="O129" s="21" t="s">
        <v>69</v>
      </c>
      <c r="P129" s="21" t="s">
        <v>19</v>
      </c>
      <c r="Q129" s="22">
        <v>32149</v>
      </c>
      <c r="R129" s="48" t="s">
        <v>70</v>
      </c>
      <c r="S129" s="27" t="s">
        <v>83</v>
      </c>
      <c r="T129" s="21">
        <v>3174552359</v>
      </c>
      <c r="U129" s="21" t="s">
        <v>332</v>
      </c>
      <c r="V129" s="26" t="e">
        <f>IF(P129=#REF!,"DIPLOMADO EN ATENCION PRE-HOSPITALARIA",IF(P129=#REF!,"ACOMPAÑAMIENTO Y MANEJO DEL DUELO",IF(P129=#REF!,"ATENCION A VICTIMAS DE ATAQUE CON AGENTES QUIMICOS ",IF(P129=#REF!,"PRIMEROS AUXILIOS ",IF(P129=#REF!,"DIPLOMADO DE UNIDAD DE CUIDADOS INTENSIVOS (UCI)",IF(P129=#REF!,"MODELO DE ATENCION PARA EVENTOS EMERGENTES EN SALUD MENTAL (CODIGO VERDE)",IF(P129=#REF!,"HUMANIZACION EN EL SERVICIO DE LA SALUD Y BUENAS PRACTICAS EN PACIENTE ",IF(P129=#REF!,"CLINICA DE HERIDAS ",IF(P129=#REF!,"TOMA DE CITOLOGIA CERVICO VAGINAL ",IF(P129=#REF!,"SOPORTE CARDIOVASCULAR AVANZADO (ACLS) ",IF(P129=#REF!,"CAMILLERO ",IF(P129=#REF!,"TOMA DE MUESTRAS Y LABORATORIO ",IF(P129=#REF!,"SOPORTE VITAL BASICO (BLS)",IF(P129=#REF!,"ATENCION A VICTIMAS DE VIOLENCIA SEXUAL ",IF(P129=#REF!,"PROGRAMADO AMPLIADO DE INMUNIZACION (PAI - COVID 19)",IF(P129=#REF!,"ATENCION INTEGRAL EN ENFERMEDADES PREVALENTES EN PRIMERA INFANCIA (AIEPI)",IF(P129=#REF!,"ADMINISTRACION DE MEDICAMENTOS, INYECTOLOGIA  Y CANALIZACION ",IF(P129=#REF!,"OPERADOR DE VEHICULOS DE EMERGENCIA (OVE)",IF(P129=#REF!,"INSTITUCIONES AMIGAS DE LA MUJER Y LA INFANCIA (IAMI)",IF(P129=#REF!,"CUIDADO DEL DONANTE DE ORGANOS",IF(P129=#REF!,"ATENCION A VICTIMAS POR VIOLENCIA DE GENERO",IF(P129=#REF!,"IGUALDAD DE GENERO EN LA SALUD",IF(P129=#REF!,"BRIGADA DE EMERGENCIA",IF(P129=#REF!,"MANEJO DEL DOLOR Y CUIDADOS PALIATIVOS",IF(P129=#REF!,"TOMA DE MUESTRAS Y LABORATORIO POCT",IF(P129=#REF!,"IMPLANTE SUBDERMICO DE DISPOSITIVO INTRAUTERINO",IF(P129=#REF!,"SALUD MENTAL",IF(P129=#REF!,"PRIMEROS AUXILIOS PSICOLOGICOS",IF(P129=#REF!,"ATENCION A VICTIMAS POR CONFLICTO ARMADO",IF(P129=#REF!,"MANIPULACION DE ALIMENTOS Y BPM",IF(P129=#REF!,"ATENCION A PERSONAS CON DISCAPACIDAD",IF(P129=#REF!,"CUIDADO INTEGRAL DEL PACIENTE ADULTO",IF(P129=#REF!,"MANEJO DEFENSIVO",IF(P129=#REF!,"SOPORTE CARDIOVASCULAR AVANZADO NEONATAL",IF(P129=#REF!,"SEGURIDAD DEL PACIENTE",IF(P129=#REF!,"MANEJO DE RESIDUOS HOSPITALARIOS"))))))))))))))))))))))))))))))))))))</f>
        <v>#REF!</v>
      </c>
      <c r="W129" s="26" t="str">
        <f t="shared" si="3"/>
        <v>Edisson Armando Pachajoa Potosi</v>
      </c>
      <c r="X129" s="26" t="str">
        <f t="shared" si="4"/>
        <v>Edisson Armando Pachajoa Potosi</v>
      </c>
      <c r="Y129" s="26" t="str">
        <f t="shared" si="5"/>
        <v>Edisson Armando Pachajoa Potosi-1085264409-BLS</v>
      </c>
    </row>
    <row r="130" spans="1:25" x14ac:dyDescent="0.2">
      <c r="A130" s="20">
        <v>129</v>
      </c>
      <c r="B130" s="21">
        <v>1085264409</v>
      </c>
      <c r="C130" s="48" t="s">
        <v>328</v>
      </c>
      <c r="D130" s="48" t="s">
        <v>329</v>
      </c>
      <c r="E130" s="48" t="s">
        <v>330</v>
      </c>
      <c r="F130" s="48" t="s">
        <v>331</v>
      </c>
      <c r="G130" s="48">
        <v>17</v>
      </c>
      <c r="H130" s="21" t="s">
        <v>49</v>
      </c>
      <c r="I130" s="52" t="s">
        <v>376</v>
      </c>
      <c r="J130" s="52"/>
      <c r="K130" s="23">
        <v>45677</v>
      </c>
      <c r="L130" s="24">
        <v>32571</v>
      </c>
      <c r="M130" s="21" t="s">
        <v>106</v>
      </c>
      <c r="N130" s="21" t="s">
        <v>387</v>
      </c>
      <c r="O130" s="21" t="s">
        <v>69</v>
      </c>
      <c r="P130" s="21" t="s">
        <v>27</v>
      </c>
      <c r="Q130" s="22">
        <v>32149</v>
      </c>
      <c r="R130" s="48" t="s">
        <v>70</v>
      </c>
      <c r="S130" s="27" t="s">
        <v>83</v>
      </c>
      <c r="T130" s="21">
        <v>3174552359</v>
      </c>
      <c r="U130" s="21" t="s">
        <v>332</v>
      </c>
      <c r="V130" s="26" t="e">
        <f>IF(P130=#REF!,"DIPLOMADO EN ATENCION PRE-HOSPITALARIA",IF(P130=#REF!,"ACOMPAÑAMIENTO Y MANEJO DEL DUELO",IF(P130=#REF!,"ATENCION A VICTIMAS DE ATAQUE CON AGENTES QUIMICOS ",IF(P130=#REF!,"PRIMEROS AUXILIOS ",IF(P130=#REF!,"DIPLOMADO DE UNIDAD DE CUIDADOS INTENSIVOS (UCI)",IF(P130=#REF!,"MODELO DE ATENCION PARA EVENTOS EMERGENTES EN SALUD MENTAL (CODIGO VERDE)",IF(P130=#REF!,"HUMANIZACION EN EL SERVICIO DE LA SALUD Y BUENAS PRACTICAS EN PACIENTE ",IF(P130=#REF!,"CLINICA DE HERIDAS ",IF(P130=#REF!,"TOMA DE CITOLOGIA CERVICO VAGINAL ",IF(P130=#REF!,"SOPORTE CARDIOVASCULAR AVANZADO (ACLS) ",IF(P130=#REF!,"CAMILLERO ",IF(P130=#REF!,"TOMA DE MUESTRAS Y LABORATORIO ",IF(P130=#REF!,"SOPORTE VITAL BASICO (BLS)",IF(P130=#REF!,"ATENCION A VICTIMAS DE VIOLENCIA SEXUAL ",IF(P130=#REF!,"PROGRAMADO AMPLIADO DE INMUNIZACION (PAI - COVID 19)",IF(P130=#REF!,"ATENCION INTEGRAL EN ENFERMEDADES PREVALENTES EN PRIMERA INFANCIA (AIEPI)",IF(P130=#REF!,"ADMINISTRACION DE MEDICAMENTOS, INYECTOLOGIA  Y CANALIZACION ",IF(P130=#REF!,"OPERADOR DE VEHICULOS DE EMERGENCIA (OVE)",IF(P130=#REF!,"INSTITUCIONES AMIGAS DE LA MUJER Y LA INFANCIA (IAMI)",IF(P130=#REF!,"CUIDADO DEL DONANTE DE ORGANOS",IF(P130=#REF!,"ATENCION A VICTIMAS POR VIOLENCIA DE GENERO",IF(P130=#REF!,"IGUALDAD DE GENERO EN LA SALUD",IF(P130=#REF!,"BRIGADA DE EMERGENCIA",IF(P130=#REF!,"MANEJO DEL DOLOR Y CUIDADOS PALIATIVOS",IF(P130=#REF!,"TOMA DE MUESTRAS Y LABORATORIO POCT",IF(P130=#REF!,"IMPLANTE SUBDERMICO DE DISPOSITIVO INTRAUTERINO",IF(P130=#REF!,"SALUD MENTAL",IF(P130=#REF!,"PRIMEROS AUXILIOS PSICOLOGICOS",IF(P130=#REF!,"ATENCION A VICTIMAS POR CONFLICTO ARMADO",IF(P130=#REF!,"MANIPULACION DE ALIMENTOS Y BPM",IF(P130=#REF!,"ATENCION A PERSONAS CON DISCAPACIDAD",IF(P130=#REF!,"CUIDADO INTEGRAL DEL PACIENTE ADULTO",IF(P130=#REF!,"MANEJO DEFENSIVO",IF(P130=#REF!,"SOPORTE CARDIOVASCULAR AVANZADO NEONATAL",IF(P130=#REF!,"SEGURIDAD DEL PACIENTE",IF(P130=#REF!,"MANEJO DE RESIDUOS HOSPITALARIOS"))))))))))))))))))))))))))))))))))))</f>
        <v>#REF!</v>
      </c>
      <c r="W130" s="26" t="str">
        <f t="shared" si="3"/>
        <v>Edisson Armando Pachajoa Potosi</v>
      </c>
      <c r="X130" s="26" t="str">
        <f t="shared" si="4"/>
        <v>Edisson Armando Pachajoa Potosi</v>
      </c>
      <c r="Y130" s="26" t="str">
        <f t="shared" si="5"/>
        <v>Edisson Armando Pachajoa Potosi-1085264409-VIOLENCIA SEXUAL</v>
      </c>
    </row>
    <row r="131" spans="1:25" x14ac:dyDescent="0.2">
      <c r="A131" s="20">
        <v>130</v>
      </c>
      <c r="B131" s="21">
        <v>1085264409</v>
      </c>
      <c r="C131" s="48" t="s">
        <v>328</v>
      </c>
      <c r="D131" s="48" t="s">
        <v>329</v>
      </c>
      <c r="E131" s="48" t="s">
        <v>330</v>
      </c>
      <c r="F131" s="48" t="s">
        <v>331</v>
      </c>
      <c r="G131" s="48">
        <v>17</v>
      </c>
      <c r="H131" s="21" t="s">
        <v>49</v>
      </c>
      <c r="I131" s="52" t="s">
        <v>376</v>
      </c>
      <c r="J131" s="52"/>
      <c r="K131" s="23">
        <v>45677</v>
      </c>
      <c r="L131" s="24">
        <v>32571</v>
      </c>
      <c r="M131" s="21" t="s">
        <v>106</v>
      </c>
      <c r="N131" s="21" t="s">
        <v>387</v>
      </c>
      <c r="O131" s="21" t="s">
        <v>69</v>
      </c>
      <c r="P131" s="21" t="s">
        <v>21</v>
      </c>
      <c r="Q131" s="22">
        <v>32149</v>
      </c>
      <c r="R131" s="48" t="s">
        <v>70</v>
      </c>
      <c r="S131" s="27" t="s">
        <v>83</v>
      </c>
      <c r="T131" s="21">
        <v>3174552359</v>
      </c>
      <c r="U131" s="21" t="s">
        <v>332</v>
      </c>
      <c r="V131" s="26" t="e">
        <f>IF(P131=#REF!,"DIPLOMADO EN ATENCION PRE-HOSPITALARIA",IF(P131=#REF!,"ACOMPAÑAMIENTO Y MANEJO DEL DUELO",IF(P131=#REF!,"ATENCION A VICTIMAS DE ATAQUE CON AGENTES QUIMICOS ",IF(P131=#REF!,"PRIMEROS AUXILIOS ",IF(P131=#REF!,"DIPLOMADO DE UNIDAD DE CUIDADOS INTENSIVOS (UCI)",IF(P131=#REF!,"MODELO DE ATENCION PARA EVENTOS EMERGENTES EN SALUD MENTAL (CODIGO VERDE)",IF(P131=#REF!,"HUMANIZACION EN EL SERVICIO DE LA SALUD Y BUENAS PRACTICAS EN PACIENTE ",IF(P131=#REF!,"CLINICA DE HERIDAS ",IF(P131=#REF!,"TOMA DE CITOLOGIA CERVICO VAGINAL ",IF(P131=#REF!,"SOPORTE CARDIOVASCULAR AVANZADO (ACLS) ",IF(P131=#REF!,"CAMILLERO ",IF(P131=#REF!,"TOMA DE MUESTRAS Y LABORATORIO ",IF(P131=#REF!,"SOPORTE VITAL BASICO (BLS)",IF(P131=#REF!,"ATENCION A VICTIMAS DE VIOLENCIA SEXUAL ",IF(P131=#REF!,"PROGRAMADO AMPLIADO DE INMUNIZACION (PAI - COVID 19)",IF(P131=#REF!,"ATENCION INTEGRAL EN ENFERMEDADES PREVALENTES EN PRIMERA INFANCIA (AIEPI)",IF(P131=#REF!,"ADMINISTRACION DE MEDICAMENTOS, INYECTOLOGIA  Y CANALIZACION ",IF(P131=#REF!,"OPERADOR DE VEHICULOS DE EMERGENCIA (OVE)",IF(P131=#REF!,"INSTITUCIONES AMIGAS DE LA MUJER Y LA INFANCIA (IAMI)",IF(P131=#REF!,"CUIDADO DEL DONANTE DE ORGANOS",IF(P131=#REF!,"ATENCION A VICTIMAS POR VIOLENCIA DE GENERO",IF(P131=#REF!,"IGUALDAD DE GENERO EN LA SALUD",IF(P131=#REF!,"BRIGADA DE EMERGENCIA",IF(P131=#REF!,"MANEJO DEL DOLOR Y CUIDADOS PALIATIVOS",IF(P131=#REF!,"TOMA DE MUESTRAS Y LABORATORIO POCT",IF(P131=#REF!,"IMPLANTE SUBDERMICO DE DISPOSITIVO INTRAUTERINO",IF(P131=#REF!,"SALUD MENTAL",IF(P131=#REF!,"PRIMEROS AUXILIOS PSICOLOGICOS",IF(P131=#REF!,"ATENCION A VICTIMAS POR CONFLICTO ARMADO",IF(P131=#REF!,"MANIPULACION DE ALIMENTOS Y BPM",IF(P131=#REF!,"ATENCION A PERSONAS CON DISCAPACIDAD",IF(P131=#REF!,"CUIDADO INTEGRAL DEL PACIENTE ADULTO",IF(P131=#REF!,"MANEJO DEFENSIVO",IF(P131=#REF!,"SOPORTE CARDIOVASCULAR AVANZADO NEONATAL",IF(P131=#REF!,"SEGURIDAD DEL PACIENTE",IF(P131=#REF!,"MANEJO DE RESIDUOS HOSPITALARIOS"))))))))))))))))))))))))))))))))))))</f>
        <v>#REF!</v>
      </c>
      <c r="W131" s="26" t="str">
        <f t="shared" ref="W131:W139" si="6">CONCATENATE(E131," ",F131," ",C131," ",D131)</f>
        <v>Edisson Armando Pachajoa Potosi</v>
      </c>
      <c r="X131" s="26" t="str">
        <f t="shared" ref="X131:X139" si="7">PROPER(W131)</f>
        <v>Edisson Armando Pachajoa Potosi</v>
      </c>
      <c r="Y131" s="26" t="str">
        <f t="shared" ref="Y131:Y139" si="8">CONCATENATE(W131,"-",B131,"-",P131)</f>
        <v>Edisson Armando Pachajoa Potosi-1085264409-QUIMICOS</v>
      </c>
    </row>
    <row r="132" spans="1:25" x14ac:dyDescent="0.2">
      <c r="A132" s="20">
        <v>131</v>
      </c>
      <c r="B132" s="21">
        <v>1085264409</v>
      </c>
      <c r="C132" s="48" t="s">
        <v>328</v>
      </c>
      <c r="D132" s="48" t="s">
        <v>329</v>
      </c>
      <c r="E132" s="48" t="s">
        <v>330</v>
      </c>
      <c r="F132" s="48" t="s">
        <v>331</v>
      </c>
      <c r="G132" s="48">
        <v>18</v>
      </c>
      <c r="H132" s="21" t="s">
        <v>49</v>
      </c>
      <c r="I132" s="52" t="s">
        <v>376</v>
      </c>
      <c r="J132" s="52"/>
      <c r="K132" s="23">
        <v>45677</v>
      </c>
      <c r="L132" s="24">
        <v>32571</v>
      </c>
      <c r="M132" s="21" t="s">
        <v>106</v>
      </c>
      <c r="N132" s="21" t="s">
        <v>387</v>
      </c>
      <c r="O132" s="21" t="s">
        <v>69</v>
      </c>
      <c r="P132" s="21" t="s">
        <v>33</v>
      </c>
      <c r="Q132" s="22">
        <v>32149</v>
      </c>
      <c r="R132" s="48" t="s">
        <v>70</v>
      </c>
      <c r="S132" s="27" t="s">
        <v>83</v>
      </c>
      <c r="T132" s="21">
        <v>3174552359</v>
      </c>
      <c r="U132" s="21" t="s">
        <v>332</v>
      </c>
      <c r="V132" s="26" t="e">
        <f>IF(P132=#REF!,"DIPLOMADO EN ATENCION PRE-HOSPITALARIA",IF(P132=#REF!,"ACOMPAÑAMIENTO Y MANEJO DEL DUELO",IF(P132=#REF!,"ATENCION A VICTIMAS DE ATAQUE CON AGENTES QUIMICOS ",IF(P132=#REF!,"PRIMEROS AUXILIOS ",IF(P132=#REF!,"DIPLOMADO DE UNIDAD DE CUIDADOS INTENSIVOS (UCI)",IF(P132=#REF!,"MODELO DE ATENCION PARA EVENTOS EMERGENTES EN SALUD MENTAL (CODIGO VERDE)",IF(P132=#REF!,"HUMANIZACION EN EL SERVICIO DE LA SALUD Y BUENAS PRACTICAS EN PACIENTE ",IF(P132=#REF!,"CLINICA DE HERIDAS ",IF(P132=#REF!,"TOMA DE CITOLOGIA CERVICO VAGINAL ",IF(P132=#REF!,"SOPORTE CARDIOVASCULAR AVANZADO (ACLS) ",IF(P132=#REF!,"CAMILLERO ",IF(P132=#REF!,"TOMA DE MUESTRAS Y LABORATORIO ",IF(P132=#REF!,"SOPORTE VITAL BASICO (BLS)",IF(P132=#REF!,"ATENCION A VICTIMAS DE VIOLENCIA SEXUAL ",IF(P132=#REF!,"PROGRAMADO AMPLIADO DE INMUNIZACION (PAI - COVID 19)",IF(P132=#REF!,"ATENCION INTEGRAL EN ENFERMEDADES PREVALENTES EN PRIMERA INFANCIA (AIEPI)",IF(P132=#REF!,"ADMINISTRACION DE MEDICAMENTOS, INYECTOLOGIA  Y CANALIZACION ",IF(P132=#REF!,"OPERADOR DE VEHICULOS DE EMERGENCIA (OVE)",IF(P132=#REF!,"INSTITUCIONES AMIGAS DE LA MUJER Y LA INFANCIA (IAMI)",IF(P132=#REF!,"CUIDADO DEL DONANTE DE ORGANOS",IF(P132=#REF!,"ATENCION A VICTIMAS POR VIOLENCIA DE GENERO",IF(P132=#REF!,"IGUALDAD DE GENERO EN LA SALUD",IF(P132=#REF!,"BRIGADA DE EMERGENCIA",IF(P132=#REF!,"MANEJO DEL DOLOR Y CUIDADOS PALIATIVOS",IF(P132=#REF!,"TOMA DE MUESTRAS Y LABORATORIO POCT",IF(P132=#REF!,"IMPLANTE SUBDERMICO DE DISPOSITIVO INTRAUTERINO",IF(P132=#REF!,"SALUD MENTAL",IF(P132=#REF!,"PRIMEROS AUXILIOS PSICOLOGICOS",IF(P132=#REF!,"ATENCION A VICTIMAS POR CONFLICTO ARMADO",IF(P132=#REF!,"MANIPULACION DE ALIMENTOS Y BPM",IF(P132=#REF!,"ATENCION A PERSONAS CON DISCAPACIDAD",IF(P132=#REF!,"CUIDADO INTEGRAL DEL PACIENTE ADULTO",IF(P132=#REF!,"MANEJO DEFENSIVO",IF(P132=#REF!,"SOPORTE CARDIOVASCULAR AVANZADO NEONATAL",IF(P132=#REF!,"SEGURIDAD DEL PACIENTE",IF(P132=#REF!,"MANEJO DE RESIDUOS HOSPITALARIOS"))))))))))))))))))))))))))))))))))))</f>
        <v>#REF!</v>
      </c>
      <c r="W132" s="26" t="str">
        <f t="shared" si="6"/>
        <v>Edisson Armando Pachajoa Potosi</v>
      </c>
      <c r="X132" s="26" t="str">
        <f t="shared" si="7"/>
        <v>Edisson Armando Pachajoa Potosi</v>
      </c>
      <c r="Y132" s="26" t="str">
        <f t="shared" si="8"/>
        <v>Edisson Armando Pachajoa Potosi-1085264409-IGUALDAD DE GENERO</v>
      </c>
    </row>
    <row r="133" spans="1:25" x14ac:dyDescent="0.2">
      <c r="A133" s="20">
        <v>132</v>
      </c>
      <c r="B133" s="21">
        <v>1085264409</v>
      </c>
      <c r="C133" s="48" t="s">
        <v>328</v>
      </c>
      <c r="D133" s="48" t="s">
        <v>329</v>
      </c>
      <c r="E133" s="48" t="s">
        <v>330</v>
      </c>
      <c r="F133" s="48" t="s">
        <v>331</v>
      </c>
      <c r="G133" s="21">
        <v>16</v>
      </c>
      <c r="H133" s="21" t="s">
        <v>49</v>
      </c>
      <c r="I133" s="52" t="s">
        <v>376</v>
      </c>
      <c r="J133" s="52"/>
      <c r="K133" s="23">
        <v>45677</v>
      </c>
      <c r="L133" s="24">
        <v>32571</v>
      </c>
      <c r="M133" s="21" t="s">
        <v>106</v>
      </c>
      <c r="N133" s="21" t="s">
        <v>387</v>
      </c>
      <c r="O133" s="21" t="s">
        <v>69</v>
      </c>
      <c r="P133" s="21" t="s">
        <v>20</v>
      </c>
      <c r="Q133" s="22">
        <v>32149</v>
      </c>
      <c r="R133" s="48" t="s">
        <v>70</v>
      </c>
      <c r="S133" s="27" t="s">
        <v>83</v>
      </c>
      <c r="T133" s="21">
        <v>3174552359</v>
      </c>
      <c r="U133" s="21" t="s">
        <v>332</v>
      </c>
      <c r="V133" s="26" t="e">
        <f>IF(P133=#REF!,"DIPLOMADO EN ATENCION PRE-HOSPITALARIA",IF(P133=#REF!,"ACOMPAÑAMIENTO Y MANEJO DEL DUELO",IF(P133=#REF!,"ATENCION A VICTIMAS DE ATAQUE CON AGENTES QUIMICOS ",IF(P133=#REF!,"PRIMEROS AUXILIOS ",IF(P133=#REF!,"DIPLOMADO DE UNIDAD DE CUIDADOS INTENSIVOS (UCI)",IF(P133=#REF!,"MODELO DE ATENCION PARA EVENTOS EMERGENTES EN SALUD MENTAL (CODIGO VERDE)",IF(P133=#REF!,"HUMANIZACION EN EL SERVICIO DE LA SALUD Y BUENAS PRACTICAS EN PACIENTE ",IF(P133=#REF!,"CLINICA DE HERIDAS ",IF(P133=#REF!,"TOMA DE CITOLOGIA CERVICO VAGINAL ",IF(P133=#REF!,"SOPORTE CARDIOVASCULAR AVANZADO (ACLS) ",IF(P133=#REF!,"CAMILLERO ",IF(P133=#REF!,"TOMA DE MUESTRAS Y LABORATORIO ",IF(P133=#REF!,"SOPORTE VITAL BASICO (BLS)",IF(P133=#REF!,"ATENCION A VICTIMAS DE VIOLENCIA SEXUAL ",IF(P133=#REF!,"PROGRAMADO AMPLIADO DE INMUNIZACION (PAI - COVID 19)",IF(P133=#REF!,"ATENCION INTEGRAL EN ENFERMEDADES PREVALENTES EN PRIMERA INFANCIA (AIEPI)",IF(P133=#REF!,"ADMINISTRACION DE MEDICAMENTOS, INYECTOLOGIA  Y CANALIZACION ",IF(P133=#REF!,"OPERADOR DE VEHICULOS DE EMERGENCIA (OVE)",IF(P133=#REF!,"INSTITUCIONES AMIGAS DE LA MUJER Y LA INFANCIA (IAMI)",IF(P133=#REF!,"CUIDADO DEL DONANTE DE ORGANOS",IF(P133=#REF!,"ATENCION A VICTIMAS POR VIOLENCIA DE GENERO",IF(P133=#REF!,"IGUALDAD DE GENERO EN LA SALUD",IF(P133=#REF!,"BRIGADA DE EMERGENCIA",IF(P133=#REF!,"MANEJO DEL DOLOR Y CUIDADOS PALIATIVOS",IF(P133=#REF!,"TOMA DE MUESTRAS Y LABORATORIO POCT",IF(P133=#REF!,"IMPLANTE SUBDERMICO DE DISPOSITIVO INTRAUTERINO",IF(P133=#REF!,"SALUD MENTAL",IF(P133=#REF!,"PRIMEROS AUXILIOS PSICOLOGICOS",IF(P133=#REF!,"ATENCION A VICTIMAS POR CONFLICTO ARMADO",IF(P133=#REF!,"MANIPULACION DE ALIMENTOS Y BPM",IF(P133=#REF!,"ATENCION A PERSONAS CON DISCAPACIDAD",IF(P133=#REF!,"CUIDADO INTEGRAL DEL PACIENTE ADULTO",IF(P133=#REF!,"MANEJO DEFENSIVO",IF(P133=#REF!,"SOPORTE CARDIOVASCULAR AVANZADO NEONATAL",IF(P133=#REF!,"SEGURIDAD DEL PACIENTE",IF(P133=#REF!,"MANEJO DE RESIDUOS HOSPITALARIOS"))))))))))))))))))))))))))))))))))))</f>
        <v>#REF!</v>
      </c>
      <c r="W133" s="26" t="str">
        <f t="shared" si="6"/>
        <v>Edisson Armando Pachajoa Potosi</v>
      </c>
      <c r="X133" s="26" t="str">
        <f t="shared" si="7"/>
        <v>Edisson Armando Pachajoa Potosi</v>
      </c>
      <c r="Y133" s="26" t="str">
        <f t="shared" si="8"/>
        <v>Edisson Armando Pachajoa Potosi-1085264409-DUELO</v>
      </c>
    </row>
    <row r="134" spans="1:25" x14ac:dyDescent="0.2">
      <c r="A134" s="20">
        <v>133</v>
      </c>
      <c r="B134" s="21">
        <v>1085264409</v>
      </c>
      <c r="C134" s="48" t="s">
        <v>328</v>
      </c>
      <c r="D134" s="48" t="s">
        <v>329</v>
      </c>
      <c r="E134" s="48" t="s">
        <v>330</v>
      </c>
      <c r="F134" s="48" t="s">
        <v>331</v>
      </c>
      <c r="G134" s="21">
        <v>15</v>
      </c>
      <c r="H134" s="21" t="s">
        <v>49</v>
      </c>
      <c r="I134" s="52" t="s">
        <v>376</v>
      </c>
      <c r="J134" s="52"/>
      <c r="K134" s="23">
        <v>45677</v>
      </c>
      <c r="L134" s="24">
        <v>32571</v>
      </c>
      <c r="M134" s="21" t="s">
        <v>106</v>
      </c>
      <c r="N134" s="21" t="s">
        <v>387</v>
      </c>
      <c r="O134" s="21" t="s">
        <v>69</v>
      </c>
      <c r="P134" s="21" t="s">
        <v>41</v>
      </c>
      <c r="Q134" s="22">
        <v>32149</v>
      </c>
      <c r="R134" s="48" t="s">
        <v>70</v>
      </c>
      <c r="S134" s="27" t="s">
        <v>83</v>
      </c>
      <c r="T134" s="21">
        <v>3174552359</v>
      </c>
      <c r="U134" s="21" t="s">
        <v>332</v>
      </c>
      <c r="V134" s="26" t="e">
        <f>IF(P134=#REF!,"DIPLOMADO EN ATENCION PRE-HOSPITALARIA",IF(P134=#REF!,"ACOMPAÑAMIENTO Y MANEJO DEL DUELO",IF(P134=#REF!,"ATENCION A VICTIMAS DE ATAQUE CON AGENTES QUIMICOS ",IF(P134=#REF!,"PRIMEROS AUXILIOS ",IF(P134=#REF!,"DIPLOMADO DE UNIDAD DE CUIDADOS INTENSIVOS (UCI)",IF(P134=#REF!,"MODELO DE ATENCION PARA EVENTOS EMERGENTES EN SALUD MENTAL (CODIGO VERDE)",IF(P134=#REF!,"HUMANIZACION EN EL SERVICIO DE LA SALUD Y BUENAS PRACTICAS EN PACIENTE ",IF(P134=#REF!,"CLINICA DE HERIDAS ",IF(P134=#REF!,"TOMA DE CITOLOGIA CERVICO VAGINAL ",IF(P134=#REF!,"SOPORTE CARDIOVASCULAR AVANZADO (ACLS) ",IF(P134=#REF!,"CAMILLERO ",IF(P134=#REF!,"TOMA DE MUESTRAS Y LABORATORIO ",IF(P134=#REF!,"SOPORTE VITAL BASICO (BLS)",IF(P134=#REF!,"ATENCION A VICTIMAS DE VIOLENCIA SEXUAL ",IF(P134=#REF!,"PROGRAMADO AMPLIADO DE INMUNIZACION (PAI - COVID 19)",IF(P134=#REF!,"ATENCION INTEGRAL EN ENFERMEDADES PREVALENTES EN PRIMERA INFANCIA (AIEPI)",IF(P134=#REF!,"ADMINISTRACION DE MEDICAMENTOS, INYECTOLOGIA  Y CANALIZACION ",IF(P134=#REF!,"OPERADOR DE VEHICULOS DE EMERGENCIA (OVE)",IF(P134=#REF!,"INSTITUCIONES AMIGAS DE LA MUJER Y LA INFANCIA (IAMI)",IF(P134=#REF!,"CUIDADO DEL DONANTE DE ORGANOS",IF(P134=#REF!,"ATENCION A VICTIMAS POR VIOLENCIA DE GENERO",IF(P134=#REF!,"IGUALDAD DE GENERO EN LA SALUD",IF(P134=#REF!,"BRIGADA DE EMERGENCIA",IF(P134=#REF!,"MANEJO DEL DOLOR Y CUIDADOS PALIATIVOS",IF(P134=#REF!,"TOMA DE MUESTRAS Y LABORATORIO POCT",IF(P134=#REF!,"IMPLANTE SUBDERMICO DE DISPOSITIVO INTRAUTERINO",IF(P134=#REF!,"SALUD MENTAL",IF(P134=#REF!,"PRIMEROS AUXILIOS PSICOLOGICOS",IF(P134=#REF!,"ATENCION A VICTIMAS POR CONFLICTO ARMADO",IF(P134=#REF!,"MANIPULACION DE ALIMENTOS Y BPM",IF(P134=#REF!,"ATENCION A PERSONAS CON DISCAPACIDAD",IF(P134=#REF!,"CUIDADO INTEGRAL DEL PACIENTE ADULTO",IF(P134=#REF!,"MANEJO DEFENSIVO",IF(P134=#REF!,"SOPORTE CARDIOVASCULAR AVANZADO NEONATAL",IF(P134=#REF!,"SEGURIDAD DEL PACIENTE",IF(P134=#REF!,"MANEJO DE RESIDUOS HOSPITALARIOS"))))))))))))))))))))))))))))))))))))</f>
        <v>#REF!</v>
      </c>
      <c r="W134" s="26" t="str">
        <f t="shared" si="6"/>
        <v>Edisson Armando Pachajoa Potosi</v>
      </c>
      <c r="X134" s="26" t="str">
        <f t="shared" si="7"/>
        <v>Edisson Armando Pachajoa Potosi</v>
      </c>
      <c r="Y134" s="26" t="str">
        <f t="shared" si="8"/>
        <v>Edisson Armando Pachajoa Potosi-1085264409-PACIENTE</v>
      </c>
    </row>
    <row r="135" spans="1:25" x14ac:dyDescent="0.2">
      <c r="A135" s="20">
        <v>134</v>
      </c>
      <c r="B135" s="21">
        <v>1085264409</v>
      </c>
      <c r="C135" s="48" t="s">
        <v>328</v>
      </c>
      <c r="D135" s="48" t="s">
        <v>329</v>
      </c>
      <c r="E135" s="48" t="s">
        <v>330</v>
      </c>
      <c r="F135" s="48" t="s">
        <v>331</v>
      </c>
      <c r="G135" s="21">
        <v>14</v>
      </c>
      <c r="H135" s="21" t="s">
        <v>49</v>
      </c>
      <c r="I135" s="52" t="s">
        <v>376</v>
      </c>
      <c r="J135" s="52"/>
      <c r="K135" s="23">
        <v>45677</v>
      </c>
      <c r="L135" s="24">
        <v>32571</v>
      </c>
      <c r="M135" s="21" t="s">
        <v>106</v>
      </c>
      <c r="N135" s="21" t="s">
        <v>387</v>
      </c>
      <c r="O135" s="21" t="s">
        <v>69</v>
      </c>
      <c r="P135" s="21" t="s">
        <v>23</v>
      </c>
      <c r="Q135" s="22">
        <v>32149</v>
      </c>
      <c r="R135" s="48" t="s">
        <v>70</v>
      </c>
      <c r="S135" s="27" t="s">
        <v>83</v>
      </c>
      <c r="T135" s="21">
        <v>3174552359</v>
      </c>
      <c r="U135" s="21" t="s">
        <v>332</v>
      </c>
      <c r="V135" s="26" t="e">
        <f>IF(P135=#REF!,"DIPLOMADO EN ATENCION PRE-HOSPITALARIA",IF(P135=#REF!,"ACOMPAÑAMIENTO Y MANEJO DEL DUELO",IF(P135=#REF!,"ATENCION A VICTIMAS DE ATAQUE CON AGENTES QUIMICOS ",IF(P135=#REF!,"PRIMEROS AUXILIOS ",IF(P135=#REF!,"DIPLOMADO DE UNIDAD DE CUIDADOS INTENSIVOS (UCI)",IF(P135=#REF!,"MODELO DE ATENCION PARA EVENTOS EMERGENTES EN SALUD MENTAL (CODIGO VERDE)",IF(P135=#REF!,"HUMANIZACION EN EL SERVICIO DE LA SALUD Y BUENAS PRACTICAS EN PACIENTE ",IF(P135=#REF!,"CLINICA DE HERIDAS ",IF(P135=#REF!,"TOMA DE CITOLOGIA CERVICO VAGINAL ",IF(P135=#REF!,"SOPORTE CARDIOVASCULAR AVANZADO (ACLS) ",IF(P135=#REF!,"CAMILLERO ",IF(P135=#REF!,"TOMA DE MUESTRAS Y LABORATORIO ",IF(P135=#REF!,"SOPORTE VITAL BASICO (BLS)",IF(P135=#REF!,"ATENCION A VICTIMAS DE VIOLENCIA SEXUAL ",IF(P135=#REF!,"PROGRAMADO AMPLIADO DE INMUNIZACION (PAI - COVID 19)",IF(P135=#REF!,"ATENCION INTEGRAL EN ENFERMEDADES PREVALENTES EN PRIMERA INFANCIA (AIEPI)",IF(P135=#REF!,"ADMINISTRACION DE MEDICAMENTOS, INYECTOLOGIA  Y CANALIZACION ",IF(P135=#REF!,"OPERADOR DE VEHICULOS DE EMERGENCIA (OVE)",IF(P135=#REF!,"INSTITUCIONES AMIGAS DE LA MUJER Y LA INFANCIA (IAMI)",IF(P135=#REF!,"CUIDADO DEL DONANTE DE ORGANOS",IF(P135=#REF!,"ATENCION A VICTIMAS POR VIOLENCIA DE GENERO",IF(P135=#REF!,"IGUALDAD DE GENERO EN LA SALUD",IF(P135=#REF!,"BRIGADA DE EMERGENCIA",IF(P135=#REF!,"MANEJO DEL DOLOR Y CUIDADOS PALIATIVOS",IF(P135=#REF!,"TOMA DE MUESTRAS Y LABORATORIO POCT",IF(P135=#REF!,"IMPLANTE SUBDERMICO DE DISPOSITIVO INTRAUTERINO",IF(P135=#REF!,"SALUD MENTAL",IF(P135=#REF!,"PRIMEROS AUXILIOS PSICOLOGICOS",IF(P135=#REF!,"ATENCION A VICTIMAS POR CONFLICTO ARMADO",IF(P135=#REF!,"MANIPULACION DE ALIMENTOS Y BPM",IF(P135=#REF!,"ATENCION A PERSONAS CON DISCAPACIDAD",IF(P135=#REF!,"CUIDADO INTEGRAL DEL PACIENTE ADULTO",IF(P135=#REF!,"MANEJO DEFENSIVO",IF(P135=#REF!,"SOPORTE CARDIOVASCULAR AVANZADO NEONATAL",IF(P135=#REF!,"SEGURIDAD DEL PACIENTE",IF(P135=#REF!,"MANEJO DE RESIDUOS HOSPITALARIOS"))))))))))))))))))))))))))))))))))))</f>
        <v>#REF!</v>
      </c>
      <c r="W135" s="26" t="str">
        <f t="shared" si="6"/>
        <v>Edisson Armando Pachajoa Potosi</v>
      </c>
      <c r="X135" s="26" t="str">
        <f t="shared" si="7"/>
        <v>Edisson Armando Pachajoa Potosi</v>
      </c>
      <c r="Y135" s="26" t="str">
        <f t="shared" si="8"/>
        <v>Edisson Armando Pachajoa Potosi-1085264409-HUMANIZACION</v>
      </c>
    </row>
    <row r="136" spans="1:25" x14ac:dyDescent="0.2">
      <c r="A136" s="20">
        <v>135</v>
      </c>
      <c r="B136" s="21">
        <v>1085264409</v>
      </c>
      <c r="C136" s="48" t="s">
        <v>328</v>
      </c>
      <c r="D136" s="48" t="s">
        <v>329</v>
      </c>
      <c r="E136" s="48" t="s">
        <v>330</v>
      </c>
      <c r="F136" s="48" t="s">
        <v>331</v>
      </c>
      <c r="G136" s="48">
        <v>13</v>
      </c>
      <c r="H136" s="21" t="s">
        <v>49</v>
      </c>
      <c r="I136" s="52" t="s">
        <v>376</v>
      </c>
      <c r="J136" s="52"/>
      <c r="K136" s="23">
        <v>45677</v>
      </c>
      <c r="L136" s="24">
        <v>32571</v>
      </c>
      <c r="M136" s="21" t="s">
        <v>106</v>
      </c>
      <c r="N136" s="21" t="s">
        <v>387</v>
      </c>
      <c r="O136" s="21" t="s">
        <v>69</v>
      </c>
      <c r="P136" s="21" t="s">
        <v>32</v>
      </c>
      <c r="Q136" s="22">
        <v>32149</v>
      </c>
      <c r="R136" s="48" t="s">
        <v>70</v>
      </c>
      <c r="S136" s="27" t="s">
        <v>83</v>
      </c>
      <c r="T136" s="21">
        <v>3174552359</v>
      </c>
      <c r="U136" s="21" t="s">
        <v>332</v>
      </c>
      <c r="V136" s="26" t="e">
        <f>IF(P136=#REF!,"DIPLOMADO EN ATENCION PRE-HOSPITALARIA",IF(P136=#REF!,"ACOMPAÑAMIENTO Y MANEJO DEL DUELO",IF(P136=#REF!,"ATENCION A VICTIMAS DE ATAQUE CON AGENTES QUIMICOS ",IF(P136=#REF!,"PRIMEROS AUXILIOS ",IF(P136=#REF!,"DIPLOMADO DE UNIDAD DE CUIDADOS INTENSIVOS (UCI)",IF(P136=#REF!,"MODELO DE ATENCION PARA EVENTOS EMERGENTES EN SALUD MENTAL (CODIGO VERDE)",IF(P136=#REF!,"HUMANIZACION EN EL SERVICIO DE LA SALUD Y BUENAS PRACTICAS EN PACIENTE ",IF(P136=#REF!,"CLINICA DE HERIDAS ",IF(P136=#REF!,"TOMA DE CITOLOGIA CERVICO VAGINAL ",IF(P136=#REF!,"SOPORTE CARDIOVASCULAR AVANZADO (ACLS) ",IF(P136=#REF!,"CAMILLERO ",IF(P136=#REF!,"TOMA DE MUESTRAS Y LABORATORIO ",IF(P136=#REF!,"SOPORTE VITAL BASICO (BLS)",IF(P136=#REF!,"ATENCION A VICTIMAS DE VIOLENCIA SEXUAL ",IF(P136=#REF!,"PROGRAMADO AMPLIADO DE INMUNIZACION (PAI - COVID 19)",IF(P136=#REF!,"ATENCION INTEGRAL EN ENFERMEDADES PREVALENTES EN PRIMERA INFANCIA (AIEPI)",IF(P136=#REF!,"ADMINISTRACION DE MEDICAMENTOS, INYECTOLOGIA  Y CANALIZACION ",IF(P136=#REF!,"OPERADOR DE VEHICULOS DE EMERGENCIA (OVE)",IF(P136=#REF!,"INSTITUCIONES AMIGAS DE LA MUJER Y LA INFANCIA (IAMI)",IF(P136=#REF!,"CUIDADO DEL DONANTE DE ORGANOS",IF(P136=#REF!,"ATENCION A VICTIMAS POR VIOLENCIA DE GENERO",IF(P136=#REF!,"IGUALDAD DE GENERO EN LA SALUD",IF(P136=#REF!,"BRIGADA DE EMERGENCIA",IF(P136=#REF!,"MANEJO DEL DOLOR Y CUIDADOS PALIATIVOS",IF(P136=#REF!,"TOMA DE MUESTRAS Y LABORATORIO POCT",IF(P136=#REF!,"IMPLANTE SUBDERMICO DE DISPOSITIVO INTRAUTERINO",IF(P136=#REF!,"SALUD MENTAL",IF(P136=#REF!,"PRIMEROS AUXILIOS PSICOLOGICOS",IF(P136=#REF!,"ATENCION A VICTIMAS POR CONFLICTO ARMADO",IF(P136=#REF!,"MANIPULACION DE ALIMENTOS Y BPM",IF(P136=#REF!,"ATENCION A PERSONAS CON DISCAPACIDAD",IF(P136=#REF!,"CUIDADO INTEGRAL DEL PACIENTE ADULTO",IF(P136=#REF!,"MANEJO DEFENSIVO",IF(P136=#REF!,"SOPORTE CARDIOVASCULAR AVANZADO NEONATAL",IF(P136=#REF!,"SEGURIDAD DEL PACIENTE",IF(P136=#REF!,"MANEJO DE RESIDUOS HOSPITALARIOS"))))))))))))))))))))))))))))))))))))</f>
        <v>#REF!</v>
      </c>
      <c r="W136" s="26" t="str">
        <f t="shared" si="6"/>
        <v>Edisson Armando Pachajoa Potosi</v>
      </c>
      <c r="X136" s="26" t="str">
        <f t="shared" si="7"/>
        <v>Edisson Armando Pachajoa Potosi</v>
      </c>
      <c r="Y136" s="26" t="str">
        <f t="shared" si="8"/>
        <v>Edisson Armando Pachajoa Potosi-1085264409-VIOLENCIA DE GENERO</v>
      </c>
    </row>
    <row r="137" spans="1:25" x14ac:dyDescent="0.2">
      <c r="A137" s="36">
        <v>136</v>
      </c>
      <c r="B137" s="37">
        <v>1004714482</v>
      </c>
      <c r="C137" s="37" t="s">
        <v>333</v>
      </c>
      <c r="D137" s="37" t="s">
        <v>334</v>
      </c>
      <c r="E137" s="37" t="s">
        <v>146</v>
      </c>
      <c r="F137" s="37" t="s">
        <v>335</v>
      </c>
      <c r="G137" s="37">
        <v>20</v>
      </c>
      <c r="H137" s="37" t="s">
        <v>49</v>
      </c>
      <c r="I137" s="56" t="s">
        <v>376</v>
      </c>
      <c r="J137" s="56"/>
      <c r="K137" s="39">
        <v>45678</v>
      </c>
      <c r="L137" s="44">
        <v>32000</v>
      </c>
      <c r="M137" s="37" t="s">
        <v>106</v>
      </c>
      <c r="N137" s="37" t="s">
        <v>387</v>
      </c>
      <c r="O137" s="37" t="s">
        <v>95</v>
      </c>
      <c r="P137" s="37" t="s">
        <v>23</v>
      </c>
      <c r="Q137" s="38">
        <v>36667</v>
      </c>
      <c r="R137" s="37" t="s">
        <v>71</v>
      </c>
      <c r="S137" s="37" t="s">
        <v>107</v>
      </c>
      <c r="T137" s="37">
        <v>3207204074</v>
      </c>
      <c r="U137" s="45" t="s">
        <v>336</v>
      </c>
      <c r="V137" s="41" t="e">
        <f>IF(P137=#REF!,"DIPLOMADO EN ATENCION PRE-HOSPITALARIA",IF(P137=#REF!,"ACOMPAÑAMIENTO Y MANEJO DEL DUELO",IF(P137=#REF!,"ATENCION A VICTIMAS DE ATAQUE CON AGENTES QUIMICOS ",IF(P137=#REF!,"PRIMEROS AUXILIOS ",IF(P137=#REF!,"DIPLOMADO DE UNIDAD DE CUIDADOS INTENSIVOS (UCI)",IF(P137=#REF!,"MODELO DE ATENCION PARA EVENTOS EMERGENTES EN SALUD MENTAL (CODIGO VERDE)",IF(P137=#REF!,"HUMANIZACION EN EL SERVICIO DE LA SALUD Y BUENAS PRACTICAS EN PACIENTE ",IF(P137=#REF!,"CLINICA DE HERIDAS ",IF(P137=#REF!,"TOMA DE CITOLOGIA CERVICO VAGINAL ",IF(P137=#REF!,"SOPORTE CARDIOVASCULAR AVANZADO (ACLS) ",IF(P137=#REF!,"CAMILLERO ",IF(P137=#REF!,"TOMA DE MUESTRAS Y LABORATORIO ",IF(P137=#REF!,"SOPORTE VITAL BASICO (BLS)",IF(P137=#REF!,"ATENCION A VICTIMAS DE VIOLENCIA SEXUAL ",IF(P137=#REF!,"PROGRAMADO AMPLIADO DE INMUNIZACION (PAI - COVID 19)",IF(P137=#REF!,"ATENCION INTEGRAL EN ENFERMEDADES PREVALENTES EN PRIMERA INFANCIA (AIEPI)",IF(P137=#REF!,"ADMINISTRACION DE MEDICAMENTOS, INYECTOLOGIA  Y CANALIZACION ",IF(P137=#REF!,"OPERADOR DE VEHICULOS DE EMERGENCIA (OVE)",IF(P137=#REF!,"INSTITUCIONES AMIGAS DE LA MUJER Y LA INFANCIA (IAMI)",IF(P137=#REF!,"CUIDADO DEL DONANTE DE ORGANOS",IF(P137=#REF!,"ATENCION A VICTIMAS POR VIOLENCIA DE GENERO",IF(P137=#REF!,"IGUALDAD DE GENERO EN LA SALUD",IF(P137=#REF!,"BRIGADA DE EMERGENCIA",IF(P137=#REF!,"MANEJO DEL DOLOR Y CUIDADOS PALIATIVOS",IF(P137=#REF!,"TOMA DE MUESTRAS Y LABORATORIO POCT",IF(P137=#REF!,"IMPLANTE SUBDERMICO DE DISPOSITIVO INTRAUTERINO",IF(P137=#REF!,"SALUD MENTAL",IF(P137=#REF!,"PRIMEROS AUXILIOS PSICOLOGICOS",IF(P137=#REF!,"ATENCION A VICTIMAS POR CONFLICTO ARMADO",IF(P137=#REF!,"MANIPULACION DE ALIMENTOS Y BPM",IF(P137=#REF!,"ATENCION A PERSONAS CON DISCAPACIDAD",IF(P137=#REF!,"CUIDADO INTEGRAL DEL PACIENTE ADULTO",IF(P137=#REF!,"MANEJO DEFENSIVO",IF(P137=#REF!,"SOPORTE CARDIOVASCULAR AVANZADO NEONATAL",IF(P137=#REF!,"SEGURIDAD DEL PACIENTE",IF(P137=#REF!,"MANEJO DE RESIDUOS HOSPITALARIOS"))))))))))))))))))))))))))))))))))))</f>
        <v>#REF!</v>
      </c>
      <c r="W137" s="41" t="str">
        <f t="shared" si="6"/>
        <v>Daniela Maria Alicia Ruiz Yela</v>
      </c>
      <c r="X137" s="41" t="str">
        <f t="shared" si="7"/>
        <v>Daniela Maria Alicia Ruiz Yela</v>
      </c>
      <c r="Y137" s="41" t="str">
        <f t="shared" si="8"/>
        <v>Daniela Maria Alicia Ruiz Yela-1004714482-HUMANIZACION</v>
      </c>
    </row>
    <row r="138" spans="1:25" s="19" customFormat="1" x14ac:dyDescent="0.2">
      <c r="A138" s="20">
        <v>137</v>
      </c>
      <c r="B138" s="21">
        <v>1085342860</v>
      </c>
      <c r="C138" s="21" t="s">
        <v>337</v>
      </c>
      <c r="D138" s="21" t="s">
        <v>338</v>
      </c>
      <c r="E138" s="48" t="s">
        <v>203</v>
      </c>
      <c r="F138" s="21" t="s">
        <v>339</v>
      </c>
      <c r="G138" s="21">
        <v>20</v>
      </c>
      <c r="H138" s="21" t="s">
        <v>49</v>
      </c>
      <c r="I138" s="52" t="s">
        <v>376</v>
      </c>
      <c r="J138" s="52"/>
      <c r="K138" s="23">
        <v>45677</v>
      </c>
      <c r="L138" s="24">
        <v>32000</v>
      </c>
      <c r="M138" s="21" t="s">
        <v>206</v>
      </c>
      <c r="N138" s="21" t="s">
        <v>387</v>
      </c>
      <c r="O138" s="21" t="s">
        <v>69</v>
      </c>
      <c r="P138" s="21" t="s">
        <v>19</v>
      </c>
      <c r="Q138" s="22">
        <v>36011</v>
      </c>
      <c r="R138" s="21" t="s">
        <v>71</v>
      </c>
      <c r="S138" s="25" t="s">
        <v>107</v>
      </c>
      <c r="T138" s="21">
        <v>3186519530</v>
      </c>
      <c r="U138" s="21" t="s">
        <v>340</v>
      </c>
      <c r="V138" s="26" t="e">
        <f>IF(P138=#REF!,"DIPLOMADO EN ATENCION PRE-HOSPITALARIA",IF(P138=#REF!,"ACOMPAÑAMIENTO Y MANEJO DEL DUELO",IF(P138=#REF!,"ATENCION A VICTIMAS DE ATAQUE CON AGENTES QUIMICOS ",IF(P138=#REF!,"PRIMEROS AUXILIOS ",IF(P138=#REF!,"DIPLOMADO DE UNIDAD DE CUIDADOS INTENSIVOS (UCI)",IF(P138=#REF!,"MODELO DE ATENCION PARA EVENTOS EMERGENTES EN SALUD MENTAL (CODIGO VERDE)",IF(P138=#REF!,"HUMANIZACION EN EL SERVICIO DE LA SALUD Y BUENAS PRACTICAS EN PACIENTE ",IF(P138=#REF!,"CLINICA DE HERIDAS ",IF(P138=#REF!,"TOMA DE CITOLOGIA CERVICO VAGINAL ",IF(P138=#REF!,"SOPORTE CARDIOVASCULAR AVANZADO (ACLS) ",IF(P138=#REF!,"CAMILLERO ",IF(P138=#REF!,"TOMA DE MUESTRAS Y LABORATORIO ",IF(P138=#REF!,"SOPORTE VITAL BASICO (BLS)",IF(P138=#REF!,"ATENCION A VICTIMAS DE VIOLENCIA SEXUAL ",IF(P138=#REF!,"PROGRAMADO AMPLIADO DE INMUNIZACION (PAI - COVID 19)",IF(P138=#REF!,"ATENCION INTEGRAL EN ENFERMEDADES PREVALENTES EN PRIMERA INFANCIA (AIEPI)",IF(P138=#REF!,"ADMINISTRACION DE MEDICAMENTOS, INYECTOLOGIA  Y CANALIZACION ",IF(P138=#REF!,"OPERADOR DE VEHICULOS DE EMERGENCIA (OVE)",IF(P138=#REF!,"INSTITUCIONES AMIGAS DE LA MUJER Y LA INFANCIA (IAMI)",IF(P138=#REF!,"CUIDADO DEL DONANTE DE ORGANOS",IF(P138=#REF!,"ATENCION A VICTIMAS POR VIOLENCIA DE GENERO",IF(P138=#REF!,"IGUALDAD DE GENERO EN LA SALUD",IF(P138=#REF!,"BRIGADA DE EMERGENCIA",IF(P138=#REF!,"MANEJO DEL DOLOR Y CUIDADOS PALIATIVOS",IF(P138=#REF!,"TOMA DE MUESTRAS Y LABORATORIO POCT",IF(P138=#REF!,"IMPLANTE SUBDERMICO DE DISPOSITIVO INTRAUTERINO",IF(P138=#REF!,"SALUD MENTAL",IF(P138=#REF!,"PRIMEROS AUXILIOS PSICOLOGICOS",IF(P138=#REF!,"ATENCION A VICTIMAS POR CONFLICTO ARMADO",IF(P138=#REF!,"MANIPULACION DE ALIMENTOS Y BPM",IF(P138=#REF!,"ATENCION A PERSONAS CON DISCAPACIDAD",IF(P138=#REF!,"CUIDADO INTEGRAL DEL PACIENTE ADULTO",IF(P138=#REF!,"MANEJO DEFENSIVO",IF(P138=#REF!,"SOPORTE CARDIOVASCULAR AVANZADO NEONATAL",IF(P138=#REF!,"SEGURIDAD DEL PACIENTE",IF(P138=#REF!,"MANEJO DE RESIDUOS HOSPITALARIOS"))))))))))))))))))))))))))))))))))))</f>
        <v>#REF!</v>
      </c>
      <c r="W138" s="26" t="str">
        <f t="shared" si="6"/>
        <v>Angelica Patricia Castro Achicanoy</v>
      </c>
      <c r="X138" s="26" t="str">
        <f t="shared" si="7"/>
        <v>Angelica Patricia Castro Achicanoy</v>
      </c>
      <c r="Y138" s="26" t="str">
        <f t="shared" si="8"/>
        <v>Angelica Patricia Castro Achicanoy-1085342860-BLS</v>
      </c>
    </row>
    <row r="139" spans="1:25" s="19" customFormat="1" x14ac:dyDescent="0.2">
      <c r="A139" s="20">
        <v>138</v>
      </c>
      <c r="B139" s="21">
        <v>1144200903</v>
      </c>
      <c r="C139" s="21" t="s">
        <v>341</v>
      </c>
      <c r="D139" s="21" t="s">
        <v>342</v>
      </c>
      <c r="E139" s="21" t="s">
        <v>343</v>
      </c>
      <c r="F139" s="21" t="s">
        <v>166</v>
      </c>
      <c r="G139" s="21">
        <v>20</v>
      </c>
      <c r="H139" s="21" t="s">
        <v>49</v>
      </c>
      <c r="I139" s="52" t="s">
        <v>376</v>
      </c>
      <c r="J139" s="52"/>
      <c r="K139" s="67"/>
      <c r="L139" s="69">
        <v>25000</v>
      </c>
      <c r="M139" s="66"/>
      <c r="N139" s="21" t="s">
        <v>387</v>
      </c>
      <c r="O139" s="21" t="s">
        <v>69</v>
      </c>
      <c r="P139" s="21" t="s">
        <v>33</v>
      </c>
      <c r="Q139" s="22">
        <v>35548</v>
      </c>
      <c r="R139" s="21" t="s">
        <v>71</v>
      </c>
      <c r="S139" s="27" t="s">
        <v>172</v>
      </c>
      <c r="T139" s="21">
        <v>3205731322</v>
      </c>
      <c r="U139" s="21" t="s">
        <v>344</v>
      </c>
      <c r="V139" s="26" t="e">
        <f>IF(P139=#REF!,"DIPLOMADO EN ATENCION PRE-HOSPITALARIA",IF(P139=#REF!,"ACOMPAÑAMIENTO Y MANEJO DEL DUELO",IF(P139=#REF!,"ATENCION A VICTIMAS DE ATAQUE CON AGENTES QUIMICOS ",IF(P139=#REF!,"PRIMEROS AUXILIOS ",IF(P139=#REF!,"DIPLOMADO DE UNIDAD DE CUIDADOS INTENSIVOS (UCI)",IF(P139=#REF!,"MODELO DE ATENCION PARA EVENTOS EMERGENTES EN SALUD MENTAL (CODIGO VERDE)",IF(P139=#REF!,"HUMANIZACION EN EL SERVICIO DE LA SALUD Y BUENAS PRACTICAS EN PACIENTE ",IF(P139=#REF!,"CLINICA DE HERIDAS ",IF(P139=#REF!,"TOMA DE CITOLOGIA CERVICO VAGINAL ",IF(P139=#REF!,"SOPORTE CARDIOVASCULAR AVANZADO (ACLS) ",IF(P139=#REF!,"CAMILLERO ",IF(P139=#REF!,"TOMA DE MUESTRAS Y LABORATORIO ",IF(P139=#REF!,"SOPORTE VITAL BASICO (BLS)",IF(P139=#REF!,"ATENCION A VICTIMAS DE VIOLENCIA SEXUAL ",IF(P139=#REF!,"PROGRAMADO AMPLIADO DE INMUNIZACION (PAI - COVID 19)",IF(P139=#REF!,"ATENCION INTEGRAL EN ENFERMEDADES PREVALENTES EN PRIMERA INFANCIA (AIEPI)",IF(P139=#REF!,"ADMINISTRACION DE MEDICAMENTOS, INYECTOLOGIA  Y CANALIZACION ",IF(P139=#REF!,"OPERADOR DE VEHICULOS DE EMERGENCIA (OVE)",IF(P139=#REF!,"INSTITUCIONES AMIGAS DE LA MUJER Y LA INFANCIA (IAMI)",IF(P139=#REF!,"CUIDADO DEL DONANTE DE ORGANOS",IF(P139=#REF!,"ATENCION A VICTIMAS POR VIOLENCIA DE GENERO",IF(P139=#REF!,"IGUALDAD DE GENERO EN LA SALUD",IF(P139=#REF!,"BRIGADA DE EMERGENCIA",IF(P139=#REF!,"MANEJO DEL DOLOR Y CUIDADOS PALIATIVOS",IF(P139=#REF!,"TOMA DE MUESTRAS Y LABORATORIO POCT",IF(P139=#REF!,"IMPLANTE SUBDERMICO DE DISPOSITIVO INTRAUTERINO",IF(P139=#REF!,"SALUD MENTAL",IF(P139=#REF!,"PRIMEROS AUXILIOS PSICOLOGICOS",IF(P139=#REF!,"ATENCION A VICTIMAS POR CONFLICTO ARMADO",IF(P139=#REF!,"MANIPULACION DE ALIMENTOS Y BPM",IF(P139=#REF!,"ATENCION A PERSONAS CON DISCAPACIDAD",IF(P139=#REF!,"CUIDADO INTEGRAL DEL PACIENTE ADULTO",IF(P139=#REF!,"MANEJO DEFENSIVO",IF(P139=#REF!,"SOPORTE CARDIOVASCULAR AVANZADO NEONATAL",IF(P139=#REF!,"SEGURIDAD DEL PACIENTE",IF(P139=#REF!,"MANEJO DE RESIDUOS HOSPITALARIOS"))))))))))))))))))))))))))))))))))))</f>
        <v>#REF!</v>
      </c>
      <c r="W139" s="26" t="str">
        <f t="shared" si="6"/>
        <v>Ingrid Alejandra Clavijo Quetama</v>
      </c>
      <c r="X139" s="26" t="str">
        <f t="shared" si="7"/>
        <v>Ingrid Alejandra Clavijo Quetama</v>
      </c>
      <c r="Y139" s="26" t="str">
        <f t="shared" si="8"/>
        <v>Ingrid Alejandra Clavijo Quetama-1144200903-IGUALDAD DE GENERO</v>
      </c>
    </row>
    <row r="140" spans="1:25" s="19" customFormat="1" x14ac:dyDescent="0.2">
      <c r="A140" s="20">
        <v>139</v>
      </c>
      <c r="B140" s="21">
        <v>1085264400</v>
      </c>
      <c r="C140" s="21" t="s">
        <v>345</v>
      </c>
      <c r="D140" s="21" t="s">
        <v>191</v>
      </c>
      <c r="E140" s="21" t="s">
        <v>346</v>
      </c>
      <c r="F140" s="21" t="s">
        <v>50</v>
      </c>
      <c r="G140" s="21">
        <v>20</v>
      </c>
      <c r="H140" s="21" t="s">
        <v>49</v>
      </c>
      <c r="I140" s="22" t="s">
        <v>376</v>
      </c>
      <c r="J140" s="22"/>
      <c r="K140" s="23">
        <v>45677</v>
      </c>
      <c r="L140" s="24">
        <v>32000</v>
      </c>
      <c r="M140" s="21" t="s">
        <v>79</v>
      </c>
      <c r="N140" s="21" t="s">
        <v>387</v>
      </c>
      <c r="O140" s="21" t="s">
        <v>69</v>
      </c>
      <c r="P140" s="21" t="s">
        <v>19</v>
      </c>
      <c r="Q140" s="22">
        <v>32215</v>
      </c>
      <c r="R140" s="21" t="s">
        <v>71</v>
      </c>
      <c r="S140" s="21" t="s">
        <v>107</v>
      </c>
      <c r="T140" s="21">
        <v>3147391474</v>
      </c>
      <c r="U140" s="21" t="s">
        <v>348</v>
      </c>
      <c r="V140" s="26" t="e">
        <f>IF(P140=#REF!,"DIPLOMADO EN ATENCION PRE-HOSPITALARIA",IF(P140=#REF!,"ACOMPAÑAMIENTO Y MANEJO DEL DUELO",IF(P140=#REF!,"ATENCION A VICTIMAS DE ATAQUE CON AGENTES QUIMICOS ",IF(P140=#REF!,"PRIMEROS AUXILIOS ",IF(P140=#REF!,"DIPLOMADO DE UNIDAD DE CUIDADOS INTENSIVOS (UCI)",IF(P140=#REF!,"MODELO DE ATENCION PARA EVENTOS EMERGENTES EN SALUD MENTAL (CODIGO VERDE)",IF(P140=#REF!,"HUMANIZACION EN EL SERVICIO DE LA SALUD Y BUENAS PRACTICAS EN PACIENTE ",IF(P140=#REF!,"CLINICA DE HERIDAS ",IF(P140=#REF!,"TOMA DE CITOLOGIA CERVICO VAGINAL ",IF(P140=#REF!,"SOPORTE CARDIOVASCULAR AVANZADO (ACLS) ",IF(P140=#REF!,"CAMILLERO ",IF(P140=#REF!,"TOMA DE MUESTRAS Y LABORATORIO ",IF(P140=#REF!,"SOPORTE VITAL BASICO (BLS)",IF(P140=#REF!,"ATENCION A VICTIMAS DE VIOLENCIA SEXUAL ",IF(P140=#REF!,"PROGRAMADO AMPLIADO DE INMUNIZACION (PAI - COVID 19)",IF(P140=#REF!,"ATENCION INTEGRAL EN ENFERMEDADES PREVALENTES EN PRIMERA INFANCIA (AIEPI)",IF(P140=#REF!,"ADMINISTRACION DE MEDICAMENTOS, INYECTOLOGIA  Y CANALIZACION ",IF(P140=#REF!,"OPERADOR DE VEHICULOS DE EMERGENCIA (OVE)",IF(P140=#REF!,"INSTITUCIONES AMIGAS DE LA MUJER Y LA INFANCIA (IAMI)",IF(P140=#REF!,"CUIDADO DEL DONANTE DE ORGANOS",IF(P140=#REF!,"ATENCION A VICTIMAS POR VIOLENCIA DE GENERO",IF(P140=#REF!,"IGUALDAD DE GENERO EN LA SALUD",IF(P140=#REF!,"BRIGADA DE EMERGENCIA",IF(P140=#REF!,"MANEJO DEL DOLOR Y CUIDADOS PALIATIVOS",IF(P140=#REF!,"TOMA DE MUESTRAS Y LABORATORIO POCT",IF(P140=#REF!,"IMPLANTE SUBDERMICO DE DISPOSITIVO INTRAUTERINO",IF(P140=#REF!,"SALUD MENTAL",IF(P140=#REF!,"PRIMEROS AUXILIOS PSICOLOGICOS",IF(P140=#REF!,"ATENCION A VICTIMAS POR CONFLICTO ARMADO",IF(P140=#REF!,"MANIPULACION DE ALIMENTOS Y BPM",IF(P140=#REF!,"ATENCION A PERSONAS CON DISCAPACIDAD",IF(P140=#REF!,"CUIDADO INTEGRAL DEL PACIENTE ADULTO",IF(P140=#REF!,"MANEJO DEFENSIVO",IF(P140=#REF!,"SOPORTE CARDIOVASCULAR AVANZADO NEONATAL",IF(P140=#REF!,"SEGURIDAD DEL PACIENTE",IF(P140=#REF!,"MANEJO DE RESIDUOS HOSPITALARIOS"))))))))))))))))))))))))))))))))))))</f>
        <v>#REF!</v>
      </c>
      <c r="W140" s="26" t="str">
        <f t="shared" ref="W140:W172" si="9">CONCATENATE(E140," ",F140," ",C140," ",D140)</f>
        <v>Yohana Elizabeth Quiroz Lopez</v>
      </c>
      <c r="X140" s="26" t="str">
        <f t="shared" ref="X140:X172" si="10">PROPER(W140)</f>
        <v>Yohana Elizabeth Quiroz Lopez</v>
      </c>
      <c r="Y140" s="26" t="str">
        <f t="shared" ref="Y140:Y172" si="11">CONCATENATE(W140,"-",B140,"-",P140)</f>
        <v>Yohana Elizabeth Quiroz Lopez-1085264400-BLS</v>
      </c>
    </row>
    <row r="141" spans="1:25" s="19" customFormat="1" x14ac:dyDescent="0.2">
      <c r="A141" s="20">
        <v>140</v>
      </c>
      <c r="B141" s="21">
        <v>1085264400</v>
      </c>
      <c r="C141" s="21" t="s">
        <v>345</v>
      </c>
      <c r="D141" s="21" t="s">
        <v>191</v>
      </c>
      <c r="E141" s="21" t="s">
        <v>346</v>
      </c>
      <c r="F141" s="21" t="s">
        <v>50</v>
      </c>
      <c r="G141" s="21">
        <v>17</v>
      </c>
      <c r="H141" s="21" t="s">
        <v>49</v>
      </c>
      <c r="I141" s="22" t="s">
        <v>376</v>
      </c>
      <c r="J141" s="22"/>
      <c r="K141" s="23">
        <v>45677</v>
      </c>
      <c r="L141" s="24">
        <v>32000</v>
      </c>
      <c r="M141" s="21" t="s">
        <v>79</v>
      </c>
      <c r="N141" s="21" t="s">
        <v>387</v>
      </c>
      <c r="O141" s="21" t="s">
        <v>69</v>
      </c>
      <c r="P141" s="21" t="s">
        <v>347</v>
      </c>
      <c r="Q141" s="22">
        <v>32215</v>
      </c>
      <c r="R141" s="21" t="s">
        <v>71</v>
      </c>
      <c r="S141" s="21" t="s">
        <v>107</v>
      </c>
      <c r="T141" s="21">
        <v>3147391474</v>
      </c>
      <c r="U141" s="21" t="s">
        <v>348</v>
      </c>
      <c r="V141" s="26" t="e">
        <f>IF(P141=#REF!,"DIPLOMADO EN ATENCION PRE-HOSPITALARIA",IF(P141=#REF!,"ACOMPAÑAMIENTO Y MANEJO DEL DUELO",IF(P141=#REF!,"ATENCION A VICTIMAS DE ATAQUE CON AGENTES QUIMICOS ",IF(P141=#REF!,"PRIMEROS AUXILIOS ",IF(P141=#REF!,"DIPLOMADO DE UNIDAD DE CUIDADOS INTENSIVOS (UCI)",IF(P141=#REF!,"MODELO DE ATENCION PARA EVENTOS EMERGENTES EN SALUD MENTAL (CODIGO VERDE)",IF(P141=#REF!,"HUMANIZACION EN EL SERVICIO DE LA SALUD Y BUENAS PRACTICAS EN PACIENTE ",IF(P141=#REF!,"CLINICA DE HERIDAS ",IF(P141=#REF!,"TOMA DE CITOLOGIA CERVICO VAGINAL ",IF(P141=#REF!,"SOPORTE CARDIOVASCULAR AVANZADO (ACLS) ",IF(P141=#REF!,"CAMILLERO ",IF(P141=#REF!,"TOMA DE MUESTRAS Y LABORATORIO ",IF(P141=#REF!,"SOPORTE VITAL BASICO (BLS)",IF(P141=#REF!,"ATENCION A VICTIMAS DE VIOLENCIA SEXUAL ",IF(P141=#REF!,"PROGRAMADO AMPLIADO DE INMUNIZACION (PAI - COVID 19)",IF(P141=#REF!,"ATENCION INTEGRAL EN ENFERMEDADES PREVALENTES EN PRIMERA INFANCIA (AIEPI)",IF(P141=#REF!,"ADMINISTRACION DE MEDICAMENTOS, INYECTOLOGIA  Y CANALIZACION ",IF(P141=#REF!,"OPERADOR DE VEHICULOS DE EMERGENCIA (OVE)",IF(P141=#REF!,"INSTITUCIONES AMIGAS DE LA MUJER Y LA INFANCIA (IAMI)",IF(P141=#REF!,"CUIDADO DEL DONANTE DE ORGANOS",IF(P141=#REF!,"ATENCION A VICTIMAS POR VIOLENCIA DE GENERO",IF(P141=#REF!,"IGUALDAD DE GENERO EN LA SALUD",IF(P141=#REF!,"BRIGADA DE EMERGENCIA",IF(P141=#REF!,"MANEJO DEL DOLOR Y CUIDADOS PALIATIVOS",IF(P141=#REF!,"TOMA DE MUESTRAS Y LABORATORIO POCT",IF(P141=#REF!,"IMPLANTE SUBDERMICO DE DISPOSITIVO INTRAUTERINO",IF(P141=#REF!,"SALUD MENTAL",IF(P141=#REF!,"PRIMEROS AUXILIOS PSICOLOGICOS",IF(P141=#REF!,"ATENCION A VICTIMAS POR CONFLICTO ARMADO",IF(P141=#REF!,"MANIPULACION DE ALIMENTOS Y BPM",IF(P141=#REF!,"ATENCION A PERSONAS CON DISCAPACIDAD",IF(P141=#REF!,"CUIDADO INTEGRAL DEL PACIENTE ADULTO",IF(P141=#REF!,"MANEJO DEFENSIVO",IF(P141=#REF!,"SOPORTE CARDIOVASCULAR AVANZADO NEONATAL",IF(P141=#REF!,"SEGURIDAD DEL PACIENTE",IF(P141=#REF!,"MANEJO DE RESIDUOS HOSPITALARIOS"))))))))))))))))))))))))))))))))))))</f>
        <v>#REF!</v>
      </c>
      <c r="W141" s="26" t="str">
        <f t="shared" si="9"/>
        <v>Yohana Elizabeth Quiroz Lopez</v>
      </c>
      <c r="X141" s="26" t="str">
        <f t="shared" si="10"/>
        <v>Yohana Elizabeth Quiroz Lopez</v>
      </c>
      <c r="Y141" s="26" t="str">
        <f t="shared" si="11"/>
        <v>Yohana Elizabeth Quiroz Lopez-1085264400-PRIMER RESPONDIENTE</v>
      </c>
    </row>
    <row r="142" spans="1:25" s="19" customFormat="1" x14ac:dyDescent="0.2">
      <c r="A142" s="20">
        <v>141</v>
      </c>
      <c r="B142" s="21">
        <v>1085264400</v>
      </c>
      <c r="C142" s="21" t="s">
        <v>345</v>
      </c>
      <c r="D142" s="21" t="s">
        <v>191</v>
      </c>
      <c r="E142" s="21" t="s">
        <v>346</v>
      </c>
      <c r="F142" s="21" t="s">
        <v>50</v>
      </c>
      <c r="G142" s="21">
        <v>20</v>
      </c>
      <c r="H142" s="21" t="s">
        <v>49</v>
      </c>
      <c r="I142" s="22" t="s">
        <v>376</v>
      </c>
      <c r="J142" s="22"/>
      <c r="K142" s="23">
        <v>45677</v>
      </c>
      <c r="L142" s="24">
        <v>32000</v>
      </c>
      <c r="M142" s="21" t="s">
        <v>79</v>
      </c>
      <c r="N142" s="21" t="s">
        <v>387</v>
      </c>
      <c r="O142" s="21" t="s">
        <v>69</v>
      </c>
      <c r="P142" s="21" t="s">
        <v>22</v>
      </c>
      <c r="Q142" s="22">
        <v>32215</v>
      </c>
      <c r="R142" s="21" t="s">
        <v>71</v>
      </c>
      <c r="S142" s="21" t="s">
        <v>107</v>
      </c>
      <c r="T142" s="21">
        <v>3147391474</v>
      </c>
      <c r="U142" s="21" t="s">
        <v>348</v>
      </c>
      <c r="V142" s="26" t="e">
        <f>IF(P142=#REF!,"DIPLOMADO EN ATENCION PRE-HOSPITALARIA",IF(P142=#REF!,"ACOMPAÑAMIENTO Y MANEJO DEL DUELO",IF(P142=#REF!,"ATENCION A VICTIMAS DE ATAQUE CON AGENTES QUIMICOS ",IF(P142=#REF!,"PRIMEROS AUXILIOS ",IF(P142=#REF!,"DIPLOMADO DE UNIDAD DE CUIDADOS INTENSIVOS (UCI)",IF(P142=#REF!,"MODELO DE ATENCION PARA EVENTOS EMERGENTES EN SALUD MENTAL (CODIGO VERDE)",IF(P142=#REF!,"HUMANIZACION EN EL SERVICIO DE LA SALUD Y BUENAS PRACTICAS EN PACIENTE ",IF(P142=#REF!,"CLINICA DE HERIDAS ",IF(P142=#REF!,"TOMA DE CITOLOGIA CERVICO VAGINAL ",IF(P142=#REF!,"SOPORTE CARDIOVASCULAR AVANZADO (ACLS) ",IF(P142=#REF!,"CAMILLERO ",IF(P142=#REF!,"TOMA DE MUESTRAS Y LABORATORIO ",IF(P142=#REF!,"SOPORTE VITAL BASICO (BLS)",IF(P142=#REF!,"ATENCION A VICTIMAS DE VIOLENCIA SEXUAL ",IF(P142=#REF!,"PROGRAMADO AMPLIADO DE INMUNIZACION (PAI - COVID 19)",IF(P142=#REF!,"ATENCION INTEGRAL EN ENFERMEDADES PREVALENTES EN PRIMERA INFANCIA (AIEPI)",IF(P142=#REF!,"ADMINISTRACION DE MEDICAMENTOS, INYECTOLOGIA  Y CANALIZACION ",IF(P142=#REF!,"OPERADOR DE VEHICULOS DE EMERGENCIA (OVE)",IF(P142=#REF!,"INSTITUCIONES AMIGAS DE LA MUJER Y LA INFANCIA (IAMI)",IF(P142=#REF!,"CUIDADO DEL DONANTE DE ORGANOS",IF(P142=#REF!,"ATENCION A VICTIMAS POR VIOLENCIA DE GENERO",IF(P142=#REF!,"IGUALDAD DE GENERO EN LA SALUD",IF(P142=#REF!,"BRIGADA DE EMERGENCIA",IF(P142=#REF!,"MANEJO DEL DOLOR Y CUIDADOS PALIATIVOS",IF(P142=#REF!,"TOMA DE MUESTRAS Y LABORATORIO POCT",IF(P142=#REF!,"IMPLANTE SUBDERMICO DE DISPOSITIVO INTRAUTERINO",IF(P142=#REF!,"SALUD MENTAL",IF(P142=#REF!,"PRIMEROS AUXILIOS PSICOLOGICOS",IF(P142=#REF!,"ATENCION A VICTIMAS POR CONFLICTO ARMADO",IF(P142=#REF!,"MANIPULACION DE ALIMENTOS Y BPM",IF(P142=#REF!,"ATENCION A PERSONAS CON DISCAPACIDAD",IF(P142=#REF!,"CUIDADO INTEGRAL DEL PACIENTE ADULTO",IF(P142=#REF!,"MANEJO DEFENSIVO",IF(P142=#REF!,"SOPORTE CARDIOVASCULAR AVANZADO NEONATAL",IF(P142=#REF!,"SEGURIDAD DEL PACIENTE",IF(P142=#REF!,"MANEJO DE RESIDUOS HOSPITALARIOS"))))))))))))))))))))))))))))))))))))</f>
        <v>#REF!</v>
      </c>
      <c r="W142" s="26" t="str">
        <f t="shared" si="9"/>
        <v>Yohana Elizabeth Quiroz Lopez</v>
      </c>
      <c r="X142" s="26" t="str">
        <f t="shared" si="10"/>
        <v>Yohana Elizabeth Quiroz Lopez</v>
      </c>
      <c r="Y142" s="26" t="str">
        <f t="shared" si="11"/>
        <v>Yohana Elizabeth Quiroz Lopez-1085264400-PRIMEROS AUXILIOS</v>
      </c>
    </row>
    <row r="143" spans="1:25" s="19" customFormat="1" x14ac:dyDescent="0.2">
      <c r="A143" s="20">
        <v>142</v>
      </c>
      <c r="B143" s="21">
        <v>1085264400</v>
      </c>
      <c r="C143" s="21" t="s">
        <v>345</v>
      </c>
      <c r="D143" s="21" t="s">
        <v>191</v>
      </c>
      <c r="E143" s="21" t="s">
        <v>346</v>
      </c>
      <c r="F143" s="21" t="s">
        <v>50</v>
      </c>
      <c r="G143" s="21">
        <v>18</v>
      </c>
      <c r="H143" s="21" t="s">
        <v>49</v>
      </c>
      <c r="I143" s="22" t="s">
        <v>376</v>
      </c>
      <c r="J143" s="22"/>
      <c r="K143" s="23">
        <v>45677</v>
      </c>
      <c r="L143" s="24">
        <v>32000</v>
      </c>
      <c r="M143" s="21" t="s">
        <v>79</v>
      </c>
      <c r="N143" s="21" t="s">
        <v>387</v>
      </c>
      <c r="O143" s="21" t="s">
        <v>69</v>
      </c>
      <c r="P143" s="21" t="s">
        <v>43</v>
      </c>
      <c r="Q143" s="22">
        <v>32215</v>
      </c>
      <c r="R143" s="21" t="s">
        <v>71</v>
      </c>
      <c r="S143" s="21" t="s">
        <v>107</v>
      </c>
      <c r="T143" s="21">
        <v>3147391474</v>
      </c>
      <c r="U143" s="21" t="s">
        <v>348</v>
      </c>
      <c r="V143" s="26" t="e">
        <f>IF(P143=#REF!,"DIPLOMADO EN ATENCION PRE-HOSPITALARIA",IF(P143=#REF!,"ACOMPAÑAMIENTO Y MANEJO DEL DUELO",IF(P143=#REF!,"ATENCION A VICTIMAS DE ATAQUE CON AGENTES QUIMICOS ",IF(P143=#REF!,"PRIMEROS AUXILIOS ",IF(P143=#REF!,"DIPLOMADO DE UNIDAD DE CUIDADOS INTENSIVOS (UCI)",IF(P143=#REF!,"MODELO DE ATENCION PARA EVENTOS EMERGENTES EN SALUD MENTAL (CODIGO VERDE)",IF(P143=#REF!,"HUMANIZACION EN EL SERVICIO DE LA SALUD Y BUENAS PRACTICAS EN PACIENTE ",IF(P143=#REF!,"CLINICA DE HERIDAS ",IF(P143=#REF!,"TOMA DE CITOLOGIA CERVICO VAGINAL ",IF(P143=#REF!,"SOPORTE CARDIOVASCULAR AVANZADO (ACLS) ",IF(P143=#REF!,"CAMILLERO ",IF(P143=#REF!,"TOMA DE MUESTRAS Y LABORATORIO ",IF(P143=#REF!,"SOPORTE VITAL BASICO (BLS)",IF(P143=#REF!,"ATENCION A VICTIMAS DE VIOLENCIA SEXUAL ",IF(P143=#REF!,"PROGRAMADO AMPLIADO DE INMUNIZACION (PAI - COVID 19)",IF(P143=#REF!,"ATENCION INTEGRAL EN ENFERMEDADES PREVALENTES EN PRIMERA INFANCIA (AIEPI)",IF(P143=#REF!,"ADMINISTRACION DE MEDICAMENTOS, INYECTOLOGIA  Y CANALIZACION ",IF(P143=#REF!,"OPERADOR DE VEHICULOS DE EMERGENCIA (OVE)",IF(P143=#REF!,"INSTITUCIONES AMIGAS DE LA MUJER Y LA INFANCIA (IAMI)",IF(P143=#REF!,"CUIDADO DEL DONANTE DE ORGANOS",IF(P143=#REF!,"ATENCION A VICTIMAS POR VIOLENCIA DE GENERO",IF(P143=#REF!,"IGUALDAD DE GENERO EN LA SALUD",IF(P143=#REF!,"BRIGADA DE EMERGENCIA",IF(P143=#REF!,"MANEJO DEL DOLOR Y CUIDADOS PALIATIVOS",IF(P143=#REF!,"TOMA DE MUESTRAS Y LABORATORIO POCT",IF(P143=#REF!,"IMPLANTE SUBDERMICO DE DISPOSITIVO INTRAUTERINO",IF(P143=#REF!,"SALUD MENTAL",IF(P143=#REF!,"PRIMEROS AUXILIOS PSICOLOGICOS",IF(P143=#REF!,"ATENCION A VICTIMAS POR CONFLICTO ARMADO",IF(P143=#REF!,"MANIPULACION DE ALIMENTOS Y BPM",IF(P143=#REF!,"ATENCION A PERSONAS CON DISCAPACIDAD",IF(P143=#REF!,"CUIDADO INTEGRAL DEL PACIENTE ADULTO",IF(P143=#REF!,"MANEJO DEFENSIVO",IF(P143=#REF!,"SOPORTE CARDIOVASCULAR AVANZADO NEONATAL",IF(P143=#REF!,"SEGURIDAD DEL PACIENTE",IF(P143=#REF!,"MANEJO DE RESIDUOS HOSPITALARIOS"))))))))))))))))))))))))))))))))))))</f>
        <v>#REF!</v>
      </c>
      <c r="W143" s="26" t="str">
        <f t="shared" si="9"/>
        <v>Yohana Elizabeth Quiroz Lopez</v>
      </c>
      <c r="X143" s="26" t="str">
        <f t="shared" si="10"/>
        <v>Yohana Elizabeth Quiroz Lopez</v>
      </c>
      <c r="Y143" s="26" t="str">
        <f t="shared" si="11"/>
        <v>Yohana Elizabeth Quiroz Lopez-1085264400-RESIDUOS</v>
      </c>
    </row>
    <row r="144" spans="1:25" s="19" customFormat="1" x14ac:dyDescent="0.2">
      <c r="A144" s="20">
        <v>143</v>
      </c>
      <c r="B144" s="21">
        <v>1086196595</v>
      </c>
      <c r="C144" s="21" t="s">
        <v>349</v>
      </c>
      <c r="D144" s="21" t="s">
        <v>350</v>
      </c>
      <c r="E144" s="21" t="s">
        <v>351</v>
      </c>
      <c r="F144" s="21" t="s">
        <v>316</v>
      </c>
      <c r="G144" s="21">
        <v>20</v>
      </c>
      <c r="H144" s="21" t="s">
        <v>49</v>
      </c>
      <c r="I144" s="22" t="s">
        <v>376</v>
      </c>
      <c r="J144" s="22"/>
      <c r="K144" s="23">
        <v>45677</v>
      </c>
      <c r="L144" s="24">
        <v>32000</v>
      </c>
      <c r="M144" s="21" t="s">
        <v>79</v>
      </c>
      <c r="N144" s="21" t="s">
        <v>387</v>
      </c>
      <c r="O144" s="21" t="s">
        <v>69</v>
      </c>
      <c r="P144" s="21" t="s">
        <v>19</v>
      </c>
      <c r="Q144" s="22">
        <v>34107</v>
      </c>
      <c r="R144" s="48" t="s">
        <v>71</v>
      </c>
      <c r="S144" s="21" t="s">
        <v>107</v>
      </c>
      <c r="T144" s="21">
        <v>3148938750</v>
      </c>
      <c r="U144" s="25" t="s">
        <v>352</v>
      </c>
      <c r="V144" s="26" t="e">
        <f>IF(P144=#REF!,"DIPLOMADO EN ATENCION PRE-HOSPITALARIA",IF(P144=#REF!,"ACOMPAÑAMIENTO Y MANEJO DEL DUELO",IF(P144=#REF!,"ATENCION A VICTIMAS DE ATAQUE CON AGENTES QUIMICOS ",IF(P144=#REF!,"PRIMEROS AUXILIOS ",IF(P144=#REF!,"DIPLOMADO DE UNIDAD DE CUIDADOS INTENSIVOS (UCI)",IF(P144=#REF!,"MODELO DE ATENCION PARA EVENTOS EMERGENTES EN SALUD MENTAL (CODIGO VERDE)",IF(P144=#REF!,"HUMANIZACION EN EL SERVICIO DE LA SALUD Y BUENAS PRACTICAS EN PACIENTE ",IF(P144=#REF!,"CLINICA DE HERIDAS ",IF(P144=#REF!,"TOMA DE CITOLOGIA CERVICO VAGINAL ",IF(P144=#REF!,"SOPORTE CARDIOVASCULAR AVANZADO (ACLS) ",IF(P144=#REF!,"CAMILLERO ",IF(P144=#REF!,"TOMA DE MUESTRAS Y LABORATORIO ",IF(P144=#REF!,"SOPORTE VITAL BASICO (BLS)",IF(P144=#REF!,"ATENCION A VICTIMAS DE VIOLENCIA SEXUAL ",IF(P144=#REF!,"PROGRAMADO AMPLIADO DE INMUNIZACION (PAI - COVID 19)",IF(P144=#REF!,"ATENCION INTEGRAL EN ENFERMEDADES PREVALENTES EN PRIMERA INFANCIA (AIEPI)",IF(P144=#REF!,"ADMINISTRACION DE MEDICAMENTOS, INYECTOLOGIA  Y CANALIZACION ",IF(P144=#REF!,"OPERADOR DE VEHICULOS DE EMERGENCIA (OVE)",IF(P144=#REF!,"INSTITUCIONES AMIGAS DE LA MUJER Y LA INFANCIA (IAMI)",IF(P144=#REF!,"CUIDADO DEL DONANTE DE ORGANOS",IF(P144=#REF!,"ATENCION A VICTIMAS POR VIOLENCIA DE GENERO",IF(P144=#REF!,"IGUALDAD DE GENERO EN LA SALUD",IF(P144=#REF!,"BRIGADA DE EMERGENCIA",IF(P144=#REF!,"MANEJO DEL DOLOR Y CUIDADOS PALIATIVOS",IF(P144=#REF!,"TOMA DE MUESTRAS Y LABORATORIO POCT",IF(P144=#REF!,"IMPLANTE SUBDERMICO DE DISPOSITIVO INTRAUTERINO",IF(P144=#REF!,"SALUD MENTAL",IF(P144=#REF!,"PRIMEROS AUXILIOS PSICOLOGICOS",IF(P144=#REF!,"ATENCION A VICTIMAS POR CONFLICTO ARMADO",IF(P144=#REF!,"MANIPULACION DE ALIMENTOS Y BPM",IF(P144=#REF!,"ATENCION A PERSONAS CON DISCAPACIDAD",IF(P144=#REF!,"CUIDADO INTEGRAL DEL PACIENTE ADULTO",IF(P144=#REF!,"MANEJO DEFENSIVO",IF(P144=#REF!,"SOPORTE CARDIOVASCULAR AVANZADO NEONATAL",IF(P144=#REF!,"SEGURIDAD DEL PACIENTE",IF(P144=#REF!,"MANEJO DE RESIDUOS HOSPITALARIOS"))))))))))))))))))))))))))))))))))))</f>
        <v>#REF!</v>
      </c>
      <c r="W144" s="26" t="str">
        <f t="shared" si="9"/>
        <v>Luz Mery Ramirez Leguia</v>
      </c>
      <c r="X144" s="26" t="str">
        <f t="shared" si="10"/>
        <v>Luz Mery Ramirez Leguia</v>
      </c>
      <c r="Y144" s="26" t="str">
        <f t="shared" si="11"/>
        <v>Luz Mery Ramirez Leguia-1086196595-BLS</v>
      </c>
    </row>
    <row r="145" spans="1:25" s="19" customFormat="1" x14ac:dyDescent="0.2">
      <c r="A145" s="20">
        <v>144</v>
      </c>
      <c r="B145" s="21">
        <v>1085314044</v>
      </c>
      <c r="C145" s="21" t="s">
        <v>303</v>
      </c>
      <c r="D145" s="21" t="s">
        <v>304</v>
      </c>
      <c r="E145" s="21" t="s">
        <v>305</v>
      </c>
      <c r="F145" s="21" t="s">
        <v>306</v>
      </c>
      <c r="G145" s="21">
        <v>20</v>
      </c>
      <c r="H145" s="21" t="s">
        <v>49</v>
      </c>
      <c r="I145" s="22" t="s">
        <v>377</v>
      </c>
      <c r="J145" s="22"/>
      <c r="K145" s="23">
        <v>45674</v>
      </c>
      <c r="L145" s="42">
        <v>65000</v>
      </c>
      <c r="M145" s="21" t="s">
        <v>133</v>
      </c>
      <c r="N145" s="21" t="s">
        <v>386</v>
      </c>
      <c r="O145" s="21" t="s">
        <v>69</v>
      </c>
      <c r="P145" s="21" t="s">
        <v>22</v>
      </c>
      <c r="Q145" s="22">
        <v>34536</v>
      </c>
      <c r="R145" s="21" t="s">
        <v>70</v>
      </c>
      <c r="S145" s="21" t="s">
        <v>354</v>
      </c>
      <c r="T145" s="25">
        <v>3183129872</v>
      </c>
      <c r="U145" s="21" t="s">
        <v>353</v>
      </c>
      <c r="V145" s="26" t="e">
        <f>IF(P145=#REF!,"DIPLOMADO EN ATENCION PRE-HOSPITALARIA",IF(P145=#REF!,"ACOMPAÑAMIENTO Y MANEJO DEL DUELO",IF(P145=#REF!,"ATENCION A VICTIMAS DE ATAQUE CON AGENTES QUIMICOS ",IF(P145=#REF!,"PRIMEROS AUXILIOS ",IF(P145=#REF!,"DIPLOMADO DE UNIDAD DE CUIDADOS INTENSIVOS (UCI)",IF(P145=#REF!,"MODELO DE ATENCION PARA EVENTOS EMERGENTES EN SALUD MENTAL (CODIGO VERDE)",IF(P145=#REF!,"HUMANIZACION EN EL SERVICIO DE LA SALUD Y BUENAS PRACTICAS EN PACIENTE ",IF(P145=#REF!,"CLINICA DE HERIDAS ",IF(P145=#REF!,"TOMA DE CITOLOGIA CERVICO VAGINAL ",IF(P145=#REF!,"SOPORTE CARDIOVASCULAR AVANZADO (ACLS) ",IF(P145=#REF!,"CAMILLERO ",IF(P145=#REF!,"TOMA DE MUESTRAS Y LABORATORIO ",IF(P145=#REF!,"SOPORTE VITAL BASICO (BLS)",IF(P145=#REF!,"ATENCION A VICTIMAS DE VIOLENCIA SEXUAL ",IF(P145=#REF!,"PROGRAMADO AMPLIADO DE INMUNIZACION (PAI - COVID 19)",IF(P145=#REF!,"ATENCION INTEGRAL EN ENFERMEDADES PREVALENTES EN PRIMERA INFANCIA (AIEPI)",IF(P145=#REF!,"ADMINISTRACION DE MEDICAMENTOS, INYECTOLOGIA  Y CANALIZACION ",IF(P145=#REF!,"OPERADOR DE VEHICULOS DE EMERGENCIA (OVE)",IF(P145=#REF!,"INSTITUCIONES AMIGAS DE LA MUJER Y LA INFANCIA (IAMI)",IF(P145=#REF!,"CUIDADO DEL DONANTE DE ORGANOS",IF(P145=#REF!,"ATENCION A VICTIMAS POR VIOLENCIA DE GENERO",IF(P145=#REF!,"IGUALDAD DE GENERO EN LA SALUD",IF(P145=#REF!,"BRIGADA DE EMERGENCIA",IF(P145=#REF!,"MANEJO DEL DOLOR Y CUIDADOS PALIATIVOS",IF(P145=#REF!,"TOMA DE MUESTRAS Y LABORATORIO POCT",IF(P145=#REF!,"IMPLANTE SUBDERMICO DE DISPOSITIVO INTRAUTERINO",IF(P145=#REF!,"SALUD MENTAL",IF(P145=#REF!,"PRIMEROS AUXILIOS PSICOLOGICOS",IF(P145=#REF!,"ATENCION A VICTIMAS POR CONFLICTO ARMADO",IF(P145=#REF!,"MANIPULACION DE ALIMENTOS Y BPM",IF(P145=#REF!,"ATENCION A PERSONAS CON DISCAPACIDAD",IF(P145=#REF!,"CUIDADO INTEGRAL DEL PACIENTE ADULTO",IF(P145=#REF!,"MANEJO DEFENSIVO",IF(P145=#REF!,"SOPORTE CARDIOVASCULAR AVANZADO NEONATAL",IF(P145=#REF!,"SEGURIDAD DEL PACIENTE",IF(P145=#REF!,"MANEJO DE RESIDUOS HOSPITALARIOS"))))))))))))))))))))))))))))))))))))</f>
        <v>#REF!</v>
      </c>
      <c r="W145" s="26" t="str">
        <f t="shared" si="9"/>
        <v>Heiner  Alexander Tabla  Benitez</v>
      </c>
      <c r="X145" s="26" t="str">
        <f t="shared" si="10"/>
        <v>Heiner  Alexander Tabla  Benitez</v>
      </c>
      <c r="Y145" s="26" t="str">
        <f t="shared" si="11"/>
        <v>Heiner  Alexander Tabla  Benitez-1085314044-PRIMEROS AUXILIOS</v>
      </c>
    </row>
    <row r="146" spans="1:25" x14ac:dyDescent="0.2">
      <c r="A146" s="20">
        <v>145</v>
      </c>
      <c r="B146" s="21">
        <v>59795076</v>
      </c>
      <c r="C146" s="21" t="s">
        <v>355</v>
      </c>
      <c r="D146" s="21" t="s">
        <v>175</v>
      </c>
      <c r="E146" s="21" t="s">
        <v>356</v>
      </c>
      <c r="F146" s="21" t="s">
        <v>357</v>
      </c>
      <c r="G146" s="21">
        <v>17</v>
      </c>
      <c r="H146" s="21" t="s">
        <v>49</v>
      </c>
      <c r="I146" s="22" t="s">
        <v>376</v>
      </c>
      <c r="J146" s="22"/>
      <c r="K146" s="23">
        <v>45678</v>
      </c>
      <c r="L146" s="24">
        <v>80000</v>
      </c>
      <c r="M146" s="21" t="s">
        <v>106</v>
      </c>
      <c r="N146" s="21" t="s">
        <v>387</v>
      </c>
      <c r="O146" s="21" t="s">
        <v>95</v>
      </c>
      <c r="P146" s="21" t="s">
        <v>24</v>
      </c>
      <c r="Q146" s="22">
        <v>26717</v>
      </c>
      <c r="R146" s="21" t="s">
        <v>71</v>
      </c>
      <c r="S146" s="27" t="s">
        <v>172</v>
      </c>
      <c r="T146" s="25">
        <v>3104236881</v>
      </c>
      <c r="U146" s="21" t="s">
        <v>358</v>
      </c>
      <c r="V146" s="26" t="e">
        <f>IF(P146=#REF!,"DIPLOMADO EN ATENCION PRE-HOSPITALARIA",IF(P146=#REF!,"ACOMPAÑAMIENTO Y MANEJO DEL DUELO",IF(P146=#REF!,"ATENCION A VICTIMAS DE ATAQUE CON AGENTES QUIMICOS ",IF(P146=#REF!,"PRIMEROS AUXILIOS ",IF(P146=#REF!,"DIPLOMADO DE UNIDAD DE CUIDADOS INTENSIVOS (UCI)",IF(P146=#REF!,"MODELO DE ATENCION PARA EVENTOS EMERGENTES EN SALUD MENTAL (CODIGO VERDE)",IF(P146=#REF!,"HUMANIZACION EN EL SERVICIO DE LA SALUD Y BUENAS PRACTICAS EN PACIENTE ",IF(P146=#REF!,"CLINICA DE HERIDAS ",IF(P146=#REF!,"TOMA DE CITOLOGIA CERVICO VAGINAL ",IF(P146=#REF!,"SOPORTE CARDIOVASCULAR AVANZADO (ACLS) ",IF(P146=#REF!,"CAMILLERO ",IF(P146=#REF!,"TOMA DE MUESTRAS Y LABORATORIO ",IF(P146=#REF!,"SOPORTE VITAL BASICO (BLS)",IF(P146=#REF!,"ATENCION A VICTIMAS DE VIOLENCIA SEXUAL ",IF(P146=#REF!,"PROGRAMADO AMPLIADO DE INMUNIZACION (PAI - COVID 19)",IF(P146=#REF!,"ATENCION INTEGRAL EN ENFERMEDADES PREVALENTES EN PRIMERA INFANCIA (AIEPI)",IF(P146=#REF!,"ADMINISTRACION DE MEDICAMENTOS, INYECTOLOGIA  Y CANALIZACION ",IF(P146=#REF!,"OPERADOR DE VEHICULOS DE EMERGENCIA (OVE)",IF(P146=#REF!,"INSTITUCIONES AMIGAS DE LA MUJER Y LA INFANCIA (IAMI)",IF(P146=#REF!,"CUIDADO DEL DONANTE DE ORGANOS",IF(P146=#REF!,"ATENCION A VICTIMAS POR VIOLENCIA DE GENERO",IF(P146=#REF!,"IGUALDAD DE GENERO EN LA SALUD",IF(P146=#REF!,"BRIGADA DE EMERGENCIA",IF(P146=#REF!,"MANEJO DEL DOLOR Y CUIDADOS PALIATIVOS",IF(P146=#REF!,"TOMA DE MUESTRAS Y LABORATORIO POCT",IF(P146=#REF!,"IMPLANTE SUBDERMICO DE DISPOSITIVO INTRAUTERINO",IF(P146=#REF!,"SALUD MENTAL",IF(P146=#REF!,"PRIMEROS AUXILIOS PSICOLOGICOS",IF(P146=#REF!,"ATENCION A VICTIMAS POR CONFLICTO ARMADO",IF(P146=#REF!,"MANIPULACION DE ALIMENTOS Y BPM",IF(P146=#REF!,"ATENCION A PERSONAS CON DISCAPACIDAD",IF(P146=#REF!,"CUIDADO INTEGRAL DEL PACIENTE ADULTO",IF(P146=#REF!,"MANEJO DEFENSIVO",IF(P146=#REF!,"SOPORTE CARDIOVASCULAR AVANZADO NEONATAL",IF(P146=#REF!,"SEGURIDAD DEL PACIENTE",IF(P146=#REF!,"MANEJO DE RESIDUOS HOSPITALARIOS"))))))))))))))))))))))))))))))))))))</f>
        <v>#REF!</v>
      </c>
      <c r="W146" s="26" t="str">
        <f t="shared" si="9"/>
        <v>Katty Yolima Ibarra Rosero</v>
      </c>
      <c r="X146" s="26" t="str">
        <f t="shared" si="10"/>
        <v>Katty Yolima Ibarra Rosero</v>
      </c>
      <c r="Y146" s="26" t="str">
        <f t="shared" si="11"/>
        <v>Katty Yolima Ibarra Rosero-59795076-ACLS</v>
      </c>
    </row>
    <row r="147" spans="1:25" x14ac:dyDescent="0.2">
      <c r="A147" s="20">
        <v>146</v>
      </c>
      <c r="B147" s="21">
        <v>59795076</v>
      </c>
      <c r="C147" s="21" t="s">
        <v>355</v>
      </c>
      <c r="D147" s="21" t="s">
        <v>175</v>
      </c>
      <c r="E147" s="21" t="s">
        <v>356</v>
      </c>
      <c r="F147" s="21" t="s">
        <v>357</v>
      </c>
      <c r="G147" s="21">
        <v>17</v>
      </c>
      <c r="H147" s="21" t="s">
        <v>49</v>
      </c>
      <c r="I147" s="22" t="s">
        <v>376</v>
      </c>
      <c r="J147" s="22"/>
      <c r="K147" s="23">
        <v>45678</v>
      </c>
      <c r="L147" s="24">
        <v>20000</v>
      </c>
      <c r="M147" s="21" t="s">
        <v>106</v>
      </c>
      <c r="N147" s="21" t="s">
        <v>387</v>
      </c>
      <c r="O147" s="21" t="s">
        <v>95</v>
      </c>
      <c r="P147" s="21" t="s">
        <v>19</v>
      </c>
      <c r="Q147" s="22">
        <v>26717</v>
      </c>
      <c r="R147" s="21" t="s">
        <v>71</v>
      </c>
      <c r="S147" s="27" t="s">
        <v>172</v>
      </c>
      <c r="T147" s="25">
        <v>3104236881</v>
      </c>
      <c r="U147" s="21" t="s">
        <v>358</v>
      </c>
      <c r="V147" s="26" t="e">
        <f>IF(P147=#REF!,"DIPLOMADO EN ATENCION PRE-HOSPITALARIA",IF(P147=#REF!,"ACOMPAÑAMIENTO Y MANEJO DEL DUELO",IF(P147=#REF!,"ATENCION A VICTIMAS DE ATAQUE CON AGENTES QUIMICOS ",IF(P147=#REF!,"PRIMEROS AUXILIOS ",IF(P147=#REF!,"DIPLOMADO DE UNIDAD DE CUIDADOS INTENSIVOS (UCI)",IF(P147=#REF!,"MODELO DE ATENCION PARA EVENTOS EMERGENTES EN SALUD MENTAL (CODIGO VERDE)",IF(P147=#REF!,"HUMANIZACION EN EL SERVICIO DE LA SALUD Y BUENAS PRACTICAS EN PACIENTE ",IF(P147=#REF!,"CLINICA DE HERIDAS ",IF(P147=#REF!,"TOMA DE CITOLOGIA CERVICO VAGINAL ",IF(P147=#REF!,"SOPORTE CARDIOVASCULAR AVANZADO (ACLS) ",IF(P147=#REF!,"CAMILLERO ",IF(P147=#REF!,"TOMA DE MUESTRAS Y LABORATORIO ",IF(P147=#REF!,"SOPORTE VITAL BASICO (BLS)",IF(P147=#REF!,"ATENCION A VICTIMAS DE VIOLENCIA SEXUAL ",IF(P147=#REF!,"PROGRAMADO AMPLIADO DE INMUNIZACION (PAI - COVID 19)",IF(P147=#REF!,"ATENCION INTEGRAL EN ENFERMEDADES PREVALENTES EN PRIMERA INFANCIA (AIEPI)",IF(P147=#REF!,"ADMINISTRACION DE MEDICAMENTOS, INYECTOLOGIA  Y CANALIZACION ",IF(P147=#REF!,"OPERADOR DE VEHICULOS DE EMERGENCIA (OVE)",IF(P147=#REF!,"INSTITUCIONES AMIGAS DE LA MUJER Y LA INFANCIA (IAMI)",IF(P147=#REF!,"CUIDADO DEL DONANTE DE ORGANOS",IF(P147=#REF!,"ATENCION A VICTIMAS POR VIOLENCIA DE GENERO",IF(P147=#REF!,"IGUALDAD DE GENERO EN LA SALUD",IF(P147=#REF!,"BRIGADA DE EMERGENCIA",IF(P147=#REF!,"MANEJO DEL DOLOR Y CUIDADOS PALIATIVOS",IF(P147=#REF!,"TOMA DE MUESTRAS Y LABORATORIO POCT",IF(P147=#REF!,"IMPLANTE SUBDERMICO DE DISPOSITIVO INTRAUTERINO",IF(P147=#REF!,"SALUD MENTAL",IF(P147=#REF!,"PRIMEROS AUXILIOS PSICOLOGICOS",IF(P147=#REF!,"ATENCION A VICTIMAS POR CONFLICTO ARMADO",IF(P147=#REF!,"MANIPULACION DE ALIMENTOS Y BPM",IF(P147=#REF!,"ATENCION A PERSONAS CON DISCAPACIDAD",IF(P147=#REF!,"CUIDADO INTEGRAL DEL PACIENTE ADULTO",IF(P147=#REF!,"MANEJO DEFENSIVO",IF(P147=#REF!,"SOPORTE CARDIOVASCULAR AVANZADO NEONATAL",IF(P147=#REF!,"SEGURIDAD DEL PACIENTE",IF(P147=#REF!,"MANEJO DE RESIDUOS HOSPITALARIOS"))))))))))))))))))))))))))))))))))))</f>
        <v>#REF!</v>
      </c>
      <c r="W147" s="26" t="str">
        <f t="shared" si="9"/>
        <v>Katty Yolima Ibarra Rosero</v>
      </c>
      <c r="X147" s="26" t="str">
        <f t="shared" si="10"/>
        <v>Katty Yolima Ibarra Rosero</v>
      </c>
      <c r="Y147" s="26" t="str">
        <f t="shared" si="11"/>
        <v>Katty Yolima Ibarra Rosero-59795076-BLS</v>
      </c>
    </row>
    <row r="148" spans="1:25" x14ac:dyDescent="0.2">
      <c r="A148" s="20">
        <v>147</v>
      </c>
      <c r="B148" s="21">
        <v>59795076</v>
      </c>
      <c r="C148" s="21" t="s">
        <v>355</v>
      </c>
      <c r="D148" s="21" t="s">
        <v>175</v>
      </c>
      <c r="E148" s="21" t="s">
        <v>356</v>
      </c>
      <c r="F148" s="21" t="s">
        <v>357</v>
      </c>
      <c r="G148" s="21">
        <v>18</v>
      </c>
      <c r="H148" s="21" t="s">
        <v>49</v>
      </c>
      <c r="I148" s="22" t="s">
        <v>376</v>
      </c>
      <c r="J148" s="22"/>
      <c r="K148" s="23">
        <v>45678</v>
      </c>
      <c r="L148" s="24">
        <v>30000</v>
      </c>
      <c r="M148" s="21" t="s">
        <v>106</v>
      </c>
      <c r="N148" s="21" t="s">
        <v>387</v>
      </c>
      <c r="O148" s="21" t="s">
        <v>95</v>
      </c>
      <c r="P148" s="21" t="s">
        <v>21</v>
      </c>
      <c r="Q148" s="22">
        <v>26717</v>
      </c>
      <c r="R148" s="21" t="s">
        <v>71</v>
      </c>
      <c r="S148" s="27" t="s">
        <v>172</v>
      </c>
      <c r="T148" s="25">
        <v>3104236881</v>
      </c>
      <c r="U148" s="21" t="s">
        <v>358</v>
      </c>
      <c r="V148" s="26" t="e">
        <f>IF(P148=#REF!,"DIPLOMADO EN ATENCION PRE-HOSPITALARIA",IF(P148=#REF!,"ACOMPAÑAMIENTO Y MANEJO DEL DUELO",IF(P148=#REF!,"ATENCION A VICTIMAS DE ATAQUE CON AGENTES QUIMICOS ",IF(P148=#REF!,"PRIMEROS AUXILIOS ",IF(P148=#REF!,"DIPLOMADO DE UNIDAD DE CUIDADOS INTENSIVOS (UCI)",IF(P148=#REF!,"MODELO DE ATENCION PARA EVENTOS EMERGENTES EN SALUD MENTAL (CODIGO VERDE)",IF(P148=#REF!,"HUMANIZACION EN EL SERVICIO DE LA SALUD Y BUENAS PRACTICAS EN PACIENTE ",IF(P148=#REF!,"CLINICA DE HERIDAS ",IF(P148=#REF!,"TOMA DE CITOLOGIA CERVICO VAGINAL ",IF(P148=#REF!,"SOPORTE CARDIOVASCULAR AVANZADO (ACLS) ",IF(P148=#REF!,"CAMILLERO ",IF(P148=#REF!,"TOMA DE MUESTRAS Y LABORATORIO ",IF(P148=#REF!,"SOPORTE VITAL BASICO (BLS)",IF(P148=#REF!,"ATENCION A VICTIMAS DE VIOLENCIA SEXUAL ",IF(P148=#REF!,"PROGRAMADO AMPLIADO DE INMUNIZACION (PAI - COVID 19)",IF(P148=#REF!,"ATENCION INTEGRAL EN ENFERMEDADES PREVALENTES EN PRIMERA INFANCIA (AIEPI)",IF(P148=#REF!,"ADMINISTRACION DE MEDICAMENTOS, INYECTOLOGIA  Y CANALIZACION ",IF(P148=#REF!,"OPERADOR DE VEHICULOS DE EMERGENCIA (OVE)",IF(P148=#REF!,"INSTITUCIONES AMIGAS DE LA MUJER Y LA INFANCIA (IAMI)",IF(P148=#REF!,"CUIDADO DEL DONANTE DE ORGANOS",IF(P148=#REF!,"ATENCION A VICTIMAS POR VIOLENCIA DE GENERO",IF(P148=#REF!,"IGUALDAD DE GENERO EN LA SALUD",IF(P148=#REF!,"BRIGADA DE EMERGENCIA",IF(P148=#REF!,"MANEJO DEL DOLOR Y CUIDADOS PALIATIVOS",IF(P148=#REF!,"TOMA DE MUESTRAS Y LABORATORIO POCT",IF(P148=#REF!,"IMPLANTE SUBDERMICO DE DISPOSITIVO INTRAUTERINO",IF(P148=#REF!,"SALUD MENTAL",IF(P148=#REF!,"PRIMEROS AUXILIOS PSICOLOGICOS",IF(P148=#REF!,"ATENCION A VICTIMAS POR CONFLICTO ARMADO",IF(P148=#REF!,"MANIPULACION DE ALIMENTOS Y BPM",IF(P148=#REF!,"ATENCION A PERSONAS CON DISCAPACIDAD",IF(P148=#REF!,"CUIDADO INTEGRAL DEL PACIENTE ADULTO",IF(P148=#REF!,"MANEJO DEFENSIVO",IF(P148=#REF!,"SOPORTE CARDIOVASCULAR AVANZADO NEONATAL",IF(P148=#REF!,"SEGURIDAD DEL PACIENTE",IF(P148=#REF!,"MANEJO DE RESIDUOS HOSPITALARIOS"))))))))))))))))))))))))))))))))))))</f>
        <v>#REF!</v>
      </c>
      <c r="W148" s="26" t="str">
        <f t="shared" si="9"/>
        <v>Katty Yolima Ibarra Rosero</v>
      </c>
      <c r="X148" s="26" t="str">
        <f t="shared" si="10"/>
        <v>Katty Yolima Ibarra Rosero</v>
      </c>
      <c r="Y148" s="26" t="str">
        <f t="shared" si="11"/>
        <v>Katty Yolima Ibarra Rosero-59795076-QUIMICOS</v>
      </c>
    </row>
    <row r="149" spans="1:25" x14ac:dyDescent="0.2">
      <c r="A149" s="20">
        <v>148</v>
      </c>
      <c r="B149" s="21">
        <v>59795076</v>
      </c>
      <c r="C149" s="21" t="s">
        <v>355</v>
      </c>
      <c r="D149" s="21" t="s">
        <v>175</v>
      </c>
      <c r="E149" s="21" t="s">
        <v>356</v>
      </c>
      <c r="F149" s="21" t="s">
        <v>357</v>
      </c>
      <c r="G149" s="21">
        <v>18</v>
      </c>
      <c r="H149" s="21" t="s">
        <v>49</v>
      </c>
      <c r="I149" s="22" t="s">
        <v>376</v>
      </c>
      <c r="J149" s="22"/>
      <c r="K149" s="23">
        <v>45678</v>
      </c>
      <c r="L149" s="24">
        <v>30000</v>
      </c>
      <c r="M149" s="21" t="s">
        <v>106</v>
      </c>
      <c r="N149" s="21" t="s">
        <v>387</v>
      </c>
      <c r="O149" s="21" t="s">
        <v>95</v>
      </c>
      <c r="P149" s="21" t="s">
        <v>27</v>
      </c>
      <c r="Q149" s="22">
        <v>26717</v>
      </c>
      <c r="R149" s="21" t="s">
        <v>71</v>
      </c>
      <c r="S149" s="27" t="s">
        <v>172</v>
      </c>
      <c r="T149" s="25">
        <v>3104236881</v>
      </c>
      <c r="U149" s="21" t="s">
        <v>358</v>
      </c>
      <c r="V149" s="26" t="e">
        <f>IF(P149=#REF!,"DIPLOMADO EN ATENCION PRE-HOSPITALARIA",IF(P149=#REF!,"ACOMPAÑAMIENTO Y MANEJO DEL DUELO",IF(P149=#REF!,"ATENCION A VICTIMAS DE ATAQUE CON AGENTES QUIMICOS ",IF(P149=#REF!,"PRIMEROS AUXILIOS ",IF(P149=#REF!,"DIPLOMADO DE UNIDAD DE CUIDADOS INTENSIVOS (UCI)",IF(P149=#REF!,"MODELO DE ATENCION PARA EVENTOS EMERGENTES EN SALUD MENTAL (CODIGO VERDE)",IF(P149=#REF!,"HUMANIZACION EN EL SERVICIO DE LA SALUD Y BUENAS PRACTICAS EN PACIENTE ",IF(P149=#REF!,"CLINICA DE HERIDAS ",IF(P149=#REF!,"TOMA DE CITOLOGIA CERVICO VAGINAL ",IF(P149=#REF!,"SOPORTE CARDIOVASCULAR AVANZADO (ACLS) ",IF(P149=#REF!,"CAMILLERO ",IF(P149=#REF!,"TOMA DE MUESTRAS Y LABORATORIO ",IF(P149=#REF!,"SOPORTE VITAL BASICO (BLS)",IF(P149=#REF!,"ATENCION A VICTIMAS DE VIOLENCIA SEXUAL ",IF(P149=#REF!,"PROGRAMADO AMPLIADO DE INMUNIZACION (PAI - COVID 19)",IF(P149=#REF!,"ATENCION INTEGRAL EN ENFERMEDADES PREVALENTES EN PRIMERA INFANCIA (AIEPI)",IF(P149=#REF!,"ADMINISTRACION DE MEDICAMENTOS, INYECTOLOGIA  Y CANALIZACION ",IF(P149=#REF!,"OPERADOR DE VEHICULOS DE EMERGENCIA (OVE)",IF(P149=#REF!,"INSTITUCIONES AMIGAS DE LA MUJER Y LA INFANCIA (IAMI)",IF(P149=#REF!,"CUIDADO DEL DONANTE DE ORGANOS",IF(P149=#REF!,"ATENCION A VICTIMAS POR VIOLENCIA DE GENERO",IF(P149=#REF!,"IGUALDAD DE GENERO EN LA SALUD",IF(P149=#REF!,"BRIGADA DE EMERGENCIA",IF(P149=#REF!,"MANEJO DEL DOLOR Y CUIDADOS PALIATIVOS",IF(P149=#REF!,"TOMA DE MUESTRAS Y LABORATORIO POCT",IF(P149=#REF!,"IMPLANTE SUBDERMICO DE DISPOSITIVO INTRAUTERINO",IF(P149=#REF!,"SALUD MENTAL",IF(P149=#REF!,"PRIMEROS AUXILIOS PSICOLOGICOS",IF(P149=#REF!,"ATENCION A VICTIMAS POR CONFLICTO ARMADO",IF(P149=#REF!,"MANIPULACION DE ALIMENTOS Y BPM",IF(P149=#REF!,"ATENCION A PERSONAS CON DISCAPACIDAD",IF(P149=#REF!,"CUIDADO INTEGRAL DEL PACIENTE ADULTO",IF(P149=#REF!,"MANEJO DEFENSIVO",IF(P149=#REF!,"SOPORTE CARDIOVASCULAR AVANZADO NEONATAL",IF(P149=#REF!,"SEGURIDAD DEL PACIENTE",IF(P149=#REF!,"MANEJO DE RESIDUOS HOSPITALARIOS"))))))))))))))))))))))))))))))))))))</f>
        <v>#REF!</v>
      </c>
      <c r="W149" s="26" t="str">
        <f t="shared" si="9"/>
        <v>Katty Yolima Ibarra Rosero</v>
      </c>
      <c r="X149" s="26" t="str">
        <f t="shared" si="10"/>
        <v>Katty Yolima Ibarra Rosero</v>
      </c>
      <c r="Y149" s="26" t="str">
        <f t="shared" si="11"/>
        <v>Katty Yolima Ibarra Rosero-59795076-VIOLENCIA SEXUAL</v>
      </c>
    </row>
    <row r="150" spans="1:25" x14ac:dyDescent="0.2">
      <c r="A150" s="20">
        <v>149</v>
      </c>
      <c r="B150" s="21">
        <v>59795076</v>
      </c>
      <c r="C150" s="21" t="s">
        <v>355</v>
      </c>
      <c r="D150" s="21" t="s">
        <v>175</v>
      </c>
      <c r="E150" s="21" t="s">
        <v>356</v>
      </c>
      <c r="F150" s="21" t="s">
        <v>357</v>
      </c>
      <c r="G150" s="21">
        <v>21</v>
      </c>
      <c r="H150" s="21" t="s">
        <v>49</v>
      </c>
      <c r="I150" s="22" t="s">
        <v>376</v>
      </c>
      <c r="J150" s="22"/>
      <c r="K150" s="23">
        <v>45678</v>
      </c>
      <c r="L150" s="24">
        <v>30000</v>
      </c>
      <c r="M150" s="21" t="s">
        <v>106</v>
      </c>
      <c r="N150" s="21" t="s">
        <v>387</v>
      </c>
      <c r="O150" s="21" t="s">
        <v>95</v>
      </c>
      <c r="P150" s="21" t="s">
        <v>20</v>
      </c>
      <c r="Q150" s="22">
        <v>26717</v>
      </c>
      <c r="R150" s="21" t="s">
        <v>71</v>
      </c>
      <c r="S150" s="27" t="s">
        <v>172</v>
      </c>
      <c r="T150" s="25">
        <v>3104236881</v>
      </c>
      <c r="U150" s="21" t="s">
        <v>358</v>
      </c>
      <c r="V150" s="26" t="e">
        <f>IF(P150=#REF!,"DIPLOMADO EN ATENCION PRE-HOSPITALARIA",IF(P150=#REF!,"ACOMPAÑAMIENTO Y MANEJO DEL DUELO",IF(P150=#REF!,"ATENCION A VICTIMAS DE ATAQUE CON AGENTES QUIMICOS ",IF(P150=#REF!,"PRIMEROS AUXILIOS ",IF(P150=#REF!,"DIPLOMADO DE UNIDAD DE CUIDADOS INTENSIVOS (UCI)",IF(P150=#REF!,"MODELO DE ATENCION PARA EVENTOS EMERGENTES EN SALUD MENTAL (CODIGO VERDE)",IF(P150=#REF!,"HUMANIZACION EN EL SERVICIO DE LA SALUD Y BUENAS PRACTICAS EN PACIENTE ",IF(P150=#REF!,"CLINICA DE HERIDAS ",IF(P150=#REF!,"TOMA DE CITOLOGIA CERVICO VAGINAL ",IF(P150=#REF!,"SOPORTE CARDIOVASCULAR AVANZADO (ACLS) ",IF(P150=#REF!,"CAMILLERO ",IF(P150=#REF!,"TOMA DE MUESTRAS Y LABORATORIO ",IF(P150=#REF!,"SOPORTE VITAL BASICO (BLS)",IF(P150=#REF!,"ATENCION A VICTIMAS DE VIOLENCIA SEXUAL ",IF(P150=#REF!,"PROGRAMADO AMPLIADO DE INMUNIZACION (PAI - COVID 19)",IF(P150=#REF!,"ATENCION INTEGRAL EN ENFERMEDADES PREVALENTES EN PRIMERA INFANCIA (AIEPI)",IF(P150=#REF!,"ADMINISTRACION DE MEDICAMENTOS, INYECTOLOGIA  Y CANALIZACION ",IF(P150=#REF!,"OPERADOR DE VEHICULOS DE EMERGENCIA (OVE)",IF(P150=#REF!,"INSTITUCIONES AMIGAS DE LA MUJER Y LA INFANCIA (IAMI)",IF(P150=#REF!,"CUIDADO DEL DONANTE DE ORGANOS",IF(P150=#REF!,"ATENCION A VICTIMAS POR VIOLENCIA DE GENERO",IF(P150=#REF!,"IGUALDAD DE GENERO EN LA SALUD",IF(P150=#REF!,"BRIGADA DE EMERGENCIA",IF(P150=#REF!,"MANEJO DEL DOLOR Y CUIDADOS PALIATIVOS",IF(P150=#REF!,"TOMA DE MUESTRAS Y LABORATORIO POCT",IF(P150=#REF!,"IMPLANTE SUBDERMICO DE DISPOSITIVO INTRAUTERINO",IF(P150=#REF!,"SALUD MENTAL",IF(P150=#REF!,"PRIMEROS AUXILIOS PSICOLOGICOS",IF(P150=#REF!,"ATENCION A VICTIMAS POR CONFLICTO ARMADO",IF(P150=#REF!,"MANIPULACION DE ALIMENTOS Y BPM",IF(P150=#REF!,"ATENCION A PERSONAS CON DISCAPACIDAD",IF(P150=#REF!,"CUIDADO INTEGRAL DEL PACIENTE ADULTO",IF(P150=#REF!,"MANEJO DEFENSIVO",IF(P150=#REF!,"SOPORTE CARDIOVASCULAR AVANZADO NEONATAL",IF(P150=#REF!,"SEGURIDAD DEL PACIENTE",IF(P150=#REF!,"MANEJO DE RESIDUOS HOSPITALARIOS"))))))))))))))))))))))))))))))))))))</f>
        <v>#REF!</v>
      </c>
      <c r="W150" s="26" t="str">
        <f t="shared" si="9"/>
        <v>Katty Yolima Ibarra Rosero</v>
      </c>
      <c r="X150" s="26" t="str">
        <f t="shared" si="10"/>
        <v>Katty Yolima Ibarra Rosero</v>
      </c>
      <c r="Y150" s="26" t="str">
        <f t="shared" si="11"/>
        <v>Katty Yolima Ibarra Rosero-59795076-DUELO</v>
      </c>
    </row>
    <row r="151" spans="1:25" x14ac:dyDescent="0.2">
      <c r="A151" s="20">
        <v>150</v>
      </c>
      <c r="B151" s="21">
        <v>59795076</v>
      </c>
      <c r="C151" s="21" t="s">
        <v>355</v>
      </c>
      <c r="D151" s="21" t="s">
        <v>175</v>
      </c>
      <c r="E151" s="21" t="s">
        <v>356</v>
      </c>
      <c r="F151" s="21" t="s">
        <v>357</v>
      </c>
      <c r="G151" s="21">
        <v>20</v>
      </c>
      <c r="H151" s="21" t="s">
        <v>49</v>
      </c>
      <c r="I151" s="22" t="s">
        <v>376</v>
      </c>
      <c r="J151" s="22"/>
      <c r="K151" s="23">
        <v>45678</v>
      </c>
      <c r="L151" s="24">
        <v>30000</v>
      </c>
      <c r="M151" s="21" t="s">
        <v>106</v>
      </c>
      <c r="N151" s="21" t="s">
        <v>387</v>
      </c>
      <c r="O151" s="21" t="s">
        <v>95</v>
      </c>
      <c r="P151" s="21" t="s">
        <v>23</v>
      </c>
      <c r="Q151" s="22">
        <v>26717</v>
      </c>
      <c r="R151" s="21" t="s">
        <v>71</v>
      </c>
      <c r="S151" s="27" t="s">
        <v>172</v>
      </c>
      <c r="T151" s="25">
        <v>3104236881</v>
      </c>
      <c r="U151" s="21" t="s">
        <v>358</v>
      </c>
      <c r="V151" s="26" t="e">
        <f>IF(P151=#REF!,"DIPLOMADO EN ATENCION PRE-HOSPITALARIA",IF(P151=#REF!,"ACOMPAÑAMIENTO Y MANEJO DEL DUELO",IF(P151=#REF!,"ATENCION A VICTIMAS DE ATAQUE CON AGENTES QUIMICOS ",IF(P151=#REF!,"PRIMEROS AUXILIOS ",IF(P151=#REF!,"DIPLOMADO DE UNIDAD DE CUIDADOS INTENSIVOS (UCI)",IF(P151=#REF!,"MODELO DE ATENCION PARA EVENTOS EMERGENTES EN SALUD MENTAL (CODIGO VERDE)",IF(P151=#REF!,"HUMANIZACION EN EL SERVICIO DE LA SALUD Y BUENAS PRACTICAS EN PACIENTE ",IF(P151=#REF!,"CLINICA DE HERIDAS ",IF(P151=#REF!,"TOMA DE CITOLOGIA CERVICO VAGINAL ",IF(P151=#REF!,"SOPORTE CARDIOVASCULAR AVANZADO (ACLS) ",IF(P151=#REF!,"CAMILLERO ",IF(P151=#REF!,"TOMA DE MUESTRAS Y LABORATORIO ",IF(P151=#REF!,"SOPORTE VITAL BASICO (BLS)",IF(P151=#REF!,"ATENCION A VICTIMAS DE VIOLENCIA SEXUAL ",IF(P151=#REF!,"PROGRAMADO AMPLIADO DE INMUNIZACION (PAI - COVID 19)",IF(P151=#REF!,"ATENCION INTEGRAL EN ENFERMEDADES PREVALENTES EN PRIMERA INFANCIA (AIEPI)",IF(P151=#REF!,"ADMINISTRACION DE MEDICAMENTOS, INYECTOLOGIA  Y CANALIZACION ",IF(P151=#REF!,"OPERADOR DE VEHICULOS DE EMERGENCIA (OVE)",IF(P151=#REF!,"INSTITUCIONES AMIGAS DE LA MUJER Y LA INFANCIA (IAMI)",IF(P151=#REF!,"CUIDADO DEL DONANTE DE ORGANOS",IF(P151=#REF!,"ATENCION A VICTIMAS POR VIOLENCIA DE GENERO",IF(P151=#REF!,"IGUALDAD DE GENERO EN LA SALUD",IF(P151=#REF!,"BRIGADA DE EMERGENCIA",IF(P151=#REF!,"MANEJO DEL DOLOR Y CUIDADOS PALIATIVOS",IF(P151=#REF!,"TOMA DE MUESTRAS Y LABORATORIO POCT",IF(P151=#REF!,"IMPLANTE SUBDERMICO DE DISPOSITIVO INTRAUTERINO",IF(P151=#REF!,"SALUD MENTAL",IF(P151=#REF!,"PRIMEROS AUXILIOS PSICOLOGICOS",IF(P151=#REF!,"ATENCION A VICTIMAS POR CONFLICTO ARMADO",IF(P151=#REF!,"MANIPULACION DE ALIMENTOS Y BPM",IF(P151=#REF!,"ATENCION A PERSONAS CON DISCAPACIDAD",IF(P151=#REF!,"CUIDADO INTEGRAL DEL PACIENTE ADULTO",IF(P151=#REF!,"MANEJO DEFENSIVO",IF(P151=#REF!,"SOPORTE CARDIOVASCULAR AVANZADO NEONATAL",IF(P151=#REF!,"SEGURIDAD DEL PACIENTE",IF(P151=#REF!,"MANEJO DE RESIDUOS HOSPITALARIOS"))))))))))))))))))))))))))))))))))))</f>
        <v>#REF!</v>
      </c>
      <c r="W151" s="26" t="str">
        <f t="shared" si="9"/>
        <v>Katty Yolima Ibarra Rosero</v>
      </c>
      <c r="X151" s="26" t="str">
        <f t="shared" si="10"/>
        <v>Katty Yolima Ibarra Rosero</v>
      </c>
      <c r="Y151" s="26" t="str">
        <f t="shared" si="11"/>
        <v>Katty Yolima Ibarra Rosero-59795076-HUMANIZACION</v>
      </c>
    </row>
    <row r="152" spans="1:25" x14ac:dyDescent="0.2">
      <c r="A152" s="20">
        <v>151</v>
      </c>
      <c r="B152" s="21">
        <v>59795076</v>
      </c>
      <c r="C152" s="21" t="s">
        <v>355</v>
      </c>
      <c r="D152" s="21" t="s">
        <v>175</v>
      </c>
      <c r="E152" s="21" t="s">
        <v>356</v>
      </c>
      <c r="F152" s="21" t="s">
        <v>357</v>
      </c>
      <c r="G152" s="21">
        <v>21</v>
      </c>
      <c r="H152" s="21" t="s">
        <v>49</v>
      </c>
      <c r="I152" s="22" t="s">
        <v>376</v>
      </c>
      <c r="J152" s="22"/>
      <c r="K152" s="23">
        <v>45678</v>
      </c>
      <c r="L152" s="24">
        <v>30000</v>
      </c>
      <c r="M152" s="21" t="s">
        <v>106</v>
      </c>
      <c r="N152" s="21" t="s">
        <v>387</v>
      </c>
      <c r="O152" s="21" t="s">
        <v>95</v>
      </c>
      <c r="P152" s="21" t="s">
        <v>28</v>
      </c>
      <c r="Q152" s="22">
        <v>26717</v>
      </c>
      <c r="R152" s="21" t="s">
        <v>71</v>
      </c>
      <c r="S152" s="27" t="s">
        <v>172</v>
      </c>
      <c r="T152" s="25">
        <v>3104236881</v>
      </c>
      <c r="U152" s="21" t="s">
        <v>358</v>
      </c>
      <c r="V152" s="26" t="e">
        <f>IF(P152=#REF!,"DIPLOMADO EN ATENCION PRE-HOSPITALARIA",IF(P152=#REF!,"ACOMPAÑAMIENTO Y MANEJO DEL DUELO",IF(P152=#REF!,"ATENCION A VICTIMAS DE ATAQUE CON AGENTES QUIMICOS ",IF(P152=#REF!,"PRIMEROS AUXILIOS ",IF(P152=#REF!,"DIPLOMADO DE UNIDAD DE CUIDADOS INTENSIVOS (UCI)",IF(P152=#REF!,"MODELO DE ATENCION PARA EVENTOS EMERGENTES EN SALUD MENTAL (CODIGO VERDE)",IF(P152=#REF!,"HUMANIZACION EN EL SERVICIO DE LA SALUD Y BUENAS PRACTICAS EN PACIENTE ",IF(P152=#REF!,"CLINICA DE HERIDAS ",IF(P152=#REF!,"TOMA DE CITOLOGIA CERVICO VAGINAL ",IF(P152=#REF!,"SOPORTE CARDIOVASCULAR AVANZADO (ACLS) ",IF(P152=#REF!,"CAMILLERO ",IF(P152=#REF!,"TOMA DE MUESTRAS Y LABORATORIO ",IF(P152=#REF!,"SOPORTE VITAL BASICO (BLS)",IF(P152=#REF!,"ATENCION A VICTIMAS DE VIOLENCIA SEXUAL ",IF(P152=#REF!,"PROGRAMADO AMPLIADO DE INMUNIZACION (PAI - COVID 19)",IF(P152=#REF!,"ATENCION INTEGRAL EN ENFERMEDADES PREVALENTES EN PRIMERA INFANCIA (AIEPI)",IF(P152=#REF!,"ADMINISTRACION DE MEDICAMENTOS, INYECTOLOGIA  Y CANALIZACION ",IF(P152=#REF!,"OPERADOR DE VEHICULOS DE EMERGENCIA (OVE)",IF(P152=#REF!,"INSTITUCIONES AMIGAS DE LA MUJER Y LA INFANCIA (IAMI)",IF(P152=#REF!,"CUIDADO DEL DONANTE DE ORGANOS",IF(P152=#REF!,"ATENCION A VICTIMAS POR VIOLENCIA DE GENERO",IF(P152=#REF!,"IGUALDAD DE GENERO EN LA SALUD",IF(P152=#REF!,"BRIGADA DE EMERGENCIA",IF(P152=#REF!,"MANEJO DEL DOLOR Y CUIDADOS PALIATIVOS",IF(P152=#REF!,"TOMA DE MUESTRAS Y LABORATORIO POCT",IF(P152=#REF!,"IMPLANTE SUBDERMICO DE DISPOSITIVO INTRAUTERINO",IF(P152=#REF!,"SALUD MENTAL",IF(P152=#REF!,"PRIMEROS AUXILIOS PSICOLOGICOS",IF(P152=#REF!,"ATENCION A VICTIMAS POR CONFLICTO ARMADO",IF(P152=#REF!,"MANIPULACION DE ALIMENTOS Y BPM",IF(P152=#REF!,"ATENCION A PERSONAS CON DISCAPACIDAD",IF(P152=#REF!,"CUIDADO INTEGRAL DEL PACIENTE ADULTO",IF(P152=#REF!,"MANEJO DEFENSIVO",IF(P152=#REF!,"SOPORTE CARDIOVASCULAR AVANZADO NEONATAL",IF(P152=#REF!,"SEGURIDAD DEL PACIENTE",IF(P152=#REF!,"MANEJO DE RESIDUOS HOSPITALARIOS"))))))))))))))))))))))))))))))))))))</f>
        <v>#REF!</v>
      </c>
      <c r="W152" s="26" t="str">
        <f t="shared" si="9"/>
        <v>Katty Yolima Ibarra Rosero</v>
      </c>
      <c r="X152" s="26" t="str">
        <f t="shared" si="10"/>
        <v>Katty Yolima Ibarra Rosero</v>
      </c>
      <c r="Y152" s="26" t="str">
        <f t="shared" si="11"/>
        <v>Katty Yolima Ibarra Rosero-59795076-AIEPI</v>
      </c>
    </row>
    <row r="153" spans="1:25" x14ac:dyDescent="0.2">
      <c r="A153" s="20">
        <v>152</v>
      </c>
      <c r="B153" s="21">
        <v>1004696220</v>
      </c>
      <c r="C153" s="21" t="s">
        <v>112</v>
      </c>
      <c r="D153" s="21" t="s">
        <v>175</v>
      </c>
      <c r="E153" s="21" t="s">
        <v>359</v>
      </c>
      <c r="F153" s="21" t="s">
        <v>68</v>
      </c>
      <c r="G153" s="21">
        <v>18</v>
      </c>
      <c r="H153" s="21" t="s">
        <v>49</v>
      </c>
      <c r="I153" s="22" t="s">
        <v>376</v>
      </c>
      <c r="J153" s="22"/>
      <c r="K153" s="23">
        <v>45678</v>
      </c>
      <c r="L153" s="42">
        <v>30000</v>
      </c>
      <c r="M153" s="21" t="s">
        <v>106</v>
      </c>
      <c r="N153" s="21" t="s">
        <v>387</v>
      </c>
      <c r="O153" s="21" t="s">
        <v>95</v>
      </c>
      <c r="P153" s="21" t="s">
        <v>27</v>
      </c>
      <c r="Q153" s="22"/>
      <c r="R153" s="21" t="s">
        <v>71</v>
      </c>
      <c r="S153" s="21" t="s">
        <v>107</v>
      </c>
      <c r="T153" s="21">
        <v>322519203</v>
      </c>
      <c r="U153" s="21" t="s">
        <v>360</v>
      </c>
      <c r="V153" s="26" t="e">
        <f>IF(P153=#REF!,"DIPLOMADO EN ATENCION PRE-HOSPITALARIA",IF(P153=#REF!,"ACOMPAÑAMIENTO Y MANEJO DEL DUELO",IF(P153=#REF!,"ATENCION A VICTIMAS DE ATAQUE CON AGENTES QUIMICOS ",IF(P153=#REF!,"PRIMEROS AUXILIOS ",IF(P153=#REF!,"DIPLOMADO DE UNIDAD DE CUIDADOS INTENSIVOS (UCI)",IF(P153=#REF!,"MODELO DE ATENCION PARA EVENTOS EMERGENTES EN SALUD MENTAL (CODIGO VERDE)",IF(P153=#REF!,"HUMANIZACION EN EL SERVICIO DE LA SALUD Y BUENAS PRACTICAS EN PACIENTE ",IF(P153=#REF!,"CLINICA DE HERIDAS ",IF(P153=#REF!,"TOMA DE CITOLOGIA CERVICO VAGINAL ",IF(P153=#REF!,"SOPORTE CARDIOVASCULAR AVANZADO (ACLS) ",IF(P153=#REF!,"CAMILLERO ",IF(P153=#REF!,"TOMA DE MUESTRAS Y LABORATORIO ",IF(P153=#REF!,"SOPORTE VITAL BASICO (BLS)",IF(P153=#REF!,"ATENCION A VICTIMAS DE VIOLENCIA SEXUAL ",IF(P153=#REF!,"PROGRAMADO AMPLIADO DE INMUNIZACION (PAI - COVID 19)",IF(P153=#REF!,"ATENCION INTEGRAL EN ENFERMEDADES PREVALENTES EN PRIMERA INFANCIA (AIEPI)",IF(P153=#REF!,"ADMINISTRACION DE MEDICAMENTOS, INYECTOLOGIA  Y CANALIZACION ",IF(P153=#REF!,"OPERADOR DE VEHICULOS DE EMERGENCIA (OVE)",IF(P153=#REF!,"INSTITUCIONES AMIGAS DE LA MUJER Y LA INFANCIA (IAMI)",IF(P153=#REF!,"CUIDADO DEL DONANTE DE ORGANOS",IF(P153=#REF!,"ATENCION A VICTIMAS POR VIOLENCIA DE GENERO",IF(P153=#REF!,"IGUALDAD DE GENERO EN LA SALUD",IF(P153=#REF!,"BRIGADA DE EMERGENCIA",IF(P153=#REF!,"MANEJO DEL DOLOR Y CUIDADOS PALIATIVOS",IF(P153=#REF!,"TOMA DE MUESTRAS Y LABORATORIO POCT",IF(P153=#REF!,"IMPLANTE SUBDERMICO DE DISPOSITIVO INTRAUTERINO",IF(P153=#REF!,"SALUD MENTAL",IF(P153=#REF!,"PRIMEROS AUXILIOS PSICOLOGICOS",IF(P153=#REF!,"ATENCION A VICTIMAS POR CONFLICTO ARMADO",IF(P153=#REF!,"MANIPULACION DE ALIMENTOS Y BPM",IF(P153=#REF!,"ATENCION A PERSONAS CON DISCAPACIDAD",IF(P153=#REF!,"CUIDADO INTEGRAL DEL PACIENTE ADULTO",IF(P153=#REF!,"MANEJO DEFENSIVO",IF(P153=#REF!,"SOPORTE CARDIOVASCULAR AVANZADO NEONATAL",IF(P153=#REF!,"SEGURIDAD DEL PACIENTE",IF(P153=#REF!,"MANEJO DE RESIDUOS HOSPITALARIOS"))))))))))))))))))))))))))))))))))))</f>
        <v>#REF!</v>
      </c>
      <c r="W153" s="26" t="str">
        <f t="shared" si="9"/>
        <v>Enyi Johana Melo Rosero</v>
      </c>
      <c r="X153" s="26" t="str">
        <f t="shared" si="10"/>
        <v>Enyi Johana Melo Rosero</v>
      </c>
      <c r="Y153" s="26" t="str">
        <f t="shared" si="11"/>
        <v>Enyi Johana Melo Rosero-1004696220-VIOLENCIA SEXUAL</v>
      </c>
    </row>
    <row r="154" spans="1:25" x14ac:dyDescent="0.2">
      <c r="A154" s="20">
        <v>153</v>
      </c>
      <c r="B154" s="21">
        <v>1004696220</v>
      </c>
      <c r="C154" s="21" t="s">
        <v>112</v>
      </c>
      <c r="D154" s="21" t="s">
        <v>175</v>
      </c>
      <c r="E154" s="21" t="s">
        <v>359</v>
      </c>
      <c r="F154" s="21" t="s">
        <v>68</v>
      </c>
      <c r="G154" s="21">
        <v>18</v>
      </c>
      <c r="H154" s="21" t="s">
        <v>49</v>
      </c>
      <c r="I154" s="22" t="s">
        <v>376</v>
      </c>
      <c r="J154" s="22"/>
      <c r="K154" s="23">
        <v>45678</v>
      </c>
      <c r="L154" s="42">
        <v>30000</v>
      </c>
      <c r="M154" s="21" t="s">
        <v>106</v>
      </c>
      <c r="N154" s="21" t="s">
        <v>387</v>
      </c>
      <c r="O154" s="21" t="s">
        <v>95</v>
      </c>
      <c r="P154" s="21" t="s">
        <v>21</v>
      </c>
      <c r="Q154" s="22"/>
      <c r="R154" s="21" t="s">
        <v>71</v>
      </c>
      <c r="S154" s="21" t="s">
        <v>107</v>
      </c>
      <c r="T154" s="21">
        <v>322519203</v>
      </c>
      <c r="U154" s="21" t="s">
        <v>360</v>
      </c>
      <c r="V154" s="26" t="e">
        <f>IF(P154=#REF!,"DIPLOMADO EN ATENCION PRE-HOSPITALARIA",IF(P154=#REF!,"ACOMPAÑAMIENTO Y MANEJO DEL DUELO",IF(P154=#REF!,"ATENCION A VICTIMAS DE ATAQUE CON AGENTES QUIMICOS ",IF(P154=#REF!,"PRIMEROS AUXILIOS ",IF(P154=#REF!,"DIPLOMADO DE UNIDAD DE CUIDADOS INTENSIVOS (UCI)",IF(P154=#REF!,"MODELO DE ATENCION PARA EVENTOS EMERGENTES EN SALUD MENTAL (CODIGO VERDE)",IF(P154=#REF!,"HUMANIZACION EN EL SERVICIO DE LA SALUD Y BUENAS PRACTICAS EN PACIENTE ",IF(P154=#REF!,"CLINICA DE HERIDAS ",IF(P154=#REF!,"TOMA DE CITOLOGIA CERVICO VAGINAL ",IF(P154=#REF!,"SOPORTE CARDIOVASCULAR AVANZADO (ACLS) ",IF(P154=#REF!,"CAMILLERO ",IF(P154=#REF!,"TOMA DE MUESTRAS Y LABORATORIO ",IF(P154=#REF!,"SOPORTE VITAL BASICO (BLS)",IF(P154=#REF!,"ATENCION A VICTIMAS DE VIOLENCIA SEXUAL ",IF(P154=#REF!,"PROGRAMADO AMPLIADO DE INMUNIZACION (PAI - COVID 19)",IF(P154=#REF!,"ATENCION INTEGRAL EN ENFERMEDADES PREVALENTES EN PRIMERA INFANCIA (AIEPI)",IF(P154=#REF!,"ADMINISTRACION DE MEDICAMENTOS, INYECTOLOGIA  Y CANALIZACION ",IF(P154=#REF!,"OPERADOR DE VEHICULOS DE EMERGENCIA (OVE)",IF(P154=#REF!,"INSTITUCIONES AMIGAS DE LA MUJER Y LA INFANCIA (IAMI)",IF(P154=#REF!,"CUIDADO DEL DONANTE DE ORGANOS",IF(P154=#REF!,"ATENCION A VICTIMAS POR VIOLENCIA DE GENERO",IF(P154=#REF!,"IGUALDAD DE GENERO EN LA SALUD",IF(P154=#REF!,"BRIGADA DE EMERGENCIA",IF(P154=#REF!,"MANEJO DEL DOLOR Y CUIDADOS PALIATIVOS",IF(P154=#REF!,"TOMA DE MUESTRAS Y LABORATORIO POCT",IF(P154=#REF!,"IMPLANTE SUBDERMICO DE DISPOSITIVO INTRAUTERINO",IF(P154=#REF!,"SALUD MENTAL",IF(P154=#REF!,"PRIMEROS AUXILIOS PSICOLOGICOS",IF(P154=#REF!,"ATENCION A VICTIMAS POR CONFLICTO ARMADO",IF(P154=#REF!,"MANIPULACION DE ALIMENTOS Y BPM",IF(P154=#REF!,"ATENCION A PERSONAS CON DISCAPACIDAD",IF(P154=#REF!,"CUIDADO INTEGRAL DEL PACIENTE ADULTO",IF(P154=#REF!,"MANEJO DEFENSIVO",IF(P154=#REF!,"SOPORTE CARDIOVASCULAR AVANZADO NEONATAL",IF(P154=#REF!,"SEGURIDAD DEL PACIENTE",IF(P154=#REF!,"MANEJO DE RESIDUOS HOSPITALARIOS"))))))))))))))))))))))))))))))))))))</f>
        <v>#REF!</v>
      </c>
      <c r="W154" s="26" t="str">
        <f t="shared" si="9"/>
        <v>Enyi Johana Melo Rosero</v>
      </c>
      <c r="X154" s="26" t="str">
        <f t="shared" si="10"/>
        <v>Enyi Johana Melo Rosero</v>
      </c>
      <c r="Y154" s="26" t="str">
        <f t="shared" si="11"/>
        <v>Enyi Johana Melo Rosero-1004696220-QUIMICOS</v>
      </c>
    </row>
    <row r="155" spans="1:25" x14ac:dyDescent="0.2">
      <c r="A155" s="20">
        <v>154</v>
      </c>
      <c r="B155" s="21">
        <v>1004696220</v>
      </c>
      <c r="C155" s="21" t="s">
        <v>112</v>
      </c>
      <c r="D155" s="21" t="s">
        <v>175</v>
      </c>
      <c r="E155" s="21" t="s">
        <v>359</v>
      </c>
      <c r="F155" s="21" t="s">
        <v>68</v>
      </c>
      <c r="G155" s="21">
        <v>21</v>
      </c>
      <c r="H155" s="21" t="s">
        <v>49</v>
      </c>
      <c r="I155" s="22" t="s">
        <v>376</v>
      </c>
      <c r="J155" s="22"/>
      <c r="K155" s="23">
        <v>45678</v>
      </c>
      <c r="L155" s="42">
        <v>30000</v>
      </c>
      <c r="M155" s="21" t="s">
        <v>106</v>
      </c>
      <c r="N155" s="21" t="s">
        <v>387</v>
      </c>
      <c r="O155" s="21" t="s">
        <v>95</v>
      </c>
      <c r="P155" s="21" t="s">
        <v>20</v>
      </c>
      <c r="Q155" s="22"/>
      <c r="R155" s="21" t="s">
        <v>71</v>
      </c>
      <c r="S155" s="21" t="s">
        <v>107</v>
      </c>
      <c r="T155" s="21">
        <v>322519203</v>
      </c>
      <c r="U155" s="21" t="s">
        <v>360</v>
      </c>
      <c r="V155" s="26" t="e">
        <f>IF(P155=#REF!,"DIPLOMADO EN ATENCION PRE-HOSPITALARIA",IF(P155=#REF!,"ACOMPAÑAMIENTO Y MANEJO DEL DUELO",IF(P155=#REF!,"ATENCION A VICTIMAS DE ATAQUE CON AGENTES QUIMICOS ",IF(P155=#REF!,"PRIMEROS AUXILIOS ",IF(P155=#REF!,"DIPLOMADO DE UNIDAD DE CUIDADOS INTENSIVOS (UCI)",IF(P155=#REF!,"MODELO DE ATENCION PARA EVENTOS EMERGENTES EN SALUD MENTAL (CODIGO VERDE)",IF(P155=#REF!,"HUMANIZACION EN EL SERVICIO DE LA SALUD Y BUENAS PRACTICAS EN PACIENTE ",IF(P155=#REF!,"CLINICA DE HERIDAS ",IF(P155=#REF!,"TOMA DE CITOLOGIA CERVICO VAGINAL ",IF(P155=#REF!,"SOPORTE CARDIOVASCULAR AVANZADO (ACLS) ",IF(P155=#REF!,"CAMILLERO ",IF(P155=#REF!,"TOMA DE MUESTRAS Y LABORATORIO ",IF(P155=#REF!,"SOPORTE VITAL BASICO (BLS)",IF(P155=#REF!,"ATENCION A VICTIMAS DE VIOLENCIA SEXUAL ",IF(P155=#REF!,"PROGRAMADO AMPLIADO DE INMUNIZACION (PAI - COVID 19)",IF(P155=#REF!,"ATENCION INTEGRAL EN ENFERMEDADES PREVALENTES EN PRIMERA INFANCIA (AIEPI)",IF(P155=#REF!,"ADMINISTRACION DE MEDICAMENTOS, INYECTOLOGIA  Y CANALIZACION ",IF(P155=#REF!,"OPERADOR DE VEHICULOS DE EMERGENCIA (OVE)",IF(P155=#REF!,"INSTITUCIONES AMIGAS DE LA MUJER Y LA INFANCIA (IAMI)",IF(P155=#REF!,"CUIDADO DEL DONANTE DE ORGANOS",IF(P155=#REF!,"ATENCION A VICTIMAS POR VIOLENCIA DE GENERO",IF(P155=#REF!,"IGUALDAD DE GENERO EN LA SALUD",IF(P155=#REF!,"BRIGADA DE EMERGENCIA",IF(P155=#REF!,"MANEJO DEL DOLOR Y CUIDADOS PALIATIVOS",IF(P155=#REF!,"TOMA DE MUESTRAS Y LABORATORIO POCT",IF(P155=#REF!,"IMPLANTE SUBDERMICO DE DISPOSITIVO INTRAUTERINO",IF(P155=#REF!,"SALUD MENTAL",IF(P155=#REF!,"PRIMEROS AUXILIOS PSICOLOGICOS",IF(P155=#REF!,"ATENCION A VICTIMAS POR CONFLICTO ARMADO",IF(P155=#REF!,"MANIPULACION DE ALIMENTOS Y BPM",IF(P155=#REF!,"ATENCION A PERSONAS CON DISCAPACIDAD",IF(P155=#REF!,"CUIDADO INTEGRAL DEL PACIENTE ADULTO",IF(P155=#REF!,"MANEJO DEFENSIVO",IF(P155=#REF!,"SOPORTE CARDIOVASCULAR AVANZADO NEONATAL",IF(P155=#REF!,"SEGURIDAD DEL PACIENTE",IF(P155=#REF!,"MANEJO DE RESIDUOS HOSPITALARIOS"))))))))))))))))))))))))))))))))))))</f>
        <v>#REF!</v>
      </c>
      <c r="W155" s="26" t="str">
        <f t="shared" si="9"/>
        <v>Enyi Johana Melo Rosero</v>
      </c>
      <c r="X155" s="26" t="str">
        <f t="shared" si="10"/>
        <v>Enyi Johana Melo Rosero</v>
      </c>
      <c r="Y155" s="26" t="str">
        <f t="shared" si="11"/>
        <v>Enyi Johana Melo Rosero-1004696220-DUELO</v>
      </c>
    </row>
    <row r="156" spans="1:25" x14ac:dyDescent="0.2">
      <c r="A156" s="20">
        <v>155</v>
      </c>
      <c r="B156" s="21">
        <v>1004696220</v>
      </c>
      <c r="C156" s="21" t="s">
        <v>112</v>
      </c>
      <c r="D156" s="21" t="s">
        <v>175</v>
      </c>
      <c r="E156" s="21" t="s">
        <v>359</v>
      </c>
      <c r="F156" s="21" t="s">
        <v>68</v>
      </c>
      <c r="G156" s="21">
        <v>20</v>
      </c>
      <c r="H156" s="21" t="s">
        <v>49</v>
      </c>
      <c r="I156" s="22" t="s">
        <v>376</v>
      </c>
      <c r="J156" s="22"/>
      <c r="K156" s="23">
        <v>45678</v>
      </c>
      <c r="L156" s="42">
        <v>30000</v>
      </c>
      <c r="M156" s="21" t="s">
        <v>106</v>
      </c>
      <c r="N156" s="21" t="s">
        <v>387</v>
      </c>
      <c r="O156" s="21" t="s">
        <v>95</v>
      </c>
      <c r="P156" s="21" t="s">
        <v>23</v>
      </c>
      <c r="Q156" s="22"/>
      <c r="R156" s="21" t="s">
        <v>71</v>
      </c>
      <c r="S156" s="21" t="s">
        <v>107</v>
      </c>
      <c r="T156" s="21">
        <v>322519203</v>
      </c>
      <c r="U156" s="21" t="s">
        <v>360</v>
      </c>
      <c r="V156" s="26" t="e">
        <f>IF(P156=#REF!,"DIPLOMADO EN ATENCION PRE-HOSPITALARIA",IF(P156=#REF!,"ACOMPAÑAMIENTO Y MANEJO DEL DUELO",IF(P156=#REF!,"ATENCION A VICTIMAS DE ATAQUE CON AGENTES QUIMICOS ",IF(P156=#REF!,"PRIMEROS AUXILIOS ",IF(P156=#REF!,"DIPLOMADO DE UNIDAD DE CUIDADOS INTENSIVOS (UCI)",IF(P156=#REF!,"MODELO DE ATENCION PARA EVENTOS EMERGENTES EN SALUD MENTAL (CODIGO VERDE)",IF(P156=#REF!,"HUMANIZACION EN EL SERVICIO DE LA SALUD Y BUENAS PRACTICAS EN PACIENTE ",IF(P156=#REF!,"CLINICA DE HERIDAS ",IF(P156=#REF!,"TOMA DE CITOLOGIA CERVICO VAGINAL ",IF(P156=#REF!,"SOPORTE CARDIOVASCULAR AVANZADO (ACLS) ",IF(P156=#REF!,"CAMILLERO ",IF(P156=#REF!,"TOMA DE MUESTRAS Y LABORATORIO ",IF(P156=#REF!,"SOPORTE VITAL BASICO (BLS)",IF(P156=#REF!,"ATENCION A VICTIMAS DE VIOLENCIA SEXUAL ",IF(P156=#REF!,"PROGRAMADO AMPLIADO DE INMUNIZACION (PAI - COVID 19)",IF(P156=#REF!,"ATENCION INTEGRAL EN ENFERMEDADES PREVALENTES EN PRIMERA INFANCIA (AIEPI)",IF(P156=#REF!,"ADMINISTRACION DE MEDICAMENTOS, INYECTOLOGIA  Y CANALIZACION ",IF(P156=#REF!,"OPERADOR DE VEHICULOS DE EMERGENCIA (OVE)",IF(P156=#REF!,"INSTITUCIONES AMIGAS DE LA MUJER Y LA INFANCIA (IAMI)",IF(P156=#REF!,"CUIDADO DEL DONANTE DE ORGANOS",IF(P156=#REF!,"ATENCION A VICTIMAS POR VIOLENCIA DE GENERO",IF(P156=#REF!,"IGUALDAD DE GENERO EN LA SALUD",IF(P156=#REF!,"BRIGADA DE EMERGENCIA",IF(P156=#REF!,"MANEJO DEL DOLOR Y CUIDADOS PALIATIVOS",IF(P156=#REF!,"TOMA DE MUESTRAS Y LABORATORIO POCT",IF(P156=#REF!,"IMPLANTE SUBDERMICO DE DISPOSITIVO INTRAUTERINO",IF(P156=#REF!,"SALUD MENTAL",IF(P156=#REF!,"PRIMEROS AUXILIOS PSICOLOGICOS",IF(P156=#REF!,"ATENCION A VICTIMAS POR CONFLICTO ARMADO",IF(P156=#REF!,"MANIPULACION DE ALIMENTOS Y BPM",IF(P156=#REF!,"ATENCION A PERSONAS CON DISCAPACIDAD",IF(P156=#REF!,"CUIDADO INTEGRAL DEL PACIENTE ADULTO",IF(P156=#REF!,"MANEJO DEFENSIVO",IF(P156=#REF!,"SOPORTE CARDIOVASCULAR AVANZADO NEONATAL",IF(P156=#REF!,"SEGURIDAD DEL PACIENTE",IF(P156=#REF!,"MANEJO DE RESIDUOS HOSPITALARIOS"))))))))))))))))))))))))))))))))))))</f>
        <v>#REF!</v>
      </c>
      <c r="W156" s="26" t="str">
        <f t="shared" si="9"/>
        <v>Enyi Johana Melo Rosero</v>
      </c>
      <c r="X156" s="26" t="str">
        <f t="shared" si="10"/>
        <v>Enyi Johana Melo Rosero</v>
      </c>
      <c r="Y156" s="26" t="str">
        <f t="shared" si="11"/>
        <v>Enyi Johana Melo Rosero-1004696220-HUMANIZACION</v>
      </c>
    </row>
    <row r="157" spans="1:25" x14ac:dyDescent="0.2">
      <c r="A157" s="20">
        <v>156</v>
      </c>
      <c r="B157" s="21">
        <v>1087206829</v>
      </c>
      <c r="C157" s="21" t="s">
        <v>361</v>
      </c>
      <c r="D157" s="21" t="s">
        <v>362</v>
      </c>
      <c r="E157" s="21" t="s">
        <v>273</v>
      </c>
      <c r="F157" s="21" t="s">
        <v>183</v>
      </c>
      <c r="G157" s="21">
        <v>21</v>
      </c>
      <c r="H157" s="21" t="s">
        <v>49</v>
      </c>
      <c r="I157" s="22" t="s">
        <v>376</v>
      </c>
      <c r="J157" s="22"/>
      <c r="K157" s="23">
        <v>45677</v>
      </c>
      <c r="L157" s="42">
        <v>32000</v>
      </c>
      <c r="M157" s="21" t="s">
        <v>79</v>
      </c>
      <c r="N157" s="21" t="s">
        <v>387</v>
      </c>
      <c r="O157" s="21" t="s">
        <v>69</v>
      </c>
      <c r="P157" s="21" t="s">
        <v>19</v>
      </c>
      <c r="Q157" s="22">
        <v>35390</v>
      </c>
      <c r="R157" s="21" t="s">
        <v>71</v>
      </c>
      <c r="S157" s="21" t="s">
        <v>89</v>
      </c>
      <c r="T157" s="21">
        <v>3146157724</v>
      </c>
      <c r="U157" s="21" t="s">
        <v>363</v>
      </c>
      <c r="V157" s="26" t="e">
        <f>IF(P157=#REF!,"DIPLOMADO EN ATENCION PRE-HOSPITALARIA",IF(P157=#REF!,"ACOMPAÑAMIENTO Y MANEJO DEL DUELO",IF(P157=#REF!,"ATENCION A VICTIMAS DE ATAQUE CON AGENTES QUIMICOS ",IF(P157=#REF!,"PRIMEROS AUXILIOS ",IF(P157=#REF!,"DIPLOMADO DE UNIDAD DE CUIDADOS INTENSIVOS (UCI)",IF(P157=#REF!,"MODELO DE ATENCION PARA EVENTOS EMERGENTES EN SALUD MENTAL (CODIGO VERDE)",IF(P157=#REF!,"HUMANIZACION EN EL SERVICIO DE LA SALUD Y BUENAS PRACTICAS EN PACIENTE ",IF(P157=#REF!,"CLINICA DE HERIDAS ",IF(P157=#REF!,"TOMA DE CITOLOGIA CERVICO VAGINAL ",IF(P157=#REF!,"SOPORTE CARDIOVASCULAR AVANZADO (ACLS) ",IF(P157=#REF!,"CAMILLERO ",IF(P157=#REF!,"TOMA DE MUESTRAS Y LABORATORIO ",IF(P157=#REF!,"SOPORTE VITAL BASICO (BLS)",IF(P157=#REF!,"ATENCION A VICTIMAS DE VIOLENCIA SEXUAL ",IF(P157=#REF!,"PROGRAMADO AMPLIADO DE INMUNIZACION (PAI - COVID 19)",IF(P157=#REF!,"ATENCION INTEGRAL EN ENFERMEDADES PREVALENTES EN PRIMERA INFANCIA (AIEPI)",IF(P157=#REF!,"ADMINISTRACION DE MEDICAMENTOS, INYECTOLOGIA  Y CANALIZACION ",IF(P157=#REF!,"OPERADOR DE VEHICULOS DE EMERGENCIA (OVE)",IF(P157=#REF!,"INSTITUCIONES AMIGAS DE LA MUJER Y LA INFANCIA (IAMI)",IF(P157=#REF!,"CUIDADO DEL DONANTE DE ORGANOS",IF(P157=#REF!,"ATENCION A VICTIMAS POR VIOLENCIA DE GENERO",IF(P157=#REF!,"IGUALDAD DE GENERO EN LA SALUD",IF(P157=#REF!,"BRIGADA DE EMERGENCIA",IF(P157=#REF!,"MANEJO DEL DOLOR Y CUIDADOS PALIATIVOS",IF(P157=#REF!,"TOMA DE MUESTRAS Y LABORATORIO POCT",IF(P157=#REF!,"IMPLANTE SUBDERMICO DE DISPOSITIVO INTRAUTERINO",IF(P157=#REF!,"SALUD MENTAL",IF(P157=#REF!,"PRIMEROS AUXILIOS PSICOLOGICOS",IF(P157=#REF!,"ATENCION A VICTIMAS POR CONFLICTO ARMADO",IF(P157=#REF!,"MANIPULACION DE ALIMENTOS Y BPM",IF(P157=#REF!,"ATENCION A PERSONAS CON DISCAPACIDAD",IF(P157=#REF!,"CUIDADO INTEGRAL DEL PACIENTE ADULTO",IF(P157=#REF!,"MANEJO DEFENSIVO",IF(P157=#REF!,"SOPORTE CARDIOVASCULAR AVANZADO NEONATAL",IF(P157=#REF!,"SEGURIDAD DEL PACIENTE",IF(P157=#REF!,"MANEJO DE RESIDUOS HOSPITALARIOS"))))))))))))))))))))))))))))))))))))</f>
        <v>#REF!</v>
      </c>
      <c r="W157" s="26" t="str">
        <f t="shared" si="9"/>
        <v>Ana Maria Hurtado Cantin</v>
      </c>
      <c r="X157" s="26" t="str">
        <f t="shared" si="10"/>
        <v>Ana Maria Hurtado Cantin</v>
      </c>
      <c r="Y157" s="26" t="str">
        <f t="shared" si="11"/>
        <v>Ana Maria Hurtado Cantin-1087206829-BLS</v>
      </c>
    </row>
    <row r="158" spans="1:25" x14ac:dyDescent="0.2">
      <c r="A158" s="36">
        <v>157</v>
      </c>
      <c r="B158" s="37">
        <v>1004616597</v>
      </c>
      <c r="C158" s="37" t="s">
        <v>362</v>
      </c>
      <c r="D158" s="37" t="s">
        <v>364</v>
      </c>
      <c r="E158" s="37" t="s">
        <v>365</v>
      </c>
      <c r="F158" s="37" t="s">
        <v>366</v>
      </c>
      <c r="G158" s="37">
        <v>21</v>
      </c>
      <c r="H158" s="37" t="s">
        <v>49</v>
      </c>
      <c r="I158" s="38" t="s">
        <v>376</v>
      </c>
      <c r="J158" s="38"/>
      <c r="K158" s="39">
        <v>45677</v>
      </c>
      <c r="L158" s="44">
        <v>32000</v>
      </c>
      <c r="M158" s="37" t="s">
        <v>79</v>
      </c>
      <c r="N158" s="37" t="s">
        <v>387</v>
      </c>
      <c r="O158" s="37" t="s">
        <v>69</v>
      </c>
      <c r="P158" s="37" t="s">
        <v>19</v>
      </c>
      <c r="Q158" s="38">
        <v>36368</v>
      </c>
      <c r="R158" s="37" t="s">
        <v>70</v>
      </c>
      <c r="S158" s="37" t="s">
        <v>89</v>
      </c>
      <c r="T158" s="37">
        <v>3104749048</v>
      </c>
      <c r="U158" s="37" t="s">
        <v>367</v>
      </c>
      <c r="V158" s="41" t="e">
        <f>IF(P158=#REF!,"DIPLOMADO EN ATENCION PRE-HOSPITALARIA",IF(P158=#REF!,"ACOMPAÑAMIENTO Y MANEJO DEL DUELO",IF(P158=#REF!,"ATENCION A VICTIMAS DE ATAQUE CON AGENTES QUIMICOS ",IF(P158=#REF!,"PRIMEROS AUXILIOS ",IF(P158=#REF!,"DIPLOMADO DE UNIDAD DE CUIDADOS INTENSIVOS (UCI)",IF(P158=#REF!,"MODELO DE ATENCION PARA EVENTOS EMERGENTES EN SALUD MENTAL (CODIGO VERDE)",IF(P158=#REF!,"HUMANIZACION EN EL SERVICIO DE LA SALUD Y BUENAS PRACTICAS EN PACIENTE ",IF(P158=#REF!,"CLINICA DE HERIDAS ",IF(P158=#REF!,"TOMA DE CITOLOGIA CERVICO VAGINAL ",IF(P158=#REF!,"SOPORTE CARDIOVASCULAR AVANZADO (ACLS) ",IF(P158=#REF!,"CAMILLERO ",IF(P158=#REF!,"TOMA DE MUESTRAS Y LABORATORIO ",IF(P158=#REF!,"SOPORTE VITAL BASICO (BLS)",IF(P158=#REF!,"ATENCION A VICTIMAS DE VIOLENCIA SEXUAL ",IF(P158=#REF!,"PROGRAMADO AMPLIADO DE INMUNIZACION (PAI - COVID 19)",IF(P158=#REF!,"ATENCION INTEGRAL EN ENFERMEDADES PREVALENTES EN PRIMERA INFANCIA (AIEPI)",IF(P158=#REF!,"ADMINISTRACION DE MEDICAMENTOS, INYECTOLOGIA  Y CANALIZACION ",IF(P158=#REF!,"OPERADOR DE VEHICULOS DE EMERGENCIA (OVE)",IF(P158=#REF!,"INSTITUCIONES AMIGAS DE LA MUJER Y LA INFANCIA (IAMI)",IF(P158=#REF!,"CUIDADO DEL DONANTE DE ORGANOS",IF(P158=#REF!,"ATENCION A VICTIMAS POR VIOLENCIA DE GENERO",IF(P158=#REF!,"IGUALDAD DE GENERO EN LA SALUD",IF(P158=#REF!,"BRIGADA DE EMERGENCIA",IF(P158=#REF!,"MANEJO DEL DOLOR Y CUIDADOS PALIATIVOS",IF(P158=#REF!,"TOMA DE MUESTRAS Y LABORATORIO POCT",IF(P158=#REF!,"IMPLANTE SUBDERMICO DE DISPOSITIVO INTRAUTERINO",IF(P158=#REF!,"SALUD MENTAL",IF(P158=#REF!,"PRIMEROS AUXILIOS PSICOLOGICOS",IF(P158=#REF!,"ATENCION A VICTIMAS POR CONFLICTO ARMADO",IF(P158=#REF!,"MANIPULACION DE ALIMENTOS Y BPM",IF(P158=#REF!,"ATENCION A PERSONAS CON DISCAPACIDAD",IF(P158=#REF!,"CUIDADO INTEGRAL DEL PACIENTE ADULTO",IF(P158=#REF!,"MANEJO DEFENSIVO",IF(P158=#REF!,"SOPORTE CARDIOVASCULAR AVANZADO NEONATAL",IF(P158=#REF!,"SEGURIDAD DEL PACIENTE",IF(P158=#REF!,"MANEJO DE RESIDUOS HOSPITALARIOS"))))))))))))))))))))))))))))))))))))</f>
        <v>#REF!</v>
      </c>
      <c r="W158" s="41" t="str">
        <f t="shared" si="9"/>
        <v>Julio Cristian Cantin Castillo</v>
      </c>
      <c r="X158" s="41" t="str">
        <f t="shared" si="10"/>
        <v>Julio Cristian Cantin Castillo</v>
      </c>
      <c r="Y158" s="41" t="str">
        <f t="shared" si="11"/>
        <v>Julio Cristian Cantin Castillo-1004616597-BLS</v>
      </c>
    </row>
    <row r="159" spans="1:25" s="19" customFormat="1" x14ac:dyDescent="0.2">
      <c r="A159" s="20">
        <v>158</v>
      </c>
      <c r="B159" s="21">
        <v>1087111886</v>
      </c>
      <c r="C159" s="21" t="s">
        <v>74</v>
      </c>
      <c r="D159" s="21" t="s">
        <v>169</v>
      </c>
      <c r="E159" s="21" t="s">
        <v>368</v>
      </c>
      <c r="F159" s="21" t="s">
        <v>369</v>
      </c>
      <c r="G159" s="21">
        <v>21</v>
      </c>
      <c r="H159" s="21" t="s">
        <v>49</v>
      </c>
      <c r="I159" s="22" t="s">
        <v>376</v>
      </c>
      <c r="J159" s="22"/>
      <c r="K159" s="23">
        <v>45677</v>
      </c>
      <c r="L159" s="42">
        <v>32000</v>
      </c>
      <c r="M159" s="21" t="s">
        <v>79</v>
      </c>
      <c r="N159" s="21" t="s">
        <v>387</v>
      </c>
      <c r="O159" s="21" t="s">
        <v>69</v>
      </c>
      <c r="P159" s="21" t="s">
        <v>19</v>
      </c>
      <c r="Q159" s="22">
        <v>31160</v>
      </c>
      <c r="R159" s="21" t="s">
        <v>70</v>
      </c>
      <c r="S159" s="21" t="s">
        <v>96</v>
      </c>
      <c r="T159" s="21">
        <v>3166200979</v>
      </c>
      <c r="U159" s="21" t="s">
        <v>370</v>
      </c>
      <c r="V159" s="26" t="e">
        <f>IF(P159=#REF!,"DIPLOMADO EN ATENCION PRE-HOSPITALARIA",IF(P159=#REF!,"ACOMPAÑAMIENTO Y MANEJO DEL DUELO",IF(P159=#REF!,"ATENCION A VICTIMAS DE ATAQUE CON AGENTES QUIMICOS ",IF(P159=#REF!,"PRIMEROS AUXILIOS ",IF(P159=#REF!,"DIPLOMADO DE UNIDAD DE CUIDADOS INTENSIVOS (UCI)",IF(P159=#REF!,"MODELO DE ATENCION PARA EVENTOS EMERGENTES EN SALUD MENTAL (CODIGO VERDE)",IF(P159=#REF!,"HUMANIZACION EN EL SERVICIO DE LA SALUD Y BUENAS PRACTICAS EN PACIENTE ",IF(P159=#REF!,"CLINICA DE HERIDAS ",IF(P159=#REF!,"TOMA DE CITOLOGIA CERVICO VAGINAL ",IF(P159=#REF!,"SOPORTE CARDIOVASCULAR AVANZADO (ACLS) ",IF(P159=#REF!,"CAMILLERO ",IF(P159=#REF!,"TOMA DE MUESTRAS Y LABORATORIO ",IF(P159=#REF!,"SOPORTE VITAL BASICO (BLS)",IF(P159=#REF!,"ATENCION A VICTIMAS DE VIOLENCIA SEXUAL ",IF(P159=#REF!,"PROGRAMADO AMPLIADO DE INMUNIZACION (PAI - COVID 19)",IF(P159=#REF!,"ATENCION INTEGRAL EN ENFERMEDADES PREVALENTES EN PRIMERA INFANCIA (AIEPI)",IF(P159=#REF!,"ADMINISTRACION DE MEDICAMENTOS, INYECTOLOGIA  Y CANALIZACION ",IF(P159=#REF!,"OPERADOR DE VEHICULOS DE EMERGENCIA (OVE)",IF(P159=#REF!,"INSTITUCIONES AMIGAS DE LA MUJER Y LA INFANCIA (IAMI)",IF(P159=#REF!,"CUIDADO DEL DONANTE DE ORGANOS",IF(P159=#REF!,"ATENCION A VICTIMAS POR VIOLENCIA DE GENERO",IF(P159=#REF!,"IGUALDAD DE GENERO EN LA SALUD",IF(P159=#REF!,"BRIGADA DE EMERGENCIA",IF(P159=#REF!,"MANEJO DEL DOLOR Y CUIDADOS PALIATIVOS",IF(P159=#REF!,"TOMA DE MUESTRAS Y LABORATORIO POCT",IF(P159=#REF!,"IMPLANTE SUBDERMICO DE DISPOSITIVO INTRAUTERINO",IF(P159=#REF!,"SALUD MENTAL",IF(P159=#REF!,"PRIMEROS AUXILIOS PSICOLOGICOS",IF(P159=#REF!,"ATENCION A VICTIMAS POR CONFLICTO ARMADO",IF(P159=#REF!,"MANIPULACION DE ALIMENTOS Y BPM",IF(P159=#REF!,"ATENCION A PERSONAS CON DISCAPACIDAD",IF(P159=#REF!,"CUIDADO INTEGRAL DEL PACIENTE ADULTO",IF(P159=#REF!,"MANEJO DEFENSIVO",IF(P159=#REF!,"SOPORTE CARDIOVASCULAR AVANZADO NEONATAL",IF(P159=#REF!,"SEGURIDAD DEL PACIENTE",IF(P159=#REF!,"MANEJO DE RESIDUOS HOSPITALARIOS"))))))))))))))))))))))))))))))))))))</f>
        <v>#REF!</v>
      </c>
      <c r="W159" s="26" t="str">
        <f t="shared" si="9"/>
        <v>Manuel Fernando Arboleda Caicedo</v>
      </c>
      <c r="X159" s="26" t="str">
        <f t="shared" si="10"/>
        <v>Manuel Fernando Arboleda Caicedo</v>
      </c>
      <c r="Y159" s="26" t="str">
        <f t="shared" si="11"/>
        <v>Manuel Fernando Arboleda Caicedo-1087111886-BLS</v>
      </c>
    </row>
    <row r="160" spans="1:25" s="19" customFormat="1" x14ac:dyDescent="0.2">
      <c r="A160" s="20">
        <v>159</v>
      </c>
      <c r="B160" s="21">
        <v>1087131025</v>
      </c>
      <c r="C160" s="21" t="s">
        <v>371</v>
      </c>
      <c r="D160" s="21" t="s">
        <v>372</v>
      </c>
      <c r="E160" s="21" t="s">
        <v>373</v>
      </c>
      <c r="F160" s="21"/>
      <c r="G160" s="21">
        <v>21</v>
      </c>
      <c r="H160" s="21" t="s">
        <v>49</v>
      </c>
      <c r="I160" s="22" t="s">
        <v>376</v>
      </c>
      <c r="J160" s="22"/>
      <c r="K160" s="23">
        <v>45677</v>
      </c>
      <c r="L160" s="42">
        <v>32000</v>
      </c>
      <c r="M160" s="21" t="s">
        <v>79</v>
      </c>
      <c r="N160" s="21" t="s">
        <v>387</v>
      </c>
      <c r="O160" s="21" t="s">
        <v>69</v>
      </c>
      <c r="P160" s="21" t="s">
        <v>19</v>
      </c>
      <c r="Q160" s="22">
        <v>33061</v>
      </c>
      <c r="R160" s="21" t="s">
        <v>71</v>
      </c>
      <c r="S160" s="21" t="s">
        <v>374</v>
      </c>
      <c r="T160" s="21">
        <v>3183742690</v>
      </c>
      <c r="U160" s="21" t="s">
        <v>375</v>
      </c>
      <c r="V160" s="26" t="e">
        <f>IF(P160=#REF!,"DIPLOMADO EN ATENCION PRE-HOSPITALARIA",IF(P160=#REF!,"ACOMPAÑAMIENTO Y MANEJO DEL DUELO",IF(P160=#REF!,"ATENCION A VICTIMAS DE ATAQUE CON AGENTES QUIMICOS ",IF(P160=#REF!,"PRIMEROS AUXILIOS ",IF(P160=#REF!,"DIPLOMADO DE UNIDAD DE CUIDADOS INTENSIVOS (UCI)",IF(P160=#REF!,"MODELO DE ATENCION PARA EVENTOS EMERGENTES EN SALUD MENTAL (CODIGO VERDE)",IF(P160=#REF!,"HUMANIZACION EN EL SERVICIO DE LA SALUD Y BUENAS PRACTICAS EN PACIENTE ",IF(P160=#REF!,"CLINICA DE HERIDAS ",IF(P160=#REF!,"TOMA DE CITOLOGIA CERVICO VAGINAL ",IF(P160=#REF!,"SOPORTE CARDIOVASCULAR AVANZADO (ACLS) ",IF(P160=#REF!,"CAMILLERO ",IF(P160=#REF!,"TOMA DE MUESTRAS Y LABORATORIO ",IF(P160=#REF!,"SOPORTE VITAL BASICO (BLS)",IF(P160=#REF!,"ATENCION A VICTIMAS DE VIOLENCIA SEXUAL ",IF(P160=#REF!,"PROGRAMADO AMPLIADO DE INMUNIZACION (PAI - COVID 19)",IF(P160=#REF!,"ATENCION INTEGRAL EN ENFERMEDADES PREVALENTES EN PRIMERA INFANCIA (AIEPI)",IF(P160=#REF!,"ADMINISTRACION DE MEDICAMENTOS, INYECTOLOGIA  Y CANALIZACION ",IF(P160=#REF!,"OPERADOR DE VEHICULOS DE EMERGENCIA (OVE)",IF(P160=#REF!,"INSTITUCIONES AMIGAS DE LA MUJER Y LA INFANCIA (IAMI)",IF(P160=#REF!,"CUIDADO DEL DONANTE DE ORGANOS",IF(P160=#REF!,"ATENCION A VICTIMAS POR VIOLENCIA DE GENERO",IF(P160=#REF!,"IGUALDAD DE GENERO EN LA SALUD",IF(P160=#REF!,"BRIGADA DE EMERGENCIA",IF(P160=#REF!,"MANEJO DEL DOLOR Y CUIDADOS PALIATIVOS",IF(P160=#REF!,"TOMA DE MUESTRAS Y LABORATORIO POCT",IF(P160=#REF!,"IMPLANTE SUBDERMICO DE DISPOSITIVO INTRAUTERINO",IF(P160=#REF!,"SALUD MENTAL",IF(P160=#REF!,"PRIMEROS AUXILIOS PSICOLOGICOS",IF(P160=#REF!,"ATENCION A VICTIMAS POR CONFLICTO ARMADO",IF(P160=#REF!,"MANIPULACION DE ALIMENTOS Y BPM",IF(P160=#REF!,"ATENCION A PERSONAS CON DISCAPACIDAD",IF(P160=#REF!,"CUIDADO INTEGRAL DEL PACIENTE ADULTO",IF(P160=#REF!,"MANEJO DEFENSIVO",IF(P160=#REF!,"SOPORTE CARDIOVASCULAR AVANZADO NEONATAL",IF(P160=#REF!,"SEGURIDAD DEL PACIENTE",IF(P160=#REF!,"MANEJO DE RESIDUOS HOSPITALARIOS"))))))))))))))))))))))))))))))))))))</f>
        <v>#REF!</v>
      </c>
      <c r="W160" s="26" t="str">
        <f t="shared" si="9"/>
        <v>Graciela  Quintero Marquinez</v>
      </c>
      <c r="X160" s="26" t="str">
        <f t="shared" si="10"/>
        <v>Graciela  Quintero Marquinez</v>
      </c>
      <c r="Y160" s="26" t="str">
        <f t="shared" si="11"/>
        <v>Graciela  Quintero Marquinez-1087131025-BLS</v>
      </c>
    </row>
    <row r="161" spans="1:25" s="19" customFormat="1" x14ac:dyDescent="0.2">
      <c r="A161" s="20">
        <v>160</v>
      </c>
      <c r="B161" s="21">
        <v>59794536</v>
      </c>
      <c r="C161" s="21" t="s">
        <v>334</v>
      </c>
      <c r="D161" s="21" t="s">
        <v>378</v>
      </c>
      <c r="E161" s="21" t="s">
        <v>379</v>
      </c>
      <c r="F161" s="21"/>
      <c r="G161" s="21">
        <v>21</v>
      </c>
      <c r="H161" s="21" t="s">
        <v>49</v>
      </c>
      <c r="I161" s="22" t="s">
        <v>376</v>
      </c>
      <c r="J161" s="22"/>
      <c r="K161" s="23">
        <v>45678</v>
      </c>
      <c r="L161" s="42">
        <v>30000</v>
      </c>
      <c r="M161" s="21" t="s">
        <v>106</v>
      </c>
      <c r="N161" s="21" t="s">
        <v>387</v>
      </c>
      <c r="O161" s="21" t="s">
        <v>95</v>
      </c>
      <c r="P161" s="21" t="s">
        <v>23</v>
      </c>
      <c r="Q161" s="22">
        <v>25884</v>
      </c>
      <c r="R161" s="21" t="s">
        <v>71</v>
      </c>
      <c r="S161" s="25" t="s">
        <v>107</v>
      </c>
      <c r="T161" s="21">
        <v>3177393758</v>
      </c>
      <c r="U161" s="21" t="s">
        <v>380</v>
      </c>
      <c r="V161" s="26" t="e">
        <f>IF(P161=#REF!,"DIPLOMADO EN ATENCION PRE-HOSPITALARIA",IF(P161=#REF!,"ACOMPAÑAMIENTO Y MANEJO DEL DUELO",IF(P161=#REF!,"ATENCION A VICTIMAS DE ATAQUE CON AGENTES QUIMICOS ",IF(P161=#REF!,"PRIMEROS AUXILIOS ",IF(P161=#REF!,"DIPLOMADO DE UNIDAD DE CUIDADOS INTENSIVOS (UCI)",IF(P161=#REF!,"MODELO DE ATENCION PARA EVENTOS EMERGENTES EN SALUD MENTAL (CODIGO VERDE)",IF(P161=#REF!,"HUMANIZACION EN EL SERVICIO DE LA SALUD Y BUENAS PRACTICAS EN PACIENTE ",IF(P161=#REF!,"CLINICA DE HERIDAS ",IF(P161=#REF!,"TOMA DE CITOLOGIA CERVICO VAGINAL ",IF(P161=#REF!,"SOPORTE CARDIOVASCULAR AVANZADO (ACLS) ",IF(P161=#REF!,"CAMILLERO ",IF(P161=#REF!,"TOMA DE MUESTRAS Y LABORATORIO ",IF(P161=#REF!,"SOPORTE VITAL BASICO (BLS)",IF(P161=#REF!,"ATENCION A VICTIMAS DE VIOLENCIA SEXUAL ",IF(P161=#REF!,"PROGRAMADO AMPLIADO DE INMUNIZACION (PAI - COVID 19)",IF(P161=#REF!,"ATENCION INTEGRAL EN ENFERMEDADES PREVALENTES EN PRIMERA INFANCIA (AIEPI)",IF(P161=#REF!,"ADMINISTRACION DE MEDICAMENTOS, INYECTOLOGIA  Y CANALIZACION ",IF(P161=#REF!,"OPERADOR DE VEHICULOS DE EMERGENCIA (OVE)",IF(P161=#REF!,"INSTITUCIONES AMIGAS DE LA MUJER Y LA INFANCIA (IAMI)",IF(P161=#REF!,"CUIDADO DEL DONANTE DE ORGANOS",IF(P161=#REF!,"ATENCION A VICTIMAS POR VIOLENCIA DE GENERO",IF(P161=#REF!,"IGUALDAD DE GENERO EN LA SALUD",IF(P161=#REF!,"BRIGADA DE EMERGENCIA",IF(P161=#REF!,"MANEJO DEL DOLOR Y CUIDADOS PALIATIVOS",IF(P161=#REF!,"TOMA DE MUESTRAS Y LABORATORIO POCT",IF(P161=#REF!,"IMPLANTE SUBDERMICO DE DISPOSITIVO INTRAUTERINO",IF(P161=#REF!,"SALUD MENTAL",IF(P161=#REF!,"PRIMEROS AUXILIOS PSICOLOGICOS",IF(P161=#REF!,"ATENCION A VICTIMAS POR CONFLICTO ARMADO",IF(P161=#REF!,"MANIPULACION DE ALIMENTOS Y BPM",IF(P161=#REF!,"ATENCION A PERSONAS CON DISCAPACIDAD",IF(P161=#REF!,"CUIDADO INTEGRAL DEL PACIENTE ADULTO",IF(P161=#REF!,"MANEJO DEFENSIVO",IF(P161=#REF!,"SOPORTE CARDIOVASCULAR AVANZADO NEONATAL",IF(P161=#REF!,"SEGURIDAD DEL PACIENTE",IF(P161=#REF!,"MANEJO DE RESIDUOS HOSPITALARIOS"))))))))))))))))))))))))))))))))))))</f>
        <v>#REF!</v>
      </c>
      <c r="W161" s="26" t="str">
        <f t="shared" si="9"/>
        <v>Edilma  Yela Guerron</v>
      </c>
      <c r="X161" s="26" t="str">
        <f t="shared" si="10"/>
        <v>Edilma  Yela Guerron</v>
      </c>
      <c r="Y161" s="26" t="str">
        <f t="shared" si="11"/>
        <v>Edilma  Yela Guerron-59794536-HUMANIZACION</v>
      </c>
    </row>
    <row r="162" spans="1:25" s="19" customFormat="1" x14ac:dyDescent="0.2">
      <c r="A162" s="20">
        <v>161</v>
      </c>
      <c r="B162" s="21">
        <v>1085316072</v>
      </c>
      <c r="C162" s="21" t="s">
        <v>381</v>
      </c>
      <c r="D162" s="21" t="s">
        <v>382</v>
      </c>
      <c r="E162" s="21" t="s">
        <v>383</v>
      </c>
      <c r="F162" s="21" t="s">
        <v>384</v>
      </c>
      <c r="G162" s="21">
        <v>17</v>
      </c>
      <c r="H162" s="21" t="s">
        <v>49</v>
      </c>
      <c r="I162" s="22" t="s">
        <v>376</v>
      </c>
      <c r="J162" s="22"/>
      <c r="K162" s="23">
        <v>45678</v>
      </c>
      <c r="L162" s="42">
        <v>84000</v>
      </c>
      <c r="M162" s="21" t="s">
        <v>133</v>
      </c>
      <c r="N162" s="21" t="s">
        <v>387</v>
      </c>
      <c r="O162" s="21" t="s">
        <v>69</v>
      </c>
      <c r="P162" s="21" t="s">
        <v>24</v>
      </c>
      <c r="Q162" s="22">
        <v>34608</v>
      </c>
      <c r="R162" s="21" t="s">
        <v>70</v>
      </c>
      <c r="S162" s="63" t="s">
        <v>83</v>
      </c>
      <c r="T162" s="21">
        <v>3145704964</v>
      </c>
      <c r="U162" s="21" t="s">
        <v>385</v>
      </c>
      <c r="V162" s="26" t="e">
        <f>IF(P162=#REF!,"DIPLOMADO EN ATENCION PRE-HOSPITALARIA",IF(P162=#REF!,"ACOMPAÑAMIENTO Y MANEJO DEL DUELO",IF(P162=#REF!,"ATENCION A VICTIMAS DE ATAQUE CON AGENTES QUIMICOS ",IF(P162=#REF!,"PRIMEROS AUXILIOS ",IF(P162=#REF!,"DIPLOMADO DE UNIDAD DE CUIDADOS INTENSIVOS (UCI)",IF(P162=#REF!,"MODELO DE ATENCION PARA EVENTOS EMERGENTES EN SALUD MENTAL (CODIGO VERDE)",IF(P162=#REF!,"HUMANIZACION EN EL SERVICIO DE LA SALUD Y BUENAS PRACTICAS EN PACIENTE ",IF(P162=#REF!,"CLINICA DE HERIDAS ",IF(P162=#REF!,"TOMA DE CITOLOGIA CERVICO VAGINAL ",IF(P162=#REF!,"SOPORTE CARDIOVASCULAR AVANZADO (ACLS) ",IF(P162=#REF!,"CAMILLERO ",IF(P162=#REF!,"TOMA DE MUESTRAS Y LABORATORIO ",IF(P162=#REF!,"SOPORTE VITAL BASICO (BLS)",IF(P162=#REF!,"ATENCION A VICTIMAS DE VIOLENCIA SEXUAL ",IF(P162=#REF!,"PROGRAMADO AMPLIADO DE INMUNIZACION (PAI - COVID 19)",IF(P162=#REF!,"ATENCION INTEGRAL EN ENFERMEDADES PREVALENTES EN PRIMERA INFANCIA (AIEPI)",IF(P162=#REF!,"ADMINISTRACION DE MEDICAMENTOS, INYECTOLOGIA  Y CANALIZACION ",IF(P162=#REF!,"OPERADOR DE VEHICULOS DE EMERGENCIA (OVE)",IF(P162=#REF!,"INSTITUCIONES AMIGAS DE LA MUJER Y LA INFANCIA (IAMI)",IF(P162=#REF!,"CUIDADO DEL DONANTE DE ORGANOS",IF(P162=#REF!,"ATENCION A VICTIMAS POR VIOLENCIA DE GENERO",IF(P162=#REF!,"IGUALDAD DE GENERO EN LA SALUD",IF(P162=#REF!,"BRIGADA DE EMERGENCIA",IF(P162=#REF!,"MANEJO DEL DOLOR Y CUIDADOS PALIATIVOS",IF(P162=#REF!,"TOMA DE MUESTRAS Y LABORATORIO POCT",IF(P162=#REF!,"IMPLANTE SUBDERMICO DE DISPOSITIVO INTRAUTERINO",IF(P162=#REF!,"SALUD MENTAL",IF(P162=#REF!,"PRIMEROS AUXILIOS PSICOLOGICOS",IF(P162=#REF!,"ATENCION A VICTIMAS POR CONFLICTO ARMADO",IF(P162=#REF!,"MANIPULACION DE ALIMENTOS Y BPM",IF(P162=#REF!,"ATENCION A PERSONAS CON DISCAPACIDAD",IF(P162=#REF!,"CUIDADO INTEGRAL DEL PACIENTE ADULTO",IF(P162=#REF!,"MANEJO DEFENSIVO",IF(P162=#REF!,"SOPORTE CARDIOVASCULAR AVANZADO NEONATAL",IF(P162=#REF!,"SEGURIDAD DEL PACIENTE",IF(P162=#REF!,"MANEJO DE RESIDUOS HOSPITALARIOS"))))))))))))))))))))))))))))))))))))</f>
        <v>#REF!</v>
      </c>
      <c r="W162" s="26" t="str">
        <f t="shared" si="9"/>
        <v>David German Pasuy Leon</v>
      </c>
      <c r="X162" s="26" t="str">
        <f t="shared" si="10"/>
        <v>David German Pasuy Leon</v>
      </c>
      <c r="Y162" s="26" t="str">
        <f t="shared" si="11"/>
        <v>David German Pasuy Leon-1085316072-ACLS</v>
      </c>
    </row>
    <row r="163" spans="1:25" s="19" customFormat="1" x14ac:dyDescent="0.2">
      <c r="A163" s="20">
        <v>162</v>
      </c>
      <c r="B163" s="21">
        <v>1085316072</v>
      </c>
      <c r="C163" s="21" t="s">
        <v>381</v>
      </c>
      <c r="D163" s="21" t="s">
        <v>382</v>
      </c>
      <c r="E163" s="21" t="s">
        <v>383</v>
      </c>
      <c r="F163" s="21" t="s">
        <v>384</v>
      </c>
      <c r="G163" s="21">
        <v>17</v>
      </c>
      <c r="H163" s="21" t="s">
        <v>49</v>
      </c>
      <c r="I163" s="22" t="s">
        <v>376</v>
      </c>
      <c r="J163" s="22"/>
      <c r="K163" s="23">
        <v>45678</v>
      </c>
      <c r="L163" s="42">
        <v>20000</v>
      </c>
      <c r="M163" s="21" t="s">
        <v>133</v>
      </c>
      <c r="N163" s="21" t="s">
        <v>387</v>
      </c>
      <c r="O163" s="21" t="s">
        <v>69</v>
      </c>
      <c r="P163" s="21" t="s">
        <v>19</v>
      </c>
      <c r="Q163" s="22">
        <v>34608</v>
      </c>
      <c r="R163" s="21" t="s">
        <v>70</v>
      </c>
      <c r="S163" s="63" t="s">
        <v>83</v>
      </c>
      <c r="T163" s="21">
        <v>3145704964</v>
      </c>
      <c r="U163" s="21" t="s">
        <v>385</v>
      </c>
      <c r="V163" s="26" t="e">
        <f>IF(P163=#REF!,"DIPLOMADO EN ATENCION PRE-HOSPITALARIA",IF(P163=#REF!,"ACOMPAÑAMIENTO Y MANEJO DEL DUELO",IF(P163=#REF!,"ATENCION A VICTIMAS DE ATAQUE CON AGENTES QUIMICOS ",IF(P163=#REF!,"PRIMEROS AUXILIOS ",IF(P163=#REF!,"DIPLOMADO DE UNIDAD DE CUIDADOS INTENSIVOS (UCI)",IF(P163=#REF!,"MODELO DE ATENCION PARA EVENTOS EMERGENTES EN SALUD MENTAL (CODIGO VERDE)",IF(P163=#REF!,"HUMANIZACION EN EL SERVICIO DE LA SALUD Y BUENAS PRACTICAS EN PACIENTE ",IF(P163=#REF!,"CLINICA DE HERIDAS ",IF(P163=#REF!,"TOMA DE CITOLOGIA CERVICO VAGINAL ",IF(P163=#REF!,"SOPORTE CARDIOVASCULAR AVANZADO (ACLS) ",IF(P163=#REF!,"CAMILLERO ",IF(P163=#REF!,"TOMA DE MUESTRAS Y LABORATORIO ",IF(P163=#REF!,"SOPORTE VITAL BASICO (BLS)",IF(P163=#REF!,"ATENCION A VICTIMAS DE VIOLENCIA SEXUAL ",IF(P163=#REF!,"PROGRAMADO AMPLIADO DE INMUNIZACION (PAI - COVID 19)",IF(P163=#REF!,"ATENCION INTEGRAL EN ENFERMEDADES PREVALENTES EN PRIMERA INFANCIA (AIEPI)",IF(P163=#REF!,"ADMINISTRACION DE MEDICAMENTOS, INYECTOLOGIA  Y CANALIZACION ",IF(P163=#REF!,"OPERADOR DE VEHICULOS DE EMERGENCIA (OVE)",IF(P163=#REF!,"INSTITUCIONES AMIGAS DE LA MUJER Y LA INFANCIA (IAMI)",IF(P163=#REF!,"CUIDADO DEL DONANTE DE ORGANOS",IF(P163=#REF!,"ATENCION A VICTIMAS POR VIOLENCIA DE GENERO",IF(P163=#REF!,"IGUALDAD DE GENERO EN LA SALUD",IF(P163=#REF!,"BRIGADA DE EMERGENCIA",IF(P163=#REF!,"MANEJO DEL DOLOR Y CUIDADOS PALIATIVOS",IF(P163=#REF!,"TOMA DE MUESTRAS Y LABORATORIO POCT",IF(P163=#REF!,"IMPLANTE SUBDERMICO DE DISPOSITIVO INTRAUTERINO",IF(P163=#REF!,"SALUD MENTAL",IF(P163=#REF!,"PRIMEROS AUXILIOS PSICOLOGICOS",IF(P163=#REF!,"ATENCION A VICTIMAS POR CONFLICTO ARMADO",IF(P163=#REF!,"MANIPULACION DE ALIMENTOS Y BPM",IF(P163=#REF!,"ATENCION A PERSONAS CON DISCAPACIDAD",IF(P163=#REF!,"CUIDADO INTEGRAL DEL PACIENTE ADULTO",IF(P163=#REF!,"MANEJO DEFENSIVO",IF(P163=#REF!,"SOPORTE CARDIOVASCULAR AVANZADO NEONATAL",IF(P163=#REF!,"SEGURIDAD DEL PACIENTE",IF(P163=#REF!,"MANEJO DE RESIDUOS HOSPITALARIOS"))))))))))))))))))))))))))))))))))))</f>
        <v>#REF!</v>
      </c>
      <c r="W163" s="26" t="str">
        <f t="shared" si="9"/>
        <v>David German Pasuy Leon</v>
      </c>
      <c r="X163" s="26" t="str">
        <f t="shared" si="10"/>
        <v>David German Pasuy Leon</v>
      </c>
      <c r="Y163" s="26" t="str">
        <f t="shared" si="11"/>
        <v>David German Pasuy Leon-1085316072-BLS</v>
      </c>
    </row>
    <row r="164" spans="1:25" s="19" customFormat="1" x14ac:dyDescent="0.2">
      <c r="A164" s="20">
        <v>163</v>
      </c>
      <c r="B164" s="21">
        <v>1085316072</v>
      </c>
      <c r="C164" s="21" t="s">
        <v>381</v>
      </c>
      <c r="D164" s="21" t="s">
        <v>382</v>
      </c>
      <c r="E164" s="21" t="s">
        <v>383</v>
      </c>
      <c r="F164" s="21" t="s">
        <v>384</v>
      </c>
      <c r="G164" s="21">
        <v>18</v>
      </c>
      <c r="H164" s="21" t="s">
        <v>49</v>
      </c>
      <c r="I164" s="22" t="s">
        <v>376</v>
      </c>
      <c r="J164" s="22"/>
      <c r="K164" s="23">
        <v>45678</v>
      </c>
      <c r="L164" s="42">
        <v>32000</v>
      </c>
      <c r="M164" s="21" t="s">
        <v>133</v>
      </c>
      <c r="N164" s="21" t="s">
        <v>387</v>
      </c>
      <c r="O164" s="21" t="s">
        <v>69</v>
      </c>
      <c r="P164" s="21" t="s">
        <v>21</v>
      </c>
      <c r="Q164" s="22">
        <v>34608</v>
      </c>
      <c r="R164" s="21" t="s">
        <v>70</v>
      </c>
      <c r="S164" s="63" t="s">
        <v>83</v>
      </c>
      <c r="T164" s="21">
        <v>3145704964</v>
      </c>
      <c r="U164" s="21" t="s">
        <v>385</v>
      </c>
      <c r="V164" s="26" t="e">
        <f>IF(P164=#REF!,"DIPLOMADO EN ATENCION PRE-HOSPITALARIA",IF(P164=#REF!,"ACOMPAÑAMIENTO Y MANEJO DEL DUELO",IF(P164=#REF!,"ATENCION A VICTIMAS DE ATAQUE CON AGENTES QUIMICOS ",IF(P164=#REF!,"PRIMEROS AUXILIOS ",IF(P164=#REF!,"DIPLOMADO DE UNIDAD DE CUIDADOS INTENSIVOS (UCI)",IF(P164=#REF!,"MODELO DE ATENCION PARA EVENTOS EMERGENTES EN SALUD MENTAL (CODIGO VERDE)",IF(P164=#REF!,"HUMANIZACION EN EL SERVICIO DE LA SALUD Y BUENAS PRACTICAS EN PACIENTE ",IF(P164=#REF!,"CLINICA DE HERIDAS ",IF(P164=#REF!,"TOMA DE CITOLOGIA CERVICO VAGINAL ",IF(P164=#REF!,"SOPORTE CARDIOVASCULAR AVANZADO (ACLS) ",IF(P164=#REF!,"CAMILLERO ",IF(P164=#REF!,"TOMA DE MUESTRAS Y LABORATORIO ",IF(P164=#REF!,"SOPORTE VITAL BASICO (BLS)",IF(P164=#REF!,"ATENCION A VICTIMAS DE VIOLENCIA SEXUAL ",IF(P164=#REF!,"PROGRAMADO AMPLIADO DE INMUNIZACION (PAI - COVID 19)",IF(P164=#REF!,"ATENCION INTEGRAL EN ENFERMEDADES PREVALENTES EN PRIMERA INFANCIA (AIEPI)",IF(P164=#REF!,"ADMINISTRACION DE MEDICAMENTOS, INYECTOLOGIA  Y CANALIZACION ",IF(P164=#REF!,"OPERADOR DE VEHICULOS DE EMERGENCIA (OVE)",IF(P164=#REF!,"INSTITUCIONES AMIGAS DE LA MUJER Y LA INFANCIA (IAMI)",IF(P164=#REF!,"CUIDADO DEL DONANTE DE ORGANOS",IF(P164=#REF!,"ATENCION A VICTIMAS POR VIOLENCIA DE GENERO",IF(P164=#REF!,"IGUALDAD DE GENERO EN LA SALUD",IF(P164=#REF!,"BRIGADA DE EMERGENCIA",IF(P164=#REF!,"MANEJO DEL DOLOR Y CUIDADOS PALIATIVOS",IF(P164=#REF!,"TOMA DE MUESTRAS Y LABORATORIO POCT",IF(P164=#REF!,"IMPLANTE SUBDERMICO DE DISPOSITIVO INTRAUTERINO",IF(P164=#REF!,"SALUD MENTAL",IF(P164=#REF!,"PRIMEROS AUXILIOS PSICOLOGICOS",IF(P164=#REF!,"ATENCION A VICTIMAS POR CONFLICTO ARMADO",IF(P164=#REF!,"MANIPULACION DE ALIMENTOS Y BPM",IF(P164=#REF!,"ATENCION A PERSONAS CON DISCAPACIDAD",IF(P164=#REF!,"CUIDADO INTEGRAL DEL PACIENTE ADULTO",IF(P164=#REF!,"MANEJO DEFENSIVO",IF(P164=#REF!,"SOPORTE CARDIOVASCULAR AVANZADO NEONATAL",IF(P164=#REF!,"SEGURIDAD DEL PACIENTE",IF(P164=#REF!,"MANEJO DE RESIDUOS HOSPITALARIOS"))))))))))))))))))))))))))))))))))))</f>
        <v>#REF!</v>
      </c>
      <c r="W164" s="26" t="str">
        <f t="shared" si="9"/>
        <v>David German Pasuy Leon</v>
      </c>
      <c r="X164" s="26" t="str">
        <f t="shared" si="10"/>
        <v>David German Pasuy Leon</v>
      </c>
      <c r="Y164" s="26" t="str">
        <f t="shared" si="11"/>
        <v>David German Pasuy Leon-1085316072-QUIMICOS</v>
      </c>
    </row>
    <row r="165" spans="1:25" s="19" customFormat="1" x14ac:dyDescent="0.2">
      <c r="A165" s="20">
        <v>164</v>
      </c>
      <c r="B165" s="21">
        <v>1085316072</v>
      </c>
      <c r="C165" s="21" t="s">
        <v>381</v>
      </c>
      <c r="D165" s="21" t="s">
        <v>382</v>
      </c>
      <c r="E165" s="21" t="s">
        <v>383</v>
      </c>
      <c r="F165" s="21" t="s">
        <v>384</v>
      </c>
      <c r="G165" s="21">
        <v>20</v>
      </c>
      <c r="H165" s="21" t="s">
        <v>49</v>
      </c>
      <c r="I165" s="22" t="s">
        <v>376</v>
      </c>
      <c r="J165" s="22"/>
      <c r="K165" s="23">
        <v>45678</v>
      </c>
      <c r="L165" s="42">
        <v>32000</v>
      </c>
      <c r="M165" s="21" t="s">
        <v>133</v>
      </c>
      <c r="N165" s="21" t="s">
        <v>387</v>
      </c>
      <c r="O165" s="21" t="s">
        <v>69</v>
      </c>
      <c r="P165" s="21" t="s">
        <v>27</v>
      </c>
      <c r="Q165" s="22">
        <v>34608</v>
      </c>
      <c r="R165" s="21" t="s">
        <v>70</v>
      </c>
      <c r="S165" s="63" t="s">
        <v>83</v>
      </c>
      <c r="T165" s="21">
        <v>3145704964</v>
      </c>
      <c r="U165" s="21" t="s">
        <v>385</v>
      </c>
      <c r="V165" s="26" t="e">
        <f>IF(P165=#REF!,"DIPLOMADO EN ATENCION PRE-HOSPITALARIA",IF(P165=#REF!,"ACOMPAÑAMIENTO Y MANEJO DEL DUELO",IF(P165=#REF!,"ATENCION A VICTIMAS DE ATAQUE CON AGENTES QUIMICOS ",IF(P165=#REF!,"PRIMEROS AUXILIOS ",IF(P165=#REF!,"DIPLOMADO DE UNIDAD DE CUIDADOS INTENSIVOS (UCI)",IF(P165=#REF!,"MODELO DE ATENCION PARA EVENTOS EMERGENTES EN SALUD MENTAL (CODIGO VERDE)",IF(P165=#REF!,"HUMANIZACION EN EL SERVICIO DE LA SALUD Y BUENAS PRACTICAS EN PACIENTE ",IF(P165=#REF!,"CLINICA DE HERIDAS ",IF(P165=#REF!,"TOMA DE CITOLOGIA CERVICO VAGINAL ",IF(P165=#REF!,"SOPORTE CARDIOVASCULAR AVANZADO (ACLS) ",IF(P165=#REF!,"CAMILLERO ",IF(P165=#REF!,"TOMA DE MUESTRAS Y LABORATORIO ",IF(P165=#REF!,"SOPORTE VITAL BASICO (BLS)",IF(P165=#REF!,"ATENCION A VICTIMAS DE VIOLENCIA SEXUAL ",IF(P165=#REF!,"PROGRAMADO AMPLIADO DE INMUNIZACION (PAI - COVID 19)",IF(P165=#REF!,"ATENCION INTEGRAL EN ENFERMEDADES PREVALENTES EN PRIMERA INFANCIA (AIEPI)",IF(P165=#REF!,"ADMINISTRACION DE MEDICAMENTOS, INYECTOLOGIA  Y CANALIZACION ",IF(P165=#REF!,"OPERADOR DE VEHICULOS DE EMERGENCIA (OVE)",IF(P165=#REF!,"INSTITUCIONES AMIGAS DE LA MUJER Y LA INFANCIA (IAMI)",IF(P165=#REF!,"CUIDADO DEL DONANTE DE ORGANOS",IF(P165=#REF!,"ATENCION A VICTIMAS POR VIOLENCIA DE GENERO",IF(P165=#REF!,"IGUALDAD DE GENERO EN LA SALUD",IF(P165=#REF!,"BRIGADA DE EMERGENCIA",IF(P165=#REF!,"MANEJO DEL DOLOR Y CUIDADOS PALIATIVOS",IF(P165=#REF!,"TOMA DE MUESTRAS Y LABORATORIO POCT",IF(P165=#REF!,"IMPLANTE SUBDERMICO DE DISPOSITIVO INTRAUTERINO",IF(P165=#REF!,"SALUD MENTAL",IF(P165=#REF!,"PRIMEROS AUXILIOS PSICOLOGICOS",IF(P165=#REF!,"ATENCION A VICTIMAS POR CONFLICTO ARMADO",IF(P165=#REF!,"MANIPULACION DE ALIMENTOS Y BPM",IF(P165=#REF!,"ATENCION A PERSONAS CON DISCAPACIDAD",IF(P165=#REF!,"CUIDADO INTEGRAL DEL PACIENTE ADULTO",IF(P165=#REF!,"MANEJO DEFENSIVO",IF(P165=#REF!,"SOPORTE CARDIOVASCULAR AVANZADO NEONATAL",IF(P165=#REF!,"SEGURIDAD DEL PACIENTE",IF(P165=#REF!,"MANEJO DE RESIDUOS HOSPITALARIOS"))))))))))))))))))))))))))))))))))))</f>
        <v>#REF!</v>
      </c>
      <c r="W165" s="26" t="str">
        <f t="shared" si="9"/>
        <v>David German Pasuy Leon</v>
      </c>
      <c r="X165" s="26" t="str">
        <f t="shared" si="10"/>
        <v>David German Pasuy Leon</v>
      </c>
      <c r="Y165" s="26" t="str">
        <f t="shared" si="11"/>
        <v>David German Pasuy Leon-1085316072-VIOLENCIA SEXUAL</v>
      </c>
    </row>
    <row r="166" spans="1:25" s="19" customFormat="1" x14ac:dyDescent="0.2">
      <c r="A166" s="20">
        <v>165</v>
      </c>
      <c r="B166" s="21">
        <v>1085316072</v>
      </c>
      <c r="C166" s="21" t="s">
        <v>381</v>
      </c>
      <c r="D166" s="21" t="s">
        <v>382</v>
      </c>
      <c r="E166" s="21" t="s">
        <v>383</v>
      </c>
      <c r="F166" s="21" t="s">
        <v>384</v>
      </c>
      <c r="G166" s="21">
        <v>21</v>
      </c>
      <c r="H166" s="21" t="s">
        <v>49</v>
      </c>
      <c r="I166" s="22" t="s">
        <v>376</v>
      </c>
      <c r="J166" s="22"/>
      <c r="K166" s="23">
        <v>45678</v>
      </c>
      <c r="L166" s="42">
        <v>32000</v>
      </c>
      <c r="M166" s="21" t="s">
        <v>133</v>
      </c>
      <c r="N166" s="21" t="s">
        <v>387</v>
      </c>
      <c r="O166" s="21" t="s">
        <v>69</v>
      </c>
      <c r="P166" s="21" t="s">
        <v>23</v>
      </c>
      <c r="Q166" s="22">
        <v>34608</v>
      </c>
      <c r="R166" s="21" t="s">
        <v>70</v>
      </c>
      <c r="S166" s="63" t="s">
        <v>83</v>
      </c>
      <c r="T166" s="21">
        <v>3145704964</v>
      </c>
      <c r="U166" s="21" t="s">
        <v>385</v>
      </c>
      <c r="V166" s="26" t="e">
        <f>IF(P166=#REF!,"DIPLOMADO EN ATENCION PRE-HOSPITALARIA",IF(P166=#REF!,"ACOMPAÑAMIENTO Y MANEJO DEL DUELO",IF(P166=#REF!,"ATENCION A VICTIMAS DE ATAQUE CON AGENTES QUIMICOS ",IF(P166=#REF!,"PRIMEROS AUXILIOS ",IF(P166=#REF!,"DIPLOMADO DE UNIDAD DE CUIDADOS INTENSIVOS (UCI)",IF(P166=#REF!,"MODELO DE ATENCION PARA EVENTOS EMERGENTES EN SALUD MENTAL (CODIGO VERDE)",IF(P166=#REF!,"HUMANIZACION EN EL SERVICIO DE LA SALUD Y BUENAS PRACTICAS EN PACIENTE ",IF(P166=#REF!,"CLINICA DE HERIDAS ",IF(P166=#REF!,"TOMA DE CITOLOGIA CERVICO VAGINAL ",IF(P166=#REF!,"SOPORTE CARDIOVASCULAR AVANZADO (ACLS) ",IF(P166=#REF!,"CAMILLERO ",IF(P166=#REF!,"TOMA DE MUESTRAS Y LABORATORIO ",IF(P166=#REF!,"SOPORTE VITAL BASICO (BLS)",IF(P166=#REF!,"ATENCION A VICTIMAS DE VIOLENCIA SEXUAL ",IF(P166=#REF!,"PROGRAMADO AMPLIADO DE INMUNIZACION (PAI - COVID 19)",IF(P166=#REF!,"ATENCION INTEGRAL EN ENFERMEDADES PREVALENTES EN PRIMERA INFANCIA (AIEPI)",IF(P166=#REF!,"ADMINISTRACION DE MEDICAMENTOS, INYECTOLOGIA  Y CANALIZACION ",IF(P166=#REF!,"OPERADOR DE VEHICULOS DE EMERGENCIA (OVE)",IF(P166=#REF!,"INSTITUCIONES AMIGAS DE LA MUJER Y LA INFANCIA (IAMI)",IF(P166=#REF!,"CUIDADO DEL DONANTE DE ORGANOS",IF(P166=#REF!,"ATENCION A VICTIMAS POR VIOLENCIA DE GENERO",IF(P166=#REF!,"IGUALDAD DE GENERO EN LA SALUD",IF(P166=#REF!,"BRIGADA DE EMERGENCIA",IF(P166=#REF!,"MANEJO DEL DOLOR Y CUIDADOS PALIATIVOS",IF(P166=#REF!,"TOMA DE MUESTRAS Y LABORATORIO POCT",IF(P166=#REF!,"IMPLANTE SUBDERMICO DE DISPOSITIVO INTRAUTERINO",IF(P166=#REF!,"SALUD MENTAL",IF(P166=#REF!,"PRIMEROS AUXILIOS PSICOLOGICOS",IF(P166=#REF!,"ATENCION A VICTIMAS POR CONFLICTO ARMADO",IF(P166=#REF!,"MANIPULACION DE ALIMENTOS Y BPM",IF(P166=#REF!,"ATENCION A PERSONAS CON DISCAPACIDAD",IF(P166=#REF!,"CUIDADO INTEGRAL DEL PACIENTE ADULTO",IF(P166=#REF!,"MANEJO DEFENSIVO",IF(P166=#REF!,"SOPORTE CARDIOVASCULAR AVANZADO NEONATAL",IF(P166=#REF!,"SEGURIDAD DEL PACIENTE",IF(P166=#REF!,"MANEJO DE RESIDUOS HOSPITALARIOS"))))))))))))))))))))))))))))))))))))</f>
        <v>#REF!</v>
      </c>
      <c r="W166" s="26" t="str">
        <f t="shared" si="9"/>
        <v>David German Pasuy Leon</v>
      </c>
      <c r="X166" s="26" t="str">
        <f t="shared" si="10"/>
        <v>David German Pasuy Leon</v>
      </c>
      <c r="Y166" s="26" t="str">
        <f t="shared" si="11"/>
        <v>David German Pasuy Leon-1085316072-HUMANIZACION</v>
      </c>
    </row>
    <row r="167" spans="1:25" x14ac:dyDescent="0.2">
      <c r="A167" s="36">
        <v>166</v>
      </c>
      <c r="B167" s="37">
        <v>1086104848</v>
      </c>
      <c r="C167" s="37" t="s">
        <v>389</v>
      </c>
      <c r="D167" s="37" t="s">
        <v>390</v>
      </c>
      <c r="E167" s="37" t="s">
        <v>391</v>
      </c>
      <c r="F167" s="37" t="s">
        <v>339</v>
      </c>
      <c r="G167" s="37">
        <v>21</v>
      </c>
      <c r="H167" s="37" t="s">
        <v>49</v>
      </c>
      <c r="I167" s="38" t="s">
        <v>376</v>
      </c>
      <c r="J167" s="38"/>
      <c r="K167" s="39">
        <v>45678</v>
      </c>
      <c r="L167" s="44">
        <v>40000</v>
      </c>
      <c r="M167" s="37" t="s">
        <v>79</v>
      </c>
      <c r="N167" s="37" t="s">
        <v>387</v>
      </c>
      <c r="O167" s="37" t="s">
        <v>77</v>
      </c>
      <c r="P167" s="37" t="s">
        <v>19</v>
      </c>
      <c r="Q167" s="38">
        <v>33549</v>
      </c>
      <c r="R167" s="37" t="s">
        <v>71</v>
      </c>
      <c r="S167" s="64" t="s">
        <v>107</v>
      </c>
      <c r="T167" s="37">
        <v>3135210039</v>
      </c>
      <c r="U167" s="37" t="s">
        <v>392</v>
      </c>
      <c r="V167" s="41" t="e">
        <f>IF(P167=#REF!,"DIPLOMADO EN ATENCION PRE-HOSPITALARIA",IF(P167=#REF!,"ACOMPAÑAMIENTO Y MANEJO DEL DUELO",IF(P167=#REF!,"ATENCION A VICTIMAS DE ATAQUE CON AGENTES QUIMICOS ",IF(P167=#REF!,"PRIMEROS AUXILIOS ",IF(P167=#REF!,"DIPLOMADO DE UNIDAD DE CUIDADOS INTENSIVOS (UCI)",IF(P167=#REF!,"MODELO DE ATENCION PARA EVENTOS EMERGENTES EN SALUD MENTAL (CODIGO VERDE)",IF(P167=#REF!,"HUMANIZACION EN EL SERVICIO DE LA SALUD Y BUENAS PRACTICAS EN PACIENTE ",IF(P167=#REF!,"CLINICA DE HERIDAS ",IF(P167=#REF!,"TOMA DE CITOLOGIA CERVICO VAGINAL ",IF(P167=#REF!,"SOPORTE CARDIOVASCULAR AVANZADO (ACLS) ",IF(P167=#REF!,"CAMILLERO ",IF(P167=#REF!,"TOMA DE MUESTRAS Y LABORATORIO ",IF(P167=#REF!,"SOPORTE VITAL BASICO (BLS)",IF(P167=#REF!,"ATENCION A VICTIMAS DE VIOLENCIA SEXUAL ",IF(P167=#REF!,"PROGRAMADO AMPLIADO DE INMUNIZACION (PAI - COVID 19)",IF(P167=#REF!,"ATENCION INTEGRAL EN ENFERMEDADES PREVALENTES EN PRIMERA INFANCIA (AIEPI)",IF(P167=#REF!,"ADMINISTRACION DE MEDICAMENTOS, INYECTOLOGIA  Y CANALIZACION ",IF(P167=#REF!,"OPERADOR DE VEHICULOS DE EMERGENCIA (OVE)",IF(P167=#REF!,"INSTITUCIONES AMIGAS DE LA MUJER Y LA INFANCIA (IAMI)",IF(P167=#REF!,"CUIDADO DEL DONANTE DE ORGANOS",IF(P167=#REF!,"ATENCION A VICTIMAS POR VIOLENCIA DE GENERO",IF(P167=#REF!,"IGUALDAD DE GENERO EN LA SALUD",IF(P167=#REF!,"BRIGADA DE EMERGENCIA",IF(P167=#REF!,"MANEJO DEL DOLOR Y CUIDADOS PALIATIVOS",IF(P167=#REF!,"TOMA DE MUESTRAS Y LABORATORIO POCT",IF(P167=#REF!,"IMPLANTE SUBDERMICO DE DISPOSITIVO INTRAUTERINO",IF(P167=#REF!,"SALUD MENTAL",IF(P167=#REF!,"PRIMEROS AUXILIOS PSICOLOGICOS",IF(P167=#REF!,"ATENCION A VICTIMAS POR CONFLICTO ARMADO",IF(P167=#REF!,"MANIPULACION DE ALIMENTOS Y BPM",IF(P167=#REF!,"ATENCION A PERSONAS CON DISCAPACIDAD",IF(P167=#REF!,"CUIDADO INTEGRAL DEL PACIENTE ADULTO",IF(P167=#REF!,"MANEJO DEFENSIVO",IF(P167=#REF!,"SOPORTE CARDIOVASCULAR AVANZADO NEONATAL",IF(P167=#REF!,"SEGURIDAD DEL PACIENTE",IF(P167=#REF!,"MANEJO DE RESIDUOS HOSPITALARIOS"))))))))))))))))))))))))))))))))))))</f>
        <v>#REF!</v>
      </c>
      <c r="W167" s="41" t="str">
        <f t="shared" si="9"/>
        <v>Claudia Patricia Reyes Pazmiño</v>
      </c>
      <c r="X167" s="41" t="str">
        <f t="shared" si="10"/>
        <v>Claudia Patricia Reyes Pazmiño</v>
      </c>
      <c r="Y167" s="41" t="str">
        <f t="shared" si="11"/>
        <v>Claudia Patricia Reyes Pazmiño-1086104848-BLS</v>
      </c>
    </row>
    <row r="168" spans="1:25" s="19" customFormat="1" x14ac:dyDescent="0.2">
      <c r="A168" s="20">
        <v>167</v>
      </c>
      <c r="B168" s="21">
        <v>1004610016</v>
      </c>
      <c r="C168" s="21" t="s">
        <v>395</v>
      </c>
      <c r="D168" s="21" t="s">
        <v>393</v>
      </c>
      <c r="E168" s="21" t="s">
        <v>394</v>
      </c>
      <c r="F168" s="21"/>
      <c r="G168" s="21">
        <v>22</v>
      </c>
      <c r="H168" s="21" t="s">
        <v>49</v>
      </c>
      <c r="I168" s="22" t="s">
        <v>376</v>
      </c>
      <c r="J168" s="22"/>
      <c r="K168" s="23">
        <v>45679</v>
      </c>
      <c r="L168" s="42">
        <v>32000</v>
      </c>
      <c r="M168" s="21" t="s">
        <v>79</v>
      </c>
      <c r="N168" s="21" t="s">
        <v>387</v>
      </c>
      <c r="O168" s="21" t="s">
        <v>69</v>
      </c>
      <c r="P168" s="21" t="s">
        <v>19</v>
      </c>
      <c r="Q168" s="22">
        <v>34449</v>
      </c>
      <c r="R168" s="21" t="s">
        <v>71</v>
      </c>
      <c r="S168" s="28" t="s">
        <v>107</v>
      </c>
      <c r="T168" s="21">
        <v>3154398908</v>
      </c>
      <c r="U168" s="21" t="s">
        <v>397</v>
      </c>
      <c r="V168" s="26" t="e">
        <f>IF(P168=#REF!,"DIPLOMADO EN ATENCION PRE-HOSPITALARIA",IF(P168=#REF!,"ACOMPAÑAMIENTO Y MANEJO DEL DUELO",IF(P168=#REF!,"ATENCION A VICTIMAS DE ATAQUE CON AGENTES QUIMICOS ",IF(P168=#REF!,"PRIMEROS AUXILIOS ",IF(P168=#REF!,"DIPLOMADO DE UNIDAD DE CUIDADOS INTENSIVOS (UCI)",IF(P168=#REF!,"MODELO DE ATENCION PARA EVENTOS EMERGENTES EN SALUD MENTAL (CODIGO VERDE)",IF(P168=#REF!,"HUMANIZACION EN EL SERVICIO DE LA SALUD Y BUENAS PRACTICAS EN PACIENTE ",IF(P168=#REF!,"CLINICA DE HERIDAS ",IF(P168=#REF!,"TOMA DE CITOLOGIA CERVICO VAGINAL ",IF(P168=#REF!,"SOPORTE CARDIOVASCULAR AVANZADO (ACLS) ",IF(P168=#REF!,"CAMILLERO ",IF(P168=#REF!,"TOMA DE MUESTRAS Y LABORATORIO ",IF(P168=#REF!,"SOPORTE VITAL BASICO (BLS)",IF(P168=#REF!,"ATENCION A VICTIMAS DE VIOLENCIA SEXUAL ",IF(P168=#REF!,"PROGRAMADO AMPLIADO DE INMUNIZACION (PAI - COVID 19)",IF(P168=#REF!,"ATENCION INTEGRAL EN ENFERMEDADES PREVALENTES EN PRIMERA INFANCIA (AIEPI)",IF(P168=#REF!,"ADMINISTRACION DE MEDICAMENTOS, INYECTOLOGIA  Y CANALIZACION ",IF(P168=#REF!,"OPERADOR DE VEHICULOS DE EMERGENCIA (OVE)",IF(P168=#REF!,"INSTITUCIONES AMIGAS DE LA MUJER Y LA INFANCIA (IAMI)",IF(P168=#REF!,"CUIDADO DEL DONANTE DE ORGANOS",IF(P168=#REF!,"ATENCION A VICTIMAS POR VIOLENCIA DE GENERO",IF(P168=#REF!,"IGUALDAD DE GENERO EN LA SALUD",IF(P168=#REF!,"BRIGADA DE EMERGENCIA",IF(P168=#REF!,"MANEJO DEL DOLOR Y CUIDADOS PALIATIVOS",IF(P168=#REF!,"TOMA DE MUESTRAS Y LABORATORIO POCT",IF(P168=#REF!,"IMPLANTE SUBDERMICO DE DISPOSITIVO INTRAUTERINO",IF(P168=#REF!,"SALUD MENTAL",IF(P168=#REF!,"PRIMEROS AUXILIOS PSICOLOGICOS",IF(P168=#REF!,"ATENCION A VICTIMAS POR CONFLICTO ARMADO",IF(P168=#REF!,"MANIPULACION DE ALIMENTOS Y BPM",IF(P168=#REF!,"ATENCION A PERSONAS CON DISCAPACIDAD",IF(P168=#REF!,"CUIDADO INTEGRAL DEL PACIENTE ADULTO",IF(P168=#REF!,"MANEJO DEFENSIVO",IF(P168=#REF!,"SOPORTE CARDIOVASCULAR AVANZADO NEONATAL",IF(P168=#REF!,"SEGURIDAD DEL PACIENTE",IF(P168=#REF!,"MANEJO DE RESIDUOS HOSPITALARIOS"))))))))))))))))))))))))))))))))))))</f>
        <v>#REF!</v>
      </c>
      <c r="W168" s="26" t="str">
        <f t="shared" si="9"/>
        <v>Miladys  Quiñones Cuero</v>
      </c>
      <c r="X168" s="26" t="str">
        <f t="shared" si="10"/>
        <v>Miladys  Quiñones Cuero</v>
      </c>
      <c r="Y168" s="26" t="str">
        <f t="shared" si="11"/>
        <v>Miladys  Quiñones Cuero-1004610016-BLS</v>
      </c>
    </row>
    <row r="169" spans="1:25" s="19" customFormat="1" x14ac:dyDescent="0.2">
      <c r="A169" s="20">
        <v>168</v>
      </c>
      <c r="B169" s="21">
        <v>1004610016</v>
      </c>
      <c r="C169" s="21" t="s">
        <v>395</v>
      </c>
      <c r="D169" s="21" t="s">
        <v>393</v>
      </c>
      <c r="E169" s="21" t="s">
        <v>394</v>
      </c>
      <c r="F169" s="21"/>
      <c r="G169" s="21">
        <v>21</v>
      </c>
      <c r="H169" s="21" t="s">
        <v>49</v>
      </c>
      <c r="I169" s="22" t="s">
        <v>376</v>
      </c>
      <c r="J169" s="22"/>
      <c r="K169" s="23">
        <v>45679</v>
      </c>
      <c r="L169" s="42">
        <v>32000</v>
      </c>
      <c r="M169" s="21" t="s">
        <v>79</v>
      </c>
      <c r="N169" s="21" t="s">
        <v>387</v>
      </c>
      <c r="O169" s="21" t="s">
        <v>69</v>
      </c>
      <c r="P169" s="21" t="s">
        <v>29</v>
      </c>
      <c r="Q169" s="22">
        <v>34449</v>
      </c>
      <c r="R169" s="21" t="s">
        <v>71</v>
      </c>
      <c r="S169" s="28" t="s">
        <v>107</v>
      </c>
      <c r="T169" s="21">
        <v>3154398908</v>
      </c>
      <c r="U169" s="21" t="s">
        <v>397</v>
      </c>
      <c r="V169" s="26" t="e">
        <f>IF(P169=#REF!,"DIPLOMADO EN ATENCION PRE-HOSPITALARIA",IF(P169=#REF!,"ACOMPAÑAMIENTO Y MANEJO DEL DUELO",IF(P169=#REF!,"ATENCION A VICTIMAS DE ATAQUE CON AGENTES QUIMICOS ",IF(P169=#REF!,"PRIMEROS AUXILIOS ",IF(P169=#REF!,"DIPLOMADO DE UNIDAD DE CUIDADOS INTENSIVOS (UCI)",IF(P169=#REF!,"MODELO DE ATENCION PARA EVENTOS EMERGENTES EN SALUD MENTAL (CODIGO VERDE)",IF(P169=#REF!,"HUMANIZACION EN EL SERVICIO DE LA SALUD Y BUENAS PRACTICAS EN PACIENTE ",IF(P169=#REF!,"CLINICA DE HERIDAS ",IF(P169=#REF!,"TOMA DE CITOLOGIA CERVICO VAGINAL ",IF(P169=#REF!,"SOPORTE CARDIOVASCULAR AVANZADO (ACLS) ",IF(P169=#REF!,"CAMILLERO ",IF(P169=#REF!,"TOMA DE MUESTRAS Y LABORATORIO ",IF(P169=#REF!,"SOPORTE VITAL BASICO (BLS)",IF(P169=#REF!,"ATENCION A VICTIMAS DE VIOLENCIA SEXUAL ",IF(P169=#REF!,"PROGRAMADO AMPLIADO DE INMUNIZACION (PAI - COVID 19)",IF(P169=#REF!,"ATENCION INTEGRAL EN ENFERMEDADES PREVALENTES EN PRIMERA INFANCIA (AIEPI)",IF(P169=#REF!,"ADMINISTRACION DE MEDICAMENTOS, INYECTOLOGIA  Y CANALIZACION ",IF(P169=#REF!,"OPERADOR DE VEHICULOS DE EMERGENCIA (OVE)",IF(P169=#REF!,"INSTITUCIONES AMIGAS DE LA MUJER Y LA INFANCIA (IAMI)",IF(P169=#REF!,"CUIDADO DEL DONANTE DE ORGANOS",IF(P169=#REF!,"ATENCION A VICTIMAS POR VIOLENCIA DE GENERO",IF(P169=#REF!,"IGUALDAD DE GENERO EN LA SALUD",IF(P169=#REF!,"BRIGADA DE EMERGENCIA",IF(P169=#REF!,"MANEJO DEL DOLOR Y CUIDADOS PALIATIVOS",IF(P169=#REF!,"TOMA DE MUESTRAS Y LABORATORIO POCT",IF(P169=#REF!,"IMPLANTE SUBDERMICO DE DISPOSITIVO INTRAUTERINO",IF(P169=#REF!,"SALUD MENTAL",IF(P169=#REF!,"PRIMEROS AUXILIOS PSICOLOGICOS",IF(P169=#REF!,"ATENCION A VICTIMAS POR CONFLICTO ARMADO",IF(P169=#REF!,"MANIPULACION DE ALIMENTOS Y BPM",IF(P169=#REF!,"ATENCION A PERSONAS CON DISCAPACIDAD",IF(P169=#REF!,"CUIDADO INTEGRAL DEL PACIENTE ADULTO",IF(P169=#REF!,"MANEJO DEFENSIVO",IF(P169=#REF!,"SOPORTE CARDIOVASCULAR AVANZADO NEONATAL",IF(P169=#REF!,"SEGURIDAD DEL PACIENTE",IF(P169=#REF!,"MANEJO DE RESIDUOS HOSPITALARIOS"))))))))))))))))))))))))))))))))))))</f>
        <v>#REF!</v>
      </c>
      <c r="W169" s="26" t="str">
        <f t="shared" si="9"/>
        <v>Miladys  Quiñones Cuero</v>
      </c>
      <c r="X169" s="26" t="str">
        <f t="shared" si="10"/>
        <v>Miladys  Quiñones Cuero</v>
      </c>
      <c r="Y169" s="26" t="str">
        <f t="shared" si="11"/>
        <v>Miladys  Quiñones Cuero-1004610016-ADMON DE MEDICAMENTOS</v>
      </c>
    </row>
    <row r="170" spans="1:25" s="19" customFormat="1" x14ac:dyDescent="0.2">
      <c r="A170" s="20">
        <v>169</v>
      </c>
      <c r="B170" s="21">
        <v>1004610016</v>
      </c>
      <c r="C170" s="21" t="s">
        <v>395</v>
      </c>
      <c r="D170" s="21" t="s">
        <v>393</v>
      </c>
      <c r="E170" s="21" t="s">
        <v>394</v>
      </c>
      <c r="F170" s="21"/>
      <c r="G170" s="21">
        <v>22</v>
      </c>
      <c r="H170" s="21" t="s">
        <v>49</v>
      </c>
      <c r="I170" s="22" t="s">
        <v>376</v>
      </c>
      <c r="J170" s="22"/>
      <c r="K170" s="23">
        <v>45679</v>
      </c>
      <c r="L170" s="42">
        <v>32000</v>
      </c>
      <c r="M170" s="21" t="s">
        <v>79</v>
      </c>
      <c r="N170" s="21" t="s">
        <v>387</v>
      </c>
      <c r="O170" s="21" t="s">
        <v>69</v>
      </c>
      <c r="P170" s="21" t="s">
        <v>396</v>
      </c>
      <c r="Q170" s="22">
        <v>34449</v>
      </c>
      <c r="R170" s="21" t="s">
        <v>71</v>
      </c>
      <c r="S170" s="28" t="s">
        <v>107</v>
      </c>
      <c r="T170" s="21">
        <v>3154398908</v>
      </c>
      <c r="U170" s="21" t="s">
        <v>397</v>
      </c>
      <c r="V170" s="26" t="s">
        <v>396</v>
      </c>
      <c r="W170" s="26" t="str">
        <f t="shared" si="9"/>
        <v>Miladys  Quiñones Cuero</v>
      </c>
      <c r="X170" s="26" t="str">
        <f t="shared" si="10"/>
        <v>Miladys  Quiñones Cuero</v>
      </c>
      <c r="Y170" s="26" t="str">
        <f t="shared" si="11"/>
        <v>Miladys  Quiñones Cuero-1004610016-MANEJO DE HERIDAS</v>
      </c>
    </row>
    <row r="171" spans="1:25" x14ac:dyDescent="0.2">
      <c r="A171" s="20">
        <v>170</v>
      </c>
      <c r="B171" s="21">
        <v>1085260512</v>
      </c>
      <c r="C171" s="21" t="s">
        <v>398</v>
      </c>
      <c r="D171" s="21" t="s">
        <v>399</v>
      </c>
      <c r="E171" s="21" t="s">
        <v>400</v>
      </c>
      <c r="F171" s="21" t="s">
        <v>401</v>
      </c>
      <c r="G171" s="21">
        <v>22</v>
      </c>
      <c r="H171" s="21" t="s">
        <v>49</v>
      </c>
      <c r="I171" s="22" t="s">
        <v>376</v>
      </c>
      <c r="J171" s="22"/>
      <c r="K171" s="23">
        <v>45679</v>
      </c>
      <c r="L171" s="42">
        <v>84000</v>
      </c>
      <c r="M171" s="21" t="s">
        <v>79</v>
      </c>
      <c r="N171" s="21" t="s">
        <v>387</v>
      </c>
      <c r="O171" s="21" t="s">
        <v>69</v>
      </c>
      <c r="P171" s="21" t="s">
        <v>24</v>
      </c>
      <c r="Q171" s="22">
        <v>32000</v>
      </c>
      <c r="R171" s="21" t="s">
        <v>70</v>
      </c>
      <c r="S171" s="63" t="s">
        <v>83</v>
      </c>
      <c r="T171" s="21">
        <v>3154272134</v>
      </c>
      <c r="U171" s="21" t="s">
        <v>402</v>
      </c>
      <c r="V171" s="26" t="e">
        <f>IF(P171=#REF!,"DIPLOMADO EN ATENCION PRE-HOSPITALARIA",IF(P171=#REF!,"ACOMPAÑAMIENTO Y MANEJO DEL DUELO",IF(P171=#REF!,"ATENCION A VICTIMAS DE ATAQUE CON AGENTES QUIMICOS ",IF(P171=#REF!,"PRIMEROS AUXILIOS ",IF(P171=#REF!,"DIPLOMADO DE UNIDAD DE CUIDADOS INTENSIVOS (UCI)",IF(P171=#REF!,"MODELO DE ATENCION PARA EVENTOS EMERGENTES EN SALUD MENTAL (CODIGO VERDE)",IF(P171=#REF!,"HUMANIZACION EN EL SERVICIO DE LA SALUD Y BUENAS PRACTICAS EN PACIENTE ",IF(P171=#REF!,"CLINICA DE HERIDAS ",IF(P171=#REF!,"TOMA DE CITOLOGIA CERVICO VAGINAL ",IF(P171=#REF!,"SOPORTE CARDIOVASCULAR AVANZADO (ACLS) ",IF(P171=#REF!,"CAMILLERO ",IF(P171=#REF!,"TOMA DE MUESTRAS Y LABORATORIO ",IF(P171=#REF!,"SOPORTE VITAL BASICO (BLS)",IF(P171=#REF!,"ATENCION A VICTIMAS DE VIOLENCIA SEXUAL ",IF(P171=#REF!,"PROGRAMADO AMPLIADO DE INMUNIZACION (PAI - COVID 19)",IF(P171=#REF!,"ATENCION INTEGRAL EN ENFERMEDADES PREVALENTES EN PRIMERA INFANCIA (AIEPI)",IF(P171=#REF!,"ADMINISTRACION DE MEDICAMENTOS, INYECTOLOGIA  Y CANALIZACION ",IF(P171=#REF!,"OPERADOR DE VEHICULOS DE EMERGENCIA (OVE)",IF(P171=#REF!,"INSTITUCIONES AMIGAS DE LA MUJER Y LA INFANCIA (IAMI)",IF(P171=#REF!,"CUIDADO DEL DONANTE DE ORGANOS",IF(P171=#REF!,"ATENCION A VICTIMAS POR VIOLENCIA DE GENERO",IF(P171=#REF!,"IGUALDAD DE GENERO EN LA SALUD",IF(P171=#REF!,"BRIGADA DE EMERGENCIA",IF(P171=#REF!,"MANEJO DEL DOLOR Y CUIDADOS PALIATIVOS",IF(P171=#REF!,"TOMA DE MUESTRAS Y LABORATORIO POCT",IF(P171=#REF!,"IMPLANTE SUBDERMICO DE DISPOSITIVO INTRAUTERINO",IF(P171=#REF!,"SALUD MENTAL",IF(P171=#REF!,"PRIMEROS AUXILIOS PSICOLOGICOS",IF(P171=#REF!,"ATENCION A VICTIMAS POR CONFLICTO ARMADO",IF(P171=#REF!,"MANIPULACION DE ALIMENTOS Y BPM",IF(P171=#REF!,"ATENCION A PERSONAS CON DISCAPACIDAD",IF(P171=#REF!,"CUIDADO INTEGRAL DEL PACIENTE ADULTO",IF(P171=#REF!,"MANEJO DEFENSIVO",IF(P171=#REF!,"SOPORTE CARDIOVASCULAR AVANZADO NEONATAL",IF(P171=#REF!,"SEGURIDAD DEL PACIENTE",IF(P171=#REF!,"MANEJO DE RESIDUOS HOSPITALARIOS"))))))))))))))))))))))))))))))))))))</f>
        <v>#REF!</v>
      </c>
      <c r="W171" s="26" t="str">
        <f t="shared" si="9"/>
        <v>Hermes Ariel Paz Saavedra</v>
      </c>
      <c r="X171" s="26" t="str">
        <f t="shared" si="10"/>
        <v>Hermes Ariel Paz Saavedra</v>
      </c>
      <c r="Y171" s="26" t="str">
        <f t="shared" si="11"/>
        <v>Hermes Ariel Paz Saavedra-1085260512-ACLS</v>
      </c>
    </row>
    <row r="172" spans="1:25" x14ac:dyDescent="0.2">
      <c r="A172" s="20">
        <v>171</v>
      </c>
      <c r="B172" s="21">
        <v>1085260512</v>
      </c>
      <c r="C172" s="21" t="s">
        <v>398</v>
      </c>
      <c r="D172" s="21" t="s">
        <v>399</v>
      </c>
      <c r="E172" s="21" t="s">
        <v>400</v>
      </c>
      <c r="F172" s="21" t="s">
        <v>401</v>
      </c>
      <c r="G172" s="21">
        <v>22</v>
      </c>
      <c r="H172" s="21" t="s">
        <v>49</v>
      </c>
      <c r="I172" s="22" t="s">
        <v>376</v>
      </c>
      <c r="J172" s="22"/>
      <c r="K172" s="23">
        <v>45679</v>
      </c>
      <c r="L172" s="42">
        <v>20000</v>
      </c>
      <c r="M172" s="21" t="s">
        <v>79</v>
      </c>
      <c r="N172" s="21" t="s">
        <v>387</v>
      </c>
      <c r="O172" s="21" t="s">
        <v>69</v>
      </c>
      <c r="P172" s="21" t="s">
        <v>19</v>
      </c>
      <c r="Q172" s="22">
        <v>32000</v>
      </c>
      <c r="R172" s="21" t="s">
        <v>70</v>
      </c>
      <c r="S172" s="63" t="s">
        <v>83</v>
      </c>
      <c r="T172" s="21">
        <v>3154272134</v>
      </c>
      <c r="U172" s="21" t="s">
        <v>402</v>
      </c>
      <c r="V172" s="26" t="e">
        <f>IF(P172=#REF!,"DIPLOMADO EN ATENCION PRE-HOSPITALARIA",IF(P172=#REF!,"ACOMPAÑAMIENTO Y MANEJO DEL DUELO",IF(P172=#REF!,"ATENCION A VICTIMAS DE ATAQUE CON AGENTES QUIMICOS ",IF(P172=#REF!,"PRIMEROS AUXILIOS ",IF(P172=#REF!,"DIPLOMADO DE UNIDAD DE CUIDADOS INTENSIVOS (UCI)",IF(P172=#REF!,"MODELO DE ATENCION PARA EVENTOS EMERGENTES EN SALUD MENTAL (CODIGO VERDE)",IF(P172=#REF!,"HUMANIZACION EN EL SERVICIO DE LA SALUD Y BUENAS PRACTICAS EN PACIENTE ",IF(P172=#REF!,"CLINICA DE HERIDAS ",IF(P172=#REF!,"TOMA DE CITOLOGIA CERVICO VAGINAL ",IF(P172=#REF!,"SOPORTE CARDIOVASCULAR AVANZADO (ACLS) ",IF(P172=#REF!,"CAMILLERO ",IF(P172=#REF!,"TOMA DE MUESTRAS Y LABORATORIO ",IF(P172=#REF!,"SOPORTE VITAL BASICO (BLS)",IF(P172=#REF!,"ATENCION A VICTIMAS DE VIOLENCIA SEXUAL ",IF(P172=#REF!,"PROGRAMADO AMPLIADO DE INMUNIZACION (PAI - COVID 19)",IF(P172=#REF!,"ATENCION INTEGRAL EN ENFERMEDADES PREVALENTES EN PRIMERA INFANCIA (AIEPI)",IF(P172=#REF!,"ADMINISTRACION DE MEDICAMENTOS, INYECTOLOGIA  Y CANALIZACION ",IF(P172=#REF!,"OPERADOR DE VEHICULOS DE EMERGENCIA (OVE)",IF(P172=#REF!,"INSTITUCIONES AMIGAS DE LA MUJER Y LA INFANCIA (IAMI)",IF(P172=#REF!,"CUIDADO DEL DONANTE DE ORGANOS",IF(P172=#REF!,"ATENCION A VICTIMAS POR VIOLENCIA DE GENERO",IF(P172=#REF!,"IGUALDAD DE GENERO EN LA SALUD",IF(P172=#REF!,"BRIGADA DE EMERGENCIA",IF(P172=#REF!,"MANEJO DEL DOLOR Y CUIDADOS PALIATIVOS",IF(P172=#REF!,"TOMA DE MUESTRAS Y LABORATORIO POCT",IF(P172=#REF!,"IMPLANTE SUBDERMICO DE DISPOSITIVO INTRAUTERINO",IF(P172=#REF!,"SALUD MENTAL",IF(P172=#REF!,"PRIMEROS AUXILIOS PSICOLOGICOS",IF(P172=#REF!,"ATENCION A VICTIMAS POR CONFLICTO ARMADO",IF(P172=#REF!,"MANIPULACION DE ALIMENTOS Y BPM",IF(P172=#REF!,"ATENCION A PERSONAS CON DISCAPACIDAD",IF(P172=#REF!,"CUIDADO INTEGRAL DEL PACIENTE ADULTO",IF(P172=#REF!,"MANEJO DEFENSIVO",IF(P172=#REF!,"SOPORTE CARDIOVASCULAR AVANZADO NEONATAL",IF(P172=#REF!,"SEGURIDAD DEL PACIENTE",IF(P172=#REF!,"MANEJO DE RESIDUOS HOSPITALARIOS"))))))))))))))))))))))))))))))))))))</f>
        <v>#REF!</v>
      </c>
      <c r="W172" s="26" t="str">
        <f t="shared" si="9"/>
        <v>Hermes Ariel Paz Saavedra</v>
      </c>
      <c r="X172" s="26" t="str">
        <f t="shared" si="10"/>
        <v>Hermes Ariel Paz Saavedra</v>
      </c>
      <c r="Y172" s="26" t="str">
        <f t="shared" si="11"/>
        <v>Hermes Ariel Paz Saavedra-1085260512-BLS</v>
      </c>
    </row>
    <row r="173" spans="1:25" x14ac:dyDescent="0.2">
      <c r="A173" s="20">
        <v>172</v>
      </c>
      <c r="B173" s="21">
        <v>37082188</v>
      </c>
      <c r="C173" s="21" t="s">
        <v>227</v>
      </c>
      <c r="D173" s="21" t="s">
        <v>160</v>
      </c>
      <c r="E173" s="21" t="s">
        <v>214</v>
      </c>
      <c r="F173" s="21" t="s">
        <v>215</v>
      </c>
      <c r="G173" s="21">
        <v>23</v>
      </c>
      <c r="H173" s="21" t="s">
        <v>49</v>
      </c>
      <c r="I173" s="22" t="s">
        <v>377</v>
      </c>
      <c r="J173" s="22"/>
      <c r="K173" s="23" t="s">
        <v>427</v>
      </c>
      <c r="L173" s="24">
        <v>65000</v>
      </c>
      <c r="M173" s="21" t="s">
        <v>504</v>
      </c>
      <c r="N173" s="21" t="s">
        <v>387</v>
      </c>
      <c r="O173" s="21" t="s">
        <v>69</v>
      </c>
      <c r="P173" s="21" t="s">
        <v>29</v>
      </c>
      <c r="Q173" s="22">
        <v>30393</v>
      </c>
      <c r="R173" s="21" t="s">
        <v>71</v>
      </c>
      <c r="S173" s="63" t="s">
        <v>172</v>
      </c>
      <c r="T173" s="21">
        <v>3164712413</v>
      </c>
      <c r="U173" s="21" t="s">
        <v>403</v>
      </c>
      <c r="V173" s="26" t="e">
        <f>IF(P173=#REF!,"DIPLOMADO EN ATENCION PRE-HOSPITALARIA",IF(P173=#REF!,"ACOMPAÑAMIENTO Y MANEJO DEL DUELO",IF(P173=#REF!,"ATENCION A VICTIMAS DE ATAQUE CON AGENTES QUIMICOS ",IF(P173=#REF!,"PRIMEROS AUXILIOS ",IF(P173=#REF!,"DIPLOMADO DE UNIDAD DE CUIDADOS INTENSIVOS (UCI)",IF(P173=#REF!,"MODELO DE ATENCION PARA EVENTOS EMERGENTES EN SALUD MENTAL (CODIGO VERDE)",IF(P173=#REF!,"HUMANIZACION EN EL SERVICIO DE LA SALUD Y BUENAS PRACTICAS EN PACIENTE ",IF(P173=#REF!,"CLINICA DE HERIDAS ",IF(P173=#REF!,"TOMA DE CITOLOGIA CERVICO VAGINAL ",IF(P173=#REF!,"SOPORTE CARDIOVASCULAR AVANZADO (ACLS) ",IF(P173=#REF!,"CAMILLERO ",IF(P173=#REF!,"TOMA DE MUESTRAS Y LABORATORIO ",IF(P173=#REF!,"SOPORTE VITAL BASICO (BLS)",IF(P173=#REF!,"ATENCION A VICTIMAS DE VIOLENCIA SEXUAL ",IF(P173=#REF!,"PROGRAMADO AMPLIADO DE INMUNIZACION (PAI - COVID 19)",IF(P173=#REF!,"ATENCION INTEGRAL EN ENFERMEDADES PREVALENTES EN PRIMERA INFANCIA (AIEPI)",IF(P173=#REF!,"ADMINISTRACION DE MEDICAMENTOS, INYECTOLOGIA  Y CANALIZACION ",IF(P173=#REF!,"OPERADOR DE VEHICULOS DE EMERGENCIA (OVE)",IF(P173=#REF!,"INSTITUCIONES AMIGAS DE LA MUJER Y LA INFANCIA (IAMI)",IF(P173=#REF!,"CUIDADO DEL DONANTE DE ORGANOS",IF(P173=#REF!,"ATENCION A VICTIMAS POR VIOLENCIA DE GENERO",IF(P173=#REF!,"IGUALDAD DE GENERO EN LA SALUD",IF(P173=#REF!,"BRIGADA DE EMERGENCIA",IF(P173=#REF!,"MANEJO DEL DOLOR Y CUIDADOS PALIATIVOS",IF(P173=#REF!,"TOMA DE MUESTRAS Y LABORATORIO POCT",IF(P173=#REF!,"IMPLANTE SUBDERMICO DE DISPOSITIVO INTRAUTERINO",IF(P173=#REF!,"SALUD MENTAL",IF(P173=#REF!,"PRIMEROS AUXILIOS PSICOLOGICOS",IF(P173=#REF!,"ATENCION A VICTIMAS POR CONFLICTO ARMADO",IF(P173=#REF!,"MANIPULACION DE ALIMENTOS Y BPM",IF(P173=#REF!,"ATENCION A PERSONAS CON DISCAPACIDAD",IF(P173=#REF!,"CUIDADO INTEGRAL DEL PACIENTE ADULTO",IF(P173=#REF!,"MANEJO DEFENSIVO",IF(P173=#REF!,"SOPORTE CARDIOVASCULAR AVANZADO NEONATAL",IF(P173=#REF!,"SEGURIDAD DEL PACIENTE",IF(P173=#REF!,"MANEJO DE RESIDUOS HOSPITALARIOS"))))))))))))))))))))))))))))))))))))</f>
        <v>#REF!</v>
      </c>
      <c r="W173" s="26" t="str">
        <f t="shared" ref="W173:W236" si="12">CONCATENATE(E173," ",F173," ",C173," ",D173)</f>
        <v>Diana Carolina Guerrero Gomez</v>
      </c>
      <c r="X173" s="26" t="str">
        <f t="shared" ref="X173:X236" si="13">PROPER(W173)</f>
        <v>Diana Carolina Guerrero Gomez</v>
      </c>
      <c r="Y173" s="26" t="str">
        <f t="shared" ref="Y173:Y236" si="14">CONCATENATE(W173,"-",B173,"-",P173)</f>
        <v>Diana Carolina Guerrero Gomez-37082188-ADMON DE MEDICAMENTOS</v>
      </c>
    </row>
    <row r="174" spans="1:25" x14ac:dyDescent="0.2">
      <c r="A174" s="20">
        <v>173</v>
      </c>
      <c r="B174" s="21">
        <v>1080691265</v>
      </c>
      <c r="C174" s="21" t="s">
        <v>405</v>
      </c>
      <c r="D174" s="21" t="s">
        <v>404</v>
      </c>
      <c r="E174" s="21" t="s">
        <v>406</v>
      </c>
      <c r="F174" s="21" t="s">
        <v>82</v>
      </c>
      <c r="G174" s="21">
        <v>27</v>
      </c>
      <c r="H174" s="21" t="s">
        <v>49</v>
      </c>
      <c r="I174" s="22" t="s">
        <v>377</v>
      </c>
      <c r="J174" s="22"/>
      <c r="K174" s="23" t="s">
        <v>498</v>
      </c>
      <c r="L174" s="24">
        <v>65000</v>
      </c>
      <c r="M174" s="21" t="s">
        <v>133</v>
      </c>
      <c r="N174" s="21" t="s">
        <v>387</v>
      </c>
      <c r="O174" s="21" t="s">
        <v>69</v>
      </c>
      <c r="P174" s="21" t="s">
        <v>29</v>
      </c>
      <c r="Q174" s="22">
        <v>38353</v>
      </c>
      <c r="R174" s="21" t="s">
        <v>71</v>
      </c>
      <c r="S174" s="28" t="s">
        <v>107</v>
      </c>
      <c r="T174" s="21">
        <v>3128535804</v>
      </c>
      <c r="U174" s="27" t="s">
        <v>407</v>
      </c>
      <c r="V174" s="26" t="e">
        <f>IF(P174=#REF!,"DIPLOMADO EN ATENCION PRE-HOSPITALARIA",IF(P174=#REF!,"ACOMPAÑAMIENTO Y MANEJO DEL DUELO",IF(P174=#REF!,"ATENCION A VICTIMAS DE ATAQUE CON AGENTES QUIMICOS ",IF(P174=#REF!,"PRIMEROS AUXILIOS ",IF(P174=#REF!,"DIPLOMADO DE UNIDAD DE CUIDADOS INTENSIVOS (UCI)",IF(P174=#REF!,"MODELO DE ATENCION PARA EVENTOS EMERGENTES EN SALUD MENTAL (CODIGO VERDE)",IF(P174=#REF!,"HUMANIZACION EN EL SERVICIO DE LA SALUD Y BUENAS PRACTICAS EN PACIENTE ",IF(P174=#REF!,"CLINICA DE HERIDAS ",IF(P174=#REF!,"TOMA DE CITOLOGIA CERVICO VAGINAL ",IF(P174=#REF!,"SOPORTE CARDIOVASCULAR AVANZADO (ACLS) ",IF(P174=#REF!,"CAMILLERO ",IF(P174=#REF!,"TOMA DE MUESTRAS Y LABORATORIO ",IF(P174=#REF!,"SOPORTE VITAL BASICO (BLS)",IF(P174=#REF!,"ATENCION A VICTIMAS DE VIOLENCIA SEXUAL ",IF(P174=#REF!,"PROGRAMADO AMPLIADO DE INMUNIZACION (PAI - COVID 19)",IF(P174=#REF!,"ATENCION INTEGRAL EN ENFERMEDADES PREVALENTES EN PRIMERA INFANCIA (AIEPI)",IF(P174=#REF!,"ADMINISTRACION DE MEDICAMENTOS, INYECTOLOGIA  Y CANALIZACION ",IF(P174=#REF!,"OPERADOR DE VEHICULOS DE EMERGENCIA (OVE)",IF(P174=#REF!,"INSTITUCIONES AMIGAS DE LA MUJER Y LA INFANCIA (IAMI)",IF(P174=#REF!,"CUIDADO DEL DONANTE DE ORGANOS",IF(P174=#REF!,"ATENCION A VICTIMAS POR VIOLENCIA DE GENERO",IF(P174=#REF!,"IGUALDAD DE GENERO EN LA SALUD",IF(P174=#REF!,"BRIGADA DE EMERGENCIA",IF(P174=#REF!,"MANEJO DEL DOLOR Y CUIDADOS PALIATIVOS",IF(P174=#REF!,"TOMA DE MUESTRAS Y LABORATORIO POCT",IF(P174=#REF!,"IMPLANTE SUBDERMICO DE DISPOSITIVO INTRAUTERINO",IF(P174=#REF!,"SALUD MENTAL",IF(P174=#REF!,"PRIMEROS AUXILIOS PSICOLOGICOS",IF(P174=#REF!,"ATENCION A VICTIMAS POR CONFLICTO ARMADO",IF(P174=#REF!,"MANIPULACION DE ALIMENTOS Y BPM",IF(P174=#REF!,"ATENCION A PERSONAS CON DISCAPACIDAD",IF(P174=#REF!,"CUIDADO INTEGRAL DEL PACIENTE ADULTO",IF(P174=#REF!,"MANEJO DEFENSIVO",IF(P174=#REF!,"SOPORTE CARDIOVASCULAR AVANZADO NEONATAL",IF(P174=#REF!,"SEGURIDAD DEL PACIENTE",IF(P174=#REF!,"MANEJO DE RESIDUOS HOSPITALARIOS"))))))))))))))))))))))))))))))))))))</f>
        <v>#REF!</v>
      </c>
      <c r="W174" s="26" t="str">
        <f t="shared" si="12"/>
        <v>Paula Andrea Banda Madroñero</v>
      </c>
      <c r="X174" s="26" t="str">
        <f t="shared" si="13"/>
        <v>Paula Andrea Banda Madroñero</v>
      </c>
      <c r="Y174" s="26" t="str">
        <f t="shared" si="14"/>
        <v>Paula Andrea Banda Madroñero-1080691265-ADMON DE MEDICAMENTOS</v>
      </c>
    </row>
    <row r="175" spans="1:25" x14ac:dyDescent="0.2">
      <c r="A175" s="20">
        <v>174</v>
      </c>
      <c r="B175" s="21">
        <v>1085329897</v>
      </c>
      <c r="C175" s="21" t="s">
        <v>308</v>
      </c>
      <c r="D175" s="21"/>
      <c r="E175" s="21" t="s">
        <v>408</v>
      </c>
      <c r="F175" s="21" t="s">
        <v>409</v>
      </c>
      <c r="G175" s="21">
        <v>23</v>
      </c>
      <c r="H175" s="21" t="s">
        <v>49</v>
      </c>
      <c r="I175" s="22" t="s">
        <v>377</v>
      </c>
      <c r="J175" s="22"/>
      <c r="K175" s="23">
        <v>46014</v>
      </c>
      <c r="L175" s="24">
        <v>65000</v>
      </c>
      <c r="M175" s="21" t="s">
        <v>133</v>
      </c>
      <c r="N175" s="21" t="s">
        <v>387</v>
      </c>
      <c r="O175" s="21" t="s">
        <v>69</v>
      </c>
      <c r="P175" s="21" t="s">
        <v>29</v>
      </c>
      <c r="Q175" s="22">
        <v>35264</v>
      </c>
      <c r="R175" s="21" t="s">
        <v>71</v>
      </c>
      <c r="S175" s="21" t="s">
        <v>107</v>
      </c>
      <c r="T175" s="21">
        <v>3195812795</v>
      </c>
      <c r="U175" s="21" t="s">
        <v>410</v>
      </c>
      <c r="V175" s="26" t="e">
        <f>IF(P175=#REF!,"DIPLOMADO EN ATENCION PRE-HOSPITALARIA",IF(P175=#REF!,"ACOMPAÑAMIENTO Y MANEJO DEL DUELO",IF(P175=#REF!,"ATENCION A VICTIMAS DE ATAQUE CON AGENTES QUIMICOS ",IF(P175=#REF!,"PRIMEROS AUXILIOS ",IF(P175=#REF!,"DIPLOMADO DE UNIDAD DE CUIDADOS INTENSIVOS (UCI)",IF(P175=#REF!,"MODELO DE ATENCION PARA EVENTOS EMERGENTES EN SALUD MENTAL (CODIGO VERDE)",IF(P175=#REF!,"HUMANIZACION EN EL SERVICIO DE LA SALUD Y BUENAS PRACTICAS EN PACIENTE ",IF(P175=#REF!,"CLINICA DE HERIDAS ",IF(P175=#REF!,"TOMA DE CITOLOGIA CERVICO VAGINAL ",IF(P175=#REF!,"SOPORTE CARDIOVASCULAR AVANZADO (ACLS) ",IF(P175=#REF!,"CAMILLERO ",IF(P175=#REF!,"TOMA DE MUESTRAS Y LABORATORIO ",IF(P175=#REF!,"SOPORTE VITAL BASICO (BLS)",IF(P175=#REF!,"ATENCION A VICTIMAS DE VIOLENCIA SEXUAL ",IF(P175=#REF!,"PROGRAMADO AMPLIADO DE INMUNIZACION (PAI - COVID 19)",IF(P175=#REF!,"ATENCION INTEGRAL EN ENFERMEDADES PREVALENTES EN PRIMERA INFANCIA (AIEPI)",IF(P175=#REF!,"ADMINISTRACION DE MEDICAMENTOS, INYECTOLOGIA  Y CANALIZACION ",IF(P175=#REF!,"OPERADOR DE VEHICULOS DE EMERGENCIA (OVE)",IF(P175=#REF!,"INSTITUCIONES AMIGAS DE LA MUJER Y LA INFANCIA (IAMI)",IF(P175=#REF!,"CUIDADO DEL DONANTE DE ORGANOS",IF(P175=#REF!,"ATENCION A VICTIMAS POR VIOLENCIA DE GENERO",IF(P175=#REF!,"IGUALDAD DE GENERO EN LA SALUD",IF(P175=#REF!,"BRIGADA DE EMERGENCIA",IF(P175=#REF!,"MANEJO DEL DOLOR Y CUIDADOS PALIATIVOS",IF(P175=#REF!,"TOMA DE MUESTRAS Y LABORATORIO POCT",IF(P175=#REF!,"IMPLANTE SUBDERMICO DE DISPOSITIVO INTRAUTERINO",IF(P175=#REF!,"SALUD MENTAL",IF(P175=#REF!,"PRIMEROS AUXILIOS PSICOLOGICOS",IF(P175=#REF!,"ATENCION A VICTIMAS POR CONFLICTO ARMADO",IF(P175=#REF!,"MANIPULACION DE ALIMENTOS Y BPM",IF(P175=#REF!,"ATENCION A PERSONAS CON DISCAPACIDAD",IF(P175=#REF!,"CUIDADO INTEGRAL DEL PACIENTE ADULTO",IF(P175=#REF!,"MANEJO DEFENSIVO",IF(P175=#REF!,"SOPORTE CARDIOVASCULAR AVANZADO NEONATAL",IF(P175=#REF!,"SEGURIDAD DEL PACIENTE",IF(P175=#REF!,"MANEJO DE RESIDUOS HOSPITALARIOS"))))))))))))))))))))))))))))))))))))</f>
        <v>#REF!</v>
      </c>
      <c r="W175" s="26" t="str">
        <f t="shared" si="12"/>
        <v xml:space="preserve">Angie Catherine Portilla  </v>
      </c>
      <c r="X175" s="26" t="str">
        <f t="shared" si="13"/>
        <v xml:space="preserve">Angie Catherine Portilla  </v>
      </c>
      <c r="Y175" s="26" t="str">
        <f t="shared" si="14"/>
        <v>Angie Catherine Portilla  -1085329897-ADMON DE MEDICAMENTOS</v>
      </c>
    </row>
    <row r="176" spans="1:25" x14ac:dyDescent="0.2">
      <c r="A176" s="20">
        <v>175</v>
      </c>
      <c r="B176" s="21">
        <v>1233192145</v>
      </c>
      <c r="C176" s="21" t="s">
        <v>221</v>
      </c>
      <c r="D176" s="21" t="s">
        <v>213</v>
      </c>
      <c r="E176" s="21" t="s">
        <v>239</v>
      </c>
      <c r="F176" s="21" t="s">
        <v>319</v>
      </c>
      <c r="G176" s="21">
        <v>23</v>
      </c>
      <c r="H176" s="21" t="s">
        <v>49</v>
      </c>
      <c r="I176" s="22" t="s">
        <v>377</v>
      </c>
      <c r="J176" s="22"/>
      <c r="K176" s="23" t="s">
        <v>427</v>
      </c>
      <c r="L176" s="42">
        <v>65000</v>
      </c>
      <c r="M176" s="21" t="s">
        <v>503</v>
      </c>
      <c r="N176" s="21" t="s">
        <v>387</v>
      </c>
      <c r="O176" s="21" t="s">
        <v>69</v>
      </c>
      <c r="P176" s="21" t="s">
        <v>29</v>
      </c>
      <c r="Q176" s="22">
        <v>36067</v>
      </c>
      <c r="R176" s="21" t="s">
        <v>71</v>
      </c>
      <c r="S176" s="21" t="s">
        <v>274</v>
      </c>
      <c r="T176" s="21">
        <v>3158453919</v>
      </c>
      <c r="U176" s="21" t="s">
        <v>411</v>
      </c>
      <c r="V176" s="26" t="e">
        <f>IF(P176=#REF!,"DIPLOMADO EN ATENCION PRE-HOSPITALARIA",IF(P176=#REF!,"ACOMPAÑAMIENTO Y MANEJO DEL DUELO",IF(P176=#REF!,"ATENCION A VICTIMAS DE ATAQUE CON AGENTES QUIMICOS ",IF(P176=#REF!,"PRIMEROS AUXILIOS ",IF(P176=#REF!,"DIPLOMADO DE UNIDAD DE CUIDADOS INTENSIVOS (UCI)",IF(P176=#REF!,"MODELO DE ATENCION PARA EVENTOS EMERGENTES EN SALUD MENTAL (CODIGO VERDE)",IF(P176=#REF!,"HUMANIZACION EN EL SERVICIO DE LA SALUD Y BUENAS PRACTICAS EN PACIENTE ",IF(P176=#REF!,"CLINICA DE HERIDAS ",IF(P176=#REF!,"TOMA DE CITOLOGIA CERVICO VAGINAL ",IF(P176=#REF!,"SOPORTE CARDIOVASCULAR AVANZADO (ACLS) ",IF(P176=#REF!,"CAMILLERO ",IF(P176=#REF!,"TOMA DE MUESTRAS Y LABORATORIO ",IF(P176=#REF!,"SOPORTE VITAL BASICO (BLS)",IF(P176=#REF!,"ATENCION A VICTIMAS DE VIOLENCIA SEXUAL ",IF(P176=#REF!,"PROGRAMADO AMPLIADO DE INMUNIZACION (PAI - COVID 19)",IF(P176=#REF!,"ATENCION INTEGRAL EN ENFERMEDADES PREVALENTES EN PRIMERA INFANCIA (AIEPI)",IF(P176=#REF!,"ADMINISTRACION DE MEDICAMENTOS, INYECTOLOGIA  Y CANALIZACION ",IF(P176=#REF!,"OPERADOR DE VEHICULOS DE EMERGENCIA (OVE)",IF(P176=#REF!,"INSTITUCIONES AMIGAS DE LA MUJER Y LA INFANCIA (IAMI)",IF(P176=#REF!,"CUIDADO DEL DONANTE DE ORGANOS",IF(P176=#REF!,"ATENCION A VICTIMAS POR VIOLENCIA DE GENERO",IF(P176=#REF!,"IGUALDAD DE GENERO EN LA SALUD",IF(P176=#REF!,"BRIGADA DE EMERGENCIA",IF(P176=#REF!,"MANEJO DEL DOLOR Y CUIDADOS PALIATIVOS",IF(P176=#REF!,"TOMA DE MUESTRAS Y LABORATORIO POCT",IF(P176=#REF!,"IMPLANTE SUBDERMICO DE DISPOSITIVO INTRAUTERINO",IF(P176=#REF!,"SALUD MENTAL",IF(P176=#REF!,"PRIMEROS AUXILIOS PSICOLOGICOS",IF(P176=#REF!,"ATENCION A VICTIMAS POR CONFLICTO ARMADO",IF(P176=#REF!,"MANIPULACION DE ALIMENTOS Y BPM",IF(P176=#REF!,"ATENCION A PERSONAS CON DISCAPACIDAD",IF(P176=#REF!,"CUIDADO INTEGRAL DEL PACIENTE ADULTO",IF(P176=#REF!,"MANEJO DEFENSIVO",IF(P176=#REF!,"SOPORTE CARDIOVASCULAR AVANZADO NEONATAL",IF(P176=#REF!,"SEGURIDAD DEL PACIENTE",IF(P176=#REF!,"MANEJO DE RESIDUOS HOSPITALARIOS"))))))))))))))))))))))))))))))))))))</f>
        <v>#REF!</v>
      </c>
      <c r="W176" s="26" t="str">
        <f t="shared" si="12"/>
        <v>Martha Lucia Martinez Moreno</v>
      </c>
      <c r="X176" s="26" t="str">
        <f t="shared" si="13"/>
        <v>Martha Lucia Martinez Moreno</v>
      </c>
      <c r="Y176" s="26" t="str">
        <f t="shared" si="14"/>
        <v>Martha Lucia Martinez Moreno-1233192145-ADMON DE MEDICAMENTOS</v>
      </c>
    </row>
    <row r="177" spans="1:25" x14ac:dyDescent="0.2">
      <c r="A177" s="20">
        <v>176</v>
      </c>
      <c r="B177" s="21">
        <v>59831386</v>
      </c>
      <c r="C177" s="21" t="s">
        <v>242</v>
      </c>
      <c r="D177" s="21"/>
      <c r="E177" s="21" t="s">
        <v>170</v>
      </c>
      <c r="F177" s="21" t="s">
        <v>339</v>
      </c>
      <c r="G177" s="21">
        <v>23</v>
      </c>
      <c r="H177" s="21" t="s">
        <v>49</v>
      </c>
      <c r="I177" s="22" t="s">
        <v>377</v>
      </c>
      <c r="J177" s="22"/>
      <c r="K177" s="23">
        <v>46014</v>
      </c>
      <c r="L177" s="24">
        <v>65000</v>
      </c>
      <c r="M177" s="23" t="s">
        <v>133</v>
      </c>
      <c r="N177" s="21" t="s">
        <v>387</v>
      </c>
      <c r="O177" s="21" t="s">
        <v>69</v>
      </c>
      <c r="P177" s="21" t="s">
        <v>29</v>
      </c>
      <c r="Q177" s="22">
        <v>27426</v>
      </c>
      <c r="R177" s="21" t="s">
        <v>71</v>
      </c>
      <c r="S177" s="21" t="s">
        <v>412</v>
      </c>
      <c r="T177" s="21">
        <v>3188050523</v>
      </c>
      <c r="U177" s="21" t="s">
        <v>413</v>
      </c>
      <c r="V177" s="26" t="e">
        <f>IF(P177=#REF!,"DIPLOMADO EN ATENCION PRE-HOSPITALARIA",IF(P177=#REF!,"ACOMPAÑAMIENTO Y MANEJO DEL DUELO",IF(P177=#REF!,"ATENCION A VICTIMAS DE ATAQUE CON AGENTES QUIMICOS ",IF(P177=#REF!,"PRIMEROS AUXILIOS ",IF(P177=#REF!,"DIPLOMADO DE UNIDAD DE CUIDADOS INTENSIVOS (UCI)",IF(P177=#REF!,"MODELO DE ATENCION PARA EVENTOS EMERGENTES EN SALUD MENTAL (CODIGO VERDE)",IF(P177=#REF!,"HUMANIZACION EN EL SERVICIO DE LA SALUD Y BUENAS PRACTICAS EN PACIENTE ",IF(P177=#REF!,"CLINICA DE HERIDAS ",IF(P177=#REF!,"TOMA DE CITOLOGIA CERVICO VAGINAL ",IF(P177=#REF!,"SOPORTE CARDIOVASCULAR AVANZADO (ACLS) ",IF(P177=#REF!,"CAMILLERO ",IF(P177=#REF!,"TOMA DE MUESTRAS Y LABORATORIO ",IF(P177=#REF!,"SOPORTE VITAL BASICO (BLS)",IF(P177=#REF!,"ATENCION A VICTIMAS DE VIOLENCIA SEXUAL ",IF(P177=#REF!,"PROGRAMADO AMPLIADO DE INMUNIZACION (PAI - COVID 19)",IF(P177=#REF!,"ATENCION INTEGRAL EN ENFERMEDADES PREVALENTES EN PRIMERA INFANCIA (AIEPI)",IF(P177=#REF!,"ADMINISTRACION DE MEDICAMENTOS, INYECTOLOGIA  Y CANALIZACION ",IF(P177=#REF!,"OPERADOR DE VEHICULOS DE EMERGENCIA (OVE)",IF(P177=#REF!,"INSTITUCIONES AMIGAS DE LA MUJER Y LA INFANCIA (IAMI)",IF(P177=#REF!,"CUIDADO DEL DONANTE DE ORGANOS",IF(P177=#REF!,"ATENCION A VICTIMAS POR VIOLENCIA DE GENERO",IF(P177=#REF!,"IGUALDAD DE GENERO EN LA SALUD",IF(P177=#REF!,"BRIGADA DE EMERGENCIA",IF(P177=#REF!,"MANEJO DEL DOLOR Y CUIDADOS PALIATIVOS",IF(P177=#REF!,"TOMA DE MUESTRAS Y LABORATORIO POCT",IF(P177=#REF!,"IMPLANTE SUBDERMICO DE DISPOSITIVO INTRAUTERINO",IF(P177=#REF!,"SALUD MENTAL",IF(P177=#REF!,"PRIMEROS AUXILIOS PSICOLOGICOS",IF(P177=#REF!,"ATENCION A VICTIMAS POR CONFLICTO ARMADO",IF(P177=#REF!,"MANIPULACION DE ALIMENTOS Y BPM",IF(P177=#REF!,"ATENCION A PERSONAS CON DISCAPACIDAD",IF(P177=#REF!,"CUIDADO INTEGRAL DEL PACIENTE ADULTO",IF(P177=#REF!,"MANEJO DEFENSIVO",IF(P177=#REF!,"SOPORTE CARDIOVASCULAR AVANZADO NEONATAL",IF(P177=#REF!,"SEGURIDAD DEL PACIENTE",IF(P177=#REF!,"MANEJO DE RESIDUOS HOSPITALARIOS"))))))))))))))))))))))))))))))))))))</f>
        <v>#REF!</v>
      </c>
      <c r="W177" s="26" t="str">
        <f t="shared" si="12"/>
        <v xml:space="preserve">Sandra Patricia Santacruz </v>
      </c>
      <c r="X177" s="26" t="str">
        <f t="shared" si="13"/>
        <v xml:space="preserve">Sandra Patricia Santacruz </v>
      </c>
      <c r="Y177" s="26" t="str">
        <f t="shared" si="14"/>
        <v>Sandra Patricia Santacruz -59831386-ADMON DE MEDICAMENTOS</v>
      </c>
    </row>
    <row r="178" spans="1:25" x14ac:dyDescent="0.2">
      <c r="A178" s="20">
        <v>177</v>
      </c>
      <c r="B178" s="21">
        <v>1004131994</v>
      </c>
      <c r="C178" s="21" t="s">
        <v>414</v>
      </c>
      <c r="D178" s="21" t="s">
        <v>247</v>
      </c>
      <c r="E178" s="21" t="s">
        <v>183</v>
      </c>
      <c r="F178" s="21" t="s">
        <v>166</v>
      </c>
      <c r="G178" s="21">
        <v>25</v>
      </c>
      <c r="H178" s="21" t="s">
        <v>49</v>
      </c>
      <c r="I178" s="22" t="s">
        <v>377</v>
      </c>
      <c r="J178" s="22"/>
      <c r="K178" s="23" t="s">
        <v>428</v>
      </c>
      <c r="L178" s="24">
        <v>65000</v>
      </c>
      <c r="M178" s="21" t="s">
        <v>133</v>
      </c>
      <c r="N178" s="21" t="s">
        <v>387</v>
      </c>
      <c r="O178" s="21" t="s">
        <v>69</v>
      </c>
      <c r="P178" s="21" t="s">
        <v>29</v>
      </c>
      <c r="Q178" s="22">
        <v>36608</v>
      </c>
      <c r="R178" s="21" t="s">
        <v>71</v>
      </c>
      <c r="S178" s="21" t="s">
        <v>107</v>
      </c>
      <c r="T178" s="21">
        <v>3183184195</v>
      </c>
      <c r="U178" s="25" t="s">
        <v>415</v>
      </c>
      <c r="V178" s="26" t="e">
        <f>IF(P178=#REF!,"DIPLOMADO EN ATENCION PRE-HOSPITALARIA",IF(P178=#REF!,"ACOMPAÑAMIENTO Y MANEJO DEL DUELO",IF(P178=#REF!,"ATENCION A VICTIMAS DE ATAQUE CON AGENTES QUIMICOS ",IF(P178=#REF!,"PRIMEROS AUXILIOS ",IF(P178=#REF!,"DIPLOMADO DE UNIDAD DE CUIDADOS INTENSIVOS (UCI)",IF(P178=#REF!,"MODELO DE ATENCION PARA EVENTOS EMERGENTES EN SALUD MENTAL (CODIGO VERDE)",IF(P178=#REF!,"HUMANIZACION EN EL SERVICIO DE LA SALUD Y BUENAS PRACTICAS EN PACIENTE ",IF(P178=#REF!,"CLINICA DE HERIDAS ",IF(P178=#REF!,"TOMA DE CITOLOGIA CERVICO VAGINAL ",IF(P178=#REF!,"SOPORTE CARDIOVASCULAR AVANZADO (ACLS) ",IF(P178=#REF!,"CAMILLERO ",IF(P178=#REF!,"TOMA DE MUESTRAS Y LABORATORIO ",IF(P178=#REF!,"SOPORTE VITAL BASICO (BLS)",IF(P178=#REF!,"ATENCION A VICTIMAS DE VIOLENCIA SEXUAL ",IF(P178=#REF!,"PROGRAMADO AMPLIADO DE INMUNIZACION (PAI - COVID 19)",IF(P178=#REF!,"ATENCION INTEGRAL EN ENFERMEDADES PREVALENTES EN PRIMERA INFANCIA (AIEPI)",IF(P178=#REF!,"ADMINISTRACION DE MEDICAMENTOS, INYECTOLOGIA  Y CANALIZACION ",IF(P178=#REF!,"OPERADOR DE VEHICULOS DE EMERGENCIA (OVE)",IF(P178=#REF!,"INSTITUCIONES AMIGAS DE LA MUJER Y LA INFANCIA (IAMI)",IF(P178=#REF!,"CUIDADO DEL DONANTE DE ORGANOS",IF(P178=#REF!,"ATENCION A VICTIMAS POR VIOLENCIA DE GENERO",IF(P178=#REF!,"IGUALDAD DE GENERO EN LA SALUD",IF(P178=#REF!,"BRIGADA DE EMERGENCIA",IF(P178=#REF!,"MANEJO DEL DOLOR Y CUIDADOS PALIATIVOS",IF(P178=#REF!,"TOMA DE MUESTRAS Y LABORATORIO POCT",IF(P178=#REF!,"IMPLANTE SUBDERMICO DE DISPOSITIVO INTRAUTERINO",IF(P178=#REF!,"SALUD MENTAL",IF(P178=#REF!,"PRIMEROS AUXILIOS PSICOLOGICOS",IF(P178=#REF!,"ATENCION A VICTIMAS POR CONFLICTO ARMADO",IF(P178=#REF!,"MANIPULACION DE ALIMENTOS Y BPM",IF(P178=#REF!,"ATENCION A PERSONAS CON DISCAPACIDAD",IF(P178=#REF!,"CUIDADO INTEGRAL DEL PACIENTE ADULTO",IF(P178=#REF!,"MANEJO DEFENSIVO",IF(P178=#REF!,"SOPORTE CARDIOVASCULAR AVANZADO NEONATAL",IF(P178=#REF!,"SEGURIDAD DEL PACIENTE",IF(P178=#REF!,"MANEJO DE RESIDUOS HOSPITALARIOS"))))))))))))))))))))))))))))))))))))</f>
        <v>#REF!</v>
      </c>
      <c r="W178" s="26" t="str">
        <f t="shared" si="12"/>
        <v>Maria Alejandra Cadena Meneses</v>
      </c>
      <c r="X178" s="26" t="str">
        <f t="shared" si="13"/>
        <v>Maria Alejandra Cadena Meneses</v>
      </c>
      <c r="Y178" s="26" t="str">
        <f t="shared" si="14"/>
        <v>Maria Alejandra Cadena Meneses-1004131994-ADMON DE MEDICAMENTOS</v>
      </c>
    </row>
    <row r="179" spans="1:25" x14ac:dyDescent="0.2">
      <c r="A179" s="20">
        <v>178</v>
      </c>
      <c r="B179" s="21">
        <v>1131085745</v>
      </c>
      <c r="C179" s="21" t="s">
        <v>416</v>
      </c>
      <c r="D179" s="21" t="s">
        <v>417</v>
      </c>
      <c r="E179" s="21" t="s">
        <v>418</v>
      </c>
      <c r="F179" s="21" t="s">
        <v>419</v>
      </c>
      <c r="G179" s="21">
        <v>23</v>
      </c>
      <c r="H179" s="21" t="s">
        <v>49</v>
      </c>
      <c r="I179" s="22" t="s">
        <v>377</v>
      </c>
      <c r="J179" s="22"/>
      <c r="K179" s="23" t="s">
        <v>429</v>
      </c>
      <c r="L179" s="42">
        <v>65000</v>
      </c>
      <c r="M179" s="21" t="s">
        <v>133</v>
      </c>
      <c r="N179" s="21" t="s">
        <v>387</v>
      </c>
      <c r="O179" s="21" t="s">
        <v>69</v>
      </c>
      <c r="P179" s="21" t="s">
        <v>29</v>
      </c>
      <c r="Q179" s="22">
        <v>36083</v>
      </c>
      <c r="R179" s="21" t="s">
        <v>71</v>
      </c>
      <c r="S179" s="21" t="s">
        <v>326</v>
      </c>
      <c r="T179" s="21">
        <v>3173607552</v>
      </c>
      <c r="U179" s="21" t="s">
        <v>420</v>
      </c>
      <c r="V179" s="26" t="e">
        <f>IF(P179=#REF!,"DIPLOMADO EN ATENCION PRE-HOSPITALARIA",IF(P179=#REF!,"ACOMPAÑAMIENTO Y MANEJO DEL DUELO",IF(P179=#REF!,"ATENCION A VICTIMAS DE ATAQUE CON AGENTES QUIMICOS ",IF(P179=#REF!,"PRIMEROS AUXILIOS ",IF(P179=#REF!,"DIPLOMADO DE UNIDAD DE CUIDADOS INTENSIVOS (UCI)",IF(P179=#REF!,"MODELO DE ATENCION PARA EVENTOS EMERGENTES EN SALUD MENTAL (CODIGO VERDE)",IF(P179=#REF!,"HUMANIZACION EN EL SERVICIO DE LA SALUD Y BUENAS PRACTICAS EN PACIENTE ",IF(P179=#REF!,"CLINICA DE HERIDAS ",IF(P179=#REF!,"TOMA DE CITOLOGIA CERVICO VAGINAL ",IF(P179=#REF!,"SOPORTE CARDIOVASCULAR AVANZADO (ACLS) ",IF(P179=#REF!,"CAMILLERO ",IF(P179=#REF!,"TOMA DE MUESTRAS Y LABORATORIO ",IF(P179=#REF!,"SOPORTE VITAL BASICO (BLS)",IF(P179=#REF!,"ATENCION A VICTIMAS DE VIOLENCIA SEXUAL ",IF(P179=#REF!,"PROGRAMADO AMPLIADO DE INMUNIZACION (PAI - COVID 19)",IF(P179=#REF!,"ATENCION INTEGRAL EN ENFERMEDADES PREVALENTES EN PRIMERA INFANCIA (AIEPI)",IF(P179=#REF!,"ADMINISTRACION DE MEDICAMENTOS, INYECTOLOGIA  Y CANALIZACION ",IF(P179=#REF!,"OPERADOR DE VEHICULOS DE EMERGENCIA (OVE)",IF(P179=#REF!,"INSTITUCIONES AMIGAS DE LA MUJER Y LA INFANCIA (IAMI)",IF(P179=#REF!,"CUIDADO DEL DONANTE DE ORGANOS",IF(P179=#REF!,"ATENCION A VICTIMAS POR VIOLENCIA DE GENERO",IF(P179=#REF!,"IGUALDAD DE GENERO EN LA SALUD",IF(P179=#REF!,"BRIGADA DE EMERGENCIA",IF(P179=#REF!,"MANEJO DEL DOLOR Y CUIDADOS PALIATIVOS",IF(P179=#REF!,"TOMA DE MUESTRAS Y LABORATORIO POCT",IF(P179=#REF!,"IMPLANTE SUBDERMICO DE DISPOSITIVO INTRAUTERINO",IF(P179=#REF!,"SALUD MENTAL",IF(P179=#REF!,"PRIMEROS AUXILIOS PSICOLOGICOS",IF(P179=#REF!,"ATENCION A VICTIMAS POR CONFLICTO ARMADO",IF(P179=#REF!,"MANIPULACION DE ALIMENTOS Y BPM",IF(P179=#REF!,"ATENCION A PERSONAS CON DISCAPACIDAD",IF(P179=#REF!,"CUIDADO INTEGRAL DEL PACIENTE ADULTO",IF(P179=#REF!,"MANEJO DEFENSIVO",IF(P179=#REF!,"SOPORTE CARDIOVASCULAR AVANZADO NEONATAL",IF(P179=#REF!,"SEGURIDAD DEL PACIENTE",IF(P179=#REF!,"MANEJO DE RESIDUOS HOSPITALARIOS"))))))))))))))))))))))))))))))))))))</f>
        <v>#REF!</v>
      </c>
      <c r="W179" s="26" t="str">
        <f t="shared" si="12"/>
        <v>Miladis Vanessa Pianda Ascuntar</v>
      </c>
      <c r="X179" s="26" t="str">
        <f t="shared" si="13"/>
        <v>Miladis Vanessa Pianda Ascuntar</v>
      </c>
      <c r="Y179" s="26" t="str">
        <f t="shared" si="14"/>
        <v>Miladis Vanessa Pianda Ascuntar-1131085745-ADMON DE MEDICAMENTOS</v>
      </c>
    </row>
    <row r="180" spans="1:25" x14ac:dyDescent="0.2">
      <c r="A180" s="20">
        <v>179</v>
      </c>
      <c r="B180" s="21">
        <v>1085304724</v>
      </c>
      <c r="C180" s="21" t="s">
        <v>247</v>
      </c>
      <c r="D180" s="21" t="s">
        <v>175</v>
      </c>
      <c r="E180" s="21" t="s">
        <v>425</v>
      </c>
      <c r="F180" s="21"/>
      <c r="G180" s="21">
        <v>25</v>
      </c>
      <c r="H180" s="21" t="s">
        <v>49</v>
      </c>
      <c r="I180" s="22" t="s">
        <v>377</v>
      </c>
      <c r="J180" s="22"/>
      <c r="K180" s="23">
        <v>45682</v>
      </c>
      <c r="L180" s="42">
        <v>65000</v>
      </c>
      <c r="M180" s="21" t="s">
        <v>79</v>
      </c>
      <c r="N180" s="21" t="s">
        <v>387</v>
      </c>
      <c r="O180" s="21" t="s">
        <v>69</v>
      </c>
      <c r="P180" s="21" t="s">
        <v>29</v>
      </c>
      <c r="Q180" s="22">
        <v>34081</v>
      </c>
      <c r="R180" s="21" t="s">
        <v>71</v>
      </c>
      <c r="S180" s="21" t="s">
        <v>107</v>
      </c>
      <c r="T180" s="21">
        <v>3102292934</v>
      </c>
      <c r="U180" s="21" t="s">
        <v>424</v>
      </c>
      <c r="V180" s="26" t="e">
        <f>IF(P180=#REF!,"DIPLOMADO EN ATENCION PRE-HOSPITALARIA",IF(P180=#REF!,"ACOMPAÑAMIENTO Y MANEJO DEL DUELO",IF(P180=#REF!,"ATENCION A VICTIMAS DE ATAQUE CON AGENTES QUIMICOS ",IF(P180=#REF!,"PRIMEROS AUXILIOS ",IF(P180=#REF!,"DIPLOMADO DE UNIDAD DE CUIDADOS INTENSIVOS (UCI)",IF(P180=#REF!,"MODELO DE ATENCION PARA EVENTOS EMERGENTES EN SALUD MENTAL (CODIGO VERDE)",IF(P180=#REF!,"HUMANIZACION EN EL SERVICIO DE LA SALUD Y BUENAS PRACTICAS EN PACIENTE ",IF(P180=#REF!,"CLINICA DE HERIDAS ",IF(P180=#REF!,"TOMA DE CITOLOGIA CERVICO VAGINAL ",IF(P180=#REF!,"SOPORTE CARDIOVASCULAR AVANZADO (ACLS) ",IF(P180=#REF!,"CAMILLERO ",IF(P180=#REF!,"TOMA DE MUESTRAS Y LABORATORIO ",IF(P180=#REF!,"SOPORTE VITAL BASICO (BLS)",IF(P180=#REF!,"ATENCION A VICTIMAS DE VIOLENCIA SEXUAL ",IF(P180=#REF!,"PROGRAMADO AMPLIADO DE INMUNIZACION (PAI - COVID 19)",IF(P180=#REF!,"ATENCION INTEGRAL EN ENFERMEDADES PREVALENTES EN PRIMERA INFANCIA (AIEPI)",IF(P180=#REF!,"ADMINISTRACION DE MEDICAMENTOS, INYECTOLOGIA  Y CANALIZACION ",IF(P180=#REF!,"OPERADOR DE VEHICULOS DE EMERGENCIA (OVE)",IF(P180=#REF!,"INSTITUCIONES AMIGAS DE LA MUJER Y LA INFANCIA (IAMI)",IF(P180=#REF!,"CUIDADO DEL DONANTE DE ORGANOS",IF(P180=#REF!,"ATENCION A VICTIMAS POR VIOLENCIA DE GENERO",IF(P180=#REF!,"IGUALDAD DE GENERO EN LA SALUD",IF(P180=#REF!,"BRIGADA DE EMERGENCIA",IF(P180=#REF!,"MANEJO DEL DOLOR Y CUIDADOS PALIATIVOS",IF(P180=#REF!,"TOMA DE MUESTRAS Y LABORATORIO POCT",IF(P180=#REF!,"IMPLANTE SUBDERMICO DE DISPOSITIVO INTRAUTERINO",IF(P180=#REF!,"SALUD MENTAL",IF(P180=#REF!,"PRIMEROS AUXILIOS PSICOLOGICOS",IF(P180=#REF!,"ATENCION A VICTIMAS POR CONFLICTO ARMADO",IF(P180=#REF!,"MANIPULACION DE ALIMENTOS Y BPM",IF(P180=#REF!,"ATENCION A PERSONAS CON DISCAPACIDAD",IF(P180=#REF!,"CUIDADO INTEGRAL DEL PACIENTE ADULTO",IF(P180=#REF!,"MANEJO DEFENSIVO",IF(P180=#REF!,"SOPORTE CARDIOVASCULAR AVANZADO NEONATAL",IF(P180=#REF!,"SEGURIDAD DEL PACIENTE",IF(P180=#REF!,"MANEJO DE RESIDUOS HOSPITALARIOS"))))))))))))))))))))))))))))))))))))</f>
        <v>#REF!</v>
      </c>
      <c r="W180" s="26" t="str">
        <f t="shared" si="12"/>
        <v>Isabella  Meneses Rosero</v>
      </c>
      <c r="X180" s="26" t="str">
        <f t="shared" si="13"/>
        <v>Isabella  Meneses Rosero</v>
      </c>
      <c r="Y180" s="26" t="str">
        <f t="shared" si="14"/>
        <v>Isabella  Meneses Rosero-1085304724-ADMON DE MEDICAMENTOS</v>
      </c>
    </row>
    <row r="181" spans="1:25" x14ac:dyDescent="0.2">
      <c r="A181" s="20">
        <v>180</v>
      </c>
      <c r="B181" s="21">
        <v>1088735247</v>
      </c>
      <c r="C181" s="21" t="s">
        <v>421</v>
      </c>
      <c r="D181" s="21" t="s">
        <v>422</v>
      </c>
      <c r="E181" s="21" t="s">
        <v>423</v>
      </c>
      <c r="F181" s="21" t="s">
        <v>267</v>
      </c>
      <c r="G181" s="21">
        <v>22</v>
      </c>
      <c r="H181" s="21" t="s">
        <v>49</v>
      </c>
      <c r="I181" s="22" t="s">
        <v>376</v>
      </c>
      <c r="J181" s="22"/>
      <c r="K181" s="23">
        <v>45688</v>
      </c>
      <c r="L181" s="42">
        <v>32000</v>
      </c>
      <c r="M181" s="21" t="s">
        <v>106</v>
      </c>
      <c r="N181" s="21" t="s">
        <v>387</v>
      </c>
      <c r="O181" s="21" t="s">
        <v>95</v>
      </c>
      <c r="P181" s="21" t="s">
        <v>21</v>
      </c>
      <c r="Q181" s="22">
        <v>33781</v>
      </c>
      <c r="R181" s="21" t="s">
        <v>70</v>
      </c>
      <c r="S181" s="63" t="s">
        <v>83</v>
      </c>
      <c r="T181" s="28">
        <v>3234721254</v>
      </c>
      <c r="U181" s="21" t="s">
        <v>426</v>
      </c>
      <c r="V181" s="26" t="e">
        <f>IF(P181=#REF!,"DIPLOMADO EN ATENCION PRE-HOSPITALARIA",IF(P181=#REF!,"ACOMPAÑAMIENTO Y MANEJO DEL DUELO",IF(P181=#REF!,"ATENCION A VICTIMAS DE ATAQUE CON AGENTES QUIMICOS ",IF(P181=#REF!,"PRIMEROS AUXILIOS ",IF(P181=#REF!,"DIPLOMADO DE UNIDAD DE CUIDADOS INTENSIVOS (UCI)",IF(P181=#REF!,"MODELO DE ATENCION PARA EVENTOS EMERGENTES EN SALUD MENTAL (CODIGO VERDE)",IF(P181=#REF!,"HUMANIZACION EN EL SERVICIO DE LA SALUD Y BUENAS PRACTICAS EN PACIENTE ",IF(P181=#REF!,"CLINICA DE HERIDAS ",IF(P181=#REF!,"TOMA DE CITOLOGIA CERVICO VAGINAL ",IF(P181=#REF!,"SOPORTE CARDIOVASCULAR AVANZADO (ACLS) ",IF(P181=#REF!,"CAMILLERO ",IF(P181=#REF!,"TOMA DE MUESTRAS Y LABORATORIO ",IF(P181=#REF!,"SOPORTE VITAL BASICO (BLS)",IF(P181=#REF!,"ATENCION A VICTIMAS DE VIOLENCIA SEXUAL ",IF(P181=#REF!,"PROGRAMADO AMPLIADO DE INMUNIZACION (PAI - COVID 19)",IF(P181=#REF!,"ATENCION INTEGRAL EN ENFERMEDADES PREVALENTES EN PRIMERA INFANCIA (AIEPI)",IF(P181=#REF!,"ADMINISTRACION DE MEDICAMENTOS, INYECTOLOGIA  Y CANALIZACION ",IF(P181=#REF!,"OPERADOR DE VEHICULOS DE EMERGENCIA (OVE)",IF(P181=#REF!,"INSTITUCIONES AMIGAS DE LA MUJER Y LA INFANCIA (IAMI)",IF(P181=#REF!,"CUIDADO DEL DONANTE DE ORGANOS",IF(P181=#REF!,"ATENCION A VICTIMAS POR VIOLENCIA DE GENERO",IF(P181=#REF!,"IGUALDAD DE GENERO EN LA SALUD",IF(P181=#REF!,"BRIGADA DE EMERGENCIA",IF(P181=#REF!,"MANEJO DEL DOLOR Y CUIDADOS PALIATIVOS",IF(P181=#REF!,"TOMA DE MUESTRAS Y LABORATORIO POCT",IF(P181=#REF!,"IMPLANTE SUBDERMICO DE DISPOSITIVO INTRAUTERINO",IF(P181=#REF!,"SALUD MENTAL",IF(P181=#REF!,"PRIMEROS AUXILIOS PSICOLOGICOS",IF(P181=#REF!,"ATENCION A VICTIMAS POR CONFLICTO ARMADO",IF(P181=#REF!,"MANIPULACION DE ALIMENTOS Y BPM",IF(P181=#REF!,"ATENCION A PERSONAS CON DISCAPACIDAD",IF(P181=#REF!,"CUIDADO INTEGRAL DEL PACIENTE ADULTO",IF(P181=#REF!,"MANEJO DEFENSIVO",IF(P181=#REF!,"SOPORTE CARDIOVASCULAR AVANZADO NEONATAL",IF(P181=#REF!,"SEGURIDAD DEL PACIENTE",IF(P181=#REF!,"MANEJO DE RESIDUOS HOSPITALARIOS"))))))))))))))))))))))))))))))))))))</f>
        <v>#REF!</v>
      </c>
      <c r="W181" s="26" t="str">
        <f t="shared" si="12"/>
        <v>Luis Carlos Herrera Diaz</v>
      </c>
      <c r="X181" s="26" t="str">
        <f t="shared" si="13"/>
        <v>Luis Carlos Herrera Diaz</v>
      </c>
      <c r="Y181" s="26" t="str">
        <f t="shared" si="14"/>
        <v>Luis Carlos Herrera Diaz-1088735247-QUIMICOS</v>
      </c>
    </row>
    <row r="182" spans="1:25" x14ac:dyDescent="0.2">
      <c r="A182" s="36">
        <v>181</v>
      </c>
      <c r="B182" s="37">
        <v>1088735247</v>
      </c>
      <c r="C182" s="37" t="s">
        <v>421</v>
      </c>
      <c r="D182" s="37" t="s">
        <v>422</v>
      </c>
      <c r="E182" s="37" t="s">
        <v>423</v>
      </c>
      <c r="F182" s="37" t="s">
        <v>267</v>
      </c>
      <c r="G182" s="37">
        <v>22</v>
      </c>
      <c r="H182" s="37" t="s">
        <v>49</v>
      </c>
      <c r="I182" s="38" t="s">
        <v>376</v>
      </c>
      <c r="J182" s="38"/>
      <c r="K182" s="23">
        <v>45688</v>
      </c>
      <c r="L182" s="42">
        <v>32000</v>
      </c>
      <c r="M182" s="37" t="s">
        <v>106</v>
      </c>
      <c r="N182" s="37" t="s">
        <v>387</v>
      </c>
      <c r="O182" s="37" t="s">
        <v>95</v>
      </c>
      <c r="P182" s="37" t="s">
        <v>27</v>
      </c>
      <c r="Q182" s="38">
        <v>33781</v>
      </c>
      <c r="R182" s="37" t="s">
        <v>70</v>
      </c>
      <c r="S182" s="65" t="s">
        <v>83</v>
      </c>
      <c r="T182" s="64">
        <v>3234721254</v>
      </c>
      <c r="U182" s="37" t="s">
        <v>426</v>
      </c>
      <c r="V182" s="41" t="e">
        <f>IF(P182=#REF!,"DIPLOMADO EN ATENCION PRE-HOSPITALARIA",IF(P182=#REF!,"ACOMPAÑAMIENTO Y MANEJO DEL DUELO",IF(P182=#REF!,"ATENCION A VICTIMAS DE ATAQUE CON AGENTES QUIMICOS ",IF(P182=#REF!,"PRIMEROS AUXILIOS ",IF(P182=#REF!,"DIPLOMADO DE UNIDAD DE CUIDADOS INTENSIVOS (UCI)",IF(P182=#REF!,"MODELO DE ATENCION PARA EVENTOS EMERGENTES EN SALUD MENTAL (CODIGO VERDE)",IF(P182=#REF!,"HUMANIZACION EN EL SERVICIO DE LA SALUD Y BUENAS PRACTICAS EN PACIENTE ",IF(P182=#REF!,"CLINICA DE HERIDAS ",IF(P182=#REF!,"TOMA DE CITOLOGIA CERVICO VAGINAL ",IF(P182=#REF!,"SOPORTE CARDIOVASCULAR AVANZADO (ACLS) ",IF(P182=#REF!,"CAMILLERO ",IF(P182=#REF!,"TOMA DE MUESTRAS Y LABORATORIO ",IF(P182=#REF!,"SOPORTE VITAL BASICO (BLS)",IF(P182=#REF!,"ATENCION A VICTIMAS DE VIOLENCIA SEXUAL ",IF(P182=#REF!,"PROGRAMADO AMPLIADO DE INMUNIZACION (PAI - COVID 19)",IF(P182=#REF!,"ATENCION INTEGRAL EN ENFERMEDADES PREVALENTES EN PRIMERA INFANCIA (AIEPI)",IF(P182=#REF!,"ADMINISTRACION DE MEDICAMENTOS, INYECTOLOGIA  Y CANALIZACION ",IF(P182=#REF!,"OPERADOR DE VEHICULOS DE EMERGENCIA (OVE)",IF(P182=#REF!,"INSTITUCIONES AMIGAS DE LA MUJER Y LA INFANCIA (IAMI)",IF(P182=#REF!,"CUIDADO DEL DONANTE DE ORGANOS",IF(P182=#REF!,"ATENCION A VICTIMAS POR VIOLENCIA DE GENERO",IF(P182=#REF!,"IGUALDAD DE GENERO EN LA SALUD",IF(P182=#REF!,"BRIGADA DE EMERGENCIA",IF(P182=#REF!,"MANEJO DEL DOLOR Y CUIDADOS PALIATIVOS",IF(P182=#REF!,"TOMA DE MUESTRAS Y LABORATORIO POCT",IF(P182=#REF!,"IMPLANTE SUBDERMICO DE DISPOSITIVO INTRAUTERINO",IF(P182=#REF!,"SALUD MENTAL",IF(P182=#REF!,"PRIMEROS AUXILIOS PSICOLOGICOS",IF(P182=#REF!,"ATENCION A VICTIMAS POR CONFLICTO ARMADO",IF(P182=#REF!,"MANIPULACION DE ALIMENTOS Y BPM",IF(P182=#REF!,"ATENCION A PERSONAS CON DISCAPACIDAD",IF(P182=#REF!,"CUIDADO INTEGRAL DEL PACIENTE ADULTO",IF(P182=#REF!,"MANEJO DEFENSIVO",IF(P182=#REF!,"SOPORTE CARDIOVASCULAR AVANZADO NEONATAL",IF(P182=#REF!,"SEGURIDAD DEL PACIENTE",IF(P182=#REF!,"MANEJO DE RESIDUOS HOSPITALARIOS"))))))))))))))))))))))))))))))))))))</f>
        <v>#REF!</v>
      </c>
      <c r="W182" s="41" t="str">
        <f t="shared" si="12"/>
        <v>Luis Carlos Herrera Diaz</v>
      </c>
      <c r="X182" s="41" t="str">
        <f t="shared" si="13"/>
        <v>Luis Carlos Herrera Diaz</v>
      </c>
      <c r="Y182" s="41" t="str">
        <f t="shared" si="14"/>
        <v>Luis Carlos Herrera Diaz-1088735247-VIOLENCIA SEXUAL</v>
      </c>
    </row>
    <row r="183" spans="1:25" s="19" customFormat="1" x14ac:dyDescent="0.2">
      <c r="A183" s="20">
        <v>182</v>
      </c>
      <c r="B183" s="21">
        <v>59675283</v>
      </c>
      <c r="C183" s="21" t="s">
        <v>431</v>
      </c>
      <c r="D183" s="21" t="s">
        <v>395</v>
      </c>
      <c r="E183" s="21" t="s">
        <v>432</v>
      </c>
      <c r="F183" s="21" t="s">
        <v>319</v>
      </c>
      <c r="G183" s="21">
        <v>23</v>
      </c>
      <c r="H183" s="21" t="s">
        <v>49</v>
      </c>
      <c r="I183" s="22" t="s">
        <v>377</v>
      </c>
      <c r="J183" s="22"/>
      <c r="K183" s="67" t="s">
        <v>434</v>
      </c>
      <c r="L183" s="68">
        <v>65000</v>
      </c>
      <c r="M183" s="66" t="s">
        <v>458</v>
      </c>
      <c r="N183" s="21" t="s">
        <v>387</v>
      </c>
      <c r="O183" s="21" t="s">
        <v>69</v>
      </c>
      <c r="P183" s="21" t="s">
        <v>27</v>
      </c>
      <c r="Q183" s="22">
        <v>28497</v>
      </c>
      <c r="R183" s="21" t="s">
        <v>71</v>
      </c>
      <c r="S183" s="21" t="s">
        <v>326</v>
      </c>
      <c r="T183" s="28">
        <v>3105197221</v>
      </c>
      <c r="U183" s="21" t="s">
        <v>433</v>
      </c>
      <c r="V183" s="26" t="e">
        <f>IF(P183=#REF!,"DIPLOMADO EN ATENCION PRE-HOSPITALARIA",IF(P183=#REF!,"ACOMPAÑAMIENTO Y MANEJO DEL DUELO",IF(P183=#REF!,"ATENCION A VICTIMAS DE ATAQUE CON AGENTES QUIMICOS ",IF(P183=#REF!,"PRIMEROS AUXILIOS ",IF(P183=#REF!,"DIPLOMADO DE UNIDAD DE CUIDADOS INTENSIVOS (UCI)",IF(P183=#REF!,"MODELO DE ATENCION PARA EVENTOS EMERGENTES EN SALUD MENTAL (CODIGO VERDE)",IF(P183=#REF!,"HUMANIZACION EN EL SERVICIO DE LA SALUD Y BUENAS PRACTICAS EN PACIENTE ",IF(P183=#REF!,"CLINICA DE HERIDAS ",IF(P183=#REF!,"TOMA DE CITOLOGIA CERVICO VAGINAL ",IF(P183=#REF!,"SOPORTE CARDIOVASCULAR AVANZADO (ACLS) ",IF(P183=#REF!,"CAMILLERO ",IF(P183=#REF!,"TOMA DE MUESTRAS Y LABORATORIO ",IF(P183=#REF!,"SOPORTE VITAL BASICO (BLS)",IF(P183=#REF!,"ATENCION A VICTIMAS DE VIOLENCIA SEXUAL ",IF(P183=#REF!,"PROGRAMADO AMPLIADO DE INMUNIZACION (PAI - COVID 19)",IF(P183=#REF!,"ATENCION INTEGRAL EN ENFERMEDADES PREVALENTES EN PRIMERA INFANCIA (AIEPI)",IF(P183=#REF!,"ADMINISTRACION DE MEDICAMENTOS, INYECTOLOGIA  Y CANALIZACION ",IF(P183=#REF!,"OPERADOR DE VEHICULOS DE EMERGENCIA (OVE)",IF(P183=#REF!,"INSTITUCIONES AMIGAS DE LA MUJER Y LA INFANCIA (IAMI)",IF(P183=#REF!,"CUIDADO DEL DONANTE DE ORGANOS",IF(P183=#REF!,"ATENCION A VICTIMAS POR VIOLENCIA DE GENERO",IF(P183=#REF!,"IGUALDAD DE GENERO EN LA SALUD",IF(P183=#REF!,"BRIGADA DE EMERGENCIA",IF(P183=#REF!,"MANEJO DEL DOLOR Y CUIDADOS PALIATIVOS",IF(P183=#REF!,"TOMA DE MUESTRAS Y LABORATORIO POCT",IF(P183=#REF!,"IMPLANTE SUBDERMICO DE DISPOSITIVO INTRAUTERINO",IF(P183=#REF!,"SALUD MENTAL",IF(P183=#REF!,"PRIMEROS AUXILIOS PSICOLOGICOS",IF(P183=#REF!,"ATENCION A VICTIMAS POR CONFLICTO ARMADO",IF(P183=#REF!,"MANIPULACION DE ALIMENTOS Y BPM",IF(P183=#REF!,"ATENCION A PERSONAS CON DISCAPACIDAD",IF(P183=#REF!,"CUIDADO INTEGRAL DEL PACIENTE ADULTO",IF(P183=#REF!,"MANEJO DEFENSIVO",IF(P183=#REF!,"SOPORTE CARDIOVASCULAR AVANZADO NEONATAL",IF(P183=#REF!,"SEGURIDAD DEL PACIENTE",IF(P183=#REF!,"MANEJO DE RESIDUOS HOSPITALARIOS"))))))))))))))))))))))))))))))))))))</f>
        <v>#REF!</v>
      </c>
      <c r="W183" s="26" t="str">
        <f t="shared" si="12"/>
        <v>Olga Lucia Cortes Quiñones</v>
      </c>
      <c r="X183" s="26" t="str">
        <f t="shared" si="13"/>
        <v>Olga Lucia Cortes Quiñones</v>
      </c>
      <c r="Y183" s="26" t="str">
        <f t="shared" si="14"/>
        <v>Olga Lucia Cortes Quiñones-59675283-VIOLENCIA SEXUAL</v>
      </c>
    </row>
    <row r="184" spans="1:25" s="19" customFormat="1" x14ac:dyDescent="0.2">
      <c r="A184" s="20">
        <v>183</v>
      </c>
      <c r="B184" s="21">
        <v>1081594846</v>
      </c>
      <c r="C184" s="21" t="s">
        <v>92</v>
      </c>
      <c r="D184" s="21" t="s">
        <v>435</v>
      </c>
      <c r="E184" s="21" t="s">
        <v>436</v>
      </c>
      <c r="F184" s="21" t="s">
        <v>437</v>
      </c>
      <c r="G184" s="21">
        <v>13</v>
      </c>
      <c r="H184" s="21" t="s">
        <v>49</v>
      </c>
      <c r="I184" s="22" t="s">
        <v>376</v>
      </c>
      <c r="J184" s="22"/>
      <c r="K184" s="67"/>
      <c r="L184" s="68">
        <v>30000</v>
      </c>
      <c r="M184" s="66"/>
      <c r="N184" s="21" t="s">
        <v>387</v>
      </c>
      <c r="O184" s="21" t="s">
        <v>430</v>
      </c>
      <c r="P184" s="21" t="s">
        <v>23</v>
      </c>
      <c r="Q184" s="22">
        <v>35019</v>
      </c>
      <c r="R184" s="21" t="s">
        <v>71</v>
      </c>
      <c r="S184" s="28" t="s">
        <v>438</v>
      </c>
      <c r="T184" s="28">
        <v>3145336116</v>
      </c>
      <c r="U184" s="21" t="s">
        <v>439</v>
      </c>
      <c r="V184" s="26" t="e">
        <f>IF(P184=#REF!,"DIPLOMADO EN ATENCION PRE-HOSPITALARIA",IF(P184=#REF!,"ACOMPAÑAMIENTO Y MANEJO DEL DUELO",IF(P184=#REF!,"ATENCION A VICTIMAS DE ATAQUE CON AGENTES QUIMICOS ",IF(P184=#REF!,"PRIMEROS AUXILIOS ",IF(P184=#REF!,"DIPLOMADO DE UNIDAD DE CUIDADOS INTENSIVOS (UCI)",IF(P184=#REF!,"MODELO DE ATENCION PARA EVENTOS EMERGENTES EN SALUD MENTAL (CODIGO VERDE)",IF(P184=#REF!,"HUMANIZACION EN EL SERVICIO DE LA SALUD Y BUENAS PRACTICAS EN PACIENTE ",IF(P184=#REF!,"CLINICA DE HERIDAS ",IF(P184=#REF!,"TOMA DE CITOLOGIA CERVICO VAGINAL ",IF(P184=#REF!,"SOPORTE CARDIOVASCULAR AVANZADO (ACLS) ",IF(P184=#REF!,"CAMILLERO ",IF(P184=#REF!,"TOMA DE MUESTRAS Y LABORATORIO ",IF(P184=#REF!,"SOPORTE VITAL BASICO (BLS)",IF(P184=#REF!,"ATENCION A VICTIMAS DE VIOLENCIA SEXUAL ",IF(P184=#REF!,"PROGRAMADO AMPLIADO DE INMUNIZACION (PAI - COVID 19)",IF(P184=#REF!,"ATENCION INTEGRAL EN ENFERMEDADES PREVALENTES EN PRIMERA INFANCIA (AIEPI)",IF(P184=#REF!,"ADMINISTRACION DE MEDICAMENTOS, INYECTOLOGIA  Y CANALIZACION ",IF(P184=#REF!,"OPERADOR DE VEHICULOS DE EMERGENCIA (OVE)",IF(P184=#REF!,"INSTITUCIONES AMIGAS DE LA MUJER Y LA INFANCIA (IAMI)",IF(P184=#REF!,"CUIDADO DEL DONANTE DE ORGANOS",IF(P184=#REF!,"ATENCION A VICTIMAS POR VIOLENCIA DE GENERO",IF(P184=#REF!,"IGUALDAD DE GENERO EN LA SALUD",IF(P184=#REF!,"BRIGADA DE EMERGENCIA",IF(P184=#REF!,"MANEJO DEL DOLOR Y CUIDADOS PALIATIVOS",IF(P184=#REF!,"TOMA DE MUESTRAS Y LABORATORIO POCT",IF(P184=#REF!,"IMPLANTE SUBDERMICO DE DISPOSITIVO INTRAUTERINO",IF(P184=#REF!,"SALUD MENTAL",IF(P184=#REF!,"PRIMEROS AUXILIOS PSICOLOGICOS",IF(P184=#REF!,"ATENCION A VICTIMAS POR CONFLICTO ARMADO",IF(P184=#REF!,"MANIPULACION DE ALIMENTOS Y BPM",IF(P184=#REF!,"ATENCION A PERSONAS CON DISCAPACIDAD",IF(P184=#REF!,"CUIDADO INTEGRAL DEL PACIENTE ADULTO",IF(P184=#REF!,"MANEJO DEFENSIVO",IF(P184=#REF!,"SOPORTE CARDIOVASCULAR AVANZADO NEONATAL",IF(P184=#REF!,"SEGURIDAD DEL PACIENTE",IF(P184=#REF!,"MANEJO DE RESIDUOS HOSPITALARIOS"))))))))))))))))))))))))))))))))))))</f>
        <v>#REF!</v>
      </c>
      <c r="W184" s="26" t="str">
        <f t="shared" si="12"/>
        <v>Astrid Karina Bolaños Portilla</v>
      </c>
      <c r="X184" s="26" t="str">
        <f t="shared" si="13"/>
        <v>Astrid Karina Bolaños Portilla</v>
      </c>
      <c r="Y184" s="26" t="str">
        <f t="shared" si="14"/>
        <v>Astrid Karina Bolaños Portilla-1081594846-HUMANIZACION</v>
      </c>
    </row>
    <row r="185" spans="1:25" s="19" customFormat="1" x14ac:dyDescent="0.2">
      <c r="A185" s="20">
        <v>184</v>
      </c>
      <c r="B185" s="21">
        <v>1085346196</v>
      </c>
      <c r="C185" s="21" t="s">
        <v>440</v>
      </c>
      <c r="D185" s="21" t="s">
        <v>441</v>
      </c>
      <c r="E185" s="21" t="s">
        <v>442</v>
      </c>
      <c r="F185" s="21" t="s">
        <v>177</v>
      </c>
      <c r="G185" s="21">
        <v>15</v>
      </c>
      <c r="H185" s="21" t="s">
        <v>49</v>
      </c>
      <c r="I185" s="22" t="s">
        <v>376</v>
      </c>
      <c r="J185" s="22"/>
      <c r="K185" s="67"/>
      <c r="L185" s="68">
        <v>80000</v>
      </c>
      <c r="M185" s="66"/>
      <c r="N185" s="21" t="s">
        <v>387</v>
      </c>
      <c r="O185" s="21" t="s">
        <v>386</v>
      </c>
      <c r="P185" s="21" t="s">
        <v>24</v>
      </c>
      <c r="Q185" s="22">
        <v>36367</v>
      </c>
      <c r="R185" s="21" t="s">
        <v>71</v>
      </c>
      <c r="S185" s="28" t="s">
        <v>96</v>
      </c>
      <c r="T185" s="28">
        <v>3175853845</v>
      </c>
      <c r="U185" s="27" t="s">
        <v>445</v>
      </c>
      <c r="V185" s="26" t="e">
        <f>IF(P185=#REF!,"DIPLOMADO EN ATENCION PRE-HOSPITALARIA",IF(P185=#REF!,"ACOMPAÑAMIENTO Y MANEJO DEL DUELO",IF(P185=#REF!,"ATENCION A VICTIMAS DE ATAQUE CON AGENTES QUIMICOS ",IF(P185=#REF!,"PRIMEROS AUXILIOS ",IF(P185=#REF!,"DIPLOMADO DE UNIDAD DE CUIDADOS INTENSIVOS (UCI)",IF(P185=#REF!,"MODELO DE ATENCION PARA EVENTOS EMERGENTES EN SALUD MENTAL (CODIGO VERDE)",IF(P185=#REF!,"HUMANIZACION EN EL SERVICIO DE LA SALUD Y BUENAS PRACTICAS EN PACIENTE ",IF(P185=#REF!,"CLINICA DE HERIDAS ",IF(P185=#REF!,"TOMA DE CITOLOGIA CERVICO VAGINAL ",IF(P185=#REF!,"SOPORTE CARDIOVASCULAR AVANZADO (ACLS) ",IF(P185=#REF!,"CAMILLERO ",IF(P185=#REF!,"TOMA DE MUESTRAS Y LABORATORIO ",IF(P185=#REF!,"SOPORTE VITAL BASICO (BLS)",IF(P185=#REF!,"ATENCION A VICTIMAS DE VIOLENCIA SEXUAL ",IF(P185=#REF!,"PROGRAMADO AMPLIADO DE INMUNIZACION (PAI - COVID 19)",IF(P185=#REF!,"ATENCION INTEGRAL EN ENFERMEDADES PREVALENTES EN PRIMERA INFANCIA (AIEPI)",IF(P185=#REF!,"ADMINISTRACION DE MEDICAMENTOS, INYECTOLOGIA  Y CANALIZACION ",IF(P185=#REF!,"OPERADOR DE VEHICULOS DE EMERGENCIA (OVE)",IF(P185=#REF!,"INSTITUCIONES AMIGAS DE LA MUJER Y LA INFANCIA (IAMI)",IF(P185=#REF!,"CUIDADO DEL DONANTE DE ORGANOS",IF(P185=#REF!,"ATENCION A VICTIMAS POR VIOLENCIA DE GENERO",IF(P185=#REF!,"IGUALDAD DE GENERO EN LA SALUD",IF(P185=#REF!,"BRIGADA DE EMERGENCIA",IF(P185=#REF!,"MANEJO DEL DOLOR Y CUIDADOS PALIATIVOS",IF(P185=#REF!,"TOMA DE MUESTRAS Y LABORATORIO POCT",IF(P185=#REF!,"IMPLANTE SUBDERMICO DE DISPOSITIVO INTRAUTERINO",IF(P185=#REF!,"SALUD MENTAL",IF(P185=#REF!,"PRIMEROS AUXILIOS PSICOLOGICOS",IF(P185=#REF!,"ATENCION A VICTIMAS POR CONFLICTO ARMADO",IF(P185=#REF!,"MANIPULACION DE ALIMENTOS Y BPM",IF(P185=#REF!,"ATENCION A PERSONAS CON DISCAPACIDAD",IF(P185=#REF!,"CUIDADO INTEGRAL DEL PACIENTE ADULTO",IF(P185=#REF!,"MANEJO DEFENSIVO",IF(P185=#REF!,"SOPORTE CARDIOVASCULAR AVANZADO NEONATAL",IF(P185=#REF!,"SEGURIDAD DEL PACIENTE",IF(P185=#REF!,"MANEJO DE RESIDUOS HOSPITALARIOS"))))))))))))))))))))))))))))))))))))</f>
        <v>#REF!</v>
      </c>
      <c r="W185" s="26" t="str">
        <f t="shared" si="12"/>
        <v>Nathalia Sofia Juajinoy Regalado</v>
      </c>
      <c r="X185" s="26" t="str">
        <f t="shared" si="13"/>
        <v>Nathalia Sofia Juajinoy Regalado</v>
      </c>
      <c r="Y185" s="26" t="str">
        <f t="shared" si="14"/>
        <v>Nathalia Sofia Juajinoy Regalado-1085346196-ACLS</v>
      </c>
    </row>
    <row r="186" spans="1:25" s="19" customFormat="1" x14ac:dyDescent="0.2">
      <c r="A186" s="20">
        <v>185</v>
      </c>
      <c r="B186" s="21">
        <v>1085346196</v>
      </c>
      <c r="C186" s="21" t="s">
        <v>440</v>
      </c>
      <c r="D186" s="21" t="s">
        <v>441</v>
      </c>
      <c r="E186" s="21" t="s">
        <v>442</v>
      </c>
      <c r="F186" s="21" t="s">
        <v>177</v>
      </c>
      <c r="G186" s="21">
        <v>15</v>
      </c>
      <c r="H186" s="21" t="s">
        <v>49</v>
      </c>
      <c r="I186" s="22" t="s">
        <v>376</v>
      </c>
      <c r="J186" s="22"/>
      <c r="K186" s="67"/>
      <c r="L186" s="68">
        <v>23000</v>
      </c>
      <c r="M186" s="66"/>
      <c r="N186" s="21" t="s">
        <v>387</v>
      </c>
      <c r="O186" s="21" t="s">
        <v>386</v>
      </c>
      <c r="P186" s="21" t="s">
        <v>19</v>
      </c>
      <c r="Q186" s="22">
        <v>36367</v>
      </c>
      <c r="R186" s="21" t="s">
        <v>71</v>
      </c>
      <c r="S186" s="28" t="s">
        <v>96</v>
      </c>
      <c r="T186" s="28">
        <v>3175853845</v>
      </c>
      <c r="U186" s="27" t="s">
        <v>445</v>
      </c>
      <c r="V186" s="26" t="e">
        <f>IF(P186=#REF!,"DIPLOMADO EN ATENCION PRE-HOSPITALARIA",IF(P186=#REF!,"ACOMPAÑAMIENTO Y MANEJO DEL DUELO",IF(P186=#REF!,"ATENCION A VICTIMAS DE ATAQUE CON AGENTES QUIMICOS ",IF(P186=#REF!,"PRIMEROS AUXILIOS ",IF(P186=#REF!,"DIPLOMADO DE UNIDAD DE CUIDADOS INTENSIVOS (UCI)",IF(P186=#REF!,"MODELO DE ATENCION PARA EVENTOS EMERGENTES EN SALUD MENTAL (CODIGO VERDE)",IF(P186=#REF!,"HUMANIZACION EN EL SERVICIO DE LA SALUD Y BUENAS PRACTICAS EN PACIENTE ",IF(P186=#REF!,"CLINICA DE HERIDAS ",IF(P186=#REF!,"TOMA DE CITOLOGIA CERVICO VAGINAL ",IF(P186=#REF!,"SOPORTE CARDIOVASCULAR AVANZADO (ACLS) ",IF(P186=#REF!,"CAMILLERO ",IF(P186=#REF!,"TOMA DE MUESTRAS Y LABORATORIO ",IF(P186=#REF!,"SOPORTE VITAL BASICO (BLS)",IF(P186=#REF!,"ATENCION A VICTIMAS DE VIOLENCIA SEXUAL ",IF(P186=#REF!,"PROGRAMADO AMPLIADO DE INMUNIZACION (PAI - COVID 19)",IF(P186=#REF!,"ATENCION INTEGRAL EN ENFERMEDADES PREVALENTES EN PRIMERA INFANCIA (AIEPI)",IF(P186=#REF!,"ADMINISTRACION DE MEDICAMENTOS, INYECTOLOGIA  Y CANALIZACION ",IF(P186=#REF!,"OPERADOR DE VEHICULOS DE EMERGENCIA (OVE)",IF(P186=#REF!,"INSTITUCIONES AMIGAS DE LA MUJER Y LA INFANCIA (IAMI)",IF(P186=#REF!,"CUIDADO DEL DONANTE DE ORGANOS",IF(P186=#REF!,"ATENCION A VICTIMAS POR VIOLENCIA DE GENERO",IF(P186=#REF!,"IGUALDAD DE GENERO EN LA SALUD",IF(P186=#REF!,"BRIGADA DE EMERGENCIA",IF(P186=#REF!,"MANEJO DEL DOLOR Y CUIDADOS PALIATIVOS",IF(P186=#REF!,"TOMA DE MUESTRAS Y LABORATORIO POCT",IF(P186=#REF!,"IMPLANTE SUBDERMICO DE DISPOSITIVO INTRAUTERINO",IF(P186=#REF!,"SALUD MENTAL",IF(P186=#REF!,"PRIMEROS AUXILIOS PSICOLOGICOS",IF(P186=#REF!,"ATENCION A VICTIMAS POR CONFLICTO ARMADO",IF(P186=#REF!,"MANIPULACION DE ALIMENTOS Y BPM",IF(P186=#REF!,"ATENCION A PERSONAS CON DISCAPACIDAD",IF(P186=#REF!,"CUIDADO INTEGRAL DEL PACIENTE ADULTO",IF(P186=#REF!,"MANEJO DEFENSIVO",IF(P186=#REF!,"SOPORTE CARDIOVASCULAR AVANZADO NEONATAL",IF(P186=#REF!,"SEGURIDAD DEL PACIENTE",IF(P186=#REF!,"MANEJO DE RESIDUOS HOSPITALARIOS"))))))))))))))))))))))))))))))))))))</f>
        <v>#REF!</v>
      </c>
      <c r="W186" s="26" t="str">
        <f t="shared" si="12"/>
        <v>Nathalia Sofia Juajinoy Regalado</v>
      </c>
      <c r="X186" s="26" t="str">
        <f t="shared" si="13"/>
        <v>Nathalia Sofia Juajinoy Regalado</v>
      </c>
      <c r="Y186" s="26" t="str">
        <f t="shared" si="14"/>
        <v>Nathalia Sofia Juajinoy Regalado-1085346196-BLS</v>
      </c>
    </row>
    <row r="187" spans="1:25" s="19" customFormat="1" x14ac:dyDescent="0.2">
      <c r="A187" s="20">
        <v>186</v>
      </c>
      <c r="B187" s="21">
        <v>1085346196</v>
      </c>
      <c r="C187" s="21" t="s">
        <v>440</v>
      </c>
      <c r="D187" s="21" t="s">
        <v>441</v>
      </c>
      <c r="E187" s="21" t="s">
        <v>442</v>
      </c>
      <c r="F187" s="21" t="s">
        <v>177</v>
      </c>
      <c r="G187" s="21">
        <v>21</v>
      </c>
      <c r="H187" s="21" t="s">
        <v>49</v>
      </c>
      <c r="I187" s="22" t="s">
        <v>376</v>
      </c>
      <c r="J187" s="22"/>
      <c r="K187" s="67"/>
      <c r="L187" s="68">
        <v>30000</v>
      </c>
      <c r="M187" s="66"/>
      <c r="N187" s="21" t="s">
        <v>387</v>
      </c>
      <c r="O187" s="21" t="s">
        <v>386</v>
      </c>
      <c r="P187" s="21" t="s">
        <v>23</v>
      </c>
      <c r="Q187" s="22">
        <v>36367</v>
      </c>
      <c r="R187" s="21" t="s">
        <v>71</v>
      </c>
      <c r="S187" s="28" t="s">
        <v>96</v>
      </c>
      <c r="T187" s="28">
        <v>3175853845</v>
      </c>
      <c r="U187" s="27" t="s">
        <v>445</v>
      </c>
      <c r="V187" s="26" t="e">
        <f>IF(P187=#REF!,"DIPLOMADO EN ATENCION PRE-HOSPITALARIA",IF(P187=#REF!,"ACOMPAÑAMIENTO Y MANEJO DEL DUELO",IF(P187=#REF!,"ATENCION A VICTIMAS DE ATAQUE CON AGENTES QUIMICOS ",IF(P187=#REF!,"PRIMEROS AUXILIOS ",IF(P187=#REF!,"DIPLOMADO DE UNIDAD DE CUIDADOS INTENSIVOS (UCI)",IF(P187=#REF!,"MODELO DE ATENCION PARA EVENTOS EMERGENTES EN SALUD MENTAL (CODIGO VERDE)",IF(P187=#REF!,"HUMANIZACION EN EL SERVICIO DE LA SALUD Y BUENAS PRACTICAS EN PACIENTE ",IF(P187=#REF!,"CLINICA DE HERIDAS ",IF(P187=#REF!,"TOMA DE CITOLOGIA CERVICO VAGINAL ",IF(P187=#REF!,"SOPORTE CARDIOVASCULAR AVANZADO (ACLS) ",IF(P187=#REF!,"CAMILLERO ",IF(P187=#REF!,"TOMA DE MUESTRAS Y LABORATORIO ",IF(P187=#REF!,"SOPORTE VITAL BASICO (BLS)",IF(P187=#REF!,"ATENCION A VICTIMAS DE VIOLENCIA SEXUAL ",IF(P187=#REF!,"PROGRAMADO AMPLIADO DE INMUNIZACION (PAI - COVID 19)",IF(P187=#REF!,"ATENCION INTEGRAL EN ENFERMEDADES PREVALENTES EN PRIMERA INFANCIA (AIEPI)",IF(P187=#REF!,"ADMINISTRACION DE MEDICAMENTOS, INYECTOLOGIA  Y CANALIZACION ",IF(P187=#REF!,"OPERADOR DE VEHICULOS DE EMERGENCIA (OVE)",IF(P187=#REF!,"INSTITUCIONES AMIGAS DE LA MUJER Y LA INFANCIA (IAMI)",IF(P187=#REF!,"CUIDADO DEL DONANTE DE ORGANOS",IF(P187=#REF!,"ATENCION A VICTIMAS POR VIOLENCIA DE GENERO",IF(P187=#REF!,"IGUALDAD DE GENERO EN LA SALUD",IF(P187=#REF!,"BRIGADA DE EMERGENCIA",IF(P187=#REF!,"MANEJO DEL DOLOR Y CUIDADOS PALIATIVOS",IF(P187=#REF!,"TOMA DE MUESTRAS Y LABORATORIO POCT",IF(P187=#REF!,"IMPLANTE SUBDERMICO DE DISPOSITIVO INTRAUTERINO",IF(P187=#REF!,"SALUD MENTAL",IF(P187=#REF!,"PRIMEROS AUXILIOS PSICOLOGICOS",IF(P187=#REF!,"ATENCION A VICTIMAS POR CONFLICTO ARMADO",IF(P187=#REF!,"MANIPULACION DE ALIMENTOS Y BPM",IF(P187=#REF!,"ATENCION A PERSONAS CON DISCAPACIDAD",IF(P187=#REF!,"CUIDADO INTEGRAL DEL PACIENTE ADULTO",IF(P187=#REF!,"MANEJO DEFENSIVO",IF(P187=#REF!,"SOPORTE CARDIOVASCULAR AVANZADO NEONATAL",IF(P187=#REF!,"SEGURIDAD DEL PACIENTE",IF(P187=#REF!,"MANEJO DE RESIDUOS HOSPITALARIOS"))))))))))))))))))))))))))))))))))))</f>
        <v>#REF!</v>
      </c>
      <c r="W187" s="26" t="str">
        <f t="shared" si="12"/>
        <v>Nathalia Sofia Juajinoy Regalado</v>
      </c>
      <c r="X187" s="26" t="str">
        <f t="shared" si="13"/>
        <v>Nathalia Sofia Juajinoy Regalado</v>
      </c>
      <c r="Y187" s="26" t="str">
        <f t="shared" si="14"/>
        <v>Nathalia Sofia Juajinoy Regalado-1085346196-HUMANIZACION</v>
      </c>
    </row>
    <row r="188" spans="1:25" s="19" customFormat="1" x14ac:dyDescent="0.2">
      <c r="A188" s="20">
        <v>187</v>
      </c>
      <c r="B188" s="21">
        <v>1085346196</v>
      </c>
      <c r="C188" s="21" t="s">
        <v>440</v>
      </c>
      <c r="D188" s="21" t="s">
        <v>441</v>
      </c>
      <c r="E188" s="21" t="s">
        <v>442</v>
      </c>
      <c r="F188" s="21" t="s">
        <v>177</v>
      </c>
      <c r="G188" s="21">
        <v>17</v>
      </c>
      <c r="H188" s="21" t="s">
        <v>49</v>
      </c>
      <c r="I188" s="22" t="s">
        <v>376</v>
      </c>
      <c r="J188" s="22"/>
      <c r="K188" s="67"/>
      <c r="L188" s="68">
        <v>30000</v>
      </c>
      <c r="M188" s="66"/>
      <c r="N188" s="21" t="s">
        <v>387</v>
      </c>
      <c r="O188" s="21" t="s">
        <v>386</v>
      </c>
      <c r="P188" s="21" t="s">
        <v>41</v>
      </c>
      <c r="Q188" s="22">
        <v>36367</v>
      </c>
      <c r="R188" s="21" t="s">
        <v>71</v>
      </c>
      <c r="S188" s="28" t="s">
        <v>96</v>
      </c>
      <c r="T188" s="28">
        <v>3175853845</v>
      </c>
      <c r="U188" s="27" t="s">
        <v>445</v>
      </c>
      <c r="V188" s="26" t="e">
        <f>IF(P188=#REF!,"DIPLOMADO EN ATENCION PRE-HOSPITALARIA",IF(P188=#REF!,"ACOMPAÑAMIENTO Y MANEJO DEL DUELO",IF(P188=#REF!,"ATENCION A VICTIMAS DE ATAQUE CON AGENTES QUIMICOS ",IF(P188=#REF!,"PRIMEROS AUXILIOS ",IF(P188=#REF!,"DIPLOMADO DE UNIDAD DE CUIDADOS INTENSIVOS (UCI)",IF(P188=#REF!,"MODELO DE ATENCION PARA EVENTOS EMERGENTES EN SALUD MENTAL (CODIGO VERDE)",IF(P188=#REF!,"HUMANIZACION EN EL SERVICIO DE LA SALUD Y BUENAS PRACTICAS EN PACIENTE ",IF(P188=#REF!,"CLINICA DE HERIDAS ",IF(P188=#REF!,"TOMA DE CITOLOGIA CERVICO VAGINAL ",IF(P188=#REF!,"SOPORTE CARDIOVASCULAR AVANZADO (ACLS) ",IF(P188=#REF!,"CAMILLERO ",IF(P188=#REF!,"TOMA DE MUESTRAS Y LABORATORIO ",IF(P188=#REF!,"SOPORTE VITAL BASICO (BLS)",IF(P188=#REF!,"ATENCION A VICTIMAS DE VIOLENCIA SEXUAL ",IF(P188=#REF!,"PROGRAMADO AMPLIADO DE INMUNIZACION (PAI - COVID 19)",IF(P188=#REF!,"ATENCION INTEGRAL EN ENFERMEDADES PREVALENTES EN PRIMERA INFANCIA (AIEPI)",IF(P188=#REF!,"ADMINISTRACION DE MEDICAMENTOS, INYECTOLOGIA  Y CANALIZACION ",IF(P188=#REF!,"OPERADOR DE VEHICULOS DE EMERGENCIA (OVE)",IF(P188=#REF!,"INSTITUCIONES AMIGAS DE LA MUJER Y LA INFANCIA (IAMI)",IF(P188=#REF!,"CUIDADO DEL DONANTE DE ORGANOS",IF(P188=#REF!,"ATENCION A VICTIMAS POR VIOLENCIA DE GENERO",IF(P188=#REF!,"IGUALDAD DE GENERO EN LA SALUD",IF(P188=#REF!,"BRIGADA DE EMERGENCIA",IF(P188=#REF!,"MANEJO DEL DOLOR Y CUIDADOS PALIATIVOS",IF(P188=#REF!,"TOMA DE MUESTRAS Y LABORATORIO POCT",IF(P188=#REF!,"IMPLANTE SUBDERMICO DE DISPOSITIVO INTRAUTERINO",IF(P188=#REF!,"SALUD MENTAL",IF(P188=#REF!,"PRIMEROS AUXILIOS PSICOLOGICOS",IF(P188=#REF!,"ATENCION A VICTIMAS POR CONFLICTO ARMADO",IF(P188=#REF!,"MANIPULACION DE ALIMENTOS Y BPM",IF(P188=#REF!,"ATENCION A PERSONAS CON DISCAPACIDAD",IF(P188=#REF!,"CUIDADO INTEGRAL DEL PACIENTE ADULTO",IF(P188=#REF!,"MANEJO DEFENSIVO",IF(P188=#REF!,"SOPORTE CARDIOVASCULAR AVANZADO NEONATAL",IF(P188=#REF!,"SEGURIDAD DEL PACIENTE",IF(P188=#REF!,"MANEJO DE RESIDUOS HOSPITALARIOS"))))))))))))))))))))))))))))))))))))</f>
        <v>#REF!</v>
      </c>
      <c r="W188" s="26" t="str">
        <f t="shared" si="12"/>
        <v>Nathalia Sofia Juajinoy Regalado</v>
      </c>
      <c r="X188" s="26" t="str">
        <f t="shared" si="13"/>
        <v>Nathalia Sofia Juajinoy Regalado</v>
      </c>
      <c r="Y188" s="26" t="str">
        <f t="shared" si="14"/>
        <v>Nathalia Sofia Juajinoy Regalado-1085346196-PACIENTE</v>
      </c>
    </row>
    <row r="189" spans="1:25" s="19" customFormat="1" x14ac:dyDescent="0.2">
      <c r="A189" s="20">
        <v>188</v>
      </c>
      <c r="B189" s="21">
        <v>1085346196</v>
      </c>
      <c r="C189" s="21" t="s">
        <v>440</v>
      </c>
      <c r="D189" s="21" t="s">
        <v>441</v>
      </c>
      <c r="E189" s="21" t="s">
        <v>442</v>
      </c>
      <c r="F189" s="21" t="s">
        <v>177</v>
      </c>
      <c r="G189" s="21">
        <v>20</v>
      </c>
      <c r="H189" s="21" t="s">
        <v>49</v>
      </c>
      <c r="I189" s="22" t="s">
        <v>376</v>
      </c>
      <c r="J189" s="22"/>
      <c r="K189" s="67"/>
      <c r="L189" s="68">
        <v>30000</v>
      </c>
      <c r="M189" s="66"/>
      <c r="N189" s="21" t="s">
        <v>387</v>
      </c>
      <c r="O189" s="21" t="s">
        <v>386</v>
      </c>
      <c r="P189" s="21" t="s">
        <v>21</v>
      </c>
      <c r="Q189" s="22">
        <v>36367</v>
      </c>
      <c r="R189" s="21" t="s">
        <v>71</v>
      </c>
      <c r="S189" s="28" t="s">
        <v>96</v>
      </c>
      <c r="T189" s="28">
        <v>3175853845</v>
      </c>
      <c r="U189" s="27" t="s">
        <v>445</v>
      </c>
      <c r="V189" s="26" t="e">
        <f>IF(P189=#REF!,"DIPLOMADO EN ATENCION PRE-HOSPITALARIA",IF(P189=#REF!,"ACOMPAÑAMIENTO Y MANEJO DEL DUELO",IF(P189=#REF!,"ATENCION A VICTIMAS DE ATAQUE CON AGENTES QUIMICOS ",IF(P189=#REF!,"PRIMEROS AUXILIOS ",IF(P189=#REF!,"DIPLOMADO DE UNIDAD DE CUIDADOS INTENSIVOS (UCI)",IF(P189=#REF!,"MODELO DE ATENCION PARA EVENTOS EMERGENTES EN SALUD MENTAL (CODIGO VERDE)",IF(P189=#REF!,"HUMANIZACION EN EL SERVICIO DE LA SALUD Y BUENAS PRACTICAS EN PACIENTE ",IF(P189=#REF!,"CLINICA DE HERIDAS ",IF(P189=#REF!,"TOMA DE CITOLOGIA CERVICO VAGINAL ",IF(P189=#REF!,"SOPORTE CARDIOVASCULAR AVANZADO (ACLS) ",IF(P189=#REF!,"CAMILLERO ",IF(P189=#REF!,"TOMA DE MUESTRAS Y LABORATORIO ",IF(P189=#REF!,"SOPORTE VITAL BASICO (BLS)",IF(P189=#REF!,"ATENCION A VICTIMAS DE VIOLENCIA SEXUAL ",IF(P189=#REF!,"PROGRAMADO AMPLIADO DE INMUNIZACION (PAI - COVID 19)",IF(P189=#REF!,"ATENCION INTEGRAL EN ENFERMEDADES PREVALENTES EN PRIMERA INFANCIA (AIEPI)",IF(P189=#REF!,"ADMINISTRACION DE MEDICAMENTOS, INYECTOLOGIA  Y CANALIZACION ",IF(P189=#REF!,"OPERADOR DE VEHICULOS DE EMERGENCIA (OVE)",IF(P189=#REF!,"INSTITUCIONES AMIGAS DE LA MUJER Y LA INFANCIA (IAMI)",IF(P189=#REF!,"CUIDADO DEL DONANTE DE ORGANOS",IF(P189=#REF!,"ATENCION A VICTIMAS POR VIOLENCIA DE GENERO",IF(P189=#REF!,"IGUALDAD DE GENERO EN LA SALUD",IF(P189=#REF!,"BRIGADA DE EMERGENCIA",IF(P189=#REF!,"MANEJO DEL DOLOR Y CUIDADOS PALIATIVOS",IF(P189=#REF!,"TOMA DE MUESTRAS Y LABORATORIO POCT",IF(P189=#REF!,"IMPLANTE SUBDERMICO DE DISPOSITIVO INTRAUTERINO",IF(P189=#REF!,"SALUD MENTAL",IF(P189=#REF!,"PRIMEROS AUXILIOS PSICOLOGICOS",IF(P189=#REF!,"ATENCION A VICTIMAS POR CONFLICTO ARMADO",IF(P189=#REF!,"MANIPULACION DE ALIMENTOS Y BPM",IF(P189=#REF!,"ATENCION A PERSONAS CON DISCAPACIDAD",IF(P189=#REF!,"CUIDADO INTEGRAL DEL PACIENTE ADULTO",IF(P189=#REF!,"MANEJO DEFENSIVO",IF(P189=#REF!,"SOPORTE CARDIOVASCULAR AVANZADO NEONATAL",IF(P189=#REF!,"SEGURIDAD DEL PACIENTE",IF(P189=#REF!,"MANEJO DE RESIDUOS HOSPITALARIOS"))))))))))))))))))))))))))))))))))))</f>
        <v>#REF!</v>
      </c>
      <c r="W189" s="26" t="str">
        <f t="shared" si="12"/>
        <v>Nathalia Sofia Juajinoy Regalado</v>
      </c>
      <c r="X189" s="26" t="str">
        <f t="shared" si="13"/>
        <v>Nathalia Sofia Juajinoy Regalado</v>
      </c>
      <c r="Y189" s="26" t="str">
        <f t="shared" si="14"/>
        <v>Nathalia Sofia Juajinoy Regalado-1085346196-QUIMICOS</v>
      </c>
    </row>
    <row r="190" spans="1:25" s="19" customFormat="1" x14ac:dyDescent="0.2">
      <c r="A190" s="20">
        <v>189</v>
      </c>
      <c r="B190" s="21">
        <v>1085346196</v>
      </c>
      <c r="C190" s="21" t="s">
        <v>440</v>
      </c>
      <c r="D190" s="21" t="s">
        <v>441</v>
      </c>
      <c r="E190" s="21" t="s">
        <v>442</v>
      </c>
      <c r="F190" s="21" t="s">
        <v>177</v>
      </c>
      <c r="G190" s="21">
        <v>20</v>
      </c>
      <c r="H190" s="21" t="s">
        <v>49</v>
      </c>
      <c r="I190" s="22" t="s">
        <v>376</v>
      </c>
      <c r="J190" s="22"/>
      <c r="K190" s="67"/>
      <c r="L190" s="68">
        <v>30000</v>
      </c>
      <c r="M190" s="66"/>
      <c r="N190" s="21" t="s">
        <v>387</v>
      </c>
      <c r="O190" s="21" t="s">
        <v>386</v>
      </c>
      <c r="P190" s="21" t="s">
        <v>27</v>
      </c>
      <c r="Q190" s="22">
        <v>36367</v>
      </c>
      <c r="R190" s="21" t="s">
        <v>71</v>
      </c>
      <c r="S190" s="28" t="s">
        <v>96</v>
      </c>
      <c r="T190" s="28">
        <v>3175853845</v>
      </c>
      <c r="U190" s="27" t="s">
        <v>445</v>
      </c>
      <c r="V190" s="26" t="e">
        <f>IF(P190=#REF!,"DIPLOMADO EN ATENCION PRE-HOSPITALARIA",IF(P190=#REF!,"ACOMPAÑAMIENTO Y MANEJO DEL DUELO",IF(P190=#REF!,"ATENCION A VICTIMAS DE ATAQUE CON AGENTES QUIMICOS ",IF(P190=#REF!,"PRIMEROS AUXILIOS ",IF(P190=#REF!,"DIPLOMADO DE UNIDAD DE CUIDADOS INTENSIVOS (UCI)",IF(P190=#REF!,"MODELO DE ATENCION PARA EVENTOS EMERGENTES EN SALUD MENTAL (CODIGO VERDE)",IF(P190=#REF!,"HUMANIZACION EN EL SERVICIO DE LA SALUD Y BUENAS PRACTICAS EN PACIENTE ",IF(P190=#REF!,"CLINICA DE HERIDAS ",IF(P190=#REF!,"TOMA DE CITOLOGIA CERVICO VAGINAL ",IF(P190=#REF!,"SOPORTE CARDIOVASCULAR AVANZADO (ACLS) ",IF(P190=#REF!,"CAMILLERO ",IF(P190=#REF!,"TOMA DE MUESTRAS Y LABORATORIO ",IF(P190=#REF!,"SOPORTE VITAL BASICO (BLS)",IF(P190=#REF!,"ATENCION A VICTIMAS DE VIOLENCIA SEXUAL ",IF(P190=#REF!,"PROGRAMADO AMPLIADO DE INMUNIZACION (PAI - COVID 19)",IF(P190=#REF!,"ATENCION INTEGRAL EN ENFERMEDADES PREVALENTES EN PRIMERA INFANCIA (AIEPI)",IF(P190=#REF!,"ADMINISTRACION DE MEDICAMENTOS, INYECTOLOGIA  Y CANALIZACION ",IF(P190=#REF!,"OPERADOR DE VEHICULOS DE EMERGENCIA (OVE)",IF(P190=#REF!,"INSTITUCIONES AMIGAS DE LA MUJER Y LA INFANCIA (IAMI)",IF(P190=#REF!,"CUIDADO DEL DONANTE DE ORGANOS",IF(P190=#REF!,"ATENCION A VICTIMAS POR VIOLENCIA DE GENERO",IF(P190=#REF!,"IGUALDAD DE GENERO EN LA SALUD",IF(P190=#REF!,"BRIGADA DE EMERGENCIA",IF(P190=#REF!,"MANEJO DEL DOLOR Y CUIDADOS PALIATIVOS",IF(P190=#REF!,"TOMA DE MUESTRAS Y LABORATORIO POCT",IF(P190=#REF!,"IMPLANTE SUBDERMICO DE DISPOSITIVO INTRAUTERINO",IF(P190=#REF!,"SALUD MENTAL",IF(P190=#REF!,"PRIMEROS AUXILIOS PSICOLOGICOS",IF(P190=#REF!,"ATENCION A VICTIMAS POR CONFLICTO ARMADO",IF(P190=#REF!,"MANIPULACION DE ALIMENTOS Y BPM",IF(P190=#REF!,"ATENCION A PERSONAS CON DISCAPACIDAD",IF(P190=#REF!,"CUIDADO INTEGRAL DEL PACIENTE ADULTO",IF(P190=#REF!,"MANEJO DEFENSIVO",IF(P190=#REF!,"SOPORTE CARDIOVASCULAR AVANZADO NEONATAL",IF(P190=#REF!,"SEGURIDAD DEL PACIENTE",IF(P190=#REF!,"MANEJO DE RESIDUOS HOSPITALARIOS"))))))))))))))))))))))))))))))))))))</f>
        <v>#REF!</v>
      </c>
      <c r="W190" s="26" t="str">
        <f t="shared" si="12"/>
        <v>Nathalia Sofia Juajinoy Regalado</v>
      </c>
      <c r="X190" s="26" t="str">
        <f t="shared" si="13"/>
        <v>Nathalia Sofia Juajinoy Regalado</v>
      </c>
      <c r="Y190" s="26" t="str">
        <f t="shared" si="14"/>
        <v>Nathalia Sofia Juajinoy Regalado-1085346196-VIOLENCIA SEXUAL</v>
      </c>
    </row>
    <row r="191" spans="1:25" s="19" customFormat="1" x14ac:dyDescent="0.2">
      <c r="A191" s="20">
        <v>190</v>
      </c>
      <c r="B191" s="21">
        <v>1085346196</v>
      </c>
      <c r="C191" s="21" t="s">
        <v>440</v>
      </c>
      <c r="D191" s="21" t="s">
        <v>441</v>
      </c>
      <c r="E191" s="21" t="s">
        <v>442</v>
      </c>
      <c r="F191" s="21" t="s">
        <v>177</v>
      </c>
      <c r="G191" s="21">
        <v>22</v>
      </c>
      <c r="H191" s="21" t="s">
        <v>49</v>
      </c>
      <c r="I191" s="22" t="s">
        <v>376</v>
      </c>
      <c r="J191" s="22"/>
      <c r="K191" s="67"/>
      <c r="L191" s="68">
        <v>30000</v>
      </c>
      <c r="M191" s="66"/>
      <c r="N191" s="21" t="s">
        <v>387</v>
      </c>
      <c r="O191" s="21" t="s">
        <v>386</v>
      </c>
      <c r="P191" s="21" t="s">
        <v>443</v>
      </c>
      <c r="Q191" s="22">
        <v>36367</v>
      </c>
      <c r="R191" s="21" t="s">
        <v>71</v>
      </c>
      <c r="S191" s="28" t="s">
        <v>96</v>
      </c>
      <c r="T191" s="28">
        <v>3175853845</v>
      </c>
      <c r="U191" s="27" t="s">
        <v>445</v>
      </c>
      <c r="V191" s="26" t="s">
        <v>444</v>
      </c>
      <c r="W191" s="26" t="str">
        <f t="shared" si="12"/>
        <v>Nathalia Sofia Juajinoy Regalado</v>
      </c>
      <c r="X191" s="26" t="str">
        <f t="shared" si="13"/>
        <v>Nathalia Sofia Juajinoy Regalado</v>
      </c>
      <c r="Y191" s="26" t="str">
        <f t="shared" si="14"/>
        <v>Nathalia Sofia Juajinoy Regalado-1085346196-ADULTO</v>
      </c>
    </row>
    <row r="192" spans="1:25" x14ac:dyDescent="0.2">
      <c r="A192" s="20">
        <v>191</v>
      </c>
      <c r="B192" s="21">
        <v>1085312438</v>
      </c>
      <c r="C192" s="21" t="s">
        <v>371</v>
      </c>
      <c r="D192" s="21" t="s">
        <v>446</v>
      </c>
      <c r="E192" s="21" t="s">
        <v>447</v>
      </c>
      <c r="F192" s="21" t="s">
        <v>124</v>
      </c>
      <c r="G192" s="21">
        <v>23</v>
      </c>
      <c r="H192" s="21" t="s">
        <v>49</v>
      </c>
      <c r="I192" s="22" t="s">
        <v>377</v>
      </c>
      <c r="J192" s="22"/>
      <c r="K192" s="23">
        <v>45674</v>
      </c>
      <c r="L192" s="42">
        <v>65000</v>
      </c>
      <c r="M192" s="21" t="s">
        <v>79</v>
      </c>
      <c r="N192" s="21" t="s">
        <v>387</v>
      </c>
      <c r="O192" s="21" t="s">
        <v>69</v>
      </c>
      <c r="P192" s="21" t="s">
        <v>29</v>
      </c>
      <c r="Q192" s="22">
        <v>34457</v>
      </c>
      <c r="R192" s="21" t="s">
        <v>71</v>
      </c>
      <c r="S192" s="21" t="s">
        <v>107</v>
      </c>
      <c r="T192" s="21">
        <v>3147151767</v>
      </c>
      <c r="U192" s="21" t="s">
        <v>448</v>
      </c>
      <c r="V192" s="26" t="e">
        <f>IF(P192=#REF!,"DIPLOMADO EN ATENCION PRE-HOSPITALARIA",IF(P192=#REF!,"ACOMPAÑAMIENTO Y MANEJO DEL DUELO",IF(P192=#REF!,"ATENCION A VICTIMAS DE ATAQUE CON AGENTES QUIMICOS ",IF(P192=#REF!,"PRIMEROS AUXILIOS ",IF(P192=#REF!,"DIPLOMADO DE UNIDAD DE CUIDADOS INTENSIVOS (UCI)",IF(P192=#REF!,"MODELO DE ATENCION PARA EVENTOS EMERGENTES EN SALUD MENTAL (CODIGO VERDE)",IF(P192=#REF!,"HUMANIZACION EN EL SERVICIO DE LA SALUD Y BUENAS PRACTICAS EN PACIENTE ",IF(P192=#REF!,"CLINICA DE HERIDAS ",IF(P192=#REF!,"TOMA DE CITOLOGIA CERVICO VAGINAL ",IF(P192=#REF!,"SOPORTE CARDIOVASCULAR AVANZADO (ACLS) ",IF(P192=#REF!,"CAMILLERO ",IF(P192=#REF!,"TOMA DE MUESTRAS Y LABORATORIO ",IF(P192=#REF!,"SOPORTE VITAL BASICO (BLS)",IF(P192=#REF!,"ATENCION A VICTIMAS DE VIOLENCIA SEXUAL ",IF(P192=#REF!,"PROGRAMADO AMPLIADO DE INMUNIZACION (PAI - COVID 19)",IF(P192=#REF!,"ATENCION INTEGRAL EN ENFERMEDADES PREVALENTES EN PRIMERA INFANCIA (AIEPI)",IF(P192=#REF!,"ADMINISTRACION DE MEDICAMENTOS, INYECTOLOGIA  Y CANALIZACION ",IF(P192=#REF!,"OPERADOR DE VEHICULOS DE EMERGENCIA (OVE)",IF(P192=#REF!,"INSTITUCIONES AMIGAS DE LA MUJER Y LA INFANCIA (IAMI)",IF(P192=#REF!,"CUIDADO DEL DONANTE DE ORGANOS",IF(P192=#REF!,"ATENCION A VICTIMAS POR VIOLENCIA DE GENERO",IF(P192=#REF!,"IGUALDAD DE GENERO EN LA SALUD",IF(P192=#REF!,"BRIGADA DE EMERGENCIA",IF(P192=#REF!,"MANEJO DEL DOLOR Y CUIDADOS PALIATIVOS",IF(P192=#REF!,"TOMA DE MUESTRAS Y LABORATORIO POCT",IF(P192=#REF!,"IMPLANTE SUBDERMICO DE DISPOSITIVO INTRAUTERINO",IF(P192=#REF!,"SALUD MENTAL",IF(P192=#REF!,"PRIMEROS AUXILIOS PSICOLOGICOS",IF(P192=#REF!,"ATENCION A VICTIMAS POR CONFLICTO ARMADO",IF(P192=#REF!,"MANIPULACION DE ALIMENTOS Y BPM",IF(P192=#REF!,"ATENCION A PERSONAS CON DISCAPACIDAD",IF(P192=#REF!,"CUIDADO INTEGRAL DEL PACIENTE ADULTO",IF(P192=#REF!,"MANEJO DEFENSIVO",IF(P192=#REF!,"SOPORTE CARDIOVASCULAR AVANZADO NEONATAL",IF(P192=#REF!,"SEGURIDAD DEL PACIENTE",IF(P192=#REF!,"MANEJO DE RESIDUOS HOSPITALARIOS"))))))))))))))))))))))))))))))))))))</f>
        <v>#REF!</v>
      </c>
      <c r="W192" s="26" t="str">
        <f t="shared" si="12"/>
        <v>Luisa Fernanda Quintero Santander</v>
      </c>
      <c r="X192" s="26" t="str">
        <f t="shared" si="13"/>
        <v>Luisa Fernanda Quintero Santander</v>
      </c>
      <c r="Y192" s="26" t="str">
        <f t="shared" si="14"/>
        <v>Luisa Fernanda Quintero Santander-1085312438-ADMON DE MEDICAMENTOS</v>
      </c>
    </row>
    <row r="193" spans="1:25" x14ac:dyDescent="0.2">
      <c r="A193" s="20">
        <v>192</v>
      </c>
      <c r="B193" s="21">
        <v>37081877</v>
      </c>
      <c r="C193" s="21" t="s">
        <v>226</v>
      </c>
      <c r="D193" s="21" t="s">
        <v>191</v>
      </c>
      <c r="E193" s="21" t="s">
        <v>449</v>
      </c>
      <c r="F193" s="21" t="s">
        <v>450</v>
      </c>
      <c r="G193" s="21">
        <v>23</v>
      </c>
      <c r="H193" s="21" t="s">
        <v>49</v>
      </c>
      <c r="I193" s="22" t="s">
        <v>377</v>
      </c>
      <c r="J193" s="22"/>
      <c r="K193" s="23" t="s">
        <v>457</v>
      </c>
      <c r="L193" s="42">
        <v>65000</v>
      </c>
      <c r="M193" s="21" t="s">
        <v>180</v>
      </c>
      <c r="N193" s="21" t="s">
        <v>387</v>
      </c>
      <c r="O193" s="21" t="s">
        <v>69</v>
      </c>
      <c r="P193" s="21" t="s">
        <v>29</v>
      </c>
      <c r="Q193" s="22">
        <v>30254</v>
      </c>
      <c r="R193" s="21" t="s">
        <v>71</v>
      </c>
      <c r="S193" s="21" t="s">
        <v>274</v>
      </c>
      <c r="T193" s="21">
        <v>3206498432</v>
      </c>
      <c r="U193" s="21" t="s">
        <v>451</v>
      </c>
      <c r="V193" s="26" t="e">
        <f>IF(P193=#REF!,"DIPLOMADO EN ATENCION PRE-HOSPITALARIA",IF(P193=#REF!,"ACOMPAÑAMIENTO Y MANEJO DEL DUELO",IF(P193=#REF!,"ATENCION A VICTIMAS DE ATAQUE CON AGENTES QUIMICOS ",IF(P193=#REF!,"PRIMEROS AUXILIOS ",IF(P193=#REF!,"DIPLOMADO DE UNIDAD DE CUIDADOS INTENSIVOS (UCI)",IF(P193=#REF!,"MODELO DE ATENCION PARA EVENTOS EMERGENTES EN SALUD MENTAL (CODIGO VERDE)",IF(P193=#REF!,"HUMANIZACION EN EL SERVICIO DE LA SALUD Y BUENAS PRACTICAS EN PACIENTE ",IF(P193=#REF!,"CLINICA DE HERIDAS ",IF(P193=#REF!,"TOMA DE CITOLOGIA CERVICO VAGINAL ",IF(P193=#REF!,"SOPORTE CARDIOVASCULAR AVANZADO (ACLS) ",IF(P193=#REF!,"CAMILLERO ",IF(P193=#REF!,"TOMA DE MUESTRAS Y LABORATORIO ",IF(P193=#REF!,"SOPORTE VITAL BASICO (BLS)",IF(P193=#REF!,"ATENCION A VICTIMAS DE VIOLENCIA SEXUAL ",IF(P193=#REF!,"PROGRAMADO AMPLIADO DE INMUNIZACION (PAI - COVID 19)",IF(P193=#REF!,"ATENCION INTEGRAL EN ENFERMEDADES PREVALENTES EN PRIMERA INFANCIA (AIEPI)",IF(P193=#REF!,"ADMINISTRACION DE MEDICAMENTOS, INYECTOLOGIA  Y CANALIZACION ",IF(P193=#REF!,"OPERADOR DE VEHICULOS DE EMERGENCIA (OVE)",IF(P193=#REF!,"INSTITUCIONES AMIGAS DE LA MUJER Y LA INFANCIA (IAMI)",IF(P193=#REF!,"CUIDADO DEL DONANTE DE ORGANOS",IF(P193=#REF!,"ATENCION A VICTIMAS POR VIOLENCIA DE GENERO",IF(P193=#REF!,"IGUALDAD DE GENERO EN LA SALUD",IF(P193=#REF!,"BRIGADA DE EMERGENCIA",IF(P193=#REF!,"MANEJO DEL DOLOR Y CUIDADOS PALIATIVOS",IF(P193=#REF!,"TOMA DE MUESTRAS Y LABORATORIO POCT",IF(P193=#REF!,"IMPLANTE SUBDERMICO DE DISPOSITIVO INTRAUTERINO",IF(P193=#REF!,"SALUD MENTAL",IF(P193=#REF!,"PRIMEROS AUXILIOS PSICOLOGICOS",IF(P193=#REF!,"ATENCION A VICTIMAS POR CONFLICTO ARMADO",IF(P193=#REF!,"MANIPULACION DE ALIMENTOS Y BPM",IF(P193=#REF!,"ATENCION A PERSONAS CON DISCAPACIDAD",IF(P193=#REF!,"CUIDADO INTEGRAL DEL PACIENTE ADULTO",IF(P193=#REF!,"MANEJO DEFENSIVO",IF(P193=#REF!,"SOPORTE CARDIOVASCULAR AVANZADO NEONATAL",IF(P193=#REF!,"SEGURIDAD DEL PACIENTE",IF(P193=#REF!,"MANEJO DE RESIDUOS HOSPITALARIOS"))))))))))))))))))))))))))))))))))))</f>
        <v>#REF!</v>
      </c>
      <c r="W193" s="26" t="str">
        <f t="shared" si="12"/>
        <v>Magda Rocio Timaran Lopez</v>
      </c>
      <c r="X193" s="26" t="str">
        <f t="shared" si="13"/>
        <v>Magda Rocio Timaran Lopez</v>
      </c>
      <c r="Y193" s="26" t="str">
        <f t="shared" si="14"/>
        <v>Magda Rocio Timaran Lopez-37081877-ADMON DE MEDICAMENTOS</v>
      </c>
    </row>
    <row r="194" spans="1:25" x14ac:dyDescent="0.2">
      <c r="A194" s="20">
        <v>193</v>
      </c>
      <c r="B194" s="21">
        <v>1080255356</v>
      </c>
      <c r="C194" s="21" t="s">
        <v>452</v>
      </c>
      <c r="D194" s="21" t="s">
        <v>453</v>
      </c>
      <c r="E194" s="21" t="s">
        <v>454</v>
      </c>
      <c r="F194" s="21" t="s">
        <v>455</v>
      </c>
      <c r="G194" s="21">
        <v>23</v>
      </c>
      <c r="H194" s="21" t="s">
        <v>49</v>
      </c>
      <c r="I194" s="22" t="s">
        <v>377</v>
      </c>
      <c r="J194" s="22"/>
      <c r="K194" s="23" t="s">
        <v>457</v>
      </c>
      <c r="L194" s="42">
        <v>65000</v>
      </c>
      <c r="M194" s="21" t="s">
        <v>180</v>
      </c>
      <c r="N194" s="37" t="s">
        <v>387</v>
      </c>
      <c r="O194" s="37" t="s">
        <v>69</v>
      </c>
      <c r="P194" s="37" t="s">
        <v>29</v>
      </c>
      <c r="Q194" s="38">
        <v>31722</v>
      </c>
      <c r="R194" s="37" t="s">
        <v>71</v>
      </c>
      <c r="S194" s="37" t="s">
        <v>456</v>
      </c>
      <c r="T194" s="37">
        <v>3161461300</v>
      </c>
      <c r="U194" s="37" t="s">
        <v>451</v>
      </c>
      <c r="V194" s="41" t="e">
        <f>IF(P194=#REF!,"DIPLOMADO EN ATENCION PRE-HOSPITALARIA",IF(P194=#REF!,"ACOMPAÑAMIENTO Y MANEJO DEL DUELO",IF(P194=#REF!,"ATENCION A VICTIMAS DE ATAQUE CON AGENTES QUIMICOS ",IF(P194=#REF!,"PRIMEROS AUXILIOS ",IF(P194=#REF!,"DIPLOMADO DE UNIDAD DE CUIDADOS INTENSIVOS (UCI)",IF(P194=#REF!,"MODELO DE ATENCION PARA EVENTOS EMERGENTES EN SALUD MENTAL (CODIGO VERDE)",IF(P194=#REF!,"HUMANIZACION EN EL SERVICIO DE LA SALUD Y BUENAS PRACTICAS EN PACIENTE ",IF(P194=#REF!,"CLINICA DE HERIDAS ",IF(P194=#REF!,"TOMA DE CITOLOGIA CERVICO VAGINAL ",IF(P194=#REF!,"SOPORTE CARDIOVASCULAR AVANZADO (ACLS) ",IF(P194=#REF!,"CAMILLERO ",IF(P194=#REF!,"TOMA DE MUESTRAS Y LABORATORIO ",IF(P194=#REF!,"SOPORTE VITAL BASICO (BLS)",IF(P194=#REF!,"ATENCION A VICTIMAS DE VIOLENCIA SEXUAL ",IF(P194=#REF!,"PROGRAMADO AMPLIADO DE INMUNIZACION (PAI - COVID 19)",IF(P194=#REF!,"ATENCION INTEGRAL EN ENFERMEDADES PREVALENTES EN PRIMERA INFANCIA (AIEPI)",IF(P194=#REF!,"ADMINISTRACION DE MEDICAMENTOS, INYECTOLOGIA  Y CANALIZACION ",IF(P194=#REF!,"OPERADOR DE VEHICULOS DE EMERGENCIA (OVE)",IF(P194=#REF!,"INSTITUCIONES AMIGAS DE LA MUJER Y LA INFANCIA (IAMI)",IF(P194=#REF!,"CUIDADO DEL DONANTE DE ORGANOS",IF(P194=#REF!,"ATENCION A VICTIMAS POR VIOLENCIA DE GENERO",IF(P194=#REF!,"IGUALDAD DE GENERO EN LA SALUD",IF(P194=#REF!,"BRIGADA DE EMERGENCIA",IF(P194=#REF!,"MANEJO DEL DOLOR Y CUIDADOS PALIATIVOS",IF(P194=#REF!,"TOMA DE MUESTRAS Y LABORATORIO POCT",IF(P194=#REF!,"IMPLANTE SUBDERMICO DE DISPOSITIVO INTRAUTERINO",IF(P194=#REF!,"SALUD MENTAL",IF(P194=#REF!,"PRIMEROS AUXILIOS PSICOLOGICOS",IF(P194=#REF!,"ATENCION A VICTIMAS POR CONFLICTO ARMADO",IF(P194=#REF!,"MANIPULACION DE ALIMENTOS Y BPM",IF(P194=#REF!,"ATENCION A PERSONAS CON DISCAPACIDAD",IF(P194=#REF!,"CUIDADO INTEGRAL DEL PACIENTE ADULTO",IF(P194=#REF!,"MANEJO DEFENSIVO",IF(P194=#REF!,"SOPORTE CARDIOVASCULAR AVANZADO NEONATAL",IF(P194=#REF!,"SEGURIDAD DEL PACIENTE",IF(P194=#REF!,"MANEJO DE RESIDUOS HOSPITALARIOS"))))))))))))))))))))))))))))))))))))</f>
        <v>#REF!</v>
      </c>
      <c r="W194" s="41" t="str">
        <f t="shared" si="12"/>
        <v>Sonia Isabel Moncayo Rojas</v>
      </c>
      <c r="X194" s="41" t="str">
        <f t="shared" si="13"/>
        <v>Sonia Isabel Moncayo Rojas</v>
      </c>
      <c r="Y194" s="41" t="str">
        <f t="shared" si="14"/>
        <v>Sonia Isabel Moncayo Rojas-1080255356-ADMON DE MEDICAMENTOS</v>
      </c>
    </row>
    <row r="195" spans="1:25" s="19" customFormat="1" x14ac:dyDescent="0.2">
      <c r="A195" s="20">
        <v>194</v>
      </c>
      <c r="B195" s="21">
        <v>79520757</v>
      </c>
      <c r="C195" s="21" t="s">
        <v>169</v>
      </c>
      <c r="D195" s="21" t="s">
        <v>459</v>
      </c>
      <c r="E195" s="21" t="s">
        <v>460</v>
      </c>
      <c r="F195" s="21" t="s">
        <v>331</v>
      </c>
      <c r="G195" s="21">
        <v>23</v>
      </c>
      <c r="H195" s="21" t="s">
        <v>49</v>
      </c>
      <c r="I195" s="22" t="s">
        <v>376</v>
      </c>
      <c r="J195" s="22"/>
      <c r="K195" s="23">
        <v>45679</v>
      </c>
      <c r="L195" s="42">
        <v>35000</v>
      </c>
      <c r="M195" s="21" t="s">
        <v>79</v>
      </c>
      <c r="N195" s="21" t="s">
        <v>387</v>
      </c>
      <c r="O195" s="21" t="s">
        <v>77</v>
      </c>
      <c r="P195" s="21" t="s">
        <v>27</v>
      </c>
      <c r="Q195" s="22">
        <v>25291</v>
      </c>
      <c r="R195" s="21" t="s">
        <v>70</v>
      </c>
      <c r="S195" s="63" t="s">
        <v>83</v>
      </c>
      <c r="T195" s="21">
        <v>3103584247</v>
      </c>
      <c r="U195" s="21" t="s">
        <v>461</v>
      </c>
      <c r="V195" s="26" t="e">
        <f>IF(P195=#REF!,"DIPLOMADO EN ATENCION PRE-HOSPITALARIA",IF(P195=#REF!,"ACOMPAÑAMIENTO Y MANEJO DEL DUELO",IF(P195=#REF!,"ATENCION A VICTIMAS DE ATAQUE CON AGENTES QUIMICOS ",IF(P195=#REF!,"PRIMEROS AUXILIOS ",IF(P195=#REF!,"DIPLOMADO DE UNIDAD DE CUIDADOS INTENSIVOS (UCI)",IF(P195=#REF!,"MODELO DE ATENCION PARA EVENTOS EMERGENTES EN SALUD MENTAL (CODIGO VERDE)",IF(P195=#REF!,"HUMANIZACION EN EL SERVICIO DE LA SALUD Y BUENAS PRACTICAS EN PACIENTE ",IF(P195=#REF!,"CLINICA DE HERIDAS ",IF(P195=#REF!,"TOMA DE CITOLOGIA CERVICO VAGINAL ",IF(P195=#REF!,"SOPORTE CARDIOVASCULAR AVANZADO (ACLS) ",IF(P195=#REF!,"CAMILLERO ",IF(P195=#REF!,"TOMA DE MUESTRAS Y LABORATORIO ",IF(P195=#REF!,"SOPORTE VITAL BASICO (BLS)",IF(P195=#REF!,"ATENCION A VICTIMAS DE VIOLENCIA SEXUAL ",IF(P195=#REF!,"PROGRAMADO AMPLIADO DE INMUNIZACION (PAI - COVID 19)",IF(P195=#REF!,"ATENCION INTEGRAL EN ENFERMEDADES PREVALENTES EN PRIMERA INFANCIA (AIEPI)",IF(P195=#REF!,"ADMINISTRACION DE MEDICAMENTOS, INYECTOLOGIA  Y CANALIZACION ",IF(P195=#REF!,"OPERADOR DE VEHICULOS DE EMERGENCIA (OVE)",IF(P195=#REF!,"INSTITUCIONES AMIGAS DE LA MUJER Y LA INFANCIA (IAMI)",IF(P195=#REF!,"CUIDADO DEL DONANTE DE ORGANOS",IF(P195=#REF!,"ATENCION A VICTIMAS POR VIOLENCIA DE GENERO",IF(P195=#REF!,"IGUALDAD DE GENERO EN LA SALUD",IF(P195=#REF!,"BRIGADA DE EMERGENCIA",IF(P195=#REF!,"MANEJO DEL DOLOR Y CUIDADOS PALIATIVOS",IF(P195=#REF!,"TOMA DE MUESTRAS Y LABORATORIO POCT",IF(P195=#REF!,"IMPLANTE SUBDERMICO DE DISPOSITIVO INTRAUTERINO",IF(P195=#REF!,"SALUD MENTAL",IF(P195=#REF!,"PRIMEROS AUXILIOS PSICOLOGICOS",IF(P195=#REF!,"ATENCION A VICTIMAS POR CONFLICTO ARMADO",IF(P195=#REF!,"MANIPULACION DE ALIMENTOS Y BPM",IF(P195=#REF!,"ATENCION A PERSONAS CON DISCAPACIDAD",IF(P195=#REF!,"CUIDADO INTEGRAL DEL PACIENTE ADULTO",IF(P195=#REF!,"MANEJO DEFENSIVO",IF(P195=#REF!,"SOPORTE CARDIOVASCULAR AVANZADO NEONATAL",IF(P195=#REF!,"SEGURIDAD DEL PACIENTE",IF(P195=#REF!,"MANEJO DE RESIDUOS HOSPITALARIOS"))))))))))))))))))))))))))))))))))))</f>
        <v>#REF!</v>
      </c>
      <c r="W195" s="26" t="str">
        <f t="shared" si="12"/>
        <v>Tomas Armando Caicedo Toro</v>
      </c>
      <c r="X195" s="26" t="str">
        <f t="shared" si="13"/>
        <v>Tomas Armando Caicedo Toro</v>
      </c>
      <c r="Y195" s="26" t="str">
        <f t="shared" si="14"/>
        <v>Tomas Armando Caicedo Toro-79520757-VIOLENCIA SEXUAL</v>
      </c>
    </row>
    <row r="196" spans="1:25" x14ac:dyDescent="0.2">
      <c r="A196" s="20">
        <v>195</v>
      </c>
      <c r="B196" s="21">
        <v>1004192571</v>
      </c>
      <c r="C196" s="21" t="s">
        <v>175</v>
      </c>
      <c r="D196" s="21" t="s">
        <v>145</v>
      </c>
      <c r="E196" s="21" t="s">
        <v>462</v>
      </c>
      <c r="F196" s="21" t="s">
        <v>463</v>
      </c>
      <c r="G196" s="21">
        <v>23</v>
      </c>
      <c r="H196" s="21" t="s">
        <v>49</v>
      </c>
      <c r="I196" s="22" t="s">
        <v>376</v>
      </c>
      <c r="J196" s="22"/>
      <c r="K196" s="23">
        <v>45680</v>
      </c>
      <c r="L196" s="42">
        <v>32000</v>
      </c>
      <c r="M196" s="21" t="s">
        <v>79</v>
      </c>
      <c r="N196" s="21" t="s">
        <v>387</v>
      </c>
      <c r="O196" s="21" t="s">
        <v>69</v>
      </c>
      <c r="P196" s="21" t="s">
        <v>26</v>
      </c>
      <c r="Q196" s="22">
        <v>37739</v>
      </c>
      <c r="R196" s="21" t="s">
        <v>70</v>
      </c>
      <c r="S196" s="21" t="s">
        <v>107</v>
      </c>
      <c r="T196" s="21">
        <v>3113791278</v>
      </c>
      <c r="U196" s="21" t="s">
        <v>464</v>
      </c>
      <c r="V196" s="26" t="e">
        <f>IF(P196=#REF!,"DIPLOMADO EN ATENCION PRE-HOSPITALARIA",IF(P196=#REF!,"ACOMPAÑAMIENTO Y MANEJO DEL DUELO",IF(P196=#REF!,"ATENCION A VICTIMAS DE ATAQUE CON AGENTES QUIMICOS ",IF(P196=#REF!,"PRIMEROS AUXILIOS ",IF(P196=#REF!,"DIPLOMADO DE UNIDAD DE CUIDADOS INTENSIVOS (UCI)",IF(P196=#REF!,"MODELO DE ATENCION PARA EVENTOS EMERGENTES EN SALUD MENTAL (CODIGO VERDE)",IF(P196=#REF!,"HUMANIZACION EN EL SERVICIO DE LA SALUD Y BUENAS PRACTICAS EN PACIENTE ",IF(P196=#REF!,"CLINICA DE HERIDAS ",IF(P196=#REF!,"TOMA DE CITOLOGIA CERVICO VAGINAL ",IF(P196=#REF!,"SOPORTE CARDIOVASCULAR AVANZADO (ACLS) ",IF(P196=#REF!,"CAMILLERO ",IF(P196=#REF!,"TOMA DE MUESTRAS Y LABORATORIO ",IF(P196=#REF!,"SOPORTE VITAL BASICO (BLS)",IF(P196=#REF!,"ATENCION A VICTIMAS DE VIOLENCIA SEXUAL ",IF(P196=#REF!,"PROGRAMADO AMPLIADO DE INMUNIZACION (PAI - COVID 19)",IF(P196=#REF!,"ATENCION INTEGRAL EN ENFERMEDADES PREVALENTES EN PRIMERA INFANCIA (AIEPI)",IF(P196=#REF!,"ADMINISTRACION DE MEDICAMENTOS, INYECTOLOGIA  Y CANALIZACION ",IF(P196=#REF!,"OPERADOR DE VEHICULOS DE EMERGENCIA (OVE)",IF(P196=#REF!,"INSTITUCIONES AMIGAS DE LA MUJER Y LA INFANCIA (IAMI)",IF(P196=#REF!,"CUIDADO DEL DONANTE DE ORGANOS",IF(P196=#REF!,"ATENCION A VICTIMAS POR VIOLENCIA DE GENERO",IF(P196=#REF!,"IGUALDAD DE GENERO EN LA SALUD",IF(P196=#REF!,"BRIGADA DE EMERGENCIA",IF(P196=#REF!,"MANEJO DEL DOLOR Y CUIDADOS PALIATIVOS",IF(P196=#REF!,"TOMA DE MUESTRAS Y LABORATORIO POCT",IF(P196=#REF!,"IMPLANTE SUBDERMICO DE DISPOSITIVO INTRAUTERINO",IF(P196=#REF!,"SALUD MENTAL",IF(P196=#REF!,"PRIMEROS AUXILIOS PSICOLOGICOS",IF(P196=#REF!,"ATENCION A VICTIMAS POR CONFLICTO ARMADO",IF(P196=#REF!,"MANIPULACION DE ALIMENTOS Y BPM",IF(P196=#REF!,"ATENCION A PERSONAS CON DISCAPACIDAD",IF(P196=#REF!,"CUIDADO INTEGRAL DEL PACIENTE ADULTO",IF(P196=#REF!,"MANEJO DEFENSIVO",IF(P196=#REF!,"SOPORTE CARDIOVASCULAR AVANZADO NEONATAL",IF(P196=#REF!,"SEGURIDAD DEL PACIENTE",IF(P196=#REF!,"MANEJO DE RESIDUOS HOSPITALARIOS"))))))))))))))))))))))))))))))))))))</f>
        <v>#REF!</v>
      </c>
      <c r="W196" s="26" t="str">
        <f t="shared" si="12"/>
        <v>Danilo Yecid Rosero Eraso</v>
      </c>
      <c r="X196" s="26" t="str">
        <f t="shared" si="13"/>
        <v>Danilo Yecid Rosero Eraso</v>
      </c>
      <c r="Y196" s="26" t="str">
        <f t="shared" si="14"/>
        <v>Danilo Yecid Rosero Eraso-1004192571-TOMA DE MUESTRAS</v>
      </c>
    </row>
    <row r="197" spans="1:25" x14ac:dyDescent="0.2">
      <c r="A197" s="20">
        <v>196</v>
      </c>
      <c r="B197" s="21">
        <v>1004192571</v>
      </c>
      <c r="C197" s="21" t="s">
        <v>175</v>
      </c>
      <c r="D197" s="21" t="s">
        <v>145</v>
      </c>
      <c r="E197" s="21" t="s">
        <v>462</v>
      </c>
      <c r="F197" s="21" t="s">
        <v>463</v>
      </c>
      <c r="G197" s="21">
        <v>22</v>
      </c>
      <c r="H197" s="21" t="s">
        <v>49</v>
      </c>
      <c r="I197" s="22" t="s">
        <v>376</v>
      </c>
      <c r="J197" s="22"/>
      <c r="K197" s="23">
        <v>45680</v>
      </c>
      <c r="L197" s="42">
        <v>32000</v>
      </c>
      <c r="M197" s="21" t="s">
        <v>79</v>
      </c>
      <c r="N197" s="21" t="s">
        <v>387</v>
      </c>
      <c r="O197" s="21" t="s">
        <v>69</v>
      </c>
      <c r="P197" s="21" t="s">
        <v>20</v>
      </c>
      <c r="Q197" s="22">
        <v>37739</v>
      </c>
      <c r="R197" s="21" t="s">
        <v>70</v>
      </c>
      <c r="S197" s="21" t="s">
        <v>107</v>
      </c>
      <c r="T197" s="21">
        <v>3113791278</v>
      </c>
      <c r="U197" s="21" t="s">
        <v>464</v>
      </c>
      <c r="V197" s="26" t="e">
        <f>IF(P197=#REF!,"DIPLOMADO EN ATENCION PRE-HOSPITALARIA",IF(P197=#REF!,"ACOMPAÑAMIENTO Y MANEJO DEL DUELO",IF(P197=#REF!,"ATENCION A VICTIMAS DE ATAQUE CON AGENTES QUIMICOS ",IF(P197=#REF!,"PRIMEROS AUXILIOS ",IF(P197=#REF!,"DIPLOMADO DE UNIDAD DE CUIDADOS INTENSIVOS (UCI)",IF(P197=#REF!,"MODELO DE ATENCION PARA EVENTOS EMERGENTES EN SALUD MENTAL (CODIGO VERDE)",IF(P197=#REF!,"HUMANIZACION EN EL SERVICIO DE LA SALUD Y BUENAS PRACTICAS EN PACIENTE ",IF(P197=#REF!,"CLINICA DE HERIDAS ",IF(P197=#REF!,"TOMA DE CITOLOGIA CERVICO VAGINAL ",IF(P197=#REF!,"SOPORTE CARDIOVASCULAR AVANZADO (ACLS) ",IF(P197=#REF!,"CAMILLERO ",IF(P197=#REF!,"TOMA DE MUESTRAS Y LABORATORIO ",IF(P197=#REF!,"SOPORTE VITAL BASICO (BLS)",IF(P197=#REF!,"ATENCION A VICTIMAS DE VIOLENCIA SEXUAL ",IF(P197=#REF!,"PROGRAMADO AMPLIADO DE INMUNIZACION (PAI - COVID 19)",IF(P197=#REF!,"ATENCION INTEGRAL EN ENFERMEDADES PREVALENTES EN PRIMERA INFANCIA (AIEPI)",IF(P197=#REF!,"ADMINISTRACION DE MEDICAMENTOS, INYECTOLOGIA  Y CANALIZACION ",IF(P197=#REF!,"OPERADOR DE VEHICULOS DE EMERGENCIA (OVE)",IF(P197=#REF!,"INSTITUCIONES AMIGAS DE LA MUJER Y LA INFANCIA (IAMI)",IF(P197=#REF!,"CUIDADO DEL DONANTE DE ORGANOS",IF(P197=#REF!,"ATENCION A VICTIMAS POR VIOLENCIA DE GENERO",IF(P197=#REF!,"IGUALDAD DE GENERO EN LA SALUD",IF(P197=#REF!,"BRIGADA DE EMERGENCIA",IF(P197=#REF!,"MANEJO DEL DOLOR Y CUIDADOS PALIATIVOS",IF(P197=#REF!,"TOMA DE MUESTRAS Y LABORATORIO POCT",IF(P197=#REF!,"IMPLANTE SUBDERMICO DE DISPOSITIVO INTRAUTERINO",IF(P197=#REF!,"SALUD MENTAL",IF(P197=#REF!,"PRIMEROS AUXILIOS PSICOLOGICOS",IF(P197=#REF!,"ATENCION A VICTIMAS POR CONFLICTO ARMADO",IF(P197=#REF!,"MANIPULACION DE ALIMENTOS Y BPM",IF(P197=#REF!,"ATENCION A PERSONAS CON DISCAPACIDAD",IF(P197=#REF!,"CUIDADO INTEGRAL DEL PACIENTE ADULTO",IF(P197=#REF!,"MANEJO DEFENSIVO",IF(P197=#REF!,"SOPORTE CARDIOVASCULAR AVANZADO NEONATAL",IF(P197=#REF!,"SEGURIDAD DEL PACIENTE",IF(P197=#REF!,"MANEJO DE RESIDUOS HOSPITALARIOS"))))))))))))))))))))))))))))))))))))</f>
        <v>#REF!</v>
      </c>
      <c r="W197" s="26" t="str">
        <f t="shared" si="12"/>
        <v>Danilo Yecid Rosero Eraso</v>
      </c>
      <c r="X197" s="26" t="str">
        <f t="shared" si="13"/>
        <v>Danilo Yecid Rosero Eraso</v>
      </c>
      <c r="Y197" s="26" t="str">
        <f t="shared" si="14"/>
        <v>Danilo Yecid Rosero Eraso-1004192571-DUELO</v>
      </c>
    </row>
    <row r="198" spans="1:25" x14ac:dyDescent="0.2">
      <c r="A198" s="20">
        <v>197</v>
      </c>
      <c r="B198" s="21">
        <v>1193405562</v>
      </c>
      <c r="C198" s="21" t="s">
        <v>465</v>
      </c>
      <c r="D198" s="21" t="s">
        <v>466</v>
      </c>
      <c r="E198" s="21" t="s">
        <v>384</v>
      </c>
      <c r="F198" s="21" t="s">
        <v>467</v>
      </c>
      <c r="G198" s="21">
        <v>23</v>
      </c>
      <c r="H198" s="21" t="s">
        <v>49</v>
      </c>
      <c r="I198" s="22" t="s">
        <v>377</v>
      </c>
      <c r="J198" s="22"/>
      <c r="K198" s="23">
        <v>45680</v>
      </c>
      <c r="L198" s="42">
        <v>65000</v>
      </c>
      <c r="M198" s="21" t="s">
        <v>133</v>
      </c>
      <c r="N198" s="21" t="s">
        <v>387</v>
      </c>
      <c r="O198" s="21" t="s">
        <v>69</v>
      </c>
      <c r="P198" s="21" t="s">
        <v>23</v>
      </c>
      <c r="Q198" s="22">
        <v>36145</v>
      </c>
      <c r="R198" s="21" t="s">
        <v>70</v>
      </c>
      <c r="S198" s="21" t="s">
        <v>468</v>
      </c>
      <c r="T198" s="25">
        <v>3193491581</v>
      </c>
      <c r="U198" s="21" t="s">
        <v>469</v>
      </c>
      <c r="V198" s="26" t="e">
        <f>IF(P198=#REF!,"DIPLOMADO EN ATENCION PRE-HOSPITALARIA",IF(P198=#REF!,"ACOMPAÑAMIENTO Y MANEJO DEL DUELO",IF(P198=#REF!,"ATENCION A VICTIMAS DE ATAQUE CON AGENTES QUIMICOS ",IF(P198=#REF!,"PRIMEROS AUXILIOS ",IF(P198=#REF!,"DIPLOMADO DE UNIDAD DE CUIDADOS INTENSIVOS (UCI)",IF(P198=#REF!,"MODELO DE ATENCION PARA EVENTOS EMERGENTES EN SALUD MENTAL (CODIGO VERDE)",IF(P198=#REF!,"HUMANIZACION EN EL SERVICIO DE LA SALUD Y BUENAS PRACTICAS EN PACIENTE ",IF(P198=#REF!,"CLINICA DE HERIDAS ",IF(P198=#REF!,"TOMA DE CITOLOGIA CERVICO VAGINAL ",IF(P198=#REF!,"SOPORTE CARDIOVASCULAR AVANZADO (ACLS) ",IF(P198=#REF!,"CAMILLERO ",IF(P198=#REF!,"TOMA DE MUESTRAS Y LABORATORIO ",IF(P198=#REF!,"SOPORTE VITAL BASICO (BLS)",IF(P198=#REF!,"ATENCION A VICTIMAS DE VIOLENCIA SEXUAL ",IF(P198=#REF!,"PROGRAMADO AMPLIADO DE INMUNIZACION (PAI - COVID 19)",IF(P198=#REF!,"ATENCION INTEGRAL EN ENFERMEDADES PREVALENTES EN PRIMERA INFANCIA (AIEPI)",IF(P198=#REF!,"ADMINISTRACION DE MEDICAMENTOS, INYECTOLOGIA  Y CANALIZACION ",IF(P198=#REF!,"OPERADOR DE VEHICULOS DE EMERGENCIA (OVE)",IF(P198=#REF!,"INSTITUCIONES AMIGAS DE LA MUJER Y LA INFANCIA (IAMI)",IF(P198=#REF!,"CUIDADO DEL DONANTE DE ORGANOS",IF(P198=#REF!,"ATENCION A VICTIMAS POR VIOLENCIA DE GENERO",IF(P198=#REF!,"IGUALDAD DE GENERO EN LA SALUD",IF(P198=#REF!,"BRIGADA DE EMERGENCIA",IF(P198=#REF!,"MANEJO DEL DOLOR Y CUIDADOS PALIATIVOS",IF(P198=#REF!,"TOMA DE MUESTRAS Y LABORATORIO POCT",IF(P198=#REF!,"IMPLANTE SUBDERMICO DE DISPOSITIVO INTRAUTERINO",IF(P198=#REF!,"SALUD MENTAL",IF(P198=#REF!,"PRIMEROS AUXILIOS PSICOLOGICOS",IF(P198=#REF!,"ATENCION A VICTIMAS POR CONFLICTO ARMADO",IF(P198=#REF!,"MANIPULACION DE ALIMENTOS Y BPM",IF(P198=#REF!,"ATENCION A PERSONAS CON DISCAPACIDAD",IF(P198=#REF!,"CUIDADO INTEGRAL DEL PACIENTE ADULTO",IF(P198=#REF!,"MANEJO DEFENSIVO",IF(P198=#REF!,"SOPORTE CARDIOVASCULAR AVANZADO NEONATAL",IF(P198=#REF!,"SEGURIDAD DEL PACIENTE",IF(P198=#REF!,"MANEJO DE RESIDUOS HOSPITALARIOS"))))))))))))))))))))))))))))))))))))</f>
        <v>#REF!</v>
      </c>
      <c r="W198" s="26" t="str">
        <f t="shared" si="12"/>
        <v>German Sebastian Villota Guancha</v>
      </c>
      <c r="X198" s="26" t="str">
        <f t="shared" si="13"/>
        <v>German Sebastian Villota Guancha</v>
      </c>
      <c r="Y198" s="26" t="str">
        <f t="shared" si="14"/>
        <v>German Sebastian Villota Guancha-1193405562-HUMANIZACION</v>
      </c>
    </row>
    <row r="199" spans="1:25" x14ac:dyDescent="0.2">
      <c r="A199" s="46">
        <v>198</v>
      </c>
      <c r="B199" s="21">
        <v>1004192571</v>
      </c>
      <c r="C199" s="21" t="s">
        <v>175</v>
      </c>
      <c r="D199" s="21" t="s">
        <v>145</v>
      </c>
      <c r="E199" s="21" t="s">
        <v>462</v>
      </c>
      <c r="F199" s="21" t="s">
        <v>463</v>
      </c>
      <c r="G199" s="21">
        <v>21</v>
      </c>
      <c r="H199" s="21" t="s">
        <v>49</v>
      </c>
      <c r="I199" s="22" t="s">
        <v>376</v>
      </c>
      <c r="J199" s="22"/>
      <c r="K199" s="23">
        <v>45680</v>
      </c>
      <c r="L199" s="42">
        <v>32000</v>
      </c>
      <c r="M199" s="21" t="s">
        <v>79</v>
      </c>
      <c r="N199" s="21" t="s">
        <v>387</v>
      </c>
      <c r="O199" s="21" t="s">
        <v>69</v>
      </c>
      <c r="P199" s="21" t="s">
        <v>35</v>
      </c>
      <c r="Q199" s="22">
        <v>37739</v>
      </c>
      <c r="R199" s="21" t="s">
        <v>70</v>
      </c>
      <c r="S199" s="21" t="s">
        <v>107</v>
      </c>
      <c r="T199" s="21">
        <v>3113791278</v>
      </c>
      <c r="U199" s="21" t="s">
        <v>464</v>
      </c>
      <c r="V199" s="61" t="e">
        <f>IF(P199=#REF!,"DIPLOMADO EN ATENCION PRE-HOSPITALARIA",IF(P199=#REF!,"ACOMPAÑAMIENTO Y MANEJO DEL DUELO",IF(P199=#REF!,"ATENCION A VICTIMAS DE ATAQUE CON AGENTES QUIMICOS ",IF(P199=#REF!,"PRIMEROS AUXILIOS ",IF(P199=#REF!,"DIPLOMADO DE UNIDAD DE CUIDADOS INTENSIVOS (UCI)",IF(P199=#REF!,"MODELO DE ATENCION PARA EVENTOS EMERGENTES EN SALUD MENTAL (CODIGO VERDE)",IF(P199=#REF!,"HUMANIZACION EN EL SERVICIO DE LA SALUD Y BUENAS PRACTICAS EN PACIENTE ",IF(P199=#REF!,"CLINICA DE HERIDAS ",IF(P199=#REF!,"TOMA DE CITOLOGIA CERVICO VAGINAL ",IF(P199=#REF!,"SOPORTE CARDIOVASCULAR AVANZADO (ACLS) ",IF(P199=#REF!,"CAMILLERO ",IF(P199=#REF!,"TOMA DE MUESTRAS Y LABORATORIO ",IF(P199=#REF!,"SOPORTE VITAL BASICO (BLS)",IF(P199=#REF!,"ATENCION A VICTIMAS DE VIOLENCIA SEXUAL ",IF(P199=#REF!,"PROGRAMADO AMPLIADO DE INMUNIZACION (PAI - COVID 19)",IF(P199=#REF!,"ATENCION INTEGRAL EN ENFERMEDADES PREVALENTES EN PRIMERA INFANCIA (AIEPI)",IF(P199=#REF!,"ADMINISTRACION DE MEDICAMENTOS, INYECTOLOGIA  Y CANALIZACION ",IF(P199=#REF!,"OPERADOR DE VEHICULOS DE EMERGENCIA (OVE)",IF(P199=#REF!,"INSTITUCIONES AMIGAS DE LA MUJER Y LA INFANCIA (IAMI)",IF(P199=#REF!,"CUIDADO DEL DONANTE DE ORGANOS",IF(P199=#REF!,"ATENCION A VICTIMAS POR VIOLENCIA DE GENERO",IF(P199=#REF!,"IGUALDAD DE GENERO EN LA SALUD",IF(P199=#REF!,"BRIGADA DE EMERGENCIA",IF(P199=#REF!,"MANEJO DEL DOLOR Y CUIDADOS PALIATIVOS",IF(P199=#REF!,"TOMA DE MUESTRAS Y LABORATORIO POCT",IF(P199=#REF!,"IMPLANTE SUBDERMICO DE DISPOSITIVO INTRAUTERINO",IF(P199=#REF!,"SALUD MENTAL",IF(P199=#REF!,"PRIMEROS AUXILIOS PSICOLOGICOS",IF(P199=#REF!,"ATENCION A VICTIMAS POR CONFLICTO ARMADO",IF(P199=#REF!,"MANIPULACION DE ALIMENTOS Y BPM",IF(P199=#REF!,"ATENCION A PERSONAS CON DISCAPACIDAD",IF(P199=#REF!,"CUIDADO INTEGRAL DEL PACIENTE ADULTO",IF(P199=#REF!,"MANEJO DEFENSIVO",IF(P199=#REF!,"SOPORTE CARDIOVASCULAR AVANZADO NEONATAL",IF(P199=#REF!,"SEGURIDAD DEL PACIENTE",IF(P199=#REF!,"MANEJO DE RESIDUOS HOSPITALARIOS"))))))))))))))))))))))))))))))))))))</f>
        <v>#REF!</v>
      </c>
      <c r="W199" s="61" t="str">
        <f t="shared" si="12"/>
        <v>Danilo Yecid Rosero Eraso</v>
      </c>
      <c r="X199" s="61" t="str">
        <f t="shared" si="13"/>
        <v>Danilo Yecid Rosero Eraso</v>
      </c>
      <c r="Y199" s="61" t="str">
        <f t="shared" si="14"/>
        <v>Danilo Yecid Rosero Eraso-1004192571-POCT</v>
      </c>
    </row>
    <row r="200" spans="1:25" x14ac:dyDescent="0.2">
      <c r="A200" s="20">
        <v>199</v>
      </c>
      <c r="B200" s="21">
        <v>59672910</v>
      </c>
      <c r="C200" s="21" t="s">
        <v>470</v>
      </c>
      <c r="D200" s="21" t="s">
        <v>471</v>
      </c>
      <c r="E200" s="21" t="s">
        <v>472</v>
      </c>
      <c r="F200" s="21"/>
      <c r="G200" s="21">
        <v>23</v>
      </c>
      <c r="H200" s="21" t="s">
        <v>49</v>
      </c>
      <c r="I200" s="52" t="s">
        <v>377</v>
      </c>
      <c r="J200" s="52"/>
      <c r="K200" s="23">
        <v>45680</v>
      </c>
      <c r="L200" s="42">
        <v>65000</v>
      </c>
      <c r="M200" s="21" t="s">
        <v>79</v>
      </c>
      <c r="N200" s="21" t="s">
        <v>387</v>
      </c>
      <c r="O200" s="21" t="s">
        <v>69</v>
      </c>
      <c r="P200" s="21" t="s">
        <v>19</v>
      </c>
      <c r="Q200" s="22">
        <v>27503</v>
      </c>
      <c r="R200" s="21" t="s">
        <v>71</v>
      </c>
      <c r="S200" s="21" t="s">
        <v>107</v>
      </c>
      <c r="T200" s="21">
        <v>3153572988</v>
      </c>
      <c r="U200" s="21" t="s">
        <v>473</v>
      </c>
      <c r="V200" s="26" t="e">
        <f>IF(P200=#REF!,"DIPLOMADO EN ATENCION PRE-HOSPITALARIA",IF(P200=#REF!,"ACOMPAÑAMIENTO Y MANEJO DEL DUELO",IF(P200=#REF!,"ATENCION A VICTIMAS DE ATAQUE CON AGENTES QUIMICOS ",IF(P200=#REF!,"PRIMEROS AUXILIOS ",IF(P200=#REF!,"DIPLOMADO DE UNIDAD DE CUIDADOS INTENSIVOS (UCI)",IF(P200=#REF!,"MODELO DE ATENCION PARA EVENTOS EMERGENTES EN SALUD MENTAL (CODIGO VERDE)",IF(P200=#REF!,"HUMANIZACION EN EL SERVICIO DE LA SALUD Y BUENAS PRACTICAS EN PACIENTE ",IF(P200=#REF!,"CLINICA DE HERIDAS ",IF(P200=#REF!,"TOMA DE CITOLOGIA CERVICO VAGINAL ",IF(P200=#REF!,"SOPORTE CARDIOVASCULAR AVANZADO (ACLS) ",IF(P200=#REF!,"CAMILLERO ",IF(P200=#REF!,"TOMA DE MUESTRAS Y LABORATORIO ",IF(P200=#REF!,"SOPORTE VITAL BASICO (BLS)",IF(P200=#REF!,"ATENCION A VICTIMAS DE VIOLENCIA SEXUAL ",IF(P200=#REF!,"PROGRAMADO AMPLIADO DE INMUNIZACION (PAI - COVID 19)",IF(P200=#REF!,"ATENCION INTEGRAL EN ENFERMEDADES PREVALENTES EN PRIMERA INFANCIA (AIEPI)",IF(P200=#REF!,"ADMINISTRACION DE MEDICAMENTOS, INYECTOLOGIA  Y CANALIZACION ",IF(P200=#REF!,"OPERADOR DE VEHICULOS DE EMERGENCIA (OVE)",IF(P200=#REF!,"INSTITUCIONES AMIGAS DE LA MUJER Y LA INFANCIA (IAMI)",IF(P200=#REF!,"CUIDADO DEL DONANTE DE ORGANOS",IF(P200=#REF!,"ATENCION A VICTIMAS POR VIOLENCIA DE GENERO",IF(P200=#REF!,"IGUALDAD DE GENERO EN LA SALUD",IF(P200=#REF!,"BRIGADA DE EMERGENCIA",IF(P200=#REF!,"MANEJO DEL DOLOR Y CUIDADOS PALIATIVOS",IF(P200=#REF!,"TOMA DE MUESTRAS Y LABORATORIO POCT",IF(P200=#REF!,"IMPLANTE SUBDERMICO DE DISPOSITIVO INTRAUTERINO",IF(P200=#REF!,"SALUD MENTAL",IF(P200=#REF!,"PRIMEROS AUXILIOS PSICOLOGICOS",IF(P200=#REF!,"ATENCION A VICTIMAS POR CONFLICTO ARMADO",IF(P200=#REF!,"MANIPULACION DE ALIMENTOS Y BPM",IF(P200=#REF!,"ATENCION A PERSONAS CON DISCAPACIDAD",IF(P200=#REF!,"CUIDADO INTEGRAL DEL PACIENTE ADULTO",IF(P200=#REF!,"MANEJO DEFENSIVO",IF(P200=#REF!,"SOPORTE CARDIOVASCULAR AVANZADO NEONATAL",IF(P200=#REF!,"SEGURIDAD DEL PACIENTE",IF(P200=#REF!,"MANEJO DE RESIDUOS HOSPITALARIOS"))))))))))))))))))))))))))))))))))))</f>
        <v>#REF!</v>
      </c>
      <c r="W200" s="26" t="str">
        <f t="shared" si="12"/>
        <v>Amparo  Montaño Salazar</v>
      </c>
      <c r="X200" s="26" t="str">
        <f t="shared" si="13"/>
        <v>Amparo  Montaño Salazar</v>
      </c>
      <c r="Y200" s="26" t="str">
        <f t="shared" si="14"/>
        <v>Amparo  Montaño Salazar-59672910-BLS</v>
      </c>
    </row>
    <row r="201" spans="1:25" x14ac:dyDescent="0.2">
      <c r="A201" s="20">
        <v>200</v>
      </c>
      <c r="B201" s="21">
        <v>1101391350</v>
      </c>
      <c r="C201" s="21" t="s">
        <v>475</v>
      </c>
      <c r="D201" s="21" t="s">
        <v>477</v>
      </c>
      <c r="E201" s="21" t="s">
        <v>476</v>
      </c>
      <c r="F201" s="21"/>
      <c r="G201" s="21">
        <v>24</v>
      </c>
      <c r="H201" s="21" t="s">
        <v>49</v>
      </c>
      <c r="I201" s="52" t="s">
        <v>377</v>
      </c>
      <c r="J201" s="52"/>
      <c r="K201" s="23">
        <v>45680</v>
      </c>
      <c r="L201" s="42">
        <v>65000</v>
      </c>
      <c r="M201" s="21" t="s">
        <v>106</v>
      </c>
      <c r="N201" s="21" t="s">
        <v>387</v>
      </c>
      <c r="O201" s="21" t="s">
        <v>69</v>
      </c>
      <c r="P201" s="21" t="s">
        <v>20</v>
      </c>
      <c r="Q201" s="22">
        <v>36125</v>
      </c>
      <c r="R201" s="21" t="s">
        <v>71</v>
      </c>
      <c r="S201" s="21" t="s">
        <v>107</v>
      </c>
      <c r="T201" s="21">
        <v>3232884442</v>
      </c>
      <c r="U201" s="21" t="s">
        <v>474</v>
      </c>
      <c r="V201" s="26" t="e">
        <f>IF(P201=#REF!,"DIPLOMADO EN ATENCION PRE-HOSPITALARIA",IF(P201=#REF!,"ACOMPAÑAMIENTO Y MANEJO DEL DUELO",IF(P201=#REF!,"ATENCION A VICTIMAS DE ATAQUE CON AGENTES QUIMICOS ",IF(P201=#REF!,"PRIMEROS AUXILIOS ",IF(P201=#REF!,"DIPLOMADO DE UNIDAD DE CUIDADOS INTENSIVOS (UCI)",IF(P201=#REF!,"MODELO DE ATENCION PARA EVENTOS EMERGENTES EN SALUD MENTAL (CODIGO VERDE)",IF(P201=#REF!,"HUMANIZACION EN EL SERVICIO DE LA SALUD Y BUENAS PRACTICAS EN PACIENTE ",IF(P201=#REF!,"CLINICA DE HERIDAS ",IF(P201=#REF!,"TOMA DE CITOLOGIA CERVICO VAGINAL ",IF(P201=#REF!,"SOPORTE CARDIOVASCULAR AVANZADO (ACLS) ",IF(P201=#REF!,"CAMILLERO ",IF(P201=#REF!,"TOMA DE MUESTRAS Y LABORATORIO ",IF(P201=#REF!,"SOPORTE VITAL BASICO (BLS)",IF(P201=#REF!,"ATENCION A VICTIMAS DE VIOLENCIA SEXUAL ",IF(P201=#REF!,"PROGRAMADO AMPLIADO DE INMUNIZACION (PAI - COVID 19)",IF(P201=#REF!,"ATENCION INTEGRAL EN ENFERMEDADES PREVALENTES EN PRIMERA INFANCIA (AIEPI)",IF(P201=#REF!,"ADMINISTRACION DE MEDICAMENTOS, INYECTOLOGIA  Y CANALIZACION ",IF(P201=#REF!,"OPERADOR DE VEHICULOS DE EMERGENCIA (OVE)",IF(P201=#REF!,"INSTITUCIONES AMIGAS DE LA MUJER Y LA INFANCIA (IAMI)",IF(P201=#REF!,"CUIDADO DEL DONANTE DE ORGANOS",IF(P201=#REF!,"ATENCION A VICTIMAS POR VIOLENCIA DE GENERO",IF(P201=#REF!,"IGUALDAD DE GENERO EN LA SALUD",IF(P201=#REF!,"BRIGADA DE EMERGENCIA",IF(P201=#REF!,"MANEJO DEL DOLOR Y CUIDADOS PALIATIVOS",IF(P201=#REF!,"TOMA DE MUESTRAS Y LABORATORIO POCT",IF(P201=#REF!,"IMPLANTE SUBDERMICO DE DISPOSITIVO INTRAUTERINO",IF(P201=#REF!,"SALUD MENTAL",IF(P201=#REF!,"PRIMEROS AUXILIOS PSICOLOGICOS",IF(P201=#REF!,"ATENCION A VICTIMAS POR CONFLICTO ARMADO",IF(P201=#REF!,"MANIPULACION DE ALIMENTOS Y BPM",IF(P201=#REF!,"ATENCION A PERSONAS CON DISCAPACIDAD",IF(P201=#REF!,"CUIDADO INTEGRAL DEL PACIENTE ADULTO",IF(P201=#REF!,"MANEJO DEFENSIVO",IF(P201=#REF!,"SOPORTE CARDIOVASCULAR AVANZADO NEONATAL",IF(P201=#REF!,"SEGURIDAD DEL PACIENTE",IF(P201=#REF!,"MANEJO DE RESIDUOS HOSPITALARIOS"))))))))))))))))))))))))))))))))))))</f>
        <v>#REF!</v>
      </c>
      <c r="W201" s="26" t="str">
        <f t="shared" si="12"/>
        <v>Valeria  Rondon Osorio</v>
      </c>
      <c r="X201" s="26" t="str">
        <f t="shared" si="13"/>
        <v>Valeria  Rondon Osorio</v>
      </c>
      <c r="Y201" s="26" t="str">
        <f t="shared" si="14"/>
        <v>Valeria  Rondon Osorio-1101391350-DUELO</v>
      </c>
    </row>
    <row r="202" spans="1:25" x14ac:dyDescent="0.2">
      <c r="A202" s="36">
        <v>201</v>
      </c>
      <c r="B202" s="37">
        <v>59311473</v>
      </c>
      <c r="C202" s="37" t="s">
        <v>227</v>
      </c>
      <c r="D202" s="37" t="s">
        <v>478</v>
      </c>
      <c r="E202" s="37" t="s">
        <v>479</v>
      </c>
      <c r="F202" s="37" t="s">
        <v>480</v>
      </c>
      <c r="G202" s="37">
        <v>24</v>
      </c>
      <c r="H202" s="37" t="s">
        <v>49</v>
      </c>
      <c r="I202" s="56" t="s">
        <v>377</v>
      </c>
      <c r="J202" s="56"/>
      <c r="K202" s="39">
        <v>45680</v>
      </c>
      <c r="L202" s="44">
        <v>65000</v>
      </c>
      <c r="M202" s="37" t="s">
        <v>79</v>
      </c>
      <c r="N202" s="37" t="s">
        <v>387</v>
      </c>
      <c r="O202" s="37" t="s">
        <v>69</v>
      </c>
      <c r="P202" s="37" t="s">
        <v>23</v>
      </c>
      <c r="Q202" s="38">
        <v>30631</v>
      </c>
      <c r="R202" s="37" t="s">
        <v>71</v>
      </c>
      <c r="S202" s="37" t="s">
        <v>481</v>
      </c>
      <c r="T202" s="37">
        <v>3155842894</v>
      </c>
      <c r="U202" s="37" t="s">
        <v>482</v>
      </c>
      <c r="V202" s="41" t="e">
        <f>IF(P202=#REF!,"DIPLOMADO EN ATENCION PRE-HOSPITALARIA",IF(P202=#REF!,"ACOMPAÑAMIENTO Y MANEJO DEL DUELO",IF(P202=#REF!,"ATENCION A VICTIMAS DE ATAQUE CON AGENTES QUIMICOS ",IF(P202=#REF!,"PRIMEROS AUXILIOS ",IF(P202=#REF!,"DIPLOMADO DE UNIDAD DE CUIDADOS INTENSIVOS (UCI)",IF(P202=#REF!,"MODELO DE ATENCION PARA EVENTOS EMERGENTES EN SALUD MENTAL (CODIGO VERDE)",IF(P202=#REF!,"HUMANIZACION EN EL SERVICIO DE LA SALUD Y BUENAS PRACTICAS EN PACIENTE ",IF(P202=#REF!,"CLINICA DE HERIDAS ",IF(P202=#REF!,"TOMA DE CITOLOGIA CERVICO VAGINAL ",IF(P202=#REF!,"SOPORTE CARDIOVASCULAR AVANZADO (ACLS) ",IF(P202=#REF!,"CAMILLERO ",IF(P202=#REF!,"TOMA DE MUESTRAS Y LABORATORIO ",IF(P202=#REF!,"SOPORTE VITAL BASICO (BLS)",IF(P202=#REF!,"ATENCION A VICTIMAS DE VIOLENCIA SEXUAL ",IF(P202=#REF!,"PROGRAMADO AMPLIADO DE INMUNIZACION (PAI - COVID 19)",IF(P202=#REF!,"ATENCION INTEGRAL EN ENFERMEDADES PREVALENTES EN PRIMERA INFANCIA (AIEPI)",IF(P202=#REF!,"ADMINISTRACION DE MEDICAMENTOS, INYECTOLOGIA  Y CANALIZACION ",IF(P202=#REF!,"OPERADOR DE VEHICULOS DE EMERGENCIA (OVE)",IF(P202=#REF!,"INSTITUCIONES AMIGAS DE LA MUJER Y LA INFANCIA (IAMI)",IF(P202=#REF!,"CUIDADO DEL DONANTE DE ORGANOS",IF(P202=#REF!,"ATENCION A VICTIMAS POR VIOLENCIA DE GENERO",IF(P202=#REF!,"IGUALDAD DE GENERO EN LA SALUD",IF(P202=#REF!,"BRIGADA DE EMERGENCIA",IF(P202=#REF!,"MANEJO DEL DOLOR Y CUIDADOS PALIATIVOS",IF(P202=#REF!,"TOMA DE MUESTRAS Y LABORATORIO POCT",IF(P202=#REF!,"IMPLANTE SUBDERMICO DE DISPOSITIVO INTRAUTERINO",IF(P202=#REF!,"SALUD MENTAL",IF(P202=#REF!,"PRIMEROS AUXILIOS PSICOLOGICOS",IF(P202=#REF!,"ATENCION A VICTIMAS POR CONFLICTO ARMADO",IF(P202=#REF!,"MANIPULACION DE ALIMENTOS Y BPM",IF(P202=#REF!,"ATENCION A PERSONAS CON DISCAPACIDAD",IF(P202=#REF!,"CUIDADO INTEGRAL DEL PACIENTE ADULTO",IF(P202=#REF!,"MANEJO DEFENSIVO",IF(P202=#REF!,"SOPORTE CARDIOVASCULAR AVANZADO NEONATAL",IF(P202=#REF!,"SEGURIDAD DEL PACIENTE",IF(P202=#REF!,"MANEJO DE RESIDUOS HOSPITALARIOS"))))))))))))))))))))))))))))))))))))</f>
        <v>#REF!</v>
      </c>
      <c r="W202" s="41" t="str">
        <f t="shared" si="12"/>
        <v>Miriam Lady Guerrero Luna</v>
      </c>
      <c r="X202" s="41" t="str">
        <f t="shared" si="13"/>
        <v>Miriam Lady Guerrero Luna</v>
      </c>
      <c r="Y202" s="41" t="str">
        <f t="shared" si="14"/>
        <v>Miriam Lady Guerrero Luna-59311473-HUMANIZACION</v>
      </c>
    </row>
    <row r="203" spans="1:25" s="19" customFormat="1" x14ac:dyDescent="0.2">
      <c r="A203" s="20">
        <v>202</v>
      </c>
      <c r="B203" s="21">
        <v>1085931728</v>
      </c>
      <c r="C203" s="21" t="s">
        <v>483</v>
      </c>
      <c r="D203" s="21" t="s">
        <v>484</v>
      </c>
      <c r="E203" s="21" t="s">
        <v>485</v>
      </c>
      <c r="F203" s="21" t="s">
        <v>146</v>
      </c>
      <c r="G203" s="21">
        <v>24</v>
      </c>
      <c r="H203" s="21" t="s">
        <v>49</v>
      </c>
      <c r="I203" s="22" t="s">
        <v>376</v>
      </c>
      <c r="J203" s="22"/>
      <c r="K203" s="23">
        <v>45681</v>
      </c>
      <c r="L203" s="42">
        <v>32000</v>
      </c>
      <c r="M203" s="21" t="s">
        <v>79</v>
      </c>
      <c r="N203" s="21" t="s">
        <v>387</v>
      </c>
      <c r="O203" s="21" t="s">
        <v>69</v>
      </c>
      <c r="P203" s="21" t="s">
        <v>19</v>
      </c>
      <c r="Q203" s="22">
        <v>34124</v>
      </c>
      <c r="R203" s="21" t="s">
        <v>71</v>
      </c>
      <c r="S203" s="21" t="s">
        <v>107</v>
      </c>
      <c r="T203" s="21">
        <v>3136343770</v>
      </c>
      <c r="U203" s="21" t="s">
        <v>486</v>
      </c>
      <c r="V203" s="26" t="e">
        <f>IF(P203=#REF!,"DIPLOMADO EN ATENCION PRE-HOSPITALARIA",IF(P203=#REF!,"ACOMPAÑAMIENTO Y MANEJO DEL DUELO",IF(P203=#REF!,"ATENCION A VICTIMAS DE ATAQUE CON AGENTES QUIMICOS ",IF(P203=#REF!,"PRIMEROS AUXILIOS ",IF(P203=#REF!,"DIPLOMADO DE UNIDAD DE CUIDADOS INTENSIVOS (UCI)",IF(P203=#REF!,"MODELO DE ATENCION PARA EVENTOS EMERGENTES EN SALUD MENTAL (CODIGO VERDE)",IF(P203=#REF!,"HUMANIZACION EN EL SERVICIO DE LA SALUD Y BUENAS PRACTICAS EN PACIENTE ",IF(P203=#REF!,"CLINICA DE HERIDAS ",IF(P203=#REF!,"TOMA DE CITOLOGIA CERVICO VAGINAL ",IF(P203=#REF!,"SOPORTE CARDIOVASCULAR AVANZADO (ACLS) ",IF(P203=#REF!,"CAMILLERO ",IF(P203=#REF!,"TOMA DE MUESTRAS Y LABORATORIO ",IF(P203=#REF!,"SOPORTE VITAL BASICO (BLS)",IF(P203=#REF!,"ATENCION A VICTIMAS DE VIOLENCIA SEXUAL ",IF(P203=#REF!,"PROGRAMADO AMPLIADO DE INMUNIZACION (PAI - COVID 19)",IF(P203=#REF!,"ATENCION INTEGRAL EN ENFERMEDADES PREVALENTES EN PRIMERA INFANCIA (AIEPI)",IF(P203=#REF!,"ADMINISTRACION DE MEDICAMENTOS, INYECTOLOGIA  Y CANALIZACION ",IF(P203=#REF!,"OPERADOR DE VEHICULOS DE EMERGENCIA (OVE)",IF(P203=#REF!,"INSTITUCIONES AMIGAS DE LA MUJER Y LA INFANCIA (IAMI)",IF(P203=#REF!,"CUIDADO DEL DONANTE DE ORGANOS",IF(P203=#REF!,"ATENCION A VICTIMAS POR VIOLENCIA DE GENERO",IF(P203=#REF!,"IGUALDAD DE GENERO EN LA SALUD",IF(P203=#REF!,"BRIGADA DE EMERGENCIA",IF(P203=#REF!,"MANEJO DEL DOLOR Y CUIDADOS PALIATIVOS",IF(P203=#REF!,"TOMA DE MUESTRAS Y LABORATORIO POCT",IF(P203=#REF!,"IMPLANTE SUBDERMICO DE DISPOSITIVO INTRAUTERINO",IF(P203=#REF!,"SALUD MENTAL",IF(P203=#REF!,"PRIMEROS AUXILIOS PSICOLOGICOS",IF(P203=#REF!,"ATENCION A VICTIMAS POR CONFLICTO ARMADO",IF(P203=#REF!,"MANIPULACION DE ALIMENTOS Y BPM",IF(P203=#REF!,"ATENCION A PERSONAS CON DISCAPACIDAD",IF(P203=#REF!,"CUIDADO INTEGRAL DEL PACIENTE ADULTO",IF(P203=#REF!,"MANEJO DEFENSIVO",IF(P203=#REF!,"SOPORTE CARDIOVASCULAR AVANZADO NEONATAL",IF(P203=#REF!,"SEGURIDAD DEL PACIENTE",IF(P203=#REF!,"MANEJO DE RESIDUOS HOSPITALARIOS"))))))))))))))))))))))))))))))))))))</f>
        <v>#REF!</v>
      </c>
      <c r="W203" s="26" t="str">
        <f t="shared" si="12"/>
        <v>Sthefania Daniela Alvarado Piaun</v>
      </c>
      <c r="X203" s="26" t="str">
        <f t="shared" si="13"/>
        <v>Sthefania Daniela Alvarado Piaun</v>
      </c>
      <c r="Y203" s="26" t="str">
        <f t="shared" si="14"/>
        <v>Sthefania Daniela Alvarado Piaun-1085931728-BLS</v>
      </c>
    </row>
    <row r="204" spans="1:25" x14ac:dyDescent="0.2">
      <c r="A204" s="20">
        <v>203</v>
      </c>
      <c r="B204" s="21">
        <v>1087673002</v>
      </c>
      <c r="C204" s="21" t="s">
        <v>487</v>
      </c>
      <c r="D204" s="21" t="s">
        <v>86</v>
      </c>
      <c r="E204" s="21" t="s">
        <v>50</v>
      </c>
      <c r="F204" s="21" t="s">
        <v>488</v>
      </c>
      <c r="G204" s="21">
        <v>24</v>
      </c>
      <c r="H204" s="21" t="s">
        <v>49</v>
      </c>
      <c r="I204" s="22" t="s">
        <v>377</v>
      </c>
      <c r="J204" s="22"/>
      <c r="K204" s="23">
        <v>45681</v>
      </c>
      <c r="L204" s="42">
        <v>65000</v>
      </c>
      <c r="M204" s="21" t="s">
        <v>79</v>
      </c>
      <c r="N204" s="21" t="s">
        <v>387</v>
      </c>
      <c r="O204" s="21" t="s">
        <v>69</v>
      </c>
      <c r="P204" s="21" t="s">
        <v>36</v>
      </c>
      <c r="Q204" s="22">
        <v>32764</v>
      </c>
      <c r="R204" s="21" t="s">
        <v>71</v>
      </c>
      <c r="S204" s="21" t="s">
        <v>107</v>
      </c>
      <c r="T204" s="21">
        <v>3115494077</v>
      </c>
      <c r="U204" s="21" t="s">
        <v>489</v>
      </c>
      <c r="V204" s="26" t="e">
        <f>IF(P204=#REF!,"DIPLOMADO EN ATENCION PRE-HOSPITALARIA",IF(P204=#REF!,"ACOMPAÑAMIENTO Y MANEJO DEL DUELO",IF(P204=#REF!,"ATENCION A VICTIMAS DE ATAQUE CON AGENTES QUIMICOS ",IF(P204=#REF!,"PRIMEROS AUXILIOS ",IF(P204=#REF!,"DIPLOMADO DE UNIDAD DE CUIDADOS INTENSIVOS (UCI)",IF(P204=#REF!,"MODELO DE ATENCION PARA EVENTOS EMERGENTES EN SALUD MENTAL (CODIGO VERDE)",IF(P204=#REF!,"HUMANIZACION EN EL SERVICIO DE LA SALUD Y BUENAS PRACTICAS EN PACIENTE ",IF(P204=#REF!,"CLINICA DE HERIDAS ",IF(P204=#REF!,"TOMA DE CITOLOGIA CERVICO VAGINAL ",IF(P204=#REF!,"SOPORTE CARDIOVASCULAR AVANZADO (ACLS) ",IF(P204=#REF!,"CAMILLERO ",IF(P204=#REF!,"TOMA DE MUESTRAS Y LABORATORIO ",IF(P204=#REF!,"SOPORTE VITAL BASICO (BLS)",IF(P204=#REF!,"ATENCION A VICTIMAS DE VIOLENCIA SEXUAL ",IF(P204=#REF!,"PROGRAMADO AMPLIADO DE INMUNIZACION (PAI - COVID 19)",IF(P204=#REF!,"ATENCION INTEGRAL EN ENFERMEDADES PREVALENTES EN PRIMERA INFANCIA (AIEPI)",IF(P204=#REF!,"ADMINISTRACION DE MEDICAMENTOS, INYECTOLOGIA  Y CANALIZACION ",IF(P204=#REF!,"OPERADOR DE VEHICULOS DE EMERGENCIA (OVE)",IF(P204=#REF!,"INSTITUCIONES AMIGAS DE LA MUJER Y LA INFANCIA (IAMI)",IF(P204=#REF!,"CUIDADO DEL DONANTE DE ORGANOS",IF(P204=#REF!,"ATENCION A VICTIMAS POR VIOLENCIA DE GENERO",IF(P204=#REF!,"IGUALDAD DE GENERO EN LA SALUD",IF(P204=#REF!,"BRIGADA DE EMERGENCIA",IF(P204=#REF!,"MANEJO DEL DOLOR Y CUIDADOS PALIATIVOS",IF(P204=#REF!,"TOMA DE MUESTRAS Y LABORATORIO POCT",IF(P204=#REF!,"IMPLANTE SUBDERMICO DE DISPOSITIVO INTRAUTERINO",IF(P204=#REF!,"SALUD MENTAL",IF(P204=#REF!,"PRIMEROS AUXILIOS PSICOLOGICOS",IF(P204=#REF!,"ATENCION A VICTIMAS POR CONFLICTO ARMADO",IF(P204=#REF!,"MANIPULACION DE ALIMENTOS Y BPM",IF(P204=#REF!,"ATENCION A PERSONAS CON DISCAPACIDAD",IF(P204=#REF!,"CUIDADO INTEGRAL DEL PACIENTE ADULTO",IF(P204=#REF!,"MANEJO DEFENSIVO",IF(P204=#REF!,"SOPORTE CARDIOVASCULAR AVANZADO NEONATAL",IF(P204=#REF!,"SEGURIDAD DEL PACIENTE",IF(P204=#REF!,"MANEJO DE RESIDUOS HOSPITALARIOS"))))))))))))))))))))))))))))))))))))</f>
        <v>#REF!</v>
      </c>
      <c r="W204" s="26" t="str">
        <f t="shared" si="12"/>
        <v>Elizabeth Del Rosario Bastidas Rosales</v>
      </c>
      <c r="X204" s="26" t="str">
        <f t="shared" si="13"/>
        <v>Elizabeth Del Rosario Bastidas Rosales</v>
      </c>
      <c r="Y204" s="26" t="str">
        <f t="shared" si="14"/>
        <v>Elizabeth Del Rosario Bastidas Rosales-1087673002-PRIMEROS AUXILIOS P</v>
      </c>
    </row>
    <row r="205" spans="1:25" x14ac:dyDescent="0.2">
      <c r="A205" s="36">
        <v>204</v>
      </c>
      <c r="B205" s="37">
        <v>1085338867</v>
      </c>
      <c r="C205" s="37" t="s">
        <v>164</v>
      </c>
      <c r="D205" s="37" t="s">
        <v>80</v>
      </c>
      <c r="E205" s="37" t="s">
        <v>490</v>
      </c>
      <c r="F205" s="37" t="s">
        <v>176</v>
      </c>
      <c r="G205" s="37">
        <v>25</v>
      </c>
      <c r="H205" s="37" t="s">
        <v>49</v>
      </c>
      <c r="I205" s="38" t="s">
        <v>376</v>
      </c>
      <c r="J205" s="38"/>
      <c r="K205" s="23">
        <v>45688</v>
      </c>
      <c r="L205" s="44">
        <v>32000</v>
      </c>
      <c r="M205" s="37" t="s">
        <v>106</v>
      </c>
      <c r="N205" s="37" t="s">
        <v>387</v>
      </c>
      <c r="O205" s="37" t="s">
        <v>95</v>
      </c>
      <c r="P205" s="37" t="s">
        <v>23</v>
      </c>
      <c r="Q205" s="38">
        <v>35834</v>
      </c>
      <c r="R205" s="37" t="s">
        <v>71</v>
      </c>
      <c r="S205" s="37" t="s">
        <v>107</v>
      </c>
      <c r="T205" s="37">
        <v>3122628393</v>
      </c>
      <c r="U205" s="37" t="s">
        <v>491</v>
      </c>
      <c r="V205" s="41" t="e">
        <f>IF(P205=#REF!,"DIPLOMADO EN ATENCION PRE-HOSPITALARIA",IF(P205=#REF!,"ACOMPAÑAMIENTO Y MANEJO DEL DUELO",IF(P205=#REF!,"ATENCION A VICTIMAS DE ATAQUE CON AGENTES QUIMICOS ",IF(P205=#REF!,"PRIMEROS AUXILIOS ",IF(P205=#REF!,"DIPLOMADO DE UNIDAD DE CUIDADOS INTENSIVOS (UCI)",IF(P205=#REF!,"MODELO DE ATENCION PARA EVENTOS EMERGENTES EN SALUD MENTAL (CODIGO VERDE)",IF(P205=#REF!,"HUMANIZACION EN EL SERVICIO DE LA SALUD Y BUENAS PRACTICAS EN PACIENTE ",IF(P205=#REF!,"CLINICA DE HERIDAS ",IF(P205=#REF!,"TOMA DE CITOLOGIA CERVICO VAGINAL ",IF(P205=#REF!,"SOPORTE CARDIOVASCULAR AVANZADO (ACLS) ",IF(P205=#REF!,"CAMILLERO ",IF(P205=#REF!,"TOMA DE MUESTRAS Y LABORATORIO ",IF(P205=#REF!,"SOPORTE VITAL BASICO (BLS)",IF(P205=#REF!,"ATENCION A VICTIMAS DE VIOLENCIA SEXUAL ",IF(P205=#REF!,"PROGRAMADO AMPLIADO DE INMUNIZACION (PAI - COVID 19)",IF(P205=#REF!,"ATENCION INTEGRAL EN ENFERMEDADES PREVALENTES EN PRIMERA INFANCIA (AIEPI)",IF(P205=#REF!,"ADMINISTRACION DE MEDICAMENTOS, INYECTOLOGIA  Y CANALIZACION ",IF(P205=#REF!,"OPERADOR DE VEHICULOS DE EMERGENCIA (OVE)",IF(P205=#REF!,"INSTITUCIONES AMIGAS DE LA MUJER Y LA INFANCIA (IAMI)",IF(P205=#REF!,"CUIDADO DEL DONANTE DE ORGANOS",IF(P205=#REF!,"ATENCION A VICTIMAS POR VIOLENCIA DE GENERO",IF(P205=#REF!,"IGUALDAD DE GENERO EN LA SALUD",IF(P205=#REF!,"BRIGADA DE EMERGENCIA",IF(P205=#REF!,"MANEJO DEL DOLOR Y CUIDADOS PALIATIVOS",IF(P205=#REF!,"TOMA DE MUESTRAS Y LABORATORIO POCT",IF(P205=#REF!,"IMPLANTE SUBDERMICO DE DISPOSITIVO INTRAUTERINO",IF(P205=#REF!,"SALUD MENTAL",IF(P205=#REF!,"PRIMEROS AUXILIOS PSICOLOGICOS",IF(P205=#REF!,"ATENCION A VICTIMAS POR CONFLICTO ARMADO",IF(P205=#REF!,"MANIPULACION DE ALIMENTOS Y BPM",IF(P205=#REF!,"ATENCION A PERSONAS CON DISCAPACIDAD",IF(P205=#REF!,"CUIDADO INTEGRAL DEL PACIENTE ADULTO",IF(P205=#REF!,"MANEJO DEFENSIVO",IF(P205=#REF!,"SOPORTE CARDIOVASCULAR AVANZADO NEONATAL",IF(P205=#REF!,"SEGURIDAD DEL PACIENTE",IF(P205=#REF!,"MANEJO DE RESIDUOS HOSPITALARIOS"))))))))))))))))))))))))))))))))))))</f>
        <v>#REF!</v>
      </c>
      <c r="W205" s="41" t="str">
        <f t="shared" si="12"/>
        <v>Brigid Tatiana Pantoja Erazo</v>
      </c>
      <c r="X205" s="41" t="str">
        <f t="shared" si="13"/>
        <v>Brigid Tatiana Pantoja Erazo</v>
      </c>
      <c r="Y205" s="41" t="str">
        <f t="shared" si="14"/>
        <v>Brigid Tatiana Pantoja Erazo-1085338867-HUMANIZACION</v>
      </c>
    </row>
    <row r="206" spans="1:25" s="19" customFormat="1" x14ac:dyDescent="0.2">
      <c r="A206" s="20">
        <v>205</v>
      </c>
      <c r="B206" s="21">
        <v>1080040869</v>
      </c>
      <c r="C206" s="21" t="s">
        <v>492</v>
      </c>
      <c r="D206" s="21" t="s">
        <v>493</v>
      </c>
      <c r="E206" s="21" t="s">
        <v>494</v>
      </c>
      <c r="F206" s="21" t="s">
        <v>495</v>
      </c>
      <c r="G206" s="21">
        <v>25</v>
      </c>
      <c r="H206" s="21" t="s">
        <v>49</v>
      </c>
      <c r="I206" s="22" t="s">
        <v>376</v>
      </c>
      <c r="J206" s="22"/>
      <c r="K206" s="23">
        <v>45682</v>
      </c>
      <c r="L206" s="42">
        <v>35000</v>
      </c>
      <c r="M206" s="21" t="s">
        <v>79</v>
      </c>
      <c r="N206" s="21" t="s">
        <v>387</v>
      </c>
      <c r="O206" s="21" t="s">
        <v>77</v>
      </c>
      <c r="P206" s="21" t="s">
        <v>19</v>
      </c>
      <c r="Q206" s="22"/>
      <c r="R206" s="21" t="s">
        <v>70</v>
      </c>
      <c r="S206" s="21"/>
      <c r="T206" s="21"/>
      <c r="U206" s="21"/>
      <c r="V206" s="26" t="e">
        <f>IF(P206=#REF!,"DIPLOMADO EN ATENCION PRE-HOSPITALARIA",IF(P206=#REF!,"ACOMPAÑAMIENTO Y MANEJO DEL DUELO",IF(P206=#REF!,"ATENCION A VICTIMAS DE ATAQUE CON AGENTES QUIMICOS ",IF(P206=#REF!,"PRIMEROS AUXILIOS ",IF(P206=#REF!,"DIPLOMADO DE UNIDAD DE CUIDADOS INTENSIVOS (UCI)",IF(P206=#REF!,"MODELO DE ATENCION PARA EVENTOS EMERGENTES EN SALUD MENTAL (CODIGO VERDE)",IF(P206=#REF!,"HUMANIZACION EN EL SERVICIO DE LA SALUD Y BUENAS PRACTICAS EN PACIENTE ",IF(P206=#REF!,"CLINICA DE HERIDAS ",IF(P206=#REF!,"TOMA DE CITOLOGIA CERVICO VAGINAL ",IF(P206=#REF!,"SOPORTE CARDIOVASCULAR AVANZADO (ACLS) ",IF(P206=#REF!,"CAMILLERO ",IF(P206=#REF!,"TOMA DE MUESTRAS Y LABORATORIO ",IF(P206=#REF!,"SOPORTE VITAL BASICO (BLS)",IF(P206=#REF!,"ATENCION A VICTIMAS DE VIOLENCIA SEXUAL ",IF(P206=#REF!,"PROGRAMADO AMPLIADO DE INMUNIZACION (PAI - COVID 19)",IF(P206=#REF!,"ATENCION INTEGRAL EN ENFERMEDADES PREVALENTES EN PRIMERA INFANCIA (AIEPI)",IF(P206=#REF!,"ADMINISTRACION DE MEDICAMENTOS, INYECTOLOGIA  Y CANALIZACION ",IF(P206=#REF!,"OPERADOR DE VEHICULOS DE EMERGENCIA (OVE)",IF(P206=#REF!,"INSTITUCIONES AMIGAS DE LA MUJER Y LA INFANCIA (IAMI)",IF(P206=#REF!,"CUIDADO DEL DONANTE DE ORGANOS",IF(P206=#REF!,"ATENCION A VICTIMAS POR VIOLENCIA DE GENERO",IF(P206=#REF!,"IGUALDAD DE GENERO EN LA SALUD",IF(P206=#REF!,"BRIGADA DE EMERGENCIA",IF(P206=#REF!,"MANEJO DEL DOLOR Y CUIDADOS PALIATIVOS",IF(P206=#REF!,"TOMA DE MUESTRAS Y LABORATORIO POCT",IF(P206=#REF!,"IMPLANTE SUBDERMICO DE DISPOSITIVO INTRAUTERINO",IF(P206=#REF!,"SALUD MENTAL",IF(P206=#REF!,"PRIMEROS AUXILIOS PSICOLOGICOS",IF(P206=#REF!,"ATENCION A VICTIMAS POR CONFLICTO ARMADO",IF(P206=#REF!,"MANIPULACION DE ALIMENTOS Y BPM",IF(P206=#REF!,"ATENCION A PERSONAS CON DISCAPACIDAD",IF(P206=#REF!,"CUIDADO INTEGRAL DEL PACIENTE ADULTO",IF(P206=#REF!,"MANEJO DEFENSIVO",IF(P206=#REF!,"SOPORTE CARDIOVASCULAR AVANZADO NEONATAL",IF(P206=#REF!,"SEGURIDAD DEL PACIENTE",IF(P206=#REF!,"MANEJO DE RESIDUOS HOSPITALARIOS"))))))))))))))))))))))))))))))))))))</f>
        <v>#REF!</v>
      </c>
      <c r="W206" s="26" t="str">
        <f t="shared" si="12"/>
        <v>Jhonier Andres Jojoa Chagueza</v>
      </c>
      <c r="X206" s="26" t="str">
        <f t="shared" si="13"/>
        <v>Jhonier Andres Jojoa Chagueza</v>
      </c>
      <c r="Y206" s="26" t="str">
        <f t="shared" si="14"/>
        <v>Jhonier Andres Jojoa Chagueza-1080040869-BLS</v>
      </c>
    </row>
    <row r="207" spans="1:25" s="19" customFormat="1" x14ac:dyDescent="0.2">
      <c r="A207" s="20">
        <v>206</v>
      </c>
      <c r="B207" s="21">
        <v>1004535393</v>
      </c>
      <c r="C207" s="21" t="s">
        <v>496</v>
      </c>
      <c r="D207" s="21" t="s">
        <v>276</v>
      </c>
      <c r="E207" s="21" t="s">
        <v>408</v>
      </c>
      <c r="F207" s="21" t="s">
        <v>146</v>
      </c>
      <c r="G207" s="21">
        <v>27</v>
      </c>
      <c r="H207" s="21" t="s">
        <v>49</v>
      </c>
      <c r="I207" s="22" t="s">
        <v>377</v>
      </c>
      <c r="J207" s="22"/>
      <c r="K207" s="23">
        <v>45684</v>
      </c>
      <c r="L207" s="42">
        <v>65000</v>
      </c>
      <c r="M207" s="21" t="s">
        <v>133</v>
      </c>
      <c r="N207" s="21" t="s">
        <v>387</v>
      </c>
      <c r="O207" s="21" t="s">
        <v>69</v>
      </c>
      <c r="P207" s="21" t="s">
        <v>29</v>
      </c>
      <c r="Q207" s="22">
        <v>37532</v>
      </c>
      <c r="R207" s="21" t="s">
        <v>71</v>
      </c>
      <c r="S207" s="21" t="s">
        <v>108</v>
      </c>
      <c r="T207" s="21">
        <v>3126891936</v>
      </c>
      <c r="U207" s="21" t="s">
        <v>497</v>
      </c>
      <c r="V207" s="26" t="e">
        <f>IF(P207=#REF!,"DIPLOMADO EN ATENCION PRE-HOSPITALARIA",IF(P207=#REF!,"ACOMPAÑAMIENTO Y MANEJO DEL DUELO",IF(P207=#REF!,"ATENCION A VICTIMAS DE ATAQUE CON AGENTES QUIMICOS ",IF(P207=#REF!,"PRIMEROS AUXILIOS ",IF(P207=#REF!,"DIPLOMADO DE UNIDAD DE CUIDADOS INTENSIVOS (UCI)",IF(P207=#REF!,"MODELO DE ATENCION PARA EVENTOS EMERGENTES EN SALUD MENTAL (CODIGO VERDE)",IF(P207=#REF!,"HUMANIZACION EN EL SERVICIO DE LA SALUD Y BUENAS PRACTICAS EN PACIENTE ",IF(P207=#REF!,"CLINICA DE HERIDAS ",IF(P207=#REF!,"TOMA DE CITOLOGIA CERVICO VAGINAL ",IF(P207=#REF!,"SOPORTE CARDIOVASCULAR AVANZADO (ACLS) ",IF(P207=#REF!,"CAMILLERO ",IF(P207=#REF!,"TOMA DE MUESTRAS Y LABORATORIO ",IF(P207=#REF!,"SOPORTE VITAL BASICO (BLS)",IF(P207=#REF!,"ATENCION A VICTIMAS DE VIOLENCIA SEXUAL ",IF(P207=#REF!,"PROGRAMADO AMPLIADO DE INMUNIZACION (PAI - COVID 19)",IF(P207=#REF!,"ATENCION INTEGRAL EN ENFERMEDADES PREVALENTES EN PRIMERA INFANCIA (AIEPI)",IF(P207=#REF!,"ADMINISTRACION DE MEDICAMENTOS, INYECTOLOGIA  Y CANALIZACION ",IF(P207=#REF!,"OPERADOR DE VEHICULOS DE EMERGENCIA (OVE)",IF(P207=#REF!,"INSTITUCIONES AMIGAS DE LA MUJER Y LA INFANCIA (IAMI)",IF(P207=#REF!,"CUIDADO DEL DONANTE DE ORGANOS",IF(P207=#REF!,"ATENCION A VICTIMAS POR VIOLENCIA DE GENERO",IF(P207=#REF!,"IGUALDAD DE GENERO EN LA SALUD",IF(P207=#REF!,"BRIGADA DE EMERGENCIA",IF(P207=#REF!,"MANEJO DEL DOLOR Y CUIDADOS PALIATIVOS",IF(P207=#REF!,"TOMA DE MUESTRAS Y LABORATORIO POCT",IF(P207=#REF!,"IMPLANTE SUBDERMICO DE DISPOSITIVO INTRAUTERINO",IF(P207=#REF!,"SALUD MENTAL",IF(P207=#REF!,"PRIMEROS AUXILIOS PSICOLOGICOS",IF(P207=#REF!,"ATENCION A VICTIMAS POR CONFLICTO ARMADO",IF(P207=#REF!,"MANIPULACION DE ALIMENTOS Y BPM",IF(P207=#REF!,"ATENCION A PERSONAS CON DISCAPACIDAD",IF(P207=#REF!,"CUIDADO INTEGRAL DEL PACIENTE ADULTO",IF(P207=#REF!,"MANEJO DEFENSIVO",IF(P207=#REF!,"SOPORTE CARDIOVASCULAR AVANZADO NEONATAL",IF(P207=#REF!,"SEGURIDAD DEL PACIENTE",IF(P207=#REF!,"MANEJO DE RESIDUOS HOSPITALARIOS"))))))))))))))))))))))))))))))))))))</f>
        <v>#REF!</v>
      </c>
      <c r="W207" s="26" t="str">
        <f t="shared" si="12"/>
        <v>Angie Daniela Linares Ricaurte</v>
      </c>
      <c r="X207" s="26" t="str">
        <f t="shared" si="13"/>
        <v>Angie Daniela Linares Ricaurte</v>
      </c>
      <c r="Y207" s="26" t="str">
        <f t="shared" si="14"/>
        <v>Angie Daniela Linares Ricaurte-1004535393-ADMON DE MEDICAMENTOS</v>
      </c>
    </row>
    <row r="208" spans="1:25" s="19" customFormat="1" x14ac:dyDescent="0.2">
      <c r="A208" s="20">
        <v>207</v>
      </c>
      <c r="B208" s="21">
        <v>1085308404</v>
      </c>
      <c r="C208" s="21" t="s">
        <v>221</v>
      </c>
      <c r="D208" s="21" t="s">
        <v>191</v>
      </c>
      <c r="E208" s="21" t="s">
        <v>499</v>
      </c>
      <c r="F208" s="21" t="s">
        <v>500</v>
      </c>
      <c r="G208" s="21">
        <v>27</v>
      </c>
      <c r="H208" s="21" t="s">
        <v>49</v>
      </c>
      <c r="I208" s="21" t="s">
        <v>377</v>
      </c>
      <c r="J208" s="21"/>
      <c r="K208" s="23">
        <v>45684</v>
      </c>
      <c r="L208" s="42">
        <v>65000</v>
      </c>
      <c r="M208" s="21" t="s">
        <v>133</v>
      </c>
      <c r="N208" s="21" t="s">
        <v>387</v>
      </c>
      <c r="O208" s="21" t="s">
        <v>69</v>
      </c>
      <c r="P208" s="21" t="s">
        <v>29</v>
      </c>
      <c r="Q208" s="22">
        <v>34262</v>
      </c>
      <c r="R208" s="21" t="s">
        <v>71</v>
      </c>
      <c r="S208" s="28" t="s">
        <v>501</v>
      </c>
      <c r="T208" s="21">
        <v>3154996139</v>
      </c>
      <c r="U208" s="21" t="s">
        <v>502</v>
      </c>
      <c r="V208" s="26" t="e">
        <f>IF(P208=#REF!,"DIPLOMADO EN ATENCION PRE-HOSPITALARIA",IF(P208=#REF!,"ACOMPAÑAMIENTO Y MANEJO DEL DUELO",IF(P208=#REF!,"ATENCION A VICTIMAS DE ATAQUE CON AGENTES QUIMICOS ",IF(P208=#REF!,"PRIMEROS AUXILIOS ",IF(P208=#REF!,"DIPLOMADO DE UNIDAD DE CUIDADOS INTENSIVOS (UCI)",IF(P208=#REF!,"MODELO DE ATENCION PARA EVENTOS EMERGENTES EN SALUD MENTAL (CODIGO VERDE)",IF(P208=#REF!,"HUMANIZACION EN EL SERVICIO DE LA SALUD Y BUENAS PRACTICAS EN PACIENTE ",IF(P208=#REF!,"CLINICA DE HERIDAS ",IF(P208=#REF!,"TOMA DE CITOLOGIA CERVICO VAGINAL ",IF(P208=#REF!,"SOPORTE CARDIOVASCULAR AVANZADO (ACLS) ",IF(P208=#REF!,"CAMILLERO ",IF(P208=#REF!,"TOMA DE MUESTRAS Y LABORATORIO ",IF(P208=#REF!,"SOPORTE VITAL BASICO (BLS)",IF(P208=#REF!,"ATENCION A VICTIMAS DE VIOLENCIA SEXUAL ",IF(P208=#REF!,"PROGRAMADO AMPLIADO DE INMUNIZACION (PAI - COVID 19)",IF(P208=#REF!,"ATENCION INTEGRAL EN ENFERMEDADES PREVALENTES EN PRIMERA INFANCIA (AIEPI)",IF(P208=#REF!,"ADMINISTRACION DE MEDICAMENTOS, INYECTOLOGIA  Y CANALIZACION ",IF(P208=#REF!,"OPERADOR DE VEHICULOS DE EMERGENCIA (OVE)",IF(P208=#REF!,"INSTITUCIONES AMIGAS DE LA MUJER Y LA INFANCIA (IAMI)",IF(P208=#REF!,"CUIDADO DEL DONANTE DE ORGANOS",IF(P208=#REF!,"ATENCION A VICTIMAS POR VIOLENCIA DE GENERO",IF(P208=#REF!,"IGUALDAD DE GENERO EN LA SALUD",IF(P208=#REF!,"BRIGADA DE EMERGENCIA",IF(P208=#REF!,"MANEJO DEL DOLOR Y CUIDADOS PALIATIVOS",IF(P208=#REF!,"TOMA DE MUESTRAS Y LABORATORIO POCT",IF(P208=#REF!,"IMPLANTE SUBDERMICO DE DISPOSITIVO INTRAUTERINO",IF(P208=#REF!,"SALUD MENTAL",IF(P208=#REF!,"PRIMEROS AUXILIOS PSICOLOGICOS",IF(P208=#REF!,"ATENCION A VICTIMAS POR CONFLICTO ARMADO",IF(P208=#REF!,"MANIPULACION DE ALIMENTOS Y BPM",IF(P208=#REF!,"ATENCION A PERSONAS CON DISCAPACIDAD",IF(P208=#REF!,"CUIDADO INTEGRAL DEL PACIENTE ADULTO",IF(P208=#REF!,"MANEJO DEFENSIVO",IF(P208=#REF!,"SOPORTE CARDIOVASCULAR AVANZADO NEONATAL",IF(P208=#REF!,"SEGURIDAD DEL PACIENTE",IF(P208=#REF!,"MANEJO DE RESIDUOS HOSPITALARIOS"))))))))))))))))))))))))))))))))))))</f>
        <v>#REF!</v>
      </c>
      <c r="W208" s="26" t="str">
        <f t="shared" si="12"/>
        <v>Raphaela Massiel Martinez Lopez</v>
      </c>
      <c r="X208" s="26" t="str">
        <f t="shared" si="13"/>
        <v>Raphaela Massiel Martinez Lopez</v>
      </c>
      <c r="Y208" s="26" t="str">
        <f t="shared" si="14"/>
        <v>Raphaela Massiel Martinez Lopez-1085308404-ADMON DE MEDICAMENTOS</v>
      </c>
    </row>
    <row r="209" spans="1:25" x14ac:dyDescent="0.2">
      <c r="A209" s="20">
        <v>208</v>
      </c>
      <c r="B209" s="21">
        <v>1007282044</v>
      </c>
      <c r="C209" s="21" t="s">
        <v>247</v>
      </c>
      <c r="D209" s="21" t="s">
        <v>487</v>
      </c>
      <c r="E209" s="21" t="s">
        <v>505</v>
      </c>
      <c r="F209" s="21" t="s">
        <v>506</v>
      </c>
      <c r="G209" s="21">
        <v>27</v>
      </c>
      <c r="H209" s="21" t="s">
        <v>49</v>
      </c>
      <c r="I209" s="21" t="s">
        <v>376</v>
      </c>
      <c r="J209" s="21"/>
      <c r="K209" s="23">
        <v>45688</v>
      </c>
      <c r="L209" s="44">
        <v>32000</v>
      </c>
      <c r="M209" s="21" t="s">
        <v>106</v>
      </c>
      <c r="N209" s="21" t="s">
        <v>387</v>
      </c>
      <c r="O209" s="21" t="s">
        <v>95</v>
      </c>
      <c r="P209" s="21" t="s">
        <v>23</v>
      </c>
      <c r="Q209" s="22">
        <v>34688</v>
      </c>
      <c r="R209" s="21" t="s">
        <v>71</v>
      </c>
      <c r="S209" s="28" t="s">
        <v>507</v>
      </c>
      <c r="T209" s="21">
        <v>3135188936</v>
      </c>
      <c r="U209" s="21" t="s">
        <v>508</v>
      </c>
      <c r="V209" s="26" t="e">
        <f>IF(P209=#REF!,"DIPLOMADO EN ATENCION PRE-HOSPITALARIA",IF(P209=#REF!,"ACOMPAÑAMIENTO Y MANEJO DEL DUELO",IF(P209=#REF!,"ATENCION A VICTIMAS DE ATAQUE CON AGENTES QUIMICOS ",IF(P209=#REF!,"PRIMEROS AUXILIOS ",IF(P209=#REF!,"DIPLOMADO DE UNIDAD DE CUIDADOS INTENSIVOS (UCI)",IF(P209=#REF!,"MODELO DE ATENCION PARA EVENTOS EMERGENTES EN SALUD MENTAL (CODIGO VERDE)",IF(P209=#REF!,"HUMANIZACION EN EL SERVICIO DE LA SALUD Y BUENAS PRACTICAS EN PACIENTE ",IF(P209=#REF!,"CLINICA DE HERIDAS ",IF(P209=#REF!,"TOMA DE CITOLOGIA CERVICO VAGINAL ",IF(P209=#REF!,"SOPORTE CARDIOVASCULAR AVANZADO (ACLS) ",IF(P209=#REF!,"CAMILLERO ",IF(P209=#REF!,"TOMA DE MUESTRAS Y LABORATORIO ",IF(P209=#REF!,"SOPORTE VITAL BASICO (BLS)",IF(P209=#REF!,"ATENCION A VICTIMAS DE VIOLENCIA SEXUAL ",IF(P209=#REF!,"PROGRAMADO AMPLIADO DE INMUNIZACION (PAI - COVID 19)",IF(P209=#REF!,"ATENCION INTEGRAL EN ENFERMEDADES PREVALENTES EN PRIMERA INFANCIA (AIEPI)",IF(P209=#REF!,"ADMINISTRACION DE MEDICAMENTOS, INYECTOLOGIA  Y CANALIZACION ",IF(P209=#REF!,"OPERADOR DE VEHICULOS DE EMERGENCIA (OVE)",IF(P209=#REF!,"INSTITUCIONES AMIGAS DE LA MUJER Y LA INFANCIA (IAMI)",IF(P209=#REF!,"CUIDADO DEL DONANTE DE ORGANOS",IF(P209=#REF!,"ATENCION A VICTIMAS POR VIOLENCIA DE GENERO",IF(P209=#REF!,"IGUALDAD DE GENERO EN LA SALUD",IF(P209=#REF!,"BRIGADA DE EMERGENCIA",IF(P209=#REF!,"MANEJO DEL DOLOR Y CUIDADOS PALIATIVOS",IF(P209=#REF!,"TOMA DE MUESTRAS Y LABORATORIO POCT",IF(P209=#REF!,"IMPLANTE SUBDERMICO DE DISPOSITIVO INTRAUTERINO",IF(P209=#REF!,"SALUD MENTAL",IF(P209=#REF!,"PRIMEROS AUXILIOS PSICOLOGICOS",IF(P209=#REF!,"ATENCION A VICTIMAS POR CONFLICTO ARMADO",IF(P209=#REF!,"MANIPULACION DE ALIMENTOS Y BPM",IF(P209=#REF!,"ATENCION A PERSONAS CON DISCAPACIDAD",IF(P209=#REF!,"CUIDADO INTEGRAL DEL PACIENTE ADULTO",IF(P209=#REF!,"MANEJO DEFENSIVO",IF(P209=#REF!,"SOPORTE CARDIOVASCULAR AVANZADO NEONATAL",IF(P209=#REF!,"SEGURIDAD DEL PACIENTE",IF(P209=#REF!,"MANEJO DE RESIDUOS HOSPITALARIOS"))))))))))))))))))))))))))))))))))))</f>
        <v>#REF!</v>
      </c>
      <c r="W209" s="26" t="str">
        <f t="shared" si="12"/>
        <v>Alba Lorena Meneses Bastidas</v>
      </c>
      <c r="X209" s="26" t="str">
        <f t="shared" si="13"/>
        <v>Alba Lorena Meneses Bastidas</v>
      </c>
      <c r="Y209" s="26" t="str">
        <f t="shared" si="14"/>
        <v>Alba Lorena Meneses Bastidas-1007282044-HUMANIZACION</v>
      </c>
    </row>
    <row r="210" spans="1:25" x14ac:dyDescent="0.2">
      <c r="A210" s="20">
        <v>209</v>
      </c>
      <c r="B210" s="21">
        <v>1087423182</v>
      </c>
      <c r="C210" s="48" t="s">
        <v>257</v>
      </c>
      <c r="D210" s="48" t="s">
        <v>280</v>
      </c>
      <c r="E210" s="48" t="s">
        <v>278</v>
      </c>
      <c r="F210" s="48" t="s">
        <v>279</v>
      </c>
      <c r="G210" s="21">
        <v>27</v>
      </c>
      <c r="H210" s="21" t="s">
        <v>49</v>
      </c>
      <c r="I210" s="22" t="s">
        <v>376</v>
      </c>
      <c r="J210" s="22"/>
      <c r="K210" s="23">
        <v>45688</v>
      </c>
      <c r="L210" s="44">
        <v>32000</v>
      </c>
      <c r="M210" s="48" t="s">
        <v>106</v>
      </c>
      <c r="N210" s="21" t="s">
        <v>387</v>
      </c>
      <c r="O210" s="21" t="s">
        <v>95</v>
      </c>
      <c r="P210" s="21" t="s">
        <v>20</v>
      </c>
      <c r="Q210" s="22">
        <v>1130968</v>
      </c>
      <c r="R210" s="21" t="s">
        <v>71</v>
      </c>
      <c r="S210" s="25" t="s">
        <v>107</v>
      </c>
      <c r="T210" s="21">
        <v>3187600247</v>
      </c>
      <c r="U210" s="21" t="s">
        <v>281</v>
      </c>
      <c r="V210" s="26" t="e">
        <f>IF(P210=#REF!,"DIPLOMADO EN ATENCION PRE-HOSPITALARIA",IF(P210=#REF!,"ACOMPAÑAMIENTO Y MANEJO DEL DUELO",IF(P210=#REF!,"ATENCION A VICTIMAS DE ATAQUE CON AGENTES QUIMICOS ",IF(P210=#REF!,"PRIMEROS AUXILIOS ",IF(P210=#REF!,"DIPLOMADO DE UNIDAD DE CUIDADOS INTENSIVOS (UCI)",IF(P210=#REF!,"MODELO DE ATENCION PARA EVENTOS EMERGENTES EN SALUD MENTAL (CODIGO VERDE)",IF(P210=#REF!,"HUMANIZACION EN EL SERVICIO DE LA SALUD Y BUENAS PRACTICAS EN PACIENTE ",IF(P210=#REF!,"CLINICA DE HERIDAS ",IF(P210=#REF!,"TOMA DE CITOLOGIA CERVICO VAGINAL ",IF(P210=#REF!,"SOPORTE CARDIOVASCULAR AVANZADO (ACLS) ",IF(P210=#REF!,"CAMILLERO ",IF(P210=#REF!,"TOMA DE MUESTRAS Y LABORATORIO ",IF(P210=#REF!,"SOPORTE VITAL BASICO (BLS)",IF(P210=#REF!,"ATENCION A VICTIMAS DE VIOLENCIA SEXUAL ",IF(P210=#REF!,"PROGRAMADO AMPLIADO DE INMUNIZACION (PAI - COVID 19)",IF(P210=#REF!,"ATENCION INTEGRAL EN ENFERMEDADES PREVALENTES EN PRIMERA INFANCIA (AIEPI)",IF(P210=#REF!,"ADMINISTRACION DE MEDICAMENTOS, INYECTOLOGIA  Y CANALIZACION ",IF(P210=#REF!,"OPERADOR DE VEHICULOS DE EMERGENCIA (OVE)",IF(P210=#REF!,"INSTITUCIONES AMIGAS DE LA MUJER Y LA INFANCIA (IAMI)",IF(P210=#REF!,"CUIDADO DEL DONANTE DE ORGANOS",IF(P210=#REF!,"ATENCION A VICTIMAS POR VIOLENCIA DE GENERO",IF(P210=#REF!,"IGUALDAD DE GENERO EN LA SALUD",IF(P210=#REF!,"BRIGADA DE EMERGENCIA",IF(P210=#REF!,"MANEJO DEL DOLOR Y CUIDADOS PALIATIVOS",IF(P210=#REF!,"TOMA DE MUESTRAS Y LABORATORIO POCT",IF(P210=#REF!,"IMPLANTE SUBDERMICO DE DISPOSITIVO INTRAUTERINO",IF(P210=#REF!,"SALUD MENTAL",IF(P210=#REF!,"PRIMEROS AUXILIOS PSICOLOGICOS",IF(P210=#REF!,"ATENCION A VICTIMAS POR CONFLICTO ARMADO",IF(P210=#REF!,"MANIPULACION DE ALIMENTOS Y BPM",IF(P210=#REF!,"ATENCION A PERSONAS CON DISCAPACIDAD",IF(P210=#REF!,"CUIDADO INTEGRAL DEL PACIENTE ADULTO",IF(P210=#REF!,"MANEJO DEFENSIVO",IF(P210=#REF!,"SOPORTE CARDIOVASCULAR AVANZADO NEONATAL",IF(P210=#REF!,"SEGURIDAD DEL PACIENTE",IF(P210=#REF!,"MANEJO DE RESIDUOS HOSPITALARIOS"))))))))))))))))))))))))))))))))))))</f>
        <v>#REF!</v>
      </c>
      <c r="W210" s="26" t="str">
        <f t="shared" si="12"/>
        <v>Darlin Karine Mora Cuaychar</v>
      </c>
      <c r="X210" s="26" t="str">
        <f t="shared" si="13"/>
        <v>Darlin Karine Mora Cuaychar</v>
      </c>
      <c r="Y210" s="26" t="str">
        <f t="shared" si="14"/>
        <v>Darlin Karine Mora Cuaychar-1087423182-DUELO</v>
      </c>
    </row>
    <row r="211" spans="1:25" x14ac:dyDescent="0.2">
      <c r="A211" s="20">
        <v>210</v>
      </c>
      <c r="B211" s="21">
        <v>1085245863</v>
      </c>
      <c r="C211" s="21" t="s">
        <v>192</v>
      </c>
      <c r="D211" s="21" t="s">
        <v>126</v>
      </c>
      <c r="E211" s="21" t="s">
        <v>509</v>
      </c>
      <c r="F211" s="21" t="s">
        <v>510</v>
      </c>
      <c r="G211" s="21">
        <v>27</v>
      </c>
      <c r="H211" s="21" t="s">
        <v>49</v>
      </c>
      <c r="I211" s="21" t="s">
        <v>376</v>
      </c>
      <c r="J211" s="21"/>
      <c r="K211" s="23">
        <v>45688</v>
      </c>
      <c r="L211" s="44">
        <v>32000</v>
      </c>
      <c r="M211" s="21" t="s">
        <v>106</v>
      </c>
      <c r="N211" s="21" t="s">
        <v>387</v>
      </c>
      <c r="O211" s="21" t="s">
        <v>95</v>
      </c>
      <c r="P211" s="21" t="s">
        <v>27</v>
      </c>
      <c r="Q211" s="22">
        <v>31344</v>
      </c>
      <c r="R211" s="21" t="s">
        <v>71</v>
      </c>
      <c r="S211" s="21" t="s">
        <v>269</v>
      </c>
      <c r="T211" s="21">
        <v>3135307516</v>
      </c>
      <c r="U211" s="25" t="s">
        <v>511</v>
      </c>
      <c r="V211" s="26" t="e">
        <f>IF(P211=#REF!,"DIPLOMADO EN ATENCION PRE-HOSPITALARIA",IF(P211=#REF!,"ACOMPAÑAMIENTO Y MANEJO DEL DUELO",IF(P211=#REF!,"ATENCION A VICTIMAS DE ATAQUE CON AGENTES QUIMICOS ",IF(P211=#REF!,"PRIMEROS AUXILIOS ",IF(P211=#REF!,"DIPLOMADO DE UNIDAD DE CUIDADOS INTENSIVOS (UCI)",IF(P211=#REF!,"MODELO DE ATENCION PARA EVENTOS EMERGENTES EN SALUD MENTAL (CODIGO VERDE)",IF(P211=#REF!,"HUMANIZACION EN EL SERVICIO DE LA SALUD Y BUENAS PRACTICAS EN PACIENTE ",IF(P211=#REF!,"CLINICA DE HERIDAS ",IF(P211=#REF!,"TOMA DE CITOLOGIA CERVICO VAGINAL ",IF(P211=#REF!,"SOPORTE CARDIOVASCULAR AVANZADO (ACLS) ",IF(P211=#REF!,"CAMILLERO ",IF(P211=#REF!,"TOMA DE MUESTRAS Y LABORATORIO ",IF(P211=#REF!,"SOPORTE VITAL BASICO (BLS)",IF(P211=#REF!,"ATENCION A VICTIMAS DE VIOLENCIA SEXUAL ",IF(P211=#REF!,"PROGRAMADO AMPLIADO DE INMUNIZACION (PAI - COVID 19)",IF(P211=#REF!,"ATENCION INTEGRAL EN ENFERMEDADES PREVALENTES EN PRIMERA INFANCIA (AIEPI)",IF(P211=#REF!,"ADMINISTRACION DE MEDICAMENTOS, INYECTOLOGIA  Y CANALIZACION ",IF(P211=#REF!,"OPERADOR DE VEHICULOS DE EMERGENCIA (OVE)",IF(P211=#REF!,"INSTITUCIONES AMIGAS DE LA MUJER Y LA INFANCIA (IAMI)",IF(P211=#REF!,"CUIDADO DEL DONANTE DE ORGANOS",IF(P211=#REF!,"ATENCION A VICTIMAS POR VIOLENCIA DE GENERO",IF(P211=#REF!,"IGUALDAD DE GENERO EN LA SALUD",IF(P211=#REF!,"BRIGADA DE EMERGENCIA",IF(P211=#REF!,"MANEJO DEL DOLOR Y CUIDADOS PALIATIVOS",IF(P211=#REF!,"TOMA DE MUESTRAS Y LABORATORIO POCT",IF(P211=#REF!,"IMPLANTE SUBDERMICO DE DISPOSITIVO INTRAUTERINO",IF(P211=#REF!,"SALUD MENTAL",IF(P211=#REF!,"PRIMEROS AUXILIOS PSICOLOGICOS",IF(P211=#REF!,"ATENCION A VICTIMAS POR CONFLICTO ARMADO",IF(P211=#REF!,"MANIPULACION DE ALIMENTOS Y BPM",IF(P211=#REF!,"ATENCION A PERSONAS CON DISCAPACIDAD",IF(P211=#REF!,"CUIDADO INTEGRAL DEL PACIENTE ADULTO",IF(P211=#REF!,"MANEJO DEFENSIVO",IF(P211=#REF!,"SOPORTE CARDIOVASCULAR AVANZADO NEONATAL",IF(P211=#REF!,"SEGURIDAD DEL PACIENTE",IF(P211=#REF!,"MANEJO DE RESIDUOS HOSPITALARIOS"))))))))))))))))))))))))))))))))))))</f>
        <v>#REF!</v>
      </c>
      <c r="W211" s="26" t="str">
        <f t="shared" si="12"/>
        <v>Anderson Adolfo Peña Narvaez</v>
      </c>
      <c r="X211" s="26" t="str">
        <f t="shared" si="13"/>
        <v>Anderson Adolfo Peña Narvaez</v>
      </c>
      <c r="Y211" s="26" t="str">
        <f t="shared" si="14"/>
        <v>Anderson Adolfo Peña Narvaez-1085245863-VIOLENCIA SEXUAL</v>
      </c>
    </row>
    <row r="212" spans="1:25" x14ac:dyDescent="0.2">
      <c r="A212" s="20">
        <v>211</v>
      </c>
      <c r="B212" s="21">
        <v>1085323721</v>
      </c>
      <c r="C212" s="21" t="s">
        <v>257</v>
      </c>
      <c r="D212" s="21" t="s">
        <v>512</v>
      </c>
      <c r="E212" s="21" t="s">
        <v>300</v>
      </c>
      <c r="F212" s="21" t="s">
        <v>306</v>
      </c>
      <c r="G212" s="21">
        <v>20</v>
      </c>
      <c r="H212" s="21" t="s">
        <v>49</v>
      </c>
      <c r="I212" s="21" t="s">
        <v>376</v>
      </c>
      <c r="J212" s="21"/>
      <c r="K212" s="23">
        <v>45682</v>
      </c>
      <c r="L212" s="42">
        <v>80000</v>
      </c>
      <c r="M212" s="21" t="s">
        <v>79</v>
      </c>
      <c r="N212" s="21" t="s">
        <v>387</v>
      </c>
      <c r="O212" s="21" t="s">
        <v>69</v>
      </c>
      <c r="P212" s="21" t="s">
        <v>24</v>
      </c>
      <c r="Q212" s="22"/>
      <c r="R212" s="21" t="s">
        <v>70</v>
      </c>
      <c r="S212" s="63" t="s">
        <v>83</v>
      </c>
      <c r="T212" s="21">
        <v>3168200701</v>
      </c>
      <c r="U212" s="25" t="s">
        <v>513</v>
      </c>
      <c r="V212" s="26" t="e">
        <f>IF(P212=#REF!,"DIPLOMADO EN ATENCION PRE-HOSPITALARIA",IF(P212=#REF!,"ACOMPAÑAMIENTO Y MANEJO DEL DUELO",IF(P212=#REF!,"ATENCION A VICTIMAS DE ATAQUE CON AGENTES QUIMICOS ",IF(P212=#REF!,"PRIMEROS AUXILIOS ",IF(P212=#REF!,"DIPLOMADO DE UNIDAD DE CUIDADOS INTENSIVOS (UCI)",IF(P212=#REF!,"MODELO DE ATENCION PARA EVENTOS EMERGENTES EN SALUD MENTAL (CODIGO VERDE)",IF(P212=#REF!,"HUMANIZACION EN EL SERVICIO DE LA SALUD Y BUENAS PRACTICAS EN PACIENTE ",IF(P212=#REF!,"CLINICA DE HERIDAS ",IF(P212=#REF!,"TOMA DE CITOLOGIA CERVICO VAGINAL ",IF(P212=#REF!,"SOPORTE CARDIOVASCULAR AVANZADO (ACLS) ",IF(P212=#REF!,"CAMILLERO ",IF(P212=#REF!,"TOMA DE MUESTRAS Y LABORATORIO ",IF(P212=#REF!,"SOPORTE VITAL BASICO (BLS)",IF(P212=#REF!,"ATENCION A VICTIMAS DE VIOLENCIA SEXUAL ",IF(P212=#REF!,"PROGRAMADO AMPLIADO DE INMUNIZACION (PAI - COVID 19)",IF(P212=#REF!,"ATENCION INTEGRAL EN ENFERMEDADES PREVALENTES EN PRIMERA INFANCIA (AIEPI)",IF(P212=#REF!,"ADMINISTRACION DE MEDICAMENTOS, INYECTOLOGIA  Y CANALIZACION ",IF(P212=#REF!,"OPERADOR DE VEHICULOS DE EMERGENCIA (OVE)",IF(P212=#REF!,"INSTITUCIONES AMIGAS DE LA MUJER Y LA INFANCIA (IAMI)",IF(P212=#REF!,"CUIDADO DEL DONANTE DE ORGANOS",IF(P212=#REF!,"ATENCION A VICTIMAS POR VIOLENCIA DE GENERO",IF(P212=#REF!,"IGUALDAD DE GENERO EN LA SALUD",IF(P212=#REF!,"BRIGADA DE EMERGENCIA",IF(P212=#REF!,"MANEJO DEL DOLOR Y CUIDADOS PALIATIVOS",IF(P212=#REF!,"TOMA DE MUESTRAS Y LABORATORIO POCT",IF(P212=#REF!,"IMPLANTE SUBDERMICO DE DISPOSITIVO INTRAUTERINO",IF(P212=#REF!,"SALUD MENTAL",IF(P212=#REF!,"PRIMEROS AUXILIOS PSICOLOGICOS",IF(P212=#REF!,"ATENCION A VICTIMAS POR CONFLICTO ARMADO",IF(P212=#REF!,"MANIPULACION DE ALIMENTOS Y BPM",IF(P212=#REF!,"ATENCION A PERSONAS CON DISCAPACIDAD",IF(P212=#REF!,"CUIDADO INTEGRAL DEL PACIENTE ADULTO",IF(P212=#REF!,"MANEJO DEFENSIVO",IF(P212=#REF!,"SOPORTE CARDIOVASCULAR AVANZADO NEONATAL",IF(P212=#REF!,"SEGURIDAD DEL PACIENTE",IF(P212=#REF!,"MANEJO DE RESIDUOS HOSPITALARIOS"))))))))))))))))))))))))))))))))))))</f>
        <v>#REF!</v>
      </c>
      <c r="W212" s="26" t="str">
        <f t="shared" si="12"/>
        <v>Edison Alexander Mora Barcenas</v>
      </c>
      <c r="X212" s="26" t="str">
        <f t="shared" si="13"/>
        <v>Edison Alexander Mora Barcenas</v>
      </c>
      <c r="Y212" s="26" t="str">
        <f t="shared" si="14"/>
        <v>Edison Alexander Mora Barcenas-1085323721-ACLS</v>
      </c>
    </row>
    <row r="213" spans="1:25" x14ac:dyDescent="0.2">
      <c r="A213" s="20">
        <v>212</v>
      </c>
      <c r="B213" s="21">
        <v>1085323721</v>
      </c>
      <c r="C213" s="21" t="s">
        <v>257</v>
      </c>
      <c r="D213" s="21" t="s">
        <v>512</v>
      </c>
      <c r="E213" s="21" t="s">
        <v>300</v>
      </c>
      <c r="F213" s="21" t="s">
        <v>306</v>
      </c>
      <c r="G213" s="21">
        <v>20</v>
      </c>
      <c r="H213" s="21" t="s">
        <v>49</v>
      </c>
      <c r="I213" s="21" t="s">
        <v>376</v>
      </c>
      <c r="J213" s="21"/>
      <c r="K213" s="23">
        <v>45682</v>
      </c>
      <c r="L213" s="42">
        <v>23000</v>
      </c>
      <c r="M213" s="21" t="s">
        <v>79</v>
      </c>
      <c r="N213" s="21" t="s">
        <v>387</v>
      </c>
      <c r="O213" s="21" t="s">
        <v>69</v>
      </c>
      <c r="P213" s="21" t="s">
        <v>19</v>
      </c>
      <c r="Q213" s="22"/>
      <c r="R213" s="21" t="s">
        <v>70</v>
      </c>
      <c r="S213" s="63" t="s">
        <v>83</v>
      </c>
      <c r="T213" s="21">
        <v>3168200701</v>
      </c>
      <c r="U213" s="25" t="s">
        <v>513</v>
      </c>
      <c r="V213" s="26" t="e">
        <f>IF(P213=#REF!,"DIPLOMADO EN ATENCION PRE-HOSPITALARIA",IF(P213=#REF!,"ACOMPAÑAMIENTO Y MANEJO DEL DUELO",IF(P213=#REF!,"ATENCION A VICTIMAS DE ATAQUE CON AGENTES QUIMICOS ",IF(P213=#REF!,"PRIMEROS AUXILIOS ",IF(P213=#REF!,"DIPLOMADO DE UNIDAD DE CUIDADOS INTENSIVOS (UCI)",IF(P213=#REF!,"MODELO DE ATENCION PARA EVENTOS EMERGENTES EN SALUD MENTAL (CODIGO VERDE)",IF(P213=#REF!,"HUMANIZACION EN EL SERVICIO DE LA SALUD Y BUENAS PRACTICAS EN PACIENTE ",IF(P213=#REF!,"CLINICA DE HERIDAS ",IF(P213=#REF!,"TOMA DE CITOLOGIA CERVICO VAGINAL ",IF(P213=#REF!,"SOPORTE CARDIOVASCULAR AVANZADO (ACLS) ",IF(P213=#REF!,"CAMILLERO ",IF(P213=#REF!,"TOMA DE MUESTRAS Y LABORATORIO ",IF(P213=#REF!,"SOPORTE VITAL BASICO (BLS)",IF(P213=#REF!,"ATENCION A VICTIMAS DE VIOLENCIA SEXUAL ",IF(P213=#REF!,"PROGRAMADO AMPLIADO DE INMUNIZACION (PAI - COVID 19)",IF(P213=#REF!,"ATENCION INTEGRAL EN ENFERMEDADES PREVALENTES EN PRIMERA INFANCIA (AIEPI)",IF(P213=#REF!,"ADMINISTRACION DE MEDICAMENTOS, INYECTOLOGIA  Y CANALIZACION ",IF(P213=#REF!,"OPERADOR DE VEHICULOS DE EMERGENCIA (OVE)",IF(P213=#REF!,"INSTITUCIONES AMIGAS DE LA MUJER Y LA INFANCIA (IAMI)",IF(P213=#REF!,"CUIDADO DEL DONANTE DE ORGANOS",IF(P213=#REF!,"ATENCION A VICTIMAS POR VIOLENCIA DE GENERO",IF(P213=#REF!,"IGUALDAD DE GENERO EN LA SALUD",IF(P213=#REF!,"BRIGADA DE EMERGENCIA",IF(P213=#REF!,"MANEJO DEL DOLOR Y CUIDADOS PALIATIVOS",IF(P213=#REF!,"TOMA DE MUESTRAS Y LABORATORIO POCT",IF(P213=#REF!,"IMPLANTE SUBDERMICO DE DISPOSITIVO INTRAUTERINO",IF(P213=#REF!,"SALUD MENTAL",IF(P213=#REF!,"PRIMEROS AUXILIOS PSICOLOGICOS",IF(P213=#REF!,"ATENCION A VICTIMAS POR CONFLICTO ARMADO",IF(P213=#REF!,"MANIPULACION DE ALIMENTOS Y BPM",IF(P213=#REF!,"ATENCION A PERSONAS CON DISCAPACIDAD",IF(P213=#REF!,"CUIDADO INTEGRAL DEL PACIENTE ADULTO",IF(P213=#REF!,"MANEJO DEFENSIVO",IF(P213=#REF!,"SOPORTE CARDIOVASCULAR AVANZADO NEONATAL",IF(P213=#REF!,"SEGURIDAD DEL PACIENTE",IF(P213=#REF!,"MANEJO DE RESIDUOS HOSPITALARIOS"))))))))))))))))))))))))))))))))))))</f>
        <v>#REF!</v>
      </c>
      <c r="W213" s="26" t="str">
        <f t="shared" si="12"/>
        <v>Edison Alexander Mora Barcenas</v>
      </c>
      <c r="X213" s="26" t="str">
        <f t="shared" si="13"/>
        <v>Edison Alexander Mora Barcenas</v>
      </c>
      <c r="Y213" s="26" t="str">
        <f t="shared" si="14"/>
        <v>Edison Alexander Mora Barcenas-1085323721-BLS</v>
      </c>
    </row>
    <row r="214" spans="1:25" x14ac:dyDescent="0.2">
      <c r="A214" s="20">
        <v>213</v>
      </c>
      <c r="B214" s="21">
        <v>1085323721</v>
      </c>
      <c r="C214" s="21" t="s">
        <v>257</v>
      </c>
      <c r="D214" s="21" t="s">
        <v>512</v>
      </c>
      <c r="E214" s="21" t="s">
        <v>300</v>
      </c>
      <c r="F214" s="21" t="s">
        <v>306</v>
      </c>
      <c r="G214" s="21">
        <v>22</v>
      </c>
      <c r="H214" s="21" t="s">
        <v>49</v>
      </c>
      <c r="I214" s="21" t="s">
        <v>376</v>
      </c>
      <c r="J214" s="21"/>
      <c r="K214" s="23">
        <v>45682</v>
      </c>
      <c r="L214" s="42">
        <v>30714</v>
      </c>
      <c r="M214" s="21" t="s">
        <v>79</v>
      </c>
      <c r="N214" s="21" t="s">
        <v>387</v>
      </c>
      <c r="O214" s="21" t="s">
        <v>69</v>
      </c>
      <c r="P214" s="21" t="s">
        <v>27</v>
      </c>
      <c r="Q214" s="22"/>
      <c r="R214" s="21" t="s">
        <v>70</v>
      </c>
      <c r="S214" s="63" t="s">
        <v>83</v>
      </c>
      <c r="T214" s="21">
        <v>3168200701</v>
      </c>
      <c r="U214" s="25" t="s">
        <v>513</v>
      </c>
      <c r="V214" s="26" t="e">
        <f>IF(P214=#REF!,"DIPLOMADO EN ATENCION PRE-HOSPITALARIA",IF(P214=#REF!,"ACOMPAÑAMIENTO Y MANEJO DEL DUELO",IF(P214=#REF!,"ATENCION A VICTIMAS DE ATAQUE CON AGENTES QUIMICOS ",IF(P214=#REF!,"PRIMEROS AUXILIOS ",IF(P214=#REF!,"DIPLOMADO DE UNIDAD DE CUIDADOS INTENSIVOS (UCI)",IF(P214=#REF!,"MODELO DE ATENCION PARA EVENTOS EMERGENTES EN SALUD MENTAL (CODIGO VERDE)",IF(P214=#REF!,"HUMANIZACION EN EL SERVICIO DE LA SALUD Y BUENAS PRACTICAS EN PACIENTE ",IF(P214=#REF!,"CLINICA DE HERIDAS ",IF(P214=#REF!,"TOMA DE CITOLOGIA CERVICO VAGINAL ",IF(P214=#REF!,"SOPORTE CARDIOVASCULAR AVANZADO (ACLS) ",IF(P214=#REF!,"CAMILLERO ",IF(P214=#REF!,"TOMA DE MUESTRAS Y LABORATORIO ",IF(P214=#REF!,"SOPORTE VITAL BASICO (BLS)",IF(P214=#REF!,"ATENCION A VICTIMAS DE VIOLENCIA SEXUAL ",IF(P214=#REF!,"PROGRAMADO AMPLIADO DE INMUNIZACION (PAI - COVID 19)",IF(P214=#REF!,"ATENCION INTEGRAL EN ENFERMEDADES PREVALENTES EN PRIMERA INFANCIA (AIEPI)",IF(P214=#REF!,"ADMINISTRACION DE MEDICAMENTOS, INYECTOLOGIA  Y CANALIZACION ",IF(P214=#REF!,"OPERADOR DE VEHICULOS DE EMERGENCIA (OVE)",IF(P214=#REF!,"INSTITUCIONES AMIGAS DE LA MUJER Y LA INFANCIA (IAMI)",IF(P214=#REF!,"CUIDADO DEL DONANTE DE ORGANOS",IF(P214=#REF!,"ATENCION A VICTIMAS POR VIOLENCIA DE GENERO",IF(P214=#REF!,"IGUALDAD DE GENERO EN LA SALUD",IF(P214=#REF!,"BRIGADA DE EMERGENCIA",IF(P214=#REF!,"MANEJO DEL DOLOR Y CUIDADOS PALIATIVOS",IF(P214=#REF!,"TOMA DE MUESTRAS Y LABORATORIO POCT",IF(P214=#REF!,"IMPLANTE SUBDERMICO DE DISPOSITIVO INTRAUTERINO",IF(P214=#REF!,"SALUD MENTAL",IF(P214=#REF!,"PRIMEROS AUXILIOS PSICOLOGICOS",IF(P214=#REF!,"ATENCION A VICTIMAS POR CONFLICTO ARMADO",IF(P214=#REF!,"MANIPULACION DE ALIMENTOS Y BPM",IF(P214=#REF!,"ATENCION A PERSONAS CON DISCAPACIDAD",IF(P214=#REF!,"CUIDADO INTEGRAL DEL PACIENTE ADULTO",IF(P214=#REF!,"MANEJO DEFENSIVO",IF(P214=#REF!,"SOPORTE CARDIOVASCULAR AVANZADO NEONATAL",IF(P214=#REF!,"SEGURIDAD DEL PACIENTE",IF(P214=#REF!,"MANEJO DE RESIDUOS HOSPITALARIOS"))))))))))))))))))))))))))))))))))))</f>
        <v>#REF!</v>
      </c>
      <c r="W214" s="26" t="str">
        <f t="shared" si="12"/>
        <v>Edison Alexander Mora Barcenas</v>
      </c>
      <c r="X214" s="26" t="str">
        <f t="shared" si="13"/>
        <v>Edison Alexander Mora Barcenas</v>
      </c>
      <c r="Y214" s="26" t="str">
        <f t="shared" si="14"/>
        <v>Edison Alexander Mora Barcenas-1085323721-VIOLENCIA SEXUAL</v>
      </c>
    </row>
    <row r="215" spans="1:25" x14ac:dyDescent="0.2">
      <c r="A215" s="20">
        <v>214</v>
      </c>
      <c r="B215" s="21">
        <v>1085323721</v>
      </c>
      <c r="C215" s="21" t="s">
        <v>257</v>
      </c>
      <c r="D215" s="21" t="s">
        <v>512</v>
      </c>
      <c r="E215" s="21" t="s">
        <v>300</v>
      </c>
      <c r="F215" s="21" t="s">
        <v>306</v>
      </c>
      <c r="G215" s="21">
        <v>23</v>
      </c>
      <c r="H215" s="21" t="s">
        <v>49</v>
      </c>
      <c r="I215" s="21" t="s">
        <v>376</v>
      </c>
      <c r="J215" s="21"/>
      <c r="K215" s="23">
        <v>45682</v>
      </c>
      <c r="L215" s="42">
        <v>30714</v>
      </c>
      <c r="M215" s="21" t="s">
        <v>79</v>
      </c>
      <c r="N215" s="21" t="s">
        <v>387</v>
      </c>
      <c r="O215" s="21" t="s">
        <v>69</v>
      </c>
      <c r="P215" s="21" t="s">
        <v>28</v>
      </c>
      <c r="Q215" s="22"/>
      <c r="R215" s="21" t="s">
        <v>70</v>
      </c>
      <c r="S215" s="63" t="s">
        <v>83</v>
      </c>
      <c r="T215" s="21">
        <v>3168200701</v>
      </c>
      <c r="U215" s="25" t="s">
        <v>513</v>
      </c>
      <c r="V215" s="26" t="e">
        <f>IF(P215=#REF!,"DIPLOMADO EN ATENCION PRE-HOSPITALARIA",IF(P215=#REF!,"ACOMPAÑAMIENTO Y MANEJO DEL DUELO",IF(P215=#REF!,"ATENCION A VICTIMAS DE ATAQUE CON AGENTES QUIMICOS ",IF(P215=#REF!,"PRIMEROS AUXILIOS ",IF(P215=#REF!,"DIPLOMADO DE UNIDAD DE CUIDADOS INTENSIVOS (UCI)",IF(P215=#REF!,"MODELO DE ATENCION PARA EVENTOS EMERGENTES EN SALUD MENTAL (CODIGO VERDE)",IF(P215=#REF!,"HUMANIZACION EN EL SERVICIO DE LA SALUD Y BUENAS PRACTICAS EN PACIENTE ",IF(P215=#REF!,"CLINICA DE HERIDAS ",IF(P215=#REF!,"TOMA DE CITOLOGIA CERVICO VAGINAL ",IF(P215=#REF!,"SOPORTE CARDIOVASCULAR AVANZADO (ACLS) ",IF(P215=#REF!,"CAMILLERO ",IF(P215=#REF!,"TOMA DE MUESTRAS Y LABORATORIO ",IF(P215=#REF!,"SOPORTE VITAL BASICO (BLS)",IF(P215=#REF!,"ATENCION A VICTIMAS DE VIOLENCIA SEXUAL ",IF(P215=#REF!,"PROGRAMADO AMPLIADO DE INMUNIZACION (PAI - COVID 19)",IF(P215=#REF!,"ATENCION INTEGRAL EN ENFERMEDADES PREVALENTES EN PRIMERA INFANCIA (AIEPI)",IF(P215=#REF!,"ADMINISTRACION DE MEDICAMENTOS, INYECTOLOGIA  Y CANALIZACION ",IF(P215=#REF!,"OPERADOR DE VEHICULOS DE EMERGENCIA (OVE)",IF(P215=#REF!,"INSTITUCIONES AMIGAS DE LA MUJER Y LA INFANCIA (IAMI)",IF(P215=#REF!,"CUIDADO DEL DONANTE DE ORGANOS",IF(P215=#REF!,"ATENCION A VICTIMAS POR VIOLENCIA DE GENERO",IF(P215=#REF!,"IGUALDAD DE GENERO EN LA SALUD",IF(P215=#REF!,"BRIGADA DE EMERGENCIA",IF(P215=#REF!,"MANEJO DEL DOLOR Y CUIDADOS PALIATIVOS",IF(P215=#REF!,"TOMA DE MUESTRAS Y LABORATORIO POCT",IF(P215=#REF!,"IMPLANTE SUBDERMICO DE DISPOSITIVO INTRAUTERINO",IF(P215=#REF!,"SALUD MENTAL",IF(P215=#REF!,"PRIMEROS AUXILIOS PSICOLOGICOS",IF(P215=#REF!,"ATENCION A VICTIMAS POR CONFLICTO ARMADO",IF(P215=#REF!,"MANIPULACION DE ALIMENTOS Y BPM",IF(P215=#REF!,"ATENCION A PERSONAS CON DISCAPACIDAD",IF(P215=#REF!,"CUIDADO INTEGRAL DEL PACIENTE ADULTO",IF(P215=#REF!,"MANEJO DEFENSIVO",IF(P215=#REF!,"SOPORTE CARDIOVASCULAR AVANZADO NEONATAL",IF(P215=#REF!,"SEGURIDAD DEL PACIENTE",IF(P215=#REF!,"MANEJO DE RESIDUOS HOSPITALARIOS"))))))))))))))))))))))))))))))))))))</f>
        <v>#REF!</v>
      </c>
      <c r="W215" s="26" t="str">
        <f t="shared" si="12"/>
        <v>Edison Alexander Mora Barcenas</v>
      </c>
      <c r="X215" s="26" t="str">
        <f t="shared" si="13"/>
        <v>Edison Alexander Mora Barcenas</v>
      </c>
      <c r="Y215" s="26" t="str">
        <f t="shared" si="14"/>
        <v>Edison Alexander Mora Barcenas-1085323721-AIEPI</v>
      </c>
    </row>
    <row r="216" spans="1:25" x14ac:dyDescent="0.2">
      <c r="A216" s="20">
        <v>215</v>
      </c>
      <c r="B216" s="21">
        <v>1085323721</v>
      </c>
      <c r="C216" s="21" t="s">
        <v>257</v>
      </c>
      <c r="D216" s="21" t="s">
        <v>512</v>
      </c>
      <c r="E216" s="21" t="s">
        <v>300</v>
      </c>
      <c r="F216" s="21" t="s">
        <v>306</v>
      </c>
      <c r="G216" s="21">
        <v>24</v>
      </c>
      <c r="H216" s="21" t="s">
        <v>49</v>
      </c>
      <c r="I216" s="21" t="s">
        <v>376</v>
      </c>
      <c r="J216" s="21"/>
      <c r="K216" s="23">
        <v>45682</v>
      </c>
      <c r="L216" s="42">
        <v>30714</v>
      </c>
      <c r="M216" s="21" t="s">
        <v>79</v>
      </c>
      <c r="N216" s="21" t="s">
        <v>387</v>
      </c>
      <c r="O216" s="21" t="s">
        <v>69</v>
      </c>
      <c r="P216" s="21" t="s">
        <v>31</v>
      </c>
      <c r="Q216" s="22"/>
      <c r="R216" s="21" t="s">
        <v>70</v>
      </c>
      <c r="S216" s="63" t="s">
        <v>83</v>
      </c>
      <c r="T216" s="21">
        <v>3168200701</v>
      </c>
      <c r="U216" s="25" t="s">
        <v>513</v>
      </c>
      <c r="V216" s="26" t="e">
        <f>IF(P216=#REF!,"DIPLOMADO EN ATENCION PRE-HOSPITALARIA",IF(P216=#REF!,"ACOMPAÑAMIENTO Y MANEJO DEL DUELO",IF(P216=#REF!,"ATENCION A VICTIMAS DE ATAQUE CON AGENTES QUIMICOS ",IF(P216=#REF!,"PRIMEROS AUXILIOS ",IF(P216=#REF!,"DIPLOMADO DE UNIDAD DE CUIDADOS INTENSIVOS (UCI)",IF(P216=#REF!,"MODELO DE ATENCION PARA EVENTOS EMERGENTES EN SALUD MENTAL (CODIGO VERDE)",IF(P216=#REF!,"HUMANIZACION EN EL SERVICIO DE LA SALUD Y BUENAS PRACTICAS EN PACIENTE ",IF(P216=#REF!,"CLINICA DE HERIDAS ",IF(P216=#REF!,"TOMA DE CITOLOGIA CERVICO VAGINAL ",IF(P216=#REF!,"SOPORTE CARDIOVASCULAR AVANZADO (ACLS) ",IF(P216=#REF!,"CAMILLERO ",IF(P216=#REF!,"TOMA DE MUESTRAS Y LABORATORIO ",IF(P216=#REF!,"SOPORTE VITAL BASICO (BLS)",IF(P216=#REF!,"ATENCION A VICTIMAS DE VIOLENCIA SEXUAL ",IF(P216=#REF!,"PROGRAMADO AMPLIADO DE INMUNIZACION (PAI - COVID 19)",IF(P216=#REF!,"ATENCION INTEGRAL EN ENFERMEDADES PREVALENTES EN PRIMERA INFANCIA (AIEPI)",IF(P216=#REF!,"ADMINISTRACION DE MEDICAMENTOS, INYECTOLOGIA  Y CANALIZACION ",IF(P216=#REF!,"OPERADOR DE VEHICULOS DE EMERGENCIA (OVE)",IF(P216=#REF!,"INSTITUCIONES AMIGAS DE LA MUJER Y LA INFANCIA (IAMI)",IF(P216=#REF!,"CUIDADO DEL DONANTE DE ORGANOS",IF(P216=#REF!,"ATENCION A VICTIMAS POR VIOLENCIA DE GENERO",IF(P216=#REF!,"IGUALDAD DE GENERO EN LA SALUD",IF(P216=#REF!,"BRIGADA DE EMERGENCIA",IF(P216=#REF!,"MANEJO DEL DOLOR Y CUIDADOS PALIATIVOS",IF(P216=#REF!,"TOMA DE MUESTRAS Y LABORATORIO POCT",IF(P216=#REF!,"IMPLANTE SUBDERMICO DE DISPOSITIVO INTRAUTERINO",IF(P216=#REF!,"SALUD MENTAL",IF(P216=#REF!,"PRIMEROS AUXILIOS PSICOLOGICOS",IF(P216=#REF!,"ATENCION A VICTIMAS POR CONFLICTO ARMADO",IF(P216=#REF!,"MANIPULACION DE ALIMENTOS Y BPM",IF(P216=#REF!,"ATENCION A PERSONAS CON DISCAPACIDAD",IF(P216=#REF!,"CUIDADO INTEGRAL DEL PACIENTE ADULTO",IF(P216=#REF!,"MANEJO DEFENSIVO",IF(P216=#REF!,"SOPORTE CARDIOVASCULAR AVANZADO NEONATAL",IF(P216=#REF!,"SEGURIDAD DEL PACIENTE",IF(P216=#REF!,"MANEJO DE RESIDUOS HOSPITALARIOS"))))))))))))))))))))))))))))))))))))</f>
        <v>#REF!</v>
      </c>
      <c r="W216" s="26" t="str">
        <f t="shared" si="12"/>
        <v>Edison Alexander Mora Barcenas</v>
      </c>
      <c r="X216" s="26" t="str">
        <f t="shared" si="13"/>
        <v>Edison Alexander Mora Barcenas</v>
      </c>
      <c r="Y216" s="26" t="str">
        <f t="shared" si="14"/>
        <v>Edison Alexander Mora Barcenas-1085323721-IAMI</v>
      </c>
    </row>
    <row r="217" spans="1:25" x14ac:dyDescent="0.2">
      <c r="A217" s="20">
        <v>216</v>
      </c>
      <c r="B217" s="21">
        <v>1085323721</v>
      </c>
      <c r="C217" s="21" t="s">
        <v>257</v>
      </c>
      <c r="D217" s="21" t="s">
        <v>512</v>
      </c>
      <c r="E217" s="21" t="s">
        <v>300</v>
      </c>
      <c r="F217" s="21" t="s">
        <v>306</v>
      </c>
      <c r="G217" s="21">
        <v>25</v>
      </c>
      <c r="H217" s="21" t="s">
        <v>49</v>
      </c>
      <c r="I217" s="21" t="s">
        <v>376</v>
      </c>
      <c r="J217" s="21"/>
      <c r="K217" s="23">
        <v>45682</v>
      </c>
      <c r="L217" s="42">
        <v>30714</v>
      </c>
      <c r="M217" s="21" t="s">
        <v>79</v>
      </c>
      <c r="N217" s="21" t="s">
        <v>387</v>
      </c>
      <c r="O217" s="21" t="s">
        <v>69</v>
      </c>
      <c r="P217" s="21" t="s">
        <v>41</v>
      </c>
      <c r="Q217" s="22"/>
      <c r="R217" s="21" t="s">
        <v>70</v>
      </c>
      <c r="S217" s="63" t="s">
        <v>83</v>
      </c>
      <c r="T217" s="21">
        <v>3168200701</v>
      </c>
      <c r="U217" s="25" t="s">
        <v>513</v>
      </c>
      <c r="V217" s="26" t="e">
        <f>IF(P217=#REF!,"DIPLOMADO EN ATENCION PRE-HOSPITALARIA",IF(P217=#REF!,"ACOMPAÑAMIENTO Y MANEJO DEL DUELO",IF(P217=#REF!,"ATENCION A VICTIMAS DE ATAQUE CON AGENTES QUIMICOS ",IF(P217=#REF!,"PRIMEROS AUXILIOS ",IF(P217=#REF!,"DIPLOMADO DE UNIDAD DE CUIDADOS INTENSIVOS (UCI)",IF(P217=#REF!,"MODELO DE ATENCION PARA EVENTOS EMERGENTES EN SALUD MENTAL (CODIGO VERDE)",IF(P217=#REF!,"HUMANIZACION EN EL SERVICIO DE LA SALUD Y BUENAS PRACTICAS EN PACIENTE ",IF(P217=#REF!,"CLINICA DE HERIDAS ",IF(P217=#REF!,"TOMA DE CITOLOGIA CERVICO VAGINAL ",IF(P217=#REF!,"SOPORTE CARDIOVASCULAR AVANZADO (ACLS) ",IF(P217=#REF!,"CAMILLERO ",IF(P217=#REF!,"TOMA DE MUESTRAS Y LABORATORIO ",IF(P217=#REF!,"SOPORTE VITAL BASICO (BLS)",IF(P217=#REF!,"ATENCION A VICTIMAS DE VIOLENCIA SEXUAL ",IF(P217=#REF!,"PROGRAMADO AMPLIADO DE INMUNIZACION (PAI - COVID 19)",IF(P217=#REF!,"ATENCION INTEGRAL EN ENFERMEDADES PREVALENTES EN PRIMERA INFANCIA (AIEPI)",IF(P217=#REF!,"ADMINISTRACION DE MEDICAMENTOS, INYECTOLOGIA  Y CANALIZACION ",IF(P217=#REF!,"OPERADOR DE VEHICULOS DE EMERGENCIA (OVE)",IF(P217=#REF!,"INSTITUCIONES AMIGAS DE LA MUJER Y LA INFANCIA (IAMI)",IF(P217=#REF!,"CUIDADO DEL DONANTE DE ORGANOS",IF(P217=#REF!,"ATENCION A VICTIMAS POR VIOLENCIA DE GENERO",IF(P217=#REF!,"IGUALDAD DE GENERO EN LA SALUD",IF(P217=#REF!,"BRIGADA DE EMERGENCIA",IF(P217=#REF!,"MANEJO DEL DOLOR Y CUIDADOS PALIATIVOS",IF(P217=#REF!,"TOMA DE MUESTRAS Y LABORATORIO POCT",IF(P217=#REF!,"IMPLANTE SUBDERMICO DE DISPOSITIVO INTRAUTERINO",IF(P217=#REF!,"SALUD MENTAL",IF(P217=#REF!,"PRIMEROS AUXILIOS PSICOLOGICOS",IF(P217=#REF!,"ATENCION A VICTIMAS POR CONFLICTO ARMADO",IF(P217=#REF!,"MANIPULACION DE ALIMENTOS Y BPM",IF(P217=#REF!,"ATENCION A PERSONAS CON DISCAPACIDAD",IF(P217=#REF!,"CUIDADO INTEGRAL DEL PACIENTE ADULTO",IF(P217=#REF!,"MANEJO DEFENSIVO",IF(P217=#REF!,"SOPORTE CARDIOVASCULAR AVANZADO NEONATAL",IF(P217=#REF!,"SEGURIDAD DEL PACIENTE",IF(P217=#REF!,"MANEJO DE RESIDUOS HOSPITALARIOS"))))))))))))))))))))))))))))))))))))</f>
        <v>#REF!</v>
      </c>
      <c r="W217" s="26" t="str">
        <f t="shared" si="12"/>
        <v>Edison Alexander Mora Barcenas</v>
      </c>
      <c r="X217" s="26" t="str">
        <f t="shared" si="13"/>
        <v>Edison Alexander Mora Barcenas</v>
      </c>
      <c r="Y217" s="26" t="str">
        <f t="shared" si="14"/>
        <v>Edison Alexander Mora Barcenas-1085323721-PACIENTE</v>
      </c>
    </row>
    <row r="218" spans="1:25" x14ac:dyDescent="0.2">
      <c r="A218" s="20">
        <v>217</v>
      </c>
      <c r="B218" s="21">
        <v>1085323721</v>
      </c>
      <c r="C218" s="21" t="s">
        <v>257</v>
      </c>
      <c r="D218" s="21" t="s">
        <v>512</v>
      </c>
      <c r="E218" s="21" t="s">
        <v>300</v>
      </c>
      <c r="F218" s="21" t="s">
        <v>306</v>
      </c>
      <c r="G218" s="21">
        <v>21</v>
      </c>
      <c r="H218" s="21" t="s">
        <v>49</v>
      </c>
      <c r="I218" s="21" t="s">
        <v>376</v>
      </c>
      <c r="J218" s="21"/>
      <c r="K218" s="23">
        <v>45682</v>
      </c>
      <c r="L218" s="42">
        <v>30714</v>
      </c>
      <c r="M218" s="21" t="s">
        <v>79</v>
      </c>
      <c r="N218" s="21" t="s">
        <v>387</v>
      </c>
      <c r="O218" s="21" t="s">
        <v>69</v>
      </c>
      <c r="P218" s="21" t="s">
        <v>23</v>
      </c>
      <c r="Q218" s="22"/>
      <c r="R218" s="21" t="s">
        <v>70</v>
      </c>
      <c r="S218" s="63" t="s">
        <v>83</v>
      </c>
      <c r="T218" s="21">
        <v>3168200701</v>
      </c>
      <c r="U218" s="25" t="s">
        <v>513</v>
      </c>
      <c r="V218" s="26" t="e">
        <f>IF(P218=#REF!,"DIPLOMADO EN ATENCION PRE-HOSPITALARIA",IF(P218=#REF!,"ACOMPAÑAMIENTO Y MANEJO DEL DUELO",IF(P218=#REF!,"ATENCION A VICTIMAS DE ATAQUE CON AGENTES QUIMICOS ",IF(P218=#REF!,"PRIMEROS AUXILIOS ",IF(P218=#REF!,"DIPLOMADO DE UNIDAD DE CUIDADOS INTENSIVOS (UCI)",IF(P218=#REF!,"MODELO DE ATENCION PARA EVENTOS EMERGENTES EN SALUD MENTAL (CODIGO VERDE)",IF(P218=#REF!,"HUMANIZACION EN EL SERVICIO DE LA SALUD Y BUENAS PRACTICAS EN PACIENTE ",IF(P218=#REF!,"CLINICA DE HERIDAS ",IF(P218=#REF!,"TOMA DE CITOLOGIA CERVICO VAGINAL ",IF(P218=#REF!,"SOPORTE CARDIOVASCULAR AVANZADO (ACLS) ",IF(P218=#REF!,"CAMILLERO ",IF(P218=#REF!,"TOMA DE MUESTRAS Y LABORATORIO ",IF(P218=#REF!,"SOPORTE VITAL BASICO (BLS)",IF(P218=#REF!,"ATENCION A VICTIMAS DE VIOLENCIA SEXUAL ",IF(P218=#REF!,"PROGRAMADO AMPLIADO DE INMUNIZACION (PAI - COVID 19)",IF(P218=#REF!,"ATENCION INTEGRAL EN ENFERMEDADES PREVALENTES EN PRIMERA INFANCIA (AIEPI)",IF(P218=#REF!,"ADMINISTRACION DE MEDICAMENTOS, INYECTOLOGIA  Y CANALIZACION ",IF(P218=#REF!,"OPERADOR DE VEHICULOS DE EMERGENCIA (OVE)",IF(P218=#REF!,"INSTITUCIONES AMIGAS DE LA MUJER Y LA INFANCIA (IAMI)",IF(P218=#REF!,"CUIDADO DEL DONANTE DE ORGANOS",IF(P218=#REF!,"ATENCION A VICTIMAS POR VIOLENCIA DE GENERO",IF(P218=#REF!,"IGUALDAD DE GENERO EN LA SALUD",IF(P218=#REF!,"BRIGADA DE EMERGENCIA",IF(P218=#REF!,"MANEJO DEL DOLOR Y CUIDADOS PALIATIVOS",IF(P218=#REF!,"TOMA DE MUESTRAS Y LABORATORIO POCT",IF(P218=#REF!,"IMPLANTE SUBDERMICO DE DISPOSITIVO INTRAUTERINO",IF(P218=#REF!,"SALUD MENTAL",IF(P218=#REF!,"PRIMEROS AUXILIOS PSICOLOGICOS",IF(P218=#REF!,"ATENCION A VICTIMAS POR CONFLICTO ARMADO",IF(P218=#REF!,"MANIPULACION DE ALIMENTOS Y BPM",IF(P218=#REF!,"ATENCION A PERSONAS CON DISCAPACIDAD",IF(P218=#REF!,"CUIDADO INTEGRAL DEL PACIENTE ADULTO",IF(P218=#REF!,"MANEJO DEFENSIVO",IF(P218=#REF!,"SOPORTE CARDIOVASCULAR AVANZADO NEONATAL",IF(P218=#REF!,"SEGURIDAD DEL PACIENTE",IF(P218=#REF!,"MANEJO DE RESIDUOS HOSPITALARIOS"))))))))))))))))))))))))))))))))))))</f>
        <v>#REF!</v>
      </c>
      <c r="W218" s="26" t="str">
        <f t="shared" si="12"/>
        <v>Edison Alexander Mora Barcenas</v>
      </c>
      <c r="X218" s="26" t="str">
        <f t="shared" si="13"/>
        <v>Edison Alexander Mora Barcenas</v>
      </c>
      <c r="Y218" s="26" t="str">
        <f t="shared" si="14"/>
        <v>Edison Alexander Mora Barcenas-1085323721-HUMANIZACION</v>
      </c>
    </row>
    <row r="219" spans="1:25" x14ac:dyDescent="0.2">
      <c r="A219" s="36">
        <v>218</v>
      </c>
      <c r="B219" s="37">
        <v>1085323721</v>
      </c>
      <c r="C219" s="37" t="s">
        <v>257</v>
      </c>
      <c r="D219" s="37" t="s">
        <v>512</v>
      </c>
      <c r="E219" s="37" t="s">
        <v>300</v>
      </c>
      <c r="F219" s="37" t="s">
        <v>306</v>
      </c>
      <c r="G219" s="37">
        <v>27</v>
      </c>
      <c r="H219" s="37" t="s">
        <v>49</v>
      </c>
      <c r="I219" s="37" t="s">
        <v>376</v>
      </c>
      <c r="J219" s="37"/>
      <c r="K219" s="39">
        <v>45682</v>
      </c>
      <c r="L219" s="44">
        <v>30714</v>
      </c>
      <c r="M219" s="37" t="s">
        <v>79</v>
      </c>
      <c r="N219" s="37" t="s">
        <v>387</v>
      </c>
      <c r="O219" s="37" t="s">
        <v>69</v>
      </c>
      <c r="P219" s="37" t="s">
        <v>20</v>
      </c>
      <c r="Q219" s="38"/>
      <c r="R219" s="37" t="s">
        <v>70</v>
      </c>
      <c r="S219" s="65" t="s">
        <v>83</v>
      </c>
      <c r="T219" s="37">
        <v>3168200701</v>
      </c>
      <c r="U219" s="45" t="s">
        <v>513</v>
      </c>
      <c r="V219" s="41" t="e">
        <f>IF(P219=#REF!,"DIPLOMADO EN ATENCION PRE-HOSPITALARIA",IF(P219=#REF!,"ACOMPAÑAMIENTO Y MANEJO DEL DUELO",IF(P219=#REF!,"ATENCION A VICTIMAS DE ATAQUE CON AGENTES QUIMICOS ",IF(P219=#REF!,"PRIMEROS AUXILIOS ",IF(P219=#REF!,"DIPLOMADO DE UNIDAD DE CUIDADOS INTENSIVOS (UCI)",IF(P219=#REF!,"MODELO DE ATENCION PARA EVENTOS EMERGENTES EN SALUD MENTAL (CODIGO VERDE)",IF(P219=#REF!,"HUMANIZACION EN EL SERVICIO DE LA SALUD Y BUENAS PRACTICAS EN PACIENTE ",IF(P219=#REF!,"CLINICA DE HERIDAS ",IF(P219=#REF!,"TOMA DE CITOLOGIA CERVICO VAGINAL ",IF(P219=#REF!,"SOPORTE CARDIOVASCULAR AVANZADO (ACLS) ",IF(P219=#REF!,"CAMILLERO ",IF(P219=#REF!,"TOMA DE MUESTRAS Y LABORATORIO ",IF(P219=#REF!,"SOPORTE VITAL BASICO (BLS)",IF(P219=#REF!,"ATENCION A VICTIMAS DE VIOLENCIA SEXUAL ",IF(P219=#REF!,"PROGRAMADO AMPLIADO DE INMUNIZACION (PAI - COVID 19)",IF(P219=#REF!,"ATENCION INTEGRAL EN ENFERMEDADES PREVALENTES EN PRIMERA INFANCIA (AIEPI)",IF(P219=#REF!,"ADMINISTRACION DE MEDICAMENTOS, INYECTOLOGIA  Y CANALIZACION ",IF(P219=#REF!,"OPERADOR DE VEHICULOS DE EMERGENCIA (OVE)",IF(P219=#REF!,"INSTITUCIONES AMIGAS DE LA MUJER Y LA INFANCIA (IAMI)",IF(P219=#REF!,"CUIDADO DEL DONANTE DE ORGANOS",IF(P219=#REF!,"ATENCION A VICTIMAS POR VIOLENCIA DE GENERO",IF(P219=#REF!,"IGUALDAD DE GENERO EN LA SALUD",IF(P219=#REF!,"BRIGADA DE EMERGENCIA",IF(P219=#REF!,"MANEJO DEL DOLOR Y CUIDADOS PALIATIVOS",IF(P219=#REF!,"TOMA DE MUESTRAS Y LABORATORIO POCT",IF(P219=#REF!,"IMPLANTE SUBDERMICO DE DISPOSITIVO INTRAUTERINO",IF(P219=#REF!,"SALUD MENTAL",IF(P219=#REF!,"PRIMEROS AUXILIOS PSICOLOGICOS",IF(P219=#REF!,"ATENCION A VICTIMAS POR CONFLICTO ARMADO",IF(P219=#REF!,"MANIPULACION DE ALIMENTOS Y BPM",IF(P219=#REF!,"ATENCION A PERSONAS CON DISCAPACIDAD",IF(P219=#REF!,"CUIDADO INTEGRAL DEL PACIENTE ADULTO",IF(P219=#REF!,"MANEJO DEFENSIVO",IF(P219=#REF!,"SOPORTE CARDIOVASCULAR AVANZADO NEONATAL",IF(P219=#REF!,"SEGURIDAD DEL PACIENTE",IF(P219=#REF!,"MANEJO DE RESIDUOS HOSPITALARIOS"))))))))))))))))))))))))))))))))))))</f>
        <v>#REF!</v>
      </c>
      <c r="W219" s="41" t="str">
        <f t="shared" si="12"/>
        <v>Edison Alexander Mora Barcenas</v>
      </c>
      <c r="X219" s="41" t="str">
        <f t="shared" si="13"/>
        <v>Edison Alexander Mora Barcenas</v>
      </c>
      <c r="Y219" s="41" t="str">
        <f t="shared" si="14"/>
        <v>Edison Alexander Mora Barcenas-1085323721-DUELO</v>
      </c>
    </row>
    <row r="220" spans="1:25" s="19" customFormat="1" x14ac:dyDescent="0.2">
      <c r="A220" s="20">
        <v>219</v>
      </c>
      <c r="B220" s="21">
        <v>1085323721</v>
      </c>
      <c r="C220" s="21" t="s">
        <v>257</v>
      </c>
      <c r="D220" s="21" t="s">
        <v>512</v>
      </c>
      <c r="E220" s="21" t="s">
        <v>300</v>
      </c>
      <c r="F220" s="21" t="s">
        <v>306</v>
      </c>
      <c r="G220" s="21">
        <v>22</v>
      </c>
      <c r="H220" s="21" t="s">
        <v>49</v>
      </c>
      <c r="I220" s="21" t="s">
        <v>376</v>
      </c>
      <c r="J220" s="21"/>
      <c r="K220" s="23">
        <v>45682</v>
      </c>
      <c r="L220" s="42">
        <v>30714</v>
      </c>
      <c r="M220" s="21" t="s">
        <v>79</v>
      </c>
      <c r="N220" s="21" t="s">
        <v>387</v>
      </c>
      <c r="O220" s="21" t="s">
        <v>69</v>
      </c>
      <c r="P220" s="21" t="s">
        <v>21</v>
      </c>
      <c r="Q220" s="22"/>
      <c r="R220" s="21" t="s">
        <v>70</v>
      </c>
      <c r="S220" s="63" t="s">
        <v>83</v>
      </c>
      <c r="T220" s="21">
        <v>3168200701</v>
      </c>
      <c r="U220" s="25" t="s">
        <v>513</v>
      </c>
      <c r="V220" s="26" t="e">
        <f>IF(P220=#REF!,"DIPLOMADO EN ATENCION PRE-HOSPITALARIA",IF(P220=#REF!,"ACOMPAÑAMIENTO Y MANEJO DEL DUELO",IF(P220=#REF!,"ATENCION A VICTIMAS DE ATAQUE CON AGENTES QUIMICOS ",IF(P220=#REF!,"PRIMEROS AUXILIOS ",IF(P220=#REF!,"DIPLOMADO DE UNIDAD DE CUIDADOS INTENSIVOS (UCI)",IF(P220=#REF!,"MODELO DE ATENCION PARA EVENTOS EMERGENTES EN SALUD MENTAL (CODIGO VERDE)",IF(P220=#REF!,"HUMANIZACION EN EL SERVICIO DE LA SALUD Y BUENAS PRACTICAS EN PACIENTE ",IF(P220=#REF!,"CLINICA DE HERIDAS ",IF(P220=#REF!,"TOMA DE CITOLOGIA CERVICO VAGINAL ",IF(P220=#REF!,"SOPORTE CARDIOVASCULAR AVANZADO (ACLS) ",IF(P220=#REF!,"CAMILLERO ",IF(P220=#REF!,"TOMA DE MUESTRAS Y LABORATORIO ",IF(P220=#REF!,"SOPORTE VITAL BASICO (BLS)",IF(P220=#REF!,"ATENCION A VICTIMAS DE VIOLENCIA SEXUAL ",IF(P220=#REF!,"PROGRAMADO AMPLIADO DE INMUNIZACION (PAI - COVID 19)",IF(P220=#REF!,"ATENCION INTEGRAL EN ENFERMEDADES PREVALENTES EN PRIMERA INFANCIA (AIEPI)",IF(P220=#REF!,"ADMINISTRACION DE MEDICAMENTOS, INYECTOLOGIA  Y CANALIZACION ",IF(P220=#REF!,"OPERADOR DE VEHICULOS DE EMERGENCIA (OVE)",IF(P220=#REF!,"INSTITUCIONES AMIGAS DE LA MUJER Y LA INFANCIA (IAMI)",IF(P220=#REF!,"CUIDADO DEL DONANTE DE ORGANOS",IF(P220=#REF!,"ATENCION A VICTIMAS POR VIOLENCIA DE GENERO",IF(P220=#REF!,"IGUALDAD DE GENERO EN LA SALUD",IF(P220=#REF!,"BRIGADA DE EMERGENCIA",IF(P220=#REF!,"MANEJO DEL DOLOR Y CUIDADOS PALIATIVOS",IF(P220=#REF!,"TOMA DE MUESTRAS Y LABORATORIO POCT",IF(P220=#REF!,"IMPLANTE SUBDERMICO DE DISPOSITIVO INTRAUTERINO",IF(P220=#REF!,"SALUD MENTAL",IF(P220=#REF!,"PRIMEROS AUXILIOS PSICOLOGICOS",IF(P220=#REF!,"ATENCION A VICTIMAS POR CONFLICTO ARMADO",IF(P220=#REF!,"MANIPULACION DE ALIMENTOS Y BPM",IF(P220=#REF!,"ATENCION A PERSONAS CON DISCAPACIDAD",IF(P220=#REF!,"CUIDADO INTEGRAL DEL PACIENTE ADULTO",IF(P220=#REF!,"MANEJO DEFENSIVO",IF(P220=#REF!,"SOPORTE CARDIOVASCULAR AVANZADO NEONATAL",IF(P220=#REF!,"SEGURIDAD DEL PACIENTE",IF(P220=#REF!,"MANEJO DE RESIDUOS HOSPITALARIOS"))))))))))))))))))))))))))))))))))))</f>
        <v>#REF!</v>
      </c>
      <c r="W220" s="26" t="str">
        <f t="shared" si="12"/>
        <v>Edison Alexander Mora Barcenas</v>
      </c>
      <c r="X220" s="26" t="str">
        <f t="shared" si="13"/>
        <v>Edison Alexander Mora Barcenas</v>
      </c>
      <c r="Y220" s="26" t="str">
        <f t="shared" si="14"/>
        <v>Edison Alexander Mora Barcenas-1085323721-QUIMICOS</v>
      </c>
    </row>
    <row r="221" spans="1:25" s="19" customFormat="1" x14ac:dyDescent="0.2">
      <c r="A221" s="20">
        <v>220</v>
      </c>
      <c r="B221" s="21">
        <v>1192717048</v>
      </c>
      <c r="C221" s="21" t="s">
        <v>514</v>
      </c>
      <c r="D221" s="21" t="s">
        <v>515</v>
      </c>
      <c r="E221" s="21" t="s">
        <v>228</v>
      </c>
      <c r="F221" s="21" t="s">
        <v>306</v>
      </c>
      <c r="G221" s="21">
        <v>27</v>
      </c>
      <c r="H221" s="21" t="s">
        <v>49</v>
      </c>
      <c r="I221" s="22" t="s">
        <v>376</v>
      </c>
      <c r="J221" s="22"/>
      <c r="K221" s="23">
        <v>45684</v>
      </c>
      <c r="L221" s="42">
        <v>32000</v>
      </c>
      <c r="M221" s="21" t="s">
        <v>79</v>
      </c>
      <c r="N221" s="21" t="s">
        <v>387</v>
      </c>
      <c r="O221" s="21" t="s">
        <v>69</v>
      </c>
      <c r="P221" s="21" t="s">
        <v>34</v>
      </c>
      <c r="Q221" s="22">
        <v>37283</v>
      </c>
      <c r="R221" s="21" t="s">
        <v>71</v>
      </c>
      <c r="S221" s="21" t="s">
        <v>107</v>
      </c>
      <c r="T221" s="21">
        <v>3184075646</v>
      </c>
      <c r="U221" s="21" t="s">
        <v>516</v>
      </c>
      <c r="V221" s="26" t="e">
        <f>IF(P221=#REF!,"DIPLOMADO EN ATENCION PRE-HOSPITALARIA",IF(P221=#REF!,"ACOMPAÑAMIENTO Y MANEJO DEL DUELO",IF(P221=#REF!,"ATENCION A VICTIMAS DE ATAQUE CON AGENTES QUIMICOS ",IF(P221=#REF!,"PRIMEROS AUXILIOS ",IF(P221=#REF!,"DIPLOMADO DE UNIDAD DE CUIDADOS INTENSIVOS (UCI)",IF(P221=#REF!,"MODELO DE ATENCION PARA EVENTOS EMERGENTES EN SALUD MENTAL (CODIGO VERDE)",IF(P221=#REF!,"HUMANIZACION EN EL SERVICIO DE LA SALUD Y BUENAS PRACTICAS EN PACIENTE ",IF(P221=#REF!,"CLINICA DE HERIDAS ",IF(P221=#REF!,"TOMA DE CITOLOGIA CERVICO VAGINAL ",IF(P221=#REF!,"SOPORTE CARDIOVASCULAR AVANZADO (ACLS) ",IF(P221=#REF!,"CAMILLERO ",IF(P221=#REF!,"TOMA DE MUESTRAS Y LABORATORIO ",IF(P221=#REF!,"SOPORTE VITAL BASICO (BLS)",IF(P221=#REF!,"ATENCION A VICTIMAS DE VIOLENCIA SEXUAL ",IF(P221=#REF!,"PROGRAMADO AMPLIADO DE INMUNIZACION (PAI - COVID 19)",IF(P221=#REF!,"ATENCION INTEGRAL EN ENFERMEDADES PREVALENTES EN PRIMERA INFANCIA (AIEPI)",IF(P221=#REF!,"ADMINISTRACION DE MEDICAMENTOS, INYECTOLOGIA  Y CANALIZACION ",IF(P221=#REF!,"OPERADOR DE VEHICULOS DE EMERGENCIA (OVE)",IF(P221=#REF!,"INSTITUCIONES AMIGAS DE LA MUJER Y LA INFANCIA (IAMI)",IF(P221=#REF!,"CUIDADO DEL DONANTE DE ORGANOS",IF(P221=#REF!,"ATENCION A VICTIMAS POR VIOLENCIA DE GENERO",IF(P221=#REF!,"IGUALDAD DE GENERO EN LA SALUD",IF(P221=#REF!,"BRIGADA DE EMERGENCIA",IF(P221=#REF!,"MANEJO DEL DOLOR Y CUIDADOS PALIATIVOS",IF(P221=#REF!,"TOMA DE MUESTRAS Y LABORATORIO POCT",IF(P221=#REF!,"IMPLANTE SUBDERMICO DE DISPOSITIVO INTRAUTERINO",IF(P221=#REF!,"SALUD MENTAL",IF(P221=#REF!,"PRIMEROS AUXILIOS PSICOLOGICOS",IF(P221=#REF!,"ATENCION A VICTIMAS POR CONFLICTO ARMADO",IF(P221=#REF!,"MANIPULACION DE ALIMENTOS Y BPM",IF(P221=#REF!,"ATENCION A PERSONAS CON DISCAPACIDAD",IF(P221=#REF!,"CUIDADO INTEGRAL DEL PACIENTE ADULTO",IF(P221=#REF!,"MANEJO DEFENSIVO",IF(P221=#REF!,"SOPORTE CARDIOVASCULAR AVANZADO NEONATAL",IF(P221=#REF!,"SEGURIDAD DEL PACIENTE",IF(P221=#REF!,"MANEJO DE RESIDUOS HOSPITALARIOS"))))))))))))))))))))))))))))))))))))</f>
        <v>#REF!</v>
      </c>
      <c r="W221" s="26" t="str">
        <f t="shared" si="12"/>
        <v>Gabriel Alexander Ruano Enriquez</v>
      </c>
      <c r="X221" s="26" t="str">
        <f t="shared" si="13"/>
        <v>Gabriel Alexander Ruano Enriquez</v>
      </c>
      <c r="Y221" s="26" t="str">
        <f t="shared" si="14"/>
        <v>Gabriel Alexander Ruano Enriquez-1192717048-PALIATIVOS</v>
      </c>
    </row>
    <row r="222" spans="1:25" s="19" customFormat="1" x14ac:dyDescent="0.2">
      <c r="A222" s="20">
        <v>221</v>
      </c>
      <c r="B222" s="21">
        <v>1192717048</v>
      </c>
      <c r="C222" s="21" t="s">
        <v>514</v>
      </c>
      <c r="D222" s="21" t="s">
        <v>515</v>
      </c>
      <c r="E222" s="21" t="s">
        <v>228</v>
      </c>
      <c r="F222" s="21" t="s">
        <v>306</v>
      </c>
      <c r="G222" s="21">
        <v>25</v>
      </c>
      <c r="H222" s="21" t="s">
        <v>49</v>
      </c>
      <c r="I222" s="22" t="s">
        <v>376</v>
      </c>
      <c r="J222" s="22"/>
      <c r="K222" s="23">
        <v>45684</v>
      </c>
      <c r="L222" s="42">
        <v>32000</v>
      </c>
      <c r="M222" s="21" t="s">
        <v>79</v>
      </c>
      <c r="N222" s="21" t="s">
        <v>387</v>
      </c>
      <c r="O222" s="21" t="s">
        <v>69</v>
      </c>
      <c r="P222" s="21" t="s">
        <v>20</v>
      </c>
      <c r="Q222" s="22">
        <v>37283</v>
      </c>
      <c r="R222" s="21" t="s">
        <v>71</v>
      </c>
      <c r="S222" s="21" t="s">
        <v>107</v>
      </c>
      <c r="T222" s="21">
        <v>3184075646</v>
      </c>
      <c r="U222" s="21" t="s">
        <v>516</v>
      </c>
      <c r="V222" s="26" t="e">
        <f>IF(P222=#REF!,"DIPLOMADO EN ATENCION PRE-HOSPITALARIA",IF(P222=#REF!,"ACOMPAÑAMIENTO Y MANEJO DEL DUELO",IF(P222=#REF!,"ATENCION A VICTIMAS DE ATAQUE CON AGENTES QUIMICOS ",IF(P222=#REF!,"PRIMEROS AUXILIOS ",IF(P222=#REF!,"DIPLOMADO DE UNIDAD DE CUIDADOS INTENSIVOS (UCI)",IF(P222=#REF!,"MODELO DE ATENCION PARA EVENTOS EMERGENTES EN SALUD MENTAL (CODIGO VERDE)",IF(P222=#REF!,"HUMANIZACION EN EL SERVICIO DE LA SALUD Y BUENAS PRACTICAS EN PACIENTE ",IF(P222=#REF!,"CLINICA DE HERIDAS ",IF(P222=#REF!,"TOMA DE CITOLOGIA CERVICO VAGINAL ",IF(P222=#REF!,"SOPORTE CARDIOVASCULAR AVANZADO (ACLS) ",IF(P222=#REF!,"CAMILLERO ",IF(P222=#REF!,"TOMA DE MUESTRAS Y LABORATORIO ",IF(P222=#REF!,"SOPORTE VITAL BASICO (BLS)",IF(P222=#REF!,"ATENCION A VICTIMAS DE VIOLENCIA SEXUAL ",IF(P222=#REF!,"PROGRAMADO AMPLIADO DE INMUNIZACION (PAI - COVID 19)",IF(P222=#REF!,"ATENCION INTEGRAL EN ENFERMEDADES PREVALENTES EN PRIMERA INFANCIA (AIEPI)",IF(P222=#REF!,"ADMINISTRACION DE MEDICAMENTOS, INYECTOLOGIA  Y CANALIZACION ",IF(P222=#REF!,"OPERADOR DE VEHICULOS DE EMERGENCIA (OVE)",IF(P222=#REF!,"INSTITUCIONES AMIGAS DE LA MUJER Y LA INFANCIA (IAMI)",IF(P222=#REF!,"CUIDADO DEL DONANTE DE ORGANOS",IF(P222=#REF!,"ATENCION A VICTIMAS POR VIOLENCIA DE GENERO",IF(P222=#REF!,"IGUALDAD DE GENERO EN LA SALUD",IF(P222=#REF!,"BRIGADA DE EMERGENCIA",IF(P222=#REF!,"MANEJO DEL DOLOR Y CUIDADOS PALIATIVOS",IF(P222=#REF!,"TOMA DE MUESTRAS Y LABORATORIO POCT",IF(P222=#REF!,"IMPLANTE SUBDERMICO DE DISPOSITIVO INTRAUTERINO",IF(P222=#REF!,"SALUD MENTAL",IF(P222=#REF!,"PRIMEROS AUXILIOS PSICOLOGICOS",IF(P222=#REF!,"ATENCION A VICTIMAS POR CONFLICTO ARMADO",IF(P222=#REF!,"MANIPULACION DE ALIMENTOS Y BPM",IF(P222=#REF!,"ATENCION A PERSONAS CON DISCAPACIDAD",IF(P222=#REF!,"CUIDADO INTEGRAL DEL PACIENTE ADULTO",IF(P222=#REF!,"MANEJO DEFENSIVO",IF(P222=#REF!,"SOPORTE CARDIOVASCULAR AVANZADO NEONATAL",IF(P222=#REF!,"SEGURIDAD DEL PACIENTE",IF(P222=#REF!,"MANEJO DE RESIDUOS HOSPITALARIOS"))))))))))))))))))))))))))))))))))))</f>
        <v>#REF!</v>
      </c>
      <c r="W222" s="26" t="str">
        <f t="shared" si="12"/>
        <v>Gabriel Alexander Ruano Enriquez</v>
      </c>
      <c r="X222" s="26" t="str">
        <f t="shared" si="13"/>
        <v>Gabriel Alexander Ruano Enriquez</v>
      </c>
      <c r="Y222" s="26" t="str">
        <f t="shared" si="14"/>
        <v>Gabriel Alexander Ruano Enriquez-1192717048-DUELO</v>
      </c>
    </row>
    <row r="223" spans="1:25" s="19" customFormat="1" x14ac:dyDescent="0.2">
      <c r="A223" s="20">
        <v>222</v>
      </c>
      <c r="B223" s="21">
        <v>1192717048</v>
      </c>
      <c r="C223" s="21" t="s">
        <v>514</v>
      </c>
      <c r="D223" s="21" t="s">
        <v>515</v>
      </c>
      <c r="E223" s="21" t="s">
        <v>228</v>
      </c>
      <c r="F223" s="21" t="s">
        <v>306</v>
      </c>
      <c r="G223" s="21">
        <v>24</v>
      </c>
      <c r="H223" s="21" t="s">
        <v>49</v>
      </c>
      <c r="I223" s="22" t="s">
        <v>376</v>
      </c>
      <c r="J223" s="22"/>
      <c r="K223" s="23">
        <v>45684</v>
      </c>
      <c r="L223" s="42">
        <v>32000</v>
      </c>
      <c r="M223" s="21" t="s">
        <v>79</v>
      </c>
      <c r="N223" s="21" t="s">
        <v>387</v>
      </c>
      <c r="O223" s="21" t="s">
        <v>69</v>
      </c>
      <c r="P223" s="21" t="s">
        <v>21</v>
      </c>
      <c r="Q223" s="22">
        <v>37283</v>
      </c>
      <c r="R223" s="21" t="s">
        <v>71</v>
      </c>
      <c r="S223" s="21" t="s">
        <v>107</v>
      </c>
      <c r="T223" s="21">
        <v>3184075646</v>
      </c>
      <c r="U223" s="21" t="s">
        <v>516</v>
      </c>
      <c r="V223" s="26" t="e">
        <f>IF(P223=#REF!,"DIPLOMADO EN ATENCION PRE-HOSPITALARIA",IF(P223=#REF!,"ACOMPAÑAMIENTO Y MANEJO DEL DUELO",IF(P223=#REF!,"ATENCION A VICTIMAS DE ATAQUE CON AGENTES QUIMICOS ",IF(P223=#REF!,"PRIMEROS AUXILIOS ",IF(P223=#REF!,"DIPLOMADO DE UNIDAD DE CUIDADOS INTENSIVOS (UCI)",IF(P223=#REF!,"MODELO DE ATENCION PARA EVENTOS EMERGENTES EN SALUD MENTAL (CODIGO VERDE)",IF(P223=#REF!,"HUMANIZACION EN EL SERVICIO DE LA SALUD Y BUENAS PRACTICAS EN PACIENTE ",IF(P223=#REF!,"CLINICA DE HERIDAS ",IF(P223=#REF!,"TOMA DE CITOLOGIA CERVICO VAGINAL ",IF(P223=#REF!,"SOPORTE CARDIOVASCULAR AVANZADO (ACLS) ",IF(P223=#REF!,"CAMILLERO ",IF(P223=#REF!,"TOMA DE MUESTRAS Y LABORATORIO ",IF(P223=#REF!,"SOPORTE VITAL BASICO (BLS)",IF(P223=#REF!,"ATENCION A VICTIMAS DE VIOLENCIA SEXUAL ",IF(P223=#REF!,"PROGRAMADO AMPLIADO DE INMUNIZACION (PAI - COVID 19)",IF(P223=#REF!,"ATENCION INTEGRAL EN ENFERMEDADES PREVALENTES EN PRIMERA INFANCIA (AIEPI)",IF(P223=#REF!,"ADMINISTRACION DE MEDICAMENTOS, INYECTOLOGIA  Y CANALIZACION ",IF(P223=#REF!,"OPERADOR DE VEHICULOS DE EMERGENCIA (OVE)",IF(P223=#REF!,"INSTITUCIONES AMIGAS DE LA MUJER Y LA INFANCIA (IAMI)",IF(P223=#REF!,"CUIDADO DEL DONANTE DE ORGANOS",IF(P223=#REF!,"ATENCION A VICTIMAS POR VIOLENCIA DE GENERO",IF(P223=#REF!,"IGUALDAD DE GENERO EN LA SALUD",IF(P223=#REF!,"BRIGADA DE EMERGENCIA",IF(P223=#REF!,"MANEJO DEL DOLOR Y CUIDADOS PALIATIVOS",IF(P223=#REF!,"TOMA DE MUESTRAS Y LABORATORIO POCT",IF(P223=#REF!,"IMPLANTE SUBDERMICO DE DISPOSITIVO INTRAUTERINO",IF(P223=#REF!,"SALUD MENTAL",IF(P223=#REF!,"PRIMEROS AUXILIOS PSICOLOGICOS",IF(P223=#REF!,"ATENCION A VICTIMAS POR CONFLICTO ARMADO",IF(P223=#REF!,"MANIPULACION DE ALIMENTOS Y BPM",IF(P223=#REF!,"ATENCION A PERSONAS CON DISCAPACIDAD",IF(P223=#REF!,"CUIDADO INTEGRAL DEL PACIENTE ADULTO",IF(P223=#REF!,"MANEJO DEFENSIVO",IF(P223=#REF!,"SOPORTE CARDIOVASCULAR AVANZADO NEONATAL",IF(P223=#REF!,"SEGURIDAD DEL PACIENTE",IF(P223=#REF!,"MANEJO DE RESIDUOS HOSPITALARIOS"))))))))))))))))))))))))))))))))))))</f>
        <v>#REF!</v>
      </c>
      <c r="W223" s="26" t="str">
        <f t="shared" si="12"/>
        <v>Gabriel Alexander Ruano Enriquez</v>
      </c>
      <c r="X223" s="26" t="str">
        <f t="shared" si="13"/>
        <v>Gabriel Alexander Ruano Enriquez</v>
      </c>
      <c r="Y223" s="26" t="str">
        <f t="shared" si="14"/>
        <v>Gabriel Alexander Ruano Enriquez-1192717048-QUIMICOS</v>
      </c>
    </row>
    <row r="224" spans="1:25" x14ac:dyDescent="0.2">
      <c r="A224" s="20">
        <v>223</v>
      </c>
      <c r="B224" s="21">
        <v>59822602</v>
      </c>
      <c r="C224" s="21" t="s">
        <v>164</v>
      </c>
      <c r="D224" s="21" t="s">
        <v>218</v>
      </c>
      <c r="E224" s="21" t="s">
        <v>183</v>
      </c>
      <c r="F224" s="21" t="s">
        <v>517</v>
      </c>
      <c r="G224" s="21">
        <v>28</v>
      </c>
      <c r="H224" s="21" t="s">
        <v>49</v>
      </c>
      <c r="I224" s="22" t="s">
        <v>376</v>
      </c>
      <c r="J224" s="22"/>
      <c r="K224" s="23">
        <v>45685</v>
      </c>
      <c r="L224" s="42">
        <v>32000</v>
      </c>
      <c r="M224" s="21" t="s">
        <v>79</v>
      </c>
      <c r="N224" s="21" t="s">
        <v>387</v>
      </c>
      <c r="O224" s="21" t="s">
        <v>69</v>
      </c>
      <c r="P224" s="21" t="s">
        <v>19</v>
      </c>
      <c r="Q224" s="22">
        <v>26779</v>
      </c>
      <c r="R224" s="21" t="s">
        <v>71</v>
      </c>
      <c r="S224" s="25" t="s">
        <v>107</v>
      </c>
      <c r="T224" s="21">
        <v>3024137818</v>
      </c>
      <c r="U224" s="21" t="s">
        <v>518</v>
      </c>
      <c r="V224" s="26" t="e">
        <f>IF(P224=#REF!,"DIPLOMADO EN ATENCION PRE-HOSPITALARIA",IF(P224=#REF!,"ACOMPAÑAMIENTO Y MANEJO DEL DUELO",IF(P224=#REF!,"ATENCION A VICTIMAS DE ATAQUE CON AGENTES QUIMICOS ",IF(P224=#REF!,"PRIMEROS AUXILIOS ",IF(P224=#REF!,"DIPLOMADO DE UNIDAD DE CUIDADOS INTENSIVOS (UCI)",IF(P224=#REF!,"MODELO DE ATENCION PARA EVENTOS EMERGENTES EN SALUD MENTAL (CODIGO VERDE)",IF(P224=#REF!,"HUMANIZACION EN EL SERVICIO DE LA SALUD Y BUENAS PRACTICAS EN PACIENTE ",IF(P224=#REF!,"CLINICA DE HERIDAS ",IF(P224=#REF!,"TOMA DE CITOLOGIA CERVICO VAGINAL ",IF(P224=#REF!,"SOPORTE CARDIOVASCULAR AVANZADO (ACLS) ",IF(P224=#REF!,"CAMILLERO ",IF(P224=#REF!,"TOMA DE MUESTRAS Y LABORATORIO ",IF(P224=#REF!,"SOPORTE VITAL BASICO (BLS)",IF(P224=#REF!,"ATENCION A VICTIMAS DE VIOLENCIA SEXUAL ",IF(P224=#REF!,"PROGRAMADO AMPLIADO DE INMUNIZACION (PAI - COVID 19)",IF(P224=#REF!,"ATENCION INTEGRAL EN ENFERMEDADES PREVALENTES EN PRIMERA INFANCIA (AIEPI)",IF(P224=#REF!,"ADMINISTRACION DE MEDICAMENTOS, INYECTOLOGIA  Y CANALIZACION ",IF(P224=#REF!,"OPERADOR DE VEHICULOS DE EMERGENCIA (OVE)",IF(P224=#REF!,"INSTITUCIONES AMIGAS DE LA MUJER Y LA INFANCIA (IAMI)",IF(P224=#REF!,"CUIDADO DEL DONANTE DE ORGANOS",IF(P224=#REF!,"ATENCION A VICTIMAS POR VIOLENCIA DE GENERO",IF(P224=#REF!,"IGUALDAD DE GENERO EN LA SALUD",IF(P224=#REF!,"BRIGADA DE EMERGENCIA",IF(P224=#REF!,"MANEJO DEL DOLOR Y CUIDADOS PALIATIVOS",IF(P224=#REF!,"TOMA DE MUESTRAS Y LABORATORIO POCT",IF(P224=#REF!,"IMPLANTE SUBDERMICO DE DISPOSITIVO INTRAUTERINO",IF(P224=#REF!,"SALUD MENTAL",IF(P224=#REF!,"PRIMEROS AUXILIOS PSICOLOGICOS",IF(P224=#REF!,"ATENCION A VICTIMAS POR CONFLICTO ARMADO",IF(P224=#REF!,"MANIPULACION DE ALIMENTOS Y BPM",IF(P224=#REF!,"ATENCION A PERSONAS CON DISCAPACIDAD",IF(P224=#REF!,"CUIDADO INTEGRAL DEL PACIENTE ADULTO",IF(P224=#REF!,"MANEJO DEFENSIVO",IF(P224=#REF!,"SOPORTE CARDIOVASCULAR AVANZADO NEONATAL",IF(P224=#REF!,"SEGURIDAD DEL PACIENTE",IF(P224=#REF!,"MANEJO DE RESIDUOS HOSPITALARIOS"))))))))))))))))))))))))))))))))))))</f>
        <v>#REF!</v>
      </c>
      <c r="W224" s="26" t="str">
        <f t="shared" si="12"/>
        <v>Maria Yanety Pantoja Tarapuez</v>
      </c>
      <c r="X224" s="26" t="str">
        <f t="shared" si="13"/>
        <v>Maria Yanety Pantoja Tarapuez</v>
      </c>
      <c r="Y224" s="26" t="str">
        <f t="shared" si="14"/>
        <v>Maria Yanety Pantoja Tarapuez-59822602-BLS</v>
      </c>
    </row>
    <row r="225" spans="1:25" x14ac:dyDescent="0.2">
      <c r="A225" s="20">
        <v>224</v>
      </c>
      <c r="B225" s="21">
        <v>59822602</v>
      </c>
      <c r="C225" s="21" t="s">
        <v>164</v>
      </c>
      <c r="D225" s="21" t="s">
        <v>218</v>
      </c>
      <c r="E225" s="21" t="s">
        <v>183</v>
      </c>
      <c r="F225" s="21" t="s">
        <v>517</v>
      </c>
      <c r="G225" s="21">
        <v>27</v>
      </c>
      <c r="H225" s="21" t="s">
        <v>49</v>
      </c>
      <c r="I225" s="22" t="s">
        <v>376</v>
      </c>
      <c r="J225" s="22"/>
      <c r="K225" s="23">
        <v>45685</v>
      </c>
      <c r="L225" s="42">
        <v>32000</v>
      </c>
      <c r="M225" s="21" t="s">
        <v>79</v>
      </c>
      <c r="N225" s="21" t="s">
        <v>387</v>
      </c>
      <c r="O225" s="21" t="s">
        <v>69</v>
      </c>
      <c r="P225" s="21" t="s">
        <v>27</v>
      </c>
      <c r="Q225" s="22">
        <v>26779</v>
      </c>
      <c r="R225" s="21" t="s">
        <v>71</v>
      </c>
      <c r="S225" s="25" t="s">
        <v>107</v>
      </c>
      <c r="T225" s="21">
        <v>3024137818</v>
      </c>
      <c r="U225" s="21" t="s">
        <v>518</v>
      </c>
      <c r="V225" s="26" t="e">
        <f>IF(P225=#REF!,"DIPLOMADO EN ATENCION PRE-HOSPITALARIA",IF(P225=#REF!,"ACOMPAÑAMIENTO Y MANEJO DEL DUELO",IF(P225=#REF!,"ATENCION A VICTIMAS DE ATAQUE CON AGENTES QUIMICOS ",IF(P225=#REF!,"PRIMEROS AUXILIOS ",IF(P225=#REF!,"DIPLOMADO DE UNIDAD DE CUIDADOS INTENSIVOS (UCI)",IF(P225=#REF!,"MODELO DE ATENCION PARA EVENTOS EMERGENTES EN SALUD MENTAL (CODIGO VERDE)",IF(P225=#REF!,"HUMANIZACION EN EL SERVICIO DE LA SALUD Y BUENAS PRACTICAS EN PACIENTE ",IF(P225=#REF!,"CLINICA DE HERIDAS ",IF(P225=#REF!,"TOMA DE CITOLOGIA CERVICO VAGINAL ",IF(P225=#REF!,"SOPORTE CARDIOVASCULAR AVANZADO (ACLS) ",IF(P225=#REF!,"CAMILLERO ",IF(P225=#REF!,"TOMA DE MUESTRAS Y LABORATORIO ",IF(P225=#REF!,"SOPORTE VITAL BASICO (BLS)",IF(P225=#REF!,"ATENCION A VICTIMAS DE VIOLENCIA SEXUAL ",IF(P225=#REF!,"PROGRAMADO AMPLIADO DE INMUNIZACION (PAI - COVID 19)",IF(P225=#REF!,"ATENCION INTEGRAL EN ENFERMEDADES PREVALENTES EN PRIMERA INFANCIA (AIEPI)",IF(P225=#REF!,"ADMINISTRACION DE MEDICAMENTOS, INYECTOLOGIA  Y CANALIZACION ",IF(P225=#REF!,"OPERADOR DE VEHICULOS DE EMERGENCIA (OVE)",IF(P225=#REF!,"INSTITUCIONES AMIGAS DE LA MUJER Y LA INFANCIA (IAMI)",IF(P225=#REF!,"CUIDADO DEL DONANTE DE ORGANOS",IF(P225=#REF!,"ATENCION A VICTIMAS POR VIOLENCIA DE GENERO",IF(P225=#REF!,"IGUALDAD DE GENERO EN LA SALUD",IF(P225=#REF!,"BRIGADA DE EMERGENCIA",IF(P225=#REF!,"MANEJO DEL DOLOR Y CUIDADOS PALIATIVOS",IF(P225=#REF!,"TOMA DE MUESTRAS Y LABORATORIO POCT",IF(P225=#REF!,"IMPLANTE SUBDERMICO DE DISPOSITIVO INTRAUTERINO",IF(P225=#REF!,"SALUD MENTAL",IF(P225=#REF!,"PRIMEROS AUXILIOS PSICOLOGICOS",IF(P225=#REF!,"ATENCION A VICTIMAS POR CONFLICTO ARMADO",IF(P225=#REF!,"MANIPULACION DE ALIMENTOS Y BPM",IF(P225=#REF!,"ATENCION A PERSONAS CON DISCAPACIDAD",IF(P225=#REF!,"CUIDADO INTEGRAL DEL PACIENTE ADULTO",IF(P225=#REF!,"MANEJO DEFENSIVO",IF(P225=#REF!,"SOPORTE CARDIOVASCULAR AVANZADO NEONATAL",IF(P225=#REF!,"SEGURIDAD DEL PACIENTE",IF(P225=#REF!,"MANEJO DE RESIDUOS HOSPITALARIOS"))))))))))))))))))))))))))))))))))))</f>
        <v>#REF!</v>
      </c>
      <c r="W225" s="26" t="str">
        <f t="shared" si="12"/>
        <v>Maria Yanety Pantoja Tarapuez</v>
      </c>
      <c r="X225" s="26" t="str">
        <f t="shared" si="13"/>
        <v>Maria Yanety Pantoja Tarapuez</v>
      </c>
      <c r="Y225" s="26" t="str">
        <f t="shared" si="14"/>
        <v>Maria Yanety Pantoja Tarapuez-59822602-VIOLENCIA SEXUAL</v>
      </c>
    </row>
    <row r="226" spans="1:25" x14ac:dyDescent="0.2">
      <c r="A226" s="20">
        <v>225</v>
      </c>
      <c r="B226" s="21">
        <v>59822602</v>
      </c>
      <c r="C226" s="21" t="s">
        <v>164</v>
      </c>
      <c r="D226" s="21" t="s">
        <v>218</v>
      </c>
      <c r="E226" s="21" t="s">
        <v>183</v>
      </c>
      <c r="F226" s="21" t="s">
        <v>517</v>
      </c>
      <c r="G226" s="21">
        <v>27</v>
      </c>
      <c r="H226" s="21" t="s">
        <v>49</v>
      </c>
      <c r="I226" s="22" t="s">
        <v>376</v>
      </c>
      <c r="J226" s="22"/>
      <c r="K226" s="23">
        <v>45685</v>
      </c>
      <c r="L226" s="42">
        <v>32000</v>
      </c>
      <c r="M226" s="21" t="s">
        <v>79</v>
      </c>
      <c r="N226" s="21" t="s">
        <v>387</v>
      </c>
      <c r="O226" s="21" t="s">
        <v>69</v>
      </c>
      <c r="P226" s="21" t="s">
        <v>21</v>
      </c>
      <c r="Q226" s="22">
        <v>26779</v>
      </c>
      <c r="R226" s="21" t="s">
        <v>71</v>
      </c>
      <c r="S226" s="25" t="s">
        <v>107</v>
      </c>
      <c r="T226" s="21">
        <v>3024137818</v>
      </c>
      <c r="U226" s="21" t="s">
        <v>518</v>
      </c>
      <c r="V226" s="26" t="e">
        <f>IF(P226=#REF!,"DIPLOMADO EN ATENCION PRE-HOSPITALARIA",IF(P226=#REF!,"ACOMPAÑAMIENTO Y MANEJO DEL DUELO",IF(P226=#REF!,"ATENCION A VICTIMAS DE ATAQUE CON AGENTES QUIMICOS ",IF(P226=#REF!,"PRIMEROS AUXILIOS ",IF(P226=#REF!,"DIPLOMADO DE UNIDAD DE CUIDADOS INTENSIVOS (UCI)",IF(P226=#REF!,"MODELO DE ATENCION PARA EVENTOS EMERGENTES EN SALUD MENTAL (CODIGO VERDE)",IF(P226=#REF!,"HUMANIZACION EN EL SERVICIO DE LA SALUD Y BUENAS PRACTICAS EN PACIENTE ",IF(P226=#REF!,"CLINICA DE HERIDAS ",IF(P226=#REF!,"TOMA DE CITOLOGIA CERVICO VAGINAL ",IF(P226=#REF!,"SOPORTE CARDIOVASCULAR AVANZADO (ACLS) ",IF(P226=#REF!,"CAMILLERO ",IF(P226=#REF!,"TOMA DE MUESTRAS Y LABORATORIO ",IF(P226=#REF!,"SOPORTE VITAL BASICO (BLS)",IF(P226=#REF!,"ATENCION A VICTIMAS DE VIOLENCIA SEXUAL ",IF(P226=#REF!,"PROGRAMADO AMPLIADO DE INMUNIZACION (PAI - COVID 19)",IF(P226=#REF!,"ATENCION INTEGRAL EN ENFERMEDADES PREVALENTES EN PRIMERA INFANCIA (AIEPI)",IF(P226=#REF!,"ADMINISTRACION DE MEDICAMENTOS, INYECTOLOGIA  Y CANALIZACION ",IF(P226=#REF!,"OPERADOR DE VEHICULOS DE EMERGENCIA (OVE)",IF(P226=#REF!,"INSTITUCIONES AMIGAS DE LA MUJER Y LA INFANCIA (IAMI)",IF(P226=#REF!,"CUIDADO DEL DONANTE DE ORGANOS",IF(P226=#REF!,"ATENCION A VICTIMAS POR VIOLENCIA DE GENERO",IF(P226=#REF!,"IGUALDAD DE GENERO EN LA SALUD",IF(P226=#REF!,"BRIGADA DE EMERGENCIA",IF(P226=#REF!,"MANEJO DEL DOLOR Y CUIDADOS PALIATIVOS",IF(P226=#REF!,"TOMA DE MUESTRAS Y LABORATORIO POCT",IF(P226=#REF!,"IMPLANTE SUBDERMICO DE DISPOSITIVO INTRAUTERINO",IF(P226=#REF!,"SALUD MENTAL",IF(P226=#REF!,"PRIMEROS AUXILIOS PSICOLOGICOS",IF(P226=#REF!,"ATENCION A VICTIMAS POR CONFLICTO ARMADO",IF(P226=#REF!,"MANIPULACION DE ALIMENTOS Y BPM",IF(P226=#REF!,"ATENCION A PERSONAS CON DISCAPACIDAD",IF(P226=#REF!,"CUIDADO INTEGRAL DEL PACIENTE ADULTO",IF(P226=#REF!,"MANEJO DEFENSIVO",IF(P226=#REF!,"SOPORTE CARDIOVASCULAR AVANZADO NEONATAL",IF(P226=#REF!,"SEGURIDAD DEL PACIENTE",IF(P226=#REF!,"MANEJO DE RESIDUOS HOSPITALARIOS"))))))))))))))))))))))))))))))))))))</f>
        <v>#REF!</v>
      </c>
      <c r="W226" s="26" t="str">
        <f t="shared" si="12"/>
        <v>Maria Yanety Pantoja Tarapuez</v>
      </c>
      <c r="X226" s="26" t="str">
        <f t="shared" si="13"/>
        <v>Maria Yanety Pantoja Tarapuez</v>
      </c>
      <c r="Y226" s="26" t="str">
        <f t="shared" si="14"/>
        <v>Maria Yanety Pantoja Tarapuez-59822602-QUIMICOS</v>
      </c>
    </row>
    <row r="227" spans="1:25" x14ac:dyDescent="0.2">
      <c r="A227" s="20">
        <v>226</v>
      </c>
      <c r="B227" s="21">
        <v>1085296693</v>
      </c>
      <c r="C227" s="21" t="s">
        <v>519</v>
      </c>
      <c r="D227" s="21" t="s">
        <v>520</v>
      </c>
      <c r="E227" s="21" t="s">
        <v>521</v>
      </c>
      <c r="F227" s="21" t="s">
        <v>210</v>
      </c>
      <c r="G227" s="21">
        <v>28</v>
      </c>
      <c r="H227" s="21" t="s">
        <v>49</v>
      </c>
      <c r="I227" s="21" t="s">
        <v>376</v>
      </c>
      <c r="J227" s="21"/>
      <c r="K227" s="23">
        <v>45685</v>
      </c>
      <c r="L227" s="42">
        <v>32000</v>
      </c>
      <c r="M227" s="21" t="s">
        <v>106</v>
      </c>
      <c r="N227" s="21" t="s">
        <v>387</v>
      </c>
      <c r="O227" s="21" t="s">
        <v>77</v>
      </c>
      <c r="P227" s="21" t="s">
        <v>30</v>
      </c>
      <c r="Q227" s="22">
        <v>33745</v>
      </c>
      <c r="R227" s="21" t="s">
        <v>70</v>
      </c>
      <c r="S227" s="21" t="s">
        <v>131</v>
      </c>
      <c r="T227" s="21">
        <v>3174455934</v>
      </c>
      <c r="U227" s="21" t="s">
        <v>524</v>
      </c>
      <c r="V227" s="26" t="e">
        <f>IF(P227=#REF!,"DIPLOMADO EN ATENCION PRE-HOSPITALARIA",IF(P227=#REF!,"ACOMPAÑAMIENTO Y MANEJO DEL DUELO",IF(P227=#REF!,"ATENCION A VICTIMAS DE ATAQUE CON AGENTES QUIMICOS ",IF(P227=#REF!,"PRIMEROS AUXILIOS ",IF(P227=#REF!,"DIPLOMADO DE UNIDAD DE CUIDADOS INTENSIVOS (UCI)",IF(P227=#REF!,"MODELO DE ATENCION PARA EVENTOS EMERGENTES EN SALUD MENTAL (CODIGO VERDE)",IF(P227=#REF!,"HUMANIZACION EN EL SERVICIO DE LA SALUD Y BUENAS PRACTICAS EN PACIENTE ",IF(P227=#REF!,"CLINICA DE HERIDAS ",IF(P227=#REF!,"TOMA DE CITOLOGIA CERVICO VAGINAL ",IF(P227=#REF!,"SOPORTE CARDIOVASCULAR AVANZADO (ACLS) ",IF(P227=#REF!,"CAMILLERO ",IF(P227=#REF!,"TOMA DE MUESTRAS Y LABORATORIO ",IF(P227=#REF!,"SOPORTE VITAL BASICO (BLS)",IF(P227=#REF!,"ATENCION A VICTIMAS DE VIOLENCIA SEXUAL ",IF(P227=#REF!,"PROGRAMADO AMPLIADO DE INMUNIZACION (PAI - COVID 19)",IF(P227=#REF!,"ATENCION INTEGRAL EN ENFERMEDADES PREVALENTES EN PRIMERA INFANCIA (AIEPI)",IF(P227=#REF!,"ADMINISTRACION DE MEDICAMENTOS, INYECTOLOGIA  Y CANALIZACION ",IF(P227=#REF!,"OPERADOR DE VEHICULOS DE EMERGENCIA (OVE)",IF(P227=#REF!,"INSTITUCIONES AMIGAS DE LA MUJER Y LA INFANCIA (IAMI)",IF(P227=#REF!,"CUIDADO DEL DONANTE DE ORGANOS",IF(P227=#REF!,"ATENCION A VICTIMAS POR VIOLENCIA DE GENERO",IF(P227=#REF!,"IGUALDAD DE GENERO EN LA SALUD",IF(P227=#REF!,"BRIGADA DE EMERGENCIA",IF(P227=#REF!,"MANEJO DEL DOLOR Y CUIDADOS PALIATIVOS",IF(P227=#REF!,"TOMA DE MUESTRAS Y LABORATORIO POCT",IF(P227=#REF!,"IMPLANTE SUBDERMICO DE DISPOSITIVO INTRAUTERINO",IF(P227=#REF!,"SALUD MENTAL",IF(P227=#REF!,"PRIMEROS AUXILIOS PSICOLOGICOS",IF(P227=#REF!,"ATENCION A VICTIMAS POR CONFLICTO ARMADO",IF(P227=#REF!,"MANIPULACION DE ALIMENTOS Y BPM",IF(P227=#REF!,"ATENCION A PERSONAS CON DISCAPACIDAD",IF(P227=#REF!,"CUIDADO INTEGRAL DEL PACIENTE ADULTO",IF(P227=#REF!,"MANEJO DEFENSIVO",IF(P227=#REF!,"SOPORTE CARDIOVASCULAR AVANZADO NEONATAL",IF(P227=#REF!,"SEGURIDAD DEL PACIENTE",IF(P227=#REF!,"MANEJO DE RESIDUOS HOSPITALARIOS"))))))))))))))))))))))))))))))))))))</f>
        <v>#REF!</v>
      </c>
      <c r="W227" s="26" t="str">
        <f t="shared" si="12"/>
        <v>Dario Orlando Pinza Lasso</v>
      </c>
      <c r="X227" s="26" t="str">
        <f t="shared" si="13"/>
        <v>Dario Orlando Pinza Lasso</v>
      </c>
      <c r="Y227" s="26" t="str">
        <f t="shared" si="14"/>
        <v>Dario Orlando Pinza Lasso-1085296693-OVE</v>
      </c>
    </row>
    <row r="228" spans="1:25" x14ac:dyDescent="0.2">
      <c r="A228" s="36">
        <v>227</v>
      </c>
      <c r="B228" s="37">
        <v>87070408</v>
      </c>
      <c r="C228" s="37" t="s">
        <v>404</v>
      </c>
      <c r="D228" s="37" t="s">
        <v>522</v>
      </c>
      <c r="E228" s="37" t="s">
        <v>523</v>
      </c>
      <c r="F228" s="37" t="s">
        <v>369</v>
      </c>
      <c r="G228" s="37">
        <v>28</v>
      </c>
      <c r="H228" s="37" t="s">
        <v>49</v>
      </c>
      <c r="I228" s="37" t="s">
        <v>376</v>
      </c>
      <c r="J228" s="37"/>
      <c r="K228" s="39">
        <v>45685</v>
      </c>
      <c r="L228" s="44">
        <v>32000</v>
      </c>
      <c r="M228" s="37" t="s">
        <v>106</v>
      </c>
      <c r="N228" s="37" t="s">
        <v>387</v>
      </c>
      <c r="O228" s="37" t="s">
        <v>77</v>
      </c>
      <c r="P228" s="37" t="s">
        <v>30</v>
      </c>
      <c r="Q228" s="38"/>
      <c r="R228" s="37" t="s">
        <v>70</v>
      </c>
      <c r="S228" s="37" t="s">
        <v>131</v>
      </c>
      <c r="T228" s="37">
        <v>3174455934</v>
      </c>
      <c r="U228" s="37" t="s">
        <v>524</v>
      </c>
      <c r="V228" s="41" t="e">
        <f>IF(P228=#REF!,"DIPLOMADO EN ATENCION PRE-HOSPITALARIA",IF(P228=#REF!,"ACOMPAÑAMIENTO Y MANEJO DEL DUELO",IF(P228=#REF!,"ATENCION A VICTIMAS DE ATAQUE CON AGENTES QUIMICOS ",IF(P228=#REF!,"PRIMEROS AUXILIOS ",IF(P228=#REF!,"DIPLOMADO DE UNIDAD DE CUIDADOS INTENSIVOS (UCI)",IF(P228=#REF!,"MODELO DE ATENCION PARA EVENTOS EMERGENTES EN SALUD MENTAL (CODIGO VERDE)",IF(P228=#REF!,"HUMANIZACION EN EL SERVICIO DE LA SALUD Y BUENAS PRACTICAS EN PACIENTE ",IF(P228=#REF!,"CLINICA DE HERIDAS ",IF(P228=#REF!,"TOMA DE CITOLOGIA CERVICO VAGINAL ",IF(P228=#REF!,"SOPORTE CARDIOVASCULAR AVANZADO (ACLS) ",IF(P228=#REF!,"CAMILLERO ",IF(P228=#REF!,"TOMA DE MUESTRAS Y LABORATORIO ",IF(P228=#REF!,"SOPORTE VITAL BASICO (BLS)",IF(P228=#REF!,"ATENCION A VICTIMAS DE VIOLENCIA SEXUAL ",IF(P228=#REF!,"PROGRAMADO AMPLIADO DE INMUNIZACION (PAI - COVID 19)",IF(P228=#REF!,"ATENCION INTEGRAL EN ENFERMEDADES PREVALENTES EN PRIMERA INFANCIA (AIEPI)",IF(P228=#REF!,"ADMINISTRACION DE MEDICAMENTOS, INYECTOLOGIA  Y CANALIZACION ",IF(P228=#REF!,"OPERADOR DE VEHICULOS DE EMERGENCIA (OVE)",IF(P228=#REF!,"INSTITUCIONES AMIGAS DE LA MUJER Y LA INFANCIA (IAMI)",IF(P228=#REF!,"CUIDADO DEL DONANTE DE ORGANOS",IF(P228=#REF!,"ATENCION A VICTIMAS POR VIOLENCIA DE GENERO",IF(P228=#REF!,"IGUALDAD DE GENERO EN LA SALUD",IF(P228=#REF!,"BRIGADA DE EMERGENCIA",IF(P228=#REF!,"MANEJO DEL DOLOR Y CUIDADOS PALIATIVOS",IF(P228=#REF!,"TOMA DE MUESTRAS Y LABORATORIO POCT",IF(P228=#REF!,"IMPLANTE SUBDERMICO DE DISPOSITIVO INTRAUTERINO",IF(P228=#REF!,"SALUD MENTAL",IF(P228=#REF!,"PRIMEROS AUXILIOS PSICOLOGICOS",IF(P228=#REF!,"ATENCION A VICTIMAS POR CONFLICTO ARMADO",IF(P228=#REF!,"MANIPULACION DE ALIMENTOS Y BPM",IF(P228=#REF!,"ATENCION A PERSONAS CON DISCAPACIDAD",IF(P228=#REF!,"CUIDADO INTEGRAL DEL PACIENTE ADULTO",IF(P228=#REF!,"MANEJO DEFENSIVO",IF(P228=#REF!,"SOPORTE CARDIOVASCULAR AVANZADO NEONATAL",IF(P228=#REF!,"SEGURIDAD DEL PACIENTE",IF(P228=#REF!,"MANEJO DE RESIDUOS HOSPITALARIOS"))))))))))))))))))))))))))))))))))))</f>
        <v>#REF!</v>
      </c>
      <c r="W228" s="41" t="str">
        <f t="shared" si="12"/>
        <v>Diego Fernando Madroñero Agreda</v>
      </c>
      <c r="X228" s="41" t="str">
        <f t="shared" si="13"/>
        <v>Diego Fernando Madroñero Agreda</v>
      </c>
      <c r="Y228" s="41" t="str">
        <f t="shared" si="14"/>
        <v>Diego Fernando Madroñero Agreda-87070408-OVE</v>
      </c>
    </row>
    <row r="229" spans="1:25" s="19" customFormat="1" x14ac:dyDescent="0.2">
      <c r="A229" s="20">
        <v>228</v>
      </c>
      <c r="B229" s="21">
        <v>36754429</v>
      </c>
      <c r="C229" s="21" t="s">
        <v>174</v>
      </c>
      <c r="D229" s="21" t="s">
        <v>422</v>
      </c>
      <c r="E229" s="21" t="s">
        <v>525</v>
      </c>
      <c r="F229" s="21" t="s">
        <v>526</v>
      </c>
      <c r="G229" s="21">
        <v>28</v>
      </c>
      <c r="H229" s="21" t="s">
        <v>49</v>
      </c>
      <c r="I229" s="21" t="s">
        <v>377</v>
      </c>
      <c r="J229" s="21"/>
      <c r="K229" s="23" t="s">
        <v>563</v>
      </c>
      <c r="L229" s="42">
        <v>65000</v>
      </c>
      <c r="M229" s="21" t="s">
        <v>79</v>
      </c>
      <c r="N229" s="21" t="s">
        <v>387</v>
      </c>
      <c r="O229" s="21" t="s">
        <v>69</v>
      </c>
      <c r="P229" s="21" t="s">
        <v>23</v>
      </c>
      <c r="Q229" s="22">
        <v>28579</v>
      </c>
      <c r="R229" s="21" t="s">
        <v>71</v>
      </c>
      <c r="S229" s="21" t="s">
        <v>527</v>
      </c>
      <c r="T229" s="21">
        <v>3128354750</v>
      </c>
      <c r="U229" s="21" t="s">
        <v>528</v>
      </c>
      <c r="V229" s="26" t="e">
        <f>IF(P229=#REF!,"DIPLOMADO EN ATENCION PRE-HOSPITALARIA",IF(P229=#REF!,"ACOMPAÑAMIENTO Y MANEJO DEL DUELO",IF(P229=#REF!,"ATENCION A VICTIMAS DE ATAQUE CON AGENTES QUIMICOS ",IF(P229=#REF!,"PRIMEROS AUXILIOS ",IF(P229=#REF!,"DIPLOMADO DE UNIDAD DE CUIDADOS INTENSIVOS (UCI)",IF(P229=#REF!,"MODELO DE ATENCION PARA EVENTOS EMERGENTES EN SALUD MENTAL (CODIGO VERDE)",IF(P229=#REF!,"HUMANIZACION EN EL SERVICIO DE LA SALUD Y BUENAS PRACTICAS EN PACIENTE ",IF(P229=#REF!,"CLINICA DE HERIDAS ",IF(P229=#REF!,"TOMA DE CITOLOGIA CERVICO VAGINAL ",IF(P229=#REF!,"SOPORTE CARDIOVASCULAR AVANZADO (ACLS) ",IF(P229=#REF!,"CAMILLERO ",IF(P229=#REF!,"TOMA DE MUESTRAS Y LABORATORIO ",IF(P229=#REF!,"SOPORTE VITAL BASICO (BLS)",IF(P229=#REF!,"ATENCION A VICTIMAS DE VIOLENCIA SEXUAL ",IF(P229=#REF!,"PROGRAMADO AMPLIADO DE INMUNIZACION (PAI - COVID 19)",IF(P229=#REF!,"ATENCION INTEGRAL EN ENFERMEDADES PREVALENTES EN PRIMERA INFANCIA (AIEPI)",IF(P229=#REF!,"ADMINISTRACION DE MEDICAMENTOS, INYECTOLOGIA  Y CANALIZACION ",IF(P229=#REF!,"OPERADOR DE VEHICULOS DE EMERGENCIA (OVE)",IF(P229=#REF!,"INSTITUCIONES AMIGAS DE LA MUJER Y LA INFANCIA (IAMI)",IF(P229=#REF!,"CUIDADO DEL DONANTE DE ORGANOS",IF(P229=#REF!,"ATENCION A VICTIMAS POR VIOLENCIA DE GENERO",IF(P229=#REF!,"IGUALDAD DE GENERO EN LA SALUD",IF(P229=#REF!,"BRIGADA DE EMERGENCIA",IF(P229=#REF!,"MANEJO DEL DOLOR Y CUIDADOS PALIATIVOS",IF(P229=#REF!,"TOMA DE MUESTRAS Y LABORATORIO POCT",IF(P229=#REF!,"IMPLANTE SUBDERMICO DE DISPOSITIVO INTRAUTERINO",IF(P229=#REF!,"SALUD MENTAL",IF(P229=#REF!,"PRIMEROS AUXILIOS PSICOLOGICOS",IF(P229=#REF!,"ATENCION A VICTIMAS POR CONFLICTO ARMADO",IF(P229=#REF!,"MANIPULACION DE ALIMENTOS Y BPM",IF(P229=#REF!,"ATENCION A PERSONAS CON DISCAPACIDAD",IF(P229=#REF!,"CUIDADO INTEGRAL DEL PACIENTE ADULTO",IF(P229=#REF!,"MANEJO DEFENSIVO",IF(P229=#REF!,"SOPORTE CARDIOVASCULAR AVANZADO NEONATAL",IF(P229=#REF!,"SEGURIDAD DEL PACIENTE",IF(P229=#REF!,"MANEJO DE RESIDUOS HOSPITALARIOS"))))))))))))))))))))))))))))))))))))</f>
        <v>#REF!</v>
      </c>
      <c r="W229" s="26" t="str">
        <f t="shared" si="12"/>
        <v>Anny Lisset Guevara Diaz</v>
      </c>
      <c r="X229" s="26" t="str">
        <f t="shared" si="13"/>
        <v>Anny Lisset Guevara Diaz</v>
      </c>
      <c r="Y229" s="26" t="str">
        <f t="shared" si="14"/>
        <v>Anny Lisset Guevara Diaz-36754429-HUMANIZACION</v>
      </c>
    </row>
    <row r="230" spans="1:25" x14ac:dyDescent="0.2">
      <c r="A230" s="36">
        <v>229</v>
      </c>
      <c r="B230" s="37">
        <v>87451735</v>
      </c>
      <c r="C230" s="37" t="s">
        <v>197</v>
      </c>
      <c r="D230" s="37" t="s">
        <v>169</v>
      </c>
      <c r="E230" s="37" t="s">
        <v>529</v>
      </c>
      <c r="F230" s="37" t="s">
        <v>530</v>
      </c>
      <c r="G230" s="37">
        <v>28</v>
      </c>
      <c r="H230" s="37" t="s">
        <v>49</v>
      </c>
      <c r="I230" s="37" t="s">
        <v>376</v>
      </c>
      <c r="J230" s="37"/>
      <c r="K230" s="23">
        <v>45688</v>
      </c>
      <c r="L230" s="44">
        <v>32000</v>
      </c>
      <c r="M230" s="37" t="s">
        <v>106</v>
      </c>
      <c r="N230" s="37" t="s">
        <v>387</v>
      </c>
      <c r="O230" s="37" t="s">
        <v>95</v>
      </c>
      <c r="P230" s="37" t="s">
        <v>19</v>
      </c>
      <c r="Q230" s="38">
        <v>22867</v>
      </c>
      <c r="R230" s="37" t="s">
        <v>70</v>
      </c>
      <c r="S230" s="37" t="s">
        <v>131</v>
      </c>
      <c r="T230" s="37">
        <v>3207157013</v>
      </c>
      <c r="U230" s="37" t="s">
        <v>531</v>
      </c>
      <c r="V230" s="41" t="e">
        <f>IF(P230=#REF!,"DIPLOMADO EN ATENCION PRE-HOSPITALARIA",IF(P230=#REF!,"ACOMPAÑAMIENTO Y MANEJO DEL DUELO",IF(P230=#REF!,"ATENCION A VICTIMAS DE ATAQUE CON AGENTES QUIMICOS ",IF(P230=#REF!,"PRIMEROS AUXILIOS ",IF(P230=#REF!,"DIPLOMADO DE UNIDAD DE CUIDADOS INTENSIVOS (UCI)",IF(P230=#REF!,"MODELO DE ATENCION PARA EVENTOS EMERGENTES EN SALUD MENTAL (CODIGO VERDE)",IF(P230=#REF!,"HUMANIZACION EN EL SERVICIO DE LA SALUD Y BUENAS PRACTICAS EN PACIENTE ",IF(P230=#REF!,"CLINICA DE HERIDAS ",IF(P230=#REF!,"TOMA DE CITOLOGIA CERVICO VAGINAL ",IF(P230=#REF!,"SOPORTE CARDIOVASCULAR AVANZADO (ACLS) ",IF(P230=#REF!,"CAMILLERO ",IF(P230=#REF!,"TOMA DE MUESTRAS Y LABORATORIO ",IF(P230=#REF!,"SOPORTE VITAL BASICO (BLS)",IF(P230=#REF!,"ATENCION A VICTIMAS DE VIOLENCIA SEXUAL ",IF(P230=#REF!,"PROGRAMADO AMPLIADO DE INMUNIZACION (PAI - COVID 19)",IF(P230=#REF!,"ATENCION INTEGRAL EN ENFERMEDADES PREVALENTES EN PRIMERA INFANCIA (AIEPI)",IF(P230=#REF!,"ADMINISTRACION DE MEDICAMENTOS, INYECTOLOGIA  Y CANALIZACION ",IF(P230=#REF!,"OPERADOR DE VEHICULOS DE EMERGENCIA (OVE)",IF(P230=#REF!,"INSTITUCIONES AMIGAS DE LA MUJER Y LA INFANCIA (IAMI)",IF(P230=#REF!,"CUIDADO DEL DONANTE DE ORGANOS",IF(P230=#REF!,"ATENCION A VICTIMAS POR VIOLENCIA DE GENERO",IF(P230=#REF!,"IGUALDAD DE GENERO EN LA SALUD",IF(P230=#REF!,"BRIGADA DE EMERGENCIA",IF(P230=#REF!,"MANEJO DEL DOLOR Y CUIDADOS PALIATIVOS",IF(P230=#REF!,"TOMA DE MUESTRAS Y LABORATORIO POCT",IF(P230=#REF!,"IMPLANTE SUBDERMICO DE DISPOSITIVO INTRAUTERINO",IF(P230=#REF!,"SALUD MENTAL",IF(P230=#REF!,"PRIMEROS AUXILIOS PSICOLOGICOS",IF(P230=#REF!,"ATENCION A VICTIMAS POR CONFLICTO ARMADO",IF(P230=#REF!,"MANIPULACION DE ALIMENTOS Y BPM",IF(P230=#REF!,"ATENCION A PERSONAS CON DISCAPACIDAD",IF(P230=#REF!,"CUIDADO INTEGRAL DEL PACIENTE ADULTO",IF(P230=#REF!,"MANEJO DEFENSIVO",IF(P230=#REF!,"SOPORTE CARDIOVASCULAR AVANZADO NEONATAL",IF(P230=#REF!,"SEGURIDAD DEL PACIENTE",IF(P230=#REF!,"MANEJO DE RESIDUOS HOSPITALARIOS"))))))))))))))))))))))))))))))))))))</f>
        <v>#REF!</v>
      </c>
      <c r="W230" s="41" t="str">
        <f t="shared" si="12"/>
        <v>Segundo Tobias Arteaga Caicedo</v>
      </c>
      <c r="X230" s="41" t="str">
        <f t="shared" si="13"/>
        <v>Segundo Tobias Arteaga Caicedo</v>
      </c>
      <c r="Y230" s="41" t="str">
        <f t="shared" si="14"/>
        <v>Segundo Tobias Arteaga Caicedo-87451735-BLS</v>
      </c>
    </row>
    <row r="231" spans="1:25" s="19" customFormat="1" x14ac:dyDescent="0.2">
      <c r="A231" s="20">
        <v>230</v>
      </c>
      <c r="B231" s="21">
        <v>1004136196</v>
      </c>
      <c r="C231" s="21" t="s">
        <v>532</v>
      </c>
      <c r="D231" s="21" t="s">
        <v>212</v>
      </c>
      <c r="E231" s="21" t="s">
        <v>533</v>
      </c>
      <c r="F231" s="21" t="s">
        <v>442</v>
      </c>
      <c r="G231" s="21">
        <v>31</v>
      </c>
      <c r="H231" s="21" t="s">
        <v>49</v>
      </c>
      <c r="I231" s="21" t="s">
        <v>377</v>
      </c>
      <c r="J231" s="21"/>
      <c r="K231" s="23">
        <v>45685</v>
      </c>
      <c r="L231" s="42">
        <v>65000</v>
      </c>
      <c r="M231" s="21" t="s">
        <v>79</v>
      </c>
      <c r="N231" s="21" t="s">
        <v>387</v>
      </c>
      <c r="O231" s="21" t="s">
        <v>69</v>
      </c>
      <c r="P231" s="21" t="s">
        <v>29</v>
      </c>
      <c r="Q231" s="22">
        <v>37761</v>
      </c>
      <c r="R231" s="21" t="s">
        <v>71</v>
      </c>
      <c r="S231" s="21" t="s">
        <v>142</v>
      </c>
      <c r="T231" s="21">
        <v>3157278433</v>
      </c>
      <c r="U231" s="21" t="s">
        <v>534</v>
      </c>
      <c r="V231" s="26" t="e">
        <f>IF(P231=#REF!,"DIPLOMADO EN ATENCION PRE-HOSPITALARIA",IF(P231=#REF!,"ACOMPAÑAMIENTO Y MANEJO DEL DUELO",IF(P231=#REF!,"ATENCION A VICTIMAS DE ATAQUE CON AGENTES QUIMICOS ",IF(P231=#REF!,"PRIMEROS AUXILIOS ",IF(P231=#REF!,"DIPLOMADO DE UNIDAD DE CUIDADOS INTENSIVOS (UCI)",IF(P231=#REF!,"MODELO DE ATENCION PARA EVENTOS EMERGENTES EN SALUD MENTAL (CODIGO VERDE)",IF(P231=#REF!,"HUMANIZACION EN EL SERVICIO DE LA SALUD Y BUENAS PRACTICAS EN PACIENTE ",IF(P231=#REF!,"CLINICA DE HERIDAS ",IF(P231=#REF!,"TOMA DE CITOLOGIA CERVICO VAGINAL ",IF(P231=#REF!,"SOPORTE CARDIOVASCULAR AVANZADO (ACLS) ",IF(P231=#REF!,"CAMILLERO ",IF(P231=#REF!,"TOMA DE MUESTRAS Y LABORATORIO ",IF(P231=#REF!,"SOPORTE VITAL BASICO (BLS)",IF(P231=#REF!,"ATENCION A VICTIMAS DE VIOLENCIA SEXUAL ",IF(P231=#REF!,"PROGRAMADO AMPLIADO DE INMUNIZACION (PAI - COVID 19)",IF(P231=#REF!,"ATENCION INTEGRAL EN ENFERMEDADES PREVALENTES EN PRIMERA INFANCIA (AIEPI)",IF(P231=#REF!,"ADMINISTRACION DE MEDICAMENTOS, INYECTOLOGIA  Y CANALIZACION ",IF(P231=#REF!,"OPERADOR DE VEHICULOS DE EMERGENCIA (OVE)",IF(P231=#REF!,"INSTITUCIONES AMIGAS DE LA MUJER Y LA INFANCIA (IAMI)",IF(P231=#REF!,"CUIDADO DEL DONANTE DE ORGANOS",IF(P231=#REF!,"ATENCION A VICTIMAS POR VIOLENCIA DE GENERO",IF(P231=#REF!,"IGUALDAD DE GENERO EN LA SALUD",IF(P231=#REF!,"BRIGADA DE EMERGENCIA",IF(P231=#REF!,"MANEJO DEL DOLOR Y CUIDADOS PALIATIVOS",IF(P231=#REF!,"TOMA DE MUESTRAS Y LABORATORIO POCT",IF(P231=#REF!,"IMPLANTE SUBDERMICO DE DISPOSITIVO INTRAUTERINO",IF(P231=#REF!,"SALUD MENTAL",IF(P231=#REF!,"PRIMEROS AUXILIOS PSICOLOGICOS",IF(P231=#REF!,"ATENCION A VICTIMAS POR CONFLICTO ARMADO",IF(P231=#REF!,"MANIPULACION DE ALIMENTOS Y BPM",IF(P231=#REF!,"ATENCION A PERSONAS CON DISCAPACIDAD",IF(P231=#REF!,"CUIDADO INTEGRAL DEL PACIENTE ADULTO",IF(P231=#REF!,"MANEJO DEFENSIVO",IF(P231=#REF!,"SOPORTE CARDIOVASCULAR AVANZADO NEONATAL",IF(P231=#REF!,"SEGURIDAD DEL PACIENTE",IF(P231=#REF!,"MANEJO DE RESIDUOS HOSPITALARIOS"))))))))))))))))))))))))))))))))))))</f>
        <v>#REF!</v>
      </c>
      <c r="W231" s="26" t="str">
        <f t="shared" si="12"/>
        <v>Erika Nathalia Pinchao Charfuelan</v>
      </c>
      <c r="X231" s="26" t="str">
        <f t="shared" si="13"/>
        <v>Erika Nathalia Pinchao Charfuelan</v>
      </c>
      <c r="Y231" s="26" t="str">
        <f t="shared" si="14"/>
        <v>Erika Nathalia Pinchao Charfuelan-1004136196-ADMON DE MEDICAMENTOS</v>
      </c>
    </row>
    <row r="232" spans="1:25" s="19" customFormat="1" x14ac:dyDescent="0.2">
      <c r="A232" s="20">
        <v>231</v>
      </c>
      <c r="B232" s="21">
        <v>1085330416</v>
      </c>
      <c r="C232" s="21" t="s">
        <v>126</v>
      </c>
      <c r="D232" s="21" t="s">
        <v>535</v>
      </c>
      <c r="E232" s="21" t="s">
        <v>176</v>
      </c>
      <c r="F232" s="21" t="s">
        <v>536</v>
      </c>
      <c r="G232" s="21">
        <v>29</v>
      </c>
      <c r="H232" s="21" t="s">
        <v>49</v>
      </c>
      <c r="I232" s="21" t="s">
        <v>377</v>
      </c>
      <c r="J232" s="21"/>
      <c r="K232" s="23">
        <v>45686</v>
      </c>
      <c r="L232" s="42">
        <v>40000</v>
      </c>
      <c r="M232" s="21" t="s">
        <v>106</v>
      </c>
      <c r="N232" s="21" t="s">
        <v>386</v>
      </c>
      <c r="O232" s="21" t="s">
        <v>69</v>
      </c>
      <c r="P232" s="21" t="s">
        <v>22</v>
      </c>
      <c r="Q232" s="22">
        <v>35269</v>
      </c>
      <c r="R232" s="21" t="s">
        <v>71</v>
      </c>
      <c r="S232" s="63" t="s">
        <v>172</v>
      </c>
      <c r="T232" s="21">
        <v>3165337441</v>
      </c>
      <c r="U232" s="21" t="s">
        <v>537</v>
      </c>
      <c r="V232" s="26" t="e">
        <f>IF(P232=#REF!,"DIPLOMADO EN ATENCION PRE-HOSPITALARIA",IF(P232=#REF!,"ACOMPAÑAMIENTO Y MANEJO DEL DUELO",IF(P232=#REF!,"ATENCION A VICTIMAS DE ATAQUE CON AGENTES QUIMICOS ",IF(P232=#REF!,"PRIMEROS AUXILIOS ",IF(P232=#REF!,"DIPLOMADO DE UNIDAD DE CUIDADOS INTENSIVOS (UCI)",IF(P232=#REF!,"MODELO DE ATENCION PARA EVENTOS EMERGENTES EN SALUD MENTAL (CODIGO VERDE)",IF(P232=#REF!,"HUMANIZACION EN EL SERVICIO DE LA SALUD Y BUENAS PRACTICAS EN PACIENTE ",IF(P232=#REF!,"CLINICA DE HERIDAS ",IF(P232=#REF!,"TOMA DE CITOLOGIA CERVICO VAGINAL ",IF(P232=#REF!,"SOPORTE CARDIOVASCULAR AVANZADO (ACLS) ",IF(P232=#REF!,"CAMILLERO ",IF(P232=#REF!,"TOMA DE MUESTRAS Y LABORATORIO ",IF(P232=#REF!,"SOPORTE VITAL BASICO (BLS)",IF(P232=#REF!,"ATENCION A VICTIMAS DE VIOLENCIA SEXUAL ",IF(P232=#REF!,"PROGRAMADO AMPLIADO DE INMUNIZACION (PAI - COVID 19)",IF(P232=#REF!,"ATENCION INTEGRAL EN ENFERMEDADES PREVALENTES EN PRIMERA INFANCIA (AIEPI)",IF(P232=#REF!,"ADMINISTRACION DE MEDICAMENTOS, INYECTOLOGIA  Y CANALIZACION ",IF(P232=#REF!,"OPERADOR DE VEHICULOS DE EMERGENCIA (OVE)",IF(P232=#REF!,"INSTITUCIONES AMIGAS DE LA MUJER Y LA INFANCIA (IAMI)",IF(P232=#REF!,"CUIDADO DEL DONANTE DE ORGANOS",IF(P232=#REF!,"ATENCION A VICTIMAS POR VIOLENCIA DE GENERO",IF(P232=#REF!,"IGUALDAD DE GENERO EN LA SALUD",IF(P232=#REF!,"BRIGADA DE EMERGENCIA",IF(P232=#REF!,"MANEJO DEL DOLOR Y CUIDADOS PALIATIVOS",IF(P232=#REF!,"TOMA DE MUESTRAS Y LABORATORIO POCT",IF(P232=#REF!,"IMPLANTE SUBDERMICO DE DISPOSITIVO INTRAUTERINO",IF(P232=#REF!,"SALUD MENTAL",IF(P232=#REF!,"PRIMEROS AUXILIOS PSICOLOGICOS",IF(P232=#REF!,"ATENCION A VICTIMAS POR CONFLICTO ARMADO",IF(P232=#REF!,"MANIPULACION DE ALIMENTOS Y BPM",IF(P232=#REF!,"ATENCION A PERSONAS CON DISCAPACIDAD",IF(P232=#REF!,"CUIDADO INTEGRAL DEL PACIENTE ADULTO",IF(P232=#REF!,"MANEJO DEFENSIVO",IF(P232=#REF!,"SOPORTE CARDIOVASCULAR AVANZADO NEONATAL",IF(P232=#REF!,"SEGURIDAD DEL PACIENTE",IF(P232=#REF!,"MANEJO DE RESIDUOS HOSPITALARIOS"))))))))))))))))))))))))))))))))))))</f>
        <v>#REF!</v>
      </c>
      <c r="W232" s="26" t="str">
        <f t="shared" si="12"/>
        <v>Tatiana Marcela Narvaez Lara</v>
      </c>
      <c r="X232" s="26" t="str">
        <f t="shared" si="13"/>
        <v>Tatiana Marcela Narvaez Lara</v>
      </c>
      <c r="Y232" s="26" t="str">
        <f t="shared" si="14"/>
        <v>Tatiana Marcela Narvaez Lara-1085330416-PRIMEROS AUXILIOS</v>
      </c>
    </row>
    <row r="233" spans="1:25" s="19" customFormat="1" x14ac:dyDescent="0.2">
      <c r="A233" s="20">
        <v>232</v>
      </c>
      <c r="B233" s="21">
        <v>5345644</v>
      </c>
      <c r="C233" s="21" t="s">
        <v>208</v>
      </c>
      <c r="D233" s="21" t="s">
        <v>538</v>
      </c>
      <c r="E233" s="21" t="s">
        <v>539</v>
      </c>
      <c r="F233" s="21" t="s">
        <v>540</v>
      </c>
      <c r="G233" s="21">
        <v>29</v>
      </c>
      <c r="H233" s="21" t="s">
        <v>49</v>
      </c>
      <c r="I233" s="21" t="s">
        <v>377</v>
      </c>
      <c r="J233" s="21"/>
      <c r="K233" s="23">
        <v>45686</v>
      </c>
      <c r="L233" s="42">
        <v>40000</v>
      </c>
      <c r="M233" s="21" t="s">
        <v>133</v>
      </c>
      <c r="N233" s="21" t="s">
        <v>386</v>
      </c>
      <c r="O233" s="21" t="s">
        <v>69</v>
      </c>
      <c r="P233" s="21" t="s">
        <v>22</v>
      </c>
      <c r="Q233" s="22">
        <v>29794</v>
      </c>
      <c r="R233" s="21" t="s">
        <v>70</v>
      </c>
      <c r="S233" s="21" t="s">
        <v>468</v>
      </c>
      <c r="T233" s="21">
        <v>3017831444</v>
      </c>
      <c r="U233" s="21" t="s">
        <v>541</v>
      </c>
      <c r="V233" s="26" t="e">
        <f>IF(P233=#REF!,"DIPLOMADO EN ATENCION PRE-HOSPITALARIA",IF(P233=#REF!,"ACOMPAÑAMIENTO Y MANEJO DEL DUELO",IF(P233=#REF!,"ATENCION A VICTIMAS DE ATAQUE CON AGENTES QUIMICOS ",IF(P233=#REF!,"PRIMEROS AUXILIOS ",IF(P233=#REF!,"DIPLOMADO DE UNIDAD DE CUIDADOS INTENSIVOS (UCI)",IF(P233=#REF!,"MODELO DE ATENCION PARA EVENTOS EMERGENTES EN SALUD MENTAL (CODIGO VERDE)",IF(P233=#REF!,"HUMANIZACION EN EL SERVICIO DE LA SALUD Y BUENAS PRACTICAS EN PACIENTE ",IF(P233=#REF!,"CLINICA DE HERIDAS ",IF(P233=#REF!,"TOMA DE CITOLOGIA CERVICO VAGINAL ",IF(P233=#REF!,"SOPORTE CARDIOVASCULAR AVANZADO (ACLS) ",IF(P233=#REF!,"CAMILLERO ",IF(P233=#REF!,"TOMA DE MUESTRAS Y LABORATORIO ",IF(P233=#REF!,"SOPORTE VITAL BASICO (BLS)",IF(P233=#REF!,"ATENCION A VICTIMAS DE VIOLENCIA SEXUAL ",IF(P233=#REF!,"PROGRAMADO AMPLIADO DE INMUNIZACION (PAI - COVID 19)",IF(P233=#REF!,"ATENCION INTEGRAL EN ENFERMEDADES PREVALENTES EN PRIMERA INFANCIA (AIEPI)",IF(P233=#REF!,"ADMINISTRACION DE MEDICAMENTOS, INYECTOLOGIA  Y CANALIZACION ",IF(P233=#REF!,"OPERADOR DE VEHICULOS DE EMERGENCIA (OVE)",IF(P233=#REF!,"INSTITUCIONES AMIGAS DE LA MUJER Y LA INFANCIA (IAMI)",IF(P233=#REF!,"CUIDADO DEL DONANTE DE ORGANOS",IF(P233=#REF!,"ATENCION A VICTIMAS POR VIOLENCIA DE GENERO",IF(P233=#REF!,"IGUALDAD DE GENERO EN LA SALUD",IF(P233=#REF!,"BRIGADA DE EMERGENCIA",IF(P233=#REF!,"MANEJO DEL DOLOR Y CUIDADOS PALIATIVOS",IF(P233=#REF!,"TOMA DE MUESTRAS Y LABORATORIO POCT",IF(P233=#REF!,"IMPLANTE SUBDERMICO DE DISPOSITIVO INTRAUTERINO",IF(P233=#REF!,"SALUD MENTAL",IF(P233=#REF!,"PRIMEROS AUXILIOS PSICOLOGICOS",IF(P233=#REF!,"ATENCION A VICTIMAS POR CONFLICTO ARMADO",IF(P233=#REF!,"MANIPULACION DE ALIMENTOS Y BPM",IF(P233=#REF!,"ATENCION A PERSONAS CON DISCAPACIDAD",IF(P233=#REF!,"CUIDADO INTEGRAL DEL PACIENTE ADULTO",IF(P233=#REF!,"MANEJO DEFENSIVO",IF(P233=#REF!,"SOPORTE CARDIOVASCULAR AVANZADO NEONATAL",IF(P233=#REF!,"SEGURIDAD DEL PACIENTE",IF(P233=#REF!,"MANEJO DE RESIDUOS HOSPITALARIOS"))))))))))))))))))))))))))))))))))))</f>
        <v>#REF!</v>
      </c>
      <c r="W233" s="26" t="str">
        <f t="shared" si="12"/>
        <v>Luciano Rafael Perez Miño</v>
      </c>
      <c r="X233" s="26" t="str">
        <f t="shared" si="13"/>
        <v>Luciano Rafael Perez Miño</v>
      </c>
      <c r="Y233" s="26" t="str">
        <f t="shared" si="14"/>
        <v>Luciano Rafael Perez Miño-5345644-PRIMEROS AUXILIOS</v>
      </c>
    </row>
    <row r="234" spans="1:25" s="19" customFormat="1" x14ac:dyDescent="0.2">
      <c r="A234" s="20">
        <v>233</v>
      </c>
      <c r="B234" s="21">
        <v>59313016</v>
      </c>
      <c r="C234" s="21" t="s">
        <v>542</v>
      </c>
      <c r="D234" s="21" t="s">
        <v>85</v>
      </c>
      <c r="E234" s="21" t="s">
        <v>214</v>
      </c>
      <c r="F234" s="21" t="s">
        <v>215</v>
      </c>
      <c r="G234" s="21">
        <v>29</v>
      </c>
      <c r="H234" s="21" t="s">
        <v>49</v>
      </c>
      <c r="I234" s="21" t="s">
        <v>377</v>
      </c>
      <c r="J234" s="21"/>
      <c r="K234" s="23">
        <v>45686</v>
      </c>
      <c r="L234" s="42">
        <v>40000</v>
      </c>
      <c r="M234" s="21" t="s">
        <v>133</v>
      </c>
      <c r="N234" s="21" t="s">
        <v>386</v>
      </c>
      <c r="O234" s="21" t="s">
        <v>69</v>
      </c>
      <c r="P234" s="21" t="s">
        <v>22</v>
      </c>
      <c r="Q234" s="22">
        <v>30837</v>
      </c>
      <c r="R234" s="21" t="s">
        <v>71</v>
      </c>
      <c r="S234" s="21" t="s">
        <v>468</v>
      </c>
      <c r="T234" s="21">
        <v>3173664678</v>
      </c>
      <c r="U234" s="21" t="s">
        <v>543</v>
      </c>
      <c r="V234" s="26" t="e">
        <f>IF(P234=#REF!,"DIPLOMADO EN ATENCION PRE-HOSPITALARIA",IF(P234=#REF!,"ACOMPAÑAMIENTO Y MANEJO DEL DUELO",IF(P234=#REF!,"ATENCION A VICTIMAS DE ATAQUE CON AGENTES QUIMICOS ",IF(P234=#REF!,"PRIMEROS AUXILIOS ",IF(P234=#REF!,"DIPLOMADO DE UNIDAD DE CUIDADOS INTENSIVOS (UCI)",IF(P234=#REF!,"MODELO DE ATENCION PARA EVENTOS EMERGENTES EN SALUD MENTAL (CODIGO VERDE)",IF(P234=#REF!,"HUMANIZACION EN EL SERVICIO DE LA SALUD Y BUENAS PRACTICAS EN PACIENTE ",IF(P234=#REF!,"CLINICA DE HERIDAS ",IF(P234=#REF!,"TOMA DE CITOLOGIA CERVICO VAGINAL ",IF(P234=#REF!,"SOPORTE CARDIOVASCULAR AVANZADO (ACLS) ",IF(P234=#REF!,"CAMILLERO ",IF(P234=#REF!,"TOMA DE MUESTRAS Y LABORATORIO ",IF(P234=#REF!,"SOPORTE VITAL BASICO (BLS)",IF(P234=#REF!,"ATENCION A VICTIMAS DE VIOLENCIA SEXUAL ",IF(P234=#REF!,"PROGRAMADO AMPLIADO DE INMUNIZACION (PAI - COVID 19)",IF(P234=#REF!,"ATENCION INTEGRAL EN ENFERMEDADES PREVALENTES EN PRIMERA INFANCIA (AIEPI)",IF(P234=#REF!,"ADMINISTRACION DE MEDICAMENTOS, INYECTOLOGIA  Y CANALIZACION ",IF(P234=#REF!,"OPERADOR DE VEHICULOS DE EMERGENCIA (OVE)",IF(P234=#REF!,"INSTITUCIONES AMIGAS DE LA MUJER Y LA INFANCIA (IAMI)",IF(P234=#REF!,"CUIDADO DEL DONANTE DE ORGANOS",IF(P234=#REF!,"ATENCION A VICTIMAS POR VIOLENCIA DE GENERO",IF(P234=#REF!,"IGUALDAD DE GENERO EN LA SALUD",IF(P234=#REF!,"BRIGADA DE EMERGENCIA",IF(P234=#REF!,"MANEJO DEL DOLOR Y CUIDADOS PALIATIVOS",IF(P234=#REF!,"TOMA DE MUESTRAS Y LABORATORIO POCT",IF(P234=#REF!,"IMPLANTE SUBDERMICO DE DISPOSITIVO INTRAUTERINO",IF(P234=#REF!,"SALUD MENTAL",IF(P234=#REF!,"PRIMEROS AUXILIOS PSICOLOGICOS",IF(P234=#REF!,"ATENCION A VICTIMAS POR CONFLICTO ARMADO",IF(P234=#REF!,"MANIPULACION DE ALIMENTOS Y BPM",IF(P234=#REF!,"ATENCION A PERSONAS CON DISCAPACIDAD",IF(P234=#REF!,"CUIDADO INTEGRAL DEL PACIENTE ADULTO",IF(P234=#REF!,"MANEJO DEFENSIVO",IF(P234=#REF!,"SOPORTE CARDIOVASCULAR AVANZADO NEONATAL",IF(P234=#REF!,"SEGURIDAD DEL PACIENTE",IF(P234=#REF!,"MANEJO DE RESIDUOS HOSPITALARIOS"))))))))))))))))))))))))))))))))))))</f>
        <v>#REF!</v>
      </c>
      <c r="W234" s="26" t="str">
        <f t="shared" si="12"/>
        <v>Diana Carolina Vallejo Estrada</v>
      </c>
      <c r="X234" s="26" t="str">
        <f t="shared" si="13"/>
        <v>Diana Carolina Vallejo Estrada</v>
      </c>
      <c r="Y234" s="26" t="str">
        <f t="shared" si="14"/>
        <v>Diana Carolina Vallejo Estrada-59313016-PRIMEROS AUXILIOS</v>
      </c>
    </row>
    <row r="235" spans="1:25" s="19" customFormat="1" x14ac:dyDescent="0.2">
      <c r="A235" s="20">
        <v>234</v>
      </c>
      <c r="B235" s="21">
        <v>79425295</v>
      </c>
      <c r="C235" s="21" t="s">
        <v>544</v>
      </c>
      <c r="D235" s="21"/>
      <c r="E235" s="21" t="s">
        <v>423</v>
      </c>
      <c r="F235" s="21" t="s">
        <v>545</v>
      </c>
      <c r="G235" s="21">
        <v>29</v>
      </c>
      <c r="H235" s="21" t="s">
        <v>49</v>
      </c>
      <c r="I235" s="21" t="s">
        <v>377</v>
      </c>
      <c r="J235" s="21"/>
      <c r="K235" s="23">
        <v>45686</v>
      </c>
      <c r="L235" s="42">
        <v>40000</v>
      </c>
      <c r="M235" s="21" t="s">
        <v>133</v>
      </c>
      <c r="N235" s="21" t="s">
        <v>386</v>
      </c>
      <c r="O235" s="21" t="s">
        <v>69</v>
      </c>
      <c r="P235" s="21" t="s">
        <v>22</v>
      </c>
      <c r="Q235" s="22">
        <v>24710</v>
      </c>
      <c r="R235" s="21" t="s">
        <v>70</v>
      </c>
      <c r="S235" s="21" t="s">
        <v>546</v>
      </c>
      <c r="T235" s="21">
        <v>3147288475</v>
      </c>
      <c r="U235" s="21" t="s">
        <v>547</v>
      </c>
      <c r="V235" s="26" t="e">
        <f>IF(P235=#REF!,"DIPLOMADO EN ATENCION PRE-HOSPITALARIA",IF(P235=#REF!,"ACOMPAÑAMIENTO Y MANEJO DEL DUELO",IF(P235=#REF!,"ATENCION A VICTIMAS DE ATAQUE CON AGENTES QUIMICOS ",IF(P235=#REF!,"PRIMEROS AUXILIOS ",IF(P235=#REF!,"DIPLOMADO DE UNIDAD DE CUIDADOS INTENSIVOS (UCI)",IF(P235=#REF!,"MODELO DE ATENCION PARA EVENTOS EMERGENTES EN SALUD MENTAL (CODIGO VERDE)",IF(P235=#REF!,"HUMANIZACION EN EL SERVICIO DE LA SALUD Y BUENAS PRACTICAS EN PACIENTE ",IF(P235=#REF!,"CLINICA DE HERIDAS ",IF(P235=#REF!,"TOMA DE CITOLOGIA CERVICO VAGINAL ",IF(P235=#REF!,"SOPORTE CARDIOVASCULAR AVANZADO (ACLS) ",IF(P235=#REF!,"CAMILLERO ",IF(P235=#REF!,"TOMA DE MUESTRAS Y LABORATORIO ",IF(P235=#REF!,"SOPORTE VITAL BASICO (BLS)",IF(P235=#REF!,"ATENCION A VICTIMAS DE VIOLENCIA SEXUAL ",IF(P235=#REF!,"PROGRAMADO AMPLIADO DE INMUNIZACION (PAI - COVID 19)",IF(P235=#REF!,"ATENCION INTEGRAL EN ENFERMEDADES PREVALENTES EN PRIMERA INFANCIA (AIEPI)",IF(P235=#REF!,"ADMINISTRACION DE MEDICAMENTOS, INYECTOLOGIA  Y CANALIZACION ",IF(P235=#REF!,"OPERADOR DE VEHICULOS DE EMERGENCIA (OVE)",IF(P235=#REF!,"INSTITUCIONES AMIGAS DE LA MUJER Y LA INFANCIA (IAMI)",IF(P235=#REF!,"CUIDADO DEL DONANTE DE ORGANOS",IF(P235=#REF!,"ATENCION A VICTIMAS POR VIOLENCIA DE GENERO",IF(P235=#REF!,"IGUALDAD DE GENERO EN LA SALUD",IF(P235=#REF!,"BRIGADA DE EMERGENCIA",IF(P235=#REF!,"MANEJO DEL DOLOR Y CUIDADOS PALIATIVOS",IF(P235=#REF!,"TOMA DE MUESTRAS Y LABORATORIO POCT",IF(P235=#REF!,"IMPLANTE SUBDERMICO DE DISPOSITIVO INTRAUTERINO",IF(P235=#REF!,"SALUD MENTAL",IF(P235=#REF!,"PRIMEROS AUXILIOS PSICOLOGICOS",IF(P235=#REF!,"ATENCION A VICTIMAS POR CONFLICTO ARMADO",IF(P235=#REF!,"MANIPULACION DE ALIMENTOS Y BPM",IF(P235=#REF!,"ATENCION A PERSONAS CON DISCAPACIDAD",IF(P235=#REF!,"CUIDADO INTEGRAL DEL PACIENTE ADULTO",IF(P235=#REF!,"MANEJO DEFENSIVO",IF(P235=#REF!,"SOPORTE CARDIOVASCULAR AVANZADO NEONATAL",IF(P235=#REF!,"SEGURIDAD DEL PACIENTE",IF(P235=#REF!,"MANEJO DE RESIDUOS HOSPITALARIOS"))))))))))))))))))))))))))))))))))))</f>
        <v>#REF!</v>
      </c>
      <c r="W235" s="26" t="str">
        <f t="shared" si="12"/>
        <v xml:space="preserve">Luis Alejandro Alarcon </v>
      </c>
      <c r="X235" s="26" t="str">
        <f t="shared" si="13"/>
        <v xml:space="preserve">Luis Alejandro Alarcon </v>
      </c>
      <c r="Y235" s="26" t="str">
        <f t="shared" si="14"/>
        <v>Luis Alejandro Alarcon -79425295-PRIMEROS AUXILIOS</v>
      </c>
    </row>
    <row r="236" spans="1:25" s="19" customFormat="1" x14ac:dyDescent="0.2">
      <c r="A236" s="20">
        <v>235</v>
      </c>
      <c r="B236" s="21">
        <v>59827222</v>
      </c>
      <c r="C236" s="21" t="s">
        <v>117</v>
      </c>
      <c r="D236" s="21" t="s">
        <v>548</v>
      </c>
      <c r="E236" s="21" t="s">
        <v>391</v>
      </c>
      <c r="F236" s="21" t="s">
        <v>549</v>
      </c>
      <c r="G236" s="21">
        <v>29</v>
      </c>
      <c r="H236" s="21" t="s">
        <v>49</v>
      </c>
      <c r="I236" s="21" t="s">
        <v>377</v>
      </c>
      <c r="J236" s="21"/>
      <c r="K236" s="23">
        <v>45686</v>
      </c>
      <c r="L236" s="42">
        <v>40000</v>
      </c>
      <c r="M236" s="21" t="s">
        <v>133</v>
      </c>
      <c r="N236" s="21" t="s">
        <v>386</v>
      </c>
      <c r="O236" s="21" t="s">
        <v>69</v>
      </c>
      <c r="P236" s="21" t="s">
        <v>22</v>
      </c>
      <c r="Q236" s="22">
        <v>27308</v>
      </c>
      <c r="R236" s="21" t="s">
        <v>71</v>
      </c>
      <c r="S236" s="21" t="s">
        <v>550</v>
      </c>
      <c r="T236" s="21">
        <v>3125845813</v>
      </c>
      <c r="U236" s="21" t="s">
        <v>551</v>
      </c>
      <c r="V236" s="26" t="e">
        <f>IF(P236=#REF!,"DIPLOMADO EN ATENCION PRE-HOSPITALARIA",IF(P236=#REF!,"ACOMPAÑAMIENTO Y MANEJO DEL DUELO",IF(P236=#REF!,"ATENCION A VICTIMAS DE ATAQUE CON AGENTES QUIMICOS ",IF(P236=#REF!,"PRIMEROS AUXILIOS ",IF(P236=#REF!,"DIPLOMADO DE UNIDAD DE CUIDADOS INTENSIVOS (UCI)",IF(P236=#REF!,"MODELO DE ATENCION PARA EVENTOS EMERGENTES EN SALUD MENTAL (CODIGO VERDE)",IF(P236=#REF!,"HUMANIZACION EN EL SERVICIO DE LA SALUD Y BUENAS PRACTICAS EN PACIENTE ",IF(P236=#REF!,"CLINICA DE HERIDAS ",IF(P236=#REF!,"TOMA DE CITOLOGIA CERVICO VAGINAL ",IF(P236=#REF!,"SOPORTE CARDIOVASCULAR AVANZADO (ACLS) ",IF(P236=#REF!,"CAMILLERO ",IF(P236=#REF!,"TOMA DE MUESTRAS Y LABORATORIO ",IF(P236=#REF!,"SOPORTE VITAL BASICO (BLS)",IF(P236=#REF!,"ATENCION A VICTIMAS DE VIOLENCIA SEXUAL ",IF(P236=#REF!,"PROGRAMADO AMPLIADO DE INMUNIZACION (PAI - COVID 19)",IF(P236=#REF!,"ATENCION INTEGRAL EN ENFERMEDADES PREVALENTES EN PRIMERA INFANCIA (AIEPI)",IF(P236=#REF!,"ADMINISTRACION DE MEDICAMENTOS, INYECTOLOGIA  Y CANALIZACION ",IF(P236=#REF!,"OPERADOR DE VEHICULOS DE EMERGENCIA (OVE)",IF(P236=#REF!,"INSTITUCIONES AMIGAS DE LA MUJER Y LA INFANCIA (IAMI)",IF(P236=#REF!,"CUIDADO DEL DONANTE DE ORGANOS",IF(P236=#REF!,"ATENCION A VICTIMAS POR VIOLENCIA DE GENERO",IF(P236=#REF!,"IGUALDAD DE GENERO EN LA SALUD",IF(P236=#REF!,"BRIGADA DE EMERGENCIA",IF(P236=#REF!,"MANEJO DEL DOLOR Y CUIDADOS PALIATIVOS",IF(P236=#REF!,"TOMA DE MUESTRAS Y LABORATORIO POCT",IF(P236=#REF!,"IMPLANTE SUBDERMICO DE DISPOSITIVO INTRAUTERINO",IF(P236=#REF!,"SALUD MENTAL",IF(P236=#REF!,"PRIMEROS AUXILIOS PSICOLOGICOS",IF(P236=#REF!,"ATENCION A VICTIMAS POR CONFLICTO ARMADO",IF(P236=#REF!,"MANIPULACION DE ALIMENTOS Y BPM",IF(P236=#REF!,"ATENCION A PERSONAS CON DISCAPACIDAD",IF(P236=#REF!,"CUIDADO INTEGRAL DEL PACIENTE ADULTO",IF(P236=#REF!,"MANEJO DEFENSIVO",IF(P236=#REF!,"SOPORTE CARDIOVASCULAR AVANZADO NEONATAL",IF(P236=#REF!,"SEGURIDAD DEL PACIENTE",IF(P236=#REF!,"MANEJO DE RESIDUOS HOSPITALARIOS"))))))))))))))))))))))))))))))))))))</f>
        <v>#REF!</v>
      </c>
      <c r="W236" s="26" t="str">
        <f t="shared" si="12"/>
        <v>Claudia Gimena Rivera Recalde</v>
      </c>
      <c r="X236" s="26" t="str">
        <f t="shared" si="13"/>
        <v>Claudia Gimena Rivera Recalde</v>
      </c>
      <c r="Y236" s="26" t="str">
        <f t="shared" si="14"/>
        <v>Claudia Gimena Rivera Recalde-59827222-PRIMEROS AUXILIOS</v>
      </c>
    </row>
    <row r="237" spans="1:25" s="19" customFormat="1" x14ac:dyDescent="0.2">
      <c r="A237" s="20">
        <v>236</v>
      </c>
      <c r="B237" s="21">
        <v>1085320654</v>
      </c>
      <c r="C237" s="21" t="s">
        <v>544</v>
      </c>
      <c r="D237" s="21" t="s">
        <v>117</v>
      </c>
      <c r="E237" s="21" t="s">
        <v>383</v>
      </c>
      <c r="F237" s="21" t="s">
        <v>545</v>
      </c>
      <c r="G237" s="21">
        <v>29</v>
      </c>
      <c r="H237" s="21" t="s">
        <v>49</v>
      </c>
      <c r="I237" s="21" t="s">
        <v>377</v>
      </c>
      <c r="J237" s="21"/>
      <c r="K237" s="23">
        <v>45686</v>
      </c>
      <c r="L237" s="42">
        <v>40000</v>
      </c>
      <c r="M237" s="21" t="s">
        <v>106</v>
      </c>
      <c r="N237" s="21" t="s">
        <v>386</v>
      </c>
      <c r="O237" s="21" t="s">
        <v>69</v>
      </c>
      <c r="P237" s="21" t="s">
        <v>22</v>
      </c>
      <c r="Q237" s="22">
        <v>34635</v>
      </c>
      <c r="R237" s="21" t="s">
        <v>70</v>
      </c>
      <c r="S237" s="21" t="s">
        <v>552</v>
      </c>
      <c r="T237" s="21">
        <v>3153040173</v>
      </c>
      <c r="U237" s="21" t="s">
        <v>553</v>
      </c>
      <c r="V237" s="26" t="e">
        <f>IF(P237=#REF!,"DIPLOMADO EN ATENCION PRE-HOSPITALARIA",IF(P237=#REF!,"ACOMPAÑAMIENTO Y MANEJO DEL DUELO",IF(P237=#REF!,"ATENCION A VICTIMAS DE ATAQUE CON AGENTES QUIMICOS ",IF(P237=#REF!,"PRIMEROS AUXILIOS ",IF(P237=#REF!,"DIPLOMADO DE UNIDAD DE CUIDADOS INTENSIVOS (UCI)",IF(P237=#REF!,"MODELO DE ATENCION PARA EVENTOS EMERGENTES EN SALUD MENTAL (CODIGO VERDE)",IF(P237=#REF!,"HUMANIZACION EN EL SERVICIO DE LA SALUD Y BUENAS PRACTICAS EN PACIENTE ",IF(P237=#REF!,"CLINICA DE HERIDAS ",IF(P237=#REF!,"TOMA DE CITOLOGIA CERVICO VAGINAL ",IF(P237=#REF!,"SOPORTE CARDIOVASCULAR AVANZADO (ACLS) ",IF(P237=#REF!,"CAMILLERO ",IF(P237=#REF!,"TOMA DE MUESTRAS Y LABORATORIO ",IF(P237=#REF!,"SOPORTE VITAL BASICO (BLS)",IF(P237=#REF!,"ATENCION A VICTIMAS DE VIOLENCIA SEXUAL ",IF(P237=#REF!,"PROGRAMADO AMPLIADO DE INMUNIZACION (PAI - COVID 19)",IF(P237=#REF!,"ATENCION INTEGRAL EN ENFERMEDADES PREVALENTES EN PRIMERA INFANCIA (AIEPI)",IF(P237=#REF!,"ADMINISTRACION DE MEDICAMENTOS, INYECTOLOGIA  Y CANALIZACION ",IF(P237=#REF!,"OPERADOR DE VEHICULOS DE EMERGENCIA (OVE)",IF(P237=#REF!,"INSTITUCIONES AMIGAS DE LA MUJER Y LA INFANCIA (IAMI)",IF(P237=#REF!,"CUIDADO DEL DONANTE DE ORGANOS",IF(P237=#REF!,"ATENCION A VICTIMAS POR VIOLENCIA DE GENERO",IF(P237=#REF!,"IGUALDAD DE GENERO EN LA SALUD",IF(P237=#REF!,"BRIGADA DE EMERGENCIA",IF(P237=#REF!,"MANEJO DEL DOLOR Y CUIDADOS PALIATIVOS",IF(P237=#REF!,"TOMA DE MUESTRAS Y LABORATORIO POCT",IF(P237=#REF!,"IMPLANTE SUBDERMICO DE DISPOSITIVO INTRAUTERINO",IF(P237=#REF!,"SALUD MENTAL",IF(P237=#REF!,"PRIMEROS AUXILIOS PSICOLOGICOS",IF(P237=#REF!,"ATENCION A VICTIMAS POR CONFLICTO ARMADO",IF(P237=#REF!,"MANIPULACION DE ALIMENTOS Y BPM",IF(P237=#REF!,"ATENCION A PERSONAS CON DISCAPACIDAD",IF(P237=#REF!,"CUIDADO INTEGRAL DEL PACIENTE ADULTO",IF(P237=#REF!,"MANEJO DEFENSIVO",IF(P237=#REF!,"SOPORTE CARDIOVASCULAR AVANZADO NEONATAL",IF(P237=#REF!,"SEGURIDAD DEL PACIENTE",IF(P237=#REF!,"MANEJO DE RESIDUOS HOSPITALARIOS"))))))))))))))))))))))))))))))))))))</f>
        <v>#REF!</v>
      </c>
      <c r="W237" s="26" t="str">
        <f t="shared" ref="W237" si="15">CONCATENATE(E237," ",F237," ",C237," ",D237)</f>
        <v>David Alejandro Alarcon Rivera</v>
      </c>
      <c r="X237" s="26" t="str">
        <f t="shared" ref="X237" si="16">PROPER(W237)</f>
        <v>David Alejandro Alarcon Rivera</v>
      </c>
      <c r="Y237" s="26" t="str">
        <f t="shared" ref="Y237" si="17">CONCATENATE(W237,"-",B237,"-",P237)</f>
        <v>David Alejandro Alarcon Rivera-1085320654-PRIMEROS AUXILIOS</v>
      </c>
    </row>
    <row r="238" spans="1:25" s="19" customFormat="1" x14ac:dyDescent="0.2">
      <c r="A238" s="20">
        <v>237</v>
      </c>
      <c r="B238" s="21">
        <v>27361972</v>
      </c>
      <c r="C238" s="21" t="s">
        <v>227</v>
      </c>
      <c r="D238" s="21" t="s">
        <v>73</v>
      </c>
      <c r="E238" s="21" t="s">
        <v>214</v>
      </c>
      <c r="F238" s="21" t="s">
        <v>215</v>
      </c>
      <c r="G238" s="21">
        <v>29</v>
      </c>
      <c r="H238" s="21" t="s">
        <v>49</v>
      </c>
      <c r="I238" s="21" t="s">
        <v>377</v>
      </c>
      <c r="J238" s="21"/>
      <c r="K238" s="23">
        <v>45686</v>
      </c>
      <c r="L238" s="42">
        <v>40000</v>
      </c>
      <c r="M238" s="21" t="s">
        <v>133</v>
      </c>
      <c r="N238" s="21" t="s">
        <v>386</v>
      </c>
      <c r="O238" s="21" t="s">
        <v>69</v>
      </c>
      <c r="P238" s="21" t="s">
        <v>22</v>
      </c>
      <c r="Q238" s="22">
        <v>30667</v>
      </c>
      <c r="R238" s="21" t="s">
        <v>71</v>
      </c>
      <c r="S238" s="21" t="s">
        <v>216</v>
      </c>
      <c r="T238" s="21">
        <v>3159260229</v>
      </c>
      <c r="U238" s="21" t="s">
        <v>554</v>
      </c>
      <c r="V238" s="26" t="e">
        <f>IF(P238=#REF!,"DIPLOMADO EN ATENCION PRE-HOSPITALARIA",IF(P238=#REF!,"ACOMPAÑAMIENTO Y MANEJO DEL DUELO",IF(P238=#REF!,"ATENCION A VICTIMAS DE ATAQUE CON AGENTES QUIMICOS ",IF(P238=#REF!,"PRIMEROS AUXILIOS ",IF(P238=#REF!,"DIPLOMADO DE UNIDAD DE CUIDADOS INTENSIVOS (UCI)",IF(P238=#REF!,"MODELO DE ATENCION PARA EVENTOS EMERGENTES EN SALUD MENTAL (CODIGO VERDE)",IF(P238=#REF!,"HUMANIZACION EN EL SERVICIO DE LA SALUD Y BUENAS PRACTICAS EN PACIENTE ",IF(P238=#REF!,"CLINICA DE HERIDAS ",IF(P238=#REF!,"TOMA DE CITOLOGIA CERVICO VAGINAL ",IF(P238=#REF!,"SOPORTE CARDIOVASCULAR AVANZADO (ACLS) ",IF(P238=#REF!,"CAMILLERO ",IF(P238=#REF!,"TOMA DE MUESTRAS Y LABORATORIO ",IF(P238=#REF!,"SOPORTE VITAL BASICO (BLS)",IF(P238=#REF!,"ATENCION A VICTIMAS DE VIOLENCIA SEXUAL ",IF(P238=#REF!,"PROGRAMADO AMPLIADO DE INMUNIZACION (PAI - COVID 19)",IF(P238=#REF!,"ATENCION INTEGRAL EN ENFERMEDADES PREVALENTES EN PRIMERA INFANCIA (AIEPI)",IF(P238=#REF!,"ADMINISTRACION DE MEDICAMENTOS, INYECTOLOGIA  Y CANALIZACION ",IF(P238=#REF!,"OPERADOR DE VEHICULOS DE EMERGENCIA (OVE)",IF(P238=#REF!,"INSTITUCIONES AMIGAS DE LA MUJER Y LA INFANCIA (IAMI)",IF(P238=#REF!,"CUIDADO DEL DONANTE DE ORGANOS",IF(P238=#REF!,"ATENCION A VICTIMAS POR VIOLENCIA DE GENERO",IF(P238=#REF!,"IGUALDAD DE GENERO EN LA SALUD",IF(P238=#REF!,"BRIGADA DE EMERGENCIA",IF(P238=#REF!,"MANEJO DEL DOLOR Y CUIDADOS PALIATIVOS",IF(P238=#REF!,"TOMA DE MUESTRAS Y LABORATORIO POCT",IF(P238=#REF!,"IMPLANTE SUBDERMICO DE DISPOSITIVO INTRAUTERINO",IF(P238=#REF!,"SALUD MENTAL",IF(P238=#REF!,"PRIMEROS AUXILIOS PSICOLOGICOS",IF(P238=#REF!,"ATENCION A VICTIMAS POR CONFLICTO ARMADO",IF(P238=#REF!,"MANIPULACION DE ALIMENTOS Y BPM",IF(P238=#REF!,"ATENCION A PERSONAS CON DISCAPACIDAD",IF(P238=#REF!,"CUIDADO INTEGRAL DEL PACIENTE ADULTO",IF(P238=#REF!,"MANEJO DEFENSIVO",IF(P238=#REF!,"SOPORTE CARDIOVASCULAR AVANZADO NEONATAL",IF(P238=#REF!,"SEGURIDAD DEL PACIENTE",IF(P238=#REF!,"MANEJO DE RESIDUOS HOSPITALARIOS"))))))))))))))))))))))))))))))))))))</f>
        <v>#REF!</v>
      </c>
      <c r="W238" s="26" t="str">
        <f t="shared" ref="W238:W245" si="18">CONCATENATE(E238," ",F238," ",C238," ",D238)</f>
        <v>Diana Carolina Guerrero Riascos</v>
      </c>
      <c r="X238" s="26" t="str">
        <f t="shared" ref="X238:X245" si="19">PROPER(W238)</f>
        <v>Diana Carolina Guerrero Riascos</v>
      </c>
      <c r="Y238" s="26" t="str">
        <f t="shared" ref="Y238:Y245" si="20">CONCATENATE(W238,"-",B238,"-",P238)</f>
        <v>Diana Carolina Guerrero Riascos-27361972-PRIMEROS AUXILIOS</v>
      </c>
    </row>
    <row r="239" spans="1:25" s="19" customFormat="1" x14ac:dyDescent="0.2">
      <c r="A239" s="20">
        <v>238</v>
      </c>
      <c r="B239" s="21">
        <v>12752241</v>
      </c>
      <c r="C239" s="21" t="s">
        <v>555</v>
      </c>
      <c r="D239" s="21" t="s">
        <v>548</v>
      </c>
      <c r="E239" s="21" t="s">
        <v>523</v>
      </c>
      <c r="F239" s="21" t="s">
        <v>331</v>
      </c>
      <c r="G239" s="21">
        <v>29</v>
      </c>
      <c r="H239" s="21" t="s">
        <v>49</v>
      </c>
      <c r="I239" s="21" t="s">
        <v>377</v>
      </c>
      <c r="J239" s="21"/>
      <c r="K239" s="23">
        <v>45686</v>
      </c>
      <c r="L239" s="42">
        <v>40000</v>
      </c>
      <c r="M239" s="21" t="s">
        <v>133</v>
      </c>
      <c r="N239" s="21" t="s">
        <v>386</v>
      </c>
      <c r="O239" s="21" t="s">
        <v>69</v>
      </c>
      <c r="P239" s="21" t="s">
        <v>22</v>
      </c>
      <c r="Q239" s="22">
        <v>30231</v>
      </c>
      <c r="R239" s="21" t="s">
        <v>70</v>
      </c>
      <c r="S239" s="21" t="s">
        <v>556</v>
      </c>
      <c r="T239" s="21">
        <v>3122976382</v>
      </c>
      <c r="U239" s="21" t="s">
        <v>557</v>
      </c>
      <c r="V239" s="26" t="e">
        <f>IF(P239=#REF!,"DIPLOMADO EN ATENCION PRE-HOSPITALARIA",IF(P239=#REF!,"ACOMPAÑAMIENTO Y MANEJO DEL DUELO",IF(P239=#REF!,"ATENCION A VICTIMAS DE ATAQUE CON AGENTES QUIMICOS ",IF(P239=#REF!,"PRIMEROS AUXILIOS ",IF(P239=#REF!,"DIPLOMADO DE UNIDAD DE CUIDADOS INTENSIVOS (UCI)",IF(P239=#REF!,"MODELO DE ATENCION PARA EVENTOS EMERGENTES EN SALUD MENTAL (CODIGO VERDE)",IF(P239=#REF!,"HUMANIZACION EN EL SERVICIO DE LA SALUD Y BUENAS PRACTICAS EN PACIENTE ",IF(P239=#REF!,"CLINICA DE HERIDAS ",IF(P239=#REF!,"TOMA DE CITOLOGIA CERVICO VAGINAL ",IF(P239=#REF!,"SOPORTE CARDIOVASCULAR AVANZADO (ACLS) ",IF(P239=#REF!,"CAMILLERO ",IF(P239=#REF!,"TOMA DE MUESTRAS Y LABORATORIO ",IF(P239=#REF!,"SOPORTE VITAL BASICO (BLS)",IF(P239=#REF!,"ATENCION A VICTIMAS DE VIOLENCIA SEXUAL ",IF(P239=#REF!,"PROGRAMADO AMPLIADO DE INMUNIZACION (PAI - COVID 19)",IF(P239=#REF!,"ATENCION INTEGRAL EN ENFERMEDADES PREVALENTES EN PRIMERA INFANCIA (AIEPI)",IF(P239=#REF!,"ADMINISTRACION DE MEDICAMENTOS, INYECTOLOGIA  Y CANALIZACION ",IF(P239=#REF!,"OPERADOR DE VEHICULOS DE EMERGENCIA (OVE)",IF(P239=#REF!,"INSTITUCIONES AMIGAS DE LA MUJER Y LA INFANCIA (IAMI)",IF(P239=#REF!,"CUIDADO DEL DONANTE DE ORGANOS",IF(P239=#REF!,"ATENCION A VICTIMAS POR VIOLENCIA DE GENERO",IF(P239=#REF!,"IGUALDAD DE GENERO EN LA SALUD",IF(P239=#REF!,"BRIGADA DE EMERGENCIA",IF(P239=#REF!,"MANEJO DEL DOLOR Y CUIDADOS PALIATIVOS",IF(P239=#REF!,"TOMA DE MUESTRAS Y LABORATORIO POCT",IF(P239=#REF!,"IMPLANTE SUBDERMICO DE DISPOSITIVO INTRAUTERINO",IF(P239=#REF!,"SALUD MENTAL",IF(P239=#REF!,"PRIMEROS AUXILIOS PSICOLOGICOS",IF(P239=#REF!,"ATENCION A VICTIMAS POR CONFLICTO ARMADO",IF(P239=#REF!,"MANIPULACION DE ALIMENTOS Y BPM",IF(P239=#REF!,"ATENCION A PERSONAS CON DISCAPACIDAD",IF(P239=#REF!,"CUIDADO INTEGRAL DEL PACIENTE ADULTO",IF(P239=#REF!,"MANEJO DEFENSIVO",IF(P239=#REF!,"SOPORTE CARDIOVASCULAR AVANZADO NEONATAL",IF(P239=#REF!,"SEGURIDAD DEL PACIENTE",IF(P239=#REF!,"MANEJO DE RESIDUOS HOSPITALARIOS"))))))))))))))))))))))))))))))))))))</f>
        <v>#REF!</v>
      </c>
      <c r="W239" s="26" t="str">
        <f t="shared" si="18"/>
        <v>Diego Armando Sarasty Recalde</v>
      </c>
      <c r="X239" s="26" t="str">
        <f t="shared" si="19"/>
        <v>Diego Armando Sarasty Recalde</v>
      </c>
      <c r="Y239" s="26" t="str">
        <f t="shared" si="20"/>
        <v>Diego Armando Sarasty Recalde-12752241-PRIMEROS AUXILIOS</v>
      </c>
    </row>
    <row r="240" spans="1:25" s="19" customFormat="1" x14ac:dyDescent="0.2">
      <c r="A240" s="20">
        <v>239</v>
      </c>
      <c r="B240" s="21">
        <v>1085275061</v>
      </c>
      <c r="C240" s="21" t="s">
        <v>558</v>
      </c>
      <c r="D240" s="21" t="s">
        <v>487</v>
      </c>
      <c r="E240" s="21" t="s">
        <v>559</v>
      </c>
      <c r="F240" s="21" t="s">
        <v>560</v>
      </c>
      <c r="G240" s="21">
        <v>29</v>
      </c>
      <c r="H240" s="21" t="s">
        <v>49</v>
      </c>
      <c r="I240" s="21" t="s">
        <v>377</v>
      </c>
      <c r="J240" s="21"/>
      <c r="K240" s="23">
        <v>45686</v>
      </c>
      <c r="L240" s="42">
        <v>40000</v>
      </c>
      <c r="M240" s="21" t="s">
        <v>133</v>
      </c>
      <c r="N240" s="21" t="s">
        <v>386</v>
      </c>
      <c r="O240" s="21" t="s">
        <v>69</v>
      </c>
      <c r="P240" s="21" t="s">
        <v>22</v>
      </c>
      <c r="Q240" s="22">
        <v>32701</v>
      </c>
      <c r="R240" s="21" t="s">
        <v>71</v>
      </c>
      <c r="S240" s="21" t="s">
        <v>562</v>
      </c>
      <c r="T240" s="21">
        <v>3104224640</v>
      </c>
      <c r="U240" s="21" t="s">
        <v>561</v>
      </c>
      <c r="V240" s="26" t="e">
        <f>IF(P240=#REF!,"DIPLOMADO EN ATENCION PRE-HOSPITALARIA",IF(P240=#REF!,"ACOMPAÑAMIENTO Y MANEJO DEL DUELO",IF(P240=#REF!,"ATENCION A VICTIMAS DE ATAQUE CON AGENTES QUIMICOS ",IF(P240=#REF!,"PRIMEROS AUXILIOS ",IF(P240=#REF!,"DIPLOMADO DE UNIDAD DE CUIDADOS INTENSIVOS (UCI)",IF(P240=#REF!,"MODELO DE ATENCION PARA EVENTOS EMERGENTES EN SALUD MENTAL (CODIGO VERDE)",IF(P240=#REF!,"HUMANIZACION EN EL SERVICIO DE LA SALUD Y BUENAS PRACTICAS EN PACIENTE ",IF(P240=#REF!,"CLINICA DE HERIDAS ",IF(P240=#REF!,"TOMA DE CITOLOGIA CERVICO VAGINAL ",IF(P240=#REF!,"SOPORTE CARDIOVASCULAR AVANZADO (ACLS) ",IF(P240=#REF!,"CAMILLERO ",IF(P240=#REF!,"TOMA DE MUESTRAS Y LABORATORIO ",IF(P240=#REF!,"SOPORTE VITAL BASICO (BLS)",IF(P240=#REF!,"ATENCION A VICTIMAS DE VIOLENCIA SEXUAL ",IF(P240=#REF!,"PROGRAMADO AMPLIADO DE INMUNIZACION (PAI - COVID 19)",IF(P240=#REF!,"ATENCION INTEGRAL EN ENFERMEDADES PREVALENTES EN PRIMERA INFANCIA (AIEPI)",IF(P240=#REF!,"ADMINISTRACION DE MEDICAMENTOS, INYECTOLOGIA  Y CANALIZACION ",IF(P240=#REF!,"OPERADOR DE VEHICULOS DE EMERGENCIA (OVE)",IF(P240=#REF!,"INSTITUCIONES AMIGAS DE LA MUJER Y LA INFANCIA (IAMI)",IF(P240=#REF!,"CUIDADO DEL DONANTE DE ORGANOS",IF(P240=#REF!,"ATENCION A VICTIMAS POR VIOLENCIA DE GENERO",IF(P240=#REF!,"IGUALDAD DE GENERO EN LA SALUD",IF(P240=#REF!,"BRIGADA DE EMERGENCIA",IF(P240=#REF!,"MANEJO DEL DOLOR Y CUIDADOS PALIATIVOS",IF(P240=#REF!,"TOMA DE MUESTRAS Y LABORATORIO POCT",IF(P240=#REF!,"IMPLANTE SUBDERMICO DE DISPOSITIVO INTRAUTERINO",IF(P240=#REF!,"SALUD MENTAL",IF(P240=#REF!,"PRIMEROS AUXILIOS PSICOLOGICOS",IF(P240=#REF!,"ATENCION A VICTIMAS POR CONFLICTO ARMADO",IF(P240=#REF!,"MANIPULACION DE ALIMENTOS Y BPM",IF(P240=#REF!,"ATENCION A PERSONAS CON DISCAPACIDAD",IF(P240=#REF!,"CUIDADO INTEGRAL DEL PACIENTE ADULTO",IF(P240=#REF!,"MANEJO DEFENSIVO",IF(P240=#REF!,"SOPORTE CARDIOVASCULAR AVANZADO NEONATAL",IF(P240=#REF!,"SEGURIDAD DEL PACIENTE",IF(P240=#REF!,"MANEJO DE RESIDUOS HOSPITALARIOS"))))))))))))))))))))))))))))))))))))</f>
        <v>#REF!</v>
      </c>
      <c r="W240" s="26" t="str">
        <f t="shared" si="18"/>
        <v>Katheryn Brigitte Arciniegas Bastidas</v>
      </c>
      <c r="X240" s="26" t="str">
        <f t="shared" si="19"/>
        <v>Katheryn Brigitte Arciniegas Bastidas</v>
      </c>
      <c r="Y240" s="26" t="str">
        <f t="shared" si="20"/>
        <v>Katheryn Brigitte Arciniegas Bastidas-1085275061-PRIMEROS AUXILIOS</v>
      </c>
    </row>
    <row r="241" spans="1:25" s="19" customFormat="1" x14ac:dyDescent="0.2">
      <c r="A241" s="20">
        <v>240</v>
      </c>
      <c r="B241" s="21">
        <v>59396138</v>
      </c>
      <c r="C241" s="21" t="s">
        <v>150</v>
      </c>
      <c r="D241" s="21" t="s">
        <v>222</v>
      </c>
      <c r="E241" s="21" t="s">
        <v>564</v>
      </c>
      <c r="F241" s="21" t="s">
        <v>50</v>
      </c>
      <c r="G241" s="21">
        <v>30</v>
      </c>
      <c r="H241" s="21" t="s">
        <v>49</v>
      </c>
      <c r="I241" s="21" t="s">
        <v>376</v>
      </c>
      <c r="J241" s="21"/>
      <c r="K241" s="23">
        <v>45688</v>
      </c>
      <c r="L241" s="44">
        <v>32000</v>
      </c>
      <c r="M241" s="48" t="s">
        <v>106</v>
      </c>
      <c r="N241" s="21" t="s">
        <v>387</v>
      </c>
      <c r="O241" s="21" t="s">
        <v>95</v>
      </c>
      <c r="P241" s="21" t="s">
        <v>27</v>
      </c>
      <c r="Q241" s="22">
        <v>30142</v>
      </c>
      <c r="R241" s="21" t="s">
        <v>71</v>
      </c>
      <c r="S241" s="21" t="s">
        <v>107</v>
      </c>
      <c r="T241" s="21">
        <v>3168902712</v>
      </c>
      <c r="U241" s="21" t="s">
        <v>565</v>
      </c>
      <c r="V241" s="26" t="e">
        <f>IF(P241=#REF!,"DIPLOMADO EN ATENCION PRE-HOSPITALARIA",IF(P241=#REF!,"ACOMPAÑAMIENTO Y MANEJO DEL DUELO",IF(P241=#REF!,"ATENCION A VICTIMAS DE ATAQUE CON AGENTES QUIMICOS ",IF(P241=#REF!,"PRIMEROS AUXILIOS ",IF(P241=#REF!,"DIPLOMADO DE UNIDAD DE CUIDADOS INTENSIVOS (UCI)",IF(P241=#REF!,"MODELO DE ATENCION PARA EVENTOS EMERGENTES EN SALUD MENTAL (CODIGO VERDE)",IF(P241=#REF!,"HUMANIZACION EN EL SERVICIO DE LA SALUD Y BUENAS PRACTICAS EN PACIENTE ",IF(P241=#REF!,"CLINICA DE HERIDAS ",IF(P241=#REF!,"TOMA DE CITOLOGIA CERVICO VAGINAL ",IF(P241=#REF!,"SOPORTE CARDIOVASCULAR AVANZADO (ACLS) ",IF(P241=#REF!,"CAMILLERO ",IF(P241=#REF!,"TOMA DE MUESTRAS Y LABORATORIO ",IF(P241=#REF!,"SOPORTE VITAL BASICO (BLS)",IF(P241=#REF!,"ATENCION A VICTIMAS DE VIOLENCIA SEXUAL ",IF(P241=#REF!,"PROGRAMADO AMPLIADO DE INMUNIZACION (PAI - COVID 19)",IF(P241=#REF!,"ATENCION INTEGRAL EN ENFERMEDADES PREVALENTES EN PRIMERA INFANCIA (AIEPI)",IF(P241=#REF!,"ADMINISTRACION DE MEDICAMENTOS, INYECTOLOGIA  Y CANALIZACION ",IF(P241=#REF!,"OPERADOR DE VEHICULOS DE EMERGENCIA (OVE)",IF(P241=#REF!,"INSTITUCIONES AMIGAS DE LA MUJER Y LA INFANCIA (IAMI)",IF(P241=#REF!,"CUIDADO DEL DONANTE DE ORGANOS",IF(P241=#REF!,"ATENCION A VICTIMAS POR VIOLENCIA DE GENERO",IF(P241=#REF!,"IGUALDAD DE GENERO EN LA SALUD",IF(P241=#REF!,"BRIGADA DE EMERGENCIA",IF(P241=#REF!,"MANEJO DEL DOLOR Y CUIDADOS PALIATIVOS",IF(P241=#REF!,"TOMA DE MUESTRAS Y LABORATORIO POCT",IF(P241=#REF!,"IMPLANTE SUBDERMICO DE DISPOSITIVO INTRAUTERINO",IF(P241=#REF!,"SALUD MENTAL",IF(P241=#REF!,"PRIMEROS AUXILIOS PSICOLOGICOS",IF(P241=#REF!,"ATENCION A VICTIMAS POR CONFLICTO ARMADO",IF(P241=#REF!,"MANIPULACION DE ALIMENTOS Y BPM",IF(P241=#REF!,"ATENCION A PERSONAS CON DISCAPACIDAD",IF(P241=#REF!,"CUIDADO INTEGRAL DEL PACIENTE ADULTO",IF(P241=#REF!,"MANEJO DEFENSIVO",IF(P241=#REF!,"SOPORTE CARDIOVASCULAR AVANZADO NEONATAL",IF(P241=#REF!,"SEGURIDAD DEL PACIENTE",IF(P241=#REF!,"MANEJO DE RESIDUOS HOSPITALARIOS"))))))))))))))))))))))))))))))))))))</f>
        <v>#REF!</v>
      </c>
      <c r="W241" s="26" t="str">
        <f t="shared" si="18"/>
        <v>Mirta Elizabeth Rodriguez Andrade</v>
      </c>
      <c r="X241" s="26" t="str">
        <f t="shared" si="19"/>
        <v>Mirta Elizabeth Rodriguez Andrade</v>
      </c>
      <c r="Y241" s="26" t="str">
        <f t="shared" si="20"/>
        <v>Mirta Elizabeth Rodriguez Andrade-59396138-VIOLENCIA SEXUAL</v>
      </c>
    </row>
    <row r="242" spans="1:25" s="19" customFormat="1" x14ac:dyDescent="0.2">
      <c r="A242" s="20">
        <v>241</v>
      </c>
      <c r="B242" s="21">
        <v>59396138</v>
      </c>
      <c r="C242" s="21" t="s">
        <v>150</v>
      </c>
      <c r="D242" s="21" t="s">
        <v>222</v>
      </c>
      <c r="E242" s="21" t="s">
        <v>564</v>
      </c>
      <c r="F242" s="21" t="s">
        <v>50</v>
      </c>
      <c r="G242" s="21">
        <v>29</v>
      </c>
      <c r="H242" s="21" t="s">
        <v>49</v>
      </c>
      <c r="I242" s="21" t="s">
        <v>376</v>
      </c>
      <c r="J242" s="21"/>
      <c r="K242" s="23">
        <v>45688</v>
      </c>
      <c r="L242" s="44">
        <v>32000</v>
      </c>
      <c r="M242" s="21" t="s">
        <v>106</v>
      </c>
      <c r="N242" s="21" t="s">
        <v>387</v>
      </c>
      <c r="O242" s="21" t="s">
        <v>95</v>
      </c>
      <c r="P242" s="21" t="s">
        <v>20</v>
      </c>
      <c r="Q242" s="22">
        <v>30142</v>
      </c>
      <c r="R242" s="21" t="s">
        <v>71</v>
      </c>
      <c r="S242" s="21" t="s">
        <v>107</v>
      </c>
      <c r="T242" s="21">
        <v>3168902712</v>
      </c>
      <c r="U242" s="21" t="s">
        <v>565</v>
      </c>
      <c r="V242" s="26" t="e">
        <f>IF(P242=#REF!,"DIPLOMADO EN ATENCION PRE-HOSPITALARIA",IF(P242=#REF!,"ACOMPAÑAMIENTO Y MANEJO DEL DUELO",IF(P242=#REF!,"ATENCION A VICTIMAS DE ATAQUE CON AGENTES QUIMICOS ",IF(P242=#REF!,"PRIMEROS AUXILIOS ",IF(P242=#REF!,"DIPLOMADO DE UNIDAD DE CUIDADOS INTENSIVOS (UCI)",IF(P242=#REF!,"MODELO DE ATENCION PARA EVENTOS EMERGENTES EN SALUD MENTAL (CODIGO VERDE)",IF(P242=#REF!,"HUMANIZACION EN EL SERVICIO DE LA SALUD Y BUENAS PRACTICAS EN PACIENTE ",IF(P242=#REF!,"CLINICA DE HERIDAS ",IF(P242=#REF!,"TOMA DE CITOLOGIA CERVICO VAGINAL ",IF(P242=#REF!,"SOPORTE CARDIOVASCULAR AVANZADO (ACLS) ",IF(P242=#REF!,"CAMILLERO ",IF(P242=#REF!,"TOMA DE MUESTRAS Y LABORATORIO ",IF(P242=#REF!,"SOPORTE VITAL BASICO (BLS)",IF(P242=#REF!,"ATENCION A VICTIMAS DE VIOLENCIA SEXUAL ",IF(P242=#REF!,"PROGRAMADO AMPLIADO DE INMUNIZACION (PAI - COVID 19)",IF(P242=#REF!,"ATENCION INTEGRAL EN ENFERMEDADES PREVALENTES EN PRIMERA INFANCIA (AIEPI)",IF(P242=#REF!,"ADMINISTRACION DE MEDICAMENTOS, INYECTOLOGIA  Y CANALIZACION ",IF(P242=#REF!,"OPERADOR DE VEHICULOS DE EMERGENCIA (OVE)",IF(P242=#REF!,"INSTITUCIONES AMIGAS DE LA MUJER Y LA INFANCIA (IAMI)",IF(P242=#REF!,"CUIDADO DEL DONANTE DE ORGANOS",IF(P242=#REF!,"ATENCION A VICTIMAS POR VIOLENCIA DE GENERO",IF(P242=#REF!,"IGUALDAD DE GENERO EN LA SALUD",IF(P242=#REF!,"BRIGADA DE EMERGENCIA",IF(P242=#REF!,"MANEJO DEL DOLOR Y CUIDADOS PALIATIVOS",IF(P242=#REF!,"TOMA DE MUESTRAS Y LABORATORIO POCT",IF(P242=#REF!,"IMPLANTE SUBDERMICO DE DISPOSITIVO INTRAUTERINO",IF(P242=#REF!,"SALUD MENTAL",IF(P242=#REF!,"PRIMEROS AUXILIOS PSICOLOGICOS",IF(P242=#REF!,"ATENCION A VICTIMAS POR CONFLICTO ARMADO",IF(P242=#REF!,"MANIPULACION DE ALIMENTOS Y BPM",IF(P242=#REF!,"ATENCION A PERSONAS CON DISCAPACIDAD",IF(P242=#REF!,"CUIDADO INTEGRAL DEL PACIENTE ADULTO",IF(P242=#REF!,"MANEJO DEFENSIVO",IF(P242=#REF!,"SOPORTE CARDIOVASCULAR AVANZADO NEONATAL",IF(P242=#REF!,"SEGURIDAD DEL PACIENTE",IF(P242=#REF!,"MANEJO DE RESIDUOS HOSPITALARIOS"))))))))))))))))))))))))))))))))))))</f>
        <v>#REF!</v>
      </c>
      <c r="W242" s="26" t="str">
        <f t="shared" si="18"/>
        <v>Mirta Elizabeth Rodriguez Andrade</v>
      </c>
      <c r="X242" s="26" t="str">
        <f t="shared" si="19"/>
        <v>Mirta Elizabeth Rodriguez Andrade</v>
      </c>
      <c r="Y242" s="26" t="str">
        <f t="shared" si="20"/>
        <v>Mirta Elizabeth Rodriguez Andrade-59396138-DUELO</v>
      </c>
    </row>
    <row r="243" spans="1:25" s="19" customFormat="1" x14ac:dyDescent="0.2">
      <c r="A243" s="20">
        <v>242</v>
      </c>
      <c r="B243" s="21">
        <v>59396138</v>
      </c>
      <c r="C243" s="21" t="s">
        <v>150</v>
      </c>
      <c r="D243" s="21" t="s">
        <v>222</v>
      </c>
      <c r="E243" s="21" t="s">
        <v>564</v>
      </c>
      <c r="F243" s="21" t="s">
        <v>50</v>
      </c>
      <c r="G243" s="21">
        <v>30</v>
      </c>
      <c r="H243" s="21" t="s">
        <v>49</v>
      </c>
      <c r="I243" s="21" t="s">
        <v>376</v>
      </c>
      <c r="J243" s="21"/>
      <c r="K243" s="23">
        <v>45688</v>
      </c>
      <c r="L243" s="44">
        <v>32000</v>
      </c>
      <c r="M243" s="37" t="s">
        <v>106</v>
      </c>
      <c r="N243" s="21" t="s">
        <v>387</v>
      </c>
      <c r="O243" s="21" t="s">
        <v>95</v>
      </c>
      <c r="P243" s="21" t="s">
        <v>21</v>
      </c>
      <c r="Q243" s="22">
        <v>30142</v>
      </c>
      <c r="R243" s="21" t="s">
        <v>71</v>
      </c>
      <c r="S243" s="21" t="s">
        <v>107</v>
      </c>
      <c r="T243" s="21">
        <v>3168902712</v>
      </c>
      <c r="U243" s="21" t="s">
        <v>565</v>
      </c>
      <c r="V243" s="26" t="e">
        <f>IF(P243=#REF!,"DIPLOMADO EN ATENCION PRE-HOSPITALARIA",IF(P243=#REF!,"ACOMPAÑAMIENTO Y MANEJO DEL DUELO",IF(P243=#REF!,"ATENCION A VICTIMAS DE ATAQUE CON AGENTES QUIMICOS ",IF(P243=#REF!,"PRIMEROS AUXILIOS ",IF(P243=#REF!,"DIPLOMADO DE UNIDAD DE CUIDADOS INTENSIVOS (UCI)",IF(P243=#REF!,"MODELO DE ATENCION PARA EVENTOS EMERGENTES EN SALUD MENTAL (CODIGO VERDE)",IF(P243=#REF!,"HUMANIZACION EN EL SERVICIO DE LA SALUD Y BUENAS PRACTICAS EN PACIENTE ",IF(P243=#REF!,"CLINICA DE HERIDAS ",IF(P243=#REF!,"TOMA DE CITOLOGIA CERVICO VAGINAL ",IF(P243=#REF!,"SOPORTE CARDIOVASCULAR AVANZADO (ACLS) ",IF(P243=#REF!,"CAMILLERO ",IF(P243=#REF!,"TOMA DE MUESTRAS Y LABORATORIO ",IF(P243=#REF!,"SOPORTE VITAL BASICO (BLS)",IF(P243=#REF!,"ATENCION A VICTIMAS DE VIOLENCIA SEXUAL ",IF(P243=#REF!,"PROGRAMADO AMPLIADO DE INMUNIZACION (PAI - COVID 19)",IF(P243=#REF!,"ATENCION INTEGRAL EN ENFERMEDADES PREVALENTES EN PRIMERA INFANCIA (AIEPI)",IF(P243=#REF!,"ADMINISTRACION DE MEDICAMENTOS, INYECTOLOGIA  Y CANALIZACION ",IF(P243=#REF!,"OPERADOR DE VEHICULOS DE EMERGENCIA (OVE)",IF(P243=#REF!,"INSTITUCIONES AMIGAS DE LA MUJER Y LA INFANCIA (IAMI)",IF(P243=#REF!,"CUIDADO DEL DONANTE DE ORGANOS",IF(P243=#REF!,"ATENCION A VICTIMAS POR VIOLENCIA DE GENERO",IF(P243=#REF!,"IGUALDAD DE GENERO EN LA SALUD",IF(P243=#REF!,"BRIGADA DE EMERGENCIA",IF(P243=#REF!,"MANEJO DEL DOLOR Y CUIDADOS PALIATIVOS",IF(P243=#REF!,"TOMA DE MUESTRAS Y LABORATORIO POCT",IF(P243=#REF!,"IMPLANTE SUBDERMICO DE DISPOSITIVO INTRAUTERINO",IF(P243=#REF!,"SALUD MENTAL",IF(P243=#REF!,"PRIMEROS AUXILIOS PSICOLOGICOS",IF(P243=#REF!,"ATENCION A VICTIMAS POR CONFLICTO ARMADO",IF(P243=#REF!,"MANIPULACION DE ALIMENTOS Y BPM",IF(P243=#REF!,"ATENCION A PERSONAS CON DISCAPACIDAD",IF(P243=#REF!,"CUIDADO INTEGRAL DEL PACIENTE ADULTO",IF(P243=#REF!,"MANEJO DEFENSIVO",IF(P243=#REF!,"SOPORTE CARDIOVASCULAR AVANZADO NEONATAL",IF(P243=#REF!,"SEGURIDAD DEL PACIENTE",IF(P243=#REF!,"MANEJO DE RESIDUOS HOSPITALARIOS"))))))))))))))))))))))))))))))))))))</f>
        <v>#REF!</v>
      </c>
      <c r="W243" s="26" t="str">
        <f t="shared" si="18"/>
        <v>Mirta Elizabeth Rodriguez Andrade</v>
      </c>
      <c r="X243" s="26" t="str">
        <f t="shared" si="19"/>
        <v>Mirta Elizabeth Rodriguez Andrade</v>
      </c>
      <c r="Y243" s="26" t="str">
        <f t="shared" si="20"/>
        <v>Mirta Elizabeth Rodriguez Andrade-59396138-QUIMICOS</v>
      </c>
    </row>
    <row r="244" spans="1:25" x14ac:dyDescent="0.2">
      <c r="A244" s="20">
        <v>243</v>
      </c>
      <c r="B244" s="21">
        <v>1010207782</v>
      </c>
      <c r="C244" s="21" t="s">
        <v>395</v>
      </c>
      <c r="D244" s="21" t="s">
        <v>566</v>
      </c>
      <c r="E244" s="21" t="s">
        <v>567</v>
      </c>
      <c r="F244" s="21" t="s">
        <v>50</v>
      </c>
      <c r="G244" s="21">
        <v>30</v>
      </c>
      <c r="H244" s="21" t="s">
        <v>49</v>
      </c>
      <c r="I244" s="21" t="s">
        <v>376</v>
      </c>
      <c r="J244" s="21"/>
      <c r="K244" s="23">
        <v>45687</v>
      </c>
      <c r="L244" s="42">
        <v>32000</v>
      </c>
      <c r="M244" s="21" t="s">
        <v>106</v>
      </c>
      <c r="N244" s="21" t="s">
        <v>387</v>
      </c>
      <c r="O244" s="21" t="s">
        <v>69</v>
      </c>
      <c r="P244" s="21" t="s">
        <v>41</v>
      </c>
      <c r="Q244" s="22">
        <v>34031</v>
      </c>
      <c r="R244" s="21" t="s">
        <v>71</v>
      </c>
      <c r="S244" s="63" t="s">
        <v>83</v>
      </c>
      <c r="T244" s="21">
        <v>3168247033</v>
      </c>
      <c r="U244" s="21" t="s">
        <v>568</v>
      </c>
      <c r="V244" s="26" t="e">
        <f>IF(P244=#REF!,"DIPLOMADO EN ATENCION PRE-HOSPITALARIA",IF(P244=#REF!,"ACOMPAÑAMIENTO Y MANEJO DEL DUELO",IF(P244=#REF!,"ATENCION A VICTIMAS DE ATAQUE CON AGENTES QUIMICOS ",IF(P244=#REF!,"PRIMEROS AUXILIOS ",IF(P244=#REF!,"DIPLOMADO DE UNIDAD DE CUIDADOS INTENSIVOS (UCI)",IF(P244=#REF!,"MODELO DE ATENCION PARA EVENTOS EMERGENTES EN SALUD MENTAL (CODIGO VERDE)",IF(P244=#REF!,"HUMANIZACION EN EL SERVICIO DE LA SALUD Y BUENAS PRACTICAS EN PACIENTE ",IF(P244=#REF!,"CLINICA DE HERIDAS ",IF(P244=#REF!,"TOMA DE CITOLOGIA CERVICO VAGINAL ",IF(P244=#REF!,"SOPORTE CARDIOVASCULAR AVANZADO (ACLS) ",IF(P244=#REF!,"CAMILLERO ",IF(P244=#REF!,"TOMA DE MUESTRAS Y LABORATORIO ",IF(P244=#REF!,"SOPORTE VITAL BASICO (BLS)",IF(P244=#REF!,"ATENCION A VICTIMAS DE VIOLENCIA SEXUAL ",IF(P244=#REF!,"PROGRAMADO AMPLIADO DE INMUNIZACION (PAI - COVID 19)",IF(P244=#REF!,"ATENCION INTEGRAL EN ENFERMEDADES PREVALENTES EN PRIMERA INFANCIA (AIEPI)",IF(P244=#REF!,"ADMINISTRACION DE MEDICAMENTOS, INYECTOLOGIA  Y CANALIZACION ",IF(P244=#REF!,"OPERADOR DE VEHICULOS DE EMERGENCIA (OVE)",IF(P244=#REF!,"INSTITUCIONES AMIGAS DE LA MUJER Y LA INFANCIA (IAMI)",IF(P244=#REF!,"CUIDADO DEL DONANTE DE ORGANOS",IF(P244=#REF!,"ATENCION A VICTIMAS POR VIOLENCIA DE GENERO",IF(P244=#REF!,"IGUALDAD DE GENERO EN LA SALUD",IF(P244=#REF!,"BRIGADA DE EMERGENCIA",IF(P244=#REF!,"MANEJO DEL DOLOR Y CUIDADOS PALIATIVOS",IF(P244=#REF!,"TOMA DE MUESTRAS Y LABORATORIO POCT",IF(P244=#REF!,"IMPLANTE SUBDERMICO DE DISPOSITIVO INTRAUTERINO",IF(P244=#REF!,"SALUD MENTAL",IF(P244=#REF!,"PRIMEROS AUXILIOS PSICOLOGICOS",IF(P244=#REF!,"ATENCION A VICTIMAS POR CONFLICTO ARMADO",IF(P244=#REF!,"MANIPULACION DE ALIMENTOS Y BPM",IF(P244=#REF!,"ATENCION A PERSONAS CON DISCAPACIDAD",IF(P244=#REF!,"CUIDADO INTEGRAL DEL PACIENTE ADULTO",IF(P244=#REF!,"MANEJO DEFENSIVO",IF(P244=#REF!,"SOPORTE CARDIOVASCULAR AVANZADO NEONATAL",IF(P244=#REF!,"SEGURIDAD DEL PACIENTE",IF(P244=#REF!,"MANEJO DE RESIDUOS HOSPITALARIOS"))))))))))))))))))))))))))))))))))))</f>
        <v>#REF!</v>
      </c>
      <c r="W244" s="26" t="str">
        <f t="shared" si="18"/>
        <v>Wanda Elizabeth Quiñones Angulo</v>
      </c>
      <c r="X244" s="26" t="str">
        <f t="shared" si="19"/>
        <v>Wanda Elizabeth Quiñones Angulo</v>
      </c>
      <c r="Y244" s="26" t="str">
        <f t="shared" si="20"/>
        <v>Wanda Elizabeth Quiñones Angulo-1010207782-PACIENTE</v>
      </c>
    </row>
    <row r="245" spans="1:25" x14ac:dyDescent="0.2">
      <c r="A245" s="36">
        <v>244</v>
      </c>
      <c r="B245" s="37">
        <v>1010207782</v>
      </c>
      <c r="C245" s="37" t="s">
        <v>395</v>
      </c>
      <c r="D245" s="37" t="s">
        <v>566</v>
      </c>
      <c r="E245" s="37" t="s">
        <v>567</v>
      </c>
      <c r="F245" s="37" t="s">
        <v>50</v>
      </c>
      <c r="G245" s="37">
        <v>29</v>
      </c>
      <c r="H245" s="37" t="s">
        <v>49</v>
      </c>
      <c r="I245" s="37" t="s">
        <v>376</v>
      </c>
      <c r="J245" s="37"/>
      <c r="K245" s="39">
        <v>45687</v>
      </c>
      <c r="L245" s="44">
        <v>32000</v>
      </c>
      <c r="M245" s="37" t="s">
        <v>106</v>
      </c>
      <c r="N245" s="37" t="s">
        <v>387</v>
      </c>
      <c r="O245" s="37" t="s">
        <v>69</v>
      </c>
      <c r="P245" s="37" t="s">
        <v>21</v>
      </c>
      <c r="Q245" s="38">
        <v>34031</v>
      </c>
      <c r="R245" s="37" t="s">
        <v>71</v>
      </c>
      <c r="S245" s="65" t="s">
        <v>83</v>
      </c>
      <c r="T245" s="37">
        <v>3168247033</v>
      </c>
      <c r="U245" s="37" t="s">
        <v>568</v>
      </c>
      <c r="V245" s="41" t="e">
        <f>IF(P245=#REF!,"DIPLOMADO EN ATENCION PRE-HOSPITALARIA",IF(P245=#REF!,"ACOMPAÑAMIENTO Y MANEJO DEL DUELO",IF(P245=#REF!,"ATENCION A VICTIMAS DE ATAQUE CON AGENTES QUIMICOS ",IF(P245=#REF!,"PRIMEROS AUXILIOS ",IF(P245=#REF!,"DIPLOMADO DE UNIDAD DE CUIDADOS INTENSIVOS (UCI)",IF(P245=#REF!,"MODELO DE ATENCION PARA EVENTOS EMERGENTES EN SALUD MENTAL (CODIGO VERDE)",IF(P245=#REF!,"HUMANIZACION EN EL SERVICIO DE LA SALUD Y BUENAS PRACTICAS EN PACIENTE ",IF(P245=#REF!,"CLINICA DE HERIDAS ",IF(P245=#REF!,"TOMA DE CITOLOGIA CERVICO VAGINAL ",IF(P245=#REF!,"SOPORTE CARDIOVASCULAR AVANZADO (ACLS) ",IF(P245=#REF!,"CAMILLERO ",IF(P245=#REF!,"TOMA DE MUESTRAS Y LABORATORIO ",IF(P245=#REF!,"SOPORTE VITAL BASICO (BLS)",IF(P245=#REF!,"ATENCION A VICTIMAS DE VIOLENCIA SEXUAL ",IF(P245=#REF!,"PROGRAMADO AMPLIADO DE INMUNIZACION (PAI - COVID 19)",IF(P245=#REF!,"ATENCION INTEGRAL EN ENFERMEDADES PREVALENTES EN PRIMERA INFANCIA (AIEPI)",IF(P245=#REF!,"ADMINISTRACION DE MEDICAMENTOS, INYECTOLOGIA  Y CANALIZACION ",IF(P245=#REF!,"OPERADOR DE VEHICULOS DE EMERGENCIA (OVE)",IF(P245=#REF!,"INSTITUCIONES AMIGAS DE LA MUJER Y LA INFANCIA (IAMI)",IF(P245=#REF!,"CUIDADO DEL DONANTE DE ORGANOS",IF(P245=#REF!,"ATENCION A VICTIMAS POR VIOLENCIA DE GENERO",IF(P245=#REF!,"IGUALDAD DE GENERO EN LA SALUD",IF(P245=#REF!,"BRIGADA DE EMERGENCIA",IF(P245=#REF!,"MANEJO DEL DOLOR Y CUIDADOS PALIATIVOS",IF(P245=#REF!,"TOMA DE MUESTRAS Y LABORATORIO POCT",IF(P245=#REF!,"IMPLANTE SUBDERMICO DE DISPOSITIVO INTRAUTERINO",IF(P245=#REF!,"SALUD MENTAL",IF(P245=#REF!,"PRIMEROS AUXILIOS PSICOLOGICOS",IF(P245=#REF!,"ATENCION A VICTIMAS POR CONFLICTO ARMADO",IF(P245=#REF!,"MANIPULACION DE ALIMENTOS Y BPM",IF(P245=#REF!,"ATENCION A PERSONAS CON DISCAPACIDAD",IF(P245=#REF!,"CUIDADO INTEGRAL DEL PACIENTE ADULTO",IF(P245=#REF!,"MANEJO DEFENSIVO",IF(P245=#REF!,"SOPORTE CARDIOVASCULAR AVANZADO NEONATAL",IF(P245=#REF!,"SEGURIDAD DEL PACIENTE",IF(P245=#REF!,"MANEJO DE RESIDUOS HOSPITALARIOS"))))))))))))))))))))))))))))))))))))</f>
        <v>#REF!</v>
      </c>
      <c r="W245" s="41" t="str">
        <f t="shared" si="18"/>
        <v>Wanda Elizabeth Quiñones Angulo</v>
      </c>
      <c r="X245" s="41" t="str">
        <f t="shared" si="19"/>
        <v>Wanda Elizabeth Quiñones Angulo</v>
      </c>
      <c r="Y245" s="41" t="str">
        <f t="shared" si="20"/>
        <v>Wanda Elizabeth Quiñones Angulo-1010207782-QUIMICOS</v>
      </c>
    </row>
    <row r="246" spans="1:25" s="19" customFormat="1" x14ac:dyDescent="0.2">
      <c r="A246" s="20">
        <v>245</v>
      </c>
      <c r="B246" s="21">
        <v>1010207782</v>
      </c>
      <c r="C246" s="21" t="s">
        <v>395</v>
      </c>
      <c r="D246" s="21" t="s">
        <v>566</v>
      </c>
      <c r="E246" s="21" t="s">
        <v>567</v>
      </c>
      <c r="F246" s="21" t="s">
        <v>50</v>
      </c>
      <c r="G246" s="21">
        <v>28</v>
      </c>
      <c r="H246" s="21" t="s">
        <v>49</v>
      </c>
      <c r="I246" s="21" t="s">
        <v>376</v>
      </c>
      <c r="J246" s="21"/>
      <c r="K246" s="23">
        <v>45687</v>
      </c>
      <c r="L246" s="42">
        <v>32000</v>
      </c>
      <c r="M246" s="21" t="s">
        <v>106</v>
      </c>
      <c r="N246" s="21" t="s">
        <v>387</v>
      </c>
      <c r="O246" s="21" t="s">
        <v>69</v>
      </c>
      <c r="P246" s="21" t="s">
        <v>20</v>
      </c>
      <c r="Q246" s="22">
        <v>34031</v>
      </c>
      <c r="R246" s="21" t="s">
        <v>71</v>
      </c>
      <c r="S246" s="63" t="s">
        <v>83</v>
      </c>
      <c r="T246" s="21">
        <v>3168247033</v>
      </c>
      <c r="U246" s="21" t="s">
        <v>568</v>
      </c>
      <c r="V246" s="26" t="e">
        <f>IF(P246=#REF!,"DIPLOMADO EN ATENCION PRE-HOSPITALARIA",IF(P246=#REF!,"ACOMPAÑAMIENTO Y MANEJO DEL DUELO",IF(P246=#REF!,"ATENCION A VICTIMAS DE ATAQUE CON AGENTES QUIMICOS ",IF(P246=#REF!,"PRIMEROS AUXILIOS ",IF(P246=#REF!,"DIPLOMADO DE UNIDAD DE CUIDADOS INTENSIVOS (UCI)",IF(P246=#REF!,"MODELO DE ATENCION PARA EVENTOS EMERGENTES EN SALUD MENTAL (CODIGO VERDE)",IF(P246=#REF!,"HUMANIZACION EN EL SERVICIO DE LA SALUD Y BUENAS PRACTICAS EN PACIENTE ",IF(P246=#REF!,"CLINICA DE HERIDAS ",IF(P246=#REF!,"TOMA DE CITOLOGIA CERVICO VAGINAL ",IF(P246=#REF!,"SOPORTE CARDIOVASCULAR AVANZADO (ACLS) ",IF(P246=#REF!,"CAMILLERO ",IF(P246=#REF!,"TOMA DE MUESTRAS Y LABORATORIO ",IF(P246=#REF!,"SOPORTE VITAL BASICO (BLS)",IF(P246=#REF!,"ATENCION A VICTIMAS DE VIOLENCIA SEXUAL ",IF(P246=#REF!,"PROGRAMADO AMPLIADO DE INMUNIZACION (PAI - COVID 19)",IF(P246=#REF!,"ATENCION INTEGRAL EN ENFERMEDADES PREVALENTES EN PRIMERA INFANCIA (AIEPI)",IF(P246=#REF!,"ADMINISTRACION DE MEDICAMENTOS, INYECTOLOGIA  Y CANALIZACION ",IF(P246=#REF!,"OPERADOR DE VEHICULOS DE EMERGENCIA (OVE)",IF(P246=#REF!,"INSTITUCIONES AMIGAS DE LA MUJER Y LA INFANCIA (IAMI)",IF(P246=#REF!,"CUIDADO DEL DONANTE DE ORGANOS",IF(P246=#REF!,"ATENCION A VICTIMAS POR VIOLENCIA DE GENERO",IF(P246=#REF!,"IGUALDAD DE GENERO EN LA SALUD",IF(P246=#REF!,"BRIGADA DE EMERGENCIA",IF(P246=#REF!,"MANEJO DEL DOLOR Y CUIDADOS PALIATIVOS",IF(P246=#REF!,"TOMA DE MUESTRAS Y LABORATORIO POCT",IF(P246=#REF!,"IMPLANTE SUBDERMICO DE DISPOSITIVO INTRAUTERINO",IF(P246=#REF!,"SALUD MENTAL",IF(P246=#REF!,"PRIMEROS AUXILIOS PSICOLOGICOS",IF(P246=#REF!,"ATENCION A VICTIMAS POR CONFLICTO ARMADO",IF(P246=#REF!,"MANIPULACION DE ALIMENTOS Y BPM",IF(P246=#REF!,"ATENCION A PERSONAS CON DISCAPACIDAD",IF(P246=#REF!,"CUIDADO INTEGRAL DEL PACIENTE ADULTO",IF(P246=#REF!,"MANEJO DEFENSIVO",IF(P246=#REF!,"SOPORTE CARDIOVASCULAR AVANZADO NEONATAL",IF(P246=#REF!,"SEGURIDAD DEL PACIENTE",IF(P246=#REF!,"MANEJO DE RESIDUOS HOSPITALARIOS"))))))))))))))))))))))))))))))))))))</f>
        <v>#REF!</v>
      </c>
      <c r="W246" s="26" t="str">
        <f t="shared" ref="W246" si="21">CONCATENATE(E246," ",F246," ",C246," ",D246)</f>
        <v>Wanda Elizabeth Quiñones Angulo</v>
      </c>
      <c r="X246" s="26" t="str">
        <f t="shared" ref="X246" si="22">PROPER(W246)</f>
        <v>Wanda Elizabeth Quiñones Angulo</v>
      </c>
      <c r="Y246" s="26" t="str">
        <f t="shared" ref="Y246" si="23">CONCATENATE(W246,"-",B246,"-",P246)</f>
        <v>Wanda Elizabeth Quiñones Angulo-1010207782-DUELO</v>
      </c>
    </row>
    <row r="247" spans="1:25" x14ac:dyDescent="0.2">
      <c r="A247" s="20">
        <v>246</v>
      </c>
      <c r="B247" s="21">
        <v>1086548383</v>
      </c>
      <c r="C247" s="21" t="s">
        <v>160</v>
      </c>
      <c r="D247" s="21" t="s">
        <v>161</v>
      </c>
      <c r="E247" s="21" t="s">
        <v>162</v>
      </c>
      <c r="F247" s="21" t="s">
        <v>105</v>
      </c>
      <c r="G247" s="21">
        <v>31</v>
      </c>
      <c r="H247" s="21" t="s">
        <v>49</v>
      </c>
      <c r="I247" s="22" t="s">
        <v>376</v>
      </c>
      <c r="J247" s="22"/>
      <c r="K247" s="23">
        <v>45688</v>
      </c>
      <c r="L247" s="24">
        <v>32000</v>
      </c>
      <c r="M247" s="21" t="s">
        <v>79</v>
      </c>
      <c r="N247" s="21" t="s">
        <v>387</v>
      </c>
      <c r="O247" s="21" t="s">
        <v>69</v>
      </c>
      <c r="P247" s="21" t="s">
        <v>27</v>
      </c>
      <c r="Q247" s="22">
        <v>31885</v>
      </c>
      <c r="R247" s="21" t="s">
        <v>71</v>
      </c>
      <c r="S247" s="21" t="s">
        <v>107</v>
      </c>
      <c r="T247" s="21">
        <v>3108237443</v>
      </c>
      <c r="U247" s="21" t="s">
        <v>163</v>
      </c>
      <c r="V247" s="26" t="e">
        <f>IF(P247=#REF!,"DIPLOMADO EN ATENCION PRE-HOSPITALARIA",IF(P247=#REF!,"ACOMPAÑAMIENTO Y MANEJO DEL DUELO",IF(P247=#REF!,"ATENCION A VICTIMAS DE ATAQUE CON AGENTES QUIMICOS ",IF(P247=#REF!,"PRIMEROS AUXILIOS ",IF(P247=#REF!,"DIPLOMADO DE UNIDAD DE CUIDADOS INTENSIVOS (UCI)",IF(P247=#REF!,"MODELO DE ATENCION PARA EVENTOS EMERGENTES EN SALUD MENTAL (CODIGO VERDE)",IF(P247=#REF!,"HUMANIZACION EN EL SERVICIO DE LA SALUD Y BUENAS PRACTICAS EN PACIENTE ",IF(P247=#REF!,"CLINICA DE HERIDAS ",IF(P247=#REF!,"TOMA DE CITOLOGIA CERVICO VAGINAL ",IF(P247=#REF!,"SOPORTE CARDIOVASCULAR AVANZADO (ACLS) ",IF(P247=#REF!,"CAMILLERO ",IF(P247=#REF!,"TOMA DE MUESTRAS Y LABORATORIO ",IF(P247=#REF!,"SOPORTE VITAL BASICO (BLS)",IF(P247=#REF!,"ATENCION A VICTIMAS DE VIOLENCIA SEXUAL ",IF(P247=#REF!,"PROGRAMADO AMPLIADO DE INMUNIZACION (PAI - COVID 19)",IF(P247=#REF!,"ATENCION INTEGRAL EN ENFERMEDADES PREVALENTES EN PRIMERA INFANCIA (AIEPI)",IF(P247=#REF!,"ADMINISTRACION DE MEDICAMENTOS, INYECTOLOGIA  Y CANALIZACION ",IF(P247=#REF!,"OPERADOR DE VEHICULOS DE EMERGENCIA (OVE)",IF(P247=#REF!,"INSTITUCIONES AMIGAS DE LA MUJER Y LA INFANCIA (IAMI)",IF(P247=#REF!,"CUIDADO DEL DONANTE DE ORGANOS",IF(P247=#REF!,"ATENCION A VICTIMAS POR VIOLENCIA DE GENERO",IF(P247=#REF!,"IGUALDAD DE GENERO EN LA SALUD",IF(P247=#REF!,"BRIGADA DE EMERGENCIA",IF(P247=#REF!,"MANEJO DEL DOLOR Y CUIDADOS PALIATIVOS",IF(P247=#REF!,"TOMA DE MUESTRAS Y LABORATORIO POCT",IF(P247=#REF!,"IMPLANTE SUBDERMICO DE DISPOSITIVO INTRAUTERINO",IF(P247=#REF!,"SALUD MENTAL",IF(P247=#REF!,"PRIMEROS AUXILIOS PSICOLOGICOS",IF(P247=#REF!,"ATENCION A VICTIMAS POR CONFLICTO ARMADO",IF(P247=#REF!,"MANIPULACION DE ALIMENTOS Y BPM",IF(P247=#REF!,"ATENCION A PERSONAS CON DISCAPACIDAD",IF(P247=#REF!,"CUIDADO INTEGRAL DEL PACIENTE ADULTO",IF(P247=#REF!,"MANEJO DEFENSIVO",IF(P247=#REF!,"SOPORTE CARDIOVASCULAR AVANZADO NEONATAL",IF(P247=#REF!,"SEGURIDAD DEL PACIENTE",IF(P247=#REF!,"MANEJO DE RESIDUOS HOSPITALARIOS"))))))))))))))))))))))))))))))))))))</f>
        <v>#REF!</v>
      </c>
      <c r="W247" s="26" t="str">
        <f t="shared" ref="W247:W250" si="24">CONCATENATE(E247," ",F247," ",C247," ",D247)</f>
        <v>Marly Paola Gomez Coronel</v>
      </c>
      <c r="X247" s="26" t="str">
        <f t="shared" ref="X247:X250" si="25">PROPER(W247)</f>
        <v>Marly Paola Gomez Coronel</v>
      </c>
      <c r="Y247" s="26" t="str">
        <f t="shared" ref="Y247:Y250" si="26">CONCATENATE(W247,"-",B247,"-",P247)</f>
        <v>Marly Paola Gomez Coronel-1086548383-VIOLENCIA SEXUAL</v>
      </c>
    </row>
    <row r="248" spans="1:25" x14ac:dyDescent="0.2">
      <c r="A248" s="20">
        <v>247</v>
      </c>
      <c r="B248" s="21">
        <v>36755902</v>
      </c>
      <c r="C248" s="21" t="s">
        <v>66</v>
      </c>
      <c r="D248" s="21" t="s">
        <v>145</v>
      </c>
      <c r="E248" s="21" t="s">
        <v>183</v>
      </c>
      <c r="F248" s="21" t="s">
        <v>339</v>
      </c>
      <c r="G248" s="21">
        <v>31</v>
      </c>
      <c r="H248" s="21" t="s">
        <v>49</v>
      </c>
      <c r="I248" s="21" t="s">
        <v>376</v>
      </c>
      <c r="J248" s="21"/>
      <c r="K248" s="23">
        <v>45688</v>
      </c>
      <c r="L248" s="42">
        <v>32000</v>
      </c>
      <c r="M248" s="21" t="s">
        <v>206</v>
      </c>
      <c r="N248" s="21" t="s">
        <v>387</v>
      </c>
      <c r="O248" s="21" t="s">
        <v>69</v>
      </c>
      <c r="P248" s="21" t="s">
        <v>28</v>
      </c>
      <c r="Q248" s="22">
        <v>29775</v>
      </c>
      <c r="R248" s="21" t="s">
        <v>71</v>
      </c>
      <c r="S248" s="63" t="s">
        <v>83</v>
      </c>
      <c r="T248" s="21">
        <v>3143563185</v>
      </c>
      <c r="U248" s="21" t="s">
        <v>569</v>
      </c>
      <c r="V248" s="26" t="e">
        <f>IF(P248=#REF!,"DIPLOMADO EN ATENCION PRE-HOSPITALARIA",IF(P248=#REF!,"ACOMPAÑAMIENTO Y MANEJO DEL DUELO",IF(P248=#REF!,"ATENCION A VICTIMAS DE ATAQUE CON AGENTES QUIMICOS ",IF(P248=#REF!,"PRIMEROS AUXILIOS ",IF(P248=#REF!,"DIPLOMADO DE UNIDAD DE CUIDADOS INTENSIVOS (UCI)",IF(P248=#REF!,"MODELO DE ATENCION PARA EVENTOS EMERGENTES EN SALUD MENTAL (CODIGO VERDE)",IF(P248=#REF!,"HUMANIZACION EN EL SERVICIO DE LA SALUD Y BUENAS PRACTICAS EN PACIENTE ",IF(P248=#REF!,"CLINICA DE HERIDAS ",IF(P248=#REF!,"TOMA DE CITOLOGIA CERVICO VAGINAL ",IF(P248=#REF!,"SOPORTE CARDIOVASCULAR AVANZADO (ACLS) ",IF(P248=#REF!,"CAMILLERO ",IF(P248=#REF!,"TOMA DE MUESTRAS Y LABORATORIO ",IF(P248=#REF!,"SOPORTE VITAL BASICO (BLS)",IF(P248=#REF!,"ATENCION A VICTIMAS DE VIOLENCIA SEXUAL ",IF(P248=#REF!,"PROGRAMADO AMPLIADO DE INMUNIZACION (PAI - COVID 19)",IF(P248=#REF!,"ATENCION INTEGRAL EN ENFERMEDADES PREVALENTES EN PRIMERA INFANCIA (AIEPI)",IF(P248=#REF!,"ADMINISTRACION DE MEDICAMENTOS, INYECTOLOGIA  Y CANALIZACION ",IF(P248=#REF!,"OPERADOR DE VEHICULOS DE EMERGENCIA (OVE)",IF(P248=#REF!,"INSTITUCIONES AMIGAS DE LA MUJER Y LA INFANCIA (IAMI)",IF(P248=#REF!,"CUIDADO DEL DONANTE DE ORGANOS",IF(P248=#REF!,"ATENCION A VICTIMAS POR VIOLENCIA DE GENERO",IF(P248=#REF!,"IGUALDAD DE GENERO EN LA SALUD",IF(P248=#REF!,"BRIGADA DE EMERGENCIA",IF(P248=#REF!,"MANEJO DEL DOLOR Y CUIDADOS PALIATIVOS",IF(P248=#REF!,"TOMA DE MUESTRAS Y LABORATORIO POCT",IF(P248=#REF!,"IMPLANTE SUBDERMICO DE DISPOSITIVO INTRAUTERINO",IF(P248=#REF!,"SALUD MENTAL",IF(P248=#REF!,"PRIMEROS AUXILIOS PSICOLOGICOS",IF(P248=#REF!,"ATENCION A VICTIMAS POR CONFLICTO ARMADO",IF(P248=#REF!,"MANIPULACION DE ALIMENTOS Y BPM",IF(P248=#REF!,"ATENCION A PERSONAS CON DISCAPACIDAD",IF(P248=#REF!,"CUIDADO INTEGRAL DEL PACIENTE ADULTO",IF(P248=#REF!,"MANEJO DEFENSIVO",IF(P248=#REF!,"SOPORTE CARDIOVASCULAR AVANZADO NEONATAL",IF(P248=#REF!,"SEGURIDAD DEL PACIENTE",IF(P248=#REF!,"MANEJO DE RESIDUOS HOSPITALARIOS"))))))))))))))))))))))))))))))))))))</f>
        <v>#REF!</v>
      </c>
      <c r="W248" s="26" t="str">
        <f t="shared" si="24"/>
        <v>Maria Patricia Meza Eraso</v>
      </c>
      <c r="X248" s="26" t="str">
        <f t="shared" si="25"/>
        <v>Maria Patricia Meza Eraso</v>
      </c>
      <c r="Y248" s="26" t="str">
        <f t="shared" si="26"/>
        <v>Maria Patricia Meza Eraso-36755902-AIEPI</v>
      </c>
    </row>
    <row r="249" spans="1:25" x14ac:dyDescent="0.2">
      <c r="A249" s="36">
        <v>248</v>
      </c>
      <c r="B249" s="37">
        <v>36755902</v>
      </c>
      <c r="C249" s="37" t="s">
        <v>66</v>
      </c>
      <c r="D249" s="37" t="s">
        <v>145</v>
      </c>
      <c r="E249" s="37" t="s">
        <v>183</v>
      </c>
      <c r="F249" s="37" t="s">
        <v>339</v>
      </c>
      <c r="G249" s="37">
        <v>30</v>
      </c>
      <c r="H249" s="37" t="s">
        <v>49</v>
      </c>
      <c r="I249" s="37" t="s">
        <v>376</v>
      </c>
      <c r="J249" s="37"/>
      <c r="K249" s="39">
        <v>45688</v>
      </c>
      <c r="L249" s="44">
        <v>32000</v>
      </c>
      <c r="M249" s="37" t="s">
        <v>206</v>
      </c>
      <c r="N249" s="37" t="s">
        <v>387</v>
      </c>
      <c r="O249" s="37" t="s">
        <v>69</v>
      </c>
      <c r="P249" s="37" t="s">
        <v>31</v>
      </c>
      <c r="Q249" s="38">
        <v>29775</v>
      </c>
      <c r="R249" s="37" t="s">
        <v>71</v>
      </c>
      <c r="S249" s="65" t="s">
        <v>83</v>
      </c>
      <c r="T249" s="37">
        <v>3143563185</v>
      </c>
      <c r="U249" s="37" t="s">
        <v>569</v>
      </c>
      <c r="V249" s="41" t="e">
        <f>IF(P249=#REF!,"DIPLOMADO EN ATENCION PRE-HOSPITALARIA",IF(P249=#REF!,"ACOMPAÑAMIENTO Y MANEJO DEL DUELO",IF(P249=#REF!,"ATENCION A VICTIMAS DE ATAQUE CON AGENTES QUIMICOS ",IF(P249=#REF!,"PRIMEROS AUXILIOS ",IF(P249=#REF!,"DIPLOMADO DE UNIDAD DE CUIDADOS INTENSIVOS (UCI)",IF(P249=#REF!,"MODELO DE ATENCION PARA EVENTOS EMERGENTES EN SALUD MENTAL (CODIGO VERDE)",IF(P249=#REF!,"HUMANIZACION EN EL SERVICIO DE LA SALUD Y BUENAS PRACTICAS EN PACIENTE ",IF(P249=#REF!,"CLINICA DE HERIDAS ",IF(P249=#REF!,"TOMA DE CITOLOGIA CERVICO VAGINAL ",IF(P249=#REF!,"SOPORTE CARDIOVASCULAR AVANZADO (ACLS) ",IF(P249=#REF!,"CAMILLERO ",IF(P249=#REF!,"TOMA DE MUESTRAS Y LABORATORIO ",IF(P249=#REF!,"SOPORTE VITAL BASICO (BLS)",IF(P249=#REF!,"ATENCION A VICTIMAS DE VIOLENCIA SEXUAL ",IF(P249=#REF!,"PROGRAMADO AMPLIADO DE INMUNIZACION (PAI - COVID 19)",IF(P249=#REF!,"ATENCION INTEGRAL EN ENFERMEDADES PREVALENTES EN PRIMERA INFANCIA (AIEPI)",IF(P249=#REF!,"ADMINISTRACION DE MEDICAMENTOS, INYECTOLOGIA  Y CANALIZACION ",IF(P249=#REF!,"OPERADOR DE VEHICULOS DE EMERGENCIA (OVE)",IF(P249=#REF!,"INSTITUCIONES AMIGAS DE LA MUJER Y LA INFANCIA (IAMI)",IF(P249=#REF!,"CUIDADO DEL DONANTE DE ORGANOS",IF(P249=#REF!,"ATENCION A VICTIMAS POR VIOLENCIA DE GENERO",IF(P249=#REF!,"IGUALDAD DE GENERO EN LA SALUD",IF(P249=#REF!,"BRIGADA DE EMERGENCIA",IF(P249=#REF!,"MANEJO DEL DOLOR Y CUIDADOS PALIATIVOS",IF(P249=#REF!,"TOMA DE MUESTRAS Y LABORATORIO POCT",IF(P249=#REF!,"IMPLANTE SUBDERMICO DE DISPOSITIVO INTRAUTERINO",IF(P249=#REF!,"SALUD MENTAL",IF(P249=#REF!,"PRIMEROS AUXILIOS PSICOLOGICOS",IF(P249=#REF!,"ATENCION A VICTIMAS POR CONFLICTO ARMADO",IF(P249=#REF!,"MANIPULACION DE ALIMENTOS Y BPM",IF(P249=#REF!,"ATENCION A PERSONAS CON DISCAPACIDAD",IF(P249=#REF!,"CUIDADO INTEGRAL DEL PACIENTE ADULTO",IF(P249=#REF!,"MANEJO DEFENSIVO",IF(P249=#REF!,"SOPORTE CARDIOVASCULAR AVANZADO NEONATAL",IF(P249=#REF!,"SEGURIDAD DEL PACIENTE",IF(P249=#REF!,"MANEJO DE RESIDUOS HOSPITALARIOS"))))))))))))))))))))))))))))))))))))</f>
        <v>#REF!</v>
      </c>
      <c r="W249" s="41" t="str">
        <f t="shared" si="24"/>
        <v>Maria Patricia Meza Eraso</v>
      </c>
      <c r="X249" s="41" t="str">
        <f t="shared" si="25"/>
        <v>Maria Patricia Meza Eraso</v>
      </c>
      <c r="Y249" s="41" t="str">
        <f t="shared" si="26"/>
        <v>Maria Patricia Meza Eraso-36755902-IAMI</v>
      </c>
    </row>
    <row r="250" spans="1:25" s="19" customFormat="1" x14ac:dyDescent="0.2">
      <c r="A250" s="20">
        <v>249</v>
      </c>
      <c r="B250" s="21">
        <v>1085338506</v>
      </c>
      <c r="C250" s="21" t="s">
        <v>175</v>
      </c>
      <c r="D250" s="21" t="s">
        <v>570</v>
      </c>
      <c r="E250" s="21" t="s">
        <v>571</v>
      </c>
      <c r="F250" s="21" t="s">
        <v>495</v>
      </c>
      <c r="G250" s="21">
        <v>31</v>
      </c>
      <c r="H250" s="21" t="s">
        <v>49</v>
      </c>
      <c r="I250" s="21" t="s">
        <v>376</v>
      </c>
      <c r="J250" s="21"/>
      <c r="K250" s="23">
        <v>45688</v>
      </c>
      <c r="L250" s="42">
        <v>32000</v>
      </c>
      <c r="M250" s="21" t="s">
        <v>79</v>
      </c>
      <c r="N250" s="21" t="s">
        <v>387</v>
      </c>
      <c r="O250" s="21" t="s">
        <v>69</v>
      </c>
      <c r="P250" s="21" t="s">
        <v>21</v>
      </c>
      <c r="Q250" s="22">
        <v>35812</v>
      </c>
      <c r="R250" s="21" t="s">
        <v>71</v>
      </c>
      <c r="S250" s="21" t="s">
        <v>107</v>
      </c>
      <c r="T250" s="21">
        <v>3112292452</v>
      </c>
      <c r="U250" s="21" t="s">
        <v>572</v>
      </c>
      <c r="V250" s="26" t="e">
        <f>IF(P250=#REF!,"DIPLOMADO EN ATENCION PRE-HOSPITALARIA",IF(P250=#REF!,"ACOMPAÑAMIENTO Y MANEJO DEL DUELO",IF(P250=#REF!,"ATENCION A VICTIMAS DE ATAQUE CON AGENTES QUIMICOS ",IF(P250=#REF!,"PRIMEROS AUXILIOS ",IF(P250=#REF!,"DIPLOMADO DE UNIDAD DE CUIDADOS INTENSIVOS (UCI)",IF(P250=#REF!,"MODELO DE ATENCION PARA EVENTOS EMERGENTES EN SALUD MENTAL (CODIGO VERDE)",IF(P250=#REF!,"HUMANIZACION EN EL SERVICIO DE LA SALUD Y BUENAS PRACTICAS EN PACIENTE ",IF(P250=#REF!,"CLINICA DE HERIDAS ",IF(P250=#REF!,"TOMA DE CITOLOGIA CERVICO VAGINAL ",IF(P250=#REF!,"SOPORTE CARDIOVASCULAR AVANZADO (ACLS) ",IF(P250=#REF!,"CAMILLERO ",IF(P250=#REF!,"TOMA DE MUESTRAS Y LABORATORIO ",IF(P250=#REF!,"SOPORTE VITAL BASICO (BLS)",IF(P250=#REF!,"ATENCION A VICTIMAS DE VIOLENCIA SEXUAL ",IF(P250=#REF!,"PROGRAMADO AMPLIADO DE INMUNIZACION (PAI - COVID 19)",IF(P250=#REF!,"ATENCION INTEGRAL EN ENFERMEDADES PREVALENTES EN PRIMERA INFANCIA (AIEPI)",IF(P250=#REF!,"ADMINISTRACION DE MEDICAMENTOS, INYECTOLOGIA  Y CANALIZACION ",IF(P250=#REF!,"OPERADOR DE VEHICULOS DE EMERGENCIA (OVE)",IF(P250=#REF!,"INSTITUCIONES AMIGAS DE LA MUJER Y LA INFANCIA (IAMI)",IF(P250=#REF!,"CUIDADO DEL DONANTE DE ORGANOS",IF(P250=#REF!,"ATENCION A VICTIMAS POR VIOLENCIA DE GENERO",IF(P250=#REF!,"IGUALDAD DE GENERO EN LA SALUD",IF(P250=#REF!,"BRIGADA DE EMERGENCIA",IF(P250=#REF!,"MANEJO DEL DOLOR Y CUIDADOS PALIATIVOS",IF(P250=#REF!,"TOMA DE MUESTRAS Y LABORATORIO POCT",IF(P250=#REF!,"IMPLANTE SUBDERMICO DE DISPOSITIVO INTRAUTERINO",IF(P250=#REF!,"SALUD MENTAL",IF(P250=#REF!,"PRIMEROS AUXILIOS PSICOLOGICOS",IF(P250=#REF!,"ATENCION A VICTIMAS POR CONFLICTO ARMADO",IF(P250=#REF!,"MANIPULACION DE ALIMENTOS Y BPM",IF(P250=#REF!,"ATENCION A PERSONAS CON DISCAPACIDAD",IF(P250=#REF!,"CUIDADO INTEGRAL DEL PACIENTE ADULTO",IF(P250=#REF!,"MANEJO DEFENSIVO",IF(P250=#REF!,"SOPORTE CARDIOVASCULAR AVANZADO NEONATAL",IF(P250=#REF!,"SEGURIDAD DEL PACIENTE",IF(P250=#REF!,"MANEJO DE RESIDUOS HOSPITALARIOS"))))))))))))))))))))))))))))))))))))</f>
        <v>#REF!</v>
      </c>
      <c r="W250" s="26" t="str">
        <f t="shared" si="24"/>
        <v>Camilo Andres Rosero Cruz</v>
      </c>
      <c r="X250" s="26" t="str">
        <f t="shared" si="25"/>
        <v>Camilo Andres Rosero Cruz</v>
      </c>
      <c r="Y250" s="26" t="str">
        <f t="shared" si="26"/>
        <v>Camilo Andres Rosero Cruz-1085338506-QUIMICOS</v>
      </c>
    </row>
    <row r="251" spans="1:25" s="19" customFormat="1" x14ac:dyDescent="0.2">
      <c r="A251" s="20">
        <v>250</v>
      </c>
      <c r="B251" s="21">
        <v>1085338506</v>
      </c>
      <c r="C251" s="21" t="s">
        <v>175</v>
      </c>
      <c r="D251" s="21" t="s">
        <v>570</v>
      </c>
      <c r="E251" s="21" t="s">
        <v>571</v>
      </c>
      <c r="F251" s="21" t="s">
        <v>495</v>
      </c>
      <c r="G251" s="21">
        <v>30</v>
      </c>
      <c r="H251" s="21" t="s">
        <v>49</v>
      </c>
      <c r="I251" s="21" t="s">
        <v>376</v>
      </c>
      <c r="J251" s="21"/>
      <c r="K251" s="23">
        <v>45688</v>
      </c>
      <c r="L251" s="42">
        <v>32000</v>
      </c>
      <c r="M251" s="21" t="s">
        <v>79</v>
      </c>
      <c r="N251" s="21" t="s">
        <v>387</v>
      </c>
      <c r="O251" s="21" t="s">
        <v>69</v>
      </c>
      <c r="P251" s="21" t="s">
        <v>20</v>
      </c>
      <c r="Q251" s="22">
        <v>35812</v>
      </c>
      <c r="R251" s="21" t="s">
        <v>71</v>
      </c>
      <c r="S251" s="21" t="s">
        <v>107</v>
      </c>
      <c r="T251" s="21">
        <v>3112292452</v>
      </c>
      <c r="U251" s="21" t="s">
        <v>572</v>
      </c>
      <c r="V251" s="26" t="e">
        <f>IF(P251=#REF!,"DIPLOMADO EN ATENCION PRE-HOSPITALARIA",IF(P251=#REF!,"ACOMPAÑAMIENTO Y MANEJO DEL DUELO",IF(P251=#REF!,"ATENCION A VICTIMAS DE ATAQUE CON AGENTES QUIMICOS ",IF(P251=#REF!,"PRIMEROS AUXILIOS ",IF(P251=#REF!,"DIPLOMADO DE UNIDAD DE CUIDADOS INTENSIVOS (UCI)",IF(P251=#REF!,"MODELO DE ATENCION PARA EVENTOS EMERGENTES EN SALUD MENTAL (CODIGO VERDE)",IF(P251=#REF!,"HUMANIZACION EN EL SERVICIO DE LA SALUD Y BUENAS PRACTICAS EN PACIENTE ",IF(P251=#REF!,"CLINICA DE HERIDAS ",IF(P251=#REF!,"TOMA DE CITOLOGIA CERVICO VAGINAL ",IF(P251=#REF!,"SOPORTE CARDIOVASCULAR AVANZADO (ACLS) ",IF(P251=#REF!,"CAMILLERO ",IF(P251=#REF!,"TOMA DE MUESTRAS Y LABORATORIO ",IF(P251=#REF!,"SOPORTE VITAL BASICO (BLS)",IF(P251=#REF!,"ATENCION A VICTIMAS DE VIOLENCIA SEXUAL ",IF(P251=#REF!,"PROGRAMADO AMPLIADO DE INMUNIZACION (PAI - COVID 19)",IF(P251=#REF!,"ATENCION INTEGRAL EN ENFERMEDADES PREVALENTES EN PRIMERA INFANCIA (AIEPI)",IF(P251=#REF!,"ADMINISTRACION DE MEDICAMENTOS, INYECTOLOGIA  Y CANALIZACION ",IF(P251=#REF!,"OPERADOR DE VEHICULOS DE EMERGENCIA (OVE)",IF(P251=#REF!,"INSTITUCIONES AMIGAS DE LA MUJER Y LA INFANCIA (IAMI)",IF(P251=#REF!,"CUIDADO DEL DONANTE DE ORGANOS",IF(P251=#REF!,"ATENCION A VICTIMAS POR VIOLENCIA DE GENERO",IF(P251=#REF!,"IGUALDAD DE GENERO EN LA SALUD",IF(P251=#REF!,"BRIGADA DE EMERGENCIA",IF(P251=#REF!,"MANEJO DEL DOLOR Y CUIDADOS PALIATIVOS",IF(P251=#REF!,"TOMA DE MUESTRAS Y LABORATORIO POCT",IF(P251=#REF!,"IMPLANTE SUBDERMICO DE DISPOSITIVO INTRAUTERINO",IF(P251=#REF!,"SALUD MENTAL",IF(P251=#REF!,"PRIMEROS AUXILIOS PSICOLOGICOS",IF(P251=#REF!,"ATENCION A VICTIMAS POR CONFLICTO ARMADO",IF(P251=#REF!,"MANIPULACION DE ALIMENTOS Y BPM",IF(P251=#REF!,"ATENCION A PERSONAS CON DISCAPACIDAD",IF(P251=#REF!,"CUIDADO INTEGRAL DEL PACIENTE ADULTO",IF(P251=#REF!,"MANEJO DEFENSIVO",IF(P251=#REF!,"SOPORTE CARDIOVASCULAR AVANZADO NEONATAL",IF(P251=#REF!,"SEGURIDAD DEL PACIENTE",IF(P251=#REF!,"MANEJO DE RESIDUOS HOSPITALARIOS"))))))))))))))))))))))))))))))))))))</f>
        <v>#REF!</v>
      </c>
      <c r="W251" s="26" t="str">
        <f t="shared" ref="W251:W276" si="27">CONCATENATE(E251," ",F251," ",C251," ",D251)</f>
        <v>Camilo Andres Rosero Cruz</v>
      </c>
      <c r="X251" s="26" t="str">
        <f t="shared" ref="X251:X276" si="28">PROPER(W251)</f>
        <v>Camilo Andres Rosero Cruz</v>
      </c>
      <c r="Y251" s="26" t="str">
        <f t="shared" ref="Y251:Y276" si="29">CONCATENATE(W251,"-",B251,"-",P251)</f>
        <v>Camilo Andres Rosero Cruz-1085338506-DUELO</v>
      </c>
    </row>
    <row r="252" spans="1:25" s="19" customFormat="1" x14ac:dyDescent="0.2">
      <c r="A252" s="20">
        <v>251</v>
      </c>
      <c r="B252" s="21">
        <v>1085338506</v>
      </c>
      <c r="C252" s="21" t="s">
        <v>175</v>
      </c>
      <c r="D252" s="21" t="s">
        <v>570</v>
      </c>
      <c r="E252" s="21" t="s">
        <v>571</v>
      </c>
      <c r="F252" s="21" t="s">
        <v>495</v>
      </c>
      <c r="G252" s="21">
        <v>29</v>
      </c>
      <c r="H252" s="21" t="s">
        <v>49</v>
      </c>
      <c r="I252" s="21" t="s">
        <v>376</v>
      </c>
      <c r="J252" s="21"/>
      <c r="K252" s="23">
        <v>45688</v>
      </c>
      <c r="L252" s="42">
        <v>32000</v>
      </c>
      <c r="M252" s="21" t="s">
        <v>79</v>
      </c>
      <c r="N252" s="21" t="s">
        <v>387</v>
      </c>
      <c r="O252" s="21" t="s">
        <v>69</v>
      </c>
      <c r="P252" s="21" t="s">
        <v>26</v>
      </c>
      <c r="Q252" s="22">
        <v>35812</v>
      </c>
      <c r="R252" s="21" t="s">
        <v>71</v>
      </c>
      <c r="S252" s="21" t="s">
        <v>107</v>
      </c>
      <c r="T252" s="21">
        <v>3112292452</v>
      </c>
      <c r="U252" s="21" t="s">
        <v>572</v>
      </c>
      <c r="V252" s="26" t="e">
        <f>IF(P252=#REF!,"DIPLOMADO EN ATENCION PRE-HOSPITALARIA",IF(P252=#REF!,"ACOMPAÑAMIENTO Y MANEJO DEL DUELO",IF(P252=#REF!,"ATENCION A VICTIMAS DE ATAQUE CON AGENTES QUIMICOS ",IF(P252=#REF!,"PRIMEROS AUXILIOS ",IF(P252=#REF!,"DIPLOMADO DE UNIDAD DE CUIDADOS INTENSIVOS (UCI)",IF(P252=#REF!,"MODELO DE ATENCION PARA EVENTOS EMERGENTES EN SALUD MENTAL (CODIGO VERDE)",IF(P252=#REF!,"HUMANIZACION EN EL SERVICIO DE LA SALUD Y BUENAS PRACTICAS EN PACIENTE ",IF(P252=#REF!,"CLINICA DE HERIDAS ",IF(P252=#REF!,"TOMA DE CITOLOGIA CERVICO VAGINAL ",IF(P252=#REF!,"SOPORTE CARDIOVASCULAR AVANZADO (ACLS) ",IF(P252=#REF!,"CAMILLERO ",IF(P252=#REF!,"TOMA DE MUESTRAS Y LABORATORIO ",IF(P252=#REF!,"SOPORTE VITAL BASICO (BLS)",IF(P252=#REF!,"ATENCION A VICTIMAS DE VIOLENCIA SEXUAL ",IF(P252=#REF!,"PROGRAMADO AMPLIADO DE INMUNIZACION (PAI - COVID 19)",IF(P252=#REF!,"ATENCION INTEGRAL EN ENFERMEDADES PREVALENTES EN PRIMERA INFANCIA (AIEPI)",IF(P252=#REF!,"ADMINISTRACION DE MEDICAMENTOS, INYECTOLOGIA  Y CANALIZACION ",IF(P252=#REF!,"OPERADOR DE VEHICULOS DE EMERGENCIA (OVE)",IF(P252=#REF!,"INSTITUCIONES AMIGAS DE LA MUJER Y LA INFANCIA (IAMI)",IF(P252=#REF!,"CUIDADO DEL DONANTE DE ORGANOS",IF(P252=#REF!,"ATENCION A VICTIMAS POR VIOLENCIA DE GENERO",IF(P252=#REF!,"IGUALDAD DE GENERO EN LA SALUD",IF(P252=#REF!,"BRIGADA DE EMERGENCIA",IF(P252=#REF!,"MANEJO DEL DOLOR Y CUIDADOS PALIATIVOS",IF(P252=#REF!,"TOMA DE MUESTRAS Y LABORATORIO POCT",IF(P252=#REF!,"IMPLANTE SUBDERMICO DE DISPOSITIVO INTRAUTERINO",IF(P252=#REF!,"SALUD MENTAL",IF(P252=#REF!,"PRIMEROS AUXILIOS PSICOLOGICOS",IF(P252=#REF!,"ATENCION A VICTIMAS POR CONFLICTO ARMADO",IF(P252=#REF!,"MANIPULACION DE ALIMENTOS Y BPM",IF(P252=#REF!,"ATENCION A PERSONAS CON DISCAPACIDAD",IF(P252=#REF!,"CUIDADO INTEGRAL DEL PACIENTE ADULTO",IF(P252=#REF!,"MANEJO DEFENSIVO",IF(P252=#REF!,"SOPORTE CARDIOVASCULAR AVANZADO NEONATAL",IF(P252=#REF!,"SEGURIDAD DEL PACIENTE",IF(P252=#REF!,"MANEJO DE RESIDUOS HOSPITALARIOS"))))))))))))))))))))))))))))))))))))</f>
        <v>#REF!</v>
      </c>
      <c r="W252" s="26" t="str">
        <f t="shared" si="27"/>
        <v>Camilo Andres Rosero Cruz</v>
      </c>
      <c r="X252" s="26" t="str">
        <f t="shared" si="28"/>
        <v>Camilo Andres Rosero Cruz</v>
      </c>
      <c r="Y252" s="26" t="str">
        <f t="shared" si="29"/>
        <v>Camilo Andres Rosero Cruz-1085338506-TOMA DE MUESTRAS</v>
      </c>
    </row>
    <row r="253" spans="1:25" x14ac:dyDescent="0.2">
      <c r="A253" s="46">
        <v>252</v>
      </c>
      <c r="B253" s="2">
        <v>1007164519</v>
      </c>
      <c r="C253" s="2" t="s">
        <v>574</v>
      </c>
      <c r="D253" s="2" t="s">
        <v>80</v>
      </c>
      <c r="E253" s="2" t="s">
        <v>223</v>
      </c>
      <c r="F253" s="2" t="s">
        <v>575</v>
      </c>
      <c r="G253" s="2">
        <v>25</v>
      </c>
      <c r="H253" s="2" t="s">
        <v>49</v>
      </c>
      <c r="I253" s="2" t="s">
        <v>376</v>
      </c>
      <c r="K253" s="4">
        <v>45689</v>
      </c>
      <c r="N253" s="2" t="s">
        <v>387</v>
      </c>
      <c r="O253" s="2" t="s">
        <v>69</v>
      </c>
      <c r="P253" s="2" t="s">
        <v>27</v>
      </c>
      <c r="Q253" s="8">
        <v>36942</v>
      </c>
      <c r="R253" s="2" t="s">
        <v>71</v>
      </c>
      <c r="S253" s="2" t="s">
        <v>89</v>
      </c>
      <c r="T253" s="2">
        <v>3146012830</v>
      </c>
      <c r="U253" s="2" t="s">
        <v>576</v>
      </c>
      <c r="V253" s="61" t="e">
        <f>IF(P253=#REF!,"DIPLOMADO EN ATENCION PRE-HOSPITALARIA",IF(P253=#REF!,"ACOMPAÑAMIENTO Y MANEJO DEL DUELO",IF(P253=#REF!,"ATENCION A VICTIMAS DE ATAQUE CON AGENTES QUIMICOS ",IF(P253=#REF!,"PRIMEROS AUXILIOS ",IF(P253=#REF!,"DIPLOMADO DE UNIDAD DE CUIDADOS INTENSIVOS (UCI)",IF(P253=#REF!,"MODELO DE ATENCION PARA EVENTOS EMERGENTES EN SALUD MENTAL (CODIGO VERDE)",IF(P253=#REF!,"HUMANIZACION EN EL SERVICIO DE LA SALUD Y BUENAS PRACTICAS EN PACIENTE ",IF(P253=#REF!,"CLINICA DE HERIDAS ",IF(P253=#REF!,"TOMA DE CITOLOGIA CERVICO VAGINAL ",IF(P253=#REF!,"SOPORTE CARDIOVASCULAR AVANZADO (ACLS) ",IF(P253=#REF!,"CAMILLERO ",IF(P253=#REF!,"TOMA DE MUESTRAS Y LABORATORIO ",IF(P253=#REF!,"SOPORTE VITAL BASICO (BLS)",IF(P253=#REF!,"ATENCION A VICTIMAS DE VIOLENCIA SEXUAL ",IF(P253=#REF!,"PROGRAMADO AMPLIADO DE INMUNIZACION (PAI - COVID 19)",IF(P253=#REF!,"ATENCION INTEGRAL EN ENFERMEDADES PREVALENTES EN PRIMERA INFANCIA (AIEPI)",IF(P253=#REF!,"ADMINISTRACION DE MEDICAMENTOS, INYECTOLOGIA  Y CANALIZACION ",IF(P253=#REF!,"OPERADOR DE VEHICULOS DE EMERGENCIA (OVE)",IF(P253=#REF!,"INSTITUCIONES AMIGAS DE LA MUJER Y LA INFANCIA (IAMI)",IF(P253=#REF!,"CUIDADO DEL DONANTE DE ORGANOS",IF(P253=#REF!,"ATENCION A VICTIMAS POR VIOLENCIA DE GENERO",IF(P253=#REF!,"IGUALDAD DE GENERO EN LA SALUD",IF(P253=#REF!,"BRIGADA DE EMERGENCIA",IF(P253=#REF!,"MANEJO DEL DOLOR Y CUIDADOS PALIATIVOS",IF(P253=#REF!,"TOMA DE MUESTRAS Y LABORATORIO POCT",IF(P253=#REF!,"IMPLANTE SUBDERMICO DE DISPOSITIVO INTRAUTERINO",IF(P253=#REF!,"SALUD MENTAL",IF(P253=#REF!,"PRIMEROS AUXILIOS PSICOLOGICOS",IF(P253=#REF!,"ATENCION A VICTIMAS POR CONFLICTO ARMADO",IF(P253=#REF!,"MANIPULACION DE ALIMENTOS Y BPM",IF(P253=#REF!,"ATENCION A PERSONAS CON DISCAPACIDAD",IF(P253=#REF!,"CUIDADO INTEGRAL DEL PACIENTE ADULTO",IF(P253=#REF!,"MANEJO DEFENSIVO",IF(P253=#REF!,"SOPORTE CARDIOVASCULAR AVANZADO NEONATAL",IF(P253=#REF!,"SEGURIDAD DEL PACIENTE",IF(P253=#REF!,"MANEJO DE RESIDUOS HOSPITALARIOS"))))))))))))))))))))))))))))))))))))</f>
        <v>#REF!</v>
      </c>
      <c r="W253" s="61" t="str">
        <f t="shared" si="27"/>
        <v>Anyi Viviana Galindez Erazo</v>
      </c>
      <c r="X253" s="61" t="str">
        <f t="shared" si="28"/>
        <v>Anyi Viviana Galindez Erazo</v>
      </c>
      <c r="Y253" s="61" t="str">
        <f t="shared" si="29"/>
        <v>Anyi Viviana Galindez Erazo-1007164519-VIOLENCIA SEXUAL</v>
      </c>
    </row>
    <row r="254" spans="1:25" s="19" customFormat="1" x14ac:dyDescent="0.2">
      <c r="A254" s="20">
        <v>1</v>
      </c>
      <c r="B254" s="21">
        <v>1089458772</v>
      </c>
      <c r="C254" s="21" t="s">
        <v>45</v>
      </c>
      <c r="D254" s="21" t="s">
        <v>44</v>
      </c>
      <c r="E254" s="21" t="s">
        <v>47</v>
      </c>
      <c r="F254" s="21" t="s">
        <v>46</v>
      </c>
      <c r="G254" s="21">
        <v>2</v>
      </c>
      <c r="H254" s="21" t="s">
        <v>49</v>
      </c>
      <c r="I254" s="22" t="s">
        <v>376</v>
      </c>
      <c r="J254" s="22"/>
      <c r="K254" s="23">
        <v>45659</v>
      </c>
      <c r="L254" s="24">
        <v>40000</v>
      </c>
      <c r="M254" s="21" t="s">
        <v>106</v>
      </c>
      <c r="N254" s="21" t="s">
        <v>430</v>
      </c>
      <c r="O254" s="21" t="s">
        <v>69</v>
      </c>
      <c r="P254" s="21" t="s">
        <v>35</v>
      </c>
      <c r="Q254" s="22">
        <v>32609</v>
      </c>
      <c r="R254" s="21" t="s">
        <v>71</v>
      </c>
      <c r="S254" s="21" t="s">
        <v>107</v>
      </c>
      <c r="T254" s="25">
        <v>3028279542</v>
      </c>
      <c r="U254" s="28" t="s">
        <v>48</v>
      </c>
      <c r="V254" s="26" t="e">
        <f>IF(P254=#REF!,"DIPLOMADO EN ATENCION PRE-HOSPITALARIA",IF(P254=#REF!,"ACOMPAÑAMIENTO Y MANEJO DEL DUELO",IF(P254=#REF!,"ATENCION A VICTIMAS DE ATAQUE CON AGENTES QUIMICOS ",IF(P254=#REF!,"PRIMEROS AUXILIOS ",IF(P254=#REF!,"DIPLOMADO DE UNIDAD DE CUIDADOS INTENSIVOS (UCI)",IF(P254=#REF!,"MODELO DE ATENCION PARA EVENTOS EMERGENTES EN SALUD MENTAL (CODIGO VERDE)",IF(P254=#REF!,"HUMANIZACION EN EL SERVICIO DE LA SALUD Y BUENAS PRACTICAS EN PACIENTE ",IF(P254=#REF!,"CLINICA DE HERIDAS ",IF(P254=#REF!,"TOMA DE CITOLOGIA CERVICO VAGINAL ",IF(P254=#REF!,"SOPORTE CARDIOVASCULAR AVANZADO (ACLS) ",IF(P254=#REF!,"CAMILLERO ",IF(P254=#REF!,"TOMA DE MUESTRAS Y LABORATORIO ",IF(P254=#REF!,"SOPORTE VITAL BASICO (BLS)",IF(P254=#REF!,"ATENCION A VICTIMAS DE VIOLENCIA SEXUAL ",IF(P254=#REF!,"PROGRAMADO AMPLIADO DE INMUNIZACION (PAI - COVID 19)",IF(P254=#REF!,"ATENCION INTEGRAL EN ENFERMEDADES PREVALENTES EN PRIMERA INFANCIA (AIEPI)",IF(P254=#REF!,"ADMINISTRACION DE MEDICAMENTOS, INYECTOLOGIA  Y CANALIZACION ",IF(P254=#REF!,"OPERADOR DE VEHICULOS DE EMERGENCIA (OVE)",IF(P254=#REF!,"INSTITUCIONES AMIGAS DE LA MUJER Y LA INFANCIA (IAMI)",IF(P254=#REF!,"CUIDADO DEL DONANTE DE ORGANOS",IF(P254=#REF!,"ATENCION A VICTIMAS POR VIOLENCIA DE GENERO",IF(P254=#REF!,"IGUALDAD DE GENERO EN LA SALUD",IF(P254=#REF!,"BRIGADA DE EMERGENCIA",IF(P254=#REF!,"MANEJO DEL DOLOR Y CUIDADOS PALIATIVOS",IF(P254=#REF!,"TOMA DE MUESTRAS Y LABORATORIO POCT",IF(P254=#REF!,"IMPLANTE SUBDERMICO DE DISPOSITIVO INTRAUTERINO",IF(P254=#REF!,"SALUD MENTAL",IF(P254=#REF!,"PRIMEROS AUXILIOS PSICOLOGICOS",IF(P254=#REF!,"ATENCION A VICTIMAS POR CONFLICTO ARMADO",IF(P254=#REF!,"MANIPULACION DE ALIMENTOS Y BPM",IF(P254=#REF!,"ATENCION A PERSONAS CON DISCAPACIDAD",IF(P254=#REF!,"CUIDADO INTEGRAL DEL PACIENTE ADULTO",IF(P254=#REF!,"MANEJO DEFENSIVO",IF(P254=#REF!,"SOPORTE CARDIOVASCULAR AVANZADO NEONATAL",IF(P254=#REF!,"SEGURIDAD DEL PACIENTE",IF(P254=#REF!,"MANEJO DE RESIDUOS HOSPITALARIOS"))))))))))))))))))))))))))))))))))))</f>
        <v>#REF!</v>
      </c>
      <c r="W254" s="26" t="str">
        <f>CONCATENATE(E254," ",F254," ",C254," ",D254)</f>
        <v>ANGELA NARCIZA ANDRADE GUERRA</v>
      </c>
      <c r="X254" s="26" t="str">
        <f>PROPER(W254)</f>
        <v>Angela Narciza Andrade Guerra</v>
      </c>
      <c r="Y254" s="26" t="str">
        <f>CONCATENATE(W254,"-",B254,"-",P254)</f>
        <v>ANGELA NARCIZA ANDRADE GUERRA-1089458772-POCT</v>
      </c>
    </row>
    <row r="255" spans="1:25" s="19" customFormat="1" x14ac:dyDescent="0.2">
      <c r="A255" s="20">
        <v>2</v>
      </c>
      <c r="B255" s="21">
        <v>59788866</v>
      </c>
      <c r="C255" s="21" t="s">
        <v>51</v>
      </c>
      <c r="D255" s="21" t="s">
        <v>52</v>
      </c>
      <c r="E255" s="21" t="s">
        <v>53</v>
      </c>
      <c r="F255" s="21" t="s">
        <v>50</v>
      </c>
      <c r="G255" s="21">
        <v>3</v>
      </c>
      <c r="H255" s="21" t="s">
        <v>49</v>
      </c>
      <c r="I255" s="22" t="s">
        <v>377</v>
      </c>
      <c r="J255" s="22"/>
      <c r="K255" s="23">
        <v>45660</v>
      </c>
      <c r="L255" s="24">
        <v>70000</v>
      </c>
      <c r="M255" s="21" t="s">
        <v>106</v>
      </c>
      <c r="N255" s="21" t="s">
        <v>430</v>
      </c>
      <c r="O255" s="21" t="s">
        <v>69</v>
      </c>
      <c r="P255" s="21" t="s">
        <v>21</v>
      </c>
      <c r="Q255" s="22">
        <v>31012</v>
      </c>
      <c r="R255" s="21" t="s">
        <v>71</v>
      </c>
      <c r="S255" s="21" t="s">
        <v>108</v>
      </c>
      <c r="T255" s="25">
        <v>3188017819</v>
      </c>
      <c r="U255" s="21" t="s">
        <v>54</v>
      </c>
      <c r="V255" s="26" t="e">
        <f>IF(P255=#REF!,"DIPLOMADO EN ATENCION PRE-HOSPITALARIA",IF(P255=#REF!,"ACOMPAÑAMIENTO Y MANEJO DEL DUELO",IF(P255=#REF!,"ATENCION A VICTIMAS DE ATAQUE CON AGENTES QUIMICOS ",IF(P255=#REF!,"PRIMEROS AUXILIOS ",IF(P255=#REF!,"DIPLOMADO DE UNIDAD DE CUIDADOS INTENSIVOS (UCI)",IF(P255=#REF!,"MODELO DE ATENCION PARA EVENTOS EMERGENTES EN SALUD MENTAL (CODIGO VERDE)",IF(P255=#REF!,"HUMANIZACION EN EL SERVICIO DE LA SALUD Y BUENAS PRACTICAS EN PACIENTE ",IF(P255=#REF!,"CLINICA DE HERIDAS ",IF(P255=#REF!,"TOMA DE CITOLOGIA CERVICO VAGINAL ",IF(P255=#REF!,"SOPORTE CARDIOVASCULAR AVANZADO (ACLS) ",IF(P255=#REF!,"CAMILLERO ",IF(P255=#REF!,"TOMA DE MUESTRAS Y LABORATORIO ",IF(P255=#REF!,"SOPORTE VITAL BASICO (BLS)",IF(P255=#REF!,"ATENCION A VICTIMAS DE VIOLENCIA SEXUAL ",IF(P255=#REF!,"PROGRAMADO AMPLIADO DE INMUNIZACION (PAI - COVID 19)",IF(P255=#REF!,"ATENCION INTEGRAL EN ENFERMEDADES PREVALENTES EN PRIMERA INFANCIA (AIEPI)",IF(P255=#REF!,"ADMINISTRACION DE MEDICAMENTOS, INYECTOLOGIA  Y CANALIZACION ",IF(P255=#REF!,"OPERADOR DE VEHICULOS DE EMERGENCIA (OVE)",IF(P255=#REF!,"INSTITUCIONES AMIGAS DE LA MUJER Y LA INFANCIA (IAMI)",IF(P255=#REF!,"CUIDADO DEL DONANTE DE ORGANOS",IF(P255=#REF!,"ATENCION A VICTIMAS POR VIOLENCIA DE GENERO",IF(P255=#REF!,"IGUALDAD DE GENERO EN LA SALUD",IF(P255=#REF!,"BRIGADA DE EMERGENCIA",IF(P255=#REF!,"MANEJO DEL DOLOR Y CUIDADOS PALIATIVOS",IF(P255=#REF!,"TOMA DE MUESTRAS Y LABORATORIO POCT",IF(P255=#REF!,"IMPLANTE SUBDERMICO DE DISPOSITIVO INTRAUTERINO",IF(P255=#REF!,"SALUD MENTAL",IF(P255=#REF!,"PRIMEROS AUXILIOS PSICOLOGICOS",IF(P255=#REF!,"ATENCION A VICTIMAS POR CONFLICTO ARMADO",IF(P255=#REF!,"MANIPULACION DE ALIMENTOS Y BPM",IF(P255=#REF!,"ATENCION A PERSONAS CON DISCAPACIDAD",IF(P255=#REF!,"CUIDADO INTEGRAL DEL PACIENTE ADULTO",IF(P255=#REF!,"MANEJO DEFENSIVO",IF(P255=#REF!,"SOPORTE CARDIOVASCULAR AVANZADO NEONATAL",IF(P255=#REF!,"SEGURIDAD DEL PACIENTE",IF(P255=#REF!,"MANEJO DE RESIDUOS HOSPITALARIOS"))))))))))))))))))))))))))))))))))))</f>
        <v>#REF!</v>
      </c>
      <c r="W255" s="26" t="str">
        <f>CONCATENATE(E255," ",F255," ",C255," ",D255)</f>
        <v>Yuli Elizabeth Solarte Cuaspud</v>
      </c>
      <c r="X255" s="26" t="str">
        <f t="shared" ref="X255:X318" si="30">PROPER(W255)</f>
        <v>Yuli Elizabeth Solarte Cuaspud</v>
      </c>
      <c r="Y255" s="26" t="str">
        <f>CONCATENATE(W255,"-",B255,"-",P255)</f>
        <v>Yuli Elizabeth Solarte Cuaspud-59788866-QUIMICOS</v>
      </c>
    </row>
    <row r="256" spans="1:25" s="19" customFormat="1" x14ac:dyDescent="0.2">
      <c r="A256" s="20">
        <v>3</v>
      </c>
      <c r="B256" s="21">
        <v>59788866</v>
      </c>
      <c r="C256" s="21" t="s">
        <v>51</v>
      </c>
      <c r="D256" s="21" t="s">
        <v>52</v>
      </c>
      <c r="E256" s="21" t="s">
        <v>53</v>
      </c>
      <c r="F256" s="21" t="s">
        <v>50</v>
      </c>
      <c r="G256" s="21">
        <v>3</v>
      </c>
      <c r="H256" s="21" t="s">
        <v>49</v>
      </c>
      <c r="I256" s="22" t="s">
        <v>377</v>
      </c>
      <c r="J256" s="22"/>
      <c r="K256" s="23">
        <v>45660</v>
      </c>
      <c r="L256" s="24">
        <v>70000</v>
      </c>
      <c r="M256" s="21" t="s">
        <v>106</v>
      </c>
      <c r="N256" s="21" t="s">
        <v>430</v>
      </c>
      <c r="O256" s="21" t="s">
        <v>69</v>
      </c>
      <c r="P256" s="21" t="s">
        <v>20</v>
      </c>
      <c r="Q256" s="22">
        <v>31012</v>
      </c>
      <c r="R256" s="21" t="s">
        <v>71</v>
      </c>
      <c r="S256" s="21" t="s">
        <v>108</v>
      </c>
      <c r="T256" s="25">
        <v>3188017819</v>
      </c>
      <c r="U256" s="25" t="s">
        <v>54</v>
      </c>
      <c r="V256" s="26" t="e">
        <f>IF(P256=#REF!,"DIPLOMADO EN ATENCION PRE-HOSPITALARIA",IF(P256=#REF!,"ACOMPAÑAMIENTO Y MANEJO DEL DUELO",IF(P256=#REF!,"ATENCION A VICTIMAS DE ATAQUE CON AGENTES QUIMICOS ",IF(P256=#REF!,"PRIMEROS AUXILIOS ",IF(P256=#REF!,"DIPLOMADO DE UNIDAD DE CUIDADOS INTENSIVOS (UCI)",IF(P256=#REF!,"MODELO DE ATENCION PARA EVENTOS EMERGENTES EN SALUD MENTAL (CODIGO VERDE)",IF(P256=#REF!,"HUMANIZACION EN EL SERVICIO DE LA SALUD Y BUENAS PRACTICAS EN PACIENTE ",IF(P256=#REF!,"CLINICA DE HERIDAS ",IF(P256=#REF!,"TOMA DE CITOLOGIA CERVICO VAGINAL ",IF(P256=#REF!,"SOPORTE CARDIOVASCULAR AVANZADO (ACLS) ",IF(P256=#REF!,"CAMILLERO ",IF(P256=#REF!,"TOMA DE MUESTRAS Y LABORATORIO ",IF(P256=#REF!,"SOPORTE VITAL BASICO (BLS)",IF(P256=#REF!,"ATENCION A VICTIMAS DE VIOLENCIA SEXUAL ",IF(P256=#REF!,"PROGRAMADO AMPLIADO DE INMUNIZACION (PAI - COVID 19)",IF(P256=#REF!,"ATENCION INTEGRAL EN ENFERMEDADES PREVALENTES EN PRIMERA INFANCIA (AIEPI)",IF(P256=#REF!,"ADMINISTRACION DE MEDICAMENTOS, INYECTOLOGIA  Y CANALIZACION ",IF(P256=#REF!,"OPERADOR DE VEHICULOS DE EMERGENCIA (OVE)",IF(P256=#REF!,"INSTITUCIONES AMIGAS DE LA MUJER Y LA INFANCIA (IAMI)",IF(P256=#REF!,"CUIDADO DEL DONANTE DE ORGANOS",IF(P256=#REF!,"ATENCION A VICTIMAS POR VIOLENCIA DE GENERO",IF(P256=#REF!,"IGUALDAD DE GENERO EN LA SALUD",IF(P256=#REF!,"BRIGADA DE EMERGENCIA",IF(P256=#REF!,"MANEJO DEL DOLOR Y CUIDADOS PALIATIVOS",IF(P256=#REF!,"TOMA DE MUESTRAS Y LABORATORIO POCT",IF(P256=#REF!,"IMPLANTE SUBDERMICO DE DISPOSITIVO INTRAUTERINO",IF(P256=#REF!,"SALUD MENTAL",IF(P256=#REF!,"PRIMEROS AUXILIOS PSICOLOGICOS",IF(P256=#REF!,"ATENCION A VICTIMAS POR CONFLICTO ARMADO",IF(P256=#REF!,"MANIPULACION DE ALIMENTOS Y BPM",IF(P256=#REF!,"ATENCION A PERSONAS CON DISCAPACIDAD",IF(P256=#REF!,"CUIDADO INTEGRAL DEL PACIENTE ADULTO",IF(P256=#REF!,"MANEJO DEFENSIVO",IF(P256=#REF!,"SOPORTE CARDIOVASCULAR AVANZADO NEONATAL",IF(P256=#REF!,"SEGURIDAD DEL PACIENTE",IF(P256=#REF!,"MANEJO DE RESIDUOS HOSPITALARIOS"))))))))))))))))))))))))))))))))))))</f>
        <v>#REF!</v>
      </c>
      <c r="W256" s="26" t="str">
        <f>CONCATENATE(E256," ",F256," ",C256," ",D256)</f>
        <v>Yuli Elizabeth Solarte Cuaspud</v>
      </c>
      <c r="X256" s="26" t="str">
        <f t="shared" si="30"/>
        <v>Yuli Elizabeth Solarte Cuaspud</v>
      </c>
      <c r="Y256" s="26" t="str">
        <f>CONCATENATE(W256,"-",B256,"-",P256)</f>
        <v>Yuli Elizabeth Solarte Cuaspud-59788866-DUELO</v>
      </c>
    </row>
    <row r="257" spans="1:25" s="19" customFormat="1" x14ac:dyDescent="0.2">
      <c r="A257" s="20">
        <v>4</v>
      </c>
      <c r="B257" s="21">
        <v>27252075</v>
      </c>
      <c r="C257" s="21" t="s">
        <v>55</v>
      </c>
      <c r="D257" s="21" t="s">
        <v>56</v>
      </c>
      <c r="E257" s="21" t="s">
        <v>57</v>
      </c>
      <c r="F257" s="21" t="s">
        <v>58</v>
      </c>
      <c r="G257" s="21">
        <v>7</v>
      </c>
      <c r="H257" s="21" t="s">
        <v>49</v>
      </c>
      <c r="I257" s="22" t="s">
        <v>376</v>
      </c>
      <c r="J257" s="22"/>
      <c r="K257" s="23">
        <v>45664</v>
      </c>
      <c r="L257" s="24">
        <v>40000</v>
      </c>
      <c r="M257" s="21" t="s">
        <v>79</v>
      </c>
      <c r="N257" s="21" t="s">
        <v>386</v>
      </c>
      <c r="O257" s="21" t="s">
        <v>69</v>
      </c>
      <c r="P257" s="21" t="s">
        <v>28</v>
      </c>
      <c r="Q257" s="22">
        <v>30293</v>
      </c>
      <c r="R257" s="21" t="s">
        <v>71</v>
      </c>
      <c r="S257" s="21" t="s">
        <v>109</v>
      </c>
      <c r="T257" s="25">
        <v>3136144477</v>
      </c>
      <c r="U257" s="25" t="s">
        <v>59</v>
      </c>
      <c r="V257" s="26" t="e">
        <f>IF(P257=#REF!,"DIPLOMADO EN ATENCION PRE-HOSPITALARIA",IF(P257=#REF!,"ACOMPAÑAMIENTO Y MANEJO DEL DUELO",IF(P257=#REF!,"ATENCION A VICTIMAS DE ATAQUE CON AGENTES QUIMICOS ",IF(P257=#REF!,"PRIMEROS AUXILIOS ",IF(P257=#REF!,"DIPLOMADO DE UNIDAD DE CUIDADOS INTENSIVOS (UCI)",IF(P257=#REF!,"MODELO DE ATENCION PARA EVENTOS EMERGENTES EN SALUD MENTAL (CODIGO VERDE)",IF(P257=#REF!,"HUMANIZACION EN EL SERVICIO DE LA SALUD Y BUENAS PRACTICAS EN PACIENTE ",IF(P257=#REF!,"CLINICA DE HERIDAS ",IF(P257=#REF!,"TOMA DE CITOLOGIA CERVICO VAGINAL ",IF(P257=#REF!,"SOPORTE CARDIOVASCULAR AVANZADO (ACLS) ",IF(P257=#REF!,"CAMILLERO ",IF(P257=#REF!,"TOMA DE MUESTRAS Y LABORATORIO ",IF(P257=#REF!,"SOPORTE VITAL BASICO (BLS)",IF(P257=#REF!,"ATENCION A VICTIMAS DE VIOLENCIA SEXUAL ",IF(P257=#REF!,"PROGRAMADO AMPLIADO DE INMUNIZACION (PAI - COVID 19)",IF(P257=#REF!,"ATENCION INTEGRAL EN ENFERMEDADES PREVALENTES EN PRIMERA INFANCIA (AIEPI)",IF(P257=#REF!,"ADMINISTRACION DE MEDICAMENTOS, INYECTOLOGIA  Y CANALIZACION ",IF(P257=#REF!,"OPERADOR DE VEHICULOS DE EMERGENCIA (OVE)",IF(P257=#REF!,"INSTITUCIONES AMIGAS DE LA MUJER Y LA INFANCIA (IAMI)",IF(P257=#REF!,"CUIDADO DEL DONANTE DE ORGANOS",IF(P257=#REF!,"ATENCION A VICTIMAS POR VIOLENCIA DE GENERO",IF(P257=#REF!,"IGUALDAD DE GENERO EN LA SALUD",IF(P257=#REF!,"BRIGADA DE EMERGENCIA",IF(P257=#REF!,"MANEJO DEL DOLOR Y CUIDADOS PALIATIVOS",IF(P257=#REF!,"TOMA DE MUESTRAS Y LABORATORIO POCT",IF(P257=#REF!,"IMPLANTE SUBDERMICO DE DISPOSITIVO INTRAUTERINO",IF(P257=#REF!,"SALUD MENTAL",IF(P257=#REF!,"PRIMEROS AUXILIOS PSICOLOGICOS",IF(P257=#REF!,"ATENCION A VICTIMAS POR CONFLICTO ARMADO",IF(P257=#REF!,"MANIPULACION DE ALIMENTOS Y BPM",IF(P257=#REF!,"ATENCION A PERSONAS CON DISCAPACIDAD",IF(P257=#REF!,"CUIDADO INTEGRAL DEL PACIENTE ADULTO",IF(P257=#REF!,"MANEJO DEFENSIVO",IF(P257=#REF!,"SOPORTE CARDIOVASCULAR AVANZADO NEONATAL",IF(P257=#REF!,"SEGURIDAD DEL PACIENTE",IF(P257=#REF!,"MANEJO DE RESIDUOS HOSPITALARIOS"))))))))))))))))))))))))))))))))))))</f>
        <v>#REF!</v>
      </c>
      <c r="W257" s="26" t="str">
        <f>CONCATENATE(E257," ",F257," ",C257," ",D257)</f>
        <v>LEYDI YOHANA RAMIREZ CARDENAS</v>
      </c>
      <c r="X257" s="26" t="str">
        <f t="shared" si="30"/>
        <v>Leydi Yohana Ramirez Cardenas</v>
      </c>
      <c r="Y257" s="26" t="str">
        <f>CONCATENATE(W257,"-",B257,"-",P257)</f>
        <v>LEYDI YOHANA RAMIREZ CARDENAS-27252075-AIEPI</v>
      </c>
    </row>
    <row r="258" spans="1:25" s="19" customFormat="1" x14ac:dyDescent="0.2">
      <c r="A258" s="20">
        <v>5</v>
      </c>
      <c r="B258" s="21">
        <v>1087126445</v>
      </c>
      <c r="C258" s="21" t="s">
        <v>60</v>
      </c>
      <c r="D258" s="21" t="s">
        <v>61</v>
      </c>
      <c r="E258" s="21" t="s">
        <v>62</v>
      </c>
      <c r="F258" s="21" t="s">
        <v>63</v>
      </c>
      <c r="G258" s="21">
        <v>7</v>
      </c>
      <c r="H258" s="21" t="s">
        <v>49</v>
      </c>
      <c r="I258" s="22" t="s">
        <v>376</v>
      </c>
      <c r="J258" s="22"/>
      <c r="K258" s="67"/>
      <c r="L258" s="69">
        <v>35000</v>
      </c>
      <c r="M258" s="66"/>
      <c r="N258" s="21" t="s">
        <v>386</v>
      </c>
      <c r="O258" s="21" t="s">
        <v>69</v>
      </c>
      <c r="P258" s="21" t="s">
        <v>19</v>
      </c>
      <c r="Q258" s="22"/>
      <c r="R258" s="21" t="s">
        <v>70</v>
      </c>
      <c r="S258" s="21" t="s">
        <v>107</v>
      </c>
      <c r="T258" s="25">
        <v>3156160462</v>
      </c>
      <c r="U258" s="25" t="s">
        <v>64</v>
      </c>
      <c r="V258" s="26" t="e">
        <f>IF(P258=#REF!,"DIPLOMADO EN ATENCION PRE-HOSPITALARIA",IF(P258=#REF!,"ACOMPAÑAMIENTO Y MANEJO DEL DUELO",IF(P258=#REF!,"ATENCION A VICTIMAS DE ATAQUE CON AGENTES QUIMICOS ",IF(P258=#REF!,"PRIMEROS AUXILIOS ",IF(P258=#REF!,"DIPLOMADO DE UNIDAD DE CUIDADOS INTENSIVOS (UCI)",IF(P258=#REF!,"MODELO DE ATENCION PARA EVENTOS EMERGENTES EN SALUD MENTAL (CODIGO VERDE)",IF(P258=#REF!,"HUMANIZACION EN EL SERVICIO DE LA SALUD Y BUENAS PRACTICAS EN PACIENTE ",IF(P258=#REF!,"CLINICA DE HERIDAS ",IF(P258=#REF!,"TOMA DE CITOLOGIA CERVICO VAGINAL ",IF(P258=#REF!,"SOPORTE CARDIOVASCULAR AVANZADO (ACLS) ",IF(P258=#REF!,"CAMILLERO ",IF(P258=#REF!,"TOMA DE MUESTRAS Y LABORATORIO ",IF(P258=#REF!,"SOPORTE VITAL BASICO (BLS)",IF(P258=#REF!,"ATENCION A VICTIMAS DE VIOLENCIA SEXUAL ",IF(P258=#REF!,"PROGRAMADO AMPLIADO DE INMUNIZACION (PAI - COVID 19)",IF(P258=#REF!,"ATENCION INTEGRAL EN ENFERMEDADES PREVALENTES EN PRIMERA INFANCIA (AIEPI)",IF(P258=#REF!,"ADMINISTRACION DE MEDICAMENTOS, INYECTOLOGIA  Y CANALIZACION ",IF(P258=#REF!,"OPERADOR DE VEHICULOS DE EMERGENCIA (OVE)",IF(P258=#REF!,"INSTITUCIONES AMIGAS DE LA MUJER Y LA INFANCIA (IAMI)",IF(P258=#REF!,"CUIDADO DEL DONANTE DE ORGANOS",IF(P258=#REF!,"ATENCION A VICTIMAS POR VIOLENCIA DE GENERO",IF(P258=#REF!,"IGUALDAD DE GENERO EN LA SALUD",IF(P258=#REF!,"BRIGADA DE EMERGENCIA",IF(P258=#REF!,"MANEJO DEL DOLOR Y CUIDADOS PALIATIVOS",IF(P258=#REF!,"TOMA DE MUESTRAS Y LABORATORIO POCT",IF(P258=#REF!,"IMPLANTE SUBDERMICO DE DISPOSITIVO INTRAUTERINO",IF(P258=#REF!,"SALUD MENTAL",IF(P258=#REF!,"PRIMEROS AUXILIOS PSICOLOGICOS",IF(P258=#REF!,"ATENCION A VICTIMAS POR CONFLICTO ARMADO",IF(P258=#REF!,"MANIPULACION DE ALIMENTOS Y BPM",IF(P258=#REF!,"ATENCION A PERSONAS CON DISCAPACIDAD",IF(P258=#REF!,"CUIDADO INTEGRAL DEL PACIENTE ADULTO",IF(P258=#REF!,"MANEJO DEFENSIVO",IF(P258=#REF!,"SOPORTE CARDIOVASCULAR AVANZADO NEONATAL",IF(P258=#REF!,"SEGURIDAD DEL PACIENTE",IF(P258=#REF!,"MANEJO DE RESIDUOS HOSPITALARIOS"))))))))))))))))))))))))))))))))))))</f>
        <v>#REF!</v>
      </c>
      <c r="W258" s="26" t="str">
        <f>CONCATENATE(E258," ",F258," ",C258," ",D258)</f>
        <v>DEIMAN ALEXIS PALACIOS TORRES</v>
      </c>
      <c r="X258" s="26" t="str">
        <f t="shared" si="30"/>
        <v>Deiman Alexis Palacios Torres</v>
      </c>
      <c r="Y258" s="26" t="str">
        <f>CONCATENATE(W258,"-",B258,"-",P258)</f>
        <v>DEIMAN ALEXIS PALACIOS TORRES-1087126445-BLS</v>
      </c>
    </row>
    <row r="259" spans="1:25" s="19" customFormat="1" x14ac:dyDescent="0.2">
      <c r="A259" s="20">
        <v>6</v>
      </c>
      <c r="B259" s="21">
        <v>1087126445</v>
      </c>
      <c r="C259" s="21" t="s">
        <v>60</v>
      </c>
      <c r="D259" s="21" t="s">
        <v>61</v>
      </c>
      <c r="E259" s="21" t="s">
        <v>62</v>
      </c>
      <c r="F259" s="21" t="s">
        <v>63</v>
      </c>
      <c r="G259" s="21">
        <v>7</v>
      </c>
      <c r="H259" s="21" t="s">
        <v>49</v>
      </c>
      <c r="I259" s="22" t="s">
        <v>376</v>
      </c>
      <c r="J259" s="22"/>
      <c r="K259" s="67"/>
      <c r="L259" s="69">
        <v>35000</v>
      </c>
      <c r="M259" s="66"/>
      <c r="N259" s="21" t="s">
        <v>386</v>
      </c>
      <c r="O259" s="21" t="s">
        <v>69</v>
      </c>
      <c r="P259" s="21" t="s">
        <v>65</v>
      </c>
      <c r="Q259" s="22"/>
      <c r="R259" s="21" t="s">
        <v>70</v>
      </c>
      <c r="S259" s="21" t="s">
        <v>107</v>
      </c>
      <c r="T259" s="25">
        <v>3156160462</v>
      </c>
      <c r="U259" s="25" t="s">
        <v>64</v>
      </c>
      <c r="V259" s="26" t="e">
        <f>IF(P259=#REF!,"DIPLOMADO EN ATENCION PRE-HOSPITALARIA",IF(P259=#REF!,"ACOMPAÑAMIENTO Y MANEJO DEL DUELO",IF(P259=#REF!,"ATENCION A VICTIMAS DE ATAQUE CON AGENTES QUIMICOS ",IF(P259=#REF!,"PRIMEROS AUXILIOS ",IF(P259=#REF!,"DIPLOMADO DE UNIDAD DE CUIDADOS INTENSIVOS (UCI)",IF(P259=#REF!,"MODELO DE ATENCION PARA EVENTOS EMERGENTES EN SALUD MENTAL (CODIGO VERDE)",IF(P259=#REF!,"HUMANIZACION EN EL SERVICIO DE LA SALUD Y BUENAS PRACTICAS EN PACIENTE ",IF(P259=#REF!,"CLINICA DE HERIDAS ",IF(P259=#REF!,"TOMA DE CITOLOGIA CERVICO VAGINAL ",IF(P259=#REF!,"SOPORTE CARDIOVASCULAR AVANZADO (ACLS) ",IF(P259=#REF!,"CAMILLERO ",IF(P259=#REF!,"TOMA DE MUESTRAS Y LABORATORIO ",IF(P259=#REF!,"SOPORTE VITAL BASICO (BLS)",IF(P259=#REF!,"ATENCION A VICTIMAS DE VIOLENCIA SEXUAL ",IF(P259=#REF!,"PROGRAMADO AMPLIADO DE INMUNIZACION (PAI - COVID 19)",IF(P259=#REF!,"ATENCION INTEGRAL EN ENFERMEDADES PREVALENTES EN PRIMERA INFANCIA (AIEPI)",IF(P259=#REF!,"ADMINISTRACION DE MEDICAMENTOS, INYECTOLOGIA  Y CANALIZACION ",IF(P259=#REF!,"OPERADOR DE VEHICULOS DE EMERGENCIA (OVE)",IF(P259=#REF!,"INSTITUCIONES AMIGAS DE LA MUJER Y LA INFANCIA (IAMI)",IF(P259=#REF!,"CUIDADO DEL DONANTE DE ORGANOS",IF(P259=#REF!,"ATENCION A VICTIMAS POR VIOLENCIA DE GENERO",IF(P259=#REF!,"IGUALDAD DE GENERO EN LA SALUD",IF(P259=#REF!,"BRIGADA DE EMERGENCIA",IF(P259=#REF!,"MANEJO DEL DOLOR Y CUIDADOS PALIATIVOS",IF(P259=#REF!,"TOMA DE MUESTRAS Y LABORATORIO POCT",IF(P259=#REF!,"IMPLANTE SUBDERMICO DE DISPOSITIVO INTRAUTERINO",IF(P259=#REF!,"SALUD MENTAL",IF(P259=#REF!,"PRIMEROS AUXILIOS PSICOLOGICOS",IF(P259=#REF!,"ATENCION A VICTIMAS POR CONFLICTO ARMADO",IF(P259=#REF!,"MANIPULACION DE ALIMENTOS Y BPM",IF(P259=#REF!,"ATENCION A PERSONAS CON DISCAPACIDAD",IF(P259=#REF!,"CUIDADO INTEGRAL DEL PACIENTE ADULTO",IF(P259=#REF!,"MANEJO DEFENSIVO",IF(P259=#REF!,"SOPORTE CARDIOVASCULAR AVANZADO NEONATAL",IF(P259=#REF!,"SEGURIDAD DEL PACIENTE",IF(P259=#REF!,"MANEJO DE RESIDUOS HOSPITALARIOS"))))))))))))))))))))))))))))))))))))</f>
        <v>#REF!</v>
      </c>
      <c r="W259" s="26" t="str">
        <f>CONCATENATE(E259," ",F259," ",C259," ",D259)</f>
        <v>DEIMAN ALEXIS PALACIOS TORRES</v>
      </c>
      <c r="X259" s="26" t="str">
        <f t="shared" si="30"/>
        <v>Deiman Alexis Palacios Torres</v>
      </c>
      <c r="Y259" s="26" t="str">
        <f>CONCATENATE(W259,"-",B259,"-",P259)</f>
        <v>DEIMAN ALEXIS PALACIOS TORRES-1087126445-SALVAMENTO ACUATICO</v>
      </c>
    </row>
    <row r="260" spans="1:25" s="19" customFormat="1" x14ac:dyDescent="0.2">
      <c r="A260" s="20">
        <v>7</v>
      </c>
      <c r="B260" s="21">
        <v>1085267689</v>
      </c>
      <c r="C260" s="21" t="s">
        <v>66</v>
      </c>
      <c r="D260" s="21" t="s">
        <v>67</v>
      </c>
      <c r="E260" s="21" t="s">
        <v>68</v>
      </c>
      <c r="F260" s="21" t="s">
        <v>50</v>
      </c>
      <c r="G260" s="21">
        <v>8</v>
      </c>
      <c r="H260" s="21" t="s">
        <v>49</v>
      </c>
      <c r="I260" s="22" t="s">
        <v>377</v>
      </c>
      <c r="J260" s="22"/>
      <c r="K260" s="23">
        <v>45665</v>
      </c>
      <c r="L260" s="24">
        <v>80000</v>
      </c>
      <c r="M260" s="21" t="s">
        <v>133</v>
      </c>
      <c r="N260" s="21" t="s">
        <v>387</v>
      </c>
      <c r="O260" s="21" t="s">
        <v>69</v>
      </c>
      <c r="P260" s="21" t="s">
        <v>29</v>
      </c>
      <c r="Q260" s="22">
        <v>32350</v>
      </c>
      <c r="R260" s="21" t="s">
        <v>71</v>
      </c>
      <c r="S260" s="21" t="s">
        <v>107</v>
      </c>
      <c r="T260" s="25">
        <v>3113493847</v>
      </c>
      <c r="U260" s="21" t="s">
        <v>72</v>
      </c>
      <c r="V260" s="26" t="e">
        <f>IF(P260=#REF!,"DIPLOMADO EN ATENCION PRE-HOSPITALARIA",IF(P260=#REF!,"ACOMPAÑAMIENTO Y MANEJO DEL DUELO",IF(P260=#REF!,"ATENCION A VICTIMAS DE ATAQUE CON AGENTES QUIMICOS ",IF(P260=#REF!,"PRIMEROS AUXILIOS ",IF(P260=#REF!,"DIPLOMADO DE UNIDAD DE CUIDADOS INTENSIVOS (UCI)",IF(P260=#REF!,"MODELO DE ATENCION PARA EVENTOS EMERGENTES EN SALUD MENTAL (CODIGO VERDE)",IF(P260=#REF!,"HUMANIZACION EN EL SERVICIO DE LA SALUD Y BUENAS PRACTICAS EN PACIENTE ",IF(P260=#REF!,"CLINICA DE HERIDAS ",IF(P260=#REF!,"TOMA DE CITOLOGIA CERVICO VAGINAL ",IF(P260=#REF!,"SOPORTE CARDIOVASCULAR AVANZADO (ACLS) ",IF(P260=#REF!,"CAMILLERO ",IF(P260=#REF!,"TOMA DE MUESTRAS Y LABORATORIO ",IF(P260=#REF!,"SOPORTE VITAL BASICO (BLS)",IF(P260=#REF!,"ATENCION A VICTIMAS DE VIOLENCIA SEXUAL ",IF(P260=#REF!,"PROGRAMADO AMPLIADO DE INMUNIZACION (PAI - COVID 19)",IF(P260=#REF!,"ATENCION INTEGRAL EN ENFERMEDADES PREVALENTES EN PRIMERA INFANCIA (AIEPI)",IF(P260=#REF!,"ADMINISTRACION DE MEDICAMENTOS, INYECTOLOGIA  Y CANALIZACION ",IF(P260=#REF!,"OPERADOR DE VEHICULOS DE EMERGENCIA (OVE)",IF(P260=#REF!,"INSTITUCIONES AMIGAS DE LA MUJER Y LA INFANCIA (IAMI)",IF(P260=#REF!,"CUIDADO DEL DONANTE DE ORGANOS",IF(P260=#REF!,"ATENCION A VICTIMAS POR VIOLENCIA DE GENERO",IF(P260=#REF!,"IGUALDAD DE GENERO EN LA SALUD",IF(P260=#REF!,"BRIGADA DE EMERGENCIA",IF(P260=#REF!,"MANEJO DEL DOLOR Y CUIDADOS PALIATIVOS",IF(P260=#REF!,"TOMA DE MUESTRAS Y LABORATORIO POCT",IF(P260=#REF!,"IMPLANTE SUBDERMICO DE DISPOSITIVO INTRAUTERINO",IF(P260=#REF!,"SALUD MENTAL",IF(P260=#REF!,"PRIMEROS AUXILIOS PSICOLOGICOS",IF(P260=#REF!,"ATENCION A VICTIMAS POR CONFLICTO ARMADO",IF(P260=#REF!,"MANIPULACION DE ALIMENTOS Y BPM",IF(P260=#REF!,"ATENCION A PERSONAS CON DISCAPACIDAD",IF(P260=#REF!,"CUIDADO INTEGRAL DEL PACIENTE ADULTO",IF(P260=#REF!,"MANEJO DEFENSIVO",IF(P260=#REF!,"SOPORTE CARDIOVASCULAR AVANZADO NEONATAL",IF(P260=#REF!,"SEGURIDAD DEL PACIENTE",IF(P260=#REF!,"MANEJO DE RESIDUOS HOSPITALARIOS"))))))))))))))))))))))))))))))))))))</f>
        <v>#REF!</v>
      </c>
      <c r="W260" s="26" t="str">
        <f>CONCATENATE(E260," ",F260," ",C260," ",D260)</f>
        <v>Johana Elizabeth Meza Burbano</v>
      </c>
      <c r="X260" s="26" t="str">
        <f t="shared" si="30"/>
        <v>Johana Elizabeth Meza Burbano</v>
      </c>
      <c r="Y260" s="26" t="str">
        <f>CONCATENATE(W260,"-",B260,"-",P260)</f>
        <v>Johana Elizabeth Meza Burbano-1085267689-ADMON DE MEDICAMENTOS</v>
      </c>
    </row>
    <row r="261" spans="1:25" s="19" customFormat="1" x14ac:dyDescent="0.2">
      <c r="A261" s="20">
        <v>8</v>
      </c>
      <c r="B261" s="21">
        <v>13053630</v>
      </c>
      <c r="C261" s="21" t="s">
        <v>73</v>
      </c>
      <c r="D261" s="21" t="s">
        <v>74</v>
      </c>
      <c r="E261" s="21" t="s">
        <v>75</v>
      </c>
      <c r="F261" s="21" t="s">
        <v>76</v>
      </c>
      <c r="G261" s="21">
        <v>8</v>
      </c>
      <c r="H261" s="21" t="s">
        <v>49</v>
      </c>
      <c r="I261" s="22" t="s">
        <v>376</v>
      </c>
      <c r="J261" s="22"/>
      <c r="K261" s="23">
        <v>45665</v>
      </c>
      <c r="L261" s="24">
        <v>60000</v>
      </c>
      <c r="M261" s="21" t="s">
        <v>79</v>
      </c>
      <c r="N261" s="21" t="s">
        <v>387</v>
      </c>
      <c r="O261" s="21" t="s">
        <v>77</v>
      </c>
      <c r="P261" s="21" t="s">
        <v>22</v>
      </c>
      <c r="Q261" s="22"/>
      <c r="R261" s="21" t="s">
        <v>70</v>
      </c>
      <c r="S261" s="25" t="s">
        <v>107</v>
      </c>
      <c r="T261" s="25"/>
      <c r="U261" s="25" t="s">
        <v>78</v>
      </c>
      <c r="V261" s="26" t="e">
        <f>IF(P261=#REF!,"DIPLOMADO EN ATENCION PRE-HOSPITALARIA",IF(P261=#REF!,"ACOMPAÑAMIENTO Y MANEJO DEL DUELO",IF(P261=#REF!,"ATENCION A VICTIMAS DE ATAQUE CON AGENTES QUIMICOS ",IF(P261=#REF!,"PRIMEROS AUXILIOS ",IF(P261=#REF!,"DIPLOMADO DE UNIDAD DE CUIDADOS INTENSIVOS (UCI)",IF(P261=#REF!,"MODELO DE ATENCION PARA EVENTOS EMERGENTES EN SALUD MENTAL (CODIGO VERDE)",IF(P261=#REF!,"HUMANIZACION EN EL SERVICIO DE LA SALUD Y BUENAS PRACTICAS EN PACIENTE ",IF(P261=#REF!,"CLINICA DE HERIDAS ",IF(P261=#REF!,"TOMA DE CITOLOGIA CERVICO VAGINAL ",IF(P261=#REF!,"SOPORTE CARDIOVASCULAR AVANZADO (ACLS) ",IF(P261=#REF!,"CAMILLERO ",IF(P261=#REF!,"TOMA DE MUESTRAS Y LABORATORIO ",IF(P261=#REF!,"SOPORTE VITAL BASICO (BLS)",IF(P261=#REF!,"ATENCION A VICTIMAS DE VIOLENCIA SEXUAL ",IF(P261=#REF!,"PROGRAMADO AMPLIADO DE INMUNIZACION (PAI - COVID 19)",IF(P261=#REF!,"ATENCION INTEGRAL EN ENFERMEDADES PREVALENTES EN PRIMERA INFANCIA (AIEPI)",IF(P261=#REF!,"ADMINISTRACION DE MEDICAMENTOS, INYECTOLOGIA  Y CANALIZACION ",IF(P261=#REF!,"OPERADOR DE VEHICULOS DE EMERGENCIA (OVE)",IF(P261=#REF!,"INSTITUCIONES AMIGAS DE LA MUJER Y LA INFANCIA (IAMI)",IF(P261=#REF!,"CUIDADO DEL DONANTE DE ORGANOS",IF(P261=#REF!,"ATENCION A VICTIMAS POR VIOLENCIA DE GENERO",IF(P261=#REF!,"IGUALDAD DE GENERO EN LA SALUD",IF(P261=#REF!,"BRIGADA DE EMERGENCIA",IF(P261=#REF!,"MANEJO DEL DOLOR Y CUIDADOS PALIATIVOS",IF(P261=#REF!,"TOMA DE MUESTRAS Y LABORATORIO POCT",IF(P261=#REF!,"IMPLANTE SUBDERMICO DE DISPOSITIVO INTRAUTERINO",IF(P261=#REF!,"SALUD MENTAL",IF(P261=#REF!,"PRIMEROS AUXILIOS PSICOLOGICOS",IF(P261=#REF!,"ATENCION A VICTIMAS POR CONFLICTO ARMADO",IF(P261=#REF!,"MANIPULACION DE ALIMENTOS Y BPM",IF(P261=#REF!,"ATENCION A PERSONAS CON DISCAPACIDAD",IF(P261=#REF!,"CUIDADO INTEGRAL DEL PACIENTE ADULTO",IF(P261=#REF!,"MANEJO DEFENSIVO",IF(P261=#REF!,"SOPORTE CARDIOVASCULAR AVANZADO NEONATAL",IF(P261=#REF!,"SEGURIDAD DEL PACIENTE",IF(P261=#REF!,"MANEJO DE RESIDUOS HOSPITALARIOS"))))))))))))))))))))))))))))))))))))</f>
        <v>#REF!</v>
      </c>
      <c r="W261" s="26" t="str">
        <f>CONCATENATE(E261," ",F261," ",C261," ",D261)</f>
        <v>Wilson Ali Riascos Arboleda</v>
      </c>
      <c r="X261" s="26" t="str">
        <f t="shared" si="30"/>
        <v>Wilson Ali Riascos Arboleda</v>
      </c>
      <c r="Y261" s="26" t="str">
        <f>CONCATENATE(W261,"-",B261,"-",P261)</f>
        <v>Wilson Ali Riascos Arboleda-13053630-PRIMEROS AUXILIOS</v>
      </c>
    </row>
    <row r="262" spans="1:25" s="19" customFormat="1" x14ac:dyDescent="0.2">
      <c r="A262" s="20">
        <v>9</v>
      </c>
      <c r="B262" s="21">
        <v>13053630</v>
      </c>
      <c r="C262" s="21" t="s">
        <v>73</v>
      </c>
      <c r="D262" s="21" t="s">
        <v>74</v>
      </c>
      <c r="E262" s="21" t="s">
        <v>75</v>
      </c>
      <c r="F262" s="21" t="s">
        <v>76</v>
      </c>
      <c r="G262" s="21">
        <v>8</v>
      </c>
      <c r="H262" s="21" t="s">
        <v>49</v>
      </c>
      <c r="I262" s="22" t="s">
        <v>376</v>
      </c>
      <c r="J262" s="22"/>
      <c r="K262" s="23">
        <v>45665</v>
      </c>
      <c r="L262" s="24">
        <v>60000</v>
      </c>
      <c r="M262" s="21" t="s">
        <v>79</v>
      </c>
      <c r="N262" s="21" t="s">
        <v>387</v>
      </c>
      <c r="O262" s="21" t="s">
        <v>77</v>
      </c>
      <c r="P262" s="21" t="s">
        <v>30</v>
      </c>
      <c r="Q262" s="22"/>
      <c r="R262" s="21" t="s">
        <v>70</v>
      </c>
      <c r="S262" s="21" t="s">
        <v>107</v>
      </c>
      <c r="T262" s="25"/>
      <c r="U262" s="25" t="s">
        <v>78</v>
      </c>
      <c r="V262" s="26" t="e">
        <f>IF(P262=#REF!,"DIPLOMADO EN ATENCION PRE-HOSPITALARIA",IF(P262=#REF!,"ACOMPAÑAMIENTO Y MANEJO DEL DUELO",IF(P262=#REF!,"ATENCION A VICTIMAS DE ATAQUE CON AGENTES QUIMICOS ",IF(P262=#REF!,"PRIMEROS AUXILIOS ",IF(P262=#REF!,"DIPLOMADO DE UNIDAD DE CUIDADOS INTENSIVOS (UCI)",IF(P262=#REF!,"MODELO DE ATENCION PARA EVENTOS EMERGENTES EN SALUD MENTAL (CODIGO VERDE)",IF(P262=#REF!,"HUMANIZACION EN EL SERVICIO DE LA SALUD Y BUENAS PRACTICAS EN PACIENTE ",IF(P262=#REF!,"CLINICA DE HERIDAS ",IF(P262=#REF!,"TOMA DE CITOLOGIA CERVICO VAGINAL ",IF(P262=#REF!,"SOPORTE CARDIOVASCULAR AVANZADO (ACLS) ",IF(P262=#REF!,"CAMILLERO ",IF(P262=#REF!,"TOMA DE MUESTRAS Y LABORATORIO ",IF(P262=#REF!,"SOPORTE VITAL BASICO (BLS)",IF(P262=#REF!,"ATENCION A VICTIMAS DE VIOLENCIA SEXUAL ",IF(P262=#REF!,"PROGRAMADO AMPLIADO DE INMUNIZACION (PAI - COVID 19)",IF(P262=#REF!,"ATENCION INTEGRAL EN ENFERMEDADES PREVALENTES EN PRIMERA INFANCIA (AIEPI)",IF(P262=#REF!,"ADMINISTRACION DE MEDICAMENTOS, INYECTOLOGIA  Y CANALIZACION ",IF(P262=#REF!,"OPERADOR DE VEHICULOS DE EMERGENCIA (OVE)",IF(P262=#REF!,"INSTITUCIONES AMIGAS DE LA MUJER Y LA INFANCIA (IAMI)",IF(P262=#REF!,"CUIDADO DEL DONANTE DE ORGANOS",IF(P262=#REF!,"ATENCION A VICTIMAS POR VIOLENCIA DE GENERO",IF(P262=#REF!,"IGUALDAD DE GENERO EN LA SALUD",IF(P262=#REF!,"BRIGADA DE EMERGENCIA",IF(P262=#REF!,"MANEJO DEL DOLOR Y CUIDADOS PALIATIVOS",IF(P262=#REF!,"TOMA DE MUESTRAS Y LABORATORIO POCT",IF(P262=#REF!,"IMPLANTE SUBDERMICO DE DISPOSITIVO INTRAUTERINO",IF(P262=#REF!,"SALUD MENTAL",IF(P262=#REF!,"PRIMEROS AUXILIOS PSICOLOGICOS",IF(P262=#REF!,"ATENCION A VICTIMAS POR CONFLICTO ARMADO",IF(P262=#REF!,"MANIPULACION DE ALIMENTOS Y BPM",IF(P262=#REF!,"ATENCION A PERSONAS CON DISCAPACIDAD",IF(P262=#REF!,"CUIDADO INTEGRAL DEL PACIENTE ADULTO",IF(P262=#REF!,"MANEJO DEFENSIVO",IF(P262=#REF!,"SOPORTE CARDIOVASCULAR AVANZADO NEONATAL",IF(P262=#REF!,"SEGURIDAD DEL PACIENTE",IF(P262=#REF!,"MANEJO DE RESIDUOS HOSPITALARIOS"))))))))))))))))))))))))))))))))))))</f>
        <v>#REF!</v>
      </c>
      <c r="W262" s="26" t="str">
        <f>CONCATENATE(E262," ",F262," ",C262," ",D262)</f>
        <v>Wilson Ali Riascos Arboleda</v>
      </c>
      <c r="X262" s="26" t="str">
        <f t="shared" si="30"/>
        <v>Wilson Ali Riascos Arboleda</v>
      </c>
      <c r="Y262" s="26" t="str">
        <f>CONCATENATE(W262,"-",B262,"-",P262)</f>
        <v>Wilson Ali Riascos Arboleda-13053630-OVE</v>
      </c>
    </row>
    <row r="263" spans="1:25" s="19" customFormat="1" x14ac:dyDescent="0.2">
      <c r="A263" s="20">
        <v>10</v>
      </c>
      <c r="B263" s="21">
        <v>1089482317</v>
      </c>
      <c r="C263" s="21" t="s">
        <v>67</v>
      </c>
      <c r="D263" s="21" t="s">
        <v>80</v>
      </c>
      <c r="E263" s="21" t="s">
        <v>81</v>
      </c>
      <c r="F263" s="21" t="s">
        <v>82</v>
      </c>
      <c r="G263" s="21">
        <v>8</v>
      </c>
      <c r="H263" s="21" t="s">
        <v>49</v>
      </c>
      <c r="I263" s="22" t="s">
        <v>376</v>
      </c>
      <c r="J263" s="22"/>
      <c r="K263" s="23">
        <v>45665</v>
      </c>
      <c r="L263" s="24">
        <v>100000</v>
      </c>
      <c r="M263" s="21" t="s">
        <v>79</v>
      </c>
      <c r="N263" s="21" t="s">
        <v>387</v>
      </c>
      <c r="O263" s="21" t="s">
        <v>69</v>
      </c>
      <c r="P263" s="21" t="s">
        <v>24</v>
      </c>
      <c r="Q263" s="22">
        <v>33247</v>
      </c>
      <c r="R263" s="21" t="s">
        <v>71</v>
      </c>
      <c r="S263" s="25" t="s">
        <v>83</v>
      </c>
      <c r="T263" s="25">
        <v>3116068502</v>
      </c>
      <c r="U263" s="21" t="s">
        <v>84</v>
      </c>
      <c r="V263" s="26" t="e">
        <f>IF(P263=#REF!,"DIPLOMADO EN ATENCION PRE-HOSPITALARIA",IF(P263=#REF!,"ACOMPAÑAMIENTO Y MANEJO DEL DUELO",IF(P263=#REF!,"ATENCION A VICTIMAS DE ATAQUE CON AGENTES QUIMICOS ",IF(P263=#REF!,"PRIMEROS AUXILIOS ",IF(P263=#REF!,"DIPLOMADO DE UNIDAD DE CUIDADOS INTENSIVOS (UCI)",IF(P263=#REF!,"MODELO DE ATENCION PARA EVENTOS EMERGENTES EN SALUD MENTAL (CODIGO VERDE)",IF(P263=#REF!,"HUMANIZACION EN EL SERVICIO DE LA SALUD Y BUENAS PRACTICAS EN PACIENTE ",IF(P263=#REF!,"CLINICA DE HERIDAS ",IF(P263=#REF!,"TOMA DE CITOLOGIA CERVICO VAGINAL ",IF(P263=#REF!,"SOPORTE CARDIOVASCULAR AVANZADO (ACLS) ",IF(P263=#REF!,"CAMILLERO ",IF(P263=#REF!,"TOMA DE MUESTRAS Y LABORATORIO ",IF(P263=#REF!,"SOPORTE VITAL BASICO (BLS)",IF(P263=#REF!,"ATENCION A VICTIMAS DE VIOLENCIA SEXUAL ",IF(P263=#REF!,"PROGRAMADO AMPLIADO DE INMUNIZACION (PAI - COVID 19)",IF(P263=#REF!,"ATENCION INTEGRAL EN ENFERMEDADES PREVALENTES EN PRIMERA INFANCIA (AIEPI)",IF(P263=#REF!,"ADMINISTRACION DE MEDICAMENTOS, INYECTOLOGIA  Y CANALIZACION ",IF(P263=#REF!,"OPERADOR DE VEHICULOS DE EMERGENCIA (OVE)",IF(P263=#REF!,"INSTITUCIONES AMIGAS DE LA MUJER Y LA INFANCIA (IAMI)",IF(P263=#REF!,"CUIDADO DEL DONANTE DE ORGANOS",IF(P263=#REF!,"ATENCION A VICTIMAS POR VIOLENCIA DE GENERO",IF(P263=#REF!,"IGUALDAD DE GENERO EN LA SALUD",IF(P263=#REF!,"BRIGADA DE EMERGENCIA",IF(P263=#REF!,"MANEJO DEL DOLOR Y CUIDADOS PALIATIVOS",IF(P263=#REF!,"TOMA DE MUESTRAS Y LABORATORIO POCT",IF(P263=#REF!,"IMPLANTE SUBDERMICO DE DISPOSITIVO INTRAUTERINO",IF(P263=#REF!,"SALUD MENTAL",IF(P263=#REF!,"PRIMEROS AUXILIOS PSICOLOGICOS",IF(P263=#REF!,"ATENCION A VICTIMAS POR CONFLICTO ARMADO",IF(P263=#REF!,"MANIPULACION DE ALIMENTOS Y BPM",IF(P263=#REF!,"ATENCION A PERSONAS CON DISCAPACIDAD",IF(P263=#REF!,"CUIDADO INTEGRAL DEL PACIENTE ADULTO",IF(P263=#REF!,"MANEJO DEFENSIVO",IF(P263=#REF!,"SOPORTE CARDIOVASCULAR AVANZADO NEONATAL",IF(P263=#REF!,"SEGURIDAD DEL PACIENTE",IF(P263=#REF!,"MANEJO DE RESIDUOS HOSPITALARIOS"))))))))))))))))))))))))))))))))))))</f>
        <v>#REF!</v>
      </c>
      <c r="W263" s="26" t="str">
        <f>CONCATENATE(E263," ",F263," ",C263," ",D263)</f>
        <v>Melissa Andrea Burbano Erazo</v>
      </c>
      <c r="X263" s="26" t="str">
        <f t="shared" si="30"/>
        <v>Melissa Andrea Burbano Erazo</v>
      </c>
      <c r="Y263" s="26" t="str">
        <f>CONCATENATE(W263,"-",B263,"-",P263)</f>
        <v>Melissa Andrea Burbano Erazo-1089482317-ACLS</v>
      </c>
    </row>
    <row r="264" spans="1:25" s="19" customFormat="1" x14ac:dyDescent="0.2">
      <c r="A264" s="20">
        <v>11</v>
      </c>
      <c r="B264" s="21">
        <v>1085311659</v>
      </c>
      <c r="C264" s="21" t="s">
        <v>85</v>
      </c>
      <c r="D264" s="21" t="s">
        <v>86</v>
      </c>
      <c r="E264" s="21" t="s">
        <v>87</v>
      </c>
      <c r="F264" s="21" t="s">
        <v>88</v>
      </c>
      <c r="G264" s="21">
        <v>13</v>
      </c>
      <c r="H264" s="21" t="s">
        <v>49</v>
      </c>
      <c r="I264" s="22" t="s">
        <v>376</v>
      </c>
      <c r="J264" s="22"/>
      <c r="K264" s="23">
        <v>45665</v>
      </c>
      <c r="L264" s="24">
        <v>65000</v>
      </c>
      <c r="M264" s="21" t="s">
        <v>79</v>
      </c>
      <c r="N264" s="21" t="s">
        <v>387</v>
      </c>
      <c r="O264" s="21" t="s">
        <v>69</v>
      </c>
      <c r="P264" s="21" t="s">
        <v>29</v>
      </c>
      <c r="Q264" s="22">
        <v>34406</v>
      </c>
      <c r="R264" s="21" t="s">
        <v>71</v>
      </c>
      <c r="S264" s="21" t="s">
        <v>89</v>
      </c>
      <c r="T264" s="25">
        <v>3188659323</v>
      </c>
      <c r="U264" s="21" t="s">
        <v>90</v>
      </c>
      <c r="V264" s="26" t="e">
        <f>IF(P264=#REF!,"DIPLOMADO EN ATENCION PRE-HOSPITALARIA",IF(P264=#REF!,"ACOMPAÑAMIENTO Y MANEJO DEL DUELO",IF(P264=#REF!,"ATENCION A VICTIMAS DE ATAQUE CON AGENTES QUIMICOS ",IF(P264=#REF!,"PRIMEROS AUXILIOS ",IF(P264=#REF!,"DIPLOMADO DE UNIDAD DE CUIDADOS INTENSIVOS (UCI)",IF(P264=#REF!,"MODELO DE ATENCION PARA EVENTOS EMERGENTES EN SALUD MENTAL (CODIGO VERDE)",IF(P264=#REF!,"HUMANIZACION EN EL SERVICIO DE LA SALUD Y BUENAS PRACTICAS EN PACIENTE ",IF(P264=#REF!,"CLINICA DE HERIDAS ",IF(P264=#REF!,"TOMA DE CITOLOGIA CERVICO VAGINAL ",IF(P264=#REF!,"SOPORTE CARDIOVASCULAR AVANZADO (ACLS) ",IF(P264=#REF!,"CAMILLERO ",IF(P264=#REF!,"TOMA DE MUESTRAS Y LABORATORIO ",IF(P264=#REF!,"SOPORTE VITAL BASICO (BLS)",IF(P264=#REF!,"ATENCION A VICTIMAS DE VIOLENCIA SEXUAL ",IF(P264=#REF!,"PROGRAMADO AMPLIADO DE INMUNIZACION (PAI - COVID 19)",IF(P264=#REF!,"ATENCION INTEGRAL EN ENFERMEDADES PREVALENTES EN PRIMERA INFANCIA (AIEPI)",IF(P264=#REF!,"ADMINISTRACION DE MEDICAMENTOS, INYECTOLOGIA  Y CANALIZACION ",IF(P264=#REF!,"OPERADOR DE VEHICULOS DE EMERGENCIA (OVE)",IF(P264=#REF!,"INSTITUCIONES AMIGAS DE LA MUJER Y LA INFANCIA (IAMI)",IF(P264=#REF!,"CUIDADO DEL DONANTE DE ORGANOS",IF(P264=#REF!,"ATENCION A VICTIMAS POR VIOLENCIA DE GENERO",IF(P264=#REF!,"IGUALDAD DE GENERO EN LA SALUD",IF(P264=#REF!,"BRIGADA DE EMERGENCIA",IF(P264=#REF!,"MANEJO DEL DOLOR Y CUIDADOS PALIATIVOS",IF(P264=#REF!,"TOMA DE MUESTRAS Y LABORATORIO POCT",IF(P264=#REF!,"IMPLANTE SUBDERMICO DE DISPOSITIVO INTRAUTERINO",IF(P264=#REF!,"SALUD MENTAL",IF(P264=#REF!,"PRIMEROS AUXILIOS PSICOLOGICOS",IF(P264=#REF!,"ATENCION A VICTIMAS POR CONFLICTO ARMADO",IF(P264=#REF!,"MANIPULACION DE ALIMENTOS Y BPM",IF(P264=#REF!,"ATENCION A PERSONAS CON DISCAPACIDAD",IF(P264=#REF!,"CUIDADO INTEGRAL DEL PACIENTE ADULTO",IF(P264=#REF!,"MANEJO DEFENSIVO",IF(P264=#REF!,"SOPORTE CARDIOVASCULAR AVANZADO NEONATAL",IF(P264=#REF!,"SEGURIDAD DEL PACIENTE",IF(P264=#REF!,"MANEJO DE RESIDUOS HOSPITALARIOS"))))))))))))))))))))))))))))))))))))</f>
        <v>#REF!</v>
      </c>
      <c r="W264" s="26" t="str">
        <f>CONCATENATE(E264," ",F264," ",C264," ",D264)</f>
        <v>Shirley Ginneth Estrada Rosales</v>
      </c>
      <c r="X264" s="26" t="str">
        <f t="shared" si="30"/>
        <v>Shirley Ginneth Estrada Rosales</v>
      </c>
      <c r="Y264" s="26" t="str">
        <f>CONCATENATE(W264,"-",B264,"-",P264)</f>
        <v>Shirley Ginneth Estrada Rosales-1085311659-ADMON DE MEDICAMENTOS</v>
      </c>
    </row>
    <row r="265" spans="1:25" s="19" customFormat="1" x14ac:dyDescent="0.2">
      <c r="A265" s="20">
        <v>12</v>
      </c>
      <c r="B265" s="21">
        <v>27456477</v>
      </c>
      <c r="C265" s="21" t="s">
        <v>91</v>
      </c>
      <c r="D265" s="21" t="s">
        <v>92</v>
      </c>
      <c r="E265" s="21" t="s">
        <v>93</v>
      </c>
      <c r="F265" s="21" t="s">
        <v>94</v>
      </c>
      <c r="G265" s="21">
        <v>8</v>
      </c>
      <c r="H265" s="21" t="s">
        <v>49</v>
      </c>
      <c r="I265" s="22" t="s">
        <v>376</v>
      </c>
      <c r="J265" s="22"/>
      <c r="K265" s="23">
        <v>45667</v>
      </c>
      <c r="L265" s="24">
        <v>100000</v>
      </c>
      <c r="M265" s="21" t="s">
        <v>106</v>
      </c>
      <c r="N265" s="21" t="s">
        <v>387</v>
      </c>
      <c r="O265" s="21" t="s">
        <v>95</v>
      </c>
      <c r="P265" s="21" t="s">
        <v>24</v>
      </c>
      <c r="Q265" s="22">
        <v>30474</v>
      </c>
      <c r="R265" s="21" t="s">
        <v>71</v>
      </c>
      <c r="S265" s="21" t="s">
        <v>96</v>
      </c>
      <c r="T265" s="25">
        <v>3165117708</v>
      </c>
      <c r="U265" s="21" t="s">
        <v>97</v>
      </c>
      <c r="V265" s="26" t="e">
        <f>IF(P265=#REF!,"DIPLOMADO EN ATENCION PRE-HOSPITALARIA",IF(P265=#REF!,"ACOMPAÑAMIENTO Y MANEJO DEL DUELO",IF(P265=#REF!,"ATENCION A VICTIMAS DE ATAQUE CON AGENTES QUIMICOS ",IF(P265=#REF!,"PRIMEROS AUXILIOS ",IF(P265=#REF!,"DIPLOMADO DE UNIDAD DE CUIDADOS INTENSIVOS (UCI)",IF(P265=#REF!,"MODELO DE ATENCION PARA EVENTOS EMERGENTES EN SALUD MENTAL (CODIGO VERDE)",IF(P265=#REF!,"HUMANIZACION EN EL SERVICIO DE LA SALUD Y BUENAS PRACTICAS EN PACIENTE ",IF(P265=#REF!,"CLINICA DE HERIDAS ",IF(P265=#REF!,"TOMA DE CITOLOGIA CERVICO VAGINAL ",IF(P265=#REF!,"SOPORTE CARDIOVASCULAR AVANZADO (ACLS) ",IF(P265=#REF!,"CAMILLERO ",IF(P265=#REF!,"TOMA DE MUESTRAS Y LABORATORIO ",IF(P265=#REF!,"SOPORTE VITAL BASICO (BLS)",IF(P265=#REF!,"ATENCION A VICTIMAS DE VIOLENCIA SEXUAL ",IF(P265=#REF!,"PROGRAMADO AMPLIADO DE INMUNIZACION (PAI - COVID 19)",IF(P265=#REF!,"ATENCION INTEGRAL EN ENFERMEDADES PREVALENTES EN PRIMERA INFANCIA (AIEPI)",IF(P265=#REF!,"ADMINISTRACION DE MEDICAMENTOS, INYECTOLOGIA  Y CANALIZACION ",IF(P265=#REF!,"OPERADOR DE VEHICULOS DE EMERGENCIA (OVE)",IF(P265=#REF!,"INSTITUCIONES AMIGAS DE LA MUJER Y LA INFANCIA (IAMI)",IF(P265=#REF!,"CUIDADO DEL DONANTE DE ORGANOS",IF(P265=#REF!,"ATENCION A VICTIMAS POR VIOLENCIA DE GENERO",IF(P265=#REF!,"IGUALDAD DE GENERO EN LA SALUD",IF(P265=#REF!,"BRIGADA DE EMERGENCIA",IF(P265=#REF!,"MANEJO DEL DOLOR Y CUIDADOS PALIATIVOS",IF(P265=#REF!,"TOMA DE MUESTRAS Y LABORATORIO POCT",IF(P265=#REF!,"IMPLANTE SUBDERMICO DE DISPOSITIVO INTRAUTERINO",IF(P265=#REF!,"SALUD MENTAL",IF(P265=#REF!,"PRIMEROS AUXILIOS PSICOLOGICOS",IF(P265=#REF!,"ATENCION A VICTIMAS POR CONFLICTO ARMADO",IF(P265=#REF!,"MANIPULACION DE ALIMENTOS Y BPM",IF(P265=#REF!,"ATENCION A PERSONAS CON DISCAPACIDAD",IF(P265=#REF!,"CUIDADO INTEGRAL DEL PACIENTE ADULTO",IF(P265=#REF!,"MANEJO DEFENSIVO",IF(P265=#REF!,"SOPORTE CARDIOVASCULAR AVANZADO NEONATAL",IF(P265=#REF!,"SEGURIDAD DEL PACIENTE",IF(P265=#REF!,"MANEJO DE RESIDUOS HOSPITALARIOS"))))))))))))))))))))))))))))))))))))</f>
        <v>#REF!</v>
      </c>
      <c r="W265" s="26" t="str">
        <f>CONCATENATE(E265," ",F265," ",C265," ",D265)</f>
        <v>Samara Jaqueline Hernández Bolaños</v>
      </c>
      <c r="X265" s="26" t="str">
        <f t="shared" si="30"/>
        <v>Samara Jaqueline Hernández Bolaños</v>
      </c>
      <c r="Y265" s="26" t="str">
        <f>CONCATENATE(W265,"-",B265,"-",P265)</f>
        <v>Samara Jaqueline Hernández Bolaños-27456477-ACLS</v>
      </c>
    </row>
    <row r="266" spans="1:25" s="19" customFormat="1" x14ac:dyDescent="0.2">
      <c r="A266" s="20">
        <v>13</v>
      </c>
      <c r="B266" s="21">
        <v>27456477</v>
      </c>
      <c r="C266" s="21" t="s">
        <v>91</v>
      </c>
      <c r="D266" s="21" t="s">
        <v>92</v>
      </c>
      <c r="E266" s="21" t="s">
        <v>93</v>
      </c>
      <c r="F266" s="21" t="s">
        <v>94</v>
      </c>
      <c r="G266" s="21">
        <v>8</v>
      </c>
      <c r="H266" s="21" t="s">
        <v>49</v>
      </c>
      <c r="I266" s="22" t="s">
        <v>376</v>
      </c>
      <c r="J266" s="22"/>
      <c r="K266" s="23">
        <v>45667</v>
      </c>
      <c r="L266" s="24">
        <v>32000</v>
      </c>
      <c r="M266" s="21" t="s">
        <v>106</v>
      </c>
      <c r="N266" s="21" t="s">
        <v>387</v>
      </c>
      <c r="O266" s="21" t="s">
        <v>95</v>
      </c>
      <c r="P266" s="21" t="s">
        <v>27</v>
      </c>
      <c r="Q266" s="22">
        <v>30474</v>
      </c>
      <c r="R266" s="21" t="s">
        <v>71</v>
      </c>
      <c r="S266" s="21" t="s">
        <v>96</v>
      </c>
      <c r="T266" s="25">
        <v>3165117708</v>
      </c>
      <c r="U266" s="21" t="s">
        <v>97</v>
      </c>
      <c r="V266" s="26" t="e">
        <f>IF(P266=#REF!,"DIPLOMADO EN ATENCION PRE-HOSPITALARIA",IF(P266=#REF!,"ACOMPAÑAMIENTO Y MANEJO DEL DUELO",IF(P266=#REF!,"ATENCION A VICTIMAS DE ATAQUE CON AGENTES QUIMICOS ",IF(P266=#REF!,"PRIMEROS AUXILIOS ",IF(P266=#REF!,"DIPLOMADO DE UNIDAD DE CUIDADOS INTENSIVOS (UCI)",IF(P266=#REF!,"MODELO DE ATENCION PARA EVENTOS EMERGENTES EN SALUD MENTAL (CODIGO VERDE)",IF(P266=#REF!,"HUMANIZACION EN EL SERVICIO DE LA SALUD Y BUENAS PRACTICAS EN PACIENTE ",IF(P266=#REF!,"CLINICA DE HERIDAS ",IF(P266=#REF!,"TOMA DE CITOLOGIA CERVICO VAGINAL ",IF(P266=#REF!,"SOPORTE CARDIOVASCULAR AVANZADO (ACLS) ",IF(P266=#REF!,"CAMILLERO ",IF(P266=#REF!,"TOMA DE MUESTRAS Y LABORATORIO ",IF(P266=#REF!,"SOPORTE VITAL BASICO (BLS)",IF(P266=#REF!,"ATENCION A VICTIMAS DE VIOLENCIA SEXUAL ",IF(P266=#REF!,"PROGRAMADO AMPLIADO DE INMUNIZACION (PAI - COVID 19)",IF(P266=#REF!,"ATENCION INTEGRAL EN ENFERMEDADES PREVALENTES EN PRIMERA INFANCIA (AIEPI)",IF(P266=#REF!,"ADMINISTRACION DE MEDICAMENTOS, INYECTOLOGIA  Y CANALIZACION ",IF(P266=#REF!,"OPERADOR DE VEHICULOS DE EMERGENCIA (OVE)",IF(P266=#REF!,"INSTITUCIONES AMIGAS DE LA MUJER Y LA INFANCIA (IAMI)",IF(P266=#REF!,"CUIDADO DEL DONANTE DE ORGANOS",IF(P266=#REF!,"ATENCION A VICTIMAS POR VIOLENCIA DE GENERO",IF(P266=#REF!,"IGUALDAD DE GENERO EN LA SALUD",IF(P266=#REF!,"BRIGADA DE EMERGENCIA",IF(P266=#REF!,"MANEJO DEL DOLOR Y CUIDADOS PALIATIVOS",IF(P266=#REF!,"TOMA DE MUESTRAS Y LABORATORIO POCT",IF(P266=#REF!,"IMPLANTE SUBDERMICO DE DISPOSITIVO INTRAUTERINO",IF(P266=#REF!,"SALUD MENTAL",IF(P266=#REF!,"PRIMEROS AUXILIOS PSICOLOGICOS",IF(P266=#REF!,"ATENCION A VICTIMAS POR CONFLICTO ARMADO",IF(P266=#REF!,"MANIPULACION DE ALIMENTOS Y BPM",IF(P266=#REF!,"ATENCION A PERSONAS CON DISCAPACIDAD",IF(P266=#REF!,"CUIDADO INTEGRAL DEL PACIENTE ADULTO",IF(P266=#REF!,"MANEJO DEFENSIVO",IF(P266=#REF!,"SOPORTE CARDIOVASCULAR AVANZADO NEONATAL",IF(P266=#REF!,"SEGURIDAD DEL PACIENTE",IF(P266=#REF!,"MANEJO DE RESIDUOS HOSPITALARIOS"))))))))))))))))))))))))))))))))))))</f>
        <v>#REF!</v>
      </c>
      <c r="W266" s="26" t="str">
        <f>CONCATENATE(E266," ",F266," ",C266," ",D266)</f>
        <v>Samara Jaqueline Hernández Bolaños</v>
      </c>
      <c r="X266" s="26" t="str">
        <f t="shared" si="30"/>
        <v>Samara Jaqueline Hernández Bolaños</v>
      </c>
      <c r="Y266" s="26" t="str">
        <f>CONCATENATE(W266,"-",B266,"-",P266)</f>
        <v>Samara Jaqueline Hernández Bolaños-27456477-VIOLENCIA SEXUAL</v>
      </c>
    </row>
    <row r="267" spans="1:25" s="19" customFormat="1" x14ac:dyDescent="0.2">
      <c r="A267" s="20">
        <v>14</v>
      </c>
      <c r="B267" s="21">
        <v>27456477</v>
      </c>
      <c r="C267" s="21" t="s">
        <v>91</v>
      </c>
      <c r="D267" s="21" t="s">
        <v>92</v>
      </c>
      <c r="E267" s="21" t="s">
        <v>93</v>
      </c>
      <c r="F267" s="21" t="s">
        <v>94</v>
      </c>
      <c r="G267" s="21">
        <v>8</v>
      </c>
      <c r="H267" s="21" t="s">
        <v>49</v>
      </c>
      <c r="I267" s="22" t="s">
        <v>376</v>
      </c>
      <c r="J267" s="22"/>
      <c r="K267" s="23">
        <v>45667</v>
      </c>
      <c r="L267" s="24">
        <v>32000</v>
      </c>
      <c r="M267" s="21" t="s">
        <v>106</v>
      </c>
      <c r="N267" s="21" t="s">
        <v>387</v>
      </c>
      <c r="O267" s="21" t="s">
        <v>95</v>
      </c>
      <c r="P267" s="21" t="s">
        <v>21</v>
      </c>
      <c r="Q267" s="22">
        <v>30474</v>
      </c>
      <c r="R267" s="21" t="s">
        <v>71</v>
      </c>
      <c r="S267" s="21" t="s">
        <v>96</v>
      </c>
      <c r="T267" s="25">
        <v>3165117708</v>
      </c>
      <c r="U267" s="21" t="s">
        <v>97</v>
      </c>
      <c r="V267" s="26" t="e">
        <f>IF(P267=#REF!,"DIPLOMADO EN ATENCION PRE-HOSPITALARIA",IF(P267=#REF!,"ACOMPAÑAMIENTO Y MANEJO DEL DUELO",IF(P267=#REF!,"ATENCION A VICTIMAS DE ATAQUE CON AGENTES QUIMICOS ",IF(P267=#REF!,"PRIMEROS AUXILIOS ",IF(P267=#REF!,"DIPLOMADO DE UNIDAD DE CUIDADOS INTENSIVOS (UCI)",IF(P267=#REF!,"MODELO DE ATENCION PARA EVENTOS EMERGENTES EN SALUD MENTAL (CODIGO VERDE)",IF(P267=#REF!,"HUMANIZACION EN EL SERVICIO DE LA SALUD Y BUENAS PRACTICAS EN PACIENTE ",IF(P267=#REF!,"CLINICA DE HERIDAS ",IF(P267=#REF!,"TOMA DE CITOLOGIA CERVICO VAGINAL ",IF(P267=#REF!,"SOPORTE CARDIOVASCULAR AVANZADO (ACLS) ",IF(P267=#REF!,"CAMILLERO ",IF(P267=#REF!,"TOMA DE MUESTRAS Y LABORATORIO ",IF(P267=#REF!,"SOPORTE VITAL BASICO (BLS)",IF(P267=#REF!,"ATENCION A VICTIMAS DE VIOLENCIA SEXUAL ",IF(P267=#REF!,"PROGRAMADO AMPLIADO DE INMUNIZACION (PAI - COVID 19)",IF(P267=#REF!,"ATENCION INTEGRAL EN ENFERMEDADES PREVALENTES EN PRIMERA INFANCIA (AIEPI)",IF(P267=#REF!,"ADMINISTRACION DE MEDICAMENTOS, INYECTOLOGIA  Y CANALIZACION ",IF(P267=#REF!,"OPERADOR DE VEHICULOS DE EMERGENCIA (OVE)",IF(P267=#REF!,"INSTITUCIONES AMIGAS DE LA MUJER Y LA INFANCIA (IAMI)",IF(P267=#REF!,"CUIDADO DEL DONANTE DE ORGANOS",IF(P267=#REF!,"ATENCION A VICTIMAS POR VIOLENCIA DE GENERO",IF(P267=#REF!,"IGUALDAD DE GENERO EN LA SALUD",IF(P267=#REF!,"BRIGADA DE EMERGENCIA",IF(P267=#REF!,"MANEJO DEL DOLOR Y CUIDADOS PALIATIVOS",IF(P267=#REF!,"TOMA DE MUESTRAS Y LABORATORIO POCT",IF(P267=#REF!,"IMPLANTE SUBDERMICO DE DISPOSITIVO INTRAUTERINO",IF(P267=#REF!,"SALUD MENTAL",IF(P267=#REF!,"PRIMEROS AUXILIOS PSICOLOGICOS",IF(P267=#REF!,"ATENCION A VICTIMAS POR CONFLICTO ARMADO",IF(P267=#REF!,"MANIPULACION DE ALIMENTOS Y BPM",IF(P267=#REF!,"ATENCION A PERSONAS CON DISCAPACIDAD",IF(P267=#REF!,"CUIDADO INTEGRAL DEL PACIENTE ADULTO",IF(P267=#REF!,"MANEJO DEFENSIVO",IF(P267=#REF!,"SOPORTE CARDIOVASCULAR AVANZADO NEONATAL",IF(P267=#REF!,"SEGURIDAD DEL PACIENTE",IF(P267=#REF!,"MANEJO DE RESIDUOS HOSPITALARIOS"))))))))))))))))))))))))))))))))))))</f>
        <v>#REF!</v>
      </c>
      <c r="W267" s="26" t="str">
        <f>CONCATENATE(E267," ",F267," ",C267," ",D267)</f>
        <v>Samara Jaqueline Hernández Bolaños</v>
      </c>
      <c r="X267" s="26" t="str">
        <f t="shared" si="30"/>
        <v>Samara Jaqueline Hernández Bolaños</v>
      </c>
      <c r="Y267" s="26" t="str">
        <f>CONCATENATE(W267,"-",B267,"-",P267)</f>
        <v>Samara Jaqueline Hernández Bolaños-27456477-QUIMICOS</v>
      </c>
    </row>
    <row r="268" spans="1:25" s="19" customFormat="1" x14ac:dyDescent="0.2">
      <c r="A268" s="20">
        <v>15</v>
      </c>
      <c r="B268" s="21">
        <v>27456477</v>
      </c>
      <c r="C268" s="21" t="s">
        <v>91</v>
      </c>
      <c r="D268" s="21" t="s">
        <v>92</v>
      </c>
      <c r="E268" s="21" t="s">
        <v>93</v>
      </c>
      <c r="F268" s="21" t="s">
        <v>94</v>
      </c>
      <c r="G268" s="21">
        <v>8</v>
      </c>
      <c r="H268" s="21" t="s">
        <v>49</v>
      </c>
      <c r="I268" s="22" t="s">
        <v>376</v>
      </c>
      <c r="J268" s="22"/>
      <c r="K268" s="23">
        <v>45667</v>
      </c>
      <c r="L268" s="24">
        <v>32000</v>
      </c>
      <c r="M268" s="21" t="s">
        <v>106</v>
      </c>
      <c r="N268" s="21" t="s">
        <v>387</v>
      </c>
      <c r="O268" s="21" t="s">
        <v>95</v>
      </c>
      <c r="P268" s="21" t="s">
        <v>20</v>
      </c>
      <c r="Q268" s="22">
        <v>30474</v>
      </c>
      <c r="R268" s="21" t="s">
        <v>71</v>
      </c>
      <c r="S268" s="21" t="s">
        <v>96</v>
      </c>
      <c r="T268" s="25">
        <v>3165117708</v>
      </c>
      <c r="U268" s="21" t="s">
        <v>97</v>
      </c>
      <c r="V268" s="26" t="e">
        <f>IF(P268=#REF!,"DIPLOMADO EN ATENCION PRE-HOSPITALARIA",IF(P268=#REF!,"ACOMPAÑAMIENTO Y MANEJO DEL DUELO",IF(P268=#REF!,"ATENCION A VICTIMAS DE ATAQUE CON AGENTES QUIMICOS ",IF(P268=#REF!,"PRIMEROS AUXILIOS ",IF(P268=#REF!,"DIPLOMADO DE UNIDAD DE CUIDADOS INTENSIVOS (UCI)",IF(P268=#REF!,"MODELO DE ATENCION PARA EVENTOS EMERGENTES EN SALUD MENTAL (CODIGO VERDE)",IF(P268=#REF!,"HUMANIZACION EN EL SERVICIO DE LA SALUD Y BUENAS PRACTICAS EN PACIENTE ",IF(P268=#REF!,"CLINICA DE HERIDAS ",IF(P268=#REF!,"TOMA DE CITOLOGIA CERVICO VAGINAL ",IF(P268=#REF!,"SOPORTE CARDIOVASCULAR AVANZADO (ACLS) ",IF(P268=#REF!,"CAMILLERO ",IF(P268=#REF!,"TOMA DE MUESTRAS Y LABORATORIO ",IF(P268=#REF!,"SOPORTE VITAL BASICO (BLS)",IF(P268=#REF!,"ATENCION A VICTIMAS DE VIOLENCIA SEXUAL ",IF(P268=#REF!,"PROGRAMADO AMPLIADO DE INMUNIZACION (PAI - COVID 19)",IF(P268=#REF!,"ATENCION INTEGRAL EN ENFERMEDADES PREVALENTES EN PRIMERA INFANCIA (AIEPI)",IF(P268=#REF!,"ADMINISTRACION DE MEDICAMENTOS, INYECTOLOGIA  Y CANALIZACION ",IF(P268=#REF!,"OPERADOR DE VEHICULOS DE EMERGENCIA (OVE)",IF(P268=#REF!,"INSTITUCIONES AMIGAS DE LA MUJER Y LA INFANCIA (IAMI)",IF(P268=#REF!,"CUIDADO DEL DONANTE DE ORGANOS",IF(P268=#REF!,"ATENCION A VICTIMAS POR VIOLENCIA DE GENERO",IF(P268=#REF!,"IGUALDAD DE GENERO EN LA SALUD",IF(P268=#REF!,"BRIGADA DE EMERGENCIA",IF(P268=#REF!,"MANEJO DEL DOLOR Y CUIDADOS PALIATIVOS",IF(P268=#REF!,"TOMA DE MUESTRAS Y LABORATORIO POCT",IF(P268=#REF!,"IMPLANTE SUBDERMICO DE DISPOSITIVO INTRAUTERINO",IF(P268=#REF!,"SALUD MENTAL",IF(P268=#REF!,"PRIMEROS AUXILIOS PSICOLOGICOS",IF(P268=#REF!,"ATENCION A VICTIMAS POR CONFLICTO ARMADO",IF(P268=#REF!,"MANIPULACION DE ALIMENTOS Y BPM",IF(P268=#REF!,"ATENCION A PERSONAS CON DISCAPACIDAD",IF(P268=#REF!,"CUIDADO INTEGRAL DEL PACIENTE ADULTO",IF(P268=#REF!,"MANEJO DEFENSIVO",IF(P268=#REF!,"SOPORTE CARDIOVASCULAR AVANZADO NEONATAL",IF(P268=#REF!,"SEGURIDAD DEL PACIENTE",IF(P268=#REF!,"MANEJO DE RESIDUOS HOSPITALARIOS"))))))))))))))))))))))))))))))))))))</f>
        <v>#REF!</v>
      </c>
      <c r="W268" s="26" t="str">
        <f>CONCATENATE(E268," ",F268," ",C268," ",D268)</f>
        <v>Samara Jaqueline Hernández Bolaños</v>
      </c>
      <c r="X268" s="26" t="str">
        <f t="shared" si="30"/>
        <v>Samara Jaqueline Hernández Bolaños</v>
      </c>
      <c r="Y268" s="26" t="str">
        <f>CONCATENATE(W268,"-",B268,"-",P268)</f>
        <v>Samara Jaqueline Hernández Bolaños-27456477-DUELO</v>
      </c>
    </row>
    <row r="269" spans="1:25" s="19" customFormat="1" x14ac:dyDescent="0.2">
      <c r="A269" s="20">
        <v>16</v>
      </c>
      <c r="B269" s="21">
        <v>1087959742</v>
      </c>
      <c r="C269" s="21" t="s">
        <v>98</v>
      </c>
      <c r="D269" s="21" t="s">
        <v>99</v>
      </c>
      <c r="E269" s="21" t="s">
        <v>100</v>
      </c>
      <c r="F269" s="21" t="s">
        <v>101</v>
      </c>
      <c r="G269" s="21">
        <v>9</v>
      </c>
      <c r="H269" s="21" t="s">
        <v>49</v>
      </c>
      <c r="I269" s="22" t="s">
        <v>376</v>
      </c>
      <c r="J269" s="22"/>
      <c r="K269" s="23">
        <v>45666</v>
      </c>
      <c r="L269" s="24">
        <v>32000</v>
      </c>
      <c r="M269" s="21" t="s">
        <v>79</v>
      </c>
      <c r="N269" s="21" t="s">
        <v>386</v>
      </c>
      <c r="O269" s="21" t="s">
        <v>69</v>
      </c>
      <c r="P269" s="21" t="s">
        <v>19</v>
      </c>
      <c r="Q269" s="22">
        <v>33870</v>
      </c>
      <c r="R269" s="21" t="s">
        <v>70</v>
      </c>
      <c r="S269" s="21" t="s">
        <v>107</v>
      </c>
      <c r="T269" s="25">
        <v>3214044131</v>
      </c>
      <c r="U269" s="25" t="s">
        <v>102</v>
      </c>
      <c r="V269" s="26" t="e">
        <f>IF(P269=#REF!,"DIPLOMADO EN ATENCION PRE-HOSPITALARIA",IF(P269=#REF!,"ACOMPAÑAMIENTO Y MANEJO DEL DUELO",IF(P269=#REF!,"ATENCION A VICTIMAS DE ATAQUE CON AGENTES QUIMICOS ",IF(P269=#REF!,"PRIMEROS AUXILIOS ",IF(P269=#REF!,"DIPLOMADO DE UNIDAD DE CUIDADOS INTENSIVOS (UCI)",IF(P269=#REF!,"MODELO DE ATENCION PARA EVENTOS EMERGENTES EN SALUD MENTAL (CODIGO VERDE)",IF(P269=#REF!,"HUMANIZACION EN EL SERVICIO DE LA SALUD Y BUENAS PRACTICAS EN PACIENTE ",IF(P269=#REF!,"CLINICA DE HERIDAS ",IF(P269=#REF!,"TOMA DE CITOLOGIA CERVICO VAGINAL ",IF(P269=#REF!,"SOPORTE CARDIOVASCULAR AVANZADO (ACLS) ",IF(P269=#REF!,"CAMILLERO ",IF(P269=#REF!,"TOMA DE MUESTRAS Y LABORATORIO ",IF(P269=#REF!,"SOPORTE VITAL BASICO (BLS)",IF(P269=#REF!,"ATENCION A VICTIMAS DE VIOLENCIA SEXUAL ",IF(P269=#REF!,"PROGRAMADO AMPLIADO DE INMUNIZACION (PAI - COVID 19)",IF(P269=#REF!,"ATENCION INTEGRAL EN ENFERMEDADES PREVALENTES EN PRIMERA INFANCIA (AIEPI)",IF(P269=#REF!,"ADMINISTRACION DE MEDICAMENTOS, INYECTOLOGIA  Y CANALIZACION ",IF(P269=#REF!,"OPERADOR DE VEHICULOS DE EMERGENCIA (OVE)",IF(P269=#REF!,"INSTITUCIONES AMIGAS DE LA MUJER Y LA INFANCIA (IAMI)",IF(P269=#REF!,"CUIDADO DEL DONANTE DE ORGANOS",IF(P269=#REF!,"ATENCION A VICTIMAS POR VIOLENCIA DE GENERO",IF(P269=#REF!,"IGUALDAD DE GENERO EN LA SALUD",IF(P269=#REF!,"BRIGADA DE EMERGENCIA",IF(P269=#REF!,"MANEJO DEL DOLOR Y CUIDADOS PALIATIVOS",IF(P269=#REF!,"TOMA DE MUESTRAS Y LABORATORIO POCT",IF(P269=#REF!,"IMPLANTE SUBDERMICO DE DISPOSITIVO INTRAUTERINO",IF(P269=#REF!,"SALUD MENTAL",IF(P269=#REF!,"PRIMEROS AUXILIOS PSICOLOGICOS",IF(P269=#REF!,"ATENCION A VICTIMAS POR CONFLICTO ARMADO",IF(P269=#REF!,"MANIPULACION DE ALIMENTOS Y BPM",IF(P269=#REF!,"ATENCION A PERSONAS CON DISCAPACIDAD",IF(P269=#REF!,"CUIDADO INTEGRAL DEL PACIENTE ADULTO",IF(P269=#REF!,"MANEJO DEFENSIVO",IF(P269=#REF!,"SOPORTE CARDIOVASCULAR AVANZADO NEONATAL",IF(P269=#REF!,"SEGURIDAD DEL PACIENTE",IF(P269=#REF!,"MANEJO DE RESIDUOS HOSPITALARIOS"))))))))))))))))))))))))))))))))))))</f>
        <v>#REF!</v>
      </c>
      <c r="W269" s="26" t="str">
        <f>CONCATENATE(E269," ",F269," ",C269," ",D269)</f>
        <v>GUSTAVO ANDRES PASCUAZA BARRERA</v>
      </c>
      <c r="X269" s="26" t="str">
        <f t="shared" si="30"/>
        <v>Gustavo Andres Pascuaza Barrera</v>
      </c>
      <c r="Y269" s="26" t="str">
        <f>CONCATENATE(W269,"-",B269,"-",P269)</f>
        <v>GUSTAVO ANDRES PASCUAZA BARRERA-1087959742-BLS</v>
      </c>
    </row>
    <row r="270" spans="1:25" s="19" customFormat="1" x14ac:dyDescent="0.2">
      <c r="A270" s="20">
        <v>17</v>
      </c>
      <c r="B270" s="21">
        <v>1088972650</v>
      </c>
      <c r="C270" s="21" t="s">
        <v>103</v>
      </c>
      <c r="D270" s="21" t="s">
        <v>104</v>
      </c>
      <c r="E270" s="21" t="s">
        <v>105</v>
      </c>
      <c r="F270" s="21" t="s">
        <v>82</v>
      </c>
      <c r="G270" s="21">
        <v>9</v>
      </c>
      <c r="H270" s="21" t="s">
        <v>49</v>
      </c>
      <c r="I270" s="22" t="s">
        <v>376</v>
      </c>
      <c r="J270" s="22"/>
      <c r="K270" s="23">
        <v>45666</v>
      </c>
      <c r="L270" s="24">
        <v>32000</v>
      </c>
      <c r="M270" s="21" t="s">
        <v>79</v>
      </c>
      <c r="N270" s="21" t="s">
        <v>387</v>
      </c>
      <c r="O270" s="21" t="s">
        <v>69</v>
      </c>
      <c r="P270" s="21" t="s">
        <v>26</v>
      </c>
      <c r="Q270" s="22">
        <v>32867</v>
      </c>
      <c r="R270" s="21" t="s">
        <v>71</v>
      </c>
      <c r="S270" s="21" t="s">
        <v>107</v>
      </c>
      <c r="T270" s="25">
        <v>3104230765</v>
      </c>
      <c r="U270" s="25" t="s">
        <v>110</v>
      </c>
      <c r="V270" s="26" t="e">
        <f>IF(P270=#REF!,"DIPLOMADO EN ATENCION PRE-HOSPITALARIA",IF(P270=#REF!,"ACOMPAÑAMIENTO Y MANEJO DEL DUELO",IF(P270=#REF!,"ATENCION A VICTIMAS DE ATAQUE CON AGENTES QUIMICOS ",IF(P270=#REF!,"PRIMEROS AUXILIOS ",IF(P270=#REF!,"DIPLOMADO DE UNIDAD DE CUIDADOS INTENSIVOS (UCI)",IF(P270=#REF!,"MODELO DE ATENCION PARA EVENTOS EMERGENTES EN SALUD MENTAL (CODIGO VERDE)",IF(P270=#REF!,"HUMANIZACION EN EL SERVICIO DE LA SALUD Y BUENAS PRACTICAS EN PACIENTE ",IF(P270=#REF!,"CLINICA DE HERIDAS ",IF(P270=#REF!,"TOMA DE CITOLOGIA CERVICO VAGINAL ",IF(P270=#REF!,"SOPORTE CARDIOVASCULAR AVANZADO (ACLS) ",IF(P270=#REF!,"CAMILLERO ",IF(P270=#REF!,"TOMA DE MUESTRAS Y LABORATORIO ",IF(P270=#REF!,"SOPORTE VITAL BASICO (BLS)",IF(P270=#REF!,"ATENCION A VICTIMAS DE VIOLENCIA SEXUAL ",IF(P270=#REF!,"PROGRAMADO AMPLIADO DE INMUNIZACION (PAI - COVID 19)",IF(P270=#REF!,"ATENCION INTEGRAL EN ENFERMEDADES PREVALENTES EN PRIMERA INFANCIA (AIEPI)",IF(P270=#REF!,"ADMINISTRACION DE MEDICAMENTOS, INYECTOLOGIA  Y CANALIZACION ",IF(P270=#REF!,"OPERADOR DE VEHICULOS DE EMERGENCIA (OVE)",IF(P270=#REF!,"INSTITUCIONES AMIGAS DE LA MUJER Y LA INFANCIA (IAMI)",IF(P270=#REF!,"CUIDADO DEL DONANTE DE ORGANOS",IF(P270=#REF!,"ATENCION A VICTIMAS POR VIOLENCIA DE GENERO",IF(P270=#REF!,"IGUALDAD DE GENERO EN LA SALUD",IF(P270=#REF!,"BRIGADA DE EMERGENCIA",IF(P270=#REF!,"MANEJO DEL DOLOR Y CUIDADOS PALIATIVOS",IF(P270=#REF!,"TOMA DE MUESTRAS Y LABORATORIO POCT",IF(P270=#REF!,"IMPLANTE SUBDERMICO DE DISPOSITIVO INTRAUTERINO",IF(P270=#REF!,"SALUD MENTAL",IF(P270=#REF!,"PRIMEROS AUXILIOS PSICOLOGICOS",IF(P270=#REF!,"ATENCION A VICTIMAS POR CONFLICTO ARMADO",IF(P270=#REF!,"MANIPULACION DE ALIMENTOS Y BPM",IF(P270=#REF!,"ATENCION A PERSONAS CON DISCAPACIDAD",IF(P270=#REF!,"CUIDADO INTEGRAL DEL PACIENTE ADULTO",IF(P270=#REF!,"MANEJO DEFENSIVO",IF(P270=#REF!,"SOPORTE CARDIOVASCULAR AVANZADO NEONATAL",IF(P270=#REF!,"SEGURIDAD DEL PACIENTE",IF(P270=#REF!,"MANEJO DE RESIDUOS HOSPITALARIOS"))))))))))))))))))))))))))))))))))))</f>
        <v>#REF!</v>
      </c>
      <c r="W270" s="26" t="str">
        <f>CONCATENATE(E270," ",F270," ",C270," ",D270)</f>
        <v>Paola Andrea Chaves Ordoñez</v>
      </c>
      <c r="X270" s="26" t="str">
        <f t="shared" si="30"/>
        <v>Paola Andrea Chaves Ordoñez</v>
      </c>
      <c r="Y270" s="26" t="str">
        <f>CONCATENATE(W270,"-",B270,"-",P270)</f>
        <v>Paola Andrea Chaves Ordoñez-1088972650-TOMA DE MUESTRAS</v>
      </c>
    </row>
    <row r="271" spans="1:25" s="19" customFormat="1" x14ac:dyDescent="0.2">
      <c r="A271" s="20">
        <v>18</v>
      </c>
      <c r="B271" s="21">
        <v>1085323918</v>
      </c>
      <c r="C271" s="21" t="s">
        <v>111</v>
      </c>
      <c r="D271" s="21" t="s">
        <v>112</v>
      </c>
      <c r="E271" s="21" t="s">
        <v>114</v>
      </c>
      <c r="F271" s="21" t="s">
        <v>113</v>
      </c>
      <c r="G271" s="21">
        <v>7</v>
      </c>
      <c r="H271" s="21" t="s">
        <v>49</v>
      </c>
      <c r="I271" s="22" t="s">
        <v>376</v>
      </c>
      <c r="J271" s="22"/>
      <c r="K271" s="23">
        <v>45666</v>
      </c>
      <c r="L271" s="24">
        <v>40000</v>
      </c>
      <c r="M271" s="21" t="s">
        <v>79</v>
      </c>
      <c r="N271" s="21" t="s">
        <v>387</v>
      </c>
      <c r="O271" s="21" t="s">
        <v>69</v>
      </c>
      <c r="P271" s="21" t="s">
        <v>20</v>
      </c>
      <c r="Q271" s="22">
        <v>34982</v>
      </c>
      <c r="R271" s="21" t="s">
        <v>71</v>
      </c>
      <c r="S271" s="21" t="s">
        <v>107</v>
      </c>
      <c r="T271" s="25">
        <v>3148960896</v>
      </c>
      <c r="U271" s="25" t="s">
        <v>115</v>
      </c>
      <c r="V271" s="26" t="e">
        <f>IF(P271=#REF!,"DIPLOMADO EN ATENCION PRE-HOSPITALARIA",IF(P271=#REF!,"ACOMPAÑAMIENTO Y MANEJO DEL DUELO",IF(P271=#REF!,"ATENCION A VICTIMAS DE ATAQUE CON AGENTES QUIMICOS ",IF(P271=#REF!,"PRIMEROS AUXILIOS ",IF(P271=#REF!,"DIPLOMADO DE UNIDAD DE CUIDADOS INTENSIVOS (UCI)",IF(P271=#REF!,"MODELO DE ATENCION PARA EVENTOS EMERGENTES EN SALUD MENTAL (CODIGO VERDE)",IF(P271=#REF!,"HUMANIZACION EN EL SERVICIO DE LA SALUD Y BUENAS PRACTICAS EN PACIENTE ",IF(P271=#REF!,"CLINICA DE HERIDAS ",IF(P271=#REF!,"TOMA DE CITOLOGIA CERVICO VAGINAL ",IF(P271=#REF!,"SOPORTE CARDIOVASCULAR AVANZADO (ACLS) ",IF(P271=#REF!,"CAMILLERO ",IF(P271=#REF!,"TOMA DE MUESTRAS Y LABORATORIO ",IF(P271=#REF!,"SOPORTE VITAL BASICO (BLS)",IF(P271=#REF!,"ATENCION A VICTIMAS DE VIOLENCIA SEXUAL ",IF(P271=#REF!,"PROGRAMADO AMPLIADO DE INMUNIZACION (PAI - COVID 19)",IF(P271=#REF!,"ATENCION INTEGRAL EN ENFERMEDADES PREVALENTES EN PRIMERA INFANCIA (AIEPI)",IF(P271=#REF!,"ADMINISTRACION DE MEDICAMENTOS, INYECTOLOGIA  Y CANALIZACION ",IF(P271=#REF!,"OPERADOR DE VEHICULOS DE EMERGENCIA (OVE)",IF(P271=#REF!,"INSTITUCIONES AMIGAS DE LA MUJER Y LA INFANCIA (IAMI)",IF(P271=#REF!,"CUIDADO DEL DONANTE DE ORGANOS",IF(P271=#REF!,"ATENCION A VICTIMAS POR VIOLENCIA DE GENERO",IF(P271=#REF!,"IGUALDAD DE GENERO EN LA SALUD",IF(P271=#REF!,"BRIGADA DE EMERGENCIA",IF(P271=#REF!,"MANEJO DEL DOLOR Y CUIDADOS PALIATIVOS",IF(P271=#REF!,"TOMA DE MUESTRAS Y LABORATORIO POCT",IF(P271=#REF!,"IMPLANTE SUBDERMICO DE DISPOSITIVO INTRAUTERINO",IF(P271=#REF!,"SALUD MENTAL",IF(P271=#REF!,"PRIMEROS AUXILIOS PSICOLOGICOS",IF(P271=#REF!,"ATENCION A VICTIMAS POR CONFLICTO ARMADO",IF(P271=#REF!,"MANIPULACION DE ALIMENTOS Y BPM",IF(P271=#REF!,"ATENCION A PERSONAS CON DISCAPACIDAD",IF(P271=#REF!,"CUIDADO INTEGRAL DEL PACIENTE ADULTO",IF(P271=#REF!,"MANEJO DEFENSIVO",IF(P271=#REF!,"SOPORTE CARDIOVASCULAR AVANZADO NEONATAL",IF(P271=#REF!,"SEGURIDAD DEL PACIENTE",IF(P271=#REF!,"MANEJO DE RESIDUOS HOSPITALARIOS"))))))))))))))))))))))))))))))))))))</f>
        <v>#REF!</v>
      </c>
      <c r="W271" s="26" t="str">
        <f>CONCATENATE(E271," ",F271," ",C271," ",D271)</f>
        <v>Yesica Marisol Acosta Melo</v>
      </c>
      <c r="X271" s="26" t="str">
        <f t="shared" si="30"/>
        <v>Yesica Marisol Acosta Melo</v>
      </c>
      <c r="Y271" s="26" t="str">
        <f>CONCATENATE(W271,"-",B271,"-",P271)</f>
        <v>Yesica Marisol Acosta Melo-1085323918-DUELO</v>
      </c>
    </row>
    <row r="272" spans="1:25" s="19" customFormat="1" x14ac:dyDescent="0.2">
      <c r="A272" s="20">
        <v>19</v>
      </c>
      <c r="B272" s="21">
        <v>1085323918</v>
      </c>
      <c r="C272" s="21" t="s">
        <v>111</v>
      </c>
      <c r="D272" s="21" t="s">
        <v>112</v>
      </c>
      <c r="E272" s="21" t="s">
        <v>114</v>
      </c>
      <c r="F272" s="21" t="s">
        <v>113</v>
      </c>
      <c r="G272" s="21">
        <v>8</v>
      </c>
      <c r="H272" s="21" t="s">
        <v>49</v>
      </c>
      <c r="I272" s="22" t="s">
        <v>376</v>
      </c>
      <c r="J272" s="22"/>
      <c r="K272" s="23">
        <v>45666</v>
      </c>
      <c r="L272" s="24">
        <v>30000</v>
      </c>
      <c r="M272" s="21" t="s">
        <v>79</v>
      </c>
      <c r="N272" s="21" t="s">
        <v>387</v>
      </c>
      <c r="O272" s="21" t="s">
        <v>69</v>
      </c>
      <c r="P272" s="21" t="s">
        <v>21</v>
      </c>
      <c r="Q272" s="22">
        <v>34982</v>
      </c>
      <c r="R272" s="21" t="s">
        <v>71</v>
      </c>
      <c r="S272" s="21" t="s">
        <v>107</v>
      </c>
      <c r="T272" s="25">
        <v>3148960896</v>
      </c>
      <c r="U272" s="25" t="s">
        <v>115</v>
      </c>
      <c r="V272" s="26" t="e">
        <f>IF(P272=#REF!,"DIPLOMADO EN ATENCION PRE-HOSPITALARIA",IF(P272=#REF!,"ACOMPAÑAMIENTO Y MANEJO DEL DUELO",IF(P272=#REF!,"ATENCION A VICTIMAS DE ATAQUE CON AGENTES QUIMICOS ",IF(P272=#REF!,"PRIMEROS AUXILIOS ",IF(P272=#REF!,"DIPLOMADO DE UNIDAD DE CUIDADOS INTENSIVOS (UCI)",IF(P272=#REF!,"MODELO DE ATENCION PARA EVENTOS EMERGENTES EN SALUD MENTAL (CODIGO VERDE)",IF(P272=#REF!,"HUMANIZACION EN EL SERVICIO DE LA SALUD Y BUENAS PRACTICAS EN PACIENTE ",IF(P272=#REF!,"CLINICA DE HERIDAS ",IF(P272=#REF!,"TOMA DE CITOLOGIA CERVICO VAGINAL ",IF(P272=#REF!,"SOPORTE CARDIOVASCULAR AVANZADO (ACLS) ",IF(P272=#REF!,"CAMILLERO ",IF(P272=#REF!,"TOMA DE MUESTRAS Y LABORATORIO ",IF(P272=#REF!,"SOPORTE VITAL BASICO (BLS)",IF(P272=#REF!,"ATENCION A VICTIMAS DE VIOLENCIA SEXUAL ",IF(P272=#REF!,"PROGRAMADO AMPLIADO DE INMUNIZACION (PAI - COVID 19)",IF(P272=#REF!,"ATENCION INTEGRAL EN ENFERMEDADES PREVALENTES EN PRIMERA INFANCIA (AIEPI)",IF(P272=#REF!,"ADMINISTRACION DE MEDICAMENTOS, INYECTOLOGIA  Y CANALIZACION ",IF(P272=#REF!,"OPERADOR DE VEHICULOS DE EMERGENCIA (OVE)",IF(P272=#REF!,"INSTITUCIONES AMIGAS DE LA MUJER Y LA INFANCIA (IAMI)",IF(P272=#REF!,"CUIDADO DEL DONANTE DE ORGANOS",IF(P272=#REF!,"ATENCION A VICTIMAS POR VIOLENCIA DE GENERO",IF(P272=#REF!,"IGUALDAD DE GENERO EN LA SALUD",IF(P272=#REF!,"BRIGADA DE EMERGENCIA",IF(P272=#REF!,"MANEJO DEL DOLOR Y CUIDADOS PALIATIVOS",IF(P272=#REF!,"TOMA DE MUESTRAS Y LABORATORIO POCT",IF(P272=#REF!,"IMPLANTE SUBDERMICO DE DISPOSITIVO INTRAUTERINO",IF(P272=#REF!,"SALUD MENTAL",IF(P272=#REF!,"PRIMEROS AUXILIOS PSICOLOGICOS",IF(P272=#REF!,"ATENCION A VICTIMAS POR CONFLICTO ARMADO",IF(P272=#REF!,"MANIPULACION DE ALIMENTOS Y BPM",IF(P272=#REF!,"ATENCION A PERSONAS CON DISCAPACIDAD",IF(P272=#REF!,"CUIDADO INTEGRAL DEL PACIENTE ADULTO",IF(P272=#REF!,"MANEJO DEFENSIVO",IF(P272=#REF!,"SOPORTE CARDIOVASCULAR AVANZADO NEONATAL",IF(P272=#REF!,"SEGURIDAD DEL PACIENTE",IF(P272=#REF!,"MANEJO DE RESIDUOS HOSPITALARIOS"))))))))))))))))))))))))))))))))))))</f>
        <v>#REF!</v>
      </c>
      <c r="W272" s="26" t="str">
        <f>CONCATENATE(E272," ",F272," ",C272," ",D272)</f>
        <v>Yesica Marisol Acosta Melo</v>
      </c>
      <c r="X272" s="26" t="str">
        <f t="shared" si="30"/>
        <v>Yesica Marisol Acosta Melo</v>
      </c>
      <c r="Y272" s="26" t="str">
        <f>CONCATENATE(W272,"-",B272,"-",P272)</f>
        <v>Yesica Marisol Acosta Melo-1085323918-QUIMICOS</v>
      </c>
    </row>
    <row r="273" spans="1:25" s="19" customFormat="1" x14ac:dyDescent="0.2">
      <c r="A273" s="20">
        <v>20</v>
      </c>
      <c r="B273" s="21">
        <v>1085323918</v>
      </c>
      <c r="C273" s="21" t="s">
        <v>111</v>
      </c>
      <c r="D273" s="21" t="s">
        <v>112</v>
      </c>
      <c r="E273" s="21" t="s">
        <v>114</v>
      </c>
      <c r="F273" s="21" t="s">
        <v>113</v>
      </c>
      <c r="G273" s="21">
        <v>8</v>
      </c>
      <c r="H273" s="21" t="s">
        <v>49</v>
      </c>
      <c r="I273" s="22" t="s">
        <v>376</v>
      </c>
      <c r="J273" s="22"/>
      <c r="K273" s="23">
        <v>45666</v>
      </c>
      <c r="L273" s="24">
        <v>30000</v>
      </c>
      <c r="M273" s="21" t="s">
        <v>79</v>
      </c>
      <c r="N273" s="21" t="s">
        <v>387</v>
      </c>
      <c r="O273" s="21" t="s">
        <v>69</v>
      </c>
      <c r="P273" s="21" t="s">
        <v>27</v>
      </c>
      <c r="Q273" s="22">
        <v>34982</v>
      </c>
      <c r="R273" s="21" t="s">
        <v>71</v>
      </c>
      <c r="S273" s="21" t="s">
        <v>107</v>
      </c>
      <c r="T273" s="25">
        <v>3148960896</v>
      </c>
      <c r="U273" s="25" t="s">
        <v>115</v>
      </c>
      <c r="V273" s="26" t="e">
        <f>IF(P273=#REF!,"DIPLOMADO EN ATENCION PRE-HOSPITALARIA",IF(P273=#REF!,"ACOMPAÑAMIENTO Y MANEJO DEL DUELO",IF(P273=#REF!,"ATENCION A VICTIMAS DE ATAQUE CON AGENTES QUIMICOS ",IF(P273=#REF!,"PRIMEROS AUXILIOS ",IF(P273=#REF!,"DIPLOMADO DE UNIDAD DE CUIDADOS INTENSIVOS (UCI)",IF(P273=#REF!,"MODELO DE ATENCION PARA EVENTOS EMERGENTES EN SALUD MENTAL (CODIGO VERDE)",IF(P273=#REF!,"HUMANIZACION EN EL SERVICIO DE LA SALUD Y BUENAS PRACTICAS EN PACIENTE ",IF(P273=#REF!,"CLINICA DE HERIDAS ",IF(P273=#REF!,"TOMA DE CITOLOGIA CERVICO VAGINAL ",IF(P273=#REF!,"SOPORTE CARDIOVASCULAR AVANZADO (ACLS) ",IF(P273=#REF!,"CAMILLERO ",IF(P273=#REF!,"TOMA DE MUESTRAS Y LABORATORIO ",IF(P273=#REF!,"SOPORTE VITAL BASICO (BLS)",IF(P273=#REF!,"ATENCION A VICTIMAS DE VIOLENCIA SEXUAL ",IF(P273=#REF!,"PROGRAMADO AMPLIADO DE INMUNIZACION (PAI - COVID 19)",IF(P273=#REF!,"ATENCION INTEGRAL EN ENFERMEDADES PREVALENTES EN PRIMERA INFANCIA (AIEPI)",IF(P273=#REF!,"ADMINISTRACION DE MEDICAMENTOS, INYECTOLOGIA  Y CANALIZACION ",IF(P273=#REF!,"OPERADOR DE VEHICULOS DE EMERGENCIA (OVE)",IF(P273=#REF!,"INSTITUCIONES AMIGAS DE LA MUJER Y LA INFANCIA (IAMI)",IF(P273=#REF!,"CUIDADO DEL DONANTE DE ORGANOS",IF(P273=#REF!,"ATENCION A VICTIMAS POR VIOLENCIA DE GENERO",IF(P273=#REF!,"IGUALDAD DE GENERO EN LA SALUD",IF(P273=#REF!,"BRIGADA DE EMERGENCIA",IF(P273=#REF!,"MANEJO DEL DOLOR Y CUIDADOS PALIATIVOS",IF(P273=#REF!,"TOMA DE MUESTRAS Y LABORATORIO POCT",IF(P273=#REF!,"IMPLANTE SUBDERMICO DE DISPOSITIVO INTRAUTERINO",IF(P273=#REF!,"SALUD MENTAL",IF(P273=#REF!,"PRIMEROS AUXILIOS PSICOLOGICOS",IF(P273=#REF!,"ATENCION A VICTIMAS POR CONFLICTO ARMADO",IF(P273=#REF!,"MANIPULACION DE ALIMENTOS Y BPM",IF(P273=#REF!,"ATENCION A PERSONAS CON DISCAPACIDAD",IF(P273=#REF!,"CUIDADO INTEGRAL DEL PACIENTE ADULTO",IF(P273=#REF!,"MANEJO DEFENSIVO",IF(P273=#REF!,"SOPORTE CARDIOVASCULAR AVANZADO NEONATAL",IF(P273=#REF!,"SEGURIDAD DEL PACIENTE",IF(P273=#REF!,"MANEJO DE RESIDUOS HOSPITALARIOS"))))))))))))))))))))))))))))))))))))</f>
        <v>#REF!</v>
      </c>
      <c r="W273" s="26" t="str">
        <f>CONCATENATE(E273," ",F273," ",C273," ",D273)</f>
        <v>Yesica Marisol Acosta Melo</v>
      </c>
      <c r="X273" s="26" t="str">
        <f t="shared" si="30"/>
        <v>Yesica Marisol Acosta Melo</v>
      </c>
      <c r="Y273" s="26" t="str">
        <f>CONCATENATE(W273,"-",B273,"-",P273)</f>
        <v>Yesica Marisol Acosta Melo-1085323918-VIOLENCIA SEXUAL</v>
      </c>
    </row>
    <row r="274" spans="1:25" s="19" customFormat="1" x14ac:dyDescent="0.2">
      <c r="A274" s="20">
        <v>21</v>
      </c>
      <c r="B274" s="21">
        <v>1085323918</v>
      </c>
      <c r="C274" s="21" t="s">
        <v>111</v>
      </c>
      <c r="D274" s="21" t="s">
        <v>112</v>
      </c>
      <c r="E274" s="21" t="s">
        <v>114</v>
      </c>
      <c r="F274" s="21" t="s">
        <v>113</v>
      </c>
      <c r="G274" s="21">
        <v>9</v>
      </c>
      <c r="H274" s="21" t="s">
        <v>49</v>
      </c>
      <c r="I274" s="22" t="s">
        <v>376</v>
      </c>
      <c r="J274" s="22"/>
      <c r="K274" s="23">
        <v>45666</v>
      </c>
      <c r="L274" s="24">
        <v>30000</v>
      </c>
      <c r="M274" s="21" t="s">
        <v>79</v>
      </c>
      <c r="N274" s="21" t="s">
        <v>387</v>
      </c>
      <c r="O274" s="21" t="s">
        <v>69</v>
      </c>
      <c r="P274" s="21" t="s">
        <v>19</v>
      </c>
      <c r="Q274" s="22">
        <v>34982</v>
      </c>
      <c r="R274" s="21" t="s">
        <v>71</v>
      </c>
      <c r="S274" s="21" t="s">
        <v>107</v>
      </c>
      <c r="T274" s="25">
        <v>3148960896</v>
      </c>
      <c r="U274" s="25" t="s">
        <v>115</v>
      </c>
      <c r="V274" s="26" t="e">
        <f>IF(P274=#REF!,"DIPLOMADO EN ATENCION PRE-HOSPITALARIA",IF(P274=#REF!,"ACOMPAÑAMIENTO Y MANEJO DEL DUELO",IF(P274=#REF!,"ATENCION A VICTIMAS DE ATAQUE CON AGENTES QUIMICOS ",IF(P274=#REF!,"PRIMEROS AUXILIOS ",IF(P274=#REF!,"DIPLOMADO DE UNIDAD DE CUIDADOS INTENSIVOS (UCI)",IF(P274=#REF!,"MODELO DE ATENCION PARA EVENTOS EMERGENTES EN SALUD MENTAL (CODIGO VERDE)",IF(P274=#REF!,"HUMANIZACION EN EL SERVICIO DE LA SALUD Y BUENAS PRACTICAS EN PACIENTE ",IF(P274=#REF!,"CLINICA DE HERIDAS ",IF(P274=#REF!,"TOMA DE CITOLOGIA CERVICO VAGINAL ",IF(P274=#REF!,"SOPORTE CARDIOVASCULAR AVANZADO (ACLS) ",IF(P274=#REF!,"CAMILLERO ",IF(P274=#REF!,"TOMA DE MUESTRAS Y LABORATORIO ",IF(P274=#REF!,"SOPORTE VITAL BASICO (BLS)",IF(P274=#REF!,"ATENCION A VICTIMAS DE VIOLENCIA SEXUAL ",IF(P274=#REF!,"PROGRAMADO AMPLIADO DE INMUNIZACION (PAI - COVID 19)",IF(P274=#REF!,"ATENCION INTEGRAL EN ENFERMEDADES PREVALENTES EN PRIMERA INFANCIA (AIEPI)",IF(P274=#REF!,"ADMINISTRACION DE MEDICAMENTOS, INYECTOLOGIA  Y CANALIZACION ",IF(P274=#REF!,"OPERADOR DE VEHICULOS DE EMERGENCIA (OVE)",IF(P274=#REF!,"INSTITUCIONES AMIGAS DE LA MUJER Y LA INFANCIA (IAMI)",IF(P274=#REF!,"CUIDADO DEL DONANTE DE ORGANOS",IF(P274=#REF!,"ATENCION A VICTIMAS POR VIOLENCIA DE GENERO",IF(P274=#REF!,"IGUALDAD DE GENERO EN LA SALUD",IF(P274=#REF!,"BRIGADA DE EMERGENCIA",IF(P274=#REF!,"MANEJO DEL DOLOR Y CUIDADOS PALIATIVOS",IF(P274=#REF!,"TOMA DE MUESTRAS Y LABORATORIO POCT",IF(P274=#REF!,"IMPLANTE SUBDERMICO DE DISPOSITIVO INTRAUTERINO",IF(P274=#REF!,"SALUD MENTAL",IF(P274=#REF!,"PRIMEROS AUXILIOS PSICOLOGICOS",IF(P274=#REF!,"ATENCION A VICTIMAS POR CONFLICTO ARMADO",IF(P274=#REF!,"MANIPULACION DE ALIMENTOS Y BPM",IF(P274=#REF!,"ATENCION A PERSONAS CON DISCAPACIDAD",IF(P274=#REF!,"CUIDADO INTEGRAL DEL PACIENTE ADULTO",IF(P274=#REF!,"MANEJO DEFENSIVO",IF(P274=#REF!,"SOPORTE CARDIOVASCULAR AVANZADO NEONATAL",IF(P274=#REF!,"SEGURIDAD DEL PACIENTE",IF(P274=#REF!,"MANEJO DE RESIDUOS HOSPITALARIOS"))))))))))))))))))))))))))))))))))))</f>
        <v>#REF!</v>
      </c>
      <c r="W274" s="26" t="str">
        <f>CONCATENATE(E274," ",F274," ",C274," ",D274)</f>
        <v>Yesica Marisol Acosta Melo</v>
      </c>
      <c r="X274" s="26" t="str">
        <f t="shared" si="30"/>
        <v>Yesica Marisol Acosta Melo</v>
      </c>
      <c r="Y274" s="26" t="str">
        <f>CONCATENATE(W274,"-",B274,"-",P274)</f>
        <v>Yesica Marisol Acosta Melo-1085323918-BLS</v>
      </c>
    </row>
    <row r="275" spans="1:25" s="19" customFormat="1" x14ac:dyDescent="0.2">
      <c r="A275" s="20">
        <v>22</v>
      </c>
      <c r="B275" s="21">
        <v>36953195</v>
      </c>
      <c r="C275" s="21" t="s">
        <v>116</v>
      </c>
      <c r="D275" s="21" t="s">
        <v>117</v>
      </c>
      <c r="E275" s="21" t="s">
        <v>118</v>
      </c>
      <c r="F275" s="21" t="s">
        <v>119</v>
      </c>
      <c r="G275" s="21">
        <v>9</v>
      </c>
      <c r="H275" s="21" t="s">
        <v>49</v>
      </c>
      <c r="I275" s="22" t="s">
        <v>376</v>
      </c>
      <c r="J275" s="22"/>
      <c r="K275" s="23">
        <v>45301</v>
      </c>
      <c r="L275" s="24">
        <v>80000</v>
      </c>
      <c r="M275" s="21" t="s">
        <v>106</v>
      </c>
      <c r="N275" s="21" t="s">
        <v>387</v>
      </c>
      <c r="O275" s="21" t="s">
        <v>95</v>
      </c>
      <c r="P275" s="21" t="s">
        <v>24</v>
      </c>
      <c r="Q275" s="22">
        <v>29651</v>
      </c>
      <c r="R275" s="21" t="s">
        <v>71</v>
      </c>
      <c r="S275" s="25" t="s">
        <v>109</v>
      </c>
      <c r="T275" s="21">
        <v>3223004497</v>
      </c>
      <c r="U275" s="21" t="s">
        <v>120</v>
      </c>
      <c r="V275" s="26" t="e">
        <f>IF(P275=#REF!,"DIPLOMADO EN ATENCION PRE-HOSPITALARIA",IF(P275=#REF!,"ACOMPAÑAMIENTO Y MANEJO DEL DUELO",IF(P275=#REF!,"ATENCION A VICTIMAS DE ATAQUE CON AGENTES QUIMICOS ",IF(P275=#REF!,"PRIMEROS AUXILIOS ",IF(P275=#REF!,"DIPLOMADO DE UNIDAD DE CUIDADOS INTENSIVOS (UCI)",IF(P275=#REF!,"MODELO DE ATENCION PARA EVENTOS EMERGENTES EN SALUD MENTAL (CODIGO VERDE)",IF(P275=#REF!,"HUMANIZACION EN EL SERVICIO DE LA SALUD Y BUENAS PRACTICAS EN PACIENTE ",IF(P275=#REF!,"CLINICA DE HERIDAS ",IF(P275=#REF!,"TOMA DE CITOLOGIA CERVICO VAGINAL ",IF(P275=#REF!,"SOPORTE CARDIOVASCULAR AVANZADO (ACLS) ",IF(P275=#REF!,"CAMILLERO ",IF(P275=#REF!,"TOMA DE MUESTRAS Y LABORATORIO ",IF(P275=#REF!,"SOPORTE VITAL BASICO (BLS)",IF(P275=#REF!,"ATENCION A VICTIMAS DE VIOLENCIA SEXUAL ",IF(P275=#REF!,"PROGRAMADO AMPLIADO DE INMUNIZACION (PAI - COVID 19)",IF(P275=#REF!,"ATENCION INTEGRAL EN ENFERMEDADES PREVALENTES EN PRIMERA INFANCIA (AIEPI)",IF(P275=#REF!,"ADMINISTRACION DE MEDICAMENTOS, INYECTOLOGIA  Y CANALIZACION ",IF(P275=#REF!,"OPERADOR DE VEHICULOS DE EMERGENCIA (OVE)",IF(P275=#REF!,"INSTITUCIONES AMIGAS DE LA MUJER Y LA INFANCIA (IAMI)",IF(P275=#REF!,"CUIDADO DEL DONANTE DE ORGANOS",IF(P275=#REF!,"ATENCION A VICTIMAS POR VIOLENCIA DE GENERO",IF(P275=#REF!,"IGUALDAD DE GENERO EN LA SALUD",IF(P275=#REF!,"BRIGADA DE EMERGENCIA",IF(P275=#REF!,"MANEJO DEL DOLOR Y CUIDADOS PALIATIVOS",IF(P275=#REF!,"TOMA DE MUESTRAS Y LABORATORIO POCT",IF(P275=#REF!,"IMPLANTE SUBDERMICO DE DISPOSITIVO INTRAUTERINO",IF(P275=#REF!,"SALUD MENTAL",IF(P275=#REF!,"PRIMEROS AUXILIOS PSICOLOGICOS",IF(P275=#REF!,"ATENCION A VICTIMAS POR CONFLICTO ARMADO",IF(P275=#REF!,"MANIPULACION DE ALIMENTOS Y BPM",IF(P275=#REF!,"ATENCION A PERSONAS CON DISCAPACIDAD",IF(P275=#REF!,"CUIDADO INTEGRAL DEL PACIENTE ADULTO",IF(P275=#REF!,"MANEJO DEFENSIVO",IF(P275=#REF!,"SOPORTE CARDIOVASCULAR AVANZADO NEONATAL",IF(P275=#REF!,"SEGURIDAD DEL PACIENTE",IF(P275=#REF!,"MANEJO DE RESIDUOS HOSPITALARIOS"))))))))))))))))))))))))))))))))))))</f>
        <v>#REF!</v>
      </c>
      <c r="W275" s="26" t="str">
        <f>CONCATENATE(E275," ",F275," ",C275," ",D275)</f>
        <v>Carmen Yoly Delgado Rivera</v>
      </c>
      <c r="X275" s="26" t="str">
        <f t="shared" si="30"/>
        <v>Carmen Yoly Delgado Rivera</v>
      </c>
      <c r="Y275" s="26" t="str">
        <f>CONCATENATE(W275,"-",B275,"-",P275)</f>
        <v>Carmen Yoly Delgado Rivera-36953195-ACLS</v>
      </c>
    </row>
    <row r="276" spans="1:25" s="19" customFormat="1" x14ac:dyDescent="0.2">
      <c r="A276" s="20">
        <v>23</v>
      </c>
      <c r="B276" s="21">
        <v>36953195</v>
      </c>
      <c r="C276" s="21" t="s">
        <v>116</v>
      </c>
      <c r="D276" s="21" t="s">
        <v>117</v>
      </c>
      <c r="E276" s="21" t="s">
        <v>118</v>
      </c>
      <c r="F276" s="21" t="s">
        <v>119</v>
      </c>
      <c r="G276" s="21">
        <v>8</v>
      </c>
      <c r="H276" s="21" t="s">
        <v>49</v>
      </c>
      <c r="I276" s="22" t="s">
        <v>376</v>
      </c>
      <c r="J276" s="22"/>
      <c r="K276" s="23">
        <v>45301</v>
      </c>
      <c r="L276" s="24">
        <v>32000</v>
      </c>
      <c r="M276" s="21" t="s">
        <v>106</v>
      </c>
      <c r="N276" s="21" t="s">
        <v>387</v>
      </c>
      <c r="O276" s="21" t="s">
        <v>95</v>
      </c>
      <c r="P276" s="21" t="s">
        <v>21</v>
      </c>
      <c r="Q276" s="22">
        <v>29651</v>
      </c>
      <c r="R276" s="21" t="s">
        <v>71</v>
      </c>
      <c r="S276" s="25" t="s">
        <v>109</v>
      </c>
      <c r="T276" s="21">
        <v>3223004497</v>
      </c>
      <c r="U276" s="21" t="s">
        <v>120</v>
      </c>
      <c r="V276" s="26" t="e">
        <f>IF(P276=#REF!,"DIPLOMADO EN ATENCION PRE-HOSPITALARIA",IF(P276=#REF!,"ACOMPAÑAMIENTO Y MANEJO DEL DUELO",IF(P276=#REF!,"ATENCION A VICTIMAS DE ATAQUE CON AGENTES QUIMICOS ",IF(P276=#REF!,"PRIMEROS AUXILIOS ",IF(P276=#REF!,"DIPLOMADO DE UNIDAD DE CUIDADOS INTENSIVOS (UCI)",IF(P276=#REF!,"MODELO DE ATENCION PARA EVENTOS EMERGENTES EN SALUD MENTAL (CODIGO VERDE)",IF(P276=#REF!,"HUMANIZACION EN EL SERVICIO DE LA SALUD Y BUENAS PRACTICAS EN PACIENTE ",IF(P276=#REF!,"CLINICA DE HERIDAS ",IF(P276=#REF!,"TOMA DE CITOLOGIA CERVICO VAGINAL ",IF(P276=#REF!,"SOPORTE CARDIOVASCULAR AVANZADO (ACLS) ",IF(P276=#REF!,"CAMILLERO ",IF(P276=#REF!,"TOMA DE MUESTRAS Y LABORATORIO ",IF(P276=#REF!,"SOPORTE VITAL BASICO (BLS)",IF(P276=#REF!,"ATENCION A VICTIMAS DE VIOLENCIA SEXUAL ",IF(P276=#REF!,"PROGRAMADO AMPLIADO DE INMUNIZACION (PAI - COVID 19)",IF(P276=#REF!,"ATENCION INTEGRAL EN ENFERMEDADES PREVALENTES EN PRIMERA INFANCIA (AIEPI)",IF(P276=#REF!,"ADMINISTRACION DE MEDICAMENTOS, INYECTOLOGIA  Y CANALIZACION ",IF(P276=#REF!,"OPERADOR DE VEHICULOS DE EMERGENCIA (OVE)",IF(P276=#REF!,"INSTITUCIONES AMIGAS DE LA MUJER Y LA INFANCIA (IAMI)",IF(P276=#REF!,"CUIDADO DEL DONANTE DE ORGANOS",IF(P276=#REF!,"ATENCION A VICTIMAS POR VIOLENCIA DE GENERO",IF(P276=#REF!,"IGUALDAD DE GENERO EN LA SALUD",IF(P276=#REF!,"BRIGADA DE EMERGENCIA",IF(P276=#REF!,"MANEJO DEL DOLOR Y CUIDADOS PALIATIVOS",IF(P276=#REF!,"TOMA DE MUESTRAS Y LABORATORIO POCT",IF(P276=#REF!,"IMPLANTE SUBDERMICO DE DISPOSITIVO INTRAUTERINO",IF(P276=#REF!,"SALUD MENTAL",IF(P276=#REF!,"PRIMEROS AUXILIOS PSICOLOGICOS",IF(P276=#REF!,"ATENCION A VICTIMAS POR CONFLICTO ARMADO",IF(P276=#REF!,"MANIPULACION DE ALIMENTOS Y BPM",IF(P276=#REF!,"ATENCION A PERSONAS CON DISCAPACIDAD",IF(P276=#REF!,"CUIDADO INTEGRAL DEL PACIENTE ADULTO",IF(P276=#REF!,"MANEJO DEFENSIVO",IF(P276=#REF!,"SOPORTE CARDIOVASCULAR AVANZADO NEONATAL",IF(P276=#REF!,"SEGURIDAD DEL PACIENTE",IF(P276=#REF!,"MANEJO DE RESIDUOS HOSPITALARIOS"))))))))))))))))))))))))))))))))))))</f>
        <v>#REF!</v>
      </c>
      <c r="W276" s="26" t="str">
        <f>CONCATENATE(E276," ",F276," ",C276," ",D276)</f>
        <v>Carmen Yoly Delgado Rivera</v>
      </c>
      <c r="X276" s="26" t="str">
        <f t="shared" si="30"/>
        <v>Carmen Yoly Delgado Rivera</v>
      </c>
      <c r="Y276" s="26" t="str">
        <f>CONCATENATE(W276,"-",B276,"-",P276)</f>
        <v>Carmen Yoly Delgado Rivera-36953195-QUIMICOS</v>
      </c>
    </row>
    <row r="277" spans="1:25" s="19" customFormat="1" x14ac:dyDescent="0.2">
      <c r="A277" s="20">
        <v>24</v>
      </c>
      <c r="B277" s="21">
        <v>36953195</v>
      </c>
      <c r="C277" s="21" t="s">
        <v>116</v>
      </c>
      <c r="D277" s="21" t="s">
        <v>117</v>
      </c>
      <c r="E277" s="21" t="s">
        <v>118</v>
      </c>
      <c r="F277" s="21" t="s">
        <v>119</v>
      </c>
      <c r="G277" s="21">
        <v>8</v>
      </c>
      <c r="H277" s="21" t="s">
        <v>49</v>
      </c>
      <c r="I277" s="22" t="s">
        <v>376</v>
      </c>
      <c r="J277" s="22"/>
      <c r="K277" s="23">
        <v>45301</v>
      </c>
      <c r="L277" s="24">
        <v>32000</v>
      </c>
      <c r="M277" s="21" t="s">
        <v>106</v>
      </c>
      <c r="N277" s="21" t="s">
        <v>387</v>
      </c>
      <c r="O277" s="21" t="s">
        <v>95</v>
      </c>
      <c r="P277" s="21" t="s">
        <v>27</v>
      </c>
      <c r="Q277" s="22">
        <v>29651</v>
      </c>
      <c r="R277" s="21" t="s">
        <v>71</v>
      </c>
      <c r="S277" s="25" t="s">
        <v>109</v>
      </c>
      <c r="T277" s="21">
        <v>3223004497</v>
      </c>
      <c r="U277" s="21" t="s">
        <v>120</v>
      </c>
      <c r="V277" s="26" t="e">
        <f>IF(P277=#REF!,"DIPLOMADO EN ATENCION PRE-HOSPITALARIA",IF(P277=#REF!,"ACOMPAÑAMIENTO Y MANEJO DEL DUELO",IF(P277=#REF!,"ATENCION A VICTIMAS DE ATAQUE CON AGENTES QUIMICOS ",IF(P277=#REF!,"PRIMEROS AUXILIOS ",IF(P277=#REF!,"DIPLOMADO DE UNIDAD DE CUIDADOS INTENSIVOS (UCI)",IF(P277=#REF!,"MODELO DE ATENCION PARA EVENTOS EMERGENTES EN SALUD MENTAL (CODIGO VERDE)",IF(P277=#REF!,"HUMANIZACION EN EL SERVICIO DE LA SALUD Y BUENAS PRACTICAS EN PACIENTE ",IF(P277=#REF!,"CLINICA DE HERIDAS ",IF(P277=#REF!,"TOMA DE CITOLOGIA CERVICO VAGINAL ",IF(P277=#REF!,"SOPORTE CARDIOVASCULAR AVANZADO (ACLS) ",IF(P277=#REF!,"CAMILLERO ",IF(P277=#REF!,"TOMA DE MUESTRAS Y LABORATORIO ",IF(P277=#REF!,"SOPORTE VITAL BASICO (BLS)",IF(P277=#REF!,"ATENCION A VICTIMAS DE VIOLENCIA SEXUAL ",IF(P277=#REF!,"PROGRAMADO AMPLIADO DE INMUNIZACION (PAI - COVID 19)",IF(P277=#REF!,"ATENCION INTEGRAL EN ENFERMEDADES PREVALENTES EN PRIMERA INFANCIA (AIEPI)",IF(P277=#REF!,"ADMINISTRACION DE MEDICAMENTOS, INYECTOLOGIA  Y CANALIZACION ",IF(P277=#REF!,"OPERADOR DE VEHICULOS DE EMERGENCIA (OVE)",IF(P277=#REF!,"INSTITUCIONES AMIGAS DE LA MUJER Y LA INFANCIA (IAMI)",IF(P277=#REF!,"CUIDADO DEL DONANTE DE ORGANOS",IF(P277=#REF!,"ATENCION A VICTIMAS POR VIOLENCIA DE GENERO",IF(P277=#REF!,"IGUALDAD DE GENERO EN LA SALUD",IF(P277=#REF!,"BRIGADA DE EMERGENCIA",IF(P277=#REF!,"MANEJO DEL DOLOR Y CUIDADOS PALIATIVOS",IF(P277=#REF!,"TOMA DE MUESTRAS Y LABORATORIO POCT",IF(P277=#REF!,"IMPLANTE SUBDERMICO DE DISPOSITIVO INTRAUTERINO",IF(P277=#REF!,"SALUD MENTAL",IF(P277=#REF!,"PRIMEROS AUXILIOS PSICOLOGICOS",IF(P277=#REF!,"ATENCION A VICTIMAS POR CONFLICTO ARMADO",IF(P277=#REF!,"MANIPULACION DE ALIMENTOS Y BPM",IF(P277=#REF!,"ATENCION A PERSONAS CON DISCAPACIDAD",IF(P277=#REF!,"CUIDADO INTEGRAL DEL PACIENTE ADULTO",IF(P277=#REF!,"MANEJO DEFENSIVO",IF(P277=#REF!,"SOPORTE CARDIOVASCULAR AVANZADO NEONATAL",IF(P277=#REF!,"SEGURIDAD DEL PACIENTE",IF(P277=#REF!,"MANEJO DE RESIDUOS HOSPITALARIOS"))))))))))))))))))))))))))))))))))))</f>
        <v>#REF!</v>
      </c>
      <c r="W277" s="26" t="str">
        <f>CONCATENATE(E277," ",F277," ",C277," ",D277)</f>
        <v>Carmen Yoly Delgado Rivera</v>
      </c>
      <c r="X277" s="26" t="str">
        <f t="shared" si="30"/>
        <v>Carmen Yoly Delgado Rivera</v>
      </c>
      <c r="Y277" s="26" t="str">
        <f>CONCATENATE(W277,"-",B277,"-",P277)</f>
        <v>Carmen Yoly Delgado Rivera-36953195-VIOLENCIA SEXUAL</v>
      </c>
    </row>
    <row r="278" spans="1:25" s="19" customFormat="1" x14ac:dyDescent="0.2">
      <c r="A278" s="20">
        <v>25</v>
      </c>
      <c r="B278" s="21">
        <v>36953195</v>
      </c>
      <c r="C278" s="21" t="s">
        <v>116</v>
      </c>
      <c r="D278" s="21" t="s">
        <v>117</v>
      </c>
      <c r="E278" s="21" t="s">
        <v>118</v>
      </c>
      <c r="F278" s="21" t="s">
        <v>119</v>
      </c>
      <c r="G278" s="21">
        <v>7</v>
      </c>
      <c r="H278" s="21" t="s">
        <v>49</v>
      </c>
      <c r="I278" s="22" t="s">
        <v>376</v>
      </c>
      <c r="J278" s="22"/>
      <c r="K278" s="23">
        <v>45301</v>
      </c>
      <c r="L278" s="24">
        <v>32000</v>
      </c>
      <c r="M278" s="21" t="s">
        <v>106</v>
      </c>
      <c r="N278" s="21" t="s">
        <v>387</v>
      </c>
      <c r="O278" s="21" t="s">
        <v>95</v>
      </c>
      <c r="P278" s="21" t="s">
        <v>28</v>
      </c>
      <c r="Q278" s="22">
        <v>29651</v>
      </c>
      <c r="R278" s="21" t="s">
        <v>71</v>
      </c>
      <c r="S278" s="25" t="s">
        <v>109</v>
      </c>
      <c r="T278" s="21">
        <v>3223004497</v>
      </c>
      <c r="U278" s="21" t="s">
        <v>120</v>
      </c>
      <c r="V278" s="26" t="e">
        <f>IF(P278=#REF!,"DIPLOMADO EN ATENCION PRE-HOSPITALARIA",IF(P278=#REF!,"ACOMPAÑAMIENTO Y MANEJO DEL DUELO",IF(P278=#REF!,"ATENCION A VICTIMAS DE ATAQUE CON AGENTES QUIMICOS ",IF(P278=#REF!,"PRIMEROS AUXILIOS ",IF(P278=#REF!,"DIPLOMADO DE UNIDAD DE CUIDADOS INTENSIVOS (UCI)",IF(P278=#REF!,"MODELO DE ATENCION PARA EVENTOS EMERGENTES EN SALUD MENTAL (CODIGO VERDE)",IF(P278=#REF!,"HUMANIZACION EN EL SERVICIO DE LA SALUD Y BUENAS PRACTICAS EN PACIENTE ",IF(P278=#REF!,"CLINICA DE HERIDAS ",IF(P278=#REF!,"TOMA DE CITOLOGIA CERVICO VAGINAL ",IF(P278=#REF!,"SOPORTE CARDIOVASCULAR AVANZADO (ACLS) ",IF(P278=#REF!,"CAMILLERO ",IF(P278=#REF!,"TOMA DE MUESTRAS Y LABORATORIO ",IF(P278=#REF!,"SOPORTE VITAL BASICO (BLS)",IF(P278=#REF!,"ATENCION A VICTIMAS DE VIOLENCIA SEXUAL ",IF(P278=#REF!,"PROGRAMADO AMPLIADO DE INMUNIZACION (PAI - COVID 19)",IF(P278=#REF!,"ATENCION INTEGRAL EN ENFERMEDADES PREVALENTES EN PRIMERA INFANCIA (AIEPI)",IF(P278=#REF!,"ADMINISTRACION DE MEDICAMENTOS, INYECTOLOGIA  Y CANALIZACION ",IF(P278=#REF!,"OPERADOR DE VEHICULOS DE EMERGENCIA (OVE)",IF(P278=#REF!,"INSTITUCIONES AMIGAS DE LA MUJER Y LA INFANCIA (IAMI)",IF(P278=#REF!,"CUIDADO DEL DONANTE DE ORGANOS",IF(P278=#REF!,"ATENCION A VICTIMAS POR VIOLENCIA DE GENERO",IF(P278=#REF!,"IGUALDAD DE GENERO EN LA SALUD",IF(P278=#REF!,"BRIGADA DE EMERGENCIA",IF(P278=#REF!,"MANEJO DEL DOLOR Y CUIDADOS PALIATIVOS",IF(P278=#REF!,"TOMA DE MUESTRAS Y LABORATORIO POCT",IF(P278=#REF!,"IMPLANTE SUBDERMICO DE DISPOSITIVO INTRAUTERINO",IF(P278=#REF!,"SALUD MENTAL",IF(P278=#REF!,"PRIMEROS AUXILIOS PSICOLOGICOS",IF(P278=#REF!,"ATENCION A VICTIMAS POR CONFLICTO ARMADO",IF(P278=#REF!,"MANIPULACION DE ALIMENTOS Y BPM",IF(P278=#REF!,"ATENCION A PERSONAS CON DISCAPACIDAD",IF(P278=#REF!,"CUIDADO INTEGRAL DEL PACIENTE ADULTO",IF(P278=#REF!,"MANEJO DEFENSIVO",IF(P278=#REF!,"SOPORTE CARDIOVASCULAR AVANZADO NEONATAL",IF(P278=#REF!,"SEGURIDAD DEL PACIENTE",IF(P278=#REF!,"MANEJO DE RESIDUOS HOSPITALARIOS"))))))))))))))))))))))))))))))))))))</f>
        <v>#REF!</v>
      </c>
      <c r="W278" s="26" t="str">
        <f>CONCATENATE(E278," ",F278," ",C278," ",D278)</f>
        <v>Carmen Yoly Delgado Rivera</v>
      </c>
      <c r="X278" s="26" t="str">
        <f t="shared" si="30"/>
        <v>Carmen Yoly Delgado Rivera</v>
      </c>
      <c r="Y278" s="26" t="str">
        <f>CONCATENATE(W278,"-",B278,"-",P278)</f>
        <v>Carmen Yoly Delgado Rivera-36953195-AIEPI</v>
      </c>
    </row>
    <row r="279" spans="1:25" s="19" customFormat="1" x14ac:dyDescent="0.2">
      <c r="A279" s="20">
        <v>26</v>
      </c>
      <c r="B279" s="21">
        <v>36953195</v>
      </c>
      <c r="C279" s="21" t="s">
        <v>116</v>
      </c>
      <c r="D279" s="21" t="s">
        <v>117</v>
      </c>
      <c r="E279" s="21" t="s">
        <v>118</v>
      </c>
      <c r="F279" s="21" t="s">
        <v>119</v>
      </c>
      <c r="G279" s="21">
        <v>9</v>
      </c>
      <c r="H279" s="21" t="s">
        <v>49</v>
      </c>
      <c r="I279" s="22" t="s">
        <v>376</v>
      </c>
      <c r="J279" s="22"/>
      <c r="K279" s="23">
        <v>45301</v>
      </c>
      <c r="L279" s="24">
        <v>32000</v>
      </c>
      <c r="M279" s="21" t="s">
        <v>106</v>
      </c>
      <c r="N279" s="21" t="s">
        <v>387</v>
      </c>
      <c r="O279" s="21" t="s">
        <v>95</v>
      </c>
      <c r="P279" s="21" t="s">
        <v>20</v>
      </c>
      <c r="Q279" s="22">
        <v>29651</v>
      </c>
      <c r="R279" s="21" t="s">
        <v>71</v>
      </c>
      <c r="S279" s="25" t="s">
        <v>109</v>
      </c>
      <c r="T279" s="21">
        <v>3223004497</v>
      </c>
      <c r="U279" s="25" t="s">
        <v>120</v>
      </c>
      <c r="V279" s="26" t="e">
        <f>IF(P279=#REF!,"DIPLOMADO EN ATENCION PRE-HOSPITALARIA",IF(P279=#REF!,"ACOMPAÑAMIENTO Y MANEJO DEL DUELO",IF(P279=#REF!,"ATENCION A VICTIMAS DE ATAQUE CON AGENTES QUIMICOS ",IF(P279=#REF!,"PRIMEROS AUXILIOS ",IF(P279=#REF!,"DIPLOMADO DE UNIDAD DE CUIDADOS INTENSIVOS (UCI)",IF(P279=#REF!,"MODELO DE ATENCION PARA EVENTOS EMERGENTES EN SALUD MENTAL (CODIGO VERDE)",IF(P279=#REF!,"HUMANIZACION EN EL SERVICIO DE LA SALUD Y BUENAS PRACTICAS EN PACIENTE ",IF(P279=#REF!,"CLINICA DE HERIDAS ",IF(P279=#REF!,"TOMA DE CITOLOGIA CERVICO VAGINAL ",IF(P279=#REF!,"SOPORTE CARDIOVASCULAR AVANZADO (ACLS) ",IF(P279=#REF!,"CAMILLERO ",IF(P279=#REF!,"TOMA DE MUESTRAS Y LABORATORIO ",IF(P279=#REF!,"SOPORTE VITAL BASICO (BLS)",IF(P279=#REF!,"ATENCION A VICTIMAS DE VIOLENCIA SEXUAL ",IF(P279=#REF!,"PROGRAMADO AMPLIADO DE INMUNIZACION (PAI - COVID 19)",IF(P279=#REF!,"ATENCION INTEGRAL EN ENFERMEDADES PREVALENTES EN PRIMERA INFANCIA (AIEPI)",IF(P279=#REF!,"ADMINISTRACION DE MEDICAMENTOS, INYECTOLOGIA  Y CANALIZACION ",IF(P279=#REF!,"OPERADOR DE VEHICULOS DE EMERGENCIA (OVE)",IF(P279=#REF!,"INSTITUCIONES AMIGAS DE LA MUJER Y LA INFANCIA (IAMI)",IF(P279=#REF!,"CUIDADO DEL DONANTE DE ORGANOS",IF(P279=#REF!,"ATENCION A VICTIMAS POR VIOLENCIA DE GENERO",IF(P279=#REF!,"IGUALDAD DE GENERO EN LA SALUD",IF(P279=#REF!,"BRIGADA DE EMERGENCIA",IF(P279=#REF!,"MANEJO DEL DOLOR Y CUIDADOS PALIATIVOS",IF(P279=#REF!,"TOMA DE MUESTRAS Y LABORATORIO POCT",IF(P279=#REF!,"IMPLANTE SUBDERMICO DE DISPOSITIVO INTRAUTERINO",IF(P279=#REF!,"SALUD MENTAL",IF(P279=#REF!,"PRIMEROS AUXILIOS PSICOLOGICOS",IF(P279=#REF!,"ATENCION A VICTIMAS POR CONFLICTO ARMADO",IF(P279=#REF!,"MANIPULACION DE ALIMENTOS Y BPM",IF(P279=#REF!,"ATENCION A PERSONAS CON DISCAPACIDAD",IF(P279=#REF!,"CUIDADO INTEGRAL DEL PACIENTE ADULTO",IF(P279=#REF!,"MANEJO DEFENSIVO",IF(P279=#REF!,"SOPORTE CARDIOVASCULAR AVANZADO NEONATAL",IF(P279=#REF!,"SEGURIDAD DEL PACIENTE",IF(P279=#REF!,"MANEJO DE RESIDUOS HOSPITALARIOS"))))))))))))))))))))))))))))))))))))</f>
        <v>#REF!</v>
      </c>
      <c r="W279" s="26" t="str">
        <f>CONCATENATE(E279," ",F279," ",C279," ",D279)</f>
        <v>Carmen Yoly Delgado Rivera</v>
      </c>
      <c r="X279" s="26" t="str">
        <f t="shared" si="30"/>
        <v>Carmen Yoly Delgado Rivera</v>
      </c>
      <c r="Y279" s="26" t="str">
        <f>CONCATENATE(W279,"-",B279,"-",P279)</f>
        <v>Carmen Yoly Delgado Rivera-36953195-DUELO</v>
      </c>
    </row>
    <row r="280" spans="1:25" s="19" customFormat="1" x14ac:dyDescent="0.2">
      <c r="A280" s="20">
        <v>27</v>
      </c>
      <c r="B280" s="21">
        <v>31601962</v>
      </c>
      <c r="C280" s="21" t="s">
        <v>121</v>
      </c>
      <c r="D280" s="21" t="s">
        <v>122</v>
      </c>
      <c r="E280" s="21" t="s">
        <v>123</v>
      </c>
      <c r="F280" s="21" t="s">
        <v>124</v>
      </c>
      <c r="G280" s="21">
        <v>9</v>
      </c>
      <c r="H280" s="21" t="s">
        <v>49</v>
      </c>
      <c r="I280" s="22" t="s">
        <v>376</v>
      </c>
      <c r="J280" s="22"/>
      <c r="K280" s="23">
        <v>45666</v>
      </c>
      <c r="L280" s="24">
        <v>30000</v>
      </c>
      <c r="M280" s="21" t="s">
        <v>79</v>
      </c>
      <c r="N280" s="21" t="s">
        <v>387</v>
      </c>
      <c r="O280" s="21" t="s">
        <v>77</v>
      </c>
      <c r="P280" s="21" t="s">
        <v>125</v>
      </c>
      <c r="Q280" s="22"/>
      <c r="R280" s="21"/>
      <c r="S280" s="21"/>
      <c r="T280" s="25"/>
      <c r="U280" s="21"/>
      <c r="V280" s="26" t="e">
        <f>IF(P280=#REF!,"DIPLOMADO EN ATENCION PRE-HOSPITALARIA",IF(P280=#REF!,"ACOMPAÑAMIENTO Y MANEJO DEL DUELO",IF(P280=#REF!,"ATENCION A VICTIMAS DE ATAQUE CON AGENTES QUIMICOS ",IF(P280=#REF!,"PRIMEROS AUXILIOS ",IF(P280=#REF!,"DIPLOMADO DE UNIDAD DE CUIDADOS INTENSIVOS (UCI)",IF(P280=#REF!,"MODELO DE ATENCION PARA EVENTOS EMERGENTES EN SALUD MENTAL (CODIGO VERDE)",IF(P280=#REF!,"HUMANIZACION EN EL SERVICIO DE LA SALUD Y BUENAS PRACTICAS EN PACIENTE ",IF(P280=#REF!,"CLINICA DE HERIDAS ",IF(P280=#REF!,"TOMA DE CITOLOGIA CERVICO VAGINAL ",IF(P280=#REF!,"SOPORTE CARDIOVASCULAR AVANZADO (ACLS) ",IF(P280=#REF!,"CAMILLERO ",IF(P280=#REF!,"TOMA DE MUESTRAS Y LABORATORIO ",IF(P280=#REF!,"SOPORTE VITAL BASICO (BLS)",IF(P280=#REF!,"ATENCION A VICTIMAS DE VIOLENCIA SEXUAL ",IF(P280=#REF!,"PROGRAMADO AMPLIADO DE INMUNIZACION (PAI - COVID 19)",IF(P280=#REF!,"ATENCION INTEGRAL EN ENFERMEDADES PREVALENTES EN PRIMERA INFANCIA (AIEPI)",IF(P280=#REF!,"ADMINISTRACION DE MEDICAMENTOS, INYECTOLOGIA  Y CANALIZACION ",IF(P280=#REF!,"OPERADOR DE VEHICULOS DE EMERGENCIA (OVE)",IF(P280=#REF!,"INSTITUCIONES AMIGAS DE LA MUJER Y LA INFANCIA (IAMI)",IF(P280=#REF!,"CUIDADO DEL DONANTE DE ORGANOS",IF(P280=#REF!,"ATENCION A VICTIMAS POR VIOLENCIA DE GENERO",IF(P280=#REF!,"IGUALDAD DE GENERO EN LA SALUD",IF(P280=#REF!,"BRIGADA DE EMERGENCIA",IF(P280=#REF!,"MANEJO DEL DOLOR Y CUIDADOS PALIATIVOS",IF(P280=#REF!,"TOMA DE MUESTRAS Y LABORATORIO POCT",IF(P280=#REF!,"IMPLANTE SUBDERMICO DE DISPOSITIVO INTRAUTERINO",IF(P280=#REF!,"SALUD MENTAL",IF(P280=#REF!,"PRIMEROS AUXILIOS PSICOLOGICOS",IF(P280=#REF!,"ATENCION A VICTIMAS POR CONFLICTO ARMADO",IF(P280=#REF!,"MANIPULACION DE ALIMENTOS Y BPM",IF(P280=#REF!,"ATENCION A PERSONAS CON DISCAPACIDAD",IF(P280=#REF!,"CUIDADO INTEGRAL DEL PACIENTE ADULTO",IF(P280=#REF!,"MANEJO DEFENSIVO",IF(P280=#REF!,"SOPORTE CARDIOVASCULAR AVANZADO NEONATAL",IF(P280=#REF!,"SEGURIDAD DEL PACIENTE",IF(P280=#REF!,"MANEJO DE RESIDUOS HOSPITALARIOS"))))))))))))))))))))))))))))))))))))</f>
        <v>#REF!</v>
      </c>
      <c r="W280" s="26" t="str">
        <f>CONCATENATE(E280," ",F280," ",C280," ",D280)</f>
        <v>Lida Fernanda Estacio Wisamano</v>
      </c>
      <c r="X280" s="26" t="str">
        <f t="shared" si="30"/>
        <v>Lida Fernanda Estacio Wisamano</v>
      </c>
      <c r="Y280" s="26" t="str">
        <f>CONCATENATE(W280,"-",B280,"-",P280)</f>
        <v>Lida Fernanda Estacio Wisamano-31601962-TRIAGE</v>
      </c>
    </row>
    <row r="281" spans="1:25" s="19" customFormat="1" x14ac:dyDescent="0.2">
      <c r="A281" s="20">
        <v>28</v>
      </c>
      <c r="B281" s="21">
        <v>31601962</v>
      </c>
      <c r="C281" s="21" t="s">
        <v>121</v>
      </c>
      <c r="D281" s="21" t="s">
        <v>122</v>
      </c>
      <c r="E281" s="21" t="s">
        <v>123</v>
      </c>
      <c r="F281" s="21" t="s">
        <v>124</v>
      </c>
      <c r="G281" s="21">
        <v>8</v>
      </c>
      <c r="H281" s="21" t="s">
        <v>49</v>
      </c>
      <c r="I281" s="22" t="s">
        <v>376</v>
      </c>
      <c r="J281" s="22"/>
      <c r="K281" s="23">
        <v>45666</v>
      </c>
      <c r="L281" s="24">
        <v>30000</v>
      </c>
      <c r="M281" s="21" t="s">
        <v>79</v>
      </c>
      <c r="N281" s="21" t="s">
        <v>387</v>
      </c>
      <c r="O281" s="21" t="s">
        <v>77</v>
      </c>
      <c r="P281" s="21" t="s">
        <v>21</v>
      </c>
      <c r="Q281" s="22"/>
      <c r="R281" s="21"/>
      <c r="S281" s="21"/>
      <c r="T281" s="25"/>
      <c r="U281" s="21"/>
      <c r="V281" s="26" t="e">
        <f>IF(P281=#REF!,"DIPLOMADO EN ATENCION PRE-HOSPITALARIA",IF(P281=#REF!,"ACOMPAÑAMIENTO Y MANEJO DEL DUELO",IF(P281=#REF!,"ATENCION A VICTIMAS DE ATAQUE CON AGENTES QUIMICOS ",IF(P281=#REF!,"PRIMEROS AUXILIOS ",IF(P281=#REF!,"DIPLOMADO DE UNIDAD DE CUIDADOS INTENSIVOS (UCI)",IF(P281=#REF!,"MODELO DE ATENCION PARA EVENTOS EMERGENTES EN SALUD MENTAL (CODIGO VERDE)",IF(P281=#REF!,"HUMANIZACION EN EL SERVICIO DE LA SALUD Y BUENAS PRACTICAS EN PACIENTE ",IF(P281=#REF!,"CLINICA DE HERIDAS ",IF(P281=#REF!,"TOMA DE CITOLOGIA CERVICO VAGINAL ",IF(P281=#REF!,"SOPORTE CARDIOVASCULAR AVANZADO (ACLS) ",IF(P281=#REF!,"CAMILLERO ",IF(P281=#REF!,"TOMA DE MUESTRAS Y LABORATORIO ",IF(P281=#REF!,"SOPORTE VITAL BASICO (BLS)",IF(P281=#REF!,"ATENCION A VICTIMAS DE VIOLENCIA SEXUAL ",IF(P281=#REF!,"PROGRAMADO AMPLIADO DE INMUNIZACION (PAI - COVID 19)",IF(P281=#REF!,"ATENCION INTEGRAL EN ENFERMEDADES PREVALENTES EN PRIMERA INFANCIA (AIEPI)",IF(P281=#REF!,"ADMINISTRACION DE MEDICAMENTOS, INYECTOLOGIA  Y CANALIZACION ",IF(P281=#REF!,"OPERADOR DE VEHICULOS DE EMERGENCIA (OVE)",IF(P281=#REF!,"INSTITUCIONES AMIGAS DE LA MUJER Y LA INFANCIA (IAMI)",IF(P281=#REF!,"CUIDADO DEL DONANTE DE ORGANOS",IF(P281=#REF!,"ATENCION A VICTIMAS POR VIOLENCIA DE GENERO",IF(P281=#REF!,"IGUALDAD DE GENERO EN LA SALUD",IF(P281=#REF!,"BRIGADA DE EMERGENCIA",IF(P281=#REF!,"MANEJO DEL DOLOR Y CUIDADOS PALIATIVOS",IF(P281=#REF!,"TOMA DE MUESTRAS Y LABORATORIO POCT",IF(P281=#REF!,"IMPLANTE SUBDERMICO DE DISPOSITIVO INTRAUTERINO",IF(P281=#REF!,"SALUD MENTAL",IF(P281=#REF!,"PRIMEROS AUXILIOS PSICOLOGICOS",IF(P281=#REF!,"ATENCION A VICTIMAS POR CONFLICTO ARMADO",IF(P281=#REF!,"MANIPULACION DE ALIMENTOS Y BPM",IF(P281=#REF!,"ATENCION A PERSONAS CON DISCAPACIDAD",IF(P281=#REF!,"CUIDADO INTEGRAL DEL PACIENTE ADULTO",IF(P281=#REF!,"MANEJO DEFENSIVO",IF(P281=#REF!,"SOPORTE CARDIOVASCULAR AVANZADO NEONATAL",IF(P281=#REF!,"SEGURIDAD DEL PACIENTE",IF(P281=#REF!,"MANEJO DE RESIDUOS HOSPITALARIOS"))))))))))))))))))))))))))))))))))))</f>
        <v>#REF!</v>
      </c>
      <c r="W281" s="26" t="str">
        <f>CONCATENATE(E281," ",F281," ",C281," ",D281)</f>
        <v>Lida Fernanda Estacio Wisamano</v>
      </c>
      <c r="X281" s="26" t="str">
        <f t="shared" si="30"/>
        <v>Lida Fernanda Estacio Wisamano</v>
      </c>
      <c r="Y281" s="26" t="str">
        <f>CONCATENATE(W281,"-",B281,"-",P281)</f>
        <v>Lida Fernanda Estacio Wisamano-31601962-QUIMICOS</v>
      </c>
    </row>
    <row r="282" spans="1:25" s="19" customFormat="1" x14ac:dyDescent="0.2">
      <c r="A282" s="20">
        <v>29</v>
      </c>
      <c r="B282" s="21">
        <v>31601962</v>
      </c>
      <c r="C282" s="21" t="s">
        <v>121</v>
      </c>
      <c r="D282" s="21" t="s">
        <v>122</v>
      </c>
      <c r="E282" s="21" t="s">
        <v>123</v>
      </c>
      <c r="F282" s="21" t="s">
        <v>124</v>
      </c>
      <c r="G282" s="21">
        <v>8</v>
      </c>
      <c r="H282" s="21" t="s">
        <v>49</v>
      </c>
      <c r="I282" s="22" t="s">
        <v>376</v>
      </c>
      <c r="J282" s="22"/>
      <c r="K282" s="23">
        <v>45666</v>
      </c>
      <c r="L282" s="24">
        <v>30000</v>
      </c>
      <c r="M282" s="21" t="s">
        <v>79</v>
      </c>
      <c r="N282" s="21" t="s">
        <v>387</v>
      </c>
      <c r="O282" s="21" t="s">
        <v>77</v>
      </c>
      <c r="P282" s="21" t="s">
        <v>23</v>
      </c>
      <c r="Q282" s="22"/>
      <c r="R282" s="21"/>
      <c r="S282" s="21"/>
      <c r="T282" s="25"/>
      <c r="U282" s="21"/>
      <c r="V282" s="26" t="e">
        <f>IF(P282=#REF!,"DIPLOMADO EN ATENCION PRE-HOSPITALARIA",IF(P282=#REF!,"ACOMPAÑAMIENTO Y MANEJO DEL DUELO",IF(P282=#REF!,"ATENCION A VICTIMAS DE ATAQUE CON AGENTES QUIMICOS ",IF(P282=#REF!,"PRIMEROS AUXILIOS ",IF(P282=#REF!,"DIPLOMADO DE UNIDAD DE CUIDADOS INTENSIVOS (UCI)",IF(P282=#REF!,"MODELO DE ATENCION PARA EVENTOS EMERGENTES EN SALUD MENTAL (CODIGO VERDE)",IF(P282=#REF!,"HUMANIZACION EN EL SERVICIO DE LA SALUD Y BUENAS PRACTICAS EN PACIENTE ",IF(P282=#REF!,"CLINICA DE HERIDAS ",IF(P282=#REF!,"TOMA DE CITOLOGIA CERVICO VAGINAL ",IF(P282=#REF!,"SOPORTE CARDIOVASCULAR AVANZADO (ACLS) ",IF(P282=#REF!,"CAMILLERO ",IF(P282=#REF!,"TOMA DE MUESTRAS Y LABORATORIO ",IF(P282=#REF!,"SOPORTE VITAL BASICO (BLS)",IF(P282=#REF!,"ATENCION A VICTIMAS DE VIOLENCIA SEXUAL ",IF(P282=#REF!,"PROGRAMADO AMPLIADO DE INMUNIZACION (PAI - COVID 19)",IF(P282=#REF!,"ATENCION INTEGRAL EN ENFERMEDADES PREVALENTES EN PRIMERA INFANCIA (AIEPI)",IF(P282=#REF!,"ADMINISTRACION DE MEDICAMENTOS, INYECTOLOGIA  Y CANALIZACION ",IF(P282=#REF!,"OPERADOR DE VEHICULOS DE EMERGENCIA (OVE)",IF(P282=#REF!,"INSTITUCIONES AMIGAS DE LA MUJER Y LA INFANCIA (IAMI)",IF(P282=#REF!,"CUIDADO DEL DONANTE DE ORGANOS",IF(P282=#REF!,"ATENCION A VICTIMAS POR VIOLENCIA DE GENERO",IF(P282=#REF!,"IGUALDAD DE GENERO EN LA SALUD",IF(P282=#REF!,"BRIGADA DE EMERGENCIA",IF(P282=#REF!,"MANEJO DEL DOLOR Y CUIDADOS PALIATIVOS",IF(P282=#REF!,"TOMA DE MUESTRAS Y LABORATORIO POCT",IF(P282=#REF!,"IMPLANTE SUBDERMICO DE DISPOSITIVO INTRAUTERINO",IF(P282=#REF!,"SALUD MENTAL",IF(P282=#REF!,"PRIMEROS AUXILIOS PSICOLOGICOS",IF(P282=#REF!,"ATENCION A VICTIMAS POR CONFLICTO ARMADO",IF(P282=#REF!,"MANIPULACION DE ALIMENTOS Y BPM",IF(P282=#REF!,"ATENCION A PERSONAS CON DISCAPACIDAD",IF(P282=#REF!,"CUIDADO INTEGRAL DEL PACIENTE ADULTO",IF(P282=#REF!,"MANEJO DEFENSIVO",IF(P282=#REF!,"SOPORTE CARDIOVASCULAR AVANZADO NEONATAL",IF(P282=#REF!,"SEGURIDAD DEL PACIENTE",IF(P282=#REF!,"MANEJO DE RESIDUOS HOSPITALARIOS"))))))))))))))))))))))))))))))))))))</f>
        <v>#REF!</v>
      </c>
      <c r="W282" s="26" t="str">
        <f>CONCATENATE(E282," ",F282," ",C282," ",D282)</f>
        <v>Lida Fernanda Estacio Wisamano</v>
      </c>
      <c r="X282" s="26" t="str">
        <f t="shared" si="30"/>
        <v>Lida Fernanda Estacio Wisamano</v>
      </c>
      <c r="Y282" s="26" t="str">
        <f>CONCATENATE(W282,"-",B282,"-",P282)</f>
        <v>Lida Fernanda Estacio Wisamano-31601962-HUMANIZACION</v>
      </c>
    </row>
    <row r="283" spans="1:25" s="19" customFormat="1" x14ac:dyDescent="0.2">
      <c r="A283" s="20">
        <v>30</v>
      </c>
      <c r="B283" s="21">
        <v>31601962</v>
      </c>
      <c r="C283" s="21" t="s">
        <v>121</v>
      </c>
      <c r="D283" s="21" t="s">
        <v>122</v>
      </c>
      <c r="E283" s="21" t="s">
        <v>123</v>
      </c>
      <c r="F283" s="21" t="s">
        <v>124</v>
      </c>
      <c r="G283" s="21">
        <v>7</v>
      </c>
      <c r="H283" s="21" t="s">
        <v>49</v>
      </c>
      <c r="I283" s="22" t="s">
        <v>376</v>
      </c>
      <c r="J283" s="22"/>
      <c r="K283" s="23">
        <v>45666</v>
      </c>
      <c r="L283" s="24">
        <v>30000</v>
      </c>
      <c r="M283" s="21" t="s">
        <v>79</v>
      </c>
      <c r="N283" s="21" t="s">
        <v>387</v>
      </c>
      <c r="O283" s="21" t="s">
        <v>77</v>
      </c>
      <c r="P283" s="21" t="s">
        <v>41</v>
      </c>
      <c r="Q283" s="22"/>
      <c r="R283" s="21"/>
      <c r="S283" s="21"/>
      <c r="T283" s="21"/>
      <c r="U283" s="21"/>
      <c r="V283" s="26" t="e">
        <f>IF(P283=#REF!,"DIPLOMADO EN ATENCION PRE-HOSPITALARIA",IF(P283=#REF!,"ACOMPAÑAMIENTO Y MANEJO DEL DUELO",IF(P283=#REF!,"ATENCION A VICTIMAS DE ATAQUE CON AGENTES QUIMICOS ",IF(P283=#REF!,"PRIMEROS AUXILIOS ",IF(P283=#REF!,"DIPLOMADO DE UNIDAD DE CUIDADOS INTENSIVOS (UCI)",IF(P283=#REF!,"MODELO DE ATENCION PARA EVENTOS EMERGENTES EN SALUD MENTAL (CODIGO VERDE)",IF(P283=#REF!,"HUMANIZACION EN EL SERVICIO DE LA SALUD Y BUENAS PRACTICAS EN PACIENTE ",IF(P283=#REF!,"CLINICA DE HERIDAS ",IF(P283=#REF!,"TOMA DE CITOLOGIA CERVICO VAGINAL ",IF(P283=#REF!,"SOPORTE CARDIOVASCULAR AVANZADO (ACLS) ",IF(P283=#REF!,"CAMILLERO ",IF(P283=#REF!,"TOMA DE MUESTRAS Y LABORATORIO ",IF(P283=#REF!,"SOPORTE VITAL BASICO (BLS)",IF(P283=#REF!,"ATENCION A VICTIMAS DE VIOLENCIA SEXUAL ",IF(P283=#REF!,"PROGRAMADO AMPLIADO DE INMUNIZACION (PAI - COVID 19)",IF(P283=#REF!,"ATENCION INTEGRAL EN ENFERMEDADES PREVALENTES EN PRIMERA INFANCIA (AIEPI)",IF(P283=#REF!,"ADMINISTRACION DE MEDICAMENTOS, INYECTOLOGIA  Y CANALIZACION ",IF(P283=#REF!,"OPERADOR DE VEHICULOS DE EMERGENCIA (OVE)",IF(P283=#REF!,"INSTITUCIONES AMIGAS DE LA MUJER Y LA INFANCIA (IAMI)",IF(P283=#REF!,"CUIDADO DEL DONANTE DE ORGANOS",IF(P283=#REF!,"ATENCION A VICTIMAS POR VIOLENCIA DE GENERO",IF(P283=#REF!,"IGUALDAD DE GENERO EN LA SALUD",IF(P283=#REF!,"BRIGADA DE EMERGENCIA",IF(P283=#REF!,"MANEJO DEL DOLOR Y CUIDADOS PALIATIVOS",IF(P283=#REF!,"TOMA DE MUESTRAS Y LABORATORIO POCT",IF(P283=#REF!,"IMPLANTE SUBDERMICO DE DISPOSITIVO INTRAUTERINO",IF(P283=#REF!,"SALUD MENTAL",IF(P283=#REF!,"PRIMEROS AUXILIOS PSICOLOGICOS",IF(P283=#REF!,"ATENCION A VICTIMAS POR CONFLICTO ARMADO",IF(P283=#REF!,"MANIPULACION DE ALIMENTOS Y BPM",IF(P283=#REF!,"ATENCION A PERSONAS CON DISCAPACIDAD",IF(P283=#REF!,"CUIDADO INTEGRAL DEL PACIENTE ADULTO",IF(P283=#REF!,"MANEJO DEFENSIVO",IF(P283=#REF!,"SOPORTE CARDIOVASCULAR AVANZADO NEONATAL",IF(P283=#REF!,"SEGURIDAD DEL PACIENTE",IF(P283=#REF!,"MANEJO DE RESIDUOS HOSPITALARIOS"))))))))))))))))))))))))))))))))))))</f>
        <v>#REF!</v>
      </c>
      <c r="W283" s="26" t="str">
        <f>CONCATENATE(E283," ",F283," ",C283," ",D283)</f>
        <v>Lida Fernanda Estacio Wisamano</v>
      </c>
      <c r="X283" s="26" t="str">
        <f t="shared" si="30"/>
        <v>Lida Fernanda Estacio Wisamano</v>
      </c>
      <c r="Y283" s="26" t="str">
        <f>CONCATENATE(W283,"-",B283,"-",P283)</f>
        <v>Lida Fernanda Estacio Wisamano-31601962-PACIENTE</v>
      </c>
    </row>
    <row r="284" spans="1:25" s="19" customFormat="1" x14ac:dyDescent="0.2">
      <c r="A284" s="20">
        <v>31</v>
      </c>
      <c r="B284" s="21">
        <v>31601962</v>
      </c>
      <c r="C284" s="21" t="s">
        <v>121</v>
      </c>
      <c r="D284" s="21" t="s">
        <v>122</v>
      </c>
      <c r="E284" s="21" t="s">
        <v>123</v>
      </c>
      <c r="F284" s="21" t="s">
        <v>124</v>
      </c>
      <c r="G284" s="21">
        <v>7</v>
      </c>
      <c r="H284" s="21" t="s">
        <v>49</v>
      </c>
      <c r="I284" s="22" t="s">
        <v>376</v>
      </c>
      <c r="J284" s="22"/>
      <c r="K284" s="23">
        <v>45666</v>
      </c>
      <c r="L284" s="24">
        <v>20000</v>
      </c>
      <c r="M284" s="21" t="s">
        <v>79</v>
      </c>
      <c r="N284" s="21" t="s">
        <v>387</v>
      </c>
      <c r="O284" s="21" t="s">
        <v>77</v>
      </c>
      <c r="P284" s="21" t="s">
        <v>31</v>
      </c>
      <c r="Q284" s="22"/>
      <c r="R284" s="21"/>
      <c r="S284" s="21"/>
      <c r="T284" s="28"/>
      <c r="U284" s="21"/>
      <c r="V284" s="26" t="e">
        <f>IF(P284=#REF!,"DIPLOMADO EN ATENCION PRE-HOSPITALARIA",IF(P284=#REF!,"ACOMPAÑAMIENTO Y MANEJO DEL DUELO",IF(P284=#REF!,"ATENCION A VICTIMAS DE ATAQUE CON AGENTES QUIMICOS ",IF(P284=#REF!,"PRIMEROS AUXILIOS ",IF(P284=#REF!,"DIPLOMADO DE UNIDAD DE CUIDADOS INTENSIVOS (UCI)",IF(P284=#REF!,"MODELO DE ATENCION PARA EVENTOS EMERGENTES EN SALUD MENTAL (CODIGO VERDE)",IF(P284=#REF!,"HUMANIZACION EN EL SERVICIO DE LA SALUD Y BUENAS PRACTICAS EN PACIENTE ",IF(P284=#REF!,"CLINICA DE HERIDAS ",IF(P284=#REF!,"TOMA DE CITOLOGIA CERVICO VAGINAL ",IF(P284=#REF!,"SOPORTE CARDIOVASCULAR AVANZADO (ACLS) ",IF(P284=#REF!,"CAMILLERO ",IF(P284=#REF!,"TOMA DE MUESTRAS Y LABORATORIO ",IF(P284=#REF!,"SOPORTE VITAL BASICO (BLS)",IF(P284=#REF!,"ATENCION A VICTIMAS DE VIOLENCIA SEXUAL ",IF(P284=#REF!,"PROGRAMADO AMPLIADO DE INMUNIZACION (PAI - COVID 19)",IF(P284=#REF!,"ATENCION INTEGRAL EN ENFERMEDADES PREVALENTES EN PRIMERA INFANCIA (AIEPI)",IF(P284=#REF!,"ADMINISTRACION DE MEDICAMENTOS, INYECTOLOGIA  Y CANALIZACION ",IF(P284=#REF!,"OPERADOR DE VEHICULOS DE EMERGENCIA (OVE)",IF(P284=#REF!,"INSTITUCIONES AMIGAS DE LA MUJER Y LA INFANCIA (IAMI)",IF(P284=#REF!,"CUIDADO DEL DONANTE DE ORGANOS",IF(P284=#REF!,"ATENCION A VICTIMAS POR VIOLENCIA DE GENERO",IF(P284=#REF!,"IGUALDAD DE GENERO EN LA SALUD",IF(P284=#REF!,"BRIGADA DE EMERGENCIA",IF(P284=#REF!,"MANEJO DEL DOLOR Y CUIDADOS PALIATIVOS",IF(P284=#REF!,"TOMA DE MUESTRAS Y LABORATORIO POCT",IF(P284=#REF!,"IMPLANTE SUBDERMICO DE DISPOSITIVO INTRAUTERINO",IF(P284=#REF!,"SALUD MENTAL",IF(P284=#REF!,"PRIMEROS AUXILIOS PSICOLOGICOS",IF(P284=#REF!,"ATENCION A VICTIMAS POR CONFLICTO ARMADO",IF(P284=#REF!,"MANIPULACION DE ALIMENTOS Y BPM",IF(P284=#REF!,"ATENCION A PERSONAS CON DISCAPACIDAD",IF(P284=#REF!,"CUIDADO INTEGRAL DEL PACIENTE ADULTO",IF(P284=#REF!,"MANEJO DEFENSIVO",IF(P284=#REF!,"SOPORTE CARDIOVASCULAR AVANZADO NEONATAL",IF(P284=#REF!,"SEGURIDAD DEL PACIENTE",IF(P284=#REF!,"MANEJO DE RESIDUOS HOSPITALARIOS"))))))))))))))))))))))))))))))))))))</f>
        <v>#REF!</v>
      </c>
      <c r="W284" s="26" t="str">
        <f>CONCATENATE(E284," ",F284," ",C284," ",D284)</f>
        <v>Lida Fernanda Estacio Wisamano</v>
      </c>
      <c r="X284" s="26" t="str">
        <f t="shared" si="30"/>
        <v>Lida Fernanda Estacio Wisamano</v>
      </c>
      <c r="Y284" s="26" t="str">
        <f>CONCATENATE(W284,"-",B284,"-",P284)</f>
        <v>Lida Fernanda Estacio Wisamano-31601962-IAMI</v>
      </c>
    </row>
    <row r="285" spans="1:25" s="19" customFormat="1" x14ac:dyDescent="0.2">
      <c r="A285" s="20">
        <v>32</v>
      </c>
      <c r="B285" s="21">
        <v>31601962</v>
      </c>
      <c r="C285" s="21" t="s">
        <v>121</v>
      </c>
      <c r="D285" s="21" t="s">
        <v>122</v>
      </c>
      <c r="E285" s="21" t="s">
        <v>123</v>
      </c>
      <c r="F285" s="21" t="s">
        <v>124</v>
      </c>
      <c r="G285" s="21">
        <v>9</v>
      </c>
      <c r="H285" s="21" t="s">
        <v>49</v>
      </c>
      <c r="I285" s="22" t="s">
        <v>376</v>
      </c>
      <c r="J285" s="22"/>
      <c r="K285" s="23">
        <v>45666</v>
      </c>
      <c r="L285" s="24">
        <v>20000</v>
      </c>
      <c r="M285" s="21" t="s">
        <v>79</v>
      </c>
      <c r="N285" s="21" t="s">
        <v>387</v>
      </c>
      <c r="O285" s="21" t="s">
        <v>77</v>
      </c>
      <c r="P285" s="21" t="s">
        <v>28</v>
      </c>
      <c r="Q285" s="22"/>
      <c r="R285" s="21"/>
      <c r="S285" s="21"/>
      <c r="T285" s="21"/>
      <c r="U285" s="21"/>
      <c r="V285" s="26" t="e">
        <f>IF(P285=#REF!,"DIPLOMADO EN ATENCION PRE-HOSPITALARIA",IF(P285=#REF!,"ACOMPAÑAMIENTO Y MANEJO DEL DUELO",IF(P285=#REF!,"ATENCION A VICTIMAS DE ATAQUE CON AGENTES QUIMICOS ",IF(P285=#REF!,"PRIMEROS AUXILIOS ",IF(P285=#REF!,"DIPLOMADO DE UNIDAD DE CUIDADOS INTENSIVOS (UCI)",IF(P285=#REF!,"MODELO DE ATENCION PARA EVENTOS EMERGENTES EN SALUD MENTAL (CODIGO VERDE)",IF(P285=#REF!,"HUMANIZACION EN EL SERVICIO DE LA SALUD Y BUENAS PRACTICAS EN PACIENTE ",IF(P285=#REF!,"CLINICA DE HERIDAS ",IF(P285=#REF!,"TOMA DE CITOLOGIA CERVICO VAGINAL ",IF(P285=#REF!,"SOPORTE CARDIOVASCULAR AVANZADO (ACLS) ",IF(P285=#REF!,"CAMILLERO ",IF(P285=#REF!,"TOMA DE MUESTRAS Y LABORATORIO ",IF(P285=#REF!,"SOPORTE VITAL BASICO (BLS)",IF(P285=#REF!,"ATENCION A VICTIMAS DE VIOLENCIA SEXUAL ",IF(P285=#REF!,"PROGRAMADO AMPLIADO DE INMUNIZACION (PAI - COVID 19)",IF(P285=#REF!,"ATENCION INTEGRAL EN ENFERMEDADES PREVALENTES EN PRIMERA INFANCIA (AIEPI)",IF(P285=#REF!,"ADMINISTRACION DE MEDICAMENTOS, INYECTOLOGIA  Y CANALIZACION ",IF(P285=#REF!,"OPERADOR DE VEHICULOS DE EMERGENCIA (OVE)",IF(P285=#REF!,"INSTITUCIONES AMIGAS DE LA MUJER Y LA INFANCIA (IAMI)",IF(P285=#REF!,"CUIDADO DEL DONANTE DE ORGANOS",IF(P285=#REF!,"ATENCION A VICTIMAS POR VIOLENCIA DE GENERO",IF(P285=#REF!,"IGUALDAD DE GENERO EN LA SALUD",IF(P285=#REF!,"BRIGADA DE EMERGENCIA",IF(P285=#REF!,"MANEJO DEL DOLOR Y CUIDADOS PALIATIVOS",IF(P285=#REF!,"TOMA DE MUESTRAS Y LABORATORIO POCT",IF(P285=#REF!,"IMPLANTE SUBDERMICO DE DISPOSITIVO INTRAUTERINO",IF(P285=#REF!,"SALUD MENTAL",IF(P285=#REF!,"PRIMEROS AUXILIOS PSICOLOGICOS",IF(P285=#REF!,"ATENCION A VICTIMAS POR CONFLICTO ARMADO",IF(P285=#REF!,"MANIPULACION DE ALIMENTOS Y BPM",IF(P285=#REF!,"ATENCION A PERSONAS CON DISCAPACIDAD",IF(P285=#REF!,"CUIDADO INTEGRAL DEL PACIENTE ADULTO",IF(P285=#REF!,"MANEJO DEFENSIVO",IF(P285=#REF!,"SOPORTE CARDIOVASCULAR AVANZADO NEONATAL",IF(P285=#REF!,"SEGURIDAD DEL PACIENTE",IF(P285=#REF!,"MANEJO DE RESIDUOS HOSPITALARIOS"))))))))))))))))))))))))))))))))))))</f>
        <v>#REF!</v>
      </c>
      <c r="W285" s="26" t="str">
        <f>CONCATENATE(E285," ",F285," ",C285," ",D285)</f>
        <v>Lida Fernanda Estacio Wisamano</v>
      </c>
      <c r="X285" s="26" t="str">
        <f t="shared" si="30"/>
        <v>Lida Fernanda Estacio Wisamano</v>
      </c>
      <c r="Y285" s="26" t="str">
        <f>CONCATENATE(W285,"-",B285,"-",P285)</f>
        <v>Lida Fernanda Estacio Wisamano-31601962-AIEPI</v>
      </c>
    </row>
    <row r="286" spans="1:25" s="19" customFormat="1" x14ac:dyDescent="0.2">
      <c r="A286" s="20">
        <v>33</v>
      </c>
      <c r="B286" s="21">
        <v>1087647288</v>
      </c>
      <c r="C286" s="21" t="s">
        <v>85</v>
      </c>
      <c r="D286" s="21" t="s">
        <v>126</v>
      </c>
      <c r="E286" s="21" t="s">
        <v>127</v>
      </c>
      <c r="F286" s="21" t="s">
        <v>128</v>
      </c>
      <c r="G286" s="21">
        <v>9</v>
      </c>
      <c r="H286" s="21" t="s">
        <v>49</v>
      </c>
      <c r="I286" s="22" t="s">
        <v>377</v>
      </c>
      <c r="J286" s="22"/>
      <c r="K286" s="23">
        <v>45666</v>
      </c>
      <c r="L286" s="24">
        <v>51200</v>
      </c>
      <c r="M286" s="21" t="s">
        <v>106</v>
      </c>
      <c r="N286" s="21" t="s">
        <v>387</v>
      </c>
      <c r="O286" s="21" t="s">
        <v>69</v>
      </c>
      <c r="P286" s="21" t="s">
        <v>19</v>
      </c>
      <c r="Q286" s="22">
        <v>35265</v>
      </c>
      <c r="R286" s="21" t="s">
        <v>70</v>
      </c>
      <c r="S286" s="21" t="s">
        <v>131</v>
      </c>
      <c r="T286" s="21">
        <v>3127922534</v>
      </c>
      <c r="U286" s="21" t="s">
        <v>132</v>
      </c>
      <c r="V286" s="26" t="e">
        <f>IF(P286=#REF!,"DIPLOMADO EN ATENCION PRE-HOSPITALARIA",IF(P286=#REF!,"ACOMPAÑAMIENTO Y MANEJO DEL DUELO",IF(P286=#REF!,"ATENCION A VICTIMAS DE ATAQUE CON AGENTES QUIMICOS ",IF(P286=#REF!,"PRIMEROS AUXILIOS ",IF(P286=#REF!,"DIPLOMADO DE UNIDAD DE CUIDADOS INTENSIVOS (UCI)",IF(P286=#REF!,"MODELO DE ATENCION PARA EVENTOS EMERGENTES EN SALUD MENTAL (CODIGO VERDE)",IF(P286=#REF!,"HUMANIZACION EN EL SERVICIO DE LA SALUD Y BUENAS PRACTICAS EN PACIENTE ",IF(P286=#REF!,"CLINICA DE HERIDAS ",IF(P286=#REF!,"TOMA DE CITOLOGIA CERVICO VAGINAL ",IF(P286=#REF!,"SOPORTE CARDIOVASCULAR AVANZADO (ACLS) ",IF(P286=#REF!,"CAMILLERO ",IF(P286=#REF!,"TOMA DE MUESTRAS Y LABORATORIO ",IF(P286=#REF!,"SOPORTE VITAL BASICO (BLS)",IF(P286=#REF!,"ATENCION A VICTIMAS DE VIOLENCIA SEXUAL ",IF(P286=#REF!,"PROGRAMADO AMPLIADO DE INMUNIZACION (PAI - COVID 19)",IF(P286=#REF!,"ATENCION INTEGRAL EN ENFERMEDADES PREVALENTES EN PRIMERA INFANCIA (AIEPI)",IF(P286=#REF!,"ADMINISTRACION DE MEDICAMENTOS, INYECTOLOGIA  Y CANALIZACION ",IF(P286=#REF!,"OPERADOR DE VEHICULOS DE EMERGENCIA (OVE)",IF(P286=#REF!,"INSTITUCIONES AMIGAS DE LA MUJER Y LA INFANCIA (IAMI)",IF(P286=#REF!,"CUIDADO DEL DONANTE DE ORGANOS",IF(P286=#REF!,"ATENCION A VICTIMAS POR VIOLENCIA DE GENERO",IF(P286=#REF!,"IGUALDAD DE GENERO EN LA SALUD",IF(P286=#REF!,"BRIGADA DE EMERGENCIA",IF(P286=#REF!,"MANEJO DEL DOLOR Y CUIDADOS PALIATIVOS",IF(P286=#REF!,"TOMA DE MUESTRAS Y LABORATORIO POCT",IF(P286=#REF!,"IMPLANTE SUBDERMICO DE DISPOSITIVO INTRAUTERINO",IF(P286=#REF!,"SALUD MENTAL",IF(P286=#REF!,"PRIMEROS AUXILIOS PSICOLOGICOS",IF(P286=#REF!,"ATENCION A VICTIMAS POR CONFLICTO ARMADO",IF(P286=#REF!,"MANIPULACION DE ALIMENTOS Y BPM",IF(P286=#REF!,"ATENCION A PERSONAS CON DISCAPACIDAD",IF(P286=#REF!,"CUIDADO INTEGRAL DEL PACIENTE ADULTO",IF(P286=#REF!,"MANEJO DEFENSIVO",IF(P286=#REF!,"SOPORTE CARDIOVASCULAR AVANZADO NEONATAL",IF(P286=#REF!,"SEGURIDAD DEL PACIENTE",IF(P286=#REF!,"MANEJO DE RESIDUOS HOSPITALARIOS"))))))))))))))))))))))))))))))))))))</f>
        <v>#REF!</v>
      </c>
      <c r="W286" s="26" t="str">
        <f>CONCATENATE(E286," ",F286," ",C286," ",D286)</f>
        <v>Kevin Charlye Estrada Narvaez</v>
      </c>
      <c r="X286" s="26" t="str">
        <f t="shared" si="30"/>
        <v>Kevin Charlye Estrada Narvaez</v>
      </c>
      <c r="Y286" s="26" t="str">
        <f>CONCATENATE(W286,"-",B286,"-",P286)</f>
        <v>Kevin Charlye Estrada Narvaez-1087647288-BLS</v>
      </c>
    </row>
    <row r="287" spans="1:25" s="19" customFormat="1" x14ac:dyDescent="0.2">
      <c r="A287" s="20">
        <v>34</v>
      </c>
      <c r="B287" s="21">
        <v>1087647288</v>
      </c>
      <c r="C287" s="21" t="s">
        <v>85</v>
      </c>
      <c r="D287" s="21" t="s">
        <v>126</v>
      </c>
      <c r="E287" s="21" t="s">
        <v>127</v>
      </c>
      <c r="F287" s="21" t="s">
        <v>128</v>
      </c>
      <c r="G287" s="21">
        <v>8</v>
      </c>
      <c r="H287" s="21" t="s">
        <v>49</v>
      </c>
      <c r="I287" s="22" t="s">
        <v>377</v>
      </c>
      <c r="J287" s="22"/>
      <c r="K287" s="23">
        <v>45666</v>
      </c>
      <c r="L287" s="24">
        <v>51200</v>
      </c>
      <c r="M287" s="21" t="s">
        <v>106</v>
      </c>
      <c r="N287" s="21" t="s">
        <v>387</v>
      </c>
      <c r="O287" s="21" t="s">
        <v>69</v>
      </c>
      <c r="P287" s="21" t="s">
        <v>30</v>
      </c>
      <c r="Q287" s="22">
        <v>35265</v>
      </c>
      <c r="R287" s="21" t="s">
        <v>70</v>
      </c>
      <c r="S287" s="21" t="s">
        <v>131</v>
      </c>
      <c r="T287" s="21">
        <v>3127922534</v>
      </c>
      <c r="U287" s="21" t="s">
        <v>132</v>
      </c>
      <c r="V287" s="26" t="e">
        <f>IF(P287=#REF!,"DIPLOMADO EN ATENCION PRE-HOSPITALARIA",IF(P287=#REF!,"ACOMPAÑAMIENTO Y MANEJO DEL DUELO",IF(P287=#REF!,"ATENCION A VICTIMAS DE ATAQUE CON AGENTES QUIMICOS ",IF(P287=#REF!,"PRIMEROS AUXILIOS ",IF(P287=#REF!,"DIPLOMADO DE UNIDAD DE CUIDADOS INTENSIVOS (UCI)",IF(P287=#REF!,"MODELO DE ATENCION PARA EVENTOS EMERGENTES EN SALUD MENTAL (CODIGO VERDE)",IF(P287=#REF!,"HUMANIZACION EN EL SERVICIO DE LA SALUD Y BUENAS PRACTICAS EN PACIENTE ",IF(P287=#REF!,"CLINICA DE HERIDAS ",IF(P287=#REF!,"TOMA DE CITOLOGIA CERVICO VAGINAL ",IF(P287=#REF!,"SOPORTE CARDIOVASCULAR AVANZADO (ACLS) ",IF(P287=#REF!,"CAMILLERO ",IF(P287=#REF!,"TOMA DE MUESTRAS Y LABORATORIO ",IF(P287=#REF!,"SOPORTE VITAL BASICO (BLS)",IF(P287=#REF!,"ATENCION A VICTIMAS DE VIOLENCIA SEXUAL ",IF(P287=#REF!,"PROGRAMADO AMPLIADO DE INMUNIZACION (PAI - COVID 19)",IF(P287=#REF!,"ATENCION INTEGRAL EN ENFERMEDADES PREVALENTES EN PRIMERA INFANCIA (AIEPI)",IF(P287=#REF!,"ADMINISTRACION DE MEDICAMENTOS, INYECTOLOGIA  Y CANALIZACION ",IF(P287=#REF!,"OPERADOR DE VEHICULOS DE EMERGENCIA (OVE)",IF(P287=#REF!,"INSTITUCIONES AMIGAS DE LA MUJER Y LA INFANCIA (IAMI)",IF(P287=#REF!,"CUIDADO DEL DONANTE DE ORGANOS",IF(P287=#REF!,"ATENCION A VICTIMAS POR VIOLENCIA DE GENERO",IF(P287=#REF!,"IGUALDAD DE GENERO EN LA SALUD",IF(P287=#REF!,"BRIGADA DE EMERGENCIA",IF(P287=#REF!,"MANEJO DEL DOLOR Y CUIDADOS PALIATIVOS",IF(P287=#REF!,"TOMA DE MUESTRAS Y LABORATORIO POCT",IF(P287=#REF!,"IMPLANTE SUBDERMICO DE DISPOSITIVO INTRAUTERINO",IF(P287=#REF!,"SALUD MENTAL",IF(P287=#REF!,"PRIMEROS AUXILIOS PSICOLOGICOS",IF(P287=#REF!,"ATENCION A VICTIMAS POR CONFLICTO ARMADO",IF(P287=#REF!,"MANIPULACION DE ALIMENTOS Y BPM",IF(P287=#REF!,"ATENCION A PERSONAS CON DISCAPACIDAD",IF(P287=#REF!,"CUIDADO INTEGRAL DEL PACIENTE ADULTO",IF(P287=#REF!,"MANEJO DEFENSIVO",IF(P287=#REF!,"SOPORTE CARDIOVASCULAR AVANZADO NEONATAL",IF(P287=#REF!,"SEGURIDAD DEL PACIENTE",IF(P287=#REF!,"MANEJO DE RESIDUOS HOSPITALARIOS"))))))))))))))))))))))))))))))))))))</f>
        <v>#REF!</v>
      </c>
      <c r="W287" s="26" t="str">
        <f>CONCATENATE(E287," ",F287," ",C287," ",D287)</f>
        <v>Kevin Charlye Estrada Narvaez</v>
      </c>
      <c r="X287" s="26" t="str">
        <f t="shared" si="30"/>
        <v>Kevin Charlye Estrada Narvaez</v>
      </c>
      <c r="Y287" s="26" t="str">
        <f>CONCATENATE(W287,"-",B287,"-",P287)</f>
        <v>Kevin Charlye Estrada Narvaez-1087647288-OVE</v>
      </c>
    </row>
    <row r="288" spans="1:25" s="19" customFormat="1" x14ac:dyDescent="0.2">
      <c r="A288" s="20">
        <v>35</v>
      </c>
      <c r="B288" s="21">
        <v>1087647288</v>
      </c>
      <c r="C288" s="21" t="s">
        <v>85</v>
      </c>
      <c r="D288" s="21" t="s">
        <v>126</v>
      </c>
      <c r="E288" s="21" t="s">
        <v>127</v>
      </c>
      <c r="F288" s="21" t="s">
        <v>128</v>
      </c>
      <c r="G288" s="21">
        <v>9</v>
      </c>
      <c r="H288" s="21" t="s">
        <v>49</v>
      </c>
      <c r="I288" s="22" t="s">
        <v>377</v>
      </c>
      <c r="J288" s="22"/>
      <c r="K288" s="23">
        <v>45666</v>
      </c>
      <c r="L288" s="24">
        <v>51200</v>
      </c>
      <c r="M288" s="21" t="s">
        <v>106</v>
      </c>
      <c r="N288" s="21" t="s">
        <v>387</v>
      </c>
      <c r="O288" s="21" t="s">
        <v>69</v>
      </c>
      <c r="P288" s="21" t="s">
        <v>129</v>
      </c>
      <c r="Q288" s="22">
        <v>35265</v>
      </c>
      <c r="R288" s="21" t="s">
        <v>70</v>
      </c>
      <c r="S288" s="21" t="s">
        <v>131</v>
      </c>
      <c r="T288" s="21">
        <v>3127922534</v>
      </c>
      <c r="U288" s="21" t="s">
        <v>132</v>
      </c>
      <c r="V288" s="26" t="e">
        <f>IF(P288=#REF!,"DIPLOMADO EN ATENCION PRE-HOSPITALARIA",IF(P288=#REF!,"ACOMPAÑAMIENTO Y MANEJO DEL DUELO",IF(P288=#REF!,"ATENCION A VICTIMAS DE ATAQUE CON AGENTES QUIMICOS ",IF(P288=#REF!,"PRIMEROS AUXILIOS ",IF(P288=#REF!,"DIPLOMADO DE UNIDAD DE CUIDADOS INTENSIVOS (UCI)",IF(P288=#REF!,"MODELO DE ATENCION PARA EVENTOS EMERGENTES EN SALUD MENTAL (CODIGO VERDE)",IF(P288=#REF!,"HUMANIZACION EN EL SERVICIO DE LA SALUD Y BUENAS PRACTICAS EN PACIENTE ",IF(P288=#REF!,"CLINICA DE HERIDAS ",IF(P288=#REF!,"TOMA DE CITOLOGIA CERVICO VAGINAL ",IF(P288=#REF!,"SOPORTE CARDIOVASCULAR AVANZADO (ACLS) ",IF(P288=#REF!,"CAMILLERO ",IF(P288=#REF!,"TOMA DE MUESTRAS Y LABORATORIO ",IF(P288=#REF!,"SOPORTE VITAL BASICO (BLS)",IF(P288=#REF!,"ATENCION A VICTIMAS DE VIOLENCIA SEXUAL ",IF(P288=#REF!,"PROGRAMADO AMPLIADO DE INMUNIZACION (PAI - COVID 19)",IF(P288=#REF!,"ATENCION INTEGRAL EN ENFERMEDADES PREVALENTES EN PRIMERA INFANCIA (AIEPI)",IF(P288=#REF!,"ADMINISTRACION DE MEDICAMENTOS, INYECTOLOGIA  Y CANALIZACION ",IF(P288=#REF!,"OPERADOR DE VEHICULOS DE EMERGENCIA (OVE)",IF(P288=#REF!,"INSTITUCIONES AMIGAS DE LA MUJER Y LA INFANCIA (IAMI)",IF(P288=#REF!,"CUIDADO DEL DONANTE DE ORGANOS",IF(P288=#REF!,"ATENCION A VICTIMAS POR VIOLENCIA DE GENERO",IF(P288=#REF!,"IGUALDAD DE GENERO EN LA SALUD",IF(P288=#REF!,"BRIGADA DE EMERGENCIA",IF(P288=#REF!,"MANEJO DEL DOLOR Y CUIDADOS PALIATIVOS",IF(P288=#REF!,"TOMA DE MUESTRAS Y LABORATORIO POCT",IF(P288=#REF!,"IMPLANTE SUBDERMICO DE DISPOSITIVO INTRAUTERINO",IF(P288=#REF!,"SALUD MENTAL",IF(P288=#REF!,"PRIMEROS AUXILIOS PSICOLOGICOS",IF(P288=#REF!,"ATENCION A VICTIMAS POR CONFLICTO ARMADO",IF(P288=#REF!,"MANIPULACION DE ALIMENTOS Y BPM",IF(P288=#REF!,"ATENCION A PERSONAS CON DISCAPACIDAD",IF(P288=#REF!,"CUIDADO INTEGRAL DEL PACIENTE ADULTO",IF(P288=#REF!,"MANEJO DEFENSIVO",IF(P288=#REF!,"SOPORTE CARDIOVASCULAR AVANZADO NEONATAL",IF(P288=#REF!,"SEGURIDAD DEL PACIENTE",IF(P288=#REF!,"MANEJO DE RESIDUOS HOSPITALARIOS"))))))))))))))))))))))))))))))))))))</f>
        <v>#REF!</v>
      </c>
      <c r="W288" s="26" t="str">
        <f>CONCATENATE(E288," ",F288," ",C288," ",D288)</f>
        <v>Kevin Charlye Estrada Narvaez</v>
      </c>
      <c r="X288" s="26" t="str">
        <f t="shared" si="30"/>
        <v>Kevin Charlye Estrada Narvaez</v>
      </c>
      <c r="Y288" s="26" t="str">
        <f>CONCATENATE(W288,"-",B288,"-",P288)</f>
        <v>Kevin Charlye Estrada Narvaez-1087647288-DEA</v>
      </c>
    </row>
    <row r="289" spans="1:26" s="19" customFormat="1" x14ac:dyDescent="0.2">
      <c r="A289" s="20">
        <v>36</v>
      </c>
      <c r="B289" s="21">
        <v>1087647288</v>
      </c>
      <c r="C289" s="21" t="s">
        <v>85</v>
      </c>
      <c r="D289" s="21" t="s">
        <v>126</v>
      </c>
      <c r="E289" s="21" t="s">
        <v>127</v>
      </c>
      <c r="F289" s="21" t="s">
        <v>128</v>
      </c>
      <c r="G289" s="21">
        <v>10</v>
      </c>
      <c r="H289" s="21" t="s">
        <v>49</v>
      </c>
      <c r="I289" s="22" t="s">
        <v>377</v>
      </c>
      <c r="J289" s="22"/>
      <c r="K289" s="23">
        <v>45666</v>
      </c>
      <c r="L289" s="24">
        <v>51200</v>
      </c>
      <c r="M289" s="21" t="s">
        <v>106</v>
      </c>
      <c r="N289" s="21" t="s">
        <v>387</v>
      </c>
      <c r="O289" s="21" t="s">
        <v>69</v>
      </c>
      <c r="P289" s="21" t="s">
        <v>21</v>
      </c>
      <c r="Q289" s="22">
        <v>35265</v>
      </c>
      <c r="R289" s="21" t="s">
        <v>70</v>
      </c>
      <c r="S289" s="21" t="s">
        <v>131</v>
      </c>
      <c r="T289" s="21">
        <v>3127922534</v>
      </c>
      <c r="U289" s="21" t="s">
        <v>132</v>
      </c>
      <c r="V289" s="26" t="e">
        <f>IF(P289=#REF!,"DIPLOMADO EN ATENCION PRE-HOSPITALARIA",IF(P289=#REF!,"ACOMPAÑAMIENTO Y MANEJO DEL DUELO",IF(P289=#REF!,"ATENCION A VICTIMAS DE ATAQUE CON AGENTES QUIMICOS ",IF(P289=#REF!,"PRIMEROS AUXILIOS ",IF(P289=#REF!,"DIPLOMADO DE UNIDAD DE CUIDADOS INTENSIVOS (UCI)",IF(P289=#REF!,"MODELO DE ATENCION PARA EVENTOS EMERGENTES EN SALUD MENTAL (CODIGO VERDE)",IF(P289=#REF!,"HUMANIZACION EN EL SERVICIO DE LA SALUD Y BUENAS PRACTICAS EN PACIENTE ",IF(P289=#REF!,"CLINICA DE HERIDAS ",IF(P289=#REF!,"TOMA DE CITOLOGIA CERVICO VAGINAL ",IF(P289=#REF!,"SOPORTE CARDIOVASCULAR AVANZADO (ACLS) ",IF(P289=#REF!,"CAMILLERO ",IF(P289=#REF!,"TOMA DE MUESTRAS Y LABORATORIO ",IF(P289=#REF!,"SOPORTE VITAL BASICO (BLS)",IF(P289=#REF!,"ATENCION A VICTIMAS DE VIOLENCIA SEXUAL ",IF(P289=#REF!,"PROGRAMADO AMPLIADO DE INMUNIZACION (PAI - COVID 19)",IF(P289=#REF!,"ATENCION INTEGRAL EN ENFERMEDADES PREVALENTES EN PRIMERA INFANCIA (AIEPI)",IF(P289=#REF!,"ADMINISTRACION DE MEDICAMENTOS, INYECTOLOGIA  Y CANALIZACION ",IF(P289=#REF!,"OPERADOR DE VEHICULOS DE EMERGENCIA (OVE)",IF(P289=#REF!,"INSTITUCIONES AMIGAS DE LA MUJER Y LA INFANCIA (IAMI)",IF(P289=#REF!,"CUIDADO DEL DONANTE DE ORGANOS",IF(P289=#REF!,"ATENCION A VICTIMAS POR VIOLENCIA DE GENERO",IF(P289=#REF!,"IGUALDAD DE GENERO EN LA SALUD",IF(P289=#REF!,"BRIGADA DE EMERGENCIA",IF(P289=#REF!,"MANEJO DEL DOLOR Y CUIDADOS PALIATIVOS",IF(P289=#REF!,"TOMA DE MUESTRAS Y LABORATORIO POCT",IF(P289=#REF!,"IMPLANTE SUBDERMICO DE DISPOSITIVO INTRAUTERINO",IF(P289=#REF!,"SALUD MENTAL",IF(P289=#REF!,"PRIMEROS AUXILIOS PSICOLOGICOS",IF(P289=#REF!,"ATENCION A VICTIMAS POR CONFLICTO ARMADO",IF(P289=#REF!,"MANIPULACION DE ALIMENTOS Y BPM",IF(P289=#REF!,"ATENCION A PERSONAS CON DISCAPACIDAD",IF(P289=#REF!,"CUIDADO INTEGRAL DEL PACIENTE ADULTO",IF(P289=#REF!,"MANEJO DEFENSIVO",IF(P289=#REF!,"SOPORTE CARDIOVASCULAR AVANZADO NEONATAL",IF(P289=#REF!,"SEGURIDAD DEL PACIENTE",IF(P289=#REF!,"MANEJO DE RESIDUOS HOSPITALARIOS"))))))))))))))))))))))))))))))))))))</f>
        <v>#REF!</v>
      </c>
      <c r="W289" s="26" t="str">
        <f>CONCATENATE(E289," ",F289," ",C289," ",D289)</f>
        <v>Kevin Charlye Estrada Narvaez</v>
      </c>
      <c r="X289" s="26" t="str">
        <f t="shared" si="30"/>
        <v>Kevin Charlye Estrada Narvaez</v>
      </c>
      <c r="Y289" s="26" t="str">
        <f>CONCATENATE(W289,"-",B289,"-",P289)</f>
        <v>Kevin Charlye Estrada Narvaez-1087647288-QUIMICOS</v>
      </c>
    </row>
    <row r="290" spans="1:26" s="19" customFormat="1" x14ac:dyDescent="0.2">
      <c r="A290" s="20">
        <v>37</v>
      </c>
      <c r="B290" s="21">
        <v>1087647288</v>
      </c>
      <c r="C290" s="21" t="s">
        <v>85</v>
      </c>
      <c r="D290" s="21" t="s">
        <v>126</v>
      </c>
      <c r="E290" s="21" t="s">
        <v>127</v>
      </c>
      <c r="F290" s="21" t="s">
        <v>128</v>
      </c>
      <c r="G290" s="21">
        <v>10</v>
      </c>
      <c r="H290" s="21" t="s">
        <v>49</v>
      </c>
      <c r="I290" s="22" t="s">
        <v>377</v>
      </c>
      <c r="J290" s="22"/>
      <c r="K290" s="23">
        <v>45666</v>
      </c>
      <c r="L290" s="24">
        <v>51200</v>
      </c>
      <c r="M290" s="21" t="s">
        <v>106</v>
      </c>
      <c r="N290" s="21" t="s">
        <v>387</v>
      </c>
      <c r="O290" s="21" t="s">
        <v>69</v>
      </c>
      <c r="P290" s="21" t="s">
        <v>27</v>
      </c>
      <c r="Q290" s="22">
        <v>35265</v>
      </c>
      <c r="R290" s="21" t="s">
        <v>70</v>
      </c>
      <c r="S290" s="21" t="s">
        <v>131</v>
      </c>
      <c r="T290" s="21">
        <v>3127922534</v>
      </c>
      <c r="U290" s="21" t="s">
        <v>132</v>
      </c>
      <c r="V290" s="26" t="e">
        <f>IF(P290=#REF!,"DIPLOMADO EN ATENCION PRE-HOSPITALARIA",IF(P290=#REF!,"ACOMPAÑAMIENTO Y MANEJO DEL DUELO",IF(P290=#REF!,"ATENCION A VICTIMAS DE ATAQUE CON AGENTES QUIMICOS ",IF(P290=#REF!,"PRIMEROS AUXILIOS ",IF(P290=#REF!,"DIPLOMADO DE UNIDAD DE CUIDADOS INTENSIVOS (UCI)",IF(P290=#REF!,"MODELO DE ATENCION PARA EVENTOS EMERGENTES EN SALUD MENTAL (CODIGO VERDE)",IF(P290=#REF!,"HUMANIZACION EN EL SERVICIO DE LA SALUD Y BUENAS PRACTICAS EN PACIENTE ",IF(P290=#REF!,"CLINICA DE HERIDAS ",IF(P290=#REF!,"TOMA DE CITOLOGIA CERVICO VAGINAL ",IF(P290=#REF!,"SOPORTE CARDIOVASCULAR AVANZADO (ACLS) ",IF(P290=#REF!,"CAMILLERO ",IF(P290=#REF!,"TOMA DE MUESTRAS Y LABORATORIO ",IF(P290=#REF!,"SOPORTE VITAL BASICO (BLS)",IF(P290=#REF!,"ATENCION A VICTIMAS DE VIOLENCIA SEXUAL ",IF(P290=#REF!,"PROGRAMADO AMPLIADO DE INMUNIZACION (PAI - COVID 19)",IF(P290=#REF!,"ATENCION INTEGRAL EN ENFERMEDADES PREVALENTES EN PRIMERA INFANCIA (AIEPI)",IF(P290=#REF!,"ADMINISTRACION DE MEDICAMENTOS, INYECTOLOGIA  Y CANALIZACION ",IF(P290=#REF!,"OPERADOR DE VEHICULOS DE EMERGENCIA (OVE)",IF(P290=#REF!,"INSTITUCIONES AMIGAS DE LA MUJER Y LA INFANCIA (IAMI)",IF(P290=#REF!,"CUIDADO DEL DONANTE DE ORGANOS",IF(P290=#REF!,"ATENCION A VICTIMAS POR VIOLENCIA DE GENERO",IF(P290=#REF!,"IGUALDAD DE GENERO EN LA SALUD",IF(P290=#REF!,"BRIGADA DE EMERGENCIA",IF(P290=#REF!,"MANEJO DEL DOLOR Y CUIDADOS PALIATIVOS",IF(P290=#REF!,"TOMA DE MUESTRAS Y LABORATORIO POCT",IF(P290=#REF!,"IMPLANTE SUBDERMICO DE DISPOSITIVO INTRAUTERINO",IF(P290=#REF!,"SALUD MENTAL",IF(P290=#REF!,"PRIMEROS AUXILIOS PSICOLOGICOS",IF(P290=#REF!,"ATENCION A VICTIMAS POR CONFLICTO ARMADO",IF(P290=#REF!,"MANIPULACION DE ALIMENTOS Y BPM",IF(P290=#REF!,"ATENCION A PERSONAS CON DISCAPACIDAD",IF(P290=#REF!,"CUIDADO INTEGRAL DEL PACIENTE ADULTO",IF(P290=#REF!,"MANEJO DEFENSIVO",IF(P290=#REF!,"SOPORTE CARDIOVASCULAR AVANZADO NEONATAL",IF(P290=#REF!,"SEGURIDAD DEL PACIENTE",IF(P290=#REF!,"MANEJO DE RESIDUOS HOSPITALARIOS"))))))))))))))))))))))))))))))))))))</f>
        <v>#REF!</v>
      </c>
      <c r="W290" s="26" t="str">
        <f>CONCATENATE(E290," ",F290," ",C290," ",D290)</f>
        <v>Kevin Charlye Estrada Narvaez</v>
      </c>
      <c r="X290" s="26" t="str">
        <f t="shared" si="30"/>
        <v>Kevin Charlye Estrada Narvaez</v>
      </c>
      <c r="Y290" s="26" t="str">
        <f>CONCATENATE(W290,"-",B290,"-",P290)</f>
        <v>Kevin Charlye Estrada Narvaez-1087647288-VIOLENCIA SEXUAL</v>
      </c>
    </row>
    <row r="291" spans="1:26" s="19" customFormat="1" x14ac:dyDescent="0.2">
      <c r="A291" s="20">
        <v>38</v>
      </c>
      <c r="B291" s="21">
        <v>36953195</v>
      </c>
      <c r="C291" s="21" t="s">
        <v>116</v>
      </c>
      <c r="D291" s="21" t="s">
        <v>117</v>
      </c>
      <c r="E291" s="21" t="s">
        <v>118</v>
      </c>
      <c r="F291" s="21" t="s">
        <v>119</v>
      </c>
      <c r="G291" s="21">
        <v>9</v>
      </c>
      <c r="H291" s="21" t="s">
        <v>49</v>
      </c>
      <c r="I291" s="22" t="s">
        <v>376</v>
      </c>
      <c r="J291" s="22"/>
      <c r="K291" s="23">
        <v>45301</v>
      </c>
      <c r="L291" s="24">
        <v>20000</v>
      </c>
      <c r="M291" s="21" t="s">
        <v>106</v>
      </c>
      <c r="N291" s="21" t="s">
        <v>387</v>
      </c>
      <c r="O291" s="21" t="s">
        <v>95</v>
      </c>
      <c r="P291" s="21" t="s">
        <v>19</v>
      </c>
      <c r="Q291" s="22">
        <v>29651</v>
      </c>
      <c r="R291" s="21" t="s">
        <v>71</v>
      </c>
      <c r="S291" s="25" t="s">
        <v>109</v>
      </c>
      <c r="T291" s="21">
        <v>3223004497</v>
      </c>
      <c r="U291" s="25" t="s">
        <v>120</v>
      </c>
      <c r="V291" s="26" t="e">
        <f>IF(P291=#REF!,"DIPLOMADO EN ATENCION PRE-HOSPITALARIA",IF(P291=#REF!,"ACOMPAÑAMIENTO Y MANEJO DEL DUELO",IF(P291=#REF!,"ATENCION A VICTIMAS DE ATAQUE CON AGENTES QUIMICOS ",IF(P291=#REF!,"PRIMEROS AUXILIOS ",IF(P291=#REF!,"DIPLOMADO DE UNIDAD DE CUIDADOS INTENSIVOS (UCI)",IF(P291=#REF!,"MODELO DE ATENCION PARA EVENTOS EMERGENTES EN SALUD MENTAL (CODIGO VERDE)",IF(P291=#REF!,"HUMANIZACION EN EL SERVICIO DE LA SALUD Y BUENAS PRACTICAS EN PACIENTE ",IF(P291=#REF!,"CLINICA DE HERIDAS ",IF(P291=#REF!,"TOMA DE CITOLOGIA CERVICO VAGINAL ",IF(P291=#REF!,"SOPORTE CARDIOVASCULAR AVANZADO (ACLS) ",IF(P291=#REF!,"CAMILLERO ",IF(P291=#REF!,"TOMA DE MUESTRAS Y LABORATORIO ",IF(P291=#REF!,"SOPORTE VITAL BASICO (BLS)",IF(P291=#REF!,"ATENCION A VICTIMAS DE VIOLENCIA SEXUAL ",IF(P291=#REF!,"PROGRAMADO AMPLIADO DE INMUNIZACION (PAI - COVID 19)",IF(P291=#REF!,"ATENCION INTEGRAL EN ENFERMEDADES PREVALENTES EN PRIMERA INFANCIA (AIEPI)",IF(P291=#REF!,"ADMINISTRACION DE MEDICAMENTOS, INYECTOLOGIA  Y CANALIZACION ",IF(P291=#REF!,"OPERADOR DE VEHICULOS DE EMERGENCIA (OVE)",IF(P291=#REF!,"INSTITUCIONES AMIGAS DE LA MUJER Y LA INFANCIA (IAMI)",IF(P291=#REF!,"CUIDADO DEL DONANTE DE ORGANOS",IF(P291=#REF!,"ATENCION A VICTIMAS POR VIOLENCIA DE GENERO",IF(P291=#REF!,"IGUALDAD DE GENERO EN LA SALUD",IF(P291=#REF!,"BRIGADA DE EMERGENCIA",IF(P291=#REF!,"MANEJO DEL DOLOR Y CUIDADOS PALIATIVOS",IF(P291=#REF!,"TOMA DE MUESTRAS Y LABORATORIO POCT",IF(P291=#REF!,"IMPLANTE SUBDERMICO DE DISPOSITIVO INTRAUTERINO",IF(P291=#REF!,"SALUD MENTAL",IF(P291=#REF!,"PRIMEROS AUXILIOS PSICOLOGICOS",IF(P291=#REF!,"ATENCION A VICTIMAS POR CONFLICTO ARMADO",IF(P291=#REF!,"MANIPULACION DE ALIMENTOS Y BPM",IF(P291=#REF!,"ATENCION A PERSONAS CON DISCAPACIDAD",IF(P291=#REF!,"CUIDADO INTEGRAL DEL PACIENTE ADULTO",IF(P291=#REF!,"MANEJO DEFENSIVO",IF(P291=#REF!,"SOPORTE CARDIOVASCULAR AVANZADO NEONATAL",IF(P291=#REF!,"SEGURIDAD DEL PACIENTE",IF(P291=#REF!,"MANEJO DE RESIDUOS HOSPITALARIOS"))))))))))))))))))))))))))))))))))))</f>
        <v>#REF!</v>
      </c>
      <c r="W291" s="26" t="str">
        <f>CONCATENATE(E291," ",F291," ",C291," ",D291)</f>
        <v>Carmen Yoly Delgado Rivera</v>
      </c>
      <c r="X291" s="26" t="str">
        <f t="shared" si="30"/>
        <v>Carmen Yoly Delgado Rivera</v>
      </c>
      <c r="Y291" s="26" t="str">
        <f>CONCATENATE(W291,"-",B291,"-",P291)</f>
        <v>Carmen Yoly Delgado Rivera-36953195-BLS</v>
      </c>
    </row>
    <row r="292" spans="1:26" s="19" customFormat="1" x14ac:dyDescent="0.2">
      <c r="A292" s="20">
        <v>39</v>
      </c>
      <c r="B292" s="21">
        <v>1089482317</v>
      </c>
      <c r="C292" s="21" t="s">
        <v>67</v>
      </c>
      <c r="D292" s="21" t="s">
        <v>80</v>
      </c>
      <c r="E292" s="21" t="s">
        <v>81</v>
      </c>
      <c r="F292" s="21" t="s">
        <v>130</v>
      </c>
      <c r="G292" s="21">
        <v>10</v>
      </c>
      <c r="H292" s="21" t="s">
        <v>49</v>
      </c>
      <c r="I292" s="22" t="s">
        <v>376</v>
      </c>
      <c r="J292" s="22"/>
      <c r="K292" s="23">
        <v>45665</v>
      </c>
      <c r="L292" s="24">
        <v>104000</v>
      </c>
      <c r="M292" s="21" t="s">
        <v>79</v>
      </c>
      <c r="N292" s="21" t="s">
        <v>386</v>
      </c>
      <c r="O292" s="21" t="s">
        <v>69</v>
      </c>
      <c r="P292" s="21" t="s">
        <v>24</v>
      </c>
      <c r="Q292" s="22">
        <v>45300</v>
      </c>
      <c r="R292" s="21" t="s">
        <v>71</v>
      </c>
      <c r="S292" s="25" t="s">
        <v>83</v>
      </c>
      <c r="T292" s="25">
        <v>3116068502</v>
      </c>
      <c r="U292" s="25" t="s">
        <v>84</v>
      </c>
      <c r="V292" s="26" t="e">
        <f>IF(P292=#REF!,"DIPLOMADO EN ATENCION PRE-HOSPITALARIA",IF(P292=#REF!,"ACOMPAÑAMIENTO Y MANEJO DEL DUELO",IF(P292=#REF!,"ATENCION A VICTIMAS DE ATAQUE CON AGENTES QUIMICOS ",IF(P292=#REF!,"PRIMEROS AUXILIOS ",IF(P292=#REF!,"DIPLOMADO DE UNIDAD DE CUIDADOS INTENSIVOS (UCI)",IF(P292=#REF!,"MODELO DE ATENCION PARA EVENTOS EMERGENTES EN SALUD MENTAL (CODIGO VERDE)",IF(P292=#REF!,"HUMANIZACION EN EL SERVICIO DE LA SALUD Y BUENAS PRACTICAS EN PACIENTE ",IF(P292=#REF!,"CLINICA DE HERIDAS ",IF(P292=#REF!,"TOMA DE CITOLOGIA CERVICO VAGINAL ",IF(P292=#REF!,"SOPORTE CARDIOVASCULAR AVANZADO (ACLS) ",IF(P292=#REF!,"CAMILLERO ",IF(P292=#REF!,"TOMA DE MUESTRAS Y LABORATORIO ",IF(P292=#REF!,"SOPORTE VITAL BASICO (BLS)",IF(P292=#REF!,"ATENCION A VICTIMAS DE VIOLENCIA SEXUAL ",IF(P292=#REF!,"PROGRAMADO AMPLIADO DE INMUNIZACION (PAI - COVID 19)",IF(P292=#REF!,"ATENCION INTEGRAL EN ENFERMEDADES PREVALENTES EN PRIMERA INFANCIA (AIEPI)",IF(P292=#REF!,"ADMINISTRACION DE MEDICAMENTOS, INYECTOLOGIA  Y CANALIZACION ",IF(P292=#REF!,"OPERADOR DE VEHICULOS DE EMERGENCIA (OVE)",IF(P292=#REF!,"INSTITUCIONES AMIGAS DE LA MUJER Y LA INFANCIA (IAMI)",IF(P292=#REF!,"CUIDADO DEL DONANTE DE ORGANOS",IF(P292=#REF!,"ATENCION A VICTIMAS POR VIOLENCIA DE GENERO",IF(P292=#REF!,"IGUALDAD DE GENERO EN LA SALUD",IF(P292=#REF!,"BRIGADA DE EMERGENCIA",IF(P292=#REF!,"MANEJO DEL DOLOR Y CUIDADOS PALIATIVOS",IF(P292=#REF!,"TOMA DE MUESTRAS Y LABORATORIO POCT",IF(P292=#REF!,"IMPLANTE SUBDERMICO DE DISPOSITIVO INTRAUTERINO",IF(P292=#REF!,"SALUD MENTAL",IF(P292=#REF!,"PRIMEROS AUXILIOS PSICOLOGICOS",IF(P292=#REF!,"ATENCION A VICTIMAS POR CONFLICTO ARMADO",IF(P292=#REF!,"MANIPULACION DE ALIMENTOS Y BPM",IF(P292=#REF!,"ATENCION A PERSONAS CON DISCAPACIDAD",IF(P292=#REF!,"CUIDADO INTEGRAL DEL PACIENTE ADULTO",IF(P292=#REF!,"MANEJO DEFENSIVO",IF(P292=#REF!,"SOPORTE CARDIOVASCULAR AVANZADO NEONATAL",IF(P292=#REF!,"SEGURIDAD DEL PACIENTE",IF(P292=#REF!,"MANEJO DE RESIDUOS HOSPITALARIOS"))))))))))))))))))))))))))))))))))))</f>
        <v>#REF!</v>
      </c>
      <c r="W292" s="26" t="str">
        <f>CONCATENATE(E292," ",F292," ",C292," ",D292)</f>
        <v>Melissa ANDREA Burbano Erazo</v>
      </c>
      <c r="X292" s="26" t="str">
        <f t="shared" si="30"/>
        <v>Melissa Andrea Burbano Erazo</v>
      </c>
      <c r="Y292" s="26" t="str">
        <f>CONCATENATE(W292,"-",B292,"-",P292)</f>
        <v>Melissa ANDREA Burbano Erazo-1089482317-ACLS</v>
      </c>
    </row>
    <row r="293" spans="1:26" s="19" customFormat="1" x14ac:dyDescent="0.2">
      <c r="A293" s="20">
        <v>40</v>
      </c>
      <c r="B293" s="21">
        <v>1089482317</v>
      </c>
      <c r="C293" s="21" t="s">
        <v>67</v>
      </c>
      <c r="D293" s="21" t="s">
        <v>80</v>
      </c>
      <c r="E293" s="21" t="s">
        <v>81</v>
      </c>
      <c r="F293" s="21" t="s">
        <v>130</v>
      </c>
      <c r="G293" s="21">
        <v>10</v>
      </c>
      <c r="H293" s="21" t="s">
        <v>49</v>
      </c>
      <c r="I293" s="22" t="s">
        <v>376</v>
      </c>
      <c r="J293" s="22"/>
      <c r="K293" s="23">
        <v>45665</v>
      </c>
      <c r="L293" s="24">
        <v>32000</v>
      </c>
      <c r="M293" s="21" t="s">
        <v>79</v>
      </c>
      <c r="N293" s="21" t="s">
        <v>386</v>
      </c>
      <c r="O293" s="21" t="s">
        <v>69</v>
      </c>
      <c r="P293" s="21" t="s">
        <v>23</v>
      </c>
      <c r="Q293" s="22">
        <v>45300</v>
      </c>
      <c r="R293" s="21" t="s">
        <v>71</v>
      </c>
      <c r="S293" s="25" t="s">
        <v>83</v>
      </c>
      <c r="T293" s="25">
        <v>3116068502</v>
      </c>
      <c r="U293" s="25" t="s">
        <v>84</v>
      </c>
      <c r="V293" s="26" t="e">
        <f>IF(P293=#REF!,"DIPLOMADO EN ATENCION PRE-HOSPITALARIA",IF(P293=#REF!,"ACOMPAÑAMIENTO Y MANEJO DEL DUELO",IF(P293=#REF!,"ATENCION A VICTIMAS DE ATAQUE CON AGENTES QUIMICOS ",IF(P293=#REF!,"PRIMEROS AUXILIOS ",IF(P293=#REF!,"DIPLOMADO DE UNIDAD DE CUIDADOS INTENSIVOS (UCI)",IF(P293=#REF!,"MODELO DE ATENCION PARA EVENTOS EMERGENTES EN SALUD MENTAL (CODIGO VERDE)",IF(P293=#REF!,"HUMANIZACION EN EL SERVICIO DE LA SALUD Y BUENAS PRACTICAS EN PACIENTE ",IF(P293=#REF!,"CLINICA DE HERIDAS ",IF(P293=#REF!,"TOMA DE CITOLOGIA CERVICO VAGINAL ",IF(P293=#REF!,"SOPORTE CARDIOVASCULAR AVANZADO (ACLS) ",IF(P293=#REF!,"CAMILLERO ",IF(P293=#REF!,"TOMA DE MUESTRAS Y LABORATORIO ",IF(P293=#REF!,"SOPORTE VITAL BASICO (BLS)",IF(P293=#REF!,"ATENCION A VICTIMAS DE VIOLENCIA SEXUAL ",IF(P293=#REF!,"PROGRAMADO AMPLIADO DE INMUNIZACION (PAI - COVID 19)",IF(P293=#REF!,"ATENCION INTEGRAL EN ENFERMEDADES PREVALENTES EN PRIMERA INFANCIA (AIEPI)",IF(P293=#REF!,"ADMINISTRACION DE MEDICAMENTOS, INYECTOLOGIA  Y CANALIZACION ",IF(P293=#REF!,"OPERADOR DE VEHICULOS DE EMERGENCIA (OVE)",IF(P293=#REF!,"INSTITUCIONES AMIGAS DE LA MUJER Y LA INFANCIA (IAMI)",IF(P293=#REF!,"CUIDADO DEL DONANTE DE ORGANOS",IF(P293=#REF!,"ATENCION A VICTIMAS POR VIOLENCIA DE GENERO",IF(P293=#REF!,"IGUALDAD DE GENERO EN LA SALUD",IF(P293=#REF!,"BRIGADA DE EMERGENCIA",IF(P293=#REF!,"MANEJO DEL DOLOR Y CUIDADOS PALIATIVOS",IF(P293=#REF!,"TOMA DE MUESTRAS Y LABORATORIO POCT",IF(P293=#REF!,"IMPLANTE SUBDERMICO DE DISPOSITIVO INTRAUTERINO",IF(P293=#REF!,"SALUD MENTAL",IF(P293=#REF!,"PRIMEROS AUXILIOS PSICOLOGICOS",IF(P293=#REF!,"ATENCION A VICTIMAS POR CONFLICTO ARMADO",IF(P293=#REF!,"MANIPULACION DE ALIMENTOS Y BPM",IF(P293=#REF!,"ATENCION A PERSONAS CON DISCAPACIDAD",IF(P293=#REF!,"CUIDADO INTEGRAL DEL PACIENTE ADULTO",IF(P293=#REF!,"MANEJO DEFENSIVO",IF(P293=#REF!,"SOPORTE CARDIOVASCULAR AVANZADO NEONATAL",IF(P293=#REF!,"SEGURIDAD DEL PACIENTE",IF(P293=#REF!,"MANEJO DE RESIDUOS HOSPITALARIOS"))))))))))))))))))))))))))))))))))))</f>
        <v>#REF!</v>
      </c>
      <c r="W293" s="26" t="str">
        <f>CONCATENATE(E293," ",F293," ",C293," ",D293)</f>
        <v>Melissa ANDREA Burbano Erazo</v>
      </c>
      <c r="X293" s="26" t="str">
        <f t="shared" si="30"/>
        <v>Melissa Andrea Burbano Erazo</v>
      </c>
      <c r="Y293" s="26" t="str">
        <f>CONCATENATE(W293,"-",B293,"-",P293)</f>
        <v>Melissa ANDREA Burbano Erazo-1089482317-HUMANIZACION</v>
      </c>
    </row>
    <row r="294" spans="1:26" s="19" customFormat="1" x14ac:dyDescent="0.2">
      <c r="A294" s="20">
        <v>41</v>
      </c>
      <c r="B294" s="21">
        <v>1089482317</v>
      </c>
      <c r="C294" s="21" t="s">
        <v>67</v>
      </c>
      <c r="D294" s="21" t="s">
        <v>80</v>
      </c>
      <c r="E294" s="21" t="s">
        <v>81</v>
      </c>
      <c r="F294" s="21" t="s">
        <v>82</v>
      </c>
      <c r="G294" s="21">
        <v>8</v>
      </c>
      <c r="H294" s="21" t="s">
        <v>49</v>
      </c>
      <c r="I294" s="22" t="s">
        <v>376</v>
      </c>
      <c r="J294" s="22"/>
      <c r="K294" s="23">
        <v>45665</v>
      </c>
      <c r="L294" s="24">
        <v>32000</v>
      </c>
      <c r="M294" s="21" t="s">
        <v>79</v>
      </c>
      <c r="N294" s="21" t="s">
        <v>387</v>
      </c>
      <c r="O294" s="21" t="s">
        <v>69</v>
      </c>
      <c r="P294" s="21" t="s">
        <v>27</v>
      </c>
      <c r="Q294" s="22">
        <v>33247</v>
      </c>
      <c r="R294" s="21" t="s">
        <v>71</v>
      </c>
      <c r="S294" s="25" t="s">
        <v>83</v>
      </c>
      <c r="T294" s="25">
        <v>3116068502</v>
      </c>
      <c r="U294" s="21" t="s">
        <v>84</v>
      </c>
      <c r="V294" s="26" t="e">
        <f>IF(P294=#REF!,"DIPLOMADO EN ATENCION PRE-HOSPITALARIA",IF(P294=#REF!,"ACOMPAÑAMIENTO Y MANEJO DEL DUELO",IF(P294=#REF!,"ATENCION A VICTIMAS DE ATAQUE CON AGENTES QUIMICOS ",IF(P294=#REF!,"PRIMEROS AUXILIOS ",IF(P294=#REF!,"DIPLOMADO DE UNIDAD DE CUIDADOS INTENSIVOS (UCI)",IF(P294=#REF!,"MODELO DE ATENCION PARA EVENTOS EMERGENTES EN SALUD MENTAL (CODIGO VERDE)",IF(P294=#REF!,"HUMANIZACION EN EL SERVICIO DE LA SALUD Y BUENAS PRACTICAS EN PACIENTE ",IF(P294=#REF!,"CLINICA DE HERIDAS ",IF(P294=#REF!,"TOMA DE CITOLOGIA CERVICO VAGINAL ",IF(P294=#REF!,"SOPORTE CARDIOVASCULAR AVANZADO (ACLS) ",IF(P294=#REF!,"CAMILLERO ",IF(P294=#REF!,"TOMA DE MUESTRAS Y LABORATORIO ",IF(P294=#REF!,"SOPORTE VITAL BASICO (BLS)",IF(P294=#REF!,"ATENCION A VICTIMAS DE VIOLENCIA SEXUAL ",IF(P294=#REF!,"PROGRAMADO AMPLIADO DE INMUNIZACION (PAI - COVID 19)",IF(P294=#REF!,"ATENCION INTEGRAL EN ENFERMEDADES PREVALENTES EN PRIMERA INFANCIA (AIEPI)",IF(P294=#REF!,"ADMINISTRACION DE MEDICAMENTOS, INYECTOLOGIA  Y CANALIZACION ",IF(P294=#REF!,"OPERADOR DE VEHICULOS DE EMERGENCIA (OVE)",IF(P294=#REF!,"INSTITUCIONES AMIGAS DE LA MUJER Y LA INFANCIA (IAMI)",IF(P294=#REF!,"CUIDADO DEL DONANTE DE ORGANOS",IF(P294=#REF!,"ATENCION A VICTIMAS POR VIOLENCIA DE GENERO",IF(P294=#REF!,"IGUALDAD DE GENERO EN LA SALUD",IF(P294=#REF!,"BRIGADA DE EMERGENCIA",IF(P294=#REF!,"MANEJO DEL DOLOR Y CUIDADOS PALIATIVOS",IF(P294=#REF!,"TOMA DE MUESTRAS Y LABORATORIO POCT",IF(P294=#REF!,"IMPLANTE SUBDERMICO DE DISPOSITIVO INTRAUTERINO",IF(P294=#REF!,"SALUD MENTAL",IF(P294=#REF!,"PRIMEROS AUXILIOS PSICOLOGICOS",IF(P294=#REF!,"ATENCION A VICTIMAS POR CONFLICTO ARMADO",IF(P294=#REF!,"MANIPULACION DE ALIMENTOS Y BPM",IF(P294=#REF!,"ATENCION A PERSONAS CON DISCAPACIDAD",IF(P294=#REF!,"CUIDADO INTEGRAL DEL PACIENTE ADULTO",IF(P294=#REF!,"MANEJO DEFENSIVO",IF(P294=#REF!,"SOPORTE CARDIOVASCULAR AVANZADO NEONATAL",IF(P294=#REF!,"SEGURIDAD DEL PACIENTE",IF(P294=#REF!,"MANEJO DE RESIDUOS HOSPITALARIOS"))))))))))))))))))))))))))))))))))))</f>
        <v>#REF!</v>
      </c>
      <c r="W294" s="26" t="str">
        <f>CONCATENATE(E294," ",F294," ",C294," ",D294)</f>
        <v>Melissa Andrea Burbano Erazo</v>
      </c>
      <c r="X294" s="26" t="str">
        <f t="shared" si="30"/>
        <v>Melissa Andrea Burbano Erazo</v>
      </c>
      <c r="Y294" s="26" t="str">
        <f>CONCATENATE(W294,"-",B294,"-",P294)</f>
        <v>Melissa Andrea Burbano Erazo-1089482317-VIOLENCIA SEXUAL</v>
      </c>
    </row>
    <row r="295" spans="1:26" x14ac:dyDescent="0.2">
      <c r="A295" s="29">
        <v>42</v>
      </c>
      <c r="B295" s="30">
        <v>1087193282</v>
      </c>
      <c r="C295" s="30" t="s">
        <v>134</v>
      </c>
      <c r="D295" s="30" t="s">
        <v>135</v>
      </c>
      <c r="E295" s="30" t="s">
        <v>136</v>
      </c>
      <c r="F295" s="30"/>
      <c r="G295" s="30">
        <v>7</v>
      </c>
      <c r="H295" s="30" t="s">
        <v>49</v>
      </c>
      <c r="I295" s="31" t="s">
        <v>376</v>
      </c>
      <c r="J295" s="31"/>
      <c r="K295" s="32">
        <v>45670</v>
      </c>
      <c r="L295" s="33"/>
      <c r="M295" s="30" t="s">
        <v>138</v>
      </c>
      <c r="N295" s="30" t="s">
        <v>387</v>
      </c>
      <c r="O295" s="30" t="s">
        <v>69</v>
      </c>
      <c r="P295" s="30" t="s">
        <v>28</v>
      </c>
      <c r="Q295" s="31">
        <v>33774</v>
      </c>
      <c r="R295" s="30" t="s">
        <v>71</v>
      </c>
      <c r="S295" s="25" t="s">
        <v>109</v>
      </c>
      <c r="T295" s="21">
        <v>3174247285</v>
      </c>
      <c r="U295" s="21" t="s">
        <v>137</v>
      </c>
      <c r="V295" s="34" t="e">
        <f>IF(P295=#REF!,"DIPLOMADO EN ATENCION PRE-HOSPITALARIA",IF(P295=#REF!,"ACOMPAÑAMIENTO Y MANEJO DEL DUELO",IF(P295=#REF!,"ATENCION A VICTIMAS DE ATAQUE CON AGENTES QUIMICOS ",IF(P295=#REF!,"PRIMEROS AUXILIOS ",IF(P295=#REF!,"DIPLOMADO DE UNIDAD DE CUIDADOS INTENSIVOS (UCI)",IF(P295=#REF!,"MODELO DE ATENCION PARA EVENTOS EMERGENTES EN SALUD MENTAL (CODIGO VERDE)",IF(P295=#REF!,"HUMANIZACION EN EL SERVICIO DE LA SALUD Y BUENAS PRACTICAS EN PACIENTE ",IF(P295=#REF!,"CLINICA DE HERIDAS ",IF(P295=#REF!,"TOMA DE CITOLOGIA CERVICO VAGINAL ",IF(P295=#REF!,"SOPORTE CARDIOVASCULAR AVANZADO (ACLS) ",IF(P295=#REF!,"CAMILLERO ",IF(P295=#REF!,"TOMA DE MUESTRAS Y LABORATORIO ",IF(P295=#REF!,"SOPORTE VITAL BASICO (BLS)",IF(P295=#REF!,"ATENCION A VICTIMAS DE VIOLENCIA SEXUAL ",IF(P295=#REF!,"PROGRAMADO AMPLIADO DE INMUNIZACION (PAI - COVID 19)",IF(P295=#REF!,"ATENCION INTEGRAL EN ENFERMEDADES PREVALENTES EN PRIMERA INFANCIA (AIEPI)",IF(P295=#REF!,"ADMINISTRACION DE MEDICAMENTOS, INYECTOLOGIA  Y CANALIZACION ",IF(P295=#REF!,"OPERADOR DE VEHICULOS DE EMERGENCIA (OVE)",IF(P295=#REF!,"INSTITUCIONES AMIGAS DE LA MUJER Y LA INFANCIA (IAMI)",IF(P295=#REF!,"CUIDADO DEL DONANTE DE ORGANOS",IF(P295=#REF!,"ATENCION A VICTIMAS POR VIOLENCIA DE GENERO",IF(P295=#REF!,"IGUALDAD DE GENERO EN LA SALUD",IF(P295=#REF!,"BRIGADA DE EMERGENCIA",IF(P295=#REF!,"MANEJO DEL DOLOR Y CUIDADOS PALIATIVOS",IF(P295=#REF!,"TOMA DE MUESTRAS Y LABORATORIO POCT",IF(P295=#REF!,"IMPLANTE SUBDERMICO DE DISPOSITIVO INTRAUTERINO",IF(P295=#REF!,"SALUD MENTAL",IF(P295=#REF!,"PRIMEROS AUXILIOS PSICOLOGICOS",IF(P295=#REF!,"ATENCION A VICTIMAS POR CONFLICTO ARMADO",IF(P295=#REF!,"MANIPULACION DE ALIMENTOS Y BPM",IF(P295=#REF!,"ATENCION A PERSONAS CON DISCAPACIDAD",IF(P295=#REF!,"CUIDADO INTEGRAL DEL PACIENTE ADULTO",IF(P295=#REF!,"MANEJO DEFENSIVO",IF(P295=#REF!,"SOPORTE CARDIOVASCULAR AVANZADO NEONATAL",IF(P295=#REF!,"SEGURIDAD DEL PACIENTE",IF(P295=#REF!,"MANEJO DE RESIDUOS HOSPITALARIOS"))))))))))))))))))))))))))))))))))))</f>
        <v>#REF!</v>
      </c>
      <c r="W295" s="34" t="str">
        <f>CONCATENATE(E295," ",F295," ",C295," ",D295)</f>
        <v>Madeleine  Torres Araujo</v>
      </c>
      <c r="X295" s="34" t="str">
        <f t="shared" si="30"/>
        <v>Madeleine  Torres Araujo</v>
      </c>
      <c r="Y295" s="34" t="str">
        <f>CONCATENATE(W295,"-",B295,"-",P295)</f>
        <v>Madeleine  Torres Araujo-1087193282-AIEPI</v>
      </c>
    </row>
    <row r="296" spans="1:26" x14ac:dyDescent="0.2">
      <c r="A296" s="29">
        <v>43</v>
      </c>
      <c r="B296" s="30">
        <v>1087193282</v>
      </c>
      <c r="C296" s="30" t="s">
        <v>134</v>
      </c>
      <c r="D296" s="30" t="s">
        <v>135</v>
      </c>
      <c r="E296" s="30" t="s">
        <v>136</v>
      </c>
      <c r="F296" s="30"/>
      <c r="G296" s="30">
        <v>7</v>
      </c>
      <c r="H296" s="30" t="s">
        <v>49</v>
      </c>
      <c r="I296" s="31" t="s">
        <v>376</v>
      </c>
      <c r="J296" s="31"/>
      <c r="K296" s="32">
        <v>45670</v>
      </c>
      <c r="L296" s="33"/>
      <c r="M296" s="30" t="s">
        <v>138</v>
      </c>
      <c r="N296" s="30" t="s">
        <v>387</v>
      </c>
      <c r="O296" s="30" t="s">
        <v>69</v>
      </c>
      <c r="P296" s="30" t="s">
        <v>31</v>
      </c>
      <c r="Q296" s="31">
        <v>33774</v>
      </c>
      <c r="R296" s="30" t="s">
        <v>71</v>
      </c>
      <c r="S296" s="25" t="s">
        <v>109</v>
      </c>
      <c r="T296" s="21">
        <v>3174247285</v>
      </c>
      <c r="U296" s="21" t="s">
        <v>137</v>
      </c>
      <c r="V296" s="34" t="e">
        <f>IF(P296=#REF!,"DIPLOMADO EN ATENCION PRE-HOSPITALARIA",IF(P296=#REF!,"ACOMPAÑAMIENTO Y MANEJO DEL DUELO",IF(P296=#REF!,"ATENCION A VICTIMAS DE ATAQUE CON AGENTES QUIMICOS ",IF(P296=#REF!,"PRIMEROS AUXILIOS ",IF(P296=#REF!,"DIPLOMADO DE UNIDAD DE CUIDADOS INTENSIVOS (UCI)",IF(P296=#REF!,"MODELO DE ATENCION PARA EVENTOS EMERGENTES EN SALUD MENTAL (CODIGO VERDE)",IF(P296=#REF!,"HUMANIZACION EN EL SERVICIO DE LA SALUD Y BUENAS PRACTICAS EN PACIENTE ",IF(P296=#REF!,"CLINICA DE HERIDAS ",IF(P296=#REF!,"TOMA DE CITOLOGIA CERVICO VAGINAL ",IF(P296=#REF!,"SOPORTE CARDIOVASCULAR AVANZADO (ACLS) ",IF(P296=#REF!,"CAMILLERO ",IF(P296=#REF!,"TOMA DE MUESTRAS Y LABORATORIO ",IF(P296=#REF!,"SOPORTE VITAL BASICO (BLS)",IF(P296=#REF!,"ATENCION A VICTIMAS DE VIOLENCIA SEXUAL ",IF(P296=#REF!,"PROGRAMADO AMPLIADO DE INMUNIZACION (PAI - COVID 19)",IF(P296=#REF!,"ATENCION INTEGRAL EN ENFERMEDADES PREVALENTES EN PRIMERA INFANCIA (AIEPI)",IF(P296=#REF!,"ADMINISTRACION DE MEDICAMENTOS, INYECTOLOGIA  Y CANALIZACION ",IF(P296=#REF!,"OPERADOR DE VEHICULOS DE EMERGENCIA (OVE)",IF(P296=#REF!,"INSTITUCIONES AMIGAS DE LA MUJER Y LA INFANCIA (IAMI)",IF(P296=#REF!,"CUIDADO DEL DONANTE DE ORGANOS",IF(P296=#REF!,"ATENCION A VICTIMAS POR VIOLENCIA DE GENERO",IF(P296=#REF!,"IGUALDAD DE GENERO EN LA SALUD",IF(P296=#REF!,"BRIGADA DE EMERGENCIA",IF(P296=#REF!,"MANEJO DEL DOLOR Y CUIDADOS PALIATIVOS",IF(P296=#REF!,"TOMA DE MUESTRAS Y LABORATORIO POCT",IF(P296=#REF!,"IMPLANTE SUBDERMICO DE DISPOSITIVO INTRAUTERINO",IF(P296=#REF!,"SALUD MENTAL",IF(P296=#REF!,"PRIMEROS AUXILIOS PSICOLOGICOS",IF(P296=#REF!,"ATENCION A VICTIMAS POR CONFLICTO ARMADO",IF(P296=#REF!,"MANIPULACION DE ALIMENTOS Y BPM",IF(P296=#REF!,"ATENCION A PERSONAS CON DISCAPACIDAD",IF(P296=#REF!,"CUIDADO INTEGRAL DEL PACIENTE ADULTO",IF(P296=#REF!,"MANEJO DEFENSIVO",IF(P296=#REF!,"SOPORTE CARDIOVASCULAR AVANZADO NEONATAL",IF(P296=#REF!,"SEGURIDAD DEL PACIENTE",IF(P296=#REF!,"MANEJO DE RESIDUOS HOSPITALARIOS"))))))))))))))))))))))))))))))))))))</f>
        <v>#REF!</v>
      </c>
      <c r="W296" s="34" t="str">
        <f>CONCATENATE(E296," ",F296," ",C296," ",D296)</f>
        <v>Madeleine  Torres Araujo</v>
      </c>
      <c r="X296" s="34" t="str">
        <f t="shared" si="30"/>
        <v>Madeleine  Torres Araujo</v>
      </c>
      <c r="Y296" s="34" t="str">
        <f>CONCATENATE(W296,"-",B296,"-",P296)</f>
        <v>Madeleine  Torres Araujo-1087193282-IAMI</v>
      </c>
    </row>
    <row r="297" spans="1:26" x14ac:dyDescent="0.2">
      <c r="A297" s="29">
        <v>44</v>
      </c>
      <c r="B297" s="30">
        <v>1087193282</v>
      </c>
      <c r="C297" s="30" t="s">
        <v>134</v>
      </c>
      <c r="D297" s="30" t="s">
        <v>135</v>
      </c>
      <c r="E297" s="30" t="s">
        <v>136</v>
      </c>
      <c r="F297" s="30"/>
      <c r="G297" s="30">
        <v>8</v>
      </c>
      <c r="H297" s="30" t="s">
        <v>49</v>
      </c>
      <c r="I297" s="31" t="s">
        <v>376</v>
      </c>
      <c r="J297" s="31"/>
      <c r="K297" s="32">
        <v>45670</v>
      </c>
      <c r="L297" s="33"/>
      <c r="M297" s="30" t="s">
        <v>138</v>
      </c>
      <c r="N297" s="30" t="s">
        <v>387</v>
      </c>
      <c r="O297" s="30" t="s">
        <v>69</v>
      </c>
      <c r="P297" s="30" t="s">
        <v>23</v>
      </c>
      <c r="Q297" s="31">
        <v>33774</v>
      </c>
      <c r="R297" s="30" t="s">
        <v>71</v>
      </c>
      <c r="S297" s="25" t="s">
        <v>109</v>
      </c>
      <c r="T297" s="21">
        <v>3174247285</v>
      </c>
      <c r="U297" s="21" t="s">
        <v>137</v>
      </c>
      <c r="V297" s="34" t="e">
        <f>IF(P297=#REF!,"DIPLOMADO EN ATENCION PRE-HOSPITALARIA",IF(P297=#REF!,"ACOMPAÑAMIENTO Y MANEJO DEL DUELO",IF(P297=#REF!,"ATENCION A VICTIMAS DE ATAQUE CON AGENTES QUIMICOS ",IF(P297=#REF!,"PRIMEROS AUXILIOS ",IF(P297=#REF!,"DIPLOMADO DE UNIDAD DE CUIDADOS INTENSIVOS (UCI)",IF(P297=#REF!,"MODELO DE ATENCION PARA EVENTOS EMERGENTES EN SALUD MENTAL (CODIGO VERDE)",IF(P297=#REF!,"HUMANIZACION EN EL SERVICIO DE LA SALUD Y BUENAS PRACTICAS EN PACIENTE ",IF(P297=#REF!,"CLINICA DE HERIDAS ",IF(P297=#REF!,"TOMA DE CITOLOGIA CERVICO VAGINAL ",IF(P297=#REF!,"SOPORTE CARDIOVASCULAR AVANZADO (ACLS) ",IF(P297=#REF!,"CAMILLERO ",IF(P297=#REF!,"TOMA DE MUESTRAS Y LABORATORIO ",IF(P297=#REF!,"SOPORTE VITAL BASICO (BLS)",IF(P297=#REF!,"ATENCION A VICTIMAS DE VIOLENCIA SEXUAL ",IF(P297=#REF!,"PROGRAMADO AMPLIADO DE INMUNIZACION (PAI - COVID 19)",IF(P297=#REF!,"ATENCION INTEGRAL EN ENFERMEDADES PREVALENTES EN PRIMERA INFANCIA (AIEPI)",IF(P297=#REF!,"ADMINISTRACION DE MEDICAMENTOS, INYECTOLOGIA  Y CANALIZACION ",IF(P297=#REF!,"OPERADOR DE VEHICULOS DE EMERGENCIA (OVE)",IF(P297=#REF!,"INSTITUCIONES AMIGAS DE LA MUJER Y LA INFANCIA (IAMI)",IF(P297=#REF!,"CUIDADO DEL DONANTE DE ORGANOS",IF(P297=#REF!,"ATENCION A VICTIMAS POR VIOLENCIA DE GENERO",IF(P297=#REF!,"IGUALDAD DE GENERO EN LA SALUD",IF(P297=#REF!,"BRIGADA DE EMERGENCIA",IF(P297=#REF!,"MANEJO DEL DOLOR Y CUIDADOS PALIATIVOS",IF(P297=#REF!,"TOMA DE MUESTRAS Y LABORATORIO POCT",IF(P297=#REF!,"IMPLANTE SUBDERMICO DE DISPOSITIVO INTRAUTERINO",IF(P297=#REF!,"SALUD MENTAL",IF(P297=#REF!,"PRIMEROS AUXILIOS PSICOLOGICOS",IF(P297=#REF!,"ATENCION A VICTIMAS POR CONFLICTO ARMADO",IF(P297=#REF!,"MANIPULACION DE ALIMENTOS Y BPM",IF(P297=#REF!,"ATENCION A PERSONAS CON DISCAPACIDAD",IF(P297=#REF!,"CUIDADO INTEGRAL DEL PACIENTE ADULTO",IF(P297=#REF!,"MANEJO DEFENSIVO",IF(P297=#REF!,"SOPORTE CARDIOVASCULAR AVANZADO NEONATAL",IF(P297=#REF!,"SEGURIDAD DEL PACIENTE",IF(P297=#REF!,"MANEJO DE RESIDUOS HOSPITALARIOS"))))))))))))))))))))))))))))))))))))</f>
        <v>#REF!</v>
      </c>
      <c r="W297" s="34" t="str">
        <f>CONCATENATE(E297," ",F297," ",C297," ",D297)</f>
        <v>Madeleine  Torres Araujo</v>
      </c>
      <c r="X297" s="34" t="str">
        <f t="shared" si="30"/>
        <v>Madeleine  Torres Araujo</v>
      </c>
      <c r="Y297" s="34" t="str">
        <f>CONCATENATE(W297,"-",B297,"-",P297)</f>
        <v>Madeleine  Torres Araujo-1087193282-HUMANIZACION</v>
      </c>
    </row>
    <row r="298" spans="1:26" x14ac:dyDescent="0.2">
      <c r="A298" s="29">
        <v>45</v>
      </c>
      <c r="B298" s="30">
        <v>1087193282</v>
      </c>
      <c r="C298" s="30" t="s">
        <v>134</v>
      </c>
      <c r="D298" s="30" t="s">
        <v>135</v>
      </c>
      <c r="E298" s="30" t="s">
        <v>136</v>
      </c>
      <c r="F298" s="30"/>
      <c r="G298" s="30">
        <v>9</v>
      </c>
      <c r="H298" s="30" t="s">
        <v>49</v>
      </c>
      <c r="I298" s="31" t="s">
        <v>376</v>
      </c>
      <c r="J298" s="31"/>
      <c r="K298" s="32">
        <v>45670</v>
      </c>
      <c r="L298" s="33"/>
      <c r="M298" s="30" t="s">
        <v>138</v>
      </c>
      <c r="N298" s="30" t="s">
        <v>387</v>
      </c>
      <c r="O298" s="30" t="s">
        <v>69</v>
      </c>
      <c r="P298" s="30" t="s">
        <v>41</v>
      </c>
      <c r="Q298" s="31">
        <v>33774</v>
      </c>
      <c r="R298" s="30" t="s">
        <v>71</v>
      </c>
      <c r="S298" s="25" t="s">
        <v>109</v>
      </c>
      <c r="T298" s="21">
        <v>3174247285</v>
      </c>
      <c r="U298" s="21" t="s">
        <v>137</v>
      </c>
      <c r="V298" s="34" t="e">
        <f>IF(P298=#REF!,"DIPLOMADO EN ATENCION PRE-HOSPITALARIA",IF(P298=#REF!,"ACOMPAÑAMIENTO Y MANEJO DEL DUELO",IF(P298=#REF!,"ATENCION A VICTIMAS DE ATAQUE CON AGENTES QUIMICOS ",IF(P298=#REF!,"PRIMEROS AUXILIOS ",IF(P298=#REF!,"DIPLOMADO DE UNIDAD DE CUIDADOS INTENSIVOS (UCI)",IF(P298=#REF!,"MODELO DE ATENCION PARA EVENTOS EMERGENTES EN SALUD MENTAL (CODIGO VERDE)",IF(P298=#REF!,"HUMANIZACION EN EL SERVICIO DE LA SALUD Y BUENAS PRACTICAS EN PACIENTE ",IF(P298=#REF!,"CLINICA DE HERIDAS ",IF(P298=#REF!,"TOMA DE CITOLOGIA CERVICO VAGINAL ",IF(P298=#REF!,"SOPORTE CARDIOVASCULAR AVANZADO (ACLS) ",IF(P298=#REF!,"CAMILLERO ",IF(P298=#REF!,"TOMA DE MUESTRAS Y LABORATORIO ",IF(P298=#REF!,"SOPORTE VITAL BASICO (BLS)",IF(P298=#REF!,"ATENCION A VICTIMAS DE VIOLENCIA SEXUAL ",IF(P298=#REF!,"PROGRAMADO AMPLIADO DE INMUNIZACION (PAI - COVID 19)",IF(P298=#REF!,"ATENCION INTEGRAL EN ENFERMEDADES PREVALENTES EN PRIMERA INFANCIA (AIEPI)",IF(P298=#REF!,"ADMINISTRACION DE MEDICAMENTOS, INYECTOLOGIA  Y CANALIZACION ",IF(P298=#REF!,"OPERADOR DE VEHICULOS DE EMERGENCIA (OVE)",IF(P298=#REF!,"INSTITUCIONES AMIGAS DE LA MUJER Y LA INFANCIA (IAMI)",IF(P298=#REF!,"CUIDADO DEL DONANTE DE ORGANOS",IF(P298=#REF!,"ATENCION A VICTIMAS POR VIOLENCIA DE GENERO",IF(P298=#REF!,"IGUALDAD DE GENERO EN LA SALUD",IF(P298=#REF!,"BRIGADA DE EMERGENCIA",IF(P298=#REF!,"MANEJO DEL DOLOR Y CUIDADOS PALIATIVOS",IF(P298=#REF!,"TOMA DE MUESTRAS Y LABORATORIO POCT",IF(P298=#REF!,"IMPLANTE SUBDERMICO DE DISPOSITIVO INTRAUTERINO",IF(P298=#REF!,"SALUD MENTAL",IF(P298=#REF!,"PRIMEROS AUXILIOS PSICOLOGICOS",IF(P298=#REF!,"ATENCION A VICTIMAS POR CONFLICTO ARMADO",IF(P298=#REF!,"MANIPULACION DE ALIMENTOS Y BPM",IF(P298=#REF!,"ATENCION A PERSONAS CON DISCAPACIDAD",IF(P298=#REF!,"CUIDADO INTEGRAL DEL PACIENTE ADULTO",IF(P298=#REF!,"MANEJO DEFENSIVO",IF(P298=#REF!,"SOPORTE CARDIOVASCULAR AVANZADO NEONATAL",IF(P298=#REF!,"SEGURIDAD DEL PACIENTE",IF(P298=#REF!,"MANEJO DE RESIDUOS HOSPITALARIOS"))))))))))))))))))))))))))))))))))))</f>
        <v>#REF!</v>
      </c>
      <c r="W298" s="34" t="str">
        <f>CONCATENATE(E298," ",F298," ",C298," ",D298)</f>
        <v>Madeleine  Torres Araujo</v>
      </c>
      <c r="X298" s="34" t="str">
        <f t="shared" si="30"/>
        <v>Madeleine  Torres Araujo</v>
      </c>
      <c r="Y298" s="34" t="str">
        <f>CONCATENATE(W298,"-",B298,"-",P298)</f>
        <v>Madeleine  Torres Araujo-1087193282-PACIENTE</v>
      </c>
    </row>
    <row r="299" spans="1:26" x14ac:dyDescent="0.2">
      <c r="A299" s="29">
        <v>46</v>
      </c>
      <c r="B299" s="30">
        <v>1087193282</v>
      </c>
      <c r="C299" s="30" t="s">
        <v>134</v>
      </c>
      <c r="D299" s="30" t="s">
        <v>135</v>
      </c>
      <c r="E299" s="30" t="s">
        <v>136</v>
      </c>
      <c r="F299" s="30"/>
      <c r="G299" s="30">
        <v>10</v>
      </c>
      <c r="H299" s="30" t="s">
        <v>49</v>
      </c>
      <c r="I299" s="31" t="s">
        <v>376</v>
      </c>
      <c r="J299" s="31"/>
      <c r="K299" s="32">
        <v>45670</v>
      </c>
      <c r="L299" s="33"/>
      <c r="M299" s="30" t="s">
        <v>138</v>
      </c>
      <c r="N299" s="30" t="s">
        <v>387</v>
      </c>
      <c r="O299" s="30" t="s">
        <v>69</v>
      </c>
      <c r="P299" s="30" t="s">
        <v>125</v>
      </c>
      <c r="Q299" s="31">
        <v>33774</v>
      </c>
      <c r="R299" s="30" t="s">
        <v>71</v>
      </c>
      <c r="S299" s="25" t="s">
        <v>109</v>
      </c>
      <c r="T299" s="21">
        <v>3174247285</v>
      </c>
      <c r="U299" s="21" t="s">
        <v>137</v>
      </c>
      <c r="V299" s="34" t="e">
        <f>IF(P299=#REF!,"DIPLOMADO EN ATENCION PRE-HOSPITALARIA",IF(P299=#REF!,"ACOMPAÑAMIENTO Y MANEJO DEL DUELO",IF(P299=#REF!,"ATENCION A VICTIMAS DE ATAQUE CON AGENTES QUIMICOS ",IF(P299=#REF!,"PRIMEROS AUXILIOS ",IF(P299=#REF!,"DIPLOMADO DE UNIDAD DE CUIDADOS INTENSIVOS (UCI)",IF(P299=#REF!,"MODELO DE ATENCION PARA EVENTOS EMERGENTES EN SALUD MENTAL (CODIGO VERDE)",IF(P299=#REF!,"HUMANIZACION EN EL SERVICIO DE LA SALUD Y BUENAS PRACTICAS EN PACIENTE ",IF(P299=#REF!,"CLINICA DE HERIDAS ",IF(P299=#REF!,"TOMA DE CITOLOGIA CERVICO VAGINAL ",IF(P299=#REF!,"SOPORTE CARDIOVASCULAR AVANZADO (ACLS) ",IF(P299=#REF!,"CAMILLERO ",IF(P299=#REF!,"TOMA DE MUESTRAS Y LABORATORIO ",IF(P299=#REF!,"SOPORTE VITAL BASICO (BLS)",IF(P299=#REF!,"ATENCION A VICTIMAS DE VIOLENCIA SEXUAL ",IF(P299=#REF!,"PROGRAMADO AMPLIADO DE INMUNIZACION (PAI - COVID 19)",IF(P299=#REF!,"ATENCION INTEGRAL EN ENFERMEDADES PREVALENTES EN PRIMERA INFANCIA (AIEPI)",IF(P299=#REF!,"ADMINISTRACION DE MEDICAMENTOS, INYECTOLOGIA  Y CANALIZACION ",IF(P299=#REF!,"OPERADOR DE VEHICULOS DE EMERGENCIA (OVE)",IF(P299=#REF!,"INSTITUCIONES AMIGAS DE LA MUJER Y LA INFANCIA (IAMI)",IF(P299=#REF!,"CUIDADO DEL DONANTE DE ORGANOS",IF(P299=#REF!,"ATENCION A VICTIMAS POR VIOLENCIA DE GENERO",IF(P299=#REF!,"IGUALDAD DE GENERO EN LA SALUD",IF(P299=#REF!,"BRIGADA DE EMERGENCIA",IF(P299=#REF!,"MANEJO DEL DOLOR Y CUIDADOS PALIATIVOS",IF(P299=#REF!,"TOMA DE MUESTRAS Y LABORATORIO POCT",IF(P299=#REF!,"IMPLANTE SUBDERMICO DE DISPOSITIVO INTRAUTERINO",IF(P299=#REF!,"SALUD MENTAL",IF(P299=#REF!,"PRIMEROS AUXILIOS PSICOLOGICOS",IF(P299=#REF!,"ATENCION A VICTIMAS POR CONFLICTO ARMADO",IF(P299=#REF!,"MANIPULACION DE ALIMENTOS Y BPM",IF(P299=#REF!,"ATENCION A PERSONAS CON DISCAPACIDAD",IF(P299=#REF!,"CUIDADO INTEGRAL DEL PACIENTE ADULTO",IF(P299=#REF!,"MANEJO DEFENSIVO",IF(P299=#REF!,"SOPORTE CARDIOVASCULAR AVANZADO NEONATAL",IF(P299=#REF!,"SEGURIDAD DEL PACIENTE",IF(P299=#REF!,"MANEJO DE RESIDUOS HOSPITALARIOS"))))))))))))))))))))))))))))))))))))</f>
        <v>#REF!</v>
      </c>
      <c r="W299" s="34" t="str">
        <f>CONCATENATE(E299," ",F299," ",C299," ",D299)</f>
        <v>Madeleine  Torres Araujo</v>
      </c>
      <c r="X299" s="34" t="str">
        <f t="shared" si="30"/>
        <v>Madeleine  Torres Araujo</v>
      </c>
      <c r="Y299" s="34" t="str">
        <f>CONCATENATE(W299,"-",B299,"-",P299)</f>
        <v>Madeleine  Torres Araujo-1087193282-TRIAGE</v>
      </c>
    </row>
    <row r="300" spans="1:26" x14ac:dyDescent="0.2">
      <c r="A300" s="29">
        <v>47</v>
      </c>
      <c r="B300" s="30">
        <v>1087193282</v>
      </c>
      <c r="C300" s="30" t="s">
        <v>134</v>
      </c>
      <c r="D300" s="30" t="s">
        <v>135</v>
      </c>
      <c r="E300" s="30" t="s">
        <v>136</v>
      </c>
      <c r="F300" s="30"/>
      <c r="G300" s="30">
        <v>11</v>
      </c>
      <c r="H300" s="30" t="s">
        <v>49</v>
      </c>
      <c r="I300" s="31" t="s">
        <v>376</v>
      </c>
      <c r="J300" s="31"/>
      <c r="K300" s="32">
        <v>45670</v>
      </c>
      <c r="L300" s="33"/>
      <c r="M300" s="30" t="s">
        <v>138</v>
      </c>
      <c r="N300" s="30" t="s">
        <v>387</v>
      </c>
      <c r="O300" s="30" t="s">
        <v>69</v>
      </c>
      <c r="P300" s="30" t="s">
        <v>20</v>
      </c>
      <c r="Q300" s="31">
        <v>33774</v>
      </c>
      <c r="R300" s="30" t="s">
        <v>71</v>
      </c>
      <c r="S300" s="25" t="s">
        <v>109</v>
      </c>
      <c r="T300" s="21">
        <v>3174247285</v>
      </c>
      <c r="U300" s="21" t="s">
        <v>137</v>
      </c>
      <c r="V300" s="34" t="e">
        <f>IF(P300=#REF!,"DIPLOMADO EN ATENCION PRE-HOSPITALARIA",IF(P300=#REF!,"ACOMPAÑAMIENTO Y MANEJO DEL DUELO",IF(P300=#REF!,"ATENCION A VICTIMAS DE ATAQUE CON AGENTES QUIMICOS ",IF(P300=#REF!,"PRIMEROS AUXILIOS ",IF(P300=#REF!,"DIPLOMADO DE UNIDAD DE CUIDADOS INTENSIVOS (UCI)",IF(P300=#REF!,"MODELO DE ATENCION PARA EVENTOS EMERGENTES EN SALUD MENTAL (CODIGO VERDE)",IF(P300=#REF!,"HUMANIZACION EN EL SERVICIO DE LA SALUD Y BUENAS PRACTICAS EN PACIENTE ",IF(P300=#REF!,"CLINICA DE HERIDAS ",IF(P300=#REF!,"TOMA DE CITOLOGIA CERVICO VAGINAL ",IF(P300=#REF!,"SOPORTE CARDIOVASCULAR AVANZADO (ACLS) ",IF(P300=#REF!,"CAMILLERO ",IF(P300=#REF!,"TOMA DE MUESTRAS Y LABORATORIO ",IF(P300=#REF!,"SOPORTE VITAL BASICO (BLS)",IF(P300=#REF!,"ATENCION A VICTIMAS DE VIOLENCIA SEXUAL ",IF(P300=#REF!,"PROGRAMADO AMPLIADO DE INMUNIZACION (PAI - COVID 19)",IF(P300=#REF!,"ATENCION INTEGRAL EN ENFERMEDADES PREVALENTES EN PRIMERA INFANCIA (AIEPI)",IF(P300=#REF!,"ADMINISTRACION DE MEDICAMENTOS, INYECTOLOGIA  Y CANALIZACION ",IF(P300=#REF!,"OPERADOR DE VEHICULOS DE EMERGENCIA (OVE)",IF(P300=#REF!,"INSTITUCIONES AMIGAS DE LA MUJER Y LA INFANCIA (IAMI)",IF(P300=#REF!,"CUIDADO DEL DONANTE DE ORGANOS",IF(P300=#REF!,"ATENCION A VICTIMAS POR VIOLENCIA DE GENERO",IF(P300=#REF!,"IGUALDAD DE GENERO EN LA SALUD",IF(P300=#REF!,"BRIGADA DE EMERGENCIA",IF(P300=#REF!,"MANEJO DEL DOLOR Y CUIDADOS PALIATIVOS",IF(P300=#REF!,"TOMA DE MUESTRAS Y LABORATORIO POCT",IF(P300=#REF!,"IMPLANTE SUBDERMICO DE DISPOSITIVO INTRAUTERINO",IF(P300=#REF!,"SALUD MENTAL",IF(P300=#REF!,"PRIMEROS AUXILIOS PSICOLOGICOS",IF(P300=#REF!,"ATENCION A VICTIMAS POR CONFLICTO ARMADO",IF(P300=#REF!,"MANIPULACION DE ALIMENTOS Y BPM",IF(P300=#REF!,"ATENCION A PERSONAS CON DISCAPACIDAD",IF(P300=#REF!,"CUIDADO INTEGRAL DEL PACIENTE ADULTO",IF(P300=#REF!,"MANEJO DEFENSIVO",IF(P300=#REF!,"SOPORTE CARDIOVASCULAR AVANZADO NEONATAL",IF(P300=#REF!,"SEGURIDAD DEL PACIENTE",IF(P300=#REF!,"MANEJO DE RESIDUOS HOSPITALARIOS"))))))))))))))))))))))))))))))))))))</f>
        <v>#REF!</v>
      </c>
      <c r="W300" s="34" t="str">
        <f>CONCATENATE(E300," ",F300," ",C300," ",D300)</f>
        <v>Madeleine  Torres Araujo</v>
      </c>
      <c r="X300" s="34" t="str">
        <f t="shared" si="30"/>
        <v>Madeleine  Torres Araujo</v>
      </c>
      <c r="Y300" s="34" t="str">
        <f>CONCATENATE(W300,"-",B300,"-",P300)</f>
        <v>Madeleine  Torres Araujo-1087193282-DUELO</v>
      </c>
    </row>
    <row r="301" spans="1:26" x14ac:dyDescent="0.2">
      <c r="A301" s="29">
        <v>48</v>
      </c>
      <c r="B301" s="30">
        <v>1087193282</v>
      </c>
      <c r="C301" s="30" t="s">
        <v>134</v>
      </c>
      <c r="D301" s="30" t="s">
        <v>135</v>
      </c>
      <c r="E301" s="30" t="s">
        <v>136</v>
      </c>
      <c r="F301" s="30"/>
      <c r="G301" s="30">
        <v>13</v>
      </c>
      <c r="H301" s="30" t="s">
        <v>49</v>
      </c>
      <c r="I301" s="31" t="s">
        <v>376</v>
      </c>
      <c r="J301" s="31"/>
      <c r="K301" s="32">
        <v>45670</v>
      </c>
      <c r="L301" s="33"/>
      <c r="M301" s="30" t="s">
        <v>138</v>
      </c>
      <c r="N301" s="30" t="s">
        <v>387</v>
      </c>
      <c r="O301" s="30" t="s">
        <v>69</v>
      </c>
      <c r="P301" s="30" t="s">
        <v>27</v>
      </c>
      <c r="Q301" s="31">
        <v>33774</v>
      </c>
      <c r="R301" s="30" t="s">
        <v>71</v>
      </c>
      <c r="S301" s="25" t="s">
        <v>109</v>
      </c>
      <c r="T301" s="21">
        <v>3174247285</v>
      </c>
      <c r="U301" s="21" t="s">
        <v>137</v>
      </c>
      <c r="V301" s="34" t="e">
        <f>IF(P301=#REF!,"DIPLOMADO EN ATENCION PRE-HOSPITALARIA",IF(P301=#REF!,"ACOMPAÑAMIENTO Y MANEJO DEL DUELO",IF(P301=#REF!,"ATENCION A VICTIMAS DE ATAQUE CON AGENTES QUIMICOS ",IF(P301=#REF!,"PRIMEROS AUXILIOS ",IF(P301=#REF!,"DIPLOMADO DE UNIDAD DE CUIDADOS INTENSIVOS (UCI)",IF(P301=#REF!,"MODELO DE ATENCION PARA EVENTOS EMERGENTES EN SALUD MENTAL (CODIGO VERDE)",IF(P301=#REF!,"HUMANIZACION EN EL SERVICIO DE LA SALUD Y BUENAS PRACTICAS EN PACIENTE ",IF(P301=#REF!,"CLINICA DE HERIDAS ",IF(P301=#REF!,"TOMA DE CITOLOGIA CERVICO VAGINAL ",IF(P301=#REF!,"SOPORTE CARDIOVASCULAR AVANZADO (ACLS) ",IF(P301=#REF!,"CAMILLERO ",IF(P301=#REF!,"TOMA DE MUESTRAS Y LABORATORIO ",IF(P301=#REF!,"SOPORTE VITAL BASICO (BLS)",IF(P301=#REF!,"ATENCION A VICTIMAS DE VIOLENCIA SEXUAL ",IF(P301=#REF!,"PROGRAMADO AMPLIADO DE INMUNIZACION (PAI - COVID 19)",IF(P301=#REF!,"ATENCION INTEGRAL EN ENFERMEDADES PREVALENTES EN PRIMERA INFANCIA (AIEPI)",IF(P301=#REF!,"ADMINISTRACION DE MEDICAMENTOS, INYECTOLOGIA  Y CANALIZACION ",IF(P301=#REF!,"OPERADOR DE VEHICULOS DE EMERGENCIA (OVE)",IF(P301=#REF!,"INSTITUCIONES AMIGAS DE LA MUJER Y LA INFANCIA (IAMI)",IF(P301=#REF!,"CUIDADO DEL DONANTE DE ORGANOS",IF(P301=#REF!,"ATENCION A VICTIMAS POR VIOLENCIA DE GENERO",IF(P301=#REF!,"IGUALDAD DE GENERO EN LA SALUD",IF(P301=#REF!,"BRIGADA DE EMERGENCIA",IF(P301=#REF!,"MANEJO DEL DOLOR Y CUIDADOS PALIATIVOS",IF(P301=#REF!,"TOMA DE MUESTRAS Y LABORATORIO POCT",IF(P301=#REF!,"IMPLANTE SUBDERMICO DE DISPOSITIVO INTRAUTERINO",IF(P301=#REF!,"SALUD MENTAL",IF(P301=#REF!,"PRIMEROS AUXILIOS PSICOLOGICOS",IF(P301=#REF!,"ATENCION A VICTIMAS POR CONFLICTO ARMADO",IF(P301=#REF!,"MANIPULACION DE ALIMENTOS Y BPM",IF(P301=#REF!,"ATENCION A PERSONAS CON DISCAPACIDAD",IF(P301=#REF!,"CUIDADO INTEGRAL DEL PACIENTE ADULTO",IF(P301=#REF!,"MANEJO DEFENSIVO",IF(P301=#REF!,"SOPORTE CARDIOVASCULAR AVANZADO NEONATAL",IF(P301=#REF!,"SEGURIDAD DEL PACIENTE",IF(P301=#REF!,"MANEJO DE RESIDUOS HOSPITALARIOS"))))))))))))))))))))))))))))))))))))</f>
        <v>#REF!</v>
      </c>
      <c r="W301" s="34" t="str">
        <f>CONCATENATE(E301," ",F301," ",C301," ",D301)</f>
        <v>Madeleine  Torres Araujo</v>
      </c>
      <c r="X301" s="34" t="str">
        <f t="shared" si="30"/>
        <v>Madeleine  Torres Araujo</v>
      </c>
      <c r="Y301" s="34" t="str">
        <f>CONCATENATE(W301,"-",B301,"-",P301)</f>
        <v>Madeleine  Torres Araujo-1087193282-VIOLENCIA SEXUAL</v>
      </c>
    </row>
    <row r="302" spans="1:26" x14ac:dyDescent="0.2">
      <c r="A302" s="29">
        <v>49</v>
      </c>
      <c r="B302" s="30">
        <v>1087193282</v>
      </c>
      <c r="C302" s="30" t="s">
        <v>134</v>
      </c>
      <c r="D302" s="30" t="s">
        <v>135</v>
      </c>
      <c r="E302" s="30" t="s">
        <v>136</v>
      </c>
      <c r="F302" s="30"/>
      <c r="G302" s="30">
        <v>11</v>
      </c>
      <c r="H302" s="30" t="s">
        <v>49</v>
      </c>
      <c r="I302" s="31" t="s">
        <v>376</v>
      </c>
      <c r="J302" s="31"/>
      <c r="K302" s="32">
        <v>45670</v>
      </c>
      <c r="L302" s="33"/>
      <c r="M302" s="30" t="s">
        <v>138</v>
      </c>
      <c r="N302" s="30" t="s">
        <v>387</v>
      </c>
      <c r="O302" s="30" t="s">
        <v>69</v>
      </c>
      <c r="P302" s="30" t="s">
        <v>24</v>
      </c>
      <c r="Q302" s="31">
        <v>33774</v>
      </c>
      <c r="R302" s="30" t="s">
        <v>71</v>
      </c>
      <c r="S302" s="25" t="s">
        <v>109</v>
      </c>
      <c r="T302" s="21">
        <v>3174247285</v>
      </c>
      <c r="U302" s="21" t="s">
        <v>137</v>
      </c>
      <c r="V302" s="34" t="e">
        <f>IF(P302=#REF!,"DIPLOMADO EN ATENCION PRE-HOSPITALARIA",IF(P302=#REF!,"ACOMPAÑAMIENTO Y MANEJO DEL DUELO",IF(P302=#REF!,"ATENCION A VICTIMAS DE ATAQUE CON AGENTES QUIMICOS ",IF(P302=#REF!,"PRIMEROS AUXILIOS ",IF(P302=#REF!,"DIPLOMADO DE UNIDAD DE CUIDADOS INTENSIVOS (UCI)",IF(P302=#REF!,"MODELO DE ATENCION PARA EVENTOS EMERGENTES EN SALUD MENTAL (CODIGO VERDE)",IF(P302=#REF!,"HUMANIZACION EN EL SERVICIO DE LA SALUD Y BUENAS PRACTICAS EN PACIENTE ",IF(P302=#REF!,"CLINICA DE HERIDAS ",IF(P302=#REF!,"TOMA DE CITOLOGIA CERVICO VAGINAL ",IF(P302=#REF!,"SOPORTE CARDIOVASCULAR AVANZADO (ACLS) ",IF(P302=#REF!,"CAMILLERO ",IF(P302=#REF!,"TOMA DE MUESTRAS Y LABORATORIO ",IF(P302=#REF!,"SOPORTE VITAL BASICO (BLS)",IF(P302=#REF!,"ATENCION A VICTIMAS DE VIOLENCIA SEXUAL ",IF(P302=#REF!,"PROGRAMADO AMPLIADO DE INMUNIZACION (PAI - COVID 19)",IF(P302=#REF!,"ATENCION INTEGRAL EN ENFERMEDADES PREVALENTES EN PRIMERA INFANCIA (AIEPI)",IF(P302=#REF!,"ADMINISTRACION DE MEDICAMENTOS, INYECTOLOGIA  Y CANALIZACION ",IF(P302=#REF!,"OPERADOR DE VEHICULOS DE EMERGENCIA (OVE)",IF(P302=#REF!,"INSTITUCIONES AMIGAS DE LA MUJER Y LA INFANCIA (IAMI)",IF(P302=#REF!,"CUIDADO DEL DONANTE DE ORGANOS",IF(P302=#REF!,"ATENCION A VICTIMAS POR VIOLENCIA DE GENERO",IF(P302=#REF!,"IGUALDAD DE GENERO EN LA SALUD",IF(P302=#REF!,"BRIGADA DE EMERGENCIA",IF(P302=#REF!,"MANEJO DEL DOLOR Y CUIDADOS PALIATIVOS",IF(P302=#REF!,"TOMA DE MUESTRAS Y LABORATORIO POCT",IF(P302=#REF!,"IMPLANTE SUBDERMICO DE DISPOSITIVO INTRAUTERINO",IF(P302=#REF!,"SALUD MENTAL",IF(P302=#REF!,"PRIMEROS AUXILIOS PSICOLOGICOS",IF(P302=#REF!,"ATENCION A VICTIMAS POR CONFLICTO ARMADO",IF(P302=#REF!,"MANIPULACION DE ALIMENTOS Y BPM",IF(P302=#REF!,"ATENCION A PERSONAS CON DISCAPACIDAD",IF(P302=#REF!,"CUIDADO INTEGRAL DEL PACIENTE ADULTO",IF(P302=#REF!,"MANEJO DEFENSIVO",IF(P302=#REF!,"SOPORTE CARDIOVASCULAR AVANZADO NEONATAL",IF(P302=#REF!,"SEGURIDAD DEL PACIENTE",IF(P302=#REF!,"MANEJO DE RESIDUOS HOSPITALARIOS"))))))))))))))))))))))))))))))))))))</f>
        <v>#REF!</v>
      </c>
      <c r="W302" s="34" t="str">
        <f>CONCATENATE(E302," ",F302," ",C302," ",D302)</f>
        <v>Madeleine  Torres Araujo</v>
      </c>
      <c r="X302" s="34" t="str">
        <f t="shared" si="30"/>
        <v>Madeleine  Torres Araujo</v>
      </c>
      <c r="Y302" s="34" t="str">
        <f>CONCATENATE(W302,"-",B302,"-",P302)</f>
        <v>Madeleine  Torres Araujo-1087193282-ACLS</v>
      </c>
    </row>
    <row r="303" spans="1:26" x14ac:dyDescent="0.2">
      <c r="A303" s="29">
        <v>50</v>
      </c>
      <c r="B303" s="30">
        <v>1087193282</v>
      </c>
      <c r="C303" s="30" t="s">
        <v>134</v>
      </c>
      <c r="D303" s="30" t="s">
        <v>135</v>
      </c>
      <c r="E303" s="30" t="s">
        <v>136</v>
      </c>
      <c r="F303" s="30"/>
      <c r="G303" s="30">
        <v>13</v>
      </c>
      <c r="H303" s="30" t="s">
        <v>49</v>
      </c>
      <c r="I303" s="31" t="s">
        <v>376</v>
      </c>
      <c r="J303" s="31"/>
      <c r="K303" s="32">
        <v>45670</v>
      </c>
      <c r="L303" s="33"/>
      <c r="M303" s="30" t="s">
        <v>138</v>
      </c>
      <c r="N303" s="30" t="s">
        <v>387</v>
      </c>
      <c r="O303" s="30" t="s">
        <v>69</v>
      </c>
      <c r="P303" s="30" t="s">
        <v>21</v>
      </c>
      <c r="Q303" s="31">
        <v>33774</v>
      </c>
      <c r="R303" s="30" t="s">
        <v>71</v>
      </c>
      <c r="S303" s="25" t="s">
        <v>109</v>
      </c>
      <c r="T303" s="21">
        <v>3174247285</v>
      </c>
      <c r="U303" s="21" t="s">
        <v>137</v>
      </c>
      <c r="V303" s="34" t="e">
        <f>IF(P303=#REF!,"DIPLOMADO EN ATENCION PRE-HOSPITALARIA",IF(P303=#REF!,"ACOMPAÑAMIENTO Y MANEJO DEL DUELO",IF(P303=#REF!,"ATENCION A VICTIMAS DE ATAQUE CON AGENTES QUIMICOS ",IF(P303=#REF!,"PRIMEROS AUXILIOS ",IF(P303=#REF!,"DIPLOMADO DE UNIDAD DE CUIDADOS INTENSIVOS (UCI)",IF(P303=#REF!,"MODELO DE ATENCION PARA EVENTOS EMERGENTES EN SALUD MENTAL (CODIGO VERDE)",IF(P303=#REF!,"HUMANIZACION EN EL SERVICIO DE LA SALUD Y BUENAS PRACTICAS EN PACIENTE ",IF(P303=#REF!,"CLINICA DE HERIDAS ",IF(P303=#REF!,"TOMA DE CITOLOGIA CERVICO VAGINAL ",IF(P303=#REF!,"SOPORTE CARDIOVASCULAR AVANZADO (ACLS) ",IF(P303=#REF!,"CAMILLERO ",IF(P303=#REF!,"TOMA DE MUESTRAS Y LABORATORIO ",IF(P303=#REF!,"SOPORTE VITAL BASICO (BLS)",IF(P303=#REF!,"ATENCION A VICTIMAS DE VIOLENCIA SEXUAL ",IF(P303=#REF!,"PROGRAMADO AMPLIADO DE INMUNIZACION (PAI - COVID 19)",IF(P303=#REF!,"ATENCION INTEGRAL EN ENFERMEDADES PREVALENTES EN PRIMERA INFANCIA (AIEPI)",IF(P303=#REF!,"ADMINISTRACION DE MEDICAMENTOS, INYECTOLOGIA  Y CANALIZACION ",IF(P303=#REF!,"OPERADOR DE VEHICULOS DE EMERGENCIA (OVE)",IF(P303=#REF!,"INSTITUCIONES AMIGAS DE LA MUJER Y LA INFANCIA (IAMI)",IF(P303=#REF!,"CUIDADO DEL DONANTE DE ORGANOS",IF(P303=#REF!,"ATENCION A VICTIMAS POR VIOLENCIA DE GENERO",IF(P303=#REF!,"IGUALDAD DE GENERO EN LA SALUD",IF(P303=#REF!,"BRIGADA DE EMERGENCIA",IF(P303=#REF!,"MANEJO DEL DOLOR Y CUIDADOS PALIATIVOS",IF(P303=#REF!,"TOMA DE MUESTRAS Y LABORATORIO POCT",IF(P303=#REF!,"IMPLANTE SUBDERMICO DE DISPOSITIVO INTRAUTERINO",IF(P303=#REF!,"SALUD MENTAL",IF(P303=#REF!,"PRIMEROS AUXILIOS PSICOLOGICOS",IF(P303=#REF!,"ATENCION A VICTIMAS POR CONFLICTO ARMADO",IF(P303=#REF!,"MANIPULACION DE ALIMENTOS Y BPM",IF(P303=#REF!,"ATENCION A PERSONAS CON DISCAPACIDAD",IF(P303=#REF!,"CUIDADO INTEGRAL DEL PACIENTE ADULTO",IF(P303=#REF!,"MANEJO DEFENSIVO",IF(P303=#REF!,"SOPORTE CARDIOVASCULAR AVANZADO NEONATAL",IF(P303=#REF!,"SEGURIDAD DEL PACIENTE",IF(P303=#REF!,"MANEJO DE RESIDUOS HOSPITALARIOS"))))))))))))))))))))))))))))))))))))</f>
        <v>#REF!</v>
      </c>
      <c r="W303" s="34" t="str">
        <f>CONCATENATE(E303," ",F303," ",C303," ",D303)</f>
        <v>Madeleine  Torres Araujo</v>
      </c>
      <c r="X303" s="34" t="str">
        <f t="shared" si="30"/>
        <v>Madeleine  Torres Araujo</v>
      </c>
      <c r="Y303" s="34" t="str">
        <f>CONCATENATE(W303,"-",B303,"-",P303)</f>
        <v>Madeleine  Torres Araujo-1087193282-QUIMICOS</v>
      </c>
    </row>
    <row r="304" spans="1:26" s="19" customFormat="1" x14ac:dyDescent="0.2">
      <c r="A304" s="20">
        <v>51</v>
      </c>
      <c r="B304" s="21">
        <v>1004216066</v>
      </c>
      <c r="C304" s="21" t="s">
        <v>139</v>
      </c>
      <c r="D304" s="21"/>
      <c r="E304" s="21" t="s">
        <v>140</v>
      </c>
      <c r="F304" s="21" t="s">
        <v>141</v>
      </c>
      <c r="G304" s="21">
        <v>13</v>
      </c>
      <c r="H304" s="21" t="s">
        <v>49</v>
      </c>
      <c r="I304" s="22" t="s">
        <v>377</v>
      </c>
      <c r="J304" s="22"/>
      <c r="K304" s="23">
        <v>45657</v>
      </c>
      <c r="L304" s="24">
        <v>65000</v>
      </c>
      <c r="M304" s="21" t="s">
        <v>79</v>
      </c>
      <c r="N304" s="21" t="s">
        <v>387</v>
      </c>
      <c r="O304" s="21" t="s">
        <v>69</v>
      </c>
      <c r="P304" s="21" t="s">
        <v>29</v>
      </c>
      <c r="Q304" s="22">
        <v>37569</v>
      </c>
      <c r="R304" s="21" t="s">
        <v>71</v>
      </c>
      <c r="S304" s="21" t="s">
        <v>142</v>
      </c>
      <c r="T304" s="21">
        <v>3183883634</v>
      </c>
      <c r="U304" s="21" t="s">
        <v>143</v>
      </c>
      <c r="V304" s="26" t="e">
        <f>IF(P304=#REF!,"DIPLOMADO EN ATENCION PRE-HOSPITALARIA",IF(P304=#REF!,"ACOMPAÑAMIENTO Y MANEJO DEL DUELO",IF(P304=#REF!,"ATENCION A VICTIMAS DE ATAQUE CON AGENTES QUIMICOS ",IF(P304=#REF!,"PRIMEROS AUXILIOS ",IF(P304=#REF!,"DIPLOMADO DE UNIDAD DE CUIDADOS INTENSIVOS (UCI)",IF(P304=#REF!,"MODELO DE ATENCION PARA EVENTOS EMERGENTES EN SALUD MENTAL (CODIGO VERDE)",IF(P304=#REF!,"HUMANIZACION EN EL SERVICIO DE LA SALUD Y BUENAS PRACTICAS EN PACIENTE ",IF(P304=#REF!,"CLINICA DE HERIDAS ",IF(P304=#REF!,"TOMA DE CITOLOGIA CERVICO VAGINAL ",IF(P304=#REF!,"SOPORTE CARDIOVASCULAR AVANZADO (ACLS) ",IF(P304=#REF!,"CAMILLERO ",IF(P304=#REF!,"TOMA DE MUESTRAS Y LABORATORIO ",IF(P304=#REF!,"SOPORTE VITAL BASICO (BLS)",IF(P304=#REF!,"ATENCION A VICTIMAS DE VIOLENCIA SEXUAL ",IF(P304=#REF!,"PROGRAMADO AMPLIADO DE INMUNIZACION (PAI - COVID 19)",IF(P304=#REF!,"ATENCION INTEGRAL EN ENFERMEDADES PREVALENTES EN PRIMERA INFANCIA (AIEPI)",IF(P304=#REF!,"ADMINISTRACION DE MEDICAMENTOS, INYECTOLOGIA  Y CANALIZACION ",IF(P304=#REF!,"OPERADOR DE VEHICULOS DE EMERGENCIA (OVE)",IF(P304=#REF!,"INSTITUCIONES AMIGAS DE LA MUJER Y LA INFANCIA (IAMI)",IF(P304=#REF!,"CUIDADO DEL DONANTE DE ORGANOS",IF(P304=#REF!,"ATENCION A VICTIMAS POR VIOLENCIA DE GENERO",IF(P304=#REF!,"IGUALDAD DE GENERO EN LA SALUD",IF(P304=#REF!,"BRIGADA DE EMERGENCIA",IF(P304=#REF!,"MANEJO DEL DOLOR Y CUIDADOS PALIATIVOS",IF(P304=#REF!,"TOMA DE MUESTRAS Y LABORATORIO POCT",IF(P304=#REF!,"IMPLANTE SUBDERMICO DE DISPOSITIVO INTRAUTERINO",IF(P304=#REF!,"SALUD MENTAL",IF(P304=#REF!,"PRIMEROS AUXILIOS PSICOLOGICOS",IF(P304=#REF!,"ATENCION A VICTIMAS POR CONFLICTO ARMADO",IF(P304=#REF!,"MANIPULACION DE ALIMENTOS Y BPM",IF(P304=#REF!,"ATENCION A PERSONAS CON DISCAPACIDAD",IF(P304=#REF!,"CUIDADO INTEGRAL DEL PACIENTE ADULTO",IF(P304=#REF!,"MANEJO DEFENSIVO",IF(P304=#REF!,"SOPORTE CARDIOVASCULAR AVANZADO NEONATAL",IF(P304=#REF!,"SEGURIDAD DEL PACIENTE",IF(P304=#REF!,"MANEJO DE RESIDUOS HOSPITALARIOS"))))))))))))))))))))))))))))))))))))</f>
        <v>#REF!</v>
      </c>
      <c r="W304" s="26" t="str">
        <f>CONCATENATE(E304," ",F304," ",C304," ",D304)</f>
        <v xml:space="preserve">Ingrith Vanesa Florez </v>
      </c>
      <c r="X304" s="26" t="str">
        <f t="shared" si="30"/>
        <v xml:space="preserve">Ingrith Vanesa Florez </v>
      </c>
      <c r="Y304" s="26" t="str">
        <f>CONCATENATE(W304,"-",B304,"-",P304)</f>
        <v>Ingrith Vanesa Florez -1004216066-ADMON DE MEDICAMENTOS</v>
      </c>
      <c r="Z304" s="35"/>
    </row>
    <row r="305" spans="1:26" x14ac:dyDescent="0.2">
      <c r="A305" s="20">
        <v>52</v>
      </c>
      <c r="B305" s="21">
        <v>1087421542</v>
      </c>
      <c r="C305" s="21" t="s">
        <v>144</v>
      </c>
      <c r="D305" s="21" t="s">
        <v>145</v>
      </c>
      <c r="E305" s="21" t="s">
        <v>146</v>
      </c>
      <c r="F305" s="21" t="s">
        <v>147</v>
      </c>
      <c r="G305" s="21">
        <v>13</v>
      </c>
      <c r="H305" s="21" t="s">
        <v>49</v>
      </c>
      <c r="I305" s="22" t="s">
        <v>376</v>
      </c>
      <c r="J305" s="22"/>
      <c r="K305" s="23">
        <v>45670</v>
      </c>
      <c r="L305" s="24">
        <v>30000</v>
      </c>
      <c r="M305" s="21" t="s">
        <v>106</v>
      </c>
      <c r="N305" s="21" t="s">
        <v>387</v>
      </c>
      <c r="O305" s="21" t="s">
        <v>95</v>
      </c>
      <c r="P305" s="21" t="s">
        <v>28</v>
      </c>
      <c r="Q305" s="22">
        <v>34799</v>
      </c>
      <c r="R305" s="21" t="s">
        <v>71</v>
      </c>
      <c r="S305" s="21" t="s">
        <v>148</v>
      </c>
      <c r="T305" s="21">
        <v>3182995233</v>
      </c>
      <c r="U305" s="21" t="s">
        <v>149</v>
      </c>
      <c r="V305" s="26" t="e">
        <f>IF(P305=#REF!,"DIPLOMADO EN ATENCION PRE-HOSPITALARIA",IF(P305=#REF!,"ACOMPAÑAMIENTO Y MANEJO DEL DUELO",IF(P305=#REF!,"ATENCION A VICTIMAS DE ATAQUE CON AGENTES QUIMICOS ",IF(P305=#REF!,"PRIMEROS AUXILIOS ",IF(P305=#REF!,"DIPLOMADO DE UNIDAD DE CUIDADOS INTENSIVOS (UCI)",IF(P305=#REF!,"MODELO DE ATENCION PARA EVENTOS EMERGENTES EN SALUD MENTAL (CODIGO VERDE)",IF(P305=#REF!,"HUMANIZACION EN EL SERVICIO DE LA SALUD Y BUENAS PRACTICAS EN PACIENTE ",IF(P305=#REF!,"CLINICA DE HERIDAS ",IF(P305=#REF!,"TOMA DE CITOLOGIA CERVICO VAGINAL ",IF(P305=#REF!,"SOPORTE CARDIOVASCULAR AVANZADO (ACLS) ",IF(P305=#REF!,"CAMILLERO ",IF(P305=#REF!,"TOMA DE MUESTRAS Y LABORATORIO ",IF(P305=#REF!,"SOPORTE VITAL BASICO (BLS)",IF(P305=#REF!,"ATENCION A VICTIMAS DE VIOLENCIA SEXUAL ",IF(P305=#REF!,"PROGRAMADO AMPLIADO DE INMUNIZACION (PAI - COVID 19)",IF(P305=#REF!,"ATENCION INTEGRAL EN ENFERMEDADES PREVALENTES EN PRIMERA INFANCIA (AIEPI)",IF(P305=#REF!,"ADMINISTRACION DE MEDICAMENTOS, INYECTOLOGIA  Y CANALIZACION ",IF(P305=#REF!,"OPERADOR DE VEHICULOS DE EMERGENCIA (OVE)",IF(P305=#REF!,"INSTITUCIONES AMIGAS DE LA MUJER Y LA INFANCIA (IAMI)",IF(P305=#REF!,"CUIDADO DEL DONANTE DE ORGANOS",IF(P305=#REF!,"ATENCION A VICTIMAS POR VIOLENCIA DE GENERO",IF(P305=#REF!,"IGUALDAD DE GENERO EN LA SALUD",IF(P305=#REF!,"BRIGADA DE EMERGENCIA",IF(P305=#REF!,"MANEJO DEL DOLOR Y CUIDADOS PALIATIVOS",IF(P305=#REF!,"TOMA DE MUESTRAS Y LABORATORIO POCT",IF(P305=#REF!,"IMPLANTE SUBDERMICO DE DISPOSITIVO INTRAUTERINO",IF(P305=#REF!,"SALUD MENTAL",IF(P305=#REF!,"PRIMEROS AUXILIOS PSICOLOGICOS",IF(P305=#REF!,"ATENCION A VICTIMAS POR CONFLICTO ARMADO",IF(P305=#REF!,"MANIPULACION DE ALIMENTOS Y BPM",IF(P305=#REF!,"ATENCION A PERSONAS CON DISCAPACIDAD",IF(P305=#REF!,"CUIDADO INTEGRAL DEL PACIENTE ADULTO",IF(P305=#REF!,"MANEJO DEFENSIVO",IF(P305=#REF!,"SOPORTE CARDIOVASCULAR AVANZADO NEONATAL",IF(P305=#REF!,"SEGURIDAD DEL PACIENTE",IF(P305=#REF!,"MANEJO DE RESIDUOS HOSPITALARIOS"))))))))))))))))))))))))))))))))))))</f>
        <v>#REF!</v>
      </c>
      <c r="W305" s="26" t="str">
        <f>CONCATENATE(E305," ",F305," ",C305," ",D305)</f>
        <v>Daniela Estephania Criollo Eraso</v>
      </c>
      <c r="X305" s="26" t="str">
        <f t="shared" si="30"/>
        <v>Daniela Estephania Criollo Eraso</v>
      </c>
      <c r="Y305" s="26" t="str">
        <f>CONCATENATE(W305,"-",B305,"-",P305)</f>
        <v>Daniela Estephania Criollo Eraso-1087421542-AIEPI</v>
      </c>
    </row>
    <row r="306" spans="1:26" x14ac:dyDescent="0.2">
      <c r="A306" s="20">
        <v>53</v>
      </c>
      <c r="B306" s="21">
        <v>1087421542</v>
      </c>
      <c r="C306" s="21" t="s">
        <v>144</v>
      </c>
      <c r="D306" s="21" t="s">
        <v>145</v>
      </c>
      <c r="E306" s="21" t="s">
        <v>146</v>
      </c>
      <c r="F306" s="21" t="s">
        <v>147</v>
      </c>
      <c r="G306" s="21">
        <v>13</v>
      </c>
      <c r="H306" s="21" t="s">
        <v>49</v>
      </c>
      <c r="I306" s="22" t="s">
        <v>376</v>
      </c>
      <c r="J306" s="22"/>
      <c r="K306" s="23">
        <v>45670</v>
      </c>
      <c r="L306" s="24">
        <v>30000</v>
      </c>
      <c r="M306" s="21" t="s">
        <v>106</v>
      </c>
      <c r="N306" s="21" t="s">
        <v>387</v>
      </c>
      <c r="O306" s="21" t="s">
        <v>95</v>
      </c>
      <c r="P306" s="21" t="s">
        <v>23</v>
      </c>
      <c r="Q306" s="22">
        <v>34799</v>
      </c>
      <c r="R306" s="21" t="s">
        <v>71</v>
      </c>
      <c r="S306" s="21" t="s">
        <v>148</v>
      </c>
      <c r="T306" s="21">
        <v>3182995233</v>
      </c>
      <c r="U306" s="21" t="s">
        <v>149</v>
      </c>
      <c r="V306" s="26" t="e">
        <f>IF(P306=#REF!,"DIPLOMADO EN ATENCION PRE-HOSPITALARIA",IF(P306=#REF!,"ACOMPAÑAMIENTO Y MANEJO DEL DUELO",IF(P306=#REF!,"ATENCION A VICTIMAS DE ATAQUE CON AGENTES QUIMICOS ",IF(P306=#REF!,"PRIMEROS AUXILIOS ",IF(P306=#REF!,"DIPLOMADO DE UNIDAD DE CUIDADOS INTENSIVOS (UCI)",IF(P306=#REF!,"MODELO DE ATENCION PARA EVENTOS EMERGENTES EN SALUD MENTAL (CODIGO VERDE)",IF(P306=#REF!,"HUMANIZACION EN EL SERVICIO DE LA SALUD Y BUENAS PRACTICAS EN PACIENTE ",IF(P306=#REF!,"CLINICA DE HERIDAS ",IF(P306=#REF!,"TOMA DE CITOLOGIA CERVICO VAGINAL ",IF(P306=#REF!,"SOPORTE CARDIOVASCULAR AVANZADO (ACLS) ",IF(P306=#REF!,"CAMILLERO ",IF(P306=#REF!,"TOMA DE MUESTRAS Y LABORATORIO ",IF(P306=#REF!,"SOPORTE VITAL BASICO (BLS)",IF(P306=#REF!,"ATENCION A VICTIMAS DE VIOLENCIA SEXUAL ",IF(P306=#REF!,"PROGRAMADO AMPLIADO DE INMUNIZACION (PAI - COVID 19)",IF(P306=#REF!,"ATENCION INTEGRAL EN ENFERMEDADES PREVALENTES EN PRIMERA INFANCIA (AIEPI)",IF(P306=#REF!,"ADMINISTRACION DE MEDICAMENTOS, INYECTOLOGIA  Y CANALIZACION ",IF(P306=#REF!,"OPERADOR DE VEHICULOS DE EMERGENCIA (OVE)",IF(P306=#REF!,"INSTITUCIONES AMIGAS DE LA MUJER Y LA INFANCIA (IAMI)",IF(P306=#REF!,"CUIDADO DEL DONANTE DE ORGANOS",IF(P306=#REF!,"ATENCION A VICTIMAS POR VIOLENCIA DE GENERO",IF(P306=#REF!,"IGUALDAD DE GENERO EN LA SALUD",IF(P306=#REF!,"BRIGADA DE EMERGENCIA",IF(P306=#REF!,"MANEJO DEL DOLOR Y CUIDADOS PALIATIVOS",IF(P306=#REF!,"TOMA DE MUESTRAS Y LABORATORIO POCT",IF(P306=#REF!,"IMPLANTE SUBDERMICO DE DISPOSITIVO INTRAUTERINO",IF(P306=#REF!,"SALUD MENTAL",IF(P306=#REF!,"PRIMEROS AUXILIOS PSICOLOGICOS",IF(P306=#REF!,"ATENCION A VICTIMAS POR CONFLICTO ARMADO",IF(P306=#REF!,"MANIPULACION DE ALIMENTOS Y BPM",IF(P306=#REF!,"ATENCION A PERSONAS CON DISCAPACIDAD",IF(P306=#REF!,"CUIDADO INTEGRAL DEL PACIENTE ADULTO",IF(P306=#REF!,"MANEJO DEFENSIVO",IF(P306=#REF!,"SOPORTE CARDIOVASCULAR AVANZADO NEONATAL",IF(P306=#REF!,"SEGURIDAD DEL PACIENTE",IF(P306=#REF!,"MANEJO DE RESIDUOS HOSPITALARIOS"))))))))))))))))))))))))))))))))))))</f>
        <v>#REF!</v>
      </c>
      <c r="W306" s="26" t="str">
        <f>CONCATENATE(E306," ",F306," ",C306," ",D306)</f>
        <v>Daniela Estephania Criollo Eraso</v>
      </c>
      <c r="X306" s="26" t="str">
        <f t="shared" si="30"/>
        <v>Daniela Estephania Criollo Eraso</v>
      </c>
      <c r="Y306" s="26" t="str">
        <f>CONCATENATE(W306,"-",B306,"-",P306)</f>
        <v>Daniela Estephania Criollo Eraso-1087421542-HUMANIZACION</v>
      </c>
    </row>
    <row r="307" spans="1:26" x14ac:dyDescent="0.2">
      <c r="A307" s="20">
        <v>54</v>
      </c>
      <c r="B307" s="21">
        <v>1085663691</v>
      </c>
      <c r="C307" s="21" t="s">
        <v>150</v>
      </c>
      <c r="D307" s="21" t="s">
        <v>151</v>
      </c>
      <c r="E307" s="21" t="s">
        <v>152</v>
      </c>
      <c r="F307" s="21" t="s">
        <v>153</v>
      </c>
      <c r="G307" s="21">
        <v>13</v>
      </c>
      <c r="H307" s="21" t="s">
        <v>49</v>
      </c>
      <c r="I307" s="22" t="s">
        <v>376</v>
      </c>
      <c r="J307" s="22"/>
      <c r="K307" s="23">
        <v>45670</v>
      </c>
      <c r="L307" s="24">
        <v>32000</v>
      </c>
      <c r="M307" s="21" t="s">
        <v>106</v>
      </c>
      <c r="N307" s="21" t="s">
        <v>387</v>
      </c>
      <c r="O307" s="21" t="s">
        <v>69</v>
      </c>
      <c r="P307" s="21" t="s">
        <v>19</v>
      </c>
      <c r="Q307" s="22">
        <v>35890</v>
      </c>
      <c r="R307" s="21" t="s">
        <v>71</v>
      </c>
      <c r="S307" s="21" t="s">
        <v>107</v>
      </c>
      <c r="T307" s="21">
        <v>3166952802</v>
      </c>
      <c r="U307" s="21" t="s">
        <v>154</v>
      </c>
      <c r="V307" s="26" t="e">
        <f>IF(P307=#REF!,"DIPLOMADO EN ATENCION PRE-HOSPITALARIA",IF(P307=#REF!,"ACOMPAÑAMIENTO Y MANEJO DEL DUELO",IF(P307=#REF!,"ATENCION A VICTIMAS DE ATAQUE CON AGENTES QUIMICOS ",IF(P307=#REF!,"PRIMEROS AUXILIOS ",IF(P307=#REF!,"DIPLOMADO DE UNIDAD DE CUIDADOS INTENSIVOS (UCI)",IF(P307=#REF!,"MODELO DE ATENCION PARA EVENTOS EMERGENTES EN SALUD MENTAL (CODIGO VERDE)",IF(P307=#REF!,"HUMANIZACION EN EL SERVICIO DE LA SALUD Y BUENAS PRACTICAS EN PACIENTE ",IF(P307=#REF!,"CLINICA DE HERIDAS ",IF(P307=#REF!,"TOMA DE CITOLOGIA CERVICO VAGINAL ",IF(P307=#REF!,"SOPORTE CARDIOVASCULAR AVANZADO (ACLS) ",IF(P307=#REF!,"CAMILLERO ",IF(P307=#REF!,"TOMA DE MUESTRAS Y LABORATORIO ",IF(P307=#REF!,"SOPORTE VITAL BASICO (BLS)",IF(P307=#REF!,"ATENCION A VICTIMAS DE VIOLENCIA SEXUAL ",IF(P307=#REF!,"PROGRAMADO AMPLIADO DE INMUNIZACION (PAI - COVID 19)",IF(P307=#REF!,"ATENCION INTEGRAL EN ENFERMEDADES PREVALENTES EN PRIMERA INFANCIA (AIEPI)",IF(P307=#REF!,"ADMINISTRACION DE MEDICAMENTOS, INYECTOLOGIA  Y CANALIZACION ",IF(P307=#REF!,"OPERADOR DE VEHICULOS DE EMERGENCIA (OVE)",IF(P307=#REF!,"INSTITUCIONES AMIGAS DE LA MUJER Y LA INFANCIA (IAMI)",IF(P307=#REF!,"CUIDADO DEL DONANTE DE ORGANOS",IF(P307=#REF!,"ATENCION A VICTIMAS POR VIOLENCIA DE GENERO",IF(P307=#REF!,"IGUALDAD DE GENERO EN LA SALUD",IF(P307=#REF!,"BRIGADA DE EMERGENCIA",IF(P307=#REF!,"MANEJO DEL DOLOR Y CUIDADOS PALIATIVOS",IF(P307=#REF!,"TOMA DE MUESTRAS Y LABORATORIO POCT",IF(P307=#REF!,"IMPLANTE SUBDERMICO DE DISPOSITIVO INTRAUTERINO",IF(P307=#REF!,"SALUD MENTAL",IF(P307=#REF!,"PRIMEROS AUXILIOS PSICOLOGICOS",IF(P307=#REF!,"ATENCION A VICTIMAS POR CONFLICTO ARMADO",IF(P307=#REF!,"MANIPULACION DE ALIMENTOS Y BPM",IF(P307=#REF!,"ATENCION A PERSONAS CON DISCAPACIDAD",IF(P307=#REF!,"CUIDADO INTEGRAL DEL PACIENTE ADULTO",IF(P307=#REF!,"MANEJO DEFENSIVO",IF(P307=#REF!,"SOPORTE CARDIOVASCULAR AVANZADO NEONATAL",IF(P307=#REF!,"SEGURIDAD DEL PACIENTE",IF(P307=#REF!,"MANEJO DE RESIDUOS HOSPITALARIOS"))))))))))))))))))))))))))))))))))))</f>
        <v>#REF!</v>
      </c>
      <c r="W307" s="26" t="str">
        <f>CONCATENATE(E307," ",F307," ",C307," ",D307)</f>
        <v>Yuliana Yiceth Rodriguez Muñoz</v>
      </c>
      <c r="X307" s="26" t="str">
        <f t="shared" si="30"/>
        <v>Yuliana Yiceth Rodriguez Muñoz</v>
      </c>
      <c r="Y307" s="26" t="str">
        <f>CONCATENATE(W307,"-",B307,"-",P307)</f>
        <v>Yuliana Yiceth Rodriguez Muñoz-1085663691-BLS</v>
      </c>
    </row>
    <row r="308" spans="1:26" x14ac:dyDescent="0.2">
      <c r="A308" s="36">
        <v>55</v>
      </c>
      <c r="B308" s="37">
        <v>1085663691</v>
      </c>
      <c r="C308" s="37" t="s">
        <v>150</v>
      </c>
      <c r="D308" s="37" t="s">
        <v>151</v>
      </c>
      <c r="E308" s="37" t="s">
        <v>152</v>
      </c>
      <c r="F308" s="37" t="s">
        <v>153</v>
      </c>
      <c r="G308" s="37">
        <v>13</v>
      </c>
      <c r="H308" s="37" t="s">
        <v>49</v>
      </c>
      <c r="I308" s="38" t="s">
        <v>376</v>
      </c>
      <c r="J308" s="38"/>
      <c r="K308" s="39">
        <v>45670</v>
      </c>
      <c r="L308" s="40">
        <v>32000</v>
      </c>
      <c r="M308" s="37" t="s">
        <v>106</v>
      </c>
      <c r="N308" s="37" t="s">
        <v>387</v>
      </c>
      <c r="O308" s="37" t="s">
        <v>69</v>
      </c>
      <c r="P308" s="37" t="s">
        <v>27</v>
      </c>
      <c r="Q308" s="38">
        <v>35890</v>
      </c>
      <c r="R308" s="37" t="s">
        <v>71</v>
      </c>
      <c r="S308" s="37" t="s">
        <v>107</v>
      </c>
      <c r="T308" s="37">
        <v>3166952802</v>
      </c>
      <c r="U308" s="45" t="s">
        <v>154</v>
      </c>
      <c r="V308" s="41" t="e">
        <f>IF(P308=#REF!,"DIPLOMADO EN ATENCION PRE-HOSPITALARIA",IF(P308=#REF!,"ACOMPAÑAMIENTO Y MANEJO DEL DUELO",IF(P308=#REF!,"ATENCION A VICTIMAS DE ATAQUE CON AGENTES QUIMICOS ",IF(P308=#REF!,"PRIMEROS AUXILIOS ",IF(P308=#REF!,"DIPLOMADO DE UNIDAD DE CUIDADOS INTENSIVOS (UCI)",IF(P308=#REF!,"MODELO DE ATENCION PARA EVENTOS EMERGENTES EN SALUD MENTAL (CODIGO VERDE)",IF(P308=#REF!,"HUMANIZACION EN EL SERVICIO DE LA SALUD Y BUENAS PRACTICAS EN PACIENTE ",IF(P308=#REF!,"CLINICA DE HERIDAS ",IF(P308=#REF!,"TOMA DE CITOLOGIA CERVICO VAGINAL ",IF(P308=#REF!,"SOPORTE CARDIOVASCULAR AVANZADO (ACLS) ",IF(P308=#REF!,"CAMILLERO ",IF(P308=#REF!,"TOMA DE MUESTRAS Y LABORATORIO ",IF(P308=#REF!,"SOPORTE VITAL BASICO (BLS)",IF(P308=#REF!,"ATENCION A VICTIMAS DE VIOLENCIA SEXUAL ",IF(P308=#REF!,"PROGRAMADO AMPLIADO DE INMUNIZACION (PAI - COVID 19)",IF(P308=#REF!,"ATENCION INTEGRAL EN ENFERMEDADES PREVALENTES EN PRIMERA INFANCIA (AIEPI)",IF(P308=#REF!,"ADMINISTRACION DE MEDICAMENTOS, INYECTOLOGIA  Y CANALIZACION ",IF(P308=#REF!,"OPERADOR DE VEHICULOS DE EMERGENCIA (OVE)",IF(P308=#REF!,"INSTITUCIONES AMIGAS DE LA MUJER Y LA INFANCIA (IAMI)",IF(P308=#REF!,"CUIDADO DEL DONANTE DE ORGANOS",IF(P308=#REF!,"ATENCION A VICTIMAS POR VIOLENCIA DE GENERO",IF(P308=#REF!,"IGUALDAD DE GENERO EN LA SALUD",IF(P308=#REF!,"BRIGADA DE EMERGENCIA",IF(P308=#REF!,"MANEJO DEL DOLOR Y CUIDADOS PALIATIVOS",IF(P308=#REF!,"TOMA DE MUESTRAS Y LABORATORIO POCT",IF(P308=#REF!,"IMPLANTE SUBDERMICO DE DISPOSITIVO INTRAUTERINO",IF(P308=#REF!,"SALUD MENTAL",IF(P308=#REF!,"PRIMEROS AUXILIOS PSICOLOGICOS",IF(P308=#REF!,"ATENCION A VICTIMAS POR CONFLICTO ARMADO",IF(P308=#REF!,"MANIPULACION DE ALIMENTOS Y BPM",IF(P308=#REF!,"ATENCION A PERSONAS CON DISCAPACIDAD",IF(P308=#REF!,"CUIDADO INTEGRAL DEL PACIENTE ADULTO",IF(P308=#REF!,"MANEJO DEFENSIVO",IF(P308=#REF!,"SOPORTE CARDIOVASCULAR AVANZADO NEONATAL",IF(P308=#REF!,"SEGURIDAD DEL PACIENTE",IF(P308=#REF!,"MANEJO DE RESIDUOS HOSPITALARIOS"))))))))))))))))))))))))))))))))))))</f>
        <v>#REF!</v>
      </c>
      <c r="W308" s="41" t="str">
        <f>CONCATENATE(E308," ",F308," ",C308," ",D308)</f>
        <v>Yuliana Yiceth Rodriguez Muñoz</v>
      </c>
      <c r="X308" s="41" t="str">
        <f t="shared" si="30"/>
        <v>Yuliana Yiceth Rodriguez Muñoz</v>
      </c>
      <c r="Y308" s="41" t="str">
        <f>CONCATENATE(W308,"-",B308,"-",P308)</f>
        <v>Yuliana Yiceth Rodriguez Muñoz-1085663691-VIOLENCIA SEXUAL</v>
      </c>
    </row>
    <row r="309" spans="1:26" s="19" customFormat="1" x14ac:dyDescent="0.2">
      <c r="A309" s="20">
        <v>56</v>
      </c>
      <c r="B309" s="21">
        <v>12845773</v>
      </c>
      <c r="C309" s="21" t="s">
        <v>155</v>
      </c>
      <c r="D309" s="21" t="s">
        <v>156</v>
      </c>
      <c r="E309" s="21" t="s">
        <v>157</v>
      </c>
      <c r="F309" s="21" t="s">
        <v>158</v>
      </c>
      <c r="G309" s="21">
        <v>14</v>
      </c>
      <c r="H309" s="21" t="s">
        <v>49</v>
      </c>
      <c r="I309" s="22" t="s">
        <v>376</v>
      </c>
      <c r="J309" s="22"/>
      <c r="K309" s="23">
        <v>45671</v>
      </c>
      <c r="L309" s="24">
        <v>32000</v>
      </c>
      <c r="M309" s="21" t="s">
        <v>79</v>
      </c>
      <c r="N309" s="21" t="s">
        <v>387</v>
      </c>
      <c r="O309" s="21" t="s">
        <v>69</v>
      </c>
      <c r="P309" s="21" t="s">
        <v>19</v>
      </c>
      <c r="Q309" s="22">
        <v>31309</v>
      </c>
      <c r="R309" s="21" t="s">
        <v>70</v>
      </c>
      <c r="S309" s="21" t="s">
        <v>107</v>
      </c>
      <c r="T309" s="21">
        <v>3126390978</v>
      </c>
      <c r="U309" s="21" t="s">
        <v>159</v>
      </c>
      <c r="V309" s="26" t="e">
        <f>IF(P309=#REF!,"DIPLOMADO EN ATENCION PRE-HOSPITALARIA",IF(P309=#REF!,"ACOMPAÑAMIENTO Y MANEJO DEL DUELO",IF(P309=#REF!,"ATENCION A VICTIMAS DE ATAQUE CON AGENTES QUIMICOS ",IF(P309=#REF!,"PRIMEROS AUXILIOS ",IF(P309=#REF!,"DIPLOMADO DE UNIDAD DE CUIDADOS INTENSIVOS (UCI)",IF(P309=#REF!,"MODELO DE ATENCION PARA EVENTOS EMERGENTES EN SALUD MENTAL (CODIGO VERDE)",IF(P309=#REF!,"HUMANIZACION EN EL SERVICIO DE LA SALUD Y BUENAS PRACTICAS EN PACIENTE ",IF(P309=#REF!,"CLINICA DE HERIDAS ",IF(P309=#REF!,"TOMA DE CITOLOGIA CERVICO VAGINAL ",IF(P309=#REF!,"SOPORTE CARDIOVASCULAR AVANZADO (ACLS) ",IF(P309=#REF!,"CAMILLERO ",IF(P309=#REF!,"TOMA DE MUESTRAS Y LABORATORIO ",IF(P309=#REF!,"SOPORTE VITAL BASICO (BLS)",IF(P309=#REF!,"ATENCION A VICTIMAS DE VIOLENCIA SEXUAL ",IF(P309=#REF!,"PROGRAMADO AMPLIADO DE INMUNIZACION (PAI - COVID 19)",IF(P309=#REF!,"ATENCION INTEGRAL EN ENFERMEDADES PREVALENTES EN PRIMERA INFANCIA (AIEPI)",IF(P309=#REF!,"ADMINISTRACION DE MEDICAMENTOS, INYECTOLOGIA  Y CANALIZACION ",IF(P309=#REF!,"OPERADOR DE VEHICULOS DE EMERGENCIA (OVE)",IF(P309=#REF!,"INSTITUCIONES AMIGAS DE LA MUJER Y LA INFANCIA (IAMI)",IF(P309=#REF!,"CUIDADO DEL DONANTE DE ORGANOS",IF(P309=#REF!,"ATENCION A VICTIMAS POR VIOLENCIA DE GENERO",IF(P309=#REF!,"IGUALDAD DE GENERO EN LA SALUD",IF(P309=#REF!,"BRIGADA DE EMERGENCIA",IF(P309=#REF!,"MANEJO DEL DOLOR Y CUIDADOS PALIATIVOS",IF(P309=#REF!,"TOMA DE MUESTRAS Y LABORATORIO POCT",IF(P309=#REF!,"IMPLANTE SUBDERMICO DE DISPOSITIVO INTRAUTERINO",IF(P309=#REF!,"SALUD MENTAL",IF(P309=#REF!,"PRIMEROS AUXILIOS PSICOLOGICOS",IF(P309=#REF!,"ATENCION A VICTIMAS POR CONFLICTO ARMADO",IF(P309=#REF!,"MANIPULACION DE ALIMENTOS Y BPM",IF(P309=#REF!,"ATENCION A PERSONAS CON DISCAPACIDAD",IF(P309=#REF!,"CUIDADO INTEGRAL DEL PACIENTE ADULTO",IF(P309=#REF!,"MANEJO DEFENSIVO",IF(P309=#REF!,"SOPORTE CARDIOVASCULAR AVANZADO NEONATAL",IF(P309=#REF!,"SEGURIDAD DEL PACIENTE",IF(P309=#REF!,"MANEJO DE RESIDUOS HOSPITALARIOS"))))))))))))))))))))))))))))))))))))</f>
        <v>#REF!</v>
      </c>
      <c r="W309" s="26" t="str">
        <f>CONCATENATE(E309," ",F309," ",C309," ",D309)</f>
        <v>Jose Luban Popayan Cordoba</v>
      </c>
      <c r="X309" s="26" t="str">
        <f t="shared" si="30"/>
        <v>Jose Luban Popayan Cordoba</v>
      </c>
      <c r="Y309" s="26" t="str">
        <f>CONCATENATE(W309,"-",B309,"-",P309)</f>
        <v>Jose Luban Popayan Cordoba-12845773-BLS</v>
      </c>
    </row>
    <row r="310" spans="1:26" s="19" customFormat="1" x14ac:dyDescent="0.2">
      <c r="A310" s="20">
        <v>57</v>
      </c>
      <c r="B310" s="21">
        <v>1086548383</v>
      </c>
      <c r="C310" s="21" t="s">
        <v>160</v>
      </c>
      <c r="D310" s="21" t="s">
        <v>161</v>
      </c>
      <c r="E310" s="21" t="s">
        <v>162</v>
      </c>
      <c r="F310" s="21" t="s">
        <v>105</v>
      </c>
      <c r="G310" s="21">
        <v>14</v>
      </c>
      <c r="H310" s="21" t="s">
        <v>49</v>
      </c>
      <c r="I310" s="22" t="s">
        <v>376</v>
      </c>
      <c r="J310" s="22"/>
      <c r="K310" s="23">
        <v>45671</v>
      </c>
      <c r="L310" s="24">
        <v>32000</v>
      </c>
      <c r="M310" s="21" t="s">
        <v>79</v>
      </c>
      <c r="N310" s="21" t="s">
        <v>387</v>
      </c>
      <c r="O310" s="21" t="s">
        <v>69</v>
      </c>
      <c r="P310" s="21" t="s">
        <v>19</v>
      </c>
      <c r="Q310" s="22">
        <v>31885</v>
      </c>
      <c r="R310" s="21" t="s">
        <v>71</v>
      </c>
      <c r="S310" s="21" t="s">
        <v>107</v>
      </c>
      <c r="T310" s="21">
        <v>3108237443</v>
      </c>
      <c r="U310" s="21" t="s">
        <v>163</v>
      </c>
      <c r="V310" s="26" t="e">
        <f>IF(P310=#REF!,"DIPLOMADO EN ATENCION PRE-HOSPITALARIA",IF(P310=#REF!,"ACOMPAÑAMIENTO Y MANEJO DEL DUELO",IF(P310=#REF!,"ATENCION A VICTIMAS DE ATAQUE CON AGENTES QUIMICOS ",IF(P310=#REF!,"PRIMEROS AUXILIOS ",IF(P310=#REF!,"DIPLOMADO DE UNIDAD DE CUIDADOS INTENSIVOS (UCI)",IF(P310=#REF!,"MODELO DE ATENCION PARA EVENTOS EMERGENTES EN SALUD MENTAL (CODIGO VERDE)",IF(P310=#REF!,"HUMANIZACION EN EL SERVICIO DE LA SALUD Y BUENAS PRACTICAS EN PACIENTE ",IF(P310=#REF!,"CLINICA DE HERIDAS ",IF(P310=#REF!,"TOMA DE CITOLOGIA CERVICO VAGINAL ",IF(P310=#REF!,"SOPORTE CARDIOVASCULAR AVANZADO (ACLS) ",IF(P310=#REF!,"CAMILLERO ",IF(P310=#REF!,"TOMA DE MUESTRAS Y LABORATORIO ",IF(P310=#REF!,"SOPORTE VITAL BASICO (BLS)",IF(P310=#REF!,"ATENCION A VICTIMAS DE VIOLENCIA SEXUAL ",IF(P310=#REF!,"PROGRAMADO AMPLIADO DE INMUNIZACION (PAI - COVID 19)",IF(P310=#REF!,"ATENCION INTEGRAL EN ENFERMEDADES PREVALENTES EN PRIMERA INFANCIA (AIEPI)",IF(P310=#REF!,"ADMINISTRACION DE MEDICAMENTOS, INYECTOLOGIA  Y CANALIZACION ",IF(P310=#REF!,"OPERADOR DE VEHICULOS DE EMERGENCIA (OVE)",IF(P310=#REF!,"INSTITUCIONES AMIGAS DE LA MUJER Y LA INFANCIA (IAMI)",IF(P310=#REF!,"CUIDADO DEL DONANTE DE ORGANOS",IF(P310=#REF!,"ATENCION A VICTIMAS POR VIOLENCIA DE GENERO",IF(P310=#REF!,"IGUALDAD DE GENERO EN LA SALUD",IF(P310=#REF!,"BRIGADA DE EMERGENCIA",IF(P310=#REF!,"MANEJO DEL DOLOR Y CUIDADOS PALIATIVOS",IF(P310=#REF!,"TOMA DE MUESTRAS Y LABORATORIO POCT",IF(P310=#REF!,"IMPLANTE SUBDERMICO DE DISPOSITIVO INTRAUTERINO",IF(P310=#REF!,"SALUD MENTAL",IF(P310=#REF!,"PRIMEROS AUXILIOS PSICOLOGICOS",IF(P310=#REF!,"ATENCION A VICTIMAS POR CONFLICTO ARMADO",IF(P310=#REF!,"MANIPULACION DE ALIMENTOS Y BPM",IF(P310=#REF!,"ATENCION A PERSONAS CON DISCAPACIDAD",IF(P310=#REF!,"CUIDADO INTEGRAL DEL PACIENTE ADULTO",IF(P310=#REF!,"MANEJO DEFENSIVO",IF(P310=#REF!,"SOPORTE CARDIOVASCULAR AVANZADO NEONATAL",IF(P310=#REF!,"SEGURIDAD DEL PACIENTE",IF(P310=#REF!,"MANEJO DE RESIDUOS HOSPITALARIOS"))))))))))))))))))))))))))))))))))))</f>
        <v>#REF!</v>
      </c>
      <c r="W310" s="26" t="str">
        <f>CONCATENATE(E310," ",F310," ",C310," ",D310)</f>
        <v>Marly Paola Gomez Coronel</v>
      </c>
      <c r="X310" s="26" t="str">
        <f t="shared" si="30"/>
        <v>Marly Paola Gomez Coronel</v>
      </c>
      <c r="Y310" s="26" t="str">
        <f>CONCATENATE(W310,"-",B310,"-",P310)</f>
        <v>Marly Paola Gomez Coronel-1086548383-BLS</v>
      </c>
    </row>
    <row r="311" spans="1:26" s="19" customFormat="1" x14ac:dyDescent="0.2">
      <c r="A311" s="20">
        <v>58</v>
      </c>
      <c r="B311" s="21">
        <v>1086548383</v>
      </c>
      <c r="C311" s="21" t="s">
        <v>160</v>
      </c>
      <c r="D311" s="21" t="s">
        <v>161</v>
      </c>
      <c r="E311" s="21" t="s">
        <v>162</v>
      </c>
      <c r="F311" s="21" t="s">
        <v>105</v>
      </c>
      <c r="G311" s="21">
        <v>13</v>
      </c>
      <c r="H311" s="21" t="s">
        <v>49</v>
      </c>
      <c r="I311" s="22" t="s">
        <v>376</v>
      </c>
      <c r="J311" s="22"/>
      <c r="K311" s="23">
        <v>45671</v>
      </c>
      <c r="L311" s="24">
        <v>32000</v>
      </c>
      <c r="M311" s="21" t="s">
        <v>79</v>
      </c>
      <c r="N311" s="21" t="s">
        <v>387</v>
      </c>
      <c r="O311" s="21" t="s">
        <v>69</v>
      </c>
      <c r="P311" s="21" t="s">
        <v>23</v>
      </c>
      <c r="Q311" s="22">
        <v>31885</v>
      </c>
      <c r="R311" s="21" t="s">
        <v>71</v>
      </c>
      <c r="S311" s="21" t="s">
        <v>107</v>
      </c>
      <c r="T311" s="21">
        <v>3108237443</v>
      </c>
      <c r="U311" s="21" t="s">
        <v>163</v>
      </c>
      <c r="V311" s="26" t="e">
        <f>IF(P311=#REF!,"DIPLOMADO EN ATENCION PRE-HOSPITALARIA",IF(P311=#REF!,"ACOMPAÑAMIENTO Y MANEJO DEL DUELO",IF(P311=#REF!,"ATENCION A VICTIMAS DE ATAQUE CON AGENTES QUIMICOS ",IF(P311=#REF!,"PRIMEROS AUXILIOS ",IF(P311=#REF!,"DIPLOMADO DE UNIDAD DE CUIDADOS INTENSIVOS (UCI)",IF(P311=#REF!,"MODELO DE ATENCION PARA EVENTOS EMERGENTES EN SALUD MENTAL (CODIGO VERDE)",IF(P311=#REF!,"HUMANIZACION EN EL SERVICIO DE LA SALUD Y BUENAS PRACTICAS EN PACIENTE ",IF(P311=#REF!,"CLINICA DE HERIDAS ",IF(P311=#REF!,"TOMA DE CITOLOGIA CERVICO VAGINAL ",IF(P311=#REF!,"SOPORTE CARDIOVASCULAR AVANZADO (ACLS) ",IF(P311=#REF!,"CAMILLERO ",IF(P311=#REF!,"TOMA DE MUESTRAS Y LABORATORIO ",IF(P311=#REF!,"SOPORTE VITAL BASICO (BLS)",IF(P311=#REF!,"ATENCION A VICTIMAS DE VIOLENCIA SEXUAL ",IF(P311=#REF!,"PROGRAMADO AMPLIADO DE INMUNIZACION (PAI - COVID 19)",IF(P311=#REF!,"ATENCION INTEGRAL EN ENFERMEDADES PREVALENTES EN PRIMERA INFANCIA (AIEPI)",IF(P311=#REF!,"ADMINISTRACION DE MEDICAMENTOS, INYECTOLOGIA  Y CANALIZACION ",IF(P311=#REF!,"OPERADOR DE VEHICULOS DE EMERGENCIA (OVE)",IF(P311=#REF!,"INSTITUCIONES AMIGAS DE LA MUJER Y LA INFANCIA (IAMI)",IF(P311=#REF!,"CUIDADO DEL DONANTE DE ORGANOS",IF(P311=#REF!,"ATENCION A VICTIMAS POR VIOLENCIA DE GENERO",IF(P311=#REF!,"IGUALDAD DE GENERO EN LA SALUD",IF(P311=#REF!,"BRIGADA DE EMERGENCIA",IF(P311=#REF!,"MANEJO DEL DOLOR Y CUIDADOS PALIATIVOS",IF(P311=#REF!,"TOMA DE MUESTRAS Y LABORATORIO POCT",IF(P311=#REF!,"IMPLANTE SUBDERMICO DE DISPOSITIVO INTRAUTERINO",IF(P311=#REF!,"SALUD MENTAL",IF(P311=#REF!,"PRIMEROS AUXILIOS PSICOLOGICOS",IF(P311=#REF!,"ATENCION A VICTIMAS POR CONFLICTO ARMADO",IF(P311=#REF!,"MANIPULACION DE ALIMENTOS Y BPM",IF(P311=#REF!,"ATENCION A PERSONAS CON DISCAPACIDAD",IF(P311=#REF!,"CUIDADO INTEGRAL DEL PACIENTE ADULTO",IF(P311=#REF!,"MANEJO DEFENSIVO",IF(P311=#REF!,"SOPORTE CARDIOVASCULAR AVANZADO NEONATAL",IF(P311=#REF!,"SEGURIDAD DEL PACIENTE",IF(P311=#REF!,"MANEJO DE RESIDUOS HOSPITALARIOS"))))))))))))))))))))))))))))))))))))</f>
        <v>#REF!</v>
      </c>
      <c r="W311" s="26" t="str">
        <f>CONCATENATE(E311," ",F311," ",C311," ",D311)</f>
        <v>Marly Paola Gomez Coronel</v>
      </c>
      <c r="X311" s="26" t="str">
        <f t="shared" si="30"/>
        <v>Marly Paola Gomez Coronel</v>
      </c>
      <c r="Y311" s="26" t="str">
        <f>CONCATENATE(W311,"-",B311,"-",P311)</f>
        <v>Marly Paola Gomez Coronel-1086548383-HUMANIZACION</v>
      </c>
    </row>
    <row r="312" spans="1:26" s="19" customFormat="1" x14ac:dyDescent="0.2">
      <c r="A312" s="20">
        <v>59</v>
      </c>
      <c r="B312" s="21">
        <v>1086548383</v>
      </c>
      <c r="C312" s="21" t="s">
        <v>160</v>
      </c>
      <c r="D312" s="21" t="s">
        <v>161</v>
      </c>
      <c r="E312" s="21" t="s">
        <v>162</v>
      </c>
      <c r="F312" s="21" t="s">
        <v>105</v>
      </c>
      <c r="G312" s="21">
        <v>11</v>
      </c>
      <c r="H312" s="21" t="s">
        <v>49</v>
      </c>
      <c r="I312" s="22" t="s">
        <v>376</v>
      </c>
      <c r="J312" s="22"/>
      <c r="K312" s="23">
        <v>45671</v>
      </c>
      <c r="L312" s="24">
        <v>32000</v>
      </c>
      <c r="M312" s="21" t="s">
        <v>79</v>
      </c>
      <c r="N312" s="21" t="s">
        <v>387</v>
      </c>
      <c r="O312" s="21" t="s">
        <v>69</v>
      </c>
      <c r="P312" s="21" t="s">
        <v>20</v>
      </c>
      <c r="Q312" s="22">
        <v>31885</v>
      </c>
      <c r="R312" s="21" t="s">
        <v>71</v>
      </c>
      <c r="S312" s="21" t="s">
        <v>107</v>
      </c>
      <c r="T312" s="21">
        <v>3108237443</v>
      </c>
      <c r="U312" s="21" t="s">
        <v>163</v>
      </c>
      <c r="V312" s="26" t="e">
        <f>IF(P312=#REF!,"DIPLOMADO EN ATENCION PRE-HOSPITALARIA",IF(P312=#REF!,"ACOMPAÑAMIENTO Y MANEJO DEL DUELO",IF(P312=#REF!,"ATENCION A VICTIMAS DE ATAQUE CON AGENTES QUIMICOS ",IF(P312=#REF!,"PRIMEROS AUXILIOS ",IF(P312=#REF!,"DIPLOMADO DE UNIDAD DE CUIDADOS INTENSIVOS (UCI)",IF(P312=#REF!,"MODELO DE ATENCION PARA EVENTOS EMERGENTES EN SALUD MENTAL (CODIGO VERDE)",IF(P312=#REF!,"HUMANIZACION EN EL SERVICIO DE LA SALUD Y BUENAS PRACTICAS EN PACIENTE ",IF(P312=#REF!,"CLINICA DE HERIDAS ",IF(P312=#REF!,"TOMA DE CITOLOGIA CERVICO VAGINAL ",IF(P312=#REF!,"SOPORTE CARDIOVASCULAR AVANZADO (ACLS) ",IF(P312=#REF!,"CAMILLERO ",IF(P312=#REF!,"TOMA DE MUESTRAS Y LABORATORIO ",IF(P312=#REF!,"SOPORTE VITAL BASICO (BLS)",IF(P312=#REF!,"ATENCION A VICTIMAS DE VIOLENCIA SEXUAL ",IF(P312=#REF!,"PROGRAMADO AMPLIADO DE INMUNIZACION (PAI - COVID 19)",IF(P312=#REF!,"ATENCION INTEGRAL EN ENFERMEDADES PREVALENTES EN PRIMERA INFANCIA (AIEPI)",IF(P312=#REF!,"ADMINISTRACION DE MEDICAMENTOS, INYECTOLOGIA  Y CANALIZACION ",IF(P312=#REF!,"OPERADOR DE VEHICULOS DE EMERGENCIA (OVE)",IF(P312=#REF!,"INSTITUCIONES AMIGAS DE LA MUJER Y LA INFANCIA (IAMI)",IF(P312=#REF!,"CUIDADO DEL DONANTE DE ORGANOS",IF(P312=#REF!,"ATENCION A VICTIMAS POR VIOLENCIA DE GENERO",IF(P312=#REF!,"IGUALDAD DE GENERO EN LA SALUD",IF(P312=#REF!,"BRIGADA DE EMERGENCIA",IF(P312=#REF!,"MANEJO DEL DOLOR Y CUIDADOS PALIATIVOS",IF(P312=#REF!,"TOMA DE MUESTRAS Y LABORATORIO POCT",IF(P312=#REF!,"IMPLANTE SUBDERMICO DE DISPOSITIVO INTRAUTERINO",IF(P312=#REF!,"SALUD MENTAL",IF(P312=#REF!,"PRIMEROS AUXILIOS PSICOLOGICOS",IF(P312=#REF!,"ATENCION A VICTIMAS POR CONFLICTO ARMADO",IF(P312=#REF!,"MANIPULACION DE ALIMENTOS Y BPM",IF(P312=#REF!,"ATENCION A PERSONAS CON DISCAPACIDAD",IF(P312=#REF!,"CUIDADO INTEGRAL DEL PACIENTE ADULTO",IF(P312=#REF!,"MANEJO DEFENSIVO",IF(P312=#REF!,"SOPORTE CARDIOVASCULAR AVANZADO NEONATAL",IF(P312=#REF!,"SEGURIDAD DEL PACIENTE",IF(P312=#REF!,"MANEJO DE RESIDUOS HOSPITALARIOS"))))))))))))))))))))))))))))))))))))</f>
        <v>#REF!</v>
      </c>
      <c r="W312" s="26" t="str">
        <f>CONCATENATE(E312," ",F312," ",C312," ",D312)</f>
        <v>Marly Paola Gomez Coronel</v>
      </c>
      <c r="X312" s="26" t="str">
        <f t="shared" si="30"/>
        <v>Marly Paola Gomez Coronel</v>
      </c>
      <c r="Y312" s="26" t="str">
        <f>CONCATENATE(W312,"-",B312,"-",P312)</f>
        <v>Marly Paola Gomez Coronel-1086548383-DUELO</v>
      </c>
    </row>
    <row r="313" spans="1:26" s="19" customFormat="1" x14ac:dyDescent="0.2">
      <c r="A313" s="20">
        <v>60</v>
      </c>
      <c r="B313" s="21">
        <v>1086548383</v>
      </c>
      <c r="C313" s="21" t="s">
        <v>160</v>
      </c>
      <c r="D313" s="21" t="s">
        <v>161</v>
      </c>
      <c r="E313" s="21" t="s">
        <v>162</v>
      </c>
      <c r="F313" s="21" t="s">
        <v>105</v>
      </c>
      <c r="G313" s="21">
        <v>10</v>
      </c>
      <c r="H313" s="21" t="s">
        <v>49</v>
      </c>
      <c r="I313" s="22" t="s">
        <v>376</v>
      </c>
      <c r="J313" s="22"/>
      <c r="K313" s="23">
        <v>45671</v>
      </c>
      <c r="L313" s="24">
        <v>32000</v>
      </c>
      <c r="M313" s="21" t="s">
        <v>79</v>
      </c>
      <c r="N313" s="21" t="s">
        <v>387</v>
      </c>
      <c r="O313" s="21" t="s">
        <v>69</v>
      </c>
      <c r="P313" s="21" t="s">
        <v>21</v>
      </c>
      <c r="Q313" s="22">
        <v>31885</v>
      </c>
      <c r="R313" s="21" t="s">
        <v>71</v>
      </c>
      <c r="S313" s="21" t="s">
        <v>107</v>
      </c>
      <c r="T313" s="21">
        <v>3108237443</v>
      </c>
      <c r="U313" s="21" t="s">
        <v>163</v>
      </c>
      <c r="V313" s="26" t="e">
        <f>IF(P313=#REF!,"DIPLOMADO EN ATENCION PRE-HOSPITALARIA",IF(P313=#REF!,"ACOMPAÑAMIENTO Y MANEJO DEL DUELO",IF(P313=#REF!,"ATENCION A VICTIMAS DE ATAQUE CON AGENTES QUIMICOS ",IF(P313=#REF!,"PRIMEROS AUXILIOS ",IF(P313=#REF!,"DIPLOMADO DE UNIDAD DE CUIDADOS INTENSIVOS (UCI)",IF(P313=#REF!,"MODELO DE ATENCION PARA EVENTOS EMERGENTES EN SALUD MENTAL (CODIGO VERDE)",IF(P313=#REF!,"HUMANIZACION EN EL SERVICIO DE LA SALUD Y BUENAS PRACTICAS EN PACIENTE ",IF(P313=#REF!,"CLINICA DE HERIDAS ",IF(P313=#REF!,"TOMA DE CITOLOGIA CERVICO VAGINAL ",IF(P313=#REF!,"SOPORTE CARDIOVASCULAR AVANZADO (ACLS) ",IF(P313=#REF!,"CAMILLERO ",IF(P313=#REF!,"TOMA DE MUESTRAS Y LABORATORIO ",IF(P313=#REF!,"SOPORTE VITAL BASICO (BLS)",IF(P313=#REF!,"ATENCION A VICTIMAS DE VIOLENCIA SEXUAL ",IF(P313=#REF!,"PROGRAMADO AMPLIADO DE INMUNIZACION (PAI - COVID 19)",IF(P313=#REF!,"ATENCION INTEGRAL EN ENFERMEDADES PREVALENTES EN PRIMERA INFANCIA (AIEPI)",IF(P313=#REF!,"ADMINISTRACION DE MEDICAMENTOS, INYECTOLOGIA  Y CANALIZACION ",IF(P313=#REF!,"OPERADOR DE VEHICULOS DE EMERGENCIA (OVE)",IF(P313=#REF!,"INSTITUCIONES AMIGAS DE LA MUJER Y LA INFANCIA (IAMI)",IF(P313=#REF!,"CUIDADO DEL DONANTE DE ORGANOS",IF(P313=#REF!,"ATENCION A VICTIMAS POR VIOLENCIA DE GENERO",IF(P313=#REF!,"IGUALDAD DE GENERO EN LA SALUD",IF(P313=#REF!,"BRIGADA DE EMERGENCIA",IF(P313=#REF!,"MANEJO DEL DOLOR Y CUIDADOS PALIATIVOS",IF(P313=#REF!,"TOMA DE MUESTRAS Y LABORATORIO POCT",IF(P313=#REF!,"IMPLANTE SUBDERMICO DE DISPOSITIVO INTRAUTERINO",IF(P313=#REF!,"SALUD MENTAL",IF(P313=#REF!,"PRIMEROS AUXILIOS PSICOLOGICOS",IF(P313=#REF!,"ATENCION A VICTIMAS POR CONFLICTO ARMADO",IF(P313=#REF!,"MANIPULACION DE ALIMENTOS Y BPM",IF(P313=#REF!,"ATENCION A PERSONAS CON DISCAPACIDAD",IF(P313=#REF!,"CUIDADO INTEGRAL DEL PACIENTE ADULTO",IF(P313=#REF!,"MANEJO DEFENSIVO",IF(P313=#REF!,"SOPORTE CARDIOVASCULAR AVANZADO NEONATAL",IF(P313=#REF!,"SEGURIDAD DEL PACIENTE",IF(P313=#REF!,"MANEJO DE RESIDUOS HOSPITALARIOS"))))))))))))))))))))))))))))))))))))</f>
        <v>#REF!</v>
      </c>
      <c r="W313" s="26" t="str">
        <f>CONCATENATE(E313," ",F313," ",C313," ",D313)</f>
        <v>Marly Paola Gomez Coronel</v>
      </c>
      <c r="X313" s="26" t="str">
        <f t="shared" si="30"/>
        <v>Marly Paola Gomez Coronel</v>
      </c>
      <c r="Y313" s="26" t="str">
        <f>CONCATENATE(W313,"-",B313,"-",P313)</f>
        <v>Marly Paola Gomez Coronel-1086548383-QUIMICOS</v>
      </c>
      <c r="Z313" s="35"/>
    </row>
    <row r="314" spans="1:26" s="19" customFormat="1" x14ac:dyDescent="0.2">
      <c r="A314" s="20">
        <v>61</v>
      </c>
      <c r="B314" s="21">
        <v>1087961572</v>
      </c>
      <c r="C314" s="21" t="s">
        <v>151</v>
      </c>
      <c r="D314" s="21" t="s">
        <v>164</v>
      </c>
      <c r="E314" s="21" t="s">
        <v>165</v>
      </c>
      <c r="F314" s="21" t="s">
        <v>166</v>
      </c>
      <c r="G314" s="21">
        <v>14</v>
      </c>
      <c r="H314" s="21" t="s">
        <v>49</v>
      </c>
      <c r="I314" s="22" t="s">
        <v>377</v>
      </c>
      <c r="J314" s="22"/>
      <c r="K314" s="23">
        <v>45671</v>
      </c>
      <c r="L314" s="24">
        <v>65000</v>
      </c>
      <c r="M314" s="21" t="s">
        <v>133</v>
      </c>
      <c r="N314" s="21" t="s">
        <v>387</v>
      </c>
      <c r="O314" s="21" t="s">
        <v>69</v>
      </c>
      <c r="P314" s="21" t="s">
        <v>27</v>
      </c>
      <c r="Q314" s="22">
        <v>36464</v>
      </c>
      <c r="R314" s="21" t="s">
        <v>71</v>
      </c>
      <c r="S314" s="21" t="s">
        <v>142</v>
      </c>
      <c r="T314" s="25">
        <v>3105943530</v>
      </c>
      <c r="U314" s="21" t="s">
        <v>167</v>
      </c>
      <c r="V314" s="26" t="e">
        <f>IF(P314=#REF!,"DIPLOMADO EN ATENCION PRE-HOSPITALARIA",IF(P314=#REF!,"ACOMPAÑAMIENTO Y MANEJO DEL DUELO",IF(P314=#REF!,"ATENCION A VICTIMAS DE ATAQUE CON AGENTES QUIMICOS ",IF(P314=#REF!,"PRIMEROS AUXILIOS ",IF(P314=#REF!,"DIPLOMADO DE UNIDAD DE CUIDADOS INTENSIVOS (UCI)",IF(P314=#REF!,"MODELO DE ATENCION PARA EVENTOS EMERGENTES EN SALUD MENTAL (CODIGO VERDE)",IF(P314=#REF!,"HUMANIZACION EN EL SERVICIO DE LA SALUD Y BUENAS PRACTICAS EN PACIENTE ",IF(P314=#REF!,"CLINICA DE HERIDAS ",IF(P314=#REF!,"TOMA DE CITOLOGIA CERVICO VAGINAL ",IF(P314=#REF!,"SOPORTE CARDIOVASCULAR AVANZADO (ACLS) ",IF(P314=#REF!,"CAMILLERO ",IF(P314=#REF!,"TOMA DE MUESTRAS Y LABORATORIO ",IF(P314=#REF!,"SOPORTE VITAL BASICO (BLS)",IF(P314=#REF!,"ATENCION A VICTIMAS DE VIOLENCIA SEXUAL ",IF(P314=#REF!,"PROGRAMADO AMPLIADO DE INMUNIZACION (PAI - COVID 19)",IF(P314=#REF!,"ATENCION INTEGRAL EN ENFERMEDADES PREVALENTES EN PRIMERA INFANCIA (AIEPI)",IF(P314=#REF!,"ADMINISTRACION DE MEDICAMENTOS, INYECTOLOGIA  Y CANALIZACION ",IF(P314=#REF!,"OPERADOR DE VEHICULOS DE EMERGENCIA (OVE)",IF(P314=#REF!,"INSTITUCIONES AMIGAS DE LA MUJER Y LA INFANCIA (IAMI)",IF(P314=#REF!,"CUIDADO DEL DONANTE DE ORGANOS",IF(P314=#REF!,"ATENCION A VICTIMAS POR VIOLENCIA DE GENERO",IF(P314=#REF!,"IGUALDAD DE GENERO EN LA SALUD",IF(P314=#REF!,"BRIGADA DE EMERGENCIA",IF(P314=#REF!,"MANEJO DEL DOLOR Y CUIDADOS PALIATIVOS",IF(P314=#REF!,"TOMA DE MUESTRAS Y LABORATORIO POCT",IF(P314=#REF!,"IMPLANTE SUBDERMICO DE DISPOSITIVO INTRAUTERINO",IF(P314=#REF!,"SALUD MENTAL",IF(P314=#REF!,"PRIMEROS AUXILIOS PSICOLOGICOS",IF(P314=#REF!,"ATENCION A VICTIMAS POR CONFLICTO ARMADO",IF(P314=#REF!,"MANIPULACION DE ALIMENTOS Y BPM",IF(P314=#REF!,"ATENCION A PERSONAS CON DISCAPACIDAD",IF(P314=#REF!,"CUIDADO INTEGRAL DEL PACIENTE ADULTO",IF(P314=#REF!,"MANEJO DEFENSIVO",IF(P314=#REF!,"SOPORTE CARDIOVASCULAR AVANZADO NEONATAL",IF(P314=#REF!,"SEGURIDAD DEL PACIENTE",IF(P314=#REF!,"MANEJO DE RESIDUOS HOSPITALARIOS"))))))))))))))))))))))))))))))))))))</f>
        <v>#REF!</v>
      </c>
      <c r="W314" s="26" t="str">
        <f>CONCATENATE(E314," ",F314," ",C314," ",D314)</f>
        <v>Gabriela Alejandra Muñoz Pantoja</v>
      </c>
      <c r="X314" s="26" t="str">
        <f t="shared" si="30"/>
        <v>Gabriela Alejandra Muñoz Pantoja</v>
      </c>
      <c r="Y314" s="26" t="str">
        <f>CONCATENATE(W314,"-",B314,"-",P314)</f>
        <v>Gabriela Alejandra Muñoz Pantoja-1087961572-VIOLENCIA SEXUAL</v>
      </c>
      <c r="Z314" s="35"/>
    </row>
    <row r="315" spans="1:26" x14ac:dyDescent="0.2">
      <c r="A315" s="20">
        <v>62</v>
      </c>
      <c r="B315" s="21">
        <v>27456062</v>
      </c>
      <c r="C315" s="21" t="s">
        <v>168</v>
      </c>
      <c r="D315" s="21" t="s">
        <v>169</v>
      </c>
      <c r="E315" s="21" t="s">
        <v>170</v>
      </c>
      <c r="F315" s="21" t="s">
        <v>171</v>
      </c>
      <c r="G315" s="21">
        <v>14</v>
      </c>
      <c r="H315" s="21" t="s">
        <v>49</v>
      </c>
      <c r="I315" s="22" t="s">
        <v>376</v>
      </c>
      <c r="J315" s="22"/>
      <c r="K315" s="23">
        <v>45671</v>
      </c>
      <c r="L315" s="24">
        <v>60000</v>
      </c>
      <c r="M315" s="21" t="s">
        <v>79</v>
      </c>
      <c r="N315" s="21" t="s">
        <v>387</v>
      </c>
      <c r="O315" s="21" t="s">
        <v>69</v>
      </c>
      <c r="P315" s="21" t="s">
        <v>19</v>
      </c>
      <c r="Q315" s="22">
        <v>27880</v>
      </c>
      <c r="R315" s="21" t="s">
        <v>71</v>
      </c>
      <c r="S315" s="25" t="s">
        <v>172</v>
      </c>
      <c r="T315" s="25">
        <v>3117209983</v>
      </c>
      <c r="U315" s="21" t="s">
        <v>173</v>
      </c>
      <c r="V315" s="26" t="e">
        <f>IF(P315=#REF!,"DIPLOMADO EN ATENCION PRE-HOSPITALARIA",IF(P315=#REF!,"ACOMPAÑAMIENTO Y MANEJO DEL DUELO",IF(P315=#REF!,"ATENCION A VICTIMAS DE ATAQUE CON AGENTES QUIMICOS ",IF(P315=#REF!,"PRIMEROS AUXILIOS ",IF(P315=#REF!,"DIPLOMADO DE UNIDAD DE CUIDADOS INTENSIVOS (UCI)",IF(P315=#REF!,"MODELO DE ATENCION PARA EVENTOS EMERGENTES EN SALUD MENTAL (CODIGO VERDE)",IF(P315=#REF!,"HUMANIZACION EN EL SERVICIO DE LA SALUD Y BUENAS PRACTICAS EN PACIENTE ",IF(P315=#REF!,"CLINICA DE HERIDAS ",IF(P315=#REF!,"TOMA DE CITOLOGIA CERVICO VAGINAL ",IF(P315=#REF!,"SOPORTE CARDIOVASCULAR AVANZADO (ACLS) ",IF(P315=#REF!,"CAMILLERO ",IF(P315=#REF!,"TOMA DE MUESTRAS Y LABORATORIO ",IF(P315=#REF!,"SOPORTE VITAL BASICO (BLS)",IF(P315=#REF!,"ATENCION A VICTIMAS DE VIOLENCIA SEXUAL ",IF(P315=#REF!,"PROGRAMADO AMPLIADO DE INMUNIZACION (PAI - COVID 19)",IF(P315=#REF!,"ATENCION INTEGRAL EN ENFERMEDADES PREVALENTES EN PRIMERA INFANCIA (AIEPI)",IF(P315=#REF!,"ADMINISTRACION DE MEDICAMENTOS, INYECTOLOGIA  Y CANALIZACION ",IF(P315=#REF!,"OPERADOR DE VEHICULOS DE EMERGENCIA (OVE)",IF(P315=#REF!,"INSTITUCIONES AMIGAS DE LA MUJER Y LA INFANCIA (IAMI)",IF(P315=#REF!,"CUIDADO DEL DONANTE DE ORGANOS",IF(P315=#REF!,"ATENCION A VICTIMAS POR VIOLENCIA DE GENERO",IF(P315=#REF!,"IGUALDAD DE GENERO EN LA SALUD",IF(P315=#REF!,"BRIGADA DE EMERGENCIA",IF(P315=#REF!,"MANEJO DEL DOLOR Y CUIDADOS PALIATIVOS",IF(P315=#REF!,"TOMA DE MUESTRAS Y LABORATORIO POCT",IF(P315=#REF!,"IMPLANTE SUBDERMICO DE DISPOSITIVO INTRAUTERINO",IF(P315=#REF!,"SALUD MENTAL",IF(P315=#REF!,"PRIMEROS AUXILIOS PSICOLOGICOS",IF(P315=#REF!,"ATENCION A VICTIMAS POR CONFLICTO ARMADO",IF(P315=#REF!,"MANIPULACION DE ALIMENTOS Y BPM",IF(P315=#REF!,"ATENCION A PERSONAS CON DISCAPACIDAD",IF(P315=#REF!,"CUIDADO INTEGRAL DEL PACIENTE ADULTO",IF(P315=#REF!,"MANEJO DEFENSIVO",IF(P315=#REF!,"SOPORTE CARDIOVASCULAR AVANZADO NEONATAL",IF(P315=#REF!,"SEGURIDAD DEL PACIENTE",IF(P315=#REF!,"MANEJO DE RESIDUOS HOSPITALARIOS"))))))))))))))))))))))))))))))))))))</f>
        <v>#REF!</v>
      </c>
      <c r="W315" s="26" t="str">
        <f>CONCATENATE(E315," ",F315," ",C315," ",D315)</f>
        <v>Sandra Elisa Teez Caicedo</v>
      </c>
      <c r="X315" s="26" t="str">
        <f t="shared" si="30"/>
        <v>Sandra Elisa Teez Caicedo</v>
      </c>
      <c r="Y315" s="26" t="str">
        <f>CONCATENATE(W315,"-",B315,"-",P315)</f>
        <v>Sandra Elisa Teez Caicedo-27456062-BLS</v>
      </c>
    </row>
    <row r="316" spans="1:26" x14ac:dyDescent="0.2">
      <c r="A316" s="20">
        <v>63</v>
      </c>
      <c r="B316" s="21">
        <v>1193034433</v>
      </c>
      <c r="C316" s="21" t="s">
        <v>174</v>
      </c>
      <c r="D316" s="21" t="s">
        <v>175</v>
      </c>
      <c r="E316" s="21" t="s">
        <v>176</v>
      </c>
      <c r="F316" s="21" t="s">
        <v>177</v>
      </c>
      <c r="G316" s="21">
        <v>14</v>
      </c>
      <c r="H316" s="21" t="s">
        <v>49</v>
      </c>
      <c r="I316" s="22" t="s">
        <v>377</v>
      </c>
      <c r="J316" s="22"/>
      <c r="K316" s="23" t="s">
        <v>179</v>
      </c>
      <c r="L316" s="24">
        <v>65000</v>
      </c>
      <c r="M316" s="21" t="s">
        <v>180</v>
      </c>
      <c r="N316" s="21" t="s">
        <v>387</v>
      </c>
      <c r="O316" s="21" t="s">
        <v>69</v>
      </c>
      <c r="P316" s="21" t="s">
        <v>26</v>
      </c>
      <c r="Q316" s="22">
        <v>37046</v>
      </c>
      <c r="R316" s="21" t="s">
        <v>71</v>
      </c>
      <c r="S316" s="25" t="s">
        <v>107</v>
      </c>
      <c r="T316" s="21">
        <v>3106868275</v>
      </c>
      <c r="U316" s="21" t="s">
        <v>178</v>
      </c>
      <c r="V316" s="26" t="e">
        <f>IF(P316=#REF!,"DIPLOMADO EN ATENCION PRE-HOSPITALARIA",IF(P316=#REF!,"ACOMPAÑAMIENTO Y MANEJO DEL DUELO",IF(P316=#REF!,"ATENCION A VICTIMAS DE ATAQUE CON AGENTES QUIMICOS ",IF(P316=#REF!,"PRIMEROS AUXILIOS ",IF(P316=#REF!,"DIPLOMADO DE UNIDAD DE CUIDADOS INTENSIVOS (UCI)",IF(P316=#REF!,"MODELO DE ATENCION PARA EVENTOS EMERGENTES EN SALUD MENTAL (CODIGO VERDE)",IF(P316=#REF!,"HUMANIZACION EN EL SERVICIO DE LA SALUD Y BUENAS PRACTICAS EN PACIENTE ",IF(P316=#REF!,"CLINICA DE HERIDAS ",IF(P316=#REF!,"TOMA DE CITOLOGIA CERVICO VAGINAL ",IF(P316=#REF!,"SOPORTE CARDIOVASCULAR AVANZADO (ACLS) ",IF(P316=#REF!,"CAMILLERO ",IF(P316=#REF!,"TOMA DE MUESTRAS Y LABORATORIO ",IF(P316=#REF!,"SOPORTE VITAL BASICO (BLS)",IF(P316=#REF!,"ATENCION A VICTIMAS DE VIOLENCIA SEXUAL ",IF(P316=#REF!,"PROGRAMADO AMPLIADO DE INMUNIZACION (PAI - COVID 19)",IF(P316=#REF!,"ATENCION INTEGRAL EN ENFERMEDADES PREVALENTES EN PRIMERA INFANCIA (AIEPI)",IF(P316=#REF!,"ADMINISTRACION DE MEDICAMENTOS, INYECTOLOGIA  Y CANALIZACION ",IF(P316=#REF!,"OPERADOR DE VEHICULOS DE EMERGENCIA (OVE)",IF(P316=#REF!,"INSTITUCIONES AMIGAS DE LA MUJER Y LA INFANCIA (IAMI)",IF(P316=#REF!,"CUIDADO DEL DONANTE DE ORGANOS",IF(P316=#REF!,"ATENCION A VICTIMAS POR VIOLENCIA DE GENERO",IF(P316=#REF!,"IGUALDAD DE GENERO EN LA SALUD",IF(P316=#REF!,"BRIGADA DE EMERGENCIA",IF(P316=#REF!,"MANEJO DEL DOLOR Y CUIDADOS PALIATIVOS",IF(P316=#REF!,"TOMA DE MUESTRAS Y LABORATORIO POCT",IF(P316=#REF!,"IMPLANTE SUBDERMICO DE DISPOSITIVO INTRAUTERINO",IF(P316=#REF!,"SALUD MENTAL",IF(P316=#REF!,"PRIMEROS AUXILIOS PSICOLOGICOS",IF(P316=#REF!,"ATENCION A VICTIMAS POR CONFLICTO ARMADO",IF(P316=#REF!,"MANIPULACION DE ALIMENTOS Y BPM",IF(P316=#REF!,"ATENCION A PERSONAS CON DISCAPACIDAD",IF(P316=#REF!,"CUIDADO INTEGRAL DEL PACIENTE ADULTO",IF(P316=#REF!,"MANEJO DEFENSIVO",IF(P316=#REF!,"SOPORTE CARDIOVASCULAR AVANZADO NEONATAL",IF(P316=#REF!,"SEGURIDAD DEL PACIENTE",IF(P316=#REF!,"MANEJO DE RESIDUOS HOSPITALARIOS"))))))))))))))))))))))))))))))))))))</f>
        <v>#REF!</v>
      </c>
      <c r="W316" s="26" t="str">
        <f>CONCATENATE(E316," ",F316," ",C316," ",D316)</f>
        <v>Tatiana Sofia Guevara Rosero</v>
      </c>
      <c r="X316" s="26" t="str">
        <f t="shared" si="30"/>
        <v>Tatiana Sofia Guevara Rosero</v>
      </c>
      <c r="Y316" s="26" t="str">
        <f>CONCATENATE(W316,"-",B316,"-",P316)</f>
        <v>Tatiana Sofia Guevara Rosero-1193034433-TOMA DE MUESTRAS</v>
      </c>
    </row>
    <row r="317" spans="1:26" x14ac:dyDescent="0.2">
      <c r="A317" s="20">
        <v>64</v>
      </c>
      <c r="B317" s="21">
        <v>1018443841</v>
      </c>
      <c r="C317" s="21" t="s">
        <v>181</v>
      </c>
      <c r="D317" s="21" t="s">
        <v>182</v>
      </c>
      <c r="E317" s="21" t="s">
        <v>183</v>
      </c>
      <c r="F317" s="21" t="s">
        <v>184</v>
      </c>
      <c r="G317" s="21">
        <v>14</v>
      </c>
      <c r="H317" s="21" t="s">
        <v>49</v>
      </c>
      <c r="I317" s="22" t="s">
        <v>377</v>
      </c>
      <c r="J317" s="22"/>
      <c r="K317" s="23">
        <v>45671</v>
      </c>
      <c r="L317" s="24">
        <v>65000</v>
      </c>
      <c r="M317" s="21" t="s">
        <v>79</v>
      </c>
      <c r="N317" s="21" t="s">
        <v>387</v>
      </c>
      <c r="O317" s="21" t="s">
        <v>69</v>
      </c>
      <c r="P317" s="21" t="s">
        <v>27</v>
      </c>
      <c r="Q317" s="22">
        <v>33282</v>
      </c>
      <c r="R317" s="21" t="s">
        <v>71</v>
      </c>
      <c r="S317" s="25" t="s">
        <v>185</v>
      </c>
      <c r="T317" s="21">
        <v>3003208391</v>
      </c>
      <c r="U317" s="21" t="s">
        <v>186</v>
      </c>
      <c r="V317" s="26" t="e">
        <f>IF(P317=#REF!,"DIPLOMADO EN ATENCION PRE-HOSPITALARIA",IF(P317=#REF!,"ACOMPAÑAMIENTO Y MANEJO DEL DUELO",IF(P317=#REF!,"ATENCION A VICTIMAS DE ATAQUE CON AGENTES QUIMICOS ",IF(P317=#REF!,"PRIMEROS AUXILIOS ",IF(P317=#REF!,"DIPLOMADO DE UNIDAD DE CUIDADOS INTENSIVOS (UCI)",IF(P317=#REF!,"MODELO DE ATENCION PARA EVENTOS EMERGENTES EN SALUD MENTAL (CODIGO VERDE)",IF(P317=#REF!,"HUMANIZACION EN EL SERVICIO DE LA SALUD Y BUENAS PRACTICAS EN PACIENTE ",IF(P317=#REF!,"CLINICA DE HERIDAS ",IF(P317=#REF!,"TOMA DE CITOLOGIA CERVICO VAGINAL ",IF(P317=#REF!,"SOPORTE CARDIOVASCULAR AVANZADO (ACLS) ",IF(P317=#REF!,"CAMILLERO ",IF(P317=#REF!,"TOMA DE MUESTRAS Y LABORATORIO ",IF(P317=#REF!,"SOPORTE VITAL BASICO (BLS)",IF(P317=#REF!,"ATENCION A VICTIMAS DE VIOLENCIA SEXUAL ",IF(P317=#REF!,"PROGRAMADO AMPLIADO DE INMUNIZACION (PAI - COVID 19)",IF(P317=#REF!,"ATENCION INTEGRAL EN ENFERMEDADES PREVALENTES EN PRIMERA INFANCIA (AIEPI)",IF(P317=#REF!,"ADMINISTRACION DE MEDICAMENTOS, INYECTOLOGIA  Y CANALIZACION ",IF(P317=#REF!,"OPERADOR DE VEHICULOS DE EMERGENCIA (OVE)",IF(P317=#REF!,"INSTITUCIONES AMIGAS DE LA MUJER Y LA INFANCIA (IAMI)",IF(P317=#REF!,"CUIDADO DEL DONANTE DE ORGANOS",IF(P317=#REF!,"ATENCION A VICTIMAS POR VIOLENCIA DE GENERO",IF(P317=#REF!,"IGUALDAD DE GENERO EN LA SALUD",IF(P317=#REF!,"BRIGADA DE EMERGENCIA",IF(P317=#REF!,"MANEJO DEL DOLOR Y CUIDADOS PALIATIVOS",IF(P317=#REF!,"TOMA DE MUESTRAS Y LABORATORIO POCT",IF(P317=#REF!,"IMPLANTE SUBDERMICO DE DISPOSITIVO INTRAUTERINO",IF(P317=#REF!,"SALUD MENTAL",IF(P317=#REF!,"PRIMEROS AUXILIOS PSICOLOGICOS",IF(P317=#REF!,"ATENCION A VICTIMAS POR CONFLICTO ARMADO",IF(P317=#REF!,"MANIPULACION DE ALIMENTOS Y BPM",IF(P317=#REF!,"ATENCION A PERSONAS CON DISCAPACIDAD",IF(P317=#REF!,"CUIDADO INTEGRAL DEL PACIENTE ADULTO",IF(P317=#REF!,"MANEJO DEFENSIVO",IF(P317=#REF!,"SOPORTE CARDIOVASCULAR AVANZADO NEONATAL",IF(P317=#REF!,"SEGURIDAD DEL PACIENTE",IF(P317=#REF!,"MANEJO DE RESIDUOS HOSPITALARIOS"))))))))))))))))))))))))))))))))))))</f>
        <v>#REF!</v>
      </c>
      <c r="W317" s="26" t="str">
        <f>CONCATENATE(E317," ",F317," ",C317," ",D317)</f>
        <v>Maria Ines Sotelo Mejia</v>
      </c>
      <c r="X317" s="26" t="str">
        <f t="shared" si="30"/>
        <v>Maria Ines Sotelo Mejia</v>
      </c>
      <c r="Y317" s="26" t="str">
        <f>CONCATENATE(W317,"-",B317,"-",P317)</f>
        <v>Maria Ines Sotelo Mejia-1018443841-VIOLENCIA SEXUAL</v>
      </c>
    </row>
    <row r="318" spans="1:26" x14ac:dyDescent="0.2">
      <c r="A318" s="20">
        <v>65</v>
      </c>
      <c r="B318" s="21">
        <v>1087961572</v>
      </c>
      <c r="C318" s="21" t="s">
        <v>151</v>
      </c>
      <c r="D318" s="21" t="s">
        <v>164</v>
      </c>
      <c r="E318" s="21" t="s">
        <v>165</v>
      </c>
      <c r="F318" s="21" t="s">
        <v>166</v>
      </c>
      <c r="G318" s="21">
        <v>15</v>
      </c>
      <c r="H318" s="21" t="s">
        <v>49</v>
      </c>
      <c r="I318" s="22" t="s">
        <v>377</v>
      </c>
      <c r="J318" s="22"/>
      <c r="K318" s="23">
        <v>45671</v>
      </c>
      <c r="L318" s="24">
        <v>65000</v>
      </c>
      <c r="M318" s="21" t="s">
        <v>79</v>
      </c>
      <c r="N318" s="21" t="s">
        <v>387</v>
      </c>
      <c r="O318" s="21" t="s">
        <v>69</v>
      </c>
      <c r="P318" s="21" t="s">
        <v>22</v>
      </c>
      <c r="Q318" s="22">
        <v>36464</v>
      </c>
      <c r="R318" s="21" t="s">
        <v>71</v>
      </c>
      <c r="S318" s="21" t="s">
        <v>142</v>
      </c>
      <c r="T318" s="25">
        <v>3105943530</v>
      </c>
      <c r="U318" s="21" t="s">
        <v>167</v>
      </c>
      <c r="V318" s="26" t="e">
        <f>IF(P318=#REF!,"DIPLOMADO EN ATENCION PRE-HOSPITALARIA",IF(P318=#REF!,"ACOMPAÑAMIENTO Y MANEJO DEL DUELO",IF(P318=#REF!,"ATENCION A VICTIMAS DE ATAQUE CON AGENTES QUIMICOS ",IF(P318=#REF!,"PRIMEROS AUXILIOS ",IF(P318=#REF!,"DIPLOMADO DE UNIDAD DE CUIDADOS INTENSIVOS (UCI)",IF(P318=#REF!,"MODELO DE ATENCION PARA EVENTOS EMERGENTES EN SALUD MENTAL (CODIGO VERDE)",IF(P318=#REF!,"HUMANIZACION EN EL SERVICIO DE LA SALUD Y BUENAS PRACTICAS EN PACIENTE ",IF(P318=#REF!,"CLINICA DE HERIDAS ",IF(P318=#REF!,"TOMA DE CITOLOGIA CERVICO VAGINAL ",IF(P318=#REF!,"SOPORTE CARDIOVASCULAR AVANZADO (ACLS) ",IF(P318=#REF!,"CAMILLERO ",IF(P318=#REF!,"TOMA DE MUESTRAS Y LABORATORIO ",IF(P318=#REF!,"SOPORTE VITAL BASICO (BLS)",IF(P318=#REF!,"ATENCION A VICTIMAS DE VIOLENCIA SEXUAL ",IF(P318=#REF!,"PROGRAMADO AMPLIADO DE INMUNIZACION (PAI - COVID 19)",IF(P318=#REF!,"ATENCION INTEGRAL EN ENFERMEDADES PREVALENTES EN PRIMERA INFANCIA (AIEPI)",IF(P318=#REF!,"ADMINISTRACION DE MEDICAMENTOS, INYECTOLOGIA  Y CANALIZACION ",IF(P318=#REF!,"OPERADOR DE VEHICULOS DE EMERGENCIA (OVE)",IF(P318=#REF!,"INSTITUCIONES AMIGAS DE LA MUJER Y LA INFANCIA (IAMI)",IF(P318=#REF!,"CUIDADO DEL DONANTE DE ORGANOS",IF(P318=#REF!,"ATENCION A VICTIMAS POR VIOLENCIA DE GENERO",IF(P318=#REF!,"IGUALDAD DE GENERO EN LA SALUD",IF(P318=#REF!,"BRIGADA DE EMERGENCIA",IF(P318=#REF!,"MANEJO DEL DOLOR Y CUIDADOS PALIATIVOS",IF(P318=#REF!,"TOMA DE MUESTRAS Y LABORATORIO POCT",IF(P318=#REF!,"IMPLANTE SUBDERMICO DE DISPOSITIVO INTRAUTERINO",IF(P318=#REF!,"SALUD MENTAL",IF(P318=#REF!,"PRIMEROS AUXILIOS PSICOLOGICOS",IF(P318=#REF!,"ATENCION A VICTIMAS POR CONFLICTO ARMADO",IF(P318=#REF!,"MANIPULACION DE ALIMENTOS Y BPM",IF(P318=#REF!,"ATENCION A PERSONAS CON DISCAPACIDAD",IF(P318=#REF!,"CUIDADO INTEGRAL DEL PACIENTE ADULTO",IF(P318=#REF!,"MANEJO DEFENSIVO",IF(P318=#REF!,"SOPORTE CARDIOVASCULAR AVANZADO NEONATAL",IF(P318=#REF!,"SEGURIDAD DEL PACIENTE",IF(P318=#REF!,"MANEJO DE RESIDUOS HOSPITALARIOS"))))))))))))))))))))))))))))))))))))</f>
        <v>#REF!</v>
      </c>
      <c r="W318" s="26" t="str">
        <f>CONCATENATE(E318," ",F318," ",C318," ",D318)</f>
        <v>Gabriela Alejandra Muñoz Pantoja</v>
      </c>
      <c r="X318" s="26" t="str">
        <f t="shared" si="30"/>
        <v>Gabriela Alejandra Muñoz Pantoja</v>
      </c>
      <c r="Y318" s="26" t="str">
        <f>CONCATENATE(W318,"-",B318,"-",P318)</f>
        <v>Gabriela Alejandra Muñoz Pantoja-1087961572-PRIMEROS AUXILIOS</v>
      </c>
    </row>
    <row r="319" spans="1:26" x14ac:dyDescent="0.2">
      <c r="A319" s="20">
        <v>66</v>
      </c>
      <c r="B319" s="21">
        <v>27281486</v>
      </c>
      <c r="C319" s="21" t="s">
        <v>187</v>
      </c>
      <c r="D319" s="21" t="s">
        <v>188</v>
      </c>
      <c r="E319" s="21" t="s">
        <v>189</v>
      </c>
      <c r="F319" s="21"/>
      <c r="G319" s="21">
        <v>15</v>
      </c>
      <c r="H319" s="21" t="s">
        <v>49</v>
      </c>
      <c r="I319" s="22" t="s">
        <v>377</v>
      </c>
      <c r="J319" s="22"/>
      <c r="K319" s="23">
        <v>45671</v>
      </c>
      <c r="L319" s="24">
        <v>65000</v>
      </c>
      <c r="M319" s="21" t="s">
        <v>106</v>
      </c>
      <c r="N319" s="21" t="s">
        <v>387</v>
      </c>
      <c r="O319" s="21" t="s">
        <v>69</v>
      </c>
      <c r="P319" s="21" t="s">
        <v>27</v>
      </c>
      <c r="Q319" s="22">
        <v>29573</v>
      </c>
      <c r="R319" s="21" t="s">
        <v>71</v>
      </c>
      <c r="S319" s="25" t="s">
        <v>107</v>
      </c>
      <c r="T319" s="21">
        <v>3127727981</v>
      </c>
      <c r="U319" s="21" t="s">
        <v>190</v>
      </c>
      <c r="V319" s="26" t="e">
        <f>IF(P319=#REF!,"DIPLOMADO EN ATENCION PRE-HOSPITALARIA",IF(P319=#REF!,"ACOMPAÑAMIENTO Y MANEJO DEL DUELO",IF(P319=#REF!,"ATENCION A VICTIMAS DE ATAQUE CON AGENTES QUIMICOS ",IF(P319=#REF!,"PRIMEROS AUXILIOS ",IF(P319=#REF!,"DIPLOMADO DE UNIDAD DE CUIDADOS INTENSIVOS (UCI)",IF(P319=#REF!,"MODELO DE ATENCION PARA EVENTOS EMERGENTES EN SALUD MENTAL (CODIGO VERDE)",IF(P319=#REF!,"HUMANIZACION EN EL SERVICIO DE LA SALUD Y BUENAS PRACTICAS EN PACIENTE ",IF(P319=#REF!,"CLINICA DE HERIDAS ",IF(P319=#REF!,"TOMA DE CITOLOGIA CERVICO VAGINAL ",IF(P319=#REF!,"SOPORTE CARDIOVASCULAR AVANZADO (ACLS) ",IF(P319=#REF!,"CAMILLERO ",IF(P319=#REF!,"TOMA DE MUESTRAS Y LABORATORIO ",IF(P319=#REF!,"SOPORTE VITAL BASICO (BLS)",IF(P319=#REF!,"ATENCION A VICTIMAS DE VIOLENCIA SEXUAL ",IF(P319=#REF!,"PROGRAMADO AMPLIADO DE INMUNIZACION (PAI - COVID 19)",IF(P319=#REF!,"ATENCION INTEGRAL EN ENFERMEDADES PREVALENTES EN PRIMERA INFANCIA (AIEPI)",IF(P319=#REF!,"ADMINISTRACION DE MEDICAMENTOS, INYECTOLOGIA  Y CANALIZACION ",IF(P319=#REF!,"OPERADOR DE VEHICULOS DE EMERGENCIA (OVE)",IF(P319=#REF!,"INSTITUCIONES AMIGAS DE LA MUJER Y LA INFANCIA (IAMI)",IF(P319=#REF!,"CUIDADO DEL DONANTE DE ORGANOS",IF(P319=#REF!,"ATENCION A VICTIMAS POR VIOLENCIA DE GENERO",IF(P319=#REF!,"IGUALDAD DE GENERO EN LA SALUD",IF(P319=#REF!,"BRIGADA DE EMERGENCIA",IF(P319=#REF!,"MANEJO DEL DOLOR Y CUIDADOS PALIATIVOS",IF(P319=#REF!,"TOMA DE MUESTRAS Y LABORATORIO POCT",IF(P319=#REF!,"IMPLANTE SUBDERMICO DE DISPOSITIVO INTRAUTERINO",IF(P319=#REF!,"SALUD MENTAL",IF(P319=#REF!,"PRIMEROS AUXILIOS PSICOLOGICOS",IF(P319=#REF!,"ATENCION A VICTIMAS POR CONFLICTO ARMADO",IF(P319=#REF!,"MANIPULACION DE ALIMENTOS Y BPM",IF(P319=#REF!,"ATENCION A PERSONAS CON DISCAPACIDAD",IF(P319=#REF!,"CUIDADO INTEGRAL DEL PACIENTE ADULTO",IF(P319=#REF!,"MANEJO DEFENSIVO",IF(P319=#REF!,"SOPORTE CARDIOVASCULAR AVANZADO NEONATAL",IF(P319=#REF!,"SEGURIDAD DEL PACIENTE",IF(P319=#REF!,"MANEJO DE RESIDUOS HOSPITALARIOS"))))))))))))))))))))))))))))))))))))</f>
        <v>#REF!</v>
      </c>
      <c r="W319" s="26" t="str">
        <f>CONCATENATE(E319," ",F319," ",C319," ",D319)</f>
        <v>Marinela  Aguilar Rangel</v>
      </c>
      <c r="X319" s="26" t="str">
        <f t="shared" ref="X319:X382" si="31">PROPER(W319)</f>
        <v>Marinela  Aguilar Rangel</v>
      </c>
      <c r="Y319" s="26" t="str">
        <f>CONCATENATE(W319,"-",B319,"-",P319)</f>
        <v>Marinela  Aguilar Rangel-27281486-VIOLENCIA SEXUAL</v>
      </c>
    </row>
    <row r="320" spans="1:26" s="19" customFormat="1" x14ac:dyDescent="0.2">
      <c r="A320" s="20">
        <v>67</v>
      </c>
      <c r="B320" s="21">
        <v>1085304007</v>
      </c>
      <c r="C320" s="21" t="s">
        <v>191</v>
      </c>
      <c r="D320" s="21" t="s">
        <v>192</v>
      </c>
      <c r="E320" s="21" t="s">
        <v>193</v>
      </c>
      <c r="F320" s="21" t="s">
        <v>194</v>
      </c>
      <c r="G320" s="21">
        <v>15</v>
      </c>
      <c r="H320" s="21" t="s">
        <v>49</v>
      </c>
      <c r="I320" s="22" t="s">
        <v>377</v>
      </c>
      <c r="J320" s="22"/>
      <c r="K320" s="23">
        <v>45672</v>
      </c>
      <c r="L320" s="42">
        <v>65000</v>
      </c>
      <c r="M320" s="21" t="s">
        <v>133</v>
      </c>
      <c r="N320" s="21" t="s">
        <v>386</v>
      </c>
      <c r="O320" s="21" t="s">
        <v>69</v>
      </c>
      <c r="P320" s="21" t="s">
        <v>22</v>
      </c>
      <c r="Q320" s="22">
        <v>34034</v>
      </c>
      <c r="R320" s="21" t="s">
        <v>71</v>
      </c>
      <c r="S320" s="25" t="s">
        <v>195</v>
      </c>
      <c r="T320" s="21">
        <v>3164579480</v>
      </c>
      <c r="U320" s="21" t="s">
        <v>196</v>
      </c>
      <c r="V320" s="26" t="e">
        <f>IF(P320=#REF!,"DIPLOMADO EN ATENCION PRE-HOSPITALARIA",IF(P320=#REF!,"ACOMPAÑAMIENTO Y MANEJO DEL DUELO",IF(P320=#REF!,"ATENCION A VICTIMAS DE ATAQUE CON AGENTES QUIMICOS ",IF(P320=#REF!,"PRIMEROS AUXILIOS ",IF(P320=#REF!,"DIPLOMADO DE UNIDAD DE CUIDADOS INTENSIVOS (UCI)",IF(P320=#REF!,"MODELO DE ATENCION PARA EVENTOS EMERGENTES EN SALUD MENTAL (CODIGO VERDE)",IF(P320=#REF!,"HUMANIZACION EN EL SERVICIO DE LA SALUD Y BUENAS PRACTICAS EN PACIENTE ",IF(P320=#REF!,"CLINICA DE HERIDAS ",IF(P320=#REF!,"TOMA DE CITOLOGIA CERVICO VAGINAL ",IF(P320=#REF!,"SOPORTE CARDIOVASCULAR AVANZADO (ACLS) ",IF(P320=#REF!,"CAMILLERO ",IF(P320=#REF!,"TOMA DE MUESTRAS Y LABORATORIO ",IF(P320=#REF!,"SOPORTE VITAL BASICO (BLS)",IF(P320=#REF!,"ATENCION A VICTIMAS DE VIOLENCIA SEXUAL ",IF(P320=#REF!,"PROGRAMADO AMPLIADO DE INMUNIZACION (PAI - COVID 19)",IF(P320=#REF!,"ATENCION INTEGRAL EN ENFERMEDADES PREVALENTES EN PRIMERA INFANCIA (AIEPI)",IF(P320=#REF!,"ADMINISTRACION DE MEDICAMENTOS, INYECTOLOGIA  Y CANALIZACION ",IF(P320=#REF!,"OPERADOR DE VEHICULOS DE EMERGENCIA (OVE)",IF(P320=#REF!,"INSTITUCIONES AMIGAS DE LA MUJER Y LA INFANCIA (IAMI)",IF(P320=#REF!,"CUIDADO DEL DONANTE DE ORGANOS",IF(P320=#REF!,"ATENCION A VICTIMAS POR VIOLENCIA DE GENERO",IF(P320=#REF!,"IGUALDAD DE GENERO EN LA SALUD",IF(P320=#REF!,"BRIGADA DE EMERGENCIA",IF(P320=#REF!,"MANEJO DEL DOLOR Y CUIDADOS PALIATIVOS",IF(P320=#REF!,"TOMA DE MUESTRAS Y LABORATORIO POCT",IF(P320=#REF!,"IMPLANTE SUBDERMICO DE DISPOSITIVO INTRAUTERINO",IF(P320=#REF!,"SALUD MENTAL",IF(P320=#REF!,"PRIMEROS AUXILIOS PSICOLOGICOS",IF(P320=#REF!,"ATENCION A VICTIMAS POR CONFLICTO ARMADO",IF(P320=#REF!,"MANIPULACION DE ALIMENTOS Y BPM",IF(P320=#REF!,"ATENCION A PERSONAS CON DISCAPACIDAD",IF(P320=#REF!,"CUIDADO INTEGRAL DEL PACIENTE ADULTO",IF(P320=#REF!,"MANEJO DEFENSIVO",IF(P320=#REF!,"SOPORTE CARDIOVASCULAR AVANZADO NEONATAL",IF(P320=#REF!,"SEGURIDAD DEL PACIENTE",IF(P320=#REF!,"MANEJO DE RESIDUOS HOSPITALARIOS"))))))))))))))))))))))))))))))))))))</f>
        <v>#REF!</v>
      </c>
      <c r="W320" s="26" t="str">
        <f>CONCATENATE(E320," ",F320," ",C320," ",D320)</f>
        <v>Estefany Yajaira Lopez Peña</v>
      </c>
      <c r="X320" s="26" t="str">
        <f t="shared" si="31"/>
        <v>Estefany Yajaira Lopez Peña</v>
      </c>
      <c r="Y320" s="26" t="str">
        <f>CONCATENATE(W320,"-",B320,"-",P320)</f>
        <v>Estefany Yajaira Lopez Peña-1085304007-PRIMEROS AUXILIOS</v>
      </c>
      <c r="Z320" s="35"/>
    </row>
    <row r="321" spans="1:25" x14ac:dyDescent="0.2">
      <c r="A321" s="20">
        <v>68</v>
      </c>
      <c r="B321" s="21">
        <v>1088738423</v>
      </c>
      <c r="C321" s="21" t="s">
        <v>197</v>
      </c>
      <c r="D321" s="21" t="s">
        <v>198</v>
      </c>
      <c r="E321" s="21" t="s">
        <v>199</v>
      </c>
      <c r="F321" s="21" t="s">
        <v>105</v>
      </c>
      <c r="G321" s="21">
        <v>14</v>
      </c>
      <c r="H321" s="21" t="s">
        <v>49</v>
      </c>
      <c r="I321" s="22" t="s">
        <v>376</v>
      </c>
      <c r="J321" s="22"/>
      <c r="K321" s="23">
        <v>45672</v>
      </c>
      <c r="L321" s="42">
        <v>80000</v>
      </c>
      <c r="M321" s="21" t="s">
        <v>106</v>
      </c>
      <c r="N321" s="21" t="s">
        <v>387</v>
      </c>
      <c r="O321" s="21" t="s">
        <v>95</v>
      </c>
      <c r="P321" s="21" t="s">
        <v>24</v>
      </c>
      <c r="Q321" s="22">
        <v>35930</v>
      </c>
      <c r="R321" s="21" t="s">
        <v>71</v>
      </c>
      <c r="S321" s="25" t="s">
        <v>172</v>
      </c>
      <c r="T321" s="21">
        <v>3137052473</v>
      </c>
      <c r="U321" s="21" t="s">
        <v>200</v>
      </c>
      <c r="V321" s="26" t="e">
        <f>IF(P321=#REF!,"DIPLOMADO EN ATENCION PRE-HOSPITALARIA",IF(P321=#REF!,"ACOMPAÑAMIENTO Y MANEJO DEL DUELO",IF(P321=#REF!,"ATENCION A VICTIMAS DE ATAQUE CON AGENTES QUIMICOS ",IF(P321=#REF!,"PRIMEROS AUXILIOS ",IF(P321=#REF!,"DIPLOMADO DE UNIDAD DE CUIDADOS INTENSIVOS (UCI)",IF(P321=#REF!,"MODELO DE ATENCION PARA EVENTOS EMERGENTES EN SALUD MENTAL (CODIGO VERDE)",IF(P321=#REF!,"HUMANIZACION EN EL SERVICIO DE LA SALUD Y BUENAS PRACTICAS EN PACIENTE ",IF(P321=#REF!,"CLINICA DE HERIDAS ",IF(P321=#REF!,"TOMA DE CITOLOGIA CERVICO VAGINAL ",IF(P321=#REF!,"SOPORTE CARDIOVASCULAR AVANZADO (ACLS) ",IF(P321=#REF!,"CAMILLERO ",IF(P321=#REF!,"TOMA DE MUESTRAS Y LABORATORIO ",IF(P321=#REF!,"SOPORTE VITAL BASICO (BLS)",IF(P321=#REF!,"ATENCION A VICTIMAS DE VIOLENCIA SEXUAL ",IF(P321=#REF!,"PROGRAMADO AMPLIADO DE INMUNIZACION (PAI - COVID 19)",IF(P321=#REF!,"ATENCION INTEGRAL EN ENFERMEDADES PREVALENTES EN PRIMERA INFANCIA (AIEPI)",IF(P321=#REF!,"ADMINISTRACION DE MEDICAMENTOS, INYECTOLOGIA  Y CANALIZACION ",IF(P321=#REF!,"OPERADOR DE VEHICULOS DE EMERGENCIA (OVE)",IF(P321=#REF!,"INSTITUCIONES AMIGAS DE LA MUJER Y LA INFANCIA (IAMI)",IF(P321=#REF!,"CUIDADO DEL DONANTE DE ORGANOS",IF(P321=#REF!,"ATENCION A VICTIMAS POR VIOLENCIA DE GENERO",IF(P321=#REF!,"IGUALDAD DE GENERO EN LA SALUD",IF(P321=#REF!,"BRIGADA DE EMERGENCIA",IF(P321=#REF!,"MANEJO DEL DOLOR Y CUIDADOS PALIATIVOS",IF(P321=#REF!,"TOMA DE MUESTRAS Y LABORATORIO POCT",IF(P321=#REF!,"IMPLANTE SUBDERMICO DE DISPOSITIVO INTRAUTERINO",IF(P321=#REF!,"SALUD MENTAL",IF(P321=#REF!,"PRIMEROS AUXILIOS PSICOLOGICOS",IF(P321=#REF!,"ATENCION A VICTIMAS POR CONFLICTO ARMADO",IF(P321=#REF!,"MANIPULACION DE ALIMENTOS Y BPM",IF(P321=#REF!,"ATENCION A PERSONAS CON DISCAPACIDAD",IF(P321=#REF!,"CUIDADO INTEGRAL DEL PACIENTE ADULTO",IF(P321=#REF!,"MANEJO DEFENSIVO",IF(P321=#REF!,"SOPORTE CARDIOVASCULAR AVANZADO NEONATAL",IF(P321=#REF!,"SEGURIDAD DEL PACIENTE",IF(P321=#REF!,"MANEJO DE RESIDUOS HOSPITALARIOS"))))))))))))))))))))))))))))))))))))</f>
        <v>#REF!</v>
      </c>
      <c r="W321" s="26" t="str">
        <f>CONCATENATE(E321," ",F321," ",C321," ",D321)</f>
        <v>Derly Paola Arteaga Díaz</v>
      </c>
      <c r="X321" s="26" t="str">
        <f t="shared" si="31"/>
        <v>Derly Paola Arteaga Díaz</v>
      </c>
      <c r="Y321" s="26" t="str">
        <f>CONCATENATE(W321,"-",B321,"-",P321)</f>
        <v>Derly Paola Arteaga Díaz-1088738423-ACLS</v>
      </c>
    </row>
    <row r="322" spans="1:25" x14ac:dyDescent="0.2">
      <c r="A322" s="20">
        <v>69</v>
      </c>
      <c r="B322" s="21">
        <v>1088738423</v>
      </c>
      <c r="C322" s="21" t="s">
        <v>197</v>
      </c>
      <c r="D322" s="21" t="s">
        <v>198</v>
      </c>
      <c r="E322" s="21" t="s">
        <v>199</v>
      </c>
      <c r="F322" s="21" t="s">
        <v>105</v>
      </c>
      <c r="G322" s="21">
        <v>14</v>
      </c>
      <c r="H322" s="21" t="s">
        <v>49</v>
      </c>
      <c r="I322" s="22" t="s">
        <v>376</v>
      </c>
      <c r="J322" s="22"/>
      <c r="K322" s="23">
        <v>45672</v>
      </c>
      <c r="L322" s="42">
        <v>20000</v>
      </c>
      <c r="M322" s="21" t="s">
        <v>106</v>
      </c>
      <c r="N322" s="21" t="s">
        <v>387</v>
      </c>
      <c r="O322" s="21" t="s">
        <v>95</v>
      </c>
      <c r="P322" s="21" t="s">
        <v>19</v>
      </c>
      <c r="Q322" s="22">
        <v>35930</v>
      </c>
      <c r="R322" s="21" t="s">
        <v>71</v>
      </c>
      <c r="S322" s="25" t="s">
        <v>172</v>
      </c>
      <c r="T322" s="21">
        <v>3137052473</v>
      </c>
      <c r="U322" s="21" t="s">
        <v>200</v>
      </c>
      <c r="V322" s="26" t="e">
        <f>IF(P322=#REF!,"DIPLOMADO EN ATENCION PRE-HOSPITALARIA",IF(P322=#REF!,"ACOMPAÑAMIENTO Y MANEJO DEL DUELO",IF(P322=#REF!,"ATENCION A VICTIMAS DE ATAQUE CON AGENTES QUIMICOS ",IF(P322=#REF!,"PRIMEROS AUXILIOS ",IF(P322=#REF!,"DIPLOMADO DE UNIDAD DE CUIDADOS INTENSIVOS (UCI)",IF(P322=#REF!,"MODELO DE ATENCION PARA EVENTOS EMERGENTES EN SALUD MENTAL (CODIGO VERDE)",IF(P322=#REF!,"HUMANIZACION EN EL SERVICIO DE LA SALUD Y BUENAS PRACTICAS EN PACIENTE ",IF(P322=#REF!,"CLINICA DE HERIDAS ",IF(P322=#REF!,"TOMA DE CITOLOGIA CERVICO VAGINAL ",IF(P322=#REF!,"SOPORTE CARDIOVASCULAR AVANZADO (ACLS) ",IF(P322=#REF!,"CAMILLERO ",IF(P322=#REF!,"TOMA DE MUESTRAS Y LABORATORIO ",IF(P322=#REF!,"SOPORTE VITAL BASICO (BLS)",IF(P322=#REF!,"ATENCION A VICTIMAS DE VIOLENCIA SEXUAL ",IF(P322=#REF!,"PROGRAMADO AMPLIADO DE INMUNIZACION (PAI - COVID 19)",IF(P322=#REF!,"ATENCION INTEGRAL EN ENFERMEDADES PREVALENTES EN PRIMERA INFANCIA (AIEPI)",IF(P322=#REF!,"ADMINISTRACION DE MEDICAMENTOS, INYECTOLOGIA  Y CANALIZACION ",IF(P322=#REF!,"OPERADOR DE VEHICULOS DE EMERGENCIA (OVE)",IF(P322=#REF!,"INSTITUCIONES AMIGAS DE LA MUJER Y LA INFANCIA (IAMI)",IF(P322=#REF!,"CUIDADO DEL DONANTE DE ORGANOS",IF(P322=#REF!,"ATENCION A VICTIMAS POR VIOLENCIA DE GENERO",IF(P322=#REF!,"IGUALDAD DE GENERO EN LA SALUD",IF(P322=#REF!,"BRIGADA DE EMERGENCIA",IF(P322=#REF!,"MANEJO DEL DOLOR Y CUIDADOS PALIATIVOS",IF(P322=#REF!,"TOMA DE MUESTRAS Y LABORATORIO POCT",IF(P322=#REF!,"IMPLANTE SUBDERMICO DE DISPOSITIVO INTRAUTERINO",IF(P322=#REF!,"SALUD MENTAL",IF(P322=#REF!,"PRIMEROS AUXILIOS PSICOLOGICOS",IF(P322=#REF!,"ATENCION A VICTIMAS POR CONFLICTO ARMADO",IF(P322=#REF!,"MANIPULACION DE ALIMENTOS Y BPM",IF(P322=#REF!,"ATENCION A PERSONAS CON DISCAPACIDAD",IF(P322=#REF!,"CUIDADO INTEGRAL DEL PACIENTE ADULTO",IF(P322=#REF!,"MANEJO DEFENSIVO",IF(P322=#REF!,"SOPORTE CARDIOVASCULAR AVANZADO NEONATAL",IF(P322=#REF!,"SEGURIDAD DEL PACIENTE",IF(P322=#REF!,"MANEJO DE RESIDUOS HOSPITALARIOS"))))))))))))))))))))))))))))))))))))</f>
        <v>#REF!</v>
      </c>
      <c r="W322" s="26" t="str">
        <f>CONCATENATE(E322," ",F322," ",C322," ",D322)</f>
        <v>Derly Paola Arteaga Díaz</v>
      </c>
      <c r="X322" s="26" t="str">
        <f t="shared" si="31"/>
        <v>Derly Paola Arteaga Díaz</v>
      </c>
      <c r="Y322" s="26" t="str">
        <f>CONCATENATE(W322,"-",B322,"-",P322)</f>
        <v>Derly Paola Arteaga Díaz-1088738423-BLS</v>
      </c>
    </row>
    <row r="323" spans="1:25" x14ac:dyDescent="0.2">
      <c r="A323" s="20">
        <v>70</v>
      </c>
      <c r="B323" s="21">
        <v>1088738423</v>
      </c>
      <c r="C323" s="21" t="s">
        <v>197</v>
      </c>
      <c r="D323" s="21" t="s">
        <v>198</v>
      </c>
      <c r="E323" s="21" t="s">
        <v>199</v>
      </c>
      <c r="F323" s="21" t="s">
        <v>105</v>
      </c>
      <c r="G323" s="21">
        <v>13</v>
      </c>
      <c r="H323" s="21" t="s">
        <v>49</v>
      </c>
      <c r="I323" s="22" t="s">
        <v>376</v>
      </c>
      <c r="J323" s="22"/>
      <c r="K323" s="23">
        <v>45672</v>
      </c>
      <c r="L323" s="42">
        <v>32000</v>
      </c>
      <c r="M323" s="21" t="s">
        <v>106</v>
      </c>
      <c r="N323" s="21" t="s">
        <v>387</v>
      </c>
      <c r="O323" s="21" t="s">
        <v>95</v>
      </c>
      <c r="P323" s="21" t="s">
        <v>21</v>
      </c>
      <c r="Q323" s="22">
        <v>35930</v>
      </c>
      <c r="R323" s="21" t="s">
        <v>71</v>
      </c>
      <c r="S323" s="25" t="s">
        <v>172</v>
      </c>
      <c r="T323" s="21">
        <v>3137052473</v>
      </c>
      <c r="U323" s="21" t="s">
        <v>200</v>
      </c>
      <c r="V323" s="26" t="e">
        <f>IF(P323=#REF!,"DIPLOMADO EN ATENCION PRE-HOSPITALARIA",IF(P323=#REF!,"ACOMPAÑAMIENTO Y MANEJO DEL DUELO",IF(P323=#REF!,"ATENCION A VICTIMAS DE ATAQUE CON AGENTES QUIMICOS ",IF(P323=#REF!,"PRIMEROS AUXILIOS ",IF(P323=#REF!,"DIPLOMADO DE UNIDAD DE CUIDADOS INTENSIVOS (UCI)",IF(P323=#REF!,"MODELO DE ATENCION PARA EVENTOS EMERGENTES EN SALUD MENTAL (CODIGO VERDE)",IF(P323=#REF!,"HUMANIZACION EN EL SERVICIO DE LA SALUD Y BUENAS PRACTICAS EN PACIENTE ",IF(P323=#REF!,"CLINICA DE HERIDAS ",IF(P323=#REF!,"TOMA DE CITOLOGIA CERVICO VAGINAL ",IF(P323=#REF!,"SOPORTE CARDIOVASCULAR AVANZADO (ACLS) ",IF(P323=#REF!,"CAMILLERO ",IF(P323=#REF!,"TOMA DE MUESTRAS Y LABORATORIO ",IF(P323=#REF!,"SOPORTE VITAL BASICO (BLS)",IF(P323=#REF!,"ATENCION A VICTIMAS DE VIOLENCIA SEXUAL ",IF(P323=#REF!,"PROGRAMADO AMPLIADO DE INMUNIZACION (PAI - COVID 19)",IF(P323=#REF!,"ATENCION INTEGRAL EN ENFERMEDADES PREVALENTES EN PRIMERA INFANCIA (AIEPI)",IF(P323=#REF!,"ADMINISTRACION DE MEDICAMENTOS, INYECTOLOGIA  Y CANALIZACION ",IF(P323=#REF!,"OPERADOR DE VEHICULOS DE EMERGENCIA (OVE)",IF(P323=#REF!,"INSTITUCIONES AMIGAS DE LA MUJER Y LA INFANCIA (IAMI)",IF(P323=#REF!,"CUIDADO DEL DONANTE DE ORGANOS",IF(P323=#REF!,"ATENCION A VICTIMAS POR VIOLENCIA DE GENERO",IF(P323=#REF!,"IGUALDAD DE GENERO EN LA SALUD",IF(P323=#REF!,"BRIGADA DE EMERGENCIA",IF(P323=#REF!,"MANEJO DEL DOLOR Y CUIDADOS PALIATIVOS",IF(P323=#REF!,"TOMA DE MUESTRAS Y LABORATORIO POCT",IF(P323=#REF!,"IMPLANTE SUBDERMICO DE DISPOSITIVO INTRAUTERINO",IF(P323=#REF!,"SALUD MENTAL",IF(P323=#REF!,"PRIMEROS AUXILIOS PSICOLOGICOS",IF(P323=#REF!,"ATENCION A VICTIMAS POR CONFLICTO ARMADO",IF(P323=#REF!,"MANIPULACION DE ALIMENTOS Y BPM",IF(P323=#REF!,"ATENCION A PERSONAS CON DISCAPACIDAD",IF(P323=#REF!,"CUIDADO INTEGRAL DEL PACIENTE ADULTO",IF(P323=#REF!,"MANEJO DEFENSIVO",IF(P323=#REF!,"SOPORTE CARDIOVASCULAR AVANZADO NEONATAL",IF(P323=#REF!,"SEGURIDAD DEL PACIENTE",IF(P323=#REF!,"MANEJO DE RESIDUOS HOSPITALARIOS"))))))))))))))))))))))))))))))))))))</f>
        <v>#REF!</v>
      </c>
      <c r="W323" s="26" t="str">
        <f>CONCATENATE(E323," ",F323," ",C323," ",D323)</f>
        <v>Derly Paola Arteaga Díaz</v>
      </c>
      <c r="X323" s="26" t="str">
        <f t="shared" si="31"/>
        <v>Derly Paola Arteaga Díaz</v>
      </c>
      <c r="Y323" s="26" t="str">
        <f>CONCATENATE(W323,"-",B323,"-",P323)</f>
        <v>Derly Paola Arteaga Díaz-1088738423-QUIMICOS</v>
      </c>
    </row>
    <row r="324" spans="1:25" x14ac:dyDescent="0.2">
      <c r="A324" s="20">
        <v>71</v>
      </c>
      <c r="B324" s="21">
        <v>1088738423</v>
      </c>
      <c r="C324" s="21" t="s">
        <v>197</v>
      </c>
      <c r="D324" s="21" t="s">
        <v>198</v>
      </c>
      <c r="E324" s="21" t="s">
        <v>199</v>
      </c>
      <c r="F324" s="21" t="s">
        <v>105</v>
      </c>
      <c r="G324" s="21">
        <v>15</v>
      </c>
      <c r="H324" s="21" t="s">
        <v>49</v>
      </c>
      <c r="I324" s="22" t="s">
        <v>376</v>
      </c>
      <c r="J324" s="22"/>
      <c r="K324" s="23">
        <v>45672</v>
      </c>
      <c r="L324" s="42">
        <v>32000</v>
      </c>
      <c r="M324" s="21" t="s">
        <v>106</v>
      </c>
      <c r="N324" s="21" t="s">
        <v>387</v>
      </c>
      <c r="O324" s="21" t="s">
        <v>95</v>
      </c>
      <c r="P324" s="21" t="s">
        <v>20</v>
      </c>
      <c r="Q324" s="22">
        <v>35930</v>
      </c>
      <c r="R324" s="21" t="s">
        <v>71</v>
      </c>
      <c r="S324" s="25" t="s">
        <v>172</v>
      </c>
      <c r="T324" s="21">
        <v>3137052473</v>
      </c>
      <c r="U324" s="21" t="s">
        <v>200</v>
      </c>
      <c r="V324" s="26" t="e">
        <f>IF(P324=#REF!,"DIPLOMADO EN ATENCION PRE-HOSPITALARIA",IF(P324=#REF!,"ACOMPAÑAMIENTO Y MANEJO DEL DUELO",IF(P324=#REF!,"ATENCION A VICTIMAS DE ATAQUE CON AGENTES QUIMICOS ",IF(P324=#REF!,"PRIMEROS AUXILIOS ",IF(P324=#REF!,"DIPLOMADO DE UNIDAD DE CUIDADOS INTENSIVOS (UCI)",IF(P324=#REF!,"MODELO DE ATENCION PARA EVENTOS EMERGENTES EN SALUD MENTAL (CODIGO VERDE)",IF(P324=#REF!,"HUMANIZACION EN EL SERVICIO DE LA SALUD Y BUENAS PRACTICAS EN PACIENTE ",IF(P324=#REF!,"CLINICA DE HERIDAS ",IF(P324=#REF!,"TOMA DE CITOLOGIA CERVICO VAGINAL ",IF(P324=#REF!,"SOPORTE CARDIOVASCULAR AVANZADO (ACLS) ",IF(P324=#REF!,"CAMILLERO ",IF(P324=#REF!,"TOMA DE MUESTRAS Y LABORATORIO ",IF(P324=#REF!,"SOPORTE VITAL BASICO (BLS)",IF(P324=#REF!,"ATENCION A VICTIMAS DE VIOLENCIA SEXUAL ",IF(P324=#REF!,"PROGRAMADO AMPLIADO DE INMUNIZACION (PAI - COVID 19)",IF(P324=#REF!,"ATENCION INTEGRAL EN ENFERMEDADES PREVALENTES EN PRIMERA INFANCIA (AIEPI)",IF(P324=#REF!,"ADMINISTRACION DE MEDICAMENTOS, INYECTOLOGIA  Y CANALIZACION ",IF(P324=#REF!,"OPERADOR DE VEHICULOS DE EMERGENCIA (OVE)",IF(P324=#REF!,"INSTITUCIONES AMIGAS DE LA MUJER Y LA INFANCIA (IAMI)",IF(P324=#REF!,"CUIDADO DEL DONANTE DE ORGANOS",IF(P324=#REF!,"ATENCION A VICTIMAS POR VIOLENCIA DE GENERO",IF(P324=#REF!,"IGUALDAD DE GENERO EN LA SALUD",IF(P324=#REF!,"BRIGADA DE EMERGENCIA",IF(P324=#REF!,"MANEJO DEL DOLOR Y CUIDADOS PALIATIVOS",IF(P324=#REF!,"TOMA DE MUESTRAS Y LABORATORIO POCT",IF(P324=#REF!,"IMPLANTE SUBDERMICO DE DISPOSITIVO INTRAUTERINO",IF(P324=#REF!,"SALUD MENTAL",IF(P324=#REF!,"PRIMEROS AUXILIOS PSICOLOGICOS",IF(P324=#REF!,"ATENCION A VICTIMAS POR CONFLICTO ARMADO",IF(P324=#REF!,"MANIPULACION DE ALIMENTOS Y BPM",IF(P324=#REF!,"ATENCION A PERSONAS CON DISCAPACIDAD",IF(P324=#REF!,"CUIDADO INTEGRAL DEL PACIENTE ADULTO",IF(P324=#REF!,"MANEJO DEFENSIVO",IF(P324=#REF!,"SOPORTE CARDIOVASCULAR AVANZADO NEONATAL",IF(P324=#REF!,"SEGURIDAD DEL PACIENTE",IF(P324=#REF!,"MANEJO DE RESIDUOS HOSPITALARIOS"))))))))))))))))))))))))))))))))))))</f>
        <v>#REF!</v>
      </c>
      <c r="W324" s="26" t="str">
        <f>CONCATENATE(E324," ",F324," ",C324," ",D324)</f>
        <v>Derly Paola Arteaga Díaz</v>
      </c>
      <c r="X324" s="26" t="str">
        <f t="shared" si="31"/>
        <v>Derly Paola Arteaga Díaz</v>
      </c>
      <c r="Y324" s="26" t="str">
        <f>CONCATENATE(W324,"-",B324,"-",P324)</f>
        <v>Derly Paola Arteaga Díaz-1088738423-DUELO</v>
      </c>
    </row>
    <row r="325" spans="1:25" x14ac:dyDescent="0.2">
      <c r="A325" s="20">
        <v>72</v>
      </c>
      <c r="B325" s="21">
        <v>1088738423</v>
      </c>
      <c r="C325" s="21" t="s">
        <v>197</v>
      </c>
      <c r="D325" s="21" t="s">
        <v>198</v>
      </c>
      <c r="E325" s="21" t="s">
        <v>199</v>
      </c>
      <c r="F325" s="21" t="s">
        <v>105</v>
      </c>
      <c r="G325" s="21">
        <v>13</v>
      </c>
      <c r="H325" s="21" t="s">
        <v>49</v>
      </c>
      <c r="I325" s="22" t="s">
        <v>376</v>
      </c>
      <c r="J325" s="22"/>
      <c r="K325" s="23">
        <v>45672</v>
      </c>
      <c r="L325" s="42">
        <v>32000</v>
      </c>
      <c r="M325" s="21" t="s">
        <v>106</v>
      </c>
      <c r="N325" s="21" t="s">
        <v>387</v>
      </c>
      <c r="O325" s="21" t="s">
        <v>95</v>
      </c>
      <c r="P325" s="21" t="s">
        <v>27</v>
      </c>
      <c r="Q325" s="22">
        <v>35930</v>
      </c>
      <c r="R325" s="21" t="s">
        <v>71</v>
      </c>
      <c r="S325" s="25" t="s">
        <v>172</v>
      </c>
      <c r="T325" s="21">
        <v>3137052473</v>
      </c>
      <c r="U325" s="21" t="s">
        <v>200</v>
      </c>
      <c r="V325" s="26" t="e">
        <f>IF(P325=#REF!,"DIPLOMADO EN ATENCION PRE-HOSPITALARIA",IF(P325=#REF!,"ACOMPAÑAMIENTO Y MANEJO DEL DUELO",IF(P325=#REF!,"ATENCION A VICTIMAS DE ATAQUE CON AGENTES QUIMICOS ",IF(P325=#REF!,"PRIMEROS AUXILIOS ",IF(P325=#REF!,"DIPLOMADO DE UNIDAD DE CUIDADOS INTENSIVOS (UCI)",IF(P325=#REF!,"MODELO DE ATENCION PARA EVENTOS EMERGENTES EN SALUD MENTAL (CODIGO VERDE)",IF(P325=#REF!,"HUMANIZACION EN EL SERVICIO DE LA SALUD Y BUENAS PRACTICAS EN PACIENTE ",IF(P325=#REF!,"CLINICA DE HERIDAS ",IF(P325=#REF!,"TOMA DE CITOLOGIA CERVICO VAGINAL ",IF(P325=#REF!,"SOPORTE CARDIOVASCULAR AVANZADO (ACLS) ",IF(P325=#REF!,"CAMILLERO ",IF(P325=#REF!,"TOMA DE MUESTRAS Y LABORATORIO ",IF(P325=#REF!,"SOPORTE VITAL BASICO (BLS)",IF(P325=#REF!,"ATENCION A VICTIMAS DE VIOLENCIA SEXUAL ",IF(P325=#REF!,"PROGRAMADO AMPLIADO DE INMUNIZACION (PAI - COVID 19)",IF(P325=#REF!,"ATENCION INTEGRAL EN ENFERMEDADES PREVALENTES EN PRIMERA INFANCIA (AIEPI)",IF(P325=#REF!,"ADMINISTRACION DE MEDICAMENTOS, INYECTOLOGIA  Y CANALIZACION ",IF(P325=#REF!,"OPERADOR DE VEHICULOS DE EMERGENCIA (OVE)",IF(P325=#REF!,"INSTITUCIONES AMIGAS DE LA MUJER Y LA INFANCIA (IAMI)",IF(P325=#REF!,"CUIDADO DEL DONANTE DE ORGANOS",IF(P325=#REF!,"ATENCION A VICTIMAS POR VIOLENCIA DE GENERO",IF(P325=#REF!,"IGUALDAD DE GENERO EN LA SALUD",IF(P325=#REF!,"BRIGADA DE EMERGENCIA",IF(P325=#REF!,"MANEJO DEL DOLOR Y CUIDADOS PALIATIVOS",IF(P325=#REF!,"TOMA DE MUESTRAS Y LABORATORIO POCT",IF(P325=#REF!,"IMPLANTE SUBDERMICO DE DISPOSITIVO INTRAUTERINO",IF(P325=#REF!,"SALUD MENTAL",IF(P325=#REF!,"PRIMEROS AUXILIOS PSICOLOGICOS",IF(P325=#REF!,"ATENCION A VICTIMAS POR CONFLICTO ARMADO",IF(P325=#REF!,"MANIPULACION DE ALIMENTOS Y BPM",IF(P325=#REF!,"ATENCION A PERSONAS CON DISCAPACIDAD",IF(P325=#REF!,"CUIDADO INTEGRAL DEL PACIENTE ADULTO",IF(P325=#REF!,"MANEJO DEFENSIVO",IF(P325=#REF!,"SOPORTE CARDIOVASCULAR AVANZADO NEONATAL",IF(P325=#REF!,"SEGURIDAD DEL PACIENTE",IF(P325=#REF!,"MANEJO DE RESIDUOS HOSPITALARIOS"))))))))))))))))))))))))))))))))))))</f>
        <v>#REF!</v>
      </c>
      <c r="W325" s="26" t="str">
        <f>CONCATENATE(E325," ",F325," ",C325," ",D325)</f>
        <v>Derly Paola Arteaga Díaz</v>
      </c>
      <c r="X325" s="26" t="str">
        <f t="shared" si="31"/>
        <v>Derly Paola Arteaga Díaz</v>
      </c>
      <c r="Y325" s="26" t="str">
        <f>CONCATENATE(W325,"-",B325,"-",P325)</f>
        <v>Derly Paola Arteaga Díaz-1088738423-VIOLENCIA SEXUAL</v>
      </c>
    </row>
    <row r="326" spans="1:25" x14ac:dyDescent="0.2">
      <c r="A326" s="20">
        <v>73</v>
      </c>
      <c r="B326" s="21">
        <v>1088738423</v>
      </c>
      <c r="C326" s="21" t="s">
        <v>197</v>
      </c>
      <c r="D326" s="21" t="s">
        <v>198</v>
      </c>
      <c r="E326" s="21" t="s">
        <v>199</v>
      </c>
      <c r="F326" s="21" t="s">
        <v>105</v>
      </c>
      <c r="G326" s="21">
        <v>11</v>
      </c>
      <c r="H326" s="21" t="s">
        <v>49</v>
      </c>
      <c r="I326" s="22" t="s">
        <v>376</v>
      </c>
      <c r="J326" s="22"/>
      <c r="K326" s="23">
        <v>45672</v>
      </c>
      <c r="L326" s="42">
        <v>32000</v>
      </c>
      <c r="M326" s="21" t="s">
        <v>106</v>
      </c>
      <c r="N326" s="21" t="s">
        <v>387</v>
      </c>
      <c r="O326" s="21" t="s">
        <v>95</v>
      </c>
      <c r="P326" s="43" t="s">
        <v>23</v>
      </c>
      <c r="Q326" s="22">
        <v>35930</v>
      </c>
      <c r="R326" s="21" t="s">
        <v>71</v>
      </c>
      <c r="S326" s="25" t="s">
        <v>172</v>
      </c>
      <c r="T326" s="21">
        <v>3137052473</v>
      </c>
      <c r="U326" s="21" t="s">
        <v>200</v>
      </c>
      <c r="V326" s="26" t="e">
        <f>IF(P326=#REF!,"DIPLOMADO EN ATENCION PRE-HOSPITALARIA",IF(P326=#REF!,"ACOMPAÑAMIENTO Y MANEJO DEL DUELO",IF(P326=#REF!,"ATENCION A VICTIMAS DE ATAQUE CON AGENTES QUIMICOS ",IF(P326=#REF!,"PRIMEROS AUXILIOS ",IF(P326=#REF!,"DIPLOMADO DE UNIDAD DE CUIDADOS INTENSIVOS (UCI)",IF(P326=#REF!,"MODELO DE ATENCION PARA EVENTOS EMERGENTES EN SALUD MENTAL (CODIGO VERDE)",IF(P326=#REF!,"HUMANIZACION EN EL SERVICIO DE LA SALUD Y BUENAS PRACTICAS EN PACIENTE ",IF(P326=#REF!,"CLINICA DE HERIDAS ",IF(P326=#REF!,"TOMA DE CITOLOGIA CERVICO VAGINAL ",IF(P326=#REF!,"SOPORTE CARDIOVASCULAR AVANZADO (ACLS) ",IF(P326=#REF!,"CAMILLERO ",IF(P326=#REF!,"TOMA DE MUESTRAS Y LABORATORIO ",IF(P326=#REF!,"SOPORTE VITAL BASICO (BLS)",IF(P326=#REF!,"ATENCION A VICTIMAS DE VIOLENCIA SEXUAL ",IF(P326=#REF!,"PROGRAMADO AMPLIADO DE INMUNIZACION (PAI - COVID 19)",IF(P326=#REF!,"ATENCION INTEGRAL EN ENFERMEDADES PREVALENTES EN PRIMERA INFANCIA (AIEPI)",IF(P326=#REF!,"ADMINISTRACION DE MEDICAMENTOS, INYECTOLOGIA  Y CANALIZACION ",IF(P326=#REF!,"OPERADOR DE VEHICULOS DE EMERGENCIA (OVE)",IF(P326=#REF!,"INSTITUCIONES AMIGAS DE LA MUJER Y LA INFANCIA (IAMI)",IF(P326=#REF!,"CUIDADO DEL DONANTE DE ORGANOS",IF(P326=#REF!,"ATENCION A VICTIMAS POR VIOLENCIA DE GENERO",IF(P326=#REF!,"IGUALDAD DE GENERO EN LA SALUD",IF(P326=#REF!,"BRIGADA DE EMERGENCIA",IF(P326=#REF!,"MANEJO DEL DOLOR Y CUIDADOS PALIATIVOS",IF(P326=#REF!,"TOMA DE MUESTRAS Y LABORATORIO POCT",IF(P326=#REF!,"IMPLANTE SUBDERMICO DE DISPOSITIVO INTRAUTERINO",IF(P326=#REF!,"SALUD MENTAL",IF(P326=#REF!,"PRIMEROS AUXILIOS PSICOLOGICOS",IF(P326=#REF!,"ATENCION A VICTIMAS POR CONFLICTO ARMADO",IF(P326=#REF!,"MANIPULACION DE ALIMENTOS Y BPM",IF(P326=#REF!,"ATENCION A PERSONAS CON DISCAPACIDAD",IF(P326=#REF!,"CUIDADO INTEGRAL DEL PACIENTE ADULTO",IF(P326=#REF!,"MANEJO DEFENSIVO",IF(P326=#REF!,"SOPORTE CARDIOVASCULAR AVANZADO NEONATAL",IF(P326=#REF!,"SEGURIDAD DEL PACIENTE",IF(P326=#REF!,"MANEJO DE RESIDUOS HOSPITALARIOS"))))))))))))))))))))))))))))))))))))</f>
        <v>#REF!</v>
      </c>
      <c r="W326" s="26" t="str">
        <f>CONCATENATE(E326," ",F326," ",C326," ",D326)</f>
        <v>Derly Paola Arteaga Díaz</v>
      </c>
      <c r="X326" s="26" t="str">
        <f t="shared" si="31"/>
        <v>Derly Paola Arteaga Díaz</v>
      </c>
      <c r="Y326" s="26" t="str">
        <f>CONCATENATE(W326,"-",B326,"-",P326)</f>
        <v>Derly Paola Arteaga Díaz-1088738423-HUMANIZACION</v>
      </c>
    </row>
    <row r="327" spans="1:25" x14ac:dyDescent="0.2">
      <c r="A327" s="20">
        <v>74</v>
      </c>
      <c r="B327" s="21">
        <v>1088738423</v>
      </c>
      <c r="C327" s="21" t="s">
        <v>197</v>
      </c>
      <c r="D327" s="21" t="s">
        <v>198</v>
      </c>
      <c r="E327" s="21" t="s">
        <v>199</v>
      </c>
      <c r="F327" s="21" t="s">
        <v>105</v>
      </c>
      <c r="G327" s="21">
        <v>10</v>
      </c>
      <c r="H327" s="21" t="s">
        <v>49</v>
      </c>
      <c r="I327" s="22" t="s">
        <v>376</v>
      </c>
      <c r="J327" s="22"/>
      <c r="K327" s="23">
        <v>45672</v>
      </c>
      <c r="L327" s="42">
        <v>32000</v>
      </c>
      <c r="M327" s="21" t="s">
        <v>106</v>
      </c>
      <c r="N327" s="21" t="s">
        <v>387</v>
      </c>
      <c r="O327" s="21" t="s">
        <v>95</v>
      </c>
      <c r="P327" s="21" t="s">
        <v>28</v>
      </c>
      <c r="Q327" s="22">
        <v>35930</v>
      </c>
      <c r="R327" s="21" t="s">
        <v>71</v>
      </c>
      <c r="S327" s="25" t="s">
        <v>172</v>
      </c>
      <c r="T327" s="21">
        <v>3137052473</v>
      </c>
      <c r="U327" s="21" t="s">
        <v>200</v>
      </c>
      <c r="V327" s="26" t="e">
        <f>IF(P327=#REF!,"DIPLOMADO EN ATENCION PRE-HOSPITALARIA",IF(P327=#REF!,"ACOMPAÑAMIENTO Y MANEJO DEL DUELO",IF(P327=#REF!,"ATENCION A VICTIMAS DE ATAQUE CON AGENTES QUIMICOS ",IF(P327=#REF!,"PRIMEROS AUXILIOS ",IF(P327=#REF!,"DIPLOMADO DE UNIDAD DE CUIDADOS INTENSIVOS (UCI)",IF(P327=#REF!,"MODELO DE ATENCION PARA EVENTOS EMERGENTES EN SALUD MENTAL (CODIGO VERDE)",IF(P327=#REF!,"HUMANIZACION EN EL SERVICIO DE LA SALUD Y BUENAS PRACTICAS EN PACIENTE ",IF(P327=#REF!,"CLINICA DE HERIDAS ",IF(P327=#REF!,"TOMA DE CITOLOGIA CERVICO VAGINAL ",IF(P327=#REF!,"SOPORTE CARDIOVASCULAR AVANZADO (ACLS) ",IF(P327=#REF!,"CAMILLERO ",IF(P327=#REF!,"TOMA DE MUESTRAS Y LABORATORIO ",IF(P327=#REF!,"SOPORTE VITAL BASICO (BLS)",IF(P327=#REF!,"ATENCION A VICTIMAS DE VIOLENCIA SEXUAL ",IF(P327=#REF!,"PROGRAMADO AMPLIADO DE INMUNIZACION (PAI - COVID 19)",IF(P327=#REF!,"ATENCION INTEGRAL EN ENFERMEDADES PREVALENTES EN PRIMERA INFANCIA (AIEPI)",IF(P327=#REF!,"ADMINISTRACION DE MEDICAMENTOS, INYECTOLOGIA  Y CANALIZACION ",IF(P327=#REF!,"OPERADOR DE VEHICULOS DE EMERGENCIA (OVE)",IF(P327=#REF!,"INSTITUCIONES AMIGAS DE LA MUJER Y LA INFANCIA (IAMI)",IF(P327=#REF!,"CUIDADO DEL DONANTE DE ORGANOS",IF(P327=#REF!,"ATENCION A VICTIMAS POR VIOLENCIA DE GENERO",IF(P327=#REF!,"IGUALDAD DE GENERO EN LA SALUD",IF(P327=#REF!,"BRIGADA DE EMERGENCIA",IF(P327=#REF!,"MANEJO DEL DOLOR Y CUIDADOS PALIATIVOS",IF(P327=#REF!,"TOMA DE MUESTRAS Y LABORATORIO POCT",IF(P327=#REF!,"IMPLANTE SUBDERMICO DE DISPOSITIVO INTRAUTERINO",IF(P327=#REF!,"SALUD MENTAL",IF(P327=#REF!,"PRIMEROS AUXILIOS PSICOLOGICOS",IF(P327=#REF!,"ATENCION A VICTIMAS POR CONFLICTO ARMADO",IF(P327=#REF!,"MANIPULACION DE ALIMENTOS Y BPM",IF(P327=#REF!,"ATENCION A PERSONAS CON DISCAPACIDAD",IF(P327=#REF!,"CUIDADO INTEGRAL DEL PACIENTE ADULTO",IF(P327=#REF!,"MANEJO DEFENSIVO",IF(P327=#REF!,"SOPORTE CARDIOVASCULAR AVANZADO NEONATAL",IF(P327=#REF!,"SEGURIDAD DEL PACIENTE",IF(P327=#REF!,"MANEJO DE RESIDUOS HOSPITALARIOS"))))))))))))))))))))))))))))))))))))</f>
        <v>#REF!</v>
      </c>
      <c r="W327" s="26" t="str">
        <f>CONCATENATE(E327," ",F327," ",C327," ",D327)</f>
        <v>Derly Paola Arteaga Díaz</v>
      </c>
      <c r="X327" s="26" t="str">
        <f t="shared" si="31"/>
        <v>Derly Paola Arteaga Díaz</v>
      </c>
      <c r="Y327" s="26" t="str">
        <f>CONCATENATE(W327,"-",B327,"-",P327)</f>
        <v>Derly Paola Arteaga Díaz-1088738423-AIEPI</v>
      </c>
    </row>
    <row r="328" spans="1:25" x14ac:dyDescent="0.2">
      <c r="A328" s="20">
        <v>75</v>
      </c>
      <c r="B328" s="21">
        <v>1016006903</v>
      </c>
      <c r="C328" s="21" t="s">
        <v>201</v>
      </c>
      <c r="D328" s="21" t="s">
        <v>202</v>
      </c>
      <c r="E328" s="21" t="s">
        <v>203</v>
      </c>
      <c r="F328" s="21" t="s">
        <v>204</v>
      </c>
      <c r="G328" s="21">
        <v>10</v>
      </c>
      <c r="H328" s="21" t="s">
        <v>49</v>
      </c>
      <c r="I328" s="22" t="s">
        <v>376</v>
      </c>
      <c r="J328" s="22"/>
      <c r="K328" s="23">
        <v>45671</v>
      </c>
      <c r="L328" s="42">
        <v>37500</v>
      </c>
      <c r="M328" s="21" t="s">
        <v>206</v>
      </c>
      <c r="N328" s="21" t="s">
        <v>387</v>
      </c>
      <c r="O328" s="21" t="s">
        <v>77</v>
      </c>
      <c r="P328" s="21" t="s">
        <v>28</v>
      </c>
      <c r="Q328" s="22"/>
      <c r="R328" s="21" t="s">
        <v>71</v>
      </c>
      <c r="S328" s="25"/>
      <c r="T328" s="25">
        <v>3168910790</v>
      </c>
      <c r="U328" s="21" t="s">
        <v>205</v>
      </c>
      <c r="V328" s="26" t="e">
        <f>IF(P328=#REF!,"DIPLOMADO EN ATENCION PRE-HOSPITALARIA",IF(P328=#REF!,"ACOMPAÑAMIENTO Y MANEJO DEL DUELO",IF(P328=#REF!,"ATENCION A VICTIMAS DE ATAQUE CON AGENTES QUIMICOS ",IF(P328=#REF!,"PRIMEROS AUXILIOS ",IF(P328=#REF!,"DIPLOMADO DE UNIDAD DE CUIDADOS INTENSIVOS (UCI)",IF(P328=#REF!,"MODELO DE ATENCION PARA EVENTOS EMERGENTES EN SALUD MENTAL (CODIGO VERDE)",IF(P328=#REF!,"HUMANIZACION EN EL SERVICIO DE LA SALUD Y BUENAS PRACTICAS EN PACIENTE ",IF(P328=#REF!,"CLINICA DE HERIDAS ",IF(P328=#REF!,"TOMA DE CITOLOGIA CERVICO VAGINAL ",IF(P328=#REF!,"SOPORTE CARDIOVASCULAR AVANZADO (ACLS) ",IF(P328=#REF!,"CAMILLERO ",IF(P328=#REF!,"TOMA DE MUESTRAS Y LABORATORIO ",IF(P328=#REF!,"SOPORTE VITAL BASICO (BLS)",IF(P328=#REF!,"ATENCION A VICTIMAS DE VIOLENCIA SEXUAL ",IF(P328=#REF!,"PROGRAMADO AMPLIADO DE INMUNIZACION (PAI - COVID 19)",IF(P328=#REF!,"ATENCION INTEGRAL EN ENFERMEDADES PREVALENTES EN PRIMERA INFANCIA (AIEPI)",IF(P328=#REF!,"ADMINISTRACION DE MEDICAMENTOS, INYECTOLOGIA  Y CANALIZACION ",IF(P328=#REF!,"OPERADOR DE VEHICULOS DE EMERGENCIA (OVE)",IF(P328=#REF!,"INSTITUCIONES AMIGAS DE LA MUJER Y LA INFANCIA (IAMI)",IF(P328=#REF!,"CUIDADO DEL DONANTE DE ORGANOS",IF(P328=#REF!,"ATENCION A VICTIMAS POR VIOLENCIA DE GENERO",IF(P328=#REF!,"IGUALDAD DE GENERO EN LA SALUD",IF(P328=#REF!,"BRIGADA DE EMERGENCIA",IF(P328=#REF!,"MANEJO DEL DOLOR Y CUIDADOS PALIATIVOS",IF(P328=#REF!,"TOMA DE MUESTRAS Y LABORATORIO POCT",IF(P328=#REF!,"IMPLANTE SUBDERMICO DE DISPOSITIVO INTRAUTERINO",IF(P328=#REF!,"SALUD MENTAL",IF(P328=#REF!,"PRIMEROS AUXILIOS PSICOLOGICOS",IF(P328=#REF!,"ATENCION A VICTIMAS POR CONFLICTO ARMADO",IF(P328=#REF!,"MANIPULACION DE ALIMENTOS Y BPM",IF(P328=#REF!,"ATENCION A PERSONAS CON DISCAPACIDAD",IF(P328=#REF!,"CUIDADO INTEGRAL DEL PACIENTE ADULTO",IF(P328=#REF!,"MANEJO DEFENSIVO",IF(P328=#REF!,"SOPORTE CARDIOVASCULAR AVANZADO NEONATAL",IF(P328=#REF!,"SEGURIDAD DEL PACIENTE",IF(P328=#REF!,"MANEJO DE RESIDUOS HOSPITALARIOS"))))))))))))))))))))))))))))))))))))</f>
        <v>#REF!</v>
      </c>
      <c r="W328" s="26" t="str">
        <f>CONCATENATE(E328," ",F328," ",C328," ",D328)</f>
        <v>Angelica Desiree Sandoval Baquerizo</v>
      </c>
      <c r="X328" s="26" t="str">
        <f t="shared" si="31"/>
        <v>Angelica Desiree Sandoval Baquerizo</v>
      </c>
      <c r="Y328" s="26" t="str">
        <f>CONCATENATE(W328,"-",B328,"-",P328)</f>
        <v>Angelica Desiree Sandoval Baquerizo-1016006903-AIEPI</v>
      </c>
    </row>
    <row r="329" spans="1:25" x14ac:dyDescent="0.2">
      <c r="A329" s="20">
        <v>76</v>
      </c>
      <c r="B329" s="21">
        <v>1016006903</v>
      </c>
      <c r="C329" s="21" t="s">
        <v>201</v>
      </c>
      <c r="D329" s="21" t="s">
        <v>202</v>
      </c>
      <c r="E329" s="21" t="s">
        <v>203</v>
      </c>
      <c r="F329" s="21" t="s">
        <v>204</v>
      </c>
      <c r="G329" s="21">
        <v>13</v>
      </c>
      <c r="H329" s="21" t="s">
        <v>49</v>
      </c>
      <c r="I329" s="22" t="s">
        <v>376</v>
      </c>
      <c r="J329" s="22"/>
      <c r="K329" s="23">
        <v>45671</v>
      </c>
      <c r="L329" s="42">
        <v>37500</v>
      </c>
      <c r="M329" s="21" t="s">
        <v>206</v>
      </c>
      <c r="N329" s="21" t="s">
        <v>387</v>
      </c>
      <c r="O329" s="21" t="s">
        <v>77</v>
      </c>
      <c r="P329" s="21" t="s">
        <v>31</v>
      </c>
      <c r="Q329" s="22"/>
      <c r="R329" s="21" t="s">
        <v>71</v>
      </c>
      <c r="S329" s="25"/>
      <c r="T329" s="25">
        <v>3168910790</v>
      </c>
      <c r="U329" s="21" t="s">
        <v>205</v>
      </c>
      <c r="V329" s="26" t="e">
        <f>IF(P329=#REF!,"DIPLOMADO EN ATENCION PRE-HOSPITALARIA",IF(P329=#REF!,"ACOMPAÑAMIENTO Y MANEJO DEL DUELO",IF(P329=#REF!,"ATENCION A VICTIMAS DE ATAQUE CON AGENTES QUIMICOS ",IF(P329=#REF!,"PRIMEROS AUXILIOS ",IF(P329=#REF!,"DIPLOMADO DE UNIDAD DE CUIDADOS INTENSIVOS (UCI)",IF(P329=#REF!,"MODELO DE ATENCION PARA EVENTOS EMERGENTES EN SALUD MENTAL (CODIGO VERDE)",IF(P329=#REF!,"HUMANIZACION EN EL SERVICIO DE LA SALUD Y BUENAS PRACTICAS EN PACIENTE ",IF(P329=#REF!,"CLINICA DE HERIDAS ",IF(P329=#REF!,"TOMA DE CITOLOGIA CERVICO VAGINAL ",IF(P329=#REF!,"SOPORTE CARDIOVASCULAR AVANZADO (ACLS) ",IF(P329=#REF!,"CAMILLERO ",IF(P329=#REF!,"TOMA DE MUESTRAS Y LABORATORIO ",IF(P329=#REF!,"SOPORTE VITAL BASICO (BLS)",IF(P329=#REF!,"ATENCION A VICTIMAS DE VIOLENCIA SEXUAL ",IF(P329=#REF!,"PROGRAMADO AMPLIADO DE INMUNIZACION (PAI - COVID 19)",IF(P329=#REF!,"ATENCION INTEGRAL EN ENFERMEDADES PREVALENTES EN PRIMERA INFANCIA (AIEPI)",IF(P329=#REF!,"ADMINISTRACION DE MEDICAMENTOS, INYECTOLOGIA  Y CANALIZACION ",IF(P329=#REF!,"OPERADOR DE VEHICULOS DE EMERGENCIA (OVE)",IF(P329=#REF!,"INSTITUCIONES AMIGAS DE LA MUJER Y LA INFANCIA (IAMI)",IF(P329=#REF!,"CUIDADO DEL DONANTE DE ORGANOS",IF(P329=#REF!,"ATENCION A VICTIMAS POR VIOLENCIA DE GENERO",IF(P329=#REF!,"IGUALDAD DE GENERO EN LA SALUD",IF(P329=#REF!,"BRIGADA DE EMERGENCIA",IF(P329=#REF!,"MANEJO DEL DOLOR Y CUIDADOS PALIATIVOS",IF(P329=#REF!,"TOMA DE MUESTRAS Y LABORATORIO POCT",IF(P329=#REF!,"IMPLANTE SUBDERMICO DE DISPOSITIVO INTRAUTERINO",IF(P329=#REF!,"SALUD MENTAL",IF(P329=#REF!,"PRIMEROS AUXILIOS PSICOLOGICOS",IF(P329=#REF!,"ATENCION A VICTIMAS POR CONFLICTO ARMADO",IF(P329=#REF!,"MANIPULACION DE ALIMENTOS Y BPM",IF(P329=#REF!,"ATENCION A PERSONAS CON DISCAPACIDAD",IF(P329=#REF!,"CUIDADO INTEGRAL DEL PACIENTE ADULTO",IF(P329=#REF!,"MANEJO DEFENSIVO",IF(P329=#REF!,"SOPORTE CARDIOVASCULAR AVANZADO NEONATAL",IF(P329=#REF!,"SEGURIDAD DEL PACIENTE",IF(P329=#REF!,"MANEJO DE RESIDUOS HOSPITALARIOS"))))))))))))))))))))))))))))))))))))</f>
        <v>#REF!</v>
      </c>
      <c r="W329" s="26" t="str">
        <f>CONCATENATE(E329," ",F329," ",C329," ",D329)</f>
        <v>Angelica Desiree Sandoval Baquerizo</v>
      </c>
      <c r="X329" s="26" t="str">
        <f t="shared" si="31"/>
        <v>Angelica Desiree Sandoval Baquerizo</v>
      </c>
      <c r="Y329" s="26" t="str">
        <f>CONCATENATE(W329,"-",B329,"-",P329)</f>
        <v>Angelica Desiree Sandoval Baquerizo-1016006903-IAMI</v>
      </c>
    </row>
    <row r="330" spans="1:25" x14ac:dyDescent="0.2">
      <c r="A330" s="20">
        <v>77</v>
      </c>
      <c r="B330" s="21">
        <v>1016006903</v>
      </c>
      <c r="C330" s="21" t="s">
        <v>201</v>
      </c>
      <c r="D330" s="21" t="s">
        <v>202</v>
      </c>
      <c r="E330" s="21" t="s">
        <v>203</v>
      </c>
      <c r="F330" s="21" t="s">
        <v>204</v>
      </c>
      <c r="G330" s="21">
        <v>14</v>
      </c>
      <c r="H330" s="21" t="s">
        <v>49</v>
      </c>
      <c r="I330" s="22" t="s">
        <v>376</v>
      </c>
      <c r="J330" s="22"/>
      <c r="K330" s="23">
        <v>45671</v>
      </c>
      <c r="L330" s="42">
        <v>37500</v>
      </c>
      <c r="M330" s="21" t="s">
        <v>206</v>
      </c>
      <c r="N330" s="21" t="s">
        <v>387</v>
      </c>
      <c r="O330" s="21" t="s">
        <v>77</v>
      </c>
      <c r="P330" s="21" t="s">
        <v>23</v>
      </c>
      <c r="Q330" s="22"/>
      <c r="R330" s="21" t="s">
        <v>71</v>
      </c>
      <c r="S330" s="25"/>
      <c r="T330" s="25">
        <v>3168910790</v>
      </c>
      <c r="U330" s="21" t="s">
        <v>205</v>
      </c>
      <c r="V330" s="26" t="e">
        <f>IF(P330=#REF!,"DIPLOMADO EN ATENCION PRE-HOSPITALARIA",IF(P330=#REF!,"ACOMPAÑAMIENTO Y MANEJO DEL DUELO",IF(P330=#REF!,"ATENCION A VICTIMAS DE ATAQUE CON AGENTES QUIMICOS ",IF(P330=#REF!,"PRIMEROS AUXILIOS ",IF(P330=#REF!,"DIPLOMADO DE UNIDAD DE CUIDADOS INTENSIVOS (UCI)",IF(P330=#REF!,"MODELO DE ATENCION PARA EVENTOS EMERGENTES EN SALUD MENTAL (CODIGO VERDE)",IF(P330=#REF!,"HUMANIZACION EN EL SERVICIO DE LA SALUD Y BUENAS PRACTICAS EN PACIENTE ",IF(P330=#REF!,"CLINICA DE HERIDAS ",IF(P330=#REF!,"TOMA DE CITOLOGIA CERVICO VAGINAL ",IF(P330=#REF!,"SOPORTE CARDIOVASCULAR AVANZADO (ACLS) ",IF(P330=#REF!,"CAMILLERO ",IF(P330=#REF!,"TOMA DE MUESTRAS Y LABORATORIO ",IF(P330=#REF!,"SOPORTE VITAL BASICO (BLS)",IF(P330=#REF!,"ATENCION A VICTIMAS DE VIOLENCIA SEXUAL ",IF(P330=#REF!,"PROGRAMADO AMPLIADO DE INMUNIZACION (PAI - COVID 19)",IF(P330=#REF!,"ATENCION INTEGRAL EN ENFERMEDADES PREVALENTES EN PRIMERA INFANCIA (AIEPI)",IF(P330=#REF!,"ADMINISTRACION DE MEDICAMENTOS, INYECTOLOGIA  Y CANALIZACION ",IF(P330=#REF!,"OPERADOR DE VEHICULOS DE EMERGENCIA (OVE)",IF(P330=#REF!,"INSTITUCIONES AMIGAS DE LA MUJER Y LA INFANCIA (IAMI)",IF(P330=#REF!,"CUIDADO DEL DONANTE DE ORGANOS",IF(P330=#REF!,"ATENCION A VICTIMAS POR VIOLENCIA DE GENERO",IF(P330=#REF!,"IGUALDAD DE GENERO EN LA SALUD",IF(P330=#REF!,"BRIGADA DE EMERGENCIA",IF(P330=#REF!,"MANEJO DEL DOLOR Y CUIDADOS PALIATIVOS",IF(P330=#REF!,"TOMA DE MUESTRAS Y LABORATORIO POCT",IF(P330=#REF!,"IMPLANTE SUBDERMICO DE DISPOSITIVO INTRAUTERINO",IF(P330=#REF!,"SALUD MENTAL",IF(P330=#REF!,"PRIMEROS AUXILIOS PSICOLOGICOS",IF(P330=#REF!,"ATENCION A VICTIMAS POR CONFLICTO ARMADO",IF(P330=#REF!,"MANIPULACION DE ALIMENTOS Y BPM",IF(P330=#REF!,"ATENCION A PERSONAS CON DISCAPACIDAD",IF(P330=#REF!,"CUIDADO INTEGRAL DEL PACIENTE ADULTO",IF(P330=#REF!,"MANEJO DEFENSIVO",IF(P330=#REF!,"SOPORTE CARDIOVASCULAR AVANZADO NEONATAL",IF(P330=#REF!,"SEGURIDAD DEL PACIENTE",IF(P330=#REF!,"MANEJO DE RESIDUOS HOSPITALARIOS"))))))))))))))))))))))))))))))))))))</f>
        <v>#REF!</v>
      </c>
      <c r="W330" s="26" t="str">
        <f>CONCATENATE(E330," ",F330," ",C330," ",D330)</f>
        <v>Angelica Desiree Sandoval Baquerizo</v>
      </c>
      <c r="X330" s="26" t="str">
        <f t="shared" si="31"/>
        <v>Angelica Desiree Sandoval Baquerizo</v>
      </c>
      <c r="Y330" s="26" t="str">
        <f>CONCATENATE(W330,"-",B330,"-",P330)</f>
        <v>Angelica Desiree Sandoval Baquerizo-1016006903-HUMANIZACION</v>
      </c>
    </row>
    <row r="331" spans="1:25" x14ac:dyDescent="0.2">
      <c r="A331" s="20">
        <v>78</v>
      </c>
      <c r="B331" s="21">
        <v>1016006903</v>
      </c>
      <c r="C331" s="21" t="s">
        <v>201</v>
      </c>
      <c r="D331" s="21" t="s">
        <v>202</v>
      </c>
      <c r="E331" s="21" t="s">
        <v>203</v>
      </c>
      <c r="F331" s="21" t="s">
        <v>204</v>
      </c>
      <c r="G331" s="21">
        <v>15</v>
      </c>
      <c r="H331" s="21" t="s">
        <v>49</v>
      </c>
      <c r="I331" s="22" t="s">
        <v>376</v>
      </c>
      <c r="J331" s="22"/>
      <c r="K331" s="23">
        <v>45671</v>
      </c>
      <c r="L331" s="42">
        <v>37500</v>
      </c>
      <c r="M331" s="21" t="s">
        <v>206</v>
      </c>
      <c r="N331" s="21" t="s">
        <v>387</v>
      </c>
      <c r="O331" s="21" t="s">
        <v>77</v>
      </c>
      <c r="P331" s="21" t="s">
        <v>41</v>
      </c>
      <c r="Q331" s="22"/>
      <c r="R331" s="21" t="s">
        <v>71</v>
      </c>
      <c r="S331" s="25"/>
      <c r="T331" s="25">
        <v>3168910790</v>
      </c>
      <c r="U331" s="21" t="s">
        <v>205</v>
      </c>
      <c r="V331" s="26" t="e">
        <f>IF(P331=#REF!,"DIPLOMADO EN ATENCION PRE-HOSPITALARIA",IF(P331=#REF!,"ACOMPAÑAMIENTO Y MANEJO DEL DUELO",IF(P331=#REF!,"ATENCION A VICTIMAS DE ATAQUE CON AGENTES QUIMICOS ",IF(P331=#REF!,"PRIMEROS AUXILIOS ",IF(P331=#REF!,"DIPLOMADO DE UNIDAD DE CUIDADOS INTENSIVOS (UCI)",IF(P331=#REF!,"MODELO DE ATENCION PARA EVENTOS EMERGENTES EN SALUD MENTAL (CODIGO VERDE)",IF(P331=#REF!,"HUMANIZACION EN EL SERVICIO DE LA SALUD Y BUENAS PRACTICAS EN PACIENTE ",IF(P331=#REF!,"CLINICA DE HERIDAS ",IF(P331=#REF!,"TOMA DE CITOLOGIA CERVICO VAGINAL ",IF(P331=#REF!,"SOPORTE CARDIOVASCULAR AVANZADO (ACLS) ",IF(P331=#REF!,"CAMILLERO ",IF(P331=#REF!,"TOMA DE MUESTRAS Y LABORATORIO ",IF(P331=#REF!,"SOPORTE VITAL BASICO (BLS)",IF(P331=#REF!,"ATENCION A VICTIMAS DE VIOLENCIA SEXUAL ",IF(P331=#REF!,"PROGRAMADO AMPLIADO DE INMUNIZACION (PAI - COVID 19)",IF(P331=#REF!,"ATENCION INTEGRAL EN ENFERMEDADES PREVALENTES EN PRIMERA INFANCIA (AIEPI)",IF(P331=#REF!,"ADMINISTRACION DE MEDICAMENTOS, INYECTOLOGIA  Y CANALIZACION ",IF(P331=#REF!,"OPERADOR DE VEHICULOS DE EMERGENCIA (OVE)",IF(P331=#REF!,"INSTITUCIONES AMIGAS DE LA MUJER Y LA INFANCIA (IAMI)",IF(P331=#REF!,"CUIDADO DEL DONANTE DE ORGANOS",IF(P331=#REF!,"ATENCION A VICTIMAS POR VIOLENCIA DE GENERO",IF(P331=#REF!,"IGUALDAD DE GENERO EN LA SALUD",IF(P331=#REF!,"BRIGADA DE EMERGENCIA",IF(P331=#REF!,"MANEJO DEL DOLOR Y CUIDADOS PALIATIVOS",IF(P331=#REF!,"TOMA DE MUESTRAS Y LABORATORIO POCT",IF(P331=#REF!,"IMPLANTE SUBDERMICO DE DISPOSITIVO INTRAUTERINO",IF(P331=#REF!,"SALUD MENTAL",IF(P331=#REF!,"PRIMEROS AUXILIOS PSICOLOGICOS",IF(P331=#REF!,"ATENCION A VICTIMAS POR CONFLICTO ARMADO",IF(P331=#REF!,"MANIPULACION DE ALIMENTOS Y BPM",IF(P331=#REF!,"ATENCION A PERSONAS CON DISCAPACIDAD",IF(P331=#REF!,"CUIDADO INTEGRAL DEL PACIENTE ADULTO",IF(P331=#REF!,"MANEJO DEFENSIVO",IF(P331=#REF!,"SOPORTE CARDIOVASCULAR AVANZADO NEONATAL",IF(P331=#REF!,"SEGURIDAD DEL PACIENTE",IF(P331=#REF!,"MANEJO DE RESIDUOS HOSPITALARIOS"))))))))))))))))))))))))))))))))))))</f>
        <v>#REF!</v>
      </c>
      <c r="W331" s="26" t="str">
        <f>CONCATENATE(E331," ",F331," ",C331," ",D331)</f>
        <v>Angelica Desiree Sandoval Baquerizo</v>
      </c>
      <c r="X331" s="26" t="str">
        <f t="shared" si="31"/>
        <v>Angelica Desiree Sandoval Baquerizo</v>
      </c>
      <c r="Y331" s="26" t="str">
        <f>CONCATENATE(W331,"-",B331,"-",P331)</f>
        <v>Angelica Desiree Sandoval Baquerizo-1016006903-PACIENTE</v>
      </c>
    </row>
    <row r="332" spans="1:25" x14ac:dyDescent="0.2">
      <c r="A332" s="36">
        <v>79</v>
      </c>
      <c r="B332" s="37">
        <v>87065083</v>
      </c>
      <c r="C332" s="37" t="s">
        <v>207</v>
      </c>
      <c r="D332" s="37" t="s">
        <v>208</v>
      </c>
      <c r="E332" s="37" t="s">
        <v>209</v>
      </c>
      <c r="F332" s="37" t="s">
        <v>210</v>
      </c>
      <c r="G332" s="37">
        <v>15</v>
      </c>
      <c r="H332" s="37" t="s">
        <v>49</v>
      </c>
      <c r="I332" s="38" t="s">
        <v>377</v>
      </c>
      <c r="J332" s="38"/>
      <c r="K332" s="39">
        <v>45672</v>
      </c>
      <c r="L332" s="44">
        <v>65000</v>
      </c>
      <c r="M332" s="37" t="s">
        <v>133</v>
      </c>
      <c r="N332" s="37" t="s">
        <v>387</v>
      </c>
      <c r="O332" s="37" t="s">
        <v>69</v>
      </c>
      <c r="P332" s="37" t="s">
        <v>29</v>
      </c>
      <c r="Q332" s="38">
        <v>30799</v>
      </c>
      <c r="R332" s="37" t="s">
        <v>70</v>
      </c>
      <c r="S332" s="45" t="s">
        <v>108</v>
      </c>
      <c r="T332" s="45">
        <v>3006749054</v>
      </c>
      <c r="U332" s="37" t="s">
        <v>211</v>
      </c>
      <c r="V332" s="41" t="e">
        <f>IF(P332=#REF!,"DIPLOMADO EN ATENCION PRE-HOSPITALARIA",IF(P332=#REF!,"ACOMPAÑAMIENTO Y MANEJO DEL DUELO",IF(P332=#REF!,"ATENCION A VICTIMAS DE ATAQUE CON AGENTES QUIMICOS ",IF(P332=#REF!,"PRIMEROS AUXILIOS ",IF(P332=#REF!,"DIPLOMADO DE UNIDAD DE CUIDADOS INTENSIVOS (UCI)",IF(P332=#REF!,"MODELO DE ATENCION PARA EVENTOS EMERGENTES EN SALUD MENTAL (CODIGO VERDE)",IF(P332=#REF!,"HUMANIZACION EN EL SERVICIO DE LA SALUD Y BUENAS PRACTICAS EN PACIENTE ",IF(P332=#REF!,"CLINICA DE HERIDAS ",IF(P332=#REF!,"TOMA DE CITOLOGIA CERVICO VAGINAL ",IF(P332=#REF!,"SOPORTE CARDIOVASCULAR AVANZADO (ACLS) ",IF(P332=#REF!,"CAMILLERO ",IF(P332=#REF!,"TOMA DE MUESTRAS Y LABORATORIO ",IF(P332=#REF!,"SOPORTE VITAL BASICO (BLS)",IF(P332=#REF!,"ATENCION A VICTIMAS DE VIOLENCIA SEXUAL ",IF(P332=#REF!,"PROGRAMADO AMPLIADO DE INMUNIZACION (PAI - COVID 19)",IF(P332=#REF!,"ATENCION INTEGRAL EN ENFERMEDADES PREVALENTES EN PRIMERA INFANCIA (AIEPI)",IF(P332=#REF!,"ADMINISTRACION DE MEDICAMENTOS, INYECTOLOGIA  Y CANALIZACION ",IF(P332=#REF!,"OPERADOR DE VEHICULOS DE EMERGENCIA (OVE)",IF(P332=#REF!,"INSTITUCIONES AMIGAS DE LA MUJER Y LA INFANCIA (IAMI)",IF(P332=#REF!,"CUIDADO DEL DONANTE DE ORGANOS",IF(P332=#REF!,"ATENCION A VICTIMAS POR VIOLENCIA DE GENERO",IF(P332=#REF!,"IGUALDAD DE GENERO EN LA SALUD",IF(P332=#REF!,"BRIGADA DE EMERGENCIA",IF(P332=#REF!,"MANEJO DEL DOLOR Y CUIDADOS PALIATIVOS",IF(P332=#REF!,"TOMA DE MUESTRAS Y LABORATORIO POCT",IF(P332=#REF!,"IMPLANTE SUBDERMICO DE DISPOSITIVO INTRAUTERINO",IF(P332=#REF!,"SALUD MENTAL",IF(P332=#REF!,"PRIMEROS AUXILIOS PSICOLOGICOS",IF(P332=#REF!,"ATENCION A VICTIMAS POR CONFLICTO ARMADO",IF(P332=#REF!,"MANIPULACION DE ALIMENTOS Y BPM",IF(P332=#REF!,"ATENCION A PERSONAS CON DISCAPACIDAD",IF(P332=#REF!,"CUIDADO INTEGRAL DEL PACIENTE ADULTO",IF(P332=#REF!,"MANEJO DEFENSIVO",IF(P332=#REF!,"SOPORTE CARDIOVASCULAR AVANZADO NEONATAL",IF(P332=#REF!,"SEGURIDAD DEL PACIENTE",IF(P332=#REF!,"MANEJO DE RESIDUOS HOSPITALARIOS"))))))))))))))))))))))))))))))))))))</f>
        <v>#REF!</v>
      </c>
      <c r="W332" s="41" t="str">
        <f>CONCATENATE(E332," ",F332," ",C332," ",D332)</f>
        <v>Jimmy Orlando Carlosama Perez</v>
      </c>
      <c r="X332" s="41" t="str">
        <f t="shared" si="31"/>
        <v>Jimmy Orlando Carlosama Perez</v>
      </c>
      <c r="Y332" s="41" t="str">
        <f>CONCATENATE(W332,"-",B332,"-",P332)</f>
        <v>Jimmy Orlando Carlosama Perez-87065083-ADMON DE MEDICAMENTOS</v>
      </c>
    </row>
    <row r="333" spans="1:25" s="19" customFormat="1" x14ac:dyDescent="0.2">
      <c r="A333" s="20">
        <v>80</v>
      </c>
      <c r="B333" s="21">
        <v>1085258077</v>
      </c>
      <c r="C333" s="21" t="s">
        <v>212</v>
      </c>
      <c r="D333" s="21" t="s">
        <v>213</v>
      </c>
      <c r="E333" s="21" t="s">
        <v>214</v>
      </c>
      <c r="F333" s="21" t="s">
        <v>215</v>
      </c>
      <c r="G333" s="21">
        <v>15</v>
      </c>
      <c r="H333" s="21" t="s">
        <v>49</v>
      </c>
      <c r="I333" s="22" t="s">
        <v>377</v>
      </c>
      <c r="J333" s="22"/>
      <c r="K333" s="23">
        <v>45672</v>
      </c>
      <c r="L333" s="42">
        <v>65000</v>
      </c>
      <c r="M333" s="21" t="s">
        <v>133</v>
      </c>
      <c r="N333" s="21" t="s">
        <v>387</v>
      </c>
      <c r="O333" s="21" t="s">
        <v>69</v>
      </c>
      <c r="P333" s="21" t="s">
        <v>29</v>
      </c>
      <c r="Q333" s="22">
        <v>31898</v>
      </c>
      <c r="R333" s="21" t="s">
        <v>71</v>
      </c>
      <c r="S333" s="25" t="s">
        <v>216</v>
      </c>
      <c r="T333" s="25">
        <v>3176691983</v>
      </c>
      <c r="U333" s="21" t="s">
        <v>217</v>
      </c>
      <c r="V333" s="26" t="e">
        <f>IF(P333=#REF!,"DIPLOMADO EN ATENCION PRE-HOSPITALARIA",IF(P333=#REF!,"ACOMPAÑAMIENTO Y MANEJO DEL DUELO",IF(P333=#REF!,"ATENCION A VICTIMAS DE ATAQUE CON AGENTES QUIMICOS ",IF(P333=#REF!,"PRIMEROS AUXILIOS ",IF(P333=#REF!,"DIPLOMADO DE UNIDAD DE CUIDADOS INTENSIVOS (UCI)",IF(P333=#REF!,"MODELO DE ATENCION PARA EVENTOS EMERGENTES EN SALUD MENTAL (CODIGO VERDE)",IF(P333=#REF!,"HUMANIZACION EN EL SERVICIO DE LA SALUD Y BUENAS PRACTICAS EN PACIENTE ",IF(P333=#REF!,"CLINICA DE HERIDAS ",IF(P333=#REF!,"TOMA DE CITOLOGIA CERVICO VAGINAL ",IF(P333=#REF!,"SOPORTE CARDIOVASCULAR AVANZADO (ACLS) ",IF(P333=#REF!,"CAMILLERO ",IF(P333=#REF!,"TOMA DE MUESTRAS Y LABORATORIO ",IF(P333=#REF!,"SOPORTE VITAL BASICO (BLS)",IF(P333=#REF!,"ATENCION A VICTIMAS DE VIOLENCIA SEXUAL ",IF(P333=#REF!,"PROGRAMADO AMPLIADO DE INMUNIZACION (PAI - COVID 19)",IF(P333=#REF!,"ATENCION INTEGRAL EN ENFERMEDADES PREVALENTES EN PRIMERA INFANCIA (AIEPI)",IF(P333=#REF!,"ADMINISTRACION DE MEDICAMENTOS, INYECTOLOGIA  Y CANALIZACION ",IF(P333=#REF!,"OPERADOR DE VEHICULOS DE EMERGENCIA (OVE)",IF(P333=#REF!,"INSTITUCIONES AMIGAS DE LA MUJER Y LA INFANCIA (IAMI)",IF(P333=#REF!,"CUIDADO DEL DONANTE DE ORGANOS",IF(P333=#REF!,"ATENCION A VICTIMAS POR VIOLENCIA DE GENERO",IF(P333=#REF!,"IGUALDAD DE GENERO EN LA SALUD",IF(P333=#REF!,"BRIGADA DE EMERGENCIA",IF(P333=#REF!,"MANEJO DEL DOLOR Y CUIDADOS PALIATIVOS",IF(P333=#REF!,"TOMA DE MUESTRAS Y LABORATORIO POCT",IF(P333=#REF!,"IMPLANTE SUBDERMICO DE DISPOSITIVO INTRAUTERINO",IF(P333=#REF!,"SALUD MENTAL",IF(P333=#REF!,"PRIMEROS AUXILIOS PSICOLOGICOS",IF(P333=#REF!,"ATENCION A VICTIMAS POR CONFLICTO ARMADO",IF(P333=#REF!,"MANIPULACION DE ALIMENTOS Y BPM",IF(P333=#REF!,"ATENCION A PERSONAS CON DISCAPACIDAD",IF(P333=#REF!,"CUIDADO INTEGRAL DEL PACIENTE ADULTO",IF(P333=#REF!,"MANEJO DEFENSIVO",IF(P333=#REF!,"SOPORTE CARDIOVASCULAR AVANZADO NEONATAL",IF(P333=#REF!,"SEGURIDAD DEL PACIENTE",IF(P333=#REF!,"MANEJO DE RESIDUOS HOSPITALARIOS"))))))))))))))))))))))))))))))))))))</f>
        <v>#REF!</v>
      </c>
      <c r="W333" s="26" t="str">
        <f>CONCATENATE(E333," ",F333," ",C333," ",D333)</f>
        <v>Diana Carolina Charfuelan Moreno</v>
      </c>
      <c r="X333" s="26" t="str">
        <f t="shared" si="31"/>
        <v>Diana Carolina Charfuelan Moreno</v>
      </c>
      <c r="Y333" s="26" t="str">
        <f>CONCATENATE(W333,"-",B333,"-",P333)</f>
        <v>Diana Carolina Charfuelan Moreno-1085258077-ADMON DE MEDICAMENTOS</v>
      </c>
    </row>
    <row r="334" spans="1:25" s="19" customFormat="1" x14ac:dyDescent="0.2">
      <c r="A334" s="20">
        <v>81</v>
      </c>
      <c r="B334" s="21">
        <v>1085309420</v>
      </c>
      <c r="C334" s="21" t="s">
        <v>218</v>
      </c>
      <c r="D334" s="21" t="s">
        <v>208</v>
      </c>
      <c r="E334" s="21" t="s">
        <v>219</v>
      </c>
      <c r="F334" s="21" t="s">
        <v>124</v>
      </c>
      <c r="G334" s="21">
        <v>15</v>
      </c>
      <c r="H334" s="21" t="s">
        <v>49</v>
      </c>
      <c r="I334" s="22" t="s">
        <v>377</v>
      </c>
      <c r="J334" s="22"/>
      <c r="K334" s="23">
        <v>45672</v>
      </c>
      <c r="L334" s="42">
        <v>65000</v>
      </c>
      <c r="M334" s="21" t="s">
        <v>133</v>
      </c>
      <c r="N334" s="21" t="s">
        <v>387</v>
      </c>
      <c r="O334" s="21" t="s">
        <v>69</v>
      </c>
      <c r="P334" s="21" t="s">
        <v>29</v>
      </c>
      <c r="Q334" s="22">
        <v>34314</v>
      </c>
      <c r="R334" s="21" t="s">
        <v>71</v>
      </c>
      <c r="S334" s="25" t="s">
        <v>107</v>
      </c>
      <c r="T334" s="25">
        <v>3152174929</v>
      </c>
      <c r="U334" s="21" t="s">
        <v>220</v>
      </c>
      <c r="V334" s="26" t="e">
        <f>IF(P334=#REF!,"DIPLOMADO EN ATENCION PRE-HOSPITALARIA",IF(P334=#REF!,"ACOMPAÑAMIENTO Y MANEJO DEL DUELO",IF(P334=#REF!,"ATENCION A VICTIMAS DE ATAQUE CON AGENTES QUIMICOS ",IF(P334=#REF!,"PRIMEROS AUXILIOS ",IF(P334=#REF!,"DIPLOMADO DE UNIDAD DE CUIDADOS INTENSIVOS (UCI)",IF(P334=#REF!,"MODELO DE ATENCION PARA EVENTOS EMERGENTES EN SALUD MENTAL (CODIGO VERDE)",IF(P334=#REF!,"HUMANIZACION EN EL SERVICIO DE LA SALUD Y BUENAS PRACTICAS EN PACIENTE ",IF(P334=#REF!,"CLINICA DE HERIDAS ",IF(P334=#REF!,"TOMA DE CITOLOGIA CERVICO VAGINAL ",IF(P334=#REF!,"SOPORTE CARDIOVASCULAR AVANZADO (ACLS) ",IF(P334=#REF!,"CAMILLERO ",IF(P334=#REF!,"TOMA DE MUESTRAS Y LABORATORIO ",IF(P334=#REF!,"SOPORTE VITAL BASICO (BLS)",IF(P334=#REF!,"ATENCION A VICTIMAS DE VIOLENCIA SEXUAL ",IF(P334=#REF!,"PROGRAMADO AMPLIADO DE INMUNIZACION (PAI - COVID 19)",IF(P334=#REF!,"ATENCION INTEGRAL EN ENFERMEDADES PREVALENTES EN PRIMERA INFANCIA (AIEPI)",IF(P334=#REF!,"ADMINISTRACION DE MEDICAMENTOS, INYECTOLOGIA  Y CANALIZACION ",IF(P334=#REF!,"OPERADOR DE VEHICULOS DE EMERGENCIA (OVE)",IF(P334=#REF!,"INSTITUCIONES AMIGAS DE LA MUJER Y LA INFANCIA (IAMI)",IF(P334=#REF!,"CUIDADO DEL DONANTE DE ORGANOS",IF(P334=#REF!,"ATENCION A VICTIMAS POR VIOLENCIA DE GENERO",IF(P334=#REF!,"IGUALDAD DE GENERO EN LA SALUD",IF(P334=#REF!,"BRIGADA DE EMERGENCIA",IF(P334=#REF!,"MANEJO DEL DOLOR Y CUIDADOS PALIATIVOS",IF(P334=#REF!,"TOMA DE MUESTRAS Y LABORATORIO POCT",IF(P334=#REF!,"IMPLANTE SUBDERMICO DE DISPOSITIVO INTRAUTERINO",IF(P334=#REF!,"SALUD MENTAL",IF(P334=#REF!,"PRIMEROS AUXILIOS PSICOLOGICOS",IF(P334=#REF!,"ATENCION A VICTIMAS POR CONFLICTO ARMADO",IF(P334=#REF!,"MANIPULACION DE ALIMENTOS Y BPM",IF(P334=#REF!,"ATENCION A PERSONAS CON DISCAPACIDAD",IF(P334=#REF!,"CUIDADO INTEGRAL DEL PACIENTE ADULTO",IF(P334=#REF!,"MANEJO DEFENSIVO",IF(P334=#REF!,"SOPORTE CARDIOVASCULAR AVANZADO NEONATAL",IF(P334=#REF!,"SEGURIDAD DEL PACIENTE",IF(P334=#REF!,"MANEJO DE RESIDUOS HOSPITALARIOS"))))))))))))))))))))))))))))))))))))</f>
        <v>#REF!</v>
      </c>
      <c r="W334" s="26" t="str">
        <f>CONCATENATE(E334," ",F334," ",C334," ",D334)</f>
        <v>Maritza Fernanda Tarapuez Perez</v>
      </c>
      <c r="X334" s="26" t="str">
        <f t="shared" si="31"/>
        <v>Maritza Fernanda Tarapuez Perez</v>
      </c>
      <c r="Y334" s="26" t="str">
        <f>CONCATENATE(W334,"-",B334,"-",P334)</f>
        <v>Maritza Fernanda Tarapuez Perez-1085309420-ADMON DE MEDICAMENTOS</v>
      </c>
    </row>
    <row r="335" spans="1:25" s="19" customFormat="1" x14ac:dyDescent="0.2">
      <c r="A335" s="20">
        <v>82</v>
      </c>
      <c r="B335" s="21">
        <v>1007282229</v>
      </c>
      <c r="C335" s="21" t="s">
        <v>221</v>
      </c>
      <c r="D335" s="21" t="s">
        <v>222</v>
      </c>
      <c r="E335" s="21" t="s">
        <v>223</v>
      </c>
      <c r="F335" s="21" t="s">
        <v>224</v>
      </c>
      <c r="G335" s="21">
        <v>16</v>
      </c>
      <c r="H335" s="21" t="s">
        <v>49</v>
      </c>
      <c r="I335" s="22" t="s">
        <v>376</v>
      </c>
      <c r="J335" s="22"/>
      <c r="K335" s="23">
        <v>45672</v>
      </c>
      <c r="L335" s="42">
        <v>32000</v>
      </c>
      <c r="M335" s="21" t="s">
        <v>106</v>
      </c>
      <c r="N335" s="21" t="s">
        <v>387</v>
      </c>
      <c r="O335" s="21" t="s">
        <v>95</v>
      </c>
      <c r="P335" s="43" t="s">
        <v>32</v>
      </c>
      <c r="Q335" s="22">
        <v>36766</v>
      </c>
      <c r="R335" s="21" t="s">
        <v>71</v>
      </c>
      <c r="S335" s="25" t="s">
        <v>172</v>
      </c>
      <c r="T335" s="25">
        <v>3177285811</v>
      </c>
      <c r="U335" s="25" t="s">
        <v>225</v>
      </c>
      <c r="V335" s="26" t="e">
        <f>IF(P335=#REF!,"DIPLOMADO EN ATENCION PRE-HOSPITALARIA",IF(P335=#REF!,"ACOMPAÑAMIENTO Y MANEJO DEL DUELO",IF(P335=#REF!,"ATENCION A VICTIMAS DE ATAQUE CON AGENTES QUIMICOS ",IF(P335=#REF!,"PRIMEROS AUXILIOS ",IF(P335=#REF!,"DIPLOMADO DE UNIDAD DE CUIDADOS INTENSIVOS (UCI)",IF(P335=#REF!,"MODELO DE ATENCION PARA EVENTOS EMERGENTES EN SALUD MENTAL (CODIGO VERDE)",IF(P335=#REF!,"HUMANIZACION EN EL SERVICIO DE LA SALUD Y BUENAS PRACTICAS EN PACIENTE ",IF(P335=#REF!,"CLINICA DE HERIDAS ",IF(P335=#REF!,"TOMA DE CITOLOGIA CERVICO VAGINAL ",IF(P335=#REF!,"SOPORTE CARDIOVASCULAR AVANZADO (ACLS) ",IF(P335=#REF!,"CAMILLERO ",IF(P335=#REF!,"TOMA DE MUESTRAS Y LABORATORIO ",IF(P335=#REF!,"SOPORTE VITAL BASICO (BLS)",IF(P335=#REF!,"ATENCION A VICTIMAS DE VIOLENCIA SEXUAL ",IF(P335=#REF!,"PROGRAMADO AMPLIADO DE INMUNIZACION (PAI - COVID 19)",IF(P335=#REF!,"ATENCION INTEGRAL EN ENFERMEDADES PREVALENTES EN PRIMERA INFANCIA (AIEPI)",IF(P335=#REF!,"ADMINISTRACION DE MEDICAMENTOS, INYECTOLOGIA  Y CANALIZACION ",IF(P335=#REF!,"OPERADOR DE VEHICULOS DE EMERGENCIA (OVE)",IF(P335=#REF!,"INSTITUCIONES AMIGAS DE LA MUJER Y LA INFANCIA (IAMI)",IF(P335=#REF!,"CUIDADO DEL DONANTE DE ORGANOS",IF(P335=#REF!,"ATENCION A VICTIMAS POR VIOLENCIA DE GENERO",IF(P335=#REF!,"IGUALDAD DE GENERO EN LA SALUD",IF(P335=#REF!,"BRIGADA DE EMERGENCIA",IF(P335=#REF!,"MANEJO DEL DOLOR Y CUIDADOS PALIATIVOS",IF(P335=#REF!,"TOMA DE MUESTRAS Y LABORATORIO POCT",IF(P335=#REF!,"IMPLANTE SUBDERMICO DE DISPOSITIVO INTRAUTERINO",IF(P335=#REF!,"SALUD MENTAL",IF(P335=#REF!,"PRIMEROS AUXILIOS PSICOLOGICOS",IF(P335=#REF!,"ATENCION A VICTIMAS POR CONFLICTO ARMADO",IF(P335=#REF!,"MANIPULACION DE ALIMENTOS Y BPM",IF(P335=#REF!,"ATENCION A PERSONAS CON DISCAPACIDAD",IF(P335=#REF!,"CUIDADO INTEGRAL DEL PACIENTE ADULTO",IF(P335=#REF!,"MANEJO DEFENSIVO",IF(P335=#REF!,"SOPORTE CARDIOVASCULAR AVANZADO NEONATAL",IF(P335=#REF!,"SEGURIDAD DEL PACIENTE",IF(P335=#REF!,"MANEJO DE RESIDUOS HOSPITALARIOS"))))))))))))))))))))))))))))))))))))</f>
        <v>#REF!</v>
      </c>
      <c r="W335" s="26" t="str">
        <f>CONCATENATE(E335," ",F335," ",C335," ",D335)</f>
        <v>Anyi Gissela Martinez Andrade</v>
      </c>
      <c r="X335" s="26" t="str">
        <f t="shared" si="31"/>
        <v>Anyi Gissela Martinez Andrade</v>
      </c>
      <c r="Y335" s="26" t="str">
        <f>CONCATENATE(W335,"-",B335,"-",P335)</f>
        <v>Anyi Gissela Martinez Andrade-1007282229-VIOLENCIA DE GENERO</v>
      </c>
    </row>
    <row r="336" spans="1:25" s="19" customFormat="1" x14ac:dyDescent="0.2">
      <c r="A336" s="20">
        <v>83</v>
      </c>
      <c r="B336" s="21">
        <v>1007282229</v>
      </c>
      <c r="C336" s="21" t="s">
        <v>221</v>
      </c>
      <c r="D336" s="21" t="s">
        <v>222</v>
      </c>
      <c r="E336" s="21" t="s">
        <v>223</v>
      </c>
      <c r="F336" s="21" t="s">
        <v>224</v>
      </c>
      <c r="G336" s="21">
        <v>15</v>
      </c>
      <c r="H336" s="21" t="s">
        <v>49</v>
      </c>
      <c r="I336" s="22" t="s">
        <v>376</v>
      </c>
      <c r="J336" s="22"/>
      <c r="K336" s="23">
        <v>45672</v>
      </c>
      <c r="L336" s="42">
        <v>32000</v>
      </c>
      <c r="M336" s="21" t="s">
        <v>106</v>
      </c>
      <c r="N336" s="21" t="s">
        <v>387</v>
      </c>
      <c r="O336" s="21" t="s">
        <v>95</v>
      </c>
      <c r="P336" s="43" t="s">
        <v>33</v>
      </c>
      <c r="Q336" s="22">
        <v>36766</v>
      </c>
      <c r="R336" s="21" t="s">
        <v>71</v>
      </c>
      <c r="S336" s="25" t="s">
        <v>172</v>
      </c>
      <c r="T336" s="25">
        <v>3177285811</v>
      </c>
      <c r="U336" s="25" t="s">
        <v>225</v>
      </c>
      <c r="V336" s="26" t="e">
        <f>IF(P336=#REF!,"DIPLOMADO EN ATENCION PRE-HOSPITALARIA",IF(P336=#REF!,"ACOMPAÑAMIENTO Y MANEJO DEL DUELO",IF(P336=#REF!,"ATENCION A VICTIMAS DE ATAQUE CON AGENTES QUIMICOS ",IF(P336=#REF!,"PRIMEROS AUXILIOS ",IF(P336=#REF!,"DIPLOMADO DE UNIDAD DE CUIDADOS INTENSIVOS (UCI)",IF(P336=#REF!,"MODELO DE ATENCION PARA EVENTOS EMERGENTES EN SALUD MENTAL (CODIGO VERDE)",IF(P336=#REF!,"HUMANIZACION EN EL SERVICIO DE LA SALUD Y BUENAS PRACTICAS EN PACIENTE ",IF(P336=#REF!,"CLINICA DE HERIDAS ",IF(P336=#REF!,"TOMA DE CITOLOGIA CERVICO VAGINAL ",IF(P336=#REF!,"SOPORTE CARDIOVASCULAR AVANZADO (ACLS) ",IF(P336=#REF!,"CAMILLERO ",IF(P336=#REF!,"TOMA DE MUESTRAS Y LABORATORIO ",IF(P336=#REF!,"SOPORTE VITAL BASICO (BLS)",IF(P336=#REF!,"ATENCION A VICTIMAS DE VIOLENCIA SEXUAL ",IF(P336=#REF!,"PROGRAMADO AMPLIADO DE INMUNIZACION (PAI - COVID 19)",IF(P336=#REF!,"ATENCION INTEGRAL EN ENFERMEDADES PREVALENTES EN PRIMERA INFANCIA (AIEPI)",IF(P336=#REF!,"ADMINISTRACION DE MEDICAMENTOS, INYECTOLOGIA  Y CANALIZACION ",IF(P336=#REF!,"OPERADOR DE VEHICULOS DE EMERGENCIA (OVE)",IF(P336=#REF!,"INSTITUCIONES AMIGAS DE LA MUJER Y LA INFANCIA (IAMI)",IF(P336=#REF!,"CUIDADO DEL DONANTE DE ORGANOS",IF(P336=#REF!,"ATENCION A VICTIMAS POR VIOLENCIA DE GENERO",IF(P336=#REF!,"IGUALDAD DE GENERO EN LA SALUD",IF(P336=#REF!,"BRIGADA DE EMERGENCIA",IF(P336=#REF!,"MANEJO DEL DOLOR Y CUIDADOS PALIATIVOS",IF(P336=#REF!,"TOMA DE MUESTRAS Y LABORATORIO POCT",IF(P336=#REF!,"IMPLANTE SUBDERMICO DE DISPOSITIVO INTRAUTERINO",IF(P336=#REF!,"SALUD MENTAL",IF(P336=#REF!,"PRIMEROS AUXILIOS PSICOLOGICOS",IF(P336=#REF!,"ATENCION A VICTIMAS POR CONFLICTO ARMADO",IF(P336=#REF!,"MANIPULACION DE ALIMENTOS Y BPM",IF(P336=#REF!,"ATENCION A PERSONAS CON DISCAPACIDAD",IF(P336=#REF!,"CUIDADO INTEGRAL DEL PACIENTE ADULTO",IF(P336=#REF!,"MANEJO DEFENSIVO",IF(P336=#REF!,"SOPORTE CARDIOVASCULAR AVANZADO NEONATAL",IF(P336=#REF!,"SEGURIDAD DEL PACIENTE",IF(P336=#REF!,"MANEJO DE RESIDUOS HOSPITALARIOS"))))))))))))))))))))))))))))))))))))</f>
        <v>#REF!</v>
      </c>
      <c r="W336" s="26" t="str">
        <f>CONCATENATE(E336," ",F336," ",C336," ",D336)</f>
        <v>Anyi Gissela Martinez Andrade</v>
      </c>
      <c r="X336" s="26" t="str">
        <f t="shared" si="31"/>
        <v>Anyi Gissela Martinez Andrade</v>
      </c>
      <c r="Y336" s="26" t="str">
        <f>CONCATENATE(W336,"-",B336,"-",P336)</f>
        <v>Anyi Gissela Martinez Andrade-1007282229-IGUALDAD DE GENERO</v>
      </c>
    </row>
    <row r="337" spans="1:26" s="19" customFormat="1" x14ac:dyDescent="0.2">
      <c r="A337" s="20">
        <v>84</v>
      </c>
      <c r="B337" s="21">
        <v>1085291443</v>
      </c>
      <c r="C337" s="21" t="s">
        <v>226</v>
      </c>
      <c r="D337" s="21" t="s">
        <v>227</v>
      </c>
      <c r="E337" s="21" t="s">
        <v>228</v>
      </c>
      <c r="F337" s="21" t="s">
        <v>229</v>
      </c>
      <c r="G337" s="21">
        <v>16</v>
      </c>
      <c r="H337" s="21" t="s">
        <v>49</v>
      </c>
      <c r="I337" s="22" t="s">
        <v>376</v>
      </c>
      <c r="J337" s="22"/>
      <c r="K337" s="23">
        <v>45673</v>
      </c>
      <c r="L337" s="42">
        <v>40000</v>
      </c>
      <c r="M337" s="21" t="s">
        <v>231</v>
      </c>
      <c r="N337" s="21" t="s">
        <v>387</v>
      </c>
      <c r="O337" s="21" t="s">
        <v>69</v>
      </c>
      <c r="P337" s="43" t="s">
        <v>27</v>
      </c>
      <c r="Q337" s="22">
        <v>33380</v>
      </c>
      <c r="R337" s="22" t="s">
        <v>70</v>
      </c>
      <c r="S337" s="47" t="s">
        <v>107</v>
      </c>
      <c r="T337" s="25">
        <v>3215020010</v>
      </c>
      <c r="U337" s="21" t="s">
        <v>230</v>
      </c>
      <c r="V337" s="26" t="e">
        <f>IF(P337=#REF!,"DIPLOMADO EN ATENCION PRE-HOSPITALARIA",IF(P337=#REF!,"ACOMPAÑAMIENTO Y MANEJO DEL DUELO",IF(P337=#REF!,"ATENCION A VICTIMAS DE ATAQUE CON AGENTES QUIMICOS ",IF(P337=#REF!,"PRIMEROS AUXILIOS ",IF(P337=#REF!,"DIPLOMADO DE UNIDAD DE CUIDADOS INTENSIVOS (UCI)",IF(P337=#REF!,"MODELO DE ATENCION PARA EVENTOS EMERGENTES EN SALUD MENTAL (CODIGO VERDE)",IF(P337=#REF!,"HUMANIZACION EN EL SERVICIO DE LA SALUD Y BUENAS PRACTICAS EN PACIENTE ",IF(P337=#REF!,"CLINICA DE HERIDAS ",IF(P337=#REF!,"TOMA DE CITOLOGIA CERVICO VAGINAL ",IF(P337=#REF!,"SOPORTE CARDIOVASCULAR AVANZADO (ACLS) ",IF(P337=#REF!,"CAMILLERO ",IF(P337=#REF!,"TOMA DE MUESTRAS Y LABORATORIO ",IF(P337=#REF!,"SOPORTE VITAL BASICO (BLS)",IF(P337=#REF!,"ATENCION A VICTIMAS DE VIOLENCIA SEXUAL ",IF(P337=#REF!,"PROGRAMADO AMPLIADO DE INMUNIZACION (PAI - COVID 19)",IF(P337=#REF!,"ATENCION INTEGRAL EN ENFERMEDADES PREVALENTES EN PRIMERA INFANCIA (AIEPI)",IF(P337=#REF!,"ADMINISTRACION DE MEDICAMENTOS, INYECTOLOGIA  Y CANALIZACION ",IF(P337=#REF!,"OPERADOR DE VEHICULOS DE EMERGENCIA (OVE)",IF(P337=#REF!,"INSTITUCIONES AMIGAS DE LA MUJER Y LA INFANCIA (IAMI)",IF(P337=#REF!,"CUIDADO DEL DONANTE DE ORGANOS",IF(P337=#REF!,"ATENCION A VICTIMAS POR VIOLENCIA DE GENERO",IF(P337=#REF!,"IGUALDAD DE GENERO EN LA SALUD",IF(P337=#REF!,"BRIGADA DE EMERGENCIA",IF(P337=#REF!,"MANEJO DEL DOLOR Y CUIDADOS PALIATIVOS",IF(P337=#REF!,"TOMA DE MUESTRAS Y LABORATORIO POCT",IF(P337=#REF!,"IMPLANTE SUBDERMICO DE DISPOSITIVO INTRAUTERINO",IF(P337=#REF!,"SALUD MENTAL",IF(P337=#REF!,"PRIMEROS AUXILIOS PSICOLOGICOS",IF(P337=#REF!,"ATENCION A VICTIMAS POR CONFLICTO ARMADO",IF(P337=#REF!,"MANIPULACION DE ALIMENTOS Y BPM",IF(P337=#REF!,"ATENCION A PERSONAS CON DISCAPACIDAD",IF(P337=#REF!,"CUIDADO INTEGRAL DEL PACIENTE ADULTO",IF(P337=#REF!,"MANEJO DEFENSIVO",IF(P337=#REF!,"SOPORTE CARDIOVASCULAR AVANZADO NEONATAL",IF(P337=#REF!,"SEGURIDAD DEL PACIENTE",IF(P337=#REF!,"MANEJO DE RESIDUOS HOSPITALARIOS"))))))))))))))))))))))))))))))))))))</f>
        <v>#REF!</v>
      </c>
      <c r="W337" s="26" t="str">
        <f>CONCATENATE(E337," ",F337," ",C337," ",D337)</f>
        <v>Gabriel Esteban Timaran Guerrero</v>
      </c>
      <c r="X337" s="26" t="str">
        <f t="shared" si="31"/>
        <v>Gabriel Esteban Timaran Guerrero</v>
      </c>
      <c r="Y337" s="26" t="str">
        <f>CONCATENATE(W337,"-",B337,"-",P337)</f>
        <v>Gabriel Esteban Timaran Guerrero-1085291443-VIOLENCIA SEXUAL</v>
      </c>
    </row>
    <row r="338" spans="1:26" s="19" customFormat="1" x14ac:dyDescent="0.2">
      <c r="A338" s="20">
        <v>85</v>
      </c>
      <c r="B338" s="21">
        <v>1085291443</v>
      </c>
      <c r="C338" s="21" t="s">
        <v>226</v>
      </c>
      <c r="D338" s="21" t="s">
        <v>227</v>
      </c>
      <c r="E338" s="21" t="s">
        <v>228</v>
      </c>
      <c r="F338" s="21" t="s">
        <v>229</v>
      </c>
      <c r="G338" s="21">
        <v>14</v>
      </c>
      <c r="H338" s="21" t="s">
        <v>49</v>
      </c>
      <c r="I338" s="22" t="s">
        <v>376</v>
      </c>
      <c r="J338" s="22"/>
      <c r="K338" s="23">
        <v>45673</v>
      </c>
      <c r="L338" s="42">
        <v>40000</v>
      </c>
      <c r="M338" s="21" t="s">
        <v>231</v>
      </c>
      <c r="N338" s="21" t="s">
        <v>387</v>
      </c>
      <c r="O338" s="21" t="s">
        <v>69</v>
      </c>
      <c r="P338" s="43" t="s">
        <v>31</v>
      </c>
      <c r="Q338" s="22">
        <v>33380</v>
      </c>
      <c r="R338" s="22" t="s">
        <v>70</v>
      </c>
      <c r="S338" s="47" t="s">
        <v>107</v>
      </c>
      <c r="T338" s="25">
        <v>3215020010</v>
      </c>
      <c r="U338" s="21" t="s">
        <v>230</v>
      </c>
      <c r="V338" s="26" t="e">
        <f>IF(P338=#REF!,"DIPLOMADO EN ATENCION PRE-HOSPITALARIA",IF(P338=#REF!,"ACOMPAÑAMIENTO Y MANEJO DEL DUELO",IF(P338=#REF!,"ATENCION A VICTIMAS DE ATAQUE CON AGENTES QUIMICOS ",IF(P338=#REF!,"PRIMEROS AUXILIOS ",IF(P338=#REF!,"DIPLOMADO DE UNIDAD DE CUIDADOS INTENSIVOS (UCI)",IF(P338=#REF!,"MODELO DE ATENCION PARA EVENTOS EMERGENTES EN SALUD MENTAL (CODIGO VERDE)",IF(P338=#REF!,"HUMANIZACION EN EL SERVICIO DE LA SALUD Y BUENAS PRACTICAS EN PACIENTE ",IF(P338=#REF!,"CLINICA DE HERIDAS ",IF(P338=#REF!,"TOMA DE CITOLOGIA CERVICO VAGINAL ",IF(P338=#REF!,"SOPORTE CARDIOVASCULAR AVANZADO (ACLS) ",IF(P338=#REF!,"CAMILLERO ",IF(P338=#REF!,"TOMA DE MUESTRAS Y LABORATORIO ",IF(P338=#REF!,"SOPORTE VITAL BASICO (BLS)",IF(P338=#REF!,"ATENCION A VICTIMAS DE VIOLENCIA SEXUAL ",IF(P338=#REF!,"PROGRAMADO AMPLIADO DE INMUNIZACION (PAI - COVID 19)",IF(P338=#REF!,"ATENCION INTEGRAL EN ENFERMEDADES PREVALENTES EN PRIMERA INFANCIA (AIEPI)",IF(P338=#REF!,"ADMINISTRACION DE MEDICAMENTOS, INYECTOLOGIA  Y CANALIZACION ",IF(P338=#REF!,"OPERADOR DE VEHICULOS DE EMERGENCIA (OVE)",IF(P338=#REF!,"INSTITUCIONES AMIGAS DE LA MUJER Y LA INFANCIA (IAMI)",IF(P338=#REF!,"CUIDADO DEL DONANTE DE ORGANOS",IF(P338=#REF!,"ATENCION A VICTIMAS POR VIOLENCIA DE GENERO",IF(P338=#REF!,"IGUALDAD DE GENERO EN LA SALUD",IF(P338=#REF!,"BRIGADA DE EMERGENCIA",IF(P338=#REF!,"MANEJO DEL DOLOR Y CUIDADOS PALIATIVOS",IF(P338=#REF!,"TOMA DE MUESTRAS Y LABORATORIO POCT",IF(P338=#REF!,"IMPLANTE SUBDERMICO DE DISPOSITIVO INTRAUTERINO",IF(P338=#REF!,"SALUD MENTAL",IF(P338=#REF!,"PRIMEROS AUXILIOS PSICOLOGICOS",IF(P338=#REF!,"ATENCION A VICTIMAS POR CONFLICTO ARMADO",IF(P338=#REF!,"MANIPULACION DE ALIMENTOS Y BPM",IF(P338=#REF!,"ATENCION A PERSONAS CON DISCAPACIDAD",IF(P338=#REF!,"CUIDADO INTEGRAL DEL PACIENTE ADULTO",IF(P338=#REF!,"MANEJO DEFENSIVO",IF(P338=#REF!,"SOPORTE CARDIOVASCULAR AVANZADO NEONATAL",IF(P338=#REF!,"SEGURIDAD DEL PACIENTE",IF(P338=#REF!,"MANEJO DE RESIDUOS HOSPITALARIOS"))))))))))))))))))))))))))))))))))))</f>
        <v>#REF!</v>
      </c>
      <c r="W338" s="26" t="str">
        <f>CONCATENATE(E338," ",F338," ",C338," ",D338)</f>
        <v>Gabriel Esteban Timaran Guerrero</v>
      </c>
      <c r="X338" s="26" t="str">
        <f t="shared" si="31"/>
        <v>Gabriel Esteban Timaran Guerrero</v>
      </c>
      <c r="Y338" s="26" t="str">
        <f>CONCATENATE(W338,"-",B338,"-",P338)</f>
        <v>Gabriel Esteban Timaran Guerrero-1085291443-IAMI</v>
      </c>
    </row>
    <row r="339" spans="1:26" s="19" customFormat="1" x14ac:dyDescent="0.2">
      <c r="A339" s="20">
        <v>86</v>
      </c>
      <c r="B339" s="21">
        <v>1085291443</v>
      </c>
      <c r="C339" s="21" t="s">
        <v>226</v>
      </c>
      <c r="D339" s="21" t="s">
        <v>227</v>
      </c>
      <c r="E339" s="21" t="s">
        <v>228</v>
      </c>
      <c r="F339" s="21" t="s">
        <v>229</v>
      </c>
      <c r="G339" s="21">
        <v>15</v>
      </c>
      <c r="H339" s="21" t="s">
        <v>49</v>
      </c>
      <c r="I339" s="22" t="s">
        <v>376</v>
      </c>
      <c r="J339" s="22"/>
      <c r="K339" s="23">
        <v>45673</v>
      </c>
      <c r="L339" s="42">
        <v>40000</v>
      </c>
      <c r="M339" s="21" t="s">
        <v>231</v>
      </c>
      <c r="N339" s="21" t="s">
        <v>387</v>
      </c>
      <c r="O339" s="21" t="s">
        <v>69</v>
      </c>
      <c r="P339" s="43" t="s">
        <v>28</v>
      </c>
      <c r="Q339" s="22">
        <v>33380</v>
      </c>
      <c r="R339" s="22" t="s">
        <v>70</v>
      </c>
      <c r="S339" s="47" t="s">
        <v>107</v>
      </c>
      <c r="T339" s="25">
        <v>3215020010</v>
      </c>
      <c r="U339" s="21" t="s">
        <v>230</v>
      </c>
      <c r="V339" s="26" t="e">
        <f>IF(P339=#REF!,"DIPLOMADO EN ATENCION PRE-HOSPITALARIA",IF(P339=#REF!,"ACOMPAÑAMIENTO Y MANEJO DEL DUELO",IF(P339=#REF!,"ATENCION A VICTIMAS DE ATAQUE CON AGENTES QUIMICOS ",IF(P339=#REF!,"PRIMEROS AUXILIOS ",IF(P339=#REF!,"DIPLOMADO DE UNIDAD DE CUIDADOS INTENSIVOS (UCI)",IF(P339=#REF!,"MODELO DE ATENCION PARA EVENTOS EMERGENTES EN SALUD MENTAL (CODIGO VERDE)",IF(P339=#REF!,"HUMANIZACION EN EL SERVICIO DE LA SALUD Y BUENAS PRACTICAS EN PACIENTE ",IF(P339=#REF!,"CLINICA DE HERIDAS ",IF(P339=#REF!,"TOMA DE CITOLOGIA CERVICO VAGINAL ",IF(P339=#REF!,"SOPORTE CARDIOVASCULAR AVANZADO (ACLS) ",IF(P339=#REF!,"CAMILLERO ",IF(P339=#REF!,"TOMA DE MUESTRAS Y LABORATORIO ",IF(P339=#REF!,"SOPORTE VITAL BASICO (BLS)",IF(P339=#REF!,"ATENCION A VICTIMAS DE VIOLENCIA SEXUAL ",IF(P339=#REF!,"PROGRAMADO AMPLIADO DE INMUNIZACION (PAI - COVID 19)",IF(P339=#REF!,"ATENCION INTEGRAL EN ENFERMEDADES PREVALENTES EN PRIMERA INFANCIA (AIEPI)",IF(P339=#REF!,"ADMINISTRACION DE MEDICAMENTOS, INYECTOLOGIA  Y CANALIZACION ",IF(P339=#REF!,"OPERADOR DE VEHICULOS DE EMERGENCIA (OVE)",IF(P339=#REF!,"INSTITUCIONES AMIGAS DE LA MUJER Y LA INFANCIA (IAMI)",IF(P339=#REF!,"CUIDADO DEL DONANTE DE ORGANOS",IF(P339=#REF!,"ATENCION A VICTIMAS POR VIOLENCIA DE GENERO",IF(P339=#REF!,"IGUALDAD DE GENERO EN LA SALUD",IF(P339=#REF!,"BRIGADA DE EMERGENCIA",IF(P339=#REF!,"MANEJO DEL DOLOR Y CUIDADOS PALIATIVOS",IF(P339=#REF!,"TOMA DE MUESTRAS Y LABORATORIO POCT",IF(P339=#REF!,"IMPLANTE SUBDERMICO DE DISPOSITIVO INTRAUTERINO",IF(P339=#REF!,"SALUD MENTAL",IF(P339=#REF!,"PRIMEROS AUXILIOS PSICOLOGICOS",IF(P339=#REF!,"ATENCION A VICTIMAS POR CONFLICTO ARMADO",IF(P339=#REF!,"MANIPULACION DE ALIMENTOS Y BPM",IF(P339=#REF!,"ATENCION A PERSONAS CON DISCAPACIDAD",IF(P339=#REF!,"CUIDADO INTEGRAL DEL PACIENTE ADULTO",IF(P339=#REF!,"MANEJO DEFENSIVO",IF(P339=#REF!,"SOPORTE CARDIOVASCULAR AVANZADO NEONATAL",IF(P339=#REF!,"SEGURIDAD DEL PACIENTE",IF(P339=#REF!,"MANEJO DE RESIDUOS HOSPITALARIOS"))))))))))))))))))))))))))))))))))))</f>
        <v>#REF!</v>
      </c>
      <c r="W339" s="26" t="str">
        <f>CONCATENATE(E339," ",F339," ",C339," ",D339)</f>
        <v>Gabriel Esteban Timaran Guerrero</v>
      </c>
      <c r="X339" s="26" t="str">
        <f t="shared" si="31"/>
        <v>Gabriel Esteban Timaran Guerrero</v>
      </c>
      <c r="Y339" s="26" t="str">
        <f>CONCATENATE(W339,"-",B339,"-",P339)</f>
        <v>Gabriel Esteban Timaran Guerrero-1085291443-AIEPI</v>
      </c>
    </row>
    <row r="340" spans="1:26" s="19" customFormat="1" x14ac:dyDescent="0.2">
      <c r="A340" s="20">
        <v>87</v>
      </c>
      <c r="B340" s="21">
        <v>1088654116</v>
      </c>
      <c r="C340" s="21" t="s">
        <v>232</v>
      </c>
      <c r="D340" s="21" t="s">
        <v>233</v>
      </c>
      <c r="E340" s="21" t="s">
        <v>214</v>
      </c>
      <c r="F340" s="21" t="s">
        <v>234</v>
      </c>
      <c r="G340" s="21">
        <v>16</v>
      </c>
      <c r="H340" s="21" t="s">
        <v>49</v>
      </c>
      <c r="I340" s="22" t="s">
        <v>377</v>
      </c>
      <c r="J340" s="22"/>
      <c r="K340" s="23">
        <v>45673</v>
      </c>
      <c r="L340" s="42">
        <v>64000</v>
      </c>
      <c r="M340" s="21" t="s">
        <v>79</v>
      </c>
      <c r="N340" s="21" t="s">
        <v>387</v>
      </c>
      <c r="O340" s="48" t="s">
        <v>69</v>
      </c>
      <c r="P340" s="43" t="s">
        <v>19</v>
      </c>
      <c r="Q340" s="22">
        <v>36003</v>
      </c>
      <c r="R340" s="22" t="s">
        <v>71</v>
      </c>
      <c r="S340" s="21" t="s">
        <v>107</v>
      </c>
      <c r="T340" s="25">
        <v>3155079439</v>
      </c>
      <c r="U340" s="47" t="s">
        <v>235</v>
      </c>
      <c r="V340" s="26" t="e">
        <f>IF(P340=#REF!,"DIPLOMADO EN ATENCION PRE-HOSPITALARIA",IF(P340=#REF!,"ACOMPAÑAMIENTO Y MANEJO DEL DUELO",IF(P340=#REF!,"ATENCION A VICTIMAS DE ATAQUE CON AGENTES QUIMICOS ",IF(P340=#REF!,"PRIMEROS AUXILIOS ",IF(P340=#REF!,"DIPLOMADO DE UNIDAD DE CUIDADOS INTENSIVOS (UCI)",IF(P340=#REF!,"MODELO DE ATENCION PARA EVENTOS EMERGENTES EN SALUD MENTAL (CODIGO VERDE)",IF(P340=#REF!,"HUMANIZACION EN EL SERVICIO DE LA SALUD Y BUENAS PRACTICAS EN PACIENTE ",IF(P340=#REF!,"CLINICA DE HERIDAS ",IF(P340=#REF!,"TOMA DE CITOLOGIA CERVICO VAGINAL ",IF(P340=#REF!,"SOPORTE CARDIOVASCULAR AVANZADO (ACLS) ",IF(P340=#REF!,"CAMILLERO ",IF(P340=#REF!,"TOMA DE MUESTRAS Y LABORATORIO ",IF(P340=#REF!,"SOPORTE VITAL BASICO (BLS)",IF(P340=#REF!,"ATENCION A VICTIMAS DE VIOLENCIA SEXUAL ",IF(P340=#REF!,"PROGRAMADO AMPLIADO DE INMUNIZACION (PAI - COVID 19)",IF(P340=#REF!,"ATENCION INTEGRAL EN ENFERMEDADES PREVALENTES EN PRIMERA INFANCIA (AIEPI)",IF(P340=#REF!,"ADMINISTRACION DE MEDICAMENTOS, INYECTOLOGIA  Y CANALIZACION ",IF(P340=#REF!,"OPERADOR DE VEHICULOS DE EMERGENCIA (OVE)",IF(P340=#REF!,"INSTITUCIONES AMIGAS DE LA MUJER Y LA INFANCIA (IAMI)",IF(P340=#REF!,"CUIDADO DEL DONANTE DE ORGANOS",IF(P340=#REF!,"ATENCION A VICTIMAS POR VIOLENCIA DE GENERO",IF(P340=#REF!,"IGUALDAD DE GENERO EN LA SALUD",IF(P340=#REF!,"BRIGADA DE EMERGENCIA",IF(P340=#REF!,"MANEJO DEL DOLOR Y CUIDADOS PALIATIVOS",IF(P340=#REF!,"TOMA DE MUESTRAS Y LABORATORIO POCT",IF(P340=#REF!,"IMPLANTE SUBDERMICO DE DISPOSITIVO INTRAUTERINO",IF(P340=#REF!,"SALUD MENTAL",IF(P340=#REF!,"PRIMEROS AUXILIOS PSICOLOGICOS",IF(P340=#REF!,"ATENCION A VICTIMAS POR CONFLICTO ARMADO",IF(P340=#REF!,"MANIPULACION DE ALIMENTOS Y BPM",IF(P340=#REF!,"ATENCION A PERSONAS CON DISCAPACIDAD",IF(P340=#REF!,"CUIDADO INTEGRAL DEL PACIENTE ADULTO",IF(P340=#REF!,"MANEJO DEFENSIVO",IF(P340=#REF!,"SOPORTE CARDIOVASCULAR AVANZADO NEONATAL",IF(P340=#REF!,"SEGURIDAD DEL PACIENTE",IF(P340=#REF!,"MANEJO DE RESIDUOS HOSPITALARIOS"))))))))))))))))))))))))))))))))))))</f>
        <v>#REF!</v>
      </c>
      <c r="W340" s="26" t="str">
        <f>CONCATENATE(E340," ",F340," ",C340," ",D340)</f>
        <v>Diana Camila Coral Tobar</v>
      </c>
      <c r="X340" s="26" t="str">
        <f t="shared" si="31"/>
        <v>Diana Camila Coral Tobar</v>
      </c>
      <c r="Y340" s="26" t="str">
        <f>CONCATENATE(W340,"-",B340,"-",P340)</f>
        <v>Diana Camila Coral Tobar-1088654116-BLS</v>
      </c>
    </row>
    <row r="341" spans="1:26" s="19" customFormat="1" x14ac:dyDescent="0.2">
      <c r="A341" s="20">
        <v>88</v>
      </c>
      <c r="B341" s="21">
        <v>1088654116</v>
      </c>
      <c r="C341" s="21" t="s">
        <v>232</v>
      </c>
      <c r="D341" s="21" t="s">
        <v>233</v>
      </c>
      <c r="E341" s="21" t="s">
        <v>214</v>
      </c>
      <c r="F341" s="21" t="s">
        <v>234</v>
      </c>
      <c r="G341" s="21">
        <v>15</v>
      </c>
      <c r="H341" s="21" t="s">
        <v>49</v>
      </c>
      <c r="I341" s="22" t="s">
        <v>377</v>
      </c>
      <c r="J341" s="22"/>
      <c r="K341" s="23">
        <v>45673</v>
      </c>
      <c r="L341" s="42">
        <v>64000</v>
      </c>
      <c r="M341" s="21" t="s">
        <v>79</v>
      </c>
      <c r="N341" s="21" t="s">
        <v>387</v>
      </c>
      <c r="O341" s="48" t="s">
        <v>69</v>
      </c>
      <c r="P341" s="21" t="s">
        <v>27</v>
      </c>
      <c r="Q341" s="22">
        <v>36003</v>
      </c>
      <c r="R341" s="22" t="s">
        <v>71</v>
      </c>
      <c r="S341" s="21" t="s">
        <v>107</v>
      </c>
      <c r="T341" s="25">
        <v>3155079439</v>
      </c>
      <c r="U341" s="47" t="s">
        <v>235</v>
      </c>
      <c r="V341" s="26" t="e">
        <f>IF(P341=#REF!,"DIPLOMADO EN ATENCION PRE-HOSPITALARIA",IF(P341=#REF!,"ACOMPAÑAMIENTO Y MANEJO DEL DUELO",IF(P341=#REF!,"ATENCION A VICTIMAS DE ATAQUE CON AGENTES QUIMICOS ",IF(P341=#REF!,"PRIMEROS AUXILIOS ",IF(P341=#REF!,"DIPLOMADO DE UNIDAD DE CUIDADOS INTENSIVOS (UCI)",IF(P341=#REF!,"MODELO DE ATENCION PARA EVENTOS EMERGENTES EN SALUD MENTAL (CODIGO VERDE)",IF(P341=#REF!,"HUMANIZACION EN EL SERVICIO DE LA SALUD Y BUENAS PRACTICAS EN PACIENTE ",IF(P341=#REF!,"CLINICA DE HERIDAS ",IF(P341=#REF!,"TOMA DE CITOLOGIA CERVICO VAGINAL ",IF(P341=#REF!,"SOPORTE CARDIOVASCULAR AVANZADO (ACLS) ",IF(P341=#REF!,"CAMILLERO ",IF(P341=#REF!,"TOMA DE MUESTRAS Y LABORATORIO ",IF(P341=#REF!,"SOPORTE VITAL BASICO (BLS)",IF(P341=#REF!,"ATENCION A VICTIMAS DE VIOLENCIA SEXUAL ",IF(P341=#REF!,"PROGRAMADO AMPLIADO DE INMUNIZACION (PAI - COVID 19)",IF(P341=#REF!,"ATENCION INTEGRAL EN ENFERMEDADES PREVALENTES EN PRIMERA INFANCIA (AIEPI)",IF(P341=#REF!,"ADMINISTRACION DE MEDICAMENTOS, INYECTOLOGIA  Y CANALIZACION ",IF(P341=#REF!,"OPERADOR DE VEHICULOS DE EMERGENCIA (OVE)",IF(P341=#REF!,"INSTITUCIONES AMIGAS DE LA MUJER Y LA INFANCIA (IAMI)",IF(P341=#REF!,"CUIDADO DEL DONANTE DE ORGANOS",IF(P341=#REF!,"ATENCION A VICTIMAS POR VIOLENCIA DE GENERO",IF(P341=#REF!,"IGUALDAD DE GENERO EN LA SALUD",IF(P341=#REF!,"BRIGADA DE EMERGENCIA",IF(P341=#REF!,"MANEJO DEL DOLOR Y CUIDADOS PALIATIVOS",IF(P341=#REF!,"TOMA DE MUESTRAS Y LABORATORIO POCT",IF(P341=#REF!,"IMPLANTE SUBDERMICO DE DISPOSITIVO INTRAUTERINO",IF(P341=#REF!,"SALUD MENTAL",IF(P341=#REF!,"PRIMEROS AUXILIOS PSICOLOGICOS",IF(P341=#REF!,"ATENCION A VICTIMAS POR CONFLICTO ARMADO",IF(P341=#REF!,"MANIPULACION DE ALIMENTOS Y BPM",IF(P341=#REF!,"ATENCION A PERSONAS CON DISCAPACIDAD",IF(P341=#REF!,"CUIDADO INTEGRAL DEL PACIENTE ADULTO",IF(P341=#REF!,"MANEJO DEFENSIVO",IF(P341=#REF!,"SOPORTE CARDIOVASCULAR AVANZADO NEONATAL",IF(P341=#REF!,"SEGURIDAD DEL PACIENTE",IF(P341=#REF!,"MANEJO DE RESIDUOS HOSPITALARIOS"))))))))))))))))))))))))))))))))))))</f>
        <v>#REF!</v>
      </c>
      <c r="W341" s="26" t="str">
        <f>CONCATENATE(E341," ",F341," ",C341," ",D341)</f>
        <v>Diana Camila Coral Tobar</v>
      </c>
      <c r="X341" s="26" t="str">
        <f t="shared" si="31"/>
        <v>Diana Camila Coral Tobar</v>
      </c>
      <c r="Y341" s="26" t="str">
        <f>CONCATENATE(W341,"-",B341,"-",P341)</f>
        <v>Diana Camila Coral Tobar-1088654116-VIOLENCIA SEXUAL</v>
      </c>
    </row>
    <row r="342" spans="1:26" s="19" customFormat="1" x14ac:dyDescent="0.2">
      <c r="A342" s="20">
        <v>89</v>
      </c>
      <c r="B342" s="21">
        <v>1088654116</v>
      </c>
      <c r="C342" s="21" t="s">
        <v>232</v>
      </c>
      <c r="D342" s="21" t="s">
        <v>233</v>
      </c>
      <c r="E342" s="21" t="s">
        <v>214</v>
      </c>
      <c r="F342" s="21" t="s">
        <v>234</v>
      </c>
      <c r="G342" s="21">
        <v>15</v>
      </c>
      <c r="H342" s="21" t="s">
        <v>49</v>
      </c>
      <c r="I342" s="22" t="s">
        <v>377</v>
      </c>
      <c r="J342" s="22"/>
      <c r="K342" s="23">
        <v>45673</v>
      </c>
      <c r="L342" s="42">
        <v>64000</v>
      </c>
      <c r="M342" s="21" t="s">
        <v>79</v>
      </c>
      <c r="N342" s="21" t="s">
        <v>387</v>
      </c>
      <c r="O342" s="48" t="s">
        <v>69</v>
      </c>
      <c r="P342" s="21" t="s">
        <v>21</v>
      </c>
      <c r="Q342" s="22">
        <v>36003</v>
      </c>
      <c r="R342" s="22" t="s">
        <v>71</v>
      </c>
      <c r="S342" s="21" t="s">
        <v>107</v>
      </c>
      <c r="T342" s="25">
        <v>3155079439</v>
      </c>
      <c r="U342" s="47" t="s">
        <v>235</v>
      </c>
      <c r="V342" s="26" t="e">
        <f>IF(P342=#REF!,"DIPLOMADO EN ATENCION PRE-HOSPITALARIA",IF(P342=#REF!,"ACOMPAÑAMIENTO Y MANEJO DEL DUELO",IF(P342=#REF!,"ATENCION A VICTIMAS DE ATAQUE CON AGENTES QUIMICOS ",IF(P342=#REF!,"PRIMEROS AUXILIOS ",IF(P342=#REF!,"DIPLOMADO DE UNIDAD DE CUIDADOS INTENSIVOS (UCI)",IF(P342=#REF!,"MODELO DE ATENCION PARA EVENTOS EMERGENTES EN SALUD MENTAL (CODIGO VERDE)",IF(P342=#REF!,"HUMANIZACION EN EL SERVICIO DE LA SALUD Y BUENAS PRACTICAS EN PACIENTE ",IF(P342=#REF!,"CLINICA DE HERIDAS ",IF(P342=#REF!,"TOMA DE CITOLOGIA CERVICO VAGINAL ",IF(P342=#REF!,"SOPORTE CARDIOVASCULAR AVANZADO (ACLS) ",IF(P342=#REF!,"CAMILLERO ",IF(P342=#REF!,"TOMA DE MUESTRAS Y LABORATORIO ",IF(P342=#REF!,"SOPORTE VITAL BASICO (BLS)",IF(P342=#REF!,"ATENCION A VICTIMAS DE VIOLENCIA SEXUAL ",IF(P342=#REF!,"PROGRAMADO AMPLIADO DE INMUNIZACION (PAI - COVID 19)",IF(P342=#REF!,"ATENCION INTEGRAL EN ENFERMEDADES PREVALENTES EN PRIMERA INFANCIA (AIEPI)",IF(P342=#REF!,"ADMINISTRACION DE MEDICAMENTOS, INYECTOLOGIA  Y CANALIZACION ",IF(P342=#REF!,"OPERADOR DE VEHICULOS DE EMERGENCIA (OVE)",IF(P342=#REF!,"INSTITUCIONES AMIGAS DE LA MUJER Y LA INFANCIA (IAMI)",IF(P342=#REF!,"CUIDADO DEL DONANTE DE ORGANOS",IF(P342=#REF!,"ATENCION A VICTIMAS POR VIOLENCIA DE GENERO",IF(P342=#REF!,"IGUALDAD DE GENERO EN LA SALUD",IF(P342=#REF!,"BRIGADA DE EMERGENCIA",IF(P342=#REF!,"MANEJO DEL DOLOR Y CUIDADOS PALIATIVOS",IF(P342=#REF!,"TOMA DE MUESTRAS Y LABORATORIO POCT",IF(P342=#REF!,"IMPLANTE SUBDERMICO DE DISPOSITIVO INTRAUTERINO",IF(P342=#REF!,"SALUD MENTAL",IF(P342=#REF!,"PRIMEROS AUXILIOS PSICOLOGICOS",IF(P342=#REF!,"ATENCION A VICTIMAS POR CONFLICTO ARMADO",IF(P342=#REF!,"MANIPULACION DE ALIMENTOS Y BPM",IF(P342=#REF!,"ATENCION A PERSONAS CON DISCAPACIDAD",IF(P342=#REF!,"CUIDADO INTEGRAL DEL PACIENTE ADULTO",IF(P342=#REF!,"MANEJO DEFENSIVO",IF(P342=#REF!,"SOPORTE CARDIOVASCULAR AVANZADO NEONATAL",IF(P342=#REF!,"SEGURIDAD DEL PACIENTE",IF(P342=#REF!,"MANEJO DE RESIDUOS HOSPITALARIOS"))))))))))))))))))))))))))))))))))))</f>
        <v>#REF!</v>
      </c>
      <c r="W342" s="26" t="str">
        <f>CONCATENATE(E342," ",F342," ",C342," ",D342)</f>
        <v>Diana Camila Coral Tobar</v>
      </c>
      <c r="X342" s="26" t="str">
        <f t="shared" si="31"/>
        <v>Diana Camila Coral Tobar</v>
      </c>
      <c r="Y342" s="26" t="str">
        <f>CONCATENATE(W342,"-",B342,"-",P342)</f>
        <v>Diana Camila Coral Tobar-1088654116-QUIMICOS</v>
      </c>
      <c r="Z342" s="35"/>
    </row>
    <row r="343" spans="1:26" s="49" customFormat="1" x14ac:dyDescent="0.2">
      <c r="A343" s="20">
        <v>90</v>
      </c>
      <c r="B343" s="21">
        <v>1088654116</v>
      </c>
      <c r="C343" s="21" t="s">
        <v>232</v>
      </c>
      <c r="D343" s="21" t="s">
        <v>233</v>
      </c>
      <c r="E343" s="21" t="s">
        <v>214</v>
      </c>
      <c r="F343" s="21" t="s">
        <v>234</v>
      </c>
      <c r="G343" s="21">
        <v>14</v>
      </c>
      <c r="H343" s="21" t="s">
        <v>49</v>
      </c>
      <c r="I343" s="22" t="s">
        <v>377</v>
      </c>
      <c r="J343" s="22"/>
      <c r="K343" s="23">
        <v>45673</v>
      </c>
      <c r="L343" s="42">
        <v>64000</v>
      </c>
      <c r="M343" s="21" t="s">
        <v>79</v>
      </c>
      <c r="N343" s="21" t="s">
        <v>387</v>
      </c>
      <c r="O343" s="48" t="s">
        <v>69</v>
      </c>
      <c r="P343" s="21" t="s">
        <v>23</v>
      </c>
      <c r="Q343" s="22">
        <v>36003</v>
      </c>
      <c r="R343" s="22" t="s">
        <v>71</v>
      </c>
      <c r="S343" s="21" t="s">
        <v>107</v>
      </c>
      <c r="T343" s="25">
        <v>3155079439</v>
      </c>
      <c r="U343" s="47" t="s">
        <v>235</v>
      </c>
      <c r="V343" s="26" t="e">
        <f>IF(P343=#REF!,"DIPLOMADO EN ATENCION PRE-HOSPITALARIA",IF(P343=#REF!,"ACOMPAÑAMIENTO Y MANEJO DEL DUELO",IF(P343=#REF!,"ATENCION A VICTIMAS DE ATAQUE CON AGENTES QUIMICOS ",IF(P343=#REF!,"PRIMEROS AUXILIOS ",IF(P343=#REF!,"DIPLOMADO DE UNIDAD DE CUIDADOS INTENSIVOS (UCI)",IF(P343=#REF!,"MODELO DE ATENCION PARA EVENTOS EMERGENTES EN SALUD MENTAL (CODIGO VERDE)",IF(P343=#REF!,"HUMANIZACION EN EL SERVICIO DE LA SALUD Y BUENAS PRACTICAS EN PACIENTE ",IF(P343=#REF!,"CLINICA DE HERIDAS ",IF(P343=#REF!,"TOMA DE CITOLOGIA CERVICO VAGINAL ",IF(P343=#REF!,"SOPORTE CARDIOVASCULAR AVANZADO (ACLS) ",IF(P343=#REF!,"CAMILLERO ",IF(P343=#REF!,"TOMA DE MUESTRAS Y LABORATORIO ",IF(P343=#REF!,"SOPORTE VITAL BASICO (BLS)",IF(P343=#REF!,"ATENCION A VICTIMAS DE VIOLENCIA SEXUAL ",IF(P343=#REF!,"PROGRAMADO AMPLIADO DE INMUNIZACION (PAI - COVID 19)",IF(P343=#REF!,"ATENCION INTEGRAL EN ENFERMEDADES PREVALENTES EN PRIMERA INFANCIA (AIEPI)",IF(P343=#REF!,"ADMINISTRACION DE MEDICAMENTOS, INYECTOLOGIA  Y CANALIZACION ",IF(P343=#REF!,"OPERADOR DE VEHICULOS DE EMERGENCIA (OVE)",IF(P343=#REF!,"INSTITUCIONES AMIGAS DE LA MUJER Y LA INFANCIA (IAMI)",IF(P343=#REF!,"CUIDADO DEL DONANTE DE ORGANOS",IF(P343=#REF!,"ATENCION A VICTIMAS POR VIOLENCIA DE GENERO",IF(P343=#REF!,"IGUALDAD DE GENERO EN LA SALUD",IF(P343=#REF!,"BRIGADA DE EMERGENCIA",IF(P343=#REF!,"MANEJO DEL DOLOR Y CUIDADOS PALIATIVOS",IF(P343=#REF!,"TOMA DE MUESTRAS Y LABORATORIO POCT",IF(P343=#REF!,"IMPLANTE SUBDERMICO DE DISPOSITIVO INTRAUTERINO",IF(P343=#REF!,"SALUD MENTAL",IF(P343=#REF!,"PRIMEROS AUXILIOS PSICOLOGICOS",IF(P343=#REF!,"ATENCION A VICTIMAS POR CONFLICTO ARMADO",IF(P343=#REF!,"MANIPULACION DE ALIMENTOS Y BPM",IF(P343=#REF!,"ATENCION A PERSONAS CON DISCAPACIDAD",IF(P343=#REF!,"CUIDADO INTEGRAL DEL PACIENTE ADULTO",IF(P343=#REF!,"MANEJO DEFENSIVO",IF(P343=#REF!,"SOPORTE CARDIOVASCULAR AVANZADO NEONATAL",IF(P343=#REF!,"SEGURIDAD DEL PACIENTE",IF(P343=#REF!,"MANEJO DE RESIDUOS HOSPITALARIOS"))))))))))))))))))))))))))))))))))))</f>
        <v>#REF!</v>
      </c>
      <c r="W343" s="26" t="str">
        <f>CONCATENATE(E343," ",F343," ",C343," ",D343)</f>
        <v>Diana Camila Coral Tobar</v>
      </c>
      <c r="X343" s="26" t="str">
        <f t="shared" si="31"/>
        <v>Diana Camila Coral Tobar</v>
      </c>
      <c r="Y343" s="26" t="str">
        <f>CONCATENATE(W343,"-",B343,"-",P343)</f>
        <v>Diana Camila Coral Tobar-1088654116-HUMANIZACION</v>
      </c>
      <c r="Z343" s="50"/>
    </row>
    <row r="344" spans="1:26" s="49" customFormat="1" x14ac:dyDescent="0.2">
      <c r="A344" s="20">
        <v>91</v>
      </c>
      <c r="B344" s="21">
        <v>1085296912</v>
      </c>
      <c r="C344" s="21" t="s">
        <v>236</v>
      </c>
      <c r="D344" s="21" t="s">
        <v>175</v>
      </c>
      <c r="E344" s="21" t="s">
        <v>234</v>
      </c>
      <c r="F344" s="21" t="s">
        <v>166</v>
      </c>
      <c r="G344" s="21">
        <v>16</v>
      </c>
      <c r="H344" s="21" t="s">
        <v>49</v>
      </c>
      <c r="I344" s="22" t="s">
        <v>377</v>
      </c>
      <c r="J344" s="22"/>
      <c r="K344" s="23">
        <v>45673</v>
      </c>
      <c r="L344" s="42">
        <v>65000</v>
      </c>
      <c r="M344" s="21" t="s">
        <v>106</v>
      </c>
      <c r="N344" s="21" t="s">
        <v>387</v>
      </c>
      <c r="O344" s="48" t="s">
        <v>69</v>
      </c>
      <c r="P344" s="21" t="s">
        <v>23</v>
      </c>
      <c r="Q344" s="22">
        <v>33724</v>
      </c>
      <c r="R344" s="21" t="s">
        <v>71</v>
      </c>
      <c r="S344" s="21" t="s">
        <v>237</v>
      </c>
      <c r="T344" s="21">
        <v>3206096615</v>
      </c>
      <c r="U344" s="21" t="s">
        <v>238</v>
      </c>
      <c r="V344" s="26" t="e">
        <f>IF(P344=#REF!,"DIPLOMADO EN ATENCION PRE-HOSPITALARIA",IF(P344=#REF!,"ACOMPAÑAMIENTO Y MANEJO DEL DUELO",IF(P344=#REF!,"ATENCION A VICTIMAS DE ATAQUE CON AGENTES QUIMICOS ",IF(P344=#REF!,"PRIMEROS AUXILIOS ",IF(P344=#REF!,"DIPLOMADO DE UNIDAD DE CUIDADOS INTENSIVOS (UCI)",IF(P344=#REF!,"MODELO DE ATENCION PARA EVENTOS EMERGENTES EN SALUD MENTAL (CODIGO VERDE)",IF(P344=#REF!,"HUMANIZACION EN EL SERVICIO DE LA SALUD Y BUENAS PRACTICAS EN PACIENTE ",IF(P344=#REF!,"CLINICA DE HERIDAS ",IF(P344=#REF!,"TOMA DE CITOLOGIA CERVICO VAGINAL ",IF(P344=#REF!,"SOPORTE CARDIOVASCULAR AVANZADO (ACLS) ",IF(P344=#REF!,"CAMILLERO ",IF(P344=#REF!,"TOMA DE MUESTRAS Y LABORATORIO ",IF(P344=#REF!,"SOPORTE VITAL BASICO (BLS)",IF(P344=#REF!,"ATENCION A VICTIMAS DE VIOLENCIA SEXUAL ",IF(P344=#REF!,"PROGRAMADO AMPLIADO DE INMUNIZACION (PAI - COVID 19)",IF(P344=#REF!,"ATENCION INTEGRAL EN ENFERMEDADES PREVALENTES EN PRIMERA INFANCIA (AIEPI)",IF(P344=#REF!,"ADMINISTRACION DE MEDICAMENTOS, INYECTOLOGIA  Y CANALIZACION ",IF(P344=#REF!,"OPERADOR DE VEHICULOS DE EMERGENCIA (OVE)",IF(P344=#REF!,"INSTITUCIONES AMIGAS DE LA MUJER Y LA INFANCIA (IAMI)",IF(P344=#REF!,"CUIDADO DEL DONANTE DE ORGANOS",IF(P344=#REF!,"ATENCION A VICTIMAS POR VIOLENCIA DE GENERO",IF(P344=#REF!,"IGUALDAD DE GENERO EN LA SALUD",IF(P344=#REF!,"BRIGADA DE EMERGENCIA",IF(P344=#REF!,"MANEJO DEL DOLOR Y CUIDADOS PALIATIVOS",IF(P344=#REF!,"TOMA DE MUESTRAS Y LABORATORIO POCT",IF(P344=#REF!,"IMPLANTE SUBDERMICO DE DISPOSITIVO INTRAUTERINO",IF(P344=#REF!,"SALUD MENTAL",IF(P344=#REF!,"PRIMEROS AUXILIOS PSICOLOGICOS",IF(P344=#REF!,"ATENCION A VICTIMAS POR CONFLICTO ARMADO",IF(P344=#REF!,"MANIPULACION DE ALIMENTOS Y BPM",IF(P344=#REF!,"ATENCION A PERSONAS CON DISCAPACIDAD",IF(P344=#REF!,"CUIDADO INTEGRAL DEL PACIENTE ADULTO",IF(P344=#REF!,"MANEJO DEFENSIVO",IF(P344=#REF!,"SOPORTE CARDIOVASCULAR AVANZADO NEONATAL",IF(P344=#REF!,"SEGURIDAD DEL PACIENTE",IF(P344=#REF!,"MANEJO DE RESIDUOS HOSPITALARIOS"))))))))))))))))))))))))))))))))))))</f>
        <v>#REF!</v>
      </c>
      <c r="W344" s="26" t="str">
        <f>CONCATENATE(E344," ",F344," ",C344," ",D344)</f>
        <v>Camila Alejandra Obando Rosero</v>
      </c>
      <c r="X344" s="26" t="str">
        <f t="shared" si="31"/>
        <v>Camila Alejandra Obando Rosero</v>
      </c>
      <c r="Y344" s="26" t="str">
        <f>CONCATENATE(W344,"-",B344,"-",P344)</f>
        <v>Camila Alejandra Obando Rosero-1085296912-HUMANIZACION</v>
      </c>
      <c r="Z344" s="50"/>
    </row>
    <row r="345" spans="1:26" s="49" customFormat="1" x14ac:dyDescent="0.2">
      <c r="A345" s="20">
        <v>92</v>
      </c>
      <c r="B345" s="21">
        <v>27091459</v>
      </c>
      <c r="C345" s="21" t="s">
        <v>103</v>
      </c>
      <c r="D345" s="21" t="s">
        <v>80</v>
      </c>
      <c r="E345" s="21" t="s">
        <v>239</v>
      </c>
      <c r="F345" s="21" t="s">
        <v>240</v>
      </c>
      <c r="G345" s="21">
        <v>17</v>
      </c>
      <c r="H345" s="21" t="s">
        <v>49</v>
      </c>
      <c r="I345" s="22" t="s">
        <v>377</v>
      </c>
      <c r="J345" s="22"/>
      <c r="K345" s="23">
        <v>45673</v>
      </c>
      <c r="L345" s="42">
        <v>65000</v>
      </c>
      <c r="M345" s="21" t="s">
        <v>79</v>
      </c>
      <c r="N345" s="21" t="s">
        <v>387</v>
      </c>
      <c r="O345" s="48" t="s">
        <v>69</v>
      </c>
      <c r="P345" s="21" t="s">
        <v>19</v>
      </c>
      <c r="Q345" s="22">
        <v>29214</v>
      </c>
      <c r="R345" s="21" t="s">
        <v>71</v>
      </c>
      <c r="S345" s="21" t="s">
        <v>108</v>
      </c>
      <c r="T345" s="21">
        <v>3132772291</v>
      </c>
      <c r="U345" s="21" t="s">
        <v>241</v>
      </c>
      <c r="V345" s="26" t="e">
        <f>IF(P345=#REF!,"DIPLOMADO EN ATENCION PRE-HOSPITALARIA",IF(P345=#REF!,"ACOMPAÑAMIENTO Y MANEJO DEL DUELO",IF(P345=#REF!,"ATENCION A VICTIMAS DE ATAQUE CON AGENTES QUIMICOS ",IF(P345=#REF!,"PRIMEROS AUXILIOS ",IF(P345=#REF!,"DIPLOMADO DE UNIDAD DE CUIDADOS INTENSIVOS (UCI)",IF(P345=#REF!,"MODELO DE ATENCION PARA EVENTOS EMERGENTES EN SALUD MENTAL (CODIGO VERDE)",IF(P345=#REF!,"HUMANIZACION EN EL SERVICIO DE LA SALUD Y BUENAS PRACTICAS EN PACIENTE ",IF(P345=#REF!,"CLINICA DE HERIDAS ",IF(P345=#REF!,"TOMA DE CITOLOGIA CERVICO VAGINAL ",IF(P345=#REF!,"SOPORTE CARDIOVASCULAR AVANZADO (ACLS) ",IF(P345=#REF!,"CAMILLERO ",IF(P345=#REF!,"TOMA DE MUESTRAS Y LABORATORIO ",IF(P345=#REF!,"SOPORTE VITAL BASICO (BLS)",IF(P345=#REF!,"ATENCION A VICTIMAS DE VIOLENCIA SEXUAL ",IF(P345=#REF!,"PROGRAMADO AMPLIADO DE INMUNIZACION (PAI - COVID 19)",IF(P345=#REF!,"ATENCION INTEGRAL EN ENFERMEDADES PREVALENTES EN PRIMERA INFANCIA (AIEPI)",IF(P345=#REF!,"ADMINISTRACION DE MEDICAMENTOS, INYECTOLOGIA  Y CANALIZACION ",IF(P345=#REF!,"OPERADOR DE VEHICULOS DE EMERGENCIA (OVE)",IF(P345=#REF!,"INSTITUCIONES AMIGAS DE LA MUJER Y LA INFANCIA (IAMI)",IF(P345=#REF!,"CUIDADO DEL DONANTE DE ORGANOS",IF(P345=#REF!,"ATENCION A VICTIMAS POR VIOLENCIA DE GENERO",IF(P345=#REF!,"IGUALDAD DE GENERO EN LA SALUD",IF(P345=#REF!,"BRIGADA DE EMERGENCIA",IF(P345=#REF!,"MANEJO DEL DOLOR Y CUIDADOS PALIATIVOS",IF(P345=#REF!,"TOMA DE MUESTRAS Y LABORATORIO POCT",IF(P345=#REF!,"IMPLANTE SUBDERMICO DE DISPOSITIVO INTRAUTERINO",IF(P345=#REF!,"SALUD MENTAL",IF(P345=#REF!,"PRIMEROS AUXILIOS PSICOLOGICOS",IF(P345=#REF!,"ATENCION A VICTIMAS POR CONFLICTO ARMADO",IF(P345=#REF!,"MANIPULACION DE ALIMENTOS Y BPM",IF(P345=#REF!,"ATENCION A PERSONAS CON DISCAPACIDAD",IF(P345=#REF!,"CUIDADO INTEGRAL DEL PACIENTE ADULTO",IF(P345=#REF!,"MANEJO DEFENSIVO",IF(P345=#REF!,"SOPORTE CARDIOVASCULAR AVANZADO NEONATAL",IF(P345=#REF!,"SEGURIDAD DEL PACIENTE",IF(P345=#REF!,"MANEJO DE RESIDUOS HOSPITALARIOS"))))))))))))))))))))))))))))))))))))</f>
        <v>#REF!</v>
      </c>
      <c r="W345" s="26" t="str">
        <f>CONCATENATE(E345," ",F345," ",C345," ",D345)</f>
        <v>Martha Yamile Chaves Erazo</v>
      </c>
      <c r="X345" s="26" t="str">
        <f t="shared" si="31"/>
        <v>Martha Yamile Chaves Erazo</v>
      </c>
      <c r="Y345" s="26" t="str">
        <f>CONCATENATE(W345,"-",B345,"-",P345)</f>
        <v>Martha Yamile Chaves Erazo-27091459-BLS</v>
      </c>
      <c r="Z345" s="50"/>
    </row>
    <row r="346" spans="1:26" s="49" customFormat="1" x14ac:dyDescent="0.2">
      <c r="A346" s="20">
        <v>93</v>
      </c>
      <c r="B346" s="21">
        <v>1233193812</v>
      </c>
      <c r="C346" s="21" t="s">
        <v>242</v>
      </c>
      <c r="D346" s="21" t="s">
        <v>243</v>
      </c>
      <c r="E346" s="21" t="s">
        <v>244</v>
      </c>
      <c r="F346" s="21" t="s">
        <v>124</v>
      </c>
      <c r="G346" s="21">
        <v>17</v>
      </c>
      <c r="H346" s="21" t="s">
        <v>49</v>
      </c>
      <c r="I346" s="22" t="s">
        <v>377</v>
      </c>
      <c r="J346" s="22"/>
      <c r="K346" s="23">
        <v>45674</v>
      </c>
      <c r="L346" s="24">
        <v>65000</v>
      </c>
      <c r="M346" s="21" t="s">
        <v>133</v>
      </c>
      <c r="N346" s="21" t="s">
        <v>387</v>
      </c>
      <c r="O346" s="21" t="s">
        <v>69</v>
      </c>
      <c r="P346" s="21" t="s">
        <v>19</v>
      </c>
      <c r="Q346" s="22">
        <v>36342</v>
      </c>
      <c r="R346" s="21" t="s">
        <v>71</v>
      </c>
      <c r="S346" s="28" t="s">
        <v>107</v>
      </c>
      <c r="T346" s="21">
        <v>3113855617</v>
      </c>
      <c r="U346" s="21" t="s">
        <v>245</v>
      </c>
      <c r="V346" s="26" t="e">
        <f>IF(P346=#REF!,"DIPLOMADO EN ATENCION PRE-HOSPITALARIA",IF(P346=#REF!,"ACOMPAÑAMIENTO Y MANEJO DEL DUELO",IF(P346=#REF!,"ATENCION A VICTIMAS DE ATAQUE CON AGENTES QUIMICOS ",IF(P346=#REF!,"PRIMEROS AUXILIOS ",IF(P346=#REF!,"DIPLOMADO DE UNIDAD DE CUIDADOS INTENSIVOS (UCI)",IF(P346=#REF!,"MODELO DE ATENCION PARA EVENTOS EMERGENTES EN SALUD MENTAL (CODIGO VERDE)",IF(P346=#REF!,"HUMANIZACION EN EL SERVICIO DE LA SALUD Y BUENAS PRACTICAS EN PACIENTE ",IF(P346=#REF!,"CLINICA DE HERIDAS ",IF(P346=#REF!,"TOMA DE CITOLOGIA CERVICO VAGINAL ",IF(P346=#REF!,"SOPORTE CARDIOVASCULAR AVANZADO (ACLS) ",IF(P346=#REF!,"CAMILLERO ",IF(P346=#REF!,"TOMA DE MUESTRAS Y LABORATORIO ",IF(P346=#REF!,"SOPORTE VITAL BASICO (BLS)",IF(P346=#REF!,"ATENCION A VICTIMAS DE VIOLENCIA SEXUAL ",IF(P346=#REF!,"PROGRAMADO AMPLIADO DE INMUNIZACION (PAI - COVID 19)",IF(P346=#REF!,"ATENCION INTEGRAL EN ENFERMEDADES PREVALENTES EN PRIMERA INFANCIA (AIEPI)",IF(P346=#REF!,"ADMINISTRACION DE MEDICAMENTOS, INYECTOLOGIA  Y CANALIZACION ",IF(P346=#REF!,"OPERADOR DE VEHICULOS DE EMERGENCIA (OVE)",IF(P346=#REF!,"INSTITUCIONES AMIGAS DE LA MUJER Y LA INFANCIA (IAMI)",IF(P346=#REF!,"CUIDADO DEL DONANTE DE ORGANOS",IF(P346=#REF!,"ATENCION A VICTIMAS POR VIOLENCIA DE GENERO",IF(P346=#REF!,"IGUALDAD DE GENERO EN LA SALUD",IF(P346=#REF!,"BRIGADA DE EMERGENCIA",IF(P346=#REF!,"MANEJO DEL DOLOR Y CUIDADOS PALIATIVOS",IF(P346=#REF!,"TOMA DE MUESTRAS Y LABORATORIO POCT",IF(P346=#REF!,"IMPLANTE SUBDERMICO DE DISPOSITIVO INTRAUTERINO",IF(P346=#REF!,"SALUD MENTAL",IF(P346=#REF!,"PRIMEROS AUXILIOS PSICOLOGICOS",IF(P346=#REF!,"ATENCION A VICTIMAS POR CONFLICTO ARMADO",IF(P346=#REF!,"MANIPULACION DE ALIMENTOS Y BPM",IF(P346=#REF!,"ATENCION A PERSONAS CON DISCAPACIDAD",IF(P346=#REF!,"CUIDADO INTEGRAL DEL PACIENTE ADULTO",IF(P346=#REF!,"MANEJO DEFENSIVO",IF(P346=#REF!,"SOPORTE CARDIOVASCULAR AVANZADO NEONATAL",IF(P346=#REF!,"SEGURIDAD DEL PACIENTE",IF(P346=#REF!,"MANEJO DE RESIDUOS HOSPITALARIOS"))))))))))))))))))))))))))))))))))))</f>
        <v>#REF!</v>
      </c>
      <c r="W346" s="26" t="str">
        <f>CONCATENATE(E346," ",F346," ",C346," ",D346)</f>
        <v>Yisell Fernanda Santacruz Jurado</v>
      </c>
      <c r="X346" s="26" t="str">
        <f t="shared" si="31"/>
        <v>Yisell Fernanda Santacruz Jurado</v>
      </c>
      <c r="Y346" s="26" t="str">
        <f>CONCATENATE(W346,"-",B346,"-",P346)</f>
        <v>Yisell Fernanda Santacruz Jurado-1233193812-BLS</v>
      </c>
      <c r="Z346" s="50"/>
    </row>
    <row r="347" spans="1:26" s="49" customFormat="1" x14ac:dyDescent="0.2">
      <c r="A347" s="20">
        <v>94</v>
      </c>
      <c r="B347" s="21">
        <v>1080690724</v>
      </c>
      <c r="C347" s="21" t="s">
        <v>246</v>
      </c>
      <c r="D347" s="21" t="s">
        <v>247</v>
      </c>
      <c r="E347" s="21" t="s">
        <v>248</v>
      </c>
      <c r="F347" s="21" t="s">
        <v>177</v>
      </c>
      <c r="G347" s="21">
        <v>17</v>
      </c>
      <c r="H347" s="21" t="s">
        <v>49</v>
      </c>
      <c r="I347" s="22" t="s">
        <v>377</v>
      </c>
      <c r="J347" s="22"/>
      <c r="K347" s="23">
        <v>45674</v>
      </c>
      <c r="L347" s="42">
        <v>65000</v>
      </c>
      <c r="M347" s="21" t="s">
        <v>79</v>
      </c>
      <c r="N347" s="21" t="s">
        <v>387</v>
      </c>
      <c r="O347" s="21" t="s">
        <v>69</v>
      </c>
      <c r="P347" s="21" t="s">
        <v>26</v>
      </c>
      <c r="Q347" s="22">
        <v>38204</v>
      </c>
      <c r="R347" s="21" t="s">
        <v>71</v>
      </c>
      <c r="S347" s="28" t="s">
        <v>107</v>
      </c>
      <c r="T347" s="21">
        <v>3106631964</v>
      </c>
      <c r="U347" s="21" t="s">
        <v>249</v>
      </c>
      <c r="V347" s="26" t="e">
        <f>IF(P347=#REF!,"DIPLOMADO EN ATENCION PRE-HOSPITALARIA",IF(P347=#REF!,"ACOMPAÑAMIENTO Y MANEJO DEL DUELO",IF(P347=#REF!,"ATENCION A VICTIMAS DE ATAQUE CON AGENTES QUIMICOS ",IF(P347=#REF!,"PRIMEROS AUXILIOS ",IF(P347=#REF!,"DIPLOMADO DE UNIDAD DE CUIDADOS INTENSIVOS (UCI)",IF(P347=#REF!,"MODELO DE ATENCION PARA EVENTOS EMERGENTES EN SALUD MENTAL (CODIGO VERDE)",IF(P347=#REF!,"HUMANIZACION EN EL SERVICIO DE LA SALUD Y BUENAS PRACTICAS EN PACIENTE ",IF(P347=#REF!,"CLINICA DE HERIDAS ",IF(P347=#REF!,"TOMA DE CITOLOGIA CERVICO VAGINAL ",IF(P347=#REF!,"SOPORTE CARDIOVASCULAR AVANZADO (ACLS) ",IF(P347=#REF!,"CAMILLERO ",IF(P347=#REF!,"TOMA DE MUESTRAS Y LABORATORIO ",IF(P347=#REF!,"SOPORTE VITAL BASICO (BLS)",IF(P347=#REF!,"ATENCION A VICTIMAS DE VIOLENCIA SEXUAL ",IF(P347=#REF!,"PROGRAMADO AMPLIADO DE INMUNIZACION (PAI - COVID 19)",IF(P347=#REF!,"ATENCION INTEGRAL EN ENFERMEDADES PREVALENTES EN PRIMERA INFANCIA (AIEPI)",IF(P347=#REF!,"ADMINISTRACION DE MEDICAMENTOS, INYECTOLOGIA  Y CANALIZACION ",IF(P347=#REF!,"OPERADOR DE VEHICULOS DE EMERGENCIA (OVE)",IF(P347=#REF!,"INSTITUCIONES AMIGAS DE LA MUJER Y LA INFANCIA (IAMI)",IF(P347=#REF!,"CUIDADO DEL DONANTE DE ORGANOS",IF(P347=#REF!,"ATENCION A VICTIMAS POR VIOLENCIA DE GENERO",IF(P347=#REF!,"IGUALDAD DE GENERO EN LA SALUD",IF(P347=#REF!,"BRIGADA DE EMERGENCIA",IF(P347=#REF!,"MANEJO DEL DOLOR Y CUIDADOS PALIATIVOS",IF(P347=#REF!,"TOMA DE MUESTRAS Y LABORATORIO POCT",IF(P347=#REF!,"IMPLANTE SUBDERMICO DE DISPOSITIVO INTRAUTERINO",IF(P347=#REF!,"SALUD MENTAL",IF(P347=#REF!,"PRIMEROS AUXILIOS PSICOLOGICOS",IF(P347=#REF!,"ATENCION A VICTIMAS POR CONFLICTO ARMADO",IF(P347=#REF!,"MANIPULACION DE ALIMENTOS Y BPM",IF(P347=#REF!,"ATENCION A PERSONAS CON DISCAPACIDAD",IF(P347=#REF!,"CUIDADO INTEGRAL DEL PACIENTE ADULTO",IF(P347=#REF!,"MANEJO DEFENSIVO",IF(P347=#REF!,"SOPORTE CARDIOVASCULAR AVANZADO NEONATAL",IF(P347=#REF!,"SEGURIDAD DEL PACIENTE",IF(P347=#REF!,"MANEJO DE RESIDUOS HOSPITALARIOS"))))))))))))))))))))))))))))))))))))</f>
        <v>#REF!</v>
      </c>
      <c r="W347" s="26" t="str">
        <f>CONCATENATE(E347," ",F347," ",C347," ",D347)</f>
        <v>Angi Sofia Pinta Meneses</v>
      </c>
      <c r="X347" s="26" t="str">
        <f t="shared" si="31"/>
        <v>Angi Sofia Pinta Meneses</v>
      </c>
      <c r="Y347" s="26" t="str">
        <f>CONCATENATE(W347,"-",B347,"-",P347)</f>
        <v>Angi Sofia Pinta Meneses-1080690724-TOMA DE MUESTRAS</v>
      </c>
      <c r="Z347" s="50"/>
    </row>
    <row r="348" spans="1:26" s="6" customFormat="1" x14ac:dyDescent="0.2">
      <c r="A348" s="20">
        <v>95</v>
      </c>
      <c r="B348" s="21">
        <v>27091459</v>
      </c>
      <c r="C348" s="21" t="s">
        <v>103</v>
      </c>
      <c r="D348" s="21" t="s">
        <v>80</v>
      </c>
      <c r="E348" s="21" t="s">
        <v>239</v>
      </c>
      <c r="F348" s="21" t="s">
        <v>240</v>
      </c>
      <c r="G348" s="21">
        <v>16</v>
      </c>
      <c r="H348" s="21" t="s">
        <v>49</v>
      </c>
      <c r="I348" s="22" t="s">
        <v>377</v>
      </c>
      <c r="J348" s="22"/>
      <c r="K348" s="23">
        <v>45673</v>
      </c>
      <c r="L348" s="42">
        <v>65000</v>
      </c>
      <c r="M348" s="21" t="s">
        <v>79</v>
      </c>
      <c r="N348" s="21" t="s">
        <v>387</v>
      </c>
      <c r="O348" s="48" t="s">
        <v>69</v>
      </c>
      <c r="P348" s="21" t="s">
        <v>27</v>
      </c>
      <c r="Q348" s="22">
        <v>29214</v>
      </c>
      <c r="R348" s="21" t="s">
        <v>71</v>
      </c>
      <c r="S348" s="21" t="s">
        <v>108</v>
      </c>
      <c r="T348" s="21">
        <v>3132772291</v>
      </c>
      <c r="U348" s="21" t="s">
        <v>241</v>
      </c>
      <c r="V348" s="26" t="e">
        <f>IF(P348=#REF!,"DIPLOMADO EN ATENCION PRE-HOSPITALARIA",IF(P348=#REF!,"ACOMPAÑAMIENTO Y MANEJO DEL DUELO",IF(P348=#REF!,"ATENCION A VICTIMAS DE ATAQUE CON AGENTES QUIMICOS ",IF(P348=#REF!,"PRIMEROS AUXILIOS ",IF(P348=#REF!,"DIPLOMADO DE UNIDAD DE CUIDADOS INTENSIVOS (UCI)",IF(P348=#REF!,"MODELO DE ATENCION PARA EVENTOS EMERGENTES EN SALUD MENTAL (CODIGO VERDE)",IF(P348=#REF!,"HUMANIZACION EN EL SERVICIO DE LA SALUD Y BUENAS PRACTICAS EN PACIENTE ",IF(P348=#REF!,"CLINICA DE HERIDAS ",IF(P348=#REF!,"TOMA DE CITOLOGIA CERVICO VAGINAL ",IF(P348=#REF!,"SOPORTE CARDIOVASCULAR AVANZADO (ACLS) ",IF(P348=#REF!,"CAMILLERO ",IF(P348=#REF!,"TOMA DE MUESTRAS Y LABORATORIO ",IF(P348=#REF!,"SOPORTE VITAL BASICO (BLS)",IF(P348=#REF!,"ATENCION A VICTIMAS DE VIOLENCIA SEXUAL ",IF(P348=#REF!,"PROGRAMADO AMPLIADO DE INMUNIZACION (PAI - COVID 19)",IF(P348=#REF!,"ATENCION INTEGRAL EN ENFERMEDADES PREVALENTES EN PRIMERA INFANCIA (AIEPI)",IF(P348=#REF!,"ADMINISTRACION DE MEDICAMENTOS, INYECTOLOGIA  Y CANALIZACION ",IF(P348=#REF!,"OPERADOR DE VEHICULOS DE EMERGENCIA (OVE)",IF(P348=#REF!,"INSTITUCIONES AMIGAS DE LA MUJER Y LA INFANCIA (IAMI)",IF(P348=#REF!,"CUIDADO DEL DONANTE DE ORGANOS",IF(P348=#REF!,"ATENCION A VICTIMAS POR VIOLENCIA DE GENERO",IF(P348=#REF!,"IGUALDAD DE GENERO EN LA SALUD",IF(P348=#REF!,"BRIGADA DE EMERGENCIA",IF(P348=#REF!,"MANEJO DEL DOLOR Y CUIDADOS PALIATIVOS",IF(P348=#REF!,"TOMA DE MUESTRAS Y LABORATORIO POCT",IF(P348=#REF!,"IMPLANTE SUBDERMICO DE DISPOSITIVO INTRAUTERINO",IF(P348=#REF!,"SALUD MENTAL",IF(P348=#REF!,"PRIMEROS AUXILIOS PSICOLOGICOS",IF(P348=#REF!,"ATENCION A VICTIMAS POR CONFLICTO ARMADO",IF(P348=#REF!,"MANIPULACION DE ALIMENTOS Y BPM",IF(P348=#REF!,"ATENCION A PERSONAS CON DISCAPACIDAD",IF(P348=#REF!,"CUIDADO INTEGRAL DEL PACIENTE ADULTO",IF(P348=#REF!,"MANEJO DEFENSIVO",IF(P348=#REF!,"SOPORTE CARDIOVASCULAR AVANZADO NEONATAL",IF(P348=#REF!,"SEGURIDAD DEL PACIENTE",IF(P348=#REF!,"MANEJO DE RESIDUOS HOSPITALARIOS"))))))))))))))))))))))))))))))))))))</f>
        <v>#REF!</v>
      </c>
      <c r="W348" s="26" t="str">
        <f>CONCATENATE(E348," ",F348," ",C348," ",D348)</f>
        <v>Martha Yamile Chaves Erazo</v>
      </c>
      <c r="X348" s="26" t="str">
        <f t="shared" si="31"/>
        <v>Martha Yamile Chaves Erazo</v>
      </c>
      <c r="Y348" s="26" t="str">
        <f>CONCATENATE(W348,"-",B348,"-",P348)</f>
        <v>Martha Yamile Chaves Erazo-27091459-VIOLENCIA SEXUAL</v>
      </c>
    </row>
    <row r="349" spans="1:26" s="6" customFormat="1" x14ac:dyDescent="0.2">
      <c r="A349" s="36">
        <v>96</v>
      </c>
      <c r="B349" s="37">
        <v>27091459</v>
      </c>
      <c r="C349" s="37" t="s">
        <v>103</v>
      </c>
      <c r="D349" s="37" t="s">
        <v>80</v>
      </c>
      <c r="E349" s="37" t="s">
        <v>239</v>
      </c>
      <c r="F349" s="37" t="s">
        <v>240</v>
      </c>
      <c r="G349" s="37">
        <v>16</v>
      </c>
      <c r="H349" s="37" t="s">
        <v>49</v>
      </c>
      <c r="I349" s="38" t="s">
        <v>377</v>
      </c>
      <c r="J349" s="38"/>
      <c r="K349" s="39">
        <v>45673</v>
      </c>
      <c r="L349" s="44">
        <v>65000</v>
      </c>
      <c r="M349" s="37" t="s">
        <v>79</v>
      </c>
      <c r="N349" s="37" t="s">
        <v>387</v>
      </c>
      <c r="O349" s="51" t="s">
        <v>69</v>
      </c>
      <c r="P349" s="37" t="s">
        <v>21</v>
      </c>
      <c r="Q349" s="38">
        <v>29214</v>
      </c>
      <c r="R349" s="37" t="s">
        <v>71</v>
      </c>
      <c r="S349" s="37" t="s">
        <v>108</v>
      </c>
      <c r="T349" s="37">
        <v>3132772291</v>
      </c>
      <c r="U349" s="37" t="s">
        <v>241</v>
      </c>
      <c r="V349" s="41" t="e">
        <f>IF(P349=#REF!,"DIPLOMADO EN ATENCION PRE-HOSPITALARIA",IF(P349=#REF!,"ACOMPAÑAMIENTO Y MANEJO DEL DUELO",IF(P349=#REF!,"ATENCION A VICTIMAS DE ATAQUE CON AGENTES QUIMICOS ",IF(P349=#REF!,"PRIMEROS AUXILIOS ",IF(P349=#REF!,"DIPLOMADO DE UNIDAD DE CUIDADOS INTENSIVOS (UCI)",IF(P349=#REF!,"MODELO DE ATENCION PARA EVENTOS EMERGENTES EN SALUD MENTAL (CODIGO VERDE)",IF(P349=#REF!,"HUMANIZACION EN EL SERVICIO DE LA SALUD Y BUENAS PRACTICAS EN PACIENTE ",IF(P349=#REF!,"CLINICA DE HERIDAS ",IF(P349=#REF!,"TOMA DE CITOLOGIA CERVICO VAGINAL ",IF(P349=#REF!,"SOPORTE CARDIOVASCULAR AVANZADO (ACLS) ",IF(P349=#REF!,"CAMILLERO ",IF(P349=#REF!,"TOMA DE MUESTRAS Y LABORATORIO ",IF(P349=#REF!,"SOPORTE VITAL BASICO (BLS)",IF(P349=#REF!,"ATENCION A VICTIMAS DE VIOLENCIA SEXUAL ",IF(P349=#REF!,"PROGRAMADO AMPLIADO DE INMUNIZACION (PAI - COVID 19)",IF(P349=#REF!,"ATENCION INTEGRAL EN ENFERMEDADES PREVALENTES EN PRIMERA INFANCIA (AIEPI)",IF(P349=#REF!,"ADMINISTRACION DE MEDICAMENTOS, INYECTOLOGIA  Y CANALIZACION ",IF(P349=#REF!,"OPERADOR DE VEHICULOS DE EMERGENCIA (OVE)",IF(P349=#REF!,"INSTITUCIONES AMIGAS DE LA MUJER Y LA INFANCIA (IAMI)",IF(P349=#REF!,"CUIDADO DEL DONANTE DE ORGANOS",IF(P349=#REF!,"ATENCION A VICTIMAS POR VIOLENCIA DE GENERO",IF(P349=#REF!,"IGUALDAD DE GENERO EN LA SALUD",IF(P349=#REF!,"BRIGADA DE EMERGENCIA",IF(P349=#REF!,"MANEJO DEL DOLOR Y CUIDADOS PALIATIVOS",IF(P349=#REF!,"TOMA DE MUESTRAS Y LABORATORIO POCT",IF(P349=#REF!,"IMPLANTE SUBDERMICO DE DISPOSITIVO INTRAUTERINO",IF(P349=#REF!,"SALUD MENTAL",IF(P349=#REF!,"PRIMEROS AUXILIOS PSICOLOGICOS",IF(P349=#REF!,"ATENCION A VICTIMAS POR CONFLICTO ARMADO",IF(P349=#REF!,"MANIPULACION DE ALIMENTOS Y BPM",IF(P349=#REF!,"ATENCION A PERSONAS CON DISCAPACIDAD",IF(P349=#REF!,"CUIDADO INTEGRAL DEL PACIENTE ADULTO",IF(P349=#REF!,"MANEJO DEFENSIVO",IF(P349=#REF!,"SOPORTE CARDIOVASCULAR AVANZADO NEONATAL",IF(P349=#REF!,"SEGURIDAD DEL PACIENTE",IF(P349=#REF!,"MANEJO DE RESIDUOS HOSPITALARIOS"))))))))))))))))))))))))))))))))))))</f>
        <v>#REF!</v>
      </c>
      <c r="W349" s="41" t="str">
        <f>CONCATENATE(E349," ",F349," ",C349," ",D349)</f>
        <v>Martha Yamile Chaves Erazo</v>
      </c>
      <c r="X349" s="41" t="str">
        <f t="shared" si="31"/>
        <v>Martha Yamile Chaves Erazo</v>
      </c>
      <c r="Y349" s="41" t="str">
        <f>CONCATENATE(W349,"-",B349,"-",P349)</f>
        <v>Martha Yamile Chaves Erazo-27091459-QUIMICOS</v>
      </c>
    </row>
    <row r="350" spans="1:26" s="49" customFormat="1" x14ac:dyDescent="0.2">
      <c r="A350" s="20">
        <v>97</v>
      </c>
      <c r="B350" s="21">
        <v>27091459</v>
      </c>
      <c r="C350" s="21" t="s">
        <v>103</v>
      </c>
      <c r="D350" s="21" t="s">
        <v>80</v>
      </c>
      <c r="E350" s="21" t="s">
        <v>239</v>
      </c>
      <c r="F350" s="21" t="s">
        <v>240</v>
      </c>
      <c r="G350" s="21">
        <v>17</v>
      </c>
      <c r="H350" s="21" t="s">
        <v>49</v>
      </c>
      <c r="I350" s="22" t="s">
        <v>377</v>
      </c>
      <c r="J350" s="22"/>
      <c r="K350" s="23">
        <v>45673</v>
      </c>
      <c r="L350" s="42">
        <v>65000</v>
      </c>
      <c r="M350" s="21" t="s">
        <v>79</v>
      </c>
      <c r="N350" s="21" t="s">
        <v>387</v>
      </c>
      <c r="O350" s="48" t="s">
        <v>69</v>
      </c>
      <c r="P350" s="21" t="s">
        <v>23</v>
      </c>
      <c r="Q350" s="22">
        <v>29214</v>
      </c>
      <c r="R350" s="21" t="s">
        <v>71</v>
      </c>
      <c r="S350" s="21" t="s">
        <v>108</v>
      </c>
      <c r="T350" s="21">
        <v>3132772291</v>
      </c>
      <c r="U350" s="21" t="s">
        <v>241</v>
      </c>
      <c r="V350" s="26" t="e">
        <f>IF(P350=#REF!,"DIPLOMADO EN ATENCION PRE-HOSPITALARIA",IF(P350=#REF!,"ACOMPAÑAMIENTO Y MANEJO DEL DUELO",IF(P350=#REF!,"ATENCION A VICTIMAS DE ATAQUE CON AGENTES QUIMICOS ",IF(P350=#REF!,"PRIMEROS AUXILIOS ",IF(P350=#REF!,"DIPLOMADO DE UNIDAD DE CUIDADOS INTENSIVOS (UCI)",IF(P350=#REF!,"MODELO DE ATENCION PARA EVENTOS EMERGENTES EN SALUD MENTAL (CODIGO VERDE)",IF(P350=#REF!,"HUMANIZACION EN EL SERVICIO DE LA SALUD Y BUENAS PRACTICAS EN PACIENTE ",IF(P350=#REF!,"CLINICA DE HERIDAS ",IF(P350=#REF!,"TOMA DE CITOLOGIA CERVICO VAGINAL ",IF(P350=#REF!,"SOPORTE CARDIOVASCULAR AVANZADO (ACLS) ",IF(P350=#REF!,"CAMILLERO ",IF(P350=#REF!,"TOMA DE MUESTRAS Y LABORATORIO ",IF(P350=#REF!,"SOPORTE VITAL BASICO (BLS)",IF(P350=#REF!,"ATENCION A VICTIMAS DE VIOLENCIA SEXUAL ",IF(P350=#REF!,"PROGRAMADO AMPLIADO DE INMUNIZACION (PAI - COVID 19)",IF(P350=#REF!,"ATENCION INTEGRAL EN ENFERMEDADES PREVALENTES EN PRIMERA INFANCIA (AIEPI)",IF(P350=#REF!,"ADMINISTRACION DE MEDICAMENTOS, INYECTOLOGIA  Y CANALIZACION ",IF(P350=#REF!,"OPERADOR DE VEHICULOS DE EMERGENCIA (OVE)",IF(P350=#REF!,"INSTITUCIONES AMIGAS DE LA MUJER Y LA INFANCIA (IAMI)",IF(P350=#REF!,"CUIDADO DEL DONANTE DE ORGANOS",IF(P350=#REF!,"ATENCION A VICTIMAS POR VIOLENCIA DE GENERO",IF(P350=#REF!,"IGUALDAD DE GENERO EN LA SALUD",IF(P350=#REF!,"BRIGADA DE EMERGENCIA",IF(P350=#REF!,"MANEJO DEL DOLOR Y CUIDADOS PALIATIVOS",IF(P350=#REF!,"TOMA DE MUESTRAS Y LABORATORIO POCT",IF(P350=#REF!,"IMPLANTE SUBDERMICO DE DISPOSITIVO INTRAUTERINO",IF(P350=#REF!,"SALUD MENTAL",IF(P350=#REF!,"PRIMEROS AUXILIOS PSICOLOGICOS",IF(P350=#REF!,"ATENCION A VICTIMAS POR CONFLICTO ARMADO",IF(P350=#REF!,"MANIPULACION DE ALIMENTOS Y BPM",IF(P350=#REF!,"ATENCION A PERSONAS CON DISCAPACIDAD",IF(P350=#REF!,"CUIDADO INTEGRAL DEL PACIENTE ADULTO",IF(P350=#REF!,"MANEJO DEFENSIVO",IF(P350=#REF!,"SOPORTE CARDIOVASCULAR AVANZADO NEONATAL",IF(P350=#REF!,"SEGURIDAD DEL PACIENTE",IF(P350=#REF!,"MANEJO DE RESIDUOS HOSPITALARIOS"))))))))))))))))))))))))))))))))))))</f>
        <v>#REF!</v>
      </c>
      <c r="W350" s="26" t="str">
        <f>CONCATENATE(E350," ",F350," ",C350," ",D350)</f>
        <v>Martha Yamile Chaves Erazo</v>
      </c>
      <c r="X350" s="26" t="str">
        <f t="shared" si="31"/>
        <v>Martha Yamile Chaves Erazo</v>
      </c>
      <c r="Y350" s="26" t="str">
        <f>CONCATENATE(W350,"-",B350,"-",P350)</f>
        <v>Martha Yamile Chaves Erazo-27091459-HUMANIZACION</v>
      </c>
    </row>
    <row r="351" spans="1:26" s="49" customFormat="1" x14ac:dyDescent="0.2">
      <c r="A351" s="20">
        <v>98</v>
      </c>
      <c r="B351" s="21">
        <v>1085325690</v>
      </c>
      <c r="C351" s="21" t="s">
        <v>250</v>
      </c>
      <c r="D351" s="21" t="s">
        <v>251</v>
      </c>
      <c r="E351" s="21" t="s">
        <v>183</v>
      </c>
      <c r="F351" s="21" t="s">
        <v>166</v>
      </c>
      <c r="G351" s="21">
        <v>17</v>
      </c>
      <c r="H351" s="21" t="s">
        <v>49</v>
      </c>
      <c r="I351" s="22" t="s">
        <v>377</v>
      </c>
      <c r="J351" s="22"/>
      <c r="K351" s="23" t="s">
        <v>253</v>
      </c>
      <c r="L351" s="42">
        <v>65000</v>
      </c>
      <c r="M351" s="21" t="s">
        <v>79</v>
      </c>
      <c r="N351" s="21" t="s">
        <v>387</v>
      </c>
      <c r="O351" s="48" t="s">
        <v>69</v>
      </c>
      <c r="P351" s="21" t="s">
        <v>29</v>
      </c>
      <c r="Q351" s="22">
        <v>34984</v>
      </c>
      <c r="R351" s="21" t="s">
        <v>71</v>
      </c>
      <c r="S351" s="21" t="s">
        <v>107</v>
      </c>
      <c r="T351" s="21">
        <v>3225286023</v>
      </c>
      <c r="U351" s="21" t="s">
        <v>252</v>
      </c>
      <c r="V351" s="26" t="e">
        <f>IF(P351=#REF!,"DIPLOMADO EN ATENCION PRE-HOSPITALARIA",IF(P351=#REF!,"ACOMPAÑAMIENTO Y MANEJO DEL DUELO",IF(P351=#REF!,"ATENCION A VICTIMAS DE ATAQUE CON AGENTES QUIMICOS ",IF(P351=#REF!,"PRIMEROS AUXILIOS ",IF(P351=#REF!,"DIPLOMADO DE UNIDAD DE CUIDADOS INTENSIVOS (UCI)",IF(P351=#REF!,"MODELO DE ATENCION PARA EVENTOS EMERGENTES EN SALUD MENTAL (CODIGO VERDE)",IF(P351=#REF!,"HUMANIZACION EN EL SERVICIO DE LA SALUD Y BUENAS PRACTICAS EN PACIENTE ",IF(P351=#REF!,"CLINICA DE HERIDAS ",IF(P351=#REF!,"TOMA DE CITOLOGIA CERVICO VAGINAL ",IF(P351=#REF!,"SOPORTE CARDIOVASCULAR AVANZADO (ACLS) ",IF(P351=#REF!,"CAMILLERO ",IF(P351=#REF!,"TOMA DE MUESTRAS Y LABORATORIO ",IF(P351=#REF!,"SOPORTE VITAL BASICO (BLS)",IF(P351=#REF!,"ATENCION A VICTIMAS DE VIOLENCIA SEXUAL ",IF(P351=#REF!,"PROGRAMADO AMPLIADO DE INMUNIZACION (PAI - COVID 19)",IF(P351=#REF!,"ATENCION INTEGRAL EN ENFERMEDADES PREVALENTES EN PRIMERA INFANCIA (AIEPI)",IF(P351=#REF!,"ADMINISTRACION DE MEDICAMENTOS, INYECTOLOGIA  Y CANALIZACION ",IF(P351=#REF!,"OPERADOR DE VEHICULOS DE EMERGENCIA (OVE)",IF(P351=#REF!,"INSTITUCIONES AMIGAS DE LA MUJER Y LA INFANCIA (IAMI)",IF(P351=#REF!,"CUIDADO DEL DONANTE DE ORGANOS",IF(P351=#REF!,"ATENCION A VICTIMAS POR VIOLENCIA DE GENERO",IF(P351=#REF!,"IGUALDAD DE GENERO EN LA SALUD",IF(P351=#REF!,"BRIGADA DE EMERGENCIA",IF(P351=#REF!,"MANEJO DEL DOLOR Y CUIDADOS PALIATIVOS",IF(P351=#REF!,"TOMA DE MUESTRAS Y LABORATORIO POCT",IF(P351=#REF!,"IMPLANTE SUBDERMICO DE DISPOSITIVO INTRAUTERINO",IF(P351=#REF!,"SALUD MENTAL",IF(P351=#REF!,"PRIMEROS AUXILIOS PSICOLOGICOS",IF(P351=#REF!,"ATENCION A VICTIMAS POR CONFLICTO ARMADO",IF(P351=#REF!,"MANIPULACION DE ALIMENTOS Y BPM",IF(P351=#REF!,"ATENCION A PERSONAS CON DISCAPACIDAD",IF(P351=#REF!,"CUIDADO INTEGRAL DEL PACIENTE ADULTO",IF(P351=#REF!,"MANEJO DEFENSIVO",IF(P351=#REF!,"SOPORTE CARDIOVASCULAR AVANZADO NEONATAL",IF(P351=#REF!,"SEGURIDAD DEL PACIENTE",IF(P351=#REF!,"MANEJO DE RESIDUOS HOSPITALARIOS"))))))))))))))))))))))))))))))))))))</f>
        <v>#REF!</v>
      </c>
      <c r="W351" s="26" t="str">
        <f>CONCATENATE(E351," ",F351," ",C351," ",D351)</f>
        <v>Maria Alejandra Fuelantala Chasoy</v>
      </c>
      <c r="X351" s="26" t="str">
        <f t="shared" si="31"/>
        <v>Maria Alejandra Fuelantala Chasoy</v>
      </c>
      <c r="Y351" s="26" t="str">
        <f>CONCATENATE(W351,"-",B351,"-",P351)</f>
        <v>Maria Alejandra Fuelantala Chasoy-1085325690-ADMON DE MEDICAMENTOS</v>
      </c>
    </row>
    <row r="352" spans="1:26" s="49" customFormat="1" x14ac:dyDescent="0.2">
      <c r="A352" s="20">
        <v>99</v>
      </c>
      <c r="B352" s="21">
        <v>1085300415</v>
      </c>
      <c r="C352" s="21" t="s">
        <v>232</v>
      </c>
      <c r="D352" s="21" t="s">
        <v>254</v>
      </c>
      <c r="E352" s="21" t="s">
        <v>183</v>
      </c>
      <c r="F352" s="21" t="s">
        <v>166</v>
      </c>
      <c r="G352" s="21">
        <v>17</v>
      </c>
      <c r="H352" s="21" t="s">
        <v>49</v>
      </c>
      <c r="I352" s="22" t="s">
        <v>377</v>
      </c>
      <c r="J352" s="22"/>
      <c r="K352" s="23" t="s">
        <v>285</v>
      </c>
      <c r="L352" s="42">
        <v>65000</v>
      </c>
      <c r="M352" s="21" t="s">
        <v>206</v>
      </c>
      <c r="N352" s="21" t="s">
        <v>387</v>
      </c>
      <c r="O352" s="48" t="s">
        <v>69</v>
      </c>
      <c r="P352" s="48" t="s">
        <v>21</v>
      </c>
      <c r="Q352" s="22">
        <v>33896</v>
      </c>
      <c r="R352" s="21" t="s">
        <v>71</v>
      </c>
      <c r="S352" s="25" t="s">
        <v>83</v>
      </c>
      <c r="T352" s="21">
        <v>3016590132</v>
      </c>
      <c r="U352" s="21" t="s">
        <v>255</v>
      </c>
      <c r="V352" s="26" t="e">
        <f>IF(P352=#REF!,"DIPLOMADO EN ATENCION PRE-HOSPITALARIA",IF(P352=#REF!,"ACOMPAÑAMIENTO Y MANEJO DEL DUELO",IF(P352=#REF!,"ATENCION A VICTIMAS DE ATAQUE CON AGENTES QUIMICOS ",IF(P352=#REF!,"PRIMEROS AUXILIOS ",IF(P352=#REF!,"DIPLOMADO DE UNIDAD DE CUIDADOS INTENSIVOS (UCI)",IF(P352=#REF!,"MODELO DE ATENCION PARA EVENTOS EMERGENTES EN SALUD MENTAL (CODIGO VERDE)",IF(P352=#REF!,"HUMANIZACION EN EL SERVICIO DE LA SALUD Y BUENAS PRACTICAS EN PACIENTE ",IF(P352=#REF!,"CLINICA DE HERIDAS ",IF(P352=#REF!,"TOMA DE CITOLOGIA CERVICO VAGINAL ",IF(P352=#REF!,"SOPORTE CARDIOVASCULAR AVANZADO (ACLS) ",IF(P352=#REF!,"CAMILLERO ",IF(P352=#REF!,"TOMA DE MUESTRAS Y LABORATORIO ",IF(P352=#REF!,"SOPORTE VITAL BASICO (BLS)",IF(P352=#REF!,"ATENCION A VICTIMAS DE VIOLENCIA SEXUAL ",IF(P352=#REF!,"PROGRAMADO AMPLIADO DE INMUNIZACION (PAI - COVID 19)",IF(P352=#REF!,"ATENCION INTEGRAL EN ENFERMEDADES PREVALENTES EN PRIMERA INFANCIA (AIEPI)",IF(P352=#REF!,"ADMINISTRACION DE MEDICAMENTOS, INYECTOLOGIA  Y CANALIZACION ",IF(P352=#REF!,"OPERADOR DE VEHICULOS DE EMERGENCIA (OVE)",IF(P352=#REF!,"INSTITUCIONES AMIGAS DE LA MUJER Y LA INFANCIA (IAMI)",IF(P352=#REF!,"CUIDADO DEL DONANTE DE ORGANOS",IF(P352=#REF!,"ATENCION A VICTIMAS POR VIOLENCIA DE GENERO",IF(P352=#REF!,"IGUALDAD DE GENERO EN LA SALUD",IF(P352=#REF!,"BRIGADA DE EMERGENCIA",IF(P352=#REF!,"MANEJO DEL DOLOR Y CUIDADOS PALIATIVOS",IF(P352=#REF!,"TOMA DE MUESTRAS Y LABORATORIO POCT",IF(P352=#REF!,"IMPLANTE SUBDERMICO DE DISPOSITIVO INTRAUTERINO",IF(P352=#REF!,"SALUD MENTAL",IF(P352=#REF!,"PRIMEROS AUXILIOS PSICOLOGICOS",IF(P352=#REF!,"ATENCION A VICTIMAS POR CONFLICTO ARMADO",IF(P352=#REF!,"MANIPULACION DE ALIMENTOS Y BPM",IF(P352=#REF!,"ATENCION A PERSONAS CON DISCAPACIDAD",IF(P352=#REF!,"CUIDADO INTEGRAL DEL PACIENTE ADULTO",IF(P352=#REF!,"MANEJO DEFENSIVO",IF(P352=#REF!,"SOPORTE CARDIOVASCULAR AVANZADO NEONATAL",IF(P352=#REF!,"SEGURIDAD DEL PACIENTE",IF(P352=#REF!,"MANEJO DE RESIDUOS HOSPITALARIOS"))))))))))))))))))))))))))))))))))))</f>
        <v>#REF!</v>
      </c>
      <c r="W352" s="26" t="str">
        <f>CONCATENATE(E352," ",F352," ",C352," ",D352)</f>
        <v>Maria Alejandra Coral Manzano</v>
      </c>
      <c r="X352" s="26" t="str">
        <f t="shared" si="31"/>
        <v>Maria Alejandra Coral Manzano</v>
      </c>
      <c r="Y352" s="26" t="str">
        <f>CONCATENATE(W352,"-",B352,"-",P352)</f>
        <v>Maria Alejandra Coral Manzano-1085300415-QUIMICOS</v>
      </c>
    </row>
    <row r="353" spans="1:26" s="49" customFormat="1" x14ac:dyDescent="0.2">
      <c r="A353" s="20">
        <v>100</v>
      </c>
      <c r="B353" s="21">
        <v>1085301731</v>
      </c>
      <c r="C353" s="21" t="s">
        <v>256</v>
      </c>
      <c r="D353" s="21" t="s">
        <v>257</v>
      </c>
      <c r="E353" s="21" t="s">
        <v>183</v>
      </c>
      <c r="F353" s="21" t="s">
        <v>203</v>
      </c>
      <c r="G353" s="21">
        <v>17</v>
      </c>
      <c r="H353" s="21" t="s">
        <v>49</v>
      </c>
      <c r="I353" s="22" t="s">
        <v>377</v>
      </c>
      <c r="J353" s="22"/>
      <c r="K353" s="23" t="s">
        <v>259</v>
      </c>
      <c r="L353" s="24">
        <v>65000</v>
      </c>
      <c r="M353" s="21" t="s">
        <v>180</v>
      </c>
      <c r="N353" s="21" t="s">
        <v>387</v>
      </c>
      <c r="O353" s="21" t="s">
        <v>69</v>
      </c>
      <c r="P353" s="21" t="s">
        <v>29</v>
      </c>
      <c r="Q353" s="22">
        <v>33948</v>
      </c>
      <c r="R353" s="21" t="s">
        <v>71</v>
      </c>
      <c r="S353" s="21" t="s">
        <v>107</v>
      </c>
      <c r="T353" s="21">
        <v>3188002744</v>
      </c>
      <c r="U353" s="25" t="s">
        <v>258</v>
      </c>
      <c r="V353" s="26" t="e">
        <f>IF(P353=#REF!,"DIPLOMADO EN ATENCION PRE-HOSPITALARIA",IF(P353=#REF!,"ACOMPAÑAMIENTO Y MANEJO DEL DUELO",IF(P353=#REF!,"ATENCION A VICTIMAS DE ATAQUE CON AGENTES QUIMICOS ",IF(P353=#REF!,"PRIMEROS AUXILIOS ",IF(P353=#REF!,"DIPLOMADO DE UNIDAD DE CUIDADOS INTENSIVOS (UCI)",IF(P353=#REF!,"MODELO DE ATENCION PARA EVENTOS EMERGENTES EN SALUD MENTAL (CODIGO VERDE)",IF(P353=#REF!,"HUMANIZACION EN EL SERVICIO DE LA SALUD Y BUENAS PRACTICAS EN PACIENTE ",IF(P353=#REF!,"CLINICA DE HERIDAS ",IF(P353=#REF!,"TOMA DE CITOLOGIA CERVICO VAGINAL ",IF(P353=#REF!,"SOPORTE CARDIOVASCULAR AVANZADO (ACLS) ",IF(P353=#REF!,"CAMILLERO ",IF(P353=#REF!,"TOMA DE MUESTRAS Y LABORATORIO ",IF(P353=#REF!,"SOPORTE VITAL BASICO (BLS)",IF(P353=#REF!,"ATENCION A VICTIMAS DE VIOLENCIA SEXUAL ",IF(P353=#REF!,"PROGRAMADO AMPLIADO DE INMUNIZACION (PAI - COVID 19)",IF(P353=#REF!,"ATENCION INTEGRAL EN ENFERMEDADES PREVALENTES EN PRIMERA INFANCIA (AIEPI)",IF(P353=#REF!,"ADMINISTRACION DE MEDICAMENTOS, INYECTOLOGIA  Y CANALIZACION ",IF(P353=#REF!,"OPERADOR DE VEHICULOS DE EMERGENCIA (OVE)",IF(P353=#REF!,"INSTITUCIONES AMIGAS DE LA MUJER Y LA INFANCIA (IAMI)",IF(P353=#REF!,"CUIDADO DEL DONANTE DE ORGANOS",IF(P353=#REF!,"ATENCION A VICTIMAS POR VIOLENCIA DE GENERO",IF(P353=#REF!,"IGUALDAD DE GENERO EN LA SALUD",IF(P353=#REF!,"BRIGADA DE EMERGENCIA",IF(P353=#REF!,"MANEJO DEL DOLOR Y CUIDADOS PALIATIVOS",IF(P353=#REF!,"TOMA DE MUESTRAS Y LABORATORIO POCT",IF(P353=#REF!,"IMPLANTE SUBDERMICO DE DISPOSITIVO INTRAUTERINO",IF(P353=#REF!,"SALUD MENTAL",IF(P353=#REF!,"PRIMEROS AUXILIOS PSICOLOGICOS",IF(P353=#REF!,"ATENCION A VICTIMAS POR CONFLICTO ARMADO",IF(P353=#REF!,"MANIPULACION DE ALIMENTOS Y BPM",IF(P353=#REF!,"ATENCION A PERSONAS CON DISCAPACIDAD",IF(P353=#REF!,"CUIDADO INTEGRAL DEL PACIENTE ADULTO",IF(P353=#REF!,"MANEJO DEFENSIVO",IF(P353=#REF!,"SOPORTE CARDIOVASCULAR AVANZADO NEONATAL",IF(P353=#REF!,"SEGURIDAD DEL PACIENTE",IF(P353=#REF!,"MANEJO DE RESIDUOS HOSPITALARIOS"))))))))))))))))))))))))))))))))))))</f>
        <v>#REF!</v>
      </c>
      <c r="W353" s="26" t="str">
        <f>CONCATENATE(E353," ",F353," ",C353," ",D353)</f>
        <v>Maria Angelica Mutis Mora</v>
      </c>
      <c r="X353" s="26" t="str">
        <f t="shared" si="31"/>
        <v>Maria Angelica Mutis Mora</v>
      </c>
      <c r="Y353" s="26" t="str">
        <f>CONCATENATE(W353,"-",B353,"-",P353)</f>
        <v>Maria Angelica Mutis Mora-1085301731-ADMON DE MEDICAMENTOS</v>
      </c>
    </row>
    <row r="354" spans="1:26" s="49" customFormat="1" x14ac:dyDescent="0.2">
      <c r="A354" s="20">
        <v>101</v>
      </c>
      <c r="B354" s="21">
        <v>27149611</v>
      </c>
      <c r="C354" s="48" t="s">
        <v>260</v>
      </c>
      <c r="D354" s="48" t="s">
        <v>160</v>
      </c>
      <c r="E354" s="48" t="s">
        <v>261</v>
      </c>
      <c r="F354" s="48" t="s">
        <v>262</v>
      </c>
      <c r="G354" s="21">
        <v>17</v>
      </c>
      <c r="H354" s="21" t="s">
        <v>49</v>
      </c>
      <c r="I354" s="22" t="s">
        <v>377</v>
      </c>
      <c r="J354" s="22"/>
      <c r="K354" s="23" t="s">
        <v>259</v>
      </c>
      <c r="L354" s="24">
        <v>65000</v>
      </c>
      <c r="M354" s="21" t="s">
        <v>206</v>
      </c>
      <c r="N354" s="21" t="s">
        <v>387</v>
      </c>
      <c r="O354" s="48" t="s">
        <v>69</v>
      </c>
      <c r="P354" s="48" t="s">
        <v>29</v>
      </c>
      <c r="Q354" s="52">
        <v>28051</v>
      </c>
      <c r="R354" s="48" t="s">
        <v>71</v>
      </c>
      <c r="S354" s="48" t="s">
        <v>263</v>
      </c>
      <c r="T354" s="53">
        <v>3117802054</v>
      </c>
      <c r="U354" s="21" t="s">
        <v>264</v>
      </c>
      <c r="V354" s="26" t="e">
        <f>IF(P354=#REF!,"DIPLOMADO EN ATENCION PRE-HOSPITALARIA",IF(P354=#REF!,"ACOMPAÑAMIENTO Y MANEJO DEL DUELO",IF(P354=#REF!,"ATENCION A VICTIMAS DE ATAQUE CON AGENTES QUIMICOS ",IF(P354=#REF!,"PRIMEROS AUXILIOS ",IF(P354=#REF!,"DIPLOMADO DE UNIDAD DE CUIDADOS INTENSIVOS (UCI)",IF(P354=#REF!,"MODELO DE ATENCION PARA EVENTOS EMERGENTES EN SALUD MENTAL (CODIGO VERDE)",IF(P354=#REF!,"HUMANIZACION EN EL SERVICIO DE LA SALUD Y BUENAS PRACTICAS EN PACIENTE ",IF(P354=#REF!,"CLINICA DE HERIDAS ",IF(P354=#REF!,"TOMA DE CITOLOGIA CERVICO VAGINAL ",IF(P354=#REF!,"SOPORTE CARDIOVASCULAR AVANZADO (ACLS) ",IF(P354=#REF!,"CAMILLERO ",IF(P354=#REF!,"TOMA DE MUESTRAS Y LABORATORIO ",IF(P354=#REF!,"SOPORTE VITAL BASICO (BLS)",IF(P354=#REF!,"ATENCION A VICTIMAS DE VIOLENCIA SEXUAL ",IF(P354=#REF!,"PROGRAMADO AMPLIADO DE INMUNIZACION (PAI - COVID 19)",IF(P354=#REF!,"ATENCION INTEGRAL EN ENFERMEDADES PREVALENTES EN PRIMERA INFANCIA (AIEPI)",IF(P354=#REF!,"ADMINISTRACION DE MEDICAMENTOS, INYECTOLOGIA  Y CANALIZACION ",IF(P354=#REF!,"OPERADOR DE VEHICULOS DE EMERGENCIA (OVE)",IF(P354=#REF!,"INSTITUCIONES AMIGAS DE LA MUJER Y LA INFANCIA (IAMI)",IF(P354=#REF!,"CUIDADO DEL DONANTE DE ORGANOS",IF(P354=#REF!,"ATENCION A VICTIMAS POR VIOLENCIA DE GENERO",IF(P354=#REF!,"IGUALDAD DE GENERO EN LA SALUD",IF(P354=#REF!,"BRIGADA DE EMERGENCIA",IF(P354=#REF!,"MANEJO DEL DOLOR Y CUIDADOS PALIATIVOS",IF(P354=#REF!,"TOMA DE MUESTRAS Y LABORATORIO POCT",IF(P354=#REF!,"IMPLANTE SUBDERMICO DE DISPOSITIVO INTRAUTERINO",IF(P354=#REF!,"SALUD MENTAL",IF(P354=#REF!,"PRIMEROS AUXILIOS PSICOLOGICOS",IF(P354=#REF!,"ATENCION A VICTIMAS POR CONFLICTO ARMADO",IF(P354=#REF!,"MANIPULACION DE ALIMENTOS Y BPM",IF(P354=#REF!,"ATENCION A PERSONAS CON DISCAPACIDAD",IF(P354=#REF!,"CUIDADO INTEGRAL DEL PACIENTE ADULTO",IF(P354=#REF!,"MANEJO DEFENSIVO",IF(P354=#REF!,"SOPORTE CARDIOVASCULAR AVANZADO NEONATAL",IF(P354=#REF!,"SEGURIDAD DEL PACIENTE",IF(P354=#REF!,"MANEJO DE RESIDUOS HOSPITALARIOS"))))))))))))))))))))))))))))))))))))</f>
        <v>#REF!</v>
      </c>
      <c r="W354" s="26" t="str">
        <f>CONCATENATE(E354," ",F354," ",C354," ",D354)</f>
        <v>Nefer Salima Benavides Gomez</v>
      </c>
      <c r="X354" s="26" t="str">
        <f t="shared" si="31"/>
        <v>Nefer Salima Benavides Gomez</v>
      </c>
      <c r="Y354" s="26" t="str">
        <f>CONCATENATE(W354,"-",B354,"-",P354)</f>
        <v>Nefer Salima Benavides Gomez-27149611-ADMON DE MEDICAMENTOS</v>
      </c>
    </row>
    <row r="355" spans="1:26" s="49" customFormat="1" x14ac:dyDescent="0.2">
      <c r="A355" s="20">
        <v>102</v>
      </c>
      <c r="B355" s="21">
        <v>1006452111</v>
      </c>
      <c r="C355" s="48" t="s">
        <v>265</v>
      </c>
      <c r="D355" s="48" t="s">
        <v>266</v>
      </c>
      <c r="E355" s="48" t="s">
        <v>267</v>
      </c>
      <c r="F355" s="48" t="s">
        <v>268</v>
      </c>
      <c r="G355" s="21">
        <v>17</v>
      </c>
      <c r="H355" s="21" t="s">
        <v>49</v>
      </c>
      <c r="I355" s="22" t="s">
        <v>377</v>
      </c>
      <c r="J355" s="22"/>
      <c r="K355" s="23">
        <v>45674</v>
      </c>
      <c r="L355" s="24">
        <v>65000</v>
      </c>
      <c r="M355" s="21" t="s">
        <v>133</v>
      </c>
      <c r="N355" s="21" t="s">
        <v>387</v>
      </c>
      <c r="O355" s="48" t="s">
        <v>69</v>
      </c>
      <c r="P355" s="48" t="s">
        <v>29</v>
      </c>
      <c r="Q355" s="52">
        <v>34911</v>
      </c>
      <c r="R355" s="48" t="s">
        <v>71</v>
      </c>
      <c r="S355" s="48" t="s">
        <v>269</v>
      </c>
      <c r="T355" s="53">
        <v>3218288697</v>
      </c>
      <c r="U355" s="21" t="s">
        <v>270</v>
      </c>
      <c r="V355" s="26" t="e">
        <f>IF(P355=#REF!,"DIPLOMADO EN ATENCION PRE-HOSPITALARIA",IF(P355=#REF!,"ACOMPAÑAMIENTO Y MANEJO DEL DUELO",IF(P355=#REF!,"ATENCION A VICTIMAS DE ATAQUE CON AGENTES QUIMICOS ",IF(P355=#REF!,"PRIMEROS AUXILIOS ",IF(P355=#REF!,"DIPLOMADO DE UNIDAD DE CUIDADOS INTENSIVOS (UCI)",IF(P355=#REF!,"MODELO DE ATENCION PARA EVENTOS EMERGENTES EN SALUD MENTAL (CODIGO VERDE)",IF(P355=#REF!,"HUMANIZACION EN EL SERVICIO DE LA SALUD Y BUENAS PRACTICAS EN PACIENTE ",IF(P355=#REF!,"CLINICA DE HERIDAS ",IF(P355=#REF!,"TOMA DE CITOLOGIA CERVICO VAGINAL ",IF(P355=#REF!,"SOPORTE CARDIOVASCULAR AVANZADO (ACLS) ",IF(P355=#REF!,"CAMILLERO ",IF(P355=#REF!,"TOMA DE MUESTRAS Y LABORATORIO ",IF(P355=#REF!,"SOPORTE VITAL BASICO (BLS)",IF(P355=#REF!,"ATENCION A VICTIMAS DE VIOLENCIA SEXUAL ",IF(P355=#REF!,"PROGRAMADO AMPLIADO DE INMUNIZACION (PAI - COVID 19)",IF(P355=#REF!,"ATENCION INTEGRAL EN ENFERMEDADES PREVALENTES EN PRIMERA INFANCIA (AIEPI)",IF(P355=#REF!,"ADMINISTRACION DE MEDICAMENTOS, INYECTOLOGIA  Y CANALIZACION ",IF(P355=#REF!,"OPERADOR DE VEHICULOS DE EMERGENCIA (OVE)",IF(P355=#REF!,"INSTITUCIONES AMIGAS DE LA MUJER Y LA INFANCIA (IAMI)",IF(P355=#REF!,"CUIDADO DEL DONANTE DE ORGANOS",IF(P355=#REF!,"ATENCION A VICTIMAS POR VIOLENCIA DE GENERO",IF(P355=#REF!,"IGUALDAD DE GENERO EN LA SALUD",IF(P355=#REF!,"BRIGADA DE EMERGENCIA",IF(P355=#REF!,"MANEJO DEL DOLOR Y CUIDADOS PALIATIVOS",IF(P355=#REF!,"TOMA DE MUESTRAS Y LABORATORIO POCT",IF(P355=#REF!,"IMPLANTE SUBDERMICO DE DISPOSITIVO INTRAUTERINO",IF(P355=#REF!,"SALUD MENTAL",IF(P355=#REF!,"PRIMEROS AUXILIOS PSICOLOGICOS",IF(P355=#REF!,"ATENCION A VICTIMAS POR CONFLICTO ARMADO",IF(P355=#REF!,"MANIPULACION DE ALIMENTOS Y BPM",IF(P355=#REF!,"ATENCION A PERSONAS CON DISCAPACIDAD",IF(P355=#REF!,"CUIDADO INTEGRAL DEL PACIENTE ADULTO",IF(P355=#REF!,"MANEJO DEFENSIVO",IF(P355=#REF!,"SOPORTE CARDIOVASCULAR AVANZADO NEONATAL",IF(P355=#REF!,"SEGURIDAD DEL PACIENTE",IF(P355=#REF!,"MANEJO DE RESIDUOS HOSPITALARIOS"))))))))))))))))))))))))))))))))))))</f>
        <v>#REF!</v>
      </c>
      <c r="W355" s="26" t="str">
        <f>CONCATENATE(E355," ",F355," ",C355," ",D355)</f>
        <v>Carlos Humberto Marulanda Giraldo</v>
      </c>
      <c r="X355" s="26" t="str">
        <f t="shared" si="31"/>
        <v>Carlos Humberto Marulanda Giraldo</v>
      </c>
      <c r="Y355" s="26" t="str">
        <f>CONCATENATE(W355,"-",B355,"-",P355)</f>
        <v>Carlos Humberto Marulanda Giraldo-1006452111-ADMON DE MEDICAMENTOS</v>
      </c>
      <c r="Z355" s="50"/>
    </row>
    <row r="356" spans="1:26" s="6" customFormat="1" x14ac:dyDescent="0.2">
      <c r="A356" s="20">
        <v>103</v>
      </c>
      <c r="B356" s="21">
        <v>1085322654</v>
      </c>
      <c r="C356" s="48" t="s">
        <v>271</v>
      </c>
      <c r="D356" s="48" t="s">
        <v>272</v>
      </c>
      <c r="E356" s="48" t="s">
        <v>273</v>
      </c>
      <c r="F356" s="48" t="s">
        <v>228</v>
      </c>
      <c r="G356" s="48">
        <v>17</v>
      </c>
      <c r="H356" s="21" t="s">
        <v>49</v>
      </c>
      <c r="I356" s="52" t="s">
        <v>377</v>
      </c>
      <c r="J356" s="52"/>
      <c r="K356" s="23" t="s">
        <v>282</v>
      </c>
      <c r="L356" s="24">
        <v>65000</v>
      </c>
      <c r="M356" s="21" t="s">
        <v>180</v>
      </c>
      <c r="N356" s="21" t="s">
        <v>387</v>
      </c>
      <c r="O356" s="48" t="s">
        <v>69</v>
      </c>
      <c r="P356" s="48" t="s">
        <v>29</v>
      </c>
      <c r="Q356" s="52">
        <v>34831</v>
      </c>
      <c r="R356" s="48" t="s">
        <v>71</v>
      </c>
      <c r="S356" s="48" t="s">
        <v>274</v>
      </c>
      <c r="T356" s="53">
        <v>3132430568</v>
      </c>
      <c r="U356" s="21" t="s">
        <v>275</v>
      </c>
      <c r="V356" s="26" t="e">
        <f>IF(P356=#REF!,"DIPLOMADO EN ATENCION PRE-HOSPITALARIA",IF(P356=#REF!,"ACOMPAÑAMIENTO Y MANEJO DEL DUELO",IF(P356=#REF!,"ATENCION A VICTIMAS DE ATAQUE CON AGENTES QUIMICOS ",IF(P356=#REF!,"PRIMEROS AUXILIOS ",IF(P356=#REF!,"DIPLOMADO DE UNIDAD DE CUIDADOS INTENSIVOS (UCI)",IF(P356=#REF!,"MODELO DE ATENCION PARA EVENTOS EMERGENTES EN SALUD MENTAL (CODIGO VERDE)",IF(P356=#REF!,"HUMANIZACION EN EL SERVICIO DE LA SALUD Y BUENAS PRACTICAS EN PACIENTE ",IF(P356=#REF!,"CLINICA DE HERIDAS ",IF(P356=#REF!,"TOMA DE CITOLOGIA CERVICO VAGINAL ",IF(P356=#REF!,"SOPORTE CARDIOVASCULAR AVANZADO (ACLS) ",IF(P356=#REF!,"CAMILLERO ",IF(P356=#REF!,"TOMA DE MUESTRAS Y LABORATORIO ",IF(P356=#REF!,"SOPORTE VITAL BASICO (BLS)",IF(P356=#REF!,"ATENCION A VICTIMAS DE VIOLENCIA SEXUAL ",IF(P356=#REF!,"PROGRAMADO AMPLIADO DE INMUNIZACION (PAI - COVID 19)",IF(P356=#REF!,"ATENCION INTEGRAL EN ENFERMEDADES PREVALENTES EN PRIMERA INFANCIA (AIEPI)",IF(P356=#REF!,"ADMINISTRACION DE MEDICAMENTOS, INYECTOLOGIA  Y CANALIZACION ",IF(P356=#REF!,"OPERADOR DE VEHICULOS DE EMERGENCIA (OVE)",IF(P356=#REF!,"INSTITUCIONES AMIGAS DE LA MUJER Y LA INFANCIA (IAMI)",IF(P356=#REF!,"CUIDADO DEL DONANTE DE ORGANOS",IF(P356=#REF!,"ATENCION A VICTIMAS POR VIOLENCIA DE GENERO",IF(P356=#REF!,"IGUALDAD DE GENERO EN LA SALUD",IF(P356=#REF!,"BRIGADA DE EMERGENCIA",IF(P356=#REF!,"MANEJO DEL DOLOR Y CUIDADOS PALIATIVOS",IF(P356=#REF!,"TOMA DE MUESTRAS Y LABORATORIO POCT",IF(P356=#REF!,"IMPLANTE SUBDERMICO DE DISPOSITIVO INTRAUTERINO",IF(P356=#REF!,"SALUD MENTAL",IF(P356=#REF!,"PRIMEROS AUXILIOS PSICOLOGICOS",IF(P356=#REF!,"ATENCION A VICTIMAS POR CONFLICTO ARMADO",IF(P356=#REF!,"MANIPULACION DE ALIMENTOS Y BPM",IF(P356=#REF!,"ATENCION A PERSONAS CON DISCAPACIDAD",IF(P356=#REF!,"CUIDADO INTEGRAL DEL PACIENTE ADULTO",IF(P356=#REF!,"MANEJO DEFENSIVO",IF(P356=#REF!,"SOPORTE CARDIOVASCULAR AVANZADO NEONATAL",IF(P356=#REF!,"SEGURIDAD DEL PACIENTE",IF(P356=#REF!,"MANEJO DE RESIDUOS HOSPITALARIOS"))))))))))))))))))))))))))))))))))))</f>
        <v>#REF!</v>
      </c>
      <c r="W356" s="26" t="str">
        <f>CONCATENATE(E356," ",F356," ",C356," ",D356)</f>
        <v>Ana Gabriel Bacca Hernandez</v>
      </c>
      <c r="X356" s="26" t="str">
        <f t="shared" si="31"/>
        <v>Ana Gabriel Bacca Hernandez</v>
      </c>
      <c r="Y356" s="26" t="str">
        <f>CONCATENATE(W356,"-",B356,"-",P356)</f>
        <v>Ana Gabriel Bacca Hernandez-1085322654-ADMON DE MEDICAMENTOS</v>
      </c>
    </row>
    <row r="357" spans="1:26" s="6" customFormat="1" x14ac:dyDescent="0.2">
      <c r="A357" s="20">
        <v>104</v>
      </c>
      <c r="B357" s="21">
        <v>1233193720</v>
      </c>
      <c r="C357" s="48" t="s">
        <v>117</v>
      </c>
      <c r="D357" s="48" t="s">
        <v>276</v>
      </c>
      <c r="E357" s="48" t="s">
        <v>277</v>
      </c>
      <c r="F357" s="48" t="s">
        <v>183</v>
      </c>
      <c r="G357" s="48">
        <v>17</v>
      </c>
      <c r="H357" s="21" t="s">
        <v>49</v>
      </c>
      <c r="I357" s="52" t="s">
        <v>377</v>
      </c>
      <c r="J357" s="52"/>
      <c r="K357" s="23" t="s">
        <v>259</v>
      </c>
      <c r="L357" s="24">
        <v>65000</v>
      </c>
      <c r="M357" s="21" t="s">
        <v>180</v>
      </c>
      <c r="N357" s="21" t="s">
        <v>387</v>
      </c>
      <c r="O357" s="48" t="s">
        <v>69</v>
      </c>
      <c r="P357" s="48" t="s">
        <v>29</v>
      </c>
      <c r="Q357" s="52">
        <v>36328</v>
      </c>
      <c r="R357" s="48" t="s">
        <v>71</v>
      </c>
      <c r="S357" s="48" t="s">
        <v>283</v>
      </c>
      <c r="T357" s="53">
        <v>3172629986</v>
      </c>
      <c r="U357" s="21" t="s">
        <v>284</v>
      </c>
      <c r="V357" s="26" t="e">
        <f>IF(P357=#REF!,"DIPLOMADO EN ATENCION PRE-HOSPITALARIA",IF(P357=#REF!,"ACOMPAÑAMIENTO Y MANEJO DEL DUELO",IF(P357=#REF!,"ATENCION A VICTIMAS DE ATAQUE CON AGENTES QUIMICOS ",IF(P357=#REF!,"PRIMEROS AUXILIOS ",IF(P357=#REF!,"DIPLOMADO DE UNIDAD DE CUIDADOS INTENSIVOS (UCI)",IF(P357=#REF!,"MODELO DE ATENCION PARA EVENTOS EMERGENTES EN SALUD MENTAL (CODIGO VERDE)",IF(P357=#REF!,"HUMANIZACION EN EL SERVICIO DE LA SALUD Y BUENAS PRACTICAS EN PACIENTE ",IF(P357=#REF!,"CLINICA DE HERIDAS ",IF(P357=#REF!,"TOMA DE CITOLOGIA CERVICO VAGINAL ",IF(P357=#REF!,"SOPORTE CARDIOVASCULAR AVANZADO (ACLS) ",IF(P357=#REF!,"CAMILLERO ",IF(P357=#REF!,"TOMA DE MUESTRAS Y LABORATORIO ",IF(P357=#REF!,"SOPORTE VITAL BASICO (BLS)",IF(P357=#REF!,"ATENCION A VICTIMAS DE VIOLENCIA SEXUAL ",IF(P357=#REF!,"PROGRAMADO AMPLIADO DE INMUNIZACION (PAI - COVID 19)",IF(P357=#REF!,"ATENCION INTEGRAL EN ENFERMEDADES PREVALENTES EN PRIMERA INFANCIA (AIEPI)",IF(P357=#REF!,"ADMINISTRACION DE MEDICAMENTOS, INYECTOLOGIA  Y CANALIZACION ",IF(P357=#REF!,"OPERADOR DE VEHICULOS DE EMERGENCIA (OVE)",IF(P357=#REF!,"INSTITUCIONES AMIGAS DE LA MUJER Y LA INFANCIA (IAMI)",IF(P357=#REF!,"CUIDADO DEL DONANTE DE ORGANOS",IF(P357=#REF!,"ATENCION A VICTIMAS POR VIOLENCIA DE GENERO",IF(P357=#REF!,"IGUALDAD DE GENERO EN LA SALUD",IF(P357=#REF!,"BRIGADA DE EMERGENCIA",IF(P357=#REF!,"MANEJO DEL DOLOR Y CUIDADOS PALIATIVOS",IF(P357=#REF!,"TOMA DE MUESTRAS Y LABORATORIO POCT",IF(P357=#REF!,"IMPLANTE SUBDERMICO DE DISPOSITIVO INTRAUTERINO",IF(P357=#REF!,"SALUD MENTAL",IF(P357=#REF!,"PRIMEROS AUXILIOS PSICOLOGICOS",IF(P357=#REF!,"ATENCION A VICTIMAS POR CONFLICTO ARMADO",IF(P357=#REF!,"MANIPULACION DE ALIMENTOS Y BPM",IF(P357=#REF!,"ATENCION A PERSONAS CON DISCAPACIDAD",IF(P357=#REF!,"CUIDADO INTEGRAL DEL PACIENTE ADULTO",IF(P357=#REF!,"MANEJO DEFENSIVO",IF(P357=#REF!,"SOPORTE CARDIOVASCULAR AVANZADO NEONATAL",IF(P357=#REF!,"SEGURIDAD DEL PACIENTE",IF(P357=#REF!,"MANEJO DE RESIDUOS HOSPITALARIOS"))))))))))))))))))))))))))))))))))))</f>
        <v>#REF!</v>
      </c>
      <c r="W357" s="26" t="str">
        <f>CONCATENATE(E357," ",F357," ",C357," ",D357)</f>
        <v>Lina Maria Rivera Ricaurte</v>
      </c>
      <c r="X357" s="26" t="str">
        <f t="shared" si="31"/>
        <v>Lina Maria Rivera Ricaurte</v>
      </c>
      <c r="Y357" s="26" t="str">
        <f>CONCATENATE(W357,"-",B357,"-",P357)</f>
        <v>Lina Maria Rivera Ricaurte-1233193720-ADMON DE MEDICAMENTOS</v>
      </c>
    </row>
    <row r="358" spans="1:26" s="6" customFormat="1" x14ac:dyDescent="0.2">
      <c r="A358" s="36">
        <v>105</v>
      </c>
      <c r="B358" s="51">
        <v>1087423182</v>
      </c>
      <c r="C358" s="51" t="s">
        <v>257</v>
      </c>
      <c r="D358" s="51" t="s">
        <v>280</v>
      </c>
      <c r="E358" s="51" t="s">
        <v>278</v>
      </c>
      <c r="F358" s="51" t="s">
        <v>279</v>
      </c>
      <c r="G358" s="51">
        <v>17</v>
      </c>
      <c r="H358" s="37" t="s">
        <v>49</v>
      </c>
      <c r="I358" s="56" t="s">
        <v>376</v>
      </c>
      <c r="J358" s="56"/>
      <c r="K358" s="57">
        <v>45674</v>
      </c>
      <c r="L358" s="58">
        <v>32000</v>
      </c>
      <c r="M358" s="51" t="s">
        <v>106</v>
      </c>
      <c r="N358" s="37" t="s">
        <v>387</v>
      </c>
      <c r="O358" s="51" t="s">
        <v>95</v>
      </c>
      <c r="P358" s="51" t="s">
        <v>21</v>
      </c>
      <c r="Q358" s="56">
        <v>1130968</v>
      </c>
      <c r="R358" s="51" t="s">
        <v>71</v>
      </c>
      <c r="S358" s="59" t="s">
        <v>107</v>
      </c>
      <c r="T358" s="51">
        <v>3187600247</v>
      </c>
      <c r="U358" s="37" t="s">
        <v>281</v>
      </c>
      <c r="V358" s="41" t="e">
        <f>IF(P358=#REF!,"DIPLOMADO EN ATENCION PRE-HOSPITALARIA",IF(P358=#REF!,"ACOMPAÑAMIENTO Y MANEJO DEL DUELO",IF(P358=#REF!,"ATENCION A VICTIMAS DE ATAQUE CON AGENTES QUIMICOS ",IF(P358=#REF!,"PRIMEROS AUXILIOS ",IF(P358=#REF!,"DIPLOMADO DE UNIDAD DE CUIDADOS INTENSIVOS (UCI)",IF(P358=#REF!,"MODELO DE ATENCION PARA EVENTOS EMERGENTES EN SALUD MENTAL (CODIGO VERDE)",IF(P358=#REF!,"HUMANIZACION EN EL SERVICIO DE LA SALUD Y BUENAS PRACTICAS EN PACIENTE ",IF(P358=#REF!,"CLINICA DE HERIDAS ",IF(P358=#REF!,"TOMA DE CITOLOGIA CERVICO VAGINAL ",IF(P358=#REF!,"SOPORTE CARDIOVASCULAR AVANZADO (ACLS) ",IF(P358=#REF!,"CAMILLERO ",IF(P358=#REF!,"TOMA DE MUESTRAS Y LABORATORIO ",IF(P358=#REF!,"SOPORTE VITAL BASICO (BLS)",IF(P358=#REF!,"ATENCION A VICTIMAS DE VIOLENCIA SEXUAL ",IF(P358=#REF!,"PROGRAMADO AMPLIADO DE INMUNIZACION (PAI - COVID 19)",IF(P358=#REF!,"ATENCION INTEGRAL EN ENFERMEDADES PREVALENTES EN PRIMERA INFANCIA (AIEPI)",IF(P358=#REF!,"ADMINISTRACION DE MEDICAMENTOS, INYECTOLOGIA  Y CANALIZACION ",IF(P358=#REF!,"OPERADOR DE VEHICULOS DE EMERGENCIA (OVE)",IF(P358=#REF!,"INSTITUCIONES AMIGAS DE LA MUJER Y LA INFANCIA (IAMI)",IF(P358=#REF!,"CUIDADO DEL DONANTE DE ORGANOS",IF(P358=#REF!,"ATENCION A VICTIMAS POR VIOLENCIA DE GENERO",IF(P358=#REF!,"IGUALDAD DE GENERO EN LA SALUD",IF(P358=#REF!,"BRIGADA DE EMERGENCIA",IF(P358=#REF!,"MANEJO DEL DOLOR Y CUIDADOS PALIATIVOS",IF(P358=#REF!,"TOMA DE MUESTRAS Y LABORATORIO POCT",IF(P358=#REF!,"IMPLANTE SUBDERMICO DE DISPOSITIVO INTRAUTERINO",IF(P358=#REF!,"SALUD MENTAL",IF(P358=#REF!,"PRIMEROS AUXILIOS PSICOLOGICOS",IF(P358=#REF!,"ATENCION A VICTIMAS POR CONFLICTO ARMADO",IF(P358=#REF!,"MANIPULACION DE ALIMENTOS Y BPM",IF(P358=#REF!,"ATENCION A PERSONAS CON DISCAPACIDAD",IF(P358=#REF!,"CUIDADO INTEGRAL DEL PACIENTE ADULTO",IF(P358=#REF!,"MANEJO DEFENSIVO",IF(P358=#REF!,"SOPORTE CARDIOVASCULAR AVANZADO NEONATAL",IF(P358=#REF!,"SEGURIDAD DEL PACIENTE",IF(P358=#REF!,"MANEJO DE RESIDUOS HOSPITALARIOS"))))))))))))))))))))))))))))))))))))</f>
        <v>#REF!</v>
      </c>
      <c r="W358" s="41" t="str">
        <f>CONCATENATE(E358," ",F358," ",C358," ",D358)</f>
        <v>Darlin Karine Mora Cuaychar</v>
      </c>
      <c r="X358" s="41" t="str">
        <f t="shared" si="31"/>
        <v>Darlin Karine Mora Cuaychar</v>
      </c>
      <c r="Y358" s="41" t="str">
        <f>CONCATENATE(W358,"-",B358,"-",P358)</f>
        <v>Darlin Karine Mora Cuaychar-1087423182-QUIMICOS</v>
      </c>
    </row>
    <row r="359" spans="1:26" s="49" customFormat="1" x14ac:dyDescent="0.2">
      <c r="A359" s="20">
        <v>106</v>
      </c>
      <c r="B359" s="48">
        <v>1087423182</v>
      </c>
      <c r="C359" s="48" t="s">
        <v>257</v>
      </c>
      <c r="D359" s="48" t="s">
        <v>280</v>
      </c>
      <c r="E359" s="48" t="s">
        <v>278</v>
      </c>
      <c r="F359" s="48" t="s">
        <v>279</v>
      </c>
      <c r="G359" s="48">
        <v>17</v>
      </c>
      <c r="H359" s="21" t="s">
        <v>49</v>
      </c>
      <c r="I359" s="52" t="s">
        <v>376</v>
      </c>
      <c r="J359" s="52"/>
      <c r="K359" s="54">
        <v>45674</v>
      </c>
      <c r="L359" s="55">
        <v>32000</v>
      </c>
      <c r="M359" s="48" t="s">
        <v>106</v>
      </c>
      <c r="N359" s="21" t="s">
        <v>387</v>
      </c>
      <c r="O359" s="48" t="s">
        <v>95</v>
      </c>
      <c r="P359" s="48" t="s">
        <v>27</v>
      </c>
      <c r="Q359" s="52">
        <v>1130968</v>
      </c>
      <c r="R359" s="48" t="s">
        <v>71</v>
      </c>
      <c r="S359" s="53" t="s">
        <v>107</v>
      </c>
      <c r="T359" s="48">
        <v>3187600247</v>
      </c>
      <c r="U359" s="21" t="s">
        <v>281</v>
      </c>
      <c r="V359" s="26" t="e">
        <f>IF(P359=#REF!,"DIPLOMADO EN ATENCION PRE-HOSPITALARIA",IF(P359=#REF!,"ACOMPAÑAMIENTO Y MANEJO DEL DUELO",IF(P359=#REF!,"ATENCION A VICTIMAS DE ATAQUE CON AGENTES QUIMICOS ",IF(P359=#REF!,"PRIMEROS AUXILIOS ",IF(P359=#REF!,"DIPLOMADO DE UNIDAD DE CUIDADOS INTENSIVOS (UCI)",IF(P359=#REF!,"MODELO DE ATENCION PARA EVENTOS EMERGENTES EN SALUD MENTAL (CODIGO VERDE)",IF(P359=#REF!,"HUMANIZACION EN EL SERVICIO DE LA SALUD Y BUENAS PRACTICAS EN PACIENTE ",IF(P359=#REF!,"CLINICA DE HERIDAS ",IF(P359=#REF!,"TOMA DE CITOLOGIA CERVICO VAGINAL ",IF(P359=#REF!,"SOPORTE CARDIOVASCULAR AVANZADO (ACLS) ",IF(P359=#REF!,"CAMILLERO ",IF(P359=#REF!,"TOMA DE MUESTRAS Y LABORATORIO ",IF(P359=#REF!,"SOPORTE VITAL BASICO (BLS)",IF(P359=#REF!,"ATENCION A VICTIMAS DE VIOLENCIA SEXUAL ",IF(P359=#REF!,"PROGRAMADO AMPLIADO DE INMUNIZACION (PAI - COVID 19)",IF(P359=#REF!,"ATENCION INTEGRAL EN ENFERMEDADES PREVALENTES EN PRIMERA INFANCIA (AIEPI)",IF(P359=#REF!,"ADMINISTRACION DE MEDICAMENTOS, INYECTOLOGIA  Y CANALIZACION ",IF(P359=#REF!,"OPERADOR DE VEHICULOS DE EMERGENCIA (OVE)",IF(P359=#REF!,"INSTITUCIONES AMIGAS DE LA MUJER Y LA INFANCIA (IAMI)",IF(P359=#REF!,"CUIDADO DEL DONANTE DE ORGANOS",IF(P359=#REF!,"ATENCION A VICTIMAS POR VIOLENCIA DE GENERO",IF(P359=#REF!,"IGUALDAD DE GENERO EN LA SALUD",IF(P359=#REF!,"BRIGADA DE EMERGENCIA",IF(P359=#REF!,"MANEJO DEL DOLOR Y CUIDADOS PALIATIVOS",IF(P359=#REF!,"TOMA DE MUESTRAS Y LABORATORIO POCT",IF(P359=#REF!,"IMPLANTE SUBDERMICO DE DISPOSITIVO INTRAUTERINO",IF(P359=#REF!,"SALUD MENTAL",IF(P359=#REF!,"PRIMEROS AUXILIOS PSICOLOGICOS",IF(P359=#REF!,"ATENCION A VICTIMAS POR CONFLICTO ARMADO",IF(P359=#REF!,"MANIPULACION DE ALIMENTOS Y BPM",IF(P359=#REF!,"ATENCION A PERSONAS CON DISCAPACIDAD",IF(P359=#REF!,"CUIDADO INTEGRAL DEL PACIENTE ADULTO",IF(P359=#REF!,"MANEJO DEFENSIVO",IF(P359=#REF!,"SOPORTE CARDIOVASCULAR AVANZADO NEONATAL",IF(P359=#REF!,"SEGURIDAD DEL PACIENTE",IF(P359=#REF!,"MANEJO DE RESIDUOS HOSPITALARIOS"))))))))))))))))))))))))))))))))))))</f>
        <v>#REF!</v>
      </c>
      <c r="W359" s="26" t="str">
        <f>CONCATENATE(E359," ",F359," ",C359," ",D359)</f>
        <v>Darlin Karine Mora Cuaychar</v>
      </c>
      <c r="X359" s="26" t="str">
        <f t="shared" si="31"/>
        <v>Darlin Karine Mora Cuaychar</v>
      </c>
      <c r="Y359" s="26" t="str">
        <f>CONCATENATE(W359,"-",B359,"-",P359)</f>
        <v>Darlin Karine Mora Cuaychar-1087423182-VIOLENCIA SEXUAL</v>
      </c>
    </row>
    <row r="360" spans="1:26" s="49" customFormat="1" x14ac:dyDescent="0.2">
      <c r="A360" s="20">
        <v>107</v>
      </c>
      <c r="B360" s="48">
        <v>1087423182</v>
      </c>
      <c r="C360" s="48" t="s">
        <v>257</v>
      </c>
      <c r="D360" s="48" t="s">
        <v>280</v>
      </c>
      <c r="E360" s="48" t="s">
        <v>278</v>
      </c>
      <c r="F360" s="48" t="s">
        <v>279</v>
      </c>
      <c r="G360" s="48">
        <v>16</v>
      </c>
      <c r="H360" s="21" t="s">
        <v>49</v>
      </c>
      <c r="I360" s="52" t="s">
        <v>376</v>
      </c>
      <c r="J360" s="52"/>
      <c r="K360" s="54">
        <v>45674</v>
      </c>
      <c r="L360" s="55">
        <v>32000</v>
      </c>
      <c r="M360" s="48" t="s">
        <v>106</v>
      </c>
      <c r="N360" s="21" t="s">
        <v>387</v>
      </c>
      <c r="O360" s="48" t="s">
        <v>95</v>
      </c>
      <c r="P360" s="48" t="s">
        <v>23</v>
      </c>
      <c r="Q360" s="52">
        <v>1130968</v>
      </c>
      <c r="R360" s="48" t="s">
        <v>71</v>
      </c>
      <c r="S360" s="53" t="s">
        <v>107</v>
      </c>
      <c r="T360" s="48">
        <v>3187600247</v>
      </c>
      <c r="U360" s="21" t="s">
        <v>281</v>
      </c>
      <c r="V360" s="26" t="e">
        <f>IF(P360=#REF!,"DIPLOMADO EN ATENCION PRE-HOSPITALARIA",IF(P360=#REF!,"ACOMPAÑAMIENTO Y MANEJO DEL DUELO",IF(P360=#REF!,"ATENCION A VICTIMAS DE ATAQUE CON AGENTES QUIMICOS ",IF(P360=#REF!,"PRIMEROS AUXILIOS ",IF(P360=#REF!,"DIPLOMADO DE UNIDAD DE CUIDADOS INTENSIVOS (UCI)",IF(P360=#REF!,"MODELO DE ATENCION PARA EVENTOS EMERGENTES EN SALUD MENTAL (CODIGO VERDE)",IF(P360=#REF!,"HUMANIZACION EN EL SERVICIO DE LA SALUD Y BUENAS PRACTICAS EN PACIENTE ",IF(P360=#REF!,"CLINICA DE HERIDAS ",IF(P360=#REF!,"TOMA DE CITOLOGIA CERVICO VAGINAL ",IF(P360=#REF!,"SOPORTE CARDIOVASCULAR AVANZADO (ACLS) ",IF(P360=#REF!,"CAMILLERO ",IF(P360=#REF!,"TOMA DE MUESTRAS Y LABORATORIO ",IF(P360=#REF!,"SOPORTE VITAL BASICO (BLS)",IF(P360=#REF!,"ATENCION A VICTIMAS DE VIOLENCIA SEXUAL ",IF(P360=#REF!,"PROGRAMADO AMPLIADO DE INMUNIZACION (PAI - COVID 19)",IF(P360=#REF!,"ATENCION INTEGRAL EN ENFERMEDADES PREVALENTES EN PRIMERA INFANCIA (AIEPI)",IF(P360=#REF!,"ADMINISTRACION DE MEDICAMENTOS, INYECTOLOGIA  Y CANALIZACION ",IF(P360=#REF!,"OPERADOR DE VEHICULOS DE EMERGENCIA (OVE)",IF(P360=#REF!,"INSTITUCIONES AMIGAS DE LA MUJER Y LA INFANCIA (IAMI)",IF(P360=#REF!,"CUIDADO DEL DONANTE DE ORGANOS",IF(P360=#REF!,"ATENCION A VICTIMAS POR VIOLENCIA DE GENERO",IF(P360=#REF!,"IGUALDAD DE GENERO EN LA SALUD",IF(P360=#REF!,"BRIGADA DE EMERGENCIA",IF(P360=#REF!,"MANEJO DEL DOLOR Y CUIDADOS PALIATIVOS",IF(P360=#REF!,"TOMA DE MUESTRAS Y LABORATORIO POCT",IF(P360=#REF!,"IMPLANTE SUBDERMICO DE DISPOSITIVO INTRAUTERINO",IF(P360=#REF!,"SALUD MENTAL",IF(P360=#REF!,"PRIMEROS AUXILIOS PSICOLOGICOS",IF(P360=#REF!,"ATENCION A VICTIMAS POR CONFLICTO ARMADO",IF(P360=#REF!,"MANIPULACION DE ALIMENTOS Y BPM",IF(P360=#REF!,"ATENCION A PERSONAS CON DISCAPACIDAD",IF(P360=#REF!,"CUIDADO INTEGRAL DEL PACIENTE ADULTO",IF(P360=#REF!,"MANEJO DEFENSIVO",IF(P360=#REF!,"SOPORTE CARDIOVASCULAR AVANZADO NEONATAL",IF(P360=#REF!,"SEGURIDAD DEL PACIENTE",IF(P360=#REF!,"MANEJO DE RESIDUOS HOSPITALARIOS"))))))))))))))))))))))))))))))))))))</f>
        <v>#REF!</v>
      </c>
      <c r="W360" s="26" t="str">
        <f>CONCATENATE(E360," ",F360," ",C360," ",D360)</f>
        <v>Darlin Karine Mora Cuaychar</v>
      </c>
      <c r="X360" s="26" t="str">
        <f t="shared" si="31"/>
        <v>Darlin Karine Mora Cuaychar</v>
      </c>
      <c r="Y360" s="26" t="str">
        <f>CONCATENATE(W360,"-",B360,"-",P360)</f>
        <v>Darlin Karine Mora Cuaychar-1087423182-HUMANIZACION</v>
      </c>
    </row>
    <row r="361" spans="1:26" s="49" customFormat="1" x14ac:dyDescent="0.2">
      <c r="A361" s="20">
        <v>108</v>
      </c>
      <c r="B361" s="48">
        <v>1088652780</v>
      </c>
      <c r="C361" s="48" t="s">
        <v>286</v>
      </c>
      <c r="D361" s="48" t="s">
        <v>287</v>
      </c>
      <c r="E361" s="48" t="s">
        <v>288</v>
      </c>
      <c r="F361" s="48" t="s">
        <v>105</v>
      </c>
      <c r="G361" s="48">
        <v>18</v>
      </c>
      <c r="H361" s="21" t="s">
        <v>49</v>
      </c>
      <c r="I361" s="52" t="s">
        <v>377</v>
      </c>
      <c r="J361" s="52"/>
      <c r="K361" s="23">
        <v>45674</v>
      </c>
      <c r="L361" s="24">
        <v>64000</v>
      </c>
      <c r="M361" s="21" t="s">
        <v>79</v>
      </c>
      <c r="N361" s="21" t="s">
        <v>387</v>
      </c>
      <c r="O361" s="48" t="s">
        <v>69</v>
      </c>
      <c r="P361" s="48" t="s">
        <v>19</v>
      </c>
      <c r="Q361" s="52">
        <v>34980</v>
      </c>
      <c r="R361" s="48" t="s">
        <v>71</v>
      </c>
      <c r="S361" s="48" t="s">
        <v>289</v>
      </c>
      <c r="T361" s="53">
        <v>3235936061</v>
      </c>
      <c r="U361" s="21" t="s">
        <v>290</v>
      </c>
      <c r="V361" s="26" t="e">
        <f>IF(P361=#REF!,"DIPLOMADO EN ATENCION PRE-HOSPITALARIA",IF(P361=#REF!,"ACOMPAÑAMIENTO Y MANEJO DEL DUELO",IF(P361=#REF!,"ATENCION A VICTIMAS DE ATAQUE CON AGENTES QUIMICOS ",IF(P361=#REF!,"PRIMEROS AUXILIOS ",IF(P361=#REF!,"DIPLOMADO DE UNIDAD DE CUIDADOS INTENSIVOS (UCI)",IF(P361=#REF!,"MODELO DE ATENCION PARA EVENTOS EMERGENTES EN SALUD MENTAL (CODIGO VERDE)",IF(P361=#REF!,"HUMANIZACION EN EL SERVICIO DE LA SALUD Y BUENAS PRACTICAS EN PACIENTE ",IF(P361=#REF!,"CLINICA DE HERIDAS ",IF(P361=#REF!,"TOMA DE CITOLOGIA CERVICO VAGINAL ",IF(P361=#REF!,"SOPORTE CARDIOVASCULAR AVANZADO (ACLS) ",IF(P361=#REF!,"CAMILLERO ",IF(P361=#REF!,"TOMA DE MUESTRAS Y LABORATORIO ",IF(P361=#REF!,"SOPORTE VITAL BASICO (BLS)",IF(P361=#REF!,"ATENCION A VICTIMAS DE VIOLENCIA SEXUAL ",IF(P361=#REF!,"PROGRAMADO AMPLIADO DE INMUNIZACION (PAI - COVID 19)",IF(P361=#REF!,"ATENCION INTEGRAL EN ENFERMEDADES PREVALENTES EN PRIMERA INFANCIA (AIEPI)",IF(P361=#REF!,"ADMINISTRACION DE MEDICAMENTOS, INYECTOLOGIA  Y CANALIZACION ",IF(P361=#REF!,"OPERADOR DE VEHICULOS DE EMERGENCIA (OVE)",IF(P361=#REF!,"INSTITUCIONES AMIGAS DE LA MUJER Y LA INFANCIA (IAMI)",IF(P361=#REF!,"CUIDADO DEL DONANTE DE ORGANOS",IF(P361=#REF!,"ATENCION A VICTIMAS POR VIOLENCIA DE GENERO",IF(P361=#REF!,"IGUALDAD DE GENERO EN LA SALUD",IF(P361=#REF!,"BRIGADA DE EMERGENCIA",IF(P361=#REF!,"MANEJO DEL DOLOR Y CUIDADOS PALIATIVOS",IF(P361=#REF!,"TOMA DE MUESTRAS Y LABORATORIO POCT",IF(P361=#REF!,"IMPLANTE SUBDERMICO DE DISPOSITIVO INTRAUTERINO",IF(P361=#REF!,"SALUD MENTAL",IF(P361=#REF!,"PRIMEROS AUXILIOS PSICOLOGICOS",IF(P361=#REF!,"ATENCION A VICTIMAS POR CONFLICTO ARMADO",IF(P361=#REF!,"MANIPULACION DE ALIMENTOS Y BPM",IF(P361=#REF!,"ATENCION A PERSONAS CON DISCAPACIDAD",IF(P361=#REF!,"CUIDADO INTEGRAL DEL PACIENTE ADULTO",IF(P361=#REF!,"MANEJO DEFENSIVO",IF(P361=#REF!,"SOPORTE CARDIOVASCULAR AVANZADO NEONATAL",IF(P361=#REF!,"SEGURIDAD DEL PACIENTE",IF(P361=#REF!,"MANEJO DE RESIDUOS HOSPITALARIOS"))))))))))))))))))))))))))))))))))))</f>
        <v>#REF!</v>
      </c>
      <c r="W361" s="26" t="str">
        <f>CONCATENATE(E361," ",F361," ",C361," ",D361)</f>
        <v>Yenny Paola Quenan Caipe</v>
      </c>
      <c r="X361" s="26" t="str">
        <f t="shared" si="31"/>
        <v>Yenny Paola Quenan Caipe</v>
      </c>
      <c r="Y361" s="26" t="str">
        <f>CONCATENATE(W361,"-",B361,"-",P361)</f>
        <v>Yenny Paola Quenan Caipe-1088652780-BLS</v>
      </c>
    </row>
    <row r="362" spans="1:26" s="49" customFormat="1" x14ac:dyDescent="0.2">
      <c r="A362" s="20">
        <v>109</v>
      </c>
      <c r="B362" s="48">
        <v>1088652780</v>
      </c>
      <c r="C362" s="48" t="s">
        <v>286</v>
      </c>
      <c r="D362" s="48" t="s">
        <v>287</v>
      </c>
      <c r="E362" s="48" t="s">
        <v>288</v>
      </c>
      <c r="F362" s="48" t="s">
        <v>105</v>
      </c>
      <c r="G362" s="48">
        <v>17</v>
      </c>
      <c r="H362" s="21" t="s">
        <v>49</v>
      </c>
      <c r="I362" s="52" t="s">
        <v>377</v>
      </c>
      <c r="J362" s="52"/>
      <c r="K362" s="23" t="s">
        <v>293</v>
      </c>
      <c r="L362" s="24">
        <v>64000</v>
      </c>
      <c r="M362" s="21" t="s">
        <v>180</v>
      </c>
      <c r="N362" s="21" t="s">
        <v>387</v>
      </c>
      <c r="O362" s="48" t="s">
        <v>69</v>
      </c>
      <c r="P362" s="21" t="s">
        <v>27</v>
      </c>
      <c r="Q362" s="52">
        <v>34980</v>
      </c>
      <c r="R362" s="48" t="s">
        <v>71</v>
      </c>
      <c r="S362" s="48" t="s">
        <v>289</v>
      </c>
      <c r="T362" s="53">
        <v>3235936061</v>
      </c>
      <c r="U362" s="21" t="s">
        <v>290</v>
      </c>
      <c r="V362" s="26" t="e">
        <f>IF(P362=#REF!,"DIPLOMADO EN ATENCION PRE-HOSPITALARIA",IF(P362=#REF!,"ACOMPAÑAMIENTO Y MANEJO DEL DUELO",IF(P362=#REF!,"ATENCION A VICTIMAS DE ATAQUE CON AGENTES QUIMICOS ",IF(P362=#REF!,"PRIMEROS AUXILIOS ",IF(P362=#REF!,"DIPLOMADO DE UNIDAD DE CUIDADOS INTENSIVOS (UCI)",IF(P362=#REF!,"MODELO DE ATENCION PARA EVENTOS EMERGENTES EN SALUD MENTAL (CODIGO VERDE)",IF(P362=#REF!,"HUMANIZACION EN EL SERVICIO DE LA SALUD Y BUENAS PRACTICAS EN PACIENTE ",IF(P362=#REF!,"CLINICA DE HERIDAS ",IF(P362=#REF!,"TOMA DE CITOLOGIA CERVICO VAGINAL ",IF(P362=#REF!,"SOPORTE CARDIOVASCULAR AVANZADO (ACLS) ",IF(P362=#REF!,"CAMILLERO ",IF(P362=#REF!,"TOMA DE MUESTRAS Y LABORATORIO ",IF(P362=#REF!,"SOPORTE VITAL BASICO (BLS)",IF(P362=#REF!,"ATENCION A VICTIMAS DE VIOLENCIA SEXUAL ",IF(P362=#REF!,"PROGRAMADO AMPLIADO DE INMUNIZACION (PAI - COVID 19)",IF(P362=#REF!,"ATENCION INTEGRAL EN ENFERMEDADES PREVALENTES EN PRIMERA INFANCIA (AIEPI)",IF(P362=#REF!,"ADMINISTRACION DE MEDICAMENTOS, INYECTOLOGIA  Y CANALIZACION ",IF(P362=#REF!,"OPERADOR DE VEHICULOS DE EMERGENCIA (OVE)",IF(P362=#REF!,"INSTITUCIONES AMIGAS DE LA MUJER Y LA INFANCIA (IAMI)",IF(P362=#REF!,"CUIDADO DEL DONANTE DE ORGANOS",IF(P362=#REF!,"ATENCION A VICTIMAS POR VIOLENCIA DE GENERO",IF(P362=#REF!,"IGUALDAD DE GENERO EN LA SALUD",IF(P362=#REF!,"BRIGADA DE EMERGENCIA",IF(P362=#REF!,"MANEJO DEL DOLOR Y CUIDADOS PALIATIVOS",IF(P362=#REF!,"TOMA DE MUESTRAS Y LABORATORIO POCT",IF(P362=#REF!,"IMPLANTE SUBDERMICO DE DISPOSITIVO INTRAUTERINO",IF(P362=#REF!,"SALUD MENTAL",IF(P362=#REF!,"PRIMEROS AUXILIOS PSICOLOGICOS",IF(P362=#REF!,"ATENCION A VICTIMAS POR CONFLICTO ARMADO",IF(P362=#REF!,"MANIPULACION DE ALIMENTOS Y BPM",IF(P362=#REF!,"ATENCION A PERSONAS CON DISCAPACIDAD",IF(P362=#REF!,"CUIDADO INTEGRAL DEL PACIENTE ADULTO",IF(P362=#REF!,"MANEJO DEFENSIVO",IF(P362=#REF!,"SOPORTE CARDIOVASCULAR AVANZADO NEONATAL",IF(P362=#REF!,"SEGURIDAD DEL PACIENTE",IF(P362=#REF!,"MANEJO DE RESIDUOS HOSPITALARIOS"))))))))))))))))))))))))))))))))))))</f>
        <v>#REF!</v>
      </c>
      <c r="W362" s="26" t="str">
        <f>CONCATENATE(E362," ",F362," ",C362," ",D362)</f>
        <v>Yenny Paola Quenan Caipe</v>
      </c>
      <c r="X362" s="26" t="str">
        <f t="shared" si="31"/>
        <v>Yenny Paola Quenan Caipe</v>
      </c>
      <c r="Y362" s="26" t="str">
        <f>CONCATENATE(W362,"-",B362,"-",P362)</f>
        <v>Yenny Paola Quenan Caipe-1088652780-VIOLENCIA SEXUAL</v>
      </c>
    </row>
    <row r="363" spans="1:26" s="49" customFormat="1" x14ac:dyDescent="0.2">
      <c r="A363" s="20">
        <v>110</v>
      </c>
      <c r="B363" s="48">
        <v>1088652780</v>
      </c>
      <c r="C363" s="48" t="s">
        <v>286</v>
      </c>
      <c r="D363" s="48" t="s">
        <v>287</v>
      </c>
      <c r="E363" s="48" t="s">
        <v>288</v>
      </c>
      <c r="F363" s="48" t="s">
        <v>105</v>
      </c>
      <c r="G363" s="48">
        <v>17</v>
      </c>
      <c r="H363" s="21" t="s">
        <v>49</v>
      </c>
      <c r="I363" s="52" t="s">
        <v>377</v>
      </c>
      <c r="J363" s="52"/>
      <c r="K363" s="23">
        <v>45675</v>
      </c>
      <c r="L363" s="24">
        <v>64000</v>
      </c>
      <c r="M363" s="21" t="s">
        <v>133</v>
      </c>
      <c r="N363" s="21" t="s">
        <v>387</v>
      </c>
      <c r="O363" s="48" t="s">
        <v>69</v>
      </c>
      <c r="P363" s="21" t="s">
        <v>21</v>
      </c>
      <c r="Q363" s="52">
        <v>34980</v>
      </c>
      <c r="R363" s="48" t="s">
        <v>71</v>
      </c>
      <c r="S363" s="48" t="s">
        <v>289</v>
      </c>
      <c r="T363" s="53">
        <v>3235936061</v>
      </c>
      <c r="U363" s="21" t="s">
        <v>290</v>
      </c>
      <c r="V363" s="26" t="e">
        <f>IF(P363=#REF!,"DIPLOMADO EN ATENCION PRE-HOSPITALARIA",IF(P363=#REF!,"ACOMPAÑAMIENTO Y MANEJO DEL DUELO",IF(P363=#REF!,"ATENCION A VICTIMAS DE ATAQUE CON AGENTES QUIMICOS ",IF(P363=#REF!,"PRIMEROS AUXILIOS ",IF(P363=#REF!,"DIPLOMADO DE UNIDAD DE CUIDADOS INTENSIVOS (UCI)",IF(P363=#REF!,"MODELO DE ATENCION PARA EVENTOS EMERGENTES EN SALUD MENTAL (CODIGO VERDE)",IF(P363=#REF!,"HUMANIZACION EN EL SERVICIO DE LA SALUD Y BUENAS PRACTICAS EN PACIENTE ",IF(P363=#REF!,"CLINICA DE HERIDAS ",IF(P363=#REF!,"TOMA DE CITOLOGIA CERVICO VAGINAL ",IF(P363=#REF!,"SOPORTE CARDIOVASCULAR AVANZADO (ACLS) ",IF(P363=#REF!,"CAMILLERO ",IF(P363=#REF!,"TOMA DE MUESTRAS Y LABORATORIO ",IF(P363=#REF!,"SOPORTE VITAL BASICO (BLS)",IF(P363=#REF!,"ATENCION A VICTIMAS DE VIOLENCIA SEXUAL ",IF(P363=#REF!,"PROGRAMADO AMPLIADO DE INMUNIZACION (PAI - COVID 19)",IF(P363=#REF!,"ATENCION INTEGRAL EN ENFERMEDADES PREVALENTES EN PRIMERA INFANCIA (AIEPI)",IF(P363=#REF!,"ADMINISTRACION DE MEDICAMENTOS, INYECTOLOGIA  Y CANALIZACION ",IF(P363=#REF!,"OPERADOR DE VEHICULOS DE EMERGENCIA (OVE)",IF(P363=#REF!,"INSTITUCIONES AMIGAS DE LA MUJER Y LA INFANCIA (IAMI)",IF(P363=#REF!,"CUIDADO DEL DONANTE DE ORGANOS",IF(P363=#REF!,"ATENCION A VICTIMAS POR VIOLENCIA DE GENERO",IF(P363=#REF!,"IGUALDAD DE GENERO EN LA SALUD",IF(P363=#REF!,"BRIGADA DE EMERGENCIA",IF(P363=#REF!,"MANEJO DEL DOLOR Y CUIDADOS PALIATIVOS",IF(P363=#REF!,"TOMA DE MUESTRAS Y LABORATORIO POCT",IF(P363=#REF!,"IMPLANTE SUBDERMICO DE DISPOSITIVO INTRAUTERINO",IF(P363=#REF!,"SALUD MENTAL",IF(P363=#REF!,"PRIMEROS AUXILIOS PSICOLOGICOS",IF(P363=#REF!,"ATENCION A VICTIMAS POR CONFLICTO ARMADO",IF(P363=#REF!,"MANIPULACION DE ALIMENTOS Y BPM",IF(P363=#REF!,"ATENCION A PERSONAS CON DISCAPACIDAD",IF(P363=#REF!,"CUIDADO INTEGRAL DEL PACIENTE ADULTO",IF(P363=#REF!,"MANEJO DEFENSIVO",IF(P363=#REF!,"SOPORTE CARDIOVASCULAR AVANZADO NEONATAL",IF(P363=#REF!,"SEGURIDAD DEL PACIENTE",IF(P363=#REF!,"MANEJO DE RESIDUOS HOSPITALARIOS"))))))))))))))))))))))))))))))))))))</f>
        <v>#REF!</v>
      </c>
      <c r="W363" s="26" t="str">
        <f>CONCATENATE(E363," ",F363," ",C363," ",D363)</f>
        <v>Yenny Paola Quenan Caipe</v>
      </c>
      <c r="X363" s="26" t="str">
        <f t="shared" si="31"/>
        <v>Yenny Paola Quenan Caipe</v>
      </c>
      <c r="Y363" s="26" t="str">
        <f>CONCATENATE(W363,"-",B363,"-",P363)</f>
        <v>Yenny Paola Quenan Caipe-1088652780-QUIMICOS</v>
      </c>
    </row>
    <row r="364" spans="1:26" s="19" customFormat="1" x14ac:dyDescent="0.2">
      <c r="A364" s="20">
        <v>111</v>
      </c>
      <c r="B364" s="48">
        <v>1088648491</v>
      </c>
      <c r="C364" s="48" t="s">
        <v>175</v>
      </c>
      <c r="D364" s="48" t="s">
        <v>291</v>
      </c>
      <c r="E364" s="48" t="s">
        <v>292</v>
      </c>
      <c r="F364" s="48" t="s">
        <v>82</v>
      </c>
      <c r="G364" s="48">
        <v>18</v>
      </c>
      <c r="H364" s="21" t="s">
        <v>49</v>
      </c>
      <c r="I364" s="52" t="s">
        <v>377</v>
      </c>
      <c r="J364" s="52"/>
      <c r="K364" s="23">
        <v>45675</v>
      </c>
      <c r="L364" s="24">
        <v>64000</v>
      </c>
      <c r="M364" s="21" t="s">
        <v>133</v>
      </c>
      <c r="N364" s="21" t="s">
        <v>387</v>
      </c>
      <c r="O364" s="48" t="s">
        <v>69</v>
      </c>
      <c r="P364" s="21" t="s">
        <v>19</v>
      </c>
      <c r="Q364" s="22">
        <v>38255</v>
      </c>
      <c r="R364" s="48" t="s">
        <v>71</v>
      </c>
      <c r="S364" s="48" t="s">
        <v>107</v>
      </c>
      <c r="T364" s="53">
        <v>3164072401</v>
      </c>
      <c r="U364" s="21"/>
      <c r="V364" s="26" t="e">
        <f>IF(P364=#REF!,"DIPLOMADO EN ATENCION PRE-HOSPITALARIA",IF(P364=#REF!,"ACOMPAÑAMIENTO Y MANEJO DEL DUELO",IF(P364=#REF!,"ATENCION A VICTIMAS DE ATAQUE CON AGENTES QUIMICOS ",IF(P364=#REF!,"PRIMEROS AUXILIOS ",IF(P364=#REF!,"DIPLOMADO DE UNIDAD DE CUIDADOS INTENSIVOS (UCI)",IF(P364=#REF!,"MODELO DE ATENCION PARA EVENTOS EMERGENTES EN SALUD MENTAL (CODIGO VERDE)",IF(P364=#REF!,"HUMANIZACION EN EL SERVICIO DE LA SALUD Y BUENAS PRACTICAS EN PACIENTE ",IF(P364=#REF!,"CLINICA DE HERIDAS ",IF(P364=#REF!,"TOMA DE CITOLOGIA CERVICO VAGINAL ",IF(P364=#REF!,"SOPORTE CARDIOVASCULAR AVANZADO (ACLS) ",IF(P364=#REF!,"CAMILLERO ",IF(P364=#REF!,"TOMA DE MUESTRAS Y LABORATORIO ",IF(P364=#REF!,"SOPORTE VITAL BASICO (BLS)",IF(P364=#REF!,"ATENCION A VICTIMAS DE VIOLENCIA SEXUAL ",IF(P364=#REF!,"PROGRAMADO AMPLIADO DE INMUNIZACION (PAI - COVID 19)",IF(P364=#REF!,"ATENCION INTEGRAL EN ENFERMEDADES PREVALENTES EN PRIMERA INFANCIA (AIEPI)",IF(P364=#REF!,"ADMINISTRACION DE MEDICAMENTOS, INYECTOLOGIA  Y CANALIZACION ",IF(P364=#REF!,"OPERADOR DE VEHICULOS DE EMERGENCIA (OVE)",IF(P364=#REF!,"INSTITUCIONES AMIGAS DE LA MUJER Y LA INFANCIA (IAMI)",IF(P364=#REF!,"CUIDADO DEL DONANTE DE ORGANOS",IF(P364=#REF!,"ATENCION A VICTIMAS POR VIOLENCIA DE GENERO",IF(P364=#REF!,"IGUALDAD DE GENERO EN LA SALUD",IF(P364=#REF!,"BRIGADA DE EMERGENCIA",IF(P364=#REF!,"MANEJO DEL DOLOR Y CUIDADOS PALIATIVOS",IF(P364=#REF!,"TOMA DE MUESTRAS Y LABORATORIO POCT",IF(P364=#REF!,"IMPLANTE SUBDERMICO DE DISPOSITIVO INTRAUTERINO",IF(P364=#REF!,"SALUD MENTAL",IF(P364=#REF!,"PRIMEROS AUXILIOS PSICOLOGICOS",IF(P364=#REF!,"ATENCION A VICTIMAS POR CONFLICTO ARMADO",IF(P364=#REF!,"MANIPULACION DE ALIMENTOS Y BPM",IF(P364=#REF!,"ATENCION A PERSONAS CON DISCAPACIDAD",IF(P364=#REF!,"CUIDADO INTEGRAL DEL PACIENTE ADULTO",IF(P364=#REF!,"MANEJO DEFENSIVO",IF(P364=#REF!,"SOPORTE CARDIOVASCULAR AVANZADO NEONATAL",IF(P364=#REF!,"SEGURIDAD DEL PACIENTE",IF(P364=#REF!,"MANEJO DE RESIDUOS HOSPITALARIOS"))))))))))))))))))))))))))))))))))))</f>
        <v>#REF!</v>
      </c>
      <c r="W364" s="26" t="str">
        <f>CONCATENATE(E364," ",F364," ",C364," ",D364)</f>
        <v>Karen Andrea Rosero Marcillo</v>
      </c>
      <c r="X364" s="26" t="str">
        <f t="shared" si="31"/>
        <v>Karen Andrea Rosero Marcillo</v>
      </c>
      <c r="Y364" s="26" t="str">
        <f>CONCATENATE(W364,"-",B364,"-",P364)</f>
        <v>Karen Andrea Rosero Marcillo-1088648491-BLS</v>
      </c>
    </row>
    <row r="365" spans="1:26" s="19" customFormat="1" x14ac:dyDescent="0.2">
      <c r="A365" s="20">
        <v>112</v>
      </c>
      <c r="B365" s="48">
        <v>1088648491</v>
      </c>
      <c r="C365" s="48" t="s">
        <v>175</v>
      </c>
      <c r="D365" s="48" t="s">
        <v>291</v>
      </c>
      <c r="E365" s="48" t="s">
        <v>292</v>
      </c>
      <c r="F365" s="48" t="s">
        <v>82</v>
      </c>
      <c r="G365" s="48">
        <v>17</v>
      </c>
      <c r="H365" s="21" t="s">
        <v>49</v>
      </c>
      <c r="I365" s="52" t="s">
        <v>377</v>
      </c>
      <c r="J365" s="52"/>
      <c r="K365" s="23">
        <v>45675</v>
      </c>
      <c r="L365" s="24">
        <v>64000</v>
      </c>
      <c r="M365" s="21" t="s">
        <v>133</v>
      </c>
      <c r="N365" s="21" t="s">
        <v>387</v>
      </c>
      <c r="O365" s="48" t="s">
        <v>69</v>
      </c>
      <c r="P365" s="21" t="s">
        <v>27</v>
      </c>
      <c r="Q365" s="22">
        <v>38255</v>
      </c>
      <c r="R365" s="48" t="s">
        <v>71</v>
      </c>
      <c r="S365" s="48" t="s">
        <v>107</v>
      </c>
      <c r="T365" s="53">
        <v>3164072401</v>
      </c>
      <c r="U365" s="21"/>
      <c r="V365" s="26" t="e">
        <f>IF(P365=#REF!,"DIPLOMADO EN ATENCION PRE-HOSPITALARIA",IF(P365=#REF!,"ACOMPAÑAMIENTO Y MANEJO DEL DUELO",IF(P365=#REF!,"ATENCION A VICTIMAS DE ATAQUE CON AGENTES QUIMICOS ",IF(P365=#REF!,"PRIMEROS AUXILIOS ",IF(P365=#REF!,"DIPLOMADO DE UNIDAD DE CUIDADOS INTENSIVOS (UCI)",IF(P365=#REF!,"MODELO DE ATENCION PARA EVENTOS EMERGENTES EN SALUD MENTAL (CODIGO VERDE)",IF(P365=#REF!,"HUMANIZACION EN EL SERVICIO DE LA SALUD Y BUENAS PRACTICAS EN PACIENTE ",IF(P365=#REF!,"CLINICA DE HERIDAS ",IF(P365=#REF!,"TOMA DE CITOLOGIA CERVICO VAGINAL ",IF(P365=#REF!,"SOPORTE CARDIOVASCULAR AVANZADO (ACLS) ",IF(P365=#REF!,"CAMILLERO ",IF(P365=#REF!,"TOMA DE MUESTRAS Y LABORATORIO ",IF(P365=#REF!,"SOPORTE VITAL BASICO (BLS)",IF(P365=#REF!,"ATENCION A VICTIMAS DE VIOLENCIA SEXUAL ",IF(P365=#REF!,"PROGRAMADO AMPLIADO DE INMUNIZACION (PAI - COVID 19)",IF(P365=#REF!,"ATENCION INTEGRAL EN ENFERMEDADES PREVALENTES EN PRIMERA INFANCIA (AIEPI)",IF(P365=#REF!,"ADMINISTRACION DE MEDICAMENTOS, INYECTOLOGIA  Y CANALIZACION ",IF(P365=#REF!,"OPERADOR DE VEHICULOS DE EMERGENCIA (OVE)",IF(P365=#REF!,"INSTITUCIONES AMIGAS DE LA MUJER Y LA INFANCIA (IAMI)",IF(P365=#REF!,"CUIDADO DEL DONANTE DE ORGANOS",IF(P365=#REF!,"ATENCION A VICTIMAS POR VIOLENCIA DE GENERO",IF(P365=#REF!,"IGUALDAD DE GENERO EN LA SALUD",IF(P365=#REF!,"BRIGADA DE EMERGENCIA",IF(P365=#REF!,"MANEJO DEL DOLOR Y CUIDADOS PALIATIVOS",IF(P365=#REF!,"TOMA DE MUESTRAS Y LABORATORIO POCT",IF(P365=#REF!,"IMPLANTE SUBDERMICO DE DISPOSITIVO INTRAUTERINO",IF(P365=#REF!,"SALUD MENTAL",IF(P365=#REF!,"PRIMEROS AUXILIOS PSICOLOGICOS",IF(P365=#REF!,"ATENCION A VICTIMAS POR CONFLICTO ARMADO",IF(P365=#REF!,"MANIPULACION DE ALIMENTOS Y BPM",IF(P365=#REF!,"ATENCION A PERSONAS CON DISCAPACIDAD",IF(P365=#REF!,"CUIDADO INTEGRAL DEL PACIENTE ADULTO",IF(P365=#REF!,"MANEJO DEFENSIVO",IF(P365=#REF!,"SOPORTE CARDIOVASCULAR AVANZADO NEONATAL",IF(P365=#REF!,"SEGURIDAD DEL PACIENTE",IF(P365=#REF!,"MANEJO DE RESIDUOS HOSPITALARIOS"))))))))))))))))))))))))))))))))))))</f>
        <v>#REF!</v>
      </c>
      <c r="W365" s="26" t="str">
        <f>CONCATENATE(E365," ",F365," ",C365," ",D365)</f>
        <v>Karen Andrea Rosero Marcillo</v>
      </c>
      <c r="X365" s="26" t="str">
        <f t="shared" si="31"/>
        <v>Karen Andrea Rosero Marcillo</v>
      </c>
      <c r="Y365" s="26" t="str">
        <f>CONCATENATE(W365,"-",B365,"-",P365)</f>
        <v>Karen Andrea Rosero Marcillo-1088648491-VIOLENCIA SEXUAL</v>
      </c>
    </row>
    <row r="366" spans="1:26" s="19" customFormat="1" x14ac:dyDescent="0.2">
      <c r="A366" s="20">
        <v>113</v>
      </c>
      <c r="B366" s="48">
        <v>1088648491</v>
      </c>
      <c r="C366" s="48" t="s">
        <v>175</v>
      </c>
      <c r="D366" s="48" t="s">
        <v>291</v>
      </c>
      <c r="E366" s="48" t="s">
        <v>292</v>
      </c>
      <c r="F366" s="48" t="s">
        <v>82</v>
      </c>
      <c r="G366" s="48">
        <v>17</v>
      </c>
      <c r="H366" s="21" t="s">
        <v>49</v>
      </c>
      <c r="I366" s="52" t="s">
        <v>377</v>
      </c>
      <c r="J366" s="52"/>
      <c r="K366" s="23">
        <v>45675</v>
      </c>
      <c r="L366" s="24">
        <v>64000</v>
      </c>
      <c r="M366" s="21" t="s">
        <v>133</v>
      </c>
      <c r="N366" s="21" t="s">
        <v>387</v>
      </c>
      <c r="O366" s="48" t="s">
        <v>69</v>
      </c>
      <c r="P366" s="21" t="s">
        <v>21</v>
      </c>
      <c r="Q366" s="22">
        <v>38255</v>
      </c>
      <c r="R366" s="48" t="s">
        <v>71</v>
      </c>
      <c r="S366" s="48" t="s">
        <v>107</v>
      </c>
      <c r="T366" s="53">
        <v>3164072401</v>
      </c>
      <c r="U366" s="21"/>
      <c r="V366" s="26" t="e">
        <f>IF(P366=#REF!,"DIPLOMADO EN ATENCION PRE-HOSPITALARIA",IF(P366=#REF!,"ACOMPAÑAMIENTO Y MANEJO DEL DUELO",IF(P366=#REF!,"ATENCION A VICTIMAS DE ATAQUE CON AGENTES QUIMICOS ",IF(P366=#REF!,"PRIMEROS AUXILIOS ",IF(P366=#REF!,"DIPLOMADO DE UNIDAD DE CUIDADOS INTENSIVOS (UCI)",IF(P366=#REF!,"MODELO DE ATENCION PARA EVENTOS EMERGENTES EN SALUD MENTAL (CODIGO VERDE)",IF(P366=#REF!,"HUMANIZACION EN EL SERVICIO DE LA SALUD Y BUENAS PRACTICAS EN PACIENTE ",IF(P366=#REF!,"CLINICA DE HERIDAS ",IF(P366=#REF!,"TOMA DE CITOLOGIA CERVICO VAGINAL ",IF(P366=#REF!,"SOPORTE CARDIOVASCULAR AVANZADO (ACLS) ",IF(P366=#REF!,"CAMILLERO ",IF(P366=#REF!,"TOMA DE MUESTRAS Y LABORATORIO ",IF(P366=#REF!,"SOPORTE VITAL BASICO (BLS)",IF(P366=#REF!,"ATENCION A VICTIMAS DE VIOLENCIA SEXUAL ",IF(P366=#REF!,"PROGRAMADO AMPLIADO DE INMUNIZACION (PAI - COVID 19)",IF(P366=#REF!,"ATENCION INTEGRAL EN ENFERMEDADES PREVALENTES EN PRIMERA INFANCIA (AIEPI)",IF(P366=#REF!,"ADMINISTRACION DE MEDICAMENTOS, INYECTOLOGIA  Y CANALIZACION ",IF(P366=#REF!,"OPERADOR DE VEHICULOS DE EMERGENCIA (OVE)",IF(P366=#REF!,"INSTITUCIONES AMIGAS DE LA MUJER Y LA INFANCIA (IAMI)",IF(P366=#REF!,"CUIDADO DEL DONANTE DE ORGANOS",IF(P366=#REF!,"ATENCION A VICTIMAS POR VIOLENCIA DE GENERO",IF(P366=#REF!,"IGUALDAD DE GENERO EN LA SALUD",IF(P366=#REF!,"BRIGADA DE EMERGENCIA",IF(P366=#REF!,"MANEJO DEL DOLOR Y CUIDADOS PALIATIVOS",IF(P366=#REF!,"TOMA DE MUESTRAS Y LABORATORIO POCT",IF(P366=#REF!,"IMPLANTE SUBDERMICO DE DISPOSITIVO INTRAUTERINO",IF(P366=#REF!,"SALUD MENTAL",IF(P366=#REF!,"PRIMEROS AUXILIOS PSICOLOGICOS",IF(P366=#REF!,"ATENCION A VICTIMAS POR CONFLICTO ARMADO",IF(P366=#REF!,"MANIPULACION DE ALIMENTOS Y BPM",IF(P366=#REF!,"ATENCION A PERSONAS CON DISCAPACIDAD",IF(P366=#REF!,"CUIDADO INTEGRAL DEL PACIENTE ADULTO",IF(P366=#REF!,"MANEJO DEFENSIVO",IF(P366=#REF!,"SOPORTE CARDIOVASCULAR AVANZADO NEONATAL",IF(P366=#REF!,"SEGURIDAD DEL PACIENTE",IF(P366=#REF!,"MANEJO DE RESIDUOS HOSPITALARIOS"))))))))))))))))))))))))))))))))))))</f>
        <v>#REF!</v>
      </c>
      <c r="W366" s="26" t="str">
        <f>CONCATENATE(E366," ",F366," ",C366," ",D366)</f>
        <v>Karen Andrea Rosero Marcillo</v>
      </c>
      <c r="X366" s="26" t="str">
        <f t="shared" si="31"/>
        <v>Karen Andrea Rosero Marcillo</v>
      </c>
      <c r="Y366" s="26" t="str">
        <f>CONCATENATE(W366,"-",B366,"-",P366)</f>
        <v>Karen Andrea Rosero Marcillo-1088648491-QUIMICOS</v>
      </c>
    </row>
    <row r="367" spans="1:26" s="19" customFormat="1" x14ac:dyDescent="0.2">
      <c r="A367" s="20">
        <v>114</v>
      </c>
      <c r="B367" s="21">
        <v>1085916749</v>
      </c>
      <c r="C367" s="48" t="s">
        <v>272</v>
      </c>
      <c r="D367" s="48" t="s">
        <v>294</v>
      </c>
      <c r="E367" s="48" t="s">
        <v>295</v>
      </c>
      <c r="F367" s="48" t="s">
        <v>146</v>
      </c>
      <c r="G367" s="48">
        <v>17</v>
      </c>
      <c r="H367" s="21" t="s">
        <v>49</v>
      </c>
      <c r="I367" s="52" t="s">
        <v>376</v>
      </c>
      <c r="J367" s="52"/>
      <c r="K367" s="23">
        <v>45677</v>
      </c>
      <c r="L367" s="24">
        <v>80000</v>
      </c>
      <c r="M367" s="21" t="s">
        <v>106</v>
      </c>
      <c r="N367" s="21" t="s">
        <v>387</v>
      </c>
      <c r="O367" s="21" t="s">
        <v>95</v>
      </c>
      <c r="P367" s="21" t="s">
        <v>24</v>
      </c>
      <c r="Q367" s="22">
        <v>32869</v>
      </c>
      <c r="R367" s="48" t="s">
        <v>71</v>
      </c>
      <c r="S367" s="21" t="s">
        <v>296</v>
      </c>
      <c r="T367" s="21">
        <v>3128824242</v>
      </c>
      <c r="U367" s="21" t="s">
        <v>297</v>
      </c>
      <c r="V367" s="26" t="e">
        <f>IF(P367=#REF!,"DIPLOMADO EN ATENCION PRE-HOSPITALARIA",IF(P367=#REF!,"ACOMPAÑAMIENTO Y MANEJO DEL DUELO",IF(P367=#REF!,"ATENCION A VICTIMAS DE ATAQUE CON AGENTES QUIMICOS ",IF(P367=#REF!,"PRIMEROS AUXILIOS ",IF(P367=#REF!,"DIPLOMADO DE UNIDAD DE CUIDADOS INTENSIVOS (UCI)",IF(P367=#REF!,"MODELO DE ATENCION PARA EVENTOS EMERGENTES EN SALUD MENTAL (CODIGO VERDE)",IF(P367=#REF!,"HUMANIZACION EN EL SERVICIO DE LA SALUD Y BUENAS PRACTICAS EN PACIENTE ",IF(P367=#REF!,"CLINICA DE HERIDAS ",IF(P367=#REF!,"TOMA DE CITOLOGIA CERVICO VAGINAL ",IF(P367=#REF!,"SOPORTE CARDIOVASCULAR AVANZADO (ACLS) ",IF(P367=#REF!,"CAMILLERO ",IF(P367=#REF!,"TOMA DE MUESTRAS Y LABORATORIO ",IF(P367=#REF!,"SOPORTE VITAL BASICO (BLS)",IF(P367=#REF!,"ATENCION A VICTIMAS DE VIOLENCIA SEXUAL ",IF(P367=#REF!,"PROGRAMADO AMPLIADO DE INMUNIZACION (PAI - COVID 19)",IF(P367=#REF!,"ATENCION INTEGRAL EN ENFERMEDADES PREVALENTES EN PRIMERA INFANCIA (AIEPI)",IF(P367=#REF!,"ADMINISTRACION DE MEDICAMENTOS, INYECTOLOGIA  Y CANALIZACION ",IF(P367=#REF!,"OPERADOR DE VEHICULOS DE EMERGENCIA (OVE)",IF(P367=#REF!,"INSTITUCIONES AMIGAS DE LA MUJER Y LA INFANCIA (IAMI)",IF(P367=#REF!,"CUIDADO DEL DONANTE DE ORGANOS",IF(P367=#REF!,"ATENCION A VICTIMAS POR VIOLENCIA DE GENERO",IF(P367=#REF!,"IGUALDAD DE GENERO EN LA SALUD",IF(P367=#REF!,"BRIGADA DE EMERGENCIA",IF(P367=#REF!,"MANEJO DEL DOLOR Y CUIDADOS PALIATIVOS",IF(P367=#REF!,"TOMA DE MUESTRAS Y LABORATORIO POCT",IF(P367=#REF!,"IMPLANTE SUBDERMICO DE DISPOSITIVO INTRAUTERINO",IF(P367=#REF!,"SALUD MENTAL",IF(P367=#REF!,"PRIMEROS AUXILIOS PSICOLOGICOS",IF(P367=#REF!,"ATENCION A VICTIMAS POR CONFLICTO ARMADO",IF(P367=#REF!,"MANIPULACION DE ALIMENTOS Y BPM",IF(P367=#REF!,"ATENCION A PERSONAS CON DISCAPACIDAD",IF(P367=#REF!,"CUIDADO INTEGRAL DEL PACIENTE ADULTO",IF(P367=#REF!,"MANEJO DEFENSIVO",IF(P367=#REF!,"SOPORTE CARDIOVASCULAR AVANZADO NEONATAL",IF(P367=#REF!,"SEGURIDAD DEL PACIENTE",IF(P367=#REF!,"MANEJO DE RESIDUOS HOSPITALARIOS"))))))))))))))))))))))))))))))))))))</f>
        <v>#REF!</v>
      </c>
      <c r="W367" s="26" t="str">
        <f>CONCATENATE(E367," ",F367," ",C367," ",D367)</f>
        <v>Katerine Daniela Hernandez Chamorro</v>
      </c>
      <c r="X367" s="26" t="str">
        <f t="shared" si="31"/>
        <v>Katerine Daniela Hernandez Chamorro</v>
      </c>
      <c r="Y367" s="26" t="str">
        <f>CONCATENATE(W367,"-",B367,"-",P367)</f>
        <v>Katerine Daniela Hernandez Chamorro-1085916749-ACLS</v>
      </c>
    </row>
    <row r="368" spans="1:26" s="19" customFormat="1" x14ac:dyDescent="0.2">
      <c r="A368" s="20">
        <v>115</v>
      </c>
      <c r="B368" s="21">
        <v>1085916749</v>
      </c>
      <c r="C368" s="48" t="s">
        <v>272</v>
      </c>
      <c r="D368" s="48" t="s">
        <v>294</v>
      </c>
      <c r="E368" s="48" t="s">
        <v>295</v>
      </c>
      <c r="F368" s="48" t="s">
        <v>146</v>
      </c>
      <c r="G368" s="48">
        <v>17</v>
      </c>
      <c r="H368" s="21" t="s">
        <v>49</v>
      </c>
      <c r="I368" s="52" t="s">
        <v>376</v>
      </c>
      <c r="J368" s="52"/>
      <c r="K368" s="23">
        <v>45677</v>
      </c>
      <c r="L368" s="24">
        <v>20000</v>
      </c>
      <c r="M368" s="21" t="s">
        <v>106</v>
      </c>
      <c r="N368" s="21" t="s">
        <v>387</v>
      </c>
      <c r="O368" s="21" t="s">
        <v>95</v>
      </c>
      <c r="P368" s="21" t="s">
        <v>19</v>
      </c>
      <c r="Q368" s="22">
        <v>32869</v>
      </c>
      <c r="R368" s="48" t="s">
        <v>71</v>
      </c>
      <c r="S368" s="21" t="s">
        <v>296</v>
      </c>
      <c r="T368" s="21">
        <v>3128824242</v>
      </c>
      <c r="U368" s="21" t="s">
        <v>297</v>
      </c>
      <c r="V368" s="26" t="e">
        <f>IF(P368=#REF!,"DIPLOMADO EN ATENCION PRE-HOSPITALARIA",IF(P368=#REF!,"ACOMPAÑAMIENTO Y MANEJO DEL DUELO",IF(P368=#REF!,"ATENCION A VICTIMAS DE ATAQUE CON AGENTES QUIMICOS ",IF(P368=#REF!,"PRIMEROS AUXILIOS ",IF(P368=#REF!,"DIPLOMADO DE UNIDAD DE CUIDADOS INTENSIVOS (UCI)",IF(P368=#REF!,"MODELO DE ATENCION PARA EVENTOS EMERGENTES EN SALUD MENTAL (CODIGO VERDE)",IF(P368=#REF!,"HUMANIZACION EN EL SERVICIO DE LA SALUD Y BUENAS PRACTICAS EN PACIENTE ",IF(P368=#REF!,"CLINICA DE HERIDAS ",IF(P368=#REF!,"TOMA DE CITOLOGIA CERVICO VAGINAL ",IF(P368=#REF!,"SOPORTE CARDIOVASCULAR AVANZADO (ACLS) ",IF(P368=#REF!,"CAMILLERO ",IF(P368=#REF!,"TOMA DE MUESTRAS Y LABORATORIO ",IF(P368=#REF!,"SOPORTE VITAL BASICO (BLS)",IF(P368=#REF!,"ATENCION A VICTIMAS DE VIOLENCIA SEXUAL ",IF(P368=#REF!,"PROGRAMADO AMPLIADO DE INMUNIZACION (PAI - COVID 19)",IF(P368=#REF!,"ATENCION INTEGRAL EN ENFERMEDADES PREVALENTES EN PRIMERA INFANCIA (AIEPI)",IF(P368=#REF!,"ADMINISTRACION DE MEDICAMENTOS, INYECTOLOGIA  Y CANALIZACION ",IF(P368=#REF!,"OPERADOR DE VEHICULOS DE EMERGENCIA (OVE)",IF(P368=#REF!,"INSTITUCIONES AMIGAS DE LA MUJER Y LA INFANCIA (IAMI)",IF(P368=#REF!,"CUIDADO DEL DONANTE DE ORGANOS",IF(P368=#REF!,"ATENCION A VICTIMAS POR VIOLENCIA DE GENERO",IF(P368=#REF!,"IGUALDAD DE GENERO EN LA SALUD",IF(P368=#REF!,"BRIGADA DE EMERGENCIA",IF(P368=#REF!,"MANEJO DEL DOLOR Y CUIDADOS PALIATIVOS",IF(P368=#REF!,"TOMA DE MUESTRAS Y LABORATORIO POCT",IF(P368=#REF!,"IMPLANTE SUBDERMICO DE DISPOSITIVO INTRAUTERINO",IF(P368=#REF!,"SALUD MENTAL",IF(P368=#REF!,"PRIMEROS AUXILIOS PSICOLOGICOS",IF(P368=#REF!,"ATENCION A VICTIMAS POR CONFLICTO ARMADO",IF(P368=#REF!,"MANIPULACION DE ALIMENTOS Y BPM",IF(P368=#REF!,"ATENCION A PERSONAS CON DISCAPACIDAD",IF(P368=#REF!,"CUIDADO INTEGRAL DEL PACIENTE ADULTO",IF(P368=#REF!,"MANEJO DEFENSIVO",IF(P368=#REF!,"SOPORTE CARDIOVASCULAR AVANZADO NEONATAL",IF(P368=#REF!,"SEGURIDAD DEL PACIENTE",IF(P368=#REF!,"MANEJO DE RESIDUOS HOSPITALARIOS"))))))))))))))))))))))))))))))))))))</f>
        <v>#REF!</v>
      </c>
      <c r="W368" s="26" t="str">
        <f>CONCATENATE(E368," ",F368," ",C368," ",D368)</f>
        <v>Katerine Daniela Hernandez Chamorro</v>
      </c>
      <c r="X368" s="26" t="str">
        <f t="shared" si="31"/>
        <v>Katerine Daniela Hernandez Chamorro</v>
      </c>
      <c r="Y368" s="26" t="str">
        <f>CONCATENATE(W368,"-",B368,"-",P368)</f>
        <v>Katerine Daniela Hernandez Chamorro-1085916749-BLS</v>
      </c>
    </row>
    <row r="369" spans="1:25" s="19" customFormat="1" x14ac:dyDescent="0.2">
      <c r="A369" s="20">
        <v>116</v>
      </c>
      <c r="B369" s="21">
        <v>1085916749</v>
      </c>
      <c r="C369" s="48" t="s">
        <v>272</v>
      </c>
      <c r="D369" s="48" t="s">
        <v>294</v>
      </c>
      <c r="E369" s="48" t="s">
        <v>295</v>
      </c>
      <c r="F369" s="48" t="s">
        <v>146</v>
      </c>
      <c r="G369" s="48">
        <v>18</v>
      </c>
      <c r="H369" s="21" t="s">
        <v>49</v>
      </c>
      <c r="I369" s="52" t="s">
        <v>376</v>
      </c>
      <c r="J369" s="52"/>
      <c r="K369" s="23">
        <v>45677</v>
      </c>
      <c r="L369" s="24">
        <v>32000</v>
      </c>
      <c r="M369" s="21" t="s">
        <v>106</v>
      </c>
      <c r="N369" s="21" t="s">
        <v>387</v>
      </c>
      <c r="O369" s="21" t="s">
        <v>95</v>
      </c>
      <c r="P369" s="21" t="s">
        <v>27</v>
      </c>
      <c r="Q369" s="22">
        <v>32869</v>
      </c>
      <c r="R369" s="48" t="s">
        <v>71</v>
      </c>
      <c r="S369" s="21" t="s">
        <v>296</v>
      </c>
      <c r="T369" s="21">
        <v>3128824242</v>
      </c>
      <c r="U369" s="21" t="s">
        <v>297</v>
      </c>
      <c r="V369" s="26" t="e">
        <f>IF(P369=#REF!,"DIPLOMADO EN ATENCION PRE-HOSPITALARIA",IF(P369=#REF!,"ACOMPAÑAMIENTO Y MANEJO DEL DUELO",IF(P369=#REF!,"ATENCION A VICTIMAS DE ATAQUE CON AGENTES QUIMICOS ",IF(P369=#REF!,"PRIMEROS AUXILIOS ",IF(P369=#REF!,"DIPLOMADO DE UNIDAD DE CUIDADOS INTENSIVOS (UCI)",IF(P369=#REF!,"MODELO DE ATENCION PARA EVENTOS EMERGENTES EN SALUD MENTAL (CODIGO VERDE)",IF(P369=#REF!,"HUMANIZACION EN EL SERVICIO DE LA SALUD Y BUENAS PRACTICAS EN PACIENTE ",IF(P369=#REF!,"CLINICA DE HERIDAS ",IF(P369=#REF!,"TOMA DE CITOLOGIA CERVICO VAGINAL ",IF(P369=#REF!,"SOPORTE CARDIOVASCULAR AVANZADO (ACLS) ",IF(P369=#REF!,"CAMILLERO ",IF(P369=#REF!,"TOMA DE MUESTRAS Y LABORATORIO ",IF(P369=#REF!,"SOPORTE VITAL BASICO (BLS)",IF(P369=#REF!,"ATENCION A VICTIMAS DE VIOLENCIA SEXUAL ",IF(P369=#REF!,"PROGRAMADO AMPLIADO DE INMUNIZACION (PAI - COVID 19)",IF(P369=#REF!,"ATENCION INTEGRAL EN ENFERMEDADES PREVALENTES EN PRIMERA INFANCIA (AIEPI)",IF(P369=#REF!,"ADMINISTRACION DE MEDICAMENTOS, INYECTOLOGIA  Y CANALIZACION ",IF(P369=#REF!,"OPERADOR DE VEHICULOS DE EMERGENCIA (OVE)",IF(P369=#REF!,"INSTITUCIONES AMIGAS DE LA MUJER Y LA INFANCIA (IAMI)",IF(P369=#REF!,"CUIDADO DEL DONANTE DE ORGANOS",IF(P369=#REF!,"ATENCION A VICTIMAS POR VIOLENCIA DE GENERO",IF(P369=#REF!,"IGUALDAD DE GENERO EN LA SALUD",IF(P369=#REF!,"BRIGADA DE EMERGENCIA",IF(P369=#REF!,"MANEJO DEL DOLOR Y CUIDADOS PALIATIVOS",IF(P369=#REF!,"TOMA DE MUESTRAS Y LABORATORIO POCT",IF(P369=#REF!,"IMPLANTE SUBDERMICO DE DISPOSITIVO INTRAUTERINO",IF(P369=#REF!,"SALUD MENTAL",IF(P369=#REF!,"PRIMEROS AUXILIOS PSICOLOGICOS",IF(P369=#REF!,"ATENCION A VICTIMAS POR CONFLICTO ARMADO",IF(P369=#REF!,"MANIPULACION DE ALIMENTOS Y BPM",IF(P369=#REF!,"ATENCION A PERSONAS CON DISCAPACIDAD",IF(P369=#REF!,"CUIDADO INTEGRAL DEL PACIENTE ADULTO",IF(P369=#REF!,"MANEJO DEFENSIVO",IF(P369=#REF!,"SOPORTE CARDIOVASCULAR AVANZADO NEONATAL",IF(P369=#REF!,"SEGURIDAD DEL PACIENTE",IF(P369=#REF!,"MANEJO DE RESIDUOS HOSPITALARIOS"))))))))))))))))))))))))))))))))))))</f>
        <v>#REF!</v>
      </c>
      <c r="W369" s="26" t="str">
        <f>CONCATENATE(E369," ",F369," ",C369," ",D369)</f>
        <v>Katerine Daniela Hernandez Chamorro</v>
      </c>
      <c r="X369" s="26" t="str">
        <f t="shared" si="31"/>
        <v>Katerine Daniela Hernandez Chamorro</v>
      </c>
      <c r="Y369" s="26" t="str">
        <f>CONCATENATE(W369,"-",B369,"-",P369)</f>
        <v>Katerine Daniela Hernandez Chamorro-1085916749-VIOLENCIA SEXUAL</v>
      </c>
    </row>
    <row r="370" spans="1:25" s="19" customFormat="1" x14ac:dyDescent="0.2">
      <c r="A370" s="20">
        <v>117</v>
      </c>
      <c r="B370" s="21">
        <v>1085916749</v>
      </c>
      <c r="C370" s="48" t="s">
        <v>272</v>
      </c>
      <c r="D370" s="48" t="s">
        <v>294</v>
      </c>
      <c r="E370" s="48" t="s">
        <v>295</v>
      </c>
      <c r="F370" s="48" t="s">
        <v>146</v>
      </c>
      <c r="G370" s="48">
        <v>18</v>
      </c>
      <c r="H370" s="21" t="s">
        <v>49</v>
      </c>
      <c r="I370" s="52" t="s">
        <v>376</v>
      </c>
      <c r="J370" s="52"/>
      <c r="K370" s="23">
        <v>45677</v>
      </c>
      <c r="L370" s="24">
        <v>32000</v>
      </c>
      <c r="M370" s="21" t="s">
        <v>106</v>
      </c>
      <c r="N370" s="21" t="s">
        <v>387</v>
      </c>
      <c r="O370" s="21" t="s">
        <v>95</v>
      </c>
      <c r="P370" s="21" t="s">
        <v>21</v>
      </c>
      <c r="Q370" s="22">
        <v>32869</v>
      </c>
      <c r="R370" s="48" t="s">
        <v>71</v>
      </c>
      <c r="S370" s="21" t="s">
        <v>296</v>
      </c>
      <c r="T370" s="21">
        <v>3128824242</v>
      </c>
      <c r="U370" s="21" t="s">
        <v>297</v>
      </c>
      <c r="V370" s="26" t="e">
        <f>IF(P370=#REF!,"DIPLOMADO EN ATENCION PRE-HOSPITALARIA",IF(P370=#REF!,"ACOMPAÑAMIENTO Y MANEJO DEL DUELO",IF(P370=#REF!,"ATENCION A VICTIMAS DE ATAQUE CON AGENTES QUIMICOS ",IF(P370=#REF!,"PRIMEROS AUXILIOS ",IF(P370=#REF!,"DIPLOMADO DE UNIDAD DE CUIDADOS INTENSIVOS (UCI)",IF(P370=#REF!,"MODELO DE ATENCION PARA EVENTOS EMERGENTES EN SALUD MENTAL (CODIGO VERDE)",IF(P370=#REF!,"HUMANIZACION EN EL SERVICIO DE LA SALUD Y BUENAS PRACTICAS EN PACIENTE ",IF(P370=#REF!,"CLINICA DE HERIDAS ",IF(P370=#REF!,"TOMA DE CITOLOGIA CERVICO VAGINAL ",IF(P370=#REF!,"SOPORTE CARDIOVASCULAR AVANZADO (ACLS) ",IF(P370=#REF!,"CAMILLERO ",IF(P370=#REF!,"TOMA DE MUESTRAS Y LABORATORIO ",IF(P370=#REF!,"SOPORTE VITAL BASICO (BLS)",IF(P370=#REF!,"ATENCION A VICTIMAS DE VIOLENCIA SEXUAL ",IF(P370=#REF!,"PROGRAMADO AMPLIADO DE INMUNIZACION (PAI - COVID 19)",IF(P370=#REF!,"ATENCION INTEGRAL EN ENFERMEDADES PREVALENTES EN PRIMERA INFANCIA (AIEPI)",IF(P370=#REF!,"ADMINISTRACION DE MEDICAMENTOS, INYECTOLOGIA  Y CANALIZACION ",IF(P370=#REF!,"OPERADOR DE VEHICULOS DE EMERGENCIA (OVE)",IF(P370=#REF!,"INSTITUCIONES AMIGAS DE LA MUJER Y LA INFANCIA (IAMI)",IF(P370=#REF!,"CUIDADO DEL DONANTE DE ORGANOS",IF(P370=#REF!,"ATENCION A VICTIMAS POR VIOLENCIA DE GENERO",IF(P370=#REF!,"IGUALDAD DE GENERO EN LA SALUD",IF(P370=#REF!,"BRIGADA DE EMERGENCIA",IF(P370=#REF!,"MANEJO DEL DOLOR Y CUIDADOS PALIATIVOS",IF(P370=#REF!,"TOMA DE MUESTRAS Y LABORATORIO POCT",IF(P370=#REF!,"IMPLANTE SUBDERMICO DE DISPOSITIVO INTRAUTERINO",IF(P370=#REF!,"SALUD MENTAL",IF(P370=#REF!,"PRIMEROS AUXILIOS PSICOLOGICOS",IF(P370=#REF!,"ATENCION A VICTIMAS POR CONFLICTO ARMADO",IF(P370=#REF!,"MANIPULACION DE ALIMENTOS Y BPM",IF(P370=#REF!,"ATENCION A PERSONAS CON DISCAPACIDAD",IF(P370=#REF!,"CUIDADO INTEGRAL DEL PACIENTE ADULTO",IF(P370=#REF!,"MANEJO DEFENSIVO",IF(P370=#REF!,"SOPORTE CARDIOVASCULAR AVANZADO NEONATAL",IF(P370=#REF!,"SEGURIDAD DEL PACIENTE",IF(P370=#REF!,"MANEJO DE RESIDUOS HOSPITALARIOS"))))))))))))))))))))))))))))))))))))</f>
        <v>#REF!</v>
      </c>
      <c r="W370" s="26" t="str">
        <f>CONCATENATE(E370," ",F370," ",C370," ",D370)</f>
        <v>Katerine Daniela Hernandez Chamorro</v>
      </c>
      <c r="X370" s="26" t="str">
        <f t="shared" si="31"/>
        <v>Katerine Daniela Hernandez Chamorro</v>
      </c>
      <c r="Y370" s="26" t="str">
        <f>CONCATENATE(W370,"-",B370,"-",P370)</f>
        <v>Katerine Daniela Hernandez Chamorro-1085916749-QUIMICOS</v>
      </c>
    </row>
    <row r="371" spans="1:25" s="19" customFormat="1" x14ac:dyDescent="0.2">
      <c r="A371" s="20">
        <v>118</v>
      </c>
      <c r="B371" s="21">
        <v>1085916749</v>
      </c>
      <c r="C371" s="48" t="s">
        <v>272</v>
      </c>
      <c r="D371" s="48" t="s">
        <v>294</v>
      </c>
      <c r="E371" s="48" t="s">
        <v>295</v>
      </c>
      <c r="F371" s="48" t="s">
        <v>146</v>
      </c>
      <c r="G371" s="48">
        <v>16</v>
      </c>
      <c r="H371" s="21" t="s">
        <v>49</v>
      </c>
      <c r="I371" s="52" t="s">
        <v>376</v>
      </c>
      <c r="J371" s="52"/>
      <c r="K371" s="23">
        <v>45677</v>
      </c>
      <c r="L371" s="24">
        <v>32000</v>
      </c>
      <c r="M371" s="21" t="s">
        <v>106</v>
      </c>
      <c r="N371" s="21" t="s">
        <v>387</v>
      </c>
      <c r="O371" s="21" t="s">
        <v>95</v>
      </c>
      <c r="P371" s="21" t="s">
        <v>20</v>
      </c>
      <c r="Q371" s="22">
        <v>32869</v>
      </c>
      <c r="R371" s="48" t="s">
        <v>71</v>
      </c>
      <c r="S371" s="21" t="s">
        <v>296</v>
      </c>
      <c r="T371" s="21">
        <v>3128824242</v>
      </c>
      <c r="U371" s="21" t="s">
        <v>297</v>
      </c>
      <c r="V371" s="26" t="e">
        <f>IF(P371=#REF!,"DIPLOMADO EN ATENCION PRE-HOSPITALARIA",IF(P371=#REF!,"ACOMPAÑAMIENTO Y MANEJO DEL DUELO",IF(P371=#REF!,"ATENCION A VICTIMAS DE ATAQUE CON AGENTES QUIMICOS ",IF(P371=#REF!,"PRIMEROS AUXILIOS ",IF(P371=#REF!,"DIPLOMADO DE UNIDAD DE CUIDADOS INTENSIVOS (UCI)",IF(P371=#REF!,"MODELO DE ATENCION PARA EVENTOS EMERGENTES EN SALUD MENTAL (CODIGO VERDE)",IF(P371=#REF!,"HUMANIZACION EN EL SERVICIO DE LA SALUD Y BUENAS PRACTICAS EN PACIENTE ",IF(P371=#REF!,"CLINICA DE HERIDAS ",IF(P371=#REF!,"TOMA DE CITOLOGIA CERVICO VAGINAL ",IF(P371=#REF!,"SOPORTE CARDIOVASCULAR AVANZADO (ACLS) ",IF(P371=#REF!,"CAMILLERO ",IF(P371=#REF!,"TOMA DE MUESTRAS Y LABORATORIO ",IF(P371=#REF!,"SOPORTE VITAL BASICO (BLS)",IF(P371=#REF!,"ATENCION A VICTIMAS DE VIOLENCIA SEXUAL ",IF(P371=#REF!,"PROGRAMADO AMPLIADO DE INMUNIZACION (PAI - COVID 19)",IF(P371=#REF!,"ATENCION INTEGRAL EN ENFERMEDADES PREVALENTES EN PRIMERA INFANCIA (AIEPI)",IF(P371=#REF!,"ADMINISTRACION DE MEDICAMENTOS, INYECTOLOGIA  Y CANALIZACION ",IF(P371=#REF!,"OPERADOR DE VEHICULOS DE EMERGENCIA (OVE)",IF(P371=#REF!,"INSTITUCIONES AMIGAS DE LA MUJER Y LA INFANCIA (IAMI)",IF(P371=#REF!,"CUIDADO DEL DONANTE DE ORGANOS",IF(P371=#REF!,"ATENCION A VICTIMAS POR VIOLENCIA DE GENERO",IF(P371=#REF!,"IGUALDAD DE GENERO EN LA SALUD",IF(P371=#REF!,"BRIGADA DE EMERGENCIA",IF(P371=#REF!,"MANEJO DEL DOLOR Y CUIDADOS PALIATIVOS",IF(P371=#REF!,"TOMA DE MUESTRAS Y LABORATORIO POCT",IF(P371=#REF!,"IMPLANTE SUBDERMICO DE DISPOSITIVO INTRAUTERINO",IF(P371=#REF!,"SALUD MENTAL",IF(P371=#REF!,"PRIMEROS AUXILIOS PSICOLOGICOS",IF(P371=#REF!,"ATENCION A VICTIMAS POR CONFLICTO ARMADO",IF(P371=#REF!,"MANIPULACION DE ALIMENTOS Y BPM",IF(P371=#REF!,"ATENCION A PERSONAS CON DISCAPACIDAD",IF(P371=#REF!,"CUIDADO INTEGRAL DEL PACIENTE ADULTO",IF(P371=#REF!,"MANEJO DEFENSIVO",IF(P371=#REF!,"SOPORTE CARDIOVASCULAR AVANZADO NEONATAL",IF(P371=#REF!,"SEGURIDAD DEL PACIENTE",IF(P371=#REF!,"MANEJO DE RESIDUOS HOSPITALARIOS"))))))))))))))))))))))))))))))))))))</f>
        <v>#REF!</v>
      </c>
      <c r="W371" s="26" t="str">
        <f>CONCATENATE(E371," ",F371," ",C371," ",D371)</f>
        <v>Katerine Daniela Hernandez Chamorro</v>
      </c>
      <c r="X371" s="26" t="str">
        <f t="shared" si="31"/>
        <v>Katerine Daniela Hernandez Chamorro</v>
      </c>
      <c r="Y371" s="26" t="str">
        <f>CONCATENATE(W371,"-",B371,"-",P371)</f>
        <v>Katerine Daniela Hernandez Chamorro-1085916749-DUELO</v>
      </c>
    </row>
    <row r="372" spans="1:25" s="19" customFormat="1" x14ac:dyDescent="0.2">
      <c r="A372" s="20">
        <v>119</v>
      </c>
      <c r="B372" s="48">
        <v>1004534118</v>
      </c>
      <c r="C372" s="48" t="s">
        <v>298</v>
      </c>
      <c r="D372" s="48" t="s">
        <v>299</v>
      </c>
      <c r="E372" s="48" t="s">
        <v>300</v>
      </c>
      <c r="F372" s="48" t="s">
        <v>301</v>
      </c>
      <c r="G372" s="48">
        <v>18</v>
      </c>
      <c r="H372" s="21" t="s">
        <v>49</v>
      </c>
      <c r="I372" s="52" t="s">
        <v>377</v>
      </c>
      <c r="J372" s="52"/>
      <c r="K372" s="23">
        <v>45675</v>
      </c>
      <c r="L372" s="24">
        <v>65000</v>
      </c>
      <c r="M372" s="21" t="s">
        <v>79</v>
      </c>
      <c r="N372" s="21" t="s">
        <v>387</v>
      </c>
      <c r="O372" s="21" t="s">
        <v>69</v>
      </c>
      <c r="P372" s="21" t="s">
        <v>30</v>
      </c>
      <c r="Q372" s="22">
        <v>37703</v>
      </c>
      <c r="R372" s="21" t="s">
        <v>70</v>
      </c>
      <c r="S372" s="21" t="s">
        <v>131</v>
      </c>
      <c r="T372" s="25">
        <v>3108375356</v>
      </c>
      <c r="U372" s="21" t="s">
        <v>302</v>
      </c>
      <c r="V372" s="26" t="e">
        <f>IF(P372=#REF!,"DIPLOMADO EN ATENCION PRE-HOSPITALARIA",IF(P372=#REF!,"ACOMPAÑAMIENTO Y MANEJO DEL DUELO",IF(P372=#REF!,"ATENCION A VICTIMAS DE ATAQUE CON AGENTES QUIMICOS ",IF(P372=#REF!,"PRIMEROS AUXILIOS ",IF(P372=#REF!,"DIPLOMADO DE UNIDAD DE CUIDADOS INTENSIVOS (UCI)",IF(P372=#REF!,"MODELO DE ATENCION PARA EVENTOS EMERGENTES EN SALUD MENTAL (CODIGO VERDE)",IF(P372=#REF!,"HUMANIZACION EN EL SERVICIO DE LA SALUD Y BUENAS PRACTICAS EN PACIENTE ",IF(P372=#REF!,"CLINICA DE HERIDAS ",IF(P372=#REF!,"TOMA DE CITOLOGIA CERVICO VAGINAL ",IF(P372=#REF!,"SOPORTE CARDIOVASCULAR AVANZADO (ACLS) ",IF(P372=#REF!,"CAMILLERO ",IF(P372=#REF!,"TOMA DE MUESTRAS Y LABORATORIO ",IF(P372=#REF!,"SOPORTE VITAL BASICO (BLS)",IF(P372=#REF!,"ATENCION A VICTIMAS DE VIOLENCIA SEXUAL ",IF(P372=#REF!,"PROGRAMADO AMPLIADO DE INMUNIZACION (PAI - COVID 19)",IF(P372=#REF!,"ATENCION INTEGRAL EN ENFERMEDADES PREVALENTES EN PRIMERA INFANCIA (AIEPI)",IF(P372=#REF!,"ADMINISTRACION DE MEDICAMENTOS, INYECTOLOGIA  Y CANALIZACION ",IF(P372=#REF!,"OPERADOR DE VEHICULOS DE EMERGENCIA (OVE)",IF(P372=#REF!,"INSTITUCIONES AMIGAS DE LA MUJER Y LA INFANCIA (IAMI)",IF(P372=#REF!,"CUIDADO DEL DONANTE DE ORGANOS",IF(P372=#REF!,"ATENCION A VICTIMAS POR VIOLENCIA DE GENERO",IF(P372=#REF!,"IGUALDAD DE GENERO EN LA SALUD",IF(P372=#REF!,"BRIGADA DE EMERGENCIA",IF(P372=#REF!,"MANEJO DEL DOLOR Y CUIDADOS PALIATIVOS",IF(P372=#REF!,"TOMA DE MUESTRAS Y LABORATORIO POCT",IF(P372=#REF!,"IMPLANTE SUBDERMICO DE DISPOSITIVO INTRAUTERINO",IF(P372=#REF!,"SALUD MENTAL",IF(P372=#REF!,"PRIMEROS AUXILIOS PSICOLOGICOS",IF(P372=#REF!,"ATENCION A VICTIMAS POR CONFLICTO ARMADO",IF(P372=#REF!,"MANIPULACION DE ALIMENTOS Y BPM",IF(P372=#REF!,"ATENCION A PERSONAS CON DISCAPACIDAD",IF(P372=#REF!,"CUIDADO INTEGRAL DEL PACIENTE ADULTO",IF(P372=#REF!,"MANEJO DEFENSIVO",IF(P372=#REF!,"SOPORTE CARDIOVASCULAR AVANZADO NEONATAL",IF(P372=#REF!,"SEGURIDAD DEL PACIENTE",IF(P372=#REF!,"MANEJO DE RESIDUOS HOSPITALARIOS"))))))))))))))))))))))))))))))))))))</f>
        <v>#REF!</v>
      </c>
      <c r="W372" s="26" t="str">
        <f>CONCATENATE(E372," ",F372," ",C372," ",D372)</f>
        <v>Edison Felipe Cuastumal Ceballos</v>
      </c>
      <c r="X372" s="26" t="str">
        <f t="shared" si="31"/>
        <v>Edison Felipe Cuastumal Ceballos</v>
      </c>
      <c r="Y372" s="26" t="str">
        <f>CONCATENATE(W372,"-",B372,"-",P372)</f>
        <v>Edison Felipe Cuastumal Ceballos-1004534118-OVE</v>
      </c>
    </row>
    <row r="373" spans="1:25" s="19" customFormat="1" x14ac:dyDescent="0.2">
      <c r="A373" s="20">
        <v>120</v>
      </c>
      <c r="B373" s="48">
        <v>1004534118</v>
      </c>
      <c r="C373" s="48" t="s">
        <v>298</v>
      </c>
      <c r="D373" s="48" t="s">
        <v>299</v>
      </c>
      <c r="E373" s="48" t="s">
        <v>300</v>
      </c>
      <c r="F373" s="48" t="s">
        <v>301</v>
      </c>
      <c r="G373" s="48">
        <v>18</v>
      </c>
      <c r="H373" s="21" t="s">
        <v>49</v>
      </c>
      <c r="I373" s="52" t="s">
        <v>377</v>
      </c>
      <c r="J373" s="52"/>
      <c r="K373" s="23">
        <v>45675</v>
      </c>
      <c r="L373" s="24">
        <v>65000</v>
      </c>
      <c r="M373" s="21" t="s">
        <v>79</v>
      </c>
      <c r="N373" s="21" t="s">
        <v>387</v>
      </c>
      <c r="O373" s="21" t="s">
        <v>69</v>
      </c>
      <c r="P373" s="21" t="s">
        <v>22</v>
      </c>
      <c r="Q373" s="22">
        <v>37703</v>
      </c>
      <c r="R373" s="21" t="s">
        <v>70</v>
      </c>
      <c r="S373" s="21" t="s">
        <v>131</v>
      </c>
      <c r="T373" s="25">
        <v>3108375356</v>
      </c>
      <c r="U373" s="21" t="s">
        <v>302</v>
      </c>
      <c r="V373" s="26" t="e">
        <f>IF(P373=#REF!,"DIPLOMADO EN ATENCION PRE-HOSPITALARIA",IF(P373=#REF!,"ACOMPAÑAMIENTO Y MANEJO DEL DUELO",IF(P373=#REF!,"ATENCION A VICTIMAS DE ATAQUE CON AGENTES QUIMICOS ",IF(P373=#REF!,"PRIMEROS AUXILIOS ",IF(P373=#REF!,"DIPLOMADO DE UNIDAD DE CUIDADOS INTENSIVOS (UCI)",IF(P373=#REF!,"MODELO DE ATENCION PARA EVENTOS EMERGENTES EN SALUD MENTAL (CODIGO VERDE)",IF(P373=#REF!,"HUMANIZACION EN EL SERVICIO DE LA SALUD Y BUENAS PRACTICAS EN PACIENTE ",IF(P373=#REF!,"CLINICA DE HERIDAS ",IF(P373=#REF!,"TOMA DE CITOLOGIA CERVICO VAGINAL ",IF(P373=#REF!,"SOPORTE CARDIOVASCULAR AVANZADO (ACLS) ",IF(P373=#REF!,"CAMILLERO ",IF(P373=#REF!,"TOMA DE MUESTRAS Y LABORATORIO ",IF(P373=#REF!,"SOPORTE VITAL BASICO (BLS)",IF(P373=#REF!,"ATENCION A VICTIMAS DE VIOLENCIA SEXUAL ",IF(P373=#REF!,"PROGRAMADO AMPLIADO DE INMUNIZACION (PAI - COVID 19)",IF(P373=#REF!,"ATENCION INTEGRAL EN ENFERMEDADES PREVALENTES EN PRIMERA INFANCIA (AIEPI)",IF(P373=#REF!,"ADMINISTRACION DE MEDICAMENTOS, INYECTOLOGIA  Y CANALIZACION ",IF(P373=#REF!,"OPERADOR DE VEHICULOS DE EMERGENCIA (OVE)",IF(P373=#REF!,"INSTITUCIONES AMIGAS DE LA MUJER Y LA INFANCIA (IAMI)",IF(P373=#REF!,"CUIDADO DEL DONANTE DE ORGANOS",IF(P373=#REF!,"ATENCION A VICTIMAS POR VIOLENCIA DE GENERO",IF(P373=#REF!,"IGUALDAD DE GENERO EN LA SALUD",IF(P373=#REF!,"BRIGADA DE EMERGENCIA",IF(P373=#REF!,"MANEJO DEL DOLOR Y CUIDADOS PALIATIVOS",IF(P373=#REF!,"TOMA DE MUESTRAS Y LABORATORIO POCT",IF(P373=#REF!,"IMPLANTE SUBDERMICO DE DISPOSITIVO INTRAUTERINO",IF(P373=#REF!,"SALUD MENTAL",IF(P373=#REF!,"PRIMEROS AUXILIOS PSICOLOGICOS",IF(P373=#REF!,"ATENCION A VICTIMAS POR CONFLICTO ARMADO",IF(P373=#REF!,"MANIPULACION DE ALIMENTOS Y BPM",IF(P373=#REF!,"ATENCION A PERSONAS CON DISCAPACIDAD",IF(P373=#REF!,"CUIDADO INTEGRAL DEL PACIENTE ADULTO",IF(P373=#REF!,"MANEJO DEFENSIVO",IF(P373=#REF!,"SOPORTE CARDIOVASCULAR AVANZADO NEONATAL",IF(P373=#REF!,"SEGURIDAD DEL PACIENTE",IF(P373=#REF!,"MANEJO DE RESIDUOS HOSPITALARIOS"))))))))))))))))))))))))))))))))))))</f>
        <v>#REF!</v>
      </c>
      <c r="W373" s="26" t="str">
        <f>CONCATENATE(E373," ",F373," ",C373," ",D373)</f>
        <v>Edison Felipe Cuastumal Ceballos</v>
      </c>
      <c r="X373" s="26" t="str">
        <f t="shared" si="31"/>
        <v>Edison Felipe Cuastumal Ceballos</v>
      </c>
      <c r="Y373" s="26" t="str">
        <f>CONCATENATE(W373,"-",B373,"-",P373)</f>
        <v>Edison Felipe Cuastumal Ceballos-1004534118-PRIMEROS AUXILIOS</v>
      </c>
    </row>
    <row r="374" spans="1:25" s="19" customFormat="1" x14ac:dyDescent="0.2">
      <c r="A374" s="20">
        <v>121</v>
      </c>
      <c r="B374" s="21">
        <v>1085314044</v>
      </c>
      <c r="C374" s="48" t="s">
        <v>303</v>
      </c>
      <c r="D374" s="48" t="s">
        <v>304</v>
      </c>
      <c r="E374" s="48" t="s">
        <v>305</v>
      </c>
      <c r="F374" s="48" t="s">
        <v>306</v>
      </c>
      <c r="G374" s="48">
        <v>20</v>
      </c>
      <c r="H374" s="21" t="s">
        <v>49</v>
      </c>
      <c r="I374" s="52" t="s">
        <v>377</v>
      </c>
      <c r="J374" s="52"/>
      <c r="K374" s="54">
        <v>45674</v>
      </c>
      <c r="L374" s="42">
        <v>65000</v>
      </c>
      <c r="M374" s="48" t="s">
        <v>307</v>
      </c>
      <c r="N374" s="21" t="s">
        <v>386</v>
      </c>
      <c r="O374" s="21" t="s">
        <v>69</v>
      </c>
      <c r="P374" s="21" t="s">
        <v>25</v>
      </c>
      <c r="Q374" s="22">
        <v>34536</v>
      </c>
      <c r="R374" s="48" t="s">
        <v>70</v>
      </c>
      <c r="S374" s="21" t="s">
        <v>354</v>
      </c>
      <c r="T374" s="25">
        <v>3183129872</v>
      </c>
      <c r="U374" s="21" t="s">
        <v>353</v>
      </c>
      <c r="V374" s="26" t="e">
        <f>IF(P374=#REF!,"DIPLOMADO EN ATENCION PRE-HOSPITALARIA",IF(P374=#REF!,"ACOMPAÑAMIENTO Y MANEJO DEL DUELO",IF(P374=#REF!,"ATENCION A VICTIMAS DE ATAQUE CON AGENTES QUIMICOS ",IF(P374=#REF!,"PRIMEROS AUXILIOS ",IF(P374=#REF!,"DIPLOMADO DE UNIDAD DE CUIDADOS INTENSIVOS (UCI)",IF(P374=#REF!,"MODELO DE ATENCION PARA EVENTOS EMERGENTES EN SALUD MENTAL (CODIGO VERDE)",IF(P374=#REF!,"HUMANIZACION EN EL SERVICIO DE LA SALUD Y BUENAS PRACTICAS EN PACIENTE ",IF(P374=#REF!,"CLINICA DE HERIDAS ",IF(P374=#REF!,"TOMA DE CITOLOGIA CERVICO VAGINAL ",IF(P374=#REF!,"SOPORTE CARDIOVASCULAR AVANZADO (ACLS) ",IF(P374=#REF!,"CAMILLERO ",IF(P374=#REF!,"TOMA DE MUESTRAS Y LABORATORIO ",IF(P374=#REF!,"SOPORTE VITAL BASICO (BLS)",IF(P374=#REF!,"ATENCION A VICTIMAS DE VIOLENCIA SEXUAL ",IF(P374=#REF!,"PROGRAMADO AMPLIADO DE INMUNIZACION (PAI - COVID 19)",IF(P374=#REF!,"ATENCION INTEGRAL EN ENFERMEDADES PREVALENTES EN PRIMERA INFANCIA (AIEPI)",IF(P374=#REF!,"ADMINISTRACION DE MEDICAMENTOS, INYECTOLOGIA  Y CANALIZACION ",IF(P374=#REF!,"OPERADOR DE VEHICULOS DE EMERGENCIA (OVE)",IF(P374=#REF!,"INSTITUCIONES AMIGAS DE LA MUJER Y LA INFANCIA (IAMI)",IF(P374=#REF!,"CUIDADO DEL DONANTE DE ORGANOS",IF(P374=#REF!,"ATENCION A VICTIMAS POR VIOLENCIA DE GENERO",IF(P374=#REF!,"IGUALDAD DE GENERO EN LA SALUD",IF(P374=#REF!,"BRIGADA DE EMERGENCIA",IF(P374=#REF!,"MANEJO DEL DOLOR Y CUIDADOS PALIATIVOS",IF(P374=#REF!,"TOMA DE MUESTRAS Y LABORATORIO POCT",IF(P374=#REF!,"IMPLANTE SUBDERMICO DE DISPOSITIVO INTRAUTERINO",IF(P374=#REF!,"SALUD MENTAL",IF(P374=#REF!,"PRIMEROS AUXILIOS PSICOLOGICOS",IF(P374=#REF!,"ATENCION A VICTIMAS POR CONFLICTO ARMADO",IF(P374=#REF!,"MANIPULACION DE ALIMENTOS Y BPM",IF(P374=#REF!,"ATENCION A PERSONAS CON DISCAPACIDAD",IF(P374=#REF!,"CUIDADO INTEGRAL DEL PACIENTE ADULTO",IF(P374=#REF!,"MANEJO DEFENSIVO",IF(P374=#REF!,"SOPORTE CARDIOVASCULAR AVANZADO NEONATAL",IF(P374=#REF!,"SEGURIDAD DEL PACIENTE",IF(P374=#REF!,"MANEJO DE RESIDUOS HOSPITALARIOS"))))))))))))))))))))))))))))))))))))</f>
        <v>#REF!</v>
      </c>
      <c r="W374" s="26" t="str">
        <f>CONCATENATE(E374," ",F374," ",C374," ",D374)</f>
        <v>Heiner  Alexander Tabla  Benitez</v>
      </c>
      <c r="X374" s="26" t="str">
        <f t="shared" si="31"/>
        <v>Heiner  Alexander Tabla  Benitez</v>
      </c>
      <c r="Y374" s="26" t="str">
        <f>CONCATENATE(W374,"-",B374,"-",P374)</f>
        <v>Heiner  Alexander Tabla  Benitez-1085314044-CAMILLERO</v>
      </c>
    </row>
    <row r="375" spans="1:25" s="19" customFormat="1" x14ac:dyDescent="0.2">
      <c r="A375" s="20">
        <v>122</v>
      </c>
      <c r="B375" s="21">
        <v>1004232573</v>
      </c>
      <c r="C375" s="48" t="s">
        <v>308</v>
      </c>
      <c r="D375" s="48" t="s">
        <v>309</v>
      </c>
      <c r="E375" s="48" t="s">
        <v>310</v>
      </c>
      <c r="F375" s="48" t="s">
        <v>311</v>
      </c>
      <c r="G375" s="48">
        <v>20</v>
      </c>
      <c r="H375" s="21" t="s">
        <v>49</v>
      </c>
      <c r="I375" s="52" t="s">
        <v>376</v>
      </c>
      <c r="J375" s="52"/>
      <c r="K375" s="54">
        <v>45677</v>
      </c>
      <c r="L375" s="42">
        <v>48000</v>
      </c>
      <c r="M375" s="48" t="s">
        <v>79</v>
      </c>
      <c r="N375" s="21" t="s">
        <v>386</v>
      </c>
      <c r="O375" s="21" t="s">
        <v>69</v>
      </c>
      <c r="P375" s="21" t="s">
        <v>32</v>
      </c>
      <c r="Q375" s="22">
        <v>36593</v>
      </c>
      <c r="R375" s="48" t="s">
        <v>70</v>
      </c>
      <c r="S375" s="25" t="s">
        <v>172</v>
      </c>
      <c r="T375" s="25">
        <v>3053177003</v>
      </c>
      <c r="U375" s="21" t="s">
        <v>312</v>
      </c>
      <c r="V375" s="26" t="e">
        <f>IF(P375=#REF!,"DIPLOMADO EN ATENCION PRE-HOSPITALARIA",IF(P375=#REF!,"ACOMPAÑAMIENTO Y MANEJO DEL DUELO",IF(P375=#REF!,"ATENCION A VICTIMAS DE ATAQUE CON AGENTES QUIMICOS ",IF(P375=#REF!,"PRIMEROS AUXILIOS ",IF(P375=#REF!,"DIPLOMADO DE UNIDAD DE CUIDADOS INTENSIVOS (UCI)",IF(P375=#REF!,"MODELO DE ATENCION PARA EVENTOS EMERGENTES EN SALUD MENTAL (CODIGO VERDE)",IF(P375=#REF!,"HUMANIZACION EN EL SERVICIO DE LA SALUD Y BUENAS PRACTICAS EN PACIENTE ",IF(P375=#REF!,"CLINICA DE HERIDAS ",IF(P375=#REF!,"TOMA DE CITOLOGIA CERVICO VAGINAL ",IF(P375=#REF!,"SOPORTE CARDIOVASCULAR AVANZADO (ACLS) ",IF(P375=#REF!,"CAMILLERO ",IF(P375=#REF!,"TOMA DE MUESTRAS Y LABORATORIO ",IF(P375=#REF!,"SOPORTE VITAL BASICO (BLS)",IF(P375=#REF!,"ATENCION A VICTIMAS DE VIOLENCIA SEXUAL ",IF(P375=#REF!,"PROGRAMADO AMPLIADO DE INMUNIZACION (PAI - COVID 19)",IF(P375=#REF!,"ATENCION INTEGRAL EN ENFERMEDADES PREVALENTES EN PRIMERA INFANCIA (AIEPI)",IF(P375=#REF!,"ADMINISTRACION DE MEDICAMENTOS, INYECTOLOGIA  Y CANALIZACION ",IF(P375=#REF!,"OPERADOR DE VEHICULOS DE EMERGENCIA (OVE)",IF(P375=#REF!,"INSTITUCIONES AMIGAS DE LA MUJER Y LA INFANCIA (IAMI)",IF(P375=#REF!,"CUIDADO DEL DONANTE DE ORGANOS",IF(P375=#REF!,"ATENCION A VICTIMAS POR VIOLENCIA DE GENERO",IF(P375=#REF!,"IGUALDAD DE GENERO EN LA SALUD",IF(P375=#REF!,"BRIGADA DE EMERGENCIA",IF(P375=#REF!,"MANEJO DEL DOLOR Y CUIDADOS PALIATIVOS",IF(P375=#REF!,"TOMA DE MUESTRAS Y LABORATORIO POCT",IF(P375=#REF!,"IMPLANTE SUBDERMICO DE DISPOSITIVO INTRAUTERINO",IF(P375=#REF!,"SALUD MENTAL",IF(P375=#REF!,"PRIMEROS AUXILIOS PSICOLOGICOS",IF(P375=#REF!,"ATENCION A VICTIMAS POR CONFLICTO ARMADO",IF(P375=#REF!,"MANIPULACION DE ALIMENTOS Y BPM",IF(P375=#REF!,"ATENCION A PERSONAS CON DISCAPACIDAD",IF(P375=#REF!,"CUIDADO INTEGRAL DEL PACIENTE ADULTO",IF(P375=#REF!,"MANEJO DEFENSIVO",IF(P375=#REF!,"SOPORTE CARDIOVASCULAR AVANZADO NEONATAL",IF(P375=#REF!,"SEGURIDAD DEL PACIENTE",IF(P375=#REF!,"MANEJO DE RESIDUOS HOSPITALARIOS"))))))))))))))))))))))))))))))))))))</f>
        <v>#REF!</v>
      </c>
      <c r="W375" s="26" t="str">
        <f>CONCATENATE(E375," ",F375," ",C375," ",D375)</f>
        <v xml:space="preserve">Natalia Julieth Portilla  Pachajoa </v>
      </c>
      <c r="X375" s="26" t="str">
        <f t="shared" si="31"/>
        <v xml:space="preserve">Natalia Julieth Portilla  Pachajoa </v>
      </c>
      <c r="Y375" s="26" t="str">
        <f>CONCATENATE(W375,"-",B375,"-",P375)</f>
        <v>Natalia Julieth Portilla  Pachajoa -1004232573-VIOLENCIA DE GENERO</v>
      </c>
    </row>
    <row r="376" spans="1:25" s="19" customFormat="1" x14ac:dyDescent="0.2">
      <c r="A376" s="20">
        <v>123</v>
      </c>
      <c r="B376" s="21">
        <v>1004232573</v>
      </c>
      <c r="C376" s="48" t="s">
        <v>308</v>
      </c>
      <c r="D376" s="48" t="s">
        <v>309</v>
      </c>
      <c r="E376" s="48" t="s">
        <v>310</v>
      </c>
      <c r="F376" s="48" t="s">
        <v>311</v>
      </c>
      <c r="G376" s="48">
        <v>20</v>
      </c>
      <c r="H376" s="21" t="s">
        <v>49</v>
      </c>
      <c r="I376" s="52" t="s">
        <v>376</v>
      </c>
      <c r="J376" s="52"/>
      <c r="K376" s="54">
        <v>45677</v>
      </c>
      <c r="L376" s="42">
        <v>48000</v>
      </c>
      <c r="M376" s="48" t="s">
        <v>79</v>
      </c>
      <c r="N376" s="21" t="s">
        <v>386</v>
      </c>
      <c r="O376" s="21" t="s">
        <v>69</v>
      </c>
      <c r="P376" s="21" t="s">
        <v>33</v>
      </c>
      <c r="Q376" s="22">
        <v>36593</v>
      </c>
      <c r="R376" s="48" t="s">
        <v>70</v>
      </c>
      <c r="S376" s="25" t="s">
        <v>172</v>
      </c>
      <c r="T376" s="25">
        <v>3053177003</v>
      </c>
      <c r="U376" s="21" t="s">
        <v>312</v>
      </c>
      <c r="V376" s="26" t="e">
        <f>IF(P376=#REF!,"DIPLOMADO EN ATENCION PRE-HOSPITALARIA",IF(P376=#REF!,"ACOMPAÑAMIENTO Y MANEJO DEL DUELO",IF(P376=#REF!,"ATENCION A VICTIMAS DE ATAQUE CON AGENTES QUIMICOS ",IF(P376=#REF!,"PRIMEROS AUXILIOS ",IF(P376=#REF!,"DIPLOMADO DE UNIDAD DE CUIDADOS INTENSIVOS (UCI)",IF(P376=#REF!,"MODELO DE ATENCION PARA EVENTOS EMERGENTES EN SALUD MENTAL (CODIGO VERDE)",IF(P376=#REF!,"HUMANIZACION EN EL SERVICIO DE LA SALUD Y BUENAS PRACTICAS EN PACIENTE ",IF(P376=#REF!,"CLINICA DE HERIDAS ",IF(P376=#REF!,"TOMA DE CITOLOGIA CERVICO VAGINAL ",IF(P376=#REF!,"SOPORTE CARDIOVASCULAR AVANZADO (ACLS) ",IF(P376=#REF!,"CAMILLERO ",IF(P376=#REF!,"TOMA DE MUESTRAS Y LABORATORIO ",IF(P376=#REF!,"SOPORTE VITAL BASICO (BLS)",IF(P376=#REF!,"ATENCION A VICTIMAS DE VIOLENCIA SEXUAL ",IF(P376=#REF!,"PROGRAMADO AMPLIADO DE INMUNIZACION (PAI - COVID 19)",IF(P376=#REF!,"ATENCION INTEGRAL EN ENFERMEDADES PREVALENTES EN PRIMERA INFANCIA (AIEPI)",IF(P376=#REF!,"ADMINISTRACION DE MEDICAMENTOS, INYECTOLOGIA  Y CANALIZACION ",IF(P376=#REF!,"OPERADOR DE VEHICULOS DE EMERGENCIA (OVE)",IF(P376=#REF!,"INSTITUCIONES AMIGAS DE LA MUJER Y LA INFANCIA (IAMI)",IF(P376=#REF!,"CUIDADO DEL DONANTE DE ORGANOS",IF(P376=#REF!,"ATENCION A VICTIMAS POR VIOLENCIA DE GENERO",IF(P376=#REF!,"IGUALDAD DE GENERO EN LA SALUD",IF(P376=#REF!,"BRIGADA DE EMERGENCIA",IF(P376=#REF!,"MANEJO DEL DOLOR Y CUIDADOS PALIATIVOS",IF(P376=#REF!,"TOMA DE MUESTRAS Y LABORATORIO POCT",IF(P376=#REF!,"IMPLANTE SUBDERMICO DE DISPOSITIVO INTRAUTERINO",IF(P376=#REF!,"SALUD MENTAL",IF(P376=#REF!,"PRIMEROS AUXILIOS PSICOLOGICOS",IF(P376=#REF!,"ATENCION A VICTIMAS POR CONFLICTO ARMADO",IF(P376=#REF!,"MANIPULACION DE ALIMENTOS Y BPM",IF(P376=#REF!,"ATENCION A PERSONAS CON DISCAPACIDAD",IF(P376=#REF!,"CUIDADO INTEGRAL DEL PACIENTE ADULTO",IF(P376=#REF!,"MANEJO DEFENSIVO",IF(P376=#REF!,"SOPORTE CARDIOVASCULAR AVANZADO NEONATAL",IF(P376=#REF!,"SEGURIDAD DEL PACIENTE",IF(P376=#REF!,"MANEJO DE RESIDUOS HOSPITALARIOS"))))))))))))))))))))))))))))))))))))</f>
        <v>#REF!</v>
      </c>
      <c r="W376" s="26" t="str">
        <f>CONCATENATE(E376," ",F376," ",C376," ",D376)</f>
        <v xml:space="preserve">Natalia Julieth Portilla  Pachajoa </v>
      </c>
      <c r="X376" s="26" t="str">
        <f t="shared" si="31"/>
        <v xml:space="preserve">Natalia Julieth Portilla  Pachajoa </v>
      </c>
      <c r="Y376" s="26" t="str">
        <f>CONCATENATE(W376,"-",B376,"-",P376)</f>
        <v>Natalia Julieth Portilla  Pachajoa -1004232573-IGUALDAD DE GENERO</v>
      </c>
    </row>
    <row r="377" spans="1:25" x14ac:dyDescent="0.2">
      <c r="A377" s="20">
        <v>124</v>
      </c>
      <c r="B377" s="21">
        <v>1004578255</v>
      </c>
      <c r="C377" s="48" t="s">
        <v>313</v>
      </c>
      <c r="D377" s="48" t="s">
        <v>314</v>
      </c>
      <c r="E377" s="48" t="s">
        <v>315</v>
      </c>
      <c r="F377" s="48" t="s">
        <v>316</v>
      </c>
      <c r="G377" s="48">
        <v>21</v>
      </c>
      <c r="H377" s="21" t="s">
        <v>49</v>
      </c>
      <c r="I377" s="52" t="s">
        <v>377</v>
      </c>
      <c r="J377" s="52"/>
      <c r="K377" s="23" t="s">
        <v>388</v>
      </c>
      <c r="L377" s="42">
        <v>65000</v>
      </c>
      <c r="M377" s="48" t="s">
        <v>79</v>
      </c>
      <c r="N377" s="21" t="s">
        <v>387</v>
      </c>
      <c r="O377" s="48" t="s">
        <v>69</v>
      </c>
      <c r="P377" s="48" t="s">
        <v>29</v>
      </c>
      <c r="Q377" s="22">
        <v>36652</v>
      </c>
      <c r="R377" s="48" t="s">
        <v>71</v>
      </c>
      <c r="S377" s="53" t="s">
        <v>107</v>
      </c>
      <c r="T377" s="48">
        <v>3163622585</v>
      </c>
      <c r="U377" s="25" t="s">
        <v>317</v>
      </c>
      <c r="V377" s="26" t="e">
        <f>IF(P377=#REF!,"DIPLOMADO EN ATENCION PRE-HOSPITALARIA",IF(P377=#REF!,"ACOMPAÑAMIENTO Y MANEJO DEL DUELO",IF(P377=#REF!,"ATENCION A VICTIMAS DE ATAQUE CON AGENTES QUIMICOS ",IF(P377=#REF!,"PRIMEROS AUXILIOS ",IF(P377=#REF!,"DIPLOMADO DE UNIDAD DE CUIDADOS INTENSIVOS (UCI)",IF(P377=#REF!,"MODELO DE ATENCION PARA EVENTOS EMERGENTES EN SALUD MENTAL (CODIGO VERDE)",IF(P377=#REF!,"HUMANIZACION EN EL SERVICIO DE LA SALUD Y BUENAS PRACTICAS EN PACIENTE ",IF(P377=#REF!,"CLINICA DE HERIDAS ",IF(P377=#REF!,"TOMA DE CITOLOGIA CERVICO VAGINAL ",IF(P377=#REF!,"SOPORTE CARDIOVASCULAR AVANZADO (ACLS) ",IF(P377=#REF!,"CAMILLERO ",IF(P377=#REF!,"TOMA DE MUESTRAS Y LABORATORIO ",IF(P377=#REF!,"SOPORTE VITAL BASICO (BLS)",IF(P377=#REF!,"ATENCION A VICTIMAS DE VIOLENCIA SEXUAL ",IF(P377=#REF!,"PROGRAMADO AMPLIADO DE INMUNIZACION (PAI - COVID 19)",IF(P377=#REF!,"ATENCION INTEGRAL EN ENFERMEDADES PREVALENTES EN PRIMERA INFANCIA (AIEPI)",IF(P377=#REF!,"ADMINISTRACION DE MEDICAMENTOS, INYECTOLOGIA  Y CANALIZACION ",IF(P377=#REF!,"OPERADOR DE VEHICULOS DE EMERGENCIA (OVE)",IF(P377=#REF!,"INSTITUCIONES AMIGAS DE LA MUJER Y LA INFANCIA (IAMI)",IF(P377=#REF!,"CUIDADO DEL DONANTE DE ORGANOS",IF(P377=#REF!,"ATENCION A VICTIMAS POR VIOLENCIA DE GENERO",IF(P377=#REF!,"IGUALDAD DE GENERO EN LA SALUD",IF(P377=#REF!,"BRIGADA DE EMERGENCIA",IF(P377=#REF!,"MANEJO DEL DOLOR Y CUIDADOS PALIATIVOS",IF(P377=#REF!,"TOMA DE MUESTRAS Y LABORATORIO POCT",IF(P377=#REF!,"IMPLANTE SUBDERMICO DE DISPOSITIVO INTRAUTERINO",IF(P377=#REF!,"SALUD MENTAL",IF(P377=#REF!,"PRIMEROS AUXILIOS PSICOLOGICOS",IF(P377=#REF!,"ATENCION A VICTIMAS POR CONFLICTO ARMADO",IF(P377=#REF!,"MANIPULACION DE ALIMENTOS Y BPM",IF(P377=#REF!,"ATENCION A PERSONAS CON DISCAPACIDAD",IF(P377=#REF!,"CUIDADO INTEGRAL DEL PACIENTE ADULTO",IF(P377=#REF!,"MANEJO DEFENSIVO",IF(P377=#REF!,"SOPORTE CARDIOVASCULAR AVANZADO NEONATAL",IF(P377=#REF!,"SEGURIDAD DEL PACIENTE",IF(P377=#REF!,"MANEJO DE RESIDUOS HOSPITALARIOS"))))))))))))))))))))))))))))))))))))</f>
        <v>#REF!</v>
      </c>
      <c r="W377" s="26" t="str">
        <f>CONCATENATE(E377," ",F377," ",C377," ",D377)</f>
        <v>Rosa Mery Pastas Escobar</v>
      </c>
      <c r="X377" s="26" t="str">
        <f t="shared" si="31"/>
        <v>Rosa Mery Pastas Escobar</v>
      </c>
      <c r="Y377" s="26" t="str">
        <f>CONCATENATE(W377,"-",B377,"-",P377)</f>
        <v>Rosa Mery Pastas Escobar-1004578255-ADMON DE MEDICAMENTOS</v>
      </c>
    </row>
    <row r="378" spans="1:25" x14ac:dyDescent="0.2">
      <c r="A378" s="20">
        <v>125</v>
      </c>
      <c r="B378" s="21">
        <v>59813505</v>
      </c>
      <c r="C378" s="48" t="s">
        <v>318</v>
      </c>
      <c r="D378" s="48" t="s">
        <v>80</v>
      </c>
      <c r="E378" s="48" t="s">
        <v>319</v>
      </c>
      <c r="F378" s="48" t="s">
        <v>320</v>
      </c>
      <c r="G378" s="48">
        <v>20</v>
      </c>
      <c r="H378" s="21" t="s">
        <v>49</v>
      </c>
      <c r="I378" s="52" t="s">
        <v>376</v>
      </c>
      <c r="J378" s="52"/>
      <c r="K378" s="23">
        <v>45684</v>
      </c>
      <c r="L378" s="42">
        <v>30000</v>
      </c>
      <c r="M378" s="48" t="s">
        <v>79</v>
      </c>
      <c r="N378" s="21" t="s">
        <v>387</v>
      </c>
      <c r="O378" s="48" t="s">
        <v>321</v>
      </c>
      <c r="P378" s="48" t="s">
        <v>22</v>
      </c>
      <c r="Q378" s="22">
        <v>23600</v>
      </c>
      <c r="R378" s="48" t="s">
        <v>71</v>
      </c>
      <c r="S378" s="53" t="s">
        <v>107</v>
      </c>
      <c r="T378" s="48">
        <v>3155311389</v>
      </c>
      <c r="U378" s="27" t="s">
        <v>322</v>
      </c>
      <c r="V378" s="26" t="e">
        <f>IF(P378=#REF!,"DIPLOMADO EN ATENCION PRE-HOSPITALARIA",IF(P378=#REF!,"ACOMPAÑAMIENTO Y MANEJO DEL DUELO",IF(P378=#REF!,"ATENCION A VICTIMAS DE ATAQUE CON AGENTES QUIMICOS ",IF(P378=#REF!,"PRIMEROS AUXILIOS ",IF(P378=#REF!,"DIPLOMADO DE UNIDAD DE CUIDADOS INTENSIVOS (UCI)",IF(P378=#REF!,"MODELO DE ATENCION PARA EVENTOS EMERGENTES EN SALUD MENTAL (CODIGO VERDE)",IF(P378=#REF!,"HUMANIZACION EN EL SERVICIO DE LA SALUD Y BUENAS PRACTICAS EN PACIENTE ",IF(P378=#REF!,"CLINICA DE HERIDAS ",IF(P378=#REF!,"TOMA DE CITOLOGIA CERVICO VAGINAL ",IF(P378=#REF!,"SOPORTE CARDIOVASCULAR AVANZADO (ACLS) ",IF(P378=#REF!,"CAMILLERO ",IF(P378=#REF!,"TOMA DE MUESTRAS Y LABORATORIO ",IF(P378=#REF!,"SOPORTE VITAL BASICO (BLS)",IF(P378=#REF!,"ATENCION A VICTIMAS DE VIOLENCIA SEXUAL ",IF(P378=#REF!,"PROGRAMADO AMPLIADO DE INMUNIZACION (PAI - COVID 19)",IF(P378=#REF!,"ATENCION INTEGRAL EN ENFERMEDADES PREVALENTES EN PRIMERA INFANCIA (AIEPI)",IF(P378=#REF!,"ADMINISTRACION DE MEDICAMENTOS, INYECTOLOGIA  Y CANALIZACION ",IF(P378=#REF!,"OPERADOR DE VEHICULOS DE EMERGENCIA (OVE)",IF(P378=#REF!,"INSTITUCIONES AMIGAS DE LA MUJER Y LA INFANCIA (IAMI)",IF(P378=#REF!,"CUIDADO DEL DONANTE DE ORGANOS",IF(P378=#REF!,"ATENCION A VICTIMAS POR VIOLENCIA DE GENERO",IF(P378=#REF!,"IGUALDAD DE GENERO EN LA SALUD",IF(P378=#REF!,"BRIGADA DE EMERGENCIA",IF(P378=#REF!,"MANEJO DEL DOLOR Y CUIDADOS PALIATIVOS",IF(P378=#REF!,"TOMA DE MUESTRAS Y LABORATORIO POCT",IF(P378=#REF!,"IMPLANTE SUBDERMICO DE DISPOSITIVO INTRAUTERINO",IF(P378=#REF!,"SALUD MENTAL",IF(P378=#REF!,"PRIMEROS AUXILIOS PSICOLOGICOS",IF(P378=#REF!,"ATENCION A VICTIMAS POR CONFLICTO ARMADO",IF(P378=#REF!,"MANIPULACION DE ALIMENTOS Y BPM",IF(P378=#REF!,"ATENCION A PERSONAS CON DISCAPACIDAD",IF(P378=#REF!,"CUIDADO INTEGRAL DEL PACIENTE ADULTO",IF(P378=#REF!,"MANEJO DEFENSIVO",IF(P378=#REF!,"SOPORTE CARDIOVASCULAR AVANZADO NEONATAL",IF(P378=#REF!,"SEGURIDAD DEL PACIENTE",IF(P378=#REF!,"MANEJO DE RESIDUOS HOSPITALARIOS"))))))))))))))))))))))))))))))))))))</f>
        <v>#REF!</v>
      </c>
      <c r="W378" s="26" t="str">
        <f>CONCATENATE(E378," ",F378," ",C378," ",D378)</f>
        <v>Lucia Margot Ortega Erazo</v>
      </c>
      <c r="X378" s="26" t="str">
        <f t="shared" si="31"/>
        <v>Lucia Margot Ortega Erazo</v>
      </c>
      <c r="Y378" s="26" t="str">
        <f>CONCATENATE(W378,"-",B378,"-",P378)</f>
        <v>Lucia Margot Ortega Erazo-59813505-PRIMEROS AUXILIOS</v>
      </c>
    </row>
    <row r="379" spans="1:25" x14ac:dyDescent="0.2">
      <c r="A379" s="20">
        <v>126</v>
      </c>
      <c r="B379" s="21">
        <v>1007268170</v>
      </c>
      <c r="C379" s="48" t="s">
        <v>323</v>
      </c>
      <c r="D379" s="48"/>
      <c r="E379" s="48" t="s">
        <v>324</v>
      </c>
      <c r="F379" s="48" t="s">
        <v>325</v>
      </c>
      <c r="G379" s="48">
        <v>20</v>
      </c>
      <c r="H379" s="21" t="s">
        <v>49</v>
      </c>
      <c r="I379" s="52" t="s">
        <v>377</v>
      </c>
      <c r="J379" s="52"/>
      <c r="K379" s="23">
        <v>45677</v>
      </c>
      <c r="L379" s="42">
        <v>65000</v>
      </c>
      <c r="M379" s="48" t="s">
        <v>79</v>
      </c>
      <c r="N379" s="21" t="s">
        <v>387</v>
      </c>
      <c r="O379" s="21" t="s">
        <v>69</v>
      </c>
      <c r="P379" s="21" t="s">
        <v>33</v>
      </c>
      <c r="Q379" s="22">
        <v>33912</v>
      </c>
      <c r="R379" s="48" t="s">
        <v>71</v>
      </c>
      <c r="S379" s="53" t="s">
        <v>326</v>
      </c>
      <c r="T379" s="48">
        <v>3168248690</v>
      </c>
      <c r="U379" s="25" t="s">
        <v>327</v>
      </c>
      <c r="V379" s="26" t="e">
        <f>IF(P379=#REF!,"DIPLOMADO EN ATENCION PRE-HOSPITALARIA",IF(P379=#REF!,"ACOMPAÑAMIENTO Y MANEJO DEL DUELO",IF(P379=#REF!,"ATENCION A VICTIMAS DE ATAQUE CON AGENTES QUIMICOS ",IF(P379=#REF!,"PRIMEROS AUXILIOS ",IF(P379=#REF!,"DIPLOMADO DE UNIDAD DE CUIDADOS INTENSIVOS (UCI)",IF(P379=#REF!,"MODELO DE ATENCION PARA EVENTOS EMERGENTES EN SALUD MENTAL (CODIGO VERDE)",IF(P379=#REF!,"HUMANIZACION EN EL SERVICIO DE LA SALUD Y BUENAS PRACTICAS EN PACIENTE ",IF(P379=#REF!,"CLINICA DE HERIDAS ",IF(P379=#REF!,"TOMA DE CITOLOGIA CERVICO VAGINAL ",IF(P379=#REF!,"SOPORTE CARDIOVASCULAR AVANZADO (ACLS) ",IF(P379=#REF!,"CAMILLERO ",IF(P379=#REF!,"TOMA DE MUESTRAS Y LABORATORIO ",IF(P379=#REF!,"SOPORTE VITAL BASICO (BLS)",IF(P379=#REF!,"ATENCION A VICTIMAS DE VIOLENCIA SEXUAL ",IF(P379=#REF!,"PROGRAMADO AMPLIADO DE INMUNIZACION (PAI - COVID 19)",IF(P379=#REF!,"ATENCION INTEGRAL EN ENFERMEDADES PREVALENTES EN PRIMERA INFANCIA (AIEPI)",IF(P379=#REF!,"ADMINISTRACION DE MEDICAMENTOS, INYECTOLOGIA  Y CANALIZACION ",IF(P379=#REF!,"OPERADOR DE VEHICULOS DE EMERGENCIA (OVE)",IF(P379=#REF!,"INSTITUCIONES AMIGAS DE LA MUJER Y LA INFANCIA (IAMI)",IF(P379=#REF!,"CUIDADO DEL DONANTE DE ORGANOS",IF(P379=#REF!,"ATENCION A VICTIMAS POR VIOLENCIA DE GENERO",IF(P379=#REF!,"IGUALDAD DE GENERO EN LA SALUD",IF(P379=#REF!,"BRIGADA DE EMERGENCIA",IF(P379=#REF!,"MANEJO DEL DOLOR Y CUIDADOS PALIATIVOS",IF(P379=#REF!,"TOMA DE MUESTRAS Y LABORATORIO POCT",IF(P379=#REF!,"IMPLANTE SUBDERMICO DE DISPOSITIVO INTRAUTERINO",IF(P379=#REF!,"SALUD MENTAL",IF(P379=#REF!,"PRIMEROS AUXILIOS PSICOLOGICOS",IF(P379=#REF!,"ATENCION A VICTIMAS POR CONFLICTO ARMADO",IF(P379=#REF!,"MANIPULACION DE ALIMENTOS Y BPM",IF(P379=#REF!,"ATENCION A PERSONAS CON DISCAPACIDAD",IF(P379=#REF!,"CUIDADO INTEGRAL DEL PACIENTE ADULTO",IF(P379=#REF!,"MANEJO DEFENSIVO",IF(P379=#REF!,"SOPORTE CARDIOVASCULAR AVANZADO NEONATAL",IF(P379=#REF!,"SEGURIDAD DEL PACIENTE",IF(P379=#REF!,"MANEJO DE RESIDUOS HOSPITALARIOS"))))))))))))))))))))))))))))))))))))</f>
        <v>#REF!</v>
      </c>
      <c r="W379" s="26" t="str">
        <f>CONCATENATE(E379," ",F379," ",C379," ",D379)</f>
        <v xml:space="preserve">Jesica Liliana Viveros </v>
      </c>
      <c r="X379" s="26" t="str">
        <f t="shared" si="31"/>
        <v xml:space="preserve">Jesica Liliana Viveros </v>
      </c>
      <c r="Y379" s="26" t="str">
        <f>CONCATENATE(W379,"-",B379,"-",P379)</f>
        <v>Jesica Liliana Viveros -1007268170-IGUALDAD DE GENERO</v>
      </c>
    </row>
    <row r="380" spans="1:25" x14ac:dyDescent="0.2">
      <c r="A380" s="20">
        <v>127</v>
      </c>
      <c r="B380" s="21">
        <v>1085264409</v>
      </c>
      <c r="C380" s="48" t="s">
        <v>328</v>
      </c>
      <c r="D380" s="48" t="s">
        <v>329</v>
      </c>
      <c r="E380" s="48" t="s">
        <v>330</v>
      </c>
      <c r="F380" s="48" t="s">
        <v>331</v>
      </c>
      <c r="G380" s="48">
        <v>20</v>
      </c>
      <c r="H380" s="21" t="s">
        <v>49</v>
      </c>
      <c r="I380" s="52" t="s">
        <v>376</v>
      </c>
      <c r="J380" s="52"/>
      <c r="K380" s="23">
        <v>45677</v>
      </c>
      <c r="L380" s="42">
        <v>80000</v>
      </c>
      <c r="M380" s="48" t="s">
        <v>106</v>
      </c>
      <c r="N380" s="21" t="s">
        <v>387</v>
      </c>
      <c r="O380" s="21" t="s">
        <v>69</v>
      </c>
      <c r="P380" s="21" t="s">
        <v>24</v>
      </c>
      <c r="Q380" s="22">
        <v>32149</v>
      </c>
      <c r="R380" s="48" t="s">
        <v>70</v>
      </c>
      <c r="S380" s="27" t="s">
        <v>83</v>
      </c>
      <c r="T380" s="21">
        <v>3174552359</v>
      </c>
      <c r="U380" s="21" t="s">
        <v>332</v>
      </c>
      <c r="V380" s="26" t="e">
        <f>IF(P380=#REF!,"DIPLOMADO EN ATENCION PRE-HOSPITALARIA",IF(P380=#REF!,"ACOMPAÑAMIENTO Y MANEJO DEL DUELO",IF(P380=#REF!,"ATENCION A VICTIMAS DE ATAQUE CON AGENTES QUIMICOS ",IF(P380=#REF!,"PRIMEROS AUXILIOS ",IF(P380=#REF!,"DIPLOMADO DE UNIDAD DE CUIDADOS INTENSIVOS (UCI)",IF(P380=#REF!,"MODELO DE ATENCION PARA EVENTOS EMERGENTES EN SALUD MENTAL (CODIGO VERDE)",IF(P380=#REF!,"HUMANIZACION EN EL SERVICIO DE LA SALUD Y BUENAS PRACTICAS EN PACIENTE ",IF(P380=#REF!,"CLINICA DE HERIDAS ",IF(P380=#REF!,"TOMA DE CITOLOGIA CERVICO VAGINAL ",IF(P380=#REF!,"SOPORTE CARDIOVASCULAR AVANZADO (ACLS) ",IF(P380=#REF!,"CAMILLERO ",IF(P380=#REF!,"TOMA DE MUESTRAS Y LABORATORIO ",IF(P380=#REF!,"SOPORTE VITAL BASICO (BLS)",IF(P380=#REF!,"ATENCION A VICTIMAS DE VIOLENCIA SEXUAL ",IF(P380=#REF!,"PROGRAMADO AMPLIADO DE INMUNIZACION (PAI - COVID 19)",IF(P380=#REF!,"ATENCION INTEGRAL EN ENFERMEDADES PREVALENTES EN PRIMERA INFANCIA (AIEPI)",IF(P380=#REF!,"ADMINISTRACION DE MEDICAMENTOS, INYECTOLOGIA  Y CANALIZACION ",IF(P380=#REF!,"OPERADOR DE VEHICULOS DE EMERGENCIA (OVE)",IF(P380=#REF!,"INSTITUCIONES AMIGAS DE LA MUJER Y LA INFANCIA (IAMI)",IF(P380=#REF!,"CUIDADO DEL DONANTE DE ORGANOS",IF(P380=#REF!,"ATENCION A VICTIMAS POR VIOLENCIA DE GENERO",IF(P380=#REF!,"IGUALDAD DE GENERO EN LA SALUD",IF(P380=#REF!,"BRIGADA DE EMERGENCIA",IF(P380=#REF!,"MANEJO DEL DOLOR Y CUIDADOS PALIATIVOS",IF(P380=#REF!,"TOMA DE MUESTRAS Y LABORATORIO POCT",IF(P380=#REF!,"IMPLANTE SUBDERMICO DE DISPOSITIVO INTRAUTERINO",IF(P380=#REF!,"SALUD MENTAL",IF(P380=#REF!,"PRIMEROS AUXILIOS PSICOLOGICOS",IF(P380=#REF!,"ATENCION A VICTIMAS POR CONFLICTO ARMADO",IF(P380=#REF!,"MANIPULACION DE ALIMENTOS Y BPM",IF(P380=#REF!,"ATENCION A PERSONAS CON DISCAPACIDAD",IF(P380=#REF!,"CUIDADO INTEGRAL DEL PACIENTE ADULTO",IF(P380=#REF!,"MANEJO DEFENSIVO",IF(P380=#REF!,"SOPORTE CARDIOVASCULAR AVANZADO NEONATAL",IF(P380=#REF!,"SEGURIDAD DEL PACIENTE",IF(P380=#REF!,"MANEJO DE RESIDUOS HOSPITALARIOS"))))))))))))))))))))))))))))))))))))</f>
        <v>#REF!</v>
      </c>
      <c r="W380" s="26" t="str">
        <f>CONCATENATE(E380," ",F380," ",C380," ",D380)</f>
        <v>Edisson Armando Pachajoa Potosi</v>
      </c>
      <c r="X380" s="26" t="str">
        <f t="shared" si="31"/>
        <v>Edisson Armando Pachajoa Potosi</v>
      </c>
      <c r="Y380" s="26" t="str">
        <f>CONCATENATE(W380,"-",B380,"-",P380)</f>
        <v>Edisson Armando Pachajoa Potosi-1085264409-ACLS</v>
      </c>
    </row>
    <row r="381" spans="1:25" x14ac:dyDescent="0.2">
      <c r="A381" s="20">
        <v>128</v>
      </c>
      <c r="B381" s="21">
        <v>1085264409</v>
      </c>
      <c r="C381" s="48" t="s">
        <v>328</v>
      </c>
      <c r="D381" s="48" t="s">
        <v>329</v>
      </c>
      <c r="E381" s="48" t="s">
        <v>330</v>
      </c>
      <c r="F381" s="48" t="s">
        <v>331</v>
      </c>
      <c r="G381" s="48">
        <v>20</v>
      </c>
      <c r="H381" s="21" t="s">
        <v>49</v>
      </c>
      <c r="I381" s="52" t="s">
        <v>376</v>
      </c>
      <c r="J381" s="52"/>
      <c r="K381" s="23">
        <v>45677</v>
      </c>
      <c r="L381" s="24">
        <v>20000</v>
      </c>
      <c r="M381" s="21" t="s">
        <v>106</v>
      </c>
      <c r="N381" s="21" t="s">
        <v>387</v>
      </c>
      <c r="O381" s="21" t="s">
        <v>69</v>
      </c>
      <c r="P381" s="21" t="s">
        <v>19</v>
      </c>
      <c r="Q381" s="22">
        <v>32149</v>
      </c>
      <c r="R381" s="48" t="s">
        <v>70</v>
      </c>
      <c r="S381" s="27" t="s">
        <v>83</v>
      </c>
      <c r="T381" s="21">
        <v>3174552359</v>
      </c>
      <c r="U381" s="21" t="s">
        <v>332</v>
      </c>
      <c r="V381" s="26" t="e">
        <f>IF(P381=#REF!,"DIPLOMADO EN ATENCION PRE-HOSPITALARIA",IF(P381=#REF!,"ACOMPAÑAMIENTO Y MANEJO DEL DUELO",IF(P381=#REF!,"ATENCION A VICTIMAS DE ATAQUE CON AGENTES QUIMICOS ",IF(P381=#REF!,"PRIMEROS AUXILIOS ",IF(P381=#REF!,"DIPLOMADO DE UNIDAD DE CUIDADOS INTENSIVOS (UCI)",IF(P381=#REF!,"MODELO DE ATENCION PARA EVENTOS EMERGENTES EN SALUD MENTAL (CODIGO VERDE)",IF(P381=#REF!,"HUMANIZACION EN EL SERVICIO DE LA SALUD Y BUENAS PRACTICAS EN PACIENTE ",IF(P381=#REF!,"CLINICA DE HERIDAS ",IF(P381=#REF!,"TOMA DE CITOLOGIA CERVICO VAGINAL ",IF(P381=#REF!,"SOPORTE CARDIOVASCULAR AVANZADO (ACLS) ",IF(P381=#REF!,"CAMILLERO ",IF(P381=#REF!,"TOMA DE MUESTRAS Y LABORATORIO ",IF(P381=#REF!,"SOPORTE VITAL BASICO (BLS)",IF(P381=#REF!,"ATENCION A VICTIMAS DE VIOLENCIA SEXUAL ",IF(P381=#REF!,"PROGRAMADO AMPLIADO DE INMUNIZACION (PAI - COVID 19)",IF(P381=#REF!,"ATENCION INTEGRAL EN ENFERMEDADES PREVALENTES EN PRIMERA INFANCIA (AIEPI)",IF(P381=#REF!,"ADMINISTRACION DE MEDICAMENTOS, INYECTOLOGIA  Y CANALIZACION ",IF(P381=#REF!,"OPERADOR DE VEHICULOS DE EMERGENCIA (OVE)",IF(P381=#REF!,"INSTITUCIONES AMIGAS DE LA MUJER Y LA INFANCIA (IAMI)",IF(P381=#REF!,"CUIDADO DEL DONANTE DE ORGANOS",IF(P381=#REF!,"ATENCION A VICTIMAS POR VIOLENCIA DE GENERO",IF(P381=#REF!,"IGUALDAD DE GENERO EN LA SALUD",IF(P381=#REF!,"BRIGADA DE EMERGENCIA",IF(P381=#REF!,"MANEJO DEL DOLOR Y CUIDADOS PALIATIVOS",IF(P381=#REF!,"TOMA DE MUESTRAS Y LABORATORIO POCT",IF(P381=#REF!,"IMPLANTE SUBDERMICO DE DISPOSITIVO INTRAUTERINO",IF(P381=#REF!,"SALUD MENTAL",IF(P381=#REF!,"PRIMEROS AUXILIOS PSICOLOGICOS",IF(P381=#REF!,"ATENCION A VICTIMAS POR CONFLICTO ARMADO",IF(P381=#REF!,"MANIPULACION DE ALIMENTOS Y BPM",IF(P381=#REF!,"ATENCION A PERSONAS CON DISCAPACIDAD",IF(P381=#REF!,"CUIDADO INTEGRAL DEL PACIENTE ADULTO",IF(P381=#REF!,"MANEJO DEFENSIVO",IF(P381=#REF!,"SOPORTE CARDIOVASCULAR AVANZADO NEONATAL",IF(P381=#REF!,"SEGURIDAD DEL PACIENTE",IF(P381=#REF!,"MANEJO DE RESIDUOS HOSPITALARIOS"))))))))))))))))))))))))))))))))))))</f>
        <v>#REF!</v>
      </c>
      <c r="W381" s="26" t="str">
        <f>CONCATENATE(E381," ",F381," ",C381," ",D381)</f>
        <v>Edisson Armando Pachajoa Potosi</v>
      </c>
      <c r="X381" s="26" t="str">
        <f t="shared" si="31"/>
        <v>Edisson Armando Pachajoa Potosi</v>
      </c>
      <c r="Y381" s="26" t="str">
        <f>CONCATENATE(W381,"-",B381,"-",P381)</f>
        <v>Edisson Armando Pachajoa Potosi-1085264409-BLS</v>
      </c>
    </row>
    <row r="382" spans="1:25" x14ac:dyDescent="0.2">
      <c r="A382" s="20">
        <v>129</v>
      </c>
      <c r="B382" s="21">
        <v>1085264409</v>
      </c>
      <c r="C382" s="48" t="s">
        <v>328</v>
      </c>
      <c r="D382" s="48" t="s">
        <v>329</v>
      </c>
      <c r="E382" s="48" t="s">
        <v>330</v>
      </c>
      <c r="F382" s="48" t="s">
        <v>331</v>
      </c>
      <c r="G382" s="48">
        <v>17</v>
      </c>
      <c r="H382" s="21" t="s">
        <v>49</v>
      </c>
      <c r="I382" s="52" t="s">
        <v>376</v>
      </c>
      <c r="J382" s="52"/>
      <c r="K382" s="23">
        <v>45677</v>
      </c>
      <c r="L382" s="24">
        <v>32571</v>
      </c>
      <c r="M382" s="21" t="s">
        <v>106</v>
      </c>
      <c r="N382" s="21" t="s">
        <v>387</v>
      </c>
      <c r="O382" s="21" t="s">
        <v>69</v>
      </c>
      <c r="P382" s="21" t="s">
        <v>27</v>
      </c>
      <c r="Q382" s="22">
        <v>32149</v>
      </c>
      <c r="R382" s="48" t="s">
        <v>70</v>
      </c>
      <c r="S382" s="27" t="s">
        <v>83</v>
      </c>
      <c r="T382" s="21">
        <v>3174552359</v>
      </c>
      <c r="U382" s="21" t="s">
        <v>332</v>
      </c>
      <c r="V382" s="26" t="e">
        <f>IF(P382=#REF!,"DIPLOMADO EN ATENCION PRE-HOSPITALARIA",IF(P382=#REF!,"ACOMPAÑAMIENTO Y MANEJO DEL DUELO",IF(P382=#REF!,"ATENCION A VICTIMAS DE ATAQUE CON AGENTES QUIMICOS ",IF(P382=#REF!,"PRIMEROS AUXILIOS ",IF(P382=#REF!,"DIPLOMADO DE UNIDAD DE CUIDADOS INTENSIVOS (UCI)",IF(P382=#REF!,"MODELO DE ATENCION PARA EVENTOS EMERGENTES EN SALUD MENTAL (CODIGO VERDE)",IF(P382=#REF!,"HUMANIZACION EN EL SERVICIO DE LA SALUD Y BUENAS PRACTICAS EN PACIENTE ",IF(P382=#REF!,"CLINICA DE HERIDAS ",IF(P382=#REF!,"TOMA DE CITOLOGIA CERVICO VAGINAL ",IF(P382=#REF!,"SOPORTE CARDIOVASCULAR AVANZADO (ACLS) ",IF(P382=#REF!,"CAMILLERO ",IF(P382=#REF!,"TOMA DE MUESTRAS Y LABORATORIO ",IF(P382=#REF!,"SOPORTE VITAL BASICO (BLS)",IF(P382=#REF!,"ATENCION A VICTIMAS DE VIOLENCIA SEXUAL ",IF(P382=#REF!,"PROGRAMADO AMPLIADO DE INMUNIZACION (PAI - COVID 19)",IF(P382=#REF!,"ATENCION INTEGRAL EN ENFERMEDADES PREVALENTES EN PRIMERA INFANCIA (AIEPI)",IF(P382=#REF!,"ADMINISTRACION DE MEDICAMENTOS, INYECTOLOGIA  Y CANALIZACION ",IF(P382=#REF!,"OPERADOR DE VEHICULOS DE EMERGENCIA (OVE)",IF(P382=#REF!,"INSTITUCIONES AMIGAS DE LA MUJER Y LA INFANCIA (IAMI)",IF(P382=#REF!,"CUIDADO DEL DONANTE DE ORGANOS",IF(P382=#REF!,"ATENCION A VICTIMAS POR VIOLENCIA DE GENERO",IF(P382=#REF!,"IGUALDAD DE GENERO EN LA SALUD",IF(P382=#REF!,"BRIGADA DE EMERGENCIA",IF(P382=#REF!,"MANEJO DEL DOLOR Y CUIDADOS PALIATIVOS",IF(P382=#REF!,"TOMA DE MUESTRAS Y LABORATORIO POCT",IF(P382=#REF!,"IMPLANTE SUBDERMICO DE DISPOSITIVO INTRAUTERINO",IF(P382=#REF!,"SALUD MENTAL",IF(P382=#REF!,"PRIMEROS AUXILIOS PSICOLOGICOS",IF(P382=#REF!,"ATENCION A VICTIMAS POR CONFLICTO ARMADO",IF(P382=#REF!,"MANIPULACION DE ALIMENTOS Y BPM",IF(P382=#REF!,"ATENCION A PERSONAS CON DISCAPACIDAD",IF(P382=#REF!,"CUIDADO INTEGRAL DEL PACIENTE ADULTO",IF(P382=#REF!,"MANEJO DEFENSIVO",IF(P382=#REF!,"SOPORTE CARDIOVASCULAR AVANZADO NEONATAL",IF(P382=#REF!,"SEGURIDAD DEL PACIENTE",IF(P382=#REF!,"MANEJO DE RESIDUOS HOSPITALARIOS"))))))))))))))))))))))))))))))))))))</f>
        <v>#REF!</v>
      </c>
      <c r="W382" s="26" t="str">
        <f>CONCATENATE(E382," ",F382," ",C382," ",D382)</f>
        <v>Edisson Armando Pachajoa Potosi</v>
      </c>
      <c r="X382" s="26" t="str">
        <f t="shared" si="31"/>
        <v>Edisson Armando Pachajoa Potosi</v>
      </c>
      <c r="Y382" s="26" t="str">
        <f>CONCATENATE(W382,"-",B382,"-",P382)</f>
        <v>Edisson Armando Pachajoa Potosi-1085264409-VIOLENCIA SEXUAL</v>
      </c>
    </row>
    <row r="383" spans="1:25" x14ac:dyDescent="0.2">
      <c r="A383" s="20">
        <v>130</v>
      </c>
      <c r="B383" s="21">
        <v>1085264409</v>
      </c>
      <c r="C383" s="48" t="s">
        <v>328</v>
      </c>
      <c r="D383" s="48" t="s">
        <v>329</v>
      </c>
      <c r="E383" s="48" t="s">
        <v>330</v>
      </c>
      <c r="F383" s="48" t="s">
        <v>331</v>
      </c>
      <c r="G383" s="48">
        <v>17</v>
      </c>
      <c r="H383" s="21" t="s">
        <v>49</v>
      </c>
      <c r="I383" s="52" t="s">
        <v>376</v>
      </c>
      <c r="J383" s="52"/>
      <c r="K383" s="23">
        <v>45677</v>
      </c>
      <c r="L383" s="24">
        <v>32571</v>
      </c>
      <c r="M383" s="21" t="s">
        <v>106</v>
      </c>
      <c r="N383" s="21" t="s">
        <v>387</v>
      </c>
      <c r="O383" s="21" t="s">
        <v>69</v>
      </c>
      <c r="P383" s="21" t="s">
        <v>21</v>
      </c>
      <c r="Q383" s="22">
        <v>32149</v>
      </c>
      <c r="R383" s="48" t="s">
        <v>70</v>
      </c>
      <c r="S383" s="27" t="s">
        <v>83</v>
      </c>
      <c r="T383" s="21">
        <v>3174552359</v>
      </c>
      <c r="U383" s="21" t="s">
        <v>332</v>
      </c>
      <c r="V383" s="26" t="e">
        <f>IF(P383=#REF!,"DIPLOMADO EN ATENCION PRE-HOSPITALARIA",IF(P383=#REF!,"ACOMPAÑAMIENTO Y MANEJO DEL DUELO",IF(P383=#REF!,"ATENCION A VICTIMAS DE ATAQUE CON AGENTES QUIMICOS ",IF(P383=#REF!,"PRIMEROS AUXILIOS ",IF(P383=#REF!,"DIPLOMADO DE UNIDAD DE CUIDADOS INTENSIVOS (UCI)",IF(P383=#REF!,"MODELO DE ATENCION PARA EVENTOS EMERGENTES EN SALUD MENTAL (CODIGO VERDE)",IF(P383=#REF!,"HUMANIZACION EN EL SERVICIO DE LA SALUD Y BUENAS PRACTICAS EN PACIENTE ",IF(P383=#REF!,"CLINICA DE HERIDAS ",IF(P383=#REF!,"TOMA DE CITOLOGIA CERVICO VAGINAL ",IF(P383=#REF!,"SOPORTE CARDIOVASCULAR AVANZADO (ACLS) ",IF(P383=#REF!,"CAMILLERO ",IF(P383=#REF!,"TOMA DE MUESTRAS Y LABORATORIO ",IF(P383=#REF!,"SOPORTE VITAL BASICO (BLS)",IF(P383=#REF!,"ATENCION A VICTIMAS DE VIOLENCIA SEXUAL ",IF(P383=#REF!,"PROGRAMADO AMPLIADO DE INMUNIZACION (PAI - COVID 19)",IF(P383=#REF!,"ATENCION INTEGRAL EN ENFERMEDADES PREVALENTES EN PRIMERA INFANCIA (AIEPI)",IF(P383=#REF!,"ADMINISTRACION DE MEDICAMENTOS, INYECTOLOGIA  Y CANALIZACION ",IF(P383=#REF!,"OPERADOR DE VEHICULOS DE EMERGENCIA (OVE)",IF(P383=#REF!,"INSTITUCIONES AMIGAS DE LA MUJER Y LA INFANCIA (IAMI)",IF(P383=#REF!,"CUIDADO DEL DONANTE DE ORGANOS",IF(P383=#REF!,"ATENCION A VICTIMAS POR VIOLENCIA DE GENERO",IF(P383=#REF!,"IGUALDAD DE GENERO EN LA SALUD",IF(P383=#REF!,"BRIGADA DE EMERGENCIA",IF(P383=#REF!,"MANEJO DEL DOLOR Y CUIDADOS PALIATIVOS",IF(P383=#REF!,"TOMA DE MUESTRAS Y LABORATORIO POCT",IF(P383=#REF!,"IMPLANTE SUBDERMICO DE DISPOSITIVO INTRAUTERINO",IF(P383=#REF!,"SALUD MENTAL",IF(P383=#REF!,"PRIMEROS AUXILIOS PSICOLOGICOS",IF(P383=#REF!,"ATENCION A VICTIMAS POR CONFLICTO ARMADO",IF(P383=#REF!,"MANIPULACION DE ALIMENTOS Y BPM",IF(P383=#REF!,"ATENCION A PERSONAS CON DISCAPACIDAD",IF(P383=#REF!,"CUIDADO INTEGRAL DEL PACIENTE ADULTO",IF(P383=#REF!,"MANEJO DEFENSIVO",IF(P383=#REF!,"SOPORTE CARDIOVASCULAR AVANZADO NEONATAL",IF(P383=#REF!,"SEGURIDAD DEL PACIENTE",IF(P383=#REF!,"MANEJO DE RESIDUOS HOSPITALARIOS"))))))))))))))))))))))))))))))))))))</f>
        <v>#REF!</v>
      </c>
      <c r="W383" s="26" t="str">
        <f>CONCATENATE(E383," ",F383," ",C383," ",D383)</f>
        <v>Edisson Armando Pachajoa Potosi</v>
      </c>
      <c r="X383" s="26" t="str">
        <f t="shared" ref="X383:X446" si="32">PROPER(W383)</f>
        <v>Edisson Armando Pachajoa Potosi</v>
      </c>
      <c r="Y383" s="26" t="str">
        <f>CONCATENATE(W383,"-",B383,"-",P383)</f>
        <v>Edisson Armando Pachajoa Potosi-1085264409-QUIMICOS</v>
      </c>
    </row>
    <row r="384" spans="1:25" x14ac:dyDescent="0.2">
      <c r="A384" s="20">
        <v>131</v>
      </c>
      <c r="B384" s="21">
        <v>1085264409</v>
      </c>
      <c r="C384" s="48" t="s">
        <v>328</v>
      </c>
      <c r="D384" s="48" t="s">
        <v>329</v>
      </c>
      <c r="E384" s="48" t="s">
        <v>330</v>
      </c>
      <c r="F384" s="48" t="s">
        <v>331</v>
      </c>
      <c r="G384" s="48">
        <v>18</v>
      </c>
      <c r="H384" s="21" t="s">
        <v>49</v>
      </c>
      <c r="I384" s="52" t="s">
        <v>376</v>
      </c>
      <c r="J384" s="52"/>
      <c r="K384" s="23">
        <v>45677</v>
      </c>
      <c r="L384" s="24">
        <v>32571</v>
      </c>
      <c r="M384" s="21" t="s">
        <v>106</v>
      </c>
      <c r="N384" s="21" t="s">
        <v>387</v>
      </c>
      <c r="O384" s="21" t="s">
        <v>69</v>
      </c>
      <c r="P384" s="21" t="s">
        <v>33</v>
      </c>
      <c r="Q384" s="22">
        <v>32149</v>
      </c>
      <c r="R384" s="48" t="s">
        <v>70</v>
      </c>
      <c r="S384" s="27" t="s">
        <v>83</v>
      </c>
      <c r="T384" s="21">
        <v>3174552359</v>
      </c>
      <c r="U384" s="21" t="s">
        <v>332</v>
      </c>
      <c r="V384" s="26" t="e">
        <f>IF(P384=#REF!,"DIPLOMADO EN ATENCION PRE-HOSPITALARIA",IF(P384=#REF!,"ACOMPAÑAMIENTO Y MANEJO DEL DUELO",IF(P384=#REF!,"ATENCION A VICTIMAS DE ATAQUE CON AGENTES QUIMICOS ",IF(P384=#REF!,"PRIMEROS AUXILIOS ",IF(P384=#REF!,"DIPLOMADO DE UNIDAD DE CUIDADOS INTENSIVOS (UCI)",IF(P384=#REF!,"MODELO DE ATENCION PARA EVENTOS EMERGENTES EN SALUD MENTAL (CODIGO VERDE)",IF(P384=#REF!,"HUMANIZACION EN EL SERVICIO DE LA SALUD Y BUENAS PRACTICAS EN PACIENTE ",IF(P384=#REF!,"CLINICA DE HERIDAS ",IF(P384=#REF!,"TOMA DE CITOLOGIA CERVICO VAGINAL ",IF(P384=#REF!,"SOPORTE CARDIOVASCULAR AVANZADO (ACLS) ",IF(P384=#REF!,"CAMILLERO ",IF(P384=#REF!,"TOMA DE MUESTRAS Y LABORATORIO ",IF(P384=#REF!,"SOPORTE VITAL BASICO (BLS)",IF(P384=#REF!,"ATENCION A VICTIMAS DE VIOLENCIA SEXUAL ",IF(P384=#REF!,"PROGRAMADO AMPLIADO DE INMUNIZACION (PAI - COVID 19)",IF(P384=#REF!,"ATENCION INTEGRAL EN ENFERMEDADES PREVALENTES EN PRIMERA INFANCIA (AIEPI)",IF(P384=#REF!,"ADMINISTRACION DE MEDICAMENTOS, INYECTOLOGIA  Y CANALIZACION ",IF(P384=#REF!,"OPERADOR DE VEHICULOS DE EMERGENCIA (OVE)",IF(P384=#REF!,"INSTITUCIONES AMIGAS DE LA MUJER Y LA INFANCIA (IAMI)",IF(P384=#REF!,"CUIDADO DEL DONANTE DE ORGANOS",IF(P384=#REF!,"ATENCION A VICTIMAS POR VIOLENCIA DE GENERO",IF(P384=#REF!,"IGUALDAD DE GENERO EN LA SALUD",IF(P384=#REF!,"BRIGADA DE EMERGENCIA",IF(P384=#REF!,"MANEJO DEL DOLOR Y CUIDADOS PALIATIVOS",IF(P384=#REF!,"TOMA DE MUESTRAS Y LABORATORIO POCT",IF(P384=#REF!,"IMPLANTE SUBDERMICO DE DISPOSITIVO INTRAUTERINO",IF(P384=#REF!,"SALUD MENTAL",IF(P384=#REF!,"PRIMEROS AUXILIOS PSICOLOGICOS",IF(P384=#REF!,"ATENCION A VICTIMAS POR CONFLICTO ARMADO",IF(P384=#REF!,"MANIPULACION DE ALIMENTOS Y BPM",IF(P384=#REF!,"ATENCION A PERSONAS CON DISCAPACIDAD",IF(P384=#REF!,"CUIDADO INTEGRAL DEL PACIENTE ADULTO",IF(P384=#REF!,"MANEJO DEFENSIVO",IF(P384=#REF!,"SOPORTE CARDIOVASCULAR AVANZADO NEONATAL",IF(P384=#REF!,"SEGURIDAD DEL PACIENTE",IF(P384=#REF!,"MANEJO DE RESIDUOS HOSPITALARIOS"))))))))))))))))))))))))))))))))))))</f>
        <v>#REF!</v>
      </c>
      <c r="W384" s="26" t="str">
        <f>CONCATENATE(E384," ",F384," ",C384," ",D384)</f>
        <v>Edisson Armando Pachajoa Potosi</v>
      </c>
      <c r="X384" s="26" t="str">
        <f t="shared" si="32"/>
        <v>Edisson Armando Pachajoa Potosi</v>
      </c>
      <c r="Y384" s="26" t="str">
        <f>CONCATENATE(W384,"-",B384,"-",P384)</f>
        <v>Edisson Armando Pachajoa Potosi-1085264409-IGUALDAD DE GENERO</v>
      </c>
    </row>
    <row r="385" spans="1:25" x14ac:dyDescent="0.2">
      <c r="A385" s="20">
        <v>132</v>
      </c>
      <c r="B385" s="21">
        <v>1085264409</v>
      </c>
      <c r="C385" s="48" t="s">
        <v>328</v>
      </c>
      <c r="D385" s="48" t="s">
        <v>329</v>
      </c>
      <c r="E385" s="48" t="s">
        <v>330</v>
      </c>
      <c r="F385" s="48" t="s">
        <v>331</v>
      </c>
      <c r="G385" s="21">
        <v>16</v>
      </c>
      <c r="H385" s="21" t="s">
        <v>49</v>
      </c>
      <c r="I385" s="52" t="s">
        <v>376</v>
      </c>
      <c r="J385" s="52"/>
      <c r="K385" s="23">
        <v>45677</v>
      </c>
      <c r="L385" s="24">
        <v>32571</v>
      </c>
      <c r="M385" s="21" t="s">
        <v>106</v>
      </c>
      <c r="N385" s="21" t="s">
        <v>387</v>
      </c>
      <c r="O385" s="21" t="s">
        <v>69</v>
      </c>
      <c r="P385" s="21" t="s">
        <v>20</v>
      </c>
      <c r="Q385" s="22">
        <v>32149</v>
      </c>
      <c r="R385" s="48" t="s">
        <v>70</v>
      </c>
      <c r="S385" s="27" t="s">
        <v>83</v>
      </c>
      <c r="T385" s="21">
        <v>3174552359</v>
      </c>
      <c r="U385" s="21" t="s">
        <v>332</v>
      </c>
      <c r="V385" s="26" t="e">
        <f>IF(P385=#REF!,"DIPLOMADO EN ATENCION PRE-HOSPITALARIA",IF(P385=#REF!,"ACOMPAÑAMIENTO Y MANEJO DEL DUELO",IF(P385=#REF!,"ATENCION A VICTIMAS DE ATAQUE CON AGENTES QUIMICOS ",IF(P385=#REF!,"PRIMEROS AUXILIOS ",IF(P385=#REF!,"DIPLOMADO DE UNIDAD DE CUIDADOS INTENSIVOS (UCI)",IF(P385=#REF!,"MODELO DE ATENCION PARA EVENTOS EMERGENTES EN SALUD MENTAL (CODIGO VERDE)",IF(P385=#REF!,"HUMANIZACION EN EL SERVICIO DE LA SALUD Y BUENAS PRACTICAS EN PACIENTE ",IF(P385=#REF!,"CLINICA DE HERIDAS ",IF(P385=#REF!,"TOMA DE CITOLOGIA CERVICO VAGINAL ",IF(P385=#REF!,"SOPORTE CARDIOVASCULAR AVANZADO (ACLS) ",IF(P385=#REF!,"CAMILLERO ",IF(P385=#REF!,"TOMA DE MUESTRAS Y LABORATORIO ",IF(P385=#REF!,"SOPORTE VITAL BASICO (BLS)",IF(P385=#REF!,"ATENCION A VICTIMAS DE VIOLENCIA SEXUAL ",IF(P385=#REF!,"PROGRAMADO AMPLIADO DE INMUNIZACION (PAI - COVID 19)",IF(P385=#REF!,"ATENCION INTEGRAL EN ENFERMEDADES PREVALENTES EN PRIMERA INFANCIA (AIEPI)",IF(P385=#REF!,"ADMINISTRACION DE MEDICAMENTOS, INYECTOLOGIA  Y CANALIZACION ",IF(P385=#REF!,"OPERADOR DE VEHICULOS DE EMERGENCIA (OVE)",IF(P385=#REF!,"INSTITUCIONES AMIGAS DE LA MUJER Y LA INFANCIA (IAMI)",IF(P385=#REF!,"CUIDADO DEL DONANTE DE ORGANOS",IF(P385=#REF!,"ATENCION A VICTIMAS POR VIOLENCIA DE GENERO",IF(P385=#REF!,"IGUALDAD DE GENERO EN LA SALUD",IF(P385=#REF!,"BRIGADA DE EMERGENCIA",IF(P385=#REF!,"MANEJO DEL DOLOR Y CUIDADOS PALIATIVOS",IF(P385=#REF!,"TOMA DE MUESTRAS Y LABORATORIO POCT",IF(P385=#REF!,"IMPLANTE SUBDERMICO DE DISPOSITIVO INTRAUTERINO",IF(P385=#REF!,"SALUD MENTAL",IF(P385=#REF!,"PRIMEROS AUXILIOS PSICOLOGICOS",IF(P385=#REF!,"ATENCION A VICTIMAS POR CONFLICTO ARMADO",IF(P385=#REF!,"MANIPULACION DE ALIMENTOS Y BPM",IF(P385=#REF!,"ATENCION A PERSONAS CON DISCAPACIDAD",IF(P385=#REF!,"CUIDADO INTEGRAL DEL PACIENTE ADULTO",IF(P385=#REF!,"MANEJO DEFENSIVO",IF(P385=#REF!,"SOPORTE CARDIOVASCULAR AVANZADO NEONATAL",IF(P385=#REF!,"SEGURIDAD DEL PACIENTE",IF(P385=#REF!,"MANEJO DE RESIDUOS HOSPITALARIOS"))))))))))))))))))))))))))))))))))))</f>
        <v>#REF!</v>
      </c>
      <c r="W385" s="26" t="str">
        <f>CONCATENATE(E385," ",F385," ",C385," ",D385)</f>
        <v>Edisson Armando Pachajoa Potosi</v>
      </c>
      <c r="X385" s="26" t="str">
        <f t="shared" si="32"/>
        <v>Edisson Armando Pachajoa Potosi</v>
      </c>
      <c r="Y385" s="26" t="str">
        <f>CONCATENATE(W385,"-",B385,"-",P385)</f>
        <v>Edisson Armando Pachajoa Potosi-1085264409-DUELO</v>
      </c>
    </row>
    <row r="386" spans="1:25" x14ac:dyDescent="0.2">
      <c r="A386" s="20">
        <v>133</v>
      </c>
      <c r="B386" s="21">
        <v>1085264409</v>
      </c>
      <c r="C386" s="48" t="s">
        <v>328</v>
      </c>
      <c r="D386" s="48" t="s">
        <v>329</v>
      </c>
      <c r="E386" s="48" t="s">
        <v>330</v>
      </c>
      <c r="F386" s="48" t="s">
        <v>331</v>
      </c>
      <c r="G386" s="21">
        <v>15</v>
      </c>
      <c r="H386" s="21" t="s">
        <v>49</v>
      </c>
      <c r="I386" s="52" t="s">
        <v>376</v>
      </c>
      <c r="J386" s="52"/>
      <c r="K386" s="23">
        <v>45677</v>
      </c>
      <c r="L386" s="24">
        <v>32571</v>
      </c>
      <c r="M386" s="21" t="s">
        <v>106</v>
      </c>
      <c r="N386" s="21" t="s">
        <v>387</v>
      </c>
      <c r="O386" s="21" t="s">
        <v>69</v>
      </c>
      <c r="P386" s="21" t="s">
        <v>41</v>
      </c>
      <c r="Q386" s="22">
        <v>32149</v>
      </c>
      <c r="R386" s="48" t="s">
        <v>70</v>
      </c>
      <c r="S386" s="27" t="s">
        <v>83</v>
      </c>
      <c r="T386" s="21">
        <v>3174552359</v>
      </c>
      <c r="U386" s="21" t="s">
        <v>332</v>
      </c>
      <c r="V386" s="26" t="e">
        <f>IF(P386=#REF!,"DIPLOMADO EN ATENCION PRE-HOSPITALARIA",IF(P386=#REF!,"ACOMPAÑAMIENTO Y MANEJO DEL DUELO",IF(P386=#REF!,"ATENCION A VICTIMAS DE ATAQUE CON AGENTES QUIMICOS ",IF(P386=#REF!,"PRIMEROS AUXILIOS ",IF(P386=#REF!,"DIPLOMADO DE UNIDAD DE CUIDADOS INTENSIVOS (UCI)",IF(P386=#REF!,"MODELO DE ATENCION PARA EVENTOS EMERGENTES EN SALUD MENTAL (CODIGO VERDE)",IF(P386=#REF!,"HUMANIZACION EN EL SERVICIO DE LA SALUD Y BUENAS PRACTICAS EN PACIENTE ",IF(P386=#REF!,"CLINICA DE HERIDAS ",IF(P386=#REF!,"TOMA DE CITOLOGIA CERVICO VAGINAL ",IF(P386=#REF!,"SOPORTE CARDIOVASCULAR AVANZADO (ACLS) ",IF(P386=#REF!,"CAMILLERO ",IF(P386=#REF!,"TOMA DE MUESTRAS Y LABORATORIO ",IF(P386=#REF!,"SOPORTE VITAL BASICO (BLS)",IF(P386=#REF!,"ATENCION A VICTIMAS DE VIOLENCIA SEXUAL ",IF(P386=#REF!,"PROGRAMADO AMPLIADO DE INMUNIZACION (PAI - COVID 19)",IF(P386=#REF!,"ATENCION INTEGRAL EN ENFERMEDADES PREVALENTES EN PRIMERA INFANCIA (AIEPI)",IF(P386=#REF!,"ADMINISTRACION DE MEDICAMENTOS, INYECTOLOGIA  Y CANALIZACION ",IF(P386=#REF!,"OPERADOR DE VEHICULOS DE EMERGENCIA (OVE)",IF(P386=#REF!,"INSTITUCIONES AMIGAS DE LA MUJER Y LA INFANCIA (IAMI)",IF(P386=#REF!,"CUIDADO DEL DONANTE DE ORGANOS",IF(P386=#REF!,"ATENCION A VICTIMAS POR VIOLENCIA DE GENERO",IF(P386=#REF!,"IGUALDAD DE GENERO EN LA SALUD",IF(P386=#REF!,"BRIGADA DE EMERGENCIA",IF(P386=#REF!,"MANEJO DEL DOLOR Y CUIDADOS PALIATIVOS",IF(P386=#REF!,"TOMA DE MUESTRAS Y LABORATORIO POCT",IF(P386=#REF!,"IMPLANTE SUBDERMICO DE DISPOSITIVO INTRAUTERINO",IF(P386=#REF!,"SALUD MENTAL",IF(P386=#REF!,"PRIMEROS AUXILIOS PSICOLOGICOS",IF(P386=#REF!,"ATENCION A VICTIMAS POR CONFLICTO ARMADO",IF(P386=#REF!,"MANIPULACION DE ALIMENTOS Y BPM",IF(P386=#REF!,"ATENCION A PERSONAS CON DISCAPACIDAD",IF(P386=#REF!,"CUIDADO INTEGRAL DEL PACIENTE ADULTO",IF(P386=#REF!,"MANEJO DEFENSIVO",IF(P386=#REF!,"SOPORTE CARDIOVASCULAR AVANZADO NEONATAL",IF(P386=#REF!,"SEGURIDAD DEL PACIENTE",IF(P386=#REF!,"MANEJO DE RESIDUOS HOSPITALARIOS"))))))))))))))))))))))))))))))))))))</f>
        <v>#REF!</v>
      </c>
      <c r="W386" s="26" t="str">
        <f>CONCATENATE(E386," ",F386," ",C386," ",D386)</f>
        <v>Edisson Armando Pachajoa Potosi</v>
      </c>
      <c r="X386" s="26" t="str">
        <f t="shared" si="32"/>
        <v>Edisson Armando Pachajoa Potosi</v>
      </c>
      <c r="Y386" s="26" t="str">
        <f>CONCATENATE(W386,"-",B386,"-",P386)</f>
        <v>Edisson Armando Pachajoa Potosi-1085264409-PACIENTE</v>
      </c>
    </row>
    <row r="387" spans="1:25" x14ac:dyDescent="0.2">
      <c r="A387" s="20">
        <v>134</v>
      </c>
      <c r="B387" s="21">
        <v>1085264409</v>
      </c>
      <c r="C387" s="48" t="s">
        <v>328</v>
      </c>
      <c r="D387" s="48" t="s">
        <v>329</v>
      </c>
      <c r="E387" s="48" t="s">
        <v>330</v>
      </c>
      <c r="F387" s="48" t="s">
        <v>331</v>
      </c>
      <c r="G387" s="21">
        <v>14</v>
      </c>
      <c r="H387" s="21" t="s">
        <v>49</v>
      </c>
      <c r="I387" s="52" t="s">
        <v>376</v>
      </c>
      <c r="J387" s="52"/>
      <c r="K387" s="23">
        <v>45677</v>
      </c>
      <c r="L387" s="24">
        <v>32571</v>
      </c>
      <c r="M387" s="21" t="s">
        <v>106</v>
      </c>
      <c r="N387" s="21" t="s">
        <v>387</v>
      </c>
      <c r="O387" s="21" t="s">
        <v>69</v>
      </c>
      <c r="P387" s="21" t="s">
        <v>23</v>
      </c>
      <c r="Q387" s="22">
        <v>32149</v>
      </c>
      <c r="R387" s="48" t="s">
        <v>70</v>
      </c>
      <c r="S387" s="27" t="s">
        <v>83</v>
      </c>
      <c r="T387" s="21">
        <v>3174552359</v>
      </c>
      <c r="U387" s="21" t="s">
        <v>332</v>
      </c>
      <c r="V387" s="26" t="e">
        <f>IF(P387=#REF!,"DIPLOMADO EN ATENCION PRE-HOSPITALARIA",IF(P387=#REF!,"ACOMPAÑAMIENTO Y MANEJO DEL DUELO",IF(P387=#REF!,"ATENCION A VICTIMAS DE ATAQUE CON AGENTES QUIMICOS ",IF(P387=#REF!,"PRIMEROS AUXILIOS ",IF(P387=#REF!,"DIPLOMADO DE UNIDAD DE CUIDADOS INTENSIVOS (UCI)",IF(P387=#REF!,"MODELO DE ATENCION PARA EVENTOS EMERGENTES EN SALUD MENTAL (CODIGO VERDE)",IF(P387=#REF!,"HUMANIZACION EN EL SERVICIO DE LA SALUD Y BUENAS PRACTICAS EN PACIENTE ",IF(P387=#REF!,"CLINICA DE HERIDAS ",IF(P387=#REF!,"TOMA DE CITOLOGIA CERVICO VAGINAL ",IF(P387=#REF!,"SOPORTE CARDIOVASCULAR AVANZADO (ACLS) ",IF(P387=#REF!,"CAMILLERO ",IF(P387=#REF!,"TOMA DE MUESTRAS Y LABORATORIO ",IF(P387=#REF!,"SOPORTE VITAL BASICO (BLS)",IF(P387=#REF!,"ATENCION A VICTIMAS DE VIOLENCIA SEXUAL ",IF(P387=#REF!,"PROGRAMADO AMPLIADO DE INMUNIZACION (PAI - COVID 19)",IF(P387=#REF!,"ATENCION INTEGRAL EN ENFERMEDADES PREVALENTES EN PRIMERA INFANCIA (AIEPI)",IF(P387=#REF!,"ADMINISTRACION DE MEDICAMENTOS, INYECTOLOGIA  Y CANALIZACION ",IF(P387=#REF!,"OPERADOR DE VEHICULOS DE EMERGENCIA (OVE)",IF(P387=#REF!,"INSTITUCIONES AMIGAS DE LA MUJER Y LA INFANCIA (IAMI)",IF(P387=#REF!,"CUIDADO DEL DONANTE DE ORGANOS",IF(P387=#REF!,"ATENCION A VICTIMAS POR VIOLENCIA DE GENERO",IF(P387=#REF!,"IGUALDAD DE GENERO EN LA SALUD",IF(P387=#REF!,"BRIGADA DE EMERGENCIA",IF(P387=#REF!,"MANEJO DEL DOLOR Y CUIDADOS PALIATIVOS",IF(P387=#REF!,"TOMA DE MUESTRAS Y LABORATORIO POCT",IF(P387=#REF!,"IMPLANTE SUBDERMICO DE DISPOSITIVO INTRAUTERINO",IF(P387=#REF!,"SALUD MENTAL",IF(P387=#REF!,"PRIMEROS AUXILIOS PSICOLOGICOS",IF(P387=#REF!,"ATENCION A VICTIMAS POR CONFLICTO ARMADO",IF(P387=#REF!,"MANIPULACION DE ALIMENTOS Y BPM",IF(P387=#REF!,"ATENCION A PERSONAS CON DISCAPACIDAD",IF(P387=#REF!,"CUIDADO INTEGRAL DEL PACIENTE ADULTO",IF(P387=#REF!,"MANEJO DEFENSIVO",IF(P387=#REF!,"SOPORTE CARDIOVASCULAR AVANZADO NEONATAL",IF(P387=#REF!,"SEGURIDAD DEL PACIENTE",IF(P387=#REF!,"MANEJO DE RESIDUOS HOSPITALARIOS"))))))))))))))))))))))))))))))))))))</f>
        <v>#REF!</v>
      </c>
      <c r="W387" s="26" t="str">
        <f>CONCATENATE(E387," ",F387," ",C387," ",D387)</f>
        <v>Edisson Armando Pachajoa Potosi</v>
      </c>
      <c r="X387" s="26" t="str">
        <f t="shared" si="32"/>
        <v>Edisson Armando Pachajoa Potosi</v>
      </c>
      <c r="Y387" s="26" t="str">
        <f>CONCATENATE(W387,"-",B387,"-",P387)</f>
        <v>Edisson Armando Pachajoa Potosi-1085264409-HUMANIZACION</v>
      </c>
    </row>
    <row r="388" spans="1:25" x14ac:dyDescent="0.2">
      <c r="A388" s="20">
        <v>135</v>
      </c>
      <c r="B388" s="21">
        <v>1085264409</v>
      </c>
      <c r="C388" s="48" t="s">
        <v>328</v>
      </c>
      <c r="D388" s="48" t="s">
        <v>329</v>
      </c>
      <c r="E388" s="48" t="s">
        <v>330</v>
      </c>
      <c r="F388" s="48" t="s">
        <v>331</v>
      </c>
      <c r="G388" s="48">
        <v>13</v>
      </c>
      <c r="H388" s="21" t="s">
        <v>49</v>
      </c>
      <c r="I388" s="52" t="s">
        <v>376</v>
      </c>
      <c r="J388" s="52"/>
      <c r="K388" s="23">
        <v>45677</v>
      </c>
      <c r="L388" s="24">
        <v>32571</v>
      </c>
      <c r="M388" s="21" t="s">
        <v>106</v>
      </c>
      <c r="N388" s="21" t="s">
        <v>387</v>
      </c>
      <c r="O388" s="21" t="s">
        <v>69</v>
      </c>
      <c r="P388" s="21" t="s">
        <v>32</v>
      </c>
      <c r="Q388" s="22">
        <v>32149</v>
      </c>
      <c r="R388" s="48" t="s">
        <v>70</v>
      </c>
      <c r="S388" s="27" t="s">
        <v>83</v>
      </c>
      <c r="T388" s="21">
        <v>3174552359</v>
      </c>
      <c r="U388" s="21" t="s">
        <v>332</v>
      </c>
      <c r="V388" s="26" t="e">
        <f>IF(P388=#REF!,"DIPLOMADO EN ATENCION PRE-HOSPITALARIA",IF(P388=#REF!,"ACOMPAÑAMIENTO Y MANEJO DEL DUELO",IF(P388=#REF!,"ATENCION A VICTIMAS DE ATAQUE CON AGENTES QUIMICOS ",IF(P388=#REF!,"PRIMEROS AUXILIOS ",IF(P388=#REF!,"DIPLOMADO DE UNIDAD DE CUIDADOS INTENSIVOS (UCI)",IF(P388=#REF!,"MODELO DE ATENCION PARA EVENTOS EMERGENTES EN SALUD MENTAL (CODIGO VERDE)",IF(P388=#REF!,"HUMANIZACION EN EL SERVICIO DE LA SALUD Y BUENAS PRACTICAS EN PACIENTE ",IF(P388=#REF!,"CLINICA DE HERIDAS ",IF(P388=#REF!,"TOMA DE CITOLOGIA CERVICO VAGINAL ",IF(P388=#REF!,"SOPORTE CARDIOVASCULAR AVANZADO (ACLS) ",IF(P388=#REF!,"CAMILLERO ",IF(P388=#REF!,"TOMA DE MUESTRAS Y LABORATORIO ",IF(P388=#REF!,"SOPORTE VITAL BASICO (BLS)",IF(P388=#REF!,"ATENCION A VICTIMAS DE VIOLENCIA SEXUAL ",IF(P388=#REF!,"PROGRAMADO AMPLIADO DE INMUNIZACION (PAI - COVID 19)",IF(P388=#REF!,"ATENCION INTEGRAL EN ENFERMEDADES PREVALENTES EN PRIMERA INFANCIA (AIEPI)",IF(P388=#REF!,"ADMINISTRACION DE MEDICAMENTOS, INYECTOLOGIA  Y CANALIZACION ",IF(P388=#REF!,"OPERADOR DE VEHICULOS DE EMERGENCIA (OVE)",IF(P388=#REF!,"INSTITUCIONES AMIGAS DE LA MUJER Y LA INFANCIA (IAMI)",IF(P388=#REF!,"CUIDADO DEL DONANTE DE ORGANOS",IF(P388=#REF!,"ATENCION A VICTIMAS POR VIOLENCIA DE GENERO",IF(P388=#REF!,"IGUALDAD DE GENERO EN LA SALUD",IF(P388=#REF!,"BRIGADA DE EMERGENCIA",IF(P388=#REF!,"MANEJO DEL DOLOR Y CUIDADOS PALIATIVOS",IF(P388=#REF!,"TOMA DE MUESTRAS Y LABORATORIO POCT",IF(P388=#REF!,"IMPLANTE SUBDERMICO DE DISPOSITIVO INTRAUTERINO",IF(P388=#REF!,"SALUD MENTAL",IF(P388=#REF!,"PRIMEROS AUXILIOS PSICOLOGICOS",IF(P388=#REF!,"ATENCION A VICTIMAS POR CONFLICTO ARMADO",IF(P388=#REF!,"MANIPULACION DE ALIMENTOS Y BPM",IF(P388=#REF!,"ATENCION A PERSONAS CON DISCAPACIDAD",IF(P388=#REF!,"CUIDADO INTEGRAL DEL PACIENTE ADULTO",IF(P388=#REF!,"MANEJO DEFENSIVO",IF(P388=#REF!,"SOPORTE CARDIOVASCULAR AVANZADO NEONATAL",IF(P388=#REF!,"SEGURIDAD DEL PACIENTE",IF(P388=#REF!,"MANEJO DE RESIDUOS HOSPITALARIOS"))))))))))))))))))))))))))))))))))))</f>
        <v>#REF!</v>
      </c>
      <c r="W388" s="26" t="str">
        <f>CONCATENATE(E388," ",F388," ",C388," ",D388)</f>
        <v>Edisson Armando Pachajoa Potosi</v>
      </c>
      <c r="X388" s="26" t="str">
        <f t="shared" si="32"/>
        <v>Edisson Armando Pachajoa Potosi</v>
      </c>
      <c r="Y388" s="26" t="str">
        <f>CONCATENATE(W388,"-",B388,"-",P388)</f>
        <v>Edisson Armando Pachajoa Potosi-1085264409-VIOLENCIA DE GENERO</v>
      </c>
    </row>
    <row r="389" spans="1:25" x14ac:dyDescent="0.2">
      <c r="A389" s="36">
        <v>136</v>
      </c>
      <c r="B389" s="37">
        <v>1004714482</v>
      </c>
      <c r="C389" s="37" t="s">
        <v>333</v>
      </c>
      <c r="D389" s="37" t="s">
        <v>334</v>
      </c>
      <c r="E389" s="37" t="s">
        <v>146</v>
      </c>
      <c r="F389" s="37" t="s">
        <v>335</v>
      </c>
      <c r="G389" s="37">
        <v>20</v>
      </c>
      <c r="H389" s="37" t="s">
        <v>49</v>
      </c>
      <c r="I389" s="56" t="s">
        <v>376</v>
      </c>
      <c r="J389" s="56"/>
      <c r="K389" s="39">
        <v>45678</v>
      </c>
      <c r="L389" s="44">
        <v>32000</v>
      </c>
      <c r="M389" s="37" t="s">
        <v>106</v>
      </c>
      <c r="N389" s="37" t="s">
        <v>387</v>
      </c>
      <c r="O389" s="37" t="s">
        <v>95</v>
      </c>
      <c r="P389" s="37" t="s">
        <v>23</v>
      </c>
      <c r="Q389" s="38">
        <v>36667</v>
      </c>
      <c r="R389" s="37" t="s">
        <v>71</v>
      </c>
      <c r="S389" s="37" t="s">
        <v>107</v>
      </c>
      <c r="T389" s="37">
        <v>3207204074</v>
      </c>
      <c r="U389" s="45" t="s">
        <v>336</v>
      </c>
      <c r="V389" s="41" t="e">
        <f>IF(P389=#REF!,"DIPLOMADO EN ATENCION PRE-HOSPITALARIA",IF(P389=#REF!,"ACOMPAÑAMIENTO Y MANEJO DEL DUELO",IF(P389=#REF!,"ATENCION A VICTIMAS DE ATAQUE CON AGENTES QUIMICOS ",IF(P389=#REF!,"PRIMEROS AUXILIOS ",IF(P389=#REF!,"DIPLOMADO DE UNIDAD DE CUIDADOS INTENSIVOS (UCI)",IF(P389=#REF!,"MODELO DE ATENCION PARA EVENTOS EMERGENTES EN SALUD MENTAL (CODIGO VERDE)",IF(P389=#REF!,"HUMANIZACION EN EL SERVICIO DE LA SALUD Y BUENAS PRACTICAS EN PACIENTE ",IF(P389=#REF!,"CLINICA DE HERIDAS ",IF(P389=#REF!,"TOMA DE CITOLOGIA CERVICO VAGINAL ",IF(P389=#REF!,"SOPORTE CARDIOVASCULAR AVANZADO (ACLS) ",IF(P389=#REF!,"CAMILLERO ",IF(P389=#REF!,"TOMA DE MUESTRAS Y LABORATORIO ",IF(P389=#REF!,"SOPORTE VITAL BASICO (BLS)",IF(P389=#REF!,"ATENCION A VICTIMAS DE VIOLENCIA SEXUAL ",IF(P389=#REF!,"PROGRAMADO AMPLIADO DE INMUNIZACION (PAI - COVID 19)",IF(P389=#REF!,"ATENCION INTEGRAL EN ENFERMEDADES PREVALENTES EN PRIMERA INFANCIA (AIEPI)",IF(P389=#REF!,"ADMINISTRACION DE MEDICAMENTOS, INYECTOLOGIA  Y CANALIZACION ",IF(P389=#REF!,"OPERADOR DE VEHICULOS DE EMERGENCIA (OVE)",IF(P389=#REF!,"INSTITUCIONES AMIGAS DE LA MUJER Y LA INFANCIA (IAMI)",IF(P389=#REF!,"CUIDADO DEL DONANTE DE ORGANOS",IF(P389=#REF!,"ATENCION A VICTIMAS POR VIOLENCIA DE GENERO",IF(P389=#REF!,"IGUALDAD DE GENERO EN LA SALUD",IF(P389=#REF!,"BRIGADA DE EMERGENCIA",IF(P389=#REF!,"MANEJO DEL DOLOR Y CUIDADOS PALIATIVOS",IF(P389=#REF!,"TOMA DE MUESTRAS Y LABORATORIO POCT",IF(P389=#REF!,"IMPLANTE SUBDERMICO DE DISPOSITIVO INTRAUTERINO",IF(P389=#REF!,"SALUD MENTAL",IF(P389=#REF!,"PRIMEROS AUXILIOS PSICOLOGICOS",IF(P389=#REF!,"ATENCION A VICTIMAS POR CONFLICTO ARMADO",IF(P389=#REF!,"MANIPULACION DE ALIMENTOS Y BPM",IF(P389=#REF!,"ATENCION A PERSONAS CON DISCAPACIDAD",IF(P389=#REF!,"CUIDADO INTEGRAL DEL PACIENTE ADULTO",IF(P389=#REF!,"MANEJO DEFENSIVO",IF(P389=#REF!,"SOPORTE CARDIOVASCULAR AVANZADO NEONATAL",IF(P389=#REF!,"SEGURIDAD DEL PACIENTE",IF(P389=#REF!,"MANEJO DE RESIDUOS HOSPITALARIOS"))))))))))))))))))))))))))))))))))))</f>
        <v>#REF!</v>
      </c>
      <c r="W389" s="41" t="str">
        <f>CONCATENATE(E389," ",F389," ",C389," ",D389)</f>
        <v>Daniela Maria Alicia Ruiz Yela</v>
      </c>
      <c r="X389" s="41" t="str">
        <f t="shared" si="32"/>
        <v>Daniela Maria Alicia Ruiz Yela</v>
      </c>
      <c r="Y389" s="41" t="str">
        <f>CONCATENATE(W389,"-",B389,"-",P389)</f>
        <v>Daniela Maria Alicia Ruiz Yela-1004714482-HUMANIZACION</v>
      </c>
    </row>
    <row r="390" spans="1:25" s="19" customFormat="1" x14ac:dyDescent="0.2">
      <c r="A390" s="20">
        <v>137</v>
      </c>
      <c r="B390" s="21">
        <v>1085342860</v>
      </c>
      <c r="C390" s="21" t="s">
        <v>337</v>
      </c>
      <c r="D390" s="21" t="s">
        <v>338</v>
      </c>
      <c r="E390" s="48" t="s">
        <v>203</v>
      </c>
      <c r="F390" s="21" t="s">
        <v>339</v>
      </c>
      <c r="G390" s="21">
        <v>20</v>
      </c>
      <c r="H390" s="21" t="s">
        <v>49</v>
      </c>
      <c r="I390" s="52" t="s">
        <v>376</v>
      </c>
      <c r="J390" s="52"/>
      <c r="K390" s="23">
        <v>45677</v>
      </c>
      <c r="L390" s="24">
        <v>32000</v>
      </c>
      <c r="M390" s="21" t="s">
        <v>206</v>
      </c>
      <c r="N390" s="21" t="s">
        <v>387</v>
      </c>
      <c r="O390" s="21" t="s">
        <v>69</v>
      </c>
      <c r="P390" s="21" t="s">
        <v>19</v>
      </c>
      <c r="Q390" s="22">
        <v>36011</v>
      </c>
      <c r="R390" s="21" t="s">
        <v>71</v>
      </c>
      <c r="S390" s="25" t="s">
        <v>107</v>
      </c>
      <c r="T390" s="21">
        <v>3186519530</v>
      </c>
      <c r="U390" s="21" t="s">
        <v>340</v>
      </c>
      <c r="V390" s="26" t="e">
        <f>IF(P390=#REF!,"DIPLOMADO EN ATENCION PRE-HOSPITALARIA",IF(P390=#REF!,"ACOMPAÑAMIENTO Y MANEJO DEL DUELO",IF(P390=#REF!,"ATENCION A VICTIMAS DE ATAQUE CON AGENTES QUIMICOS ",IF(P390=#REF!,"PRIMEROS AUXILIOS ",IF(P390=#REF!,"DIPLOMADO DE UNIDAD DE CUIDADOS INTENSIVOS (UCI)",IF(P390=#REF!,"MODELO DE ATENCION PARA EVENTOS EMERGENTES EN SALUD MENTAL (CODIGO VERDE)",IF(P390=#REF!,"HUMANIZACION EN EL SERVICIO DE LA SALUD Y BUENAS PRACTICAS EN PACIENTE ",IF(P390=#REF!,"CLINICA DE HERIDAS ",IF(P390=#REF!,"TOMA DE CITOLOGIA CERVICO VAGINAL ",IF(P390=#REF!,"SOPORTE CARDIOVASCULAR AVANZADO (ACLS) ",IF(P390=#REF!,"CAMILLERO ",IF(P390=#REF!,"TOMA DE MUESTRAS Y LABORATORIO ",IF(P390=#REF!,"SOPORTE VITAL BASICO (BLS)",IF(P390=#REF!,"ATENCION A VICTIMAS DE VIOLENCIA SEXUAL ",IF(P390=#REF!,"PROGRAMADO AMPLIADO DE INMUNIZACION (PAI - COVID 19)",IF(P390=#REF!,"ATENCION INTEGRAL EN ENFERMEDADES PREVALENTES EN PRIMERA INFANCIA (AIEPI)",IF(P390=#REF!,"ADMINISTRACION DE MEDICAMENTOS, INYECTOLOGIA  Y CANALIZACION ",IF(P390=#REF!,"OPERADOR DE VEHICULOS DE EMERGENCIA (OVE)",IF(P390=#REF!,"INSTITUCIONES AMIGAS DE LA MUJER Y LA INFANCIA (IAMI)",IF(P390=#REF!,"CUIDADO DEL DONANTE DE ORGANOS",IF(P390=#REF!,"ATENCION A VICTIMAS POR VIOLENCIA DE GENERO",IF(P390=#REF!,"IGUALDAD DE GENERO EN LA SALUD",IF(P390=#REF!,"BRIGADA DE EMERGENCIA",IF(P390=#REF!,"MANEJO DEL DOLOR Y CUIDADOS PALIATIVOS",IF(P390=#REF!,"TOMA DE MUESTRAS Y LABORATORIO POCT",IF(P390=#REF!,"IMPLANTE SUBDERMICO DE DISPOSITIVO INTRAUTERINO",IF(P390=#REF!,"SALUD MENTAL",IF(P390=#REF!,"PRIMEROS AUXILIOS PSICOLOGICOS",IF(P390=#REF!,"ATENCION A VICTIMAS POR CONFLICTO ARMADO",IF(P390=#REF!,"MANIPULACION DE ALIMENTOS Y BPM",IF(P390=#REF!,"ATENCION A PERSONAS CON DISCAPACIDAD",IF(P390=#REF!,"CUIDADO INTEGRAL DEL PACIENTE ADULTO",IF(P390=#REF!,"MANEJO DEFENSIVO",IF(P390=#REF!,"SOPORTE CARDIOVASCULAR AVANZADO NEONATAL",IF(P390=#REF!,"SEGURIDAD DEL PACIENTE",IF(P390=#REF!,"MANEJO DE RESIDUOS HOSPITALARIOS"))))))))))))))))))))))))))))))))))))</f>
        <v>#REF!</v>
      </c>
      <c r="W390" s="26" t="str">
        <f>CONCATENATE(E390," ",F390," ",C390," ",D390)</f>
        <v>Angelica Patricia Castro Achicanoy</v>
      </c>
      <c r="X390" s="26" t="str">
        <f t="shared" si="32"/>
        <v>Angelica Patricia Castro Achicanoy</v>
      </c>
      <c r="Y390" s="26" t="str">
        <f>CONCATENATE(W390,"-",B390,"-",P390)</f>
        <v>Angelica Patricia Castro Achicanoy-1085342860-BLS</v>
      </c>
    </row>
    <row r="391" spans="1:25" s="19" customFormat="1" x14ac:dyDescent="0.2">
      <c r="A391" s="20">
        <v>138</v>
      </c>
      <c r="B391" s="21">
        <v>1144200903</v>
      </c>
      <c r="C391" s="21" t="s">
        <v>341</v>
      </c>
      <c r="D391" s="21" t="s">
        <v>342</v>
      </c>
      <c r="E391" s="21" t="s">
        <v>343</v>
      </c>
      <c r="F391" s="21" t="s">
        <v>166</v>
      </c>
      <c r="G391" s="21">
        <v>20</v>
      </c>
      <c r="H391" s="21" t="s">
        <v>49</v>
      </c>
      <c r="I391" s="52" t="s">
        <v>376</v>
      </c>
      <c r="J391" s="52"/>
      <c r="K391" s="67"/>
      <c r="L391" s="69">
        <v>25000</v>
      </c>
      <c r="M391" s="66"/>
      <c r="N391" s="21" t="s">
        <v>387</v>
      </c>
      <c r="O391" s="21" t="s">
        <v>69</v>
      </c>
      <c r="P391" s="21" t="s">
        <v>33</v>
      </c>
      <c r="Q391" s="22">
        <v>35548</v>
      </c>
      <c r="R391" s="21" t="s">
        <v>71</v>
      </c>
      <c r="S391" s="27" t="s">
        <v>172</v>
      </c>
      <c r="T391" s="21">
        <v>3205731322</v>
      </c>
      <c r="U391" s="21" t="s">
        <v>344</v>
      </c>
      <c r="V391" s="26" t="e">
        <f>IF(P391=#REF!,"DIPLOMADO EN ATENCION PRE-HOSPITALARIA",IF(P391=#REF!,"ACOMPAÑAMIENTO Y MANEJO DEL DUELO",IF(P391=#REF!,"ATENCION A VICTIMAS DE ATAQUE CON AGENTES QUIMICOS ",IF(P391=#REF!,"PRIMEROS AUXILIOS ",IF(P391=#REF!,"DIPLOMADO DE UNIDAD DE CUIDADOS INTENSIVOS (UCI)",IF(P391=#REF!,"MODELO DE ATENCION PARA EVENTOS EMERGENTES EN SALUD MENTAL (CODIGO VERDE)",IF(P391=#REF!,"HUMANIZACION EN EL SERVICIO DE LA SALUD Y BUENAS PRACTICAS EN PACIENTE ",IF(P391=#REF!,"CLINICA DE HERIDAS ",IF(P391=#REF!,"TOMA DE CITOLOGIA CERVICO VAGINAL ",IF(P391=#REF!,"SOPORTE CARDIOVASCULAR AVANZADO (ACLS) ",IF(P391=#REF!,"CAMILLERO ",IF(P391=#REF!,"TOMA DE MUESTRAS Y LABORATORIO ",IF(P391=#REF!,"SOPORTE VITAL BASICO (BLS)",IF(P391=#REF!,"ATENCION A VICTIMAS DE VIOLENCIA SEXUAL ",IF(P391=#REF!,"PROGRAMADO AMPLIADO DE INMUNIZACION (PAI - COVID 19)",IF(P391=#REF!,"ATENCION INTEGRAL EN ENFERMEDADES PREVALENTES EN PRIMERA INFANCIA (AIEPI)",IF(P391=#REF!,"ADMINISTRACION DE MEDICAMENTOS, INYECTOLOGIA  Y CANALIZACION ",IF(P391=#REF!,"OPERADOR DE VEHICULOS DE EMERGENCIA (OVE)",IF(P391=#REF!,"INSTITUCIONES AMIGAS DE LA MUJER Y LA INFANCIA (IAMI)",IF(P391=#REF!,"CUIDADO DEL DONANTE DE ORGANOS",IF(P391=#REF!,"ATENCION A VICTIMAS POR VIOLENCIA DE GENERO",IF(P391=#REF!,"IGUALDAD DE GENERO EN LA SALUD",IF(P391=#REF!,"BRIGADA DE EMERGENCIA",IF(P391=#REF!,"MANEJO DEL DOLOR Y CUIDADOS PALIATIVOS",IF(P391=#REF!,"TOMA DE MUESTRAS Y LABORATORIO POCT",IF(P391=#REF!,"IMPLANTE SUBDERMICO DE DISPOSITIVO INTRAUTERINO",IF(P391=#REF!,"SALUD MENTAL",IF(P391=#REF!,"PRIMEROS AUXILIOS PSICOLOGICOS",IF(P391=#REF!,"ATENCION A VICTIMAS POR CONFLICTO ARMADO",IF(P391=#REF!,"MANIPULACION DE ALIMENTOS Y BPM",IF(P391=#REF!,"ATENCION A PERSONAS CON DISCAPACIDAD",IF(P391=#REF!,"CUIDADO INTEGRAL DEL PACIENTE ADULTO",IF(P391=#REF!,"MANEJO DEFENSIVO",IF(P391=#REF!,"SOPORTE CARDIOVASCULAR AVANZADO NEONATAL",IF(P391=#REF!,"SEGURIDAD DEL PACIENTE",IF(P391=#REF!,"MANEJO DE RESIDUOS HOSPITALARIOS"))))))))))))))))))))))))))))))))))))</f>
        <v>#REF!</v>
      </c>
      <c r="W391" s="26" t="str">
        <f>CONCATENATE(E391," ",F391," ",C391," ",D391)</f>
        <v>Ingrid Alejandra Clavijo Quetama</v>
      </c>
      <c r="X391" s="26" t="str">
        <f t="shared" si="32"/>
        <v>Ingrid Alejandra Clavijo Quetama</v>
      </c>
      <c r="Y391" s="26" t="str">
        <f>CONCATENATE(W391,"-",B391,"-",P391)</f>
        <v>Ingrid Alejandra Clavijo Quetama-1144200903-IGUALDAD DE GENERO</v>
      </c>
    </row>
    <row r="392" spans="1:25" s="19" customFormat="1" x14ac:dyDescent="0.2">
      <c r="A392" s="20">
        <v>139</v>
      </c>
      <c r="B392" s="21">
        <v>1085264400</v>
      </c>
      <c r="C392" s="21" t="s">
        <v>345</v>
      </c>
      <c r="D392" s="21" t="s">
        <v>191</v>
      </c>
      <c r="E392" s="21" t="s">
        <v>346</v>
      </c>
      <c r="F392" s="21" t="s">
        <v>50</v>
      </c>
      <c r="G392" s="21">
        <v>20</v>
      </c>
      <c r="H392" s="21" t="s">
        <v>49</v>
      </c>
      <c r="I392" s="22" t="s">
        <v>376</v>
      </c>
      <c r="J392" s="22"/>
      <c r="K392" s="23">
        <v>45677</v>
      </c>
      <c r="L392" s="24">
        <v>32000</v>
      </c>
      <c r="M392" s="21" t="s">
        <v>79</v>
      </c>
      <c r="N392" s="21" t="s">
        <v>387</v>
      </c>
      <c r="O392" s="21" t="s">
        <v>69</v>
      </c>
      <c r="P392" s="21" t="s">
        <v>19</v>
      </c>
      <c r="Q392" s="22">
        <v>32215</v>
      </c>
      <c r="R392" s="21" t="s">
        <v>71</v>
      </c>
      <c r="S392" s="21" t="s">
        <v>107</v>
      </c>
      <c r="T392" s="21">
        <v>3147391474</v>
      </c>
      <c r="U392" s="21" t="s">
        <v>348</v>
      </c>
      <c r="V392" s="26" t="e">
        <f>IF(P392=#REF!,"DIPLOMADO EN ATENCION PRE-HOSPITALARIA",IF(P392=#REF!,"ACOMPAÑAMIENTO Y MANEJO DEL DUELO",IF(P392=#REF!,"ATENCION A VICTIMAS DE ATAQUE CON AGENTES QUIMICOS ",IF(P392=#REF!,"PRIMEROS AUXILIOS ",IF(P392=#REF!,"DIPLOMADO DE UNIDAD DE CUIDADOS INTENSIVOS (UCI)",IF(P392=#REF!,"MODELO DE ATENCION PARA EVENTOS EMERGENTES EN SALUD MENTAL (CODIGO VERDE)",IF(P392=#REF!,"HUMANIZACION EN EL SERVICIO DE LA SALUD Y BUENAS PRACTICAS EN PACIENTE ",IF(P392=#REF!,"CLINICA DE HERIDAS ",IF(P392=#REF!,"TOMA DE CITOLOGIA CERVICO VAGINAL ",IF(P392=#REF!,"SOPORTE CARDIOVASCULAR AVANZADO (ACLS) ",IF(P392=#REF!,"CAMILLERO ",IF(P392=#REF!,"TOMA DE MUESTRAS Y LABORATORIO ",IF(P392=#REF!,"SOPORTE VITAL BASICO (BLS)",IF(P392=#REF!,"ATENCION A VICTIMAS DE VIOLENCIA SEXUAL ",IF(P392=#REF!,"PROGRAMADO AMPLIADO DE INMUNIZACION (PAI - COVID 19)",IF(P392=#REF!,"ATENCION INTEGRAL EN ENFERMEDADES PREVALENTES EN PRIMERA INFANCIA (AIEPI)",IF(P392=#REF!,"ADMINISTRACION DE MEDICAMENTOS, INYECTOLOGIA  Y CANALIZACION ",IF(P392=#REF!,"OPERADOR DE VEHICULOS DE EMERGENCIA (OVE)",IF(P392=#REF!,"INSTITUCIONES AMIGAS DE LA MUJER Y LA INFANCIA (IAMI)",IF(P392=#REF!,"CUIDADO DEL DONANTE DE ORGANOS",IF(P392=#REF!,"ATENCION A VICTIMAS POR VIOLENCIA DE GENERO",IF(P392=#REF!,"IGUALDAD DE GENERO EN LA SALUD",IF(P392=#REF!,"BRIGADA DE EMERGENCIA",IF(P392=#REF!,"MANEJO DEL DOLOR Y CUIDADOS PALIATIVOS",IF(P392=#REF!,"TOMA DE MUESTRAS Y LABORATORIO POCT",IF(P392=#REF!,"IMPLANTE SUBDERMICO DE DISPOSITIVO INTRAUTERINO",IF(P392=#REF!,"SALUD MENTAL",IF(P392=#REF!,"PRIMEROS AUXILIOS PSICOLOGICOS",IF(P392=#REF!,"ATENCION A VICTIMAS POR CONFLICTO ARMADO",IF(P392=#REF!,"MANIPULACION DE ALIMENTOS Y BPM",IF(P392=#REF!,"ATENCION A PERSONAS CON DISCAPACIDAD",IF(P392=#REF!,"CUIDADO INTEGRAL DEL PACIENTE ADULTO",IF(P392=#REF!,"MANEJO DEFENSIVO",IF(P392=#REF!,"SOPORTE CARDIOVASCULAR AVANZADO NEONATAL",IF(P392=#REF!,"SEGURIDAD DEL PACIENTE",IF(P392=#REF!,"MANEJO DE RESIDUOS HOSPITALARIOS"))))))))))))))))))))))))))))))))))))</f>
        <v>#REF!</v>
      </c>
      <c r="W392" s="26" t="str">
        <f>CONCATENATE(E392," ",F392," ",C392," ",D392)</f>
        <v>Yohana Elizabeth Quiroz Lopez</v>
      </c>
      <c r="X392" s="26" t="str">
        <f t="shared" si="32"/>
        <v>Yohana Elizabeth Quiroz Lopez</v>
      </c>
      <c r="Y392" s="26" t="str">
        <f>CONCATENATE(W392,"-",B392,"-",P392)</f>
        <v>Yohana Elizabeth Quiroz Lopez-1085264400-BLS</v>
      </c>
    </row>
    <row r="393" spans="1:25" s="19" customFormat="1" x14ac:dyDescent="0.2">
      <c r="A393" s="20">
        <v>140</v>
      </c>
      <c r="B393" s="21">
        <v>1085264400</v>
      </c>
      <c r="C393" s="21" t="s">
        <v>345</v>
      </c>
      <c r="D393" s="21" t="s">
        <v>191</v>
      </c>
      <c r="E393" s="21" t="s">
        <v>346</v>
      </c>
      <c r="F393" s="21" t="s">
        <v>50</v>
      </c>
      <c r="G393" s="21">
        <v>17</v>
      </c>
      <c r="H393" s="21" t="s">
        <v>49</v>
      </c>
      <c r="I393" s="22" t="s">
        <v>376</v>
      </c>
      <c r="J393" s="22"/>
      <c r="K393" s="23">
        <v>45677</v>
      </c>
      <c r="L393" s="24">
        <v>32000</v>
      </c>
      <c r="M393" s="21" t="s">
        <v>79</v>
      </c>
      <c r="N393" s="21" t="s">
        <v>387</v>
      </c>
      <c r="O393" s="21" t="s">
        <v>69</v>
      </c>
      <c r="P393" s="21" t="s">
        <v>347</v>
      </c>
      <c r="Q393" s="22">
        <v>32215</v>
      </c>
      <c r="R393" s="21" t="s">
        <v>71</v>
      </c>
      <c r="S393" s="21" t="s">
        <v>107</v>
      </c>
      <c r="T393" s="21">
        <v>3147391474</v>
      </c>
      <c r="U393" s="21" t="s">
        <v>348</v>
      </c>
      <c r="V393" s="26" t="e">
        <f>IF(P393=#REF!,"DIPLOMADO EN ATENCION PRE-HOSPITALARIA",IF(P393=#REF!,"ACOMPAÑAMIENTO Y MANEJO DEL DUELO",IF(P393=#REF!,"ATENCION A VICTIMAS DE ATAQUE CON AGENTES QUIMICOS ",IF(P393=#REF!,"PRIMEROS AUXILIOS ",IF(P393=#REF!,"DIPLOMADO DE UNIDAD DE CUIDADOS INTENSIVOS (UCI)",IF(P393=#REF!,"MODELO DE ATENCION PARA EVENTOS EMERGENTES EN SALUD MENTAL (CODIGO VERDE)",IF(P393=#REF!,"HUMANIZACION EN EL SERVICIO DE LA SALUD Y BUENAS PRACTICAS EN PACIENTE ",IF(P393=#REF!,"CLINICA DE HERIDAS ",IF(P393=#REF!,"TOMA DE CITOLOGIA CERVICO VAGINAL ",IF(P393=#REF!,"SOPORTE CARDIOVASCULAR AVANZADO (ACLS) ",IF(P393=#REF!,"CAMILLERO ",IF(P393=#REF!,"TOMA DE MUESTRAS Y LABORATORIO ",IF(P393=#REF!,"SOPORTE VITAL BASICO (BLS)",IF(P393=#REF!,"ATENCION A VICTIMAS DE VIOLENCIA SEXUAL ",IF(P393=#REF!,"PROGRAMADO AMPLIADO DE INMUNIZACION (PAI - COVID 19)",IF(P393=#REF!,"ATENCION INTEGRAL EN ENFERMEDADES PREVALENTES EN PRIMERA INFANCIA (AIEPI)",IF(P393=#REF!,"ADMINISTRACION DE MEDICAMENTOS, INYECTOLOGIA  Y CANALIZACION ",IF(P393=#REF!,"OPERADOR DE VEHICULOS DE EMERGENCIA (OVE)",IF(P393=#REF!,"INSTITUCIONES AMIGAS DE LA MUJER Y LA INFANCIA (IAMI)",IF(P393=#REF!,"CUIDADO DEL DONANTE DE ORGANOS",IF(P393=#REF!,"ATENCION A VICTIMAS POR VIOLENCIA DE GENERO",IF(P393=#REF!,"IGUALDAD DE GENERO EN LA SALUD",IF(P393=#REF!,"BRIGADA DE EMERGENCIA",IF(P393=#REF!,"MANEJO DEL DOLOR Y CUIDADOS PALIATIVOS",IF(P393=#REF!,"TOMA DE MUESTRAS Y LABORATORIO POCT",IF(P393=#REF!,"IMPLANTE SUBDERMICO DE DISPOSITIVO INTRAUTERINO",IF(P393=#REF!,"SALUD MENTAL",IF(P393=#REF!,"PRIMEROS AUXILIOS PSICOLOGICOS",IF(P393=#REF!,"ATENCION A VICTIMAS POR CONFLICTO ARMADO",IF(P393=#REF!,"MANIPULACION DE ALIMENTOS Y BPM",IF(P393=#REF!,"ATENCION A PERSONAS CON DISCAPACIDAD",IF(P393=#REF!,"CUIDADO INTEGRAL DEL PACIENTE ADULTO",IF(P393=#REF!,"MANEJO DEFENSIVO",IF(P393=#REF!,"SOPORTE CARDIOVASCULAR AVANZADO NEONATAL",IF(P393=#REF!,"SEGURIDAD DEL PACIENTE",IF(P393=#REF!,"MANEJO DE RESIDUOS HOSPITALARIOS"))))))))))))))))))))))))))))))))))))</f>
        <v>#REF!</v>
      </c>
      <c r="W393" s="26" t="str">
        <f>CONCATENATE(E393," ",F393," ",C393," ",D393)</f>
        <v>Yohana Elizabeth Quiroz Lopez</v>
      </c>
      <c r="X393" s="26" t="str">
        <f t="shared" si="32"/>
        <v>Yohana Elizabeth Quiroz Lopez</v>
      </c>
      <c r="Y393" s="26" t="str">
        <f>CONCATENATE(W393,"-",B393,"-",P393)</f>
        <v>Yohana Elizabeth Quiroz Lopez-1085264400-PRIMER RESPONDIENTE</v>
      </c>
    </row>
    <row r="394" spans="1:25" s="19" customFormat="1" x14ac:dyDescent="0.2">
      <c r="A394" s="20">
        <v>141</v>
      </c>
      <c r="B394" s="21">
        <v>1085264400</v>
      </c>
      <c r="C394" s="21" t="s">
        <v>345</v>
      </c>
      <c r="D394" s="21" t="s">
        <v>191</v>
      </c>
      <c r="E394" s="21" t="s">
        <v>346</v>
      </c>
      <c r="F394" s="21" t="s">
        <v>50</v>
      </c>
      <c r="G394" s="21">
        <v>20</v>
      </c>
      <c r="H394" s="21" t="s">
        <v>49</v>
      </c>
      <c r="I394" s="22" t="s">
        <v>376</v>
      </c>
      <c r="J394" s="22"/>
      <c r="K394" s="23">
        <v>45677</v>
      </c>
      <c r="L394" s="24">
        <v>32000</v>
      </c>
      <c r="M394" s="21" t="s">
        <v>79</v>
      </c>
      <c r="N394" s="21" t="s">
        <v>387</v>
      </c>
      <c r="O394" s="21" t="s">
        <v>69</v>
      </c>
      <c r="P394" s="21" t="s">
        <v>22</v>
      </c>
      <c r="Q394" s="22">
        <v>32215</v>
      </c>
      <c r="R394" s="21" t="s">
        <v>71</v>
      </c>
      <c r="S394" s="21" t="s">
        <v>107</v>
      </c>
      <c r="T394" s="21">
        <v>3147391474</v>
      </c>
      <c r="U394" s="21" t="s">
        <v>348</v>
      </c>
      <c r="V394" s="26" t="e">
        <f>IF(P394=#REF!,"DIPLOMADO EN ATENCION PRE-HOSPITALARIA",IF(P394=#REF!,"ACOMPAÑAMIENTO Y MANEJO DEL DUELO",IF(P394=#REF!,"ATENCION A VICTIMAS DE ATAQUE CON AGENTES QUIMICOS ",IF(P394=#REF!,"PRIMEROS AUXILIOS ",IF(P394=#REF!,"DIPLOMADO DE UNIDAD DE CUIDADOS INTENSIVOS (UCI)",IF(P394=#REF!,"MODELO DE ATENCION PARA EVENTOS EMERGENTES EN SALUD MENTAL (CODIGO VERDE)",IF(P394=#REF!,"HUMANIZACION EN EL SERVICIO DE LA SALUD Y BUENAS PRACTICAS EN PACIENTE ",IF(P394=#REF!,"CLINICA DE HERIDAS ",IF(P394=#REF!,"TOMA DE CITOLOGIA CERVICO VAGINAL ",IF(P394=#REF!,"SOPORTE CARDIOVASCULAR AVANZADO (ACLS) ",IF(P394=#REF!,"CAMILLERO ",IF(P394=#REF!,"TOMA DE MUESTRAS Y LABORATORIO ",IF(P394=#REF!,"SOPORTE VITAL BASICO (BLS)",IF(P394=#REF!,"ATENCION A VICTIMAS DE VIOLENCIA SEXUAL ",IF(P394=#REF!,"PROGRAMADO AMPLIADO DE INMUNIZACION (PAI - COVID 19)",IF(P394=#REF!,"ATENCION INTEGRAL EN ENFERMEDADES PREVALENTES EN PRIMERA INFANCIA (AIEPI)",IF(P394=#REF!,"ADMINISTRACION DE MEDICAMENTOS, INYECTOLOGIA  Y CANALIZACION ",IF(P394=#REF!,"OPERADOR DE VEHICULOS DE EMERGENCIA (OVE)",IF(P394=#REF!,"INSTITUCIONES AMIGAS DE LA MUJER Y LA INFANCIA (IAMI)",IF(P394=#REF!,"CUIDADO DEL DONANTE DE ORGANOS",IF(P394=#REF!,"ATENCION A VICTIMAS POR VIOLENCIA DE GENERO",IF(P394=#REF!,"IGUALDAD DE GENERO EN LA SALUD",IF(P394=#REF!,"BRIGADA DE EMERGENCIA",IF(P394=#REF!,"MANEJO DEL DOLOR Y CUIDADOS PALIATIVOS",IF(P394=#REF!,"TOMA DE MUESTRAS Y LABORATORIO POCT",IF(P394=#REF!,"IMPLANTE SUBDERMICO DE DISPOSITIVO INTRAUTERINO",IF(P394=#REF!,"SALUD MENTAL",IF(P394=#REF!,"PRIMEROS AUXILIOS PSICOLOGICOS",IF(P394=#REF!,"ATENCION A VICTIMAS POR CONFLICTO ARMADO",IF(P394=#REF!,"MANIPULACION DE ALIMENTOS Y BPM",IF(P394=#REF!,"ATENCION A PERSONAS CON DISCAPACIDAD",IF(P394=#REF!,"CUIDADO INTEGRAL DEL PACIENTE ADULTO",IF(P394=#REF!,"MANEJO DEFENSIVO",IF(P394=#REF!,"SOPORTE CARDIOVASCULAR AVANZADO NEONATAL",IF(P394=#REF!,"SEGURIDAD DEL PACIENTE",IF(P394=#REF!,"MANEJO DE RESIDUOS HOSPITALARIOS"))))))))))))))))))))))))))))))))))))</f>
        <v>#REF!</v>
      </c>
      <c r="W394" s="26" t="str">
        <f>CONCATENATE(E394," ",F394," ",C394," ",D394)</f>
        <v>Yohana Elizabeth Quiroz Lopez</v>
      </c>
      <c r="X394" s="26" t="str">
        <f t="shared" si="32"/>
        <v>Yohana Elizabeth Quiroz Lopez</v>
      </c>
      <c r="Y394" s="26" t="str">
        <f>CONCATENATE(W394,"-",B394,"-",P394)</f>
        <v>Yohana Elizabeth Quiroz Lopez-1085264400-PRIMEROS AUXILIOS</v>
      </c>
    </row>
    <row r="395" spans="1:25" s="19" customFormat="1" x14ac:dyDescent="0.2">
      <c r="A395" s="20">
        <v>142</v>
      </c>
      <c r="B395" s="21">
        <v>1085264400</v>
      </c>
      <c r="C395" s="21" t="s">
        <v>345</v>
      </c>
      <c r="D395" s="21" t="s">
        <v>191</v>
      </c>
      <c r="E395" s="21" t="s">
        <v>346</v>
      </c>
      <c r="F395" s="21" t="s">
        <v>50</v>
      </c>
      <c r="G395" s="21">
        <v>18</v>
      </c>
      <c r="H395" s="21" t="s">
        <v>49</v>
      </c>
      <c r="I395" s="22" t="s">
        <v>376</v>
      </c>
      <c r="J395" s="22"/>
      <c r="K395" s="23">
        <v>45677</v>
      </c>
      <c r="L395" s="24">
        <v>32000</v>
      </c>
      <c r="M395" s="21" t="s">
        <v>79</v>
      </c>
      <c r="N395" s="21" t="s">
        <v>387</v>
      </c>
      <c r="O395" s="21" t="s">
        <v>69</v>
      </c>
      <c r="P395" s="21" t="s">
        <v>43</v>
      </c>
      <c r="Q395" s="22">
        <v>32215</v>
      </c>
      <c r="R395" s="21" t="s">
        <v>71</v>
      </c>
      <c r="S395" s="21" t="s">
        <v>107</v>
      </c>
      <c r="T395" s="21">
        <v>3147391474</v>
      </c>
      <c r="U395" s="21" t="s">
        <v>348</v>
      </c>
      <c r="V395" s="26" t="e">
        <f>IF(P395=#REF!,"DIPLOMADO EN ATENCION PRE-HOSPITALARIA",IF(P395=#REF!,"ACOMPAÑAMIENTO Y MANEJO DEL DUELO",IF(P395=#REF!,"ATENCION A VICTIMAS DE ATAQUE CON AGENTES QUIMICOS ",IF(P395=#REF!,"PRIMEROS AUXILIOS ",IF(P395=#REF!,"DIPLOMADO DE UNIDAD DE CUIDADOS INTENSIVOS (UCI)",IF(P395=#REF!,"MODELO DE ATENCION PARA EVENTOS EMERGENTES EN SALUD MENTAL (CODIGO VERDE)",IF(P395=#REF!,"HUMANIZACION EN EL SERVICIO DE LA SALUD Y BUENAS PRACTICAS EN PACIENTE ",IF(P395=#REF!,"CLINICA DE HERIDAS ",IF(P395=#REF!,"TOMA DE CITOLOGIA CERVICO VAGINAL ",IF(P395=#REF!,"SOPORTE CARDIOVASCULAR AVANZADO (ACLS) ",IF(P395=#REF!,"CAMILLERO ",IF(P395=#REF!,"TOMA DE MUESTRAS Y LABORATORIO ",IF(P395=#REF!,"SOPORTE VITAL BASICO (BLS)",IF(P395=#REF!,"ATENCION A VICTIMAS DE VIOLENCIA SEXUAL ",IF(P395=#REF!,"PROGRAMADO AMPLIADO DE INMUNIZACION (PAI - COVID 19)",IF(P395=#REF!,"ATENCION INTEGRAL EN ENFERMEDADES PREVALENTES EN PRIMERA INFANCIA (AIEPI)",IF(P395=#REF!,"ADMINISTRACION DE MEDICAMENTOS, INYECTOLOGIA  Y CANALIZACION ",IF(P395=#REF!,"OPERADOR DE VEHICULOS DE EMERGENCIA (OVE)",IF(P395=#REF!,"INSTITUCIONES AMIGAS DE LA MUJER Y LA INFANCIA (IAMI)",IF(P395=#REF!,"CUIDADO DEL DONANTE DE ORGANOS",IF(P395=#REF!,"ATENCION A VICTIMAS POR VIOLENCIA DE GENERO",IF(P395=#REF!,"IGUALDAD DE GENERO EN LA SALUD",IF(P395=#REF!,"BRIGADA DE EMERGENCIA",IF(P395=#REF!,"MANEJO DEL DOLOR Y CUIDADOS PALIATIVOS",IF(P395=#REF!,"TOMA DE MUESTRAS Y LABORATORIO POCT",IF(P395=#REF!,"IMPLANTE SUBDERMICO DE DISPOSITIVO INTRAUTERINO",IF(P395=#REF!,"SALUD MENTAL",IF(P395=#REF!,"PRIMEROS AUXILIOS PSICOLOGICOS",IF(P395=#REF!,"ATENCION A VICTIMAS POR CONFLICTO ARMADO",IF(P395=#REF!,"MANIPULACION DE ALIMENTOS Y BPM",IF(P395=#REF!,"ATENCION A PERSONAS CON DISCAPACIDAD",IF(P395=#REF!,"CUIDADO INTEGRAL DEL PACIENTE ADULTO",IF(P395=#REF!,"MANEJO DEFENSIVO",IF(P395=#REF!,"SOPORTE CARDIOVASCULAR AVANZADO NEONATAL",IF(P395=#REF!,"SEGURIDAD DEL PACIENTE",IF(P395=#REF!,"MANEJO DE RESIDUOS HOSPITALARIOS"))))))))))))))))))))))))))))))))))))</f>
        <v>#REF!</v>
      </c>
      <c r="W395" s="26" t="str">
        <f>CONCATENATE(E395," ",F395," ",C395," ",D395)</f>
        <v>Yohana Elizabeth Quiroz Lopez</v>
      </c>
      <c r="X395" s="26" t="str">
        <f t="shared" si="32"/>
        <v>Yohana Elizabeth Quiroz Lopez</v>
      </c>
      <c r="Y395" s="26" t="str">
        <f>CONCATENATE(W395,"-",B395,"-",P395)</f>
        <v>Yohana Elizabeth Quiroz Lopez-1085264400-RESIDUOS</v>
      </c>
    </row>
    <row r="396" spans="1:25" s="19" customFormat="1" x14ac:dyDescent="0.2">
      <c r="A396" s="20">
        <v>143</v>
      </c>
      <c r="B396" s="21">
        <v>1086196595</v>
      </c>
      <c r="C396" s="21" t="s">
        <v>349</v>
      </c>
      <c r="D396" s="21" t="s">
        <v>350</v>
      </c>
      <c r="E396" s="21" t="s">
        <v>351</v>
      </c>
      <c r="F396" s="21" t="s">
        <v>316</v>
      </c>
      <c r="G396" s="21">
        <v>20</v>
      </c>
      <c r="H396" s="21" t="s">
        <v>49</v>
      </c>
      <c r="I396" s="22" t="s">
        <v>376</v>
      </c>
      <c r="J396" s="22"/>
      <c r="K396" s="23">
        <v>45677</v>
      </c>
      <c r="L396" s="24">
        <v>32000</v>
      </c>
      <c r="M396" s="21" t="s">
        <v>79</v>
      </c>
      <c r="N396" s="21" t="s">
        <v>387</v>
      </c>
      <c r="O396" s="21" t="s">
        <v>69</v>
      </c>
      <c r="P396" s="21" t="s">
        <v>19</v>
      </c>
      <c r="Q396" s="22">
        <v>34107</v>
      </c>
      <c r="R396" s="48" t="s">
        <v>71</v>
      </c>
      <c r="S396" s="21" t="s">
        <v>107</v>
      </c>
      <c r="T396" s="21">
        <v>3148938750</v>
      </c>
      <c r="U396" s="25" t="s">
        <v>352</v>
      </c>
      <c r="V396" s="26" t="e">
        <f>IF(P396=#REF!,"DIPLOMADO EN ATENCION PRE-HOSPITALARIA",IF(P396=#REF!,"ACOMPAÑAMIENTO Y MANEJO DEL DUELO",IF(P396=#REF!,"ATENCION A VICTIMAS DE ATAQUE CON AGENTES QUIMICOS ",IF(P396=#REF!,"PRIMEROS AUXILIOS ",IF(P396=#REF!,"DIPLOMADO DE UNIDAD DE CUIDADOS INTENSIVOS (UCI)",IF(P396=#REF!,"MODELO DE ATENCION PARA EVENTOS EMERGENTES EN SALUD MENTAL (CODIGO VERDE)",IF(P396=#REF!,"HUMANIZACION EN EL SERVICIO DE LA SALUD Y BUENAS PRACTICAS EN PACIENTE ",IF(P396=#REF!,"CLINICA DE HERIDAS ",IF(P396=#REF!,"TOMA DE CITOLOGIA CERVICO VAGINAL ",IF(P396=#REF!,"SOPORTE CARDIOVASCULAR AVANZADO (ACLS) ",IF(P396=#REF!,"CAMILLERO ",IF(P396=#REF!,"TOMA DE MUESTRAS Y LABORATORIO ",IF(P396=#REF!,"SOPORTE VITAL BASICO (BLS)",IF(P396=#REF!,"ATENCION A VICTIMAS DE VIOLENCIA SEXUAL ",IF(P396=#REF!,"PROGRAMADO AMPLIADO DE INMUNIZACION (PAI - COVID 19)",IF(P396=#REF!,"ATENCION INTEGRAL EN ENFERMEDADES PREVALENTES EN PRIMERA INFANCIA (AIEPI)",IF(P396=#REF!,"ADMINISTRACION DE MEDICAMENTOS, INYECTOLOGIA  Y CANALIZACION ",IF(P396=#REF!,"OPERADOR DE VEHICULOS DE EMERGENCIA (OVE)",IF(P396=#REF!,"INSTITUCIONES AMIGAS DE LA MUJER Y LA INFANCIA (IAMI)",IF(P396=#REF!,"CUIDADO DEL DONANTE DE ORGANOS",IF(P396=#REF!,"ATENCION A VICTIMAS POR VIOLENCIA DE GENERO",IF(P396=#REF!,"IGUALDAD DE GENERO EN LA SALUD",IF(P396=#REF!,"BRIGADA DE EMERGENCIA",IF(P396=#REF!,"MANEJO DEL DOLOR Y CUIDADOS PALIATIVOS",IF(P396=#REF!,"TOMA DE MUESTRAS Y LABORATORIO POCT",IF(P396=#REF!,"IMPLANTE SUBDERMICO DE DISPOSITIVO INTRAUTERINO",IF(P396=#REF!,"SALUD MENTAL",IF(P396=#REF!,"PRIMEROS AUXILIOS PSICOLOGICOS",IF(P396=#REF!,"ATENCION A VICTIMAS POR CONFLICTO ARMADO",IF(P396=#REF!,"MANIPULACION DE ALIMENTOS Y BPM",IF(P396=#REF!,"ATENCION A PERSONAS CON DISCAPACIDAD",IF(P396=#REF!,"CUIDADO INTEGRAL DEL PACIENTE ADULTO",IF(P396=#REF!,"MANEJO DEFENSIVO",IF(P396=#REF!,"SOPORTE CARDIOVASCULAR AVANZADO NEONATAL",IF(P396=#REF!,"SEGURIDAD DEL PACIENTE",IF(P396=#REF!,"MANEJO DE RESIDUOS HOSPITALARIOS"))))))))))))))))))))))))))))))))))))</f>
        <v>#REF!</v>
      </c>
      <c r="W396" s="26" t="str">
        <f>CONCATENATE(E396," ",F396," ",C396," ",D396)</f>
        <v>Luz Mery Ramirez Leguia</v>
      </c>
      <c r="X396" s="26" t="str">
        <f t="shared" si="32"/>
        <v>Luz Mery Ramirez Leguia</v>
      </c>
      <c r="Y396" s="26" t="str">
        <f>CONCATENATE(W396,"-",B396,"-",P396)</f>
        <v>Luz Mery Ramirez Leguia-1086196595-BLS</v>
      </c>
    </row>
    <row r="397" spans="1:25" s="19" customFormat="1" x14ac:dyDescent="0.2">
      <c r="A397" s="20">
        <v>144</v>
      </c>
      <c r="B397" s="21">
        <v>1085314044</v>
      </c>
      <c r="C397" s="21" t="s">
        <v>303</v>
      </c>
      <c r="D397" s="21" t="s">
        <v>304</v>
      </c>
      <c r="E397" s="21" t="s">
        <v>305</v>
      </c>
      <c r="F397" s="21" t="s">
        <v>306</v>
      </c>
      <c r="G397" s="21">
        <v>20</v>
      </c>
      <c r="H397" s="21" t="s">
        <v>49</v>
      </c>
      <c r="I397" s="22" t="s">
        <v>377</v>
      </c>
      <c r="J397" s="22"/>
      <c r="K397" s="23">
        <v>45674</v>
      </c>
      <c r="L397" s="42">
        <v>65000</v>
      </c>
      <c r="M397" s="21" t="s">
        <v>133</v>
      </c>
      <c r="N397" s="21" t="s">
        <v>386</v>
      </c>
      <c r="O397" s="21" t="s">
        <v>69</v>
      </c>
      <c r="P397" s="21" t="s">
        <v>22</v>
      </c>
      <c r="Q397" s="22">
        <v>34536</v>
      </c>
      <c r="R397" s="21" t="s">
        <v>70</v>
      </c>
      <c r="S397" s="21" t="s">
        <v>354</v>
      </c>
      <c r="T397" s="25">
        <v>3183129872</v>
      </c>
      <c r="U397" s="21" t="s">
        <v>353</v>
      </c>
      <c r="V397" s="26" t="e">
        <f>IF(P397=#REF!,"DIPLOMADO EN ATENCION PRE-HOSPITALARIA",IF(P397=#REF!,"ACOMPAÑAMIENTO Y MANEJO DEL DUELO",IF(P397=#REF!,"ATENCION A VICTIMAS DE ATAQUE CON AGENTES QUIMICOS ",IF(P397=#REF!,"PRIMEROS AUXILIOS ",IF(P397=#REF!,"DIPLOMADO DE UNIDAD DE CUIDADOS INTENSIVOS (UCI)",IF(P397=#REF!,"MODELO DE ATENCION PARA EVENTOS EMERGENTES EN SALUD MENTAL (CODIGO VERDE)",IF(P397=#REF!,"HUMANIZACION EN EL SERVICIO DE LA SALUD Y BUENAS PRACTICAS EN PACIENTE ",IF(P397=#REF!,"CLINICA DE HERIDAS ",IF(P397=#REF!,"TOMA DE CITOLOGIA CERVICO VAGINAL ",IF(P397=#REF!,"SOPORTE CARDIOVASCULAR AVANZADO (ACLS) ",IF(P397=#REF!,"CAMILLERO ",IF(P397=#REF!,"TOMA DE MUESTRAS Y LABORATORIO ",IF(P397=#REF!,"SOPORTE VITAL BASICO (BLS)",IF(P397=#REF!,"ATENCION A VICTIMAS DE VIOLENCIA SEXUAL ",IF(P397=#REF!,"PROGRAMADO AMPLIADO DE INMUNIZACION (PAI - COVID 19)",IF(P397=#REF!,"ATENCION INTEGRAL EN ENFERMEDADES PREVALENTES EN PRIMERA INFANCIA (AIEPI)",IF(P397=#REF!,"ADMINISTRACION DE MEDICAMENTOS, INYECTOLOGIA  Y CANALIZACION ",IF(P397=#REF!,"OPERADOR DE VEHICULOS DE EMERGENCIA (OVE)",IF(P397=#REF!,"INSTITUCIONES AMIGAS DE LA MUJER Y LA INFANCIA (IAMI)",IF(P397=#REF!,"CUIDADO DEL DONANTE DE ORGANOS",IF(P397=#REF!,"ATENCION A VICTIMAS POR VIOLENCIA DE GENERO",IF(P397=#REF!,"IGUALDAD DE GENERO EN LA SALUD",IF(P397=#REF!,"BRIGADA DE EMERGENCIA",IF(P397=#REF!,"MANEJO DEL DOLOR Y CUIDADOS PALIATIVOS",IF(P397=#REF!,"TOMA DE MUESTRAS Y LABORATORIO POCT",IF(P397=#REF!,"IMPLANTE SUBDERMICO DE DISPOSITIVO INTRAUTERINO",IF(P397=#REF!,"SALUD MENTAL",IF(P397=#REF!,"PRIMEROS AUXILIOS PSICOLOGICOS",IF(P397=#REF!,"ATENCION A VICTIMAS POR CONFLICTO ARMADO",IF(P397=#REF!,"MANIPULACION DE ALIMENTOS Y BPM",IF(P397=#REF!,"ATENCION A PERSONAS CON DISCAPACIDAD",IF(P397=#REF!,"CUIDADO INTEGRAL DEL PACIENTE ADULTO",IF(P397=#REF!,"MANEJO DEFENSIVO",IF(P397=#REF!,"SOPORTE CARDIOVASCULAR AVANZADO NEONATAL",IF(P397=#REF!,"SEGURIDAD DEL PACIENTE",IF(P397=#REF!,"MANEJO DE RESIDUOS HOSPITALARIOS"))))))))))))))))))))))))))))))))))))</f>
        <v>#REF!</v>
      </c>
      <c r="W397" s="26" t="str">
        <f>CONCATENATE(E397," ",F397," ",C397," ",D397)</f>
        <v>Heiner  Alexander Tabla  Benitez</v>
      </c>
      <c r="X397" s="26" t="str">
        <f t="shared" si="32"/>
        <v>Heiner  Alexander Tabla  Benitez</v>
      </c>
      <c r="Y397" s="26" t="str">
        <f>CONCATENATE(W397,"-",B397,"-",P397)</f>
        <v>Heiner  Alexander Tabla  Benitez-1085314044-PRIMEROS AUXILIOS</v>
      </c>
    </row>
    <row r="398" spans="1:25" x14ac:dyDescent="0.2">
      <c r="A398" s="20">
        <v>145</v>
      </c>
      <c r="B398" s="21">
        <v>59795076</v>
      </c>
      <c r="C398" s="21" t="s">
        <v>355</v>
      </c>
      <c r="D398" s="21" t="s">
        <v>175</v>
      </c>
      <c r="E398" s="21" t="s">
        <v>356</v>
      </c>
      <c r="F398" s="21" t="s">
        <v>357</v>
      </c>
      <c r="G398" s="21">
        <v>17</v>
      </c>
      <c r="H398" s="21" t="s">
        <v>49</v>
      </c>
      <c r="I398" s="22" t="s">
        <v>376</v>
      </c>
      <c r="J398" s="22"/>
      <c r="K398" s="23">
        <v>45678</v>
      </c>
      <c r="L398" s="24">
        <v>80000</v>
      </c>
      <c r="M398" s="21" t="s">
        <v>106</v>
      </c>
      <c r="N398" s="21" t="s">
        <v>387</v>
      </c>
      <c r="O398" s="21" t="s">
        <v>95</v>
      </c>
      <c r="P398" s="21" t="s">
        <v>24</v>
      </c>
      <c r="Q398" s="22">
        <v>26717</v>
      </c>
      <c r="R398" s="21" t="s">
        <v>71</v>
      </c>
      <c r="S398" s="27" t="s">
        <v>172</v>
      </c>
      <c r="T398" s="25">
        <v>3104236881</v>
      </c>
      <c r="U398" s="21" t="s">
        <v>358</v>
      </c>
      <c r="V398" s="26" t="e">
        <f>IF(P398=#REF!,"DIPLOMADO EN ATENCION PRE-HOSPITALARIA",IF(P398=#REF!,"ACOMPAÑAMIENTO Y MANEJO DEL DUELO",IF(P398=#REF!,"ATENCION A VICTIMAS DE ATAQUE CON AGENTES QUIMICOS ",IF(P398=#REF!,"PRIMEROS AUXILIOS ",IF(P398=#REF!,"DIPLOMADO DE UNIDAD DE CUIDADOS INTENSIVOS (UCI)",IF(P398=#REF!,"MODELO DE ATENCION PARA EVENTOS EMERGENTES EN SALUD MENTAL (CODIGO VERDE)",IF(P398=#REF!,"HUMANIZACION EN EL SERVICIO DE LA SALUD Y BUENAS PRACTICAS EN PACIENTE ",IF(P398=#REF!,"CLINICA DE HERIDAS ",IF(P398=#REF!,"TOMA DE CITOLOGIA CERVICO VAGINAL ",IF(P398=#REF!,"SOPORTE CARDIOVASCULAR AVANZADO (ACLS) ",IF(P398=#REF!,"CAMILLERO ",IF(P398=#REF!,"TOMA DE MUESTRAS Y LABORATORIO ",IF(P398=#REF!,"SOPORTE VITAL BASICO (BLS)",IF(P398=#REF!,"ATENCION A VICTIMAS DE VIOLENCIA SEXUAL ",IF(P398=#REF!,"PROGRAMADO AMPLIADO DE INMUNIZACION (PAI - COVID 19)",IF(P398=#REF!,"ATENCION INTEGRAL EN ENFERMEDADES PREVALENTES EN PRIMERA INFANCIA (AIEPI)",IF(P398=#REF!,"ADMINISTRACION DE MEDICAMENTOS, INYECTOLOGIA  Y CANALIZACION ",IF(P398=#REF!,"OPERADOR DE VEHICULOS DE EMERGENCIA (OVE)",IF(P398=#REF!,"INSTITUCIONES AMIGAS DE LA MUJER Y LA INFANCIA (IAMI)",IF(P398=#REF!,"CUIDADO DEL DONANTE DE ORGANOS",IF(P398=#REF!,"ATENCION A VICTIMAS POR VIOLENCIA DE GENERO",IF(P398=#REF!,"IGUALDAD DE GENERO EN LA SALUD",IF(P398=#REF!,"BRIGADA DE EMERGENCIA",IF(P398=#REF!,"MANEJO DEL DOLOR Y CUIDADOS PALIATIVOS",IF(P398=#REF!,"TOMA DE MUESTRAS Y LABORATORIO POCT",IF(P398=#REF!,"IMPLANTE SUBDERMICO DE DISPOSITIVO INTRAUTERINO",IF(P398=#REF!,"SALUD MENTAL",IF(P398=#REF!,"PRIMEROS AUXILIOS PSICOLOGICOS",IF(P398=#REF!,"ATENCION A VICTIMAS POR CONFLICTO ARMADO",IF(P398=#REF!,"MANIPULACION DE ALIMENTOS Y BPM",IF(P398=#REF!,"ATENCION A PERSONAS CON DISCAPACIDAD",IF(P398=#REF!,"CUIDADO INTEGRAL DEL PACIENTE ADULTO",IF(P398=#REF!,"MANEJO DEFENSIVO",IF(P398=#REF!,"SOPORTE CARDIOVASCULAR AVANZADO NEONATAL",IF(P398=#REF!,"SEGURIDAD DEL PACIENTE",IF(P398=#REF!,"MANEJO DE RESIDUOS HOSPITALARIOS"))))))))))))))))))))))))))))))))))))</f>
        <v>#REF!</v>
      </c>
      <c r="W398" s="26" t="str">
        <f>CONCATENATE(E398," ",F398," ",C398," ",D398)</f>
        <v>Katty Yolima Ibarra Rosero</v>
      </c>
      <c r="X398" s="26" t="str">
        <f t="shared" si="32"/>
        <v>Katty Yolima Ibarra Rosero</v>
      </c>
      <c r="Y398" s="26" t="str">
        <f>CONCATENATE(W398,"-",B398,"-",P398)</f>
        <v>Katty Yolima Ibarra Rosero-59795076-ACLS</v>
      </c>
    </row>
    <row r="399" spans="1:25" x14ac:dyDescent="0.2">
      <c r="A399" s="20">
        <v>146</v>
      </c>
      <c r="B399" s="21">
        <v>59795076</v>
      </c>
      <c r="C399" s="21" t="s">
        <v>355</v>
      </c>
      <c r="D399" s="21" t="s">
        <v>175</v>
      </c>
      <c r="E399" s="21" t="s">
        <v>356</v>
      </c>
      <c r="F399" s="21" t="s">
        <v>357</v>
      </c>
      <c r="G399" s="21">
        <v>17</v>
      </c>
      <c r="H399" s="21" t="s">
        <v>49</v>
      </c>
      <c r="I399" s="22" t="s">
        <v>376</v>
      </c>
      <c r="J399" s="22"/>
      <c r="K399" s="23">
        <v>45678</v>
      </c>
      <c r="L399" s="24">
        <v>20000</v>
      </c>
      <c r="M399" s="21" t="s">
        <v>106</v>
      </c>
      <c r="N399" s="21" t="s">
        <v>387</v>
      </c>
      <c r="O399" s="21" t="s">
        <v>95</v>
      </c>
      <c r="P399" s="21" t="s">
        <v>19</v>
      </c>
      <c r="Q399" s="22">
        <v>26717</v>
      </c>
      <c r="R399" s="21" t="s">
        <v>71</v>
      </c>
      <c r="S399" s="27" t="s">
        <v>172</v>
      </c>
      <c r="T399" s="25">
        <v>3104236881</v>
      </c>
      <c r="U399" s="21" t="s">
        <v>358</v>
      </c>
      <c r="V399" s="26" t="e">
        <f>IF(P399=#REF!,"DIPLOMADO EN ATENCION PRE-HOSPITALARIA",IF(P399=#REF!,"ACOMPAÑAMIENTO Y MANEJO DEL DUELO",IF(P399=#REF!,"ATENCION A VICTIMAS DE ATAQUE CON AGENTES QUIMICOS ",IF(P399=#REF!,"PRIMEROS AUXILIOS ",IF(P399=#REF!,"DIPLOMADO DE UNIDAD DE CUIDADOS INTENSIVOS (UCI)",IF(P399=#REF!,"MODELO DE ATENCION PARA EVENTOS EMERGENTES EN SALUD MENTAL (CODIGO VERDE)",IF(P399=#REF!,"HUMANIZACION EN EL SERVICIO DE LA SALUD Y BUENAS PRACTICAS EN PACIENTE ",IF(P399=#REF!,"CLINICA DE HERIDAS ",IF(P399=#REF!,"TOMA DE CITOLOGIA CERVICO VAGINAL ",IF(P399=#REF!,"SOPORTE CARDIOVASCULAR AVANZADO (ACLS) ",IF(P399=#REF!,"CAMILLERO ",IF(P399=#REF!,"TOMA DE MUESTRAS Y LABORATORIO ",IF(P399=#REF!,"SOPORTE VITAL BASICO (BLS)",IF(P399=#REF!,"ATENCION A VICTIMAS DE VIOLENCIA SEXUAL ",IF(P399=#REF!,"PROGRAMADO AMPLIADO DE INMUNIZACION (PAI - COVID 19)",IF(P399=#REF!,"ATENCION INTEGRAL EN ENFERMEDADES PREVALENTES EN PRIMERA INFANCIA (AIEPI)",IF(P399=#REF!,"ADMINISTRACION DE MEDICAMENTOS, INYECTOLOGIA  Y CANALIZACION ",IF(P399=#REF!,"OPERADOR DE VEHICULOS DE EMERGENCIA (OVE)",IF(P399=#REF!,"INSTITUCIONES AMIGAS DE LA MUJER Y LA INFANCIA (IAMI)",IF(P399=#REF!,"CUIDADO DEL DONANTE DE ORGANOS",IF(P399=#REF!,"ATENCION A VICTIMAS POR VIOLENCIA DE GENERO",IF(P399=#REF!,"IGUALDAD DE GENERO EN LA SALUD",IF(P399=#REF!,"BRIGADA DE EMERGENCIA",IF(P399=#REF!,"MANEJO DEL DOLOR Y CUIDADOS PALIATIVOS",IF(P399=#REF!,"TOMA DE MUESTRAS Y LABORATORIO POCT",IF(P399=#REF!,"IMPLANTE SUBDERMICO DE DISPOSITIVO INTRAUTERINO",IF(P399=#REF!,"SALUD MENTAL",IF(P399=#REF!,"PRIMEROS AUXILIOS PSICOLOGICOS",IF(P399=#REF!,"ATENCION A VICTIMAS POR CONFLICTO ARMADO",IF(P399=#REF!,"MANIPULACION DE ALIMENTOS Y BPM",IF(P399=#REF!,"ATENCION A PERSONAS CON DISCAPACIDAD",IF(P399=#REF!,"CUIDADO INTEGRAL DEL PACIENTE ADULTO",IF(P399=#REF!,"MANEJO DEFENSIVO",IF(P399=#REF!,"SOPORTE CARDIOVASCULAR AVANZADO NEONATAL",IF(P399=#REF!,"SEGURIDAD DEL PACIENTE",IF(P399=#REF!,"MANEJO DE RESIDUOS HOSPITALARIOS"))))))))))))))))))))))))))))))))))))</f>
        <v>#REF!</v>
      </c>
      <c r="W399" s="26" t="str">
        <f>CONCATENATE(E399," ",F399," ",C399," ",D399)</f>
        <v>Katty Yolima Ibarra Rosero</v>
      </c>
      <c r="X399" s="26" t="str">
        <f t="shared" si="32"/>
        <v>Katty Yolima Ibarra Rosero</v>
      </c>
      <c r="Y399" s="26" t="str">
        <f>CONCATENATE(W399,"-",B399,"-",P399)</f>
        <v>Katty Yolima Ibarra Rosero-59795076-BLS</v>
      </c>
    </row>
    <row r="400" spans="1:25" x14ac:dyDescent="0.2">
      <c r="A400" s="20">
        <v>147</v>
      </c>
      <c r="B400" s="21">
        <v>59795076</v>
      </c>
      <c r="C400" s="21" t="s">
        <v>355</v>
      </c>
      <c r="D400" s="21" t="s">
        <v>175</v>
      </c>
      <c r="E400" s="21" t="s">
        <v>356</v>
      </c>
      <c r="F400" s="21" t="s">
        <v>357</v>
      </c>
      <c r="G400" s="21">
        <v>18</v>
      </c>
      <c r="H400" s="21" t="s">
        <v>49</v>
      </c>
      <c r="I400" s="22" t="s">
        <v>376</v>
      </c>
      <c r="J400" s="22"/>
      <c r="K400" s="23">
        <v>45678</v>
      </c>
      <c r="L400" s="24">
        <v>30000</v>
      </c>
      <c r="M400" s="21" t="s">
        <v>106</v>
      </c>
      <c r="N400" s="21" t="s">
        <v>387</v>
      </c>
      <c r="O400" s="21" t="s">
        <v>95</v>
      </c>
      <c r="P400" s="21" t="s">
        <v>21</v>
      </c>
      <c r="Q400" s="22">
        <v>26717</v>
      </c>
      <c r="R400" s="21" t="s">
        <v>71</v>
      </c>
      <c r="S400" s="27" t="s">
        <v>172</v>
      </c>
      <c r="T400" s="25">
        <v>3104236881</v>
      </c>
      <c r="U400" s="21" t="s">
        <v>358</v>
      </c>
      <c r="V400" s="26" t="e">
        <f>IF(P400=#REF!,"DIPLOMADO EN ATENCION PRE-HOSPITALARIA",IF(P400=#REF!,"ACOMPAÑAMIENTO Y MANEJO DEL DUELO",IF(P400=#REF!,"ATENCION A VICTIMAS DE ATAQUE CON AGENTES QUIMICOS ",IF(P400=#REF!,"PRIMEROS AUXILIOS ",IF(P400=#REF!,"DIPLOMADO DE UNIDAD DE CUIDADOS INTENSIVOS (UCI)",IF(P400=#REF!,"MODELO DE ATENCION PARA EVENTOS EMERGENTES EN SALUD MENTAL (CODIGO VERDE)",IF(P400=#REF!,"HUMANIZACION EN EL SERVICIO DE LA SALUD Y BUENAS PRACTICAS EN PACIENTE ",IF(P400=#REF!,"CLINICA DE HERIDAS ",IF(P400=#REF!,"TOMA DE CITOLOGIA CERVICO VAGINAL ",IF(P400=#REF!,"SOPORTE CARDIOVASCULAR AVANZADO (ACLS) ",IF(P400=#REF!,"CAMILLERO ",IF(P400=#REF!,"TOMA DE MUESTRAS Y LABORATORIO ",IF(P400=#REF!,"SOPORTE VITAL BASICO (BLS)",IF(P400=#REF!,"ATENCION A VICTIMAS DE VIOLENCIA SEXUAL ",IF(P400=#REF!,"PROGRAMADO AMPLIADO DE INMUNIZACION (PAI - COVID 19)",IF(P400=#REF!,"ATENCION INTEGRAL EN ENFERMEDADES PREVALENTES EN PRIMERA INFANCIA (AIEPI)",IF(P400=#REF!,"ADMINISTRACION DE MEDICAMENTOS, INYECTOLOGIA  Y CANALIZACION ",IF(P400=#REF!,"OPERADOR DE VEHICULOS DE EMERGENCIA (OVE)",IF(P400=#REF!,"INSTITUCIONES AMIGAS DE LA MUJER Y LA INFANCIA (IAMI)",IF(P400=#REF!,"CUIDADO DEL DONANTE DE ORGANOS",IF(P400=#REF!,"ATENCION A VICTIMAS POR VIOLENCIA DE GENERO",IF(P400=#REF!,"IGUALDAD DE GENERO EN LA SALUD",IF(P400=#REF!,"BRIGADA DE EMERGENCIA",IF(P400=#REF!,"MANEJO DEL DOLOR Y CUIDADOS PALIATIVOS",IF(P400=#REF!,"TOMA DE MUESTRAS Y LABORATORIO POCT",IF(P400=#REF!,"IMPLANTE SUBDERMICO DE DISPOSITIVO INTRAUTERINO",IF(P400=#REF!,"SALUD MENTAL",IF(P400=#REF!,"PRIMEROS AUXILIOS PSICOLOGICOS",IF(P400=#REF!,"ATENCION A VICTIMAS POR CONFLICTO ARMADO",IF(P400=#REF!,"MANIPULACION DE ALIMENTOS Y BPM",IF(P400=#REF!,"ATENCION A PERSONAS CON DISCAPACIDAD",IF(P400=#REF!,"CUIDADO INTEGRAL DEL PACIENTE ADULTO",IF(P400=#REF!,"MANEJO DEFENSIVO",IF(P400=#REF!,"SOPORTE CARDIOVASCULAR AVANZADO NEONATAL",IF(P400=#REF!,"SEGURIDAD DEL PACIENTE",IF(P400=#REF!,"MANEJO DE RESIDUOS HOSPITALARIOS"))))))))))))))))))))))))))))))))))))</f>
        <v>#REF!</v>
      </c>
      <c r="W400" s="26" t="str">
        <f>CONCATENATE(E400," ",F400," ",C400," ",D400)</f>
        <v>Katty Yolima Ibarra Rosero</v>
      </c>
      <c r="X400" s="26" t="str">
        <f t="shared" si="32"/>
        <v>Katty Yolima Ibarra Rosero</v>
      </c>
      <c r="Y400" s="26" t="str">
        <f>CONCATENATE(W400,"-",B400,"-",P400)</f>
        <v>Katty Yolima Ibarra Rosero-59795076-QUIMICOS</v>
      </c>
    </row>
    <row r="401" spans="1:25" x14ac:dyDescent="0.2">
      <c r="A401" s="20">
        <v>148</v>
      </c>
      <c r="B401" s="21">
        <v>59795076</v>
      </c>
      <c r="C401" s="21" t="s">
        <v>355</v>
      </c>
      <c r="D401" s="21" t="s">
        <v>175</v>
      </c>
      <c r="E401" s="21" t="s">
        <v>356</v>
      </c>
      <c r="F401" s="21" t="s">
        <v>357</v>
      </c>
      <c r="G401" s="21">
        <v>18</v>
      </c>
      <c r="H401" s="21" t="s">
        <v>49</v>
      </c>
      <c r="I401" s="22" t="s">
        <v>376</v>
      </c>
      <c r="J401" s="22"/>
      <c r="K401" s="23">
        <v>45678</v>
      </c>
      <c r="L401" s="24">
        <v>30000</v>
      </c>
      <c r="M401" s="21" t="s">
        <v>106</v>
      </c>
      <c r="N401" s="21" t="s">
        <v>387</v>
      </c>
      <c r="O401" s="21" t="s">
        <v>95</v>
      </c>
      <c r="P401" s="21" t="s">
        <v>27</v>
      </c>
      <c r="Q401" s="22">
        <v>26717</v>
      </c>
      <c r="R401" s="21" t="s">
        <v>71</v>
      </c>
      <c r="S401" s="27" t="s">
        <v>172</v>
      </c>
      <c r="T401" s="25">
        <v>3104236881</v>
      </c>
      <c r="U401" s="21" t="s">
        <v>358</v>
      </c>
      <c r="V401" s="26" t="e">
        <f>IF(P401=#REF!,"DIPLOMADO EN ATENCION PRE-HOSPITALARIA",IF(P401=#REF!,"ACOMPAÑAMIENTO Y MANEJO DEL DUELO",IF(P401=#REF!,"ATENCION A VICTIMAS DE ATAQUE CON AGENTES QUIMICOS ",IF(P401=#REF!,"PRIMEROS AUXILIOS ",IF(P401=#REF!,"DIPLOMADO DE UNIDAD DE CUIDADOS INTENSIVOS (UCI)",IF(P401=#REF!,"MODELO DE ATENCION PARA EVENTOS EMERGENTES EN SALUD MENTAL (CODIGO VERDE)",IF(P401=#REF!,"HUMANIZACION EN EL SERVICIO DE LA SALUD Y BUENAS PRACTICAS EN PACIENTE ",IF(P401=#REF!,"CLINICA DE HERIDAS ",IF(P401=#REF!,"TOMA DE CITOLOGIA CERVICO VAGINAL ",IF(P401=#REF!,"SOPORTE CARDIOVASCULAR AVANZADO (ACLS) ",IF(P401=#REF!,"CAMILLERO ",IF(P401=#REF!,"TOMA DE MUESTRAS Y LABORATORIO ",IF(P401=#REF!,"SOPORTE VITAL BASICO (BLS)",IF(P401=#REF!,"ATENCION A VICTIMAS DE VIOLENCIA SEXUAL ",IF(P401=#REF!,"PROGRAMADO AMPLIADO DE INMUNIZACION (PAI - COVID 19)",IF(P401=#REF!,"ATENCION INTEGRAL EN ENFERMEDADES PREVALENTES EN PRIMERA INFANCIA (AIEPI)",IF(P401=#REF!,"ADMINISTRACION DE MEDICAMENTOS, INYECTOLOGIA  Y CANALIZACION ",IF(P401=#REF!,"OPERADOR DE VEHICULOS DE EMERGENCIA (OVE)",IF(P401=#REF!,"INSTITUCIONES AMIGAS DE LA MUJER Y LA INFANCIA (IAMI)",IF(P401=#REF!,"CUIDADO DEL DONANTE DE ORGANOS",IF(P401=#REF!,"ATENCION A VICTIMAS POR VIOLENCIA DE GENERO",IF(P401=#REF!,"IGUALDAD DE GENERO EN LA SALUD",IF(P401=#REF!,"BRIGADA DE EMERGENCIA",IF(P401=#REF!,"MANEJO DEL DOLOR Y CUIDADOS PALIATIVOS",IF(P401=#REF!,"TOMA DE MUESTRAS Y LABORATORIO POCT",IF(P401=#REF!,"IMPLANTE SUBDERMICO DE DISPOSITIVO INTRAUTERINO",IF(P401=#REF!,"SALUD MENTAL",IF(P401=#REF!,"PRIMEROS AUXILIOS PSICOLOGICOS",IF(P401=#REF!,"ATENCION A VICTIMAS POR CONFLICTO ARMADO",IF(P401=#REF!,"MANIPULACION DE ALIMENTOS Y BPM",IF(P401=#REF!,"ATENCION A PERSONAS CON DISCAPACIDAD",IF(P401=#REF!,"CUIDADO INTEGRAL DEL PACIENTE ADULTO",IF(P401=#REF!,"MANEJO DEFENSIVO",IF(P401=#REF!,"SOPORTE CARDIOVASCULAR AVANZADO NEONATAL",IF(P401=#REF!,"SEGURIDAD DEL PACIENTE",IF(P401=#REF!,"MANEJO DE RESIDUOS HOSPITALARIOS"))))))))))))))))))))))))))))))))))))</f>
        <v>#REF!</v>
      </c>
      <c r="W401" s="26" t="str">
        <f>CONCATENATE(E401," ",F401," ",C401," ",D401)</f>
        <v>Katty Yolima Ibarra Rosero</v>
      </c>
      <c r="X401" s="26" t="str">
        <f t="shared" si="32"/>
        <v>Katty Yolima Ibarra Rosero</v>
      </c>
      <c r="Y401" s="26" t="str">
        <f>CONCATENATE(W401,"-",B401,"-",P401)</f>
        <v>Katty Yolima Ibarra Rosero-59795076-VIOLENCIA SEXUAL</v>
      </c>
    </row>
    <row r="402" spans="1:25" x14ac:dyDescent="0.2">
      <c r="A402" s="20">
        <v>149</v>
      </c>
      <c r="B402" s="21">
        <v>59795076</v>
      </c>
      <c r="C402" s="21" t="s">
        <v>355</v>
      </c>
      <c r="D402" s="21" t="s">
        <v>175</v>
      </c>
      <c r="E402" s="21" t="s">
        <v>356</v>
      </c>
      <c r="F402" s="21" t="s">
        <v>357</v>
      </c>
      <c r="G402" s="21">
        <v>21</v>
      </c>
      <c r="H402" s="21" t="s">
        <v>49</v>
      </c>
      <c r="I402" s="22" t="s">
        <v>376</v>
      </c>
      <c r="J402" s="22"/>
      <c r="K402" s="23">
        <v>45678</v>
      </c>
      <c r="L402" s="24">
        <v>30000</v>
      </c>
      <c r="M402" s="21" t="s">
        <v>106</v>
      </c>
      <c r="N402" s="21" t="s">
        <v>387</v>
      </c>
      <c r="O402" s="21" t="s">
        <v>95</v>
      </c>
      <c r="P402" s="21" t="s">
        <v>20</v>
      </c>
      <c r="Q402" s="22">
        <v>26717</v>
      </c>
      <c r="R402" s="21" t="s">
        <v>71</v>
      </c>
      <c r="S402" s="27" t="s">
        <v>172</v>
      </c>
      <c r="T402" s="25">
        <v>3104236881</v>
      </c>
      <c r="U402" s="21" t="s">
        <v>358</v>
      </c>
      <c r="V402" s="26" t="e">
        <f>IF(P402=#REF!,"DIPLOMADO EN ATENCION PRE-HOSPITALARIA",IF(P402=#REF!,"ACOMPAÑAMIENTO Y MANEJO DEL DUELO",IF(P402=#REF!,"ATENCION A VICTIMAS DE ATAQUE CON AGENTES QUIMICOS ",IF(P402=#REF!,"PRIMEROS AUXILIOS ",IF(P402=#REF!,"DIPLOMADO DE UNIDAD DE CUIDADOS INTENSIVOS (UCI)",IF(P402=#REF!,"MODELO DE ATENCION PARA EVENTOS EMERGENTES EN SALUD MENTAL (CODIGO VERDE)",IF(P402=#REF!,"HUMANIZACION EN EL SERVICIO DE LA SALUD Y BUENAS PRACTICAS EN PACIENTE ",IF(P402=#REF!,"CLINICA DE HERIDAS ",IF(P402=#REF!,"TOMA DE CITOLOGIA CERVICO VAGINAL ",IF(P402=#REF!,"SOPORTE CARDIOVASCULAR AVANZADO (ACLS) ",IF(P402=#REF!,"CAMILLERO ",IF(P402=#REF!,"TOMA DE MUESTRAS Y LABORATORIO ",IF(P402=#REF!,"SOPORTE VITAL BASICO (BLS)",IF(P402=#REF!,"ATENCION A VICTIMAS DE VIOLENCIA SEXUAL ",IF(P402=#REF!,"PROGRAMADO AMPLIADO DE INMUNIZACION (PAI - COVID 19)",IF(P402=#REF!,"ATENCION INTEGRAL EN ENFERMEDADES PREVALENTES EN PRIMERA INFANCIA (AIEPI)",IF(P402=#REF!,"ADMINISTRACION DE MEDICAMENTOS, INYECTOLOGIA  Y CANALIZACION ",IF(P402=#REF!,"OPERADOR DE VEHICULOS DE EMERGENCIA (OVE)",IF(P402=#REF!,"INSTITUCIONES AMIGAS DE LA MUJER Y LA INFANCIA (IAMI)",IF(P402=#REF!,"CUIDADO DEL DONANTE DE ORGANOS",IF(P402=#REF!,"ATENCION A VICTIMAS POR VIOLENCIA DE GENERO",IF(P402=#REF!,"IGUALDAD DE GENERO EN LA SALUD",IF(P402=#REF!,"BRIGADA DE EMERGENCIA",IF(P402=#REF!,"MANEJO DEL DOLOR Y CUIDADOS PALIATIVOS",IF(P402=#REF!,"TOMA DE MUESTRAS Y LABORATORIO POCT",IF(P402=#REF!,"IMPLANTE SUBDERMICO DE DISPOSITIVO INTRAUTERINO",IF(P402=#REF!,"SALUD MENTAL",IF(P402=#REF!,"PRIMEROS AUXILIOS PSICOLOGICOS",IF(P402=#REF!,"ATENCION A VICTIMAS POR CONFLICTO ARMADO",IF(P402=#REF!,"MANIPULACION DE ALIMENTOS Y BPM",IF(P402=#REF!,"ATENCION A PERSONAS CON DISCAPACIDAD",IF(P402=#REF!,"CUIDADO INTEGRAL DEL PACIENTE ADULTO",IF(P402=#REF!,"MANEJO DEFENSIVO",IF(P402=#REF!,"SOPORTE CARDIOVASCULAR AVANZADO NEONATAL",IF(P402=#REF!,"SEGURIDAD DEL PACIENTE",IF(P402=#REF!,"MANEJO DE RESIDUOS HOSPITALARIOS"))))))))))))))))))))))))))))))))))))</f>
        <v>#REF!</v>
      </c>
      <c r="W402" s="26" t="str">
        <f>CONCATENATE(E402," ",F402," ",C402," ",D402)</f>
        <v>Katty Yolima Ibarra Rosero</v>
      </c>
      <c r="X402" s="26" t="str">
        <f t="shared" si="32"/>
        <v>Katty Yolima Ibarra Rosero</v>
      </c>
      <c r="Y402" s="26" t="str">
        <f>CONCATENATE(W402,"-",B402,"-",P402)</f>
        <v>Katty Yolima Ibarra Rosero-59795076-DUELO</v>
      </c>
    </row>
    <row r="403" spans="1:25" x14ac:dyDescent="0.2">
      <c r="A403" s="20">
        <v>150</v>
      </c>
      <c r="B403" s="21">
        <v>59795076</v>
      </c>
      <c r="C403" s="21" t="s">
        <v>355</v>
      </c>
      <c r="D403" s="21" t="s">
        <v>175</v>
      </c>
      <c r="E403" s="21" t="s">
        <v>356</v>
      </c>
      <c r="F403" s="21" t="s">
        <v>357</v>
      </c>
      <c r="G403" s="21">
        <v>20</v>
      </c>
      <c r="H403" s="21" t="s">
        <v>49</v>
      </c>
      <c r="I403" s="22" t="s">
        <v>376</v>
      </c>
      <c r="J403" s="22"/>
      <c r="K403" s="23">
        <v>45678</v>
      </c>
      <c r="L403" s="24">
        <v>30000</v>
      </c>
      <c r="M403" s="21" t="s">
        <v>106</v>
      </c>
      <c r="N403" s="21" t="s">
        <v>387</v>
      </c>
      <c r="O403" s="21" t="s">
        <v>95</v>
      </c>
      <c r="P403" s="21" t="s">
        <v>23</v>
      </c>
      <c r="Q403" s="22">
        <v>26717</v>
      </c>
      <c r="R403" s="21" t="s">
        <v>71</v>
      </c>
      <c r="S403" s="27" t="s">
        <v>172</v>
      </c>
      <c r="T403" s="25">
        <v>3104236881</v>
      </c>
      <c r="U403" s="21" t="s">
        <v>358</v>
      </c>
      <c r="V403" s="26" t="e">
        <f>IF(P403=#REF!,"DIPLOMADO EN ATENCION PRE-HOSPITALARIA",IF(P403=#REF!,"ACOMPAÑAMIENTO Y MANEJO DEL DUELO",IF(P403=#REF!,"ATENCION A VICTIMAS DE ATAQUE CON AGENTES QUIMICOS ",IF(P403=#REF!,"PRIMEROS AUXILIOS ",IF(P403=#REF!,"DIPLOMADO DE UNIDAD DE CUIDADOS INTENSIVOS (UCI)",IF(P403=#REF!,"MODELO DE ATENCION PARA EVENTOS EMERGENTES EN SALUD MENTAL (CODIGO VERDE)",IF(P403=#REF!,"HUMANIZACION EN EL SERVICIO DE LA SALUD Y BUENAS PRACTICAS EN PACIENTE ",IF(P403=#REF!,"CLINICA DE HERIDAS ",IF(P403=#REF!,"TOMA DE CITOLOGIA CERVICO VAGINAL ",IF(P403=#REF!,"SOPORTE CARDIOVASCULAR AVANZADO (ACLS) ",IF(P403=#REF!,"CAMILLERO ",IF(P403=#REF!,"TOMA DE MUESTRAS Y LABORATORIO ",IF(P403=#REF!,"SOPORTE VITAL BASICO (BLS)",IF(P403=#REF!,"ATENCION A VICTIMAS DE VIOLENCIA SEXUAL ",IF(P403=#REF!,"PROGRAMADO AMPLIADO DE INMUNIZACION (PAI - COVID 19)",IF(P403=#REF!,"ATENCION INTEGRAL EN ENFERMEDADES PREVALENTES EN PRIMERA INFANCIA (AIEPI)",IF(P403=#REF!,"ADMINISTRACION DE MEDICAMENTOS, INYECTOLOGIA  Y CANALIZACION ",IF(P403=#REF!,"OPERADOR DE VEHICULOS DE EMERGENCIA (OVE)",IF(P403=#REF!,"INSTITUCIONES AMIGAS DE LA MUJER Y LA INFANCIA (IAMI)",IF(P403=#REF!,"CUIDADO DEL DONANTE DE ORGANOS",IF(P403=#REF!,"ATENCION A VICTIMAS POR VIOLENCIA DE GENERO",IF(P403=#REF!,"IGUALDAD DE GENERO EN LA SALUD",IF(P403=#REF!,"BRIGADA DE EMERGENCIA",IF(P403=#REF!,"MANEJO DEL DOLOR Y CUIDADOS PALIATIVOS",IF(P403=#REF!,"TOMA DE MUESTRAS Y LABORATORIO POCT",IF(P403=#REF!,"IMPLANTE SUBDERMICO DE DISPOSITIVO INTRAUTERINO",IF(P403=#REF!,"SALUD MENTAL",IF(P403=#REF!,"PRIMEROS AUXILIOS PSICOLOGICOS",IF(P403=#REF!,"ATENCION A VICTIMAS POR CONFLICTO ARMADO",IF(P403=#REF!,"MANIPULACION DE ALIMENTOS Y BPM",IF(P403=#REF!,"ATENCION A PERSONAS CON DISCAPACIDAD",IF(P403=#REF!,"CUIDADO INTEGRAL DEL PACIENTE ADULTO",IF(P403=#REF!,"MANEJO DEFENSIVO",IF(P403=#REF!,"SOPORTE CARDIOVASCULAR AVANZADO NEONATAL",IF(P403=#REF!,"SEGURIDAD DEL PACIENTE",IF(P403=#REF!,"MANEJO DE RESIDUOS HOSPITALARIOS"))))))))))))))))))))))))))))))))))))</f>
        <v>#REF!</v>
      </c>
      <c r="W403" s="26" t="str">
        <f>CONCATENATE(E403," ",F403," ",C403," ",D403)</f>
        <v>Katty Yolima Ibarra Rosero</v>
      </c>
      <c r="X403" s="26" t="str">
        <f t="shared" si="32"/>
        <v>Katty Yolima Ibarra Rosero</v>
      </c>
      <c r="Y403" s="26" t="str">
        <f>CONCATENATE(W403,"-",B403,"-",P403)</f>
        <v>Katty Yolima Ibarra Rosero-59795076-HUMANIZACION</v>
      </c>
    </row>
    <row r="404" spans="1:25" x14ac:dyDescent="0.2">
      <c r="A404" s="20">
        <v>151</v>
      </c>
      <c r="B404" s="21">
        <v>59795076</v>
      </c>
      <c r="C404" s="21" t="s">
        <v>355</v>
      </c>
      <c r="D404" s="21" t="s">
        <v>175</v>
      </c>
      <c r="E404" s="21" t="s">
        <v>356</v>
      </c>
      <c r="F404" s="21" t="s">
        <v>357</v>
      </c>
      <c r="G404" s="21">
        <v>21</v>
      </c>
      <c r="H404" s="21" t="s">
        <v>49</v>
      </c>
      <c r="I404" s="22" t="s">
        <v>376</v>
      </c>
      <c r="J404" s="22"/>
      <c r="K404" s="23">
        <v>45678</v>
      </c>
      <c r="L404" s="24">
        <v>30000</v>
      </c>
      <c r="M404" s="21" t="s">
        <v>106</v>
      </c>
      <c r="N404" s="21" t="s">
        <v>387</v>
      </c>
      <c r="O404" s="21" t="s">
        <v>95</v>
      </c>
      <c r="P404" s="21" t="s">
        <v>28</v>
      </c>
      <c r="Q404" s="22">
        <v>26717</v>
      </c>
      <c r="R404" s="21" t="s">
        <v>71</v>
      </c>
      <c r="S404" s="27" t="s">
        <v>172</v>
      </c>
      <c r="T404" s="25">
        <v>3104236881</v>
      </c>
      <c r="U404" s="21" t="s">
        <v>358</v>
      </c>
      <c r="V404" s="26" t="e">
        <f>IF(P404=#REF!,"DIPLOMADO EN ATENCION PRE-HOSPITALARIA",IF(P404=#REF!,"ACOMPAÑAMIENTO Y MANEJO DEL DUELO",IF(P404=#REF!,"ATENCION A VICTIMAS DE ATAQUE CON AGENTES QUIMICOS ",IF(P404=#REF!,"PRIMEROS AUXILIOS ",IF(P404=#REF!,"DIPLOMADO DE UNIDAD DE CUIDADOS INTENSIVOS (UCI)",IF(P404=#REF!,"MODELO DE ATENCION PARA EVENTOS EMERGENTES EN SALUD MENTAL (CODIGO VERDE)",IF(P404=#REF!,"HUMANIZACION EN EL SERVICIO DE LA SALUD Y BUENAS PRACTICAS EN PACIENTE ",IF(P404=#REF!,"CLINICA DE HERIDAS ",IF(P404=#REF!,"TOMA DE CITOLOGIA CERVICO VAGINAL ",IF(P404=#REF!,"SOPORTE CARDIOVASCULAR AVANZADO (ACLS) ",IF(P404=#REF!,"CAMILLERO ",IF(P404=#REF!,"TOMA DE MUESTRAS Y LABORATORIO ",IF(P404=#REF!,"SOPORTE VITAL BASICO (BLS)",IF(P404=#REF!,"ATENCION A VICTIMAS DE VIOLENCIA SEXUAL ",IF(P404=#REF!,"PROGRAMADO AMPLIADO DE INMUNIZACION (PAI - COVID 19)",IF(P404=#REF!,"ATENCION INTEGRAL EN ENFERMEDADES PREVALENTES EN PRIMERA INFANCIA (AIEPI)",IF(P404=#REF!,"ADMINISTRACION DE MEDICAMENTOS, INYECTOLOGIA  Y CANALIZACION ",IF(P404=#REF!,"OPERADOR DE VEHICULOS DE EMERGENCIA (OVE)",IF(P404=#REF!,"INSTITUCIONES AMIGAS DE LA MUJER Y LA INFANCIA (IAMI)",IF(P404=#REF!,"CUIDADO DEL DONANTE DE ORGANOS",IF(P404=#REF!,"ATENCION A VICTIMAS POR VIOLENCIA DE GENERO",IF(P404=#REF!,"IGUALDAD DE GENERO EN LA SALUD",IF(P404=#REF!,"BRIGADA DE EMERGENCIA",IF(P404=#REF!,"MANEJO DEL DOLOR Y CUIDADOS PALIATIVOS",IF(P404=#REF!,"TOMA DE MUESTRAS Y LABORATORIO POCT",IF(P404=#REF!,"IMPLANTE SUBDERMICO DE DISPOSITIVO INTRAUTERINO",IF(P404=#REF!,"SALUD MENTAL",IF(P404=#REF!,"PRIMEROS AUXILIOS PSICOLOGICOS",IF(P404=#REF!,"ATENCION A VICTIMAS POR CONFLICTO ARMADO",IF(P404=#REF!,"MANIPULACION DE ALIMENTOS Y BPM",IF(P404=#REF!,"ATENCION A PERSONAS CON DISCAPACIDAD",IF(P404=#REF!,"CUIDADO INTEGRAL DEL PACIENTE ADULTO",IF(P404=#REF!,"MANEJO DEFENSIVO",IF(P404=#REF!,"SOPORTE CARDIOVASCULAR AVANZADO NEONATAL",IF(P404=#REF!,"SEGURIDAD DEL PACIENTE",IF(P404=#REF!,"MANEJO DE RESIDUOS HOSPITALARIOS"))))))))))))))))))))))))))))))))))))</f>
        <v>#REF!</v>
      </c>
      <c r="W404" s="26" t="str">
        <f>CONCATENATE(E404," ",F404," ",C404," ",D404)</f>
        <v>Katty Yolima Ibarra Rosero</v>
      </c>
      <c r="X404" s="26" t="str">
        <f t="shared" si="32"/>
        <v>Katty Yolima Ibarra Rosero</v>
      </c>
      <c r="Y404" s="26" t="str">
        <f>CONCATENATE(W404,"-",B404,"-",P404)</f>
        <v>Katty Yolima Ibarra Rosero-59795076-AIEPI</v>
      </c>
    </row>
    <row r="405" spans="1:25" x14ac:dyDescent="0.2">
      <c r="A405" s="20">
        <v>152</v>
      </c>
      <c r="B405" s="21">
        <v>1004696220</v>
      </c>
      <c r="C405" s="21" t="s">
        <v>112</v>
      </c>
      <c r="D405" s="21" t="s">
        <v>175</v>
      </c>
      <c r="E405" s="21" t="s">
        <v>359</v>
      </c>
      <c r="F405" s="21" t="s">
        <v>68</v>
      </c>
      <c r="G405" s="21">
        <v>18</v>
      </c>
      <c r="H405" s="21" t="s">
        <v>49</v>
      </c>
      <c r="I405" s="22" t="s">
        <v>376</v>
      </c>
      <c r="J405" s="22"/>
      <c r="K405" s="23">
        <v>45678</v>
      </c>
      <c r="L405" s="42">
        <v>30000</v>
      </c>
      <c r="M405" s="21" t="s">
        <v>106</v>
      </c>
      <c r="N405" s="21" t="s">
        <v>387</v>
      </c>
      <c r="O405" s="21" t="s">
        <v>95</v>
      </c>
      <c r="P405" s="21" t="s">
        <v>27</v>
      </c>
      <c r="Q405" s="22"/>
      <c r="R405" s="21" t="s">
        <v>71</v>
      </c>
      <c r="S405" s="21" t="s">
        <v>107</v>
      </c>
      <c r="T405" s="21">
        <v>322519203</v>
      </c>
      <c r="U405" s="21" t="s">
        <v>360</v>
      </c>
      <c r="V405" s="26" t="e">
        <f>IF(P405=#REF!,"DIPLOMADO EN ATENCION PRE-HOSPITALARIA",IF(P405=#REF!,"ACOMPAÑAMIENTO Y MANEJO DEL DUELO",IF(P405=#REF!,"ATENCION A VICTIMAS DE ATAQUE CON AGENTES QUIMICOS ",IF(P405=#REF!,"PRIMEROS AUXILIOS ",IF(P405=#REF!,"DIPLOMADO DE UNIDAD DE CUIDADOS INTENSIVOS (UCI)",IF(P405=#REF!,"MODELO DE ATENCION PARA EVENTOS EMERGENTES EN SALUD MENTAL (CODIGO VERDE)",IF(P405=#REF!,"HUMANIZACION EN EL SERVICIO DE LA SALUD Y BUENAS PRACTICAS EN PACIENTE ",IF(P405=#REF!,"CLINICA DE HERIDAS ",IF(P405=#REF!,"TOMA DE CITOLOGIA CERVICO VAGINAL ",IF(P405=#REF!,"SOPORTE CARDIOVASCULAR AVANZADO (ACLS) ",IF(P405=#REF!,"CAMILLERO ",IF(P405=#REF!,"TOMA DE MUESTRAS Y LABORATORIO ",IF(P405=#REF!,"SOPORTE VITAL BASICO (BLS)",IF(P405=#REF!,"ATENCION A VICTIMAS DE VIOLENCIA SEXUAL ",IF(P405=#REF!,"PROGRAMADO AMPLIADO DE INMUNIZACION (PAI - COVID 19)",IF(P405=#REF!,"ATENCION INTEGRAL EN ENFERMEDADES PREVALENTES EN PRIMERA INFANCIA (AIEPI)",IF(P405=#REF!,"ADMINISTRACION DE MEDICAMENTOS, INYECTOLOGIA  Y CANALIZACION ",IF(P405=#REF!,"OPERADOR DE VEHICULOS DE EMERGENCIA (OVE)",IF(P405=#REF!,"INSTITUCIONES AMIGAS DE LA MUJER Y LA INFANCIA (IAMI)",IF(P405=#REF!,"CUIDADO DEL DONANTE DE ORGANOS",IF(P405=#REF!,"ATENCION A VICTIMAS POR VIOLENCIA DE GENERO",IF(P405=#REF!,"IGUALDAD DE GENERO EN LA SALUD",IF(P405=#REF!,"BRIGADA DE EMERGENCIA",IF(P405=#REF!,"MANEJO DEL DOLOR Y CUIDADOS PALIATIVOS",IF(P405=#REF!,"TOMA DE MUESTRAS Y LABORATORIO POCT",IF(P405=#REF!,"IMPLANTE SUBDERMICO DE DISPOSITIVO INTRAUTERINO",IF(P405=#REF!,"SALUD MENTAL",IF(P405=#REF!,"PRIMEROS AUXILIOS PSICOLOGICOS",IF(P405=#REF!,"ATENCION A VICTIMAS POR CONFLICTO ARMADO",IF(P405=#REF!,"MANIPULACION DE ALIMENTOS Y BPM",IF(P405=#REF!,"ATENCION A PERSONAS CON DISCAPACIDAD",IF(P405=#REF!,"CUIDADO INTEGRAL DEL PACIENTE ADULTO",IF(P405=#REF!,"MANEJO DEFENSIVO",IF(P405=#REF!,"SOPORTE CARDIOVASCULAR AVANZADO NEONATAL",IF(P405=#REF!,"SEGURIDAD DEL PACIENTE",IF(P405=#REF!,"MANEJO DE RESIDUOS HOSPITALARIOS"))))))))))))))))))))))))))))))))))))</f>
        <v>#REF!</v>
      </c>
      <c r="W405" s="26" t="str">
        <f>CONCATENATE(E405," ",F405," ",C405," ",D405)</f>
        <v>Enyi Johana Melo Rosero</v>
      </c>
      <c r="X405" s="26" t="str">
        <f t="shared" si="32"/>
        <v>Enyi Johana Melo Rosero</v>
      </c>
      <c r="Y405" s="26" t="str">
        <f>CONCATENATE(W405,"-",B405,"-",P405)</f>
        <v>Enyi Johana Melo Rosero-1004696220-VIOLENCIA SEXUAL</v>
      </c>
    </row>
    <row r="406" spans="1:25" x14ac:dyDescent="0.2">
      <c r="A406" s="20">
        <v>153</v>
      </c>
      <c r="B406" s="21">
        <v>1004696220</v>
      </c>
      <c r="C406" s="21" t="s">
        <v>112</v>
      </c>
      <c r="D406" s="21" t="s">
        <v>175</v>
      </c>
      <c r="E406" s="21" t="s">
        <v>359</v>
      </c>
      <c r="F406" s="21" t="s">
        <v>68</v>
      </c>
      <c r="G406" s="21">
        <v>18</v>
      </c>
      <c r="H406" s="21" t="s">
        <v>49</v>
      </c>
      <c r="I406" s="22" t="s">
        <v>376</v>
      </c>
      <c r="J406" s="22"/>
      <c r="K406" s="23">
        <v>45678</v>
      </c>
      <c r="L406" s="42">
        <v>30000</v>
      </c>
      <c r="M406" s="21" t="s">
        <v>106</v>
      </c>
      <c r="N406" s="21" t="s">
        <v>387</v>
      </c>
      <c r="O406" s="21" t="s">
        <v>95</v>
      </c>
      <c r="P406" s="21" t="s">
        <v>21</v>
      </c>
      <c r="Q406" s="22"/>
      <c r="R406" s="21" t="s">
        <v>71</v>
      </c>
      <c r="S406" s="21" t="s">
        <v>107</v>
      </c>
      <c r="T406" s="21">
        <v>322519203</v>
      </c>
      <c r="U406" s="21" t="s">
        <v>360</v>
      </c>
      <c r="V406" s="26" t="e">
        <f>IF(P406=#REF!,"DIPLOMADO EN ATENCION PRE-HOSPITALARIA",IF(P406=#REF!,"ACOMPAÑAMIENTO Y MANEJO DEL DUELO",IF(P406=#REF!,"ATENCION A VICTIMAS DE ATAQUE CON AGENTES QUIMICOS ",IF(P406=#REF!,"PRIMEROS AUXILIOS ",IF(P406=#REF!,"DIPLOMADO DE UNIDAD DE CUIDADOS INTENSIVOS (UCI)",IF(P406=#REF!,"MODELO DE ATENCION PARA EVENTOS EMERGENTES EN SALUD MENTAL (CODIGO VERDE)",IF(P406=#REF!,"HUMANIZACION EN EL SERVICIO DE LA SALUD Y BUENAS PRACTICAS EN PACIENTE ",IF(P406=#REF!,"CLINICA DE HERIDAS ",IF(P406=#REF!,"TOMA DE CITOLOGIA CERVICO VAGINAL ",IF(P406=#REF!,"SOPORTE CARDIOVASCULAR AVANZADO (ACLS) ",IF(P406=#REF!,"CAMILLERO ",IF(P406=#REF!,"TOMA DE MUESTRAS Y LABORATORIO ",IF(P406=#REF!,"SOPORTE VITAL BASICO (BLS)",IF(P406=#REF!,"ATENCION A VICTIMAS DE VIOLENCIA SEXUAL ",IF(P406=#REF!,"PROGRAMADO AMPLIADO DE INMUNIZACION (PAI - COVID 19)",IF(P406=#REF!,"ATENCION INTEGRAL EN ENFERMEDADES PREVALENTES EN PRIMERA INFANCIA (AIEPI)",IF(P406=#REF!,"ADMINISTRACION DE MEDICAMENTOS, INYECTOLOGIA  Y CANALIZACION ",IF(P406=#REF!,"OPERADOR DE VEHICULOS DE EMERGENCIA (OVE)",IF(P406=#REF!,"INSTITUCIONES AMIGAS DE LA MUJER Y LA INFANCIA (IAMI)",IF(P406=#REF!,"CUIDADO DEL DONANTE DE ORGANOS",IF(P406=#REF!,"ATENCION A VICTIMAS POR VIOLENCIA DE GENERO",IF(P406=#REF!,"IGUALDAD DE GENERO EN LA SALUD",IF(P406=#REF!,"BRIGADA DE EMERGENCIA",IF(P406=#REF!,"MANEJO DEL DOLOR Y CUIDADOS PALIATIVOS",IF(P406=#REF!,"TOMA DE MUESTRAS Y LABORATORIO POCT",IF(P406=#REF!,"IMPLANTE SUBDERMICO DE DISPOSITIVO INTRAUTERINO",IF(P406=#REF!,"SALUD MENTAL",IF(P406=#REF!,"PRIMEROS AUXILIOS PSICOLOGICOS",IF(P406=#REF!,"ATENCION A VICTIMAS POR CONFLICTO ARMADO",IF(P406=#REF!,"MANIPULACION DE ALIMENTOS Y BPM",IF(P406=#REF!,"ATENCION A PERSONAS CON DISCAPACIDAD",IF(P406=#REF!,"CUIDADO INTEGRAL DEL PACIENTE ADULTO",IF(P406=#REF!,"MANEJO DEFENSIVO",IF(P406=#REF!,"SOPORTE CARDIOVASCULAR AVANZADO NEONATAL",IF(P406=#REF!,"SEGURIDAD DEL PACIENTE",IF(P406=#REF!,"MANEJO DE RESIDUOS HOSPITALARIOS"))))))))))))))))))))))))))))))))))))</f>
        <v>#REF!</v>
      </c>
      <c r="W406" s="26" t="str">
        <f>CONCATENATE(E406," ",F406," ",C406," ",D406)</f>
        <v>Enyi Johana Melo Rosero</v>
      </c>
      <c r="X406" s="26" t="str">
        <f t="shared" si="32"/>
        <v>Enyi Johana Melo Rosero</v>
      </c>
      <c r="Y406" s="26" t="str">
        <f>CONCATENATE(W406,"-",B406,"-",P406)</f>
        <v>Enyi Johana Melo Rosero-1004696220-QUIMICOS</v>
      </c>
    </row>
    <row r="407" spans="1:25" x14ac:dyDescent="0.2">
      <c r="A407" s="20">
        <v>154</v>
      </c>
      <c r="B407" s="21">
        <v>1004696220</v>
      </c>
      <c r="C407" s="21" t="s">
        <v>112</v>
      </c>
      <c r="D407" s="21" t="s">
        <v>175</v>
      </c>
      <c r="E407" s="21" t="s">
        <v>359</v>
      </c>
      <c r="F407" s="21" t="s">
        <v>68</v>
      </c>
      <c r="G407" s="21">
        <v>21</v>
      </c>
      <c r="H407" s="21" t="s">
        <v>49</v>
      </c>
      <c r="I407" s="22" t="s">
        <v>376</v>
      </c>
      <c r="J407" s="22"/>
      <c r="K407" s="23">
        <v>45678</v>
      </c>
      <c r="L407" s="42">
        <v>30000</v>
      </c>
      <c r="M407" s="21" t="s">
        <v>106</v>
      </c>
      <c r="N407" s="21" t="s">
        <v>387</v>
      </c>
      <c r="O407" s="21" t="s">
        <v>95</v>
      </c>
      <c r="P407" s="21" t="s">
        <v>20</v>
      </c>
      <c r="Q407" s="22"/>
      <c r="R407" s="21" t="s">
        <v>71</v>
      </c>
      <c r="S407" s="21" t="s">
        <v>107</v>
      </c>
      <c r="T407" s="21">
        <v>322519203</v>
      </c>
      <c r="U407" s="21" t="s">
        <v>360</v>
      </c>
      <c r="V407" s="26" t="e">
        <f>IF(P407=#REF!,"DIPLOMADO EN ATENCION PRE-HOSPITALARIA",IF(P407=#REF!,"ACOMPAÑAMIENTO Y MANEJO DEL DUELO",IF(P407=#REF!,"ATENCION A VICTIMAS DE ATAQUE CON AGENTES QUIMICOS ",IF(P407=#REF!,"PRIMEROS AUXILIOS ",IF(P407=#REF!,"DIPLOMADO DE UNIDAD DE CUIDADOS INTENSIVOS (UCI)",IF(P407=#REF!,"MODELO DE ATENCION PARA EVENTOS EMERGENTES EN SALUD MENTAL (CODIGO VERDE)",IF(P407=#REF!,"HUMANIZACION EN EL SERVICIO DE LA SALUD Y BUENAS PRACTICAS EN PACIENTE ",IF(P407=#REF!,"CLINICA DE HERIDAS ",IF(P407=#REF!,"TOMA DE CITOLOGIA CERVICO VAGINAL ",IF(P407=#REF!,"SOPORTE CARDIOVASCULAR AVANZADO (ACLS) ",IF(P407=#REF!,"CAMILLERO ",IF(P407=#REF!,"TOMA DE MUESTRAS Y LABORATORIO ",IF(P407=#REF!,"SOPORTE VITAL BASICO (BLS)",IF(P407=#REF!,"ATENCION A VICTIMAS DE VIOLENCIA SEXUAL ",IF(P407=#REF!,"PROGRAMADO AMPLIADO DE INMUNIZACION (PAI - COVID 19)",IF(P407=#REF!,"ATENCION INTEGRAL EN ENFERMEDADES PREVALENTES EN PRIMERA INFANCIA (AIEPI)",IF(P407=#REF!,"ADMINISTRACION DE MEDICAMENTOS, INYECTOLOGIA  Y CANALIZACION ",IF(P407=#REF!,"OPERADOR DE VEHICULOS DE EMERGENCIA (OVE)",IF(P407=#REF!,"INSTITUCIONES AMIGAS DE LA MUJER Y LA INFANCIA (IAMI)",IF(P407=#REF!,"CUIDADO DEL DONANTE DE ORGANOS",IF(P407=#REF!,"ATENCION A VICTIMAS POR VIOLENCIA DE GENERO",IF(P407=#REF!,"IGUALDAD DE GENERO EN LA SALUD",IF(P407=#REF!,"BRIGADA DE EMERGENCIA",IF(P407=#REF!,"MANEJO DEL DOLOR Y CUIDADOS PALIATIVOS",IF(P407=#REF!,"TOMA DE MUESTRAS Y LABORATORIO POCT",IF(P407=#REF!,"IMPLANTE SUBDERMICO DE DISPOSITIVO INTRAUTERINO",IF(P407=#REF!,"SALUD MENTAL",IF(P407=#REF!,"PRIMEROS AUXILIOS PSICOLOGICOS",IF(P407=#REF!,"ATENCION A VICTIMAS POR CONFLICTO ARMADO",IF(P407=#REF!,"MANIPULACION DE ALIMENTOS Y BPM",IF(P407=#REF!,"ATENCION A PERSONAS CON DISCAPACIDAD",IF(P407=#REF!,"CUIDADO INTEGRAL DEL PACIENTE ADULTO",IF(P407=#REF!,"MANEJO DEFENSIVO",IF(P407=#REF!,"SOPORTE CARDIOVASCULAR AVANZADO NEONATAL",IF(P407=#REF!,"SEGURIDAD DEL PACIENTE",IF(P407=#REF!,"MANEJO DE RESIDUOS HOSPITALARIOS"))))))))))))))))))))))))))))))))))))</f>
        <v>#REF!</v>
      </c>
      <c r="W407" s="26" t="str">
        <f>CONCATENATE(E407," ",F407," ",C407," ",D407)</f>
        <v>Enyi Johana Melo Rosero</v>
      </c>
      <c r="X407" s="26" t="str">
        <f t="shared" si="32"/>
        <v>Enyi Johana Melo Rosero</v>
      </c>
      <c r="Y407" s="26" t="str">
        <f>CONCATENATE(W407,"-",B407,"-",P407)</f>
        <v>Enyi Johana Melo Rosero-1004696220-DUELO</v>
      </c>
    </row>
    <row r="408" spans="1:25" x14ac:dyDescent="0.2">
      <c r="A408" s="20">
        <v>155</v>
      </c>
      <c r="B408" s="21">
        <v>1004696220</v>
      </c>
      <c r="C408" s="21" t="s">
        <v>112</v>
      </c>
      <c r="D408" s="21" t="s">
        <v>175</v>
      </c>
      <c r="E408" s="21" t="s">
        <v>359</v>
      </c>
      <c r="F408" s="21" t="s">
        <v>68</v>
      </c>
      <c r="G408" s="21">
        <v>20</v>
      </c>
      <c r="H408" s="21" t="s">
        <v>49</v>
      </c>
      <c r="I408" s="22" t="s">
        <v>376</v>
      </c>
      <c r="J408" s="22"/>
      <c r="K408" s="23">
        <v>45678</v>
      </c>
      <c r="L408" s="42">
        <v>30000</v>
      </c>
      <c r="M408" s="21" t="s">
        <v>106</v>
      </c>
      <c r="N408" s="21" t="s">
        <v>387</v>
      </c>
      <c r="O408" s="21" t="s">
        <v>95</v>
      </c>
      <c r="P408" s="21" t="s">
        <v>23</v>
      </c>
      <c r="Q408" s="22"/>
      <c r="R408" s="21" t="s">
        <v>71</v>
      </c>
      <c r="S408" s="21" t="s">
        <v>107</v>
      </c>
      <c r="T408" s="21">
        <v>322519203</v>
      </c>
      <c r="U408" s="21" t="s">
        <v>360</v>
      </c>
      <c r="V408" s="26" t="e">
        <f>IF(P408=#REF!,"DIPLOMADO EN ATENCION PRE-HOSPITALARIA",IF(P408=#REF!,"ACOMPAÑAMIENTO Y MANEJO DEL DUELO",IF(P408=#REF!,"ATENCION A VICTIMAS DE ATAQUE CON AGENTES QUIMICOS ",IF(P408=#REF!,"PRIMEROS AUXILIOS ",IF(P408=#REF!,"DIPLOMADO DE UNIDAD DE CUIDADOS INTENSIVOS (UCI)",IF(P408=#REF!,"MODELO DE ATENCION PARA EVENTOS EMERGENTES EN SALUD MENTAL (CODIGO VERDE)",IF(P408=#REF!,"HUMANIZACION EN EL SERVICIO DE LA SALUD Y BUENAS PRACTICAS EN PACIENTE ",IF(P408=#REF!,"CLINICA DE HERIDAS ",IF(P408=#REF!,"TOMA DE CITOLOGIA CERVICO VAGINAL ",IF(P408=#REF!,"SOPORTE CARDIOVASCULAR AVANZADO (ACLS) ",IF(P408=#REF!,"CAMILLERO ",IF(P408=#REF!,"TOMA DE MUESTRAS Y LABORATORIO ",IF(P408=#REF!,"SOPORTE VITAL BASICO (BLS)",IF(P408=#REF!,"ATENCION A VICTIMAS DE VIOLENCIA SEXUAL ",IF(P408=#REF!,"PROGRAMADO AMPLIADO DE INMUNIZACION (PAI - COVID 19)",IF(P408=#REF!,"ATENCION INTEGRAL EN ENFERMEDADES PREVALENTES EN PRIMERA INFANCIA (AIEPI)",IF(P408=#REF!,"ADMINISTRACION DE MEDICAMENTOS, INYECTOLOGIA  Y CANALIZACION ",IF(P408=#REF!,"OPERADOR DE VEHICULOS DE EMERGENCIA (OVE)",IF(P408=#REF!,"INSTITUCIONES AMIGAS DE LA MUJER Y LA INFANCIA (IAMI)",IF(P408=#REF!,"CUIDADO DEL DONANTE DE ORGANOS",IF(P408=#REF!,"ATENCION A VICTIMAS POR VIOLENCIA DE GENERO",IF(P408=#REF!,"IGUALDAD DE GENERO EN LA SALUD",IF(P408=#REF!,"BRIGADA DE EMERGENCIA",IF(P408=#REF!,"MANEJO DEL DOLOR Y CUIDADOS PALIATIVOS",IF(P408=#REF!,"TOMA DE MUESTRAS Y LABORATORIO POCT",IF(P408=#REF!,"IMPLANTE SUBDERMICO DE DISPOSITIVO INTRAUTERINO",IF(P408=#REF!,"SALUD MENTAL",IF(P408=#REF!,"PRIMEROS AUXILIOS PSICOLOGICOS",IF(P408=#REF!,"ATENCION A VICTIMAS POR CONFLICTO ARMADO",IF(P408=#REF!,"MANIPULACION DE ALIMENTOS Y BPM",IF(P408=#REF!,"ATENCION A PERSONAS CON DISCAPACIDAD",IF(P408=#REF!,"CUIDADO INTEGRAL DEL PACIENTE ADULTO",IF(P408=#REF!,"MANEJO DEFENSIVO",IF(P408=#REF!,"SOPORTE CARDIOVASCULAR AVANZADO NEONATAL",IF(P408=#REF!,"SEGURIDAD DEL PACIENTE",IF(P408=#REF!,"MANEJO DE RESIDUOS HOSPITALARIOS"))))))))))))))))))))))))))))))))))))</f>
        <v>#REF!</v>
      </c>
      <c r="W408" s="26" t="str">
        <f>CONCATENATE(E408," ",F408," ",C408," ",D408)</f>
        <v>Enyi Johana Melo Rosero</v>
      </c>
      <c r="X408" s="26" t="str">
        <f t="shared" si="32"/>
        <v>Enyi Johana Melo Rosero</v>
      </c>
      <c r="Y408" s="26" t="str">
        <f>CONCATENATE(W408,"-",B408,"-",P408)</f>
        <v>Enyi Johana Melo Rosero-1004696220-HUMANIZACION</v>
      </c>
    </row>
    <row r="409" spans="1:25" x14ac:dyDescent="0.2">
      <c r="A409" s="20">
        <v>156</v>
      </c>
      <c r="B409" s="21">
        <v>1087206829</v>
      </c>
      <c r="C409" s="21" t="s">
        <v>361</v>
      </c>
      <c r="D409" s="21" t="s">
        <v>362</v>
      </c>
      <c r="E409" s="21" t="s">
        <v>273</v>
      </c>
      <c r="F409" s="21" t="s">
        <v>183</v>
      </c>
      <c r="G409" s="21">
        <v>21</v>
      </c>
      <c r="H409" s="21" t="s">
        <v>49</v>
      </c>
      <c r="I409" s="22" t="s">
        <v>376</v>
      </c>
      <c r="J409" s="22"/>
      <c r="K409" s="23">
        <v>45677</v>
      </c>
      <c r="L409" s="42">
        <v>32000</v>
      </c>
      <c r="M409" s="21" t="s">
        <v>79</v>
      </c>
      <c r="N409" s="21" t="s">
        <v>387</v>
      </c>
      <c r="O409" s="21" t="s">
        <v>69</v>
      </c>
      <c r="P409" s="21" t="s">
        <v>19</v>
      </c>
      <c r="Q409" s="22">
        <v>35390</v>
      </c>
      <c r="R409" s="21" t="s">
        <v>71</v>
      </c>
      <c r="S409" s="21" t="s">
        <v>89</v>
      </c>
      <c r="T409" s="21">
        <v>3146157724</v>
      </c>
      <c r="U409" s="21" t="s">
        <v>363</v>
      </c>
      <c r="V409" s="26" t="e">
        <f>IF(P409=#REF!,"DIPLOMADO EN ATENCION PRE-HOSPITALARIA",IF(P409=#REF!,"ACOMPAÑAMIENTO Y MANEJO DEL DUELO",IF(P409=#REF!,"ATENCION A VICTIMAS DE ATAQUE CON AGENTES QUIMICOS ",IF(P409=#REF!,"PRIMEROS AUXILIOS ",IF(P409=#REF!,"DIPLOMADO DE UNIDAD DE CUIDADOS INTENSIVOS (UCI)",IF(P409=#REF!,"MODELO DE ATENCION PARA EVENTOS EMERGENTES EN SALUD MENTAL (CODIGO VERDE)",IF(P409=#REF!,"HUMANIZACION EN EL SERVICIO DE LA SALUD Y BUENAS PRACTICAS EN PACIENTE ",IF(P409=#REF!,"CLINICA DE HERIDAS ",IF(P409=#REF!,"TOMA DE CITOLOGIA CERVICO VAGINAL ",IF(P409=#REF!,"SOPORTE CARDIOVASCULAR AVANZADO (ACLS) ",IF(P409=#REF!,"CAMILLERO ",IF(P409=#REF!,"TOMA DE MUESTRAS Y LABORATORIO ",IF(P409=#REF!,"SOPORTE VITAL BASICO (BLS)",IF(P409=#REF!,"ATENCION A VICTIMAS DE VIOLENCIA SEXUAL ",IF(P409=#REF!,"PROGRAMADO AMPLIADO DE INMUNIZACION (PAI - COVID 19)",IF(P409=#REF!,"ATENCION INTEGRAL EN ENFERMEDADES PREVALENTES EN PRIMERA INFANCIA (AIEPI)",IF(P409=#REF!,"ADMINISTRACION DE MEDICAMENTOS, INYECTOLOGIA  Y CANALIZACION ",IF(P409=#REF!,"OPERADOR DE VEHICULOS DE EMERGENCIA (OVE)",IF(P409=#REF!,"INSTITUCIONES AMIGAS DE LA MUJER Y LA INFANCIA (IAMI)",IF(P409=#REF!,"CUIDADO DEL DONANTE DE ORGANOS",IF(P409=#REF!,"ATENCION A VICTIMAS POR VIOLENCIA DE GENERO",IF(P409=#REF!,"IGUALDAD DE GENERO EN LA SALUD",IF(P409=#REF!,"BRIGADA DE EMERGENCIA",IF(P409=#REF!,"MANEJO DEL DOLOR Y CUIDADOS PALIATIVOS",IF(P409=#REF!,"TOMA DE MUESTRAS Y LABORATORIO POCT",IF(P409=#REF!,"IMPLANTE SUBDERMICO DE DISPOSITIVO INTRAUTERINO",IF(P409=#REF!,"SALUD MENTAL",IF(P409=#REF!,"PRIMEROS AUXILIOS PSICOLOGICOS",IF(P409=#REF!,"ATENCION A VICTIMAS POR CONFLICTO ARMADO",IF(P409=#REF!,"MANIPULACION DE ALIMENTOS Y BPM",IF(P409=#REF!,"ATENCION A PERSONAS CON DISCAPACIDAD",IF(P409=#REF!,"CUIDADO INTEGRAL DEL PACIENTE ADULTO",IF(P409=#REF!,"MANEJO DEFENSIVO",IF(P409=#REF!,"SOPORTE CARDIOVASCULAR AVANZADO NEONATAL",IF(P409=#REF!,"SEGURIDAD DEL PACIENTE",IF(P409=#REF!,"MANEJO DE RESIDUOS HOSPITALARIOS"))))))))))))))))))))))))))))))))))))</f>
        <v>#REF!</v>
      </c>
      <c r="W409" s="26" t="str">
        <f>CONCATENATE(E409," ",F409," ",C409," ",D409)</f>
        <v>Ana Maria Hurtado Cantin</v>
      </c>
      <c r="X409" s="26" t="str">
        <f t="shared" si="32"/>
        <v>Ana Maria Hurtado Cantin</v>
      </c>
      <c r="Y409" s="26" t="str">
        <f>CONCATENATE(W409,"-",B409,"-",P409)</f>
        <v>Ana Maria Hurtado Cantin-1087206829-BLS</v>
      </c>
    </row>
    <row r="410" spans="1:25" x14ac:dyDescent="0.2">
      <c r="A410" s="36">
        <v>157</v>
      </c>
      <c r="B410" s="37">
        <v>1004616597</v>
      </c>
      <c r="C410" s="37" t="s">
        <v>362</v>
      </c>
      <c r="D410" s="37" t="s">
        <v>364</v>
      </c>
      <c r="E410" s="37" t="s">
        <v>365</v>
      </c>
      <c r="F410" s="37" t="s">
        <v>366</v>
      </c>
      <c r="G410" s="37">
        <v>21</v>
      </c>
      <c r="H410" s="37" t="s">
        <v>49</v>
      </c>
      <c r="I410" s="38" t="s">
        <v>376</v>
      </c>
      <c r="J410" s="38"/>
      <c r="K410" s="39">
        <v>45677</v>
      </c>
      <c r="L410" s="44">
        <v>32000</v>
      </c>
      <c r="M410" s="37" t="s">
        <v>79</v>
      </c>
      <c r="N410" s="37" t="s">
        <v>387</v>
      </c>
      <c r="O410" s="37" t="s">
        <v>69</v>
      </c>
      <c r="P410" s="37" t="s">
        <v>19</v>
      </c>
      <c r="Q410" s="38">
        <v>36368</v>
      </c>
      <c r="R410" s="37" t="s">
        <v>70</v>
      </c>
      <c r="S410" s="37" t="s">
        <v>89</v>
      </c>
      <c r="T410" s="37">
        <v>3104749048</v>
      </c>
      <c r="U410" s="37" t="s">
        <v>367</v>
      </c>
      <c r="V410" s="41" t="e">
        <f>IF(P410=#REF!,"DIPLOMADO EN ATENCION PRE-HOSPITALARIA",IF(P410=#REF!,"ACOMPAÑAMIENTO Y MANEJO DEL DUELO",IF(P410=#REF!,"ATENCION A VICTIMAS DE ATAQUE CON AGENTES QUIMICOS ",IF(P410=#REF!,"PRIMEROS AUXILIOS ",IF(P410=#REF!,"DIPLOMADO DE UNIDAD DE CUIDADOS INTENSIVOS (UCI)",IF(P410=#REF!,"MODELO DE ATENCION PARA EVENTOS EMERGENTES EN SALUD MENTAL (CODIGO VERDE)",IF(P410=#REF!,"HUMANIZACION EN EL SERVICIO DE LA SALUD Y BUENAS PRACTICAS EN PACIENTE ",IF(P410=#REF!,"CLINICA DE HERIDAS ",IF(P410=#REF!,"TOMA DE CITOLOGIA CERVICO VAGINAL ",IF(P410=#REF!,"SOPORTE CARDIOVASCULAR AVANZADO (ACLS) ",IF(P410=#REF!,"CAMILLERO ",IF(P410=#REF!,"TOMA DE MUESTRAS Y LABORATORIO ",IF(P410=#REF!,"SOPORTE VITAL BASICO (BLS)",IF(P410=#REF!,"ATENCION A VICTIMAS DE VIOLENCIA SEXUAL ",IF(P410=#REF!,"PROGRAMADO AMPLIADO DE INMUNIZACION (PAI - COVID 19)",IF(P410=#REF!,"ATENCION INTEGRAL EN ENFERMEDADES PREVALENTES EN PRIMERA INFANCIA (AIEPI)",IF(P410=#REF!,"ADMINISTRACION DE MEDICAMENTOS, INYECTOLOGIA  Y CANALIZACION ",IF(P410=#REF!,"OPERADOR DE VEHICULOS DE EMERGENCIA (OVE)",IF(P410=#REF!,"INSTITUCIONES AMIGAS DE LA MUJER Y LA INFANCIA (IAMI)",IF(P410=#REF!,"CUIDADO DEL DONANTE DE ORGANOS",IF(P410=#REF!,"ATENCION A VICTIMAS POR VIOLENCIA DE GENERO",IF(P410=#REF!,"IGUALDAD DE GENERO EN LA SALUD",IF(P410=#REF!,"BRIGADA DE EMERGENCIA",IF(P410=#REF!,"MANEJO DEL DOLOR Y CUIDADOS PALIATIVOS",IF(P410=#REF!,"TOMA DE MUESTRAS Y LABORATORIO POCT",IF(P410=#REF!,"IMPLANTE SUBDERMICO DE DISPOSITIVO INTRAUTERINO",IF(P410=#REF!,"SALUD MENTAL",IF(P410=#REF!,"PRIMEROS AUXILIOS PSICOLOGICOS",IF(P410=#REF!,"ATENCION A VICTIMAS POR CONFLICTO ARMADO",IF(P410=#REF!,"MANIPULACION DE ALIMENTOS Y BPM",IF(P410=#REF!,"ATENCION A PERSONAS CON DISCAPACIDAD",IF(P410=#REF!,"CUIDADO INTEGRAL DEL PACIENTE ADULTO",IF(P410=#REF!,"MANEJO DEFENSIVO",IF(P410=#REF!,"SOPORTE CARDIOVASCULAR AVANZADO NEONATAL",IF(P410=#REF!,"SEGURIDAD DEL PACIENTE",IF(P410=#REF!,"MANEJO DE RESIDUOS HOSPITALARIOS"))))))))))))))))))))))))))))))))))))</f>
        <v>#REF!</v>
      </c>
      <c r="W410" s="41" t="str">
        <f>CONCATENATE(E410," ",F410," ",C410," ",D410)</f>
        <v>Julio Cristian Cantin Castillo</v>
      </c>
      <c r="X410" s="41" t="str">
        <f t="shared" si="32"/>
        <v>Julio Cristian Cantin Castillo</v>
      </c>
      <c r="Y410" s="41" t="str">
        <f>CONCATENATE(W410,"-",B410,"-",P410)</f>
        <v>Julio Cristian Cantin Castillo-1004616597-BLS</v>
      </c>
    </row>
    <row r="411" spans="1:25" s="19" customFormat="1" x14ac:dyDescent="0.2">
      <c r="A411" s="20">
        <v>158</v>
      </c>
      <c r="B411" s="21">
        <v>1087111886</v>
      </c>
      <c r="C411" s="21" t="s">
        <v>74</v>
      </c>
      <c r="D411" s="21" t="s">
        <v>169</v>
      </c>
      <c r="E411" s="21" t="s">
        <v>368</v>
      </c>
      <c r="F411" s="21" t="s">
        <v>369</v>
      </c>
      <c r="G411" s="21">
        <v>21</v>
      </c>
      <c r="H411" s="21" t="s">
        <v>49</v>
      </c>
      <c r="I411" s="22" t="s">
        <v>376</v>
      </c>
      <c r="J411" s="22"/>
      <c r="K411" s="23">
        <v>45677</v>
      </c>
      <c r="L411" s="42">
        <v>32000</v>
      </c>
      <c r="M411" s="21" t="s">
        <v>79</v>
      </c>
      <c r="N411" s="21" t="s">
        <v>387</v>
      </c>
      <c r="O411" s="21" t="s">
        <v>69</v>
      </c>
      <c r="P411" s="21" t="s">
        <v>19</v>
      </c>
      <c r="Q411" s="22">
        <v>31160</v>
      </c>
      <c r="R411" s="21" t="s">
        <v>70</v>
      </c>
      <c r="S411" s="21" t="s">
        <v>96</v>
      </c>
      <c r="T411" s="21">
        <v>3166200979</v>
      </c>
      <c r="U411" s="21" t="s">
        <v>370</v>
      </c>
      <c r="V411" s="26" t="e">
        <f>IF(P411=#REF!,"DIPLOMADO EN ATENCION PRE-HOSPITALARIA",IF(P411=#REF!,"ACOMPAÑAMIENTO Y MANEJO DEL DUELO",IF(P411=#REF!,"ATENCION A VICTIMAS DE ATAQUE CON AGENTES QUIMICOS ",IF(P411=#REF!,"PRIMEROS AUXILIOS ",IF(P411=#REF!,"DIPLOMADO DE UNIDAD DE CUIDADOS INTENSIVOS (UCI)",IF(P411=#REF!,"MODELO DE ATENCION PARA EVENTOS EMERGENTES EN SALUD MENTAL (CODIGO VERDE)",IF(P411=#REF!,"HUMANIZACION EN EL SERVICIO DE LA SALUD Y BUENAS PRACTICAS EN PACIENTE ",IF(P411=#REF!,"CLINICA DE HERIDAS ",IF(P411=#REF!,"TOMA DE CITOLOGIA CERVICO VAGINAL ",IF(P411=#REF!,"SOPORTE CARDIOVASCULAR AVANZADO (ACLS) ",IF(P411=#REF!,"CAMILLERO ",IF(P411=#REF!,"TOMA DE MUESTRAS Y LABORATORIO ",IF(P411=#REF!,"SOPORTE VITAL BASICO (BLS)",IF(P411=#REF!,"ATENCION A VICTIMAS DE VIOLENCIA SEXUAL ",IF(P411=#REF!,"PROGRAMADO AMPLIADO DE INMUNIZACION (PAI - COVID 19)",IF(P411=#REF!,"ATENCION INTEGRAL EN ENFERMEDADES PREVALENTES EN PRIMERA INFANCIA (AIEPI)",IF(P411=#REF!,"ADMINISTRACION DE MEDICAMENTOS, INYECTOLOGIA  Y CANALIZACION ",IF(P411=#REF!,"OPERADOR DE VEHICULOS DE EMERGENCIA (OVE)",IF(P411=#REF!,"INSTITUCIONES AMIGAS DE LA MUJER Y LA INFANCIA (IAMI)",IF(P411=#REF!,"CUIDADO DEL DONANTE DE ORGANOS",IF(P411=#REF!,"ATENCION A VICTIMAS POR VIOLENCIA DE GENERO",IF(P411=#REF!,"IGUALDAD DE GENERO EN LA SALUD",IF(P411=#REF!,"BRIGADA DE EMERGENCIA",IF(P411=#REF!,"MANEJO DEL DOLOR Y CUIDADOS PALIATIVOS",IF(P411=#REF!,"TOMA DE MUESTRAS Y LABORATORIO POCT",IF(P411=#REF!,"IMPLANTE SUBDERMICO DE DISPOSITIVO INTRAUTERINO",IF(P411=#REF!,"SALUD MENTAL",IF(P411=#REF!,"PRIMEROS AUXILIOS PSICOLOGICOS",IF(P411=#REF!,"ATENCION A VICTIMAS POR CONFLICTO ARMADO",IF(P411=#REF!,"MANIPULACION DE ALIMENTOS Y BPM",IF(P411=#REF!,"ATENCION A PERSONAS CON DISCAPACIDAD",IF(P411=#REF!,"CUIDADO INTEGRAL DEL PACIENTE ADULTO",IF(P411=#REF!,"MANEJO DEFENSIVO",IF(P411=#REF!,"SOPORTE CARDIOVASCULAR AVANZADO NEONATAL",IF(P411=#REF!,"SEGURIDAD DEL PACIENTE",IF(P411=#REF!,"MANEJO DE RESIDUOS HOSPITALARIOS"))))))))))))))))))))))))))))))))))))</f>
        <v>#REF!</v>
      </c>
      <c r="W411" s="26" t="str">
        <f>CONCATENATE(E411," ",F411," ",C411," ",D411)</f>
        <v>Manuel Fernando Arboleda Caicedo</v>
      </c>
      <c r="X411" s="26" t="str">
        <f t="shared" si="32"/>
        <v>Manuel Fernando Arboleda Caicedo</v>
      </c>
      <c r="Y411" s="26" t="str">
        <f>CONCATENATE(W411,"-",B411,"-",P411)</f>
        <v>Manuel Fernando Arboleda Caicedo-1087111886-BLS</v>
      </c>
    </row>
    <row r="412" spans="1:25" s="19" customFormat="1" x14ac:dyDescent="0.2">
      <c r="A412" s="20">
        <v>159</v>
      </c>
      <c r="B412" s="21">
        <v>1087131025</v>
      </c>
      <c r="C412" s="21" t="s">
        <v>371</v>
      </c>
      <c r="D412" s="21" t="s">
        <v>372</v>
      </c>
      <c r="E412" s="21" t="s">
        <v>373</v>
      </c>
      <c r="F412" s="21"/>
      <c r="G412" s="21">
        <v>21</v>
      </c>
      <c r="H412" s="21" t="s">
        <v>49</v>
      </c>
      <c r="I412" s="22" t="s">
        <v>376</v>
      </c>
      <c r="J412" s="22"/>
      <c r="K412" s="23">
        <v>45677</v>
      </c>
      <c r="L412" s="42">
        <v>32000</v>
      </c>
      <c r="M412" s="21" t="s">
        <v>79</v>
      </c>
      <c r="N412" s="21" t="s">
        <v>387</v>
      </c>
      <c r="O412" s="21" t="s">
        <v>69</v>
      </c>
      <c r="P412" s="21" t="s">
        <v>19</v>
      </c>
      <c r="Q412" s="22">
        <v>33061</v>
      </c>
      <c r="R412" s="21" t="s">
        <v>71</v>
      </c>
      <c r="S412" s="21" t="s">
        <v>374</v>
      </c>
      <c r="T412" s="21">
        <v>3183742690</v>
      </c>
      <c r="U412" s="21" t="s">
        <v>375</v>
      </c>
      <c r="V412" s="26" t="e">
        <f>IF(P412=#REF!,"DIPLOMADO EN ATENCION PRE-HOSPITALARIA",IF(P412=#REF!,"ACOMPAÑAMIENTO Y MANEJO DEL DUELO",IF(P412=#REF!,"ATENCION A VICTIMAS DE ATAQUE CON AGENTES QUIMICOS ",IF(P412=#REF!,"PRIMEROS AUXILIOS ",IF(P412=#REF!,"DIPLOMADO DE UNIDAD DE CUIDADOS INTENSIVOS (UCI)",IF(P412=#REF!,"MODELO DE ATENCION PARA EVENTOS EMERGENTES EN SALUD MENTAL (CODIGO VERDE)",IF(P412=#REF!,"HUMANIZACION EN EL SERVICIO DE LA SALUD Y BUENAS PRACTICAS EN PACIENTE ",IF(P412=#REF!,"CLINICA DE HERIDAS ",IF(P412=#REF!,"TOMA DE CITOLOGIA CERVICO VAGINAL ",IF(P412=#REF!,"SOPORTE CARDIOVASCULAR AVANZADO (ACLS) ",IF(P412=#REF!,"CAMILLERO ",IF(P412=#REF!,"TOMA DE MUESTRAS Y LABORATORIO ",IF(P412=#REF!,"SOPORTE VITAL BASICO (BLS)",IF(P412=#REF!,"ATENCION A VICTIMAS DE VIOLENCIA SEXUAL ",IF(P412=#REF!,"PROGRAMADO AMPLIADO DE INMUNIZACION (PAI - COVID 19)",IF(P412=#REF!,"ATENCION INTEGRAL EN ENFERMEDADES PREVALENTES EN PRIMERA INFANCIA (AIEPI)",IF(P412=#REF!,"ADMINISTRACION DE MEDICAMENTOS, INYECTOLOGIA  Y CANALIZACION ",IF(P412=#REF!,"OPERADOR DE VEHICULOS DE EMERGENCIA (OVE)",IF(P412=#REF!,"INSTITUCIONES AMIGAS DE LA MUJER Y LA INFANCIA (IAMI)",IF(P412=#REF!,"CUIDADO DEL DONANTE DE ORGANOS",IF(P412=#REF!,"ATENCION A VICTIMAS POR VIOLENCIA DE GENERO",IF(P412=#REF!,"IGUALDAD DE GENERO EN LA SALUD",IF(P412=#REF!,"BRIGADA DE EMERGENCIA",IF(P412=#REF!,"MANEJO DEL DOLOR Y CUIDADOS PALIATIVOS",IF(P412=#REF!,"TOMA DE MUESTRAS Y LABORATORIO POCT",IF(P412=#REF!,"IMPLANTE SUBDERMICO DE DISPOSITIVO INTRAUTERINO",IF(P412=#REF!,"SALUD MENTAL",IF(P412=#REF!,"PRIMEROS AUXILIOS PSICOLOGICOS",IF(P412=#REF!,"ATENCION A VICTIMAS POR CONFLICTO ARMADO",IF(P412=#REF!,"MANIPULACION DE ALIMENTOS Y BPM",IF(P412=#REF!,"ATENCION A PERSONAS CON DISCAPACIDAD",IF(P412=#REF!,"CUIDADO INTEGRAL DEL PACIENTE ADULTO",IF(P412=#REF!,"MANEJO DEFENSIVO",IF(P412=#REF!,"SOPORTE CARDIOVASCULAR AVANZADO NEONATAL",IF(P412=#REF!,"SEGURIDAD DEL PACIENTE",IF(P412=#REF!,"MANEJO DE RESIDUOS HOSPITALARIOS"))))))))))))))))))))))))))))))))))))</f>
        <v>#REF!</v>
      </c>
      <c r="W412" s="26" t="str">
        <f>CONCATENATE(E412," ",F412," ",C412," ",D412)</f>
        <v>Graciela  Quintero Marquinez</v>
      </c>
      <c r="X412" s="26" t="str">
        <f t="shared" si="32"/>
        <v>Graciela  Quintero Marquinez</v>
      </c>
      <c r="Y412" s="26" t="str">
        <f>CONCATENATE(W412,"-",B412,"-",P412)</f>
        <v>Graciela  Quintero Marquinez-1087131025-BLS</v>
      </c>
    </row>
    <row r="413" spans="1:25" s="19" customFormat="1" x14ac:dyDescent="0.2">
      <c r="A413" s="20">
        <v>160</v>
      </c>
      <c r="B413" s="21">
        <v>59794536</v>
      </c>
      <c r="C413" s="21" t="s">
        <v>334</v>
      </c>
      <c r="D413" s="21" t="s">
        <v>378</v>
      </c>
      <c r="E413" s="21" t="s">
        <v>379</v>
      </c>
      <c r="F413" s="21"/>
      <c r="G413" s="21">
        <v>21</v>
      </c>
      <c r="H413" s="21" t="s">
        <v>49</v>
      </c>
      <c r="I413" s="22" t="s">
        <v>376</v>
      </c>
      <c r="J413" s="22"/>
      <c r="K413" s="23">
        <v>45678</v>
      </c>
      <c r="L413" s="42">
        <v>30000</v>
      </c>
      <c r="M413" s="21" t="s">
        <v>106</v>
      </c>
      <c r="N413" s="21" t="s">
        <v>387</v>
      </c>
      <c r="O413" s="21" t="s">
        <v>95</v>
      </c>
      <c r="P413" s="21" t="s">
        <v>23</v>
      </c>
      <c r="Q413" s="22">
        <v>25884</v>
      </c>
      <c r="R413" s="21" t="s">
        <v>71</v>
      </c>
      <c r="S413" s="25" t="s">
        <v>107</v>
      </c>
      <c r="T413" s="21">
        <v>3177393758</v>
      </c>
      <c r="U413" s="21" t="s">
        <v>380</v>
      </c>
      <c r="V413" s="26" t="e">
        <f>IF(P413=#REF!,"DIPLOMADO EN ATENCION PRE-HOSPITALARIA",IF(P413=#REF!,"ACOMPAÑAMIENTO Y MANEJO DEL DUELO",IF(P413=#REF!,"ATENCION A VICTIMAS DE ATAQUE CON AGENTES QUIMICOS ",IF(P413=#REF!,"PRIMEROS AUXILIOS ",IF(P413=#REF!,"DIPLOMADO DE UNIDAD DE CUIDADOS INTENSIVOS (UCI)",IF(P413=#REF!,"MODELO DE ATENCION PARA EVENTOS EMERGENTES EN SALUD MENTAL (CODIGO VERDE)",IF(P413=#REF!,"HUMANIZACION EN EL SERVICIO DE LA SALUD Y BUENAS PRACTICAS EN PACIENTE ",IF(P413=#REF!,"CLINICA DE HERIDAS ",IF(P413=#REF!,"TOMA DE CITOLOGIA CERVICO VAGINAL ",IF(P413=#REF!,"SOPORTE CARDIOVASCULAR AVANZADO (ACLS) ",IF(P413=#REF!,"CAMILLERO ",IF(P413=#REF!,"TOMA DE MUESTRAS Y LABORATORIO ",IF(P413=#REF!,"SOPORTE VITAL BASICO (BLS)",IF(P413=#REF!,"ATENCION A VICTIMAS DE VIOLENCIA SEXUAL ",IF(P413=#REF!,"PROGRAMADO AMPLIADO DE INMUNIZACION (PAI - COVID 19)",IF(P413=#REF!,"ATENCION INTEGRAL EN ENFERMEDADES PREVALENTES EN PRIMERA INFANCIA (AIEPI)",IF(P413=#REF!,"ADMINISTRACION DE MEDICAMENTOS, INYECTOLOGIA  Y CANALIZACION ",IF(P413=#REF!,"OPERADOR DE VEHICULOS DE EMERGENCIA (OVE)",IF(P413=#REF!,"INSTITUCIONES AMIGAS DE LA MUJER Y LA INFANCIA (IAMI)",IF(P413=#REF!,"CUIDADO DEL DONANTE DE ORGANOS",IF(P413=#REF!,"ATENCION A VICTIMAS POR VIOLENCIA DE GENERO",IF(P413=#REF!,"IGUALDAD DE GENERO EN LA SALUD",IF(P413=#REF!,"BRIGADA DE EMERGENCIA",IF(P413=#REF!,"MANEJO DEL DOLOR Y CUIDADOS PALIATIVOS",IF(P413=#REF!,"TOMA DE MUESTRAS Y LABORATORIO POCT",IF(P413=#REF!,"IMPLANTE SUBDERMICO DE DISPOSITIVO INTRAUTERINO",IF(P413=#REF!,"SALUD MENTAL",IF(P413=#REF!,"PRIMEROS AUXILIOS PSICOLOGICOS",IF(P413=#REF!,"ATENCION A VICTIMAS POR CONFLICTO ARMADO",IF(P413=#REF!,"MANIPULACION DE ALIMENTOS Y BPM",IF(P413=#REF!,"ATENCION A PERSONAS CON DISCAPACIDAD",IF(P413=#REF!,"CUIDADO INTEGRAL DEL PACIENTE ADULTO",IF(P413=#REF!,"MANEJO DEFENSIVO",IF(P413=#REF!,"SOPORTE CARDIOVASCULAR AVANZADO NEONATAL",IF(P413=#REF!,"SEGURIDAD DEL PACIENTE",IF(P413=#REF!,"MANEJO DE RESIDUOS HOSPITALARIOS"))))))))))))))))))))))))))))))))))))</f>
        <v>#REF!</v>
      </c>
      <c r="W413" s="26" t="str">
        <f>CONCATENATE(E413," ",F413," ",C413," ",D413)</f>
        <v>Edilma  Yela Guerron</v>
      </c>
      <c r="X413" s="26" t="str">
        <f t="shared" si="32"/>
        <v>Edilma  Yela Guerron</v>
      </c>
      <c r="Y413" s="26" t="str">
        <f>CONCATENATE(W413,"-",B413,"-",P413)</f>
        <v>Edilma  Yela Guerron-59794536-HUMANIZACION</v>
      </c>
    </row>
    <row r="414" spans="1:25" s="19" customFormat="1" x14ac:dyDescent="0.2">
      <c r="A414" s="20">
        <v>161</v>
      </c>
      <c r="B414" s="21">
        <v>1085316072</v>
      </c>
      <c r="C414" s="21" t="s">
        <v>381</v>
      </c>
      <c r="D414" s="21" t="s">
        <v>382</v>
      </c>
      <c r="E414" s="21" t="s">
        <v>383</v>
      </c>
      <c r="F414" s="21" t="s">
        <v>384</v>
      </c>
      <c r="G414" s="21">
        <v>17</v>
      </c>
      <c r="H414" s="21" t="s">
        <v>49</v>
      </c>
      <c r="I414" s="22" t="s">
        <v>376</v>
      </c>
      <c r="J414" s="22"/>
      <c r="K414" s="23">
        <v>45678</v>
      </c>
      <c r="L414" s="42">
        <v>84000</v>
      </c>
      <c r="M414" s="21" t="s">
        <v>133</v>
      </c>
      <c r="N414" s="21" t="s">
        <v>387</v>
      </c>
      <c r="O414" s="21" t="s">
        <v>69</v>
      </c>
      <c r="P414" s="21" t="s">
        <v>24</v>
      </c>
      <c r="Q414" s="22">
        <v>34608</v>
      </c>
      <c r="R414" s="21" t="s">
        <v>70</v>
      </c>
      <c r="S414" s="63" t="s">
        <v>83</v>
      </c>
      <c r="T414" s="21">
        <v>3145704964</v>
      </c>
      <c r="U414" s="21" t="s">
        <v>385</v>
      </c>
      <c r="V414" s="26" t="e">
        <f>IF(P414=#REF!,"DIPLOMADO EN ATENCION PRE-HOSPITALARIA",IF(P414=#REF!,"ACOMPAÑAMIENTO Y MANEJO DEL DUELO",IF(P414=#REF!,"ATENCION A VICTIMAS DE ATAQUE CON AGENTES QUIMICOS ",IF(P414=#REF!,"PRIMEROS AUXILIOS ",IF(P414=#REF!,"DIPLOMADO DE UNIDAD DE CUIDADOS INTENSIVOS (UCI)",IF(P414=#REF!,"MODELO DE ATENCION PARA EVENTOS EMERGENTES EN SALUD MENTAL (CODIGO VERDE)",IF(P414=#REF!,"HUMANIZACION EN EL SERVICIO DE LA SALUD Y BUENAS PRACTICAS EN PACIENTE ",IF(P414=#REF!,"CLINICA DE HERIDAS ",IF(P414=#REF!,"TOMA DE CITOLOGIA CERVICO VAGINAL ",IF(P414=#REF!,"SOPORTE CARDIOVASCULAR AVANZADO (ACLS) ",IF(P414=#REF!,"CAMILLERO ",IF(P414=#REF!,"TOMA DE MUESTRAS Y LABORATORIO ",IF(P414=#REF!,"SOPORTE VITAL BASICO (BLS)",IF(P414=#REF!,"ATENCION A VICTIMAS DE VIOLENCIA SEXUAL ",IF(P414=#REF!,"PROGRAMADO AMPLIADO DE INMUNIZACION (PAI - COVID 19)",IF(P414=#REF!,"ATENCION INTEGRAL EN ENFERMEDADES PREVALENTES EN PRIMERA INFANCIA (AIEPI)",IF(P414=#REF!,"ADMINISTRACION DE MEDICAMENTOS, INYECTOLOGIA  Y CANALIZACION ",IF(P414=#REF!,"OPERADOR DE VEHICULOS DE EMERGENCIA (OVE)",IF(P414=#REF!,"INSTITUCIONES AMIGAS DE LA MUJER Y LA INFANCIA (IAMI)",IF(P414=#REF!,"CUIDADO DEL DONANTE DE ORGANOS",IF(P414=#REF!,"ATENCION A VICTIMAS POR VIOLENCIA DE GENERO",IF(P414=#REF!,"IGUALDAD DE GENERO EN LA SALUD",IF(P414=#REF!,"BRIGADA DE EMERGENCIA",IF(P414=#REF!,"MANEJO DEL DOLOR Y CUIDADOS PALIATIVOS",IF(P414=#REF!,"TOMA DE MUESTRAS Y LABORATORIO POCT",IF(P414=#REF!,"IMPLANTE SUBDERMICO DE DISPOSITIVO INTRAUTERINO",IF(P414=#REF!,"SALUD MENTAL",IF(P414=#REF!,"PRIMEROS AUXILIOS PSICOLOGICOS",IF(P414=#REF!,"ATENCION A VICTIMAS POR CONFLICTO ARMADO",IF(P414=#REF!,"MANIPULACION DE ALIMENTOS Y BPM",IF(P414=#REF!,"ATENCION A PERSONAS CON DISCAPACIDAD",IF(P414=#REF!,"CUIDADO INTEGRAL DEL PACIENTE ADULTO",IF(P414=#REF!,"MANEJO DEFENSIVO",IF(P414=#REF!,"SOPORTE CARDIOVASCULAR AVANZADO NEONATAL",IF(P414=#REF!,"SEGURIDAD DEL PACIENTE",IF(P414=#REF!,"MANEJO DE RESIDUOS HOSPITALARIOS"))))))))))))))))))))))))))))))))))))</f>
        <v>#REF!</v>
      </c>
      <c r="W414" s="26" t="str">
        <f>CONCATENATE(E414," ",F414," ",C414," ",D414)</f>
        <v>David German Pasuy Leon</v>
      </c>
      <c r="X414" s="26" t="str">
        <f t="shared" si="32"/>
        <v>David German Pasuy Leon</v>
      </c>
      <c r="Y414" s="26" t="str">
        <f>CONCATENATE(W414,"-",B414,"-",P414)</f>
        <v>David German Pasuy Leon-1085316072-ACLS</v>
      </c>
    </row>
    <row r="415" spans="1:25" s="19" customFormat="1" x14ac:dyDescent="0.2">
      <c r="A415" s="20">
        <v>162</v>
      </c>
      <c r="B415" s="21">
        <v>1085316072</v>
      </c>
      <c r="C415" s="21" t="s">
        <v>381</v>
      </c>
      <c r="D415" s="21" t="s">
        <v>382</v>
      </c>
      <c r="E415" s="21" t="s">
        <v>383</v>
      </c>
      <c r="F415" s="21" t="s">
        <v>384</v>
      </c>
      <c r="G415" s="21">
        <v>17</v>
      </c>
      <c r="H415" s="21" t="s">
        <v>49</v>
      </c>
      <c r="I415" s="22" t="s">
        <v>376</v>
      </c>
      <c r="J415" s="22"/>
      <c r="K415" s="23">
        <v>45678</v>
      </c>
      <c r="L415" s="42">
        <v>20000</v>
      </c>
      <c r="M415" s="21" t="s">
        <v>133</v>
      </c>
      <c r="N415" s="21" t="s">
        <v>387</v>
      </c>
      <c r="O415" s="21" t="s">
        <v>69</v>
      </c>
      <c r="P415" s="21" t="s">
        <v>19</v>
      </c>
      <c r="Q415" s="22">
        <v>34608</v>
      </c>
      <c r="R415" s="21" t="s">
        <v>70</v>
      </c>
      <c r="S415" s="63" t="s">
        <v>83</v>
      </c>
      <c r="T415" s="21">
        <v>3145704964</v>
      </c>
      <c r="U415" s="21" t="s">
        <v>385</v>
      </c>
      <c r="V415" s="26" t="e">
        <f>IF(P415=#REF!,"DIPLOMADO EN ATENCION PRE-HOSPITALARIA",IF(P415=#REF!,"ACOMPAÑAMIENTO Y MANEJO DEL DUELO",IF(P415=#REF!,"ATENCION A VICTIMAS DE ATAQUE CON AGENTES QUIMICOS ",IF(P415=#REF!,"PRIMEROS AUXILIOS ",IF(P415=#REF!,"DIPLOMADO DE UNIDAD DE CUIDADOS INTENSIVOS (UCI)",IF(P415=#REF!,"MODELO DE ATENCION PARA EVENTOS EMERGENTES EN SALUD MENTAL (CODIGO VERDE)",IF(P415=#REF!,"HUMANIZACION EN EL SERVICIO DE LA SALUD Y BUENAS PRACTICAS EN PACIENTE ",IF(P415=#REF!,"CLINICA DE HERIDAS ",IF(P415=#REF!,"TOMA DE CITOLOGIA CERVICO VAGINAL ",IF(P415=#REF!,"SOPORTE CARDIOVASCULAR AVANZADO (ACLS) ",IF(P415=#REF!,"CAMILLERO ",IF(P415=#REF!,"TOMA DE MUESTRAS Y LABORATORIO ",IF(P415=#REF!,"SOPORTE VITAL BASICO (BLS)",IF(P415=#REF!,"ATENCION A VICTIMAS DE VIOLENCIA SEXUAL ",IF(P415=#REF!,"PROGRAMADO AMPLIADO DE INMUNIZACION (PAI - COVID 19)",IF(P415=#REF!,"ATENCION INTEGRAL EN ENFERMEDADES PREVALENTES EN PRIMERA INFANCIA (AIEPI)",IF(P415=#REF!,"ADMINISTRACION DE MEDICAMENTOS, INYECTOLOGIA  Y CANALIZACION ",IF(P415=#REF!,"OPERADOR DE VEHICULOS DE EMERGENCIA (OVE)",IF(P415=#REF!,"INSTITUCIONES AMIGAS DE LA MUJER Y LA INFANCIA (IAMI)",IF(P415=#REF!,"CUIDADO DEL DONANTE DE ORGANOS",IF(P415=#REF!,"ATENCION A VICTIMAS POR VIOLENCIA DE GENERO",IF(P415=#REF!,"IGUALDAD DE GENERO EN LA SALUD",IF(P415=#REF!,"BRIGADA DE EMERGENCIA",IF(P415=#REF!,"MANEJO DEL DOLOR Y CUIDADOS PALIATIVOS",IF(P415=#REF!,"TOMA DE MUESTRAS Y LABORATORIO POCT",IF(P415=#REF!,"IMPLANTE SUBDERMICO DE DISPOSITIVO INTRAUTERINO",IF(P415=#REF!,"SALUD MENTAL",IF(P415=#REF!,"PRIMEROS AUXILIOS PSICOLOGICOS",IF(P415=#REF!,"ATENCION A VICTIMAS POR CONFLICTO ARMADO",IF(P415=#REF!,"MANIPULACION DE ALIMENTOS Y BPM",IF(P415=#REF!,"ATENCION A PERSONAS CON DISCAPACIDAD",IF(P415=#REF!,"CUIDADO INTEGRAL DEL PACIENTE ADULTO",IF(P415=#REF!,"MANEJO DEFENSIVO",IF(P415=#REF!,"SOPORTE CARDIOVASCULAR AVANZADO NEONATAL",IF(P415=#REF!,"SEGURIDAD DEL PACIENTE",IF(P415=#REF!,"MANEJO DE RESIDUOS HOSPITALARIOS"))))))))))))))))))))))))))))))))))))</f>
        <v>#REF!</v>
      </c>
      <c r="W415" s="26" t="str">
        <f>CONCATENATE(E415," ",F415," ",C415," ",D415)</f>
        <v>David German Pasuy Leon</v>
      </c>
      <c r="X415" s="26" t="str">
        <f t="shared" si="32"/>
        <v>David German Pasuy Leon</v>
      </c>
      <c r="Y415" s="26" t="str">
        <f>CONCATENATE(W415,"-",B415,"-",P415)</f>
        <v>David German Pasuy Leon-1085316072-BLS</v>
      </c>
    </row>
    <row r="416" spans="1:25" s="19" customFormat="1" x14ac:dyDescent="0.2">
      <c r="A416" s="20">
        <v>163</v>
      </c>
      <c r="B416" s="21">
        <v>1085316072</v>
      </c>
      <c r="C416" s="21" t="s">
        <v>381</v>
      </c>
      <c r="D416" s="21" t="s">
        <v>382</v>
      </c>
      <c r="E416" s="21" t="s">
        <v>383</v>
      </c>
      <c r="F416" s="21" t="s">
        <v>384</v>
      </c>
      <c r="G416" s="21">
        <v>18</v>
      </c>
      <c r="H416" s="21" t="s">
        <v>49</v>
      </c>
      <c r="I416" s="22" t="s">
        <v>376</v>
      </c>
      <c r="J416" s="22"/>
      <c r="K416" s="23">
        <v>45678</v>
      </c>
      <c r="L416" s="42">
        <v>32000</v>
      </c>
      <c r="M416" s="21" t="s">
        <v>133</v>
      </c>
      <c r="N416" s="21" t="s">
        <v>387</v>
      </c>
      <c r="O416" s="21" t="s">
        <v>69</v>
      </c>
      <c r="P416" s="21" t="s">
        <v>21</v>
      </c>
      <c r="Q416" s="22">
        <v>34608</v>
      </c>
      <c r="R416" s="21" t="s">
        <v>70</v>
      </c>
      <c r="S416" s="63" t="s">
        <v>83</v>
      </c>
      <c r="T416" s="21">
        <v>3145704964</v>
      </c>
      <c r="U416" s="21" t="s">
        <v>385</v>
      </c>
      <c r="V416" s="26" t="e">
        <f>IF(P416=#REF!,"DIPLOMADO EN ATENCION PRE-HOSPITALARIA",IF(P416=#REF!,"ACOMPAÑAMIENTO Y MANEJO DEL DUELO",IF(P416=#REF!,"ATENCION A VICTIMAS DE ATAQUE CON AGENTES QUIMICOS ",IF(P416=#REF!,"PRIMEROS AUXILIOS ",IF(P416=#REF!,"DIPLOMADO DE UNIDAD DE CUIDADOS INTENSIVOS (UCI)",IF(P416=#REF!,"MODELO DE ATENCION PARA EVENTOS EMERGENTES EN SALUD MENTAL (CODIGO VERDE)",IF(P416=#REF!,"HUMANIZACION EN EL SERVICIO DE LA SALUD Y BUENAS PRACTICAS EN PACIENTE ",IF(P416=#REF!,"CLINICA DE HERIDAS ",IF(P416=#REF!,"TOMA DE CITOLOGIA CERVICO VAGINAL ",IF(P416=#REF!,"SOPORTE CARDIOVASCULAR AVANZADO (ACLS) ",IF(P416=#REF!,"CAMILLERO ",IF(P416=#REF!,"TOMA DE MUESTRAS Y LABORATORIO ",IF(P416=#REF!,"SOPORTE VITAL BASICO (BLS)",IF(P416=#REF!,"ATENCION A VICTIMAS DE VIOLENCIA SEXUAL ",IF(P416=#REF!,"PROGRAMADO AMPLIADO DE INMUNIZACION (PAI - COVID 19)",IF(P416=#REF!,"ATENCION INTEGRAL EN ENFERMEDADES PREVALENTES EN PRIMERA INFANCIA (AIEPI)",IF(P416=#REF!,"ADMINISTRACION DE MEDICAMENTOS, INYECTOLOGIA  Y CANALIZACION ",IF(P416=#REF!,"OPERADOR DE VEHICULOS DE EMERGENCIA (OVE)",IF(P416=#REF!,"INSTITUCIONES AMIGAS DE LA MUJER Y LA INFANCIA (IAMI)",IF(P416=#REF!,"CUIDADO DEL DONANTE DE ORGANOS",IF(P416=#REF!,"ATENCION A VICTIMAS POR VIOLENCIA DE GENERO",IF(P416=#REF!,"IGUALDAD DE GENERO EN LA SALUD",IF(P416=#REF!,"BRIGADA DE EMERGENCIA",IF(P416=#REF!,"MANEJO DEL DOLOR Y CUIDADOS PALIATIVOS",IF(P416=#REF!,"TOMA DE MUESTRAS Y LABORATORIO POCT",IF(P416=#REF!,"IMPLANTE SUBDERMICO DE DISPOSITIVO INTRAUTERINO",IF(P416=#REF!,"SALUD MENTAL",IF(P416=#REF!,"PRIMEROS AUXILIOS PSICOLOGICOS",IF(P416=#REF!,"ATENCION A VICTIMAS POR CONFLICTO ARMADO",IF(P416=#REF!,"MANIPULACION DE ALIMENTOS Y BPM",IF(P416=#REF!,"ATENCION A PERSONAS CON DISCAPACIDAD",IF(P416=#REF!,"CUIDADO INTEGRAL DEL PACIENTE ADULTO",IF(P416=#REF!,"MANEJO DEFENSIVO",IF(P416=#REF!,"SOPORTE CARDIOVASCULAR AVANZADO NEONATAL",IF(P416=#REF!,"SEGURIDAD DEL PACIENTE",IF(P416=#REF!,"MANEJO DE RESIDUOS HOSPITALARIOS"))))))))))))))))))))))))))))))))))))</f>
        <v>#REF!</v>
      </c>
      <c r="W416" s="26" t="str">
        <f>CONCATENATE(E416," ",F416," ",C416," ",D416)</f>
        <v>David German Pasuy Leon</v>
      </c>
      <c r="X416" s="26" t="str">
        <f t="shared" si="32"/>
        <v>David German Pasuy Leon</v>
      </c>
      <c r="Y416" s="26" t="str">
        <f>CONCATENATE(W416,"-",B416,"-",P416)</f>
        <v>David German Pasuy Leon-1085316072-QUIMICOS</v>
      </c>
    </row>
    <row r="417" spans="1:25" s="19" customFormat="1" x14ac:dyDescent="0.2">
      <c r="A417" s="20">
        <v>164</v>
      </c>
      <c r="B417" s="21">
        <v>1085316072</v>
      </c>
      <c r="C417" s="21" t="s">
        <v>381</v>
      </c>
      <c r="D417" s="21" t="s">
        <v>382</v>
      </c>
      <c r="E417" s="21" t="s">
        <v>383</v>
      </c>
      <c r="F417" s="21" t="s">
        <v>384</v>
      </c>
      <c r="G417" s="21">
        <v>20</v>
      </c>
      <c r="H417" s="21" t="s">
        <v>49</v>
      </c>
      <c r="I417" s="22" t="s">
        <v>376</v>
      </c>
      <c r="J417" s="22"/>
      <c r="K417" s="23">
        <v>45678</v>
      </c>
      <c r="L417" s="42">
        <v>32000</v>
      </c>
      <c r="M417" s="21" t="s">
        <v>133</v>
      </c>
      <c r="N417" s="21" t="s">
        <v>387</v>
      </c>
      <c r="O417" s="21" t="s">
        <v>69</v>
      </c>
      <c r="P417" s="21" t="s">
        <v>27</v>
      </c>
      <c r="Q417" s="22">
        <v>34608</v>
      </c>
      <c r="R417" s="21" t="s">
        <v>70</v>
      </c>
      <c r="S417" s="63" t="s">
        <v>83</v>
      </c>
      <c r="T417" s="21">
        <v>3145704964</v>
      </c>
      <c r="U417" s="21" t="s">
        <v>385</v>
      </c>
      <c r="V417" s="26" t="e">
        <f>IF(P417=#REF!,"DIPLOMADO EN ATENCION PRE-HOSPITALARIA",IF(P417=#REF!,"ACOMPAÑAMIENTO Y MANEJO DEL DUELO",IF(P417=#REF!,"ATENCION A VICTIMAS DE ATAQUE CON AGENTES QUIMICOS ",IF(P417=#REF!,"PRIMEROS AUXILIOS ",IF(P417=#REF!,"DIPLOMADO DE UNIDAD DE CUIDADOS INTENSIVOS (UCI)",IF(P417=#REF!,"MODELO DE ATENCION PARA EVENTOS EMERGENTES EN SALUD MENTAL (CODIGO VERDE)",IF(P417=#REF!,"HUMANIZACION EN EL SERVICIO DE LA SALUD Y BUENAS PRACTICAS EN PACIENTE ",IF(P417=#REF!,"CLINICA DE HERIDAS ",IF(P417=#REF!,"TOMA DE CITOLOGIA CERVICO VAGINAL ",IF(P417=#REF!,"SOPORTE CARDIOVASCULAR AVANZADO (ACLS) ",IF(P417=#REF!,"CAMILLERO ",IF(P417=#REF!,"TOMA DE MUESTRAS Y LABORATORIO ",IF(P417=#REF!,"SOPORTE VITAL BASICO (BLS)",IF(P417=#REF!,"ATENCION A VICTIMAS DE VIOLENCIA SEXUAL ",IF(P417=#REF!,"PROGRAMADO AMPLIADO DE INMUNIZACION (PAI - COVID 19)",IF(P417=#REF!,"ATENCION INTEGRAL EN ENFERMEDADES PREVALENTES EN PRIMERA INFANCIA (AIEPI)",IF(P417=#REF!,"ADMINISTRACION DE MEDICAMENTOS, INYECTOLOGIA  Y CANALIZACION ",IF(P417=#REF!,"OPERADOR DE VEHICULOS DE EMERGENCIA (OVE)",IF(P417=#REF!,"INSTITUCIONES AMIGAS DE LA MUJER Y LA INFANCIA (IAMI)",IF(P417=#REF!,"CUIDADO DEL DONANTE DE ORGANOS",IF(P417=#REF!,"ATENCION A VICTIMAS POR VIOLENCIA DE GENERO",IF(P417=#REF!,"IGUALDAD DE GENERO EN LA SALUD",IF(P417=#REF!,"BRIGADA DE EMERGENCIA",IF(P417=#REF!,"MANEJO DEL DOLOR Y CUIDADOS PALIATIVOS",IF(P417=#REF!,"TOMA DE MUESTRAS Y LABORATORIO POCT",IF(P417=#REF!,"IMPLANTE SUBDERMICO DE DISPOSITIVO INTRAUTERINO",IF(P417=#REF!,"SALUD MENTAL",IF(P417=#REF!,"PRIMEROS AUXILIOS PSICOLOGICOS",IF(P417=#REF!,"ATENCION A VICTIMAS POR CONFLICTO ARMADO",IF(P417=#REF!,"MANIPULACION DE ALIMENTOS Y BPM",IF(P417=#REF!,"ATENCION A PERSONAS CON DISCAPACIDAD",IF(P417=#REF!,"CUIDADO INTEGRAL DEL PACIENTE ADULTO",IF(P417=#REF!,"MANEJO DEFENSIVO",IF(P417=#REF!,"SOPORTE CARDIOVASCULAR AVANZADO NEONATAL",IF(P417=#REF!,"SEGURIDAD DEL PACIENTE",IF(P417=#REF!,"MANEJO DE RESIDUOS HOSPITALARIOS"))))))))))))))))))))))))))))))))))))</f>
        <v>#REF!</v>
      </c>
      <c r="W417" s="26" t="str">
        <f>CONCATENATE(E417," ",F417," ",C417," ",D417)</f>
        <v>David German Pasuy Leon</v>
      </c>
      <c r="X417" s="26" t="str">
        <f t="shared" si="32"/>
        <v>David German Pasuy Leon</v>
      </c>
      <c r="Y417" s="26" t="str">
        <f>CONCATENATE(W417,"-",B417,"-",P417)</f>
        <v>David German Pasuy Leon-1085316072-VIOLENCIA SEXUAL</v>
      </c>
    </row>
    <row r="418" spans="1:25" s="19" customFormat="1" x14ac:dyDescent="0.2">
      <c r="A418" s="20">
        <v>165</v>
      </c>
      <c r="B418" s="21">
        <v>1085316072</v>
      </c>
      <c r="C418" s="21" t="s">
        <v>381</v>
      </c>
      <c r="D418" s="21" t="s">
        <v>382</v>
      </c>
      <c r="E418" s="21" t="s">
        <v>383</v>
      </c>
      <c r="F418" s="21" t="s">
        <v>384</v>
      </c>
      <c r="G418" s="21">
        <v>21</v>
      </c>
      <c r="H418" s="21" t="s">
        <v>49</v>
      </c>
      <c r="I418" s="22" t="s">
        <v>376</v>
      </c>
      <c r="J418" s="22"/>
      <c r="K418" s="23">
        <v>45678</v>
      </c>
      <c r="L418" s="42">
        <v>32000</v>
      </c>
      <c r="M418" s="21" t="s">
        <v>133</v>
      </c>
      <c r="N418" s="21" t="s">
        <v>387</v>
      </c>
      <c r="O418" s="21" t="s">
        <v>69</v>
      </c>
      <c r="P418" s="21" t="s">
        <v>23</v>
      </c>
      <c r="Q418" s="22">
        <v>34608</v>
      </c>
      <c r="R418" s="21" t="s">
        <v>70</v>
      </c>
      <c r="S418" s="63" t="s">
        <v>83</v>
      </c>
      <c r="T418" s="21">
        <v>3145704964</v>
      </c>
      <c r="U418" s="21" t="s">
        <v>385</v>
      </c>
      <c r="V418" s="26" t="e">
        <f>IF(P418=#REF!,"DIPLOMADO EN ATENCION PRE-HOSPITALARIA",IF(P418=#REF!,"ACOMPAÑAMIENTO Y MANEJO DEL DUELO",IF(P418=#REF!,"ATENCION A VICTIMAS DE ATAQUE CON AGENTES QUIMICOS ",IF(P418=#REF!,"PRIMEROS AUXILIOS ",IF(P418=#REF!,"DIPLOMADO DE UNIDAD DE CUIDADOS INTENSIVOS (UCI)",IF(P418=#REF!,"MODELO DE ATENCION PARA EVENTOS EMERGENTES EN SALUD MENTAL (CODIGO VERDE)",IF(P418=#REF!,"HUMANIZACION EN EL SERVICIO DE LA SALUD Y BUENAS PRACTICAS EN PACIENTE ",IF(P418=#REF!,"CLINICA DE HERIDAS ",IF(P418=#REF!,"TOMA DE CITOLOGIA CERVICO VAGINAL ",IF(P418=#REF!,"SOPORTE CARDIOVASCULAR AVANZADO (ACLS) ",IF(P418=#REF!,"CAMILLERO ",IF(P418=#REF!,"TOMA DE MUESTRAS Y LABORATORIO ",IF(P418=#REF!,"SOPORTE VITAL BASICO (BLS)",IF(P418=#REF!,"ATENCION A VICTIMAS DE VIOLENCIA SEXUAL ",IF(P418=#REF!,"PROGRAMADO AMPLIADO DE INMUNIZACION (PAI - COVID 19)",IF(P418=#REF!,"ATENCION INTEGRAL EN ENFERMEDADES PREVALENTES EN PRIMERA INFANCIA (AIEPI)",IF(P418=#REF!,"ADMINISTRACION DE MEDICAMENTOS, INYECTOLOGIA  Y CANALIZACION ",IF(P418=#REF!,"OPERADOR DE VEHICULOS DE EMERGENCIA (OVE)",IF(P418=#REF!,"INSTITUCIONES AMIGAS DE LA MUJER Y LA INFANCIA (IAMI)",IF(P418=#REF!,"CUIDADO DEL DONANTE DE ORGANOS",IF(P418=#REF!,"ATENCION A VICTIMAS POR VIOLENCIA DE GENERO",IF(P418=#REF!,"IGUALDAD DE GENERO EN LA SALUD",IF(P418=#REF!,"BRIGADA DE EMERGENCIA",IF(P418=#REF!,"MANEJO DEL DOLOR Y CUIDADOS PALIATIVOS",IF(P418=#REF!,"TOMA DE MUESTRAS Y LABORATORIO POCT",IF(P418=#REF!,"IMPLANTE SUBDERMICO DE DISPOSITIVO INTRAUTERINO",IF(P418=#REF!,"SALUD MENTAL",IF(P418=#REF!,"PRIMEROS AUXILIOS PSICOLOGICOS",IF(P418=#REF!,"ATENCION A VICTIMAS POR CONFLICTO ARMADO",IF(P418=#REF!,"MANIPULACION DE ALIMENTOS Y BPM",IF(P418=#REF!,"ATENCION A PERSONAS CON DISCAPACIDAD",IF(P418=#REF!,"CUIDADO INTEGRAL DEL PACIENTE ADULTO",IF(P418=#REF!,"MANEJO DEFENSIVO",IF(P418=#REF!,"SOPORTE CARDIOVASCULAR AVANZADO NEONATAL",IF(P418=#REF!,"SEGURIDAD DEL PACIENTE",IF(P418=#REF!,"MANEJO DE RESIDUOS HOSPITALARIOS"))))))))))))))))))))))))))))))))))))</f>
        <v>#REF!</v>
      </c>
      <c r="W418" s="26" t="str">
        <f>CONCATENATE(E418," ",F418," ",C418," ",D418)</f>
        <v>David German Pasuy Leon</v>
      </c>
      <c r="X418" s="26" t="str">
        <f t="shared" si="32"/>
        <v>David German Pasuy Leon</v>
      </c>
      <c r="Y418" s="26" t="str">
        <f>CONCATENATE(W418,"-",B418,"-",P418)</f>
        <v>David German Pasuy Leon-1085316072-HUMANIZACION</v>
      </c>
    </row>
    <row r="419" spans="1:25" x14ac:dyDescent="0.2">
      <c r="A419" s="36">
        <v>166</v>
      </c>
      <c r="B419" s="37">
        <v>1086104848</v>
      </c>
      <c r="C419" s="37" t="s">
        <v>389</v>
      </c>
      <c r="D419" s="37" t="s">
        <v>390</v>
      </c>
      <c r="E419" s="37" t="s">
        <v>391</v>
      </c>
      <c r="F419" s="37" t="s">
        <v>339</v>
      </c>
      <c r="G419" s="37">
        <v>21</v>
      </c>
      <c r="H419" s="37" t="s">
        <v>49</v>
      </c>
      <c r="I419" s="38" t="s">
        <v>376</v>
      </c>
      <c r="J419" s="38"/>
      <c r="K419" s="39">
        <v>45678</v>
      </c>
      <c r="L419" s="44">
        <v>40000</v>
      </c>
      <c r="M419" s="37" t="s">
        <v>79</v>
      </c>
      <c r="N419" s="37" t="s">
        <v>387</v>
      </c>
      <c r="O419" s="37" t="s">
        <v>77</v>
      </c>
      <c r="P419" s="37" t="s">
        <v>19</v>
      </c>
      <c r="Q419" s="38">
        <v>33549</v>
      </c>
      <c r="R419" s="37" t="s">
        <v>71</v>
      </c>
      <c r="S419" s="64" t="s">
        <v>107</v>
      </c>
      <c r="T419" s="37">
        <v>3135210039</v>
      </c>
      <c r="U419" s="37" t="s">
        <v>392</v>
      </c>
      <c r="V419" s="41" t="e">
        <f>IF(P419=#REF!,"DIPLOMADO EN ATENCION PRE-HOSPITALARIA",IF(P419=#REF!,"ACOMPAÑAMIENTO Y MANEJO DEL DUELO",IF(P419=#REF!,"ATENCION A VICTIMAS DE ATAQUE CON AGENTES QUIMICOS ",IF(P419=#REF!,"PRIMEROS AUXILIOS ",IF(P419=#REF!,"DIPLOMADO DE UNIDAD DE CUIDADOS INTENSIVOS (UCI)",IF(P419=#REF!,"MODELO DE ATENCION PARA EVENTOS EMERGENTES EN SALUD MENTAL (CODIGO VERDE)",IF(P419=#REF!,"HUMANIZACION EN EL SERVICIO DE LA SALUD Y BUENAS PRACTICAS EN PACIENTE ",IF(P419=#REF!,"CLINICA DE HERIDAS ",IF(P419=#REF!,"TOMA DE CITOLOGIA CERVICO VAGINAL ",IF(P419=#REF!,"SOPORTE CARDIOVASCULAR AVANZADO (ACLS) ",IF(P419=#REF!,"CAMILLERO ",IF(P419=#REF!,"TOMA DE MUESTRAS Y LABORATORIO ",IF(P419=#REF!,"SOPORTE VITAL BASICO (BLS)",IF(P419=#REF!,"ATENCION A VICTIMAS DE VIOLENCIA SEXUAL ",IF(P419=#REF!,"PROGRAMADO AMPLIADO DE INMUNIZACION (PAI - COVID 19)",IF(P419=#REF!,"ATENCION INTEGRAL EN ENFERMEDADES PREVALENTES EN PRIMERA INFANCIA (AIEPI)",IF(P419=#REF!,"ADMINISTRACION DE MEDICAMENTOS, INYECTOLOGIA  Y CANALIZACION ",IF(P419=#REF!,"OPERADOR DE VEHICULOS DE EMERGENCIA (OVE)",IF(P419=#REF!,"INSTITUCIONES AMIGAS DE LA MUJER Y LA INFANCIA (IAMI)",IF(P419=#REF!,"CUIDADO DEL DONANTE DE ORGANOS",IF(P419=#REF!,"ATENCION A VICTIMAS POR VIOLENCIA DE GENERO",IF(P419=#REF!,"IGUALDAD DE GENERO EN LA SALUD",IF(P419=#REF!,"BRIGADA DE EMERGENCIA",IF(P419=#REF!,"MANEJO DEL DOLOR Y CUIDADOS PALIATIVOS",IF(P419=#REF!,"TOMA DE MUESTRAS Y LABORATORIO POCT",IF(P419=#REF!,"IMPLANTE SUBDERMICO DE DISPOSITIVO INTRAUTERINO",IF(P419=#REF!,"SALUD MENTAL",IF(P419=#REF!,"PRIMEROS AUXILIOS PSICOLOGICOS",IF(P419=#REF!,"ATENCION A VICTIMAS POR CONFLICTO ARMADO",IF(P419=#REF!,"MANIPULACION DE ALIMENTOS Y BPM",IF(P419=#REF!,"ATENCION A PERSONAS CON DISCAPACIDAD",IF(P419=#REF!,"CUIDADO INTEGRAL DEL PACIENTE ADULTO",IF(P419=#REF!,"MANEJO DEFENSIVO",IF(P419=#REF!,"SOPORTE CARDIOVASCULAR AVANZADO NEONATAL",IF(P419=#REF!,"SEGURIDAD DEL PACIENTE",IF(P419=#REF!,"MANEJO DE RESIDUOS HOSPITALARIOS"))))))))))))))))))))))))))))))))))))</f>
        <v>#REF!</v>
      </c>
      <c r="W419" s="41" t="str">
        <f>CONCATENATE(E419," ",F419," ",C419," ",D419)</f>
        <v>Claudia Patricia Reyes Pazmiño</v>
      </c>
      <c r="X419" s="41" t="str">
        <f t="shared" si="32"/>
        <v>Claudia Patricia Reyes Pazmiño</v>
      </c>
      <c r="Y419" s="41" t="str">
        <f>CONCATENATE(W419,"-",B419,"-",P419)</f>
        <v>Claudia Patricia Reyes Pazmiño-1086104848-BLS</v>
      </c>
    </row>
    <row r="420" spans="1:25" s="19" customFormat="1" x14ac:dyDescent="0.2">
      <c r="A420" s="20">
        <v>167</v>
      </c>
      <c r="B420" s="21">
        <v>1004610016</v>
      </c>
      <c r="C420" s="21" t="s">
        <v>395</v>
      </c>
      <c r="D420" s="21" t="s">
        <v>393</v>
      </c>
      <c r="E420" s="21" t="s">
        <v>394</v>
      </c>
      <c r="F420" s="21"/>
      <c r="G420" s="21">
        <v>22</v>
      </c>
      <c r="H420" s="21" t="s">
        <v>49</v>
      </c>
      <c r="I420" s="22" t="s">
        <v>376</v>
      </c>
      <c r="J420" s="22"/>
      <c r="K420" s="23">
        <v>45679</v>
      </c>
      <c r="L420" s="42">
        <v>32000</v>
      </c>
      <c r="M420" s="21" t="s">
        <v>79</v>
      </c>
      <c r="N420" s="21" t="s">
        <v>387</v>
      </c>
      <c r="O420" s="21" t="s">
        <v>69</v>
      </c>
      <c r="P420" s="21" t="s">
        <v>19</v>
      </c>
      <c r="Q420" s="22">
        <v>34449</v>
      </c>
      <c r="R420" s="21" t="s">
        <v>71</v>
      </c>
      <c r="S420" s="28" t="s">
        <v>107</v>
      </c>
      <c r="T420" s="21">
        <v>3154398908</v>
      </c>
      <c r="U420" s="21" t="s">
        <v>397</v>
      </c>
      <c r="V420" s="26" t="e">
        <f>IF(P420=#REF!,"DIPLOMADO EN ATENCION PRE-HOSPITALARIA",IF(P420=#REF!,"ACOMPAÑAMIENTO Y MANEJO DEL DUELO",IF(P420=#REF!,"ATENCION A VICTIMAS DE ATAQUE CON AGENTES QUIMICOS ",IF(P420=#REF!,"PRIMEROS AUXILIOS ",IF(P420=#REF!,"DIPLOMADO DE UNIDAD DE CUIDADOS INTENSIVOS (UCI)",IF(P420=#REF!,"MODELO DE ATENCION PARA EVENTOS EMERGENTES EN SALUD MENTAL (CODIGO VERDE)",IF(P420=#REF!,"HUMANIZACION EN EL SERVICIO DE LA SALUD Y BUENAS PRACTICAS EN PACIENTE ",IF(P420=#REF!,"CLINICA DE HERIDAS ",IF(P420=#REF!,"TOMA DE CITOLOGIA CERVICO VAGINAL ",IF(P420=#REF!,"SOPORTE CARDIOVASCULAR AVANZADO (ACLS) ",IF(P420=#REF!,"CAMILLERO ",IF(P420=#REF!,"TOMA DE MUESTRAS Y LABORATORIO ",IF(P420=#REF!,"SOPORTE VITAL BASICO (BLS)",IF(P420=#REF!,"ATENCION A VICTIMAS DE VIOLENCIA SEXUAL ",IF(P420=#REF!,"PROGRAMADO AMPLIADO DE INMUNIZACION (PAI - COVID 19)",IF(P420=#REF!,"ATENCION INTEGRAL EN ENFERMEDADES PREVALENTES EN PRIMERA INFANCIA (AIEPI)",IF(P420=#REF!,"ADMINISTRACION DE MEDICAMENTOS, INYECTOLOGIA  Y CANALIZACION ",IF(P420=#REF!,"OPERADOR DE VEHICULOS DE EMERGENCIA (OVE)",IF(P420=#REF!,"INSTITUCIONES AMIGAS DE LA MUJER Y LA INFANCIA (IAMI)",IF(P420=#REF!,"CUIDADO DEL DONANTE DE ORGANOS",IF(P420=#REF!,"ATENCION A VICTIMAS POR VIOLENCIA DE GENERO",IF(P420=#REF!,"IGUALDAD DE GENERO EN LA SALUD",IF(P420=#REF!,"BRIGADA DE EMERGENCIA",IF(P420=#REF!,"MANEJO DEL DOLOR Y CUIDADOS PALIATIVOS",IF(P420=#REF!,"TOMA DE MUESTRAS Y LABORATORIO POCT",IF(P420=#REF!,"IMPLANTE SUBDERMICO DE DISPOSITIVO INTRAUTERINO",IF(P420=#REF!,"SALUD MENTAL",IF(P420=#REF!,"PRIMEROS AUXILIOS PSICOLOGICOS",IF(P420=#REF!,"ATENCION A VICTIMAS POR CONFLICTO ARMADO",IF(P420=#REF!,"MANIPULACION DE ALIMENTOS Y BPM",IF(P420=#REF!,"ATENCION A PERSONAS CON DISCAPACIDAD",IF(P420=#REF!,"CUIDADO INTEGRAL DEL PACIENTE ADULTO",IF(P420=#REF!,"MANEJO DEFENSIVO",IF(P420=#REF!,"SOPORTE CARDIOVASCULAR AVANZADO NEONATAL",IF(P420=#REF!,"SEGURIDAD DEL PACIENTE",IF(P420=#REF!,"MANEJO DE RESIDUOS HOSPITALARIOS"))))))))))))))))))))))))))))))))))))</f>
        <v>#REF!</v>
      </c>
      <c r="W420" s="26" t="str">
        <f>CONCATENATE(E420," ",F420," ",C420," ",D420)</f>
        <v>Miladys  Quiñones Cuero</v>
      </c>
      <c r="X420" s="26" t="str">
        <f t="shared" si="32"/>
        <v>Miladys  Quiñones Cuero</v>
      </c>
      <c r="Y420" s="26" t="str">
        <f>CONCATENATE(W420,"-",B420,"-",P420)</f>
        <v>Miladys  Quiñones Cuero-1004610016-BLS</v>
      </c>
    </row>
    <row r="421" spans="1:25" s="19" customFormat="1" x14ac:dyDescent="0.2">
      <c r="A421" s="20">
        <v>168</v>
      </c>
      <c r="B421" s="21">
        <v>1004610016</v>
      </c>
      <c r="C421" s="21" t="s">
        <v>395</v>
      </c>
      <c r="D421" s="21" t="s">
        <v>393</v>
      </c>
      <c r="E421" s="21" t="s">
        <v>394</v>
      </c>
      <c r="F421" s="21"/>
      <c r="G421" s="21">
        <v>21</v>
      </c>
      <c r="H421" s="21" t="s">
        <v>49</v>
      </c>
      <c r="I421" s="22" t="s">
        <v>376</v>
      </c>
      <c r="J421" s="22"/>
      <c r="K421" s="23">
        <v>45679</v>
      </c>
      <c r="L421" s="42">
        <v>32000</v>
      </c>
      <c r="M421" s="21" t="s">
        <v>79</v>
      </c>
      <c r="N421" s="21" t="s">
        <v>387</v>
      </c>
      <c r="O421" s="21" t="s">
        <v>69</v>
      </c>
      <c r="P421" s="21" t="s">
        <v>29</v>
      </c>
      <c r="Q421" s="22">
        <v>34449</v>
      </c>
      <c r="R421" s="21" t="s">
        <v>71</v>
      </c>
      <c r="S421" s="28" t="s">
        <v>107</v>
      </c>
      <c r="T421" s="21">
        <v>3154398908</v>
      </c>
      <c r="U421" s="21" t="s">
        <v>397</v>
      </c>
      <c r="V421" s="26" t="e">
        <f>IF(P421=#REF!,"DIPLOMADO EN ATENCION PRE-HOSPITALARIA",IF(P421=#REF!,"ACOMPAÑAMIENTO Y MANEJO DEL DUELO",IF(P421=#REF!,"ATENCION A VICTIMAS DE ATAQUE CON AGENTES QUIMICOS ",IF(P421=#REF!,"PRIMEROS AUXILIOS ",IF(P421=#REF!,"DIPLOMADO DE UNIDAD DE CUIDADOS INTENSIVOS (UCI)",IF(P421=#REF!,"MODELO DE ATENCION PARA EVENTOS EMERGENTES EN SALUD MENTAL (CODIGO VERDE)",IF(P421=#REF!,"HUMANIZACION EN EL SERVICIO DE LA SALUD Y BUENAS PRACTICAS EN PACIENTE ",IF(P421=#REF!,"CLINICA DE HERIDAS ",IF(P421=#REF!,"TOMA DE CITOLOGIA CERVICO VAGINAL ",IF(P421=#REF!,"SOPORTE CARDIOVASCULAR AVANZADO (ACLS) ",IF(P421=#REF!,"CAMILLERO ",IF(P421=#REF!,"TOMA DE MUESTRAS Y LABORATORIO ",IF(P421=#REF!,"SOPORTE VITAL BASICO (BLS)",IF(P421=#REF!,"ATENCION A VICTIMAS DE VIOLENCIA SEXUAL ",IF(P421=#REF!,"PROGRAMADO AMPLIADO DE INMUNIZACION (PAI - COVID 19)",IF(P421=#REF!,"ATENCION INTEGRAL EN ENFERMEDADES PREVALENTES EN PRIMERA INFANCIA (AIEPI)",IF(P421=#REF!,"ADMINISTRACION DE MEDICAMENTOS, INYECTOLOGIA  Y CANALIZACION ",IF(P421=#REF!,"OPERADOR DE VEHICULOS DE EMERGENCIA (OVE)",IF(P421=#REF!,"INSTITUCIONES AMIGAS DE LA MUJER Y LA INFANCIA (IAMI)",IF(P421=#REF!,"CUIDADO DEL DONANTE DE ORGANOS",IF(P421=#REF!,"ATENCION A VICTIMAS POR VIOLENCIA DE GENERO",IF(P421=#REF!,"IGUALDAD DE GENERO EN LA SALUD",IF(P421=#REF!,"BRIGADA DE EMERGENCIA",IF(P421=#REF!,"MANEJO DEL DOLOR Y CUIDADOS PALIATIVOS",IF(P421=#REF!,"TOMA DE MUESTRAS Y LABORATORIO POCT",IF(P421=#REF!,"IMPLANTE SUBDERMICO DE DISPOSITIVO INTRAUTERINO",IF(P421=#REF!,"SALUD MENTAL",IF(P421=#REF!,"PRIMEROS AUXILIOS PSICOLOGICOS",IF(P421=#REF!,"ATENCION A VICTIMAS POR CONFLICTO ARMADO",IF(P421=#REF!,"MANIPULACION DE ALIMENTOS Y BPM",IF(P421=#REF!,"ATENCION A PERSONAS CON DISCAPACIDAD",IF(P421=#REF!,"CUIDADO INTEGRAL DEL PACIENTE ADULTO",IF(P421=#REF!,"MANEJO DEFENSIVO",IF(P421=#REF!,"SOPORTE CARDIOVASCULAR AVANZADO NEONATAL",IF(P421=#REF!,"SEGURIDAD DEL PACIENTE",IF(P421=#REF!,"MANEJO DE RESIDUOS HOSPITALARIOS"))))))))))))))))))))))))))))))))))))</f>
        <v>#REF!</v>
      </c>
      <c r="W421" s="26" t="str">
        <f>CONCATENATE(E421," ",F421," ",C421," ",D421)</f>
        <v>Miladys  Quiñones Cuero</v>
      </c>
      <c r="X421" s="26" t="str">
        <f t="shared" si="32"/>
        <v>Miladys  Quiñones Cuero</v>
      </c>
      <c r="Y421" s="26" t="str">
        <f>CONCATENATE(W421,"-",B421,"-",P421)</f>
        <v>Miladys  Quiñones Cuero-1004610016-ADMON DE MEDICAMENTOS</v>
      </c>
    </row>
    <row r="422" spans="1:25" s="19" customFormat="1" x14ac:dyDescent="0.2">
      <c r="A422" s="20">
        <v>169</v>
      </c>
      <c r="B422" s="21">
        <v>1004610016</v>
      </c>
      <c r="C422" s="21" t="s">
        <v>395</v>
      </c>
      <c r="D422" s="21" t="s">
        <v>393</v>
      </c>
      <c r="E422" s="21" t="s">
        <v>394</v>
      </c>
      <c r="F422" s="21"/>
      <c r="G422" s="21">
        <v>22</v>
      </c>
      <c r="H422" s="21" t="s">
        <v>49</v>
      </c>
      <c r="I422" s="22" t="s">
        <v>376</v>
      </c>
      <c r="J422" s="22"/>
      <c r="K422" s="23">
        <v>45679</v>
      </c>
      <c r="L422" s="42">
        <v>32000</v>
      </c>
      <c r="M422" s="21" t="s">
        <v>79</v>
      </c>
      <c r="N422" s="21" t="s">
        <v>387</v>
      </c>
      <c r="O422" s="21" t="s">
        <v>69</v>
      </c>
      <c r="P422" s="21" t="s">
        <v>396</v>
      </c>
      <c r="Q422" s="22">
        <v>34449</v>
      </c>
      <c r="R422" s="21" t="s">
        <v>71</v>
      </c>
      <c r="S422" s="28" t="s">
        <v>107</v>
      </c>
      <c r="T422" s="21">
        <v>3154398908</v>
      </c>
      <c r="U422" s="21" t="s">
        <v>397</v>
      </c>
      <c r="V422" s="26" t="s">
        <v>396</v>
      </c>
      <c r="W422" s="26" t="str">
        <f>CONCATENATE(E422," ",F422," ",C422," ",D422)</f>
        <v>Miladys  Quiñones Cuero</v>
      </c>
      <c r="X422" s="26" t="str">
        <f t="shared" si="32"/>
        <v>Miladys  Quiñones Cuero</v>
      </c>
      <c r="Y422" s="26" t="str">
        <f>CONCATENATE(W422,"-",B422,"-",P422)</f>
        <v>Miladys  Quiñones Cuero-1004610016-MANEJO DE HERIDAS</v>
      </c>
    </row>
    <row r="423" spans="1:25" x14ac:dyDescent="0.2">
      <c r="A423" s="20">
        <v>170</v>
      </c>
      <c r="B423" s="21">
        <v>1085260512</v>
      </c>
      <c r="C423" s="21" t="s">
        <v>398</v>
      </c>
      <c r="D423" s="21" t="s">
        <v>399</v>
      </c>
      <c r="E423" s="21" t="s">
        <v>400</v>
      </c>
      <c r="F423" s="21" t="s">
        <v>401</v>
      </c>
      <c r="G423" s="21">
        <v>22</v>
      </c>
      <c r="H423" s="21" t="s">
        <v>49</v>
      </c>
      <c r="I423" s="22" t="s">
        <v>376</v>
      </c>
      <c r="J423" s="22"/>
      <c r="K423" s="23">
        <v>45679</v>
      </c>
      <c r="L423" s="42">
        <v>84000</v>
      </c>
      <c r="M423" s="21" t="s">
        <v>79</v>
      </c>
      <c r="N423" s="21" t="s">
        <v>387</v>
      </c>
      <c r="O423" s="21" t="s">
        <v>69</v>
      </c>
      <c r="P423" s="21" t="s">
        <v>24</v>
      </c>
      <c r="Q423" s="22">
        <v>32000</v>
      </c>
      <c r="R423" s="21" t="s">
        <v>70</v>
      </c>
      <c r="S423" s="63" t="s">
        <v>83</v>
      </c>
      <c r="T423" s="21">
        <v>3154272134</v>
      </c>
      <c r="U423" s="21" t="s">
        <v>402</v>
      </c>
      <c r="V423" s="26" t="e">
        <f>IF(P423=#REF!,"DIPLOMADO EN ATENCION PRE-HOSPITALARIA",IF(P423=#REF!,"ACOMPAÑAMIENTO Y MANEJO DEL DUELO",IF(P423=#REF!,"ATENCION A VICTIMAS DE ATAQUE CON AGENTES QUIMICOS ",IF(P423=#REF!,"PRIMEROS AUXILIOS ",IF(P423=#REF!,"DIPLOMADO DE UNIDAD DE CUIDADOS INTENSIVOS (UCI)",IF(P423=#REF!,"MODELO DE ATENCION PARA EVENTOS EMERGENTES EN SALUD MENTAL (CODIGO VERDE)",IF(P423=#REF!,"HUMANIZACION EN EL SERVICIO DE LA SALUD Y BUENAS PRACTICAS EN PACIENTE ",IF(P423=#REF!,"CLINICA DE HERIDAS ",IF(P423=#REF!,"TOMA DE CITOLOGIA CERVICO VAGINAL ",IF(P423=#REF!,"SOPORTE CARDIOVASCULAR AVANZADO (ACLS) ",IF(P423=#REF!,"CAMILLERO ",IF(P423=#REF!,"TOMA DE MUESTRAS Y LABORATORIO ",IF(P423=#REF!,"SOPORTE VITAL BASICO (BLS)",IF(P423=#REF!,"ATENCION A VICTIMAS DE VIOLENCIA SEXUAL ",IF(P423=#REF!,"PROGRAMADO AMPLIADO DE INMUNIZACION (PAI - COVID 19)",IF(P423=#REF!,"ATENCION INTEGRAL EN ENFERMEDADES PREVALENTES EN PRIMERA INFANCIA (AIEPI)",IF(P423=#REF!,"ADMINISTRACION DE MEDICAMENTOS, INYECTOLOGIA  Y CANALIZACION ",IF(P423=#REF!,"OPERADOR DE VEHICULOS DE EMERGENCIA (OVE)",IF(P423=#REF!,"INSTITUCIONES AMIGAS DE LA MUJER Y LA INFANCIA (IAMI)",IF(P423=#REF!,"CUIDADO DEL DONANTE DE ORGANOS",IF(P423=#REF!,"ATENCION A VICTIMAS POR VIOLENCIA DE GENERO",IF(P423=#REF!,"IGUALDAD DE GENERO EN LA SALUD",IF(P423=#REF!,"BRIGADA DE EMERGENCIA",IF(P423=#REF!,"MANEJO DEL DOLOR Y CUIDADOS PALIATIVOS",IF(P423=#REF!,"TOMA DE MUESTRAS Y LABORATORIO POCT",IF(P423=#REF!,"IMPLANTE SUBDERMICO DE DISPOSITIVO INTRAUTERINO",IF(P423=#REF!,"SALUD MENTAL",IF(P423=#REF!,"PRIMEROS AUXILIOS PSICOLOGICOS",IF(P423=#REF!,"ATENCION A VICTIMAS POR CONFLICTO ARMADO",IF(P423=#REF!,"MANIPULACION DE ALIMENTOS Y BPM",IF(P423=#REF!,"ATENCION A PERSONAS CON DISCAPACIDAD",IF(P423=#REF!,"CUIDADO INTEGRAL DEL PACIENTE ADULTO",IF(P423=#REF!,"MANEJO DEFENSIVO",IF(P423=#REF!,"SOPORTE CARDIOVASCULAR AVANZADO NEONATAL",IF(P423=#REF!,"SEGURIDAD DEL PACIENTE",IF(P423=#REF!,"MANEJO DE RESIDUOS HOSPITALARIOS"))))))))))))))))))))))))))))))))))))</f>
        <v>#REF!</v>
      </c>
      <c r="W423" s="26" t="str">
        <f>CONCATENATE(E423," ",F423," ",C423," ",D423)</f>
        <v>Hermes Ariel Paz Saavedra</v>
      </c>
      <c r="X423" s="26" t="str">
        <f t="shared" si="32"/>
        <v>Hermes Ariel Paz Saavedra</v>
      </c>
      <c r="Y423" s="26" t="str">
        <f>CONCATENATE(W423,"-",B423,"-",P423)</f>
        <v>Hermes Ariel Paz Saavedra-1085260512-ACLS</v>
      </c>
    </row>
    <row r="424" spans="1:25" x14ac:dyDescent="0.2">
      <c r="A424" s="20">
        <v>171</v>
      </c>
      <c r="B424" s="21">
        <v>1085260512</v>
      </c>
      <c r="C424" s="21" t="s">
        <v>398</v>
      </c>
      <c r="D424" s="21" t="s">
        <v>399</v>
      </c>
      <c r="E424" s="21" t="s">
        <v>400</v>
      </c>
      <c r="F424" s="21" t="s">
        <v>401</v>
      </c>
      <c r="G424" s="21">
        <v>22</v>
      </c>
      <c r="H424" s="21" t="s">
        <v>49</v>
      </c>
      <c r="I424" s="22" t="s">
        <v>376</v>
      </c>
      <c r="J424" s="22"/>
      <c r="K424" s="23">
        <v>45679</v>
      </c>
      <c r="L424" s="42">
        <v>20000</v>
      </c>
      <c r="M424" s="21" t="s">
        <v>79</v>
      </c>
      <c r="N424" s="21" t="s">
        <v>387</v>
      </c>
      <c r="O424" s="21" t="s">
        <v>69</v>
      </c>
      <c r="P424" s="21" t="s">
        <v>19</v>
      </c>
      <c r="Q424" s="22">
        <v>32000</v>
      </c>
      <c r="R424" s="21" t="s">
        <v>70</v>
      </c>
      <c r="S424" s="63" t="s">
        <v>83</v>
      </c>
      <c r="T424" s="21">
        <v>3154272134</v>
      </c>
      <c r="U424" s="21" t="s">
        <v>402</v>
      </c>
      <c r="V424" s="26" t="e">
        <f>IF(P424=#REF!,"DIPLOMADO EN ATENCION PRE-HOSPITALARIA",IF(P424=#REF!,"ACOMPAÑAMIENTO Y MANEJO DEL DUELO",IF(P424=#REF!,"ATENCION A VICTIMAS DE ATAQUE CON AGENTES QUIMICOS ",IF(P424=#REF!,"PRIMEROS AUXILIOS ",IF(P424=#REF!,"DIPLOMADO DE UNIDAD DE CUIDADOS INTENSIVOS (UCI)",IF(P424=#REF!,"MODELO DE ATENCION PARA EVENTOS EMERGENTES EN SALUD MENTAL (CODIGO VERDE)",IF(P424=#REF!,"HUMANIZACION EN EL SERVICIO DE LA SALUD Y BUENAS PRACTICAS EN PACIENTE ",IF(P424=#REF!,"CLINICA DE HERIDAS ",IF(P424=#REF!,"TOMA DE CITOLOGIA CERVICO VAGINAL ",IF(P424=#REF!,"SOPORTE CARDIOVASCULAR AVANZADO (ACLS) ",IF(P424=#REF!,"CAMILLERO ",IF(P424=#REF!,"TOMA DE MUESTRAS Y LABORATORIO ",IF(P424=#REF!,"SOPORTE VITAL BASICO (BLS)",IF(P424=#REF!,"ATENCION A VICTIMAS DE VIOLENCIA SEXUAL ",IF(P424=#REF!,"PROGRAMADO AMPLIADO DE INMUNIZACION (PAI - COVID 19)",IF(P424=#REF!,"ATENCION INTEGRAL EN ENFERMEDADES PREVALENTES EN PRIMERA INFANCIA (AIEPI)",IF(P424=#REF!,"ADMINISTRACION DE MEDICAMENTOS, INYECTOLOGIA  Y CANALIZACION ",IF(P424=#REF!,"OPERADOR DE VEHICULOS DE EMERGENCIA (OVE)",IF(P424=#REF!,"INSTITUCIONES AMIGAS DE LA MUJER Y LA INFANCIA (IAMI)",IF(P424=#REF!,"CUIDADO DEL DONANTE DE ORGANOS",IF(P424=#REF!,"ATENCION A VICTIMAS POR VIOLENCIA DE GENERO",IF(P424=#REF!,"IGUALDAD DE GENERO EN LA SALUD",IF(P424=#REF!,"BRIGADA DE EMERGENCIA",IF(P424=#REF!,"MANEJO DEL DOLOR Y CUIDADOS PALIATIVOS",IF(P424=#REF!,"TOMA DE MUESTRAS Y LABORATORIO POCT",IF(P424=#REF!,"IMPLANTE SUBDERMICO DE DISPOSITIVO INTRAUTERINO",IF(P424=#REF!,"SALUD MENTAL",IF(P424=#REF!,"PRIMEROS AUXILIOS PSICOLOGICOS",IF(P424=#REF!,"ATENCION A VICTIMAS POR CONFLICTO ARMADO",IF(P424=#REF!,"MANIPULACION DE ALIMENTOS Y BPM",IF(P424=#REF!,"ATENCION A PERSONAS CON DISCAPACIDAD",IF(P424=#REF!,"CUIDADO INTEGRAL DEL PACIENTE ADULTO",IF(P424=#REF!,"MANEJO DEFENSIVO",IF(P424=#REF!,"SOPORTE CARDIOVASCULAR AVANZADO NEONATAL",IF(P424=#REF!,"SEGURIDAD DEL PACIENTE",IF(P424=#REF!,"MANEJO DE RESIDUOS HOSPITALARIOS"))))))))))))))))))))))))))))))))))))</f>
        <v>#REF!</v>
      </c>
      <c r="W424" s="26" t="str">
        <f>CONCATENATE(E424," ",F424," ",C424," ",D424)</f>
        <v>Hermes Ariel Paz Saavedra</v>
      </c>
      <c r="X424" s="26" t="str">
        <f t="shared" si="32"/>
        <v>Hermes Ariel Paz Saavedra</v>
      </c>
      <c r="Y424" s="26" t="str">
        <f>CONCATENATE(W424,"-",B424,"-",P424)</f>
        <v>Hermes Ariel Paz Saavedra-1085260512-BLS</v>
      </c>
    </row>
    <row r="425" spans="1:25" x14ac:dyDescent="0.2">
      <c r="A425" s="20">
        <v>172</v>
      </c>
      <c r="B425" s="21">
        <v>37082188</v>
      </c>
      <c r="C425" s="21" t="s">
        <v>227</v>
      </c>
      <c r="D425" s="21" t="s">
        <v>160</v>
      </c>
      <c r="E425" s="21" t="s">
        <v>214</v>
      </c>
      <c r="F425" s="21" t="s">
        <v>215</v>
      </c>
      <c r="G425" s="21">
        <v>23</v>
      </c>
      <c r="H425" s="21" t="s">
        <v>49</v>
      </c>
      <c r="I425" s="22" t="s">
        <v>377</v>
      </c>
      <c r="J425" s="22"/>
      <c r="K425" s="23" t="s">
        <v>427</v>
      </c>
      <c r="L425" s="24">
        <v>65000</v>
      </c>
      <c r="M425" s="21" t="s">
        <v>504</v>
      </c>
      <c r="N425" s="21" t="s">
        <v>387</v>
      </c>
      <c r="O425" s="21" t="s">
        <v>69</v>
      </c>
      <c r="P425" s="21" t="s">
        <v>29</v>
      </c>
      <c r="Q425" s="22">
        <v>30393</v>
      </c>
      <c r="R425" s="21" t="s">
        <v>71</v>
      </c>
      <c r="S425" s="63" t="s">
        <v>172</v>
      </c>
      <c r="T425" s="21">
        <v>3164712413</v>
      </c>
      <c r="U425" s="21" t="s">
        <v>403</v>
      </c>
      <c r="V425" s="26" t="e">
        <f>IF(P425=#REF!,"DIPLOMADO EN ATENCION PRE-HOSPITALARIA",IF(P425=#REF!,"ACOMPAÑAMIENTO Y MANEJO DEL DUELO",IF(P425=#REF!,"ATENCION A VICTIMAS DE ATAQUE CON AGENTES QUIMICOS ",IF(P425=#REF!,"PRIMEROS AUXILIOS ",IF(P425=#REF!,"DIPLOMADO DE UNIDAD DE CUIDADOS INTENSIVOS (UCI)",IF(P425=#REF!,"MODELO DE ATENCION PARA EVENTOS EMERGENTES EN SALUD MENTAL (CODIGO VERDE)",IF(P425=#REF!,"HUMANIZACION EN EL SERVICIO DE LA SALUD Y BUENAS PRACTICAS EN PACIENTE ",IF(P425=#REF!,"CLINICA DE HERIDAS ",IF(P425=#REF!,"TOMA DE CITOLOGIA CERVICO VAGINAL ",IF(P425=#REF!,"SOPORTE CARDIOVASCULAR AVANZADO (ACLS) ",IF(P425=#REF!,"CAMILLERO ",IF(P425=#REF!,"TOMA DE MUESTRAS Y LABORATORIO ",IF(P425=#REF!,"SOPORTE VITAL BASICO (BLS)",IF(P425=#REF!,"ATENCION A VICTIMAS DE VIOLENCIA SEXUAL ",IF(P425=#REF!,"PROGRAMADO AMPLIADO DE INMUNIZACION (PAI - COVID 19)",IF(P425=#REF!,"ATENCION INTEGRAL EN ENFERMEDADES PREVALENTES EN PRIMERA INFANCIA (AIEPI)",IF(P425=#REF!,"ADMINISTRACION DE MEDICAMENTOS, INYECTOLOGIA  Y CANALIZACION ",IF(P425=#REF!,"OPERADOR DE VEHICULOS DE EMERGENCIA (OVE)",IF(P425=#REF!,"INSTITUCIONES AMIGAS DE LA MUJER Y LA INFANCIA (IAMI)",IF(P425=#REF!,"CUIDADO DEL DONANTE DE ORGANOS",IF(P425=#REF!,"ATENCION A VICTIMAS POR VIOLENCIA DE GENERO",IF(P425=#REF!,"IGUALDAD DE GENERO EN LA SALUD",IF(P425=#REF!,"BRIGADA DE EMERGENCIA",IF(P425=#REF!,"MANEJO DEL DOLOR Y CUIDADOS PALIATIVOS",IF(P425=#REF!,"TOMA DE MUESTRAS Y LABORATORIO POCT",IF(P425=#REF!,"IMPLANTE SUBDERMICO DE DISPOSITIVO INTRAUTERINO",IF(P425=#REF!,"SALUD MENTAL",IF(P425=#REF!,"PRIMEROS AUXILIOS PSICOLOGICOS",IF(P425=#REF!,"ATENCION A VICTIMAS POR CONFLICTO ARMADO",IF(P425=#REF!,"MANIPULACION DE ALIMENTOS Y BPM",IF(P425=#REF!,"ATENCION A PERSONAS CON DISCAPACIDAD",IF(P425=#REF!,"CUIDADO INTEGRAL DEL PACIENTE ADULTO",IF(P425=#REF!,"MANEJO DEFENSIVO",IF(P425=#REF!,"SOPORTE CARDIOVASCULAR AVANZADO NEONATAL",IF(P425=#REF!,"SEGURIDAD DEL PACIENTE",IF(P425=#REF!,"MANEJO DE RESIDUOS HOSPITALARIOS"))))))))))))))))))))))))))))))))))))</f>
        <v>#REF!</v>
      </c>
      <c r="W425" s="26" t="str">
        <f>CONCATENATE(E425," ",F425," ",C425," ",D425)</f>
        <v>Diana Carolina Guerrero Gomez</v>
      </c>
      <c r="X425" s="26" t="str">
        <f t="shared" si="32"/>
        <v>Diana Carolina Guerrero Gomez</v>
      </c>
      <c r="Y425" s="26" t="str">
        <f>CONCATENATE(W425,"-",B425,"-",P425)</f>
        <v>Diana Carolina Guerrero Gomez-37082188-ADMON DE MEDICAMENTOS</v>
      </c>
    </row>
    <row r="426" spans="1:25" x14ac:dyDescent="0.2">
      <c r="A426" s="20">
        <v>173</v>
      </c>
      <c r="B426" s="21">
        <v>1080691265</v>
      </c>
      <c r="C426" s="21" t="s">
        <v>405</v>
      </c>
      <c r="D426" s="21" t="s">
        <v>404</v>
      </c>
      <c r="E426" s="21" t="s">
        <v>406</v>
      </c>
      <c r="F426" s="21" t="s">
        <v>82</v>
      </c>
      <c r="G426" s="21">
        <v>27</v>
      </c>
      <c r="H426" s="21" t="s">
        <v>49</v>
      </c>
      <c r="I426" s="22" t="s">
        <v>377</v>
      </c>
      <c r="J426" s="22"/>
      <c r="K426" s="23" t="s">
        <v>498</v>
      </c>
      <c r="L426" s="24">
        <v>65000</v>
      </c>
      <c r="M426" s="21" t="s">
        <v>133</v>
      </c>
      <c r="N426" s="21" t="s">
        <v>387</v>
      </c>
      <c r="O426" s="21" t="s">
        <v>69</v>
      </c>
      <c r="P426" s="21" t="s">
        <v>29</v>
      </c>
      <c r="Q426" s="22">
        <v>38353</v>
      </c>
      <c r="R426" s="21" t="s">
        <v>71</v>
      </c>
      <c r="S426" s="28" t="s">
        <v>107</v>
      </c>
      <c r="T426" s="21">
        <v>3128535804</v>
      </c>
      <c r="U426" s="27" t="s">
        <v>407</v>
      </c>
      <c r="V426" s="26" t="e">
        <f>IF(P426=#REF!,"DIPLOMADO EN ATENCION PRE-HOSPITALARIA",IF(P426=#REF!,"ACOMPAÑAMIENTO Y MANEJO DEL DUELO",IF(P426=#REF!,"ATENCION A VICTIMAS DE ATAQUE CON AGENTES QUIMICOS ",IF(P426=#REF!,"PRIMEROS AUXILIOS ",IF(P426=#REF!,"DIPLOMADO DE UNIDAD DE CUIDADOS INTENSIVOS (UCI)",IF(P426=#REF!,"MODELO DE ATENCION PARA EVENTOS EMERGENTES EN SALUD MENTAL (CODIGO VERDE)",IF(P426=#REF!,"HUMANIZACION EN EL SERVICIO DE LA SALUD Y BUENAS PRACTICAS EN PACIENTE ",IF(P426=#REF!,"CLINICA DE HERIDAS ",IF(P426=#REF!,"TOMA DE CITOLOGIA CERVICO VAGINAL ",IF(P426=#REF!,"SOPORTE CARDIOVASCULAR AVANZADO (ACLS) ",IF(P426=#REF!,"CAMILLERO ",IF(P426=#REF!,"TOMA DE MUESTRAS Y LABORATORIO ",IF(P426=#REF!,"SOPORTE VITAL BASICO (BLS)",IF(P426=#REF!,"ATENCION A VICTIMAS DE VIOLENCIA SEXUAL ",IF(P426=#REF!,"PROGRAMADO AMPLIADO DE INMUNIZACION (PAI - COVID 19)",IF(P426=#REF!,"ATENCION INTEGRAL EN ENFERMEDADES PREVALENTES EN PRIMERA INFANCIA (AIEPI)",IF(P426=#REF!,"ADMINISTRACION DE MEDICAMENTOS, INYECTOLOGIA  Y CANALIZACION ",IF(P426=#REF!,"OPERADOR DE VEHICULOS DE EMERGENCIA (OVE)",IF(P426=#REF!,"INSTITUCIONES AMIGAS DE LA MUJER Y LA INFANCIA (IAMI)",IF(P426=#REF!,"CUIDADO DEL DONANTE DE ORGANOS",IF(P426=#REF!,"ATENCION A VICTIMAS POR VIOLENCIA DE GENERO",IF(P426=#REF!,"IGUALDAD DE GENERO EN LA SALUD",IF(P426=#REF!,"BRIGADA DE EMERGENCIA",IF(P426=#REF!,"MANEJO DEL DOLOR Y CUIDADOS PALIATIVOS",IF(P426=#REF!,"TOMA DE MUESTRAS Y LABORATORIO POCT",IF(P426=#REF!,"IMPLANTE SUBDERMICO DE DISPOSITIVO INTRAUTERINO",IF(P426=#REF!,"SALUD MENTAL",IF(P426=#REF!,"PRIMEROS AUXILIOS PSICOLOGICOS",IF(P426=#REF!,"ATENCION A VICTIMAS POR CONFLICTO ARMADO",IF(P426=#REF!,"MANIPULACION DE ALIMENTOS Y BPM",IF(P426=#REF!,"ATENCION A PERSONAS CON DISCAPACIDAD",IF(P426=#REF!,"CUIDADO INTEGRAL DEL PACIENTE ADULTO",IF(P426=#REF!,"MANEJO DEFENSIVO",IF(P426=#REF!,"SOPORTE CARDIOVASCULAR AVANZADO NEONATAL",IF(P426=#REF!,"SEGURIDAD DEL PACIENTE",IF(P426=#REF!,"MANEJO DE RESIDUOS HOSPITALARIOS"))))))))))))))))))))))))))))))))))))</f>
        <v>#REF!</v>
      </c>
      <c r="W426" s="26" t="str">
        <f>CONCATENATE(E426," ",F426," ",C426," ",D426)</f>
        <v>Paula Andrea Banda Madroñero</v>
      </c>
      <c r="X426" s="26" t="str">
        <f t="shared" si="32"/>
        <v>Paula Andrea Banda Madroñero</v>
      </c>
      <c r="Y426" s="26" t="str">
        <f>CONCATENATE(W426,"-",B426,"-",P426)</f>
        <v>Paula Andrea Banda Madroñero-1080691265-ADMON DE MEDICAMENTOS</v>
      </c>
    </row>
    <row r="427" spans="1:25" x14ac:dyDescent="0.2">
      <c r="A427" s="20">
        <v>174</v>
      </c>
      <c r="B427" s="21">
        <v>1085329897</v>
      </c>
      <c r="C427" s="21" t="s">
        <v>308</v>
      </c>
      <c r="D427" s="21"/>
      <c r="E427" s="21" t="s">
        <v>408</v>
      </c>
      <c r="F427" s="21" t="s">
        <v>409</v>
      </c>
      <c r="G427" s="21">
        <v>23</v>
      </c>
      <c r="H427" s="21" t="s">
        <v>49</v>
      </c>
      <c r="I427" s="22" t="s">
        <v>377</v>
      </c>
      <c r="J427" s="22"/>
      <c r="K427" s="23">
        <v>46014</v>
      </c>
      <c r="L427" s="24">
        <v>65000</v>
      </c>
      <c r="M427" s="21" t="s">
        <v>133</v>
      </c>
      <c r="N427" s="21" t="s">
        <v>387</v>
      </c>
      <c r="O427" s="21" t="s">
        <v>69</v>
      </c>
      <c r="P427" s="21" t="s">
        <v>29</v>
      </c>
      <c r="Q427" s="22">
        <v>35264</v>
      </c>
      <c r="R427" s="21" t="s">
        <v>71</v>
      </c>
      <c r="S427" s="21" t="s">
        <v>107</v>
      </c>
      <c r="T427" s="21">
        <v>3195812795</v>
      </c>
      <c r="U427" s="21" t="s">
        <v>410</v>
      </c>
      <c r="V427" s="26" t="e">
        <f>IF(P427=#REF!,"DIPLOMADO EN ATENCION PRE-HOSPITALARIA",IF(P427=#REF!,"ACOMPAÑAMIENTO Y MANEJO DEL DUELO",IF(P427=#REF!,"ATENCION A VICTIMAS DE ATAQUE CON AGENTES QUIMICOS ",IF(P427=#REF!,"PRIMEROS AUXILIOS ",IF(P427=#REF!,"DIPLOMADO DE UNIDAD DE CUIDADOS INTENSIVOS (UCI)",IF(P427=#REF!,"MODELO DE ATENCION PARA EVENTOS EMERGENTES EN SALUD MENTAL (CODIGO VERDE)",IF(P427=#REF!,"HUMANIZACION EN EL SERVICIO DE LA SALUD Y BUENAS PRACTICAS EN PACIENTE ",IF(P427=#REF!,"CLINICA DE HERIDAS ",IF(P427=#REF!,"TOMA DE CITOLOGIA CERVICO VAGINAL ",IF(P427=#REF!,"SOPORTE CARDIOVASCULAR AVANZADO (ACLS) ",IF(P427=#REF!,"CAMILLERO ",IF(P427=#REF!,"TOMA DE MUESTRAS Y LABORATORIO ",IF(P427=#REF!,"SOPORTE VITAL BASICO (BLS)",IF(P427=#REF!,"ATENCION A VICTIMAS DE VIOLENCIA SEXUAL ",IF(P427=#REF!,"PROGRAMADO AMPLIADO DE INMUNIZACION (PAI - COVID 19)",IF(P427=#REF!,"ATENCION INTEGRAL EN ENFERMEDADES PREVALENTES EN PRIMERA INFANCIA (AIEPI)",IF(P427=#REF!,"ADMINISTRACION DE MEDICAMENTOS, INYECTOLOGIA  Y CANALIZACION ",IF(P427=#REF!,"OPERADOR DE VEHICULOS DE EMERGENCIA (OVE)",IF(P427=#REF!,"INSTITUCIONES AMIGAS DE LA MUJER Y LA INFANCIA (IAMI)",IF(P427=#REF!,"CUIDADO DEL DONANTE DE ORGANOS",IF(P427=#REF!,"ATENCION A VICTIMAS POR VIOLENCIA DE GENERO",IF(P427=#REF!,"IGUALDAD DE GENERO EN LA SALUD",IF(P427=#REF!,"BRIGADA DE EMERGENCIA",IF(P427=#REF!,"MANEJO DEL DOLOR Y CUIDADOS PALIATIVOS",IF(P427=#REF!,"TOMA DE MUESTRAS Y LABORATORIO POCT",IF(P427=#REF!,"IMPLANTE SUBDERMICO DE DISPOSITIVO INTRAUTERINO",IF(P427=#REF!,"SALUD MENTAL",IF(P427=#REF!,"PRIMEROS AUXILIOS PSICOLOGICOS",IF(P427=#REF!,"ATENCION A VICTIMAS POR CONFLICTO ARMADO",IF(P427=#REF!,"MANIPULACION DE ALIMENTOS Y BPM",IF(P427=#REF!,"ATENCION A PERSONAS CON DISCAPACIDAD",IF(P427=#REF!,"CUIDADO INTEGRAL DEL PACIENTE ADULTO",IF(P427=#REF!,"MANEJO DEFENSIVO",IF(P427=#REF!,"SOPORTE CARDIOVASCULAR AVANZADO NEONATAL",IF(P427=#REF!,"SEGURIDAD DEL PACIENTE",IF(P427=#REF!,"MANEJO DE RESIDUOS HOSPITALARIOS"))))))))))))))))))))))))))))))))))))</f>
        <v>#REF!</v>
      </c>
      <c r="W427" s="26" t="str">
        <f>CONCATENATE(E427," ",F427," ",C427," ",D427)</f>
        <v xml:space="preserve">Angie Catherine Portilla  </v>
      </c>
      <c r="X427" s="26" t="str">
        <f t="shared" si="32"/>
        <v xml:space="preserve">Angie Catherine Portilla  </v>
      </c>
      <c r="Y427" s="26" t="str">
        <f>CONCATENATE(W427,"-",B427,"-",P427)</f>
        <v>Angie Catherine Portilla  -1085329897-ADMON DE MEDICAMENTOS</v>
      </c>
    </row>
    <row r="428" spans="1:25" x14ac:dyDescent="0.2">
      <c r="A428" s="20">
        <v>175</v>
      </c>
      <c r="B428" s="21">
        <v>1233192145</v>
      </c>
      <c r="C428" s="21" t="s">
        <v>221</v>
      </c>
      <c r="D428" s="21" t="s">
        <v>213</v>
      </c>
      <c r="E428" s="21" t="s">
        <v>239</v>
      </c>
      <c r="F428" s="21" t="s">
        <v>319</v>
      </c>
      <c r="G428" s="21">
        <v>23</v>
      </c>
      <c r="H428" s="21" t="s">
        <v>49</v>
      </c>
      <c r="I428" s="22" t="s">
        <v>377</v>
      </c>
      <c r="J428" s="22"/>
      <c r="K428" s="23" t="s">
        <v>427</v>
      </c>
      <c r="L428" s="42">
        <v>65000</v>
      </c>
      <c r="M428" s="21" t="s">
        <v>503</v>
      </c>
      <c r="N428" s="21" t="s">
        <v>387</v>
      </c>
      <c r="O428" s="21" t="s">
        <v>69</v>
      </c>
      <c r="P428" s="21" t="s">
        <v>29</v>
      </c>
      <c r="Q428" s="22">
        <v>36067</v>
      </c>
      <c r="R428" s="21" t="s">
        <v>71</v>
      </c>
      <c r="S428" s="21" t="s">
        <v>274</v>
      </c>
      <c r="T428" s="21">
        <v>3158453919</v>
      </c>
      <c r="U428" s="21" t="s">
        <v>411</v>
      </c>
      <c r="V428" s="26" t="e">
        <f>IF(P428=#REF!,"DIPLOMADO EN ATENCION PRE-HOSPITALARIA",IF(P428=#REF!,"ACOMPAÑAMIENTO Y MANEJO DEL DUELO",IF(P428=#REF!,"ATENCION A VICTIMAS DE ATAQUE CON AGENTES QUIMICOS ",IF(P428=#REF!,"PRIMEROS AUXILIOS ",IF(P428=#REF!,"DIPLOMADO DE UNIDAD DE CUIDADOS INTENSIVOS (UCI)",IF(P428=#REF!,"MODELO DE ATENCION PARA EVENTOS EMERGENTES EN SALUD MENTAL (CODIGO VERDE)",IF(P428=#REF!,"HUMANIZACION EN EL SERVICIO DE LA SALUD Y BUENAS PRACTICAS EN PACIENTE ",IF(P428=#REF!,"CLINICA DE HERIDAS ",IF(P428=#REF!,"TOMA DE CITOLOGIA CERVICO VAGINAL ",IF(P428=#REF!,"SOPORTE CARDIOVASCULAR AVANZADO (ACLS) ",IF(P428=#REF!,"CAMILLERO ",IF(P428=#REF!,"TOMA DE MUESTRAS Y LABORATORIO ",IF(P428=#REF!,"SOPORTE VITAL BASICO (BLS)",IF(P428=#REF!,"ATENCION A VICTIMAS DE VIOLENCIA SEXUAL ",IF(P428=#REF!,"PROGRAMADO AMPLIADO DE INMUNIZACION (PAI - COVID 19)",IF(P428=#REF!,"ATENCION INTEGRAL EN ENFERMEDADES PREVALENTES EN PRIMERA INFANCIA (AIEPI)",IF(P428=#REF!,"ADMINISTRACION DE MEDICAMENTOS, INYECTOLOGIA  Y CANALIZACION ",IF(P428=#REF!,"OPERADOR DE VEHICULOS DE EMERGENCIA (OVE)",IF(P428=#REF!,"INSTITUCIONES AMIGAS DE LA MUJER Y LA INFANCIA (IAMI)",IF(P428=#REF!,"CUIDADO DEL DONANTE DE ORGANOS",IF(P428=#REF!,"ATENCION A VICTIMAS POR VIOLENCIA DE GENERO",IF(P428=#REF!,"IGUALDAD DE GENERO EN LA SALUD",IF(P428=#REF!,"BRIGADA DE EMERGENCIA",IF(P428=#REF!,"MANEJO DEL DOLOR Y CUIDADOS PALIATIVOS",IF(P428=#REF!,"TOMA DE MUESTRAS Y LABORATORIO POCT",IF(P428=#REF!,"IMPLANTE SUBDERMICO DE DISPOSITIVO INTRAUTERINO",IF(P428=#REF!,"SALUD MENTAL",IF(P428=#REF!,"PRIMEROS AUXILIOS PSICOLOGICOS",IF(P428=#REF!,"ATENCION A VICTIMAS POR CONFLICTO ARMADO",IF(P428=#REF!,"MANIPULACION DE ALIMENTOS Y BPM",IF(P428=#REF!,"ATENCION A PERSONAS CON DISCAPACIDAD",IF(P428=#REF!,"CUIDADO INTEGRAL DEL PACIENTE ADULTO",IF(P428=#REF!,"MANEJO DEFENSIVO",IF(P428=#REF!,"SOPORTE CARDIOVASCULAR AVANZADO NEONATAL",IF(P428=#REF!,"SEGURIDAD DEL PACIENTE",IF(P428=#REF!,"MANEJO DE RESIDUOS HOSPITALARIOS"))))))))))))))))))))))))))))))))))))</f>
        <v>#REF!</v>
      </c>
      <c r="W428" s="26" t="str">
        <f>CONCATENATE(E428," ",F428," ",C428," ",D428)</f>
        <v>Martha Lucia Martinez Moreno</v>
      </c>
      <c r="X428" s="26" t="str">
        <f t="shared" si="32"/>
        <v>Martha Lucia Martinez Moreno</v>
      </c>
      <c r="Y428" s="26" t="str">
        <f>CONCATENATE(W428,"-",B428,"-",P428)</f>
        <v>Martha Lucia Martinez Moreno-1233192145-ADMON DE MEDICAMENTOS</v>
      </c>
    </row>
    <row r="429" spans="1:25" x14ac:dyDescent="0.2">
      <c r="A429" s="20">
        <v>176</v>
      </c>
      <c r="B429" s="21">
        <v>59831386</v>
      </c>
      <c r="C429" s="21" t="s">
        <v>242</v>
      </c>
      <c r="D429" s="21"/>
      <c r="E429" s="21" t="s">
        <v>170</v>
      </c>
      <c r="F429" s="21" t="s">
        <v>339</v>
      </c>
      <c r="G429" s="21">
        <v>23</v>
      </c>
      <c r="H429" s="21" t="s">
        <v>49</v>
      </c>
      <c r="I429" s="22" t="s">
        <v>377</v>
      </c>
      <c r="J429" s="22"/>
      <c r="K429" s="23">
        <v>46014</v>
      </c>
      <c r="L429" s="24">
        <v>65000</v>
      </c>
      <c r="M429" s="23" t="s">
        <v>133</v>
      </c>
      <c r="N429" s="21" t="s">
        <v>387</v>
      </c>
      <c r="O429" s="21" t="s">
        <v>69</v>
      </c>
      <c r="P429" s="21" t="s">
        <v>29</v>
      </c>
      <c r="Q429" s="22">
        <v>27426</v>
      </c>
      <c r="R429" s="21" t="s">
        <v>71</v>
      </c>
      <c r="S429" s="21" t="s">
        <v>412</v>
      </c>
      <c r="T429" s="21">
        <v>3188050523</v>
      </c>
      <c r="U429" s="21" t="s">
        <v>413</v>
      </c>
      <c r="V429" s="26" t="e">
        <f>IF(P429=#REF!,"DIPLOMADO EN ATENCION PRE-HOSPITALARIA",IF(P429=#REF!,"ACOMPAÑAMIENTO Y MANEJO DEL DUELO",IF(P429=#REF!,"ATENCION A VICTIMAS DE ATAQUE CON AGENTES QUIMICOS ",IF(P429=#REF!,"PRIMEROS AUXILIOS ",IF(P429=#REF!,"DIPLOMADO DE UNIDAD DE CUIDADOS INTENSIVOS (UCI)",IF(P429=#REF!,"MODELO DE ATENCION PARA EVENTOS EMERGENTES EN SALUD MENTAL (CODIGO VERDE)",IF(P429=#REF!,"HUMANIZACION EN EL SERVICIO DE LA SALUD Y BUENAS PRACTICAS EN PACIENTE ",IF(P429=#REF!,"CLINICA DE HERIDAS ",IF(P429=#REF!,"TOMA DE CITOLOGIA CERVICO VAGINAL ",IF(P429=#REF!,"SOPORTE CARDIOVASCULAR AVANZADO (ACLS) ",IF(P429=#REF!,"CAMILLERO ",IF(P429=#REF!,"TOMA DE MUESTRAS Y LABORATORIO ",IF(P429=#REF!,"SOPORTE VITAL BASICO (BLS)",IF(P429=#REF!,"ATENCION A VICTIMAS DE VIOLENCIA SEXUAL ",IF(P429=#REF!,"PROGRAMADO AMPLIADO DE INMUNIZACION (PAI - COVID 19)",IF(P429=#REF!,"ATENCION INTEGRAL EN ENFERMEDADES PREVALENTES EN PRIMERA INFANCIA (AIEPI)",IF(P429=#REF!,"ADMINISTRACION DE MEDICAMENTOS, INYECTOLOGIA  Y CANALIZACION ",IF(P429=#REF!,"OPERADOR DE VEHICULOS DE EMERGENCIA (OVE)",IF(P429=#REF!,"INSTITUCIONES AMIGAS DE LA MUJER Y LA INFANCIA (IAMI)",IF(P429=#REF!,"CUIDADO DEL DONANTE DE ORGANOS",IF(P429=#REF!,"ATENCION A VICTIMAS POR VIOLENCIA DE GENERO",IF(P429=#REF!,"IGUALDAD DE GENERO EN LA SALUD",IF(P429=#REF!,"BRIGADA DE EMERGENCIA",IF(P429=#REF!,"MANEJO DEL DOLOR Y CUIDADOS PALIATIVOS",IF(P429=#REF!,"TOMA DE MUESTRAS Y LABORATORIO POCT",IF(P429=#REF!,"IMPLANTE SUBDERMICO DE DISPOSITIVO INTRAUTERINO",IF(P429=#REF!,"SALUD MENTAL",IF(P429=#REF!,"PRIMEROS AUXILIOS PSICOLOGICOS",IF(P429=#REF!,"ATENCION A VICTIMAS POR CONFLICTO ARMADO",IF(P429=#REF!,"MANIPULACION DE ALIMENTOS Y BPM",IF(P429=#REF!,"ATENCION A PERSONAS CON DISCAPACIDAD",IF(P429=#REF!,"CUIDADO INTEGRAL DEL PACIENTE ADULTO",IF(P429=#REF!,"MANEJO DEFENSIVO",IF(P429=#REF!,"SOPORTE CARDIOVASCULAR AVANZADO NEONATAL",IF(P429=#REF!,"SEGURIDAD DEL PACIENTE",IF(P429=#REF!,"MANEJO DE RESIDUOS HOSPITALARIOS"))))))))))))))))))))))))))))))))))))</f>
        <v>#REF!</v>
      </c>
      <c r="W429" s="26" t="str">
        <f>CONCATENATE(E429," ",F429," ",C429," ",D429)</f>
        <v xml:space="preserve">Sandra Patricia Santacruz </v>
      </c>
      <c r="X429" s="26" t="str">
        <f t="shared" si="32"/>
        <v xml:space="preserve">Sandra Patricia Santacruz </v>
      </c>
      <c r="Y429" s="26" t="str">
        <f>CONCATENATE(W429,"-",B429,"-",P429)</f>
        <v>Sandra Patricia Santacruz -59831386-ADMON DE MEDICAMENTOS</v>
      </c>
    </row>
    <row r="430" spans="1:25" x14ac:dyDescent="0.2">
      <c r="A430" s="20">
        <v>177</v>
      </c>
      <c r="B430" s="21">
        <v>1004131994</v>
      </c>
      <c r="C430" s="21" t="s">
        <v>414</v>
      </c>
      <c r="D430" s="21" t="s">
        <v>247</v>
      </c>
      <c r="E430" s="21" t="s">
        <v>183</v>
      </c>
      <c r="F430" s="21" t="s">
        <v>166</v>
      </c>
      <c r="G430" s="21">
        <v>25</v>
      </c>
      <c r="H430" s="21" t="s">
        <v>49</v>
      </c>
      <c r="I430" s="22" t="s">
        <v>377</v>
      </c>
      <c r="J430" s="22"/>
      <c r="K430" s="23" t="s">
        <v>428</v>
      </c>
      <c r="L430" s="24">
        <v>65000</v>
      </c>
      <c r="M430" s="21" t="s">
        <v>133</v>
      </c>
      <c r="N430" s="21" t="s">
        <v>387</v>
      </c>
      <c r="O430" s="21" t="s">
        <v>69</v>
      </c>
      <c r="P430" s="21" t="s">
        <v>29</v>
      </c>
      <c r="Q430" s="22">
        <v>36608</v>
      </c>
      <c r="R430" s="21" t="s">
        <v>71</v>
      </c>
      <c r="S430" s="21" t="s">
        <v>107</v>
      </c>
      <c r="T430" s="21">
        <v>3183184195</v>
      </c>
      <c r="U430" s="25" t="s">
        <v>415</v>
      </c>
      <c r="V430" s="26" t="e">
        <f>IF(P430=#REF!,"DIPLOMADO EN ATENCION PRE-HOSPITALARIA",IF(P430=#REF!,"ACOMPAÑAMIENTO Y MANEJO DEL DUELO",IF(P430=#REF!,"ATENCION A VICTIMAS DE ATAQUE CON AGENTES QUIMICOS ",IF(P430=#REF!,"PRIMEROS AUXILIOS ",IF(P430=#REF!,"DIPLOMADO DE UNIDAD DE CUIDADOS INTENSIVOS (UCI)",IF(P430=#REF!,"MODELO DE ATENCION PARA EVENTOS EMERGENTES EN SALUD MENTAL (CODIGO VERDE)",IF(P430=#REF!,"HUMANIZACION EN EL SERVICIO DE LA SALUD Y BUENAS PRACTICAS EN PACIENTE ",IF(P430=#REF!,"CLINICA DE HERIDAS ",IF(P430=#REF!,"TOMA DE CITOLOGIA CERVICO VAGINAL ",IF(P430=#REF!,"SOPORTE CARDIOVASCULAR AVANZADO (ACLS) ",IF(P430=#REF!,"CAMILLERO ",IF(P430=#REF!,"TOMA DE MUESTRAS Y LABORATORIO ",IF(P430=#REF!,"SOPORTE VITAL BASICO (BLS)",IF(P430=#REF!,"ATENCION A VICTIMAS DE VIOLENCIA SEXUAL ",IF(P430=#REF!,"PROGRAMADO AMPLIADO DE INMUNIZACION (PAI - COVID 19)",IF(P430=#REF!,"ATENCION INTEGRAL EN ENFERMEDADES PREVALENTES EN PRIMERA INFANCIA (AIEPI)",IF(P430=#REF!,"ADMINISTRACION DE MEDICAMENTOS, INYECTOLOGIA  Y CANALIZACION ",IF(P430=#REF!,"OPERADOR DE VEHICULOS DE EMERGENCIA (OVE)",IF(P430=#REF!,"INSTITUCIONES AMIGAS DE LA MUJER Y LA INFANCIA (IAMI)",IF(P430=#REF!,"CUIDADO DEL DONANTE DE ORGANOS",IF(P430=#REF!,"ATENCION A VICTIMAS POR VIOLENCIA DE GENERO",IF(P430=#REF!,"IGUALDAD DE GENERO EN LA SALUD",IF(P430=#REF!,"BRIGADA DE EMERGENCIA",IF(P430=#REF!,"MANEJO DEL DOLOR Y CUIDADOS PALIATIVOS",IF(P430=#REF!,"TOMA DE MUESTRAS Y LABORATORIO POCT",IF(P430=#REF!,"IMPLANTE SUBDERMICO DE DISPOSITIVO INTRAUTERINO",IF(P430=#REF!,"SALUD MENTAL",IF(P430=#REF!,"PRIMEROS AUXILIOS PSICOLOGICOS",IF(P430=#REF!,"ATENCION A VICTIMAS POR CONFLICTO ARMADO",IF(P430=#REF!,"MANIPULACION DE ALIMENTOS Y BPM",IF(P430=#REF!,"ATENCION A PERSONAS CON DISCAPACIDAD",IF(P430=#REF!,"CUIDADO INTEGRAL DEL PACIENTE ADULTO",IF(P430=#REF!,"MANEJO DEFENSIVO",IF(P430=#REF!,"SOPORTE CARDIOVASCULAR AVANZADO NEONATAL",IF(P430=#REF!,"SEGURIDAD DEL PACIENTE",IF(P430=#REF!,"MANEJO DE RESIDUOS HOSPITALARIOS"))))))))))))))))))))))))))))))))))))</f>
        <v>#REF!</v>
      </c>
      <c r="W430" s="26" t="str">
        <f>CONCATENATE(E430," ",F430," ",C430," ",D430)</f>
        <v>Maria Alejandra Cadena Meneses</v>
      </c>
      <c r="X430" s="26" t="str">
        <f t="shared" si="32"/>
        <v>Maria Alejandra Cadena Meneses</v>
      </c>
      <c r="Y430" s="26" t="str">
        <f>CONCATENATE(W430,"-",B430,"-",P430)</f>
        <v>Maria Alejandra Cadena Meneses-1004131994-ADMON DE MEDICAMENTOS</v>
      </c>
    </row>
    <row r="431" spans="1:25" x14ac:dyDescent="0.2">
      <c r="A431" s="20">
        <v>178</v>
      </c>
      <c r="B431" s="21">
        <v>1131085745</v>
      </c>
      <c r="C431" s="21" t="s">
        <v>416</v>
      </c>
      <c r="D431" s="21" t="s">
        <v>417</v>
      </c>
      <c r="E431" s="21" t="s">
        <v>418</v>
      </c>
      <c r="F431" s="21" t="s">
        <v>419</v>
      </c>
      <c r="G431" s="21">
        <v>23</v>
      </c>
      <c r="H431" s="21" t="s">
        <v>49</v>
      </c>
      <c r="I431" s="22" t="s">
        <v>377</v>
      </c>
      <c r="J431" s="22"/>
      <c r="K431" s="23" t="s">
        <v>429</v>
      </c>
      <c r="L431" s="42">
        <v>65000</v>
      </c>
      <c r="M431" s="21" t="s">
        <v>133</v>
      </c>
      <c r="N431" s="21" t="s">
        <v>387</v>
      </c>
      <c r="O431" s="21" t="s">
        <v>69</v>
      </c>
      <c r="P431" s="21" t="s">
        <v>29</v>
      </c>
      <c r="Q431" s="22">
        <v>36083</v>
      </c>
      <c r="R431" s="21" t="s">
        <v>71</v>
      </c>
      <c r="S431" s="21" t="s">
        <v>326</v>
      </c>
      <c r="T431" s="21">
        <v>3173607552</v>
      </c>
      <c r="U431" s="21" t="s">
        <v>420</v>
      </c>
      <c r="V431" s="26" t="e">
        <f>IF(P431=#REF!,"DIPLOMADO EN ATENCION PRE-HOSPITALARIA",IF(P431=#REF!,"ACOMPAÑAMIENTO Y MANEJO DEL DUELO",IF(P431=#REF!,"ATENCION A VICTIMAS DE ATAQUE CON AGENTES QUIMICOS ",IF(P431=#REF!,"PRIMEROS AUXILIOS ",IF(P431=#REF!,"DIPLOMADO DE UNIDAD DE CUIDADOS INTENSIVOS (UCI)",IF(P431=#REF!,"MODELO DE ATENCION PARA EVENTOS EMERGENTES EN SALUD MENTAL (CODIGO VERDE)",IF(P431=#REF!,"HUMANIZACION EN EL SERVICIO DE LA SALUD Y BUENAS PRACTICAS EN PACIENTE ",IF(P431=#REF!,"CLINICA DE HERIDAS ",IF(P431=#REF!,"TOMA DE CITOLOGIA CERVICO VAGINAL ",IF(P431=#REF!,"SOPORTE CARDIOVASCULAR AVANZADO (ACLS) ",IF(P431=#REF!,"CAMILLERO ",IF(P431=#REF!,"TOMA DE MUESTRAS Y LABORATORIO ",IF(P431=#REF!,"SOPORTE VITAL BASICO (BLS)",IF(P431=#REF!,"ATENCION A VICTIMAS DE VIOLENCIA SEXUAL ",IF(P431=#REF!,"PROGRAMADO AMPLIADO DE INMUNIZACION (PAI - COVID 19)",IF(P431=#REF!,"ATENCION INTEGRAL EN ENFERMEDADES PREVALENTES EN PRIMERA INFANCIA (AIEPI)",IF(P431=#REF!,"ADMINISTRACION DE MEDICAMENTOS, INYECTOLOGIA  Y CANALIZACION ",IF(P431=#REF!,"OPERADOR DE VEHICULOS DE EMERGENCIA (OVE)",IF(P431=#REF!,"INSTITUCIONES AMIGAS DE LA MUJER Y LA INFANCIA (IAMI)",IF(P431=#REF!,"CUIDADO DEL DONANTE DE ORGANOS",IF(P431=#REF!,"ATENCION A VICTIMAS POR VIOLENCIA DE GENERO",IF(P431=#REF!,"IGUALDAD DE GENERO EN LA SALUD",IF(P431=#REF!,"BRIGADA DE EMERGENCIA",IF(P431=#REF!,"MANEJO DEL DOLOR Y CUIDADOS PALIATIVOS",IF(P431=#REF!,"TOMA DE MUESTRAS Y LABORATORIO POCT",IF(P431=#REF!,"IMPLANTE SUBDERMICO DE DISPOSITIVO INTRAUTERINO",IF(P431=#REF!,"SALUD MENTAL",IF(P431=#REF!,"PRIMEROS AUXILIOS PSICOLOGICOS",IF(P431=#REF!,"ATENCION A VICTIMAS POR CONFLICTO ARMADO",IF(P431=#REF!,"MANIPULACION DE ALIMENTOS Y BPM",IF(P431=#REF!,"ATENCION A PERSONAS CON DISCAPACIDAD",IF(P431=#REF!,"CUIDADO INTEGRAL DEL PACIENTE ADULTO",IF(P431=#REF!,"MANEJO DEFENSIVO",IF(P431=#REF!,"SOPORTE CARDIOVASCULAR AVANZADO NEONATAL",IF(P431=#REF!,"SEGURIDAD DEL PACIENTE",IF(P431=#REF!,"MANEJO DE RESIDUOS HOSPITALARIOS"))))))))))))))))))))))))))))))))))))</f>
        <v>#REF!</v>
      </c>
      <c r="W431" s="26" t="str">
        <f>CONCATENATE(E431," ",F431," ",C431," ",D431)</f>
        <v>Miladis Vanessa Pianda Ascuntar</v>
      </c>
      <c r="X431" s="26" t="str">
        <f t="shared" si="32"/>
        <v>Miladis Vanessa Pianda Ascuntar</v>
      </c>
      <c r="Y431" s="26" t="str">
        <f>CONCATENATE(W431,"-",B431,"-",P431)</f>
        <v>Miladis Vanessa Pianda Ascuntar-1131085745-ADMON DE MEDICAMENTOS</v>
      </c>
    </row>
    <row r="432" spans="1:25" x14ac:dyDescent="0.2">
      <c r="A432" s="20">
        <v>179</v>
      </c>
      <c r="B432" s="21">
        <v>1085304724</v>
      </c>
      <c r="C432" s="21" t="s">
        <v>247</v>
      </c>
      <c r="D432" s="21" t="s">
        <v>175</v>
      </c>
      <c r="E432" s="21" t="s">
        <v>425</v>
      </c>
      <c r="F432" s="21"/>
      <c r="G432" s="21">
        <v>25</v>
      </c>
      <c r="H432" s="21" t="s">
        <v>49</v>
      </c>
      <c r="I432" s="22" t="s">
        <v>377</v>
      </c>
      <c r="J432" s="22"/>
      <c r="K432" s="23">
        <v>45682</v>
      </c>
      <c r="L432" s="42">
        <v>65000</v>
      </c>
      <c r="M432" s="21" t="s">
        <v>79</v>
      </c>
      <c r="N432" s="21" t="s">
        <v>387</v>
      </c>
      <c r="O432" s="21" t="s">
        <v>69</v>
      </c>
      <c r="P432" s="21" t="s">
        <v>29</v>
      </c>
      <c r="Q432" s="22">
        <v>34081</v>
      </c>
      <c r="R432" s="21" t="s">
        <v>71</v>
      </c>
      <c r="S432" s="21" t="s">
        <v>107</v>
      </c>
      <c r="T432" s="21">
        <v>3102292934</v>
      </c>
      <c r="U432" s="21" t="s">
        <v>424</v>
      </c>
      <c r="V432" s="26" t="e">
        <f>IF(P432=#REF!,"DIPLOMADO EN ATENCION PRE-HOSPITALARIA",IF(P432=#REF!,"ACOMPAÑAMIENTO Y MANEJO DEL DUELO",IF(P432=#REF!,"ATENCION A VICTIMAS DE ATAQUE CON AGENTES QUIMICOS ",IF(P432=#REF!,"PRIMEROS AUXILIOS ",IF(P432=#REF!,"DIPLOMADO DE UNIDAD DE CUIDADOS INTENSIVOS (UCI)",IF(P432=#REF!,"MODELO DE ATENCION PARA EVENTOS EMERGENTES EN SALUD MENTAL (CODIGO VERDE)",IF(P432=#REF!,"HUMANIZACION EN EL SERVICIO DE LA SALUD Y BUENAS PRACTICAS EN PACIENTE ",IF(P432=#REF!,"CLINICA DE HERIDAS ",IF(P432=#REF!,"TOMA DE CITOLOGIA CERVICO VAGINAL ",IF(P432=#REF!,"SOPORTE CARDIOVASCULAR AVANZADO (ACLS) ",IF(P432=#REF!,"CAMILLERO ",IF(P432=#REF!,"TOMA DE MUESTRAS Y LABORATORIO ",IF(P432=#REF!,"SOPORTE VITAL BASICO (BLS)",IF(P432=#REF!,"ATENCION A VICTIMAS DE VIOLENCIA SEXUAL ",IF(P432=#REF!,"PROGRAMADO AMPLIADO DE INMUNIZACION (PAI - COVID 19)",IF(P432=#REF!,"ATENCION INTEGRAL EN ENFERMEDADES PREVALENTES EN PRIMERA INFANCIA (AIEPI)",IF(P432=#REF!,"ADMINISTRACION DE MEDICAMENTOS, INYECTOLOGIA  Y CANALIZACION ",IF(P432=#REF!,"OPERADOR DE VEHICULOS DE EMERGENCIA (OVE)",IF(P432=#REF!,"INSTITUCIONES AMIGAS DE LA MUJER Y LA INFANCIA (IAMI)",IF(P432=#REF!,"CUIDADO DEL DONANTE DE ORGANOS",IF(P432=#REF!,"ATENCION A VICTIMAS POR VIOLENCIA DE GENERO",IF(P432=#REF!,"IGUALDAD DE GENERO EN LA SALUD",IF(P432=#REF!,"BRIGADA DE EMERGENCIA",IF(P432=#REF!,"MANEJO DEL DOLOR Y CUIDADOS PALIATIVOS",IF(P432=#REF!,"TOMA DE MUESTRAS Y LABORATORIO POCT",IF(P432=#REF!,"IMPLANTE SUBDERMICO DE DISPOSITIVO INTRAUTERINO",IF(P432=#REF!,"SALUD MENTAL",IF(P432=#REF!,"PRIMEROS AUXILIOS PSICOLOGICOS",IF(P432=#REF!,"ATENCION A VICTIMAS POR CONFLICTO ARMADO",IF(P432=#REF!,"MANIPULACION DE ALIMENTOS Y BPM",IF(P432=#REF!,"ATENCION A PERSONAS CON DISCAPACIDAD",IF(P432=#REF!,"CUIDADO INTEGRAL DEL PACIENTE ADULTO",IF(P432=#REF!,"MANEJO DEFENSIVO",IF(P432=#REF!,"SOPORTE CARDIOVASCULAR AVANZADO NEONATAL",IF(P432=#REF!,"SEGURIDAD DEL PACIENTE",IF(P432=#REF!,"MANEJO DE RESIDUOS HOSPITALARIOS"))))))))))))))))))))))))))))))))))))</f>
        <v>#REF!</v>
      </c>
      <c r="W432" s="26" t="str">
        <f>CONCATENATE(E432," ",F432," ",C432," ",D432)</f>
        <v>Isabella  Meneses Rosero</v>
      </c>
      <c r="X432" s="26" t="str">
        <f t="shared" si="32"/>
        <v>Isabella  Meneses Rosero</v>
      </c>
      <c r="Y432" s="26" t="str">
        <f>CONCATENATE(W432,"-",B432,"-",P432)</f>
        <v>Isabella  Meneses Rosero-1085304724-ADMON DE MEDICAMENTOS</v>
      </c>
    </row>
    <row r="433" spans="1:25" x14ac:dyDescent="0.2">
      <c r="A433" s="20">
        <v>180</v>
      </c>
      <c r="B433" s="21">
        <v>1088735247</v>
      </c>
      <c r="C433" s="21" t="s">
        <v>421</v>
      </c>
      <c r="D433" s="21" t="s">
        <v>422</v>
      </c>
      <c r="E433" s="21" t="s">
        <v>423</v>
      </c>
      <c r="F433" s="21" t="s">
        <v>267</v>
      </c>
      <c r="G433" s="21">
        <v>22</v>
      </c>
      <c r="H433" s="21" t="s">
        <v>49</v>
      </c>
      <c r="I433" s="22" t="s">
        <v>376</v>
      </c>
      <c r="J433" s="22"/>
      <c r="K433" s="23">
        <v>45688</v>
      </c>
      <c r="L433" s="42">
        <v>32000</v>
      </c>
      <c r="M433" s="21" t="s">
        <v>106</v>
      </c>
      <c r="N433" s="21" t="s">
        <v>387</v>
      </c>
      <c r="O433" s="21" t="s">
        <v>95</v>
      </c>
      <c r="P433" s="21" t="s">
        <v>21</v>
      </c>
      <c r="Q433" s="22">
        <v>33781</v>
      </c>
      <c r="R433" s="21" t="s">
        <v>70</v>
      </c>
      <c r="S433" s="63" t="s">
        <v>83</v>
      </c>
      <c r="T433" s="28">
        <v>3234721254</v>
      </c>
      <c r="U433" s="21" t="s">
        <v>426</v>
      </c>
      <c r="V433" s="26" t="e">
        <f>IF(P433=#REF!,"DIPLOMADO EN ATENCION PRE-HOSPITALARIA",IF(P433=#REF!,"ACOMPAÑAMIENTO Y MANEJO DEL DUELO",IF(P433=#REF!,"ATENCION A VICTIMAS DE ATAQUE CON AGENTES QUIMICOS ",IF(P433=#REF!,"PRIMEROS AUXILIOS ",IF(P433=#REF!,"DIPLOMADO DE UNIDAD DE CUIDADOS INTENSIVOS (UCI)",IF(P433=#REF!,"MODELO DE ATENCION PARA EVENTOS EMERGENTES EN SALUD MENTAL (CODIGO VERDE)",IF(P433=#REF!,"HUMANIZACION EN EL SERVICIO DE LA SALUD Y BUENAS PRACTICAS EN PACIENTE ",IF(P433=#REF!,"CLINICA DE HERIDAS ",IF(P433=#REF!,"TOMA DE CITOLOGIA CERVICO VAGINAL ",IF(P433=#REF!,"SOPORTE CARDIOVASCULAR AVANZADO (ACLS) ",IF(P433=#REF!,"CAMILLERO ",IF(P433=#REF!,"TOMA DE MUESTRAS Y LABORATORIO ",IF(P433=#REF!,"SOPORTE VITAL BASICO (BLS)",IF(P433=#REF!,"ATENCION A VICTIMAS DE VIOLENCIA SEXUAL ",IF(P433=#REF!,"PROGRAMADO AMPLIADO DE INMUNIZACION (PAI - COVID 19)",IF(P433=#REF!,"ATENCION INTEGRAL EN ENFERMEDADES PREVALENTES EN PRIMERA INFANCIA (AIEPI)",IF(P433=#REF!,"ADMINISTRACION DE MEDICAMENTOS, INYECTOLOGIA  Y CANALIZACION ",IF(P433=#REF!,"OPERADOR DE VEHICULOS DE EMERGENCIA (OVE)",IF(P433=#REF!,"INSTITUCIONES AMIGAS DE LA MUJER Y LA INFANCIA (IAMI)",IF(P433=#REF!,"CUIDADO DEL DONANTE DE ORGANOS",IF(P433=#REF!,"ATENCION A VICTIMAS POR VIOLENCIA DE GENERO",IF(P433=#REF!,"IGUALDAD DE GENERO EN LA SALUD",IF(P433=#REF!,"BRIGADA DE EMERGENCIA",IF(P433=#REF!,"MANEJO DEL DOLOR Y CUIDADOS PALIATIVOS",IF(P433=#REF!,"TOMA DE MUESTRAS Y LABORATORIO POCT",IF(P433=#REF!,"IMPLANTE SUBDERMICO DE DISPOSITIVO INTRAUTERINO",IF(P433=#REF!,"SALUD MENTAL",IF(P433=#REF!,"PRIMEROS AUXILIOS PSICOLOGICOS",IF(P433=#REF!,"ATENCION A VICTIMAS POR CONFLICTO ARMADO",IF(P433=#REF!,"MANIPULACION DE ALIMENTOS Y BPM",IF(P433=#REF!,"ATENCION A PERSONAS CON DISCAPACIDAD",IF(P433=#REF!,"CUIDADO INTEGRAL DEL PACIENTE ADULTO",IF(P433=#REF!,"MANEJO DEFENSIVO",IF(P433=#REF!,"SOPORTE CARDIOVASCULAR AVANZADO NEONATAL",IF(P433=#REF!,"SEGURIDAD DEL PACIENTE",IF(P433=#REF!,"MANEJO DE RESIDUOS HOSPITALARIOS"))))))))))))))))))))))))))))))))))))</f>
        <v>#REF!</v>
      </c>
      <c r="W433" s="26" t="str">
        <f>CONCATENATE(E433," ",F433," ",C433," ",D433)</f>
        <v>Luis Carlos Herrera Diaz</v>
      </c>
      <c r="X433" s="26" t="str">
        <f t="shared" si="32"/>
        <v>Luis Carlos Herrera Diaz</v>
      </c>
      <c r="Y433" s="26" t="str">
        <f>CONCATENATE(W433,"-",B433,"-",P433)</f>
        <v>Luis Carlos Herrera Diaz-1088735247-QUIMICOS</v>
      </c>
    </row>
    <row r="434" spans="1:25" x14ac:dyDescent="0.2">
      <c r="A434" s="36">
        <v>181</v>
      </c>
      <c r="B434" s="37">
        <v>1088735247</v>
      </c>
      <c r="C434" s="37" t="s">
        <v>421</v>
      </c>
      <c r="D434" s="37" t="s">
        <v>422</v>
      </c>
      <c r="E434" s="37" t="s">
        <v>423</v>
      </c>
      <c r="F434" s="37" t="s">
        <v>267</v>
      </c>
      <c r="G434" s="37">
        <v>22</v>
      </c>
      <c r="H434" s="37" t="s">
        <v>49</v>
      </c>
      <c r="I434" s="38" t="s">
        <v>376</v>
      </c>
      <c r="J434" s="38"/>
      <c r="K434" s="23">
        <v>45688</v>
      </c>
      <c r="L434" s="42">
        <v>32000</v>
      </c>
      <c r="M434" s="37" t="s">
        <v>106</v>
      </c>
      <c r="N434" s="37" t="s">
        <v>387</v>
      </c>
      <c r="O434" s="37" t="s">
        <v>95</v>
      </c>
      <c r="P434" s="37" t="s">
        <v>27</v>
      </c>
      <c r="Q434" s="38">
        <v>33781</v>
      </c>
      <c r="R434" s="37" t="s">
        <v>70</v>
      </c>
      <c r="S434" s="65" t="s">
        <v>83</v>
      </c>
      <c r="T434" s="64">
        <v>3234721254</v>
      </c>
      <c r="U434" s="37" t="s">
        <v>426</v>
      </c>
      <c r="V434" s="41" t="e">
        <f>IF(P434=#REF!,"DIPLOMADO EN ATENCION PRE-HOSPITALARIA",IF(P434=#REF!,"ACOMPAÑAMIENTO Y MANEJO DEL DUELO",IF(P434=#REF!,"ATENCION A VICTIMAS DE ATAQUE CON AGENTES QUIMICOS ",IF(P434=#REF!,"PRIMEROS AUXILIOS ",IF(P434=#REF!,"DIPLOMADO DE UNIDAD DE CUIDADOS INTENSIVOS (UCI)",IF(P434=#REF!,"MODELO DE ATENCION PARA EVENTOS EMERGENTES EN SALUD MENTAL (CODIGO VERDE)",IF(P434=#REF!,"HUMANIZACION EN EL SERVICIO DE LA SALUD Y BUENAS PRACTICAS EN PACIENTE ",IF(P434=#REF!,"CLINICA DE HERIDAS ",IF(P434=#REF!,"TOMA DE CITOLOGIA CERVICO VAGINAL ",IF(P434=#REF!,"SOPORTE CARDIOVASCULAR AVANZADO (ACLS) ",IF(P434=#REF!,"CAMILLERO ",IF(P434=#REF!,"TOMA DE MUESTRAS Y LABORATORIO ",IF(P434=#REF!,"SOPORTE VITAL BASICO (BLS)",IF(P434=#REF!,"ATENCION A VICTIMAS DE VIOLENCIA SEXUAL ",IF(P434=#REF!,"PROGRAMADO AMPLIADO DE INMUNIZACION (PAI - COVID 19)",IF(P434=#REF!,"ATENCION INTEGRAL EN ENFERMEDADES PREVALENTES EN PRIMERA INFANCIA (AIEPI)",IF(P434=#REF!,"ADMINISTRACION DE MEDICAMENTOS, INYECTOLOGIA  Y CANALIZACION ",IF(P434=#REF!,"OPERADOR DE VEHICULOS DE EMERGENCIA (OVE)",IF(P434=#REF!,"INSTITUCIONES AMIGAS DE LA MUJER Y LA INFANCIA (IAMI)",IF(P434=#REF!,"CUIDADO DEL DONANTE DE ORGANOS",IF(P434=#REF!,"ATENCION A VICTIMAS POR VIOLENCIA DE GENERO",IF(P434=#REF!,"IGUALDAD DE GENERO EN LA SALUD",IF(P434=#REF!,"BRIGADA DE EMERGENCIA",IF(P434=#REF!,"MANEJO DEL DOLOR Y CUIDADOS PALIATIVOS",IF(P434=#REF!,"TOMA DE MUESTRAS Y LABORATORIO POCT",IF(P434=#REF!,"IMPLANTE SUBDERMICO DE DISPOSITIVO INTRAUTERINO",IF(P434=#REF!,"SALUD MENTAL",IF(P434=#REF!,"PRIMEROS AUXILIOS PSICOLOGICOS",IF(P434=#REF!,"ATENCION A VICTIMAS POR CONFLICTO ARMADO",IF(P434=#REF!,"MANIPULACION DE ALIMENTOS Y BPM",IF(P434=#REF!,"ATENCION A PERSONAS CON DISCAPACIDAD",IF(P434=#REF!,"CUIDADO INTEGRAL DEL PACIENTE ADULTO",IF(P434=#REF!,"MANEJO DEFENSIVO",IF(P434=#REF!,"SOPORTE CARDIOVASCULAR AVANZADO NEONATAL",IF(P434=#REF!,"SEGURIDAD DEL PACIENTE",IF(P434=#REF!,"MANEJO DE RESIDUOS HOSPITALARIOS"))))))))))))))))))))))))))))))))))))</f>
        <v>#REF!</v>
      </c>
      <c r="W434" s="41" t="str">
        <f>CONCATENATE(E434," ",F434," ",C434," ",D434)</f>
        <v>Luis Carlos Herrera Diaz</v>
      </c>
      <c r="X434" s="41" t="str">
        <f t="shared" si="32"/>
        <v>Luis Carlos Herrera Diaz</v>
      </c>
      <c r="Y434" s="41" t="str">
        <f>CONCATENATE(W434,"-",B434,"-",P434)</f>
        <v>Luis Carlos Herrera Diaz-1088735247-VIOLENCIA SEXUAL</v>
      </c>
    </row>
    <row r="435" spans="1:25" s="19" customFormat="1" x14ac:dyDescent="0.2">
      <c r="A435" s="20">
        <v>182</v>
      </c>
      <c r="B435" s="21">
        <v>59675283</v>
      </c>
      <c r="C435" s="21" t="s">
        <v>431</v>
      </c>
      <c r="D435" s="21" t="s">
        <v>395</v>
      </c>
      <c r="E435" s="21" t="s">
        <v>432</v>
      </c>
      <c r="F435" s="21" t="s">
        <v>319</v>
      </c>
      <c r="G435" s="21">
        <v>23</v>
      </c>
      <c r="H435" s="21" t="s">
        <v>49</v>
      </c>
      <c r="I435" s="22" t="s">
        <v>377</v>
      </c>
      <c r="J435" s="22"/>
      <c r="K435" s="67" t="s">
        <v>434</v>
      </c>
      <c r="L435" s="68">
        <v>65000</v>
      </c>
      <c r="M435" s="66" t="s">
        <v>458</v>
      </c>
      <c r="N435" s="21" t="s">
        <v>387</v>
      </c>
      <c r="O435" s="21" t="s">
        <v>69</v>
      </c>
      <c r="P435" s="21" t="s">
        <v>27</v>
      </c>
      <c r="Q435" s="22">
        <v>28497</v>
      </c>
      <c r="R435" s="21" t="s">
        <v>71</v>
      </c>
      <c r="S435" s="21" t="s">
        <v>326</v>
      </c>
      <c r="T435" s="28">
        <v>3105197221</v>
      </c>
      <c r="U435" s="21" t="s">
        <v>433</v>
      </c>
      <c r="V435" s="26" t="e">
        <f>IF(P435=#REF!,"DIPLOMADO EN ATENCION PRE-HOSPITALARIA",IF(P435=#REF!,"ACOMPAÑAMIENTO Y MANEJO DEL DUELO",IF(P435=#REF!,"ATENCION A VICTIMAS DE ATAQUE CON AGENTES QUIMICOS ",IF(P435=#REF!,"PRIMEROS AUXILIOS ",IF(P435=#REF!,"DIPLOMADO DE UNIDAD DE CUIDADOS INTENSIVOS (UCI)",IF(P435=#REF!,"MODELO DE ATENCION PARA EVENTOS EMERGENTES EN SALUD MENTAL (CODIGO VERDE)",IF(P435=#REF!,"HUMANIZACION EN EL SERVICIO DE LA SALUD Y BUENAS PRACTICAS EN PACIENTE ",IF(P435=#REF!,"CLINICA DE HERIDAS ",IF(P435=#REF!,"TOMA DE CITOLOGIA CERVICO VAGINAL ",IF(P435=#REF!,"SOPORTE CARDIOVASCULAR AVANZADO (ACLS) ",IF(P435=#REF!,"CAMILLERO ",IF(P435=#REF!,"TOMA DE MUESTRAS Y LABORATORIO ",IF(P435=#REF!,"SOPORTE VITAL BASICO (BLS)",IF(P435=#REF!,"ATENCION A VICTIMAS DE VIOLENCIA SEXUAL ",IF(P435=#REF!,"PROGRAMADO AMPLIADO DE INMUNIZACION (PAI - COVID 19)",IF(P435=#REF!,"ATENCION INTEGRAL EN ENFERMEDADES PREVALENTES EN PRIMERA INFANCIA (AIEPI)",IF(P435=#REF!,"ADMINISTRACION DE MEDICAMENTOS, INYECTOLOGIA  Y CANALIZACION ",IF(P435=#REF!,"OPERADOR DE VEHICULOS DE EMERGENCIA (OVE)",IF(P435=#REF!,"INSTITUCIONES AMIGAS DE LA MUJER Y LA INFANCIA (IAMI)",IF(P435=#REF!,"CUIDADO DEL DONANTE DE ORGANOS",IF(P435=#REF!,"ATENCION A VICTIMAS POR VIOLENCIA DE GENERO",IF(P435=#REF!,"IGUALDAD DE GENERO EN LA SALUD",IF(P435=#REF!,"BRIGADA DE EMERGENCIA",IF(P435=#REF!,"MANEJO DEL DOLOR Y CUIDADOS PALIATIVOS",IF(P435=#REF!,"TOMA DE MUESTRAS Y LABORATORIO POCT",IF(P435=#REF!,"IMPLANTE SUBDERMICO DE DISPOSITIVO INTRAUTERINO",IF(P435=#REF!,"SALUD MENTAL",IF(P435=#REF!,"PRIMEROS AUXILIOS PSICOLOGICOS",IF(P435=#REF!,"ATENCION A VICTIMAS POR CONFLICTO ARMADO",IF(P435=#REF!,"MANIPULACION DE ALIMENTOS Y BPM",IF(P435=#REF!,"ATENCION A PERSONAS CON DISCAPACIDAD",IF(P435=#REF!,"CUIDADO INTEGRAL DEL PACIENTE ADULTO",IF(P435=#REF!,"MANEJO DEFENSIVO",IF(P435=#REF!,"SOPORTE CARDIOVASCULAR AVANZADO NEONATAL",IF(P435=#REF!,"SEGURIDAD DEL PACIENTE",IF(P435=#REF!,"MANEJO DE RESIDUOS HOSPITALARIOS"))))))))))))))))))))))))))))))))))))</f>
        <v>#REF!</v>
      </c>
      <c r="W435" s="26" t="str">
        <f>CONCATENATE(E435," ",F435," ",C435," ",D435)</f>
        <v>Olga Lucia Cortes Quiñones</v>
      </c>
      <c r="X435" s="26" t="str">
        <f t="shared" si="32"/>
        <v>Olga Lucia Cortes Quiñones</v>
      </c>
      <c r="Y435" s="26" t="str">
        <f>CONCATENATE(W435,"-",B435,"-",P435)</f>
        <v>Olga Lucia Cortes Quiñones-59675283-VIOLENCIA SEXUAL</v>
      </c>
    </row>
    <row r="436" spans="1:25" s="19" customFormat="1" x14ac:dyDescent="0.2">
      <c r="A436" s="20">
        <v>183</v>
      </c>
      <c r="B436" s="21">
        <v>1081594846</v>
      </c>
      <c r="C436" s="21" t="s">
        <v>92</v>
      </c>
      <c r="D436" s="21" t="s">
        <v>435</v>
      </c>
      <c r="E436" s="21" t="s">
        <v>436</v>
      </c>
      <c r="F436" s="21" t="s">
        <v>437</v>
      </c>
      <c r="G436" s="21">
        <v>13</v>
      </c>
      <c r="H436" s="21" t="s">
        <v>49</v>
      </c>
      <c r="I436" s="22" t="s">
        <v>376</v>
      </c>
      <c r="J436" s="22"/>
      <c r="K436" s="67"/>
      <c r="L436" s="68">
        <v>30000</v>
      </c>
      <c r="M436" s="66"/>
      <c r="N436" s="21" t="s">
        <v>387</v>
      </c>
      <c r="O436" s="21" t="s">
        <v>430</v>
      </c>
      <c r="P436" s="21" t="s">
        <v>23</v>
      </c>
      <c r="Q436" s="22">
        <v>35019</v>
      </c>
      <c r="R436" s="21" t="s">
        <v>71</v>
      </c>
      <c r="S436" s="28" t="s">
        <v>438</v>
      </c>
      <c r="T436" s="28">
        <v>3145336116</v>
      </c>
      <c r="U436" s="21" t="s">
        <v>439</v>
      </c>
      <c r="V436" s="26" t="e">
        <f>IF(P436=#REF!,"DIPLOMADO EN ATENCION PRE-HOSPITALARIA",IF(P436=#REF!,"ACOMPAÑAMIENTO Y MANEJO DEL DUELO",IF(P436=#REF!,"ATENCION A VICTIMAS DE ATAQUE CON AGENTES QUIMICOS ",IF(P436=#REF!,"PRIMEROS AUXILIOS ",IF(P436=#REF!,"DIPLOMADO DE UNIDAD DE CUIDADOS INTENSIVOS (UCI)",IF(P436=#REF!,"MODELO DE ATENCION PARA EVENTOS EMERGENTES EN SALUD MENTAL (CODIGO VERDE)",IF(P436=#REF!,"HUMANIZACION EN EL SERVICIO DE LA SALUD Y BUENAS PRACTICAS EN PACIENTE ",IF(P436=#REF!,"CLINICA DE HERIDAS ",IF(P436=#REF!,"TOMA DE CITOLOGIA CERVICO VAGINAL ",IF(P436=#REF!,"SOPORTE CARDIOVASCULAR AVANZADO (ACLS) ",IF(P436=#REF!,"CAMILLERO ",IF(P436=#REF!,"TOMA DE MUESTRAS Y LABORATORIO ",IF(P436=#REF!,"SOPORTE VITAL BASICO (BLS)",IF(P436=#REF!,"ATENCION A VICTIMAS DE VIOLENCIA SEXUAL ",IF(P436=#REF!,"PROGRAMADO AMPLIADO DE INMUNIZACION (PAI - COVID 19)",IF(P436=#REF!,"ATENCION INTEGRAL EN ENFERMEDADES PREVALENTES EN PRIMERA INFANCIA (AIEPI)",IF(P436=#REF!,"ADMINISTRACION DE MEDICAMENTOS, INYECTOLOGIA  Y CANALIZACION ",IF(P436=#REF!,"OPERADOR DE VEHICULOS DE EMERGENCIA (OVE)",IF(P436=#REF!,"INSTITUCIONES AMIGAS DE LA MUJER Y LA INFANCIA (IAMI)",IF(P436=#REF!,"CUIDADO DEL DONANTE DE ORGANOS",IF(P436=#REF!,"ATENCION A VICTIMAS POR VIOLENCIA DE GENERO",IF(P436=#REF!,"IGUALDAD DE GENERO EN LA SALUD",IF(P436=#REF!,"BRIGADA DE EMERGENCIA",IF(P436=#REF!,"MANEJO DEL DOLOR Y CUIDADOS PALIATIVOS",IF(P436=#REF!,"TOMA DE MUESTRAS Y LABORATORIO POCT",IF(P436=#REF!,"IMPLANTE SUBDERMICO DE DISPOSITIVO INTRAUTERINO",IF(P436=#REF!,"SALUD MENTAL",IF(P436=#REF!,"PRIMEROS AUXILIOS PSICOLOGICOS",IF(P436=#REF!,"ATENCION A VICTIMAS POR CONFLICTO ARMADO",IF(P436=#REF!,"MANIPULACION DE ALIMENTOS Y BPM",IF(P436=#REF!,"ATENCION A PERSONAS CON DISCAPACIDAD",IF(P436=#REF!,"CUIDADO INTEGRAL DEL PACIENTE ADULTO",IF(P436=#REF!,"MANEJO DEFENSIVO",IF(P436=#REF!,"SOPORTE CARDIOVASCULAR AVANZADO NEONATAL",IF(P436=#REF!,"SEGURIDAD DEL PACIENTE",IF(P436=#REF!,"MANEJO DE RESIDUOS HOSPITALARIOS"))))))))))))))))))))))))))))))))))))</f>
        <v>#REF!</v>
      </c>
      <c r="W436" s="26" t="str">
        <f>CONCATENATE(E436," ",F436," ",C436," ",D436)</f>
        <v>Astrid Karina Bolaños Portilla</v>
      </c>
      <c r="X436" s="26" t="str">
        <f t="shared" si="32"/>
        <v>Astrid Karina Bolaños Portilla</v>
      </c>
      <c r="Y436" s="26" t="str">
        <f>CONCATENATE(W436,"-",B436,"-",P436)</f>
        <v>Astrid Karina Bolaños Portilla-1081594846-HUMANIZACION</v>
      </c>
    </row>
    <row r="437" spans="1:25" s="19" customFormat="1" x14ac:dyDescent="0.2">
      <c r="A437" s="20">
        <v>184</v>
      </c>
      <c r="B437" s="21">
        <v>1085346196</v>
      </c>
      <c r="C437" s="21" t="s">
        <v>440</v>
      </c>
      <c r="D437" s="21" t="s">
        <v>441</v>
      </c>
      <c r="E437" s="21" t="s">
        <v>442</v>
      </c>
      <c r="F437" s="21" t="s">
        <v>177</v>
      </c>
      <c r="G437" s="21">
        <v>15</v>
      </c>
      <c r="H437" s="21" t="s">
        <v>49</v>
      </c>
      <c r="I437" s="22" t="s">
        <v>376</v>
      </c>
      <c r="J437" s="22"/>
      <c r="K437" s="67"/>
      <c r="L437" s="68">
        <v>80000</v>
      </c>
      <c r="M437" s="66"/>
      <c r="N437" s="21" t="s">
        <v>387</v>
      </c>
      <c r="O437" s="21" t="s">
        <v>386</v>
      </c>
      <c r="P437" s="21" t="s">
        <v>24</v>
      </c>
      <c r="Q437" s="22">
        <v>36367</v>
      </c>
      <c r="R437" s="21" t="s">
        <v>71</v>
      </c>
      <c r="S437" s="28" t="s">
        <v>96</v>
      </c>
      <c r="T437" s="28">
        <v>3175853845</v>
      </c>
      <c r="U437" s="27" t="s">
        <v>445</v>
      </c>
      <c r="V437" s="26" t="e">
        <f>IF(P437=#REF!,"DIPLOMADO EN ATENCION PRE-HOSPITALARIA",IF(P437=#REF!,"ACOMPAÑAMIENTO Y MANEJO DEL DUELO",IF(P437=#REF!,"ATENCION A VICTIMAS DE ATAQUE CON AGENTES QUIMICOS ",IF(P437=#REF!,"PRIMEROS AUXILIOS ",IF(P437=#REF!,"DIPLOMADO DE UNIDAD DE CUIDADOS INTENSIVOS (UCI)",IF(P437=#REF!,"MODELO DE ATENCION PARA EVENTOS EMERGENTES EN SALUD MENTAL (CODIGO VERDE)",IF(P437=#REF!,"HUMANIZACION EN EL SERVICIO DE LA SALUD Y BUENAS PRACTICAS EN PACIENTE ",IF(P437=#REF!,"CLINICA DE HERIDAS ",IF(P437=#REF!,"TOMA DE CITOLOGIA CERVICO VAGINAL ",IF(P437=#REF!,"SOPORTE CARDIOVASCULAR AVANZADO (ACLS) ",IF(P437=#REF!,"CAMILLERO ",IF(P437=#REF!,"TOMA DE MUESTRAS Y LABORATORIO ",IF(P437=#REF!,"SOPORTE VITAL BASICO (BLS)",IF(P437=#REF!,"ATENCION A VICTIMAS DE VIOLENCIA SEXUAL ",IF(P437=#REF!,"PROGRAMADO AMPLIADO DE INMUNIZACION (PAI - COVID 19)",IF(P437=#REF!,"ATENCION INTEGRAL EN ENFERMEDADES PREVALENTES EN PRIMERA INFANCIA (AIEPI)",IF(P437=#REF!,"ADMINISTRACION DE MEDICAMENTOS, INYECTOLOGIA  Y CANALIZACION ",IF(P437=#REF!,"OPERADOR DE VEHICULOS DE EMERGENCIA (OVE)",IF(P437=#REF!,"INSTITUCIONES AMIGAS DE LA MUJER Y LA INFANCIA (IAMI)",IF(P437=#REF!,"CUIDADO DEL DONANTE DE ORGANOS",IF(P437=#REF!,"ATENCION A VICTIMAS POR VIOLENCIA DE GENERO",IF(P437=#REF!,"IGUALDAD DE GENERO EN LA SALUD",IF(P437=#REF!,"BRIGADA DE EMERGENCIA",IF(P437=#REF!,"MANEJO DEL DOLOR Y CUIDADOS PALIATIVOS",IF(P437=#REF!,"TOMA DE MUESTRAS Y LABORATORIO POCT",IF(P437=#REF!,"IMPLANTE SUBDERMICO DE DISPOSITIVO INTRAUTERINO",IF(P437=#REF!,"SALUD MENTAL",IF(P437=#REF!,"PRIMEROS AUXILIOS PSICOLOGICOS",IF(P437=#REF!,"ATENCION A VICTIMAS POR CONFLICTO ARMADO",IF(P437=#REF!,"MANIPULACION DE ALIMENTOS Y BPM",IF(P437=#REF!,"ATENCION A PERSONAS CON DISCAPACIDAD",IF(P437=#REF!,"CUIDADO INTEGRAL DEL PACIENTE ADULTO",IF(P437=#REF!,"MANEJO DEFENSIVO",IF(P437=#REF!,"SOPORTE CARDIOVASCULAR AVANZADO NEONATAL",IF(P437=#REF!,"SEGURIDAD DEL PACIENTE",IF(P437=#REF!,"MANEJO DE RESIDUOS HOSPITALARIOS"))))))))))))))))))))))))))))))))))))</f>
        <v>#REF!</v>
      </c>
      <c r="W437" s="26" t="str">
        <f>CONCATENATE(E437," ",F437," ",C437," ",D437)</f>
        <v>Nathalia Sofia Juajinoy Regalado</v>
      </c>
      <c r="X437" s="26" t="str">
        <f t="shared" si="32"/>
        <v>Nathalia Sofia Juajinoy Regalado</v>
      </c>
      <c r="Y437" s="26" t="str">
        <f>CONCATENATE(W437,"-",B437,"-",P437)</f>
        <v>Nathalia Sofia Juajinoy Regalado-1085346196-ACLS</v>
      </c>
    </row>
    <row r="438" spans="1:25" s="19" customFormat="1" x14ac:dyDescent="0.2">
      <c r="A438" s="20">
        <v>185</v>
      </c>
      <c r="B438" s="21">
        <v>1085346196</v>
      </c>
      <c r="C438" s="21" t="s">
        <v>440</v>
      </c>
      <c r="D438" s="21" t="s">
        <v>441</v>
      </c>
      <c r="E438" s="21" t="s">
        <v>442</v>
      </c>
      <c r="F438" s="21" t="s">
        <v>177</v>
      </c>
      <c r="G438" s="21">
        <v>15</v>
      </c>
      <c r="H438" s="21" t="s">
        <v>49</v>
      </c>
      <c r="I438" s="22" t="s">
        <v>376</v>
      </c>
      <c r="J438" s="22"/>
      <c r="K438" s="67"/>
      <c r="L438" s="68">
        <v>23000</v>
      </c>
      <c r="M438" s="66"/>
      <c r="N438" s="21" t="s">
        <v>387</v>
      </c>
      <c r="O438" s="21" t="s">
        <v>386</v>
      </c>
      <c r="P438" s="21" t="s">
        <v>19</v>
      </c>
      <c r="Q438" s="22">
        <v>36367</v>
      </c>
      <c r="R438" s="21" t="s">
        <v>71</v>
      </c>
      <c r="S438" s="28" t="s">
        <v>96</v>
      </c>
      <c r="T438" s="28">
        <v>3175853845</v>
      </c>
      <c r="U438" s="27" t="s">
        <v>445</v>
      </c>
      <c r="V438" s="26" t="e">
        <f>IF(P438=#REF!,"DIPLOMADO EN ATENCION PRE-HOSPITALARIA",IF(P438=#REF!,"ACOMPAÑAMIENTO Y MANEJO DEL DUELO",IF(P438=#REF!,"ATENCION A VICTIMAS DE ATAQUE CON AGENTES QUIMICOS ",IF(P438=#REF!,"PRIMEROS AUXILIOS ",IF(P438=#REF!,"DIPLOMADO DE UNIDAD DE CUIDADOS INTENSIVOS (UCI)",IF(P438=#REF!,"MODELO DE ATENCION PARA EVENTOS EMERGENTES EN SALUD MENTAL (CODIGO VERDE)",IF(P438=#REF!,"HUMANIZACION EN EL SERVICIO DE LA SALUD Y BUENAS PRACTICAS EN PACIENTE ",IF(P438=#REF!,"CLINICA DE HERIDAS ",IF(P438=#REF!,"TOMA DE CITOLOGIA CERVICO VAGINAL ",IF(P438=#REF!,"SOPORTE CARDIOVASCULAR AVANZADO (ACLS) ",IF(P438=#REF!,"CAMILLERO ",IF(P438=#REF!,"TOMA DE MUESTRAS Y LABORATORIO ",IF(P438=#REF!,"SOPORTE VITAL BASICO (BLS)",IF(P438=#REF!,"ATENCION A VICTIMAS DE VIOLENCIA SEXUAL ",IF(P438=#REF!,"PROGRAMADO AMPLIADO DE INMUNIZACION (PAI - COVID 19)",IF(P438=#REF!,"ATENCION INTEGRAL EN ENFERMEDADES PREVALENTES EN PRIMERA INFANCIA (AIEPI)",IF(P438=#REF!,"ADMINISTRACION DE MEDICAMENTOS, INYECTOLOGIA  Y CANALIZACION ",IF(P438=#REF!,"OPERADOR DE VEHICULOS DE EMERGENCIA (OVE)",IF(P438=#REF!,"INSTITUCIONES AMIGAS DE LA MUJER Y LA INFANCIA (IAMI)",IF(P438=#REF!,"CUIDADO DEL DONANTE DE ORGANOS",IF(P438=#REF!,"ATENCION A VICTIMAS POR VIOLENCIA DE GENERO",IF(P438=#REF!,"IGUALDAD DE GENERO EN LA SALUD",IF(P438=#REF!,"BRIGADA DE EMERGENCIA",IF(P438=#REF!,"MANEJO DEL DOLOR Y CUIDADOS PALIATIVOS",IF(P438=#REF!,"TOMA DE MUESTRAS Y LABORATORIO POCT",IF(P438=#REF!,"IMPLANTE SUBDERMICO DE DISPOSITIVO INTRAUTERINO",IF(P438=#REF!,"SALUD MENTAL",IF(P438=#REF!,"PRIMEROS AUXILIOS PSICOLOGICOS",IF(P438=#REF!,"ATENCION A VICTIMAS POR CONFLICTO ARMADO",IF(P438=#REF!,"MANIPULACION DE ALIMENTOS Y BPM",IF(P438=#REF!,"ATENCION A PERSONAS CON DISCAPACIDAD",IF(P438=#REF!,"CUIDADO INTEGRAL DEL PACIENTE ADULTO",IF(P438=#REF!,"MANEJO DEFENSIVO",IF(P438=#REF!,"SOPORTE CARDIOVASCULAR AVANZADO NEONATAL",IF(P438=#REF!,"SEGURIDAD DEL PACIENTE",IF(P438=#REF!,"MANEJO DE RESIDUOS HOSPITALARIOS"))))))))))))))))))))))))))))))))))))</f>
        <v>#REF!</v>
      </c>
      <c r="W438" s="26" t="str">
        <f>CONCATENATE(E438," ",F438," ",C438," ",D438)</f>
        <v>Nathalia Sofia Juajinoy Regalado</v>
      </c>
      <c r="X438" s="26" t="str">
        <f t="shared" si="32"/>
        <v>Nathalia Sofia Juajinoy Regalado</v>
      </c>
      <c r="Y438" s="26" t="str">
        <f>CONCATENATE(W438,"-",B438,"-",P438)</f>
        <v>Nathalia Sofia Juajinoy Regalado-1085346196-BLS</v>
      </c>
    </row>
    <row r="439" spans="1:25" s="19" customFormat="1" x14ac:dyDescent="0.2">
      <c r="A439" s="20">
        <v>186</v>
      </c>
      <c r="B439" s="21">
        <v>1085346196</v>
      </c>
      <c r="C439" s="21" t="s">
        <v>440</v>
      </c>
      <c r="D439" s="21" t="s">
        <v>441</v>
      </c>
      <c r="E439" s="21" t="s">
        <v>442</v>
      </c>
      <c r="F439" s="21" t="s">
        <v>177</v>
      </c>
      <c r="G439" s="21">
        <v>21</v>
      </c>
      <c r="H439" s="21" t="s">
        <v>49</v>
      </c>
      <c r="I439" s="22" t="s">
        <v>376</v>
      </c>
      <c r="J439" s="22"/>
      <c r="K439" s="67"/>
      <c r="L439" s="68">
        <v>30000</v>
      </c>
      <c r="M439" s="66"/>
      <c r="N439" s="21" t="s">
        <v>387</v>
      </c>
      <c r="O439" s="21" t="s">
        <v>386</v>
      </c>
      <c r="P439" s="21" t="s">
        <v>23</v>
      </c>
      <c r="Q439" s="22">
        <v>36367</v>
      </c>
      <c r="R439" s="21" t="s">
        <v>71</v>
      </c>
      <c r="S439" s="28" t="s">
        <v>96</v>
      </c>
      <c r="T439" s="28">
        <v>3175853845</v>
      </c>
      <c r="U439" s="27" t="s">
        <v>445</v>
      </c>
      <c r="V439" s="26" t="e">
        <f>IF(P439=#REF!,"DIPLOMADO EN ATENCION PRE-HOSPITALARIA",IF(P439=#REF!,"ACOMPAÑAMIENTO Y MANEJO DEL DUELO",IF(P439=#REF!,"ATENCION A VICTIMAS DE ATAQUE CON AGENTES QUIMICOS ",IF(P439=#REF!,"PRIMEROS AUXILIOS ",IF(P439=#REF!,"DIPLOMADO DE UNIDAD DE CUIDADOS INTENSIVOS (UCI)",IF(P439=#REF!,"MODELO DE ATENCION PARA EVENTOS EMERGENTES EN SALUD MENTAL (CODIGO VERDE)",IF(P439=#REF!,"HUMANIZACION EN EL SERVICIO DE LA SALUD Y BUENAS PRACTICAS EN PACIENTE ",IF(P439=#REF!,"CLINICA DE HERIDAS ",IF(P439=#REF!,"TOMA DE CITOLOGIA CERVICO VAGINAL ",IF(P439=#REF!,"SOPORTE CARDIOVASCULAR AVANZADO (ACLS) ",IF(P439=#REF!,"CAMILLERO ",IF(P439=#REF!,"TOMA DE MUESTRAS Y LABORATORIO ",IF(P439=#REF!,"SOPORTE VITAL BASICO (BLS)",IF(P439=#REF!,"ATENCION A VICTIMAS DE VIOLENCIA SEXUAL ",IF(P439=#REF!,"PROGRAMADO AMPLIADO DE INMUNIZACION (PAI - COVID 19)",IF(P439=#REF!,"ATENCION INTEGRAL EN ENFERMEDADES PREVALENTES EN PRIMERA INFANCIA (AIEPI)",IF(P439=#REF!,"ADMINISTRACION DE MEDICAMENTOS, INYECTOLOGIA  Y CANALIZACION ",IF(P439=#REF!,"OPERADOR DE VEHICULOS DE EMERGENCIA (OVE)",IF(P439=#REF!,"INSTITUCIONES AMIGAS DE LA MUJER Y LA INFANCIA (IAMI)",IF(P439=#REF!,"CUIDADO DEL DONANTE DE ORGANOS",IF(P439=#REF!,"ATENCION A VICTIMAS POR VIOLENCIA DE GENERO",IF(P439=#REF!,"IGUALDAD DE GENERO EN LA SALUD",IF(P439=#REF!,"BRIGADA DE EMERGENCIA",IF(P439=#REF!,"MANEJO DEL DOLOR Y CUIDADOS PALIATIVOS",IF(P439=#REF!,"TOMA DE MUESTRAS Y LABORATORIO POCT",IF(P439=#REF!,"IMPLANTE SUBDERMICO DE DISPOSITIVO INTRAUTERINO",IF(P439=#REF!,"SALUD MENTAL",IF(P439=#REF!,"PRIMEROS AUXILIOS PSICOLOGICOS",IF(P439=#REF!,"ATENCION A VICTIMAS POR CONFLICTO ARMADO",IF(P439=#REF!,"MANIPULACION DE ALIMENTOS Y BPM",IF(P439=#REF!,"ATENCION A PERSONAS CON DISCAPACIDAD",IF(P439=#REF!,"CUIDADO INTEGRAL DEL PACIENTE ADULTO",IF(P439=#REF!,"MANEJO DEFENSIVO",IF(P439=#REF!,"SOPORTE CARDIOVASCULAR AVANZADO NEONATAL",IF(P439=#REF!,"SEGURIDAD DEL PACIENTE",IF(P439=#REF!,"MANEJO DE RESIDUOS HOSPITALARIOS"))))))))))))))))))))))))))))))))))))</f>
        <v>#REF!</v>
      </c>
      <c r="W439" s="26" t="str">
        <f>CONCATENATE(E439," ",F439," ",C439," ",D439)</f>
        <v>Nathalia Sofia Juajinoy Regalado</v>
      </c>
      <c r="X439" s="26" t="str">
        <f t="shared" si="32"/>
        <v>Nathalia Sofia Juajinoy Regalado</v>
      </c>
      <c r="Y439" s="26" t="str">
        <f>CONCATENATE(W439,"-",B439,"-",P439)</f>
        <v>Nathalia Sofia Juajinoy Regalado-1085346196-HUMANIZACION</v>
      </c>
    </row>
    <row r="440" spans="1:25" s="19" customFormat="1" x14ac:dyDescent="0.2">
      <c r="A440" s="20">
        <v>187</v>
      </c>
      <c r="B440" s="21">
        <v>1085346196</v>
      </c>
      <c r="C440" s="21" t="s">
        <v>440</v>
      </c>
      <c r="D440" s="21" t="s">
        <v>441</v>
      </c>
      <c r="E440" s="21" t="s">
        <v>442</v>
      </c>
      <c r="F440" s="21" t="s">
        <v>177</v>
      </c>
      <c r="G440" s="21">
        <v>17</v>
      </c>
      <c r="H440" s="21" t="s">
        <v>49</v>
      </c>
      <c r="I440" s="22" t="s">
        <v>376</v>
      </c>
      <c r="J440" s="22"/>
      <c r="K440" s="67"/>
      <c r="L440" s="68">
        <v>30000</v>
      </c>
      <c r="M440" s="66"/>
      <c r="N440" s="21" t="s">
        <v>387</v>
      </c>
      <c r="O440" s="21" t="s">
        <v>386</v>
      </c>
      <c r="P440" s="21" t="s">
        <v>41</v>
      </c>
      <c r="Q440" s="22">
        <v>36367</v>
      </c>
      <c r="R440" s="21" t="s">
        <v>71</v>
      </c>
      <c r="S440" s="28" t="s">
        <v>96</v>
      </c>
      <c r="T440" s="28">
        <v>3175853845</v>
      </c>
      <c r="U440" s="27" t="s">
        <v>445</v>
      </c>
      <c r="V440" s="26" t="e">
        <f>IF(P440=#REF!,"DIPLOMADO EN ATENCION PRE-HOSPITALARIA",IF(P440=#REF!,"ACOMPAÑAMIENTO Y MANEJO DEL DUELO",IF(P440=#REF!,"ATENCION A VICTIMAS DE ATAQUE CON AGENTES QUIMICOS ",IF(P440=#REF!,"PRIMEROS AUXILIOS ",IF(P440=#REF!,"DIPLOMADO DE UNIDAD DE CUIDADOS INTENSIVOS (UCI)",IF(P440=#REF!,"MODELO DE ATENCION PARA EVENTOS EMERGENTES EN SALUD MENTAL (CODIGO VERDE)",IF(P440=#REF!,"HUMANIZACION EN EL SERVICIO DE LA SALUD Y BUENAS PRACTICAS EN PACIENTE ",IF(P440=#REF!,"CLINICA DE HERIDAS ",IF(P440=#REF!,"TOMA DE CITOLOGIA CERVICO VAGINAL ",IF(P440=#REF!,"SOPORTE CARDIOVASCULAR AVANZADO (ACLS) ",IF(P440=#REF!,"CAMILLERO ",IF(P440=#REF!,"TOMA DE MUESTRAS Y LABORATORIO ",IF(P440=#REF!,"SOPORTE VITAL BASICO (BLS)",IF(P440=#REF!,"ATENCION A VICTIMAS DE VIOLENCIA SEXUAL ",IF(P440=#REF!,"PROGRAMADO AMPLIADO DE INMUNIZACION (PAI - COVID 19)",IF(P440=#REF!,"ATENCION INTEGRAL EN ENFERMEDADES PREVALENTES EN PRIMERA INFANCIA (AIEPI)",IF(P440=#REF!,"ADMINISTRACION DE MEDICAMENTOS, INYECTOLOGIA  Y CANALIZACION ",IF(P440=#REF!,"OPERADOR DE VEHICULOS DE EMERGENCIA (OVE)",IF(P440=#REF!,"INSTITUCIONES AMIGAS DE LA MUJER Y LA INFANCIA (IAMI)",IF(P440=#REF!,"CUIDADO DEL DONANTE DE ORGANOS",IF(P440=#REF!,"ATENCION A VICTIMAS POR VIOLENCIA DE GENERO",IF(P440=#REF!,"IGUALDAD DE GENERO EN LA SALUD",IF(P440=#REF!,"BRIGADA DE EMERGENCIA",IF(P440=#REF!,"MANEJO DEL DOLOR Y CUIDADOS PALIATIVOS",IF(P440=#REF!,"TOMA DE MUESTRAS Y LABORATORIO POCT",IF(P440=#REF!,"IMPLANTE SUBDERMICO DE DISPOSITIVO INTRAUTERINO",IF(P440=#REF!,"SALUD MENTAL",IF(P440=#REF!,"PRIMEROS AUXILIOS PSICOLOGICOS",IF(P440=#REF!,"ATENCION A VICTIMAS POR CONFLICTO ARMADO",IF(P440=#REF!,"MANIPULACION DE ALIMENTOS Y BPM",IF(P440=#REF!,"ATENCION A PERSONAS CON DISCAPACIDAD",IF(P440=#REF!,"CUIDADO INTEGRAL DEL PACIENTE ADULTO",IF(P440=#REF!,"MANEJO DEFENSIVO",IF(P440=#REF!,"SOPORTE CARDIOVASCULAR AVANZADO NEONATAL",IF(P440=#REF!,"SEGURIDAD DEL PACIENTE",IF(P440=#REF!,"MANEJO DE RESIDUOS HOSPITALARIOS"))))))))))))))))))))))))))))))))))))</f>
        <v>#REF!</v>
      </c>
      <c r="W440" s="26" t="str">
        <f>CONCATENATE(E440," ",F440," ",C440," ",D440)</f>
        <v>Nathalia Sofia Juajinoy Regalado</v>
      </c>
      <c r="X440" s="26" t="str">
        <f t="shared" si="32"/>
        <v>Nathalia Sofia Juajinoy Regalado</v>
      </c>
      <c r="Y440" s="26" t="str">
        <f>CONCATENATE(W440,"-",B440,"-",P440)</f>
        <v>Nathalia Sofia Juajinoy Regalado-1085346196-PACIENTE</v>
      </c>
    </row>
    <row r="441" spans="1:25" s="19" customFormat="1" x14ac:dyDescent="0.2">
      <c r="A441" s="20">
        <v>188</v>
      </c>
      <c r="B441" s="21">
        <v>1085346196</v>
      </c>
      <c r="C441" s="21" t="s">
        <v>440</v>
      </c>
      <c r="D441" s="21" t="s">
        <v>441</v>
      </c>
      <c r="E441" s="21" t="s">
        <v>442</v>
      </c>
      <c r="F441" s="21" t="s">
        <v>177</v>
      </c>
      <c r="G441" s="21">
        <v>20</v>
      </c>
      <c r="H441" s="21" t="s">
        <v>49</v>
      </c>
      <c r="I441" s="22" t="s">
        <v>376</v>
      </c>
      <c r="J441" s="22"/>
      <c r="K441" s="67"/>
      <c r="L441" s="68">
        <v>30000</v>
      </c>
      <c r="M441" s="66"/>
      <c r="N441" s="21" t="s">
        <v>387</v>
      </c>
      <c r="O441" s="21" t="s">
        <v>386</v>
      </c>
      <c r="P441" s="21" t="s">
        <v>21</v>
      </c>
      <c r="Q441" s="22">
        <v>36367</v>
      </c>
      <c r="R441" s="21" t="s">
        <v>71</v>
      </c>
      <c r="S441" s="28" t="s">
        <v>96</v>
      </c>
      <c r="T441" s="28">
        <v>3175853845</v>
      </c>
      <c r="U441" s="27" t="s">
        <v>445</v>
      </c>
      <c r="V441" s="26" t="e">
        <f>IF(P441=#REF!,"DIPLOMADO EN ATENCION PRE-HOSPITALARIA",IF(P441=#REF!,"ACOMPAÑAMIENTO Y MANEJO DEL DUELO",IF(P441=#REF!,"ATENCION A VICTIMAS DE ATAQUE CON AGENTES QUIMICOS ",IF(P441=#REF!,"PRIMEROS AUXILIOS ",IF(P441=#REF!,"DIPLOMADO DE UNIDAD DE CUIDADOS INTENSIVOS (UCI)",IF(P441=#REF!,"MODELO DE ATENCION PARA EVENTOS EMERGENTES EN SALUD MENTAL (CODIGO VERDE)",IF(P441=#REF!,"HUMANIZACION EN EL SERVICIO DE LA SALUD Y BUENAS PRACTICAS EN PACIENTE ",IF(P441=#REF!,"CLINICA DE HERIDAS ",IF(P441=#REF!,"TOMA DE CITOLOGIA CERVICO VAGINAL ",IF(P441=#REF!,"SOPORTE CARDIOVASCULAR AVANZADO (ACLS) ",IF(P441=#REF!,"CAMILLERO ",IF(P441=#REF!,"TOMA DE MUESTRAS Y LABORATORIO ",IF(P441=#REF!,"SOPORTE VITAL BASICO (BLS)",IF(P441=#REF!,"ATENCION A VICTIMAS DE VIOLENCIA SEXUAL ",IF(P441=#REF!,"PROGRAMADO AMPLIADO DE INMUNIZACION (PAI - COVID 19)",IF(P441=#REF!,"ATENCION INTEGRAL EN ENFERMEDADES PREVALENTES EN PRIMERA INFANCIA (AIEPI)",IF(P441=#REF!,"ADMINISTRACION DE MEDICAMENTOS, INYECTOLOGIA  Y CANALIZACION ",IF(P441=#REF!,"OPERADOR DE VEHICULOS DE EMERGENCIA (OVE)",IF(P441=#REF!,"INSTITUCIONES AMIGAS DE LA MUJER Y LA INFANCIA (IAMI)",IF(P441=#REF!,"CUIDADO DEL DONANTE DE ORGANOS",IF(P441=#REF!,"ATENCION A VICTIMAS POR VIOLENCIA DE GENERO",IF(P441=#REF!,"IGUALDAD DE GENERO EN LA SALUD",IF(P441=#REF!,"BRIGADA DE EMERGENCIA",IF(P441=#REF!,"MANEJO DEL DOLOR Y CUIDADOS PALIATIVOS",IF(P441=#REF!,"TOMA DE MUESTRAS Y LABORATORIO POCT",IF(P441=#REF!,"IMPLANTE SUBDERMICO DE DISPOSITIVO INTRAUTERINO",IF(P441=#REF!,"SALUD MENTAL",IF(P441=#REF!,"PRIMEROS AUXILIOS PSICOLOGICOS",IF(P441=#REF!,"ATENCION A VICTIMAS POR CONFLICTO ARMADO",IF(P441=#REF!,"MANIPULACION DE ALIMENTOS Y BPM",IF(P441=#REF!,"ATENCION A PERSONAS CON DISCAPACIDAD",IF(P441=#REF!,"CUIDADO INTEGRAL DEL PACIENTE ADULTO",IF(P441=#REF!,"MANEJO DEFENSIVO",IF(P441=#REF!,"SOPORTE CARDIOVASCULAR AVANZADO NEONATAL",IF(P441=#REF!,"SEGURIDAD DEL PACIENTE",IF(P441=#REF!,"MANEJO DE RESIDUOS HOSPITALARIOS"))))))))))))))))))))))))))))))))))))</f>
        <v>#REF!</v>
      </c>
      <c r="W441" s="26" t="str">
        <f>CONCATENATE(E441," ",F441," ",C441," ",D441)</f>
        <v>Nathalia Sofia Juajinoy Regalado</v>
      </c>
      <c r="X441" s="26" t="str">
        <f t="shared" si="32"/>
        <v>Nathalia Sofia Juajinoy Regalado</v>
      </c>
      <c r="Y441" s="26" t="str">
        <f>CONCATENATE(W441,"-",B441,"-",P441)</f>
        <v>Nathalia Sofia Juajinoy Regalado-1085346196-QUIMICOS</v>
      </c>
    </row>
    <row r="442" spans="1:25" s="19" customFormat="1" x14ac:dyDescent="0.2">
      <c r="A442" s="20">
        <v>189</v>
      </c>
      <c r="B442" s="21">
        <v>1085346196</v>
      </c>
      <c r="C442" s="21" t="s">
        <v>440</v>
      </c>
      <c r="D442" s="21" t="s">
        <v>441</v>
      </c>
      <c r="E442" s="21" t="s">
        <v>442</v>
      </c>
      <c r="F442" s="21" t="s">
        <v>177</v>
      </c>
      <c r="G442" s="21">
        <v>20</v>
      </c>
      <c r="H442" s="21" t="s">
        <v>49</v>
      </c>
      <c r="I442" s="22" t="s">
        <v>376</v>
      </c>
      <c r="J442" s="22"/>
      <c r="K442" s="67"/>
      <c r="L442" s="68">
        <v>30000</v>
      </c>
      <c r="M442" s="66"/>
      <c r="N442" s="21" t="s">
        <v>387</v>
      </c>
      <c r="O442" s="21" t="s">
        <v>386</v>
      </c>
      <c r="P442" s="21" t="s">
        <v>27</v>
      </c>
      <c r="Q442" s="22">
        <v>36367</v>
      </c>
      <c r="R442" s="21" t="s">
        <v>71</v>
      </c>
      <c r="S442" s="28" t="s">
        <v>96</v>
      </c>
      <c r="T442" s="28">
        <v>3175853845</v>
      </c>
      <c r="U442" s="27" t="s">
        <v>445</v>
      </c>
      <c r="V442" s="26" t="e">
        <f>IF(P442=#REF!,"DIPLOMADO EN ATENCION PRE-HOSPITALARIA",IF(P442=#REF!,"ACOMPAÑAMIENTO Y MANEJO DEL DUELO",IF(P442=#REF!,"ATENCION A VICTIMAS DE ATAQUE CON AGENTES QUIMICOS ",IF(P442=#REF!,"PRIMEROS AUXILIOS ",IF(P442=#REF!,"DIPLOMADO DE UNIDAD DE CUIDADOS INTENSIVOS (UCI)",IF(P442=#REF!,"MODELO DE ATENCION PARA EVENTOS EMERGENTES EN SALUD MENTAL (CODIGO VERDE)",IF(P442=#REF!,"HUMANIZACION EN EL SERVICIO DE LA SALUD Y BUENAS PRACTICAS EN PACIENTE ",IF(P442=#REF!,"CLINICA DE HERIDAS ",IF(P442=#REF!,"TOMA DE CITOLOGIA CERVICO VAGINAL ",IF(P442=#REF!,"SOPORTE CARDIOVASCULAR AVANZADO (ACLS) ",IF(P442=#REF!,"CAMILLERO ",IF(P442=#REF!,"TOMA DE MUESTRAS Y LABORATORIO ",IF(P442=#REF!,"SOPORTE VITAL BASICO (BLS)",IF(P442=#REF!,"ATENCION A VICTIMAS DE VIOLENCIA SEXUAL ",IF(P442=#REF!,"PROGRAMADO AMPLIADO DE INMUNIZACION (PAI - COVID 19)",IF(P442=#REF!,"ATENCION INTEGRAL EN ENFERMEDADES PREVALENTES EN PRIMERA INFANCIA (AIEPI)",IF(P442=#REF!,"ADMINISTRACION DE MEDICAMENTOS, INYECTOLOGIA  Y CANALIZACION ",IF(P442=#REF!,"OPERADOR DE VEHICULOS DE EMERGENCIA (OVE)",IF(P442=#REF!,"INSTITUCIONES AMIGAS DE LA MUJER Y LA INFANCIA (IAMI)",IF(P442=#REF!,"CUIDADO DEL DONANTE DE ORGANOS",IF(P442=#REF!,"ATENCION A VICTIMAS POR VIOLENCIA DE GENERO",IF(P442=#REF!,"IGUALDAD DE GENERO EN LA SALUD",IF(P442=#REF!,"BRIGADA DE EMERGENCIA",IF(P442=#REF!,"MANEJO DEL DOLOR Y CUIDADOS PALIATIVOS",IF(P442=#REF!,"TOMA DE MUESTRAS Y LABORATORIO POCT",IF(P442=#REF!,"IMPLANTE SUBDERMICO DE DISPOSITIVO INTRAUTERINO",IF(P442=#REF!,"SALUD MENTAL",IF(P442=#REF!,"PRIMEROS AUXILIOS PSICOLOGICOS",IF(P442=#REF!,"ATENCION A VICTIMAS POR CONFLICTO ARMADO",IF(P442=#REF!,"MANIPULACION DE ALIMENTOS Y BPM",IF(P442=#REF!,"ATENCION A PERSONAS CON DISCAPACIDAD",IF(P442=#REF!,"CUIDADO INTEGRAL DEL PACIENTE ADULTO",IF(P442=#REF!,"MANEJO DEFENSIVO",IF(P442=#REF!,"SOPORTE CARDIOVASCULAR AVANZADO NEONATAL",IF(P442=#REF!,"SEGURIDAD DEL PACIENTE",IF(P442=#REF!,"MANEJO DE RESIDUOS HOSPITALARIOS"))))))))))))))))))))))))))))))))))))</f>
        <v>#REF!</v>
      </c>
      <c r="W442" s="26" t="str">
        <f>CONCATENATE(E442," ",F442," ",C442," ",D442)</f>
        <v>Nathalia Sofia Juajinoy Regalado</v>
      </c>
      <c r="X442" s="26" t="str">
        <f t="shared" si="32"/>
        <v>Nathalia Sofia Juajinoy Regalado</v>
      </c>
      <c r="Y442" s="26" t="str">
        <f>CONCATENATE(W442,"-",B442,"-",P442)</f>
        <v>Nathalia Sofia Juajinoy Regalado-1085346196-VIOLENCIA SEXUAL</v>
      </c>
    </row>
    <row r="443" spans="1:25" s="19" customFormat="1" x14ac:dyDescent="0.2">
      <c r="A443" s="20">
        <v>190</v>
      </c>
      <c r="B443" s="21">
        <v>1085346196</v>
      </c>
      <c r="C443" s="21" t="s">
        <v>440</v>
      </c>
      <c r="D443" s="21" t="s">
        <v>441</v>
      </c>
      <c r="E443" s="21" t="s">
        <v>442</v>
      </c>
      <c r="F443" s="21" t="s">
        <v>177</v>
      </c>
      <c r="G443" s="21">
        <v>22</v>
      </c>
      <c r="H443" s="21" t="s">
        <v>49</v>
      </c>
      <c r="I443" s="22" t="s">
        <v>376</v>
      </c>
      <c r="J443" s="22"/>
      <c r="K443" s="67"/>
      <c r="L443" s="68">
        <v>30000</v>
      </c>
      <c r="M443" s="66"/>
      <c r="N443" s="21" t="s">
        <v>387</v>
      </c>
      <c r="O443" s="21" t="s">
        <v>386</v>
      </c>
      <c r="P443" s="21" t="s">
        <v>443</v>
      </c>
      <c r="Q443" s="22">
        <v>36367</v>
      </c>
      <c r="R443" s="21" t="s">
        <v>71</v>
      </c>
      <c r="S443" s="28" t="s">
        <v>96</v>
      </c>
      <c r="T443" s="28">
        <v>3175853845</v>
      </c>
      <c r="U443" s="27" t="s">
        <v>445</v>
      </c>
      <c r="V443" s="26" t="s">
        <v>444</v>
      </c>
      <c r="W443" s="26" t="str">
        <f>CONCATENATE(E443," ",F443," ",C443," ",D443)</f>
        <v>Nathalia Sofia Juajinoy Regalado</v>
      </c>
      <c r="X443" s="26" t="str">
        <f t="shared" si="32"/>
        <v>Nathalia Sofia Juajinoy Regalado</v>
      </c>
      <c r="Y443" s="26" t="str">
        <f>CONCATENATE(W443,"-",B443,"-",P443)</f>
        <v>Nathalia Sofia Juajinoy Regalado-1085346196-ADULTO</v>
      </c>
    </row>
    <row r="444" spans="1:25" x14ac:dyDescent="0.2">
      <c r="A444" s="20">
        <v>191</v>
      </c>
      <c r="B444" s="21">
        <v>1085312438</v>
      </c>
      <c r="C444" s="21" t="s">
        <v>371</v>
      </c>
      <c r="D444" s="21" t="s">
        <v>446</v>
      </c>
      <c r="E444" s="21" t="s">
        <v>447</v>
      </c>
      <c r="F444" s="21" t="s">
        <v>124</v>
      </c>
      <c r="G444" s="21">
        <v>23</v>
      </c>
      <c r="H444" s="21" t="s">
        <v>49</v>
      </c>
      <c r="I444" s="22" t="s">
        <v>377</v>
      </c>
      <c r="J444" s="22"/>
      <c r="K444" s="23">
        <v>45674</v>
      </c>
      <c r="L444" s="42">
        <v>65000</v>
      </c>
      <c r="M444" s="21" t="s">
        <v>79</v>
      </c>
      <c r="N444" s="21" t="s">
        <v>387</v>
      </c>
      <c r="O444" s="21" t="s">
        <v>69</v>
      </c>
      <c r="P444" s="21" t="s">
        <v>29</v>
      </c>
      <c r="Q444" s="22">
        <v>34457</v>
      </c>
      <c r="R444" s="21" t="s">
        <v>71</v>
      </c>
      <c r="S444" s="21" t="s">
        <v>107</v>
      </c>
      <c r="T444" s="21">
        <v>3147151767</v>
      </c>
      <c r="U444" s="21" t="s">
        <v>448</v>
      </c>
      <c r="V444" s="26" t="e">
        <f>IF(P444=#REF!,"DIPLOMADO EN ATENCION PRE-HOSPITALARIA",IF(P444=#REF!,"ACOMPAÑAMIENTO Y MANEJO DEL DUELO",IF(P444=#REF!,"ATENCION A VICTIMAS DE ATAQUE CON AGENTES QUIMICOS ",IF(P444=#REF!,"PRIMEROS AUXILIOS ",IF(P444=#REF!,"DIPLOMADO DE UNIDAD DE CUIDADOS INTENSIVOS (UCI)",IF(P444=#REF!,"MODELO DE ATENCION PARA EVENTOS EMERGENTES EN SALUD MENTAL (CODIGO VERDE)",IF(P444=#REF!,"HUMANIZACION EN EL SERVICIO DE LA SALUD Y BUENAS PRACTICAS EN PACIENTE ",IF(P444=#REF!,"CLINICA DE HERIDAS ",IF(P444=#REF!,"TOMA DE CITOLOGIA CERVICO VAGINAL ",IF(P444=#REF!,"SOPORTE CARDIOVASCULAR AVANZADO (ACLS) ",IF(P444=#REF!,"CAMILLERO ",IF(P444=#REF!,"TOMA DE MUESTRAS Y LABORATORIO ",IF(P444=#REF!,"SOPORTE VITAL BASICO (BLS)",IF(P444=#REF!,"ATENCION A VICTIMAS DE VIOLENCIA SEXUAL ",IF(P444=#REF!,"PROGRAMADO AMPLIADO DE INMUNIZACION (PAI - COVID 19)",IF(P444=#REF!,"ATENCION INTEGRAL EN ENFERMEDADES PREVALENTES EN PRIMERA INFANCIA (AIEPI)",IF(P444=#REF!,"ADMINISTRACION DE MEDICAMENTOS, INYECTOLOGIA  Y CANALIZACION ",IF(P444=#REF!,"OPERADOR DE VEHICULOS DE EMERGENCIA (OVE)",IF(P444=#REF!,"INSTITUCIONES AMIGAS DE LA MUJER Y LA INFANCIA (IAMI)",IF(P444=#REF!,"CUIDADO DEL DONANTE DE ORGANOS",IF(P444=#REF!,"ATENCION A VICTIMAS POR VIOLENCIA DE GENERO",IF(P444=#REF!,"IGUALDAD DE GENERO EN LA SALUD",IF(P444=#REF!,"BRIGADA DE EMERGENCIA",IF(P444=#REF!,"MANEJO DEL DOLOR Y CUIDADOS PALIATIVOS",IF(P444=#REF!,"TOMA DE MUESTRAS Y LABORATORIO POCT",IF(P444=#REF!,"IMPLANTE SUBDERMICO DE DISPOSITIVO INTRAUTERINO",IF(P444=#REF!,"SALUD MENTAL",IF(P444=#REF!,"PRIMEROS AUXILIOS PSICOLOGICOS",IF(P444=#REF!,"ATENCION A VICTIMAS POR CONFLICTO ARMADO",IF(P444=#REF!,"MANIPULACION DE ALIMENTOS Y BPM",IF(P444=#REF!,"ATENCION A PERSONAS CON DISCAPACIDAD",IF(P444=#REF!,"CUIDADO INTEGRAL DEL PACIENTE ADULTO",IF(P444=#REF!,"MANEJO DEFENSIVO",IF(P444=#REF!,"SOPORTE CARDIOVASCULAR AVANZADO NEONATAL",IF(P444=#REF!,"SEGURIDAD DEL PACIENTE",IF(P444=#REF!,"MANEJO DE RESIDUOS HOSPITALARIOS"))))))))))))))))))))))))))))))))))))</f>
        <v>#REF!</v>
      </c>
      <c r="W444" s="26" t="str">
        <f>CONCATENATE(E444," ",F444," ",C444," ",D444)</f>
        <v>Luisa Fernanda Quintero Santander</v>
      </c>
      <c r="X444" s="26" t="str">
        <f t="shared" si="32"/>
        <v>Luisa Fernanda Quintero Santander</v>
      </c>
      <c r="Y444" s="26" t="str">
        <f>CONCATENATE(W444,"-",B444,"-",P444)</f>
        <v>Luisa Fernanda Quintero Santander-1085312438-ADMON DE MEDICAMENTOS</v>
      </c>
    </row>
    <row r="445" spans="1:25" x14ac:dyDescent="0.2">
      <c r="A445" s="20">
        <v>192</v>
      </c>
      <c r="B445" s="21">
        <v>37081877</v>
      </c>
      <c r="C445" s="21" t="s">
        <v>226</v>
      </c>
      <c r="D445" s="21" t="s">
        <v>191</v>
      </c>
      <c r="E445" s="21" t="s">
        <v>449</v>
      </c>
      <c r="F445" s="21" t="s">
        <v>450</v>
      </c>
      <c r="G445" s="21">
        <v>23</v>
      </c>
      <c r="H445" s="21" t="s">
        <v>49</v>
      </c>
      <c r="I445" s="22" t="s">
        <v>377</v>
      </c>
      <c r="J445" s="22"/>
      <c r="K445" s="23" t="s">
        <v>457</v>
      </c>
      <c r="L445" s="42">
        <v>65000</v>
      </c>
      <c r="M445" s="21" t="s">
        <v>180</v>
      </c>
      <c r="N445" s="21" t="s">
        <v>387</v>
      </c>
      <c r="O445" s="21" t="s">
        <v>69</v>
      </c>
      <c r="P445" s="21" t="s">
        <v>29</v>
      </c>
      <c r="Q445" s="22">
        <v>30254</v>
      </c>
      <c r="R445" s="21" t="s">
        <v>71</v>
      </c>
      <c r="S445" s="21" t="s">
        <v>274</v>
      </c>
      <c r="T445" s="21">
        <v>3206498432</v>
      </c>
      <c r="U445" s="21" t="s">
        <v>451</v>
      </c>
      <c r="V445" s="26" t="e">
        <f>IF(P445=#REF!,"DIPLOMADO EN ATENCION PRE-HOSPITALARIA",IF(P445=#REF!,"ACOMPAÑAMIENTO Y MANEJO DEL DUELO",IF(P445=#REF!,"ATENCION A VICTIMAS DE ATAQUE CON AGENTES QUIMICOS ",IF(P445=#REF!,"PRIMEROS AUXILIOS ",IF(P445=#REF!,"DIPLOMADO DE UNIDAD DE CUIDADOS INTENSIVOS (UCI)",IF(P445=#REF!,"MODELO DE ATENCION PARA EVENTOS EMERGENTES EN SALUD MENTAL (CODIGO VERDE)",IF(P445=#REF!,"HUMANIZACION EN EL SERVICIO DE LA SALUD Y BUENAS PRACTICAS EN PACIENTE ",IF(P445=#REF!,"CLINICA DE HERIDAS ",IF(P445=#REF!,"TOMA DE CITOLOGIA CERVICO VAGINAL ",IF(P445=#REF!,"SOPORTE CARDIOVASCULAR AVANZADO (ACLS) ",IF(P445=#REF!,"CAMILLERO ",IF(P445=#REF!,"TOMA DE MUESTRAS Y LABORATORIO ",IF(P445=#REF!,"SOPORTE VITAL BASICO (BLS)",IF(P445=#REF!,"ATENCION A VICTIMAS DE VIOLENCIA SEXUAL ",IF(P445=#REF!,"PROGRAMADO AMPLIADO DE INMUNIZACION (PAI - COVID 19)",IF(P445=#REF!,"ATENCION INTEGRAL EN ENFERMEDADES PREVALENTES EN PRIMERA INFANCIA (AIEPI)",IF(P445=#REF!,"ADMINISTRACION DE MEDICAMENTOS, INYECTOLOGIA  Y CANALIZACION ",IF(P445=#REF!,"OPERADOR DE VEHICULOS DE EMERGENCIA (OVE)",IF(P445=#REF!,"INSTITUCIONES AMIGAS DE LA MUJER Y LA INFANCIA (IAMI)",IF(P445=#REF!,"CUIDADO DEL DONANTE DE ORGANOS",IF(P445=#REF!,"ATENCION A VICTIMAS POR VIOLENCIA DE GENERO",IF(P445=#REF!,"IGUALDAD DE GENERO EN LA SALUD",IF(P445=#REF!,"BRIGADA DE EMERGENCIA",IF(P445=#REF!,"MANEJO DEL DOLOR Y CUIDADOS PALIATIVOS",IF(P445=#REF!,"TOMA DE MUESTRAS Y LABORATORIO POCT",IF(P445=#REF!,"IMPLANTE SUBDERMICO DE DISPOSITIVO INTRAUTERINO",IF(P445=#REF!,"SALUD MENTAL",IF(P445=#REF!,"PRIMEROS AUXILIOS PSICOLOGICOS",IF(P445=#REF!,"ATENCION A VICTIMAS POR CONFLICTO ARMADO",IF(P445=#REF!,"MANIPULACION DE ALIMENTOS Y BPM",IF(P445=#REF!,"ATENCION A PERSONAS CON DISCAPACIDAD",IF(P445=#REF!,"CUIDADO INTEGRAL DEL PACIENTE ADULTO",IF(P445=#REF!,"MANEJO DEFENSIVO",IF(P445=#REF!,"SOPORTE CARDIOVASCULAR AVANZADO NEONATAL",IF(P445=#REF!,"SEGURIDAD DEL PACIENTE",IF(P445=#REF!,"MANEJO DE RESIDUOS HOSPITALARIOS"))))))))))))))))))))))))))))))))))))</f>
        <v>#REF!</v>
      </c>
      <c r="W445" s="26" t="str">
        <f>CONCATENATE(E445," ",F445," ",C445," ",D445)</f>
        <v>Magda Rocio Timaran Lopez</v>
      </c>
      <c r="X445" s="26" t="str">
        <f t="shared" si="32"/>
        <v>Magda Rocio Timaran Lopez</v>
      </c>
      <c r="Y445" s="26" t="str">
        <f>CONCATENATE(W445,"-",B445,"-",P445)</f>
        <v>Magda Rocio Timaran Lopez-37081877-ADMON DE MEDICAMENTOS</v>
      </c>
    </row>
    <row r="446" spans="1:25" x14ac:dyDescent="0.2">
      <c r="A446" s="20">
        <v>193</v>
      </c>
      <c r="B446" s="21">
        <v>1080255356</v>
      </c>
      <c r="C446" s="21" t="s">
        <v>452</v>
      </c>
      <c r="D446" s="21" t="s">
        <v>453</v>
      </c>
      <c r="E446" s="21" t="s">
        <v>454</v>
      </c>
      <c r="F446" s="21" t="s">
        <v>455</v>
      </c>
      <c r="G446" s="21">
        <v>23</v>
      </c>
      <c r="H446" s="21" t="s">
        <v>49</v>
      </c>
      <c r="I446" s="22" t="s">
        <v>377</v>
      </c>
      <c r="J446" s="22"/>
      <c r="K446" s="23" t="s">
        <v>457</v>
      </c>
      <c r="L446" s="42">
        <v>65000</v>
      </c>
      <c r="M446" s="21" t="s">
        <v>180</v>
      </c>
      <c r="N446" s="37" t="s">
        <v>387</v>
      </c>
      <c r="O446" s="37" t="s">
        <v>69</v>
      </c>
      <c r="P446" s="37" t="s">
        <v>29</v>
      </c>
      <c r="Q446" s="38">
        <v>31722</v>
      </c>
      <c r="R446" s="37" t="s">
        <v>71</v>
      </c>
      <c r="S446" s="37" t="s">
        <v>456</v>
      </c>
      <c r="T446" s="37">
        <v>3161461300</v>
      </c>
      <c r="U446" s="37" t="s">
        <v>451</v>
      </c>
      <c r="V446" s="41" t="e">
        <f>IF(P446=#REF!,"DIPLOMADO EN ATENCION PRE-HOSPITALARIA",IF(P446=#REF!,"ACOMPAÑAMIENTO Y MANEJO DEL DUELO",IF(P446=#REF!,"ATENCION A VICTIMAS DE ATAQUE CON AGENTES QUIMICOS ",IF(P446=#REF!,"PRIMEROS AUXILIOS ",IF(P446=#REF!,"DIPLOMADO DE UNIDAD DE CUIDADOS INTENSIVOS (UCI)",IF(P446=#REF!,"MODELO DE ATENCION PARA EVENTOS EMERGENTES EN SALUD MENTAL (CODIGO VERDE)",IF(P446=#REF!,"HUMANIZACION EN EL SERVICIO DE LA SALUD Y BUENAS PRACTICAS EN PACIENTE ",IF(P446=#REF!,"CLINICA DE HERIDAS ",IF(P446=#REF!,"TOMA DE CITOLOGIA CERVICO VAGINAL ",IF(P446=#REF!,"SOPORTE CARDIOVASCULAR AVANZADO (ACLS) ",IF(P446=#REF!,"CAMILLERO ",IF(P446=#REF!,"TOMA DE MUESTRAS Y LABORATORIO ",IF(P446=#REF!,"SOPORTE VITAL BASICO (BLS)",IF(P446=#REF!,"ATENCION A VICTIMAS DE VIOLENCIA SEXUAL ",IF(P446=#REF!,"PROGRAMADO AMPLIADO DE INMUNIZACION (PAI - COVID 19)",IF(P446=#REF!,"ATENCION INTEGRAL EN ENFERMEDADES PREVALENTES EN PRIMERA INFANCIA (AIEPI)",IF(P446=#REF!,"ADMINISTRACION DE MEDICAMENTOS, INYECTOLOGIA  Y CANALIZACION ",IF(P446=#REF!,"OPERADOR DE VEHICULOS DE EMERGENCIA (OVE)",IF(P446=#REF!,"INSTITUCIONES AMIGAS DE LA MUJER Y LA INFANCIA (IAMI)",IF(P446=#REF!,"CUIDADO DEL DONANTE DE ORGANOS",IF(P446=#REF!,"ATENCION A VICTIMAS POR VIOLENCIA DE GENERO",IF(P446=#REF!,"IGUALDAD DE GENERO EN LA SALUD",IF(P446=#REF!,"BRIGADA DE EMERGENCIA",IF(P446=#REF!,"MANEJO DEL DOLOR Y CUIDADOS PALIATIVOS",IF(P446=#REF!,"TOMA DE MUESTRAS Y LABORATORIO POCT",IF(P446=#REF!,"IMPLANTE SUBDERMICO DE DISPOSITIVO INTRAUTERINO",IF(P446=#REF!,"SALUD MENTAL",IF(P446=#REF!,"PRIMEROS AUXILIOS PSICOLOGICOS",IF(P446=#REF!,"ATENCION A VICTIMAS POR CONFLICTO ARMADO",IF(P446=#REF!,"MANIPULACION DE ALIMENTOS Y BPM",IF(P446=#REF!,"ATENCION A PERSONAS CON DISCAPACIDAD",IF(P446=#REF!,"CUIDADO INTEGRAL DEL PACIENTE ADULTO",IF(P446=#REF!,"MANEJO DEFENSIVO",IF(P446=#REF!,"SOPORTE CARDIOVASCULAR AVANZADO NEONATAL",IF(P446=#REF!,"SEGURIDAD DEL PACIENTE",IF(P446=#REF!,"MANEJO DE RESIDUOS HOSPITALARIOS"))))))))))))))))))))))))))))))))))))</f>
        <v>#REF!</v>
      </c>
      <c r="W446" s="41" t="str">
        <f>CONCATENATE(E446," ",F446," ",C446," ",D446)</f>
        <v>Sonia Isabel Moncayo Rojas</v>
      </c>
      <c r="X446" s="41" t="str">
        <f t="shared" si="32"/>
        <v>Sonia Isabel Moncayo Rojas</v>
      </c>
      <c r="Y446" s="41" t="str">
        <f>CONCATENATE(W446,"-",B446,"-",P446)</f>
        <v>Sonia Isabel Moncayo Rojas-1080255356-ADMON DE MEDICAMENTOS</v>
      </c>
    </row>
    <row r="447" spans="1:25" s="19" customFormat="1" x14ac:dyDescent="0.2">
      <c r="A447" s="20">
        <v>194</v>
      </c>
      <c r="B447" s="21">
        <v>79520757</v>
      </c>
      <c r="C447" s="21" t="s">
        <v>169</v>
      </c>
      <c r="D447" s="21" t="s">
        <v>459</v>
      </c>
      <c r="E447" s="21" t="s">
        <v>460</v>
      </c>
      <c r="F447" s="21" t="s">
        <v>331</v>
      </c>
      <c r="G447" s="21">
        <v>23</v>
      </c>
      <c r="H447" s="21" t="s">
        <v>49</v>
      </c>
      <c r="I447" s="22" t="s">
        <v>376</v>
      </c>
      <c r="J447" s="22"/>
      <c r="K447" s="23">
        <v>45679</v>
      </c>
      <c r="L447" s="42">
        <v>35000</v>
      </c>
      <c r="M447" s="21" t="s">
        <v>79</v>
      </c>
      <c r="N447" s="21" t="s">
        <v>387</v>
      </c>
      <c r="O447" s="21" t="s">
        <v>77</v>
      </c>
      <c r="P447" s="21" t="s">
        <v>27</v>
      </c>
      <c r="Q447" s="22">
        <v>25291</v>
      </c>
      <c r="R447" s="21" t="s">
        <v>70</v>
      </c>
      <c r="S447" s="63" t="s">
        <v>83</v>
      </c>
      <c r="T447" s="21">
        <v>3103584247</v>
      </c>
      <c r="U447" s="21" t="s">
        <v>461</v>
      </c>
      <c r="V447" s="26" t="e">
        <f>IF(P447=#REF!,"DIPLOMADO EN ATENCION PRE-HOSPITALARIA",IF(P447=#REF!,"ACOMPAÑAMIENTO Y MANEJO DEL DUELO",IF(P447=#REF!,"ATENCION A VICTIMAS DE ATAQUE CON AGENTES QUIMICOS ",IF(P447=#REF!,"PRIMEROS AUXILIOS ",IF(P447=#REF!,"DIPLOMADO DE UNIDAD DE CUIDADOS INTENSIVOS (UCI)",IF(P447=#REF!,"MODELO DE ATENCION PARA EVENTOS EMERGENTES EN SALUD MENTAL (CODIGO VERDE)",IF(P447=#REF!,"HUMANIZACION EN EL SERVICIO DE LA SALUD Y BUENAS PRACTICAS EN PACIENTE ",IF(P447=#REF!,"CLINICA DE HERIDAS ",IF(P447=#REF!,"TOMA DE CITOLOGIA CERVICO VAGINAL ",IF(P447=#REF!,"SOPORTE CARDIOVASCULAR AVANZADO (ACLS) ",IF(P447=#REF!,"CAMILLERO ",IF(P447=#REF!,"TOMA DE MUESTRAS Y LABORATORIO ",IF(P447=#REF!,"SOPORTE VITAL BASICO (BLS)",IF(P447=#REF!,"ATENCION A VICTIMAS DE VIOLENCIA SEXUAL ",IF(P447=#REF!,"PROGRAMADO AMPLIADO DE INMUNIZACION (PAI - COVID 19)",IF(P447=#REF!,"ATENCION INTEGRAL EN ENFERMEDADES PREVALENTES EN PRIMERA INFANCIA (AIEPI)",IF(P447=#REF!,"ADMINISTRACION DE MEDICAMENTOS, INYECTOLOGIA  Y CANALIZACION ",IF(P447=#REF!,"OPERADOR DE VEHICULOS DE EMERGENCIA (OVE)",IF(P447=#REF!,"INSTITUCIONES AMIGAS DE LA MUJER Y LA INFANCIA (IAMI)",IF(P447=#REF!,"CUIDADO DEL DONANTE DE ORGANOS",IF(P447=#REF!,"ATENCION A VICTIMAS POR VIOLENCIA DE GENERO",IF(P447=#REF!,"IGUALDAD DE GENERO EN LA SALUD",IF(P447=#REF!,"BRIGADA DE EMERGENCIA",IF(P447=#REF!,"MANEJO DEL DOLOR Y CUIDADOS PALIATIVOS",IF(P447=#REF!,"TOMA DE MUESTRAS Y LABORATORIO POCT",IF(P447=#REF!,"IMPLANTE SUBDERMICO DE DISPOSITIVO INTRAUTERINO",IF(P447=#REF!,"SALUD MENTAL",IF(P447=#REF!,"PRIMEROS AUXILIOS PSICOLOGICOS",IF(P447=#REF!,"ATENCION A VICTIMAS POR CONFLICTO ARMADO",IF(P447=#REF!,"MANIPULACION DE ALIMENTOS Y BPM",IF(P447=#REF!,"ATENCION A PERSONAS CON DISCAPACIDAD",IF(P447=#REF!,"CUIDADO INTEGRAL DEL PACIENTE ADULTO",IF(P447=#REF!,"MANEJO DEFENSIVO",IF(P447=#REF!,"SOPORTE CARDIOVASCULAR AVANZADO NEONATAL",IF(P447=#REF!,"SEGURIDAD DEL PACIENTE",IF(P447=#REF!,"MANEJO DE RESIDUOS HOSPITALARIOS"))))))))))))))))))))))))))))))))))))</f>
        <v>#REF!</v>
      </c>
      <c r="W447" s="26" t="str">
        <f>CONCATENATE(E447," ",F447," ",C447," ",D447)</f>
        <v>Tomas Armando Caicedo Toro</v>
      </c>
      <c r="X447" s="26" t="str">
        <f t="shared" ref="X447:X501" si="33">PROPER(W447)</f>
        <v>Tomas Armando Caicedo Toro</v>
      </c>
      <c r="Y447" s="26" t="str">
        <f>CONCATENATE(W447,"-",B447,"-",P447)</f>
        <v>Tomas Armando Caicedo Toro-79520757-VIOLENCIA SEXUAL</v>
      </c>
    </row>
    <row r="448" spans="1:25" x14ac:dyDescent="0.2">
      <c r="A448" s="20">
        <v>195</v>
      </c>
      <c r="B448" s="21">
        <v>1004192571</v>
      </c>
      <c r="C448" s="21" t="s">
        <v>175</v>
      </c>
      <c r="D448" s="21" t="s">
        <v>145</v>
      </c>
      <c r="E448" s="21" t="s">
        <v>462</v>
      </c>
      <c r="F448" s="21" t="s">
        <v>463</v>
      </c>
      <c r="G448" s="21">
        <v>23</v>
      </c>
      <c r="H448" s="21" t="s">
        <v>49</v>
      </c>
      <c r="I448" s="22" t="s">
        <v>376</v>
      </c>
      <c r="J448" s="22"/>
      <c r="K448" s="23">
        <v>45680</v>
      </c>
      <c r="L448" s="42">
        <v>32000</v>
      </c>
      <c r="M448" s="21" t="s">
        <v>79</v>
      </c>
      <c r="N448" s="21" t="s">
        <v>387</v>
      </c>
      <c r="O448" s="21" t="s">
        <v>69</v>
      </c>
      <c r="P448" s="21" t="s">
        <v>26</v>
      </c>
      <c r="Q448" s="22">
        <v>37739</v>
      </c>
      <c r="R448" s="21" t="s">
        <v>70</v>
      </c>
      <c r="S448" s="21" t="s">
        <v>107</v>
      </c>
      <c r="T448" s="21">
        <v>3113791278</v>
      </c>
      <c r="U448" s="21" t="s">
        <v>464</v>
      </c>
      <c r="V448" s="26" t="e">
        <f>IF(P448=#REF!,"DIPLOMADO EN ATENCION PRE-HOSPITALARIA",IF(P448=#REF!,"ACOMPAÑAMIENTO Y MANEJO DEL DUELO",IF(P448=#REF!,"ATENCION A VICTIMAS DE ATAQUE CON AGENTES QUIMICOS ",IF(P448=#REF!,"PRIMEROS AUXILIOS ",IF(P448=#REF!,"DIPLOMADO DE UNIDAD DE CUIDADOS INTENSIVOS (UCI)",IF(P448=#REF!,"MODELO DE ATENCION PARA EVENTOS EMERGENTES EN SALUD MENTAL (CODIGO VERDE)",IF(P448=#REF!,"HUMANIZACION EN EL SERVICIO DE LA SALUD Y BUENAS PRACTICAS EN PACIENTE ",IF(P448=#REF!,"CLINICA DE HERIDAS ",IF(P448=#REF!,"TOMA DE CITOLOGIA CERVICO VAGINAL ",IF(P448=#REF!,"SOPORTE CARDIOVASCULAR AVANZADO (ACLS) ",IF(P448=#REF!,"CAMILLERO ",IF(P448=#REF!,"TOMA DE MUESTRAS Y LABORATORIO ",IF(P448=#REF!,"SOPORTE VITAL BASICO (BLS)",IF(P448=#REF!,"ATENCION A VICTIMAS DE VIOLENCIA SEXUAL ",IF(P448=#REF!,"PROGRAMADO AMPLIADO DE INMUNIZACION (PAI - COVID 19)",IF(P448=#REF!,"ATENCION INTEGRAL EN ENFERMEDADES PREVALENTES EN PRIMERA INFANCIA (AIEPI)",IF(P448=#REF!,"ADMINISTRACION DE MEDICAMENTOS, INYECTOLOGIA  Y CANALIZACION ",IF(P448=#REF!,"OPERADOR DE VEHICULOS DE EMERGENCIA (OVE)",IF(P448=#REF!,"INSTITUCIONES AMIGAS DE LA MUJER Y LA INFANCIA (IAMI)",IF(P448=#REF!,"CUIDADO DEL DONANTE DE ORGANOS",IF(P448=#REF!,"ATENCION A VICTIMAS POR VIOLENCIA DE GENERO",IF(P448=#REF!,"IGUALDAD DE GENERO EN LA SALUD",IF(P448=#REF!,"BRIGADA DE EMERGENCIA",IF(P448=#REF!,"MANEJO DEL DOLOR Y CUIDADOS PALIATIVOS",IF(P448=#REF!,"TOMA DE MUESTRAS Y LABORATORIO POCT",IF(P448=#REF!,"IMPLANTE SUBDERMICO DE DISPOSITIVO INTRAUTERINO",IF(P448=#REF!,"SALUD MENTAL",IF(P448=#REF!,"PRIMEROS AUXILIOS PSICOLOGICOS",IF(P448=#REF!,"ATENCION A VICTIMAS POR CONFLICTO ARMADO",IF(P448=#REF!,"MANIPULACION DE ALIMENTOS Y BPM",IF(P448=#REF!,"ATENCION A PERSONAS CON DISCAPACIDAD",IF(P448=#REF!,"CUIDADO INTEGRAL DEL PACIENTE ADULTO",IF(P448=#REF!,"MANEJO DEFENSIVO",IF(P448=#REF!,"SOPORTE CARDIOVASCULAR AVANZADO NEONATAL",IF(P448=#REF!,"SEGURIDAD DEL PACIENTE",IF(P448=#REF!,"MANEJO DE RESIDUOS HOSPITALARIOS"))))))))))))))))))))))))))))))))))))</f>
        <v>#REF!</v>
      </c>
      <c r="W448" s="26" t="str">
        <f>CONCATENATE(E448," ",F448," ",C448," ",D448)</f>
        <v>Danilo Yecid Rosero Eraso</v>
      </c>
      <c r="X448" s="26" t="str">
        <f t="shared" si="33"/>
        <v>Danilo Yecid Rosero Eraso</v>
      </c>
      <c r="Y448" s="26" t="str">
        <f>CONCATENATE(W448,"-",B448,"-",P448)</f>
        <v>Danilo Yecid Rosero Eraso-1004192571-TOMA DE MUESTRAS</v>
      </c>
    </row>
    <row r="449" spans="1:25" x14ac:dyDescent="0.2">
      <c r="A449" s="20">
        <v>196</v>
      </c>
      <c r="B449" s="21">
        <v>1004192571</v>
      </c>
      <c r="C449" s="21" t="s">
        <v>175</v>
      </c>
      <c r="D449" s="21" t="s">
        <v>145</v>
      </c>
      <c r="E449" s="21" t="s">
        <v>462</v>
      </c>
      <c r="F449" s="21" t="s">
        <v>463</v>
      </c>
      <c r="G449" s="21">
        <v>22</v>
      </c>
      <c r="H449" s="21" t="s">
        <v>49</v>
      </c>
      <c r="I449" s="22" t="s">
        <v>376</v>
      </c>
      <c r="J449" s="22"/>
      <c r="K449" s="23">
        <v>45680</v>
      </c>
      <c r="L449" s="42">
        <v>32000</v>
      </c>
      <c r="M449" s="21" t="s">
        <v>79</v>
      </c>
      <c r="N449" s="21" t="s">
        <v>387</v>
      </c>
      <c r="O449" s="21" t="s">
        <v>69</v>
      </c>
      <c r="P449" s="21" t="s">
        <v>20</v>
      </c>
      <c r="Q449" s="22">
        <v>37739</v>
      </c>
      <c r="R449" s="21" t="s">
        <v>70</v>
      </c>
      <c r="S449" s="21" t="s">
        <v>107</v>
      </c>
      <c r="T449" s="21">
        <v>3113791278</v>
      </c>
      <c r="U449" s="21" t="s">
        <v>464</v>
      </c>
      <c r="V449" s="26" t="e">
        <f>IF(P449=#REF!,"DIPLOMADO EN ATENCION PRE-HOSPITALARIA",IF(P449=#REF!,"ACOMPAÑAMIENTO Y MANEJO DEL DUELO",IF(P449=#REF!,"ATENCION A VICTIMAS DE ATAQUE CON AGENTES QUIMICOS ",IF(P449=#REF!,"PRIMEROS AUXILIOS ",IF(P449=#REF!,"DIPLOMADO DE UNIDAD DE CUIDADOS INTENSIVOS (UCI)",IF(P449=#REF!,"MODELO DE ATENCION PARA EVENTOS EMERGENTES EN SALUD MENTAL (CODIGO VERDE)",IF(P449=#REF!,"HUMANIZACION EN EL SERVICIO DE LA SALUD Y BUENAS PRACTICAS EN PACIENTE ",IF(P449=#REF!,"CLINICA DE HERIDAS ",IF(P449=#REF!,"TOMA DE CITOLOGIA CERVICO VAGINAL ",IF(P449=#REF!,"SOPORTE CARDIOVASCULAR AVANZADO (ACLS) ",IF(P449=#REF!,"CAMILLERO ",IF(P449=#REF!,"TOMA DE MUESTRAS Y LABORATORIO ",IF(P449=#REF!,"SOPORTE VITAL BASICO (BLS)",IF(P449=#REF!,"ATENCION A VICTIMAS DE VIOLENCIA SEXUAL ",IF(P449=#REF!,"PROGRAMADO AMPLIADO DE INMUNIZACION (PAI - COVID 19)",IF(P449=#REF!,"ATENCION INTEGRAL EN ENFERMEDADES PREVALENTES EN PRIMERA INFANCIA (AIEPI)",IF(P449=#REF!,"ADMINISTRACION DE MEDICAMENTOS, INYECTOLOGIA  Y CANALIZACION ",IF(P449=#REF!,"OPERADOR DE VEHICULOS DE EMERGENCIA (OVE)",IF(P449=#REF!,"INSTITUCIONES AMIGAS DE LA MUJER Y LA INFANCIA (IAMI)",IF(P449=#REF!,"CUIDADO DEL DONANTE DE ORGANOS",IF(P449=#REF!,"ATENCION A VICTIMAS POR VIOLENCIA DE GENERO",IF(P449=#REF!,"IGUALDAD DE GENERO EN LA SALUD",IF(P449=#REF!,"BRIGADA DE EMERGENCIA",IF(P449=#REF!,"MANEJO DEL DOLOR Y CUIDADOS PALIATIVOS",IF(P449=#REF!,"TOMA DE MUESTRAS Y LABORATORIO POCT",IF(P449=#REF!,"IMPLANTE SUBDERMICO DE DISPOSITIVO INTRAUTERINO",IF(P449=#REF!,"SALUD MENTAL",IF(P449=#REF!,"PRIMEROS AUXILIOS PSICOLOGICOS",IF(P449=#REF!,"ATENCION A VICTIMAS POR CONFLICTO ARMADO",IF(P449=#REF!,"MANIPULACION DE ALIMENTOS Y BPM",IF(P449=#REF!,"ATENCION A PERSONAS CON DISCAPACIDAD",IF(P449=#REF!,"CUIDADO INTEGRAL DEL PACIENTE ADULTO",IF(P449=#REF!,"MANEJO DEFENSIVO",IF(P449=#REF!,"SOPORTE CARDIOVASCULAR AVANZADO NEONATAL",IF(P449=#REF!,"SEGURIDAD DEL PACIENTE",IF(P449=#REF!,"MANEJO DE RESIDUOS HOSPITALARIOS"))))))))))))))))))))))))))))))))))))</f>
        <v>#REF!</v>
      </c>
      <c r="W449" s="26" t="str">
        <f>CONCATENATE(E449," ",F449," ",C449," ",D449)</f>
        <v>Danilo Yecid Rosero Eraso</v>
      </c>
      <c r="X449" s="26" t="str">
        <f t="shared" si="33"/>
        <v>Danilo Yecid Rosero Eraso</v>
      </c>
      <c r="Y449" s="26" t="str">
        <f>CONCATENATE(W449,"-",B449,"-",P449)</f>
        <v>Danilo Yecid Rosero Eraso-1004192571-DUELO</v>
      </c>
    </row>
    <row r="450" spans="1:25" x14ac:dyDescent="0.2">
      <c r="A450" s="20">
        <v>197</v>
      </c>
      <c r="B450" s="21">
        <v>1193405562</v>
      </c>
      <c r="C450" s="21" t="s">
        <v>465</v>
      </c>
      <c r="D450" s="21" t="s">
        <v>466</v>
      </c>
      <c r="E450" s="21" t="s">
        <v>384</v>
      </c>
      <c r="F450" s="21" t="s">
        <v>467</v>
      </c>
      <c r="G450" s="21">
        <v>23</v>
      </c>
      <c r="H450" s="21" t="s">
        <v>49</v>
      </c>
      <c r="I450" s="22" t="s">
        <v>377</v>
      </c>
      <c r="J450" s="22"/>
      <c r="K450" s="23">
        <v>45680</v>
      </c>
      <c r="L450" s="42">
        <v>65000</v>
      </c>
      <c r="M450" s="21" t="s">
        <v>133</v>
      </c>
      <c r="N450" s="21" t="s">
        <v>387</v>
      </c>
      <c r="O450" s="21" t="s">
        <v>69</v>
      </c>
      <c r="P450" s="21" t="s">
        <v>23</v>
      </c>
      <c r="Q450" s="22">
        <v>36145</v>
      </c>
      <c r="R450" s="21" t="s">
        <v>70</v>
      </c>
      <c r="S450" s="21" t="s">
        <v>468</v>
      </c>
      <c r="T450" s="25">
        <v>3193491581</v>
      </c>
      <c r="U450" s="21" t="s">
        <v>469</v>
      </c>
      <c r="V450" s="26" t="e">
        <f>IF(P450=#REF!,"DIPLOMADO EN ATENCION PRE-HOSPITALARIA",IF(P450=#REF!,"ACOMPAÑAMIENTO Y MANEJO DEL DUELO",IF(P450=#REF!,"ATENCION A VICTIMAS DE ATAQUE CON AGENTES QUIMICOS ",IF(P450=#REF!,"PRIMEROS AUXILIOS ",IF(P450=#REF!,"DIPLOMADO DE UNIDAD DE CUIDADOS INTENSIVOS (UCI)",IF(P450=#REF!,"MODELO DE ATENCION PARA EVENTOS EMERGENTES EN SALUD MENTAL (CODIGO VERDE)",IF(P450=#REF!,"HUMANIZACION EN EL SERVICIO DE LA SALUD Y BUENAS PRACTICAS EN PACIENTE ",IF(P450=#REF!,"CLINICA DE HERIDAS ",IF(P450=#REF!,"TOMA DE CITOLOGIA CERVICO VAGINAL ",IF(P450=#REF!,"SOPORTE CARDIOVASCULAR AVANZADO (ACLS) ",IF(P450=#REF!,"CAMILLERO ",IF(P450=#REF!,"TOMA DE MUESTRAS Y LABORATORIO ",IF(P450=#REF!,"SOPORTE VITAL BASICO (BLS)",IF(P450=#REF!,"ATENCION A VICTIMAS DE VIOLENCIA SEXUAL ",IF(P450=#REF!,"PROGRAMADO AMPLIADO DE INMUNIZACION (PAI - COVID 19)",IF(P450=#REF!,"ATENCION INTEGRAL EN ENFERMEDADES PREVALENTES EN PRIMERA INFANCIA (AIEPI)",IF(P450=#REF!,"ADMINISTRACION DE MEDICAMENTOS, INYECTOLOGIA  Y CANALIZACION ",IF(P450=#REF!,"OPERADOR DE VEHICULOS DE EMERGENCIA (OVE)",IF(P450=#REF!,"INSTITUCIONES AMIGAS DE LA MUJER Y LA INFANCIA (IAMI)",IF(P450=#REF!,"CUIDADO DEL DONANTE DE ORGANOS",IF(P450=#REF!,"ATENCION A VICTIMAS POR VIOLENCIA DE GENERO",IF(P450=#REF!,"IGUALDAD DE GENERO EN LA SALUD",IF(P450=#REF!,"BRIGADA DE EMERGENCIA",IF(P450=#REF!,"MANEJO DEL DOLOR Y CUIDADOS PALIATIVOS",IF(P450=#REF!,"TOMA DE MUESTRAS Y LABORATORIO POCT",IF(P450=#REF!,"IMPLANTE SUBDERMICO DE DISPOSITIVO INTRAUTERINO",IF(P450=#REF!,"SALUD MENTAL",IF(P450=#REF!,"PRIMEROS AUXILIOS PSICOLOGICOS",IF(P450=#REF!,"ATENCION A VICTIMAS POR CONFLICTO ARMADO",IF(P450=#REF!,"MANIPULACION DE ALIMENTOS Y BPM",IF(P450=#REF!,"ATENCION A PERSONAS CON DISCAPACIDAD",IF(P450=#REF!,"CUIDADO INTEGRAL DEL PACIENTE ADULTO",IF(P450=#REF!,"MANEJO DEFENSIVO",IF(P450=#REF!,"SOPORTE CARDIOVASCULAR AVANZADO NEONATAL",IF(P450=#REF!,"SEGURIDAD DEL PACIENTE",IF(P450=#REF!,"MANEJO DE RESIDUOS HOSPITALARIOS"))))))))))))))))))))))))))))))))))))</f>
        <v>#REF!</v>
      </c>
      <c r="W450" s="26" t="str">
        <f>CONCATENATE(E450," ",F450," ",C450," ",D450)</f>
        <v>German Sebastian Villota Guancha</v>
      </c>
      <c r="X450" s="26" t="str">
        <f t="shared" si="33"/>
        <v>German Sebastian Villota Guancha</v>
      </c>
      <c r="Y450" s="26" t="str">
        <f>CONCATENATE(W450,"-",B450,"-",P450)</f>
        <v>German Sebastian Villota Guancha-1193405562-HUMANIZACION</v>
      </c>
    </row>
    <row r="451" spans="1:25" x14ac:dyDescent="0.2">
      <c r="A451" s="46">
        <v>198</v>
      </c>
      <c r="B451" s="21">
        <v>1004192571</v>
      </c>
      <c r="C451" s="21" t="s">
        <v>175</v>
      </c>
      <c r="D451" s="21" t="s">
        <v>145</v>
      </c>
      <c r="E451" s="21" t="s">
        <v>462</v>
      </c>
      <c r="F451" s="21" t="s">
        <v>463</v>
      </c>
      <c r="G451" s="21">
        <v>21</v>
      </c>
      <c r="H451" s="21" t="s">
        <v>49</v>
      </c>
      <c r="I451" s="22" t="s">
        <v>376</v>
      </c>
      <c r="J451" s="22"/>
      <c r="K451" s="23">
        <v>45680</v>
      </c>
      <c r="L451" s="42">
        <v>32000</v>
      </c>
      <c r="M451" s="21" t="s">
        <v>79</v>
      </c>
      <c r="N451" s="21" t="s">
        <v>387</v>
      </c>
      <c r="O451" s="21" t="s">
        <v>69</v>
      </c>
      <c r="P451" s="21" t="s">
        <v>35</v>
      </c>
      <c r="Q451" s="22">
        <v>37739</v>
      </c>
      <c r="R451" s="21" t="s">
        <v>70</v>
      </c>
      <c r="S451" s="21" t="s">
        <v>107</v>
      </c>
      <c r="T451" s="21">
        <v>3113791278</v>
      </c>
      <c r="U451" s="21" t="s">
        <v>464</v>
      </c>
      <c r="V451" s="61" t="e">
        <f>IF(P451=#REF!,"DIPLOMADO EN ATENCION PRE-HOSPITALARIA",IF(P451=#REF!,"ACOMPAÑAMIENTO Y MANEJO DEL DUELO",IF(P451=#REF!,"ATENCION A VICTIMAS DE ATAQUE CON AGENTES QUIMICOS ",IF(P451=#REF!,"PRIMEROS AUXILIOS ",IF(P451=#REF!,"DIPLOMADO DE UNIDAD DE CUIDADOS INTENSIVOS (UCI)",IF(P451=#REF!,"MODELO DE ATENCION PARA EVENTOS EMERGENTES EN SALUD MENTAL (CODIGO VERDE)",IF(P451=#REF!,"HUMANIZACION EN EL SERVICIO DE LA SALUD Y BUENAS PRACTICAS EN PACIENTE ",IF(P451=#REF!,"CLINICA DE HERIDAS ",IF(P451=#REF!,"TOMA DE CITOLOGIA CERVICO VAGINAL ",IF(P451=#REF!,"SOPORTE CARDIOVASCULAR AVANZADO (ACLS) ",IF(P451=#REF!,"CAMILLERO ",IF(P451=#REF!,"TOMA DE MUESTRAS Y LABORATORIO ",IF(P451=#REF!,"SOPORTE VITAL BASICO (BLS)",IF(P451=#REF!,"ATENCION A VICTIMAS DE VIOLENCIA SEXUAL ",IF(P451=#REF!,"PROGRAMADO AMPLIADO DE INMUNIZACION (PAI - COVID 19)",IF(P451=#REF!,"ATENCION INTEGRAL EN ENFERMEDADES PREVALENTES EN PRIMERA INFANCIA (AIEPI)",IF(P451=#REF!,"ADMINISTRACION DE MEDICAMENTOS, INYECTOLOGIA  Y CANALIZACION ",IF(P451=#REF!,"OPERADOR DE VEHICULOS DE EMERGENCIA (OVE)",IF(P451=#REF!,"INSTITUCIONES AMIGAS DE LA MUJER Y LA INFANCIA (IAMI)",IF(P451=#REF!,"CUIDADO DEL DONANTE DE ORGANOS",IF(P451=#REF!,"ATENCION A VICTIMAS POR VIOLENCIA DE GENERO",IF(P451=#REF!,"IGUALDAD DE GENERO EN LA SALUD",IF(P451=#REF!,"BRIGADA DE EMERGENCIA",IF(P451=#REF!,"MANEJO DEL DOLOR Y CUIDADOS PALIATIVOS",IF(P451=#REF!,"TOMA DE MUESTRAS Y LABORATORIO POCT",IF(P451=#REF!,"IMPLANTE SUBDERMICO DE DISPOSITIVO INTRAUTERINO",IF(P451=#REF!,"SALUD MENTAL",IF(P451=#REF!,"PRIMEROS AUXILIOS PSICOLOGICOS",IF(P451=#REF!,"ATENCION A VICTIMAS POR CONFLICTO ARMADO",IF(P451=#REF!,"MANIPULACION DE ALIMENTOS Y BPM",IF(P451=#REF!,"ATENCION A PERSONAS CON DISCAPACIDAD",IF(P451=#REF!,"CUIDADO INTEGRAL DEL PACIENTE ADULTO",IF(P451=#REF!,"MANEJO DEFENSIVO",IF(P451=#REF!,"SOPORTE CARDIOVASCULAR AVANZADO NEONATAL",IF(P451=#REF!,"SEGURIDAD DEL PACIENTE",IF(P451=#REF!,"MANEJO DE RESIDUOS HOSPITALARIOS"))))))))))))))))))))))))))))))))))))</f>
        <v>#REF!</v>
      </c>
      <c r="W451" s="61" t="str">
        <f>CONCATENATE(E451," ",F451," ",C451," ",D451)</f>
        <v>Danilo Yecid Rosero Eraso</v>
      </c>
      <c r="X451" s="61" t="str">
        <f t="shared" si="33"/>
        <v>Danilo Yecid Rosero Eraso</v>
      </c>
      <c r="Y451" s="61" t="str">
        <f>CONCATENATE(W451,"-",B451,"-",P451)</f>
        <v>Danilo Yecid Rosero Eraso-1004192571-POCT</v>
      </c>
    </row>
    <row r="452" spans="1:25" x14ac:dyDescent="0.2">
      <c r="A452" s="20">
        <v>199</v>
      </c>
      <c r="B452" s="21">
        <v>59672910</v>
      </c>
      <c r="C452" s="21" t="s">
        <v>470</v>
      </c>
      <c r="D452" s="21" t="s">
        <v>471</v>
      </c>
      <c r="E452" s="21" t="s">
        <v>472</v>
      </c>
      <c r="F452" s="21"/>
      <c r="G452" s="21">
        <v>23</v>
      </c>
      <c r="H452" s="21" t="s">
        <v>49</v>
      </c>
      <c r="I452" s="52" t="s">
        <v>377</v>
      </c>
      <c r="J452" s="52"/>
      <c r="K452" s="23">
        <v>45680</v>
      </c>
      <c r="L452" s="42">
        <v>65000</v>
      </c>
      <c r="M452" s="21" t="s">
        <v>79</v>
      </c>
      <c r="N452" s="21" t="s">
        <v>387</v>
      </c>
      <c r="O452" s="21" t="s">
        <v>69</v>
      </c>
      <c r="P452" s="21" t="s">
        <v>19</v>
      </c>
      <c r="Q452" s="22">
        <v>27503</v>
      </c>
      <c r="R452" s="21" t="s">
        <v>71</v>
      </c>
      <c r="S452" s="21" t="s">
        <v>107</v>
      </c>
      <c r="T452" s="21">
        <v>3153572988</v>
      </c>
      <c r="U452" s="21" t="s">
        <v>473</v>
      </c>
      <c r="V452" s="26" t="e">
        <f>IF(P452=#REF!,"DIPLOMADO EN ATENCION PRE-HOSPITALARIA",IF(P452=#REF!,"ACOMPAÑAMIENTO Y MANEJO DEL DUELO",IF(P452=#REF!,"ATENCION A VICTIMAS DE ATAQUE CON AGENTES QUIMICOS ",IF(P452=#REF!,"PRIMEROS AUXILIOS ",IF(P452=#REF!,"DIPLOMADO DE UNIDAD DE CUIDADOS INTENSIVOS (UCI)",IF(P452=#REF!,"MODELO DE ATENCION PARA EVENTOS EMERGENTES EN SALUD MENTAL (CODIGO VERDE)",IF(P452=#REF!,"HUMANIZACION EN EL SERVICIO DE LA SALUD Y BUENAS PRACTICAS EN PACIENTE ",IF(P452=#REF!,"CLINICA DE HERIDAS ",IF(P452=#REF!,"TOMA DE CITOLOGIA CERVICO VAGINAL ",IF(P452=#REF!,"SOPORTE CARDIOVASCULAR AVANZADO (ACLS) ",IF(P452=#REF!,"CAMILLERO ",IF(P452=#REF!,"TOMA DE MUESTRAS Y LABORATORIO ",IF(P452=#REF!,"SOPORTE VITAL BASICO (BLS)",IF(P452=#REF!,"ATENCION A VICTIMAS DE VIOLENCIA SEXUAL ",IF(P452=#REF!,"PROGRAMADO AMPLIADO DE INMUNIZACION (PAI - COVID 19)",IF(P452=#REF!,"ATENCION INTEGRAL EN ENFERMEDADES PREVALENTES EN PRIMERA INFANCIA (AIEPI)",IF(P452=#REF!,"ADMINISTRACION DE MEDICAMENTOS, INYECTOLOGIA  Y CANALIZACION ",IF(P452=#REF!,"OPERADOR DE VEHICULOS DE EMERGENCIA (OVE)",IF(P452=#REF!,"INSTITUCIONES AMIGAS DE LA MUJER Y LA INFANCIA (IAMI)",IF(P452=#REF!,"CUIDADO DEL DONANTE DE ORGANOS",IF(P452=#REF!,"ATENCION A VICTIMAS POR VIOLENCIA DE GENERO",IF(P452=#REF!,"IGUALDAD DE GENERO EN LA SALUD",IF(P452=#REF!,"BRIGADA DE EMERGENCIA",IF(P452=#REF!,"MANEJO DEL DOLOR Y CUIDADOS PALIATIVOS",IF(P452=#REF!,"TOMA DE MUESTRAS Y LABORATORIO POCT",IF(P452=#REF!,"IMPLANTE SUBDERMICO DE DISPOSITIVO INTRAUTERINO",IF(P452=#REF!,"SALUD MENTAL",IF(P452=#REF!,"PRIMEROS AUXILIOS PSICOLOGICOS",IF(P452=#REF!,"ATENCION A VICTIMAS POR CONFLICTO ARMADO",IF(P452=#REF!,"MANIPULACION DE ALIMENTOS Y BPM",IF(P452=#REF!,"ATENCION A PERSONAS CON DISCAPACIDAD",IF(P452=#REF!,"CUIDADO INTEGRAL DEL PACIENTE ADULTO",IF(P452=#REF!,"MANEJO DEFENSIVO",IF(P452=#REF!,"SOPORTE CARDIOVASCULAR AVANZADO NEONATAL",IF(P452=#REF!,"SEGURIDAD DEL PACIENTE",IF(P452=#REF!,"MANEJO DE RESIDUOS HOSPITALARIOS"))))))))))))))))))))))))))))))))))))</f>
        <v>#REF!</v>
      </c>
      <c r="W452" s="26" t="str">
        <f>CONCATENATE(E452," ",F452," ",C452," ",D452)</f>
        <v>Amparo  Montaño Salazar</v>
      </c>
      <c r="X452" s="26" t="str">
        <f t="shared" si="33"/>
        <v>Amparo  Montaño Salazar</v>
      </c>
      <c r="Y452" s="26" t="str">
        <f>CONCATENATE(W452,"-",B452,"-",P452)</f>
        <v>Amparo  Montaño Salazar-59672910-BLS</v>
      </c>
    </row>
    <row r="453" spans="1:25" x14ac:dyDescent="0.2">
      <c r="A453" s="20">
        <v>200</v>
      </c>
      <c r="B453" s="21">
        <v>1101391350</v>
      </c>
      <c r="C453" s="21" t="s">
        <v>475</v>
      </c>
      <c r="D453" s="21" t="s">
        <v>477</v>
      </c>
      <c r="E453" s="21" t="s">
        <v>476</v>
      </c>
      <c r="F453" s="21"/>
      <c r="G453" s="21">
        <v>24</v>
      </c>
      <c r="H453" s="21" t="s">
        <v>49</v>
      </c>
      <c r="I453" s="52" t="s">
        <v>377</v>
      </c>
      <c r="J453" s="52"/>
      <c r="K453" s="23">
        <v>45680</v>
      </c>
      <c r="L453" s="42">
        <v>65000</v>
      </c>
      <c r="M453" s="21" t="s">
        <v>106</v>
      </c>
      <c r="N453" s="21" t="s">
        <v>387</v>
      </c>
      <c r="O453" s="21" t="s">
        <v>69</v>
      </c>
      <c r="P453" s="21" t="s">
        <v>20</v>
      </c>
      <c r="Q453" s="22">
        <v>36125</v>
      </c>
      <c r="R453" s="21" t="s">
        <v>71</v>
      </c>
      <c r="S453" s="21" t="s">
        <v>107</v>
      </c>
      <c r="T453" s="21">
        <v>3232884442</v>
      </c>
      <c r="U453" s="21" t="s">
        <v>474</v>
      </c>
      <c r="V453" s="26" t="e">
        <f>IF(P453=#REF!,"DIPLOMADO EN ATENCION PRE-HOSPITALARIA",IF(P453=#REF!,"ACOMPAÑAMIENTO Y MANEJO DEL DUELO",IF(P453=#REF!,"ATENCION A VICTIMAS DE ATAQUE CON AGENTES QUIMICOS ",IF(P453=#REF!,"PRIMEROS AUXILIOS ",IF(P453=#REF!,"DIPLOMADO DE UNIDAD DE CUIDADOS INTENSIVOS (UCI)",IF(P453=#REF!,"MODELO DE ATENCION PARA EVENTOS EMERGENTES EN SALUD MENTAL (CODIGO VERDE)",IF(P453=#REF!,"HUMANIZACION EN EL SERVICIO DE LA SALUD Y BUENAS PRACTICAS EN PACIENTE ",IF(P453=#REF!,"CLINICA DE HERIDAS ",IF(P453=#REF!,"TOMA DE CITOLOGIA CERVICO VAGINAL ",IF(P453=#REF!,"SOPORTE CARDIOVASCULAR AVANZADO (ACLS) ",IF(P453=#REF!,"CAMILLERO ",IF(P453=#REF!,"TOMA DE MUESTRAS Y LABORATORIO ",IF(P453=#REF!,"SOPORTE VITAL BASICO (BLS)",IF(P453=#REF!,"ATENCION A VICTIMAS DE VIOLENCIA SEXUAL ",IF(P453=#REF!,"PROGRAMADO AMPLIADO DE INMUNIZACION (PAI - COVID 19)",IF(P453=#REF!,"ATENCION INTEGRAL EN ENFERMEDADES PREVALENTES EN PRIMERA INFANCIA (AIEPI)",IF(P453=#REF!,"ADMINISTRACION DE MEDICAMENTOS, INYECTOLOGIA  Y CANALIZACION ",IF(P453=#REF!,"OPERADOR DE VEHICULOS DE EMERGENCIA (OVE)",IF(P453=#REF!,"INSTITUCIONES AMIGAS DE LA MUJER Y LA INFANCIA (IAMI)",IF(P453=#REF!,"CUIDADO DEL DONANTE DE ORGANOS",IF(P453=#REF!,"ATENCION A VICTIMAS POR VIOLENCIA DE GENERO",IF(P453=#REF!,"IGUALDAD DE GENERO EN LA SALUD",IF(P453=#REF!,"BRIGADA DE EMERGENCIA",IF(P453=#REF!,"MANEJO DEL DOLOR Y CUIDADOS PALIATIVOS",IF(P453=#REF!,"TOMA DE MUESTRAS Y LABORATORIO POCT",IF(P453=#REF!,"IMPLANTE SUBDERMICO DE DISPOSITIVO INTRAUTERINO",IF(P453=#REF!,"SALUD MENTAL",IF(P453=#REF!,"PRIMEROS AUXILIOS PSICOLOGICOS",IF(P453=#REF!,"ATENCION A VICTIMAS POR CONFLICTO ARMADO",IF(P453=#REF!,"MANIPULACION DE ALIMENTOS Y BPM",IF(P453=#REF!,"ATENCION A PERSONAS CON DISCAPACIDAD",IF(P453=#REF!,"CUIDADO INTEGRAL DEL PACIENTE ADULTO",IF(P453=#REF!,"MANEJO DEFENSIVO",IF(P453=#REF!,"SOPORTE CARDIOVASCULAR AVANZADO NEONATAL",IF(P453=#REF!,"SEGURIDAD DEL PACIENTE",IF(P453=#REF!,"MANEJO DE RESIDUOS HOSPITALARIOS"))))))))))))))))))))))))))))))))))))</f>
        <v>#REF!</v>
      </c>
      <c r="W453" s="26" t="str">
        <f>CONCATENATE(E453," ",F453," ",C453," ",D453)</f>
        <v>Valeria  Rondon Osorio</v>
      </c>
      <c r="X453" s="26" t="str">
        <f t="shared" si="33"/>
        <v>Valeria  Rondon Osorio</v>
      </c>
      <c r="Y453" s="26" t="str">
        <f>CONCATENATE(W453,"-",B453,"-",P453)</f>
        <v>Valeria  Rondon Osorio-1101391350-DUELO</v>
      </c>
    </row>
    <row r="454" spans="1:25" x14ac:dyDescent="0.2">
      <c r="A454" s="36">
        <v>201</v>
      </c>
      <c r="B454" s="37">
        <v>59311473</v>
      </c>
      <c r="C454" s="37" t="s">
        <v>227</v>
      </c>
      <c r="D454" s="37" t="s">
        <v>478</v>
      </c>
      <c r="E454" s="37" t="s">
        <v>479</v>
      </c>
      <c r="F454" s="37" t="s">
        <v>480</v>
      </c>
      <c r="G454" s="37">
        <v>24</v>
      </c>
      <c r="H454" s="37" t="s">
        <v>49</v>
      </c>
      <c r="I454" s="56" t="s">
        <v>377</v>
      </c>
      <c r="J454" s="56"/>
      <c r="K454" s="39">
        <v>45680</v>
      </c>
      <c r="L454" s="44">
        <v>65000</v>
      </c>
      <c r="M454" s="37" t="s">
        <v>79</v>
      </c>
      <c r="N454" s="37" t="s">
        <v>387</v>
      </c>
      <c r="O454" s="37" t="s">
        <v>69</v>
      </c>
      <c r="P454" s="37" t="s">
        <v>23</v>
      </c>
      <c r="Q454" s="38">
        <v>30631</v>
      </c>
      <c r="R454" s="37" t="s">
        <v>71</v>
      </c>
      <c r="S454" s="37" t="s">
        <v>481</v>
      </c>
      <c r="T454" s="37">
        <v>3155842894</v>
      </c>
      <c r="U454" s="37" t="s">
        <v>482</v>
      </c>
      <c r="V454" s="41" t="e">
        <f>IF(P454=#REF!,"DIPLOMADO EN ATENCION PRE-HOSPITALARIA",IF(P454=#REF!,"ACOMPAÑAMIENTO Y MANEJO DEL DUELO",IF(P454=#REF!,"ATENCION A VICTIMAS DE ATAQUE CON AGENTES QUIMICOS ",IF(P454=#REF!,"PRIMEROS AUXILIOS ",IF(P454=#REF!,"DIPLOMADO DE UNIDAD DE CUIDADOS INTENSIVOS (UCI)",IF(P454=#REF!,"MODELO DE ATENCION PARA EVENTOS EMERGENTES EN SALUD MENTAL (CODIGO VERDE)",IF(P454=#REF!,"HUMANIZACION EN EL SERVICIO DE LA SALUD Y BUENAS PRACTICAS EN PACIENTE ",IF(P454=#REF!,"CLINICA DE HERIDAS ",IF(P454=#REF!,"TOMA DE CITOLOGIA CERVICO VAGINAL ",IF(P454=#REF!,"SOPORTE CARDIOVASCULAR AVANZADO (ACLS) ",IF(P454=#REF!,"CAMILLERO ",IF(P454=#REF!,"TOMA DE MUESTRAS Y LABORATORIO ",IF(P454=#REF!,"SOPORTE VITAL BASICO (BLS)",IF(P454=#REF!,"ATENCION A VICTIMAS DE VIOLENCIA SEXUAL ",IF(P454=#REF!,"PROGRAMADO AMPLIADO DE INMUNIZACION (PAI - COVID 19)",IF(P454=#REF!,"ATENCION INTEGRAL EN ENFERMEDADES PREVALENTES EN PRIMERA INFANCIA (AIEPI)",IF(P454=#REF!,"ADMINISTRACION DE MEDICAMENTOS, INYECTOLOGIA  Y CANALIZACION ",IF(P454=#REF!,"OPERADOR DE VEHICULOS DE EMERGENCIA (OVE)",IF(P454=#REF!,"INSTITUCIONES AMIGAS DE LA MUJER Y LA INFANCIA (IAMI)",IF(P454=#REF!,"CUIDADO DEL DONANTE DE ORGANOS",IF(P454=#REF!,"ATENCION A VICTIMAS POR VIOLENCIA DE GENERO",IF(P454=#REF!,"IGUALDAD DE GENERO EN LA SALUD",IF(P454=#REF!,"BRIGADA DE EMERGENCIA",IF(P454=#REF!,"MANEJO DEL DOLOR Y CUIDADOS PALIATIVOS",IF(P454=#REF!,"TOMA DE MUESTRAS Y LABORATORIO POCT",IF(P454=#REF!,"IMPLANTE SUBDERMICO DE DISPOSITIVO INTRAUTERINO",IF(P454=#REF!,"SALUD MENTAL",IF(P454=#REF!,"PRIMEROS AUXILIOS PSICOLOGICOS",IF(P454=#REF!,"ATENCION A VICTIMAS POR CONFLICTO ARMADO",IF(P454=#REF!,"MANIPULACION DE ALIMENTOS Y BPM",IF(P454=#REF!,"ATENCION A PERSONAS CON DISCAPACIDAD",IF(P454=#REF!,"CUIDADO INTEGRAL DEL PACIENTE ADULTO",IF(P454=#REF!,"MANEJO DEFENSIVO",IF(P454=#REF!,"SOPORTE CARDIOVASCULAR AVANZADO NEONATAL",IF(P454=#REF!,"SEGURIDAD DEL PACIENTE",IF(P454=#REF!,"MANEJO DE RESIDUOS HOSPITALARIOS"))))))))))))))))))))))))))))))))))))</f>
        <v>#REF!</v>
      </c>
      <c r="W454" s="41" t="str">
        <f>CONCATENATE(E454," ",F454," ",C454," ",D454)</f>
        <v>Miriam Lady Guerrero Luna</v>
      </c>
      <c r="X454" s="41" t="str">
        <f t="shared" si="33"/>
        <v>Miriam Lady Guerrero Luna</v>
      </c>
      <c r="Y454" s="41" t="str">
        <f>CONCATENATE(W454,"-",B454,"-",P454)</f>
        <v>Miriam Lady Guerrero Luna-59311473-HUMANIZACION</v>
      </c>
    </row>
    <row r="455" spans="1:25" s="19" customFormat="1" x14ac:dyDescent="0.2">
      <c r="A455" s="20">
        <v>202</v>
      </c>
      <c r="B455" s="21">
        <v>1085931728</v>
      </c>
      <c r="C455" s="21" t="s">
        <v>483</v>
      </c>
      <c r="D455" s="21" t="s">
        <v>484</v>
      </c>
      <c r="E455" s="21" t="s">
        <v>485</v>
      </c>
      <c r="F455" s="21" t="s">
        <v>146</v>
      </c>
      <c r="G455" s="21">
        <v>24</v>
      </c>
      <c r="H455" s="21" t="s">
        <v>49</v>
      </c>
      <c r="I455" s="22" t="s">
        <v>376</v>
      </c>
      <c r="J455" s="22"/>
      <c r="K455" s="23">
        <v>45681</v>
      </c>
      <c r="L455" s="42">
        <v>32000</v>
      </c>
      <c r="M455" s="21" t="s">
        <v>79</v>
      </c>
      <c r="N455" s="21" t="s">
        <v>387</v>
      </c>
      <c r="O455" s="21" t="s">
        <v>69</v>
      </c>
      <c r="P455" s="21" t="s">
        <v>19</v>
      </c>
      <c r="Q455" s="22">
        <v>34124</v>
      </c>
      <c r="R455" s="21" t="s">
        <v>71</v>
      </c>
      <c r="S455" s="21" t="s">
        <v>107</v>
      </c>
      <c r="T455" s="21">
        <v>3136343770</v>
      </c>
      <c r="U455" s="21" t="s">
        <v>486</v>
      </c>
      <c r="V455" s="26" t="e">
        <f>IF(P455=#REF!,"DIPLOMADO EN ATENCION PRE-HOSPITALARIA",IF(P455=#REF!,"ACOMPAÑAMIENTO Y MANEJO DEL DUELO",IF(P455=#REF!,"ATENCION A VICTIMAS DE ATAQUE CON AGENTES QUIMICOS ",IF(P455=#REF!,"PRIMEROS AUXILIOS ",IF(P455=#REF!,"DIPLOMADO DE UNIDAD DE CUIDADOS INTENSIVOS (UCI)",IF(P455=#REF!,"MODELO DE ATENCION PARA EVENTOS EMERGENTES EN SALUD MENTAL (CODIGO VERDE)",IF(P455=#REF!,"HUMANIZACION EN EL SERVICIO DE LA SALUD Y BUENAS PRACTICAS EN PACIENTE ",IF(P455=#REF!,"CLINICA DE HERIDAS ",IF(P455=#REF!,"TOMA DE CITOLOGIA CERVICO VAGINAL ",IF(P455=#REF!,"SOPORTE CARDIOVASCULAR AVANZADO (ACLS) ",IF(P455=#REF!,"CAMILLERO ",IF(P455=#REF!,"TOMA DE MUESTRAS Y LABORATORIO ",IF(P455=#REF!,"SOPORTE VITAL BASICO (BLS)",IF(P455=#REF!,"ATENCION A VICTIMAS DE VIOLENCIA SEXUAL ",IF(P455=#REF!,"PROGRAMADO AMPLIADO DE INMUNIZACION (PAI - COVID 19)",IF(P455=#REF!,"ATENCION INTEGRAL EN ENFERMEDADES PREVALENTES EN PRIMERA INFANCIA (AIEPI)",IF(P455=#REF!,"ADMINISTRACION DE MEDICAMENTOS, INYECTOLOGIA  Y CANALIZACION ",IF(P455=#REF!,"OPERADOR DE VEHICULOS DE EMERGENCIA (OVE)",IF(P455=#REF!,"INSTITUCIONES AMIGAS DE LA MUJER Y LA INFANCIA (IAMI)",IF(P455=#REF!,"CUIDADO DEL DONANTE DE ORGANOS",IF(P455=#REF!,"ATENCION A VICTIMAS POR VIOLENCIA DE GENERO",IF(P455=#REF!,"IGUALDAD DE GENERO EN LA SALUD",IF(P455=#REF!,"BRIGADA DE EMERGENCIA",IF(P455=#REF!,"MANEJO DEL DOLOR Y CUIDADOS PALIATIVOS",IF(P455=#REF!,"TOMA DE MUESTRAS Y LABORATORIO POCT",IF(P455=#REF!,"IMPLANTE SUBDERMICO DE DISPOSITIVO INTRAUTERINO",IF(P455=#REF!,"SALUD MENTAL",IF(P455=#REF!,"PRIMEROS AUXILIOS PSICOLOGICOS",IF(P455=#REF!,"ATENCION A VICTIMAS POR CONFLICTO ARMADO",IF(P455=#REF!,"MANIPULACION DE ALIMENTOS Y BPM",IF(P455=#REF!,"ATENCION A PERSONAS CON DISCAPACIDAD",IF(P455=#REF!,"CUIDADO INTEGRAL DEL PACIENTE ADULTO",IF(P455=#REF!,"MANEJO DEFENSIVO",IF(P455=#REF!,"SOPORTE CARDIOVASCULAR AVANZADO NEONATAL",IF(P455=#REF!,"SEGURIDAD DEL PACIENTE",IF(P455=#REF!,"MANEJO DE RESIDUOS HOSPITALARIOS"))))))))))))))))))))))))))))))))))))</f>
        <v>#REF!</v>
      </c>
      <c r="W455" s="26" t="str">
        <f>CONCATENATE(E455," ",F455," ",C455," ",D455)</f>
        <v>Sthefania Daniela Alvarado Piaun</v>
      </c>
      <c r="X455" s="26" t="str">
        <f t="shared" si="33"/>
        <v>Sthefania Daniela Alvarado Piaun</v>
      </c>
      <c r="Y455" s="26" t="str">
        <f>CONCATENATE(W455,"-",B455,"-",P455)</f>
        <v>Sthefania Daniela Alvarado Piaun-1085931728-BLS</v>
      </c>
    </row>
    <row r="456" spans="1:25" x14ac:dyDescent="0.2">
      <c r="A456" s="20">
        <v>203</v>
      </c>
      <c r="B456" s="21">
        <v>1087673002</v>
      </c>
      <c r="C456" s="21" t="s">
        <v>487</v>
      </c>
      <c r="D456" s="21" t="s">
        <v>86</v>
      </c>
      <c r="E456" s="21" t="s">
        <v>50</v>
      </c>
      <c r="F456" s="21" t="s">
        <v>488</v>
      </c>
      <c r="G456" s="21">
        <v>24</v>
      </c>
      <c r="H456" s="21" t="s">
        <v>49</v>
      </c>
      <c r="I456" s="22" t="s">
        <v>377</v>
      </c>
      <c r="J456" s="22"/>
      <c r="K456" s="23">
        <v>45681</v>
      </c>
      <c r="L456" s="42">
        <v>65000</v>
      </c>
      <c r="M456" s="21" t="s">
        <v>79</v>
      </c>
      <c r="N456" s="21" t="s">
        <v>387</v>
      </c>
      <c r="O456" s="21" t="s">
        <v>69</v>
      </c>
      <c r="P456" s="21" t="s">
        <v>36</v>
      </c>
      <c r="Q456" s="22">
        <v>32764</v>
      </c>
      <c r="R456" s="21" t="s">
        <v>71</v>
      </c>
      <c r="S456" s="21" t="s">
        <v>107</v>
      </c>
      <c r="T456" s="21">
        <v>3115494077</v>
      </c>
      <c r="U456" s="21" t="s">
        <v>489</v>
      </c>
      <c r="V456" s="26" t="e">
        <f>IF(P456=#REF!,"DIPLOMADO EN ATENCION PRE-HOSPITALARIA",IF(P456=#REF!,"ACOMPAÑAMIENTO Y MANEJO DEL DUELO",IF(P456=#REF!,"ATENCION A VICTIMAS DE ATAQUE CON AGENTES QUIMICOS ",IF(P456=#REF!,"PRIMEROS AUXILIOS ",IF(P456=#REF!,"DIPLOMADO DE UNIDAD DE CUIDADOS INTENSIVOS (UCI)",IF(P456=#REF!,"MODELO DE ATENCION PARA EVENTOS EMERGENTES EN SALUD MENTAL (CODIGO VERDE)",IF(P456=#REF!,"HUMANIZACION EN EL SERVICIO DE LA SALUD Y BUENAS PRACTICAS EN PACIENTE ",IF(P456=#REF!,"CLINICA DE HERIDAS ",IF(P456=#REF!,"TOMA DE CITOLOGIA CERVICO VAGINAL ",IF(P456=#REF!,"SOPORTE CARDIOVASCULAR AVANZADO (ACLS) ",IF(P456=#REF!,"CAMILLERO ",IF(P456=#REF!,"TOMA DE MUESTRAS Y LABORATORIO ",IF(P456=#REF!,"SOPORTE VITAL BASICO (BLS)",IF(P456=#REF!,"ATENCION A VICTIMAS DE VIOLENCIA SEXUAL ",IF(P456=#REF!,"PROGRAMADO AMPLIADO DE INMUNIZACION (PAI - COVID 19)",IF(P456=#REF!,"ATENCION INTEGRAL EN ENFERMEDADES PREVALENTES EN PRIMERA INFANCIA (AIEPI)",IF(P456=#REF!,"ADMINISTRACION DE MEDICAMENTOS, INYECTOLOGIA  Y CANALIZACION ",IF(P456=#REF!,"OPERADOR DE VEHICULOS DE EMERGENCIA (OVE)",IF(P456=#REF!,"INSTITUCIONES AMIGAS DE LA MUJER Y LA INFANCIA (IAMI)",IF(P456=#REF!,"CUIDADO DEL DONANTE DE ORGANOS",IF(P456=#REF!,"ATENCION A VICTIMAS POR VIOLENCIA DE GENERO",IF(P456=#REF!,"IGUALDAD DE GENERO EN LA SALUD",IF(P456=#REF!,"BRIGADA DE EMERGENCIA",IF(P456=#REF!,"MANEJO DEL DOLOR Y CUIDADOS PALIATIVOS",IF(P456=#REF!,"TOMA DE MUESTRAS Y LABORATORIO POCT",IF(P456=#REF!,"IMPLANTE SUBDERMICO DE DISPOSITIVO INTRAUTERINO",IF(P456=#REF!,"SALUD MENTAL",IF(P456=#REF!,"PRIMEROS AUXILIOS PSICOLOGICOS",IF(P456=#REF!,"ATENCION A VICTIMAS POR CONFLICTO ARMADO",IF(P456=#REF!,"MANIPULACION DE ALIMENTOS Y BPM",IF(P456=#REF!,"ATENCION A PERSONAS CON DISCAPACIDAD",IF(P456=#REF!,"CUIDADO INTEGRAL DEL PACIENTE ADULTO",IF(P456=#REF!,"MANEJO DEFENSIVO",IF(P456=#REF!,"SOPORTE CARDIOVASCULAR AVANZADO NEONATAL",IF(P456=#REF!,"SEGURIDAD DEL PACIENTE",IF(P456=#REF!,"MANEJO DE RESIDUOS HOSPITALARIOS"))))))))))))))))))))))))))))))))))))</f>
        <v>#REF!</v>
      </c>
      <c r="W456" s="26" t="str">
        <f>CONCATENATE(E456," ",F456," ",C456," ",D456)</f>
        <v>Elizabeth Del Rosario Bastidas Rosales</v>
      </c>
      <c r="X456" s="26" t="str">
        <f t="shared" si="33"/>
        <v>Elizabeth Del Rosario Bastidas Rosales</v>
      </c>
      <c r="Y456" s="26" t="str">
        <f>CONCATENATE(W456,"-",B456,"-",P456)</f>
        <v>Elizabeth Del Rosario Bastidas Rosales-1087673002-PRIMEROS AUXILIOS P</v>
      </c>
    </row>
    <row r="457" spans="1:25" x14ac:dyDescent="0.2">
      <c r="A457" s="36">
        <v>204</v>
      </c>
      <c r="B457" s="37">
        <v>1085338867</v>
      </c>
      <c r="C457" s="37" t="s">
        <v>164</v>
      </c>
      <c r="D457" s="37" t="s">
        <v>80</v>
      </c>
      <c r="E457" s="37" t="s">
        <v>490</v>
      </c>
      <c r="F457" s="37" t="s">
        <v>176</v>
      </c>
      <c r="G457" s="37">
        <v>25</v>
      </c>
      <c r="H457" s="37" t="s">
        <v>49</v>
      </c>
      <c r="I457" s="38" t="s">
        <v>376</v>
      </c>
      <c r="J457" s="38"/>
      <c r="K457" s="23">
        <v>45688</v>
      </c>
      <c r="L457" s="44">
        <v>32000</v>
      </c>
      <c r="M457" s="37" t="s">
        <v>106</v>
      </c>
      <c r="N457" s="37" t="s">
        <v>387</v>
      </c>
      <c r="O457" s="37" t="s">
        <v>95</v>
      </c>
      <c r="P457" s="37" t="s">
        <v>23</v>
      </c>
      <c r="Q457" s="38">
        <v>35834</v>
      </c>
      <c r="R457" s="37" t="s">
        <v>71</v>
      </c>
      <c r="S457" s="37" t="s">
        <v>107</v>
      </c>
      <c r="T457" s="37">
        <v>3122628393</v>
      </c>
      <c r="U457" s="37" t="s">
        <v>491</v>
      </c>
      <c r="V457" s="41" t="e">
        <f>IF(P457=#REF!,"DIPLOMADO EN ATENCION PRE-HOSPITALARIA",IF(P457=#REF!,"ACOMPAÑAMIENTO Y MANEJO DEL DUELO",IF(P457=#REF!,"ATENCION A VICTIMAS DE ATAQUE CON AGENTES QUIMICOS ",IF(P457=#REF!,"PRIMEROS AUXILIOS ",IF(P457=#REF!,"DIPLOMADO DE UNIDAD DE CUIDADOS INTENSIVOS (UCI)",IF(P457=#REF!,"MODELO DE ATENCION PARA EVENTOS EMERGENTES EN SALUD MENTAL (CODIGO VERDE)",IF(P457=#REF!,"HUMANIZACION EN EL SERVICIO DE LA SALUD Y BUENAS PRACTICAS EN PACIENTE ",IF(P457=#REF!,"CLINICA DE HERIDAS ",IF(P457=#REF!,"TOMA DE CITOLOGIA CERVICO VAGINAL ",IF(P457=#REF!,"SOPORTE CARDIOVASCULAR AVANZADO (ACLS) ",IF(P457=#REF!,"CAMILLERO ",IF(P457=#REF!,"TOMA DE MUESTRAS Y LABORATORIO ",IF(P457=#REF!,"SOPORTE VITAL BASICO (BLS)",IF(P457=#REF!,"ATENCION A VICTIMAS DE VIOLENCIA SEXUAL ",IF(P457=#REF!,"PROGRAMADO AMPLIADO DE INMUNIZACION (PAI - COVID 19)",IF(P457=#REF!,"ATENCION INTEGRAL EN ENFERMEDADES PREVALENTES EN PRIMERA INFANCIA (AIEPI)",IF(P457=#REF!,"ADMINISTRACION DE MEDICAMENTOS, INYECTOLOGIA  Y CANALIZACION ",IF(P457=#REF!,"OPERADOR DE VEHICULOS DE EMERGENCIA (OVE)",IF(P457=#REF!,"INSTITUCIONES AMIGAS DE LA MUJER Y LA INFANCIA (IAMI)",IF(P457=#REF!,"CUIDADO DEL DONANTE DE ORGANOS",IF(P457=#REF!,"ATENCION A VICTIMAS POR VIOLENCIA DE GENERO",IF(P457=#REF!,"IGUALDAD DE GENERO EN LA SALUD",IF(P457=#REF!,"BRIGADA DE EMERGENCIA",IF(P457=#REF!,"MANEJO DEL DOLOR Y CUIDADOS PALIATIVOS",IF(P457=#REF!,"TOMA DE MUESTRAS Y LABORATORIO POCT",IF(P457=#REF!,"IMPLANTE SUBDERMICO DE DISPOSITIVO INTRAUTERINO",IF(P457=#REF!,"SALUD MENTAL",IF(P457=#REF!,"PRIMEROS AUXILIOS PSICOLOGICOS",IF(P457=#REF!,"ATENCION A VICTIMAS POR CONFLICTO ARMADO",IF(P457=#REF!,"MANIPULACION DE ALIMENTOS Y BPM",IF(P457=#REF!,"ATENCION A PERSONAS CON DISCAPACIDAD",IF(P457=#REF!,"CUIDADO INTEGRAL DEL PACIENTE ADULTO",IF(P457=#REF!,"MANEJO DEFENSIVO",IF(P457=#REF!,"SOPORTE CARDIOVASCULAR AVANZADO NEONATAL",IF(P457=#REF!,"SEGURIDAD DEL PACIENTE",IF(P457=#REF!,"MANEJO DE RESIDUOS HOSPITALARIOS"))))))))))))))))))))))))))))))))))))</f>
        <v>#REF!</v>
      </c>
      <c r="W457" s="41" t="str">
        <f>CONCATENATE(E457," ",F457," ",C457," ",D457)</f>
        <v>Brigid Tatiana Pantoja Erazo</v>
      </c>
      <c r="X457" s="41" t="str">
        <f t="shared" si="33"/>
        <v>Brigid Tatiana Pantoja Erazo</v>
      </c>
      <c r="Y457" s="41" t="str">
        <f>CONCATENATE(W457,"-",B457,"-",P457)</f>
        <v>Brigid Tatiana Pantoja Erazo-1085338867-HUMANIZACION</v>
      </c>
    </row>
    <row r="458" spans="1:25" s="19" customFormat="1" x14ac:dyDescent="0.2">
      <c r="A458" s="20">
        <v>205</v>
      </c>
      <c r="B458" s="21">
        <v>1080040869</v>
      </c>
      <c r="C458" s="21" t="s">
        <v>492</v>
      </c>
      <c r="D458" s="21" t="s">
        <v>493</v>
      </c>
      <c r="E458" s="21" t="s">
        <v>494</v>
      </c>
      <c r="F458" s="21" t="s">
        <v>495</v>
      </c>
      <c r="G458" s="21">
        <v>25</v>
      </c>
      <c r="H458" s="21" t="s">
        <v>49</v>
      </c>
      <c r="I458" s="22" t="s">
        <v>376</v>
      </c>
      <c r="J458" s="22"/>
      <c r="K458" s="23">
        <v>45682</v>
      </c>
      <c r="L458" s="42">
        <v>35000</v>
      </c>
      <c r="M458" s="21" t="s">
        <v>79</v>
      </c>
      <c r="N458" s="21" t="s">
        <v>387</v>
      </c>
      <c r="O458" s="21" t="s">
        <v>77</v>
      </c>
      <c r="P458" s="21" t="s">
        <v>19</v>
      </c>
      <c r="Q458" s="22"/>
      <c r="R458" s="21" t="s">
        <v>70</v>
      </c>
      <c r="S458" s="21"/>
      <c r="T458" s="21"/>
      <c r="U458" s="21"/>
      <c r="V458" s="26" t="e">
        <f>IF(P458=#REF!,"DIPLOMADO EN ATENCION PRE-HOSPITALARIA",IF(P458=#REF!,"ACOMPAÑAMIENTO Y MANEJO DEL DUELO",IF(P458=#REF!,"ATENCION A VICTIMAS DE ATAQUE CON AGENTES QUIMICOS ",IF(P458=#REF!,"PRIMEROS AUXILIOS ",IF(P458=#REF!,"DIPLOMADO DE UNIDAD DE CUIDADOS INTENSIVOS (UCI)",IF(P458=#REF!,"MODELO DE ATENCION PARA EVENTOS EMERGENTES EN SALUD MENTAL (CODIGO VERDE)",IF(P458=#REF!,"HUMANIZACION EN EL SERVICIO DE LA SALUD Y BUENAS PRACTICAS EN PACIENTE ",IF(P458=#REF!,"CLINICA DE HERIDAS ",IF(P458=#REF!,"TOMA DE CITOLOGIA CERVICO VAGINAL ",IF(P458=#REF!,"SOPORTE CARDIOVASCULAR AVANZADO (ACLS) ",IF(P458=#REF!,"CAMILLERO ",IF(P458=#REF!,"TOMA DE MUESTRAS Y LABORATORIO ",IF(P458=#REF!,"SOPORTE VITAL BASICO (BLS)",IF(P458=#REF!,"ATENCION A VICTIMAS DE VIOLENCIA SEXUAL ",IF(P458=#REF!,"PROGRAMADO AMPLIADO DE INMUNIZACION (PAI - COVID 19)",IF(P458=#REF!,"ATENCION INTEGRAL EN ENFERMEDADES PREVALENTES EN PRIMERA INFANCIA (AIEPI)",IF(P458=#REF!,"ADMINISTRACION DE MEDICAMENTOS, INYECTOLOGIA  Y CANALIZACION ",IF(P458=#REF!,"OPERADOR DE VEHICULOS DE EMERGENCIA (OVE)",IF(P458=#REF!,"INSTITUCIONES AMIGAS DE LA MUJER Y LA INFANCIA (IAMI)",IF(P458=#REF!,"CUIDADO DEL DONANTE DE ORGANOS",IF(P458=#REF!,"ATENCION A VICTIMAS POR VIOLENCIA DE GENERO",IF(P458=#REF!,"IGUALDAD DE GENERO EN LA SALUD",IF(P458=#REF!,"BRIGADA DE EMERGENCIA",IF(P458=#REF!,"MANEJO DEL DOLOR Y CUIDADOS PALIATIVOS",IF(P458=#REF!,"TOMA DE MUESTRAS Y LABORATORIO POCT",IF(P458=#REF!,"IMPLANTE SUBDERMICO DE DISPOSITIVO INTRAUTERINO",IF(P458=#REF!,"SALUD MENTAL",IF(P458=#REF!,"PRIMEROS AUXILIOS PSICOLOGICOS",IF(P458=#REF!,"ATENCION A VICTIMAS POR CONFLICTO ARMADO",IF(P458=#REF!,"MANIPULACION DE ALIMENTOS Y BPM",IF(P458=#REF!,"ATENCION A PERSONAS CON DISCAPACIDAD",IF(P458=#REF!,"CUIDADO INTEGRAL DEL PACIENTE ADULTO",IF(P458=#REF!,"MANEJO DEFENSIVO",IF(P458=#REF!,"SOPORTE CARDIOVASCULAR AVANZADO NEONATAL",IF(P458=#REF!,"SEGURIDAD DEL PACIENTE",IF(P458=#REF!,"MANEJO DE RESIDUOS HOSPITALARIOS"))))))))))))))))))))))))))))))))))))</f>
        <v>#REF!</v>
      </c>
      <c r="W458" s="26" t="str">
        <f>CONCATENATE(E458," ",F458," ",C458," ",D458)</f>
        <v>Jhonier Andres Jojoa Chagueza</v>
      </c>
      <c r="X458" s="26" t="str">
        <f t="shared" si="33"/>
        <v>Jhonier Andres Jojoa Chagueza</v>
      </c>
      <c r="Y458" s="26" t="str">
        <f>CONCATENATE(W458,"-",B458,"-",P458)</f>
        <v>Jhonier Andres Jojoa Chagueza-1080040869-BLS</v>
      </c>
    </row>
    <row r="459" spans="1:25" s="19" customFormat="1" x14ac:dyDescent="0.2">
      <c r="A459" s="20">
        <v>206</v>
      </c>
      <c r="B459" s="21">
        <v>1004535393</v>
      </c>
      <c r="C459" s="21" t="s">
        <v>496</v>
      </c>
      <c r="D459" s="21" t="s">
        <v>276</v>
      </c>
      <c r="E459" s="21" t="s">
        <v>408</v>
      </c>
      <c r="F459" s="21" t="s">
        <v>146</v>
      </c>
      <c r="G459" s="21">
        <v>27</v>
      </c>
      <c r="H459" s="21" t="s">
        <v>49</v>
      </c>
      <c r="I459" s="22" t="s">
        <v>377</v>
      </c>
      <c r="J459" s="22"/>
      <c r="K459" s="23">
        <v>45684</v>
      </c>
      <c r="L459" s="42">
        <v>65000</v>
      </c>
      <c r="M459" s="21" t="s">
        <v>133</v>
      </c>
      <c r="N459" s="21" t="s">
        <v>387</v>
      </c>
      <c r="O459" s="21" t="s">
        <v>69</v>
      </c>
      <c r="P459" s="21" t="s">
        <v>29</v>
      </c>
      <c r="Q459" s="22">
        <v>37532</v>
      </c>
      <c r="R459" s="21" t="s">
        <v>71</v>
      </c>
      <c r="S459" s="21" t="s">
        <v>108</v>
      </c>
      <c r="T459" s="21">
        <v>3126891936</v>
      </c>
      <c r="U459" s="21" t="s">
        <v>497</v>
      </c>
      <c r="V459" s="26" t="e">
        <f>IF(P459=#REF!,"DIPLOMADO EN ATENCION PRE-HOSPITALARIA",IF(P459=#REF!,"ACOMPAÑAMIENTO Y MANEJO DEL DUELO",IF(P459=#REF!,"ATENCION A VICTIMAS DE ATAQUE CON AGENTES QUIMICOS ",IF(P459=#REF!,"PRIMEROS AUXILIOS ",IF(P459=#REF!,"DIPLOMADO DE UNIDAD DE CUIDADOS INTENSIVOS (UCI)",IF(P459=#REF!,"MODELO DE ATENCION PARA EVENTOS EMERGENTES EN SALUD MENTAL (CODIGO VERDE)",IF(P459=#REF!,"HUMANIZACION EN EL SERVICIO DE LA SALUD Y BUENAS PRACTICAS EN PACIENTE ",IF(P459=#REF!,"CLINICA DE HERIDAS ",IF(P459=#REF!,"TOMA DE CITOLOGIA CERVICO VAGINAL ",IF(P459=#REF!,"SOPORTE CARDIOVASCULAR AVANZADO (ACLS) ",IF(P459=#REF!,"CAMILLERO ",IF(P459=#REF!,"TOMA DE MUESTRAS Y LABORATORIO ",IF(P459=#REF!,"SOPORTE VITAL BASICO (BLS)",IF(P459=#REF!,"ATENCION A VICTIMAS DE VIOLENCIA SEXUAL ",IF(P459=#REF!,"PROGRAMADO AMPLIADO DE INMUNIZACION (PAI - COVID 19)",IF(P459=#REF!,"ATENCION INTEGRAL EN ENFERMEDADES PREVALENTES EN PRIMERA INFANCIA (AIEPI)",IF(P459=#REF!,"ADMINISTRACION DE MEDICAMENTOS, INYECTOLOGIA  Y CANALIZACION ",IF(P459=#REF!,"OPERADOR DE VEHICULOS DE EMERGENCIA (OVE)",IF(P459=#REF!,"INSTITUCIONES AMIGAS DE LA MUJER Y LA INFANCIA (IAMI)",IF(P459=#REF!,"CUIDADO DEL DONANTE DE ORGANOS",IF(P459=#REF!,"ATENCION A VICTIMAS POR VIOLENCIA DE GENERO",IF(P459=#REF!,"IGUALDAD DE GENERO EN LA SALUD",IF(P459=#REF!,"BRIGADA DE EMERGENCIA",IF(P459=#REF!,"MANEJO DEL DOLOR Y CUIDADOS PALIATIVOS",IF(P459=#REF!,"TOMA DE MUESTRAS Y LABORATORIO POCT",IF(P459=#REF!,"IMPLANTE SUBDERMICO DE DISPOSITIVO INTRAUTERINO",IF(P459=#REF!,"SALUD MENTAL",IF(P459=#REF!,"PRIMEROS AUXILIOS PSICOLOGICOS",IF(P459=#REF!,"ATENCION A VICTIMAS POR CONFLICTO ARMADO",IF(P459=#REF!,"MANIPULACION DE ALIMENTOS Y BPM",IF(P459=#REF!,"ATENCION A PERSONAS CON DISCAPACIDAD",IF(P459=#REF!,"CUIDADO INTEGRAL DEL PACIENTE ADULTO",IF(P459=#REF!,"MANEJO DEFENSIVO",IF(P459=#REF!,"SOPORTE CARDIOVASCULAR AVANZADO NEONATAL",IF(P459=#REF!,"SEGURIDAD DEL PACIENTE",IF(P459=#REF!,"MANEJO DE RESIDUOS HOSPITALARIOS"))))))))))))))))))))))))))))))))))))</f>
        <v>#REF!</v>
      </c>
      <c r="W459" s="26" t="str">
        <f>CONCATENATE(E459," ",F459," ",C459," ",D459)</f>
        <v>Angie Daniela Linares Ricaurte</v>
      </c>
      <c r="X459" s="26" t="str">
        <f t="shared" si="33"/>
        <v>Angie Daniela Linares Ricaurte</v>
      </c>
      <c r="Y459" s="26" t="str">
        <f>CONCATENATE(W459,"-",B459,"-",P459)</f>
        <v>Angie Daniela Linares Ricaurte-1004535393-ADMON DE MEDICAMENTOS</v>
      </c>
    </row>
    <row r="460" spans="1:25" s="19" customFormat="1" x14ac:dyDescent="0.2">
      <c r="A460" s="20">
        <v>207</v>
      </c>
      <c r="B460" s="21">
        <v>1085308404</v>
      </c>
      <c r="C460" s="21" t="s">
        <v>221</v>
      </c>
      <c r="D460" s="21" t="s">
        <v>191</v>
      </c>
      <c r="E460" s="21" t="s">
        <v>499</v>
      </c>
      <c r="F460" s="21" t="s">
        <v>500</v>
      </c>
      <c r="G460" s="21">
        <v>27</v>
      </c>
      <c r="H460" s="21" t="s">
        <v>49</v>
      </c>
      <c r="I460" s="21" t="s">
        <v>377</v>
      </c>
      <c r="J460" s="21"/>
      <c r="K460" s="23">
        <v>45684</v>
      </c>
      <c r="L460" s="42">
        <v>65000</v>
      </c>
      <c r="M460" s="21" t="s">
        <v>133</v>
      </c>
      <c r="N460" s="21" t="s">
        <v>387</v>
      </c>
      <c r="O460" s="21" t="s">
        <v>69</v>
      </c>
      <c r="P460" s="21" t="s">
        <v>29</v>
      </c>
      <c r="Q460" s="22">
        <v>34262</v>
      </c>
      <c r="R460" s="21" t="s">
        <v>71</v>
      </c>
      <c r="S460" s="28" t="s">
        <v>501</v>
      </c>
      <c r="T460" s="21">
        <v>3154996139</v>
      </c>
      <c r="U460" s="21" t="s">
        <v>502</v>
      </c>
      <c r="V460" s="26" t="e">
        <f>IF(P460=#REF!,"DIPLOMADO EN ATENCION PRE-HOSPITALARIA",IF(P460=#REF!,"ACOMPAÑAMIENTO Y MANEJO DEL DUELO",IF(P460=#REF!,"ATENCION A VICTIMAS DE ATAQUE CON AGENTES QUIMICOS ",IF(P460=#REF!,"PRIMEROS AUXILIOS ",IF(P460=#REF!,"DIPLOMADO DE UNIDAD DE CUIDADOS INTENSIVOS (UCI)",IF(P460=#REF!,"MODELO DE ATENCION PARA EVENTOS EMERGENTES EN SALUD MENTAL (CODIGO VERDE)",IF(P460=#REF!,"HUMANIZACION EN EL SERVICIO DE LA SALUD Y BUENAS PRACTICAS EN PACIENTE ",IF(P460=#REF!,"CLINICA DE HERIDAS ",IF(P460=#REF!,"TOMA DE CITOLOGIA CERVICO VAGINAL ",IF(P460=#REF!,"SOPORTE CARDIOVASCULAR AVANZADO (ACLS) ",IF(P460=#REF!,"CAMILLERO ",IF(P460=#REF!,"TOMA DE MUESTRAS Y LABORATORIO ",IF(P460=#REF!,"SOPORTE VITAL BASICO (BLS)",IF(P460=#REF!,"ATENCION A VICTIMAS DE VIOLENCIA SEXUAL ",IF(P460=#REF!,"PROGRAMADO AMPLIADO DE INMUNIZACION (PAI - COVID 19)",IF(P460=#REF!,"ATENCION INTEGRAL EN ENFERMEDADES PREVALENTES EN PRIMERA INFANCIA (AIEPI)",IF(P460=#REF!,"ADMINISTRACION DE MEDICAMENTOS, INYECTOLOGIA  Y CANALIZACION ",IF(P460=#REF!,"OPERADOR DE VEHICULOS DE EMERGENCIA (OVE)",IF(P460=#REF!,"INSTITUCIONES AMIGAS DE LA MUJER Y LA INFANCIA (IAMI)",IF(P460=#REF!,"CUIDADO DEL DONANTE DE ORGANOS",IF(P460=#REF!,"ATENCION A VICTIMAS POR VIOLENCIA DE GENERO",IF(P460=#REF!,"IGUALDAD DE GENERO EN LA SALUD",IF(P460=#REF!,"BRIGADA DE EMERGENCIA",IF(P460=#REF!,"MANEJO DEL DOLOR Y CUIDADOS PALIATIVOS",IF(P460=#REF!,"TOMA DE MUESTRAS Y LABORATORIO POCT",IF(P460=#REF!,"IMPLANTE SUBDERMICO DE DISPOSITIVO INTRAUTERINO",IF(P460=#REF!,"SALUD MENTAL",IF(P460=#REF!,"PRIMEROS AUXILIOS PSICOLOGICOS",IF(P460=#REF!,"ATENCION A VICTIMAS POR CONFLICTO ARMADO",IF(P460=#REF!,"MANIPULACION DE ALIMENTOS Y BPM",IF(P460=#REF!,"ATENCION A PERSONAS CON DISCAPACIDAD",IF(P460=#REF!,"CUIDADO INTEGRAL DEL PACIENTE ADULTO",IF(P460=#REF!,"MANEJO DEFENSIVO",IF(P460=#REF!,"SOPORTE CARDIOVASCULAR AVANZADO NEONATAL",IF(P460=#REF!,"SEGURIDAD DEL PACIENTE",IF(P460=#REF!,"MANEJO DE RESIDUOS HOSPITALARIOS"))))))))))))))))))))))))))))))))))))</f>
        <v>#REF!</v>
      </c>
      <c r="W460" s="26" t="str">
        <f>CONCATENATE(E460," ",F460," ",C460," ",D460)</f>
        <v>Raphaela Massiel Martinez Lopez</v>
      </c>
      <c r="X460" s="26" t="str">
        <f t="shared" si="33"/>
        <v>Raphaela Massiel Martinez Lopez</v>
      </c>
      <c r="Y460" s="26" t="str">
        <f>CONCATENATE(W460,"-",B460,"-",P460)</f>
        <v>Raphaela Massiel Martinez Lopez-1085308404-ADMON DE MEDICAMENTOS</v>
      </c>
    </row>
    <row r="461" spans="1:25" x14ac:dyDescent="0.2">
      <c r="A461" s="20">
        <v>208</v>
      </c>
      <c r="B461" s="21">
        <v>1007282044</v>
      </c>
      <c r="C461" s="21" t="s">
        <v>247</v>
      </c>
      <c r="D461" s="21" t="s">
        <v>487</v>
      </c>
      <c r="E461" s="21" t="s">
        <v>505</v>
      </c>
      <c r="F461" s="21" t="s">
        <v>506</v>
      </c>
      <c r="G461" s="21">
        <v>27</v>
      </c>
      <c r="H461" s="21" t="s">
        <v>49</v>
      </c>
      <c r="I461" s="21" t="s">
        <v>376</v>
      </c>
      <c r="J461" s="21"/>
      <c r="K461" s="23">
        <v>45688</v>
      </c>
      <c r="L461" s="44">
        <v>32000</v>
      </c>
      <c r="M461" s="21" t="s">
        <v>106</v>
      </c>
      <c r="N461" s="21" t="s">
        <v>387</v>
      </c>
      <c r="O461" s="21" t="s">
        <v>95</v>
      </c>
      <c r="P461" s="21" t="s">
        <v>23</v>
      </c>
      <c r="Q461" s="22">
        <v>34688</v>
      </c>
      <c r="R461" s="21" t="s">
        <v>71</v>
      </c>
      <c r="S461" s="28" t="s">
        <v>507</v>
      </c>
      <c r="T461" s="21">
        <v>3135188936</v>
      </c>
      <c r="U461" s="21" t="s">
        <v>508</v>
      </c>
      <c r="V461" s="26" t="e">
        <f>IF(P461=#REF!,"DIPLOMADO EN ATENCION PRE-HOSPITALARIA",IF(P461=#REF!,"ACOMPAÑAMIENTO Y MANEJO DEL DUELO",IF(P461=#REF!,"ATENCION A VICTIMAS DE ATAQUE CON AGENTES QUIMICOS ",IF(P461=#REF!,"PRIMEROS AUXILIOS ",IF(P461=#REF!,"DIPLOMADO DE UNIDAD DE CUIDADOS INTENSIVOS (UCI)",IF(P461=#REF!,"MODELO DE ATENCION PARA EVENTOS EMERGENTES EN SALUD MENTAL (CODIGO VERDE)",IF(P461=#REF!,"HUMANIZACION EN EL SERVICIO DE LA SALUD Y BUENAS PRACTICAS EN PACIENTE ",IF(P461=#REF!,"CLINICA DE HERIDAS ",IF(P461=#REF!,"TOMA DE CITOLOGIA CERVICO VAGINAL ",IF(P461=#REF!,"SOPORTE CARDIOVASCULAR AVANZADO (ACLS) ",IF(P461=#REF!,"CAMILLERO ",IF(P461=#REF!,"TOMA DE MUESTRAS Y LABORATORIO ",IF(P461=#REF!,"SOPORTE VITAL BASICO (BLS)",IF(P461=#REF!,"ATENCION A VICTIMAS DE VIOLENCIA SEXUAL ",IF(P461=#REF!,"PROGRAMADO AMPLIADO DE INMUNIZACION (PAI - COVID 19)",IF(P461=#REF!,"ATENCION INTEGRAL EN ENFERMEDADES PREVALENTES EN PRIMERA INFANCIA (AIEPI)",IF(P461=#REF!,"ADMINISTRACION DE MEDICAMENTOS, INYECTOLOGIA  Y CANALIZACION ",IF(P461=#REF!,"OPERADOR DE VEHICULOS DE EMERGENCIA (OVE)",IF(P461=#REF!,"INSTITUCIONES AMIGAS DE LA MUJER Y LA INFANCIA (IAMI)",IF(P461=#REF!,"CUIDADO DEL DONANTE DE ORGANOS",IF(P461=#REF!,"ATENCION A VICTIMAS POR VIOLENCIA DE GENERO",IF(P461=#REF!,"IGUALDAD DE GENERO EN LA SALUD",IF(P461=#REF!,"BRIGADA DE EMERGENCIA",IF(P461=#REF!,"MANEJO DEL DOLOR Y CUIDADOS PALIATIVOS",IF(P461=#REF!,"TOMA DE MUESTRAS Y LABORATORIO POCT",IF(P461=#REF!,"IMPLANTE SUBDERMICO DE DISPOSITIVO INTRAUTERINO",IF(P461=#REF!,"SALUD MENTAL",IF(P461=#REF!,"PRIMEROS AUXILIOS PSICOLOGICOS",IF(P461=#REF!,"ATENCION A VICTIMAS POR CONFLICTO ARMADO",IF(P461=#REF!,"MANIPULACION DE ALIMENTOS Y BPM",IF(P461=#REF!,"ATENCION A PERSONAS CON DISCAPACIDAD",IF(P461=#REF!,"CUIDADO INTEGRAL DEL PACIENTE ADULTO",IF(P461=#REF!,"MANEJO DEFENSIVO",IF(P461=#REF!,"SOPORTE CARDIOVASCULAR AVANZADO NEONATAL",IF(P461=#REF!,"SEGURIDAD DEL PACIENTE",IF(P461=#REF!,"MANEJO DE RESIDUOS HOSPITALARIOS"))))))))))))))))))))))))))))))))))))</f>
        <v>#REF!</v>
      </c>
      <c r="W461" s="26" t="str">
        <f>CONCATENATE(E461," ",F461," ",C461," ",D461)</f>
        <v>Alba Lorena Meneses Bastidas</v>
      </c>
      <c r="X461" s="26" t="str">
        <f t="shared" si="33"/>
        <v>Alba Lorena Meneses Bastidas</v>
      </c>
      <c r="Y461" s="26" t="str">
        <f>CONCATENATE(W461,"-",B461,"-",P461)</f>
        <v>Alba Lorena Meneses Bastidas-1007282044-HUMANIZACION</v>
      </c>
    </row>
    <row r="462" spans="1:25" x14ac:dyDescent="0.2">
      <c r="A462" s="20">
        <v>209</v>
      </c>
      <c r="B462" s="21">
        <v>1087423182</v>
      </c>
      <c r="C462" s="48" t="s">
        <v>257</v>
      </c>
      <c r="D462" s="48" t="s">
        <v>280</v>
      </c>
      <c r="E462" s="48" t="s">
        <v>278</v>
      </c>
      <c r="F462" s="48" t="s">
        <v>279</v>
      </c>
      <c r="G462" s="21">
        <v>27</v>
      </c>
      <c r="H462" s="21" t="s">
        <v>49</v>
      </c>
      <c r="I462" s="22" t="s">
        <v>376</v>
      </c>
      <c r="J462" s="22"/>
      <c r="K462" s="23">
        <v>45688</v>
      </c>
      <c r="L462" s="44">
        <v>32000</v>
      </c>
      <c r="M462" s="48" t="s">
        <v>106</v>
      </c>
      <c r="N462" s="21" t="s">
        <v>387</v>
      </c>
      <c r="O462" s="21" t="s">
        <v>95</v>
      </c>
      <c r="P462" s="21" t="s">
        <v>20</v>
      </c>
      <c r="Q462" s="22">
        <v>1130968</v>
      </c>
      <c r="R462" s="21" t="s">
        <v>71</v>
      </c>
      <c r="S462" s="25" t="s">
        <v>107</v>
      </c>
      <c r="T462" s="21">
        <v>3187600247</v>
      </c>
      <c r="U462" s="21" t="s">
        <v>281</v>
      </c>
      <c r="V462" s="26" t="e">
        <f>IF(P462=#REF!,"DIPLOMADO EN ATENCION PRE-HOSPITALARIA",IF(P462=#REF!,"ACOMPAÑAMIENTO Y MANEJO DEL DUELO",IF(P462=#REF!,"ATENCION A VICTIMAS DE ATAQUE CON AGENTES QUIMICOS ",IF(P462=#REF!,"PRIMEROS AUXILIOS ",IF(P462=#REF!,"DIPLOMADO DE UNIDAD DE CUIDADOS INTENSIVOS (UCI)",IF(P462=#REF!,"MODELO DE ATENCION PARA EVENTOS EMERGENTES EN SALUD MENTAL (CODIGO VERDE)",IF(P462=#REF!,"HUMANIZACION EN EL SERVICIO DE LA SALUD Y BUENAS PRACTICAS EN PACIENTE ",IF(P462=#REF!,"CLINICA DE HERIDAS ",IF(P462=#REF!,"TOMA DE CITOLOGIA CERVICO VAGINAL ",IF(P462=#REF!,"SOPORTE CARDIOVASCULAR AVANZADO (ACLS) ",IF(P462=#REF!,"CAMILLERO ",IF(P462=#REF!,"TOMA DE MUESTRAS Y LABORATORIO ",IF(P462=#REF!,"SOPORTE VITAL BASICO (BLS)",IF(P462=#REF!,"ATENCION A VICTIMAS DE VIOLENCIA SEXUAL ",IF(P462=#REF!,"PROGRAMADO AMPLIADO DE INMUNIZACION (PAI - COVID 19)",IF(P462=#REF!,"ATENCION INTEGRAL EN ENFERMEDADES PREVALENTES EN PRIMERA INFANCIA (AIEPI)",IF(P462=#REF!,"ADMINISTRACION DE MEDICAMENTOS, INYECTOLOGIA  Y CANALIZACION ",IF(P462=#REF!,"OPERADOR DE VEHICULOS DE EMERGENCIA (OVE)",IF(P462=#REF!,"INSTITUCIONES AMIGAS DE LA MUJER Y LA INFANCIA (IAMI)",IF(P462=#REF!,"CUIDADO DEL DONANTE DE ORGANOS",IF(P462=#REF!,"ATENCION A VICTIMAS POR VIOLENCIA DE GENERO",IF(P462=#REF!,"IGUALDAD DE GENERO EN LA SALUD",IF(P462=#REF!,"BRIGADA DE EMERGENCIA",IF(P462=#REF!,"MANEJO DEL DOLOR Y CUIDADOS PALIATIVOS",IF(P462=#REF!,"TOMA DE MUESTRAS Y LABORATORIO POCT",IF(P462=#REF!,"IMPLANTE SUBDERMICO DE DISPOSITIVO INTRAUTERINO",IF(P462=#REF!,"SALUD MENTAL",IF(P462=#REF!,"PRIMEROS AUXILIOS PSICOLOGICOS",IF(P462=#REF!,"ATENCION A VICTIMAS POR CONFLICTO ARMADO",IF(P462=#REF!,"MANIPULACION DE ALIMENTOS Y BPM",IF(P462=#REF!,"ATENCION A PERSONAS CON DISCAPACIDAD",IF(P462=#REF!,"CUIDADO INTEGRAL DEL PACIENTE ADULTO",IF(P462=#REF!,"MANEJO DEFENSIVO",IF(P462=#REF!,"SOPORTE CARDIOVASCULAR AVANZADO NEONATAL",IF(P462=#REF!,"SEGURIDAD DEL PACIENTE",IF(P462=#REF!,"MANEJO DE RESIDUOS HOSPITALARIOS"))))))))))))))))))))))))))))))))))))</f>
        <v>#REF!</v>
      </c>
      <c r="W462" s="26" t="str">
        <f>CONCATENATE(E462," ",F462," ",C462," ",D462)</f>
        <v>Darlin Karine Mora Cuaychar</v>
      </c>
      <c r="X462" s="26" t="str">
        <f t="shared" si="33"/>
        <v>Darlin Karine Mora Cuaychar</v>
      </c>
      <c r="Y462" s="26" t="str">
        <f>CONCATENATE(W462,"-",B462,"-",P462)</f>
        <v>Darlin Karine Mora Cuaychar-1087423182-DUELO</v>
      </c>
    </row>
    <row r="463" spans="1:25" x14ac:dyDescent="0.2">
      <c r="A463" s="20">
        <v>210</v>
      </c>
      <c r="B463" s="21">
        <v>1085245863</v>
      </c>
      <c r="C463" s="21" t="s">
        <v>192</v>
      </c>
      <c r="D463" s="21" t="s">
        <v>126</v>
      </c>
      <c r="E463" s="21" t="s">
        <v>509</v>
      </c>
      <c r="F463" s="21" t="s">
        <v>510</v>
      </c>
      <c r="G463" s="21">
        <v>27</v>
      </c>
      <c r="H463" s="21" t="s">
        <v>49</v>
      </c>
      <c r="I463" s="21" t="s">
        <v>376</v>
      </c>
      <c r="J463" s="21"/>
      <c r="K463" s="23">
        <v>45688</v>
      </c>
      <c r="L463" s="44">
        <v>32000</v>
      </c>
      <c r="M463" s="21" t="s">
        <v>106</v>
      </c>
      <c r="N463" s="21" t="s">
        <v>387</v>
      </c>
      <c r="O463" s="21" t="s">
        <v>95</v>
      </c>
      <c r="P463" s="21" t="s">
        <v>27</v>
      </c>
      <c r="Q463" s="22">
        <v>31344</v>
      </c>
      <c r="R463" s="21" t="s">
        <v>71</v>
      </c>
      <c r="S463" s="21" t="s">
        <v>269</v>
      </c>
      <c r="T463" s="21">
        <v>3135307516</v>
      </c>
      <c r="U463" s="25" t="s">
        <v>511</v>
      </c>
      <c r="V463" s="26" t="e">
        <f>IF(P463=#REF!,"DIPLOMADO EN ATENCION PRE-HOSPITALARIA",IF(P463=#REF!,"ACOMPAÑAMIENTO Y MANEJO DEL DUELO",IF(P463=#REF!,"ATENCION A VICTIMAS DE ATAQUE CON AGENTES QUIMICOS ",IF(P463=#REF!,"PRIMEROS AUXILIOS ",IF(P463=#REF!,"DIPLOMADO DE UNIDAD DE CUIDADOS INTENSIVOS (UCI)",IF(P463=#REF!,"MODELO DE ATENCION PARA EVENTOS EMERGENTES EN SALUD MENTAL (CODIGO VERDE)",IF(P463=#REF!,"HUMANIZACION EN EL SERVICIO DE LA SALUD Y BUENAS PRACTICAS EN PACIENTE ",IF(P463=#REF!,"CLINICA DE HERIDAS ",IF(P463=#REF!,"TOMA DE CITOLOGIA CERVICO VAGINAL ",IF(P463=#REF!,"SOPORTE CARDIOVASCULAR AVANZADO (ACLS) ",IF(P463=#REF!,"CAMILLERO ",IF(P463=#REF!,"TOMA DE MUESTRAS Y LABORATORIO ",IF(P463=#REF!,"SOPORTE VITAL BASICO (BLS)",IF(P463=#REF!,"ATENCION A VICTIMAS DE VIOLENCIA SEXUAL ",IF(P463=#REF!,"PROGRAMADO AMPLIADO DE INMUNIZACION (PAI - COVID 19)",IF(P463=#REF!,"ATENCION INTEGRAL EN ENFERMEDADES PREVALENTES EN PRIMERA INFANCIA (AIEPI)",IF(P463=#REF!,"ADMINISTRACION DE MEDICAMENTOS, INYECTOLOGIA  Y CANALIZACION ",IF(P463=#REF!,"OPERADOR DE VEHICULOS DE EMERGENCIA (OVE)",IF(P463=#REF!,"INSTITUCIONES AMIGAS DE LA MUJER Y LA INFANCIA (IAMI)",IF(P463=#REF!,"CUIDADO DEL DONANTE DE ORGANOS",IF(P463=#REF!,"ATENCION A VICTIMAS POR VIOLENCIA DE GENERO",IF(P463=#REF!,"IGUALDAD DE GENERO EN LA SALUD",IF(P463=#REF!,"BRIGADA DE EMERGENCIA",IF(P463=#REF!,"MANEJO DEL DOLOR Y CUIDADOS PALIATIVOS",IF(P463=#REF!,"TOMA DE MUESTRAS Y LABORATORIO POCT",IF(P463=#REF!,"IMPLANTE SUBDERMICO DE DISPOSITIVO INTRAUTERINO",IF(P463=#REF!,"SALUD MENTAL",IF(P463=#REF!,"PRIMEROS AUXILIOS PSICOLOGICOS",IF(P463=#REF!,"ATENCION A VICTIMAS POR CONFLICTO ARMADO",IF(P463=#REF!,"MANIPULACION DE ALIMENTOS Y BPM",IF(P463=#REF!,"ATENCION A PERSONAS CON DISCAPACIDAD",IF(P463=#REF!,"CUIDADO INTEGRAL DEL PACIENTE ADULTO",IF(P463=#REF!,"MANEJO DEFENSIVO",IF(P463=#REF!,"SOPORTE CARDIOVASCULAR AVANZADO NEONATAL",IF(P463=#REF!,"SEGURIDAD DEL PACIENTE",IF(P463=#REF!,"MANEJO DE RESIDUOS HOSPITALARIOS"))))))))))))))))))))))))))))))))))))</f>
        <v>#REF!</v>
      </c>
      <c r="W463" s="26" t="str">
        <f>CONCATENATE(E463," ",F463," ",C463," ",D463)</f>
        <v>Anderson Adolfo Peña Narvaez</v>
      </c>
      <c r="X463" s="26" t="str">
        <f t="shared" si="33"/>
        <v>Anderson Adolfo Peña Narvaez</v>
      </c>
      <c r="Y463" s="26" t="str">
        <f>CONCATENATE(W463,"-",B463,"-",P463)</f>
        <v>Anderson Adolfo Peña Narvaez-1085245863-VIOLENCIA SEXUAL</v>
      </c>
    </row>
    <row r="464" spans="1:25" x14ac:dyDescent="0.2">
      <c r="A464" s="20">
        <v>211</v>
      </c>
      <c r="B464" s="21">
        <v>1085323721</v>
      </c>
      <c r="C464" s="21" t="s">
        <v>257</v>
      </c>
      <c r="D464" s="21" t="s">
        <v>512</v>
      </c>
      <c r="E464" s="21" t="s">
        <v>300</v>
      </c>
      <c r="F464" s="21" t="s">
        <v>306</v>
      </c>
      <c r="G464" s="21">
        <v>20</v>
      </c>
      <c r="H464" s="21" t="s">
        <v>49</v>
      </c>
      <c r="I464" s="21" t="s">
        <v>376</v>
      </c>
      <c r="J464" s="21"/>
      <c r="K464" s="23">
        <v>45682</v>
      </c>
      <c r="L464" s="42">
        <v>80000</v>
      </c>
      <c r="M464" s="21" t="s">
        <v>79</v>
      </c>
      <c r="N464" s="21" t="s">
        <v>387</v>
      </c>
      <c r="O464" s="21" t="s">
        <v>69</v>
      </c>
      <c r="P464" s="21" t="s">
        <v>24</v>
      </c>
      <c r="Q464" s="22"/>
      <c r="R464" s="21" t="s">
        <v>70</v>
      </c>
      <c r="S464" s="63" t="s">
        <v>83</v>
      </c>
      <c r="T464" s="21">
        <v>3168200701</v>
      </c>
      <c r="U464" s="25" t="s">
        <v>513</v>
      </c>
      <c r="V464" s="26" t="e">
        <f>IF(P464=#REF!,"DIPLOMADO EN ATENCION PRE-HOSPITALARIA",IF(P464=#REF!,"ACOMPAÑAMIENTO Y MANEJO DEL DUELO",IF(P464=#REF!,"ATENCION A VICTIMAS DE ATAQUE CON AGENTES QUIMICOS ",IF(P464=#REF!,"PRIMEROS AUXILIOS ",IF(P464=#REF!,"DIPLOMADO DE UNIDAD DE CUIDADOS INTENSIVOS (UCI)",IF(P464=#REF!,"MODELO DE ATENCION PARA EVENTOS EMERGENTES EN SALUD MENTAL (CODIGO VERDE)",IF(P464=#REF!,"HUMANIZACION EN EL SERVICIO DE LA SALUD Y BUENAS PRACTICAS EN PACIENTE ",IF(P464=#REF!,"CLINICA DE HERIDAS ",IF(P464=#REF!,"TOMA DE CITOLOGIA CERVICO VAGINAL ",IF(P464=#REF!,"SOPORTE CARDIOVASCULAR AVANZADO (ACLS) ",IF(P464=#REF!,"CAMILLERO ",IF(P464=#REF!,"TOMA DE MUESTRAS Y LABORATORIO ",IF(P464=#REF!,"SOPORTE VITAL BASICO (BLS)",IF(P464=#REF!,"ATENCION A VICTIMAS DE VIOLENCIA SEXUAL ",IF(P464=#REF!,"PROGRAMADO AMPLIADO DE INMUNIZACION (PAI - COVID 19)",IF(P464=#REF!,"ATENCION INTEGRAL EN ENFERMEDADES PREVALENTES EN PRIMERA INFANCIA (AIEPI)",IF(P464=#REF!,"ADMINISTRACION DE MEDICAMENTOS, INYECTOLOGIA  Y CANALIZACION ",IF(P464=#REF!,"OPERADOR DE VEHICULOS DE EMERGENCIA (OVE)",IF(P464=#REF!,"INSTITUCIONES AMIGAS DE LA MUJER Y LA INFANCIA (IAMI)",IF(P464=#REF!,"CUIDADO DEL DONANTE DE ORGANOS",IF(P464=#REF!,"ATENCION A VICTIMAS POR VIOLENCIA DE GENERO",IF(P464=#REF!,"IGUALDAD DE GENERO EN LA SALUD",IF(P464=#REF!,"BRIGADA DE EMERGENCIA",IF(P464=#REF!,"MANEJO DEL DOLOR Y CUIDADOS PALIATIVOS",IF(P464=#REF!,"TOMA DE MUESTRAS Y LABORATORIO POCT",IF(P464=#REF!,"IMPLANTE SUBDERMICO DE DISPOSITIVO INTRAUTERINO",IF(P464=#REF!,"SALUD MENTAL",IF(P464=#REF!,"PRIMEROS AUXILIOS PSICOLOGICOS",IF(P464=#REF!,"ATENCION A VICTIMAS POR CONFLICTO ARMADO",IF(P464=#REF!,"MANIPULACION DE ALIMENTOS Y BPM",IF(P464=#REF!,"ATENCION A PERSONAS CON DISCAPACIDAD",IF(P464=#REF!,"CUIDADO INTEGRAL DEL PACIENTE ADULTO",IF(P464=#REF!,"MANEJO DEFENSIVO",IF(P464=#REF!,"SOPORTE CARDIOVASCULAR AVANZADO NEONATAL",IF(P464=#REF!,"SEGURIDAD DEL PACIENTE",IF(P464=#REF!,"MANEJO DE RESIDUOS HOSPITALARIOS"))))))))))))))))))))))))))))))))))))</f>
        <v>#REF!</v>
      </c>
      <c r="W464" s="26" t="str">
        <f>CONCATENATE(E464," ",F464," ",C464," ",D464)</f>
        <v>Edison Alexander Mora Barcenas</v>
      </c>
      <c r="X464" s="26" t="str">
        <f t="shared" si="33"/>
        <v>Edison Alexander Mora Barcenas</v>
      </c>
      <c r="Y464" s="26" t="str">
        <f>CONCATENATE(W464,"-",B464,"-",P464)</f>
        <v>Edison Alexander Mora Barcenas-1085323721-ACLS</v>
      </c>
    </row>
    <row r="465" spans="1:25" x14ac:dyDescent="0.2">
      <c r="A465" s="20">
        <v>212</v>
      </c>
      <c r="B465" s="21">
        <v>1085323721</v>
      </c>
      <c r="C465" s="21" t="s">
        <v>257</v>
      </c>
      <c r="D465" s="21" t="s">
        <v>512</v>
      </c>
      <c r="E465" s="21" t="s">
        <v>300</v>
      </c>
      <c r="F465" s="21" t="s">
        <v>306</v>
      </c>
      <c r="G465" s="21">
        <v>20</v>
      </c>
      <c r="H465" s="21" t="s">
        <v>49</v>
      </c>
      <c r="I465" s="21" t="s">
        <v>376</v>
      </c>
      <c r="J465" s="21"/>
      <c r="K465" s="23">
        <v>45682</v>
      </c>
      <c r="L465" s="42">
        <v>23000</v>
      </c>
      <c r="M465" s="21" t="s">
        <v>79</v>
      </c>
      <c r="N465" s="21" t="s">
        <v>387</v>
      </c>
      <c r="O465" s="21" t="s">
        <v>69</v>
      </c>
      <c r="P465" s="21" t="s">
        <v>19</v>
      </c>
      <c r="Q465" s="22"/>
      <c r="R465" s="21" t="s">
        <v>70</v>
      </c>
      <c r="S465" s="63" t="s">
        <v>83</v>
      </c>
      <c r="T465" s="21">
        <v>3168200701</v>
      </c>
      <c r="U465" s="25" t="s">
        <v>513</v>
      </c>
      <c r="V465" s="26" t="e">
        <f>IF(P465=#REF!,"DIPLOMADO EN ATENCION PRE-HOSPITALARIA",IF(P465=#REF!,"ACOMPAÑAMIENTO Y MANEJO DEL DUELO",IF(P465=#REF!,"ATENCION A VICTIMAS DE ATAQUE CON AGENTES QUIMICOS ",IF(P465=#REF!,"PRIMEROS AUXILIOS ",IF(P465=#REF!,"DIPLOMADO DE UNIDAD DE CUIDADOS INTENSIVOS (UCI)",IF(P465=#REF!,"MODELO DE ATENCION PARA EVENTOS EMERGENTES EN SALUD MENTAL (CODIGO VERDE)",IF(P465=#REF!,"HUMANIZACION EN EL SERVICIO DE LA SALUD Y BUENAS PRACTICAS EN PACIENTE ",IF(P465=#REF!,"CLINICA DE HERIDAS ",IF(P465=#REF!,"TOMA DE CITOLOGIA CERVICO VAGINAL ",IF(P465=#REF!,"SOPORTE CARDIOVASCULAR AVANZADO (ACLS) ",IF(P465=#REF!,"CAMILLERO ",IF(P465=#REF!,"TOMA DE MUESTRAS Y LABORATORIO ",IF(P465=#REF!,"SOPORTE VITAL BASICO (BLS)",IF(P465=#REF!,"ATENCION A VICTIMAS DE VIOLENCIA SEXUAL ",IF(P465=#REF!,"PROGRAMADO AMPLIADO DE INMUNIZACION (PAI - COVID 19)",IF(P465=#REF!,"ATENCION INTEGRAL EN ENFERMEDADES PREVALENTES EN PRIMERA INFANCIA (AIEPI)",IF(P465=#REF!,"ADMINISTRACION DE MEDICAMENTOS, INYECTOLOGIA  Y CANALIZACION ",IF(P465=#REF!,"OPERADOR DE VEHICULOS DE EMERGENCIA (OVE)",IF(P465=#REF!,"INSTITUCIONES AMIGAS DE LA MUJER Y LA INFANCIA (IAMI)",IF(P465=#REF!,"CUIDADO DEL DONANTE DE ORGANOS",IF(P465=#REF!,"ATENCION A VICTIMAS POR VIOLENCIA DE GENERO",IF(P465=#REF!,"IGUALDAD DE GENERO EN LA SALUD",IF(P465=#REF!,"BRIGADA DE EMERGENCIA",IF(P465=#REF!,"MANEJO DEL DOLOR Y CUIDADOS PALIATIVOS",IF(P465=#REF!,"TOMA DE MUESTRAS Y LABORATORIO POCT",IF(P465=#REF!,"IMPLANTE SUBDERMICO DE DISPOSITIVO INTRAUTERINO",IF(P465=#REF!,"SALUD MENTAL",IF(P465=#REF!,"PRIMEROS AUXILIOS PSICOLOGICOS",IF(P465=#REF!,"ATENCION A VICTIMAS POR CONFLICTO ARMADO",IF(P465=#REF!,"MANIPULACION DE ALIMENTOS Y BPM",IF(P465=#REF!,"ATENCION A PERSONAS CON DISCAPACIDAD",IF(P465=#REF!,"CUIDADO INTEGRAL DEL PACIENTE ADULTO",IF(P465=#REF!,"MANEJO DEFENSIVO",IF(P465=#REF!,"SOPORTE CARDIOVASCULAR AVANZADO NEONATAL",IF(P465=#REF!,"SEGURIDAD DEL PACIENTE",IF(P465=#REF!,"MANEJO DE RESIDUOS HOSPITALARIOS"))))))))))))))))))))))))))))))))))))</f>
        <v>#REF!</v>
      </c>
      <c r="W465" s="26" t="str">
        <f>CONCATENATE(E465," ",F465," ",C465," ",D465)</f>
        <v>Edison Alexander Mora Barcenas</v>
      </c>
      <c r="X465" s="26" t="str">
        <f t="shared" si="33"/>
        <v>Edison Alexander Mora Barcenas</v>
      </c>
      <c r="Y465" s="26" t="str">
        <f>CONCATENATE(W465,"-",B465,"-",P465)</f>
        <v>Edison Alexander Mora Barcenas-1085323721-BLS</v>
      </c>
    </row>
    <row r="466" spans="1:25" x14ac:dyDescent="0.2">
      <c r="A466" s="20">
        <v>213</v>
      </c>
      <c r="B466" s="21">
        <v>1085323721</v>
      </c>
      <c r="C466" s="21" t="s">
        <v>257</v>
      </c>
      <c r="D466" s="21" t="s">
        <v>512</v>
      </c>
      <c r="E466" s="21" t="s">
        <v>300</v>
      </c>
      <c r="F466" s="21" t="s">
        <v>306</v>
      </c>
      <c r="G466" s="21">
        <v>22</v>
      </c>
      <c r="H466" s="21" t="s">
        <v>49</v>
      </c>
      <c r="I466" s="21" t="s">
        <v>376</v>
      </c>
      <c r="J466" s="21"/>
      <c r="K466" s="23">
        <v>45682</v>
      </c>
      <c r="L466" s="42">
        <v>30714</v>
      </c>
      <c r="M466" s="21" t="s">
        <v>79</v>
      </c>
      <c r="N466" s="21" t="s">
        <v>387</v>
      </c>
      <c r="O466" s="21" t="s">
        <v>69</v>
      </c>
      <c r="P466" s="21" t="s">
        <v>27</v>
      </c>
      <c r="Q466" s="22"/>
      <c r="R466" s="21" t="s">
        <v>70</v>
      </c>
      <c r="S466" s="63" t="s">
        <v>83</v>
      </c>
      <c r="T466" s="21">
        <v>3168200701</v>
      </c>
      <c r="U466" s="25" t="s">
        <v>513</v>
      </c>
      <c r="V466" s="26" t="e">
        <f>IF(P466=#REF!,"DIPLOMADO EN ATENCION PRE-HOSPITALARIA",IF(P466=#REF!,"ACOMPAÑAMIENTO Y MANEJO DEL DUELO",IF(P466=#REF!,"ATENCION A VICTIMAS DE ATAQUE CON AGENTES QUIMICOS ",IF(P466=#REF!,"PRIMEROS AUXILIOS ",IF(P466=#REF!,"DIPLOMADO DE UNIDAD DE CUIDADOS INTENSIVOS (UCI)",IF(P466=#REF!,"MODELO DE ATENCION PARA EVENTOS EMERGENTES EN SALUD MENTAL (CODIGO VERDE)",IF(P466=#REF!,"HUMANIZACION EN EL SERVICIO DE LA SALUD Y BUENAS PRACTICAS EN PACIENTE ",IF(P466=#REF!,"CLINICA DE HERIDAS ",IF(P466=#REF!,"TOMA DE CITOLOGIA CERVICO VAGINAL ",IF(P466=#REF!,"SOPORTE CARDIOVASCULAR AVANZADO (ACLS) ",IF(P466=#REF!,"CAMILLERO ",IF(P466=#REF!,"TOMA DE MUESTRAS Y LABORATORIO ",IF(P466=#REF!,"SOPORTE VITAL BASICO (BLS)",IF(P466=#REF!,"ATENCION A VICTIMAS DE VIOLENCIA SEXUAL ",IF(P466=#REF!,"PROGRAMADO AMPLIADO DE INMUNIZACION (PAI - COVID 19)",IF(P466=#REF!,"ATENCION INTEGRAL EN ENFERMEDADES PREVALENTES EN PRIMERA INFANCIA (AIEPI)",IF(P466=#REF!,"ADMINISTRACION DE MEDICAMENTOS, INYECTOLOGIA  Y CANALIZACION ",IF(P466=#REF!,"OPERADOR DE VEHICULOS DE EMERGENCIA (OVE)",IF(P466=#REF!,"INSTITUCIONES AMIGAS DE LA MUJER Y LA INFANCIA (IAMI)",IF(P466=#REF!,"CUIDADO DEL DONANTE DE ORGANOS",IF(P466=#REF!,"ATENCION A VICTIMAS POR VIOLENCIA DE GENERO",IF(P466=#REF!,"IGUALDAD DE GENERO EN LA SALUD",IF(P466=#REF!,"BRIGADA DE EMERGENCIA",IF(P466=#REF!,"MANEJO DEL DOLOR Y CUIDADOS PALIATIVOS",IF(P466=#REF!,"TOMA DE MUESTRAS Y LABORATORIO POCT",IF(P466=#REF!,"IMPLANTE SUBDERMICO DE DISPOSITIVO INTRAUTERINO",IF(P466=#REF!,"SALUD MENTAL",IF(P466=#REF!,"PRIMEROS AUXILIOS PSICOLOGICOS",IF(P466=#REF!,"ATENCION A VICTIMAS POR CONFLICTO ARMADO",IF(P466=#REF!,"MANIPULACION DE ALIMENTOS Y BPM",IF(P466=#REF!,"ATENCION A PERSONAS CON DISCAPACIDAD",IF(P466=#REF!,"CUIDADO INTEGRAL DEL PACIENTE ADULTO",IF(P466=#REF!,"MANEJO DEFENSIVO",IF(P466=#REF!,"SOPORTE CARDIOVASCULAR AVANZADO NEONATAL",IF(P466=#REF!,"SEGURIDAD DEL PACIENTE",IF(P466=#REF!,"MANEJO DE RESIDUOS HOSPITALARIOS"))))))))))))))))))))))))))))))))))))</f>
        <v>#REF!</v>
      </c>
      <c r="W466" s="26" t="str">
        <f>CONCATENATE(E466," ",F466," ",C466," ",D466)</f>
        <v>Edison Alexander Mora Barcenas</v>
      </c>
      <c r="X466" s="26" t="str">
        <f t="shared" si="33"/>
        <v>Edison Alexander Mora Barcenas</v>
      </c>
      <c r="Y466" s="26" t="str">
        <f>CONCATENATE(W466,"-",B466,"-",P466)</f>
        <v>Edison Alexander Mora Barcenas-1085323721-VIOLENCIA SEXUAL</v>
      </c>
    </row>
    <row r="467" spans="1:25" x14ac:dyDescent="0.2">
      <c r="A467" s="20">
        <v>214</v>
      </c>
      <c r="B467" s="21">
        <v>1085323721</v>
      </c>
      <c r="C467" s="21" t="s">
        <v>257</v>
      </c>
      <c r="D467" s="21" t="s">
        <v>512</v>
      </c>
      <c r="E467" s="21" t="s">
        <v>300</v>
      </c>
      <c r="F467" s="21" t="s">
        <v>306</v>
      </c>
      <c r="G467" s="21">
        <v>23</v>
      </c>
      <c r="H467" s="21" t="s">
        <v>49</v>
      </c>
      <c r="I467" s="21" t="s">
        <v>376</v>
      </c>
      <c r="J467" s="21"/>
      <c r="K467" s="23">
        <v>45682</v>
      </c>
      <c r="L467" s="42">
        <v>30714</v>
      </c>
      <c r="M467" s="21" t="s">
        <v>79</v>
      </c>
      <c r="N467" s="21" t="s">
        <v>387</v>
      </c>
      <c r="O467" s="21" t="s">
        <v>69</v>
      </c>
      <c r="P467" s="21" t="s">
        <v>28</v>
      </c>
      <c r="Q467" s="22"/>
      <c r="R467" s="21" t="s">
        <v>70</v>
      </c>
      <c r="S467" s="63" t="s">
        <v>83</v>
      </c>
      <c r="T467" s="21">
        <v>3168200701</v>
      </c>
      <c r="U467" s="25" t="s">
        <v>513</v>
      </c>
      <c r="V467" s="26" t="e">
        <f>IF(P467=#REF!,"DIPLOMADO EN ATENCION PRE-HOSPITALARIA",IF(P467=#REF!,"ACOMPAÑAMIENTO Y MANEJO DEL DUELO",IF(P467=#REF!,"ATENCION A VICTIMAS DE ATAQUE CON AGENTES QUIMICOS ",IF(P467=#REF!,"PRIMEROS AUXILIOS ",IF(P467=#REF!,"DIPLOMADO DE UNIDAD DE CUIDADOS INTENSIVOS (UCI)",IF(P467=#REF!,"MODELO DE ATENCION PARA EVENTOS EMERGENTES EN SALUD MENTAL (CODIGO VERDE)",IF(P467=#REF!,"HUMANIZACION EN EL SERVICIO DE LA SALUD Y BUENAS PRACTICAS EN PACIENTE ",IF(P467=#REF!,"CLINICA DE HERIDAS ",IF(P467=#REF!,"TOMA DE CITOLOGIA CERVICO VAGINAL ",IF(P467=#REF!,"SOPORTE CARDIOVASCULAR AVANZADO (ACLS) ",IF(P467=#REF!,"CAMILLERO ",IF(P467=#REF!,"TOMA DE MUESTRAS Y LABORATORIO ",IF(P467=#REF!,"SOPORTE VITAL BASICO (BLS)",IF(P467=#REF!,"ATENCION A VICTIMAS DE VIOLENCIA SEXUAL ",IF(P467=#REF!,"PROGRAMADO AMPLIADO DE INMUNIZACION (PAI - COVID 19)",IF(P467=#REF!,"ATENCION INTEGRAL EN ENFERMEDADES PREVALENTES EN PRIMERA INFANCIA (AIEPI)",IF(P467=#REF!,"ADMINISTRACION DE MEDICAMENTOS, INYECTOLOGIA  Y CANALIZACION ",IF(P467=#REF!,"OPERADOR DE VEHICULOS DE EMERGENCIA (OVE)",IF(P467=#REF!,"INSTITUCIONES AMIGAS DE LA MUJER Y LA INFANCIA (IAMI)",IF(P467=#REF!,"CUIDADO DEL DONANTE DE ORGANOS",IF(P467=#REF!,"ATENCION A VICTIMAS POR VIOLENCIA DE GENERO",IF(P467=#REF!,"IGUALDAD DE GENERO EN LA SALUD",IF(P467=#REF!,"BRIGADA DE EMERGENCIA",IF(P467=#REF!,"MANEJO DEL DOLOR Y CUIDADOS PALIATIVOS",IF(P467=#REF!,"TOMA DE MUESTRAS Y LABORATORIO POCT",IF(P467=#REF!,"IMPLANTE SUBDERMICO DE DISPOSITIVO INTRAUTERINO",IF(P467=#REF!,"SALUD MENTAL",IF(P467=#REF!,"PRIMEROS AUXILIOS PSICOLOGICOS",IF(P467=#REF!,"ATENCION A VICTIMAS POR CONFLICTO ARMADO",IF(P467=#REF!,"MANIPULACION DE ALIMENTOS Y BPM",IF(P467=#REF!,"ATENCION A PERSONAS CON DISCAPACIDAD",IF(P467=#REF!,"CUIDADO INTEGRAL DEL PACIENTE ADULTO",IF(P467=#REF!,"MANEJO DEFENSIVO",IF(P467=#REF!,"SOPORTE CARDIOVASCULAR AVANZADO NEONATAL",IF(P467=#REF!,"SEGURIDAD DEL PACIENTE",IF(P467=#REF!,"MANEJO DE RESIDUOS HOSPITALARIOS"))))))))))))))))))))))))))))))))))))</f>
        <v>#REF!</v>
      </c>
      <c r="W467" s="26" t="str">
        <f>CONCATENATE(E467," ",F467," ",C467," ",D467)</f>
        <v>Edison Alexander Mora Barcenas</v>
      </c>
      <c r="X467" s="26" t="str">
        <f t="shared" si="33"/>
        <v>Edison Alexander Mora Barcenas</v>
      </c>
      <c r="Y467" s="26" t="str">
        <f>CONCATENATE(W467,"-",B467,"-",P467)</f>
        <v>Edison Alexander Mora Barcenas-1085323721-AIEPI</v>
      </c>
    </row>
    <row r="468" spans="1:25" x14ac:dyDescent="0.2">
      <c r="A468" s="20">
        <v>215</v>
      </c>
      <c r="B468" s="21">
        <v>1085323721</v>
      </c>
      <c r="C468" s="21" t="s">
        <v>257</v>
      </c>
      <c r="D468" s="21" t="s">
        <v>512</v>
      </c>
      <c r="E468" s="21" t="s">
        <v>300</v>
      </c>
      <c r="F468" s="21" t="s">
        <v>306</v>
      </c>
      <c r="G468" s="21">
        <v>24</v>
      </c>
      <c r="H468" s="21" t="s">
        <v>49</v>
      </c>
      <c r="I468" s="21" t="s">
        <v>376</v>
      </c>
      <c r="J468" s="21"/>
      <c r="K468" s="23">
        <v>45682</v>
      </c>
      <c r="L468" s="42">
        <v>30714</v>
      </c>
      <c r="M468" s="21" t="s">
        <v>79</v>
      </c>
      <c r="N468" s="21" t="s">
        <v>387</v>
      </c>
      <c r="O468" s="21" t="s">
        <v>69</v>
      </c>
      <c r="P468" s="21" t="s">
        <v>31</v>
      </c>
      <c r="Q468" s="22"/>
      <c r="R468" s="21" t="s">
        <v>70</v>
      </c>
      <c r="S468" s="63" t="s">
        <v>83</v>
      </c>
      <c r="T468" s="21">
        <v>3168200701</v>
      </c>
      <c r="U468" s="25" t="s">
        <v>513</v>
      </c>
      <c r="V468" s="26" t="e">
        <f>IF(P468=#REF!,"DIPLOMADO EN ATENCION PRE-HOSPITALARIA",IF(P468=#REF!,"ACOMPAÑAMIENTO Y MANEJO DEL DUELO",IF(P468=#REF!,"ATENCION A VICTIMAS DE ATAQUE CON AGENTES QUIMICOS ",IF(P468=#REF!,"PRIMEROS AUXILIOS ",IF(P468=#REF!,"DIPLOMADO DE UNIDAD DE CUIDADOS INTENSIVOS (UCI)",IF(P468=#REF!,"MODELO DE ATENCION PARA EVENTOS EMERGENTES EN SALUD MENTAL (CODIGO VERDE)",IF(P468=#REF!,"HUMANIZACION EN EL SERVICIO DE LA SALUD Y BUENAS PRACTICAS EN PACIENTE ",IF(P468=#REF!,"CLINICA DE HERIDAS ",IF(P468=#REF!,"TOMA DE CITOLOGIA CERVICO VAGINAL ",IF(P468=#REF!,"SOPORTE CARDIOVASCULAR AVANZADO (ACLS) ",IF(P468=#REF!,"CAMILLERO ",IF(P468=#REF!,"TOMA DE MUESTRAS Y LABORATORIO ",IF(P468=#REF!,"SOPORTE VITAL BASICO (BLS)",IF(P468=#REF!,"ATENCION A VICTIMAS DE VIOLENCIA SEXUAL ",IF(P468=#REF!,"PROGRAMADO AMPLIADO DE INMUNIZACION (PAI - COVID 19)",IF(P468=#REF!,"ATENCION INTEGRAL EN ENFERMEDADES PREVALENTES EN PRIMERA INFANCIA (AIEPI)",IF(P468=#REF!,"ADMINISTRACION DE MEDICAMENTOS, INYECTOLOGIA  Y CANALIZACION ",IF(P468=#REF!,"OPERADOR DE VEHICULOS DE EMERGENCIA (OVE)",IF(P468=#REF!,"INSTITUCIONES AMIGAS DE LA MUJER Y LA INFANCIA (IAMI)",IF(P468=#REF!,"CUIDADO DEL DONANTE DE ORGANOS",IF(P468=#REF!,"ATENCION A VICTIMAS POR VIOLENCIA DE GENERO",IF(P468=#REF!,"IGUALDAD DE GENERO EN LA SALUD",IF(P468=#REF!,"BRIGADA DE EMERGENCIA",IF(P468=#REF!,"MANEJO DEL DOLOR Y CUIDADOS PALIATIVOS",IF(P468=#REF!,"TOMA DE MUESTRAS Y LABORATORIO POCT",IF(P468=#REF!,"IMPLANTE SUBDERMICO DE DISPOSITIVO INTRAUTERINO",IF(P468=#REF!,"SALUD MENTAL",IF(P468=#REF!,"PRIMEROS AUXILIOS PSICOLOGICOS",IF(P468=#REF!,"ATENCION A VICTIMAS POR CONFLICTO ARMADO",IF(P468=#REF!,"MANIPULACION DE ALIMENTOS Y BPM",IF(P468=#REF!,"ATENCION A PERSONAS CON DISCAPACIDAD",IF(P468=#REF!,"CUIDADO INTEGRAL DEL PACIENTE ADULTO",IF(P468=#REF!,"MANEJO DEFENSIVO",IF(P468=#REF!,"SOPORTE CARDIOVASCULAR AVANZADO NEONATAL",IF(P468=#REF!,"SEGURIDAD DEL PACIENTE",IF(P468=#REF!,"MANEJO DE RESIDUOS HOSPITALARIOS"))))))))))))))))))))))))))))))))))))</f>
        <v>#REF!</v>
      </c>
      <c r="W468" s="26" t="str">
        <f>CONCATENATE(E468," ",F468," ",C468," ",D468)</f>
        <v>Edison Alexander Mora Barcenas</v>
      </c>
      <c r="X468" s="26" t="str">
        <f t="shared" si="33"/>
        <v>Edison Alexander Mora Barcenas</v>
      </c>
      <c r="Y468" s="26" t="str">
        <f>CONCATENATE(W468,"-",B468,"-",P468)</f>
        <v>Edison Alexander Mora Barcenas-1085323721-IAMI</v>
      </c>
    </row>
    <row r="469" spans="1:25" x14ac:dyDescent="0.2">
      <c r="A469" s="20">
        <v>216</v>
      </c>
      <c r="B469" s="21">
        <v>1085323721</v>
      </c>
      <c r="C469" s="21" t="s">
        <v>257</v>
      </c>
      <c r="D469" s="21" t="s">
        <v>512</v>
      </c>
      <c r="E469" s="21" t="s">
        <v>300</v>
      </c>
      <c r="F469" s="21" t="s">
        <v>306</v>
      </c>
      <c r="G469" s="21">
        <v>25</v>
      </c>
      <c r="H469" s="21" t="s">
        <v>49</v>
      </c>
      <c r="I469" s="21" t="s">
        <v>376</v>
      </c>
      <c r="J469" s="21"/>
      <c r="K469" s="23">
        <v>45682</v>
      </c>
      <c r="L469" s="42">
        <v>30714</v>
      </c>
      <c r="M469" s="21" t="s">
        <v>79</v>
      </c>
      <c r="N469" s="21" t="s">
        <v>387</v>
      </c>
      <c r="O469" s="21" t="s">
        <v>69</v>
      </c>
      <c r="P469" s="21" t="s">
        <v>41</v>
      </c>
      <c r="Q469" s="22"/>
      <c r="R469" s="21" t="s">
        <v>70</v>
      </c>
      <c r="S469" s="63" t="s">
        <v>83</v>
      </c>
      <c r="T469" s="21">
        <v>3168200701</v>
      </c>
      <c r="U469" s="25" t="s">
        <v>513</v>
      </c>
      <c r="V469" s="26" t="e">
        <f>IF(P469=#REF!,"DIPLOMADO EN ATENCION PRE-HOSPITALARIA",IF(P469=#REF!,"ACOMPAÑAMIENTO Y MANEJO DEL DUELO",IF(P469=#REF!,"ATENCION A VICTIMAS DE ATAQUE CON AGENTES QUIMICOS ",IF(P469=#REF!,"PRIMEROS AUXILIOS ",IF(P469=#REF!,"DIPLOMADO DE UNIDAD DE CUIDADOS INTENSIVOS (UCI)",IF(P469=#REF!,"MODELO DE ATENCION PARA EVENTOS EMERGENTES EN SALUD MENTAL (CODIGO VERDE)",IF(P469=#REF!,"HUMANIZACION EN EL SERVICIO DE LA SALUD Y BUENAS PRACTICAS EN PACIENTE ",IF(P469=#REF!,"CLINICA DE HERIDAS ",IF(P469=#REF!,"TOMA DE CITOLOGIA CERVICO VAGINAL ",IF(P469=#REF!,"SOPORTE CARDIOVASCULAR AVANZADO (ACLS) ",IF(P469=#REF!,"CAMILLERO ",IF(P469=#REF!,"TOMA DE MUESTRAS Y LABORATORIO ",IF(P469=#REF!,"SOPORTE VITAL BASICO (BLS)",IF(P469=#REF!,"ATENCION A VICTIMAS DE VIOLENCIA SEXUAL ",IF(P469=#REF!,"PROGRAMADO AMPLIADO DE INMUNIZACION (PAI - COVID 19)",IF(P469=#REF!,"ATENCION INTEGRAL EN ENFERMEDADES PREVALENTES EN PRIMERA INFANCIA (AIEPI)",IF(P469=#REF!,"ADMINISTRACION DE MEDICAMENTOS, INYECTOLOGIA  Y CANALIZACION ",IF(P469=#REF!,"OPERADOR DE VEHICULOS DE EMERGENCIA (OVE)",IF(P469=#REF!,"INSTITUCIONES AMIGAS DE LA MUJER Y LA INFANCIA (IAMI)",IF(P469=#REF!,"CUIDADO DEL DONANTE DE ORGANOS",IF(P469=#REF!,"ATENCION A VICTIMAS POR VIOLENCIA DE GENERO",IF(P469=#REF!,"IGUALDAD DE GENERO EN LA SALUD",IF(P469=#REF!,"BRIGADA DE EMERGENCIA",IF(P469=#REF!,"MANEJO DEL DOLOR Y CUIDADOS PALIATIVOS",IF(P469=#REF!,"TOMA DE MUESTRAS Y LABORATORIO POCT",IF(P469=#REF!,"IMPLANTE SUBDERMICO DE DISPOSITIVO INTRAUTERINO",IF(P469=#REF!,"SALUD MENTAL",IF(P469=#REF!,"PRIMEROS AUXILIOS PSICOLOGICOS",IF(P469=#REF!,"ATENCION A VICTIMAS POR CONFLICTO ARMADO",IF(P469=#REF!,"MANIPULACION DE ALIMENTOS Y BPM",IF(P469=#REF!,"ATENCION A PERSONAS CON DISCAPACIDAD",IF(P469=#REF!,"CUIDADO INTEGRAL DEL PACIENTE ADULTO",IF(P469=#REF!,"MANEJO DEFENSIVO",IF(P469=#REF!,"SOPORTE CARDIOVASCULAR AVANZADO NEONATAL",IF(P469=#REF!,"SEGURIDAD DEL PACIENTE",IF(P469=#REF!,"MANEJO DE RESIDUOS HOSPITALARIOS"))))))))))))))))))))))))))))))))))))</f>
        <v>#REF!</v>
      </c>
      <c r="W469" s="26" t="str">
        <f>CONCATENATE(E469," ",F469," ",C469," ",D469)</f>
        <v>Edison Alexander Mora Barcenas</v>
      </c>
      <c r="X469" s="26" t="str">
        <f t="shared" si="33"/>
        <v>Edison Alexander Mora Barcenas</v>
      </c>
      <c r="Y469" s="26" t="str">
        <f>CONCATENATE(W469,"-",B469,"-",P469)</f>
        <v>Edison Alexander Mora Barcenas-1085323721-PACIENTE</v>
      </c>
    </row>
    <row r="470" spans="1:25" x14ac:dyDescent="0.2">
      <c r="A470" s="20">
        <v>217</v>
      </c>
      <c r="B470" s="21">
        <v>1085323721</v>
      </c>
      <c r="C470" s="21" t="s">
        <v>257</v>
      </c>
      <c r="D470" s="21" t="s">
        <v>512</v>
      </c>
      <c r="E470" s="21" t="s">
        <v>300</v>
      </c>
      <c r="F470" s="21" t="s">
        <v>306</v>
      </c>
      <c r="G470" s="21">
        <v>21</v>
      </c>
      <c r="H470" s="21" t="s">
        <v>49</v>
      </c>
      <c r="I470" s="21" t="s">
        <v>376</v>
      </c>
      <c r="J470" s="21"/>
      <c r="K470" s="23">
        <v>45682</v>
      </c>
      <c r="L470" s="42">
        <v>30714</v>
      </c>
      <c r="M470" s="21" t="s">
        <v>79</v>
      </c>
      <c r="N470" s="21" t="s">
        <v>387</v>
      </c>
      <c r="O470" s="21" t="s">
        <v>69</v>
      </c>
      <c r="P470" s="21" t="s">
        <v>23</v>
      </c>
      <c r="Q470" s="22"/>
      <c r="R470" s="21" t="s">
        <v>70</v>
      </c>
      <c r="S470" s="63" t="s">
        <v>83</v>
      </c>
      <c r="T470" s="21">
        <v>3168200701</v>
      </c>
      <c r="U470" s="25" t="s">
        <v>513</v>
      </c>
      <c r="V470" s="26" t="e">
        <f>IF(P470=#REF!,"DIPLOMADO EN ATENCION PRE-HOSPITALARIA",IF(P470=#REF!,"ACOMPAÑAMIENTO Y MANEJO DEL DUELO",IF(P470=#REF!,"ATENCION A VICTIMAS DE ATAQUE CON AGENTES QUIMICOS ",IF(P470=#REF!,"PRIMEROS AUXILIOS ",IF(P470=#REF!,"DIPLOMADO DE UNIDAD DE CUIDADOS INTENSIVOS (UCI)",IF(P470=#REF!,"MODELO DE ATENCION PARA EVENTOS EMERGENTES EN SALUD MENTAL (CODIGO VERDE)",IF(P470=#REF!,"HUMANIZACION EN EL SERVICIO DE LA SALUD Y BUENAS PRACTICAS EN PACIENTE ",IF(P470=#REF!,"CLINICA DE HERIDAS ",IF(P470=#REF!,"TOMA DE CITOLOGIA CERVICO VAGINAL ",IF(P470=#REF!,"SOPORTE CARDIOVASCULAR AVANZADO (ACLS) ",IF(P470=#REF!,"CAMILLERO ",IF(P470=#REF!,"TOMA DE MUESTRAS Y LABORATORIO ",IF(P470=#REF!,"SOPORTE VITAL BASICO (BLS)",IF(P470=#REF!,"ATENCION A VICTIMAS DE VIOLENCIA SEXUAL ",IF(P470=#REF!,"PROGRAMADO AMPLIADO DE INMUNIZACION (PAI - COVID 19)",IF(P470=#REF!,"ATENCION INTEGRAL EN ENFERMEDADES PREVALENTES EN PRIMERA INFANCIA (AIEPI)",IF(P470=#REF!,"ADMINISTRACION DE MEDICAMENTOS, INYECTOLOGIA  Y CANALIZACION ",IF(P470=#REF!,"OPERADOR DE VEHICULOS DE EMERGENCIA (OVE)",IF(P470=#REF!,"INSTITUCIONES AMIGAS DE LA MUJER Y LA INFANCIA (IAMI)",IF(P470=#REF!,"CUIDADO DEL DONANTE DE ORGANOS",IF(P470=#REF!,"ATENCION A VICTIMAS POR VIOLENCIA DE GENERO",IF(P470=#REF!,"IGUALDAD DE GENERO EN LA SALUD",IF(P470=#REF!,"BRIGADA DE EMERGENCIA",IF(P470=#REF!,"MANEJO DEL DOLOR Y CUIDADOS PALIATIVOS",IF(P470=#REF!,"TOMA DE MUESTRAS Y LABORATORIO POCT",IF(P470=#REF!,"IMPLANTE SUBDERMICO DE DISPOSITIVO INTRAUTERINO",IF(P470=#REF!,"SALUD MENTAL",IF(P470=#REF!,"PRIMEROS AUXILIOS PSICOLOGICOS",IF(P470=#REF!,"ATENCION A VICTIMAS POR CONFLICTO ARMADO",IF(P470=#REF!,"MANIPULACION DE ALIMENTOS Y BPM",IF(P470=#REF!,"ATENCION A PERSONAS CON DISCAPACIDAD",IF(P470=#REF!,"CUIDADO INTEGRAL DEL PACIENTE ADULTO",IF(P470=#REF!,"MANEJO DEFENSIVO",IF(P470=#REF!,"SOPORTE CARDIOVASCULAR AVANZADO NEONATAL",IF(P470=#REF!,"SEGURIDAD DEL PACIENTE",IF(P470=#REF!,"MANEJO DE RESIDUOS HOSPITALARIOS"))))))))))))))))))))))))))))))))))))</f>
        <v>#REF!</v>
      </c>
      <c r="W470" s="26" t="str">
        <f>CONCATENATE(E470," ",F470," ",C470," ",D470)</f>
        <v>Edison Alexander Mora Barcenas</v>
      </c>
      <c r="X470" s="26" t="str">
        <f t="shared" si="33"/>
        <v>Edison Alexander Mora Barcenas</v>
      </c>
      <c r="Y470" s="26" t="str">
        <f>CONCATENATE(W470,"-",B470,"-",P470)</f>
        <v>Edison Alexander Mora Barcenas-1085323721-HUMANIZACION</v>
      </c>
    </row>
    <row r="471" spans="1:25" x14ac:dyDescent="0.2">
      <c r="A471" s="36">
        <v>218</v>
      </c>
      <c r="B471" s="37">
        <v>1085323721</v>
      </c>
      <c r="C471" s="37" t="s">
        <v>257</v>
      </c>
      <c r="D471" s="37" t="s">
        <v>512</v>
      </c>
      <c r="E471" s="37" t="s">
        <v>300</v>
      </c>
      <c r="F471" s="37" t="s">
        <v>306</v>
      </c>
      <c r="G471" s="37">
        <v>27</v>
      </c>
      <c r="H471" s="37" t="s">
        <v>49</v>
      </c>
      <c r="I471" s="37" t="s">
        <v>376</v>
      </c>
      <c r="J471" s="37"/>
      <c r="K471" s="39">
        <v>45682</v>
      </c>
      <c r="L471" s="44">
        <v>30714</v>
      </c>
      <c r="M471" s="37" t="s">
        <v>79</v>
      </c>
      <c r="N471" s="37" t="s">
        <v>387</v>
      </c>
      <c r="O471" s="37" t="s">
        <v>69</v>
      </c>
      <c r="P471" s="37" t="s">
        <v>20</v>
      </c>
      <c r="Q471" s="38"/>
      <c r="R471" s="37" t="s">
        <v>70</v>
      </c>
      <c r="S471" s="65" t="s">
        <v>83</v>
      </c>
      <c r="T471" s="37">
        <v>3168200701</v>
      </c>
      <c r="U471" s="45" t="s">
        <v>513</v>
      </c>
      <c r="V471" s="41" t="e">
        <f>IF(P471=#REF!,"DIPLOMADO EN ATENCION PRE-HOSPITALARIA",IF(P471=#REF!,"ACOMPAÑAMIENTO Y MANEJO DEL DUELO",IF(P471=#REF!,"ATENCION A VICTIMAS DE ATAQUE CON AGENTES QUIMICOS ",IF(P471=#REF!,"PRIMEROS AUXILIOS ",IF(P471=#REF!,"DIPLOMADO DE UNIDAD DE CUIDADOS INTENSIVOS (UCI)",IF(P471=#REF!,"MODELO DE ATENCION PARA EVENTOS EMERGENTES EN SALUD MENTAL (CODIGO VERDE)",IF(P471=#REF!,"HUMANIZACION EN EL SERVICIO DE LA SALUD Y BUENAS PRACTICAS EN PACIENTE ",IF(P471=#REF!,"CLINICA DE HERIDAS ",IF(P471=#REF!,"TOMA DE CITOLOGIA CERVICO VAGINAL ",IF(P471=#REF!,"SOPORTE CARDIOVASCULAR AVANZADO (ACLS) ",IF(P471=#REF!,"CAMILLERO ",IF(P471=#REF!,"TOMA DE MUESTRAS Y LABORATORIO ",IF(P471=#REF!,"SOPORTE VITAL BASICO (BLS)",IF(P471=#REF!,"ATENCION A VICTIMAS DE VIOLENCIA SEXUAL ",IF(P471=#REF!,"PROGRAMADO AMPLIADO DE INMUNIZACION (PAI - COVID 19)",IF(P471=#REF!,"ATENCION INTEGRAL EN ENFERMEDADES PREVALENTES EN PRIMERA INFANCIA (AIEPI)",IF(P471=#REF!,"ADMINISTRACION DE MEDICAMENTOS, INYECTOLOGIA  Y CANALIZACION ",IF(P471=#REF!,"OPERADOR DE VEHICULOS DE EMERGENCIA (OVE)",IF(P471=#REF!,"INSTITUCIONES AMIGAS DE LA MUJER Y LA INFANCIA (IAMI)",IF(P471=#REF!,"CUIDADO DEL DONANTE DE ORGANOS",IF(P471=#REF!,"ATENCION A VICTIMAS POR VIOLENCIA DE GENERO",IF(P471=#REF!,"IGUALDAD DE GENERO EN LA SALUD",IF(P471=#REF!,"BRIGADA DE EMERGENCIA",IF(P471=#REF!,"MANEJO DEL DOLOR Y CUIDADOS PALIATIVOS",IF(P471=#REF!,"TOMA DE MUESTRAS Y LABORATORIO POCT",IF(P471=#REF!,"IMPLANTE SUBDERMICO DE DISPOSITIVO INTRAUTERINO",IF(P471=#REF!,"SALUD MENTAL",IF(P471=#REF!,"PRIMEROS AUXILIOS PSICOLOGICOS",IF(P471=#REF!,"ATENCION A VICTIMAS POR CONFLICTO ARMADO",IF(P471=#REF!,"MANIPULACION DE ALIMENTOS Y BPM",IF(P471=#REF!,"ATENCION A PERSONAS CON DISCAPACIDAD",IF(P471=#REF!,"CUIDADO INTEGRAL DEL PACIENTE ADULTO",IF(P471=#REF!,"MANEJO DEFENSIVO",IF(P471=#REF!,"SOPORTE CARDIOVASCULAR AVANZADO NEONATAL",IF(P471=#REF!,"SEGURIDAD DEL PACIENTE",IF(P471=#REF!,"MANEJO DE RESIDUOS HOSPITALARIOS"))))))))))))))))))))))))))))))))))))</f>
        <v>#REF!</v>
      </c>
      <c r="W471" s="41" t="str">
        <f>CONCATENATE(E471," ",F471," ",C471," ",D471)</f>
        <v>Edison Alexander Mora Barcenas</v>
      </c>
      <c r="X471" s="41" t="str">
        <f t="shared" si="33"/>
        <v>Edison Alexander Mora Barcenas</v>
      </c>
      <c r="Y471" s="41" t="str">
        <f>CONCATENATE(W471,"-",B471,"-",P471)</f>
        <v>Edison Alexander Mora Barcenas-1085323721-DUELO</v>
      </c>
    </row>
    <row r="472" spans="1:25" s="19" customFormat="1" x14ac:dyDescent="0.2">
      <c r="A472" s="20">
        <v>219</v>
      </c>
      <c r="B472" s="21">
        <v>1085323721</v>
      </c>
      <c r="C472" s="21" t="s">
        <v>257</v>
      </c>
      <c r="D472" s="21" t="s">
        <v>512</v>
      </c>
      <c r="E472" s="21" t="s">
        <v>300</v>
      </c>
      <c r="F472" s="21" t="s">
        <v>306</v>
      </c>
      <c r="G472" s="21">
        <v>22</v>
      </c>
      <c r="H472" s="21" t="s">
        <v>49</v>
      </c>
      <c r="I472" s="21" t="s">
        <v>376</v>
      </c>
      <c r="J472" s="21"/>
      <c r="K472" s="23">
        <v>45682</v>
      </c>
      <c r="L472" s="42">
        <v>30714</v>
      </c>
      <c r="M472" s="21" t="s">
        <v>79</v>
      </c>
      <c r="N472" s="21" t="s">
        <v>387</v>
      </c>
      <c r="O472" s="21" t="s">
        <v>69</v>
      </c>
      <c r="P472" s="21" t="s">
        <v>21</v>
      </c>
      <c r="Q472" s="22"/>
      <c r="R472" s="21" t="s">
        <v>70</v>
      </c>
      <c r="S472" s="63" t="s">
        <v>83</v>
      </c>
      <c r="T472" s="21">
        <v>3168200701</v>
      </c>
      <c r="U472" s="25" t="s">
        <v>513</v>
      </c>
      <c r="V472" s="26" t="e">
        <f>IF(P472=#REF!,"DIPLOMADO EN ATENCION PRE-HOSPITALARIA",IF(P472=#REF!,"ACOMPAÑAMIENTO Y MANEJO DEL DUELO",IF(P472=#REF!,"ATENCION A VICTIMAS DE ATAQUE CON AGENTES QUIMICOS ",IF(P472=#REF!,"PRIMEROS AUXILIOS ",IF(P472=#REF!,"DIPLOMADO DE UNIDAD DE CUIDADOS INTENSIVOS (UCI)",IF(P472=#REF!,"MODELO DE ATENCION PARA EVENTOS EMERGENTES EN SALUD MENTAL (CODIGO VERDE)",IF(P472=#REF!,"HUMANIZACION EN EL SERVICIO DE LA SALUD Y BUENAS PRACTICAS EN PACIENTE ",IF(P472=#REF!,"CLINICA DE HERIDAS ",IF(P472=#REF!,"TOMA DE CITOLOGIA CERVICO VAGINAL ",IF(P472=#REF!,"SOPORTE CARDIOVASCULAR AVANZADO (ACLS) ",IF(P472=#REF!,"CAMILLERO ",IF(P472=#REF!,"TOMA DE MUESTRAS Y LABORATORIO ",IF(P472=#REF!,"SOPORTE VITAL BASICO (BLS)",IF(P472=#REF!,"ATENCION A VICTIMAS DE VIOLENCIA SEXUAL ",IF(P472=#REF!,"PROGRAMADO AMPLIADO DE INMUNIZACION (PAI - COVID 19)",IF(P472=#REF!,"ATENCION INTEGRAL EN ENFERMEDADES PREVALENTES EN PRIMERA INFANCIA (AIEPI)",IF(P472=#REF!,"ADMINISTRACION DE MEDICAMENTOS, INYECTOLOGIA  Y CANALIZACION ",IF(P472=#REF!,"OPERADOR DE VEHICULOS DE EMERGENCIA (OVE)",IF(P472=#REF!,"INSTITUCIONES AMIGAS DE LA MUJER Y LA INFANCIA (IAMI)",IF(P472=#REF!,"CUIDADO DEL DONANTE DE ORGANOS",IF(P472=#REF!,"ATENCION A VICTIMAS POR VIOLENCIA DE GENERO",IF(P472=#REF!,"IGUALDAD DE GENERO EN LA SALUD",IF(P472=#REF!,"BRIGADA DE EMERGENCIA",IF(P472=#REF!,"MANEJO DEL DOLOR Y CUIDADOS PALIATIVOS",IF(P472=#REF!,"TOMA DE MUESTRAS Y LABORATORIO POCT",IF(P472=#REF!,"IMPLANTE SUBDERMICO DE DISPOSITIVO INTRAUTERINO",IF(P472=#REF!,"SALUD MENTAL",IF(P472=#REF!,"PRIMEROS AUXILIOS PSICOLOGICOS",IF(P472=#REF!,"ATENCION A VICTIMAS POR CONFLICTO ARMADO",IF(P472=#REF!,"MANIPULACION DE ALIMENTOS Y BPM",IF(P472=#REF!,"ATENCION A PERSONAS CON DISCAPACIDAD",IF(P472=#REF!,"CUIDADO INTEGRAL DEL PACIENTE ADULTO",IF(P472=#REF!,"MANEJO DEFENSIVO",IF(P472=#REF!,"SOPORTE CARDIOVASCULAR AVANZADO NEONATAL",IF(P472=#REF!,"SEGURIDAD DEL PACIENTE",IF(P472=#REF!,"MANEJO DE RESIDUOS HOSPITALARIOS"))))))))))))))))))))))))))))))))))))</f>
        <v>#REF!</v>
      </c>
      <c r="W472" s="26" t="str">
        <f>CONCATENATE(E472," ",F472," ",C472," ",D472)</f>
        <v>Edison Alexander Mora Barcenas</v>
      </c>
      <c r="X472" s="26" t="str">
        <f t="shared" si="33"/>
        <v>Edison Alexander Mora Barcenas</v>
      </c>
      <c r="Y472" s="26" t="str">
        <f>CONCATENATE(W472,"-",B472,"-",P472)</f>
        <v>Edison Alexander Mora Barcenas-1085323721-QUIMICOS</v>
      </c>
    </row>
    <row r="473" spans="1:25" s="19" customFormat="1" x14ac:dyDescent="0.2">
      <c r="A473" s="20">
        <v>220</v>
      </c>
      <c r="B473" s="21">
        <v>1192717048</v>
      </c>
      <c r="C473" s="21" t="s">
        <v>514</v>
      </c>
      <c r="D473" s="21" t="s">
        <v>515</v>
      </c>
      <c r="E473" s="21" t="s">
        <v>228</v>
      </c>
      <c r="F473" s="21" t="s">
        <v>306</v>
      </c>
      <c r="G473" s="21">
        <v>27</v>
      </c>
      <c r="H473" s="21" t="s">
        <v>49</v>
      </c>
      <c r="I473" s="22" t="s">
        <v>376</v>
      </c>
      <c r="J473" s="22"/>
      <c r="K473" s="23">
        <v>45684</v>
      </c>
      <c r="L473" s="42">
        <v>32000</v>
      </c>
      <c r="M473" s="21" t="s">
        <v>79</v>
      </c>
      <c r="N473" s="21" t="s">
        <v>387</v>
      </c>
      <c r="O473" s="21" t="s">
        <v>69</v>
      </c>
      <c r="P473" s="21" t="s">
        <v>34</v>
      </c>
      <c r="Q473" s="22">
        <v>37283</v>
      </c>
      <c r="R473" s="21" t="s">
        <v>71</v>
      </c>
      <c r="S473" s="21" t="s">
        <v>107</v>
      </c>
      <c r="T473" s="21">
        <v>3184075646</v>
      </c>
      <c r="U473" s="21" t="s">
        <v>516</v>
      </c>
      <c r="V473" s="26" t="e">
        <f>IF(P473=#REF!,"DIPLOMADO EN ATENCION PRE-HOSPITALARIA",IF(P473=#REF!,"ACOMPAÑAMIENTO Y MANEJO DEL DUELO",IF(P473=#REF!,"ATENCION A VICTIMAS DE ATAQUE CON AGENTES QUIMICOS ",IF(P473=#REF!,"PRIMEROS AUXILIOS ",IF(P473=#REF!,"DIPLOMADO DE UNIDAD DE CUIDADOS INTENSIVOS (UCI)",IF(P473=#REF!,"MODELO DE ATENCION PARA EVENTOS EMERGENTES EN SALUD MENTAL (CODIGO VERDE)",IF(P473=#REF!,"HUMANIZACION EN EL SERVICIO DE LA SALUD Y BUENAS PRACTICAS EN PACIENTE ",IF(P473=#REF!,"CLINICA DE HERIDAS ",IF(P473=#REF!,"TOMA DE CITOLOGIA CERVICO VAGINAL ",IF(P473=#REF!,"SOPORTE CARDIOVASCULAR AVANZADO (ACLS) ",IF(P473=#REF!,"CAMILLERO ",IF(P473=#REF!,"TOMA DE MUESTRAS Y LABORATORIO ",IF(P473=#REF!,"SOPORTE VITAL BASICO (BLS)",IF(P473=#REF!,"ATENCION A VICTIMAS DE VIOLENCIA SEXUAL ",IF(P473=#REF!,"PROGRAMADO AMPLIADO DE INMUNIZACION (PAI - COVID 19)",IF(P473=#REF!,"ATENCION INTEGRAL EN ENFERMEDADES PREVALENTES EN PRIMERA INFANCIA (AIEPI)",IF(P473=#REF!,"ADMINISTRACION DE MEDICAMENTOS, INYECTOLOGIA  Y CANALIZACION ",IF(P473=#REF!,"OPERADOR DE VEHICULOS DE EMERGENCIA (OVE)",IF(P473=#REF!,"INSTITUCIONES AMIGAS DE LA MUJER Y LA INFANCIA (IAMI)",IF(P473=#REF!,"CUIDADO DEL DONANTE DE ORGANOS",IF(P473=#REF!,"ATENCION A VICTIMAS POR VIOLENCIA DE GENERO",IF(P473=#REF!,"IGUALDAD DE GENERO EN LA SALUD",IF(P473=#REF!,"BRIGADA DE EMERGENCIA",IF(P473=#REF!,"MANEJO DEL DOLOR Y CUIDADOS PALIATIVOS",IF(P473=#REF!,"TOMA DE MUESTRAS Y LABORATORIO POCT",IF(P473=#REF!,"IMPLANTE SUBDERMICO DE DISPOSITIVO INTRAUTERINO",IF(P473=#REF!,"SALUD MENTAL",IF(P473=#REF!,"PRIMEROS AUXILIOS PSICOLOGICOS",IF(P473=#REF!,"ATENCION A VICTIMAS POR CONFLICTO ARMADO",IF(P473=#REF!,"MANIPULACION DE ALIMENTOS Y BPM",IF(P473=#REF!,"ATENCION A PERSONAS CON DISCAPACIDAD",IF(P473=#REF!,"CUIDADO INTEGRAL DEL PACIENTE ADULTO",IF(P473=#REF!,"MANEJO DEFENSIVO",IF(P473=#REF!,"SOPORTE CARDIOVASCULAR AVANZADO NEONATAL",IF(P473=#REF!,"SEGURIDAD DEL PACIENTE",IF(P473=#REF!,"MANEJO DE RESIDUOS HOSPITALARIOS"))))))))))))))))))))))))))))))))))))</f>
        <v>#REF!</v>
      </c>
      <c r="W473" s="26" t="str">
        <f>CONCATENATE(E473," ",F473," ",C473," ",D473)</f>
        <v>Gabriel Alexander Ruano Enriquez</v>
      </c>
      <c r="X473" s="26" t="str">
        <f t="shared" si="33"/>
        <v>Gabriel Alexander Ruano Enriquez</v>
      </c>
      <c r="Y473" s="26" t="str">
        <f>CONCATENATE(W473,"-",B473,"-",P473)</f>
        <v>Gabriel Alexander Ruano Enriquez-1192717048-PALIATIVOS</v>
      </c>
    </row>
    <row r="474" spans="1:25" s="19" customFormat="1" x14ac:dyDescent="0.2">
      <c r="A474" s="20">
        <v>221</v>
      </c>
      <c r="B474" s="21">
        <v>1192717048</v>
      </c>
      <c r="C474" s="21" t="s">
        <v>514</v>
      </c>
      <c r="D474" s="21" t="s">
        <v>515</v>
      </c>
      <c r="E474" s="21" t="s">
        <v>228</v>
      </c>
      <c r="F474" s="21" t="s">
        <v>306</v>
      </c>
      <c r="G474" s="21">
        <v>25</v>
      </c>
      <c r="H474" s="21" t="s">
        <v>49</v>
      </c>
      <c r="I474" s="22" t="s">
        <v>376</v>
      </c>
      <c r="J474" s="22"/>
      <c r="K474" s="23">
        <v>45684</v>
      </c>
      <c r="L474" s="42">
        <v>32000</v>
      </c>
      <c r="M474" s="21" t="s">
        <v>79</v>
      </c>
      <c r="N474" s="21" t="s">
        <v>387</v>
      </c>
      <c r="O474" s="21" t="s">
        <v>69</v>
      </c>
      <c r="P474" s="21" t="s">
        <v>20</v>
      </c>
      <c r="Q474" s="22">
        <v>37283</v>
      </c>
      <c r="R474" s="21" t="s">
        <v>71</v>
      </c>
      <c r="S474" s="21" t="s">
        <v>107</v>
      </c>
      <c r="T474" s="21">
        <v>3184075646</v>
      </c>
      <c r="U474" s="21" t="s">
        <v>516</v>
      </c>
      <c r="V474" s="26" t="e">
        <f>IF(P474=#REF!,"DIPLOMADO EN ATENCION PRE-HOSPITALARIA",IF(P474=#REF!,"ACOMPAÑAMIENTO Y MANEJO DEL DUELO",IF(P474=#REF!,"ATENCION A VICTIMAS DE ATAQUE CON AGENTES QUIMICOS ",IF(P474=#REF!,"PRIMEROS AUXILIOS ",IF(P474=#REF!,"DIPLOMADO DE UNIDAD DE CUIDADOS INTENSIVOS (UCI)",IF(P474=#REF!,"MODELO DE ATENCION PARA EVENTOS EMERGENTES EN SALUD MENTAL (CODIGO VERDE)",IF(P474=#REF!,"HUMANIZACION EN EL SERVICIO DE LA SALUD Y BUENAS PRACTICAS EN PACIENTE ",IF(P474=#REF!,"CLINICA DE HERIDAS ",IF(P474=#REF!,"TOMA DE CITOLOGIA CERVICO VAGINAL ",IF(P474=#REF!,"SOPORTE CARDIOVASCULAR AVANZADO (ACLS) ",IF(P474=#REF!,"CAMILLERO ",IF(P474=#REF!,"TOMA DE MUESTRAS Y LABORATORIO ",IF(P474=#REF!,"SOPORTE VITAL BASICO (BLS)",IF(P474=#REF!,"ATENCION A VICTIMAS DE VIOLENCIA SEXUAL ",IF(P474=#REF!,"PROGRAMADO AMPLIADO DE INMUNIZACION (PAI - COVID 19)",IF(P474=#REF!,"ATENCION INTEGRAL EN ENFERMEDADES PREVALENTES EN PRIMERA INFANCIA (AIEPI)",IF(P474=#REF!,"ADMINISTRACION DE MEDICAMENTOS, INYECTOLOGIA  Y CANALIZACION ",IF(P474=#REF!,"OPERADOR DE VEHICULOS DE EMERGENCIA (OVE)",IF(P474=#REF!,"INSTITUCIONES AMIGAS DE LA MUJER Y LA INFANCIA (IAMI)",IF(P474=#REF!,"CUIDADO DEL DONANTE DE ORGANOS",IF(P474=#REF!,"ATENCION A VICTIMAS POR VIOLENCIA DE GENERO",IF(P474=#REF!,"IGUALDAD DE GENERO EN LA SALUD",IF(P474=#REF!,"BRIGADA DE EMERGENCIA",IF(P474=#REF!,"MANEJO DEL DOLOR Y CUIDADOS PALIATIVOS",IF(P474=#REF!,"TOMA DE MUESTRAS Y LABORATORIO POCT",IF(P474=#REF!,"IMPLANTE SUBDERMICO DE DISPOSITIVO INTRAUTERINO",IF(P474=#REF!,"SALUD MENTAL",IF(P474=#REF!,"PRIMEROS AUXILIOS PSICOLOGICOS",IF(P474=#REF!,"ATENCION A VICTIMAS POR CONFLICTO ARMADO",IF(P474=#REF!,"MANIPULACION DE ALIMENTOS Y BPM",IF(P474=#REF!,"ATENCION A PERSONAS CON DISCAPACIDAD",IF(P474=#REF!,"CUIDADO INTEGRAL DEL PACIENTE ADULTO",IF(P474=#REF!,"MANEJO DEFENSIVO",IF(P474=#REF!,"SOPORTE CARDIOVASCULAR AVANZADO NEONATAL",IF(P474=#REF!,"SEGURIDAD DEL PACIENTE",IF(P474=#REF!,"MANEJO DE RESIDUOS HOSPITALARIOS"))))))))))))))))))))))))))))))))))))</f>
        <v>#REF!</v>
      </c>
      <c r="W474" s="26" t="str">
        <f>CONCATENATE(E474," ",F474," ",C474," ",D474)</f>
        <v>Gabriel Alexander Ruano Enriquez</v>
      </c>
      <c r="X474" s="26" t="str">
        <f t="shared" si="33"/>
        <v>Gabriel Alexander Ruano Enriquez</v>
      </c>
      <c r="Y474" s="26" t="str">
        <f>CONCATENATE(W474,"-",B474,"-",P474)</f>
        <v>Gabriel Alexander Ruano Enriquez-1192717048-DUELO</v>
      </c>
    </row>
    <row r="475" spans="1:25" s="19" customFormat="1" x14ac:dyDescent="0.2">
      <c r="A475" s="20">
        <v>222</v>
      </c>
      <c r="B475" s="21">
        <v>1192717048</v>
      </c>
      <c r="C475" s="21" t="s">
        <v>514</v>
      </c>
      <c r="D475" s="21" t="s">
        <v>515</v>
      </c>
      <c r="E475" s="21" t="s">
        <v>228</v>
      </c>
      <c r="F475" s="21" t="s">
        <v>306</v>
      </c>
      <c r="G475" s="21">
        <v>24</v>
      </c>
      <c r="H475" s="21" t="s">
        <v>49</v>
      </c>
      <c r="I475" s="22" t="s">
        <v>376</v>
      </c>
      <c r="J475" s="22"/>
      <c r="K475" s="23">
        <v>45684</v>
      </c>
      <c r="L475" s="42">
        <v>32000</v>
      </c>
      <c r="M475" s="21" t="s">
        <v>79</v>
      </c>
      <c r="N475" s="21" t="s">
        <v>387</v>
      </c>
      <c r="O475" s="21" t="s">
        <v>69</v>
      </c>
      <c r="P475" s="21" t="s">
        <v>21</v>
      </c>
      <c r="Q475" s="22">
        <v>37283</v>
      </c>
      <c r="R475" s="21" t="s">
        <v>71</v>
      </c>
      <c r="S475" s="21" t="s">
        <v>107</v>
      </c>
      <c r="T475" s="21">
        <v>3184075646</v>
      </c>
      <c r="U475" s="21" t="s">
        <v>516</v>
      </c>
      <c r="V475" s="26" t="e">
        <f>IF(P475=#REF!,"DIPLOMADO EN ATENCION PRE-HOSPITALARIA",IF(P475=#REF!,"ACOMPAÑAMIENTO Y MANEJO DEL DUELO",IF(P475=#REF!,"ATENCION A VICTIMAS DE ATAQUE CON AGENTES QUIMICOS ",IF(P475=#REF!,"PRIMEROS AUXILIOS ",IF(P475=#REF!,"DIPLOMADO DE UNIDAD DE CUIDADOS INTENSIVOS (UCI)",IF(P475=#REF!,"MODELO DE ATENCION PARA EVENTOS EMERGENTES EN SALUD MENTAL (CODIGO VERDE)",IF(P475=#REF!,"HUMANIZACION EN EL SERVICIO DE LA SALUD Y BUENAS PRACTICAS EN PACIENTE ",IF(P475=#REF!,"CLINICA DE HERIDAS ",IF(P475=#REF!,"TOMA DE CITOLOGIA CERVICO VAGINAL ",IF(P475=#REF!,"SOPORTE CARDIOVASCULAR AVANZADO (ACLS) ",IF(P475=#REF!,"CAMILLERO ",IF(P475=#REF!,"TOMA DE MUESTRAS Y LABORATORIO ",IF(P475=#REF!,"SOPORTE VITAL BASICO (BLS)",IF(P475=#REF!,"ATENCION A VICTIMAS DE VIOLENCIA SEXUAL ",IF(P475=#REF!,"PROGRAMADO AMPLIADO DE INMUNIZACION (PAI - COVID 19)",IF(P475=#REF!,"ATENCION INTEGRAL EN ENFERMEDADES PREVALENTES EN PRIMERA INFANCIA (AIEPI)",IF(P475=#REF!,"ADMINISTRACION DE MEDICAMENTOS, INYECTOLOGIA  Y CANALIZACION ",IF(P475=#REF!,"OPERADOR DE VEHICULOS DE EMERGENCIA (OVE)",IF(P475=#REF!,"INSTITUCIONES AMIGAS DE LA MUJER Y LA INFANCIA (IAMI)",IF(P475=#REF!,"CUIDADO DEL DONANTE DE ORGANOS",IF(P475=#REF!,"ATENCION A VICTIMAS POR VIOLENCIA DE GENERO",IF(P475=#REF!,"IGUALDAD DE GENERO EN LA SALUD",IF(P475=#REF!,"BRIGADA DE EMERGENCIA",IF(P475=#REF!,"MANEJO DEL DOLOR Y CUIDADOS PALIATIVOS",IF(P475=#REF!,"TOMA DE MUESTRAS Y LABORATORIO POCT",IF(P475=#REF!,"IMPLANTE SUBDERMICO DE DISPOSITIVO INTRAUTERINO",IF(P475=#REF!,"SALUD MENTAL",IF(P475=#REF!,"PRIMEROS AUXILIOS PSICOLOGICOS",IF(P475=#REF!,"ATENCION A VICTIMAS POR CONFLICTO ARMADO",IF(P475=#REF!,"MANIPULACION DE ALIMENTOS Y BPM",IF(P475=#REF!,"ATENCION A PERSONAS CON DISCAPACIDAD",IF(P475=#REF!,"CUIDADO INTEGRAL DEL PACIENTE ADULTO",IF(P475=#REF!,"MANEJO DEFENSIVO",IF(P475=#REF!,"SOPORTE CARDIOVASCULAR AVANZADO NEONATAL",IF(P475=#REF!,"SEGURIDAD DEL PACIENTE",IF(P475=#REF!,"MANEJO DE RESIDUOS HOSPITALARIOS"))))))))))))))))))))))))))))))))))))</f>
        <v>#REF!</v>
      </c>
      <c r="W475" s="26" t="str">
        <f>CONCATENATE(E475," ",F475," ",C475," ",D475)</f>
        <v>Gabriel Alexander Ruano Enriquez</v>
      </c>
      <c r="X475" s="26" t="str">
        <f t="shared" si="33"/>
        <v>Gabriel Alexander Ruano Enriquez</v>
      </c>
      <c r="Y475" s="26" t="str">
        <f>CONCATENATE(W475,"-",B475,"-",P475)</f>
        <v>Gabriel Alexander Ruano Enriquez-1192717048-QUIMICOS</v>
      </c>
    </row>
    <row r="476" spans="1:25" x14ac:dyDescent="0.2">
      <c r="A476" s="20">
        <v>223</v>
      </c>
      <c r="B476" s="21">
        <v>59822602</v>
      </c>
      <c r="C476" s="21" t="s">
        <v>164</v>
      </c>
      <c r="D476" s="21" t="s">
        <v>218</v>
      </c>
      <c r="E476" s="21" t="s">
        <v>183</v>
      </c>
      <c r="F476" s="21" t="s">
        <v>517</v>
      </c>
      <c r="G476" s="21">
        <v>28</v>
      </c>
      <c r="H476" s="21" t="s">
        <v>49</v>
      </c>
      <c r="I476" s="22" t="s">
        <v>376</v>
      </c>
      <c r="J476" s="22"/>
      <c r="K476" s="23">
        <v>45685</v>
      </c>
      <c r="L476" s="42">
        <v>32000</v>
      </c>
      <c r="M476" s="21" t="s">
        <v>79</v>
      </c>
      <c r="N476" s="21" t="s">
        <v>387</v>
      </c>
      <c r="O476" s="21" t="s">
        <v>69</v>
      </c>
      <c r="P476" s="21" t="s">
        <v>19</v>
      </c>
      <c r="Q476" s="22">
        <v>26779</v>
      </c>
      <c r="R476" s="21" t="s">
        <v>71</v>
      </c>
      <c r="S476" s="25" t="s">
        <v>107</v>
      </c>
      <c r="T476" s="21">
        <v>3024137818</v>
      </c>
      <c r="U476" s="21" t="s">
        <v>518</v>
      </c>
      <c r="V476" s="26" t="e">
        <f>IF(P476=#REF!,"DIPLOMADO EN ATENCION PRE-HOSPITALARIA",IF(P476=#REF!,"ACOMPAÑAMIENTO Y MANEJO DEL DUELO",IF(P476=#REF!,"ATENCION A VICTIMAS DE ATAQUE CON AGENTES QUIMICOS ",IF(P476=#REF!,"PRIMEROS AUXILIOS ",IF(P476=#REF!,"DIPLOMADO DE UNIDAD DE CUIDADOS INTENSIVOS (UCI)",IF(P476=#REF!,"MODELO DE ATENCION PARA EVENTOS EMERGENTES EN SALUD MENTAL (CODIGO VERDE)",IF(P476=#REF!,"HUMANIZACION EN EL SERVICIO DE LA SALUD Y BUENAS PRACTICAS EN PACIENTE ",IF(P476=#REF!,"CLINICA DE HERIDAS ",IF(P476=#REF!,"TOMA DE CITOLOGIA CERVICO VAGINAL ",IF(P476=#REF!,"SOPORTE CARDIOVASCULAR AVANZADO (ACLS) ",IF(P476=#REF!,"CAMILLERO ",IF(P476=#REF!,"TOMA DE MUESTRAS Y LABORATORIO ",IF(P476=#REF!,"SOPORTE VITAL BASICO (BLS)",IF(P476=#REF!,"ATENCION A VICTIMAS DE VIOLENCIA SEXUAL ",IF(P476=#REF!,"PROGRAMADO AMPLIADO DE INMUNIZACION (PAI - COVID 19)",IF(P476=#REF!,"ATENCION INTEGRAL EN ENFERMEDADES PREVALENTES EN PRIMERA INFANCIA (AIEPI)",IF(P476=#REF!,"ADMINISTRACION DE MEDICAMENTOS, INYECTOLOGIA  Y CANALIZACION ",IF(P476=#REF!,"OPERADOR DE VEHICULOS DE EMERGENCIA (OVE)",IF(P476=#REF!,"INSTITUCIONES AMIGAS DE LA MUJER Y LA INFANCIA (IAMI)",IF(P476=#REF!,"CUIDADO DEL DONANTE DE ORGANOS",IF(P476=#REF!,"ATENCION A VICTIMAS POR VIOLENCIA DE GENERO",IF(P476=#REF!,"IGUALDAD DE GENERO EN LA SALUD",IF(P476=#REF!,"BRIGADA DE EMERGENCIA",IF(P476=#REF!,"MANEJO DEL DOLOR Y CUIDADOS PALIATIVOS",IF(P476=#REF!,"TOMA DE MUESTRAS Y LABORATORIO POCT",IF(P476=#REF!,"IMPLANTE SUBDERMICO DE DISPOSITIVO INTRAUTERINO",IF(P476=#REF!,"SALUD MENTAL",IF(P476=#REF!,"PRIMEROS AUXILIOS PSICOLOGICOS",IF(P476=#REF!,"ATENCION A VICTIMAS POR CONFLICTO ARMADO",IF(P476=#REF!,"MANIPULACION DE ALIMENTOS Y BPM",IF(P476=#REF!,"ATENCION A PERSONAS CON DISCAPACIDAD",IF(P476=#REF!,"CUIDADO INTEGRAL DEL PACIENTE ADULTO",IF(P476=#REF!,"MANEJO DEFENSIVO",IF(P476=#REF!,"SOPORTE CARDIOVASCULAR AVANZADO NEONATAL",IF(P476=#REF!,"SEGURIDAD DEL PACIENTE",IF(P476=#REF!,"MANEJO DE RESIDUOS HOSPITALARIOS"))))))))))))))))))))))))))))))))))))</f>
        <v>#REF!</v>
      </c>
      <c r="W476" s="26" t="str">
        <f>CONCATENATE(E476," ",F476," ",C476," ",D476)</f>
        <v>Maria Yanety Pantoja Tarapuez</v>
      </c>
      <c r="X476" s="26" t="str">
        <f t="shared" si="33"/>
        <v>Maria Yanety Pantoja Tarapuez</v>
      </c>
      <c r="Y476" s="26" t="str">
        <f>CONCATENATE(W476,"-",B476,"-",P476)</f>
        <v>Maria Yanety Pantoja Tarapuez-59822602-BLS</v>
      </c>
    </row>
    <row r="477" spans="1:25" x14ac:dyDescent="0.2">
      <c r="A477" s="20">
        <v>224</v>
      </c>
      <c r="B477" s="21">
        <v>59822602</v>
      </c>
      <c r="C477" s="21" t="s">
        <v>164</v>
      </c>
      <c r="D477" s="21" t="s">
        <v>218</v>
      </c>
      <c r="E477" s="21" t="s">
        <v>183</v>
      </c>
      <c r="F477" s="21" t="s">
        <v>517</v>
      </c>
      <c r="G477" s="21">
        <v>27</v>
      </c>
      <c r="H477" s="21" t="s">
        <v>49</v>
      </c>
      <c r="I477" s="22" t="s">
        <v>376</v>
      </c>
      <c r="J477" s="22"/>
      <c r="K477" s="23">
        <v>45685</v>
      </c>
      <c r="L477" s="42">
        <v>32000</v>
      </c>
      <c r="M477" s="21" t="s">
        <v>79</v>
      </c>
      <c r="N477" s="21" t="s">
        <v>387</v>
      </c>
      <c r="O477" s="21" t="s">
        <v>69</v>
      </c>
      <c r="P477" s="21" t="s">
        <v>27</v>
      </c>
      <c r="Q477" s="22">
        <v>26779</v>
      </c>
      <c r="R477" s="21" t="s">
        <v>71</v>
      </c>
      <c r="S477" s="25" t="s">
        <v>107</v>
      </c>
      <c r="T477" s="21">
        <v>3024137818</v>
      </c>
      <c r="U477" s="21" t="s">
        <v>518</v>
      </c>
      <c r="V477" s="26" t="e">
        <f>IF(P477=#REF!,"DIPLOMADO EN ATENCION PRE-HOSPITALARIA",IF(P477=#REF!,"ACOMPAÑAMIENTO Y MANEJO DEL DUELO",IF(P477=#REF!,"ATENCION A VICTIMAS DE ATAQUE CON AGENTES QUIMICOS ",IF(P477=#REF!,"PRIMEROS AUXILIOS ",IF(P477=#REF!,"DIPLOMADO DE UNIDAD DE CUIDADOS INTENSIVOS (UCI)",IF(P477=#REF!,"MODELO DE ATENCION PARA EVENTOS EMERGENTES EN SALUD MENTAL (CODIGO VERDE)",IF(P477=#REF!,"HUMANIZACION EN EL SERVICIO DE LA SALUD Y BUENAS PRACTICAS EN PACIENTE ",IF(P477=#REF!,"CLINICA DE HERIDAS ",IF(P477=#REF!,"TOMA DE CITOLOGIA CERVICO VAGINAL ",IF(P477=#REF!,"SOPORTE CARDIOVASCULAR AVANZADO (ACLS) ",IF(P477=#REF!,"CAMILLERO ",IF(P477=#REF!,"TOMA DE MUESTRAS Y LABORATORIO ",IF(P477=#REF!,"SOPORTE VITAL BASICO (BLS)",IF(P477=#REF!,"ATENCION A VICTIMAS DE VIOLENCIA SEXUAL ",IF(P477=#REF!,"PROGRAMADO AMPLIADO DE INMUNIZACION (PAI - COVID 19)",IF(P477=#REF!,"ATENCION INTEGRAL EN ENFERMEDADES PREVALENTES EN PRIMERA INFANCIA (AIEPI)",IF(P477=#REF!,"ADMINISTRACION DE MEDICAMENTOS, INYECTOLOGIA  Y CANALIZACION ",IF(P477=#REF!,"OPERADOR DE VEHICULOS DE EMERGENCIA (OVE)",IF(P477=#REF!,"INSTITUCIONES AMIGAS DE LA MUJER Y LA INFANCIA (IAMI)",IF(P477=#REF!,"CUIDADO DEL DONANTE DE ORGANOS",IF(P477=#REF!,"ATENCION A VICTIMAS POR VIOLENCIA DE GENERO",IF(P477=#REF!,"IGUALDAD DE GENERO EN LA SALUD",IF(P477=#REF!,"BRIGADA DE EMERGENCIA",IF(P477=#REF!,"MANEJO DEL DOLOR Y CUIDADOS PALIATIVOS",IF(P477=#REF!,"TOMA DE MUESTRAS Y LABORATORIO POCT",IF(P477=#REF!,"IMPLANTE SUBDERMICO DE DISPOSITIVO INTRAUTERINO",IF(P477=#REF!,"SALUD MENTAL",IF(P477=#REF!,"PRIMEROS AUXILIOS PSICOLOGICOS",IF(P477=#REF!,"ATENCION A VICTIMAS POR CONFLICTO ARMADO",IF(P477=#REF!,"MANIPULACION DE ALIMENTOS Y BPM",IF(P477=#REF!,"ATENCION A PERSONAS CON DISCAPACIDAD",IF(P477=#REF!,"CUIDADO INTEGRAL DEL PACIENTE ADULTO",IF(P477=#REF!,"MANEJO DEFENSIVO",IF(P477=#REF!,"SOPORTE CARDIOVASCULAR AVANZADO NEONATAL",IF(P477=#REF!,"SEGURIDAD DEL PACIENTE",IF(P477=#REF!,"MANEJO DE RESIDUOS HOSPITALARIOS"))))))))))))))))))))))))))))))))))))</f>
        <v>#REF!</v>
      </c>
      <c r="W477" s="26" t="str">
        <f>CONCATENATE(E477," ",F477," ",C477," ",D477)</f>
        <v>Maria Yanety Pantoja Tarapuez</v>
      </c>
      <c r="X477" s="26" t="str">
        <f t="shared" si="33"/>
        <v>Maria Yanety Pantoja Tarapuez</v>
      </c>
      <c r="Y477" s="26" t="str">
        <f>CONCATENATE(W477,"-",B477,"-",P477)</f>
        <v>Maria Yanety Pantoja Tarapuez-59822602-VIOLENCIA SEXUAL</v>
      </c>
    </row>
    <row r="478" spans="1:25" x14ac:dyDescent="0.2">
      <c r="A478" s="20">
        <v>225</v>
      </c>
      <c r="B478" s="21">
        <v>59822602</v>
      </c>
      <c r="C478" s="21" t="s">
        <v>164</v>
      </c>
      <c r="D478" s="21" t="s">
        <v>218</v>
      </c>
      <c r="E478" s="21" t="s">
        <v>183</v>
      </c>
      <c r="F478" s="21" t="s">
        <v>517</v>
      </c>
      <c r="G478" s="21">
        <v>27</v>
      </c>
      <c r="H478" s="21" t="s">
        <v>49</v>
      </c>
      <c r="I478" s="22" t="s">
        <v>376</v>
      </c>
      <c r="J478" s="22"/>
      <c r="K478" s="23">
        <v>45685</v>
      </c>
      <c r="L478" s="42">
        <v>32000</v>
      </c>
      <c r="M478" s="21" t="s">
        <v>79</v>
      </c>
      <c r="N478" s="21" t="s">
        <v>387</v>
      </c>
      <c r="O478" s="21" t="s">
        <v>69</v>
      </c>
      <c r="P478" s="21" t="s">
        <v>21</v>
      </c>
      <c r="Q478" s="22">
        <v>26779</v>
      </c>
      <c r="R478" s="21" t="s">
        <v>71</v>
      </c>
      <c r="S478" s="25" t="s">
        <v>107</v>
      </c>
      <c r="T478" s="21">
        <v>3024137818</v>
      </c>
      <c r="U478" s="21" t="s">
        <v>518</v>
      </c>
      <c r="V478" s="26" t="e">
        <f>IF(P478=#REF!,"DIPLOMADO EN ATENCION PRE-HOSPITALARIA",IF(P478=#REF!,"ACOMPAÑAMIENTO Y MANEJO DEL DUELO",IF(P478=#REF!,"ATENCION A VICTIMAS DE ATAQUE CON AGENTES QUIMICOS ",IF(P478=#REF!,"PRIMEROS AUXILIOS ",IF(P478=#REF!,"DIPLOMADO DE UNIDAD DE CUIDADOS INTENSIVOS (UCI)",IF(P478=#REF!,"MODELO DE ATENCION PARA EVENTOS EMERGENTES EN SALUD MENTAL (CODIGO VERDE)",IF(P478=#REF!,"HUMANIZACION EN EL SERVICIO DE LA SALUD Y BUENAS PRACTICAS EN PACIENTE ",IF(P478=#REF!,"CLINICA DE HERIDAS ",IF(P478=#REF!,"TOMA DE CITOLOGIA CERVICO VAGINAL ",IF(P478=#REF!,"SOPORTE CARDIOVASCULAR AVANZADO (ACLS) ",IF(P478=#REF!,"CAMILLERO ",IF(P478=#REF!,"TOMA DE MUESTRAS Y LABORATORIO ",IF(P478=#REF!,"SOPORTE VITAL BASICO (BLS)",IF(P478=#REF!,"ATENCION A VICTIMAS DE VIOLENCIA SEXUAL ",IF(P478=#REF!,"PROGRAMADO AMPLIADO DE INMUNIZACION (PAI - COVID 19)",IF(P478=#REF!,"ATENCION INTEGRAL EN ENFERMEDADES PREVALENTES EN PRIMERA INFANCIA (AIEPI)",IF(P478=#REF!,"ADMINISTRACION DE MEDICAMENTOS, INYECTOLOGIA  Y CANALIZACION ",IF(P478=#REF!,"OPERADOR DE VEHICULOS DE EMERGENCIA (OVE)",IF(P478=#REF!,"INSTITUCIONES AMIGAS DE LA MUJER Y LA INFANCIA (IAMI)",IF(P478=#REF!,"CUIDADO DEL DONANTE DE ORGANOS",IF(P478=#REF!,"ATENCION A VICTIMAS POR VIOLENCIA DE GENERO",IF(P478=#REF!,"IGUALDAD DE GENERO EN LA SALUD",IF(P478=#REF!,"BRIGADA DE EMERGENCIA",IF(P478=#REF!,"MANEJO DEL DOLOR Y CUIDADOS PALIATIVOS",IF(P478=#REF!,"TOMA DE MUESTRAS Y LABORATORIO POCT",IF(P478=#REF!,"IMPLANTE SUBDERMICO DE DISPOSITIVO INTRAUTERINO",IF(P478=#REF!,"SALUD MENTAL",IF(P478=#REF!,"PRIMEROS AUXILIOS PSICOLOGICOS",IF(P478=#REF!,"ATENCION A VICTIMAS POR CONFLICTO ARMADO",IF(P478=#REF!,"MANIPULACION DE ALIMENTOS Y BPM",IF(P478=#REF!,"ATENCION A PERSONAS CON DISCAPACIDAD",IF(P478=#REF!,"CUIDADO INTEGRAL DEL PACIENTE ADULTO",IF(P478=#REF!,"MANEJO DEFENSIVO",IF(P478=#REF!,"SOPORTE CARDIOVASCULAR AVANZADO NEONATAL",IF(P478=#REF!,"SEGURIDAD DEL PACIENTE",IF(P478=#REF!,"MANEJO DE RESIDUOS HOSPITALARIOS"))))))))))))))))))))))))))))))))))))</f>
        <v>#REF!</v>
      </c>
      <c r="W478" s="26" t="str">
        <f>CONCATENATE(E478," ",F478," ",C478," ",D478)</f>
        <v>Maria Yanety Pantoja Tarapuez</v>
      </c>
      <c r="X478" s="26" t="str">
        <f t="shared" si="33"/>
        <v>Maria Yanety Pantoja Tarapuez</v>
      </c>
      <c r="Y478" s="26" t="str">
        <f>CONCATENATE(W478,"-",B478,"-",P478)</f>
        <v>Maria Yanety Pantoja Tarapuez-59822602-QUIMICOS</v>
      </c>
    </row>
    <row r="479" spans="1:25" x14ac:dyDescent="0.2">
      <c r="A479" s="20">
        <v>226</v>
      </c>
      <c r="B479" s="21">
        <v>1085296693</v>
      </c>
      <c r="C479" s="21" t="s">
        <v>519</v>
      </c>
      <c r="D479" s="21" t="s">
        <v>520</v>
      </c>
      <c r="E479" s="21" t="s">
        <v>521</v>
      </c>
      <c r="F479" s="21" t="s">
        <v>210</v>
      </c>
      <c r="G479" s="21">
        <v>28</v>
      </c>
      <c r="H479" s="21" t="s">
        <v>49</v>
      </c>
      <c r="I479" s="21" t="s">
        <v>376</v>
      </c>
      <c r="J479" s="21"/>
      <c r="K479" s="23">
        <v>45685</v>
      </c>
      <c r="L479" s="42">
        <v>32000</v>
      </c>
      <c r="M479" s="21" t="s">
        <v>106</v>
      </c>
      <c r="N479" s="21" t="s">
        <v>387</v>
      </c>
      <c r="O479" s="21" t="s">
        <v>77</v>
      </c>
      <c r="P479" s="21" t="s">
        <v>30</v>
      </c>
      <c r="Q479" s="22">
        <v>33745</v>
      </c>
      <c r="R479" s="21" t="s">
        <v>70</v>
      </c>
      <c r="S479" s="21" t="s">
        <v>131</v>
      </c>
      <c r="T479" s="21">
        <v>3174455934</v>
      </c>
      <c r="U479" s="21" t="s">
        <v>524</v>
      </c>
      <c r="V479" s="26" t="e">
        <f>IF(P479=#REF!,"DIPLOMADO EN ATENCION PRE-HOSPITALARIA",IF(P479=#REF!,"ACOMPAÑAMIENTO Y MANEJO DEL DUELO",IF(P479=#REF!,"ATENCION A VICTIMAS DE ATAQUE CON AGENTES QUIMICOS ",IF(P479=#REF!,"PRIMEROS AUXILIOS ",IF(P479=#REF!,"DIPLOMADO DE UNIDAD DE CUIDADOS INTENSIVOS (UCI)",IF(P479=#REF!,"MODELO DE ATENCION PARA EVENTOS EMERGENTES EN SALUD MENTAL (CODIGO VERDE)",IF(P479=#REF!,"HUMANIZACION EN EL SERVICIO DE LA SALUD Y BUENAS PRACTICAS EN PACIENTE ",IF(P479=#REF!,"CLINICA DE HERIDAS ",IF(P479=#REF!,"TOMA DE CITOLOGIA CERVICO VAGINAL ",IF(P479=#REF!,"SOPORTE CARDIOVASCULAR AVANZADO (ACLS) ",IF(P479=#REF!,"CAMILLERO ",IF(P479=#REF!,"TOMA DE MUESTRAS Y LABORATORIO ",IF(P479=#REF!,"SOPORTE VITAL BASICO (BLS)",IF(P479=#REF!,"ATENCION A VICTIMAS DE VIOLENCIA SEXUAL ",IF(P479=#REF!,"PROGRAMADO AMPLIADO DE INMUNIZACION (PAI - COVID 19)",IF(P479=#REF!,"ATENCION INTEGRAL EN ENFERMEDADES PREVALENTES EN PRIMERA INFANCIA (AIEPI)",IF(P479=#REF!,"ADMINISTRACION DE MEDICAMENTOS, INYECTOLOGIA  Y CANALIZACION ",IF(P479=#REF!,"OPERADOR DE VEHICULOS DE EMERGENCIA (OVE)",IF(P479=#REF!,"INSTITUCIONES AMIGAS DE LA MUJER Y LA INFANCIA (IAMI)",IF(P479=#REF!,"CUIDADO DEL DONANTE DE ORGANOS",IF(P479=#REF!,"ATENCION A VICTIMAS POR VIOLENCIA DE GENERO",IF(P479=#REF!,"IGUALDAD DE GENERO EN LA SALUD",IF(P479=#REF!,"BRIGADA DE EMERGENCIA",IF(P479=#REF!,"MANEJO DEL DOLOR Y CUIDADOS PALIATIVOS",IF(P479=#REF!,"TOMA DE MUESTRAS Y LABORATORIO POCT",IF(P479=#REF!,"IMPLANTE SUBDERMICO DE DISPOSITIVO INTRAUTERINO",IF(P479=#REF!,"SALUD MENTAL",IF(P479=#REF!,"PRIMEROS AUXILIOS PSICOLOGICOS",IF(P479=#REF!,"ATENCION A VICTIMAS POR CONFLICTO ARMADO",IF(P479=#REF!,"MANIPULACION DE ALIMENTOS Y BPM",IF(P479=#REF!,"ATENCION A PERSONAS CON DISCAPACIDAD",IF(P479=#REF!,"CUIDADO INTEGRAL DEL PACIENTE ADULTO",IF(P479=#REF!,"MANEJO DEFENSIVO",IF(P479=#REF!,"SOPORTE CARDIOVASCULAR AVANZADO NEONATAL",IF(P479=#REF!,"SEGURIDAD DEL PACIENTE",IF(P479=#REF!,"MANEJO DE RESIDUOS HOSPITALARIOS"))))))))))))))))))))))))))))))))))))</f>
        <v>#REF!</v>
      </c>
      <c r="W479" s="26" t="str">
        <f>CONCATENATE(E479," ",F479," ",C479," ",D479)</f>
        <v>Dario Orlando Pinza Lasso</v>
      </c>
      <c r="X479" s="26" t="str">
        <f t="shared" si="33"/>
        <v>Dario Orlando Pinza Lasso</v>
      </c>
      <c r="Y479" s="26" t="str">
        <f>CONCATENATE(W479,"-",B479,"-",P479)</f>
        <v>Dario Orlando Pinza Lasso-1085296693-OVE</v>
      </c>
    </row>
    <row r="480" spans="1:25" x14ac:dyDescent="0.2">
      <c r="A480" s="36">
        <v>227</v>
      </c>
      <c r="B480" s="37">
        <v>87070408</v>
      </c>
      <c r="C480" s="37" t="s">
        <v>404</v>
      </c>
      <c r="D480" s="37" t="s">
        <v>522</v>
      </c>
      <c r="E480" s="37" t="s">
        <v>523</v>
      </c>
      <c r="F480" s="37" t="s">
        <v>369</v>
      </c>
      <c r="G480" s="37">
        <v>28</v>
      </c>
      <c r="H480" s="37" t="s">
        <v>49</v>
      </c>
      <c r="I480" s="37" t="s">
        <v>376</v>
      </c>
      <c r="J480" s="37"/>
      <c r="K480" s="39">
        <v>45685</v>
      </c>
      <c r="L480" s="44">
        <v>32000</v>
      </c>
      <c r="M480" s="37" t="s">
        <v>106</v>
      </c>
      <c r="N480" s="37" t="s">
        <v>387</v>
      </c>
      <c r="O480" s="37" t="s">
        <v>77</v>
      </c>
      <c r="P480" s="37" t="s">
        <v>30</v>
      </c>
      <c r="Q480" s="38"/>
      <c r="R480" s="37" t="s">
        <v>70</v>
      </c>
      <c r="S480" s="37" t="s">
        <v>131</v>
      </c>
      <c r="T480" s="37">
        <v>3174455934</v>
      </c>
      <c r="U480" s="37" t="s">
        <v>524</v>
      </c>
      <c r="V480" s="41" t="e">
        <f>IF(P480=#REF!,"DIPLOMADO EN ATENCION PRE-HOSPITALARIA",IF(P480=#REF!,"ACOMPAÑAMIENTO Y MANEJO DEL DUELO",IF(P480=#REF!,"ATENCION A VICTIMAS DE ATAQUE CON AGENTES QUIMICOS ",IF(P480=#REF!,"PRIMEROS AUXILIOS ",IF(P480=#REF!,"DIPLOMADO DE UNIDAD DE CUIDADOS INTENSIVOS (UCI)",IF(P480=#REF!,"MODELO DE ATENCION PARA EVENTOS EMERGENTES EN SALUD MENTAL (CODIGO VERDE)",IF(P480=#REF!,"HUMANIZACION EN EL SERVICIO DE LA SALUD Y BUENAS PRACTICAS EN PACIENTE ",IF(P480=#REF!,"CLINICA DE HERIDAS ",IF(P480=#REF!,"TOMA DE CITOLOGIA CERVICO VAGINAL ",IF(P480=#REF!,"SOPORTE CARDIOVASCULAR AVANZADO (ACLS) ",IF(P480=#REF!,"CAMILLERO ",IF(P480=#REF!,"TOMA DE MUESTRAS Y LABORATORIO ",IF(P480=#REF!,"SOPORTE VITAL BASICO (BLS)",IF(P480=#REF!,"ATENCION A VICTIMAS DE VIOLENCIA SEXUAL ",IF(P480=#REF!,"PROGRAMADO AMPLIADO DE INMUNIZACION (PAI - COVID 19)",IF(P480=#REF!,"ATENCION INTEGRAL EN ENFERMEDADES PREVALENTES EN PRIMERA INFANCIA (AIEPI)",IF(P480=#REF!,"ADMINISTRACION DE MEDICAMENTOS, INYECTOLOGIA  Y CANALIZACION ",IF(P480=#REF!,"OPERADOR DE VEHICULOS DE EMERGENCIA (OVE)",IF(P480=#REF!,"INSTITUCIONES AMIGAS DE LA MUJER Y LA INFANCIA (IAMI)",IF(P480=#REF!,"CUIDADO DEL DONANTE DE ORGANOS",IF(P480=#REF!,"ATENCION A VICTIMAS POR VIOLENCIA DE GENERO",IF(P480=#REF!,"IGUALDAD DE GENERO EN LA SALUD",IF(P480=#REF!,"BRIGADA DE EMERGENCIA",IF(P480=#REF!,"MANEJO DEL DOLOR Y CUIDADOS PALIATIVOS",IF(P480=#REF!,"TOMA DE MUESTRAS Y LABORATORIO POCT",IF(P480=#REF!,"IMPLANTE SUBDERMICO DE DISPOSITIVO INTRAUTERINO",IF(P480=#REF!,"SALUD MENTAL",IF(P480=#REF!,"PRIMEROS AUXILIOS PSICOLOGICOS",IF(P480=#REF!,"ATENCION A VICTIMAS POR CONFLICTO ARMADO",IF(P480=#REF!,"MANIPULACION DE ALIMENTOS Y BPM",IF(P480=#REF!,"ATENCION A PERSONAS CON DISCAPACIDAD",IF(P480=#REF!,"CUIDADO INTEGRAL DEL PACIENTE ADULTO",IF(P480=#REF!,"MANEJO DEFENSIVO",IF(P480=#REF!,"SOPORTE CARDIOVASCULAR AVANZADO NEONATAL",IF(P480=#REF!,"SEGURIDAD DEL PACIENTE",IF(P480=#REF!,"MANEJO DE RESIDUOS HOSPITALARIOS"))))))))))))))))))))))))))))))))))))</f>
        <v>#REF!</v>
      </c>
      <c r="W480" s="41" t="str">
        <f>CONCATENATE(E480," ",F480," ",C480," ",D480)</f>
        <v>Diego Fernando Madroñero Agreda</v>
      </c>
      <c r="X480" s="41" t="str">
        <f t="shared" si="33"/>
        <v>Diego Fernando Madroñero Agreda</v>
      </c>
      <c r="Y480" s="41" t="str">
        <f>CONCATENATE(W480,"-",B480,"-",P480)</f>
        <v>Diego Fernando Madroñero Agreda-87070408-OVE</v>
      </c>
    </row>
    <row r="481" spans="1:25" s="19" customFormat="1" x14ac:dyDescent="0.2">
      <c r="A481" s="20">
        <v>228</v>
      </c>
      <c r="B481" s="21">
        <v>36754429</v>
      </c>
      <c r="C481" s="21" t="s">
        <v>174</v>
      </c>
      <c r="D481" s="21" t="s">
        <v>422</v>
      </c>
      <c r="E481" s="21" t="s">
        <v>525</v>
      </c>
      <c r="F481" s="21" t="s">
        <v>526</v>
      </c>
      <c r="G481" s="21">
        <v>28</v>
      </c>
      <c r="H481" s="21" t="s">
        <v>49</v>
      </c>
      <c r="I481" s="21" t="s">
        <v>377</v>
      </c>
      <c r="J481" s="21"/>
      <c r="K481" s="23" t="s">
        <v>563</v>
      </c>
      <c r="L481" s="42">
        <v>65000</v>
      </c>
      <c r="M481" s="21" t="s">
        <v>79</v>
      </c>
      <c r="N481" s="21" t="s">
        <v>387</v>
      </c>
      <c r="O481" s="21" t="s">
        <v>69</v>
      </c>
      <c r="P481" s="21" t="s">
        <v>23</v>
      </c>
      <c r="Q481" s="22">
        <v>28579</v>
      </c>
      <c r="R481" s="21" t="s">
        <v>71</v>
      </c>
      <c r="S481" s="21" t="s">
        <v>527</v>
      </c>
      <c r="T481" s="21">
        <v>3128354750</v>
      </c>
      <c r="U481" s="21" t="s">
        <v>528</v>
      </c>
      <c r="V481" s="26" t="e">
        <f>IF(P481=#REF!,"DIPLOMADO EN ATENCION PRE-HOSPITALARIA",IF(P481=#REF!,"ACOMPAÑAMIENTO Y MANEJO DEL DUELO",IF(P481=#REF!,"ATENCION A VICTIMAS DE ATAQUE CON AGENTES QUIMICOS ",IF(P481=#REF!,"PRIMEROS AUXILIOS ",IF(P481=#REF!,"DIPLOMADO DE UNIDAD DE CUIDADOS INTENSIVOS (UCI)",IF(P481=#REF!,"MODELO DE ATENCION PARA EVENTOS EMERGENTES EN SALUD MENTAL (CODIGO VERDE)",IF(P481=#REF!,"HUMANIZACION EN EL SERVICIO DE LA SALUD Y BUENAS PRACTICAS EN PACIENTE ",IF(P481=#REF!,"CLINICA DE HERIDAS ",IF(P481=#REF!,"TOMA DE CITOLOGIA CERVICO VAGINAL ",IF(P481=#REF!,"SOPORTE CARDIOVASCULAR AVANZADO (ACLS) ",IF(P481=#REF!,"CAMILLERO ",IF(P481=#REF!,"TOMA DE MUESTRAS Y LABORATORIO ",IF(P481=#REF!,"SOPORTE VITAL BASICO (BLS)",IF(P481=#REF!,"ATENCION A VICTIMAS DE VIOLENCIA SEXUAL ",IF(P481=#REF!,"PROGRAMADO AMPLIADO DE INMUNIZACION (PAI - COVID 19)",IF(P481=#REF!,"ATENCION INTEGRAL EN ENFERMEDADES PREVALENTES EN PRIMERA INFANCIA (AIEPI)",IF(P481=#REF!,"ADMINISTRACION DE MEDICAMENTOS, INYECTOLOGIA  Y CANALIZACION ",IF(P481=#REF!,"OPERADOR DE VEHICULOS DE EMERGENCIA (OVE)",IF(P481=#REF!,"INSTITUCIONES AMIGAS DE LA MUJER Y LA INFANCIA (IAMI)",IF(P481=#REF!,"CUIDADO DEL DONANTE DE ORGANOS",IF(P481=#REF!,"ATENCION A VICTIMAS POR VIOLENCIA DE GENERO",IF(P481=#REF!,"IGUALDAD DE GENERO EN LA SALUD",IF(P481=#REF!,"BRIGADA DE EMERGENCIA",IF(P481=#REF!,"MANEJO DEL DOLOR Y CUIDADOS PALIATIVOS",IF(P481=#REF!,"TOMA DE MUESTRAS Y LABORATORIO POCT",IF(P481=#REF!,"IMPLANTE SUBDERMICO DE DISPOSITIVO INTRAUTERINO",IF(P481=#REF!,"SALUD MENTAL",IF(P481=#REF!,"PRIMEROS AUXILIOS PSICOLOGICOS",IF(P481=#REF!,"ATENCION A VICTIMAS POR CONFLICTO ARMADO",IF(P481=#REF!,"MANIPULACION DE ALIMENTOS Y BPM",IF(P481=#REF!,"ATENCION A PERSONAS CON DISCAPACIDAD",IF(P481=#REF!,"CUIDADO INTEGRAL DEL PACIENTE ADULTO",IF(P481=#REF!,"MANEJO DEFENSIVO",IF(P481=#REF!,"SOPORTE CARDIOVASCULAR AVANZADO NEONATAL",IF(P481=#REF!,"SEGURIDAD DEL PACIENTE",IF(P481=#REF!,"MANEJO DE RESIDUOS HOSPITALARIOS"))))))))))))))))))))))))))))))))))))</f>
        <v>#REF!</v>
      </c>
      <c r="W481" s="26" t="str">
        <f>CONCATENATE(E481," ",F481," ",C481," ",D481)</f>
        <v>Anny Lisset Guevara Diaz</v>
      </c>
      <c r="X481" s="26" t="str">
        <f t="shared" si="33"/>
        <v>Anny Lisset Guevara Diaz</v>
      </c>
      <c r="Y481" s="26" t="str">
        <f>CONCATENATE(W481,"-",B481,"-",P481)</f>
        <v>Anny Lisset Guevara Diaz-36754429-HUMANIZACION</v>
      </c>
    </row>
    <row r="482" spans="1:25" x14ac:dyDescent="0.2">
      <c r="A482" s="36">
        <v>229</v>
      </c>
      <c r="B482" s="37">
        <v>87451735</v>
      </c>
      <c r="C482" s="37" t="s">
        <v>197</v>
      </c>
      <c r="D482" s="37" t="s">
        <v>169</v>
      </c>
      <c r="E482" s="37" t="s">
        <v>529</v>
      </c>
      <c r="F482" s="37" t="s">
        <v>530</v>
      </c>
      <c r="G482" s="37">
        <v>28</v>
      </c>
      <c r="H482" s="37" t="s">
        <v>49</v>
      </c>
      <c r="I482" s="37" t="s">
        <v>376</v>
      </c>
      <c r="J482" s="37"/>
      <c r="K482" s="23">
        <v>45688</v>
      </c>
      <c r="L482" s="44">
        <v>32000</v>
      </c>
      <c r="M482" s="37" t="s">
        <v>106</v>
      </c>
      <c r="N482" s="37" t="s">
        <v>387</v>
      </c>
      <c r="O482" s="37" t="s">
        <v>95</v>
      </c>
      <c r="P482" s="37" t="s">
        <v>19</v>
      </c>
      <c r="Q482" s="38">
        <v>22867</v>
      </c>
      <c r="R482" s="37" t="s">
        <v>70</v>
      </c>
      <c r="S482" s="37" t="s">
        <v>131</v>
      </c>
      <c r="T482" s="37">
        <v>3207157013</v>
      </c>
      <c r="U482" s="37" t="s">
        <v>531</v>
      </c>
      <c r="V482" s="41" t="e">
        <f>IF(P482=#REF!,"DIPLOMADO EN ATENCION PRE-HOSPITALARIA",IF(P482=#REF!,"ACOMPAÑAMIENTO Y MANEJO DEL DUELO",IF(P482=#REF!,"ATENCION A VICTIMAS DE ATAQUE CON AGENTES QUIMICOS ",IF(P482=#REF!,"PRIMEROS AUXILIOS ",IF(P482=#REF!,"DIPLOMADO DE UNIDAD DE CUIDADOS INTENSIVOS (UCI)",IF(P482=#REF!,"MODELO DE ATENCION PARA EVENTOS EMERGENTES EN SALUD MENTAL (CODIGO VERDE)",IF(P482=#REF!,"HUMANIZACION EN EL SERVICIO DE LA SALUD Y BUENAS PRACTICAS EN PACIENTE ",IF(P482=#REF!,"CLINICA DE HERIDAS ",IF(P482=#REF!,"TOMA DE CITOLOGIA CERVICO VAGINAL ",IF(P482=#REF!,"SOPORTE CARDIOVASCULAR AVANZADO (ACLS) ",IF(P482=#REF!,"CAMILLERO ",IF(P482=#REF!,"TOMA DE MUESTRAS Y LABORATORIO ",IF(P482=#REF!,"SOPORTE VITAL BASICO (BLS)",IF(P482=#REF!,"ATENCION A VICTIMAS DE VIOLENCIA SEXUAL ",IF(P482=#REF!,"PROGRAMADO AMPLIADO DE INMUNIZACION (PAI - COVID 19)",IF(P482=#REF!,"ATENCION INTEGRAL EN ENFERMEDADES PREVALENTES EN PRIMERA INFANCIA (AIEPI)",IF(P482=#REF!,"ADMINISTRACION DE MEDICAMENTOS, INYECTOLOGIA  Y CANALIZACION ",IF(P482=#REF!,"OPERADOR DE VEHICULOS DE EMERGENCIA (OVE)",IF(P482=#REF!,"INSTITUCIONES AMIGAS DE LA MUJER Y LA INFANCIA (IAMI)",IF(P482=#REF!,"CUIDADO DEL DONANTE DE ORGANOS",IF(P482=#REF!,"ATENCION A VICTIMAS POR VIOLENCIA DE GENERO",IF(P482=#REF!,"IGUALDAD DE GENERO EN LA SALUD",IF(P482=#REF!,"BRIGADA DE EMERGENCIA",IF(P482=#REF!,"MANEJO DEL DOLOR Y CUIDADOS PALIATIVOS",IF(P482=#REF!,"TOMA DE MUESTRAS Y LABORATORIO POCT",IF(P482=#REF!,"IMPLANTE SUBDERMICO DE DISPOSITIVO INTRAUTERINO",IF(P482=#REF!,"SALUD MENTAL",IF(P482=#REF!,"PRIMEROS AUXILIOS PSICOLOGICOS",IF(P482=#REF!,"ATENCION A VICTIMAS POR CONFLICTO ARMADO",IF(P482=#REF!,"MANIPULACION DE ALIMENTOS Y BPM",IF(P482=#REF!,"ATENCION A PERSONAS CON DISCAPACIDAD",IF(P482=#REF!,"CUIDADO INTEGRAL DEL PACIENTE ADULTO",IF(P482=#REF!,"MANEJO DEFENSIVO",IF(P482=#REF!,"SOPORTE CARDIOVASCULAR AVANZADO NEONATAL",IF(P482=#REF!,"SEGURIDAD DEL PACIENTE",IF(P482=#REF!,"MANEJO DE RESIDUOS HOSPITALARIOS"))))))))))))))))))))))))))))))))))))</f>
        <v>#REF!</v>
      </c>
      <c r="W482" s="41" t="str">
        <f>CONCATENATE(E482," ",F482," ",C482," ",D482)</f>
        <v>Segundo Tobias Arteaga Caicedo</v>
      </c>
      <c r="X482" s="41" t="str">
        <f t="shared" si="33"/>
        <v>Segundo Tobias Arteaga Caicedo</v>
      </c>
      <c r="Y482" s="41" t="str">
        <f>CONCATENATE(W482,"-",B482,"-",P482)</f>
        <v>Segundo Tobias Arteaga Caicedo-87451735-BLS</v>
      </c>
    </row>
    <row r="483" spans="1:25" s="19" customFormat="1" x14ac:dyDescent="0.2">
      <c r="A483" s="20">
        <v>230</v>
      </c>
      <c r="B483" s="66">
        <v>1004136196</v>
      </c>
      <c r="C483" s="66" t="s">
        <v>532</v>
      </c>
      <c r="D483" s="66" t="s">
        <v>212</v>
      </c>
      <c r="E483" s="66" t="s">
        <v>533</v>
      </c>
      <c r="F483" s="66" t="s">
        <v>442</v>
      </c>
      <c r="G483" s="66">
        <v>31</v>
      </c>
      <c r="H483" s="66" t="s">
        <v>49</v>
      </c>
      <c r="I483" s="66" t="s">
        <v>377</v>
      </c>
      <c r="J483" s="66"/>
      <c r="K483" s="67">
        <v>45685</v>
      </c>
      <c r="L483" s="68">
        <v>65000</v>
      </c>
      <c r="M483" s="66" t="s">
        <v>79</v>
      </c>
      <c r="N483" s="21" t="s">
        <v>387</v>
      </c>
      <c r="O483" s="21" t="s">
        <v>69</v>
      </c>
      <c r="P483" s="21" t="s">
        <v>29</v>
      </c>
      <c r="Q483" s="22">
        <v>37761</v>
      </c>
      <c r="R483" s="21" t="s">
        <v>71</v>
      </c>
      <c r="S483" s="21" t="s">
        <v>142</v>
      </c>
      <c r="T483" s="21">
        <v>3157278433</v>
      </c>
      <c r="U483" s="21" t="s">
        <v>534</v>
      </c>
      <c r="V483" s="26" t="e">
        <f>IF(P483=#REF!,"DIPLOMADO EN ATENCION PRE-HOSPITALARIA",IF(P483=#REF!,"ACOMPAÑAMIENTO Y MANEJO DEL DUELO",IF(P483=#REF!,"ATENCION A VICTIMAS DE ATAQUE CON AGENTES QUIMICOS ",IF(P483=#REF!,"PRIMEROS AUXILIOS ",IF(P483=#REF!,"DIPLOMADO DE UNIDAD DE CUIDADOS INTENSIVOS (UCI)",IF(P483=#REF!,"MODELO DE ATENCION PARA EVENTOS EMERGENTES EN SALUD MENTAL (CODIGO VERDE)",IF(P483=#REF!,"HUMANIZACION EN EL SERVICIO DE LA SALUD Y BUENAS PRACTICAS EN PACIENTE ",IF(P483=#REF!,"CLINICA DE HERIDAS ",IF(P483=#REF!,"TOMA DE CITOLOGIA CERVICO VAGINAL ",IF(P483=#REF!,"SOPORTE CARDIOVASCULAR AVANZADO (ACLS) ",IF(P483=#REF!,"CAMILLERO ",IF(P483=#REF!,"TOMA DE MUESTRAS Y LABORATORIO ",IF(P483=#REF!,"SOPORTE VITAL BASICO (BLS)",IF(P483=#REF!,"ATENCION A VICTIMAS DE VIOLENCIA SEXUAL ",IF(P483=#REF!,"PROGRAMADO AMPLIADO DE INMUNIZACION (PAI - COVID 19)",IF(P483=#REF!,"ATENCION INTEGRAL EN ENFERMEDADES PREVALENTES EN PRIMERA INFANCIA (AIEPI)",IF(P483=#REF!,"ADMINISTRACION DE MEDICAMENTOS, INYECTOLOGIA  Y CANALIZACION ",IF(P483=#REF!,"OPERADOR DE VEHICULOS DE EMERGENCIA (OVE)",IF(P483=#REF!,"INSTITUCIONES AMIGAS DE LA MUJER Y LA INFANCIA (IAMI)",IF(P483=#REF!,"CUIDADO DEL DONANTE DE ORGANOS",IF(P483=#REF!,"ATENCION A VICTIMAS POR VIOLENCIA DE GENERO",IF(P483=#REF!,"IGUALDAD DE GENERO EN LA SALUD",IF(P483=#REF!,"BRIGADA DE EMERGENCIA",IF(P483=#REF!,"MANEJO DEL DOLOR Y CUIDADOS PALIATIVOS",IF(P483=#REF!,"TOMA DE MUESTRAS Y LABORATORIO POCT",IF(P483=#REF!,"IMPLANTE SUBDERMICO DE DISPOSITIVO INTRAUTERINO",IF(P483=#REF!,"SALUD MENTAL",IF(P483=#REF!,"PRIMEROS AUXILIOS PSICOLOGICOS",IF(P483=#REF!,"ATENCION A VICTIMAS POR CONFLICTO ARMADO",IF(P483=#REF!,"MANIPULACION DE ALIMENTOS Y BPM",IF(P483=#REF!,"ATENCION A PERSONAS CON DISCAPACIDAD",IF(P483=#REF!,"CUIDADO INTEGRAL DEL PACIENTE ADULTO",IF(P483=#REF!,"MANEJO DEFENSIVO",IF(P483=#REF!,"SOPORTE CARDIOVASCULAR AVANZADO NEONATAL",IF(P483=#REF!,"SEGURIDAD DEL PACIENTE",IF(P483=#REF!,"MANEJO DE RESIDUOS HOSPITALARIOS"))))))))))))))))))))))))))))))))))))</f>
        <v>#REF!</v>
      </c>
      <c r="W483" s="26" t="str">
        <f>CONCATENATE(E483," ",F483," ",C483," ",D483)</f>
        <v>Erika Nathalia Pinchao Charfuelan</v>
      </c>
      <c r="X483" s="26" t="str">
        <f t="shared" si="33"/>
        <v>Erika Nathalia Pinchao Charfuelan</v>
      </c>
      <c r="Y483" s="26" t="str">
        <f>CONCATENATE(W483,"-",B483,"-",P483)</f>
        <v>Erika Nathalia Pinchao Charfuelan-1004136196-ADMON DE MEDICAMENTOS</v>
      </c>
    </row>
    <row r="484" spans="1:25" s="19" customFormat="1" x14ac:dyDescent="0.2">
      <c r="A484" s="20">
        <v>231</v>
      </c>
      <c r="B484" s="21">
        <v>1085330416</v>
      </c>
      <c r="C484" s="21" t="s">
        <v>126</v>
      </c>
      <c r="D484" s="21" t="s">
        <v>535</v>
      </c>
      <c r="E484" s="21" t="s">
        <v>176</v>
      </c>
      <c r="F484" s="21" t="s">
        <v>536</v>
      </c>
      <c r="G484" s="21">
        <v>29</v>
      </c>
      <c r="H484" s="21" t="s">
        <v>49</v>
      </c>
      <c r="I484" s="21" t="s">
        <v>377</v>
      </c>
      <c r="J484" s="21"/>
      <c r="K484" s="23">
        <v>45686</v>
      </c>
      <c r="L484" s="42">
        <v>40000</v>
      </c>
      <c r="M484" s="21" t="s">
        <v>106</v>
      </c>
      <c r="N484" s="21" t="s">
        <v>386</v>
      </c>
      <c r="O484" s="21" t="s">
        <v>69</v>
      </c>
      <c r="P484" s="21" t="s">
        <v>22</v>
      </c>
      <c r="Q484" s="22">
        <v>35269</v>
      </c>
      <c r="R484" s="21" t="s">
        <v>71</v>
      </c>
      <c r="S484" s="63" t="s">
        <v>172</v>
      </c>
      <c r="T484" s="21">
        <v>3165337441</v>
      </c>
      <c r="U484" s="21" t="s">
        <v>537</v>
      </c>
      <c r="V484" s="26" t="e">
        <f>IF(P484=#REF!,"DIPLOMADO EN ATENCION PRE-HOSPITALARIA",IF(P484=#REF!,"ACOMPAÑAMIENTO Y MANEJO DEL DUELO",IF(P484=#REF!,"ATENCION A VICTIMAS DE ATAQUE CON AGENTES QUIMICOS ",IF(P484=#REF!,"PRIMEROS AUXILIOS ",IF(P484=#REF!,"DIPLOMADO DE UNIDAD DE CUIDADOS INTENSIVOS (UCI)",IF(P484=#REF!,"MODELO DE ATENCION PARA EVENTOS EMERGENTES EN SALUD MENTAL (CODIGO VERDE)",IF(P484=#REF!,"HUMANIZACION EN EL SERVICIO DE LA SALUD Y BUENAS PRACTICAS EN PACIENTE ",IF(P484=#REF!,"CLINICA DE HERIDAS ",IF(P484=#REF!,"TOMA DE CITOLOGIA CERVICO VAGINAL ",IF(P484=#REF!,"SOPORTE CARDIOVASCULAR AVANZADO (ACLS) ",IF(P484=#REF!,"CAMILLERO ",IF(P484=#REF!,"TOMA DE MUESTRAS Y LABORATORIO ",IF(P484=#REF!,"SOPORTE VITAL BASICO (BLS)",IF(P484=#REF!,"ATENCION A VICTIMAS DE VIOLENCIA SEXUAL ",IF(P484=#REF!,"PROGRAMADO AMPLIADO DE INMUNIZACION (PAI - COVID 19)",IF(P484=#REF!,"ATENCION INTEGRAL EN ENFERMEDADES PREVALENTES EN PRIMERA INFANCIA (AIEPI)",IF(P484=#REF!,"ADMINISTRACION DE MEDICAMENTOS, INYECTOLOGIA  Y CANALIZACION ",IF(P484=#REF!,"OPERADOR DE VEHICULOS DE EMERGENCIA (OVE)",IF(P484=#REF!,"INSTITUCIONES AMIGAS DE LA MUJER Y LA INFANCIA (IAMI)",IF(P484=#REF!,"CUIDADO DEL DONANTE DE ORGANOS",IF(P484=#REF!,"ATENCION A VICTIMAS POR VIOLENCIA DE GENERO",IF(P484=#REF!,"IGUALDAD DE GENERO EN LA SALUD",IF(P484=#REF!,"BRIGADA DE EMERGENCIA",IF(P484=#REF!,"MANEJO DEL DOLOR Y CUIDADOS PALIATIVOS",IF(P484=#REF!,"TOMA DE MUESTRAS Y LABORATORIO POCT",IF(P484=#REF!,"IMPLANTE SUBDERMICO DE DISPOSITIVO INTRAUTERINO",IF(P484=#REF!,"SALUD MENTAL",IF(P484=#REF!,"PRIMEROS AUXILIOS PSICOLOGICOS",IF(P484=#REF!,"ATENCION A VICTIMAS POR CONFLICTO ARMADO",IF(P484=#REF!,"MANIPULACION DE ALIMENTOS Y BPM",IF(P484=#REF!,"ATENCION A PERSONAS CON DISCAPACIDAD",IF(P484=#REF!,"CUIDADO INTEGRAL DEL PACIENTE ADULTO",IF(P484=#REF!,"MANEJO DEFENSIVO",IF(P484=#REF!,"SOPORTE CARDIOVASCULAR AVANZADO NEONATAL",IF(P484=#REF!,"SEGURIDAD DEL PACIENTE",IF(P484=#REF!,"MANEJO DE RESIDUOS HOSPITALARIOS"))))))))))))))))))))))))))))))))))))</f>
        <v>#REF!</v>
      </c>
      <c r="W484" s="26" t="str">
        <f>CONCATENATE(E484," ",F484," ",C484," ",D484)</f>
        <v>Tatiana Marcela Narvaez Lara</v>
      </c>
      <c r="X484" s="26" t="str">
        <f t="shared" si="33"/>
        <v>Tatiana Marcela Narvaez Lara</v>
      </c>
      <c r="Y484" s="26" t="str">
        <f>CONCATENATE(W484,"-",B484,"-",P484)</f>
        <v>Tatiana Marcela Narvaez Lara-1085330416-PRIMEROS AUXILIOS</v>
      </c>
    </row>
    <row r="485" spans="1:25" s="19" customFormat="1" x14ac:dyDescent="0.2">
      <c r="A485" s="20">
        <v>232</v>
      </c>
      <c r="B485" s="21">
        <v>5345644</v>
      </c>
      <c r="C485" s="21" t="s">
        <v>208</v>
      </c>
      <c r="D485" s="21" t="s">
        <v>538</v>
      </c>
      <c r="E485" s="21" t="s">
        <v>539</v>
      </c>
      <c r="F485" s="21" t="s">
        <v>540</v>
      </c>
      <c r="G485" s="21">
        <v>29</v>
      </c>
      <c r="H485" s="21" t="s">
        <v>49</v>
      </c>
      <c r="I485" s="21" t="s">
        <v>377</v>
      </c>
      <c r="J485" s="21"/>
      <c r="K485" s="23">
        <v>45686</v>
      </c>
      <c r="L485" s="42">
        <v>40000</v>
      </c>
      <c r="M485" s="21" t="s">
        <v>133</v>
      </c>
      <c r="N485" s="21" t="s">
        <v>386</v>
      </c>
      <c r="O485" s="21" t="s">
        <v>69</v>
      </c>
      <c r="P485" s="21" t="s">
        <v>22</v>
      </c>
      <c r="Q485" s="22">
        <v>29794</v>
      </c>
      <c r="R485" s="21" t="s">
        <v>70</v>
      </c>
      <c r="S485" s="21" t="s">
        <v>468</v>
      </c>
      <c r="T485" s="21">
        <v>3017831444</v>
      </c>
      <c r="U485" s="21" t="s">
        <v>541</v>
      </c>
      <c r="V485" s="26" t="e">
        <f>IF(P485=#REF!,"DIPLOMADO EN ATENCION PRE-HOSPITALARIA",IF(P485=#REF!,"ACOMPAÑAMIENTO Y MANEJO DEL DUELO",IF(P485=#REF!,"ATENCION A VICTIMAS DE ATAQUE CON AGENTES QUIMICOS ",IF(P485=#REF!,"PRIMEROS AUXILIOS ",IF(P485=#REF!,"DIPLOMADO DE UNIDAD DE CUIDADOS INTENSIVOS (UCI)",IF(P485=#REF!,"MODELO DE ATENCION PARA EVENTOS EMERGENTES EN SALUD MENTAL (CODIGO VERDE)",IF(P485=#REF!,"HUMANIZACION EN EL SERVICIO DE LA SALUD Y BUENAS PRACTICAS EN PACIENTE ",IF(P485=#REF!,"CLINICA DE HERIDAS ",IF(P485=#REF!,"TOMA DE CITOLOGIA CERVICO VAGINAL ",IF(P485=#REF!,"SOPORTE CARDIOVASCULAR AVANZADO (ACLS) ",IF(P485=#REF!,"CAMILLERO ",IF(P485=#REF!,"TOMA DE MUESTRAS Y LABORATORIO ",IF(P485=#REF!,"SOPORTE VITAL BASICO (BLS)",IF(P485=#REF!,"ATENCION A VICTIMAS DE VIOLENCIA SEXUAL ",IF(P485=#REF!,"PROGRAMADO AMPLIADO DE INMUNIZACION (PAI - COVID 19)",IF(P485=#REF!,"ATENCION INTEGRAL EN ENFERMEDADES PREVALENTES EN PRIMERA INFANCIA (AIEPI)",IF(P485=#REF!,"ADMINISTRACION DE MEDICAMENTOS, INYECTOLOGIA  Y CANALIZACION ",IF(P485=#REF!,"OPERADOR DE VEHICULOS DE EMERGENCIA (OVE)",IF(P485=#REF!,"INSTITUCIONES AMIGAS DE LA MUJER Y LA INFANCIA (IAMI)",IF(P485=#REF!,"CUIDADO DEL DONANTE DE ORGANOS",IF(P485=#REF!,"ATENCION A VICTIMAS POR VIOLENCIA DE GENERO",IF(P485=#REF!,"IGUALDAD DE GENERO EN LA SALUD",IF(P485=#REF!,"BRIGADA DE EMERGENCIA",IF(P485=#REF!,"MANEJO DEL DOLOR Y CUIDADOS PALIATIVOS",IF(P485=#REF!,"TOMA DE MUESTRAS Y LABORATORIO POCT",IF(P485=#REF!,"IMPLANTE SUBDERMICO DE DISPOSITIVO INTRAUTERINO",IF(P485=#REF!,"SALUD MENTAL",IF(P485=#REF!,"PRIMEROS AUXILIOS PSICOLOGICOS",IF(P485=#REF!,"ATENCION A VICTIMAS POR CONFLICTO ARMADO",IF(P485=#REF!,"MANIPULACION DE ALIMENTOS Y BPM",IF(P485=#REF!,"ATENCION A PERSONAS CON DISCAPACIDAD",IF(P485=#REF!,"CUIDADO INTEGRAL DEL PACIENTE ADULTO",IF(P485=#REF!,"MANEJO DEFENSIVO",IF(P485=#REF!,"SOPORTE CARDIOVASCULAR AVANZADO NEONATAL",IF(P485=#REF!,"SEGURIDAD DEL PACIENTE",IF(P485=#REF!,"MANEJO DE RESIDUOS HOSPITALARIOS"))))))))))))))))))))))))))))))))))))</f>
        <v>#REF!</v>
      </c>
      <c r="W485" s="26" t="str">
        <f>CONCATENATE(E485," ",F485," ",C485," ",D485)</f>
        <v>Luciano Rafael Perez Miño</v>
      </c>
      <c r="X485" s="26" t="str">
        <f t="shared" si="33"/>
        <v>Luciano Rafael Perez Miño</v>
      </c>
      <c r="Y485" s="26" t="str">
        <f>CONCATENATE(W485,"-",B485,"-",P485)</f>
        <v>Luciano Rafael Perez Miño-5345644-PRIMEROS AUXILIOS</v>
      </c>
    </row>
    <row r="486" spans="1:25" s="19" customFormat="1" x14ac:dyDescent="0.2">
      <c r="A486" s="20">
        <v>233</v>
      </c>
      <c r="B486" s="21">
        <v>59313016</v>
      </c>
      <c r="C486" s="21" t="s">
        <v>542</v>
      </c>
      <c r="D486" s="21" t="s">
        <v>85</v>
      </c>
      <c r="E486" s="21" t="s">
        <v>214</v>
      </c>
      <c r="F486" s="21" t="s">
        <v>215</v>
      </c>
      <c r="G486" s="21">
        <v>29</v>
      </c>
      <c r="H486" s="21" t="s">
        <v>49</v>
      </c>
      <c r="I486" s="21" t="s">
        <v>377</v>
      </c>
      <c r="J486" s="21"/>
      <c r="K486" s="23">
        <v>45686</v>
      </c>
      <c r="L486" s="42">
        <v>40000</v>
      </c>
      <c r="M486" s="21" t="s">
        <v>133</v>
      </c>
      <c r="N486" s="21" t="s">
        <v>386</v>
      </c>
      <c r="O486" s="21" t="s">
        <v>69</v>
      </c>
      <c r="P486" s="21" t="s">
        <v>22</v>
      </c>
      <c r="Q486" s="22">
        <v>30837</v>
      </c>
      <c r="R486" s="21" t="s">
        <v>71</v>
      </c>
      <c r="S486" s="21" t="s">
        <v>468</v>
      </c>
      <c r="T486" s="21">
        <v>3173664678</v>
      </c>
      <c r="U486" s="21" t="s">
        <v>543</v>
      </c>
      <c r="V486" s="26" t="e">
        <f>IF(P486=#REF!,"DIPLOMADO EN ATENCION PRE-HOSPITALARIA",IF(P486=#REF!,"ACOMPAÑAMIENTO Y MANEJO DEL DUELO",IF(P486=#REF!,"ATENCION A VICTIMAS DE ATAQUE CON AGENTES QUIMICOS ",IF(P486=#REF!,"PRIMEROS AUXILIOS ",IF(P486=#REF!,"DIPLOMADO DE UNIDAD DE CUIDADOS INTENSIVOS (UCI)",IF(P486=#REF!,"MODELO DE ATENCION PARA EVENTOS EMERGENTES EN SALUD MENTAL (CODIGO VERDE)",IF(P486=#REF!,"HUMANIZACION EN EL SERVICIO DE LA SALUD Y BUENAS PRACTICAS EN PACIENTE ",IF(P486=#REF!,"CLINICA DE HERIDAS ",IF(P486=#REF!,"TOMA DE CITOLOGIA CERVICO VAGINAL ",IF(P486=#REF!,"SOPORTE CARDIOVASCULAR AVANZADO (ACLS) ",IF(P486=#REF!,"CAMILLERO ",IF(P486=#REF!,"TOMA DE MUESTRAS Y LABORATORIO ",IF(P486=#REF!,"SOPORTE VITAL BASICO (BLS)",IF(P486=#REF!,"ATENCION A VICTIMAS DE VIOLENCIA SEXUAL ",IF(P486=#REF!,"PROGRAMADO AMPLIADO DE INMUNIZACION (PAI - COVID 19)",IF(P486=#REF!,"ATENCION INTEGRAL EN ENFERMEDADES PREVALENTES EN PRIMERA INFANCIA (AIEPI)",IF(P486=#REF!,"ADMINISTRACION DE MEDICAMENTOS, INYECTOLOGIA  Y CANALIZACION ",IF(P486=#REF!,"OPERADOR DE VEHICULOS DE EMERGENCIA (OVE)",IF(P486=#REF!,"INSTITUCIONES AMIGAS DE LA MUJER Y LA INFANCIA (IAMI)",IF(P486=#REF!,"CUIDADO DEL DONANTE DE ORGANOS",IF(P486=#REF!,"ATENCION A VICTIMAS POR VIOLENCIA DE GENERO",IF(P486=#REF!,"IGUALDAD DE GENERO EN LA SALUD",IF(P486=#REF!,"BRIGADA DE EMERGENCIA",IF(P486=#REF!,"MANEJO DEL DOLOR Y CUIDADOS PALIATIVOS",IF(P486=#REF!,"TOMA DE MUESTRAS Y LABORATORIO POCT",IF(P486=#REF!,"IMPLANTE SUBDERMICO DE DISPOSITIVO INTRAUTERINO",IF(P486=#REF!,"SALUD MENTAL",IF(P486=#REF!,"PRIMEROS AUXILIOS PSICOLOGICOS",IF(P486=#REF!,"ATENCION A VICTIMAS POR CONFLICTO ARMADO",IF(P486=#REF!,"MANIPULACION DE ALIMENTOS Y BPM",IF(P486=#REF!,"ATENCION A PERSONAS CON DISCAPACIDAD",IF(P486=#REF!,"CUIDADO INTEGRAL DEL PACIENTE ADULTO",IF(P486=#REF!,"MANEJO DEFENSIVO",IF(P486=#REF!,"SOPORTE CARDIOVASCULAR AVANZADO NEONATAL",IF(P486=#REF!,"SEGURIDAD DEL PACIENTE",IF(P486=#REF!,"MANEJO DE RESIDUOS HOSPITALARIOS"))))))))))))))))))))))))))))))))))))</f>
        <v>#REF!</v>
      </c>
      <c r="W486" s="26" t="str">
        <f>CONCATENATE(E486," ",F486," ",C486," ",D486)</f>
        <v>Diana Carolina Vallejo Estrada</v>
      </c>
      <c r="X486" s="26" t="str">
        <f t="shared" si="33"/>
        <v>Diana Carolina Vallejo Estrada</v>
      </c>
      <c r="Y486" s="26" t="str">
        <f>CONCATENATE(W486,"-",B486,"-",P486)</f>
        <v>Diana Carolina Vallejo Estrada-59313016-PRIMEROS AUXILIOS</v>
      </c>
    </row>
    <row r="487" spans="1:25" s="19" customFormat="1" x14ac:dyDescent="0.2">
      <c r="A487" s="20">
        <v>234</v>
      </c>
      <c r="B487" s="21">
        <v>79425295</v>
      </c>
      <c r="C487" s="21" t="s">
        <v>544</v>
      </c>
      <c r="D487" s="21"/>
      <c r="E487" s="21" t="s">
        <v>423</v>
      </c>
      <c r="F487" s="21" t="s">
        <v>545</v>
      </c>
      <c r="G487" s="21">
        <v>29</v>
      </c>
      <c r="H487" s="21" t="s">
        <v>49</v>
      </c>
      <c r="I487" s="21" t="s">
        <v>377</v>
      </c>
      <c r="J487" s="21"/>
      <c r="K487" s="23">
        <v>45686</v>
      </c>
      <c r="L487" s="42">
        <v>40000</v>
      </c>
      <c r="M487" s="21" t="s">
        <v>133</v>
      </c>
      <c r="N487" s="21" t="s">
        <v>386</v>
      </c>
      <c r="O487" s="21" t="s">
        <v>69</v>
      </c>
      <c r="P487" s="21" t="s">
        <v>22</v>
      </c>
      <c r="Q487" s="22">
        <v>24710</v>
      </c>
      <c r="R487" s="21" t="s">
        <v>70</v>
      </c>
      <c r="S487" s="21" t="s">
        <v>546</v>
      </c>
      <c r="T487" s="21">
        <v>3147288475</v>
      </c>
      <c r="U487" s="21" t="s">
        <v>547</v>
      </c>
      <c r="V487" s="26" t="e">
        <f>IF(P487=#REF!,"DIPLOMADO EN ATENCION PRE-HOSPITALARIA",IF(P487=#REF!,"ACOMPAÑAMIENTO Y MANEJO DEL DUELO",IF(P487=#REF!,"ATENCION A VICTIMAS DE ATAQUE CON AGENTES QUIMICOS ",IF(P487=#REF!,"PRIMEROS AUXILIOS ",IF(P487=#REF!,"DIPLOMADO DE UNIDAD DE CUIDADOS INTENSIVOS (UCI)",IF(P487=#REF!,"MODELO DE ATENCION PARA EVENTOS EMERGENTES EN SALUD MENTAL (CODIGO VERDE)",IF(P487=#REF!,"HUMANIZACION EN EL SERVICIO DE LA SALUD Y BUENAS PRACTICAS EN PACIENTE ",IF(P487=#REF!,"CLINICA DE HERIDAS ",IF(P487=#REF!,"TOMA DE CITOLOGIA CERVICO VAGINAL ",IF(P487=#REF!,"SOPORTE CARDIOVASCULAR AVANZADO (ACLS) ",IF(P487=#REF!,"CAMILLERO ",IF(P487=#REF!,"TOMA DE MUESTRAS Y LABORATORIO ",IF(P487=#REF!,"SOPORTE VITAL BASICO (BLS)",IF(P487=#REF!,"ATENCION A VICTIMAS DE VIOLENCIA SEXUAL ",IF(P487=#REF!,"PROGRAMADO AMPLIADO DE INMUNIZACION (PAI - COVID 19)",IF(P487=#REF!,"ATENCION INTEGRAL EN ENFERMEDADES PREVALENTES EN PRIMERA INFANCIA (AIEPI)",IF(P487=#REF!,"ADMINISTRACION DE MEDICAMENTOS, INYECTOLOGIA  Y CANALIZACION ",IF(P487=#REF!,"OPERADOR DE VEHICULOS DE EMERGENCIA (OVE)",IF(P487=#REF!,"INSTITUCIONES AMIGAS DE LA MUJER Y LA INFANCIA (IAMI)",IF(P487=#REF!,"CUIDADO DEL DONANTE DE ORGANOS",IF(P487=#REF!,"ATENCION A VICTIMAS POR VIOLENCIA DE GENERO",IF(P487=#REF!,"IGUALDAD DE GENERO EN LA SALUD",IF(P487=#REF!,"BRIGADA DE EMERGENCIA",IF(P487=#REF!,"MANEJO DEL DOLOR Y CUIDADOS PALIATIVOS",IF(P487=#REF!,"TOMA DE MUESTRAS Y LABORATORIO POCT",IF(P487=#REF!,"IMPLANTE SUBDERMICO DE DISPOSITIVO INTRAUTERINO",IF(P487=#REF!,"SALUD MENTAL",IF(P487=#REF!,"PRIMEROS AUXILIOS PSICOLOGICOS",IF(P487=#REF!,"ATENCION A VICTIMAS POR CONFLICTO ARMADO",IF(P487=#REF!,"MANIPULACION DE ALIMENTOS Y BPM",IF(P487=#REF!,"ATENCION A PERSONAS CON DISCAPACIDAD",IF(P487=#REF!,"CUIDADO INTEGRAL DEL PACIENTE ADULTO",IF(P487=#REF!,"MANEJO DEFENSIVO",IF(P487=#REF!,"SOPORTE CARDIOVASCULAR AVANZADO NEONATAL",IF(P487=#REF!,"SEGURIDAD DEL PACIENTE",IF(P487=#REF!,"MANEJO DE RESIDUOS HOSPITALARIOS"))))))))))))))))))))))))))))))))))))</f>
        <v>#REF!</v>
      </c>
      <c r="W487" s="26" t="str">
        <f>CONCATENATE(E487," ",F487," ",C487," ",D487)</f>
        <v xml:space="preserve">Luis Alejandro Alarcon </v>
      </c>
      <c r="X487" s="26" t="str">
        <f t="shared" si="33"/>
        <v xml:space="preserve">Luis Alejandro Alarcon </v>
      </c>
      <c r="Y487" s="26" t="str">
        <f>CONCATENATE(W487,"-",B487,"-",P487)</f>
        <v>Luis Alejandro Alarcon -79425295-PRIMEROS AUXILIOS</v>
      </c>
    </row>
    <row r="488" spans="1:25" s="19" customFormat="1" x14ac:dyDescent="0.2">
      <c r="A488" s="20">
        <v>235</v>
      </c>
      <c r="B488" s="21">
        <v>59827222</v>
      </c>
      <c r="C488" s="21" t="s">
        <v>117</v>
      </c>
      <c r="D488" s="21" t="s">
        <v>548</v>
      </c>
      <c r="E488" s="21" t="s">
        <v>391</v>
      </c>
      <c r="F488" s="21" t="s">
        <v>549</v>
      </c>
      <c r="G488" s="21">
        <v>29</v>
      </c>
      <c r="H488" s="21" t="s">
        <v>49</v>
      </c>
      <c r="I488" s="21" t="s">
        <v>377</v>
      </c>
      <c r="J488" s="21"/>
      <c r="K488" s="23">
        <v>45686</v>
      </c>
      <c r="L488" s="42">
        <v>40000</v>
      </c>
      <c r="M488" s="21" t="s">
        <v>133</v>
      </c>
      <c r="N488" s="21" t="s">
        <v>386</v>
      </c>
      <c r="O488" s="21" t="s">
        <v>69</v>
      </c>
      <c r="P488" s="21" t="s">
        <v>22</v>
      </c>
      <c r="Q488" s="22">
        <v>27308</v>
      </c>
      <c r="R488" s="21" t="s">
        <v>71</v>
      </c>
      <c r="S488" s="21" t="s">
        <v>550</v>
      </c>
      <c r="T488" s="21">
        <v>3125845813</v>
      </c>
      <c r="U488" s="21" t="s">
        <v>551</v>
      </c>
      <c r="V488" s="26" t="e">
        <f>IF(P488=#REF!,"DIPLOMADO EN ATENCION PRE-HOSPITALARIA",IF(P488=#REF!,"ACOMPAÑAMIENTO Y MANEJO DEL DUELO",IF(P488=#REF!,"ATENCION A VICTIMAS DE ATAQUE CON AGENTES QUIMICOS ",IF(P488=#REF!,"PRIMEROS AUXILIOS ",IF(P488=#REF!,"DIPLOMADO DE UNIDAD DE CUIDADOS INTENSIVOS (UCI)",IF(P488=#REF!,"MODELO DE ATENCION PARA EVENTOS EMERGENTES EN SALUD MENTAL (CODIGO VERDE)",IF(P488=#REF!,"HUMANIZACION EN EL SERVICIO DE LA SALUD Y BUENAS PRACTICAS EN PACIENTE ",IF(P488=#REF!,"CLINICA DE HERIDAS ",IF(P488=#REF!,"TOMA DE CITOLOGIA CERVICO VAGINAL ",IF(P488=#REF!,"SOPORTE CARDIOVASCULAR AVANZADO (ACLS) ",IF(P488=#REF!,"CAMILLERO ",IF(P488=#REF!,"TOMA DE MUESTRAS Y LABORATORIO ",IF(P488=#REF!,"SOPORTE VITAL BASICO (BLS)",IF(P488=#REF!,"ATENCION A VICTIMAS DE VIOLENCIA SEXUAL ",IF(P488=#REF!,"PROGRAMADO AMPLIADO DE INMUNIZACION (PAI - COVID 19)",IF(P488=#REF!,"ATENCION INTEGRAL EN ENFERMEDADES PREVALENTES EN PRIMERA INFANCIA (AIEPI)",IF(P488=#REF!,"ADMINISTRACION DE MEDICAMENTOS, INYECTOLOGIA  Y CANALIZACION ",IF(P488=#REF!,"OPERADOR DE VEHICULOS DE EMERGENCIA (OVE)",IF(P488=#REF!,"INSTITUCIONES AMIGAS DE LA MUJER Y LA INFANCIA (IAMI)",IF(P488=#REF!,"CUIDADO DEL DONANTE DE ORGANOS",IF(P488=#REF!,"ATENCION A VICTIMAS POR VIOLENCIA DE GENERO",IF(P488=#REF!,"IGUALDAD DE GENERO EN LA SALUD",IF(P488=#REF!,"BRIGADA DE EMERGENCIA",IF(P488=#REF!,"MANEJO DEL DOLOR Y CUIDADOS PALIATIVOS",IF(P488=#REF!,"TOMA DE MUESTRAS Y LABORATORIO POCT",IF(P488=#REF!,"IMPLANTE SUBDERMICO DE DISPOSITIVO INTRAUTERINO",IF(P488=#REF!,"SALUD MENTAL",IF(P488=#REF!,"PRIMEROS AUXILIOS PSICOLOGICOS",IF(P488=#REF!,"ATENCION A VICTIMAS POR CONFLICTO ARMADO",IF(P488=#REF!,"MANIPULACION DE ALIMENTOS Y BPM",IF(P488=#REF!,"ATENCION A PERSONAS CON DISCAPACIDAD",IF(P488=#REF!,"CUIDADO INTEGRAL DEL PACIENTE ADULTO",IF(P488=#REF!,"MANEJO DEFENSIVO",IF(P488=#REF!,"SOPORTE CARDIOVASCULAR AVANZADO NEONATAL",IF(P488=#REF!,"SEGURIDAD DEL PACIENTE",IF(P488=#REF!,"MANEJO DE RESIDUOS HOSPITALARIOS"))))))))))))))))))))))))))))))))))))</f>
        <v>#REF!</v>
      </c>
      <c r="W488" s="26" t="str">
        <f>CONCATENATE(E488," ",F488," ",C488," ",D488)</f>
        <v>Claudia Gimena Rivera Recalde</v>
      </c>
      <c r="X488" s="26" t="str">
        <f t="shared" si="33"/>
        <v>Claudia Gimena Rivera Recalde</v>
      </c>
      <c r="Y488" s="26" t="str">
        <f>CONCATENATE(W488,"-",B488,"-",P488)</f>
        <v>Claudia Gimena Rivera Recalde-59827222-PRIMEROS AUXILIOS</v>
      </c>
    </row>
    <row r="489" spans="1:25" s="19" customFormat="1" x14ac:dyDescent="0.2">
      <c r="A489" s="20">
        <v>236</v>
      </c>
      <c r="B489" s="21">
        <v>1085320654</v>
      </c>
      <c r="C489" s="21" t="s">
        <v>544</v>
      </c>
      <c r="D489" s="21" t="s">
        <v>117</v>
      </c>
      <c r="E489" s="21" t="s">
        <v>383</v>
      </c>
      <c r="F489" s="21" t="s">
        <v>545</v>
      </c>
      <c r="G489" s="21">
        <v>29</v>
      </c>
      <c r="H489" s="21" t="s">
        <v>49</v>
      </c>
      <c r="I489" s="21" t="s">
        <v>377</v>
      </c>
      <c r="J489" s="21"/>
      <c r="K489" s="23">
        <v>45686</v>
      </c>
      <c r="L489" s="42">
        <v>40000</v>
      </c>
      <c r="M489" s="21" t="s">
        <v>106</v>
      </c>
      <c r="N489" s="21" t="s">
        <v>386</v>
      </c>
      <c r="O489" s="21" t="s">
        <v>69</v>
      </c>
      <c r="P489" s="21" t="s">
        <v>22</v>
      </c>
      <c r="Q489" s="22">
        <v>34635</v>
      </c>
      <c r="R489" s="21" t="s">
        <v>70</v>
      </c>
      <c r="S489" s="21" t="s">
        <v>552</v>
      </c>
      <c r="T489" s="21">
        <v>3153040173</v>
      </c>
      <c r="U489" s="21" t="s">
        <v>553</v>
      </c>
      <c r="V489" s="26" t="e">
        <f>IF(P489=#REF!,"DIPLOMADO EN ATENCION PRE-HOSPITALARIA",IF(P489=#REF!,"ACOMPAÑAMIENTO Y MANEJO DEL DUELO",IF(P489=#REF!,"ATENCION A VICTIMAS DE ATAQUE CON AGENTES QUIMICOS ",IF(P489=#REF!,"PRIMEROS AUXILIOS ",IF(P489=#REF!,"DIPLOMADO DE UNIDAD DE CUIDADOS INTENSIVOS (UCI)",IF(P489=#REF!,"MODELO DE ATENCION PARA EVENTOS EMERGENTES EN SALUD MENTAL (CODIGO VERDE)",IF(P489=#REF!,"HUMANIZACION EN EL SERVICIO DE LA SALUD Y BUENAS PRACTICAS EN PACIENTE ",IF(P489=#REF!,"CLINICA DE HERIDAS ",IF(P489=#REF!,"TOMA DE CITOLOGIA CERVICO VAGINAL ",IF(P489=#REF!,"SOPORTE CARDIOVASCULAR AVANZADO (ACLS) ",IF(P489=#REF!,"CAMILLERO ",IF(P489=#REF!,"TOMA DE MUESTRAS Y LABORATORIO ",IF(P489=#REF!,"SOPORTE VITAL BASICO (BLS)",IF(P489=#REF!,"ATENCION A VICTIMAS DE VIOLENCIA SEXUAL ",IF(P489=#REF!,"PROGRAMADO AMPLIADO DE INMUNIZACION (PAI - COVID 19)",IF(P489=#REF!,"ATENCION INTEGRAL EN ENFERMEDADES PREVALENTES EN PRIMERA INFANCIA (AIEPI)",IF(P489=#REF!,"ADMINISTRACION DE MEDICAMENTOS, INYECTOLOGIA  Y CANALIZACION ",IF(P489=#REF!,"OPERADOR DE VEHICULOS DE EMERGENCIA (OVE)",IF(P489=#REF!,"INSTITUCIONES AMIGAS DE LA MUJER Y LA INFANCIA (IAMI)",IF(P489=#REF!,"CUIDADO DEL DONANTE DE ORGANOS",IF(P489=#REF!,"ATENCION A VICTIMAS POR VIOLENCIA DE GENERO",IF(P489=#REF!,"IGUALDAD DE GENERO EN LA SALUD",IF(P489=#REF!,"BRIGADA DE EMERGENCIA",IF(P489=#REF!,"MANEJO DEL DOLOR Y CUIDADOS PALIATIVOS",IF(P489=#REF!,"TOMA DE MUESTRAS Y LABORATORIO POCT",IF(P489=#REF!,"IMPLANTE SUBDERMICO DE DISPOSITIVO INTRAUTERINO",IF(P489=#REF!,"SALUD MENTAL",IF(P489=#REF!,"PRIMEROS AUXILIOS PSICOLOGICOS",IF(P489=#REF!,"ATENCION A VICTIMAS POR CONFLICTO ARMADO",IF(P489=#REF!,"MANIPULACION DE ALIMENTOS Y BPM",IF(P489=#REF!,"ATENCION A PERSONAS CON DISCAPACIDAD",IF(P489=#REF!,"CUIDADO INTEGRAL DEL PACIENTE ADULTO",IF(P489=#REF!,"MANEJO DEFENSIVO",IF(P489=#REF!,"SOPORTE CARDIOVASCULAR AVANZADO NEONATAL",IF(P489=#REF!,"SEGURIDAD DEL PACIENTE",IF(P489=#REF!,"MANEJO DE RESIDUOS HOSPITALARIOS"))))))))))))))))))))))))))))))))))))</f>
        <v>#REF!</v>
      </c>
      <c r="W489" s="26" t="str">
        <f>CONCATENATE(E489," ",F489," ",C489," ",D489)</f>
        <v>David Alejandro Alarcon Rivera</v>
      </c>
      <c r="X489" s="26" t="str">
        <f t="shared" si="33"/>
        <v>David Alejandro Alarcon Rivera</v>
      </c>
      <c r="Y489" s="26" t="str">
        <f>CONCATENATE(W489,"-",B489,"-",P489)</f>
        <v>David Alejandro Alarcon Rivera-1085320654-PRIMEROS AUXILIOS</v>
      </c>
    </row>
    <row r="490" spans="1:25" s="19" customFormat="1" x14ac:dyDescent="0.2">
      <c r="A490" s="20">
        <v>237</v>
      </c>
      <c r="B490" s="21">
        <v>27361972</v>
      </c>
      <c r="C490" s="21" t="s">
        <v>227</v>
      </c>
      <c r="D490" s="21" t="s">
        <v>73</v>
      </c>
      <c r="E490" s="21" t="s">
        <v>214</v>
      </c>
      <c r="F490" s="21" t="s">
        <v>215</v>
      </c>
      <c r="G490" s="21">
        <v>29</v>
      </c>
      <c r="H490" s="21" t="s">
        <v>49</v>
      </c>
      <c r="I490" s="21" t="s">
        <v>377</v>
      </c>
      <c r="J490" s="21"/>
      <c r="K490" s="23">
        <v>45686</v>
      </c>
      <c r="L490" s="42">
        <v>40000</v>
      </c>
      <c r="M490" s="21" t="s">
        <v>133</v>
      </c>
      <c r="N490" s="21" t="s">
        <v>386</v>
      </c>
      <c r="O490" s="21" t="s">
        <v>69</v>
      </c>
      <c r="P490" s="21" t="s">
        <v>22</v>
      </c>
      <c r="Q490" s="22">
        <v>30667</v>
      </c>
      <c r="R490" s="21" t="s">
        <v>71</v>
      </c>
      <c r="S490" s="21" t="s">
        <v>216</v>
      </c>
      <c r="T490" s="21">
        <v>3159260229</v>
      </c>
      <c r="U490" s="21" t="s">
        <v>554</v>
      </c>
      <c r="V490" s="26" t="e">
        <f>IF(P490=#REF!,"DIPLOMADO EN ATENCION PRE-HOSPITALARIA",IF(P490=#REF!,"ACOMPAÑAMIENTO Y MANEJO DEL DUELO",IF(P490=#REF!,"ATENCION A VICTIMAS DE ATAQUE CON AGENTES QUIMICOS ",IF(P490=#REF!,"PRIMEROS AUXILIOS ",IF(P490=#REF!,"DIPLOMADO DE UNIDAD DE CUIDADOS INTENSIVOS (UCI)",IF(P490=#REF!,"MODELO DE ATENCION PARA EVENTOS EMERGENTES EN SALUD MENTAL (CODIGO VERDE)",IF(P490=#REF!,"HUMANIZACION EN EL SERVICIO DE LA SALUD Y BUENAS PRACTICAS EN PACIENTE ",IF(P490=#REF!,"CLINICA DE HERIDAS ",IF(P490=#REF!,"TOMA DE CITOLOGIA CERVICO VAGINAL ",IF(P490=#REF!,"SOPORTE CARDIOVASCULAR AVANZADO (ACLS) ",IF(P490=#REF!,"CAMILLERO ",IF(P490=#REF!,"TOMA DE MUESTRAS Y LABORATORIO ",IF(P490=#REF!,"SOPORTE VITAL BASICO (BLS)",IF(P490=#REF!,"ATENCION A VICTIMAS DE VIOLENCIA SEXUAL ",IF(P490=#REF!,"PROGRAMADO AMPLIADO DE INMUNIZACION (PAI - COVID 19)",IF(P490=#REF!,"ATENCION INTEGRAL EN ENFERMEDADES PREVALENTES EN PRIMERA INFANCIA (AIEPI)",IF(P490=#REF!,"ADMINISTRACION DE MEDICAMENTOS, INYECTOLOGIA  Y CANALIZACION ",IF(P490=#REF!,"OPERADOR DE VEHICULOS DE EMERGENCIA (OVE)",IF(P490=#REF!,"INSTITUCIONES AMIGAS DE LA MUJER Y LA INFANCIA (IAMI)",IF(P490=#REF!,"CUIDADO DEL DONANTE DE ORGANOS",IF(P490=#REF!,"ATENCION A VICTIMAS POR VIOLENCIA DE GENERO",IF(P490=#REF!,"IGUALDAD DE GENERO EN LA SALUD",IF(P490=#REF!,"BRIGADA DE EMERGENCIA",IF(P490=#REF!,"MANEJO DEL DOLOR Y CUIDADOS PALIATIVOS",IF(P490=#REF!,"TOMA DE MUESTRAS Y LABORATORIO POCT",IF(P490=#REF!,"IMPLANTE SUBDERMICO DE DISPOSITIVO INTRAUTERINO",IF(P490=#REF!,"SALUD MENTAL",IF(P490=#REF!,"PRIMEROS AUXILIOS PSICOLOGICOS",IF(P490=#REF!,"ATENCION A VICTIMAS POR CONFLICTO ARMADO",IF(P490=#REF!,"MANIPULACION DE ALIMENTOS Y BPM",IF(P490=#REF!,"ATENCION A PERSONAS CON DISCAPACIDAD",IF(P490=#REF!,"CUIDADO INTEGRAL DEL PACIENTE ADULTO",IF(P490=#REF!,"MANEJO DEFENSIVO",IF(P490=#REF!,"SOPORTE CARDIOVASCULAR AVANZADO NEONATAL",IF(P490=#REF!,"SEGURIDAD DEL PACIENTE",IF(P490=#REF!,"MANEJO DE RESIDUOS HOSPITALARIOS"))))))))))))))))))))))))))))))))))))</f>
        <v>#REF!</v>
      </c>
      <c r="W490" s="26" t="str">
        <f>CONCATENATE(E490," ",F490," ",C490," ",D490)</f>
        <v>Diana Carolina Guerrero Riascos</v>
      </c>
      <c r="X490" s="26" t="str">
        <f t="shared" si="33"/>
        <v>Diana Carolina Guerrero Riascos</v>
      </c>
      <c r="Y490" s="26" t="str">
        <f>CONCATENATE(W490,"-",B490,"-",P490)</f>
        <v>Diana Carolina Guerrero Riascos-27361972-PRIMEROS AUXILIOS</v>
      </c>
    </row>
    <row r="491" spans="1:25" s="19" customFormat="1" x14ac:dyDescent="0.2">
      <c r="A491" s="20">
        <v>238</v>
      </c>
      <c r="B491" s="21">
        <v>12752241</v>
      </c>
      <c r="C491" s="21" t="s">
        <v>555</v>
      </c>
      <c r="D491" s="21" t="s">
        <v>548</v>
      </c>
      <c r="E491" s="21" t="s">
        <v>523</v>
      </c>
      <c r="F491" s="21" t="s">
        <v>331</v>
      </c>
      <c r="G491" s="21">
        <v>29</v>
      </c>
      <c r="H491" s="21" t="s">
        <v>49</v>
      </c>
      <c r="I491" s="21" t="s">
        <v>377</v>
      </c>
      <c r="J491" s="21"/>
      <c r="K491" s="23">
        <v>45686</v>
      </c>
      <c r="L491" s="42">
        <v>40000</v>
      </c>
      <c r="M491" s="21" t="s">
        <v>133</v>
      </c>
      <c r="N491" s="21" t="s">
        <v>386</v>
      </c>
      <c r="O491" s="21" t="s">
        <v>69</v>
      </c>
      <c r="P491" s="21" t="s">
        <v>22</v>
      </c>
      <c r="Q491" s="22">
        <v>30231</v>
      </c>
      <c r="R491" s="21" t="s">
        <v>70</v>
      </c>
      <c r="S491" s="21" t="s">
        <v>556</v>
      </c>
      <c r="T491" s="21">
        <v>3122976382</v>
      </c>
      <c r="U491" s="21" t="s">
        <v>557</v>
      </c>
      <c r="V491" s="26" t="e">
        <f>IF(P491=#REF!,"DIPLOMADO EN ATENCION PRE-HOSPITALARIA",IF(P491=#REF!,"ACOMPAÑAMIENTO Y MANEJO DEL DUELO",IF(P491=#REF!,"ATENCION A VICTIMAS DE ATAQUE CON AGENTES QUIMICOS ",IF(P491=#REF!,"PRIMEROS AUXILIOS ",IF(P491=#REF!,"DIPLOMADO DE UNIDAD DE CUIDADOS INTENSIVOS (UCI)",IF(P491=#REF!,"MODELO DE ATENCION PARA EVENTOS EMERGENTES EN SALUD MENTAL (CODIGO VERDE)",IF(P491=#REF!,"HUMANIZACION EN EL SERVICIO DE LA SALUD Y BUENAS PRACTICAS EN PACIENTE ",IF(P491=#REF!,"CLINICA DE HERIDAS ",IF(P491=#REF!,"TOMA DE CITOLOGIA CERVICO VAGINAL ",IF(P491=#REF!,"SOPORTE CARDIOVASCULAR AVANZADO (ACLS) ",IF(P491=#REF!,"CAMILLERO ",IF(P491=#REF!,"TOMA DE MUESTRAS Y LABORATORIO ",IF(P491=#REF!,"SOPORTE VITAL BASICO (BLS)",IF(P491=#REF!,"ATENCION A VICTIMAS DE VIOLENCIA SEXUAL ",IF(P491=#REF!,"PROGRAMADO AMPLIADO DE INMUNIZACION (PAI - COVID 19)",IF(P491=#REF!,"ATENCION INTEGRAL EN ENFERMEDADES PREVALENTES EN PRIMERA INFANCIA (AIEPI)",IF(P491=#REF!,"ADMINISTRACION DE MEDICAMENTOS, INYECTOLOGIA  Y CANALIZACION ",IF(P491=#REF!,"OPERADOR DE VEHICULOS DE EMERGENCIA (OVE)",IF(P491=#REF!,"INSTITUCIONES AMIGAS DE LA MUJER Y LA INFANCIA (IAMI)",IF(P491=#REF!,"CUIDADO DEL DONANTE DE ORGANOS",IF(P491=#REF!,"ATENCION A VICTIMAS POR VIOLENCIA DE GENERO",IF(P491=#REF!,"IGUALDAD DE GENERO EN LA SALUD",IF(P491=#REF!,"BRIGADA DE EMERGENCIA",IF(P491=#REF!,"MANEJO DEL DOLOR Y CUIDADOS PALIATIVOS",IF(P491=#REF!,"TOMA DE MUESTRAS Y LABORATORIO POCT",IF(P491=#REF!,"IMPLANTE SUBDERMICO DE DISPOSITIVO INTRAUTERINO",IF(P491=#REF!,"SALUD MENTAL",IF(P491=#REF!,"PRIMEROS AUXILIOS PSICOLOGICOS",IF(P491=#REF!,"ATENCION A VICTIMAS POR CONFLICTO ARMADO",IF(P491=#REF!,"MANIPULACION DE ALIMENTOS Y BPM",IF(P491=#REF!,"ATENCION A PERSONAS CON DISCAPACIDAD",IF(P491=#REF!,"CUIDADO INTEGRAL DEL PACIENTE ADULTO",IF(P491=#REF!,"MANEJO DEFENSIVO",IF(P491=#REF!,"SOPORTE CARDIOVASCULAR AVANZADO NEONATAL",IF(P491=#REF!,"SEGURIDAD DEL PACIENTE",IF(P491=#REF!,"MANEJO DE RESIDUOS HOSPITALARIOS"))))))))))))))))))))))))))))))))))))</f>
        <v>#REF!</v>
      </c>
      <c r="W491" s="26" t="str">
        <f>CONCATENATE(E491," ",F491," ",C491," ",D491)</f>
        <v>Diego Armando Sarasty Recalde</v>
      </c>
      <c r="X491" s="26" t="str">
        <f t="shared" si="33"/>
        <v>Diego Armando Sarasty Recalde</v>
      </c>
      <c r="Y491" s="26" t="str">
        <f>CONCATENATE(W491,"-",B491,"-",P491)</f>
        <v>Diego Armando Sarasty Recalde-12752241-PRIMEROS AUXILIOS</v>
      </c>
    </row>
    <row r="492" spans="1:25" s="19" customFormat="1" x14ac:dyDescent="0.2">
      <c r="A492" s="20">
        <v>239</v>
      </c>
      <c r="B492" s="21">
        <v>1085275061</v>
      </c>
      <c r="C492" s="21" t="s">
        <v>558</v>
      </c>
      <c r="D492" s="21" t="s">
        <v>487</v>
      </c>
      <c r="E492" s="21" t="s">
        <v>559</v>
      </c>
      <c r="F492" s="21" t="s">
        <v>560</v>
      </c>
      <c r="G492" s="21">
        <v>29</v>
      </c>
      <c r="H492" s="21" t="s">
        <v>49</v>
      </c>
      <c r="I492" s="21" t="s">
        <v>377</v>
      </c>
      <c r="J492" s="21"/>
      <c r="K492" s="23">
        <v>45686</v>
      </c>
      <c r="L492" s="42">
        <v>40000</v>
      </c>
      <c r="M492" s="21" t="s">
        <v>133</v>
      </c>
      <c r="N492" s="21" t="s">
        <v>386</v>
      </c>
      <c r="O492" s="21" t="s">
        <v>69</v>
      </c>
      <c r="P492" s="21" t="s">
        <v>22</v>
      </c>
      <c r="Q492" s="22">
        <v>32701</v>
      </c>
      <c r="R492" s="21" t="s">
        <v>71</v>
      </c>
      <c r="S492" s="21" t="s">
        <v>562</v>
      </c>
      <c r="T492" s="21">
        <v>3104224640</v>
      </c>
      <c r="U492" s="21" t="s">
        <v>561</v>
      </c>
      <c r="V492" s="26" t="e">
        <f>IF(P492=#REF!,"DIPLOMADO EN ATENCION PRE-HOSPITALARIA",IF(P492=#REF!,"ACOMPAÑAMIENTO Y MANEJO DEL DUELO",IF(P492=#REF!,"ATENCION A VICTIMAS DE ATAQUE CON AGENTES QUIMICOS ",IF(P492=#REF!,"PRIMEROS AUXILIOS ",IF(P492=#REF!,"DIPLOMADO DE UNIDAD DE CUIDADOS INTENSIVOS (UCI)",IF(P492=#REF!,"MODELO DE ATENCION PARA EVENTOS EMERGENTES EN SALUD MENTAL (CODIGO VERDE)",IF(P492=#REF!,"HUMANIZACION EN EL SERVICIO DE LA SALUD Y BUENAS PRACTICAS EN PACIENTE ",IF(P492=#REF!,"CLINICA DE HERIDAS ",IF(P492=#REF!,"TOMA DE CITOLOGIA CERVICO VAGINAL ",IF(P492=#REF!,"SOPORTE CARDIOVASCULAR AVANZADO (ACLS) ",IF(P492=#REF!,"CAMILLERO ",IF(P492=#REF!,"TOMA DE MUESTRAS Y LABORATORIO ",IF(P492=#REF!,"SOPORTE VITAL BASICO (BLS)",IF(P492=#REF!,"ATENCION A VICTIMAS DE VIOLENCIA SEXUAL ",IF(P492=#REF!,"PROGRAMADO AMPLIADO DE INMUNIZACION (PAI - COVID 19)",IF(P492=#REF!,"ATENCION INTEGRAL EN ENFERMEDADES PREVALENTES EN PRIMERA INFANCIA (AIEPI)",IF(P492=#REF!,"ADMINISTRACION DE MEDICAMENTOS, INYECTOLOGIA  Y CANALIZACION ",IF(P492=#REF!,"OPERADOR DE VEHICULOS DE EMERGENCIA (OVE)",IF(P492=#REF!,"INSTITUCIONES AMIGAS DE LA MUJER Y LA INFANCIA (IAMI)",IF(P492=#REF!,"CUIDADO DEL DONANTE DE ORGANOS",IF(P492=#REF!,"ATENCION A VICTIMAS POR VIOLENCIA DE GENERO",IF(P492=#REF!,"IGUALDAD DE GENERO EN LA SALUD",IF(P492=#REF!,"BRIGADA DE EMERGENCIA",IF(P492=#REF!,"MANEJO DEL DOLOR Y CUIDADOS PALIATIVOS",IF(P492=#REF!,"TOMA DE MUESTRAS Y LABORATORIO POCT",IF(P492=#REF!,"IMPLANTE SUBDERMICO DE DISPOSITIVO INTRAUTERINO",IF(P492=#REF!,"SALUD MENTAL",IF(P492=#REF!,"PRIMEROS AUXILIOS PSICOLOGICOS",IF(P492=#REF!,"ATENCION A VICTIMAS POR CONFLICTO ARMADO",IF(P492=#REF!,"MANIPULACION DE ALIMENTOS Y BPM",IF(P492=#REF!,"ATENCION A PERSONAS CON DISCAPACIDAD",IF(P492=#REF!,"CUIDADO INTEGRAL DEL PACIENTE ADULTO",IF(P492=#REF!,"MANEJO DEFENSIVO",IF(P492=#REF!,"SOPORTE CARDIOVASCULAR AVANZADO NEONATAL",IF(P492=#REF!,"SEGURIDAD DEL PACIENTE",IF(P492=#REF!,"MANEJO DE RESIDUOS HOSPITALARIOS"))))))))))))))))))))))))))))))))))))</f>
        <v>#REF!</v>
      </c>
      <c r="W492" s="26" t="str">
        <f>CONCATENATE(E492," ",F492," ",C492," ",D492)</f>
        <v>Katheryn Brigitte Arciniegas Bastidas</v>
      </c>
      <c r="X492" s="26" t="str">
        <f t="shared" si="33"/>
        <v>Katheryn Brigitte Arciniegas Bastidas</v>
      </c>
      <c r="Y492" s="26" t="str">
        <f>CONCATENATE(W492,"-",B492,"-",P492)</f>
        <v>Katheryn Brigitte Arciniegas Bastidas-1085275061-PRIMEROS AUXILIOS</v>
      </c>
    </row>
    <row r="493" spans="1:25" s="19" customFormat="1" x14ac:dyDescent="0.2">
      <c r="A493" s="20">
        <v>240</v>
      </c>
      <c r="B493" s="21">
        <v>59396138</v>
      </c>
      <c r="C493" s="21" t="s">
        <v>150</v>
      </c>
      <c r="D493" s="21" t="s">
        <v>222</v>
      </c>
      <c r="E493" s="21" t="s">
        <v>564</v>
      </c>
      <c r="F493" s="21" t="s">
        <v>50</v>
      </c>
      <c r="G493" s="21">
        <v>30</v>
      </c>
      <c r="H493" s="21" t="s">
        <v>49</v>
      </c>
      <c r="I493" s="21" t="s">
        <v>376</v>
      </c>
      <c r="J493" s="21"/>
      <c r="K493" s="23">
        <v>45688</v>
      </c>
      <c r="L493" s="44">
        <v>32000</v>
      </c>
      <c r="M493" s="48" t="s">
        <v>106</v>
      </c>
      <c r="N493" s="21" t="s">
        <v>387</v>
      </c>
      <c r="O493" s="21" t="s">
        <v>95</v>
      </c>
      <c r="P493" s="21" t="s">
        <v>27</v>
      </c>
      <c r="Q493" s="22">
        <v>30142</v>
      </c>
      <c r="R493" s="21" t="s">
        <v>71</v>
      </c>
      <c r="S493" s="21" t="s">
        <v>107</v>
      </c>
      <c r="T493" s="21">
        <v>3168902712</v>
      </c>
      <c r="U493" s="21" t="s">
        <v>565</v>
      </c>
      <c r="V493" s="26" t="e">
        <f>IF(P493=#REF!,"DIPLOMADO EN ATENCION PRE-HOSPITALARIA",IF(P493=#REF!,"ACOMPAÑAMIENTO Y MANEJO DEL DUELO",IF(P493=#REF!,"ATENCION A VICTIMAS DE ATAQUE CON AGENTES QUIMICOS ",IF(P493=#REF!,"PRIMEROS AUXILIOS ",IF(P493=#REF!,"DIPLOMADO DE UNIDAD DE CUIDADOS INTENSIVOS (UCI)",IF(P493=#REF!,"MODELO DE ATENCION PARA EVENTOS EMERGENTES EN SALUD MENTAL (CODIGO VERDE)",IF(P493=#REF!,"HUMANIZACION EN EL SERVICIO DE LA SALUD Y BUENAS PRACTICAS EN PACIENTE ",IF(P493=#REF!,"CLINICA DE HERIDAS ",IF(P493=#REF!,"TOMA DE CITOLOGIA CERVICO VAGINAL ",IF(P493=#REF!,"SOPORTE CARDIOVASCULAR AVANZADO (ACLS) ",IF(P493=#REF!,"CAMILLERO ",IF(P493=#REF!,"TOMA DE MUESTRAS Y LABORATORIO ",IF(P493=#REF!,"SOPORTE VITAL BASICO (BLS)",IF(P493=#REF!,"ATENCION A VICTIMAS DE VIOLENCIA SEXUAL ",IF(P493=#REF!,"PROGRAMADO AMPLIADO DE INMUNIZACION (PAI - COVID 19)",IF(P493=#REF!,"ATENCION INTEGRAL EN ENFERMEDADES PREVALENTES EN PRIMERA INFANCIA (AIEPI)",IF(P493=#REF!,"ADMINISTRACION DE MEDICAMENTOS, INYECTOLOGIA  Y CANALIZACION ",IF(P493=#REF!,"OPERADOR DE VEHICULOS DE EMERGENCIA (OVE)",IF(P493=#REF!,"INSTITUCIONES AMIGAS DE LA MUJER Y LA INFANCIA (IAMI)",IF(P493=#REF!,"CUIDADO DEL DONANTE DE ORGANOS",IF(P493=#REF!,"ATENCION A VICTIMAS POR VIOLENCIA DE GENERO",IF(P493=#REF!,"IGUALDAD DE GENERO EN LA SALUD",IF(P493=#REF!,"BRIGADA DE EMERGENCIA",IF(P493=#REF!,"MANEJO DEL DOLOR Y CUIDADOS PALIATIVOS",IF(P493=#REF!,"TOMA DE MUESTRAS Y LABORATORIO POCT",IF(P493=#REF!,"IMPLANTE SUBDERMICO DE DISPOSITIVO INTRAUTERINO",IF(P493=#REF!,"SALUD MENTAL",IF(P493=#REF!,"PRIMEROS AUXILIOS PSICOLOGICOS",IF(P493=#REF!,"ATENCION A VICTIMAS POR CONFLICTO ARMADO",IF(P493=#REF!,"MANIPULACION DE ALIMENTOS Y BPM",IF(P493=#REF!,"ATENCION A PERSONAS CON DISCAPACIDAD",IF(P493=#REF!,"CUIDADO INTEGRAL DEL PACIENTE ADULTO",IF(P493=#REF!,"MANEJO DEFENSIVO",IF(P493=#REF!,"SOPORTE CARDIOVASCULAR AVANZADO NEONATAL",IF(P493=#REF!,"SEGURIDAD DEL PACIENTE",IF(P493=#REF!,"MANEJO DE RESIDUOS HOSPITALARIOS"))))))))))))))))))))))))))))))))))))</f>
        <v>#REF!</v>
      </c>
      <c r="W493" s="26" t="str">
        <f>CONCATENATE(E493," ",F493," ",C493," ",D493)</f>
        <v>Mirta Elizabeth Rodriguez Andrade</v>
      </c>
      <c r="X493" s="26" t="str">
        <f t="shared" si="33"/>
        <v>Mirta Elizabeth Rodriguez Andrade</v>
      </c>
      <c r="Y493" s="26" t="str">
        <f>CONCATENATE(W493,"-",B493,"-",P493)</f>
        <v>Mirta Elizabeth Rodriguez Andrade-59396138-VIOLENCIA SEXUAL</v>
      </c>
    </row>
    <row r="494" spans="1:25" s="19" customFormat="1" x14ac:dyDescent="0.2">
      <c r="A494" s="20">
        <v>241</v>
      </c>
      <c r="B494" s="21">
        <v>59396138</v>
      </c>
      <c r="C494" s="21" t="s">
        <v>150</v>
      </c>
      <c r="D494" s="21" t="s">
        <v>222</v>
      </c>
      <c r="E494" s="21" t="s">
        <v>564</v>
      </c>
      <c r="F494" s="21" t="s">
        <v>50</v>
      </c>
      <c r="G494" s="21">
        <v>29</v>
      </c>
      <c r="H494" s="21" t="s">
        <v>49</v>
      </c>
      <c r="I494" s="21" t="s">
        <v>376</v>
      </c>
      <c r="J494" s="21"/>
      <c r="K494" s="23">
        <v>45688</v>
      </c>
      <c r="L494" s="44">
        <v>32000</v>
      </c>
      <c r="M494" s="21" t="s">
        <v>106</v>
      </c>
      <c r="N494" s="21" t="s">
        <v>387</v>
      </c>
      <c r="O494" s="21" t="s">
        <v>95</v>
      </c>
      <c r="P494" s="21" t="s">
        <v>20</v>
      </c>
      <c r="Q494" s="22">
        <v>30142</v>
      </c>
      <c r="R494" s="21" t="s">
        <v>71</v>
      </c>
      <c r="S494" s="21" t="s">
        <v>107</v>
      </c>
      <c r="T494" s="21">
        <v>3168902712</v>
      </c>
      <c r="U494" s="21" t="s">
        <v>565</v>
      </c>
      <c r="V494" s="26" t="e">
        <f>IF(P494=#REF!,"DIPLOMADO EN ATENCION PRE-HOSPITALARIA",IF(P494=#REF!,"ACOMPAÑAMIENTO Y MANEJO DEL DUELO",IF(P494=#REF!,"ATENCION A VICTIMAS DE ATAQUE CON AGENTES QUIMICOS ",IF(P494=#REF!,"PRIMEROS AUXILIOS ",IF(P494=#REF!,"DIPLOMADO DE UNIDAD DE CUIDADOS INTENSIVOS (UCI)",IF(P494=#REF!,"MODELO DE ATENCION PARA EVENTOS EMERGENTES EN SALUD MENTAL (CODIGO VERDE)",IF(P494=#REF!,"HUMANIZACION EN EL SERVICIO DE LA SALUD Y BUENAS PRACTICAS EN PACIENTE ",IF(P494=#REF!,"CLINICA DE HERIDAS ",IF(P494=#REF!,"TOMA DE CITOLOGIA CERVICO VAGINAL ",IF(P494=#REF!,"SOPORTE CARDIOVASCULAR AVANZADO (ACLS) ",IF(P494=#REF!,"CAMILLERO ",IF(P494=#REF!,"TOMA DE MUESTRAS Y LABORATORIO ",IF(P494=#REF!,"SOPORTE VITAL BASICO (BLS)",IF(P494=#REF!,"ATENCION A VICTIMAS DE VIOLENCIA SEXUAL ",IF(P494=#REF!,"PROGRAMADO AMPLIADO DE INMUNIZACION (PAI - COVID 19)",IF(P494=#REF!,"ATENCION INTEGRAL EN ENFERMEDADES PREVALENTES EN PRIMERA INFANCIA (AIEPI)",IF(P494=#REF!,"ADMINISTRACION DE MEDICAMENTOS, INYECTOLOGIA  Y CANALIZACION ",IF(P494=#REF!,"OPERADOR DE VEHICULOS DE EMERGENCIA (OVE)",IF(P494=#REF!,"INSTITUCIONES AMIGAS DE LA MUJER Y LA INFANCIA (IAMI)",IF(P494=#REF!,"CUIDADO DEL DONANTE DE ORGANOS",IF(P494=#REF!,"ATENCION A VICTIMAS POR VIOLENCIA DE GENERO",IF(P494=#REF!,"IGUALDAD DE GENERO EN LA SALUD",IF(P494=#REF!,"BRIGADA DE EMERGENCIA",IF(P494=#REF!,"MANEJO DEL DOLOR Y CUIDADOS PALIATIVOS",IF(P494=#REF!,"TOMA DE MUESTRAS Y LABORATORIO POCT",IF(P494=#REF!,"IMPLANTE SUBDERMICO DE DISPOSITIVO INTRAUTERINO",IF(P494=#REF!,"SALUD MENTAL",IF(P494=#REF!,"PRIMEROS AUXILIOS PSICOLOGICOS",IF(P494=#REF!,"ATENCION A VICTIMAS POR CONFLICTO ARMADO",IF(P494=#REF!,"MANIPULACION DE ALIMENTOS Y BPM",IF(P494=#REF!,"ATENCION A PERSONAS CON DISCAPACIDAD",IF(P494=#REF!,"CUIDADO INTEGRAL DEL PACIENTE ADULTO",IF(P494=#REF!,"MANEJO DEFENSIVO",IF(P494=#REF!,"SOPORTE CARDIOVASCULAR AVANZADO NEONATAL",IF(P494=#REF!,"SEGURIDAD DEL PACIENTE",IF(P494=#REF!,"MANEJO DE RESIDUOS HOSPITALARIOS"))))))))))))))))))))))))))))))))))))</f>
        <v>#REF!</v>
      </c>
      <c r="W494" s="26" t="str">
        <f>CONCATENATE(E494," ",F494," ",C494," ",D494)</f>
        <v>Mirta Elizabeth Rodriguez Andrade</v>
      </c>
      <c r="X494" s="26" t="str">
        <f t="shared" si="33"/>
        <v>Mirta Elizabeth Rodriguez Andrade</v>
      </c>
      <c r="Y494" s="26" t="str">
        <f>CONCATENATE(W494,"-",B494,"-",P494)</f>
        <v>Mirta Elizabeth Rodriguez Andrade-59396138-DUELO</v>
      </c>
    </row>
    <row r="495" spans="1:25" s="19" customFormat="1" x14ac:dyDescent="0.2">
      <c r="A495" s="20">
        <v>242</v>
      </c>
      <c r="B495" s="21">
        <v>59396138</v>
      </c>
      <c r="C495" s="21" t="s">
        <v>150</v>
      </c>
      <c r="D495" s="21" t="s">
        <v>222</v>
      </c>
      <c r="E495" s="21" t="s">
        <v>564</v>
      </c>
      <c r="F495" s="21" t="s">
        <v>50</v>
      </c>
      <c r="G495" s="21">
        <v>30</v>
      </c>
      <c r="H495" s="21" t="s">
        <v>49</v>
      </c>
      <c r="I495" s="21" t="s">
        <v>376</v>
      </c>
      <c r="J495" s="21"/>
      <c r="K495" s="23">
        <v>45688</v>
      </c>
      <c r="L495" s="44">
        <v>32000</v>
      </c>
      <c r="M495" s="37" t="s">
        <v>106</v>
      </c>
      <c r="N495" s="21" t="s">
        <v>387</v>
      </c>
      <c r="O495" s="21" t="s">
        <v>95</v>
      </c>
      <c r="P495" s="21" t="s">
        <v>21</v>
      </c>
      <c r="Q495" s="22">
        <v>30142</v>
      </c>
      <c r="R495" s="21" t="s">
        <v>71</v>
      </c>
      <c r="S495" s="21" t="s">
        <v>107</v>
      </c>
      <c r="T495" s="21">
        <v>3168902712</v>
      </c>
      <c r="U495" s="21" t="s">
        <v>565</v>
      </c>
      <c r="V495" s="26" t="e">
        <f>IF(P495=#REF!,"DIPLOMADO EN ATENCION PRE-HOSPITALARIA",IF(P495=#REF!,"ACOMPAÑAMIENTO Y MANEJO DEL DUELO",IF(P495=#REF!,"ATENCION A VICTIMAS DE ATAQUE CON AGENTES QUIMICOS ",IF(P495=#REF!,"PRIMEROS AUXILIOS ",IF(P495=#REF!,"DIPLOMADO DE UNIDAD DE CUIDADOS INTENSIVOS (UCI)",IF(P495=#REF!,"MODELO DE ATENCION PARA EVENTOS EMERGENTES EN SALUD MENTAL (CODIGO VERDE)",IF(P495=#REF!,"HUMANIZACION EN EL SERVICIO DE LA SALUD Y BUENAS PRACTICAS EN PACIENTE ",IF(P495=#REF!,"CLINICA DE HERIDAS ",IF(P495=#REF!,"TOMA DE CITOLOGIA CERVICO VAGINAL ",IF(P495=#REF!,"SOPORTE CARDIOVASCULAR AVANZADO (ACLS) ",IF(P495=#REF!,"CAMILLERO ",IF(P495=#REF!,"TOMA DE MUESTRAS Y LABORATORIO ",IF(P495=#REF!,"SOPORTE VITAL BASICO (BLS)",IF(P495=#REF!,"ATENCION A VICTIMAS DE VIOLENCIA SEXUAL ",IF(P495=#REF!,"PROGRAMADO AMPLIADO DE INMUNIZACION (PAI - COVID 19)",IF(P495=#REF!,"ATENCION INTEGRAL EN ENFERMEDADES PREVALENTES EN PRIMERA INFANCIA (AIEPI)",IF(P495=#REF!,"ADMINISTRACION DE MEDICAMENTOS, INYECTOLOGIA  Y CANALIZACION ",IF(P495=#REF!,"OPERADOR DE VEHICULOS DE EMERGENCIA (OVE)",IF(P495=#REF!,"INSTITUCIONES AMIGAS DE LA MUJER Y LA INFANCIA (IAMI)",IF(P495=#REF!,"CUIDADO DEL DONANTE DE ORGANOS",IF(P495=#REF!,"ATENCION A VICTIMAS POR VIOLENCIA DE GENERO",IF(P495=#REF!,"IGUALDAD DE GENERO EN LA SALUD",IF(P495=#REF!,"BRIGADA DE EMERGENCIA",IF(P495=#REF!,"MANEJO DEL DOLOR Y CUIDADOS PALIATIVOS",IF(P495=#REF!,"TOMA DE MUESTRAS Y LABORATORIO POCT",IF(P495=#REF!,"IMPLANTE SUBDERMICO DE DISPOSITIVO INTRAUTERINO",IF(P495=#REF!,"SALUD MENTAL",IF(P495=#REF!,"PRIMEROS AUXILIOS PSICOLOGICOS",IF(P495=#REF!,"ATENCION A VICTIMAS POR CONFLICTO ARMADO",IF(P495=#REF!,"MANIPULACION DE ALIMENTOS Y BPM",IF(P495=#REF!,"ATENCION A PERSONAS CON DISCAPACIDAD",IF(P495=#REF!,"CUIDADO INTEGRAL DEL PACIENTE ADULTO",IF(P495=#REF!,"MANEJO DEFENSIVO",IF(P495=#REF!,"SOPORTE CARDIOVASCULAR AVANZADO NEONATAL",IF(P495=#REF!,"SEGURIDAD DEL PACIENTE",IF(P495=#REF!,"MANEJO DE RESIDUOS HOSPITALARIOS"))))))))))))))))))))))))))))))))))))</f>
        <v>#REF!</v>
      </c>
      <c r="W495" s="26" t="str">
        <f>CONCATENATE(E495," ",F495," ",C495," ",D495)</f>
        <v>Mirta Elizabeth Rodriguez Andrade</v>
      </c>
      <c r="X495" s="26" t="str">
        <f t="shared" si="33"/>
        <v>Mirta Elizabeth Rodriguez Andrade</v>
      </c>
      <c r="Y495" s="26" t="str">
        <f>CONCATENATE(W495,"-",B495,"-",P495)</f>
        <v>Mirta Elizabeth Rodriguez Andrade-59396138-QUIMICOS</v>
      </c>
    </row>
    <row r="496" spans="1:25" x14ac:dyDescent="0.2">
      <c r="A496" s="20">
        <v>243</v>
      </c>
      <c r="B496" s="21">
        <v>1010207782</v>
      </c>
      <c r="C496" s="21" t="s">
        <v>395</v>
      </c>
      <c r="D496" s="21" t="s">
        <v>566</v>
      </c>
      <c r="E496" s="21" t="s">
        <v>567</v>
      </c>
      <c r="F496" s="21" t="s">
        <v>50</v>
      </c>
      <c r="G496" s="21">
        <v>30</v>
      </c>
      <c r="H496" s="21" t="s">
        <v>49</v>
      </c>
      <c r="I496" s="21" t="s">
        <v>376</v>
      </c>
      <c r="J496" s="21"/>
      <c r="K496" s="23">
        <v>45687</v>
      </c>
      <c r="L496" s="42">
        <v>32000</v>
      </c>
      <c r="M496" s="21" t="s">
        <v>106</v>
      </c>
      <c r="N496" s="21" t="s">
        <v>387</v>
      </c>
      <c r="O496" s="21" t="s">
        <v>69</v>
      </c>
      <c r="P496" s="21" t="s">
        <v>41</v>
      </c>
      <c r="Q496" s="22">
        <v>34031</v>
      </c>
      <c r="R496" s="21" t="s">
        <v>71</v>
      </c>
      <c r="S496" s="63" t="s">
        <v>83</v>
      </c>
      <c r="T496" s="21">
        <v>3168247033</v>
      </c>
      <c r="U496" s="21" t="s">
        <v>568</v>
      </c>
      <c r="V496" s="26" t="e">
        <f>IF(P496=#REF!,"DIPLOMADO EN ATENCION PRE-HOSPITALARIA",IF(P496=#REF!,"ACOMPAÑAMIENTO Y MANEJO DEL DUELO",IF(P496=#REF!,"ATENCION A VICTIMAS DE ATAQUE CON AGENTES QUIMICOS ",IF(P496=#REF!,"PRIMEROS AUXILIOS ",IF(P496=#REF!,"DIPLOMADO DE UNIDAD DE CUIDADOS INTENSIVOS (UCI)",IF(P496=#REF!,"MODELO DE ATENCION PARA EVENTOS EMERGENTES EN SALUD MENTAL (CODIGO VERDE)",IF(P496=#REF!,"HUMANIZACION EN EL SERVICIO DE LA SALUD Y BUENAS PRACTICAS EN PACIENTE ",IF(P496=#REF!,"CLINICA DE HERIDAS ",IF(P496=#REF!,"TOMA DE CITOLOGIA CERVICO VAGINAL ",IF(P496=#REF!,"SOPORTE CARDIOVASCULAR AVANZADO (ACLS) ",IF(P496=#REF!,"CAMILLERO ",IF(P496=#REF!,"TOMA DE MUESTRAS Y LABORATORIO ",IF(P496=#REF!,"SOPORTE VITAL BASICO (BLS)",IF(P496=#REF!,"ATENCION A VICTIMAS DE VIOLENCIA SEXUAL ",IF(P496=#REF!,"PROGRAMADO AMPLIADO DE INMUNIZACION (PAI - COVID 19)",IF(P496=#REF!,"ATENCION INTEGRAL EN ENFERMEDADES PREVALENTES EN PRIMERA INFANCIA (AIEPI)",IF(P496=#REF!,"ADMINISTRACION DE MEDICAMENTOS, INYECTOLOGIA  Y CANALIZACION ",IF(P496=#REF!,"OPERADOR DE VEHICULOS DE EMERGENCIA (OVE)",IF(P496=#REF!,"INSTITUCIONES AMIGAS DE LA MUJER Y LA INFANCIA (IAMI)",IF(P496=#REF!,"CUIDADO DEL DONANTE DE ORGANOS",IF(P496=#REF!,"ATENCION A VICTIMAS POR VIOLENCIA DE GENERO",IF(P496=#REF!,"IGUALDAD DE GENERO EN LA SALUD",IF(P496=#REF!,"BRIGADA DE EMERGENCIA",IF(P496=#REF!,"MANEJO DEL DOLOR Y CUIDADOS PALIATIVOS",IF(P496=#REF!,"TOMA DE MUESTRAS Y LABORATORIO POCT",IF(P496=#REF!,"IMPLANTE SUBDERMICO DE DISPOSITIVO INTRAUTERINO",IF(P496=#REF!,"SALUD MENTAL",IF(P496=#REF!,"PRIMEROS AUXILIOS PSICOLOGICOS",IF(P496=#REF!,"ATENCION A VICTIMAS POR CONFLICTO ARMADO",IF(P496=#REF!,"MANIPULACION DE ALIMENTOS Y BPM",IF(P496=#REF!,"ATENCION A PERSONAS CON DISCAPACIDAD",IF(P496=#REF!,"CUIDADO INTEGRAL DEL PACIENTE ADULTO",IF(P496=#REF!,"MANEJO DEFENSIVO",IF(P496=#REF!,"SOPORTE CARDIOVASCULAR AVANZADO NEONATAL",IF(P496=#REF!,"SEGURIDAD DEL PACIENTE",IF(P496=#REF!,"MANEJO DE RESIDUOS HOSPITALARIOS"))))))))))))))))))))))))))))))))))))</f>
        <v>#REF!</v>
      </c>
      <c r="W496" s="26" t="str">
        <f>CONCATENATE(E496," ",F496," ",C496," ",D496)</f>
        <v>Wanda Elizabeth Quiñones Angulo</v>
      </c>
      <c r="X496" s="26" t="str">
        <f t="shared" si="33"/>
        <v>Wanda Elizabeth Quiñones Angulo</v>
      </c>
      <c r="Y496" s="26" t="str">
        <f>CONCATENATE(W496,"-",B496,"-",P496)</f>
        <v>Wanda Elizabeth Quiñones Angulo-1010207782-PACIENTE</v>
      </c>
    </row>
    <row r="497" spans="1:25" x14ac:dyDescent="0.2">
      <c r="A497" s="36">
        <v>244</v>
      </c>
      <c r="B497" s="37">
        <v>1010207782</v>
      </c>
      <c r="C497" s="37" t="s">
        <v>395</v>
      </c>
      <c r="D497" s="37" t="s">
        <v>566</v>
      </c>
      <c r="E497" s="37" t="s">
        <v>567</v>
      </c>
      <c r="F497" s="37" t="s">
        <v>50</v>
      </c>
      <c r="G497" s="37">
        <v>29</v>
      </c>
      <c r="H497" s="37" t="s">
        <v>49</v>
      </c>
      <c r="I497" s="37" t="s">
        <v>376</v>
      </c>
      <c r="J497" s="37"/>
      <c r="K497" s="39">
        <v>45687</v>
      </c>
      <c r="L497" s="44">
        <v>32000</v>
      </c>
      <c r="M497" s="37" t="s">
        <v>106</v>
      </c>
      <c r="N497" s="37" t="s">
        <v>387</v>
      </c>
      <c r="O497" s="37" t="s">
        <v>69</v>
      </c>
      <c r="P497" s="37" t="s">
        <v>21</v>
      </c>
      <c r="Q497" s="38">
        <v>34031</v>
      </c>
      <c r="R497" s="37" t="s">
        <v>71</v>
      </c>
      <c r="S497" s="65" t="s">
        <v>83</v>
      </c>
      <c r="T497" s="37">
        <v>3168247033</v>
      </c>
      <c r="U497" s="37" t="s">
        <v>568</v>
      </c>
      <c r="V497" s="41" t="e">
        <f>IF(P497=#REF!,"DIPLOMADO EN ATENCION PRE-HOSPITALARIA",IF(P497=#REF!,"ACOMPAÑAMIENTO Y MANEJO DEL DUELO",IF(P497=#REF!,"ATENCION A VICTIMAS DE ATAQUE CON AGENTES QUIMICOS ",IF(P497=#REF!,"PRIMEROS AUXILIOS ",IF(P497=#REF!,"DIPLOMADO DE UNIDAD DE CUIDADOS INTENSIVOS (UCI)",IF(P497=#REF!,"MODELO DE ATENCION PARA EVENTOS EMERGENTES EN SALUD MENTAL (CODIGO VERDE)",IF(P497=#REF!,"HUMANIZACION EN EL SERVICIO DE LA SALUD Y BUENAS PRACTICAS EN PACIENTE ",IF(P497=#REF!,"CLINICA DE HERIDAS ",IF(P497=#REF!,"TOMA DE CITOLOGIA CERVICO VAGINAL ",IF(P497=#REF!,"SOPORTE CARDIOVASCULAR AVANZADO (ACLS) ",IF(P497=#REF!,"CAMILLERO ",IF(P497=#REF!,"TOMA DE MUESTRAS Y LABORATORIO ",IF(P497=#REF!,"SOPORTE VITAL BASICO (BLS)",IF(P497=#REF!,"ATENCION A VICTIMAS DE VIOLENCIA SEXUAL ",IF(P497=#REF!,"PROGRAMADO AMPLIADO DE INMUNIZACION (PAI - COVID 19)",IF(P497=#REF!,"ATENCION INTEGRAL EN ENFERMEDADES PREVALENTES EN PRIMERA INFANCIA (AIEPI)",IF(P497=#REF!,"ADMINISTRACION DE MEDICAMENTOS, INYECTOLOGIA  Y CANALIZACION ",IF(P497=#REF!,"OPERADOR DE VEHICULOS DE EMERGENCIA (OVE)",IF(P497=#REF!,"INSTITUCIONES AMIGAS DE LA MUJER Y LA INFANCIA (IAMI)",IF(P497=#REF!,"CUIDADO DEL DONANTE DE ORGANOS",IF(P497=#REF!,"ATENCION A VICTIMAS POR VIOLENCIA DE GENERO",IF(P497=#REF!,"IGUALDAD DE GENERO EN LA SALUD",IF(P497=#REF!,"BRIGADA DE EMERGENCIA",IF(P497=#REF!,"MANEJO DEL DOLOR Y CUIDADOS PALIATIVOS",IF(P497=#REF!,"TOMA DE MUESTRAS Y LABORATORIO POCT",IF(P497=#REF!,"IMPLANTE SUBDERMICO DE DISPOSITIVO INTRAUTERINO",IF(P497=#REF!,"SALUD MENTAL",IF(P497=#REF!,"PRIMEROS AUXILIOS PSICOLOGICOS",IF(P497=#REF!,"ATENCION A VICTIMAS POR CONFLICTO ARMADO",IF(P497=#REF!,"MANIPULACION DE ALIMENTOS Y BPM",IF(P497=#REF!,"ATENCION A PERSONAS CON DISCAPACIDAD",IF(P497=#REF!,"CUIDADO INTEGRAL DEL PACIENTE ADULTO",IF(P497=#REF!,"MANEJO DEFENSIVO",IF(P497=#REF!,"SOPORTE CARDIOVASCULAR AVANZADO NEONATAL",IF(P497=#REF!,"SEGURIDAD DEL PACIENTE",IF(P497=#REF!,"MANEJO DE RESIDUOS HOSPITALARIOS"))))))))))))))))))))))))))))))))))))</f>
        <v>#REF!</v>
      </c>
      <c r="W497" s="41" t="str">
        <f>CONCATENATE(E497," ",F497," ",C497," ",D497)</f>
        <v>Wanda Elizabeth Quiñones Angulo</v>
      </c>
      <c r="X497" s="41" t="str">
        <f t="shared" si="33"/>
        <v>Wanda Elizabeth Quiñones Angulo</v>
      </c>
      <c r="Y497" s="41" t="str">
        <f>CONCATENATE(W497,"-",B497,"-",P497)</f>
        <v>Wanda Elizabeth Quiñones Angulo-1010207782-QUIMICOS</v>
      </c>
    </row>
    <row r="498" spans="1:25" s="19" customFormat="1" x14ac:dyDescent="0.2">
      <c r="A498" s="20">
        <v>245</v>
      </c>
      <c r="B498" s="21">
        <v>1010207782</v>
      </c>
      <c r="C498" s="21" t="s">
        <v>395</v>
      </c>
      <c r="D498" s="21" t="s">
        <v>566</v>
      </c>
      <c r="E498" s="21" t="s">
        <v>567</v>
      </c>
      <c r="F498" s="21" t="s">
        <v>50</v>
      </c>
      <c r="G498" s="21">
        <v>28</v>
      </c>
      <c r="H498" s="21" t="s">
        <v>49</v>
      </c>
      <c r="I498" s="21" t="s">
        <v>376</v>
      </c>
      <c r="J498" s="21"/>
      <c r="K498" s="23">
        <v>45687</v>
      </c>
      <c r="L498" s="42">
        <v>32000</v>
      </c>
      <c r="M498" s="21" t="s">
        <v>106</v>
      </c>
      <c r="N498" s="21" t="s">
        <v>387</v>
      </c>
      <c r="O498" s="21" t="s">
        <v>69</v>
      </c>
      <c r="P498" s="21" t="s">
        <v>20</v>
      </c>
      <c r="Q498" s="22">
        <v>34031</v>
      </c>
      <c r="R498" s="21" t="s">
        <v>71</v>
      </c>
      <c r="S498" s="63" t="s">
        <v>83</v>
      </c>
      <c r="T498" s="21">
        <v>3168247033</v>
      </c>
      <c r="U498" s="21" t="s">
        <v>568</v>
      </c>
      <c r="V498" s="26" t="e">
        <f>IF(P498=#REF!,"DIPLOMADO EN ATENCION PRE-HOSPITALARIA",IF(P498=#REF!,"ACOMPAÑAMIENTO Y MANEJO DEL DUELO",IF(P498=#REF!,"ATENCION A VICTIMAS DE ATAQUE CON AGENTES QUIMICOS ",IF(P498=#REF!,"PRIMEROS AUXILIOS ",IF(P498=#REF!,"DIPLOMADO DE UNIDAD DE CUIDADOS INTENSIVOS (UCI)",IF(P498=#REF!,"MODELO DE ATENCION PARA EVENTOS EMERGENTES EN SALUD MENTAL (CODIGO VERDE)",IF(P498=#REF!,"HUMANIZACION EN EL SERVICIO DE LA SALUD Y BUENAS PRACTICAS EN PACIENTE ",IF(P498=#REF!,"CLINICA DE HERIDAS ",IF(P498=#REF!,"TOMA DE CITOLOGIA CERVICO VAGINAL ",IF(P498=#REF!,"SOPORTE CARDIOVASCULAR AVANZADO (ACLS) ",IF(P498=#REF!,"CAMILLERO ",IF(P498=#REF!,"TOMA DE MUESTRAS Y LABORATORIO ",IF(P498=#REF!,"SOPORTE VITAL BASICO (BLS)",IF(P498=#REF!,"ATENCION A VICTIMAS DE VIOLENCIA SEXUAL ",IF(P498=#REF!,"PROGRAMADO AMPLIADO DE INMUNIZACION (PAI - COVID 19)",IF(P498=#REF!,"ATENCION INTEGRAL EN ENFERMEDADES PREVALENTES EN PRIMERA INFANCIA (AIEPI)",IF(P498=#REF!,"ADMINISTRACION DE MEDICAMENTOS, INYECTOLOGIA  Y CANALIZACION ",IF(P498=#REF!,"OPERADOR DE VEHICULOS DE EMERGENCIA (OVE)",IF(P498=#REF!,"INSTITUCIONES AMIGAS DE LA MUJER Y LA INFANCIA (IAMI)",IF(P498=#REF!,"CUIDADO DEL DONANTE DE ORGANOS",IF(P498=#REF!,"ATENCION A VICTIMAS POR VIOLENCIA DE GENERO",IF(P498=#REF!,"IGUALDAD DE GENERO EN LA SALUD",IF(P498=#REF!,"BRIGADA DE EMERGENCIA",IF(P498=#REF!,"MANEJO DEL DOLOR Y CUIDADOS PALIATIVOS",IF(P498=#REF!,"TOMA DE MUESTRAS Y LABORATORIO POCT",IF(P498=#REF!,"IMPLANTE SUBDERMICO DE DISPOSITIVO INTRAUTERINO",IF(P498=#REF!,"SALUD MENTAL",IF(P498=#REF!,"PRIMEROS AUXILIOS PSICOLOGICOS",IF(P498=#REF!,"ATENCION A VICTIMAS POR CONFLICTO ARMADO",IF(P498=#REF!,"MANIPULACION DE ALIMENTOS Y BPM",IF(P498=#REF!,"ATENCION A PERSONAS CON DISCAPACIDAD",IF(P498=#REF!,"CUIDADO INTEGRAL DEL PACIENTE ADULTO",IF(P498=#REF!,"MANEJO DEFENSIVO",IF(P498=#REF!,"SOPORTE CARDIOVASCULAR AVANZADO NEONATAL",IF(P498=#REF!,"SEGURIDAD DEL PACIENTE",IF(P498=#REF!,"MANEJO DE RESIDUOS HOSPITALARIOS"))))))))))))))))))))))))))))))))))))</f>
        <v>#REF!</v>
      </c>
      <c r="W498" s="26" t="str">
        <f>CONCATENATE(E498," ",F498," ",C498," ",D498)</f>
        <v>Wanda Elizabeth Quiñones Angulo</v>
      </c>
      <c r="X498" s="26" t="str">
        <f t="shared" si="33"/>
        <v>Wanda Elizabeth Quiñones Angulo</v>
      </c>
      <c r="Y498" s="26" t="str">
        <f>CONCATENATE(W498,"-",B498,"-",P498)</f>
        <v>Wanda Elizabeth Quiñones Angulo-1010207782-DUELO</v>
      </c>
    </row>
    <row r="499" spans="1:25" x14ac:dyDescent="0.2">
      <c r="A499" s="20">
        <v>246</v>
      </c>
      <c r="B499" s="21">
        <v>1086548383</v>
      </c>
      <c r="C499" s="21" t="s">
        <v>160</v>
      </c>
      <c r="D499" s="21" t="s">
        <v>161</v>
      </c>
      <c r="E499" s="21" t="s">
        <v>162</v>
      </c>
      <c r="F499" s="21" t="s">
        <v>105</v>
      </c>
      <c r="G499" s="21">
        <v>31</v>
      </c>
      <c r="H499" s="21" t="s">
        <v>49</v>
      </c>
      <c r="I499" s="22" t="s">
        <v>376</v>
      </c>
      <c r="J499" s="22"/>
      <c r="K499" s="23">
        <v>45688</v>
      </c>
      <c r="L499" s="24">
        <v>32000</v>
      </c>
      <c r="M499" s="21" t="s">
        <v>79</v>
      </c>
      <c r="N499" s="21" t="s">
        <v>387</v>
      </c>
      <c r="O499" s="21" t="s">
        <v>69</v>
      </c>
      <c r="P499" s="21" t="s">
        <v>27</v>
      </c>
      <c r="Q499" s="22">
        <v>31885</v>
      </c>
      <c r="R499" s="21" t="s">
        <v>71</v>
      </c>
      <c r="S499" s="21" t="s">
        <v>107</v>
      </c>
      <c r="T499" s="21">
        <v>3108237443</v>
      </c>
      <c r="U499" s="21" t="s">
        <v>163</v>
      </c>
      <c r="V499" s="26" t="e">
        <f>IF(P499=#REF!,"DIPLOMADO EN ATENCION PRE-HOSPITALARIA",IF(P499=#REF!,"ACOMPAÑAMIENTO Y MANEJO DEL DUELO",IF(P499=#REF!,"ATENCION A VICTIMAS DE ATAQUE CON AGENTES QUIMICOS ",IF(P499=#REF!,"PRIMEROS AUXILIOS ",IF(P499=#REF!,"DIPLOMADO DE UNIDAD DE CUIDADOS INTENSIVOS (UCI)",IF(P499=#REF!,"MODELO DE ATENCION PARA EVENTOS EMERGENTES EN SALUD MENTAL (CODIGO VERDE)",IF(P499=#REF!,"HUMANIZACION EN EL SERVICIO DE LA SALUD Y BUENAS PRACTICAS EN PACIENTE ",IF(P499=#REF!,"CLINICA DE HERIDAS ",IF(P499=#REF!,"TOMA DE CITOLOGIA CERVICO VAGINAL ",IF(P499=#REF!,"SOPORTE CARDIOVASCULAR AVANZADO (ACLS) ",IF(P499=#REF!,"CAMILLERO ",IF(P499=#REF!,"TOMA DE MUESTRAS Y LABORATORIO ",IF(P499=#REF!,"SOPORTE VITAL BASICO (BLS)",IF(P499=#REF!,"ATENCION A VICTIMAS DE VIOLENCIA SEXUAL ",IF(P499=#REF!,"PROGRAMADO AMPLIADO DE INMUNIZACION (PAI - COVID 19)",IF(P499=#REF!,"ATENCION INTEGRAL EN ENFERMEDADES PREVALENTES EN PRIMERA INFANCIA (AIEPI)",IF(P499=#REF!,"ADMINISTRACION DE MEDICAMENTOS, INYECTOLOGIA  Y CANALIZACION ",IF(P499=#REF!,"OPERADOR DE VEHICULOS DE EMERGENCIA (OVE)",IF(P499=#REF!,"INSTITUCIONES AMIGAS DE LA MUJER Y LA INFANCIA (IAMI)",IF(P499=#REF!,"CUIDADO DEL DONANTE DE ORGANOS",IF(P499=#REF!,"ATENCION A VICTIMAS POR VIOLENCIA DE GENERO",IF(P499=#REF!,"IGUALDAD DE GENERO EN LA SALUD",IF(P499=#REF!,"BRIGADA DE EMERGENCIA",IF(P499=#REF!,"MANEJO DEL DOLOR Y CUIDADOS PALIATIVOS",IF(P499=#REF!,"TOMA DE MUESTRAS Y LABORATORIO POCT",IF(P499=#REF!,"IMPLANTE SUBDERMICO DE DISPOSITIVO INTRAUTERINO",IF(P499=#REF!,"SALUD MENTAL",IF(P499=#REF!,"PRIMEROS AUXILIOS PSICOLOGICOS",IF(P499=#REF!,"ATENCION A VICTIMAS POR CONFLICTO ARMADO",IF(P499=#REF!,"MANIPULACION DE ALIMENTOS Y BPM",IF(P499=#REF!,"ATENCION A PERSONAS CON DISCAPACIDAD",IF(P499=#REF!,"CUIDADO INTEGRAL DEL PACIENTE ADULTO",IF(P499=#REF!,"MANEJO DEFENSIVO",IF(P499=#REF!,"SOPORTE CARDIOVASCULAR AVANZADO NEONATAL",IF(P499=#REF!,"SEGURIDAD DEL PACIENTE",IF(P499=#REF!,"MANEJO DE RESIDUOS HOSPITALARIOS"))))))))))))))))))))))))))))))))))))</f>
        <v>#REF!</v>
      </c>
      <c r="W499" s="26" t="str">
        <f>CONCATENATE(E499," ",F499," ",C499," ",D499)</f>
        <v>Marly Paola Gomez Coronel</v>
      </c>
      <c r="X499" s="26" t="str">
        <f t="shared" si="33"/>
        <v>Marly Paola Gomez Coronel</v>
      </c>
      <c r="Y499" s="26" t="str">
        <f>CONCATENATE(W499,"-",B499,"-",P499)</f>
        <v>Marly Paola Gomez Coronel-1086548383-VIOLENCIA SEXUAL</v>
      </c>
    </row>
    <row r="500" spans="1:25" x14ac:dyDescent="0.2">
      <c r="A500" s="20">
        <v>247</v>
      </c>
      <c r="B500" s="21">
        <v>36755902</v>
      </c>
      <c r="C500" s="21" t="s">
        <v>66</v>
      </c>
      <c r="D500" s="21" t="s">
        <v>145</v>
      </c>
      <c r="E500" s="21" t="s">
        <v>183</v>
      </c>
      <c r="F500" s="21" t="s">
        <v>339</v>
      </c>
      <c r="G500" s="21">
        <v>31</v>
      </c>
      <c r="H500" s="21" t="s">
        <v>49</v>
      </c>
      <c r="I500" s="21" t="s">
        <v>376</v>
      </c>
      <c r="J500" s="21"/>
      <c r="K500" s="23">
        <v>45688</v>
      </c>
      <c r="L500" s="42">
        <v>32000</v>
      </c>
      <c r="M500" s="21" t="s">
        <v>206</v>
      </c>
      <c r="N500" s="21" t="s">
        <v>387</v>
      </c>
      <c r="O500" s="21" t="s">
        <v>69</v>
      </c>
      <c r="P500" s="21" t="s">
        <v>28</v>
      </c>
      <c r="Q500" s="22">
        <v>29775</v>
      </c>
      <c r="R500" s="21" t="s">
        <v>71</v>
      </c>
      <c r="S500" s="63" t="s">
        <v>83</v>
      </c>
      <c r="T500" s="21">
        <v>3143563185</v>
      </c>
      <c r="U500" s="21" t="s">
        <v>569</v>
      </c>
      <c r="V500" s="26" t="e">
        <f>IF(P500=#REF!,"DIPLOMADO EN ATENCION PRE-HOSPITALARIA",IF(P500=#REF!,"ACOMPAÑAMIENTO Y MANEJO DEL DUELO",IF(P500=#REF!,"ATENCION A VICTIMAS DE ATAQUE CON AGENTES QUIMICOS ",IF(P500=#REF!,"PRIMEROS AUXILIOS ",IF(P500=#REF!,"DIPLOMADO DE UNIDAD DE CUIDADOS INTENSIVOS (UCI)",IF(P500=#REF!,"MODELO DE ATENCION PARA EVENTOS EMERGENTES EN SALUD MENTAL (CODIGO VERDE)",IF(P500=#REF!,"HUMANIZACION EN EL SERVICIO DE LA SALUD Y BUENAS PRACTICAS EN PACIENTE ",IF(P500=#REF!,"CLINICA DE HERIDAS ",IF(P500=#REF!,"TOMA DE CITOLOGIA CERVICO VAGINAL ",IF(P500=#REF!,"SOPORTE CARDIOVASCULAR AVANZADO (ACLS) ",IF(P500=#REF!,"CAMILLERO ",IF(P500=#REF!,"TOMA DE MUESTRAS Y LABORATORIO ",IF(P500=#REF!,"SOPORTE VITAL BASICO (BLS)",IF(P500=#REF!,"ATENCION A VICTIMAS DE VIOLENCIA SEXUAL ",IF(P500=#REF!,"PROGRAMADO AMPLIADO DE INMUNIZACION (PAI - COVID 19)",IF(P500=#REF!,"ATENCION INTEGRAL EN ENFERMEDADES PREVALENTES EN PRIMERA INFANCIA (AIEPI)",IF(P500=#REF!,"ADMINISTRACION DE MEDICAMENTOS, INYECTOLOGIA  Y CANALIZACION ",IF(P500=#REF!,"OPERADOR DE VEHICULOS DE EMERGENCIA (OVE)",IF(P500=#REF!,"INSTITUCIONES AMIGAS DE LA MUJER Y LA INFANCIA (IAMI)",IF(P500=#REF!,"CUIDADO DEL DONANTE DE ORGANOS",IF(P500=#REF!,"ATENCION A VICTIMAS POR VIOLENCIA DE GENERO",IF(P500=#REF!,"IGUALDAD DE GENERO EN LA SALUD",IF(P500=#REF!,"BRIGADA DE EMERGENCIA",IF(P500=#REF!,"MANEJO DEL DOLOR Y CUIDADOS PALIATIVOS",IF(P500=#REF!,"TOMA DE MUESTRAS Y LABORATORIO POCT",IF(P500=#REF!,"IMPLANTE SUBDERMICO DE DISPOSITIVO INTRAUTERINO",IF(P500=#REF!,"SALUD MENTAL",IF(P500=#REF!,"PRIMEROS AUXILIOS PSICOLOGICOS",IF(P500=#REF!,"ATENCION A VICTIMAS POR CONFLICTO ARMADO",IF(P500=#REF!,"MANIPULACION DE ALIMENTOS Y BPM",IF(P500=#REF!,"ATENCION A PERSONAS CON DISCAPACIDAD",IF(P500=#REF!,"CUIDADO INTEGRAL DEL PACIENTE ADULTO",IF(P500=#REF!,"MANEJO DEFENSIVO",IF(P500=#REF!,"SOPORTE CARDIOVASCULAR AVANZADO NEONATAL",IF(P500=#REF!,"SEGURIDAD DEL PACIENTE",IF(P500=#REF!,"MANEJO DE RESIDUOS HOSPITALARIOS"))))))))))))))))))))))))))))))))))))</f>
        <v>#REF!</v>
      </c>
      <c r="W500" s="26" t="str">
        <f>CONCATENATE(E500," ",F500," ",C500," ",D500)</f>
        <v>Maria Patricia Meza Eraso</v>
      </c>
      <c r="X500" s="26" t="str">
        <f t="shared" si="33"/>
        <v>Maria Patricia Meza Eraso</v>
      </c>
      <c r="Y500" s="26" t="str">
        <f>CONCATENATE(W500,"-",B500,"-",P500)</f>
        <v>Maria Patricia Meza Eraso-36755902-AIEPI</v>
      </c>
    </row>
    <row r="501" spans="1:25" x14ac:dyDescent="0.2">
      <c r="A501" s="20">
        <v>248</v>
      </c>
      <c r="B501" s="21">
        <v>36755902</v>
      </c>
      <c r="C501" s="21" t="s">
        <v>66</v>
      </c>
      <c r="D501" s="21" t="s">
        <v>145</v>
      </c>
      <c r="E501" s="21" t="s">
        <v>183</v>
      </c>
      <c r="F501" s="21" t="s">
        <v>339</v>
      </c>
      <c r="G501" s="21">
        <v>30</v>
      </c>
      <c r="H501" s="21" t="s">
        <v>49</v>
      </c>
      <c r="I501" s="21" t="s">
        <v>376</v>
      </c>
      <c r="J501" s="21"/>
      <c r="K501" s="23">
        <v>45688</v>
      </c>
      <c r="L501" s="42">
        <v>32000</v>
      </c>
      <c r="M501" s="21" t="s">
        <v>206</v>
      </c>
      <c r="N501" s="21" t="s">
        <v>387</v>
      </c>
      <c r="O501" s="21" t="s">
        <v>69</v>
      </c>
      <c r="P501" s="21" t="s">
        <v>31</v>
      </c>
      <c r="Q501" s="22">
        <v>29775</v>
      </c>
      <c r="R501" s="21" t="s">
        <v>71</v>
      </c>
      <c r="S501" s="63" t="s">
        <v>83</v>
      </c>
      <c r="T501" s="21">
        <v>3143563185</v>
      </c>
      <c r="U501" s="21" t="s">
        <v>569</v>
      </c>
      <c r="V501" s="26" t="e">
        <f>IF(P501=#REF!,"DIPLOMADO EN ATENCION PRE-HOSPITALARIA",IF(P501=#REF!,"ACOMPAÑAMIENTO Y MANEJO DEL DUELO",IF(P501=#REF!,"ATENCION A VICTIMAS DE ATAQUE CON AGENTES QUIMICOS ",IF(P501=#REF!,"PRIMEROS AUXILIOS ",IF(P501=#REF!,"DIPLOMADO DE UNIDAD DE CUIDADOS INTENSIVOS (UCI)",IF(P501=#REF!,"MODELO DE ATENCION PARA EVENTOS EMERGENTES EN SALUD MENTAL (CODIGO VERDE)",IF(P501=#REF!,"HUMANIZACION EN EL SERVICIO DE LA SALUD Y BUENAS PRACTICAS EN PACIENTE ",IF(P501=#REF!,"CLINICA DE HERIDAS ",IF(P501=#REF!,"TOMA DE CITOLOGIA CERVICO VAGINAL ",IF(P501=#REF!,"SOPORTE CARDIOVASCULAR AVANZADO (ACLS) ",IF(P501=#REF!,"CAMILLERO ",IF(P501=#REF!,"TOMA DE MUESTRAS Y LABORATORIO ",IF(P501=#REF!,"SOPORTE VITAL BASICO (BLS)",IF(P501=#REF!,"ATENCION A VICTIMAS DE VIOLENCIA SEXUAL ",IF(P501=#REF!,"PROGRAMADO AMPLIADO DE INMUNIZACION (PAI - COVID 19)",IF(P501=#REF!,"ATENCION INTEGRAL EN ENFERMEDADES PREVALENTES EN PRIMERA INFANCIA (AIEPI)",IF(P501=#REF!,"ADMINISTRACION DE MEDICAMENTOS, INYECTOLOGIA  Y CANALIZACION ",IF(P501=#REF!,"OPERADOR DE VEHICULOS DE EMERGENCIA (OVE)",IF(P501=#REF!,"INSTITUCIONES AMIGAS DE LA MUJER Y LA INFANCIA (IAMI)",IF(P501=#REF!,"CUIDADO DEL DONANTE DE ORGANOS",IF(P501=#REF!,"ATENCION A VICTIMAS POR VIOLENCIA DE GENERO",IF(P501=#REF!,"IGUALDAD DE GENERO EN LA SALUD",IF(P501=#REF!,"BRIGADA DE EMERGENCIA",IF(P501=#REF!,"MANEJO DEL DOLOR Y CUIDADOS PALIATIVOS",IF(P501=#REF!,"TOMA DE MUESTRAS Y LABORATORIO POCT",IF(P501=#REF!,"IMPLANTE SUBDERMICO DE DISPOSITIVO INTRAUTERINO",IF(P501=#REF!,"SALUD MENTAL",IF(P501=#REF!,"PRIMEROS AUXILIOS PSICOLOGICOS",IF(P501=#REF!,"ATENCION A VICTIMAS POR CONFLICTO ARMADO",IF(P501=#REF!,"MANIPULACION DE ALIMENTOS Y BPM",IF(P501=#REF!,"ATENCION A PERSONAS CON DISCAPACIDAD",IF(P501=#REF!,"CUIDADO INTEGRAL DEL PACIENTE ADULTO",IF(P501=#REF!,"MANEJO DEFENSIVO",IF(P501=#REF!,"SOPORTE CARDIOVASCULAR AVANZADO NEONATAL",IF(P501=#REF!,"SEGURIDAD DEL PACIENTE",IF(P501=#REF!,"MANEJO DE RESIDUOS HOSPITALARIOS"))))))))))))))))))))))))))))))))))))</f>
        <v>#REF!</v>
      </c>
      <c r="W501" s="26" t="str">
        <f>CONCATENATE(E501," ",F501," ",C501," ",D501)</f>
        <v>Maria Patricia Meza Eraso</v>
      </c>
      <c r="X501" s="26" t="str">
        <f t="shared" si="33"/>
        <v>Maria Patricia Meza Eraso</v>
      </c>
      <c r="Y501" s="26" t="str">
        <f>CONCATENATE(W501,"-",B501,"-",P501)</f>
        <v>Maria Patricia Meza Eraso-36755902-IAMI</v>
      </c>
    </row>
    <row r="1048551" spans="2:7" x14ac:dyDescent="0.2">
      <c r="B1048551" s="1"/>
      <c r="C1048551" s="1"/>
      <c r="D1048551" s="1"/>
      <c r="E1048551" s="1"/>
      <c r="F1048551" s="1"/>
      <c r="G1048551" s="1"/>
    </row>
    <row r="1048570" spans="12:20" x14ac:dyDescent="0.2">
      <c r="L1048570" s="24"/>
      <c r="Q1048570" s="9"/>
      <c r="R1048570" s="1"/>
      <c r="S1048570" s="60"/>
      <c r="T1048570" s="1"/>
    </row>
    <row r="1048574" spans="12:20" x14ac:dyDescent="0.2">
      <c r="Q1048574" s="8"/>
      <c r="S1048574" s="62"/>
    </row>
  </sheetData>
  <phoneticPr fontId="3" type="noConversion"/>
  <hyperlinks>
    <hyperlink ref="U6" r:id="rId1" xr:uid="{00000000-0004-0000-0000-000000000000}"/>
    <hyperlink ref="U7" r:id="rId2" xr:uid="{00000000-0004-0000-0000-000001000000}"/>
    <hyperlink ref="U9" r:id="rId3" xr:uid="{00000000-0004-0000-0000-000002000000}"/>
    <hyperlink ref="U10" r:id="rId4" xr:uid="{00000000-0004-0000-0000-000003000000}"/>
    <hyperlink ref="S11" r:id="rId5" xr:uid="{00000000-0004-0000-0000-000004000000}"/>
    <hyperlink ref="U27" r:id="rId6" xr:uid="{00000000-0004-0000-0000-000005000000}"/>
    <hyperlink ref="U39" r:id="rId7" xr:uid="{00000000-0004-0000-0000-000006000000}"/>
    <hyperlink ref="S42" r:id="rId8" xr:uid="{00000000-0004-0000-0000-000007000000}"/>
    <hyperlink ref="U56" r:id="rId9" xr:uid="{00000000-0004-0000-0000-000008000000}"/>
    <hyperlink ref="S63" r:id="rId10" xr:uid="{00000000-0004-0000-0000-000009000000}"/>
    <hyperlink ref="S69" r:id="rId11" xr:uid="{00000000-0004-0000-0000-00000A000000}"/>
    <hyperlink ref="S70" r:id="rId12" xr:uid="{00000000-0004-0000-0000-00000B000000}"/>
    <hyperlink ref="S71" r:id="rId13" xr:uid="{00000000-0004-0000-0000-00000C000000}"/>
    <hyperlink ref="S72" r:id="rId14" xr:uid="{00000000-0004-0000-0000-00000D000000}"/>
    <hyperlink ref="S73" r:id="rId15" xr:uid="{00000000-0004-0000-0000-00000E000000}"/>
    <hyperlink ref="S74" r:id="rId16" xr:uid="{00000000-0004-0000-0000-00000F000000}"/>
    <hyperlink ref="S75" r:id="rId17" xr:uid="{00000000-0004-0000-0000-000010000000}"/>
    <hyperlink ref="S83" r:id="rId18" xr:uid="{00000000-0004-0000-0000-000011000000}"/>
    <hyperlink ref="U83" r:id="rId19" xr:uid="{00000000-0004-0000-0000-000012000000}"/>
    <hyperlink ref="S84" r:id="rId20" xr:uid="{00000000-0004-0000-0000-000013000000}"/>
    <hyperlink ref="U84" r:id="rId21" xr:uid="{00000000-0004-0000-0000-000014000000}"/>
    <hyperlink ref="S100" r:id="rId22" xr:uid="{00000000-0004-0000-0000-000015000000}"/>
    <hyperlink ref="U126" r:id="rId23" xr:uid="{00000000-0004-0000-0000-000016000000}"/>
    <hyperlink ref="S128" r:id="rId24" xr:uid="{00000000-0004-0000-0000-000017000000}"/>
    <hyperlink ref="S129" r:id="rId25" xr:uid="{00000000-0004-0000-0000-000018000000}"/>
    <hyperlink ref="S130" r:id="rId26" xr:uid="{00000000-0004-0000-0000-000019000000}"/>
    <hyperlink ref="S131" r:id="rId27" xr:uid="{00000000-0004-0000-0000-00001A000000}"/>
    <hyperlink ref="S132" r:id="rId28" xr:uid="{00000000-0004-0000-0000-00001B000000}"/>
    <hyperlink ref="S133" r:id="rId29" xr:uid="{00000000-0004-0000-0000-00001C000000}"/>
    <hyperlink ref="S134" r:id="rId30" xr:uid="{00000000-0004-0000-0000-00001D000000}"/>
    <hyperlink ref="S135" r:id="rId31" xr:uid="{00000000-0004-0000-0000-00001E000000}"/>
    <hyperlink ref="S136" r:id="rId32" xr:uid="{00000000-0004-0000-0000-00001F000000}"/>
    <hyperlink ref="S139" r:id="rId33" xr:uid="{00000000-0004-0000-0000-000020000000}"/>
    <hyperlink ref="S146" r:id="rId34" xr:uid="{00000000-0004-0000-0000-000021000000}"/>
    <hyperlink ref="S147" r:id="rId35" xr:uid="{00000000-0004-0000-0000-000022000000}"/>
    <hyperlink ref="S148" r:id="rId36" xr:uid="{00000000-0004-0000-0000-000023000000}"/>
    <hyperlink ref="S149" r:id="rId37" xr:uid="{00000000-0004-0000-0000-000024000000}"/>
    <hyperlink ref="S150" r:id="rId38" xr:uid="{00000000-0004-0000-0000-000025000000}"/>
    <hyperlink ref="S151" r:id="rId39" xr:uid="{00000000-0004-0000-0000-000026000000}"/>
    <hyperlink ref="S152" r:id="rId40" xr:uid="{00000000-0004-0000-0000-000027000000}"/>
    <hyperlink ref="S162" r:id="rId41" xr:uid="{00000000-0004-0000-0000-000028000000}"/>
    <hyperlink ref="S163" r:id="rId42" xr:uid="{00000000-0004-0000-0000-000029000000}"/>
    <hyperlink ref="S164" r:id="rId43" xr:uid="{00000000-0004-0000-0000-00002A000000}"/>
    <hyperlink ref="S165" r:id="rId44" xr:uid="{00000000-0004-0000-0000-00002B000000}"/>
    <hyperlink ref="S166" r:id="rId45" xr:uid="{00000000-0004-0000-0000-00002C000000}"/>
    <hyperlink ref="S171" r:id="rId46" xr:uid="{00000000-0004-0000-0000-00002D000000}"/>
    <hyperlink ref="S172" r:id="rId47" xr:uid="{00000000-0004-0000-0000-00002E000000}"/>
    <hyperlink ref="S173" r:id="rId48" xr:uid="{00000000-0004-0000-0000-00002F000000}"/>
    <hyperlink ref="U174" r:id="rId49" xr:uid="{00000000-0004-0000-0000-000030000000}"/>
    <hyperlink ref="S182" r:id="rId50" xr:uid="{00000000-0004-0000-0000-000031000000}"/>
    <hyperlink ref="S181" r:id="rId51" xr:uid="{00000000-0004-0000-0000-000032000000}"/>
    <hyperlink ref="U185" r:id="rId52" xr:uid="{00000000-0004-0000-0000-000033000000}"/>
    <hyperlink ref="U186" r:id="rId53" xr:uid="{00000000-0004-0000-0000-000034000000}"/>
    <hyperlink ref="U187" r:id="rId54" xr:uid="{00000000-0004-0000-0000-000035000000}"/>
    <hyperlink ref="U188" r:id="rId55" xr:uid="{00000000-0004-0000-0000-000036000000}"/>
    <hyperlink ref="U189" r:id="rId56" xr:uid="{00000000-0004-0000-0000-000037000000}"/>
    <hyperlink ref="U190" r:id="rId57" xr:uid="{00000000-0004-0000-0000-000038000000}"/>
    <hyperlink ref="U191" r:id="rId58" xr:uid="{00000000-0004-0000-0000-000039000000}"/>
    <hyperlink ref="S195" r:id="rId59" xr:uid="{00000000-0004-0000-0000-00003A000000}"/>
    <hyperlink ref="S212" r:id="rId60" xr:uid="{462FF124-1E2B-4DD1-B489-A24A9C4A6862}"/>
    <hyperlink ref="S213" r:id="rId61" xr:uid="{38F62294-2126-429A-BD17-853DBB372DBF}"/>
    <hyperlink ref="S214" r:id="rId62" xr:uid="{83382090-2A62-45A5-876C-1DEC6DFF574D}"/>
    <hyperlink ref="S215" r:id="rId63" xr:uid="{900956CE-6BD3-48B3-90DE-292D2C9AF928}"/>
    <hyperlink ref="S216" r:id="rId64" xr:uid="{7AEF30BC-2923-4D2A-AC95-FC077011126C}"/>
    <hyperlink ref="S217" r:id="rId65" xr:uid="{C20DC0DE-7B7C-4B72-AEB5-C8340719A410}"/>
    <hyperlink ref="S218" r:id="rId66" xr:uid="{8CECBE98-9E91-4DA0-8D38-A673A83E4AF1}"/>
    <hyperlink ref="S219" r:id="rId67" xr:uid="{2AF35DB4-C379-4B74-8CB4-A1B2678D2D09}"/>
    <hyperlink ref="S220" r:id="rId68" xr:uid="{EF90C75E-3ABE-4407-BE55-3311BE99F528}"/>
    <hyperlink ref="S232" r:id="rId69" xr:uid="{EDE98DAE-52AE-4084-8898-858BB1CF22C6}"/>
    <hyperlink ref="S244" r:id="rId70" xr:uid="{756D3D3C-B907-4E1E-9E70-A0EB6FDB622B}"/>
    <hyperlink ref="S245" r:id="rId71" xr:uid="{D50F1337-0DDB-4C34-A88F-8A19716366CA}"/>
    <hyperlink ref="S246" r:id="rId72" xr:uid="{4B984EAF-AD91-490D-B5E2-ABD4A70F533A}"/>
    <hyperlink ref="S248" r:id="rId73" xr:uid="{D0A1886F-5702-4F30-85FE-FBC802A5185F}"/>
    <hyperlink ref="S249" r:id="rId74" xr:uid="{5ED34613-2371-42DD-8D56-94A5A4020E4D}"/>
    <hyperlink ref="U258" r:id="rId75" xr:uid="{E96426DF-42CE-4FE8-800E-B9049926C198}"/>
    <hyperlink ref="U259" r:id="rId76" xr:uid="{DAE87A65-12B1-42D7-8B42-4B55F4C666D8}"/>
    <hyperlink ref="U261" r:id="rId77" xr:uid="{8DEA323E-9E0B-4B58-A9EE-3F8646E0B400}"/>
    <hyperlink ref="U262" r:id="rId78" xr:uid="{D01A2465-AED7-4D76-9EAD-C9B80884AEC4}"/>
    <hyperlink ref="S263" r:id="rId79" xr:uid="{A69334DA-30C0-4812-99A8-F625BDD2F0A7}"/>
    <hyperlink ref="U279" r:id="rId80" xr:uid="{A5D4ED5E-129A-453E-9322-475778AC3890}"/>
    <hyperlink ref="U291" r:id="rId81" xr:uid="{F1E52B60-59DC-435E-8EF0-69252CB03B38}"/>
    <hyperlink ref="S294" r:id="rId82" xr:uid="{5BD235D6-C438-4D83-B641-A7D182EE5A39}"/>
    <hyperlink ref="U308" r:id="rId83" xr:uid="{13E0F83A-027F-4F3E-A69E-C5AD52A95126}"/>
    <hyperlink ref="S315" r:id="rId84" xr:uid="{29D1FC07-4AEF-41A0-A093-910400956CDE}"/>
    <hyperlink ref="S321" r:id="rId85" xr:uid="{53512153-FDE9-43AE-B510-0AA692ABBC32}"/>
    <hyperlink ref="S322" r:id="rId86" xr:uid="{4568F501-39F0-4C1D-B98B-A70513CC1CFB}"/>
    <hyperlink ref="S323" r:id="rId87" xr:uid="{F6E8D448-8126-47CE-B014-4B6751565899}"/>
    <hyperlink ref="S324" r:id="rId88" xr:uid="{0EB11777-3C0F-4B87-AC4E-E98EFE4D52FC}"/>
    <hyperlink ref="S325" r:id="rId89" xr:uid="{47116E07-111A-416C-A5AA-F6CA867A9B80}"/>
    <hyperlink ref="S326" r:id="rId90" xr:uid="{4DA6971A-97FB-48B3-954B-BF66939F7171}"/>
    <hyperlink ref="S327" r:id="rId91" xr:uid="{AC73FB32-D723-45DB-92C2-02EFB5442009}"/>
    <hyperlink ref="S335" r:id="rId92" xr:uid="{F663C5FD-8363-46DA-BE7D-8A70B8862D72}"/>
    <hyperlink ref="U335" r:id="rId93" xr:uid="{46F15485-D84E-4EE3-8110-33A21451A9E0}"/>
    <hyperlink ref="S336" r:id="rId94" xr:uid="{818BB51A-88A4-446A-8AE8-BEA9738F0881}"/>
    <hyperlink ref="U336" r:id="rId95" xr:uid="{477EB655-55D7-4D9B-89EB-04BCC850F4C1}"/>
    <hyperlink ref="S352" r:id="rId96" xr:uid="{1CE3E1BC-154D-47DC-BAE4-A7FC779B9291}"/>
    <hyperlink ref="U378" r:id="rId97" xr:uid="{63D7DF82-3A9B-44E2-A2DA-F35BFF263FD5}"/>
    <hyperlink ref="S380" r:id="rId98" xr:uid="{C3F2A0C1-2B96-4F17-8195-1BBD6E470DEA}"/>
    <hyperlink ref="S381" r:id="rId99" xr:uid="{B70F340A-E139-47D7-B945-CB83DD432663}"/>
    <hyperlink ref="S382" r:id="rId100" xr:uid="{45684AAB-C5ED-46FA-8A62-0682CDE31136}"/>
    <hyperlink ref="S383" r:id="rId101" xr:uid="{8C491D44-DAFB-43AF-9D49-B70A65A466CB}"/>
    <hyperlink ref="S384" r:id="rId102" xr:uid="{47B76175-B7AC-46EE-904D-E1B618C4ED72}"/>
    <hyperlink ref="S385" r:id="rId103" xr:uid="{702D34FB-3D27-4C2A-845C-72220421CD3E}"/>
    <hyperlink ref="S386" r:id="rId104" xr:uid="{35BF3478-2BE8-4614-9DAA-F80E2A891643}"/>
    <hyperlink ref="S387" r:id="rId105" xr:uid="{03E00CF5-2BD7-4059-8006-D0EAC974C4E6}"/>
    <hyperlink ref="S388" r:id="rId106" xr:uid="{058194E0-86F0-4A69-AF1A-D0F902224A6F}"/>
    <hyperlink ref="S391" r:id="rId107" xr:uid="{C2D54BE4-030A-4EAF-B316-F4AB4DDB3242}"/>
    <hyperlink ref="S398" r:id="rId108" xr:uid="{66002240-124D-4896-A67F-35F2A983C2A0}"/>
    <hyperlink ref="S399" r:id="rId109" xr:uid="{4E7FF5F0-6AAD-4D23-B599-A8E957775434}"/>
    <hyperlink ref="S400" r:id="rId110" xr:uid="{E1C5FA1F-52C8-45E1-96E1-766DE2BA4DEE}"/>
    <hyperlink ref="S401" r:id="rId111" xr:uid="{400FEC58-8181-43F4-9064-DD6C25B1FFC1}"/>
    <hyperlink ref="S402" r:id="rId112" xr:uid="{8D3F7B31-A778-4CDE-BA49-FAEC2E3282AB}"/>
    <hyperlink ref="S403" r:id="rId113" xr:uid="{AE4F78D9-918F-401E-9D53-854BED7866C9}"/>
    <hyperlink ref="S404" r:id="rId114" xr:uid="{D32EEBF2-4EEE-404C-8EC5-F21A9CCD7511}"/>
    <hyperlink ref="S414" r:id="rId115" xr:uid="{04A1C0A7-F0A3-4522-9494-B08506A6FCB8}"/>
    <hyperlink ref="S415" r:id="rId116" xr:uid="{A1CB7949-3CAD-4926-A9BD-1150B2F8B3CE}"/>
    <hyperlink ref="S416" r:id="rId117" xr:uid="{520DC403-3577-4604-BCAF-2C5C52E66240}"/>
    <hyperlink ref="S417" r:id="rId118" xr:uid="{91F161DB-D5B6-4FEC-9399-6E3696472A4F}"/>
    <hyperlink ref="S418" r:id="rId119" xr:uid="{290C1508-2F10-4430-921E-7F6BBCA225ED}"/>
    <hyperlink ref="S423" r:id="rId120" xr:uid="{35BAE0C7-67FB-4CFA-A675-98E4D7C88055}"/>
    <hyperlink ref="S424" r:id="rId121" xr:uid="{EB4247A6-F469-45DF-9DEE-3B2387AF53DE}"/>
    <hyperlink ref="S425" r:id="rId122" xr:uid="{0722E17A-E672-4BAA-ACDD-7A7FDACD4202}"/>
    <hyperlink ref="U426" r:id="rId123" xr:uid="{E59713CF-41FA-4851-96B8-2191394C1F6F}"/>
    <hyperlink ref="S434" r:id="rId124" xr:uid="{67C51E55-7FAB-45E8-BDDD-435F4D360ECF}"/>
    <hyperlink ref="S433" r:id="rId125" xr:uid="{E28E66A9-153A-4FD4-B235-0924E3F86ED4}"/>
    <hyperlink ref="U437" r:id="rId126" xr:uid="{1A885E67-83C8-4B91-AE4D-486F9AD33EB1}"/>
    <hyperlink ref="U438" r:id="rId127" xr:uid="{E9AF7888-C3EC-47CD-AD92-26DE12E50BDC}"/>
    <hyperlink ref="U439" r:id="rId128" xr:uid="{18272954-C258-4550-9E62-D13C9CCBF73F}"/>
    <hyperlink ref="U440" r:id="rId129" xr:uid="{09AFC99E-8115-47B9-B84B-6FED0B9CA719}"/>
    <hyperlink ref="U441" r:id="rId130" xr:uid="{F84ECDC6-D054-4BA1-B034-A9CA225C2299}"/>
    <hyperlink ref="U442" r:id="rId131" xr:uid="{7870F319-C954-4782-81A8-CA7A9B908194}"/>
    <hyperlink ref="U443" r:id="rId132" xr:uid="{27EFBF8C-25E2-42D0-8026-AB2F6B336994}"/>
    <hyperlink ref="S447" r:id="rId133" xr:uid="{66007117-D790-440F-AC20-FFF65F81D4D8}"/>
    <hyperlink ref="S464" r:id="rId134" xr:uid="{AF8445CB-B379-47E3-8877-A3591506C745}"/>
    <hyperlink ref="S465" r:id="rId135" xr:uid="{7CB7D981-C659-4507-AF8D-00E1FAAA0B10}"/>
    <hyperlink ref="S466" r:id="rId136" xr:uid="{E00C0D90-0E82-4D5E-BBA0-BE71F0F20F4C}"/>
    <hyperlink ref="S467" r:id="rId137" xr:uid="{FDB1B4C8-6F89-4E50-8D8B-A06097A01571}"/>
    <hyperlink ref="S468" r:id="rId138" xr:uid="{55AFDF92-AD77-4A52-A185-A20C135A37BD}"/>
    <hyperlink ref="S469" r:id="rId139" xr:uid="{72EE9604-1F40-4004-B3D8-879ACB8D078F}"/>
    <hyperlink ref="S470" r:id="rId140" xr:uid="{3842C40D-E9C5-48E6-880C-3A8CF8425D37}"/>
    <hyperlink ref="S471" r:id="rId141" xr:uid="{021B6BB0-8F29-406E-A2FC-FA0F55421602}"/>
    <hyperlink ref="S472" r:id="rId142" xr:uid="{E6FB0D51-53A2-48E9-9430-354DF667C69A}"/>
    <hyperlink ref="S484" r:id="rId143" xr:uid="{59DCD5BC-8DC8-400D-96F6-2F6DE0B83BD4}"/>
    <hyperlink ref="S496" r:id="rId144" xr:uid="{700B3296-CC68-404E-AD99-43FCEA3A98A1}"/>
    <hyperlink ref="S497" r:id="rId145" xr:uid="{A0C5DC2A-9ED0-4E38-BEE5-B1547E36104B}"/>
    <hyperlink ref="S498" r:id="rId146" xr:uid="{3683395C-9428-4CE1-B8A3-E847BCB49E4A}"/>
    <hyperlink ref="S500" r:id="rId147" xr:uid="{BB593193-C969-4F37-A597-47870CA2CF4F}"/>
    <hyperlink ref="S501" r:id="rId148" xr:uid="{EF49CD52-DD5D-49E0-9BA2-DF0C5D5C22E6}"/>
  </hyperlinks>
  <pageMargins left="0.7" right="0.7" top="0.75" bottom="0.75" header="0.3" footer="0.3"/>
  <pageSetup paperSize="9" scale="12" orientation="portrait" r:id="rId14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INSCRITOS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2025-08-06T02:11:34Z</dcterms:modified>
</cp:coreProperties>
</file>