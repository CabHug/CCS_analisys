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CCS\CCS\2.Certificado\2025\3.MARZO\"/>
    </mc:Choice>
  </mc:AlternateContent>
  <xr:revisionPtr revIDLastSave="0" documentId="13_ncr:1_{8AA3B64F-4AB4-4375-AE0A-1925FE4DF1A2}" xr6:coauthVersionLast="47" xr6:coauthVersionMax="47" xr10:uidLastSave="{00000000-0000-0000-0000-000000000000}"/>
  <bookViews>
    <workbookView xWindow="-120" yWindow="-120" windowWidth="29040" windowHeight="15840" tabRatio="574" xr2:uid="{00000000-000D-0000-FFFF-FFFF00000000}"/>
  </bookViews>
  <sheets>
    <sheet name="INSCRITOS" sheetId="1" r:id="rId1"/>
    <sheet name="CURSOS" sheetId="2" r:id="rId2"/>
    <sheet name="LINK" sheetId="7" r:id="rId3"/>
  </sheets>
  <functionGroups builtInGroupCount="19"/>
  <definedNames>
    <definedName name="_xlnm._FilterDatabase" localSheetId="0" hidden="1">INSCRITOS!$A$1:$Y$250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39" i="1" l="1"/>
  <c r="W139" i="1"/>
  <c r="X139" i="1" s="1"/>
  <c r="E225" i="7" a="1"/>
  <c r="E225" i="7" l="1"/>
  <c r="Y139" i="1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B137" i="7" s="1"/>
  <c r="C137" i="7"/>
  <c r="A138" i="7"/>
  <c r="B138" i="7" s="1"/>
  <c r="C138" i="7"/>
  <c r="A139" i="7"/>
  <c r="B139" i="7" s="1"/>
  <c r="C139" i="7"/>
  <c r="A140" i="7"/>
  <c r="B140" i="7" s="1"/>
  <c r="C140" i="7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B147" i="7" s="1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B155" i="7" s="1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B227" i="7" s="1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D247" i="7" s="1"/>
  <c r="C247" i="7"/>
  <c r="A248" i="7"/>
  <c r="B248" i="7" s="1"/>
  <c r="C248" i="7"/>
  <c r="A249" i="7"/>
  <c r="B249" i="7" s="1"/>
  <c r="C249" i="7"/>
  <c r="A250" i="7"/>
  <c r="B250" i="7" s="1"/>
  <c r="C250" i="7"/>
  <c r="A251" i="7"/>
  <c r="B251" i="7" s="1"/>
  <c r="D251" i="7" s="1"/>
  <c r="C251" i="7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 s="1"/>
  <c r="C257" i="7"/>
  <c r="A258" i="7"/>
  <c r="B258" i="7" s="1"/>
  <c r="C258" i="7"/>
  <c r="A259" i="7"/>
  <c r="B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B277" i="7" s="1"/>
  <c r="C277" i="7"/>
  <c r="A278" i="7"/>
  <c r="B278" i="7" s="1"/>
  <c r="C278" i="7"/>
  <c r="A279" i="7"/>
  <c r="B279" i="7" s="1"/>
  <c r="C279" i="7"/>
  <c r="A280" i="7"/>
  <c r="B280" i="7" s="1"/>
  <c r="C280" i="7"/>
  <c r="A281" i="7"/>
  <c r="B281" i="7" s="1"/>
  <c r="C281" i="7"/>
  <c r="A282" i="7"/>
  <c r="B282" i="7" s="1"/>
  <c r="C282" i="7"/>
  <c r="A283" i="7"/>
  <c r="B283" i="7" s="1"/>
  <c r="C283" i="7"/>
  <c r="A284" i="7"/>
  <c r="B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C288" i="7"/>
  <c r="A289" i="7"/>
  <c r="B289" i="7"/>
  <c r="C289" i="7"/>
  <c r="A290" i="7"/>
  <c r="B290" i="7" s="1"/>
  <c r="C290" i="7"/>
  <c r="A291" i="7"/>
  <c r="B291" i="7"/>
  <c r="D291" i="7" s="1"/>
  <c r="C291" i="7"/>
  <c r="A292" i="7"/>
  <c r="B292" i="7" s="1"/>
  <c r="C292" i="7"/>
  <c r="A293" i="7"/>
  <c r="B293" i="7" s="1"/>
  <c r="D293" i="7" s="1"/>
  <c r="C293" i="7"/>
  <c r="A294" i="7"/>
  <c r="B294" i="7" s="1"/>
  <c r="D294" i="7" s="1"/>
  <c r="C294" i="7"/>
  <c r="A295" i="7"/>
  <c r="B295" i="7" s="1"/>
  <c r="D295" i="7" s="1"/>
  <c r="C295" i="7"/>
  <c r="A296" i="7"/>
  <c r="B296" i="7"/>
  <c r="C296" i="7"/>
  <c r="A297" i="7"/>
  <c r="B297" i="7"/>
  <c r="D297" i="7" s="1"/>
  <c r="C297" i="7"/>
  <c r="A298" i="7"/>
  <c r="B298" i="7" s="1"/>
  <c r="D298" i="7" s="1"/>
  <c r="C298" i="7"/>
  <c r="A299" i="7"/>
  <c r="B299" i="7" s="1"/>
  <c r="C299" i="7"/>
  <c r="A300" i="7"/>
  <c r="B300" i="7" s="1"/>
  <c r="D300" i="7" s="1"/>
  <c r="C300" i="7"/>
  <c r="A301" i="7"/>
  <c r="B301" i="7" s="1"/>
  <c r="D301" i="7" s="1"/>
  <c r="C301" i="7"/>
  <c r="A302" i="7"/>
  <c r="B302" i="7" s="1"/>
  <c r="C302" i="7"/>
  <c r="A303" i="7"/>
  <c r="B303" i="7" s="1"/>
  <c r="C303" i="7"/>
  <c r="A304" i="7"/>
  <c r="B304" i="7" s="1"/>
  <c r="C304" i="7"/>
  <c r="A305" i="7"/>
  <c r="B305" i="7" s="1"/>
  <c r="C305" i="7"/>
  <c r="A306" i="7"/>
  <c r="B306" i="7" s="1"/>
  <c r="C306" i="7"/>
  <c r="A307" i="7"/>
  <c r="B307" i="7" s="1"/>
  <c r="D307" i="7" s="1"/>
  <c r="C307" i="7"/>
  <c r="A308" i="7"/>
  <c r="B308" i="7" s="1"/>
  <c r="C308" i="7"/>
  <c r="A309" i="7"/>
  <c r="B309" i="7" s="1"/>
  <c r="D309" i="7" s="1"/>
  <c r="C309" i="7"/>
  <c r="A310" i="7"/>
  <c r="B310" i="7" s="1"/>
  <c r="C310" i="7"/>
  <c r="A311" i="7"/>
  <c r="B311" i="7" s="1"/>
  <c r="D311" i="7" s="1"/>
  <c r="C311" i="7"/>
  <c r="A312" i="7"/>
  <c r="B312" i="7" s="1"/>
  <c r="C312" i="7"/>
  <c r="A313" i="7"/>
  <c r="B313" i="7"/>
  <c r="C313" i="7"/>
  <c r="A314" i="7"/>
  <c r="B314" i="7" s="1"/>
  <c r="D314" i="7" s="1"/>
  <c r="C314" i="7"/>
  <c r="A315" i="7"/>
  <c r="B315" i="7" s="1"/>
  <c r="D315" i="7" s="1"/>
  <c r="C315" i="7"/>
  <c r="A316" i="7"/>
  <c r="B316" i="7" s="1"/>
  <c r="D316" i="7" s="1"/>
  <c r="C316" i="7"/>
  <c r="A317" i="7"/>
  <c r="B317" i="7" s="1"/>
  <c r="C317" i="7"/>
  <c r="A318" i="7"/>
  <c r="B318" i="7" s="1"/>
  <c r="C318" i="7"/>
  <c r="A319" i="7"/>
  <c r="B319" i="7" s="1"/>
  <c r="D319" i="7" s="1"/>
  <c r="C319" i="7"/>
  <c r="A320" i="7"/>
  <c r="B320" i="7" s="1"/>
  <c r="C320" i="7"/>
  <c r="A321" i="7"/>
  <c r="B321" i="7"/>
  <c r="C321" i="7"/>
  <c r="A322" i="7"/>
  <c r="B322" i="7" s="1"/>
  <c r="C322" i="7"/>
  <c r="A323" i="7"/>
  <c r="B323" i="7"/>
  <c r="D323" i="7" s="1"/>
  <c r="C323" i="7"/>
  <c r="A324" i="7"/>
  <c r="B324" i="7" s="1"/>
  <c r="C324" i="7"/>
  <c r="A325" i="7"/>
  <c r="B325" i="7" s="1"/>
  <c r="D325" i="7" s="1"/>
  <c r="C325" i="7"/>
  <c r="A326" i="7"/>
  <c r="B326" i="7" s="1"/>
  <c r="D326" i="7" s="1"/>
  <c r="C326" i="7"/>
  <c r="A327" i="7"/>
  <c r="B327" i="7" s="1"/>
  <c r="D327" i="7" s="1"/>
  <c r="C327" i="7"/>
  <c r="A328" i="7"/>
  <c r="B328" i="7"/>
  <c r="C328" i="7"/>
  <c r="A329" i="7"/>
  <c r="B329" i="7"/>
  <c r="D329" i="7" s="1"/>
  <c r="C329" i="7"/>
  <c r="A330" i="7"/>
  <c r="B330" i="7" s="1"/>
  <c r="D330" i="7" s="1"/>
  <c r="C330" i="7"/>
  <c r="A331" i="7"/>
  <c r="B331" i="7" s="1"/>
  <c r="C331" i="7"/>
  <c r="A332" i="7"/>
  <c r="B332" i="7" s="1"/>
  <c r="D332" i="7" s="1"/>
  <c r="C332" i="7"/>
  <c r="A333" i="7"/>
  <c r="B333" i="7" s="1"/>
  <c r="D333" i="7" s="1"/>
  <c r="C333" i="7"/>
  <c r="A334" i="7"/>
  <c r="B334" i="7" s="1"/>
  <c r="C334" i="7"/>
  <c r="A335" i="7"/>
  <c r="B335" i="7" s="1"/>
  <c r="C335" i="7"/>
  <c r="A336" i="7"/>
  <c r="B336" i="7" s="1"/>
  <c r="C336" i="7"/>
  <c r="A337" i="7"/>
  <c r="B337" i="7" s="1"/>
  <c r="C337" i="7"/>
  <c r="A338" i="7"/>
  <c r="B338" i="7" s="1"/>
  <c r="C338" i="7"/>
  <c r="A339" i="7"/>
  <c r="B339" i="7" s="1"/>
  <c r="D339" i="7" s="1"/>
  <c r="C339" i="7"/>
  <c r="A340" i="7"/>
  <c r="B340" i="7" s="1"/>
  <c r="C340" i="7"/>
  <c r="A341" i="7"/>
  <c r="B341" i="7" s="1"/>
  <c r="D341" i="7" s="1"/>
  <c r="C341" i="7"/>
  <c r="A342" i="7"/>
  <c r="B342" i="7" s="1"/>
  <c r="C342" i="7"/>
  <c r="A343" i="7"/>
  <c r="B343" i="7" s="1"/>
  <c r="D343" i="7" s="1"/>
  <c r="C343" i="7"/>
  <c r="A344" i="7"/>
  <c r="B344" i="7" s="1"/>
  <c r="C344" i="7"/>
  <c r="A345" i="7"/>
  <c r="B345" i="7"/>
  <c r="C345" i="7"/>
  <c r="A346" i="7"/>
  <c r="B346" i="7" s="1"/>
  <c r="D346" i="7" s="1"/>
  <c r="C346" i="7"/>
  <c r="A347" i="7"/>
  <c r="B347" i="7" s="1"/>
  <c r="D347" i="7" s="1"/>
  <c r="C347" i="7"/>
  <c r="A348" i="7"/>
  <c r="B348" i="7" s="1"/>
  <c r="D348" i="7" s="1"/>
  <c r="C348" i="7"/>
  <c r="A349" i="7"/>
  <c r="B349" i="7" s="1"/>
  <c r="C349" i="7"/>
  <c r="A350" i="7"/>
  <c r="B350" i="7" s="1"/>
  <c r="C350" i="7"/>
  <c r="A351" i="7"/>
  <c r="B351" i="7" s="1"/>
  <c r="D351" i="7" s="1"/>
  <c r="C351" i="7"/>
  <c r="A352" i="7"/>
  <c r="B352" i="7" s="1"/>
  <c r="C352" i="7"/>
  <c r="A353" i="7"/>
  <c r="B353" i="7"/>
  <c r="C353" i="7"/>
  <c r="A354" i="7"/>
  <c r="B354" i="7" s="1"/>
  <c r="C354" i="7"/>
  <c r="A355" i="7"/>
  <c r="B355" i="7"/>
  <c r="D355" i="7" s="1"/>
  <c r="C355" i="7"/>
  <c r="V52" i="1"/>
  <c r="W52" i="1"/>
  <c r="X52" i="1" s="1"/>
  <c r="V53" i="1"/>
  <c r="W53" i="1"/>
  <c r="X53" i="1" s="1"/>
  <c r="V54" i="1"/>
  <c r="W54" i="1"/>
  <c r="X54" i="1" s="1"/>
  <c r="V55" i="1"/>
  <c r="W55" i="1"/>
  <c r="X55" i="1" s="1"/>
  <c r="V56" i="1"/>
  <c r="W56" i="1"/>
  <c r="X56" i="1" s="1"/>
  <c r="V57" i="1"/>
  <c r="W57" i="1"/>
  <c r="X57" i="1" s="1"/>
  <c r="V58" i="1"/>
  <c r="W58" i="1"/>
  <c r="X58" i="1" s="1"/>
  <c r="V59" i="1"/>
  <c r="W59" i="1"/>
  <c r="X59" i="1" s="1"/>
  <c r="V60" i="1"/>
  <c r="W60" i="1"/>
  <c r="X60" i="1" s="1"/>
  <c r="V61" i="1"/>
  <c r="W61" i="1"/>
  <c r="X61" i="1" s="1"/>
  <c r="V62" i="1"/>
  <c r="W62" i="1"/>
  <c r="X62" i="1" s="1"/>
  <c r="V63" i="1"/>
  <c r="W63" i="1"/>
  <c r="X63" i="1" s="1"/>
  <c r="V64" i="1"/>
  <c r="W64" i="1"/>
  <c r="X64" i="1" s="1"/>
  <c r="V65" i="1"/>
  <c r="W65" i="1"/>
  <c r="X65" i="1" s="1"/>
  <c r="V66" i="1"/>
  <c r="W66" i="1"/>
  <c r="X66" i="1" s="1"/>
  <c r="V67" i="1"/>
  <c r="W67" i="1"/>
  <c r="X67" i="1" s="1"/>
  <c r="V68" i="1"/>
  <c r="W68" i="1"/>
  <c r="X68" i="1" s="1"/>
  <c r="V69" i="1"/>
  <c r="W69" i="1"/>
  <c r="X69" i="1" s="1"/>
  <c r="V70" i="1"/>
  <c r="W70" i="1"/>
  <c r="X70" i="1" s="1"/>
  <c r="V71" i="1"/>
  <c r="W71" i="1"/>
  <c r="X71" i="1" s="1"/>
  <c r="V72" i="1"/>
  <c r="W72" i="1"/>
  <c r="X72" i="1" s="1"/>
  <c r="V73" i="1"/>
  <c r="W73" i="1"/>
  <c r="X73" i="1" s="1"/>
  <c r="V74" i="1"/>
  <c r="W74" i="1"/>
  <c r="X74" i="1" s="1"/>
  <c r="V75" i="1"/>
  <c r="W75" i="1"/>
  <c r="X75" i="1" s="1"/>
  <c r="V76" i="1"/>
  <c r="W76" i="1"/>
  <c r="X76" i="1" s="1"/>
  <c r="V77" i="1"/>
  <c r="W77" i="1"/>
  <c r="X77" i="1" s="1"/>
  <c r="V78" i="1"/>
  <c r="W78" i="1"/>
  <c r="X78" i="1" s="1"/>
  <c r="V79" i="1"/>
  <c r="W79" i="1"/>
  <c r="X79" i="1" s="1"/>
  <c r="V80" i="1"/>
  <c r="W80" i="1"/>
  <c r="V81" i="1"/>
  <c r="W81" i="1"/>
  <c r="X81" i="1" s="1"/>
  <c r="V82" i="1"/>
  <c r="W82" i="1"/>
  <c r="V83" i="1"/>
  <c r="W83" i="1"/>
  <c r="X83" i="1" s="1"/>
  <c r="V84" i="1"/>
  <c r="W84" i="1"/>
  <c r="V85" i="1"/>
  <c r="W85" i="1"/>
  <c r="X85" i="1" s="1"/>
  <c r="V86" i="1"/>
  <c r="W86" i="1"/>
  <c r="V87" i="1"/>
  <c r="W87" i="1"/>
  <c r="X87" i="1" s="1"/>
  <c r="V88" i="1"/>
  <c r="W88" i="1"/>
  <c r="V89" i="1"/>
  <c r="W89" i="1"/>
  <c r="X89" i="1" s="1"/>
  <c r="V90" i="1"/>
  <c r="W90" i="1"/>
  <c r="V91" i="1"/>
  <c r="W91" i="1"/>
  <c r="X91" i="1" s="1"/>
  <c r="V92" i="1"/>
  <c r="W92" i="1"/>
  <c r="V93" i="1"/>
  <c r="W93" i="1"/>
  <c r="X93" i="1" s="1"/>
  <c r="V94" i="1"/>
  <c r="W94" i="1"/>
  <c r="V95" i="1"/>
  <c r="W95" i="1"/>
  <c r="X95" i="1" s="1"/>
  <c r="V96" i="1"/>
  <c r="W96" i="1"/>
  <c r="V97" i="1"/>
  <c r="W97" i="1"/>
  <c r="X97" i="1" s="1"/>
  <c r="V98" i="1"/>
  <c r="W98" i="1"/>
  <c r="V99" i="1"/>
  <c r="W99" i="1"/>
  <c r="X99" i="1" s="1"/>
  <c r="V100" i="1"/>
  <c r="W100" i="1"/>
  <c r="V101" i="1"/>
  <c r="W101" i="1"/>
  <c r="X101" i="1" s="1"/>
  <c r="V102" i="1"/>
  <c r="W102" i="1"/>
  <c r="V103" i="1"/>
  <c r="W103" i="1"/>
  <c r="X103" i="1" s="1"/>
  <c r="V104" i="1"/>
  <c r="W104" i="1"/>
  <c r="V105" i="1"/>
  <c r="W105" i="1"/>
  <c r="X105" i="1" s="1"/>
  <c r="V106" i="1"/>
  <c r="W106" i="1"/>
  <c r="V107" i="1"/>
  <c r="W107" i="1"/>
  <c r="X107" i="1" s="1"/>
  <c r="V108" i="1"/>
  <c r="W108" i="1"/>
  <c r="V109" i="1"/>
  <c r="W109" i="1"/>
  <c r="X109" i="1" s="1"/>
  <c r="V110" i="1"/>
  <c r="W110" i="1"/>
  <c r="V111" i="1"/>
  <c r="W111" i="1"/>
  <c r="X111" i="1" s="1"/>
  <c r="V112" i="1"/>
  <c r="W112" i="1"/>
  <c r="V113" i="1"/>
  <c r="W113" i="1"/>
  <c r="X113" i="1" s="1"/>
  <c r="V114" i="1"/>
  <c r="W114" i="1"/>
  <c r="V115" i="1"/>
  <c r="W115" i="1"/>
  <c r="X115" i="1" s="1"/>
  <c r="V116" i="1"/>
  <c r="W116" i="1"/>
  <c r="V117" i="1"/>
  <c r="W117" i="1"/>
  <c r="X117" i="1" s="1"/>
  <c r="V118" i="1"/>
  <c r="W118" i="1"/>
  <c r="V119" i="1"/>
  <c r="W119" i="1"/>
  <c r="X119" i="1" s="1"/>
  <c r="V120" i="1"/>
  <c r="W120" i="1"/>
  <c r="V121" i="1"/>
  <c r="W121" i="1"/>
  <c r="X121" i="1" s="1"/>
  <c r="V122" i="1"/>
  <c r="W122" i="1"/>
  <c r="V123" i="1"/>
  <c r="W123" i="1"/>
  <c r="X123" i="1" s="1"/>
  <c r="V124" i="1"/>
  <c r="W124" i="1"/>
  <c r="V125" i="1"/>
  <c r="W125" i="1"/>
  <c r="X125" i="1" s="1"/>
  <c r="V126" i="1"/>
  <c r="W126" i="1"/>
  <c r="V127" i="1"/>
  <c r="W127" i="1"/>
  <c r="X127" i="1" s="1"/>
  <c r="V128" i="1"/>
  <c r="W128" i="1"/>
  <c r="V129" i="1"/>
  <c r="W129" i="1"/>
  <c r="X129" i="1" s="1"/>
  <c r="V130" i="1"/>
  <c r="W130" i="1"/>
  <c r="V131" i="1"/>
  <c r="W131" i="1"/>
  <c r="X131" i="1" s="1"/>
  <c r="V132" i="1"/>
  <c r="W132" i="1"/>
  <c r="V133" i="1"/>
  <c r="W133" i="1"/>
  <c r="V134" i="1"/>
  <c r="W134" i="1"/>
  <c r="V135" i="1"/>
  <c r="W135" i="1"/>
  <c r="X135" i="1" s="1"/>
  <c r="V136" i="1"/>
  <c r="W136" i="1"/>
  <c r="V137" i="1"/>
  <c r="W137" i="1"/>
  <c r="X137" i="1" s="1"/>
  <c r="V138" i="1"/>
  <c r="W138" i="1"/>
  <c r="V140" i="1"/>
  <c r="W140" i="1"/>
  <c r="V141" i="1"/>
  <c r="W141" i="1"/>
  <c r="X141" i="1" s="1"/>
  <c r="V142" i="1"/>
  <c r="W142" i="1"/>
  <c r="W143" i="1"/>
  <c r="X143" i="1" s="1"/>
  <c r="V144" i="1"/>
  <c r="W144" i="1"/>
  <c r="V145" i="1"/>
  <c r="W145" i="1"/>
  <c r="X145" i="1" s="1"/>
  <c r="V146" i="1"/>
  <c r="W146" i="1"/>
  <c r="V147" i="1"/>
  <c r="W147" i="1"/>
  <c r="X147" i="1" s="1"/>
  <c r="V148" i="1"/>
  <c r="W148" i="1"/>
  <c r="V149" i="1"/>
  <c r="W149" i="1"/>
  <c r="X149" i="1" s="1"/>
  <c r="V150" i="1"/>
  <c r="W150" i="1"/>
  <c r="V151" i="1"/>
  <c r="W151" i="1"/>
  <c r="X151" i="1" s="1"/>
  <c r="V152" i="1"/>
  <c r="W152" i="1"/>
  <c r="V153" i="1"/>
  <c r="W153" i="1"/>
  <c r="X153" i="1" s="1"/>
  <c r="V154" i="1"/>
  <c r="W154" i="1"/>
  <c r="V155" i="1"/>
  <c r="W155" i="1"/>
  <c r="X155" i="1" s="1"/>
  <c r="V156" i="1"/>
  <c r="W156" i="1"/>
  <c r="V157" i="1"/>
  <c r="W157" i="1"/>
  <c r="X157" i="1" s="1"/>
  <c r="V158" i="1"/>
  <c r="W158" i="1"/>
  <c r="V159" i="1"/>
  <c r="W159" i="1"/>
  <c r="X159" i="1" s="1"/>
  <c r="V160" i="1"/>
  <c r="W160" i="1"/>
  <c r="V161" i="1"/>
  <c r="W161" i="1"/>
  <c r="X161" i="1" s="1"/>
  <c r="V162" i="1"/>
  <c r="W162" i="1"/>
  <c r="V163" i="1"/>
  <c r="W163" i="1"/>
  <c r="X163" i="1" s="1"/>
  <c r="V164" i="1"/>
  <c r="W164" i="1"/>
  <c r="V165" i="1"/>
  <c r="W165" i="1"/>
  <c r="X165" i="1" s="1"/>
  <c r="V166" i="1"/>
  <c r="W166" i="1"/>
  <c r="V167" i="1"/>
  <c r="W167" i="1"/>
  <c r="X167" i="1" s="1"/>
  <c r="V168" i="1"/>
  <c r="W168" i="1"/>
  <c r="V169" i="1"/>
  <c r="W169" i="1"/>
  <c r="X169" i="1" s="1"/>
  <c r="V170" i="1"/>
  <c r="W170" i="1"/>
  <c r="V171" i="1"/>
  <c r="W171" i="1"/>
  <c r="X171" i="1" s="1"/>
  <c r="V172" i="1"/>
  <c r="W172" i="1"/>
  <c r="V173" i="1"/>
  <c r="W173" i="1"/>
  <c r="X173" i="1" s="1"/>
  <c r="V174" i="1"/>
  <c r="W174" i="1"/>
  <c r="V175" i="1"/>
  <c r="W175" i="1"/>
  <c r="X175" i="1" s="1"/>
  <c r="V176" i="1"/>
  <c r="W176" i="1"/>
  <c r="V177" i="1"/>
  <c r="W177" i="1"/>
  <c r="X177" i="1" s="1"/>
  <c r="V178" i="1"/>
  <c r="W178" i="1"/>
  <c r="V179" i="1"/>
  <c r="W179" i="1"/>
  <c r="X179" i="1" s="1"/>
  <c r="V180" i="1"/>
  <c r="W180" i="1"/>
  <c r="V181" i="1"/>
  <c r="W181" i="1"/>
  <c r="X181" i="1" s="1"/>
  <c r="V182" i="1"/>
  <c r="W182" i="1"/>
  <c r="V183" i="1"/>
  <c r="W183" i="1"/>
  <c r="X183" i="1" s="1"/>
  <c r="V184" i="1"/>
  <c r="W184" i="1"/>
  <c r="V185" i="1"/>
  <c r="W185" i="1"/>
  <c r="X185" i="1" s="1"/>
  <c r="V186" i="1"/>
  <c r="W186" i="1"/>
  <c r="V187" i="1"/>
  <c r="W187" i="1"/>
  <c r="X187" i="1" s="1"/>
  <c r="V188" i="1"/>
  <c r="W188" i="1"/>
  <c r="V189" i="1"/>
  <c r="W189" i="1"/>
  <c r="X189" i="1" s="1"/>
  <c r="V190" i="1"/>
  <c r="W190" i="1"/>
  <c r="V191" i="1"/>
  <c r="W191" i="1"/>
  <c r="X191" i="1" s="1"/>
  <c r="V192" i="1"/>
  <c r="W192" i="1"/>
  <c r="V193" i="1"/>
  <c r="W193" i="1"/>
  <c r="X193" i="1" s="1"/>
  <c r="V194" i="1"/>
  <c r="W194" i="1"/>
  <c r="V195" i="1"/>
  <c r="W195" i="1"/>
  <c r="X195" i="1" s="1"/>
  <c r="V196" i="1"/>
  <c r="W196" i="1"/>
  <c r="V197" i="1"/>
  <c r="W197" i="1"/>
  <c r="X197" i="1" s="1"/>
  <c r="V198" i="1"/>
  <c r="W198" i="1"/>
  <c r="V199" i="1"/>
  <c r="W199" i="1"/>
  <c r="X199" i="1" s="1"/>
  <c r="V200" i="1"/>
  <c r="W200" i="1"/>
  <c r="V201" i="1"/>
  <c r="W201" i="1"/>
  <c r="X201" i="1" s="1"/>
  <c r="V202" i="1"/>
  <c r="W202" i="1"/>
  <c r="V203" i="1"/>
  <c r="W203" i="1"/>
  <c r="X203" i="1" s="1"/>
  <c r="V204" i="1"/>
  <c r="W204" i="1"/>
  <c r="V205" i="1"/>
  <c r="W205" i="1"/>
  <c r="X205" i="1" s="1"/>
  <c r="V206" i="1"/>
  <c r="W206" i="1"/>
  <c r="V207" i="1"/>
  <c r="W207" i="1"/>
  <c r="X207" i="1" s="1"/>
  <c r="V208" i="1"/>
  <c r="W208" i="1"/>
  <c r="V209" i="1"/>
  <c r="W209" i="1"/>
  <c r="X209" i="1" s="1"/>
  <c r="V210" i="1"/>
  <c r="W210" i="1"/>
  <c r="V211" i="1"/>
  <c r="W211" i="1"/>
  <c r="X211" i="1" s="1"/>
  <c r="V212" i="1"/>
  <c r="W212" i="1"/>
  <c r="V213" i="1"/>
  <c r="W213" i="1"/>
  <c r="X213" i="1" s="1"/>
  <c r="V214" i="1"/>
  <c r="W214" i="1"/>
  <c r="V215" i="1"/>
  <c r="W215" i="1"/>
  <c r="X215" i="1" s="1"/>
  <c r="V216" i="1"/>
  <c r="W216" i="1"/>
  <c r="V217" i="1"/>
  <c r="W217" i="1"/>
  <c r="X217" i="1" s="1"/>
  <c r="V218" i="1"/>
  <c r="W218" i="1"/>
  <c r="V219" i="1"/>
  <c r="W219" i="1"/>
  <c r="X219" i="1" s="1"/>
  <c r="V220" i="1"/>
  <c r="W220" i="1"/>
  <c r="V221" i="1"/>
  <c r="W221" i="1"/>
  <c r="X221" i="1" s="1"/>
  <c r="V222" i="1"/>
  <c r="W222" i="1"/>
  <c r="Y222" i="1" s="1"/>
  <c r="V223" i="1"/>
  <c r="W223" i="1"/>
  <c r="Y223" i="1" s="1"/>
  <c r="V224" i="1"/>
  <c r="W224" i="1"/>
  <c r="X224" i="1" s="1"/>
  <c r="V225" i="1"/>
  <c r="W225" i="1"/>
  <c r="Y225" i="1" s="1"/>
  <c r="V226" i="1"/>
  <c r="W226" i="1"/>
  <c r="X226" i="1" s="1"/>
  <c r="V227" i="1"/>
  <c r="W227" i="1"/>
  <c r="Y227" i="1" s="1"/>
  <c r="V228" i="1"/>
  <c r="W228" i="1"/>
  <c r="X228" i="1" s="1"/>
  <c r="V229" i="1"/>
  <c r="W229" i="1"/>
  <c r="Y229" i="1" s="1"/>
  <c r="V230" i="1"/>
  <c r="W230" i="1"/>
  <c r="Y230" i="1" s="1"/>
  <c r="V231" i="1"/>
  <c r="W231" i="1"/>
  <c r="Y231" i="1" s="1"/>
  <c r="V232" i="1"/>
  <c r="W232" i="1"/>
  <c r="X232" i="1" s="1"/>
  <c r="V233" i="1"/>
  <c r="W233" i="1"/>
  <c r="Y233" i="1" s="1"/>
  <c r="V234" i="1"/>
  <c r="W234" i="1"/>
  <c r="X234" i="1" s="1"/>
  <c r="V235" i="1"/>
  <c r="W235" i="1"/>
  <c r="Y235" i="1" s="1"/>
  <c r="V236" i="1"/>
  <c r="W236" i="1"/>
  <c r="X236" i="1" s="1"/>
  <c r="V237" i="1"/>
  <c r="W237" i="1"/>
  <c r="Y237" i="1" s="1"/>
  <c r="V238" i="1"/>
  <c r="W238" i="1"/>
  <c r="Y238" i="1" s="1"/>
  <c r="V239" i="1"/>
  <c r="W239" i="1"/>
  <c r="Y239" i="1" s="1"/>
  <c r="V240" i="1"/>
  <c r="W240" i="1"/>
  <c r="X240" i="1" s="1"/>
  <c r="V241" i="1"/>
  <c r="W241" i="1"/>
  <c r="Y241" i="1" s="1"/>
  <c r="V242" i="1"/>
  <c r="W242" i="1"/>
  <c r="Y242" i="1" s="1"/>
  <c r="V243" i="1"/>
  <c r="W243" i="1"/>
  <c r="Y243" i="1" s="1"/>
  <c r="V244" i="1"/>
  <c r="W244" i="1"/>
  <c r="X244" i="1" s="1"/>
  <c r="A74" i="7"/>
  <c r="B74" i="7" s="1"/>
  <c r="C74" i="7"/>
  <c r="A75" i="7"/>
  <c r="B75" i="7" s="1"/>
  <c r="C75" i="7"/>
  <c r="A76" i="7"/>
  <c r="B76" i="7" s="1"/>
  <c r="C76" i="7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A81" i="7"/>
  <c r="B81" i="7" s="1"/>
  <c r="C81" i="7"/>
  <c r="A82" i="7"/>
  <c r="B82" i="7" s="1"/>
  <c r="C82" i="7"/>
  <c r="A83" i="7"/>
  <c r="B83" i="7" s="1"/>
  <c r="C83" i="7"/>
  <c r="A84" i="7"/>
  <c r="B84" i="7" s="1"/>
  <c r="C84" i="7"/>
  <c r="A85" i="7"/>
  <c r="B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A93" i="7"/>
  <c r="C93" i="7"/>
  <c r="A94" i="7"/>
  <c r="C94" i="7"/>
  <c r="A95" i="7"/>
  <c r="B95" i="7" s="1"/>
  <c r="C95" i="7"/>
  <c r="V12" i="1"/>
  <c r="W12" i="1"/>
  <c r="X12" i="1" s="1"/>
  <c r="V13" i="1"/>
  <c r="W13" i="1"/>
  <c r="X13" i="1" s="1"/>
  <c r="V14" i="1"/>
  <c r="W14" i="1"/>
  <c r="X14" i="1" s="1"/>
  <c r="V15" i="1"/>
  <c r="W15" i="1"/>
  <c r="X15" i="1" s="1"/>
  <c r="V16" i="1"/>
  <c r="W16" i="1"/>
  <c r="X16" i="1" s="1"/>
  <c r="V17" i="1"/>
  <c r="W17" i="1"/>
  <c r="X17" i="1" s="1"/>
  <c r="V18" i="1"/>
  <c r="W18" i="1"/>
  <c r="X18" i="1" s="1"/>
  <c r="V19" i="1"/>
  <c r="W19" i="1"/>
  <c r="X19" i="1" s="1"/>
  <c r="V20" i="1"/>
  <c r="W20" i="1"/>
  <c r="X20" i="1" s="1"/>
  <c r="V21" i="1"/>
  <c r="W21" i="1"/>
  <c r="X21" i="1" s="1"/>
  <c r="V22" i="1"/>
  <c r="W22" i="1"/>
  <c r="X22" i="1" s="1"/>
  <c r="V23" i="1"/>
  <c r="W23" i="1"/>
  <c r="X23" i="1" s="1"/>
  <c r="V24" i="1"/>
  <c r="W24" i="1"/>
  <c r="X24" i="1" s="1"/>
  <c r="V25" i="1"/>
  <c r="W25" i="1"/>
  <c r="X25" i="1" s="1"/>
  <c r="V26" i="1"/>
  <c r="W26" i="1"/>
  <c r="X26" i="1" s="1"/>
  <c r="V27" i="1"/>
  <c r="W27" i="1"/>
  <c r="X27" i="1" s="1"/>
  <c r="V28" i="1"/>
  <c r="W28" i="1"/>
  <c r="X28" i="1" s="1"/>
  <c r="V29" i="1"/>
  <c r="W29" i="1"/>
  <c r="X29" i="1" s="1"/>
  <c r="V30" i="1"/>
  <c r="W30" i="1"/>
  <c r="X30" i="1" s="1"/>
  <c r="V31" i="1"/>
  <c r="W31" i="1"/>
  <c r="X31" i="1" s="1"/>
  <c r="V32" i="1"/>
  <c r="W32" i="1"/>
  <c r="X32" i="1" s="1"/>
  <c r="V33" i="1"/>
  <c r="W33" i="1"/>
  <c r="X33" i="1" s="1"/>
  <c r="V34" i="1"/>
  <c r="W34" i="1"/>
  <c r="X34" i="1" s="1"/>
  <c r="V35" i="1"/>
  <c r="W35" i="1"/>
  <c r="X35" i="1" s="1"/>
  <c r="V36" i="1"/>
  <c r="W36" i="1"/>
  <c r="X36" i="1" s="1"/>
  <c r="V37" i="1"/>
  <c r="W37" i="1"/>
  <c r="X37" i="1" s="1"/>
  <c r="V38" i="1"/>
  <c r="W38" i="1"/>
  <c r="X38" i="1" s="1"/>
  <c r="V39" i="1"/>
  <c r="W39" i="1"/>
  <c r="X39" i="1" s="1"/>
  <c r="V40" i="1"/>
  <c r="W40" i="1"/>
  <c r="X40" i="1" s="1"/>
  <c r="V41" i="1"/>
  <c r="W41" i="1"/>
  <c r="X41" i="1" s="1"/>
  <c r="V42" i="1"/>
  <c r="W42" i="1"/>
  <c r="X42" i="1" s="1"/>
  <c r="V43" i="1"/>
  <c r="W43" i="1"/>
  <c r="X43" i="1" s="1"/>
  <c r="V44" i="1"/>
  <c r="W44" i="1"/>
  <c r="X44" i="1" s="1"/>
  <c r="V45" i="1"/>
  <c r="W45" i="1"/>
  <c r="X45" i="1" s="1"/>
  <c r="V46" i="1"/>
  <c r="W46" i="1"/>
  <c r="X46" i="1" s="1"/>
  <c r="V47" i="1"/>
  <c r="W47" i="1"/>
  <c r="X47" i="1" s="1"/>
  <c r="V48" i="1"/>
  <c r="W48" i="1"/>
  <c r="X48" i="1" s="1"/>
  <c r="V49" i="1"/>
  <c r="W49" i="1"/>
  <c r="X49" i="1" s="1"/>
  <c r="V50" i="1"/>
  <c r="W50" i="1"/>
  <c r="X50" i="1" s="1"/>
  <c r="V51" i="1"/>
  <c r="W51" i="1"/>
  <c r="X51" i="1" s="1"/>
  <c r="V5" i="1"/>
  <c r="W5" i="1"/>
  <c r="X5" i="1" s="1"/>
  <c r="V6" i="1"/>
  <c r="W6" i="1"/>
  <c r="X6" i="1" s="1"/>
  <c r="V7" i="1"/>
  <c r="W7" i="1"/>
  <c r="X7" i="1" s="1"/>
  <c r="V8" i="1"/>
  <c r="W8" i="1"/>
  <c r="X8" i="1" s="1"/>
  <c r="V9" i="1"/>
  <c r="W9" i="1"/>
  <c r="X9" i="1" s="1"/>
  <c r="V10" i="1"/>
  <c r="W10" i="1"/>
  <c r="X10" i="1" s="1"/>
  <c r="V11" i="1"/>
  <c r="W11" i="1"/>
  <c r="X11" i="1" s="1"/>
  <c r="D248" i="7" l="1"/>
  <c r="D104" i="7"/>
  <c r="Y234" i="1"/>
  <c r="D354" i="7"/>
  <c r="D322" i="7"/>
  <c r="D290" i="7"/>
  <c r="D342" i="7"/>
  <c r="D335" i="7"/>
  <c r="D331" i="7"/>
  <c r="D317" i="7"/>
  <c r="D313" i="7"/>
  <c r="D310" i="7"/>
  <c r="D303" i="7"/>
  <c r="D299" i="7"/>
  <c r="D281" i="7"/>
  <c r="D277" i="7"/>
  <c r="D273" i="7"/>
  <c r="D265" i="7"/>
  <c r="D349" i="7"/>
  <c r="D345" i="7"/>
  <c r="D338" i="7"/>
  <c r="D306" i="7"/>
  <c r="D353" i="7"/>
  <c r="D350" i="7"/>
  <c r="D340" i="7"/>
  <c r="D337" i="7"/>
  <c r="D334" i="7"/>
  <c r="D324" i="7"/>
  <c r="D321" i="7"/>
  <c r="D318" i="7"/>
  <c r="D308" i="7"/>
  <c r="D305" i="7"/>
  <c r="D302" i="7"/>
  <c r="D292" i="7"/>
  <c r="D289" i="7"/>
  <c r="D230" i="7"/>
  <c r="D226" i="7"/>
  <c r="D206" i="7"/>
  <c r="D202" i="7"/>
  <c r="D198" i="7"/>
  <c r="D190" i="7"/>
  <c r="D126" i="7"/>
  <c r="D97" i="7"/>
  <c r="X133" i="1"/>
  <c r="Y133" i="1"/>
  <c r="D163" i="7"/>
  <c r="Y185" i="1"/>
  <c r="Y41" i="1"/>
  <c r="D102" i="7"/>
  <c r="D287" i="7"/>
  <c r="D166" i="7"/>
  <c r="Y201" i="1"/>
  <c r="D184" i="7"/>
  <c r="D176" i="7"/>
  <c r="D168" i="7"/>
  <c r="D148" i="7"/>
  <c r="X223" i="1"/>
  <c r="D283" i="7"/>
  <c r="D249" i="7"/>
  <c r="D233" i="7"/>
  <c r="D217" i="7"/>
  <c r="D205" i="7"/>
  <c r="D201" i="7"/>
  <c r="D193" i="7"/>
  <c r="D189" i="7"/>
  <c r="D181" i="7"/>
  <c r="D142" i="7"/>
  <c r="D268" i="7"/>
  <c r="D264" i="7"/>
  <c r="D161" i="7"/>
  <c r="Y115" i="1"/>
  <c r="D267" i="7"/>
  <c r="D263" i="7"/>
  <c r="D266" i="7"/>
  <c r="Y137" i="1"/>
  <c r="D282" i="7"/>
  <c r="D250" i="7"/>
  <c r="D235" i="7"/>
  <c r="D231" i="7"/>
  <c r="D227" i="7"/>
  <c r="D219" i="7"/>
  <c r="D199" i="7"/>
  <c r="D191" i="7"/>
  <c r="D164" i="7"/>
  <c r="D275" i="7"/>
  <c r="D271" i="7"/>
  <c r="D261" i="7"/>
  <c r="D257" i="7"/>
  <c r="D246" i="7"/>
  <c r="D242" i="7"/>
  <c r="D175" i="7"/>
  <c r="D171" i="7"/>
  <c r="D160" i="7"/>
  <c r="D156" i="7"/>
  <c r="D145" i="7"/>
  <c r="Y244" i="1"/>
  <c r="Y191" i="1"/>
  <c r="D284" i="7"/>
  <c r="D278" i="7"/>
  <c r="D274" i="7"/>
  <c r="D252" i="7"/>
  <c r="D245" i="7"/>
  <c r="D241" i="7"/>
  <c r="D182" i="7"/>
  <c r="D174" i="7"/>
  <c r="D144" i="7"/>
  <c r="D140" i="7"/>
  <c r="Y47" i="1"/>
  <c r="Y217" i="1"/>
  <c r="Y143" i="1"/>
  <c r="D240" i="7"/>
  <c r="D147" i="7"/>
  <c r="D143" i="7"/>
  <c r="Y127" i="1"/>
  <c r="D236" i="7"/>
  <c r="D232" i="7"/>
  <c r="D220" i="7"/>
  <c r="D216" i="7"/>
  <c r="D200" i="7"/>
  <c r="D196" i="7"/>
  <c r="D192" i="7"/>
  <c r="D188" i="7"/>
  <c r="D262" i="7"/>
  <c r="D258" i="7"/>
  <c r="D185" i="7"/>
  <c r="D117" i="7"/>
  <c r="D109" i="7"/>
  <c r="D99" i="7"/>
  <c r="X242" i="1"/>
  <c r="X222" i="1"/>
  <c r="Y207" i="1"/>
  <c r="Y153" i="1"/>
  <c r="D124" i="7"/>
  <c r="D116" i="7"/>
  <c r="D112" i="7"/>
  <c r="D98" i="7"/>
  <c r="X231" i="1"/>
  <c r="Y228" i="1"/>
  <c r="Y95" i="1"/>
  <c r="D286" i="7"/>
  <c r="D276" i="7"/>
  <c r="D270" i="7"/>
  <c r="D256" i="7"/>
  <c r="D229" i="7"/>
  <c r="D225" i="7"/>
  <c r="D215" i="7"/>
  <c r="D211" i="7"/>
  <c r="D180" i="7"/>
  <c r="D173" i="7"/>
  <c r="D159" i="7"/>
  <c r="D101" i="7"/>
  <c r="D285" i="7"/>
  <c r="D279" i="7"/>
  <c r="D269" i="7"/>
  <c r="D224" i="7"/>
  <c r="D214" i="7"/>
  <c r="D210" i="7"/>
  <c r="D183" i="7"/>
  <c r="D179" i="7"/>
  <c r="D172" i="7"/>
  <c r="D158" i="7"/>
  <c r="D100" i="7"/>
  <c r="X230" i="1"/>
  <c r="X227" i="1"/>
  <c r="D96" i="7"/>
  <c r="D132" i="7"/>
  <c r="D131" i="7"/>
  <c r="D129" i="7"/>
  <c r="D128" i="7"/>
  <c r="D127" i="7"/>
  <c r="Y226" i="1"/>
  <c r="Y15" i="1"/>
  <c r="X243" i="1"/>
  <c r="Y159" i="1"/>
  <c r="Y67" i="1"/>
  <c r="D253" i="7"/>
  <c r="D237" i="7"/>
  <c r="D221" i="7"/>
  <c r="D207" i="7"/>
  <c r="D203" i="7"/>
  <c r="D186" i="7"/>
  <c r="D169" i="7"/>
  <c r="D153" i="7"/>
  <c r="D137" i="7"/>
  <c r="D105" i="7"/>
  <c r="Y55" i="1"/>
  <c r="D108" i="7"/>
  <c r="D165" i="7"/>
  <c r="D152" i="7"/>
  <c r="D149" i="7"/>
  <c r="D136" i="7"/>
  <c r="D133" i="7"/>
  <c r="Y25" i="1"/>
  <c r="X239" i="1"/>
  <c r="Y236" i="1"/>
  <c r="Y169" i="1"/>
  <c r="D255" i="7"/>
  <c r="D239" i="7"/>
  <c r="D223" i="7"/>
  <c r="D213" i="7"/>
  <c r="D209" i="7"/>
  <c r="D195" i="7"/>
  <c r="D178" i="7"/>
  <c r="D155" i="7"/>
  <c r="D139" i="7"/>
  <c r="D352" i="7"/>
  <c r="D344" i="7"/>
  <c r="D336" i="7"/>
  <c r="D328" i="7"/>
  <c r="D320" i="7"/>
  <c r="D312" i="7"/>
  <c r="D304" i="7"/>
  <c r="D296" i="7"/>
  <c r="D288" i="7"/>
  <c r="D280" i="7"/>
  <c r="D272" i="7"/>
  <c r="D254" i="7"/>
  <c r="D238" i="7"/>
  <c r="D222" i="7"/>
  <c r="D212" i="7"/>
  <c r="D208" i="7"/>
  <c r="D194" i="7"/>
  <c r="D177" i="7"/>
  <c r="D167" i="7"/>
  <c r="D151" i="7"/>
  <c r="D135" i="7"/>
  <c r="D106" i="7"/>
  <c r="D103" i="7"/>
  <c r="X238" i="1"/>
  <c r="X235" i="1"/>
  <c r="Y175" i="1"/>
  <c r="Y107" i="1"/>
  <c r="Y53" i="1"/>
  <c r="D260" i="7"/>
  <c r="D244" i="7"/>
  <c r="D234" i="7"/>
  <c r="D228" i="7"/>
  <c r="D218" i="7"/>
  <c r="D204" i="7"/>
  <c r="D197" i="7"/>
  <c r="D187" i="7"/>
  <c r="D170" i="7"/>
  <c r="D157" i="7"/>
  <c r="D141" i="7"/>
  <c r="D125" i="7"/>
  <c r="D123" i="7"/>
  <c r="D121" i="7"/>
  <c r="Y83" i="1"/>
  <c r="D120" i="7"/>
  <c r="D119" i="7"/>
  <c r="D115" i="7"/>
  <c r="Y75" i="1"/>
  <c r="D113" i="7"/>
  <c r="D111" i="7"/>
  <c r="D110" i="7"/>
  <c r="Y69" i="1"/>
  <c r="D107" i="7"/>
  <c r="D162" i="7"/>
  <c r="D146" i="7"/>
  <c r="D130" i="7"/>
  <c r="D114" i="7"/>
  <c r="D259" i="7"/>
  <c r="D243" i="7"/>
  <c r="D154" i="7"/>
  <c r="D138" i="7"/>
  <c r="D122" i="7"/>
  <c r="D150" i="7"/>
  <c r="D134" i="7"/>
  <c r="D118" i="7"/>
  <c r="X237" i="1"/>
  <c r="Y203" i="1"/>
  <c r="Y171" i="1"/>
  <c r="Y99" i="1"/>
  <c r="Y57" i="1"/>
  <c r="Y232" i="1"/>
  <c r="Y63" i="1"/>
  <c r="Y43" i="1"/>
  <c r="X241" i="1"/>
  <c r="X225" i="1"/>
  <c r="Y195" i="1"/>
  <c r="Y163" i="1"/>
  <c r="Y131" i="1"/>
  <c r="Y91" i="1"/>
  <c r="Y59" i="1"/>
  <c r="Y35" i="1"/>
  <c r="D95" i="7"/>
  <c r="D91" i="7"/>
  <c r="D87" i="7"/>
  <c r="D83" i="7"/>
  <c r="D79" i="7"/>
  <c r="D75" i="7"/>
  <c r="X229" i="1"/>
  <c r="Y219" i="1"/>
  <c r="Y187" i="1"/>
  <c r="Y155" i="1"/>
  <c r="Y123" i="1"/>
  <c r="Y79" i="1"/>
  <c r="Y65" i="1"/>
  <c r="Y240" i="1"/>
  <c r="Y224" i="1"/>
  <c r="Y19" i="1"/>
  <c r="D90" i="7"/>
  <c r="D86" i="7"/>
  <c r="D82" i="7"/>
  <c r="D78" i="7"/>
  <c r="D74" i="7"/>
  <c r="X233" i="1"/>
  <c r="Y211" i="1"/>
  <c r="Y179" i="1"/>
  <c r="Y147" i="1"/>
  <c r="Y111" i="1"/>
  <c r="Y61" i="1"/>
  <c r="X214" i="1"/>
  <c r="Y214" i="1"/>
  <c r="X198" i="1"/>
  <c r="Y198" i="1"/>
  <c r="X182" i="1"/>
  <c r="Y182" i="1"/>
  <c r="X166" i="1"/>
  <c r="Y166" i="1"/>
  <c r="X150" i="1"/>
  <c r="Y150" i="1"/>
  <c r="X134" i="1"/>
  <c r="Y134" i="1"/>
  <c r="Y121" i="1"/>
  <c r="X118" i="1"/>
  <c r="Y118" i="1"/>
  <c r="Y105" i="1"/>
  <c r="X102" i="1"/>
  <c r="Y102" i="1"/>
  <c r="Y89" i="1"/>
  <c r="X86" i="1"/>
  <c r="Y86" i="1"/>
  <c r="Y73" i="1"/>
  <c r="X96" i="1"/>
  <c r="Y96" i="1"/>
  <c r="X220" i="1"/>
  <c r="Y220" i="1"/>
  <c r="X204" i="1"/>
  <c r="Y204" i="1"/>
  <c r="X188" i="1"/>
  <c r="Y188" i="1"/>
  <c r="X172" i="1"/>
  <c r="Y172" i="1"/>
  <c r="X156" i="1"/>
  <c r="Y156" i="1"/>
  <c r="X140" i="1"/>
  <c r="Y140" i="1"/>
  <c r="X124" i="1"/>
  <c r="Y124" i="1"/>
  <c r="X108" i="1"/>
  <c r="Y108" i="1"/>
  <c r="X92" i="1"/>
  <c r="Y92" i="1"/>
  <c r="X144" i="1"/>
  <c r="Y144" i="1"/>
  <c r="Y213" i="1"/>
  <c r="X210" i="1"/>
  <c r="Y210" i="1"/>
  <c r="Y197" i="1"/>
  <c r="X194" i="1"/>
  <c r="Y194" i="1"/>
  <c r="Y181" i="1"/>
  <c r="X178" i="1"/>
  <c r="Y178" i="1"/>
  <c r="Y165" i="1"/>
  <c r="X162" i="1"/>
  <c r="Y162" i="1"/>
  <c r="Y149" i="1"/>
  <c r="X146" i="1"/>
  <c r="Y146" i="1"/>
  <c r="X130" i="1"/>
  <c r="Y130" i="1"/>
  <c r="Y117" i="1"/>
  <c r="X114" i="1"/>
  <c r="Y114" i="1"/>
  <c r="Y101" i="1"/>
  <c r="X98" i="1"/>
  <c r="Y98" i="1"/>
  <c r="Y85" i="1"/>
  <c r="X82" i="1"/>
  <c r="Y82" i="1"/>
  <c r="X176" i="1"/>
  <c r="Y176" i="1"/>
  <c r="X112" i="1"/>
  <c r="Y112" i="1"/>
  <c r="X80" i="1"/>
  <c r="Y80" i="1"/>
  <c r="X200" i="1"/>
  <c r="Y200" i="1"/>
  <c r="X184" i="1"/>
  <c r="Y184" i="1"/>
  <c r="X168" i="1"/>
  <c r="Y168" i="1"/>
  <c r="X152" i="1"/>
  <c r="Y152" i="1"/>
  <c r="X136" i="1"/>
  <c r="Y136" i="1"/>
  <c r="X120" i="1"/>
  <c r="Y120" i="1"/>
  <c r="X104" i="1"/>
  <c r="Y104" i="1"/>
  <c r="X88" i="1"/>
  <c r="Y88" i="1"/>
  <c r="X160" i="1"/>
  <c r="Y160" i="1"/>
  <c r="X216" i="1"/>
  <c r="Y216" i="1"/>
  <c r="Y209" i="1"/>
  <c r="X206" i="1"/>
  <c r="Y206" i="1"/>
  <c r="Y193" i="1"/>
  <c r="X190" i="1"/>
  <c r="Y190" i="1"/>
  <c r="Y177" i="1"/>
  <c r="X174" i="1"/>
  <c r="Y174" i="1"/>
  <c r="Y161" i="1"/>
  <c r="X158" i="1"/>
  <c r="Y158" i="1"/>
  <c r="Y145" i="1"/>
  <c r="X142" i="1"/>
  <c r="Y142" i="1"/>
  <c r="Y129" i="1"/>
  <c r="X126" i="1"/>
  <c r="Y126" i="1"/>
  <c r="Y113" i="1"/>
  <c r="X110" i="1"/>
  <c r="Y110" i="1"/>
  <c r="Y97" i="1"/>
  <c r="X94" i="1"/>
  <c r="Y94" i="1"/>
  <c r="Y81" i="1"/>
  <c r="X208" i="1"/>
  <c r="Y208" i="1"/>
  <c r="Y215" i="1"/>
  <c r="X212" i="1"/>
  <c r="Y212" i="1"/>
  <c r="Y199" i="1"/>
  <c r="X196" i="1"/>
  <c r="Y196" i="1"/>
  <c r="Y183" i="1"/>
  <c r="X180" i="1"/>
  <c r="Y180" i="1"/>
  <c r="Y167" i="1"/>
  <c r="X164" i="1"/>
  <c r="Y164" i="1"/>
  <c r="Y151" i="1"/>
  <c r="X148" i="1"/>
  <c r="Y148" i="1"/>
  <c r="Y135" i="1"/>
  <c r="X132" i="1"/>
  <c r="Y132" i="1"/>
  <c r="Y119" i="1"/>
  <c r="X116" i="1"/>
  <c r="Y116" i="1"/>
  <c r="Y103" i="1"/>
  <c r="X100" i="1"/>
  <c r="Y100" i="1"/>
  <c r="Y87" i="1"/>
  <c r="X84" i="1"/>
  <c r="Y84" i="1"/>
  <c r="Y71" i="1"/>
  <c r="X192" i="1"/>
  <c r="Y192" i="1"/>
  <c r="X128" i="1"/>
  <c r="Y128" i="1"/>
  <c r="Y221" i="1"/>
  <c r="X218" i="1"/>
  <c r="Y218" i="1"/>
  <c r="Y205" i="1"/>
  <c r="X202" i="1"/>
  <c r="Y202" i="1"/>
  <c r="Y189" i="1"/>
  <c r="X186" i="1"/>
  <c r="Y186" i="1"/>
  <c r="Y173" i="1"/>
  <c r="X170" i="1"/>
  <c r="Y170" i="1"/>
  <c r="Y157" i="1"/>
  <c r="X154" i="1"/>
  <c r="Y154" i="1"/>
  <c r="Y141" i="1"/>
  <c r="X138" i="1"/>
  <c r="Y138" i="1"/>
  <c r="Y125" i="1"/>
  <c r="X122" i="1"/>
  <c r="Y122" i="1"/>
  <c r="Y109" i="1"/>
  <c r="X106" i="1"/>
  <c r="Y106" i="1"/>
  <c r="Y93" i="1"/>
  <c r="X90" i="1"/>
  <c r="Y90" i="1"/>
  <c r="Y77" i="1"/>
  <c r="Y78" i="1"/>
  <c r="Y76" i="1"/>
  <c r="Y74" i="1"/>
  <c r="Y72" i="1"/>
  <c r="Y70" i="1"/>
  <c r="Y68" i="1"/>
  <c r="Y66" i="1"/>
  <c r="Y64" i="1"/>
  <c r="Y62" i="1"/>
  <c r="Y60" i="1"/>
  <c r="Y58" i="1"/>
  <c r="Y56" i="1"/>
  <c r="Y54" i="1"/>
  <c r="Y52" i="1"/>
  <c r="Y51" i="1"/>
  <c r="Y23" i="1"/>
  <c r="D93" i="7"/>
  <c r="D89" i="7"/>
  <c r="D85" i="7"/>
  <c r="D81" i="7"/>
  <c r="D77" i="7"/>
  <c r="D92" i="7"/>
  <c r="D88" i="7"/>
  <c r="D84" i="7"/>
  <c r="D80" i="7"/>
  <c r="D76" i="7"/>
  <c r="Y39" i="1"/>
  <c r="Y27" i="1"/>
  <c r="D94" i="7"/>
  <c r="Y49" i="1"/>
  <c r="Y33" i="1"/>
  <c r="Y17" i="1"/>
  <c r="Y45" i="1"/>
  <c r="Y29" i="1"/>
  <c r="Y13" i="1"/>
  <c r="Y31" i="1"/>
  <c r="Y37" i="1"/>
  <c r="Y21" i="1"/>
  <c r="Y50" i="1"/>
  <c r="Y48" i="1"/>
  <c r="Y46" i="1"/>
  <c r="Y44" i="1"/>
  <c r="Y42" i="1"/>
  <c r="Y40" i="1"/>
  <c r="Y38" i="1"/>
  <c r="Y36" i="1"/>
  <c r="Y34" i="1"/>
  <c r="Y32" i="1"/>
  <c r="Y30" i="1"/>
  <c r="Y28" i="1"/>
  <c r="Y26" i="1"/>
  <c r="Y24" i="1"/>
  <c r="Y22" i="1"/>
  <c r="Y20" i="1"/>
  <c r="Y18" i="1"/>
  <c r="Y16" i="1"/>
  <c r="Y14" i="1"/>
  <c r="Y12" i="1"/>
  <c r="Y8" i="1"/>
  <c r="Y10" i="1"/>
  <c r="Y6" i="1"/>
  <c r="Y11" i="1"/>
  <c r="Y9" i="1"/>
  <c r="Y7" i="1"/>
  <c r="Y5" i="1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V3" i="1"/>
  <c r="W3" i="1"/>
  <c r="X3" i="1" s="1"/>
  <c r="V4" i="1"/>
  <c r="W4" i="1"/>
  <c r="X4" i="1" s="1"/>
  <c r="D48" i="7" l="1"/>
  <c r="D52" i="7"/>
  <c r="D44" i="7"/>
  <c r="D40" i="7"/>
  <c r="D55" i="7"/>
  <c r="D51" i="7"/>
  <c r="D73" i="7"/>
  <c r="D71" i="7"/>
  <c r="D67" i="7"/>
  <c r="D69" i="7"/>
  <c r="D68" i="7"/>
  <c r="D47" i="7"/>
  <c r="D72" i="7"/>
  <c r="D66" i="7"/>
  <c r="D62" i="7"/>
  <c r="D65" i="7"/>
  <c r="D70" i="7"/>
  <c r="D64" i="7"/>
  <c r="D63" i="7"/>
  <c r="D61" i="7"/>
  <c r="D60" i="7"/>
  <c r="D59" i="7"/>
  <c r="D58" i="7"/>
  <c r="D57" i="7"/>
  <c r="D56" i="7"/>
  <c r="D54" i="7"/>
  <c r="D53" i="7"/>
  <c r="D50" i="7"/>
  <c r="D49" i="7"/>
  <c r="D46" i="7"/>
  <c r="D45" i="7"/>
  <c r="D43" i="7"/>
  <c r="D42" i="7"/>
  <c r="D41" i="7"/>
  <c r="Y4" i="1"/>
  <c r="Y3" i="1"/>
  <c r="W2" i="1" l="1"/>
  <c r="Y2" i="1" s="1"/>
  <c r="C39" i="7"/>
  <c r="V2" i="1"/>
  <c r="A39" i="7" l="1"/>
  <c r="B39" i="7" s="1"/>
  <c r="X2" i="1" l="1"/>
  <c r="D39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<sst xmlns="http://schemas.openxmlformats.org/spreadsheetml/2006/main" count="2672" uniqueCount="572">
  <si>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</si>
  <si>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</si>
  <si>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</si>
  <si>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</si>
  <si>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</si>
  <si>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</si>
  <si>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</si>
  <si>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</si>
  <si>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</si>
  <si>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</si>
  <si>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</si>
  <si>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</si>
  <si>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</si>
  <si>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</si>
  <si>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</si>
  <si>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</si>
  <si>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</si>
  <si>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</si>
  <si>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</si>
  <si>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</si>
  <si>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</si>
  <si>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</si>
  <si>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</si>
  <si>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</si>
  <si>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</si>
  <si>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</si>
  <si>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</si>
  <si>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</si>
  <si>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</si>
  <si>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</si>
  <si>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</si>
  <si>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</si>
  <si>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</si>
  <si>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</si>
  <si>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</si>
  <si>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</si>
  <si>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</si>
  <si>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</si>
  <si>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</si>
  <si>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</si>
  <si>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</si>
  <si>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</si>
  <si>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</si>
  <si>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>PROGRAMADO AMPLIADO DE INMUNIZACION (PAI - COVID 19)</t>
  </si>
  <si>
    <t>AIEPI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</si>
  <si>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</si>
  <si>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</si>
  <si>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</si>
  <si>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</si>
  <si>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</si>
  <si>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</si>
  <si>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</si>
  <si>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</si>
  <si>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</si>
  <si>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</si>
  <si>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</si>
  <si>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</si>
  <si>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</si>
  <si>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</si>
  <si>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</si>
  <si>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</si>
  <si>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</si>
  <si>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</si>
  <si>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</si>
  <si>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</si>
  <si>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</si>
  <si>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</si>
  <si>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</si>
  <si>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</si>
  <si>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</si>
  <si>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</si>
  <si>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</si>
  <si>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</si>
  <si>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</si>
  <si>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</si>
  <si>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</si>
  <si>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>ATENCION A PERSONAS CON DISCAPACIDAD</t>
  </si>
  <si>
    <t>DISCAPACIDAD</t>
  </si>
  <si>
    <t>ADULTO MAYOR</t>
  </si>
  <si>
    <t>CUIDADO INTEGRAL DEL PACIENTE ADULTO</t>
  </si>
  <si>
    <t>MANEJO DEFENSIVO</t>
  </si>
  <si>
    <t>ACLSN</t>
  </si>
  <si>
    <t>SOPORTE CARDIOVASCULAR AVANZADO NEONATAL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</si>
  <si>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</si>
  <si>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</si>
  <si>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</si>
  <si>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</si>
  <si>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</si>
  <si>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MODALIDAD</t>
  </si>
  <si>
    <t>TOMA DE MUESTRAS Y LABORATORIO CLINICO</t>
  </si>
  <si>
    <t>RESIDUOS</t>
  </si>
  <si>
    <t>MANEJO DE RESIDUOS HOSPITALARIOS</t>
  </si>
  <si>
    <t>https://centrodecapacitaciondelsur.com/manejo-de-residuos-hospitalarios-</t>
  </si>
  <si>
    <t xml:space="preserve">ATENCIÓN A VÍCTIMAS DE ATAQUE CON AGENTES QUIMICOS </t>
  </si>
  <si>
    <t xml:space="preserve">HUMANIZACIÓN EN EL SERVICIO DE LA SALUD Y BUENAS PRACTICAS EN PACIENTE </t>
  </si>
  <si>
    <t xml:space="preserve">ATENCIÓN A VÍCTIMAS DE VIOLENCIA SEXUAL </t>
  </si>
  <si>
    <t>ATENCIÓN INTEGRAL EN ENFERMEDADES PREVALENTES EN PRIMERA INFANCIA (AIEPI)</t>
  </si>
  <si>
    <t xml:space="preserve">ADMINISTRACIÓN DE MEDICAMENTOS, INYECTOLOGIA  Y CANALIZACION </t>
  </si>
  <si>
    <t>ATENCIÓN A VICTIMAS POR VIOLENCIA DE GENERO</t>
  </si>
  <si>
    <t>Ascuntar</t>
  </si>
  <si>
    <t>Unigarro</t>
  </si>
  <si>
    <t>Karen</t>
  </si>
  <si>
    <t>Julieth</t>
  </si>
  <si>
    <t>Marzo</t>
  </si>
  <si>
    <t>CAPACITACION</t>
  </si>
  <si>
    <t>CAMILO</t>
  </si>
  <si>
    <t>CCS</t>
  </si>
  <si>
    <t>F</t>
  </si>
  <si>
    <t>ESTUDIANTE</t>
  </si>
  <si>
    <t>Guaitarilla</t>
  </si>
  <si>
    <t>Cumbal</t>
  </si>
  <si>
    <t>Erika</t>
  </si>
  <si>
    <t>Vanessa</t>
  </si>
  <si>
    <t>Malpud</t>
  </si>
  <si>
    <t>Cuasquer</t>
  </si>
  <si>
    <t>Claudia</t>
  </si>
  <si>
    <t>Tatiana</t>
  </si>
  <si>
    <t>AUX DE ENFERMERIA</t>
  </si>
  <si>
    <t>Malpudtatiana37@gmail.com</t>
  </si>
  <si>
    <t>Solarte</t>
  </si>
  <si>
    <t>Gaviria</t>
  </si>
  <si>
    <t>Maria</t>
  </si>
  <si>
    <t>Cristina</t>
  </si>
  <si>
    <t>RENOVACION</t>
  </si>
  <si>
    <t>Febrero</t>
  </si>
  <si>
    <t>Cristinasolartegaviria1978@gmail.com</t>
  </si>
  <si>
    <t>BANCOLOMBIA</t>
  </si>
  <si>
    <t>Delgado</t>
  </si>
  <si>
    <t>Ordoñez</t>
  </si>
  <si>
    <t>Ana</t>
  </si>
  <si>
    <t>Catalina</t>
  </si>
  <si>
    <t>MEDIC@</t>
  </si>
  <si>
    <t>kta_delgado@hotmail.com</t>
  </si>
  <si>
    <t>DAVIPLATA</t>
  </si>
  <si>
    <t>Pinta</t>
  </si>
  <si>
    <t>Lopez</t>
  </si>
  <si>
    <t>Luis</t>
  </si>
  <si>
    <t>Olivares</t>
  </si>
  <si>
    <t>LUIS PINTA</t>
  </si>
  <si>
    <t>M</t>
  </si>
  <si>
    <t xml:space="preserve">luispinta347@gmail.com </t>
  </si>
  <si>
    <t>Narvaez</t>
  </si>
  <si>
    <t>Florez</t>
  </si>
  <si>
    <t>Edgar</t>
  </si>
  <si>
    <t>Efrain</t>
  </si>
  <si>
    <t>edgare_md@hotmail.com</t>
  </si>
  <si>
    <t>Erazo</t>
  </si>
  <si>
    <t>Yullith</t>
  </si>
  <si>
    <t>Andrea</t>
  </si>
  <si>
    <t>andreaerazo1004@gmail.com</t>
  </si>
  <si>
    <t>Rosero</t>
  </si>
  <si>
    <t>Vallejos</t>
  </si>
  <si>
    <t>Monica</t>
  </si>
  <si>
    <t>Liliana</t>
  </si>
  <si>
    <t>ENFERMER@</t>
  </si>
  <si>
    <t xml:space="preserve">monilirv@gmail.com </t>
  </si>
  <si>
    <t>NEQUI</t>
  </si>
  <si>
    <t>28/02/2025-1/3/2025</t>
  </si>
  <si>
    <t>CAJA/NEQUI</t>
  </si>
  <si>
    <t>CAJA</t>
  </si>
  <si>
    <t>Benavides</t>
  </si>
  <si>
    <t>Janeth</t>
  </si>
  <si>
    <t>Del Socorro</t>
  </si>
  <si>
    <t>SEBASTIAN</t>
  </si>
  <si>
    <t>Nieves</t>
  </si>
  <si>
    <t>Quiroga</t>
  </si>
  <si>
    <t>Adelaida</t>
  </si>
  <si>
    <t>SAN PEDRO</t>
  </si>
  <si>
    <t xml:space="preserve">adelaidanieves.an@gmail.com </t>
  </si>
  <si>
    <t>Cabrera</t>
  </si>
  <si>
    <t>Paola</t>
  </si>
  <si>
    <t>Mile</t>
  </si>
  <si>
    <t>Anyely2406@gmail.com</t>
  </si>
  <si>
    <t>De la cruz</t>
  </si>
  <si>
    <t>Pilar</t>
  </si>
  <si>
    <t>Anabel</t>
  </si>
  <si>
    <t>FUENTE</t>
  </si>
  <si>
    <t>COLABORADOR</t>
  </si>
  <si>
    <t>pilaranabelerazo123@gmail.com</t>
  </si>
  <si>
    <t>RECOMENDACIÓN</t>
  </si>
  <si>
    <t>Pulzara</t>
  </si>
  <si>
    <t>Nancy</t>
  </si>
  <si>
    <t>YURANI</t>
  </si>
  <si>
    <t xml:space="preserve">nancy.lili.2611@gmail.com </t>
  </si>
  <si>
    <t>Mora</t>
  </si>
  <si>
    <t>Estrada</t>
  </si>
  <si>
    <t xml:space="preserve">monicaandremora97@gmail.com </t>
  </si>
  <si>
    <t>Riascos</t>
  </si>
  <si>
    <t>Mindalo</t>
  </si>
  <si>
    <t>Adriana</t>
  </si>
  <si>
    <t>Patricia</t>
  </si>
  <si>
    <t>AUXILIAR DE ODONTOLOGIA</t>
  </si>
  <si>
    <t xml:space="preserve">patriciar2520@gmail.com </t>
  </si>
  <si>
    <t>Portillo</t>
  </si>
  <si>
    <t>Eraso</t>
  </si>
  <si>
    <t>Yenny</t>
  </si>
  <si>
    <t xml:space="preserve"> yportilloeraso27@gmail.com</t>
  </si>
  <si>
    <t xml:space="preserve">RENOVO </t>
  </si>
  <si>
    <t>Luna</t>
  </si>
  <si>
    <t>Muñoz</t>
  </si>
  <si>
    <t>Steban</t>
  </si>
  <si>
    <t>Alejandro</t>
  </si>
  <si>
    <t>FRANCISCO</t>
  </si>
  <si>
    <t>Stebanlunawlf33@gmail.com</t>
  </si>
  <si>
    <t>Marcillo</t>
  </si>
  <si>
    <t>Oquendo</t>
  </si>
  <si>
    <t>Miryan</t>
  </si>
  <si>
    <t>Milagro</t>
  </si>
  <si>
    <t>milagromarcillo@hotmail.com</t>
  </si>
  <si>
    <t>Cucas</t>
  </si>
  <si>
    <t>Asmaza</t>
  </si>
  <si>
    <t>Dario</t>
  </si>
  <si>
    <t>Fernando</t>
  </si>
  <si>
    <t xml:space="preserve">dariofer501@gmail.com </t>
  </si>
  <si>
    <t>Martinez</t>
  </si>
  <si>
    <t>Eliana</t>
  </si>
  <si>
    <t>Elcmartinez@keralty.co</t>
  </si>
  <si>
    <t>Revelo</t>
  </si>
  <si>
    <t>Enríquez</t>
  </si>
  <si>
    <t>Julian</t>
  </si>
  <si>
    <t>Esteban</t>
  </si>
  <si>
    <t>U MARIANA</t>
  </si>
  <si>
    <t>TECNOLOGA EN RADIOLOGIA</t>
  </si>
  <si>
    <t>Julianrevelo2001@hotmail.com</t>
  </si>
  <si>
    <t>Diaz</t>
  </si>
  <si>
    <t>Cortez</t>
  </si>
  <si>
    <t>Omaira</t>
  </si>
  <si>
    <t>mairadiaz0510@gmail.com</t>
  </si>
  <si>
    <t>Jojoa</t>
  </si>
  <si>
    <t>Maya</t>
  </si>
  <si>
    <t>Alejandra</t>
  </si>
  <si>
    <t>maleja-016@hotmail.com</t>
  </si>
  <si>
    <t>adrianaceballos75@gmail.com</t>
  </si>
  <si>
    <t>Ceballos</t>
  </si>
  <si>
    <t>Argoti</t>
  </si>
  <si>
    <t>Carmen</t>
  </si>
  <si>
    <t>Magaly</t>
  </si>
  <si>
    <t>Melo</t>
  </si>
  <si>
    <t>Guerrero</t>
  </si>
  <si>
    <t>Pasijojoa</t>
  </si>
  <si>
    <t>Veronica</t>
  </si>
  <si>
    <t>m.melopantoja@gmail.com</t>
  </si>
  <si>
    <t>Veritomr88@hotmail.com</t>
  </si>
  <si>
    <t>ENFERMERA</t>
  </si>
  <si>
    <t>Zambrano</t>
  </si>
  <si>
    <t>Hernandez</t>
  </si>
  <si>
    <t>Ines</t>
  </si>
  <si>
    <t>Herman</t>
  </si>
  <si>
    <t>Tenorio</t>
  </si>
  <si>
    <t>Yadira</t>
  </si>
  <si>
    <t>Fernanda</t>
  </si>
  <si>
    <t>yadirafernandaherman@gmail.com</t>
  </si>
  <si>
    <t xml:space="preserve">marthazambranoh@hotmail.com </t>
  </si>
  <si>
    <t>Martha</t>
  </si>
  <si>
    <t>Ortega</t>
  </si>
  <si>
    <t>Rodriguez</t>
  </si>
  <si>
    <t>Angela</t>
  </si>
  <si>
    <t>Carolina</t>
  </si>
  <si>
    <t>caro-0411@hotmail.com</t>
  </si>
  <si>
    <t>Mainguez</t>
  </si>
  <si>
    <t>Alvear</t>
  </si>
  <si>
    <t>Isabel</t>
  </si>
  <si>
    <t>lilimainguez@gmail.com</t>
  </si>
  <si>
    <t>Galvez</t>
  </si>
  <si>
    <t>Yany</t>
  </si>
  <si>
    <t>Dayalin</t>
  </si>
  <si>
    <t>Yanyroserogalvez@gmail.com</t>
  </si>
  <si>
    <t>Paz</t>
  </si>
  <si>
    <t>Gabriel</t>
  </si>
  <si>
    <t>STOP THE BLEED</t>
  </si>
  <si>
    <t>FISIOTERAPEUTA</t>
  </si>
  <si>
    <t>gapaz2099@gmail.com</t>
  </si>
  <si>
    <t>Moncayo</t>
  </si>
  <si>
    <t>Camilo</t>
  </si>
  <si>
    <t>Alfredo</t>
  </si>
  <si>
    <t>pazcami007@gmail.com</t>
  </si>
  <si>
    <t>https://centrodecapacitaciondelsur.com/stop-the-bleed-</t>
  </si>
  <si>
    <t>5/3/2025-10/03/2025</t>
  </si>
  <si>
    <t>Espinosa</t>
  </si>
  <si>
    <t>Burbano</t>
  </si>
  <si>
    <t>paolaespinosaburbano08@gmail.com</t>
  </si>
  <si>
    <t>Ortiz</t>
  </si>
  <si>
    <t>Fredi</t>
  </si>
  <si>
    <t>fredyli2010@hotmail.com</t>
  </si>
  <si>
    <t>Pantoja</t>
  </si>
  <si>
    <t>Tobar</t>
  </si>
  <si>
    <t>Ximena</t>
  </si>
  <si>
    <t>Del Rosario</t>
  </si>
  <si>
    <t>xime.pantoja.tobar@gmail.com</t>
  </si>
  <si>
    <t>Botina</t>
  </si>
  <si>
    <t>Rosa</t>
  </si>
  <si>
    <t>TERAPEUTA RESPIRATORIO</t>
  </si>
  <si>
    <t>Torres</t>
  </si>
  <si>
    <t>Paula</t>
  </si>
  <si>
    <t xml:space="preserve">paudelto06@gmail.com </t>
  </si>
  <si>
    <t>Dorado</t>
  </si>
  <si>
    <t>Yudy</t>
  </si>
  <si>
    <t>yudydorado1980@gmail.com</t>
  </si>
  <si>
    <t>Rojas</t>
  </si>
  <si>
    <t>Cruz</t>
  </si>
  <si>
    <t>Nilsa</t>
  </si>
  <si>
    <t>Albany</t>
  </si>
  <si>
    <t>nilbani55@gmail.com</t>
  </si>
  <si>
    <t>Mejia</t>
  </si>
  <si>
    <t>Cordoba</t>
  </si>
  <si>
    <t>Thania</t>
  </si>
  <si>
    <t>Jharledy</t>
  </si>
  <si>
    <t xml:space="preserve">taniamejiacordoba31@gmail.com </t>
  </si>
  <si>
    <t>Herrera</t>
  </si>
  <si>
    <t>Cristian</t>
  </si>
  <si>
    <t>benavidescristian15@gmail.com</t>
  </si>
  <si>
    <t>Reina</t>
  </si>
  <si>
    <t>Cxmr@hotmail.com</t>
  </si>
  <si>
    <t>Pachajoa</t>
  </si>
  <si>
    <t>Juliana</t>
  </si>
  <si>
    <t>Viviana</t>
  </si>
  <si>
    <t>Julvipa@gmail.com</t>
  </si>
  <si>
    <t>Salcedo</t>
  </si>
  <si>
    <t>Jordy</t>
  </si>
  <si>
    <t xml:space="preserve"> Físico Matemático meteorólogo y Entrenador</t>
  </si>
  <si>
    <t xml:space="preserve"> jordyabyyina@gmail.com </t>
  </si>
  <si>
    <t>Naced</t>
  </si>
  <si>
    <t>Jorge</t>
  </si>
  <si>
    <t>Olivio</t>
  </si>
  <si>
    <t>ODONTOLOGO</t>
  </si>
  <si>
    <t xml:space="preserve">jorgevallejos87@gmail.com </t>
  </si>
  <si>
    <t>Nandar</t>
  </si>
  <si>
    <t>Flor</t>
  </si>
  <si>
    <t>Alcira</t>
  </si>
  <si>
    <t>https://centrodecapacitaciondelsur.com/salus-mental-</t>
  </si>
  <si>
    <t>Pisso</t>
  </si>
  <si>
    <t>Ramos</t>
  </si>
  <si>
    <t>Octubre</t>
  </si>
  <si>
    <t>m_ale8611@hotmail.com</t>
  </si>
  <si>
    <t>Chitan</t>
  </si>
  <si>
    <t>Tepud</t>
  </si>
  <si>
    <t>Elizabeth</t>
  </si>
  <si>
    <t>elizabeth.tepud@gmail.com</t>
  </si>
  <si>
    <t>Almanza</t>
  </si>
  <si>
    <t>Molina</t>
  </si>
  <si>
    <t>veronicaalmanzamolina@gmail.com</t>
  </si>
  <si>
    <t>Medicis</t>
  </si>
  <si>
    <t>Risueño</t>
  </si>
  <si>
    <t>Jimmy</t>
  </si>
  <si>
    <t>Oswaldo</t>
  </si>
  <si>
    <t>jimmy.medicis@gmail.com</t>
  </si>
  <si>
    <t>REGENTE DE FARMACIA</t>
  </si>
  <si>
    <t>Valencia</t>
  </si>
  <si>
    <t>Bairon</t>
  </si>
  <si>
    <t>Alberto</t>
  </si>
  <si>
    <t>Salazar</t>
  </si>
  <si>
    <t>Ruales</t>
  </si>
  <si>
    <t>Nohora</t>
  </si>
  <si>
    <t>caroruales2018@gmail.com</t>
  </si>
  <si>
    <t>Andrade</t>
  </si>
  <si>
    <t>Guerra</t>
  </si>
  <si>
    <t>Narciza</t>
  </si>
  <si>
    <t>angelaandrade.89@gmail.com</t>
  </si>
  <si>
    <t>Danilo</t>
  </si>
  <si>
    <t>Yecid</t>
  </si>
  <si>
    <t xml:space="preserve">dayeroo28@gmail.com </t>
  </si>
  <si>
    <t>Ayala</t>
  </si>
  <si>
    <t>Diana</t>
  </si>
  <si>
    <t>Balvina</t>
  </si>
  <si>
    <t>dianitaa34@gmail.com</t>
  </si>
  <si>
    <t>Cuaspud</t>
  </si>
  <si>
    <t>alejitadiaz951@hotmail.com</t>
  </si>
  <si>
    <t>Bastidas</t>
  </si>
  <si>
    <t>Santacruz</t>
  </si>
  <si>
    <t>Tania</t>
  </si>
  <si>
    <t>taniacarolina2014@outlook.es</t>
  </si>
  <si>
    <t>WHATSAPP</t>
  </si>
  <si>
    <t>Lizbeth</t>
  </si>
  <si>
    <t>Nayibe</t>
  </si>
  <si>
    <t>PSICOLOG@</t>
  </si>
  <si>
    <t xml:space="preserve">nayiibe.16@gmail.com </t>
  </si>
  <si>
    <t>Alban</t>
  </si>
  <si>
    <t>Araujo</t>
  </si>
  <si>
    <t>Juan</t>
  </si>
  <si>
    <t>Carlos</t>
  </si>
  <si>
    <t>albanjc@hotmail.es</t>
  </si>
  <si>
    <t>Fierro</t>
  </si>
  <si>
    <t>Patiño</t>
  </si>
  <si>
    <t>Mercy</t>
  </si>
  <si>
    <t>Amanda</t>
  </si>
  <si>
    <t xml:space="preserve">merfi10@gmail.co </t>
  </si>
  <si>
    <t>Vallejo</t>
  </si>
  <si>
    <t>Leidy</t>
  </si>
  <si>
    <t>benavidesleidy129@gmail.com</t>
  </si>
  <si>
    <t>Lizeth</t>
  </si>
  <si>
    <t xml:space="preserve">diafra.77@hotmail.com </t>
  </si>
  <si>
    <t>Castillo</t>
  </si>
  <si>
    <t>Lombana</t>
  </si>
  <si>
    <t>Gema</t>
  </si>
  <si>
    <t>Johanna</t>
  </si>
  <si>
    <t xml:space="preserve"> johicastillo2209@gmail.com</t>
  </si>
  <si>
    <t>Sandra</t>
  </si>
  <si>
    <t>Milena</t>
  </si>
  <si>
    <t xml:space="preserve">myleena30@outlook.com </t>
  </si>
  <si>
    <t>12/3/2025-18/3/2025</t>
  </si>
  <si>
    <t>Argoty</t>
  </si>
  <si>
    <t>Escobar</t>
  </si>
  <si>
    <t>Nidia</t>
  </si>
  <si>
    <t xml:space="preserve">argotynidia@gmail.com </t>
  </si>
  <si>
    <t>Hoyos</t>
  </si>
  <si>
    <t>Gloria</t>
  </si>
  <si>
    <t>milenazambranohoyos@gmail.com</t>
  </si>
  <si>
    <t>Cielo</t>
  </si>
  <si>
    <t>cielocielo341@gmail.com</t>
  </si>
  <si>
    <t>Yeniffer</t>
  </si>
  <si>
    <t>Stefani</t>
  </si>
  <si>
    <t xml:space="preserve">sthefanirosero1705@gmail.com </t>
  </si>
  <si>
    <t>Angie</t>
  </si>
  <si>
    <t>Katherine</t>
  </si>
  <si>
    <t>soofi3006@gmail.com</t>
  </si>
  <si>
    <t>13/03/2025-</t>
  </si>
  <si>
    <t>Aux</t>
  </si>
  <si>
    <t>Sebastian</t>
  </si>
  <si>
    <t>Rosales</t>
  </si>
  <si>
    <t>Cuasapud</t>
  </si>
  <si>
    <t>Lina</t>
  </si>
  <si>
    <t>Linitamarilin@gmail.com</t>
  </si>
  <si>
    <t>juanseauxbenavides@gmail.com</t>
  </si>
  <si>
    <t xml:space="preserve">aydaruiz2205@gmail.com </t>
  </si>
  <si>
    <t>Yesica</t>
  </si>
  <si>
    <t>patinojessica458@gmail.com</t>
  </si>
  <si>
    <t>roseropatricia09@gmail.com</t>
  </si>
  <si>
    <t>Elisabeth</t>
  </si>
  <si>
    <t>Yamile</t>
  </si>
  <si>
    <t>25/5/</t>
  </si>
  <si>
    <t xml:space="preserve">elizabethhpantoja@gmail.com </t>
  </si>
  <si>
    <t>Arnulfo</t>
  </si>
  <si>
    <t>Albeiro</t>
  </si>
  <si>
    <t xml:space="preserve">albeiromora11@gmail.com </t>
  </si>
  <si>
    <t>Jessica</t>
  </si>
  <si>
    <t>jessicaargoti@hotmail.com</t>
  </si>
  <si>
    <t>Carolinaespiniza0406@hotmail.com</t>
  </si>
  <si>
    <t>Espinoza</t>
  </si>
  <si>
    <t>Mera</t>
  </si>
  <si>
    <t>Astrid</t>
  </si>
  <si>
    <t>Yaneth</t>
  </si>
  <si>
    <t>cajanas@hotmail.es</t>
  </si>
  <si>
    <t>Ruiz</t>
  </si>
  <si>
    <t>Ibarra</t>
  </si>
  <si>
    <t>Ayda</t>
  </si>
  <si>
    <t>Yurani</t>
  </si>
  <si>
    <t>Chavez</t>
  </si>
  <si>
    <t>Fabiana</t>
  </si>
  <si>
    <t xml:space="preserve">Fabianachavez1599@gmail.com </t>
  </si>
  <si>
    <t>Quistanchala</t>
  </si>
  <si>
    <t>Inagan</t>
  </si>
  <si>
    <t>Alexandra</t>
  </si>
  <si>
    <t xml:space="preserve">lizbethquistanchala@gmail.com </t>
  </si>
  <si>
    <t>Hidalgo</t>
  </si>
  <si>
    <t>Marly</t>
  </si>
  <si>
    <t>Isabeth</t>
  </si>
  <si>
    <t>djlinares093@gmail.com</t>
  </si>
  <si>
    <t>Prado</t>
  </si>
  <si>
    <t>Daniel</t>
  </si>
  <si>
    <t>Alfonso</t>
  </si>
  <si>
    <t>danielpantojap@gmail.com</t>
  </si>
  <si>
    <t>25/3/2025-26/3/2025</t>
  </si>
  <si>
    <t>PENDIENTE</t>
  </si>
  <si>
    <t>PROINSALUD</t>
  </si>
  <si>
    <t>REDES SOCIALES</t>
  </si>
  <si>
    <t>Quenan</t>
  </si>
  <si>
    <t xml:space="preserve">jcbenavidesq@hotmail.com </t>
  </si>
  <si>
    <t>Meza</t>
  </si>
  <si>
    <t>Tovar</t>
  </si>
  <si>
    <t>Marcela</t>
  </si>
  <si>
    <t xml:space="preserve">yennymeza24@gmail.com </t>
  </si>
  <si>
    <t>Salas</t>
  </si>
  <si>
    <t>Martin</t>
  </si>
  <si>
    <t>Eduardo</t>
  </si>
  <si>
    <t>salas5840@gmail.com</t>
  </si>
  <si>
    <t>Portilla</t>
  </si>
  <si>
    <t>caritosalo2905@gmail.com</t>
  </si>
  <si>
    <t>Villota</t>
  </si>
  <si>
    <t>Genoy</t>
  </si>
  <si>
    <t>Luceli</t>
  </si>
  <si>
    <t>Cecilia</t>
  </si>
  <si>
    <t>SERVICIOS GENERALES</t>
  </si>
  <si>
    <t>lucelyvillota6@gmail.com</t>
  </si>
  <si>
    <t>MANIPULACION</t>
  </si>
  <si>
    <t>https://centrodecapacitaciondelsur.com/manipulacion-de-alimentos-</t>
  </si>
  <si>
    <t>yamileandrade383@gmail.com</t>
  </si>
  <si>
    <t>Teran</t>
  </si>
  <si>
    <t>Lucero</t>
  </si>
  <si>
    <t>Rosember</t>
  </si>
  <si>
    <t>Andres</t>
  </si>
  <si>
    <t>terandres370@gmail.com</t>
  </si>
  <si>
    <t>Urbina</t>
  </si>
  <si>
    <t>Emilin</t>
  </si>
  <si>
    <t>Estefany</t>
  </si>
  <si>
    <t>TANGUA</t>
  </si>
  <si>
    <t xml:space="preserve">estefaurbina9@gmail.com </t>
  </si>
  <si>
    <t>Timana</t>
  </si>
  <si>
    <t>Leydi</t>
  </si>
  <si>
    <t>Nathalia</t>
  </si>
  <si>
    <t>villotanathalia6@gmail.com</t>
  </si>
  <si>
    <t>Trejo</t>
  </si>
  <si>
    <t xml:space="preserve">mariafernandatrejo25@outlook.com </t>
  </si>
  <si>
    <t>Carlosama</t>
  </si>
  <si>
    <t>Lisbeth</t>
  </si>
  <si>
    <t xml:space="preserve">lisbethadrianaurbinac@gmail.com </t>
  </si>
  <si>
    <t>Morillo</t>
  </si>
  <si>
    <t>Johana</t>
  </si>
  <si>
    <t>johannaguerrero053@gmail.com</t>
  </si>
  <si>
    <t>Palacios</t>
  </si>
  <si>
    <t>Damaris</t>
  </si>
  <si>
    <t>damarisjohanapalaciosrosero@gmail.com</t>
  </si>
  <si>
    <t>Madroñero</t>
  </si>
  <si>
    <t xml:space="preserve">guerreroleidyy@gmail.com </t>
  </si>
  <si>
    <t>Caez</t>
  </si>
  <si>
    <t>Maigual</t>
  </si>
  <si>
    <t>July</t>
  </si>
  <si>
    <t>Paulina</t>
  </si>
  <si>
    <t>July20caez151@gmail.com</t>
  </si>
  <si>
    <t>Canchala</t>
  </si>
  <si>
    <t>Bonilla</t>
  </si>
  <si>
    <t>Cindy</t>
  </si>
  <si>
    <t>Natalia</t>
  </si>
  <si>
    <t xml:space="preserve">Natis8.8h@gmail.com </t>
  </si>
  <si>
    <t>Cabezas</t>
  </si>
  <si>
    <t>INSTRUMENTADOR</t>
  </si>
  <si>
    <t xml:space="preserve">Juanitamaria22@hotmail.com </t>
  </si>
  <si>
    <t>Figueroa</t>
  </si>
  <si>
    <t>Benavidez</t>
  </si>
  <si>
    <t>Yesenia</t>
  </si>
  <si>
    <t>yeseniafigueroa9009@gmail.com</t>
  </si>
  <si>
    <t>25/3/2025-29/3/2025</t>
  </si>
  <si>
    <t>22/3/2025-29/3/2025</t>
  </si>
  <si>
    <t>Zamora</t>
  </si>
  <si>
    <t>Karoll</t>
  </si>
  <si>
    <t>Juliet</t>
  </si>
  <si>
    <t>CHAMORRO</t>
  </si>
  <si>
    <t>ESTACIO</t>
  </si>
  <si>
    <t>MAYRA</t>
  </si>
  <si>
    <t>ALEJANDRA</t>
  </si>
  <si>
    <t>PAZMIÑO</t>
  </si>
  <si>
    <t>GAVIRIA</t>
  </si>
  <si>
    <t>LIZETH</t>
  </si>
  <si>
    <t>XIOMARA</t>
  </si>
  <si>
    <t>BERMUDES</t>
  </si>
  <si>
    <t>EDGAR</t>
  </si>
  <si>
    <t>JESUS</t>
  </si>
  <si>
    <t>REINA</t>
  </si>
  <si>
    <t>CANCHALA</t>
  </si>
  <si>
    <t>ELIANA</t>
  </si>
  <si>
    <t>MARICELA</t>
  </si>
  <si>
    <t>PALERMO IMAGEN</t>
  </si>
  <si>
    <t>ERASO</t>
  </si>
  <si>
    <t>Romero</t>
  </si>
  <si>
    <t>Valentina</t>
  </si>
  <si>
    <t>valentinaromero2497@gmail.com</t>
  </si>
  <si>
    <t>Francy</t>
  </si>
  <si>
    <t xml:space="preserve">carolinatrejo2407@hotmail.com </t>
  </si>
  <si>
    <t>Ignacio</t>
  </si>
  <si>
    <t>Alexander</t>
  </si>
  <si>
    <t>Alexanderbenavidesportillo@outlook.com</t>
  </si>
  <si>
    <t>Cuaical</t>
  </si>
  <si>
    <t>Andrey</t>
  </si>
  <si>
    <t>edwin0374@hotmail.com</t>
  </si>
  <si>
    <t>Lucia</t>
  </si>
  <si>
    <t>adriana.bastidas1982@hotmail.com</t>
  </si>
  <si>
    <t>Morales</t>
  </si>
  <si>
    <t>Yessica</t>
  </si>
  <si>
    <t>alejandra30mora@hotmail.com</t>
  </si>
  <si>
    <t xml:space="preserve">barrerom28@gmail.com </t>
  </si>
  <si>
    <t>Barrero</t>
  </si>
  <si>
    <t>Perez</t>
  </si>
  <si>
    <t>Mauricio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</si>
</sst>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</numFmts>
  <fonts count="14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00B0F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6" fillId="0" borderId="7" xfId="0" applyFont="1" applyBorder="1"/>
    <xf numFmtId="0" fontId="6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left"/>
    </xf>
    <xf numFmtId="0" fontId="6" fillId="0" borderId="7" xfId="0" applyFont="1" applyBorder="1" applyAlignment="1">
      <alignment horizontal="left"/>
    </xf>
    <xf numFmtId="0" fontId="9" fillId="0" borderId="0" xfId="3"/>
    <xf numFmtId="0" fontId="3" fillId="0" borderId="9" xfId="0" applyFont="1" applyBorder="1" applyAlignment="1">
      <alignment horizontal="center"/>
    </xf>
    <xf numFmtId="0" fontId="5" fillId="2" borderId="8" xfId="0" applyFont="1" applyFill="1" applyBorder="1"/>
    <xf numFmtId="0" fontId="3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6" fillId="0" borderId="14" xfId="0" applyFont="1" applyBorder="1" applyAlignment="1">
      <alignment horizontal="center"/>
    </xf>
    <xf numFmtId="0" fontId="6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6" fillId="0" borderId="16" xfId="0" applyFont="1" applyBorder="1"/>
    <xf numFmtId="14" fontId="5" fillId="2" borderId="8" xfId="0" applyNumberFormat="1" applyFont="1" applyFill="1" applyBorder="1"/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/>
    <xf numFmtId="0" fontId="10" fillId="0" borderId="6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10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/>
    <xf numFmtId="0" fontId="5" fillId="0" borderId="16" xfId="0" applyFont="1" applyBorder="1"/>
    <xf numFmtId="0" fontId="11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10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0" fillId="2" borderId="0" xfId="1" applyNumberFormat="1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/>
    </xf>
    <xf numFmtId="44" fontId="10" fillId="2" borderId="0" xfId="1" applyNumberFormat="1" applyFont="1" applyFill="1" applyBorder="1" applyAlignment="1">
      <alignment horizontal="center" vertical="center"/>
    </xf>
    <xf numFmtId="0" fontId="10" fillId="2" borderId="0" xfId="3" applyFont="1" applyFill="1" applyBorder="1" applyAlignment="1">
      <alignment horizontal="center" vertical="center"/>
    </xf>
    <xf numFmtId="0" fontId="10" fillId="2" borderId="0" xfId="3" applyNumberFormat="1" applyFont="1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2" applyNumberFormat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49" fontId="4" fillId="2" borderId="1" xfId="0" applyNumberFormat="1" applyFont="1" applyFill="1" applyBorder="1" applyAlignment="1" applyProtection="1">
      <alignment horizontal="center" vertical="center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2" borderId="1" xfId="2" applyNumberFormat="1" applyFont="1" applyFill="1" applyBorder="1" applyAlignment="1" applyProtection="1">
      <alignment horizontal="center" vertical="center"/>
      <protection locked="0"/>
    </xf>
    <xf numFmtId="44" fontId="4" fillId="2" borderId="1" xfId="1" applyNumberFormat="1" applyFont="1" applyFill="1" applyBorder="1" applyAlignment="1" applyProtection="1">
      <alignment horizontal="center" vertical="center"/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" fontId="10" fillId="2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14" fontId="10" fillId="2" borderId="1" xfId="0" applyNumberFormat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44" fontId="10" fillId="2" borderId="1" xfId="1" applyNumberFormat="1" applyFont="1" applyFill="1" applyBorder="1" applyAlignment="1">
      <alignment horizontal="center" vertical="center"/>
    </xf>
    <xf numFmtId="0" fontId="10" fillId="2" borderId="1" xfId="3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" fontId="13" fillId="2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" fontId="10" fillId="2" borderId="8" xfId="0" applyNumberFormat="1" applyFont="1" applyFill="1" applyBorder="1" applyAlignment="1">
      <alignment horizontal="center" vertical="center"/>
    </xf>
    <xf numFmtId="1" fontId="12" fillId="2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14" fontId="12" fillId="2" borderId="1" xfId="0" applyNumberFormat="1" applyFont="1" applyFill="1" applyBorder="1" applyAlignment="1">
      <alignment horizontal="center" vertical="center"/>
    </xf>
    <xf numFmtId="14" fontId="12" fillId="2" borderId="1" xfId="1" applyNumberFormat="1" applyFont="1" applyFill="1" applyBorder="1" applyAlignment="1">
      <alignment horizontal="center" vertical="center"/>
    </xf>
    <xf numFmtId="44" fontId="12" fillId="2" borderId="1" xfId="1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1" xfId="3" applyNumberFormat="1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1" xfId="3" applyFon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 wrapText="1"/>
    </xf>
    <xf numFmtId="0" fontId="10" fillId="2" borderId="1" xfId="3" applyFont="1" applyFill="1" applyBorder="1" applyAlignment="1">
      <alignment horizontal="center" vertical="center" wrapText="1"/>
    </xf>
    <xf numFmtId="14" fontId="10" fillId="2" borderId="1" xfId="1" applyNumberFormat="1" applyFont="1" applyFill="1" applyBorder="1" applyAlignment="1">
      <alignment horizontal="center" vertical="center" wrapText="1"/>
    </xf>
    <xf numFmtId="44" fontId="10" fillId="2" borderId="1" xfId="1" applyNumberFormat="1" applyFont="1" applyFill="1" applyBorder="1" applyAlignment="1">
      <alignment horizontal="center" vertical="center" wrapText="1"/>
    </xf>
    <xf numFmtId="1" fontId="10" fillId="2" borderId="18" xfId="0" applyNumberFormat="1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14" fontId="10" fillId="2" borderId="17" xfId="0" applyNumberFormat="1" applyFont="1" applyFill="1" applyBorder="1" applyAlignment="1">
      <alignment horizontal="center" vertical="center"/>
    </xf>
    <xf numFmtId="14" fontId="10" fillId="2" borderId="17" xfId="1" applyNumberFormat="1" applyFont="1" applyFill="1" applyBorder="1" applyAlignment="1">
      <alignment horizontal="center" vertical="center"/>
    </xf>
    <xf numFmtId="44" fontId="10" fillId="2" borderId="17" xfId="1" applyNumberFormat="1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9" fillId="2" borderId="1" xfId="3" applyFill="1" applyBorder="1" applyAlignment="1">
      <alignment horizontal="center" vertical="center"/>
    </xf>
    <xf numFmtId="0" fontId="0" fillId="6" borderId="0" xfId="0" applyFill="1"/>
    <xf numFmtId="0" fontId="9" fillId="2" borderId="1" xfId="3" applyNumberFormat="1" applyFill="1" applyBorder="1" applyAlignment="1">
      <alignment horizontal="center" vertical="center"/>
    </xf>
  </cellXfs>
  <cellStyles count="9">
    <cellStyle name="Hipervínculo" xfId="3" builtinId="8"/>
    <cellStyle name="Millares" xfId="1" builtinId="3"/>
    <cellStyle name="Millares [0]" xfId="2" builtinId="6"/>
    <cellStyle name="Millares [0] 2" xfId="5" xr:uid="{00000000-0005-0000-0000-000003000000}"/>
    <cellStyle name="Millares 2" xfId="4" xr:uid="{00000000-0005-0000-0000-000004000000}"/>
    <cellStyle name="Millares 3" xfId="6" xr:uid="{00000000-0005-0000-0000-000005000000}"/>
    <cellStyle name="Millares 4" xfId="7" xr:uid="{00000000-0005-0000-0000-000006000000}"/>
    <cellStyle name="Millares 5" xfId="8" xr:uid="{00000000-0005-0000-0000-000007000000}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98244</xdr:colOff>
      <xdr:row>91</xdr:row>
      <xdr:rowOff>45858</xdr:rowOff>
    </xdr:from>
    <xdr:to>
      <xdr:col>4</xdr:col>
      <xdr:colOff>1559107</xdr:colOff>
      <xdr:row>91</xdr:row>
      <xdr:rowOff>1506721</xdr:rowOff>
    </xdr:to>
    <xdr:grpSp>
      <xdr:nvGrpSpPr>
        <xdr:cNvPr id="1425" name="$E$92" descr="QuickResponse barcode, level L, version 4, mode binary, 33x33 cells" title="https://centrodecapacitaciondelsur.com/manejo-del-duelo-1087408837/">
          <a:extLst>
            <a:ext uri="{FF2B5EF4-FFF2-40B4-BE49-F238E27FC236}">
              <a16:creationId xmlns:a16="http://schemas.microsoft.com/office/drawing/2014/main" id="{00000000-0008-0000-0200-000091050000}"/>
            </a:ext>
          </a:extLst>
        </xdr:cNvPr>
        <xdr:cNvGrpSpPr>
          <a:grpSpLocks noChangeAspect="1"/>
        </xdr:cNvGrpSpPr>
      </xdr:nvGrpSpPr>
      <xdr:grpSpPr>
        <a:xfrm>
          <a:off x="20672244" y="90761958"/>
          <a:ext cx="1460863" cy="1460863"/>
          <a:chOff x="0" y="0"/>
          <a:chExt cx="419100" cy="419100"/>
        </a:xfrm>
      </xdr:grpSpPr>
      <xdr:sp macro="" textlink="">
        <xdr:nvSpPr>
          <xdr:cNvPr id="886" name="$E$92">
            <a:extLst>
              <a:ext uri="{FF2B5EF4-FFF2-40B4-BE49-F238E27FC236}">
                <a16:creationId xmlns:a16="http://schemas.microsoft.com/office/drawing/2014/main" id="{00000000-0008-0000-0200-00007603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7" name="$E$92">
            <a:extLst>
              <a:ext uri="{FF2B5EF4-FFF2-40B4-BE49-F238E27FC236}">
                <a16:creationId xmlns:a16="http://schemas.microsoft.com/office/drawing/2014/main" id="{00000000-0008-0000-0200-00007703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8" name="$E$92">
            <a:extLst>
              <a:ext uri="{FF2B5EF4-FFF2-40B4-BE49-F238E27FC236}">
                <a16:creationId xmlns:a16="http://schemas.microsoft.com/office/drawing/2014/main" id="{00000000-0008-0000-0200-00007803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9" name="$E$92">
            <a:extLst>
              <a:ext uri="{FF2B5EF4-FFF2-40B4-BE49-F238E27FC236}">
                <a16:creationId xmlns:a16="http://schemas.microsoft.com/office/drawing/2014/main" id="{00000000-0008-0000-0200-00007903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0" name="$E$92">
            <a:extLst>
              <a:ext uri="{FF2B5EF4-FFF2-40B4-BE49-F238E27FC236}">
                <a16:creationId xmlns:a16="http://schemas.microsoft.com/office/drawing/2014/main" id="{00000000-0008-0000-0200-00007A03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1" name="$E$92">
            <a:extLst>
              <a:ext uri="{FF2B5EF4-FFF2-40B4-BE49-F238E27FC236}">
                <a16:creationId xmlns:a16="http://schemas.microsoft.com/office/drawing/2014/main" id="{00000000-0008-0000-0200-00007B03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2" name="$E$92">
            <a:extLst>
              <a:ext uri="{FF2B5EF4-FFF2-40B4-BE49-F238E27FC236}">
                <a16:creationId xmlns:a16="http://schemas.microsoft.com/office/drawing/2014/main" id="{00000000-0008-0000-0200-00007C03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3" name="$E$92">
            <a:extLst>
              <a:ext uri="{FF2B5EF4-FFF2-40B4-BE49-F238E27FC236}">
                <a16:creationId xmlns:a16="http://schemas.microsoft.com/office/drawing/2014/main" id="{00000000-0008-0000-0200-00007D03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4" name="$E$92">
            <a:extLst>
              <a:ext uri="{FF2B5EF4-FFF2-40B4-BE49-F238E27FC236}">
                <a16:creationId xmlns:a16="http://schemas.microsoft.com/office/drawing/2014/main" id="{00000000-0008-0000-0200-00007E03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5" name="$E$92">
            <a:extLst>
              <a:ext uri="{FF2B5EF4-FFF2-40B4-BE49-F238E27FC236}">
                <a16:creationId xmlns:a16="http://schemas.microsoft.com/office/drawing/2014/main" id="{00000000-0008-0000-0200-00007F03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6" name="$E$92">
            <a:extLst>
              <a:ext uri="{FF2B5EF4-FFF2-40B4-BE49-F238E27FC236}">
                <a16:creationId xmlns:a16="http://schemas.microsoft.com/office/drawing/2014/main" id="{00000000-0008-0000-0200-0000800300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7" name="$E$92">
            <a:extLst>
              <a:ext uri="{FF2B5EF4-FFF2-40B4-BE49-F238E27FC236}">
                <a16:creationId xmlns:a16="http://schemas.microsoft.com/office/drawing/2014/main" id="{00000000-0008-0000-0200-00008103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8" name="$E$92">
            <a:extLst>
              <a:ext uri="{FF2B5EF4-FFF2-40B4-BE49-F238E27FC236}">
                <a16:creationId xmlns:a16="http://schemas.microsoft.com/office/drawing/2014/main" id="{00000000-0008-0000-0200-00008203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9" name="$E$92">
            <a:extLst>
              <a:ext uri="{FF2B5EF4-FFF2-40B4-BE49-F238E27FC236}">
                <a16:creationId xmlns:a16="http://schemas.microsoft.com/office/drawing/2014/main" id="{00000000-0008-0000-0200-00008303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0" name="$E$92">
            <a:extLst>
              <a:ext uri="{FF2B5EF4-FFF2-40B4-BE49-F238E27FC236}">
                <a16:creationId xmlns:a16="http://schemas.microsoft.com/office/drawing/2014/main" id="{00000000-0008-0000-0200-00008403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1" name="$E$92">
            <a:extLst>
              <a:ext uri="{FF2B5EF4-FFF2-40B4-BE49-F238E27FC236}">
                <a16:creationId xmlns:a16="http://schemas.microsoft.com/office/drawing/2014/main" id="{00000000-0008-0000-0200-00008503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2" name="$E$92">
            <a:extLst>
              <a:ext uri="{FF2B5EF4-FFF2-40B4-BE49-F238E27FC236}">
                <a16:creationId xmlns:a16="http://schemas.microsoft.com/office/drawing/2014/main" id="{00000000-0008-0000-0200-00008603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3" name="$E$92">
            <a:extLst>
              <a:ext uri="{FF2B5EF4-FFF2-40B4-BE49-F238E27FC236}">
                <a16:creationId xmlns:a16="http://schemas.microsoft.com/office/drawing/2014/main" id="{00000000-0008-0000-0200-00008703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4" name="$E$92">
            <a:extLst>
              <a:ext uri="{FF2B5EF4-FFF2-40B4-BE49-F238E27FC236}">
                <a16:creationId xmlns:a16="http://schemas.microsoft.com/office/drawing/2014/main" id="{00000000-0008-0000-0200-00008803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5" name="$E$92">
            <a:extLst>
              <a:ext uri="{FF2B5EF4-FFF2-40B4-BE49-F238E27FC236}">
                <a16:creationId xmlns:a16="http://schemas.microsoft.com/office/drawing/2014/main" id="{00000000-0008-0000-0200-00008903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6" name="$E$92">
            <a:extLst>
              <a:ext uri="{FF2B5EF4-FFF2-40B4-BE49-F238E27FC236}">
                <a16:creationId xmlns:a16="http://schemas.microsoft.com/office/drawing/2014/main" id="{00000000-0008-0000-0200-00008A03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7" name="$E$92">
            <a:extLst>
              <a:ext uri="{FF2B5EF4-FFF2-40B4-BE49-F238E27FC236}">
                <a16:creationId xmlns:a16="http://schemas.microsoft.com/office/drawing/2014/main" id="{00000000-0008-0000-0200-00008B03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8" name="$E$92">
            <a:extLst>
              <a:ext uri="{FF2B5EF4-FFF2-40B4-BE49-F238E27FC236}">
                <a16:creationId xmlns:a16="http://schemas.microsoft.com/office/drawing/2014/main" id="{00000000-0008-0000-0200-00008C03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9" name="$E$92">
            <a:extLst>
              <a:ext uri="{FF2B5EF4-FFF2-40B4-BE49-F238E27FC236}">
                <a16:creationId xmlns:a16="http://schemas.microsoft.com/office/drawing/2014/main" id="{00000000-0008-0000-0200-00008D03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0" name="$E$92">
            <a:extLst>
              <a:ext uri="{FF2B5EF4-FFF2-40B4-BE49-F238E27FC236}">
                <a16:creationId xmlns:a16="http://schemas.microsoft.com/office/drawing/2014/main" id="{00000000-0008-0000-0200-00008E03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1" name="$E$92">
            <a:extLst>
              <a:ext uri="{FF2B5EF4-FFF2-40B4-BE49-F238E27FC236}">
                <a16:creationId xmlns:a16="http://schemas.microsoft.com/office/drawing/2014/main" id="{00000000-0008-0000-0200-00008F03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2" name="$E$92">
            <a:extLst>
              <a:ext uri="{FF2B5EF4-FFF2-40B4-BE49-F238E27FC236}">
                <a16:creationId xmlns:a16="http://schemas.microsoft.com/office/drawing/2014/main" id="{00000000-0008-0000-0200-0000900300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3" name="$E$92">
            <a:extLst>
              <a:ext uri="{FF2B5EF4-FFF2-40B4-BE49-F238E27FC236}">
                <a16:creationId xmlns:a16="http://schemas.microsoft.com/office/drawing/2014/main" id="{00000000-0008-0000-0200-00009103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4" name="$E$92">
            <a:extLst>
              <a:ext uri="{FF2B5EF4-FFF2-40B4-BE49-F238E27FC236}">
                <a16:creationId xmlns:a16="http://schemas.microsoft.com/office/drawing/2014/main" id="{00000000-0008-0000-0200-00009203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5" name="$E$92">
            <a:extLst>
              <a:ext uri="{FF2B5EF4-FFF2-40B4-BE49-F238E27FC236}">
                <a16:creationId xmlns:a16="http://schemas.microsoft.com/office/drawing/2014/main" id="{00000000-0008-0000-0200-00009303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6" name="$E$92">
            <a:extLst>
              <a:ext uri="{FF2B5EF4-FFF2-40B4-BE49-F238E27FC236}">
                <a16:creationId xmlns:a16="http://schemas.microsoft.com/office/drawing/2014/main" id="{00000000-0008-0000-0200-00009403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7" name="$E$92">
            <a:extLst>
              <a:ext uri="{FF2B5EF4-FFF2-40B4-BE49-F238E27FC236}">
                <a16:creationId xmlns:a16="http://schemas.microsoft.com/office/drawing/2014/main" id="{00000000-0008-0000-0200-00009503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8" name="$E$92">
            <a:extLst>
              <a:ext uri="{FF2B5EF4-FFF2-40B4-BE49-F238E27FC236}">
                <a16:creationId xmlns:a16="http://schemas.microsoft.com/office/drawing/2014/main" id="{00000000-0008-0000-0200-00009603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9" name="$E$92">
            <a:extLst>
              <a:ext uri="{FF2B5EF4-FFF2-40B4-BE49-F238E27FC236}">
                <a16:creationId xmlns:a16="http://schemas.microsoft.com/office/drawing/2014/main" id="{00000000-0008-0000-0200-00009703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0" name="$E$92">
            <a:extLst>
              <a:ext uri="{FF2B5EF4-FFF2-40B4-BE49-F238E27FC236}">
                <a16:creationId xmlns:a16="http://schemas.microsoft.com/office/drawing/2014/main" id="{00000000-0008-0000-0200-00009803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1" name="$E$92">
            <a:extLst>
              <a:ext uri="{FF2B5EF4-FFF2-40B4-BE49-F238E27FC236}">
                <a16:creationId xmlns:a16="http://schemas.microsoft.com/office/drawing/2014/main" id="{00000000-0008-0000-0200-00009903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2" name="$E$92">
            <a:extLst>
              <a:ext uri="{FF2B5EF4-FFF2-40B4-BE49-F238E27FC236}">
                <a16:creationId xmlns:a16="http://schemas.microsoft.com/office/drawing/2014/main" id="{00000000-0008-0000-0200-00009A03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3" name="$E$92">
            <a:extLst>
              <a:ext uri="{FF2B5EF4-FFF2-40B4-BE49-F238E27FC236}">
                <a16:creationId xmlns:a16="http://schemas.microsoft.com/office/drawing/2014/main" id="{00000000-0008-0000-0200-00009B03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4" name="$E$92">
            <a:extLst>
              <a:ext uri="{FF2B5EF4-FFF2-40B4-BE49-F238E27FC236}">
                <a16:creationId xmlns:a16="http://schemas.microsoft.com/office/drawing/2014/main" id="{00000000-0008-0000-0200-00009C03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5" name="$E$92">
            <a:extLst>
              <a:ext uri="{FF2B5EF4-FFF2-40B4-BE49-F238E27FC236}">
                <a16:creationId xmlns:a16="http://schemas.microsoft.com/office/drawing/2014/main" id="{00000000-0008-0000-0200-00009D03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6" name="$E$92">
            <a:extLst>
              <a:ext uri="{FF2B5EF4-FFF2-40B4-BE49-F238E27FC236}">
                <a16:creationId xmlns:a16="http://schemas.microsoft.com/office/drawing/2014/main" id="{00000000-0008-0000-0200-00009E03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7" name="$E$92">
            <a:extLst>
              <a:ext uri="{FF2B5EF4-FFF2-40B4-BE49-F238E27FC236}">
                <a16:creationId xmlns:a16="http://schemas.microsoft.com/office/drawing/2014/main" id="{00000000-0008-0000-0200-00009F03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8" name="$E$92">
            <a:extLst>
              <a:ext uri="{FF2B5EF4-FFF2-40B4-BE49-F238E27FC236}">
                <a16:creationId xmlns:a16="http://schemas.microsoft.com/office/drawing/2014/main" id="{00000000-0008-0000-0200-0000A003000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9" name="$E$92">
            <a:extLst>
              <a:ext uri="{FF2B5EF4-FFF2-40B4-BE49-F238E27FC236}">
                <a16:creationId xmlns:a16="http://schemas.microsoft.com/office/drawing/2014/main" id="{00000000-0008-0000-0200-0000A103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0" name="$E$92">
            <a:extLst>
              <a:ext uri="{FF2B5EF4-FFF2-40B4-BE49-F238E27FC236}">
                <a16:creationId xmlns:a16="http://schemas.microsoft.com/office/drawing/2014/main" id="{00000000-0008-0000-0200-0000A203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1" name="$E$92">
            <a:extLst>
              <a:ext uri="{FF2B5EF4-FFF2-40B4-BE49-F238E27FC236}">
                <a16:creationId xmlns:a16="http://schemas.microsoft.com/office/drawing/2014/main" id="{00000000-0008-0000-0200-0000A303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2" name="$E$92">
            <a:extLst>
              <a:ext uri="{FF2B5EF4-FFF2-40B4-BE49-F238E27FC236}">
                <a16:creationId xmlns:a16="http://schemas.microsoft.com/office/drawing/2014/main" id="{00000000-0008-0000-0200-0000A403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3" name="$E$92">
            <a:extLst>
              <a:ext uri="{FF2B5EF4-FFF2-40B4-BE49-F238E27FC236}">
                <a16:creationId xmlns:a16="http://schemas.microsoft.com/office/drawing/2014/main" id="{00000000-0008-0000-0200-0000A503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4" name="$E$92">
            <a:extLst>
              <a:ext uri="{FF2B5EF4-FFF2-40B4-BE49-F238E27FC236}">
                <a16:creationId xmlns:a16="http://schemas.microsoft.com/office/drawing/2014/main" id="{00000000-0008-0000-0200-0000A603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5" name="$E$92">
            <a:extLst>
              <a:ext uri="{FF2B5EF4-FFF2-40B4-BE49-F238E27FC236}">
                <a16:creationId xmlns:a16="http://schemas.microsoft.com/office/drawing/2014/main" id="{00000000-0008-0000-0200-0000A703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6" name="$E$92">
            <a:extLst>
              <a:ext uri="{FF2B5EF4-FFF2-40B4-BE49-F238E27FC236}">
                <a16:creationId xmlns:a16="http://schemas.microsoft.com/office/drawing/2014/main" id="{00000000-0008-0000-0200-0000A803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7" name="$E$92">
            <a:extLst>
              <a:ext uri="{FF2B5EF4-FFF2-40B4-BE49-F238E27FC236}">
                <a16:creationId xmlns:a16="http://schemas.microsoft.com/office/drawing/2014/main" id="{00000000-0008-0000-0200-0000A903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8" name="$E$92">
            <a:extLst>
              <a:ext uri="{FF2B5EF4-FFF2-40B4-BE49-F238E27FC236}">
                <a16:creationId xmlns:a16="http://schemas.microsoft.com/office/drawing/2014/main" id="{00000000-0008-0000-0200-0000AA03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9" name="$E$92">
            <a:extLst>
              <a:ext uri="{FF2B5EF4-FFF2-40B4-BE49-F238E27FC236}">
                <a16:creationId xmlns:a16="http://schemas.microsoft.com/office/drawing/2014/main" id="{00000000-0008-0000-0200-0000AB03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0" name="$E$92">
            <a:extLst>
              <a:ext uri="{FF2B5EF4-FFF2-40B4-BE49-F238E27FC236}">
                <a16:creationId xmlns:a16="http://schemas.microsoft.com/office/drawing/2014/main" id="{00000000-0008-0000-0200-0000AC03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1" name="$E$92">
            <a:extLst>
              <a:ext uri="{FF2B5EF4-FFF2-40B4-BE49-F238E27FC236}">
                <a16:creationId xmlns:a16="http://schemas.microsoft.com/office/drawing/2014/main" id="{00000000-0008-0000-0200-0000AD03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2" name="$E$92">
            <a:extLst>
              <a:ext uri="{FF2B5EF4-FFF2-40B4-BE49-F238E27FC236}">
                <a16:creationId xmlns:a16="http://schemas.microsoft.com/office/drawing/2014/main" id="{00000000-0008-0000-0200-0000AE03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3" name="$E$92">
            <a:extLst>
              <a:ext uri="{FF2B5EF4-FFF2-40B4-BE49-F238E27FC236}">
                <a16:creationId xmlns:a16="http://schemas.microsoft.com/office/drawing/2014/main" id="{00000000-0008-0000-0200-0000AF03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4" name="$E$92">
            <a:extLst>
              <a:ext uri="{FF2B5EF4-FFF2-40B4-BE49-F238E27FC236}">
                <a16:creationId xmlns:a16="http://schemas.microsoft.com/office/drawing/2014/main" id="{00000000-0008-0000-0200-0000B003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5" name="$E$92">
            <a:extLst>
              <a:ext uri="{FF2B5EF4-FFF2-40B4-BE49-F238E27FC236}">
                <a16:creationId xmlns:a16="http://schemas.microsoft.com/office/drawing/2014/main" id="{00000000-0008-0000-0200-0000B103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6" name="$E$92">
            <a:extLst>
              <a:ext uri="{FF2B5EF4-FFF2-40B4-BE49-F238E27FC236}">
                <a16:creationId xmlns:a16="http://schemas.microsoft.com/office/drawing/2014/main" id="{00000000-0008-0000-0200-0000B203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7" name="$E$92">
            <a:extLst>
              <a:ext uri="{FF2B5EF4-FFF2-40B4-BE49-F238E27FC236}">
                <a16:creationId xmlns:a16="http://schemas.microsoft.com/office/drawing/2014/main" id="{00000000-0008-0000-0200-0000B303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8" name="$E$92">
            <a:extLst>
              <a:ext uri="{FF2B5EF4-FFF2-40B4-BE49-F238E27FC236}">
                <a16:creationId xmlns:a16="http://schemas.microsoft.com/office/drawing/2014/main" id="{00000000-0008-0000-0200-0000B403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9" name="$E$92">
            <a:extLst>
              <a:ext uri="{FF2B5EF4-FFF2-40B4-BE49-F238E27FC236}">
                <a16:creationId xmlns:a16="http://schemas.microsoft.com/office/drawing/2014/main" id="{00000000-0008-0000-0200-0000B503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0" name="$E$92">
            <a:extLst>
              <a:ext uri="{FF2B5EF4-FFF2-40B4-BE49-F238E27FC236}">
                <a16:creationId xmlns:a16="http://schemas.microsoft.com/office/drawing/2014/main" id="{00000000-0008-0000-0200-0000B603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1" name="$E$92">
            <a:extLst>
              <a:ext uri="{FF2B5EF4-FFF2-40B4-BE49-F238E27FC236}">
                <a16:creationId xmlns:a16="http://schemas.microsoft.com/office/drawing/2014/main" id="{00000000-0008-0000-0200-0000B703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2" name="$E$92">
            <a:extLst>
              <a:ext uri="{FF2B5EF4-FFF2-40B4-BE49-F238E27FC236}">
                <a16:creationId xmlns:a16="http://schemas.microsoft.com/office/drawing/2014/main" id="{00000000-0008-0000-0200-0000B803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3" name="$E$92">
            <a:extLst>
              <a:ext uri="{FF2B5EF4-FFF2-40B4-BE49-F238E27FC236}">
                <a16:creationId xmlns:a16="http://schemas.microsoft.com/office/drawing/2014/main" id="{00000000-0008-0000-0200-0000B903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4" name="$E$92">
            <a:extLst>
              <a:ext uri="{FF2B5EF4-FFF2-40B4-BE49-F238E27FC236}">
                <a16:creationId xmlns:a16="http://schemas.microsoft.com/office/drawing/2014/main" id="{00000000-0008-0000-0200-0000BA03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5" name="$E$92">
            <a:extLst>
              <a:ext uri="{FF2B5EF4-FFF2-40B4-BE49-F238E27FC236}">
                <a16:creationId xmlns:a16="http://schemas.microsoft.com/office/drawing/2014/main" id="{00000000-0008-0000-0200-0000BB03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6" name="$E$92">
            <a:extLst>
              <a:ext uri="{FF2B5EF4-FFF2-40B4-BE49-F238E27FC236}">
                <a16:creationId xmlns:a16="http://schemas.microsoft.com/office/drawing/2014/main" id="{00000000-0008-0000-0200-0000BC03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7" name="$E$92">
            <a:extLst>
              <a:ext uri="{FF2B5EF4-FFF2-40B4-BE49-F238E27FC236}">
                <a16:creationId xmlns:a16="http://schemas.microsoft.com/office/drawing/2014/main" id="{00000000-0008-0000-0200-0000BD03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8" name="$E$92">
            <a:extLst>
              <a:ext uri="{FF2B5EF4-FFF2-40B4-BE49-F238E27FC236}">
                <a16:creationId xmlns:a16="http://schemas.microsoft.com/office/drawing/2014/main" id="{00000000-0008-0000-0200-0000BE03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9" name="$E$92">
            <a:extLst>
              <a:ext uri="{FF2B5EF4-FFF2-40B4-BE49-F238E27FC236}">
                <a16:creationId xmlns:a16="http://schemas.microsoft.com/office/drawing/2014/main" id="{00000000-0008-0000-0200-0000BF03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0" name="$E$92">
            <a:extLst>
              <a:ext uri="{FF2B5EF4-FFF2-40B4-BE49-F238E27FC236}">
                <a16:creationId xmlns:a16="http://schemas.microsoft.com/office/drawing/2014/main" id="{00000000-0008-0000-0200-0000C003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1" name="$E$92">
            <a:extLst>
              <a:ext uri="{FF2B5EF4-FFF2-40B4-BE49-F238E27FC236}">
                <a16:creationId xmlns:a16="http://schemas.microsoft.com/office/drawing/2014/main" id="{00000000-0008-0000-0200-0000C103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2" name="$E$92">
            <a:extLst>
              <a:ext uri="{FF2B5EF4-FFF2-40B4-BE49-F238E27FC236}">
                <a16:creationId xmlns:a16="http://schemas.microsoft.com/office/drawing/2014/main" id="{00000000-0008-0000-0200-0000C203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3" name="$E$92">
            <a:extLst>
              <a:ext uri="{FF2B5EF4-FFF2-40B4-BE49-F238E27FC236}">
                <a16:creationId xmlns:a16="http://schemas.microsoft.com/office/drawing/2014/main" id="{00000000-0008-0000-0200-0000C303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4" name="$E$92">
            <a:extLst>
              <a:ext uri="{FF2B5EF4-FFF2-40B4-BE49-F238E27FC236}">
                <a16:creationId xmlns:a16="http://schemas.microsoft.com/office/drawing/2014/main" id="{00000000-0008-0000-0200-0000C403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5" name="$E$92">
            <a:extLst>
              <a:ext uri="{FF2B5EF4-FFF2-40B4-BE49-F238E27FC236}">
                <a16:creationId xmlns:a16="http://schemas.microsoft.com/office/drawing/2014/main" id="{00000000-0008-0000-0200-0000C503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6" name="$E$92">
            <a:extLst>
              <a:ext uri="{FF2B5EF4-FFF2-40B4-BE49-F238E27FC236}">
                <a16:creationId xmlns:a16="http://schemas.microsoft.com/office/drawing/2014/main" id="{00000000-0008-0000-0200-0000C603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7" name="$E$92">
            <a:extLst>
              <a:ext uri="{FF2B5EF4-FFF2-40B4-BE49-F238E27FC236}">
                <a16:creationId xmlns:a16="http://schemas.microsoft.com/office/drawing/2014/main" id="{00000000-0008-0000-0200-0000C703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8" name="$E$92">
            <a:extLst>
              <a:ext uri="{FF2B5EF4-FFF2-40B4-BE49-F238E27FC236}">
                <a16:creationId xmlns:a16="http://schemas.microsoft.com/office/drawing/2014/main" id="{00000000-0008-0000-0200-0000C803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9" name="$E$92">
            <a:extLst>
              <a:ext uri="{FF2B5EF4-FFF2-40B4-BE49-F238E27FC236}">
                <a16:creationId xmlns:a16="http://schemas.microsoft.com/office/drawing/2014/main" id="{00000000-0008-0000-0200-0000C903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0" name="$E$92">
            <a:extLst>
              <a:ext uri="{FF2B5EF4-FFF2-40B4-BE49-F238E27FC236}">
                <a16:creationId xmlns:a16="http://schemas.microsoft.com/office/drawing/2014/main" id="{00000000-0008-0000-0200-0000CA03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1" name="$E$92">
            <a:extLst>
              <a:ext uri="{FF2B5EF4-FFF2-40B4-BE49-F238E27FC236}">
                <a16:creationId xmlns:a16="http://schemas.microsoft.com/office/drawing/2014/main" id="{00000000-0008-0000-0200-0000CB03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2" name="$E$92">
            <a:extLst>
              <a:ext uri="{FF2B5EF4-FFF2-40B4-BE49-F238E27FC236}">
                <a16:creationId xmlns:a16="http://schemas.microsoft.com/office/drawing/2014/main" id="{00000000-0008-0000-0200-0000CC03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3" name="$E$92">
            <a:extLst>
              <a:ext uri="{FF2B5EF4-FFF2-40B4-BE49-F238E27FC236}">
                <a16:creationId xmlns:a16="http://schemas.microsoft.com/office/drawing/2014/main" id="{00000000-0008-0000-0200-0000CD03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4" name="$E$92">
            <a:extLst>
              <a:ext uri="{FF2B5EF4-FFF2-40B4-BE49-F238E27FC236}">
                <a16:creationId xmlns:a16="http://schemas.microsoft.com/office/drawing/2014/main" id="{00000000-0008-0000-0200-0000CE03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5" name="$E$92">
            <a:extLst>
              <a:ext uri="{FF2B5EF4-FFF2-40B4-BE49-F238E27FC236}">
                <a16:creationId xmlns:a16="http://schemas.microsoft.com/office/drawing/2014/main" id="{00000000-0008-0000-0200-0000CF03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6" name="$E$92">
            <a:extLst>
              <a:ext uri="{FF2B5EF4-FFF2-40B4-BE49-F238E27FC236}">
                <a16:creationId xmlns:a16="http://schemas.microsoft.com/office/drawing/2014/main" id="{00000000-0008-0000-0200-0000D003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7" name="$E$92">
            <a:extLst>
              <a:ext uri="{FF2B5EF4-FFF2-40B4-BE49-F238E27FC236}">
                <a16:creationId xmlns:a16="http://schemas.microsoft.com/office/drawing/2014/main" id="{00000000-0008-0000-0200-0000D103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8" name="$E$92">
            <a:extLst>
              <a:ext uri="{FF2B5EF4-FFF2-40B4-BE49-F238E27FC236}">
                <a16:creationId xmlns:a16="http://schemas.microsoft.com/office/drawing/2014/main" id="{00000000-0008-0000-0200-0000D203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9" name="$E$92">
            <a:extLst>
              <a:ext uri="{FF2B5EF4-FFF2-40B4-BE49-F238E27FC236}">
                <a16:creationId xmlns:a16="http://schemas.microsoft.com/office/drawing/2014/main" id="{00000000-0008-0000-0200-0000D303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0" name="$E$92">
            <a:extLst>
              <a:ext uri="{FF2B5EF4-FFF2-40B4-BE49-F238E27FC236}">
                <a16:creationId xmlns:a16="http://schemas.microsoft.com/office/drawing/2014/main" id="{00000000-0008-0000-0200-0000D403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1" name="$E$92">
            <a:extLst>
              <a:ext uri="{FF2B5EF4-FFF2-40B4-BE49-F238E27FC236}">
                <a16:creationId xmlns:a16="http://schemas.microsoft.com/office/drawing/2014/main" id="{00000000-0008-0000-0200-0000D503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2" name="$E$92">
            <a:extLst>
              <a:ext uri="{FF2B5EF4-FFF2-40B4-BE49-F238E27FC236}">
                <a16:creationId xmlns:a16="http://schemas.microsoft.com/office/drawing/2014/main" id="{00000000-0008-0000-0200-0000D60300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3" name="$E$92">
            <a:extLst>
              <a:ext uri="{FF2B5EF4-FFF2-40B4-BE49-F238E27FC236}">
                <a16:creationId xmlns:a16="http://schemas.microsoft.com/office/drawing/2014/main" id="{00000000-0008-0000-0200-0000D703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4" name="$E$92">
            <a:extLst>
              <a:ext uri="{FF2B5EF4-FFF2-40B4-BE49-F238E27FC236}">
                <a16:creationId xmlns:a16="http://schemas.microsoft.com/office/drawing/2014/main" id="{00000000-0008-0000-0200-0000D80300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5" name="$E$92">
            <a:extLst>
              <a:ext uri="{FF2B5EF4-FFF2-40B4-BE49-F238E27FC236}">
                <a16:creationId xmlns:a16="http://schemas.microsoft.com/office/drawing/2014/main" id="{00000000-0008-0000-0200-0000D903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6" name="$E$92">
            <a:extLst>
              <a:ext uri="{FF2B5EF4-FFF2-40B4-BE49-F238E27FC236}">
                <a16:creationId xmlns:a16="http://schemas.microsoft.com/office/drawing/2014/main" id="{00000000-0008-0000-0200-0000DA03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7" name="$E$92">
            <a:extLst>
              <a:ext uri="{FF2B5EF4-FFF2-40B4-BE49-F238E27FC236}">
                <a16:creationId xmlns:a16="http://schemas.microsoft.com/office/drawing/2014/main" id="{00000000-0008-0000-0200-0000DB03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8" name="$E$92">
            <a:extLst>
              <a:ext uri="{FF2B5EF4-FFF2-40B4-BE49-F238E27FC236}">
                <a16:creationId xmlns:a16="http://schemas.microsoft.com/office/drawing/2014/main" id="{00000000-0008-0000-0200-0000DC03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9" name="$E$92">
            <a:extLst>
              <a:ext uri="{FF2B5EF4-FFF2-40B4-BE49-F238E27FC236}">
                <a16:creationId xmlns:a16="http://schemas.microsoft.com/office/drawing/2014/main" id="{00000000-0008-0000-0200-0000DD03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0" name="$E$92">
            <a:extLst>
              <a:ext uri="{FF2B5EF4-FFF2-40B4-BE49-F238E27FC236}">
                <a16:creationId xmlns:a16="http://schemas.microsoft.com/office/drawing/2014/main" id="{00000000-0008-0000-0200-0000DE03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1" name="$E$92">
            <a:extLst>
              <a:ext uri="{FF2B5EF4-FFF2-40B4-BE49-F238E27FC236}">
                <a16:creationId xmlns:a16="http://schemas.microsoft.com/office/drawing/2014/main" id="{00000000-0008-0000-0200-0000DF03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2" name="$E$92">
            <a:extLst>
              <a:ext uri="{FF2B5EF4-FFF2-40B4-BE49-F238E27FC236}">
                <a16:creationId xmlns:a16="http://schemas.microsoft.com/office/drawing/2014/main" id="{00000000-0008-0000-0200-0000E003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3" name="$E$92">
            <a:extLst>
              <a:ext uri="{FF2B5EF4-FFF2-40B4-BE49-F238E27FC236}">
                <a16:creationId xmlns:a16="http://schemas.microsoft.com/office/drawing/2014/main" id="{00000000-0008-0000-0200-0000E103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4" name="$E$92">
            <a:extLst>
              <a:ext uri="{FF2B5EF4-FFF2-40B4-BE49-F238E27FC236}">
                <a16:creationId xmlns:a16="http://schemas.microsoft.com/office/drawing/2014/main" id="{00000000-0008-0000-0200-0000E203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5" name="$E$92">
            <a:extLst>
              <a:ext uri="{FF2B5EF4-FFF2-40B4-BE49-F238E27FC236}">
                <a16:creationId xmlns:a16="http://schemas.microsoft.com/office/drawing/2014/main" id="{00000000-0008-0000-0200-0000E303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6" name="$E$92">
            <a:extLst>
              <a:ext uri="{FF2B5EF4-FFF2-40B4-BE49-F238E27FC236}">
                <a16:creationId xmlns:a16="http://schemas.microsoft.com/office/drawing/2014/main" id="{00000000-0008-0000-0200-0000E403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7" name="$E$92">
            <a:extLst>
              <a:ext uri="{FF2B5EF4-FFF2-40B4-BE49-F238E27FC236}">
                <a16:creationId xmlns:a16="http://schemas.microsoft.com/office/drawing/2014/main" id="{00000000-0008-0000-0200-0000E503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8" name="$E$92">
            <a:extLst>
              <a:ext uri="{FF2B5EF4-FFF2-40B4-BE49-F238E27FC236}">
                <a16:creationId xmlns:a16="http://schemas.microsoft.com/office/drawing/2014/main" id="{00000000-0008-0000-0200-0000E603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99" name="$E$92">
            <a:extLst>
              <a:ext uri="{FF2B5EF4-FFF2-40B4-BE49-F238E27FC236}">
                <a16:creationId xmlns:a16="http://schemas.microsoft.com/office/drawing/2014/main" id="{00000000-0008-0000-0200-0000E703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0" name="$E$92">
            <a:extLst>
              <a:ext uri="{FF2B5EF4-FFF2-40B4-BE49-F238E27FC236}">
                <a16:creationId xmlns:a16="http://schemas.microsoft.com/office/drawing/2014/main" id="{00000000-0008-0000-0200-0000E803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1" name="$E$92">
            <a:extLst>
              <a:ext uri="{FF2B5EF4-FFF2-40B4-BE49-F238E27FC236}">
                <a16:creationId xmlns:a16="http://schemas.microsoft.com/office/drawing/2014/main" id="{00000000-0008-0000-0200-0000E903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2" name="$E$92">
            <a:extLst>
              <a:ext uri="{FF2B5EF4-FFF2-40B4-BE49-F238E27FC236}">
                <a16:creationId xmlns:a16="http://schemas.microsoft.com/office/drawing/2014/main" id="{00000000-0008-0000-0200-0000EA03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3" name="$E$92">
            <a:extLst>
              <a:ext uri="{FF2B5EF4-FFF2-40B4-BE49-F238E27FC236}">
                <a16:creationId xmlns:a16="http://schemas.microsoft.com/office/drawing/2014/main" id="{00000000-0008-0000-0200-0000EB03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4" name="$E$92">
            <a:extLst>
              <a:ext uri="{FF2B5EF4-FFF2-40B4-BE49-F238E27FC236}">
                <a16:creationId xmlns:a16="http://schemas.microsoft.com/office/drawing/2014/main" id="{00000000-0008-0000-0200-0000EC03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5" name="$E$92">
            <a:extLst>
              <a:ext uri="{FF2B5EF4-FFF2-40B4-BE49-F238E27FC236}">
                <a16:creationId xmlns:a16="http://schemas.microsoft.com/office/drawing/2014/main" id="{00000000-0008-0000-0200-0000ED03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6" name="$E$92">
            <a:extLst>
              <a:ext uri="{FF2B5EF4-FFF2-40B4-BE49-F238E27FC236}">
                <a16:creationId xmlns:a16="http://schemas.microsoft.com/office/drawing/2014/main" id="{00000000-0008-0000-0200-0000EE03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7" name="$E$92">
            <a:extLst>
              <a:ext uri="{FF2B5EF4-FFF2-40B4-BE49-F238E27FC236}">
                <a16:creationId xmlns:a16="http://schemas.microsoft.com/office/drawing/2014/main" id="{00000000-0008-0000-0200-0000EF03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8" name="$E$92">
            <a:extLst>
              <a:ext uri="{FF2B5EF4-FFF2-40B4-BE49-F238E27FC236}">
                <a16:creationId xmlns:a16="http://schemas.microsoft.com/office/drawing/2014/main" id="{00000000-0008-0000-0200-0000F003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09" name="$E$92">
            <a:extLst>
              <a:ext uri="{FF2B5EF4-FFF2-40B4-BE49-F238E27FC236}">
                <a16:creationId xmlns:a16="http://schemas.microsoft.com/office/drawing/2014/main" id="{00000000-0008-0000-0200-0000F103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0" name="$E$92">
            <a:extLst>
              <a:ext uri="{FF2B5EF4-FFF2-40B4-BE49-F238E27FC236}">
                <a16:creationId xmlns:a16="http://schemas.microsoft.com/office/drawing/2014/main" id="{00000000-0008-0000-0200-0000F203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1" name="$E$92">
            <a:extLst>
              <a:ext uri="{FF2B5EF4-FFF2-40B4-BE49-F238E27FC236}">
                <a16:creationId xmlns:a16="http://schemas.microsoft.com/office/drawing/2014/main" id="{00000000-0008-0000-0200-0000F303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2" name="$E$92">
            <a:extLst>
              <a:ext uri="{FF2B5EF4-FFF2-40B4-BE49-F238E27FC236}">
                <a16:creationId xmlns:a16="http://schemas.microsoft.com/office/drawing/2014/main" id="{00000000-0008-0000-0200-0000F403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3" name="$E$92">
            <a:extLst>
              <a:ext uri="{FF2B5EF4-FFF2-40B4-BE49-F238E27FC236}">
                <a16:creationId xmlns:a16="http://schemas.microsoft.com/office/drawing/2014/main" id="{00000000-0008-0000-0200-0000F503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4" name="$E$92">
            <a:extLst>
              <a:ext uri="{FF2B5EF4-FFF2-40B4-BE49-F238E27FC236}">
                <a16:creationId xmlns:a16="http://schemas.microsoft.com/office/drawing/2014/main" id="{00000000-0008-0000-0200-0000F603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5" name="$E$92">
            <a:extLst>
              <a:ext uri="{FF2B5EF4-FFF2-40B4-BE49-F238E27FC236}">
                <a16:creationId xmlns:a16="http://schemas.microsoft.com/office/drawing/2014/main" id="{00000000-0008-0000-0200-0000F703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6" name="$E$92">
            <a:extLst>
              <a:ext uri="{FF2B5EF4-FFF2-40B4-BE49-F238E27FC236}">
                <a16:creationId xmlns:a16="http://schemas.microsoft.com/office/drawing/2014/main" id="{00000000-0008-0000-0200-0000F803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7" name="$E$92">
            <a:extLst>
              <a:ext uri="{FF2B5EF4-FFF2-40B4-BE49-F238E27FC236}">
                <a16:creationId xmlns:a16="http://schemas.microsoft.com/office/drawing/2014/main" id="{00000000-0008-0000-0200-0000F903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8" name="$E$92">
            <a:extLst>
              <a:ext uri="{FF2B5EF4-FFF2-40B4-BE49-F238E27FC236}">
                <a16:creationId xmlns:a16="http://schemas.microsoft.com/office/drawing/2014/main" id="{00000000-0008-0000-0200-0000FA03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19" name="$E$92">
            <a:extLst>
              <a:ext uri="{FF2B5EF4-FFF2-40B4-BE49-F238E27FC236}">
                <a16:creationId xmlns:a16="http://schemas.microsoft.com/office/drawing/2014/main" id="{00000000-0008-0000-0200-0000FB03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0" name="$E$92">
            <a:extLst>
              <a:ext uri="{FF2B5EF4-FFF2-40B4-BE49-F238E27FC236}">
                <a16:creationId xmlns:a16="http://schemas.microsoft.com/office/drawing/2014/main" id="{00000000-0008-0000-0200-0000FC03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1" name="$E$92">
            <a:extLst>
              <a:ext uri="{FF2B5EF4-FFF2-40B4-BE49-F238E27FC236}">
                <a16:creationId xmlns:a16="http://schemas.microsoft.com/office/drawing/2014/main" id="{00000000-0008-0000-0200-0000FD03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2" name="$E$92">
            <a:extLst>
              <a:ext uri="{FF2B5EF4-FFF2-40B4-BE49-F238E27FC236}">
                <a16:creationId xmlns:a16="http://schemas.microsoft.com/office/drawing/2014/main" id="{00000000-0008-0000-0200-0000FE03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3" name="$E$92">
            <a:extLst>
              <a:ext uri="{FF2B5EF4-FFF2-40B4-BE49-F238E27FC236}">
                <a16:creationId xmlns:a16="http://schemas.microsoft.com/office/drawing/2014/main" id="{00000000-0008-0000-0200-0000FF03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4" name="$E$92">
            <a:extLst>
              <a:ext uri="{FF2B5EF4-FFF2-40B4-BE49-F238E27FC236}">
                <a16:creationId xmlns:a16="http://schemas.microsoft.com/office/drawing/2014/main" id="{00000000-0008-0000-0200-00000004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5" name="$E$92">
            <a:extLst>
              <a:ext uri="{FF2B5EF4-FFF2-40B4-BE49-F238E27FC236}">
                <a16:creationId xmlns:a16="http://schemas.microsoft.com/office/drawing/2014/main" id="{00000000-0008-0000-0200-00000104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6" name="$E$92">
            <a:extLst>
              <a:ext uri="{FF2B5EF4-FFF2-40B4-BE49-F238E27FC236}">
                <a16:creationId xmlns:a16="http://schemas.microsoft.com/office/drawing/2014/main" id="{00000000-0008-0000-0200-00000204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7" name="$E$92">
            <a:extLst>
              <a:ext uri="{FF2B5EF4-FFF2-40B4-BE49-F238E27FC236}">
                <a16:creationId xmlns:a16="http://schemas.microsoft.com/office/drawing/2014/main" id="{00000000-0008-0000-0200-00000304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8" name="$E$92">
            <a:extLst>
              <a:ext uri="{FF2B5EF4-FFF2-40B4-BE49-F238E27FC236}">
                <a16:creationId xmlns:a16="http://schemas.microsoft.com/office/drawing/2014/main" id="{00000000-0008-0000-0200-00000404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29" name="$E$92">
            <a:extLst>
              <a:ext uri="{FF2B5EF4-FFF2-40B4-BE49-F238E27FC236}">
                <a16:creationId xmlns:a16="http://schemas.microsoft.com/office/drawing/2014/main" id="{00000000-0008-0000-0200-00000504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0" name="$E$92">
            <a:extLst>
              <a:ext uri="{FF2B5EF4-FFF2-40B4-BE49-F238E27FC236}">
                <a16:creationId xmlns:a16="http://schemas.microsoft.com/office/drawing/2014/main" id="{00000000-0008-0000-0200-00000604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1" name="$E$92">
            <a:extLst>
              <a:ext uri="{FF2B5EF4-FFF2-40B4-BE49-F238E27FC236}">
                <a16:creationId xmlns:a16="http://schemas.microsoft.com/office/drawing/2014/main" id="{00000000-0008-0000-0200-00000704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2" name="$E$92">
            <a:extLst>
              <a:ext uri="{FF2B5EF4-FFF2-40B4-BE49-F238E27FC236}">
                <a16:creationId xmlns:a16="http://schemas.microsoft.com/office/drawing/2014/main" id="{00000000-0008-0000-0200-00000804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3" name="$E$92">
            <a:extLst>
              <a:ext uri="{FF2B5EF4-FFF2-40B4-BE49-F238E27FC236}">
                <a16:creationId xmlns:a16="http://schemas.microsoft.com/office/drawing/2014/main" id="{00000000-0008-0000-0200-00000904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4" name="$E$92">
            <a:extLst>
              <a:ext uri="{FF2B5EF4-FFF2-40B4-BE49-F238E27FC236}">
                <a16:creationId xmlns:a16="http://schemas.microsoft.com/office/drawing/2014/main" id="{00000000-0008-0000-0200-00000A0400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5" name="$E$92">
            <a:extLst>
              <a:ext uri="{FF2B5EF4-FFF2-40B4-BE49-F238E27FC236}">
                <a16:creationId xmlns:a16="http://schemas.microsoft.com/office/drawing/2014/main" id="{00000000-0008-0000-0200-00000B04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6" name="$E$92">
            <a:extLst>
              <a:ext uri="{FF2B5EF4-FFF2-40B4-BE49-F238E27FC236}">
                <a16:creationId xmlns:a16="http://schemas.microsoft.com/office/drawing/2014/main" id="{00000000-0008-0000-0200-00000C04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7" name="$E$92">
            <a:extLst>
              <a:ext uri="{FF2B5EF4-FFF2-40B4-BE49-F238E27FC236}">
                <a16:creationId xmlns:a16="http://schemas.microsoft.com/office/drawing/2014/main" id="{00000000-0008-0000-0200-00000D04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8" name="$E$92">
            <a:extLst>
              <a:ext uri="{FF2B5EF4-FFF2-40B4-BE49-F238E27FC236}">
                <a16:creationId xmlns:a16="http://schemas.microsoft.com/office/drawing/2014/main" id="{00000000-0008-0000-0200-00000E04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39" name="$E$92">
            <a:extLst>
              <a:ext uri="{FF2B5EF4-FFF2-40B4-BE49-F238E27FC236}">
                <a16:creationId xmlns:a16="http://schemas.microsoft.com/office/drawing/2014/main" id="{00000000-0008-0000-0200-00000F04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0" name="$E$92">
            <a:extLst>
              <a:ext uri="{FF2B5EF4-FFF2-40B4-BE49-F238E27FC236}">
                <a16:creationId xmlns:a16="http://schemas.microsoft.com/office/drawing/2014/main" id="{00000000-0008-0000-0200-00001004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1" name="$E$92">
            <a:extLst>
              <a:ext uri="{FF2B5EF4-FFF2-40B4-BE49-F238E27FC236}">
                <a16:creationId xmlns:a16="http://schemas.microsoft.com/office/drawing/2014/main" id="{00000000-0008-0000-0200-00001104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2" name="$E$92">
            <a:extLst>
              <a:ext uri="{FF2B5EF4-FFF2-40B4-BE49-F238E27FC236}">
                <a16:creationId xmlns:a16="http://schemas.microsoft.com/office/drawing/2014/main" id="{00000000-0008-0000-0200-00001204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3" name="$E$92">
            <a:extLst>
              <a:ext uri="{FF2B5EF4-FFF2-40B4-BE49-F238E27FC236}">
                <a16:creationId xmlns:a16="http://schemas.microsoft.com/office/drawing/2014/main" id="{00000000-0008-0000-0200-00001304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4" name="$E$92">
            <a:extLst>
              <a:ext uri="{FF2B5EF4-FFF2-40B4-BE49-F238E27FC236}">
                <a16:creationId xmlns:a16="http://schemas.microsoft.com/office/drawing/2014/main" id="{00000000-0008-0000-0200-00001404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5" name="$E$92">
            <a:extLst>
              <a:ext uri="{FF2B5EF4-FFF2-40B4-BE49-F238E27FC236}">
                <a16:creationId xmlns:a16="http://schemas.microsoft.com/office/drawing/2014/main" id="{00000000-0008-0000-0200-000015040000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6" name="$E$92">
            <a:extLst>
              <a:ext uri="{FF2B5EF4-FFF2-40B4-BE49-F238E27FC236}">
                <a16:creationId xmlns:a16="http://schemas.microsoft.com/office/drawing/2014/main" id="{00000000-0008-0000-0200-0000160400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7" name="$E$92">
            <a:extLst>
              <a:ext uri="{FF2B5EF4-FFF2-40B4-BE49-F238E27FC236}">
                <a16:creationId xmlns:a16="http://schemas.microsoft.com/office/drawing/2014/main" id="{00000000-0008-0000-0200-00001704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8" name="$E$92">
            <a:extLst>
              <a:ext uri="{FF2B5EF4-FFF2-40B4-BE49-F238E27FC236}">
                <a16:creationId xmlns:a16="http://schemas.microsoft.com/office/drawing/2014/main" id="{00000000-0008-0000-0200-00001804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49" name="$E$92">
            <a:extLst>
              <a:ext uri="{FF2B5EF4-FFF2-40B4-BE49-F238E27FC236}">
                <a16:creationId xmlns:a16="http://schemas.microsoft.com/office/drawing/2014/main" id="{00000000-0008-0000-0200-00001904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0" name="$E$92">
            <a:extLst>
              <a:ext uri="{FF2B5EF4-FFF2-40B4-BE49-F238E27FC236}">
                <a16:creationId xmlns:a16="http://schemas.microsoft.com/office/drawing/2014/main" id="{00000000-0008-0000-0200-00001A04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1" name="$E$92">
            <a:extLst>
              <a:ext uri="{FF2B5EF4-FFF2-40B4-BE49-F238E27FC236}">
                <a16:creationId xmlns:a16="http://schemas.microsoft.com/office/drawing/2014/main" id="{00000000-0008-0000-0200-00001B04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2" name="$E$92">
            <a:extLst>
              <a:ext uri="{FF2B5EF4-FFF2-40B4-BE49-F238E27FC236}">
                <a16:creationId xmlns:a16="http://schemas.microsoft.com/office/drawing/2014/main" id="{00000000-0008-0000-0200-00001C04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3" name="$E$92">
            <a:extLst>
              <a:ext uri="{FF2B5EF4-FFF2-40B4-BE49-F238E27FC236}">
                <a16:creationId xmlns:a16="http://schemas.microsoft.com/office/drawing/2014/main" id="{00000000-0008-0000-0200-00001D04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4" name="$E$92">
            <a:extLst>
              <a:ext uri="{FF2B5EF4-FFF2-40B4-BE49-F238E27FC236}">
                <a16:creationId xmlns:a16="http://schemas.microsoft.com/office/drawing/2014/main" id="{00000000-0008-0000-0200-00001E04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5" name="$E$92">
            <a:extLst>
              <a:ext uri="{FF2B5EF4-FFF2-40B4-BE49-F238E27FC236}">
                <a16:creationId xmlns:a16="http://schemas.microsoft.com/office/drawing/2014/main" id="{00000000-0008-0000-0200-00001F04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6" name="$E$92">
            <a:extLst>
              <a:ext uri="{FF2B5EF4-FFF2-40B4-BE49-F238E27FC236}">
                <a16:creationId xmlns:a16="http://schemas.microsoft.com/office/drawing/2014/main" id="{00000000-0008-0000-0200-00002004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7" name="$E$92">
            <a:extLst>
              <a:ext uri="{FF2B5EF4-FFF2-40B4-BE49-F238E27FC236}">
                <a16:creationId xmlns:a16="http://schemas.microsoft.com/office/drawing/2014/main" id="{00000000-0008-0000-0200-00002104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8" name="$E$92">
            <a:extLst>
              <a:ext uri="{FF2B5EF4-FFF2-40B4-BE49-F238E27FC236}">
                <a16:creationId xmlns:a16="http://schemas.microsoft.com/office/drawing/2014/main" id="{00000000-0008-0000-0200-00002204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59" name="$E$92">
            <a:extLst>
              <a:ext uri="{FF2B5EF4-FFF2-40B4-BE49-F238E27FC236}">
                <a16:creationId xmlns:a16="http://schemas.microsoft.com/office/drawing/2014/main" id="{00000000-0008-0000-0200-00002304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0" name="$E$92">
            <a:extLst>
              <a:ext uri="{FF2B5EF4-FFF2-40B4-BE49-F238E27FC236}">
                <a16:creationId xmlns:a16="http://schemas.microsoft.com/office/drawing/2014/main" id="{00000000-0008-0000-0200-00002404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1" name="$E$92">
            <a:extLst>
              <a:ext uri="{FF2B5EF4-FFF2-40B4-BE49-F238E27FC236}">
                <a16:creationId xmlns:a16="http://schemas.microsoft.com/office/drawing/2014/main" id="{00000000-0008-0000-0200-00002504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2" name="$E$92">
            <a:extLst>
              <a:ext uri="{FF2B5EF4-FFF2-40B4-BE49-F238E27FC236}">
                <a16:creationId xmlns:a16="http://schemas.microsoft.com/office/drawing/2014/main" id="{00000000-0008-0000-0200-00002604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3" name="$E$92">
            <a:extLst>
              <a:ext uri="{FF2B5EF4-FFF2-40B4-BE49-F238E27FC236}">
                <a16:creationId xmlns:a16="http://schemas.microsoft.com/office/drawing/2014/main" id="{00000000-0008-0000-0200-00002704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4" name="$E$92">
            <a:extLst>
              <a:ext uri="{FF2B5EF4-FFF2-40B4-BE49-F238E27FC236}">
                <a16:creationId xmlns:a16="http://schemas.microsoft.com/office/drawing/2014/main" id="{00000000-0008-0000-0200-00002804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5" name="$E$92">
            <a:extLst>
              <a:ext uri="{FF2B5EF4-FFF2-40B4-BE49-F238E27FC236}">
                <a16:creationId xmlns:a16="http://schemas.microsoft.com/office/drawing/2014/main" id="{00000000-0008-0000-0200-00002904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6" name="$E$92">
            <a:extLst>
              <a:ext uri="{FF2B5EF4-FFF2-40B4-BE49-F238E27FC236}">
                <a16:creationId xmlns:a16="http://schemas.microsoft.com/office/drawing/2014/main" id="{00000000-0008-0000-0200-00002A04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7" name="$E$92">
            <a:extLst>
              <a:ext uri="{FF2B5EF4-FFF2-40B4-BE49-F238E27FC236}">
                <a16:creationId xmlns:a16="http://schemas.microsoft.com/office/drawing/2014/main" id="{00000000-0008-0000-0200-00002B04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8" name="$E$92">
            <a:extLst>
              <a:ext uri="{FF2B5EF4-FFF2-40B4-BE49-F238E27FC236}">
                <a16:creationId xmlns:a16="http://schemas.microsoft.com/office/drawing/2014/main" id="{00000000-0008-0000-0200-00002C04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69" name="$E$92">
            <a:extLst>
              <a:ext uri="{FF2B5EF4-FFF2-40B4-BE49-F238E27FC236}">
                <a16:creationId xmlns:a16="http://schemas.microsoft.com/office/drawing/2014/main" id="{00000000-0008-0000-0200-00002D04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0" name="$E$92">
            <a:extLst>
              <a:ext uri="{FF2B5EF4-FFF2-40B4-BE49-F238E27FC236}">
                <a16:creationId xmlns:a16="http://schemas.microsoft.com/office/drawing/2014/main" id="{00000000-0008-0000-0200-00002E04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1" name="$E$92">
            <a:extLst>
              <a:ext uri="{FF2B5EF4-FFF2-40B4-BE49-F238E27FC236}">
                <a16:creationId xmlns:a16="http://schemas.microsoft.com/office/drawing/2014/main" id="{00000000-0008-0000-0200-00002F04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2" name="$E$92">
            <a:extLst>
              <a:ext uri="{FF2B5EF4-FFF2-40B4-BE49-F238E27FC236}">
                <a16:creationId xmlns:a16="http://schemas.microsoft.com/office/drawing/2014/main" id="{00000000-0008-0000-0200-00003004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3" name="$E$92">
            <a:extLst>
              <a:ext uri="{FF2B5EF4-FFF2-40B4-BE49-F238E27FC236}">
                <a16:creationId xmlns:a16="http://schemas.microsoft.com/office/drawing/2014/main" id="{00000000-0008-0000-0200-00003104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4" name="$E$92">
            <a:extLst>
              <a:ext uri="{FF2B5EF4-FFF2-40B4-BE49-F238E27FC236}">
                <a16:creationId xmlns:a16="http://schemas.microsoft.com/office/drawing/2014/main" id="{00000000-0008-0000-0200-00003204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5" name="$E$92">
            <a:extLst>
              <a:ext uri="{FF2B5EF4-FFF2-40B4-BE49-F238E27FC236}">
                <a16:creationId xmlns:a16="http://schemas.microsoft.com/office/drawing/2014/main" id="{00000000-0008-0000-0200-00003304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6" name="$E$92">
            <a:extLst>
              <a:ext uri="{FF2B5EF4-FFF2-40B4-BE49-F238E27FC236}">
                <a16:creationId xmlns:a16="http://schemas.microsoft.com/office/drawing/2014/main" id="{00000000-0008-0000-0200-00003404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7" name="$E$92">
            <a:extLst>
              <a:ext uri="{FF2B5EF4-FFF2-40B4-BE49-F238E27FC236}">
                <a16:creationId xmlns:a16="http://schemas.microsoft.com/office/drawing/2014/main" id="{00000000-0008-0000-0200-00003504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8" name="$E$92">
            <a:extLst>
              <a:ext uri="{FF2B5EF4-FFF2-40B4-BE49-F238E27FC236}">
                <a16:creationId xmlns:a16="http://schemas.microsoft.com/office/drawing/2014/main" id="{00000000-0008-0000-0200-00003604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79" name="$E$92">
            <a:extLst>
              <a:ext uri="{FF2B5EF4-FFF2-40B4-BE49-F238E27FC236}">
                <a16:creationId xmlns:a16="http://schemas.microsoft.com/office/drawing/2014/main" id="{00000000-0008-0000-0200-00003704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0" name="$E$92">
            <a:extLst>
              <a:ext uri="{FF2B5EF4-FFF2-40B4-BE49-F238E27FC236}">
                <a16:creationId xmlns:a16="http://schemas.microsoft.com/office/drawing/2014/main" id="{00000000-0008-0000-0200-00003804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1" name="$E$92">
            <a:extLst>
              <a:ext uri="{FF2B5EF4-FFF2-40B4-BE49-F238E27FC236}">
                <a16:creationId xmlns:a16="http://schemas.microsoft.com/office/drawing/2014/main" id="{00000000-0008-0000-0200-00003904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2" name="$E$92">
            <a:extLst>
              <a:ext uri="{FF2B5EF4-FFF2-40B4-BE49-F238E27FC236}">
                <a16:creationId xmlns:a16="http://schemas.microsoft.com/office/drawing/2014/main" id="{00000000-0008-0000-0200-00003A04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3" name="$E$92">
            <a:extLst>
              <a:ext uri="{FF2B5EF4-FFF2-40B4-BE49-F238E27FC236}">
                <a16:creationId xmlns:a16="http://schemas.microsoft.com/office/drawing/2014/main" id="{00000000-0008-0000-0200-00003B04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4" name="$E$92">
            <a:extLst>
              <a:ext uri="{FF2B5EF4-FFF2-40B4-BE49-F238E27FC236}">
                <a16:creationId xmlns:a16="http://schemas.microsoft.com/office/drawing/2014/main" id="{00000000-0008-0000-0200-00003C04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5" name="$E$92">
            <a:extLst>
              <a:ext uri="{FF2B5EF4-FFF2-40B4-BE49-F238E27FC236}">
                <a16:creationId xmlns:a16="http://schemas.microsoft.com/office/drawing/2014/main" id="{00000000-0008-0000-0200-00003D0400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6" name="$E$92">
            <a:extLst>
              <a:ext uri="{FF2B5EF4-FFF2-40B4-BE49-F238E27FC236}">
                <a16:creationId xmlns:a16="http://schemas.microsoft.com/office/drawing/2014/main" id="{00000000-0008-0000-0200-00003E04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7" name="$E$92">
            <a:extLst>
              <a:ext uri="{FF2B5EF4-FFF2-40B4-BE49-F238E27FC236}">
                <a16:creationId xmlns:a16="http://schemas.microsoft.com/office/drawing/2014/main" id="{00000000-0008-0000-0200-00003F0400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8" name="$E$92">
            <a:extLst>
              <a:ext uri="{FF2B5EF4-FFF2-40B4-BE49-F238E27FC236}">
                <a16:creationId xmlns:a16="http://schemas.microsoft.com/office/drawing/2014/main" id="{00000000-0008-0000-0200-00004004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89" name="$E$92">
            <a:extLst>
              <a:ext uri="{FF2B5EF4-FFF2-40B4-BE49-F238E27FC236}">
                <a16:creationId xmlns:a16="http://schemas.microsoft.com/office/drawing/2014/main" id="{00000000-0008-0000-0200-00004104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0" name="$E$92">
            <a:extLst>
              <a:ext uri="{FF2B5EF4-FFF2-40B4-BE49-F238E27FC236}">
                <a16:creationId xmlns:a16="http://schemas.microsoft.com/office/drawing/2014/main" id="{00000000-0008-0000-0200-00004204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1" name="$E$92">
            <a:extLst>
              <a:ext uri="{FF2B5EF4-FFF2-40B4-BE49-F238E27FC236}">
                <a16:creationId xmlns:a16="http://schemas.microsoft.com/office/drawing/2014/main" id="{00000000-0008-0000-0200-00004304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2" name="$E$92">
            <a:extLst>
              <a:ext uri="{FF2B5EF4-FFF2-40B4-BE49-F238E27FC236}">
                <a16:creationId xmlns:a16="http://schemas.microsoft.com/office/drawing/2014/main" id="{00000000-0008-0000-0200-00004404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3" name="$E$92">
            <a:extLst>
              <a:ext uri="{FF2B5EF4-FFF2-40B4-BE49-F238E27FC236}">
                <a16:creationId xmlns:a16="http://schemas.microsoft.com/office/drawing/2014/main" id="{00000000-0008-0000-0200-00004504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4" name="$E$92">
            <a:extLst>
              <a:ext uri="{FF2B5EF4-FFF2-40B4-BE49-F238E27FC236}">
                <a16:creationId xmlns:a16="http://schemas.microsoft.com/office/drawing/2014/main" id="{00000000-0008-0000-0200-00004604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5" name="$E$92">
            <a:extLst>
              <a:ext uri="{FF2B5EF4-FFF2-40B4-BE49-F238E27FC236}">
                <a16:creationId xmlns:a16="http://schemas.microsoft.com/office/drawing/2014/main" id="{00000000-0008-0000-0200-00004704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6" name="$E$92">
            <a:extLst>
              <a:ext uri="{FF2B5EF4-FFF2-40B4-BE49-F238E27FC236}">
                <a16:creationId xmlns:a16="http://schemas.microsoft.com/office/drawing/2014/main" id="{00000000-0008-0000-0200-00004804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7" name="$E$92">
            <a:extLst>
              <a:ext uri="{FF2B5EF4-FFF2-40B4-BE49-F238E27FC236}">
                <a16:creationId xmlns:a16="http://schemas.microsoft.com/office/drawing/2014/main" id="{00000000-0008-0000-0200-00004904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8" name="$E$92">
            <a:extLst>
              <a:ext uri="{FF2B5EF4-FFF2-40B4-BE49-F238E27FC236}">
                <a16:creationId xmlns:a16="http://schemas.microsoft.com/office/drawing/2014/main" id="{00000000-0008-0000-0200-00004A04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099" name="$E$92">
            <a:extLst>
              <a:ext uri="{FF2B5EF4-FFF2-40B4-BE49-F238E27FC236}">
                <a16:creationId xmlns:a16="http://schemas.microsoft.com/office/drawing/2014/main" id="{00000000-0008-0000-0200-00004B04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0" name="$E$92">
            <a:extLst>
              <a:ext uri="{FF2B5EF4-FFF2-40B4-BE49-F238E27FC236}">
                <a16:creationId xmlns:a16="http://schemas.microsoft.com/office/drawing/2014/main" id="{00000000-0008-0000-0200-00004C04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1" name="$E$92">
            <a:extLst>
              <a:ext uri="{FF2B5EF4-FFF2-40B4-BE49-F238E27FC236}">
                <a16:creationId xmlns:a16="http://schemas.microsoft.com/office/drawing/2014/main" id="{00000000-0008-0000-0200-00004D04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2" name="$E$92">
            <a:extLst>
              <a:ext uri="{FF2B5EF4-FFF2-40B4-BE49-F238E27FC236}">
                <a16:creationId xmlns:a16="http://schemas.microsoft.com/office/drawing/2014/main" id="{00000000-0008-0000-0200-00004E04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3" name="$E$92">
            <a:extLst>
              <a:ext uri="{FF2B5EF4-FFF2-40B4-BE49-F238E27FC236}">
                <a16:creationId xmlns:a16="http://schemas.microsoft.com/office/drawing/2014/main" id="{00000000-0008-0000-0200-00004F0400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4" name="$E$92">
            <a:extLst>
              <a:ext uri="{FF2B5EF4-FFF2-40B4-BE49-F238E27FC236}">
                <a16:creationId xmlns:a16="http://schemas.microsoft.com/office/drawing/2014/main" id="{00000000-0008-0000-0200-00005004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5" name="$E$92">
            <a:extLst>
              <a:ext uri="{FF2B5EF4-FFF2-40B4-BE49-F238E27FC236}">
                <a16:creationId xmlns:a16="http://schemas.microsoft.com/office/drawing/2014/main" id="{00000000-0008-0000-0200-00005104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6" name="$E$92">
            <a:extLst>
              <a:ext uri="{FF2B5EF4-FFF2-40B4-BE49-F238E27FC236}">
                <a16:creationId xmlns:a16="http://schemas.microsoft.com/office/drawing/2014/main" id="{00000000-0008-0000-0200-00005204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7" name="$E$92">
            <a:extLst>
              <a:ext uri="{FF2B5EF4-FFF2-40B4-BE49-F238E27FC236}">
                <a16:creationId xmlns:a16="http://schemas.microsoft.com/office/drawing/2014/main" id="{00000000-0008-0000-0200-00005304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8" name="$E$92">
            <a:extLst>
              <a:ext uri="{FF2B5EF4-FFF2-40B4-BE49-F238E27FC236}">
                <a16:creationId xmlns:a16="http://schemas.microsoft.com/office/drawing/2014/main" id="{00000000-0008-0000-0200-00005404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09" name="$E$92">
            <a:extLst>
              <a:ext uri="{FF2B5EF4-FFF2-40B4-BE49-F238E27FC236}">
                <a16:creationId xmlns:a16="http://schemas.microsoft.com/office/drawing/2014/main" id="{00000000-0008-0000-0200-00005504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0" name="$E$92">
            <a:extLst>
              <a:ext uri="{FF2B5EF4-FFF2-40B4-BE49-F238E27FC236}">
                <a16:creationId xmlns:a16="http://schemas.microsoft.com/office/drawing/2014/main" id="{00000000-0008-0000-0200-00005604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1" name="$E$92">
            <a:extLst>
              <a:ext uri="{FF2B5EF4-FFF2-40B4-BE49-F238E27FC236}">
                <a16:creationId xmlns:a16="http://schemas.microsoft.com/office/drawing/2014/main" id="{00000000-0008-0000-0200-00005704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2" name="$E$92">
            <a:extLst>
              <a:ext uri="{FF2B5EF4-FFF2-40B4-BE49-F238E27FC236}">
                <a16:creationId xmlns:a16="http://schemas.microsoft.com/office/drawing/2014/main" id="{00000000-0008-0000-0200-00005804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" name="$E$92">
            <a:extLst>
              <a:ext uri="{FF2B5EF4-FFF2-40B4-BE49-F238E27FC236}">
                <a16:creationId xmlns:a16="http://schemas.microsoft.com/office/drawing/2014/main" id="{00000000-0008-0000-0200-00005904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" name="$E$92">
            <a:extLst>
              <a:ext uri="{FF2B5EF4-FFF2-40B4-BE49-F238E27FC236}">
                <a16:creationId xmlns:a16="http://schemas.microsoft.com/office/drawing/2014/main" id="{00000000-0008-0000-0200-00005A04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" name="$E$92">
            <a:extLst>
              <a:ext uri="{FF2B5EF4-FFF2-40B4-BE49-F238E27FC236}">
                <a16:creationId xmlns:a16="http://schemas.microsoft.com/office/drawing/2014/main" id="{00000000-0008-0000-0200-00005B04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" name="$E$92">
            <a:extLst>
              <a:ext uri="{FF2B5EF4-FFF2-40B4-BE49-F238E27FC236}">
                <a16:creationId xmlns:a16="http://schemas.microsoft.com/office/drawing/2014/main" id="{00000000-0008-0000-0200-00005C04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" name="$E$92">
            <a:extLst>
              <a:ext uri="{FF2B5EF4-FFF2-40B4-BE49-F238E27FC236}">
                <a16:creationId xmlns:a16="http://schemas.microsoft.com/office/drawing/2014/main" id="{00000000-0008-0000-0200-00005D04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" name="$E$92">
            <a:extLst>
              <a:ext uri="{FF2B5EF4-FFF2-40B4-BE49-F238E27FC236}">
                <a16:creationId xmlns:a16="http://schemas.microsoft.com/office/drawing/2014/main" id="{00000000-0008-0000-0200-00005E04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" name="$E$92">
            <a:extLst>
              <a:ext uri="{FF2B5EF4-FFF2-40B4-BE49-F238E27FC236}">
                <a16:creationId xmlns:a16="http://schemas.microsoft.com/office/drawing/2014/main" id="{00000000-0008-0000-0200-00005F04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" name="$E$92">
            <a:extLst>
              <a:ext uri="{FF2B5EF4-FFF2-40B4-BE49-F238E27FC236}">
                <a16:creationId xmlns:a16="http://schemas.microsoft.com/office/drawing/2014/main" id="{00000000-0008-0000-0200-00006004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" name="$E$92">
            <a:extLst>
              <a:ext uri="{FF2B5EF4-FFF2-40B4-BE49-F238E27FC236}">
                <a16:creationId xmlns:a16="http://schemas.microsoft.com/office/drawing/2014/main" id="{00000000-0008-0000-0200-00006104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" name="$E$92">
            <a:extLst>
              <a:ext uri="{FF2B5EF4-FFF2-40B4-BE49-F238E27FC236}">
                <a16:creationId xmlns:a16="http://schemas.microsoft.com/office/drawing/2014/main" id="{00000000-0008-0000-0200-00006204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" name="$E$92">
            <a:extLst>
              <a:ext uri="{FF2B5EF4-FFF2-40B4-BE49-F238E27FC236}">
                <a16:creationId xmlns:a16="http://schemas.microsoft.com/office/drawing/2014/main" id="{00000000-0008-0000-0200-00006304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" name="$E$92">
            <a:extLst>
              <a:ext uri="{FF2B5EF4-FFF2-40B4-BE49-F238E27FC236}">
                <a16:creationId xmlns:a16="http://schemas.microsoft.com/office/drawing/2014/main" id="{00000000-0008-0000-0200-00006404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" name="$E$92">
            <a:extLst>
              <a:ext uri="{FF2B5EF4-FFF2-40B4-BE49-F238E27FC236}">
                <a16:creationId xmlns:a16="http://schemas.microsoft.com/office/drawing/2014/main" id="{00000000-0008-0000-0200-00006504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" name="$E$92">
            <a:extLst>
              <a:ext uri="{FF2B5EF4-FFF2-40B4-BE49-F238E27FC236}">
                <a16:creationId xmlns:a16="http://schemas.microsoft.com/office/drawing/2014/main" id="{00000000-0008-0000-0200-000066040000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" name="$E$92">
            <a:extLst>
              <a:ext uri="{FF2B5EF4-FFF2-40B4-BE49-F238E27FC236}">
                <a16:creationId xmlns:a16="http://schemas.microsoft.com/office/drawing/2014/main" id="{00000000-0008-0000-0200-00006704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" name="$E$92">
            <a:extLst>
              <a:ext uri="{FF2B5EF4-FFF2-40B4-BE49-F238E27FC236}">
                <a16:creationId xmlns:a16="http://schemas.microsoft.com/office/drawing/2014/main" id="{00000000-0008-0000-0200-00006804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" name="$E$92">
            <a:extLst>
              <a:ext uri="{FF2B5EF4-FFF2-40B4-BE49-F238E27FC236}">
                <a16:creationId xmlns:a16="http://schemas.microsoft.com/office/drawing/2014/main" id="{00000000-0008-0000-0200-00006904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" name="$E$92">
            <a:extLst>
              <a:ext uri="{FF2B5EF4-FFF2-40B4-BE49-F238E27FC236}">
                <a16:creationId xmlns:a16="http://schemas.microsoft.com/office/drawing/2014/main" id="{00000000-0008-0000-0200-00006A04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" name="$E$92">
            <a:extLst>
              <a:ext uri="{FF2B5EF4-FFF2-40B4-BE49-F238E27FC236}">
                <a16:creationId xmlns:a16="http://schemas.microsoft.com/office/drawing/2014/main" id="{00000000-0008-0000-0200-00006B04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" name="$E$92">
            <a:extLst>
              <a:ext uri="{FF2B5EF4-FFF2-40B4-BE49-F238E27FC236}">
                <a16:creationId xmlns:a16="http://schemas.microsoft.com/office/drawing/2014/main" id="{00000000-0008-0000-0200-00006C0400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" name="$E$92">
            <a:extLst>
              <a:ext uri="{FF2B5EF4-FFF2-40B4-BE49-F238E27FC236}">
                <a16:creationId xmlns:a16="http://schemas.microsoft.com/office/drawing/2014/main" id="{00000000-0008-0000-0200-00006D04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" name="$E$92">
            <a:extLst>
              <a:ext uri="{FF2B5EF4-FFF2-40B4-BE49-F238E27FC236}">
                <a16:creationId xmlns:a16="http://schemas.microsoft.com/office/drawing/2014/main" id="{00000000-0008-0000-0200-00006E04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" name="$E$92">
            <a:extLst>
              <a:ext uri="{FF2B5EF4-FFF2-40B4-BE49-F238E27FC236}">
                <a16:creationId xmlns:a16="http://schemas.microsoft.com/office/drawing/2014/main" id="{00000000-0008-0000-0200-00006F04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" name="$E$92">
            <a:extLst>
              <a:ext uri="{FF2B5EF4-FFF2-40B4-BE49-F238E27FC236}">
                <a16:creationId xmlns:a16="http://schemas.microsoft.com/office/drawing/2014/main" id="{00000000-0008-0000-0200-0000700400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" name="$E$92">
            <a:extLst>
              <a:ext uri="{FF2B5EF4-FFF2-40B4-BE49-F238E27FC236}">
                <a16:creationId xmlns:a16="http://schemas.microsoft.com/office/drawing/2014/main" id="{00000000-0008-0000-0200-00007104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" name="$E$92">
            <a:extLst>
              <a:ext uri="{FF2B5EF4-FFF2-40B4-BE49-F238E27FC236}">
                <a16:creationId xmlns:a16="http://schemas.microsoft.com/office/drawing/2014/main" id="{00000000-0008-0000-0200-00007204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" name="$E$92">
            <a:extLst>
              <a:ext uri="{FF2B5EF4-FFF2-40B4-BE49-F238E27FC236}">
                <a16:creationId xmlns:a16="http://schemas.microsoft.com/office/drawing/2014/main" id="{00000000-0008-0000-0200-00007304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" name="$E$92">
            <a:extLst>
              <a:ext uri="{FF2B5EF4-FFF2-40B4-BE49-F238E27FC236}">
                <a16:creationId xmlns:a16="http://schemas.microsoft.com/office/drawing/2014/main" id="{00000000-0008-0000-0200-00007404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" name="$E$92">
            <a:extLst>
              <a:ext uri="{FF2B5EF4-FFF2-40B4-BE49-F238E27FC236}">
                <a16:creationId xmlns:a16="http://schemas.microsoft.com/office/drawing/2014/main" id="{00000000-0008-0000-0200-00007504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" name="$E$92">
            <a:extLst>
              <a:ext uri="{FF2B5EF4-FFF2-40B4-BE49-F238E27FC236}">
                <a16:creationId xmlns:a16="http://schemas.microsoft.com/office/drawing/2014/main" id="{00000000-0008-0000-0200-00007604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" name="$E$92">
            <a:extLst>
              <a:ext uri="{FF2B5EF4-FFF2-40B4-BE49-F238E27FC236}">
                <a16:creationId xmlns:a16="http://schemas.microsoft.com/office/drawing/2014/main" id="{00000000-0008-0000-0200-00007704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" name="$E$92">
            <a:extLst>
              <a:ext uri="{FF2B5EF4-FFF2-40B4-BE49-F238E27FC236}">
                <a16:creationId xmlns:a16="http://schemas.microsoft.com/office/drawing/2014/main" id="{00000000-0008-0000-0200-0000780400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" name="$E$92">
            <a:extLst>
              <a:ext uri="{FF2B5EF4-FFF2-40B4-BE49-F238E27FC236}">
                <a16:creationId xmlns:a16="http://schemas.microsoft.com/office/drawing/2014/main" id="{00000000-0008-0000-0200-00007904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" name="$E$92">
            <a:extLst>
              <a:ext uri="{FF2B5EF4-FFF2-40B4-BE49-F238E27FC236}">
                <a16:creationId xmlns:a16="http://schemas.microsoft.com/office/drawing/2014/main" id="{00000000-0008-0000-0200-00007A04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" name="$E$92">
            <a:extLst>
              <a:ext uri="{FF2B5EF4-FFF2-40B4-BE49-F238E27FC236}">
                <a16:creationId xmlns:a16="http://schemas.microsoft.com/office/drawing/2014/main" id="{00000000-0008-0000-0200-00007B0400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" name="$E$92">
            <a:extLst>
              <a:ext uri="{FF2B5EF4-FFF2-40B4-BE49-F238E27FC236}">
                <a16:creationId xmlns:a16="http://schemas.microsoft.com/office/drawing/2014/main" id="{00000000-0008-0000-0200-00007C04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" name="$E$92">
            <a:extLst>
              <a:ext uri="{FF2B5EF4-FFF2-40B4-BE49-F238E27FC236}">
                <a16:creationId xmlns:a16="http://schemas.microsoft.com/office/drawing/2014/main" id="{00000000-0008-0000-0200-00007D04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" name="$E$92">
            <a:extLst>
              <a:ext uri="{FF2B5EF4-FFF2-40B4-BE49-F238E27FC236}">
                <a16:creationId xmlns:a16="http://schemas.microsoft.com/office/drawing/2014/main" id="{00000000-0008-0000-0200-00007E04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" name="$E$92">
            <a:extLst>
              <a:ext uri="{FF2B5EF4-FFF2-40B4-BE49-F238E27FC236}">
                <a16:creationId xmlns:a16="http://schemas.microsoft.com/office/drawing/2014/main" id="{00000000-0008-0000-0200-00007F04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" name="$E$92">
            <a:extLst>
              <a:ext uri="{FF2B5EF4-FFF2-40B4-BE49-F238E27FC236}">
                <a16:creationId xmlns:a16="http://schemas.microsoft.com/office/drawing/2014/main" id="{00000000-0008-0000-0200-00008004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" name="$E$92">
            <a:extLst>
              <a:ext uri="{FF2B5EF4-FFF2-40B4-BE49-F238E27FC236}">
                <a16:creationId xmlns:a16="http://schemas.microsoft.com/office/drawing/2014/main" id="{00000000-0008-0000-0200-00008104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" name="$E$92">
            <a:extLst>
              <a:ext uri="{FF2B5EF4-FFF2-40B4-BE49-F238E27FC236}">
                <a16:creationId xmlns:a16="http://schemas.microsoft.com/office/drawing/2014/main" id="{00000000-0008-0000-0200-0000820400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" name="$E$92">
            <a:extLst>
              <a:ext uri="{FF2B5EF4-FFF2-40B4-BE49-F238E27FC236}">
                <a16:creationId xmlns:a16="http://schemas.microsoft.com/office/drawing/2014/main" id="{00000000-0008-0000-0200-00008304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" name="$E$92">
            <a:extLst>
              <a:ext uri="{FF2B5EF4-FFF2-40B4-BE49-F238E27FC236}">
                <a16:creationId xmlns:a16="http://schemas.microsoft.com/office/drawing/2014/main" id="{00000000-0008-0000-0200-00008404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" name="$E$92">
            <a:extLst>
              <a:ext uri="{FF2B5EF4-FFF2-40B4-BE49-F238E27FC236}">
                <a16:creationId xmlns:a16="http://schemas.microsoft.com/office/drawing/2014/main" id="{00000000-0008-0000-0200-00008504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" name="$E$92">
            <a:extLst>
              <a:ext uri="{FF2B5EF4-FFF2-40B4-BE49-F238E27FC236}">
                <a16:creationId xmlns:a16="http://schemas.microsoft.com/office/drawing/2014/main" id="{00000000-0008-0000-0200-00008604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" name="$E$92">
            <a:extLst>
              <a:ext uri="{FF2B5EF4-FFF2-40B4-BE49-F238E27FC236}">
                <a16:creationId xmlns:a16="http://schemas.microsoft.com/office/drawing/2014/main" id="{00000000-0008-0000-0200-00008704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" name="$E$92">
            <a:extLst>
              <a:ext uri="{FF2B5EF4-FFF2-40B4-BE49-F238E27FC236}">
                <a16:creationId xmlns:a16="http://schemas.microsoft.com/office/drawing/2014/main" id="{00000000-0008-0000-0200-00008804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" name="$E$92">
            <a:extLst>
              <a:ext uri="{FF2B5EF4-FFF2-40B4-BE49-F238E27FC236}">
                <a16:creationId xmlns:a16="http://schemas.microsoft.com/office/drawing/2014/main" id="{00000000-0008-0000-0200-00008904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" name="$E$92">
            <a:extLst>
              <a:ext uri="{FF2B5EF4-FFF2-40B4-BE49-F238E27FC236}">
                <a16:creationId xmlns:a16="http://schemas.microsoft.com/office/drawing/2014/main" id="{00000000-0008-0000-0200-00008A04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" name="$E$92">
            <a:extLst>
              <a:ext uri="{FF2B5EF4-FFF2-40B4-BE49-F238E27FC236}">
                <a16:creationId xmlns:a16="http://schemas.microsoft.com/office/drawing/2014/main" id="{00000000-0008-0000-0200-00008B04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" name="$E$92">
            <a:extLst>
              <a:ext uri="{FF2B5EF4-FFF2-40B4-BE49-F238E27FC236}">
                <a16:creationId xmlns:a16="http://schemas.microsoft.com/office/drawing/2014/main" id="{00000000-0008-0000-0200-00008C0400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" name="$E$92">
            <a:extLst>
              <a:ext uri="{FF2B5EF4-FFF2-40B4-BE49-F238E27FC236}">
                <a16:creationId xmlns:a16="http://schemas.microsoft.com/office/drawing/2014/main" id="{00000000-0008-0000-0200-00008D04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" name="$E$92">
            <a:extLst>
              <a:ext uri="{FF2B5EF4-FFF2-40B4-BE49-F238E27FC236}">
                <a16:creationId xmlns:a16="http://schemas.microsoft.com/office/drawing/2014/main" id="{00000000-0008-0000-0200-00008E0400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" name="$E$92">
            <a:extLst>
              <a:ext uri="{FF2B5EF4-FFF2-40B4-BE49-F238E27FC236}">
                <a16:creationId xmlns:a16="http://schemas.microsoft.com/office/drawing/2014/main" id="{00000000-0008-0000-0200-00008F04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8" name="$E$92">
            <a:extLst>
              <a:ext uri="{FF2B5EF4-FFF2-40B4-BE49-F238E27FC236}">
                <a16:creationId xmlns:a16="http://schemas.microsoft.com/office/drawing/2014/main" id="{00000000-0008-0000-0200-00009004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9" name="$E$92">
            <a:extLst>
              <a:ext uri="{FF2B5EF4-FFF2-40B4-BE49-F238E27FC236}">
                <a16:creationId xmlns:a16="http://schemas.microsoft.com/office/drawing/2014/main" id="{00000000-0008-0000-0200-00009104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0" name="$E$92">
            <a:extLst>
              <a:ext uri="{FF2B5EF4-FFF2-40B4-BE49-F238E27FC236}">
                <a16:creationId xmlns:a16="http://schemas.microsoft.com/office/drawing/2014/main" id="{00000000-0008-0000-0200-00009204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1" name="$E$92">
            <a:extLst>
              <a:ext uri="{FF2B5EF4-FFF2-40B4-BE49-F238E27FC236}">
                <a16:creationId xmlns:a16="http://schemas.microsoft.com/office/drawing/2014/main" id="{00000000-0008-0000-0200-00009304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2" name="$E$92">
            <a:extLst>
              <a:ext uri="{FF2B5EF4-FFF2-40B4-BE49-F238E27FC236}">
                <a16:creationId xmlns:a16="http://schemas.microsoft.com/office/drawing/2014/main" id="{00000000-0008-0000-0200-00009404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3" name="$E$92">
            <a:extLst>
              <a:ext uri="{FF2B5EF4-FFF2-40B4-BE49-F238E27FC236}">
                <a16:creationId xmlns:a16="http://schemas.microsoft.com/office/drawing/2014/main" id="{00000000-0008-0000-0200-00009504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4" name="$E$92">
            <a:extLst>
              <a:ext uri="{FF2B5EF4-FFF2-40B4-BE49-F238E27FC236}">
                <a16:creationId xmlns:a16="http://schemas.microsoft.com/office/drawing/2014/main" id="{00000000-0008-0000-0200-00009604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5" name="$E$92">
            <a:extLst>
              <a:ext uri="{FF2B5EF4-FFF2-40B4-BE49-F238E27FC236}">
                <a16:creationId xmlns:a16="http://schemas.microsoft.com/office/drawing/2014/main" id="{00000000-0008-0000-0200-00009704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6" name="$E$92">
            <a:extLst>
              <a:ext uri="{FF2B5EF4-FFF2-40B4-BE49-F238E27FC236}">
                <a16:creationId xmlns:a16="http://schemas.microsoft.com/office/drawing/2014/main" id="{00000000-0008-0000-0200-00009804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7" name="$E$92">
            <a:extLst>
              <a:ext uri="{FF2B5EF4-FFF2-40B4-BE49-F238E27FC236}">
                <a16:creationId xmlns:a16="http://schemas.microsoft.com/office/drawing/2014/main" id="{00000000-0008-0000-0200-00009904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8" name="$E$92">
            <a:extLst>
              <a:ext uri="{FF2B5EF4-FFF2-40B4-BE49-F238E27FC236}">
                <a16:creationId xmlns:a16="http://schemas.microsoft.com/office/drawing/2014/main" id="{00000000-0008-0000-0200-00009A04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9" name="$E$92">
            <a:extLst>
              <a:ext uri="{FF2B5EF4-FFF2-40B4-BE49-F238E27FC236}">
                <a16:creationId xmlns:a16="http://schemas.microsoft.com/office/drawing/2014/main" id="{00000000-0008-0000-0200-00009B04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0" name="$E$92">
            <a:extLst>
              <a:ext uri="{FF2B5EF4-FFF2-40B4-BE49-F238E27FC236}">
                <a16:creationId xmlns:a16="http://schemas.microsoft.com/office/drawing/2014/main" id="{00000000-0008-0000-0200-00009C04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1" name="$E$92">
            <a:extLst>
              <a:ext uri="{FF2B5EF4-FFF2-40B4-BE49-F238E27FC236}">
                <a16:creationId xmlns:a16="http://schemas.microsoft.com/office/drawing/2014/main" id="{00000000-0008-0000-0200-00009D04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2" name="$E$92">
            <a:extLst>
              <a:ext uri="{FF2B5EF4-FFF2-40B4-BE49-F238E27FC236}">
                <a16:creationId xmlns:a16="http://schemas.microsoft.com/office/drawing/2014/main" id="{00000000-0008-0000-0200-00009E04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3" name="$E$92">
            <a:extLst>
              <a:ext uri="{FF2B5EF4-FFF2-40B4-BE49-F238E27FC236}">
                <a16:creationId xmlns:a16="http://schemas.microsoft.com/office/drawing/2014/main" id="{00000000-0008-0000-0200-00009F04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4" name="$E$92">
            <a:extLst>
              <a:ext uri="{FF2B5EF4-FFF2-40B4-BE49-F238E27FC236}">
                <a16:creationId xmlns:a16="http://schemas.microsoft.com/office/drawing/2014/main" id="{00000000-0008-0000-0200-0000A004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5" name="$E$92">
            <a:extLst>
              <a:ext uri="{FF2B5EF4-FFF2-40B4-BE49-F238E27FC236}">
                <a16:creationId xmlns:a16="http://schemas.microsoft.com/office/drawing/2014/main" id="{00000000-0008-0000-0200-0000A104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6" name="$E$92">
            <a:extLst>
              <a:ext uri="{FF2B5EF4-FFF2-40B4-BE49-F238E27FC236}">
                <a16:creationId xmlns:a16="http://schemas.microsoft.com/office/drawing/2014/main" id="{00000000-0008-0000-0200-0000A204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7" name="$E$92">
            <a:extLst>
              <a:ext uri="{FF2B5EF4-FFF2-40B4-BE49-F238E27FC236}">
                <a16:creationId xmlns:a16="http://schemas.microsoft.com/office/drawing/2014/main" id="{00000000-0008-0000-0200-0000A304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8" name="$E$92">
            <a:extLst>
              <a:ext uri="{FF2B5EF4-FFF2-40B4-BE49-F238E27FC236}">
                <a16:creationId xmlns:a16="http://schemas.microsoft.com/office/drawing/2014/main" id="{00000000-0008-0000-0200-0000A404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89" name="$E$92">
            <a:extLst>
              <a:ext uri="{FF2B5EF4-FFF2-40B4-BE49-F238E27FC236}">
                <a16:creationId xmlns:a16="http://schemas.microsoft.com/office/drawing/2014/main" id="{00000000-0008-0000-0200-0000A504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0" name="$E$92">
            <a:extLst>
              <a:ext uri="{FF2B5EF4-FFF2-40B4-BE49-F238E27FC236}">
                <a16:creationId xmlns:a16="http://schemas.microsoft.com/office/drawing/2014/main" id="{00000000-0008-0000-0200-0000A604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1" name="$E$92">
            <a:extLst>
              <a:ext uri="{FF2B5EF4-FFF2-40B4-BE49-F238E27FC236}">
                <a16:creationId xmlns:a16="http://schemas.microsoft.com/office/drawing/2014/main" id="{00000000-0008-0000-0200-0000A704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2" name="$E$92">
            <a:extLst>
              <a:ext uri="{FF2B5EF4-FFF2-40B4-BE49-F238E27FC236}">
                <a16:creationId xmlns:a16="http://schemas.microsoft.com/office/drawing/2014/main" id="{00000000-0008-0000-0200-0000A804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3" name="$E$92">
            <a:extLst>
              <a:ext uri="{FF2B5EF4-FFF2-40B4-BE49-F238E27FC236}">
                <a16:creationId xmlns:a16="http://schemas.microsoft.com/office/drawing/2014/main" id="{00000000-0008-0000-0200-0000A90400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4" name="$E$92">
            <a:extLst>
              <a:ext uri="{FF2B5EF4-FFF2-40B4-BE49-F238E27FC236}">
                <a16:creationId xmlns:a16="http://schemas.microsoft.com/office/drawing/2014/main" id="{00000000-0008-0000-0200-0000AA040000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5" name="$E$92">
            <a:extLst>
              <a:ext uri="{FF2B5EF4-FFF2-40B4-BE49-F238E27FC236}">
                <a16:creationId xmlns:a16="http://schemas.microsoft.com/office/drawing/2014/main" id="{00000000-0008-0000-0200-0000AB04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6" name="$E$92">
            <a:extLst>
              <a:ext uri="{FF2B5EF4-FFF2-40B4-BE49-F238E27FC236}">
                <a16:creationId xmlns:a16="http://schemas.microsoft.com/office/drawing/2014/main" id="{00000000-0008-0000-0200-0000AC0400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7" name="$E$92">
            <a:extLst>
              <a:ext uri="{FF2B5EF4-FFF2-40B4-BE49-F238E27FC236}">
                <a16:creationId xmlns:a16="http://schemas.microsoft.com/office/drawing/2014/main" id="{00000000-0008-0000-0200-0000AD0400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8" name="$E$92">
            <a:extLst>
              <a:ext uri="{FF2B5EF4-FFF2-40B4-BE49-F238E27FC236}">
                <a16:creationId xmlns:a16="http://schemas.microsoft.com/office/drawing/2014/main" id="{00000000-0008-0000-0200-0000AE04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99" name="$E$92">
            <a:extLst>
              <a:ext uri="{FF2B5EF4-FFF2-40B4-BE49-F238E27FC236}">
                <a16:creationId xmlns:a16="http://schemas.microsoft.com/office/drawing/2014/main" id="{00000000-0008-0000-0200-0000AF04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0" name="$E$92">
            <a:extLst>
              <a:ext uri="{FF2B5EF4-FFF2-40B4-BE49-F238E27FC236}">
                <a16:creationId xmlns:a16="http://schemas.microsoft.com/office/drawing/2014/main" id="{00000000-0008-0000-0200-0000B004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1" name="$E$92">
            <a:extLst>
              <a:ext uri="{FF2B5EF4-FFF2-40B4-BE49-F238E27FC236}">
                <a16:creationId xmlns:a16="http://schemas.microsoft.com/office/drawing/2014/main" id="{00000000-0008-0000-0200-0000B104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2" name="$E$92">
            <a:extLst>
              <a:ext uri="{FF2B5EF4-FFF2-40B4-BE49-F238E27FC236}">
                <a16:creationId xmlns:a16="http://schemas.microsoft.com/office/drawing/2014/main" id="{00000000-0008-0000-0200-0000B204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3" name="$E$92">
            <a:extLst>
              <a:ext uri="{FF2B5EF4-FFF2-40B4-BE49-F238E27FC236}">
                <a16:creationId xmlns:a16="http://schemas.microsoft.com/office/drawing/2014/main" id="{00000000-0008-0000-0200-0000B304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4" name="$E$92">
            <a:extLst>
              <a:ext uri="{FF2B5EF4-FFF2-40B4-BE49-F238E27FC236}">
                <a16:creationId xmlns:a16="http://schemas.microsoft.com/office/drawing/2014/main" id="{00000000-0008-0000-0200-0000B404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5" name="$E$92">
            <a:extLst>
              <a:ext uri="{FF2B5EF4-FFF2-40B4-BE49-F238E27FC236}">
                <a16:creationId xmlns:a16="http://schemas.microsoft.com/office/drawing/2014/main" id="{00000000-0008-0000-0200-0000B504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6" name="$E$92">
            <a:extLst>
              <a:ext uri="{FF2B5EF4-FFF2-40B4-BE49-F238E27FC236}">
                <a16:creationId xmlns:a16="http://schemas.microsoft.com/office/drawing/2014/main" id="{00000000-0008-0000-0200-0000B604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7" name="$E$92">
            <a:extLst>
              <a:ext uri="{FF2B5EF4-FFF2-40B4-BE49-F238E27FC236}">
                <a16:creationId xmlns:a16="http://schemas.microsoft.com/office/drawing/2014/main" id="{00000000-0008-0000-0200-0000B704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8" name="$E$92">
            <a:extLst>
              <a:ext uri="{FF2B5EF4-FFF2-40B4-BE49-F238E27FC236}">
                <a16:creationId xmlns:a16="http://schemas.microsoft.com/office/drawing/2014/main" id="{00000000-0008-0000-0200-0000B80400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9" name="$E$92">
            <a:extLst>
              <a:ext uri="{FF2B5EF4-FFF2-40B4-BE49-F238E27FC236}">
                <a16:creationId xmlns:a16="http://schemas.microsoft.com/office/drawing/2014/main" id="{00000000-0008-0000-0200-0000B90400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0" name="$E$92">
            <a:extLst>
              <a:ext uri="{FF2B5EF4-FFF2-40B4-BE49-F238E27FC236}">
                <a16:creationId xmlns:a16="http://schemas.microsoft.com/office/drawing/2014/main" id="{00000000-0008-0000-0200-0000BA04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1" name="$E$92">
            <a:extLst>
              <a:ext uri="{FF2B5EF4-FFF2-40B4-BE49-F238E27FC236}">
                <a16:creationId xmlns:a16="http://schemas.microsoft.com/office/drawing/2014/main" id="{00000000-0008-0000-0200-0000BB04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2" name="$E$92">
            <a:extLst>
              <a:ext uri="{FF2B5EF4-FFF2-40B4-BE49-F238E27FC236}">
                <a16:creationId xmlns:a16="http://schemas.microsoft.com/office/drawing/2014/main" id="{00000000-0008-0000-0200-0000BC04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3" name="$E$92">
            <a:extLst>
              <a:ext uri="{FF2B5EF4-FFF2-40B4-BE49-F238E27FC236}">
                <a16:creationId xmlns:a16="http://schemas.microsoft.com/office/drawing/2014/main" id="{00000000-0008-0000-0200-0000BD04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4" name="$E$92">
            <a:extLst>
              <a:ext uri="{FF2B5EF4-FFF2-40B4-BE49-F238E27FC236}">
                <a16:creationId xmlns:a16="http://schemas.microsoft.com/office/drawing/2014/main" id="{00000000-0008-0000-0200-0000BE04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5" name="$E$92">
            <a:extLst>
              <a:ext uri="{FF2B5EF4-FFF2-40B4-BE49-F238E27FC236}">
                <a16:creationId xmlns:a16="http://schemas.microsoft.com/office/drawing/2014/main" id="{00000000-0008-0000-0200-0000BF04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6" name="$E$92">
            <a:extLst>
              <a:ext uri="{FF2B5EF4-FFF2-40B4-BE49-F238E27FC236}">
                <a16:creationId xmlns:a16="http://schemas.microsoft.com/office/drawing/2014/main" id="{00000000-0008-0000-0200-0000C004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7" name="$E$92">
            <a:extLst>
              <a:ext uri="{FF2B5EF4-FFF2-40B4-BE49-F238E27FC236}">
                <a16:creationId xmlns:a16="http://schemas.microsoft.com/office/drawing/2014/main" id="{00000000-0008-0000-0200-0000C104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8" name="$E$92">
            <a:extLst>
              <a:ext uri="{FF2B5EF4-FFF2-40B4-BE49-F238E27FC236}">
                <a16:creationId xmlns:a16="http://schemas.microsoft.com/office/drawing/2014/main" id="{00000000-0008-0000-0200-0000C204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19" name="$E$92">
            <a:extLst>
              <a:ext uri="{FF2B5EF4-FFF2-40B4-BE49-F238E27FC236}">
                <a16:creationId xmlns:a16="http://schemas.microsoft.com/office/drawing/2014/main" id="{00000000-0008-0000-0200-0000C304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0" name="$E$92">
            <a:extLst>
              <a:ext uri="{FF2B5EF4-FFF2-40B4-BE49-F238E27FC236}">
                <a16:creationId xmlns:a16="http://schemas.microsoft.com/office/drawing/2014/main" id="{00000000-0008-0000-0200-0000C404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1" name="$E$92">
            <a:extLst>
              <a:ext uri="{FF2B5EF4-FFF2-40B4-BE49-F238E27FC236}">
                <a16:creationId xmlns:a16="http://schemas.microsoft.com/office/drawing/2014/main" id="{00000000-0008-0000-0200-0000C504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2" name="$E$92">
            <a:extLst>
              <a:ext uri="{FF2B5EF4-FFF2-40B4-BE49-F238E27FC236}">
                <a16:creationId xmlns:a16="http://schemas.microsoft.com/office/drawing/2014/main" id="{00000000-0008-0000-0200-0000C604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3" name="$E$92">
            <a:extLst>
              <a:ext uri="{FF2B5EF4-FFF2-40B4-BE49-F238E27FC236}">
                <a16:creationId xmlns:a16="http://schemas.microsoft.com/office/drawing/2014/main" id="{00000000-0008-0000-0200-0000C704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4" name="$E$92">
            <a:extLst>
              <a:ext uri="{FF2B5EF4-FFF2-40B4-BE49-F238E27FC236}">
                <a16:creationId xmlns:a16="http://schemas.microsoft.com/office/drawing/2014/main" id="{00000000-0008-0000-0200-0000C804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5" name="$E$92">
            <a:extLst>
              <a:ext uri="{FF2B5EF4-FFF2-40B4-BE49-F238E27FC236}">
                <a16:creationId xmlns:a16="http://schemas.microsoft.com/office/drawing/2014/main" id="{00000000-0008-0000-0200-0000C904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6" name="$E$92">
            <a:extLst>
              <a:ext uri="{FF2B5EF4-FFF2-40B4-BE49-F238E27FC236}">
                <a16:creationId xmlns:a16="http://schemas.microsoft.com/office/drawing/2014/main" id="{00000000-0008-0000-0200-0000CA04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7" name="$E$92">
            <a:extLst>
              <a:ext uri="{FF2B5EF4-FFF2-40B4-BE49-F238E27FC236}">
                <a16:creationId xmlns:a16="http://schemas.microsoft.com/office/drawing/2014/main" id="{00000000-0008-0000-0200-0000CB04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8" name="$E$92">
            <a:extLst>
              <a:ext uri="{FF2B5EF4-FFF2-40B4-BE49-F238E27FC236}">
                <a16:creationId xmlns:a16="http://schemas.microsoft.com/office/drawing/2014/main" id="{00000000-0008-0000-0200-0000CC04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29" name="$E$92">
            <a:extLst>
              <a:ext uri="{FF2B5EF4-FFF2-40B4-BE49-F238E27FC236}">
                <a16:creationId xmlns:a16="http://schemas.microsoft.com/office/drawing/2014/main" id="{00000000-0008-0000-0200-0000CD04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0" name="$E$92">
            <a:extLst>
              <a:ext uri="{FF2B5EF4-FFF2-40B4-BE49-F238E27FC236}">
                <a16:creationId xmlns:a16="http://schemas.microsoft.com/office/drawing/2014/main" id="{00000000-0008-0000-0200-0000CE04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1" name="$E$92">
            <a:extLst>
              <a:ext uri="{FF2B5EF4-FFF2-40B4-BE49-F238E27FC236}">
                <a16:creationId xmlns:a16="http://schemas.microsoft.com/office/drawing/2014/main" id="{00000000-0008-0000-0200-0000CF04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2" name="$E$92">
            <a:extLst>
              <a:ext uri="{FF2B5EF4-FFF2-40B4-BE49-F238E27FC236}">
                <a16:creationId xmlns:a16="http://schemas.microsoft.com/office/drawing/2014/main" id="{00000000-0008-0000-0200-0000D004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3" name="$E$92">
            <a:extLst>
              <a:ext uri="{FF2B5EF4-FFF2-40B4-BE49-F238E27FC236}">
                <a16:creationId xmlns:a16="http://schemas.microsoft.com/office/drawing/2014/main" id="{00000000-0008-0000-0200-0000D104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4" name="$E$92">
            <a:extLst>
              <a:ext uri="{FF2B5EF4-FFF2-40B4-BE49-F238E27FC236}">
                <a16:creationId xmlns:a16="http://schemas.microsoft.com/office/drawing/2014/main" id="{00000000-0008-0000-0200-0000D204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5" name="$E$92">
            <a:extLst>
              <a:ext uri="{FF2B5EF4-FFF2-40B4-BE49-F238E27FC236}">
                <a16:creationId xmlns:a16="http://schemas.microsoft.com/office/drawing/2014/main" id="{00000000-0008-0000-0200-0000D304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6" name="$E$92">
            <a:extLst>
              <a:ext uri="{FF2B5EF4-FFF2-40B4-BE49-F238E27FC236}">
                <a16:creationId xmlns:a16="http://schemas.microsoft.com/office/drawing/2014/main" id="{00000000-0008-0000-0200-0000D404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7" name="$E$92">
            <a:extLst>
              <a:ext uri="{FF2B5EF4-FFF2-40B4-BE49-F238E27FC236}">
                <a16:creationId xmlns:a16="http://schemas.microsoft.com/office/drawing/2014/main" id="{00000000-0008-0000-0200-0000D504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8" name="$E$92">
            <a:extLst>
              <a:ext uri="{FF2B5EF4-FFF2-40B4-BE49-F238E27FC236}">
                <a16:creationId xmlns:a16="http://schemas.microsoft.com/office/drawing/2014/main" id="{00000000-0008-0000-0200-0000D604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39" name="$E$92">
            <a:extLst>
              <a:ext uri="{FF2B5EF4-FFF2-40B4-BE49-F238E27FC236}">
                <a16:creationId xmlns:a16="http://schemas.microsoft.com/office/drawing/2014/main" id="{00000000-0008-0000-0200-0000D704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0" name="$E$92">
            <a:extLst>
              <a:ext uri="{FF2B5EF4-FFF2-40B4-BE49-F238E27FC236}">
                <a16:creationId xmlns:a16="http://schemas.microsoft.com/office/drawing/2014/main" id="{00000000-0008-0000-0200-0000D804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1" name="$E$92">
            <a:extLst>
              <a:ext uri="{FF2B5EF4-FFF2-40B4-BE49-F238E27FC236}">
                <a16:creationId xmlns:a16="http://schemas.microsoft.com/office/drawing/2014/main" id="{00000000-0008-0000-0200-0000D904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2" name="$E$92">
            <a:extLst>
              <a:ext uri="{FF2B5EF4-FFF2-40B4-BE49-F238E27FC236}">
                <a16:creationId xmlns:a16="http://schemas.microsoft.com/office/drawing/2014/main" id="{00000000-0008-0000-0200-0000DA0400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3" name="$E$92">
            <a:extLst>
              <a:ext uri="{FF2B5EF4-FFF2-40B4-BE49-F238E27FC236}">
                <a16:creationId xmlns:a16="http://schemas.microsoft.com/office/drawing/2014/main" id="{00000000-0008-0000-0200-0000DB04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4" name="$E$92">
            <a:extLst>
              <a:ext uri="{FF2B5EF4-FFF2-40B4-BE49-F238E27FC236}">
                <a16:creationId xmlns:a16="http://schemas.microsoft.com/office/drawing/2014/main" id="{00000000-0008-0000-0200-0000DC04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5" name="$E$92">
            <a:extLst>
              <a:ext uri="{FF2B5EF4-FFF2-40B4-BE49-F238E27FC236}">
                <a16:creationId xmlns:a16="http://schemas.microsoft.com/office/drawing/2014/main" id="{00000000-0008-0000-0200-0000DD04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6" name="$E$92">
            <a:extLst>
              <a:ext uri="{FF2B5EF4-FFF2-40B4-BE49-F238E27FC236}">
                <a16:creationId xmlns:a16="http://schemas.microsoft.com/office/drawing/2014/main" id="{00000000-0008-0000-0200-0000DE04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7" name="$E$92">
            <a:extLst>
              <a:ext uri="{FF2B5EF4-FFF2-40B4-BE49-F238E27FC236}">
                <a16:creationId xmlns:a16="http://schemas.microsoft.com/office/drawing/2014/main" id="{00000000-0008-0000-0200-0000DF04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8" name="$E$92">
            <a:extLst>
              <a:ext uri="{FF2B5EF4-FFF2-40B4-BE49-F238E27FC236}">
                <a16:creationId xmlns:a16="http://schemas.microsoft.com/office/drawing/2014/main" id="{00000000-0008-0000-0200-0000E004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49" name="$E$92">
            <a:extLst>
              <a:ext uri="{FF2B5EF4-FFF2-40B4-BE49-F238E27FC236}">
                <a16:creationId xmlns:a16="http://schemas.microsoft.com/office/drawing/2014/main" id="{00000000-0008-0000-0200-0000E104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0" name="$E$92">
            <a:extLst>
              <a:ext uri="{FF2B5EF4-FFF2-40B4-BE49-F238E27FC236}">
                <a16:creationId xmlns:a16="http://schemas.microsoft.com/office/drawing/2014/main" id="{00000000-0008-0000-0200-0000E204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1" name="$E$92">
            <a:extLst>
              <a:ext uri="{FF2B5EF4-FFF2-40B4-BE49-F238E27FC236}">
                <a16:creationId xmlns:a16="http://schemas.microsoft.com/office/drawing/2014/main" id="{00000000-0008-0000-0200-0000E304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2" name="$E$92">
            <a:extLst>
              <a:ext uri="{FF2B5EF4-FFF2-40B4-BE49-F238E27FC236}">
                <a16:creationId xmlns:a16="http://schemas.microsoft.com/office/drawing/2014/main" id="{00000000-0008-0000-0200-0000E404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3" name="$E$92">
            <a:extLst>
              <a:ext uri="{FF2B5EF4-FFF2-40B4-BE49-F238E27FC236}">
                <a16:creationId xmlns:a16="http://schemas.microsoft.com/office/drawing/2014/main" id="{00000000-0008-0000-0200-0000E504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4" name="$E$92">
            <a:extLst>
              <a:ext uri="{FF2B5EF4-FFF2-40B4-BE49-F238E27FC236}">
                <a16:creationId xmlns:a16="http://schemas.microsoft.com/office/drawing/2014/main" id="{00000000-0008-0000-0200-0000E60400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5" name="$E$92">
            <a:extLst>
              <a:ext uri="{FF2B5EF4-FFF2-40B4-BE49-F238E27FC236}">
                <a16:creationId xmlns:a16="http://schemas.microsoft.com/office/drawing/2014/main" id="{00000000-0008-0000-0200-0000E704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6" name="$E$92">
            <a:extLst>
              <a:ext uri="{FF2B5EF4-FFF2-40B4-BE49-F238E27FC236}">
                <a16:creationId xmlns:a16="http://schemas.microsoft.com/office/drawing/2014/main" id="{00000000-0008-0000-0200-0000E804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7" name="$E$92">
            <a:extLst>
              <a:ext uri="{FF2B5EF4-FFF2-40B4-BE49-F238E27FC236}">
                <a16:creationId xmlns:a16="http://schemas.microsoft.com/office/drawing/2014/main" id="{00000000-0008-0000-0200-0000E904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8" name="$E$92">
            <a:extLst>
              <a:ext uri="{FF2B5EF4-FFF2-40B4-BE49-F238E27FC236}">
                <a16:creationId xmlns:a16="http://schemas.microsoft.com/office/drawing/2014/main" id="{00000000-0008-0000-0200-0000EA04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59" name="$E$92">
            <a:extLst>
              <a:ext uri="{FF2B5EF4-FFF2-40B4-BE49-F238E27FC236}">
                <a16:creationId xmlns:a16="http://schemas.microsoft.com/office/drawing/2014/main" id="{00000000-0008-0000-0200-0000EB04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0" name="$E$92">
            <a:extLst>
              <a:ext uri="{FF2B5EF4-FFF2-40B4-BE49-F238E27FC236}">
                <a16:creationId xmlns:a16="http://schemas.microsoft.com/office/drawing/2014/main" id="{00000000-0008-0000-0200-0000EC04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1" name="$E$92">
            <a:extLst>
              <a:ext uri="{FF2B5EF4-FFF2-40B4-BE49-F238E27FC236}">
                <a16:creationId xmlns:a16="http://schemas.microsoft.com/office/drawing/2014/main" id="{00000000-0008-0000-0200-0000ED04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2" name="$E$92">
            <a:extLst>
              <a:ext uri="{FF2B5EF4-FFF2-40B4-BE49-F238E27FC236}">
                <a16:creationId xmlns:a16="http://schemas.microsoft.com/office/drawing/2014/main" id="{00000000-0008-0000-0200-0000EE04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3" name="$E$92">
            <a:extLst>
              <a:ext uri="{FF2B5EF4-FFF2-40B4-BE49-F238E27FC236}">
                <a16:creationId xmlns:a16="http://schemas.microsoft.com/office/drawing/2014/main" id="{00000000-0008-0000-0200-0000EF04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4" name="$E$92">
            <a:extLst>
              <a:ext uri="{FF2B5EF4-FFF2-40B4-BE49-F238E27FC236}">
                <a16:creationId xmlns:a16="http://schemas.microsoft.com/office/drawing/2014/main" id="{00000000-0008-0000-0200-0000F004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5" name="$E$92">
            <a:extLst>
              <a:ext uri="{FF2B5EF4-FFF2-40B4-BE49-F238E27FC236}">
                <a16:creationId xmlns:a16="http://schemas.microsoft.com/office/drawing/2014/main" id="{00000000-0008-0000-0200-0000F104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6" name="$E$92">
            <a:extLst>
              <a:ext uri="{FF2B5EF4-FFF2-40B4-BE49-F238E27FC236}">
                <a16:creationId xmlns:a16="http://schemas.microsoft.com/office/drawing/2014/main" id="{00000000-0008-0000-0200-0000F204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7" name="$E$92">
            <a:extLst>
              <a:ext uri="{FF2B5EF4-FFF2-40B4-BE49-F238E27FC236}">
                <a16:creationId xmlns:a16="http://schemas.microsoft.com/office/drawing/2014/main" id="{00000000-0008-0000-0200-0000F304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8" name="$E$92">
            <a:extLst>
              <a:ext uri="{FF2B5EF4-FFF2-40B4-BE49-F238E27FC236}">
                <a16:creationId xmlns:a16="http://schemas.microsoft.com/office/drawing/2014/main" id="{00000000-0008-0000-0200-0000F404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69" name="$E$92">
            <a:extLst>
              <a:ext uri="{FF2B5EF4-FFF2-40B4-BE49-F238E27FC236}">
                <a16:creationId xmlns:a16="http://schemas.microsoft.com/office/drawing/2014/main" id="{00000000-0008-0000-0200-0000F504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0" name="$E$92">
            <a:extLst>
              <a:ext uri="{FF2B5EF4-FFF2-40B4-BE49-F238E27FC236}">
                <a16:creationId xmlns:a16="http://schemas.microsoft.com/office/drawing/2014/main" id="{00000000-0008-0000-0200-0000F60400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1" name="$E$92">
            <a:extLst>
              <a:ext uri="{FF2B5EF4-FFF2-40B4-BE49-F238E27FC236}">
                <a16:creationId xmlns:a16="http://schemas.microsoft.com/office/drawing/2014/main" id="{00000000-0008-0000-0200-0000F704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2" name="$E$92">
            <a:extLst>
              <a:ext uri="{FF2B5EF4-FFF2-40B4-BE49-F238E27FC236}">
                <a16:creationId xmlns:a16="http://schemas.microsoft.com/office/drawing/2014/main" id="{00000000-0008-0000-0200-0000F80400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3" name="$E$92">
            <a:extLst>
              <a:ext uri="{FF2B5EF4-FFF2-40B4-BE49-F238E27FC236}">
                <a16:creationId xmlns:a16="http://schemas.microsoft.com/office/drawing/2014/main" id="{00000000-0008-0000-0200-0000F904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" name="$E$92">
            <a:extLst>
              <a:ext uri="{FF2B5EF4-FFF2-40B4-BE49-F238E27FC236}">
                <a16:creationId xmlns:a16="http://schemas.microsoft.com/office/drawing/2014/main" id="{00000000-0008-0000-0200-0000FA0400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" name="$E$92">
            <a:extLst>
              <a:ext uri="{FF2B5EF4-FFF2-40B4-BE49-F238E27FC236}">
                <a16:creationId xmlns:a16="http://schemas.microsoft.com/office/drawing/2014/main" id="{00000000-0008-0000-0200-0000FB04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" name="$E$92">
            <a:extLst>
              <a:ext uri="{FF2B5EF4-FFF2-40B4-BE49-F238E27FC236}">
                <a16:creationId xmlns:a16="http://schemas.microsoft.com/office/drawing/2014/main" id="{00000000-0008-0000-0200-0000FC04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" name="$E$92">
            <a:extLst>
              <a:ext uri="{FF2B5EF4-FFF2-40B4-BE49-F238E27FC236}">
                <a16:creationId xmlns:a16="http://schemas.microsoft.com/office/drawing/2014/main" id="{00000000-0008-0000-0200-0000FD04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" name="$E$92">
            <a:extLst>
              <a:ext uri="{FF2B5EF4-FFF2-40B4-BE49-F238E27FC236}">
                <a16:creationId xmlns:a16="http://schemas.microsoft.com/office/drawing/2014/main" id="{00000000-0008-0000-0200-0000FE04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" name="$E$92">
            <a:extLst>
              <a:ext uri="{FF2B5EF4-FFF2-40B4-BE49-F238E27FC236}">
                <a16:creationId xmlns:a16="http://schemas.microsoft.com/office/drawing/2014/main" id="{00000000-0008-0000-0200-0000FF04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0" name="$E$92">
            <a:extLst>
              <a:ext uri="{FF2B5EF4-FFF2-40B4-BE49-F238E27FC236}">
                <a16:creationId xmlns:a16="http://schemas.microsoft.com/office/drawing/2014/main" id="{00000000-0008-0000-0200-00000005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1" name="$E$92">
            <a:extLst>
              <a:ext uri="{FF2B5EF4-FFF2-40B4-BE49-F238E27FC236}">
                <a16:creationId xmlns:a16="http://schemas.microsoft.com/office/drawing/2014/main" id="{00000000-0008-0000-0200-00000105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2" name="$E$92">
            <a:extLst>
              <a:ext uri="{FF2B5EF4-FFF2-40B4-BE49-F238E27FC236}">
                <a16:creationId xmlns:a16="http://schemas.microsoft.com/office/drawing/2014/main" id="{00000000-0008-0000-0200-00000205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3" name="$E$92">
            <a:extLst>
              <a:ext uri="{FF2B5EF4-FFF2-40B4-BE49-F238E27FC236}">
                <a16:creationId xmlns:a16="http://schemas.microsoft.com/office/drawing/2014/main" id="{00000000-0008-0000-0200-00000305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4" name="$E$92">
            <a:extLst>
              <a:ext uri="{FF2B5EF4-FFF2-40B4-BE49-F238E27FC236}">
                <a16:creationId xmlns:a16="http://schemas.microsoft.com/office/drawing/2014/main" id="{00000000-0008-0000-0200-00000405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5" name="$E$92">
            <a:extLst>
              <a:ext uri="{FF2B5EF4-FFF2-40B4-BE49-F238E27FC236}">
                <a16:creationId xmlns:a16="http://schemas.microsoft.com/office/drawing/2014/main" id="{00000000-0008-0000-0200-00000505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6" name="$E$92">
            <a:extLst>
              <a:ext uri="{FF2B5EF4-FFF2-40B4-BE49-F238E27FC236}">
                <a16:creationId xmlns:a16="http://schemas.microsoft.com/office/drawing/2014/main" id="{00000000-0008-0000-0200-00000605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7" name="$E$92">
            <a:extLst>
              <a:ext uri="{FF2B5EF4-FFF2-40B4-BE49-F238E27FC236}">
                <a16:creationId xmlns:a16="http://schemas.microsoft.com/office/drawing/2014/main" id="{00000000-0008-0000-0200-00000705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8" name="$E$92">
            <a:extLst>
              <a:ext uri="{FF2B5EF4-FFF2-40B4-BE49-F238E27FC236}">
                <a16:creationId xmlns:a16="http://schemas.microsoft.com/office/drawing/2014/main" id="{00000000-0008-0000-0200-00000805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89" name="$E$92">
            <a:extLst>
              <a:ext uri="{FF2B5EF4-FFF2-40B4-BE49-F238E27FC236}">
                <a16:creationId xmlns:a16="http://schemas.microsoft.com/office/drawing/2014/main" id="{00000000-0008-0000-0200-00000905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0" name="$E$92">
            <a:extLst>
              <a:ext uri="{FF2B5EF4-FFF2-40B4-BE49-F238E27FC236}">
                <a16:creationId xmlns:a16="http://schemas.microsoft.com/office/drawing/2014/main" id="{00000000-0008-0000-0200-00000A05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1" name="$E$92">
            <a:extLst>
              <a:ext uri="{FF2B5EF4-FFF2-40B4-BE49-F238E27FC236}">
                <a16:creationId xmlns:a16="http://schemas.microsoft.com/office/drawing/2014/main" id="{00000000-0008-0000-0200-00000B05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2" name="$E$92">
            <a:extLst>
              <a:ext uri="{FF2B5EF4-FFF2-40B4-BE49-F238E27FC236}">
                <a16:creationId xmlns:a16="http://schemas.microsoft.com/office/drawing/2014/main" id="{00000000-0008-0000-0200-00000C05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3" name="$E$92">
            <a:extLst>
              <a:ext uri="{FF2B5EF4-FFF2-40B4-BE49-F238E27FC236}">
                <a16:creationId xmlns:a16="http://schemas.microsoft.com/office/drawing/2014/main" id="{00000000-0008-0000-0200-00000D05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4" name="$E$92">
            <a:extLst>
              <a:ext uri="{FF2B5EF4-FFF2-40B4-BE49-F238E27FC236}">
                <a16:creationId xmlns:a16="http://schemas.microsoft.com/office/drawing/2014/main" id="{00000000-0008-0000-0200-00000E05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5" name="$E$92">
            <a:extLst>
              <a:ext uri="{FF2B5EF4-FFF2-40B4-BE49-F238E27FC236}">
                <a16:creationId xmlns:a16="http://schemas.microsoft.com/office/drawing/2014/main" id="{00000000-0008-0000-0200-00000F05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6" name="$E$92">
            <a:extLst>
              <a:ext uri="{FF2B5EF4-FFF2-40B4-BE49-F238E27FC236}">
                <a16:creationId xmlns:a16="http://schemas.microsoft.com/office/drawing/2014/main" id="{00000000-0008-0000-0200-00001005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7" name="$E$92">
            <a:extLst>
              <a:ext uri="{FF2B5EF4-FFF2-40B4-BE49-F238E27FC236}">
                <a16:creationId xmlns:a16="http://schemas.microsoft.com/office/drawing/2014/main" id="{00000000-0008-0000-0200-00001105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8" name="$E$92">
            <a:extLst>
              <a:ext uri="{FF2B5EF4-FFF2-40B4-BE49-F238E27FC236}">
                <a16:creationId xmlns:a16="http://schemas.microsoft.com/office/drawing/2014/main" id="{00000000-0008-0000-0200-00001205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99" name="$E$92">
            <a:extLst>
              <a:ext uri="{FF2B5EF4-FFF2-40B4-BE49-F238E27FC236}">
                <a16:creationId xmlns:a16="http://schemas.microsoft.com/office/drawing/2014/main" id="{00000000-0008-0000-0200-00001305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0" name="$E$92">
            <a:extLst>
              <a:ext uri="{FF2B5EF4-FFF2-40B4-BE49-F238E27FC236}">
                <a16:creationId xmlns:a16="http://schemas.microsoft.com/office/drawing/2014/main" id="{00000000-0008-0000-0200-00001405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1" name="$E$92">
            <a:extLst>
              <a:ext uri="{FF2B5EF4-FFF2-40B4-BE49-F238E27FC236}">
                <a16:creationId xmlns:a16="http://schemas.microsoft.com/office/drawing/2014/main" id="{00000000-0008-0000-0200-00001505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2" name="$E$92">
            <a:extLst>
              <a:ext uri="{FF2B5EF4-FFF2-40B4-BE49-F238E27FC236}">
                <a16:creationId xmlns:a16="http://schemas.microsoft.com/office/drawing/2014/main" id="{00000000-0008-0000-0200-00001605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3" name="$E$92">
            <a:extLst>
              <a:ext uri="{FF2B5EF4-FFF2-40B4-BE49-F238E27FC236}">
                <a16:creationId xmlns:a16="http://schemas.microsoft.com/office/drawing/2014/main" id="{00000000-0008-0000-0200-00001705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4" name="$E$92">
            <a:extLst>
              <a:ext uri="{FF2B5EF4-FFF2-40B4-BE49-F238E27FC236}">
                <a16:creationId xmlns:a16="http://schemas.microsoft.com/office/drawing/2014/main" id="{00000000-0008-0000-0200-00001805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5" name="$E$92">
            <a:extLst>
              <a:ext uri="{FF2B5EF4-FFF2-40B4-BE49-F238E27FC236}">
                <a16:creationId xmlns:a16="http://schemas.microsoft.com/office/drawing/2014/main" id="{00000000-0008-0000-0200-00001905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6" name="$E$92">
            <a:extLst>
              <a:ext uri="{FF2B5EF4-FFF2-40B4-BE49-F238E27FC236}">
                <a16:creationId xmlns:a16="http://schemas.microsoft.com/office/drawing/2014/main" id="{00000000-0008-0000-0200-00001A05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7" name="$E$92">
            <a:extLst>
              <a:ext uri="{FF2B5EF4-FFF2-40B4-BE49-F238E27FC236}">
                <a16:creationId xmlns:a16="http://schemas.microsoft.com/office/drawing/2014/main" id="{00000000-0008-0000-0200-00001B05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8" name="$E$92">
            <a:extLst>
              <a:ext uri="{FF2B5EF4-FFF2-40B4-BE49-F238E27FC236}">
                <a16:creationId xmlns:a16="http://schemas.microsoft.com/office/drawing/2014/main" id="{00000000-0008-0000-0200-00001C05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09" name="$E$92">
            <a:extLst>
              <a:ext uri="{FF2B5EF4-FFF2-40B4-BE49-F238E27FC236}">
                <a16:creationId xmlns:a16="http://schemas.microsoft.com/office/drawing/2014/main" id="{00000000-0008-0000-0200-00001D050000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0" name="$E$92">
            <a:extLst>
              <a:ext uri="{FF2B5EF4-FFF2-40B4-BE49-F238E27FC236}">
                <a16:creationId xmlns:a16="http://schemas.microsoft.com/office/drawing/2014/main" id="{00000000-0008-0000-0200-00001E05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1" name="$E$92">
            <a:extLst>
              <a:ext uri="{FF2B5EF4-FFF2-40B4-BE49-F238E27FC236}">
                <a16:creationId xmlns:a16="http://schemas.microsoft.com/office/drawing/2014/main" id="{00000000-0008-0000-0200-00001F05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2" name="$E$92">
            <a:extLst>
              <a:ext uri="{FF2B5EF4-FFF2-40B4-BE49-F238E27FC236}">
                <a16:creationId xmlns:a16="http://schemas.microsoft.com/office/drawing/2014/main" id="{00000000-0008-0000-0200-00002005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3" name="$E$92">
            <a:extLst>
              <a:ext uri="{FF2B5EF4-FFF2-40B4-BE49-F238E27FC236}">
                <a16:creationId xmlns:a16="http://schemas.microsoft.com/office/drawing/2014/main" id="{00000000-0008-0000-0200-00002105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4" name="$E$92">
            <a:extLst>
              <a:ext uri="{FF2B5EF4-FFF2-40B4-BE49-F238E27FC236}">
                <a16:creationId xmlns:a16="http://schemas.microsoft.com/office/drawing/2014/main" id="{00000000-0008-0000-0200-00002205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5" name="$E$92">
            <a:extLst>
              <a:ext uri="{FF2B5EF4-FFF2-40B4-BE49-F238E27FC236}">
                <a16:creationId xmlns:a16="http://schemas.microsoft.com/office/drawing/2014/main" id="{00000000-0008-0000-0200-00002305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6" name="$E$92">
            <a:extLst>
              <a:ext uri="{FF2B5EF4-FFF2-40B4-BE49-F238E27FC236}">
                <a16:creationId xmlns:a16="http://schemas.microsoft.com/office/drawing/2014/main" id="{00000000-0008-0000-0200-00002405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7" name="$E$92">
            <a:extLst>
              <a:ext uri="{FF2B5EF4-FFF2-40B4-BE49-F238E27FC236}">
                <a16:creationId xmlns:a16="http://schemas.microsoft.com/office/drawing/2014/main" id="{00000000-0008-0000-0200-00002505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8" name="$E$92">
            <a:extLst>
              <a:ext uri="{FF2B5EF4-FFF2-40B4-BE49-F238E27FC236}">
                <a16:creationId xmlns:a16="http://schemas.microsoft.com/office/drawing/2014/main" id="{00000000-0008-0000-0200-00002605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19" name="$E$92">
            <a:extLst>
              <a:ext uri="{FF2B5EF4-FFF2-40B4-BE49-F238E27FC236}">
                <a16:creationId xmlns:a16="http://schemas.microsoft.com/office/drawing/2014/main" id="{00000000-0008-0000-0200-00002705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0" name="$E$92">
            <a:extLst>
              <a:ext uri="{FF2B5EF4-FFF2-40B4-BE49-F238E27FC236}">
                <a16:creationId xmlns:a16="http://schemas.microsoft.com/office/drawing/2014/main" id="{00000000-0008-0000-0200-00002805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1" name="$E$92">
            <a:extLst>
              <a:ext uri="{FF2B5EF4-FFF2-40B4-BE49-F238E27FC236}">
                <a16:creationId xmlns:a16="http://schemas.microsoft.com/office/drawing/2014/main" id="{00000000-0008-0000-0200-00002905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2" name="$E$92">
            <a:extLst>
              <a:ext uri="{FF2B5EF4-FFF2-40B4-BE49-F238E27FC236}">
                <a16:creationId xmlns:a16="http://schemas.microsoft.com/office/drawing/2014/main" id="{00000000-0008-0000-0200-00002A05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3" name="$E$92">
            <a:extLst>
              <a:ext uri="{FF2B5EF4-FFF2-40B4-BE49-F238E27FC236}">
                <a16:creationId xmlns:a16="http://schemas.microsoft.com/office/drawing/2014/main" id="{00000000-0008-0000-0200-00002B0500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4" name="$E$92">
            <a:extLst>
              <a:ext uri="{FF2B5EF4-FFF2-40B4-BE49-F238E27FC236}">
                <a16:creationId xmlns:a16="http://schemas.microsoft.com/office/drawing/2014/main" id="{00000000-0008-0000-0200-00002C05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5" name="$E$92">
            <a:extLst>
              <a:ext uri="{FF2B5EF4-FFF2-40B4-BE49-F238E27FC236}">
                <a16:creationId xmlns:a16="http://schemas.microsoft.com/office/drawing/2014/main" id="{00000000-0008-0000-0200-00002D0500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6" name="$E$92">
            <a:extLst>
              <a:ext uri="{FF2B5EF4-FFF2-40B4-BE49-F238E27FC236}">
                <a16:creationId xmlns:a16="http://schemas.microsoft.com/office/drawing/2014/main" id="{00000000-0008-0000-0200-00002E05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7" name="$E$92">
            <a:extLst>
              <a:ext uri="{FF2B5EF4-FFF2-40B4-BE49-F238E27FC236}">
                <a16:creationId xmlns:a16="http://schemas.microsoft.com/office/drawing/2014/main" id="{00000000-0008-0000-0200-00002F05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8" name="$E$92">
            <a:extLst>
              <a:ext uri="{FF2B5EF4-FFF2-40B4-BE49-F238E27FC236}">
                <a16:creationId xmlns:a16="http://schemas.microsoft.com/office/drawing/2014/main" id="{00000000-0008-0000-0200-00003005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29" name="$E$92">
            <a:extLst>
              <a:ext uri="{FF2B5EF4-FFF2-40B4-BE49-F238E27FC236}">
                <a16:creationId xmlns:a16="http://schemas.microsoft.com/office/drawing/2014/main" id="{00000000-0008-0000-0200-00003105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0" name="$E$92">
            <a:extLst>
              <a:ext uri="{FF2B5EF4-FFF2-40B4-BE49-F238E27FC236}">
                <a16:creationId xmlns:a16="http://schemas.microsoft.com/office/drawing/2014/main" id="{00000000-0008-0000-0200-00003205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1" name="$E$92">
            <a:extLst>
              <a:ext uri="{FF2B5EF4-FFF2-40B4-BE49-F238E27FC236}">
                <a16:creationId xmlns:a16="http://schemas.microsoft.com/office/drawing/2014/main" id="{00000000-0008-0000-0200-00003305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2" name="$E$92">
            <a:extLst>
              <a:ext uri="{FF2B5EF4-FFF2-40B4-BE49-F238E27FC236}">
                <a16:creationId xmlns:a16="http://schemas.microsoft.com/office/drawing/2014/main" id="{00000000-0008-0000-0200-00003405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3" name="$E$92">
            <a:extLst>
              <a:ext uri="{FF2B5EF4-FFF2-40B4-BE49-F238E27FC236}">
                <a16:creationId xmlns:a16="http://schemas.microsoft.com/office/drawing/2014/main" id="{00000000-0008-0000-0200-00003505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4" name="$E$92">
            <a:extLst>
              <a:ext uri="{FF2B5EF4-FFF2-40B4-BE49-F238E27FC236}">
                <a16:creationId xmlns:a16="http://schemas.microsoft.com/office/drawing/2014/main" id="{00000000-0008-0000-0200-00003605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5" name="$E$92">
            <a:extLst>
              <a:ext uri="{FF2B5EF4-FFF2-40B4-BE49-F238E27FC236}">
                <a16:creationId xmlns:a16="http://schemas.microsoft.com/office/drawing/2014/main" id="{00000000-0008-0000-0200-00003705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6" name="$E$92">
            <a:extLst>
              <a:ext uri="{FF2B5EF4-FFF2-40B4-BE49-F238E27FC236}">
                <a16:creationId xmlns:a16="http://schemas.microsoft.com/office/drawing/2014/main" id="{00000000-0008-0000-0200-00003805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7" name="$E$92">
            <a:extLst>
              <a:ext uri="{FF2B5EF4-FFF2-40B4-BE49-F238E27FC236}">
                <a16:creationId xmlns:a16="http://schemas.microsoft.com/office/drawing/2014/main" id="{00000000-0008-0000-0200-00003905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8" name="$E$92">
            <a:extLst>
              <a:ext uri="{FF2B5EF4-FFF2-40B4-BE49-F238E27FC236}">
                <a16:creationId xmlns:a16="http://schemas.microsoft.com/office/drawing/2014/main" id="{00000000-0008-0000-0200-00003A05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39" name="$E$92">
            <a:extLst>
              <a:ext uri="{FF2B5EF4-FFF2-40B4-BE49-F238E27FC236}">
                <a16:creationId xmlns:a16="http://schemas.microsoft.com/office/drawing/2014/main" id="{00000000-0008-0000-0200-00003B05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0" name="$E$92">
            <a:extLst>
              <a:ext uri="{FF2B5EF4-FFF2-40B4-BE49-F238E27FC236}">
                <a16:creationId xmlns:a16="http://schemas.microsoft.com/office/drawing/2014/main" id="{00000000-0008-0000-0200-00003C05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1" name="$E$92">
            <a:extLst>
              <a:ext uri="{FF2B5EF4-FFF2-40B4-BE49-F238E27FC236}">
                <a16:creationId xmlns:a16="http://schemas.microsoft.com/office/drawing/2014/main" id="{00000000-0008-0000-0200-00003D05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2" name="$E$92">
            <a:extLst>
              <a:ext uri="{FF2B5EF4-FFF2-40B4-BE49-F238E27FC236}">
                <a16:creationId xmlns:a16="http://schemas.microsoft.com/office/drawing/2014/main" id="{00000000-0008-0000-0200-00003E05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3" name="$E$92">
            <a:extLst>
              <a:ext uri="{FF2B5EF4-FFF2-40B4-BE49-F238E27FC236}">
                <a16:creationId xmlns:a16="http://schemas.microsoft.com/office/drawing/2014/main" id="{00000000-0008-0000-0200-00003F05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4" name="$E$92">
            <a:extLst>
              <a:ext uri="{FF2B5EF4-FFF2-40B4-BE49-F238E27FC236}">
                <a16:creationId xmlns:a16="http://schemas.microsoft.com/office/drawing/2014/main" id="{00000000-0008-0000-0200-00004005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5" name="$E$92">
            <a:extLst>
              <a:ext uri="{FF2B5EF4-FFF2-40B4-BE49-F238E27FC236}">
                <a16:creationId xmlns:a16="http://schemas.microsoft.com/office/drawing/2014/main" id="{00000000-0008-0000-0200-00004105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6" name="$E$92">
            <a:extLst>
              <a:ext uri="{FF2B5EF4-FFF2-40B4-BE49-F238E27FC236}">
                <a16:creationId xmlns:a16="http://schemas.microsoft.com/office/drawing/2014/main" id="{00000000-0008-0000-0200-00004205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7" name="$E$92">
            <a:extLst>
              <a:ext uri="{FF2B5EF4-FFF2-40B4-BE49-F238E27FC236}">
                <a16:creationId xmlns:a16="http://schemas.microsoft.com/office/drawing/2014/main" id="{00000000-0008-0000-0200-00004305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8" name="$E$92">
            <a:extLst>
              <a:ext uri="{FF2B5EF4-FFF2-40B4-BE49-F238E27FC236}">
                <a16:creationId xmlns:a16="http://schemas.microsoft.com/office/drawing/2014/main" id="{00000000-0008-0000-0200-00004405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49" name="$E$92">
            <a:extLst>
              <a:ext uri="{FF2B5EF4-FFF2-40B4-BE49-F238E27FC236}">
                <a16:creationId xmlns:a16="http://schemas.microsoft.com/office/drawing/2014/main" id="{00000000-0008-0000-0200-00004505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0" name="$E$92">
            <a:extLst>
              <a:ext uri="{FF2B5EF4-FFF2-40B4-BE49-F238E27FC236}">
                <a16:creationId xmlns:a16="http://schemas.microsoft.com/office/drawing/2014/main" id="{00000000-0008-0000-0200-00004605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1" name="$E$92">
            <a:extLst>
              <a:ext uri="{FF2B5EF4-FFF2-40B4-BE49-F238E27FC236}">
                <a16:creationId xmlns:a16="http://schemas.microsoft.com/office/drawing/2014/main" id="{00000000-0008-0000-0200-00004705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2" name="$E$92">
            <a:extLst>
              <a:ext uri="{FF2B5EF4-FFF2-40B4-BE49-F238E27FC236}">
                <a16:creationId xmlns:a16="http://schemas.microsoft.com/office/drawing/2014/main" id="{00000000-0008-0000-0200-00004805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3" name="$E$92">
            <a:extLst>
              <a:ext uri="{FF2B5EF4-FFF2-40B4-BE49-F238E27FC236}">
                <a16:creationId xmlns:a16="http://schemas.microsoft.com/office/drawing/2014/main" id="{00000000-0008-0000-0200-00004905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4" name="$E$92">
            <a:extLst>
              <a:ext uri="{FF2B5EF4-FFF2-40B4-BE49-F238E27FC236}">
                <a16:creationId xmlns:a16="http://schemas.microsoft.com/office/drawing/2014/main" id="{00000000-0008-0000-0200-00004A05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5" name="$E$92">
            <a:extLst>
              <a:ext uri="{FF2B5EF4-FFF2-40B4-BE49-F238E27FC236}">
                <a16:creationId xmlns:a16="http://schemas.microsoft.com/office/drawing/2014/main" id="{00000000-0008-0000-0200-00004B05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6" name="$E$92">
            <a:extLst>
              <a:ext uri="{FF2B5EF4-FFF2-40B4-BE49-F238E27FC236}">
                <a16:creationId xmlns:a16="http://schemas.microsoft.com/office/drawing/2014/main" id="{00000000-0008-0000-0200-00004C05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7" name="$E$92">
            <a:extLst>
              <a:ext uri="{FF2B5EF4-FFF2-40B4-BE49-F238E27FC236}">
                <a16:creationId xmlns:a16="http://schemas.microsoft.com/office/drawing/2014/main" id="{00000000-0008-0000-0200-00004D05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8" name="$E$92">
            <a:extLst>
              <a:ext uri="{FF2B5EF4-FFF2-40B4-BE49-F238E27FC236}">
                <a16:creationId xmlns:a16="http://schemas.microsoft.com/office/drawing/2014/main" id="{00000000-0008-0000-0200-00004E050000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59" name="$E$92">
            <a:extLst>
              <a:ext uri="{FF2B5EF4-FFF2-40B4-BE49-F238E27FC236}">
                <a16:creationId xmlns:a16="http://schemas.microsoft.com/office/drawing/2014/main" id="{00000000-0008-0000-0200-00004F05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0" name="$E$92">
            <a:extLst>
              <a:ext uri="{FF2B5EF4-FFF2-40B4-BE49-F238E27FC236}">
                <a16:creationId xmlns:a16="http://schemas.microsoft.com/office/drawing/2014/main" id="{00000000-0008-0000-0200-00005005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1" name="$E$92">
            <a:extLst>
              <a:ext uri="{FF2B5EF4-FFF2-40B4-BE49-F238E27FC236}">
                <a16:creationId xmlns:a16="http://schemas.microsoft.com/office/drawing/2014/main" id="{00000000-0008-0000-0200-00005105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2" name="$E$92">
            <a:extLst>
              <a:ext uri="{FF2B5EF4-FFF2-40B4-BE49-F238E27FC236}">
                <a16:creationId xmlns:a16="http://schemas.microsoft.com/office/drawing/2014/main" id="{00000000-0008-0000-0200-00005205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3" name="$E$92">
            <a:extLst>
              <a:ext uri="{FF2B5EF4-FFF2-40B4-BE49-F238E27FC236}">
                <a16:creationId xmlns:a16="http://schemas.microsoft.com/office/drawing/2014/main" id="{00000000-0008-0000-0200-00005305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4" name="$E$92">
            <a:extLst>
              <a:ext uri="{FF2B5EF4-FFF2-40B4-BE49-F238E27FC236}">
                <a16:creationId xmlns:a16="http://schemas.microsoft.com/office/drawing/2014/main" id="{00000000-0008-0000-0200-00005405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5" name="$E$92">
            <a:extLst>
              <a:ext uri="{FF2B5EF4-FFF2-40B4-BE49-F238E27FC236}">
                <a16:creationId xmlns:a16="http://schemas.microsoft.com/office/drawing/2014/main" id="{00000000-0008-0000-0200-00005505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6" name="$E$92">
            <a:extLst>
              <a:ext uri="{FF2B5EF4-FFF2-40B4-BE49-F238E27FC236}">
                <a16:creationId xmlns:a16="http://schemas.microsoft.com/office/drawing/2014/main" id="{00000000-0008-0000-0200-00005605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7" name="$E$92">
            <a:extLst>
              <a:ext uri="{FF2B5EF4-FFF2-40B4-BE49-F238E27FC236}">
                <a16:creationId xmlns:a16="http://schemas.microsoft.com/office/drawing/2014/main" id="{00000000-0008-0000-0200-00005705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8" name="$E$92">
            <a:extLst>
              <a:ext uri="{FF2B5EF4-FFF2-40B4-BE49-F238E27FC236}">
                <a16:creationId xmlns:a16="http://schemas.microsoft.com/office/drawing/2014/main" id="{00000000-0008-0000-0200-00005805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69" name="$E$92">
            <a:extLst>
              <a:ext uri="{FF2B5EF4-FFF2-40B4-BE49-F238E27FC236}">
                <a16:creationId xmlns:a16="http://schemas.microsoft.com/office/drawing/2014/main" id="{00000000-0008-0000-0200-00005905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0" name="$E$92">
            <a:extLst>
              <a:ext uri="{FF2B5EF4-FFF2-40B4-BE49-F238E27FC236}">
                <a16:creationId xmlns:a16="http://schemas.microsoft.com/office/drawing/2014/main" id="{00000000-0008-0000-0200-00005A05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1" name="$E$92">
            <a:extLst>
              <a:ext uri="{FF2B5EF4-FFF2-40B4-BE49-F238E27FC236}">
                <a16:creationId xmlns:a16="http://schemas.microsoft.com/office/drawing/2014/main" id="{00000000-0008-0000-0200-00005B05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2" name="$E$92">
            <a:extLst>
              <a:ext uri="{FF2B5EF4-FFF2-40B4-BE49-F238E27FC236}">
                <a16:creationId xmlns:a16="http://schemas.microsoft.com/office/drawing/2014/main" id="{00000000-0008-0000-0200-00005C05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" name="$E$92">
            <a:extLst>
              <a:ext uri="{FF2B5EF4-FFF2-40B4-BE49-F238E27FC236}">
                <a16:creationId xmlns:a16="http://schemas.microsoft.com/office/drawing/2014/main" id="{00000000-0008-0000-0200-00005D05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" name="$E$92">
            <a:extLst>
              <a:ext uri="{FF2B5EF4-FFF2-40B4-BE49-F238E27FC236}">
                <a16:creationId xmlns:a16="http://schemas.microsoft.com/office/drawing/2014/main" id="{00000000-0008-0000-0200-00005E05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" name="$E$92">
            <a:extLst>
              <a:ext uri="{FF2B5EF4-FFF2-40B4-BE49-F238E27FC236}">
                <a16:creationId xmlns:a16="http://schemas.microsoft.com/office/drawing/2014/main" id="{00000000-0008-0000-0200-00005F050000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" name="$E$92">
            <a:extLst>
              <a:ext uri="{FF2B5EF4-FFF2-40B4-BE49-F238E27FC236}">
                <a16:creationId xmlns:a16="http://schemas.microsoft.com/office/drawing/2014/main" id="{00000000-0008-0000-0200-000060050000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" name="$E$92">
            <a:extLst>
              <a:ext uri="{FF2B5EF4-FFF2-40B4-BE49-F238E27FC236}">
                <a16:creationId xmlns:a16="http://schemas.microsoft.com/office/drawing/2014/main" id="{00000000-0008-0000-0200-00006105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" name="$E$92">
            <a:extLst>
              <a:ext uri="{FF2B5EF4-FFF2-40B4-BE49-F238E27FC236}">
                <a16:creationId xmlns:a16="http://schemas.microsoft.com/office/drawing/2014/main" id="{00000000-0008-0000-0200-00006205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" name="$E$92">
            <a:extLst>
              <a:ext uri="{FF2B5EF4-FFF2-40B4-BE49-F238E27FC236}">
                <a16:creationId xmlns:a16="http://schemas.microsoft.com/office/drawing/2014/main" id="{00000000-0008-0000-0200-00006305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" name="$E$92">
            <a:extLst>
              <a:ext uri="{FF2B5EF4-FFF2-40B4-BE49-F238E27FC236}">
                <a16:creationId xmlns:a16="http://schemas.microsoft.com/office/drawing/2014/main" id="{00000000-0008-0000-0200-00006405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" name="$E$92">
            <a:extLst>
              <a:ext uri="{FF2B5EF4-FFF2-40B4-BE49-F238E27FC236}">
                <a16:creationId xmlns:a16="http://schemas.microsoft.com/office/drawing/2014/main" id="{00000000-0008-0000-0200-00006505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" name="$E$92">
            <a:extLst>
              <a:ext uri="{FF2B5EF4-FFF2-40B4-BE49-F238E27FC236}">
                <a16:creationId xmlns:a16="http://schemas.microsoft.com/office/drawing/2014/main" id="{00000000-0008-0000-0200-00006605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" name="$E$92">
            <a:extLst>
              <a:ext uri="{FF2B5EF4-FFF2-40B4-BE49-F238E27FC236}">
                <a16:creationId xmlns:a16="http://schemas.microsoft.com/office/drawing/2014/main" id="{00000000-0008-0000-0200-00006705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" name="$E$92">
            <a:extLst>
              <a:ext uri="{FF2B5EF4-FFF2-40B4-BE49-F238E27FC236}">
                <a16:creationId xmlns:a16="http://schemas.microsoft.com/office/drawing/2014/main" id="{00000000-0008-0000-0200-00006805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" name="$E$92">
            <a:extLst>
              <a:ext uri="{FF2B5EF4-FFF2-40B4-BE49-F238E27FC236}">
                <a16:creationId xmlns:a16="http://schemas.microsoft.com/office/drawing/2014/main" id="{00000000-0008-0000-0200-00006905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" name="$E$92">
            <a:extLst>
              <a:ext uri="{FF2B5EF4-FFF2-40B4-BE49-F238E27FC236}">
                <a16:creationId xmlns:a16="http://schemas.microsoft.com/office/drawing/2014/main" id="{00000000-0008-0000-0200-00006A05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" name="$E$92">
            <a:extLst>
              <a:ext uri="{FF2B5EF4-FFF2-40B4-BE49-F238E27FC236}">
                <a16:creationId xmlns:a16="http://schemas.microsoft.com/office/drawing/2014/main" id="{00000000-0008-0000-0200-00006B05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" name="$E$92">
            <a:extLst>
              <a:ext uri="{FF2B5EF4-FFF2-40B4-BE49-F238E27FC236}">
                <a16:creationId xmlns:a16="http://schemas.microsoft.com/office/drawing/2014/main" id="{00000000-0008-0000-0200-00006C05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" name="$E$92">
            <a:extLst>
              <a:ext uri="{FF2B5EF4-FFF2-40B4-BE49-F238E27FC236}">
                <a16:creationId xmlns:a16="http://schemas.microsoft.com/office/drawing/2014/main" id="{00000000-0008-0000-0200-00006D05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" name="$E$92">
            <a:extLst>
              <a:ext uri="{FF2B5EF4-FFF2-40B4-BE49-F238E27FC236}">
                <a16:creationId xmlns:a16="http://schemas.microsoft.com/office/drawing/2014/main" id="{00000000-0008-0000-0200-00006E05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" name="$E$92">
            <a:extLst>
              <a:ext uri="{FF2B5EF4-FFF2-40B4-BE49-F238E27FC236}">
                <a16:creationId xmlns:a16="http://schemas.microsoft.com/office/drawing/2014/main" id="{00000000-0008-0000-0200-00006F05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" name="$E$92">
            <a:extLst>
              <a:ext uri="{FF2B5EF4-FFF2-40B4-BE49-F238E27FC236}">
                <a16:creationId xmlns:a16="http://schemas.microsoft.com/office/drawing/2014/main" id="{00000000-0008-0000-0200-00007005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" name="$E$92">
            <a:extLst>
              <a:ext uri="{FF2B5EF4-FFF2-40B4-BE49-F238E27FC236}">
                <a16:creationId xmlns:a16="http://schemas.microsoft.com/office/drawing/2014/main" id="{00000000-0008-0000-0200-00007105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" name="$E$92">
            <a:extLst>
              <a:ext uri="{FF2B5EF4-FFF2-40B4-BE49-F238E27FC236}">
                <a16:creationId xmlns:a16="http://schemas.microsoft.com/office/drawing/2014/main" id="{00000000-0008-0000-0200-00007205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" name="$E$92">
            <a:extLst>
              <a:ext uri="{FF2B5EF4-FFF2-40B4-BE49-F238E27FC236}">
                <a16:creationId xmlns:a16="http://schemas.microsoft.com/office/drawing/2014/main" id="{00000000-0008-0000-0200-00007305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" name="$E$92">
            <a:extLst>
              <a:ext uri="{FF2B5EF4-FFF2-40B4-BE49-F238E27FC236}">
                <a16:creationId xmlns:a16="http://schemas.microsoft.com/office/drawing/2014/main" id="{00000000-0008-0000-0200-00007405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" name="$E$92">
            <a:extLst>
              <a:ext uri="{FF2B5EF4-FFF2-40B4-BE49-F238E27FC236}">
                <a16:creationId xmlns:a16="http://schemas.microsoft.com/office/drawing/2014/main" id="{00000000-0008-0000-0200-00007505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" name="$E$92">
            <a:extLst>
              <a:ext uri="{FF2B5EF4-FFF2-40B4-BE49-F238E27FC236}">
                <a16:creationId xmlns:a16="http://schemas.microsoft.com/office/drawing/2014/main" id="{00000000-0008-0000-0200-0000760500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" name="$E$92">
            <a:extLst>
              <a:ext uri="{FF2B5EF4-FFF2-40B4-BE49-F238E27FC236}">
                <a16:creationId xmlns:a16="http://schemas.microsoft.com/office/drawing/2014/main" id="{00000000-0008-0000-0200-000077050000}"/>
              </a:ext>
            </a:extLst>
          </xdr:cNvPr>
          <xdr:cNvSpPr/>
        </xdr:nvSpPr>
        <xdr:spPr>
          <a:xfrm>
            <a:off x="228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" name="$E$92">
            <a:extLst>
              <a:ext uri="{FF2B5EF4-FFF2-40B4-BE49-F238E27FC236}">
                <a16:creationId xmlns:a16="http://schemas.microsoft.com/office/drawing/2014/main" id="{00000000-0008-0000-0200-00007805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" name="$E$92">
            <a:extLst>
              <a:ext uri="{FF2B5EF4-FFF2-40B4-BE49-F238E27FC236}">
                <a16:creationId xmlns:a16="http://schemas.microsoft.com/office/drawing/2014/main" id="{00000000-0008-0000-0200-00007905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" name="$E$92">
            <a:extLst>
              <a:ext uri="{FF2B5EF4-FFF2-40B4-BE49-F238E27FC236}">
                <a16:creationId xmlns:a16="http://schemas.microsoft.com/office/drawing/2014/main" id="{00000000-0008-0000-0200-00007A05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" name="$E$92">
            <a:extLst>
              <a:ext uri="{FF2B5EF4-FFF2-40B4-BE49-F238E27FC236}">
                <a16:creationId xmlns:a16="http://schemas.microsoft.com/office/drawing/2014/main" id="{00000000-0008-0000-0200-00007B05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" name="$E$92">
            <a:extLst>
              <a:ext uri="{FF2B5EF4-FFF2-40B4-BE49-F238E27FC236}">
                <a16:creationId xmlns:a16="http://schemas.microsoft.com/office/drawing/2014/main" id="{00000000-0008-0000-0200-00007C05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" name="$E$92">
            <a:extLst>
              <a:ext uri="{FF2B5EF4-FFF2-40B4-BE49-F238E27FC236}">
                <a16:creationId xmlns:a16="http://schemas.microsoft.com/office/drawing/2014/main" id="{00000000-0008-0000-0200-00007D05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" name="$E$92">
            <a:extLst>
              <a:ext uri="{FF2B5EF4-FFF2-40B4-BE49-F238E27FC236}">
                <a16:creationId xmlns:a16="http://schemas.microsoft.com/office/drawing/2014/main" id="{00000000-0008-0000-0200-00007E05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" name="$E$92">
            <a:extLst>
              <a:ext uri="{FF2B5EF4-FFF2-40B4-BE49-F238E27FC236}">
                <a16:creationId xmlns:a16="http://schemas.microsoft.com/office/drawing/2014/main" id="{00000000-0008-0000-0200-00007F05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" name="$E$92">
            <a:extLst>
              <a:ext uri="{FF2B5EF4-FFF2-40B4-BE49-F238E27FC236}">
                <a16:creationId xmlns:a16="http://schemas.microsoft.com/office/drawing/2014/main" id="{00000000-0008-0000-0200-00008005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" name="$E$92">
            <a:extLst>
              <a:ext uri="{FF2B5EF4-FFF2-40B4-BE49-F238E27FC236}">
                <a16:creationId xmlns:a16="http://schemas.microsoft.com/office/drawing/2014/main" id="{00000000-0008-0000-0200-00008105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" name="$E$92">
            <a:extLst>
              <a:ext uri="{FF2B5EF4-FFF2-40B4-BE49-F238E27FC236}">
                <a16:creationId xmlns:a16="http://schemas.microsoft.com/office/drawing/2014/main" id="{00000000-0008-0000-0200-00008205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" name="$E$92">
            <a:extLst>
              <a:ext uri="{FF2B5EF4-FFF2-40B4-BE49-F238E27FC236}">
                <a16:creationId xmlns:a16="http://schemas.microsoft.com/office/drawing/2014/main" id="{00000000-0008-0000-0200-00008305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" name="$E$92">
            <a:extLst>
              <a:ext uri="{FF2B5EF4-FFF2-40B4-BE49-F238E27FC236}">
                <a16:creationId xmlns:a16="http://schemas.microsoft.com/office/drawing/2014/main" id="{00000000-0008-0000-0200-00008405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" name="$E$92">
            <a:extLst>
              <a:ext uri="{FF2B5EF4-FFF2-40B4-BE49-F238E27FC236}">
                <a16:creationId xmlns:a16="http://schemas.microsoft.com/office/drawing/2014/main" id="{00000000-0008-0000-0200-00008505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" name="$E$92">
            <a:extLst>
              <a:ext uri="{FF2B5EF4-FFF2-40B4-BE49-F238E27FC236}">
                <a16:creationId xmlns:a16="http://schemas.microsoft.com/office/drawing/2014/main" id="{00000000-0008-0000-0200-00008605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" name="$E$92">
            <a:extLst>
              <a:ext uri="{FF2B5EF4-FFF2-40B4-BE49-F238E27FC236}">
                <a16:creationId xmlns:a16="http://schemas.microsoft.com/office/drawing/2014/main" id="{00000000-0008-0000-0200-000087050000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" name="$E$92">
            <a:extLst>
              <a:ext uri="{FF2B5EF4-FFF2-40B4-BE49-F238E27FC236}">
                <a16:creationId xmlns:a16="http://schemas.microsoft.com/office/drawing/2014/main" id="{00000000-0008-0000-0200-000088050000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" name="$E$92">
            <a:extLst>
              <a:ext uri="{FF2B5EF4-FFF2-40B4-BE49-F238E27FC236}">
                <a16:creationId xmlns:a16="http://schemas.microsoft.com/office/drawing/2014/main" id="{00000000-0008-0000-0200-0000890500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" name="$E$92">
            <a:extLst>
              <a:ext uri="{FF2B5EF4-FFF2-40B4-BE49-F238E27FC236}">
                <a16:creationId xmlns:a16="http://schemas.microsoft.com/office/drawing/2014/main" id="{00000000-0008-0000-0200-00008A05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" name="$E$92">
            <a:extLst>
              <a:ext uri="{FF2B5EF4-FFF2-40B4-BE49-F238E27FC236}">
                <a16:creationId xmlns:a16="http://schemas.microsoft.com/office/drawing/2014/main" id="{00000000-0008-0000-0200-00008B05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" name="$E$92">
            <a:extLst>
              <a:ext uri="{FF2B5EF4-FFF2-40B4-BE49-F238E27FC236}">
                <a16:creationId xmlns:a16="http://schemas.microsoft.com/office/drawing/2014/main" id="{00000000-0008-0000-0200-00008C05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" name="$E$92">
            <a:extLst>
              <a:ext uri="{FF2B5EF4-FFF2-40B4-BE49-F238E27FC236}">
                <a16:creationId xmlns:a16="http://schemas.microsoft.com/office/drawing/2014/main" id="{00000000-0008-0000-0200-00008D05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" name="$E$92">
            <a:extLst>
              <a:ext uri="{FF2B5EF4-FFF2-40B4-BE49-F238E27FC236}">
                <a16:creationId xmlns:a16="http://schemas.microsoft.com/office/drawing/2014/main" id="{00000000-0008-0000-0200-00008E05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" name="$E$92">
            <a:extLst>
              <a:ext uri="{FF2B5EF4-FFF2-40B4-BE49-F238E27FC236}">
                <a16:creationId xmlns:a16="http://schemas.microsoft.com/office/drawing/2014/main" id="{00000000-0008-0000-0200-00008F05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" name="$E$92">
            <a:extLst>
              <a:ext uri="{FF2B5EF4-FFF2-40B4-BE49-F238E27FC236}">
                <a16:creationId xmlns:a16="http://schemas.microsoft.com/office/drawing/2014/main" id="{00000000-0008-0000-0200-00009005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173</xdr:row>
      <xdr:rowOff>41325</xdr:rowOff>
    </xdr:from>
    <xdr:to>
      <xdr:col>4</xdr:col>
      <xdr:colOff>1563647</xdr:colOff>
      <xdr:row>173</xdr:row>
      <xdr:rowOff>1511269</xdr:rowOff>
    </xdr:to>
    <xdr:grpSp>
      <xdr:nvGrpSpPr>
        <xdr:cNvPr id="6962" name="$E$174" descr="QuickResponse barcode, level M, version 5, mode binary, 37x37 cells" title="https://centrodecapacitaciondelsur.com/soporte-cardiovascular-avanzado-27082089/">
          <a:extLst>
            <a:ext uri="{FF2B5EF4-FFF2-40B4-BE49-F238E27FC236}">
              <a16:creationId xmlns:a16="http://schemas.microsoft.com/office/drawing/2014/main" id="{0C5B5176-7A36-4834-86A9-5DF4FD53B43E}"/>
            </a:ext>
          </a:extLst>
        </xdr:cNvPr>
        <xdr:cNvGrpSpPr>
          <a:grpSpLocks noChangeAspect="1"/>
        </xdr:cNvGrpSpPr>
      </xdr:nvGrpSpPr>
      <xdr:grpSpPr>
        <a:xfrm>
          <a:off x="20667703" y="218849625"/>
          <a:ext cx="1469944" cy="1469944"/>
          <a:chOff x="0" y="0"/>
          <a:chExt cx="469900" cy="469900"/>
        </a:xfrm>
      </xdr:grpSpPr>
      <xdr:sp macro="" textlink="">
        <xdr:nvSpPr>
          <xdr:cNvPr id="6267" name="$E$174">
            <a:extLst>
              <a:ext uri="{FF2B5EF4-FFF2-40B4-BE49-F238E27FC236}">
                <a16:creationId xmlns:a16="http://schemas.microsoft.com/office/drawing/2014/main" id="{AE3FAA56-8B0B-450A-A30C-BC245AA844ED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8" name="$E$174">
            <a:extLst>
              <a:ext uri="{FF2B5EF4-FFF2-40B4-BE49-F238E27FC236}">
                <a16:creationId xmlns:a16="http://schemas.microsoft.com/office/drawing/2014/main" id="{D8A7F81B-41F6-4749-B6D5-0419E99DD8A2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9" name="$E$174">
            <a:extLst>
              <a:ext uri="{FF2B5EF4-FFF2-40B4-BE49-F238E27FC236}">
                <a16:creationId xmlns:a16="http://schemas.microsoft.com/office/drawing/2014/main" id="{7FB67774-DDF3-40EE-BB52-6433C0F2BB3E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0" name="$E$174">
            <a:extLst>
              <a:ext uri="{FF2B5EF4-FFF2-40B4-BE49-F238E27FC236}">
                <a16:creationId xmlns:a16="http://schemas.microsoft.com/office/drawing/2014/main" id="{241C2031-4DCA-464C-9A3F-3977D02EAA96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1" name="$E$174">
            <a:extLst>
              <a:ext uri="{FF2B5EF4-FFF2-40B4-BE49-F238E27FC236}">
                <a16:creationId xmlns:a16="http://schemas.microsoft.com/office/drawing/2014/main" id="{A097958E-6BD9-4B03-AA97-93D7698AB91E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2" name="$E$174">
            <a:extLst>
              <a:ext uri="{FF2B5EF4-FFF2-40B4-BE49-F238E27FC236}">
                <a16:creationId xmlns:a16="http://schemas.microsoft.com/office/drawing/2014/main" id="{BF4D3A23-5EED-4F0F-B1AD-6B1FB47189F2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3" name="$E$174">
            <a:extLst>
              <a:ext uri="{FF2B5EF4-FFF2-40B4-BE49-F238E27FC236}">
                <a16:creationId xmlns:a16="http://schemas.microsoft.com/office/drawing/2014/main" id="{F8ADAD4A-E16D-40D3-A291-83BFD7FF0C68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4" name="$E$174">
            <a:extLst>
              <a:ext uri="{FF2B5EF4-FFF2-40B4-BE49-F238E27FC236}">
                <a16:creationId xmlns:a16="http://schemas.microsoft.com/office/drawing/2014/main" id="{76B5078B-C1D6-4F61-8030-773CBD888DC1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5" name="$E$174">
            <a:extLst>
              <a:ext uri="{FF2B5EF4-FFF2-40B4-BE49-F238E27FC236}">
                <a16:creationId xmlns:a16="http://schemas.microsoft.com/office/drawing/2014/main" id="{8796B083-CEFC-4A3F-A963-8C937FB7AF8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6" name="$E$174">
            <a:extLst>
              <a:ext uri="{FF2B5EF4-FFF2-40B4-BE49-F238E27FC236}">
                <a16:creationId xmlns:a16="http://schemas.microsoft.com/office/drawing/2014/main" id="{7BC582C5-3B95-48E3-A448-AF06A51AA2AF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7" name="$E$174">
            <a:extLst>
              <a:ext uri="{FF2B5EF4-FFF2-40B4-BE49-F238E27FC236}">
                <a16:creationId xmlns:a16="http://schemas.microsoft.com/office/drawing/2014/main" id="{4FE016C7-1806-4F1B-84D8-99BE2883CB87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8" name="$E$174">
            <a:extLst>
              <a:ext uri="{FF2B5EF4-FFF2-40B4-BE49-F238E27FC236}">
                <a16:creationId xmlns:a16="http://schemas.microsoft.com/office/drawing/2014/main" id="{4F025C80-2A21-4C22-95B7-BDC0B408E70D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9" name="$E$174">
            <a:extLst>
              <a:ext uri="{FF2B5EF4-FFF2-40B4-BE49-F238E27FC236}">
                <a16:creationId xmlns:a16="http://schemas.microsoft.com/office/drawing/2014/main" id="{ABF52A3F-D639-49B4-9FE8-D57BAEAEB572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0" name="$E$174">
            <a:extLst>
              <a:ext uri="{FF2B5EF4-FFF2-40B4-BE49-F238E27FC236}">
                <a16:creationId xmlns:a16="http://schemas.microsoft.com/office/drawing/2014/main" id="{9A44BC62-6B22-453A-A888-FA017366874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1" name="$E$174">
            <a:extLst>
              <a:ext uri="{FF2B5EF4-FFF2-40B4-BE49-F238E27FC236}">
                <a16:creationId xmlns:a16="http://schemas.microsoft.com/office/drawing/2014/main" id="{589E48C4-1079-41D8-B5A1-9C5533813EAC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2" name="$E$174">
            <a:extLst>
              <a:ext uri="{FF2B5EF4-FFF2-40B4-BE49-F238E27FC236}">
                <a16:creationId xmlns:a16="http://schemas.microsoft.com/office/drawing/2014/main" id="{271F7A0F-5002-4494-8BD5-391C8324CF40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3" name="$E$174">
            <a:extLst>
              <a:ext uri="{FF2B5EF4-FFF2-40B4-BE49-F238E27FC236}">
                <a16:creationId xmlns:a16="http://schemas.microsoft.com/office/drawing/2014/main" id="{F5A0A782-5CED-4CF6-A270-EF08D558EC66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4" name="$E$174">
            <a:extLst>
              <a:ext uri="{FF2B5EF4-FFF2-40B4-BE49-F238E27FC236}">
                <a16:creationId xmlns:a16="http://schemas.microsoft.com/office/drawing/2014/main" id="{FE6DC0D8-15C1-43B7-BDDA-83238839E3C2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5" name="$E$174">
            <a:extLst>
              <a:ext uri="{FF2B5EF4-FFF2-40B4-BE49-F238E27FC236}">
                <a16:creationId xmlns:a16="http://schemas.microsoft.com/office/drawing/2014/main" id="{F51414F4-C23F-4A4D-A5B7-212164AD9A7F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6" name="$E$174">
            <a:extLst>
              <a:ext uri="{FF2B5EF4-FFF2-40B4-BE49-F238E27FC236}">
                <a16:creationId xmlns:a16="http://schemas.microsoft.com/office/drawing/2014/main" id="{3CC7CBAD-476E-41D9-AF5C-FF0C36A383FE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7" name="$E$174">
            <a:extLst>
              <a:ext uri="{FF2B5EF4-FFF2-40B4-BE49-F238E27FC236}">
                <a16:creationId xmlns:a16="http://schemas.microsoft.com/office/drawing/2014/main" id="{1390F433-1562-4536-8F02-6A3504081774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8" name="$E$174">
            <a:extLst>
              <a:ext uri="{FF2B5EF4-FFF2-40B4-BE49-F238E27FC236}">
                <a16:creationId xmlns:a16="http://schemas.microsoft.com/office/drawing/2014/main" id="{9D034F4E-56B3-4D72-8825-253A45004C8E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9" name="$E$174">
            <a:extLst>
              <a:ext uri="{FF2B5EF4-FFF2-40B4-BE49-F238E27FC236}">
                <a16:creationId xmlns:a16="http://schemas.microsoft.com/office/drawing/2014/main" id="{37D46CF0-AA8F-46DA-9CAA-942E73239EE8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0" name="$E$174">
            <a:extLst>
              <a:ext uri="{FF2B5EF4-FFF2-40B4-BE49-F238E27FC236}">
                <a16:creationId xmlns:a16="http://schemas.microsoft.com/office/drawing/2014/main" id="{CE9CCD5D-7065-4FD5-8F2F-7DBB381691E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1" name="$E$174">
            <a:extLst>
              <a:ext uri="{FF2B5EF4-FFF2-40B4-BE49-F238E27FC236}">
                <a16:creationId xmlns:a16="http://schemas.microsoft.com/office/drawing/2014/main" id="{D25D0D30-C991-4053-8276-E73A42BF6925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2" name="$E$174">
            <a:extLst>
              <a:ext uri="{FF2B5EF4-FFF2-40B4-BE49-F238E27FC236}">
                <a16:creationId xmlns:a16="http://schemas.microsoft.com/office/drawing/2014/main" id="{F6F369F5-AB3B-4C7F-853A-9C2DA77AE57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3" name="$E$174">
            <a:extLst>
              <a:ext uri="{FF2B5EF4-FFF2-40B4-BE49-F238E27FC236}">
                <a16:creationId xmlns:a16="http://schemas.microsoft.com/office/drawing/2014/main" id="{DBE7861E-6387-404E-B027-653C64B95E7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4" name="$E$174">
            <a:extLst>
              <a:ext uri="{FF2B5EF4-FFF2-40B4-BE49-F238E27FC236}">
                <a16:creationId xmlns:a16="http://schemas.microsoft.com/office/drawing/2014/main" id="{F95C4C70-8BB3-4893-BEC8-3772C298A816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5" name="$E$174">
            <a:extLst>
              <a:ext uri="{FF2B5EF4-FFF2-40B4-BE49-F238E27FC236}">
                <a16:creationId xmlns:a16="http://schemas.microsoft.com/office/drawing/2014/main" id="{B93F22CB-F125-419C-BDE1-D7BF5235AC45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6" name="$E$174">
            <a:extLst>
              <a:ext uri="{FF2B5EF4-FFF2-40B4-BE49-F238E27FC236}">
                <a16:creationId xmlns:a16="http://schemas.microsoft.com/office/drawing/2014/main" id="{75513884-E612-4993-B6F4-673BD1F48AE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7" name="$E$174">
            <a:extLst>
              <a:ext uri="{FF2B5EF4-FFF2-40B4-BE49-F238E27FC236}">
                <a16:creationId xmlns:a16="http://schemas.microsoft.com/office/drawing/2014/main" id="{F9575B99-0BC5-46C3-9D47-6BE0CD8B8D83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8" name="$E$174">
            <a:extLst>
              <a:ext uri="{FF2B5EF4-FFF2-40B4-BE49-F238E27FC236}">
                <a16:creationId xmlns:a16="http://schemas.microsoft.com/office/drawing/2014/main" id="{A38FD4EE-FE75-4647-AB83-234852767D6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9" name="$E$174">
            <a:extLst>
              <a:ext uri="{FF2B5EF4-FFF2-40B4-BE49-F238E27FC236}">
                <a16:creationId xmlns:a16="http://schemas.microsoft.com/office/drawing/2014/main" id="{76106710-F0E0-46EC-83BB-714D0E0278E7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0" name="$E$174">
            <a:extLst>
              <a:ext uri="{FF2B5EF4-FFF2-40B4-BE49-F238E27FC236}">
                <a16:creationId xmlns:a16="http://schemas.microsoft.com/office/drawing/2014/main" id="{7D357039-A3D8-44A4-B2EC-839B9F941AF5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1" name="$E$174">
            <a:extLst>
              <a:ext uri="{FF2B5EF4-FFF2-40B4-BE49-F238E27FC236}">
                <a16:creationId xmlns:a16="http://schemas.microsoft.com/office/drawing/2014/main" id="{1BCD0EBA-BB23-4464-8E0A-298C291A10E8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2" name="$E$174">
            <a:extLst>
              <a:ext uri="{FF2B5EF4-FFF2-40B4-BE49-F238E27FC236}">
                <a16:creationId xmlns:a16="http://schemas.microsoft.com/office/drawing/2014/main" id="{1830628C-8B6A-418F-AF2B-CE17196AB5F4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3" name="$E$174">
            <a:extLst>
              <a:ext uri="{FF2B5EF4-FFF2-40B4-BE49-F238E27FC236}">
                <a16:creationId xmlns:a16="http://schemas.microsoft.com/office/drawing/2014/main" id="{5EAA5B84-8DCE-40C1-B5CF-88C6ABC46ED5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4" name="$E$174">
            <a:extLst>
              <a:ext uri="{FF2B5EF4-FFF2-40B4-BE49-F238E27FC236}">
                <a16:creationId xmlns:a16="http://schemas.microsoft.com/office/drawing/2014/main" id="{4681EDF6-3361-4F91-9612-B2EAE1DB09C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5" name="$E$174">
            <a:extLst>
              <a:ext uri="{FF2B5EF4-FFF2-40B4-BE49-F238E27FC236}">
                <a16:creationId xmlns:a16="http://schemas.microsoft.com/office/drawing/2014/main" id="{8DAC1753-D527-4A76-AAC2-6708CBEB05D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6" name="$E$174">
            <a:extLst>
              <a:ext uri="{FF2B5EF4-FFF2-40B4-BE49-F238E27FC236}">
                <a16:creationId xmlns:a16="http://schemas.microsoft.com/office/drawing/2014/main" id="{3AAB3FD4-CCA8-472D-810C-486E6E3D0DD8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7" name="$E$174">
            <a:extLst>
              <a:ext uri="{FF2B5EF4-FFF2-40B4-BE49-F238E27FC236}">
                <a16:creationId xmlns:a16="http://schemas.microsoft.com/office/drawing/2014/main" id="{2C30A1E1-5700-4827-995C-392B1421207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8" name="$E$174">
            <a:extLst>
              <a:ext uri="{FF2B5EF4-FFF2-40B4-BE49-F238E27FC236}">
                <a16:creationId xmlns:a16="http://schemas.microsoft.com/office/drawing/2014/main" id="{873DF280-682F-4F69-AF6B-CFEB3109C72D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9" name="$E$174">
            <a:extLst>
              <a:ext uri="{FF2B5EF4-FFF2-40B4-BE49-F238E27FC236}">
                <a16:creationId xmlns:a16="http://schemas.microsoft.com/office/drawing/2014/main" id="{BB42481F-ECE5-46C3-9045-5B226EFD59F6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0" name="$E$174">
            <a:extLst>
              <a:ext uri="{FF2B5EF4-FFF2-40B4-BE49-F238E27FC236}">
                <a16:creationId xmlns:a16="http://schemas.microsoft.com/office/drawing/2014/main" id="{DA2AF423-F9C9-42E6-AA62-5708F1B44A49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1" name="$E$174">
            <a:extLst>
              <a:ext uri="{FF2B5EF4-FFF2-40B4-BE49-F238E27FC236}">
                <a16:creationId xmlns:a16="http://schemas.microsoft.com/office/drawing/2014/main" id="{9A32C761-2AC9-44EF-91B1-645543D8BFB7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2" name="$E$174">
            <a:extLst>
              <a:ext uri="{FF2B5EF4-FFF2-40B4-BE49-F238E27FC236}">
                <a16:creationId xmlns:a16="http://schemas.microsoft.com/office/drawing/2014/main" id="{14B1532E-7185-4705-BC1D-5D8008472E39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3" name="$E$174">
            <a:extLst>
              <a:ext uri="{FF2B5EF4-FFF2-40B4-BE49-F238E27FC236}">
                <a16:creationId xmlns:a16="http://schemas.microsoft.com/office/drawing/2014/main" id="{1E9A3B32-F1B8-4C71-B2F6-FDE0E8E4FFCB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4" name="$E$174">
            <a:extLst>
              <a:ext uri="{FF2B5EF4-FFF2-40B4-BE49-F238E27FC236}">
                <a16:creationId xmlns:a16="http://schemas.microsoft.com/office/drawing/2014/main" id="{77B879E1-5428-41DF-84C5-817EB11F36D8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5" name="$E$174">
            <a:extLst>
              <a:ext uri="{FF2B5EF4-FFF2-40B4-BE49-F238E27FC236}">
                <a16:creationId xmlns:a16="http://schemas.microsoft.com/office/drawing/2014/main" id="{D7009F58-1443-4697-A6C0-1ABA4BBA8D6D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6" name="$E$174">
            <a:extLst>
              <a:ext uri="{FF2B5EF4-FFF2-40B4-BE49-F238E27FC236}">
                <a16:creationId xmlns:a16="http://schemas.microsoft.com/office/drawing/2014/main" id="{F3B7C476-1220-4AB1-A62F-AFC9C182F8FF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7" name="$E$174">
            <a:extLst>
              <a:ext uri="{FF2B5EF4-FFF2-40B4-BE49-F238E27FC236}">
                <a16:creationId xmlns:a16="http://schemas.microsoft.com/office/drawing/2014/main" id="{42EE97B7-DC70-4426-8085-9857E5A6B19E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8" name="$E$174">
            <a:extLst>
              <a:ext uri="{FF2B5EF4-FFF2-40B4-BE49-F238E27FC236}">
                <a16:creationId xmlns:a16="http://schemas.microsoft.com/office/drawing/2014/main" id="{6FAD7E82-B873-4284-8728-4D4E58DAE77D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9" name="$E$174">
            <a:extLst>
              <a:ext uri="{FF2B5EF4-FFF2-40B4-BE49-F238E27FC236}">
                <a16:creationId xmlns:a16="http://schemas.microsoft.com/office/drawing/2014/main" id="{81304A34-2F73-40B8-9B6E-13589D1792F6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0" name="$E$174">
            <a:extLst>
              <a:ext uri="{FF2B5EF4-FFF2-40B4-BE49-F238E27FC236}">
                <a16:creationId xmlns:a16="http://schemas.microsoft.com/office/drawing/2014/main" id="{97E6C6FE-F6EA-4CD3-9CCC-73986D1F60F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1" name="$E$174">
            <a:extLst>
              <a:ext uri="{FF2B5EF4-FFF2-40B4-BE49-F238E27FC236}">
                <a16:creationId xmlns:a16="http://schemas.microsoft.com/office/drawing/2014/main" id="{B6018498-1640-4E34-A1F4-6D36A0963957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2" name="$E$174">
            <a:extLst>
              <a:ext uri="{FF2B5EF4-FFF2-40B4-BE49-F238E27FC236}">
                <a16:creationId xmlns:a16="http://schemas.microsoft.com/office/drawing/2014/main" id="{A32E7A52-2BC0-41FD-8DE9-9AB865807084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3" name="$E$174">
            <a:extLst>
              <a:ext uri="{FF2B5EF4-FFF2-40B4-BE49-F238E27FC236}">
                <a16:creationId xmlns:a16="http://schemas.microsoft.com/office/drawing/2014/main" id="{B6A7356F-850F-4D0B-99EE-3BC4061F55FB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4" name="$E$174">
            <a:extLst>
              <a:ext uri="{FF2B5EF4-FFF2-40B4-BE49-F238E27FC236}">
                <a16:creationId xmlns:a16="http://schemas.microsoft.com/office/drawing/2014/main" id="{C176BDFE-130D-484E-A84F-308F689C4A8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5" name="$E$174">
            <a:extLst>
              <a:ext uri="{FF2B5EF4-FFF2-40B4-BE49-F238E27FC236}">
                <a16:creationId xmlns:a16="http://schemas.microsoft.com/office/drawing/2014/main" id="{A900860F-7855-4D23-A73E-59F3F3105DFC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6" name="$E$174">
            <a:extLst>
              <a:ext uri="{FF2B5EF4-FFF2-40B4-BE49-F238E27FC236}">
                <a16:creationId xmlns:a16="http://schemas.microsoft.com/office/drawing/2014/main" id="{BDE3AB9C-FBD3-4145-AEFF-5CF88523DF34}"/>
              </a:ext>
            </a:extLst>
          </xdr:cNvPr>
          <xdr:cNvSpPr/>
        </xdr:nvSpPr>
        <xdr:spPr>
          <a:xfrm>
            <a:off x="342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7" name="$E$174">
            <a:extLst>
              <a:ext uri="{FF2B5EF4-FFF2-40B4-BE49-F238E27FC236}">
                <a16:creationId xmlns:a16="http://schemas.microsoft.com/office/drawing/2014/main" id="{27273A2D-8BE3-4C1D-9635-DEEF23609613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8" name="$E$174">
            <a:extLst>
              <a:ext uri="{FF2B5EF4-FFF2-40B4-BE49-F238E27FC236}">
                <a16:creationId xmlns:a16="http://schemas.microsoft.com/office/drawing/2014/main" id="{1B2A18D8-8E7C-4A65-9A93-77450640B03C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9" name="$E$174">
            <a:extLst>
              <a:ext uri="{FF2B5EF4-FFF2-40B4-BE49-F238E27FC236}">
                <a16:creationId xmlns:a16="http://schemas.microsoft.com/office/drawing/2014/main" id="{35701793-CC84-45F4-BBBD-C438C9736709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0" name="$E$174">
            <a:extLst>
              <a:ext uri="{FF2B5EF4-FFF2-40B4-BE49-F238E27FC236}">
                <a16:creationId xmlns:a16="http://schemas.microsoft.com/office/drawing/2014/main" id="{6ACC6B7D-2BAA-4794-A9DB-1EEE2E1F5BDE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1" name="$E$174">
            <a:extLst>
              <a:ext uri="{FF2B5EF4-FFF2-40B4-BE49-F238E27FC236}">
                <a16:creationId xmlns:a16="http://schemas.microsoft.com/office/drawing/2014/main" id="{BB44D5F1-DD2E-4EC6-A7A5-1EFEDEAF5E77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2" name="$E$174">
            <a:extLst>
              <a:ext uri="{FF2B5EF4-FFF2-40B4-BE49-F238E27FC236}">
                <a16:creationId xmlns:a16="http://schemas.microsoft.com/office/drawing/2014/main" id="{198FF188-9B08-4A55-AC4A-86DE6350EC09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3" name="$E$174">
            <a:extLst>
              <a:ext uri="{FF2B5EF4-FFF2-40B4-BE49-F238E27FC236}">
                <a16:creationId xmlns:a16="http://schemas.microsoft.com/office/drawing/2014/main" id="{B003DF20-CA39-4F40-9FDC-2357C4B0CEA3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4" name="$E$174">
            <a:extLst>
              <a:ext uri="{FF2B5EF4-FFF2-40B4-BE49-F238E27FC236}">
                <a16:creationId xmlns:a16="http://schemas.microsoft.com/office/drawing/2014/main" id="{DE5E9AD6-2720-4719-BE5A-6370541AA45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5" name="$E$174">
            <a:extLst>
              <a:ext uri="{FF2B5EF4-FFF2-40B4-BE49-F238E27FC236}">
                <a16:creationId xmlns:a16="http://schemas.microsoft.com/office/drawing/2014/main" id="{4B6B6087-9F1B-4C4A-B35F-3C96860E35D1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6" name="$E$174">
            <a:extLst>
              <a:ext uri="{FF2B5EF4-FFF2-40B4-BE49-F238E27FC236}">
                <a16:creationId xmlns:a16="http://schemas.microsoft.com/office/drawing/2014/main" id="{5CE7BFA5-C78C-4E3E-A839-B76BE388772D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7" name="$E$174">
            <a:extLst>
              <a:ext uri="{FF2B5EF4-FFF2-40B4-BE49-F238E27FC236}">
                <a16:creationId xmlns:a16="http://schemas.microsoft.com/office/drawing/2014/main" id="{678A072E-290B-4342-B661-FADEEFC1CAE5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8" name="$E$174">
            <a:extLst>
              <a:ext uri="{FF2B5EF4-FFF2-40B4-BE49-F238E27FC236}">
                <a16:creationId xmlns:a16="http://schemas.microsoft.com/office/drawing/2014/main" id="{9E4AF599-6182-491B-9322-72BC0C9B8445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9" name="$E$174">
            <a:extLst>
              <a:ext uri="{FF2B5EF4-FFF2-40B4-BE49-F238E27FC236}">
                <a16:creationId xmlns:a16="http://schemas.microsoft.com/office/drawing/2014/main" id="{338C82AA-DCA8-4D8C-92F8-5654B46563D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0" name="$E$174">
            <a:extLst>
              <a:ext uri="{FF2B5EF4-FFF2-40B4-BE49-F238E27FC236}">
                <a16:creationId xmlns:a16="http://schemas.microsoft.com/office/drawing/2014/main" id="{0348FAE3-8B91-4FB7-AFE8-5D840B542BCA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1" name="$E$174">
            <a:extLst>
              <a:ext uri="{FF2B5EF4-FFF2-40B4-BE49-F238E27FC236}">
                <a16:creationId xmlns:a16="http://schemas.microsoft.com/office/drawing/2014/main" id="{A1A7BAF5-275D-42E0-A525-2790690B6F39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2" name="$E$174">
            <a:extLst>
              <a:ext uri="{FF2B5EF4-FFF2-40B4-BE49-F238E27FC236}">
                <a16:creationId xmlns:a16="http://schemas.microsoft.com/office/drawing/2014/main" id="{10E3D7C5-6F8A-40C3-8759-07756707C39C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3" name="$E$174">
            <a:extLst>
              <a:ext uri="{FF2B5EF4-FFF2-40B4-BE49-F238E27FC236}">
                <a16:creationId xmlns:a16="http://schemas.microsoft.com/office/drawing/2014/main" id="{97E64BC8-1541-4D87-B8C4-A3DFDFA4213C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4" name="$E$174">
            <a:extLst>
              <a:ext uri="{FF2B5EF4-FFF2-40B4-BE49-F238E27FC236}">
                <a16:creationId xmlns:a16="http://schemas.microsoft.com/office/drawing/2014/main" id="{17105B38-B501-40D7-B011-24EB29208864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5" name="$E$174">
            <a:extLst>
              <a:ext uri="{FF2B5EF4-FFF2-40B4-BE49-F238E27FC236}">
                <a16:creationId xmlns:a16="http://schemas.microsoft.com/office/drawing/2014/main" id="{BD2EDB9B-1D10-4F28-B02B-56BF21D9B84F}"/>
              </a:ext>
            </a:extLst>
          </xdr:cNvPr>
          <xdr:cNvSpPr/>
        </xdr:nvSpPr>
        <xdr:spPr>
          <a:xfrm>
            <a:off x="266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6" name="$E$174">
            <a:extLst>
              <a:ext uri="{FF2B5EF4-FFF2-40B4-BE49-F238E27FC236}">
                <a16:creationId xmlns:a16="http://schemas.microsoft.com/office/drawing/2014/main" id="{0E33E851-5003-42A0-BB82-4F252DA2FA14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7" name="$E$174">
            <a:extLst>
              <a:ext uri="{FF2B5EF4-FFF2-40B4-BE49-F238E27FC236}">
                <a16:creationId xmlns:a16="http://schemas.microsoft.com/office/drawing/2014/main" id="{3EBB9DAF-0FC2-4979-B5B0-E31445C73AFD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8" name="$E$174">
            <a:extLst>
              <a:ext uri="{FF2B5EF4-FFF2-40B4-BE49-F238E27FC236}">
                <a16:creationId xmlns:a16="http://schemas.microsoft.com/office/drawing/2014/main" id="{6E6B6206-F1FD-4B8A-BAE2-1014047F05B2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9" name="$E$174">
            <a:extLst>
              <a:ext uri="{FF2B5EF4-FFF2-40B4-BE49-F238E27FC236}">
                <a16:creationId xmlns:a16="http://schemas.microsoft.com/office/drawing/2014/main" id="{B5276218-5122-4030-8C93-ADFDF182F716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0" name="$E$174">
            <a:extLst>
              <a:ext uri="{FF2B5EF4-FFF2-40B4-BE49-F238E27FC236}">
                <a16:creationId xmlns:a16="http://schemas.microsoft.com/office/drawing/2014/main" id="{0F5A7508-1AA1-4B9B-A602-358B08CB7509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1" name="$E$174">
            <a:extLst>
              <a:ext uri="{FF2B5EF4-FFF2-40B4-BE49-F238E27FC236}">
                <a16:creationId xmlns:a16="http://schemas.microsoft.com/office/drawing/2014/main" id="{32CF041A-6534-4C5B-AB84-F71D69E8207F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2" name="$E$174">
            <a:extLst>
              <a:ext uri="{FF2B5EF4-FFF2-40B4-BE49-F238E27FC236}">
                <a16:creationId xmlns:a16="http://schemas.microsoft.com/office/drawing/2014/main" id="{83B82196-257A-471A-8B9F-762814871111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3" name="$E$174">
            <a:extLst>
              <a:ext uri="{FF2B5EF4-FFF2-40B4-BE49-F238E27FC236}">
                <a16:creationId xmlns:a16="http://schemas.microsoft.com/office/drawing/2014/main" id="{035838EB-BEF7-45D3-8919-6F2C7381CC23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4" name="$E$174">
            <a:extLst>
              <a:ext uri="{FF2B5EF4-FFF2-40B4-BE49-F238E27FC236}">
                <a16:creationId xmlns:a16="http://schemas.microsoft.com/office/drawing/2014/main" id="{DF9F2039-5A03-4CBC-A83C-E71A746B4238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5" name="$E$174">
            <a:extLst>
              <a:ext uri="{FF2B5EF4-FFF2-40B4-BE49-F238E27FC236}">
                <a16:creationId xmlns:a16="http://schemas.microsoft.com/office/drawing/2014/main" id="{E891108E-CF14-4523-BC93-6F5938B361F2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6" name="$E$174">
            <a:extLst>
              <a:ext uri="{FF2B5EF4-FFF2-40B4-BE49-F238E27FC236}">
                <a16:creationId xmlns:a16="http://schemas.microsoft.com/office/drawing/2014/main" id="{CB40AF98-6AD3-4CA7-B446-A4A683EFF5F5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7" name="$E$174">
            <a:extLst>
              <a:ext uri="{FF2B5EF4-FFF2-40B4-BE49-F238E27FC236}">
                <a16:creationId xmlns:a16="http://schemas.microsoft.com/office/drawing/2014/main" id="{418CCCA9-CEC0-4E8A-A5D9-F93CE2C84011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8" name="$E$174">
            <a:extLst>
              <a:ext uri="{FF2B5EF4-FFF2-40B4-BE49-F238E27FC236}">
                <a16:creationId xmlns:a16="http://schemas.microsoft.com/office/drawing/2014/main" id="{2B83B4CF-CABD-45DF-8A5D-D2D4BA93970E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9" name="$E$174">
            <a:extLst>
              <a:ext uri="{FF2B5EF4-FFF2-40B4-BE49-F238E27FC236}">
                <a16:creationId xmlns:a16="http://schemas.microsoft.com/office/drawing/2014/main" id="{9E6BFBC1-2CEC-4DDB-AC10-E42D05FDF1F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0" name="$E$174">
            <a:extLst>
              <a:ext uri="{FF2B5EF4-FFF2-40B4-BE49-F238E27FC236}">
                <a16:creationId xmlns:a16="http://schemas.microsoft.com/office/drawing/2014/main" id="{59FCC4BA-02BB-43D1-BFF6-56A58371F1A4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1" name="$E$174">
            <a:extLst>
              <a:ext uri="{FF2B5EF4-FFF2-40B4-BE49-F238E27FC236}">
                <a16:creationId xmlns:a16="http://schemas.microsoft.com/office/drawing/2014/main" id="{53D3F732-DCB6-439E-895E-1491024247F6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2" name="$E$174">
            <a:extLst>
              <a:ext uri="{FF2B5EF4-FFF2-40B4-BE49-F238E27FC236}">
                <a16:creationId xmlns:a16="http://schemas.microsoft.com/office/drawing/2014/main" id="{8C042B2D-B867-4497-B933-20A3378DBC5B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3" name="$E$174">
            <a:extLst>
              <a:ext uri="{FF2B5EF4-FFF2-40B4-BE49-F238E27FC236}">
                <a16:creationId xmlns:a16="http://schemas.microsoft.com/office/drawing/2014/main" id="{44FD357E-9014-417B-8778-F65D315B6219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4" name="$E$174">
            <a:extLst>
              <a:ext uri="{FF2B5EF4-FFF2-40B4-BE49-F238E27FC236}">
                <a16:creationId xmlns:a16="http://schemas.microsoft.com/office/drawing/2014/main" id="{C2EEF1D9-87D6-44FC-91AA-447BA8C6FA6F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5" name="$E$174">
            <a:extLst>
              <a:ext uri="{FF2B5EF4-FFF2-40B4-BE49-F238E27FC236}">
                <a16:creationId xmlns:a16="http://schemas.microsoft.com/office/drawing/2014/main" id="{974E033D-200B-4C91-9824-B2F95965350C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6" name="$E$174">
            <a:extLst>
              <a:ext uri="{FF2B5EF4-FFF2-40B4-BE49-F238E27FC236}">
                <a16:creationId xmlns:a16="http://schemas.microsoft.com/office/drawing/2014/main" id="{AEAC7963-E09C-4040-A2F2-668FA2B44DD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7" name="$E$174">
            <a:extLst>
              <a:ext uri="{FF2B5EF4-FFF2-40B4-BE49-F238E27FC236}">
                <a16:creationId xmlns:a16="http://schemas.microsoft.com/office/drawing/2014/main" id="{8EF37717-27D8-4510-8F4E-A589A84F97D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8" name="$E$174">
            <a:extLst>
              <a:ext uri="{FF2B5EF4-FFF2-40B4-BE49-F238E27FC236}">
                <a16:creationId xmlns:a16="http://schemas.microsoft.com/office/drawing/2014/main" id="{B1A73708-7495-4C15-8C92-5BCD383F0B24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9" name="$E$174">
            <a:extLst>
              <a:ext uri="{FF2B5EF4-FFF2-40B4-BE49-F238E27FC236}">
                <a16:creationId xmlns:a16="http://schemas.microsoft.com/office/drawing/2014/main" id="{8DA1E121-AD4D-4E65-8222-6DA7004DEE8F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0" name="$E$174">
            <a:extLst>
              <a:ext uri="{FF2B5EF4-FFF2-40B4-BE49-F238E27FC236}">
                <a16:creationId xmlns:a16="http://schemas.microsoft.com/office/drawing/2014/main" id="{DE4264D1-FD61-4281-8223-10E7C72F927E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1" name="$E$174">
            <a:extLst>
              <a:ext uri="{FF2B5EF4-FFF2-40B4-BE49-F238E27FC236}">
                <a16:creationId xmlns:a16="http://schemas.microsoft.com/office/drawing/2014/main" id="{D88860FF-B5EC-462F-9401-34DD7AC80611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2" name="$E$174">
            <a:extLst>
              <a:ext uri="{FF2B5EF4-FFF2-40B4-BE49-F238E27FC236}">
                <a16:creationId xmlns:a16="http://schemas.microsoft.com/office/drawing/2014/main" id="{00F0FDC9-DA90-4073-9E82-7E9D4CE598E8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3" name="$E$174">
            <a:extLst>
              <a:ext uri="{FF2B5EF4-FFF2-40B4-BE49-F238E27FC236}">
                <a16:creationId xmlns:a16="http://schemas.microsoft.com/office/drawing/2014/main" id="{A5DD4F7A-96F0-4F76-84DD-4331B541A601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4" name="$E$174">
            <a:extLst>
              <a:ext uri="{FF2B5EF4-FFF2-40B4-BE49-F238E27FC236}">
                <a16:creationId xmlns:a16="http://schemas.microsoft.com/office/drawing/2014/main" id="{44E5143C-9F02-43E2-BDF3-55B97EF53B2A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5" name="$E$174">
            <a:extLst>
              <a:ext uri="{FF2B5EF4-FFF2-40B4-BE49-F238E27FC236}">
                <a16:creationId xmlns:a16="http://schemas.microsoft.com/office/drawing/2014/main" id="{3D87B609-7B08-4D82-990F-9F5BDBC840EB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6" name="$E$174">
            <a:extLst>
              <a:ext uri="{FF2B5EF4-FFF2-40B4-BE49-F238E27FC236}">
                <a16:creationId xmlns:a16="http://schemas.microsoft.com/office/drawing/2014/main" id="{EFAFE75F-46D8-49AB-996B-3EFF979CF289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7" name="$E$174">
            <a:extLst>
              <a:ext uri="{FF2B5EF4-FFF2-40B4-BE49-F238E27FC236}">
                <a16:creationId xmlns:a16="http://schemas.microsoft.com/office/drawing/2014/main" id="{775B7F6A-58FE-4F5D-9CC1-0DBB7E2315EB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8" name="$E$174">
            <a:extLst>
              <a:ext uri="{FF2B5EF4-FFF2-40B4-BE49-F238E27FC236}">
                <a16:creationId xmlns:a16="http://schemas.microsoft.com/office/drawing/2014/main" id="{57C62A33-E18E-47D1-B686-66E9B876521E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9" name="$E$174">
            <a:extLst>
              <a:ext uri="{FF2B5EF4-FFF2-40B4-BE49-F238E27FC236}">
                <a16:creationId xmlns:a16="http://schemas.microsoft.com/office/drawing/2014/main" id="{DEEA779D-0616-4732-82C9-EACBA8A7EBA3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0" name="$E$174">
            <a:extLst>
              <a:ext uri="{FF2B5EF4-FFF2-40B4-BE49-F238E27FC236}">
                <a16:creationId xmlns:a16="http://schemas.microsoft.com/office/drawing/2014/main" id="{735A4973-C13E-4EDB-87B2-0066C76D6BC7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1" name="$E$174">
            <a:extLst>
              <a:ext uri="{FF2B5EF4-FFF2-40B4-BE49-F238E27FC236}">
                <a16:creationId xmlns:a16="http://schemas.microsoft.com/office/drawing/2014/main" id="{01E40F5C-6AC9-4A82-97AA-FEA407531B88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2" name="$E$174">
            <a:extLst>
              <a:ext uri="{FF2B5EF4-FFF2-40B4-BE49-F238E27FC236}">
                <a16:creationId xmlns:a16="http://schemas.microsoft.com/office/drawing/2014/main" id="{E5D01161-E0D4-410F-B2B9-269D82882B6E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3" name="$E$174">
            <a:extLst>
              <a:ext uri="{FF2B5EF4-FFF2-40B4-BE49-F238E27FC236}">
                <a16:creationId xmlns:a16="http://schemas.microsoft.com/office/drawing/2014/main" id="{F0B1307F-CB15-47F1-8DD2-0766954FCA98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4" name="$E$174">
            <a:extLst>
              <a:ext uri="{FF2B5EF4-FFF2-40B4-BE49-F238E27FC236}">
                <a16:creationId xmlns:a16="http://schemas.microsoft.com/office/drawing/2014/main" id="{012C418D-9D5A-4301-9A02-DCEC1244B314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5" name="$E$174">
            <a:extLst>
              <a:ext uri="{FF2B5EF4-FFF2-40B4-BE49-F238E27FC236}">
                <a16:creationId xmlns:a16="http://schemas.microsoft.com/office/drawing/2014/main" id="{E0D84502-DCCF-41D3-83A9-1D4C4DF8E0C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6" name="$E$174">
            <a:extLst>
              <a:ext uri="{FF2B5EF4-FFF2-40B4-BE49-F238E27FC236}">
                <a16:creationId xmlns:a16="http://schemas.microsoft.com/office/drawing/2014/main" id="{B4552359-4D9F-4B72-BF72-2706180C4A95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7" name="$E$174">
            <a:extLst>
              <a:ext uri="{FF2B5EF4-FFF2-40B4-BE49-F238E27FC236}">
                <a16:creationId xmlns:a16="http://schemas.microsoft.com/office/drawing/2014/main" id="{EEFDB00E-C8B1-4E4A-B0D3-FB0947533C47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8" name="$E$174">
            <a:extLst>
              <a:ext uri="{FF2B5EF4-FFF2-40B4-BE49-F238E27FC236}">
                <a16:creationId xmlns:a16="http://schemas.microsoft.com/office/drawing/2014/main" id="{B816554D-2F72-4F8F-BDEA-4128E64C9468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9" name="$E$174">
            <a:extLst>
              <a:ext uri="{FF2B5EF4-FFF2-40B4-BE49-F238E27FC236}">
                <a16:creationId xmlns:a16="http://schemas.microsoft.com/office/drawing/2014/main" id="{0AF349ED-34C5-49A2-8085-550D4ED0CC4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0" name="$E$174">
            <a:extLst>
              <a:ext uri="{FF2B5EF4-FFF2-40B4-BE49-F238E27FC236}">
                <a16:creationId xmlns:a16="http://schemas.microsoft.com/office/drawing/2014/main" id="{64BB88A4-4D44-46CD-B852-E0446F43AB85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1" name="$E$174">
            <a:extLst>
              <a:ext uri="{FF2B5EF4-FFF2-40B4-BE49-F238E27FC236}">
                <a16:creationId xmlns:a16="http://schemas.microsoft.com/office/drawing/2014/main" id="{9743A61F-A19D-4F50-82CB-E6FBDBF1D853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2" name="$E$174">
            <a:extLst>
              <a:ext uri="{FF2B5EF4-FFF2-40B4-BE49-F238E27FC236}">
                <a16:creationId xmlns:a16="http://schemas.microsoft.com/office/drawing/2014/main" id="{196CABE7-AD3F-408F-92A5-B006C19F1A0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3" name="$E$174">
            <a:extLst>
              <a:ext uri="{FF2B5EF4-FFF2-40B4-BE49-F238E27FC236}">
                <a16:creationId xmlns:a16="http://schemas.microsoft.com/office/drawing/2014/main" id="{06AAF452-96D0-461A-825F-1A6EADC168F9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4" name="$E$174">
            <a:extLst>
              <a:ext uri="{FF2B5EF4-FFF2-40B4-BE49-F238E27FC236}">
                <a16:creationId xmlns:a16="http://schemas.microsoft.com/office/drawing/2014/main" id="{7AB6A44A-E3A5-4FA4-9F9B-5E7EBD523EFC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5" name="$E$174">
            <a:extLst>
              <a:ext uri="{FF2B5EF4-FFF2-40B4-BE49-F238E27FC236}">
                <a16:creationId xmlns:a16="http://schemas.microsoft.com/office/drawing/2014/main" id="{2B8288E4-328A-469A-8B8B-6D79B6DBE788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6" name="$E$174">
            <a:extLst>
              <a:ext uri="{FF2B5EF4-FFF2-40B4-BE49-F238E27FC236}">
                <a16:creationId xmlns:a16="http://schemas.microsoft.com/office/drawing/2014/main" id="{E22E206B-56BB-4D8F-9FFF-3D5F145CC8F9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7" name="$E$174">
            <a:extLst>
              <a:ext uri="{FF2B5EF4-FFF2-40B4-BE49-F238E27FC236}">
                <a16:creationId xmlns:a16="http://schemas.microsoft.com/office/drawing/2014/main" id="{1FDDB9E6-7607-4F37-B6D9-F24A2976A6B4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8" name="$E$174">
            <a:extLst>
              <a:ext uri="{FF2B5EF4-FFF2-40B4-BE49-F238E27FC236}">
                <a16:creationId xmlns:a16="http://schemas.microsoft.com/office/drawing/2014/main" id="{8E840A53-9FF4-4D8B-B633-93B1E945F1D4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9" name="$E$174">
            <a:extLst>
              <a:ext uri="{FF2B5EF4-FFF2-40B4-BE49-F238E27FC236}">
                <a16:creationId xmlns:a16="http://schemas.microsoft.com/office/drawing/2014/main" id="{C35E5AD6-F1BB-4B5A-B423-3216BD4626D8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0" name="$E$174">
            <a:extLst>
              <a:ext uri="{FF2B5EF4-FFF2-40B4-BE49-F238E27FC236}">
                <a16:creationId xmlns:a16="http://schemas.microsoft.com/office/drawing/2014/main" id="{F8FA7453-85B8-4C55-80C6-BFEAB22F5D69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1" name="$E$174">
            <a:extLst>
              <a:ext uri="{FF2B5EF4-FFF2-40B4-BE49-F238E27FC236}">
                <a16:creationId xmlns:a16="http://schemas.microsoft.com/office/drawing/2014/main" id="{EDC4D208-A06A-46E2-90BD-53C752699208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2" name="$E$174">
            <a:extLst>
              <a:ext uri="{FF2B5EF4-FFF2-40B4-BE49-F238E27FC236}">
                <a16:creationId xmlns:a16="http://schemas.microsoft.com/office/drawing/2014/main" id="{FADDF9C6-D707-4B06-8E20-B061DD43ADEA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3" name="$E$174">
            <a:extLst>
              <a:ext uri="{FF2B5EF4-FFF2-40B4-BE49-F238E27FC236}">
                <a16:creationId xmlns:a16="http://schemas.microsoft.com/office/drawing/2014/main" id="{FA5BD84B-5AA5-4462-A367-24E39F605445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4" name="$E$174">
            <a:extLst>
              <a:ext uri="{FF2B5EF4-FFF2-40B4-BE49-F238E27FC236}">
                <a16:creationId xmlns:a16="http://schemas.microsoft.com/office/drawing/2014/main" id="{61971BE7-303D-4795-B419-79EF0284E387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5" name="$E$174">
            <a:extLst>
              <a:ext uri="{FF2B5EF4-FFF2-40B4-BE49-F238E27FC236}">
                <a16:creationId xmlns:a16="http://schemas.microsoft.com/office/drawing/2014/main" id="{D266DB2A-8B76-449F-B29A-5508A18BF1D1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6" name="$E$174">
            <a:extLst>
              <a:ext uri="{FF2B5EF4-FFF2-40B4-BE49-F238E27FC236}">
                <a16:creationId xmlns:a16="http://schemas.microsoft.com/office/drawing/2014/main" id="{C0A4614E-EA5B-47F5-81C7-63A51F77A419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7" name="$E$174">
            <a:extLst>
              <a:ext uri="{FF2B5EF4-FFF2-40B4-BE49-F238E27FC236}">
                <a16:creationId xmlns:a16="http://schemas.microsoft.com/office/drawing/2014/main" id="{EE8E9417-5221-40DE-BFCA-CA4F7E1E761F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8" name="$E$174">
            <a:extLst>
              <a:ext uri="{FF2B5EF4-FFF2-40B4-BE49-F238E27FC236}">
                <a16:creationId xmlns:a16="http://schemas.microsoft.com/office/drawing/2014/main" id="{682A52B5-6511-4837-B95C-878AF926CC89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9" name="$E$174">
            <a:extLst>
              <a:ext uri="{FF2B5EF4-FFF2-40B4-BE49-F238E27FC236}">
                <a16:creationId xmlns:a16="http://schemas.microsoft.com/office/drawing/2014/main" id="{09DC9E3C-ADB1-4035-B1C1-C8F8B04768E9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0" name="$E$174">
            <a:extLst>
              <a:ext uri="{FF2B5EF4-FFF2-40B4-BE49-F238E27FC236}">
                <a16:creationId xmlns:a16="http://schemas.microsoft.com/office/drawing/2014/main" id="{108194CB-588F-488F-B39C-AF6A4C5BD028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1" name="$E$174">
            <a:extLst>
              <a:ext uri="{FF2B5EF4-FFF2-40B4-BE49-F238E27FC236}">
                <a16:creationId xmlns:a16="http://schemas.microsoft.com/office/drawing/2014/main" id="{AF7B3493-658F-45BF-8986-CD8DE8B48C5A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2" name="$E$174">
            <a:extLst>
              <a:ext uri="{FF2B5EF4-FFF2-40B4-BE49-F238E27FC236}">
                <a16:creationId xmlns:a16="http://schemas.microsoft.com/office/drawing/2014/main" id="{F2D63334-9382-498F-A224-F067FCA81D8F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3" name="$E$174">
            <a:extLst>
              <a:ext uri="{FF2B5EF4-FFF2-40B4-BE49-F238E27FC236}">
                <a16:creationId xmlns:a16="http://schemas.microsoft.com/office/drawing/2014/main" id="{80C58059-12E7-402E-8568-53CE8E5613A1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4" name="$E$174">
            <a:extLst>
              <a:ext uri="{FF2B5EF4-FFF2-40B4-BE49-F238E27FC236}">
                <a16:creationId xmlns:a16="http://schemas.microsoft.com/office/drawing/2014/main" id="{FC076FEE-075F-4EC4-9DBF-5E0D01D591A1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5" name="$E$174">
            <a:extLst>
              <a:ext uri="{FF2B5EF4-FFF2-40B4-BE49-F238E27FC236}">
                <a16:creationId xmlns:a16="http://schemas.microsoft.com/office/drawing/2014/main" id="{628A6488-1C8C-46AB-9DEC-83EB8EE6199C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6" name="$E$174">
            <a:extLst>
              <a:ext uri="{FF2B5EF4-FFF2-40B4-BE49-F238E27FC236}">
                <a16:creationId xmlns:a16="http://schemas.microsoft.com/office/drawing/2014/main" id="{AAA6CE2F-E9FB-4252-9BE4-A06817EA116F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7" name="$E$174">
            <a:extLst>
              <a:ext uri="{FF2B5EF4-FFF2-40B4-BE49-F238E27FC236}">
                <a16:creationId xmlns:a16="http://schemas.microsoft.com/office/drawing/2014/main" id="{36AFAEE5-A621-45B8-851C-3C5EB870C162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8" name="$E$174">
            <a:extLst>
              <a:ext uri="{FF2B5EF4-FFF2-40B4-BE49-F238E27FC236}">
                <a16:creationId xmlns:a16="http://schemas.microsoft.com/office/drawing/2014/main" id="{DD1B0692-3B4A-4C51-B6F1-C36A344A948F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9" name="$E$174">
            <a:extLst>
              <a:ext uri="{FF2B5EF4-FFF2-40B4-BE49-F238E27FC236}">
                <a16:creationId xmlns:a16="http://schemas.microsoft.com/office/drawing/2014/main" id="{FA125A99-D604-4779-87B5-63DD8D096B97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0" name="$E$174">
            <a:extLst>
              <a:ext uri="{FF2B5EF4-FFF2-40B4-BE49-F238E27FC236}">
                <a16:creationId xmlns:a16="http://schemas.microsoft.com/office/drawing/2014/main" id="{79E24A22-3654-42F1-9888-F51F434B94C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1" name="$E$174">
            <a:extLst>
              <a:ext uri="{FF2B5EF4-FFF2-40B4-BE49-F238E27FC236}">
                <a16:creationId xmlns:a16="http://schemas.microsoft.com/office/drawing/2014/main" id="{23CF7184-6B8C-47FD-8B06-03205331ADF3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2" name="$E$174">
            <a:extLst>
              <a:ext uri="{FF2B5EF4-FFF2-40B4-BE49-F238E27FC236}">
                <a16:creationId xmlns:a16="http://schemas.microsoft.com/office/drawing/2014/main" id="{3C12E01E-8276-4488-9E1B-163EE7423CE6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3" name="$E$174">
            <a:extLst>
              <a:ext uri="{FF2B5EF4-FFF2-40B4-BE49-F238E27FC236}">
                <a16:creationId xmlns:a16="http://schemas.microsoft.com/office/drawing/2014/main" id="{EA037A43-01C0-4F45-8C2C-1F3260DB1583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4" name="$E$174">
            <a:extLst>
              <a:ext uri="{FF2B5EF4-FFF2-40B4-BE49-F238E27FC236}">
                <a16:creationId xmlns:a16="http://schemas.microsoft.com/office/drawing/2014/main" id="{38E1D77C-05F3-4CB9-9325-CB3A36152EAD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5" name="$E$174">
            <a:extLst>
              <a:ext uri="{FF2B5EF4-FFF2-40B4-BE49-F238E27FC236}">
                <a16:creationId xmlns:a16="http://schemas.microsoft.com/office/drawing/2014/main" id="{1325F7C9-9063-4764-BBB4-F6E0BBA39498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6" name="$E$174">
            <a:extLst>
              <a:ext uri="{FF2B5EF4-FFF2-40B4-BE49-F238E27FC236}">
                <a16:creationId xmlns:a16="http://schemas.microsoft.com/office/drawing/2014/main" id="{B54EA14F-8A86-42F8-8FDE-3C9396034B06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7" name="$E$174">
            <a:extLst>
              <a:ext uri="{FF2B5EF4-FFF2-40B4-BE49-F238E27FC236}">
                <a16:creationId xmlns:a16="http://schemas.microsoft.com/office/drawing/2014/main" id="{35D83726-DD99-46B9-B8D9-F56F996B7E08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8" name="$E$174">
            <a:extLst>
              <a:ext uri="{FF2B5EF4-FFF2-40B4-BE49-F238E27FC236}">
                <a16:creationId xmlns:a16="http://schemas.microsoft.com/office/drawing/2014/main" id="{08387B24-033E-4026-ACF4-7D6D00ADEEE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9" name="$E$174">
            <a:extLst>
              <a:ext uri="{FF2B5EF4-FFF2-40B4-BE49-F238E27FC236}">
                <a16:creationId xmlns:a16="http://schemas.microsoft.com/office/drawing/2014/main" id="{C1F632D9-0247-4D9C-909F-FD502046707D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0" name="$E$174">
            <a:extLst>
              <a:ext uri="{FF2B5EF4-FFF2-40B4-BE49-F238E27FC236}">
                <a16:creationId xmlns:a16="http://schemas.microsoft.com/office/drawing/2014/main" id="{F210C386-4952-496F-8577-759A5C2C3C76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1" name="$E$174">
            <a:extLst>
              <a:ext uri="{FF2B5EF4-FFF2-40B4-BE49-F238E27FC236}">
                <a16:creationId xmlns:a16="http://schemas.microsoft.com/office/drawing/2014/main" id="{ECD594E8-3E66-400E-9798-41F21153564A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2" name="$E$174">
            <a:extLst>
              <a:ext uri="{FF2B5EF4-FFF2-40B4-BE49-F238E27FC236}">
                <a16:creationId xmlns:a16="http://schemas.microsoft.com/office/drawing/2014/main" id="{FE47A44F-5478-4052-BDAE-1E7E3DCF9F43}"/>
              </a:ext>
            </a:extLst>
          </xdr:cNvPr>
          <xdr:cNvSpPr/>
        </xdr:nvSpPr>
        <xdr:spPr>
          <a:xfrm>
            <a:off x="330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3" name="$E$174">
            <a:extLst>
              <a:ext uri="{FF2B5EF4-FFF2-40B4-BE49-F238E27FC236}">
                <a16:creationId xmlns:a16="http://schemas.microsoft.com/office/drawing/2014/main" id="{3E410409-CAAD-41D5-8405-377866241D71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4" name="$E$174">
            <a:extLst>
              <a:ext uri="{FF2B5EF4-FFF2-40B4-BE49-F238E27FC236}">
                <a16:creationId xmlns:a16="http://schemas.microsoft.com/office/drawing/2014/main" id="{AA8B9040-CB53-469E-A91D-D23B8DA58919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5" name="$E$174">
            <a:extLst>
              <a:ext uri="{FF2B5EF4-FFF2-40B4-BE49-F238E27FC236}">
                <a16:creationId xmlns:a16="http://schemas.microsoft.com/office/drawing/2014/main" id="{336D1A65-9B33-4D71-A9CB-81DE68382AC2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6" name="$E$174">
            <a:extLst>
              <a:ext uri="{FF2B5EF4-FFF2-40B4-BE49-F238E27FC236}">
                <a16:creationId xmlns:a16="http://schemas.microsoft.com/office/drawing/2014/main" id="{39989016-5933-4408-B256-C591B89E8133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7" name="$E$174">
            <a:extLst>
              <a:ext uri="{FF2B5EF4-FFF2-40B4-BE49-F238E27FC236}">
                <a16:creationId xmlns:a16="http://schemas.microsoft.com/office/drawing/2014/main" id="{6A37EB0F-5008-43AA-91F5-61E07D6692E9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8" name="$E$174">
            <a:extLst>
              <a:ext uri="{FF2B5EF4-FFF2-40B4-BE49-F238E27FC236}">
                <a16:creationId xmlns:a16="http://schemas.microsoft.com/office/drawing/2014/main" id="{F1F059ED-474B-4BA6-A1A0-8DAFC521D395}"/>
              </a:ext>
            </a:extLst>
          </xdr:cNvPr>
          <xdr:cNvSpPr/>
        </xdr:nvSpPr>
        <xdr:spPr>
          <a:xfrm>
            <a:off x="431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9" name="$E$174">
            <a:extLst>
              <a:ext uri="{FF2B5EF4-FFF2-40B4-BE49-F238E27FC236}">
                <a16:creationId xmlns:a16="http://schemas.microsoft.com/office/drawing/2014/main" id="{9F6B198C-52AE-4891-BBF5-6A8D4FBADF27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0" name="$E$174">
            <a:extLst>
              <a:ext uri="{FF2B5EF4-FFF2-40B4-BE49-F238E27FC236}">
                <a16:creationId xmlns:a16="http://schemas.microsoft.com/office/drawing/2014/main" id="{68B00CD0-5215-420F-A3B9-BF93FBA11AD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1" name="$E$174">
            <a:extLst>
              <a:ext uri="{FF2B5EF4-FFF2-40B4-BE49-F238E27FC236}">
                <a16:creationId xmlns:a16="http://schemas.microsoft.com/office/drawing/2014/main" id="{108CF15C-FACD-4EEF-B80F-6E6E715D1A44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2" name="$E$174">
            <a:extLst>
              <a:ext uri="{FF2B5EF4-FFF2-40B4-BE49-F238E27FC236}">
                <a16:creationId xmlns:a16="http://schemas.microsoft.com/office/drawing/2014/main" id="{0B2D5DBE-9D3B-4372-9946-1228DE97EA81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3" name="$E$174">
            <a:extLst>
              <a:ext uri="{FF2B5EF4-FFF2-40B4-BE49-F238E27FC236}">
                <a16:creationId xmlns:a16="http://schemas.microsoft.com/office/drawing/2014/main" id="{B1292E01-62AB-4F1C-9684-DEADF82D19E5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4" name="$E$174">
            <a:extLst>
              <a:ext uri="{FF2B5EF4-FFF2-40B4-BE49-F238E27FC236}">
                <a16:creationId xmlns:a16="http://schemas.microsoft.com/office/drawing/2014/main" id="{2344D203-0935-48CA-9F87-DFA87D68A8E2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5" name="$E$174">
            <a:extLst>
              <a:ext uri="{FF2B5EF4-FFF2-40B4-BE49-F238E27FC236}">
                <a16:creationId xmlns:a16="http://schemas.microsoft.com/office/drawing/2014/main" id="{F6E38505-4281-4AD7-9589-2C9AC0ACA92D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6" name="$E$174">
            <a:extLst>
              <a:ext uri="{FF2B5EF4-FFF2-40B4-BE49-F238E27FC236}">
                <a16:creationId xmlns:a16="http://schemas.microsoft.com/office/drawing/2014/main" id="{D5E09B81-608B-4D47-839C-B922BA7BABE8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7" name="$E$174">
            <a:extLst>
              <a:ext uri="{FF2B5EF4-FFF2-40B4-BE49-F238E27FC236}">
                <a16:creationId xmlns:a16="http://schemas.microsoft.com/office/drawing/2014/main" id="{C9785AC2-8421-42DC-9D5A-F2F94C77074C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8" name="$E$174">
            <a:extLst>
              <a:ext uri="{FF2B5EF4-FFF2-40B4-BE49-F238E27FC236}">
                <a16:creationId xmlns:a16="http://schemas.microsoft.com/office/drawing/2014/main" id="{7868E133-C7E7-40E4-BD59-42BE372603C8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9" name="$E$174">
            <a:extLst>
              <a:ext uri="{FF2B5EF4-FFF2-40B4-BE49-F238E27FC236}">
                <a16:creationId xmlns:a16="http://schemas.microsoft.com/office/drawing/2014/main" id="{805A71E4-07F0-4C60-A95E-B90404220DD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0" name="$E$174">
            <a:extLst>
              <a:ext uri="{FF2B5EF4-FFF2-40B4-BE49-F238E27FC236}">
                <a16:creationId xmlns:a16="http://schemas.microsoft.com/office/drawing/2014/main" id="{B50E5293-82D6-46FA-A3E8-E96180F00BBA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1" name="$E$174">
            <a:extLst>
              <a:ext uri="{FF2B5EF4-FFF2-40B4-BE49-F238E27FC236}">
                <a16:creationId xmlns:a16="http://schemas.microsoft.com/office/drawing/2014/main" id="{FA1741EE-3530-4B3D-B061-E38FEE7AF7EA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2" name="$E$174">
            <a:extLst>
              <a:ext uri="{FF2B5EF4-FFF2-40B4-BE49-F238E27FC236}">
                <a16:creationId xmlns:a16="http://schemas.microsoft.com/office/drawing/2014/main" id="{9215605B-7360-4100-8537-B4D5D91758BC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3" name="$E$174">
            <a:extLst>
              <a:ext uri="{FF2B5EF4-FFF2-40B4-BE49-F238E27FC236}">
                <a16:creationId xmlns:a16="http://schemas.microsoft.com/office/drawing/2014/main" id="{E5298549-AA81-4AE9-B549-85B9EAEAA05C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4" name="$E$174">
            <a:extLst>
              <a:ext uri="{FF2B5EF4-FFF2-40B4-BE49-F238E27FC236}">
                <a16:creationId xmlns:a16="http://schemas.microsoft.com/office/drawing/2014/main" id="{D763BEAC-F7AF-4908-8EB1-48AEF46F8335}"/>
              </a:ext>
            </a:extLst>
          </xdr:cNvPr>
          <xdr:cNvSpPr/>
        </xdr:nvSpPr>
        <xdr:spPr>
          <a:xfrm>
            <a:off x="342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5" name="$E$174">
            <a:extLst>
              <a:ext uri="{FF2B5EF4-FFF2-40B4-BE49-F238E27FC236}">
                <a16:creationId xmlns:a16="http://schemas.microsoft.com/office/drawing/2014/main" id="{BC2B6A1D-1F41-4E90-85B8-B8F30CB3C95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6" name="$E$174">
            <a:extLst>
              <a:ext uri="{FF2B5EF4-FFF2-40B4-BE49-F238E27FC236}">
                <a16:creationId xmlns:a16="http://schemas.microsoft.com/office/drawing/2014/main" id="{45B3E1B8-C327-48C8-A23F-1633A5E33FE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7" name="$E$174">
            <a:extLst>
              <a:ext uri="{FF2B5EF4-FFF2-40B4-BE49-F238E27FC236}">
                <a16:creationId xmlns:a16="http://schemas.microsoft.com/office/drawing/2014/main" id="{6FBE0AE4-ED64-45AA-9BEC-21F77612705C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8" name="$E$174">
            <a:extLst>
              <a:ext uri="{FF2B5EF4-FFF2-40B4-BE49-F238E27FC236}">
                <a16:creationId xmlns:a16="http://schemas.microsoft.com/office/drawing/2014/main" id="{67B6CA33-4BB5-45E8-AF85-FA188CC086E9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9" name="$E$174">
            <a:extLst>
              <a:ext uri="{FF2B5EF4-FFF2-40B4-BE49-F238E27FC236}">
                <a16:creationId xmlns:a16="http://schemas.microsoft.com/office/drawing/2014/main" id="{78D6D993-0E6A-4CE2-9678-D0D75BC92B14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0" name="$E$174">
            <a:extLst>
              <a:ext uri="{FF2B5EF4-FFF2-40B4-BE49-F238E27FC236}">
                <a16:creationId xmlns:a16="http://schemas.microsoft.com/office/drawing/2014/main" id="{4160CC5B-46D9-4ACE-812C-7E4AC68D8D58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1" name="$E$174">
            <a:extLst>
              <a:ext uri="{FF2B5EF4-FFF2-40B4-BE49-F238E27FC236}">
                <a16:creationId xmlns:a16="http://schemas.microsoft.com/office/drawing/2014/main" id="{A2910083-49A1-4E1E-9E73-C65585F2D151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2" name="$E$174">
            <a:extLst>
              <a:ext uri="{FF2B5EF4-FFF2-40B4-BE49-F238E27FC236}">
                <a16:creationId xmlns:a16="http://schemas.microsoft.com/office/drawing/2014/main" id="{F910F0C2-AA9C-472D-8C52-DCB7DBF80C58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3" name="$E$174">
            <a:extLst>
              <a:ext uri="{FF2B5EF4-FFF2-40B4-BE49-F238E27FC236}">
                <a16:creationId xmlns:a16="http://schemas.microsoft.com/office/drawing/2014/main" id="{02B93BD0-31CD-4E48-9390-0FF3DC944F28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4" name="$E$174">
            <a:extLst>
              <a:ext uri="{FF2B5EF4-FFF2-40B4-BE49-F238E27FC236}">
                <a16:creationId xmlns:a16="http://schemas.microsoft.com/office/drawing/2014/main" id="{538E1343-E0C8-43AA-B373-A5675AEE9A5C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5" name="$E$174">
            <a:extLst>
              <a:ext uri="{FF2B5EF4-FFF2-40B4-BE49-F238E27FC236}">
                <a16:creationId xmlns:a16="http://schemas.microsoft.com/office/drawing/2014/main" id="{654DA0B5-62D7-4D81-9CEB-493E92237B8A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6" name="$E$174">
            <a:extLst>
              <a:ext uri="{FF2B5EF4-FFF2-40B4-BE49-F238E27FC236}">
                <a16:creationId xmlns:a16="http://schemas.microsoft.com/office/drawing/2014/main" id="{9059842A-E14F-402D-850D-3BE47B0202D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7" name="$E$174">
            <a:extLst>
              <a:ext uri="{FF2B5EF4-FFF2-40B4-BE49-F238E27FC236}">
                <a16:creationId xmlns:a16="http://schemas.microsoft.com/office/drawing/2014/main" id="{7D55D36C-D126-4742-87E3-07AA6280DD8D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8" name="$E$174">
            <a:extLst>
              <a:ext uri="{FF2B5EF4-FFF2-40B4-BE49-F238E27FC236}">
                <a16:creationId xmlns:a16="http://schemas.microsoft.com/office/drawing/2014/main" id="{AD19B105-4CBA-4F73-AB37-D51CB3F6EFD1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9" name="$E$174">
            <a:extLst>
              <a:ext uri="{FF2B5EF4-FFF2-40B4-BE49-F238E27FC236}">
                <a16:creationId xmlns:a16="http://schemas.microsoft.com/office/drawing/2014/main" id="{9336F024-8D1B-4241-963E-3381E4934F01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0" name="$E$174">
            <a:extLst>
              <a:ext uri="{FF2B5EF4-FFF2-40B4-BE49-F238E27FC236}">
                <a16:creationId xmlns:a16="http://schemas.microsoft.com/office/drawing/2014/main" id="{6D28ED94-68CC-4D4E-A8F3-1D4E22909836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1" name="$E$174">
            <a:extLst>
              <a:ext uri="{FF2B5EF4-FFF2-40B4-BE49-F238E27FC236}">
                <a16:creationId xmlns:a16="http://schemas.microsoft.com/office/drawing/2014/main" id="{7738E91A-CF90-424C-A65F-045D267EF057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2" name="$E$174">
            <a:extLst>
              <a:ext uri="{FF2B5EF4-FFF2-40B4-BE49-F238E27FC236}">
                <a16:creationId xmlns:a16="http://schemas.microsoft.com/office/drawing/2014/main" id="{5253CFB6-DB2C-4314-8613-2FE55E94ADCB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3" name="$E$174">
            <a:extLst>
              <a:ext uri="{FF2B5EF4-FFF2-40B4-BE49-F238E27FC236}">
                <a16:creationId xmlns:a16="http://schemas.microsoft.com/office/drawing/2014/main" id="{AE280236-AA78-4216-9D4F-FE383213851D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4" name="$E$174">
            <a:extLst>
              <a:ext uri="{FF2B5EF4-FFF2-40B4-BE49-F238E27FC236}">
                <a16:creationId xmlns:a16="http://schemas.microsoft.com/office/drawing/2014/main" id="{6103CE71-D00C-49AE-83C7-8FA32A448927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5" name="$E$174">
            <a:extLst>
              <a:ext uri="{FF2B5EF4-FFF2-40B4-BE49-F238E27FC236}">
                <a16:creationId xmlns:a16="http://schemas.microsoft.com/office/drawing/2014/main" id="{2F4F4D08-69A7-48E7-9DC1-C491A1ACA6C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6" name="$E$174">
            <a:extLst>
              <a:ext uri="{FF2B5EF4-FFF2-40B4-BE49-F238E27FC236}">
                <a16:creationId xmlns:a16="http://schemas.microsoft.com/office/drawing/2014/main" id="{3FCD5E44-53F7-4350-9952-D835005FC372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7" name="$E$174">
            <a:extLst>
              <a:ext uri="{FF2B5EF4-FFF2-40B4-BE49-F238E27FC236}">
                <a16:creationId xmlns:a16="http://schemas.microsoft.com/office/drawing/2014/main" id="{84F5A369-17C3-4FA4-99E3-8CC23C50B23E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8" name="$E$174">
            <a:extLst>
              <a:ext uri="{FF2B5EF4-FFF2-40B4-BE49-F238E27FC236}">
                <a16:creationId xmlns:a16="http://schemas.microsoft.com/office/drawing/2014/main" id="{B87B0D9B-3BC9-400A-B7A5-54175EC5136E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9" name="$E$174">
            <a:extLst>
              <a:ext uri="{FF2B5EF4-FFF2-40B4-BE49-F238E27FC236}">
                <a16:creationId xmlns:a16="http://schemas.microsoft.com/office/drawing/2014/main" id="{B780FA36-0AFF-4099-AEE0-E15C2BAE8D7F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0" name="$E$174">
            <a:extLst>
              <a:ext uri="{FF2B5EF4-FFF2-40B4-BE49-F238E27FC236}">
                <a16:creationId xmlns:a16="http://schemas.microsoft.com/office/drawing/2014/main" id="{65C9F6B3-01FB-4C2E-9670-2EB7286CFACE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1" name="$E$174">
            <a:extLst>
              <a:ext uri="{FF2B5EF4-FFF2-40B4-BE49-F238E27FC236}">
                <a16:creationId xmlns:a16="http://schemas.microsoft.com/office/drawing/2014/main" id="{6E843747-2770-4499-990F-108B96DF8291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2" name="$E$174">
            <a:extLst>
              <a:ext uri="{FF2B5EF4-FFF2-40B4-BE49-F238E27FC236}">
                <a16:creationId xmlns:a16="http://schemas.microsoft.com/office/drawing/2014/main" id="{A9D179F7-F705-4B0F-938A-03266C481A7F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3" name="$E$174">
            <a:extLst>
              <a:ext uri="{FF2B5EF4-FFF2-40B4-BE49-F238E27FC236}">
                <a16:creationId xmlns:a16="http://schemas.microsoft.com/office/drawing/2014/main" id="{BEB4F18A-26E4-4415-BAF6-464831AA9133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4" name="$E$174">
            <a:extLst>
              <a:ext uri="{FF2B5EF4-FFF2-40B4-BE49-F238E27FC236}">
                <a16:creationId xmlns:a16="http://schemas.microsoft.com/office/drawing/2014/main" id="{CEA7139E-C47A-42D9-8346-C49F6EE05C44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5" name="$E$174">
            <a:extLst>
              <a:ext uri="{FF2B5EF4-FFF2-40B4-BE49-F238E27FC236}">
                <a16:creationId xmlns:a16="http://schemas.microsoft.com/office/drawing/2014/main" id="{23354214-B8E6-49F8-B2EC-BA3A5A8C373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6" name="$E$174">
            <a:extLst>
              <a:ext uri="{FF2B5EF4-FFF2-40B4-BE49-F238E27FC236}">
                <a16:creationId xmlns:a16="http://schemas.microsoft.com/office/drawing/2014/main" id="{5FB86E23-EC31-4D5A-82F7-9E4529D1B43A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7" name="$E$174">
            <a:extLst>
              <a:ext uri="{FF2B5EF4-FFF2-40B4-BE49-F238E27FC236}">
                <a16:creationId xmlns:a16="http://schemas.microsoft.com/office/drawing/2014/main" id="{AC9E6D4E-2A36-4A8C-B39E-34B235734581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8" name="$E$174">
            <a:extLst>
              <a:ext uri="{FF2B5EF4-FFF2-40B4-BE49-F238E27FC236}">
                <a16:creationId xmlns:a16="http://schemas.microsoft.com/office/drawing/2014/main" id="{B51BC9A8-C7C3-46AA-A83B-1BD3B8D97CE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9" name="$E$174">
            <a:extLst>
              <a:ext uri="{FF2B5EF4-FFF2-40B4-BE49-F238E27FC236}">
                <a16:creationId xmlns:a16="http://schemas.microsoft.com/office/drawing/2014/main" id="{50F4D693-497F-467E-BBB5-5BC6F755E4D8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0" name="$E$174">
            <a:extLst>
              <a:ext uri="{FF2B5EF4-FFF2-40B4-BE49-F238E27FC236}">
                <a16:creationId xmlns:a16="http://schemas.microsoft.com/office/drawing/2014/main" id="{3E01EA2B-7B73-4D2C-AD09-80852C8DD3DB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1" name="$E$174">
            <a:extLst>
              <a:ext uri="{FF2B5EF4-FFF2-40B4-BE49-F238E27FC236}">
                <a16:creationId xmlns:a16="http://schemas.microsoft.com/office/drawing/2014/main" id="{F192C9C2-1FA0-499F-AB37-FDAE9CBB16F1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2" name="$E$174">
            <a:extLst>
              <a:ext uri="{FF2B5EF4-FFF2-40B4-BE49-F238E27FC236}">
                <a16:creationId xmlns:a16="http://schemas.microsoft.com/office/drawing/2014/main" id="{452370B6-346E-48F1-A1EA-B6176023F0AA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3" name="$E$174">
            <a:extLst>
              <a:ext uri="{FF2B5EF4-FFF2-40B4-BE49-F238E27FC236}">
                <a16:creationId xmlns:a16="http://schemas.microsoft.com/office/drawing/2014/main" id="{805F3D56-93A2-4C59-9510-7044FC3B502F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4" name="$E$174">
            <a:extLst>
              <a:ext uri="{FF2B5EF4-FFF2-40B4-BE49-F238E27FC236}">
                <a16:creationId xmlns:a16="http://schemas.microsoft.com/office/drawing/2014/main" id="{B657233B-B73F-469D-8B70-84357BB0B927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5" name="$E$174">
            <a:extLst>
              <a:ext uri="{FF2B5EF4-FFF2-40B4-BE49-F238E27FC236}">
                <a16:creationId xmlns:a16="http://schemas.microsoft.com/office/drawing/2014/main" id="{C8CBB2D6-D08E-4F31-8114-FACBF73635E0}"/>
              </a:ext>
            </a:extLst>
          </xdr:cNvPr>
          <xdr:cNvSpPr/>
        </xdr:nvSpPr>
        <xdr:spPr>
          <a:xfrm>
            <a:off x="393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6" name="$E$174">
            <a:extLst>
              <a:ext uri="{FF2B5EF4-FFF2-40B4-BE49-F238E27FC236}">
                <a16:creationId xmlns:a16="http://schemas.microsoft.com/office/drawing/2014/main" id="{667E0DF0-39CF-4E7E-8365-5AEB31212315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7" name="$E$174">
            <a:extLst>
              <a:ext uri="{FF2B5EF4-FFF2-40B4-BE49-F238E27FC236}">
                <a16:creationId xmlns:a16="http://schemas.microsoft.com/office/drawing/2014/main" id="{03EE21BF-442A-400C-9482-12FF57092AA9}"/>
              </a:ext>
            </a:extLst>
          </xdr:cNvPr>
          <xdr:cNvSpPr/>
        </xdr:nvSpPr>
        <xdr:spPr>
          <a:xfrm>
            <a:off x="457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8" name="$E$174">
            <a:extLst>
              <a:ext uri="{FF2B5EF4-FFF2-40B4-BE49-F238E27FC236}">
                <a16:creationId xmlns:a16="http://schemas.microsoft.com/office/drawing/2014/main" id="{DE9296C6-D09D-49D5-8A51-5E0314C39C84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9" name="$E$174">
            <a:extLst>
              <a:ext uri="{FF2B5EF4-FFF2-40B4-BE49-F238E27FC236}">
                <a16:creationId xmlns:a16="http://schemas.microsoft.com/office/drawing/2014/main" id="{2E6A2153-05D7-4C27-BBED-2621B0A23277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0" name="$E$174">
            <a:extLst>
              <a:ext uri="{FF2B5EF4-FFF2-40B4-BE49-F238E27FC236}">
                <a16:creationId xmlns:a16="http://schemas.microsoft.com/office/drawing/2014/main" id="{05DF8629-7EA5-4078-A092-2A0018E0F17F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1" name="$E$174">
            <a:extLst>
              <a:ext uri="{FF2B5EF4-FFF2-40B4-BE49-F238E27FC236}">
                <a16:creationId xmlns:a16="http://schemas.microsoft.com/office/drawing/2014/main" id="{E05AA109-4792-427B-811D-42647403D3BB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2" name="$E$174">
            <a:extLst>
              <a:ext uri="{FF2B5EF4-FFF2-40B4-BE49-F238E27FC236}">
                <a16:creationId xmlns:a16="http://schemas.microsoft.com/office/drawing/2014/main" id="{346F4FAA-0B6A-4296-801E-46AD54597981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3" name="$E$174">
            <a:extLst>
              <a:ext uri="{FF2B5EF4-FFF2-40B4-BE49-F238E27FC236}">
                <a16:creationId xmlns:a16="http://schemas.microsoft.com/office/drawing/2014/main" id="{FBB087EF-3865-4024-B7C3-0D0C5FCE982C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4" name="$E$174">
            <a:extLst>
              <a:ext uri="{FF2B5EF4-FFF2-40B4-BE49-F238E27FC236}">
                <a16:creationId xmlns:a16="http://schemas.microsoft.com/office/drawing/2014/main" id="{246FCF22-E1A1-453E-B607-5953FCB24C31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5" name="$E$174">
            <a:extLst>
              <a:ext uri="{FF2B5EF4-FFF2-40B4-BE49-F238E27FC236}">
                <a16:creationId xmlns:a16="http://schemas.microsoft.com/office/drawing/2014/main" id="{223FEE95-E021-425A-B125-C425D01992CB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6" name="$E$174">
            <a:extLst>
              <a:ext uri="{FF2B5EF4-FFF2-40B4-BE49-F238E27FC236}">
                <a16:creationId xmlns:a16="http://schemas.microsoft.com/office/drawing/2014/main" id="{F93B26BD-7FEF-4E10-86C5-69AE329B059B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7" name="$E$174">
            <a:extLst>
              <a:ext uri="{FF2B5EF4-FFF2-40B4-BE49-F238E27FC236}">
                <a16:creationId xmlns:a16="http://schemas.microsoft.com/office/drawing/2014/main" id="{BDE5D1EA-A6AF-4CB2-A86E-4A91D76AE9BA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8" name="$E$174">
            <a:extLst>
              <a:ext uri="{FF2B5EF4-FFF2-40B4-BE49-F238E27FC236}">
                <a16:creationId xmlns:a16="http://schemas.microsoft.com/office/drawing/2014/main" id="{A9A3F610-68E6-472E-BD9F-2EB660907A4F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9" name="$E$174">
            <a:extLst>
              <a:ext uri="{FF2B5EF4-FFF2-40B4-BE49-F238E27FC236}">
                <a16:creationId xmlns:a16="http://schemas.microsoft.com/office/drawing/2014/main" id="{A6F568E3-A0E5-4FEE-91C5-545046B69878}"/>
              </a:ext>
            </a:extLst>
          </xdr:cNvPr>
          <xdr:cNvSpPr/>
        </xdr:nvSpPr>
        <xdr:spPr>
          <a:xfrm>
            <a:off x="393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0" name="$E$174">
            <a:extLst>
              <a:ext uri="{FF2B5EF4-FFF2-40B4-BE49-F238E27FC236}">
                <a16:creationId xmlns:a16="http://schemas.microsoft.com/office/drawing/2014/main" id="{DBAEAAAF-B91A-4672-BA23-85EC0FEFB48C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1" name="$E$174">
            <a:extLst>
              <a:ext uri="{FF2B5EF4-FFF2-40B4-BE49-F238E27FC236}">
                <a16:creationId xmlns:a16="http://schemas.microsoft.com/office/drawing/2014/main" id="{42DEF539-E788-48EB-B698-D19E42B2AA97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2" name="$E$174">
            <a:extLst>
              <a:ext uri="{FF2B5EF4-FFF2-40B4-BE49-F238E27FC236}">
                <a16:creationId xmlns:a16="http://schemas.microsoft.com/office/drawing/2014/main" id="{D6C98B16-8DB3-4BCC-A1C3-66294159749F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3" name="$E$174">
            <a:extLst>
              <a:ext uri="{FF2B5EF4-FFF2-40B4-BE49-F238E27FC236}">
                <a16:creationId xmlns:a16="http://schemas.microsoft.com/office/drawing/2014/main" id="{14F574B1-87D9-4B9B-82B9-6D10A43AAF93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4" name="$E$174">
            <a:extLst>
              <a:ext uri="{FF2B5EF4-FFF2-40B4-BE49-F238E27FC236}">
                <a16:creationId xmlns:a16="http://schemas.microsoft.com/office/drawing/2014/main" id="{B7375210-4E6F-444D-9761-CF460292419C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5" name="$E$174">
            <a:extLst>
              <a:ext uri="{FF2B5EF4-FFF2-40B4-BE49-F238E27FC236}">
                <a16:creationId xmlns:a16="http://schemas.microsoft.com/office/drawing/2014/main" id="{C8893095-8F5F-435C-877E-A95C88D4B4C2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6" name="$E$174">
            <a:extLst>
              <a:ext uri="{FF2B5EF4-FFF2-40B4-BE49-F238E27FC236}">
                <a16:creationId xmlns:a16="http://schemas.microsoft.com/office/drawing/2014/main" id="{4DEF9295-AAFF-4F93-866E-948FF4E4296C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7" name="$E$174">
            <a:extLst>
              <a:ext uri="{FF2B5EF4-FFF2-40B4-BE49-F238E27FC236}">
                <a16:creationId xmlns:a16="http://schemas.microsoft.com/office/drawing/2014/main" id="{BD9CE24C-27B7-43CA-B3F0-0619AA1D770D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8" name="$E$174">
            <a:extLst>
              <a:ext uri="{FF2B5EF4-FFF2-40B4-BE49-F238E27FC236}">
                <a16:creationId xmlns:a16="http://schemas.microsoft.com/office/drawing/2014/main" id="{E346A894-92E7-473C-99D0-6EDA8DF221C9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9" name="$E$174">
            <a:extLst>
              <a:ext uri="{FF2B5EF4-FFF2-40B4-BE49-F238E27FC236}">
                <a16:creationId xmlns:a16="http://schemas.microsoft.com/office/drawing/2014/main" id="{DE409239-803F-4BA6-942C-340BBC2454FD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0" name="$E$174">
            <a:extLst>
              <a:ext uri="{FF2B5EF4-FFF2-40B4-BE49-F238E27FC236}">
                <a16:creationId xmlns:a16="http://schemas.microsoft.com/office/drawing/2014/main" id="{63C5D017-F461-4ADA-9D1C-ED502B41F1D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1" name="$E$174">
            <a:extLst>
              <a:ext uri="{FF2B5EF4-FFF2-40B4-BE49-F238E27FC236}">
                <a16:creationId xmlns:a16="http://schemas.microsoft.com/office/drawing/2014/main" id="{D3FD3233-15C7-4E62-B093-65C4AAADE55D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2" name="$E$174">
            <a:extLst>
              <a:ext uri="{FF2B5EF4-FFF2-40B4-BE49-F238E27FC236}">
                <a16:creationId xmlns:a16="http://schemas.microsoft.com/office/drawing/2014/main" id="{50B0FCD3-5E6E-4B0C-923C-F656D8F64A44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3" name="$E$174">
            <a:extLst>
              <a:ext uri="{FF2B5EF4-FFF2-40B4-BE49-F238E27FC236}">
                <a16:creationId xmlns:a16="http://schemas.microsoft.com/office/drawing/2014/main" id="{E52732BF-023A-4B8D-B5F2-121A6DA8DBB9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4" name="$E$174">
            <a:extLst>
              <a:ext uri="{FF2B5EF4-FFF2-40B4-BE49-F238E27FC236}">
                <a16:creationId xmlns:a16="http://schemas.microsoft.com/office/drawing/2014/main" id="{A0407545-B2E7-4306-A9D8-B19DC92CEF91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5" name="$E$174">
            <a:extLst>
              <a:ext uri="{FF2B5EF4-FFF2-40B4-BE49-F238E27FC236}">
                <a16:creationId xmlns:a16="http://schemas.microsoft.com/office/drawing/2014/main" id="{D2F699E0-8552-4640-A232-ED90C1584B72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6" name="$E$174">
            <a:extLst>
              <a:ext uri="{FF2B5EF4-FFF2-40B4-BE49-F238E27FC236}">
                <a16:creationId xmlns:a16="http://schemas.microsoft.com/office/drawing/2014/main" id="{77972494-D3DD-482A-9832-DC75D4629CD5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7" name="$E$174">
            <a:extLst>
              <a:ext uri="{FF2B5EF4-FFF2-40B4-BE49-F238E27FC236}">
                <a16:creationId xmlns:a16="http://schemas.microsoft.com/office/drawing/2014/main" id="{E7EC9329-7DBB-4148-8A17-BA97EF18A15D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8" name="$E$174">
            <a:extLst>
              <a:ext uri="{FF2B5EF4-FFF2-40B4-BE49-F238E27FC236}">
                <a16:creationId xmlns:a16="http://schemas.microsoft.com/office/drawing/2014/main" id="{761953A3-FAB0-481E-AEA0-642E29DB61BF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9" name="$E$174">
            <a:extLst>
              <a:ext uri="{FF2B5EF4-FFF2-40B4-BE49-F238E27FC236}">
                <a16:creationId xmlns:a16="http://schemas.microsoft.com/office/drawing/2014/main" id="{C36D89E2-330D-480A-8542-AE6CFBF0B4D7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0" name="$E$174">
            <a:extLst>
              <a:ext uri="{FF2B5EF4-FFF2-40B4-BE49-F238E27FC236}">
                <a16:creationId xmlns:a16="http://schemas.microsoft.com/office/drawing/2014/main" id="{6F8BF131-66D7-4EB1-B8BF-F415CC02B358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1" name="$E$174">
            <a:extLst>
              <a:ext uri="{FF2B5EF4-FFF2-40B4-BE49-F238E27FC236}">
                <a16:creationId xmlns:a16="http://schemas.microsoft.com/office/drawing/2014/main" id="{C24A9B63-07CC-45F1-A73C-27B90CEABB5C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2" name="$E$174">
            <a:extLst>
              <a:ext uri="{FF2B5EF4-FFF2-40B4-BE49-F238E27FC236}">
                <a16:creationId xmlns:a16="http://schemas.microsoft.com/office/drawing/2014/main" id="{8A35C2FC-6DB5-4D50-8E0B-75161550C66B}"/>
              </a:ext>
            </a:extLst>
          </xdr:cNvPr>
          <xdr:cNvSpPr/>
        </xdr:nvSpPr>
        <xdr:spPr>
          <a:xfrm>
            <a:off x="419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3" name="$E$174">
            <a:extLst>
              <a:ext uri="{FF2B5EF4-FFF2-40B4-BE49-F238E27FC236}">
                <a16:creationId xmlns:a16="http://schemas.microsoft.com/office/drawing/2014/main" id="{6C6FD602-6DFE-4303-8489-197AFEB248AD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4" name="$E$174">
            <a:extLst>
              <a:ext uri="{FF2B5EF4-FFF2-40B4-BE49-F238E27FC236}">
                <a16:creationId xmlns:a16="http://schemas.microsoft.com/office/drawing/2014/main" id="{F64FCD1C-E65A-417E-9393-A47EEA112D4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5" name="$E$174">
            <a:extLst>
              <a:ext uri="{FF2B5EF4-FFF2-40B4-BE49-F238E27FC236}">
                <a16:creationId xmlns:a16="http://schemas.microsoft.com/office/drawing/2014/main" id="{BCF0A930-6250-4144-B918-ABC007B5DB11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6" name="$E$174">
            <a:extLst>
              <a:ext uri="{FF2B5EF4-FFF2-40B4-BE49-F238E27FC236}">
                <a16:creationId xmlns:a16="http://schemas.microsoft.com/office/drawing/2014/main" id="{991FFD69-6FF6-4F47-B8EB-9A6DA5CCFC99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7" name="$E$174">
            <a:extLst>
              <a:ext uri="{FF2B5EF4-FFF2-40B4-BE49-F238E27FC236}">
                <a16:creationId xmlns:a16="http://schemas.microsoft.com/office/drawing/2014/main" id="{28E75E16-6F0E-4E73-88AD-6C85D6DA7AD3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8" name="$E$174">
            <a:extLst>
              <a:ext uri="{FF2B5EF4-FFF2-40B4-BE49-F238E27FC236}">
                <a16:creationId xmlns:a16="http://schemas.microsoft.com/office/drawing/2014/main" id="{323DFC9F-606D-4EBC-949F-406761CC4EFA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9" name="$E$174">
            <a:extLst>
              <a:ext uri="{FF2B5EF4-FFF2-40B4-BE49-F238E27FC236}">
                <a16:creationId xmlns:a16="http://schemas.microsoft.com/office/drawing/2014/main" id="{9FE756A1-2B76-4F50-A982-23F55DDF2DD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0" name="$E$174">
            <a:extLst>
              <a:ext uri="{FF2B5EF4-FFF2-40B4-BE49-F238E27FC236}">
                <a16:creationId xmlns:a16="http://schemas.microsoft.com/office/drawing/2014/main" id="{07A72B77-AF1D-4FAF-AD9B-A42BAAADA3A8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1" name="$E$174">
            <a:extLst>
              <a:ext uri="{FF2B5EF4-FFF2-40B4-BE49-F238E27FC236}">
                <a16:creationId xmlns:a16="http://schemas.microsoft.com/office/drawing/2014/main" id="{ADD89622-1F42-4B40-A198-35DF57CE7A8D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2" name="$E$174">
            <a:extLst>
              <a:ext uri="{FF2B5EF4-FFF2-40B4-BE49-F238E27FC236}">
                <a16:creationId xmlns:a16="http://schemas.microsoft.com/office/drawing/2014/main" id="{2AE83F79-AA74-444E-920E-1F76E0F892F5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3" name="$E$174">
            <a:extLst>
              <a:ext uri="{FF2B5EF4-FFF2-40B4-BE49-F238E27FC236}">
                <a16:creationId xmlns:a16="http://schemas.microsoft.com/office/drawing/2014/main" id="{CCA7A0B9-2500-4CE1-BE0B-53DFE3B3582D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4" name="$E$174">
            <a:extLst>
              <a:ext uri="{FF2B5EF4-FFF2-40B4-BE49-F238E27FC236}">
                <a16:creationId xmlns:a16="http://schemas.microsoft.com/office/drawing/2014/main" id="{C967AF8D-A1D8-4787-A5C8-31D018217B4C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5" name="$E$174">
            <a:extLst>
              <a:ext uri="{FF2B5EF4-FFF2-40B4-BE49-F238E27FC236}">
                <a16:creationId xmlns:a16="http://schemas.microsoft.com/office/drawing/2014/main" id="{20CF04AC-9B8D-44AB-8CE7-966DE06CD692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6" name="$E$174">
            <a:extLst>
              <a:ext uri="{FF2B5EF4-FFF2-40B4-BE49-F238E27FC236}">
                <a16:creationId xmlns:a16="http://schemas.microsoft.com/office/drawing/2014/main" id="{2050F193-8E1F-4FD8-9432-6BA38EA4CFB2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7" name="$E$174">
            <a:extLst>
              <a:ext uri="{FF2B5EF4-FFF2-40B4-BE49-F238E27FC236}">
                <a16:creationId xmlns:a16="http://schemas.microsoft.com/office/drawing/2014/main" id="{E2CC1A48-1A63-419D-9F39-B8B473B18ED3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8" name="$E$174">
            <a:extLst>
              <a:ext uri="{FF2B5EF4-FFF2-40B4-BE49-F238E27FC236}">
                <a16:creationId xmlns:a16="http://schemas.microsoft.com/office/drawing/2014/main" id="{79B29481-46B3-499F-8EB0-61A841FDF634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9" name="$E$174">
            <a:extLst>
              <a:ext uri="{FF2B5EF4-FFF2-40B4-BE49-F238E27FC236}">
                <a16:creationId xmlns:a16="http://schemas.microsoft.com/office/drawing/2014/main" id="{089945B0-14D3-4316-A398-DC6B85F4828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0" name="$E$174">
            <a:extLst>
              <a:ext uri="{FF2B5EF4-FFF2-40B4-BE49-F238E27FC236}">
                <a16:creationId xmlns:a16="http://schemas.microsoft.com/office/drawing/2014/main" id="{60A3FC4D-DC86-45CE-B901-DC04B1E17C2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1" name="$E$174">
            <a:extLst>
              <a:ext uri="{FF2B5EF4-FFF2-40B4-BE49-F238E27FC236}">
                <a16:creationId xmlns:a16="http://schemas.microsoft.com/office/drawing/2014/main" id="{1722D2D7-510C-4A05-BF0E-FD99FF1422F5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2" name="$E$174">
            <a:extLst>
              <a:ext uri="{FF2B5EF4-FFF2-40B4-BE49-F238E27FC236}">
                <a16:creationId xmlns:a16="http://schemas.microsoft.com/office/drawing/2014/main" id="{6BBA659D-D61F-4414-8ACF-9FC8C6281FB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3" name="$E$174">
            <a:extLst>
              <a:ext uri="{FF2B5EF4-FFF2-40B4-BE49-F238E27FC236}">
                <a16:creationId xmlns:a16="http://schemas.microsoft.com/office/drawing/2014/main" id="{925936A6-C25D-472E-9876-DF658101EF81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4" name="$E$174">
            <a:extLst>
              <a:ext uri="{FF2B5EF4-FFF2-40B4-BE49-F238E27FC236}">
                <a16:creationId xmlns:a16="http://schemas.microsoft.com/office/drawing/2014/main" id="{B7E43D42-398F-415E-9342-937848F25318}"/>
              </a:ext>
            </a:extLst>
          </xdr:cNvPr>
          <xdr:cNvSpPr/>
        </xdr:nvSpPr>
        <xdr:spPr>
          <a:xfrm>
            <a:off x="419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5" name="$E$174">
            <a:extLst>
              <a:ext uri="{FF2B5EF4-FFF2-40B4-BE49-F238E27FC236}">
                <a16:creationId xmlns:a16="http://schemas.microsoft.com/office/drawing/2014/main" id="{08E93DE1-9E0B-4384-82A3-276AE1A82F4D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6" name="$E$174">
            <a:extLst>
              <a:ext uri="{FF2B5EF4-FFF2-40B4-BE49-F238E27FC236}">
                <a16:creationId xmlns:a16="http://schemas.microsoft.com/office/drawing/2014/main" id="{53B328BD-87FC-4EDE-B93A-B033D2981BA7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7" name="$E$174">
            <a:extLst>
              <a:ext uri="{FF2B5EF4-FFF2-40B4-BE49-F238E27FC236}">
                <a16:creationId xmlns:a16="http://schemas.microsoft.com/office/drawing/2014/main" id="{AAFC4A0E-9238-4D91-A246-DAD08721B6C6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8" name="$E$174">
            <a:extLst>
              <a:ext uri="{FF2B5EF4-FFF2-40B4-BE49-F238E27FC236}">
                <a16:creationId xmlns:a16="http://schemas.microsoft.com/office/drawing/2014/main" id="{5388787B-BE92-4909-AD73-7CBA3BD9FC4F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9" name="$E$174">
            <a:extLst>
              <a:ext uri="{FF2B5EF4-FFF2-40B4-BE49-F238E27FC236}">
                <a16:creationId xmlns:a16="http://schemas.microsoft.com/office/drawing/2014/main" id="{1D466F6C-AF05-4875-83DD-F5A453343DFF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0" name="$E$174">
            <a:extLst>
              <a:ext uri="{FF2B5EF4-FFF2-40B4-BE49-F238E27FC236}">
                <a16:creationId xmlns:a16="http://schemas.microsoft.com/office/drawing/2014/main" id="{DF135731-9327-46A5-AEFB-D81D85E512E1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1" name="$E$174">
            <a:extLst>
              <a:ext uri="{FF2B5EF4-FFF2-40B4-BE49-F238E27FC236}">
                <a16:creationId xmlns:a16="http://schemas.microsoft.com/office/drawing/2014/main" id="{43CBAB04-8131-4CAF-B052-1B37326F8F35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2" name="$E$174">
            <a:extLst>
              <a:ext uri="{FF2B5EF4-FFF2-40B4-BE49-F238E27FC236}">
                <a16:creationId xmlns:a16="http://schemas.microsoft.com/office/drawing/2014/main" id="{E5AC94D4-C6E7-43EB-9BC8-B2DFD306B68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3" name="$E$174">
            <a:extLst>
              <a:ext uri="{FF2B5EF4-FFF2-40B4-BE49-F238E27FC236}">
                <a16:creationId xmlns:a16="http://schemas.microsoft.com/office/drawing/2014/main" id="{12B9813D-702A-41AA-B95A-2E7A2FC8E136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4" name="$E$174">
            <a:extLst>
              <a:ext uri="{FF2B5EF4-FFF2-40B4-BE49-F238E27FC236}">
                <a16:creationId xmlns:a16="http://schemas.microsoft.com/office/drawing/2014/main" id="{3695FC38-E518-42A6-A4E0-8DA796CE92D5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5" name="$E$174">
            <a:extLst>
              <a:ext uri="{FF2B5EF4-FFF2-40B4-BE49-F238E27FC236}">
                <a16:creationId xmlns:a16="http://schemas.microsoft.com/office/drawing/2014/main" id="{95108BA0-2F87-4694-8CD5-8BF9F0261B5C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6" name="$E$174">
            <a:extLst>
              <a:ext uri="{FF2B5EF4-FFF2-40B4-BE49-F238E27FC236}">
                <a16:creationId xmlns:a16="http://schemas.microsoft.com/office/drawing/2014/main" id="{45657A04-EC7E-4D3B-8FC5-87703DFB60AA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7" name="$E$174">
            <a:extLst>
              <a:ext uri="{FF2B5EF4-FFF2-40B4-BE49-F238E27FC236}">
                <a16:creationId xmlns:a16="http://schemas.microsoft.com/office/drawing/2014/main" id="{401873AB-6CCD-49FA-995C-B56320F0BA4F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8" name="$E$174">
            <a:extLst>
              <a:ext uri="{FF2B5EF4-FFF2-40B4-BE49-F238E27FC236}">
                <a16:creationId xmlns:a16="http://schemas.microsoft.com/office/drawing/2014/main" id="{9E9C552A-6DAC-4799-ABFE-2739DB8222DC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9" name="$E$174">
            <a:extLst>
              <a:ext uri="{FF2B5EF4-FFF2-40B4-BE49-F238E27FC236}">
                <a16:creationId xmlns:a16="http://schemas.microsoft.com/office/drawing/2014/main" id="{D1568E1F-93C4-4D58-BF71-CA5D57709FDF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0" name="$E$174">
            <a:extLst>
              <a:ext uri="{FF2B5EF4-FFF2-40B4-BE49-F238E27FC236}">
                <a16:creationId xmlns:a16="http://schemas.microsoft.com/office/drawing/2014/main" id="{4BEB5AE0-DC09-4926-AB86-F8E8510B7C7C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1" name="$E$174">
            <a:extLst>
              <a:ext uri="{FF2B5EF4-FFF2-40B4-BE49-F238E27FC236}">
                <a16:creationId xmlns:a16="http://schemas.microsoft.com/office/drawing/2014/main" id="{56D16529-E1B3-4BCC-8E01-53EF1F127A53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2" name="$E$174">
            <a:extLst>
              <a:ext uri="{FF2B5EF4-FFF2-40B4-BE49-F238E27FC236}">
                <a16:creationId xmlns:a16="http://schemas.microsoft.com/office/drawing/2014/main" id="{CB3FE428-4B03-49B8-BFB4-DB0156A3ED43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3" name="$E$174">
            <a:extLst>
              <a:ext uri="{FF2B5EF4-FFF2-40B4-BE49-F238E27FC236}">
                <a16:creationId xmlns:a16="http://schemas.microsoft.com/office/drawing/2014/main" id="{F7772AD4-1D45-4A0F-94D8-756CAF1163BA}"/>
              </a:ext>
            </a:extLst>
          </xdr:cNvPr>
          <xdr:cNvSpPr/>
        </xdr:nvSpPr>
        <xdr:spPr>
          <a:xfrm>
            <a:off x="431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4" name="$E$174">
            <a:extLst>
              <a:ext uri="{FF2B5EF4-FFF2-40B4-BE49-F238E27FC236}">
                <a16:creationId xmlns:a16="http://schemas.microsoft.com/office/drawing/2014/main" id="{84F6AD76-B264-4521-BE96-C9C54095B14B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5" name="$E$174">
            <a:extLst>
              <a:ext uri="{FF2B5EF4-FFF2-40B4-BE49-F238E27FC236}">
                <a16:creationId xmlns:a16="http://schemas.microsoft.com/office/drawing/2014/main" id="{00065B54-C95E-4B10-A347-09F659B2B2DE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6" name="$E$174">
            <a:extLst>
              <a:ext uri="{FF2B5EF4-FFF2-40B4-BE49-F238E27FC236}">
                <a16:creationId xmlns:a16="http://schemas.microsoft.com/office/drawing/2014/main" id="{804845EE-0D98-45FB-B164-F1539F7DE415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7" name="$E$174">
            <a:extLst>
              <a:ext uri="{FF2B5EF4-FFF2-40B4-BE49-F238E27FC236}">
                <a16:creationId xmlns:a16="http://schemas.microsoft.com/office/drawing/2014/main" id="{66133062-F6CB-40AC-9628-FDEE2433269A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8" name="$E$174">
            <a:extLst>
              <a:ext uri="{FF2B5EF4-FFF2-40B4-BE49-F238E27FC236}">
                <a16:creationId xmlns:a16="http://schemas.microsoft.com/office/drawing/2014/main" id="{24261F97-D6F5-426D-A49F-A2582723AD7F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9" name="$E$174">
            <a:extLst>
              <a:ext uri="{FF2B5EF4-FFF2-40B4-BE49-F238E27FC236}">
                <a16:creationId xmlns:a16="http://schemas.microsoft.com/office/drawing/2014/main" id="{0F6D0DEA-4139-477F-BB2E-B9A189517A0C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0" name="$E$174">
            <a:extLst>
              <a:ext uri="{FF2B5EF4-FFF2-40B4-BE49-F238E27FC236}">
                <a16:creationId xmlns:a16="http://schemas.microsoft.com/office/drawing/2014/main" id="{75177E2D-CC8D-43B4-AC4B-90892FE03738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1" name="$E$174">
            <a:extLst>
              <a:ext uri="{FF2B5EF4-FFF2-40B4-BE49-F238E27FC236}">
                <a16:creationId xmlns:a16="http://schemas.microsoft.com/office/drawing/2014/main" id="{7A0431BA-876D-43B6-A5EC-DE498FEDA095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2" name="$E$174">
            <a:extLst>
              <a:ext uri="{FF2B5EF4-FFF2-40B4-BE49-F238E27FC236}">
                <a16:creationId xmlns:a16="http://schemas.microsoft.com/office/drawing/2014/main" id="{FD4DCB5A-28BF-4AF8-BC1A-5BCBDBCAEC2B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3" name="$E$174">
            <a:extLst>
              <a:ext uri="{FF2B5EF4-FFF2-40B4-BE49-F238E27FC236}">
                <a16:creationId xmlns:a16="http://schemas.microsoft.com/office/drawing/2014/main" id="{3666E34B-A473-41EF-A95E-48365576414C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4" name="$E$174">
            <a:extLst>
              <a:ext uri="{FF2B5EF4-FFF2-40B4-BE49-F238E27FC236}">
                <a16:creationId xmlns:a16="http://schemas.microsoft.com/office/drawing/2014/main" id="{2083080B-5CCF-435B-9DAC-A16F30F19479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5" name="$E$174">
            <a:extLst>
              <a:ext uri="{FF2B5EF4-FFF2-40B4-BE49-F238E27FC236}">
                <a16:creationId xmlns:a16="http://schemas.microsoft.com/office/drawing/2014/main" id="{EF2FF17B-E24E-4F97-AEA0-8019819DD5F3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6" name="$E$174">
            <a:extLst>
              <a:ext uri="{FF2B5EF4-FFF2-40B4-BE49-F238E27FC236}">
                <a16:creationId xmlns:a16="http://schemas.microsoft.com/office/drawing/2014/main" id="{D8EB3D8C-3BDD-453E-B425-3303B89140C4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7" name="$E$174">
            <a:extLst>
              <a:ext uri="{FF2B5EF4-FFF2-40B4-BE49-F238E27FC236}">
                <a16:creationId xmlns:a16="http://schemas.microsoft.com/office/drawing/2014/main" id="{37AAFDA3-A9CB-45AA-98F6-712ADBB3CA4D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8" name="$E$174">
            <a:extLst>
              <a:ext uri="{FF2B5EF4-FFF2-40B4-BE49-F238E27FC236}">
                <a16:creationId xmlns:a16="http://schemas.microsoft.com/office/drawing/2014/main" id="{6DF833AC-C77F-479F-8A76-E82A5080F11C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9" name="$E$174">
            <a:extLst>
              <a:ext uri="{FF2B5EF4-FFF2-40B4-BE49-F238E27FC236}">
                <a16:creationId xmlns:a16="http://schemas.microsoft.com/office/drawing/2014/main" id="{AF0D8C62-A59A-4DB2-9794-AFD130486E11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0" name="$E$174">
            <a:extLst>
              <a:ext uri="{FF2B5EF4-FFF2-40B4-BE49-F238E27FC236}">
                <a16:creationId xmlns:a16="http://schemas.microsoft.com/office/drawing/2014/main" id="{0D8CB237-8B6B-4A10-BCF4-F9D90C8C6C89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1" name="$E$174">
            <a:extLst>
              <a:ext uri="{FF2B5EF4-FFF2-40B4-BE49-F238E27FC236}">
                <a16:creationId xmlns:a16="http://schemas.microsoft.com/office/drawing/2014/main" id="{5179C5D7-7BA6-469F-BB24-F2A04B1886A4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2" name="$E$174">
            <a:extLst>
              <a:ext uri="{FF2B5EF4-FFF2-40B4-BE49-F238E27FC236}">
                <a16:creationId xmlns:a16="http://schemas.microsoft.com/office/drawing/2014/main" id="{688633E1-AA11-42D6-A44F-8D0596C42C9F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3" name="$E$174">
            <a:extLst>
              <a:ext uri="{FF2B5EF4-FFF2-40B4-BE49-F238E27FC236}">
                <a16:creationId xmlns:a16="http://schemas.microsoft.com/office/drawing/2014/main" id="{AD7DB1A8-6CFE-41BF-A72E-5228A958FE29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4" name="$E$174">
            <a:extLst>
              <a:ext uri="{FF2B5EF4-FFF2-40B4-BE49-F238E27FC236}">
                <a16:creationId xmlns:a16="http://schemas.microsoft.com/office/drawing/2014/main" id="{7C1F3994-3599-457E-A26B-E73760D37515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5" name="$E$174">
            <a:extLst>
              <a:ext uri="{FF2B5EF4-FFF2-40B4-BE49-F238E27FC236}">
                <a16:creationId xmlns:a16="http://schemas.microsoft.com/office/drawing/2014/main" id="{60D9320D-2EB5-44C4-BB62-CA488B3E620A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6" name="$E$174">
            <a:extLst>
              <a:ext uri="{FF2B5EF4-FFF2-40B4-BE49-F238E27FC236}">
                <a16:creationId xmlns:a16="http://schemas.microsoft.com/office/drawing/2014/main" id="{779B8E27-6289-4A2D-87D4-F4B8DB396D79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7" name="$E$174">
            <a:extLst>
              <a:ext uri="{FF2B5EF4-FFF2-40B4-BE49-F238E27FC236}">
                <a16:creationId xmlns:a16="http://schemas.microsoft.com/office/drawing/2014/main" id="{F478EFC0-1C3F-4C05-820D-60072A205CF8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8" name="$E$174">
            <a:extLst>
              <a:ext uri="{FF2B5EF4-FFF2-40B4-BE49-F238E27FC236}">
                <a16:creationId xmlns:a16="http://schemas.microsoft.com/office/drawing/2014/main" id="{22ABB25F-B13A-4D6B-81DE-CCFBFEE021B3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9" name="$E$174">
            <a:extLst>
              <a:ext uri="{FF2B5EF4-FFF2-40B4-BE49-F238E27FC236}">
                <a16:creationId xmlns:a16="http://schemas.microsoft.com/office/drawing/2014/main" id="{48DCE8B6-178D-4811-B130-20D216B22424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0" name="$E$174">
            <a:extLst>
              <a:ext uri="{FF2B5EF4-FFF2-40B4-BE49-F238E27FC236}">
                <a16:creationId xmlns:a16="http://schemas.microsoft.com/office/drawing/2014/main" id="{79468747-8A11-4157-A844-73B78509E919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1" name="$E$174">
            <a:extLst>
              <a:ext uri="{FF2B5EF4-FFF2-40B4-BE49-F238E27FC236}">
                <a16:creationId xmlns:a16="http://schemas.microsoft.com/office/drawing/2014/main" id="{BCA2A6A6-AAA3-46DB-9FF9-82E0CDEB1DD6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2" name="$E$174">
            <a:extLst>
              <a:ext uri="{FF2B5EF4-FFF2-40B4-BE49-F238E27FC236}">
                <a16:creationId xmlns:a16="http://schemas.microsoft.com/office/drawing/2014/main" id="{55010A7C-1534-4BAF-9D31-A38310709773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3" name="$E$174">
            <a:extLst>
              <a:ext uri="{FF2B5EF4-FFF2-40B4-BE49-F238E27FC236}">
                <a16:creationId xmlns:a16="http://schemas.microsoft.com/office/drawing/2014/main" id="{2EDB8C98-2A05-44C8-AA81-D1EA56C8ACA7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4" name="$E$174">
            <a:extLst>
              <a:ext uri="{FF2B5EF4-FFF2-40B4-BE49-F238E27FC236}">
                <a16:creationId xmlns:a16="http://schemas.microsoft.com/office/drawing/2014/main" id="{7CB3096F-393C-4231-A819-F5DD2DFA4888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5" name="$E$174">
            <a:extLst>
              <a:ext uri="{FF2B5EF4-FFF2-40B4-BE49-F238E27FC236}">
                <a16:creationId xmlns:a16="http://schemas.microsoft.com/office/drawing/2014/main" id="{9CAC7358-6BC4-471B-9106-C99F4EAD69EE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6" name="$E$174">
            <a:extLst>
              <a:ext uri="{FF2B5EF4-FFF2-40B4-BE49-F238E27FC236}">
                <a16:creationId xmlns:a16="http://schemas.microsoft.com/office/drawing/2014/main" id="{4A8ED5E5-FCFF-4DA4-8041-EA2F8394CAEA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7" name="$E$174">
            <a:extLst>
              <a:ext uri="{FF2B5EF4-FFF2-40B4-BE49-F238E27FC236}">
                <a16:creationId xmlns:a16="http://schemas.microsoft.com/office/drawing/2014/main" id="{AD783431-E01A-465E-924E-D9E5F5FD1146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8" name="$E$174">
            <a:extLst>
              <a:ext uri="{FF2B5EF4-FFF2-40B4-BE49-F238E27FC236}">
                <a16:creationId xmlns:a16="http://schemas.microsoft.com/office/drawing/2014/main" id="{C06BBE5C-F4BB-41E1-8716-F917214D4567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9" name="$E$174">
            <a:extLst>
              <a:ext uri="{FF2B5EF4-FFF2-40B4-BE49-F238E27FC236}">
                <a16:creationId xmlns:a16="http://schemas.microsoft.com/office/drawing/2014/main" id="{23F2A25B-C239-4612-AC1B-69B7EE43829B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0" name="$E$174">
            <a:extLst>
              <a:ext uri="{FF2B5EF4-FFF2-40B4-BE49-F238E27FC236}">
                <a16:creationId xmlns:a16="http://schemas.microsoft.com/office/drawing/2014/main" id="{83CE7F61-FADE-4DD4-9096-1E8BC8B79E7A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1" name="$E$174">
            <a:extLst>
              <a:ext uri="{FF2B5EF4-FFF2-40B4-BE49-F238E27FC236}">
                <a16:creationId xmlns:a16="http://schemas.microsoft.com/office/drawing/2014/main" id="{230E42B4-2D3D-4D21-8565-2D50E5D96FC6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2" name="$E$174">
            <a:extLst>
              <a:ext uri="{FF2B5EF4-FFF2-40B4-BE49-F238E27FC236}">
                <a16:creationId xmlns:a16="http://schemas.microsoft.com/office/drawing/2014/main" id="{8D0A1334-7FF8-4B57-90DB-CD8E34219C49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3" name="$E$174">
            <a:extLst>
              <a:ext uri="{FF2B5EF4-FFF2-40B4-BE49-F238E27FC236}">
                <a16:creationId xmlns:a16="http://schemas.microsoft.com/office/drawing/2014/main" id="{E154F682-A486-48D2-B202-FDB99100071A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4" name="$E$174">
            <a:extLst>
              <a:ext uri="{FF2B5EF4-FFF2-40B4-BE49-F238E27FC236}">
                <a16:creationId xmlns:a16="http://schemas.microsoft.com/office/drawing/2014/main" id="{82925272-5B0E-444E-9248-397FB5C57FBF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5" name="$E$174">
            <a:extLst>
              <a:ext uri="{FF2B5EF4-FFF2-40B4-BE49-F238E27FC236}">
                <a16:creationId xmlns:a16="http://schemas.microsoft.com/office/drawing/2014/main" id="{09ACDC89-BF79-4493-B6EC-E36E55F833FB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6" name="$E$174">
            <a:extLst>
              <a:ext uri="{FF2B5EF4-FFF2-40B4-BE49-F238E27FC236}">
                <a16:creationId xmlns:a16="http://schemas.microsoft.com/office/drawing/2014/main" id="{C7DA6961-A5F5-424E-8DAE-3D3A1D49A872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7" name="$E$174">
            <a:extLst>
              <a:ext uri="{FF2B5EF4-FFF2-40B4-BE49-F238E27FC236}">
                <a16:creationId xmlns:a16="http://schemas.microsoft.com/office/drawing/2014/main" id="{188B3572-4B96-4FA3-876A-76662C6FA332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8" name="$E$174">
            <a:extLst>
              <a:ext uri="{FF2B5EF4-FFF2-40B4-BE49-F238E27FC236}">
                <a16:creationId xmlns:a16="http://schemas.microsoft.com/office/drawing/2014/main" id="{3D0C954B-0A4F-4207-9B4C-60464A661873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9" name="$E$174">
            <a:extLst>
              <a:ext uri="{FF2B5EF4-FFF2-40B4-BE49-F238E27FC236}">
                <a16:creationId xmlns:a16="http://schemas.microsoft.com/office/drawing/2014/main" id="{70FA784E-A3E8-4A6E-88BE-0AB60BC0DEAE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0" name="$E$174">
            <a:extLst>
              <a:ext uri="{FF2B5EF4-FFF2-40B4-BE49-F238E27FC236}">
                <a16:creationId xmlns:a16="http://schemas.microsoft.com/office/drawing/2014/main" id="{DD292DD2-BA2D-431C-9449-8A42ED1DD985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1" name="$E$174">
            <a:extLst>
              <a:ext uri="{FF2B5EF4-FFF2-40B4-BE49-F238E27FC236}">
                <a16:creationId xmlns:a16="http://schemas.microsoft.com/office/drawing/2014/main" id="{7A5145CD-E5A9-4A99-8882-A099B3B844D2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2" name="$E$174">
            <a:extLst>
              <a:ext uri="{FF2B5EF4-FFF2-40B4-BE49-F238E27FC236}">
                <a16:creationId xmlns:a16="http://schemas.microsoft.com/office/drawing/2014/main" id="{0DA2D020-89BC-4D37-B418-2D6FE0E931B6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3" name="$E$174">
            <a:extLst>
              <a:ext uri="{FF2B5EF4-FFF2-40B4-BE49-F238E27FC236}">
                <a16:creationId xmlns:a16="http://schemas.microsoft.com/office/drawing/2014/main" id="{04316F79-C444-4D04-A2BF-90CDF8BCE08F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4" name="$E$174">
            <a:extLst>
              <a:ext uri="{FF2B5EF4-FFF2-40B4-BE49-F238E27FC236}">
                <a16:creationId xmlns:a16="http://schemas.microsoft.com/office/drawing/2014/main" id="{100F9E1A-BE0D-4625-A284-6A3D6718EA06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5" name="$E$174">
            <a:extLst>
              <a:ext uri="{FF2B5EF4-FFF2-40B4-BE49-F238E27FC236}">
                <a16:creationId xmlns:a16="http://schemas.microsoft.com/office/drawing/2014/main" id="{1EFBECE2-C23D-4A94-99BA-8805D9AE2413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6" name="$E$174">
            <a:extLst>
              <a:ext uri="{FF2B5EF4-FFF2-40B4-BE49-F238E27FC236}">
                <a16:creationId xmlns:a16="http://schemas.microsoft.com/office/drawing/2014/main" id="{04A94475-FE7B-45BB-992C-93D98FE2FCB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7" name="$E$174">
            <a:extLst>
              <a:ext uri="{FF2B5EF4-FFF2-40B4-BE49-F238E27FC236}">
                <a16:creationId xmlns:a16="http://schemas.microsoft.com/office/drawing/2014/main" id="{4B013813-57E2-4AEE-A108-7F4D22A6C713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8" name="$E$174">
            <a:extLst>
              <a:ext uri="{FF2B5EF4-FFF2-40B4-BE49-F238E27FC236}">
                <a16:creationId xmlns:a16="http://schemas.microsoft.com/office/drawing/2014/main" id="{23F458C4-539F-4E7C-A6A6-6D56BF52DEA4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9" name="$E$174">
            <a:extLst>
              <a:ext uri="{FF2B5EF4-FFF2-40B4-BE49-F238E27FC236}">
                <a16:creationId xmlns:a16="http://schemas.microsoft.com/office/drawing/2014/main" id="{C91D7691-15D3-462C-B4C0-564AB72B4974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0" name="$E$174">
            <a:extLst>
              <a:ext uri="{FF2B5EF4-FFF2-40B4-BE49-F238E27FC236}">
                <a16:creationId xmlns:a16="http://schemas.microsoft.com/office/drawing/2014/main" id="{397E560E-B142-46CD-9313-131D16A25123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1" name="$E$174">
            <a:extLst>
              <a:ext uri="{FF2B5EF4-FFF2-40B4-BE49-F238E27FC236}">
                <a16:creationId xmlns:a16="http://schemas.microsoft.com/office/drawing/2014/main" id="{AA1FB47E-D247-4BC8-B81D-F5D85DADC1E2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2" name="$E$174">
            <a:extLst>
              <a:ext uri="{FF2B5EF4-FFF2-40B4-BE49-F238E27FC236}">
                <a16:creationId xmlns:a16="http://schemas.microsoft.com/office/drawing/2014/main" id="{A774D200-FC4F-4E44-943C-2B9B3D7ADBE9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3" name="$E$174">
            <a:extLst>
              <a:ext uri="{FF2B5EF4-FFF2-40B4-BE49-F238E27FC236}">
                <a16:creationId xmlns:a16="http://schemas.microsoft.com/office/drawing/2014/main" id="{73936E5E-24A9-41F8-AED4-AAA85EE2AE18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4" name="$E$174">
            <a:extLst>
              <a:ext uri="{FF2B5EF4-FFF2-40B4-BE49-F238E27FC236}">
                <a16:creationId xmlns:a16="http://schemas.microsoft.com/office/drawing/2014/main" id="{444A08A3-3842-4581-B751-646CAE297C81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5" name="$E$174">
            <a:extLst>
              <a:ext uri="{FF2B5EF4-FFF2-40B4-BE49-F238E27FC236}">
                <a16:creationId xmlns:a16="http://schemas.microsoft.com/office/drawing/2014/main" id="{1B0DEE4F-073E-47AF-86A2-4ECE10F304C4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6" name="$E$174">
            <a:extLst>
              <a:ext uri="{FF2B5EF4-FFF2-40B4-BE49-F238E27FC236}">
                <a16:creationId xmlns:a16="http://schemas.microsoft.com/office/drawing/2014/main" id="{D2EEB47B-3140-48F0-8467-59AE74CE0A3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7" name="$E$174">
            <a:extLst>
              <a:ext uri="{FF2B5EF4-FFF2-40B4-BE49-F238E27FC236}">
                <a16:creationId xmlns:a16="http://schemas.microsoft.com/office/drawing/2014/main" id="{0990A667-39EF-4497-8DC5-CD8E25651135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8" name="$E$174">
            <a:extLst>
              <a:ext uri="{FF2B5EF4-FFF2-40B4-BE49-F238E27FC236}">
                <a16:creationId xmlns:a16="http://schemas.microsoft.com/office/drawing/2014/main" id="{215FD8EE-4CDB-44E2-A071-C95A835E6687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9" name="$E$174">
            <a:extLst>
              <a:ext uri="{FF2B5EF4-FFF2-40B4-BE49-F238E27FC236}">
                <a16:creationId xmlns:a16="http://schemas.microsoft.com/office/drawing/2014/main" id="{9A7C1391-B141-4521-BD7B-61D2E8D4EC34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0" name="$E$174">
            <a:extLst>
              <a:ext uri="{FF2B5EF4-FFF2-40B4-BE49-F238E27FC236}">
                <a16:creationId xmlns:a16="http://schemas.microsoft.com/office/drawing/2014/main" id="{1D6432C7-EE29-4595-A976-42211ADAB2CA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1" name="$E$174">
            <a:extLst>
              <a:ext uri="{FF2B5EF4-FFF2-40B4-BE49-F238E27FC236}">
                <a16:creationId xmlns:a16="http://schemas.microsoft.com/office/drawing/2014/main" id="{2B73F1E9-23E4-43B1-870B-C2D8E2042A8F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2" name="$E$174">
            <a:extLst>
              <a:ext uri="{FF2B5EF4-FFF2-40B4-BE49-F238E27FC236}">
                <a16:creationId xmlns:a16="http://schemas.microsoft.com/office/drawing/2014/main" id="{730A6287-F9D9-4101-A718-6598BA0E625B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3" name="$E$174">
            <a:extLst>
              <a:ext uri="{FF2B5EF4-FFF2-40B4-BE49-F238E27FC236}">
                <a16:creationId xmlns:a16="http://schemas.microsoft.com/office/drawing/2014/main" id="{8BF67CAE-9C75-46B9-A3B7-2D6E734630CF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4" name="$E$174">
            <a:extLst>
              <a:ext uri="{FF2B5EF4-FFF2-40B4-BE49-F238E27FC236}">
                <a16:creationId xmlns:a16="http://schemas.microsoft.com/office/drawing/2014/main" id="{2E63271F-8B1C-495E-BB30-98964801D808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5" name="$E$174">
            <a:extLst>
              <a:ext uri="{FF2B5EF4-FFF2-40B4-BE49-F238E27FC236}">
                <a16:creationId xmlns:a16="http://schemas.microsoft.com/office/drawing/2014/main" id="{53D82692-F3B2-4D1E-A286-35A2C54703C4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6" name="$E$174">
            <a:extLst>
              <a:ext uri="{FF2B5EF4-FFF2-40B4-BE49-F238E27FC236}">
                <a16:creationId xmlns:a16="http://schemas.microsoft.com/office/drawing/2014/main" id="{7296F2D1-E69B-4D30-8873-3F4B51127B1F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7" name="$E$174">
            <a:extLst>
              <a:ext uri="{FF2B5EF4-FFF2-40B4-BE49-F238E27FC236}">
                <a16:creationId xmlns:a16="http://schemas.microsoft.com/office/drawing/2014/main" id="{64C5B6C0-5650-4AD1-A34A-41CA27990686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8" name="$E$174">
            <a:extLst>
              <a:ext uri="{FF2B5EF4-FFF2-40B4-BE49-F238E27FC236}">
                <a16:creationId xmlns:a16="http://schemas.microsoft.com/office/drawing/2014/main" id="{BB934C0B-8EC3-42FF-84E2-02D2DFD5E6A5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9" name="$E$174">
            <a:extLst>
              <a:ext uri="{FF2B5EF4-FFF2-40B4-BE49-F238E27FC236}">
                <a16:creationId xmlns:a16="http://schemas.microsoft.com/office/drawing/2014/main" id="{07B88776-DBCC-43E9-A7C2-086DD9F70605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0" name="$E$174">
            <a:extLst>
              <a:ext uri="{FF2B5EF4-FFF2-40B4-BE49-F238E27FC236}">
                <a16:creationId xmlns:a16="http://schemas.microsoft.com/office/drawing/2014/main" id="{E27AE138-A099-432F-B6A0-9F36AA33DA44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1" name="$E$174">
            <a:extLst>
              <a:ext uri="{FF2B5EF4-FFF2-40B4-BE49-F238E27FC236}">
                <a16:creationId xmlns:a16="http://schemas.microsoft.com/office/drawing/2014/main" id="{C09D6D78-E527-46DF-9F9A-44400096C0C3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2" name="$E$174">
            <a:extLst>
              <a:ext uri="{FF2B5EF4-FFF2-40B4-BE49-F238E27FC236}">
                <a16:creationId xmlns:a16="http://schemas.microsoft.com/office/drawing/2014/main" id="{863D7BD5-C02F-41C2-9CD9-4384F63F793F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3" name="$E$174">
            <a:extLst>
              <a:ext uri="{FF2B5EF4-FFF2-40B4-BE49-F238E27FC236}">
                <a16:creationId xmlns:a16="http://schemas.microsoft.com/office/drawing/2014/main" id="{D542D1BE-A6E4-4DCB-B264-0BB8B10BCC85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4" name="$E$174">
            <a:extLst>
              <a:ext uri="{FF2B5EF4-FFF2-40B4-BE49-F238E27FC236}">
                <a16:creationId xmlns:a16="http://schemas.microsoft.com/office/drawing/2014/main" id="{B4795DED-AFD3-48AB-8404-2BA31CA4F72E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5" name="$E$174">
            <a:extLst>
              <a:ext uri="{FF2B5EF4-FFF2-40B4-BE49-F238E27FC236}">
                <a16:creationId xmlns:a16="http://schemas.microsoft.com/office/drawing/2014/main" id="{E01B6ABB-E545-4F62-8EAB-E560DFEF3D98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6" name="$E$174">
            <a:extLst>
              <a:ext uri="{FF2B5EF4-FFF2-40B4-BE49-F238E27FC236}">
                <a16:creationId xmlns:a16="http://schemas.microsoft.com/office/drawing/2014/main" id="{B80B58DA-8BC0-4823-AC3C-5B7C06DB6B72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7" name="$E$174">
            <a:extLst>
              <a:ext uri="{FF2B5EF4-FFF2-40B4-BE49-F238E27FC236}">
                <a16:creationId xmlns:a16="http://schemas.microsoft.com/office/drawing/2014/main" id="{0535B853-8829-4AF3-8005-D925141E1AFA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8" name="$E$174">
            <a:extLst>
              <a:ext uri="{FF2B5EF4-FFF2-40B4-BE49-F238E27FC236}">
                <a16:creationId xmlns:a16="http://schemas.microsoft.com/office/drawing/2014/main" id="{67E7C3D3-B716-42E3-AA2A-E029700DA52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9" name="$E$174">
            <a:extLst>
              <a:ext uri="{FF2B5EF4-FFF2-40B4-BE49-F238E27FC236}">
                <a16:creationId xmlns:a16="http://schemas.microsoft.com/office/drawing/2014/main" id="{5591F495-D281-4A25-936E-A6AA9D1C4A6A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0" name="$E$174">
            <a:extLst>
              <a:ext uri="{FF2B5EF4-FFF2-40B4-BE49-F238E27FC236}">
                <a16:creationId xmlns:a16="http://schemas.microsoft.com/office/drawing/2014/main" id="{0DE3F0C4-E86E-4594-9966-CFA6F7D5A808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1" name="$E$174">
            <a:extLst>
              <a:ext uri="{FF2B5EF4-FFF2-40B4-BE49-F238E27FC236}">
                <a16:creationId xmlns:a16="http://schemas.microsoft.com/office/drawing/2014/main" id="{9A04794A-CB59-46A1-822C-89436D5EE781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2" name="$E$174">
            <a:extLst>
              <a:ext uri="{FF2B5EF4-FFF2-40B4-BE49-F238E27FC236}">
                <a16:creationId xmlns:a16="http://schemas.microsoft.com/office/drawing/2014/main" id="{6270E0D5-3208-4221-BA0F-0927A7582167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3" name="$E$174">
            <a:extLst>
              <a:ext uri="{FF2B5EF4-FFF2-40B4-BE49-F238E27FC236}">
                <a16:creationId xmlns:a16="http://schemas.microsoft.com/office/drawing/2014/main" id="{9B7CD24E-7AE4-4B71-8722-2C2915C3DD2A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4" name="$E$174">
            <a:extLst>
              <a:ext uri="{FF2B5EF4-FFF2-40B4-BE49-F238E27FC236}">
                <a16:creationId xmlns:a16="http://schemas.microsoft.com/office/drawing/2014/main" id="{EDF0845A-0D4F-4BE2-AF07-D4E4035AF5F5}"/>
              </a:ext>
            </a:extLst>
          </xdr:cNvPr>
          <xdr:cNvSpPr/>
        </xdr:nvSpPr>
        <xdr:spPr>
          <a:xfrm>
            <a:off x="342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5" name="$E$174">
            <a:extLst>
              <a:ext uri="{FF2B5EF4-FFF2-40B4-BE49-F238E27FC236}">
                <a16:creationId xmlns:a16="http://schemas.microsoft.com/office/drawing/2014/main" id="{0163D1FD-32E9-4D01-BDBA-F38B363B682A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6" name="$E$174">
            <a:extLst>
              <a:ext uri="{FF2B5EF4-FFF2-40B4-BE49-F238E27FC236}">
                <a16:creationId xmlns:a16="http://schemas.microsoft.com/office/drawing/2014/main" id="{1239E4C0-E400-4060-8075-AE6EBE3E51ED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7" name="$E$174">
            <a:extLst>
              <a:ext uri="{FF2B5EF4-FFF2-40B4-BE49-F238E27FC236}">
                <a16:creationId xmlns:a16="http://schemas.microsoft.com/office/drawing/2014/main" id="{8FF729A2-0736-4DD4-8F7A-541723DA3034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8" name="$E$174">
            <a:extLst>
              <a:ext uri="{FF2B5EF4-FFF2-40B4-BE49-F238E27FC236}">
                <a16:creationId xmlns:a16="http://schemas.microsoft.com/office/drawing/2014/main" id="{F94B5446-A5B0-49EA-B0EE-754BF91D3B04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9" name="$E$174">
            <a:extLst>
              <a:ext uri="{FF2B5EF4-FFF2-40B4-BE49-F238E27FC236}">
                <a16:creationId xmlns:a16="http://schemas.microsoft.com/office/drawing/2014/main" id="{DAFD1367-EF62-4C46-975A-117D908014C2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0" name="$E$174">
            <a:extLst>
              <a:ext uri="{FF2B5EF4-FFF2-40B4-BE49-F238E27FC236}">
                <a16:creationId xmlns:a16="http://schemas.microsoft.com/office/drawing/2014/main" id="{6775A0D3-B0A8-4D4D-9930-432DF98E08C1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1" name="$E$174">
            <a:extLst>
              <a:ext uri="{FF2B5EF4-FFF2-40B4-BE49-F238E27FC236}">
                <a16:creationId xmlns:a16="http://schemas.microsoft.com/office/drawing/2014/main" id="{1A305908-CB01-49C4-A97B-33614B3744EC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2" name="$E$174">
            <a:extLst>
              <a:ext uri="{FF2B5EF4-FFF2-40B4-BE49-F238E27FC236}">
                <a16:creationId xmlns:a16="http://schemas.microsoft.com/office/drawing/2014/main" id="{8B067C41-A24A-4989-A954-DAF2A9FC9B4F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3" name="$E$174">
            <a:extLst>
              <a:ext uri="{FF2B5EF4-FFF2-40B4-BE49-F238E27FC236}">
                <a16:creationId xmlns:a16="http://schemas.microsoft.com/office/drawing/2014/main" id="{FA3B926C-0415-46F1-8417-758C6C15D80C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4" name="$E$174">
            <a:extLst>
              <a:ext uri="{FF2B5EF4-FFF2-40B4-BE49-F238E27FC236}">
                <a16:creationId xmlns:a16="http://schemas.microsoft.com/office/drawing/2014/main" id="{EB0F3F8E-AECA-4FD9-A75E-7F4ACE423213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5" name="$E$174">
            <a:extLst>
              <a:ext uri="{FF2B5EF4-FFF2-40B4-BE49-F238E27FC236}">
                <a16:creationId xmlns:a16="http://schemas.microsoft.com/office/drawing/2014/main" id="{4413D41C-7659-4F75-A19C-A4D48F650F8F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6" name="$E$174">
            <a:extLst>
              <a:ext uri="{FF2B5EF4-FFF2-40B4-BE49-F238E27FC236}">
                <a16:creationId xmlns:a16="http://schemas.microsoft.com/office/drawing/2014/main" id="{0EBECBA5-3D3F-4C11-8BC2-37209E141944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7" name="$E$174">
            <a:extLst>
              <a:ext uri="{FF2B5EF4-FFF2-40B4-BE49-F238E27FC236}">
                <a16:creationId xmlns:a16="http://schemas.microsoft.com/office/drawing/2014/main" id="{7FBA50F6-9122-407F-9B54-EEEAFEF9C13D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8" name="$E$174">
            <a:extLst>
              <a:ext uri="{FF2B5EF4-FFF2-40B4-BE49-F238E27FC236}">
                <a16:creationId xmlns:a16="http://schemas.microsoft.com/office/drawing/2014/main" id="{F3F94071-3227-451A-8E87-B2AF1071E985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9" name="$E$174">
            <a:extLst>
              <a:ext uri="{FF2B5EF4-FFF2-40B4-BE49-F238E27FC236}">
                <a16:creationId xmlns:a16="http://schemas.microsoft.com/office/drawing/2014/main" id="{22DD6B64-A553-4DDC-BD4D-8C9E2F6E26B1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0" name="$E$174">
            <a:extLst>
              <a:ext uri="{FF2B5EF4-FFF2-40B4-BE49-F238E27FC236}">
                <a16:creationId xmlns:a16="http://schemas.microsoft.com/office/drawing/2014/main" id="{A20FB3D0-8FF4-4105-AC26-AF726009C45D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1" name="$E$174">
            <a:extLst>
              <a:ext uri="{FF2B5EF4-FFF2-40B4-BE49-F238E27FC236}">
                <a16:creationId xmlns:a16="http://schemas.microsoft.com/office/drawing/2014/main" id="{27396475-B6B2-4C3D-BE63-200C2262EC2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2" name="$E$174">
            <a:extLst>
              <a:ext uri="{FF2B5EF4-FFF2-40B4-BE49-F238E27FC236}">
                <a16:creationId xmlns:a16="http://schemas.microsoft.com/office/drawing/2014/main" id="{A94C26E2-D935-4291-ADD1-694FAC628A3B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3" name="$E$174">
            <a:extLst>
              <a:ext uri="{FF2B5EF4-FFF2-40B4-BE49-F238E27FC236}">
                <a16:creationId xmlns:a16="http://schemas.microsoft.com/office/drawing/2014/main" id="{11C70E61-B56E-4A04-925C-3AD41795194E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4" name="$E$174">
            <a:extLst>
              <a:ext uri="{FF2B5EF4-FFF2-40B4-BE49-F238E27FC236}">
                <a16:creationId xmlns:a16="http://schemas.microsoft.com/office/drawing/2014/main" id="{4681E498-1337-4831-9FCD-164718A4AF4D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5" name="$E$174">
            <a:extLst>
              <a:ext uri="{FF2B5EF4-FFF2-40B4-BE49-F238E27FC236}">
                <a16:creationId xmlns:a16="http://schemas.microsoft.com/office/drawing/2014/main" id="{0309C28A-034D-47A6-990B-D51086090EEE}"/>
              </a:ext>
            </a:extLst>
          </xdr:cNvPr>
          <xdr:cNvSpPr/>
        </xdr:nvSpPr>
        <xdr:spPr>
          <a:xfrm>
            <a:off x="342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6" name="$E$174">
            <a:extLst>
              <a:ext uri="{FF2B5EF4-FFF2-40B4-BE49-F238E27FC236}">
                <a16:creationId xmlns:a16="http://schemas.microsoft.com/office/drawing/2014/main" id="{BB22BE1C-B7DF-45EC-9D10-CCE4083FCAA8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7" name="$E$174">
            <a:extLst>
              <a:ext uri="{FF2B5EF4-FFF2-40B4-BE49-F238E27FC236}">
                <a16:creationId xmlns:a16="http://schemas.microsoft.com/office/drawing/2014/main" id="{DFA5951E-50A9-4BF9-B975-DA9F6CEE2F39}"/>
              </a:ext>
            </a:extLst>
          </xdr:cNvPr>
          <xdr:cNvSpPr/>
        </xdr:nvSpPr>
        <xdr:spPr>
          <a:xfrm>
            <a:off x="431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8" name="$E$174">
            <a:extLst>
              <a:ext uri="{FF2B5EF4-FFF2-40B4-BE49-F238E27FC236}">
                <a16:creationId xmlns:a16="http://schemas.microsoft.com/office/drawing/2014/main" id="{63B1B8DD-E3E9-4307-B653-5083B34F2297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9" name="$E$174">
            <a:extLst>
              <a:ext uri="{FF2B5EF4-FFF2-40B4-BE49-F238E27FC236}">
                <a16:creationId xmlns:a16="http://schemas.microsoft.com/office/drawing/2014/main" id="{36DF08BC-20D7-430A-A460-3272201E8CD7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0" name="$E$174">
            <a:extLst>
              <a:ext uri="{FF2B5EF4-FFF2-40B4-BE49-F238E27FC236}">
                <a16:creationId xmlns:a16="http://schemas.microsoft.com/office/drawing/2014/main" id="{9DBFAD1F-5ECC-4A06-A6B4-2D3115304134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1" name="$E$174">
            <a:extLst>
              <a:ext uri="{FF2B5EF4-FFF2-40B4-BE49-F238E27FC236}">
                <a16:creationId xmlns:a16="http://schemas.microsoft.com/office/drawing/2014/main" id="{122B863F-1C1C-4C45-A0CD-4F7883056C57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2" name="$E$174">
            <a:extLst>
              <a:ext uri="{FF2B5EF4-FFF2-40B4-BE49-F238E27FC236}">
                <a16:creationId xmlns:a16="http://schemas.microsoft.com/office/drawing/2014/main" id="{D67D559F-604B-41B8-B040-65D8345F5B3D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3" name="$E$174">
            <a:extLst>
              <a:ext uri="{FF2B5EF4-FFF2-40B4-BE49-F238E27FC236}">
                <a16:creationId xmlns:a16="http://schemas.microsoft.com/office/drawing/2014/main" id="{1AB6A511-09D2-433E-B185-03BA0E8E52BC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4" name="$E$174">
            <a:extLst>
              <a:ext uri="{FF2B5EF4-FFF2-40B4-BE49-F238E27FC236}">
                <a16:creationId xmlns:a16="http://schemas.microsoft.com/office/drawing/2014/main" id="{B60F9193-754A-4C28-8BC0-19A7BB49FA87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5" name="$E$174">
            <a:extLst>
              <a:ext uri="{FF2B5EF4-FFF2-40B4-BE49-F238E27FC236}">
                <a16:creationId xmlns:a16="http://schemas.microsoft.com/office/drawing/2014/main" id="{23375034-994A-41FA-9DD0-E3F92FE76436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6" name="$E$174">
            <a:extLst>
              <a:ext uri="{FF2B5EF4-FFF2-40B4-BE49-F238E27FC236}">
                <a16:creationId xmlns:a16="http://schemas.microsoft.com/office/drawing/2014/main" id="{3B7875BA-F798-40F0-A070-2F223C3F0459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7" name="$E$174">
            <a:extLst>
              <a:ext uri="{FF2B5EF4-FFF2-40B4-BE49-F238E27FC236}">
                <a16:creationId xmlns:a16="http://schemas.microsoft.com/office/drawing/2014/main" id="{F5FE2F68-F506-4482-B66B-506D3F4414D7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8" name="$E$174">
            <a:extLst>
              <a:ext uri="{FF2B5EF4-FFF2-40B4-BE49-F238E27FC236}">
                <a16:creationId xmlns:a16="http://schemas.microsoft.com/office/drawing/2014/main" id="{4774C2C9-5B00-4419-86A3-8B71E724E354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9" name="$E$174">
            <a:extLst>
              <a:ext uri="{FF2B5EF4-FFF2-40B4-BE49-F238E27FC236}">
                <a16:creationId xmlns:a16="http://schemas.microsoft.com/office/drawing/2014/main" id="{65650E68-61CD-4C22-B78D-8B4A61055ABF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0" name="$E$174">
            <a:extLst>
              <a:ext uri="{FF2B5EF4-FFF2-40B4-BE49-F238E27FC236}">
                <a16:creationId xmlns:a16="http://schemas.microsoft.com/office/drawing/2014/main" id="{B52C417F-7349-419F-BC6A-3F7E01C4770D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1" name="$E$174">
            <a:extLst>
              <a:ext uri="{FF2B5EF4-FFF2-40B4-BE49-F238E27FC236}">
                <a16:creationId xmlns:a16="http://schemas.microsoft.com/office/drawing/2014/main" id="{1FE6FC74-FE25-4AD6-959A-95684A10999B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2" name="$E$174">
            <a:extLst>
              <a:ext uri="{FF2B5EF4-FFF2-40B4-BE49-F238E27FC236}">
                <a16:creationId xmlns:a16="http://schemas.microsoft.com/office/drawing/2014/main" id="{93091123-A62E-4CF9-A29C-9CF5D1EF57DA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3" name="$E$174">
            <a:extLst>
              <a:ext uri="{FF2B5EF4-FFF2-40B4-BE49-F238E27FC236}">
                <a16:creationId xmlns:a16="http://schemas.microsoft.com/office/drawing/2014/main" id="{64677833-91BB-46EB-B1AA-7ACCD69AE7D5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4" name="$E$174">
            <a:extLst>
              <a:ext uri="{FF2B5EF4-FFF2-40B4-BE49-F238E27FC236}">
                <a16:creationId xmlns:a16="http://schemas.microsoft.com/office/drawing/2014/main" id="{9CB95DE5-2615-4444-88ED-052E1E27B0F4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5" name="$E$174">
            <a:extLst>
              <a:ext uri="{FF2B5EF4-FFF2-40B4-BE49-F238E27FC236}">
                <a16:creationId xmlns:a16="http://schemas.microsoft.com/office/drawing/2014/main" id="{C654DABE-2291-4D54-9DED-5633A8A772AE}"/>
              </a:ext>
            </a:extLst>
          </xdr:cNvPr>
          <xdr:cNvSpPr/>
        </xdr:nvSpPr>
        <xdr:spPr>
          <a:xfrm>
            <a:off x="406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6" name="$E$174">
            <a:extLst>
              <a:ext uri="{FF2B5EF4-FFF2-40B4-BE49-F238E27FC236}">
                <a16:creationId xmlns:a16="http://schemas.microsoft.com/office/drawing/2014/main" id="{0073555C-472E-4527-BFFA-BEB96487B5F1}"/>
              </a:ext>
            </a:extLst>
          </xdr:cNvPr>
          <xdr:cNvSpPr/>
        </xdr:nvSpPr>
        <xdr:spPr>
          <a:xfrm>
            <a:off x="419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7" name="$E$174">
            <a:extLst>
              <a:ext uri="{FF2B5EF4-FFF2-40B4-BE49-F238E27FC236}">
                <a16:creationId xmlns:a16="http://schemas.microsoft.com/office/drawing/2014/main" id="{20092E9F-3023-459E-906A-D81175CBF476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8" name="$E$174">
            <a:extLst>
              <a:ext uri="{FF2B5EF4-FFF2-40B4-BE49-F238E27FC236}">
                <a16:creationId xmlns:a16="http://schemas.microsoft.com/office/drawing/2014/main" id="{0CDBC902-1BE0-48C0-B2A4-F4671012C5F3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9" name="$E$174">
            <a:extLst>
              <a:ext uri="{FF2B5EF4-FFF2-40B4-BE49-F238E27FC236}">
                <a16:creationId xmlns:a16="http://schemas.microsoft.com/office/drawing/2014/main" id="{59FD3ECF-830E-4733-A210-CBDCFF65D2D9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0" name="$E$174">
            <a:extLst>
              <a:ext uri="{FF2B5EF4-FFF2-40B4-BE49-F238E27FC236}">
                <a16:creationId xmlns:a16="http://schemas.microsoft.com/office/drawing/2014/main" id="{92309C2D-6F95-41CE-8BFD-00DF6B6BA047}"/>
              </a:ext>
            </a:extLst>
          </xdr:cNvPr>
          <xdr:cNvSpPr/>
        </xdr:nvSpPr>
        <xdr:spPr>
          <a:xfrm>
            <a:off x="12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1" name="$E$174">
            <a:extLst>
              <a:ext uri="{FF2B5EF4-FFF2-40B4-BE49-F238E27FC236}">
                <a16:creationId xmlns:a16="http://schemas.microsoft.com/office/drawing/2014/main" id="{5C1ABFA2-21F9-4BD6-B255-2E2B6F627527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2" name="$E$174">
            <a:extLst>
              <a:ext uri="{FF2B5EF4-FFF2-40B4-BE49-F238E27FC236}">
                <a16:creationId xmlns:a16="http://schemas.microsoft.com/office/drawing/2014/main" id="{B6422F9E-BDC4-4FD8-BB36-F87F84F19537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3" name="$E$174">
            <a:extLst>
              <a:ext uri="{FF2B5EF4-FFF2-40B4-BE49-F238E27FC236}">
                <a16:creationId xmlns:a16="http://schemas.microsoft.com/office/drawing/2014/main" id="{00F4F0FE-3CCB-4D8F-8F4D-96BEF1D349F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4" name="$E$174">
            <a:extLst>
              <a:ext uri="{FF2B5EF4-FFF2-40B4-BE49-F238E27FC236}">
                <a16:creationId xmlns:a16="http://schemas.microsoft.com/office/drawing/2014/main" id="{0B08F63E-4149-4BBF-A6A0-ECE0F635BA3F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5" name="$E$174">
            <a:extLst>
              <a:ext uri="{FF2B5EF4-FFF2-40B4-BE49-F238E27FC236}">
                <a16:creationId xmlns:a16="http://schemas.microsoft.com/office/drawing/2014/main" id="{BCCEA8E9-AE58-4D17-B832-FD8F0E1B7C34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6" name="$E$174">
            <a:extLst>
              <a:ext uri="{FF2B5EF4-FFF2-40B4-BE49-F238E27FC236}">
                <a16:creationId xmlns:a16="http://schemas.microsoft.com/office/drawing/2014/main" id="{89864F5A-E60D-42F0-AF16-858635D3E945}"/>
              </a:ext>
            </a:extLst>
          </xdr:cNvPr>
          <xdr:cNvSpPr/>
        </xdr:nvSpPr>
        <xdr:spPr>
          <a:xfrm>
            <a:off x="165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7" name="$E$174">
            <a:extLst>
              <a:ext uri="{FF2B5EF4-FFF2-40B4-BE49-F238E27FC236}">
                <a16:creationId xmlns:a16="http://schemas.microsoft.com/office/drawing/2014/main" id="{5E96E242-EE8E-413D-AD72-079F2825D2C2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8" name="$E$174">
            <a:extLst>
              <a:ext uri="{FF2B5EF4-FFF2-40B4-BE49-F238E27FC236}">
                <a16:creationId xmlns:a16="http://schemas.microsoft.com/office/drawing/2014/main" id="{7474B10A-B1D1-4E00-BEB6-17BFD32D2285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9" name="$E$174">
            <a:extLst>
              <a:ext uri="{FF2B5EF4-FFF2-40B4-BE49-F238E27FC236}">
                <a16:creationId xmlns:a16="http://schemas.microsoft.com/office/drawing/2014/main" id="{DDE1ECA6-1631-47BF-926B-65EC82DDFF43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0" name="$E$174">
            <a:extLst>
              <a:ext uri="{FF2B5EF4-FFF2-40B4-BE49-F238E27FC236}">
                <a16:creationId xmlns:a16="http://schemas.microsoft.com/office/drawing/2014/main" id="{CE6769A9-5AA2-4B79-B0D0-6C132DAA43E1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1" name="$E$174">
            <a:extLst>
              <a:ext uri="{FF2B5EF4-FFF2-40B4-BE49-F238E27FC236}">
                <a16:creationId xmlns:a16="http://schemas.microsoft.com/office/drawing/2014/main" id="{0BC3CBC5-BAE6-40D2-980D-B6EC4E3FFD11}"/>
              </a:ext>
            </a:extLst>
          </xdr:cNvPr>
          <xdr:cNvSpPr/>
        </xdr:nvSpPr>
        <xdr:spPr>
          <a:xfrm>
            <a:off x="342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2" name="$E$174">
            <a:extLst>
              <a:ext uri="{FF2B5EF4-FFF2-40B4-BE49-F238E27FC236}">
                <a16:creationId xmlns:a16="http://schemas.microsoft.com/office/drawing/2014/main" id="{495BEA19-37AE-490E-AA2C-84F727B9C109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3" name="$E$174">
            <a:extLst>
              <a:ext uri="{FF2B5EF4-FFF2-40B4-BE49-F238E27FC236}">
                <a16:creationId xmlns:a16="http://schemas.microsoft.com/office/drawing/2014/main" id="{D1487019-CBA9-4A50-8E5C-ED0CBB22C516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4" name="$E$174">
            <a:extLst>
              <a:ext uri="{FF2B5EF4-FFF2-40B4-BE49-F238E27FC236}">
                <a16:creationId xmlns:a16="http://schemas.microsoft.com/office/drawing/2014/main" id="{26A66918-2D0D-4615-AE69-4BCD6C6B0DF7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5" name="$E$174">
            <a:extLst>
              <a:ext uri="{FF2B5EF4-FFF2-40B4-BE49-F238E27FC236}">
                <a16:creationId xmlns:a16="http://schemas.microsoft.com/office/drawing/2014/main" id="{BAB95C40-1830-479C-876D-6020AAAAB4A5}"/>
              </a:ext>
            </a:extLst>
          </xdr:cNvPr>
          <xdr:cNvSpPr/>
        </xdr:nvSpPr>
        <xdr:spPr>
          <a:xfrm>
            <a:off x="419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6" name="$E$174">
            <a:extLst>
              <a:ext uri="{FF2B5EF4-FFF2-40B4-BE49-F238E27FC236}">
                <a16:creationId xmlns:a16="http://schemas.microsoft.com/office/drawing/2014/main" id="{EF076389-8B0E-4F3C-8409-0F74907FB8E8}"/>
              </a:ext>
            </a:extLst>
          </xdr:cNvPr>
          <xdr:cNvSpPr/>
        </xdr:nvSpPr>
        <xdr:spPr>
          <a:xfrm>
            <a:off x="444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7" name="$E$174">
            <a:extLst>
              <a:ext uri="{FF2B5EF4-FFF2-40B4-BE49-F238E27FC236}">
                <a16:creationId xmlns:a16="http://schemas.microsoft.com/office/drawing/2014/main" id="{535C8264-70BE-45D3-9481-453AA143F81F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8" name="$E$174">
            <a:extLst>
              <a:ext uri="{FF2B5EF4-FFF2-40B4-BE49-F238E27FC236}">
                <a16:creationId xmlns:a16="http://schemas.microsoft.com/office/drawing/2014/main" id="{710C98D6-7C0B-4CF9-9E6B-D26C3F43EBB4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9" name="$E$174">
            <a:extLst>
              <a:ext uri="{FF2B5EF4-FFF2-40B4-BE49-F238E27FC236}">
                <a16:creationId xmlns:a16="http://schemas.microsoft.com/office/drawing/2014/main" id="{8856D4F8-605D-49A4-A902-FDF647E6F8BF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0" name="$E$174">
            <a:extLst>
              <a:ext uri="{FF2B5EF4-FFF2-40B4-BE49-F238E27FC236}">
                <a16:creationId xmlns:a16="http://schemas.microsoft.com/office/drawing/2014/main" id="{D0BD1361-B798-4597-9C55-BA03C512D98F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1" name="$E$174">
            <a:extLst>
              <a:ext uri="{FF2B5EF4-FFF2-40B4-BE49-F238E27FC236}">
                <a16:creationId xmlns:a16="http://schemas.microsoft.com/office/drawing/2014/main" id="{E5469754-F728-4394-8B2C-37D390650AFF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2" name="$E$174">
            <a:extLst>
              <a:ext uri="{FF2B5EF4-FFF2-40B4-BE49-F238E27FC236}">
                <a16:creationId xmlns:a16="http://schemas.microsoft.com/office/drawing/2014/main" id="{62358245-CBB6-4BDF-BB3A-A74C7F5C2C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3" name="$E$174">
            <a:extLst>
              <a:ext uri="{FF2B5EF4-FFF2-40B4-BE49-F238E27FC236}">
                <a16:creationId xmlns:a16="http://schemas.microsoft.com/office/drawing/2014/main" id="{E239EB5F-90B6-4BFC-98EB-9BD325F44771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4" name="$E$174">
            <a:extLst>
              <a:ext uri="{FF2B5EF4-FFF2-40B4-BE49-F238E27FC236}">
                <a16:creationId xmlns:a16="http://schemas.microsoft.com/office/drawing/2014/main" id="{A07BFDFC-FBD6-41CF-AB07-3F24BD453E7C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5" name="$E$174">
            <a:extLst>
              <a:ext uri="{FF2B5EF4-FFF2-40B4-BE49-F238E27FC236}">
                <a16:creationId xmlns:a16="http://schemas.microsoft.com/office/drawing/2014/main" id="{7338EA80-2894-4607-B824-12D7FACD9DB5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6" name="$E$174">
            <a:extLst>
              <a:ext uri="{FF2B5EF4-FFF2-40B4-BE49-F238E27FC236}">
                <a16:creationId xmlns:a16="http://schemas.microsoft.com/office/drawing/2014/main" id="{432F9505-E2F6-4CD5-B4B8-80216D8F96C9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7" name="$E$174">
            <a:extLst>
              <a:ext uri="{FF2B5EF4-FFF2-40B4-BE49-F238E27FC236}">
                <a16:creationId xmlns:a16="http://schemas.microsoft.com/office/drawing/2014/main" id="{400F32F2-6C76-4B4F-960C-B2CB41B72F81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8" name="$E$174">
            <a:extLst>
              <a:ext uri="{FF2B5EF4-FFF2-40B4-BE49-F238E27FC236}">
                <a16:creationId xmlns:a16="http://schemas.microsoft.com/office/drawing/2014/main" id="{6A225CDF-790E-45CE-810A-D7F690D129D8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9" name="$E$174">
            <a:extLst>
              <a:ext uri="{FF2B5EF4-FFF2-40B4-BE49-F238E27FC236}">
                <a16:creationId xmlns:a16="http://schemas.microsoft.com/office/drawing/2014/main" id="{021641F8-F32E-48BD-854C-AA785178A857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0" name="$E$174">
            <a:extLst>
              <a:ext uri="{FF2B5EF4-FFF2-40B4-BE49-F238E27FC236}">
                <a16:creationId xmlns:a16="http://schemas.microsoft.com/office/drawing/2014/main" id="{0D10996B-825B-4113-B4A4-7927AF3F208D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1" name="$E$174">
            <a:extLst>
              <a:ext uri="{FF2B5EF4-FFF2-40B4-BE49-F238E27FC236}">
                <a16:creationId xmlns:a16="http://schemas.microsoft.com/office/drawing/2014/main" id="{0DADD15D-BADD-4520-ACB5-C4B388DD1CBB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2" name="$E$174">
            <a:extLst>
              <a:ext uri="{FF2B5EF4-FFF2-40B4-BE49-F238E27FC236}">
                <a16:creationId xmlns:a16="http://schemas.microsoft.com/office/drawing/2014/main" id="{DB0ACDB3-3846-4469-B1D5-DCD4EF4841C8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3" name="$E$174">
            <a:extLst>
              <a:ext uri="{FF2B5EF4-FFF2-40B4-BE49-F238E27FC236}">
                <a16:creationId xmlns:a16="http://schemas.microsoft.com/office/drawing/2014/main" id="{1F8B28BA-F39B-4AAD-BB94-5B4298CE4E52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4" name="$E$174">
            <a:extLst>
              <a:ext uri="{FF2B5EF4-FFF2-40B4-BE49-F238E27FC236}">
                <a16:creationId xmlns:a16="http://schemas.microsoft.com/office/drawing/2014/main" id="{9EAAA19E-771D-4E20-8060-1FE8112DDBC8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5" name="$E$174">
            <a:extLst>
              <a:ext uri="{FF2B5EF4-FFF2-40B4-BE49-F238E27FC236}">
                <a16:creationId xmlns:a16="http://schemas.microsoft.com/office/drawing/2014/main" id="{B9BDF56F-15CB-469B-AEEF-561614EE9E32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6" name="$E$174">
            <a:extLst>
              <a:ext uri="{FF2B5EF4-FFF2-40B4-BE49-F238E27FC236}">
                <a16:creationId xmlns:a16="http://schemas.microsoft.com/office/drawing/2014/main" id="{AE888591-BF79-4366-97E2-35A962F856DF}"/>
              </a:ext>
            </a:extLst>
          </xdr:cNvPr>
          <xdr:cNvSpPr/>
        </xdr:nvSpPr>
        <xdr:spPr>
          <a:xfrm>
            <a:off x="88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7" name="$E$174">
            <a:extLst>
              <a:ext uri="{FF2B5EF4-FFF2-40B4-BE49-F238E27FC236}">
                <a16:creationId xmlns:a16="http://schemas.microsoft.com/office/drawing/2014/main" id="{37624D9D-03C1-4728-BE99-745BB007AB78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8" name="$E$174">
            <a:extLst>
              <a:ext uri="{FF2B5EF4-FFF2-40B4-BE49-F238E27FC236}">
                <a16:creationId xmlns:a16="http://schemas.microsoft.com/office/drawing/2014/main" id="{34E5B485-8E29-4D9C-82B2-E604DFEB7D15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9" name="$E$174">
            <a:extLst>
              <a:ext uri="{FF2B5EF4-FFF2-40B4-BE49-F238E27FC236}">
                <a16:creationId xmlns:a16="http://schemas.microsoft.com/office/drawing/2014/main" id="{967DA2AA-C7EA-49F3-BC94-B2A46CFDB12D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0" name="$E$174">
            <a:extLst>
              <a:ext uri="{FF2B5EF4-FFF2-40B4-BE49-F238E27FC236}">
                <a16:creationId xmlns:a16="http://schemas.microsoft.com/office/drawing/2014/main" id="{F39841EF-6A78-4CA2-8AFB-D90299B6D0FC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1" name="$E$174">
            <a:extLst>
              <a:ext uri="{FF2B5EF4-FFF2-40B4-BE49-F238E27FC236}">
                <a16:creationId xmlns:a16="http://schemas.microsoft.com/office/drawing/2014/main" id="{416CCD1A-75EF-4003-A4A7-45524E76C5DF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2" name="$E$174">
            <a:extLst>
              <a:ext uri="{FF2B5EF4-FFF2-40B4-BE49-F238E27FC236}">
                <a16:creationId xmlns:a16="http://schemas.microsoft.com/office/drawing/2014/main" id="{F6AF03DB-DD07-47EA-8A70-2E3E4C83CB72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3" name="$E$174">
            <a:extLst>
              <a:ext uri="{FF2B5EF4-FFF2-40B4-BE49-F238E27FC236}">
                <a16:creationId xmlns:a16="http://schemas.microsoft.com/office/drawing/2014/main" id="{716F6454-3C39-453B-A13D-CB486E32FDD9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4" name="$E$174">
            <a:extLst>
              <a:ext uri="{FF2B5EF4-FFF2-40B4-BE49-F238E27FC236}">
                <a16:creationId xmlns:a16="http://schemas.microsoft.com/office/drawing/2014/main" id="{E65FF051-D562-46C1-AD1A-F9004C53787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5" name="$E$174">
            <a:extLst>
              <a:ext uri="{FF2B5EF4-FFF2-40B4-BE49-F238E27FC236}">
                <a16:creationId xmlns:a16="http://schemas.microsoft.com/office/drawing/2014/main" id="{B57AF9FB-DC0D-4BBF-BAF1-1D42C3BB19CD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6" name="$E$174">
            <a:extLst>
              <a:ext uri="{FF2B5EF4-FFF2-40B4-BE49-F238E27FC236}">
                <a16:creationId xmlns:a16="http://schemas.microsoft.com/office/drawing/2014/main" id="{A974E5AC-7AF9-492C-9CEC-896DC94541C5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7" name="$E$174">
            <a:extLst>
              <a:ext uri="{FF2B5EF4-FFF2-40B4-BE49-F238E27FC236}">
                <a16:creationId xmlns:a16="http://schemas.microsoft.com/office/drawing/2014/main" id="{F7020FE1-B734-487B-BB04-E605B5F1AF3C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8" name="$E$174">
            <a:extLst>
              <a:ext uri="{FF2B5EF4-FFF2-40B4-BE49-F238E27FC236}">
                <a16:creationId xmlns:a16="http://schemas.microsoft.com/office/drawing/2014/main" id="{87216F43-92BE-4C3D-9BF7-0BC989AF6502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9" name="$E$174">
            <a:extLst>
              <a:ext uri="{FF2B5EF4-FFF2-40B4-BE49-F238E27FC236}">
                <a16:creationId xmlns:a16="http://schemas.microsoft.com/office/drawing/2014/main" id="{BD64BB39-D78E-4E2E-BD92-94A627E6A4C7}"/>
              </a:ext>
            </a:extLst>
          </xdr:cNvPr>
          <xdr:cNvSpPr/>
        </xdr:nvSpPr>
        <xdr:spPr>
          <a:xfrm>
            <a:off x="431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0" name="$E$174">
            <a:extLst>
              <a:ext uri="{FF2B5EF4-FFF2-40B4-BE49-F238E27FC236}">
                <a16:creationId xmlns:a16="http://schemas.microsoft.com/office/drawing/2014/main" id="{860DE207-35D3-4C77-B7F5-DD71ECCDDF48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1" name="$E$174">
            <a:extLst>
              <a:ext uri="{FF2B5EF4-FFF2-40B4-BE49-F238E27FC236}">
                <a16:creationId xmlns:a16="http://schemas.microsoft.com/office/drawing/2014/main" id="{7D886BE5-E38D-480F-A893-4A105588D4E9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2" name="$E$174">
            <a:extLst>
              <a:ext uri="{FF2B5EF4-FFF2-40B4-BE49-F238E27FC236}">
                <a16:creationId xmlns:a16="http://schemas.microsoft.com/office/drawing/2014/main" id="{57679E6B-3312-4368-B498-43F4F9CA8906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3" name="$E$174">
            <a:extLst>
              <a:ext uri="{FF2B5EF4-FFF2-40B4-BE49-F238E27FC236}">
                <a16:creationId xmlns:a16="http://schemas.microsoft.com/office/drawing/2014/main" id="{DD53994E-798E-493B-8EAE-F9CAE6C4798B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4" name="$E$174">
            <a:extLst>
              <a:ext uri="{FF2B5EF4-FFF2-40B4-BE49-F238E27FC236}">
                <a16:creationId xmlns:a16="http://schemas.microsoft.com/office/drawing/2014/main" id="{C10D306D-2137-4B7C-BE53-BA48B1F099D1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5" name="$E$174">
            <a:extLst>
              <a:ext uri="{FF2B5EF4-FFF2-40B4-BE49-F238E27FC236}">
                <a16:creationId xmlns:a16="http://schemas.microsoft.com/office/drawing/2014/main" id="{715201A6-DACF-4795-A54E-6B81ED1A2BE5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6" name="$E$174">
            <a:extLst>
              <a:ext uri="{FF2B5EF4-FFF2-40B4-BE49-F238E27FC236}">
                <a16:creationId xmlns:a16="http://schemas.microsoft.com/office/drawing/2014/main" id="{B4E5C525-B73F-4F92-88BA-3F8DB56CF14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7" name="$E$174">
            <a:extLst>
              <a:ext uri="{FF2B5EF4-FFF2-40B4-BE49-F238E27FC236}">
                <a16:creationId xmlns:a16="http://schemas.microsoft.com/office/drawing/2014/main" id="{50C3058A-FA8D-4F70-90EB-B978934C310B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8" name="$E$174">
            <a:extLst>
              <a:ext uri="{FF2B5EF4-FFF2-40B4-BE49-F238E27FC236}">
                <a16:creationId xmlns:a16="http://schemas.microsoft.com/office/drawing/2014/main" id="{95848EDB-7257-4432-9E34-1352FC916D77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9" name="$E$174">
            <a:extLst>
              <a:ext uri="{FF2B5EF4-FFF2-40B4-BE49-F238E27FC236}">
                <a16:creationId xmlns:a16="http://schemas.microsoft.com/office/drawing/2014/main" id="{1E84CAF9-169D-4923-A220-363006DD7CDF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0" name="$E$174">
            <a:extLst>
              <a:ext uri="{FF2B5EF4-FFF2-40B4-BE49-F238E27FC236}">
                <a16:creationId xmlns:a16="http://schemas.microsoft.com/office/drawing/2014/main" id="{C7239D8E-2F40-426F-A7E3-44B3A1680693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1" name="$E$174">
            <a:extLst>
              <a:ext uri="{FF2B5EF4-FFF2-40B4-BE49-F238E27FC236}">
                <a16:creationId xmlns:a16="http://schemas.microsoft.com/office/drawing/2014/main" id="{D2315D0C-570A-4D92-ABB7-317EDB72F2DE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2" name="$E$174">
            <a:extLst>
              <a:ext uri="{FF2B5EF4-FFF2-40B4-BE49-F238E27FC236}">
                <a16:creationId xmlns:a16="http://schemas.microsoft.com/office/drawing/2014/main" id="{42ED27F3-E8C3-46AD-8E85-84E8A5805BED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3" name="$E$174">
            <a:extLst>
              <a:ext uri="{FF2B5EF4-FFF2-40B4-BE49-F238E27FC236}">
                <a16:creationId xmlns:a16="http://schemas.microsoft.com/office/drawing/2014/main" id="{9503F7E0-86E8-4947-97BD-536EDB92FF34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4" name="$E$174">
            <a:extLst>
              <a:ext uri="{FF2B5EF4-FFF2-40B4-BE49-F238E27FC236}">
                <a16:creationId xmlns:a16="http://schemas.microsoft.com/office/drawing/2014/main" id="{AD6D308B-0759-4DFA-8386-C520DC760179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5" name="$E$174">
            <a:extLst>
              <a:ext uri="{FF2B5EF4-FFF2-40B4-BE49-F238E27FC236}">
                <a16:creationId xmlns:a16="http://schemas.microsoft.com/office/drawing/2014/main" id="{DCD64B18-F912-48F0-9291-094569AB285D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6" name="$E$174">
            <a:extLst>
              <a:ext uri="{FF2B5EF4-FFF2-40B4-BE49-F238E27FC236}">
                <a16:creationId xmlns:a16="http://schemas.microsoft.com/office/drawing/2014/main" id="{657BEE2A-A913-46CF-9A9D-04417E252A05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7" name="$E$174">
            <a:extLst>
              <a:ext uri="{FF2B5EF4-FFF2-40B4-BE49-F238E27FC236}">
                <a16:creationId xmlns:a16="http://schemas.microsoft.com/office/drawing/2014/main" id="{7E928BBF-4A81-45B5-BFB3-E4384AC91D1E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8" name="$E$174">
            <a:extLst>
              <a:ext uri="{FF2B5EF4-FFF2-40B4-BE49-F238E27FC236}">
                <a16:creationId xmlns:a16="http://schemas.microsoft.com/office/drawing/2014/main" id="{C6CB6351-2AE8-450D-B054-88BE2149FD62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9" name="$E$174">
            <a:extLst>
              <a:ext uri="{FF2B5EF4-FFF2-40B4-BE49-F238E27FC236}">
                <a16:creationId xmlns:a16="http://schemas.microsoft.com/office/drawing/2014/main" id="{19E79F39-B810-49CF-9008-323C09A2F7B3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0" name="$E$174">
            <a:extLst>
              <a:ext uri="{FF2B5EF4-FFF2-40B4-BE49-F238E27FC236}">
                <a16:creationId xmlns:a16="http://schemas.microsoft.com/office/drawing/2014/main" id="{77D681FC-943D-4EA1-A5D7-D7736499BC37}"/>
              </a:ext>
            </a:extLst>
          </xdr:cNvPr>
          <xdr:cNvSpPr/>
        </xdr:nvSpPr>
        <xdr:spPr>
          <a:xfrm>
            <a:off x="38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1" name="$E$174">
            <a:extLst>
              <a:ext uri="{FF2B5EF4-FFF2-40B4-BE49-F238E27FC236}">
                <a16:creationId xmlns:a16="http://schemas.microsoft.com/office/drawing/2014/main" id="{21EF207F-9AC4-4718-860B-372CC1463D0F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2" name="$E$174">
            <a:extLst>
              <a:ext uri="{FF2B5EF4-FFF2-40B4-BE49-F238E27FC236}">
                <a16:creationId xmlns:a16="http://schemas.microsoft.com/office/drawing/2014/main" id="{F7C625F6-7FBF-4DFD-A617-7C1CDB41A527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3" name="$E$174">
            <a:extLst>
              <a:ext uri="{FF2B5EF4-FFF2-40B4-BE49-F238E27FC236}">
                <a16:creationId xmlns:a16="http://schemas.microsoft.com/office/drawing/2014/main" id="{3CCE8692-F31D-4169-9BF6-6A7730F4F0E5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4" name="$E$174">
            <a:extLst>
              <a:ext uri="{FF2B5EF4-FFF2-40B4-BE49-F238E27FC236}">
                <a16:creationId xmlns:a16="http://schemas.microsoft.com/office/drawing/2014/main" id="{979FE143-6F03-4917-BA64-AAEB3C5E96A7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5" name="$E$174">
            <a:extLst>
              <a:ext uri="{FF2B5EF4-FFF2-40B4-BE49-F238E27FC236}">
                <a16:creationId xmlns:a16="http://schemas.microsoft.com/office/drawing/2014/main" id="{123397FE-9B21-4FC2-B35B-6FCBEF8E0A3D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6" name="$E$174">
            <a:extLst>
              <a:ext uri="{FF2B5EF4-FFF2-40B4-BE49-F238E27FC236}">
                <a16:creationId xmlns:a16="http://schemas.microsoft.com/office/drawing/2014/main" id="{82740B66-5348-4D37-91B9-7349FA9083E3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7" name="$E$174">
            <a:extLst>
              <a:ext uri="{FF2B5EF4-FFF2-40B4-BE49-F238E27FC236}">
                <a16:creationId xmlns:a16="http://schemas.microsoft.com/office/drawing/2014/main" id="{89B45825-DA0A-49BB-A97A-40504BBC1DEE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8" name="$E$174">
            <a:extLst>
              <a:ext uri="{FF2B5EF4-FFF2-40B4-BE49-F238E27FC236}">
                <a16:creationId xmlns:a16="http://schemas.microsoft.com/office/drawing/2014/main" id="{F6800A4B-EC3F-4EFD-ADB9-2F10005ADF3C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9" name="$E$174">
            <a:extLst>
              <a:ext uri="{FF2B5EF4-FFF2-40B4-BE49-F238E27FC236}">
                <a16:creationId xmlns:a16="http://schemas.microsoft.com/office/drawing/2014/main" id="{1E207E53-2E1D-489D-8711-C19524659507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0" name="$E$174">
            <a:extLst>
              <a:ext uri="{FF2B5EF4-FFF2-40B4-BE49-F238E27FC236}">
                <a16:creationId xmlns:a16="http://schemas.microsoft.com/office/drawing/2014/main" id="{96E03998-BA96-42F1-B570-1D48395BB4D9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1" name="$E$174">
            <a:extLst>
              <a:ext uri="{FF2B5EF4-FFF2-40B4-BE49-F238E27FC236}">
                <a16:creationId xmlns:a16="http://schemas.microsoft.com/office/drawing/2014/main" id="{DFFE8E39-A30F-45EE-8CC6-8E39F3906A86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2" name="$E$174">
            <a:extLst>
              <a:ext uri="{FF2B5EF4-FFF2-40B4-BE49-F238E27FC236}">
                <a16:creationId xmlns:a16="http://schemas.microsoft.com/office/drawing/2014/main" id="{0D1FCEE1-011E-4DB5-A622-656805FD6E38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3" name="$E$174">
            <a:extLst>
              <a:ext uri="{FF2B5EF4-FFF2-40B4-BE49-F238E27FC236}">
                <a16:creationId xmlns:a16="http://schemas.microsoft.com/office/drawing/2014/main" id="{7B2265C2-467B-48F9-B8C1-1F2FBD23C322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4" name="$E$174">
            <a:extLst>
              <a:ext uri="{FF2B5EF4-FFF2-40B4-BE49-F238E27FC236}">
                <a16:creationId xmlns:a16="http://schemas.microsoft.com/office/drawing/2014/main" id="{BCB8D5C1-481A-43E7-A5E3-56E7EE66313C}"/>
              </a:ext>
            </a:extLst>
          </xdr:cNvPr>
          <xdr:cNvSpPr/>
        </xdr:nvSpPr>
        <xdr:spPr>
          <a:xfrm>
            <a:off x="431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5" name="$E$174">
            <a:extLst>
              <a:ext uri="{FF2B5EF4-FFF2-40B4-BE49-F238E27FC236}">
                <a16:creationId xmlns:a16="http://schemas.microsoft.com/office/drawing/2014/main" id="{DE4DD5FE-0FF2-45F8-82FF-9ADCD5DDB8D8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6" name="$E$174">
            <a:extLst>
              <a:ext uri="{FF2B5EF4-FFF2-40B4-BE49-F238E27FC236}">
                <a16:creationId xmlns:a16="http://schemas.microsoft.com/office/drawing/2014/main" id="{9E7B4BF4-B797-4A98-8A0D-556C18AB5631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7" name="$E$174">
            <a:extLst>
              <a:ext uri="{FF2B5EF4-FFF2-40B4-BE49-F238E27FC236}">
                <a16:creationId xmlns:a16="http://schemas.microsoft.com/office/drawing/2014/main" id="{3D810602-E4BE-4319-842B-1C06322542FD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8" name="$E$174">
            <a:extLst>
              <a:ext uri="{FF2B5EF4-FFF2-40B4-BE49-F238E27FC236}">
                <a16:creationId xmlns:a16="http://schemas.microsoft.com/office/drawing/2014/main" id="{5BC101E9-D420-4B5F-88F4-0FE89D84F2F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9" name="$E$174">
            <a:extLst>
              <a:ext uri="{FF2B5EF4-FFF2-40B4-BE49-F238E27FC236}">
                <a16:creationId xmlns:a16="http://schemas.microsoft.com/office/drawing/2014/main" id="{0481B7DC-5834-443E-9AEA-BB0B98FD49C3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0" name="$E$174">
            <a:extLst>
              <a:ext uri="{FF2B5EF4-FFF2-40B4-BE49-F238E27FC236}">
                <a16:creationId xmlns:a16="http://schemas.microsoft.com/office/drawing/2014/main" id="{130F7484-AC26-4047-84F9-AC5E6F57CA97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1" name="$E$174">
            <a:extLst>
              <a:ext uri="{FF2B5EF4-FFF2-40B4-BE49-F238E27FC236}">
                <a16:creationId xmlns:a16="http://schemas.microsoft.com/office/drawing/2014/main" id="{E25556A5-2417-473E-94DE-2082194F708A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2" name="$E$174">
            <a:extLst>
              <a:ext uri="{FF2B5EF4-FFF2-40B4-BE49-F238E27FC236}">
                <a16:creationId xmlns:a16="http://schemas.microsoft.com/office/drawing/2014/main" id="{28A6585C-0528-43E3-BEC1-1407ABAA16EA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3" name="$E$174">
            <a:extLst>
              <a:ext uri="{FF2B5EF4-FFF2-40B4-BE49-F238E27FC236}">
                <a16:creationId xmlns:a16="http://schemas.microsoft.com/office/drawing/2014/main" id="{78B00E5A-0CD1-4A2F-B2FD-A773DBE34459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4" name="$E$174">
            <a:extLst>
              <a:ext uri="{FF2B5EF4-FFF2-40B4-BE49-F238E27FC236}">
                <a16:creationId xmlns:a16="http://schemas.microsoft.com/office/drawing/2014/main" id="{17C9B7EF-D1BD-4671-B6CE-04DB9153FD2A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5" name="$E$174">
            <a:extLst>
              <a:ext uri="{FF2B5EF4-FFF2-40B4-BE49-F238E27FC236}">
                <a16:creationId xmlns:a16="http://schemas.microsoft.com/office/drawing/2014/main" id="{06DF2583-FA82-4C7B-881D-21EA29EE1E41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6" name="$E$174">
            <a:extLst>
              <a:ext uri="{FF2B5EF4-FFF2-40B4-BE49-F238E27FC236}">
                <a16:creationId xmlns:a16="http://schemas.microsoft.com/office/drawing/2014/main" id="{2C21BF7D-C5E9-4CF2-B885-DAEBB607E7C3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7" name="$E$174">
            <a:extLst>
              <a:ext uri="{FF2B5EF4-FFF2-40B4-BE49-F238E27FC236}">
                <a16:creationId xmlns:a16="http://schemas.microsoft.com/office/drawing/2014/main" id="{C31BD83E-1DE1-4190-92E1-BDF342EC15B1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8" name="$E$174">
            <a:extLst>
              <a:ext uri="{FF2B5EF4-FFF2-40B4-BE49-F238E27FC236}">
                <a16:creationId xmlns:a16="http://schemas.microsoft.com/office/drawing/2014/main" id="{67D49AE9-C50A-448E-B61C-B36508FFE6D6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9" name="$E$174">
            <a:extLst>
              <a:ext uri="{FF2B5EF4-FFF2-40B4-BE49-F238E27FC236}">
                <a16:creationId xmlns:a16="http://schemas.microsoft.com/office/drawing/2014/main" id="{0947EB22-BF0A-4543-B50F-324E61487A1D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0" name="$E$174">
            <a:extLst>
              <a:ext uri="{FF2B5EF4-FFF2-40B4-BE49-F238E27FC236}">
                <a16:creationId xmlns:a16="http://schemas.microsoft.com/office/drawing/2014/main" id="{40109124-BFD6-402A-983E-A5DD98249AD3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1" name="$E$174">
            <a:extLst>
              <a:ext uri="{FF2B5EF4-FFF2-40B4-BE49-F238E27FC236}">
                <a16:creationId xmlns:a16="http://schemas.microsoft.com/office/drawing/2014/main" id="{D4566E7D-E853-4D2D-9D08-F2DADA038272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2" name="$E$174">
            <a:extLst>
              <a:ext uri="{FF2B5EF4-FFF2-40B4-BE49-F238E27FC236}">
                <a16:creationId xmlns:a16="http://schemas.microsoft.com/office/drawing/2014/main" id="{C8151E7B-EDC9-4878-919F-68E5F8D86F52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3" name="$E$174">
            <a:extLst>
              <a:ext uri="{FF2B5EF4-FFF2-40B4-BE49-F238E27FC236}">
                <a16:creationId xmlns:a16="http://schemas.microsoft.com/office/drawing/2014/main" id="{762F21F7-6F85-4F37-BE30-147087B758D2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4" name="$E$174">
            <a:extLst>
              <a:ext uri="{FF2B5EF4-FFF2-40B4-BE49-F238E27FC236}">
                <a16:creationId xmlns:a16="http://schemas.microsoft.com/office/drawing/2014/main" id="{7F37CA90-3D3F-497B-9D34-27DC3D9CBFE9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5" name="$E$174">
            <a:extLst>
              <a:ext uri="{FF2B5EF4-FFF2-40B4-BE49-F238E27FC236}">
                <a16:creationId xmlns:a16="http://schemas.microsoft.com/office/drawing/2014/main" id="{B9582EE2-05D3-43F9-A132-F9EA6B141A8F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6" name="$E$174">
            <a:extLst>
              <a:ext uri="{FF2B5EF4-FFF2-40B4-BE49-F238E27FC236}">
                <a16:creationId xmlns:a16="http://schemas.microsoft.com/office/drawing/2014/main" id="{69064B55-E2E2-4E54-B911-00352889C6AB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7" name="$E$174">
            <a:extLst>
              <a:ext uri="{FF2B5EF4-FFF2-40B4-BE49-F238E27FC236}">
                <a16:creationId xmlns:a16="http://schemas.microsoft.com/office/drawing/2014/main" id="{E9DBBDB5-0EA1-4B4B-A302-9BBA2F588B16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8" name="$E$174">
            <a:extLst>
              <a:ext uri="{FF2B5EF4-FFF2-40B4-BE49-F238E27FC236}">
                <a16:creationId xmlns:a16="http://schemas.microsoft.com/office/drawing/2014/main" id="{C4A206BA-421E-40DB-905B-FC054455DA65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9" name="$E$174">
            <a:extLst>
              <a:ext uri="{FF2B5EF4-FFF2-40B4-BE49-F238E27FC236}">
                <a16:creationId xmlns:a16="http://schemas.microsoft.com/office/drawing/2014/main" id="{C7A0F0DD-A1B9-4974-929C-16FC1135411E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0" name="$E$174">
            <a:extLst>
              <a:ext uri="{FF2B5EF4-FFF2-40B4-BE49-F238E27FC236}">
                <a16:creationId xmlns:a16="http://schemas.microsoft.com/office/drawing/2014/main" id="{D22F2D01-ED07-48B0-9E3F-5DF47D9C3CF9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1" name="$E$174">
            <a:extLst>
              <a:ext uri="{FF2B5EF4-FFF2-40B4-BE49-F238E27FC236}">
                <a16:creationId xmlns:a16="http://schemas.microsoft.com/office/drawing/2014/main" id="{EF4B724A-9A1D-45B2-AC9A-D83F890E1795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2" name="$E$174">
            <a:extLst>
              <a:ext uri="{FF2B5EF4-FFF2-40B4-BE49-F238E27FC236}">
                <a16:creationId xmlns:a16="http://schemas.microsoft.com/office/drawing/2014/main" id="{8E518186-F06B-45E2-B4E7-3D6189A254CE}"/>
              </a:ext>
            </a:extLst>
          </xdr:cNvPr>
          <xdr:cNvSpPr/>
        </xdr:nvSpPr>
        <xdr:spPr>
          <a:xfrm>
            <a:off x="190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3" name="$E$174">
            <a:extLst>
              <a:ext uri="{FF2B5EF4-FFF2-40B4-BE49-F238E27FC236}">
                <a16:creationId xmlns:a16="http://schemas.microsoft.com/office/drawing/2014/main" id="{D7DEFE95-7C03-4451-B61E-4145B0346CA1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4" name="$E$174">
            <a:extLst>
              <a:ext uri="{FF2B5EF4-FFF2-40B4-BE49-F238E27FC236}">
                <a16:creationId xmlns:a16="http://schemas.microsoft.com/office/drawing/2014/main" id="{01F4BFA7-6ABC-4227-89C9-3AAD54BF447E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5" name="$E$174">
            <a:extLst>
              <a:ext uri="{FF2B5EF4-FFF2-40B4-BE49-F238E27FC236}">
                <a16:creationId xmlns:a16="http://schemas.microsoft.com/office/drawing/2014/main" id="{DFED94D6-01D6-4A34-BC64-48BBE647EB2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6" name="$E$174">
            <a:extLst>
              <a:ext uri="{FF2B5EF4-FFF2-40B4-BE49-F238E27FC236}">
                <a16:creationId xmlns:a16="http://schemas.microsoft.com/office/drawing/2014/main" id="{5E9BE798-11A0-49C3-9F3E-83367780FD53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7" name="$E$174">
            <a:extLst>
              <a:ext uri="{FF2B5EF4-FFF2-40B4-BE49-F238E27FC236}">
                <a16:creationId xmlns:a16="http://schemas.microsoft.com/office/drawing/2014/main" id="{8497BB45-0938-46F7-8128-FBF5124B7AE9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8" name="$E$174">
            <a:extLst>
              <a:ext uri="{FF2B5EF4-FFF2-40B4-BE49-F238E27FC236}">
                <a16:creationId xmlns:a16="http://schemas.microsoft.com/office/drawing/2014/main" id="{163AC065-8587-417C-9827-1CE531586824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9" name="$E$174">
            <a:extLst>
              <a:ext uri="{FF2B5EF4-FFF2-40B4-BE49-F238E27FC236}">
                <a16:creationId xmlns:a16="http://schemas.microsoft.com/office/drawing/2014/main" id="{C392AA6C-3BDE-4F24-961A-630758F653D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0" name="$E$174">
            <a:extLst>
              <a:ext uri="{FF2B5EF4-FFF2-40B4-BE49-F238E27FC236}">
                <a16:creationId xmlns:a16="http://schemas.microsoft.com/office/drawing/2014/main" id="{55671048-6FAA-4707-B8FB-9FC579743DEC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1" name="$E$174">
            <a:extLst>
              <a:ext uri="{FF2B5EF4-FFF2-40B4-BE49-F238E27FC236}">
                <a16:creationId xmlns:a16="http://schemas.microsoft.com/office/drawing/2014/main" id="{7DAF0F21-8CBC-4949-B457-89D19A8656BC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2" name="$E$174">
            <a:extLst>
              <a:ext uri="{FF2B5EF4-FFF2-40B4-BE49-F238E27FC236}">
                <a16:creationId xmlns:a16="http://schemas.microsoft.com/office/drawing/2014/main" id="{7A4F7C45-97B4-45D7-A910-E0905C2E6CC1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3" name="$E$174">
            <a:extLst>
              <a:ext uri="{FF2B5EF4-FFF2-40B4-BE49-F238E27FC236}">
                <a16:creationId xmlns:a16="http://schemas.microsoft.com/office/drawing/2014/main" id="{704B9801-5421-4C85-B30A-2CE4BA1109E2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4" name="$E$174">
            <a:extLst>
              <a:ext uri="{FF2B5EF4-FFF2-40B4-BE49-F238E27FC236}">
                <a16:creationId xmlns:a16="http://schemas.microsoft.com/office/drawing/2014/main" id="{4395B872-FC2C-48FB-866E-F0D609AACE24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5" name="$E$174">
            <a:extLst>
              <a:ext uri="{FF2B5EF4-FFF2-40B4-BE49-F238E27FC236}">
                <a16:creationId xmlns:a16="http://schemas.microsoft.com/office/drawing/2014/main" id="{169ACD6D-015E-4A5B-B515-7114DFCECA6A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6" name="$E$174">
            <a:extLst>
              <a:ext uri="{FF2B5EF4-FFF2-40B4-BE49-F238E27FC236}">
                <a16:creationId xmlns:a16="http://schemas.microsoft.com/office/drawing/2014/main" id="{C993B660-F247-4DF1-9335-E22CC47EBDF5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7" name="$E$174">
            <a:extLst>
              <a:ext uri="{FF2B5EF4-FFF2-40B4-BE49-F238E27FC236}">
                <a16:creationId xmlns:a16="http://schemas.microsoft.com/office/drawing/2014/main" id="{B50C836A-B889-45C8-A46E-76FADBC7909C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8" name="$E$174">
            <a:extLst>
              <a:ext uri="{FF2B5EF4-FFF2-40B4-BE49-F238E27FC236}">
                <a16:creationId xmlns:a16="http://schemas.microsoft.com/office/drawing/2014/main" id="{9B4054CA-6E0A-4361-819F-0F898171FD7F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9" name="$E$174">
            <a:extLst>
              <a:ext uri="{FF2B5EF4-FFF2-40B4-BE49-F238E27FC236}">
                <a16:creationId xmlns:a16="http://schemas.microsoft.com/office/drawing/2014/main" id="{B56DC593-D2D2-4480-92F8-7D0097AD3FA5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0" name="$E$174">
            <a:extLst>
              <a:ext uri="{FF2B5EF4-FFF2-40B4-BE49-F238E27FC236}">
                <a16:creationId xmlns:a16="http://schemas.microsoft.com/office/drawing/2014/main" id="{58F9B6B2-17D5-4EC0-AC42-4782370A774B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1" name="$E$174">
            <a:extLst>
              <a:ext uri="{FF2B5EF4-FFF2-40B4-BE49-F238E27FC236}">
                <a16:creationId xmlns:a16="http://schemas.microsoft.com/office/drawing/2014/main" id="{3A4AE878-778F-4432-87F4-F82B95EDF1F8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2" name="$E$174">
            <a:extLst>
              <a:ext uri="{FF2B5EF4-FFF2-40B4-BE49-F238E27FC236}">
                <a16:creationId xmlns:a16="http://schemas.microsoft.com/office/drawing/2014/main" id="{0D55450C-330E-45C9-BD2A-4C63472E4CBB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3" name="$E$174">
            <a:extLst>
              <a:ext uri="{FF2B5EF4-FFF2-40B4-BE49-F238E27FC236}">
                <a16:creationId xmlns:a16="http://schemas.microsoft.com/office/drawing/2014/main" id="{B99FE7D7-8EBE-4216-BB0F-0A1EAC08EC98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4" name="$E$174">
            <a:extLst>
              <a:ext uri="{FF2B5EF4-FFF2-40B4-BE49-F238E27FC236}">
                <a16:creationId xmlns:a16="http://schemas.microsoft.com/office/drawing/2014/main" id="{604C5882-4464-4D69-83B6-C7ECF037DF64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5" name="$E$174">
            <a:extLst>
              <a:ext uri="{FF2B5EF4-FFF2-40B4-BE49-F238E27FC236}">
                <a16:creationId xmlns:a16="http://schemas.microsoft.com/office/drawing/2014/main" id="{6B1E8671-1511-4C0E-9BB6-37866C867287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6" name="$E$174">
            <a:extLst>
              <a:ext uri="{FF2B5EF4-FFF2-40B4-BE49-F238E27FC236}">
                <a16:creationId xmlns:a16="http://schemas.microsoft.com/office/drawing/2014/main" id="{DD805D7B-A023-4BFA-8FA1-D5289CA44A94}"/>
              </a:ext>
            </a:extLst>
          </xdr:cNvPr>
          <xdr:cNvSpPr/>
        </xdr:nvSpPr>
        <xdr:spPr>
          <a:xfrm>
            <a:off x="241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7" name="$E$174">
            <a:extLst>
              <a:ext uri="{FF2B5EF4-FFF2-40B4-BE49-F238E27FC236}">
                <a16:creationId xmlns:a16="http://schemas.microsoft.com/office/drawing/2014/main" id="{37C094B5-C6C6-45E2-B0B8-4055E4A11CB9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8" name="$E$174">
            <a:extLst>
              <a:ext uri="{FF2B5EF4-FFF2-40B4-BE49-F238E27FC236}">
                <a16:creationId xmlns:a16="http://schemas.microsoft.com/office/drawing/2014/main" id="{8CF3DA59-45F7-4BCE-A84A-510887DB1DAF}"/>
              </a:ext>
            </a:extLst>
          </xdr:cNvPr>
          <xdr:cNvSpPr/>
        </xdr:nvSpPr>
        <xdr:spPr>
          <a:xfrm>
            <a:off x="292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9" name="$E$174">
            <a:extLst>
              <a:ext uri="{FF2B5EF4-FFF2-40B4-BE49-F238E27FC236}">
                <a16:creationId xmlns:a16="http://schemas.microsoft.com/office/drawing/2014/main" id="{C095CBF5-23F2-4F59-B7F3-16FE3994DD22}"/>
              </a:ext>
            </a:extLst>
          </xdr:cNvPr>
          <xdr:cNvSpPr/>
        </xdr:nvSpPr>
        <xdr:spPr>
          <a:xfrm>
            <a:off x="317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0" name="$E$174">
            <a:extLst>
              <a:ext uri="{FF2B5EF4-FFF2-40B4-BE49-F238E27FC236}">
                <a16:creationId xmlns:a16="http://schemas.microsoft.com/office/drawing/2014/main" id="{49602607-181D-4E16-9CD8-F3D504505C0E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1" name="$E$174">
            <a:extLst>
              <a:ext uri="{FF2B5EF4-FFF2-40B4-BE49-F238E27FC236}">
                <a16:creationId xmlns:a16="http://schemas.microsoft.com/office/drawing/2014/main" id="{17D2D238-6B7D-4968-9716-8C8F712E74C2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2" name="$E$174">
            <a:extLst>
              <a:ext uri="{FF2B5EF4-FFF2-40B4-BE49-F238E27FC236}">
                <a16:creationId xmlns:a16="http://schemas.microsoft.com/office/drawing/2014/main" id="{AFC36F83-347A-4B1D-8C2F-8F6818251CCB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3" name="$E$174">
            <a:extLst>
              <a:ext uri="{FF2B5EF4-FFF2-40B4-BE49-F238E27FC236}">
                <a16:creationId xmlns:a16="http://schemas.microsoft.com/office/drawing/2014/main" id="{2FAFC518-B426-4DA5-933C-C3AAC2BFFB1C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4" name="$E$174">
            <a:extLst>
              <a:ext uri="{FF2B5EF4-FFF2-40B4-BE49-F238E27FC236}">
                <a16:creationId xmlns:a16="http://schemas.microsoft.com/office/drawing/2014/main" id="{D1873179-2F00-4597-8F14-3D0F07312F8F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5" name="$E$174">
            <a:extLst>
              <a:ext uri="{FF2B5EF4-FFF2-40B4-BE49-F238E27FC236}">
                <a16:creationId xmlns:a16="http://schemas.microsoft.com/office/drawing/2014/main" id="{61948EDB-A01B-4B02-AE18-009A6DEC6452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6" name="$E$174">
            <a:extLst>
              <a:ext uri="{FF2B5EF4-FFF2-40B4-BE49-F238E27FC236}">
                <a16:creationId xmlns:a16="http://schemas.microsoft.com/office/drawing/2014/main" id="{3D53FA42-40DF-4E02-A20A-9951C9ECD6C1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7" name="$E$174">
            <a:extLst>
              <a:ext uri="{FF2B5EF4-FFF2-40B4-BE49-F238E27FC236}">
                <a16:creationId xmlns:a16="http://schemas.microsoft.com/office/drawing/2014/main" id="{82F07947-8AD8-43BE-8A6B-06FB2F999424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8" name="$E$174">
            <a:extLst>
              <a:ext uri="{FF2B5EF4-FFF2-40B4-BE49-F238E27FC236}">
                <a16:creationId xmlns:a16="http://schemas.microsoft.com/office/drawing/2014/main" id="{DA770DEB-DDF1-4F16-B41E-9DF9749F4F66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9" name="$E$174">
            <a:extLst>
              <a:ext uri="{FF2B5EF4-FFF2-40B4-BE49-F238E27FC236}">
                <a16:creationId xmlns:a16="http://schemas.microsoft.com/office/drawing/2014/main" id="{B8D940B6-A05F-4163-836F-0F843005CD93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0" name="$E$174">
            <a:extLst>
              <a:ext uri="{FF2B5EF4-FFF2-40B4-BE49-F238E27FC236}">
                <a16:creationId xmlns:a16="http://schemas.microsoft.com/office/drawing/2014/main" id="{6B055A94-9653-4BCC-A4E8-7955FB226ADA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1" name="$E$174">
            <a:extLst>
              <a:ext uri="{FF2B5EF4-FFF2-40B4-BE49-F238E27FC236}">
                <a16:creationId xmlns:a16="http://schemas.microsoft.com/office/drawing/2014/main" id="{EEBD978A-FED9-41CB-B9E9-4D5BA36CB11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2" name="$E$174">
            <a:extLst>
              <a:ext uri="{FF2B5EF4-FFF2-40B4-BE49-F238E27FC236}">
                <a16:creationId xmlns:a16="http://schemas.microsoft.com/office/drawing/2014/main" id="{12C5A4DE-2F83-4EAA-9EFF-86C58504EED3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3" name="$E$174">
            <a:extLst>
              <a:ext uri="{FF2B5EF4-FFF2-40B4-BE49-F238E27FC236}">
                <a16:creationId xmlns:a16="http://schemas.microsoft.com/office/drawing/2014/main" id="{836CEAE5-E1A7-44D3-87A9-C81B8EE87968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4" name="$E$174">
            <a:extLst>
              <a:ext uri="{FF2B5EF4-FFF2-40B4-BE49-F238E27FC236}">
                <a16:creationId xmlns:a16="http://schemas.microsoft.com/office/drawing/2014/main" id="{E530FE06-17E3-48AE-A16D-F77227DD803B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5" name="$E$174">
            <a:extLst>
              <a:ext uri="{FF2B5EF4-FFF2-40B4-BE49-F238E27FC236}">
                <a16:creationId xmlns:a16="http://schemas.microsoft.com/office/drawing/2014/main" id="{926E11FB-8ABF-4D03-996B-FAC8EE7B0F0F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6" name="$E$174">
            <a:extLst>
              <a:ext uri="{FF2B5EF4-FFF2-40B4-BE49-F238E27FC236}">
                <a16:creationId xmlns:a16="http://schemas.microsoft.com/office/drawing/2014/main" id="{330BFE5E-8146-4FEE-A4E3-73842107835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7" name="$E$174">
            <a:extLst>
              <a:ext uri="{FF2B5EF4-FFF2-40B4-BE49-F238E27FC236}">
                <a16:creationId xmlns:a16="http://schemas.microsoft.com/office/drawing/2014/main" id="{4686D96B-7120-44BA-A7A2-F098256E4786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8" name="$E$174">
            <a:extLst>
              <a:ext uri="{FF2B5EF4-FFF2-40B4-BE49-F238E27FC236}">
                <a16:creationId xmlns:a16="http://schemas.microsoft.com/office/drawing/2014/main" id="{978B291D-9A33-443E-B845-749131AD6656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9" name="$E$174">
            <a:extLst>
              <a:ext uri="{FF2B5EF4-FFF2-40B4-BE49-F238E27FC236}">
                <a16:creationId xmlns:a16="http://schemas.microsoft.com/office/drawing/2014/main" id="{84BA5232-27F1-4D26-BF4B-3474EF40CE6E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0" name="$E$174">
            <a:extLst>
              <a:ext uri="{FF2B5EF4-FFF2-40B4-BE49-F238E27FC236}">
                <a16:creationId xmlns:a16="http://schemas.microsoft.com/office/drawing/2014/main" id="{D807ADE6-FD33-4A02-827A-3021655977D1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1" name="$E$174">
            <a:extLst>
              <a:ext uri="{FF2B5EF4-FFF2-40B4-BE49-F238E27FC236}">
                <a16:creationId xmlns:a16="http://schemas.microsoft.com/office/drawing/2014/main" id="{3D82B2D2-9C74-463E-A456-4D218F06121C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2" name="$E$174">
            <a:extLst>
              <a:ext uri="{FF2B5EF4-FFF2-40B4-BE49-F238E27FC236}">
                <a16:creationId xmlns:a16="http://schemas.microsoft.com/office/drawing/2014/main" id="{F213A197-9EA2-454C-823D-5752E1A6FBA1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3" name="$E$174">
            <a:extLst>
              <a:ext uri="{FF2B5EF4-FFF2-40B4-BE49-F238E27FC236}">
                <a16:creationId xmlns:a16="http://schemas.microsoft.com/office/drawing/2014/main" id="{DAEBBD42-60F0-4B97-87D4-AFD847EAD21A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4" name="$E$174">
            <a:extLst>
              <a:ext uri="{FF2B5EF4-FFF2-40B4-BE49-F238E27FC236}">
                <a16:creationId xmlns:a16="http://schemas.microsoft.com/office/drawing/2014/main" id="{95E4D8A5-125D-4AAD-94BB-A5F07E9F032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5" name="$E$174">
            <a:extLst>
              <a:ext uri="{FF2B5EF4-FFF2-40B4-BE49-F238E27FC236}">
                <a16:creationId xmlns:a16="http://schemas.microsoft.com/office/drawing/2014/main" id="{FB8A0605-FD43-459C-86E2-3C178FCE65C3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6" name="$E$174">
            <a:extLst>
              <a:ext uri="{FF2B5EF4-FFF2-40B4-BE49-F238E27FC236}">
                <a16:creationId xmlns:a16="http://schemas.microsoft.com/office/drawing/2014/main" id="{88AF931A-A879-469B-A47C-D94B9B270538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7" name="$E$174">
            <a:extLst>
              <a:ext uri="{FF2B5EF4-FFF2-40B4-BE49-F238E27FC236}">
                <a16:creationId xmlns:a16="http://schemas.microsoft.com/office/drawing/2014/main" id="{32D2BC56-81FD-474F-AD65-8C67D7C7A75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8" name="$E$174">
            <a:extLst>
              <a:ext uri="{FF2B5EF4-FFF2-40B4-BE49-F238E27FC236}">
                <a16:creationId xmlns:a16="http://schemas.microsoft.com/office/drawing/2014/main" id="{07BD8C40-ED36-4FA3-91AD-C43E1710323E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9" name="$E$174">
            <a:extLst>
              <a:ext uri="{FF2B5EF4-FFF2-40B4-BE49-F238E27FC236}">
                <a16:creationId xmlns:a16="http://schemas.microsoft.com/office/drawing/2014/main" id="{6C450272-757D-477B-9302-4F4BFDC4ECD3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0" name="$E$174">
            <a:extLst>
              <a:ext uri="{FF2B5EF4-FFF2-40B4-BE49-F238E27FC236}">
                <a16:creationId xmlns:a16="http://schemas.microsoft.com/office/drawing/2014/main" id="{A1FC937C-D006-4ECC-BCFF-516E140D569E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1" name="$E$174">
            <a:extLst>
              <a:ext uri="{FF2B5EF4-FFF2-40B4-BE49-F238E27FC236}">
                <a16:creationId xmlns:a16="http://schemas.microsoft.com/office/drawing/2014/main" id="{6ACB93E6-7C69-4FF1-8E03-327EEF041B14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2" name="$E$174">
            <a:extLst>
              <a:ext uri="{FF2B5EF4-FFF2-40B4-BE49-F238E27FC236}">
                <a16:creationId xmlns:a16="http://schemas.microsoft.com/office/drawing/2014/main" id="{E62AEED8-E2A9-4291-9E25-48F86C4C97F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3" name="$E$174">
            <a:extLst>
              <a:ext uri="{FF2B5EF4-FFF2-40B4-BE49-F238E27FC236}">
                <a16:creationId xmlns:a16="http://schemas.microsoft.com/office/drawing/2014/main" id="{4B603A2C-FECE-4F51-8C02-9FA5E9B02394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4" name="$E$174">
            <a:extLst>
              <a:ext uri="{FF2B5EF4-FFF2-40B4-BE49-F238E27FC236}">
                <a16:creationId xmlns:a16="http://schemas.microsoft.com/office/drawing/2014/main" id="{ED5DAE70-1A0C-4D8E-A192-FB8C6C52F257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5" name="$E$174">
            <a:extLst>
              <a:ext uri="{FF2B5EF4-FFF2-40B4-BE49-F238E27FC236}">
                <a16:creationId xmlns:a16="http://schemas.microsoft.com/office/drawing/2014/main" id="{65910AFE-E2E0-4A13-8B09-7A70494F315D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6" name="$E$174">
            <a:extLst>
              <a:ext uri="{FF2B5EF4-FFF2-40B4-BE49-F238E27FC236}">
                <a16:creationId xmlns:a16="http://schemas.microsoft.com/office/drawing/2014/main" id="{97E9A4FB-43A1-4E22-8170-374DBFE538D7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7" name="$E$174">
            <a:extLst>
              <a:ext uri="{FF2B5EF4-FFF2-40B4-BE49-F238E27FC236}">
                <a16:creationId xmlns:a16="http://schemas.microsoft.com/office/drawing/2014/main" id="{9A4AD7E1-6BAB-4A26-ABDD-BC86CC62EB88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8" name="$E$174">
            <a:extLst>
              <a:ext uri="{FF2B5EF4-FFF2-40B4-BE49-F238E27FC236}">
                <a16:creationId xmlns:a16="http://schemas.microsoft.com/office/drawing/2014/main" id="{8E406051-5BF4-49BB-ADAA-1D1E617C1F2B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9" name="$E$174">
            <a:extLst>
              <a:ext uri="{FF2B5EF4-FFF2-40B4-BE49-F238E27FC236}">
                <a16:creationId xmlns:a16="http://schemas.microsoft.com/office/drawing/2014/main" id="{DA890EAD-090D-4997-BC95-E58B0D6BCFA7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0" name="$E$174">
            <a:extLst>
              <a:ext uri="{FF2B5EF4-FFF2-40B4-BE49-F238E27FC236}">
                <a16:creationId xmlns:a16="http://schemas.microsoft.com/office/drawing/2014/main" id="{3F36D010-7F04-4A68-B82E-B1D04B609022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1" name="$E$174">
            <a:extLst>
              <a:ext uri="{FF2B5EF4-FFF2-40B4-BE49-F238E27FC236}">
                <a16:creationId xmlns:a16="http://schemas.microsoft.com/office/drawing/2014/main" id="{5E89EACB-FF36-406F-82C2-277A6A3921FE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2" name="$E$174">
            <a:extLst>
              <a:ext uri="{FF2B5EF4-FFF2-40B4-BE49-F238E27FC236}">
                <a16:creationId xmlns:a16="http://schemas.microsoft.com/office/drawing/2014/main" id="{3ADA11D4-8DFF-454A-B3F5-B08835DECBBF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3" name="$E$174">
            <a:extLst>
              <a:ext uri="{FF2B5EF4-FFF2-40B4-BE49-F238E27FC236}">
                <a16:creationId xmlns:a16="http://schemas.microsoft.com/office/drawing/2014/main" id="{D8A2F8F4-E581-49D2-BB13-E9E12214B156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4" name="$E$174">
            <a:extLst>
              <a:ext uri="{FF2B5EF4-FFF2-40B4-BE49-F238E27FC236}">
                <a16:creationId xmlns:a16="http://schemas.microsoft.com/office/drawing/2014/main" id="{BCD63147-DEBE-47F8-9A61-17B40E3C07F8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5" name="$E$174">
            <a:extLst>
              <a:ext uri="{FF2B5EF4-FFF2-40B4-BE49-F238E27FC236}">
                <a16:creationId xmlns:a16="http://schemas.microsoft.com/office/drawing/2014/main" id="{F68DF321-16B6-4BB8-83B1-66CD39511875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6" name="$E$174">
            <a:extLst>
              <a:ext uri="{FF2B5EF4-FFF2-40B4-BE49-F238E27FC236}">
                <a16:creationId xmlns:a16="http://schemas.microsoft.com/office/drawing/2014/main" id="{5BD74A2C-D381-489A-A065-B0699D3367F3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7" name="$E$174">
            <a:extLst>
              <a:ext uri="{FF2B5EF4-FFF2-40B4-BE49-F238E27FC236}">
                <a16:creationId xmlns:a16="http://schemas.microsoft.com/office/drawing/2014/main" id="{084AF85F-6B48-4AE7-9911-B422006152CC}"/>
              </a:ext>
            </a:extLst>
          </xdr:cNvPr>
          <xdr:cNvSpPr/>
        </xdr:nvSpPr>
        <xdr:spPr>
          <a:xfrm>
            <a:off x="165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8" name="$E$174">
            <a:extLst>
              <a:ext uri="{FF2B5EF4-FFF2-40B4-BE49-F238E27FC236}">
                <a16:creationId xmlns:a16="http://schemas.microsoft.com/office/drawing/2014/main" id="{EB679AFF-A9B4-4B19-813F-037EEE705D2C}"/>
              </a:ext>
            </a:extLst>
          </xdr:cNvPr>
          <xdr:cNvSpPr/>
        </xdr:nvSpPr>
        <xdr:spPr>
          <a:xfrm>
            <a:off x="177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9" name="$E$174">
            <a:extLst>
              <a:ext uri="{FF2B5EF4-FFF2-40B4-BE49-F238E27FC236}">
                <a16:creationId xmlns:a16="http://schemas.microsoft.com/office/drawing/2014/main" id="{D845629D-527C-4500-B0B6-C2472C4E0D6C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0" name="$E$174">
            <a:extLst>
              <a:ext uri="{FF2B5EF4-FFF2-40B4-BE49-F238E27FC236}">
                <a16:creationId xmlns:a16="http://schemas.microsoft.com/office/drawing/2014/main" id="{38783D8A-F8F1-42C5-85D3-9AE73D385201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1" name="$E$174">
            <a:extLst>
              <a:ext uri="{FF2B5EF4-FFF2-40B4-BE49-F238E27FC236}">
                <a16:creationId xmlns:a16="http://schemas.microsoft.com/office/drawing/2014/main" id="{F6593F7F-67BA-44A9-937C-11121FFB4DF3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2" name="$E$174">
            <a:extLst>
              <a:ext uri="{FF2B5EF4-FFF2-40B4-BE49-F238E27FC236}">
                <a16:creationId xmlns:a16="http://schemas.microsoft.com/office/drawing/2014/main" id="{2D4E91A3-D6C1-47F0-8447-FCA1300A8C0A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3" name="$E$174">
            <a:extLst>
              <a:ext uri="{FF2B5EF4-FFF2-40B4-BE49-F238E27FC236}">
                <a16:creationId xmlns:a16="http://schemas.microsoft.com/office/drawing/2014/main" id="{054CD69D-21EA-4910-929C-E067DD2F78EF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4" name="$E$174">
            <a:extLst>
              <a:ext uri="{FF2B5EF4-FFF2-40B4-BE49-F238E27FC236}">
                <a16:creationId xmlns:a16="http://schemas.microsoft.com/office/drawing/2014/main" id="{98DFAEAB-BDD2-4ACC-A72E-4D6DEB2C5E45}"/>
              </a:ext>
            </a:extLst>
          </xdr:cNvPr>
          <xdr:cNvSpPr/>
        </xdr:nvSpPr>
        <xdr:spPr>
          <a:xfrm>
            <a:off x="330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5" name="$E$174">
            <a:extLst>
              <a:ext uri="{FF2B5EF4-FFF2-40B4-BE49-F238E27FC236}">
                <a16:creationId xmlns:a16="http://schemas.microsoft.com/office/drawing/2014/main" id="{9AD761BA-5708-455C-8513-81DB39A1CE9D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6" name="$E$174">
            <a:extLst>
              <a:ext uri="{FF2B5EF4-FFF2-40B4-BE49-F238E27FC236}">
                <a16:creationId xmlns:a16="http://schemas.microsoft.com/office/drawing/2014/main" id="{F2E35B4A-E5FC-43F0-89C4-690FF0199C98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7" name="$E$174">
            <a:extLst>
              <a:ext uri="{FF2B5EF4-FFF2-40B4-BE49-F238E27FC236}">
                <a16:creationId xmlns:a16="http://schemas.microsoft.com/office/drawing/2014/main" id="{AF7BE7C4-EB3F-4DD2-9E41-0D7C97D5955B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8" name="$E$174">
            <a:extLst>
              <a:ext uri="{FF2B5EF4-FFF2-40B4-BE49-F238E27FC236}">
                <a16:creationId xmlns:a16="http://schemas.microsoft.com/office/drawing/2014/main" id="{5243044D-16E7-4045-8A6D-DB04AB5F7736}"/>
              </a:ext>
            </a:extLst>
          </xdr:cNvPr>
          <xdr:cNvSpPr/>
        </xdr:nvSpPr>
        <xdr:spPr>
          <a:xfrm>
            <a:off x="431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9" name="$E$174">
            <a:extLst>
              <a:ext uri="{FF2B5EF4-FFF2-40B4-BE49-F238E27FC236}">
                <a16:creationId xmlns:a16="http://schemas.microsoft.com/office/drawing/2014/main" id="{733BCEA3-B99D-43B9-810D-8805D36DECC3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0" name="$E$174">
            <a:extLst>
              <a:ext uri="{FF2B5EF4-FFF2-40B4-BE49-F238E27FC236}">
                <a16:creationId xmlns:a16="http://schemas.microsoft.com/office/drawing/2014/main" id="{DC0C1CA1-1C48-497F-87A7-302938AF842F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1" name="$E$174">
            <a:extLst>
              <a:ext uri="{FF2B5EF4-FFF2-40B4-BE49-F238E27FC236}">
                <a16:creationId xmlns:a16="http://schemas.microsoft.com/office/drawing/2014/main" id="{A949F770-2508-4EF5-BD31-EB2B4AE49A88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2" name="$E$174">
            <a:extLst>
              <a:ext uri="{FF2B5EF4-FFF2-40B4-BE49-F238E27FC236}">
                <a16:creationId xmlns:a16="http://schemas.microsoft.com/office/drawing/2014/main" id="{0B181D1F-DA1E-419F-8EB8-A34AE2ED7B84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3" name="$E$174">
            <a:extLst>
              <a:ext uri="{FF2B5EF4-FFF2-40B4-BE49-F238E27FC236}">
                <a16:creationId xmlns:a16="http://schemas.microsoft.com/office/drawing/2014/main" id="{40912EB8-D416-44D6-822E-079B397C0A13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4" name="$E$174">
            <a:extLst>
              <a:ext uri="{FF2B5EF4-FFF2-40B4-BE49-F238E27FC236}">
                <a16:creationId xmlns:a16="http://schemas.microsoft.com/office/drawing/2014/main" id="{91E48880-E9BE-4A2C-A23A-80D06ACC6214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5" name="$E$174">
            <a:extLst>
              <a:ext uri="{FF2B5EF4-FFF2-40B4-BE49-F238E27FC236}">
                <a16:creationId xmlns:a16="http://schemas.microsoft.com/office/drawing/2014/main" id="{B9AAF8F1-92A5-4D72-A232-8C18549A5DB1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6" name="$E$174">
            <a:extLst>
              <a:ext uri="{FF2B5EF4-FFF2-40B4-BE49-F238E27FC236}">
                <a16:creationId xmlns:a16="http://schemas.microsoft.com/office/drawing/2014/main" id="{12CBBF07-1462-4221-8FA6-628F0C814043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7" name="$E$174">
            <a:extLst>
              <a:ext uri="{FF2B5EF4-FFF2-40B4-BE49-F238E27FC236}">
                <a16:creationId xmlns:a16="http://schemas.microsoft.com/office/drawing/2014/main" id="{88B74576-C77B-4A8A-820B-FF832DE6BC92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8" name="$E$174">
            <a:extLst>
              <a:ext uri="{FF2B5EF4-FFF2-40B4-BE49-F238E27FC236}">
                <a16:creationId xmlns:a16="http://schemas.microsoft.com/office/drawing/2014/main" id="{CC10D2F4-B89B-456F-B0E6-6C5CB4D56609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9" name="$E$174">
            <a:extLst>
              <a:ext uri="{FF2B5EF4-FFF2-40B4-BE49-F238E27FC236}">
                <a16:creationId xmlns:a16="http://schemas.microsoft.com/office/drawing/2014/main" id="{FA542CD0-5835-4ACE-B146-192A34C0C0B5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0" name="$E$174">
            <a:extLst>
              <a:ext uri="{FF2B5EF4-FFF2-40B4-BE49-F238E27FC236}">
                <a16:creationId xmlns:a16="http://schemas.microsoft.com/office/drawing/2014/main" id="{176D49C0-9040-4195-B71F-94F0AB03F337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1" name="$E$174">
            <a:extLst>
              <a:ext uri="{FF2B5EF4-FFF2-40B4-BE49-F238E27FC236}">
                <a16:creationId xmlns:a16="http://schemas.microsoft.com/office/drawing/2014/main" id="{A21FF3B9-CADE-4191-B3ED-D511D4D21F93}"/>
              </a:ext>
            </a:extLst>
          </xdr:cNvPr>
          <xdr:cNvSpPr/>
        </xdr:nvSpPr>
        <xdr:spPr>
          <a:xfrm>
            <a:off x="368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2" name="$E$174">
            <a:extLst>
              <a:ext uri="{FF2B5EF4-FFF2-40B4-BE49-F238E27FC236}">
                <a16:creationId xmlns:a16="http://schemas.microsoft.com/office/drawing/2014/main" id="{3E4EEF20-D36F-49A2-BD19-DE6023356729}"/>
              </a:ext>
            </a:extLst>
          </xdr:cNvPr>
          <xdr:cNvSpPr/>
        </xdr:nvSpPr>
        <xdr:spPr>
          <a:xfrm>
            <a:off x="431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3" name="$E$174">
            <a:extLst>
              <a:ext uri="{FF2B5EF4-FFF2-40B4-BE49-F238E27FC236}">
                <a16:creationId xmlns:a16="http://schemas.microsoft.com/office/drawing/2014/main" id="{0592351A-2B1E-465A-8F0C-90148F8BD0DA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4" name="$E$174">
            <a:extLst>
              <a:ext uri="{FF2B5EF4-FFF2-40B4-BE49-F238E27FC236}">
                <a16:creationId xmlns:a16="http://schemas.microsoft.com/office/drawing/2014/main" id="{5A0D92A1-E611-4A80-A4B8-FC1FF513FE48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5" name="$E$174">
            <a:extLst>
              <a:ext uri="{FF2B5EF4-FFF2-40B4-BE49-F238E27FC236}">
                <a16:creationId xmlns:a16="http://schemas.microsoft.com/office/drawing/2014/main" id="{4C41EB41-4197-4D95-825E-8F9B2052DD5C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6" name="$E$174">
            <a:extLst>
              <a:ext uri="{FF2B5EF4-FFF2-40B4-BE49-F238E27FC236}">
                <a16:creationId xmlns:a16="http://schemas.microsoft.com/office/drawing/2014/main" id="{D4839780-7C65-48E0-9220-5D27528A083C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7" name="$E$174">
            <a:extLst>
              <a:ext uri="{FF2B5EF4-FFF2-40B4-BE49-F238E27FC236}">
                <a16:creationId xmlns:a16="http://schemas.microsoft.com/office/drawing/2014/main" id="{C92330CE-6447-4293-B49E-091A297E1265}"/>
              </a:ext>
            </a:extLst>
          </xdr:cNvPr>
          <xdr:cNvSpPr/>
        </xdr:nvSpPr>
        <xdr:spPr>
          <a:xfrm>
            <a:off x="127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8" name="$E$174">
            <a:extLst>
              <a:ext uri="{FF2B5EF4-FFF2-40B4-BE49-F238E27FC236}">
                <a16:creationId xmlns:a16="http://schemas.microsoft.com/office/drawing/2014/main" id="{BFF9E99F-D7A5-414F-AE1E-0D2CFE813073}"/>
              </a:ext>
            </a:extLst>
          </xdr:cNvPr>
          <xdr:cNvSpPr/>
        </xdr:nvSpPr>
        <xdr:spPr>
          <a:xfrm>
            <a:off x="152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9" name="$E$174">
            <a:extLst>
              <a:ext uri="{FF2B5EF4-FFF2-40B4-BE49-F238E27FC236}">
                <a16:creationId xmlns:a16="http://schemas.microsoft.com/office/drawing/2014/main" id="{8B505578-6DBC-4BA2-97E2-C2B0B1918AC9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0" name="$E$174">
            <a:extLst>
              <a:ext uri="{FF2B5EF4-FFF2-40B4-BE49-F238E27FC236}">
                <a16:creationId xmlns:a16="http://schemas.microsoft.com/office/drawing/2014/main" id="{482520BD-CA6D-40E7-BEFE-6F37F4ECBEF0}"/>
              </a:ext>
            </a:extLst>
          </xdr:cNvPr>
          <xdr:cNvSpPr/>
        </xdr:nvSpPr>
        <xdr:spPr>
          <a:xfrm>
            <a:off x="190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1" name="$E$174">
            <a:extLst>
              <a:ext uri="{FF2B5EF4-FFF2-40B4-BE49-F238E27FC236}">
                <a16:creationId xmlns:a16="http://schemas.microsoft.com/office/drawing/2014/main" id="{A1EB5FF2-4C30-4A6B-B7D8-1F73A127F4BE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2" name="$E$174">
            <a:extLst>
              <a:ext uri="{FF2B5EF4-FFF2-40B4-BE49-F238E27FC236}">
                <a16:creationId xmlns:a16="http://schemas.microsoft.com/office/drawing/2014/main" id="{0DE8EC0A-0E8F-471C-B637-63C1FF596BB5}"/>
              </a:ext>
            </a:extLst>
          </xdr:cNvPr>
          <xdr:cNvSpPr/>
        </xdr:nvSpPr>
        <xdr:spPr>
          <a:xfrm>
            <a:off x="241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3" name="$E$174">
            <a:extLst>
              <a:ext uri="{FF2B5EF4-FFF2-40B4-BE49-F238E27FC236}">
                <a16:creationId xmlns:a16="http://schemas.microsoft.com/office/drawing/2014/main" id="{D5158216-3DAA-424B-94EC-1766255C16F5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4" name="$E$174">
            <a:extLst>
              <a:ext uri="{FF2B5EF4-FFF2-40B4-BE49-F238E27FC236}">
                <a16:creationId xmlns:a16="http://schemas.microsoft.com/office/drawing/2014/main" id="{4874FFA3-719F-4DEA-A771-15C3E3F7FA6E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5" name="$E$174">
            <a:extLst>
              <a:ext uri="{FF2B5EF4-FFF2-40B4-BE49-F238E27FC236}">
                <a16:creationId xmlns:a16="http://schemas.microsoft.com/office/drawing/2014/main" id="{659DA35E-99C4-430C-8097-D66F562B02B4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6" name="$E$174">
            <a:extLst>
              <a:ext uri="{FF2B5EF4-FFF2-40B4-BE49-F238E27FC236}">
                <a16:creationId xmlns:a16="http://schemas.microsoft.com/office/drawing/2014/main" id="{10F551FA-6103-4427-B3E6-F0E0A478F686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7" name="$E$174">
            <a:extLst>
              <a:ext uri="{FF2B5EF4-FFF2-40B4-BE49-F238E27FC236}">
                <a16:creationId xmlns:a16="http://schemas.microsoft.com/office/drawing/2014/main" id="{7BF91E83-1187-416A-A01D-6352750A2CE8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8" name="$E$174">
            <a:extLst>
              <a:ext uri="{FF2B5EF4-FFF2-40B4-BE49-F238E27FC236}">
                <a16:creationId xmlns:a16="http://schemas.microsoft.com/office/drawing/2014/main" id="{63BCEB87-9E4D-45A4-83B0-8751F5B43195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9" name="$E$174">
            <a:extLst>
              <a:ext uri="{FF2B5EF4-FFF2-40B4-BE49-F238E27FC236}">
                <a16:creationId xmlns:a16="http://schemas.microsoft.com/office/drawing/2014/main" id="{8D03AF8A-1EE8-4D39-8150-8B54F669D862}"/>
              </a:ext>
            </a:extLst>
          </xdr:cNvPr>
          <xdr:cNvSpPr/>
        </xdr:nvSpPr>
        <xdr:spPr>
          <a:xfrm>
            <a:off x="419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0" name="$E$174">
            <a:extLst>
              <a:ext uri="{FF2B5EF4-FFF2-40B4-BE49-F238E27FC236}">
                <a16:creationId xmlns:a16="http://schemas.microsoft.com/office/drawing/2014/main" id="{8A321014-4F59-4647-8F69-38D6C73B6133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1" name="$E$174">
            <a:extLst>
              <a:ext uri="{FF2B5EF4-FFF2-40B4-BE49-F238E27FC236}">
                <a16:creationId xmlns:a16="http://schemas.microsoft.com/office/drawing/2014/main" id="{05D0E0CC-F1E2-4549-AA2F-36625B89D48F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2" name="$E$174">
            <a:extLst>
              <a:ext uri="{FF2B5EF4-FFF2-40B4-BE49-F238E27FC236}">
                <a16:creationId xmlns:a16="http://schemas.microsoft.com/office/drawing/2014/main" id="{1CD67CAE-A6C6-4043-94BF-3729A1016927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3" name="$E$174">
            <a:extLst>
              <a:ext uri="{FF2B5EF4-FFF2-40B4-BE49-F238E27FC236}">
                <a16:creationId xmlns:a16="http://schemas.microsoft.com/office/drawing/2014/main" id="{C51E49FF-451C-4EC3-87AC-BF1606E6C747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4" name="$E$174">
            <a:extLst>
              <a:ext uri="{FF2B5EF4-FFF2-40B4-BE49-F238E27FC236}">
                <a16:creationId xmlns:a16="http://schemas.microsoft.com/office/drawing/2014/main" id="{FD85B1BE-4F90-4FB3-B6D1-92C3E8EB74BA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5" name="$E$174">
            <a:extLst>
              <a:ext uri="{FF2B5EF4-FFF2-40B4-BE49-F238E27FC236}">
                <a16:creationId xmlns:a16="http://schemas.microsoft.com/office/drawing/2014/main" id="{ED87F57F-55DB-4688-9B1C-0BF793BEE02F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6" name="$E$174">
            <a:extLst>
              <a:ext uri="{FF2B5EF4-FFF2-40B4-BE49-F238E27FC236}">
                <a16:creationId xmlns:a16="http://schemas.microsoft.com/office/drawing/2014/main" id="{FB0C388C-BE6F-4573-BF4C-808164ECD55D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7" name="$E$174">
            <a:extLst>
              <a:ext uri="{FF2B5EF4-FFF2-40B4-BE49-F238E27FC236}">
                <a16:creationId xmlns:a16="http://schemas.microsoft.com/office/drawing/2014/main" id="{C4407FA6-5BB9-4BA6-96BB-6AF84200719A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8" name="$E$174">
            <a:extLst>
              <a:ext uri="{FF2B5EF4-FFF2-40B4-BE49-F238E27FC236}">
                <a16:creationId xmlns:a16="http://schemas.microsoft.com/office/drawing/2014/main" id="{CD5BAB68-73FC-42CF-ADDC-8EB950ECD0DE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9" name="$E$174">
            <a:extLst>
              <a:ext uri="{FF2B5EF4-FFF2-40B4-BE49-F238E27FC236}">
                <a16:creationId xmlns:a16="http://schemas.microsoft.com/office/drawing/2014/main" id="{ACD3CEB3-C83A-4346-BDF0-2FE5809AABF1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0" name="$E$174">
            <a:extLst>
              <a:ext uri="{FF2B5EF4-FFF2-40B4-BE49-F238E27FC236}">
                <a16:creationId xmlns:a16="http://schemas.microsoft.com/office/drawing/2014/main" id="{1832E2EB-373D-4078-924E-271ACE507178}"/>
              </a:ext>
            </a:extLst>
          </xdr:cNvPr>
          <xdr:cNvSpPr/>
        </xdr:nvSpPr>
        <xdr:spPr>
          <a:xfrm>
            <a:off x="165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1" name="$E$174">
            <a:extLst>
              <a:ext uri="{FF2B5EF4-FFF2-40B4-BE49-F238E27FC236}">
                <a16:creationId xmlns:a16="http://schemas.microsoft.com/office/drawing/2014/main" id="{94057E37-1B8A-4B89-8DFC-30D77BD5F5CB}"/>
              </a:ext>
            </a:extLst>
          </xdr:cNvPr>
          <xdr:cNvSpPr/>
        </xdr:nvSpPr>
        <xdr:spPr>
          <a:xfrm>
            <a:off x="203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2" name="$E$174">
            <a:extLst>
              <a:ext uri="{FF2B5EF4-FFF2-40B4-BE49-F238E27FC236}">
                <a16:creationId xmlns:a16="http://schemas.microsoft.com/office/drawing/2014/main" id="{53048D4F-B033-47E3-9293-695378021F2B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3" name="$E$174">
            <a:extLst>
              <a:ext uri="{FF2B5EF4-FFF2-40B4-BE49-F238E27FC236}">
                <a16:creationId xmlns:a16="http://schemas.microsoft.com/office/drawing/2014/main" id="{88ABE77C-352F-4D71-8EBF-1F7184C280C0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4" name="$E$174">
            <a:extLst>
              <a:ext uri="{FF2B5EF4-FFF2-40B4-BE49-F238E27FC236}">
                <a16:creationId xmlns:a16="http://schemas.microsoft.com/office/drawing/2014/main" id="{BA46E6DD-BF94-4B5E-993E-B9A836970D4C}"/>
              </a:ext>
            </a:extLst>
          </xdr:cNvPr>
          <xdr:cNvSpPr/>
        </xdr:nvSpPr>
        <xdr:spPr>
          <a:xfrm>
            <a:off x="254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5" name="$E$174">
            <a:extLst>
              <a:ext uri="{FF2B5EF4-FFF2-40B4-BE49-F238E27FC236}">
                <a16:creationId xmlns:a16="http://schemas.microsoft.com/office/drawing/2014/main" id="{E9EA7254-96B5-4E6A-8C66-1FB3E4947267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6" name="$E$174">
            <a:extLst>
              <a:ext uri="{FF2B5EF4-FFF2-40B4-BE49-F238E27FC236}">
                <a16:creationId xmlns:a16="http://schemas.microsoft.com/office/drawing/2014/main" id="{E3670DE0-5A29-4F4A-BFC4-BCE8B1CA1B7F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7" name="$E$174">
            <a:extLst>
              <a:ext uri="{FF2B5EF4-FFF2-40B4-BE49-F238E27FC236}">
                <a16:creationId xmlns:a16="http://schemas.microsoft.com/office/drawing/2014/main" id="{2DEEE8E2-DAE4-450F-A47C-373FE5845D7D}"/>
              </a:ext>
            </a:extLst>
          </xdr:cNvPr>
          <xdr:cNvSpPr/>
        </xdr:nvSpPr>
        <xdr:spPr>
          <a:xfrm>
            <a:off x="355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8" name="$E$174">
            <a:extLst>
              <a:ext uri="{FF2B5EF4-FFF2-40B4-BE49-F238E27FC236}">
                <a16:creationId xmlns:a16="http://schemas.microsoft.com/office/drawing/2014/main" id="{1F9C3B0E-0489-4065-A030-7711F4FD321D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9" name="$E$174">
            <a:extLst>
              <a:ext uri="{FF2B5EF4-FFF2-40B4-BE49-F238E27FC236}">
                <a16:creationId xmlns:a16="http://schemas.microsoft.com/office/drawing/2014/main" id="{FAD3991D-FA52-4C1E-A75A-BE2F930CFCB0}"/>
              </a:ext>
            </a:extLst>
          </xdr:cNvPr>
          <xdr:cNvSpPr/>
        </xdr:nvSpPr>
        <xdr:spPr>
          <a:xfrm>
            <a:off x="393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0" name="$E$174">
            <a:extLst>
              <a:ext uri="{FF2B5EF4-FFF2-40B4-BE49-F238E27FC236}">
                <a16:creationId xmlns:a16="http://schemas.microsoft.com/office/drawing/2014/main" id="{3AEBD270-F66F-4453-96B8-9F07791A411B}"/>
              </a:ext>
            </a:extLst>
          </xdr:cNvPr>
          <xdr:cNvSpPr/>
        </xdr:nvSpPr>
        <xdr:spPr>
          <a:xfrm>
            <a:off x="419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1" name="$E$174">
            <a:extLst>
              <a:ext uri="{FF2B5EF4-FFF2-40B4-BE49-F238E27FC236}">
                <a16:creationId xmlns:a16="http://schemas.microsoft.com/office/drawing/2014/main" id="{8873F86B-F29E-4BDD-876F-DCB93FF47E34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164</xdr:row>
      <xdr:rowOff>45851</xdr:rowOff>
    </xdr:from>
    <xdr:to>
      <xdr:col>4</xdr:col>
      <xdr:colOff>1559107</xdr:colOff>
      <xdr:row>164</xdr:row>
      <xdr:rowOff>1506714</xdr:rowOff>
    </xdr:to>
    <xdr:grpSp>
      <xdr:nvGrpSpPr>
        <xdr:cNvPr id="7500" name="$E$165" descr="QuickResponse barcode, level L, version 4, mode binary, 33x33 cells" title="https://centrodecapacitaciondelsur.com/violencia-sexual-1085272026/">
          <a:extLst>
            <a:ext uri="{FF2B5EF4-FFF2-40B4-BE49-F238E27FC236}">
              <a16:creationId xmlns:a16="http://schemas.microsoft.com/office/drawing/2014/main" id="{1F41F147-4E58-4F5D-8107-8B5B7EE46995}"/>
            </a:ext>
          </a:extLst>
        </xdr:cNvPr>
        <xdr:cNvGrpSpPr>
          <a:grpSpLocks noChangeAspect="1"/>
        </xdr:cNvGrpSpPr>
      </xdr:nvGrpSpPr>
      <xdr:grpSpPr>
        <a:xfrm>
          <a:off x="20672244" y="204795251"/>
          <a:ext cx="1460863" cy="1460863"/>
          <a:chOff x="0" y="0"/>
          <a:chExt cx="419100" cy="419100"/>
        </a:xfrm>
      </xdr:grpSpPr>
      <xdr:sp macro="" textlink="">
        <xdr:nvSpPr>
          <xdr:cNvPr id="6963" name="$E$165">
            <a:extLst>
              <a:ext uri="{FF2B5EF4-FFF2-40B4-BE49-F238E27FC236}">
                <a16:creationId xmlns:a16="http://schemas.microsoft.com/office/drawing/2014/main" id="{BB5C6B3B-7127-481D-AD71-BA1043B4FBAC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4" name="$E$165">
            <a:extLst>
              <a:ext uri="{FF2B5EF4-FFF2-40B4-BE49-F238E27FC236}">
                <a16:creationId xmlns:a16="http://schemas.microsoft.com/office/drawing/2014/main" id="{6D8B9B0B-1A1C-44BC-848F-CA6705C19835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5" name="$E$165">
            <a:extLst>
              <a:ext uri="{FF2B5EF4-FFF2-40B4-BE49-F238E27FC236}">
                <a16:creationId xmlns:a16="http://schemas.microsoft.com/office/drawing/2014/main" id="{EE5377AB-4515-49FA-90EB-642B928EDA8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6" name="$E$165">
            <a:extLst>
              <a:ext uri="{FF2B5EF4-FFF2-40B4-BE49-F238E27FC236}">
                <a16:creationId xmlns:a16="http://schemas.microsoft.com/office/drawing/2014/main" id="{F2014475-8552-4A1D-BB91-8C6D12F4F56A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7" name="$E$165">
            <a:extLst>
              <a:ext uri="{FF2B5EF4-FFF2-40B4-BE49-F238E27FC236}">
                <a16:creationId xmlns:a16="http://schemas.microsoft.com/office/drawing/2014/main" id="{A6FEB0B1-9AFD-465A-AC40-4E16F43D3C6B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8" name="$E$165">
            <a:extLst>
              <a:ext uri="{FF2B5EF4-FFF2-40B4-BE49-F238E27FC236}">
                <a16:creationId xmlns:a16="http://schemas.microsoft.com/office/drawing/2014/main" id="{35ED89AF-4B6D-4580-880F-DD7321859CE3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9" name="$E$165">
            <a:extLst>
              <a:ext uri="{FF2B5EF4-FFF2-40B4-BE49-F238E27FC236}">
                <a16:creationId xmlns:a16="http://schemas.microsoft.com/office/drawing/2014/main" id="{38E4FA5C-6993-4B33-9FD3-80C3020336FA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0" name="$E$165">
            <a:extLst>
              <a:ext uri="{FF2B5EF4-FFF2-40B4-BE49-F238E27FC236}">
                <a16:creationId xmlns:a16="http://schemas.microsoft.com/office/drawing/2014/main" id="{9D079B4B-EFA6-4757-8873-B655D8F469D1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1" name="$E$165">
            <a:extLst>
              <a:ext uri="{FF2B5EF4-FFF2-40B4-BE49-F238E27FC236}">
                <a16:creationId xmlns:a16="http://schemas.microsoft.com/office/drawing/2014/main" id="{00F53921-6968-41DF-A9BA-92D3DAD15DFC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2" name="$E$165">
            <a:extLst>
              <a:ext uri="{FF2B5EF4-FFF2-40B4-BE49-F238E27FC236}">
                <a16:creationId xmlns:a16="http://schemas.microsoft.com/office/drawing/2014/main" id="{D33AF594-B80C-457E-8668-237956A9917D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3" name="$E$165">
            <a:extLst>
              <a:ext uri="{FF2B5EF4-FFF2-40B4-BE49-F238E27FC236}">
                <a16:creationId xmlns:a16="http://schemas.microsoft.com/office/drawing/2014/main" id="{7EA12B94-AE0A-4469-AB04-35151ADE6424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4" name="$E$165">
            <a:extLst>
              <a:ext uri="{FF2B5EF4-FFF2-40B4-BE49-F238E27FC236}">
                <a16:creationId xmlns:a16="http://schemas.microsoft.com/office/drawing/2014/main" id="{9D6A505E-F745-4094-8DD1-BF9EC7EA5B9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5" name="$E$165">
            <a:extLst>
              <a:ext uri="{FF2B5EF4-FFF2-40B4-BE49-F238E27FC236}">
                <a16:creationId xmlns:a16="http://schemas.microsoft.com/office/drawing/2014/main" id="{26B886F7-AEDB-4778-A7FA-872A649B6748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6" name="$E$165">
            <a:extLst>
              <a:ext uri="{FF2B5EF4-FFF2-40B4-BE49-F238E27FC236}">
                <a16:creationId xmlns:a16="http://schemas.microsoft.com/office/drawing/2014/main" id="{80217AFE-ADDF-4D77-84B0-AE7C2783C49E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7" name="$E$165">
            <a:extLst>
              <a:ext uri="{FF2B5EF4-FFF2-40B4-BE49-F238E27FC236}">
                <a16:creationId xmlns:a16="http://schemas.microsoft.com/office/drawing/2014/main" id="{4AE41C73-7EAD-431F-AFC2-770F3A5710A7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8" name="$E$165">
            <a:extLst>
              <a:ext uri="{FF2B5EF4-FFF2-40B4-BE49-F238E27FC236}">
                <a16:creationId xmlns:a16="http://schemas.microsoft.com/office/drawing/2014/main" id="{4511D9C1-70EA-4680-8DD8-02A435BAF84E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9" name="$E$165">
            <a:extLst>
              <a:ext uri="{FF2B5EF4-FFF2-40B4-BE49-F238E27FC236}">
                <a16:creationId xmlns:a16="http://schemas.microsoft.com/office/drawing/2014/main" id="{36E1642A-7150-40DD-855C-0DCDA065D8AA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0" name="$E$165">
            <a:extLst>
              <a:ext uri="{FF2B5EF4-FFF2-40B4-BE49-F238E27FC236}">
                <a16:creationId xmlns:a16="http://schemas.microsoft.com/office/drawing/2014/main" id="{456FDD57-B08B-47CB-8387-5F6FE75D1CB4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1" name="$E$165">
            <a:extLst>
              <a:ext uri="{FF2B5EF4-FFF2-40B4-BE49-F238E27FC236}">
                <a16:creationId xmlns:a16="http://schemas.microsoft.com/office/drawing/2014/main" id="{1FB2C3CA-5FF4-4D73-B79C-B8D8A160EC9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2" name="$E$165">
            <a:extLst>
              <a:ext uri="{FF2B5EF4-FFF2-40B4-BE49-F238E27FC236}">
                <a16:creationId xmlns:a16="http://schemas.microsoft.com/office/drawing/2014/main" id="{25C04A4D-9142-4E64-807A-24AEF118686C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3" name="$E$165">
            <a:extLst>
              <a:ext uri="{FF2B5EF4-FFF2-40B4-BE49-F238E27FC236}">
                <a16:creationId xmlns:a16="http://schemas.microsoft.com/office/drawing/2014/main" id="{89532835-B1B8-43E0-868F-5A303EE24C21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4" name="$E$165">
            <a:extLst>
              <a:ext uri="{FF2B5EF4-FFF2-40B4-BE49-F238E27FC236}">
                <a16:creationId xmlns:a16="http://schemas.microsoft.com/office/drawing/2014/main" id="{66CC8EEC-EBB4-4232-8137-F2759B02D34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5" name="$E$165">
            <a:extLst>
              <a:ext uri="{FF2B5EF4-FFF2-40B4-BE49-F238E27FC236}">
                <a16:creationId xmlns:a16="http://schemas.microsoft.com/office/drawing/2014/main" id="{9C61EF6C-BC01-4832-A173-169FC59ADE8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6" name="$E$165">
            <a:extLst>
              <a:ext uri="{FF2B5EF4-FFF2-40B4-BE49-F238E27FC236}">
                <a16:creationId xmlns:a16="http://schemas.microsoft.com/office/drawing/2014/main" id="{F144B5AA-F15B-436E-AB24-1D82A3E2561A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7" name="$E$165">
            <a:extLst>
              <a:ext uri="{FF2B5EF4-FFF2-40B4-BE49-F238E27FC236}">
                <a16:creationId xmlns:a16="http://schemas.microsoft.com/office/drawing/2014/main" id="{E2DDE593-3165-41A5-B721-C067EE05998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8" name="$E$165">
            <a:extLst>
              <a:ext uri="{FF2B5EF4-FFF2-40B4-BE49-F238E27FC236}">
                <a16:creationId xmlns:a16="http://schemas.microsoft.com/office/drawing/2014/main" id="{186C38B9-7681-4C2E-81CD-EA8A648E826E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9" name="$E$165">
            <a:extLst>
              <a:ext uri="{FF2B5EF4-FFF2-40B4-BE49-F238E27FC236}">
                <a16:creationId xmlns:a16="http://schemas.microsoft.com/office/drawing/2014/main" id="{02E08893-DA60-4E14-9578-02C3885A7E18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0" name="$E$165">
            <a:extLst>
              <a:ext uri="{FF2B5EF4-FFF2-40B4-BE49-F238E27FC236}">
                <a16:creationId xmlns:a16="http://schemas.microsoft.com/office/drawing/2014/main" id="{7B118CAF-6F24-42E7-BEB5-5C8C553F32D4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1" name="$E$165">
            <a:extLst>
              <a:ext uri="{FF2B5EF4-FFF2-40B4-BE49-F238E27FC236}">
                <a16:creationId xmlns:a16="http://schemas.microsoft.com/office/drawing/2014/main" id="{7E01F3B4-8D7C-4A53-81A3-8F3F0D82D679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2" name="$E$165">
            <a:extLst>
              <a:ext uri="{FF2B5EF4-FFF2-40B4-BE49-F238E27FC236}">
                <a16:creationId xmlns:a16="http://schemas.microsoft.com/office/drawing/2014/main" id="{989BC3C9-A8AD-4077-8014-2B3F57998BEA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3" name="$E$165">
            <a:extLst>
              <a:ext uri="{FF2B5EF4-FFF2-40B4-BE49-F238E27FC236}">
                <a16:creationId xmlns:a16="http://schemas.microsoft.com/office/drawing/2014/main" id="{017AE66A-DC83-415D-A410-AE657B12677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4" name="$E$165">
            <a:extLst>
              <a:ext uri="{FF2B5EF4-FFF2-40B4-BE49-F238E27FC236}">
                <a16:creationId xmlns:a16="http://schemas.microsoft.com/office/drawing/2014/main" id="{C336480B-028D-457B-BA02-1F039FCEB7E6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5" name="$E$165">
            <a:extLst>
              <a:ext uri="{FF2B5EF4-FFF2-40B4-BE49-F238E27FC236}">
                <a16:creationId xmlns:a16="http://schemas.microsoft.com/office/drawing/2014/main" id="{7F52584A-B907-4A26-AFC9-036F133FD145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6" name="$E$165">
            <a:extLst>
              <a:ext uri="{FF2B5EF4-FFF2-40B4-BE49-F238E27FC236}">
                <a16:creationId xmlns:a16="http://schemas.microsoft.com/office/drawing/2014/main" id="{40A90F79-DD89-4B4A-83AD-3599212D52BB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7" name="$E$165">
            <a:extLst>
              <a:ext uri="{FF2B5EF4-FFF2-40B4-BE49-F238E27FC236}">
                <a16:creationId xmlns:a16="http://schemas.microsoft.com/office/drawing/2014/main" id="{A326E5E6-1488-4277-AB18-637D8A82DDDB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8" name="$E$165">
            <a:extLst>
              <a:ext uri="{FF2B5EF4-FFF2-40B4-BE49-F238E27FC236}">
                <a16:creationId xmlns:a16="http://schemas.microsoft.com/office/drawing/2014/main" id="{A317B69A-FD9A-4A6F-86C0-C4BD0D49925D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9" name="$E$165">
            <a:extLst>
              <a:ext uri="{FF2B5EF4-FFF2-40B4-BE49-F238E27FC236}">
                <a16:creationId xmlns:a16="http://schemas.microsoft.com/office/drawing/2014/main" id="{6BE0381D-F222-4B2A-9D77-2F6E3EAFC442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0" name="$E$165">
            <a:extLst>
              <a:ext uri="{FF2B5EF4-FFF2-40B4-BE49-F238E27FC236}">
                <a16:creationId xmlns:a16="http://schemas.microsoft.com/office/drawing/2014/main" id="{B2C5CC4B-05C1-4BC3-8439-073BDDD67C75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1" name="$E$165">
            <a:extLst>
              <a:ext uri="{FF2B5EF4-FFF2-40B4-BE49-F238E27FC236}">
                <a16:creationId xmlns:a16="http://schemas.microsoft.com/office/drawing/2014/main" id="{67F3BC4C-C92C-4C8E-9043-4D21A5BC2B78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2" name="$E$165">
            <a:extLst>
              <a:ext uri="{FF2B5EF4-FFF2-40B4-BE49-F238E27FC236}">
                <a16:creationId xmlns:a16="http://schemas.microsoft.com/office/drawing/2014/main" id="{B5088418-D9B6-44FC-A963-046E24F13B1F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3" name="$E$165">
            <a:extLst>
              <a:ext uri="{FF2B5EF4-FFF2-40B4-BE49-F238E27FC236}">
                <a16:creationId xmlns:a16="http://schemas.microsoft.com/office/drawing/2014/main" id="{6F5AB538-7DFA-4069-805B-ACC51DC29192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4" name="$E$165">
            <a:extLst>
              <a:ext uri="{FF2B5EF4-FFF2-40B4-BE49-F238E27FC236}">
                <a16:creationId xmlns:a16="http://schemas.microsoft.com/office/drawing/2014/main" id="{E6CDDCAF-2F69-4FE7-B751-7085974AAC8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5" name="$E$165">
            <a:extLst>
              <a:ext uri="{FF2B5EF4-FFF2-40B4-BE49-F238E27FC236}">
                <a16:creationId xmlns:a16="http://schemas.microsoft.com/office/drawing/2014/main" id="{12FF4973-27BF-4406-B883-531D1D200997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6" name="$E$165">
            <a:extLst>
              <a:ext uri="{FF2B5EF4-FFF2-40B4-BE49-F238E27FC236}">
                <a16:creationId xmlns:a16="http://schemas.microsoft.com/office/drawing/2014/main" id="{329A1424-7CA5-46D3-BCDF-703BA2E75603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7" name="$E$165">
            <a:extLst>
              <a:ext uri="{FF2B5EF4-FFF2-40B4-BE49-F238E27FC236}">
                <a16:creationId xmlns:a16="http://schemas.microsoft.com/office/drawing/2014/main" id="{EB4BF79A-F651-4697-A429-B0D499772D15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8" name="$E$165">
            <a:extLst>
              <a:ext uri="{FF2B5EF4-FFF2-40B4-BE49-F238E27FC236}">
                <a16:creationId xmlns:a16="http://schemas.microsoft.com/office/drawing/2014/main" id="{C8104BE1-8F1B-49D4-8DAB-CEEA0CBC4F6D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9" name="$E$165">
            <a:extLst>
              <a:ext uri="{FF2B5EF4-FFF2-40B4-BE49-F238E27FC236}">
                <a16:creationId xmlns:a16="http://schemas.microsoft.com/office/drawing/2014/main" id="{B68FBA4B-1B16-4F04-9038-E87083CF5521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0" name="$E$165">
            <a:extLst>
              <a:ext uri="{FF2B5EF4-FFF2-40B4-BE49-F238E27FC236}">
                <a16:creationId xmlns:a16="http://schemas.microsoft.com/office/drawing/2014/main" id="{E1B05464-F9C8-4061-A880-E575EF18C5AE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1" name="$E$165">
            <a:extLst>
              <a:ext uri="{FF2B5EF4-FFF2-40B4-BE49-F238E27FC236}">
                <a16:creationId xmlns:a16="http://schemas.microsoft.com/office/drawing/2014/main" id="{C6AF3425-0B3D-4143-BDEB-AB0463A61C0D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2" name="$E$165">
            <a:extLst>
              <a:ext uri="{FF2B5EF4-FFF2-40B4-BE49-F238E27FC236}">
                <a16:creationId xmlns:a16="http://schemas.microsoft.com/office/drawing/2014/main" id="{8298CD46-62F4-425B-B69F-08A939DA7552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3" name="$E$165">
            <a:extLst>
              <a:ext uri="{FF2B5EF4-FFF2-40B4-BE49-F238E27FC236}">
                <a16:creationId xmlns:a16="http://schemas.microsoft.com/office/drawing/2014/main" id="{F5657BE2-BD6B-4B43-A42E-C8C21784101A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4" name="$E$165">
            <a:extLst>
              <a:ext uri="{FF2B5EF4-FFF2-40B4-BE49-F238E27FC236}">
                <a16:creationId xmlns:a16="http://schemas.microsoft.com/office/drawing/2014/main" id="{E92FC5CF-E206-4DDC-959F-70B5F61C307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5" name="$E$165">
            <a:extLst>
              <a:ext uri="{FF2B5EF4-FFF2-40B4-BE49-F238E27FC236}">
                <a16:creationId xmlns:a16="http://schemas.microsoft.com/office/drawing/2014/main" id="{418C031A-B6C8-4C34-9143-10A28B6FB7C8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6" name="$E$165">
            <a:extLst>
              <a:ext uri="{FF2B5EF4-FFF2-40B4-BE49-F238E27FC236}">
                <a16:creationId xmlns:a16="http://schemas.microsoft.com/office/drawing/2014/main" id="{A5CFA201-A40B-4280-ABCD-5369C9DDF04E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7" name="$E$165">
            <a:extLst>
              <a:ext uri="{FF2B5EF4-FFF2-40B4-BE49-F238E27FC236}">
                <a16:creationId xmlns:a16="http://schemas.microsoft.com/office/drawing/2014/main" id="{DB4D5BAA-37CC-40DE-92F3-743AB08028C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8" name="$E$165">
            <a:extLst>
              <a:ext uri="{FF2B5EF4-FFF2-40B4-BE49-F238E27FC236}">
                <a16:creationId xmlns:a16="http://schemas.microsoft.com/office/drawing/2014/main" id="{157758DE-EF65-4210-8FB3-425229FEF251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9" name="$E$165">
            <a:extLst>
              <a:ext uri="{FF2B5EF4-FFF2-40B4-BE49-F238E27FC236}">
                <a16:creationId xmlns:a16="http://schemas.microsoft.com/office/drawing/2014/main" id="{3DC6EE6A-2241-4F48-AB18-AF6B29265A14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0" name="$E$165">
            <a:extLst>
              <a:ext uri="{FF2B5EF4-FFF2-40B4-BE49-F238E27FC236}">
                <a16:creationId xmlns:a16="http://schemas.microsoft.com/office/drawing/2014/main" id="{EEB34C86-7BE6-495D-8BF9-F84481F3C469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1" name="$E$165">
            <a:extLst>
              <a:ext uri="{FF2B5EF4-FFF2-40B4-BE49-F238E27FC236}">
                <a16:creationId xmlns:a16="http://schemas.microsoft.com/office/drawing/2014/main" id="{1E4A4220-F20B-4F06-8783-5A2EAA275E59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2" name="$E$165">
            <a:extLst>
              <a:ext uri="{FF2B5EF4-FFF2-40B4-BE49-F238E27FC236}">
                <a16:creationId xmlns:a16="http://schemas.microsoft.com/office/drawing/2014/main" id="{8302448D-80B5-4467-857D-0E88EC1CDD73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3" name="$E$165">
            <a:extLst>
              <a:ext uri="{FF2B5EF4-FFF2-40B4-BE49-F238E27FC236}">
                <a16:creationId xmlns:a16="http://schemas.microsoft.com/office/drawing/2014/main" id="{E9518DA0-C3FC-4BD2-8466-C40A51F03F29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4" name="$E$165">
            <a:extLst>
              <a:ext uri="{FF2B5EF4-FFF2-40B4-BE49-F238E27FC236}">
                <a16:creationId xmlns:a16="http://schemas.microsoft.com/office/drawing/2014/main" id="{295745C0-400C-45E0-B392-C21337E38FC6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5" name="$E$165">
            <a:extLst>
              <a:ext uri="{FF2B5EF4-FFF2-40B4-BE49-F238E27FC236}">
                <a16:creationId xmlns:a16="http://schemas.microsoft.com/office/drawing/2014/main" id="{4C488A0E-6367-4B0E-8EC8-FFFBAB8E5386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6" name="$E$165">
            <a:extLst>
              <a:ext uri="{FF2B5EF4-FFF2-40B4-BE49-F238E27FC236}">
                <a16:creationId xmlns:a16="http://schemas.microsoft.com/office/drawing/2014/main" id="{1401D2AD-F0E9-40BF-BE48-B3FC2EB7AFE8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7" name="$E$165">
            <a:extLst>
              <a:ext uri="{FF2B5EF4-FFF2-40B4-BE49-F238E27FC236}">
                <a16:creationId xmlns:a16="http://schemas.microsoft.com/office/drawing/2014/main" id="{76A8C06B-6C1A-45C5-94CF-AB60631E325D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8" name="$E$165">
            <a:extLst>
              <a:ext uri="{FF2B5EF4-FFF2-40B4-BE49-F238E27FC236}">
                <a16:creationId xmlns:a16="http://schemas.microsoft.com/office/drawing/2014/main" id="{CF5F993A-FFCD-4763-92CB-C19814CE0487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9" name="$E$165">
            <a:extLst>
              <a:ext uri="{FF2B5EF4-FFF2-40B4-BE49-F238E27FC236}">
                <a16:creationId xmlns:a16="http://schemas.microsoft.com/office/drawing/2014/main" id="{5D3A9DDF-9C54-42A1-96D9-567CED91B5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0" name="$E$165">
            <a:extLst>
              <a:ext uri="{FF2B5EF4-FFF2-40B4-BE49-F238E27FC236}">
                <a16:creationId xmlns:a16="http://schemas.microsoft.com/office/drawing/2014/main" id="{B5FA55C6-CDC5-487B-9CD5-1551A6AC05D7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1" name="$E$165">
            <a:extLst>
              <a:ext uri="{FF2B5EF4-FFF2-40B4-BE49-F238E27FC236}">
                <a16:creationId xmlns:a16="http://schemas.microsoft.com/office/drawing/2014/main" id="{D1BCD506-FB01-4E54-8CEE-036360D43E21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2" name="$E$165">
            <a:extLst>
              <a:ext uri="{FF2B5EF4-FFF2-40B4-BE49-F238E27FC236}">
                <a16:creationId xmlns:a16="http://schemas.microsoft.com/office/drawing/2014/main" id="{4CF17F9D-223D-4048-AB6D-94B5BC45ED2D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3" name="$E$165">
            <a:extLst>
              <a:ext uri="{FF2B5EF4-FFF2-40B4-BE49-F238E27FC236}">
                <a16:creationId xmlns:a16="http://schemas.microsoft.com/office/drawing/2014/main" id="{7A4E98B8-9965-4B93-8168-C21BDD8C16A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4" name="$E$165">
            <a:extLst>
              <a:ext uri="{FF2B5EF4-FFF2-40B4-BE49-F238E27FC236}">
                <a16:creationId xmlns:a16="http://schemas.microsoft.com/office/drawing/2014/main" id="{C4E939E5-DDE6-47D4-97C8-BDCE6496EE27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5" name="$E$165">
            <a:extLst>
              <a:ext uri="{FF2B5EF4-FFF2-40B4-BE49-F238E27FC236}">
                <a16:creationId xmlns:a16="http://schemas.microsoft.com/office/drawing/2014/main" id="{A625E85B-FB4C-4E86-81A2-99CF6AB4115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6" name="$E$165">
            <a:extLst>
              <a:ext uri="{FF2B5EF4-FFF2-40B4-BE49-F238E27FC236}">
                <a16:creationId xmlns:a16="http://schemas.microsoft.com/office/drawing/2014/main" id="{DFB3CE06-A1D0-4D75-94EF-D57F20504C65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7" name="$E$165">
            <a:extLst>
              <a:ext uri="{FF2B5EF4-FFF2-40B4-BE49-F238E27FC236}">
                <a16:creationId xmlns:a16="http://schemas.microsoft.com/office/drawing/2014/main" id="{EC899480-A134-44CE-9E95-850AD3E6AE93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8" name="$E$165">
            <a:extLst>
              <a:ext uri="{FF2B5EF4-FFF2-40B4-BE49-F238E27FC236}">
                <a16:creationId xmlns:a16="http://schemas.microsoft.com/office/drawing/2014/main" id="{858103E8-C012-4859-A2EF-C2306472F275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9" name="$E$165">
            <a:extLst>
              <a:ext uri="{FF2B5EF4-FFF2-40B4-BE49-F238E27FC236}">
                <a16:creationId xmlns:a16="http://schemas.microsoft.com/office/drawing/2014/main" id="{A71085AD-340E-47B6-82A6-B07826889634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0" name="$E$165">
            <a:extLst>
              <a:ext uri="{FF2B5EF4-FFF2-40B4-BE49-F238E27FC236}">
                <a16:creationId xmlns:a16="http://schemas.microsoft.com/office/drawing/2014/main" id="{89D42710-59CA-4FDE-AB51-A8CAE8B2824D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1" name="$E$165">
            <a:extLst>
              <a:ext uri="{FF2B5EF4-FFF2-40B4-BE49-F238E27FC236}">
                <a16:creationId xmlns:a16="http://schemas.microsoft.com/office/drawing/2014/main" id="{468975EF-7109-4C96-90F8-C3FB848251AB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2" name="$E$165">
            <a:extLst>
              <a:ext uri="{FF2B5EF4-FFF2-40B4-BE49-F238E27FC236}">
                <a16:creationId xmlns:a16="http://schemas.microsoft.com/office/drawing/2014/main" id="{E8D964DA-F1D7-4DF5-AB57-4681A1722E11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3" name="$E$165">
            <a:extLst>
              <a:ext uri="{FF2B5EF4-FFF2-40B4-BE49-F238E27FC236}">
                <a16:creationId xmlns:a16="http://schemas.microsoft.com/office/drawing/2014/main" id="{C0C511B4-F4F6-47DE-B1EE-F29E3ED3CFC7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4" name="$E$165">
            <a:extLst>
              <a:ext uri="{FF2B5EF4-FFF2-40B4-BE49-F238E27FC236}">
                <a16:creationId xmlns:a16="http://schemas.microsoft.com/office/drawing/2014/main" id="{AE3BC552-43F0-4A47-9BDE-56F6AF091916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5" name="$E$165">
            <a:extLst>
              <a:ext uri="{FF2B5EF4-FFF2-40B4-BE49-F238E27FC236}">
                <a16:creationId xmlns:a16="http://schemas.microsoft.com/office/drawing/2014/main" id="{6BE97010-EF7C-4180-84E4-E47083983351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6" name="$E$165">
            <a:extLst>
              <a:ext uri="{FF2B5EF4-FFF2-40B4-BE49-F238E27FC236}">
                <a16:creationId xmlns:a16="http://schemas.microsoft.com/office/drawing/2014/main" id="{56317694-2335-4076-858E-B5A8051B6986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7" name="$E$165">
            <a:extLst>
              <a:ext uri="{FF2B5EF4-FFF2-40B4-BE49-F238E27FC236}">
                <a16:creationId xmlns:a16="http://schemas.microsoft.com/office/drawing/2014/main" id="{190B4795-E7F2-47FC-B431-5D0CA50F1F9C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8" name="$E$165">
            <a:extLst>
              <a:ext uri="{FF2B5EF4-FFF2-40B4-BE49-F238E27FC236}">
                <a16:creationId xmlns:a16="http://schemas.microsoft.com/office/drawing/2014/main" id="{D2A08800-7AA3-46A3-848B-EFF7EF90F72D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9" name="$E$165">
            <a:extLst>
              <a:ext uri="{FF2B5EF4-FFF2-40B4-BE49-F238E27FC236}">
                <a16:creationId xmlns:a16="http://schemas.microsoft.com/office/drawing/2014/main" id="{09AB9BFC-6B8F-43DB-A06F-5195BDD5124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0" name="$E$165">
            <a:extLst>
              <a:ext uri="{FF2B5EF4-FFF2-40B4-BE49-F238E27FC236}">
                <a16:creationId xmlns:a16="http://schemas.microsoft.com/office/drawing/2014/main" id="{812750CD-6F18-4007-9022-CAF2A2B647D6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1" name="$E$165">
            <a:extLst>
              <a:ext uri="{FF2B5EF4-FFF2-40B4-BE49-F238E27FC236}">
                <a16:creationId xmlns:a16="http://schemas.microsoft.com/office/drawing/2014/main" id="{F7F90D8C-0969-4EBE-8267-DBEAADC535C5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2" name="$E$165">
            <a:extLst>
              <a:ext uri="{FF2B5EF4-FFF2-40B4-BE49-F238E27FC236}">
                <a16:creationId xmlns:a16="http://schemas.microsoft.com/office/drawing/2014/main" id="{FA83417F-83B7-4458-9EEF-BEE5B789A897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3" name="$E$165">
            <a:extLst>
              <a:ext uri="{FF2B5EF4-FFF2-40B4-BE49-F238E27FC236}">
                <a16:creationId xmlns:a16="http://schemas.microsoft.com/office/drawing/2014/main" id="{17E0076B-2D1D-445F-A320-4EC53079D7A9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4" name="$E$165">
            <a:extLst>
              <a:ext uri="{FF2B5EF4-FFF2-40B4-BE49-F238E27FC236}">
                <a16:creationId xmlns:a16="http://schemas.microsoft.com/office/drawing/2014/main" id="{EECC4999-271C-494D-97FE-6137E9F2E00F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5" name="$E$165">
            <a:extLst>
              <a:ext uri="{FF2B5EF4-FFF2-40B4-BE49-F238E27FC236}">
                <a16:creationId xmlns:a16="http://schemas.microsoft.com/office/drawing/2014/main" id="{6349E165-C314-414A-A083-002B8C8DF475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6" name="$E$165">
            <a:extLst>
              <a:ext uri="{FF2B5EF4-FFF2-40B4-BE49-F238E27FC236}">
                <a16:creationId xmlns:a16="http://schemas.microsoft.com/office/drawing/2014/main" id="{1B4064C6-8A66-4A4D-AAFC-F20840C8F20B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7" name="$E$165">
            <a:extLst>
              <a:ext uri="{FF2B5EF4-FFF2-40B4-BE49-F238E27FC236}">
                <a16:creationId xmlns:a16="http://schemas.microsoft.com/office/drawing/2014/main" id="{3575B257-681A-4F17-954F-3CD6B95E8C6A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8" name="$E$165">
            <a:extLst>
              <a:ext uri="{FF2B5EF4-FFF2-40B4-BE49-F238E27FC236}">
                <a16:creationId xmlns:a16="http://schemas.microsoft.com/office/drawing/2014/main" id="{B5FFA8EF-C252-4BB0-85F9-308261CB9D7D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9" name="$E$165">
            <a:extLst>
              <a:ext uri="{FF2B5EF4-FFF2-40B4-BE49-F238E27FC236}">
                <a16:creationId xmlns:a16="http://schemas.microsoft.com/office/drawing/2014/main" id="{E6606688-F9B4-49E9-841E-B5E78ABBF4AD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0" name="$E$165">
            <a:extLst>
              <a:ext uri="{FF2B5EF4-FFF2-40B4-BE49-F238E27FC236}">
                <a16:creationId xmlns:a16="http://schemas.microsoft.com/office/drawing/2014/main" id="{51562D50-7006-4359-8C23-BE2DEB8C91A7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1" name="$E$165">
            <a:extLst>
              <a:ext uri="{FF2B5EF4-FFF2-40B4-BE49-F238E27FC236}">
                <a16:creationId xmlns:a16="http://schemas.microsoft.com/office/drawing/2014/main" id="{59849C43-765E-42CF-9AF9-2504705DEE31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2" name="$E$165">
            <a:extLst>
              <a:ext uri="{FF2B5EF4-FFF2-40B4-BE49-F238E27FC236}">
                <a16:creationId xmlns:a16="http://schemas.microsoft.com/office/drawing/2014/main" id="{5EEF8758-7457-46AA-9404-F31792FCDA94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3" name="$E$165">
            <a:extLst>
              <a:ext uri="{FF2B5EF4-FFF2-40B4-BE49-F238E27FC236}">
                <a16:creationId xmlns:a16="http://schemas.microsoft.com/office/drawing/2014/main" id="{5FD4604C-3ADB-4604-8E00-A8A1DA5190A9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4" name="$E$165">
            <a:extLst>
              <a:ext uri="{FF2B5EF4-FFF2-40B4-BE49-F238E27FC236}">
                <a16:creationId xmlns:a16="http://schemas.microsoft.com/office/drawing/2014/main" id="{8FDAFAAB-73EE-4B2B-9CA5-311668F2C163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5" name="$E$165">
            <a:extLst>
              <a:ext uri="{FF2B5EF4-FFF2-40B4-BE49-F238E27FC236}">
                <a16:creationId xmlns:a16="http://schemas.microsoft.com/office/drawing/2014/main" id="{25BFB2E3-6450-4CF6-8CDF-275BE468044B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6" name="$E$165">
            <a:extLst>
              <a:ext uri="{FF2B5EF4-FFF2-40B4-BE49-F238E27FC236}">
                <a16:creationId xmlns:a16="http://schemas.microsoft.com/office/drawing/2014/main" id="{9F61AB95-7600-4B22-BD92-371053758815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7" name="$E$165">
            <a:extLst>
              <a:ext uri="{FF2B5EF4-FFF2-40B4-BE49-F238E27FC236}">
                <a16:creationId xmlns:a16="http://schemas.microsoft.com/office/drawing/2014/main" id="{3C5EAF5B-C59C-46AB-8B4D-C033AD6B0DC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8" name="$E$165">
            <a:extLst>
              <a:ext uri="{FF2B5EF4-FFF2-40B4-BE49-F238E27FC236}">
                <a16:creationId xmlns:a16="http://schemas.microsoft.com/office/drawing/2014/main" id="{171F098E-8852-4811-8B42-F1600FB4ED7C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9" name="$E$165">
            <a:extLst>
              <a:ext uri="{FF2B5EF4-FFF2-40B4-BE49-F238E27FC236}">
                <a16:creationId xmlns:a16="http://schemas.microsoft.com/office/drawing/2014/main" id="{86FCF40E-A62C-45DB-B8AF-9C4A2EEE7D56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0" name="$E$165">
            <a:extLst>
              <a:ext uri="{FF2B5EF4-FFF2-40B4-BE49-F238E27FC236}">
                <a16:creationId xmlns:a16="http://schemas.microsoft.com/office/drawing/2014/main" id="{054A2F3A-0A4F-45B1-AB99-8A4DDDF57A68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1" name="$E$165">
            <a:extLst>
              <a:ext uri="{FF2B5EF4-FFF2-40B4-BE49-F238E27FC236}">
                <a16:creationId xmlns:a16="http://schemas.microsoft.com/office/drawing/2014/main" id="{568D3AF8-128C-4143-A313-B70F520B1896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2" name="$E$165">
            <a:extLst>
              <a:ext uri="{FF2B5EF4-FFF2-40B4-BE49-F238E27FC236}">
                <a16:creationId xmlns:a16="http://schemas.microsoft.com/office/drawing/2014/main" id="{0216158B-6123-4D1A-9C5D-6594862C67DF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3" name="$E$165">
            <a:extLst>
              <a:ext uri="{FF2B5EF4-FFF2-40B4-BE49-F238E27FC236}">
                <a16:creationId xmlns:a16="http://schemas.microsoft.com/office/drawing/2014/main" id="{D92F955E-AC6A-470E-962A-B8EB4B409935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4" name="$E$165">
            <a:extLst>
              <a:ext uri="{FF2B5EF4-FFF2-40B4-BE49-F238E27FC236}">
                <a16:creationId xmlns:a16="http://schemas.microsoft.com/office/drawing/2014/main" id="{ADE930BE-52E9-4B98-9825-27E326F157CD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5" name="$E$165">
            <a:extLst>
              <a:ext uri="{FF2B5EF4-FFF2-40B4-BE49-F238E27FC236}">
                <a16:creationId xmlns:a16="http://schemas.microsoft.com/office/drawing/2014/main" id="{7F30CD49-C53E-43DA-8C26-7686782D5D4C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6" name="$E$165">
            <a:extLst>
              <a:ext uri="{FF2B5EF4-FFF2-40B4-BE49-F238E27FC236}">
                <a16:creationId xmlns:a16="http://schemas.microsoft.com/office/drawing/2014/main" id="{F6ACD91D-57DF-4725-B51C-B6C1266EF9C7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7" name="$E$165">
            <a:extLst>
              <a:ext uri="{FF2B5EF4-FFF2-40B4-BE49-F238E27FC236}">
                <a16:creationId xmlns:a16="http://schemas.microsoft.com/office/drawing/2014/main" id="{9294A134-129F-4A8F-92ED-88142DC20567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8" name="$E$165">
            <a:extLst>
              <a:ext uri="{FF2B5EF4-FFF2-40B4-BE49-F238E27FC236}">
                <a16:creationId xmlns:a16="http://schemas.microsoft.com/office/drawing/2014/main" id="{0264109C-2356-4A6E-BC7C-C081E2E3932A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9" name="$E$165">
            <a:extLst>
              <a:ext uri="{FF2B5EF4-FFF2-40B4-BE49-F238E27FC236}">
                <a16:creationId xmlns:a16="http://schemas.microsoft.com/office/drawing/2014/main" id="{91A2D239-A02A-4548-BA5A-98F75371C104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0" name="$E$165">
            <a:extLst>
              <a:ext uri="{FF2B5EF4-FFF2-40B4-BE49-F238E27FC236}">
                <a16:creationId xmlns:a16="http://schemas.microsoft.com/office/drawing/2014/main" id="{250AE95C-5A3F-4D7F-B661-C34B55B585B4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1" name="$E$165">
            <a:extLst>
              <a:ext uri="{FF2B5EF4-FFF2-40B4-BE49-F238E27FC236}">
                <a16:creationId xmlns:a16="http://schemas.microsoft.com/office/drawing/2014/main" id="{59E21076-47BC-4DFC-AFE9-7F975008441F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2" name="$E$165">
            <a:extLst>
              <a:ext uri="{FF2B5EF4-FFF2-40B4-BE49-F238E27FC236}">
                <a16:creationId xmlns:a16="http://schemas.microsoft.com/office/drawing/2014/main" id="{B114F265-5AA8-46D4-8C50-6E331C06CCA1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3" name="$E$165">
            <a:extLst>
              <a:ext uri="{FF2B5EF4-FFF2-40B4-BE49-F238E27FC236}">
                <a16:creationId xmlns:a16="http://schemas.microsoft.com/office/drawing/2014/main" id="{905CEADA-CE65-40B3-AFF9-AAE9751FAF29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4" name="$E$165">
            <a:extLst>
              <a:ext uri="{FF2B5EF4-FFF2-40B4-BE49-F238E27FC236}">
                <a16:creationId xmlns:a16="http://schemas.microsoft.com/office/drawing/2014/main" id="{70144826-B24A-41B7-8125-41F687FA828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5" name="$E$165">
            <a:extLst>
              <a:ext uri="{FF2B5EF4-FFF2-40B4-BE49-F238E27FC236}">
                <a16:creationId xmlns:a16="http://schemas.microsoft.com/office/drawing/2014/main" id="{17991371-F589-437B-A3C1-A954FE3B7A64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6" name="$E$165">
            <a:extLst>
              <a:ext uri="{FF2B5EF4-FFF2-40B4-BE49-F238E27FC236}">
                <a16:creationId xmlns:a16="http://schemas.microsoft.com/office/drawing/2014/main" id="{3E2C3F39-77BF-432B-9A17-026778683B48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7" name="$E$165">
            <a:extLst>
              <a:ext uri="{FF2B5EF4-FFF2-40B4-BE49-F238E27FC236}">
                <a16:creationId xmlns:a16="http://schemas.microsoft.com/office/drawing/2014/main" id="{3FEC8AA7-18E6-4E04-92C6-06DD5BD1E64D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8" name="$E$165">
            <a:extLst>
              <a:ext uri="{FF2B5EF4-FFF2-40B4-BE49-F238E27FC236}">
                <a16:creationId xmlns:a16="http://schemas.microsoft.com/office/drawing/2014/main" id="{020E6D55-AB7A-407C-9B0F-641F4F22BC14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9" name="$E$165">
            <a:extLst>
              <a:ext uri="{FF2B5EF4-FFF2-40B4-BE49-F238E27FC236}">
                <a16:creationId xmlns:a16="http://schemas.microsoft.com/office/drawing/2014/main" id="{F1C3FCB6-5F68-4E61-B6A9-183DD2E2C907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0" name="$E$165">
            <a:extLst>
              <a:ext uri="{FF2B5EF4-FFF2-40B4-BE49-F238E27FC236}">
                <a16:creationId xmlns:a16="http://schemas.microsoft.com/office/drawing/2014/main" id="{D0196D48-9A11-4460-A4D5-C849DB31197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1" name="$E$165">
            <a:extLst>
              <a:ext uri="{FF2B5EF4-FFF2-40B4-BE49-F238E27FC236}">
                <a16:creationId xmlns:a16="http://schemas.microsoft.com/office/drawing/2014/main" id="{60F012E2-9BB7-43C1-88EE-5209F00793B4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2" name="$E$165">
            <a:extLst>
              <a:ext uri="{FF2B5EF4-FFF2-40B4-BE49-F238E27FC236}">
                <a16:creationId xmlns:a16="http://schemas.microsoft.com/office/drawing/2014/main" id="{08711DD8-E961-4C5E-B206-5155E14568A4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3" name="$E$165">
            <a:extLst>
              <a:ext uri="{FF2B5EF4-FFF2-40B4-BE49-F238E27FC236}">
                <a16:creationId xmlns:a16="http://schemas.microsoft.com/office/drawing/2014/main" id="{22F6C7DA-7BE3-4330-8F58-A429B3FDD723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4" name="$E$165">
            <a:extLst>
              <a:ext uri="{FF2B5EF4-FFF2-40B4-BE49-F238E27FC236}">
                <a16:creationId xmlns:a16="http://schemas.microsoft.com/office/drawing/2014/main" id="{CE7975EB-694C-4862-A0B2-B99D335F3985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5" name="$E$165">
            <a:extLst>
              <a:ext uri="{FF2B5EF4-FFF2-40B4-BE49-F238E27FC236}">
                <a16:creationId xmlns:a16="http://schemas.microsoft.com/office/drawing/2014/main" id="{AAED3087-FD19-4653-A836-9B0EE1AC3802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6" name="$E$165">
            <a:extLst>
              <a:ext uri="{FF2B5EF4-FFF2-40B4-BE49-F238E27FC236}">
                <a16:creationId xmlns:a16="http://schemas.microsoft.com/office/drawing/2014/main" id="{6257EAC9-5CEE-406F-A665-BEAAAE2E553E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7" name="$E$165">
            <a:extLst>
              <a:ext uri="{FF2B5EF4-FFF2-40B4-BE49-F238E27FC236}">
                <a16:creationId xmlns:a16="http://schemas.microsoft.com/office/drawing/2014/main" id="{43730EC1-34D3-4130-A2E8-5424FA5C5131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8" name="$E$165">
            <a:extLst>
              <a:ext uri="{FF2B5EF4-FFF2-40B4-BE49-F238E27FC236}">
                <a16:creationId xmlns:a16="http://schemas.microsoft.com/office/drawing/2014/main" id="{2C3AC8AC-CA53-4BFB-B415-F89EF0F3D413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9" name="$E$165">
            <a:extLst>
              <a:ext uri="{FF2B5EF4-FFF2-40B4-BE49-F238E27FC236}">
                <a16:creationId xmlns:a16="http://schemas.microsoft.com/office/drawing/2014/main" id="{74CC570A-FD85-4BB8-9A0F-E4F3E4F2FDF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0" name="$E$165">
            <a:extLst>
              <a:ext uri="{FF2B5EF4-FFF2-40B4-BE49-F238E27FC236}">
                <a16:creationId xmlns:a16="http://schemas.microsoft.com/office/drawing/2014/main" id="{0DFDCE46-194F-4096-8115-5E258D03BF4C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1" name="$E$165">
            <a:extLst>
              <a:ext uri="{FF2B5EF4-FFF2-40B4-BE49-F238E27FC236}">
                <a16:creationId xmlns:a16="http://schemas.microsoft.com/office/drawing/2014/main" id="{4C13ABF7-4F4C-4D38-A6F5-6A4851E084E7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2" name="$E$165">
            <a:extLst>
              <a:ext uri="{FF2B5EF4-FFF2-40B4-BE49-F238E27FC236}">
                <a16:creationId xmlns:a16="http://schemas.microsoft.com/office/drawing/2014/main" id="{92575CA4-E1BC-46CD-BD2F-340F246C9F5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3" name="$E$165">
            <a:extLst>
              <a:ext uri="{FF2B5EF4-FFF2-40B4-BE49-F238E27FC236}">
                <a16:creationId xmlns:a16="http://schemas.microsoft.com/office/drawing/2014/main" id="{2A4ABF0E-7759-4B34-9523-853707F4927A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4" name="$E$165">
            <a:extLst>
              <a:ext uri="{FF2B5EF4-FFF2-40B4-BE49-F238E27FC236}">
                <a16:creationId xmlns:a16="http://schemas.microsoft.com/office/drawing/2014/main" id="{B60059FF-2D9A-4391-B904-221DCE7E9052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5" name="$E$165">
            <a:extLst>
              <a:ext uri="{FF2B5EF4-FFF2-40B4-BE49-F238E27FC236}">
                <a16:creationId xmlns:a16="http://schemas.microsoft.com/office/drawing/2014/main" id="{11005C7F-1356-4417-92EB-288D671836B8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6" name="$E$165">
            <a:extLst>
              <a:ext uri="{FF2B5EF4-FFF2-40B4-BE49-F238E27FC236}">
                <a16:creationId xmlns:a16="http://schemas.microsoft.com/office/drawing/2014/main" id="{901813D1-3C4A-4855-A10E-EC64A467125C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7" name="$E$165">
            <a:extLst>
              <a:ext uri="{FF2B5EF4-FFF2-40B4-BE49-F238E27FC236}">
                <a16:creationId xmlns:a16="http://schemas.microsoft.com/office/drawing/2014/main" id="{A8C68F18-C874-443D-86C7-ACF42EC21687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8" name="$E$165">
            <a:extLst>
              <a:ext uri="{FF2B5EF4-FFF2-40B4-BE49-F238E27FC236}">
                <a16:creationId xmlns:a16="http://schemas.microsoft.com/office/drawing/2014/main" id="{D866C137-E8BA-4F3F-A874-85D27810A595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9" name="$E$165">
            <a:extLst>
              <a:ext uri="{FF2B5EF4-FFF2-40B4-BE49-F238E27FC236}">
                <a16:creationId xmlns:a16="http://schemas.microsoft.com/office/drawing/2014/main" id="{3B415376-4B6C-4CF0-A935-162D48514608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0" name="$E$165">
            <a:extLst>
              <a:ext uri="{FF2B5EF4-FFF2-40B4-BE49-F238E27FC236}">
                <a16:creationId xmlns:a16="http://schemas.microsoft.com/office/drawing/2014/main" id="{797ECD20-DFED-4458-B17C-23760B1FB91C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1" name="$E$165">
            <a:extLst>
              <a:ext uri="{FF2B5EF4-FFF2-40B4-BE49-F238E27FC236}">
                <a16:creationId xmlns:a16="http://schemas.microsoft.com/office/drawing/2014/main" id="{DC17950B-EE1E-4125-800C-D91DA351CA1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2" name="$E$165">
            <a:extLst>
              <a:ext uri="{FF2B5EF4-FFF2-40B4-BE49-F238E27FC236}">
                <a16:creationId xmlns:a16="http://schemas.microsoft.com/office/drawing/2014/main" id="{5507FF2C-03E9-4822-AC70-45A999D98369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3" name="$E$165">
            <a:extLst>
              <a:ext uri="{FF2B5EF4-FFF2-40B4-BE49-F238E27FC236}">
                <a16:creationId xmlns:a16="http://schemas.microsoft.com/office/drawing/2014/main" id="{DB37C32F-C6AD-49EB-9E82-632882668D8F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4" name="$E$165">
            <a:extLst>
              <a:ext uri="{FF2B5EF4-FFF2-40B4-BE49-F238E27FC236}">
                <a16:creationId xmlns:a16="http://schemas.microsoft.com/office/drawing/2014/main" id="{FA91465E-F0FC-4256-9F08-91C63637EC3B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5" name="$E$165">
            <a:extLst>
              <a:ext uri="{FF2B5EF4-FFF2-40B4-BE49-F238E27FC236}">
                <a16:creationId xmlns:a16="http://schemas.microsoft.com/office/drawing/2014/main" id="{29B688AD-0498-4F13-94DC-8641EBA0DA62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6" name="$E$165">
            <a:extLst>
              <a:ext uri="{FF2B5EF4-FFF2-40B4-BE49-F238E27FC236}">
                <a16:creationId xmlns:a16="http://schemas.microsoft.com/office/drawing/2014/main" id="{4B5971B9-F34D-4024-9BF0-587B98B7049C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7" name="$E$165">
            <a:extLst>
              <a:ext uri="{FF2B5EF4-FFF2-40B4-BE49-F238E27FC236}">
                <a16:creationId xmlns:a16="http://schemas.microsoft.com/office/drawing/2014/main" id="{2AFC8CD3-3EA2-4498-B12D-B9297CE0DE35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8" name="$E$165">
            <a:extLst>
              <a:ext uri="{FF2B5EF4-FFF2-40B4-BE49-F238E27FC236}">
                <a16:creationId xmlns:a16="http://schemas.microsoft.com/office/drawing/2014/main" id="{85BF1E55-F676-4B4C-8486-0C428C2AA23D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9" name="$E$165">
            <a:extLst>
              <a:ext uri="{FF2B5EF4-FFF2-40B4-BE49-F238E27FC236}">
                <a16:creationId xmlns:a16="http://schemas.microsoft.com/office/drawing/2014/main" id="{E528C907-3DE7-4FBF-9DDB-4CF6EDB0184C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0" name="$E$165">
            <a:extLst>
              <a:ext uri="{FF2B5EF4-FFF2-40B4-BE49-F238E27FC236}">
                <a16:creationId xmlns:a16="http://schemas.microsoft.com/office/drawing/2014/main" id="{181C3A59-6938-48B9-836F-234A10A6493A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1" name="$E$165">
            <a:extLst>
              <a:ext uri="{FF2B5EF4-FFF2-40B4-BE49-F238E27FC236}">
                <a16:creationId xmlns:a16="http://schemas.microsoft.com/office/drawing/2014/main" id="{2E9E4961-442E-45C0-9F2E-0E5DA5A58023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2" name="$E$165">
            <a:extLst>
              <a:ext uri="{FF2B5EF4-FFF2-40B4-BE49-F238E27FC236}">
                <a16:creationId xmlns:a16="http://schemas.microsoft.com/office/drawing/2014/main" id="{A0645704-33CA-475F-A1F8-9A40C5105C81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3" name="$E$165">
            <a:extLst>
              <a:ext uri="{FF2B5EF4-FFF2-40B4-BE49-F238E27FC236}">
                <a16:creationId xmlns:a16="http://schemas.microsoft.com/office/drawing/2014/main" id="{2A00CD37-71DC-4A88-A685-70147F3B73F4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4" name="$E$165">
            <a:extLst>
              <a:ext uri="{FF2B5EF4-FFF2-40B4-BE49-F238E27FC236}">
                <a16:creationId xmlns:a16="http://schemas.microsoft.com/office/drawing/2014/main" id="{1FCCD468-4691-4B8C-9473-EAA6632FFE9D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5" name="$E$165">
            <a:extLst>
              <a:ext uri="{FF2B5EF4-FFF2-40B4-BE49-F238E27FC236}">
                <a16:creationId xmlns:a16="http://schemas.microsoft.com/office/drawing/2014/main" id="{88E2AC30-60CD-421A-845A-8B4946C043CD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6" name="$E$165">
            <a:extLst>
              <a:ext uri="{FF2B5EF4-FFF2-40B4-BE49-F238E27FC236}">
                <a16:creationId xmlns:a16="http://schemas.microsoft.com/office/drawing/2014/main" id="{E5AC2A41-4D28-4D00-9E7C-12685812C8A1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7" name="$E$165">
            <a:extLst>
              <a:ext uri="{FF2B5EF4-FFF2-40B4-BE49-F238E27FC236}">
                <a16:creationId xmlns:a16="http://schemas.microsoft.com/office/drawing/2014/main" id="{23A598B0-ACC2-4050-A2A7-B357B76B4E4F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8" name="$E$165">
            <a:extLst>
              <a:ext uri="{FF2B5EF4-FFF2-40B4-BE49-F238E27FC236}">
                <a16:creationId xmlns:a16="http://schemas.microsoft.com/office/drawing/2014/main" id="{D8C2B1E3-2523-4DAA-B665-17D29170EDB7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9" name="$E$165">
            <a:extLst>
              <a:ext uri="{FF2B5EF4-FFF2-40B4-BE49-F238E27FC236}">
                <a16:creationId xmlns:a16="http://schemas.microsoft.com/office/drawing/2014/main" id="{B322E4FB-8745-4A29-85D5-E77558B85924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0" name="$E$165">
            <a:extLst>
              <a:ext uri="{FF2B5EF4-FFF2-40B4-BE49-F238E27FC236}">
                <a16:creationId xmlns:a16="http://schemas.microsoft.com/office/drawing/2014/main" id="{D7BC1840-68E9-42A5-B6AA-D37E3E20E5E4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1" name="$E$165">
            <a:extLst>
              <a:ext uri="{FF2B5EF4-FFF2-40B4-BE49-F238E27FC236}">
                <a16:creationId xmlns:a16="http://schemas.microsoft.com/office/drawing/2014/main" id="{DCE1F35E-827A-4951-B758-A7E213768744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2" name="$E$165">
            <a:extLst>
              <a:ext uri="{FF2B5EF4-FFF2-40B4-BE49-F238E27FC236}">
                <a16:creationId xmlns:a16="http://schemas.microsoft.com/office/drawing/2014/main" id="{06E5D75E-BD20-4E3B-B0F2-8AA12B409FF6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3" name="$E$165">
            <a:extLst>
              <a:ext uri="{FF2B5EF4-FFF2-40B4-BE49-F238E27FC236}">
                <a16:creationId xmlns:a16="http://schemas.microsoft.com/office/drawing/2014/main" id="{04668833-B367-4E64-8368-95A8F6A420E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4" name="$E$165">
            <a:extLst>
              <a:ext uri="{FF2B5EF4-FFF2-40B4-BE49-F238E27FC236}">
                <a16:creationId xmlns:a16="http://schemas.microsoft.com/office/drawing/2014/main" id="{3ED7DFB4-FE10-49FA-98B0-FDAB4AEBAF3B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5" name="$E$165">
            <a:extLst>
              <a:ext uri="{FF2B5EF4-FFF2-40B4-BE49-F238E27FC236}">
                <a16:creationId xmlns:a16="http://schemas.microsoft.com/office/drawing/2014/main" id="{676DC16C-5E42-4B09-AB2C-66352DF80F1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6" name="$E$165">
            <a:extLst>
              <a:ext uri="{FF2B5EF4-FFF2-40B4-BE49-F238E27FC236}">
                <a16:creationId xmlns:a16="http://schemas.microsoft.com/office/drawing/2014/main" id="{C4563944-A0DE-4D68-AC42-A06521F7B7D8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7" name="$E$165">
            <a:extLst>
              <a:ext uri="{FF2B5EF4-FFF2-40B4-BE49-F238E27FC236}">
                <a16:creationId xmlns:a16="http://schemas.microsoft.com/office/drawing/2014/main" id="{7AF1ECCF-DBE8-4108-8E2A-85A7F9E9FC65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8" name="$E$165">
            <a:extLst>
              <a:ext uri="{FF2B5EF4-FFF2-40B4-BE49-F238E27FC236}">
                <a16:creationId xmlns:a16="http://schemas.microsoft.com/office/drawing/2014/main" id="{87A165A3-A258-4B5B-91F9-6AA7E79BB43B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9" name="$E$165">
            <a:extLst>
              <a:ext uri="{FF2B5EF4-FFF2-40B4-BE49-F238E27FC236}">
                <a16:creationId xmlns:a16="http://schemas.microsoft.com/office/drawing/2014/main" id="{64BEC314-2B9F-4DD3-852D-87DF97C58165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0" name="$E$165">
            <a:extLst>
              <a:ext uri="{FF2B5EF4-FFF2-40B4-BE49-F238E27FC236}">
                <a16:creationId xmlns:a16="http://schemas.microsoft.com/office/drawing/2014/main" id="{BA72D214-E436-402E-8035-0F5522E52F1F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1" name="$E$165">
            <a:extLst>
              <a:ext uri="{FF2B5EF4-FFF2-40B4-BE49-F238E27FC236}">
                <a16:creationId xmlns:a16="http://schemas.microsoft.com/office/drawing/2014/main" id="{1C30D068-24A9-42D6-BA35-048D71839439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2" name="$E$165">
            <a:extLst>
              <a:ext uri="{FF2B5EF4-FFF2-40B4-BE49-F238E27FC236}">
                <a16:creationId xmlns:a16="http://schemas.microsoft.com/office/drawing/2014/main" id="{2187B12C-6620-4E92-8F86-067B419D452E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3" name="$E$165">
            <a:extLst>
              <a:ext uri="{FF2B5EF4-FFF2-40B4-BE49-F238E27FC236}">
                <a16:creationId xmlns:a16="http://schemas.microsoft.com/office/drawing/2014/main" id="{385EC39D-4833-4CA1-9CA9-B9675B560095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4" name="$E$165">
            <a:extLst>
              <a:ext uri="{FF2B5EF4-FFF2-40B4-BE49-F238E27FC236}">
                <a16:creationId xmlns:a16="http://schemas.microsoft.com/office/drawing/2014/main" id="{397E9D30-A634-4851-ABA8-D9FFF038CFEC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5" name="$E$165">
            <a:extLst>
              <a:ext uri="{FF2B5EF4-FFF2-40B4-BE49-F238E27FC236}">
                <a16:creationId xmlns:a16="http://schemas.microsoft.com/office/drawing/2014/main" id="{1697151A-CF01-4321-B0AA-6DCB77FA4E4D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6" name="$E$165">
            <a:extLst>
              <a:ext uri="{FF2B5EF4-FFF2-40B4-BE49-F238E27FC236}">
                <a16:creationId xmlns:a16="http://schemas.microsoft.com/office/drawing/2014/main" id="{9E22BABF-4087-4D3D-AFB7-04E6FC6B208B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7" name="$E$165">
            <a:extLst>
              <a:ext uri="{FF2B5EF4-FFF2-40B4-BE49-F238E27FC236}">
                <a16:creationId xmlns:a16="http://schemas.microsoft.com/office/drawing/2014/main" id="{3622B7E8-7444-47DF-9EE2-4445B183C3B5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8" name="$E$165">
            <a:extLst>
              <a:ext uri="{FF2B5EF4-FFF2-40B4-BE49-F238E27FC236}">
                <a16:creationId xmlns:a16="http://schemas.microsoft.com/office/drawing/2014/main" id="{C45AE30A-00D2-403E-A750-500BD1ADDB65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9" name="$E$165">
            <a:extLst>
              <a:ext uri="{FF2B5EF4-FFF2-40B4-BE49-F238E27FC236}">
                <a16:creationId xmlns:a16="http://schemas.microsoft.com/office/drawing/2014/main" id="{873BBF88-099F-4A2C-9FA8-1E070061F61A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0" name="$E$165">
            <a:extLst>
              <a:ext uri="{FF2B5EF4-FFF2-40B4-BE49-F238E27FC236}">
                <a16:creationId xmlns:a16="http://schemas.microsoft.com/office/drawing/2014/main" id="{296B89B6-973C-4F0B-BB25-7B10E7062AC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1" name="$E$165">
            <a:extLst>
              <a:ext uri="{FF2B5EF4-FFF2-40B4-BE49-F238E27FC236}">
                <a16:creationId xmlns:a16="http://schemas.microsoft.com/office/drawing/2014/main" id="{5047D1FD-D577-44DD-98E7-C095820E7FB8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2" name="$E$165">
            <a:extLst>
              <a:ext uri="{FF2B5EF4-FFF2-40B4-BE49-F238E27FC236}">
                <a16:creationId xmlns:a16="http://schemas.microsoft.com/office/drawing/2014/main" id="{E4142E10-1DAE-4C6E-AA9F-64F65A805E51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3" name="$E$165">
            <a:extLst>
              <a:ext uri="{FF2B5EF4-FFF2-40B4-BE49-F238E27FC236}">
                <a16:creationId xmlns:a16="http://schemas.microsoft.com/office/drawing/2014/main" id="{2604B304-9317-4687-8090-DE557092B026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4" name="$E$165">
            <a:extLst>
              <a:ext uri="{FF2B5EF4-FFF2-40B4-BE49-F238E27FC236}">
                <a16:creationId xmlns:a16="http://schemas.microsoft.com/office/drawing/2014/main" id="{CBCF8CAE-415F-45DB-B9C5-87E7A1258B4E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5" name="$E$165">
            <a:extLst>
              <a:ext uri="{FF2B5EF4-FFF2-40B4-BE49-F238E27FC236}">
                <a16:creationId xmlns:a16="http://schemas.microsoft.com/office/drawing/2014/main" id="{655E89AD-9902-498D-A437-93FE3526C1B8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6" name="$E$165">
            <a:extLst>
              <a:ext uri="{FF2B5EF4-FFF2-40B4-BE49-F238E27FC236}">
                <a16:creationId xmlns:a16="http://schemas.microsoft.com/office/drawing/2014/main" id="{E1EA9195-40CB-4630-8F85-9C7AF8C28B07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7" name="$E$165">
            <a:extLst>
              <a:ext uri="{FF2B5EF4-FFF2-40B4-BE49-F238E27FC236}">
                <a16:creationId xmlns:a16="http://schemas.microsoft.com/office/drawing/2014/main" id="{FC6CEECD-94B8-4FD6-B9F2-D0840D117473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8" name="$E$165">
            <a:extLst>
              <a:ext uri="{FF2B5EF4-FFF2-40B4-BE49-F238E27FC236}">
                <a16:creationId xmlns:a16="http://schemas.microsoft.com/office/drawing/2014/main" id="{E3F88B67-E3FE-4B9A-87A9-84C2B3095E86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9" name="$E$165">
            <a:extLst>
              <a:ext uri="{FF2B5EF4-FFF2-40B4-BE49-F238E27FC236}">
                <a16:creationId xmlns:a16="http://schemas.microsoft.com/office/drawing/2014/main" id="{C3C9386B-F805-4B8C-9530-556CB124EA8D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0" name="$E$165">
            <a:extLst>
              <a:ext uri="{FF2B5EF4-FFF2-40B4-BE49-F238E27FC236}">
                <a16:creationId xmlns:a16="http://schemas.microsoft.com/office/drawing/2014/main" id="{954B13CC-FA52-45E2-8FE7-15C905A4AF36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1" name="$E$165">
            <a:extLst>
              <a:ext uri="{FF2B5EF4-FFF2-40B4-BE49-F238E27FC236}">
                <a16:creationId xmlns:a16="http://schemas.microsoft.com/office/drawing/2014/main" id="{0F904F78-A864-42DE-88DD-A50004D45208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2" name="$E$165">
            <a:extLst>
              <a:ext uri="{FF2B5EF4-FFF2-40B4-BE49-F238E27FC236}">
                <a16:creationId xmlns:a16="http://schemas.microsoft.com/office/drawing/2014/main" id="{A44B4AB6-A881-4925-8BE0-38ED2D87A4FE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3" name="$E$165">
            <a:extLst>
              <a:ext uri="{FF2B5EF4-FFF2-40B4-BE49-F238E27FC236}">
                <a16:creationId xmlns:a16="http://schemas.microsoft.com/office/drawing/2014/main" id="{34E39B8B-86E7-486E-BFF1-C8B50FBBFB11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4" name="$E$165">
            <a:extLst>
              <a:ext uri="{FF2B5EF4-FFF2-40B4-BE49-F238E27FC236}">
                <a16:creationId xmlns:a16="http://schemas.microsoft.com/office/drawing/2014/main" id="{4E03C331-96EC-4A1D-A465-2DAEEE4C9BEC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5" name="$E$165">
            <a:extLst>
              <a:ext uri="{FF2B5EF4-FFF2-40B4-BE49-F238E27FC236}">
                <a16:creationId xmlns:a16="http://schemas.microsoft.com/office/drawing/2014/main" id="{D32E9C95-7A1F-4720-A74B-3A19689DDEED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6" name="$E$165">
            <a:extLst>
              <a:ext uri="{FF2B5EF4-FFF2-40B4-BE49-F238E27FC236}">
                <a16:creationId xmlns:a16="http://schemas.microsoft.com/office/drawing/2014/main" id="{0F3FB6A2-1C05-4645-8528-890BAF786CDE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7" name="$E$165">
            <a:extLst>
              <a:ext uri="{FF2B5EF4-FFF2-40B4-BE49-F238E27FC236}">
                <a16:creationId xmlns:a16="http://schemas.microsoft.com/office/drawing/2014/main" id="{63D8BBD3-E3CA-42C4-9DA6-41DAA47B6608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8" name="$E$165">
            <a:extLst>
              <a:ext uri="{FF2B5EF4-FFF2-40B4-BE49-F238E27FC236}">
                <a16:creationId xmlns:a16="http://schemas.microsoft.com/office/drawing/2014/main" id="{2CCD8D75-26F9-4FD0-8DAC-76A64801CAA6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9" name="$E$165">
            <a:extLst>
              <a:ext uri="{FF2B5EF4-FFF2-40B4-BE49-F238E27FC236}">
                <a16:creationId xmlns:a16="http://schemas.microsoft.com/office/drawing/2014/main" id="{3B9827AB-6C31-41DB-83FB-C3B77FFEBAC7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0" name="$E$165">
            <a:extLst>
              <a:ext uri="{FF2B5EF4-FFF2-40B4-BE49-F238E27FC236}">
                <a16:creationId xmlns:a16="http://schemas.microsoft.com/office/drawing/2014/main" id="{F78D4C74-CB6F-48B3-A4DB-D7E96B43CACF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1" name="$E$165">
            <a:extLst>
              <a:ext uri="{FF2B5EF4-FFF2-40B4-BE49-F238E27FC236}">
                <a16:creationId xmlns:a16="http://schemas.microsoft.com/office/drawing/2014/main" id="{38839F35-BDE6-4E59-B103-2880F0D52CAB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2" name="$E$165">
            <a:extLst>
              <a:ext uri="{FF2B5EF4-FFF2-40B4-BE49-F238E27FC236}">
                <a16:creationId xmlns:a16="http://schemas.microsoft.com/office/drawing/2014/main" id="{B52D59E2-C692-445F-AAE2-7470A8CFB6F6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3" name="$E$165">
            <a:extLst>
              <a:ext uri="{FF2B5EF4-FFF2-40B4-BE49-F238E27FC236}">
                <a16:creationId xmlns:a16="http://schemas.microsoft.com/office/drawing/2014/main" id="{94BA3475-BC25-4176-8CDA-83CCD68CEA47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4" name="$E$165">
            <a:extLst>
              <a:ext uri="{FF2B5EF4-FFF2-40B4-BE49-F238E27FC236}">
                <a16:creationId xmlns:a16="http://schemas.microsoft.com/office/drawing/2014/main" id="{674A6347-CD80-42F9-A9F8-827BC9434C82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5" name="$E$165">
            <a:extLst>
              <a:ext uri="{FF2B5EF4-FFF2-40B4-BE49-F238E27FC236}">
                <a16:creationId xmlns:a16="http://schemas.microsoft.com/office/drawing/2014/main" id="{23C3ECF3-CE55-4BCC-AC2D-878F8625DCE7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6" name="$E$165">
            <a:extLst>
              <a:ext uri="{FF2B5EF4-FFF2-40B4-BE49-F238E27FC236}">
                <a16:creationId xmlns:a16="http://schemas.microsoft.com/office/drawing/2014/main" id="{AA0BE82C-1941-479C-BCE4-B461F1DD1FF9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7" name="$E$165">
            <a:extLst>
              <a:ext uri="{FF2B5EF4-FFF2-40B4-BE49-F238E27FC236}">
                <a16:creationId xmlns:a16="http://schemas.microsoft.com/office/drawing/2014/main" id="{41FE0407-C0EF-4170-A7D4-E3220AED0E91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8" name="$E$165">
            <a:extLst>
              <a:ext uri="{FF2B5EF4-FFF2-40B4-BE49-F238E27FC236}">
                <a16:creationId xmlns:a16="http://schemas.microsoft.com/office/drawing/2014/main" id="{1DDEAABB-1692-4662-9A7C-180790FE4934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9" name="$E$165">
            <a:extLst>
              <a:ext uri="{FF2B5EF4-FFF2-40B4-BE49-F238E27FC236}">
                <a16:creationId xmlns:a16="http://schemas.microsoft.com/office/drawing/2014/main" id="{726D47D2-9400-4D1A-93A1-7F81EABEE3FE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0" name="$E$165">
            <a:extLst>
              <a:ext uri="{FF2B5EF4-FFF2-40B4-BE49-F238E27FC236}">
                <a16:creationId xmlns:a16="http://schemas.microsoft.com/office/drawing/2014/main" id="{6A74DF34-55F8-4AA2-9C52-6B1B700D5F85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1" name="$E$165">
            <a:extLst>
              <a:ext uri="{FF2B5EF4-FFF2-40B4-BE49-F238E27FC236}">
                <a16:creationId xmlns:a16="http://schemas.microsoft.com/office/drawing/2014/main" id="{66F5491F-6128-475F-A490-5D2896AFA528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2" name="$E$165">
            <a:extLst>
              <a:ext uri="{FF2B5EF4-FFF2-40B4-BE49-F238E27FC236}">
                <a16:creationId xmlns:a16="http://schemas.microsoft.com/office/drawing/2014/main" id="{DA95874B-D551-435D-9D45-F28BCD59176B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3" name="$E$165">
            <a:extLst>
              <a:ext uri="{FF2B5EF4-FFF2-40B4-BE49-F238E27FC236}">
                <a16:creationId xmlns:a16="http://schemas.microsoft.com/office/drawing/2014/main" id="{641D03F4-8490-4AD5-9A90-56DB13C87EED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4" name="$E$165">
            <a:extLst>
              <a:ext uri="{FF2B5EF4-FFF2-40B4-BE49-F238E27FC236}">
                <a16:creationId xmlns:a16="http://schemas.microsoft.com/office/drawing/2014/main" id="{36492DBE-CC94-4404-83E2-A5097972AFDB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5" name="$E$165">
            <a:extLst>
              <a:ext uri="{FF2B5EF4-FFF2-40B4-BE49-F238E27FC236}">
                <a16:creationId xmlns:a16="http://schemas.microsoft.com/office/drawing/2014/main" id="{26B652DB-E966-43DD-9FC6-2885D2F9CBD9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6" name="$E$165">
            <a:extLst>
              <a:ext uri="{FF2B5EF4-FFF2-40B4-BE49-F238E27FC236}">
                <a16:creationId xmlns:a16="http://schemas.microsoft.com/office/drawing/2014/main" id="{252B87D6-3D6E-4514-B924-5BC18BC51961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7" name="$E$165">
            <a:extLst>
              <a:ext uri="{FF2B5EF4-FFF2-40B4-BE49-F238E27FC236}">
                <a16:creationId xmlns:a16="http://schemas.microsoft.com/office/drawing/2014/main" id="{1796621A-F84A-4CDF-B71F-524B79FD2C97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8" name="$E$165">
            <a:extLst>
              <a:ext uri="{FF2B5EF4-FFF2-40B4-BE49-F238E27FC236}">
                <a16:creationId xmlns:a16="http://schemas.microsoft.com/office/drawing/2014/main" id="{1847B486-C7EA-4628-80DD-7AB4A5E964AD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9" name="$E$165">
            <a:extLst>
              <a:ext uri="{FF2B5EF4-FFF2-40B4-BE49-F238E27FC236}">
                <a16:creationId xmlns:a16="http://schemas.microsoft.com/office/drawing/2014/main" id="{30A98AC7-7965-4BAB-A70A-6F19BC728392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0" name="$E$165">
            <a:extLst>
              <a:ext uri="{FF2B5EF4-FFF2-40B4-BE49-F238E27FC236}">
                <a16:creationId xmlns:a16="http://schemas.microsoft.com/office/drawing/2014/main" id="{35713028-F364-446D-9FB1-B60015EE5398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1" name="$E$165">
            <a:extLst>
              <a:ext uri="{FF2B5EF4-FFF2-40B4-BE49-F238E27FC236}">
                <a16:creationId xmlns:a16="http://schemas.microsoft.com/office/drawing/2014/main" id="{E5FAE3BA-19AA-4D4F-BA48-CE956F92C7D8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2" name="$E$165">
            <a:extLst>
              <a:ext uri="{FF2B5EF4-FFF2-40B4-BE49-F238E27FC236}">
                <a16:creationId xmlns:a16="http://schemas.microsoft.com/office/drawing/2014/main" id="{3BE6ED5B-1B02-49E4-B8F4-AC4FB100E09D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3" name="$E$165">
            <a:extLst>
              <a:ext uri="{FF2B5EF4-FFF2-40B4-BE49-F238E27FC236}">
                <a16:creationId xmlns:a16="http://schemas.microsoft.com/office/drawing/2014/main" id="{65366C59-E2A0-4AB0-B89D-862702F04A47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4" name="$E$165">
            <a:extLst>
              <a:ext uri="{FF2B5EF4-FFF2-40B4-BE49-F238E27FC236}">
                <a16:creationId xmlns:a16="http://schemas.microsoft.com/office/drawing/2014/main" id="{9908205B-EC57-482F-82F0-1DA4DA00F3EC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5" name="$E$165">
            <a:extLst>
              <a:ext uri="{FF2B5EF4-FFF2-40B4-BE49-F238E27FC236}">
                <a16:creationId xmlns:a16="http://schemas.microsoft.com/office/drawing/2014/main" id="{F99A9059-FC87-4288-8EF7-BCC01D1A9FEA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6" name="$E$165">
            <a:extLst>
              <a:ext uri="{FF2B5EF4-FFF2-40B4-BE49-F238E27FC236}">
                <a16:creationId xmlns:a16="http://schemas.microsoft.com/office/drawing/2014/main" id="{378A6809-68EF-49C2-B37F-E285EA550579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7" name="$E$165">
            <a:extLst>
              <a:ext uri="{FF2B5EF4-FFF2-40B4-BE49-F238E27FC236}">
                <a16:creationId xmlns:a16="http://schemas.microsoft.com/office/drawing/2014/main" id="{F3B1D56F-F901-42A8-B7AE-57A65DC21F4C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8" name="$E$165">
            <a:extLst>
              <a:ext uri="{FF2B5EF4-FFF2-40B4-BE49-F238E27FC236}">
                <a16:creationId xmlns:a16="http://schemas.microsoft.com/office/drawing/2014/main" id="{96E98F22-C689-4F40-85C2-B0C3FEEE68CE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9" name="$E$165">
            <a:extLst>
              <a:ext uri="{FF2B5EF4-FFF2-40B4-BE49-F238E27FC236}">
                <a16:creationId xmlns:a16="http://schemas.microsoft.com/office/drawing/2014/main" id="{49870555-E3D8-4DE2-B681-D8FA72A3242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0" name="$E$165">
            <a:extLst>
              <a:ext uri="{FF2B5EF4-FFF2-40B4-BE49-F238E27FC236}">
                <a16:creationId xmlns:a16="http://schemas.microsoft.com/office/drawing/2014/main" id="{200C0575-03C2-442B-BED4-F533D3A6E416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1" name="$E$165">
            <a:extLst>
              <a:ext uri="{FF2B5EF4-FFF2-40B4-BE49-F238E27FC236}">
                <a16:creationId xmlns:a16="http://schemas.microsoft.com/office/drawing/2014/main" id="{EEDF6FCE-61BA-4956-8023-1C780D893515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2" name="$E$165">
            <a:extLst>
              <a:ext uri="{FF2B5EF4-FFF2-40B4-BE49-F238E27FC236}">
                <a16:creationId xmlns:a16="http://schemas.microsoft.com/office/drawing/2014/main" id="{4D36FC53-8B8A-467D-94B6-A21DEB7279A2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3" name="$E$165">
            <a:extLst>
              <a:ext uri="{FF2B5EF4-FFF2-40B4-BE49-F238E27FC236}">
                <a16:creationId xmlns:a16="http://schemas.microsoft.com/office/drawing/2014/main" id="{9D0CDB4D-A05D-44CE-8858-9354A925CC0E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4" name="$E$165">
            <a:extLst>
              <a:ext uri="{FF2B5EF4-FFF2-40B4-BE49-F238E27FC236}">
                <a16:creationId xmlns:a16="http://schemas.microsoft.com/office/drawing/2014/main" id="{E54CF1F6-C316-42E7-BE64-E638F0104FDC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5" name="$E$165">
            <a:extLst>
              <a:ext uri="{FF2B5EF4-FFF2-40B4-BE49-F238E27FC236}">
                <a16:creationId xmlns:a16="http://schemas.microsoft.com/office/drawing/2014/main" id="{20709CF6-E95E-49FA-A05D-13FC7AC192A1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6" name="$E$165">
            <a:extLst>
              <a:ext uri="{FF2B5EF4-FFF2-40B4-BE49-F238E27FC236}">
                <a16:creationId xmlns:a16="http://schemas.microsoft.com/office/drawing/2014/main" id="{2A91889F-1A81-4961-B98B-D1809F52C82C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7" name="$E$165">
            <a:extLst>
              <a:ext uri="{FF2B5EF4-FFF2-40B4-BE49-F238E27FC236}">
                <a16:creationId xmlns:a16="http://schemas.microsoft.com/office/drawing/2014/main" id="{ECACD83B-0A9E-4902-8BB2-626A1A5B0C56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8" name="$E$165">
            <a:extLst>
              <a:ext uri="{FF2B5EF4-FFF2-40B4-BE49-F238E27FC236}">
                <a16:creationId xmlns:a16="http://schemas.microsoft.com/office/drawing/2014/main" id="{0A21CF8C-F87C-44EC-9DA2-ACF4B1BC24F8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9" name="$E$165">
            <a:extLst>
              <a:ext uri="{FF2B5EF4-FFF2-40B4-BE49-F238E27FC236}">
                <a16:creationId xmlns:a16="http://schemas.microsoft.com/office/drawing/2014/main" id="{C8CFDEC7-1FD0-44CD-81C8-124C6E8360F8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0" name="$E$165">
            <a:extLst>
              <a:ext uri="{FF2B5EF4-FFF2-40B4-BE49-F238E27FC236}">
                <a16:creationId xmlns:a16="http://schemas.microsoft.com/office/drawing/2014/main" id="{E5F8EEDC-58CE-4726-B823-81D57FC1FCE5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1" name="$E$165">
            <a:extLst>
              <a:ext uri="{FF2B5EF4-FFF2-40B4-BE49-F238E27FC236}">
                <a16:creationId xmlns:a16="http://schemas.microsoft.com/office/drawing/2014/main" id="{39B81955-30C9-40E3-805A-BC5C197B39B9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2" name="$E$165">
            <a:extLst>
              <a:ext uri="{FF2B5EF4-FFF2-40B4-BE49-F238E27FC236}">
                <a16:creationId xmlns:a16="http://schemas.microsoft.com/office/drawing/2014/main" id="{1AD4C17F-6CFF-4E40-815F-727189A6ED59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3" name="$E$165">
            <a:extLst>
              <a:ext uri="{FF2B5EF4-FFF2-40B4-BE49-F238E27FC236}">
                <a16:creationId xmlns:a16="http://schemas.microsoft.com/office/drawing/2014/main" id="{8B36F0FB-095D-4AC2-9843-BC6E7A9B29F8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4" name="$E$165">
            <a:extLst>
              <a:ext uri="{FF2B5EF4-FFF2-40B4-BE49-F238E27FC236}">
                <a16:creationId xmlns:a16="http://schemas.microsoft.com/office/drawing/2014/main" id="{E2158DF3-855B-4D3F-8709-B6DF004E0BEA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5" name="$E$165">
            <a:extLst>
              <a:ext uri="{FF2B5EF4-FFF2-40B4-BE49-F238E27FC236}">
                <a16:creationId xmlns:a16="http://schemas.microsoft.com/office/drawing/2014/main" id="{CEB38996-0EB4-4ECE-BA01-3ECF7F10CB19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6" name="$E$165">
            <a:extLst>
              <a:ext uri="{FF2B5EF4-FFF2-40B4-BE49-F238E27FC236}">
                <a16:creationId xmlns:a16="http://schemas.microsoft.com/office/drawing/2014/main" id="{7C5B47B0-54A1-4535-ADAF-A50BC2B2691B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7" name="$E$165">
            <a:extLst>
              <a:ext uri="{FF2B5EF4-FFF2-40B4-BE49-F238E27FC236}">
                <a16:creationId xmlns:a16="http://schemas.microsoft.com/office/drawing/2014/main" id="{C8E6A5D9-7C6D-4BAC-88DF-21B41071A6ED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8" name="$E$165">
            <a:extLst>
              <a:ext uri="{FF2B5EF4-FFF2-40B4-BE49-F238E27FC236}">
                <a16:creationId xmlns:a16="http://schemas.microsoft.com/office/drawing/2014/main" id="{3F13AB46-DC05-4242-AF34-12AE81573A51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9" name="$E$165">
            <a:extLst>
              <a:ext uri="{FF2B5EF4-FFF2-40B4-BE49-F238E27FC236}">
                <a16:creationId xmlns:a16="http://schemas.microsoft.com/office/drawing/2014/main" id="{DA1DCA10-8D85-4952-82EE-9D2772C15013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0" name="$E$165">
            <a:extLst>
              <a:ext uri="{FF2B5EF4-FFF2-40B4-BE49-F238E27FC236}">
                <a16:creationId xmlns:a16="http://schemas.microsoft.com/office/drawing/2014/main" id="{B8DD67EF-DA3C-4F7C-806F-FD9399E12969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1" name="$E$165">
            <a:extLst>
              <a:ext uri="{FF2B5EF4-FFF2-40B4-BE49-F238E27FC236}">
                <a16:creationId xmlns:a16="http://schemas.microsoft.com/office/drawing/2014/main" id="{E44E383F-D152-4D22-8DE8-0C9ACC5F30D9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2" name="$E$165">
            <a:extLst>
              <a:ext uri="{FF2B5EF4-FFF2-40B4-BE49-F238E27FC236}">
                <a16:creationId xmlns:a16="http://schemas.microsoft.com/office/drawing/2014/main" id="{A42322FD-4DC0-4B4D-A05E-66FE2D323563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3" name="$E$165">
            <a:extLst>
              <a:ext uri="{FF2B5EF4-FFF2-40B4-BE49-F238E27FC236}">
                <a16:creationId xmlns:a16="http://schemas.microsoft.com/office/drawing/2014/main" id="{953CAE7D-40D7-4B31-B434-3D747CB9B642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4" name="$E$165">
            <a:extLst>
              <a:ext uri="{FF2B5EF4-FFF2-40B4-BE49-F238E27FC236}">
                <a16:creationId xmlns:a16="http://schemas.microsoft.com/office/drawing/2014/main" id="{49509F21-53D9-4096-81C8-CD39D1E8C3B3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5" name="$E$165">
            <a:extLst>
              <a:ext uri="{FF2B5EF4-FFF2-40B4-BE49-F238E27FC236}">
                <a16:creationId xmlns:a16="http://schemas.microsoft.com/office/drawing/2014/main" id="{7685FC18-2BB4-4A33-8CDF-02AAFEB46FA7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6" name="$E$165">
            <a:extLst>
              <a:ext uri="{FF2B5EF4-FFF2-40B4-BE49-F238E27FC236}">
                <a16:creationId xmlns:a16="http://schemas.microsoft.com/office/drawing/2014/main" id="{D322074F-3E91-4480-A870-12E7DB3637FE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7" name="$E$165">
            <a:extLst>
              <a:ext uri="{FF2B5EF4-FFF2-40B4-BE49-F238E27FC236}">
                <a16:creationId xmlns:a16="http://schemas.microsoft.com/office/drawing/2014/main" id="{D49B9F8F-2673-4BE1-AC09-B9A96823879C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8" name="$E$165">
            <a:extLst>
              <a:ext uri="{FF2B5EF4-FFF2-40B4-BE49-F238E27FC236}">
                <a16:creationId xmlns:a16="http://schemas.microsoft.com/office/drawing/2014/main" id="{28B40100-F04C-4C98-9154-B9F35A994676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9" name="$E$165">
            <a:extLst>
              <a:ext uri="{FF2B5EF4-FFF2-40B4-BE49-F238E27FC236}">
                <a16:creationId xmlns:a16="http://schemas.microsoft.com/office/drawing/2014/main" id="{AEE6B1CC-29C9-4C52-85ED-AF15C1051AA3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0" name="$E$165">
            <a:extLst>
              <a:ext uri="{FF2B5EF4-FFF2-40B4-BE49-F238E27FC236}">
                <a16:creationId xmlns:a16="http://schemas.microsoft.com/office/drawing/2014/main" id="{28788CE6-A7D1-4D9C-AE9D-4A82C15648E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1" name="$E$165">
            <a:extLst>
              <a:ext uri="{FF2B5EF4-FFF2-40B4-BE49-F238E27FC236}">
                <a16:creationId xmlns:a16="http://schemas.microsoft.com/office/drawing/2014/main" id="{D52D0DE4-5374-4E5F-9563-71266A63B768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2" name="$E$165">
            <a:extLst>
              <a:ext uri="{FF2B5EF4-FFF2-40B4-BE49-F238E27FC236}">
                <a16:creationId xmlns:a16="http://schemas.microsoft.com/office/drawing/2014/main" id="{7A975F8C-E0F1-4042-B551-A9C0F003D9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3" name="$E$165">
            <a:extLst>
              <a:ext uri="{FF2B5EF4-FFF2-40B4-BE49-F238E27FC236}">
                <a16:creationId xmlns:a16="http://schemas.microsoft.com/office/drawing/2014/main" id="{C3D6BB25-1283-40FE-99F7-688F9F06AB1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4" name="$E$165">
            <a:extLst>
              <a:ext uri="{FF2B5EF4-FFF2-40B4-BE49-F238E27FC236}">
                <a16:creationId xmlns:a16="http://schemas.microsoft.com/office/drawing/2014/main" id="{FC117C67-A0B9-4100-A86C-353A3C4FC683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5" name="$E$165">
            <a:extLst>
              <a:ext uri="{FF2B5EF4-FFF2-40B4-BE49-F238E27FC236}">
                <a16:creationId xmlns:a16="http://schemas.microsoft.com/office/drawing/2014/main" id="{A3CEE90B-F437-41CC-84C3-15348B27DE92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6" name="$E$165">
            <a:extLst>
              <a:ext uri="{FF2B5EF4-FFF2-40B4-BE49-F238E27FC236}">
                <a16:creationId xmlns:a16="http://schemas.microsoft.com/office/drawing/2014/main" id="{5EF672CE-70FE-46F2-927D-4C522C2AB971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7" name="$E$165">
            <a:extLst>
              <a:ext uri="{FF2B5EF4-FFF2-40B4-BE49-F238E27FC236}">
                <a16:creationId xmlns:a16="http://schemas.microsoft.com/office/drawing/2014/main" id="{49E7DFF3-1EB7-4E2F-A6D0-E6482E08FA58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8" name="$E$165">
            <a:extLst>
              <a:ext uri="{FF2B5EF4-FFF2-40B4-BE49-F238E27FC236}">
                <a16:creationId xmlns:a16="http://schemas.microsoft.com/office/drawing/2014/main" id="{7326289E-FD42-4C9F-801D-9D94D0A75655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9" name="$E$165">
            <a:extLst>
              <a:ext uri="{FF2B5EF4-FFF2-40B4-BE49-F238E27FC236}">
                <a16:creationId xmlns:a16="http://schemas.microsoft.com/office/drawing/2014/main" id="{27FD7CBD-9AAE-4410-941B-F182DCC73EAD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0" name="$E$165">
            <a:extLst>
              <a:ext uri="{FF2B5EF4-FFF2-40B4-BE49-F238E27FC236}">
                <a16:creationId xmlns:a16="http://schemas.microsoft.com/office/drawing/2014/main" id="{32816FC5-994A-4921-BE64-4F2C07D29E6B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1" name="$E$165">
            <a:extLst>
              <a:ext uri="{FF2B5EF4-FFF2-40B4-BE49-F238E27FC236}">
                <a16:creationId xmlns:a16="http://schemas.microsoft.com/office/drawing/2014/main" id="{11BA1B30-1B83-4411-AD26-E6AB2EDA1561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2" name="$E$165">
            <a:extLst>
              <a:ext uri="{FF2B5EF4-FFF2-40B4-BE49-F238E27FC236}">
                <a16:creationId xmlns:a16="http://schemas.microsoft.com/office/drawing/2014/main" id="{980583DD-F615-4F47-95B7-88B34573D49E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3" name="$E$165">
            <a:extLst>
              <a:ext uri="{FF2B5EF4-FFF2-40B4-BE49-F238E27FC236}">
                <a16:creationId xmlns:a16="http://schemas.microsoft.com/office/drawing/2014/main" id="{DE47E1BA-6C6D-47CA-8125-56139F5A963F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4" name="$E$165">
            <a:extLst>
              <a:ext uri="{FF2B5EF4-FFF2-40B4-BE49-F238E27FC236}">
                <a16:creationId xmlns:a16="http://schemas.microsoft.com/office/drawing/2014/main" id="{DACDF5F3-6CCD-49ED-A537-73202A06423F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5" name="$E$165">
            <a:extLst>
              <a:ext uri="{FF2B5EF4-FFF2-40B4-BE49-F238E27FC236}">
                <a16:creationId xmlns:a16="http://schemas.microsoft.com/office/drawing/2014/main" id="{EBC8007E-649E-4642-918F-96F6DE197A33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6" name="$E$165">
            <a:extLst>
              <a:ext uri="{FF2B5EF4-FFF2-40B4-BE49-F238E27FC236}">
                <a16:creationId xmlns:a16="http://schemas.microsoft.com/office/drawing/2014/main" id="{F3BE70F9-004D-4817-9FA0-7CC0D7231161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7" name="$E$165">
            <a:extLst>
              <a:ext uri="{FF2B5EF4-FFF2-40B4-BE49-F238E27FC236}">
                <a16:creationId xmlns:a16="http://schemas.microsoft.com/office/drawing/2014/main" id="{F4C7A8D8-18F3-400A-A502-77B526311362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8" name="$E$165">
            <a:extLst>
              <a:ext uri="{FF2B5EF4-FFF2-40B4-BE49-F238E27FC236}">
                <a16:creationId xmlns:a16="http://schemas.microsoft.com/office/drawing/2014/main" id="{9390F67B-A31A-44B6-BBD9-B3713DAECACC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9" name="$E$165">
            <a:extLst>
              <a:ext uri="{FF2B5EF4-FFF2-40B4-BE49-F238E27FC236}">
                <a16:creationId xmlns:a16="http://schemas.microsoft.com/office/drawing/2014/main" id="{D852F684-D29A-4F5C-8874-67915EC4B5DC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0" name="$E$165">
            <a:extLst>
              <a:ext uri="{FF2B5EF4-FFF2-40B4-BE49-F238E27FC236}">
                <a16:creationId xmlns:a16="http://schemas.microsoft.com/office/drawing/2014/main" id="{0BF24CEF-C1BD-42B1-BBF6-E44824D08DCD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1" name="$E$165">
            <a:extLst>
              <a:ext uri="{FF2B5EF4-FFF2-40B4-BE49-F238E27FC236}">
                <a16:creationId xmlns:a16="http://schemas.microsoft.com/office/drawing/2014/main" id="{CA881D43-FBA3-4B98-8FE1-487EF680AE24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2" name="$E$165">
            <a:extLst>
              <a:ext uri="{FF2B5EF4-FFF2-40B4-BE49-F238E27FC236}">
                <a16:creationId xmlns:a16="http://schemas.microsoft.com/office/drawing/2014/main" id="{7355F6A0-2335-437F-9E43-0F990D7998CB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3" name="$E$165">
            <a:extLst>
              <a:ext uri="{FF2B5EF4-FFF2-40B4-BE49-F238E27FC236}">
                <a16:creationId xmlns:a16="http://schemas.microsoft.com/office/drawing/2014/main" id="{749FC2EB-E97B-41BA-B812-047873EF122D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4" name="$E$165">
            <a:extLst>
              <a:ext uri="{FF2B5EF4-FFF2-40B4-BE49-F238E27FC236}">
                <a16:creationId xmlns:a16="http://schemas.microsoft.com/office/drawing/2014/main" id="{B2AAF45A-97F0-41BD-A4A9-02D8283FBC0D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5" name="$E$165">
            <a:extLst>
              <a:ext uri="{FF2B5EF4-FFF2-40B4-BE49-F238E27FC236}">
                <a16:creationId xmlns:a16="http://schemas.microsoft.com/office/drawing/2014/main" id="{9F1709BE-C9B6-432B-8547-E3A0FA0864F8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6" name="$E$165">
            <a:extLst>
              <a:ext uri="{FF2B5EF4-FFF2-40B4-BE49-F238E27FC236}">
                <a16:creationId xmlns:a16="http://schemas.microsoft.com/office/drawing/2014/main" id="{6624A7C4-9EFA-4EA1-8751-5EB4F145FB6A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7" name="$E$165">
            <a:extLst>
              <a:ext uri="{FF2B5EF4-FFF2-40B4-BE49-F238E27FC236}">
                <a16:creationId xmlns:a16="http://schemas.microsoft.com/office/drawing/2014/main" id="{24877EBE-C106-452D-86E8-A40A5D5F132B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8" name="$E$165">
            <a:extLst>
              <a:ext uri="{FF2B5EF4-FFF2-40B4-BE49-F238E27FC236}">
                <a16:creationId xmlns:a16="http://schemas.microsoft.com/office/drawing/2014/main" id="{F777E9B3-F64C-448E-A97D-C1A063A5D3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9" name="$E$165">
            <a:extLst>
              <a:ext uri="{FF2B5EF4-FFF2-40B4-BE49-F238E27FC236}">
                <a16:creationId xmlns:a16="http://schemas.microsoft.com/office/drawing/2014/main" id="{2175F75A-18CF-4379-9D4B-F46D3D0CACB2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0" name="$E$165">
            <a:extLst>
              <a:ext uri="{FF2B5EF4-FFF2-40B4-BE49-F238E27FC236}">
                <a16:creationId xmlns:a16="http://schemas.microsoft.com/office/drawing/2014/main" id="{234D397D-AA91-47F2-B5B9-E26AEF91F00B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1" name="$E$165">
            <a:extLst>
              <a:ext uri="{FF2B5EF4-FFF2-40B4-BE49-F238E27FC236}">
                <a16:creationId xmlns:a16="http://schemas.microsoft.com/office/drawing/2014/main" id="{C5B3F2F0-DCB1-4468-8DA0-31AB32545C1B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2" name="$E$165">
            <a:extLst>
              <a:ext uri="{FF2B5EF4-FFF2-40B4-BE49-F238E27FC236}">
                <a16:creationId xmlns:a16="http://schemas.microsoft.com/office/drawing/2014/main" id="{531F9141-44BD-4163-8B7B-60ED5DD58EEE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3" name="$E$165">
            <a:extLst>
              <a:ext uri="{FF2B5EF4-FFF2-40B4-BE49-F238E27FC236}">
                <a16:creationId xmlns:a16="http://schemas.microsoft.com/office/drawing/2014/main" id="{99DA59B8-80AA-424C-A89E-27D22CB16A63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4" name="$E$165">
            <a:extLst>
              <a:ext uri="{FF2B5EF4-FFF2-40B4-BE49-F238E27FC236}">
                <a16:creationId xmlns:a16="http://schemas.microsoft.com/office/drawing/2014/main" id="{1D03420F-0C66-4438-800E-776F3F7077FE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5" name="$E$165">
            <a:extLst>
              <a:ext uri="{FF2B5EF4-FFF2-40B4-BE49-F238E27FC236}">
                <a16:creationId xmlns:a16="http://schemas.microsoft.com/office/drawing/2014/main" id="{A8E21A2A-7468-4B04-96D1-55DA6FE7EB71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6" name="$E$165">
            <a:extLst>
              <a:ext uri="{FF2B5EF4-FFF2-40B4-BE49-F238E27FC236}">
                <a16:creationId xmlns:a16="http://schemas.microsoft.com/office/drawing/2014/main" id="{596615AA-152C-4301-8261-D2414FA91F86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7" name="$E$165">
            <a:extLst>
              <a:ext uri="{FF2B5EF4-FFF2-40B4-BE49-F238E27FC236}">
                <a16:creationId xmlns:a16="http://schemas.microsoft.com/office/drawing/2014/main" id="{D16E5160-84BC-44E5-A615-D5ECCE268306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8" name="$E$165">
            <a:extLst>
              <a:ext uri="{FF2B5EF4-FFF2-40B4-BE49-F238E27FC236}">
                <a16:creationId xmlns:a16="http://schemas.microsoft.com/office/drawing/2014/main" id="{3525DB94-80B6-4564-9841-62CC33BD45EC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9" name="$E$165">
            <a:extLst>
              <a:ext uri="{FF2B5EF4-FFF2-40B4-BE49-F238E27FC236}">
                <a16:creationId xmlns:a16="http://schemas.microsoft.com/office/drawing/2014/main" id="{4C9B2DF5-2E8C-440B-A721-41CEB0637044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0" name="$E$165">
            <a:extLst>
              <a:ext uri="{FF2B5EF4-FFF2-40B4-BE49-F238E27FC236}">
                <a16:creationId xmlns:a16="http://schemas.microsoft.com/office/drawing/2014/main" id="{1181882C-5C1E-4C8D-8C6E-616F97BFA67E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1" name="$E$165">
            <a:extLst>
              <a:ext uri="{FF2B5EF4-FFF2-40B4-BE49-F238E27FC236}">
                <a16:creationId xmlns:a16="http://schemas.microsoft.com/office/drawing/2014/main" id="{A697B7F4-20D8-4C5B-8BB0-999285F1B82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2" name="$E$165">
            <a:extLst>
              <a:ext uri="{FF2B5EF4-FFF2-40B4-BE49-F238E27FC236}">
                <a16:creationId xmlns:a16="http://schemas.microsoft.com/office/drawing/2014/main" id="{2FC63EFA-2F2C-42FD-B408-588DC7B013A9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3" name="$E$165">
            <a:extLst>
              <a:ext uri="{FF2B5EF4-FFF2-40B4-BE49-F238E27FC236}">
                <a16:creationId xmlns:a16="http://schemas.microsoft.com/office/drawing/2014/main" id="{194C9919-D4B2-42B9-B239-5791C609028E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4" name="$E$165">
            <a:extLst>
              <a:ext uri="{FF2B5EF4-FFF2-40B4-BE49-F238E27FC236}">
                <a16:creationId xmlns:a16="http://schemas.microsoft.com/office/drawing/2014/main" id="{08A22805-FCD5-49E6-AD99-5DF8926B25B7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5" name="$E$165">
            <a:extLst>
              <a:ext uri="{FF2B5EF4-FFF2-40B4-BE49-F238E27FC236}">
                <a16:creationId xmlns:a16="http://schemas.microsoft.com/office/drawing/2014/main" id="{C5EEA887-F191-460A-A82D-F865271FAF7B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6" name="$E$165">
            <a:extLst>
              <a:ext uri="{FF2B5EF4-FFF2-40B4-BE49-F238E27FC236}">
                <a16:creationId xmlns:a16="http://schemas.microsoft.com/office/drawing/2014/main" id="{C85CE7CB-AFD5-4F18-9C30-92C498E885BD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7" name="$E$165">
            <a:extLst>
              <a:ext uri="{FF2B5EF4-FFF2-40B4-BE49-F238E27FC236}">
                <a16:creationId xmlns:a16="http://schemas.microsoft.com/office/drawing/2014/main" id="{0065DA27-72A4-4994-A290-53FAC98B0BAF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8" name="$E$165">
            <a:extLst>
              <a:ext uri="{FF2B5EF4-FFF2-40B4-BE49-F238E27FC236}">
                <a16:creationId xmlns:a16="http://schemas.microsoft.com/office/drawing/2014/main" id="{4CF9F6A3-A334-4AB3-A016-AF5976D4E936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9" name="$E$165">
            <a:extLst>
              <a:ext uri="{FF2B5EF4-FFF2-40B4-BE49-F238E27FC236}">
                <a16:creationId xmlns:a16="http://schemas.microsoft.com/office/drawing/2014/main" id="{52CEE9B0-A16A-487B-9B24-3CAC7DC51BCB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0" name="$E$165">
            <a:extLst>
              <a:ext uri="{FF2B5EF4-FFF2-40B4-BE49-F238E27FC236}">
                <a16:creationId xmlns:a16="http://schemas.microsoft.com/office/drawing/2014/main" id="{A0F5465D-A6B6-45A3-8A58-190F52ABA579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1" name="$E$165">
            <a:extLst>
              <a:ext uri="{FF2B5EF4-FFF2-40B4-BE49-F238E27FC236}">
                <a16:creationId xmlns:a16="http://schemas.microsoft.com/office/drawing/2014/main" id="{BA87544E-4213-419A-8126-1D52ADF96618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2" name="$E$165">
            <a:extLst>
              <a:ext uri="{FF2B5EF4-FFF2-40B4-BE49-F238E27FC236}">
                <a16:creationId xmlns:a16="http://schemas.microsoft.com/office/drawing/2014/main" id="{458C2A9C-2E3D-4FAB-9830-46D97FC94DB5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3" name="$E$165">
            <a:extLst>
              <a:ext uri="{FF2B5EF4-FFF2-40B4-BE49-F238E27FC236}">
                <a16:creationId xmlns:a16="http://schemas.microsoft.com/office/drawing/2014/main" id="{49FF0120-B469-4C2D-8105-E69101704B05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4" name="$E$165">
            <a:extLst>
              <a:ext uri="{FF2B5EF4-FFF2-40B4-BE49-F238E27FC236}">
                <a16:creationId xmlns:a16="http://schemas.microsoft.com/office/drawing/2014/main" id="{E222CC78-0398-4AF7-A989-68477424AEE4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5" name="$E$165">
            <a:extLst>
              <a:ext uri="{FF2B5EF4-FFF2-40B4-BE49-F238E27FC236}">
                <a16:creationId xmlns:a16="http://schemas.microsoft.com/office/drawing/2014/main" id="{B6E659B4-FBAC-4D78-9797-DCE1BB342175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6" name="$E$165">
            <a:extLst>
              <a:ext uri="{FF2B5EF4-FFF2-40B4-BE49-F238E27FC236}">
                <a16:creationId xmlns:a16="http://schemas.microsoft.com/office/drawing/2014/main" id="{2D6F3ADF-C76D-442A-8F43-2D45FAF760C9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7" name="$E$165">
            <a:extLst>
              <a:ext uri="{FF2B5EF4-FFF2-40B4-BE49-F238E27FC236}">
                <a16:creationId xmlns:a16="http://schemas.microsoft.com/office/drawing/2014/main" id="{8B40A365-DEB4-4512-8DD4-7950F9E27EE5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8" name="$E$165">
            <a:extLst>
              <a:ext uri="{FF2B5EF4-FFF2-40B4-BE49-F238E27FC236}">
                <a16:creationId xmlns:a16="http://schemas.microsoft.com/office/drawing/2014/main" id="{8886749A-0F10-48F8-BB53-2290AC265DB5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9" name="$E$165">
            <a:extLst>
              <a:ext uri="{FF2B5EF4-FFF2-40B4-BE49-F238E27FC236}">
                <a16:creationId xmlns:a16="http://schemas.microsoft.com/office/drawing/2014/main" id="{E3AABFE7-84ED-4D0E-9BCD-E77279FC0DD8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0" name="$E$165">
            <a:extLst>
              <a:ext uri="{FF2B5EF4-FFF2-40B4-BE49-F238E27FC236}">
                <a16:creationId xmlns:a16="http://schemas.microsoft.com/office/drawing/2014/main" id="{E0B8AB61-9816-4887-8DD7-2CB19DB0F266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1" name="$E$165">
            <a:extLst>
              <a:ext uri="{FF2B5EF4-FFF2-40B4-BE49-F238E27FC236}">
                <a16:creationId xmlns:a16="http://schemas.microsoft.com/office/drawing/2014/main" id="{E5877B76-A128-4BA5-AA8A-A8E20760B509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2" name="$E$165">
            <a:extLst>
              <a:ext uri="{FF2B5EF4-FFF2-40B4-BE49-F238E27FC236}">
                <a16:creationId xmlns:a16="http://schemas.microsoft.com/office/drawing/2014/main" id="{895F19C3-35EC-408A-BC29-1A74AAB2793E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3" name="$E$165">
            <a:extLst>
              <a:ext uri="{FF2B5EF4-FFF2-40B4-BE49-F238E27FC236}">
                <a16:creationId xmlns:a16="http://schemas.microsoft.com/office/drawing/2014/main" id="{EDE8CD94-CA7C-467D-9F18-EC4E079F7FEF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4" name="$E$165">
            <a:extLst>
              <a:ext uri="{FF2B5EF4-FFF2-40B4-BE49-F238E27FC236}">
                <a16:creationId xmlns:a16="http://schemas.microsoft.com/office/drawing/2014/main" id="{A2949AC6-0212-4F05-B28B-8B8F10031302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5" name="$E$165">
            <a:extLst>
              <a:ext uri="{FF2B5EF4-FFF2-40B4-BE49-F238E27FC236}">
                <a16:creationId xmlns:a16="http://schemas.microsoft.com/office/drawing/2014/main" id="{8DC209C3-3116-4AA0-94A4-B6D363851337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6" name="$E$165">
            <a:extLst>
              <a:ext uri="{FF2B5EF4-FFF2-40B4-BE49-F238E27FC236}">
                <a16:creationId xmlns:a16="http://schemas.microsoft.com/office/drawing/2014/main" id="{B1FFC485-62DA-4BA7-876D-3FC59F8FDCD6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7" name="$E$165">
            <a:extLst>
              <a:ext uri="{FF2B5EF4-FFF2-40B4-BE49-F238E27FC236}">
                <a16:creationId xmlns:a16="http://schemas.microsoft.com/office/drawing/2014/main" id="{4C200BF5-DFB1-463B-B4E2-4F50BA9AFAD4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8" name="$E$165">
            <a:extLst>
              <a:ext uri="{FF2B5EF4-FFF2-40B4-BE49-F238E27FC236}">
                <a16:creationId xmlns:a16="http://schemas.microsoft.com/office/drawing/2014/main" id="{8B28DE69-AA3B-48A3-AF6D-EC0B9D81FB24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9" name="$E$165">
            <a:extLst>
              <a:ext uri="{FF2B5EF4-FFF2-40B4-BE49-F238E27FC236}">
                <a16:creationId xmlns:a16="http://schemas.microsoft.com/office/drawing/2014/main" id="{765E9BEF-A8E0-4298-9C34-2F5C6BD8AB47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0" name="$E$165">
            <a:extLst>
              <a:ext uri="{FF2B5EF4-FFF2-40B4-BE49-F238E27FC236}">
                <a16:creationId xmlns:a16="http://schemas.microsoft.com/office/drawing/2014/main" id="{5DD9DBA2-7EE6-4314-8952-B4C9798D4FA1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1" name="$E$165">
            <a:extLst>
              <a:ext uri="{FF2B5EF4-FFF2-40B4-BE49-F238E27FC236}">
                <a16:creationId xmlns:a16="http://schemas.microsoft.com/office/drawing/2014/main" id="{95AD0EF6-E3A1-456D-B58F-B74B0CE5A4E5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2" name="$E$165">
            <a:extLst>
              <a:ext uri="{FF2B5EF4-FFF2-40B4-BE49-F238E27FC236}">
                <a16:creationId xmlns:a16="http://schemas.microsoft.com/office/drawing/2014/main" id="{014E0345-70AB-42DF-A29E-886402189827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3" name="$E$165">
            <a:extLst>
              <a:ext uri="{FF2B5EF4-FFF2-40B4-BE49-F238E27FC236}">
                <a16:creationId xmlns:a16="http://schemas.microsoft.com/office/drawing/2014/main" id="{2C758C67-3F61-4F32-BF52-D670758B2B9D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4" name="$E$165">
            <a:extLst>
              <a:ext uri="{FF2B5EF4-FFF2-40B4-BE49-F238E27FC236}">
                <a16:creationId xmlns:a16="http://schemas.microsoft.com/office/drawing/2014/main" id="{1BF5FF34-7DAD-4584-B388-51AFFB3CA42F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5" name="$E$165">
            <a:extLst>
              <a:ext uri="{FF2B5EF4-FFF2-40B4-BE49-F238E27FC236}">
                <a16:creationId xmlns:a16="http://schemas.microsoft.com/office/drawing/2014/main" id="{3ACFAFDF-1E3A-4B41-8BF5-0D9788EA0A67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6" name="$E$165">
            <a:extLst>
              <a:ext uri="{FF2B5EF4-FFF2-40B4-BE49-F238E27FC236}">
                <a16:creationId xmlns:a16="http://schemas.microsoft.com/office/drawing/2014/main" id="{ED711564-CAB9-4642-849A-6050E9436F6A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7" name="$E$165">
            <a:extLst>
              <a:ext uri="{FF2B5EF4-FFF2-40B4-BE49-F238E27FC236}">
                <a16:creationId xmlns:a16="http://schemas.microsoft.com/office/drawing/2014/main" id="{0F5435C0-572F-4AFA-A31C-EA44FB7A80F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8" name="$E$165">
            <a:extLst>
              <a:ext uri="{FF2B5EF4-FFF2-40B4-BE49-F238E27FC236}">
                <a16:creationId xmlns:a16="http://schemas.microsoft.com/office/drawing/2014/main" id="{9825155D-57A0-40B8-98B2-037D5CB3DB0F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9" name="$E$165">
            <a:extLst>
              <a:ext uri="{FF2B5EF4-FFF2-40B4-BE49-F238E27FC236}">
                <a16:creationId xmlns:a16="http://schemas.microsoft.com/office/drawing/2014/main" id="{B1CDD519-E5B5-4BD4-B1CC-216CB91A19D1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0" name="$E$165">
            <a:extLst>
              <a:ext uri="{FF2B5EF4-FFF2-40B4-BE49-F238E27FC236}">
                <a16:creationId xmlns:a16="http://schemas.microsoft.com/office/drawing/2014/main" id="{8E3A36CA-D259-4495-BA92-33C0B4B8EE01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1" name="$E$165">
            <a:extLst>
              <a:ext uri="{FF2B5EF4-FFF2-40B4-BE49-F238E27FC236}">
                <a16:creationId xmlns:a16="http://schemas.microsoft.com/office/drawing/2014/main" id="{02792770-6DC9-40E2-921E-72EFE92E096C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2" name="$E$165">
            <a:extLst>
              <a:ext uri="{FF2B5EF4-FFF2-40B4-BE49-F238E27FC236}">
                <a16:creationId xmlns:a16="http://schemas.microsoft.com/office/drawing/2014/main" id="{D13DAEA7-87FA-485E-8237-8546CBB4874A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3" name="$E$165">
            <a:extLst>
              <a:ext uri="{FF2B5EF4-FFF2-40B4-BE49-F238E27FC236}">
                <a16:creationId xmlns:a16="http://schemas.microsoft.com/office/drawing/2014/main" id="{F70E1328-1E1E-4D93-97CA-EAEE7640FABD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4" name="$E$165">
            <a:extLst>
              <a:ext uri="{FF2B5EF4-FFF2-40B4-BE49-F238E27FC236}">
                <a16:creationId xmlns:a16="http://schemas.microsoft.com/office/drawing/2014/main" id="{E4EE116C-13EA-4F10-89F6-1AE9FF239446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5" name="$E$165">
            <a:extLst>
              <a:ext uri="{FF2B5EF4-FFF2-40B4-BE49-F238E27FC236}">
                <a16:creationId xmlns:a16="http://schemas.microsoft.com/office/drawing/2014/main" id="{571967DA-5FC2-4B4C-A9D6-B71378D7BA52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6" name="$E$165">
            <a:extLst>
              <a:ext uri="{FF2B5EF4-FFF2-40B4-BE49-F238E27FC236}">
                <a16:creationId xmlns:a16="http://schemas.microsoft.com/office/drawing/2014/main" id="{EB8C9E20-6222-4ADB-A283-547F8A3133AC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7" name="$E$165">
            <a:extLst>
              <a:ext uri="{FF2B5EF4-FFF2-40B4-BE49-F238E27FC236}">
                <a16:creationId xmlns:a16="http://schemas.microsoft.com/office/drawing/2014/main" id="{196CAEEE-0FF0-49F9-82BD-FCD2DC240025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8" name="$E$165">
            <a:extLst>
              <a:ext uri="{FF2B5EF4-FFF2-40B4-BE49-F238E27FC236}">
                <a16:creationId xmlns:a16="http://schemas.microsoft.com/office/drawing/2014/main" id="{B7E5AF36-12BB-44E7-9C49-C32BAB23C6C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9" name="$E$165">
            <a:extLst>
              <a:ext uri="{FF2B5EF4-FFF2-40B4-BE49-F238E27FC236}">
                <a16:creationId xmlns:a16="http://schemas.microsoft.com/office/drawing/2014/main" id="{30E0479B-2E89-4B06-B00E-F07F54BD45B8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0" name="$E$165">
            <a:extLst>
              <a:ext uri="{FF2B5EF4-FFF2-40B4-BE49-F238E27FC236}">
                <a16:creationId xmlns:a16="http://schemas.microsoft.com/office/drawing/2014/main" id="{8D888E0F-6E1D-46D0-9291-072A990D01C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1" name="$E$165">
            <a:extLst>
              <a:ext uri="{FF2B5EF4-FFF2-40B4-BE49-F238E27FC236}">
                <a16:creationId xmlns:a16="http://schemas.microsoft.com/office/drawing/2014/main" id="{754B4CB2-ED11-4685-91D8-BE93F2BC836F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2" name="$E$165">
            <a:extLst>
              <a:ext uri="{FF2B5EF4-FFF2-40B4-BE49-F238E27FC236}">
                <a16:creationId xmlns:a16="http://schemas.microsoft.com/office/drawing/2014/main" id="{C96279BE-E2C7-4E6E-89C6-19B9DAE1ED2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3" name="$E$165">
            <a:extLst>
              <a:ext uri="{FF2B5EF4-FFF2-40B4-BE49-F238E27FC236}">
                <a16:creationId xmlns:a16="http://schemas.microsoft.com/office/drawing/2014/main" id="{F3B66B7C-94B6-4AA0-A782-EFF80F9CE4AF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4" name="$E$165">
            <a:extLst>
              <a:ext uri="{FF2B5EF4-FFF2-40B4-BE49-F238E27FC236}">
                <a16:creationId xmlns:a16="http://schemas.microsoft.com/office/drawing/2014/main" id="{336FA7B1-5375-4490-9293-039C3E2CF8D7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5" name="$E$165">
            <a:extLst>
              <a:ext uri="{FF2B5EF4-FFF2-40B4-BE49-F238E27FC236}">
                <a16:creationId xmlns:a16="http://schemas.microsoft.com/office/drawing/2014/main" id="{CA572B99-E3B3-46C5-B49C-10C1EAC0C3A1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6" name="$E$165">
            <a:extLst>
              <a:ext uri="{FF2B5EF4-FFF2-40B4-BE49-F238E27FC236}">
                <a16:creationId xmlns:a16="http://schemas.microsoft.com/office/drawing/2014/main" id="{F6B9D951-EAA8-4FA6-993C-68AD3010882E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7" name="$E$165">
            <a:extLst>
              <a:ext uri="{FF2B5EF4-FFF2-40B4-BE49-F238E27FC236}">
                <a16:creationId xmlns:a16="http://schemas.microsoft.com/office/drawing/2014/main" id="{C9165C70-EA16-429D-875C-5C708F12CB58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8" name="$E$165">
            <a:extLst>
              <a:ext uri="{FF2B5EF4-FFF2-40B4-BE49-F238E27FC236}">
                <a16:creationId xmlns:a16="http://schemas.microsoft.com/office/drawing/2014/main" id="{809A321D-DA40-404F-B7CB-3048E0690867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9" name="$E$165">
            <a:extLst>
              <a:ext uri="{FF2B5EF4-FFF2-40B4-BE49-F238E27FC236}">
                <a16:creationId xmlns:a16="http://schemas.microsoft.com/office/drawing/2014/main" id="{D9575564-85B6-4931-81C7-6BE6A8BE78D2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0" name="$E$165">
            <a:extLst>
              <a:ext uri="{FF2B5EF4-FFF2-40B4-BE49-F238E27FC236}">
                <a16:creationId xmlns:a16="http://schemas.microsoft.com/office/drawing/2014/main" id="{6B844758-61AB-400B-9D9F-564494F17938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1" name="$E$165">
            <a:extLst>
              <a:ext uri="{FF2B5EF4-FFF2-40B4-BE49-F238E27FC236}">
                <a16:creationId xmlns:a16="http://schemas.microsoft.com/office/drawing/2014/main" id="{1A643EAF-EE7E-458C-8292-BB92B21B4BE8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2" name="$E$165">
            <a:extLst>
              <a:ext uri="{FF2B5EF4-FFF2-40B4-BE49-F238E27FC236}">
                <a16:creationId xmlns:a16="http://schemas.microsoft.com/office/drawing/2014/main" id="{16390E00-3719-410C-9B55-E559F9C14A72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3" name="$E$165">
            <a:extLst>
              <a:ext uri="{FF2B5EF4-FFF2-40B4-BE49-F238E27FC236}">
                <a16:creationId xmlns:a16="http://schemas.microsoft.com/office/drawing/2014/main" id="{C27B9BCF-2415-441B-9618-29C6E6D7365F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4" name="$E$165">
            <a:extLst>
              <a:ext uri="{FF2B5EF4-FFF2-40B4-BE49-F238E27FC236}">
                <a16:creationId xmlns:a16="http://schemas.microsoft.com/office/drawing/2014/main" id="{457AC9F2-A8FD-426B-AB58-9D2407EB9E9B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5" name="$E$165">
            <a:extLst>
              <a:ext uri="{FF2B5EF4-FFF2-40B4-BE49-F238E27FC236}">
                <a16:creationId xmlns:a16="http://schemas.microsoft.com/office/drawing/2014/main" id="{AA716E8B-8ECC-41A4-91F6-928DFFA5A528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6" name="$E$165">
            <a:extLst>
              <a:ext uri="{FF2B5EF4-FFF2-40B4-BE49-F238E27FC236}">
                <a16:creationId xmlns:a16="http://schemas.microsoft.com/office/drawing/2014/main" id="{A05E9E51-626C-4B9F-8699-8DF3759BAAD8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7" name="$E$165">
            <a:extLst>
              <a:ext uri="{FF2B5EF4-FFF2-40B4-BE49-F238E27FC236}">
                <a16:creationId xmlns:a16="http://schemas.microsoft.com/office/drawing/2014/main" id="{C34727AA-6D5C-4111-BEC5-A0DE1D55C36A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8" name="$E$165">
            <a:extLst>
              <a:ext uri="{FF2B5EF4-FFF2-40B4-BE49-F238E27FC236}">
                <a16:creationId xmlns:a16="http://schemas.microsoft.com/office/drawing/2014/main" id="{986CF42D-3498-456C-B228-3468593BEE42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9" name="$E$165">
            <a:extLst>
              <a:ext uri="{FF2B5EF4-FFF2-40B4-BE49-F238E27FC236}">
                <a16:creationId xmlns:a16="http://schemas.microsoft.com/office/drawing/2014/main" id="{57138A59-6A11-4ABC-B07D-D58E8184A45E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0" name="$E$165">
            <a:extLst>
              <a:ext uri="{FF2B5EF4-FFF2-40B4-BE49-F238E27FC236}">
                <a16:creationId xmlns:a16="http://schemas.microsoft.com/office/drawing/2014/main" id="{642F294F-A67F-4F78-BA0B-87A25FFF9D14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1" name="$E$165">
            <a:extLst>
              <a:ext uri="{FF2B5EF4-FFF2-40B4-BE49-F238E27FC236}">
                <a16:creationId xmlns:a16="http://schemas.microsoft.com/office/drawing/2014/main" id="{ED2D6215-E631-49D8-B8EC-F5F291CFCD4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2" name="$E$165">
            <a:extLst>
              <a:ext uri="{FF2B5EF4-FFF2-40B4-BE49-F238E27FC236}">
                <a16:creationId xmlns:a16="http://schemas.microsoft.com/office/drawing/2014/main" id="{72B67512-54FD-4292-9213-ECFE20ABB97E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3" name="$E$165">
            <a:extLst>
              <a:ext uri="{FF2B5EF4-FFF2-40B4-BE49-F238E27FC236}">
                <a16:creationId xmlns:a16="http://schemas.microsoft.com/office/drawing/2014/main" id="{857463F4-DCD3-4D38-B53E-DAD3C1971052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4" name="$E$165">
            <a:extLst>
              <a:ext uri="{FF2B5EF4-FFF2-40B4-BE49-F238E27FC236}">
                <a16:creationId xmlns:a16="http://schemas.microsoft.com/office/drawing/2014/main" id="{6C9EAFD8-34B5-4F7A-B307-BD634D319F77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5" name="$E$165">
            <a:extLst>
              <a:ext uri="{FF2B5EF4-FFF2-40B4-BE49-F238E27FC236}">
                <a16:creationId xmlns:a16="http://schemas.microsoft.com/office/drawing/2014/main" id="{BBF794D0-A52F-44F4-B65B-44F3775B0399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6" name="$E$165">
            <a:extLst>
              <a:ext uri="{FF2B5EF4-FFF2-40B4-BE49-F238E27FC236}">
                <a16:creationId xmlns:a16="http://schemas.microsoft.com/office/drawing/2014/main" id="{1CE38648-DDFC-46FD-A029-F8C08E1C3A53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7" name="$E$165">
            <a:extLst>
              <a:ext uri="{FF2B5EF4-FFF2-40B4-BE49-F238E27FC236}">
                <a16:creationId xmlns:a16="http://schemas.microsoft.com/office/drawing/2014/main" id="{5AA9671F-FCE3-4341-B432-F7FB653E1C61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8" name="$E$165">
            <a:extLst>
              <a:ext uri="{FF2B5EF4-FFF2-40B4-BE49-F238E27FC236}">
                <a16:creationId xmlns:a16="http://schemas.microsoft.com/office/drawing/2014/main" id="{71E2CCA4-C07F-48B1-960B-D748AFDD113C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9" name="$E$165">
            <a:extLst>
              <a:ext uri="{FF2B5EF4-FFF2-40B4-BE49-F238E27FC236}">
                <a16:creationId xmlns:a16="http://schemas.microsoft.com/office/drawing/2014/main" id="{1585B952-A1CE-462D-A6CC-050A04B4A9EA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0" name="$E$165">
            <a:extLst>
              <a:ext uri="{FF2B5EF4-FFF2-40B4-BE49-F238E27FC236}">
                <a16:creationId xmlns:a16="http://schemas.microsoft.com/office/drawing/2014/main" id="{871097BD-08D6-437C-92D9-3A5EE0DA6A22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1" name="$E$165">
            <a:extLst>
              <a:ext uri="{FF2B5EF4-FFF2-40B4-BE49-F238E27FC236}">
                <a16:creationId xmlns:a16="http://schemas.microsoft.com/office/drawing/2014/main" id="{C44EA8D8-3A33-4675-BF7D-B6682FABA297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2" name="$E$165">
            <a:extLst>
              <a:ext uri="{FF2B5EF4-FFF2-40B4-BE49-F238E27FC236}">
                <a16:creationId xmlns:a16="http://schemas.microsoft.com/office/drawing/2014/main" id="{DC0FB5BE-EA72-49FD-877C-8B52449F1C17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3" name="$E$165">
            <a:extLst>
              <a:ext uri="{FF2B5EF4-FFF2-40B4-BE49-F238E27FC236}">
                <a16:creationId xmlns:a16="http://schemas.microsoft.com/office/drawing/2014/main" id="{E3C99D21-3820-492C-8D6C-07E8C2A6EF22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4" name="$E$165">
            <a:extLst>
              <a:ext uri="{FF2B5EF4-FFF2-40B4-BE49-F238E27FC236}">
                <a16:creationId xmlns:a16="http://schemas.microsoft.com/office/drawing/2014/main" id="{BB3BD13B-10FC-446D-A9E5-9DF320385E74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5" name="$E$165">
            <a:extLst>
              <a:ext uri="{FF2B5EF4-FFF2-40B4-BE49-F238E27FC236}">
                <a16:creationId xmlns:a16="http://schemas.microsoft.com/office/drawing/2014/main" id="{BC9CCD9E-F1A0-4575-BDE6-B4A69CB73CE4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6" name="$E$165">
            <a:extLst>
              <a:ext uri="{FF2B5EF4-FFF2-40B4-BE49-F238E27FC236}">
                <a16:creationId xmlns:a16="http://schemas.microsoft.com/office/drawing/2014/main" id="{54572BA3-7E39-4547-9291-5047DF0DC0F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7" name="$E$165">
            <a:extLst>
              <a:ext uri="{FF2B5EF4-FFF2-40B4-BE49-F238E27FC236}">
                <a16:creationId xmlns:a16="http://schemas.microsoft.com/office/drawing/2014/main" id="{B1CE7D71-346E-4684-828B-6F6CE20D12A7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8" name="$E$165">
            <a:extLst>
              <a:ext uri="{FF2B5EF4-FFF2-40B4-BE49-F238E27FC236}">
                <a16:creationId xmlns:a16="http://schemas.microsoft.com/office/drawing/2014/main" id="{CB71C545-95D4-4A28-816A-15C9D8869A49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9" name="$E$165">
            <a:extLst>
              <a:ext uri="{FF2B5EF4-FFF2-40B4-BE49-F238E27FC236}">
                <a16:creationId xmlns:a16="http://schemas.microsoft.com/office/drawing/2014/main" id="{E5EA11C6-2D0B-4BB9-8CF5-A6911B9307EA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0" name="$E$165">
            <a:extLst>
              <a:ext uri="{FF2B5EF4-FFF2-40B4-BE49-F238E27FC236}">
                <a16:creationId xmlns:a16="http://schemas.microsoft.com/office/drawing/2014/main" id="{9DC68C19-21DB-4F4B-80BB-AC79280F393E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1" name="$E$165">
            <a:extLst>
              <a:ext uri="{FF2B5EF4-FFF2-40B4-BE49-F238E27FC236}">
                <a16:creationId xmlns:a16="http://schemas.microsoft.com/office/drawing/2014/main" id="{6252D411-9627-46C7-8C01-80F1F0E5192D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2" name="$E$165">
            <a:extLst>
              <a:ext uri="{FF2B5EF4-FFF2-40B4-BE49-F238E27FC236}">
                <a16:creationId xmlns:a16="http://schemas.microsoft.com/office/drawing/2014/main" id="{14E6B418-1ECE-4228-8B35-2507FE2EA774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3" name="$E$165">
            <a:extLst>
              <a:ext uri="{FF2B5EF4-FFF2-40B4-BE49-F238E27FC236}">
                <a16:creationId xmlns:a16="http://schemas.microsoft.com/office/drawing/2014/main" id="{4D949F02-C65C-4AB9-913A-5AB050FC3908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4" name="$E$165">
            <a:extLst>
              <a:ext uri="{FF2B5EF4-FFF2-40B4-BE49-F238E27FC236}">
                <a16:creationId xmlns:a16="http://schemas.microsoft.com/office/drawing/2014/main" id="{B4DC100A-CB09-4FAC-8F73-0438768B6B7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5" name="$E$165">
            <a:extLst>
              <a:ext uri="{FF2B5EF4-FFF2-40B4-BE49-F238E27FC236}">
                <a16:creationId xmlns:a16="http://schemas.microsoft.com/office/drawing/2014/main" id="{FB4C9D39-91C3-4FDC-A58F-7A6B2C388AB8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6" name="$E$165">
            <a:extLst>
              <a:ext uri="{FF2B5EF4-FFF2-40B4-BE49-F238E27FC236}">
                <a16:creationId xmlns:a16="http://schemas.microsoft.com/office/drawing/2014/main" id="{F57C2665-915E-46D9-A546-B08DD739C1C3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7" name="$E$165">
            <a:extLst>
              <a:ext uri="{FF2B5EF4-FFF2-40B4-BE49-F238E27FC236}">
                <a16:creationId xmlns:a16="http://schemas.microsoft.com/office/drawing/2014/main" id="{528C7D2C-8315-44BC-ACB2-675B72C20377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8" name="$E$165">
            <a:extLst>
              <a:ext uri="{FF2B5EF4-FFF2-40B4-BE49-F238E27FC236}">
                <a16:creationId xmlns:a16="http://schemas.microsoft.com/office/drawing/2014/main" id="{C0BC4907-B2D4-4FF4-9E29-FD889B676172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9" name="$E$165">
            <a:extLst>
              <a:ext uri="{FF2B5EF4-FFF2-40B4-BE49-F238E27FC236}">
                <a16:creationId xmlns:a16="http://schemas.microsoft.com/office/drawing/2014/main" id="{AE1E30C8-8A92-4BD1-A617-ED97E337F595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0" name="$E$165">
            <a:extLst>
              <a:ext uri="{FF2B5EF4-FFF2-40B4-BE49-F238E27FC236}">
                <a16:creationId xmlns:a16="http://schemas.microsoft.com/office/drawing/2014/main" id="{AF48AA3B-0EC7-4945-AEE6-09E676D86D3E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1" name="$E$165">
            <a:extLst>
              <a:ext uri="{FF2B5EF4-FFF2-40B4-BE49-F238E27FC236}">
                <a16:creationId xmlns:a16="http://schemas.microsoft.com/office/drawing/2014/main" id="{0619FFBF-B954-4916-96F3-3B6D180E9FDB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2" name="$E$165">
            <a:extLst>
              <a:ext uri="{FF2B5EF4-FFF2-40B4-BE49-F238E27FC236}">
                <a16:creationId xmlns:a16="http://schemas.microsoft.com/office/drawing/2014/main" id="{824853FA-04AE-4DFA-9FDE-74ACEB06B553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3" name="$E$165">
            <a:extLst>
              <a:ext uri="{FF2B5EF4-FFF2-40B4-BE49-F238E27FC236}">
                <a16:creationId xmlns:a16="http://schemas.microsoft.com/office/drawing/2014/main" id="{3BDD3715-A427-46BA-A39A-202CBFA46201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4" name="$E$165">
            <a:extLst>
              <a:ext uri="{FF2B5EF4-FFF2-40B4-BE49-F238E27FC236}">
                <a16:creationId xmlns:a16="http://schemas.microsoft.com/office/drawing/2014/main" id="{7ADF847A-4E50-4B5D-A4CA-043566AE2EF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5" name="$E$165">
            <a:extLst>
              <a:ext uri="{FF2B5EF4-FFF2-40B4-BE49-F238E27FC236}">
                <a16:creationId xmlns:a16="http://schemas.microsoft.com/office/drawing/2014/main" id="{0C708A52-3E15-4BB1-B2B9-5E62B6DE8D93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6" name="$E$165">
            <a:extLst>
              <a:ext uri="{FF2B5EF4-FFF2-40B4-BE49-F238E27FC236}">
                <a16:creationId xmlns:a16="http://schemas.microsoft.com/office/drawing/2014/main" id="{40F1D516-1FD9-49F9-B990-101516E43583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7" name="$E$165">
            <a:extLst>
              <a:ext uri="{FF2B5EF4-FFF2-40B4-BE49-F238E27FC236}">
                <a16:creationId xmlns:a16="http://schemas.microsoft.com/office/drawing/2014/main" id="{3F6A82A1-F5FE-4EC0-8375-04423F27F316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8" name="$E$165">
            <a:extLst>
              <a:ext uri="{FF2B5EF4-FFF2-40B4-BE49-F238E27FC236}">
                <a16:creationId xmlns:a16="http://schemas.microsoft.com/office/drawing/2014/main" id="{AF88C3AD-9072-4C08-97B1-BD0B4FFDDA18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9" name="$E$165">
            <a:extLst>
              <a:ext uri="{FF2B5EF4-FFF2-40B4-BE49-F238E27FC236}">
                <a16:creationId xmlns:a16="http://schemas.microsoft.com/office/drawing/2014/main" id="{19909C0F-5B09-4EB1-A43A-D4ED70246ACB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0" name="$E$165">
            <a:extLst>
              <a:ext uri="{FF2B5EF4-FFF2-40B4-BE49-F238E27FC236}">
                <a16:creationId xmlns:a16="http://schemas.microsoft.com/office/drawing/2014/main" id="{6BC1DB61-1C53-4EAD-AC9B-AB5403F84B87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1" name="$E$165">
            <a:extLst>
              <a:ext uri="{FF2B5EF4-FFF2-40B4-BE49-F238E27FC236}">
                <a16:creationId xmlns:a16="http://schemas.microsoft.com/office/drawing/2014/main" id="{2A6903D3-52EB-4E2C-B77E-563BF35D53EF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2" name="$E$165">
            <a:extLst>
              <a:ext uri="{FF2B5EF4-FFF2-40B4-BE49-F238E27FC236}">
                <a16:creationId xmlns:a16="http://schemas.microsoft.com/office/drawing/2014/main" id="{69206704-8439-43B5-B3BE-759FB9C0F498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3" name="$E$165">
            <a:extLst>
              <a:ext uri="{FF2B5EF4-FFF2-40B4-BE49-F238E27FC236}">
                <a16:creationId xmlns:a16="http://schemas.microsoft.com/office/drawing/2014/main" id="{3A649B65-E1AF-4168-B395-258F8EE66C1A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4" name="$E$165">
            <a:extLst>
              <a:ext uri="{FF2B5EF4-FFF2-40B4-BE49-F238E27FC236}">
                <a16:creationId xmlns:a16="http://schemas.microsoft.com/office/drawing/2014/main" id="{57605F4A-9586-4085-BDCC-DA9218CDDE99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5" name="$E$165">
            <a:extLst>
              <a:ext uri="{FF2B5EF4-FFF2-40B4-BE49-F238E27FC236}">
                <a16:creationId xmlns:a16="http://schemas.microsoft.com/office/drawing/2014/main" id="{2BC3E914-C5F1-4AA5-87EB-42123309F1FC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6" name="$E$165">
            <a:extLst>
              <a:ext uri="{FF2B5EF4-FFF2-40B4-BE49-F238E27FC236}">
                <a16:creationId xmlns:a16="http://schemas.microsoft.com/office/drawing/2014/main" id="{D31AFD33-EF4F-4870-8C75-668E35F3A9C3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7" name="$E$165">
            <a:extLst>
              <a:ext uri="{FF2B5EF4-FFF2-40B4-BE49-F238E27FC236}">
                <a16:creationId xmlns:a16="http://schemas.microsoft.com/office/drawing/2014/main" id="{199A8AA9-A222-4FEA-9458-B4DD2A0BF3EF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8" name="$E$165">
            <a:extLst>
              <a:ext uri="{FF2B5EF4-FFF2-40B4-BE49-F238E27FC236}">
                <a16:creationId xmlns:a16="http://schemas.microsoft.com/office/drawing/2014/main" id="{8D13A08D-7C05-4BE4-B7B8-9FB39E5CF318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9" name="$E$165">
            <a:extLst>
              <a:ext uri="{FF2B5EF4-FFF2-40B4-BE49-F238E27FC236}">
                <a16:creationId xmlns:a16="http://schemas.microsoft.com/office/drawing/2014/main" id="{E95A1D54-1B2C-4EA0-ACC2-A72B4982A35B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0" name="$E$165">
            <a:extLst>
              <a:ext uri="{FF2B5EF4-FFF2-40B4-BE49-F238E27FC236}">
                <a16:creationId xmlns:a16="http://schemas.microsoft.com/office/drawing/2014/main" id="{7AD19050-36E1-49F6-A785-7CAC37C432DA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1" name="$E$165">
            <a:extLst>
              <a:ext uri="{FF2B5EF4-FFF2-40B4-BE49-F238E27FC236}">
                <a16:creationId xmlns:a16="http://schemas.microsoft.com/office/drawing/2014/main" id="{DDE91E8B-E44F-45C8-BA96-5E9845BC829F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2" name="$E$165">
            <a:extLst>
              <a:ext uri="{FF2B5EF4-FFF2-40B4-BE49-F238E27FC236}">
                <a16:creationId xmlns:a16="http://schemas.microsoft.com/office/drawing/2014/main" id="{2E790AD5-E452-430F-B21C-240F3479B6A3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3" name="$E$165">
            <a:extLst>
              <a:ext uri="{FF2B5EF4-FFF2-40B4-BE49-F238E27FC236}">
                <a16:creationId xmlns:a16="http://schemas.microsoft.com/office/drawing/2014/main" id="{F14ED996-C1FA-46D1-B117-67B1907FC96A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4" name="$E$165">
            <a:extLst>
              <a:ext uri="{FF2B5EF4-FFF2-40B4-BE49-F238E27FC236}">
                <a16:creationId xmlns:a16="http://schemas.microsoft.com/office/drawing/2014/main" id="{70A28059-8169-47B3-9389-BC204780F058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5" name="$E$165">
            <a:extLst>
              <a:ext uri="{FF2B5EF4-FFF2-40B4-BE49-F238E27FC236}">
                <a16:creationId xmlns:a16="http://schemas.microsoft.com/office/drawing/2014/main" id="{55554F28-C04D-47F9-B9DD-2090FC06D35B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6" name="$E$165">
            <a:extLst>
              <a:ext uri="{FF2B5EF4-FFF2-40B4-BE49-F238E27FC236}">
                <a16:creationId xmlns:a16="http://schemas.microsoft.com/office/drawing/2014/main" id="{C29C26B7-A1C2-4562-A1DC-0405BFE6979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7" name="$E$165">
            <a:extLst>
              <a:ext uri="{FF2B5EF4-FFF2-40B4-BE49-F238E27FC236}">
                <a16:creationId xmlns:a16="http://schemas.microsoft.com/office/drawing/2014/main" id="{1CB634D5-44D9-47F5-AC62-A18565A02ABD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8" name="$E$165">
            <a:extLst>
              <a:ext uri="{FF2B5EF4-FFF2-40B4-BE49-F238E27FC236}">
                <a16:creationId xmlns:a16="http://schemas.microsoft.com/office/drawing/2014/main" id="{7A8BDA9A-8785-414B-B8FD-914E9E1EADE5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9" name="$E$165">
            <a:extLst>
              <a:ext uri="{FF2B5EF4-FFF2-40B4-BE49-F238E27FC236}">
                <a16:creationId xmlns:a16="http://schemas.microsoft.com/office/drawing/2014/main" id="{7B528F97-9371-4312-BF67-9843385F458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0" name="$E$165">
            <a:extLst>
              <a:ext uri="{FF2B5EF4-FFF2-40B4-BE49-F238E27FC236}">
                <a16:creationId xmlns:a16="http://schemas.microsoft.com/office/drawing/2014/main" id="{49A7726A-00DE-4101-80D9-59F952754DE1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1" name="$E$165">
            <a:extLst>
              <a:ext uri="{FF2B5EF4-FFF2-40B4-BE49-F238E27FC236}">
                <a16:creationId xmlns:a16="http://schemas.microsoft.com/office/drawing/2014/main" id="{77072ACA-C8D0-4C1F-A1BC-8F70082C8679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2" name="$E$165">
            <a:extLst>
              <a:ext uri="{FF2B5EF4-FFF2-40B4-BE49-F238E27FC236}">
                <a16:creationId xmlns:a16="http://schemas.microsoft.com/office/drawing/2014/main" id="{90253BC4-1D45-4C1C-890E-896E402F1531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3" name="$E$165">
            <a:extLst>
              <a:ext uri="{FF2B5EF4-FFF2-40B4-BE49-F238E27FC236}">
                <a16:creationId xmlns:a16="http://schemas.microsoft.com/office/drawing/2014/main" id="{35B4830E-5715-4982-8137-26B1DACC4322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4" name="$E$165">
            <a:extLst>
              <a:ext uri="{FF2B5EF4-FFF2-40B4-BE49-F238E27FC236}">
                <a16:creationId xmlns:a16="http://schemas.microsoft.com/office/drawing/2014/main" id="{FF4CAB5F-F45E-4110-98F7-44E02B5A992C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5" name="$E$165">
            <a:extLst>
              <a:ext uri="{FF2B5EF4-FFF2-40B4-BE49-F238E27FC236}">
                <a16:creationId xmlns:a16="http://schemas.microsoft.com/office/drawing/2014/main" id="{C0EB5037-0B6E-40C8-8D1E-E639C58B6CE6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6" name="$E$165">
            <a:extLst>
              <a:ext uri="{FF2B5EF4-FFF2-40B4-BE49-F238E27FC236}">
                <a16:creationId xmlns:a16="http://schemas.microsoft.com/office/drawing/2014/main" id="{1D8A4B64-EA0A-4813-957D-6603904D85A6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7" name="$E$165">
            <a:extLst>
              <a:ext uri="{FF2B5EF4-FFF2-40B4-BE49-F238E27FC236}">
                <a16:creationId xmlns:a16="http://schemas.microsoft.com/office/drawing/2014/main" id="{9714B386-425F-4653-A45A-DC4550B5DBE5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8" name="$E$165">
            <a:extLst>
              <a:ext uri="{FF2B5EF4-FFF2-40B4-BE49-F238E27FC236}">
                <a16:creationId xmlns:a16="http://schemas.microsoft.com/office/drawing/2014/main" id="{02BA165F-4596-4780-B334-D442F3717E94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9" name="$E$165">
            <a:extLst>
              <a:ext uri="{FF2B5EF4-FFF2-40B4-BE49-F238E27FC236}">
                <a16:creationId xmlns:a16="http://schemas.microsoft.com/office/drawing/2014/main" id="{5B3F269F-F208-4FED-9E2E-06284ED5DCC2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0" name="$E$165">
            <a:extLst>
              <a:ext uri="{FF2B5EF4-FFF2-40B4-BE49-F238E27FC236}">
                <a16:creationId xmlns:a16="http://schemas.microsoft.com/office/drawing/2014/main" id="{7A3E20AE-7FAC-46C7-9D8D-EE81D0BD5A08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1" name="$E$165">
            <a:extLst>
              <a:ext uri="{FF2B5EF4-FFF2-40B4-BE49-F238E27FC236}">
                <a16:creationId xmlns:a16="http://schemas.microsoft.com/office/drawing/2014/main" id="{F9627F7F-EB65-4B60-9682-0A7ACE3DA7E1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2" name="$E$165">
            <a:extLst>
              <a:ext uri="{FF2B5EF4-FFF2-40B4-BE49-F238E27FC236}">
                <a16:creationId xmlns:a16="http://schemas.microsoft.com/office/drawing/2014/main" id="{05784DBC-9C9E-4314-9BF3-81BBB1F56C36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3" name="$E$165">
            <a:extLst>
              <a:ext uri="{FF2B5EF4-FFF2-40B4-BE49-F238E27FC236}">
                <a16:creationId xmlns:a16="http://schemas.microsoft.com/office/drawing/2014/main" id="{A387D853-2A57-4F62-BF20-268064636272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4" name="$E$165">
            <a:extLst>
              <a:ext uri="{FF2B5EF4-FFF2-40B4-BE49-F238E27FC236}">
                <a16:creationId xmlns:a16="http://schemas.microsoft.com/office/drawing/2014/main" id="{29FDF44C-6AB8-493F-BFF1-A3F54018D956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5" name="$E$165">
            <a:extLst>
              <a:ext uri="{FF2B5EF4-FFF2-40B4-BE49-F238E27FC236}">
                <a16:creationId xmlns:a16="http://schemas.microsoft.com/office/drawing/2014/main" id="{FCC3C08B-5199-43BB-92F7-13F3EFA9EA2B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6" name="$E$165">
            <a:extLst>
              <a:ext uri="{FF2B5EF4-FFF2-40B4-BE49-F238E27FC236}">
                <a16:creationId xmlns:a16="http://schemas.microsoft.com/office/drawing/2014/main" id="{6A9E6621-A7EB-4A97-A717-CB2697DF5886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7" name="$E$165">
            <a:extLst>
              <a:ext uri="{FF2B5EF4-FFF2-40B4-BE49-F238E27FC236}">
                <a16:creationId xmlns:a16="http://schemas.microsoft.com/office/drawing/2014/main" id="{C53B7F6B-A5CC-439D-B856-59D26780D645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8" name="$E$165">
            <a:extLst>
              <a:ext uri="{FF2B5EF4-FFF2-40B4-BE49-F238E27FC236}">
                <a16:creationId xmlns:a16="http://schemas.microsoft.com/office/drawing/2014/main" id="{EDE1CA0D-116F-475A-AA0C-71C4E7041D09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9" name="$E$165">
            <a:extLst>
              <a:ext uri="{FF2B5EF4-FFF2-40B4-BE49-F238E27FC236}">
                <a16:creationId xmlns:a16="http://schemas.microsoft.com/office/drawing/2014/main" id="{D928F8BE-7720-4E2E-88FE-741CFDB8A50A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0" name="$E$165">
            <a:extLst>
              <a:ext uri="{FF2B5EF4-FFF2-40B4-BE49-F238E27FC236}">
                <a16:creationId xmlns:a16="http://schemas.microsoft.com/office/drawing/2014/main" id="{9FE8F475-5787-4D2B-8548-AEFCD5C60B27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1" name="$E$165">
            <a:extLst>
              <a:ext uri="{FF2B5EF4-FFF2-40B4-BE49-F238E27FC236}">
                <a16:creationId xmlns:a16="http://schemas.microsoft.com/office/drawing/2014/main" id="{82E5F1B7-E03C-4088-A06F-A5B983CBA04E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2" name="$E$165">
            <a:extLst>
              <a:ext uri="{FF2B5EF4-FFF2-40B4-BE49-F238E27FC236}">
                <a16:creationId xmlns:a16="http://schemas.microsoft.com/office/drawing/2014/main" id="{8C0452CC-00E4-4658-BB70-25373CB20C35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3" name="$E$165">
            <a:extLst>
              <a:ext uri="{FF2B5EF4-FFF2-40B4-BE49-F238E27FC236}">
                <a16:creationId xmlns:a16="http://schemas.microsoft.com/office/drawing/2014/main" id="{869548A7-6D5C-41C9-8A31-CAC38EF89CE7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4" name="$E$165">
            <a:extLst>
              <a:ext uri="{FF2B5EF4-FFF2-40B4-BE49-F238E27FC236}">
                <a16:creationId xmlns:a16="http://schemas.microsoft.com/office/drawing/2014/main" id="{05AF726E-3922-4FE2-BB39-12ECCFAD74A4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5" name="$E$165">
            <a:extLst>
              <a:ext uri="{FF2B5EF4-FFF2-40B4-BE49-F238E27FC236}">
                <a16:creationId xmlns:a16="http://schemas.microsoft.com/office/drawing/2014/main" id="{F2509002-E4E1-425F-87F3-AA8360F0870D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6" name="$E$165">
            <a:extLst>
              <a:ext uri="{FF2B5EF4-FFF2-40B4-BE49-F238E27FC236}">
                <a16:creationId xmlns:a16="http://schemas.microsoft.com/office/drawing/2014/main" id="{AA3500A5-FC09-4B52-A4E2-7A6E2F7FEBCF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7" name="$E$165">
            <a:extLst>
              <a:ext uri="{FF2B5EF4-FFF2-40B4-BE49-F238E27FC236}">
                <a16:creationId xmlns:a16="http://schemas.microsoft.com/office/drawing/2014/main" id="{8CBB7169-D48D-470B-A8EB-F557409E165A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8" name="$E$165">
            <a:extLst>
              <a:ext uri="{FF2B5EF4-FFF2-40B4-BE49-F238E27FC236}">
                <a16:creationId xmlns:a16="http://schemas.microsoft.com/office/drawing/2014/main" id="{4BC1154C-EC6E-42A4-9515-C9526E6D7842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9" name="$E$165">
            <a:extLst>
              <a:ext uri="{FF2B5EF4-FFF2-40B4-BE49-F238E27FC236}">
                <a16:creationId xmlns:a16="http://schemas.microsoft.com/office/drawing/2014/main" id="{F4104219-0142-4D2C-85E1-88E52B6D19F2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0" name="$E$165">
            <a:extLst>
              <a:ext uri="{FF2B5EF4-FFF2-40B4-BE49-F238E27FC236}">
                <a16:creationId xmlns:a16="http://schemas.microsoft.com/office/drawing/2014/main" id="{8C011893-0EA5-4B27-B6C9-662432E5DE0B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1" name="$E$165">
            <a:extLst>
              <a:ext uri="{FF2B5EF4-FFF2-40B4-BE49-F238E27FC236}">
                <a16:creationId xmlns:a16="http://schemas.microsoft.com/office/drawing/2014/main" id="{A3E8951E-00A8-481F-B020-8B97A340411B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2" name="$E$165">
            <a:extLst>
              <a:ext uri="{FF2B5EF4-FFF2-40B4-BE49-F238E27FC236}">
                <a16:creationId xmlns:a16="http://schemas.microsoft.com/office/drawing/2014/main" id="{67DBA228-A38A-4D85-B621-41F441D13F19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3" name="$E$165">
            <a:extLst>
              <a:ext uri="{FF2B5EF4-FFF2-40B4-BE49-F238E27FC236}">
                <a16:creationId xmlns:a16="http://schemas.microsoft.com/office/drawing/2014/main" id="{D64A37DB-3CC5-4634-AE0E-17405FB3E50C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4" name="$E$165">
            <a:extLst>
              <a:ext uri="{FF2B5EF4-FFF2-40B4-BE49-F238E27FC236}">
                <a16:creationId xmlns:a16="http://schemas.microsoft.com/office/drawing/2014/main" id="{A3D51B16-0EFC-4633-A80D-FCF2AFD6DC9E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5" name="$E$165">
            <a:extLst>
              <a:ext uri="{FF2B5EF4-FFF2-40B4-BE49-F238E27FC236}">
                <a16:creationId xmlns:a16="http://schemas.microsoft.com/office/drawing/2014/main" id="{E269D611-C631-42A3-8797-9AA19E71D7EA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6" name="$E$165">
            <a:extLst>
              <a:ext uri="{FF2B5EF4-FFF2-40B4-BE49-F238E27FC236}">
                <a16:creationId xmlns:a16="http://schemas.microsoft.com/office/drawing/2014/main" id="{93769CB9-D59A-4901-AA0E-B5C62D1B2B75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7" name="$E$165">
            <a:extLst>
              <a:ext uri="{FF2B5EF4-FFF2-40B4-BE49-F238E27FC236}">
                <a16:creationId xmlns:a16="http://schemas.microsoft.com/office/drawing/2014/main" id="{081CBF04-A769-46E7-A208-1DBE77466D4E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8" name="$E$165">
            <a:extLst>
              <a:ext uri="{FF2B5EF4-FFF2-40B4-BE49-F238E27FC236}">
                <a16:creationId xmlns:a16="http://schemas.microsoft.com/office/drawing/2014/main" id="{1FF13A15-8147-44F5-9D28-2F3D0C3B8B57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9" name="$E$165">
            <a:extLst>
              <a:ext uri="{FF2B5EF4-FFF2-40B4-BE49-F238E27FC236}">
                <a16:creationId xmlns:a16="http://schemas.microsoft.com/office/drawing/2014/main" id="{E1B32E74-5E2C-480A-8E09-17C3293D1DCE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0" name="$E$165">
            <a:extLst>
              <a:ext uri="{FF2B5EF4-FFF2-40B4-BE49-F238E27FC236}">
                <a16:creationId xmlns:a16="http://schemas.microsoft.com/office/drawing/2014/main" id="{EE552528-4753-4E64-92F0-4EF01DABCF3C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1" name="$E$165">
            <a:extLst>
              <a:ext uri="{FF2B5EF4-FFF2-40B4-BE49-F238E27FC236}">
                <a16:creationId xmlns:a16="http://schemas.microsoft.com/office/drawing/2014/main" id="{18D248EC-7F23-4F1F-B51B-722057AE49B2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2" name="$E$165">
            <a:extLst>
              <a:ext uri="{FF2B5EF4-FFF2-40B4-BE49-F238E27FC236}">
                <a16:creationId xmlns:a16="http://schemas.microsoft.com/office/drawing/2014/main" id="{7E4005BD-9233-4BCB-8A0E-92840964F206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3" name="$E$165">
            <a:extLst>
              <a:ext uri="{FF2B5EF4-FFF2-40B4-BE49-F238E27FC236}">
                <a16:creationId xmlns:a16="http://schemas.microsoft.com/office/drawing/2014/main" id="{58F92F98-9ED9-4ECA-B69F-9FD0DA5216DD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4" name="$E$165">
            <a:extLst>
              <a:ext uri="{FF2B5EF4-FFF2-40B4-BE49-F238E27FC236}">
                <a16:creationId xmlns:a16="http://schemas.microsoft.com/office/drawing/2014/main" id="{2F72C898-B501-4AC6-BA13-E8EE42B979D2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5" name="$E$165">
            <a:extLst>
              <a:ext uri="{FF2B5EF4-FFF2-40B4-BE49-F238E27FC236}">
                <a16:creationId xmlns:a16="http://schemas.microsoft.com/office/drawing/2014/main" id="{EEE27D80-E981-4173-B2F2-77E7F8929742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6" name="$E$165">
            <a:extLst>
              <a:ext uri="{FF2B5EF4-FFF2-40B4-BE49-F238E27FC236}">
                <a16:creationId xmlns:a16="http://schemas.microsoft.com/office/drawing/2014/main" id="{4B63C2D8-3EDD-4F5B-B11A-57220B169A27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7" name="$E$165">
            <a:extLst>
              <a:ext uri="{FF2B5EF4-FFF2-40B4-BE49-F238E27FC236}">
                <a16:creationId xmlns:a16="http://schemas.microsoft.com/office/drawing/2014/main" id="{EA1D1FA2-C077-4A0D-B296-6DF3D0C664EB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8" name="$E$165">
            <a:extLst>
              <a:ext uri="{FF2B5EF4-FFF2-40B4-BE49-F238E27FC236}">
                <a16:creationId xmlns:a16="http://schemas.microsoft.com/office/drawing/2014/main" id="{9722A5CD-0380-4104-8A8E-11573BD0FD02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9" name="$E$165">
            <a:extLst>
              <a:ext uri="{FF2B5EF4-FFF2-40B4-BE49-F238E27FC236}">
                <a16:creationId xmlns:a16="http://schemas.microsoft.com/office/drawing/2014/main" id="{09728370-DE76-45F2-BC9A-E690A50DC058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0" name="$E$165">
            <a:extLst>
              <a:ext uri="{FF2B5EF4-FFF2-40B4-BE49-F238E27FC236}">
                <a16:creationId xmlns:a16="http://schemas.microsoft.com/office/drawing/2014/main" id="{043F57C3-F317-4BDC-A33D-71009E736F71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1" name="$E$165">
            <a:extLst>
              <a:ext uri="{FF2B5EF4-FFF2-40B4-BE49-F238E27FC236}">
                <a16:creationId xmlns:a16="http://schemas.microsoft.com/office/drawing/2014/main" id="{CE43CBCB-E45B-4BD5-9235-F75E0C5211E9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2" name="$E$165">
            <a:extLst>
              <a:ext uri="{FF2B5EF4-FFF2-40B4-BE49-F238E27FC236}">
                <a16:creationId xmlns:a16="http://schemas.microsoft.com/office/drawing/2014/main" id="{9E856E2A-AB7C-4971-83F4-9903E8C3CCCA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3" name="$E$165">
            <a:extLst>
              <a:ext uri="{FF2B5EF4-FFF2-40B4-BE49-F238E27FC236}">
                <a16:creationId xmlns:a16="http://schemas.microsoft.com/office/drawing/2014/main" id="{3F3C2503-E407-4F7D-8AF8-0A3355A25E11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4" name="$E$165">
            <a:extLst>
              <a:ext uri="{FF2B5EF4-FFF2-40B4-BE49-F238E27FC236}">
                <a16:creationId xmlns:a16="http://schemas.microsoft.com/office/drawing/2014/main" id="{987A9F24-9483-4A62-AE78-9BC47EF74596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5" name="$E$165">
            <a:extLst>
              <a:ext uri="{FF2B5EF4-FFF2-40B4-BE49-F238E27FC236}">
                <a16:creationId xmlns:a16="http://schemas.microsoft.com/office/drawing/2014/main" id="{B3FBD0FB-9340-46E2-B244-3C8A980EEE75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6" name="$E$165">
            <a:extLst>
              <a:ext uri="{FF2B5EF4-FFF2-40B4-BE49-F238E27FC236}">
                <a16:creationId xmlns:a16="http://schemas.microsoft.com/office/drawing/2014/main" id="{1AE15953-B585-4F14-816B-5482950EF2E6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7" name="$E$165">
            <a:extLst>
              <a:ext uri="{FF2B5EF4-FFF2-40B4-BE49-F238E27FC236}">
                <a16:creationId xmlns:a16="http://schemas.microsoft.com/office/drawing/2014/main" id="{F6235DC1-1B1D-45AD-9AF6-8860FE775DF9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8" name="$E$165">
            <a:extLst>
              <a:ext uri="{FF2B5EF4-FFF2-40B4-BE49-F238E27FC236}">
                <a16:creationId xmlns:a16="http://schemas.microsoft.com/office/drawing/2014/main" id="{F9DF803C-26CB-4724-A1B3-C407870AAF85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9" name="$E$165">
            <a:extLst>
              <a:ext uri="{FF2B5EF4-FFF2-40B4-BE49-F238E27FC236}">
                <a16:creationId xmlns:a16="http://schemas.microsoft.com/office/drawing/2014/main" id="{92F64BE6-4F82-449A-8A35-0ED58194EBD4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0" name="$E$165">
            <a:extLst>
              <a:ext uri="{FF2B5EF4-FFF2-40B4-BE49-F238E27FC236}">
                <a16:creationId xmlns:a16="http://schemas.microsoft.com/office/drawing/2014/main" id="{C1429A21-6821-4791-8641-58F5FA713003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1" name="$E$165">
            <a:extLst>
              <a:ext uri="{FF2B5EF4-FFF2-40B4-BE49-F238E27FC236}">
                <a16:creationId xmlns:a16="http://schemas.microsoft.com/office/drawing/2014/main" id="{2D0A97C4-E55A-4888-8623-D0F36AF13A3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2" name="$E$165">
            <a:extLst>
              <a:ext uri="{FF2B5EF4-FFF2-40B4-BE49-F238E27FC236}">
                <a16:creationId xmlns:a16="http://schemas.microsoft.com/office/drawing/2014/main" id="{4C9E99D0-6368-4348-9FCB-5F70D61CAB26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3" name="$E$165">
            <a:extLst>
              <a:ext uri="{FF2B5EF4-FFF2-40B4-BE49-F238E27FC236}">
                <a16:creationId xmlns:a16="http://schemas.microsoft.com/office/drawing/2014/main" id="{61B65CB0-6690-46DC-9027-8047BB96506A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4" name="$E$165">
            <a:extLst>
              <a:ext uri="{FF2B5EF4-FFF2-40B4-BE49-F238E27FC236}">
                <a16:creationId xmlns:a16="http://schemas.microsoft.com/office/drawing/2014/main" id="{0B3591DB-C14E-40B4-95E6-50B7DF2ABA89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5" name="$E$165">
            <a:extLst>
              <a:ext uri="{FF2B5EF4-FFF2-40B4-BE49-F238E27FC236}">
                <a16:creationId xmlns:a16="http://schemas.microsoft.com/office/drawing/2014/main" id="{3E95F67E-401F-436C-A867-B3D457B9ABB5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6" name="$E$165">
            <a:extLst>
              <a:ext uri="{FF2B5EF4-FFF2-40B4-BE49-F238E27FC236}">
                <a16:creationId xmlns:a16="http://schemas.microsoft.com/office/drawing/2014/main" id="{BE8DD0E9-EAF2-47F8-8F70-C165B57454E6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7" name="$E$165">
            <a:extLst>
              <a:ext uri="{FF2B5EF4-FFF2-40B4-BE49-F238E27FC236}">
                <a16:creationId xmlns:a16="http://schemas.microsoft.com/office/drawing/2014/main" id="{A0B4DB33-2183-427F-A0F5-80D53F57E96B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8" name="$E$165">
            <a:extLst>
              <a:ext uri="{FF2B5EF4-FFF2-40B4-BE49-F238E27FC236}">
                <a16:creationId xmlns:a16="http://schemas.microsoft.com/office/drawing/2014/main" id="{D299E85E-D355-45CA-A565-A519032FDCAF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9" name="$E$165">
            <a:extLst>
              <a:ext uri="{FF2B5EF4-FFF2-40B4-BE49-F238E27FC236}">
                <a16:creationId xmlns:a16="http://schemas.microsoft.com/office/drawing/2014/main" id="{92776EE3-5FB4-4B8B-A8E0-5CE4668FC36D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0" name="$E$165">
            <a:extLst>
              <a:ext uri="{FF2B5EF4-FFF2-40B4-BE49-F238E27FC236}">
                <a16:creationId xmlns:a16="http://schemas.microsoft.com/office/drawing/2014/main" id="{DBD08130-8E01-4F50-84F1-A989DBBC6905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1" name="$E$165">
            <a:extLst>
              <a:ext uri="{FF2B5EF4-FFF2-40B4-BE49-F238E27FC236}">
                <a16:creationId xmlns:a16="http://schemas.microsoft.com/office/drawing/2014/main" id="{C7E9240E-2885-48DB-ABAF-EB39CD93B6A6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2" name="$E$165">
            <a:extLst>
              <a:ext uri="{FF2B5EF4-FFF2-40B4-BE49-F238E27FC236}">
                <a16:creationId xmlns:a16="http://schemas.microsoft.com/office/drawing/2014/main" id="{D8F646A4-ACE3-47AA-A520-0F3DB852719D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3" name="$E$165">
            <a:extLst>
              <a:ext uri="{FF2B5EF4-FFF2-40B4-BE49-F238E27FC236}">
                <a16:creationId xmlns:a16="http://schemas.microsoft.com/office/drawing/2014/main" id="{AD38A4EC-F27F-4CC5-8456-2AD4546D7891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4" name="$E$165">
            <a:extLst>
              <a:ext uri="{FF2B5EF4-FFF2-40B4-BE49-F238E27FC236}">
                <a16:creationId xmlns:a16="http://schemas.microsoft.com/office/drawing/2014/main" id="{48BEBB4E-37F9-464F-8505-7CDC5951C08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5" name="$E$165">
            <a:extLst>
              <a:ext uri="{FF2B5EF4-FFF2-40B4-BE49-F238E27FC236}">
                <a16:creationId xmlns:a16="http://schemas.microsoft.com/office/drawing/2014/main" id="{FB256F1A-B508-4459-B028-12D5E381A7E5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6" name="$E$165">
            <a:extLst>
              <a:ext uri="{FF2B5EF4-FFF2-40B4-BE49-F238E27FC236}">
                <a16:creationId xmlns:a16="http://schemas.microsoft.com/office/drawing/2014/main" id="{F3DF2A06-8642-4997-9F4D-0AB7F12E4D4D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7" name="$E$165">
            <a:extLst>
              <a:ext uri="{FF2B5EF4-FFF2-40B4-BE49-F238E27FC236}">
                <a16:creationId xmlns:a16="http://schemas.microsoft.com/office/drawing/2014/main" id="{F51382D8-0A2F-441C-807C-6FB36A2CAA88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8" name="$E$165">
            <a:extLst>
              <a:ext uri="{FF2B5EF4-FFF2-40B4-BE49-F238E27FC236}">
                <a16:creationId xmlns:a16="http://schemas.microsoft.com/office/drawing/2014/main" id="{443697DE-3A26-412C-B2F2-1FE803C23229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9" name="$E$165">
            <a:extLst>
              <a:ext uri="{FF2B5EF4-FFF2-40B4-BE49-F238E27FC236}">
                <a16:creationId xmlns:a16="http://schemas.microsoft.com/office/drawing/2014/main" id="{E432DD13-D101-48FD-B272-D9D58F7A3314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0" name="$E$165">
            <a:extLst>
              <a:ext uri="{FF2B5EF4-FFF2-40B4-BE49-F238E27FC236}">
                <a16:creationId xmlns:a16="http://schemas.microsoft.com/office/drawing/2014/main" id="{5453FF44-6F0D-4BD9-8419-769A67BC9609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1" name="$E$165">
            <a:extLst>
              <a:ext uri="{FF2B5EF4-FFF2-40B4-BE49-F238E27FC236}">
                <a16:creationId xmlns:a16="http://schemas.microsoft.com/office/drawing/2014/main" id="{91A79D29-02C5-43A7-B8CC-B44953F66DE4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2" name="$E$165">
            <a:extLst>
              <a:ext uri="{FF2B5EF4-FFF2-40B4-BE49-F238E27FC236}">
                <a16:creationId xmlns:a16="http://schemas.microsoft.com/office/drawing/2014/main" id="{DB466BB3-5186-4AFD-B809-4CB01641C171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3" name="$E$165">
            <a:extLst>
              <a:ext uri="{FF2B5EF4-FFF2-40B4-BE49-F238E27FC236}">
                <a16:creationId xmlns:a16="http://schemas.microsoft.com/office/drawing/2014/main" id="{201F8296-3905-4113-AB09-196EE3DF712F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4" name="$E$165">
            <a:extLst>
              <a:ext uri="{FF2B5EF4-FFF2-40B4-BE49-F238E27FC236}">
                <a16:creationId xmlns:a16="http://schemas.microsoft.com/office/drawing/2014/main" id="{C0841BFE-2E23-4E9E-B4ED-90D4F24CC974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5" name="$E$165">
            <a:extLst>
              <a:ext uri="{FF2B5EF4-FFF2-40B4-BE49-F238E27FC236}">
                <a16:creationId xmlns:a16="http://schemas.microsoft.com/office/drawing/2014/main" id="{DC85618B-BF93-4F1E-BB33-DE911BCBFDC9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6" name="$E$165">
            <a:extLst>
              <a:ext uri="{FF2B5EF4-FFF2-40B4-BE49-F238E27FC236}">
                <a16:creationId xmlns:a16="http://schemas.microsoft.com/office/drawing/2014/main" id="{4465D892-A9B5-484F-B02F-3C3F9D2471F4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7" name="$E$165">
            <a:extLst>
              <a:ext uri="{FF2B5EF4-FFF2-40B4-BE49-F238E27FC236}">
                <a16:creationId xmlns:a16="http://schemas.microsoft.com/office/drawing/2014/main" id="{CCD00FD5-7963-4EE2-BE9C-AAE9ED53C3E8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8" name="$E$165">
            <a:extLst>
              <a:ext uri="{FF2B5EF4-FFF2-40B4-BE49-F238E27FC236}">
                <a16:creationId xmlns:a16="http://schemas.microsoft.com/office/drawing/2014/main" id="{15A4DFB3-8E64-45B3-A824-0995344C42A1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9" name="$E$165">
            <a:extLst>
              <a:ext uri="{FF2B5EF4-FFF2-40B4-BE49-F238E27FC236}">
                <a16:creationId xmlns:a16="http://schemas.microsoft.com/office/drawing/2014/main" id="{FAC0BC4D-70B2-45C3-94A9-B797485E34B4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0" name="$E$165">
            <a:extLst>
              <a:ext uri="{FF2B5EF4-FFF2-40B4-BE49-F238E27FC236}">
                <a16:creationId xmlns:a16="http://schemas.microsoft.com/office/drawing/2014/main" id="{988C12AB-723D-4275-B5B6-637E29343524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1" name="$E$165">
            <a:extLst>
              <a:ext uri="{FF2B5EF4-FFF2-40B4-BE49-F238E27FC236}">
                <a16:creationId xmlns:a16="http://schemas.microsoft.com/office/drawing/2014/main" id="{1F61E161-9FD2-4168-999D-D8544B2DE159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2" name="$E$165">
            <a:extLst>
              <a:ext uri="{FF2B5EF4-FFF2-40B4-BE49-F238E27FC236}">
                <a16:creationId xmlns:a16="http://schemas.microsoft.com/office/drawing/2014/main" id="{0E03824B-CD84-4ADD-8D8D-E9B681320EDE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3" name="$E$165">
            <a:extLst>
              <a:ext uri="{FF2B5EF4-FFF2-40B4-BE49-F238E27FC236}">
                <a16:creationId xmlns:a16="http://schemas.microsoft.com/office/drawing/2014/main" id="{F52E6049-684D-48E7-BAB0-86C9EBA1BD35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4" name="$E$165">
            <a:extLst>
              <a:ext uri="{FF2B5EF4-FFF2-40B4-BE49-F238E27FC236}">
                <a16:creationId xmlns:a16="http://schemas.microsoft.com/office/drawing/2014/main" id="{B5723E2A-AC40-4E46-B2DF-215043F00FE9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5" name="$E$165">
            <a:extLst>
              <a:ext uri="{FF2B5EF4-FFF2-40B4-BE49-F238E27FC236}">
                <a16:creationId xmlns:a16="http://schemas.microsoft.com/office/drawing/2014/main" id="{DC11849C-A078-4506-83D0-A82A31FCBA1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6" name="$E$165">
            <a:extLst>
              <a:ext uri="{FF2B5EF4-FFF2-40B4-BE49-F238E27FC236}">
                <a16:creationId xmlns:a16="http://schemas.microsoft.com/office/drawing/2014/main" id="{27ED06D8-1C71-4131-A0E0-1F8CA908ECDB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7" name="$E$165">
            <a:extLst>
              <a:ext uri="{FF2B5EF4-FFF2-40B4-BE49-F238E27FC236}">
                <a16:creationId xmlns:a16="http://schemas.microsoft.com/office/drawing/2014/main" id="{4382544E-6B56-477A-AC5A-4ADE66FA1206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8" name="$E$165">
            <a:extLst>
              <a:ext uri="{FF2B5EF4-FFF2-40B4-BE49-F238E27FC236}">
                <a16:creationId xmlns:a16="http://schemas.microsoft.com/office/drawing/2014/main" id="{E06BA156-9877-4E3D-9862-ED3996029D5C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9" name="$E$165">
            <a:extLst>
              <a:ext uri="{FF2B5EF4-FFF2-40B4-BE49-F238E27FC236}">
                <a16:creationId xmlns:a16="http://schemas.microsoft.com/office/drawing/2014/main" id="{4FCCAC13-07B8-4B68-95B8-C62F13D02374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167</xdr:row>
      <xdr:rowOff>45864</xdr:rowOff>
    </xdr:from>
    <xdr:to>
      <xdr:col>4</xdr:col>
      <xdr:colOff>1559107</xdr:colOff>
      <xdr:row>167</xdr:row>
      <xdr:rowOff>1506727</xdr:rowOff>
    </xdr:to>
    <xdr:grpSp>
      <xdr:nvGrpSpPr>
        <xdr:cNvPr id="8050" name="$E$168" descr="QuickResponse barcode, level L, version 4, mode binary, 33x33 cells" title="https://centrodecapacitaciondelsur.com/manejo-del-duelo-1085307605/">
          <a:extLst>
            <a:ext uri="{FF2B5EF4-FFF2-40B4-BE49-F238E27FC236}">
              <a16:creationId xmlns:a16="http://schemas.microsoft.com/office/drawing/2014/main" id="{2B606BDB-F06C-44AF-B513-70ED2C9B296C}"/>
            </a:ext>
          </a:extLst>
        </xdr:cNvPr>
        <xdr:cNvGrpSpPr>
          <a:grpSpLocks noChangeAspect="1"/>
        </xdr:cNvGrpSpPr>
      </xdr:nvGrpSpPr>
      <xdr:grpSpPr>
        <a:xfrm>
          <a:off x="20672244" y="209481564"/>
          <a:ext cx="1460863" cy="1460863"/>
          <a:chOff x="0" y="0"/>
          <a:chExt cx="419100" cy="419100"/>
        </a:xfrm>
      </xdr:grpSpPr>
      <xdr:sp macro="" textlink="">
        <xdr:nvSpPr>
          <xdr:cNvPr id="7501" name="$E$168">
            <a:extLst>
              <a:ext uri="{FF2B5EF4-FFF2-40B4-BE49-F238E27FC236}">
                <a16:creationId xmlns:a16="http://schemas.microsoft.com/office/drawing/2014/main" id="{9ADE2E02-DBF8-43CB-B6BC-D4D6C6F27AAC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2" name="$E$168">
            <a:extLst>
              <a:ext uri="{FF2B5EF4-FFF2-40B4-BE49-F238E27FC236}">
                <a16:creationId xmlns:a16="http://schemas.microsoft.com/office/drawing/2014/main" id="{E80DE751-169B-4F05-8321-2AB9DAB379B6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3" name="$E$168">
            <a:extLst>
              <a:ext uri="{FF2B5EF4-FFF2-40B4-BE49-F238E27FC236}">
                <a16:creationId xmlns:a16="http://schemas.microsoft.com/office/drawing/2014/main" id="{4C96B614-1DE9-42E5-98B8-ED07322C1A2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4" name="$E$168">
            <a:extLst>
              <a:ext uri="{FF2B5EF4-FFF2-40B4-BE49-F238E27FC236}">
                <a16:creationId xmlns:a16="http://schemas.microsoft.com/office/drawing/2014/main" id="{07322D6A-882D-4C08-849E-1308544F958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5" name="$E$168">
            <a:extLst>
              <a:ext uri="{FF2B5EF4-FFF2-40B4-BE49-F238E27FC236}">
                <a16:creationId xmlns:a16="http://schemas.microsoft.com/office/drawing/2014/main" id="{C610F655-3596-4E56-9AEF-DE64BAB5B442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6" name="$E$168">
            <a:extLst>
              <a:ext uri="{FF2B5EF4-FFF2-40B4-BE49-F238E27FC236}">
                <a16:creationId xmlns:a16="http://schemas.microsoft.com/office/drawing/2014/main" id="{C4F5874A-BD86-4374-9B7B-AC91C2965C69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7" name="$E$168">
            <a:extLst>
              <a:ext uri="{FF2B5EF4-FFF2-40B4-BE49-F238E27FC236}">
                <a16:creationId xmlns:a16="http://schemas.microsoft.com/office/drawing/2014/main" id="{54BAF76C-020B-49EF-A5E5-935CCC5EB832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8" name="$E$168">
            <a:extLst>
              <a:ext uri="{FF2B5EF4-FFF2-40B4-BE49-F238E27FC236}">
                <a16:creationId xmlns:a16="http://schemas.microsoft.com/office/drawing/2014/main" id="{115EEC93-4501-4804-A2E4-9B8EEE7EA8B4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9" name="$E$168">
            <a:extLst>
              <a:ext uri="{FF2B5EF4-FFF2-40B4-BE49-F238E27FC236}">
                <a16:creationId xmlns:a16="http://schemas.microsoft.com/office/drawing/2014/main" id="{8837FD1E-B4E6-4C5B-B7CC-985B01793AA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0" name="$E$168">
            <a:extLst>
              <a:ext uri="{FF2B5EF4-FFF2-40B4-BE49-F238E27FC236}">
                <a16:creationId xmlns:a16="http://schemas.microsoft.com/office/drawing/2014/main" id="{D02D3B88-D86C-4EF2-B0CF-7986DE24DCAA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1" name="$E$168">
            <a:extLst>
              <a:ext uri="{FF2B5EF4-FFF2-40B4-BE49-F238E27FC236}">
                <a16:creationId xmlns:a16="http://schemas.microsoft.com/office/drawing/2014/main" id="{CDAFA0F2-1E74-4E16-95FF-97EFAFCE1028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2" name="$E$168">
            <a:extLst>
              <a:ext uri="{FF2B5EF4-FFF2-40B4-BE49-F238E27FC236}">
                <a16:creationId xmlns:a16="http://schemas.microsoft.com/office/drawing/2014/main" id="{0DD77812-C850-41DC-8EA8-5852C9CC7903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3" name="$E$168">
            <a:extLst>
              <a:ext uri="{FF2B5EF4-FFF2-40B4-BE49-F238E27FC236}">
                <a16:creationId xmlns:a16="http://schemas.microsoft.com/office/drawing/2014/main" id="{8E7BBA1B-8069-48C7-8A7D-9E15D42117BC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4" name="$E$168">
            <a:extLst>
              <a:ext uri="{FF2B5EF4-FFF2-40B4-BE49-F238E27FC236}">
                <a16:creationId xmlns:a16="http://schemas.microsoft.com/office/drawing/2014/main" id="{415D5C45-47E4-4CFA-9B37-2B497447B4EB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5" name="$E$168">
            <a:extLst>
              <a:ext uri="{FF2B5EF4-FFF2-40B4-BE49-F238E27FC236}">
                <a16:creationId xmlns:a16="http://schemas.microsoft.com/office/drawing/2014/main" id="{0AEE8CD2-2CE3-4A53-B9E9-9E61321ADA2A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6" name="$E$168">
            <a:extLst>
              <a:ext uri="{FF2B5EF4-FFF2-40B4-BE49-F238E27FC236}">
                <a16:creationId xmlns:a16="http://schemas.microsoft.com/office/drawing/2014/main" id="{51AFD4E0-B236-4125-B559-21D8794B348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7" name="$E$168">
            <a:extLst>
              <a:ext uri="{FF2B5EF4-FFF2-40B4-BE49-F238E27FC236}">
                <a16:creationId xmlns:a16="http://schemas.microsoft.com/office/drawing/2014/main" id="{0543E14D-8A2F-4575-9D2F-5E429DB41DB5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8" name="$E$168">
            <a:extLst>
              <a:ext uri="{FF2B5EF4-FFF2-40B4-BE49-F238E27FC236}">
                <a16:creationId xmlns:a16="http://schemas.microsoft.com/office/drawing/2014/main" id="{A5334778-AC36-485D-B837-EF1E4423F3D8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9" name="$E$168">
            <a:extLst>
              <a:ext uri="{FF2B5EF4-FFF2-40B4-BE49-F238E27FC236}">
                <a16:creationId xmlns:a16="http://schemas.microsoft.com/office/drawing/2014/main" id="{D535A9B0-5426-4BC1-9009-25ED16E01411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0" name="$E$168">
            <a:extLst>
              <a:ext uri="{FF2B5EF4-FFF2-40B4-BE49-F238E27FC236}">
                <a16:creationId xmlns:a16="http://schemas.microsoft.com/office/drawing/2014/main" id="{8E092E21-8DD6-4259-95C3-CE5168DD198B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1" name="$E$168">
            <a:extLst>
              <a:ext uri="{FF2B5EF4-FFF2-40B4-BE49-F238E27FC236}">
                <a16:creationId xmlns:a16="http://schemas.microsoft.com/office/drawing/2014/main" id="{1ECA6A4F-B569-4F60-BB6B-C7FAC7EE4115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2" name="$E$168">
            <a:extLst>
              <a:ext uri="{FF2B5EF4-FFF2-40B4-BE49-F238E27FC236}">
                <a16:creationId xmlns:a16="http://schemas.microsoft.com/office/drawing/2014/main" id="{46B27F6B-A560-4BF5-B5FB-430B7F13EB7C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3" name="$E$168">
            <a:extLst>
              <a:ext uri="{FF2B5EF4-FFF2-40B4-BE49-F238E27FC236}">
                <a16:creationId xmlns:a16="http://schemas.microsoft.com/office/drawing/2014/main" id="{FCC6E0A1-393E-40FA-B8AC-6C9D0B6B8545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4" name="$E$168">
            <a:extLst>
              <a:ext uri="{FF2B5EF4-FFF2-40B4-BE49-F238E27FC236}">
                <a16:creationId xmlns:a16="http://schemas.microsoft.com/office/drawing/2014/main" id="{232E2540-4B39-4E9D-BDF7-08A1F43F465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5" name="$E$168">
            <a:extLst>
              <a:ext uri="{FF2B5EF4-FFF2-40B4-BE49-F238E27FC236}">
                <a16:creationId xmlns:a16="http://schemas.microsoft.com/office/drawing/2014/main" id="{ED4DB0E4-91C7-4560-A5CB-7AC1D8F4696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6" name="$E$168">
            <a:extLst>
              <a:ext uri="{FF2B5EF4-FFF2-40B4-BE49-F238E27FC236}">
                <a16:creationId xmlns:a16="http://schemas.microsoft.com/office/drawing/2014/main" id="{6B1A97B2-61D7-48F7-AC3D-FA0F0FC09A9A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7" name="$E$168">
            <a:extLst>
              <a:ext uri="{FF2B5EF4-FFF2-40B4-BE49-F238E27FC236}">
                <a16:creationId xmlns:a16="http://schemas.microsoft.com/office/drawing/2014/main" id="{8A84FAF2-7A9D-453C-8831-B57231B7B37D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8" name="$E$168">
            <a:extLst>
              <a:ext uri="{FF2B5EF4-FFF2-40B4-BE49-F238E27FC236}">
                <a16:creationId xmlns:a16="http://schemas.microsoft.com/office/drawing/2014/main" id="{94122344-935D-4DC3-98FB-D41ADE4A52EF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9" name="$E$168">
            <a:extLst>
              <a:ext uri="{FF2B5EF4-FFF2-40B4-BE49-F238E27FC236}">
                <a16:creationId xmlns:a16="http://schemas.microsoft.com/office/drawing/2014/main" id="{0E6E54F0-F1BD-4A66-BD4B-E4B068DDD46E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0" name="$E$168">
            <a:extLst>
              <a:ext uri="{FF2B5EF4-FFF2-40B4-BE49-F238E27FC236}">
                <a16:creationId xmlns:a16="http://schemas.microsoft.com/office/drawing/2014/main" id="{8EEF8318-22B9-4DF2-8A3B-924ECC0A4075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1" name="$E$168">
            <a:extLst>
              <a:ext uri="{FF2B5EF4-FFF2-40B4-BE49-F238E27FC236}">
                <a16:creationId xmlns:a16="http://schemas.microsoft.com/office/drawing/2014/main" id="{709B8C1B-7D87-48A8-B00D-8831DC94BFC2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2" name="$E$168">
            <a:extLst>
              <a:ext uri="{FF2B5EF4-FFF2-40B4-BE49-F238E27FC236}">
                <a16:creationId xmlns:a16="http://schemas.microsoft.com/office/drawing/2014/main" id="{62114F45-0A82-4212-8746-A2F859D7B38B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3" name="$E$168">
            <a:extLst>
              <a:ext uri="{FF2B5EF4-FFF2-40B4-BE49-F238E27FC236}">
                <a16:creationId xmlns:a16="http://schemas.microsoft.com/office/drawing/2014/main" id="{1EE1FFDC-3713-45BA-980F-214D9E5D9CFF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4" name="$E$168">
            <a:extLst>
              <a:ext uri="{FF2B5EF4-FFF2-40B4-BE49-F238E27FC236}">
                <a16:creationId xmlns:a16="http://schemas.microsoft.com/office/drawing/2014/main" id="{B81EE2FB-F60D-46F0-8DDA-8975CF028CC4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5" name="$E$168">
            <a:extLst>
              <a:ext uri="{FF2B5EF4-FFF2-40B4-BE49-F238E27FC236}">
                <a16:creationId xmlns:a16="http://schemas.microsoft.com/office/drawing/2014/main" id="{B88FC282-2DCE-47CB-B6C8-1B8439EED735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6" name="$E$168">
            <a:extLst>
              <a:ext uri="{FF2B5EF4-FFF2-40B4-BE49-F238E27FC236}">
                <a16:creationId xmlns:a16="http://schemas.microsoft.com/office/drawing/2014/main" id="{58BC2A2B-4C5D-49E9-922E-FCC38445C612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7" name="$E$168">
            <a:extLst>
              <a:ext uri="{FF2B5EF4-FFF2-40B4-BE49-F238E27FC236}">
                <a16:creationId xmlns:a16="http://schemas.microsoft.com/office/drawing/2014/main" id="{8EB38FE8-EC23-4120-8AE3-B684DF7B04DC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8" name="$E$168">
            <a:extLst>
              <a:ext uri="{FF2B5EF4-FFF2-40B4-BE49-F238E27FC236}">
                <a16:creationId xmlns:a16="http://schemas.microsoft.com/office/drawing/2014/main" id="{C97AE4D7-11E6-4109-9F87-3220CD3ADD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9" name="$E$168">
            <a:extLst>
              <a:ext uri="{FF2B5EF4-FFF2-40B4-BE49-F238E27FC236}">
                <a16:creationId xmlns:a16="http://schemas.microsoft.com/office/drawing/2014/main" id="{DB31B307-9C3D-487A-9561-9A85589B58CF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0" name="$E$168">
            <a:extLst>
              <a:ext uri="{FF2B5EF4-FFF2-40B4-BE49-F238E27FC236}">
                <a16:creationId xmlns:a16="http://schemas.microsoft.com/office/drawing/2014/main" id="{E66E4B16-4287-4A88-A28E-F2D5D5CD06C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1" name="$E$168">
            <a:extLst>
              <a:ext uri="{FF2B5EF4-FFF2-40B4-BE49-F238E27FC236}">
                <a16:creationId xmlns:a16="http://schemas.microsoft.com/office/drawing/2014/main" id="{45C629CF-736E-4CF0-A909-336B92EFE09A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2" name="$E$168">
            <a:extLst>
              <a:ext uri="{FF2B5EF4-FFF2-40B4-BE49-F238E27FC236}">
                <a16:creationId xmlns:a16="http://schemas.microsoft.com/office/drawing/2014/main" id="{8814F9D8-8CA3-470E-AD33-64D68A1B8E27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3" name="$E$168">
            <a:extLst>
              <a:ext uri="{FF2B5EF4-FFF2-40B4-BE49-F238E27FC236}">
                <a16:creationId xmlns:a16="http://schemas.microsoft.com/office/drawing/2014/main" id="{A6499952-F3FD-4EB9-86E2-BA6A7C9C3C78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4" name="$E$168">
            <a:extLst>
              <a:ext uri="{FF2B5EF4-FFF2-40B4-BE49-F238E27FC236}">
                <a16:creationId xmlns:a16="http://schemas.microsoft.com/office/drawing/2014/main" id="{F2E0D72B-97A6-42C7-85CA-628D1CC061B6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5" name="$E$168">
            <a:extLst>
              <a:ext uri="{FF2B5EF4-FFF2-40B4-BE49-F238E27FC236}">
                <a16:creationId xmlns:a16="http://schemas.microsoft.com/office/drawing/2014/main" id="{0E29A71E-621B-407B-BCE5-95AA606F73DE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6" name="$E$168">
            <a:extLst>
              <a:ext uri="{FF2B5EF4-FFF2-40B4-BE49-F238E27FC236}">
                <a16:creationId xmlns:a16="http://schemas.microsoft.com/office/drawing/2014/main" id="{4FDF23A2-9338-4366-970A-2E3814CDFD0F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7" name="$E$168">
            <a:extLst>
              <a:ext uri="{FF2B5EF4-FFF2-40B4-BE49-F238E27FC236}">
                <a16:creationId xmlns:a16="http://schemas.microsoft.com/office/drawing/2014/main" id="{C493F208-9FDA-4211-A1DC-DA67708A77DF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8" name="$E$168">
            <a:extLst>
              <a:ext uri="{FF2B5EF4-FFF2-40B4-BE49-F238E27FC236}">
                <a16:creationId xmlns:a16="http://schemas.microsoft.com/office/drawing/2014/main" id="{1E3BE522-0D87-4636-89F4-B86BE064810A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9" name="$E$168">
            <a:extLst>
              <a:ext uri="{FF2B5EF4-FFF2-40B4-BE49-F238E27FC236}">
                <a16:creationId xmlns:a16="http://schemas.microsoft.com/office/drawing/2014/main" id="{CA61D2EB-0524-4FEC-BB1E-90060B37DDF2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0" name="$E$168">
            <a:extLst>
              <a:ext uri="{FF2B5EF4-FFF2-40B4-BE49-F238E27FC236}">
                <a16:creationId xmlns:a16="http://schemas.microsoft.com/office/drawing/2014/main" id="{E9DBFF52-7412-4383-8828-5933FAC8CB1E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1" name="$E$168">
            <a:extLst>
              <a:ext uri="{FF2B5EF4-FFF2-40B4-BE49-F238E27FC236}">
                <a16:creationId xmlns:a16="http://schemas.microsoft.com/office/drawing/2014/main" id="{F3D27536-F556-41D2-9A24-E9CDEEFCAFC1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2" name="$E$168">
            <a:extLst>
              <a:ext uri="{FF2B5EF4-FFF2-40B4-BE49-F238E27FC236}">
                <a16:creationId xmlns:a16="http://schemas.microsoft.com/office/drawing/2014/main" id="{DCAE3D09-7634-4858-930C-E2F5F450721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3" name="$E$168">
            <a:extLst>
              <a:ext uri="{FF2B5EF4-FFF2-40B4-BE49-F238E27FC236}">
                <a16:creationId xmlns:a16="http://schemas.microsoft.com/office/drawing/2014/main" id="{DA78FDEC-9366-4003-A592-64D5295E3F2E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4" name="$E$168">
            <a:extLst>
              <a:ext uri="{FF2B5EF4-FFF2-40B4-BE49-F238E27FC236}">
                <a16:creationId xmlns:a16="http://schemas.microsoft.com/office/drawing/2014/main" id="{BD504D4A-07F4-4A15-95B8-298DAE41E8C3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5" name="$E$168">
            <a:extLst>
              <a:ext uri="{FF2B5EF4-FFF2-40B4-BE49-F238E27FC236}">
                <a16:creationId xmlns:a16="http://schemas.microsoft.com/office/drawing/2014/main" id="{9109F16C-6F4E-4A8A-868B-1E64CC447715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6" name="$E$168">
            <a:extLst>
              <a:ext uri="{FF2B5EF4-FFF2-40B4-BE49-F238E27FC236}">
                <a16:creationId xmlns:a16="http://schemas.microsoft.com/office/drawing/2014/main" id="{A48408F2-577F-4ADE-B6F8-9FB6CDC45CE7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7" name="$E$168">
            <a:extLst>
              <a:ext uri="{FF2B5EF4-FFF2-40B4-BE49-F238E27FC236}">
                <a16:creationId xmlns:a16="http://schemas.microsoft.com/office/drawing/2014/main" id="{8CC45737-2FBD-457B-B097-83F24723F2B5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8" name="$E$168">
            <a:extLst>
              <a:ext uri="{FF2B5EF4-FFF2-40B4-BE49-F238E27FC236}">
                <a16:creationId xmlns:a16="http://schemas.microsoft.com/office/drawing/2014/main" id="{06A1D8A2-27E3-4488-B410-131AA46BAC6A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9" name="$E$168">
            <a:extLst>
              <a:ext uri="{FF2B5EF4-FFF2-40B4-BE49-F238E27FC236}">
                <a16:creationId xmlns:a16="http://schemas.microsoft.com/office/drawing/2014/main" id="{6A575093-4F3C-406C-9334-45BB61452F9B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0" name="$E$168">
            <a:extLst>
              <a:ext uri="{FF2B5EF4-FFF2-40B4-BE49-F238E27FC236}">
                <a16:creationId xmlns:a16="http://schemas.microsoft.com/office/drawing/2014/main" id="{0DB73F7E-0767-4117-93FB-10480BD6811D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1" name="$E$168">
            <a:extLst>
              <a:ext uri="{FF2B5EF4-FFF2-40B4-BE49-F238E27FC236}">
                <a16:creationId xmlns:a16="http://schemas.microsoft.com/office/drawing/2014/main" id="{D28AD9C7-5484-4DBD-BC16-47757E007EAB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2" name="$E$168">
            <a:extLst>
              <a:ext uri="{FF2B5EF4-FFF2-40B4-BE49-F238E27FC236}">
                <a16:creationId xmlns:a16="http://schemas.microsoft.com/office/drawing/2014/main" id="{00D68D30-947C-4FE3-B5F7-F84F59B351FE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3" name="$E$168">
            <a:extLst>
              <a:ext uri="{FF2B5EF4-FFF2-40B4-BE49-F238E27FC236}">
                <a16:creationId xmlns:a16="http://schemas.microsoft.com/office/drawing/2014/main" id="{D59D717F-BEBE-400C-9F42-9DBA20029CCA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4" name="$E$168">
            <a:extLst>
              <a:ext uri="{FF2B5EF4-FFF2-40B4-BE49-F238E27FC236}">
                <a16:creationId xmlns:a16="http://schemas.microsoft.com/office/drawing/2014/main" id="{154D27F5-8FA6-425F-85BE-DB3DC2EAD85C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5" name="$E$168">
            <a:extLst>
              <a:ext uri="{FF2B5EF4-FFF2-40B4-BE49-F238E27FC236}">
                <a16:creationId xmlns:a16="http://schemas.microsoft.com/office/drawing/2014/main" id="{32978AEA-5AF4-4327-8ED6-9EC4196E05F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6" name="$E$168">
            <a:extLst>
              <a:ext uri="{FF2B5EF4-FFF2-40B4-BE49-F238E27FC236}">
                <a16:creationId xmlns:a16="http://schemas.microsoft.com/office/drawing/2014/main" id="{BA3126A1-57CD-4B3C-BC2C-D865E780A6BB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7" name="$E$168">
            <a:extLst>
              <a:ext uri="{FF2B5EF4-FFF2-40B4-BE49-F238E27FC236}">
                <a16:creationId xmlns:a16="http://schemas.microsoft.com/office/drawing/2014/main" id="{6794104C-FDDE-4688-9652-74E1A69C63A8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8" name="$E$168">
            <a:extLst>
              <a:ext uri="{FF2B5EF4-FFF2-40B4-BE49-F238E27FC236}">
                <a16:creationId xmlns:a16="http://schemas.microsoft.com/office/drawing/2014/main" id="{4ED56445-00C5-46B2-9486-57457E4C8BAA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9" name="$E$168">
            <a:extLst>
              <a:ext uri="{FF2B5EF4-FFF2-40B4-BE49-F238E27FC236}">
                <a16:creationId xmlns:a16="http://schemas.microsoft.com/office/drawing/2014/main" id="{4BBEC90E-B159-40FA-82D6-EF0F7FD6B3D2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0" name="$E$168">
            <a:extLst>
              <a:ext uri="{FF2B5EF4-FFF2-40B4-BE49-F238E27FC236}">
                <a16:creationId xmlns:a16="http://schemas.microsoft.com/office/drawing/2014/main" id="{D2D9515C-E05E-4662-9B9D-8E78BAC781E9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1" name="$E$168">
            <a:extLst>
              <a:ext uri="{FF2B5EF4-FFF2-40B4-BE49-F238E27FC236}">
                <a16:creationId xmlns:a16="http://schemas.microsoft.com/office/drawing/2014/main" id="{B2804962-3CD1-4B78-BFED-BDB7DA14FEA1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2" name="$E$168">
            <a:extLst>
              <a:ext uri="{FF2B5EF4-FFF2-40B4-BE49-F238E27FC236}">
                <a16:creationId xmlns:a16="http://schemas.microsoft.com/office/drawing/2014/main" id="{879C797F-13DD-44F9-9108-99C7DCC81616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3" name="$E$168">
            <a:extLst>
              <a:ext uri="{FF2B5EF4-FFF2-40B4-BE49-F238E27FC236}">
                <a16:creationId xmlns:a16="http://schemas.microsoft.com/office/drawing/2014/main" id="{B2F4A4C7-70E3-4FC3-B15B-1486006963D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4" name="$E$168">
            <a:extLst>
              <a:ext uri="{FF2B5EF4-FFF2-40B4-BE49-F238E27FC236}">
                <a16:creationId xmlns:a16="http://schemas.microsoft.com/office/drawing/2014/main" id="{DA2B5033-3E67-4984-AB77-1F137AE6DC1E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5" name="$E$168">
            <a:extLst>
              <a:ext uri="{FF2B5EF4-FFF2-40B4-BE49-F238E27FC236}">
                <a16:creationId xmlns:a16="http://schemas.microsoft.com/office/drawing/2014/main" id="{8B451C4E-9B72-4DC0-AEE8-AE9C5100DAFA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6" name="$E$168">
            <a:extLst>
              <a:ext uri="{FF2B5EF4-FFF2-40B4-BE49-F238E27FC236}">
                <a16:creationId xmlns:a16="http://schemas.microsoft.com/office/drawing/2014/main" id="{53F016B3-4D91-4E02-96BB-985889A0DD93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7" name="$E$168">
            <a:extLst>
              <a:ext uri="{FF2B5EF4-FFF2-40B4-BE49-F238E27FC236}">
                <a16:creationId xmlns:a16="http://schemas.microsoft.com/office/drawing/2014/main" id="{C899706B-326A-4FF9-BB1C-8AA177198CE4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8" name="$E$168">
            <a:extLst>
              <a:ext uri="{FF2B5EF4-FFF2-40B4-BE49-F238E27FC236}">
                <a16:creationId xmlns:a16="http://schemas.microsoft.com/office/drawing/2014/main" id="{8BE1757E-4314-42BC-8ED6-A8BDD03EA649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9" name="$E$168">
            <a:extLst>
              <a:ext uri="{FF2B5EF4-FFF2-40B4-BE49-F238E27FC236}">
                <a16:creationId xmlns:a16="http://schemas.microsoft.com/office/drawing/2014/main" id="{BA983A27-EA9F-40F3-A77D-BC07B7DADB74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0" name="$E$168">
            <a:extLst>
              <a:ext uri="{FF2B5EF4-FFF2-40B4-BE49-F238E27FC236}">
                <a16:creationId xmlns:a16="http://schemas.microsoft.com/office/drawing/2014/main" id="{56FD9287-ADAD-47D3-8CF2-6CE560E4BD0B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1" name="$E$168">
            <a:extLst>
              <a:ext uri="{FF2B5EF4-FFF2-40B4-BE49-F238E27FC236}">
                <a16:creationId xmlns:a16="http://schemas.microsoft.com/office/drawing/2014/main" id="{26190F41-EC9D-47C9-9A10-02BF7636C136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2" name="$E$168">
            <a:extLst>
              <a:ext uri="{FF2B5EF4-FFF2-40B4-BE49-F238E27FC236}">
                <a16:creationId xmlns:a16="http://schemas.microsoft.com/office/drawing/2014/main" id="{3CF672B9-0D16-49FF-B4B1-592949910B2D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3" name="$E$168">
            <a:extLst>
              <a:ext uri="{FF2B5EF4-FFF2-40B4-BE49-F238E27FC236}">
                <a16:creationId xmlns:a16="http://schemas.microsoft.com/office/drawing/2014/main" id="{8F700D48-0501-439B-9D7B-B19FD3E072C1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4" name="$E$168">
            <a:extLst>
              <a:ext uri="{FF2B5EF4-FFF2-40B4-BE49-F238E27FC236}">
                <a16:creationId xmlns:a16="http://schemas.microsoft.com/office/drawing/2014/main" id="{6CFE6534-EC51-42FC-8C10-DC5A2C87C568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5" name="$E$168">
            <a:extLst>
              <a:ext uri="{FF2B5EF4-FFF2-40B4-BE49-F238E27FC236}">
                <a16:creationId xmlns:a16="http://schemas.microsoft.com/office/drawing/2014/main" id="{3BD09B98-A473-451E-BD83-CBCA15346001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6" name="$E$168">
            <a:extLst>
              <a:ext uri="{FF2B5EF4-FFF2-40B4-BE49-F238E27FC236}">
                <a16:creationId xmlns:a16="http://schemas.microsoft.com/office/drawing/2014/main" id="{4A3A7712-D456-468B-9975-D5D6C8452F19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7" name="$E$168">
            <a:extLst>
              <a:ext uri="{FF2B5EF4-FFF2-40B4-BE49-F238E27FC236}">
                <a16:creationId xmlns:a16="http://schemas.microsoft.com/office/drawing/2014/main" id="{235EC260-1EB7-4D5C-AEC5-9BEA18AE225D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8" name="$E$168">
            <a:extLst>
              <a:ext uri="{FF2B5EF4-FFF2-40B4-BE49-F238E27FC236}">
                <a16:creationId xmlns:a16="http://schemas.microsoft.com/office/drawing/2014/main" id="{D097F19D-3593-4998-8557-DABFF67C4643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9" name="$E$168">
            <a:extLst>
              <a:ext uri="{FF2B5EF4-FFF2-40B4-BE49-F238E27FC236}">
                <a16:creationId xmlns:a16="http://schemas.microsoft.com/office/drawing/2014/main" id="{B3F16024-1FB8-412E-9D21-0299E57B647E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0" name="$E$168">
            <a:extLst>
              <a:ext uri="{FF2B5EF4-FFF2-40B4-BE49-F238E27FC236}">
                <a16:creationId xmlns:a16="http://schemas.microsoft.com/office/drawing/2014/main" id="{4EBB166A-55AA-4F52-A04F-43550EAB236E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1" name="$E$168">
            <a:extLst>
              <a:ext uri="{FF2B5EF4-FFF2-40B4-BE49-F238E27FC236}">
                <a16:creationId xmlns:a16="http://schemas.microsoft.com/office/drawing/2014/main" id="{6B322638-17B9-4DDC-9E51-507C852587F6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2" name="$E$168">
            <a:extLst>
              <a:ext uri="{FF2B5EF4-FFF2-40B4-BE49-F238E27FC236}">
                <a16:creationId xmlns:a16="http://schemas.microsoft.com/office/drawing/2014/main" id="{E5DD137A-3DFB-416A-B48C-F84C87FF2667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3" name="$E$168">
            <a:extLst>
              <a:ext uri="{FF2B5EF4-FFF2-40B4-BE49-F238E27FC236}">
                <a16:creationId xmlns:a16="http://schemas.microsoft.com/office/drawing/2014/main" id="{8F3E7492-7FDC-47FE-A374-E8C35022E97A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4" name="$E$168">
            <a:extLst>
              <a:ext uri="{FF2B5EF4-FFF2-40B4-BE49-F238E27FC236}">
                <a16:creationId xmlns:a16="http://schemas.microsoft.com/office/drawing/2014/main" id="{A6A35F03-AAA4-4DC0-AF66-7C3C5BEAAF6F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5" name="$E$168">
            <a:extLst>
              <a:ext uri="{FF2B5EF4-FFF2-40B4-BE49-F238E27FC236}">
                <a16:creationId xmlns:a16="http://schemas.microsoft.com/office/drawing/2014/main" id="{BC0BB067-3034-4328-9FC9-7C313155F5F1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6" name="$E$168">
            <a:extLst>
              <a:ext uri="{FF2B5EF4-FFF2-40B4-BE49-F238E27FC236}">
                <a16:creationId xmlns:a16="http://schemas.microsoft.com/office/drawing/2014/main" id="{FCC09718-F69F-4AC1-9BFD-A773720B89DC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7" name="$E$168">
            <a:extLst>
              <a:ext uri="{FF2B5EF4-FFF2-40B4-BE49-F238E27FC236}">
                <a16:creationId xmlns:a16="http://schemas.microsoft.com/office/drawing/2014/main" id="{A230C79F-3768-4915-860E-03CDF4AD2256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8" name="$E$168">
            <a:extLst>
              <a:ext uri="{FF2B5EF4-FFF2-40B4-BE49-F238E27FC236}">
                <a16:creationId xmlns:a16="http://schemas.microsoft.com/office/drawing/2014/main" id="{008166C1-1343-4DA5-9C09-BFF7CB14DAAC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9" name="$E$168">
            <a:extLst>
              <a:ext uri="{FF2B5EF4-FFF2-40B4-BE49-F238E27FC236}">
                <a16:creationId xmlns:a16="http://schemas.microsoft.com/office/drawing/2014/main" id="{08A1855B-E8DC-48D9-B360-1816FDC5B5E3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0" name="$E$168">
            <a:extLst>
              <a:ext uri="{FF2B5EF4-FFF2-40B4-BE49-F238E27FC236}">
                <a16:creationId xmlns:a16="http://schemas.microsoft.com/office/drawing/2014/main" id="{B8CF28AB-CC81-4D70-B0B7-C16C47A3DD34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1" name="$E$168">
            <a:extLst>
              <a:ext uri="{FF2B5EF4-FFF2-40B4-BE49-F238E27FC236}">
                <a16:creationId xmlns:a16="http://schemas.microsoft.com/office/drawing/2014/main" id="{7C830F93-9145-4571-BC4F-EEAE7C6EDB52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2" name="$E$168">
            <a:extLst>
              <a:ext uri="{FF2B5EF4-FFF2-40B4-BE49-F238E27FC236}">
                <a16:creationId xmlns:a16="http://schemas.microsoft.com/office/drawing/2014/main" id="{C178A494-544F-45D5-9086-8DA9FC9D64FB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3" name="$E$168">
            <a:extLst>
              <a:ext uri="{FF2B5EF4-FFF2-40B4-BE49-F238E27FC236}">
                <a16:creationId xmlns:a16="http://schemas.microsoft.com/office/drawing/2014/main" id="{462DE13F-4D54-46E4-B276-50FADFA2DB79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4" name="$E$168">
            <a:extLst>
              <a:ext uri="{FF2B5EF4-FFF2-40B4-BE49-F238E27FC236}">
                <a16:creationId xmlns:a16="http://schemas.microsoft.com/office/drawing/2014/main" id="{7D86A0DE-3721-4465-B05F-AA685D444D73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5" name="$E$168">
            <a:extLst>
              <a:ext uri="{FF2B5EF4-FFF2-40B4-BE49-F238E27FC236}">
                <a16:creationId xmlns:a16="http://schemas.microsoft.com/office/drawing/2014/main" id="{43B59A05-3CDC-4E45-B23E-0152A3B9AC33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6" name="$E$168">
            <a:extLst>
              <a:ext uri="{FF2B5EF4-FFF2-40B4-BE49-F238E27FC236}">
                <a16:creationId xmlns:a16="http://schemas.microsoft.com/office/drawing/2014/main" id="{D337F6B3-9461-4BD4-8705-0CADF1B8EE52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7" name="$E$168">
            <a:extLst>
              <a:ext uri="{FF2B5EF4-FFF2-40B4-BE49-F238E27FC236}">
                <a16:creationId xmlns:a16="http://schemas.microsoft.com/office/drawing/2014/main" id="{6756847C-E26B-4C91-9294-33D92B2B9983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8" name="$E$168">
            <a:extLst>
              <a:ext uri="{FF2B5EF4-FFF2-40B4-BE49-F238E27FC236}">
                <a16:creationId xmlns:a16="http://schemas.microsoft.com/office/drawing/2014/main" id="{8A12EA32-97DF-49E4-9380-3B722FFF60B6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9" name="$E$168">
            <a:extLst>
              <a:ext uri="{FF2B5EF4-FFF2-40B4-BE49-F238E27FC236}">
                <a16:creationId xmlns:a16="http://schemas.microsoft.com/office/drawing/2014/main" id="{4937C520-36C2-4C5A-8EAC-6E2C7F46A3D3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0" name="$E$168">
            <a:extLst>
              <a:ext uri="{FF2B5EF4-FFF2-40B4-BE49-F238E27FC236}">
                <a16:creationId xmlns:a16="http://schemas.microsoft.com/office/drawing/2014/main" id="{6E0DB8E9-39F6-40A5-A9F9-44A689A29192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1" name="$E$168">
            <a:extLst>
              <a:ext uri="{FF2B5EF4-FFF2-40B4-BE49-F238E27FC236}">
                <a16:creationId xmlns:a16="http://schemas.microsoft.com/office/drawing/2014/main" id="{B6492339-0091-4FCE-8BA8-03F4379D5235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2" name="$E$168">
            <a:extLst>
              <a:ext uri="{FF2B5EF4-FFF2-40B4-BE49-F238E27FC236}">
                <a16:creationId xmlns:a16="http://schemas.microsoft.com/office/drawing/2014/main" id="{F0127F3D-64BB-4F0D-A4F8-4C140A84F5AA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3" name="$E$168">
            <a:extLst>
              <a:ext uri="{FF2B5EF4-FFF2-40B4-BE49-F238E27FC236}">
                <a16:creationId xmlns:a16="http://schemas.microsoft.com/office/drawing/2014/main" id="{70D96081-CF65-4D48-A56E-19C416E2572A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4" name="$E$168">
            <a:extLst>
              <a:ext uri="{FF2B5EF4-FFF2-40B4-BE49-F238E27FC236}">
                <a16:creationId xmlns:a16="http://schemas.microsoft.com/office/drawing/2014/main" id="{EB8B40C5-7D09-49C8-B212-86F214A8380E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5" name="$E$168">
            <a:extLst>
              <a:ext uri="{FF2B5EF4-FFF2-40B4-BE49-F238E27FC236}">
                <a16:creationId xmlns:a16="http://schemas.microsoft.com/office/drawing/2014/main" id="{809D66BE-B806-425C-AB1F-8F0FC61B08AD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6" name="$E$168">
            <a:extLst>
              <a:ext uri="{FF2B5EF4-FFF2-40B4-BE49-F238E27FC236}">
                <a16:creationId xmlns:a16="http://schemas.microsoft.com/office/drawing/2014/main" id="{B4A1F72B-D705-449F-806F-DF9B01D55F38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7" name="$E$168">
            <a:extLst>
              <a:ext uri="{FF2B5EF4-FFF2-40B4-BE49-F238E27FC236}">
                <a16:creationId xmlns:a16="http://schemas.microsoft.com/office/drawing/2014/main" id="{B0FE6D30-B322-410D-89F4-DB6B70FF1F47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8" name="$E$168">
            <a:extLst>
              <a:ext uri="{FF2B5EF4-FFF2-40B4-BE49-F238E27FC236}">
                <a16:creationId xmlns:a16="http://schemas.microsoft.com/office/drawing/2014/main" id="{7EE6F1D8-F59E-4C99-AF05-FA4B8C6C1F0B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9" name="$E$168">
            <a:extLst>
              <a:ext uri="{FF2B5EF4-FFF2-40B4-BE49-F238E27FC236}">
                <a16:creationId xmlns:a16="http://schemas.microsoft.com/office/drawing/2014/main" id="{680D02DA-F811-486B-AA90-557AB1E02779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0" name="$E$168">
            <a:extLst>
              <a:ext uri="{FF2B5EF4-FFF2-40B4-BE49-F238E27FC236}">
                <a16:creationId xmlns:a16="http://schemas.microsoft.com/office/drawing/2014/main" id="{E151B49B-C02A-4D13-84A1-0B8A558CC5CE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1" name="$E$168">
            <a:extLst>
              <a:ext uri="{FF2B5EF4-FFF2-40B4-BE49-F238E27FC236}">
                <a16:creationId xmlns:a16="http://schemas.microsoft.com/office/drawing/2014/main" id="{F57E9CAB-0722-462E-B87E-A512B0CC9D77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2" name="$E$168">
            <a:extLst>
              <a:ext uri="{FF2B5EF4-FFF2-40B4-BE49-F238E27FC236}">
                <a16:creationId xmlns:a16="http://schemas.microsoft.com/office/drawing/2014/main" id="{CE0A8FB0-6DE4-4065-AA3E-71845EF07A3A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3" name="$E$168">
            <a:extLst>
              <a:ext uri="{FF2B5EF4-FFF2-40B4-BE49-F238E27FC236}">
                <a16:creationId xmlns:a16="http://schemas.microsoft.com/office/drawing/2014/main" id="{262EFBE3-8E17-45A6-ABE3-B5442069AEDA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4" name="$E$168">
            <a:extLst>
              <a:ext uri="{FF2B5EF4-FFF2-40B4-BE49-F238E27FC236}">
                <a16:creationId xmlns:a16="http://schemas.microsoft.com/office/drawing/2014/main" id="{B6AC744B-11DE-4C63-A25F-5A531CD2EEF4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5" name="$E$168">
            <a:extLst>
              <a:ext uri="{FF2B5EF4-FFF2-40B4-BE49-F238E27FC236}">
                <a16:creationId xmlns:a16="http://schemas.microsoft.com/office/drawing/2014/main" id="{475F7D96-9CEB-481D-8969-8E56303AFF3E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6" name="$E$168">
            <a:extLst>
              <a:ext uri="{FF2B5EF4-FFF2-40B4-BE49-F238E27FC236}">
                <a16:creationId xmlns:a16="http://schemas.microsoft.com/office/drawing/2014/main" id="{36E6E37C-6A95-4DA2-ADA2-19FAD7B76BC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7" name="$E$168">
            <a:extLst>
              <a:ext uri="{FF2B5EF4-FFF2-40B4-BE49-F238E27FC236}">
                <a16:creationId xmlns:a16="http://schemas.microsoft.com/office/drawing/2014/main" id="{08AED650-85EE-412E-A6E5-7F003267142F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8" name="$E$168">
            <a:extLst>
              <a:ext uri="{FF2B5EF4-FFF2-40B4-BE49-F238E27FC236}">
                <a16:creationId xmlns:a16="http://schemas.microsoft.com/office/drawing/2014/main" id="{60B12F7C-3FE4-4761-ACE4-31BBA7299479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9" name="$E$168">
            <a:extLst>
              <a:ext uri="{FF2B5EF4-FFF2-40B4-BE49-F238E27FC236}">
                <a16:creationId xmlns:a16="http://schemas.microsoft.com/office/drawing/2014/main" id="{CC3A912F-5013-45E5-906F-5729FE239C94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0" name="$E$168">
            <a:extLst>
              <a:ext uri="{FF2B5EF4-FFF2-40B4-BE49-F238E27FC236}">
                <a16:creationId xmlns:a16="http://schemas.microsoft.com/office/drawing/2014/main" id="{DCCFC7F5-AC57-49DD-A386-8A129DB97EE6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1" name="$E$168">
            <a:extLst>
              <a:ext uri="{FF2B5EF4-FFF2-40B4-BE49-F238E27FC236}">
                <a16:creationId xmlns:a16="http://schemas.microsoft.com/office/drawing/2014/main" id="{6A61BCC9-5161-4044-A027-9AD67991B1D8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2" name="$E$168">
            <a:extLst>
              <a:ext uri="{FF2B5EF4-FFF2-40B4-BE49-F238E27FC236}">
                <a16:creationId xmlns:a16="http://schemas.microsoft.com/office/drawing/2014/main" id="{2DDAFE04-2EF2-4032-9C1E-88A97AAAF6BD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3" name="$E$168">
            <a:extLst>
              <a:ext uri="{FF2B5EF4-FFF2-40B4-BE49-F238E27FC236}">
                <a16:creationId xmlns:a16="http://schemas.microsoft.com/office/drawing/2014/main" id="{3B768E61-83FF-4BCC-984B-FFB47309F2E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4" name="$E$168">
            <a:extLst>
              <a:ext uri="{FF2B5EF4-FFF2-40B4-BE49-F238E27FC236}">
                <a16:creationId xmlns:a16="http://schemas.microsoft.com/office/drawing/2014/main" id="{7CFA4C18-DF85-4995-BE0F-EF77C5E375DA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5" name="$E$168">
            <a:extLst>
              <a:ext uri="{FF2B5EF4-FFF2-40B4-BE49-F238E27FC236}">
                <a16:creationId xmlns:a16="http://schemas.microsoft.com/office/drawing/2014/main" id="{0E002EDC-12A2-43A7-874B-E862CA21F1F7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6" name="$E$168">
            <a:extLst>
              <a:ext uri="{FF2B5EF4-FFF2-40B4-BE49-F238E27FC236}">
                <a16:creationId xmlns:a16="http://schemas.microsoft.com/office/drawing/2014/main" id="{952CFF85-B7EA-470E-A8DA-5DAC425370A7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7" name="$E$168">
            <a:extLst>
              <a:ext uri="{FF2B5EF4-FFF2-40B4-BE49-F238E27FC236}">
                <a16:creationId xmlns:a16="http://schemas.microsoft.com/office/drawing/2014/main" id="{DBD969D3-D42C-44D4-9B86-9AB223A65E33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8" name="$E$168">
            <a:extLst>
              <a:ext uri="{FF2B5EF4-FFF2-40B4-BE49-F238E27FC236}">
                <a16:creationId xmlns:a16="http://schemas.microsoft.com/office/drawing/2014/main" id="{B5ADA815-1D21-4C3D-B7E1-B13A1AD07A5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9" name="$E$168">
            <a:extLst>
              <a:ext uri="{FF2B5EF4-FFF2-40B4-BE49-F238E27FC236}">
                <a16:creationId xmlns:a16="http://schemas.microsoft.com/office/drawing/2014/main" id="{36D99612-2BE0-4DFA-B389-5BAD4474DC73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0" name="$E$168">
            <a:extLst>
              <a:ext uri="{FF2B5EF4-FFF2-40B4-BE49-F238E27FC236}">
                <a16:creationId xmlns:a16="http://schemas.microsoft.com/office/drawing/2014/main" id="{D185084B-2457-4D44-9584-28CC04B6054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1" name="$E$168">
            <a:extLst>
              <a:ext uri="{FF2B5EF4-FFF2-40B4-BE49-F238E27FC236}">
                <a16:creationId xmlns:a16="http://schemas.microsoft.com/office/drawing/2014/main" id="{56AE4060-CF52-4B28-98B6-65108FC7EF44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2" name="$E$168">
            <a:extLst>
              <a:ext uri="{FF2B5EF4-FFF2-40B4-BE49-F238E27FC236}">
                <a16:creationId xmlns:a16="http://schemas.microsoft.com/office/drawing/2014/main" id="{81A5C767-E4D3-4E0E-BDBD-D7D52423C9E5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3" name="$E$168">
            <a:extLst>
              <a:ext uri="{FF2B5EF4-FFF2-40B4-BE49-F238E27FC236}">
                <a16:creationId xmlns:a16="http://schemas.microsoft.com/office/drawing/2014/main" id="{52834EF9-2268-4927-8B08-BC445C2914F1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4" name="$E$168">
            <a:extLst>
              <a:ext uri="{FF2B5EF4-FFF2-40B4-BE49-F238E27FC236}">
                <a16:creationId xmlns:a16="http://schemas.microsoft.com/office/drawing/2014/main" id="{0B862DFB-8BA0-4800-BAB0-D8BBF1AAC6B1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5" name="$E$168">
            <a:extLst>
              <a:ext uri="{FF2B5EF4-FFF2-40B4-BE49-F238E27FC236}">
                <a16:creationId xmlns:a16="http://schemas.microsoft.com/office/drawing/2014/main" id="{8D39BB50-1B4E-454F-9BCF-A4957AC4440A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6" name="$E$168">
            <a:extLst>
              <a:ext uri="{FF2B5EF4-FFF2-40B4-BE49-F238E27FC236}">
                <a16:creationId xmlns:a16="http://schemas.microsoft.com/office/drawing/2014/main" id="{30585AC4-C170-45CC-9046-54615CCA1D3D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7" name="$E$168">
            <a:extLst>
              <a:ext uri="{FF2B5EF4-FFF2-40B4-BE49-F238E27FC236}">
                <a16:creationId xmlns:a16="http://schemas.microsoft.com/office/drawing/2014/main" id="{67095EFC-5ACD-4ABF-84AA-F1BDE9A999C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8" name="$E$168">
            <a:extLst>
              <a:ext uri="{FF2B5EF4-FFF2-40B4-BE49-F238E27FC236}">
                <a16:creationId xmlns:a16="http://schemas.microsoft.com/office/drawing/2014/main" id="{09B01B30-859F-46F1-A16F-9D99452B66EA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9" name="$E$168">
            <a:extLst>
              <a:ext uri="{FF2B5EF4-FFF2-40B4-BE49-F238E27FC236}">
                <a16:creationId xmlns:a16="http://schemas.microsoft.com/office/drawing/2014/main" id="{62C4E17C-6307-4F8B-94DB-007839DAC16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0" name="$E$168">
            <a:extLst>
              <a:ext uri="{FF2B5EF4-FFF2-40B4-BE49-F238E27FC236}">
                <a16:creationId xmlns:a16="http://schemas.microsoft.com/office/drawing/2014/main" id="{8618C775-536D-40D1-8D56-A39579B1D93D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1" name="$E$168">
            <a:extLst>
              <a:ext uri="{FF2B5EF4-FFF2-40B4-BE49-F238E27FC236}">
                <a16:creationId xmlns:a16="http://schemas.microsoft.com/office/drawing/2014/main" id="{00ACEB90-D114-43B5-8D6E-CB4D1C18DDC5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2" name="$E$168">
            <a:extLst>
              <a:ext uri="{FF2B5EF4-FFF2-40B4-BE49-F238E27FC236}">
                <a16:creationId xmlns:a16="http://schemas.microsoft.com/office/drawing/2014/main" id="{EABBEA8B-79F5-441A-8601-7EA1657E04D5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3" name="$E$168">
            <a:extLst>
              <a:ext uri="{FF2B5EF4-FFF2-40B4-BE49-F238E27FC236}">
                <a16:creationId xmlns:a16="http://schemas.microsoft.com/office/drawing/2014/main" id="{FAFBFE73-0513-4E97-BCE7-BF5CEC2E07C4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4" name="$E$168">
            <a:extLst>
              <a:ext uri="{FF2B5EF4-FFF2-40B4-BE49-F238E27FC236}">
                <a16:creationId xmlns:a16="http://schemas.microsoft.com/office/drawing/2014/main" id="{064C1AC5-2F87-4C42-9E40-4459E4908DA3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5" name="$E$168">
            <a:extLst>
              <a:ext uri="{FF2B5EF4-FFF2-40B4-BE49-F238E27FC236}">
                <a16:creationId xmlns:a16="http://schemas.microsoft.com/office/drawing/2014/main" id="{9C3888A8-61FB-4FE7-BDD2-054F24156BAD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6" name="$E$168">
            <a:extLst>
              <a:ext uri="{FF2B5EF4-FFF2-40B4-BE49-F238E27FC236}">
                <a16:creationId xmlns:a16="http://schemas.microsoft.com/office/drawing/2014/main" id="{9107788F-DDE2-43E6-A270-19A3B3EB659E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7" name="$E$168">
            <a:extLst>
              <a:ext uri="{FF2B5EF4-FFF2-40B4-BE49-F238E27FC236}">
                <a16:creationId xmlns:a16="http://schemas.microsoft.com/office/drawing/2014/main" id="{3D75102F-F464-478D-8046-02DC0683F5AB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8" name="$E$168">
            <a:extLst>
              <a:ext uri="{FF2B5EF4-FFF2-40B4-BE49-F238E27FC236}">
                <a16:creationId xmlns:a16="http://schemas.microsoft.com/office/drawing/2014/main" id="{90B1DCA1-7F7E-44B3-A395-D5E91FCD5149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9" name="$E$168">
            <a:extLst>
              <a:ext uri="{FF2B5EF4-FFF2-40B4-BE49-F238E27FC236}">
                <a16:creationId xmlns:a16="http://schemas.microsoft.com/office/drawing/2014/main" id="{1B67A07D-3F0E-439B-983B-72424D24A4B8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0" name="$E$168">
            <a:extLst>
              <a:ext uri="{FF2B5EF4-FFF2-40B4-BE49-F238E27FC236}">
                <a16:creationId xmlns:a16="http://schemas.microsoft.com/office/drawing/2014/main" id="{55147771-FF48-4582-9072-614294910EC8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1" name="$E$168">
            <a:extLst>
              <a:ext uri="{FF2B5EF4-FFF2-40B4-BE49-F238E27FC236}">
                <a16:creationId xmlns:a16="http://schemas.microsoft.com/office/drawing/2014/main" id="{26D9894E-84A8-43F9-8EA2-FE247AA7FB3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2" name="$E$168">
            <a:extLst>
              <a:ext uri="{FF2B5EF4-FFF2-40B4-BE49-F238E27FC236}">
                <a16:creationId xmlns:a16="http://schemas.microsoft.com/office/drawing/2014/main" id="{63335563-CC22-41D9-87E5-B1DA1074EA8B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3" name="$E$168">
            <a:extLst>
              <a:ext uri="{FF2B5EF4-FFF2-40B4-BE49-F238E27FC236}">
                <a16:creationId xmlns:a16="http://schemas.microsoft.com/office/drawing/2014/main" id="{EA89E982-F7B2-49C4-BF77-B1EA72BD3133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4" name="$E$168">
            <a:extLst>
              <a:ext uri="{FF2B5EF4-FFF2-40B4-BE49-F238E27FC236}">
                <a16:creationId xmlns:a16="http://schemas.microsoft.com/office/drawing/2014/main" id="{CDB00D3B-54E8-444B-8BB4-80844FDABB97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5" name="$E$168">
            <a:extLst>
              <a:ext uri="{FF2B5EF4-FFF2-40B4-BE49-F238E27FC236}">
                <a16:creationId xmlns:a16="http://schemas.microsoft.com/office/drawing/2014/main" id="{12143C46-179F-49E8-9763-BABE8BB72F6E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6" name="$E$168">
            <a:extLst>
              <a:ext uri="{FF2B5EF4-FFF2-40B4-BE49-F238E27FC236}">
                <a16:creationId xmlns:a16="http://schemas.microsoft.com/office/drawing/2014/main" id="{DFD6B963-9884-4C70-95DC-B95FDF7E5EA3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7" name="$E$168">
            <a:extLst>
              <a:ext uri="{FF2B5EF4-FFF2-40B4-BE49-F238E27FC236}">
                <a16:creationId xmlns:a16="http://schemas.microsoft.com/office/drawing/2014/main" id="{59D7A76A-88AF-4540-9547-DA95BFE891BE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8" name="$E$168">
            <a:extLst>
              <a:ext uri="{FF2B5EF4-FFF2-40B4-BE49-F238E27FC236}">
                <a16:creationId xmlns:a16="http://schemas.microsoft.com/office/drawing/2014/main" id="{82006317-A723-4291-A6AF-9246A0697494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9" name="$E$168">
            <a:extLst>
              <a:ext uri="{FF2B5EF4-FFF2-40B4-BE49-F238E27FC236}">
                <a16:creationId xmlns:a16="http://schemas.microsoft.com/office/drawing/2014/main" id="{0EE1C409-9DB0-4604-9F2A-3361C1E440F4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0" name="$E$168">
            <a:extLst>
              <a:ext uri="{FF2B5EF4-FFF2-40B4-BE49-F238E27FC236}">
                <a16:creationId xmlns:a16="http://schemas.microsoft.com/office/drawing/2014/main" id="{C0CF189B-E798-44A3-8DE7-F4DFC1A4A77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1" name="$E$168">
            <a:extLst>
              <a:ext uri="{FF2B5EF4-FFF2-40B4-BE49-F238E27FC236}">
                <a16:creationId xmlns:a16="http://schemas.microsoft.com/office/drawing/2014/main" id="{AD48B52C-0F66-4F98-9430-D824EAF7130F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2" name="$E$168">
            <a:extLst>
              <a:ext uri="{FF2B5EF4-FFF2-40B4-BE49-F238E27FC236}">
                <a16:creationId xmlns:a16="http://schemas.microsoft.com/office/drawing/2014/main" id="{AB551F3C-7BA3-4BEA-B7A9-F60E2E1DD7C2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3" name="$E$168">
            <a:extLst>
              <a:ext uri="{FF2B5EF4-FFF2-40B4-BE49-F238E27FC236}">
                <a16:creationId xmlns:a16="http://schemas.microsoft.com/office/drawing/2014/main" id="{4C7FCAA5-AC71-4024-BB90-267E1CDE8966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4" name="$E$168">
            <a:extLst>
              <a:ext uri="{FF2B5EF4-FFF2-40B4-BE49-F238E27FC236}">
                <a16:creationId xmlns:a16="http://schemas.microsoft.com/office/drawing/2014/main" id="{49AB1CA5-E4FA-49CD-A3F0-6827ECA9B954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5" name="$E$168">
            <a:extLst>
              <a:ext uri="{FF2B5EF4-FFF2-40B4-BE49-F238E27FC236}">
                <a16:creationId xmlns:a16="http://schemas.microsoft.com/office/drawing/2014/main" id="{1BDD2043-40BE-4B57-900F-3C78D3F31FD3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6" name="$E$168">
            <a:extLst>
              <a:ext uri="{FF2B5EF4-FFF2-40B4-BE49-F238E27FC236}">
                <a16:creationId xmlns:a16="http://schemas.microsoft.com/office/drawing/2014/main" id="{4BA10C0E-4C8A-4CA7-AE1A-DF7AF6657BCF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7" name="$E$168">
            <a:extLst>
              <a:ext uri="{FF2B5EF4-FFF2-40B4-BE49-F238E27FC236}">
                <a16:creationId xmlns:a16="http://schemas.microsoft.com/office/drawing/2014/main" id="{AA20C62C-C745-415B-9BE0-2D9B3F43E58D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8" name="$E$168">
            <a:extLst>
              <a:ext uri="{FF2B5EF4-FFF2-40B4-BE49-F238E27FC236}">
                <a16:creationId xmlns:a16="http://schemas.microsoft.com/office/drawing/2014/main" id="{B88A6B36-2080-4394-B29B-BF4E61CC8B9D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9" name="$E$168">
            <a:extLst>
              <a:ext uri="{FF2B5EF4-FFF2-40B4-BE49-F238E27FC236}">
                <a16:creationId xmlns:a16="http://schemas.microsoft.com/office/drawing/2014/main" id="{1C3BFDD8-C38B-473D-8810-8554E7367BEE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0" name="$E$168">
            <a:extLst>
              <a:ext uri="{FF2B5EF4-FFF2-40B4-BE49-F238E27FC236}">
                <a16:creationId xmlns:a16="http://schemas.microsoft.com/office/drawing/2014/main" id="{50B0B0E7-8934-48A9-A7DA-558529611378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1" name="$E$168">
            <a:extLst>
              <a:ext uri="{FF2B5EF4-FFF2-40B4-BE49-F238E27FC236}">
                <a16:creationId xmlns:a16="http://schemas.microsoft.com/office/drawing/2014/main" id="{EFA6297B-50E6-4468-9CB1-29EBB7751B53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2" name="$E$168">
            <a:extLst>
              <a:ext uri="{FF2B5EF4-FFF2-40B4-BE49-F238E27FC236}">
                <a16:creationId xmlns:a16="http://schemas.microsoft.com/office/drawing/2014/main" id="{A1F04DBC-484C-41E3-BDC2-7354F19D8E0B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3" name="$E$168">
            <a:extLst>
              <a:ext uri="{FF2B5EF4-FFF2-40B4-BE49-F238E27FC236}">
                <a16:creationId xmlns:a16="http://schemas.microsoft.com/office/drawing/2014/main" id="{E252A35C-53FC-4229-923D-C3DFBFD7B104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4" name="$E$168">
            <a:extLst>
              <a:ext uri="{FF2B5EF4-FFF2-40B4-BE49-F238E27FC236}">
                <a16:creationId xmlns:a16="http://schemas.microsoft.com/office/drawing/2014/main" id="{041800A4-F000-4BC8-8E70-1D05CFCAAC0B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5" name="$E$168">
            <a:extLst>
              <a:ext uri="{FF2B5EF4-FFF2-40B4-BE49-F238E27FC236}">
                <a16:creationId xmlns:a16="http://schemas.microsoft.com/office/drawing/2014/main" id="{CC60CEC5-997B-4B32-AF6D-B4B5FF650DD3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6" name="$E$168">
            <a:extLst>
              <a:ext uri="{FF2B5EF4-FFF2-40B4-BE49-F238E27FC236}">
                <a16:creationId xmlns:a16="http://schemas.microsoft.com/office/drawing/2014/main" id="{08ED0E87-5ACD-49CB-9126-243966A4BAEB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7" name="$E$168">
            <a:extLst>
              <a:ext uri="{FF2B5EF4-FFF2-40B4-BE49-F238E27FC236}">
                <a16:creationId xmlns:a16="http://schemas.microsoft.com/office/drawing/2014/main" id="{6F05CBED-C2F1-4530-B8D6-5644523EDB94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8" name="$E$168">
            <a:extLst>
              <a:ext uri="{FF2B5EF4-FFF2-40B4-BE49-F238E27FC236}">
                <a16:creationId xmlns:a16="http://schemas.microsoft.com/office/drawing/2014/main" id="{B5F5ECEA-DE44-465D-8C6A-156F27F176A7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9" name="$E$168">
            <a:extLst>
              <a:ext uri="{FF2B5EF4-FFF2-40B4-BE49-F238E27FC236}">
                <a16:creationId xmlns:a16="http://schemas.microsoft.com/office/drawing/2014/main" id="{B94B8817-22D2-40B2-91BE-706568984AD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0" name="$E$168">
            <a:extLst>
              <a:ext uri="{FF2B5EF4-FFF2-40B4-BE49-F238E27FC236}">
                <a16:creationId xmlns:a16="http://schemas.microsoft.com/office/drawing/2014/main" id="{A0DF37E2-A1A0-4D79-A157-D2A843D86AD1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1" name="$E$168">
            <a:extLst>
              <a:ext uri="{FF2B5EF4-FFF2-40B4-BE49-F238E27FC236}">
                <a16:creationId xmlns:a16="http://schemas.microsoft.com/office/drawing/2014/main" id="{A21235AE-B360-429E-AC18-CB4C277B77A4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2" name="$E$168">
            <a:extLst>
              <a:ext uri="{FF2B5EF4-FFF2-40B4-BE49-F238E27FC236}">
                <a16:creationId xmlns:a16="http://schemas.microsoft.com/office/drawing/2014/main" id="{54B244FA-4CFE-4B7E-A7D9-82B966B64918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3" name="$E$168">
            <a:extLst>
              <a:ext uri="{FF2B5EF4-FFF2-40B4-BE49-F238E27FC236}">
                <a16:creationId xmlns:a16="http://schemas.microsoft.com/office/drawing/2014/main" id="{961D32F1-9444-44FC-A88C-1601A3C4514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4" name="$E$168">
            <a:extLst>
              <a:ext uri="{FF2B5EF4-FFF2-40B4-BE49-F238E27FC236}">
                <a16:creationId xmlns:a16="http://schemas.microsoft.com/office/drawing/2014/main" id="{5B7D7FC4-B920-4C96-B583-A27FF82B9186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5" name="$E$168">
            <a:extLst>
              <a:ext uri="{FF2B5EF4-FFF2-40B4-BE49-F238E27FC236}">
                <a16:creationId xmlns:a16="http://schemas.microsoft.com/office/drawing/2014/main" id="{62D8FA5A-A232-4CA8-8845-DBFC971CCDE4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6" name="$E$168">
            <a:extLst>
              <a:ext uri="{FF2B5EF4-FFF2-40B4-BE49-F238E27FC236}">
                <a16:creationId xmlns:a16="http://schemas.microsoft.com/office/drawing/2014/main" id="{D4249F36-930D-46D4-8CC3-3050C7A68DA4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7" name="$E$168">
            <a:extLst>
              <a:ext uri="{FF2B5EF4-FFF2-40B4-BE49-F238E27FC236}">
                <a16:creationId xmlns:a16="http://schemas.microsoft.com/office/drawing/2014/main" id="{6DF2FABC-4F2B-491F-8725-1C20858E4039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8" name="$E$168">
            <a:extLst>
              <a:ext uri="{FF2B5EF4-FFF2-40B4-BE49-F238E27FC236}">
                <a16:creationId xmlns:a16="http://schemas.microsoft.com/office/drawing/2014/main" id="{9FB22AEF-2E58-40F6-9479-47633B0BC745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9" name="$E$168">
            <a:extLst>
              <a:ext uri="{FF2B5EF4-FFF2-40B4-BE49-F238E27FC236}">
                <a16:creationId xmlns:a16="http://schemas.microsoft.com/office/drawing/2014/main" id="{2AFD8FA0-150A-45B1-AAFF-768E8BFA8726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0" name="$E$168">
            <a:extLst>
              <a:ext uri="{FF2B5EF4-FFF2-40B4-BE49-F238E27FC236}">
                <a16:creationId xmlns:a16="http://schemas.microsoft.com/office/drawing/2014/main" id="{1832614F-EA14-4AEF-AE13-0D545605767E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1" name="$E$168">
            <a:extLst>
              <a:ext uri="{FF2B5EF4-FFF2-40B4-BE49-F238E27FC236}">
                <a16:creationId xmlns:a16="http://schemas.microsoft.com/office/drawing/2014/main" id="{C5996D3F-E47E-4819-BC5E-FD6C45FB35A4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2" name="$E$168">
            <a:extLst>
              <a:ext uri="{FF2B5EF4-FFF2-40B4-BE49-F238E27FC236}">
                <a16:creationId xmlns:a16="http://schemas.microsoft.com/office/drawing/2014/main" id="{302AA2A3-CF73-4517-9FC5-9403686E3786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3" name="$E$168">
            <a:extLst>
              <a:ext uri="{FF2B5EF4-FFF2-40B4-BE49-F238E27FC236}">
                <a16:creationId xmlns:a16="http://schemas.microsoft.com/office/drawing/2014/main" id="{ED0670DF-2890-434C-B243-C8C0A635D66A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4" name="$E$168">
            <a:extLst>
              <a:ext uri="{FF2B5EF4-FFF2-40B4-BE49-F238E27FC236}">
                <a16:creationId xmlns:a16="http://schemas.microsoft.com/office/drawing/2014/main" id="{8514FA6F-FB52-4DE9-806F-ED89F339BD49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5" name="$E$168">
            <a:extLst>
              <a:ext uri="{FF2B5EF4-FFF2-40B4-BE49-F238E27FC236}">
                <a16:creationId xmlns:a16="http://schemas.microsoft.com/office/drawing/2014/main" id="{79FBA834-F107-4C60-8C01-5CED6A7A1357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6" name="$E$168">
            <a:extLst>
              <a:ext uri="{FF2B5EF4-FFF2-40B4-BE49-F238E27FC236}">
                <a16:creationId xmlns:a16="http://schemas.microsoft.com/office/drawing/2014/main" id="{F2C677E7-3A86-4624-B682-027FC61B29A9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7" name="$E$168">
            <a:extLst>
              <a:ext uri="{FF2B5EF4-FFF2-40B4-BE49-F238E27FC236}">
                <a16:creationId xmlns:a16="http://schemas.microsoft.com/office/drawing/2014/main" id="{9314B1B0-1C3D-41B0-A006-2F269198B04B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8" name="$E$168">
            <a:extLst>
              <a:ext uri="{FF2B5EF4-FFF2-40B4-BE49-F238E27FC236}">
                <a16:creationId xmlns:a16="http://schemas.microsoft.com/office/drawing/2014/main" id="{28CCC341-AD04-42B8-A33C-32BFEFBAC2D7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9" name="$E$168">
            <a:extLst>
              <a:ext uri="{FF2B5EF4-FFF2-40B4-BE49-F238E27FC236}">
                <a16:creationId xmlns:a16="http://schemas.microsoft.com/office/drawing/2014/main" id="{D1B04C8D-535D-43E8-9571-2C8286747F2C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0" name="$E$168">
            <a:extLst>
              <a:ext uri="{FF2B5EF4-FFF2-40B4-BE49-F238E27FC236}">
                <a16:creationId xmlns:a16="http://schemas.microsoft.com/office/drawing/2014/main" id="{439B1D1F-D1CE-4F66-B9A5-8AC2B3BE0A31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1" name="$E$168">
            <a:extLst>
              <a:ext uri="{FF2B5EF4-FFF2-40B4-BE49-F238E27FC236}">
                <a16:creationId xmlns:a16="http://schemas.microsoft.com/office/drawing/2014/main" id="{78CF94B2-CCE2-4DC7-86FB-3D1DA5351448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2" name="$E$168">
            <a:extLst>
              <a:ext uri="{FF2B5EF4-FFF2-40B4-BE49-F238E27FC236}">
                <a16:creationId xmlns:a16="http://schemas.microsoft.com/office/drawing/2014/main" id="{D6E3E235-5B50-4C80-B59E-57FD14FB9BAF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3" name="$E$168">
            <a:extLst>
              <a:ext uri="{FF2B5EF4-FFF2-40B4-BE49-F238E27FC236}">
                <a16:creationId xmlns:a16="http://schemas.microsoft.com/office/drawing/2014/main" id="{A5B82A23-6A54-4C71-BBCE-D8592EBB676B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4" name="$E$168">
            <a:extLst>
              <a:ext uri="{FF2B5EF4-FFF2-40B4-BE49-F238E27FC236}">
                <a16:creationId xmlns:a16="http://schemas.microsoft.com/office/drawing/2014/main" id="{EF1F544F-42D4-4105-A51D-56FFDD47D737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5" name="$E$168">
            <a:extLst>
              <a:ext uri="{FF2B5EF4-FFF2-40B4-BE49-F238E27FC236}">
                <a16:creationId xmlns:a16="http://schemas.microsoft.com/office/drawing/2014/main" id="{5833FA61-3328-466F-BA4C-7D475A9F1DAD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6" name="$E$168">
            <a:extLst>
              <a:ext uri="{FF2B5EF4-FFF2-40B4-BE49-F238E27FC236}">
                <a16:creationId xmlns:a16="http://schemas.microsoft.com/office/drawing/2014/main" id="{70D1FB99-A57E-4CE8-96EB-3B8A2DED3EA1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7" name="$E$168">
            <a:extLst>
              <a:ext uri="{FF2B5EF4-FFF2-40B4-BE49-F238E27FC236}">
                <a16:creationId xmlns:a16="http://schemas.microsoft.com/office/drawing/2014/main" id="{F35D95FC-6D17-4807-8CE0-85B69037BC1C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8" name="$E$168">
            <a:extLst>
              <a:ext uri="{FF2B5EF4-FFF2-40B4-BE49-F238E27FC236}">
                <a16:creationId xmlns:a16="http://schemas.microsoft.com/office/drawing/2014/main" id="{928FF88C-6674-4BAB-9B3F-699B71E0E7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9" name="$E$168">
            <a:extLst>
              <a:ext uri="{FF2B5EF4-FFF2-40B4-BE49-F238E27FC236}">
                <a16:creationId xmlns:a16="http://schemas.microsoft.com/office/drawing/2014/main" id="{6B5E9992-5AF2-4F52-A594-3164929E8F05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0" name="$E$168">
            <a:extLst>
              <a:ext uri="{FF2B5EF4-FFF2-40B4-BE49-F238E27FC236}">
                <a16:creationId xmlns:a16="http://schemas.microsoft.com/office/drawing/2014/main" id="{9EAB91B0-F55B-47D4-BB31-B26B73A4A7BA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1" name="$E$168">
            <a:extLst>
              <a:ext uri="{FF2B5EF4-FFF2-40B4-BE49-F238E27FC236}">
                <a16:creationId xmlns:a16="http://schemas.microsoft.com/office/drawing/2014/main" id="{E6068ECB-A603-4260-86A0-C8E5BADEAC04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2" name="$E$168">
            <a:extLst>
              <a:ext uri="{FF2B5EF4-FFF2-40B4-BE49-F238E27FC236}">
                <a16:creationId xmlns:a16="http://schemas.microsoft.com/office/drawing/2014/main" id="{F1ECB58C-4AAF-4449-B3A3-A1F80E9A7567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3" name="$E$168">
            <a:extLst>
              <a:ext uri="{FF2B5EF4-FFF2-40B4-BE49-F238E27FC236}">
                <a16:creationId xmlns:a16="http://schemas.microsoft.com/office/drawing/2014/main" id="{77447102-C603-4844-9ED6-ADF86592CA92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4" name="$E$168">
            <a:extLst>
              <a:ext uri="{FF2B5EF4-FFF2-40B4-BE49-F238E27FC236}">
                <a16:creationId xmlns:a16="http://schemas.microsoft.com/office/drawing/2014/main" id="{07235DCB-BCE3-4EA3-9FC8-3D11D836A4F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5" name="$E$168">
            <a:extLst>
              <a:ext uri="{FF2B5EF4-FFF2-40B4-BE49-F238E27FC236}">
                <a16:creationId xmlns:a16="http://schemas.microsoft.com/office/drawing/2014/main" id="{8BC257F6-1EBA-4639-82E0-1B6218CB8FCC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6" name="$E$168">
            <a:extLst>
              <a:ext uri="{FF2B5EF4-FFF2-40B4-BE49-F238E27FC236}">
                <a16:creationId xmlns:a16="http://schemas.microsoft.com/office/drawing/2014/main" id="{73DF1B20-D1EE-4FE7-8412-0ADDC53CBE7F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7" name="$E$168">
            <a:extLst>
              <a:ext uri="{FF2B5EF4-FFF2-40B4-BE49-F238E27FC236}">
                <a16:creationId xmlns:a16="http://schemas.microsoft.com/office/drawing/2014/main" id="{4F496642-A04D-48CF-9A6F-02F1EA0F84CA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8" name="$E$168">
            <a:extLst>
              <a:ext uri="{FF2B5EF4-FFF2-40B4-BE49-F238E27FC236}">
                <a16:creationId xmlns:a16="http://schemas.microsoft.com/office/drawing/2014/main" id="{FAC1642E-AE83-496E-8ACB-C3AE6F0288E7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9" name="$E$168">
            <a:extLst>
              <a:ext uri="{FF2B5EF4-FFF2-40B4-BE49-F238E27FC236}">
                <a16:creationId xmlns:a16="http://schemas.microsoft.com/office/drawing/2014/main" id="{C60E51F3-8177-4D4A-AA28-5F94E007754F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0" name="$E$168">
            <a:extLst>
              <a:ext uri="{FF2B5EF4-FFF2-40B4-BE49-F238E27FC236}">
                <a16:creationId xmlns:a16="http://schemas.microsoft.com/office/drawing/2014/main" id="{23AAA9B5-3AEB-478F-8C86-B73DB9BAA124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1" name="$E$168">
            <a:extLst>
              <a:ext uri="{FF2B5EF4-FFF2-40B4-BE49-F238E27FC236}">
                <a16:creationId xmlns:a16="http://schemas.microsoft.com/office/drawing/2014/main" id="{65E362DD-3A71-404C-BD94-1CA86E16FE19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2" name="$E$168">
            <a:extLst>
              <a:ext uri="{FF2B5EF4-FFF2-40B4-BE49-F238E27FC236}">
                <a16:creationId xmlns:a16="http://schemas.microsoft.com/office/drawing/2014/main" id="{11E82622-A20F-4A87-BB74-E93A5F6BFAE3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3" name="$E$168">
            <a:extLst>
              <a:ext uri="{FF2B5EF4-FFF2-40B4-BE49-F238E27FC236}">
                <a16:creationId xmlns:a16="http://schemas.microsoft.com/office/drawing/2014/main" id="{99A56EA5-74E2-44DE-9A98-2D1F622E8251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4" name="$E$168">
            <a:extLst>
              <a:ext uri="{FF2B5EF4-FFF2-40B4-BE49-F238E27FC236}">
                <a16:creationId xmlns:a16="http://schemas.microsoft.com/office/drawing/2014/main" id="{183ADD8E-52FF-46AF-807B-82E8D70CEC68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5" name="$E$168">
            <a:extLst>
              <a:ext uri="{FF2B5EF4-FFF2-40B4-BE49-F238E27FC236}">
                <a16:creationId xmlns:a16="http://schemas.microsoft.com/office/drawing/2014/main" id="{80C45D15-6055-4E0A-B737-9C3038EF1521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6" name="$E$168">
            <a:extLst>
              <a:ext uri="{FF2B5EF4-FFF2-40B4-BE49-F238E27FC236}">
                <a16:creationId xmlns:a16="http://schemas.microsoft.com/office/drawing/2014/main" id="{E10ECC51-6627-4CDB-A68B-6F8CA056663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7" name="$E$168">
            <a:extLst>
              <a:ext uri="{FF2B5EF4-FFF2-40B4-BE49-F238E27FC236}">
                <a16:creationId xmlns:a16="http://schemas.microsoft.com/office/drawing/2014/main" id="{C2C92859-1786-4954-A743-6BC2FF20D134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8" name="$E$168">
            <a:extLst>
              <a:ext uri="{FF2B5EF4-FFF2-40B4-BE49-F238E27FC236}">
                <a16:creationId xmlns:a16="http://schemas.microsoft.com/office/drawing/2014/main" id="{32E984F8-CE3F-4EC5-B0A7-98BB502454CA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9" name="$E$168">
            <a:extLst>
              <a:ext uri="{FF2B5EF4-FFF2-40B4-BE49-F238E27FC236}">
                <a16:creationId xmlns:a16="http://schemas.microsoft.com/office/drawing/2014/main" id="{D01207B5-95BB-4F07-93A6-9C53683565BD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0" name="$E$168">
            <a:extLst>
              <a:ext uri="{FF2B5EF4-FFF2-40B4-BE49-F238E27FC236}">
                <a16:creationId xmlns:a16="http://schemas.microsoft.com/office/drawing/2014/main" id="{98186B00-63B1-4FB2-BAA8-997BBFDBDF88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1" name="$E$168">
            <a:extLst>
              <a:ext uri="{FF2B5EF4-FFF2-40B4-BE49-F238E27FC236}">
                <a16:creationId xmlns:a16="http://schemas.microsoft.com/office/drawing/2014/main" id="{C94FE341-1CCD-4E62-A560-792FCEEDC4A1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2" name="$E$168">
            <a:extLst>
              <a:ext uri="{FF2B5EF4-FFF2-40B4-BE49-F238E27FC236}">
                <a16:creationId xmlns:a16="http://schemas.microsoft.com/office/drawing/2014/main" id="{F1CBB42A-9409-4756-9EF3-99B3EB446999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3" name="$E$168">
            <a:extLst>
              <a:ext uri="{FF2B5EF4-FFF2-40B4-BE49-F238E27FC236}">
                <a16:creationId xmlns:a16="http://schemas.microsoft.com/office/drawing/2014/main" id="{7891490B-CF1A-4FA6-BF06-A83D2D1A071C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4" name="$E$168">
            <a:extLst>
              <a:ext uri="{FF2B5EF4-FFF2-40B4-BE49-F238E27FC236}">
                <a16:creationId xmlns:a16="http://schemas.microsoft.com/office/drawing/2014/main" id="{8EB50B92-C2C4-4F97-952F-EC28B36A035B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5" name="$E$168">
            <a:extLst>
              <a:ext uri="{FF2B5EF4-FFF2-40B4-BE49-F238E27FC236}">
                <a16:creationId xmlns:a16="http://schemas.microsoft.com/office/drawing/2014/main" id="{00B7FB0E-BB2E-4777-B885-E6D12CFE0C9C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6" name="$E$168">
            <a:extLst>
              <a:ext uri="{FF2B5EF4-FFF2-40B4-BE49-F238E27FC236}">
                <a16:creationId xmlns:a16="http://schemas.microsoft.com/office/drawing/2014/main" id="{75C80949-C704-4594-AD12-3812033EBECB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7" name="$E$168">
            <a:extLst>
              <a:ext uri="{FF2B5EF4-FFF2-40B4-BE49-F238E27FC236}">
                <a16:creationId xmlns:a16="http://schemas.microsoft.com/office/drawing/2014/main" id="{6437C76A-B685-4452-8B4D-9BADC6E32217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8" name="$E$168">
            <a:extLst>
              <a:ext uri="{FF2B5EF4-FFF2-40B4-BE49-F238E27FC236}">
                <a16:creationId xmlns:a16="http://schemas.microsoft.com/office/drawing/2014/main" id="{F9D0E8C3-0B23-4EF8-A5AB-050BFFDFF16B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9" name="$E$168">
            <a:extLst>
              <a:ext uri="{FF2B5EF4-FFF2-40B4-BE49-F238E27FC236}">
                <a16:creationId xmlns:a16="http://schemas.microsoft.com/office/drawing/2014/main" id="{7493E105-5FDE-435E-B58B-4C3354970CE3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0" name="$E$168">
            <a:extLst>
              <a:ext uri="{FF2B5EF4-FFF2-40B4-BE49-F238E27FC236}">
                <a16:creationId xmlns:a16="http://schemas.microsoft.com/office/drawing/2014/main" id="{90E3408D-241F-434B-A08F-0BABDB8978FB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1" name="$E$168">
            <a:extLst>
              <a:ext uri="{FF2B5EF4-FFF2-40B4-BE49-F238E27FC236}">
                <a16:creationId xmlns:a16="http://schemas.microsoft.com/office/drawing/2014/main" id="{FDF007BB-8A7B-48DB-A9D2-6CA0201EE935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2" name="$E$168">
            <a:extLst>
              <a:ext uri="{FF2B5EF4-FFF2-40B4-BE49-F238E27FC236}">
                <a16:creationId xmlns:a16="http://schemas.microsoft.com/office/drawing/2014/main" id="{9B34A4F9-B3B0-4578-83F8-2FC9453FCF7D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3" name="$E$168">
            <a:extLst>
              <a:ext uri="{FF2B5EF4-FFF2-40B4-BE49-F238E27FC236}">
                <a16:creationId xmlns:a16="http://schemas.microsoft.com/office/drawing/2014/main" id="{CB71510B-5191-47EF-AF8E-E30FB85C8E64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4" name="$E$168">
            <a:extLst>
              <a:ext uri="{FF2B5EF4-FFF2-40B4-BE49-F238E27FC236}">
                <a16:creationId xmlns:a16="http://schemas.microsoft.com/office/drawing/2014/main" id="{5F671E38-A209-489C-8495-69FAF249CE3C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5" name="$E$168">
            <a:extLst>
              <a:ext uri="{FF2B5EF4-FFF2-40B4-BE49-F238E27FC236}">
                <a16:creationId xmlns:a16="http://schemas.microsoft.com/office/drawing/2014/main" id="{8554E77A-6455-4E2C-88FD-0C41014300C5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6" name="$E$168">
            <a:extLst>
              <a:ext uri="{FF2B5EF4-FFF2-40B4-BE49-F238E27FC236}">
                <a16:creationId xmlns:a16="http://schemas.microsoft.com/office/drawing/2014/main" id="{C91BB5B6-0EBD-41EA-8786-9ECEDF9F01DC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7" name="$E$168">
            <a:extLst>
              <a:ext uri="{FF2B5EF4-FFF2-40B4-BE49-F238E27FC236}">
                <a16:creationId xmlns:a16="http://schemas.microsoft.com/office/drawing/2014/main" id="{09006907-4C9D-4A69-9D0E-29F20D3A70FF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8" name="$E$168">
            <a:extLst>
              <a:ext uri="{FF2B5EF4-FFF2-40B4-BE49-F238E27FC236}">
                <a16:creationId xmlns:a16="http://schemas.microsoft.com/office/drawing/2014/main" id="{61513079-70B4-4434-8CC7-F996E9F5178D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9" name="$E$168">
            <a:extLst>
              <a:ext uri="{FF2B5EF4-FFF2-40B4-BE49-F238E27FC236}">
                <a16:creationId xmlns:a16="http://schemas.microsoft.com/office/drawing/2014/main" id="{6F47C704-2043-42B4-82C9-54A0C4E8E6DE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0" name="$E$168">
            <a:extLst>
              <a:ext uri="{FF2B5EF4-FFF2-40B4-BE49-F238E27FC236}">
                <a16:creationId xmlns:a16="http://schemas.microsoft.com/office/drawing/2014/main" id="{5FE2FD73-65BC-449E-8E82-ED11351B8E11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1" name="$E$168">
            <a:extLst>
              <a:ext uri="{FF2B5EF4-FFF2-40B4-BE49-F238E27FC236}">
                <a16:creationId xmlns:a16="http://schemas.microsoft.com/office/drawing/2014/main" id="{D096EAB7-5B63-456F-8213-A8672E9407F5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2" name="$E$168">
            <a:extLst>
              <a:ext uri="{FF2B5EF4-FFF2-40B4-BE49-F238E27FC236}">
                <a16:creationId xmlns:a16="http://schemas.microsoft.com/office/drawing/2014/main" id="{AD02CC9A-5732-42DF-B46B-9D4CEC46F2C1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3" name="$E$168">
            <a:extLst>
              <a:ext uri="{FF2B5EF4-FFF2-40B4-BE49-F238E27FC236}">
                <a16:creationId xmlns:a16="http://schemas.microsoft.com/office/drawing/2014/main" id="{B1C2C3CD-3053-4515-8EE8-EA606938752B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4" name="$E$168">
            <a:extLst>
              <a:ext uri="{FF2B5EF4-FFF2-40B4-BE49-F238E27FC236}">
                <a16:creationId xmlns:a16="http://schemas.microsoft.com/office/drawing/2014/main" id="{CC039B8B-EA14-4B5E-B5A1-EE3530EFC8D6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5" name="$E$168">
            <a:extLst>
              <a:ext uri="{FF2B5EF4-FFF2-40B4-BE49-F238E27FC236}">
                <a16:creationId xmlns:a16="http://schemas.microsoft.com/office/drawing/2014/main" id="{0E7D030D-3D68-4955-8774-113443F829F2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6" name="$E$168">
            <a:extLst>
              <a:ext uri="{FF2B5EF4-FFF2-40B4-BE49-F238E27FC236}">
                <a16:creationId xmlns:a16="http://schemas.microsoft.com/office/drawing/2014/main" id="{000B57B3-DC54-4B70-987A-C4EB17E1C6BC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7" name="$E$168">
            <a:extLst>
              <a:ext uri="{FF2B5EF4-FFF2-40B4-BE49-F238E27FC236}">
                <a16:creationId xmlns:a16="http://schemas.microsoft.com/office/drawing/2014/main" id="{952FA949-E4CF-4D0E-BF01-4463466A8505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8" name="$E$168">
            <a:extLst>
              <a:ext uri="{FF2B5EF4-FFF2-40B4-BE49-F238E27FC236}">
                <a16:creationId xmlns:a16="http://schemas.microsoft.com/office/drawing/2014/main" id="{176D4F74-CBB6-44D0-ABDE-06E3B99ADA66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9" name="$E$168">
            <a:extLst>
              <a:ext uri="{FF2B5EF4-FFF2-40B4-BE49-F238E27FC236}">
                <a16:creationId xmlns:a16="http://schemas.microsoft.com/office/drawing/2014/main" id="{628DBC7E-808E-40B5-A876-F81A5863028B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0" name="$E$168">
            <a:extLst>
              <a:ext uri="{FF2B5EF4-FFF2-40B4-BE49-F238E27FC236}">
                <a16:creationId xmlns:a16="http://schemas.microsoft.com/office/drawing/2014/main" id="{163A38A9-595B-4DDE-A8C7-0C21C9C35311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1" name="$E$168">
            <a:extLst>
              <a:ext uri="{FF2B5EF4-FFF2-40B4-BE49-F238E27FC236}">
                <a16:creationId xmlns:a16="http://schemas.microsoft.com/office/drawing/2014/main" id="{F9F9D08A-08C3-48A3-8FAA-AED1BD256ADC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2" name="$E$168">
            <a:extLst>
              <a:ext uri="{FF2B5EF4-FFF2-40B4-BE49-F238E27FC236}">
                <a16:creationId xmlns:a16="http://schemas.microsoft.com/office/drawing/2014/main" id="{76CFC8D0-8D48-471F-9E74-6CB9DD3C22F9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3" name="$E$168">
            <a:extLst>
              <a:ext uri="{FF2B5EF4-FFF2-40B4-BE49-F238E27FC236}">
                <a16:creationId xmlns:a16="http://schemas.microsoft.com/office/drawing/2014/main" id="{B7D3388E-1EEC-4191-8F4B-EB33214A9F7B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4" name="$E$168">
            <a:extLst>
              <a:ext uri="{FF2B5EF4-FFF2-40B4-BE49-F238E27FC236}">
                <a16:creationId xmlns:a16="http://schemas.microsoft.com/office/drawing/2014/main" id="{55141905-A70D-4549-B347-F8056165715A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5" name="$E$168">
            <a:extLst>
              <a:ext uri="{FF2B5EF4-FFF2-40B4-BE49-F238E27FC236}">
                <a16:creationId xmlns:a16="http://schemas.microsoft.com/office/drawing/2014/main" id="{E33DD28C-7EFF-4067-A95A-D06E65E33513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6" name="$E$168">
            <a:extLst>
              <a:ext uri="{FF2B5EF4-FFF2-40B4-BE49-F238E27FC236}">
                <a16:creationId xmlns:a16="http://schemas.microsoft.com/office/drawing/2014/main" id="{75CDACC5-F16B-40F2-813D-0F84190073DB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7" name="$E$168">
            <a:extLst>
              <a:ext uri="{FF2B5EF4-FFF2-40B4-BE49-F238E27FC236}">
                <a16:creationId xmlns:a16="http://schemas.microsoft.com/office/drawing/2014/main" id="{DFA224F4-4ED1-4FB0-B1F1-B518C78F832E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8" name="$E$168">
            <a:extLst>
              <a:ext uri="{FF2B5EF4-FFF2-40B4-BE49-F238E27FC236}">
                <a16:creationId xmlns:a16="http://schemas.microsoft.com/office/drawing/2014/main" id="{4EEF2473-2F22-4660-81FA-A3AF4499ED11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9" name="$E$168">
            <a:extLst>
              <a:ext uri="{FF2B5EF4-FFF2-40B4-BE49-F238E27FC236}">
                <a16:creationId xmlns:a16="http://schemas.microsoft.com/office/drawing/2014/main" id="{930EA0EB-38B8-4403-BE9B-60BD06DD9DD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0" name="$E$168">
            <a:extLst>
              <a:ext uri="{FF2B5EF4-FFF2-40B4-BE49-F238E27FC236}">
                <a16:creationId xmlns:a16="http://schemas.microsoft.com/office/drawing/2014/main" id="{7A55FFB1-2027-4F56-9459-D5300948905C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1" name="$E$168">
            <a:extLst>
              <a:ext uri="{FF2B5EF4-FFF2-40B4-BE49-F238E27FC236}">
                <a16:creationId xmlns:a16="http://schemas.microsoft.com/office/drawing/2014/main" id="{B54A2750-1A87-438A-928D-96066B562AA1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2" name="$E$168">
            <a:extLst>
              <a:ext uri="{FF2B5EF4-FFF2-40B4-BE49-F238E27FC236}">
                <a16:creationId xmlns:a16="http://schemas.microsoft.com/office/drawing/2014/main" id="{933E9CEA-0E1B-42D6-A745-F75626A76D97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3" name="$E$168">
            <a:extLst>
              <a:ext uri="{FF2B5EF4-FFF2-40B4-BE49-F238E27FC236}">
                <a16:creationId xmlns:a16="http://schemas.microsoft.com/office/drawing/2014/main" id="{FA1092D5-0352-4008-A88F-A58C667E9182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4" name="$E$168">
            <a:extLst>
              <a:ext uri="{FF2B5EF4-FFF2-40B4-BE49-F238E27FC236}">
                <a16:creationId xmlns:a16="http://schemas.microsoft.com/office/drawing/2014/main" id="{B0397044-114C-4BE0-A187-01B91F7B0665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5" name="$E$168">
            <a:extLst>
              <a:ext uri="{FF2B5EF4-FFF2-40B4-BE49-F238E27FC236}">
                <a16:creationId xmlns:a16="http://schemas.microsoft.com/office/drawing/2014/main" id="{83FCEC23-12B3-448A-9F9D-56501915C007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6" name="$E$168">
            <a:extLst>
              <a:ext uri="{FF2B5EF4-FFF2-40B4-BE49-F238E27FC236}">
                <a16:creationId xmlns:a16="http://schemas.microsoft.com/office/drawing/2014/main" id="{1AAD2797-C303-44A4-A183-8FA281DFD618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7" name="$E$168">
            <a:extLst>
              <a:ext uri="{FF2B5EF4-FFF2-40B4-BE49-F238E27FC236}">
                <a16:creationId xmlns:a16="http://schemas.microsoft.com/office/drawing/2014/main" id="{52B59925-6842-44A5-9855-114893A297F1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8" name="$E$168">
            <a:extLst>
              <a:ext uri="{FF2B5EF4-FFF2-40B4-BE49-F238E27FC236}">
                <a16:creationId xmlns:a16="http://schemas.microsoft.com/office/drawing/2014/main" id="{8C1C6F54-BE68-4FC1-9802-4FCD4D61C3FF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9" name="$E$168">
            <a:extLst>
              <a:ext uri="{FF2B5EF4-FFF2-40B4-BE49-F238E27FC236}">
                <a16:creationId xmlns:a16="http://schemas.microsoft.com/office/drawing/2014/main" id="{68C91EC7-85C2-4BB8-91EC-47B413531512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0" name="$E$168">
            <a:extLst>
              <a:ext uri="{FF2B5EF4-FFF2-40B4-BE49-F238E27FC236}">
                <a16:creationId xmlns:a16="http://schemas.microsoft.com/office/drawing/2014/main" id="{C2A0E3BA-EE71-4617-9546-0CC3CE19D2DC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1" name="$E$168">
            <a:extLst>
              <a:ext uri="{FF2B5EF4-FFF2-40B4-BE49-F238E27FC236}">
                <a16:creationId xmlns:a16="http://schemas.microsoft.com/office/drawing/2014/main" id="{DDBB5824-F789-464A-933C-20C05A013F0D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2" name="$E$168">
            <a:extLst>
              <a:ext uri="{FF2B5EF4-FFF2-40B4-BE49-F238E27FC236}">
                <a16:creationId xmlns:a16="http://schemas.microsoft.com/office/drawing/2014/main" id="{97207A01-8CE2-45CF-AF32-9BE068F20FDC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3" name="$E$168">
            <a:extLst>
              <a:ext uri="{FF2B5EF4-FFF2-40B4-BE49-F238E27FC236}">
                <a16:creationId xmlns:a16="http://schemas.microsoft.com/office/drawing/2014/main" id="{E215E1C2-4626-4508-96EA-619EB7A78361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4" name="$E$168">
            <a:extLst>
              <a:ext uri="{FF2B5EF4-FFF2-40B4-BE49-F238E27FC236}">
                <a16:creationId xmlns:a16="http://schemas.microsoft.com/office/drawing/2014/main" id="{D8F73656-23FF-4D13-B55D-869E200DA80A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5" name="$E$168">
            <a:extLst>
              <a:ext uri="{FF2B5EF4-FFF2-40B4-BE49-F238E27FC236}">
                <a16:creationId xmlns:a16="http://schemas.microsoft.com/office/drawing/2014/main" id="{66E57095-267B-49FB-AAD4-B882CF3F25A7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6" name="$E$168">
            <a:extLst>
              <a:ext uri="{FF2B5EF4-FFF2-40B4-BE49-F238E27FC236}">
                <a16:creationId xmlns:a16="http://schemas.microsoft.com/office/drawing/2014/main" id="{F1CA1956-A16F-4826-AE44-5D6C4121B6BC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7" name="$E$168">
            <a:extLst>
              <a:ext uri="{FF2B5EF4-FFF2-40B4-BE49-F238E27FC236}">
                <a16:creationId xmlns:a16="http://schemas.microsoft.com/office/drawing/2014/main" id="{3EB08AB3-5DE3-43BB-BAF1-AF43566E391E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8" name="$E$168">
            <a:extLst>
              <a:ext uri="{FF2B5EF4-FFF2-40B4-BE49-F238E27FC236}">
                <a16:creationId xmlns:a16="http://schemas.microsoft.com/office/drawing/2014/main" id="{614B161B-2789-42E4-BFD3-46C5F651EB8B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9" name="$E$168">
            <a:extLst>
              <a:ext uri="{FF2B5EF4-FFF2-40B4-BE49-F238E27FC236}">
                <a16:creationId xmlns:a16="http://schemas.microsoft.com/office/drawing/2014/main" id="{8C97C97D-A9C3-45BC-8F56-07FF58101DD4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0" name="$E$168">
            <a:extLst>
              <a:ext uri="{FF2B5EF4-FFF2-40B4-BE49-F238E27FC236}">
                <a16:creationId xmlns:a16="http://schemas.microsoft.com/office/drawing/2014/main" id="{4109BB37-7734-44DB-AFCF-84DF2F81734F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1" name="$E$168">
            <a:extLst>
              <a:ext uri="{FF2B5EF4-FFF2-40B4-BE49-F238E27FC236}">
                <a16:creationId xmlns:a16="http://schemas.microsoft.com/office/drawing/2014/main" id="{152CCD6D-90F6-4F51-81BB-52E2EBCA075D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2" name="$E$168">
            <a:extLst>
              <a:ext uri="{FF2B5EF4-FFF2-40B4-BE49-F238E27FC236}">
                <a16:creationId xmlns:a16="http://schemas.microsoft.com/office/drawing/2014/main" id="{30FC0121-6E33-44BA-B81B-E8488AF7B3B4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3" name="$E$168">
            <a:extLst>
              <a:ext uri="{FF2B5EF4-FFF2-40B4-BE49-F238E27FC236}">
                <a16:creationId xmlns:a16="http://schemas.microsoft.com/office/drawing/2014/main" id="{F6C13D51-CF71-400C-9193-AC54EFBFFBDE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4" name="$E$168">
            <a:extLst>
              <a:ext uri="{FF2B5EF4-FFF2-40B4-BE49-F238E27FC236}">
                <a16:creationId xmlns:a16="http://schemas.microsoft.com/office/drawing/2014/main" id="{0BF94B30-D8BD-47B2-8938-D2839C4C377B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5" name="$E$168">
            <a:extLst>
              <a:ext uri="{FF2B5EF4-FFF2-40B4-BE49-F238E27FC236}">
                <a16:creationId xmlns:a16="http://schemas.microsoft.com/office/drawing/2014/main" id="{B510FF6D-1035-4293-96D8-7BF364827DA5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6" name="$E$168">
            <a:extLst>
              <a:ext uri="{FF2B5EF4-FFF2-40B4-BE49-F238E27FC236}">
                <a16:creationId xmlns:a16="http://schemas.microsoft.com/office/drawing/2014/main" id="{DB912D67-D29C-40A3-8FAE-53A6348987F9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7" name="$E$168">
            <a:extLst>
              <a:ext uri="{FF2B5EF4-FFF2-40B4-BE49-F238E27FC236}">
                <a16:creationId xmlns:a16="http://schemas.microsoft.com/office/drawing/2014/main" id="{82359EC7-FC1A-4703-93B4-20CA06707CE7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8" name="$E$168">
            <a:extLst>
              <a:ext uri="{FF2B5EF4-FFF2-40B4-BE49-F238E27FC236}">
                <a16:creationId xmlns:a16="http://schemas.microsoft.com/office/drawing/2014/main" id="{0AAC6105-608F-4335-AE21-603BFE3B8F6F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9" name="$E$168">
            <a:extLst>
              <a:ext uri="{FF2B5EF4-FFF2-40B4-BE49-F238E27FC236}">
                <a16:creationId xmlns:a16="http://schemas.microsoft.com/office/drawing/2014/main" id="{836CCB5F-DF38-4B68-AB61-C5324BC6AB89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0" name="$E$168">
            <a:extLst>
              <a:ext uri="{FF2B5EF4-FFF2-40B4-BE49-F238E27FC236}">
                <a16:creationId xmlns:a16="http://schemas.microsoft.com/office/drawing/2014/main" id="{A2FD8339-A3D4-4CD7-AE7F-AC86714E037D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1" name="$E$168">
            <a:extLst>
              <a:ext uri="{FF2B5EF4-FFF2-40B4-BE49-F238E27FC236}">
                <a16:creationId xmlns:a16="http://schemas.microsoft.com/office/drawing/2014/main" id="{AB1BBE38-6865-4510-89E7-0A95FC29CEB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2" name="$E$168">
            <a:extLst>
              <a:ext uri="{FF2B5EF4-FFF2-40B4-BE49-F238E27FC236}">
                <a16:creationId xmlns:a16="http://schemas.microsoft.com/office/drawing/2014/main" id="{2B9CB4CC-1161-4410-AB6C-2338C4111199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3" name="$E$168">
            <a:extLst>
              <a:ext uri="{FF2B5EF4-FFF2-40B4-BE49-F238E27FC236}">
                <a16:creationId xmlns:a16="http://schemas.microsoft.com/office/drawing/2014/main" id="{7D688AA4-CAFF-47BE-8CBF-BE06F735D1F2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4" name="$E$168">
            <a:extLst>
              <a:ext uri="{FF2B5EF4-FFF2-40B4-BE49-F238E27FC236}">
                <a16:creationId xmlns:a16="http://schemas.microsoft.com/office/drawing/2014/main" id="{87B810F4-1B3E-4A2F-98F8-85C7078D08B6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5" name="$E$168">
            <a:extLst>
              <a:ext uri="{FF2B5EF4-FFF2-40B4-BE49-F238E27FC236}">
                <a16:creationId xmlns:a16="http://schemas.microsoft.com/office/drawing/2014/main" id="{5B5FDF68-E3B5-4448-AC8D-01B23FFDE388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6" name="$E$168">
            <a:extLst>
              <a:ext uri="{FF2B5EF4-FFF2-40B4-BE49-F238E27FC236}">
                <a16:creationId xmlns:a16="http://schemas.microsoft.com/office/drawing/2014/main" id="{A7D1F5FF-4563-443E-9807-2B375FABC437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7" name="$E$168">
            <a:extLst>
              <a:ext uri="{FF2B5EF4-FFF2-40B4-BE49-F238E27FC236}">
                <a16:creationId xmlns:a16="http://schemas.microsoft.com/office/drawing/2014/main" id="{DAE9EB1B-7C4B-4A19-B86D-E996FCFF9E2B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8" name="$E$168">
            <a:extLst>
              <a:ext uri="{FF2B5EF4-FFF2-40B4-BE49-F238E27FC236}">
                <a16:creationId xmlns:a16="http://schemas.microsoft.com/office/drawing/2014/main" id="{32B6711E-19F4-40CE-B443-D9B865811D6E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9" name="$E$168">
            <a:extLst>
              <a:ext uri="{FF2B5EF4-FFF2-40B4-BE49-F238E27FC236}">
                <a16:creationId xmlns:a16="http://schemas.microsoft.com/office/drawing/2014/main" id="{277CA936-6B0D-408C-9B18-4126F742CC33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0" name="$E$168">
            <a:extLst>
              <a:ext uri="{FF2B5EF4-FFF2-40B4-BE49-F238E27FC236}">
                <a16:creationId xmlns:a16="http://schemas.microsoft.com/office/drawing/2014/main" id="{F7884B7C-0B53-4A97-A08C-9DD440FA146A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1" name="$E$168">
            <a:extLst>
              <a:ext uri="{FF2B5EF4-FFF2-40B4-BE49-F238E27FC236}">
                <a16:creationId xmlns:a16="http://schemas.microsoft.com/office/drawing/2014/main" id="{0A7093C8-A03F-4E93-B9F5-B89D54B27B23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2" name="$E$168">
            <a:extLst>
              <a:ext uri="{FF2B5EF4-FFF2-40B4-BE49-F238E27FC236}">
                <a16:creationId xmlns:a16="http://schemas.microsoft.com/office/drawing/2014/main" id="{AD6C4EC6-38B4-43A8-A68B-9C7B2A727E69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3" name="$E$168">
            <a:extLst>
              <a:ext uri="{FF2B5EF4-FFF2-40B4-BE49-F238E27FC236}">
                <a16:creationId xmlns:a16="http://schemas.microsoft.com/office/drawing/2014/main" id="{E7F8AFD4-2F40-4A97-90A8-621AC25711FB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4" name="$E$168">
            <a:extLst>
              <a:ext uri="{FF2B5EF4-FFF2-40B4-BE49-F238E27FC236}">
                <a16:creationId xmlns:a16="http://schemas.microsoft.com/office/drawing/2014/main" id="{0CE10934-D840-46FD-9E4A-DE0D8AD1518E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5" name="$E$168">
            <a:extLst>
              <a:ext uri="{FF2B5EF4-FFF2-40B4-BE49-F238E27FC236}">
                <a16:creationId xmlns:a16="http://schemas.microsoft.com/office/drawing/2014/main" id="{06658B7D-83A7-415D-8352-C8BFD03DD11E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6" name="$E$168">
            <a:extLst>
              <a:ext uri="{FF2B5EF4-FFF2-40B4-BE49-F238E27FC236}">
                <a16:creationId xmlns:a16="http://schemas.microsoft.com/office/drawing/2014/main" id="{1865E79B-F48A-4895-B148-FC32768A07ED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7" name="$E$168">
            <a:extLst>
              <a:ext uri="{FF2B5EF4-FFF2-40B4-BE49-F238E27FC236}">
                <a16:creationId xmlns:a16="http://schemas.microsoft.com/office/drawing/2014/main" id="{B9FFC9E6-9746-4DFC-9912-228A00AC55FD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8" name="$E$168">
            <a:extLst>
              <a:ext uri="{FF2B5EF4-FFF2-40B4-BE49-F238E27FC236}">
                <a16:creationId xmlns:a16="http://schemas.microsoft.com/office/drawing/2014/main" id="{8C2115D6-3ED6-4BEE-91D9-CEA1FD8C04B9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9" name="$E$168">
            <a:extLst>
              <a:ext uri="{FF2B5EF4-FFF2-40B4-BE49-F238E27FC236}">
                <a16:creationId xmlns:a16="http://schemas.microsoft.com/office/drawing/2014/main" id="{91C50DB6-EADF-42BE-85F5-136B13907EB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0" name="$E$168">
            <a:extLst>
              <a:ext uri="{FF2B5EF4-FFF2-40B4-BE49-F238E27FC236}">
                <a16:creationId xmlns:a16="http://schemas.microsoft.com/office/drawing/2014/main" id="{BC97C51A-C1C6-4F2A-A922-74E51F10648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1" name="$E$168">
            <a:extLst>
              <a:ext uri="{FF2B5EF4-FFF2-40B4-BE49-F238E27FC236}">
                <a16:creationId xmlns:a16="http://schemas.microsoft.com/office/drawing/2014/main" id="{6256C74C-D1B8-46B6-A4E5-E7A4CDDEB901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2" name="$E$168">
            <a:extLst>
              <a:ext uri="{FF2B5EF4-FFF2-40B4-BE49-F238E27FC236}">
                <a16:creationId xmlns:a16="http://schemas.microsoft.com/office/drawing/2014/main" id="{997A5814-A71D-4466-BA24-1C49B11CED73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3" name="$E$168">
            <a:extLst>
              <a:ext uri="{FF2B5EF4-FFF2-40B4-BE49-F238E27FC236}">
                <a16:creationId xmlns:a16="http://schemas.microsoft.com/office/drawing/2014/main" id="{43D7307B-B21E-4F8A-B54D-223076F1F3EF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4" name="$E$168">
            <a:extLst>
              <a:ext uri="{FF2B5EF4-FFF2-40B4-BE49-F238E27FC236}">
                <a16:creationId xmlns:a16="http://schemas.microsoft.com/office/drawing/2014/main" id="{52039E85-D4A7-42F4-B61D-3D0E65BAAC42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5" name="$E$168">
            <a:extLst>
              <a:ext uri="{FF2B5EF4-FFF2-40B4-BE49-F238E27FC236}">
                <a16:creationId xmlns:a16="http://schemas.microsoft.com/office/drawing/2014/main" id="{734772FC-D20E-44B5-AFB5-F613B61A7E11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6" name="$E$168">
            <a:extLst>
              <a:ext uri="{FF2B5EF4-FFF2-40B4-BE49-F238E27FC236}">
                <a16:creationId xmlns:a16="http://schemas.microsoft.com/office/drawing/2014/main" id="{55A8E3BB-C786-4EAF-9741-51B794E15E1E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7" name="$E$168">
            <a:extLst>
              <a:ext uri="{FF2B5EF4-FFF2-40B4-BE49-F238E27FC236}">
                <a16:creationId xmlns:a16="http://schemas.microsoft.com/office/drawing/2014/main" id="{0FD49238-D4B2-4BF2-8508-385F625833CB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8" name="$E$168">
            <a:extLst>
              <a:ext uri="{FF2B5EF4-FFF2-40B4-BE49-F238E27FC236}">
                <a16:creationId xmlns:a16="http://schemas.microsoft.com/office/drawing/2014/main" id="{5531CB37-646E-4A67-957D-D3CE9F5EF68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9" name="$E$168">
            <a:extLst>
              <a:ext uri="{FF2B5EF4-FFF2-40B4-BE49-F238E27FC236}">
                <a16:creationId xmlns:a16="http://schemas.microsoft.com/office/drawing/2014/main" id="{29D80365-7341-4D8D-9FF1-0333C6B720BF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0" name="$E$168">
            <a:extLst>
              <a:ext uri="{FF2B5EF4-FFF2-40B4-BE49-F238E27FC236}">
                <a16:creationId xmlns:a16="http://schemas.microsoft.com/office/drawing/2014/main" id="{D1A6E7E6-10F2-47A9-80A8-B8EBDF7BAD6C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1" name="$E$168">
            <a:extLst>
              <a:ext uri="{FF2B5EF4-FFF2-40B4-BE49-F238E27FC236}">
                <a16:creationId xmlns:a16="http://schemas.microsoft.com/office/drawing/2014/main" id="{5616008F-D3F4-4B8E-9502-A875E190FBB6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2" name="$E$168">
            <a:extLst>
              <a:ext uri="{FF2B5EF4-FFF2-40B4-BE49-F238E27FC236}">
                <a16:creationId xmlns:a16="http://schemas.microsoft.com/office/drawing/2014/main" id="{6459F070-123E-4D51-894C-FBA1FC32E708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3" name="$E$168">
            <a:extLst>
              <a:ext uri="{FF2B5EF4-FFF2-40B4-BE49-F238E27FC236}">
                <a16:creationId xmlns:a16="http://schemas.microsoft.com/office/drawing/2014/main" id="{302F1C1B-DAC3-4965-9559-BC47816CA39D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4" name="$E$168">
            <a:extLst>
              <a:ext uri="{FF2B5EF4-FFF2-40B4-BE49-F238E27FC236}">
                <a16:creationId xmlns:a16="http://schemas.microsoft.com/office/drawing/2014/main" id="{5B4F7503-12E4-466A-9FA6-2BACE9AC6308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5" name="$E$168">
            <a:extLst>
              <a:ext uri="{FF2B5EF4-FFF2-40B4-BE49-F238E27FC236}">
                <a16:creationId xmlns:a16="http://schemas.microsoft.com/office/drawing/2014/main" id="{EAC5D3CB-6985-4718-9D07-BD0E1044D1B2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6" name="$E$168">
            <a:extLst>
              <a:ext uri="{FF2B5EF4-FFF2-40B4-BE49-F238E27FC236}">
                <a16:creationId xmlns:a16="http://schemas.microsoft.com/office/drawing/2014/main" id="{664BD537-CE84-4C41-9048-2E85772E6957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7" name="$E$168">
            <a:extLst>
              <a:ext uri="{FF2B5EF4-FFF2-40B4-BE49-F238E27FC236}">
                <a16:creationId xmlns:a16="http://schemas.microsoft.com/office/drawing/2014/main" id="{09B5FA72-FEC9-4622-B376-44E3187B90BE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8" name="$E$168">
            <a:extLst>
              <a:ext uri="{FF2B5EF4-FFF2-40B4-BE49-F238E27FC236}">
                <a16:creationId xmlns:a16="http://schemas.microsoft.com/office/drawing/2014/main" id="{4D0733F7-A948-4A45-B5AA-71F2867833C9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9" name="$E$168">
            <a:extLst>
              <a:ext uri="{FF2B5EF4-FFF2-40B4-BE49-F238E27FC236}">
                <a16:creationId xmlns:a16="http://schemas.microsoft.com/office/drawing/2014/main" id="{BEFB8808-0EB8-411F-A668-550780A02338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0" name="$E$168">
            <a:extLst>
              <a:ext uri="{FF2B5EF4-FFF2-40B4-BE49-F238E27FC236}">
                <a16:creationId xmlns:a16="http://schemas.microsoft.com/office/drawing/2014/main" id="{34EAF84C-5012-4A05-AFCD-876ECEA28B41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1" name="$E$168">
            <a:extLst>
              <a:ext uri="{FF2B5EF4-FFF2-40B4-BE49-F238E27FC236}">
                <a16:creationId xmlns:a16="http://schemas.microsoft.com/office/drawing/2014/main" id="{6D0B8A07-4F39-4094-9699-BEACC9E8A51C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2" name="$E$168">
            <a:extLst>
              <a:ext uri="{FF2B5EF4-FFF2-40B4-BE49-F238E27FC236}">
                <a16:creationId xmlns:a16="http://schemas.microsoft.com/office/drawing/2014/main" id="{258F11FA-9300-4671-AAC0-37EB00CC135F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3" name="$E$168">
            <a:extLst>
              <a:ext uri="{FF2B5EF4-FFF2-40B4-BE49-F238E27FC236}">
                <a16:creationId xmlns:a16="http://schemas.microsoft.com/office/drawing/2014/main" id="{4E940044-4913-44FE-ACC4-B772356D7E8F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4" name="$E$168">
            <a:extLst>
              <a:ext uri="{FF2B5EF4-FFF2-40B4-BE49-F238E27FC236}">
                <a16:creationId xmlns:a16="http://schemas.microsoft.com/office/drawing/2014/main" id="{C653203E-F064-429C-8BE7-9E1EF43DA3BA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5" name="$E$168">
            <a:extLst>
              <a:ext uri="{FF2B5EF4-FFF2-40B4-BE49-F238E27FC236}">
                <a16:creationId xmlns:a16="http://schemas.microsoft.com/office/drawing/2014/main" id="{153F2E81-2C84-4091-92A5-ED9D1E89BB9C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6" name="$E$168">
            <a:extLst>
              <a:ext uri="{FF2B5EF4-FFF2-40B4-BE49-F238E27FC236}">
                <a16:creationId xmlns:a16="http://schemas.microsoft.com/office/drawing/2014/main" id="{D30B8096-540F-436A-A81B-66974DEE0895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7" name="$E$168">
            <a:extLst>
              <a:ext uri="{FF2B5EF4-FFF2-40B4-BE49-F238E27FC236}">
                <a16:creationId xmlns:a16="http://schemas.microsoft.com/office/drawing/2014/main" id="{6D741ABF-F03C-4271-B146-379AF917A575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8" name="$E$168">
            <a:extLst>
              <a:ext uri="{FF2B5EF4-FFF2-40B4-BE49-F238E27FC236}">
                <a16:creationId xmlns:a16="http://schemas.microsoft.com/office/drawing/2014/main" id="{49B03FD7-45BA-4F28-AD78-924D8BFF432D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9" name="$E$168">
            <a:extLst>
              <a:ext uri="{FF2B5EF4-FFF2-40B4-BE49-F238E27FC236}">
                <a16:creationId xmlns:a16="http://schemas.microsoft.com/office/drawing/2014/main" id="{CED14D29-AA30-4C96-A1B1-8694A1C956B7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0" name="$E$168">
            <a:extLst>
              <a:ext uri="{FF2B5EF4-FFF2-40B4-BE49-F238E27FC236}">
                <a16:creationId xmlns:a16="http://schemas.microsoft.com/office/drawing/2014/main" id="{AF0F558B-6201-4BB1-89CA-FF836003507E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1" name="$E$168">
            <a:extLst>
              <a:ext uri="{FF2B5EF4-FFF2-40B4-BE49-F238E27FC236}">
                <a16:creationId xmlns:a16="http://schemas.microsoft.com/office/drawing/2014/main" id="{65315AE4-CBCC-41BF-893D-956B2649A16B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2" name="$E$168">
            <a:extLst>
              <a:ext uri="{FF2B5EF4-FFF2-40B4-BE49-F238E27FC236}">
                <a16:creationId xmlns:a16="http://schemas.microsoft.com/office/drawing/2014/main" id="{DF49FC56-4EAB-411C-AB3A-E9C4832450DC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3" name="$E$168">
            <a:extLst>
              <a:ext uri="{FF2B5EF4-FFF2-40B4-BE49-F238E27FC236}">
                <a16:creationId xmlns:a16="http://schemas.microsoft.com/office/drawing/2014/main" id="{CCEEABEB-8251-45D9-9831-D38AE4DBCF1E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4" name="$E$168">
            <a:extLst>
              <a:ext uri="{FF2B5EF4-FFF2-40B4-BE49-F238E27FC236}">
                <a16:creationId xmlns:a16="http://schemas.microsoft.com/office/drawing/2014/main" id="{55384EE7-A8E7-4B0B-B156-04AA7BAAE9CB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5" name="$E$168">
            <a:extLst>
              <a:ext uri="{FF2B5EF4-FFF2-40B4-BE49-F238E27FC236}">
                <a16:creationId xmlns:a16="http://schemas.microsoft.com/office/drawing/2014/main" id="{9697E57D-32B1-4B50-B1B5-FC14A9902963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6" name="$E$168">
            <a:extLst>
              <a:ext uri="{FF2B5EF4-FFF2-40B4-BE49-F238E27FC236}">
                <a16:creationId xmlns:a16="http://schemas.microsoft.com/office/drawing/2014/main" id="{DDDCD69E-9C54-40FE-A38A-EBB41A0E4E4A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7" name="$E$168">
            <a:extLst>
              <a:ext uri="{FF2B5EF4-FFF2-40B4-BE49-F238E27FC236}">
                <a16:creationId xmlns:a16="http://schemas.microsoft.com/office/drawing/2014/main" id="{5CFA2F4C-302E-450A-AA01-47DA7BA17DF3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8" name="$E$168">
            <a:extLst>
              <a:ext uri="{FF2B5EF4-FFF2-40B4-BE49-F238E27FC236}">
                <a16:creationId xmlns:a16="http://schemas.microsoft.com/office/drawing/2014/main" id="{30A405FF-00AB-42CE-A4DF-3A1CD044BF12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9" name="$E$168">
            <a:extLst>
              <a:ext uri="{FF2B5EF4-FFF2-40B4-BE49-F238E27FC236}">
                <a16:creationId xmlns:a16="http://schemas.microsoft.com/office/drawing/2014/main" id="{2F7E0D89-FC91-4C26-BFD1-6B3FBF558D07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0" name="$E$168">
            <a:extLst>
              <a:ext uri="{FF2B5EF4-FFF2-40B4-BE49-F238E27FC236}">
                <a16:creationId xmlns:a16="http://schemas.microsoft.com/office/drawing/2014/main" id="{BAB3BCD1-3D17-438D-AC47-8AD3E757F81F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1" name="$E$168">
            <a:extLst>
              <a:ext uri="{FF2B5EF4-FFF2-40B4-BE49-F238E27FC236}">
                <a16:creationId xmlns:a16="http://schemas.microsoft.com/office/drawing/2014/main" id="{1578A8F7-B9F1-4B58-A573-2CF02B81FF7F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2" name="$E$168">
            <a:extLst>
              <a:ext uri="{FF2B5EF4-FFF2-40B4-BE49-F238E27FC236}">
                <a16:creationId xmlns:a16="http://schemas.microsoft.com/office/drawing/2014/main" id="{8595DD1E-E319-4295-A75E-7D38ABB2BCB7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3" name="$E$168">
            <a:extLst>
              <a:ext uri="{FF2B5EF4-FFF2-40B4-BE49-F238E27FC236}">
                <a16:creationId xmlns:a16="http://schemas.microsoft.com/office/drawing/2014/main" id="{FD8928C7-8F19-4A4C-9A9A-191AC94ACE08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4" name="$E$168">
            <a:extLst>
              <a:ext uri="{FF2B5EF4-FFF2-40B4-BE49-F238E27FC236}">
                <a16:creationId xmlns:a16="http://schemas.microsoft.com/office/drawing/2014/main" id="{2BF8D111-3328-4568-AF5F-B8F0081CE51C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5" name="$E$168">
            <a:extLst>
              <a:ext uri="{FF2B5EF4-FFF2-40B4-BE49-F238E27FC236}">
                <a16:creationId xmlns:a16="http://schemas.microsoft.com/office/drawing/2014/main" id="{EFF966CE-A6AA-46D0-8699-60F4B824D6CF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6" name="$E$168">
            <a:extLst>
              <a:ext uri="{FF2B5EF4-FFF2-40B4-BE49-F238E27FC236}">
                <a16:creationId xmlns:a16="http://schemas.microsoft.com/office/drawing/2014/main" id="{4B9AA856-2B1F-47B9-A557-E5CB3C745444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7" name="$E$168">
            <a:extLst>
              <a:ext uri="{FF2B5EF4-FFF2-40B4-BE49-F238E27FC236}">
                <a16:creationId xmlns:a16="http://schemas.microsoft.com/office/drawing/2014/main" id="{2E5EEC8B-BB89-46B6-AE88-6D2B31A6F361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8" name="$E$168">
            <a:extLst>
              <a:ext uri="{FF2B5EF4-FFF2-40B4-BE49-F238E27FC236}">
                <a16:creationId xmlns:a16="http://schemas.microsoft.com/office/drawing/2014/main" id="{195490A3-94E8-47D6-8D4D-4A2C2FA5A101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9" name="$E$168">
            <a:extLst>
              <a:ext uri="{FF2B5EF4-FFF2-40B4-BE49-F238E27FC236}">
                <a16:creationId xmlns:a16="http://schemas.microsoft.com/office/drawing/2014/main" id="{F78090C8-C27C-49CE-9896-1B1E58B8A5B8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0" name="$E$168">
            <a:extLst>
              <a:ext uri="{FF2B5EF4-FFF2-40B4-BE49-F238E27FC236}">
                <a16:creationId xmlns:a16="http://schemas.microsoft.com/office/drawing/2014/main" id="{B1E91082-9635-464A-A277-7F308EA9574B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1" name="$E$168">
            <a:extLst>
              <a:ext uri="{FF2B5EF4-FFF2-40B4-BE49-F238E27FC236}">
                <a16:creationId xmlns:a16="http://schemas.microsoft.com/office/drawing/2014/main" id="{DF12167A-E604-4B91-98CB-EA17D346A4DD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2" name="$E$168">
            <a:extLst>
              <a:ext uri="{FF2B5EF4-FFF2-40B4-BE49-F238E27FC236}">
                <a16:creationId xmlns:a16="http://schemas.microsoft.com/office/drawing/2014/main" id="{0A0484DE-7D33-4A55-8A0D-88888612DB7B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3" name="$E$168">
            <a:extLst>
              <a:ext uri="{FF2B5EF4-FFF2-40B4-BE49-F238E27FC236}">
                <a16:creationId xmlns:a16="http://schemas.microsoft.com/office/drawing/2014/main" id="{8013CF8A-15D2-4843-A58B-353160D04364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4" name="$E$168">
            <a:extLst>
              <a:ext uri="{FF2B5EF4-FFF2-40B4-BE49-F238E27FC236}">
                <a16:creationId xmlns:a16="http://schemas.microsoft.com/office/drawing/2014/main" id="{F5712A7F-D6C5-4B30-A3D0-8C15393AE14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5" name="$E$168">
            <a:extLst>
              <a:ext uri="{FF2B5EF4-FFF2-40B4-BE49-F238E27FC236}">
                <a16:creationId xmlns:a16="http://schemas.microsoft.com/office/drawing/2014/main" id="{8297C2D0-CCFD-4818-BCC3-E188193FBAF7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6" name="$E$168">
            <a:extLst>
              <a:ext uri="{FF2B5EF4-FFF2-40B4-BE49-F238E27FC236}">
                <a16:creationId xmlns:a16="http://schemas.microsoft.com/office/drawing/2014/main" id="{A5456F2A-924E-4876-8138-C91D1C9FDC24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7" name="$E$168">
            <a:extLst>
              <a:ext uri="{FF2B5EF4-FFF2-40B4-BE49-F238E27FC236}">
                <a16:creationId xmlns:a16="http://schemas.microsoft.com/office/drawing/2014/main" id="{276B4ABA-B723-4347-A436-9FE72A75EBCA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8" name="$E$168">
            <a:extLst>
              <a:ext uri="{FF2B5EF4-FFF2-40B4-BE49-F238E27FC236}">
                <a16:creationId xmlns:a16="http://schemas.microsoft.com/office/drawing/2014/main" id="{086DC3C7-6E00-4C21-97F0-B2986C3C0859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9" name="$E$168">
            <a:extLst>
              <a:ext uri="{FF2B5EF4-FFF2-40B4-BE49-F238E27FC236}">
                <a16:creationId xmlns:a16="http://schemas.microsoft.com/office/drawing/2014/main" id="{724A4689-C1CD-4B63-A77A-44D530B3824F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0" name="$E$168">
            <a:extLst>
              <a:ext uri="{FF2B5EF4-FFF2-40B4-BE49-F238E27FC236}">
                <a16:creationId xmlns:a16="http://schemas.microsoft.com/office/drawing/2014/main" id="{54B381FF-A72A-4751-929D-631036B9302E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1" name="$E$168">
            <a:extLst>
              <a:ext uri="{FF2B5EF4-FFF2-40B4-BE49-F238E27FC236}">
                <a16:creationId xmlns:a16="http://schemas.microsoft.com/office/drawing/2014/main" id="{E2A44528-0B2C-40B1-ABA4-BA175980DE7A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2" name="$E$168">
            <a:extLst>
              <a:ext uri="{FF2B5EF4-FFF2-40B4-BE49-F238E27FC236}">
                <a16:creationId xmlns:a16="http://schemas.microsoft.com/office/drawing/2014/main" id="{78213BB7-4F2D-400B-B7BE-64BFF3A2FC01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3" name="$E$168">
            <a:extLst>
              <a:ext uri="{FF2B5EF4-FFF2-40B4-BE49-F238E27FC236}">
                <a16:creationId xmlns:a16="http://schemas.microsoft.com/office/drawing/2014/main" id="{42E0B227-0C97-49ED-B51A-0DF25EF5257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4" name="$E$168">
            <a:extLst>
              <a:ext uri="{FF2B5EF4-FFF2-40B4-BE49-F238E27FC236}">
                <a16:creationId xmlns:a16="http://schemas.microsoft.com/office/drawing/2014/main" id="{7CB4539F-6014-4686-8950-6743F9D43968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5" name="$E$168">
            <a:extLst>
              <a:ext uri="{FF2B5EF4-FFF2-40B4-BE49-F238E27FC236}">
                <a16:creationId xmlns:a16="http://schemas.microsoft.com/office/drawing/2014/main" id="{1DFFD83C-2B54-4E34-AE05-CBC3ACE20B3E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6" name="$E$168">
            <a:extLst>
              <a:ext uri="{FF2B5EF4-FFF2-40B4-BE49-F238E27FC236}">
                <a16:creationId xmlns:a16="http://schemas.microsoft.com/office/drawing/2014/main" id="{65F11B11-1758-4F64-BFE8-06FA0D33167A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7" name="$E$168">
            <a:extLst>
              <a:ext uri="{FF2B5EF4-FFF2-40B4-BE49-F238E27FC236}">
                <a16:creationId xmlns:a16="http://schemas.microsoft.com/office/drawing/2014/main" id="{52C9F8DC-F487-4E34-9E08-754BC4AA28AE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8" name="$E$168">
            <a:extLst>
              <a:ext uri="{FF2B5EF4-FFF2-40B4-BE49-F238E27FC236}">
                <a16:creationId xmlns:a16="http://schemas.microsoft.com/office/drawing/2014/main" id="{4E6AC147-F307-463A-BF53-03B6893A36DE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9" name="$E$168">
            <a:extLst>
              <a:ext uri="{FF2B5EF4-FFF2-40B4-BE49-F238E27FC236}">
                <a16:creationId xmlns:a16="http://schemas.microsoft.com/office/drawing/2014/main" id="{36176BAA-785A-4CBD-8155-DCE35E24D947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0" name="$E$168">
            <a:extLst>
              <a:ext uri="{FF2B5EF4-FFF2-40B4-BE49-F238E27FC236}">
                <a16:creationId xmlns:a16="http://schemas.microsoft.com/office/drawing/2014/main" id="{236A88C7-FEC1-46CA-9747-30FDE48FFB27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1" name="$E$168">
            <a:extLst>
              <a:ext uri="{FF2B5EF4-FFF2-40B4-BE49-F238E27FC236}">
                <a16:creationId xmlns:a16="http://schemas.microsoft.com/office/drawing/2014/main" id="{2AFE4F5B-2E46-4CB7-ADC9-AED03C5D31F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2" name="$E$168">
            <a:extLst>
              <a:ext uri="{FF2B5EF4-FFF2-40B4-BE49-F238E27FC236}">
                <a16:creationId xmlns:a16="http://schemas.microsoft.com/office/drawing/2014/main" id="{456C1E0E-680E-42E4-B3E1-4202E1E11EA3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3" name="$E$168">
            <a:extLst>
              <a:ext uri="{FF2B5EF4-FFF2-40B4-BE49-F238E27FC236}">
                <a16:creationId xmlns:a16="http://schemas.microsoft.com/office/drawing/2014/main" id="{CAE73526-F74B-486A-81AC-76CC3F7D4F98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4" name="$E$168">
            <a:extLst>
              <a:ext uri="{FF2B5EF4-FFF2-40B4-BE49-F238E27FC236}">
                <a16:creationId xmlns:a16="http://schemas.microsoft.com/office/drawing/2014/main" id="{7188CEF0-6168-4F36-A7E8-E95B19816C48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5" name="$E$168">
            <a:extLst>
              <a:ext uri="{FF2B5EF4-FFF2-40B4-BE49-F238E27FC236}">
                <a16:creationId xmlns:a16="http://schemas.microsoft.com/office/drawing/2014/main" id="{5BD3DCEB-D1AC-48CE-8D5D-1969D0952CAA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6" name="$E$168">
            <a:extLst>
              <a:ext uri="{FF2B5EF4-FFF2-40B4-BE49-F238E27FC236}">
                <a16:creationId xmlns:a16="http://schemas.microsoft.com/office/drawing/2014/main" id="{7F3C2967-D6D2-4ECD-97BE-9B39D02FAC1D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7" name="$E$168">
            <a:extLst>
              <a:ext uri="{FF2B5EF4-FFF2-40B4-BE49-F238E27FC236}">
                <a16:creationId xmlns:a16="http://schemas.microsoft.com/office/drawing/2014/main" id="{8A79C2DA-B30F-499E-BDCB-B0053E4147E7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8" name="$E$168">
            <a:extLst>
              <a:ext uri="{FF2B5EF4-FFF2-40B4-BE49-F238E27FC236}">
                <a16:creationId xmlns:a16="http://schemas.microsoft.com/office/drawing/2014/main" id="{D1CAB526-6CB0-4B0A-AEE2-9C4B5689E7D2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9" name="$E$168">
            <a:extLst>
              <a:ext uri="{FF2B5EF4-FFF2-40B4-BE49-F238E27FC236}">
                <a16:creationId xmlns:a16="http://schemas.microsoft.com/office/drawing/2014/main" id="{0E3B41B1-C1C5-442F-A761-F611636B3AA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0" name="$E$168">
            <a:extLst>
              <a:ext uri="{FF2B5EF4-FFF2-40B4-BE49-F238E27FC236}">
                <a16:creationId xmlns:a16="http://schemas.microsoft.com/office/drawing/2014/main" id="{FCD0E122-FA52-4392-8828-72ADB3DA426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1" name="$E$168">
            <a:extLst>
              <a:ext uri="{FF2B5EF4-FFF2-40B4-BE49-F238E27FC236}">
                <a16:creationId xmlns:a16="http://schemas.microsoft.com/office/drawing/2014/main" id="{EF42E2FE-3D21-45B9-8356-004323286F64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2" name="$E$168">
            <a:extLst>
              <a:ext uri="{FF2B5EF4-FFF2-40B4-BE49-F238E27FC236}">
                <a16:creationId xmlns:a16="http://schemas.microsoft.com/office/drawing/2014/main" id="{F79E1A72-D71E-47F4-BA2C-25BE3C63916C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3" name="$E$168">
            <a:extLst>
              <a:ext uri="{FF2B5EF4-FFF2-40B4-BE49-F238E27FC236}">
                <a16:creationId xmlns:a16="http://schemas.microsoft.com/office/drawing/2014/main" id="{90ECFE85-6C5B-44BB-B1EE-5CEE5A8CB11C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4" name="$E$168">
            <a:extLst>
              <a:ext uri="{FF2B5EF4-FFF2-40B4-BE49-F238E27FC236}">
                <a16:creationId xmlns:a16="http://schemas.microsoft.com/office/drawing/2014/main" id="{995B1700-4C0D-44B1-8442-4D58FD8F20A4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5" name="$E$168">
            <a:extLst>
              <a:ext uri="{FF2B5EF4-FFF2-40B4-BE49-F238E27FC236}">
                <a16:creationId xmlns:a16="http://schemas.microsoft.com/office/drawing/2014/main" id="{C226DC7A-4D6C-4F48-88B7-C7E7B2FDB5F9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6" name="$E$168">
            <a:extLst>
              <a:ext uri="{FF2B5EF4-FFF2-40B4-BE49-F238E27FC236}">
                <a16:creationId xmlns:a16="http://schemas.microsoft.com/office/drawing/2014/main" id="{51109421-C34A-4D16-A387-865275F4FB21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7" name="$E$168">
            <a:extLst>
              <a:ext uri="{FF2B5EF4-FFF2-40B4-BE49-F238E27FC236}">
                <a16:creationId xmlns:a16="http://schemas.microsoft.com/office/drawing/2014/main" id="{BC80A69F-CE61-4218-A514-821193748C99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8" name="$E$168">
            <a:extLst>
              <a:ext uri="{FF2B5EF4-FFF2-40B4-BE49-F238E27FC236}">
                <a16:creationId xmlns:a16="http://schemas.microsoft.com/office/drawing/2014/main" id="{CBD1950F-7879-431F-B1DE-7D74DEB1ED5B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9" name="$E$168">
            <a:extLst>
              <a:ext uri="{FF2B5EF4-FFF2-40B4-BE49-F238E27FC236}">
                <a16:creationId xmlns:a16="http://schemas.microsoft.com/office/drawing/2014/main" id="{EC77E571-1325-412B-B84F-81FC68D3E4A6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0" name="$E$168">
            <a:extLst>
              <a:ext uri="{FF2B5EF4-FFF2-40B4-BE49-F238E27FC236}">
                <a16:creationId xmlns:a16="http://schemas.microsoft.com/office/drawing/2014/main" id="{CC63482C-6C6A-4D1B-9C30-8D692BF6EF52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1" name="$E$168">
            <a:extLst>
              <a:ext uri="{FF2B5EF4-FFF2-40B4-BE49-F238E27FC236}">
                <a16:creationId xmlns:a16="http://schemas.microsoft.com/office/drawing/2014/main" id="{594CF715-C9AE-45F5-8FDC-8020D3AC0F22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2" name="$E$168">
            <a:extLst>
              <a:ext uri="{FF2B5EF4-FFF2-40B4-BE49-F238E27FC236}">
                <a16:creationId xmlns:a16="http://schemas.microsoft.com/office/drawing/2014/main" id="{966973E0-AA5C-46C1-B83A-4EFC3C051471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3" name="$E$168">
            <a:extLst>
              <a:ext uri="{FF2B5EF4-FFF2-40B4-BE49-F238E27FC236}">
                <a16:creationId xmlns:a16="http://schemas.microsoft.com/office/drawing/2014/main" id="{510B729D-7BE0-4EC5-BD1A-B6884679BC55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4" name="$E$168">
            <a:extLst>
              <a:ext uri="{FF2B5EF4-FFF2-40B4-BE49-F238E27FC236}">
                <a16:creationId xmlns:a16="http://schemas.microsoft.com/office/drawing/2014/main" id="{08915D03-E9EE-4C4E-87FE-775DF8AE9C38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5" name="$E$168">
            <a:extLst>
              <a:ext uri="{FF2B5EF4-FFF2-40B4-BE49-F238E27FC236}">
                <a16:creationId xmlns:a16="http://schemas.microsoft.com/office/drawing/2014/main" id="{FADCE4E8-44B7-4CDB-AC48-9590322B1F61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6" name="$E$168">
            <a:extLst>
              <a:ext uri="{FF2B5EF4-FFF2-40B4-BE49-F238E27FC236}">
                <a16:creationId xmlns:a16="http://schemas.microsoft.com/office/drawing/2014/main" id="{3E5D3F6C-9956-4C44-AE89-18A1F870F11C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7" name="$E$168">
            <a:extLst>
              <a:ext uri="{FF2B5EF4-FFF2-40B4-BE49-F238E27FC236}">
                <a16:creationId xmlns:a16="http://schemas.microsoft.com/office/drawing/2014/main" id="{1BE8C8DC-AF6A-4EE3-A25D-F7D7C9BC797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8" name="$E$168">
            <a:extLst>
              <a:ext uri="{FF2B5EF4-FFF2-40B4-BE49-F238E27FC236}">
                <a16:creationId xmlns:a16="http://schemas.microsoft.com/office/drawing/2014/main" id="{643062FB-3E75-4AB0-8713-DC532743491C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9" name="$E$168">
            <a:extLst>
              <a:ext uri="{FF2B5EF4-FFF2-40B4-BE49-F238E27FC236}">
                <a16:creationId xmlns:a16="http://schemas.microsoft.com/office/drawing/2014/main" id="{1FB019E6-DE9F-4DA2-917A-5DE5961980AE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0" name="$E$168">
            <a:extLst>
              <a:ext uri="{FF2B5EF4-FFF2-40B4-BE49-F238E27FC236}">
                <a16:creationId xmlns:a16="http://schemas.microsoft.com/office/drawing/2014/main" id="{9C981704-221B-444E-8C68-B2C0301CD358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1" name="$E$168">
            <a:extLst>
              <a:ext uri="{FF2B5EF4-FFF2-40B4-BE49-F238E27FC236}">
                <a16:creationId xmlns:a16="http://schemas.microsoft.com/office/drawing/2014/main" id="{A04A57A8-11E3-4EE1-A1E2-EFDFFAA7D803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2" name="$E$168">
            <a:extLst>
              <a:ext uri="{FF2B5EF4-FFF2-40B4-BE49-F238E27FC236}">
                <a16:creationId xmlns:a16="http://schemas.microsoft.com/office/drawing/2014/main" id="{415EC04D-C0A9-47DF-A5DE-1BF4CA82A39A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3" name="$E$168">
            <a:extLst>
              <a:ext uri="{FF2B5EF4-FFF2-40B4-BE49-F238E27FC236}">
                <a16:creationId xmlns:a16="http://schemas.microsoft.com/office/drawing/2014/main" id="{CF51F420-277F-4E42-9674-10039CAD0D85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4" name="$E$168">
            <a:extLst>
              <a:ext uri="{FF2B5EF4-FFF2-40B4-BE49-F238E27FC236}">
                <a16:creationId xmlns:a16="http://schemas.microsoft.com/office/drawing/2014/main" id="{AF1F2E66-039F-49C2-8E7D-E45FFD023AEC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5" name="$E$168">
            <a:extLst>
              <a:ext uri="{FF2B5EF4-FFF2-40B4-BE49-F238E27FC236}">
                <a16:creationId xmlns:a16="http://schemas.microsoft.com/office/drawing/2014/main" id="{7C1E66BD-7485-4947-B369-14A622C14CBD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6" name="$E$168">
            <a:extLst>
              <a:ext uri="{FF2B5EF4-FFF2-40B4-BE49-F238E27FC236}">
                <a16:creationId xmlns:a16="http://schemas.microsoft.com/office/drawing/2014/main" id="{1402D620-84CA-4E59-AB4D-E90C28D7E33A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7" name="$E$168">
            <a:extLst>
              <a:ext uri="{FF2B5EF4-FFF2-40B4-BE49-F238E27FC236}">
                <a16:creationId xmlns:a16="http://schemas.microsoft.com/office/drawing/2014/main" id="{949B1884-B0EE-456B-89FB-AC7FCA485594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8" name="$E$168">
            <a:extLst>
              <a:ext uri="{FF2B5EF4-FFF2-40B4-BE49-F238E27FC236}">
                <a16:creationId xmlns:a16="http://schemas.microsoft.com/office/drawing/2014/main" id="{2D6E4D94-E6FB-420F-9287-64F70F008CED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9" name="$E$168">
            <a:extLst>
              <a:ext uri="{FF2B5EF4-FFF2-40B4-BE49-F238E27FC236}">
                <a16:creationId xmlns:a16="http://schemas.microsoft.com/office/drawing/2014/main" id="{014FAD73-5A36-48D4-8715-5FC4F4E277C8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0" name="$E$168">
            <a:extLst>
              <a:ext uri="{FF2B5EF4-FFF2-40B4-BE49-F238E27FC236}">
                <a16:creationId xmlns:a16="http://schemas.microsoft.com/office/drawing/2014/main" id="{7410E9C9-2710-4E84-ACB2-3E0FBABF79E2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1" name="$E$168">
            <a:extLst>
              <a:ext uri="{FF2B5EF4-FFF2-40B4-BE49-F238E27FC236}">
                <a16:creationId xmlns:a16="http://schemas.microsoft.com/office/drawing/2014/main" id="{61DA570D-4EB7-4F76-B555-D687F01C83B4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2" name="$E$168">
            <a:extLst>
              <a:ext uri="{FF2B5EF4-FFF2-40B4-BE49-F238E27FC236}">
                <a16:creationId xmlns:a16="http://schemas.microsoft.com/office/drawing/2014/main" id="{B042DE3F-6C59-498D-AD51-57354EA5C046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3" name="$E$168">
            <a:extLst>
              <a:ext uri="{FF2B5EF4-FFF2-40B4-BE49-F238E27FC236}">
                <a16:creationId xmlns:a16="http://schemas.microsoft.com/office/drawing/2014/main" id="{5F8E9E3A-7FC8-4E64-8602-97E6C3167401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4" name="$E$168">
            <a:extLst>
              <a:ext uri="{FF2B5EF4-FFF2-40B4-BE49-F238E27FC236}">
                <a16:creationId xmlns:a16="http://schemas.microsoft.com/office/drawing/2014/main" id="{E20FA72E-8FE8-4830-81CF-D4447421E2B5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5" name="$E$168">
            <a:extLst>
              <a:ext uri="{FF2B5EF4-FFF2-40B4-BE49-F238E27FC236}">
                <a16:creationId xmlns:a16="http://schemas.microsoft.com/office/drawing/2014/main" id="{0DBB5F3A-A387-44D4-A24A-821DB12C0E75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6" name="$E$168">
            <a:extLst>
              <a:ext uri="{FF2B5EF4-FFF2-40B4-BE49-F238E27FC236}">
                <a16:creationId xmlns:a16="http://schemas.microsoft.com/office/drawing/2014/main" id="{EEF56954-1B6B-4542-92A3-667D8F9F2681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7" name="$E$168">
            <a:extLst>
              <a:ext uri="{FF2B5EF4-FFF2-40B4-BE49-F238E27FC236}">
                <a16:creationId xmlns:a16="http://schemas.microsoft.com/office/drawing/2014/main" id="{ABE066AA-AABA-4F48-B931-FB0EC37D910C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8" name="$E$168">
            <a:extLst>
              <a:ext uri="{FF2B5EF4-FFF2-40B4-BE49-F238E27FC236}">
                <a16:creationId xmlns:a16="http://schemas.microsoft.com/office/drawing/2014/main" id="{975BF483-AE83-4165-B00E-65F90CBB36B6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9" name="$E$168">
            <a:extLst>
              <a:ext uri="{FF2B5EF4-FFF2-40B4-BE49-F238E27FC236}">
                <a16:creationId xmlns:a16="http://schemas.microsoft.com/office/drawing/2014/main" id="{1D5E2A32-3B6F-4FF2-BC04-4375C5CE8DDC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0" name="$E$168">
            <a:extLst>
              <a:ext uri="{FF2B5EF4-FFF2-40B4-BE49-F238E27FC236}">
                <a16:creationId xmlns:a16="http://schemas.microsoft.com/office/drawing/2014/main" id="{3A78D39B-8337-4383-8101-8833E096B6CC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1" name="$E$168">
            <a:extLst>
              <a:ext uri="{FF2B5EF4-FFF2-40B4-BE49-F238E27FC236}">
                <a16:creationId xmlns:a16="http://schemas.microsoft.com/office/drawing/2014/main" id="{E27A3F8A-EFA0-48EF-B0DF-7B2A65A06FF4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2" name="$E$168">
            <a:extLst>
              <a:ext uri="{FF2B5EF4-FFF2-40B4-BE49-F238E27FC236}">
                <a16:creationId xmlns:a16="http://schemas.microsoft.com/office/drawing/2014/main" id="{7E709F80-78DB-4605-97ED-BECFE2E99F19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3" name="$E$168">
            <a:extLst>
              <a:ext uri="{FF2B5EF4-FFF2-40B4-BE49-F238E27FC236}">
                <a16:creationId xmlns:a16="http://schemas.microsoft.com/office/drawing/2014/main" id="{D57D2552-E617-4847-BA75-9F2521BC79FB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4" name="$E$168">
            <a:extLst>
              <a:ext uri="{FF2B5EF4-FFF2-40B4-BE49-F238E27FC236}">
                <a16:creationId xmlns:a16="http://schemas.microsoft.com/office/drawing/2014/main" id="{6E1C4C16-1413-40F2-90EE-BEBFC97999B9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5" name="$E$168">
            <a:extLst>
              <a:ext uri="{FF2B5EF4-FFF2-40B4-BE49-F238E27FC236}">
                <a16:creationId xmlns:a16="http://schemas.microsoft.com/office/drawing/2014/main" id="{0A47B1BA-D5A6-4FA0-A168-45F0DF0DEA9D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6" name="$E$168">
            <a:extLst>
              <a:ext uri="{FF2B5EF4-FFF2-40B4-BE49-F238E27FC236}">
                <a16:creationId xmlns:a16="http://schemas.microsoft.com/office/drawing/2014/main" id="{14EF412F-BF03-492A-B71F-815F939C977F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7" name="$E$168">
            <a:extLst>
              <a:ext uri="{FF2B5EF4-FFF2-40B4-BE49-F238E27FC236}">
                <a16:creationId xmlns:a16="http://schemas.microsoft.com/office/drawing/2014/main" id="{654D303D-CDA1-45D8-8088-90CE6C23EDA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8" name="$E$168">
            <a:extLst>
              <a:ext uri="{FF2B5EF4-FFF2-40B4-BE49-F238E27FC236}">
                <a16:creationId xmlns:a16="http://schemas.microsoft.com/office/drawing/2014/main" id="{19B7A60F-B5E8-497F-8AD6-ADE03414881D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9" name="$E$168">
            <a:extLst>
              <a:ext uri="{FF2B5EF4-FFF2-40B4-BE49-F238E27FC236}">
                <a16:creationId xmlns:a16="http://schemas.microsoft.com/office/drawing/2014/main" id="{51D3B7BB-8D4A-4B0F-8337-D349FB45355B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0" name="$E$168">
            <a:extLst>
              <a:ext uri="{FF2B5EF4-FFF2-40B4-BE49-F238E27FC236}">
                <a16:creationId xmlns:a16="http://schemas.microsoft.com/office/drawing/2014/main" id="{0273270F-0A63-4410-98C8-55B5F7A8569F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1" name="$E$168">
            <a:extLst>
              <a:ext uri="{FF2B5EF4-FFF2-40B4-BE49-F238E27FC236}">
                <a16:creationId xmlns:a16="http://schemas.microsoft.com/office/drawing/2014/main" id="{B2CF9991-6893-4CD2-889F-8B0C36AD49D3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2" name="$E$168">
            <a:extLst>
              <a:ext uri="{FF2B5EF4-FFF2-40B4-BE49-F238E27FC236}">
                <a16:creationId xmlns:a16="http://schemas.microsoft.com/office/drawing/2014/main" id="{76121040-2DBF-469B-AFC4-10A5B67DB6D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3" name="$E$168">
            <a:extLst>
              <a:ext uri="{FF2B5EF4-FFF2-40B4-BE49-F238E27FC236}">
                <a16:creationId xmlns:a16="http://schemas.microsoft.com/office/drawing/2014/main" id="{A8418F6D-C6B0-46CE-A12A-D9AFEB471E6E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4" name="$E$168">
            <a:extLst>
              <a:ext uri="{FF2B5EF4-FFF2-40B4-BE49-F238E27FC236}">
                <a16:creationId xmlns:a16="http://schemas.microsoft.com/office/drawing/2014/main" id="{E4AD7EE8-4E5C-49CA-8D8C-1DECACD16913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5" name="$E$168">
            <a:extLst>
              <a:ext uri="{FF2B5EF4-FFF2-40B4-BE49-F238E27FC236}">
                <a16:creationId xmlns:a16="http://schemas.microsoft.com/office/drawing/2014/main" id="{E938E350-70DB-438E-8D48-CCD4CF9829C8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6" name="$E$168">
            <a:extLst>
              <a:ext uri="{FF2B5EF4-FFF2-40B4-BE49-F238E27FC236}">
                <a16:creationId xmlns:a16="http://schemas.microsoft.com/office/drawing/2014/main" id="{18F7661A-A630-45FE-AE61-B0A118CB2DD1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7" name="$E$168">
            <a:extLst>
              <a:ext uri="{FF2B5EF4-FFF2-40B4-BE49-F238E27FC236}">
                <a16:creationId xmlns:a16="http://schemas.microsoft.com/office/drawing/2014/main" id="{DB58F43B-94C8-4DFF-B9EE-EE078B3FAF38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8" name="$E$168">
            <a:extLst>
              <a:ext uri="{FF2B5EF4-FFF2-40B4-BE49-F238E27FC236}">
                <a16:creationId xmlns:a16="http://schemas.microsoft.com/office/drawing/2014/main" id="{E564B8C7-8795-4AFD-898D-F808FDAD60E8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9" name="$E$168">
            <a:extLst>
              <a:ext uri="{FF2B5EF4-FFF2-40B4-BE49-F238E27FC236}">
                <a16:creationId xmlns:a16="http://schemas.microsoft.com/office/drawing/2014/main" id="{393F1A6D-47C6-4145-AB13-D9862C7DC021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0" name="$E$168">
            <a:extLst>
              <a:ext uri="{FF2B5EF4-FFF2-40B4-BE49-F238E27FC236}">
                <a16:creationId xmlns:a16="http://schemas.microsoft.com/office/drawing/2014/main" id="{CEC09AAB-98D8-44A2-BE30-27C67F1C21AD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1" name="$E$168">
            <a:extLst>
              <a:ext uri="{FF2B5EF4-FFF2-40B4-BE49-F238E27FC236}">
                <a16:creationId xmlns:a16="http://schemas.microsoft.com/office/drawing/2014/main" id="{CE626CB4-1266-4E2C-B1F4-B522502638A2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2" name="$E$168">
            <a:extLst>
              <a:ext uri="{FF2B5EF4-FFF2-40B4-BE49-F238E27FC236}">
                <a16:creationId xmlns:a16="http://schemas.microsoft.com/office/drawing/2014/main" id="{E89C65F1-913B-4BE7-AED1-C58E8E37C4A2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3" name="$E$168">
            <a:extLst>
              <a:ext uri="{FF2B5EF4-FFF2-40B4-BE49-F238E27FC236}">
                <a16:creationId xmlns:a16="http://schemas.microsoft.com/office/drawing/2014/main" id="{64B7687A-E3B5-448B-9C2F-9DFFA1A26778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4" name="$E$168">
            <a:extLst>
              <a:ext uri="{FF2B5EF4-FFF2-40B4-BE49-F238E27FC236}">
                <a16:creationId xmlns:a16="http://schemas.microsoft.com/office/drawing/2014/main" id="{BC31430A-47EB-4BA1-8657-46200C4BEE3F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5" name="$E$168">
            <a:extLst>
              <a:ext uri="{FF2B5EF4-FFF2-40B4-BE49-F238E27FC236}">
                <a16:creationId xmlns:a16="http://schemas.microsoft.com/office/drawing/2014/main" id="{5167CEEB-57B5-4BED-8903-F53F9CE75C82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6" name="$E$168">
            <a:extLst>
              <a:ext uri="{FF2B5EF4-FFF2-40B4-BE49-F238E27FC236}">
                <a16:creationId xmlns:a16="http://schemas.microsoft.com/office/drawing/2014/main" id="{02960811-02C5-49CE-BA0A-EAD4DA1F22BF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7" name="$E$168">
            <a:extLst>
              <a:ext uri="{FF2B5EF4-FFF2-40B4-BE49-F238E27FC236}">
                <a16:creationId xmlns:a16="http://schemas.microsoft.com/office/drawing/2014/main" id="{48069DE7-D474-47B4-83A3-BED1B1722BBD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8" name="$E$168">
            <a:extLst>
              <a:ext uri="{FF2B5EF4-FFF2-40B4-BE49-F238E27FC236}">
                <a16:creationId xmlns:a16="http://schemas.microsoft.com/office/drawing/2014/main" id="{6AEF3B0F-9824-4A8A-8776-5C04AC626333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9" name="$E$168">
            <a:extLst>
              <a:ext uri="{FF2B5EF4-FFF2-40B4-BE49-F238E27FC236}">
                <a16:creationId xmlns:a16="http://schemas.microsoft.com/office/drawing/2014/main" id="{225A55E5-6230-43BD-A2FC-6E49D21A686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0" name="$E$168">
            <a:extLst>
              <a:ext uri="{FF2B5EF4-FFF2-40B4-BE49-F238E27FC236}">
                <a16:creationId xmlns:a16="http://schemas.microsoft.com/office/drawing/2014/main" id="{6E3A07C1-A39D-42D1-AD05-270ED5DBDDB8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1" name="$E$168">
            <a:extLst>
              <a:ext uri="{FF2B5EF4-FFF2-40B4-BE49-F238E27FC236}">
                <a16:creationId xmlns:a16="http://schemas.microsoft.com/office/drawing/2014/main" id="{FF7FD4FB-8B37-438B-A7B5-D8C19D0E47A2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2" name="$E$168">
            <a:extLst>
              <a:ext uri="{FF2B5EF4-FFF2-40B4-BE49-F238E27FC236}">
                <a16:creationId xmlns:a16="http://schemas.microsoft.com/office/drawing/2014/main" id="{7EBC077D-CD54-47DC-BF7C-C815AB839298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3" name="$E$168">
            <a:extLst>
              <a:ext uri="{FF2B5EF4-FFF2-40B4-BE49-F238E27FC236}">
                <a16:creationId xmlns:a16="http://schemas.microsoft.com/office/drawing/2014/main" id="{FD75C8B3-E699-4043-9AC6-4074A9A2F31D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4" name="$E$168">
            <a:extLst>
              <a:ext uri="{FF2B5EF4-FFF2-40B4-BE49-F238E27FC236}">
                <a16:creationId xmlns:a16="http://schemas.microsoft.com/office/drawing/2014/main" id="{C631C85E-7811-4DD9-A82E-D3B4E76E5678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5" name="$E$168">
            <a:extLst>
              <a:ext uri="{FF2B5EF4-FFF2-40B4-BE49-F238E27FC236}">
                <a16:creationId xmlns:a16="http://schemas.microsoft.com/office/drawing/2014/main" id="{23162C0F-FBA0-4886-8480-6CC8096B6231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6" name="$E$168">
            <a:extLst>
              <a:ext uri="{FF2B5EF4-FFF2-40B4-BE49-F238E27FC236}">
                <a16:creationId xmlns:a16="http://schemas.microsoft.com/office/drawing/2014/main" id="{3C1D66E8-50E6-484E-81CE-BBDE2A898A55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7" name="$E$168">
            <a:extLst>
              <a:ext uri="{FF2B5EF4-FFF2-40B4-BE49-F238E27FC236}">
                <a16:creationId xmlns:a16="http://schemas.microsoft.com/office/drawing/2014/main" id="{96322849-9CFD-4C53-A0B3-C162AF9E7592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8" name="$E$168">
            <a:extLst>
              <a:ext uri="{FF2B5EF4-FFF2-40B4-BE49-F238E27FC236}">
                <a16:creationId xmlns:a16="http://schemas.microsoft.com/office/drawing/2014/main" id="{7F592EDE-9A51-45B8-A0FA-AB9F6D6D9744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9" name="$E$168">
            <a:extLst>
              <a:ext uri="{FF2B5EF4-FFF2-40B4-BE49-F238E27FC236}">
                <a16:creationId xmlns:a16="http://schemas.microsoft.com/office/drawing/2014/main" id="{CFC72A6B-4AF1-4ABC-880C-6494109CF65A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0" name="$E$168">
            <a:extLst>
              <a:ext uri="{FF2B5EF4-FFF2-40B4-BE49-F238E27FC236}">
                <a16:creationId xmlns:a16="http://schemas.microsoft.com/office/drawing/2014/main" id="{B5742D4F-785F-4E24-B792-2A38025FEE0C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1" name="$E$168">
            <a:extLst>
              <a:ext uri="{FF2B5EF4-FFF2-40B4-BE49-F238E27FC236}">
                <a16:creationId xmlns:a16="http://schemas.microsoft.com/office/drawing/2014/main" id="{17B595AA-37EB-419D-B7AA-CEE6E363B43E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2" name="$E$168">
            <a:extLst>
              <a:ext uri="{FF2B5EF4-FFF2-40B4-BE49-F238E27FC236}">
                <a16:creationId xmlns:a16="http://schemas.microsoft.com/office/drawing/2014/main" id="{B3841480-B268-4C17-964B-FAF0E1F1937B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3" name="$E$168">
            <a:extLst>
              <a:ext uri="{FF2B5EF4-FFF2-40B4-BE49-F238E27FC236}">
                <a16:creationId xmlns:a16="http://schemas.microsoft.com/office/drawing/2014/main" id="{BFB5CB14-4329-486D-B737-B271ABDE63ED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4" name="$E$168">
            <a:extLst>
              <a:ext uri="{FF2B5EF4-FFF2-40B4-BE49-F238E27FC236}">
                <a16:creationId xmlns:a16="http://schemas.microsoft.com/office/drawing/2014/main" id="{2498A314-8136-45E1-8E5D-A1DC547645D9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5" name="$E$168">
            <a:extLst>
              <a:ext uri="{FF2B5EF4-FFF2-40B4-BE49-F238E27FC236}">
                <a16:creationId xmlns:a16="http://schemas.microsoft.com/office/drawing/2014/main" id="{869B6477-1C5D-4CEA-AA67-83B943CD8DBC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6" name="$E$168">
            <a:extLst>
              <a:ext uri="{FF2B5EF4-FFF2-40B4-BE49-F238E27FC236}">
                <a16:creationId xmlns:a16="http://schemas.microsoft.com/office/drawing/2014/main" id="{1AA10289-7779-4AB9-BF4B-8C76A69EDA1C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7" name="$E$168">
            <a:extLst>
              <a:ext uri="{FF2B5EF4-FFF2-40B4-BE49-F238E27FC236}">
                <a16:creationId xmlns:a16="http://schemas.microsoft.com/office/drawing/2014/main" id="{DDAFD182-1F3C-429E-9937-0FACA9BAD5A3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8" name="$E$168">
            <a:extLst>
              <a:ext uri="{FF2B5EF4-FFF2-40B4-BE49-F238E27FC236}">
                <a16:creationId xmlns:a16="http://schemas.microsoft.com/office/drawing/2014/main" id="{8481C8A9-2786-4F7B-9C44-070EE969E2C2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9" name="$E$168">
            <a:extLst>
              <a:ext uri="{FF2B5EF4-FFF2-40B4-BE49-F238E27FC236}">
                <a16:creationId xmlns:a16="http://schemas.microsoft.com/office/drawing/2014/main" id="{8CD8E168-2E2D-4EFE-833D-FCFBBFEF7FF9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0" name="$E$168">
            <a:extLst>
              <a:ext uri="{FF2B5EF4-FFF2-40B4-BE49-F238E27FC236}">
                <a16:creationId xmlns:a16="http://schemas.microsoft.com/office/drawing/2014/main" id="{61B71FB9-8E10-49AD-8A38-E493E8CD2F2C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1" name="$E$168">
            <a:extLst>
              <a:ext uri="{FF2B5EF4-FFF2-40B4-BE49-F238E27FC236}">
                <a16:creationId xmlns:a16="http://schemas.microsoft.com/office/drawing/2014/main" id="{88F2D427-0EC6-4A2D-8901-00DFA2A6AE29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2" name="$E$168">
            <a:extLst>
              <a:ext uri="{FF2B5EF4-FFF2-40B4-BE49-F238E27FC236}">
                <a16:creationId xmlns:a16="http://schemas.microsoft.com/office/drawing/2014/main" id="{1E27AC2D-DB79-49A2-A9A0-7C18BD71487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3" name="$E$168">
            <a:extLst>
              <a:ext uri="{FF2B5EF4-FFF2-40B4-BE49-F238E27FC236}">
                <a16:creationId xmlns:a16="http://schemas.microsoft.com/office/drawing/2014/main" id="{3851CF59-D6E4-41E6-A343-40EB3E30A3AF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4" name="$E$168">
            <a:extLst>
              <a:ext uri="{FF2B5EF4-FFF2-40B4-BE49-F238E27FC236}">
                <a16:creationId xmlns:a16="http://schemas.microsoft.com/office/drawing/2014/main" id="{2E0A341F-4184-4FEC-AE2B-61A26EA027CB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5" name="$E$168">
            <a:extLst>
              <a:ext uri="{FF2B5EF4-FFF2-40B4-BE49-F238E27FC236}">
                <a16:creationId xmlns:a16="http://schemas.microsoft.com/office/drawing/2014/main" id="{6B6C901C-4573-49EB-8B1E-7674596EA8B8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6" name="$E$168">
            <a:extLst>
              <a:ext uri="{FF2B5EF4-FFF2-40B4-BE49-F238E27FC236}">
                <a16:creationId xmlns:a16="http://schemas.microsoft.com/office/drawing/2014/main" id="{D614D820-7C31-4AFD-9C9A-69A416EDAFD4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7" name="$E$168">
            <a:extLst>
              <a:ext uri="{FF2B5EF4-FFF2-40B4-BE49-F238E27FC236}">
                <a16:creationId xmlns:a16="http://schemas.microsoft.com/office/drawing/2014/main" id="{208E576D-FE95-433D-83A8-C6103FCBB6FE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8" name="$E$168">
            <a:extLst>
              <a:ext uri="{FF2B5EF4-FFF2-40B4-BE49-F238E27FC236}">
                <a16:creationId xmlns:a16="http://schemas.microsoft.com/office/drawing/2014/main" id="{B3CA177D-9D9D-40CF-A37B-18D63FC71767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9" name="$E$168">
            <a:extLst>
              <a:ext uri="{FF2B5EF4-FFF2-40B4-BE49-F238E27FC236}">
                <a16:creationId xmlns:a16="http://schemas.microsoft.com/office/drawing/2014/main" id="{FDD8C1C4-4C3B-45C1-A015-FEE4B0759809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0" name="$E$168">
            <a:extLst>
              <a:ext uri="{FF2B5EF4-FFF2-40B4-BE49-F238E27FC236}">
                <a16:creationId xmlns:a16="http://schemas.microsoft.com/office/drawing/2014/main" id="{929D08BC-A9C5-4F8C-AC30-E26C4A9DC15C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1" name="$E$168">
            <a:extLst>
              <a:ext uri="{FF2B5EF4-FFF2-40B4-BE49-F238E27FC236}">
                <a16:creationId xmlns:a16="http://schemas.microsoft.com/office/drawing/2014/main" id="{1B02B59E-8E1C-4306-8E48-188647B2B701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2" name="$E$168">
            <a:extLst>
              <a:ext uri="{FF2B5EF4-FFF2-40B4-BE49-F238E27FC236}">
                <a16:creationId xmlns:a16="http://schemas.microsoft.com/office/drawing/2014/main" id="{452FE90F-8414-486B-9045-E1C9BC6AFFE8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3" name="$E$168">
            <a:extLst>
              <a:ext uri="{FF2B5EF4-FFF2-40B4-BE49-F238E27FC236}">
                <a16:creationId xmlns:a16="http://schemas.microsoft.com/office/drawing/2014/main" id="{12F2182E-94C1-4FDB-8CDF-E7483287F668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4" name="$E$168">
            <a:extLst>
              <a:ext uri="{FF2B5EF4-FFF2-40B4-BE49-F238E27FC236}">
                <a16:creationId xmlns:a16="http://schemas.microsoft.com/office/drawing/2014/main" id="{4260FB02-9C3F-4280-8C64-016DF9ECCDFD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5" name="$E$168">
            <a:extLst>
              <a:ext uri="{FF2B5EF4-FFF2-40B4-BE49-F238E27FC236}">
                <a16:creationId xmlns:a16="http://schemas.microsoft.com/office/drawing/2014/main" id="{2DD9C89A-21EF-4D0A-928A-0FF7A7451B86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6" name="$E$168">
            <a:extLst>
              <a:ext uri="{FF2B5EF4-FFF2-40B4-BE49-F238E27FC236}">
                <a16:creationId xmlns:a16="http://schemas.microsoft.com/office/drawing/2014/main" id="{7D022EA3-A407-44EA-B88C-3DD0CF174FD5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7" name="$E$168">
            <a:extLst>
              <a:ext uri="{FF2B5EF4-FFF2-40B4-BE49-F238E27FC236}">
                <a16:creationId xmlns:a16="http://schemas.microsoft.com/office/drawing/2014/main" id="{BACA16A6-BEFF-4DD7-A93A-505D50E8C161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8" name="$E$168">
            <a:extLst>
              <a:ext uri="{FF2B5EF4-FFF2-40B4-BE49-F238E27FC236}">
                <a16:creationId xmlns:a16="http://schemas.microsoft.com/office/drawing/2014/main" id="{0A9FE76F-F3AC-4A91-AB9B-CA0464326EC6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9" name="$E$168">
            <a:extLst>
              <a:ext uri="{FF2B5EF4-FFF2-40B4-BE49-F238E27FC236}">
                <a16:creationId xmlns:a16="http://schemas.microsoft.com/office/drawing/2014/main" id="{62F6D5D1-8660-437F-9EF8-0D85AD26105B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0" name="$E$168">
            <a:extLst>
              <a:ext uri="{FF2B5EF4-FFF2-40B4-BE49-F238E27FC236}">
                <a16:creationId xmlns:a16="http://schemas.microsoft.com/office/drawing/2014/main" id="{AB5AF7ED-E9FA-4A92-A2F6-85CF956142E7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1" name="$E$168">
            <a:extLst>
              <a:ext uri="{FF2B5EF4-FFF2-40B4-BE49-F238E27FC236}">
                <a16:creationId xmlns:a16="http://schemas.microsoft.com/office/drawing/2014/main" id="{23FB7769-B927-4FF8-8896-07B23599D201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2" name="$E$168">
            <a:extLst>
              <a:ext uri="{FF2B5EF4-FFF2-40B4-BE49-F238E27FC236}">
                <a16:creationId xmlns:a16="http://schemas.microsoft.com/office/drawing/2014/main" id="{62425F18-7593-4E21-866B-4EEB3D537AB4}"/>
              </a:ext>
            </a:extLst>
          </xdr:cNvPr>
          <xdr:cNvSpPr/>
        </xdr:nvSpPr>
        <xdr:spPr>
          <a:xfrm>
            <a:off x="228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3" name="$E$168">
            <a:extLst>
              <a:ext uri="{FF2B5EF4-FFF2-40B4-BE49-F238E27FC236}">
                <a16:creationId xmlns:a16="http://schemas.microsoft.com/office/drawing/2014/main" id="{AEC5CD63-D803-4ABE-9E47-83C9E8B9A0A1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4" name="$E$168">
            <a:extLst>
              <a:ext uri="{FF2B5EF4-FFF2-40B4-BE49-F238E27FC236}">
                <a16:creationId xmlns:a16="http://schemas.microsoft.com/office/drawing/2014/main" id="{9237FC56-7517-4922-8A00-0EB6FE5C5C1F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5" name="$E$168">
            <a:extLst>
              <a:ext uri="{FF2B5EF4-FFF2-40B4-BE49-F238E27FC236}">
                <a16:creationId xmlns:a16="http://schemas.microsoft.com/office/drawing/2014/main" id="{5440201A-3D70-4EB2-9BD3-C0410ACE0C2F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6" name="$E$168">
            <a:extLst>
              <a:ext uri="{FF2B5EF4-FFF2-40B4-BE49-F238E27FC236}">
                <a16:creationId xmlns:a16="http://schemas.microsoft.com/office/drawing/2014/main" id="{23A302A5-A0A5-4344-93BE-439E7B4ED8C5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7" name="$E$168">
            <a:extLst>
              <a:ext uri="{FF2B5EF4-FFF2-40B4-BE49-F238E27FC236}">
                <a16:creationId xmlns:a16="http://schemas.microsoft.com/office/drawing/2014/main" id="{B2E8FF17-D81C-4F7A-A96C-99FF21184669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8" name="$E$168">
            <a:extLst>
              <a:ext uri="{FF2B5EF4-FFF2-40B4-BE49-F238E27FC236}">
                <a16:creationId xmlns:a16="http://schemas.microsoft.com/office/drawing/2014/main" id="{83FB23E8-5A25-4DE1-A124-E79FDCE23A6D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9" name="$E$168">
            <a:extLst>
              <a:ext uri="{FF2B5EF4-FFF2-40B4-BE49-F238E27FC236}">
                <a16:creationId xmlns:a16="http://schemas.microsoft.com/office/drawing/2014/main" id="{C62F788F-C31E-4593-AEC4-F1865D5E3282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0" name="$E$168">
            <a:extLst>
              <a:ext uri="{FF2B5EF4-FFF2-40B4-BE49-F238E27FC236}">
                <a16:creationId xmlns:a16="http://schemas.microsoft.com/office/drawing/2014/main" id="{7BB89A03-AEC2-4FAE-82D1-E33403DD3BDD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1" name="$E$168">
            <a:extLst>
              <a:ext uri="{FF2B5EF4-FFF2-40B4-BE49-F238E27FC236}">
                <a16:creationId xmlns:a16="http://schemas.microsoft.com/office/drawing/2014/main" id="{3604C6AD-C7FC-4F51-9DC4-2FDA31BFF6B2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2" name="$E$168">
            <a:extLst>
              <a:ext uri="{FF2B5EF4-FFF2-40B4-BE49-F238E27FC236}">
                <a16:creationId xmlns:a16="http://schemas.microsoft.com/office/drawing/2014/main" id="{B91D1B73-A83D-4B4A-A139-3D93C716A8D5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3" name="$E$168">
            <a:extLst>
              <a:ext uri="{FF2B5EF4-FFF2-40B4-BE49-F238E27FC236}">
                <a16:creationId xmlns:a16="http://schemas.microsoft.com/office/drawing/2014/main" id="{4EBA900E-B9E4-4CD3-9FBB-5798952DF381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4" name="$E$168">
            <a:extLst>
              <a:ext uri="{FF2B5EF4-FFF2-40B4-BE49-F238E27FC236}">
                <a16:creationId xmlns:a16="http://schemas.microsoft.com/office/drawing/2014/main" id="{406189B7-29BA-4AD7-9593-237A2E7DE154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5" name="$E$168">
            <a:extLst>
              <a:ext uri="{FF2B5EF4-FFF2-40B4-BE49-F238E27FC236}">
                <a16:creationId xmlns:a16="http://schemas.microsoft.com/office/drawing/2014/main" id="{9C3FD357-51DC-422D-B0FE-7A72BC43D7A7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6" name="$E$168">
            <a:extLst>
              <a:ext uri="{FF2B5EF4-FFF2-40B4-BE49-F238E27FC236}">
                <a16:creationId xmlns:a16="http://schemas.microsoft.com/office/drawing/2014/main" id="{CF0E121C-C907-403F-9B7A-91F3E29B3714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7" name="$E$168">
            <a:extLst>
              <a:ext uri="{FF2B5EF4-FFF2-40B4-BE49-F238E27FC236}">
                <a16:creationId xmlns:a16="http://schemas.microsoft.com/office/drawing/2014/main" id="{9B47387C-4D71-48F8-9FFB-3167A5A3D0D3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8" name="$E$168">
            <a:extLst>
              <a:ext uri="{FF2B5EF4-FFF2-40B4-BE49-F238E27FC236}">
                <a16:creationId xmlns:a16="http://schemas.microsoft.com/office/drawing/2014/main" id="{C6AE1A36-BE51-4AAF-8B17-47D4528DE00A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9" name="$E$168">
            <a:extLst>
              <a:ext uri="{FF2B5EF4-FFF2-40B4-BE49-F238E27FC236}">
                <a16:creationId xmlns:a16="http://schemas.microsoft.com/office/drawing/2014/main" id="{54912967-3063-46EE-81BF-6C7000E9D8A3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0" name="$E$168">
            <a:extLst>
              <a:ext uri="{FF2B5EF4-FFF2-40B4-BE49-F238E27FC236}">
                <a16:creationId xmlns:a16="http://schemas.microsoft.com/office/drawing/2014/main" id="{BB4D3935-1B0E-423F-8222-F39F69CCA878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1" name="$E$168">
            <a:extLst>
              <a:ext uri="{FF2B5EF4-FFF2-40B4-BE49-F238E27FC236}">
                <a16:creationId xmlns:a16="http://schemas.microsoft.com/office/drawing/2014/main" id="{7F9695A3-407F-438B-B79C-79D0F1C144D8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2" name="$E$168">
            <a:extLst>
              <a:ext uri="{FF2B5EF4-FFF2-40B4-BE49-F238E27FC236}">
                <a16:creationId xmlns:a16="http://schemas.microsoft.com/office/drawing/2014/main" id="{144F6B48-59FA-465A-B35E-32B4198521AB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3" name="$E$168">
            <a:extLst>
              <a:ext uri="{FF2B5EF4-FFF2-40B4-BE49-F238E27FC236}">
                <a16:creationId xmlns:a16="http://schemas.microsoft.com/office/drawing/2014/main" id="{9C7A5891-8FC5-4214-A20B-6646CA76DBCC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4" name="$E$168">
            <a:extLst>
              <a:ext uri="{FF2B5EF4-FFF2-40B4-BE49-F238E27FC236}">
                <a16:creationId xmlns:a16="http://schemas.microsoft.com/office/drawing/2014/main" id="{1FD5D0DE-8EF1-4410-B191-DFA13B6DA3B7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5" name="$E$168">
            <a:extLst>
              <a:ext uri="{FF2B5EF4-FFF2-40B4-BE49-F238E27FC236}">
                <a16:creationId xmlns:a16="http://schemas.microsoft.com/office/drawing/2014/main" id="{512416DD-6E1C-4887-8E01-50884BF3520F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6" name="$E$168">
            <a:extLst>
              <a:ext uri="{FF2B5EF4-FFF2-40B4-BE49-F238E27FC236}">
                <a16:creationId xmlns:a16="http://schemas.microsoft.com/office/drawing/2014/main" id="{DA3AAA12-7A71-4DDB-9161-2D2A376D65ED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7" name="$E$168">
            <a:extLst>
              <a:ext uri="{FF2B5EF4-FFF2-40B4-BE49-F238E27FC236}">
                <a16:creationId xmlns:a16="http://schemas.microsoft.com/office/drawing/2014/main" id="{52E263EC-D85F-47F1-A4C4-604937516B89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8" name="$E$168">
            <a:extLst>
              <a:ext uri="{FF2B5EF4-FFF2-40B4-BE49-F238E27FC236}">
                <a16:creationId xmlns:a16="http://schemas.microsoft.com/office/drawing/2014/main" id="{B0A9C123-1480-4E0F-B97E-B4F4C3184C16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9" name="$E$168">
            <a:extLst>
              <a:ext uri="{FF2B5EF4-FFF2-40B4-BE49-F238E27FC236}">
                <a16:creationId xmlns:a16="http://schemas.microsoft.com/office/drawing/2014/main" id="{9FE063FB-FC3E-42D0-B570-F9204B92249B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nilbani55@gmail.com" TargetMode="External"/><Relationship Id="rId18" Type="http://schemas.openxmlformats.org/officeDocument/2006/relationships/hyperlink" Target="mailto:PSICOLOG@" TargetMode="External"/><Relationship Id="rId26" Type="http://schemas.openxmlformats.org/officeDocument/2006/relationships/hyperlink" Target="mailto:MEDIC@" TargetMode="External"/><Relationship Id="rId3" Type="http://schemas.openxmlformats.org/officeDocument/2006/relationships/hyperlink" Target="mailto:ENFERMER@" TargetMode="External"/><Relationship Id="rId21" Type="http://schemas.openxmlformats.org/officeDocument/2006/relationships/hyperlink" Target="mailto:benavidescristian15@gmail.com" TargetMode="External"/><Relationship Id="rId34" Type="http://schemas.openxmlformats.org/officeDocument/2006/relationships/hyperlink" Target="mailto:MEDIC@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paudelto06@gmail.com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hyperlink" Target="mailto:MEDIC@" TargetMode="External"/><Relationship Id="rId33" Type="http://schemas.openxmlformats.org/officeDocument/2006/relationships/hyperlink" Target="mailto:MEDIC@" TargetMode="External"/><Relationship Id="rId2" Type="http://schemas.openxmlformats.org/officeDocument/2006/relationships/hyperlink" Target="mailto:MEDIC@" TargetMode="External"/><Relationship Id="rId16" Type="http://schemas.openxmlformats.org/officeDocument/2006/relationships/hyperlink" Target="mailto:dianitaa34@gmail.com" TargetMode="External"/><Relationship Id="rId20" Type="http://schemas.openxmlformats.org/officeDocument/2006/relationships/hyperlink" Target="mailto:benavidescristian15@gmail.com" TargetMode="External"/><Relationship Id="rId29" Type="http://schemas.openxmlformats.org/officeDocument/2006/relationships/hyperlink" Target="mailto:yamileandrade383@gmail.com" TargetMode="External"/><Relationship Id="rId1" Type="http://schemas.openxmlformats.org/officeDocument/2006/relationships/hyperlink" Target="mailto:MEDIC@" TargetMode="External"/><Relationship Id="rId6" Type="http://schemas.openxmlformats.org/officeDocument/2006/relationships/hyperlink" Target="mailto:MEDIC@" TargetMode="External"/><Relationship Id="rId11" Type="http://schemas.openxmlformats.org/officeDocument/2006/relationships/hyperlink" Target="mailto:xime.pantoja.tobar@gmail.com" TargetMode="External"/><Relationship Id="rId24" Type="http://schemas.openxmlformats.org/officeDocument/2006/relationships/hyperlink" Target="mailto:MEDIC@" TargetMode="External"/><Relationship Id="rId32" Type="http://schemas.openxmlformats.org/officeDocument/2006/relationships/hyperlink" Target="mailto:MEDIC@" TargetMode="External"/><Relationship Id="rId5" Type="http://schemas.openxmlformats.org/officeDocument/2006/relationships/hyperlink" Target="mailto:ENFERMER@" TargetMode="External"/><Relationship Id="rId15" Type="http://schemas.openxmlformats.org/officeDocument/2006/relationships/hyperlink" Target="mailto:benavidescristian15@gmail.com" TargetMode="External"/><Relationship Id="rId23" Type="http://schemas.openxmlformats.org/officeDocument/2006/relationships/hyperlink" Target="mailto:benavidescristian15@gmail.com" TargetMode="External"/><Relationship Id="rId28" Type="http://schemas.openxmlformats.org/officeDocument/2006/relationships/hyperlink" Target="mailto:yamileandrade383@gmail.com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mailto:Veritomr88@hotmail.com" TargetMode="External"/><Relationship Id="rId19" Type="http://schemas.openxmlformats.org/officeDocument/2006/relationships/hyperlink" Target="mailto:MEDIC@" TargetMode="External"/><Relationship Id="rId31" Type="http://schemas.openxmlformats.org/officeDocument/2006/relationships/hyperlink" Target="mailto:MEDIC@" TargetMode="External"/><Relationship Id="rId4" Type="http://schemas.openxmlformats.org/officeDocument/2006/relationships/hyperlink" Target="mailto:ENFERMER@" TargetMode="External"/><Relationship Id="rId9" Type="http://schemas.openxmlformats.org/officeDocument/2006/relationships/hyperlink" Target="mailto:m.melopantoja@gmail.com" TargetMode="External"/><Relationship Id="rId14" Type="http://schemas.openxmlformats.org/officeDocument/2006/relationships/hyperlink" Target="mailto:taniamejiacordoba31@gmail.com" TargetMode="External"/><Relationship Id="rId22" Type="http://schemas.openxmlformats.org/officeDocument/2006/relationships/hyperlink" Target="mailto:benavidescristian15@gmail.com" TargetMode="External"/><Relationship Id="rId27" Type="http://schemas.openxmlformats.org/officeDocument/2006/relationships/hyperlink" Target="mailto:PSICOLOG@" TargetMode="External"/><Relationship Id="rId30" Type="http://schemas.openxmlformats.org/officeDocument/2006/relationships/hyperlink" Target="mailto:yamileandrade383@gmail.com" TargetMode="External"/><Relationship Id="rId35" Type="http://schemas.openxmlformats.org/officeDocument/2006/relationships/hyperlink" Target="mailto:MEDIC@" TargetMode="External"/><Relationship Id="rId8" Type="http://schemas.openxmlformats.org/officeDocument/2006/relationships/hyperlink" Target="mailto:MEDIC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99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226" Type="http://schemas.openxmlformats.org/officeDocument/2006/relationships/hyperlink" Target="https://centrodecapacitaciondelsur.com/soporte-basico-de-vida-" TargetMode="External"/><Relationship Id="rId268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37" Type="http://schemas.openxmlformats.org/officeDocument/2006/relationships/hyperlink" Target="https://centrodecapacitaciondelsur.com/soporte-basico-de-vida-" TargetMode="External"/><Relationship Id="rId279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290" Type="http://schemas.openxmlformats.org/officeDocument/2006/relationships/hyperlink" Target="https://centrodecapacitaciondelsur.com/soporte-basico-de-vida-" TargetMode="External"/><Relationship Id="rId304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248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315" Type="http://schemas.openxmlformats.org/officeDocument/2006/relationships/printerSettings" Target="../printerSettings/printerSettings3.bin"/><Relationship Id="rId54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217" Type="http://schemas.openxmlformats.org/officeDocument/2006/relationships/hyperlink" Target="https://centrodecapacitaciondelsur.com/soporte-basico-de-vida-" TargetMode="External"/><Relationship Id="rId259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27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228" Type="http://schemas.openxmlformats.org/officeDocument/2006/relationships/hyperlink" Target="https://centrodecapacitaciondelsur.com/soporte-basico-de-vida-" TargetMode="External"/><Relationship Id="rId249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260" Type="http://schemas.openxmlformats.org/officeDocument/2006/relationships/hyperlink" Target="https://centrodecapacitaciondelsur.com/soporte-basico-de-vida-" TargetMode="External"/><Relationship Id="rId281" Type="http://schemas.openxmlformats.org/officeDocument/2006/relationships/hyperlink" Target="https://centrodecapacitaciondelsur.com/soporte-basico-de-vida-" TargetMode="External"/><Relationship Id="rId316" Type="http://schemas.openxmlformats.org/officeDocument/2006/relationships/drawing" Target="../drawings/drawing1.xml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18" Type="http://schemas.openxmlformats.org/officeDocument/2006/relationships/hyperlink" Target="https://centrodecapacitaciondelsur.com/soporte-basico-de-vida-" TargetMode="External"/><Relationship Id="rId239" Type="http://schemas.openxmlformats.org/officeDocument/2006/relationships/hyperlink" Target="https://centrodecapacitaciondelsur.com/soporte-basico-de-vida-" TargetMode="External"/><Relationship Id="rId250" Type="http://schemas.openxmlformats.org/officeDocument/2006/relationships/hyperlink" Target="https://centrodecapacitaciondelsur.com/soporte-basico-de-vida-" TargetMode="External"/><Relationship Id="rId271" Type="http://schemas.openxmlformats.org/officeDocument/2006/relationships/hyperlink" Target="https://centrodecapacitaciondelsur.com/soporte-basico-de-vida-" TargetMode="External"/><Relationship Id="rId292" Type="http://schemas.openxmlformats.org/officeDocument/2006/relationships/hyperlink" Target="https://centrodecapacitaciondelsur.com/soporte-basico-de-vida-" TargetMode="External"/><Relationship Id="rId306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229" Type="http://schemas.openxmlformats.org/officeDocument/2006/relationships/hyperlink" Target="https://centrodecapacitaciondelsur.com/soporte-basico-de-vida-" TargetMode="External"/><Relationship Id="rId240" Type="http://schemas.openxmlformats.org/officeDocument/2006/relationships/hyperlink" Target="https://centrodecapacitaciondelsur.com/soporte-basico-de-vida-" TargetMode="External"/><Relationship Id="rId261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282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219" Type="http://schemas.openxmlformats.org/officeDocument/2006/relationships/hyperlink" Target="https://centrodecapacitaciondelsur.com/soporte-basico-de-vida-" TargetMode="External"/><Relationship Id="rId230" Type="http://schemas.openxmlformats.org/officeDocument/2006/relationships/hyperlink" Target="https://centrodecapacitaciondelsur.com/soporte-basico-de-vida-" TargetMode="External"/><Relationship Id="rId251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272" Type="http://schemas.openxmlformats.org/officeDocument/2006/relationships/hyperlink" Target="https://centrodecapacitaciondelsur.com/soporte-basico-de-vida-" TargetMode="External"/><Relationship Id="rId293" Type="http://schemas.openxmlformats.org/officeDocument/2006/relationships/hyperlink" Target="https://centrodecapacitaciondelsur.com/soporte-basico-de-vida-" TargetMode="External"/><Relationship Id="rId307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220" Type="http://schemas.openxmlformats.org/officeDocument/2006/relationships/hyperlink" Target="https://centrodecapacitaciondelsur.com/soporte-basico-de-vida-" TargetMode="External"/><Relationship Id="rId241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262" Type="http://schemas.openxmlformats.org/officeDocument/2006/relationships/hyperlink" Target="https://centrodecapacitaciondelsur.com/soporte-basico-de-vida-" TargetMode="External"/><Relationship Id="rId283" Type="http://schemas.openxmlformats.org/officeDocument/2006/relationships/hyperlink" Target="https://centrodecapacitaciondelsur.com/soporte-basico-de-vida-" TargetMode="External"/><Relationship Id="rId78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231" Type="http://schemas.openxmlformats.org/officeDocument/2006/relationships/hyperlink" Target="https://centrodecapacitaciondelsur.com/soporte-basico-de-vida-" TargetMode="External"/><Relationship Id="rId252" Type="http://schemas.openxmlformats.org/officeDocument/2006/relationships/hyperlink" Target="https://centrodecapacitaciondelsur.com/soporte-basico-de-vida-" TargetMode="External"/><Relationship Id="rId273" Type="http://schemas.openxmlformats.org/officeDocument/2006/relationships/hyperlink" Target="https://centrodecapacitaciondelsur.com/soporte-basico-de-vida-" TargetMode="External"/><Relationship Id="rId294" Type="http://schemas.openxmlformats.org/officeDocument/2006/relationships/hyperlink" Target="https://centrodecapacitaciondelsur.com/soporte-basico-de-vida-" TargetMode="External"/><Relationship Id="rId308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221" Type="http://schemas.openxmlformats.org/officeDocument/2006/relationships/hyperlink" Target="https://centrodecapacitaciondelsur.com/soporte-basico-de-vida-" TargetMode="External"/><Relationship Id="rId242" Type="http://schemas.openxmlformats.org/officeDocument/2006/relationships/hyperlink" Target="https://centrodecapacitaciondelsur.com/soporte-basico-de-vida-" TargetMode="External"/><Relationship Id="rId263" Type="http://schemas.openxmlformats.org/officeDocument/2006/relationships/hyperlink" Target="https://centrodecapacitaciondelsur.com/soporte-basico-de-vida-" TargetMode="External"/><Relationship Id="rId284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32" Type="http://schemas.openxmlformats.org/officeDocument/2006/relationships/hyperlink" Target="https://centrodecapacitaciondelsur.com/soporte-basico-de-vida-" TargetMode="External"/><Relationship Id="rId253" Type="http://schemas.openxmlformats.org/officeDocument/2006/relationships/hyperlink" Target="https://centrodecapacitaciondelsur.com/soporte-basico-de-vida-" TargetMode="External"/><Relationship Id="rId274" Type="http://schemas.openxmlformats.org/officeDocument/2006/relationships/hyperlink" Target="https://centrodecapacitaciondelsur.com/soporte-basico-de-vida-" TargetMode="External"/><Relationship Id="rId295" Type="http://schemas.openxmlformats.org/officeDocument/2006/relationships/hyperlink" Target="https://centrodecapacitaciondelsur.com/soporte-basico-de-vida-" TargetMode="External"/><Relationship Id="rId309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222" Type="http://schemas.openxmlformats.org/officeDocument/2006/relationships/hyperlink" Target="https://centrodecapacitaciondelsur.com/soporte-basico-de-vida-" TargetMode="External"/><Relationship Id="rId243" Type="http://schemas.openxmlformats.org/officeDocument/2006/relationships/hyperlink" Target="https://centrodecapacitaciondelsur.com/soporte-basico-de-vida-" TargetMode="External"/><Relationship Id="rId264" Type="http://schemas.openxmlformats.org/officeDocument/2006/relationships/hyperlink" Target="https://centrodecapacitaciondelsur.com/soporte-basico-de-vida-" TargetMode="External"/><Relationship Id="rId285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310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33" Type="http://schemas.openxmlformats.org/officeDocument/2006/relationships/hyperlink" Target="https://centrodecapacitaciondelsur.com/soporte-basico-de-vida-" TargetMode="External"/><Relationship Id="rId254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275" Type="http://schemas.openxmlformats.org/officeDocument/2006/relationships/hyperlink" Target="https://centrodecapacitaciondelsur.com/soporte-basico-de-vida-" TargetMode="External"/><Relationship Id="rId296" Type="http://schemas.openxmlformats.org/officeDocument/2006/relationships/hyperlink" Target="https://centrodecapacitaciondelsur.com/soporte-basico-de-vida-" TargetMode="External"/><Relationship Id="rId300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223" Type="http://schemas.openxmlformats.org/officeDocument/2006/relationships/hyperlink" Target="https://centrodecapacitaciondelsur.com/soporte-basico-de-vida-" TargetMode="External"/><Relationship Id="rId244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265" Type="http://schemas.openxmlformats.org/officeDocument/2006/relationships/hyperlink" Target="https://centrodecapacitaciondelsur.com/soporte-basico-de-vida-" TargetMode="External"/><Relationship Id="rId286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311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hyperlink" Target="https://centrodecapacitaciondelsur.com/soporte-basico-de-vida-" TargetMode="External"/><Relationship Id="rId234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manejo-de-residuos-hospitalarios-" TargetMode="External"/><Relationship Id="rId29" Type="http://schemas.openxmlformats.org/officeDocument/2006/relationships/hyperlink" Target="https://centrodecapacitaciondelsur.com/soporte-basico-de-vida-" TargetMode="External"/><Relationship Id="rId255" Type="http://schemas.openxmlformats.org/officeDocument/2006/relationships/hyperlink" Target="https://centrodecapacitaciondelsur.com/soporte-basico-de-vida-" TargetMode="External"/><Relationship Id="rId276" Type="http://schemas.openxmlformats.org/officeDocument/2006/relationships/hyperlink" Target="https://centrodecapacitaciondelsur.com/soporte-basico-de-vida-" TargetMode="External"/><Relationship Id="rId297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301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224" Type="http://schemas.openxmlformats.org/officeDocument/2006/relationships/hyperlink" Target="https://centrodecapacitaciondelsur.com/soporte-basico-de-vida-" TargetMode="External"/><Relationship Id="rId245" Type="http://schemas.openxmlformats.org/officeDocument/2006/relationships/hyperlink" Target="https://centrodecapacitaciondelsur.com/soporte-basico-de-vida-" TargetMode="External"/><Relationship Id="rId266" Type="http://schemas.openxmlformats.org/officeDocument/2006/relationships/hyperlink" Target="https://centrodecapacitaciondelsur.com/soporte-basico-de-vida-" TargetMode="External"/><Relationship Id="rId287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312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14" Type="http://schemas.openxmlformats.org/officeDocument/2006/relationships/hyperlink" Target="https://centrodecapacitaciondelsur.com/soporte-basico-de-vida-" TargetMode="External"/><Relationship Id="rId235" Type="http://schemas.openxmlformats.org/officeDocument/2006/relationships/hyperlink" Target="https://centrodecapacitaciondelsur.com/soporte-basico-de-vida-" TargetMode="External"/><Relationship Id="rId256" Type="http://schemas.openxmlformats.org/officeDocument/2006/relationships/hyperlink" Target="https://centrodecapacitaciondelsur.com/soporte-basico-de-vida-" TargetMode="External"/><Relationship Id="rId277" Type="http://schemas.openxmlformats.org/officeDocument/2006/relationships/hyperlink" Target="https://centrodecapacitaciondelsur.com/soporte-basico-de-vida-" TargetMode="External"/><Relationship Id="rId298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302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225" Type="http://schemas.openxmlformats.org/officeDocument/2006/relationships/hyperlink" Target="https://centrodecapacitaciondelsur.com/soporte-basico-de-vida-" TargetMode="External"/><Relationship Id="rId246" Type="http://schemas.openxmlformats.org/officeDocument/2006/relationships/hyperlink" Target="https://centrodecapacitaciondelsur.com/soporte-basico-de-vida-" TargetMode="External"/><Relationship Id="rId267" Type="http://schemas.openxmlformats.org/officeDocument/2006/relationships/hyperlink" Target="https://centrodecapacitaciondelsur.com/soporte-basico-de-vida-" TargetMode="External"/><Relationship Id="rId288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313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5" Type="http://schemas.openxmlformats.org/officeDocument/2006/relationships/hyperlink" Target="https://centrodecapacitaciondelsur.com/soporte-basico-de-vida-" TargetMode="External"/><Relationship Id="rId236" Type="http://schemas.openxmlformats.org/officeDocument/2006/relationships/hyperlink" Target="https://centrodecapacitaciondelsur.com/soporte-basico-de-vida-" TargetMode="External"/><Relationship Id="rId257" Type="http://schemas.openxmlformats.org/officeDocument/2006/relationships/hyperlink" Target="https://centrodecapacitaciondelsur.com/soporte-basico-de-vida-" TargetMode="External"/><Relationship Id="rId278" Type="http://schemas.openxmlformats.org/officeDocument/2006/relationships/hyperlink" Target="https://centrodecapacitaciondelsur.com/soporte-basico-de-vida-" TargetMode="External"/><Relationship Id="rId303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247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289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314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216" Type="http://schemas.openxmlformats.org/officeDocument/2006/relationships/hyperlink" Target="https://centrodecapacitaciondelsur.com/soporte-basico-de-vida-" TargetMode="External"/><Relationship Id="rId258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227" Type="http://schemas.openxmlformats.org/officeDocument/2006/relationships/hyperlink" Target="https://centrodecapacitaciondelsur.com/soporte-basico-de-vida-" TargetMode="External"/><Relationship Id="rId269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28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8" Type="http://schemas.openxmlformats.org/officeDocument/2006/relationships/hyperlink" Target="https://centrodecapacitaciondelsur.com/soporte-basico-de-vida-" TargetMode="External"/><Relationship Id="rId291" Type="http://schemas.openxmlformats.org/officeDocument/2006/relationships/hyperlink" Target="https://centrodecapacitaciondelsur.com/soporte-basico-de-vida-" TargetMode="External"/><Relationship Id="rId305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048557"/>
  <sheetViews>
    <sheetView tabSelected="1" zoomScale="50" zoomScaleNormal="50" workbookViewId="0">
      <pane xSplit="1" ySplit="1" topLeftCell="C141" activePane="bottomRight" state="frozen"/>
      <selection pane="topRight"/>
      <selection pane="bottomLeft"/>
      <selection pane="bottomRight" activeCell="C187" sqref="C187"/>
    </sheetView>
  </sheetViews>
  <sheetFormatPr baseColWidth="10" defaultRowHeight="15" x14ac:dyDescent="0.2"/>
  <cols>
    <col min="1" max="1" width="4.77734375" style="40" customWidth="1"/>
    <col min="2" max="2" width="34.5546875" style="40" bestFit="1" customWidth="1"/>
    <col min="3" max="3" width="21.44140625" style="40" bestFit="1" customWidth="1"/>
    <col min="4" max="4" width="23.44140625" style="40" bestFit="1" customWidth="1"/>
    <col min="5" max="5" width="20.77734375" style="40" bestFit="1" customWidth="1"/>
    <col min="6" max="6" width="22.77734375" style="40" bestFit="1" customWidth="1"/>
    <col min="7" max="7" width="5.6640625" style="40" bestFit="1" customWidth="1"/>
    <col min="8" max="8" width="7.88671875" style="40" bestFit="1" customWidth="1"/>
    <col min="9" max="9" width="15.21875" style="40" bestFit="1" customWidth="1"/>
    <col min="10" max="10" width="18.33203125" style="40" bestFit="1" customWidth="1"/>
    <col min="11" max="11" width="19.6640625" style="42" bestFit="1" customWidth="1"/>
    <col min="12" max="12" width="22.33203125" style="45" bestFit="1" customWidth="1"/>
    <col min="13" max="13" width="19.44140625" style="40" bestFit="1" customWidth="1"/>
    <col min="14" max="14" width="12.109375" style="40" bestFit="1" customWidth="1"/>
    <col min="15" max="15" width="17.44140625" style="40" bestFit="1" customWidth="1"/>
    <col min="16" max="17" width="27.44140625" style="40" bestFit="1" customWidth="1"/>
    <col min="18" max="18" width="10.77734375" style="40" bestFit="1" customWidth="1"/>
    <col min="19" max="19" width="39.44140625" style="40" bestFit="1" customWidth="1"/>
    <col min="20" max="20" width="13.44140625" style="40" bestFit="1" customWidth="1"/>
    <col min="21" max="21" width="32.77734375" style="43" bestFit="1" customWidth="1"/>
    <col min="22" max="22" width="81.44140625" style="43" bestFit="1" customWidth="1"/>
    <col min="23" max="24" width="34.77734375" style="43" bestFit="1" customWidth="1"/>
    <col min="25" max="25" width="71.44140625" style="41" bestFit="1" customWidth="1"/>
    <col min="26" max="16384" width="11.5546875" style="41"/>
  </cols>
  <sheetData>
    <row r="1" spans="1:25" s="58" customFormat="1" ht="15.75" x14ac:dyDescent="0.2">
      <c r="A1" s="49" t="s">
        <v>67</v>
      </c>
      <c r="B1" s="50" t="s">
        <v>0</v>
      </c>
      <c r="C1" s="51" t="s">
        <v>1</v>
      </c>
      <c r="D1" s="51" t="s">
        <v>2</v>
      </c>
      <c r="E1" s="51" t="s">
        <v>3</v>
      </c>
      <c r="F1" s="51" t="s">
        <v>4</v>
      </c>
      <c r="G1" s="52" t="s">
        <v>5</v>
      </c>
      <c r="H1" s="52" t="s">
        <v>6</v>
      </c>
      <c r="I1" s="53" t="s">
        <v>88</v>
      </c>
      <c r="J1" s="53" t="s">
        <v>176</v>
      </c>
      <c r="K1" s="54" t="s">
        <v>7</v>
      </c>
      <c r="L1" s="55" t="s">
        <v>8</v>
      </c>
      <c r="M1" s="51" t="s">
        <v>9</v>
      </c>
      <c r="N1" s="51" t="s">
        <v>68</v>
      </c>
      <c r="O1" s="51" t="s">
        <v>10</v>
      </c>
      <c r="P1" s="51" t="s">
        <v>11</v>
      </c>
      <c r="Q1" s="56" t="s">
        <v>66</v>
      </c>
      <c r="R1" s="51" t="s">
        <v>12</v>
      </c>
      <c r="S1" s="51" t="s">
        <v>13</v>
      </c>
      <c r="T1" s="51" t="s">
        <v>14</v>
      </c>
      <c r="U1" s="51" t="s">
        <v>69</v>
      </c>
      <c r="V1" s="57" t="s">
        <v>15</v>
      </c>
      <c r="W1" s="57" t="s">
        <v>16</v>
      </c>
      <c r="X1" s="57" t="s">
        <v>17</v>
      </c>
      <c r="Y1" s="57" t="s">
        <v>18</v>
      </c>
    </row>
    <row r="2" spans="1:25" s="58" customFormat="1" x14ac:dyDescent="0.2">
      <c r="A2" s="59">
        <v>1</v>
      </c>
      <c r="B2" s="60">
        <v>1007180115</v>
      </c>
      <c r="C2" s="60" t="s">
        <v>99</v>
      </c>
      <c r="D2" s="60" t="s">
        <v>100</v>
      </c>
      <c r="E2" s="60" t="s">
        <v>101</v>
      </c>
      <c r="F2" s="60" t="s">
        <v>102</v>
      </c>
      <c r="G2" s="60">
        <v>1</v>
      </c>
      <c r="H2" s="60" t="s">
        <v>103</v>
      </c>
      <c r="I2" s="61" t="s">
        <v>104</v>
      </c>
      <c r="J2" s="61"/>
      <c r="K2" s="62">
        <v>45717</v>
      </c>
      <c r="L2" s="63">
        <v>70000</v>
      </c>
      <c r="M2" s="60" t="s">
        <v>159</v>
      </c>
      <c r="N2" s="60" t="s">
        <v>105</v>
      </c>
      <c r="O2" s="60" t="s">
        <v>106</v>
      </c>
      <c r="P2" s="60" t="s">
        <v>19</v>
      </c>
      <c r="Q2" s="61"/>
      <c r="R2" s="60" t="s">
        <v>107</v>
      </c>
      <c r="S2" s="60" t="s">
        <v>108</v>
      </c>
      <c r="T2" s="64"/>
      <c r="U2" s="75"/>
      <c r="V2" s="65" t="str">
        <f>IF(P2=CURSOS!$D$3,"DIPLOMADO EN ATENCION PRE-HOSPITALARIA",IF(P2=CURSOS!$D$4,"ACOMPAÑAMIENTO Y MANEJO DEL DUELO",IF(P2=CURSOS!$D$5,"ATENCION A VICTIMAS DE ATAQUE CON AGENTES QUIMICOS ",IF(P2=CURSOS!$D$6,"PRIMEROS AUXILIOS ",IF(P2=CURSOS!$D$7,"DIPLOMADO DE UNIDAD DE CUIDADOS INTENSIVOS (UCI)",IF(P2=CURSOS!$D$8,"MODELO DE ATENCION PARA EVENTOS EMERGENTES EN SALUD MENTAL (CODIGO VERDE)",IF(P2=CURSOS!$D$9,"HUMANIZACION EN EL SERVICIO DE LA SALUD Y BUENAS PRACTICAS EN PACIENTE ",IF(P2=CURSOS!$D$10,"CLINICA DE HERIDAS ",IF(P2=CURSOS!$D$11,"TOMA DE CITOLOGIA CERVICO VAGINAL ",IF(P2=CURSOS!$D$12,"SOPORTE CARDIOVASCULAR AVANZADO (ACLS) ",IF(P2=CURSOS!$D$13,"CAMILLERO ",IF(P2=CURSOS!$D$14,"TOMA DE MUESTRAS Y LABORATORIO ",IF(P2=CURSOS!$D$15,"SOPORTE VITAL BASICO (BLS)",IF(P2=CURSOS!$D$16,"ATENCION A VICTIMAS DE VIOLENCIA SEXUAL ",IF(P2=CURSOS!$D$17,"PROGRAMADO AMPLIADO DE INMUNIZACION (PAI - COVID 19)",IF(P2=CURSOS!$D$18,"ATENCION INTEGRAL EN ENFERMEDADES PREVALENTES EN PRIMERA INFANCIA (AIEPI)",IF(P2=CURSOS!$D$19,"ADMINISTRACION DE MEDICAMENTOS, INYECTOLOGIA  Y CANALIZACION ",IF(P2=CURSOS!$D$20,"OPERADOR DE VEHICULOS DE EMERGENCIA (OVE)",IF(P2=CURSOS!$D$21,"INSTITUCIONES AMIGAS DE LA MUJER Y LA INFANCIA (IAMI)",IF(P2=CURSOS!$D$22,"CUIDADO DEL DONANTE DE ORGANOS",IF(P2=CURSOS!$D$23,"ATENCION A VICTIMAS POR VIOLENCIA DE GENERO",IF(P2=CURSOS!$D$24,"IGUALDAD DE GENERO EN LA SALUD",IF(P2=CURSOS!$D$25,"BRIGADA DE EMERGENCIA",IF(P2=CURSOS!$D$26,"MANEJO DEL DOLOR Y CUIDADOS PALIATIVOS",IF(P2=CURSOS!$D$27,"TOMA DE MUESTRAS Y LABORATORIO POCT",IF(P2=CURSOS!$D$28,"IMPLANTE SUBDERMICO DE DISPOSITIVO INTRAUTERINO",IF(P2=CURSOS!$D$29,"SALUD MENTAL",IF(P2=CURSOS!$D$30,"PRIMEROS AUXILIOS PSICOLOGICOS",IF(P2=CURSOS!$D$31,"ATENCION A VICTIMAS POR CONFLICTO ARMADO",IF(P2=CURSOS!$D$32,"MANIPULACION DE ALIMENTOS Y BPM",IF(P2=CURSOS!$D$33,"ATENCION A PERSONAS CON DISCAPACIDAD",IF(P2=CURSOS!$D$34,"CUIDADO INTEGRAL DEL PACIENTE ADULTO",IF(P2=CURSOS!$D$35,"MANEJO DEFENSIVO",IF(P2=CURSOS!$D$36,"SOPORTE CARDIOVASCULAR AVANZADO NEONATAL",IF(P2=CURSOS!$D$37,"SEGURIDAD DEL PACIENTE",IF(P2=CURSOS!$D$38,"MANEJO DE RESIDUOS HOSPITALARIOS"))))))))))))))))))))))))))))))))))))</f>
        <v>SOPORTE VITAL BASICO (BLS)</v>
      </c>
      <c r="W2" s="65" t="str">
        <f>CONCATENATE(E2," ",F2," ",C2," ",D2)</f>
        <v>Karen Julieth Ascuntar Unigarro</v>
      </c>
      <c r="X2" s="65" t="str">
        <f>PROPER(W2)</f>
        <v>Karen Julieth Ascuntar Unigarro</v>
      </c>
      <c r="Y2" s="65" t="str">
        <f>CONCATENATE(W2,"-",B2,"-",P2)</f>
        <v>Karen Julieth Ascuntar Unigarro-1007180115-BLS</v>
      </c>
    </row>
    <row r="3" spans="1:25" s="58" customFormat="1" x14ac:dyDescent="0.2">
      <c r="A3" s="59">
        <v>2</v>
      </c>
      <c r="B3" s="60">
        <v>1080690265</v>
      </c>
      <c r="C3" s="60" t="s">
        <v>109</v>
      </c>
      <c r="D3" s="60" t="s">
        <v>110</v>
      </c>
      <c r="E3" s="60" t="s">
        <v>111</v>
      </c>
      <c r="F3" s="60" t="s">
        <v>112</v>
      </c>
      <c r="G3" s="60">
        <v>1</v>
      </c>
      <c r="H3" s="60" t="s">
        <v>103</v>
      </c>
      <c r="I3" s="61" t="s">
        <v>104</v>
      </c>
      <c r="J3" s="61"/>
      <c r="K3" s="62">
        <v>45717</v>
      </c>
      <c r="L3" s="63">
        <v>70000</v>
      </c>
      <c r="M3" s="60" t="s">
        <v>159</v>
      </c>
      <c r="N3" s="60" t="s">
        <v>105</v>
      </c>
      <c r="O3" s="60" t="s">
        <v>106</v>
      </c>
      <c r="P3" s="60" t="s">
        <v>19</v>
      </c>
      <c r="Q3" s="61"/>
      <c r="R3" s="60" t="s">
        <v>107</v>
      </c>
      <c r="S3" s="60" t="s">
        <v>108</v>
      </c>
      <c r="T3" s="64"/>
      <c r="U3" s="60"/>
      <c r="V3" s="65" t="str">
        <f>IF(P3=CURSOS!$D$3,"DIPLOMADO EN ATENCION PRE-HOSPITALARIA",IF(P3=CURSOS!$D$4,"ACOMPAÑAMIENTO Y MANEJO DEL DUELO",IF(P3=CURSOS!$D$5,"ATENCION A VICTIMAS DE ATAQUE CON AGENTES QUIMICOS ",IF(P3=CURSOS!$D$6,"PRIMEROS AUXILIOS ",IF(P3=CURSOS!$D$7,"DIPLOMADO DE UNIDAD DE CUIDADOS INTENSIVOS (UCI)",IF(P3=CURSOS!$D$8,"MODELO DE ATENCION PARA EVENTOS EMERGENTES EN SALUD MENTAL (CODIGO VERDE)",IF(P3=CURSOS!$D$9,"HUMANIZACION EN EL SERVICIO DE LA SALUD Y BUENAS PRACTICAS EN PACIENTE ",IF(P3=CURSOS!$D$10,"CLINICA DE HERIDAS ",IF(P3=CURSOS!$D$11,"TOMA DE CITOLOGIA CERVICO VAGINAL ",IF(P3=CURSOS!$D$12,"SOPORTE CARDIOVASCULAR AVANZADO (ACLS) ",IF(P3=CURSOS!$D$13,"CAMILLERO ",IF(P3=CURSOS!$D$14,"TOMA DE MUESTRAS Y LABORATORIO ",IF(P3=CURSOS!$D$15,"SOPORTE VITAL BASICO (BLS)",IF(P3=CURSOS!$D$16,"ATENCION A VICTIMAS DE VIOLENCIA SEXUAL ",IF(P3=CURSOS!$D$17,"PROGRAMADO AMPLIADO DE INMUNIZACION (PAI - COVID 19)",IF(P3=CURSOS!$D$18,"ATENCION INTEGRAL EN ENFERMEDADES PREVALENTES EN PRIMERA INFANCIA (AIEPI)",IF(P3=CURSOS!$D$19,"ADMINISTRACION DE MEDICAMENTOS, INYECTOLOGIA  Y CANALIZACION ",IF(P3=CURSOS!$D$20,"OPERADOR DE VEHICULOS DE EMERGENCIA (OVE)",IF(P3=CURSOS!$D$21,"INSTITUCIONES AMIGAS DE LA MUJER Y LA INFANCIA (IAMI)",IF(P3=CURSOS!$D$22,"CUIDADO DEL DONANTE DE ORGANOS",IF(P3=CURSOS!$D$23,"ATENCION A VICTIMAS POR VIOLENCIA DE GENERO",IF(P3=CURSOS!$D$24,"IGUALDAD DE GENERO EN LA SALUD",IF(P3=CURSOS!$D$25,"BRIGADA DE EMERGENCIA",IF(P3=CURSOS!$D$26,"MANEJO DEL DOLOR Y CUIDADOS PALIATIVOS",IF(P3=CURSOS!$D$27,"TOMA DE MUESTRAS Y LABORATORIO POCT",IF(P3=CURSOS!$D$28,"IMPLANTE SUBDERMICO DE DISPOSITIVO INTRAUTERINO",IF(P3=CURSOS!$D$29,"SALUD MENTAL",IF(P3=CURSOS!$D$30,"PRIMEROS AUXILIOS PSICOLOGICOS",IF(P3=CURSOS!$D$31,"ATENCION A VICTIMAS POR CONFLICTO ARMADO",IF(P3=CURSOS!$D$32,"MANIPULACION DE ALIMENTOS Y BPM",IF(P3=CURSOS!$D$33,"ATENCION A PERSONAS CON DISCAPACIDAD",IF(P3=CURSOS!$D$34,"CUIDADO INTEGRAL DEL PACIENTE ADULTO",IF(P3=CURSOS!$D$35,"MANEJO DEFENSIVO",IF(P3=CURSOS!$D$36,"SOPORTE CARDIOVASCULAR AVANZADO NEONATAL",IF(P3=CURSOS!$D$37,"SEGURIDAD DEL PACIENTE",IF(P3=CURSOS!$D$38,"MANEJO DE RESIDUOS HOSPITALARIOS"))))))))))))))))))))))))))))))))))))</f>
        <v>SOPORTE VITAL BASICO (BLS)</v>
      </c>
      <c r="W3" s="65" t="str">
        <f t="shared" ref="W3:W4" si="0">CONCATENATE(E3," ",F3," ",C3," ",D3)</f>
        <v>Erika Vanessa Guaitarilla Cumbal</v>
      </c>
      <c r="X3" s="65" t="str">
        <f t="shared" ref="X3:X4" si="1">PROPER(W3)</f>
        <v>Erika Vanessa Guaitarilla Cumbal</v>
      </c>
      <c r="Y3" s="65" t="str">
        <f t="shared" ref="Y3:Y4" si="2">CONCATENATE(W3,"-",B3,"-",P3)</f>
        <v>Erika Vanessa Guaitarilla Cumbal-1080690265-BLS</v>
      </c>
    </row>
    <row r="4" spans="1:25" s="58" customFormat="1" x14ac:dyDescent="0.2">
      <c r="A4" s="59">
        <v>3</v>
      </c>
      <c r="B4" s="60">
        <v>1010019207</v>
      </c>
      <c r="C4" s="60" t="s">
        <v>113</v>
      </c>
      <c r="D4" s="60" t="s">
        <v>114</v>
      </c>
      <c r="E4" s="60" t="s">
        <v>115</v>
      </c>
      <c r="F4" s="60" t="s">
        <v>116</v>
      </c>
      <c r="G4" s="60">
        <v>1</v>
      </c>
      <c r="H4" s="60" t="s">
        <v>103</v>
      </c>
      <c r="I4" s="61" t="s">
        <v>104</v>
      </c>
      <c r="J4" s="61"/>
      <c r="K4" s="62">
        <v>45717</v>
      </c>
      <c r="L4" s="63">
        <v>70000</v>
      </c>
      <c r="M4" s="60" t="s">
        <v>159</v>
      </c>
      <c r="N4" s="60" t="s">
        <v>105</v>
      </c>
      <c r="O4" s="60" t="s">
        <v>106</v>
      </c>
      <c r="P4" s="60" t="s">
        <v>19</v>
      </c>
      <c r="Q4" s="61">
        <v>37433</v>
      </c>
      <c r="R4" s="60" t="s">
        <v>107</v>
      </c>
      <c r="S4" s="60" t="s">
        <v>117</v>
      </c>
      <c r="T4" s="64">
        <v>3106145912</v>
      </c>
      <c r="U4" s="64" t="s">
        <v>118</v>
      </c>
      <c r="V4" s="65" t="str">
        <f>IF(P4=CURSOS!$D$3,"DIPLOMADO EN ATENCION PRE-HOSPITALARIA",IF(P4=CURSOS!$D$4,"ACOMPAÑAMIENTO Y MANEJO DEL DUELO",IF(P4=CURSOS!$D$5,"ATENCION A VICTIMAS DE ATAQUE CON AGENTES QUIMICOS ",IF(P4=CURSOS!$D$6,"PRIMEROS AUXILIOS ",IF(P4=CURSOS!$D$7,"DIPLOMADO DE UNIDAD DE CUIDADOS INTENSIVOS (UCI)",IF(P4=CURSOS!$D$8,"MODELO DE ATENCION PARA EVENTOS EMERGENTES EN SALUD MENTAL (CODIGO VERDE)",IF(P4=CURSOS!$D$9,"HUMANIZACION EN EL SERVICIO DE LA SALUD Y BUENAS PRACTICAS EN PACIENTE ",IF(P4=CURSOS!$D$10,"CLINICA DE HERIDAS ",IF(P4=CURSOS!$D$11,"TOMA DE CITOLOGIA CERVICO VAGINAL ",IF(P4=CURSOS!$D$12,"SOPORTE CARDIOVASCULAR AVANZADO (ACLS) ",IF(P4=CURSOS!$D$13,"CAMILLERO ",IF(P4=CURSOS!$D$14,"TOMA DE MUESTRAS Y LABORATORIO ",IF(P4=CURSOS!$D$15,"SOPORTE VITAL BASICO (BLS)",IF(P4=CURSOS!$D$16,"ATENCION A VICTIMAS DE VIOLENCIA SEXUAL ",IF(P4=CURSOS!$D$17,"PROGRAMADO AMPLIADO DE INMUNIZACION (PAI - COVID 19)",IF(P4=CURSOS!$D$18,"ATENCION INTEGRAL EN ENFERMEDADES PREVALENTES EN PRIMERA INFANCIA (AIEPI)",IF(P4=CURSOS!$D$19,"ADMINISTRACION DE MEDICAMENTOS, INYECTOLOGIA  Y CANALIZACION ",IF(P4=CURSOS!$D$20,"OPERADOR DE VEHICULOS DE EMERGENCIA (OVE)",IF(P4=CURSOS!$D$21,"INSTITUCIONES AMIGAS DE LA MUJER Y LA INFANCIA (IAMI)",IF(P4=CURSOS!$D$22,"CUIDADO DEL DONANTE DE ORGANOS",IF(P4=CURSOS!$D$23,"ATENCION A VICTIMAS POR VIOLENCIA DE GENERO",IF(P4=CURSOS!$D$24,"IGUALDAD DE GENERO EN LA SALUD",IF(P4=CURSOS!$D$25,"BRIGADA DE EMERGENCIA",IF(P4=CURSOS!$D$26,"MANEJO DEL DOLOR Y CUIDADOS PALIATIVOS",IF(P4=CURSOS!$D$27,"TOMA DE MUESTRAS Y LABORATORIO POCT",IF(P4=CURSOS!$D$28,"IMPLANTE SUBDERMICO DE DISPOSITIVO INTRAUTERINO",IF(P4=CURSOS!$D$29,"SALUD MENTAL",IF(P4=CURSOS!$D$30,"PRIMEROS AUXILIOS PSICOLOGICOS",IF(P4=CURSOS!$D$31,"ATENCION A VICTIMAS POR CONFLICTO ARMADO",IF(P4=CURSOS!$D$32,"MANIPULACION DE ALIMENTOS Y BPM",IF(P4=CURSOS!$D$33,"ATENCION A PERSONAS CON DISCAPACIDAD",IF(P4=CURSOS!$D$34,"CUIDADO INTEGRAL DEL PACIENTE ADULTO",IF(P4=CURSOS!$D$35,"MANEJO DEFENSIVO",IF(P4=CURSOS!$D$36,"SOPORTE CARDIOVASCULAR AVANZADO NEONATAL",IF(P4=CURSOS!$D$37,"SEGURIDAD DEL PACIENTE",IF(P4=CURSOS!$D$38,"MANEJO DE RESIDUOS HOSPITALARIOS"))))))))))))))))))))))))))))))))))))</f>
        <v>SOPORTE VITAL BASICO (BLS)</v>
      </c>
      <c r="W4" s="65" t="str">
        <f t="shared" si="0"/>
        <v>Claudia Tatiana Malpud Cuasquer</v>
      </c>
      <c r="X4" s="65" t="str">
        <f t="shared" si="1"/>
        <v>Claudia Tatiana Malpud Cuasquer</v>
      </c>
      <c r="Y4" s="65" t="str">
        <f t="shared" si="2"/>
        <v>Claudia Tatiana Malpud Cuasquer-1010019207-BLS</v>
      </c>
    </row>
    <row r="5" spans="1:25" s="58" customFormat="1" x14ac:dyDescent="0.2">
      <c r="A5" s="59">
        <v>4</v>
      </c>
      <c r="B5" s="60">
        <v>36752303</v>
      </c>
      <c r="C5" s="60" t="s">
        <v>119</v>
      </c>
      <c r="D5" s="60" t="s">
        <v>120</v>
      </c>
      <c r="E5" s="60" t="s">
        <v>121</v>
      </c>
      <c r="F5" s="60" t="s">
        <v>122</v>
      </c>
      <c r="G5" s="60">
        <v>1</v>
      </c>
      <c r="H5" s="60" t="s">
        <v>103</v>
      </c>
      <c r="I5" s="61" t="s">
        <v>123</v>
      </c>
      <c r="J5" s="61" t="s">
        <v>197</v>
      </c>
      <c r="K5" s="62">
        <v>45717</v>
      </c>
      <c r="L5" s="63">
        <v>30000</v>
      </c>
      <c r="M5" s="60" t="s">
        <v>126</v>
      </c>
      <c r="N5" s="60" t="s">
        <v>105</v>
      </c>
      <c r="O5" s="60" t="s">
        <v>106</v>
      </c>
      <c r="P5" s="60" t="s">
        <v>42</v>
      </c>
      <c r="Q5" s="61">
        <v>28679</v>
      </c>
      <c r="R5" s="60" t="s">
        <v>107</v>
      </c>
      <c r="S5" s="60" t="s">
        <v>117</v>
      </c>
      <c r="T5" s="64">
        <v>3126545925</v>
      </c>
      <c r="U5" s="64" t="s">
        <v>125</v>
      </c>
      <c r="V5" s="65" t="str">
        <f>IF(P5=CURSOS!$D$3,"DIPLOMADO EN ATENCION PRE-HOSPITALARIA",IF(P5=CURSOS!$D$4,"ACOMPAÑAMIENTO Y MANEJO DEL DUELO",IF(P5=CURSOS!$D$5,"ATENCION A VICTIMAS DE ATAQUE CON AGENTES QUIMICOS ",IF(P5=CURSOS!$D$6,"PRIMEROS AUXILIOS ",IF(P5=CURSOS!$D$7,"DIPLOMADO DE UNIDAD DE CUIDADOS INTENSIVOS (UCI)",IF(P5=CURSOS!$D$8,"MODELO DE ATENCION PARA EVENTOS EMERGENTES EN SALUD MENTAL (CODIGO VERDE)",IF(P5=CURSOS!$D$9,"HUMANIZACION EN EL SERVICIO DE LA SALUD Y BUENAS PRACTICAS EN PACIENTE ",IF(P5=CURSOS!$D$10,"CLINICA DE HERIDAS ",IF(P5=CURSOS!$D$11,"TOMA DE CITOLOGIA CERVICO VAGINAL ",IF(P5=CURSOS!$D$12,"SOPORTE CARDIOVASCULAR AVANZADO (ACLS) ",IF(P5=CURSOS!$D$13,"CAMILLERO ",IF(P5=CURSOS!$D$14,"TOMA DE MUESTRAS Y LABORATORIO ",IF(P5=CURSOS!$D$15,"SOPORTE VITAL BASICO (BLS)",IF(P5=CURSOS!$D$16,"ATENCION A VICTIMAS DE VIOLENCIA SEXUAL ",IF(P5=CURSOS!$D$17,"PROGRAMADO AMPLIADO DE INMUNIZACION (PAI - COVID 19)",IF(P5=CURSOS!$D$18,"ATENCION INTEGRAL EN ENFERMEDADES PREVALENTES EN PRIMERA INFANCIA (AIEPI)",IF(P5=CURSOS!$D$19,"ADMINISTRACION DE MEDICAMENTOS, INYECTOLOGIA  Y CANALIZACION ",IF(P5=CURSOS!$D$20,"OPERADOR DE VEHICULOS DE EMERGENCIA (OVE)",IF(P5=CURSOS!$D$21,"INSTITUCIONES AMIGAS DE LA MUJER Y LA INFANCIA (IAMI)",IF(P5=CURSOS!$D$22,"CUIDADO DEL DONANTE DE ORGANOS",IF(P5=CURSOS!$D$23,"ATENCION A VICTIMAS POR VIOLENCIA DE GENERO",IF(P5=CURSOS!$D$24,"IGUALDAD DE GENERO EN LA SALUD",IF(P5=CURSOS!$D$25,"BRIGADA DE EMERGENCIA",IF(P5=CURSOS!$D$26,"MANEJO DEL DOLOR Y CUIDADOS PALIATIVOS",IF(P5=CURSOS!$D$27,"TOMA DE MUESTRAS Y LABORATORIO POCT",IF(P5=CURSOS!$D$28,"IMPLANTE SUBDERMICO DE DISPOSITIVO INTRAUTERINO",IF(P5=CURSOS!$D$29,"SALUD MENTAL",IF(P5=CURSOS!$D$30,"PRIMEROS AUXILIOS PSICOLOGICOS",IF(P5=CURSOS!$D$31,"ATENCION A VICTIMAS POR CONFLICTO ARMADO",IF(P5=CURSOS!$D$32,"MANIPULACION DE ALIMENTOS Y BPM",IF(P5=CURSOS!$D$33,"ATENCION A PERSONAS CON DISCAPACIDAD",IF(P5=CURSOS!$D$34,"CUIDADO INTEGRAL DEL PACIENTE ADULTO",IF(P5=CURSOS!$D$35,"MANEJO DEFENSIVO",IF(P5=CURSOS!$D$36,"SOPORTE CARDIOVASCULAR AVANZADO NEONATAL",IF(P5=CURSOS!$D$37,"SEGURIDAD DEL PACIENTE",IF(P5=CURSOS!$D$38,"MANEJO DE RESIDUOS HOSPITALARIOS"))))))))))))))))))))))))))))))))))))</f>
        <v xml:space="preserve">ATENCION A VICTIMAS DE VIOLENCIA SEXUAL </v>
      </c>
      <c r="W5" s="65" t="str">
        <f t="shared" ref="W5:W11" si="3">CONCATENATE(E5," ",F5," ",C5," ",D5)</f>
        <v>Maria Cristina Solarte Gaviria</v>
      </c>
      <c r="X5" s="65" t="str">
        <f t="shared" ref="X5:X11" si="4">PROPER(W5)</f>
        <v>Maria Cristina Solarte Gaviria</v>
      </c>
      <c r="Y5" s="65" t="str">
        <f t="shared" ref="Y5:Y11" si="5">CONCATENATE(W5,"-",B5,"-",P5)</f>
        <v>Maria Cristina Solarte Gaviria-36752303-VIOLENCIA SEXUAL</v>
      </c>
    </row>
    <row r="6" spans="1:25" s="58" customFormat="1" x14ac:dyDescent="0.2">
      <c r="A6" s="59">
        <v>5</v>
      </c>
      <c r="B6" s="60">
        <v>36752303</v>
      </c>
      <c r="C6" s="60" t="s">
        <v>119</v>
      </c>
      <c r="D6" s="60" t="s">
        <v>120</v>
      </c>
      <c r="E6" s="60" t="s">
        <v>121</v>
      </c>
      <c r="F6" s="60" t="s">
        <v>122</v>
      </c>
      <c r="G6" s="60">
        <v>28</v>
      </c>
      <c r="H6" s="60" t="s">
        <v>124</v>
      </c>
      <c r="I6" s="61" t="s">
        <v>123</v>
      </c>
      <c r="J6" s="61" t="s">
        <v>197</v>
      </c>
      <c r="K6" s="62">
        <v>45717</v>
      </c>
      <c r="L6" s="63">
        <v>30000</v>
      </c>
      <c r="M6" s="60" t="s">
        <v>126</v>
      </c>
      <c r="N6" s="60" t="s">
        <v>105</v>
      </c>
      <c r="O6" s="60" t="s">
        <v>106</v>
      </c>
      <c r="P6" s="60" t="s">
        <v>23</v>
      </c>
      <c r="Q6" s="61">
        <v>28679</v>
      </c>
      <c r="R6" s="60" t="s">
        <v>107</v>
      </c>
      <c r="S6" s="60" t="s">
        <v>117</v>
      </c>
      <c r="T6" s="64">
        <v>3126545925</v>
      </c>
      <c r="U6" s="64" t="s">
        <v>125</v>
      </c>
      <c r="V6" s="65" t="str">
        <f>IF(P6=CURSOS!$D$3,"DIPLOMADO EN ATENCION PRE-HOSPITALARIA",IF(P6=CURSOS!$D$4,"ACOMPAÑAMIENTO Y MANEJO DEL DUELO",IF(P6=CURSOS!$D$5,"ATENCION A VICTIMAS DE ATAQUE CON AGENTES QUIMICOS ",IF(P6=CURSOS!$D$6,"PRIMEROS AUXILIOS ",IF(P6=CURSOS!$D$7,"DIPLOMADO DE UNIDAD DE CUIDADOS INTENSIVOS (UCI)",IF(P6=CURSOS!$D$8,"MODELO DE ATENCION PARA EVENTOS EMERGENTES EN SALUD MENTAL (CODIGO VERDE)",IF(P6=CURSOS!$D$9,"HUMANIZACION EN EL SERVICIO DE LA SALUD Y BUENAS PRACTICAS EN PACIENTE ",IF(P6=CURSOS!$D$10,"CLINICA DE HERIDAS ",IF(P6=CURSOS!$D$11,"TOMA DE CITOLOGIA CERVICO VAGINAL ",IF(P6=CURSOS!$D$12,"SOPORTE CARDIOVASCULAR AVANZADO (ACLS) ",IF(P6=CURSOS!$D$13,"CAMILLERO ",IF(P6=CURSOS!$D$14,"TOMA DE MUESTRAS Y LABORATORIO ",IF(P6=CURSOS!$D$15,"SOPORTE VITAL BASICO (BLS)",IF(P6=CURSOS!$D$16,"ATENCION A VICTIMAS DE VIOLENCIA SEXUAL ",IF(P6=CURSOS!$D$17,"PROGRAMADO AMPLIADO DE INMUNIZACION (PAI - COVID 19)",IF(P6=CURSOS!$D$18,"ATENCION INTEGRAL EN ENFERMEDADES PREVALENTES EN PRIMERA INFANCIA (AIEPI)",IF(P6=CURSOS!$D$19,"ADMINISTRACION DE MEDICAMENTOS, INYECTOLOGIA  Y CANALIZACION ",IF(P6=CURSOS!$D$20,"OPERADOR DE VEHICULOS DE EMERGENCIA (OVE)",IF(P6=CURSOS!$D$21,"INSTITUCIONES AMIGAS DE LA MUJER Y LA INFANCIA (IAMI)",IF(P6=CURSOS!$D$22,"CUIDADO DEL DONANTE DE ORGANOS",IF(P6=CURSOS!$D$23,"ATENCION A VICTIMAS POR VIOLENCIA DE GENERO",IF(P6=CURSOS!$D$24,"IGUALDAD DE GENERO EN LA SALUD",IF(P6=CURSOS!$D$25,"BRIGADA DE EMERGENCIA",IF(P6=CURSOS!$D$26,"MANEJO DEL DOLOR Y CUIDADOS PALIATIVOS",IF(P6=CURSOS!$D$27,"TOMA DE MUESTRAS Y LABORATORIO POCT",IF(P6=CURSOS!$D$28,"IMPLANTE SUBDERMICO DE DISPOSITIVO INTRAUTERINO",IF(P6=CURSOS!$D$29,"SALUD MENTAL",IF(P6=CURSOS!$D$30,"PRIMEROS AUXILIOS PSICOLOGICOS",IF(P6=CURSOS!$D$31,"ATENCION A VICTIMAS POR CONFLICTO ARMADO",IF(P6=CURSOS!$D$32,"MANIPULACION DE ALIMENTOS Y BPM",IF(P6=CURSOS!$D$33,"ATENCION A PERSONAS CON DISCAPACIDAD",IF(P6=CURSOS!$D$34,"CUIDADO INTEGRAL DEL PACIENTE ADULTO",IF(P6=CURSOS!$D$35,"MANEJO DEFENSIVO",IF(P6=CURSOS!$D$36,"SOPORTE CARDIOVASCULAR AVANZADO NEONATAL",IF(P6=CURSOS!$D$37,"SEGURIDAD DEL PACIENTE",IF(P6=CURSOS!$D$38,"MANEJO DE RESIDUOS HOSPITALARIOS"))))))))))))))))))))))))))))))))))))</f>
        <v>ACOMPAÑAMIENTO Y MANEJO DEL DUELO</v>
      </c>
      <c r="W6" s="65" t="str">
        <f t="shared" si="3"/>
        <v>Maria Cristina Solarte Gaviria</v>
      </c>
      <c r="X6" s="65" t="str">
        <f t="shared" si="4"/>
        <v>Maria Cristina Solarte Gaviria</v>
      </c>
      <c r="Y6" s="65" t="str">
        <f t="shared" si="5"/>
        <v>Maria Cristina Solarte Gaviria-36752303-DUELO</v>
      </c>
    </row>
    <row r="7" spans="1:25" s="58" customFormat="1" x14ac:dyDescent="0.2">
      <c r="A7" s="59">
        <v>6</v>
      </c>
      <c r="B7" s="60">
        <v>36752303</v>
      </c>
      <c r="C7" s="60" t="s">
        <v>119</v>
      </c>
      <c r="D7" s="60" t="s">
        <v>120</v>
      </c>
      <c r="E7" s="60" t="s">
        <v>121</v>
      </c>
      <c r="F7" s="60" t="s">
        <v>122</v>
      </c>
      <c r="G7" s="60">
        <v>27</v>
      </c>
      <c r="H7" s="60" t="s">
        <v>124</v>
      </c>
      <c r="I7" s="61" t="s">
        <v>123</v>
      </c>
      <c r="J7" s="61" t="s">
        <v>197</v>
      </c>
      <c r="K7" s="62">
        <v>45717</v>
      </c>
      <c r="L7" s="63">
        <v>30000</v>
      </c>
      <c r="M7" s="60" t="s">
        <v>126</v>
      </c>
      <c r="N7" s="60" t="s">
        <v>105</v>
      </c>
      <c r="O7" s="60" t="s">
        <v>106</v>
      </c>
      <c r="P7" s="60" t="s">
        <v>32</v>
      </c>
      <c r="Q7" s="61">
        <v>28679</v>
      </c>
      <c r="R7" s="60" t="s">
        <v>107</v>
      </c>
      <c r="S7" s="60" t="s">
        <v>117</v>
      </c>
      <c r="T7" s="64">
        <v>3126545925</v>
      </c>
      <c r="U7" s="64" t="s">
        <v>125</v>
      </c>
      <c r="V7" s="65" t="str">
        <f>IF(P7=CURSOS!$D$3,"DIPLOMADO EN ATENCION PRE-HOSPITALARIA",IF(P7=CURSOS!$D$4,"ACOMPAÑAMIENTO Y MANEJO DEL DUELO",IF(P7=CURSOS!$D$5,"ATENCION A VICTIMAS DE ATAQUE CON AGENTES QUIMICOS ",IF(P7=CURSOS!$D$6,"PRIMEROS AUXILIOS ",IF(P7=CURSOS!$D$7,"DIPLOMADO DE UNIDAD DE CUIDADOS INTENSIVOS (UCI)",IF(P7=CURSOS!$D$8,"MODELO DE ATENCION PARA EVENTOS EMERGENTES EN SALUD MENTAL (CODIGO VERDE)",IF(P7=CURSOS!$D$9,"HUMANIZACION EN EL SERVICIO DE LA SALUD Y BUENAS PRACTICAS EN PACIENTE ",IF(P7=CURSOS!$D$10,"CLINICA DE HERIDAS ",IF(P7=CURSOS!$D$11,"TOMA DE CITOLOGIA CERVICO VAGINAL ",IF(P7=CURSOS!$D$12,"SOPORTE CARDIOVASCULAR AVANZADO (ACLS) ",IF(P7=CURSOS!$D$13,"CAMILLERO ",IF(P7=CURSOS!$D$14,"TOMA DE MUESTRAS Y LABORATORIO ",IF(P7=CURSOS!$D$15,"SOPORTE VITAL BASICO (BLS)",IF(P7=CURSOS!$D$16,"ATENCION A VICTIMAS DE VIOLENCIA SEXUAL ",IF(P7=CURSOS!$D$17,"PROGRAMADO AMPLIADO DE INMUNIZACION (PAI - COVID 19)",IF(P7=CURSOS!$D$18,"ATENCION INTEGRAL EN ENFERMEDADES PREVALENTES EN PRIMERA INFANCIA (AIEPI)",IF(P7=CURSOS!$D$19,"ADMINISTRACION DE MEDICAMENTOS, INYECTOLOGIA  Y CANALIZACION ",IF(P7=CURSOS!$D$20,"OPERADOR DE VEHICULOS DE EMERGENCIA (OVE)",IF(P7=CURSOS!$D$21,"INSTITUCIONES AMIGAS DE LA MUJER Y LA INFANCIA (IAMI)",IF(P7=CURSOS!$D$22,"CUIDADO DEL DONANTE DE ORGANOS",IF(P7=CURSOS!$D$23,"ATENCION A VICTIMAS POR VIOLENCIA DE GENERO",IF(P7=CURSOS!$D$24,"IGUALDAD DE GENERO EN LA SALUD",IF(P7=CURSOS!$D$25,"BRIGADA DE EMERGENCIA",IF(P7=CURSOS!$D$26,"MANEJO DEL DOLOR Y CUIDADOS PALIATIVOS",IF(P7=CURSOS!$D$27,"TOMA DE MUESTRAS Y LABORATORIO POCT",IF(P7=CURSOS!$D$28,"IMPLANTE SUBDERMICO DE DISPOSITIVO INTRAUTERINO",IF(P7=CURSOS!$D$29,"SALUD MENTAL",IF(P7=CURSOS!$D$30,"PRIMEROS AUXILIOS PSICOLOGICOS",IF(P7=CURSOS!$D$31,"ATENCION A VICTIMAS POR CONFLICTO ARMADO",IF(P7=CURSOS!$D$32,"MANIPULACION DE ALIMENTOS Y BPM",IF(P7=CURSOS!$D$33,"ATENCION A PERSONAS CON DISCAPACIDAD",IF(P7=CURSOS!$D$34,"CUIDADO INTEGRAL DEL PACIENTE ADULTO",IF(P7=CURSOS!$D$35,"MANEJO DEFENSIVO",IF(P7=CURSOS!$D$36,"SOPORTE CARDIOVASCULAR AVANZADO NEONATAL",IF(P7=CURSOS!$D$37,"SEGURIDAD DEL PACIENTE",IF(P7=CURSOS!$D$38,"MANEJO DE RESIDUOS HOSPITALARIOS"))))))))))))))))))))))))))))))))))))</f>
        <v xml:space="preserve">HUMANIZACION EN EL SERVICIO DE LA SALUD Y BUENAS PRACTICAS EN PACIENTE </v>
      </c>
      <c r="W7" s="65" t="str">
        <f t="shared" si="3"/>
        <v>Maria Cristina Solarte Gaviria</v>
      </c>
      <c r="X7" s="65" t="str">
        <f t="shared" si="4"/>
        <v>Maria Cristina Solarte Gaviria</v>
      </c>
      <c r="Y7" s="65" t="str">
        <f t="shared" si="5"/>
        <v>Maria Cristina Solarte Gaviria-36752303-HUMANIZACION</v>
      </c>
    </row>
    <row r="8" spans="1:25" s="58" customFormat="1" x14ac:dyDescent="0.2">
      <c r="A8" s="59">
        <v>7</v>
      </c>
      <c r="B8" s="60">
        <v>36752303</v>
      </c>
      <c r="C8" s="60" t="s">
        <v>119</v>
      </c>
      <c r="D8" s="60" t="s">
        <v>120</v>
      </c>
      <c r="E8" s="60" t="s">
        <v>121</v>
      </c>
      <c r="F8" s="60" t="s">
        <v>122</v>
      </c>
      <c r="G8" s="60">
        <v>26</v>
      </c>
      <c r="H8" s="60" t="s">
        <v>124</v>
      </c>
      <c r="I8" s="61" t="s">
        <v>123</v>
      </c>
      <c r="J8" s="61" t="s">
        <v>197</v>
      </c>
      <c r="K8" s="62">
        <v>45717</v>
      </c>
      <c r="L8" s="63">
        <v>30000</v>
      </c>
      <c r="M8" s="60" t="s">
        <v>126</v>
      </c>
      <c r="N8" s="60" t="s">
        <v>105</v>
      </c>
      <c r="O8" s="60" t="s">
        <v>106</v>
      </c>
      <c r="P8" s="60" t="s">
        <v>25</v>
      </c>
      <c r="Q8" s="61">
        <v>28679</v>
      </c>
      <c r="R8" s="60" t="s">
        <v>107</v>
      </c>
      <c r="S8" s="60" t="s">
        <v>117</v>
      </c>
      <c r="T8" s="64">
        <v>3126545925</v>
      </c>
      <c r="U8" s="64" t="s">
        <v>125</v>
      </c>
      <c r="V8" s="65" t="str">
        <f>IF(P8=CURSOS!$D$3,"DIPLOMADO EN ATENCION PRE-HOSPITALARIA",IF(P8=CURSOS!$D$4,"ACOMPAÑAMIENTO Y MANEJO DEL DUELO",IF(P8=CURSOS!$D$5,"ATENCION A VICTIMAS DE ATAQUE CON AGENTES QUIMICOS ",IF(P8=CURSOS!$D$6,"PRIMEROS AUXILIOS ",IF(P8=CURSOS!$D$7,"DIPLOMADO DE UNIDAD DE CUIDADOS INTENSIVOS (UCI)",IF(P8=CURSOS!$D$8,"MODELO DE ATENCION PARA EVENTOS EMERGENTES EN SALUD MENTAL (CODIGO VERDE)",IF(P8=CURSOS!$D$9,"HUMANIZACION EN EL SERVICIO DE LA SALUD Y BUENAS PRACTICAS EN PACIENTE ",IF(P8=CURSOS!$D$10,"CLINICA DE HERIDAS ",IF(P8=CURSOS!$D$11,"TOMA DE CITOLOGIA CERVICO VAGINAL ",IF(P8=CURSOS!$D$12,"SOPORTE CARDIOVASCULAR AVANZADO (ACLS) ",IF(P8=CURSOS!$D$13,"CAMILLERO ",IF(P8=CURSOS!$D$14,"TOMA DE MUESTRAS Y LABORATORIO ",IF(P8=CURSOS!$D$15,"SOPORTE VITAL BASICO (BLS)",IF(P8=CURSOS!$D$16,"ATENCION A VICTIMAS DE VIOLENCIA SEXUAL ",IF(P8=CURSOS!$D$17,"PROGRAMADO AMPLIADO DE INMUNIZACION (PAI - COVID 19)",IF(P8=CURSOS!$D$18,"ATENCION INTEGRAL EN ENFERMEDADES PREVALENTES EN PRIMERA INFANCIA (AIEPI)",IF(P8=CURSOS!$D$19,"ADMINISTRACION DE MEDICAMENTOS, INYECTOLOGIA  Y CANALIZACION ",IF(P8=CURSOS!$D$20,"OPERADOR DE VEHICULOS DE EMERGENCIA (OVE)",IF(P8=CURSOS!$D$21,"INSTITUCIONES AMIGAS DE LA MUJER Y LA INFANCIA (IAMI)",IF(P8=CURSOS!$D$22,"CUIDADO DEL DONANTE DE ORGANOS",IF(P8=CURSOS!$D$23,"ATENCION A VICTIMAS POR VIOLENCIA DE GENERO",IF(P8=CURSOS!$D$24,"IGUALDAD DE GENERO EN LA SALUD",IF(P8=CURSOS!$D$25,"BRIGADA DE EMERGENCIA",IF(P8=CURSOS!$D$26,"MANEJO DEL DOLOR Y CUIDADOS PALIATIVOS",IF(P8=CURSOS!$D$27,"TOMA DE MUESTRAS Y LABORATORIO POCT",IF(P8=CURSOS!$D$28,"IMPLANTE SUBDERMICO DE DISPOSITIVO INTRAUTERINO",IF(P8=CURSOS!$D$29,"SALUD MENTAL",IF(P8=CURSOS!$D$30,"PRIMEROS AUXILIOS PSICOLOGICOS",IF(P8=CURSOS!$D$31,"ATENCION A VICTIMAS POR CONFLICTO ARMADO",IF(P8=CURSOS!$D$32,"MANIPULACION DE ALIMENTOS Y BPM",IF(P8=CURSOS!$D$33,"ATENCION A PERSONAS CON DISCAPACIDAD",IF(P8=CURSOS!$D$34,"CUIDADO INTEGRAL DEL PACIENTE ADULTO",IF(P8=CURSOS!$D$35,"MANEJO DEFENSIVO",IF(P8=CURSOS!$D$36,"SOPORTE CARDIOVASCULAR AVANZADO NEONATAL",IF(P8=CURSOS!$D$37,"SEGURIDAD DEL PACIENTE",IF(P8=CURSOS!$D$38,"MANEJO DE RESIDUOS HOSPITALARIOS"))))))))))))))))))))))))))))))))))))</f>
        <v xml:space="preserve">ATENCION A VICTIMAS DE ATAQUE CON AGENTES QUIMICOS </v>
      </c>
      <c r="W8" s="65" t="str">
        <f t="shared" si="3"/>
        <v>Maria Cristina Solarte Gaviria</v>
      </c>
      <c r="X8" s="65" t="str">
        <f t="shared" si="4"/>
        <v>Maria Cristina Solarte Gaviria</v>
      </c>
      <c r="Y8" s="65" t="str">
        <f t="shared" si="5"/>
        <v>Maria Cristina Solarte Gaviria-36752303-QUIMICOS</v>
      </c>
    </row>
    <row r="9" spans="1:25" s="58" customFormat="1" x14ac:dyDescent="0.2">
      <c r="A9" s="59">
        <v>8</v>
      </c>
      <c r="B9" s="60">
        <v>36752303</v>
      </c>
      <c r="C9" s="60" t="s">
        <v>119</v>
      </c>
      <c r="D9" s="60" t="s">
        <v>120</v>
      </c>
      <c r="E9" s="60" t="s">
        <v>121</v>
      </c>
      <c r="F9" s="60" t="s">
        <v>122</v>
      </c>
      <c r="G9" s="60">
        <v>25</v>
      </c>
      <c r="H9" s="60" t="s">
        <v>124</v>
      </c>
      <c r="I9" s="61" t="s">
        <v>123</v>
      </c>
      <c r="J9" s="61" t="s">
        <v>197</v>
      </c>
      <c r="K9" s="62">
        <v>45717</v>
      </c>
      <c r="L9" s="63">
        <v>30000</v>
      </c>
      <c r="M9" s="60" t="s">
        <v>126</v>
      </c>
      <c r="N9" s="60" t="s">
        <v>105</v>
      </c>
      <c r="O9" s="60" t="s">
        <v>106</v>
      </c>
      <c r="P9" s="60" t="s">
        <v>19</v>
      </c>
      <c r="Q9" s="61">
        <v>28679</v>
      </c>
      <c r="R9" s="60" t="s">
        <v>107</v>
      </c>
      <c r="S9" s="60" t="s">
        <v>117</v>
      </c>
      <c r="T9" s="64">
        <v>3126545925</v>
      </c>
      <c r="U9" s="64" t="s">
        <v>125</v>
      </c>
      <c r="V9" s="65" t="str">
        <f>IF(P9=CURSOS!$D$3,"DIPLOMADO EN ATENCION PRE-HOSPITALARIA",IF(P9=CURSOS!$D$4,"ACOMPAÑAMIENTO Y MANEJO DEL DUELO",IF(P9=CURSOS!$D$5,"ATENCION A VICTIMAS DE ATAQUE CON AGENTES QUIMICOS ",IF(P9=CURSOS!$D$6,"PRIMEROS AUXILIOS ",IF(P9=CURSOS!$D$7,"DIPLOMADO DE UNIDAD DE CUIDADOS INTENSIVOS (UCI)",IF(P9=CURSOS!$D$8,"MODELO DE ATENCION PARA EVENTOS EMERGENTES EN SALUD MENTAL (CODIGO VERDE)",IF(P9=CURSOS!$D$9,"HUMANIZACION EN EL SERVICIO DE LA SALUD Y BUENAS PRACTICAS EN PACIENTE ",IF(P9=CURSOS!$D$10,"CLINICA DE HERIDAS ",IF(P9=CURSOS!$D$11,"TOMA DE CITOLOGIA CERVICO VAGINAL ",IF(P9=CURSOS!$D$12,"SOPORTE CARDIOVASCULAR AVANZADO (ACLS) ",IF(P9=CURSOS!$D$13,"CAMILLERO ",IF(P9=CURSOS!$D$14,"TOMA DE MUESTRAS Y LABORATORIO ",IF(P9=CURSOS!$D$15,"SOPORTE VITAL BASICO (BLS)",IF(P9=CURSOS!$D$16,"ATENCION A VICTIMAS DE VIOLENCIA SEXUAL ",IF(P9=CURSOS!$D$17,"PROGRAMADO AMPLIADO DE INMUNIZACION (PAI - COVID 19)",IF(P9=CURSOS!$D$18,"ATENCION INTEGRAL EN ENFERMEDADES PREVALENTES EN PRIMERA INFANCIA (AIEPI)",IF(P9=CURSOS!$D$19,"ADMINISTRACION DE MEDICAMENTOS, INYECTOLOGIA  Y CANALIZACION ",IF(P9=CURSOS!$D$20,"OPERADOR DE VEHICULOS DE EMERGENCIA (OVE)",IF(P9=CURSOS!$D$21,"INSTITUCIONES AMIGAS DE LA MUJER Y LA INFANCIA (IAMI)",IF(P9=CURSOS!$D$22,"CUIDADO DEL DONANTE DE ORGANOS",IF(P9=CURSOS!$D$23,"ATENCION A VICTIMAS POR VIOLENCIA DE GENERO",IF(P9=CURSOS!$D$24,"IGUALDAD DE GENERO EN LA SALUD",IF(P9=CURSOS!$D$25,"BRIGADA DE EMERGENCIA",IF(P9=CURSOS!$D$26,"MANEJO DEL DOLOR Y CUIDADOS PALIATIVOS",IF(P9=CURSOS!$D$27,"TOMA DE MUESTRAS Y LABORATORIO POCT",IF(P9=CURSOS!$D$28,"IMPLANTE SUBDERMICO DE DISPOSITIVO INTRAUTERINO",IF(P9=CURSOS!$D$29,"SALUD MENTAL",IF(P9=CURSOS!$D$30,"PRIMEROS AUXILIOS PSICOLOGICOS",IF(P9=CURSOS!$D$31,"ATENCION A VICTIMAS POR CONFLICTO ARMADO",IF(P9=CURSOS!$D$32,"MANIPULACION DE ALIMENTOS Y BPM",IF(P9=CURSOS!$D$33,"ATENCION A PERSONAS CON DISCAPACIDAD",IF(P9=CURSOS!$D$34,"CUIDADO INTEGRAL DEL PACIENTE ADULTO",IF(P9=CURSOS!$D$35,"MANEJO DEFENSIVO",IF(P9=CURSOS!$D$36,"SOPORTE CARDIOVASCULAR AVANZADO NEONATAL",IF(P9=CURSOS!$D$37,"SEGURIDAD DEL PACIENTE",IF(P9=CURSOS!$D$38,"MANEJO DE RESIDUOS HOSPITALARIOS"))))))))))))))))))))))))))))))))))))</f>
        <v>SOPORTE VITAL BASICO (BLS)</v>
      </c>
      <c r="W9" s="65" t="str">
        <f t="shared" si="3"/>
        <v>Maria Cristina Solarte Gaviria</v>
      </c>
      <c r="X9" s="65" t="str">
        <f t="shared" si="4"/>
        <v>Maria Cristina Solarte Gaviria</v>
      </c>
      <c r="Y9" s="65" t="str">
        <f t="shared" si="5"/>
        <v>Maria Cristina Solarte Gaviria-36752303-BLS</v>
      </c>
    </row>
    <row r="10" spans="1:25" s="58" customFormat="1" x14ac:dyDescent="0.2">
      <c r="A10" s="59">
        <v>9</v>
      </c>
      <c r="B10" s="60">
        <v>1010019207</v>
      </c>
      <c r="C10" s="60" t="s">
        <v>113</v>
      </c>
      <c r="D10" s="60" t="s">
        <v>114</v>
      </c>
      <c r="E10" s="60" t="s">
        <v>115</v>
      </c>
      <c r="F10" s="60" t="s">
        <v>116</v>
      </c>
      <c r="G10" s="60">
        <v>28</v>
      </c>
      <c r="H10" s="60" t="s">
        <v>124</v>
      </c>
      <c r="I10" s="61" t="s">
        <v>104</v>
      </c>
      <c r="J10" s="61"/>
      <c r="K10" s="62" t="s">
        <v>157</v>
      </c>
      <c r="L10" s="63">
        <v>70000</v>
      </c>
      <c r="M10" s="60" t="s">
        <v>158</v>
      </c>
      <c r="N10" s="60" t="s">
        <v>105</v>
      </c>
      <c r="O10" s="60" t="s">
        <v>106</v>
      </c>
      <c r="P10" s="60" t="s">
        <v>32</v>
      </c>
      <c r="Q10" s="61">
        <v>37433</v>
      </c>
      <c r="R10" s="60" t="s">
        <v>107</v>
      </c>
      <c r="S10" s="60" t="s">
        <v>117</v>
      </c>
      <c r="T10" s="64">
        <v>3106145912</v>
      </c>
      <c r="U10" s="64" t="s">
        <v>118</v>
      </c>
      <c r="V10" s="65" t="str">
        <f>IF(P10=CURSOS!$D$3,"DIPLOMADO EN ATENCION PRE-HOSPITALARIA",IF(P10=CURSOS!$D$4,"ACOMPAÑAMIENTO Y MANEJO DEL DUELO",IF(P10=CURSOS!$D$5,"ATENCION A VICTIMAS DE ATAQUE CON AGENTES QUIMICOS ",IF(P10=CURSOS!$D$6,"PRIMEROS AUXILIOS ",IF(P10=CURSOS!$D$7,"DIPLOMADO DE UNIDAD DE CUIDADOS INTENSIVOS (UCI)",IF(P10=CURSOS!$D$8,"MODELO DE ATENCION PARA EVENTOS EMERGENTES EN SALUD MENTAL (CODIGO VERDE)",IF(P10=CURSOS!$D$9,"HUMANIZACION EN EL SERVICIO DE LA SALUD Y BUENAS PRACTICAS EN PACIENTE ",IF(P10=CURSOS!$D$10,"CLINICA DE HERIDAS ",IF(P10=CURSOS!$D$11,"TOMA DE CITOLOGIA CERVICO VAGINAL ",IF(P10=CURSOS!$D$12,"SOPORTE CARDIOVASCULAR AVANZADO (ACLS) ",IF(P10=CURSOS!$D$13,"CAMILLERO ",IF(P10=CURSOS!$D$14,"TOMA DE MUESTRAS Y LABORATORIO ",IF(P10=CURSOS!$D$15,"SOPORTE VITAL BASICO (BLS)",IF(P10=CURSOS!$D$16,"ATENCION A VICTIMAS DE VIOLENCIA SEXUAL ",IF(P10=CURSOS!$D$17,"PROGRAMADO AMPLIADO DE INMUNIZACION (PAI - COVID 19)",IF(P10=CURSOS!$D$18,"ATENCION INTEGRAL EN ENFERMEDADES PREVALENTES EN PRIMERA INFANCIA (AIEPI)",IF(P10=CURSOS!$D$19,"ADMINISTRACION DE MEDICAMENTOS, INYECTOLOGIA  Y CANALIZACION ",IF(P10=CURSOS!$D$20,"OPERADOR DE VEHICULOS DE EMERGENCIA (OVE)",IF(P10=CURSOS!$D$21,"INSTITUCIONES AMIGAS DE LA MUJER Y LA INFANCIA (IAMI)",IF(P10=CURSOS!$D$22,"CUIDADO DEL DONANTE DE ORGANOS",IF(P10=CURSOS!$D$23,"ATENCION A VICTIMAS POR VIOLENCIA DE GENERO",IF(P10=CURSOS!$D$24,"IGUALDAD DE GENERO EN LA SALUD",IF(P10=CURSOS!$D$25,"BRIGADA DE EMERGENCIA",IF(P10=CURSOS!$D$26,"MANEJO DEL DOLOR Y CUIDADOS PALIATIVOS",IF(P10=CURSOS!$D$27,"TOMA DE MUESTRAS Y LABORATORIO POCT",IF(P10=CURSOS!$D$28,"IMPLANTE SUBDERMICO DE DISPOSITIVO INTRAUTERINO",IF(P10=CURSOS!$D$29,"SALUD MENTAL",IF(P10=CURSOS!$D$30,"PRIMEROS AUXILIOS PSICOLOGICOS",IF(P10=CURSOS!$D$31,"ATENCION A VICTIMAS POR CONFLICTO ARMADO",IF(P10=CURSOS!$D$32,"MANIPULACION DE ALIMENTOS Y BPM",IF(P10=CURSOS!$D$33,"ATENCION A PERSONAS CON DISCAPACIDAD",IF(P10=CURSOS!$D$34,"CUIDADO INTEGRAL DEL PACIENTE ADULTO",IF(P10=CURSOS!$D$35,"MANEJO DEFENSIVO",IF(P10=CURSOS!$D$36,"SOPORTE CARDIOVASCULAR AVANZADO NEONATAL",IF(P10=CURSOS!$D$37,"SEGURIDAD DEL PACIENTE",IF(P10=CURSOS!$D$38,"MANEJO DE RESIDUOS HOSPITALARIOS"))))))))))))))))))))))))))))))))))))</f>
        <v xml:space="preserve">HUMANIZACION EN EL SERVICIO DE LA SALUD Y BUENAS PRACTICAS EN PACIENTE </v>
      </c>
      <c r="W10" s="65" t="str">
        <f t="shared" si="3"/>
        <v>Claudia Tatiana Malpud Cuasquer</v>
      </c>
      <c r="X10" s="65" t="str">
        <f t="shared" si="4"/>
        <v>Claudia Tatiana Malpud Cuasquer</v>
      </c>
      <c r="Y10" s="65" t="str">
        <f t="shared" si="5"/>
        <v>Claudia Tatiana Malpud Cuasquer-1010019207-HUMANIZACION</v>
      </c>
    </row>
    <row r="11" spans="1:25" s="58" customFormat="1" x14ac:dyDescent="0.2">
      <c r="A11" s="59">
        <v>10</v>
      </c>
      <c r="B11" s="60">
        <v>1010019207</v>
      </c>
      <c r="C11" s="60" t="s">
        <v>113</v>
      </c>
      <c r="D11" s="60" t="s">
        <v>114</v>
      </c>
      <c r="E11" s="60" t="s">
        <v>115</v>
      </c>
      <c r="F11" s="60" t="s">
        <v>116</v>
      </c>
      <c r="G11" s="60">
        <v>27</v>
      </c>
      <c r="H11" s="60" t="s">
        <v>103</v>
      </c>
      <c r="I11" s="61" t="s">
        <v>104</v>
      </c>
      <c r="J11" s="61"/>
      <c r="K11" s="62">
        <v>45716</v>
      </c>
      <c r="L11" s="63">
        <v>70000</v>
      </c>
      <c r="M11" s="60" t="s">
        <v>156</v>
      </c>
      <c r="N11" s="60" t="s">
        <v>105</v>
      </c>
      <c r="O11" s="60" t="s">
        <v>106</v>
      </c>
      <c r="P11" s="60" t="s">
        <v>25</v>
      </c>
      <c r="Q11" s="61">
        <v>37433</v>
      </c>
      <c r="R11" s="60" t="s">
        <v>107</v>
      </c>
      <c r="S11" s="60" t="s">
        <v>117</v>
      </c>
      <c r="T11" s="64">
        <v>3106145912</v>
      </c>
      <c r="U11" s="64" t="s">
        <v>118</v>
      </c>
      <c r="V11" s="65" t="str">
        <f>IF(P11=CURSOS!$D$3,"DIPLOMADO EN ATENCION PRE-HOSPITALARIA",IF(P11=CURSOS!$D$4,"ACOMPAÑAMIENTO Y MANEJO DEL DUELO",IF(P11=CURSOS!$D$5,"ATENCION A VICTIMAS DE ATAQUE CON AGENTES QUIMICOS ",IF(P11=CURSOS!$D$6,"PRIMEROS AUXILIOS ",IF(P11=CURSOS!$D$7,"DIPLOMADO DE UNIDAD DE CUIDADOS INTENSIVOS (UCI)",IF(P11=CURSOS!$D$8,"MODELO DE ATENCION PARA EVENTOS EMERGENTES EN SALUD MENTAL (CODIGO VERDE)",IF(P11=CURSOS!$D$9,"HUMANIZACION EN EL SERVICIO DE LA SALUD Y BUENAS PRACTICAS EN PACIENTE ",IF(P11=CURSOS!$D$10,"CLINICA DE HERIDAS ",IF(P11=CURSOS!$D$11,"TOMA DE CITOLOGIA CERVICO VAGINAL ",IF(P11=CURSOS!$D$12,"SOPORTE CARDIOVASCULAR AVANZADO (ACLS) ",IF(P11=CURSOS!$D$13,"CAMILLERO ",IF(P11=CURSOS!$D$14,"TOMA DE MUESTRAS Y LABORATORIO ",IF(P11=CURSOS!$D$15,"SOPORTE VITAL BASICO (BLS)",IF(P11=CURSOS!$D$16,"ATENCION A VICTIMAS DE VIOLENCIA SEXUAL ",IF(P11=CURSOS!$D$17,"PROGRAMADO AMPLIADO DE INMUNIZACION (PAI - COVID 19)",IF(P11=CURSOS!$D$18,"ATENCION INTEGRAL EN ENFERMEDADES PREVALENTES EN PRIMERA INFANCIA (AIEPI)",IF(P11=CURSOS!$D$19,"ADMINISTRACION DE MEDICAMENTOS, INYECTOLOGIA  Y CANALIZACION ",IF(P11=CURSOS!$D$20,"OPERADOR DE VEHICULOS DE EMERGENCIA (OVE)",IF(P11=CURSOS!$D$21,"INSTITUCIONES AMIGAS DE LA MUJER Y LA INFANCIA (IAMI)",IF(P11=CURSOS!$D$22,"CUIDADO DEL DONANTE DE ORGANOS",IF(P11=CURSOS!$D$23,"ATENCION A VICTIMAS POR VIOLENCIA DE GENERO",IF(P11=CURSOS!$D$24,"IGUALDAD DE GENERO EN LA SALUD",IF(P11=CURSOS!$D$25,"BRIGADA DE EMERGENCIA",IF(P11=CURSOS!$D$26,"MANEJO DEL DOLOR Y CUIDADOS PALIATIVOS",IF(P11=CURSOS!$D$27,"TOMA DE MUESTRAS Y LABORATORIO POCT",IF(P11=CURSOS!$D$28,"IMPLANTE SUBDERMICO DE DISPOSITIVO INTRAUTERINO",IF(P11=CURSOS!$D$29,"SALUD MENTAL",IF(P11=CURSOS!$D$30,"PRIMEROS AUXILIOS PSICOLOGICOS",IF(P11=CURSOS!$D$31,"ATENCION A VICTIMAS POR CONFLICTO ARMADO",IF(P11=CURSOS!$D$32,"MANIPULACION DE ALIMENTOS Y BPM",IF(P11=CURSOS!$D$33,"ATENCION A PERSONAS CON DISCAPACIDAD",IF(P11=CURSOS!$D$34,"CUIDADO INTEGRAL DEL PACIENTE ADULTO",IF(P11=CURSOS!$D$35,"MANEJO DEFENSIVO",IF(P11=CURSOS!$D$36,"SOPORTE CARDIOVASCULAR AVANZADO NEONATAL",IF(P11=CURSOS!$D$37,"SEGURIDAD DEL PACIENTE",IF(P11=CURSOS!$D$38,"MANEJO DE RESIDUOS HOSPITALARIOS"))))))))))))))))))))))))))))))))))))</f>
        <v xml:space="preserve">ATENCION A VICTIMAS DE ATAQUE CON AGENTES QUIMICOS </v>
      </c>
      <c r="W11" s="65" t="str">
        <f t="shared" si="3"/>
        <v>Claudia Tatiana Malpud Cuasquer</v>
      </c>
      <c r="X11" s="65" t="str">
        <f t="shared" si="4"/>
        <v>Claudia Tatiana Malpud Cuasquer</v>
      </c>
      <c r="Y11" s="65" t="str">
        <f t="shared" si="5"/>
        <v>Claudia Tatiana Malpud Cuasquer-1010019207-QUIMICOS</v>
      </c>
    </row>
    <row r="12" spans="1:25" s="58" customFormat="1" x14ac:dyDescent="0.2">
      <c r="A12" s="59">
        <v>11</v>
      </c>
      <c r="B12" s="60">
        <v>1010019207</v>
      </c>
      <c r="C12" s="60" t="s">
        <v>113</v>
      </c>
      <c r="D12" s="60" t="s">
        <v>114</v>
      </c>
      <c r="E12" s="60" t="s">
        <v>115</v>
      </c>
      <c r="F12" s="60" t="s">
        <v>116</v>
      </c>
      <c r="G12" s="60">
        <v>1</v>
      </c>
      <c r="H12" s="60" t="s">
        <v>103</v>
      </c>
      <c r="I12" s="61" t="s">
        <v>104</v>
      </c>
      <c r="J12" s="61"/>
      <c r="K12" s="62">
        <v>45716</v>
      </c>
      <c r="L12" s="63">
        <v>70000</v>
      </c>
      <c r="M12" s="60" t="s">
        <v>156</v>
      </c>
      <c r="N12" s="60" t="s">
        <v>105</v>
      </c>
      <c r="O12" s="60" t="s">
        <v>106</v>
      </c>
      <c r="P12" s="60" t="s">
        <v>42</v>
      </c>
      <c r="Q12" s="61">
        <v>37433</v>
      </c>
      <c r="R12" s="60" t="s">
        <v>107</v>
      </c>
      <c r="S12" s="60" t="s">
        <v>117</v>
      </c>
      <c r="T12" s="64">
        <v>3106145912</v>
      </c>
      <c r="U12" s="64" t="s">
        <v>118</v>
      </c>
      <c r="V12" s="65" t="str">
        <f>IF(P12=CURSOS!$D$3,"DIPLOMADO EN ATENCION PRE-HOSPITALARIA",IF(P12=CURSOS!$D$4,"ACOMPAÑAMIENTO Y MANEJO DEL DUELO",IF(P12=CURSOS!$D$5,"ATENCION A VICTIMAS DE ATAQUE CON AGENTES QUIMICOS ",IF(P12=CURSOS!$D$6,"PRIMEROS AUXILIOS ",IF(P12=CURSOS!$D$7,"DIPLOMADO DE UNIDAD DE CUIDADOS INTENSIVOS (UCI)",IF(P12=CURSOS!$D$8,"MODELO DE ATENCION PARA EVENTOS EMERGENTES EN SALUD MENTAL (CODIGO VERDE)",IF(P12=CURSOS!$D$9,"HUMANIZACION EN EL SERVICIO DE LA SALUD Y BUENAS PRACTICAS EN PACIENTE ",IF(P12=CURSOS!$D$10,"CLINICA DE HERIDAS ",IF(P12=CURSOS!$D$11,"TOMA DE CITOLOGIA CERVICO VAGINAL ",IF(P12=CURSOS!$D$12,"SOPORTE CARDIOVASCULAR AVANZADO (ACLS) ",IF(P12=CURSOS!$D$13,"CAMILLERO ",IF(P12=CURSOS!$D$14,"TOMA DE MUESTRAS Y LABORATORIO ",IF(P12=CURSOS!$D$15,"SOPORTE VITAL BASICO (BLS)",IF(P12=CURSOS!$D$16,"ATENCION A VICTIMAS DE VIOLENCIA SEXUAL ",IF(P12=CURSOS!$D$17,"PROGRAMADO AMPLIADO DE INMUNIZACION (PAI - COVID 19)",IF(P12=CURSOS!$D$18,"ATENCION INTEGRAL EN ENFERMEDADES PREVALENTES EN PRIMERA INFANCIA (AIEPI)",IF(P12=CURSOS!$D$19,"ADMINISTRACION DE MEDICAMENTOS, INYECTOLOGIA  Y CANALIZACION ",IF(P12=CURSOS!$D$20,"OPERADOR DE VEHICULOS DE EMERGENCIA (OVE)",IF(P12=CURSOS!$D$21,"INSTITUCIONES AMIGAS DE LA MUJER Y LA INFANCIA (IAMI)",IF(P12=CURSOS!$D$22,"CUIDADO DEL DONANTE DE ORGANOS",IF(P12=CURSOS!$D$23,"ATENCION A VICTIMAS POR VIOLENCIA DE GENERO",IF(P12=CURSOS!$D$24,"IGUALDAD DE GENERO EN LA SALUD",IF(P12=CURSOS!$D$25,"BRIGADA DE EMERGENCIA",IF(P12=CURSOS!$D$26,"MANEJO DEL DOLOR Y CUIDADOS PALIATIVOS",IF(P12=CURSOS!$D$27,"TOMA DE MUESTRAS Y LABORATORIO POCT",IF(P12=CURSOS!$D$28,"IMPLANTE SUBDERMICO DE DISPOSITIVO INTRAUTERINO",IF(P12=CURSOS!$D$29,"SALUD MENTAL",IF(P12=CURSOS!$D$30,"PRIMEROS AUXILIOS PSICOLOGICOS",IF(P12=CURSOS!$D$31,"ATENCION A VICTIMAS POR CONFLICTO ARMADO",IF(P12=CURSOS!$D$32,"MANIPULACION DE ALIMENTOS Y BPM",IF(P12=CURSOS!$D$33,"ATENCION A PERSONAS CON DISCAPACIDAD",IF(P12=CURSOS!$D$34,"CUIDADO INTEGRAL DEL PACIENTE ADULTO",IF(P12=CURSOS!$D$35,"MANEJO DEFENSIVO",IF(P12=CURSOS!$D$36,"SOPORTE CARDIOVASCULAR AVANZADO NEONATAL",IF(P12=CURSOS!$D$37,"SEGURIDAD DEL PACIENTE",IF(P12=CURSOS!$D$38,"MANEJO DE RESIDUOS HOSPITALARIOS"))))))))))))))))))))))))))))))))))))</f>
        <v xml:space="preserve">ATENCION A VICTIMAS DE VIOLENCIA SEXUAL </v>
      </c>
      <c r="W12" s="65" t="str">
        <f t="shared" ref="W12:W51" si="6">CONCATENATE(E12," ",F12," ",C12," ",D12)</f>
        <v>Claudia Tatiana Malpud Cuasquer</v>
      </c>
      <c r="X12" s="65" t="str">
        <f t="shared" ref="X12:X51" si="7">PROPER(W12)</f>
        <v>Claudia Tatiana Malpud Cuasquer</v>
      </c>
      <c r="Y12" s="65" t="str">
        <f t="shared" ref="Y12:Y51" si="8">CONCATENATE(W12,"-",B12,"-",P12)</f>
        <v>Claudia Tatiana Malpud Cuasquer-1010019207-VIOLENCIA SEXUAL</v>
      </c>
    </row>
    <row r="13" spans="1:25" s="58" customFormat="1" x14ac:dyDescent="0.2">
      <c r="A13" s="59">
        <v>12</v>
      </c>
      <c r="B13" s="60">
        <v>1085293480</v>
      </c>
      <c r="C13" s="60" t="s">
        <v>127</v>
      </c>
      <c r="D13" s="60" t="s">
        <v>128</v>
      </c>
      <c r="E13" s="60" t="s">
        <v>129</v>
      </c>
      <c r="F13" s="60" t="s">
        <v>130</v>
      </c>
      <c r="G13" s="60">
        <v>1</v>
      </c>
      <c r="H13" s="60" t="s">
        <v>103</v>
      </c>
      <c r="I13" s="61" t="s">
        <v>104</v>
      </c>
      <c r="J13" s="61" t="s">
        <v>179</v>
      </c>
      <c r="K13" s="62">
        <v>45719</v>
      </c>
      <c r="L13" s="63">
        <v>250000</v>
      </c>
      <c r="M13" s="60" t="s">
        <v>133</v>
      </c>
      <c r="N13" s="60" t="s">
        <v>105</v>
      </c>
      <c r="O13" s="60" t="s">
        <v>106</v>
      </c>
      <c r="P13" s="60" t="s">
        <v>37</v>
      </c>
      <c r="Q13" s="61">
        <v>33283</v>
      </c>
      <c r="R13" s="60" t="s">
        <v>107</v>
      </c>
      <c r="S13" s="64" t="s">
        <v>131</v>
      </c>
      <c r="T13" s="64">
        <v>3006761451</v>
      </c>
      <c r="U13" s="60" t="s">
        <v>132</v>
      </c>
      <c r="V13" s="65" t="str">
        <f>IF(P13=CURSOS!$D$3,"DIPLOMADO EN ATENCION PRE-HOSPITALARIA",IF(P13=CURSOS!$D$4,"ACOMPAÑAMIENTO Y MANEJO DEL DUELO",IF(P13=CURSOS!$D$5,"ATENCION A VICTIMAS DE ATAQUE CON AGENTES QUIMICOS ",IF(P13=CURSOS!$D$6,"PRIMEROS AUXILIOS ",IF(P13=CURSOS!$D$7,"DIPLOMADO DE UNIDAD DE CUIDADOS INTENSIVOS (UCI)",IF(P13=CURSOS!$D$8,"MODELO DE ATENCION PARA EVENTOS EMERGENTES EN SALUD MENTAL (CODIGO VERDE)",IF(P13=CURSOS!$D$9,"HUMANIZACION EN EL SERVICIO DE LA SALUD Y BUENAS PRACTICAS EN PACIENTE ",IF(P13=CURSOS!$D$10,"CLINICA DE HERIDAS ",IF(P13=CURSOS!$D$11,"TOMA DE CITOLOGIA CERVICO VAGINAL ",IF(P13=CURSOS!$D$12,"SOPORTE CARDIOVASCULAR AVANZADO (ACLS) ",IF(P13=CURSOS!$D$13,"CAMILLERO ",IF(P13=CURSOS!$D$14,"TOMA DE MUESTRAS Y LABORATORIO ",IF(P13=CURSOS!$D$15,"SOPORTE VITAL BASICO (BLS)",IF(P13=CURSOS!$D$16,"ATENCION A VICTIMAS DE VIOLENCIA SEXUAL ",IF(P13=CURSOS!$D$17,"PROGRAMADO AMPLIADO DE INMUNIZACION (PAI - COVID 19)",IF(P13=CURSOS!$D$18,"ATENCION INTEGRAL EN ENFERMEDADES PREVALENTES EN PRIMERA INFANCIA (AIEPI)",IF(P13=CURSOS!$D$19,"ADMINISTRACION DE MEDICAMENTOS, INYECTOLOGIA  Y CANALIZACION ",IF(P13=CURSOS!$D$20,"OPERADOR DE VEHICULOS DE EMERGENCIA (OVE)",IF(P13=CURSOS!$D$21,"INSTITUCIONES AMIGAS DE LA MUJER Y LA INFANCIA (IAMI)",IF(P13=CURSOS!$D$22,"CUIDADO DEL DONANTE DE ORGANOS",IF(P13=CURSOS!$D$23,"ATENCION A VICTIMAS POR VIOLENCIA DE GENERO",IF(P13=CURSOS!$D$24,"IGUALDAD DE GENERO EN LA SALUD",IF(P13=CURSOS!$D$25,"BRIGADA DE EMERGENCIA",IF(P13=CURSOS!$D$26,"MANEJO DEL DOLOR Y CUIDADOS PALIATIVOS",IF(P13=CURSOS!$D$27,"TOMA DE MUESTRAS Y LABORATORIO POCT",IF(P13=CURSOS!$D$28,"IMPLANTE SUBDERMICO DE DISPOSITIVO INTRAUTERINO",IF(P13=CURSOS!$D$29,"SALUD MENTAL",IF(P13=CURSOS!$D$30,"PRIMEROS AUXILIOS PSICOLOGICOS",IF(P13=CURSOS!$D$31,"ATENCION A VICTIMAS POR CONFLICTO ARMADO",IF(P13=CURSOS!$D$32,"MANIPULACION DE ALIMENTOS Y BPM",IF(P13=CURSOS!$D$33,"ATENCION A PERSONAS CON DISCAPACIDAD",IF(P13=CURSOS!$D$34,"CUIDADO INTEGRAL DEL PACIENTE ADULTO",IF(P13=CURSOS!$D$35,"MANEJO DEFENSIVO",IF(P13=CURSOS!$D$36,"SOPORTE CARDIOVASCULAR AVANZADO NEONATAL",IF(P13=CURSOS!$D$37,"SEGURIDAD DEL PACIENTE",IF(P13=CURSOS!$D$38,"MANEJO DE RESIDUOS HOSPITALARIOS"))))))))))))))))))))))))))))))))))))</f>
        <v xml:space="preserve">SOPORTE CARDIOVASCULAR AVANZADO (ACLS) </v>
      </c>
      <c r="W13" s="65" t="str">
        <f t="shared" si="6"/>
        <v>Ana Catalina Delgado Ordoñez</v>
      </c>
      <c r="X13" s="65" t="str">
        <f t="shared" si="7"/>
        <v>Ana Catalina Delgado Ordoñez</v>
      </c>
      <c r="Y13" s="65" t="str">
        <f t="shared" si="8"/>
        <v>Ana Catalina Delgado Ordoñez-1085293480-ACLS</v>
      </c>
    </row>
    <row r="14" spans="1:25" s="58" customFormat="1" x14ac:dyDescent="0.2">
      <c r="A14" s="59">
        <v>13</v>
      </c>
      <c r="B14" s="60">
        <v>5205151</v>
      </c>
      <c r="C14" s="60" t="s">
        <v>134</v>
      </c>
      <c r="D14" s="60" t="s">
        <v>135</v>
      </c>
      <c r="E14" s="60" t="s">
        <v>136</v>
      </c>
      <c r="F14" s="60" t="s">
        <v>137</v>
      </c>
      <c r="G14" s="60">
        <v>1</v>
      </c>
      <c r="H14" s="60" t="s">
        <v>103</v>
      </c>
      <c r="I14" s="61" t="s">
        <v>123</v>
      </c>
      <c r="J14" s="61" t="s">
        <v>177</v>
      </c>
      <c r="K14" s="62">
        <v>45719</v>
      </c>
      <c r="L14" s="63">
        <v>20000</v>
      </c>
      <c r="M14" s="60" t="s">
        <v>156</v>
      </c>
      <c r="N14" s="60" t="s">
        <v>105</v>
      </c>
      <c r="O14" s="60" t="s">
        <v>138</v>
      </c>
      <c r="P14" s="60" t="s">
        <v>19</v>
      </c>
      <c r="Q14" s="61">
        <v>29457</v>
      </c>
      <c r="R14" s="60" t="s">
        <v>139</v>
      </c>
      <c r="S14" s="60" t="s">
        <v>117</v>
      </c>
      <c r="T14" s="64">
        <v>3128235594</v>
      </c>
      <c r="U14" s="60" t="s">
        <v>140</v>
      </c>
      <c r="V14" s="65" t="str">
        <f>IF(P14=CURSOS!$D$3,"DIPLOMADO EN ATENCION PRE-HOSPITALARIA",IF(P14=CURSOS!$D$4,"ACOMPAÑAMIENTO Y MANEJO DEL DUELO",IF(P14=CURSOS!$D$5,"ATENCION A VICTIMAS DE ATAQUE CON AGENTES QUIMICOS ",IF(P14=CURSOS!$D$6,"PRIMEROS AUXILIOS ",IF(P14=CURSOS!$D$7,"DIPLOMADO DE UNIDAD DE CUIDADOS INTENSIVOS (UCI)",IF(P14=CURSOS!$D$8,"MODELO DE ATENCION PARA EVENTOS EMERGENTES EN SALUD MENTAL (CODIGO VERDE)",IF(P14=CURSOS!$D$9,"HUMANIZACION EN EL SERVICIO DE LA SALUD Y BUENAS PRACTICAS EN PACIENTE ",IF(P14=CURSOS!$D$10,"CLINICA DE HERIDAS ",IF(P14=CURSOS!$D$11,"TOMA DE CITOLOGIA CERVICO VAGINAL ",IF(P14=CURSOS!$D$12,"SOPORTE CARDIOVASCULAR AVANZADO (ACLS) ",IF(P14=CURSOS!$D$13,"CAMILLERO ",IF(P14=CURSOS!$D$14,"TOMA DE MUESTRAS Y LABORATORIO ",IF(P14=CURSOS!$D$15,"SOPORTE VITAL BASICO (BLS)",IF(P14=CURSOS!$D$16,"ATENCION A VICTIMAS DE VIOLENCIA SEXUAL ",IF(P14=CURSOS!$D$17,"PROGRAMADO AMPLIADO DE INMUNIZACION (PAI - COVID 19)",IF(P14=CURSOS!$D$18,"ATENCION INTEGRAL EN ENFERMEDADES PREVALENTES EN PRIMERA INFANCIA (AIEPI)",IF(P14=CURSOS!$D$19,"ADMINISTRACION DE MEDICAMENTOS, INYECTOLOGIA  Y CANALIZACION ",IF(P14=CURSOS!$D$20,"OPERADOR DE VEHICULOS DE EMERGENCIA (OVE)",IF(P14=CURSOS!$D$21,"INSTITUCIONES AMIGAS DE LA MUJER Y LA INFANCIA (IAMI)",IF(P14=CURSOS!$D$22,"CUIDADO DEL DONANTE DE ORGANOS",IF(P14=CURSOS!$D$23,"ATENCION A VICTIMAS POR VIOLENCIA DE GENERO",IF(P14=CURSOS!$D$24,"IGUALDAD DE GENERO EN LA SALUD",IF(P14=CURSOS!$D$25,"BRIGADA DE EMERGENCIA",IF(P14=CURSOS!$D$26,"MANEJO DEL DOLOR Y CUIDADOS PALIATIVOS",IF(P14=CURSOS!$D$27,"TOMA DE MUESTRAS Y LABORATORIO POCT",IF(P14=CURSOS!$D$28,"IMPLANTE SUBDERMICO DE DISPOSITIVO INTRAUTERINO",IF(P14=CURSOS!$D$29,"SALUD MENTAL",IF(P14=CURSOS!$D$30,"PRIMEROS AUXILIOS PSICOLOGICOS",IF(P14=CURSOS!$D$31,"ATENCION A VICTIMAS POR CONFLICTO ARMADO",IF(P14=CURSOS!$D$32,"MANIPULACION DE ALIMENTOS Y BPM",IF(P14=CURSOS!$D$33,"ATENCION A PERSONAS CON DISCAPACIDAD",IF(P14=CURSOS!$D$34,"CUIDADO INTEGRAL DEL PACIENTE ADULTO",IF(P14=CURSOS!$D$35,"MANEJO DEFENSIVO",IF(P14=CURSOS!$D$36,"SOPORTE CARDIOVASCULAR AVANZADO NEONATAL",IF(P14=CURSOS!$D$37,"SEGURIDAD DEL PACIENTE",IF(P14=CURSOS!$D$38,"MANEJO DE RESIDUOS HOSPITALARIOS"))))))))))))))))))))))))))))))))))))</f>
        <v>SOPORTE VITAL BASICO (BLS)</v>
      </c>
      <c r="W14" s="65" t="str">
        <f t="shared" si="6"/>
        <v>Luis Olivares Pinta Lopez</v>
      </c>
      <c r="X14" s="65" t="str">
        <f t="shared" si="7"/>
        <v>Luis Olivares Pinta Lopez</v>
      </c>
      <c r="Y14" s="65" t="str">
        <f t="shared" si="8"/>
        <v>Luis Olivares Pinta Lopez-5205151-BLS</v>
      </c>
    </row>
    <row r="15" spans="1:25" s="58" customFormat="1" x14ac:dyDescent="0.2">
      <c r="A15" s="59">
        <v>14</v>
      </c>
      <c r="B15" s="60">
        <v>5205151</v>
      </c>
      <c r="C15" s="60" t="s">
        <v>134</v>
      </c>
      <c r="D15" s="60" t="s">
        <v>135</v>
      </c>
      <c r="E15" s="60" t="s">
        <v>136</v>
      </c>
      <c r="F15" s="60" t="s">
        <v>137</v>
      </c>
      <c r="G15" s="60">
        <v>3</v>
      </c>
      <c r="H15" s="60" t="s">
        <v>103</v>
      </c>
      <c r="I15" s="61" t="s">
        <v>123</v>
      </c>
      <c r="J15" s="61" t="s">
        <v>177</v>
      </c>
      <c r="K15" s="62">
        <v>45719</v>
      </c>
      <c r="L15" s="63">
        <v>20000</v>
      </c>
      <c r="M15" s="60" t="s">
        <v>156</v>
      </c>
      <c r="N15" s="60" t="s">
        <v>105</v>
      </c>
      <c r="O15" s="60" t="s">
        <v>138</v>
      </c>
      <c r="P15" s="60" t="s">
        <v>42</v>
      </c>
      <c r="Q15" s="61">
        <v>29457</v>
      </c>
      <c r="R15" s="60" t="s">
        <v>139</v>
      </c>
      <c r="S15" s="60" t="s">
        <v>117</v>
      </c>
      <c r="T15" s="64">
        <v>3128235594</v>
      </c>
      <c r="U15" s="60" t="s">
        <v>140</v>
      </c>
      <c r="V15" s="65" t="str">
        <f>IF(P15=CURSOS!$D$3,"DIPLOMADO EN ATENCION PRE-HOSPITALARIA",IF(P15=CURSOS!$D$4,"ACOMPAÑAMIENTO Y MANEJO DEL DUELO",IF(P15=CURSOS!$D$5,"ATENCION A VICTIMAS DE ATAQUE CON AGENTES QUIMICOS ",IF(P15=CURSOS!$D$6,"PRIMEROS AUXILIOS ",IF(P15=CURSOS!$D$7,"DIPLOMADO DE UNIDAD DE CUIDADOS INTENSIVOS (UCI)",IF(P15=CURSOS!$D$8,"MODELO DE ATENCION PARA EVENTOS EMERGENTES EN SALUD MENTAL (CODIGO VERDE)",IF(P15=CURSOS!$D$9,"HUMANIZACION EN EL SERVICIO DE LA SALUD Y BUENAS PRACTICAS EN PACIENTE ",IF(P15=CURSOS!$D$10,"CLINICA DE HERIDAS ",IF(P15=CURSOS!$D$11,"TOMA DE CITOLOGIA CERVICO VAGINAL ",IF(P15=CURSOS!$D$12,"SOPORTE CARDIOVASCULAR AVANZADO (ACLS) ",IF(P15=CURSOS!$D$13,"CAMILLERO ",IF(P15=CURSOS!$D$14,"TOMA DE MUESTRAS Y LABORATORIO ",IF(P15=CURSOS!$D$15,"SOPORTE VITAL BASICO (BLS)",IF(P15=CURSOS!$D$16,"ATENCION A VICTIMAS DE VIOLENCIA SEXUAL ",IF(P15=CURSOS!$D$17,"PROGRAMADO AMPLIADO DE INMUNIZACION (PAI - COVID 19)",IF(P15=CURSOS!$D$18,"ATENCION INTEGRAL EN ENFERMEDADES PREVALENTES EN PRIMERA INFANCIA (AIEPI)",IF(P15=CURSOS!$D$19,"ADMINISTRACION DE MEDICAMENTOS, INYECTOLOGIA  Y CANALIZACION ",IF(P15=CURSOS!$D$20,"OPERADOR DE VEHICULOS DE EMERGENCIA (OVE)",IF(P15=CURSOS!$D$21,"INSTITUCIONES AMIGAS DE LA MUJER Y LA INFANCIA (IAMI)",IF(P15=CURSOS!$D$22,"CUIDADO DEL DONANTE DE ORGANOS",IF(P15=CURSOS!$D$23,"ATENCION A VICTIMAS POR VIOLENCIA DE GENERO",IF(P15=CURSOS!$D$24,"IGUALDAD DE GENERO EN LA SALUD",IF(P15=CURSOS!$D$25,"BRIGADA DE EMERGENCIA",IF(P15=CURSOS!$D$26,"MANEJO DEL DOLOR Y CUIDADOS PALIATIVOS",IF(P15=CURSOS!$D$27,"TOMA DE MUESTRAS Y LABORATORIO POCT",IF(P15=CURSOS!$D$28,"IMPLANTE SUBDERMICO DE DISPOSITIVO INTRAUTERINO",IF(P15=CURSOS!$D$29,"SALUD MENTAL",IF(P15=CURSOS!$D$30,"PRIMEROS AUXILIOS PSICOLOGICOS",IF(P15=CURSOS!$D$31,"ATENCION A VICTIMAS POR CONFLICTO ARMADO",IF(P15=CURSOS!$D$32,"MANIPULACION DE ALIMENTOS Y BPM",IF(P15=CURSOS!$D$33,"ATENCION A PERSONAS CON DISCAPACIDAD",IF(P15=CURSOS!$D$34,"CUIDADO INTEGRAL DEL PACIENTE ADULTO",IF(P15=CURSOS!$D$35,"MANEJO DEFENSIVO",IF(P15=CURSOS!$D$36,"SOPORTE CARDIOVASCULAR AVANZADO NEONATAL",IF(P15=CURSOS!$D$37,"SEGURIDAD DEL PACIENTE",IF(P15=CURSOS!$D$38,"MANEJO DE RESIDUOS HOSPITALARIOS"))))))))))))))))))))))))))))))))))))</f>
        <v xml:space="preserve">ATENCION A VICTIMAS DE VIOLENCIA SEXUAL </v>
      </c>
      <c r="W15" s="65" t="str">
        <f t="shared" si="6"/>
        <v>Luis Olivares Pinta Lopez</v>
      </c>
      <c r="X15" s="65" t="str">
        <f t="shared" si="7"/>
        <v>Luis Olivares Pinta Lopez</v>
      </c>
      <c r="Y15" s="65" t="str">
        <f t="shared" si="8"/>
        <v>Luis Olivares Pinta Lopez-5205151-VIOLENCIA SEXUAL</v>
      </c>
    </row>
    <row r="16" spans="1:25" s="58" customFormat="1" x14ac:dyDescent="0.2">
      <c r="A16" s="59">
        <v>15</v>
      </c>
      <c r="B16" s="60">
        <v>5205151</v>
      </c>
      <c r="C16" s="60" t="s">
        <v>134</v>
      </c>
      <c r="D16" s="60" t="s">
        <v>135</v>
      </c>
      <c r="E16" s="60" t="s">
        <v>136</v>
      </c>
      <c r="F16" s="60" t="s">
        <v>137</v>
      </c>
      <c r="G16" s="60">
        <v>28</v>
      </c>
      <c r="H16" s="60" t="s">
        <v>124</v>
      </c>
      <c r="I16" s="61" t="s">
        <v>123</v>
      </c>
      <c r="J16" s="61" t="s">
        <v>177</v>
      </c>
      <c r="K16" s="62">
        <v>45719</v>
      </c>
      <c r="L16" s="63">
        <v>30000</v>
      </c>
      <c r="M16" s="60" t="s">
        <v>156</v>
      </c>
      <c r="N16" s="60" t="s">
        <v>105</v>
      </c>
      <c r="O16" s="60" t="s">
        <v>138</v>
      </c>
      <c r="P16" s="60" t="s">
        <v>23</v>
      </c>
      <c r="Q16" s="61">
        <v>29457</v>
      </c>
      <c r="R16" s="60" t="s">
        <v>139</v>
      </c>
      <c r="S16" s="60" t="s">
        <v>117</v>
      </c>
      <c r="T16" s="64">
        <v>3128235594</v>
      </c>
      <c r="U16" s="60" t="s">
        <v>140</v>
      </c>
      <c r="V16" s="65" t="str">
        <f>IF(P16=CURSOS!$D$3,"DIPLOMADO EN ATENCION PRE-HOSPITALARIA",IF(P16=CURSOS!$D$4,"ACOMPAÑAMIENTO Y MANEJO DEL DUELO",IF(P16=CURSOS!$D$5,"ATENCION A VICTIMAS DE ATAQUE CON AGENTES QUIMICOS ",IF(P16=CURSOS!$D$6,"PRIMEROS AUXILIOS ",IF(P16=CURSOS!$D$7,"DIPLOMADO DE UNIDAD DE CUIDADOS INTENSIVOS (UCI)",IF(P16=CURSOS!$D$8,"MODELO DE ATENCION PARA EVENTOS EMERGENTES EN SALUD MENTAL (CODIGO VERDE)",IF(P16=CURSOS!$D$9,"HUMANIZACION EN EL SERVICIO DE LA SALUD Y BUENAS PRACTICAS EN PACIENTE ",IF(P16=CURSOS!$D$10,"CLINICA DE HERIDAS ",IF(P16=CURSOS!$D$11,"TOMA DE CITOLOGIA CERVICO VAGINAL ",IF(P16=CURSOS!$D$12,"SOPORTE CARDIOVASCULAR AVANZADO (ACLS) ",IF(P16=CURSOS!$D$13,"CAMILLERO ",IF(P16=CURSOS!$D$14,"TOMA DE MUESTRAS Y LABORATORIO ",IF(P16=CURSOS!$D$15,"SOPORTE VITAL BASICO (BLS)",IF(P16=CURSOS!$D$16,"ATENCION A VICTIMAS DE VIOLENCIA SEXUAL ",IF(P16=CURSOS!$D$17,"PROGRAMADO AMPLIADO DE INMUNIZACION (PAI - COVID 19)",IF(P16=CURSOS!$D$18,"ATENCION INTEGRAL EN ENFERMEDADES PREVALENTES EN PRIMERA INFANCIA (AIEPI)",IF(P16=CURSOS!$D$19,"ADMINISTRACION DE MEDICAMENTOS, INYECTOLOGIA  Y CANALIZACION ",IF(P16=CURSOS!$D$20,"OPERADOR DE VEHICULOS DE EMERGENCIA (OVE)",IF(P16=CURSOS!$D$21,"INSTITUCIONES AMIGAS DE LA MUJER Y LA INFANCIA (IAMI)",IF(P16=CURSOS!$D$22,"CUIDADO DEL DONANTE DE ORGANOS",IF(P16=CURSOS!$D$23,"ATENCION A VICTIMAS POR VIOLENCIA DE GENERO",IF(P16=CURSOS!$D$24,"IGUALDAD DE GENERO EN LA SALUD",IF(P16=CURSOS!$D$25,"BRIGADA DE EMERGENCIA",IF(P16=CURSOS!$D$26,"MANEJO DEL DOLOR Y CUIDADOS PALIATIVOS",IF(P16=CURSOS!$D$27,"TOMA DE MUESTRAS Y LABORATORIO POCT",IF(P16=CURSOS!$D$28,"IMPLANTE SUBDERMICO DE DISPOSITIVO INTRAUTERINO",IF(P16=CURSOS!$D$29,"SALUD MENTAL",IF(P16=CURSOS!$D$30,"PRIMEROS AUXILIOS PSICOLOGICOS",IF(P16=CURSOS!$D$31,"ATENCION A VICTIMAS POR CONFLICTO ARMADO",IF(P16=CURSOS!$D$32,"MANIPULACION DE ALIMENTOS Y BPM",IF(P16=CURSOS!$D$33,"ATENCION A PERSONAS CON DISCAPACIDAD",IF(P16=CURSOS!$D$34,"CUIDADO INTEGRAL DEL PACIENTE ADULTO",IF(P16=CURSOS!$D$35,"MANEJO DEFENSIVO",IF(P16=CURSOS!$D$36,"SOPORTE CARDIOVASCULAR AVANZADO NEONATAL",IF(P16=CURSOS!$D$37,"SEGURIDAD DEL PACIENTE",IF(P16=CURSOS!$D$38,"MANEJO DE RESIDUOS HOSPITALARIOS"))))))))))))))))))))))))))))))))))))</f>
        <v>ACOMPAÑAMIENTO Y MANEJO DEL DUELO</v>
      </c>
      <c r="W16" s="65" t="str">
        <f t="shared" si="6"/>
        <v>Luis Olivares Pinta Lopez</v>
      </c>
      <c r="X16" s="65" t="str">
        <f t="shared" si="7"/>
        <v>Luis Olivares Pinta Lopez</v>
      </c>
      <c r="Y16" s="65" t="str">
        <f t="shared" si="8"/>
        <v>Luis Olivares Pinta Lopez-5205151-DUELO</v>
      </c>
    </row>
    <row r="17" spans="1:25" s="58" customFormat="1" x14ac:dyDescent="0.2">
      <c r="A17" s="59">
        <v>16</v>
      </c>
      <c r="B17" s="60">
        <v>5206859</v>
      </c>
      <c r="C17" s="60" t="s">
        <v>141</v>
      </c>
      <c r="D17" s="60" t="s">
        <v>142</v>
      </c>
      <c r="E17" s="60" t="s">
        <v>143</v>
      </c>
      <c r="F17" s="60" t="s">
        <v>144</v>
      </c>
      <c r="G17" s="60">
        <v>3</v>
      </c>
      <c r="H17" s="60" t="s">
        <v>103</v>
      </c>
      <c r="I17" s="61" t="s">
        <v>123</v>
      </c>
      <c r="J17" s="61" t="s">
        <v>177</v>
      </c>
      <c r="K17" s="62">
        <v>45719</v>
      </c>
      <c r="L17" s="63">
        <v>30000</v>
      </c>
      <c r="M17" s="60" t="s">
        <v>156</v>
      </c>
      <c r="N17" s="60" t="s">
        <v>105</v>
      </c>
      <c r="O17" s="60" t="s">
        <v>138</v>
      </c>
      <c r="P17" s="60" t="s">
        <v>23</v>
      </c>
      <c r="Q17" s="61">
        <v>28841</v>
      </c>
      <c r="R17" s="60" t="s">
        <v>139</v>
      </c>
      <c r="S17" s="64" t="s">
        <v>131</v>
      </c>
      <c r="T17" s="64">
        <v>3155154175</v>
      </c>
      <c r="U17" s="64" t="s">
        <v>145</v>
      </c>
      <c r="V17" s="65" t="str">
        <f>IF(P17=CURSOS!$D$3,"DIPLOMADO EN ATENCION PRE-HOSPITALARIA",IF(P17=CURSOS!$D$4,"ACOMPAÑAMIENTO Y MANEJO DEL DUELO",IF(P17=CURSOS!$D$5,"ATENCION A VICTIMAS DE ATAQUE CON AGENTES QUIMICOS ",IF(P17=CURSOS!$D$6,"PRIMEROS AUXILIOS ",IF(P17=CURSOS!$D$7,"DIPLOMADO DE UNIDAD DE CUIDADOS INTENSIVOS (UCI)",IF(P17=CURSOS!$D$8,"MODELO DE ATENCION PARA EVENTOS EMERGENTES EN SALUD MENTAL (CODIGO VERDE)",IF(P17=CURSOS!$D$9,"HUMANIZACION EN EL SERVICIO DE LA SALUD Y BUENAS PRACTICAS EN PACIENTE ",IF(P17=CURSOS!$D$10,"CLINICA DE HERIDAS ",IF(P17=CURSOS!$D$11,"TOMA DE CITOLOGIA CERVICO VAGINAL ",IF(P17=CURSOS!$D$12,"SOPORTE CARDIOVASCULAR AVANZADO (ACLS) ",IF(P17=CURSOS!$D$13,"CAMILLERO ",IF(P17=CURSOS!$D$14,"TOMA DE MUESTRAS Y LABORATORIO ",IF(P17=CURSOS!$D$15,"SOPORTE VITAL BASICO (BLS)",IF(P17=CURSOS!$D$16,"ATENCION A VICTIMAS DE VIOLENCIA SEXUAL ",IF(P17=CURSOS!$D$17,"PROGRAMADO AMPLIADO DE INMUNIZACION (PAI - COVID 19)",IF(P17=CURSOS!$D$18,"ATENCION INTEGRAL EN ENFERMEDADES PREVALENTES EN PRIMERA INFANCIA (AIEPI)",IF(P17=CURSOS!$D$19,"ADMINISTRACION DE MEDICAMENTOS, INYECTOLOGIA  Y CANALIZACION ",IF(P17=CURSOS!$D$20,"OPERADOR DE VEHICULOS DE EMERGENCIA (OVE)",IF(P17=CURSOS!$D$21,"INSTITUCIONES AMIGAS DE LA MUJER Y LA INFANCIA (IAMI)",IF(P17=CURSOS!$D$22,"CUIDADO DEL DONANTE DE ORGANOS",IF(P17=CURSOS!$D$23,"ATENCION A VICTIMAS POR VIOLENCIA DE GENERO",IF(P17=CURSOS!$D$24,"IGUALDAD DE GENERO EN LA SALUD",IF(P17=CURSOS!$D$25,"BRIGADA DE EMERGENCIA",IF(P17=CURSOS!$D$26,"MANEJO DEL DOLOR Y CUIDADOS PALIATIVOS",IF(P17=CURSOS!$D$27,"TOMA DE MUESTRAS Y LABORATORIO POCT",IF(P17=CURSOS!$D$28,"IMPLANTE SUBDERMICO DE DISPOSITIVO INTRAUTERINO",IF(P17=CURSOS!$D$29,"SALUD MENTAL",IF(P17=CURSOS!$D$30,"PRIMEROS AUXILIOS PSICOLOGICOS",IF(P17=CURSOS!$D$31,"ATENCION A VICTIMAS POR CONFLICTO ARMADO",IF(P17=CURSOS!$D$32,"MANIPULACION DE ALIMENTOS Y BPM",IF(P17=CURSOS!$D$33,"ATENCION A PERSONAS CON DISCAPACIDAD",IF(P17=CURSOS!$D$34,"CUIDADO INTEGRAL DEL PACIENTE ADULTO",IF(P17=CURSOS!$D$35,"MANEJO DEFENSIVO",IF(P17=CURSOS!$D$36,"SOPORTE CARDIOVASCULAR AVANZADO NEONATAL",IF(P17=CURSOS!$D$37,"SEGURIDAD DEL PACIENTE",IF(P17=CURSOS!$D$38,"MANEJO DE RESIDUOS HOSPITALARIOS"))))))))))))))))))))))))))))))))))))</f>
        <v>ACOMPAÑAMIENTO Y MANEJO DEL DUELO</v>
      </c>
      <c r="W17" s="65" t="str">
        <f t="shared" si="6"/>
        <v>Edgar Efrain Narvaez Florez</v>
      </c>
      <c r="X17" s="65" t="str">
        <f t="shared" si="7"/>
        <v>Edgar Efrain Narvaez Florez</v>
      </c>
      <c r="Y17" s="65" t="str">
        <f t="shared" si="8"/>
        <v>Edgar Efrain Narvaez Florez-5206859-DUELO</v>
      </c>
    </row>
    <row r="18" spans="1:25" s="58" customFormat="1" x14ac:dyDescent="0.2">
      <c r="A18" s="59">
        <v>17</v>
      </c>
      <c r="B18" s="60">
        <v>1085330304</v>
      </c>
      <c r="C18" s="60" t="s">
        <v>146</v>
      </c>
      <c r="D18" s="60" t="s">
        <v>135</v>
      </c>
      <c r="E18" s="60" t="s">
        <v>147</v>
      </c>
      <c r="F18" s="60" t="s">
        <v>148</v>
      </c>
      <c r="G18" s="60">
        <v>4</v>
      </c>
      <c r="H18" s="60" t="s">
        <v>103</v>
      </c>
      <c r="I18" s="61" t="s">
        <v>123</v>
      </c>
      <c r="J18" s="61" t="s">
        <v>177</v>
      </c>
      <c r="K18" s="62">
        <v>45720</v>
      </c>
      <c r="L18" s="63">
        <v>25000</v>
      </c>
      <c r="M18" s="60" t="s">
        <v>156</v>
      </c>
      <c r="N18" s="60" t="s">
        <v>105</v>
      </c>
      <c r="O18" s="60" t="s">
        <v>138</v>
      </c>
      <c r="P18" s="60" t="s">
        <v>19</v>
      </c>
      <c r="Q18" s="61">
        <v>35230</v>
      </c>
      <c r="R18" s="60" t="s">
        <v>107</v>
      </c>
      <c r="S18" s="60" t="s">
        <v>117</v>
      </c>
      <c r="T18" s="64">
        <v>3122680495</v>
      </c>
      <c r="U18" s="64" t="s">
        <v>149</v>
      </c>
      <c r="V18" s="65" t="str">
        <f>IF(P18=CURSOS!$D$3,"DIPLOMADO EN ATENCION PRE-HOSPITALARIA",IF(P18=CURSOS!$D$4,"ACOMPAÑAMIENTO Y MANEJO DEL DUELO",IF(P18=CURSOS!$D$5,"ATENCION A VICTIMAS DE ATAQUE CON AGENTES QUIMICOS ",IF(P18=CURSOS!$D$6,"PRIMEROS AUXILIOS ",IF(P18=CURSOS!$D$7,"DIPLOMADO DE UNIDAD DE CUIDADOS INTENSIVOS (UCI)",IF(P18=CURSOS!$D$8,"MODELO DE ATENCION PARA EVENTOS EMERGENTES EN SALUD MENTAL (CODIGO VERDE)",IF(P18=CURSOS!$D$9,"HUMANIZACION EN EL SERVICIO DE LA SALUD Y BUENAS PRACTICAS EN PACIENTE ",IF(P18=CURSOS!$D$10,"CLINICA DE HERIDAS ",IF(P18=CURSOS!$D$11,"TOMA DE CITOLOGIA CERVICO VAGINAL ",IF(P18=CURSOS!$D$12,"SOPORTE CARDIOVASCULAR AVANZADO (ACLS) ",IF(P18=CURSOS!$D$13,"CAMILLERO ",IF(P18=CURSOS!$D$14,"TOMA DE MUESTRAS Y LABORATORIO ",IF(P18=CURSOS!$D$15,"SOPORTE VITAL BASICO (BLS)",IF(P18=CURSOS!$D$16,"ATENCION A VICTIMAS DE VIOLENCIA SEXUAL ",IF(P18=CURSOS!$D$17,"PROGRAMADO AMPLIADO DE INMUNIZACION (PAI - COVID 19)",IF(P18=CURSOS!$D$18,"ATENCION INTEGRAL EN ENFERMEDADES PREVALENTES EN PRIMERA INFANCIA (AIEPI)",IF(P18=CURSOS!$D$19,"ADMINISTRACION DE MEDICAMENTOS, INYECTOLOGIA  Y CANALIZACION ",IF(P18=CURSOS!$D$20,"OPERADOR DE VEHICULOS DE EMERGENCIA (OVE)",IF(P18=CURSOS!$D$21,"INSTITUCIONES AMIGAS DE LA MUJER Y LA INFANCIA (IAMI)",IF(P18=CURSOS!$D$22,"CUIDADO DEL DONANTE DE ORGANOS",IF(P18=CURSOS!$D$23,"ATENCION A VICTIMAS POR VIOLENCIA DE GENERO",IF(P18=CURSOS!$D$24,"IGUALDAD DE GENERO EN LA SALUD",IF(P18=CURSOS!$D$25,"BRIGADA DE EMERGENCIA",IF(P18=CURSOS!$D$26,"MANEJO DEL DOLOR Y CUIDADOS PALIATIVOS",IF(P18=CURSOS!$D$27,"TOMA DE MUESTRAS Y LABORATORIO POCT",IF(P18=CURSOS!$D$28,"IMPLANTE SUBDERMICO DE DISPOSITIVO INTRAUTERINO",IF(P18=CURSOS!$D$29,"SALUD MENTAL",IF(P18=CURSOS!$D$30,"PRIMEROS AUXILIOS PSICOLOGICOS",IF(P18=CURSOS!$D$31,"ATENCION A VICTIMAS POR CONFLICTO ARMADO",IF(P18=CURSOS!$D$32,"MANIPULACION DE ALIMENTOS Y BPM",IF(P18=CURSOS!$D$33,"ATENCION A PERSONAS CON DISCAPACIDAD",IF(P18=CURSOS!$D$34,"CUIDADO INTEGRAL DEL PACIENTE ADULTO",IF(P18=CURSOS!$D$35,"MANEJO DEFENSIVO",IF(P18=CURSOS!$D$36,"SOPORTE CARDIOVASCULAR AVANZADO NEONATAL",IF(P18=CURSOS!$D$37,"SEGURIDAD DEL PACIENTE",IF(P18=CURSOS!$D$38,"MANEJO DE RESIDUOS HOSPITALARIOS"))))))))))))))))))))))))))))))))))))</f>
        <v>SOPORTE VITAL BASICO (BLS)</v>
      </c>
      <c r="W18" s="65" t="str">
        <f t="shared" si="6"/>
        <v>Yullith Andrea Erazo Lopez</v>
      </c>
      <c r="X18" s="65" t="str">
        <f t="shared" si="7"/>
        <v>Yullith Andrea Erazo Lopez</v>
      </c>
      <c r="Y18" s="65" t="str">
        <f t="shared" si="8"/>
        <v>Yullith Andrea Erazo Lopez-1085330304-BLS</v>
      </c>
    </row>
    <row r="19" spans="1:25" s="58" customFormat="1" x14ac:dyDescent="0.2">
      <c r="A19" s="59">
        <v>18</v>
      </c>
      <c r="B19" s="60">
        <v>1085330304</v>
      </c>
      <c r="C19" s="60" t="s">
        <v>146</v>
      </c>
      <c r="D19" s="60" t="s">
        <v>135</v>
      </c>
      <c r="E19" s="60" t="s">
        <v>147</v>
      </c>
      <c r="F19" s="60" t="s">
        <v>148</v>
      </c>
      <c r="G19" s="60">
        <v>1</v>
      </c>
      <c r="H19" s="60" t="s">
        <v>103</v>
      </c>
      <c r="I19" s="61" t="s">
        <v>123</v>
      </c>
      <c r="J19" s="61" t="s">
        <v>177</v>
      </c>
      <c r="K19" s="62">
        <v>45720</v>
      </c>
      <c r="L19" s="63">
        <v>25000</v>
      </c>
      <c r="M19" s="60" t="s">
        <v>156</v>
      </c>
      <c r="N19" s="60" t="s">
        <v>105</v>
      </c>
      <c r="O19" s="60" t="s">
        <v>138</v>
      </c>
      <c r="P19" s="60" t="s">
        <v>42</v>
      </c>
      <c r="Q19" s="61">
        <v>35230</v>
      </c>
      <c r="R19" s="60" t="s">
        <v>107</v>
      </c>
      <c r="S19" s="60" t="s">
        <v>117</v>
      </c>
      <c r="T19" s="64">
        <v>3122680495</v>
      </c>
      <c r="U19" s="64" t="s">
        <v>149</v>
      </c>
      <c r="V19" s="65" t="str">
        <f>IF(P19=CURSOS!$D$3,"DIPLOMADO EN ATENCION PRE-HOSPITALARIA",IF(P19=CURSOS!$D$4,"ACOMPAÑAMIENTO Y MANEJO DEL DUELO",IF(P19=CURSOS!$D$5,"ATENCION A VICTIMAS DE ATAQUE CON AGENTES QUIMICOS ",IF(P19=CURSOS!$D$6,"PRIMEROS AUXILIOS ",IF(P19=CURSOS!$D$7,"DIPLOMADO DE UNIDAD DE CUIDADOS INTENSIVOS (UCI)",IF(P19=CURSOS!$D$8,"MODELO DE ATENCION PARA EVENTOS EMERGENTES EN SALUD MENTAL (CODIGO VERDE)",IF(P19=CURSOS!$D$9,"HUMANIZACION EN EL SERVICIO DE LA SALUD Y BUENAS PRACTICAS EN PACIENTE ",IF(P19=CURSOS!$D$10,"CLINICA DE HERIDAS ",IF(P19=CURSOS!$D$11,"TOMA DE CITOLOGIA CERVICO VAGINAL ",IF(P19=CURSOS!$D$12,"SOPORTE CARDIOVASCULAR AVANZADO (ACLS) ",IF(P19=CURSOS!$D$13,"CAMILLERO ",IF(P19=CURSOS!$D$14,"TOMA DE MUESTRAS Y LABORATORIO ",IF(P19=CURSOS!$D$15,"SOPORTE VITAL BASICO (BLS)",IF(P19=CURSOS!$D$16,"ATENCION A VICTIMAS DE VIOLENCIA SEXUAL ",IF(P19=CURSOS!$D$17,"PROGRAMADO AMPLIADO DE INMUNIZACION (PAI - COVID 19)",IF(P19=CURSOS!$D$18,"ATENCION INTEGRAL EN ENFERMEDADES PREVALENTES EN PRIMERA INFANCIA (AIEPI)",IF(P19=CURSOS!$D$19,"ADMINISTRACION DE MEDICAMENTOS, INYECTOLOGIA  Y CANALIZACION ",IF(P19=CURSOS!$D$20,"OPERADOR DE VEHICULOS DE EMERGENCIA (OVE)",IF(P19=CURSOS!$D$21,"INSTITUCIONES AMIGAS DE LA MUJER Y LA INFANCIA (IAMI)",IF(P19=CURSOS!$D$22,"CUIDADO DEL DONANTE DE ORGANOS",IF(P19=CURSOS!$D$23,"ATENCION A VICTIMAS POR VIOLENCIA DE GENERO",IF(P19=CURSOS!$D$24,"IGUALDAD DE GENERO EN LA SALUD",IF(P19=CURSOS!$D$25,"BRIGADA DE EMERGENCIA",IF(P19=CURSOS!$D$26,"MANEJO DEL DOLOR Y CUIDADOS PALIATIVOS",IF(P19=CURSOS!$D$27,"TOMA DE MUESTRAS Y LABORATORIO POCT",IF(P19=CURSOS!$D$28,"IMPLANTE SUBDERMICO DE DISPOSITIVO INTRAUTERINO",IF(P19=CURSOS!$D$29,"SALUD MENTAL",IF(P19=CURSOS!$D$30,"PRIMEROS AUXILIOS PSICOLOGICOS",IF(P19=CURSOS!$D$31,"ATENCION A VICTIMAS POR CONFLICTO ARMADO",IF(P19=CURSOS!$D$32,"MANIPULACION DE ALIMENTOS Y BPM",IF(P19=CURSOS!$D$33,"ATENCION A PERSONAS CON DISCAPACIDAD",IF(P19=CURSOS!$D$34,"CUIDADO INTEGRAL DEL PACIENTE ADULTO",IF(P19=CURSOS!$D$35,"MANEJO DEFENSIVO",IF(P19=CURSOS!$D$36,"SOPORTE CARDIOVASCULAR AVANZADO NEONATAL",IF(P19=CURSOS!$D$37,"SEGURIDAD DEL PACIENTE",IF(P19=CURSOS!$D$38,"MANEJO DE RESIDUOS HOSPITALARIOS"))))))))))))))))))))))))))))))))))))</f>
        <v xml:space="preserve">ATENCION A VICTIMAS DE VIOLENCIA SEXUAL </v>
      </c>
      <c r="W19" s="65" t="str">
        <f t="shared" si="6"/>
        <v>Yullith Andrea Erazo Lopez</v>
      </c>
      <c r="X19" s="65" t="str">
        <f t="shared" si="7"/>
        <v>Yullith Andrea Erazo Lopez</v>
      </c>
      <c r="Y19" s="65" t="str">
        <f t="shared" si="8"/>
        <v>Yullith Andrea Erazo Lopez-1085330304-VIOLENCIA SEXUAL</v>
      </c>
    </row>
    <row r="20" spans="1:25" s="58" customFormat="1" x14ac:dyDescent="0.2">
      <c r="A20" s="59">
        <v>19</v>
      </c>
      <c r="B20" s="60">
        <v>1085330304</v>
      </c>
      <c r="C20" s="60" t="s">
        <v>146</v>
      </c>
      <c r="D20" s="60" t="s">
        <v>135</v>
      </c>
      <c r="E20" s="60" t="s">
        <v>147</v>
      </c>
      <c r="F20" s="60" t="s">
        <v>148</v>
      </c>
      <c r="G20" s="60">
        <v>3</v>
      </c>
      <c r="H20" s="60" t="s">
        <v>103</v>
      </c>
      <c r="I20" s="61" t="s">
        <v>123</v>
      </c>
      <c r="J20" s="61" t="s">
        <v>177</v>
      </c>
      <c r="K20" s="62">
        <v>45720</v>
      </c>
      <c r="L20" s="63">
        <v>25000</v>
      </c>
      <c r="M20" s="60" t="s">
        <v>156</v>
      </c>
      <c r="N20" s="60" t="s">
        <v>105</v>
      </c>
      <c r="O20" s="60" t="s">
        <v>138</v>
      </c>
      <c r="P20" s="60" t="s">
        <v>23</v>
      </c>
      <c r="Q20" s="61">
        <v>35230</v>
      </c>
      <c r="R20" s="60" t="s">
        <v>107</v>
      </c>
      <c r="S20" s="60" t="s">
        <v>117</v>
      </c>
      <c r="T20" s="64">
        <v>3122680495</v>
      </c>
      <c r="U20" s="64" t="s">
        <v>149</v>
      </c>
      <c r="V20" s="65" t="str">
        <f>IF(P20=CURSOS!$D$3,"DIPLOMADO EN ATENCION PRE-HOSPITALARIA",IF(P20=CURSOS!$D$4,"ACOMPAÑAMIENTO Y MANEJO DEL DUELO",IF(P20=CURSOS!$D$5,"ATENCION A VICTIMAS DE ATAQUE CON AGENTES QUIMICOS ",IF(P20=CURSOS!$D$6,"PRIMEROS AUXILIOS ",IF(P20=CURSOS!$D$7,"DIPLOMADO DE UNIDAD DE CUIDADOS INTENSIVOS (UCI)",IF(P20=CURSOS!$D$8,"MODELO DE ATENCION PARA EVENTOS EMERGENTES EN SALUD MENTAL (CODIGO VERDE)",IF(P20=CURSOS!$D$9,"HUMANIZACION EN EL SERVICIO DE LA SALUD Y BUENAS PRACTICAS EN PACIENTE ",IF(P20=CURSOS!$D$10,"CLINICA DE HERIDAS ",IF(P20=CURSOS!$D$11,"TOMA DE CITOLOGIA CERVICO VAGINAL ",IF(P20=CURSOS!$D$12,"SOPORTE CARDIOVASCULAR AVANZADO (ACLS) ",IF(P20=CURSOS!$D$13,"CAMILLERO ",IF(P20=CURSOS!$D$14,"TOMA DE MUESTRAS Y LABORATORIO ",IF(P20=CURSOS!$D$15,"SOPORTE VITAL BASICO (BLS)",IF(P20=CURSOS!$D$16,"ATENCION A VICTIMAS DE VIOLENCIA SEXUAL ",IF(P20=CURSOS!$D$17,"PROGRAMADO AMPLIADO DE INMUNIZACION (PAI - COVID 19)",IF(P20=CURSOS!$D$18,"ATENCION INTEGRAL EN ENFERMEDADES PREVALENTES EN PRIMERA INFANCIA (AIEPI)",IF(P20=CURSOS!$D$19,"ADMINISTRACION DE MEDICAMENTOS, INYECTOLOGIA  Y CANALIZACION ",IF(P20=CURSOS!$D$20,"OPERADOR DE VEHICULOS DE EMERGENCIA (OVE)",IF(P20=CURSOS!$D$21,"INSTITUCIONES AMIGAS DE LA MUJER Y LA INFANCIA (IAMI)",IF(P20=CURSOS!$D$22,"CUIDADO DEL DONANTE DE ORGANOS",IF(P20=CURSOS!$D$23,"ATENCION A VICTIMAS POR VIOLENCIA DE GENERO",IF(P20=CURSOS!$D$24,"IGUALDAD DE GENERO EN LA SALUD",IF(P20=CURSOS!$D$25,"BRIGADA DE EMERGENCIA",IF(P20=CURSOS!$D$26,"MANEJO DEL DOLOR Y CUIDADOS PALIATIVOS",IF(P20=CURSOS!$D$27,"TOMA DE MUESTRAS Y LABORATORIO POCT",IF(P20=CURSOS!$D$28,"IMPLANTE SUBDERMICO DE DISPOSITIVO INTRAUTERINO",IF(P20=CURSOS!$D$29,"SALUD MENTAL",IF(P20=CURSOS!$D$30,"PRIMEROS AUXILIOS PSICOLOGICOS",IF(P20=CURSOS!$D$31,"ATENCION A VICTIMAS POR CONFLICTO ARMADO",IF(P20=CURSOS!$D$32,"MANIPULACION DE ALIMENTOS Y BPM",IF(P20=CURSOS!$D$33,"ATENCION A PERSONAS CON DISCAPACIDAD",IF(P20=CURSOS!$D$34,"CUIDADO INTEGRAL DEL PACIENTE ADULTO",IF(P20=CURSOS!$D$35,"MANEJO DEFENSIVO",IF(P20=CURSOS!$D$36,"SOPORTE CARDIOVASCULAR AVANZADO NEONATAL",IF(P20=CURSOS!$D$37,"SEGURIDAD DEL PACIENTE",IF(P20=CURSOS!$D$38,"MANEJO DE RESIDUOS HOSPITALARIOS"))))))))))))))))))))))))))))))))))))</f>
        <v>ACOMPAÑAMIENTO Y MANEJO DEL DUELO</v>
      </c>
      <c r="W20" s="65" t="str">
        <f t="shared" si="6"/>
        <v>Yullith Andrea Erazo Lopez</v>
      </c>
      <c r="X20" s="65" t="str">
        <f t="shared" si="7"/>
        <v>Yullith Andrea Erazo Lopez</v>
      </c>
      <c r="Y20" s="65" t="str">
        <f t="shared" si="8"/>
        <v>Yullith Andrea Erazo Lopez-1085330304-DUELO</v>
      </c>
    </row>
    <row r="21" spans="1:25" s="58" customFormat="1" x14ac:dyDescent="0.2">
      <c r="A21" s="59">
        <v>20</v>
      </c>
      <c r="B21" s="60">
        <v>1085330304</v>
      </c>
      <c r="C21" s="60" t="s">
        <v>146</v>
      </c>
      <c r="D21" s="60" t="s">
        <v>135</v>
      </c>
      <c r="E21" s="60" t="s">
        <v>147</v>
      </c>
      <c r="F21" s="60" t="s">
        <v>148</v>
      </c>
      <c r="G21" s="60">
        <v>3</v>
      </c>
      <c r="H21" s="60" t="s">
        <v>103</v>
      </c>
      <c r="I21" s="61" t="s">
        <v>123</v>
      </c>
      <c r="J21" s="61" t="s">
        <v>177</v>
      </c>
      <c r="K21" s="62">
        <v>45720</v>
      </c>
      <c r="L21" s="63">
        <v>25000</v>
      </c>
      <c r="M21" s="60" t="s">
        <v>156</v>
      </c>
      <c r="N21" s="60" t="s">
        <v>105</v>
      </c>
      <c r="O21" s="60" t="s">
        <v>138</v>
      </c>
      <c r="P21" s="60" t="s">
        <v>32</v>
      </c>
      <c r="Q21" s="61">
        <v>35230</v>
      </c>
      <c r="R21" s="60" t="s">
        <v>107</v>
      </c>
      <c r="S21" s="60" t="s">
        <v>117</v>
      </c>
      <c r="T21" s="64">
        <v>3122680495</v>
      </c>
      <c r="U21" s="64" t="s">
        <v>149</v>
      </c>
      <c r="V21" s="65" t="str">
        <f>IF(P21=CURSOS!$D$3,"DIPLOMADO EN ATENCION PRE-HOSPITALARIA",IF(P21=CURSOS!$D$4,"ACOMPAÑAMIENTO Y MANEJO DEL DUELO",IF(P21=CURSOS!$D$5,"ATENCION A VICTIMAS DE ATAQUE CON AGENTES QUIMICOS ",IF(P21=CURSOS!$D$6,"PRIMEROS AUXILIOS ",IF(P21=CURSOS!$D$7,"DIPLOMADO DE UNIDAD DE CUIDADOS INTENSIVOS (UCI)",IF(P21=CURSOS!$D$8,"MODELO DE ATENCION PARA EVENTOS EMERGENTES EN SALUD MENTAL (CODIGO VERDE)",IF(P21=CURSOS!$D$9,"HUMANIZACION EN EL SERVICIO DE LA SALUD Y BUENAS PRACTICAS EN PACIENTE ",IF(P21=CURSOS!$D$10,"CLINICA DE HERIDAS ",IF(P21=CURSOS!$D$11,"TOMA DE CITOLOGIA CERVICO VAGINAL ",IF(P21=CURSOS!$D$12,"SOPORTE CARDIOVASCULAR AVANZADO (ACLS) ",IF(P21=CURSOS!$D$13,"CAMILLERO ",IF(P21=CURSOS!$D$14,"TOMA DE MUESTRAS Y LABORATORIO ",IF(P21=CURSOS!$D$15,"SOPORTE VITAL BASICO (BLS)",IF(P21=CURSOS!$D$16,"ATENCION A VICTIMAS DE VIOLENCIA SEXUAL ",IF(P21=CURSOS!$D$17,"PROGRAMADO AMPLIADO DE INMUNIZACION (PAI - COVID 19)",IF(P21=CURSOS!$D$18,"ATENCION INTEGRAL EN ENFERMEDADES PREVALENTES EN PRIMERA INFANCIA (AIEPI)",IF(P21=CURSOS!$D$19,"ADMINISTRACION DE MEDICAMENTOS, INYECTOLOGIA  Y CANALIZACION ",IF(P21=CURSOS!$D$20,"OPERADOR DE VEHICULOS DE EMERGENCIA (OVE)",IF(P21=CURSOS!$D$21,"INSTITUCIONES AMIGAS DE LA MUJER Y LA INFANCIA (IAMI)",IF(P21=CURSOS!$D$22,"CUIDADO DEL DONANTE DE ORGANOS",IF(P21=CURSOS!$D$23,"ATENCION A VICTIMAS POR VIOLENCIA DE GENERO",IF(P21=CURSOS!$D$24,"IGUALDAD DE GENERO EN LA SALUD",IF(P21=CURSOS!$D$25,"BRIGADA DE EMERGENCIA",IF(P21=CURSOS!$D$26,"MANEJO DEL DOLOR Y CUIDADOS PALIATIVOS",IF(P21=CURSOS!$D$27,"TOMA DE MUESTRAS Y LABORATORIO POCT",IF(P21=CURSOS!$D$28,"IMPLANTE SUBDERMICO DE DISPOSITIVO INTRAUTERINO",IF(P21=CURSOS!$D$29,"SALUD MENTAL",IF(P21=CURSOS!$D$30,"PRIMEROS AUXILIOS PSICOLOGICOS",IF(P21=CURSOS!$D$31,"ATENCION A VICTIMAS POR CONFLICTO ARMADO",IF(P21=CURSOS!$D$32,"MANIPULACION DE ALIMENTOS Y BPM",IF(P21=CURSOS!$D$33,"ATENCION A PERSONAS CON DISCAPACIDAD",IF(P21=CURSOS!$D$34,"CUIDADO INTEGRAL DEL PACIENTE ADULTO",IF(P21=CURSOS!$D$35,"MANEJO DEFENSIVO",IF(P21=CURSOS!$D$36,"SOPORTE CARDIOVASCULAR AVANZADO NEONATAL",IF(P21=CURSOS!$D$37,"SEGURIDAD DEL PACIENTE",IF(P21=CURSOS!$D$38,"MANEJO DE RESIDUOS HOSPITALARIOS"))))))))))))))))))))))))))))))))))))</f>
        <v xml:space="preserve">HUMANIZACION EN EL SERVICIO DE LA SALUD Y BUENAS PRACTICAS EN PACIENTE </v>
      </c>
      <c r="W21" s="65" t="str">
        <f t="shared" si="6"/>
        <v>Yullith Andrea Erazo Lopez</v>
      </c>
      <c r="X21" s="65" t="str">
        <f t="shared" si="7"/>
        <v>Yullith Andrea Erazo Lopez</v>
      </c>
      <c r="Y21" s="65" t="str">
        <f t="shared" si="8"/>
        <v>Yullith Andrea Erazo Lopez-1085330304-HUMANIZACION</v>
      </c>
    </row>
    <row r="22" spans="1:25" s="58" customFormat="1" x14ac:dyDescent="0.2">
      <c r="A22" s="59">
        <v>21</v>
      </c>
      <c r="B22" s="60">
        <v>1085330304</v>
      </c>
      <c r="C22" s="60" t="s">
        <v>146</v>
      </c>
      <c r="D22" s="60" t="s">
        <v>135</v>
      </c>
      <c r="E22" s="60" t="s">
        <v>147</v>
      </c>
      <c r="F22" s="60" t="s">
        <v>148</v>
      </c>
      <c r="G22" s="60">
        <v>1</v>
      </c>
      <c r="H22" s="60" t="s">
        <v>103</v>
      </c>
      <c r="I22" s="61" t="s">
        <v>123</v>
      </c>
      <c r="J22" s="61" t="s">
        <v>177</v>
      </c>
      <c r="K22" s="62">
        <v>45720</v>
      </c>
      <c r="L22" s="63">
        <v>25000</v>
      </c>
      <c r="M22" s="60" t="s">
        <v>156</v>
      </c>
      <c r="N22" s="60" t="s">
        <v>105</v>
      </c>
      <c r="O22" s="60" t="s">
        <v>138</v>
      </c>
      <c r="P22" s="60" t="s">
        <v>25</v>
      </c>
      <c r="Q22" s="61">
        <v>35230</v>
      </c>
      <c r="R22" s="60" t="s">
        <v>107</v>
      </c>
      <c r="S22" s="60" t="s">
        <v>117</v>
      </c>
      <c r="T22" s="64">
        <v>3122680495</v>
      </c>
      <c r="U22" s="64" t="s">
        <v>149</v>
      </c>
      <c r="V22" s="65" t="str">
        <f>IF(P22=CURSOS!$D$3,"DIPLOMADO EN ATENCION PRE-HOSPITALARIA",IF(P22=CURSOS!$D$4,"ACOMPAÑAMIENTO Y MANEJO DEL DUELO",IF(P22=CURSOS!$D$5,"ATENCION A VICTIMAS DE ATAQUE CON AGENTES QUIMICOS ",IF(P22=CURSOS!$D$6,"PRIMEROS AUXILIOS ",IF(P22=CURSOS!$D$7,"DIPLOMADO DE UNIDAD DE CUIDADOS INTENSIVOS (UCI)",IF(P22=CURSOS!$D$8,"MODELO DE ATENCION PARA EVENTOS EMERGENTES EN SALUD MENTAL (CODIGO VERDE)",IF(P22=CURSOS!$D$9,"HUMANIZACION EN EL SERVICIO DE LA SALUD Y BUENAS PRACTICAS EN PACIENTE ",IF(P22=CURSOS!$D$10,"CLINICA DE HERIDAS ",IF(P22=CURSOS!$D$11,"TOMA DE CITOLOGIA CERVICO VAGINAL ",IF(P22=CURSOS!$D$12,"SOPORTE CARDIOVASCULAR AVANZADO (ACLS) ",IF(P22=CURSOS!$D$13,"CAMILLERO ",IF(P22=CURSOS!$D$14,"TOMA DE MUESTRAS Y LABORATORIO ",IF(P22=CURSOS!$D$15,"SOPORTE VITAL BASICO (BLS)",IF(P22=CURSOS!$D$16,"ATENCION A VICTIMAS DE VIOLENCIA SEXUAL ",IF(P22=CURSOS!$D$17,"PROGRAMADO AMPLIADO DE INMUNIZACION (PAI - COVID 19)",IF(P22=CURSOS!$D$18,"ATENCION INTEGRAL EN ENFERMEDADES PREVALENTES EN PRIMERA INFANCIA (AIEPI)",IF(P22=CURSOS!$D$19,"ADMINISTRACION DE MEDICAMENTOS, INYECTOLOGIA  Y CANALIZACION ",IF(P22=CURSOS!$D$20,"OPERADOR DE VEHICULOS DE EMERGENCIA (OVE)",IF(P22=CURSOS!$D$21,"INSTITUCIONES AMIGAS DE LA MUJER Y LA INFANCIA (IAMI)",IF(P22=CURSOS!$D$22,"CUIDADO DEL DONANTE DE ORGANOS",IF(P22=CURSOS!$D$23,"ATENCION A VICTIMAS POR VIOLENCIA DE GENERO",IF(P22=CURSOS!$D$24,"IGUALDAD DE GENERO EN LA SALUD",IF(P22=CURSOS!$D$25,"BRIGADA DE EMERGENCIA",IF(P22=CURSOS!$D$26,"MANEJO DEL DOLOR Y CUIDADOS PALIATIVOS",IF(P22=CURSOS!$D$27,"TOMA DE MUESTRAS Y LABORATORIO POCT",IF(P22=CURSOS!$D$28,"IMPLANTE SUBDERMICO DE DISPOSITIVO INTRAUTERINO",IF(P22=CURSOS!$D$29,"SALUD MENTAL",IF(P22=CURSOS!$D$30,"PRIMEROS AUXILIOS PSICOLOGICOS",IF(P22=CURSOS!$D$31,"ATENCION A VICTIMAS POR CONFLICTO ARMADO",IF(P22=CURSOS!$D$32,"MANIPULACION DE ALIMENTOS Y BPM",IF(P22=CURSOS!$D$33,"ATENCION A PERSONAS CON DISCAPACIDAD",IF(P22=CURSOS!$D$34,"CUIDADO INTEGRAL DEL PACIENTE ADULTO",IF(P22=CURSOS!$D$35,"MANEJO DEFENSIVO",IF(P22=CURSOS!$D$36,"SOPORTE CARDIOVASCULAR AVANZADO NEONATAL",IF(P22=CURSOS!$D$37,"SEGURIDAD DEL PACIENTE",IF(P22=CURSOS!$D$38,"MANEJO DE RESIDUOS HOSPITALARIOS"))))))))))))))))))))))))))))))))))))</f>
        <v xml:space="preserve">ATENCION A VICTIMAS DE ATAQUE CON AGENTES QUIMICOS </v>
      </c>
      <c r="W22" s="65" t="str">
        <f t="shared" si="6"/>
        <v>Yullith Andrea Erazo Lopez</v>
      </c>
      <c r="X22" s="65" t="str">
        <f t="shared" si="7"/>
        <v>Yullith Andrea Erazo Lopez</v>
      </c>
      <c r="Y22" s="65" t="str">
        <f t="shared" si="8"/>
        <v>Yullith Andrea Erazo Lopez-1085330304-QUIMICOS</v>
      </c>
    </row>
    <row r="23" spans="1:25" s="58" customFormat="1" x14ac:dyDescent="0.2">
      <c r="A23" s="59">
        <v>22</v>
      </c>
      <c r="B23" s="60">
        <v>1088588719</v>
      </c>
      <c r="C23" s="60" t="s">
        <v>150</v>
      </c>
      <c r="D23" s="60" t="s">
        <v>151</v>
      </c>
      <c r="E23" s="60" t="s">
        <v>152</v>
      </c>
      <c r="F23" s="60" t="s">
        <v>153</v>
      </c>
      <c r="G23" s="60">
        <v>4</v>
      </c>
      <c r="H23" s="60" t="s">
        <v>103</v>
      </c>
      <c r="I23" s="61" t="s">
        <v>104</v>
      </c>
      <c r="J23" s="61" t="s">
        <v>179</v>
      </c>
      <c r="K23" s="62">
        <v>45720</v>
      </c>
      <c r="L23" s="63">
        <v>70000</v>
      </c>
      <c r="M23" s="60" t="s">
        <v>156</v>
      </c>
      <c r="N23" s="60" t="s">
        <v>105</v>
      </c>
      <c r="O23" s="60" t="s">
        <v>106</v>
      </c>
      <c r="P23" s="60" t="s">
        <v>42</v>
      </c>
      <c r="Q23" s="61">
        <v>31429</v>
      </c>
      <c r="R23" s="60" t="s">
        <v>107</v>
      </c>
      <c r="S23" s="64" t="s">
        <v>154</v>
      </c>
      <c r="T23" s="60">
        <v>3157632652</v>
      </c>
      <c r="U23" s="60" t="s">
        <v>155</v>
      </c>
      <c r="V23" s="65" t="str">
        <f>IF(P23=CURSOS!$D$3,"DIPLOMADO EN ATENCION PRE-HOSPITALARIA",IF(P23=CURSOS!$D$4,"ACOMPAÑAMIENTO Y MANEJO DEL DUELO",IF(P23=CURSOS!$D$5,"ATENCION A VICTIMAS DE ATAQUE CON AGENTES QUIMICOS ",IF(P23=CURSOS!$D$6,"PRIMEROS AUXILIOS ",IF(P23=CURSOS!$D$7,"DIPLOMADO DE UNIDAD DE CUIDADOS INTENSIVOS (UCI)",IF(P23=CURSOS!$D$8,"MODELO DE ATENCION PARA EVENTOS EMERGENTES EN SALUD MENTAL (CODIGO VERDE)",IF(P23=CURSOS!$D$9,"HUMANIZACION EN EL SERVICIO DE LA SALUD Y BUENAS PRACTICAS EN PACIENTE ",IF(P23=CURSOS!$D$10,"CLINICA DE HERIDAS ",IF(P23=CURSOS!$D$11,"TOMA DE CITOLOGIA CERVICO VAGINAL ",IF(P23=CURSOS!$D$12,"SOPORTE CARDIOVASCULAR AVANZADO (ACLS) ",IF(P23=CURSOS!$D$13,"CAMILLERO ",IF(P23=CURSOS!$D$14,"TOMA DE MUESTRAS Y LABORATORIO ",IF(P23=CURSOS!$D$15,"SOPORTE VITAL BASICO (BLS)",IF(P23=CURSOS!$D$16,"ATENCION A VICTIMAS DE VIOLENCIA SEXUAL ",IF(P23=CURSOS!$D$17,"PROGRAMADO AMPLIADO DE INMUNIZACION (PAI - COVID 19)",IF(P23=CURSOS!$D$18,"ATENCION INTEGRAL EN ENFERMEDADES PREVALENTES EN PRIMERA INFANCIA (AIEPI)",IF(P23=CURSOS!$D$19,"ADMINISTRACION DE MEDICAMENTOS, INYECTOLOGIA  Y CANALIZACION ",IF(P23=CURSOS!$D$20,"OPERADOR DE VEHICULOS DE EMERGENCIA (OVE)",IF(P23=CURSOS!$D$21,"INSTITUCIONES AMIGAS DE LA MUJER Y LA INFANCIA (IAMI)",IF(P23=CURSOS!$D$22,"CUIDADO DEL DONANTE DE ORGANOS",IF(P23=CURSOS!$D$23,"ATENCION A VICTIMAS POR VIOLENCIA DE GENERO",IF(P23=CURSOS!$D$24,"IGUALDAD DE GENERO EN LA SALUD",IF(P23=CURSOS!$D$25,"BRIGADA DE EMERGENCIA",IF(P23=CURSOS!$D$26,"MANEJO DEL DOLOR Y CUIDADOS PALIATIVOS",IF(P23=CURSOS!$D$27,"TOMA DE MUESTRAS Y LABORATORIO POCT",IF(P23=CURSOS!$D$28,"IMPLANTE SUBDERMICO DE DISPOSITIVO INTRAUTERINO",IF(P23=CURSOS!$D$29,"SALUD MENTAL",IF(P23=CURSOS!$D$30,"PRIMEROS AUXILIOS PSICOLOGICOS",IF(P23=CURSOS!$D$31,"ATENCION A VICTIMAS POR CONFLICTO ARMADO",IF(P23=CURSOS!$D$32,"MANIPULACION DE ALIMENTOS Y BPM",IF(P23=CURSOS!$D$33,"ATENCION A PERSONAS CON DISCAPACIDAD",IF(P23=CURSOS!$D$34,"CUIDADO INTEGRAL DEL PACIENTE ADULTO",IF(P23=CURSOS!$D$35,"MANEJO DEFENSIVO",IF(P23=CURSOS!$D$36,"SOPORTE CARDIOVASCULAR AVANZADO NEONATAL",IF(P23=CURSOS!$D$37,"SEGURIDAD DEL PACIENTE",IF(P23=CURSOS!$D$38,"MANEJO DE RESIDUOS HOSPITALARIOS"))))))))))))))))))))))))))))))))))))</f>
        <v xml:space="preserve">ATENCION A VICTIMAS DE VIOLENCIA SEXUAL </v>
      </c>
      <c r="W23" s="65" t="str">
        <f t="shared" si="6"/>
        <v>Monica Liliana Rosero Vallejos</v>
      </c>
      <c r="X23" s="65" t="str">
        <f t="shared" si="7"/>
        <v>Monica Liliana Rosero Vallejos</v>
      </c>
      <c r="Y23" s="65" t="str">
        <f t="shared" si="8"/>
        <v>Monica Liliana Rosero Vallejos-1088588719-VIOLENCIA SEXUAL</v>
      </c>
    </row>
    <row r="24" spans="1:25" s="58" customFormat="1" x14ac:dyDescent="0.2">
      <c r="A24" s="59">
        <v>23</v>
      </c>
      <c r="B24" s="60">
        <v>1088588719</v>
      </c>
      <c r="C24" s="60" t="s">
        <v>150</v>
      </c>
      <c r="D24" s="60" t="s">
        <v>151</v>
      </c>
      <c r="E24" s="60" t="s">
        <v>152</v>
      </c>
      <c r="F24" s="60" t="s">
        <v>153</v>
      </c>
      <c r="G24" s="60">
        <v>3</v>
      </c>
      <c r="H24" s="60" t="s">
        <v>103</v>
      </c>
      <c r="I24" s="61" t="s">
        <v>104</v>
      </c>
      <c r="J24" s="61" t="s">
        <v>179</v>
      </c>
      <c r="K24" s="62">
        <v>45720</v>
      </c>
      <c r="L24" s="63">
        <v>70000</v>
      </c>
      <c r="M24" s="60" t="s">
        <v>156</v>
      </c>
      <c r="N24" s="60" t="s">
        <v>105</v>
      </c>
      <c r="O24" s="60" t="s">
        <v>106</v>
      </c>
      <c r="P24" s="60" t="s">
        <v>25</v>
      </c>
      <c r="Q24" s="61">
        <v>31429</v>
      </c>
      <c r="R24" s="60" t="s">
        <v>107</v>
      </c>
      <c r="S24" s="64" t="s">
        <v>154</v>
      </c>
      <c r="T24" s="60">
        <v>3157632652</v>
      </c>
      <c r="U24" s="60" t="s">
        <v>155</v>
      </c>
      <c r="V24" s="65" t="str">
        <f>IF(P24=CURSOS!$D$3,"DIPLOMADO EN ATENCION PRE-HOSPITALARIA",IF(P24=CURSOS!$D$4,"ACOMPAÑAMIENTO Y MANEJO DEL DUELO",IF(P24=CURSOS!$D$5,"ATENCION A VICTIMAS DE ATAQUE CON AGENTES QUIMICOS ",IF(P24=CURSOS!$D$6,"PRIMEROS AUXILIOS ",IF(P24=CURSOS!$D$7,"DIPLOMADO DE UNIDAD DE CUIDADOS INTENSIVOS (UCI)",IF(P24=CURSOS!$D$8,"MODELO DE ATENCION PARA EVENTOS EMERGENTES EN SALUD MENTAL (CODIGO VERDE)",IF(P24=CURSOS!$D$9,"HUMANIZACION EN EL SERVICIO DE LA SALUD Y BUENAS PRACTICAS EN PACIENTE ",IF(P24=CURSOS!$D$10,"CLINICA DE HERIDAS ",IF(P24=CURSOS!$D$11,"TOMA DE CITOLOGIA CERVICO VAGINAL ",IF(P24=CURSOS!$D$12,"SOPORTE CARDIOVASCULAR AVANZADO (ACLS) ",IF(P24=CURSOS!$D$13,"CAMILLERO ",IF(P24=CURSOS!$D$14,"TOMA DE MUESTRAS Y LABORATORIO ",IF(P24=CURSOS!$D$15,"SOPORTE VITAL BASICO (BLS)",IF(P24=CURSOS!$D$16,"ATENCION A VICTIMAS DE VIOLENCIA SEXUAL ",IF(P24=CURSOS!$D$17,"PROGRAMADO AMPLIADO DE INMUNIZACION (PAI - COVID 19)",IF(P24=CURSOS!$D$18,"ATENCION INTEGRAL EN ENFERMEDADES PREVALENTES EN PRIMERA INFANCIA (AIEPI)",IF(P24=CURSOS!$D$19,"ADMINISTRACION DE MEDICAMENTOS, INYECTOLOGIA  Y CANALIZACION ",IF(P24=CURSOS!$D$20,"OPERADOR DE VEHICULOS DE EMERGENCIA (OVE)",IF(P24=CURSOS!$D$21,"INSTITUCIONES AMIGAS DE LA MUJER Y LA INFANCIA (IAMI)",IF(P24=CURSOS!$D$22,"CUIDADO DEL DONANTE DE ORGANOS",IF(P24=CURSOS!$D$23,"ATENCION A VICTIMAS POR VIOLENCIA DE GENERO",IF(P24=CURSOS!$D$24,"IGUALDAD DE GENERO EN LA SALUD",IF(P24=CURSOS!$D$25,"BRIGADA DE EMERGENCIA",IF(P24=CURSOS!$D$26,"MANEJO DEL DOLOR Y CUIDADOS PALIATIVOS",IF(P24=CURSOS!$D$27,"TOMA DE MUESTRAS Y LABORATORIO POCT",IF(P24=CURSOS!$D$28,"IMPLANTE SUBDERMICO DE DISPOSITIVO INTRAUTERINO",IF(P24=CURSOS!$D$29,"SALUD MENTAL",IF(P24=CURSOS!$D$30,"PRIMEROS AUXILIOS PSICOLOGICOS",IF(P24=CURSOS!$D$31,"ATENCION A VICTIMAS POR CONFLICTO ARMADO",IF(P24=CURSOS!$D$32,"MANIPULACION DE ALIMENTOS Y BPM",IF(P24=CURSOS!$D$33,"ATENCION A PERSONAS CON DISCAPACIDAD",IF(P24=CURSOS!$D$34,"CUIDADO INTEGRAL DEL PACIENTE ADULTO",IF(P24=CURSOS!$D$35,"MANEJO DEFENSIVO",IF(P24=CURSOS!$D$36,"SOPORTE CARDIOVASCULAR AVANZADO NEONATAL",IF(P24=CURSOS!$D$37,"SEGURIDAD DEL PACIENTE",IF(P24=CURSOS!$D$38,"MANEJO DE RESIDUOS HOSPITALARIOS"))))))))))))))))))))))))))))))))))))</f>
        <v xml:space="preserve">ATENCION A VICTIMAS DE ATAQUE CON AGENTES QUIMICOS </v>
      </c>
      <c r="W24" s="65" t="str">
        <f t="shared" si="6"/>
        <v>Monica Liliana Rosero Vallejos</v>
      </c>
      <c r="X24" s="65" t="str">
        <f t="shared" si="7"/>
        <v>Monica Liliana Rosero Vallejos</v>
      </c>
      <c r="Y24" s="65" t="str">
        <f t="shared" si="8"/>
        <v>Monica Liliana Rosero Vallejos-1088588719-QUIMICOS</v>
      </c>
    </row>
    <row r="25" spans="1:25" s="58" customFormat="1" x14ac:dyDescent="0.2">
      <c r="A25" s="59">
        <v>24</v>
      </c>
      <c r="B25" s="60">
        <v>1088588719</v>
      </c>
      <c r="C25" s="60" t="s">
        <v>150</v>
      </c>
      <c r="D25" s="60" t="s">
        <v>151</v>
      </c>
      <c r="E25" s="60" t="s">
        <v>152</v>
      </c>
      <c r="F25" s="60" t="s">
        <v>153</v>
      </c>
      <c r="G25" s="60">
        <v>1</v>
      </c>
      <c r="H25" s="60" t="s">
        <v>103</v>
      </c>
      <c r="I25" s="61" t="s">
        <v>104</v>
      </c>
      <c r="J25" s="61" t="s">
        <v>179</v>
      </c>
      <c r="K25" s="62">
        <v>45720</v>
      </c>
      <c r="L25" s="63">
        <v>70000</v>
      </c>
      <c r="M25" s="60" t="s">
        <v>156</v>
      </c>
      <c r="N25" s="60" t="s">
        <v>105</v>
      </c>
      <c r="O25" s="60" t="s">
        <v>106</v>
      </c>
      <c r="P25" s="60" t="s">
        <v>32</v>
      </c>
      <c r="Q25" s="61">
        <v>31429</v>
      </c>
      <c r="R25" s="60" t="s">
        <v>107</v>
      </c>
      <c r="S25" s="64" t="s">
        <v>154</v>
      </c>
      <c r="T25" s="60">
        <v>3157632652</v>
      </c>
      <c r="U25" s="60" t="s">
        <v>155</v>
      </c>
      <c r="V25" s="65" t="str">
        <f>IF(P25=CURSOS!$D$3,"DIPLOMADO EN ATENCION PRE-HOSPITALARIA",IF(P25=CURSOS!$D$4,"ACOMPAÑAMIENTO Y MANEJO DEL DUELO",IF(P25=CURSOS!$D$5,"ATENCION A VICTIMAS DE ATAQUE CON AGENTES QUIMICOS ",IF(P25=CURSOS!$D$6,"PRIMEROS AUXILIOS ",IF(P25=CURSOS!$D$7,"DIPLOMADO DE UNIDAD DE CUIDADOS INTENSIVOS (UCI)",IF(P25=CURSOS!$D$8,"MODELO DE ATENCION PARA EVENTOS EMERGENTES EN SALUD MENTAL (CODIGO VERDE)",IF(P25=CURSOS!$D$9,"HUMANIZACION EN EL SERVICIO DE LA SALUD Y BUENAS PRACTICAS EN PACIENTE ",IF(P25=CURSOS!$D$10,"CLINICA DE HERIDAS ",IF(P25=CURSOS!$D$11,"TOMA DE CITOLOGIA CERVICO VAGINAL ",IF(P25=CURSOS!$D$12,"SOPORTE CARDIOVASCULAR AVANZADO (ACLS) ",IF(P25=CURSOS!$D$13,"CAMILLERO ",IF(P25=CURSOS!$D$14,"TOMA DE MUESTRAS Y LABORATORIO ",IF(P25=CURSOS!$D$15,"SOPORTE VITAL BASICO (BLS)",IF(P25=CURSOS!$D$16,"ATENCION A VICTIMAS DE VIOLENCIA SEXUAL ",IF(P25=CURSOS!$D$17,"PROGRAMADO AMPLIADO DE INMUNIZACION (PAI - COVID 19)",IF(P25=CURSOS!$D$18,"ATENCION INTEGRAL EN ENFERMEDADES PREVALENTES EN PRIMERA INFANCIA (AIEPI)",IF(P25=CURSOS!$D$19,"ADMINISTRACION DE MEDICAMENTOS, INYECTOLOGIA  Y CANALIZACION ",IF(P25=CURSOS!$D$20,"OPERADOR DE VEHICULOS DE EMERGENCIA (OVE)",IF(P25=CURSOS!$D$21,"INSTITUCIONES AMIGAS DE LA MUJER Y LA INFANCIA (IAMI)",IF(P25=CURSOS!$D$22,"CUIDADO DEL DONANTE DE ORGANOS",IF(P25=CURSOS!$D$23,"ATENCION A VICTIMAS POR VIOLENCIA DE GENERO",IF(P25=CURSOS!$D$24,"IGUALDAD DE GENERO EN LA SALUD",IF(P25=CURSOS!$D$25,"BRIGADA DE EMERGENCIA",IF(P25=CURSOS!$D$26,"MANEJO DEL DOLOR Y CUIDADOS PALIATIVOS",IF(P25=CURSOS!$D$27,"TOMA DE MUESTRAS Y LABORATORIO POCT",IF(P25=CURSOS!$D$28,"IMPLANTE SUBDERMICO DE DISPOSITIVO INTRAUTERINO",IF(P25=CURSOS!$D$29,"SALUD MENTAL",IF(P25=CURSOS!$D$30,"PRIMEROS AUXILIOS PSICOLOGICOS",IF(P25=CURSOS!$D$31,"ATENCION A VICTIMAS POR CONFLICTO ARMADO",IF(P25=CURSOS!$D$32,"MANIPULACION DE ALIMENTOS Y BPM",IF(P25=CURSOS!$D$33,"ATENCION A PERSONAS CON DISCAPACIDAD",IF(P25=CURSOS!$D$34,"CUIDADO INTEGRAL DEL PACIENTE ADULTO",IF(P25=CURSOS!$D$35,"MANEJO DEFENSIVO",IF(P25=CURSOS!$D$36,"SOPORTE CARDIOVASCULAR AVANZADO NEONATAL",IF(P25=CURSOS!$D$37,"SEGURIDAD DEL PACIENTE",IF(P25=CURSOS!$D$38,"MANEJO DE RESIDUOS HOSPITALARIOS"))))))))))))))))))))))))))))))))))))</f>
        <v xml:space="preserve">HUMANIZACION EN EL SERVICIO DE LA SALUD Y BUENAS PRACTICAS EN PACIENTE </v>
      </c>
      <c r="W25" s="65" t="str">
        <f t="shared" si="6"/>
        <v>Monica Liliana Rosero Vallejos</v>
      </c>
      <c r="X25" s="65" t="str">
        <f t="shared" si="7"/>
        <v>Monica Liliana Rosero Vallejos</v>
      </c>
      <c r="Y25" s="65" t="str">
        <f t="shared" si="8"/>
        <v>Monica Liliana Rosero Vallejos-1088588719-HUMANIZACION</v>
      </c>
    </row>
    <row r="26" spans="1:25" s="67" customFormat="1" x14ac:dyDescent="0.2">
      <c r="A26" s="66">
        <v>25</v>
      </c>
      <c r="B26" s="60">
        <v>1088588719</v>
      </c>
      <c r="C26" s="60" t="s">
        <v>150</v>
      </c>
      <c r="D26" s="60" t="s">
        <v>151</v>
      </c>
      <c r="E26" s="60" t="s">
        <v>152</v>
      </c>
      <c r="F26" s="60" t="s">
        <v>153</v>
      </c>
      <c r="G26" s="60">
        <v>6</v>
      </c>
      <c r="H26" s="60" t="s">
        <v>103</v>
      </c>
      <c r="I26" s="61" t="s">
        <v>123</v>
      </c>
      <c r="J26" s="61" t="s">
        <v>179</v>
      </c>
      <c r="K26" s="62">
        <v>45722</v>
      </c>
      <c r="L26" s="63">
        <v>35000</v>
      </c>
      <c r="M26" s="60" t="s">
        <v>156</v>
      </c>
      <c r="N26" s="60" t="s">
        <v>105</v>
      </c>
      <c r="O26" s="60" t="s">
        <v>106</v>
      </c>
      <c r="P26" s="60" t="s">
        <v>35</v>
      </c>
      <c r="Q26" s="61">
        <v>31429</v>
      </c>
      <c r="R26" s="60" t="s">
        <v>107</v>
      </c>
      <c r="S26" s="64" t="s">
        <v>154</v>
      </c>
      <c r="T26" s="60">
        <v>3157632652</v>
      </c>
      <c r="U26" s="60" t="s">
        <v>155</v>
      </c>
      <c r="V26" s="65" t="str">
        <f>IF(P26=CURSOS!$D$3,"DIPLOMADO EN ATENCION PRE-HOSPITALARIA",IF(P26=CURSOS!$D$4,"ACOMPAÑAMIENTO Y MANEJO DEL DUELO",IF(P26=CURSOS!$D$5,"ATENCION A VICTIMAS DE ATAQUE CON AGENTES QUIMICOS ",IF(P26=CURSOS!$D$6,"PRIMEROS AUXILIOS ",IF(P26=CURSOS!$D$7,"DIPLOMADO DE UNIDAD DE CUIDADOS INTENSIVOS (UCI)",IF(P26=CURSOS!$D$8,"MODELO DE ATENCION PARA EVENTOS EMERGENTES EN SALUD MENTAL (CODIGO VERDE)",IF(P26=CURSOS!$D$9,"HUMANIZACION EN EL SERVICIO DE LA SALUD Y BUENAS PRACTICAS EN PACIENTE ",IF(P26=CURSOS!$D$10,"CLINICA DE HERIDAS ",IF(P26=CURSOS!$D$11,"TOMA DE CITOLOGIA CERVICO VAGINAL ",IF(P26=CURSOS!$D$12,"SOPORTE CARDIOVASCULAR AVANZADO (ACLS) ",IF(P26=CURSOS!$D$13,"CAMILLERO ",IF(P26=CURSOS!$D$14,"TOMA DE MUESTRAS Y LABORATORIO ",IF(P26=CURSOS!$D$15,"SOPORTE VITAL BASICO (BLS)",IF(P26=CURSOS!$D$16,"ATENCION A VICTIMAS DE VIOLENCIA SEXUAL ",IF(P26=CURSOS!$D$17,"PROGRAMADO AMPLIADO DE INMUNIZACION (PAI - COVID 19)",IF(P26=CURSOS!$D$18,"ATENCION INTEGRAL EN ENFERMEDADES PREVALENTES EN PRIMERA INFANCIA (AIEPI)",IF(P26=CURSOS!$D$19,"ADMINISTRACION DE MEDICAMENTOS, INYECTOLOGIA  Y CANALIZACION ",IF(P26=CURSOS!$D$20,"OPERADOR DE VEHICULOS DE EMERGENCIA (OVE)",IF(P26=CURSOS!$D$21,"INSTITUCIONES AMIGAS DE LA MUJER Y LA INFANCIA (IAMI)",IF(P26=CURSOS!$D$22,"CUIDADO DEL DONANTE DE ORGANOS",IF(P26=CURSOS!$D$23,"ATENCION A VICTIMAS POR VIOLENCIA DE GENERO",IF(P26=CURSOS!$D$24,"IGUALDAD DE GENERO EN LA SALUD",IF(P26=CURSOS!$D$25,"BRIGADA DE EMERGENCIA",IF(P26=CURSOS!$D$26,"MANEJO DEL DOLOR Y CUIDADOS PALIATIVOS",IF(P26=CURSOS!$D$27,"TOMA DE MUESTRAS Y LABORATORIO POCT",IF(P26=CURSOS!$D$28,"IMPLANTE SUBDERMICO DE DISPOSITIVO INTRAUTERINO",IF(P26=CURSOS!$D$29,"SALUD MENTAL",IF(P26=CURSOS!$D$30,"PRIMEROS AUXILIOS PSICOLOGICOS",IF(P26=CURSOS!$D$31,"ATENCION A VICTIMAS POR CONFLICTO ARMADO",IF(P26=CURSOS!$D$32,"MANIPULACION DE ALIMENTOS Y BPM",IF(P26=CURSOS!$D$33,"ATENCION A PERSONAS CON DISCAPACIDAD",IF(P26=CURSOS!$D$34,"CUIDADO INTEGRAL DEL PACIENTE ADULTO",IF(P26=CURSOS!$D$35,"MANEJO DEFENSIVO",IF(P26=CURSOS!$D$36,"SOPORTE CARDIOVASCULAR AVANZADO NEONATAL",IF(P26=CURSOS!$D$37,"SEGURIDAD DEL PACIENTE",IF(P26=CURSOS!$D$38,"MANEJO DE RESIDUOS HOSPITALARIOS"))))))))))))))))))))))))))))))))))))</f>
        <v xml:space="preserve">TOMA DE CITOLOGIA CERVICO VAGINAL </v>
      </c>
      <c r="W26" s="65" t="str">
        <f t="shared" si="6"/>
        <v>Monica Liliana Rosero Vallejos</v>
      </c>
      <c r="X26" s="65" t="str">
        <f t="shared" si="7"/>
        <v>Monica Liliana Rosero Vallejos</v>
      </c>
      <c r="Y26" s="65" t="str">
        <f t="shared" si="8"/>
        <v>Monica Liliana Rosero Vallejos-1088588719-CITOLOGIA</v>
      </c>
    </row>
    <row r="27" spans="1:25" s="58" customFormat="1" x14ac:dyDescent="0.2">
      <c r="A27" s="59">
        <v>26</v>
      </c>
      <c r="B27" s="60">
        <v>1088588719</v>
      </c>
      <c r="C27" s="60" t="s">
        <v>150</v>
      </c>
      <c r="D27" s="60" t="s">
        <v>151</v>
      </c>
      <c r="E27" s="60" t="s">
        <v>152</v>
      </c>
      <c r="F27" s="60" t="s">
        <v>153</v>
      </c>
      <c r="G27" s="60">
        <v>5</v>
      </c>
      <c r="H27" s="60" t="s">
        <v>103</v>
      </c>
      <c r="I27" s="61" t="s">
        <v>123</v>
      </c>
      <c r="J27" s="61" t="s">
        <v>179</v>
      </c>
      <c r="K27" s="62">
        <v>45722</v>
      </c>
      <c r="L27" s="63">
        <v>35000</v>
      </c>
      <c r="M27" s="60" t="s">
        <v>156</v>
      </c>
      <c r="N27" s="60" t="s">
        <v>105</v>
      </c>
      <c r="O27" s="60" t="s">
        <v>106</v>
      </c>
      <c r="P27" s="60" t="s">
        <v>19</v>
      </c>
      <c r="Q27" s="61">
        <v>31429</v>
      </c>
      <c r="R27" s="60" t="s">
        <v>107</v>
      </c>
      <c r="S27" s="64" t="s">
        <v>154</v>
      </c>
      <c r="T27" s="60">
        <v>3157632652</v>
      </c>
      <c r="U27" s="60" t="s">
        <v>155</v>
      </c>
      <c r="V27" s="65" t="str">
        <f>IF(P27=CURSOS!$D$3,"DIPLOMADO EN ATENCION PRE-HOSPITALARIA",IF(P27=CURSOS!$D$4,"ACOMPAÑAMIENTO Y MANEJO DEL DUELO",IF(P27=CURSOS!$D$5,"ATENCION A VICTIMAS DE ATAQUE CON AGENTES QUIMICOS ",IF(P27=CURSOS!$D$6,"PRIMEROS AUXILIOS ",IF(P27=CURSOS!$D$7,"DIPLOMADO DE UNIDAD DE CUIDADOS INTENSIVOS (UCI)",IF(P27=CURSOS!$D$8,"MODELO DE ATENCION PARA EVENTOS EMERGENTES EN SALUD MENTAL (CODIGO VERDE)",IF(P27=CURSOS!$D$9,"HUMANIZACION EN EL SERVICIO DE LA SALUD Y BUENAS PRACTICAS EN PACIENTE ",IF(P27=CURSOS!$D$10,"CLINICA DE HERIDAS ",IF(P27=CURSOS!$D$11,"TOMA DE CITOLOGIA CERVICO VAGINAL ",IF(P27=CURSOS!$D$12,"SOPORTE CARDIOVASCULAR AVANZADO (ACLS) ",IF(P27=CURSOS!$D$13,"CAMILLERO ",IF(P27=CURSOS!$D$14,"TOMA DE MUESTRAS Y LABORATORIO ",IF(P27=CURSOS!$D$15,"SOPORTE VITAL BASICO (BLS)",IF(P27=CURSOS!$D$16,"ATENCION A VICTIMAS DE VIOLENCIA SEXUAL ",IF(P27=CURSOS!$D$17,"PROGRAMADO AMPLIADO DE INMUNIZACION (PAI - COVID 19)",IF(P27=CURSOS!$D$18,"ATENCION INTEGRAL EN ENFERMEDADES PREVALENTES EN PRIMERA INFANCIA (AIEPI)",IF(P27=CURSOS!$D$19,"ADMINISTRACION DE MEDICAMENTOS, INYECTOLOGIA  Y CANALIZACION ",IF(P27=CURSOS!$D$20,"OPERADOR DE VEHICULOS DE EMERGENCIA (OVE)",IF(P27=CURSOS!$D$21,"INSTITUCIONES AMIGAS DE LA MUJER Y LA INFANCIA (IAMI)",IF(P27=CURSOS!$D$22,"CUIDADO DEL DONANTE DE ORGANOS",IF(P27=CURSOS!$D$23,"ATENCION A VICTIMAS POR VIOLENCIA DE GENERO",IF(P27=CURSOS!$D$24,"IGUALDAD DE GENERO EN LA SALUD",IF(P27=CURSOS!$D$25,"BRIGADA DE EMERGENCIA",IF(P27=CURSOS!$D$26,"MANEJO DEL DOLOR Y CUIDADOS PALIATIVOS",IF(P27=CURSOS!$D$27,"TOMA DE MUESTRAS Y LABORATORIO POCT",IF(P27=CURSOS!$D$28,"IMPLANTE SUBDERMICO DE DISPOSITIVO INTRAUTERINO",IF(P27=CURSOS!$D$29,"SALUD MENTAL",IF(P27=CURSOS!$D$30,"PRIMEROS AUXILIOS PSICOLOGICOS",IF(P27=CURSOS!$D$31,"ATENCION A VICTIMAS POR CONFLICTO ARMADO",IF(P27=CURSOS!$D$32,"MANIPULACION DE ALIMENTOS Y BPM",IF(P27=CURSOS!$D$33,"ATENCION A PERSONAS CON DISCAPACIDAD",IF(P27=CURSOS!$D$34,"CUIDADO INTEGRAL DEL PACIENTE ADULTO",IF(P27=CURSOS!$D$35,"MANEJO DEFENSIVO",IF(P27=CURSOS!$D$36,"SOPORTE CARDIOVASCULAR AVANZADO NEONATAL",IF(P27=CURSOS!$D$37,"SEGURIDAD DEL PACIENTE",IF(P27=CURSOS!$D$38,"MANEJO DE RESIDUOS HOSPITALARIOS"))))))))))))))))))))))))))))))))))))</f>
        <v>SOPORTE VITAL BASICO (BLS)</v>
      </c>
      <c r="W27" s="65" t="str">
        <f t="shared" si="6"/>
        <v>Monica Liliana Rosero Vallejos</v>
      </c>
      <c r="X27" s="65" t="str">
        <f t="shared" si="7"/>
        <v>Monica Liliana Rosero Vallejos</v>
      </c>
      <c r="Y27" s="65" t="str">
        <f t="shared" si="8"/>
        <v>Monica Liliana Rosero Vallejos-1088588719-BLS</v>
      </c>
    </row>
    <row r="28" spans="1:25" s="58" customFormat="1" x14ac:dyDescent="0.2">
      <c r="A28" s="59">
        <v>27</v>
      </c>
      <c r="B28" s="60">
        <v>1085258180</v>
      </c>
      <c r="C28" s="60" t="s">
        <v>146</v>
      </c>
      <c r="D28" s="60" t="s">
        <v>173</v>
      </c>
      <c r="E28" s="60" t="s">
        <v>174</v>
      </c>
      <c r="F28" s="60" t="s">
        <v>175</v>
      </c>
      <c r="G28" s="60">
        <v>6</v>
      </c>
      <c r="H28" s="60" t="s">
        <v>103</v>
      </c>
      <c r="I28" s="61" t="s">
        <v>123</v>
      </c>
      <c r="J28" s="61" t="s">
        <v>167</v>
      </c>
      <c r="K28" s="62">
        <v>45723</v>
      </c>
      <c r="L28" s="63">
        <v>35000</v>
      </c>
      <c r="M28" s="60" t="s">
        <v>156</v>
      </c>
      <c r="N28" s="60" t="s">
        <v>105</v>
      </c>
      <c r="O28" s="60" t="s">
        <v>167</v>
      </c>
      <c r="P28" s="60" t="s">
        <v>19</v>
      </c>
      <c r="Q28" s="61">
        <v>36572</v>
      </c>
      <c r="R28" s="60" t="s">
        <v>107</v>
      </c>
      <c r="S28" s="60" t="s">
        <v>117</v>
      </c>
      <c r="T28" s="64">
        <v>3103612726</v>
      </c>
      <c r="U28" s="60" t="s">
        <v>178</v>
      </c>
      <c r="V28" s="65" t="str">
        <f>IF(P28=CURSOS!$D$3,"DIPLOMADO EN ATENCION PRE-HOSPITALARIA",IF(P28=CURSOS!$D$4,"ACOMPAÑAMIENTO Y MANEJO DEL DUELO",IF(P28=CURSOS!$D$5,"ATENCION A VICTIMAS DE ATAQUE CON AGENTES QUIMICOS ",IF(P28=CURSOS!$D$6,"PRIMEROS AUXILIOS ",IF(P28=CURSOS!$D$7,"DIPLOMADO DE UNIDAD DE CUIDADOS INTENSIVOS (UCI)",IF(P28=CURSOS!$D$8,"MODELO DE ATENCION PARA EVENTOS EMERGENTES EN SALUD MENTAL (CODIGO VERDE)",IF(P28=CURSOS!$D$9,"HUMANIZACION EN EL SERVICIO DE LA SALUD Y BUENAS PRACTICAS EN PACIENTE ",IF(P28=CURSOS!$D$10,"CLINICA DE HERIDAS ",IF(P28=CURSOS!$D$11,"TOMA DE CITOLOGIA CERVICO VAGINAL ",IF(P28=CURSOS!$D$12,"SOPORTE CARDIOVASCULAR AVANZADO (ACLS) ",IF(P28=CURSOS!$D$13,"CAMILLERO ",IF(P28=CURSOS!$D$14,"TOMA DE MUESTRAS Y LABORATORIO ",IF(P28=CURSOS!$D$15,"SOPORTE VITAL BASICO (BLS)",IF(P28=CURSOS!$D$16,"ATENCION A VICTIMAS DE VIOLENCIA SEXUAL ",IF(P28=CURSOS!$D$17,"PROGRAMADO AMPLIADO DE INMUNIZACION (PAI - COVID 19)",IF(P28=CURSOS!$D$18,"ATENCION INTEGRAL EN ENFERMEDADES PREVALENTES EN PRIMERA INFANCIA (AIEPI)",IF(P28=CURSOS!$D$19,"ADMINISTRACION DE MEDICAMENTOS, INYECTOLOGIA  Y CANALIZACION ",IF(P28=CURSOS!$D$20,"OPERADOR DE VEHICULOS DE EMERGENCIA (OVE)",IF(P28=CURSOS!$D$21,"INSTITUCIONES AMIGAS DE LA MUJER Y LA INFANCIA (IAMI)",IF(P28=CURSOS!$D$22,"CUIDADO DEL DONANTE DE ORGANOS",IF(P28=CURSOS!$D$23,"ATENCION A VICTIMAS POR VIOLENCIA DE GENERO",IF(P28=CURSOS!$D$24,"IGUALDAD DE GENERO EN LA SALUD",IF(P28=CURSOS!$D$25,"BRIGADA DE EMERGENCIA",IF(P28=CURSOS!$D$26,"MANEJO DEL DOLOR Y CUIDADOS PALIATIVOS",IF(P28=CURSOS!$D$27,"TOMA DE MUESTRAS Y LABORATORIO POCT",IF(P28=CURSOS!$D$28,"IMPLANTE SUBDERMICO DE DISPOSITIVO INTRAUTERINO",IF(P28=CURSOS!$D$29,"SALUD MENTAL",IF(P28=CURSOS!$D$30,"PRIMEROS AUXILIOS PSICOLOGICOS",IF(P28=CURSOS!$D$31,"ATENCION A VICTIMAS POR CONFLICTO ARMADO",IF(P28=CURSOS!$D$32,"MANIPULACION DE ALIMENTOS Y BPM",IF(P28=CURSOS!$D$33,"ATENCION A PERSONAS CON DISCAPACIDAD",IF(P28=CURSOS!$D$34,"CUIDADO INTEGRAL DEL PACIENTE ADULTO",IF(P28=CURSOS!$D$35,"MANEJO DEFENSIVO",IF(P28=CURSOS!$D$36,"SOPORTE CARDIOVASCULAR AVANZADO NEONATAL",IF(P28=CURSOS!$D$37,"SEGURIDAD DEL PACIENTE",IF(P28=CURSOS!$D$38,"MANEJO DE RESIDUOS HOSPITALARIOS"))))))))))))))))))))))))))))))))))))</f>
        <v>SOPORTE VITAL BASICO (BLS)</v>
      </c>
      <c r="W28" s="65" t="str">
        <f t="shared" si="6"/>
        <v>Pilar Anabel Erazo De la cruz</v>
      </c>
      <c r="X28" s="65" t="str">
        <f t="shared" si="7"/>
        <v>Pilar Anabel Erazo De La Cruz</v>
      </c>
      <c r="Y28" s="65" t="str">
        <f t="shared" si="8"/>
        <v>Pilar Anabel Erazo De la cruz-1085258180-BLS</v>
      </c>
    </row>
    <row r="29" spans="1:25" s="58" customFormat="1" x14ac:dyDescent="0.2">
      <c r="A29" s="59">
        <v>28</v>
      </c>
      <c r="B29" s="60">
        <v>36759702</v>
      </c>
      <c r="C29" s="60" t="s">
        <v>99</v>
      </c>
      <c r="D29" s="60" t="s">
        <v>180</v>
      </c>
      <c r="E29" s="60" t="s">
        <v>181</v>
      </c>
      <c r="F29" s="60" t="s">
        <v>153</v>
      </c>
      <c r="G29" s="60">
        <v>7</v>
      </c>
      <c r="H29" s="60" t="s">
        <v>103</v>
      </c>
      <c r="I29" s="61" t="s">
        <v>123</v>
      </c>
      <c r="J29" s="61" t="s">
        <v>177</v>
      </c>
      <c r="K29" s="62">
        <v>45727</v>
      </c>
      <c r="L29" s="63">
        <v>25000</v>
      </c>
      <c r="M29" s="60" t="s">
        <v>126</v>
      </c>
      <c r="N29" s="60" t="s">
        <v>105</v>
      </c>
      <c r="O29" s="60" t="s">
        <v>182</v>
      </c>
      <c r="P29" s="60" t="s">
        <v>25</v>
      </c>
      <c r="Q29" s="61">
        <v>30281</v>
      </c>
      <c r="R29" s="60" t="s">
        <v>107</v>
      </c>
      <c r="S29" s="60" t="s">
        <v>117</v>
      </c>
      <c r="T29" s="64">
        <v>3104120372</v>
      </c>
      <c r="U29" s="60" t="s">
        <v>183</v>
      </c>
      <c r="V29" s="65" t="str">
        <f>IF(P29=CURSOS!$D$3,"DIPLOMADO EN ATENCION PRE-HOSPITALARIA",IF(P29=CURSOS!$D$4,"ACOMPAÑAMIENTO Y MANEJO DEL DUELO",IF(P29=CURSOS!$D$5,"ATENCION A VICTIMAS DE ATAQUE CON AGENTES QUIMICOS ",IF(P29=CURSOS!$D$6,"PRIMEROS AUXILIOS ",IF(P29=CURSOS!$D$7,"DIPLOMADO DE UNIDAD DE CUIDADOS INTENSIVOS (UCI)",IF(P29=CURSOS!$D$8,"MODELO DE ATENCION PARA EVENTOS EMERGENTES EN SALUD MENTAL (CODIGO VERDE)",IF(P29=CURSOS!$D$9,"HUMANIZACION EN EL SERVICIO DE LA SALUD Y BUENAS PRACTICAS EN PACIENTE ",IF(P29=CURSOS!$D$10,"CLINICA DE HERIDAS ",IF(P29=CURSOS!$D$11,"TOMA DE CITOLOGIA CERVICO VAGINAL ",IF(P29=CURSOS!$D$12,"SOPORTE CARDIOVASCULAR AVANZADO (ACLS) ",IF(P29=CURSOS!$D$13,"CAMILLERO ",IF(P29=CURSOS!$D$14,"TOMA DE MUESTRAS Y LABORATORIO ",IF(P29=CURSOS!$D$15,"SOPORTE VITAL BASICO (BLS)",IF(P29=CURSOS!$D$16,"ATENCION A VICTIMAS DE VIOLENCIA SEXUAL ",IF(P29=CURSOS!$D$17,"PROGRAMADO AMPLIADO DE INMUNIZACION (PAI - COVID 19)",IF(P29=CURSOS!$D$18,"ATENCION INTEGRAL EN ENFERMEDADES PREVALENTES EN PRIMERA INFANCIA (AIEPI)",IF(P29=CURSOS!$D$19,"ADMINISTRACION DE MEDICAMENTOS, INYECTOLOGIA  Y CANALIZACION ",IF(P29=CURSOS!$D$20,"OPERADOR DE VEHICULOS DE EMERGENCIA (OVE)",IF(P29=CURSOS!$D$21,"INSTITUCIONES AMIGAS DE LA MUJER Y LA INFANCIA (IAMI)",IF(P29=CURSOS!$D$22,"CUIDADO DEL DONANTE DE ORGANOS",IF(P29=CURSOS!$D$23,"ATENCION A VICTIMAS POR VIOLENCIA DE GENERO",IF(P29=CURSOS!$D$24,"IGUALDAD DE GENERO EN LA SALUD",IF(P29=CURSOS!$D$25,"BRIGADA DE EMERGENCIA",IF(P29=CURSOS!$D$26,"MANEJO DEL DOLOR Y CUIDADOS PALIATIVOS",IF(P29=CURSOS!$D$27,"TOMA DE MUESTRAS Y LABORATORIO POCT",IF(P29=CURSOS!$D$28,"IMPLANTE SUBDERMICO DE DISPOSITIVO INTRAUTERINO",IF(P29=CURSOS!$D$29,"SALUD MENTAL",IF(P29=CURSOS!$D$30,"PRIMEROS AUXILIOS PSICOLOGICOS",IF(P29=CURSOS!$D$31,"ATENCION A VICTIMAS POR CONFLICTO ARMADO",IF(P29=CURSOS!$D$32,"MANIPULACION DE ALIMENTOS Y BPM",IF(P29=CURSOS!$D$33,"ATENCION A PERSONAS CON DISCAPACIDAD",IF(P29=CURSOS!$D$34,"CUIDADO INTEGRAL DEL PACIENTE ADULTO",IF(P29=CURSOS!$D$35,"MANEJO DEFENSIVO",IF(P29=CURSOS!$D$36,"SOPORTE CARDIOVASCULAR AVANZADO NEONATAL",IF(P29=CURSOS!$D$37,"SEGURIDAD DEL PACIENTE",IF(P29=CURSOS!$D$38,"MANEJO DE RESIDUOS HOSPITALARIOS"))))))))))))))))))))))))))))))))))))</f>
        <v xml:space="preserve">ATENCION A VICTIMAS DE ATAQUE CON AGENTES QUIMICOS </v>
      </c>
      <c r="W29" s="65" t="str">
        <f t="shared" si="6"/>
        <v>Nancy Liliana Ascuntar Pulzara</v>
      </c>
      <c r="X29" s="65" t="str">
        <f t="shared" si="7"/>
        <v>Nancy Liliana Ascuntar Pulzara</v>
      </c>
      <c r="Y29" s="65" t="str">
        <f t="shared" si="8"/>
        <v>Nancy Liliana Ascuntar Pulzara-36759702-QUIMICOS</v>
      </c>
    </row>
    <row r="30" spans="1:25" s="58" customFormat="1" x14ac:dyDescent="0.2">
      <c r="A30" s="59">
        <v>29</v>
      </c>
      <c r="B30" s="70">
        <v>1087423840</v>
      </c>
      <c r="C30" s="70" t="s">
        <v>184</v>
      </c>
      <c r="D30" s="70" t="s">
        <v>185</v>
      </c>
      <c r="E30" s="70" t="s">
        <v>152</v>
      </c>
      <c r="F30" s="70" t="s">
        <v>148</v>
      </c>
      <c r="G30" s="70">
        <v>7</v>
      </c>
      <c r="H30" s="70" t="s">
        <v>103</v>
      </c>
      <c r="I30" s="71" t="s">
        <v>123</v>
      </c>
      <c r="J30" s="71" t="s">
        <v>177</v>
      </c>
      <c r="K30" s="72"/>
      <c r="L30" s="73"/>
      <c r="M30" s="70"/>
      <c r="N30" s="70" t="s">
        <v>105</v>
      </c>
      <c r="O30" s="70" t="s">
        <v>182</v>
      </c>
      <c r="P30" s="70" t="s">
        <v>25</v>
      </c>
      <c r="Q30" s="71">
        <v>35455</v>
      </c>
      <c r="R30" s="70" t="s">
        <v>107</v>
      </c>
      <c r="S30" s="60" t="s">
        <v>117</v>
      </c>
      <c r="T30" s="75">
        <v>3147678170</v>
      </c>
      <c r="U30" s="60" t="s">
        <v>186</v>
      </c>
      <c r="V30" s="65" t="str">
        <f>IF(P30=CURSOS!$D$3,"DIPLOMADO EN ATENCION PRE-HOSPITALARIA",IF(P30=CURSOS!$D$4,"ACOMPAÑAMIENTO Y MANEJO DEL DUELO",IF(P30=CURSOS!$D$5,"ATENCION A VICTIMAS DE ATAQUE CON AGENTES QUIMICOS ",IF(P30=CURSOS!$D$6,"PRIMEROS AUXILIOS ",IF(P30=CURSOS!$D$7,"DIPLOMADO DE UNIDAD DE CUIDADOS INTENSIVOS (UCI)",IF(P30=CURSOS!$D$8,"MODELO DE ATENCION PARA EVENTOS EMERGENTES EN SALUD MENTAL (CODIGO VERDE)",IF(P30=CURSOS!$D$9,"HUMANIZACION EN EL SERVICIO DE LA SALUD Y BUENAS PRACTICAS EN PACIENTE ",IF(P30=CURSOS!$D$10,"CLINICA DE HERIDAS ",IF(P30=CURSOS!$D$11,"TOMA DE CITOLOGIA CERVICO VAGINAL ",IF(P30=CURSOS!$D$12,"SOPORTE CARDIOVASCULAR AVANZADO (ACLS) ",IF(P30=CURSOS!$D$13,"CAMILLERO ",IF(P30=CURSOS!$D$14,"TOMA DE MUESTRAS Y LABORATORIO ",IF(P30=CURSOS!$D$15,"SOPORTE VITAL BASICO (BLS)",IF(P30=CURSOS!$D$16,"ATENCION A VICTIMAS DE VIOLENCIA SEXUAL ",IF(P30=CURSOS!$D$17,"PROGRAMADO AMPLIADO DE INMUNIZACION (PAI - COVID 19)",IF(P30=CURSOS!$D$18,"ATENCION INTEGRAL EN ENFERMEDADES PREVALENTES EN PRIMERA INFANCIA (AIEPI)",IF(P30=CURSOS!$D$19,"ADMINISTRACION DE MEDICAMENTOS, INYECTOLOGIA  Y CANALIZACION ",IF(P30=CURSOS!$D$20,"OPERADOR DE VEHICULOS DE EMERGENCIA (OVE)",IF(P30=CURSOS!$D$21,"INSTITUCIONES AMIGAS DE LA MUJER Y LA INFANCIA (IAMI)",IF(P30=CURSOS!$D$22,"CUIDADO DEL DONANTE DE ORGANOS",IF(P30=CURSOS!$D$23,"ATENCION A VICTIMAS POR VIOLENCIA DE GENERO",IF(P30=CURSOS!$D$24,"IGUALDAD DE GENERO EN LA SALUD",IF(P30=CURSOS!$D$25,"BRIGADA DE EMERGENCIA",IF(P30=CURSOS!$D$26,"MANEJO DEL DOLOR Y CUIDADOS PALIATIVOS",IF(P30=CURSOS!$D$27,"TOMA DE MUESTRAS Y LABORATORIO POCT",IF(P30=CURSOS!$D$28,"IMPLANTE SUBDERMICO DE DISPOSITIVO INTRAUTERINO",IF(P30=CURSOS!$D$29,"SALUD MENTAL",IF(P30=CURSOS!$D$30,"PRIMEROS AUXILIOS PSICOLOGICOS",IF(P30=CURSOS!$D$31,"ATENCION A VICTIMAS POR CONFLICTO ARMADO",IF(P30=CURSOS!$D$32,"MANIPULACION DE ALIMENTOS Y BPM",IF(P30=CURSOS!$D$33,"ATENCION A PERSONAS CON DISCAPACIDAD",IF(P30=CURSOS!$D$34,"CUIDADO INTEGRAL DEL PACIENTE ADULTO",IF(P30=CURSOS!$D$35,"MANEJO DEFENSIVO",IF(P30=CURSOS!$D$36,"SOPORTE CARDIOVASCULAR AVANZADO NEONATAL",IF(P30=CURSOS!$D$37,"SEGURIDAD DEL PACIENTE",IF(P30=CURSOS!$D$38,"MANEJO DE RESIDUOS HOSPITALARIOS"))))))))))))))))))))))))))))))))))))</f>
        <v xml:space="preserve">ATENCION A VICTIMAS DE ATAQUE CON AGENTES QUIMICOS </v>
      </c>
      <c r="W30" s="65" t="str">
        <f t="shared" si="6"/>
        <v>Monica Andrea Mora Estrada</v>
      </c>
      <c r="X30" s="65" t="str">
        <f t="shared" si="7"/>
        <v>Monica Andrea Mora Estrada</v>
      </c>
      <c r="Y30" s="65" t="str">
        <f t="shared" si="8"/>
        <v>Monica Andrea Mora Estrada-1087423840-QUIMICOS</v>
      </c>
    </row>
    <row r="31" spans="1:25" s="74" customFormat="1" x14ac:dyDescent="0.2">
      <c r="A31" s="69">
        <v>30</v>
      </c>
      <c r="B31" s="70">
        <v>1087423840</v>
      </c>
      <c r="C31" s="70" t="s">
        <v>184</v>
      </c>
      <c r="D31" s="70" t="s">
        <v>185</v>
      </c>
      <c r="E31" s="70" t="s">
        <v>152</v>
      </c>
      <c r="F31" s="70" t="s">
        <v>148</v>
      </c>
      <c r="G31" s="70">
        <v>6</v>
      </c>
      <c r="H31" s="70" t="s">
        <v>103</v>
      </c>
      <c r="I31" s="71" t="s">
        <v>123</v>
      </c>
      <c r="J31" s="71" t="s">
        <v>177</v>
      </c>
      <c r="K31" s="72"/>
      <c r="L31" s="73"/>
      <c r="M31" s="70"/>
      <c r="N31" s="70" t="s">
        <v>105</v>
      </c>
      <c r="O31" s="70" t="s">
        <v>182</v>
      </c>
      <c r="P31" s="70" t="s">
        <v>23</v>
      </c>
      <c r="Q31" s="71">
        <v>35455</v>
      </c>
      <c r="R31" s="70" t="s">
        <v>107</v>
      </c>
      <c r="S31" s="60" t="s">
        <v>117</v>
      </c>
      <c r="T31" s="75">
        <v>3147678170</v>
      </c>
      <c r="U31" s="60" t="s">
        <v>186</v>
      </c>
      <c r="V31" s="65" t="str">
        <f>IF(P31=CURSOS!$D$3,"DIPLOMADO EN ATENCION PRE-HOSPITALARIA",IF(P31=CURSOS!$D$4,"ACOMPAÑAMIENTO Y MANEJO DEL DUELO",IF(P31=CURSOS!$D$5,"ATENCION A VICTIMAS DE ATAQUE CON AGENTES QUIMICOS ",IF(P31=CURSOS!$D$6,"PRIMEROS AUXILIOS ",IF(P31=CURSOS!$D$7,"DIPLOMADO DE UNIDAD DE CUIDADOS INTENSIVOS (UCI)",IF(P31=CURSOS!$D$8,"MODELO DE ATENCION PARA EVENTOS EMERGENTES EN SALUD MENTAL (CODIGO VERDE)",IF(P31=CURSOS!$D$9,"HUMANIZACION EN EL SERVICIO DE LA SALUD Y BUENAS PRACTICAS EN PACIENTE ",IF(P31=CURSOS!$D$10,"CLINICA DE HERIDAS ",IF(P31=CURSOS!$D$11,"TOMA DE CITOLOGIA CERVICO VAGINAL ",IF(P31=CURSOS!$D$12,"SOPORTE CARDIOVASCULAR AVANZADO (ACLS) ",IF(P31=CURSOS!$D$13,"CAMILLERO ",IF(P31=CURSOS!$D$14,"TOMA DE MUESTRAS Y LABORATORIO ",IF(P31=CURSOS!$D$15,"SOPORTE VITAL BASICO (BLS)",IF(P31=CURSOS!$D$16,"ATENCION A VICTIMAS DE VIOLENCIA SEXUAL ",IF(P31=CURSOS!$D$17,"PROGRAMADO AMPLIADO DE INMUNIZACION (PAI - COVID 19)",IF(P31=CURSOS!$D$18,"ATENCION INTEGRAL EN ENFERMEDADES PREVALENTES EN PRIMERA INFANCIA (AIEPI)",IF(P31=CURSOS!$D$19,"ADMINISTRACION DE MEDICAMENTOS, INYECTOLOGIA  Y CANALIZACION ",IF(P31=CURSOS!$D$20,"OPERADOR DE VEHICULOS DE EMERGENCIA (OVE)",IF(P31=CURSOS!$D$21,"INSTITUCIONES AMIGAS DE LA MUJER Y LA INFANCIA (IAMI)",IF(P31=CURSOS!$D$22,"CUIDADO DEL DONANTE DE ORGANOS",IF(P31=CURSOS!$D$23,"ATENCION A VICTIMAS POR VIOLENCIA DE GENERO",IF(P31=CURSOS!$D$24,"IGUALDAD DE GENERO EN LA SALUD",IF(P31=CURSOS!$D$25,"BRIGADA DE EMERGENCIA",IF(P31=CURSOS!$D$26,"MANEJO DEL DOLOR Y CUIDADOS PALIATIVOS",IF(P31=CURSOS!$D$27,"TOMA DE MUESTRAS Y LABORATORIO POCT",IF(P31=CURSOS!$D$28,"IMPLANTE SUBDERMICO DE DISPOSITIVO INTRAUTERINO",IF(P31=CURSOS!$D$29,"SALUD MENTAL",IF(P31=CURSOS!$D$30,"PRIMEROS AUXILIOS PSICOLOGICOS",IF(P31=CURSOS!$D$31,"ATENCION A VICTIMAS POR CONFLICTO ARMADO",IF(P31=CURSOS!$D$32,"MANIPULACION DE ALIMENTOS Y BPM",IF(P31=CURSOS!$D$33,"ATENCION A PERSONAS CON DISCAPACIDAD",IF(P31=CURSOS!$D$34,"CUIDADO INTEGRAL DEL PACIENTE ADULTO",IF(P31=CURSOS!$D$35,"MANEJO DEFENSIVO",IF(P31=CURSOS!$D$36,"SOPORTE CARDIOVASCULAR AVANZADO NEONATAL",IF(P31=CURSOS!$D$37,"SEGURIDAD DEL PACIENTE",IF(P31=CURSOS!$D$38,"MANEJO DE RESIDUOS HOSPITALARIOS"))))))))))))))))))))))))))))))))))))</f>
        <v>ACOMPAÑAMIENTO Y MANEJO DEL DUELO</v>
      </c>
      <c r="W31" s="65" t="str">
        <f t="shared" si="6"/>
        <v>Monica Andrea Mora Estrada</v>
      </c>
      <c r="X31" s="65" t="str">
        <f t="shared" si="7"/>
        <v>Monica Andrea Mora Estrada</v>
      </c>
      <c r="Y31" s="65" t="str">
        <f t="shared" si="8"/>
        <v>Monica Andrea Mora Estrada-1087423840-DUELO</v>
      </c>
    </row>
    <row r="32" spans="1:25" s="74" customFormat="1" x14ac:dyDescent="0.2">
      <c r="A32" s="69">
        <v>31</v>
      </c>
      <c r="B32" s="60">
        <v>1087407308</v>
      </c>
      <c r="C32" s="60" t="s">
        <v>193</v>
      </c>
      <c r="D32" s="60" t="s">
        <v>194</v>
      </c>
      <c r="E32" s="60" t="s">
        <v>195</v>
      </c>
      <c r="F32" s="60" t="s">
        <v>148</v>
      </c>
      <c r="G32" s="60">
        <v>7</v>
      </c>
      <c r="H32" s="60" t="s">
        <v>103</v>
      </c>
      <c r="I32" s="61" t="s">
        <v>123</v>
      </c>
      <c r="J32" s="61" t="s">
        <v>177</v>
      </c>
      <c r="K32" s="62">
        <v>45727</v>
      </c>
      <c r="L32" s="63">
        <v>25000</v>
      </c>
      <c r="M32" s="60" t="s">
        <v>126</v>
      </c>
      <c r="N32" s="60" t="s">
        <v>105</v>
      </c>
      <c r="O32" s="60" t="s">
        <v>182</v>
      </c>
      <c r="P32" s="60" t="s">
        <v>25</v>
      </c>
      <c r="Q32" s="61">
        <v>31498</v>
      </c>
      <c r="R32" s="60" t="s">
        <v>107</v>
      </c>
      <c r="S32" s="60" t="s">
        <v>117</v>
      </c>
      <c r="T32" s="60">
        <v>3126342302</v>
      </c>
      <c r="U32" s="60" t="s">
        <v>196</v>
      </c>
      <c r="V32" s="65" t="str">
        <f>IF(P32=CURSOS!$D$3,"DIPLOMADO EN ATENCION PRE-HOSPITALARIA",IF(P32=CURSOS!$D$4,"ACOMPAÑAMIENTO Y MANEJO DEL DUELO",IF(P32=CURSOS!$D$5,"ATENCION A VICTIMAS DE ATAQUE CON AGENTES QUIMICOS ",IF(P32=CURSOS!$D$6,"PRIMEROS AUXILIOS ",IF(P32=CURSOS!$D$7,"DIPLOMADO DE UNIDAD DE CUIDADOS INTENSIVOS (UCI)",IF(P32=CURSOS!$D$8,"MODELO DE ATENCION PARA EVENTOS EMERGENTES EN SALUD MENTAL (CODIGO VERDE)",IF(P32=CURSOS!$D$9,"HUMANIZACION EN EL SERVICIO DE LA SALUD Y BUENAS PRACTICAS EN PACIENTE ",IF(P32=CURSOS!$D$10,"CLINICA DE HERIDAS ",IF(P32=CURSOS!$D$11,"TOMA DE CITOLOGIA CERVICO VAGINAL ",IF(P32=CURSOS!$D$12,"SOPORTE CARDIOVASCULAR AVANZADO (ACLS) ",IF(P32=CURSOS!$D$13,"CAMILLERO ",IF(P32=CURSOS!$D$14,"TOMA DE MUESTRAS Y LABORATORIO ",IF(P32=CURSOS!$D$15,"SOPORTE VITAL BASICO (BLS)",IF(P32=CURSOS!$D$16,"ATENCION A VICTIMAS DE VIOLENCIA SEXUAL ",IF(P32=CURSOS!$D$17,"PROGRAMADO AMPLIADO DE INMUNIZACION (PAI - COVID 19)",IF(P32=CURSOS!$D$18,"ATENCION INTEGRAL EN ENFERMEDADES PREVALENTES EN PRIMERA INFANCIA (AIEPI)",IF(P32=CURSOS!$D$19,"ADMINISTRACION DE MEDICAMENTOS, INYECTOLOGIA  Y CANALIZACION ",IF(P32=CURSOS!$D$20,"OPERADOR DE VEHICULOS DE EMERGENCIA (OVE)",IF(P32=CURSOS!$D$21,"INSTITUCIONES AMIGAS DE LA MUJER Y LA INFANCIA (IAMI)",IF(P32=CURSOS!$D$22,"CUIDADO DEL DONANTE DE ORGANOS",IF(P32=CURSOS!$D$23,"ATENCION A VICTIMAS POR VIOLENCIA DE GENERO",IF(P32=CURSOS!$D$24,"IGUALDAD DE GENERO EN LA SALUD",IF(P32=CURSOS!$D$25,"BRIGADA DE EMERGENCIA",IF(P32=CURSOS!$D$26,"MANEJO DEL DOLOR Y CUIDADOS PALIATIVOS",IF(P32=CURSOS!$D$27,"TOMA DE MUESTRAS Y LABORATORIO POCT",IF(P32=CURSOS!$D$28,"IMPLANTE SUBDERMICO DE DISPOSITIVO INTRAUTERINO",IF(P32=CURSOS!$D$29,"SALUD MENTAL",IF(P32=CURSOS!$D$30,"PRIMEROS AUXILIOS PSICOLOGICOS",IF(P32=CURSOS!$D$31,"ATENCION A VICTIMAS POR CONFLICTO ARMADO",IF(P32=CURSOS!$D$32,"MANIPULACION DE ALIMENTOS Y BPM",IF(P32=CURSOS!$D$33,"ATENCION A PERSONAS CON DISCAPACIDAD",IF(P32=CURSOS!$D$34,"CUIDADO INTEGRAL DEL PACIENTE ADULTO",IF(P32=CURSOS!$D$35,"MANEJO DEFENSIVO",IF(P32=CURSOS!$D$36,"SOPORTE CARDIOVASCULAR AVANZADO NEONATAL",IF(P32=CURSOS!$D$37,"SEGURIDAD DEL PACIENTE",IF(P32=CURSOS!$D$38,"MANEJO DE RESIDUOS HOSPITALARIOS"))))))))))))))))))))))))))))))))))))</f>
        <v xml:space="preserve">ATENCION A VICTIMAS DE ATAQUE CON AGENTES QUIMICOS </v>
      </c>
      <c r="W32" s="65" t="str">
        <f t="shared" si="6"/>
        <v>Yenny Andrea Portillo Eraso</v>
      </c>
      <c r="X32" s="65" t="str">
        <f t="shared" si="7"/>
        <v>Yenny Andrea Portillo Eraso</v>
      </c>
      <c r="Y32" s="65" t="str">
        <f t="shared" si="8"/>
        <v>Yenny Andrea Portillo Eraso-1087407308-QUIMICOS</v>
      </c>
    </row>
    <row r="33" spans="1:25" s="58" customFormat="1" x14ac:dyDescent="0.2">
      <c r="A33" s="59">
        <v>32</v>
      </c>
      <c r="B33" s="60">
        <v>1087407308</v>
      </c>
      <c r="C33" s="60" t="s">
        <v>193</v>
      </c>
      <c r="D33" s="60" t="s">
        <v>194</v>
      </c>
      <c r="E33" s="60" t="s">
        <v>195</v>
      </c>
      <c r="F33" s="60" t="s">
        <v>148</v>
      </c>
      <c r="G33" s="60">
        <v>6</v>
      </c>
      <c r="H33" s="60" t="s">
        <v>103</v>
      </c>
      <c r="I33" s="61" t="s">
        <v>123</v>
      </c>
      <c r="J33" s="61" t="s">
        <v>177</v>
      </c>
      <c r="K33" s="62">
        <v>45727</v>
      </c>
      <c r="L33" s="63">
        <v>25000</v>
      </c>
      <c r="M33" s="60" t="s">
        <v>126</v>
      </c>
      <c r="N33" s="60" t="s">
        <v>105</v>
      </c>
      <c r="O33" s="60" t="s">
        <v>182</v>
      </c>
      <c r="P33" s="60" t="s">
        <v>40</v>
      </c>
      <c r="Q33" s="61">
        <v>31498</v>
      </c>
      <c r="R33" s="60" t="s">
        <v>107</v>
      </c>
      <c r="S33" s="60" t="s">
        <v>117</v>
      </c>
      <c r="T33" s="60">
        <v>3126342302</v>
      </c>
      <c r="U33" s="60" t="s">
        <v>196</v>
      </c>
      <c r="V33" s="65" t="str">
        <f>IF(P33=CURSOS!$D$3,"DIPLOMADO EN ATENCION PRE-HOSPITALARIA",IF(P33=CURSOS!$D$4,"ACOMPAÑAMIENTO Y MANEJO DEL DUELO",IF(P33=CURSOS!$D$5,"ATENCION A VICTIMAS DE ATAQUE CON AGENTES QUIMICOS ",IF(P33=CURSOS!$D$6,"PRIMEROS AUXILIOS ",IF(P33=CURSOS!$D$7,"DIPLOMADO DE UNIDAD DE CUIDADOS INTENSIVOS (UCI)",IF(P33=CURSOS!$D$8,"MODELO DE ATENCION PARA EVENTOS EMERGENTES EN SALUD MENTAL (CODIGO VERDE)",IF(P33=CURSOS!$D$9,"HUMANIZACION EN EL SERVICIO DE LA SALUD Y BUENAS PRACTICAS EN PACIENTE ",IF(P33=CURSOS!$D$10,"CLINICA DE HERIDAS ",IF(P33=CURSOS!$D$11,"TOMA DE CITOLOGIA CERVICO VAGINAL ",IF(P33=CURSOS!$D$12,"SOPORTE CARDIOVASCULAR AVANZADO (ACLS) ",IF(P33=CURSOS!$D$13,"CAMILLERO ",IF(P33=CURSOS!$D$14,"TOMA DE MUESTRAS Y LABORATORIO ",IF(P33=CURSOS!$D$15,"SOPORTE VITAL BASICO (BLS)",IF(P33=CURSOS!$D$16,"ATENCION A VICTIMAS DE VIOLENCIA SEXUAL ",IF(P33=CURSOS!$D$17,"PROGRAMADO AMPLIADO DE INMUNIZACION (PAI - COVID 19)",IF(P33=CURSOS!$D$18,"ATENCION INTEGRAL EN ENFERMEDADES PREVALENTES EN PRIMERA INFANCIA (AIEPI)",IF(P33=CURSOS!$D$19,"ADMINISTRACION DE MEDICAMENTOS, INYECTOLOGIA  Y CANALIZACION ",IF(P33=CURSOS!$D$20,"OPERADOR DE VEHICULOS DE EMERGENCIA (OVE)",IF(P33=CURSOS!$D$21,"INSTITUCIONES AMIGAS DE LA MUJER Y LA INFANCIA (IAMI)",IF(P33=CURSOS!$D$22,"CUIDADO DEL DONANTE DE ORGANOS",IF(P33=CURSOS!$D$23,"ATENCION A VICTIMAS POR VIOLENCIA DE GENERO",IF(P33=CURSOS!$D$24,"IGUALDAD DE GENERO EN LA SALUD",IF(P33=CURSOS!$D$25,"BRIGADA DE EMERGENCIA",IF(P33=CURSOS!$D$26,"MANEJO DEL DOLOR Y CUIDADOS PALIATIVOS",IF(P33=CURSOS!$D$27,"TOMA DE MUESTRAS Y LABORATORIO POCT",IF(P33=CURSOS!$D$28,"IMPLANTE SUBDERMICO DE DISPOSITIVO INTRAUTERINO",IF(P33=CURSOS!$D$29,"SALUD MENTAL",IF(P33=CURSOS!$D$30,"PRIMEROS AUXILIOS PSICOLOGICOS",IF(P33=CURSOS!$D$31,"ATENCION A VICTIMAS POR CONFLICTO ARMADO",IF(P33=CURSOS!$D$32,"MANIPULACION DE ALIMENTOS Y BPM",IF(P33=CURSOS!$D$33,"ATENCION A PERSONAS CON DISCAPACIDAD",IF(P33=CURSOS!$D$34,"CUIDADO INTEGRAL DEL PACIENTE ADULTO",IF(P33=CURSOS!$D$35,"MANEJO DEFENSIVO",IF(P33=CURSOS!$D$36,"SOPORTE CARDIOVASCULAR AVANZADO NEONATAL",IF(P33=CURSOS!$D$37,"SEGURIDAD DEL PACIENTE",IF(P33=CURSOS!$D$38,"MANEJO DE RESIDUOS HOSPITALARIOS"))))))))))))))))))))))))))))))))))))</f>
        <v xml:space="preserve">TOMA DE MUESTRAS Y LABORATORIO </v>
      </c>
      <c r="W33" s="65" t="str">
        <f t="shared" si="6"/>
        <v>Yenny Andrea Portillo Eraso</v>
      </c>
      <c r="X33" s="65" t="str">
        <f t="shared" si="7"/>
        <v>Yenny Andrea Portillo Eraso</v>
      </c>
      <c r="Y33" s="65" t="str">
        <f t="shared" si="8"/>
        <v>Yenny Andrea Portillo Eraso-1087407308-TOMA DE MUESTRAS</v>
      </c>
    </row>
    <row r="34" spans="1:25" s="74" customFormat="1" x14ac:dyDescent="0.2">
      <c r="A34" s="69">
        <v>33</v>
      </c>
      <c r="B34" s="60">
        <v>1085313371</v>
      </c>
      <c r="C34" s="60" t="s">
        <v>198</v>
      </c>
      <c r="D34" s="60" t="s">
        <v>199</v>
      </c>
      <c r="E34" s="60" t="s">
        <v>200</v>
      </c>
      <c r="F34" s="60" t="s">
        <v>201</v>
      </c>
      <c r="G34" s="60">
        <v>7</v>
      </c>
      <c r="H34" s="60" t="s">
        <v>103</v>
      </c>
      <c r="I34" s="61" t="s">
        <v>123</v>
      </c>
      <c r="J34" s="61" t="s">
        <v>177</v>
      </c>
      <c r="K34" s="62">
        <v>45720</v>
      </c>
      <c r="L34" s="63">
        <v>30000</v>
      </c>
      <c r="M34" s="60" t="s">
        <v>156</v>
      </c>
      <c r="N34" s="60" t="s">
        <v>105</v>
      </c>
      <c r="O34" s="60" t="s">
        <v>202</v>
      </c>
      <c r="P34" s="60" t="s">
        <v>32</v>
      </c>
      <c r="Q34" s="61"/>
      <c r="R34" s="60" t="s">
        <v>139</v>
      </c>
      <c r="S34" s="60" t="s">
        <v>117</v>
      </c>
      <c r="T34" s="60">
        <v>3166749586</v>
      </c>
      <c r="U34" s="60" t="s">
        <v>203</v>
      </c>
      <c r="V34" s="65" t="str">
        <f>IF(P34=CURSOS!$D$3,"DIPLOMADO EN ATENCION PRE-HOSPITALARIA",IF(P34=CURSOS!$D$4,"ACOMPAÑAMIENTO Y MANEJO DEL DUELO",IF(P34=CURSOS!$D$5,"ATENCION A VICTIMAS DE ATAQUE CON AGENTES QUIMICOS ",IF(P34=CURSOS!$D$6,"PRIMEROS AUXILIOS ",IF(P34=CURSOS!$D$7,"DIPLOMADO DE UNIDAD DE CUIDADOS INTENSIVOS (UCI)",IF(P34=CURSOS!$D$8,"MODELO DE ATENCION PARA EVENTOS EMERGENTES EN SALUD MENTAL (CODIGO VERDE)",IF(P34=CURSOS!$D$9,"HUMANIZACION EN EL SERVICIO DE LA SALUD Y BUENAS PRACTICAS EN PACIENTE ",IF(P34=CURSOS!$D$10,"CLINICA DE HERIDAS ",IF(P34=CURSOS!$D$11,"TOMA DE CITOLOGIA CERVICO VAGINAL ",IF(P34=CURSOS!$D$12,"SOPORTE CARDIOVASCULAR AVANZADO (ACLS) ",IF(P34=CURSOS!$D$13,"CAMILLERO ",IF(P34=CURSOS!$D$14,"TOMA DE MUESTRAS Y LABORATORIO ",IF(P34=CURSOS!$D$15,"SOPORTE VITAL BASICO (BLS)",IF(P34=CURSOS!$D$16,"ATENCION A VICTIMAS DE VIOLENCIA SEXUAL ",IF(P34=CURSOS!$D$17,"PROGRAMADO AMPLIADO DE INMUNIZACION (PAI - COVID 19)",IF(P34=CURSOS!$D$18,"ATENCION INTEGRAL EN ENFERMEDADES PREVALENTES EN PRIMERA INFANCIA (AIEPI)",IF(P34=CURSOS!$D$19,"ADMINISTRACION DE MEDICAMENTOS, INYECTOLOGIA  Y CANALIZACION ",IF(P34=CURSOS!$D$20,"OPERADOR DE VEHICULOS DE EMERGENCIA (OVE)",IF(P34=CURSOS!$D$21,"INSTITUCIONES AMIGAS DE LA MUJER Y LA INFANCIA (IAMI)",IF(P34=CURSOS!$D$22,"CUIDADO DEL DONANTE DE ORGANOS",IF(P34=CURSOS!$D$23,"ATENCION A VICTIMAS POR VIOLENCIA DE GENERO",IF(P34=CURSOS!$D$24,"IGUALDAD DE GENERO EN LA SALUD",IF(P34=CURSOS!$D$25,"BRIGADA DE EMERGENCIA",IF(P34=CURSOS!$D$26,"MANEJO DEL DOLOR Y CUIDADOS PALIATIVOS",IF(P34=CURSOS!$D$27,"TOMA DE MUESTRAS Y LABORATORIO POCT",IF(P34=CURSOS!$D$28,"IMPLANTE SUBDERMICO DE DISPOSITIVO INTRAUTERINO",IF(P34=CURSOS!$D$29,"SALUD MENTAL",IF(P34=CURSOS!$D$30,"PRIMEROS AUXILIOS PSICOLOGICOS",IF(P34=CURSOS!$D$31,"ATENCION A VICTIMAS POR CONFLICTO ARMADO",IF(P34=CURSOS!$D$32,"MANIPULACION DE ALIMENTOS Y BPM",IF(P34=CURSOS!$D$33,"ATENCION A PERSONAS CON DISCAPACIDAD",IF(P34=CURSOS!$D$34,"CUIDADO INTEGRAL DEL PACIENTE ADULTO",IF(P34=CURSOS!$D$35,"MANEJO DEFENSIVO",IF(P34=CURSOS!$D$36,"SOPORTE CARDIOVASCULAR AVANZADO NEONATAL",IF(P34=CURSOS!$D$37,"SEGURIDAD DEL PACIENTE",IF(P34=CURSOS!$D$38,"MANEJO DE RESIDUOS HOSPITALARIOS"))))))))))))))))))))))))))))))))))))</f>
        <v xml:space="preserve">HUMANIZACION EN EL SERVICIO DE LA SALUD Y BUENAS PRACTICAS EN PACIENTE </v>
      </c>
      <c r="W34" s="65" t="str">
        <f t="shared" si="6"/>
        <v>Steban Alejandro Luna Muñoz</v>
      </c>
      <c r="X34" s="65" t="str">
        <f t="shared" si="7"/>
        <v>Steban Alejandro Luna Muñoz</v>
      </c>
      <c r="Y34" s="65" t="str">
        <f t="shared" si="8"/>
        <v>Steban Alejandro Luna Muñoz-1085313371-HUMANIZACION</v>
      </c>
    </row>
    <row r="35" spans="1:25" s="58" customFormat="1" x14ac:dyDescent="0.2">
      <c r="A35" s="59">
        <v>34</v>
      </c>
      <c r="B35" s="60">
        <v>1085313371</v>
      </c>
      <c r="C35" s="60" t="s">
        <v>198</v>
      </c>
      <c r="D35" s="60" t="s">
        <v>199</v>
      </c>
      <c r="E35" s="60" t="s">
        <v>200</v>
      </c>
      <c r="F35" s="60" t="s">
        <v>201</v>
      </c>
      <c r="G35" s="60">
        <v>6</v>
      </c>
      <c r="H35" s="60" t="s">
        <v>103</v>
      </c>
      <c r="I35" s="61" t="s">
        <v>123</v>
      </c>
      <c r="J35" s="61" t="s">
        <v>177</v>
      </c>
      <c r="K35" s="62">
        <v>45720</v>
      </c>
      <c r="L35" s="63">
        <v>30000</v>
      </c>
      <c r="M35" s="60" t="s">
        <v>156</v>
      </c>
      <c r="N35" s="60" t="s">
        <v>105</v>
      </c>
      <c r="O35" s="60" t="s">
        <v>202</v>
      </c>
      <c r="P35" s="60" t="s">
        <v>42</v>
      </c>
      <c r="Q35" s="61"/>
      <c r="R35" s="60" t="s">
        <v>139</v>
      </c>
      <c r="S35" s="60" t="s">
        <v>117</v>
      </c>
      <c r="T35" s="60">
        <v>3166749586</v>
      </c>
      <c r="U35" s="60" t="s">
        <v>203</v>
      </c>
      <c r="V35" s="65" t="str">
        <f>IF(P35=CURSOS!$D$3,"DIPLOMADO EN ATENCION PRE-HOSPITALARIA",IF(P35=CURSOS!$D$4,"ACOMPAÑAMIENTO Y MANEJO DEL DUELO",IF(P35=CURSOS!$D$5,"ATENCION A VICTIMAS DE ATAQUE CON AGENTES QUIMICOS ",IF(P35=CURSOS!$D$6,"PRIMEROS AUXILIOS ",IF(P35=CURSOS!$D$7,"DIPLOMADO DE UNIDAD DE CUIDADOS INTENSIVOS (UCI)",IF(P35=CURSOS!$D$8,"MODELO DE ATENCION PARA EVENTOS EMERGENTES EN SALUD MENTAL (CODIGO VERDE)",IF(P35=CURSOS!$D$9,"HUMANIZACION EN EL SERVICIO DE LA SALUD Y BUENAS PRACTICAS EN PACIENTE ",IF(P35=CURSOS!$D$10,"CLINICA DE HERIDAS ",IF(P35=CURSOS!$D$11,"TOMA DE CITOLOGIA CERVICO VAGINAL ",IF(P35=CURSOS!$D$12,"SOPORTE CARDIOVASCULAR AVANZADO (ACLS) ",IF(P35=CURSOS!$D$13,"CAMILLERO ",IF(P35=CURSOS!$D$14,"TOMA DE MUESTRAS Y LABORATORIO ",IF(P35=CURSOS!$D$15,"SOPORTE VITAL BASICO (BLS)",IF(P35=CURSOS!$D$16,"ATENCION A VICTIMAS DE VIOLENCIA SEXUAL ",IF(P35=CURSOS!$D$17,"PROGRAMADO AMPLIADO DE INMUNIZACION (PAI - COVID 19)",IF(P35=CURSOS!$D$18,"ATENCION INTEGRAL EN ENFERMEDADES PREVALENTES EN PRIMERA INFANCIA (AIEPI)",IF(P35=CURSOS!$D$19,"ADMINISTRACION DE MEDICAMENTOS, INYECTOLOGIA  Y CANALIZACION ",IF(P35=CURSOS!$D$20,"OPERADOR DE VEHICULOS DE EMERGENCIA (OVE)",IF(P35=CURSOS!$D$21,"INSTITUCIONES AMIGAS DE LA MUJER Y LA INFANCIA (IAMI)",IF(P35=CURSOS!$D$22,"CUIDADO DEL DONANTE DE ORGANOS",IF(P35=CURSOS!$D$23,"ATENCION A VICTIMAS POR VIOLENCIA DE GENERO",IF(P35=CURSOS!$D$24,"IGUALDAD DE GENERO EN LA SALUD",IF(P35=CURSOS!$D$25,"BRIGADA DE EMERGENCIA",IF(P35=CURSOS!$D$26,"MANEJO DEL DOLOR Y CUIDADOS PALIATIVOS",IF(P35=CURSOS!$D$27,"TOMA DE MUESTRAS Y LABORATORIO POCT",IF(P35=CURSOS!$D$28,"IMPLANTE SUBDERMICO DE DISPOSITIVO INTRAUTERINO",IF(P35=CURSOS!$D$29,"SALUD MENTAL",IF(P35=CURSOS!$D$30,"PRIMEROS AUXILIOS PSICOLOGICOS",IF(P35=CURSOS!$D$31,"ATENCION A VICTIMAS POR CONFLICTO ARMADO",IF(P35=CURSOS!$D$32,"MANIPULACION DE ALIMENTOS Y BPM",IF(P35=CURSOS!$D$33,"ATENCION A PERSONAS CON DISCAPACIDAD",IF(P35=CURSOS!$D$34,"CUIDADO INTEGRAL DEL PACIENTE ADULTO",IF(P35=CURSOS!$D$35,"MANEJO DEFENSIVO",IF(P35=CURSOS!$D$36,"SOPORTE CARDIOVASCULAR AVANZADO NEONATAL",IF(P35=CURSOS!$D$37,"SEGURIDAD DEL PACIENTE",IF(P35=CURSOS!$D$38,"MANEJO DE RESIDUOS HOSPITALARIOS"))))))))))))))))))))))))))))))))))))</f>
        <v xml:space="preserve">ATENCION A VICTIMAS DE VIOLENCIA SEXUAL </v>
      </c>
      <c r="W35" s="65" t="str">
        <f t="shared" si="6"/>
        <v>Steban Alejandro Luna Muñoz</v>
      </c>
      <c r="X35" s="65" t="str">
        <f t="shared" si="7"/>
        <v>Steban Alejandro Luna Muñoz</v>
      </c>
      <c r="Y35" s="65" t="str">
        <f t="shared" si="8"/>
        <v>Steban Alejandro Luna Muñoz-1085313371-VIOLENCIA SEXUAL</v>
      </c>
    </row>
    <row r="36" spans="1:25" s="58" customFormat="1" x14ac:dyDescent="0.2">
      <c r="A36" s="59">
        <v>35</v>
      </c>
      <c r="B36" s="60">
        <v>36934650</v>
      </c>
      <c r="C36" s="60" t="s">
        <v>204</v>
      </c>
      <c r="D36" s="60" t="s">
        <v>205</v>
      </c>
      <c r="E36" s="60" t="s">
        <v>206</v>
      </c>
      <c r="F36" s="60" t="s">
        <v>207</v>
      </c>
      <c r="G36" s="60">
        <v>7</v>
      </c>
      <c r="H36" s="60" t="s">
        <v>103</v>
      </c>
      <c r="I36" s="61" t="s">
        <v>123</v>
      </c>
      <c r="J36" s="61" t="s">
        <v>177</v>
      </c>
      <c r="K36" s="62">
        <v>45727</v>
      </c>
      <c r="L36" s="63">
        <v>25000</v>
      </c>
      <c r="M36" s="60" t="s">
        <v>126</v>
      </c>
      <c r="N36" s="60" t="s">
        <v>105</v>
      </c>
      <c r="O36" s="60" t="s">
        <v>182</v>
      </c>
      <c r="P36" s="60" t="s">
        <v>25</v>
      </c>
      <c r="Q36" s="61">
        <v>24650</v>
      </c>
      <c r="R36" s="60" t="s">
        <v>107</v>
      </c>
      <c r="S36" s="60" t="s">
        <v>117</v>
      </c>
      <c r="T36" s="64"/>
      <c r="U36" s="60" t="s">
        <v>208</v>
      </c>
      <c r="V36" s="65" t="str">
        <f>IF(P36=CURSOS!$D$3,"DIPLOMADO EN ATENCION PRE-HOSPITALARIA",IF(P36=CURSOS!$D$4,"ACOMPAÑAMIENTO Y MANEJO DEL DUELO",IF(P36=CURSOS!$D$5,"ATENCION A VICTIMAS DE ATAQUE CON AGENTES QUIMICOS ",IF(P36=CURSOS!$D$6,"PRIMEROS AUXILIOS ",IF(P36=CURSOS!$D$7,"DIPLOMADO DE UNIDAD DE CUIDADOS INTENSIVOS (UCI)",IF(P36=CURSOS!$D$8,"MODELO DE ATENCION PARA EVENTOS EMERGENTES EN SALUD MENTAL (CODIGO VERDE)",IF(P36=CURSOS!$D$9,"HUMANIZACION EN EL SERVICIO DE LA SALUD Y BUENAS PRACTICAS EN PACIENTE ",IF(P36=CURSOS!$D$10,"CLINICA DE HERIDAS ",IF(P36=CURSOS!$D$11,"TOMA DE CITOLOGIA CERVICO VAGINAL ",IF(P36=CURSOS!$D$12,"SOPORTE CARDIOVASCULAR AVANZADO (ACLS) ",IF(P36=CURSOS!$D$13,"CAMILLERO ",IF(P36=CURSOS!$D$14,"TOMA DE MUESTRAS Y LABORATORIO ",IF(P36=CURSOS!$D$15,"SOPORTE VITAL BASICO (BLS)",IF(P36=CURSOS!$D$16,"ATENCION A VICTIMAS DE VIOLENCIA SEXUAL ",IF(P36=CURSOS!$D$17,"PROGRAMADO AMPLIADO DE INMUNIZACION (PAI - COVID 19)",IF(P36=CURSOS!$D$18,"ATENCION INTEGRAL EN ENFERMEDADES PREVALENTES EN PRIMERA INFANCIA (AIEPI)",IF(P36=CURSOS!$D$19,"ADMINISTRACION DE MEDICAMENTOS, INYECTOLOGIA  Y CANALIZACION ",IF(P36=CURSOS!$D$20,"OPERADOR DE VEHICULOS DE EMERGENCIA (OVE)",IF(P36=CURSOS!$D$21,"INSTITUCIONES AMIGAS DE LA MUJER Y LA INFANCIA (IAMI)",IF(P36=CURSOS!$D$22,"CUIDADO DEL DONANTE DE ORGANOS",IF(P36=CURSOS!$D$23,"ATENCION A VICTIMAS POR VIOLENCIA DE GENERO",IF(P36=CURSOS!$D$24,"IGUALDAD DE GENERO EN LA SALUD",IF(P36=CURSOS!$D$25,"BRIGADA DE EMERGENCIA",IF(P36=CURSOS!$D$26,"MANEJO DEL DOLOR Y CUIDADOS PALIATIVOS",IF(P36=CURSOS!$D$27,"TOMA DE MUESTRAS Y LABORATORIO POCT",IF(P36=CURSOS!$D$28,"IMPLANTE SUBDERMICO DE DISPOSITIVO INTRAUTERINO",IF(P36=CURSOS!$D$29,"SALUD MENTAL",IF(P36=CURSOS!$D$30,"PRIMEROS AUXILIOS PSICOLOGICOS",IF(P36=CURSOS!$D$31,"ATENCION A VICTIMAS POR CONFLICTO ARMADO",IF(P36=CURSOS!$D$32,"MANIPULACION DE ALIMENTOS Y BPM",IF(P36=CURSOS!$D$33,"ATENCION A PERSONAS CON DISCAPACIDAD",IF(P36=CURSOS!$D$34,"CUIDADO INTEGRAL DEL PACIENTE ADULTO",IF(P36=CURSOS!$D$35,"MANEJO DEFENSIVO",IF(P36=CURSOS!$D$36,"SOPORTE CARDIOVASCULAR AVANZADO NEONATAL",IF(P36=CURSOS!$D$37,"SEGURIDAD DEL PACIENTE",IF(P36=CURSOS!$D$38,"MANEJO DE RESIDUOS HOSPITALARIOS"))))))))))))))))))))))))))))))))))))</f>
        <v xml:space="preserve">ATENCION A VICTIMAS DE ATAQUE CON AGENTES QUIMICOS </v>
      </c>
      <c r="W36" s="65" t="str">
        <f t="shared" si="6"/>
        <v>Miryan Milagro Marcillo Oquendo</v>
      </c>
      <c r="X36" s="65" t="str">
        <f t="shared" si="7"/>
        <v>Miryan Milagro Marcillo Oquendo</v>
      </c>
      <c r="Y36" s="65" t="str">
        <f t="shared" si="8"/>
        <v>Miryan Milagro Marcillo Oquendo-36934650-QUIMICOS</v>
      </c>
    </row>
    <row r="37" spans="1:25" s="58" customFormat="1" x14ac:dyDescent="0.2">
      <c r="A37" s="59">
        <v>36</v>
      </c>
      <c r="B37" s="60">
        <v>1087419325</v>
      </c>
      <c r="C37" s="60" t="s">
        <v>209</v>
      </c>
      <c r="D37" s="60" t="s">
        <v>210</v>
      </c>
      <c r="E37" s="60" t="s">
        <v>211</v>
      </c>
      <c r="F37" s="60" t="s">
        <v>212</v>
      </c>
      <c r="G37" s="60">
        <v>7</v>
      </c>
      <c r="H37" s="60" t="s">
        <v>103</v>
      </c>
      <c r="I37" s="61" t="s">
        <v>123</v>
      </c>
      <c r="J37" s="61" t="s">
        <v>177</v>
      </c>
      <c r="K37" s="62">
        <v>45727</v>
      </c>
      <c r="L37" s="63">
        <v>25000</v>
      </c>
      <c r="M37" s="60" t="s">
        <v>126</v>
      </c>
      <c r="N37" s="60" t="s">
        <v>105</v>
      </c>
      <c r="O37" s="60" t="s">
        <v>182</v>
      </c>
      <c r="P37" s="60" t="s">
        <v>25</v>
      </c>
      <c r="Q37" s="61">
        <v>34183</v>
      </c>
      <c r="R37" s="60" t="s">
        <v>139</v>
      </c>
      <c r="S37" s="60" t="s">
        <v>117</v>
      </c>
      <c r="T37" s="64">
        <v>3176182014</v>
      </c>
      <c r="U37" s="60" t="s">
        <v>213</v>
      </c>
      <c r="V37" s="65" t="str">
        <f>IF(P37=CURSOS!$D$3,"DIPLOMADO EN ATENCION PRE-HOSPITALARIA",IF(P37=CURSOS!$D$4,"ACOMPAÑAMIENTO Y MANEJO DEL DUELO",IF(P37=CURSOS!$D$5,"ATENCION A VICTIMAS DE ATAQUE CON AGENTES QUIMICOS ",IF(P37=CURSOS!$D$6,"PRIMEROS AUXILIOS ",IF(P37=CURSOS!$D$7,"DIPLOMADO DE UNIDAD DE CUIDADOS INTENSIVOS (UCI)",IF(P37=CURSOS!$D$8,"MODELO DE ATENCION PARA EVENTOS EMERGENTES EN SALUD MENTAL (CODIGO VERDE)",IF(P37=CURSOS!$D$9,"HUMANIZACION EN EL SERVICIO DE LA SALUD Y BUENAS PRACTICAS EN PACIENTE ",IF(P37=CURSOS!$D$10,"CLINICA DE HERIDAS ",IF(P37=CURSOS!$D$11,"TOMA DE CITOLOGIA CERVICO VAGINAL ",IF(P37=CURSOS!$D$12,"SOPORTE CARDIOVASCULAR AVANZADO (ACLS) ",IF(P37=CURSOS!$D$13,"CAMILLERO ",IF(P37=CURSOS!$D$14,"TOMA DE MUESTRAS Y LABORATORIO ",IF(P37=CURSOS!$D$15,"SOPORTE VITAL BASICO (BLS)",IF(P37=CURSOS!$D$16,"ATENCION A VICTIMAS DE VIOLENCIA SEXUAL ",IF(P37=CURSOS!$D$17,"PROGRAMADO AMPLIADO DE INMUNIZACION (PAI - COVID 19)",IF(P37=CURSOS!$D$18,"ATENCION INTEGRAL EN ENFERMEDADES PREVALENTES EN PRIMERA INFANCIA (AIEPI)",IF(P37=CURSOS!$D$19,"ADMINISTRACION DE MEDICAMENTOS, INYECTOLOGIA  Y CANALIZACION ",IF(P37=CURSOS!$D$20,"OPERADOR DE VEHICULOS DE EMERGENCIA (OVE)",IF(P37=CURSOS!$D$21,"INSTITUCIONES AMIGAS DE LA MUJER Y LA INFANCIA (IAMI)",IF(P37=CURSOS!$D$22,"CUIDADO DEL DONANTE DE ORGANOS",IF(P37=CURSOS!$D$23,"ATENCION A VICTIMAS POR VIOLENCIA DE GENERO",IF(P37=CURSOS!$D$24,"IGUALDAD DE GENERO EN LA SALUD",IF(P37=CURSOS!$D$25,"BRIGADA DE EMERGENCIA",IF(P37=CURSOS!$D$26,"MANEJO DEL DOLOR Y CUIDADOS PALIATIVOS",IF(P37=CURSOS!$D$27,"TOMA DE MUESTRAS Y LABORATORIO POCT",IF(P37=CURSOS!$D$28,"IMPLANTE SUBDERMICO DE DISPOSITIVO INTRAUTERINO",IF(P37=CURSOS!$D$29,"SALUD MENTAL",IF(P37=CURSOS!$D$30,"PRIMEROS AUXILIOS PSICOLOGICOS",IF(P37=CURSOS!$D$31,"ATENCION A VICTIMAS POR CONFLICTO ARMADO",IF(P37=CURSOS!$D$32,"MANIPULACION DE ALIMENTOS Y BPM",IF(P37=CURSOS!$D$33,"ATENCION A PERSONAS CON DISCAPACIDAD",IF(P37=CURSOS!$D$34,"CUIDADO INTEGRAL DEL PACIENTE ADULTO",IF(P37=CURSOS!$D$35,"MANEJO DEFENSIVO",IF(P37=CURSOS!$D$36,"SOPORTE CARDIOVASCULAR AVANZADO NEONATAL",IF(P37=CURSOS!$D$37,"SEGURIDAD DEL PACIENTE",IF(P37=CURSOS!$D$38,"MANEJO DE RESIDUOS HOSPITALARIOS"))))))))))))))))))))))))))))))))))))</f>
        <v xml:space="preserve">ATENCION A VICTIMAS DE ATAQUE CON AGENTES QUIMICOS </v>
      </c>
      <c r="W37" s="65" t="str">
        <f t="shared" si="6"/>
        <v>Dario Fernando Cucas Asmaza</v>
      </c>
      <c r="X37" s="65" t="str">
        <f t="shared" si="7"/>
        <v>Dario Fernando Cucas Asmaza</v>
      </c>
      <c r="Y37" s="65" t="str">
        <f t="shared" si="8"/>
        <v>Dario Fernando Cucas Asmaza-1087419325-QUIMICOS</v>
      </c>
    </row>
    <row r="38" spans="1:25" s="58" customFormat="1" x14ac:dyDescent="0.2">
      <c r="A38" s="59">
        <v>37</v>
      </c>
      <c r="B38" s="60">
        <v>1085285257</v>
      </c>
      <c r="C38" s="60" t="s">
        <v>214</v>
      </c>
      <c r="D38" s="60" t="s">
        <v>135</v>
      </c>
      <c r="E38" s="60" t="s">
        <v>215</v>
      </c>
      <c r="F38" s="60" t="s">
        <v>130</v>
      </c>
      <c r="G38" s="60">
        <v>7</v>
      </c>
      <c r="H38" s="60" t="s">
        <v>103</v>
      </c>
      <c r="I38" s="61" t="s">
        <v>123</v>
      </c>
      <c r="J38" s="61" t="s">
        <v>179</v>
      </c>
      <c r="K38" s="62">
        <v>45724</v>
      </c>
      <c r="L38" s="63">
        <v>30000</v>
      </c>
      <c r="M38" s="60" t="s">
        <v>133</v>
      </c>
      <c r="N38" s="60" t="s">
        <v>105</v>
      </c>
      <c r="O38" s="60" t="s">
        <v>106</v>
      </c>
      <c r="P38" s="60" t="s">
        <v>44</v>
      </c>
      <c r="Q38" s="61">
        <v>33224</v>
      </c>
      <c r="R38" s="60" t="s">
        <v>107</v>
      </c>
      <c r="S38" s="64" t="s">
        <v>131</v>
      </c>
      <c r="T38" s="64">
        <v>3105035366</v>
      </c>
      <c r="U38" s="64" t="s">
        <v>216</v>
      </c>
      <c r="V38" s="65" t="str">
        <f>IF(P38=CURSOS!$D$3,"DIPLOMADO EN ATENCION PRE-HOSPITALARIA",IF(P38=CURSOS!$D$4,"ACOMPAÑAMIENTO Y MANEJO DEL DUELO",IF(P38=CURSOS!$D$5,"ATENCION A VICTIMAS DE ATAQUE CON AGENTES QUIMICOS ",IF(P38=CURSOS!$D$6,"PRIMEROS AUXILIOS ",IF(P38=CURSOS!$D$7,"DIPLOMADO DE UNIDAD DE CUIDADOS INTENSIVOS (UCI)",IF(P38=CURSOS!$D$8,"MODELO DE ATENCION PARA EVENTOS EMERGENTES EN SALUD MENTAL (CODIGO VERDE)",IF(P38=CURSOS!$D$9,"HUMANIZACION EN EL SERVICIO DE LA SALUD Y BUENAS PRACTICAS EN PACIENTE ",IF(P38=CURSOS!$D$10,"CLINICA DE HERIDAS ",IF(P38=CURSOS!$D$11,"TOMA DE CITOLOGIA CERVICO VAGINAL ",IF(P38=CURSOS!$D$12,"SOPORTE CARDIOVASCULAR AVANZADO (ACLS) ",IF(P38=CURSOS!$D$13,"CAMILLERO ",IF(P38=CURSOS!$D$14,"TOMA DE MUESTRAS Y LABORATORIO ",IF(P38=CURSOS!$D$15,"SOPORTE VITAL BASICO (BLS)",IF(P38=CURSOS!$D$16,"ATENCION A VICTIMAS DE VIOLENCIA SEXUAL ",IF(P38=CURSOS!$D$17,"PROGRAMADO AMPLIADO DE INMUNIZACION (PAI - COVID 19)",IF(P38=CURSOS!$D$18,"ATENCION INTEGRAL EN ENFERMEDADES PREVALENTES EN PRIMERA INFANCIA (AIEPI)",IF(P38=CURSOS!$D$19,"ADMINISTRACION DE MEDICAMENTOS, INYECTOLOGIA  Y CANALIZACION ",IF(P38=CURSOS!$D$20,"OPERADOR DE VEHICULOS DE EMERGENCIA (OVE)",IF(P38=CURSOS!$D$21,"INSTITUCIONES AMIGAS DE LA MUJER Y LA INFANCIA (IAMI)",IF(P38=CURSOS!$D$22,"CUIDADO DEL DONANTE DE ORGANOS",IF(P38=CURSOS!$D$23,"ATENCION A VICTIMAS POR VIOLENCIA DE GENERO",IF(P38=CURSOS!$D$24,"IGUALDAD DE GENERO EN LA SALUD",IF(P38=CURSOS!$D$25,"BRIGADA DE EMERGENCIA",IF(P38=CURSOS!$D$26,"MANEJO DEL DOLOR Y CUIDADOS PALIATIVOS",IF(P38=CURSOS!$D$27,"TOMA DE MUESTRAS Y LABORATORIO POCT",IF(P38=CURSOS!$D$28,"IMPLANTE SUBDERMICO DE DISPOSITIVO INTRAUTERINO",IF(P38=CURSOS!$D$29,"SALUD MENTAL",IF(P38=CURSOS!$D$30,"PRIMEROS AUXILIOS PSICOLOGICOS",IF(P38=CURSOS!$D$31,"ATENCION A VICTIMAS POR CONFLICTO ARMADO",IF(P38=CURSOS!$D$32,"MANIPULACION DE ALIMENTOS Y BPM",IF(P38=CURSOS!$D$33,"ATENCION A PERSONAS CON DISCAPACIDAD",IF(P38=CURSOS!$D$34,"CUIDADO INTEGRAL DEL PACIENTE ADULTO",IF(P38=CURSOS!$D$35,"MANEJO DEFENSIVO",IF(P38=CURSOS!$D$36,"SOPORTE CARDIOVASCULAR AVANZADO NEONATAL",IF(P38=CURSOS!$D$37,"SEGURIDAD DEL PACIENTE",IF(P38=CURSOS!$D$38,"MANEJO DE RESIDUOS HOSPITALARIOS"))))))))))))))))))))))))))))))))))))</f>
        <v>ATENCION INTEGRAL EN ENFERMEDADES PREVALENTES EN PRIMERA INFANCIA (AIEPI)</v>
      </c>
      <c r="W38" s="65" t="str">
        <f t="shared" si="6"/>
        <v>Eliana Catalina Martinez Lopez</v>
      </c>
      <c r="X38" s="65" t="str">
        <f t="shared" si="7"/>
        <v>Eliana Catalina Martinez Lopez</v>
      </c>
      <c r="Y38" s="65" t="str">
        <f t="shared" si="8"/>
        <v>Eliana Catalina Martinez Lopez-1085285257-AIEPI</v>
      </c>
    </row>
    <row r="39" spans="1:25" s="58" customFormat="1" x14ac:dyDescent="0.2">
      <c r="A39" s="59">
        <v>38</v>
      </c>
      <c r="B39" s="60">
        <v>1085285257</v>
      </c>
      <c r="C39" s="60" t="s">
        <v>214</v>
      </c>
      <c r="D39" s="60" t="s">
        <v>135</v>
      </c>
      <c r="E39" s="60" t="s">
        <v>215</v>
      </c>
      <c r="F39" s="60" t="s">
        <v>130</v>
      </c>
      <c r="G39" s="60">
        <v>8</v>
      </c>
      <c r="H39" s="60" t="s">
        <v>103</v>
      </c>
      <c r="I39" s="61" t="s">
        <v>123</v>
      </c>
      <c r="J39" s="61" t="s">
        <v>179</v>
      </c>
      <c r="K39" s="62">
        <v>45724</v>
      </c>
      <c r="L39" s="63">
        <v>30000</v>
      </c>
      <c r="M39" s="60" t="s">
        <v>133</v>
      </c>
      <c r="N39" s="60" t="s">
        <v>105</v>
      </c>
      <c r="O39" s="60" t="s">
        <v>106</v>
      </c>
      <c r="P39" s="60" t="s">
        <v>48</v>
      </c>
      <c r="Q39" s="61">
        <v>33224</v>
      </c>
      <c r="R39" s="60" t="s">
        <v>107</v>
      </c>
      <c r="S39" s="64" t="s">
        <v>131</v>
      </c>
      <c r="T39" s="64">
        <v>3105035366</v>
      </c>
      <c r="U39" s="64" t="s">
        <v>216</v>
      </c>
      <c r="V39" s="65" t="str">
        <f>IF(P39=CURSOS!$D$3,"DIPLOMADO EN ATENCION PRE-HOSPITALARIA",IF(P39=CURSOS!$D$4,"ACOMPAÑAMIENTO Y MANEJO DEL DUELO",IF(P39=CURSOS!$D$5,"ATENCION A VICTIMAS DE ATAQUE CON AGENTES QUIMICOS ",IF(P39=CURSOS!$D$6,"PRIMEROS AUXILIOS ",IF(P39=CURSOS!$D$7,"DIPLOMADO DE UNIDAD DE CUIDADOS INTENSIVOS (UCI)",IF(P39=CURSOS!$D$8,"MODELO DE ATENCION PARA EVENTOS EMERGENTES EN SALUD MENTAL (CODIGO VERDE)",IF(P39=CURSOS!$D$9,"HUMANIZACION EN EL SERVICIO DE LA SALUD Y BUENAS PRACTICAS EN PACIENTE ",IF(P39=CURSOS!$D$10,"CLINICA DE HERIDAS ",IF(P39=CURSOS!$D$11,"TOMA DE CITOLOGIA CERVICO VAGINAL ",IF(P39=CURSOS!$D$12,"SOPORTE CARDIOVASCULAR AVANZADO (ACLS) ",IF(P39=CURSOS!$D$13,"CAMILLERO ",IF(P39=CURSOS!$D$14,"TOMA DE MUESTRAS Y LABORATORIO ",IF(P39=CURSOS!$D$15,"SOPORTE VITAL BASICO (BLS)",IF(P39=CURSOS!$D$16,"ATENCION A VICTIMAS DE VIOLENCIA SEXUAL ",IF(P39=CURSOS!$D$17,"PROGRAMADO AMPLIADO DE INMUNIZACION (PAI - COVID 19)",IF(P39=CURSOS!$D$18,"ATENCION INTEGRAL EN ENFERMEDADES PREVALENTES EN PRIMERA INFANCIA (AIEPI)",IF(P39=CURSOS!$D$19,"ADMINISTRACION DE MEDICAMENTOS, INYECTOLOGIA  Y CANALIZACION ",IF(P39=CURSOS!$D$20,"OPERADOR DE VEHICULOS DE EMERGENCIA (OVE)",IF(P39=CURSOS!$D$21,"INSTITUCIONES AMIGAS DE LA MUJER Y LA INFANCIA (IAMI)",IF(P39=CURSOS!$D$22,"CUIDADO DEL DONANTE DE ORGANOS",IF(P39=CURSOS!$D$23,"ATENCION A VICTIMAS POR VIOLENCIA DE GENERO",IF(P39=CURSOS!$D$24,"IGUALDAD DE GENERO EN LA SALUD",IF(P39=CURSOS!$D$25,"BRIGADA DE EMERGENCIA",IF(P39=CURSOS!$D$26,"MANEJO DEL DOLOR Y CUIDADOS PALIATIVOS",IF(P39=CURSOS!$D$27,"TOMA DE MUESTRAS Y LABORATORIO POCT",IF(P39=CURSOS!$D$28,"IMPLANTE SUBDERMICO DE DISPOSITIVO INTRAUTERINO",IF(P39=CURSOS!$D$29,"SALUD MENTAL",IF(P39=CURSOS!$D$30,"PRIMEROS AUXILIOS PSICOLOGICOS",IF(P39=CURSOS!$D$31,"ATENCION A VICTIMAS POR CONFLICTO ARMADO",IF(P39=CURSOS!$D$32,"MANIPULACION DE ALIMENTOS Y BPM",IF(P39=CURSOS!$D$33,"ATENCION A PERSONAS CON DISCAPACIDAD",IF(P39=CURSOS!$D$34,"CUIDADO INTEGRAL DEL PACIENTE ADULTO",IF(P39=CURSOS!$D$35,"MANEJO DEFENSIVO",IF(P39=CURSOS!$D$36,"SOPORTE CARDIOVASCULAR AVANZADO NEONATAL",IF(P39=CURSOS!$D$37,"SEGURIDAD DEL PACIENTE",IF(P39=CURSOS!$D$38,"MANEJO DE RESIDUOS HOSPITALARIOS"))))))))))))))))))))))))))))))))))))</f>
        <v>INSTITUCIONES AMIGAS DE LA MUJER Y LA INFANCIA (IAMI)</v>
      </c>
      <c r="W39" s="65" t="str">
        <f t="shared" si="6"/>
        <v>Eliana Catalina Martinez Lopez</v>
      </c>
      <c r="X39" s="65" t="str">
        <f t="shared" si="7"/>
        <v>Eliana Catalina Martinez Lopez</v>
      </c>
      <c r="Y39" s="65" t="str">
        <f t="shared" si="8"/>
        <v>Eliana Catalina Martinez Lopez-1085285257-IAMI</v>
      </c>
    </row>
    <row r="40" spans="1:25" s="58" customFormat="1" x14ac:dyDescent="0.2">
      <c r="A40" s="59">
        <v>39</v>
      </c>
      <c r="B40" s="60">
        <v>1193458385</v>
      </c>
      <c r="C40" s="60" t="s">
        <v>217</v>
      </c>
      <c r="D40" s="60" t="s">
        <v>218</v>
      </c>
      <c r="E40" s="60" t="s">
        <v>219</v>
      </c>
      <c r="F40" s="60" t="s">
        <v>220</v>
      </c>
      <c r="G40" s="60">
        <v>6</v>
      </c>
      <c r="H40" s="60" t="s">
        <v>103</v>
      </c>
      <c r="I40" s="61" t="s">
        <v>104</v>
      </c>
      <c r="J40" s="61" t="s">
        <v>221</v>
      </c>
      <c r="K40" s="62">
        <v>45712</v>
      </c>
      <c r="L40" s="63">
        <v>35000</v>
      </c>
      <c r="M40" s="60" t="s">
        <v>159</v>
      </c>
      <c r="N40" s="60" t="s">
        <v>163</v>
      </c>
      <c r="O40" s="60" t="s">
        <v>106</v>
      </c>
      <c r="P40" s="60" t="s">
        <v>23</v>
      </c>
      <c r="Q40" s="61">
        <v>37127</v>
      </c>
      <c r="R40" s="60" t="s">
        <v>139</v>
      </c>
      <c r="S40" s="64" t="s">
        <v>222</v>
      </c>
      <c r="T40" s="60">
        <v>3206539389</v>
      </c>
      <c r="U40" s="60" t="s">
        <v>223</v>
      </c>
      <c r="V40" s="65" t="str">
        <f>IF(P40=CURSOS!$D$3,"DIPLOMADO EN ATENCION PRE-HOSPITALARIA",IF(P40=CURSOS!$D$4,"ACOMPAÑAMIENTO Y MANEJO DEL DUELO",IF(P40=CURSOS!$D$5,"ATENCION A VICTIMAS DE ATAQUE CON AGENTES QUIMICOS ",IF(P40=CURSOS!$D$6,"PRIMEROS AUXILIOS ",IF(P40=CURSOS!$D$7,"DIPLOMADO DE UNIDAD DE CUIDADOS INTENSIVOS (UCI)",IF(P40=CURSOS!$D$8,"MODELO DE ATENCION PARA EVENTOS EMERGENTES EN SALUD MENTAL (CODIGO VERDE)",IF(P40=CURSOS!$D$9,"HUMANIZACION EN EL SERVICIO DE LA SALUD Y BUENAS PRACTICAS EN PACIENTE ",IF(P40=CURSOS!$D$10,"CLINICA DE HERIDAS ",IF(P40=CURSOS!$D$11,"TOMA DE CITOLOGIA CERVICO VAGINAL ",IF(P40=CURSOS!$D$12,"SOPORTE CARDIOVASCULAR AVANZADO (ACLS) ",IF(P40=CURSOS!$D$13,"CAMILLERO ",IF(P40=CURSOS!$D$14,"TOMA DE MUESTRAS Y LABORATORIO ",IF(P40=CURSOS!$D$15,"SOPORTE VITAL BASICO (BLS)",IF(P40=CURSOS!$D$16,"ATENCION A VICTIMAS DE VIOLENCIA SEXUAL ",IF(P40=CURSOS!$D$17,"PROGRAMADO AMPLIADO DE INMUNIZACION (PAI - COVID 19)",IF(P40=CURSOS!$D$18,"ATENCION INTEGRAL EN ENFERMEDADES PREVALENTES EN PRIMERA INFANCIA (AIEPI)",IF(P40=CURSOS!$D$19,"ADMINISTRACION DE MEDICAMENTOS, INYECTOLOGIA  Y CANALIZACION ",IF(P40=CURSOS!$D$20,"OPERADOR DE VEHICULOS DE EMERGENCIA (OVE)",IF(P40=CURSOS!$D$21,"INSTITUCIONES AMIGAS DE LA MUJER Y LA INFANCIA (IAMI)",IF(P40=CURSOS!$D$22,"CUIDADO DEL DONANTE DE ORGANOS",IF(P40=CURSOS!$D$23,"ATENCION A VICTIMAS POR VIOLENCIA DE GENERO",IF(P40=CURSOS!$D$24,"IGUALDAD DE GENERO EN LA SALUD",IF(P40=CURSOS!$D$25,"BRIGADA DE EMERGENCIA",IF(P40=CURSOS!$D$26,"MANEJO DEL DOLOR Y CUIDADOS PALIATIVOS",IF(P40=CURSOS!$D$27,"TOMA DE MUESTRAS Y LABORATORIO POCT",IF(P40=CURSOS!$D$28,"IMPLANTE SUBDERMICO DE DISPOSITIVO INTRAUTERINO",IF(P40=CURSOS!$D$29,"SALUD MENTAL",IF(P40=CURSOS!$D$30,"PRIMEROS AUXILIOS PSICOLOGICOS",IF(P40=CURSOS!$D$31,"ATENCION A VICTIMAS POR CONFLICTO ARMADO",IF(P40=CURSOS!$D$32,"MANIPULACION DE ALIMENTOS Y BPM",IF(P40=CURSOS!$D$33,"ATENCION A PERSONAS CON DISCAPACIDAD",IF(P40=CURSOS!$D$34,"CUIDADO INTEGRAL DEL PACIENTE ADULTO",IF(P40=CURSOS!$D$35,"MANEJO DEFENSIVO",IF(P40=CURSOS!$D$36,"SOPORTE CARDIOVASCULAR AVANZADO NEONATAL",IF(P40=CURSOS!$D$37,"SEGURIDAD DEL PACIENTE",IF(P40=CURSOS!$D$38,"MANEJO DE RESIDUOS HOSPITALARIOS"))))))))))))))))))))))))))))))))))))</f>
        <v>ACOMPAÑAMIENTO Y MANEJO DEL DUELO</v>
      </c>
      <c r="W40" s="65" t="str">
        <f t="shared" si="6"/>
        <v>Julian Esteban Revelo Enríquez</v>
      </c>
      <c r="X40" s="65" t="str">
        <f t="shared" si="7"/>
        <v>Julian Esteban Revelo Enríquez</v>
      </c>
      <c r="Y40" s="65" t="str">
        <f t="shared" si="8"/>
        <v>Julian Esteban Revelo Enríquez-1193458385-DUELO</v>
      </c>
    </row>
    <row r="41" spans="1:25" s="58" customFormat="1" x14ac:dyDescent="0.2">
      <c r="A41" s="59">
        <v>40</v>
      </c>
      <c r="B41" s="60">
        <v>1087423840</v>
      </c>
      <c r="C41" s="60" t="s">
        <v>184</v>
      </c>
      <c r="D41" s="60" t="s">
        <v>185</v>
      </c>
      <c r="E41" s="60" t="s">
        <v>152</v>
      </c>
      <c r="F41" s="60" t="s">
        <v>148</v>
      </c>
      <c r="G41" s="60">
        <v>10</v>
      </c>
      <c r="H41" s="60" t="s">
        <v>103</v>
      </c>
      <c r="I41" s="61" t="s">
        <v>123</v>
      </c>
      <c r="J41" s="61" t="s">
        <v>177</v>
      </c>
      <c r="K41" s="62">
        <v>45727</v>
      </c>
      <c r="L41" s="63">
        <v>25000</v>
      </c>
      <c r="M41" s="60" t="s">
        <v>126</v>
      </c>
      <c r="N41" s="60" t="s">
        <v>105</v>
      </c>
      <c r="O41" s="60" t="s">
        <v>182</v>
      </c>
      <c r="P41" s="60" t="s">
        <v>23</v>
      </c>
      <c r="Q41" s="61">
        <v>35455</v>
      </c>
      <c r="R41" s="60" t="s">
        <v>107</v>
      </c>
      <c r="S41" s="64" t="s">
        <v>117</v>
      </c>
      <c r="T41" s="60">
        <v>3147678170</v>
      </c>
      <c r="U41" s="60" t="s">
        <v>186</v>
      </c>
      <c r="V41" s="65" t="str">
        <f>IF(P41=CURSOS!$D$3,"DIPLOMADO EN ATENCION PRE-HOSPITALARIA",IF(P41=CURSOS!$D$4,"ACOMPAÑAMIENTO Y MANEJO DEL DUELO",IF(P41=CURSOS!$D$5,"ATENCION A VICTIMAS DE ATAQUE CON AGENTES QUIMICOS ",IF(P41=CURSOS!$D$6,"PRIMEROS AUXILIOS ",IF(P41=CURSOS!$D$7,"DIPLOMADO DE UNIDAD DE CUIDADOS INTENSIVOS (UCI)",IF(P41=CURSOS!$D$8,"MODELO DE ATENCION PARA EVENTOS EMERGENTES EN SALUD MENTAL (CODIGO VERDE)",IF(P41=CURSOS!$D$9,"HUMANIZACION EN EL SERVICIO DE LA SALUD Y BUENAS PRACTICAS EN PACIENTE ",IF(P41=CURSOS!$D$10,"CLINICA DE HERIDAS ",IF(P41=CURSOS!$D$11,"TOMA DE CITOLOGIA CERVICO VAGINAL ",IF(P41=CURSOS!$D$12,"SOPORTE CARDIOVASCULAR AVANZADO (ACLS) ",IF(P41=CURSOS!$D$13,"CAMILLERO ",IF(P41=CURSOS!$D$14,"TOMA DE MUESTRAS Y LABORATORIO ",IF(P41=CURSOS!$D$15,"SOPORTE VITAL BASICO (BLS)",IF(P41=CURSOS!$D$16,"ATENCION A VICTIMAS DE VIOLENCIA SEXUAL ",IF(P41=CURSOS!$D$17,"PROGRAMADO AMPLIADO DE INMUNIZACION (PAI - COVID 19)",IF(P41=CURSOS!$D$18,"ATENCION INTEGRAL EN ENFERMEDADES PREVALENTES EN PRIMERA INFANCIA (AIEPI)",IF(P41=CURSOS!$D$19,"ADMINISTRACION DE MEDICAMENTOS, INYECTOLOGIA  Y CANALIZACION ",IF(P41=CURSOS!$D$20,"OPERADOR DE VEHICULOS DE EMERGENCIA (OVE)",IF(P41=CURSOS!$D$21,"INSTITUCIONES AMIGAS DE LA MUJER Y LA INFANCIA (IAMI)",IF(P41=CURSOS!$D$22,"CUIDADO DEL DONANTE DE ORGANOS",IF(P41=CURSOS!$D$23,"ATENCION A VICTIMAS POR VIOLENCIA DE GENERO",IF(P41=CURSOS!$D$24,"IGUALDAD DE GENERO EN LA SALUD",IF(P41=CURSOS!$D$25,"BRIGADA DE EMERGENCIA",IF(P41=CURSOS!$D$26,"MANEJO DEL DOLOR Y CUIDADOS PALIATIVOS",IF(P41=CURSOS!$D$27,"TOMA DE MUESTRAS Y LABORATORIO POCT",IF(P41=CURSOS!$D$28,"IMPLANTE SUBDERMICO DE DISPOSITIVO INTRAUTERINO",IF(P41=CURSOS!$D$29,"SALUD MENTAL",IF(P41=CURSOS!$D$30,"PRIMEROS AUXILIOS PSICOLOGICOS",IF(P41=CURSOS!$D$31,"ATENCION A VICTIMAS POR CONFLICTO ARMADO",IF(P41=CURSOS!$D$32,"MANIPULACION DE ALIMENTOS Y BPM",IF(P41=CURSOS!$D$33,"ATENCION A PERSONAS CON DISCAPACIDAD",IF(P41=CURSOS!$D$34,"CUIDADO INTEGRAL DEL PACIENTE ADULTO",IF(P41=CURSOS!$D$35,"MANEJO DEFENSIVO",IF(P41=CURSOS!$D$36,"SOPORTE CARDIOVASCULAR AVANZADO NEONATAL",IF(P41=CURSOS!$D$37,"SEGURIDAD DEL PACIENTE",IF(P41=CURSOS!$D$38,"MANEJO DE RESIDUOS HOSPITALARIOS"))))))))))))))))))))))))))))))))))))</f>
        <v>ACOMPAÑAMIENTO Y MANEJO DEL DUELO</v>
      </c>
      <c r="W41" s="65" t="str">
        <f t="shared" si="6"/>
        <v>Monica Andrea Mora Estrada</v>
      </c>
      <c r="X41" s="65" t="str">
        <f t="shared" si="7"/>
        <v>Monica Andrea Mora Estrada</v>
      </c>
      <c r="Y41" s="65" t="str">
        <f t="shared" si="8"/>
        <v>Monica Andrea Mora Estrada-1087423840-DUELO</v>
      </c>
    </row>
    <row r="42" spans="1:25" s="58" customFormat="1" x14ac:dyDescent="0.2">
      <c r="A42" s="59">
        <v>41</v>
      </c>
      <c r="B42" s="60">
        <v>59653561</v>
      </c>
      <c r="C42" s="60" t="s">
        <v>224</v>
      </c>
      <c r="D42" s="60" t="s">
        <v>225</v>
      </c>
      <c r="E42" s="60" t="s">
        <v>226</v>
      </c>
      <c r="F42" s="60" t="s">
        <v>190</v>
      </c>
      <c r="G42" s="60">
        <v>10</v>
      </c>
      <c r="H42" s="60" t="s">
        <v>103</v>
      </c>
      <c r="I42" s="61" t="s">
        <v>123</v>
      </c>
      <c r="J42" s="61" t="s">
        <v>177</v>
      </c>
      <c r="K42" s="62">
        <v>45727</v>
      </c>
      <c r="L42" s="63">
        <v>25000</v>
      </c>
      <c r="M42" s="60" t="s">
        <v>126</v>
      </c>
      <c r="N42" s="60" t="s">
        <v>105</v>
      </c>
      <c r="O42" s="60" t="s">
        <v>182</v>
      </c>
      <c r="P42" s="60" t="s">
        <v>23</v>
      </c>
      <c r="Q42" s="61">
        <v>31152</v>
      </c>
      <c r="R42" s="60" t="s">
        <v>107</v>
      </c>
      <c r="S42" s="64" t="s">
        <v>117</v>
      </c>
      <c r="T42" s="60">
        <v>3167438473</v>
      </c>
      <c r="U42" s="60" t="s">
        <v>227</v>
      </c>
      <c r="V42" s="65" t="str">
        <f>IF(P42=CURSOS!$D$3,"DIPLOMADO EN ATENCION PRE-HOSPITALARIA",IF(P42=CURSOS!$D$4,"ACOMPAÑAMIENTO Y MANEJO DEL DUELO",IF(P42=CURSOS!$D$5,"ATENCION A VICTIMAS DE ATAQUE CON AGENTES QUIMICOS ",IF(P42=CURSOS!$D$6,"PRIMEROS AUXILIOS ",IF(P42=CURSOS!$D$7,"DIPLOMADO DE UNIDAD DE CUIDADOS INTENSIVOS (UCI)",IF(P42=CURSOS!$D$8,"MODELO DE ATENCION PARA EVENTOS EMERGENTES EN SALUD MENTAL (CODIGO VERDE)",IF(P42=CURSOS!$D$9,"HUMANIZACION EN EL SERVICIO DE LA SALUD Y BUENAS PRACTICAS EN PACIENTE ",IF(P42=CURSOS!$D$10,"CLINICA DE HERIDAS ",IF(P42=CURSOS!$D$11,"TOMA DE CITOLOGIA CERVICO VAGINAL ",IF(P42=CURSOS!$D$12,"SOPORTE CARDIOVASCULAR AVANZADO (ACLS) ",IF(P42=CURSOS!$D$13,"CAMILLERO ",IF(P42=CURSOS!$D$14,"TOMA DE MUESTRAS Y LABORATORIO ",IF(P42=CURSOS!$D$15,"SOPORTE VITAL BASICO (BLS)",IF(P42=CURSOS!$D$16,"ATENCION A VICTIMAS DE VIOLENCIA SEXUAL ",IF(P42=CURSOS!$D$17,"PROGRAMADO AMPLIADO DE INMUNIZACION (PAI - COVID 19)",IF(P42=CURSOS!$D$18,"ATENCION INTEGRAL EN ENFERMEDADES PREVALENTES EN PRIMERA INFANCIA (AIEPI)",IF(P42=CURSOS!$D$19,"ADMINISTRACION DE MEDICAMENTOS, INYECTOLOGIA  Y CANALIZACION ",IF(P42=CURSOS!$D$20,"OPERADOR DE VEHICULOS DE EMERGENCIA (OVE)",IF(P42=CURSOS!$D$21,"INSTITUCIONES AMIGAS DE LA MUJER Y LA INFANCIA (IAMI)",IF(P42=CURSOS!$D$22,"CUIDADO DEL DONANTE DE ORGANOS",IF(P42=CURSOS!$D$23,"ATENCION A VICTIMAS POR VIOLENCIA DE GENERO",IF(P42=CURSOS!$D$24,"IGUALDAD DE GENERO EN LA SALUD",IF(P42=CURSOS!$D$25,"BRIGADA DE EMERGENCIA",IF(P42=CURSOS!$D$26,"MANEJO DEL DOLOR Y CUIDADOS PALIATIVOS",IF(P42=CURSOS!$D$27,"TOMA DE MUESTRAS Y LABORATORIO POCT",IF(P42=CURSOS!$D$28,"IMPLANTE SUBDERMICO DE DISPOSITIVO INTRAUTERINO",IF(P42=CURSOS!$D$29,"SALUD MENTAL",IF(P42=CURSOS!$D$30,"PRIMEROS AUXILIOS PSICOLOGICOS",IF(P42=CURSOS!$D$31,"ATENCION A VICTIMAS POR CONFLICTO ARMADO",IF(P42=CURSOS!$D$32,"MANIPULACION DE ALIMENTOS Y BPM",IF(P42=CURSOS!$D$33,"ATENCION A PERSONAS CON DISCAPACIDAD",IF(P42=CURSOS!$D$34,"CUIDADO INTEGRAL DEL PACIENTE ADULTO",IF(P42=CURSOS!$D$35,"MANEJO DEFENSIVO",IF(P42=CURSOS!$D$36,"SOPORTE CARDIOVASCULAR AVANZADO NEONATAL",IF(P42=CURSOS!$D$37,"SEGURIDAD DEL PACIENTE",IF(P42=CURSOS!$D$38,"MANEJO DE RESIDUOS HOSPITALARIOS"))))))))))))))))))))))))))))))))))))</f>
        <v>ACOMPAÑAMIENTO Y MANEJO DEL DUELO</v>
      </c>
      <c r="W42" s="65" t="str">
        <f t="shared" si="6"/>
        <v>Omaira Patricia Diaz Cortez</v>
      </c>
      <c r="X42" s="65" t="str">
        <f t="shared" si="7"/>
        <v>Omaira Patricia Diaz Cortez</v>
      </c>
      <c r="Y42" s="65" t="str">
        <f t="shared" si="8"/>
        <v>Omaira Patricia Diaz Cortez-59653561-DUELO</v>
      </c>
    </row>
    <row r="43" spans="1:25" s="58" customFormat="1" x14ac:dyDescent="0.2">
      <c r="A43" s="59">
        <v>42</v>
      </c>
      <c r="B43" s="60">
        <v>1085297070</v>
      </c>
      <c r="C43" s="60" t="s">
        <v>228</v>
      </c>
      <c r="D43" s="60" t="s">
        <v>229</v>
      </c>
      <c r="E43" s="60" t="s">
        <v>121</v>
      </c>
      <c r="F43" s="60" t="s">
        <v>230</v>
      </c>
      <c r="G43" s="60">
        <v>10</v>
      </c>
      <c r="H43" s="60" t="s">
        <v>103</v>
      </c>
      <c r="I43" s="61" t="s">
        <v>123</v>
      </c>
      <c r="J43" s="61" t="s">
        <v>177</v>
      </c>
      <c r="K43" s="62">
        <v>45724</v>
      </c>
      <c r="L43" s="63">
        <v>30000</v>
      </c>
      <c r="M43" s="60" t="s">
        <v>156</v>
      </c>
      <c r="N43" s="60" t="s">
        <v>105</v>
      </c>
      <c r="O43" s="60" t="s">
        <v>202</v>
      </c>
      <c r="P43" s="60" t="s">
        <v>23</v>
      </c>
      <c r="Q43" s="61"/>
      <c r="R43" s="60" t="s">
        <v>107</v>
      </c>
      <c r="S43" s="64" t="s">
        <v>117</v>
      </c>
      <c r="T43" s="60">
        <v>3175789938</v>
      </c>
      <c r="U43" s="60" t="s">
        <v>231</v>
      </c>
      <c r="V43" s="65" t="str">
        <f>IF(P43=CURSOS!$D$3,"DIPLOMADO EN ATENCION PRE-HOSPITALARIA",IF(P43=CURSOS!$D$4,"ACOMPAÑAMIENTO Y MANEJO DEL DUELO",IF(P43=CURSOS!$D$5,"ATENCION A VICTIMAS DE ATAQUE CON AGENTES QUIMICOS ",IF(P43=CURSOS!$D$6,"PRIMEROS AUXILIOS ",IF(P43=CURSOS!$D$7,"DIPLOMADO DE UNIDAD DE CUIDADOS INTENSIVOS (UCI)",IF(P43=CURSOS!$D$8,"MODELO DE ATENCION PARA EVENTOS EMERGENTES EN SALUD MENTAL (CODIGO VERDE)",IF(P43=CURSOS!$D$9,"HUMANIZACION EN EL SERVICIO DE LA SALUD Y BUENAS PRACTICAS EN PACIENTE ",IF(P43=CURSOS!$D$10,"CLINICA DE HERIDAS ",IF(P43=CURSOS!$D$11,"TOMA DE CITOLOGIA CERVICO VAGINAL ",IF(P43=CURSOS!$D$12,"SOPORTE CARDIOVASCULAR AVANZADO (ACLS) ",IF(P43=CURSOS!$D$13,"CAMILLERO ",IF(P43=CURSOS!$D$14,"TOMA DE MUESTRAS Y LABORATORIO ",IF(P43=CURSOS!$D$15,"SOPORTE VITAL BASICO (BLS)",IF(P43=CURSOS!$D$16,"ATENCION A VICTIMAS DE VIOLENCIA SEXUAL ",IF(P43=CURSOS!$D$17,"PROGRAMADO AMPLIADO DE INMUNIZACION (PAI - COVID 19)",IF(P43=CURSOS!$D$18,"ATENCION INTEGRAL EN ENFERMEDADES PREVALENTES EN PRIMERA INFANCIA (AIEPI)",IF(P43=CURSOS!$D$19,"ADMINISTRACION DE MEDICAMENTOS, INYECTOLOGIA  Y CANALIZACION ",IF(P43=CURSOS!$D$20,"OPERADOR DE VEHICULOS DE EMERGENCIA (OVE)",IF(P43=CURSOS!$D$21,"INSTITUCIONES AMIGAS DE LA MUJER Y LA INFANCIA (IAMI)",IF(P43=CURSOS!$D$22,"CUIDADO DEL DONANTE DE ORGANOS",IF(P43=CURSOS!$D$23,"ATENCION A VICTIMAS POR VIOLENCIA DE GENERO",IF(P43=CURSOS!$D$24,"IGUALDAD DE GENERO EN LA SALUD",IF(P43=CURSOS!$D$25,"BRIGADA DE EMERGENCIA",IF(P43=CURSOS!$D$26,"MANEJO DEL DOLOR Y CUIDADOS PALIATIVOS",IF(P43=CURSOS!$D$27,"TOMA DE MUESTRAS Y LABORATORIO POCT",IF(P43=CURSOS!$D$28,"IMPLANTE SUBDERMICO DE DISPOSITIVO INTRAUTERINO",IF(P43=CURSOS!$D$29,"SALUD MENTAL",IF(P43=CURSOS!$D$30,"PRIMEROS AUXILIOS PSICOLOGICOS",IF(P43=CURSOS!$D$31,"ATENCION A VICTIMAS POR CONFLICTO ARMADO",IF(P43=CURSOS!$D$32,"MANIPULACION DE ALIMENTOS Y BPM",IF(P43=CURSOS!$D$33,"ATENCION A PERSONAS CON DISCAPACIDAD",IF(P43=CURSOS!$D$34,"CUIDADO INTEGRAL DEL PACIENTE ADULTO",IF(P43=CURSOS!$D$35,"MANEJO DEFENSIVO",IF(P43=CURSOS!$D$36,"SOPORTE CARDIOVASCULAR AVANZADO NEONATAL",IF(P43=CURSOS!$D$37,"SEGURIDAD DEL PACIENTE",IF(P43=CURSOS!$D$38,"MANEJO DE RESIDUOS HOSPITALARIOS"))))))))))))))))))))))))))))))))))))</f>
        <v>ACOMPAÑAMIENTO Y MANEJO DEL DUELO</v>
      </c>
      <c r="W43" s="65" t="str">
        <f t="shared" si="6"/>
        <v>Maria Alejandra Jojoa Maya</v>
      </c>
      <c r="X43" s="65" t="str">
        <f t="shared" si="7"/>
        <v>Maria Alejandra Jojoa Maya</v>
      </c>
      <c r="Y43" s="65" t="str">
        <f t="shared" si="8"/>
        <v>Maria Alejandra Jojoa Maya-1085297070-DUELO</v>
      </c>
    </row>
    <row r="44" spans="1:25" s="58" customFormat="1" x14ac:dyDescent="0.2">
      <c r="A44" s="59">
        <v>43</v>
      </c>
      <c r="B44" s="60">
        <v>59835813</v>
      </c>
      <c r="C44" s="60" t="s">
        <v>233</v>
      </c>
      <c r="D44" s="60" t="s">
        <v>234</v>
      </c>
      <c r="E44" s="60" t="s">
        <v>235</v>
      </c>
      <c r="F44" s="60" t="s">
        <v>189</v>
      </c>
      <c r="G44" s="60">
        <v>10</v>
      </c>
      <c r="H44" s="60" t="s">
        <v>103</v>
      </c>
      <c r="I44" s="61" t="s">
        <v>123</v>
      </c>
      <c r="J44" s="61" t="s">
        <v>177</v>
      </c>
      <c r="K44" s="62">
        <v>45724</v>
      </c>
      <c r="L44" s="63">
        <v>30000</v>
      </c>
      <c r="M44" s="60" t="s">
        <v>156</v>
      </c>
      <c r="N44" s="60" t="s">
        <v>105</v>
      </c>
      <c r="O44" s="60" t="s">
        <v>202</v>
      </c>
      <c r="P44" s="60" t="s">
        <v>23</v>
      </c>
      <c r="Q44" s="61"/>
      <c r="R44" s="60" t="s">
        <v>107</v>
      </c>
      <c r="S44" s="75" t="s">
        <v>117</v>
      </c>
      <c r="T44" s="60">
        <v>3166015115</v>
      </c>
      <c r="U44" s="60" t="s">
        <v>232</v>
      </c>
      <c r="V44" s="65" t="str">
        <f>IF(P44=CURSOS!$D$3,"DIPLOMADO EN ATENCION PRE-HOSPITALARIA",IF(P44=CURSOS!$D$4,"ACOMPAÑAMIENTO Y MANEJO DEL DUELO",IF(P44=CURSOS!$D$5,"ATENCION A VICTIMAS DE ATAQUE CON AGENTES QUIMICOS ",IF(P44=CURSOS!$D$6,"PRIMEROS AUXILIOS ",IF(P44=CURSOS!$D$7,"DIPLOMADO DE UNIDAD DE CUIDADOS INTENSIVOS (UCI)",IF(P44=CURSOS!$D$8,"MODELO DE ATENCION PARA EVENTOS EMERGENTES EN SALUD MENTAL (CODIGO VERDE)",IF(P44=CURSOS!$D$9,"HUMANIZACION EN EL SERVICIO DE LA SALUD Y BUENAS PRACTICAS EN PACIENTE ",IF(P44=CURSOS!$D$10,"CLINICA DE HERIDAS ",IF(P44=CURSOS!$D$11,"TOMA DE CITOLOGIA CERVICO VAGINAL ",IF(P44=CURSOS!$D$12,"SOPORTE CARDIOVASCULAR AVANZADO (ACLS) ",IF(P44=CURSOS!$D$13,"CAMILLERO ",IF(P44=CURSOS!$D$14,"TOMA DE MUESTRAS Y LABORATORIO ",IF(P44=CURSOS!$D$15,"SOPORTE VITAL BASICO (BLS)",IF(P44=CURSOS!$D$16,"ATENCION A VICTIMAS DE VIOLENCIA SEXUAL ",IF(P44=CURSOS!$D$17,"PROGRAMADO AMPLIADO DE INMUNIZACION (PAI - COVID 19)",IF(P44=CURSOS!$D$18,"ATENCION INTEGRAL EN ENFERMEDADES PREVALENTES EN PRIMERA INFANCIA (AIEPI)",IF(P44=CURSOS!$D$19,"ADMINISTRACION DE MEDICAMENTOS, INYECTOLOGIA  Y CANALIZACION ",IF(P44=CURSOS!$D$20,"OPERADOR DE VEHICULOS DE EMERGENCIA (OVE)",IF(P44=CURSOS!$D$21,"INSTITUCIONES AMIGAS DE LA MUJER Y LA INFANCIA (IAMI)",IF(P44=CURSOS!$D$22,"CUIDADO DEL DONANTE DE ORGANOS",IF(P44=CURSOS!$D$23,"ATENCION A VICTIMAS POR VIOLENCIA DE GENERO",IF(P44=CURSOS!$D$24,"IGUALDAD DE GENERO EN LA SALUD",IF(P44=CURSOS!$D$25,"BRIGADA DE EMERGENCIA",IF(P44=CURSOS!$D$26,"MANEJO DEL DOLOR Y CUIDADOS PALIATIVOS",IF(P44=CURSOS!$D$27,"TOMA DE MUESTRAS Y LABORATORIO POCT",IF(P44=CURSOS!$D$28,"IMPLANTE SUBDERMICO DE DISPOSITIVO INTRAUTERINO",IF(P44=CURSOS!$D$29,"SALUD MENTAL",IF(P44=CURSOS!$D$30,"PRIMEROS AUXILIOS PSICOLOGICOS",IF(P44=CURSOS!$D$31,"ATENCION A VICTIMAS POR CONFLICTO ARMADO",IF(P44=CURSOS!$D$32,"MANIPULACION DE ALIMENTOS Y BPM",IF(P44=CURSOS!$D$33,"ATENCION A PERSONAS CON DISCAPACIDAD",IF(P44=CURSOS!$D$34,"CUIDADO INTEGRAL DEL PACIENTE ADULTO",IF(P44=CURSOS!$D$35,"MANEJO DEFENSIVO",IF(P44=CURSOS!$D$36,"SOPORTE CARDIOVASCULAR AVANZADO NEONATAL",IF(P44=CURSOS!$D$37,"SEGURIDAD DEL PACIENTE",IF(P44=CURSOS!$D$38,"MANEJO DE RESIDUOS HOSPITALARIOS"))))))))))))))))))))))))))))))))))))</f>
        <v>ACOMPAÑAMIENTO Y MANEJO DEL DUELO</v>
      </c>
      <c r="W44" s="65" t="str">
        <f t="shared" si="6"/>
        <v>Carmen Adriana Ceballos Argoti</v>
      </c>
      <c r="X44" s="65" t="str">
        <f t="shared" si="7"/>
        <v>Carmen Adriana Ceballos Argoti</v>
      </c>
      <c r="Y44" s="65" t="str">
        <f t="shared" si="8"/>
        <v>Carmen Adriana Ceballos Argoti-59835813-DUELO</v>
      </c>
    </row>
    <row r="45" spans="1:25" s="58" customFormat="1" x14ac:dyDescent="0.2">
      <c r="A45" s="59">
        <v>44</v>
      </c>
      <c r="B45" s="60">
        <v>1013584940</v>
      </c>
      <c r="C45" s="60" t="s">
        <v>244</v>
      </c>
      <c r="D45" s="60" t="s">
        <v>245</v>
      </c>
      <c r="E45" s="60" t="s">
        <v>253</v>
      </c>
      <c r="F45" s="60" t="s">
        <v>246</v>
      </c>
      <c r="G45" s="60">
        <v>10</v>
      </c>
      <c r="H45" s="60" t="s">
        <v>103</v>
      </c>
      <c r="I45" s="61" t="s">
        <v>104</v>
      </c>
      <c r="J45" s="61"/>
      <c r="K45" s="62">
        <v>45726</v>
      </c>
      <c r="L45" s="63"/>
      <c r="M45" s="60" t="s">
        <v>159</v>
      </c>
      <c r="N45" s="60" t="s">
        <v>105</v>
      </c>
      <c r="O45" s="60" t="s">
        <v>106</v>
      </c>
      <c r="P45" s="60" t="s">
        <v>45</v>
      </c>
      <c r="Q45" s="61">
        <v>31771</v>
      </c>
      <c r="R45" s="60" t="s">
        <v>107</v>
      </c>
      <c r="S45" s="75" t="s">
        <v>131</v>
      </c>
      <c r="T45" s="60">
        <v>3115108394</v>
      </c>
      <c r="U45" s="60" t="s">
        <v>252</v>
      </c>
      <c r="V45" s="65" t="str">
        <f>IF(P45=CURSOS!$D$3,"DIPLOMADO EN ATENCION PRE-HOSPITALARIA",IF(P45=CURSOS!$D$4,"ACOMPAÑAMIENTO Y MANEJO DEL DUELO",IF(P45=CURSOS!$D$5,"ATENCION A VICTIMAS DE ATAQUE CON AGENTES QUIMICOS ",IF(P45=CURSOS!$D$6,"PRIMEROS AUXILIOS ",IF(P45=CURSOS!$D$7,"DIPLOMADO DE UNIDAD DE CUIDADOS INTENSIVOS (UCI)",IF(P45=CURSOS!$D$8,"MODELO DE ATENCION PARA EVENTOS EMERGENTES EN SALUD MENTAL (CODIGO VERDE)",IF(P45=CURSOS!$D$9,"HUMANIZACION EN EL SERVICIO DE LA SALUD Y BUENAS PRACTICAS EN PACIENTE ",IF(P45=CURSOS!$D$10,"CLINICA DE HERIDAS ",IF(P45=CURSOS!$D$11,"TOMA DE CITOLOGIA CERVICO VAGINAL ",IF(P45=CURSOS!$D$12,"SOPORTE CARDIOVASCULAR AVANZADO (ACLS) ",IF(P45=CURSOS!$D$13,"CAMILLERO ",IF(P45=CURSOS!$D$14,"TOMA DE MUESTRAS Y LABORATORIO ",IF(P45=CURSOS!$D$15,"SOPORTE VITAL BASICO (BLS)",IF(P45=CURSOS!$D$16,"ATENCION A VICTIMAS DE VIOLENCIA SEXUAL ",IF(P45=CURSOS!$D$17,"PROGRAMADO AMPLIADO DE INMUNIZACION (PAI - COVID 19)",IF(P45=CURSOS!$D$18,"ATENCION INTEGRAL EN ENFERMEDADES PREVALENTES EN PRIMERA INFANCIA (AIEPI)",IF(P45=CURSOS!$D$19,"ADMINISTRACION DE MEDICAMENTOS, INYECTOLOGIA  Y CANALIZACION ",IF(P45=CURSOS!$D$20,"OPERADOR DE VEHICULOS DE EMERGENCIA (OVE)",IF(P45=CURSOS!$D$21,"INSTITUCIONES AMIGAS DE LA MUJER Y LA INFANCIA (IAMI)",IF(P45=CURSOS!$D$22,"CUIDADO DEL DONANTE DE ORGANOS",IF(P45=CURSOS!$D$23,"ATENCION A VICTIMAS POR VIOLENCIA DE GENERO",IF(P45=CURSOS!$D$24,"IGUALDAD DE GENERO EN LA SALUD",IF(P45=CURSOS!$D$25,"BRIGADA DE EMERGENCIA",IF(P45=CURSOS!$D$26,"MANEJO DEL DOLOR Y CUIDADOS PALIATIVOS",IF(P45=CURSOS!$D$27,"TOMA DE MUESTRAS Y LABORATORIO POCT",IF(P45=CURSOS!$D$28,"IMPLANTE SUBDERMICO DE DISPOSITIVO INTRAUTERINO",IF(P45=CURSOS!$D$29,"SALUD MENTAL",IF(P45=CURSOS!$D$30,"PRIMEROS AUXILIOS PSICOLOGICOS",IF(P45=CURSOS!$D$31,"ATENCION A VICTIMAS POR CONFLICTO ARMADO",IF(P45=CURSOS!$D$32,"MANIPULACION DE ALIMENTOS Y BPM",IF(P45=CURSOS!$D$33,"ATENCION A PERSONAS CON DISCAPACIDAD",IF(P45=CURSOS!$D$34,"CUIDADO INTEGRAL DEL PACIENTE ADULTO",IF(P45=CURSOS!$D$35,"MANEJO DEFENSIVO",IF(P45=CURSOS!$D$36,"SOPORTE CARDIOVASCULAR AVANZADO NEONATAL",IF(P45=CURSOS!$D$37,"SEGURIDAD DEL PACIENTE",IF(P45=CURSOS!$D$38,"MANEJO DE RESIDUOS HOSPITALARIOS"))))))))))))))))))))))))))))))))))))</f>
        <v xml:space="preserve">ADMINISTRACION DE MEDICAMENTOS, INYECTOLOGIA  Y CANALIZACION </v>
      </c>
      <c r="W45" s="65" t="str">
        <f t="shared" si="6"/>
        <v>Martha Ines Zambrano Hernandez</v>
      </c>
      <c r="X45" s="65" t="str">
        <f t="shared" si="7"/>
        <v>Martha Ines Zambrano Hernandez</v>
      </c>
      <c r="Y45" s="65" t="str">
        <f t="shared" si="8"/>
        <v>Martha Ines Zambrano Hernandez-1013584940-ADMON DE MEDICAMENTOS</v>
      </c>
    </row>
    <row r="46" spans="1:25" s="58" customFormat="1" x14ac:dyDescent="0.2">
      <c r="A46" s="59">
        <v>45</v>
      </c>
      <c r="B46" s="60">
        <v>1087212955</v>
      </c>
      <c r="C46" s="60" t="s">
        <v>247</v>
      </c>
      <c r="D46" s="60" t="s">
        <v>248</v>
      </c>
      <c r="E46" s="60" t="s">
        <v>249</v>
      </c>
      <c r="F46" s="60" t="s">
        <v>250</v>
      </c>
      <c r="G46" s="60">
        <v>10</v>
      </c>
      <c r="H46" s="60" t="s">
        <v>103</v>
      </c>
      <c r="I46" s="61" t="s">
        <v>104</v>
      </c>
      <c r="J46" s="61"/>
      <c r="K46" s="62" t="s">
        <v>277</v>
      </c>
      <c r="L46" s="63"/>
      <c r="M46" s="60" t="s">
        <v>158</v>
      </c>
      <c r="N46" s="60" t="s">
        <v>105</v>
      </c>
      <c r="O46" s="60" t="s">
        <v>106</v>
      </c>
      <c r="P46" s="60" t="s">
        <v>45</v>
      </c>
      <c r="Q46" s="61">
        <v>36458</v>
      </c>
      <c r="R46" s="60" t="s">
        <v>107</v>
      </c>
      <c r="S46" s="75" t="s">
        <v>154</v>
      </c>
      <c r="T46" s="60">
        <v>3182019565</v>
      </c>
      <c r="U46" s="60" t="s">
        <v>251</v>
      </c>
      <c r="V46" s="65" t="str">
        <f>IF(P46=CURSOS!$D$3,"DIPLOMADO EN ATENCION PRE-HOSPITALARIA",IF(P46=CURSOS!$D$4,"ACOMPAÑAMIENTO Y MANEJO DEL DUELO",IF(P46=CURSOS!$D$5,"ATENCION A VICTIMAS DE ATAQUE CON AGENTES QUIMICOS ",IF(P46=CURSOS!$D$6,"PRIMEROS AUXILIOS ",IF(P46=CURSOS!$D$7,"DIPLOMADO DE UNIDAD DE CUIDADOS INTENSIVOS (UCI)",IF(P46=CURSOS!$D$8,"MODELO DE ATENCION PARA EVENTOS EMERGENTES EN SALUD MENTAL (CODIGO VERDE)",IF(P46=CURSOS!$D$9,"HUMANIZACION EN EL SERVICIO DE LA SALUD Y BUENAS PRACTICAS EN PACIENTE ",IF(P46=CURSOS!$D$10,"CLINICA DE HERIDAS ",IF(P46=CURSOS!$D$11,"TOMA DE CITOLOGIA CERVICO VAGINAL ",IF(P46=CURSOS!$D$12,"SOPORTE CARDIOVASCULAR AVANZADO (ACLS) ",IF(P46=CURSOS!$D$13,"CAMILLERO ",IF(P46=CURSOS!$D$14,"TOMA DE MUESTRAS Y LABORATORIO ",IF(P46=CURSOS!$D$15,"SOPORTE VITAL BASICO (BLS)",IF(P46=CURSOS!$D$16,"ATENCION A VICTIMAS DE VIOLENCIA SEXUAL ",IF(P46=CURSOS!$D$17,"PROGRAMADO AMPLIADO DE INMUNIZACION (PAI - COVID 19)",IF(P46=CURSOS!$D$18,"ATENCION INTEGRAL EN ENFERMEDADES PREVALENTES EN PRIMERA INFANCIA (AIEPI)",IF(P46=CURSOS!$D$19,"ADMINISTRACION DE MEDICAMENTOS, INYECTOLOGIA  Y CANALIZACION ",IF(P46=CURSOS!$D$20,"OPERADOR DE VEHICULOS DE EMERGENCIA (OVE)",IF(P46=CURSOS!$D$21,"INSTITUCIONES AMIGAS DE LA MUJER Y LA INFANCIA (IAMI)",IF(P46=CURSOS!$D$22,"CUIDADO DEL DONANTE DE ORGANOS",IF(P46=CURSOS!$D$23,"ATENCION A VICTIMAS POR VIOLENCIA DE GENERO",IF(P46=CURSOS!$D$24,"IGUALDAD DE GENERO EN LA SALUD",IF(P46=CURSOS!$D$25,"BRIGADA DE EMERGENCIA",IF(P46=CURSOS!$D$26,"MANEJO DEL DOLOR Y CUIDADOS PALIATIVOS",IF(P46=CURSOS!$D$27,"TOMA DE MUESTRAS Y LABORATORIO POCT",IF(P46=CURSOS!$D$28,"IMPLANTE SUBDERMICO DE DISPOSITIVO INTRAUTERINO",IF(P46=CURSOS!$D$29,"SALUD MENTAL",IF(P46=CURSOS!$D$30,"PRIMEROS AUXILIOS PSICOLOGICOS",IF(P46=CURSOS!$D$31,"ATENCION A VICTIMAS POR CONFLICTO ARMADO",IF(P46=CURSOS!$D$32,"MANIPULACION DE ALIMENTOS Y BPM",IF(P46=CURSOS!$D$33,"ATENCION A PERSONAS CON DISCAPACIDAD",IF(P46=CURSOS!$D$34,"CUIDADO INTEGRAL DEL PACIENTE ADULTO",IF(P46=CURSOS!$D$35,"MANEJO DEFENSIVO",IF(P46=CURSOS!$D$36,"SOPORTE CARDIOVASCULAR AVANZADO NEONATAL",IF(P46=CURSOS!$D$37,"SEGURIDAD DEL PACIENTE",IF(P46=CURSOS!$D$38,"MANEJO DE RESIDUOS HOSPITALARIOS"))))))))))))))))))))))))))))))))))))</f>
        <v xml:space="preserve">ADMINISTRACION DE MEDICAMENTOS, INYECTOLOGIA  Y CANALIZACION </v>
      </c>
      <c r="W46" s="65" t="str">
        <f t="shared" si="6"/>
        <v>Yadira Fernanda Herman Tenorio</v>
      </c>
      <c r="X46" s="65" t="str">
        <f t="shared" si="7"/>
        <v>Yadira Fernanda Herman Tenorio</v>
      </c>
      <c r="Y46" s="65" t="str">
        <f t="shared" si="8"/>
        <v>Yadira Fernanda Herman Tenorio-1087212955-ADMON DE MEDICAMENTOS</v>
      </c>
    </row>
    <row r="47" spans="1:25" s="58" customFormat="1" x14ac:dyDescent="0.2">
      <c r="A47" s="59">
        <v>46</v>
      </c>
      <c r="B47" s="60">
        <v>27091434</v>
      </c>
      <c r="C47" s="60" t="s">
        <v>160</v>
      </c>
      <c r="D47" s="60" t="s">
        <v>160</v>
      </c>
      <c r="E47" s="60" t="s">
        <v>161</v>
      </c>
      <c r="F47" s="60" t="s">
        <v>162</v>
      </c>
      <c r="G47" s="60">
        <v>10</v>
      </c>
      <c r="H47" s="60" t="s">
        <v>103</v>
      </c>
      <c r="I47" s="61" t="s">
        <v>104</v>
      </c>
      <c r="J47" s="61"/>
      <c r="K47" s="62">
        <v>45726</v>
      </c>
      <c r="L47" s="63"/>
      <c r="M47" s="60"/>
      <c r="N47" s="60" t="s">
        <v>105</v>
      </c>
      <c r="O47" s="60" t="s">
        <v>106</v>
      </c>
      <c r="P47" s="60" t="s">
        <v>45</v>
      </c>
      <c r="Q47" s="61">
        <v>28705</v>
      </c>
      <c r="R47" s="60" t="s">
        <v>107</v>
      </c>
      <c r="S47" s="75" t="s">
        <v>117</v>
      </c>
      <c r="T47" s="60">
        <v>3184331826</v>
      </c>
      <c r="U47" s="60"/>
      <c r="V47" s="65" t="str">
        <f>IF(P47=CURSOS!$D$3,"DIPLOMADO EN ATENCION PRE-HOSPITALARIA",IF(P47=CURSOS!$D$4,"ACOMPAÑAMIENTO Y MANEJO DEL DUELO",IF(P47=CURSOS!$D$5,"ATENCION A VICTIMAS DE ATAQUE CON AGENTES QUIMICOS ",IF(P47=CURSOS!$D$6,"PRIMEROS AUXILIOS ",IF(P47=CURSOS!$D$7,"DIPLOMADO DE UNIDAD DE CUIDADOS INTENSIVOS (UCI)",IF(P47=CURSOS!$D$8,"MODELO DE ATENCION PARA EVENTOS EMERGENTES EN SALUD MENTAL (CODIGO VERDE)",IF(P47=CURSOS!$D$9,"HUMANIZACION EN EL SERVICIO DE LA SALUD Y BUENAS PRACTICAS EN PACIENTE ",IF(P47=CURSOS!$D$10,"CLINICA DE HERIDAS ",IF(P47=CURSOS!$D$11,"TOMA DE CITOLOGIA CERVICO VAGINAL ",IF(P47=CURSOS!$D$12,"SOPORTE CARDIOVASCULAR AVANZADO (ACLS) ",IF(P47=CURSOS!$D$13,"CAMILLERO ",IF(P47=CURSOS!$D$14,"TOMA DE MUESTRAS Y LABORATORIO ",IF(P47=CURSOS!$D$15,"SOPORTE VITAL BASICO (BLS)",IF(P47=CURSOS!$D$16,"ATENCION A VICTIMAS DE VIOLENCIA SEXUAL ",IF(P47=CURSOS!$D$17,"PROGRAMADO AMPLIADO DE INMUNIZACION (PAI - COVID 19)",IF(P47=CURSOS!$D$18,"ATENCION INTEGRAL EN ENFERMEDADES PREVALENTES EN PRIMERA INFANCIA (AIEPI)",IF(P47=CURSOS!$D$19,"ADMINISTRACION DE MEDICAMENTOS, INYECTOLOGIA  Y CANALIZACION ",IF(P47=CURSOS!$D$20,"OPERADOR DE VEHICULOS DE EMERGENCIA (OVE)",IF(P47=CURSOS!$D$21,"INSTITUCIONES AMIGAS DE LA MUJER Y LA INFANCIA (IAMI)",IF(P47=CURSOS!$D$22,"CUIDADO DEL DONANTE DE ORGANOS",IF(P47=CURSOS!$D$23,"ATENCION A VICTIMAS POR VIOLENCIA DE GENERO",IF(P47=CURSOS!$D$24,"IGUALDAD DE GENERO EN LA SALUD",IF(P47=CURSOS!$D$25,"BRIGADA DE EMERGENCIA",IF(P47=CURSOS!$D$26,"MANEJO DEL DOLOR Y CUIDADOS PALIATIVOS",IF(P47=CURSOS!$D$27,"TOMA DE MUESTRAS Y LABORATORIO POCT",IF(P47=CURSOS!$D$28,"IMPLANTE SUBDERMICO DE DISPOSITIVO INTRAUTERINO",IF(P47=CURSOS!$D$29,"SALUD MENTAL",IF(P47=CURSOS!$D$30,"PRIMEROS AUXILIOS PSICOLOGICOS",IF(P47=CURSOS!$D$31,"ATENCION A VICTIMAS POR CONFLICTO ARMADO",IF(P47=CURSOS!$D$32,"MANIPULACION DE ALIMENTOS Y BPM",IF(P47=CURSOS!$D$33,"ATENCION A PERSONAS CON DISCAPACIDAD",IF(P47=CURSOS!$D$34,"CUIDADO INTEGRAL DEL PACIENTE ADULTO",IF(P47=CURSOS!$D$35,"MANEJO DEFENSIVO",IF(P47=CURSOS!$D$36,"SOPORTE CARDIOVASCULAR AVANZADO NEONATAL",IF(P47=CURSOS!$D$37,"SEGURIDAD DEL PACIENTE",IF(P47=CURSOS!$D$38,"MANEJO DE RESIDUOS HOSPITALARIOS"))))))))))))))))))))))))))))))))))))</f>
        <v xml:space="preserve">ADMINISTRACION DE MEDICAMENTOS, INYECTOLOGIA  Y CANALIZACION </v>
      </c>
      <c r="W47" s="65" t="str">
        <f t="shared" si="6"/>
        <v>Janeth Del Socorro Benavides Benavides</v>
      </c>
      <c r="X47" s="65" t="str">
        <f t="shared" si="7"/>
        <v>Janeth Del Socorro Benavides Benavides</v>
      </c>
      <c r="Y47" s="65" t="str">
        <f t="shared" si="8"/>
        <v>Janeth Del Socorro Benavides Benavides-27091434-ADMON DE MEDICAMENTOS</v>
      </c>
    </row>
    <row r="48" spans="1:25" s="58" customFormat="1" x14ac:dyDescent="0.2">
      <c r="A48" s="59">
        <v>47</v>
      </c>
      <c r="B48" s="60">
        <v>36934933</v>
      </c>
      <c r="C48" s="60" t="s">
        <v>254</v>
      </c>
      <c r="D48" s="60" t="s">
        <v>255</v>
      </c>
      <c r="E48" s="60" t="s">
        <v>256</v>
      </c>
      <c r="F48" s="60" t="s">
        <v>257</v>
      </c>
      <c r="G48" s="60">
        <v>10</v>
      </c>
      <c r="H48" s="60" t="s">
        <v>103</v>
      </c>
      <c r="I48" s="61" t="s">
        <v>123</v>
      </c>
      <c r="J48" s="61" t="s">
        <v>177</v>
      </c>
      <c r="K48" s="62">
        <v>45727</v>
      </c>
      <c r="L48" s="63">
        <v>25000</v>
      </c>
      <c r="M48" s="60" t="s">
        <v>126</v>
      </c>
      <c r="N48" s="60" t="s">
        <v>105</v>
      </c>
      <c r="O48" s="60" t="s">
        <v>182</v>
      </c>
      <c r="P48" s="60" t="s">
        <v>23</v>
      </c>
      <c r="Q48" s="61">
        <v>28798</v>
      </c>
      <c r="R48" s="60" t="s">
        <v>107</v>
      </c>
      <c r="S48" s="75" t="s">
        <v>117</v>
      </c>
      <c r="T48" s="60">
        <v>3178385476</v>
      </c>
      <c r="U48" s="60" t="s">
        <v>258</v>
      </c>
      <c r="V48" s="65" t="str">
        <f>IF(P48=CURSOS!$D$3,"DIPLOMADO EN ATENCION PRE-HOSPITALARIA",IF(P48=CURSOS!$D$4,"ACOMPAÑAMIENTO Y MANEJO DEL DUELO",IF(P48=CURSOS!$D$5,"ATENCION A VICTIMAS DE ATAQUE CON AGENTES QUIMICOS ",IF(P48=CURSOS!$D$6,"PRIMEROS AUXILIOS ",IF(P48=CURSOS!$D$7,"DIPLOMADO DE UNIDAD DE CUIDADOS INTENSIVOS (UCI)",IF(P48=CURSOS!$D$8,"MODELO DE ATENCION PARA EVENTOS EMERGENTES EN SALUD MENTAL (CODIGO VERDE)",IF(P48=CURSOS!$D$9,"HUMANIZACION EN EL SERVICIO DE LA SALUD Y BUENAS PRACTICAS EN PACIENTE ",IF(P48=CURSOS!$D$10,"CLINICA DE HERIDAS ",IF(P48=CURSOS!$D$11,"TOMA DE CITOLOGIA CERVICO VAGINAL ",IF(P48=CURSOS!$D$12,"SOPORTE CARDIOVASCULAR AVANZADO (ACLS) ",IF(P48=CURSOS!$D$13,"CAMILLERO ",IF(P48=CURSOS!$D$14,"TOMA DE MUESTRAS Y LABORATORIO ",IF(P48=CURSOS!$D$15,"SOPORTE VITAL BASICO (BLS)",IF(P48=CURSOS!$D$16,"ATENCION A VICTIMAS DE VIOLENCIA SEXUAL ",IF(P48=CURSOS!$D$17,"PROGRAMADO AMPLIADO DE INMUNIZACION (PAI - COVID 19)",IF(P48=CURSOS!$D$18,"ATENCION INTEGRAL EN ENFERMEDADES PREVALENTES EN PRIMERA INFANCIA (AIEPI)",IF(P48=CURSOS!$D$19,"ADMINISTRACION DE MEDICAMENTOS, INYECTOLOGIA  Y CANALIZACION ",IF(P48=CURSOS!$D$20,"OPERADOR DE VEHICULOS DE EMERGENCIA (OVE)",IF(P48=CURSOS!$D$21,"INSTITUCIONES AMIGAS DE LA MUJER Y LA INFANCIA (IAMI)",IF(P48=CURSOS!$D$22,"CUIDADO DEL DONANTE DE ORGANOS",IF(P48=CURSOS!$D$23,"ATENCION A VICTIMAS POR VIOLENCIA DE GENERO",IF(P48=CURSOS!$D$24,"IGUALDAD DE GENERO EN LA SALUD",IF(P48=CURSOS!$D$25,"BRIGADA DE EMERGENCIA",IF(P48=CURSOS!$D$26,"MANEJO DEL DOLOR Y CUIDADOS PALIATIVOS",IF(P48=CURSOS!$D$27,"TOMA DE MUESTRAS Y LABORATORIO POCT",IF(P48=CURSOS!$D$28,"IMPLANTE SUBDERMICO DE DISPOSITIVO INTRAUTERINO",IF(P48=CURSOS!$D$29,"SALUD MENTAL",IF(P48=CURSOS!$D$30,"PRIMEROS AUXILIOS PSICOLOGICOS",IF(P48=CURSOS!$D$31,"ATENCION A VICTIMAS POR CONFLICTO ARMADO",IF(P48=CURSOS!$D$32,"MANIPULACION DE ALIMENTOS Y BPM",IF(P48=CURSOS!$D$33,"ATENCION A PERSONAS CON DISCAPACIDAD",IF(P48=CURSOS!$D$34,"CUIDADO INTEGRAL DEL PACIENTE ADULTO",IF(P48=CURSOS!$D$35,"MANEJO DEFENSIVO",IF(P48=CURSOS!$D$36,"SOPORTE CARDIOVASCULAR AVANZADO NEONATAL",IF(P48=CURSOS!$D$37,"SEGURIDAD DEL PACIENTE",IF(P48=CURSOS!$D$38,"MANEJO DE RESIDUOS HOSPITALARIOS"))))))))))))))))))))))))))))))))))))</f>
        <v>ACOMPAÑAMIENTO Y MANEJO DEL DUELO</v>
      </c>
      <c r="W48" s="65" t="str">
        <f t="shared" si="6"/>
        <v>Angela Carolina Ortega Rodriguez</v>
      </c>
      <c r="X48" s="65" t="str">
        <f t="shared" si="7"/>
        <v>Angela Carolina Ortega Rodriguez</v>
      </c>
      <c r="Y48" s="65" t="str">
        <f t="shared" si="8"/>
        <v>Angela Carolina Ortega Rodriguez-36934933-DUELO</v>
      </c>
    </row>
    <row r="49" spans="1:25" s="58" customFormat="1" x14ac:dyDescent="0.2">
      <c r="A49" s="59">
        <v>48</v>
      </c>
      <c r="B49" s="60">
        <v>36931576</v>
      </c>
      <c r="C49" s="60" t="s">
        <v>259</v>
      </c>
      <c r="D49" s="60" t="s">
        <v>260</v>
      </c>
      <c r="E49" s="60" t="s">
        <v>153</v>
      </c>
      <c r="F49" s="60" t="s">
        <v>261</v>
      </c>
      <c r="G49" s="60">
        <v>8</v>
      </c>
      <c r="H49" s="60" t="s">
        <v>103</v>
      </c>
      <c r="I49" s="61" t="s">
        <v>123</v>
      </c>
      <c r="J49" s="61" t="s">
        <v>177</v>
      </c>
      <c r="K49" s="62">
        <v>45727</v>
      </c>
      <c r="L49" s="63">
        <v>25000</v>
      </c>
      <c r="M49" s="60" t="s">
        <v>126</v>
      </c>
      <c r="N49" s="60" t="s">
        <v>105</v>
      </c>
      <c r="O49" s="60" t="s">
        <v>182</v>
      </c>
      <c r="P49" s="60" t="s">
        <v>25</v>
      </c>
      <c r="Q49" s="61">
        <v>26743</v>
      </c>
      <c r="R49" s="60" t="s">
        <v>107</v>
      </c>
      <c r="S49" s="75" t="s">
        <v>117</v>
      </c>
      <c r="T49" s="60">
        <v>3165821468</v>
      </c>
      <c r="U49" s="60" t="s">
        <v>262</v>
      </c>
      <c r="V49" s="65" t="str">
        <f>IF(P49=CURSOS!$D$3,"DIPLOMADO EN ATENCION PRE-HOSPITALARIA",IF(P49=CURSOS!$D$4,"ACOMPAÑAMIENTO Y MANEJO DEL DUELO",IF(P49=CURSOS!$D$5,"ATENCION A VICTIMAS DE ATAQUE CON AGENTES QUIMICOS ",IF(P49=CURSOS!$D$6,"PRIMEROS AUXILIOS ",IF(P49=CURSOS!$D$7,"DIPLOMADO DE UNIDAD DE CUIDADOS INTENSIVOS (UCI)",IF(P49=CURSOS!$D$8,"MODELO DE ATENCION PARA EVENTOS EMERGENTES EN SALUD MENTAL (CODIGO VERDE)",IF(P49=CURSOS!$D$9,"HUMANIZACION EN EL SERVICIO DE LA SALUD Y BUENAS PRACTICAS EN PACIENTE ",IF(P49=CURSOS!$D$10,"CLINICA DE HERIDAS ",IF(P49=CURSOS!$D$11,"TOMA DE CITOLOGIA CERVICO VAGINAL ",IF(P49=CURSOS!$D$12,"SOPORTE CARDIOVASCULAR AVANZADO (ACLS) ",IF(P49=CURSOS!$D$13,"CAMILLERO ",IF(P49=CURSOS!$D$14,"TOMA DE MUESTRAS Y LABORATORIO ",IF(P49=CURSOS!$D$15,"SOPORTE VITAL BASICO (BLS)",IF(P49=CURSOS!$D$16,"ATENCION A VICTIMAS DE VIOLENCIA SEXUAL ",IF(P49=CURSOS!$D$17,"PROGRAMADO AMPLIADO DE INMUNIZACION (PAI - COVID 19)",IF(P49=CURSOS!$D$18,"ATENCION INTEGRAL EN ENFERMEDADES PREVALENTES EN PRIMERA INFANCIA (AIEPI)",IF(P49=CURSOS!$D$19,"ADMINISTRACION DE MEDICAMENTOS, INYECTOLOGIA  Y CANALIZACION ",IF(P49=CURSOS!$D$20,"OPERADOR DE VEHICULOS DE EMERGENCIA (OVE)",IF(P49=CURSOS!$D$21,"INSTITUCIONES AMIGAS DE LA MUJER Y LA INFANCIA (IAMI)",IF(P49=CURSOS!$D$22,"CUIDADO DEL DONANTE DE ORGANOS",IF(P49=CURSOS!$D$23,"ATENCION A VICTIMAS POR VIOLENCIA DE GENERO",IF(P49=CURSOS!$D$24,"IGUALDAD DE GENERO EN LA SALUD",IF(P49=CURSOS!$D$25,"BRIGADA DE EMERGENCIA",IF(P49=CURSOS!$D$26,"MANEJO DEL DOLOR Y CUIDADOS PALIATIVOS",IF(P49=CURSOS!$D$27,"TOMA DE MUESTRAS Y LABORATORIO POCT",IF(P49=CURSOS!$D$28,"IMPLANTE SUBDERMICO DE DISPOSITIVO INTRAUTERINO",IF(P49=CURSOS!$D$29,"SALUD MENTAL",IF(P49=CURSOS!$D$30,"PRIMEROS AUXILIOS PSICOLOGICOS",IF(P49=CURSOS!$D$31,"ATENCION A VICTIMAS POR CONFLICTO ARMADO",IF(P49=CURSOS!$D$32,"MANIPULACION DE ALIMENTOS Y BPM",IF(P49=CURSOS!$D$33,"ATENCION A PERSONAS CON DISCAPACIDAD",IF(P49=CURSOS!$D$34,"CUIDADO INTEGRAL DEL PACIENTE ADULTO",IF(P49=CURSOS!$D$35,"MANEJO DEFENSIVO",IF(P49=CURSOS!$D$36,"SOPORTE CARDIOVASCULAR AVANZADO NEONATAL",IF(P49=CURSOS!$D$37,"SEGURIDAD DEL PACIENTE",IF(P49=CURSOS!$D$38,"MANEJO DE RESIDUOS HOSPITALARIOS"))))))))))))))))))))))))))))))))))))</f>
        <v xml:space="preserve">ATENCION A VICTIMAS DE ATAQUE CON AGENTES QUIMICOS </v>
      </c>
      <c r="W49" s="65" t="str">
        <f t="shared" si="6"/>
        <v>Liliana Isabel Mainguez Alvear</v>
      </c>
      <c r="X49" s="65" t="str">
        <f t="shared" si="7"/>
        <v>Liliana Isabel Mainguez Alvear</v>
      </c>
      <c r="Y49" s="65" t="str">
        <f t="shared" si="8"/>
        <v>Liliana Isabel Mainguez Alvear-36931576-QUIMICOS</v>
      </c>
    </row>
    <row r="50" spans="1:25" s="58" customFormat="1" x14ac:dyDescent="0.2">
      <c r="A50" s="59">
        <v>49</v>
      </c>
      <c r="B50" s="60">
        <v>1085319523</v>
      </c>
      <c r="C50" s="60" t="s">
        <v>150</v>
      </c>
      <c r="D50" s="60" t="s">
        <v>263</v>
      </c>
      <c r="E50" s="60" t="s">
        <v>264</v>
      </c>
      <c r="F50" s="60" t="s">
        <v>265</v>
      </c>
      <c r="G50" s="60">
        <v>7</v>
      </c>
      <c r="H50" s="60" t="s">
        <v>103</v>
      </c>
      <c r="I50" s="61" t="s">
        <v>123</v>
      </c>
      <c r="J50" s="61" t="s">
        <v>177</v>
      </c>
      <c r="K50" s="62">
        <v>45727</v>
      </c>
      <c r="L50" s="63">
        <v>25000</v>
      </c>
      <c r="M50" s="60" t="s">
        <v>126</v>
      </c>
      <c r="N50" s="60" t="s">
        <v>105</v>
      </c>
      <c r="O50" s="60" t="s">
        <v>182</v>
      </c>
      <c r="P50" s="60" t="s">
        <v>19</v>
      </c>
      <c r="Q50" s="61">
        <v>34758</v>
      </c>
      <c r="R50" s="60" t="s">
        <v>107</v>
      </c>
      <c r="S50" s="60" t="s">
        <v>117</v>
      </c>
      <c r="T50" s="60">
        <v>3218154938</v>
      </c>
      <c r="U50" s="60" t="s">
        <v>266</v>
      </c>
      <c r="V50" s="65" t="str">
        <f>IF(P50=CURSOS!$D$3,"DIPLOMADO EN ATENCION PRE-HOSPITALARIA",IF(P50=CURSOS!$D$4,"ACOMPAÑAMIENTO Y MANEJO DEL DUELO",IF(P50=CURSOS!$D$5,"ATENCION A VICTIMAS DE ATAQUE CON AGENTES QUIMICOS ",IF(P50=CURSOS!$D$6,"PRIMEROS AUXILIOS ",IF(P50=CURSOS!$D$7,"DIPLOMADO DE UNIDAD DE CUIDADOS INTENSIVOS (UCI)",IF(P50=CURSOS!$D$8,"MODELO DE ATENCION PARA EVENTOS EMERGENTES EN SALUD MENTAL (CODIGO VERDE)",IF(P50=CURSOS!$D$9,"HUMANIZACION EN EL SERVICIO DE LA SALUD Y BUENAS PRACTICAS EN PACIENTE ",IF(P50=CURSOS!$D$10,"CLINICA DE HERIDAS ",IF(P50=CURSOS!$D$11,"TOMA DE CITOLOGIA CERVICO VAGINAL ",IF(P50=CURSOS!$D$12,"SOPORTE CARDIOVASCULAR AVANZADO (ACLS) ",IF(P50=CURSOS!$D$13,"CAMILLERO ",IF(P50=CURSOS!$D$14,"TOMA DE MUESTRAS Y LABORATORIO ",IF(P50=CURSOS!$D$15,"SOPORTE VITAL BASICO (BLS)",IF(P50=CURSOS!$D$16,"ATENCION A VICTIMAS DE VIOLENCIA SEXUAL ",IF(P50=CURSOS!$D$17,"PROGRAMADO AMPLIADO DE INMUNIZACION (PAI - COVID 19)",IF(P50=CURSOS!$D$18,"ATENCION INTEGRAL EN ENFERMEDADES PREVALENTES EN PRIMERA INFANCIA (AIEPI)",IF(P50=CURSOS!$D$19,"ADMINISTRACION DE MEDICAMENTOS, INYECTOLOGIA  Y CANALIZACION ",IF(P50=CURSOS!$D$20,"OPERADOR DE VEHICULOS DE EMERGENCIA (OVE)",IF(P50=CURSOS!$D$21,"INSTITUCIONES AMIGAS DE LA MUJER Y LA INFANCIA (IAMI)",IF(P50=CURSOS!$D$22,"CUIDADO DEL DONANTE DE ORGANOS",IF(P50=CURSOS!$D$23,"ATENCION A VICTIMAS POR VIOLENCIA DE GENERO",IF(P50=CURSOS!$D$24,"IGUALDAD DE GENERO EN LA SALUD",IF(P50=CURSOS!$D$25,"BRIGADA DE EMERGENCIA",IF(P50=CURSOS!$D$26,"MANEJO DEL DOLOR Y CUIDADOS PALIATIVOS",IF(P50=CURSOS!$D$27,"TOMA DE MUESTRAS Y LABORATORIO POCT",IF(P50=CURSOS!$D$28,"IMPLANTE SUBDERMICO DE DISPOSITIVO INTRAUTERINO",IF(P50=CURSOS!$D$29,"SALUD MENTAL",IF(P50=CURSOS!$D$30,"PRIMEROS AUXILIOS PSICOLOGICOS",IF(P50=CURSOS!$D$31,"ATENCION A VICTIMAS POR CONFLICTO ARMADO",IF(P50=CURSOS!$D$32,"MANIPULACION DE ALIMENTOS Y BPM",IF(P50=CURSOS!$D$33,"ATENCION A PERSONAS CON DISCAPACIDAD",IF(P50=CURSOS!$D$34,"CUIDADO INTEGRAL DEL PACIENTE ADULTO",IF(P50=CURSOS!$D$35,"MANEJO DEFENSIVO",IF(P50=CURSOS!$D$36,"SOPORTE CARDIOVASCULAR AVANZADO NEONATAL",IF(P50=CURSOS!$D$37,"SEGURIDAD DEL PACIENTE",IF(P50=CURSOS!$D$38,"MANEJO DE RESIDUOS HOSPITALARIOS"))))))))))))))))))))))))))))))))))))</f>
        <v>SOPORTE VITAL BASICO (BLS)</v>
      </c>
      <c r="W50" s="65" t="str">
        <f t="shared" si="6"/>
        <v>Yany Dayalin Rosero Galvez</v>
      </c>
      <c r="X50" s="65" t="str">
        <f t="shared" si="7"/>
        <v>Yany Dayalin Rosero Galvez</v>
      </c>
      <c r="Y50" s="65" t="str">
        <f t="shared" si="8"/>
        <v>Yany Dayalin Rosero Galvez-1085319523-BLS</v>
      </c>
    </row>
    <row r="51" spans="1:25" s="58" customFormat="1" x14ac:dyDescent="0.2">
      <c r="A51" s="59">
        <v>50</v>
      </c>
      <c r="B51" s="60">
        <v>1085319523</v>
      </c>
      <c r="C51" s="60" t="s">
        <v>150</v>
      </c>
      <c r="D51" s="60" t="s">
        <v>263</v>
      </c>
      <c r="E51" s="60" t="s">
        <v>264</v>
      </c>
      <c r="F51" s="60" t="s">
        <v>265</v>
      </c>
      <c r="G51" s="60">
        <v>6</v>
      </c>
      <c r="H51" s="60" t="s">
        <v>103</v>
      </c>
      <c r="I51" s="61" t="s">
        <v>123</v>
      </c>
      <c r="J51" s="61" t="s">
        <v>177</v>
      </c>
      <c r="K51" s="62">
        <v>45727</v>
      </c>
      <c r="L51" s="63">
        <v>25000</v>
      </c>
      <c r="M51" s="60" t="s">
        <v>126</v>
      </c>
      <c r="N51" s="60" t="s">
        <v>105</v>
      </c>
      <c r="O51" s="60" t="s">
        <v>182</v>
      </c>
      <c r="P51" s="60" t="s">
        <v>42</v>
      </c>
      <c r="Q51" s="61">
        <v>34758</v>
      </c>
      <c r="R51" s="60" t="s">
        <v>107</v>
      </c>
      <c r="S51" s="60" t="s">
        <v>117</v>
      </c>
      <c r="T51" s="60">
        <v>3218154938</v>
      </c>
      <c r="U51" s="60" t="s">
        <v>266</v>
      </c>
      <c r="V51" s="65" t="str">
        <f>IF(P51=CURSOS!$D$3,"DIPLOMADO EN ATENCION PRE-HOSPITALARIA",IF(P51=CURSOS!$D$4,"ACOMPAÑAMIENTO Y MANEJO DEL DUELO",IF(P51=CURSOS!$D$5,"ATENCION A VICTIMAS DE ATAQUE CON AGENTES QUIMICOS ",IF(P51=CURSOS!$D$6,"PRIMEROS AUXILIOS ",IF(P51=CURSOS!$D$7,"DIPLOMADO DE UNIDAD DE CUIDADOS INTENSIVOS (UCI)",IF(P51=CURSOS!$D$8,"MODELO DE ATENCION PARA EVENTOS EMERGENTES EN SALUD MENTAL (CODIGO VERDE)",IF(P51=CURSOS!$D$9,"HUMANIZACION EN EL SERVICIO DE LA SALUD Y BUENAS PRACTICAS EN PACIENTE ",IF(P51=CURSOS!$D$10,"CLINICA DE HERIDAS ",IF(P51=CURSOS!$D$11,"TOMA DE CITOLOGIA CERVICO VAGINAL ",IF(P51=CURSOS!$D$12,"SOPORTE CARDIOVASCULAR AVANZADO (ACLS) ",IF(P51=CURSOS!$D$13,"CAMILLERO ",IF(P51=CURSOS!$D$14,"TOMA DE MUESTRAS Y LABORATORIO ",IF(P51=CURSOS!$D$15,"SOPORTE VITAL BASICO (BLS)",IF(P51=CURSOS!$D$16,"ATENCION A VICTIMAS DE VIOLENCIA SEXUAL ",IF(P51=CURSOS!$D$17,"PROGRAMADO AMPLIADO DE INMUNIZACION (PAI - COVID 19)",IF(P51=CURSOS!$D$18,"ATENCION INTEGRAL EN ENFERMEDADES PREVALENTES EN PRIMERA INFANCIA (AIEPI)",IF(P51=CURSOS!$D$19,"ADMINISTRACION DE MEDICAMENTOS, INYECTOLOGIA  Y CANALIZACION ",IF(P51=CURSOS!$D$20,"OPERADOR DE VEHICULOS DE EMERGENCIA (OVE)",IF(P51=CURSOS!$D$21,"INSTITUCIONES AMIGAS DE LA MUJER Y LA INFANCIA (IAMI)",IF(P51=CURSOS!$D$22,"CUIDADO DEL DONANTE DE ORGANOS",IF(P51=CURSOS!$D$23,"ATENCION A VICTIMAS POR VIOLENCIA DE GENERO",IF(P51=CURSOS!$D$24,"IGUALDAD DE GENERO EN LA SALUD",IF(P51=CURSOS!$D$25,"BRIGADA DE EMERGENCIA",IF(P51=CURSOS!$D$26,"MANEJO DEL DOLOR Y CUIDADOS PALIATIVOS",IF(P51=CURSOS!$D$27,"TOMA DE MUESTRAS Y LABORATORIO POCT",IF(P51=CURSOS!$D$28,"IMPLANTE SUBDERMICO DE DISPOSITIVO INTRAUTERINO",IF(P51=CURSOS!$D$29,"SALUD MENTAL",IF(P51=CURSOS!$D$30,"PRIMEROS AUXILIOS PSICOLOGICOS",IF(P51=CURSOS!$D$31,"ATENCION A VICTIMAS POR CONFLICTO ARMADO",IF(P51=CURSOS!$D$32,"MANIPULACION DE ALIMENTOS Y BPM",IF(P51=CURSOS!$D$33,"ATENCION A PERSONAS CON DISCAPACIDAD",IF(P51=CURSOS!$D$34,"CUIDADO INTEGRAL DEL PACIENTE ADULTO",IF(P51=CURSOS!$D$35,"MANEJO DEFENSIVO",IF(P51=CURSOS!$D$36,"SOPORTE CARDIOVASCULAR AVANZADO NEONATAL",IF(P51=CURSOS!$D$37,"SEGURIDAD DEL PACIENTE",IF(P51=CURSOS!$D$38,"MANEJO DE RESIDUOS HOSPITALARIOS"))))))))))))))))))))))))))))))))))))</f>
        <v xml:space="preserve">ATENCION A VICTIMAS DE VIOLENCIA SEXUAL </v>
      </c>
      <c r="W51" s="65" t="str">
        <f t="shared" si="6"/>
        <v>Yany Dayalin Rosero Galvez</v>
      </c>
      <c r="X51" s="65" t="str">
        <f t="shared" si="7"/>
        <v>Yany Dayalin Rosero Galvez</v>
      </c>
      <c r="Y51" s="65" t="str">
        <f t="shared" si="8"/>
        <v>Yany Dayalin Rosero Galvez-1085319523-VIOLENCIA SEXUAL</v>
      </c>
    </row>
    <row r="52" spans="1:25" s="58" customFormat="1" x14ac:dyDescent="0.2">
      <c r="A52" s="59">
        <v>51</v>
      </c>
      <c r="B52" s="60">
        <v>1085319523</v>
      </c>
      <c r="C52" s="60" t="s">
        <v>150</v>
      </c>
      <c r="D52" s="60" t="s">
        <v>263</v>
      </c>
      <c r="E52" s="60" t="s">
        <v>264</v>
      </c>
      <c r="F52" s="60" t="s">
        <v>265</v>
      </c>
      <c r="G52" s="60">
        <v>8</v>
      </c>
      <c r="H52" s="60" t="s">
        <v>103</v>
      </c>
      <c r="I52" s="61" t="s">
        <v>123</v>
      </c>
      <c r="J52" s="61" t="s">
        <v>177</v>
      </c>
      <c r="K52" s="62">
        <v>45727</v>
      </c>
      <c r="L52" s="63">
        <v>25000</v>
      </c>
      <c r="M52" s="60" t="s">
        <v>126</v>
      </c>
      <c r="N52" s="60" t="s">
        <v>105</v>
      </c>
      <c r="O52" s="60" t="s">
        <v>182</v>
      </c>
      <c r="P52" s="60" t="s">
        <v>25</v>
      </c>
      <c r="Q52" s="61">
        <v>34758</v>
      </c>
      <c r="R52" s="60" t="s">
        <v>107</v>
      </c>
      <c r="S52" s="60" t="s">
        <v>117</v>
      </c>
      <c r="T52" s="60">
        <v>3218154938</v>
      </c>
      <c r="U52" s="60" t="s">
        <v>266</v>
      </c>
      <c r="V52" s="65" t="str">
        <f>IF(P52=CURSOS!$D$3,"DIPLOMADO EN ATENCION PRE-HOSPITALARIA",IF(P52=CURSOS!$D$4,"ACOMPAÑAMIENTO Y MANEJO DEL DUELO",IF(P52=CURSOS!$D$5,"ATENCION A VICTIMAS DE ATAQUE CON AGENTES QUIMICOS ",IF(P52=CURSOS!$D$6,"PRIMEROS AUXILIOS ",IF(P52=CURSOS!$D$7,"DIPLOMADO DE UNIDAD DE CUIDADOS INTENSIVOS (UCI)",IF(P52=CURSOS!$D$8,"MODELO DE ATENCION PARA EVENTOS EMERGENTES EN SALUD MENTAL (CODIGO VERDE)",IF(P52=CURSOS!$D$9,"HUMANIZACION EN EL SERVICIO DE LA SALUD Y BUENAS PRACTICAS EN PACIENTE ",IF(P52=CURSOS!$D$10,"CLINICA DE HERIDAS ",IF(P52=CURSOS!$D$11,"TOMA DE CITOLOGIA CERVICO VAGINAL ",IF(P52=CURSOS!$D$12,"SOPORTE CARDIOVASCULAR AVANZADO (ACLS) ",IF(P52=CURSOS!$D$13,"CAMILLERO ",IF(P52=CURSOS!$D$14,"TOMA DE MUESTRAS Y LABORATORIO ",IF(P52=CURSOS!$D$15,"SOPORTE VITAL BASICO (BLS)",IF(P52=CURSOS!$D$16,"ATENCION A VICTIMAS DE VIOLENCIA SEXUAL ",IF(P52=CURSOS!$D$17,"PROGRAMADO AMPLIADO DE INMUNIZACION (PAI - COVID 19)",IF(P52=CURSOS!$D$18,"ATENCION INTEGRAL EN ENFERMEDADES PREVALENTES EN PRIMERA INFANCIA (AIEPI)",IF(P52=CURSOS!$D$19,"ADMINISTRACION DE MEDICAMENTOS, INYECTOLOGIA  Y CANALIZACION ",IF(P52=CURSOS!$D$20,"OPERADOR DE VEHICULOS DE EMERGENCIA (OVE)",IF(P52=CURSOS!$D$21,"INSTITUCIONES AMIGAS DE LA MUJER Y LA INFANCIA (IAMI)",IF(P52=CURSOS!$D$22,"CUIDADO DEL DONANTE DE ORGANOS",IF(P52=CURSOS!$D$23,"ATENCION A VICTIMAS POR VIOLENCIA DE GENERO",IF(P52=CURSOS!$D$24,"IGUALDAD DE GENERO EN LA SALUD",IF(P52=CURSOS!$D$25,"BRIGADA DE EMERGENCIA",IF(P52=CURSOS!$D$26,"MANEJO DEL DOLOR Y CUIDADOS PALIATIVOS",IF(P52=CURSOS!$D$27,"TOMA DE MUESTRAS Y LABORATORIO POCT",IF(P52=CURSOS!$D$28,"IMPLANTE SUBDERMICO DE DISPOSITIVO INTRAUTERINO",IF(P52=CURSOS!$D$29,"SALUD MENTAL",IF(P52=CURSOS!$D$30,"PRIMEROS AUXILIOS PSICOLOGICOS",IF(P52=CURSOS!$D$31,"ATENCION A VICTIMAS POR CONFLICTO ARMADO",IF(P52=CURSOS!$D$32,"MANIPULACION DE ALIMENTOS Y BPM",IF(P52=CURSOS!$D$33,"ATENCION A PERSONAS CON DISCAPACIDAD",IF(P52=CURSOS!$D$34,"CUIDADO INTEGRAL DEL PACIENTE ADULTO",IF(P52=CURSOS!$D$35,"MANEJO DEFENSIVO",IF(P52=CURSOS!$D$36,"SOPORTE CARDIOVASCULAR AVANZADO NEONATAL",IF(P52=CURSOS!$D$37,"SEGURIDAD DEL PACIENTE",IF(P52=CURSOS!$D$38,"MANEJO DE RESIDUOS HOSPITALARIOS"))))))))))))))))))))))))))))))))))))</f>
        <v xml:space="preserve">ATENCION A VICTIMAS DE ATAQUE CON AGENTES QUIMICOS </v>
      </c>
      <c r="W52" s="65" t="str">
        <f t="shared" ref="W52:W115" si="9">CONCATENATE(E52," ",F52," ",C52," ",D52)</f>
        <v>Yany Dayalin Rosero Galvez</v>
      </c>
      <c r="X52" s="65" t="str">
        <f t="shared" ref="X52:X115" si="10">PROPER(W52)</f>
        <v>Yany Dayalin Rosero Galvez</v>
      </c>
      <c r="Y52" s="65" t="str">
        <f t="shared" ref="Y52:Y115" si="11">CONCATENATE(W52,"-",B52,"-",P52)</f>
        <v>Yany Dayalin Rosero Galvez-1085319523-QUIMICOS</v>
      </c>
    </row>
    <row r="53" spans="1:25" s="58" customFormat="1" x14ac:dyDescent="0.2">
      <c r="A53" s="59">
        <v>52</v>
      </c>
      <c r="B53" s="60">
        <v>1085319523</v>
      </c>
      <c r="C53" s="60" t="s">
        <v>150</v>
      </c>
      <c r="D53" s="60" t="s">
        <v>263</v>
      </c>
      <c r="E53" s="60" t="s">
        <v>264</v>
      </c>
      <c r="F53" s="60" t="s">
        <v>265</v>
      </c>
      <c r="G53" s="60">
        <v>10</v>
      </c>
      <c r="H53" s="60" t="s">
        <v>103</v>
      </c>
      <c r="I53" s="61" t="s">
        <v>123</v>
      </c>
      <c r="J53" s="61" t="s">
        <v>177</v>
      </c>
      <c r="K53" s="62">
        <v>45727</v>
      </c>
      <c r="L53" s="63">
        <v>25000</v>
      </c>
      <c r="M53" s="60" t="s">
        <v>126</v>
      </c>
      <c r="N53" s="60" t="s">
        <v>105</v>
      </c>
      <c r="O53" s="60" t="s">
        <v>182</v>
      </c>
      <c r="P53" s="60" t="s">
        <v>23</v>
      </c>
      <c r="Q53" s="61">
        <v>34758</v>
      </c>
      <c r="R53" s="60" t="s">
        <v>107</v>
      </c>
      <c r="S53" s="60" t="s">
        <v>117</v>
      </c>
      <c r="T53" s="60">
        <v>3218154938</v>
      </c>
      <c r="U53" s="60" t="s">
        <v>266</v>
      </c>
      <c r="V53" s="65" t="str">
        <f>IF(P53=CURSOS!$D$3,"DIPLOMADO EN ATENCION PRE-HOSPITALARIA",IF(P53=CURSOS!$D$4,"ACOMPAÑAMIENTO Y MANEJO DEL DUELO",IF(P53=CURSOS!$D$5,"ATENCION A VICTIMAS DE ATAQUE CON AGENTES QUIMICOS ",IF(P53=CURSOS!$D$6,"PRIMEROS AUXILIOS ",IF(P53=CURSOS!$D$7,"DIPLOMADO DE UNIDAD DE CUIDADOS INTENSIVOS (UCI)",IF(P53=CURSOS!$D$8,"MODELO DE ATENCION PARA EVENTOS EMERGENTES EN SALUD MENTAL (CODIGO VERDE)",IF(P53=CURSOS!$D$9,"HUMANIZACION EN EL SERVICIO DE LA SALUD Y BUENAS PRACTICAS EN PACIENTE ",IF(P53=CURSOS!$D$10,"CLINICA DE HERIDAS ",IF(P53=CURSOS!$D$11,"TOMA DE CITOLOGIA CERVICO VAGINAL ",IF(P53=CURSOS!$D$12,"SOPORTE CARDIOVASCULAR AVANZADO (ACLS) ",IF(P53=CURSOS!$D$13,"CAMILLERO ",IF(P53=CURSOS!$D$14,"TOMA DE MUESTRAS Y LABORATORIO ",IF(P53=CURSOS!$D$15,"SOPORTE VITAL BASICO (BLS)",IF(P53=CURSOS!$D$16,"ATENCION A VICTIMAS DE VIOLENCIA SEXUAL ",IF(P53=CURSOS!$D$17,"PROGRAMADO AMPLIADO DE INMUNIZACION (PAI - COVID 19)",IF(P53=CURSOS!$D$18,"ATENCION INTEGRAL EN ENFERMEDADES PREVALENTES EN PRIMERA INFANCIA (AIEPI)",IF(P53=CURSOS!$D$19,"ADMINISTRACION DE MEDICAMENTOS, INYECTOLOGIA  Y CANALIZACION ",IF(P53=CURSOS!$D$20,"OPERADOR DE VEHICULOS DE EMERGENCIA (OVE)",IF(P53=CURSOS!$D$21,"INSTITUCIONES AMIGAS DE LA MUJER Y LA INFANCIA (IAMI)",IF(P53=CURSOS!$D$22,"CUIDADO DEL DONANTE DE ORGANOS",IF(P53=CURSOS!$D$23,"ATENCION A VICTIMAS POR VIOLENCIA DE GENERO",IF(P53=CURSOS!$D$24,"IGUALDAD DE GENERO EN LA SALUD",IF(P53=CURSOS!$D$25,"BRIGADA DE EMERGENCIA",IF(P53=CURSOS!$D$26,"MANEJO DEL DOLOR Y CUIDADOS PALIATIVOS",IF(P53=CURSOS!$D$27,"TOMA DE MUESTRAS Y LABORATORIO POCT",IF(P53=CURSOS!$D$28,"IMPLANTE SUBDERMICO DE DISPOSITIVO INTRAUTERINO",IF(P53=CURSOS!$D$29,"SALUD MENTAL",IF(P53=CURSOS!$D$30,"PRIMEROS AUXILIOS PSICOLOGICOS",IF(P53=CURSOS!$D$31,"ATENCION A VICTIMAS POR CONFLICTO ARMADO",IF(P53=CURSOS!$D$32,"MANIPULACION DE ALIMENTOS Y BPM",IF(P53=CURSOS!$D$33,"ATENCION A PERSONAS CON DISCAPACIDAD",IF(P53=CURSOS!$D$34,"CUIDADO INTEGRAL DEL PACIENTE ADULTO",IF(P53=CURSOS!$D$35,"MANEJO DEFENSIVO",IF(P53=CURSOS!$D$36,"SOPORTE CARDIOVASCULAR AVANZADO NEONATAL",IF(P53=CURSOS!$D$37,"SEGURIDAD DEL PACIENTE",IF(P53=CURSOS!$D$38,"MANEJO DE RESIDUOS HOSPITALARIOS"))))))))))))))))))))))))))))))))))))</f>
        <v>ACOMPAÑAMIENTO Y MANEJO DEL DUELO</v>
      </c>
      <c r="W53" s="65" t="str">
        <f t="shared" si="9"/>
        <v>Yany Dayalin Rosero Galvez</v>
      </c>
      <c r="X53" s="65" t="str">
        <f t="shared" si="10"/>
        <v>Yany Dayalin Rosero Galvez</v>
      </c>
      <c r="Y53" s="65" t="str">
        <f t="shared" si="11"/>
        <v>Yany Dayalin Rosero Galvez-1085319523-DUELO</v>
      </c>
    </row>
    <row r="54" spans="1:25" s="58" customFormat="1" x14ac:dyDescent="0.2">
      <c r="A54" s="59">
        <v>53</v>
      </c>
      <c r="B54" s="60">
        <v>1087408837</v>
      </c>
      <c r="C54" s="60" t="s">
        <v>187</v>
      </c>
      <c r="D54" s="60" t="s">
        <v>188</v>
      </c>
      <c r="E54" s="60" t="s">
        <v>189</v>
      </c>
      <c r="F54" s="60" t="s">
        <v>190</v>
      </c>
      <c r="G54" s="60">
        <v>10</v>
      </c>
      <c r="H54" s="60" t="s">
        <v>103</v>
      </c>
      <c r="I54" s="61" t="s">
        <v>123</v>
      </c>
      <c r="J54" s="61" t="s">
        <v>177</v>
      </c>
      <c r="K54" s="62">
        <v>45727</v>
      </c>
      <c r="L54" s="63">
        <v>25000</v>
      </c>
      <c r="M54" s="60" t="s">
        <v>126</v>
      </c>
      <c r="N54" s="60" t="s">
        <v>105</v>
      </c>
      <c r="O54" s="60" t="s">
        <v>182</v>
      </c>
      <c r="P54" s="60" t="s">
        <v>23</v>
      </c>
      <c r="Q54" s="61">
        <v>31771</v>
      </c>
      <c r="R54" s="60" t="s">
        <v>107</v>
      </c>
      <c r="S54" s="60" t="s">
        <v>191</v>
      </c>
      <c r="T54" s="60">
        <v>3173395397</v>
      </c>
      <c r="U54" s="60" t="s">
        <v>192</v>
      </c>
      <c r="V54" s="65" t="str">
        <f>IF(P54=CURSOS!$D$3,"DIPLOMADO EN ATENCION PRE-HOSPITALARIA",IF(P54=CURSOS!$D$4,"ACOMPAÑAMIENTO Y MANEJO DEL DUELO",IF(P54=CURSOS!$D$5,"ATENCION A VICTIMAS DE ATAQUE CON AGENTES QUIMICOS ",IF(P54=CURSOS!$D$6,"PRIMEROS AUXILIOS ",IF(P54=CURSOS!$D$7,"DIPLOMADO DE UNIDAD DE CUIDADOS INTENSIVOS (UCI)",IF(P54=CURSOS!$D$8,"MODELO DE ATENCION PARA EVENTOS EMERGENTES EN SALUD MENTAL (CODIGO VERDE)",IF(P54=CURSOS!$D$9,"HUMANIZACION EN EL SERVICIO DE LA SALUD Y BUENAS PRACTICAS EN PACIENTE ",IF(P54=CURSOS!$D$10,"CLINICA DE HERIDAS ",IF(P54=CURSOS!$D$11,"TOMA DE CITOLOGIA CERVICO VAGINAL ",IF(P54=CURSOS!$D$12,"SOPORTE CARDIOVASCULAR AVANZADO (ACLS) ",IF(P54=CURSOS!$D$13,"CAMILLERO ",IF(P54=CURSOS!$D$14,"TOMA DE MUESTRAS Y LABORATORIO ",IF(P54=CURSOS!$D$15,"SOPORTE VITAL BASICO (BLS)",IF(P54=CURSOS!$D$16,"ATENCION A VICTIMAS DE VIOLENCIA SEXUAL ",IF(P54=CURSOS!$D$17,"PROGRAMADO AMPLIADO DE INMUNIZACION (PAI - COVID 19)",IF(P54=CURSOS!$D$18,"ATENCION INTEGRAL EN ENFERMEDADES PREVALENTES EN PRIMERA INFANCIA (AIEPI)",IF(P54=CURSOS!$D$19,"ADMINISTRACION DE MEDICAMENTOS, INYECTOLOGIA  Y CANALIZACION ",IF(P54=CURSOS!$D$20,"OPERADOR DE VEHICULOS DE EMERGENCIA (OVE)",IF(P54=CURSOS!$D$21,"INSTITUCIONES AMIGAS DE LA MUJER Y LA INFANCIA (IAMI)",IF(P54=CURSOS!$D$22,"CUIDADO DEL DONANTE DE ORGANOS",IF(P54=CURSOS!$D$23,"ATENCION A VICTIMAS POR VIOLENCIA DE GENERO",IF(P54=CURSOS!$D$24,"IGUALDAD DE GENERO EN LA SALUD",IF(P54=CURSOS!$D$25,"BRIGADA DE EMERGENCIA",IF(P54=CURSOS!$D$26,"MANEJO DEL DOLOR Y CUIDADOS PALIATIVOS",IF(P54=CURSOS!$D$27,"TOMA DE MUESTRAS Y LABORATORIO POCT",IF(P54=CURSOS!$D$28,"IMPLANTE SUBDERMICO DE DISPOSITIVO INTRAUTERINO",IF(P54=CURSOS!$D$29,"SALUD MENTAL",IF(P54=CURSOS!$D$30,"PRIMEROS AUXILIOS PSICOLOGICOS",IF(P54=CURSOS!$D$31,"ATENCION A VICTIMAS POR CONFLICTO ARMADO",IF(P54=CURSOS!$D$32,"MANIPULACION DE ALIMENTOS Y BPM",IF(P54=CURSOS!$D$33,"ATENCION A PERSONAS CON DISCAPACIDAD",IF(P54=CURSOS!$D$34,"CUIDADO INTEGRAL DEL PACIENTE ADULTO",IF(P54=CURSOS!$D$35,"MANEJO DEFENSIVO",IF(P54=CURSOS!$D$36,"SOPORTE CARDIOVASCULAR AVANZADO NEONATAL",IF(P54=CURSOS!$D$37,"SEGURIDAD DEL PACIENTE",IF(P54=CURSOS!$D$38,"MANEJO DE RESIDUOS HOSPITALARIOS"))))))))))))))))))))))))))))))))))))</f>
        <v>ACOMPAÑAMIENTO Y MANEJO DEL DUELO</v>
      </c>
      <c r="W54" s="65" t="str">
        <f t="shared" si="9"/>
        <v>Adriana Patricia Riascos Mindalo</v>
      </c>
      <c r="X54" s="65" t="str">
        <f t="shared" si="10"/>
        <v>Adriana Patricia Riascos Mindalo</v>
      </c>
      <c r="Y54" s="65" t="str">
        <f t="shared" si="11"/>
        <v>Adriana Patricia Riascos Mindalo-1087408837-DUELO</v>
      </c>
    </row>
    <row r="55" spans="1:25" s="58" customFormat="1" x14ac:dyDescent="0.2">
      <c r="A55" s="59">
        <v>54</v>
      </c>
      <c r="B55" s="60">
        <v>1085346372</v>
      </c>
      <c r="C55" s="60" t="s">
        <v>267</v>
      </c>
      <c r="D55" s="60" t="s">
        <v>267</v>
      </c>
      <c r="E55" s="60" t="s">
        <v>268</v>
      </c>
      <c r="F55" s="60" t="s">
        <v>201</v>
      </c>
      <c r="G55" s="60">
        <v>12</v>
      </c>
      <c r="H55" s="60" t="s">
        <v>103</v>
      </c>
      <c r="I55" s="60" t="s">
        <v>104</v>
      </c>
      <c r="J55" s="60"/>
      <c r="K55" s="61">
        <v>45727</v>
      </c>
      <c r="L55" s="63">
        <v>20000</v>
      </c>
      <c r="M55" s="60" t="s">
        <v>156</v>
      </c>
      <c r="N55" s="60" t="s">
        <v>105</v>
      </c>
      <c r="O55" s="60" t="s">
        <v>106</v>
      </c>
      <c r="P55" s="60" t="s">
        <v>269</v>
      </c>
      <c r="Q55" s="61">
        <v>36408</v>
      </c>
      <c r="R55" s="60" t="s">
        <v>139</v>
      </c>
      <c r="S55" s="60" t="s">
        <v>270</v>
      </c>
      <c r="T55" s="60">
        <v>3104213412</v>
      </c>
      <c r="U55" s="60" t="s">
        <v>271</v>
      </c>
      <c r="V55" s="65" t="b">
        <f>IF(P55=CURSOS!$D$3,"DIPLOMADO EN ATENCION PRE-HOSPITALARIA",IF(P55=CURSOS!$D$4,"ACOMPAÑAMIENTO Y MANEJO DEL DUELO",IF(P55=CURSOS!$D$5,"ATENCION A VICTIMAS DE ATAQUE CON AGENTES QUIMICOS ",IF(P55=CURSOS!$D$6,"PRIMEROS AUXILIOS ",IF(P55=CURSOS!$D$7,"DIPLOMADO DE UNIDAD DE CUIDADOS INTENSIVOS (UCI)",IF(P55=CURSOS!$D$8,"MODELO DE ATENCION PARA EVENTOS EMERGENTES EN SALUD MENTAL (CODIGO VERDE)",IF(P55=CURSOS!$D$9,"HUMANIZACION EN EL SERVICIO DE LA SALUD Y BUENAS PRACTICAS EN PACIENTE ",IF(P55=CURSOS!$D$10,"CLINICA DE HERIDAS ",IF(P55=CURSOS!$D$11,"TOMA DE CITOLOGIA CERVICO VAGINAL ",IF(P55=CURSOS!$D$12,"SOPORTE CARDIOVASCULAR AVANZADO (ACLS) ",IF(P55=CURSOS!$D$13,"CAMILLERO ",IF(P55=CURSOS!$D$14,"TOMA DE MUESTRAS Y LABORATORIO ",IF(P55=CURSOS!$D$15,"SOPORTE VITAL BASICO (BLS)",IF(P55=CURSOS!$D$16,"ATENCION A VICTIMAS DE VIOLENCIA SEXUAL ",IF(P55=CURSOS!$D$17,"PROGRAMADO AMPLIADO DE INMUNIZACION (PAI - COVID 19)",IF(P55=CURSOS!$D$18,"ATENCION INTEGRAL EN ENFERMEDADES PREVALENTES EN PRIMERA INFANCIA (AIEPI)",IF(P55=CURSOS!$D$19,"ADMINISTRACION DE MEDICAMENTOS, INYECTOLOGIA  Y CANALIZACION ",IF(P55=CURSOS!$D$20,"OPERADOR DE VEHICULOS DE EMERGENCIA (OVE)",IF(P55=CURSOS!$D$21,"INSTITUCIONES AMIGAS DE LA MUJER Y LA INFANCIA (IAMI)",IF(P55=CURSOS!$D$22,"CUIDADO DEL DONANTE DE ORGANOS",IF(P55=CURSOS!$D$23,"ATENCION A VICTIMAS POR VIOLENCIA DE GENERO",IF(P55=CURSOS!$D$24,"IGUALDAD DE GENERO EN LA SALUD",IF(P55=CURSOS!$D$25,"BRIGADA DE EMERGENCIA",IF(P55=CURSOS!$D$26,"MANEJO DEL DOLOR Y CUIDADOS PALIATIVOS",IF(P55=CURSOS!$D$27,"TOMA DE MUESTRAS Y LABORATORIO POCT",IF(P55=CURSOS!$D$28,"IMPLANTE SUBDERMICO DE DISPOSITIVO INTRAUTERINO",IF(P55=CURSOS!$D$29,"SALUD MENTAL",IF(P55=CURSOS!$D$30,"PRIMEROS AUXILIOS PSICOLOGICOS",IF(P55=CURSOS!$D$31,"ATENCION A VICTIMAS POR CONFLICTO ARMADO",IF(P55=CURSOS!$D$32,"MANIPULACION DE ALIMENTOS Y BPM",IF(P55=CURSOS!$D$33,"ATENCION A PERSONAS CON DISCAPACIDAD",IF(P55=CURSOS!$D$34,"CUIDADO INTEGRAL DEL PACIENTE ADULTO",IF(P55=CURSOS!$D$35,"MANEJO DEFENSIVO",IF(P55=CURSOS!$D$36,"SOPORTE CARDIOVASCULAR AVANZADO NEONATAL",IF(P55=CURSOS!$D$37,"SEGURIDAD DEL PACIENTE",IF(P55=CURSOS!$D$38,"MANEJO DE RESIDUOS HOSPITALARIOS"))))))))))))))))))))))))))))))))))))</f>
        <v>0</v>
      </c>
      <c r="W55" s="65" t="str">
        <f t="shared" si="9"/>
        <v>Gabriel Alejandro Paz Paz</v>
      </c>
      <c r="X55" s="65" t="str">
        <f t="shared" si="10"/>
        <v>Gabriel Alejandro Paz Paz</v>
      </c>
      <c r="Y55" s="65" t="str">
        <f t="shared" si="11"/>
        <v>Gabriel Alejandro Paz Paz-1085346372-STOP THE BLEED</v>
      </c>
    </row>
    <row r="56" spans="1:25" s="58" customFormat="1" x14ac:dyDescent="0.2">
      <c r="A56" s="59">
        <v>55</v>
      </c>
      <c r="B56" s="60">
        <v>1081055626</v>
      </c>
      <c r="C56" s="60" t="s">
        <v>272</v>
      </c>
      <c r="D56" s="60" t="s">
        <v>267</v>
      </c>
      <c r="E56" s="60" t="s">
        <v>273</v>
      </c>
      <c r="F56" s="60" t="s">
        <v>274</v>
      </c>
      <c r="G56" s="60">
        <v>12</v>
      </c>
      <c r="H56" s="60" t="s">
        <v>103</v>
      </c>
      <c r="I56" s="60" t="s">
        <v>104</v>
      </c>
      <c r="J56" s="60"/>
      <c r="K56" s="62"/>
      <c r="L56" s="63"/>
      <c r="M56" s="60"/>
      <c r="N56" s="60" t="s">
        <v>105</v>
      </c>
      <c r="O56" s="60" t="s">
        <v>106</v>
      </c>
      <c r="P56" s="60" t="s">
        <v>269</v>
      </c>
      <c r="Q56" s="61">
        <v>39309</v>
      </c>
      <c r="R56" s="60" t="s">
        <v>139</v>
      </c>
      <c r="S56" s="60" t="s">
        <v>108</v>
      </c>
      <c r="T56" s="60">
        <v>3142399732</v>
      </c>
      <c r="U56" s="60" t="s">
        <v>275</v>
      </c>
      <c r="V56" s="65" t="b">
        <f>IF(P56=CURSOS!$D$3,"DIPLOMADO EN ATENCION PRE-HOSPITALARIA",IF(P56=CURSOS!$D$4,"ACOMPAÑAMIENTO Y MANEJO DEL DUELO",IF(P56=CURSOS!$D$5,"ATENCION A VICTIMAS DE ATAQUE CON AGENTES QUIMICOS ",IF(P56=CURSOS!$D$6,"PRIMEROS AUXILIOS ",IF(P56=CURSOS!$D$7,"DIPLOMADO DE UNIDAD DE CUIDADOS INTENSIVOS (UCI)",IF(P56=CURSOS!$D$8,"MODELO DE ATENCION PARA EVENTOS EMERGENTES EN SALUD MENTAL (CODIGO VERDE)",IF(P56=CURSOS!$D$9,"HUMANIZACION EN EL SERVICIO DE LA SALUD Y BUENAS PRACTICAS EN PACIENTE ",IF(P56=CURSOS!$D$10,"CLINICA DE HERIDAS ",IF(P56=CURSOS!$D$11,"TOMA DE CITOLOGIA CERVICO VAGINAL ",IF(P56=CURSOS!$D$12,"SOPORTE CARDIOVASCULAR AVANZADO (ACLS) ",IF(P56=CURSOS!$D$13,"CAMILLERO ",IF(P56=CURSOS!$D$14,"TOMA DE MUESTRAS Y LABORATORIO ",IF(P56=CURSOS!$D$15,"SOPORTE VITAL BASICO (BLS)",IF(P56=CURSOS!$D$16,"ATENCION A VICTIMAS DE VIOLENCIA SEXUAL ",IF(P56=CURSOS!$D$17,"PROGRAMADO AMPLIADO DE INMUNIZACION (PAI - COVID 19)",IF(P56=CURSOS!$D$18,"ATENCION INTEGRAL EN ENFERMEDADES PREVALENTES EN PRIMERA INFANCIA (AIEPI)",IF(P56=CURSOS!$D$19,"ADMINISTRACION DE MEDICAMENTOS, INYECTOLOGIA  Y CANALIZACION ",IF(P56=CURSOS!$D$20,"OPERADOR DE VEHICULOS DE EMERGENCIA (OVE)",IF(P56=CURSOS!$D$21,"INSTITUCIONES AMIGAS DE LA MUJER Y LA INFANCIA (IAMI)",IF(P56=CURSOS!$D$22,"CUIDADO DEL DONANTE DE ORGANOS",IF(P56=CURSOS!$D$23,"ATENCION A VICTIMAS POR VIOLENCIA DE GENERO",IF(P56=CURSOS!$D$24,"IGUALDAD DE GENERO EN LA SALUD",IF(P56=CURSOS!$D$25,"BRIGADA DE EMERGENCIA",IF(P56=CURSOS!$D$26,"MANEJO DEL DOLOR Y CUIDADOS PALIATIVOS",IF(P56=CURSOS!$D$27,"TOMA DE MUESTRAS Y LABORATORIO POCT",IF(P56=CURSOS!$D$28,"IMPLANTE SUBDERMICO DE DISPOSITIVO INTRAUTERINO",IF(P56=CURSOS!$D$29,"SALUD MENTAL",IF(P56=CURSOS!$D$30,"PRIMEROS AUXILIOS PSICOLOGICOS",IF(P56=CURSOS!$D$31,"ATENCION A VICTIMAS POR CONFLICTO ARMADO",IF(P56=CURSOS!$D$32,"MANIPULACION DE ALIMENTOS Y BPM",IF(P56=CURSOS!$D$33,"ATENCION A PERSONAS CON DISCAPACIDAD",IF(P56=CURSOS!$D$34,"CUIDADO INTEGRAL DEL PACIENTE ADULTO",IF(P56=CURSOS!$D$35,"MANEJO DEFENSIVO",IF(P56=CURSOS!$D$36,"SOPORTE CARDIOVASCULAR AVANZADO NEONATAL",IF(P56=CURSOS!$D$37,"SEGURIDAD DEL PACIENTE",IF(P56=CURSOS!$D$38,"MANEJO DE RESIDUOS HOSPITALARIOS"))))))))))))))))))))))))))))))))))))</f>
        <v>0</v>
      </c>
      <c r="W56" s="65" t="str">
        <f t="shared" si="9"/>
        <v>Camilo Alfredo Moncayo Paz</v>
      </c>
      <c r="X56" s="65" t="str">
        <f t="shared" si="10"/>
        <v>Camilo Alfredo Moncayo Paz</v>
      </c>
      <c r="Y56" s="65" t="str">
        <f t="shared" si="11"/>
        <v>Camilo Alfredo Moncayo Paz-1081055626-STOP THE BLEED</v>
      </c>
    </row>
    <row r="57" spans="1:25" s="58" customFormat="1" x14ac:dyDescent="0.2">
      <c r="A57" s="59">
        <v>56</v>
      </c>
      <c r="B57" s="60">
        <v>27091114</v>
      </c>
      <c r="C57" s="60" t="s">
        <v>278</v>
      </c>
      <c r="D57" s="60" t="s">
        <v>279</v>
      </c>
      <c r="E57" s="60" t="s">
        <v>170</v>
      </c>
      <c r="F57" s="60" t="s">
        <v>148</v>
      </c>
      <c r="G57" s="60">
        <v>12</v>
      </c>
      <c r="H57" s="60" t="s">
        <v>103</v>
      </c>
      <c r="I57" s="61" t="s">
        <v>123</v>
      </c>
      <c r="J57" s="61"/>
      <c r="K57" s="62">
        <v>45728</v>
      </c>
      <c r="L57" s="63">
        <v>33000</v>
      </c>
      <c r="M57" s="60" t="s">
        <v>156</v>
      </c>
      <c r="N57" s="60" t="s">
        <v>105</v>
      </c>
      <c r="O57" s="60" t="s">
        <v>106</v>
      </c>
      <c r="P57" s="60" t="s">
        <v>23</v>
      </c>
      <c r="Q57" s="61">
        <v>29137</v>
      </c>
      <c r="R57" s="60" t="s">
        <v>107</v>
      </c>
      <c r="S57" s="60" t="s">
        <v>117</v>
      </c>
      <c r="T57" s="60">
        <v>3003370688</v>
      </c>
      <c r="U57" s="60" t="s">
        <v>280</v>
      </c>
      <c r="V57" s="65" t="str">
        <f>IF(P57=CURSOS!$D$3,"DIPLOMADO EN ATENCION PRE-HOSPITALARIA",IF(P57=CURSOS!$D$4,"ACOMPAÑAMIENTO Y MANEJO DEL DUELO",IF(P57=CURSOS!$D$5,"ATENCION A VICTIMAS DE ATAQUE CON AGENTES QUIMICOS ",IF(P57=CURSOS!$D$6,"PRIMEROS AUXILIOS ",IF(P57=CURSOS!$D$7,"DIPLOMADO DE UNIDAD DE CUIDADOS INTENSIVOS (UCI)",IF(P57=CURSOS!$D$8,"MODELO DE ATENCION PARA EVENTOS EMERGENTES EN SALUD MENTAL (CODIGO VERDE)",IF(P57=CURSOS!$D$9,"HUMANIZACION EN EL SERVICIO DE LA SALUD Y BUENAS PRACTICAS EN PACIENTE ",IF(P57=CURSOS!$D$10,"CLINICA DE HERIDAS ",IF(P57=CURSOS!$D$11,"TOMA DE CITOLOGIA CERVICO VAGINAL ",IF(P57=CURSOS!$D$12,"SOPORTE CARDIOVASCULAR AVANZADO (ACLS) ",IF(P57=CURSOS!$D$13,"CAMILLERO ",IF(P57=CURSOS!$D$14,"TOMA DE MUESTRAS Y LABORATORIO ",IF(P57=CURSOS!$D$15,"SOPORTE VITAL BASICO (BLS)",IF(P57=CURSOS!$D$16,"ATENCION A VICTIMAS DE VIOLENCIA SEXUAL ",IF(P57=CURSOS!$D$17,"PROGRAMADO AMPLIADO DE INMUNIZACION (PAI - COVID 19)",IF(P57=CURSOS!$D$18,"ATENCION INTEGRAL EN ENFERMEDADES PREVALENTES EN PRIMERA INFANCIA (AIEPI)",IF(P57=CURSOS!$D$19,"ADMINISTRACION DE MEDICAMENTOS, INYECTOLOGIA  Y CANALIZACION ",IF(P57=CURSOS!$D$20,"OPERADOR DE VEHICULOS DE EMERGENCIA (OVE)",IF(P57=CURSOS!$D$21,"INSTITUCIONES AMIGAS DE LA MUJER Y LA INFANCIA (IAMI)",IF(P57=CURSOS!$D$22,"CUIDADO DEL DONANTE DE ORGANOS",IF(P57=CURSOS!$D$23,"ATENCION A VICTIMAS POR VIOLENCIA DE GENERO",IF(P57=CURSOS!$D$24,"IGUALDAD DE GENERO EN LA SALUD",IF(P57=CURSOS!$D$25,"BRIGADA DE EMERGENCIA",IF(P57=CURSOS!$D$26,"MANEJO DEL DOLOR Y CUIDADOS PALIATIVOS",IF(P57=CURSOS!$D$27,"TOMA DE MUESTRAS Y LABORATORIO POCT",IF(P57=CURSOS!$D$28,"IMPLANTE SUBDERMICO DE DISPOSITIVO INTRAUTERINO",IF(P57=CURSOS!$D$29,"SALUD MENTAL",IF(P57=CURSOS!$D$30,"PRIMEROS AUXILIOS PSICOLOGICOS",IF(P57=CURSOS!$D$31,"ATENCION A VICTIMAS POR CONFLICTO ARMADO",IF(P57=CURSOS!$D$32,"MANIPULACION DE ALIMENTOS Y BPM",IF(P57=CURSOS!$D$33,"ATENCION A PERSONAS CON DISCAPACIDAD",IF(P57=CURSOS!$D$34,"CUIDADO INTEGRAL DEL PACIENTE ADULTO",IF(P57=CURSOS!$D$35,"MANEJO DEFENSIVO",IF(P57=CURSOS!$D$36,"SOPORTE CARDIOVASCULAR AVANZADO NEONATAL",IF(P57=CURSOS!$D$37,"SEGURIDAD DEL PACIENTE",IF(P57=CURSOS!$D$38,"MANEJO DE RESIDUOS HOSPITALARIOS"))))))))))))))))))))))))))))))))))))</f>
        <v>ACOMPAÑAMIENTO Y MANEJO DEL DUELO</v>
      </c>
      <c r="W57" s="65" t="str">
        <f t="shared" si="9"/>
        <v>Paola Andrea Espinosa Burbano</v>
      </c>
      <c r="X57" s="65" t="str">
        <f t="shared" si="10"/>
        <v>Paola Andrea Espinosa Burbano</v>
      </c>
      <c r="Y57" s="65" t="str">
        <f t="shared" si="11"/>
        <v>Paola Andrea Espinosa Burbano-27091114-DUELO</v>
      </c>
    </row>
    <row r="58" spans="1:25" s="58" customFormat="1" x14ac:dyDescent="0.2">
      <c r="A58" s="59">
        <v>57</v>
      </c>
      <c r="B58" s="60">
        <v>27091114</v>
      </c>
      <c r="C58" s="60" t="s">
        <v>278</v>
      </c>
      <c r="D58" s="60" t="s">
        <v>279</v>
      </c>
      <c r="E58" s="60" t="s">
        <v>170</v>
      </c>
      <c r="F58" s="60" t="s">
        <v>148</v>
      </c>
      <c r="G58" s="60">
        <v>11</v>
      </c>
      <c r="H58" s="60" t="s">
        <v>103</v>
      </c>
      <c r="I58" s="61" t="s">
        <v>123</v>
      </c>
      <c r="J58" s="61"/>
      <c r="K58" s="62">
        <v>45728</v>
      </c>
      <c r="L58" s="63">
        <v>33000</v>
      </c>
      <c r="M58" s="60" t="s">
        <v>156</v>
      </c>
      <c r="N58" s="60" t="s">
        <v>105</v>
      </c>
      <c r="O58" s="60" t="s">
        <v>106</v>
      </c>
      <c r="P58" s="60" t="s">
        <v>57</v>
      </c>
      <c r="Q58" s="61">
        <v>29137</v>
      </c>
      <c r="R58" s="60" t="s">
        <v>107</v>
      </c>
      <c r="S58" s="60" t="s">
        <v>117</v>
      </c>
      <c r="T58" s="60">
        <v>3003370688</v>
      </c>
      <c r="U58" s="60" t="s">
        <v>280</v>
      </c>
      <c r="V58" s="65" t="str">
        <f>IF(P58=CURSOS!$D$3,"DIPLOMADO EN ATENCION PRE-HOSPITALARIA",IF(P58=CURSOS!$D$4,"ACOMPAÑAMIENTO Y MANEJO DEL DUELO",IF(P58=CURSOS!$D$5,"ATENCION A VICTIMAS DE ATAQUE CON AGENTES QUIMICOS ",IF(P58=CURSOS!$D$6,"PRIMEROS AUXILIOS ",IF(P58=CURSOS!$D$7,"DIPLOMADO DE UNIDAD DE CUIDADOS INTENSIVOS (UCI)",IF(P58=CURSOS!$D$8,"MODELO DE ATENCION PARA EVENTOS EMERGENTES EN SALUD MENTAL (CODIGO VERDE)",IF(P58=CURSOS!$D$9,"HUMANIZACION EN EL SERVICIO DE LA SALUD Y BUENAS PRACTICAS EN PACIENTE ",IF(P58=CURSOS!$D$10,"CLINICA DE HERIDAS ",IF(P58=CURSOS!$D$11,"TOMA DE CITOLOGIA CERVICO VAGINAL ",IF(P58=CURSOS!$D$12,"SOPORTE CARDIOVASCULAR AVANZADO (ACLS) ",IF(P58=CURSOS!$D$13,"CAMILLERO ",IF(P58=CURSOS!$D$14,"TOMA DE MUESTRAS Y LABORATORIO ",IF(P58=CURSOS!$D$15,"SOPORTE VITAL BASICO (BLS)",IF(P58=CURSOS!$D$16,"ATENCION A VICTIMAS DE VIOLENCIA SEXUAL ",IF(P58=CURSOS!$D$17,"PROGRAMADO AMPLIADO DE INMUNIZACION (PAI - COVID 19)",IF(P58=CURSOS!$D$18,"ATENCION INTEGRAL EN ENFERMEDADES PREVALENTES EN PRIMERA INFANCIA (AIEPI)",IF(P58=CURSOS!$D$19,"ADMINISTRACION DE MEDICAMENTOS, INYECTOLOGIA  Y CANALIZACION ",IF(P58=CURSOS!$D$20,"OPERADOR DE VEHICULOS DE EMERGENCIA (OVE)",IF(P58=CURSOS!$D$21,"INSTITUCIONES AMIGAS DE LA MUJER Y LA INFANCIA (IAMI)",IF(P58=CURSOS!$D$22,"CUIDADO DEL DONANTE DE ORGANOS",IF(P58=CURSOS!$D$23,"ATENCION A VICTIMAS POR VIOLENCIA DE GENERO",IF(P58=CURSOS!$D$24,"IGUALDAD DE GENERO EN LA SALUD",IF(P58=CURSOS!$D$25,"BRIGADA DE EMERGENCIA",IF(P58=CURSOS!$D$26,"MANEJO DEL DOLOR Y CUIDADOS PALIATIVOS",IF(P58=CURSOS!$D$27,"TOMA DE MUESTRAS Y LABORATORIO POCT",IF(P58=CURSOS!$D$28,"IMPLANTE SUBDERMICO DE DISPOSITIVO INTRAUTERINO",IF(P58=CURSOS!$D$29,"SALUD MENTAL",IF(P58=CURSOS!$D$30,"PRIMEROS AUXILIOS PSICOLOGICOS",IF(P58=CURSOS!$D$31,"ATENCION A VICTIMAS POR CONFLICTO ARMADO",IF(P58=CURSOS!$D$32,"MANIPULACION DE ALIMENTOS Y BPM",IF(P58=CURSOS!$D$33,"ATENCION A PERSONAS CON DISCAPACIDAD",IF(P58=CURSOS!$D$34,"CUIDADO INTEGRAL DEL PACIENTE ADULTO",IF(P58=CURSOS!$D$35,"MANEJO DEFENSIVO",IF(P58=CURSOS!$D$36,"SOPORTE CARDIOVASCULAR AVANZADO NEONATAL",IF(P58=CURSOS!$D$37,"SEGURIDAD DEL PACIENTE",IF(P58=CURSOS!$D$38,"MANEJO DE RESIDUOS HOSPITALARIOS"))))))))))))))))))))))))))))))))))))</f>
        <v>MANEJO DEL DOLOR Y CUIDADOS PALIATIVOS</v>
      </c>
      <c r="W58" s="65" t="str">
        <f t="shared" si="9"/>
        <v>Paola Andrea Espinosa Burbano</v>
      </c>
      <c r="X58" s="65" t="str">
        <f t="shared" si="10"/>
        <v>Paola Andrea Espinosa Burbano</v>
      </c>
      <c r="Y58" s="65" t="str">
        <f t="shared" si="11"/>
        <v>Paola Andrea Espinosa Burbano-27091114-PALIATIVOS</v>
      </c>
    </row>
    <row r="59" spans="1:25" s="58" customFormat="1" x14ac:dyDescent="0.2">
      <c r="A59" s="59">
        <v>58</v>
      </c>
      <c r="B59" s="60">
        <v>13064773</v>
      </c>
      <c r="C59" s="60" t="s">
        <v>199</v>
      </c>
      <c r="D59" s="60" t="s">
        <v>281</v>
      </c>
      <c r="E59" s="60" t="s">
        <v>282</v>
      </c>
      <c r="F59" s="60"/>
      <c r="G59" s="60">
        <v>12</v>
      </c>
      <c r="H59" s="60" t="s">
        <v>103</v>
      </c>
      <c r="I59" s="61" t="s">
        <v>123</v>
      </c>
      <c r="J59" s="61" t="s">
        <v>177</v>
      </c>
      <c r="K59" s="62">
        <v>45730</v>
      </c>
      <c r="L59" s="63">
        <v>32000</v>
      </c>
      <c r="M59" s="60" t="s">
        <v>156</v>
      </c>
      <c r="N59" s="60" t="s">
        <v>105</v>
      </c>
      <c r="O59" s="60" t="s">
        <v>182</v>
      </c>
      <c r="P59" s="60" t="s">
        <v>23</v>
      </c>
      <c r="Q59" s="61">
        <v>25393</v>
      </c>
      <c r="R59" s="60" t="s">
        <v>139</v>
      </c>
      <c r="S59" s="64" t="s">
        <v>131</v>
      </c>
      <c r="T59" s="64">
        <v>3102017052</v>
      </c>
      <c r="U59" s="60" t="s">
        <v>283</v>
      </c>
      <c r="V59" s="65" t="str">
        <f>IF(P59=CURSOS!$D$3,"DIPLOMADO EN ATENCION PRE-HOSPITALARIA",IF(P59=CURSOS!$D$4,"ACOMPAÑAMIENTO Y MANEJO DEL DUELO",IF(P59=CURSOS!$D$5,"ATENCION A VICTIMAS DE ATAQUE CON AGENTES QUIMICOS ",IF(P59=CURSOS!$D$6,"PRIMEROS AUXILIOS ",IF(P59=CURSOS!$D$7,"DIPLOMADO DE UNIDAD DE CUIDADOS INTENSIVOS (UCI)",IF(P59=CURSOS!$D$8,"MODELO DE ATENCION PARA EVENTOS EMERGENTES EN SALUD MENTAL (CODIGO VERDE)",IF(P59=CURSOS!$D$9,"HUMANIZACION EN EL SERVICIO DE LA SALUD Y BUENAS PRACTICAS EN PACIENTE ",IF(P59=CURSOS!$D$10,"CLINICA DE HERIDAS ",IF(P59=CURSOS!$D$11,"TOMA DE CITOLOGIA CERVICO VAGINAL ",IF(P59=CURSOS!$D$12,"SOPORTE CARDIOVASCULAR AVANZADO (ACLS) ",IF(P59=CURSOS!$D$13,"CAMILLERO ",IF(P59=CURSOS!$D$14,"TOMA DE MUESTRAS Y LABORATORIO ",IF(P59=CURSOS!$D$15,"SOPORTE VITAL BASICO (BLS)",IF(P59=CURSOS!$D$16,"ATENCION A VICTIMAS DE VIOLENCIA SEXUAL ",IF(P59=CURSOS!$D$17,"PROGRAMADO AMPLIADO DE INMUNIZACION (PAI - COVID 19)",IF(P59=CURSOS!$D$18,"ATENCION INTEGRAL EN ENFERMEDADES PREVALENTES EN PRIMERA INFANCIA (AIEPI)",IF(P59=CURSOS!$D$19,"ADMINISTRACION DE MEDICAMENTOS, INYECTOLOGIA  Y CANALIZACION ",IF(P59=CURSOS!$D$20,"OPERADOR DE VEHICULOS DE EMERGENCIA (OVE)",IF(P59=CURSOS!$D$21,"INSTITUCIONES AMIGAS DE LA MUJER Y LA INFANCIA (IAMI)",IF(P59=CURSOS!$D$22,"CUIDADO DEL DONANTE DE ORGANOS",IF(P59=CURSOS!$D$23,"ATENCION A VICTIMAS POR VIOLENCIA DE GENERO",IF(P59=CURSOS!$D$24,"IGUALDAD DE GENERO EN LA SALUD",IF(P59=CURSOS!$D$25,"BRIGADA DE EMERGENCIA",IF(P59=CURSOS!$D$26,"MANEJO DEL DOLOR Y CUIDADOS PALIATIVOS",IF(P59=CURSOS!$D$27,"TOMA DE MUESTRAS Y LABORATORIO POCT",IF(P59=CURSOS!$D$28,"IMPLANTE SUBDERMICO DE DISPOSITIVO INTRAUTERINO",IF(P59=CURSOS!$D$29,"SALUD MENTAL",IF(P59=CURSOS!$D$30,"PRIMEROS AUXILIOS PSICOLOGICOS",IF(P59=CURSOS!$D$31,"ATENCION A VICTIMAS POR CONFLICTO ARMADO",IF(P59=CURSOS!$D$32,"MANIPULACION DE ALIMENTOS Y BPM",IF(P59=CURSOS!$D$33,"ATENCION A PERSONAS CON DISCAPACIDAD",IF(P59=CURSOS!$D$34,"CUIDADO INTEGRAL DEL PACIENTE ADULTO",IF(P59=CURSOS!$D$35,"MANEJO DEFENSIVO",IF(P59=CURSOS!$D$36,"SOPORTE CARDIOVASCULAR AVANZADO NEONATAL",IF(P59=CURSOS!$D$37,"SEGURIDAD DEL PACIENTE",IF(P59=CURSOS!$D$38,"MANEJO DE RESIDUOS HOSPITALARIOS"))))))))))))))))))))))))))))))))))))</f>
        <v>ACOMPAÑAMIENTO Y MANEJO DEL DUELO</v>
      </c>
      <c r="W59" s="65" t="str">
        <f t="shared" si="9"/>
        <v>Fredi  Muñoz Ortiz</v>
      </c>
      <c r="X59" s="65" t="str">
        <f t="shared" si="10"/>
        <v>Fredi  Muñoz Ortiz</v>
      </c>
      <c r="Y59" s="65" t="str">
        <f t="shared" si="11"/>
        <v>Fredi  Muñoz Ortiz-13064773-DUELO</v>
      </c>
    </row>
    <row r="60" spans="1:25" s="58" customFormat="1" x14ac:dyDescent="0.2">
      <c r="A60" s="59">
        <v>59</v>
      </c>
      <c r="B60" s="60">
        <v>13064773</v>
      </c>
      <c r="C60" s="60" t="s">
        <v>199</v>
      </c>
      <c r="D60" s="60" t="s">
        <v>281</v>
      </c>
      <c r="E60" s="60" t="s">
        <v>282</v>
      </c>
      <c r="F60" s="60"/>
      <c r="G60" s="60">
        <v>11</v>
      </c>
      <c r="H60" s="60" t="s">
        <v>103</v>
      </c>
      <c r="I60" s="61" t="s">
        <v>123</v>
      </c>
      <c r="J60" s="61" t="s">
        <v>177</v>
      </c>
      <c r="K60" s="62">
        <v>45730</v>
      </c>
      <c r="L60" s="63">
        <v>32000</v>
      </c>
      <c r="M60" s="60" t="s">
        <v>156</v>
      </c>
      <c r="N60" s="60" t="s">
        <v>105</v>
      </c>
      <c r="O60" s="60" t="s">
        <v>182</v>
      </c>
      <c r="P60" s="60" t="s">
        <v>25</v>
      </c>
      <c r="Q60" s="61">
        <v>25393</v>
      </c>
      <c r="R60" s="60" t="s">
        <v>139</v>
      </c>
      <c r="S60" s="64" t="s">
        <v>131</v>
      </c>
      <c r="T60" s="64">
        <v>3102017052</v>
      </c>
      <c r="U60" s="60" t="s">
        <v>283</v>
      </c>
      <c r="V60" s="65" t="str">
        <f>IF(P60=CURSOS!$D$3,"DIPLOMADO EN ATENCION PRE-HOSPITALARIA",IF(P60=CURSOS!$D$4,"ACOMPAÑAMIENTO Y MANEJO DEL DUELO",IF(P60=CURSOS!$D$5,"ATENCION A VICTIMAS DE ATAQUE CON AGENTES QUIMICOS ",IF(P60=CURSOS!$D$6,"PRIMEROS AUXILIOS ",IF(P60=CURSOS!$D$7,"DIPLOMADO DE UNIDAD DE CUIDADOS INTENSIVOS (UCI)",IF(P60=CURSOS!$D$8,"MODELO DE ATENCION PARA EVENTOS EMERGENTES EN SALUD MENTAL (CODIGO VERDE)",IF(P60=CURSOS!$D$9,"HUMANIZACION EN EL SERVICIO DE LA SALUD Y BUENAS PRACTICAS EN PACIENTE ",IF(P60=CURSOS!$D$10,"CLINICA DE HERIDAS ",IF(P60=CURSOS!$D$11,"TOMA DE CITOLOGIA CERVICO VAGINAL ",IF(P60=CURSOS!$D$12,"SOPORTE CARDIOVASCULAR AVANZADO (ACLS) ",IF(P60=CURSOS!$D$13,"CAMILLERO ",IF(P60=CURSOS!$D$14,"TOMA DE MUESTRAS Y LABORATORIO ",IF(P60=CURSOS!$D$15,"SOPORTE VITAL BASICO (BLS)",IF(P60=CURSOS!$D$16,"ATENCION A VICTIMAS DE VIOLENCIA SEXUAL ",IF(P60=CURSOS!$D$17,"PROGRAMADO AMPLIADO DE INMUNIZACION (PAI - COVID 19)",IF(P60=CURSOS!$D$18,"ATENCION INTEGRAL EN ENFERMEDADES PREVALENTES EN PRIMERA INFANCIA (AIEPI)",IF(P60=CURSOS!$D$19,"ADMINISTRACION DE MEDICAMENTOS, INYECTOLOGIA  Y CANALIZACION ",IF(P60=CURSOS!$D$20,"OPERADOR DE VEHICULOS DE EMERGENCIA (OVE)",IF(P60=CURSOS!$D$21,"INSTITUCIONES AMIGAS DE LA MUJER Y LA INFANCIA (IAMI)",IF(P60=CURSOS!$D$22,"CUIDADO DEL DONANTE DE ORGANOS",IF(P60=CURSOS!$D$23,"ATENCION A VICTIMAS POR VIOLENCIA DE GENERO",IF(P60=CURSOS!$D$24,"IGUALDAD DE GENERO EN LA SALUD",IF(P60=CURSOS!$D$25,"BRIGADA DE EMERGENCIA",IF(P60=CURSOS!$D$26,"MANEJO DEL DOLOR Y CUIDADOS PALIATIVOS",IF(P60=CURSOS!$D$27,"TOMA DE MUESTRAS Y LABORATORIO POCT",IF(P60=CURSOS!$D$28,"IMPLANTE SUBDERMICO DE DISPOSITIVO INTRAUTERINO",IF(P60=CURSOS!$D$29,"SALUD MENTAL",IF(P60=CURSOS!$D$30,"PRIMEROS AUXILIOS PSICOLOGICOS",IF(P60=CURSOS!$D$31,"ATENCION A VICTIMAS POR CONFLICTO ARMADO",IF(P60=CURSOS!$D$32,"MANIPULACION DE ALIMENTOS Y BPM",IF(P60=CURSOS!$D$33,"ATENCION A PERSONAS CON DISCAPACIDAD",IF(P60=CURSOS!$D$34,"CUIDADO INTEGRAL DEL PACIENTE ADULTO",IF(P60=CURSOS!$D$35,"MANEJO DEFENSIVO",IF(P60=CURSOS!$D$36,"SOPORTE CARDIOVASCULAR AVANZADO NEONATAL",IF(P60=CURSOS!$D$37,"SEGURIDAD DEL PACIENTE",IF(P60=CURSOS!$D$38,"MANEJO DE RESIDUOS HOSPITALARIOS"))))))))))))))))))))))))))))))))))))</f>
        <v xml:space="preserve">ATENCION A VICTIMAS DE ATAQUE CON AGENTES QUIMICOS </v>
      </c>
      <c r="W60" s="65" t="str">
        <f t="shared" si="9"/>
        <v>Fredi  Muñoz Ortiz</v>
      </c>
      <c r="X60" s="65" t="str">
        <f t="shared" si="10"/>
        <v>Fredi  Muñoz Ortiz</v>
      </c>
      <c r="Y60" s="65" t="str">
        <f t="shared" si="11"/>
        <v>Fredi  Muñoz Ortiz-13064773-QUIMICOS</v>
      </c>
    </row>
    <row r="61" spans="1:25" s="58" customFormat="1" x14ac:dyDescent="0.2">
      <c r="A61" s="59">
        <v>60</v>
      </c>
      <c r="B61" s="60">
        <v>13064773</v>
      </c>
      <c r="C61" s="60" t="s">
        <v>199</v>
      </c>
      <c r="D61" s="60" t="s">
        <v>281</v>
      </c>
      <c r="E61" s="60" t="s">
        <v>282</v>
      </c>
      <c r="F61" s="60"/>
      <c r="G61" s="60">
        <v>10</v>
      </c>
      <c r="H61" s="60" t="s">
        <v>103</v>
      </c>
      <c r="I61" s="61" t="s">
        <v>123</v>
      </c>
      <c r="J61" s="61" t="s">
        <v>177</v>
      </c>
      <c r="K61" s="62">
        <v>45730</v>
      </c>
      <c r="L61" s="63">
        <v>32000</v>
      </c>
      <c r="M61" s="60" t="s">
        <v>156</v>
      </c>
      <c r="N61" s="60" t="s">
        <v>105</v>
      </c>
      <c r="O61" s="60" t="s">
        <v>182</v>
      </c>
      <c r="P61" s="60" t="s">
        <v>44</v>
      </c>
      <c r="Q61" s="61">
        <v>25393</v>
      </c>
      <c r="R61" s="60" t="s">
        <v>139</v>
      </c>
      <c r="S61" s="64" t="s">
        <v>131</v>
      </c>
      <c r="T61" s="64">
        <v>3102017052</v>
      </c>
      <c r="U61" s="60" t="s">
        <v>283</v>
      </c>
      <c r="V61" s="65" t="str">
        <f>IF(P61=CURSOS!$D$3,"DIPLOMADO EN ATENCION PRE-HOSPITALARIA",IF(P61=CURSOS!$D$4,"ACOMPAÑAMIENTO Y MANEJO DEL DUELO",IF(P61=CURSOS!$D$5,"ATENCION A VICTIMAS DE ATAQUE CON AGENTES QUIMICOS ",IF(P61=CURSOS!$D$6,"PRIMEROS AUXILIOS ",IF(P61=CURSOS!$D$7,"DIPLOMADO DE UNIDAD DE CUIDADOS INTENSIVOS (UCI)",IF(P61=CURSOS!$D$8,"MODELO DE ATENCION PARA EVENTOS EMERGENTES EN SALUD MENTAL (CODIGO VERDE)",IF(P61=CURSOS!$D$9,"HUMANIZACION EN EL SERVICIO DE LA SALUD Y BUENAS PRACTICAS EN PACIENTE ",IF(P61=CURSOS!$D$10,"CLINICA DE HERIDAS ",IF(P61=CURSOS!$D$11,"TOMA DE CITOLOGIA CERVICO VAGINAL ",IF(P61=CURSOS!$D$12,"SOPORTE CARDIOVASCULAR AVANZADO (ACLS) ",IF(P61=CURSOS!$D$13,"CAMILLERO ",IF(P61=CURSOS!$D$14,"TOMA DE MUESTRAS Y LABORATORIO ",IF(P61=CURSOS!$D$15,"SOPORTE VITAL BASICO (BLS)",IF(P61=CURSOS!$D$16,"ATENCION A VICTIMAS DE VIOLENCIA SEXUAL ",IF(P61=CURSOS!$D$17,"PROGRAMADO AMPLIADO DE INMUNIZACION (PAI - COVID 19)",IF(P61=CURSOS!$D$18,"ATENCION INTEGRAL EN ENFERMEDADES PREVALENTES EN PRIMERA INFANCIA (AIEPI)",IF(P61=CURSOS!$D$19,"ADMINISTRACION DE MEDICAMENTOS, INYECTOLOGIA  Y CANALIZACION ",IF(P61=CURSOS!$D$20,"OPERADOR DE VEHICULOS DE EMERGENCIA (OVE)",IF(P61=CURSOS!$D$21,"INSTITUCIONES AMIGAS DE LA MUJER Y LA INFANCIA (IAMI)",IF(P61=CURSOS!$D$22,"CUIDADO DEL DONANTE DE ORGANOS",IF(P61=CURSOS!$D$23,"ATENCION A VICTIMAS POR VIOLENCIA DE GENERO",IF(P61=CURSOS!$D$24,"IGUALDAD DE GENERO EN LA SALUD",IF(P61=CURSOS!$D$25,"BRIGADA DE EMERGENCIA",IF(P61=CURSOS!$D$26,"MANEJO DEL DOLOR Y CUIDADOS PALIATIVOS",IF(P61=CURSOS!$D$27,"TOMA DE MUESTRAS Y LABORATORIO POCT",IF(P61=CURSOS!$D$28,"IMPLANTE SUBDERMICO DE DISPOSITIVO INTRAUTERINO",IF(P61=CURSOS!$D$29,"SALUD MENTAL",IF(P61=CURSOS!$D$30,"PRIMEROS AUXILIOS PSICOLOGICOS",IF(P61=CURSOS!$D$31,"ATENCION A VICTIMAS POR CONFLICTO ARMADO",IF(P61=CURSOS!$D$32,"MANIPULACION DE ALIMENTOS Y BPM",IF(P61=CURSOS!$D$33,"ATENCION A PERSONAS CON DISCAPACIDAD",IF(P61=CURSOS!$D$34,"CUIDADO INTEGRAL DEL PACIENTE ADULTO",IF(P61=CURSOS!$D$35,"MANEJO DEFENSIVO",IF(P61=CURSOS!$D$36,"SOPORTE CARDIOVASCULAR AVANZADO NEONATAL",IF(P61=CURSOS!$D$37,"SEGURIDAD DEL PACIENTE",IF(P61=CURSOS!$D$38,"MANEJO DE RESIDUOS HOSPITALARIOS"))))))))))))))))))))))))))))))))))))</f>
        <v>ATENCION INTEGRAL EN ENFERMEDADES PREVALENTES EN PRIMERA INFANCIA (AIEPI)</v>
      </c>
      <c r="W61" s="65" t="str">
        <f t="shared" si="9"/>
        <v>Fredi  Muñoz Ortiz</v>
      </c>
      <c r="X61" s="65" t="str">
        <f t="shared" si="10"/>
        <v>Fredi  Muñoz Ortiz</v>
      </c>
      <c r="Y61" s="65" t="str">
        <f t="shared" si="11"/>
        <v>Fredi  Muñoz Ortiz-13064773-AIEPI</v>
      </c>
    </row>
    <row r="62" spans="1:25" s="58" customFormat="1" x14ac:dyDescent="0.2">
      <c r="A62" s="59">
        <v>61</v>
      </c>
      <c r="B62" s="60">
        <v>27219697</v>
      </c>
      <c r="C62" s="60" t="s">
        <v>237</v>
      </c>
      <c r="D62" s="60" t="s">
        <v>284</v>
      </c>
      <c r="E62" s="60" t="s">
        <v>181</v>
      </c>
      <c r="F62" s="60" t="s">
        <v>236</v>
      </c>
      <c r="G62" s="60">
        <v>11</v>
      </c>
      <c r="H62" s="60" t="s">
        <v>103</v>
      </c>
      <c r="I62" s="61" t="s">
        <v>104</v>
      </c>
      <c r="J62" s="61" t="s">
        <v>167</v>
      </c>
      <c r="K62" s="61">
        <v>45728</v>
      </c>
      <c r="L62" s="63">
        <v>40000</v>
      </c>
      <c r="M62" s="63" t="s">
        <v>156</v>
      </c>
      <c r="N62" s="60" t="s">
        <v>105</v>
      </c>
      <c r="O62" s="60" t="s">
        <v>167</v>
      </c>
      <c r="P62" s="60" t="s">
        <v>59</v>
      </c>
      <c r="Q62" s="61">
        <v>23836</v>
      </c>
      <c r="R62" s="61" t="s">
        <v>107</v>
      </c>
      <c r="S62" s="60" t="s">
        <v>117</v>
      </c>
      <c r="T62" s="60">
        <v>3187931480</v>
      </c>
      <c r="U62" s="64" t="s">
        <v>241</v>
      </c>
      <c r="V62" s="65" t="str">
        <f>IF(P62=CURSOS!$D$3,"DIPLOMADO EN ATENCION PRE-HOSPITALARIA",IF(P62=CURSOS!$D$4,"ACOMPAÑAMIENTO Y MANEJO DEL DUELO",IF(P62=CURSOS!$D$5,"ATENCION A VICTIMAS DE ATAQUE CON AGENTES QUIMICOS ",IF(P62=CURSOS!$D$6,"PRIMEROS AUXILIOS ",IF(P62=CURSOS!$D$7,"DIPLOMADO DE UNIDAD DE CUIDADOS INTENSIVOS (UCI)",IF(P62=CURSOS!$D$8,"MODELO DE ATENCION PARA EVENTOS EMERGENTES EN SALUD MENTAL (CODIGO VERDE)",IF(P62=CURSOS!$D$9,"HUMANIZACION EN EL SERVICIO DE LA SALUD Y BUENAS PRACTICAS EN PACIENTE ",IF(P62=CURSOS!$D$10,"CLINICA DE HERIDAS ",IF(P62=CURSOS!$D$11,"TOMA DE CITOLOGIA CERVICO VAGINAL ",IF(P62=CURSOS!$D$12,"SOPORTE CARDIOVASCULAR AVANZADO (ACLS) ",IF(P62=CURSOS!$D$13,"CAMILLERO ",IF(P62=CURSOS!$D$14,"TOMA DE MUESTRAS Y LABORATORIO ",IF(P62=CURSOS!$D$15,"SOPORTE VITAL BASICO (BLS)",IF(P62=CURSOS!$D$16,"ATENCION A VICTIMAS DE VIOLENCIA SEXUAL ",IF(P62=CURSOS!$D$17,"PROGRAMADO AMPLIADO DE INMUNIZACION (PAI - COVID 19)",IF(P62=CURSOS!$D$18,"ATENCION INTEGRAL EN ENFERMEDADES PREVALENTES EN PRIMERA INFANCIA (AIEPI)",IF(P62=CURSOS!$D$19,"ADMINISTRACION DE MEDICAMENTOS, INYECTOLOGIA  Y CANALIZACION ",IF(P62=CURSOS!$D$20,"OPERADOR DE VEHICULOS DE EMERGENCIA (OVE)",IF(P62=CURSOS!$D$21,"INSTITUCIONES AMIGAS DE LA MUJER Y LA INFANCIA (IAMI)",IF(P62=CURSOS!$D$22,"CUIDADO DEL DONANTE DE ORGANOS",IF(P62=CURSOS!$D$23,"ATENCION A VICTIMAS POR VIOLENCIA DE GENERO",IF(P62=CURSOS!$D$24,"IGUALDAD DE GENERO EN LA SALUD",IF(P62=CURSOS!$D$25,"BRIGADA DE EMERGENCIA",IF(P62=CURSOS!$D$26,"MANEJO DEL DOLOR Y CUIDADOS PALIATIVOS",IF(P62=CURSOS!$D$27,"TOMA DE MUESTRAS Y LABORATORIO POCT",IF(P62=CURSOS!$D$28,"IMPLANTE SUBDERMICO DE DISPOSITIVO INTRAUTERINO",IF(P62=CURSOS!$D$29,"SALUD MENTAL",IF(P62=CURSOS!$D$30,"PRIMEROS AUXILIOS PSICOLOGICOS",IF(P62=CURSOS!$D$31,"ATENCION A VICTIMAS POR CONFLICTO ARMADO",IF(P62=CURSOS!$D$32,"MANIPULACION DE ALIMENTOS Y BPM",IF(P62=CURSOS!$D$33,"ATENCION A PERSONAS CON DISCAPACIDAD",IF(P62=CURSOS!$D$34,"CUIDADO INTEGRAL DEL PACIENTE ADULTO",IF(P62=CURSOS!$D$35,"MANEJO DEFENSIVO",IF(P62=CURSOS!$D$36,"SOPORTE CARDIOVASCULAR AVANZADO NEONATAL",IF(P62=CURSOS!$D$37,"SEGURIDAD DEL PACIENTE",IF(P62=CURSOS!$D$38,"MANEJO DE RESIDUOS HOSPITALARIOS"))))))))))))))))))))))))))))))))))))</f>
        <v>TOMA DE MUESTRAS Y LABORATORIO POCT</v>
      </c>
      <c r="W62" s="65" t="str">
        <f t="shared" si="9"/>
        <v>Nancy Magaly Melo Pantoja</v>
      </c>
      <c r="X62" s="65" t="str">
        <f t="shared" si="10"/>
        <v>Nancy Magaly Melo Pantoja</v>
      </c>
      <c r="Y62" s="65" t="str">
        <f t="shared" si="11"/>
        <v>Nancy Magaly Melo Pantoja-27219697-POCT</v>
      </c>
    </row>
    <row r="63" spans="1:25" s="58" customFormat="1" x14ac:dyDescent="0.2">
      <c r="A63" s="59">
        <v>62</v>
      </c>
      <c r="B63" s="60">
        <v>1085269680</v>
      </c>
      <c r="C63" s="60" t="s">
        <v>238</v>
      </c>
      <c r="D63" s="60" t="s">
        <v>239</v>
      </c>
      <c r="E63" s="60" t="s">
        <v>240</v>
      </c>
      <c r="F63" s="60" t="s">
        <v>236</v>
      </c>
      <c r="G63" s="60">
        <v>11</v>
      </c>
      <c r="H63" s="60" t="s">
        <v>103</v>
      </c>
      <c r="I63" s="61" t="s">
        <v>104</v>
      </c>
      <c r="J63" s="61" t="s">
        <v>167</v>
      </c>
      <c r="K63" s="61">
        <v>45728</v>
      </c>
      <c r="L63" s="63">
        <v>40000</v>
      </c>
      <c r="M63" s="63" t="s">
        <v>156</v>
      </c>
      <c r="N63" s="60" t="s">
        <v>105</v>
      </c>
      <c r="O63" s="60" t="s">
        <v>167</v>
      </c>
      <c r="P63" s="60" t="s">
        <v>59</v>
      </c>
      <c r="Q63" s="61">
        <v>32346</v>
      </c>
      <c r="R63" s="61" t="s">
        <v>107</v>
      </c>
      <c r="S63" s="60" t="s">
        <v>243</v>
      </c>
      <c r="T63" s="60">
        <v>3217741718</v>
      </c>
      <c r="U63" s="64" t="s">
        <v>242</v>
      </c>
      <c r="V63" s="65" t="str">
        <f>IF(P63=CURSOS!$D$3,"DIPLOMADO EN ATENCION PRE-HOSPITALARIA",IF(P63=CURSOS!$D$4,"ACOMPAÑAMIENTO Y MANEJO DEL DUELO",IF(P63=CURSOS!$D$5,"ATENCION A VICTIMAS DE ATAQUE CON AGENTES QUIMICOS ",IF(P63=CURSOS!$D$6,"PRIMEROS AUXILIOS ",IF(P63=CURSOS!$D$7,"DIPLOMADO DE UNIDAD DE CUIDADOS INTENSIVOS (UCI)",IF(P63=CURSOS!$D$8,"MODELO DE ATENCION PARA EVENTOS EMERGENTES EN SALUD MENTAL (CODIGO VERDE)",IF(P63=CURSOS!$D$9,"HUMANIZACION EN EL SERVICIO DE LA SALUD Y BUENAS PRACTICAS EN PACIENTE ",IF(P63=CURSOS!$D$10,"CLINICA DE HERIDAS ",IF(P63=CURSOS!$D$11,"TOMA DE CITOLOGIA CERVICO VAGINAL ",IF(P63=CURSOS!$D$12,"SOPORTE CARDIOVASCULAR AVANZADO (ACLS) ",IF(P63=CURSOS!$D$13,"CAMILLERO ",IF(P63=CURSOS!$D$14,"TOMA DE MUESTRAS Y LABORATORIO ",IF(P63=CURSOS!$D$15,"SOPORTE VITAL BASICO (BLS)",IF(P63=CURSOS!$D$16,"ATENCION A VICTIMAS DE VIOLENCIA SEXUAL ",IF(P63=CURSOS!$D$17,"PROGRAMADO AMPLIADO DE INMUNIZACION (PAI - COVID 19)",IF(P63=CURSOS!$D$18,"ATENCION INTEGRAL EN ENFERMEDADES PREVALENTES EN PRIMERA INFANCIA (AIEPI)",IF(P63=CURSOS!$D$19,"ADMINISTRACION DE MEDICAMENTOS, INYECTOLOGIA  Y CANALIZACION ",IF(P63=CURSOS!$D$20,"OPERADOR DE VEHICULOS DE EMERGENCIA (OVE)",IF(P63=CURSOS!$D$21,"INSTITUCIONES AMIGAS DE LA MUJER Y LA INFANCIA (IAMI)",IF(P63=CURSOS!$D$22,"CUIDADO DEL DONANTE DE ORGANOS",IF(P63=CURSOS!$D$23,"ATENCION A VICTIMAS POR VIOLENCIA DE GENERO",IF(P63=CURSOS!$D$24,"IGUALDAD DE GENERO EN LA SALUD",IF(P63=CURSOS!$D$25,"BRIGADA DE EMERGENCIA",IF(P63=CURSOS!$D$26,"MANEJO DEL DOLOR Y CUIDADOS PALIATIVOS",IF(P63=CURSOS!$D$27,"TOMA DE MUESTRAS Y LABORATORIO POCT",IF(P63=CURSOS!$D$28,"IMPLANTE SUBDERMICO DE DISPOSITIVO INTRAUTERINO",IF(P63=CURSOS!$D$29,"SALUD MENTAL",IF(P63=CURSOS!$D$30,"PRIMEROS AUXILIOS PSICOLOGICOS",IF(P63=CURSOS!$D$31,"ATENCION A VICTIMAS POR CONFLICTO ARMADO",IF(P63=CURSOS!$D$32,"MANIPULACION DE ALIMENTOS Y BPM",IF(P63=CURSOS!$D$33,"ATENCION A PERSONAS CON DISCAPACIDAD",IF(P63=CURSOS!$D$34,"CUIDADO INTEGRAL DEL PACIENTE ADULTO",IF(P63=CURSOS!$D$35,"MANEJO DEFENSIVO",IF(P63=CURSOS!$D$36,"SOPORTE CARDIOVASCULAR AVANZADO NEONATAL",IF(P63=CURSOS!$D$37,"SEGURIDAD DEL PACIENTE",IF(P63=CURSOS!$D$38,"MANEJO DE RESIDUOS HOSPITALARIOS"))))))))))))))))))))))))))))))))))))</f>
        <v>TOMA DE MUESTRAS Y LABORATORIO POCT</v>
      </c>
      <c r="W63" s="65" t="str">
        <f t="shared" si="9"/>
        <v>Veronica Magaly Guerrero Pasijojoa</v>
      </c>
      <c r="X63" s="65" t="str">
        <f t="shared" si="10"/>
        <v>Veronica Magaly Guerrero Pasijojoa</v>
      </c>
      <c r="Y63" s="65" t="str">
        <f t="shared" si="11"/>
        <v>Veronica Magaly Guerrero Pasijojoa-1085269680-POCT</v>
      </c>
    </row>
    <row r="64" spans="1:25" s="58" customFormat="1" x14ac:dyDescent="0.2">
      <c r="A64" s="59">
        <v>63</v>
      </c>
      <c r="B64" s="60">
        <v>1089846462</v>
      </c>
      <c r="C64" s="60" t="s">
        <v>284</v>
      </c>
      <c r="D64" s="60" t="s">
        <v>285</v>
      </c>
      <c r="E64" s="60" t="s">
        <v>286</v>
      </c>
      <c r="F64" s="60" t="s">
        <v>287</v>
      </c>
      <c r="G64" s="60">
        <v>11</v>
      </c>
      <c r="H64" s="60" t="s">
        <v>103</v>
      </c>
      <c r="I64" s="61" t="s">
        <v>104</v>
      </c>
      <c r="J64" s="61" t="s">
        <v>167</v>
      </c>
      <c r="K64" s="61">
        <v>45728</v>
      </c>
      <c r="L64" s="63">
        <v>40000</v>
      </c>
      <c r="M64" s="63" t="s">
        <v>156</v>
      </c>
      <c r="N64" s="60" t="s">
        <v>105</v>
      </c>
      <c r="O64" s="60" t="s">
        <v>167</v>
      </c>
      <c r="P64" s="60" t="s">
        <v>59</v>
      </c>
      <c r="Q64" s="61">
        <v>33923</v>
      </c>
      <c r="R64" s="61" t="s">
        <v>107</v>
      </c>
      <c r="S64" s="60" t="s">
        <v>243</v>
      </c>
      <c r="T64" s="64">
        <v>3108968199</v>
      </c>
      <c r="U64" s="64" t="s">
        <v>288</v>
      </c>
      <c r="V64" s="65" t="str">
        <f>IF(P64=CURSOS!$D$3,"DIPLOMADO EN ATENCION PRE-HOSPITALARIA",IF(P64=CURSOS!$D$4,"ACOMPAÑAMIENTO Y MANEJO DEL DUELO",IF(P64=CURSOS!$D$5,"ATENCION A VICTIMAS DE ATAQUE CON AGENTES QUIMICOS ",IF(P64=CURSOS!$D$6,"PRIMEROS AUXILIOS ",IF(P64=CURSOS!$D$7,"DIPLOMADO DE UNIDAD DE CUIDADOS INTENSIVOS (UCI)",IF(P64=CURSOS!$D$8,"MODELO DE ATENCION PARA EVENTOS EMERGENTES EN SALUD MENTAL (CODIGO VERDE)",IF(P64=CURSOS!$D$9,"HUMANIZACION EN EL SERVICIO DE LA SALUD Y BUENAS PRACTICAS EN PACIENTE ",IF(P64=CURSOS!$D$10,"CLINICA DE HERIDAS ",IF(P64=CURSOS!$D$11,"TOMA DE CITOLOGIA CERVICO VAGINAL ",IF(P64=CURSOS!$D$12,"SOPORTE CARDIOVASCULAR AVANZADO (ACLS) ",IF(P64=CURSOS!$D$13,"CAMILLERO ",IF(P64=CURSOS!$D$14,"TOMA DE MUESTRAS Y LABORATORIO ",IF(P64=CURSOS!$D$15,"SOPORTE VITAL BASICO (BLS)",IF(P64=CURSOS!$D$16,"ATENCION A VICTIMAS DE VIOLENCIA SEXUAL ",IF(P64=CURSOS!$D$17,"PROGRAMADO AMPLIADO DE INMUNIZACION (PAI - COVID 19)",IF(P64=CURSOS!$D$18,"ATENCION INTEGRAL EN ENFERMEDADES PREVALENTES EN PRIMERA INFANCIA (AIEPI)",IF(P64=CURSOS!$D$19,"ADMINISTRACION DE MEDICAMENTOS, INYECTOLOGIA  Y CANALIZACION ",IF(P64=CURSOS!$D$20,"OPERADOR DE VEHICULOS DE EMERGENCIA (OVE)",IF(P64=CURSOS!$D$21,"INSTITUCIONES AMIGAS DE LA MUJER Y LA INFANCIA (IAMI)",IF(P64=CURSOS!$D$22,"CUIDADO DEL DONANTE DE ORGANOS",IF(P64=CURSOS!$D$23,"ATENCION A VICTIMAS POR VIOLENCIA DE GENERO",IF(P64=CURSOS!$D$24,"IGUALDAD DE GENERO EN LA SALUD",IF(P64=CURSOS!$D$25,"BRIGADA DE EMERGENCIA",IF(P64=CURSOS!$D$26,"MANEJO DEL DOLOR Y CUIDADOS PALIATIVOS",IF(P64=CURSOS!$D$27,"TOMA DE MUESTRAS Y LABORATORIO POCT",IF(P64=CURSOS!$D$28,"IMPLANTE SUBDERMICO DE DISPOSITIVO INTRAUTERINO",IF(P64=CURSOS!$D$29,"SALUD MENTAL",IF(P64=CURSOS!$D$30,"PRIMEROS AUXILIOS PSICOLOGICOS",IF(P64=CURSOS!$D$31,"ATENCION A VICTIMAS POR CONFLICTO ARMADO",IF(P64=CURSOS!$D$32,"MANIPULACION DE ALIMENTOS Y BPM",IF(P64=CURSOS!$D$33,"ATENCION A PERSONAS CON DISCAPACIDAD",IF(P64=CURSOS!$D$34,"CUIDADO INTEGRAL DEL PACIENTE ADULTO",IF(P64=CURSOS!$D$35,"MANEJO DEFENSIVO",IF(P64=CURSOS!$D$36,"SOPORTE CARDIOVASCULAR AVANZADO NEONATAL",IF(P64=CURSOS!$D$37,"SEGURIDAD DEL PACIENTE",IF(P64=CURSOS!$D$38,"MANEJO DE RESIDUOS HOSPITALARIOS"))))))))))))))))))))))))))))))))))))</f>
        <v>TOMA DE MUESTRAS Y LABORATORIO POCT</v>
      </c>
      <c r="W64" s="65" t="str">
        <f t="shared" si="9"/>
        <v>Ximena Del Rosario Pantoja Tobar</v>
      </c>
      <c r="X64" s="65" t="str">
        <f t="shared" si="10"/>
        <v>Ximena Del Rosario Pantoja Tobar</v>
      </c>
      <c r="Y64" s="65" t="str">
        <f t="shared" si="11"/>
        <v>Ximena Del Rosario Pantoja Tobar-1089846462-POCT</v>
      </c>
    </row>
    <row r="65" spans="1:25" s="58" customFormat="1" x14ac:dyDescent="0.2">
      <c r="A65" s="59">
        <v>64</v>
      </c>
      <c r="B65" s="60">
        <v>59821548</v>
      </c>
      <c r="C65" s="60" t="s">
        <v>289</v>
      </c>
      <c r="D65" s="60" t="s">
        <v>199</v>
      </c>
      <c r="E65" s="60" t="s">
        <v>290</v>
      </c>
      <c r="F65" s="60" t="s">
        <v>121</v>
      </c>
      <c r="G65" s="60">
        <v>11</v>
      </c>
      <c r="H65" s="60" t="s">
        <v>103</v>
      </c>
      <c r="I65" s="61" t="s">
        <v>104</v>
      </c>
      <c r="J65" s="61" t="s">
        <v>167</v>
      </c>
      <c r="K65" s="61">
        <v>45728</v>
      </c>
      <c r="L65" s="63">
        <v>40000</v>
      </c>
      <c r="M65" s="63" t="s">
        <v>133</v>
      </c>
      <c r="N65" s="60" t="s">
        <v>105</v>
      </c>
      <c r="O65" s="60" t="s">
        <v>167</v>
      </c>
      <c r="P65" s="60" t="s">
        <v>59</v>
      </c>
      <c r="Q65" s="61">
        <v>26814</v>
      </c>
      <c r="R65" s="61" t="s">
        <v>107</v>
      </c>
      <c r="S65" s="60" t="s">
        <v>291</v>
      </c>
      <c r="T65" s="64">
        <v>3155887105</v>
      </c>
      <c r="U65" s="60"/>
      <c r="V65" s="65" t="str">
        <f>IF(P65=CURSOS!$D$3,"DIPLOMADO EN ATENCION PRE-HOSPITALARIA",IF(P65=CURSOS!$D$4,"ACOMPAÑAMIENTO Y MANEJO DEL DUELO",IF(P65=CURSOS!$D$5,"ATENCION A VICTIMAS DE ATAQUE CON AGENTES QUIMICOS ",IF(P65=CURSOS!$D$6,"PRIMEROS AUXILIOS ",IF(P65=CURSOS!$D$7,"DIPLOMADO DE UNIDAD DE CUIDADOS INTENSIVOS (UCI)",IF(P65=CURSOS!$D$8,"MODELO DE ATENCION PARA EVENTOS EMERGENTES EN SALUD MENTAL (CODIGO VERDE)",IF(P65=CURSOS!$D$9,"HUMANIZACION EN EL SERVICIO DE LA SALUD Y BUENAS PRACTICAS EN PACIENTE ",IF(P65=CURSOS!$D$10,"CLINICA DE HERIDAS ",IF(P65=CURSOS!$D$11,"TOMA DE CITOLOGIA CERVICO VAGINAL ",IF(P65=CURSOS!$D$12,"SOPORTE CARDIOVASCULAR AVANZADO (ACLS) ",IF(P65=CURSOS!$D$13,"CAMILLERO ",IF(P65=CURSOS!$D$14,"TOMA DE MUESTRAS Y LABORATORIO ",IF(P65=CURSOS!$D$15,"SOPORTE VITAL BASICO (BLS)",IF(P65=CURSOS!$D$16,"ATENCION A VICTIMAS DE VIOLENCIA SEXUAL ",IF(P65=CURSOS!$D$17,"PROGRAMADO AMPLIADO DE INMUNIZACION (PAI - COVID 19)",IF(P65=CURSOS!$D$18,"ATENCION INTEGRAL EN ENFERMEDADES PREVALENTES EN PRIMERA INFANCIA (AIEPI)",IF(P65=CURSOS!$D$19,"ADMINISTRACION DE MEDICAMENTOS, INYECTOLOGIA  Y CANALIZACION ",IF(P65=CURSOS!$D$20,"OPERADOR DE VEHICULOS DE EMERGENCIA (OVE)",IF(P65=CURSOS!$D$21,"INSTITUCIONES AMIGAS DE LA MUJER Y LA INFANCIA (IAMI)",IF(P65=CURSOS!$D$22,"CUIDADO DEL DONANTE DE ORGANOS",IF(P65=CURSOS!$D$23,"ATENCION A VICTIMAS POR VIOLENCIA DE GENERO",IF(P65=CURSOS!$D$24,"IGUALDAD DE GENERO EN LA SALUD",IF(P65=CURSOS!$D$25,"BRIGADA DE EMERGENCIA",IF(P65=CURSOS!$D$26,"MANEJO DEL DOLOR Y CUIDADOS PALIATIVOS",IF(P65=CURSOS!$D$27,"TOMA DE MUESTRAS Y LABORATORIO POCT",IF(P65=CURSOS!$D$28,"IMPLANTE SUBDERMICO DE DISPOSITIVO INTRAUTERINO",IF(P65=CURSOS!$D$29,"SALUD MENTAL",IF(P65=CURSOS!$D$30,"PRIMEROS AUXILIOS PSICOLOGICOS",IF(P65=CURSOS!$D$31,"ATENCION A VICTIMAS POR CONFLICTO ARMADO",IF(P65=CURSOS!$D$32,"MANIPULACION DE ALIMENTOS Y BPM",IF(P65=CURSOS!$D$33,"ATENCION A PERSONAS CON DISCAPACIDAD",IF(P65=CURSOS!$D$34,"CUIDADO INTEGRAL DEL PACIENTE ADULTO",IF(P65=CURSOS!$D$35,"MANEJO DEFENSIVO",IF(P65=CURSOS!$D$36,"SOPORTE CARDIOVASCULAR AVANZADO NEONATAL",IF(P65=CURSOS!$D$37,"SEGURIDAD DEL PACIENTE",IF(P65=CURSOS!$D$38,"MANEJO DE RESIDUOS HOSPITALARIOS"))))))))))))))))))))))))))))))))))))</f>
        <v>TOMA DE MUESTRAS Y LABORATORIO POCT</v>
      </c>
      <c r="W65" s="65" t="str">
        <f t="shared" si="9"/>
        <v>Rosa Maria Botina Muñoz</v>
      </c>
      <c r="X65" s="65" t="str">
        <f t="shared" si="10"/>
        <v>Rosa Maria Botina Muñoz</v>
      </c>
      <c r="Y65" s="65" t="str">
        <f t="shared" si="11"/>
        <v>Rosa Maria Botina Muñoz-59821548-POCT</v>
      </c>
    </row>
    <row r="66" spans="1:25" s="58" customFormat="1" x14ac:dyDescent="0.2">
      <c r="A66" s="59">
        <v>65</v>
      </c>
      <c r="B66" s="60">
        <v>37084018</v>
      </c>
      <c r="C66" s="60" t="s">
        <v>127</v>
      </c>
      <c r="D66" s="60" t="s">
        <v>292</v>
      </c>
      <c r="E66" s="60" t="s">
        <v>293</v>
      </c>
      <c r="F66" s="60" t="s">
        <v>230</v>
      </c>
      <c r="G66" s="60">
        <v>11</v>
      </c>
      <c r="H66" s="60" t="s">
        <v>103</v>
      </c>
      <c r="I66" s="61" t="s">
        <v>104</v>
      </c>
      <c r="J66" s="61" t="s">
        <v>167</v>
      </c>
      <c r="K66" s="61">
        <v>45728</v>
      </c>
      <c r="L66" s="63">
        <v>40000</v>
      </c>
      <c r="M66" s="63" t="s">
        <v>156</v>
      </c>
      <c r="N66" s="60" t="s">
        <v>105</v>
      </c>
      <c r="O66" s="60" t="s">
        <v>167</v>
      </c>
      <c r="P66" s="60" t="s">
        <v>59</v>
      </c>
      <c r="Q66" s="61">
        <v>30473</v>
      </c>
      <c r="R66" s="61" t="s">
        <v>107</v>
      </c>
      <c r="S66" s="60" t="s">
        <v>117</v>
      </c>
      <c r="T66" s="64">
        <v>3163004061</v>
      </c>
      <c r="U66" s="64" t="s">
        <v>294</v>
      </c>
      <c r="V66" s="65" t="str">
        <f>IF(P66=CURSOS!$D$3,"DIPLOMADO EN ATENCION PRE-HOSPITALARIA",IF(P66=CURSOS!$D$4,"ACOMPAÑAMIENTO Y MANEJO DEL DUELO",IF(P66=CURSOS!$D$5,"ATENCION A VICTIMAS DE ATAQUE CON AGENTES QUIMICOS ",IF(P66=CURSOS!$D$6,"PRIMEROS AUXILIOS ",IF(P66=CURSOS!$D$7,"DIPLOMADO DE UNIDAD DE CUIDADOS INTENSIVOS (UCI)",IF(P66=CURSOS!$D$8,"MODELO DE ATENCION PARA EVENTOS EMERGENTES EN SALUD MENTAL (CODIGO VERDE)",IF(P66=CURSOS!$D$9,"HUMANIZACION EN EL SERVICIO DE LA SALUD Y BUENAS PRACTICAS EN PACIENTE ",IF(P66=CURSOS!$D$10,"CLINICA DE HERIDAS ",IF(P66=CURSOS!$D$11,"TOMA DE CITOLOGIA CERVICO VAGINAL ",IF(P66=CURSOS!$D$12,"SOPORTE CARDIOVASCULAR AVANZADO (ACLS) ",IF(P66=CURSOS!$D$13,"CAMILLERO ",IF(P66=CURSOS!$D$14,"TOMA DE MUESTRAS Y LABORATORIO ",IF(P66=CURSOS!$D$15,"SOPORTE VITAL BASICO (BLS)",IF(P66=CURSOS!$D$16,"ATENCION A VICTIMAS DE VIOLENCIA SEXUAL ",IF(P66=CURSOS!$D$17,"PROGRAMADO AMPLIADO DE INMUNIZACION (PAI - COVID 19)",IF(P66=CURSOS!$D$18,"ATENCION INTEGRAL EN ENFERMEDADES PREVALENTES EN PRIMERA INFANCIA (AIEPI)",IF(P66=CURSOS!$D$19,"ADMINISTRACION DE MEDICAMENTOS, INYECTOLOGIA  Y CANALIZACION ",IF(P66=CURSOS!$D$20,"OPERADOR DE VEHICULOS DE EMERGENCIA (OVE)",IF(P66=CURSOS!$D$21,"INSTITUCIONES AMIGAS DE LA MUJER Y LA INFANCIA (IAMI)",IF(P66=CURSOS!$D$22,"CUIDADO DEL DONANTE DE ORGANOS",IF(P66=CURSOS!$D$23,"ATENCION A VICTIMAS POR VIOLENCIA DE GENERO",IF(P66=CURSOS!$D$24,"IGUALDAD DE GENERO EN LA SALUD",IF(P66=CURSOS!$D$25,"BRIGADA DE EMERGENCIA",IF(P66=CURSOS!$D$26,"MANEJO DEL DOLOR Y CUIDADOS PALIATIVOS",IF(P66=CURSOS!$D$27,"TOMA DE MUESTRAS Y LABORATORIO POCT",IF(P66=CURSOS!$D$28,"IMPLANTE SUBDERMICO DE DISPOSITIVO INTRAUTERINO",IF(P66=CURSOS!$D$29,"SALUD MENTAL",IF(P66=CURSOS!$D$30,"PRIMEROS AUXILIOS PSICOLOGICOS",IF(P66=CURSOS!$D$31,"ATENCION A VICTIMAS POR CONFLICTO ARMADO",IF(P66=CURSOS!$D$32,"MANIPULACION DE ALIMENTOS Y BPM",IF(P66=CURSOS!$D$33,"ATENCION A PERSONAS CON DISCAPACIDAD",IF(P66=CURSOS!$D$34,"CUIDADO INTEGRAL DEL PACIENTE ADULTO",IF(P66=CURSOS!$D$35,"MANEJO DEFENSIVO",IF(P66=CURSOS!$D$36,"SOPORTE CARDIOVASCULAR AVANZADO NEONATAL",IF(P66=CURSOS!$D$37,"SEGURIDAD DEL PACIENTE",IF(P66=CURSOS!$D$38,"MANEJO DE RESIDUOS HOSPITALARIOS"))))))))))))))))))))))))))))))))))))</f>
        <v>TOMA DE MUESTRAS Y LABORATORIO POCT</v>
      </c>
      <c r="W66" s="65" t="str">
        <f t="shared" si="9"/>
        <v>Paula Alejandra Delgado Torres</v>
      </c>
      <c r="X66" s="65" t="str">
        <f t="shared" si="10"/>
        <v>Paula Alejandra Delgado Torres</v>
      </c>
      <c r="Y66" s="65" t="str">
        <f t="shared" si="11"/>
        <v>Paula Alejandra Delgado Torres-37084018-POCT</v>
      </c>
    </row>
    <row r="67" spans="1:25" s="58" customFormat="1" x14ac:dyDescent="0.2">
      <c r="A67" s="59">
        <v>66</v>
      </c>
      <c r="B67" s="60">
        <v>1006849055</v>
      </c>
      <c r="C67" s="60" t="s">
        <v>298</v>
      </c>
      <c r="D67" s="60" t="s">
        <v>299</v>
      </c>
      <c r="E67" s="60" t="s">
        <v>300</v>
      </c>
      <c r="F67" s="60" t="s">
        <v>301</v>
      </c>
      <c r="G67" s="60">
        <v>11</v>
      </c>
      <c r="H67" s="60" t="s">
        <v>103</v>
      </c>
      <c r="I67" s="61" t="s">
        <v>104</v>
      </c>
      <c r="J67" s="61" t="s">
        <v>167</v>
      </c>
      <c r="K67" s="61">
        <v>45728</v>
      </c>
      <c r="L67" s="63">
        <v>40000</v>
      </c>
      <c r="M67" s="63" t="s">
        <v>156</v>
      </c>
      <c r="N67" s="60" t="s">
        <v>105</v>
      </c>
      <c r="O67" s="60" t="s">
        <v>167</v>
      </c>
      <c r="P67" s="60" t="s">
        <v>59</v>
      </c>
      <c r="Q67" s="61">
        <v>34008</v>
      </c>
      <c r="R67" s="61" t="s">
        <v>107</v>
      </c>
      <c r="S67" s="60" t="s">
        <v>117</v>
      </c>
      <c r="T67" s="64">
        <v>3105962836</v>
      </c>
      <c r="U67" s="64" t="s">
        <v>302</v>
      </c>
      <c r="V67" s="65" t="str">
        <f>IF(P67=CURSOS!$D$3,"DIPLOMADO EN ATENCION PRE-HOSPITALARIA",IF(P67=CURSOS!$D$4,"ACOMPAÑAMIENTO Y MANEJO DEL DUELO",IF(P67=CURSOS!$D$5,"ATENCION A VICTIMAS DE ATAQUE CON AGENTES QUIMICOS ",IF(P67=CURSOS!$D$6,"PRIMEROS AUXILIOS ",IF(P67=CURSOS!$D$7,"DIPLOMADO DE UNIDAD DE CUIDADOS INTENSIVOS (UCI)",IF(P67=CURSOS!$D$8,"MODELO DE ATENCION PARA EVENTOS EMERGENTES EN SALUD MENTAL (CODIGO VERDE)",IF(P67=CURSOS!$D$9,"HUMANIZACION EN EL SERVICIO DE LA SALUD Y BUENAS PRACTICAS EN PACIENTE ",IF(P67=CURSOS!$D$10,"CLINICA DE HERIDAS ",IF(P67=CURSOS!$D$11,"TOMA DE CITOLOGIA CERVICO VAGINAL ",IF(P67=CURSOS!$D$12,"SOPORTE CARDIOVASCULAR AVANZADO (ACLS) ",IF(P67=CURSOS!$D$13,"CAMILLERO ",IF(P67=CURSOS!$D$14,"TOMA DE MUESTRAS Y LABORATORIO ",IF(P67=CURSOS!$D$15,"SOPORTE VITAL BASICO (BLS)",IF(P67=CURSOS!$D$16,"ATENCION A VICTIMAS DE VIOLENCIA SEXUAL ",IF(P67=CURSOS!$D$17,"PROGRAMADO AMPLIADO DE INMUNIZACION (PAI - COVID 19)",IF(P67=CURSOS!$D$18,"ATENCION INTEGRAL EN ENFERMEDADES PREVALENTES EN PRIMERA INFANCIA (AIEPI)",IF(P67=CURSOS!$D$19,"ADMINISTRACION DE MEDICAMENTOS, INYECTOLOGIA  Y CANALIZACION ",IF(P67=CURSOS!$D$20,"OPERADOR DE VEHICULOS DE EMERGENCIA (OVE)",IF(P67=CURSOS!$D$21,"INSTITUCIONES AMIGAS DE LA MUJER Y LA INFANCIA (IAMI)",IF(P67=CURSOS!$D$22,"CUIDADO DEL DONANTE DE ORGANOS",IF(P67=CURSOS!$D$23,"ATENCION A VICTIMAS POR VIOLENCIA DE GENERO",IF(P67=CURSOS!$D$24,"IGUALDAD DE GENERO EN LA SALUD",IF(P67=CURSOS!$D$25,"BRIGADA DE EMERGENCIA",IF(P67=CURSOS!$D$26,"MANEJO DEL DOLOR Y CUIDADOS PALIATIVOS",IF(P67=CURSOS!$D$27,"TOMA DE MUESTRAS Y LABORATORIO POCT",IF(P67=CURSOS!$D$28,"IMPLANTE SUBDERMICO DE DISPOSITIVO INTRAUTERINO",IF(P67=CURSOS!$D$29,"SALUD MENTAL",IF(P67=CURSOS!$D$30,"PRIMEROS AUXILIOS PSICOLOGICOS",IF(P67=CURSOS!$D$31,"ATENCION A VICTIMAS POR CONFLICTO ARMADO",IF(P67=CURSOS!$D$32,"MANIPULACION DE ALIMENTOS Y BPM",IF(P67=CURSOS!$D$33,"ATENCION A PERSONAS CON DISCAPACIDAD",IF(P67=CURSOS!$D$34,"CUIDADO INTEGRAL DEL PACIENTE ADULTO",IF(P67=CURSOS!$D$35,"MANEJO DEFENSIVO",IF(P67=CURSOS!$D$36,"SOPORTE CARDIOVASCULAR AVANZADO NEONATAL",IF(P67=CURSOS!$D$37,"SEGURIDAD DEL PACIENTE",IF(P67=CURSOS!$D$38,"MANEJO DE RESIDUOS HOSPITALARIOS"))))))))))))))))))))))))))))))))))))</f>
        <v>TOMA DE MUESTRAS Y LABORATORIO POCT</v>
      </c>
      <c r="W67" s="65" t="str">
        <f t="shared" si="9"/>
        <v>Nilsa Albany Rojas Cruz</v>
      </c>
      <c r="X67" s="65" t="str">
        <f t="shared" si="10"/>
        <v>Nilsa Albany Rojas Cruz</v>
      </c>
      <c r="Y67" s="65" t="str">
        <f t="shared" si="11"/>
        <v>Nilsa Albany Rojas Cruz-1006849055-POCT</v>
      </c>
    </row>
    <row r="68" spans="1:25" s="58" customFormat="1" x14ac:dyDescent="0.2">
      <c r="A68" s="59">
        <v>67</v>
      </c>
      <c r="B68" s="60">
        <v>1131085776</v>
      </c>
      <c r="C68" s="60" t="s">
        <v>303</v>
      </c>
      <c r="D68" s="60" t="s">
        <v>304</v>
      </c>
      <c r="E68" s="60" t="s">
        <v>305</v>
      </c>
      <c r="F68" s="60" t="s">
        <v>306</v>
      </c>
      <c r="G68" s="60">
        <v>11</v>
      </c>
      <c r="H68" s="60" t="s">
        <v>103</v>
      </c>
      <c r="I68" s="61" t="s">
        <v>104</v>
      </c>
      <c r="J68" s="61" t="s">
        <v>167</v>
      </c>
      <c r="K68" s="61">
        <v>45728</v>
      </c>
      <c r="L68" s="63">
        <v>40000</v>
      </c>
      <c r="M68" s="63" t="s">
        <v>156</v>
      </c>
      <c r="N68" s="60" t="s">
        <v>105</v>
      </c>
      <c r="O68" s="60" t="s">
        <v>167</v>
      </c>
      <c r="P68" s="60" t="s">
        <v>59</v>
      </c>
      <c r="Q68" s="61">
        <v>36162</v>
      </c>
      <c r="R68" s="61" t="s">
        <v>107</v>
      </c>
      <c r="S68" s="60" t="s">
        <v>117</v>
      </c>
      <c r="T68" s="64">
        <v>3218825885</v>
      </c>
      <c r="U68" s="64" t="s">
        <v>307</v>
      </c>
      <c r="V68" s="65" t="str">
        <f>IF(P68=CURSOS!$D$3,"DIPLOMADO EN ATENCION PRE-HOSPITALARIA",IF(P68=CURSOS!$D$4,"ACOMPAÑAMIENTO Y MANEJO DEL DUELO",IF(P68=CURSOS!$D$5,"ATENCION A VICTIMAS DE ATAQUE CON AGENTES QUIMICOS ",IF(P68=CURSOS!$D$6,"PRIMEROS AUXILIOS ",IF(P68=CURSOS!$D$7,"DIPLOMADO DE UNIDAD DE CUIDADOS INTENSIVOS (UCI)",IF(P68=CURSOS!$D$8,"MODELO DE ATENCION PARA EVENTOS EMERGENTES EN SALUD MENTAL (CODIGO VERDE)",IF(P68=CURSOS!$D$9,"HUMANIZACION EN EL SERVICIO DE LA SALUD Y BUENAS PRACTICAS EN PACIENTE ",IF(P68=CURSOS!$D$10,"CLINICA DE HERIDAS ",IF(P68=CURSOS!$D$11,"TOMA DE CITOLOGIA CERVICO VAGINAL ",IF(P68=CURSOS!$D$12,"SOPORTE CARDIOVASCULAR AVANZADO (ACLS) ",IF(P68=CURSOS!$D$13,"CAMILLERO ",IF(P68=CURSOS!$D$14,"TOMA DE MUESTRAS Y LABORATORIO ",IF(P68=CURSOS!$D$15,"SOPORTE VITAL BASICO (BLS)",IF(P68=CURSOS!$D$16,"ATENCION A VICTIMAS DE VIOLENCIA SEXUAL ",IF(P68=CURSOS!$D$17,"PROGRAMADO AMPLIADO DE INMUNIZACION (PAI - COVID 19)",IF(P68=CURSOS!$D$18,"ATENCION INTEGRAL EN ENFERMEDADES PREVALENTES EN PRIMERA INFANCIA (AIEPI)",IF(P68=CURSOS!$D$19,"ADMINISTRACION DE MEDICAMENTOS, INYECTOLOGIA  Y CANALIZACION ",IF(P68=CURSOS!$D$20,"OPERADOR DE VEHICULOS DE EMERGENCIA (OVE)",IF(P68=CURSOS!$D$21,"INSTITUCIONES AMIGAS DE LA MUJER Y LA INFANCIA (IAMI)",IF(P68=CURSOS!$D$22,"CUIDADO DEL DONANTE DE ORGANOS",IF(P68=CURSOS!$D$23,"ATENCION A VICTIMAS POR VIOLENCIA DE GENERO",IF(P68=CURSOS!$D$24,"IGUALDAD DE GENERO EN LA SALUD",IF(P68=CURSOS!$D$25,"BRIGADA DE EMERGENCIA",IF(P68=CURSOS!$D$26,"MANEJO DEL DOLOR Y CUIDADOS PALIATIVOS",IF(P68=CURSOS!$D$27,"TOMA DE MUESTRAS Y LABORATORIO POCT",IF(P68=CURSOS!$D$28,"IMPLANTE SUBDERMICO DE DISPOSITIVO INTRAUTERINO",IF(P68=CURSOS!$D$29,"SALUD MENTAL",IF(P68=CURSOS!$D$30,"PRIMEROS AUXILIOS PSICOLOGICOS",IF(P68=CURSOS!$D$31,"ATENCION A VICTIMAS POR CONFLICTO ARMADO",IF(P68=CURSOS!$D$32,"MANIPULACION DE ALIMENTOS Y BPM",IF(P68=CURSOS!$D$33,"ATENCION A PERSONAS CON DISCAPACIDAD",IF(P68=CURSOS!$D$34,"CUIDADO INTEGRAL DEL PACIENTE ADULTO",IF(P68=CURSOS!$D$35,"MANEJO DEFENSIVO",IF(P68=CURSOS!$D$36,"SOPORTE CARDIOVASCULAR AVANZADO NEONATAL",IF(P68=CURSOS!$D$37,"SEGURIDAD DEL PACIENTE",IF(P68=CURSOS!$D$38,"MANEJO DE RESIDUOS HOSPITALARIOS"))))))))))))))))))))))))))))))))))))</f>
        <v>TOMA DE MUESTRAS Y LABORATORIO POCT</v>
      </c>
      <c r="W68" s="65" t="str">
        <f t="shared" si="9"/>
        <v>Thania Jharledy Mejia Cordoba</v>
      </c>
      <c r="X68" s="65" t="str">
        <f t="shared" si="10"/>
        <v>Thania Jharledy Mejia Cordoba</v>
      </c>
      <c r="Y68" s="65" t="str">
        <f t="shared" si="11"/>
        <v>Thania Jharledy Mejia Cordoba-1131085776-POCT</v>
      </c>
    </row>
    <row r="69" spans="1:25" s="58" customFormat="1" x14ac:dyDescent="0.2">
      <c r="A69" s="59">
        <v>68</v>
      </c>
      <c r="B69" s="60">
        <v>1085311643</v>
      </c>
      <c r="C69" s="60" t="s">
        <v>160</v>
      </c>
      <c r="D69" s="60" t="s">
        <v>308</v>
      </c>
      <c r="E69" s="60" t="s">
        <v>309</v>
      </c>
      <c r="F69" s="60" t="s">
        <v>201</v>
      </c>
      <c r="G69" s="60">
        <v>14</v>
      </c>
      <c r="H69" s="60" t="s">
        <v>103</v>
      </c>
      <c r="I69" s="61" t="s">
        <v>104</v>
      </c>
      <c r="J69" s="61"/>
      <c r="K69" s="62">
        <v>45729</v>
      </c>
      <c r="L69" s="63">
        <v>162000</v>
      </c>
      <c r="M69" s="60" t="s">
        <v>159</v>
      </c>
      <c r="N69" s="60" t="s">
        <v>105</v>
      </c>
      <c r="O69" s="60" t="s">
        <v>106</v>
      </c>
      <c r="P69" s="60" t="s">
        <v>19</v>
      </c>
      <c r="Q69" s="61">
        <v>34418</v>
      </c>
      <c r="R69" s="60" t="s">
        <v>139</v>
      </c>
      <c r="S69" s="64" t="s">
        <v>117</v>
      </c>
      <c r="T69" s="60">
        <v>3159572023</v>
      </c>
      <c r="U69" s="64" t="s">
        <v>310</v>
      </c>
      <c r="V69" s="65" t="str">
        <f>IF(P69=CURSOS!$D$3,"DIPLOMADO EN ATENCION PRE-HOSPITALARIA",IF(P69=CURSOS!$D$4,"ACOMPAÑAMIENTO Y MANEJO DEL DUELO",IF(P69=CURSOS!$D$5,"ATENCION A VICTIMAS DE ATAQUE CON AGENTES QUIMICOS ",IF(P69=CURSOS!$D$6,"PRIMEROS AUXILIOS ",IF(P69=CURSOS!$D$7,"DIPLOMADO DE UNIDAD DE CUIDADOS INTENSIVOS (UCI)",IF(P69=CURSOS!$D$8,"MODELO DE ATENCION PARA EVENTOS EMERGENTES EN SALUD MENTAL (CODIGO VERDE)",IF(P69=CURSOS!$D$9,"HUMANIZACION EN EL SERVICIO DE LA SALUD Y BUENAS PRACTICAS EN PACIENTE ",IF(P69=CURSOS!$D$10,"CLINICA DE HERIDAS ",IF(P69=CURSOS!$D$11,"TOMA DE CITOLOGIA CERVICO VAGINAL ",IF(P69=CURSOS!$D$12,"SOPORTE CARDIOVASCULAR AVANZADO (ACLS) ",IF(P69=CURSOS!$D$13,"CAMILLERO ",IF(P69=CURSOS!$D$14,"TOMA DE MUESTRAS Y LABORATORIO ",IF(P69=CURSOS!$D$15,"SOPORTE VITAL BASICO (BLS)",IF(P69=CURSOS!$D$16,"ATENCION A VICTIMAS DE VIOLENCIA SEXUAL ",IF(P69=CURSOS!$D$17,"PROGRAMADO AMPLIADO DE INMUNIZACION (PAI - COVID 19)",IF(P69=CURSOS!$D$18,"ATENCION INTEGRAL EN ENFERMEDADES PREVALENTES EN PRIMERA INFANCIA (AIEPI)",IF(P69=CURSOS!$D$19,"ADMINISTRACION DE MEDICAMENTOS, INYECTOLOGIA  Y CANALIZACION ",IF(P69=CURSOS!$D$20,"OPERADOR DE VEHICULOS DE EMERGENCIA (OVE)",IF(P69=CURSOS!$D$21,"INSTITUCIONES AMIGAS DE LA MUJER Y LA INFANCIA (IAMI)",IF(P69=CURSOS!$D$22,"CUIDADO DEL DONANTE DE ORGANOS",IF(P69=CURSOS!$D$23,"ATENCION A VICTIMAS POR VIOLENCIA DE GENERO",IF(P69=CURSOS!$D$24,"IGUALDAD DE GENERO EN LA SALUD",IF(P69=CURSOS!$D$25,"BRIGADA DE EMERGENCIA",IF(P69=CURSOS!$D$26,"MANEJO DEL DOLOR Y CUIDADOS PALIATIVOS",IF(P69=CURSOS!$D$27,"TOMA DE MUESTRAS Y LABORATORIO POCT",IF(P69=CURSOS!$D$28,"IMPLANTE SUBDERMICO DE DISPOSITIVO INTRAUTERINO",IF(P69=CURSOS!$D$29,"SALUD MENTAL",IF(P69=CURSOS!$D$30,"PRIMEROS AUXILIOS PSICOLOGICOS",IF(P69=CURSOS!$D$31,"ATENCION A VICTIMAS POR CONFLICTO ARMADO",IF(P69=CURSOS!$D$32,"MANIPULACION DE ALIMENTOS Y BPM",IF(P69=CURSOS!$D$33,"ATENCION A PERSONAS CON DISCAPACIDAD",IF(P69=CURSOS!$D$34,"CUIDADO INTEGRAL DEL PACIENTE ADULTO",IF(P69=CURSOS!$D$35,"MANEJO DEFENSIVO",IF(P69=CURSOS!$D$36,"SOPORTE CARDIOVASCULAR AVANZADO NEONATAL",IF(P69=CURSOS!$D$37,"SEGURIDAD DEL PACIENTE",IF(P69=CURSOS!$D$38,"MANEJO DE RESIDUOS HOSPITALARIOS"))))))))))))))))))))))))))))))))))))</f>
        <v>SOPORTE VITAL BASICO (BLS)</v>
      </c>
      <c r="W69" s="65" t="str">
        <f t="shared" si="9"/>
        <v>Cristian Alejandro Benavides Herrera</v>
      </c>
      <c r="X69" s="65" t="str">
        <f t="shared" si="10"/>
        <v>Cristian Alejandro Benavides Herrera</v>
      </c>
      <c r="Y69" s="65" t="str">
        <f t="shared" si="11"/>
        <v>Cristian Alejandro Benavides Herrera-1085311643-BLS</v>
      </c>
    </row>
    <row r="70" spans="1:25" s="58" customFormat="1" x14ac:dyDescent="0.2">
      <c r="A70" s="59">
        <v>69</v>
      </c>
      <c r="B70" s="60">
        <v>1085346372</v>
      </c>
      <c r="C70" s="60" t="s">
        <v>267</v>
      </c>
      <c r="D70" s="60" t="s">
        <v>267</v>
      </c>
      <c r="E70" s="60" t="s">
        <v>268</v>
      </c>
      <c r="F70" s="60" t="s">
        <v>201</v>
      </c>
      <c r="G70" s="60">
        <v>14</v>
      </c>
      <c r="H70" s="60" t="s">
        <v>103</v>
      </c>
      <c r="I70" s="60" t="s">
        <v>104</v>
      </c>
      <c r="J70" s="60"/>
      <c r="K70" s="61"/>
      <c r="L70" s="63"/>
      <c r="M70" s="60"/>
      <c r="N70" s="60" t="s">
        <v>105</v>
      </c>
      <c r="O70" s="60" t="s">
        <v>106</v>
      </c>
      <c r="P70" s="60" t="s">
        <v>19</v>
      </c>
      <c r="Q70" s="61">
        <v>36408</v>
      </c>
      <c r="R70" s="60" t="s">
        <v>139</v>
      </c>
      <c r="S70" s="60" t="s">
        <v>270</v>
      </c>
      <c r="T70" s="60">
        <v>3104213412</v>
      </c>
      <c r="U70" s="60" t="s">
        <v>271</v>
      </c>
      <c r="V70" s="65" t="str">
        <f>IF(P70=CURSOS!$D$3,"DIPLOMADO EN ATENCION PRE-HOSPITALARIA",IF(P70=CURSOS!$D$4,"ACOMPAÑAMIENTO Y MANEJO DEL DUELO",IF(P70=CURSOS!$D$5,"ATENCION A VICTIMAS DE ATAQUE CON AGENTES QUIMICOS ",IF(P70=CURSOS!$D$6,"PRIMEROS AUXILIOS ",IF(P70=CURSOS!$D$7,"DIPLOMADO DE UNIDAD DE CUIDADOS INTENSIVOS (UCI)",IF(P70=CURSOS!$D$8,"MODELO DE ATENCION PARA EVENTOS EMERGENTES EN SALUD MENTAL (CODIGO VERDE)",IF(P70=CURSOS!$D$9,"HUMANIZACION EN EL SERVICIO DE LA SALUD Y BUENAS PRACTICAS EN PACIENTE ",IF(P70=CURSOS!$D$10,"CLINICA DE HERIDAS ",IF(P70=CURSOS!$D$11,"TOMA DE CITOLOGIA CERVICO VAGINAL ",IF(P70=CURSOS!$D$12,"SOPORTE CARDIOVASCULAR AVANZADO (ACLS) ",IF(P70=CURSOS!$D$13,"CAMILLERO ",IF(P70=CURSOS!$D$14,"TOMA DE MUESTRAS Y LABORATORIO ",IF(P70=CURSOS!$D$15,"SOPORTE VITAL BASICO (BLS)",IF(P70=CURSOS!$D$16,"ATENCION A VICTIMAS DE VIOLENCIA SEXUAL ",IF(P70=CURSOS!$D$17,"PROGRAMADO AMPLIADO DE INMUNIZACION (PAI - COVID 19)",IF(P70=CURSOS!$D$18,"ATENCION INTEGRAL EN ENFERMEDADES PREVALENTES EN PRIMERA INFANCIA (AIEPI)",IF(P70=CURSOS!$D$19,"ADMINISTRACION DE MEDICAMENTOS, INYECTOLOGIA  Y CANALIZACION ",IF(P70=CURSOS!$D$20,"OPERADOR DE VEHICULOS DE EMERGENCIA (OVE)",IF(P70=CURSOS!$D$21,"INSTITUCIONES AMIGAS DE LA MUJER Y LA INFANCIA (IAMI)",IF(P70=CURSOS!$D$22,"CUIDADO DEL DONANTE DE ORGANOS",IF(P70=CURSOS!$D$23,"ATENCION A VICTIMAS POR VIOLENCIA DE GENERO",IF(P70=CURSOS!$D$24,"IGUALDAD DE GENERO EN LA SALUD",IF(P70=CURSOS!$D$25,"BRIGADA DE EMERGENCIA",IF(P70=CURSOS!$D$26,"MANEJO DEL DOLOR Y CUIDADOS PALIATIVOS",IF(P70=CURSOS!$D$27,"TOMA DE MUESTRAS Y LABORATORIO POCT",IF(P70=CURSOS!$D$28,"IMPLANTE SUBDERMICO DE DISPOSITIVO INTRAUTERINO",IF(P70=CURSOS!$D$29,"SALUD MENTAL",IF(P70=CURSOS!$D$30,"PRIMEROS AUXILIOS PSICOLOGICOS",IF(P70=CURSOS!$D$31,"ATENCION A VICTIMAS POR CONFLICTO ARMADO",IF(P70=CURSOS!$D$32,"MANIPULACION DE ALIMENTOS Y BPM",IF(P70=CURSOS!$D$33,"ATENCION A PERSONAS CON DISCAPACIDAD",IF(P70=CURSOS!$D$34,"CUIDADO INTEGRAL DEL PACIENTE ADULTO",IF(P70=CURSOS!$D$35,"MANEJO DEFENSIVO",IF(P70=CURSOS!$D$36,"SOPORTE CARDIOVASCULAR AVANZADO NEONATAL",IF(P70=CURSOS!$D$37,"SEGURIDAD DEL PACIENTE",IF(P70=CURSOS!$D$38,"MANEJO DE RESIDUOS HOSPITALARIOS"))))))))))))))))))))))))))))))))))))</f>
        <v>SOPORTE VITAL BASICO (BLS)</v>
      </c>
      <c r="W70" s="65" t="str">
        <f t="shared" si="9"/>
        <v>Gabriel Alejandro Paz Paz</v>
      </c>
      <c r="X70" s="65" t="str">
        <f t="shared" si="10"/>
        <v>Gabriel Alejandro Paz Paz</v>
      </c>
      <c r="Y70" s="65" t="str">
        <f t="shared" si="11"/>
        <v>Gabriel Alejandro Paz Paz-1085346372-BLS</v>
      </c>
    </row>
    <row r="71" spans="1:25" s="58" customFormat="1" x14ac:dyDescent="0.2">
      <c r="A71" s="59">
        <v>70</v>
      </c>
      <c r="B71" s="60">
        <v>1081055626</v>
      </c>
      <c r="C71" s="60" t="s">
        <v>272</v>
      </c>
      <c r="D71" s="60" t="s">
        <v>267</v>
      </c>
      <c r="E71" s="60" t="s">
        <v>273</v>
      </c>
      <c r="F71" s="60" t="s">
        <v>274</v>
      </c>
      <c r="G71" s="60">
        <v>14</v>
      </c>
      <c r="H71" s="60" t="s">
        <v>103</v>
      </c>
      <c r="I71" s="60" t="s">
        <v>104</v>
      </c>
      <c r="J71" s="60"/>
      <c r="K71" s="62"/>
      <c r="L71" s="63"/>
      <c r="M71" s="60"/>
      <c r="N71" s="60" t="s">
        <v>105</v>
      </c>
      <c r="O71" s="60" t="s">
        <v>106</v>
      </c>
      <c r="P71" s="60" t="s">
        <v>19</v>
      </c>
      <c r="Q71" s="61">
        <v>39309</v>
      </c>
      <c r="R71" s="60" t="s">
        <v>139</v>
      </c>
      <c r="S71" s="60" t="s">
        <v>108</v>
      </c>
      <c r="T71" s="60">
        <v>3142399732</v>
      </c>
      <c r="U71" s="60" t="s">
        <v>275</v>
      </c>
      <c r="V71" s="65" t="str">
        <f>IF(P71=CURSOS!$D$3,"DIPLOMADO EN ATENCION PRE-HOSPITALARIA",IF(P71=CURSOS!$D$4,"ACOMPAÑAMIENTO Y MANEJO DEL DUELO",IF(P71=CURSOS!$D$5,"ATENCION A VICTIMAS DE ATAQUE CON AGENTES QUIMICOS ",IF(P71=CURSOS!$D$6,"PRIMEROS AUXILIOS ",IF(P71=CURSOS!$D$7,"DIPLOMADO DE UNIDAD DE CUIDADOS INTENSIVOS (UCI)",IF(P71=CURSOS!$D$8,"MODELO DE ATENCION PARA EVENTOS EMERGENTES EN SALUD MENTAL (CODIGO VERDE)",IF(P71=CURSOS!$D$9,"HUMANIZACION EN EL SERVICIO DE LA SALUD Y BUENAS PRACTICAS EN PACIENTE ",IF(P71=CURSOS!$D$10,"CLINICA DE HERIDAS ",IF(P71=CURSOS!$D$11,"TOMA DE CITOLOGIA CERVICO VAGINAL ",IF(P71=CURSOS!$D$12,"SOPORTE CARDIOVASCULAR AVANZADO (ACLS) ",IF(P71=CURSOS!$D$13,"CAMILLERO ",IF(P71=CURSOS!$D$14,"TOMA DE MUESTRAS Y LABORATORIO ",IF(P71=CURSOS!$D$15,"SOPORTE VITAL BASICO (BLS)",IF(P71=CURSOS!$D$16,"ATENCION A VICTIMAS DE VIOLENCIA SEXUAL ",IF(P71=CURSOS!$D$17,"PROGRAMADO AMPLIADO DE INMUNIZACION (PAI - COVID 19)",IF(P71=CURSOS!$D$18,"ATENCION INTEGRAL EN ENFERMEDADES PREVALENTES EN PRIMERA INFANCIA (AIEPI)",IF(P71=CURSOS!$D$19,"ADMINISTRACION DE MEDICAMENTOS, INYECTOLOGIA  Y CANALIZACION ",IF(P71=CURSOS!$D$20,"OPERADOR DE VEHICULOS DE EMERGENCIA (OVE)",IF(P71=CURSOS!$D$21,"INSTITUCIONES AMIGAS DE LA MUJER Y LA INFANCIA (IAMI)",IF(P71=CURSOS!$D$22,"CUIDADO DEL DONANTE DE ORGANOS",IF(P71=CURSOS!$D$23,"ATENCION A VICTIMAS POR VIOLENCIA DE GENERO",IF(P71=CURSOS!$D$24,"IGUALDAD DE GENERO EN LA SALUD",IF(P71=CURSOS!$D$25,"BRIGADA DE EMERGENCIA",IF(P71=CURSOS!$D$26,"MANEJO DEL DOLOR Y CUIDADOS PALIATIVOS",IF(P71=CURSOS!$D$27,"TOMA DE MUESTRAS Y LABORATORIO POCT",IF(P71=CURSOS!$D$28,"IMPLANTE SUBDERMICO DE DISPOSITIVO INTRAUTERINO",IF(P71=CURSOS!$D$29,"SALUD MENTAL",IF(P71=CURSOS!$D$30,"PRIMEROS AUXILIOS PSICOLOGICOS",IF(P71=CURSOS!$D$31,"ATENCION A VICTIMAS POR CONFLICTO ARMADO",IF(P71=CURSOS!$D$32,"MANIPULACION DE ALIMENTOS Y BPM",IF(P71=CURSOS!$D$33,"ATENCION A PERSONAS CON DISCAPACIDAD",IF(P71=CURSOS!$D$34,"CUIDADO INTEGRAL DEL PACIENTE ADULTO",IF(P71=CURSOS!$D$35,"MANEJO DEFENSIVO",IF(P71=CURSOS!$D$36,"SOPORTE CARDIOVASCULAR AVANZADO NEONATAL",IF(P71=CURSOS!$D$37,"SEGURIDAD DEL PACIENTE",IF(P71=CURSOS!$D$38,"MANEJO DE RESIDUOS HOSPITALARIOS"))))))))))))))))))))))))))))))))))))</f>
        <v>SOPORTE VITAL BASICO (BLS)</v>
      </c>
      <c r="W71" s="65" t="str">
        <f t="shared" si="9"/>
        <v>Camilo Alfredo Moncayo Paz</v>
      </c>
      <c r="X71" s="65" t="str">
        <f t="shared" si="10"/>
        <v>Camilo Alfredo Moncayo Paz</v>
      </c>
      <c r="Y71" s="65" t="str">
        <f t="shared" si="11"/>
        <v>Camilo Alfredo Moncayo Paz-1081055626-BLS</v>
      </c>
    </row>
    <row r="72" spans="1:25" s="58" customFormat="1" x14ac:dyDescent="0.2">
      <c r="A72" s="59">
        <v>71</v>
      </c>
      <c r="B72" s="60">
        <v>37087132</v>
      </c>
      <c r="C72" s="60" t="s">
        <v>169</v>
      </c>
      <c r="D72" s="60" t="s">
        <v>160</v>
      </c>
      <c r="E72" s="60" t="s">
        <v>170</v>
      </c>
      <c r="F72" s="60" t="s">
        <v>171</v>
      </c>
      <c r="G72" s="60">
        <v>13</v>
      </c>
      <c r="H72" s="60" t="s">
        <v>103</v>
      </c>
      <c r="I72" s="61" t="s">
        <v>104</v>
      </c>
      <c r="J72" s="61" t="s">
        <v>167</v>
      </c>
      <c r="K72" s="62">
        <v>45701</v>
      </c>
      <c r="L72" s="63">
        <v>40000</v>
      </c>
      <c r="M72" s="60" t="s">
        <v>156</v>
      </c>
      <c r="N72" s="60" t="s">
        <v>163</v>
      </c>
      <c r="O72" s="60" t="s">
        <v>106</v>
      </c>
      <c r="P72" s="60" t="s">
        <v>59</v>
      </c>
      <c r="Q72" s="61">
        <v>31154</v>
      </c>
      <c r="R72" s="60" t="s">
        <v>107</v>
      </c>
      <c r="S72" s="64" t="s">
        <v>117</v>
      </c>
      <c r="T72" s="60">
        <v>3014205580</v>
      </c>
      <c r="U72" s="60" t="s">
        <v>172</v>
      </c>
      <c r="V72" s="65" t="str">
        <f>IF(P72=CURSOS!$D$3,"DIPLOMADO EN ATENCION PRE-HOSPITALARIA",IF(P72=CURSOS!$D$4,"ACOMPAÑAMIENTO Y MANEJO DEL DUELO",IF(P72=CURSOS!$D$5,"ATENCION A VICTIMAS DE ATAQUE CON AGENTES QUIMICOS ",IF(P72=CURSOS!$D$6,"PRIMEROS AUXILIOS ",IF(P72=CURSOS!$D$7,"DIPLOMADO DE UNIDAD DE CUIDADOS INTENSIVOS (UCI)",IF(P72=CURSOS!$D$8,"MODELO DE ATENCION PARA EVENTOS EMERGENTES EN SALUD MENTAL (CODIGO VERDE)",IF(P72=CURSOS!$D$9,"HUMANIZACION EN EL SERVICIO DE LA SALUD Y BUENAS PRACTICAS EN PACIENTE ",IF(P72=CURSOS!$D$10,"CLINICA DE HERIDAS ",IF(P72=CURSOS!$D$11,"TOMA DE CITOLOGIA CERVICO VAGINAL ",IF(P72=CURSOS!$D$12,"SOPORTE CARDIOVASCULAR AVANZADO (ACLS) ",IF(P72=CURSOS!$D$13,"CAMILLERO ",IF(P72=CURSOS!$D$14,"TOMA DE MUESTRAS Y LABORATORIO ",IF(P72=CURSOS!$D$15,"SOPORTE VITAL BASICO (BLS)",IF(P72=CURSOS!$D$16,"ATENCION A VICTIMAS DE VIOLENCIA SEXUAL ",IF(P72=CURSOS!$D$17,"PROGRAMADO AMPLIADO DE INMUNIZACION (PAI - COVID 19)",IF(P72=CURSOS!$D$18,"ATENCION INTEGRAL EN ENFERMEDADES PREVALENTES EN PRIMERA INFANCIA (AIEPI)",IF(P72=CURSOS!$D$19,"ADMINISTRACION DE MEDICAMENTOS, INYECTOLOGIA  Y CANALIZACION ",IF(P72=CURSOS!$D$20,"OPERADOR DE VEHICULOS DE EMERGENCIA (OVE)",IF(P72=CURSOS!$D$21,"INSTITUCIONES AMIGAS DE LA MUJER Y LA INFANCIA (IAMI)",IF(P72=CURSOS!$D$22,"CUIDADO DEL DONANTE DE ORGANOS",IF(P72=CURSOS!$D$23,"ATENCION A VICTIMAS POR VIOLENCIA DE GENERO",IF(P72=CURSOS!$D$24,"IGUALDAD DE GENERO EN LA SALUD",IF(P72=CURSOS!$D$25,"BRIGADA DE EMERGENCIA",IF(P72=CURSOS!$D$26,"MANEJO DEL DOLOR Y CUIDADOS PALIATIVOS",IF(P72=CURSOS!$D$27,"TOMA DE MUESTRAS Y LABORATORIO POCT",IF(P72=CURSOS!$D$28,"IMPLANTE SUBDERMICO DE DISPOSITIVO INTRAUTERINO",IF(P72=CURSOS!$D$29,"SALUD MENTAL",IF(P72=CURSOS!$D$30,"PRIMEROS AUXILIOS PSICOLOGICOS",IF(P72=CURSOS!$D$31,"ATENCION A VICTIMAS POR CONFLICTO ARMADO",IF(P72=CURSOS!$D$32,"MANIPULACION DE ALIMENTOS Y BPM",IF(P72=CURSOS!$D$33,"ATENCION A PERSONAS CON DISCAPACIDAD",IF(P72=CURSOS!$D$34,"CUIDADO INTEGRAL DEL PACIENTE ADULTO",IF(P72=CURSOS!$D$35,"MANEJO DEFENSIVO",IF(P72=CURSOS!$D$36,"SOPORTE CARDIOVASCULAR AVANZADO NEONATAL",IF(P72=CURSOS!$D$37,"SEGURIDAD DEL PACIENTE",IF(P72=CURSOS!$D$38,"MANEJO DE RESIDUOS HOSPITALARIOS"))))))))))))))))))))))))))))))))))))</f>
        <v>TOMA DE MUESTRAS Y LABORATORIO POCT</v>
      </c>
      <c r="W72" s="65" t="str">
        <f t="shared" si="9"/>
        <v>Paola Mile Cabrera Benavides</v>
      </c>
      <c r="X72" s="65" t="str">
        <f t="shared" si="10"/>
        <v>Paola Mile Cabrera Benavides</v>
      </c>
      <c r="Y72" s="65" t="str">
        <f t="shared" si="11"/>
        <v>Paola Mile Cabrera Benavides-37087132-POCT</v>
      </c>
    </row>
    <row r="73" spans="1:25" s="58" customFormat="1" x14ac:dyDescent="0.2">
      <c r="A73" s="59">
        <v>72</v>
      </c>
      <c r="B73" s="60">
        <v>1072921838</v>
      </c>
      <c r="C73" s="60" t="s">
        <v>164</v>
      </c>
      <c r="D73" s="60" t="s">
        <v>165</v>
      </c>
      <c r="E73" s="60" t="s">
        <v>166</v>
      </c>
      <c r="F73" s="60"/>
      <c r="G73" s="60">
        <v>13</v>
      </c>
      <c r="H73" s="60" t="s">
        <v>103</v>
      </c>
      <c r="I73" s="61" t="s">
        <v>104</v>
      </c>
      <c r="J73" s="61" t="s">
        <v>167</v>
      </c>
      <c r="K73" s="62">
        <v>45701</v>
      </c>
      <c r="L73" s="63">
        <v>40000</v>
      </c>
      <c r="M73" s="60" t="s">
        <v>133</v>
      </c>
      <c r="N73" s="60" t="s">
        <v>163</v>
      </c>
      <c r="O73" s="60" t="s">
        <v>106</v>
      </c>
      <c r="P73" s="60" t="s">
        <v>59</v>
      </c>
      <c r="Q73" s="61">
        <v>34281</v>
      </c>
      <c r="R73" s="60" t="s">
        <v>107</v>
      </c>
      <c r="S73" s="64" t="s">
        <v>117</v>
      </c>
      <c r="T73" s="64">
        <v>3134924675</v>
      </c>
      <c r="U73" s="60" t="s">
        <v>168</v>
      </c>
      <c r="V73" s="65" t="str">
        <f>IF(P73=CURSOS!$D$3,"DIPLOMADO EN ATENCION PRE-HOSPITALARIA",IF(P73=CURSOS!$D$4,"ACOMPAÑAMIENTO Y MANEJO DEL DUELO",IF(P73=CURSOS!$D$5,"ATENCION A VICTIMAS DE ATAQUE CON AGENTES QUIMICOS ",IF(P73=CURSOS!$D$6,"PRIMEROS AUXILIOS ",IF(P73=CURSOS!$D$7,"DIPLOMADO DE UNIDAD DE CUIDADOS INTENSIVOS (UCI)",IF(P73=CURSOS!$D$8,"MODELO DE ATENCION PARA EVENTOS EMERGENTES EN SALUD MENTAL (CODIGO VERDE)",IF(P73=CURSOS!$D$9,"HUMANIZACION EN EL SERVICIO DE LA SALUD Y BUENAS PRACTICAS EN PACIENTE ",IF(P73=CURSOS!$D$10,"CLINICA DE HERIDAS ",IF(P73=CURSOS!$D$11,"TOMA DE CITOLOGIA CERVICO VAGINAL ",IF(P73=CURSOS!$D$12,"SOPORTE CARDIOVASCULAR AVANZADO (ACLS) ",IF(P73=CURSOS!$D$13,"CAMILLERO ",IF(P73=CURSOS!$D$14,"TOMA DE MUESTRAS Y LABORATORIO ",IF(P73=CURSOS!$D$15,"SOPORTE VITAL BASICO (BLS)",IF(P73=CURSOS!$D$16,"ATENCION A VICTIMAS DE VIOLENCIA SEXUAL ",IF(P73=CURSOS!$D$17,"PROGRAMADO AMPLIADO DE INMUNIZACION (PAI - COVID 19)",IF(P73=CURSOS!$D$18,"ATENCION INTEGRAL EN ENFERMEDADES PREVALENTES EN PRIMERA INFANCIA (AIEPI)",IF(P73=CURSOS!$D$19,"ADMINISTRACION DE MEDICAMENTOS, INYECTOLOGIA  Y CANALIZACION ",IF(P73=CURSOS!$D$20,"OPERADOR DE VEHICULOS DE EMERGENCIA (OVE)",IF(P73=CURSOS!$D$21,"INSTITUCIONES AMIGAS DE LA MUJER Y LA INFANCIA (IAMI)",IF(P73=CURSOS!$D$22,"CUIDADO DEL DONANTE DE ORGANOS",IF(P73=CURSOS!$D$23,"ATENCION A VICTIMAS POR VIOLENCIA DE GENERO",IF(P73=CURSOS!$D$24,"IGUALDAD DE GENERO EN LA SALUD",IF(P73=CURSOS!$D$25,"BRIGADA DE EMERGENCIA",IF(P73=CURSOS!$D$26,"MANEJO DEL DOLOR Y CUIDADOS PALIATIVOS",IF(P73=CURSOS!$D$27,"TOMA DE MUESTRAS Y LABORATORIO POCT",IF(P73=CURSOS!$D$28,"IMPLANTE SUBDERMICO DE DISPOSITIVO INTRAUTERINO",IF(P73=CURSOS!$D$29,"SALUD MENTAL",IF(P73=CURSOS!$D$30,"PRIMEROS AUXILIOS PSICOLOGICOS",IF(P73=CURSOS!$D$31,"ATENCION A VICTIMAS POR CONFLICTO ARMADO",IF(P73=CURSOS!$D$32,"MANIPULACION DE ALIMENTOS Y BPM",IF(P73=CURSOS!$D$33,"ATENCION A PERSONAS CON DISCAPACIDAD",IF(P73=CURSOS!$D$34,"CUIDADO INTEGRAL DEL PACIENTE ADULTO",IF(P73=CURSOS!$D$35,"MANEJO DEFENSIVO",IF(P73=CURSOS!$D$36,"SOPORTE CARDIOVASCULAR AVANZADO NEONATAL",IF(P73=CURSOS!$D$37,"SEGURIDAD DEL PACIENTE",IF(P73=CURSOS!$D$38,"MANEJO DE RESIDUOS HOSPITALARIOS"))))))))))))))))))))))))))))))))))))</f>
        <v>TOMA DE MUESTRAS Y LABORATORIO POCT</v>
      </c>
      <c r="W73" s="65" t="str">
        <f t="shared" si="9"/>
        <v>Adelaida  Nieves Quiroga</v>
      </c>
      <c r="X73" s="65" t="str">
        <f t="shared" si="10"/>
        <v>Adelaida  Nieves Quiroga</v>
      </c>
      <c r="Y73" s="65" t="str">
        <f t="shared" si="11"/>
        <v>Adelaida  Nieves Quiroga-1072921838-POCT</v>
      </c>
    </row>
    <row r="74" spans="1:25" s="58" customFormat="1" x14ac:dyDescent="0.2">
      <c r="A74" s="59">
        <v>73</v>
      </c>
      <c r="B74" s="60">
        <v>1085245956</v>
      </c>
      <c r="C74" s="60" t="s">
        <v>199</v>
      </c>
      <c r="D74" s="60" t="s">
        <v>311</v>
      </c>
      <c r="E74" s="60" t="s">
        <v>115</v>
      </c>
      <c r="F74" s="60" t="s">
        <v>286</v>
      </c>
      <c r="G74" s="60">
        <v>13</v>
      </c>
      <c r="H74" s="60" t="s">
        <v>103</v>
      </c>
      <c r="I74" s="61" t="s">
        <v>104</v>
      </c>
      <c r="J74" s="61" t="s">
        <v>167</v>
      </c>
      <c r="K74" s="62">
        <v>45701</v>
      </c>
      <c r="L74" s="63">
        <v>40000</v>
      </c>
      <c r="M74" s="60" t="s">
        <v>133</v>
      </c>
      <c r="N74" s="60" t="s">
        <v>163</v>
      </c>
      <c r="O74" s="60" t="s">
        <v>106</v>
      </c>
      <c r="P74" s="77" t="s">
        <v>59</v>
      </c>
      <c r="Q74" s="61">
        <v>31430</v>
      </c>
      <c r="R74" s="60" t="s">
        <v>107</v>
      </c>
      <c r="S74" s="64" t="s">
        <v>117</v>
      </c>
      <c r="T74" s="64">
        <v>3117540558</v>
      </c>
      <c r="U74" s="60" t="s">
        <v>312</v>
      </c>
      <c r="V74" s="65" t="str">
        <f>IF(P74=CURSOS!$D$3,"DIPLOMADO EN ATENCION PRE-HOSPITALARIA",IF(P74=CURSOS!$D$4,"ACOMPAÑAMIENTO Y MANEJO DEL DUELO",IF(P74=CURSOS!$D$5,"ATENCION A VICTIMAS DE ATAQUE CON AGENTES QUIMICOS ",IF(P74=CURSOS!$D$6,"PRIMEROS AUXILIOS ",IF(P74=CURSOS!$D$7,"DIPLOMADO DE UNIDAD DE CUIDADOS INTENSIVOS (UCI)",IF(P74=CURSOS!$D$8,"MODELO DE ATENCION PARA EVENTOS EMERGENTES EN SALUD MENTAL (CODIGO VERDE)",IF(P74=CURSOS!$D$9,"HUMANIZACION EN EL SERVICIO DE LA SALUD Y BUENAS PRACTICAS EN PACIENTE ",IF(P74=CURSOS!$D$10,"CLINICA DE HERIDAS ",IF(P74=CURSOS!$D$11,"TOMA DE CITOLOGIA CERVICO VAGINAL ",IF(P74=CURSOS!$D$12,"SOPORTE CARDIOVASCULAR AVANZADO (ACLS) ",IF(P74=CURSOS!$D$13,"CAMILLERO ",IF(P74=CURSOS!$D$14,"TOMA DE MUESTRAS Y LABORATORIO ",IF(P74=CURSOS!$D$15,"SOPORTE VITAL BASICO (BLS)",IF(P74=CURSOS!$D$16,"ATENCION A VICTIMAS DE VIOLENCIA SEXUAL ",IF(P74=CURSOS!$D$17,"PROGRAMADO AMPLIADO DE INMUNIZACION (PAI - COVID 19)",IF(P74=CURSOS!$D$18,"ATENCION INTEGRAL EN ENFERMEDADES PREVALENTES EN PRIMERA INFANCIA (AIEPI)",IF(P74=CURSOS!$D$19,"ADMINISTRACION DE MEDICAMENTOS, INYECTOLOGIA  Y CANALIZACION ",IF(P74=CURSOS!$D$20,"OPERADOR DE VEHICULOS DE EMERGENCIA (OVE)",IF(P74=CURSOS!$D$21,"INSTITUCIONES AMIGAS DE LA MUJER Y LA INFANCIA (IAMI)",IF(P74=CURSOS!$D$22,"CUIDADO DEL DONANTE DE ORGANOS",IF(P74=CURSOS!$D$23,"ATENCION A VICTIMAS POR VIOLENCIA DE GENERO",IF(P74=CURSOS!$D$24,"IGUALDAD DE GENERO EN LA SALUD",IF(P74=CURSOS!$D$25,"BRIGADA DE EMERGENCIA",IF(P74=CURSOS!$D$26,"MANEJO DEL DOLOR Y CUIDADOS PALIATIVOS",IF(P74=CURSOS!$D$27,"TOMA DE MUESTRAS Y LABORATORIO POCT",IF(P74=CURSOS!$D$28,"IMPLANTE SUBDERMICO DE DISPOSITIVO INTRAUTERINO",IF(P74=CURSOS!$D$29,"SALUD MENTAL",IF(P74=CURSOS!$D$30,"PRIMEROS AUXILIOS PSICOLOGICOS",IF(P74=CURSOS!$D$31,"ATENCION A VICTIMAS POR CONFLICTO ARMADO",IF(P74=CURSOS!$D$32,"MANIPULACION DE ALIMENTOS Y BPM",IF(P74=CURSOS!$D$33,"ATENCION A PERSONAS CON DISCAPACIDAD",IF(P74=CURSOS!$D$34,"CUIDADO INTEGRAL DEL PACIENTE ADULTO",IF(P74=CURSOS!$D$35,"MANEJO DEFENSIVO",IF(P74=CURSOS!$D$36,"SOPORTE CARDIOVASCULAR AVANZADO NEONATAL",IF(P74=CURSOS!$D$37,"SEGURIDAD DEL PACIENTE",IF(P74=CURSOS!$D$38,"MANEJO DE RESIDUOS HOSPITALARIOS"))))))))))))))))))))))))))))))))))))</f>
        <v>TOMA DE MUESTRAS Y LABORATORIO POCT</v>
      </c>
      <c r="W74" s="65" t="str">
        <f t="shared" si="9"/>
        <v>Claudia Ximena Muñoz Reina</v>
      </c>
      <c r="X74" s="65" t="str">
        <f t="shared" si="10"/>
        <v>Claudia Ximena Muñoz Reina</v>
      </c>
      <c r="Y74" s="65" t="str">
        <f t="shared" si="11"/>
        <v>Claudia Ximena Muñoz Reina-1085245956-POCT</v>
      </c>
    </row>
    <row r="75" spans="1:25" s="58" customFormat="1" x14ac:dyDescent="0.2">
      <c r="A75" s="59">
        <v>74</v>
      </c>
      <c r="B75" s="60">
        <v>37082958</v>
      </c>
      <c r="C75" s="60" t="s">
        <v>313</v>
      </c>
      <c r="D75" s="60" t="s">
        <v>313</v>
      </c>
      <c r="E75" s="60" t="s">
        <v>314</v>
      </c>
      <c r="F75" s="60" t="s">
        <v>315</v>
      </c>
      <c r="G75" s="60">
        <v>13</v>
      </c>
      <c r="H75" s="60" t="s">
        <v>103</v>
      </c>
      <c r="I75" s="61" t="s">
        <v>104</v>
      </c>
      <c r="J75" s="61" t="s">
        <v>167</v>
      </c>
      <c r="K75" s="62">
        <v>45701</v>
      </c>
      <c r="L75" s="63">
        <v>40000</v>
      </c>
      <c r="M75" s="60" t="s">
        <v>133</v>
      </c>
      <c r="N75" s="60" t="s">
        <v>163</v>
      </c>
      <c r="O75" s="60" t="s">
        <v>106</v>
      </c>
      <c r="P75" s="60" t="s">
        <v>59</v>
      </c>
      <c r="Q75" s="61">
        <v>30439</v>
      </c>
      <c r="R75" s="60" t="s">
        <v>107</v>
      </c>
      <c r="S75" s="64" t="s">
        <v>117</v>
      </c>
      <c r="T75" s="78">
        <v>3166539146</v>
      </c>
      <c r="U75" s="60" t="s">
        <v>316</v>
      </c>
      <c r="V75" s="65" t="str">
        <f>IF(P75=CURSOS!$D$3,"DIPLOMADO EN ATENCION PRE-HOSPITALARIA",IF(P75=CURSOS!$D$4,"ACOMPAÑAMIENTO Y MANEJO DEL DUELO",IF(P75=CURSOS!$D$5,"ATENCION A VICTIMAS DE ATAQUE CON AGENTES QUIMICOS ",IF(P75=CURSOS!$D$6,"PRIMEROS AUXILIOS ",IF(P75=CURSOS!$D$7,"DIPLOMADO DE UNIDAD DE CUIDADOS INTENSIVOS (UCI)",IF(P75=CURSOS!$D$8,"MODELO DE ATENCION PARA EVENTOS EMERGENTES EN SALUD MENTAL (CODIGO VERDE)",IF(P75=CURSOS!$D$9,"HUMANIZACION EN EL SERVICIO DE LA SALUD Y BUENAS PRACTICAS EN PACIENTE ",IF(P75=CURSOS!$D$10,"CLINICA DE HERIDAS ",IF(P75=CURSOS!$D$11,"TOMA DE CITOLOGIA CERVICO VAGINAL ",IF(P75=CURSOS!$D$12,"SOPORTE CARDIOVASCULAR AVANZADO (ACLS) ",IF(P75=CURSOS!$D$13,"CAMILLERO ",IF(P75=CURSOS!$D$14,"TOMA DE MUESTRAS Y LABORATORIO ",IF(P75=CURSOS!$D$15,"SOPORTE VITAL BASICO (BLS)",IF(P75=CURSOS!$D$16,"ATENCION A VICTIMAS DE VIOLENCIA SEXUAL ",IF(P75=CURSOS!$D$17,"PROGRAMADO AMPLIADO DE INMUNIZACION (PAI - COVID 19)",IF(P75=CURSOS!$D$18,"ATENCION INTEGRAL EN ENFERMEDADES PREVALENTES EN PRIMERA INFANCIA (AIEPI)",IF(P75=CURSOS!$D$19,"ADMINISTRACION DE MEDICAMENTOS, INYECTOLOGIA  Y CANALIZACION ",IF(P75=CURSOS!$D$20,"OPERADOR DE VEHICULOS DE EMERGENCIA (OVE)",IF(P75=CURSOS!$D$21,"INSTITUCIONES AMIGAS DE LA MUJER Y LA INFANCIA (IAMI)",IF(P75=CURSOS!$D$22,"CUIDADO DEL DONANTE DE ORGANOS",IF(P75=CURSOS!$D$23,"ATENCION A VICTIMAS POR VIOLENCIA DE GENERO",IF(P75=CURSOS!$D$24,"IGUALDAD DE GENERO EN LA SALUD",IF(P75=CURSOS!$D$25,"BRIGADA DE EMERGENCIA",IF(P75=CURSOS!$D$26,"MANEJO DEL DOLOR Y CUIDADOS PALIATIVOS",IF(P75=CURSOS!$D$27,"TOMA DE MUESTRAS Y LABORATORIO POCT",IF(P75=CURSOS!$D$28,"IMPLANTE SUBDERMICO DE DISPOSITIVO INTRAUTERINO",IF(P75=CURSOS!$D$29,"SALUD MENTAL",IF(P75=CURSOS!$D$30,"PRIMEROS AUXILIOS PSICOLOGICOS",IF(P75=CURSOS!$D$31,"ATENCION A VICTIMAS POR CONFLICTO ARMADO",IF(P75=CURSOS!$D$32,"MANIPULACION DE ALIMENTOS Y BPM",IF(P75=CURSOS!$D$33,"ATENCION A PERSONAS CON DISCAPACIDAD",IF(P75=CURSOS!$D$34,"CUIDADO INTEGRAL DEL PACIENTE ADULTO",IF(P75=CURSOS!$D$35,"MANEJO DEFENSIVO",IF(P75=CURSOS!$D$36,"SOPORTE CARDIOVASCULAR AVANZADO NEONATAL",IF(P75=CURSOS!$D$37,"SEGURIDAD DEL PACIENTE",IF(P75=CURSOS!$D$38,"MANEJO DE RESIDUOS HOSPITALARIOS"))))))))))))))))))))))))))))))))))))</f>
        <v>TOMA DE MUESTRAS Y LABORATORIO POCT</v>
      </c>
      <c r="W75" s="65" t="str">
        <f t="shared" si="9"/>
        <v>Juliana Viviana Pachajoa Pachajoa</v>
      </c>
      <c r="X75" s="65" t="str">
        <f t="shared" si="10"/>
        <v>Juliana Viviana Pachajoa Pachajoa</v>
      </c>
      <c r="Y75" s="65" t="str">
        <f t="shared" si="11"/>
        <v>Juliana Viviana Pachajoa Pachajoa-37082958-POCT</v>
      </c>
    </row>
    <row r="76" spans="1:25" s="58" customFormat="1" x14ac:dyDescent="0.2">
      <c r="A76" s="59">
        <v>75</v>
      </c>
      <c r="B76" s="60">
        <v>918436287</v>
      </c>
      <c r="C76" s="60" t="s">
        <v>317</v>
      </c>
      <c r="D76" s="60" t="s">
        <v>303</v>
      </c>
      <c r="E76" s="60" t="s">
        <v>318</v>
      </c>
      <c r="F76" s="60" t="s">
        <v>201</v>
      </c>
      <c r="G76" s="60">
        <v>14</v>
      </c>
      <c r="H76" s="60" t="s">
        <v>103</v>
      </c>
      <c r="I76" s="61" t="s">
        <v>104</v>
      </c>
      <c r="J76" s="61"/>
      <c r="K76" s="62" t="s">
        <v>399</v>
      </c>
      <c r="L76" s="63">
        <v>70000</v>
      </c>
      <c r="M76" s="60" t="s">
        <v>126</v>
      </c>
      <c r="N76" s="60" t="s">
        <v>163</v>
      </c>
      <c r="O76" s="60" t="s">
        <v>106</v>
      </c>
      <c r="P76" s="60" t="s">
        <v>19</v>
      </c>
      <c r="Q76" s="61">
        <v>29465</v>
      </c>
      <c r="R76" s="60" t="s">
        <v>107</v>
      </c>
      <c r="S76" s="64" t="s">
        <v>319</v>
      </c>
      <c r="T76" s="64">
        <v>3175783514</v>
      </c>
      <c r="U76" s="60" t="s">
        <v>320</v>
      </c>
      <c r="V76" s="65" t="str">
        <f>IF(P76=CURSOS!$D$3,"DIPLOMADO EN ATENCION PRE-HOSPITALARIA",IF(P76=CURSOS!$D$4,"ACOMPAÑAMIENTO Y MANEJO DEL DUELO",IF(P76=CURSOS!$D$5,"ATENCION A VICTIMAS DE ATAQUE CON AGENTES QUIMICOS ",IF(P76=CURSOS!$D$6,"PRIMEROS AUXILIOS ",IF(P76=CURSOS!$D$7,"DIPLOMADO DE UNIDAD DE CUIDADOS INTENSIVOS (UCI)",IF(P76=CURSOS!$D$8,"MODELO DE ATENCION PARA EVENTOS EMERGENTES EN SALUD MENTAL (CODIGO VERDE)",IF(P76=CURSOS!$D$9,"HUMANIZACION EN EL SERVICIO DE LA SALUD Y BUENAS PRACTICAS EN PACIENTE ",IF(P76=CURSOS!$D$10,"CLINICA DE HERIDAS ",IF(P76=CURSOS!$D$11,"TOMA DE CITOLOGIA CERVICO VAGINAL ",IF(P76=CURSOS!$D$12,"SOPORTE CARDIOVASCULAR AVANZADO (ACLS) ",IF(P76=CURSOS!$D$13,"CAMILLERO ",IF(P76=CURSOS!$D$14,"TOMA DE MUESTRAS Y LABORATORIO ",IF(P76=CURSOS!$D$15,"SOPORTE VITAL BASICO (BLS)",IF(P76=CURSOS!$D$16,"ATENCION A VICTIMAS DE VIOLENCIA SEXUAL ",IF(P76=CURSOS!$D$17,"PROGRAMADO AMPLIADO DE INMUNIZACION (PAI - COVID 19)",IF(P76=CURSOS!$D$18,"ATENCION INTEGRAL EN ENFERMEDADES PREVALENTES EN PRIMERA INFANCIA (AIEPI)",IF(P76=CURSOS!$D$19,"ADMINISTRACION DE MEDICAMENTOS, INYECTOLOGIA  Y CANALIZACION ",IF(P76=CURSOS!$D$20,"OPERADOR DE VEHICULOS DE EMERGENCIA (OVE)",IF(P76=CURSOS!$D$21,"INSTITUCIONES AMIGAS DE LA MUJER Y LA INFANCIA (IAMI)",IF(P76=CURSOS!$D$22,"CUIDADO DEL DONANTE DE ORGANOS",IF(P76=CURSOS!$D$23,"ATENCION A VICTIMAS POR VIOLENCIA DE GENERO",IF(P76=CURSOS!$D$24,"IGUALDAD DE GENERO EN LA SALUD",IF(P76=CURSOS!$D$25,"BRIGADA DE EMERGENCIA",IF(P76=CURSOS!$D$26,"MANEJO DEL DOLOR Y CUIDADOS PALIATIVOS",IF(P76=CURSOS!$D$27,"TOMA DE MUESTRAS Y LABORATORIO POCT",IF(P76=CURSOS!$D$28,"IMPLANTE SUBDERMICO DE DISPOSITIVO INTRAUTERINO",IF(P76=CURSOS!$D$29,"SALUD MENTAL",IF(P76=CURSOS!$D$30,"PRIMEROS AUXILIOS PSICOLOGICOS",IF(P76=CURSOS!$D$31,"ATENCION A VICTIMAS POR CONFLICTO ARMADO",IF(P76=CURSOS!$D$32,"MANIPULACION DE ALIMENTOS Y BPM",IF(P76=CURSOS!$D$33,"ATENCION A PERSONAS CON DISCAPACIDAD",IF(P76=CURSOS!$D$34,"CUIDADO INTEGRAL DEL PACIENTE ADULTO",IF(P76=CURSOS!$D$35,"MANEJO DEFENSIVO",IF(P76=CURSOS!$D$36,"SOPORTE CARDIOVASCULAR AVANZADO NEONATAL",IF(P76=CURSOS!$D$37,"SEGURIDAD DEL PACIENTE",IF(P76=CURSOS!$D$38,"MANEJO DE RESIDUOS HOSPITALARIOS"))))))))))))))))))))))))))))))))))))</f>
        <v>SOPORTE VITAL BASICO (BLS)</v>
      </c>
      <c r="W76" s="65" t="str">
        <f t="shared" si="9"/>
        <v>Jordy Alejandro Salcedo Mejia</v>
      </c>
      <c r="X76" s="65" t="str">
        <f t="shared" si="10"/>
        <v>Jordy Alejandro Salcedo Mejia</v>
      </c>
      <c r="Y76" s="65" t="str">
        <f t="shared" si="11"/>
        <v>Jordy Alejandro Salcedo Mejia-918436287-BLS</v>
      </c>
    </row>
    <row r="77" spans="1:25" s="58" customFormat="1" x14ac:dyDescent="0.2">
      <c r="A77" s="59">
        <v>76</v>
      </c>
      <c r="B77" s="60">
        <v>1085255251</v>
      </c>
      <c r="C77" s="60" t="s">
        <v>321</v>
      </c>
      <c r="D77" s="60" t="s">
        <v>151</v>
      </c>
      <c r="E77" s="60" t="s">
        <v>322</v>
      </c>
      <c r="F77" s="60" t="s">
        <v>323</v>
      </c>
      <c r="G77" s="60">
        <v>14</v>
      </c>
      <c r="H77" s="60" t="s">
        <v>103</v>
      </c>
      <c r="I77" s="61" t="s">
        <v>104</v>
      </c>
      <c r="J77" s="61"/>
      <c r="K77" s="62">
        <v>45730</v>
      </c>
      <c r="L77" s="63">
        <v>70000</v>
      </c>
      <c r="M77" s="60" t="s">
        <v>156</v>
      </c>
      <c r="N77" s="60" t="s">
        <v>105</v>
      </c>
      <c r="O77" s="60" t="s">
        <v>106</v>
      </c>
      <c r="P77" s="60" t="s">
        <v>42</v>
      </c>
      <c r="Q77" s="61">
        <v>31792</v>
      </c>
      <c r="R77" s="60" t="s">
        <v>139</v>
      </c>
      <c r="S77" s="64" t="s">
        <v>324</v>
      </c>
      <c r="T77" s="64">
        <v>3178154243</v>
      </c>
      <c r="U77" s="60" t="s">
        <v>325</v>
      </c>
      <c r="V77" s="65" t="str">
        <f>IF(P77=CURSOS!$D$3,"DIPLOMADO EN ATENCION PRE-HOSPITALARIA",IF(P77=CURSOS!$D$4,"ACOMPAÑAMIENTO Y MANEJO DEL DUELO",IF(P77=CURSOS!$D$5,"ATENCION A VICTIMAS DE ATAQUE CON AGENTES QUIMICOS ",IF(P77=CURSOS!$D$6,"PRIMEROS AUXILIOS ",IF(P77=CURSOS!$D$7,"DIPLOMADO DE UNIDAD DE CUIDADOS INTENSIVOS (UCI)",IF(P77=CURSOS!$D$8,"MODELO DE ATENCION PARA EVENTOS EMERGENTES EN SALUD MENTAL (CODIGO VERDE)",IF(P77=CURSOS!$D$9,"HUMANIZACION EN EL SERVICIO DE LA SALUD Y BUENAS PRACTICAS EN PACIENTE ",IF(P77=CURSOS!$D$10,"CLINICA DE HERIDAS ",IF(P77=CURSOS!$D$11,"TOMA DE CITOLOGIA CERVICO VAGINAL ",IF(P77=CURSOS!$D$12,"SOPORTE CARDIOVASCULAR AVANZADO (ACLS) ",IF(P77=CURSOS!$D$13,"CAMILLERO ",IF(P77=CURSOS!$D$14,"TOMA DE MUESTRAS Y LABORATORIO ",IF(P77=CURSOS!$D$15,"SOPORTE VITAL BASICO (BLS)",IF(P77=CURSOS!$D$16,"ATENCION A VICTIMAS DE VIOLENCIA SEXUAL ",IF(P77=CURSOS!$D$17,"PROGRAMADO AMPLIADO DE INMUNIZACION (PAI - COVID 19)",IF(P77=CURSOS!$D$18,"ATENCION INTEGRAL EN ENFERMEDADES PREVALENTES EN PRIMERA INFANCIA (AIEPI)",IF(P77=CURSOS!$D$19,"ADMINISTRACION DE MEDICAMENTOS, INYECTOLOGIA  Y CANALIZACION ",IF(P77=CURSOS!$D$20,"OPERADOR DE VEHICULOS DE EMERGENCIA (OVE)",IF(P77=CURSOS!$D$21,"INSTITUCIONES AMIGAS DE LA MUJER Y LA INFANCIA (IAMI)",IF(P77=CURSOS!$D$22,"CUIDADO DEL DONANTE DE ORGANOS",IF(P77=CURSOS!$D$23,"ATENCION A VICTIMAS POR VIOLENCIA DE GENERO",IF(P77=CURSOS!$D$24,"IGUALDAD DE GENERO EN LA SALUD",IF(P77=CURSOS!$D$25,"BRIGADA DE EMERGENCIA",IF(P77=CURSOS!$D$26,"MANEJO DEL DOLOR Y CUIDADOS PALIATIVOS",IF(P77=CURSOS!$D$27,"TOMA DE MUESTRAS Y LABORATORIO POCT",IF(P77=CURSOS!$D$28,"IMPLANTE SUBDERMICO DE DISPOSITIVO INTRAUTERINO",IF(P77=CURSOS!$D$29,"SALUD MENTAL",IF(P77=CURSOS!$D$30,"PRIMEROS AUXILIOS PSICOLOGICOS",IF(P77=CURSOS!$D$31,"ATENCION A VICTIMAS POR CONFLICTO ARMADO",IF(P77=CURSOS!$D$32,"MANIPULACION DE ALIMENTOS Y BPM",IF(P77=CURSOS!$D$33,"ATENCION A PERSONAS CON DISCAPACIDAD",IF(P77=CURSOS!$D$34,"CUIDADO INTEGRAL DEL PACIENTE ADULTO",IF(P77=CURSOS!$D$35,"MANEJO DEFENSIVO",IF(P77=CURSOS!$D$36,"SOPORTE CARDIOVASCULAR AVANZADO NEONATAL",IF(P77=CURSOS!$D$37,"SEGURIDAD DEL PACIENTE",IF(P77=CURSOS!$D$38,"MANEJO DE RESIDUOS HOSPITALARIOS"))))))))))))))))))))))))))))))))))))</f>
        <v xml:space="preserve">ATENCION A VICTIMAS DE VIOLENCIA SEXUAL </v>
      </c>
      <c r="W77" s="65" t="str">
        <f t="shared" si="9"/>
        <v>Jorge Olivio Naced Vallejos</v>
      </c>
      <c r="X77" s="65" t="str">
        <f t="shared" si="10"/>
        <v>Jorge Olivio Naced Vallejos</v>
      </c>
      <c r="Y77" s="65" t="str">
        <f t="shared" si="11"/>
        <v>Jorge Olivio Naced Vallejos-1085255251-VIOLENCIA SEXUAL</v>
      </c>
    </row>
    <row r="78" spans="1:25" s="58" customFormat="1" x14ac:dyDescent="0.2">
      <c r="A78" s="59">
        <v>77</v>
      </c>
      <c r="B78" s="60">
        <v>1087407308</v>
      </c>
      <c r="C78" s="60" t="s">
        <v>193</v>
      </c>
      <c r="D78" s="60" t="s">
        <v>194</v>
      </c>
      <c r="E78" s="60" t="s">
        <v>195</v>
      </c>
      <c r="F78" s="60" t="s">
        <v>148</v>
      </c>
      <c r="G78" s="60">
        <v>14</v>
      </c>
      <c r="H78" s="60" t="s">
        <v>103</v>
      </c>
      <c r="I78" s="61" t="s">
        <v>123</v>
      </c>
      <c r="J78" s="61" t="s">
        <v>177</v>
      </c>
      <c r="K78" s="62">
        <v>45730</v>
      </c>
      <c r="L78" s="63">
        <v>32000</v>
      </c>
      <c r="M78" s="60" t="s">
        <v>156</v>
      </c>
      <c r="N78" s="60" t="s">
        <v>105</v>
      </c>
      <c r="O78" s="60" t="s">
        <v>182</v>
      </c>
      <c r="P78" s="60" t="s">
        <v>23</v>
      </c>
      <c r="Q78" s="61"/>
      <c r="R78" s="60" t="s">
        <v>107</v>
      </c>
      <c r="S78" s="64" t="s">
        <v>117</v>
      </c>
      <c r="T78" s="64">
        <v>3126342302</v>
      </c>
      <c r="U78" s="60" t="s">
        <v>196</v>
      </c>
      <c r="V78" s="65" t="str">
        <f>IF(P78=CURSOS!$D$3,"DIPLOMADO EN ATENCION PRE-HOSPITALARIA",IF(P78=CURSOS!$D$4,"ACOMPAÑAMIENTO Y MANEJO DEL DUELO",IF(P78=CURSOS!$D$5,"ATENCION A VICTIMAS DE ATAQUE CON AGENTES QUIMICOS ",IF(P78=CURSOS!$D$6,"PRIMEROS AUXILIOS ",IF(P78=CURSOS!$D$7,"DIPLOMADO DE UNIDAD DE CUIDADOS INTENSIVOS (UCI)",IF(P78=CURSOS!$D$8,"MODELO DE ATENCION PARA EVENTOS EMERGENTES EN SALUD MENTAL (CODIGO VERDE)",IF(P78=CURSOS!$D$9,"HUMANIZACION EN EL SERVICIO DE LA SALUD Y BUENAS PRACTICAS EN PACIENTE ",IF(P78=CURSOS!$D$10,"CLINICA DE HERIDAS ",IF(P78=CURSOS!$D$11,"TOMA DE CITOLOGIA CERVICO VAGINAL ",IF(P78=CURSOS!$D$12,"SOPORTE CARDIOVASCULAR AVANZADO (ACLS) ",IF(P78=CURSOS!$D$13,"CAMILLERO ",IF(P78=CURSOS!$D$14,"TOMA DE MUESTRAS Y LABORATORIO ",IF(P78=CURSOS!$D$15,"SOPORTE VITAL BASICO (BLS)",IF(P78=CURSOS!$D$16,"ATENCION A VICTIMAS DE VIOLENCIA SEXUAL ",IF(P78=CURSOS!$D$17,"PROGRAMADO AMPLIADO DE INMUNIZACION (PAI - COVID 19)",IF(P78=CURSOS!$D$18,"ATENCION INTEGRAL EN ENFERMEDADES PREVALENTES EN PRIMERA INFANCIA (AIEPI)",IF(P78=CURSOS!$D$19,"ADMINISTRACION DE MEDICAMENTOS, INYECTOLOGIA  Y CANALIZACION ",IF(P78=CURSOS!$D$20,"OPERADOR DE VEHICULOS DE EMERGENCIA (OVE)",IF(P78=CURSOS!$D$21,"INSTITUCIONES AMIGAS DE LA MUJER Y LA INFANCIA (IAMI)",IF(P78=CURSOS!$D$22,"CUIDADO DEL DONANTE DE ORGANOS",IF(P78=CURSOS!$D$23,"ATENCION A VICTIMAS POR VIOLENCIA DE GENERO",IF(P78=CURSOS!$D$24,"IGUALDAD DE GENERO EN LA SALUD",IF(P78=CURSOS!$D$25,"BRIGADA DE EMERGENCIA",IF(P78=CURSOS!$D$26,"MANEJO DEL DOLOR Y CUIDADOS PALIATIVOS",IF(P78=CURSOS!$D$27,"TOMA DE MUESTRAS Y LABORATORIO POCT",IF(P78=CURSOS!$D$28,"IMPLANTE SUBDERMICO DE DISPOSITIVO INTRAUTERINO",IF(P78=CURSOS!$D$29,"SALUD MENTAL",IF(P78=CURSOS!$D$30,"PRIMEROS AUXILIOS PSICOLOGICOS",IF(P78=CURSOS!$D$31,"ATENCION A VICTIMAS POR CONFLICTO ARMADO",IF(P78=CURSOS!$D$32,"MANIPULACION DE ALIMENTOS Y BPM",IF(P78=CURSOS!$D$33,"ATENCION A PERSONAS CON DISCAPACIDAD",IF(P78=CURSOS!$D$34,"CUIDADO INTEGRAL DEL PACIENTE ADULTO",IF(P78=CURSOS!$D$35,"MANEJO DEFENSIVO",IF(P78=CURSOS!$D$36,"SOPORTE CARDIOVASCULAR AVANZADO NEONATAL",IF(P78=CURSOS!$D$37,"SEGURIDAD DEL PACIENTE",IF(P78=CURSOS!$D$38,"MANEJO DE RESIDUOS HOSPITALARIOS"))))))))))))))))))))))))))))))))))))</f>
        <v>ACOMPAÑAMIENTO Y MANEJO DEL DUELO</v>
      </c>
      <c r="W78" s="65" t="str">
        <f t="shared" si="9"/>
        <v>Yenny Andrea Portillo Eraso</v>
      </c>
      <c r="X78" s="65" t="str">
        <f t="shared" si="10"/>
        <v>Yenny Andrea Portillo Eraso</v>
      </c>
      <c r="Y78" s="65" t="str">
        <f t="shared" si="11"/>
        <v>Yenny Andrea Portillo Eraso-1087407308-DUELO</v>
      </c>
    </row>
    <row r="79" spans="1:25" s="74" customFormat="1" x14ac:dyDescent="0.2">
      <c r="A79" s="69">
        <v>78</v>
      </c>
      <c r="B79" s="70">
        <v>1004438607</v>
      </c>
      <c r="C79" s="70" t="s">
        <v>214</v>
      </c>
      <c r="D79" s="70" t="s">
        <v>326</v>
      </c>
      <c r="E79" s="70" t="s">
        <v>327</v>
      </c>
      <c r="F79" s="70" t="s">
        <v>328</v>
      </c>
      <c r="G79" s="70">
        <v>11</v>
      </c>
      <c r="H79" s="70" t="s">
        <v>103</v>
      </c>
      <c r="I79" s="71" t="s">
        <v>123</v>
      </c>
      <c r="J79" s="71"/>
      <c r="K79" s="72"/>
      <c r="L79" s="73"/>
      <c r="M79" s="70"/>
      <c r="N79" s="70" t="s">
        <v>105</v>
      </c>
      <c r="O79" s="70" t="s">
        <v>202</v>
      </c>
      <c r="P79" s="70" t="s">
        <v>19</v>
      </c>
      <c r="Q79" s="71">
        <v>43406</v>
      </c>
      <c r="R79" s="70" t="s">
        <v>107</v>
      </c>
      <c r="S79" s="64" t="s">
        <v>117</v>
      </c>
      <c r="T79" s="64">
        <v>3113158195</v>
      </c>
      <c r="U79" s="60"/>
      <c r="V79" s="80" t="str">
        <f>IF(P79=CURSOS!$D$3,"DIPLOMADO EN ATENCION PRE-HOSPITALARIA",IF(P79=CURSOS!$D$4,"ACOMPAÑAMIENTO Y MANEJO DEL DUELO",IF(P79=CURSOS!$D$5,"ATENCION A VICTIMAS DE ATAQUE CON AGENTES QUIMICOS ",IF(P79=CURSOS!$D$6,"PRIMEROS AUXILIOS ",IF(P79=CURSOS!$D$7,"DIPLOMADO DE UNIDAD DE CUIDADOS INTENSIVOS (UCI)",IF(P79=CURSOS!$D$8,"MODELO DE ATENCION PARA EVENTOS EMERGENTES EN SALUD MENTAL (CODIGO VERDE)",IF(P79=CURSOS!$D$9,"HUMANIZACION EN EL SERVICIO DE LA SALUD Y BUENAS PRACTICAS EN PACIENTE ",IF(P79=CURSOS!$D$10,"CLINICA DE HERIDAS ",IF(P79=CURSOS!$D$11,"TOMA DE CITOLOGIA CERVICO VAGINAL ",IF(P79=CURSOS!$D$12,"SOPORTE CARDIOVASCULAR AVANZADO (ACLS) ",IF(P79=CURSOS!$D$13,"CAMILLERO ",IF(P79=CURSOS!$D$14,"TOMA DE MUESTRAS Y LABORATORIO ",IF(P79=CURSOS!$D$15,"SOPORTE VITAL BASICO (BLS)",IF(P79=CURSOS!$D$16,"ATENCION A VICTIMAS DE VIOLENCIA SEXUAL ",IF(P79=CURSOS!$D$17,"PROGRAMADO AMPLIADO DE INMUNIZACION (PAI - COVID 19)",IF(P79=CURSOS!$D$18,"ATENCION INTEGRAL EN ENFERMEDADES PREVALENTES EN PRIMERA INFANCIA (AIEPI)",IF(P79=CURSOS!$D$19,"ADMINISTRACION DE MEDICAMENTOS, INYECTOLOGIA  Y CANALIZACION ",IF(P79=CURSOS!$D$20,"OPERADOR DE VEHICULOS DE EMERGENCIA (OVE)",IF(P79=CURSOS!$D$21,"INSTITUCIONES AMIGAS DE LA MUJER Y LA INFANCIA (IAMI)",IF(P79=CURSOS!$D$22,"CUIDADO DEL DONANTE DE ORGANOS",IF(P79=CURSOS!$D$23,"ATENCION A VICTIMAS POR VIOLENCIA DE GENERO",IF(P79=CURSOS!$D$24,"IGUALDAD DE GENERO EN LA SALUD",IF(P79=CURSOS!$D$25,"BRIGADA DE EMERGENCIA",IF(P79=CURSOS!$D$26,"MANEJO DEL DOLOR Y CUIDADOS PALIATIVOS",IF(P79=CURSOS!$D$27,"TOMA DE MUESTRAS Y LABORATORIO POCT",IF(P79=CURSOS!$D$28,"IMPLANTE SUBDERMICO DE DISPOSITIVO INTRAUTERINO",IF(P79=CURSOS!$D$29,"SALUD MENTAL",IF(P79=CURSOS!$D$30,"PRIMEROS AUXILIOS PSICOLOGICOS",IF(P79=CURSOS!$D$31,"ATENCION A VICTIMAS POR CONFLICTO ARMADO",IF(P79=CURSOS!$D$32,"MANIPULACION DE ALIMENTOS Y BPM",IF(P79=CURSOS!$D$33,"ATENCION A PERSONAS CON DISCAPACIDAD",IF(P79=CURSOS!$D$34,"CUIDADO INTEGRAL DEL PACIENTE ADULTO",IF(P79=CURSOS!$D$35,"MANEJO DEFENSIVO",IF(P79=CURSOS!$D$36,"SOPORTE CARDIOVASCULAR AVANZADO NEONATAL",IF(P79=CURSOS!$D$37,"SEGURIDAD DEL PACIENTE",IF(P79=CURSOS!$D$38,"MANEJO DE RESIDUOS HOSPITALARIOS"))))))))))))))))))))))))))))))))))))</f>
        <v>SOPORTE VITAL BASICO (BLS)</v>
      </c>
      <c r="W79" s="80" t="str">
        <f t="shared" si="9"/>
        <v>Flor Alcira Martinez Nandar</v>
      </c>
      <c r="X79" s="80" t="str">
        <f t="shared" si="10"/>
        <v>Flor Alcira Martinez Nandar</v>
      </c>
      <c r="Y79" s="80" t="str">
        <f t="shared" si="11"/>
        <v>Flor Alcira Martinez Nandar-1004438607-BLS</v>
      </c>
    </row>
    <row r="80" spans="1:25" s="74" customFormat="1" x14ac:dyDescent="0.2">
      <c r="A80" s="69">
        <v>79</v>
      </c>
      <c r="B80" s="70">
        <v>1004438607</v>
      </c>
      <c r="C80" s="70" t="s">
        <v>214</v>
      </c>
      <c r="D80" s="70" t="s">
        <v>326</v>
      </c>
      <c r="E80" s="70" t="s">
        <v>327</v>
      </c>
      <c r="F80" s="70" t="s">
        <v>328</v>
      </c>
      <c r="G80" s="70">
        <v>12</v>
      </c>
      <c r="H80" s="70" t="s">
        <v>103</v>
      </c>
      <c r="I80" s="71" t="s">
        <v>123</v>
      </c>
      <c r="J80" s="71"/>
      <c r="K80" s="72"/>
      <c r="L80" s="73"/>
      <c r="M80" s="70"/>
      <c r="N80" s="70" t="s">
        <v>105</v>
      </c>
      <c r="O80" s="70" t="s">
        <v>202</v>
      </c>
      <c r="P80" s="70" t="s">
        <v>23</v>
      </c>
      <c r="Q80" s="71">
        <v>43406</v>
      </c>
      <c r="R80" s="70" t="s">
        <v>107</v>
      </c>
      <c r="S80" s="64" t="s">
        <v>117</v>
      </c>
      <c r="T80" s="64">
        <v>3113158195</v>
      </c>
      <c r="U80" s="60"/>
      <c r="V80" s="80" t="str">
        <f>IF(P80=CURSOS!$D$3,"DIPLOMADO EN ATENCION PRE-HOSPITALARIA",IF(P80=CURSOS!$D$4,"ACOMPAÑAMIENTO Y MANEJO DEL DUELO",IF(P80=CURSOS!$D$5,"ATENCION A VICTIMAS DE ATAQUE CON AGENTES QUIMICOS ",IF(P80=CURSOS!$D$6,"PRIMEROS AUXILIOS ",IF(P80=CURSOS!$D$7,"DIPLOMADO DE UNIDAD DE CUIDADOS INTENSIVOS (UCI)",IF(P80=CURSOS!$D$8,"MODELO DE ATENCION PARA EVENTOS EMERGENTES EN SALUD MENTAL (CODIGO VERDE)",IF(P80=CURSOS!$D$9,"HUMANIZACION EN EL SERVICIO DE LA SALUD Y BUENAS PRACTICAS EN PACIENTE ",IF(P80=CURSOS!$D$10,"CLINICA DE HERIDAS ",IF(P80=CURSOS!$D$11,"TOMA DE CITOLOGIA CERVICO VAGINAL ",IF(P80=CURSOS!$D$12,"SOPORTE CARDIOVASCULAR AVANZADO (ACLS) ",IF(P80=CURSOS!$D$13,"CAMILLERO ",IF(P80=CURSOS!$D$14,"TOMA DE MUESTRAS Y LABORATORIO ",IF(P80=CURSOS!$D$15,"SOPORTE VITAL BASICO (BLS)",IF(P80=CURSOS!$D$16,"ATENCION A VICTIMAS DE VIOLENCIA SEXUAL ",IF(P80=CURSOS!$D$17,"PROGRAMADO AMPLIADO DE INMUNIZACION (PAI - COVID 19)",IF(P80=CURSOS!$D$18,"ATENCION INTEGRAL EN ENFERMEDADES PREVALENTES EN PRIMERA INFANCIA (AIEPI)",IF(P80=CURSOS!$D$19,"ADMINISTRACION DE MEDICAMENTOS, INYECTOLOGIA  Y CANALIZACION ",IF(P80=CURSOS!$D$20,"OPERADOR DE VEHICULOS DE EMERGENCIA (OVE)",IF(P80=CURSOS!$D$21,"INSTITUCIONES AMIGAS DE LA MUJER Y LA INFANCIA (IAMI)",IF(P80=CURSOS!$D$22,"CUIDADO DEL DONANTE DE ORGANOS",IF(P80=CURSOS!$D$23,"ATENCION A VICTIMAS POR VIOLENCIA DE GENERO",IF(P80=CURSOS!$D$24,"IGUALDAD DE GENERO EN LA SALUD",IF(P80=CURSOS!$D$25,"BRIGADA DE EMERGENCIA",IF(P80=CURSOS!$D$26,"MANEJO DEL DOLOR Y CUIDADOS PALIATIVOS",IF(P80=CURSOS!$D$27,"TOMA DE MUESTRAS Y LABORATORIO POCT",IF(P80=CURSOS!$D$28,"IMPLANTE SUBDERMICO DE DISPOSITIVO INTRAUTERINO",IF(P80=CURSOS!$D$29,"SALUD MENTAL",IF(P80=CURSOS!$D$30,"PRIMEROS AUXILIOS PSICOLOGICOS",IF(P80=CURSOS!$D$31,"ATENCION A VICTIMAS POR CONFLICTO ARMADO",IF(P80=CURSOS!$D$32,"MANIPULACION DE ALIMENTOS Y BPM",IF(P80=CURSOS!$D$33,"ATENCION A PERSONAS CON DISCAPACIDAD",IF(P80=CURSOS!$D$34,"CUIDADO INTEGRAL DEL PACIENTE ADULTO",IF(P80=CURSOS!$D$35,"MANEJO DEFENSIVO",IF(P80=CURSOS!$D$36,"SOPORTE CARDIOVASCULAR AVANZADO NEONATAL",IF(P80=CURSOS!$D$37,"SEGURIDAD DEL PACIENTE",IF(P80=CURSOS!$D$38,"MANEJO DE RESIDUOS HOSPITALARIOS"))))))))))))))))))))))))))))))))))))</f>
        <v>ACOMPAÑAMIENTO Y MANEJO DEL DUELO</v>
      </c>
      <c r="W80" s="80" t="str">
        <f t="shared" si="9"/>
        <v>Flor Alcira Martinez Nandar</v>
      </c>
      <c r="X80" s="80" t="str">
        <f t="shared" si="10"/>
        <v>Flor Alcira Martinez Nandar</v>
      </c>
      <c r="Y80" s="80" t="str">
        <f t="shared" si="11"/>
        <v>Flor Alcira Martinez Nandar-1004438607-DUELO</v>
      </c>
    </row>
    <row r="81" spans="1:25" s="74" customFormat="1" x14ac:dyDescent="0.2">
      <c r="A81" s="69">
        <v>80</v>
      </c>
      <c r="B81" s="70">
        <v>1004438607</v>
      </c>
      <c r="C81" s="70" t="s">
        <v>214</v>
      </c>
      <c r="D81" s="70" t="s">
        <v>326</v>
      </c>
      <c r="E81" s="70" t="s">
        <v>327</v>
      </c>
      <c r="F81" s="70" t="s">
        <v>328</v>
      </c>
      <c r="G81" s="70">
        <v>13</v>
      </c>
      <c r="H81" s="70" t="s">
        <v>103</v>
      </c>
      <c r="I81" s="71" t="s">
        <v>123</v>
      </c>
      <c r="J81" s="71"/>
      <c r="K81" s="72"/>
      <c r="L81" s="73"/>
      <c r="M81" s="70"/>
      <c r="N81" s="70" t="s">
        <v>105</v>
      </c>
      <c r="O81" s="70" t="s">
        <v>202</v>
      </c>
      <c r="P81" s="70" t="s">
        <v>62</v>
      </c>
      <c r="Q81" s="71">
        <v>43406</v>
      </c>
      <c r="R81" s="70" t="s">
        <v>107</v>
      </c>
      <c r="S81" s="64" t="s">
        <v>117</v>
      </c>
      <c r="T81" s="64">
        <v>3113158195</v>
      </c>
      <c r="U81" s="60"/>
      <c r="V81" s="80" t="str">
        <f>IF(P81=CURSOS!$D$3,"DIPLOMADO EN ATENCION PRE-HOSPITALARIA",IF(P81=CURSOS!$D$4,"ACOMPAÑAMIENTO Y MANEJO DEL DUELO",IF(P81=CURSOS!$D$5,"ATENCION A VICTIMAS DE ATAQUE CON AGENTES QUIMICOS ",IF(P81=CURSOS!$D$6,"PRIMEROS AUXILIOS ",IF(P81=CURSOS!$D$7,"DIPLOMADO DE UNIDAD DE CUIDADOS INTENSIVOS (UCI)",IF(P81=CURSOS!$D$8,"MODELO DE ATENCION PARA EVENTOS EMERGENTES EN SALUD MENTAL (CODIGO VERDE)",IF(P81=CURSOS!$D$9,"HUMANIZACION EN EL SERVICIO DE LA SALUD Y BUENAS PRACTICAS EN PACIENTE ",IF(P81=CURSOS!$D$10,"CLINICA DE HERIDAS ",IF(P81=CURSOS!$D$11,"TOMA DE CITOLOGIA CERVICO VAGINAL ",IF(P81=CURSOS!$D$12,"SOPORTE CARDIOVASCULAR AVANZADO (ACLS) ",IF(P81=CURSOS!$D$13,"CAMILLERO ",IF(P81=CURSOS!$D$14,"TOMA DE MUESTRAS Y LABORATORIO ",IF(P81=CURSOS!$D$15,"SOPORTE VITAL BASICO (BLS)",IF(P81=CURSOS!$D$16,"ATENCION A VICTIMAS DE VIOLENCIA SEXUAL ",IF(P81=CURSOS!$D$17,"PROGRAMADO AMPLIADO DE INMUNIZACION (PAI - COVID 19)",IF(P81=CURSOS!$D$18,"ATENCION INTEGRAL EN ENFERMEDADES PREVALENTES EN PRIMERA INFANCIA (AIEPI)",IF(P81=CURSOS!$D$19,"ADMINISTRACION DE MEDICAMENTOS, INYECTOLOGIA  Y CANALIZACION ",IF(P81=CURSOS!$D$20,"OPERADOR DE VEHICULOS DE EMERGENCIA (OVE)",IF(P81=CURSOS!$D$21,"INSTITUCIONES AMIGAS DE LA MUJER Y LA INFANCIA (IAMI)",IF(P81=CURSOS!$D$22,"CUIDADO DEL DONANTE DE ORGANOS",IF(P81=CURSOS!$D$23,"ATENCION A VICTIMAS POR VIOLENCIA DE GENERO",IF(P81=CURSOS!$D$24,"IGUALDAD DE GENERO EN LA SALUD",IF(P81=CURSOS!$D$25,"BRIGADA DE EMERGENCIA",IF(P81=CURSOS!$D$26,"MANEJO DEL DOLOR Y CUIDADOS PALIATIVOS",IF(P81=CURSOS!$D$27,"TOMA DE MUESTRAS Y LABORATORIO POCT",IF(P81=CURSOS!$D$28,"IMPLANTE SUBDERMICO DE DISPOSITIVO INTRAUTERINO",IF(P81=CURSOS!$D$29,"SALUD MENTAL",IF(P81=CURSOS!$D$30,"PRIMEROS AUXILIOS PSICOLOGICOS",IF(P81=CURSOS!$D$31,"ATENCION A VICTIMAS POR CONFLICTO ARMADO",IF(P81=CURSOS!$D$32,"MANIPULACION DE ALIMENTOS Y BPM",IF(P81=CURSOS!$D$33,"ATENCION A PERSONAS CON DISCAPACIDAD",IF(P81=CURSOS!$D$34,"CUIDADO INTEGRAL DEL PACIENTE ADULTO",IF(P81=CURSOS!$D$35,"MANEJO DEFENSIVO",IF(P81=CURSOS!$D$36,"SOPORTE CARDIOVASCULAR AVANZADO NEONATAL",IF(P81=CURSOS!$D$37,"SEGURIDAD DEL PACIENTE",IF(P81=CURSOS!$D$38,"MANEJO DE RESIDUOS HOSPITALARIOS"))))))))))))))))))))))))))))))))))))</f>
        <v>PRIMEROS AUXILIOS PSICOLOGICOS</v>
      </c>
      <c r="W81" s="80" t="str">
        <f t="shared" si="9"/>
        <v>Flor Alcira Martinez Nandar</v>
      </c>
      <c r="X81" s="80" t="str">
        <f t="shared" si="10"/>
        <v>Flor Alcira Martinez Nandar</v>
      </c>
      <c r="Y81" s="80" t="str">
        <f t="shared" si="11"/>
        <v>Flor Alcira Martinez Nandar-1004438607-PRIMEROS AUXILIOS P</v>
      </c>
    </row>
    <row r="82" spans="1:25" s="74" customFormat="1" x14ac:dyDescent="0.2">
      <c r="A82" s="69">
        <v>81</v>
      </c>
      <c r="B82" s="70">
        <v>1004438607</v>
      </c>
      <c r="C82" s="70" t="s">
        <v>214</v>
      </c>
      <c r="D82" s="70" t="s">
        <v>326</v>
      </c>
      <c r="E82" s="70" t="s">
        <v>327</v>
      </c>
      <c r="F82" s="70" t="s">
        <v>328</v>
      </c>
      <c r="G82" s="70">
        <v>14</v>
      </c>
      <c r="H82" s="70" t="s">
        <v>103</v>
      </c>
      <c r="I82" s="71" t="s">
        <v>123</v>
      </c>
      <c r="J82" s="71"/>
      <c r="K82" s="72"/>
      <c r="L82" s="73"/>
      <c r="M82" s="70"/>
      <c r="N82" s="70" t="s">
        <v>105</v>
      </c>
      <c r="O82" s="70" t="s">
        <v>202</v>
      </c>
      <c r="P82" s="70" t="s">
        <v>61</v>
      </c>
      <c r="Q82" s="71">
        <v>43406</v>
      </c>
      <c r="R82" s="70" t="s">
        <v>107</v>
      </c>
      <c r="S82" s="64" t="s">
        <v>117</v>
      </c>
      <c r="T82" s="64">
        <v>3113158195</v>
      </c>
      <c r="U82" s="60"/>
      <c r="V82" s="80" t="str">
        <f>IF(P82=CURSOS!$D$3,"DIPLOMADO EN ATENCION PRE-HOSPITALARIA",IF(P82=CURSOS!$D$4,"ACOMPAÑAMIENTO Y MANEJO DEL DUELO",IF(P82=CURSOS!$D$5,"ATENCION A VICTIMAS DE ATAQUE CON AGENTES QUIMICOS ",IF(P82=CURSOS!$D$6,"PRIMEROS AUXILIOS ",IF(P82=CURSOS!$D$7,"DIPLOMADO DE UNIDAD DE CUIDADOS INTENSIVOS (UCI)",IF(P82=CURSOS!$D$8,"MODELO DE ATENCION PARA EVENTOS EMERGENTES EN SALUD MENTAL (CODIGO VERDE)",IF(P82=CURSOS!$D$9,"HUMANIZACION EN EL SERVICIO DE LA SALUD Y BUENAS PRACTICAS EN PACIENTE ",IF(P82=CURSOS!$D$10,"CLINICA DE HERIDAS ",IF(P82=CURSOS!$D$11,"TOMA DE CITOLOGIA CERVICO VAGINAL ",IF(P82=CURSOS!$D$12,"SOPORTE CARDIOVASCULAR AVANZADO (ACLS) ",IF(P82=CURSOS!$D$13,"CAMILLERO ",IF(P82=CURSOS!$D$14,"TOMA DE MUESTRAS Y LABORATORIO ",IF(P82=CURSOS!$D$15,"SOPORTE VITAL BASICO (BLS)",IF(P82=CURSOS!$D$16,"ATENCION A VICTIMAS DE VIOLENCIA SEXUAL ",IF(P82=CURSOS!$D$17,"PROGRAMADO AMPLIADO DE INMUNIZACION (PAI - COVID 19)",IF(P82=CURSOS!$D$18,"ATENCION INTEGRAL EN ENFERMEDADES PREVALENTES EN PRIMERA INFANCIA (AIEPI)",IF(P82=CURSOS!$D$19,"ADMINISTRACION DE MEDICAMENTOS, INYECTOLOGIA  Y CANALIZACION ",IF(P82=CURSOS!$D$20,"OPERADOR DE VEHICULOS DE EMERGENCIA (OVE)",IF(P82=CURSOS!$D$21,"INSTITUCIONES AMIGAS DE LA MUJER Y LA INFANCIA (IAMI)",IF(P82=CURSOS!$D$22,"CUIDADO DEL DONANTE DE ORGANOS",IF(P82=CURSOS!$D$23,"ATENCION A VICTIMAS POR VIOLENCIA DE GENERO",IF(P82=CURSOS!$D$24,"IGUALDAD DE GENERO EN LA SALUD",IF(P82=CURSOS!$D$25,"BRIGADA DE EMERGENCIA",IF(P82=CURSOS!$D$26,"MANEJO DEL DOLOR Y CUIDADOS PALIATIVOS",IF(P82=CURSOS!$D$27,"TOMA DE MUESTRAS Y LABORATORIO POCT",IF(P82=CURSOS!$D$28,"IMPLANTE SUBDERMICO DE DISPOSITIVO INTRAUTERINO",IF(P82=CURSOS!$D$29,"SALUD MENTAL",IF(P82=CURSOS!$D$30,"PRIMEROS AUXILIOS PSICOLOGICOS",IF(P82=CURSOS!$D$31,"ATENCION A VICTIMAS POR CONFLICTO ARMADO",IF(P82=CURSOS!$D$32,"MANIPULACION DE ALIMENTOS Y BPM",IF(P82=CURSOS!$D$33,"ATENCION A PERSONAS CON DISCAPACIDAD",IF(P82=CURSOS!$D$34,"CUIDADO INTEGRAL DEL PACIENTE ADULTO",IF(P82=CURSOS!$D$35,"MANEJO DEFENSIVO",IF(P82=CURSOS!$D$36,"SOPORTE CARDIOVASCULAR AVANZADO NEONATAL",IF(P82=CURSOS!$D$37,"SEGURIDAD DEL PACIENTE",IF(P82=CURSOS!$D$38,"MANEJO DE RESIDUOS HOSPITALARIOS"))))))))))))))))))))))))))))))))))))</f>
        <v>SALUD MENTAL</v>
      </c>
      <c r="W82" s="80" t="str">
        <f t="shared" si="9"/>
        <v>Flor Alcira Martinez Nandar</v>
      </c>
      <c r="X82" s="80" t="str">
        <f t="shared" si="10"/>
        <v>Flor Alcira Martinez Nandar</v>
      </c>
      <c r="Y82" s="80" t="str">
        <f t="shared" si="11"/>
        <v>Flor Alcira Martinez Nandar-1004438607-SALUD MENTAL</v>
      </c>
    </row>
    <row r="83" spans="1:25" s="58" customFormat="1" x14ac:dyDescent="0.2">
      <c r="A83" s="59">
        <v>82</v>
      </c>
      <c r="B83" s="60">
        <v>36951376</v>
      </c>
      <c r="C83" s="60" t="s">
        <v>295</v>
      </c>
      <c r="D83" s="60" t="s">
        <v>135</v>
      </c>
      <c r="E83" s="60" t="s">
        <v>296</v>
      </c>
      <c r="F83" s="60" t="s">
        <v>148</v>
      </c>
      <c r="G83" s="60">
        <v>11</v>
      </c>
      <c r="H83" s="60" t="s">
        <v>103</v>
      </c>
      <c r="I83" s="61" t="s">
        <v>104</v>
      </c>
      <c r="J83" s="61" t="s">
        <v>167</v>
      </c>
      <c r="K83" s="62">
        <v>45729</v>
      </c>
      <c r="L83" s="63">
        <v>40000</v>
      </c>
      <c r="M83" s="60" t="s">
        <v>156</v>
      </c>
      <c r="N83" s="60" t="s">
        <v>105</v>
      </c>
      <c r="O83" s="60" t="s">
        <v>167</v>
      </c>
      <c r="P83" s="60" t="s">
        <v>59</v>
      </c>
      <c r="Q83" s="79">
        <v>29501</v>
      </c>
      <c r="R83" s="60" t="s">
        <v>107</v>
      </c>
      <c r="S83" s="60" t="s">
        <v>117</v>
      </c>
      <c r="T83" s="60">
        <v>3103615949</v>
      </c>
      <c r="U83" s="60" t="s">
        <v>297</v>
      </c>
      <c r="V83" s="65" t="str">
        <f>IF(P83=CURSOS!$D$3,"DIPLOMADO EN ATENCION PRE-HOSPITALARIA",IF(P83=CURSOS!$D$4,"ACOMPAÑAMIENTO Y MANEJO DEL DUELO",IF(P83=CURSOS!$D$5,"ATENCION A VICTIMAS DE ATAQUE CON AGENTES QUIMICOS ",IF(P83=CURSOS!$D$6,"PRIMEROS AUXILIOS ",IF(P83=CURSOS!$D$7,"DIPLOMADO DE UNIDAD DE CUIDADOS INTENSIVOS (UCI)",IF(P83=CURSOS!$D$8,"MODELO DE ATENCION PARA EVENTOS EMERGENTES EN SALUD MENTAL (CODIGO VERDE)",IF(P83=CURSOS!$D$9,"HUMANIZACION EN EL SERVICIO DE LA SALUD Y BUENAS PRACTICAS EN PACIENTE ",IF(P83=CURSOS!$D$10,"CLINICA DE HERIDAS ",IF(P83=CURSOS!$D$11,"TOMA DE CITOLOGIA CERVICO VAGINAL ",IF(P83=CURSOS!$D$12,"SOPORTE CARDIOVASCULAR AVANZADO (ACLS) ",IF(P83=CURSOS!$D$13,"CAMILLERO ",IF(P83=CURSOS!$D$14,"TOMA DE MUESTRAS Y LABORATORIO ",IF(P83=CURSOS!$D$15,"SOPORTE VITAL BASICO (BLS)",IF(P83=CURSOS!$D$16,"ATENCION A VICTIMAS DE VIOLENCIA SEXUAL ",IF(P83=CURSOS!$D$17,"PROGRAMADO AMPLIADO DE INMUNIZACION (PAI - COVID 19)",IF(P83=CURSOS!$D$18,"ATENCION INTEGRAL EN ENFERMEDADES PREVALENTES EN PRIMERA INFANCIA (AIEPI)",IF(P83=CURSOS!$D$19,"ADMINISTRACION DE MEDICAMENTOS, INYECTOLOGIA  Y CANALIZACION ",IF(P83=CURSOS!$D$20,"OPERADOR DE VEHICULOS DE EMERGENCIA (OVE)",IF(P83=CURSOS!$D$21,"INSTITUCIONES AMIGAS DE LA MUJER Y LA INFANCIA (IAMI)",IF(P83=CURSOS!$D$22,"CUIDADO DEL DONANTE DE ORGANOS",IF(P83=CURSOS!$D$23,"ATENCION A VICTIMAS POR VIOLENCIA DE GENERO",IF(P83=CURSOS!$D$24,"IGUALDAD DE GENERO EN LA SALUD",IF(P83=CURSOS!$D$25,"BRIGADA DE EMERGENCIA",IF(P83=CURSOS!$D$26,"MANEJO DEL DOLOR Y CUIDADOS PALIATIVOS",IF(P83=CURSOS!$D$27,"TOMA DE MUESTRAS Y LABORATORIO POCT",IF(P83=CURSOS!$D$28,"IMPLANTE SUBDERMICO DE DISPOSITIVO INTRAUTERINO",IF(P83=CURSOS!$D$29,"SALUD MENTAL",IF(P83=CURSOS!$D$30,"PRIMEROS AUXILIOS PSICOLOGICOS",IF(P83=CURSOS!$D$31,"ATENCION A VICTIMAS POR CONFLICTO ARMADO",IF(P83=CURSOS!$D$32,"MANIPULACION DE ALIMENTOS Y BPM",IF(P83=CURSOS!$D$33,"ATENCION A PERSONAS CON DISCAPACIDAD",IF(P83=CURSOS!$D$34,"CUIDADO INTEGRAL DEL PACIENTE ADULTO",IF(P83=CURSOS!$D$35,"MANEJO DEFENSIVO",IF(P83=CURSOS!$D$36,"SOPORTE CARDIOVASCULAR AVANZADO NEONATAL",IF(P83=CURSOS!$D$37,"SEGURIDAD DEL PACIENTE",IF(P83=CURSOS!$D$38,"MANEJO DE RESIDUOS HOSPITALARIOS"))))))))))))))))))))))))))))))))))))</f>
        <v>TOMA DE MUESTRAS Y LABORATORIO POCT</v>
      </c>
      <c r="W83" s="65" t="str">
        <f t="shared" si="9"/>
        <v>Yudy Andrea Dorado Lopez</v>
      </c>
      <c r="X83" s="65" t="str">
        <f t="shared" si="10"/>
        <v>Yudy Andrea Dorado Lopez</v>
      </c>
      <c r="Y83" s="65" t="str">
        <f t="shared" si="11"/>
        <v>Yudy Andrea Dorado Lopez-36951376-POCT</v>
      </c>
    </row>
    <row r="84" spans="1:25" s="58" customFormat="1" x14ac:dyDescent="0.2">
      <c r="A84" s="59">
        <v>83</v>
      </c>
      <c r="B84" s="60">
        <v>1061693408</v>
      </c>
      <c r="C84" s="60" t="s">
        <v>330</v>
      </c>
      <c r="D84" s="60" t="s">
        <v>331</v>
      </c>
      <c r="E84" s="60" t="s">
        <v>121</v>
      </c>
      <c r="F84" s="60" t="s">
        <v>230</v>
      </c>
      <c r="G84" s="60">
        <v>14</v>
      </c>
      <c r="H84" s="60" t="s">
        <v>332</v>
      </c>
      <c r="I84" s="61" t="s">
        <v>123</v>
      </c>
      <c r="J84" s="61" t="s">
        <v>177</v>
      </c>
      <c r="K84" s="62">
        <v>45730</v>
      </c>
      <c r="L84" s="63">
        <v>35000</v>
      </c>
      <c r="M84" s="60" t="s">
        <v>156</v>
      </c>
      <c r="N84" s="60" t="s">
        <v>105</v>
      </c>
      <c r="O84" s="60" t="s">
        <v>202</v>
      </c>
      <c r="P84" s="60" t="s">
        <v>42</v>
      </c>
      <c r="Q84" s="79"/>
      <c r="R84" s="60" t="s">
        <v>107</v>
      </c>
      <c r="S84" s="60" t="s">
        <v>117</v>
      </c>
      <c r="T84" s="60">
        <v>3146363210</v>
      </c>
      <c r="U84" s="60" t="s">
        <v>333</v>
      </c>
      <c r="V84" s="65" t="str">
        <f>IF(P84=CURSOS!$D$3,"DIPLOMADO EN ATENCION PRE-HOSPITALARIA",IF(P84=CURSOS!$D$4,"ACOMPAÑAMIENTO Y MANEJO DEL DUELO",IF(P84=CURSOS!$D$5,"ATENCION A VICTIMAS DE ATAQUE CON AGENTES QUIMICOS ",IF(P84=CURSOS!$D$6,"PRIMEROS AUXILIOS ",IF(P84=CURSOS!$D$7,"DIPLOMADO DE UNIDAD DE CUIDADOS INTENSIVOS (UCI)",IF(P84=CURSOS!$D$8,"MODELO DE ATENCION PARA EVENTOS EMERGENTES EN SALUD MENTAL (CODIGO VERDE)",IF(P84=CURSOS!$D$9,"HUMANIZACION EN EL SERVICIO DE LA SALUD Y BUENAS PRACTICAS EN PACIENTE ",IF(P84=CURSOS!$D$10,"CLINICA DE HERIDAS ",IF(P84=CURSOS!$D$11,"TOMA DE CITOLOGIA CERVICO VAGINAL ",IF(P84=CURSOS!$D$12,"SOPORTE CARDIOVASCULAR AVANZADO (ACLS) ",IF(P84=CURSOS!$D$13,"CAMILLERO ",IF(P84=CURSOS!$D$14,"TOMA DE MUESTRAS Y LABORATORIO ",IF(P84=CURSOS!$D$15,"SOPORTE VITAL BASICO (BLS)",IF(P84=CURSOS!$D$16,"ATENCION A VICTIMAS DE VIOLENCIA SEXUAL ",IF(P84=CURSOS!$D$17,"PROGRAMADO AMPLIADO DE INMUNIZACION (PAI - COVID 19)",IF(P84=CURSOS!$D$18,"ATENCION INTEGRAL EN ENFERMEDADES PREVALENTES EN PRIMERA INFANCIA (AIEPI)",IF(P84=CURSOS!$D$19,"ADMINISTRACION DE MEDICAMENTOS, INYECTOLOGIA  Y CANALIZACION ",IF(P84=CURSOS!$D$20,"OPERADOR DE VEHICULOS DE EMERGENCIA (OVE)",IF(P84=CURSOS!$D$21,"INSTITUCIONES AMIGAS DE LA MUJER Y LA INFANCIA (IAMI)",IF(P84=CURSOS!$D$22,"CUIDADO DEL DONANTE DE ORGANOS",IF(P84=CURSOS!$D$23,"ATENCION A VICTIMAS POR VIOLENCIA DE GENERO",IF(P84=CURSOS!$D$24,"IGUALDAD DE GENERO EN LA SALUD",IF(P84=CURSOS!$D$25,"BRIGADA DE EMERGENCIA",IF(P84=CURSOS!$D$26,"MANEJO DEL DOLOR Y CUIDADOS PALIATIVOS",IF(P84=CURSOS!$D$27,"TOMA DE MUESTRAS Y LABORATORIO POCT",IF(P84=CURSOS!$D$28,"IMPLANTE SUBDERMICO DE DISPOSITIVO INTRAUTERINO",IF(P84=CURSOS!$D$29,"SALUD MENTAL",IF(P84=CURSOS!$D$30,"PRIMEROS AUXILIOS PSICOLOGICOS",IF(P84=CURSOS!$D$31,"ATENCION A VICTIMAS POR CONFLICTO ARMADO",IF(P84=CURSOS!$D$32,"MANIPULACION DE ALIMENTOS Y BPM",IF(P84=CURSOS!$D$33,"ATENCION A PERSONAS CON DISCAPACIDAD",IF(P84=CURSOS!$D$34,"CUIDADO INTEGRAL DEL PACIENTE ADULTO",IF(P84=CURSOS!$D$35,"MANEJO DEFENSIVO",IF(P84=CURSOS!$D$36,"SOPORTE CARDIOVASCULAR AVANZADO NEONATAL",IF(P84=CURSOS!$D$37,"SEGURIDAD DEL PACIENTE",IF(P84=CURSOS!$D$38,"MANEJO DE RESIDUOS HOSPITALARIOS"))))))))))))))))))))))))))))))))))))</f>
        <v xml:space="preserve">ATENCION A VICTIMAS DE VIOLENCIA SEXUAL </v>
      </c>
      <c r="W84" s="65" t="str">
        <f t="shared" si="9"/>
        <v>Maria Alejandra Pisso Ramos</v>
      </c>
      <c r="X84" s="65" t="str">
        <f t="shared" si="10"/>
        <v>Maria Alejandra Pisso Ramos</v>
      </c>
      <c r="Y84" s="65" t="str">
        <f t="shared" si="11"/>
        <v>Maria Alejandra Pisso Ramos-1061693408-VIOLENCIA SEXUAL</v>
      </c>
    </row>
    <row r="85" spans="1:25" s="58" customFormat="1" x14ac:dyDescent="0.2">
      <c r="A85" s="59">
        <v>84</v>
      </c>
      <c r="B85" s="60">
        <v>1004539452</v>
      </c>
      <c r="C85" s="60" t="s">
        <v>334</v>
      </c>
      <c r="D85" s="60" t="s">
        <v>335</v>
      </c>
      <c r="E85" s="60" t="s">
        <v>148</v>
      </c>
      <c r="F85" s="60" t="s">
        <v>336</v>
      </c>
      <c r="G85" s="60">
        <v>15</v>
      </c>
      <c r="H85" s="60" t="s">
        <v>103</v>
      </c>
      <c r="I85" s="61" t="s">
        <v>104</v>
      </c>
      <c r="J85" s="61"/>
      <c r="K85" s="62">
        <v>45730</v>
      </c>
      <c r="L85" s="63">
        <v>80000</v>
      </c>
      <c r="M85" s="60" t="s">
        <v>156</v>
      </c>
      <c r="N85" s="60" t="s">
        <v>105</v>
      </c>
      <c r="O85" s="60" t="s">
        <v>106</v>
      </c>
      <c r="P85" s="60" t="s">
        <v>19</v>
      </c>
      <c r="Q85" s="61">
        <v>36850</v>
      </c>
      <c r="R85" s="61" t="s">
        <v>107</v>
      </c>
      <c r="S85" s="64" t="s">
        <v>117</v>
      </c>
      <c r="T85" s="64">
        <v>3108535052</v>
      </c>
      <c r="U85" s="60" t="s">
        <v>337</v>
      </c>
      <c r="V85" s="65" t="str">
        <f>IF(P85=CURSOS!$D$3,"DIPLOMADO EN ATENCION PRE-HOSPITALARIA",IF(P85=CURSOS!$D$4,"ACOMPAÑAMIENTO Y MANEJO DEL DUELO",IF(P85=CURSOS!$D$5,"ATENCION A VICTIMAS DE ATAQUE CON AGENTES QUIMICOS ",IF(P85=CURSOS!$D$6,"PRIMEROS AUXILIOS ",IF(P85=CURSOS!$D$7,"DIPLOMADO DE UNIDAD DE CUIDADOS INTENSIVOS (UCI)",IF(P85=CURSOS!$D$8,"MODELO DE ATENCION PARA EVENTOS EMERGENTES EN SALUD MENTAL (CODIGO VERDE)",IF(P85=CURSOS!$D$9,"HUMANIZACION EN EL SERVICIO DE LA SALUD Y BUENAS PRACTICAS EN PACIENTE ",IF(P85=CURSOS!$D$10,"CLINICA DE HERIDAS ",IF(P85=CURSOS!$D$11,"TOMA DE CITOLOGIA CERVICO VAGINAL ",IF(P85=CURSOS!$D$12,"SOPORTE CARDIOVASCULAR AVANZADO (ACLS) ",IF(P85=CURSOS!$D$13,"CAMILLERO ",IF(P85=CURSOS!$D$14,"TOMA DE MUESTRAS Y LABORATORIO ",IF(P85=CURSOS!$D$15,"SOPORTE VITAL BASICO (BLS)",IF(P85=CURSOS!$D$16,"ATENCION A VICTIMAS DE VIOLENCIA SEXUAL ",IF(P85=CURSOS!$D$17,"PROGRAMADO AMPLIADO DE INMUNIZACION (PAI - COVID 19)",IF(P85=CURSOS!$D$18,"ATENCION INTEGRAL EN ENFERMEDADES PREVALENTES EN PRIMERA INFANCIA (AIEPI)",IF(P85=CURSOS!$D$19,"ADMINISTRACION DE MEDICAMENTOS, INYECTOLOGIA  Y CANALIZACION ",IF(P85=CURSOS!$D$20,"OPERADOR DE VEHICULOS DE EMERGENCIA (OVE)",IF(P85=CURSOS!$D$21,"INSTITUCIONES AMIGAS DE LA MUJER Y LA INFANCIA (IAMI)",IF(P85=CURSOS!$D$22,"CUIDADO DEL DONANTE DE ORGANOS",IF(P85=CURSOS!$D$23,"ATENCION A VICTIMAS POR VIOLENCIA DE GENERO",IF(P85=CURSOS!$D$24,"IGUALDAD DE GENERO EN LA SALUD",IF(P85=CURSOS!$D$25,"BRIGADA DE EMERGENCIA",IF(P85=CURSOS!$D$26,"MANEJO DEL DOLOR Y CUIDADOS PALIATIVOS",IF(P85=CURSOS!$D$27,"TOMA DE MUESTRAS Y LABORATORIO POCT",IF(P85=CURSOS!$D$28,"IMPLANTE SUBDERMICO DE DISPOSITIVO INTRAUTERINO",IF(P85=CURSOS!$D$29,"SALUD MENTAL",IF(P85=CURSOS!$D$30,"PRIMEROS AUXILIOS PSICOLOGICOS",IF(P85=CURSOS!$D$31,"ATENCION A VICTIMAS POR CONFLICTO ARMADO",IF(P85=CURSOS!$D$32,"MANIPULACION DE ALIMENTOS Y BPM",IF(P85=CURSOS!$D$33,"ATENCION A PERSONAS CON DISCAPACIDAD",IF(P85=CURSOS!$D$34,"CUIDADO INTEGRAL DEL PACIENTE ADULTO",IF(P85=CURSOS!$D$35,"MANEJO DEFENSIVO",IF(P85=CURSOS!$D$36,"SOPORTE CARDIOVASCULAR AVANZADO NEONATAL",IF(P85=CURSOS!$D$37,"SEGURIDAD DEL PACIENTE",IF(P85=CURSOS!$D$38,"MANEJO DE RESIDUOS HOSPITALARIOS"))))))))))))))))))))))))))))))))))))</f>
        <v>SOPORTE VITAL BASICO (BLS)</v>
      </c>
      <c r="W85" s="65" t="str">
        <f t="shared" si="9"/>
        <v>Andrea Elizabeth Chitan Tepud</v>
      </c>
      <c r="X85" s="65" t="str">
        <f t="shared" si="10"/>
        <v>Andrea Elizabeth Chitan Tepud</v>
      </c>
      <c r="Y85" s="65" t="str">
        <f t="shared" si="11"/>
        <v>Andrea Elizabeth Chitan Tepud-1004539452-BLS</v>
      </c>
    </row>
    <row r="86" spans="1:25" s="58" customFormat="1" x14ac:dyDescent="0.2">
      <c r="A86" s="59">
        <v>85</v>
      </c>
      <c r="B86" s="60">
        <v>38644168</v>
      </c>
      <c r="C86" s="60" t="s">
        <v>338</v>
      </c>
      <c r="D86" s="60" t="s">
        <v>339</v>
      </c>
      <c r="E86" s="60" t="s">
        <v>240</v>
      </c>
      <c r="F86" s="60"/>
      <c r="G86" s="60">
        <v>11</v>
      </c>
      <c r="H86" s="60" t="s">
        <v>103</v>
      </c>
      <c r="I86" s="61" t="s">
        <v>104</v>
      </c>
      <c r="J86" s="61" t="s">
        <v>167</v>
      </c>
      <c r="K86" s="62">
        <v>45731</v>
      </c>
      <c r="L86" s="63">
        <v>40000</v>
      </c>
      <c r="M86" s="60" t="s">
        <v>133</v>
      </c>
      <c r="N86" s="60" t="s">
        <v>105</v>
      </c>
      <c r="O86" s="60" t="s">
        <v>167</v>
      </c>
      <c r="P86" s="60" t="s">
        <v>59</v>
      </c>
      <c r="Q86" s="60">
        <v>31017</v>
      </c>
      <c r="R86" s="61" t="s">
        <v>107</v>
      </c>
      <c r="S86" s="61" t="s">
        <v>117</v>
      </c>
      <c r="T86" s="64">
        <v>3014962253</v>
      </c>
      <c r="U86" s="64" t="s">
        <v>340</v>
      </c>
      <c r="V86" s="65" t="str">
        <f>IF(P86=CURSOS!$D$3,"DIPLOMADO EN ATENCION PRE-HOSPITALARIA",IF(P86=CURSOS!$D$4,"ACOMPAÑAMIENTO Y MANEJO DEL DUELO",IF(P86=CURSOS!$D$5,"ATENCION A VICTIMAS DE ATAQUE CON AGENTES QUIMICOS ",IF(P86=CURSOS!$D$6,"PRIMEROS AUXILIOS ",IF(P86=CURSOS!$D$7,"DIPLOMADO DE UNIDAD DE CUIDADOS INTENSIVOS (UCI)",IF(P86=CURSOS!$D$8,"MODELO DE ATENCION PARA EVENTOS EMERGENTES EN SALUD MENTAL (CODIGO VERDE)",IF(P86=CURSOS!$D$9,"HUMANIZACION EN EL SERVICIO DE LA SALUD Y BUENAS PRACTICAS EN PACIENTE ",IF(P86=CURSOS!$D$10,"CLINICA DE HERIDAS ",IF(P86=CURSOS!$D$11,"TOMA DE CITOLOGIA CERVICO VAGINAL ",IF(P86=CURSOS!$D$12,"SOPORTE CARDIOVASCULAR AVANZADO (ACLS) ",IF(P86=CURSOS!$D$13,"CAMILLERO ",IF(P86=CURSOS!$D$14,"TOMA DE MUESTRAS Y LABORATORIO ",IF(P86=CURSOS!$D$15,"SOPORTE VITAL BASICO (BLS)",IF(P86=CURSOS!$D$16,"ATENCION A VICTIMAS DE VIOLENCIA SEXUAL ",IF(P86=CURSOS!$D$17,"PROGRAMADO AMPLIADO DE INMUNIZACION (PAI - COVID 19)",IF(P86=CURSOS!$D$18,"ATENCION INTEGRAL EN ENFERMEDADES PREVALENTES EN PRIMERA INFANCIA (AIEPI)",IF(P86=CURSOS!$D$19,"ADMINISTRACION DE MEDICAMENTOS, INYECTOLOGIA  Y CANALIZACION ",IF(P86=CURSOS!$D$20,"OPERADOR DE VEHICULOS DE EMERGENCIA (OVE)",IF(P86=CURSOS!$D$21,"INSTITUCIONES AMIGAS DE LA MUJER Y LA INFANCIA (IAMI)",IF(P86=CURSOS!$D$22,"CUIDADO DEL DONANTE DE ORGANOS",IF(P86=CURSOS!$D$23,"ATENCION A VICTIMAS POR VIOLENCIA DE GENERO",IF(P86=CURSOS!$D$24,"IGUALDAD DE GENERO EN LA SALUD",IF(P86=CURSOS!$D$25,"BRIGADA DE EMERGENCIA",IF(P86=CURSOS!$D$26,"MANEJO DEL DOLOR Y CUIDADOS PALIATIVOS",IF(P86=CURSOS!$D$27,"TOMA DE MUESTRAS Y LABORATORIO POCT",IF(P86=CURSOS!$D$28,"IMPLANTE SUBDERMICO DE DISPOSITIVO INTRAUTERINO",IF(P86=CURSOS!$D$29,"SALUD MENTAL",IF(P86=CURSOS!$D$30,"PRIMEROS AUXILIOS PSICOLOGICOS",IF(P86=CURSOS!$D$31,"ATENCION A VICTIMAS POR CONFLICTO ARMADO",IF(P86=CURSOS!$D$32,"MANIPULACION DE ALIMENTOS Y BPM",IF(P86=CURSOS!$D$33,"ATENCION A PERSONAS CON DISCAPACIDAD",IF(P86=CURSOS!$D$34,"CUIDADO INTEGRAL DEL PACIENTE ADULTO",IF(P86=CURSOS!$D$35,"MANEJO DEFENSIVO",IF(P86=CURSOS!$D$36,"SOPORTE CARDIOVASCULAR AVANZADO NEONATAL",IF(P86=CURSOS!$D$37,"SEGURIDAD DEL PACIENTE",IF(P86=CURSOS!$D$38,"MANEJO DE RESIDUOS HOSPITALARIOS"))))))))))))))))))))))))))))))))))))</f>
        <v>TOMA DE MUESTRAS Y LABORATORIO POCT</v>
      </c>
      <c r="W86" s="65" t="str">
        <f t="shared" si="9"/>
        <v>Veronica  Almanza Molina</v>
      </c>
      <c r="X86" s="65" t="str">
        <f t="shared" si="10"/>
        <v>Veronica  Almanza Molina</v>
      </c>
      <c r="Y86" s="65" t="str">
        <f t="shared" si="11"/>
        <v>Veronica  Almanza Molina-38644168-POCT</v>
      </c>
    </row>
    <row r="87" spans="1:25" s="58" customFormat="1" x14ac:dyDescent="0.2">
      <c r="A87" s="59">
        <v>86</v>
      </c>
      <c r="B87" s="60">
        <v>98397110</v>
      </c>
      <c r="C87" s="60" t="s">
        <v>341</v>
      </c>
      <c r="D87" s="60" t="s">
        <v>342</v>
      </c>
      <c r="E87" s="60" t="s">
        <v>343</v>
      </c>
      <c r="F87" s="60" t="s">
        <v>344</v>
      </c>
      <c r="G87" s="60">
        <v>14</v>
      </c>
      <c r="H87" s="60" t="s">
        <v>103</v>
      </c>
      <c r="I87" s="61" t="s">
        <v>104</v>
      </c>
      <c r="J87" s="61" t="s">
        <v>464</v>
      </c>
      <c r="K87" s="62">
        <v>45733</v>
      </c>
      <c r="L87" s="63">
        <v>70000</v>
      </c>
      <c r="M87" s="60" t="s">
        <v>159</v>
      </c>
      <c r="N87" s="60" t="s">
        <v>105</v>
      </c>
      <c r="O87" s="81" t="s">
        <v>106</v>
      </c>
      <c r="P87" s="60" t="s">
        <v>19</v>
      </c>
      <c r="Q87" s="61">
        <v>28260</v>
      </c>
      <c r="R87" s="61" t="s">
        <v>139</v>
      </c>
      <c r="S87" s="64" t="s">
        <v>346</v>
      </c>
      <c r="T87" s="64">
        <v>3226563815</v>
      </c>
      <c r="U87" s="60" t="s">
        <v>345</v>
      </c>
      <c r="V87" s="65" t="str">
        <f>IF(P87=CURSOS!$D$3,"DIPLOMADO EN ATENCION PRE-HOSPITALARIA",IF(P87=CURSOS!$D$4,"ACOMPAÑAMIENTO Y MANEJO DEL DUELO",IF(P87=CURSOS!$D$5,"ATENCION A VICTIMAS DE ATAQUE CON AGENTES QUIMICOS ",IF(P87=CURSOS!$D$6,"PRIMEROS AUXILIOS ",IF(P87=CURSOS!$D$7,"DIPLOMADO DE UNIDAD DE CUIDADOS INTENSIVOS (UCI)",IF(P87=CURSOS!$D$8,"MODELO DE ATENCION PARA EVENTOS EMERGENTES EN SALUD MENTAL (CODIGO VERDE)",IF(P87=CURSOS!$D$9,"HUMANIZACION EN EL SERVICIO DE LA SALUD Y BUENAS PRACTICAS EN PACIENTE ",IF(P87=CURSOS!$D$10,"CLINICA DE HERIDAS ",IF(P87=CURSOS!$D$11,"TOMA DE CITOLOGIA CERVICO VAGINAL ",IF(P87=CURSOS!$D$12,"SOPORTE CARDIOVASCULAR AVANZADO (ACLS) ",IF(P87=CURSOS!$D$13,"CAMILLERO ",IF(P87=CURSOS!$D$14,"TOMA DE MUESTRAS Y LABORATORIO ",IF(P87=CURSOS!$D$15,"SOPORTE VITAL BASICO (BLS)",IF(P87=CURSOS!$D$16,"ATENCION A VICTIMAS DE VIOLENCIA SEXUAL ",IF(P87=CURSOS!$D$17,"PROGRAMADO AMPLIADO DE INMUNIZACION (PAI - COVID 19)",IF(P87=CURSOS!$D$18,"ATENCION INTEGRAL EN ENFERMEDADES PREVALENTES EN PRIMERA INFANCIA (AIEPI)",IF(P87=CURSOS!$D$19,"ADMINISTRACION DE MEDICAMENTOS, INYECTOLOGIA  Y CANALIZACION ",IF(P87=CURSOS!$D$20,"OPERADOR DE VEHICULOS DE EMERGENCIA (OVE)",IF(P87=CURSOS!$D$21,"INSTITUCIONES AMIGAS DE LA MUJER Y LA INFANCIA (IAMI)",IF(P87=CURSOS!$D$22,"CUIDADO DEL DONANTE DE ORGANOS",IF(P87=CURSOS!$D$23,"ATENCION A VICTIMAS POR VIOLENCIA DE GENERO",IF(P87=CURSOS!$D$24,"IGUALDAD DE GENERO EN LA SALUD",IF(P87=CURSOS!$D$25,"BRIGADA DE EMERGENCIA",IF(P87=CURSOS!$D$26,"MANEJO DEL DOLOR Y CUIDADOS PALIATIVOS",IF(P87=CURSOS!$D$27,"TOMA DE MUESTRAS Y LABORATORIO POCT",IF(P87=CURSOS!$D$28,"IMPLANTE SUBDERMICO DE DISPOSITIVO INTRAUTERINO",IF(P87=CURSOS!$D$29,"SALUD MENTAL",IF(P87=CURSOS!$D$30,"PRIMEROS AUXILIOS PSICOLOGICOS",IF(P87=CURSOS!$D$31,"ATENCION A VICTIMAS POR CONFLICTO ARMADO",IF(P87=CURSOS!$D$32,"MANIPULACION DE ALIMENTOS Y BPM",IF(P87=CURSOS!$D$33,"ATENCION A PERSONAS CON DISCAPACIDAD",IF(P87=CURSOS!$D$34,"CUIDADO INTEGRAL DEL PACIENTE ADULTO",IF(P87=CURSOS!$D$35,"MANEJO DEFENSIVO",IF(P87=CURSOS!$D$36,"SOPORTE CARDIOVASCULAR AVANZADO NEONATAL",IF(P87=CURSOS!$D$37,"SEGURIDAD DEL PACIENTE",IF(P87=CURSOS!$D$38,"MANEJO DE RESIDUOS HOSPITALARIOS"))))))))))))))))))))))))))))))))))))</f>
        <v>SOPORTE VITAL BASICO (BLS)</v>
      </c>
      <c r="W87" s="65" t="str">
        <f t="shared" si="9"/>
        <v>Jimmy Oswaldo Medicis Risueño</v>
      </c>
      <c r="X87" s="65" t="str">
        <f t="shared" si="10"/>
        <v>Jimmy Oswaldo Medicis Risueño</v>
      </c>
      <c r="Y87" s="65" t="str">
        <f t="shared" si="11"/>
        <v>Jimmy Oswaldo Medicis Risueño-98397110-BLS</v>
      </c>
    </row>
    <row r="88" spans="1:25" s="58" customFormat="1" x14ac:dyDescent="0.2">
      <c r="A88" s="59">
        <v>87</v>
      </c>
      <c r="B88" s="60">
        <v>98397110</v>
      </c>
      <c r="C88" s="60" t="s">
        <v>341</v>
      </c>
      <c r="D88" s="60" t="s">
        <v>342</v>
      </c>
      <c r="E88" s="60" t="s">
        <v>343</v>
      </c>
      <c r="F88" s="60" t="s">
        <v>344</v>
      </c>
      <c r="G88" s="60">
        <v>15</v>
      </c>
      <c r="H88" s="60" t="s">
        <v>103</v>
      </c>
      <c r="I88" s="61" t="s">
        <v>104</v>
      </c>
      <c r="J88" s="61" t="s">
        <v>464</v>
      </c>
      <c r="K88" s="62">
        <v>45733</v>
      </c>
      <c r="L88" s="63">
        <v>70000</v>
      </c>
      <c r="M88" s="60" t="s">
        <v>159</v>
      </c>
      <c r="N88" s="60" t="s">
        <v>105</v>
      </c>
      <c r="O88" s="81" t="s">
        <v>106</v>
      </c>
      <c r="P88" s="77" t="s">
        <v>23</v>
      </c>
      <c r="Q88" s="61">
        <v>28260</v>
      </c>
      <c r="R88" s="61" t="s">
        <v>139</v>
      </c>
      <c r="S88" s="64" t="s">
        <v>346</v>
      </c>
      <c r="T88" s="64">
        <v>3226563815</v>
      </c>
      <c r="U88" s="60" t="s">
        <v>345</v>
      </c>
      <c r="V88" s="65" t="str">
        <f>IF(P88=CURSOS!$D$3,"DIPLOMADO EN ATENCION PRE-HOSPITALARIA",IF(P88=CURSOS!$D$4,"ACOMPAÑAMIENTO Y MANEJO DEL DUELO",IF(P88=CURSOS!$D$5,"ATENCION A VICTIMAS DE ATAQUE CON AGENTES QUIMICOS ",IF(P88=CURSOS!$D$6,"PRIMEROS AUXILIOS ",IF(P88=CURSOS!$D$7,"DIPLOMADO DE UNIDAD DE CUIDADOS INTENSIVOS (UCI)",IF(P88=CURSOS!$D$8,"MODELO DE ATENCION PARA EVENTOS EMERGENTES EN SALUD MENTAL (CODIGO VERDE)",IF(P88=CURSOS!$D$9,"HUMANIZACION EN EL SERVICIO DE LA SALUD Y BUENAS PRACTICAS EN PACIENTE ",IF(P88=CURSOS!$D$10,"CLINICA DE HERIDAS ",IF(P88=CURSOS!$D$11,"TOMA DE CITOLOGIA CERVICO VAGINAL ",IF(P88=CURSOS!$D$12,"SOPORTE CARDIOVASCULAR AVANZADO (ACLS) ",IF(P88=CURSOS!$D$13,"CAMILLERO ",IF(P88=CURSOS!$D$14,"TOMA DE MUESTRAS Y LABORATORIO ",IF(P88=CURSOS!$D$15,"SOPORTE VITAL BASICO (BLS)",IF(P88=CURSOS!$D$16,"ATENCION A VICTIMAS DE VIOLENCIA SEXUAL ",IF(P88=CURSOS!$D$17,"PROGRAMADO AMPLIADO DE INMUNIZACION (PAI - COVID 19)",IF(P88=CURSOS!$D$18,"ATENCION INTEGRAL EN ENFERMEDADES PREVALENTES EN PRIMERA INFANCIA (AIEPI)",IF(P88=CURSOS!$D$19,"ADMINISTRACION DE MEDICAMENTOS, INYECTOLOGIA  Y CANALIZACION ",IF(P88=CURSOS!$D$20,"OPERADOR DE VEHICULOS DE EMERGENCIA (OVE)",IF(P88=CURSOS!$D$21,"INSTITUCIONES AMIGAS DE LA MUJER Y LA INFANCIA (IAMI)",IF(P88=CURSOS!$D$22,"CUIDADO DEL DONANTE DE ORGANOS",IF(P88=CURSOS!$D$23,"ATENCION A VICTIMAS POR VIOLENCIA DE GENERO",IF(P88=CURSOS!$D$24,"IGUALDAD DE GENERO EN LA SALUD",IF(P88=CURSOS!$D$25,"BRIGADA DE EMERGENCIA",IF(P88=CURSOS!$D$26,"MANEJO DEL DOLOR Y CUIDADOS PALIATIVOS",IF(P88=CURSOS!$D$27,"TOMA DE MUESTRAS Y LABORATORIO POCT",IF(P88=CURSOS!$D$28,"IMPLANTE SUBDERMICO DE DISPOSITIVO INTRAUTERINO",IF(P88=CURSOS!$D$29,"SALUD MENTAL",IF(P88=CURSOS!$D$30,"PRIMEROS AUXILIOS PSICOLOGICOS",IF(P88=CURSOS!$D$31,"ATENCION A VICTIMAS POR CONFLICTO ARMADO",IF(P88=CURSOS!$D$32,"MANIPULACION DE ALIMENTOS Y BPM",IF(P88=CURSOS!$D$33,"ATENCION A PERSONAS CON DISCAPACIDAD",IF(P88=CURSOS!$D$34,"CUIDADO INTEGRAL DEL PACIENTE ADULTO",IF(P88=CURSOS!$D$35,"MANEJO DEFENSIVO",IF(P88=CURSOS!$D$36,"SOPORTE CARDIOVASCULAR AVANZADO NEONATAL",IF(P88=CURSOS!$D$37,"SEGURIDAD DEL PACIENTE",IF(P88=CURSOS!$D$38,"MANEJO DE RESIDUOS HOSPITALARIOS"))))))))))))))))))))))))))))))))))))</f>
        <v>ACOMPAÑAMIENTO Y MANEJO DEL DUELO</v>
      </c>
      <c r="W88" s="65" t="str">
        <f t="shared" si="9"/>
        <v>Jimmy Oswaldo Medicis Risueño</v>
      </c>
      <c r="X88" s="65" t="str">
        <f t="shared" si="10"/>
        <v>Jimmy Oswaldo Medicis Risueño</v>
      </c>
      <c r="Y88" s="65" t="str">
        <f t="shared" si="11"/>
        <v>Jimmy Oswaldo Medicis Risueño-98397110-DUELO</v>
      </c>
    </row>
    <row r="89" spans="1:25" s="58" customFormat="1" x14ac:dyDescent="0.2">
      <c r="A89" s="59">
        <v>88</v>
      </c>
      <c r="B89" s="60">
        <v>98397110</v>
      </c>
      <c r="C89" s="60" t="s">
        <v>341</v>
      </c>
      <c r="D89" s="60" t="s">
        <v>342</v>
      </c>
      <c r="E89" s="60" t="s">
        <v>343</v>
      </c>
      <c r="F89" s="60" t="s">
        <v>344</v>
      </c>
      <c r="G89" s="60">
        <v>13</v>
      </c>
      <c r="H89" s="60" t="s">
        <v>103</v>
      </c>
      <c r="I89" s="61" t="s">
        <v>104</v>
      </c>
      <c r="J89" s="61" t="s">
        <v>464</v>
      </c>
      <c r="K89" s="62">
        <v>45733</v>
      </c>
      <c r="L89" s="63">
        <v>70000</v>
      </c>
      <c r="M89" s="60" t="s">
        <v>159</v>
      </c>
      <c r="N89" s="60" t="s">
        <v>105</v>
      </c>
      <c r="O89" s="81" t="s">
        <v>106</v>
      </c>
      <c r="P89" s="60" t="s">
        <v>32</v>
      </c>
      <c r="Q89" s="61">
        <v>28260</v>
      </c>
      <c r="R89" s="61" t="s">
        <v>139</v>
      </c>
      <c r="S89" s="64" t="s">
        <v>346</v>
      </c>
      <c r="T89" s="64">
        <v>3226563815</v>
      </c>
      <c r="U89" s="60" t="s">
        <v>345</v>
      </c>
      <c r="V89" s="65" t="str">
        <f>IF(P89=CURSOS!$D$3,"DIPLOMADO EN ATENCION PRE-HOSPITALARIA",IF(P89=CURSOS!$D$4,"ACOMPAÑAMIENTO Y MANEJO DEL DUELO",IF(P89=CURSOS!$D$5,"ATENCION A VICTIMAS DE ATAQUE CON AGENTES QUIMICOS ",IF(P89=CURSOS!$D$6,"PRIMEROS AUXILIOS ",IF(P89=CURSOS!$D$7,"DIPLOMADO DE UNIDAD DE CUIDADOS INTENSIVOS (UCI)",IF(P89=CURSOS!$D$8,"MODELO DE ATENCION PARA EVENTOS EMERGENTES EN SALUD MENTAL (CODIGO VERDE)",IF(P89=CURSOS!$D$9,"HUMANIZACION EN EL SERVICIO DE LA SALUD Y BUENAS PRACTICAS EN PACIENTE ",IF(P89=CURSOS!$D$10,"CLINICA DE HERIDAS ",IF(P89=CURSOS!$D$11,"TOMA DE CITOLOGIA CERVICO VAGINAL ",IF(P89=CURSOS!$D$12,"SOPORTE CARDIOVASCULAR AVANZADO (ACLS) ",IF(P89=CURSOS!$D$13,"CAMILLERO ",IF(P89=CURSOS!$D$14,"TOMA DE MUESTRAS Y LABORATORIO ",IF(P89=CURSOS!$D$15,"SOPORTE VITAL BASICO (BLS)",IF(P89=CURSOS!$D$16,"ATENCION A VICTIMAS DE VIOLENCIA SEXUAL ",IF(P89=CURSOS!$D$17,"PROGRAMADO AMPLIADO DE INMUNIZACION (PAI - COVID 19)",IF(P89=CURSOS!$D$18,"ATENCION INTEGRAL EN ENFERMEDADES PREVALENTES EN PRIMERA INFANCIA (AIEPI)",IF(P89=CURSOS!$D$19,"ADMINISTRACION DE MEDICAMENTOS, INYECTOLOGIA  Y CANALIZACION ",IF(P89=CURSOS!$D$20,"OPERADOR DE VEHICULOS DE EMERGENCIA (OVE)",IF(P89=CURSOS!$D$21,"INSTITUCIONES AMIGAS DE LA MUJER Y LA INFANCIA (IAMI)",IF(P89=CURSOS!$D$22,"CUIDADO DEL DONANTE DE ORGANOS",IF(P89=CURSOS!$D$23,"ATENCION A VICTIMAS POR VIOLENCIA DE GENERO",IF(P89=CURSOS!$D$24,"IGUALDAD DE GENERO EN LA SALUD",IF(P89=CURSOS!$D$25,"BRIGADA DE EMERGENCIA",IF(P89=CURSOS!$D$26,"MANEJO DEL DOLOR Y CUIDADOS PALIATIVOS",IF(P89=CURSOS!$D$27,"TOMA DE MUESTRAS Y LABORATORIO POCT",IF(P89=CURSOS!$D$28,"IMPLANTE SUBDERMICO DE DISPOSITIVO INTRAUTERINO",IF(P89=CURSOS!$D$29,"SALUD MENTAL",IF(P89=CURSOS!$D$30,"PRIMEROS AUXILIOS PSICOLOGICOS",IF(P89=CURSOS!$D$31,"ATENCION A VICTIMAS POR CONFLICTO ARMADO",IF(P89=CURSOS!$D$32,"MANIPULACION DE ALIMENTOS Y BPM",IF(P89=CURSOS!$D$33,"ATENCION A PERSONAS CON DISCAPACIDAD",IF(P89=CURSOS!$D$34,"CUIDADO INTEGRAL DEL PACIENTE ADULTO",IF(P89=CURSOS!$D$35,"MANEJO DEFENSIVO",IF(P89=CURSOS!$D$36,"SOPORTE CARDIOVASCULAR AVANZADO NEONATAL",IF(P89=CURSOS!$D$37,"SEGURIDAD DEL PACIENTE",IF(P89=CURSOS!$D$38,"MANEJO DE RESIDUOS HOSPITALARIOS"))))))))))))))))))))))))))))))))))))</f>
        <v xml:space="preserve">HUMANIZACION EN EL SERVICIO DE LA SALUD Y BUENAS PRACTICAS EN PACIENTE </v>
      </c>
      <c r="W89" s="65" t="str">
        <f t="shared" si="9"/>
        <v>Jimmy Oswaldo Medicis Risueño</v>
      </c>
      <c r="X89" s="65" t="str">
        <f t="shared" si="10"/>
        <v>Jimmy Oswaldo Medicis Risueño</v>
      </c>
      <c r="Y89" s="65" t="str">
        <f t="shared" si="11"/>
        <v>Jimmy Oswaldo Medicis Risueño-98397110-HUMANIZACION</v>
      </c>
    </row>
    <row r="90" spans="1:25" s="58" customFormat="1" x14ac:dyDescent="0.2">
      <c r="A90" s="59">
        <v>89</v>
      </c>
      <c r="B90" s="60">
        <v>98397110</v>
      </c>
      <c r="C90" s="60" t="s">
        <v>341</v>
      </c>
      <c r="D90" s="60" t="s">
        <v>342</v>
      </c>
      <c r="E90" s="60" t="s">
        <v>343</v>
      </c>
      <c r="F90" s="60" t="s">
        <v>344</v>
      </c>
      <c r="G90" s="60">
        <v>17</v>
      </c>
      <c r="H90" s="60" t="s">
        <v>103</v>
      </c>
      <c r="I90" s="61" t="s">
        <v>104</v>
      </c>
      <c r="J90" s="61" t="s">
        <v>464</v>
      </c>
      <c r="K90" s="62">
        <v>45733</v>
      </c>
      <c r="L90" s="63">
        <v>70000</v>
      </c>
      <c r="M90" s="60" t="s">
        <v>159</v>
      </c>
      <c r="N90" s="60" t="s">
        <v>105</v>
      </c>
      <c r="O90" s="81" t="s">
        <v>106</v>
      </c>
      <c r="P90" s="60" t="s">
        <v>42</v>
      </c>
      <c r="Q90" s="61">
        <v>28260</v>
      </c>
      <c r="R90" s="61" t="s">
        <v>139</v>
      </c>
      <c r="S90" s="64" t="s">
        <v>346</v>
      </c>
      <c r="T90" s="64">
        <v>3226563815</v>
      </c>
      <c r="U90" s="60" t="s">
        <v>345</v>
      </c>
      <c r="V90" s="65" t="str">
        <f>IF(P90=CURSOS!$D$3,"DIPLOMADO EN ATENCION PRE-HOSPITALARIA",IF(P90=CURSOS!$D$4,"ACOMPAÑAMIENTO Y MANEJO DEL DUELO",IF(P90=CURSOS!$D$5,"ATENCION A VICTIMAS DE ATAQUE CON AGENTES QUIMICOS ",IF(P90=CURSOS!$D$6,"PRIMEROS AUXILIOS ",IF(P90=CURSOS!$D$7,"DIPLOMADO DE UNIDAD DE CUIDADOS INTENSIVOS (UCI)",IF(P90=CURSOS!$D$8,"MODELO DE ATENCION PARA EVENTOS EMERGENTES EN SALUD MENTAL (CODIGO VERDE)",IF(P90=CURSOS!$D$9,"HUMANIZACION EN EL SERVICIO DE LA SALUD Y BUENAS PRACTICAS EN PACIENTE ",IF(P90=CURSOS!$D$10,"CLINICA DE HERIDAS ",IF(P90=CURSOS!$D$11,"TOMA DE CITOLOGIA CERVICO VAGINAL ",IF(P90=CURSOS!$D$12,"SOPORTE CARDIOVASCULAR AVANZADO (ACLS) ",IF(P90=CURSOS!$D$13,"CAMILLERO ",IF(P90=CURSOS!$D$14,"TOMA DE MUESTRAS Y LABORATORIO ",IF(P90=CURSOS!$D$15,"SOPORTE VITAL BASICO (BLS)",IF(P90=CURSOS!$D$16,"ATENCION A VICTIMAS DE VIOLENCIA SEXUAL ",IF(P90=CURSOS!$D$17,"PROGRAMADO AMPLIADO DE INMUNIZACION (PAI - COVID 19)",IF(P90=CURSOS!$D$18,"ATENCION INTEGRAL EN ENFERMEDADES PREVALENTES EN PRIMERA INFANCIA (AIEPI)",IF(P90=CURSOS!$D$19,"ADMINISTRACION DE MEDICAMENTOS, INYECTOLOGIA  Y CANALIZACION ",IF(P90=CURSOS!$D$20,"OPERADOR DE VEHICULOS DE EMERGENCIA (OVE)",IF(P90=CURSOS!$D$21,"INSTITUCIONES AMIGAS DE LA MUJER Y LA INFANCIA (IAMI)",IF(P90=CURSOS!$D$22,"CUIDADO DEL DONANTE DE ORGANOS",IF(P90=CURSOS!$D$23,"ATENCION A VICTIMAS POR VIOLENCIA DE GENERO",IF(P90=CURSOS!$D$24,"IGUALDAD DE GENERO EN LA SALUD",IF(P90=CURSOS!$D$25,"BRIGADA DE EMERGENCIA",IF(P90=CURSOS!$D$26,"MANEJO DEL DOLOR Y CUIDADOS PALIATIVOS",IF(P90=CURSOS!$D$27,"TOMA DE MUESTRAS Y LABORATORIO POCT",IF(P90=CURSOS!$D$28,"IMPLANTE SUBDERMICO DE DISPOSITIVO INTRAUTERINO",IF(P90=CURSOS!$D$29,"SALUD MENTAL",IF(P90=CURSOS!$D$30,"PRIMEROS AUXILIOS PSICOLOGICOS",IF(P90=CURSOS!$D$31,"ATENCION A VICTIMAS POR CONFLICTO ARMADO",IF(P90=CURSOS!$D$32,"MANIPULACION DE ALIMENTOS Y BPM",IF(P90=CURSOS!$D$33,"ATENCION A PERSONAS CON DISCAPACIDAD",IF(P90=CURSOS!$D$34,"CUIDADO INTEGRAL DEL PACIENTE ADULTO",IF(P90=CURSOS!$D$35,"MANEJO DEFENSIVO",IF(P90=CURSOS!$D$36,"SOPORTE CARDIOVASCULAR AVANZADO NEONATAL",IF(P90=CURSOS!$D$37,"SEGURIDAD DEL PACIENTE",IF(P90=CURSOS!$D$38,"MANEJO DE RESIDUOS HOSPITALARIOS"))))))))))))))))))))))))))))))))))))</f>
        <v xml:space="preserve">ATENCION A VICTIMAS DE VIOLENCIA SEXUAL </v>
      </c>
      <c r="W90" s="65" t="str">
        <f t="shared" si="9"/>
        <v>Jimmy Oswaldo Medicis Risueño</v>
      </c>
      <c r="X90" s="65" t="str">
        <f t="shared" si="10"/>
        <v>Jimmy Oswaldo Medicis Risueño</v>
      </c>
      <c r="Y90" s="65" t="str">
        <f t="shared" si="11"/>
        <v>Jimmy Oswaldo Medicis Risueño-98397110-VIOLENCIA SEXUAL</v>
      </c>
    </row>
    <row r="91" spans="1:25" s="82" customFormat="1" x14ac:dyDescent="0.2">
      <c r="A91" s="59">
        <v>90</v>
      </c>
      <c r="B91" s="60">
        <v>1085939028</v>
      </c>
      <c r="C91" s="60" t="s">
        <v>347</v>
      </c>
      <c r="D91" s="60" t="s">
        <v>135</v>
      </c>
      <c r="E91" s="60" t="s">
        <v>348</v>
      </c>
      <c r="F91" s="60" t="s">
        <v>349</v>
      </c>
      <c r="G91" s="60">
        <v>17</v>
      </c>
      <c r="H91" s="60" t="s">
        <v>103</v>
      </c>
      <c r="I91" s="61" t="s">
        <v>123</v>
      </c>
      <c r="J91" s="61" t="s">
        <v>179</v>
      </c>
      <c r="K91" s="62">
        <v>45733</v>
      </c>
      <c r="L91" s="63">
        <v>35000</v>
      </c>
      <c r="M91" s="60" t="s">
        <v>156</v>
      </c>
      <c r="N91" s="60" t="s">
        <v>105</v>
      </c>
      <c r="O91" s="81" t="s">
        <v>106</v>
      </c>
      <c r="P91" s="60" t="s">
        <v>19</v>
      </c>
      <c r="Q91" s="61">
        <v>34853</v>
      </c>
      <c r="R91" s="60" t="s">
        <v>139</v>
      </c>
      <c r="S91" s="60" t="s">
        <v>117</v>
      </c>
      <c r="T91" s="60">
        <v>3207390231</v>
      </c>
      <c r="U91" s="60"/>
      <c r="V91" s="65" t="str">
        <f>IF(P91=CURSOS!$D$3,"DIPLOMADO EN ATENCION PRE-HOSPITALARIA",IF(P91=CURSOS!$D$4,"ACOMPAÑAMIENTO Y MANEJO DEL DUELO",IF(P91=CURSOS!$D$5,"ATENCION A VICTIMAS DE ATAQUE CON AGENTES QUIMICOS ",IF(P91=CURSOS!$D$6,"PRIMEROS AUXILIOS ",IF(P91=CURSOS!$D$7,"DIPLOMADO DE UNIDAD DE CUIDADOS INTENSIVOS (UCI)",IF(P91=CURSOS!$D$8,"MODELO DE ATENCION PARA EVENTOS EMERGENTES EN SALUD MENTAL (CODIGO VERDE)",IF(P91=CURSOS!$D$9,"HUMANIZACION EN EL SERVICIO DE LA SALUD Y BUENAS PRACTICAS EN PACIENTE ",IF(P91=CURSOS!$D$10,"CLINICA DE HERIDAS ",IF(P91=CURSOS!$D$11,"TOMA DE CITOLOGIA CERVICO VAGINAL ",IF(P91=CURSOS!$D$12,"SOPORTE CARDIOVASCULAR AVANZADO (ACLS) ",IF(P91=CURSOS!$D$13,"CAMILLERO ",IF(P91=CURSOS!$D$14,"TOMA DE MUESTRAS Y LABORATORIO ",IF(P91=CURSOS!$D$15,"SOPORTE VITAL BASICO (BLS)",IF(P91=CURSOS!$D$16,"ATENCION A VICTIMAS DE VIOLENCIA SEXUAL ",IF(P91=CURSOS!$D$17,"PROGRAMADO AMPLIADO DE INMUNIZACION (PAI - COVID 19)",IF(P91=CURSOS!$D$18,"ATENCION INTEGRAL EN ENFERMEDADES PREVALENTES EN PRIMERA INFANCIA (AIEPI)",IF(P91=CURSOS!$D$19,"ADMINISTRACION DE MEDICAMENTOS, INYECTOLOGIA  Y CANALIZACION ",IF(P91=CURSOS!$D$20,"OPERADOR DE VEHICULOS DE EMERGENCIA (OVE)",IF(P91=CURSOS!$D$21,"INSTITUCIONES AMIGAS DE LA MUJER Y LA INFANCIA (IAMI)",IF(P91=CURSOS!$D$22,"CUIDADO DEL DONANTE DE ORGANOS",IF(P91=CURSOS!$D$23,"ATENCION A VICTIMAS POR VIOLENCIA DE GENERO",IF(P91=CURSOS!$D$24,"IGUALDAD DE GENERO EN LA SALUD",IF(P91=CURSOS!$D$25,"BRIGADA DE EMERGENCIA",IF(P91=CURSOS!$D$26,"MANEJO DEL DOLOR Y CUIDADOS PALIATIVOS",IF(P91=CURSOS!$D$27,"TOMA DE MUESTRAS Y LABORATORIO POCT",IF(P91=CURSOS!$D$28,"IMPLANTE SUBDERMICO DE DISPOSITIVO INTRAUTERINO",IF(P91=CURSOS!$D$29,"SALUD MENTAL",IF(P91=CURSOS!$D$30,"PRIMEROS AUXILIOS PSICOLOGICOS",IF(P91=CURSOS!$D$31,"ATENCION A VICTIMAS POR CONFLICTO ARMADO",IF(P91=CURSOS!$D$32,"MANIPULACION DE ALIMENTOS Y BPM",IF(P91=CURSOS!$D$33,"ATENCION A PERSONAS CON DISCAPACIDAD",IF(P91=CURSOS!$D$34,"CUIDADO INTEGRAL DEL PACIENTE ADULTO",IF(P91=CURSOS!$D$35,"MANEJO DEFENSIVO",IF(P91=CURSOS!$D$36,"SOPORTE CARDIOVASCULAR AVANZADO NEONATAL",IF(P91=CURSOS!$D$37,"SEGURIDAD DEL PACIENTE",IF(P91=CURSOS!$D$38,"MANEJO DE RESIDUOS HOSPITALARIOS"))))))))))))))))))))))))))))))))))))</f>
        <v>SOPORTE VITAL BASICO (BLS)</v>
      </c>
      <c r="W91" s="65" t="str">
        <f t="shared" si="9"/>
        <v>Bairon Alberto Valencia Lopez</v>
      </c>
      <c r="X91" s="65" t="str">
        <f t="shared" si="10"/>
        <v>Bairon Alberto Valencia Lopez</v>
      </c>
      <c r="Y91" s="65" t="str">
        <f t="shared" si="11"/>
        <v>Bairon Alberto Valencia Lopez-1085939028-BLS</v>
      </c>
    </row>
    <row r="92" spans="1:25" s="82" customFormat="1" x14ac:dyDescent="0.2">
      <c r="A92" s="59">
        <v>91</v>
      </c>
      <c r="B92" s="60">
        <v>1088729829</v>
      </c>
      <c r="C92" s="60" t="s">
        <v>350</v>
      </c>
      <c r="D92" s="60" t="s">
        <v>351</v>
      </c>
      <c r="E92" s="60" t="s">
        <v>352</v>
      </c>
      <c r="F92" s="60" t="s">
        <v>257</v>
      </c>
      <c r="G92" s="60">
        <v>17</v>
      </c>
      <c r="H92" s="60" t="s">
        <v>103</v>
      </c>
      <c r="I92" s="61" t="s">
        <v>123</v>
      </c>
      <c r="J92" s="61" t="s">
        <v>177</v>
      </c>
      <c r="K92" s="62">
        <v>45735</v>
      </c>
      <c r="L92" s="63">
        <v>32000</v>
      </c>
      <c r="M92" s="60" t="s">
        <v>156</v>
      </c>
      <c r="N92" s="60" t="s">
        <v>105</v>
      </c>
      <c r="O92" s="81" t="s">
        <v>182</v>
      </c>
      <c r="P92" s="60" t="s">
        <v>32</v>
      </c>
      <c r="Q92" s="61">
        <v>31911</v>
      </c>
      <c r="R92" s="60" t="s">
        <v>107</v>
      </c>
      <c r="S92" s="60" t="s">
        <v>117</v>
      </c>
      <c r="T92" s="60">
        <v>3147814489</v>
      </c>
      <c r="U92" s="60" t="s">
        <v>353</v>
      </c>
      <c r="V92" s="65" t="str">
        <f>IF(P92=CURSOS!$D$3,"DIPLOMADO EN ATENCION PRE-HOSPITALARIA",IF(P92=CURSOS!$D$4,"ACOMPAÑAMIENTO Y MANEJO DEL DUELO",IF(P92=CURSOS!$D$5,"ATENCION A VICTIMAS DE ATAQUE CON AGENTES QUIMICOS ",IF(P92=CURSOS!$D$6,"PRIMEROS AUXILIOS ",IF(P92=CURSOS!$D$7,"DIPLOMADO DE UNIDAD DE CUIDADOS INTENSIVOS (UCI)",IF(P92=CURSOS!$D$8,"MODELO DE ATENCION PARA EVENTOS EMERGENTES EN SALUD MENTAL (CODIGO VERDE)",IF(P92=CURSOS!$D$9,"HUMANIZACION EN EL SERVICIO DE LA SALUD Y BUENAS PRACTICAS EN PACIENTE ",IF(P92=CURSOS!$D$10,"CLINICA DE HERIDAS ",IF(P92=CURSOS!$D$11,"TOMA DE CITOLOGIA CERVICO VAGINAL ",IF(P92=CURSOS!$D$12,"SOPORTE CARDIOVASCULAR AVANZADO (ACLS) ",IF(P92=CURSOS!$D$13,"CAMILLERO ",IF(P92=CURSOS!$D$14,"TOMA DE MUESTRAS Y LABORATORIO ",IF(P92=CURSOS!$D$15,"SOPORTE VITAL BASICO (BLS)",IF(P92=CURSOS!$D$16,"ATENCION A VICTIMAS DE VIOLENCIA SEXUAL ",IF(P92=CURSOS!$D$17,"PROGRAMADO AMPLIADO DE INMUNIZACION (PAI - COVID 19)",IF(P92=CURSOS!$D$18,"ATENCION INTEGRAL EN ENFERMEDADES PREVALENTES EN PRIMERA INFANCIA (AIEPI)",IF(P92=CURSOS!$D$19,"ADMINISTRACION DE MEDICAMENTOS, INYECTOLOGIA  Y CANALIZACION ",IF(P92=CURSOS!$D$20,"OPERADOR DE VEHICULOS DE EMERGENCIA (OVE)",IF(P92=CURSOS!$D$21,"INSTITUCIONES AMIGAS DE LA MUJER Y LA INFANCIA (IAMI)",IF(P92=CURSOS!$D$22,"CUIDADO DEL DONANTE DE ORGANOS",IF(P92=CURSOS!$D$23,"ATENCION A VICTIMAS POR VIOLENCIA DE GENERO",IF(P92=CURSOS!$D$24,"IGUALDAD DE GENERO EN LA SALUD",IF(P92=CURSOS!$D$25,"BRIGADA DE EMERGENCIA",IF(P92=CURSOS!$D$26,"MANEJO DEL DOLOR Y CUIDADOS PALIATIVOS",IF(P92=CURSOS!$D$27,"TOMA DE MUESTRAS Y LABORATORIO POCT",IF(P92=CURSOS!$D$28,"IMPLANTE SUBDERMICO DE DISPOSITIVO INTRAUTERINO",IF(P92=CURSOS!$D$29,"SALUD MENTAL",IF(P92=CURSOS!$D$30,"PRIMEROS AUXILIOS PSICOLOGICOS",IF(P92=CURSOS!$D$31,"ATENCION A VICTIMAS POR CONFLICTO ARMADO",IF(P92=CURSOS!$D$32,"MANIPULACION DE ALIMENTOS Y BPM",IF(P92=CURSOS!$D$33,"ATENCION A PERSONAS CON DISCAPACIDAD",IF(P92=CURSOS!$D$34,"CUIDADO INTEGRAL DEL PACIENTE ADULTO",IF(P92=CURSOS!$D$35,"MANEJO DEFENSIVO",IF(P92=CURSOS!$D$36,"SOPORTE CARDIOVASCULAR AVANZADO NEONATAL",IF(P92=CURSOS!$D$37,"SEGURIDAD DEL PACIENTE",IF(P92=CURSOS!$D$38,"MANEJO DE RESIDUOS HOSPITALARIOS"))))))))))))))))))))))))))))))))))))</f>
        <v xml:space="preserve">HUMANIZACION EN EL SERVICIO DE LA SALUD Y BUENAS PRACTICAS EN PACIENTE </v>
      </c>
      <c r="W92" s="65" t="str">
        <f t="shared" si="9"/>
        <v>Nohora Carolina Salazar Ruales</v>
      </c>
      <c r="X92" s="65" t="str">
        <f t="shared" si="10"/>
        <v>Nohora Carolina Salazar Ruales</v>
      </c>
      <c r="Y92" s="65" t="str">
        <f t="shared" si="11"/>
        <v>Nohora Carolina Salazar Ruales-1088729829-HUMANIZACION</v>
      </c>
    </row>
    <row r="93" spans="1:25" s="82" customFormat="1" x14ac:dyDescent="0.2">
      <c r="A93" s="59">
        <v>92</v>
      </c>
      <c r="B93" s="60">
        <v>1089458772</v>
      </c>
      <c r="C93" s="60" t="s">
        <v>354</v>
      </c>
      <c r="D93" s="60" t="s">
        <v>355</v>
      </c>
      <c r="E93" s="60" t="s">
        <v>256</v>
      </c>
      <c r="F93" s="60" t="s">
        <v>356</v>
      </c>
      <c r="G93" s="60">
        <v>17</v>
      </c>
      <c r="H93" s="60" t="s">
        <v>103</v>
      </c>
      <c r="I93" s="61" t="s">
        <v>104</v>
      </c>
      <c r="J93" s="61" t="s">
        <v>463</v>
      </c>
      <c r="K93" s="62">
        <v>45733</v>
      </c>
      <c r="L93" s="63">
        <v>70000</v>
      </c>
      <c r="M93" s="60" t="s">
        <v>126</v>
      </c>
      <c r="N93" s="60" t="s">
        <v>105</v>
      </c>
      <c r="O93" s="81" t="s">
        <v>106</v>
      </c>
      <c r="P93" s="60" t="s">
        <v>19</v>
      </c>
      <c r="Q93" s="61">
        <v>32609</v>
      </c>
      <c r="R93" s="60" t="s">
        <v>107</v>
      </c>
      <c r="S93" s="60" t="s">
        <v>117</v>
      </c>
      <c r="T93" s="60">
        <v>3128350432</v>
      </c>
      <c r="U93" s="60" t="s">
        <v>357</v>
      </c>
      <c r="V93" s="65" t="str">
        <f>IF(P93=CURSOS!$D$3,"DIPLOMADO EN ATENCION PRE-HOSPITALARIA",IF(P93=CURSOS!$D$4,"ACOMPAÑAMIENTO Y MANEJO DEL DUELO",IF(P93=CURSOS!$D$5,"ATENCION A VICTIMAS DE ATAQUE CON AGENTES QUIMICOS ",IF(P93=CURSOS!$D$6,"PRIMEROS AUXILIOS ",IF(P93=CURSOS!$D$7,"DIPLOMADO DE UNIDAD DE CUIDADOS INTENSIVOS (UCI)",IF(P93=CURSOS!$D$8,"MODELO DE ATENCION PARA EVENTOS EMERGENTES EN SALUD MENTAL (CODIGO VERDE)",IF(P93=CURSOS!$D$9,"HUMANIZACION EN EL SERVICIO DE LA SALUD Y BUENAS PRACTICAS EN PACIENTE ",IF(P93=CURSOS!$D$10,"CLINICA DE HERIDAS ",IF(P93=CURSOS!$D$11,"TOMA DE CITOLOGIA CERVICO VAGINAL ",IF(P93=CURSOS!$D$12,"SOPORTE CARDIOVASCULAR AVANZADO (ACLS) ",IF(P93=CURSOS!$D$13,"CAMILLERO ",IF(P93=CURSOS!$D$14,"TOMA DE MUESTRAS Y LABORATORIO ",IF(P93=CURSOS!$D$15,"SOPORTE VITAL BASICO (BLS)",IF(P93=CURSOS!$D$16,"ATENCION A VICTIMAS DE VIOLENCIA SEXUAL ",IF(P93=CURSOS!$D$17,"PROGRAMADO AMPLIADO DE INMUNIZACION (PAI - COVID 19)",IF(P93=CURSOS!$D$18,"ATENCION INTEGRAL EN ENFERMEDADES PREVALENTES EN PRIMERA INFANCIA (AIEPI)",IF(P93=CURSOS!$D$19,"ADMINISTRACION DE MEDICAMENTOS, INYECTOLOGIA  Y CANALIZACION ",IF(P93=CURSOS!$D$20,"OPERADOR DE VEHICULOS DE EMERGENCIA (OVE)",IF(P93=CURSOS!$D$21,"INSTITUCIONES AMIGAS DE LA MUJER Y LA INFANCIA (IAMI)",IF(P93=CURSOS!$D$22,"CUIDADO DEL DONANTE DE ORGANOS",IF(P93=CURSOS!$D$23,"ATENCION A VICTIMAS POR VIOLENCIA DE GENERO",IF(P93=CURSOS!$D$24,"IGUALDAD DE GENERO EN LA SALUD",IF(P93=CURSOS!$D$25,"BRIGADA DE EMERGENCIA",IF(P93=CURSOS!$D$26,"MANEJO DEL DOLOR Y CUIDADOS PALIATIVOS",IF(P93=CURSOS!$D$27,"TOMA DE MUESTRAS Y LABORATORIO POCT",IF(P93=CURSOS!$D$28,"IMPLANTE SUBDERMICO DE DISPOSITIVO INTRAUTERINO",IF(P93=CURSOS!$D$29,"SALUD MENTAL",IF(P93=CURSOS!$D$30,"PRIMEROS AUXILIOS PSICOLOGICOS",IF(P93=CURSOS!$D$31,"ATENCION A VICTIMAS POR CONFLICTO ARMADO",IF(P93=CURSOS!$D$32,"MANIPULACION DE ALIMENTOS Y BPM",IF(P93=CURSOS!$D$33,"ATENCION A PERSONAS CON DISCAPACIDAD",IF(P93=CURSOS!$D$34,"CUIDADO INTEGRAL DEL PACIENTE ADULTO",IF(P93=CURSOS!$D$35,"MANEJO DEFENSIVO",IF(P93=CURSOS!$D$36,"SOPORTE CARDIOVASCULAR AVANZADO NEONATAL",IF(P93=CURSOS!$D$37,"SEGURIDAD DEL PACIENTE",IF(P93=CURSOS!$D$38,"MANEJO DE RESIDUOS HOSPITALARIOS"))))))))))))))))))))))))))))))))))))</f>
        <v>SOPORTE VITAL BASICO (BLS)</v>
      </c>
      <c r="W93" s="65" t="str">
        <f t="shared" si="9"/>
        <v>Angela Narciza Andrade Guerra</v>
      </c>
      <c r="X93" s="65" t="str">
        <f t="shared" si="10"/>
        <v>Angela Narciza Andrade Guerra</v>
      </c>
      <c r="Y93" s="65" t="str">
        <f t="shared" si="11"/>
        <v>Angela Narciza Andrade Guerra-1089458772-BLS</v>
      </c>
    </row>
    <row r="94" spans="1:25" s="82" customFormat="1" x14ac:dyDescent="0.2">
      <c r="A94" s="59">
        <v>93</v>
      </c>
      <c r="B94" s="60">
        <v>1089458772</v>
      </c>
      <c r="C94" s="60" t="s">
        <v>354</v>
      </c>
      <c r="D94" s="60" t="s">
        <v>355</v>
      </c>
      <c r="E94" s="60" t="s">
        <v>256</v>
      </c>
      <c r="F94" s="60" t="s">
        <v>356</v>
      </c>
      <c r="G94" s="60">
        <v>15</v>
      </c>
      <c r="H94" s="60" t="s">
        <v>103</v>
      </c>
      <c r="I94" s="61" t="s">
        <v>104</v>
      </c>
      <c r="J94" s="61" t="s">
        <v>463</v>
      </c>
      <c r="K94" s="62">
        <v>45733</v>
      </c>
      <c r="L94" s="63">
        <v>70000</v>
      </c>
      <c r="M94" s="60" t="s">
        <v>126</v>
      </c>
      <c r="N94" s="60" t="s">
        <v>105</v>
      </c>
      <c r="O94" s="60" t="s">
        <v>106</v>
      </c>
      <c r="P94" s="60" t="s">
        <v>42</v>
      </c>
      <c r="Q94" s="61">
        <v>32609</v>
      </c>
      <c r="R94" s="60" t="s">
        <v>107</v>
      </c>
      <c r="S94" s="60" t="s">
        <v>117</v>
      </c>
      <c r="T94" s="60">
        <v>3128350432</v>
      </c>
      <c r="U94" s="60" t="s">
        <v>357</v>
      </c>
      <c r="V94" s="65" t="str">
        <f>IF(P94=CURSOS!$D$3,"DIPLOMADO EN ATENCION PRE-HOSPITALARIA",IF(P94=CURSOS!$D$4,"ACOMPAÑAMIENTO Y MANEJO DEL DUELO",IF(P94=CURSOS!$D$5,"ATENCION A VICTIMAS DE ATAQUE CON AGENTES QUIMICOS ",IF(P94=CURSOS!$D$6,"PRIMEROS AUXILIOS ",IF(P94=CURSOS!$D$7,"DIPLOMADO DE UNIDAD DE CUIDADOS INTENSIVOS (UCI)",IF(P94=CURSOS!$D$8,"MODELO DE ATENCION PARA EVENTOS EMERGENTES EN SALUD MENTAL (CODIGO VERDE)",IF(P94=CURSOS!$D$9,"HUMANIZACION EN EL SERVICIO DE LA SALUD Y BUENAS PRACTICAS EN PACIENTE ",IF(P94=CURSOS!$D$10,"CLINICA DE HERIDAS ",IF(P94=CURSOS!$D$11,"TOMA DE CITOLOGIA CERVICO VAGINAL ",IF(P94=CURSOS!$D$12,"SOPORTE CARDIOVASCULAR AVANZADO (ACLS) ",IF(P94=CURSOS!$D$13,"CAMILLERO ",IF(P94=CURSOS!$D$14,"TOMA DE MUESTRAS Y LABORATORIO ",IF(P94=CURSOS!$D$15,"SOPORTE VITAL BASICO (BLS)",IF(P94=CURSOS!$D$16,"ATENCION A VICTIMAS DE VIOLENCIA SEXUAL ",IF(P94=CURSOS!$D$17,"PROGRAMADO AMPLIADO DE INMUNIZACION (PAI - COVID 19)",IF(P94=CURSOS!$D$18,"ATENCION INTEGRAL EN ENFERMEDADES PREVALENTES EN PRIMERA INFANCIA (AIEPI)",IF(P94=CURSOS!$D$19,"ADMINISTRACION DE MEDICAMENTOS, INYECTOLOGIA  Y CANALIZACION ",IF(P94=CURSOS!$D$20,"OPERADOR DE VEHICULOS DE EMERGENCIA (OVE)",IF(P94=CURSOS!$D$21,"INSTITUCIONES AMIGAS DE LA MUJER Y LA INFANCIA (IAMI)",IF(P94=CURSOS!$D$22,"CUIDADO DEL DONANTE DE ORGANOS",IF(P94=CURSOS!$D$23,"ATENCION A VICTIMAS POR VIOLENCIA DE GENERO",IF(P94=CURSOS!$D$24,"IGUALDAD DE GENERO EN LA SALUD",IF(P94=CURSOS!$D$25,"BRIGADA DE EMERGENCIA",IF(P94=CURSOS!$D$26,"MANEJO DEL DOLOR Y CUIDADOS PALIATIVOS",IF(P94=CURSOS!$D$27,"TOMA DE MUESTRAS Y LABORATORIO POCT",IF(P94=CURSOS!$D$28,"IMPLANTE SUBDERMICO DE DISPOSITIVO INTRAUTERINO",IF(P94=CURSOS!$D$29,"SALUD MENTAL",IF(P94=CURSOS!$D$30,"PRIMEROS AUXILIOS PSICOLOGICOS",IF(P94=CURSOS!$D$31,"ATENCION A VICTIMAS POR CONFLICTO ARMADO",IF(P94=CURSOS!$D$32,"MANIPULACION DE ALIMENTOS Y BPM",IF(P94=CURSOS!$D$33,"ATENCION A PERSONAS CON DISCAPACIDAD",IF(P94=CURSOS!$D$34,"CUIDADO INTEGRAL DEL PACIENTE ADULTO",IF(P94=CURSOS!$D$35,"MANEJO DEFENSIVO",IF(P94=CURSOS!$D$36,"SOPORTE CARDIOVASCULAR AVANZADO NEONATAL",IF(P94=CURSOS!$D$37,"SEGURIDAD DEL PACIENTE",IF(P94=CURSOS!$D$38,"MANEJO DE RESIDUOS HOSPITALARIOS"))))))))))))))))))))))))))))))))))))</f>
        <v xml:space="preserve">ATENCION A VICTIMAS DE VIOLENCIA SEXUAL </v>
      </c>
      <c r="W94" s="65" t="str">
        <f t="shared" si="9"/>
        <v>Angela Narciza Andrade Guerra</v>
      </c>
      <c r="X94" s="65" t="str">
        <f t="shared" si="10"/>
        <v>Angela Narciza Andrade Guerra</v>
      </c>
      <c r="Y94" s="65" t="str">
        <f t="shared" si="11"/>
        <v>Angela Narciza Andrade Guerra-1089458772-VIOLENCIA SEXUAL</v>
      </c>
    </row>
    <row r="95" spans="1:25" s="82" customFormat="1" x14ac:dyDescent="0.2">
      <c r="A95" s="59">
        <v>94</v>
      </c>
      <c r="B95" s="60">
        <v>1004192571</v>
      </c>
      <c r="C95" s="60" t="s">
        <v>150</v>
      </c>
      <c r="D95" s="60" t="s">
        <v>194</v>
      </c>
      <c r="E95" s="60" t="s">
        <v>358</v>
      </c>
      <c r="F95" s="60" t="s">
        <v>359</v>
      </c>
      <c r="G95" s="60">
        <v>17</v>
      </c>
      <c r="H95" s="60" t="s">
        <v>103</v>
      </c>
      <c r="I95" s="61" t="s">
        <v>123</v>
      </c>
      <c r="J95" s="61" t="s">
        <v>179</v>
      </c>
      <c r="K95" s="62">
        <v>45733</v>
      </c>
      <c r="L95" s="63">
        <v>40000</v>
      </c>
      <c r="M95" s="60" t="s">
        <v>156</v>
      </c>
      <c r="N95" s="60" t="s">
        <v>105</v>
      </c>
      <c r="O95" s="60" t="s">
        <v>106</v>
      </c>
      <c r="P95" s="60" t="s">
        <v>32</v>
      </c>
      <c r="Q95" s="61">
        <v>37708</v>
      </c>
      <c r="R95" s="60" t="s">
        <v>139</v>
      </c>
      <c r="S95" s="75" t="s">
        <v>117</v>
      </c>
      <c r="T95" s="60">
        <v>3113791278</v>
      </c>
      <c r="U95" s="60" t="s">
        <v>360</v>
      </c>
      <c r="V95" s="65" t="str">
        <f>IF(P95=CURSOS!$D$3,"DIPLOMADO EN ATENCION PRE-HOSPITALARIA",IF(P95=CURSOS!$D$4,"ACOMPAÑAMIENTO Y MANEJO DEL DUELO",IF(P95=CURSOS!$D$5,"ATENCION A VICTIMAS DE ATAQUE CON AGENTES QUIMICOS ",IF(P95=CURSOS!$D$6,"PRIMEROS AUXILIOS ",IF(P95=CURSOS!$D$7,"DIPLOMADO DE UNIDAD DE CUIDADOS INTENSIVOS (UCI)",IF(P95=CURSOS!$D$8,"MODELO DE ATENCION PARA EVENTOS EMERGENTES EN SALUD MENTAL (CODIGO VERDE)",IF(P95=CURSOS!$D$9,"HUMANIZACION EN EL SERVICIO DE LA SALUD Y BUENAS PRACTICAS EN PACIENTE ",IF(P95=CURSOS!$D$10,"CLINICA DE HERIDAS ",IF(P95=CURSOS!$D$11,"TOMA DE CITOLOGIA CERVICO VAGINAL ",IF(P95=CURSOS!$D$12,"SOPORTE CARDIOVASCULAR AVANZADO (ACLS) ",IF(P95=CURSOS!$D$13,"CAMILLERO ",IF(P95=CURSOS!$D$14,"TOMA DE MUESTRAS Y LABORATORIO ",IF(P95=CURSOS!$D$15,"SOPORTE VITAL BASICO (BLS)",IF(P95=CURSOS!$D$16,"ATENCION A VICTIMAS DE VIOLENCIA SEXUAL ",IF(P95=CURSOS!$D$17,"PROGRAMADO AMPLIADO DE INMUNIZACION (PAI - COVID 19)",IF(P95=CURSOS!$D$18,"ATENCION INTEGRAL EN ENFERMEDADES PREVALENTES EN PRIMERA INFANCIA (AIEPI)",IF(P95=CURSOS!$D$19,"ADMINISTRACION DE MEDICAMENTOS, INYECTOLOGIA  Y CANALIZACION ",IF(P95=CURSOS!$D$20,"OPERADOR DE VEHICULOS DE EMERGENCIA (OVE)",IF(P95=CURSOS!$D$21,"INSTITUCIONES AMIGAS DE LA MUJER Y LA INFANCIA (IAMI)",IF(P95=CURSOS!$D$22,"CUIDADO DEL DONANTE DE ORGANOS",IF(P95=CURSOS!$D$23,"ATENCION A VICTIMAS POR VIOLENCIA DE GENERO",IF(P95=CURSOS!$D$24,"IGUALDAD DE GENERO EN LA SALUD",IF(P95=CURSOS!$D$25,"BRIGADA DE EMERGENCIA",IF(P95=CURSOS!$D$26,"MANEJO DEL DOLOR Y CUIDADOS PALIATIVOS",IF(P95=CURSOS!$D$27,"TOMA DE MUESTRAS Y LABORATORIO POCT",IF(P95=CURSOS!$D$28,"IMPLANTE SUBDERMICO DE DISPOSITIVO INTRAUTERINO",IF(P95=CURSOS!$D$29,"SALUD MENTAL",IF(P95=CURSOS!$D$30,"PRIMEROS AUXILIOS PSICOLOGICOS",IF(P95=CURSOS!$D$31,"ATENCION A VICTIMAS POR CONFLICTO ARMADO",IF(P95=CURSOS!$D$32,"MANIPULACION DE ALIMENTOS Y BPM",IF(P95=CURSOS!$D$33,"ATENCION A PERSONAS CON DISCAPACIDAD",IF(P95=CURSOS!$D$34,"CUIDADO INTEGRAL DEL PACIENTE ADULTO",IF(P95=CURSOS!$D$35,"MANEJO DEFENSIVO",IF(P95=CURSOS!$D$36,"SOPORTE CARDIOVASCULAR AVANZADO NEONATAL",IF(P95=CURSOS!$D$37,"SEGURIDAD DEL PACIENTE",IF(P95=CURSOS!$D$38,"MANEJO DE RESIDUOS HOSPITALARIOS"))))))))))))))))))))))))))))))))))))</f>
        <v xml:space="preserve">HUMANIZACION EN EL SERVICIO DE LA SALUD Y BUENAS PRACTICAS EN PACIENTE </v>
      </c>
      <c r="W95" s="65" t="str">
        <f t="shared" si="9"/>
        <v>Danilo Yecid Rosero Eraso</v>
      </c>
      <c r="X95" s="65" t="str">
        <f t="shared" si="10"/>
        <v>Danilo Yecid Rosero Eraso</v>
      </c>
      <c r="Y95" s="65" t="str">
        <f t="shared" si="11"/>
        <v>Danilo Yecid Rosero Eraso-1004192571-HUMANIZACION</v>
      </c>
    </row>
    <row r="96" spans="1:25" s="82" customFormat="1" x14ac:dyDescent="0.2">
      <c r="A96" s="59">
        <v>95</v>
      </c>
      <c r="B96" s="60">
        <v>1085301199</v>
      </c>
      <c r="C96" s="60" t="s">
        <v>361</v>
      </c>
      <c r="D96" s="60" t="s">
        <v>127</v>
      </c>
      <c r="E96" s="60" t="s">
        <v>362</v>
      </c>
      <c r="F96" s="60" t="s">
        <v>363</v>
      </c>
      <c r="G96" s="60">
        <v>18</v>
      </c>
      <c r="H96" s="60" t="s">
        <v>103</v>
      </c>
      <c r="I96" s="61" t="s">
        <v>123</v>
      </c>
      <c r="J96" s="61" t="s">
        <v>371</v>
      </c>
      <c r="K96" s="62">
        <v>45734</v>
      </c>
      <c r="L96" s="63">
        <v>32000</v>
      </c>
      <c r="M96" s="60" t="s">
        <v>156</v>
      </c>
      <c r="N96" s="60" t="s">
        <v>105</v>
      </c>
      <c r="O96" s="60" t="s">
        <v>106</v>
      </c>
      <c r="P96" s="60" t="s">
        <v>42</v>
      </c>
      <c r="Q96" s="61">
        <v>33896</v>
      </c>
      <c r="R96" s="60" t="s">
        <v>107</v>
      </c>
      <c r="S96" s="75" t="s">
        <v>117</v>
      </c>
      <c r="T96" s="60">
        <v>3124801291</v>
      </c>
      <c r="U96" s="64" t="s">
        <v>364</v>
      </c>
      <c r="V96" s="65" t="str">
        <f>IF(P96=CURSOS!$D$3,"DIPLOMADO EN ATENCION PRE-HOSPITALARIA",IF(P96=CURSOS!$D$4,"ACOMPAÑAMIENTO Y MANEJO DEL DUELO",IF(P96=CURSOS!$D$5,"ATENCION A VICTIMAS DE ATAQUE CON AGENTES QUIMICOS ",IF(P96=CURSOS!$D$6,"PRIMEROS AUXILIOS ",IF(P96=CURSOS!$D$7,"DIPLOMADO DE UNIDAD DE CUIDADOS INTENSIVOS (UCI)",IF(P96=CURSOS!$D$8,"MODELO DE ATENCION PARA EVENTOS EMERGENTES EN SALUD MENTAL (CODIGO VERDE)",IF(P96=CURSOS!$D$9,"HUMANIZACION EN EL SERVICIO DE LA SALUD Y BUENAS PRACTICAS EN PACIENTE ",IF(P96=CURSOS!$D$10,"CLINICA DE HERIDAS ",IF(P96=CURSOS!$D$11,"TOMA DE CITOLOGIA CERVICO VAGINAL ",IF(P96=CURSOS!$D$12,"SOPORTE CARDIOVASCULAR AVANZADO (ACLS) ",IF(P96=CURSOS!$D$13,"CAMILLERO ",IF(P96=CURSOS!$D$14,"TOMA DE MUESTRAS Y LABORATORIO ",IF(P96=CURSOS!$D$15,"SOPORTE VITAL BASICO (BLS)",IF(P96=CURSOS!$D$16,"ATENCION A VICTIMAS DE VIOLENCIA SEXUAL ",IF(P96=CURSOS!$D$17,"PROGRAMADO AMPLIADO DE INMUNIZACION (PAI - COVID 19)",IF(P96=CURSOS!$D$18,"ATENCION INTEGRAL EN ENFERMEDADES PREVALENTES EN PRIMERA INFANCIA (AIEPI)",IF(P96=CURSOS!$D$19,"ADMINISTRACION DE MEDICAMENTOS, INYECTOLOGIA  Y CANALIZACION ",IF(P96=CURSOS!$D$20,"OPERADOR DE VEHICULOS DE EMERGENCIA (OVE)",IF(P96=CURSOS!$D$21,"INSTITUCIONES AMIGAS DE LA MUJER Y LA INFANCIA (IAMI)",IF(P96=CURSOS!$D$22,"CUIDADO DEL DONANTE DE ORGANOS",IF(P96=CURSOS!$D$23,"ATENCION A VICTIMAS POR VIOLENCIA DE GENERO",IF(P96=CURSOS!$D$24,"IGUALDAD DE GENERO EN LA SALUD",IF(P96=CURSOS!$D$25,"BRIGADA DE EMERGENCIA",IF(P96=CURSOS!$D$26,"MANEJO DEL DOLOR Y CUIDADOS PALIATIVOS",IF(P96=CURSOS!$D$27,"TOMA DE MUESTRAS Y LABORATORIO POCT",IF(P96=CURSOS!$D$28,"IMPLANTE SUBDERMICO DE DISPOSITIVO INTRAUTERINO",IF(P96=CURSOS!$D$29,"SALUD MENTAL",IF(P96=CURSOS!$D$30,"PRIMEROS AUXILIOS PSICOLOGICOS",IF(P96=CURSOS!$D$31,"ATENCION A VICTIMAS POR CONFLICTO ARMADO",IF(P96=CURSOS!$D$32,"MANIPULACION DE ALIMENTOS Y BPM",IF(P96=CURSOS!$D$33,"ATENCION A PERSONAS CON DISCAPACIDAD",IF(P96=CURSOS!$D$34,"CUIDADO INTEGRAL DEL PACIENTE ADULTO",IF(P96=CURSOS!$D$35,"MANEJO DEFENSIVO",IF(P96=CURSOS!$D$36,"SOPORTE CARDIOVASCULAR AVANZADO NEONATAL",IF(P96=CURSOS!$D$37,"SEGURIDAD DEL PACIENTE",IF(P96=CURSOS!$D$38,"MANEJO DE RESIDUOS HOSPITALARIOS"))))))))))))))))))))))))))))))))))))</f>
        <v xml:space="preserve">ATENCION A VICTIMAS DE VIOLENCIA SEXUAL </v>
      </c>
      <c r="W96" s="65" t="str">
        <f t="shared" si="9"/>
        <v>Diana Balvina Ayala Delgado</v>
      </c>
      <c r="X96" s="65" t="str">
        <f t="shared" si="10"/>
        <v>Diana Balvina Ayala Delgado</v>
      </c>
      <c r="Y96" s="65" t="str">
        <f t="shared" si="11"/>
        <v>Diana Balvina Ayala Delgado-1085301199-VIOLENCIA SEXUAL</v>
      </c>
    </row>
    <row r="97" spans="1:25" s="82" customFormat="1" x14ac:dyDescent="0.2">
      <c r="A97" s="59">
        <v>96</v>
      </c>
      <c r="B97" s="60">
        <v>1085939038</v>
      </c>
      <c r="C97" s="60" t="s">
        <v>224</v>
      </c>
      <c r="D97" s="60" t="s">
        <v>365</v>
      </c>
      <c r="E97" s="60" t="s">
        <v>121</v>
      </c>
      <c r="F97" s="60" t="s">
        <v>230</v>
      </c>
      <c r="G97" s="60">
        <v>18</v>
      </c>
      <c r="H97" s="60" t="s">
        <v>103</v>
      </c>
      <c r="I97" s="61" t="s">
        <v>123</v>
      </c>
      <c r="J97" s="61" t="s">
        <v>179</v>
      </c>
      <c r="K97" s="62">
        <v>45734</v>
      </c>
      <c r="L97" s="63">
        <v>40000</v>
      </c>
      <c r="M97" s="60" t="s">
        <v>156</v>
      </c>
      <c r="N97" s="60" t="s">
        <v>105</v>
      </c>
      <c r="O97" s="81" t="s">
        <v>106</v>
      </c>
      <c r="P97" s="60" t="s">
        <v>19</v>
      </c>
      <c r="Q97" s="61">
        <v>34851</v>
      </c>
      <c r="R97" s="60" t="s">
        <v>107</v>
      </c>
      <c r="S97" s="60" t="s">
        <v>117</v>
      </c>
      <c r="T97" s="60">
        <v>3155952871</v>
      </c>
      <c r="U97" s="60" t="s">
        <v>366</v>
      </c>
      <c r="V97" s="65" t="str">
        <f>IF(P97=CURSOS!$D$3,"DIPLOMADO EN ATENCION PRE-HOSPITALARIA",IF(P97=CURSOS!$D$4,"ACOMPAÑAMIENTO Y MANEJO DEL DUELO",IF(P97=CURSOS!$D$5,"ATENCION A VICTIMAS DE ATAQUE CON AGENTES QUIMICOS ",IF(P97=CURSOS!$D$6,"PRIMEROS AUXILIOS ",IF(P97=CURSOS!$D$7,"DIPLOMADO DE UNIDAD DE CUIDADOS INTENSIVOS (UCI)",IF(P97=CURSOS!$D$8,"MODELO DE ATENCION PARA EVENTOS EMERGENTES EN SALUD MENTAL (CODIGO VERDE)",IF(P97=CURSOS!$D$9,"HUMANIZACION EN EL SERVICIO DE LA SALUD Y BUENAS PRACTICAS EN PACIENTE ",IF(P97=CURSOS!$D$10,"CLINICA DE HERIDAS ",IF(P97=CURSOS!$D$11,"TOMA DE CITOLOGIA CERVICO VAGINAL ",IF(P97=CURSOS!$D$12,"SOPORTE CARDIOVASCULAR AVANZADO (ACLS) ",IF(P97=CURSOS!$D$13,"CAMILLERO ",IF(P97=CURSOS!$D$14,"TOMA DE MUESTRAS Y LABORATORIO ",IF(P97=CURSOS!$D$15,"SOPORTE VITAL BASICO (BLS)",IF(P97=CURSOS!$D$16,"ATENCION A VICTIMAS DE VIOLENCIA SEXUAL ",IF(P97=CURSOS!$D$17,"PROGRAMADO AMPLIADO DE INMUNIZACION (PAI - COVID 19)",IF(P97=CURSOS!$D$18,"ATENCION INTEGRAL EN ENFERMEDADES PREVALENTES EN PRIMERA INFANCIA (AIEPI)",IF(P97=CURSOS!$D$19,"ADMINISTRACION DE MEDICAMENTOS, INYECTOLOGIA  Y CANALIZACION ",IF(P97=CURSOS!$D$20,"OPERADOR DE VEHICULOS DE EMERGENCIA (OVE)",IF(P97=CURSOS!$D$21,"INSTITUCIONES AMIGAS DE LA MUJER Y LA INFANCIA (IAMI)",IF(P97=CURSOS!$D$22,"CUIDADO DEL DONANTE DE ORGANOS",IF(P97=CURSOS!$D$23,"ATENCION A VICTIMAS POR VIOLENCIA DE GENERO",IF(P97=CURSOS!$D$24,"IGUALDAD DE GENERO EN LA SALUD",IF(P97=CURSOS!$D$25,"BRIGADA DE EMERGENCIA",IF(P97=CURSOS!$D$26,"MANEJO DEL DOLOR Y CUIDADOS PALIATIVOS",IF(P97=CURSOS!$D$27,"TOMA DE MUESTRAS Y LABORATORIO POCT",IF(P97=CURSOS!$D$28,"IMPLANTE SUBDERMICO DE DISPOSITIVO INTRAUTERINO",IF(P97=CURSOS!$D$29,"SALUD MENTAL",IF(P97=CURSOS!$D$30,"PRIMEROS AUXILIOS PSICOLOGICOS",IF(P97=CURSOS!$D$31,"ATENCION A VICTIMAS POR CONFLICTO ARMADO",IF(P97=CURSOS!$D$32,"MANIPULACION DE ALIMENTOS Y BPM",IF(P97=CURSOS!$D$33,"ATENCION A PERSONAS CON DISCAPACIDAD",IF(P97=CURSOS!$D$34,"CUIDADO INTEGRAL DEL PACIENTE ADULTO",IF(P97=CURSOS!$D$35,"MANEJO DEFENSIVO",IF(P97=CURSOS!$D$36,"SOPORTE CARDIOVASCULAR AVANZADO NEONATAL",IF(P97=CURSOS!$D$37,"SEGURIDAD DEL PACIENTE",IF(P97=CURSOS!$D$38,"MANEJO DE RESIDUOS HOSPITALARIOS"))))))))))))))))))))))))))))))))))))</f>
        <v>SOPORTE VITAL BASICO (BLS)</v>
      </c>
      <c r="W97" s="65" t="str">
        <f t="shared" si="9"/>
        <v>Maria Alejandra Diaz Cuaspud</v>
      </c>
      <c r="X97" s="65" t="str">
        <f t="shared" si="10"/>
        <v>Maria Alejandra Diaz Cuaspud</v>
      </c>
      <c r="Y97" s="65" t="str">
        <f t="shared" si="11"/>
        <v>Maria Alejandra Diaz Cuaspud-1085939038-BLS</v>
      </c>
    </row>
    <row r="98" spans="1:25" s="82" customFormat="1" x14ac:dyDescent="0.2">
      <c r="A98" s="59">
        <v>97</v>
      </c>
      <c r="B98" s="60">
        <v>1126567107</v>
      </c>
      <c r="C98" s="60" t="s">
        <v>367</v>
      </c>
      <c r="D98" s="60" t="s">
        <v>368</v>
      </c>
      <c r="E98" s="60" t="s">
        <v>369</v>
      </c>
      <c r="F98" s="60" t="s">
        <v>257</v>
      </c>
      <c r="G98" s="60">
        <v>18</v>
      </c>
      <c r="H98" s="60" t="s">
        <v>103</v>
      </c>
      <c r="I98" s="61" t="s">
        <v>123</v>
      </c>
      <c r="J98" s="61" t="s">
        <v>371</v>
      </c>
      <c r="K98" s="62">
        <v>45734</v>
      </c>
      <c r="L98" s="63">
        <v>40000</v>
      </c>
      <c r="M98" s="60" t="s">
        <v>156</v>
      </c>
      <c r="N98" s="60" t="s">
        <v>105</v>
      </c>
      <c r="O98" s="60" t="s">
        <v>106</v>
      </c>
      <c r="P98" s="60" t="s">
        <v>44</v>
      </c>
      <c r="Q98" s="61">
        <v>35191</v>
      </c>
      <c r="R98" s="60" t="s">
        <v>107</v>
      </c>
      <c r="S98" s="64" t="s">
        <v>131</v>
      </c>
      <c r="T98" s="64">
        <v>3245636224</v>
      </c>
      <c r="U98" s="60" t="s">
        <v>370</v>
      </c>
      <c r="V98" s="65" t="str">
        <f>IF(P98=CURSOS!$D$3,"DIPLOMADO EN ATENCION PRE-HOSPITALARIA",IF(P98=CURSOS!$D$4,"ACOMPAÑAMIENTO Y MANEJO DEL DUELO",IF(P98=CURSOS!$D$5,"ATENCION A VICTIMAS DE ATAQUE CON AGENTES QUIMICOS ",IF(P98=CURSOS!$D$6,"PRIMEROS AUXILIOS ",IF(P98=CURSOS!$D$7,"DIPLOMADO DE UNIDAD DE CUIDADOS INTENSIVOS (UCI)",IF(P98=CURSOS!$D$8,"MODELO DE ATENCION PARA EVENTOS EMERGENTES EN SALUD MENTAL (CODIGO VERDE)",IF(P98=CURSOS!$D$9,"HUMANIZACION EN EL SERVICIO DE LA SALUD Y BUENAS PRACTICAS EN PACIENTE ",IF(P98=CURSOS!$D$10,"CLINICA DE HERIDAS ",IF(P98=CURSOS!$D$11,"TOMA DE CITOLOGIA CERVICO VAGINAL ",IF(P98=CURSOS!$D$12,"SOPORTE CARDIOVASCULAR AVANZADO (ACLS) ",IF(P98=CURSOS!$D$13,"CAMILLERO ",IF(P98=CURSOS!$D$14,"TOMA DE MUESTRAS Y LABORATORIO ",IF(P98=CURSOS!$D$15,"SOPORTE VITAL BASICO (BLS)",IF(P98=CURSOS!$D$16,"ATENCION A VICTIMAS DE VIOLENCIA SEXUAL ",IF(P98=CURSOS!$D$17,"PROGRAMADO AMPLIADO DE INMUNIZACION (PAI - COVID 19)",IF(P98=CURSOS!$D$18,"ATENCION INTEGRAL EN ENFERMEDADES PREVALENTES EN PRIMERA INFANCIA (AIEPI)",IF(P98=CURSOS!$D$19,"ADMINISTRACION DE MEDICAMENTOS, INYECTOLOGIA  Y CANALIZACION ",IF(P98=CURSOS!$D$20,"OPERADOR DE VEHICULOS DE EMERGENCIA (OVE)",IF(P98=CURSOS!$D$21,"INSTITUCIONES AMIGAS DE LA MUJER Y LA INFANCIA (IAMI)",IF(P98=CURSOS!$D$22,"CUIDADO DEL DONANTE DE ORGANOS",IF(P98=CURSOS!$D$23,"ATENCION A VICTIMAS POR VIOLENCIA DE GENERO",IF(P98=CURSOS!$D$24,"IGUALDAD DE GENERO EN LA SALUD",IF(P98=CURSOS!$D$25,"BRIGADA DE EMERGENCIA",IF(P98=CURSOS!$D$26,"MANEJO DEL DOLOR Y CUIDADOS PALIATIVOS",IF(P98=CURSOS!$D$27,"TOMA DE MUESTRAS Y LABORATORIO POCT",IF(P98=CURSOS!$D$28,"IMPLANTE SUBDERMICO DE DISPOSITIVO INTRAUTERINO",IF(P98=CURSOS!$D$29,"SALUD MENTAL",IF(P98=CURSOS!$D$30,"PRIMEROS AUXILIOS PSICOLOGICOS",IF(P98=CURSOS!$D$31,"ATENCION A VICTIMAS POR CONFLICTO ARMADO",IF(P98=CURSOS!$D$32,"MANIPULACION DE ALIMENTOS Y BPM",IF(P98=CURSOS!$D$33,"ATENCION A PERSONAS CON DISCAPACIDAD",IF(P98=CURSOS!$D$34,"CUIDADO INTEGRAL DEL PACIENTE ADULTO",IF(P98=CURSOS!$D$35,"MANEJO DEFENSIVO",IF(P98=CURSOS!$D$36,"SOPORTE CARDIOVASCULAR AVANZADO NEONATAL",IF(P98=CURSOS!$D$37,"SEGURIDAD DEL PACIENTE",IF(P98=CURSOS!$D$38,"MANEJO DE RESIDUOS HOSPITALARIOS"))))))))))))))))))))))))))))))))))))</f>
        <v>ATENCION INTEGRAL EN ENFERMEDADES PREVALENTES EN PRIMERA INFANCIA (AIEPI)</v>
      </c>
      <c r="W98" s="65" t="str">
        <f t="shared" si="9"/>
        <v>Tania Carolina Bastidas Santacruz</v>
      </c>
      <c r="X98" s="65" t="str">
        <f t="shared" si="10"/>
        <v>Tania Carolina Bastidas Santacruz</v>
      </c>
      <c r="Y98" s="65" t="str">
        <f t="shared" si="11"/>
        <v>Tania Carolina Bastidas Santacruz-1126567107-AIEPI</v>
      </c>
    </row>
    <row r="99" spans="1:25" s="82" customFormat="1" x14ac:dyDescent="0.2">
      <c r="A99" s="59">
        <v>98</v>
      </c>
      <c r="B99" s="60">
        <v>1193483187</v>
      </c>
      <c r="C99" s="60" t="s">
        <v>367</v>
      </c>
      <c r="D99" s="60" t="s">
        <v>244</v>
      </c>
      <c r="E99" s="60" t="s">
        <v>372</v>
      </c>
      <c r="F99" s="60" t="s">
        <v>373</v>
      </c>
      <c r="G99" s="60">
        <v>18</v>
      </c>
      <c r="H99" s="60" t="s">
        <v>103</v>
      </c>
      <c r="I99" s="61" t="s">
        <v>104</v>
      </c>
      <c r="J99" s="61"/>
      <c r="K99" s="62">
        <v>45734</v>
      </c>
      <c r="L99" s="63">
        <v>64000</v>
      </c>
      <c r="M99" s="60" t="s">
        <v>156</v>
      </c>
      <c r="N99" s="60" t="s">
        <v>105</v>
      </c>
      <c r="O99" s="81" t="s">
        <v>106</v>
      </c>
      <c r="P99" s="60" t="s">
        <v>42</v>
      </c>
      <c r="Q99" s="61">
        <v>37103</v>
      </c>
      <c r="R99" s="60" t="s">
        <v>107</v>
      </c>
      <c r="S99" s="64" t="s">
        <v>374</v>
      </c>
      <c r="T99" s="60">
        <v>3172373857</v>
      </c>
      <c r="U99" s="60" t="s">
        <v>375</v>
      </c>
      <c r="V99" s="65" t="str">
        <f>IF(P99=CURSOS!$D$3,"DIPLOMADO EN ATENCION PRE-HOSPITALARIA",IF(P99=CURSOS!$D$4,"ACOMPAÑAMIENTO Y MANEJO DEL DUELO",IF(P99=CURSOS!$D$5,"ATENCION A VICTIMAS DE ATAQUE CON AGENTES QUIMICOS ",IF(P99=CURSOS!$D$6,"PRIMEROS AUXILIOS ",IF(P99=CURSOS!$D$7,"DIPLOMADO DE UNIDAD DE CUIDADOS INTENSIVOS (UCI)",IF(P99=CURSOS!$D$8,"MODELO DE ATENCION PARA EVENTOS EMERGENTES EN SALUD MENTAL (CODIGO VERDE)",IF(P99=CURSOS!$D$9,"HUMANIZACION EN EL SERVICIO DE LA SALUD Y BUENAS PRACTICAS EN PACIENTE ",IF(P99=CURSOS!$D$10,"CLINICA DE HERIDAS ",IF(P99=CURSOS!$D$11,"TOMA DE CITOLOGIA CERVICO VAGINAL ",IF(P99=CURSOS!$D$12,"SOPORTE CARDIOVASCULAR AVANZADO (ACLS) ",IF(P99=CURSOS!$D$13,"CAMILLERO ",IF(P99=CURSOS!$D$14,"TOMA DE MUESTRAS Y LABORATORIO ",IF(P99=CURSOS!$D$15,"SOPORTE VITAL BASICO (BLS)",IF(P99=CURSOS!$D$16,"ATENCION A VICTIMAS DE VIOLENCIA SEXUAL ",IF(P99=CURSOS!$D$17,"PROGRAMADO AMPLIADO DE INMUNIZACION (PAI - COVID 19)",IF(P99=CURSOS!$D$18,"ATENCION INTEGRAL EN ENFERMEDADES PREVALENTES EN PRIMERA INFANCIA (AIEPI)",IF(P99=CURSOS!$D$19,"ADMINISTRACION DE MEDICAMENTOS, INYECTOLOGIA  Y CANALIZACION ",IF(P99=CURSOS!$D$20,"OPERADOR DE VEHICULOS DE EMERGENCIA (OVE)",IF(P99=CURSOS!$D$21,"INSTITUCIONES AMIGAS DE LA MUJER Y LA INFANCIA (IAMI)",IF(P99=CURSOS!$D$22,"CUIDADO DEL DONANTE DE ORGANOS",IF(P99=CURSOS!$D$23,"ATENCION A VICTIMAS POR VIOLENCIA DE GENERO",IF(P99=CURSOS!$D$24,"IGUALDAD DE GENERO EN LA SALUD",IF(P99=CURSOS!$D$25,"BRIGADA DE EMERGENCIA",IF(P99=CURSOS!$D$26,"MANEJO DEL DOLOR Y CUIDADOS PALIATIVOS",IF(P99=CURSOS!$D$27,"TOMA DE MUESTRAS Y LABORATORIO POCT",IF(P99=CURSOS!$D$28,"IMPLANTE SUBDERMICO DE DISPOSITIVO INTRAUTERINO",IF(P99=CURSOS!$D$29,"SALUD MENTAL",IF(P99=CURSOS!$D$30,"PRIMEROS AUXILIOS PSICOLOGICOS",IF(P99=CURSOS!$D$31,"ATENCION A VICTIMAS POR CONFLICTO ARMADO",IF(P99=CURSOS!$D$32,"MANIPULACION DE ALIMENTOS Y BPM",IF(P99=CURSOS!$D$33,"ATENCION A PERSONAS CON DISCAPACIDAD",IF(P99=CURSOS!$D$34,"CUIDADO INTEGRAL DEL PACIENTE ADULTO",IF(P99=CURSOS!$D$35,"MANEJO DEFENSIVO",IF(P99=CURSOS!$D$36,"SOPORTE CARDIOVASCULAR AVANZADO NEONATAL",IF(P99=CURSOS!$D$37,"SEGURIDAD DEL PACIENTE",IF(P99=CURSOS!$D$38,"MANEJO DE RESIDUOS HOSPITALARIOS"))))))))))))))))))))))))))))))))))))</f>
        <v xml:space="preserve">ATENCION A VICTIMAS DE VIOLENCIA SEXUAL </v>
      </c>
      <c r="W99" s="65" t="str">
        <f t="shared" si="9"/>
        <v>Lizbeth Nayibe Bastidas Zambrano</v>
      </c>
      <c r="X99" s="65" t="str">
        <f t="shared" si="10"/>
        <v>Lizbeth Nayibe Bastidas Zambrano</v>
      </c>
      <c r="Y99" s="65" t="str">
        <f t="shared" si="11"/>
        <v>Lizbeth Nayibe Bastidas Zambrano-1193483187-VIOLENCIA SEXUAL</v>
      </c>
    </row>
    <row r="100" spans="1:25" s="82" customFormat="1" x14ac:dyDescent="0.2">
      <c r="A100" s="59">
        <v>99</v>
      </c>
      <c r="B100" s="60">
        <v>12919771</v>
      </c>
      <c r="C100" s="60" t="s">
        <v>376</v>
      </c>
      <c r="D100" s="60" t="s">
        <v>377</v>
      </c>
      <c r="E100" s="60" t="s">
        <v>378</v>
      </c>
      <c r="F100" s="60" t="s">
        <v>379</v>
      </c>
      <c r="G100" s="60">
        <v>18</v>
      </c>
      <c r="H100" s="60" t="s">
        <v>103</v>
      </c>
      <c r="I100" s="61" t="s">
        <v>123</v>
      </c>
      <c r="J100" s="61"/>
      <c r="K100" s="62">
        <v>45734</v>
      </c>
      <c r="L100" s="63">
        <v>130000</v>
      </c>
      <c r="M100" s="60" t="s">
        <v>156</v>
      </c>
      <c r="N100" s="60" t="s">
        <v>105</v>
      </c>
      <c r="O100" s="81" t="s">
        <v>106</v>
      </c>
      <c r="P100" s="81" t="s">
        <v>37</v>
      </c>
      <c r="Q100" s="61">
        <v>26254</v>
      </c>
      <c r="R100" s="60" t="s">
        <v>139</v>
      </c>
      <c r="S100" s="64" t="s">
        <v>131</v>
      </c>
      <c r="T100" s="60">
        <v>3116192044</v>
      </c>
      <c r="U100" s="60" t="s">
        <v>380</v>
      </c>
      <c r="V100" s="65" t="str">
        <f>IF(P100=CURSOS!$D$3,"DIPLOMADO EN ATENCION PRE-HOSPITALARIA",IF(P100=CURSOS!$D$4,"ACOMPAÑAMIENTO Y MANEJO DEL DUELO",IF(P100=CURSOS!$D$5,"ATENCION A VICTIMAS DE ATAQUE CON AGENTES QUIMICOS ",IF(P100=CURSOS!$D$6,"PRIMEROS AUXILIOS ",IF(P100=CURSOS!$D$7,"DIPLOMADO DE UNIDAD DE CUIDADOS INTENSIVOS (UCI)",IF(P100=CURSOS!$D$8,"MODELO DE ATENCION PARA EVENTOS EMERGENTES EN SALUD MENTAL (CODIGO VERDE)",IF(P100=CURSOS!$D$9,"HUMANIZACION EN EL SERVICIO DE LA SALUD Y BUENAS PRACTICAS EN PACIENTE ",IF(P100=CURSOS!$D$10,"CLINICA DE HERIDAS ",IF(P100=CURSOS!$D$11,"TOMA DE CITOLOGIA CERVICO VAGINAL ",IF(P100=CURSOS!$D$12,"SOPORTE CARDIOVASCULAR AVANZADO (ACLS) ",IF(P100=CURSOS!$D$13,"CAMILLERO ",IF(P100=CURSOS!$D$14,"TOMA DE MUESTRAS Y LABORATORIO ",IF(P100=CURSOS!$D$15,"SOPORTE VITAL BASICO (BLS)",IF(P100=CURSOS!$D$16,"ATENCION A VICTIMAS DE VIOLENCIA SEXUAL ",IF(P100=CURSOS!$D$17,"PROGRAMADO AMPLIADO DE INMUNIZACION (PAI - COVID 19)",IF(P100=CURSOS!$D$18,"ATENCION INTEGRAL EN ENFERMEDADES PREVALENTES EN PRIMERA INFANCIA (AIEPI)",IF(P100=CURSOS!$D$19,"ADMINISTRACION DE MEDICAMENTOS, INYECTOLOGIA  Y CANALIZACION ",IF(P100=CURSOS!$D$20,"OPERADOR DE VEHICULOS DE EMERGENCIA (OVE)",IF(P100=CURSOS!$D$21,"INSTITUCIONES AMIGAS DE LA MUJER Y LA INFANCIA (IAMI)",IF(P100=CURSOS!$D$22,"CUIDADO DEL DONANTE DE ORGANOS",IF(P100=CURSOS!$D$23,"ATENCION A VICTIMAS POR VIOLENCIA DE GENERO",IF(P100=CURSOS!$D$24,"IGUALDAD DE GENERO EN LA SALUD",IF(P100=CURSOS!$D$25,"BRIGADA DE EMERGENCIA",IF(P100=CURSOS!$D$26,"MANEJO DEL DOLOR Y CUIDADOS PALIATIVOS",IF(P100=CURSOS!$D$27,"TOMA DE MUESTRAS Y LABORATORIO POCT",IF(P100=CURSOS!$D$28,"IMPLANTE SUBDERMICO DE DISPOSITIVO INTRAUTERINO",IF(P100=CURSOS!$D$29,"SALUD MENTAL",IF(P100=CURSOS!$D$30,"PRIMEROS AUXILIOS PSICOLOGICOS",IF(P100=CURSOS!$D$31,"ATENCION A VICTIMAS POR CONFLICTO ARMADO",IF(P100=CURSOS!$D$32,"MANIPULACION DE ALIMENTOS Y BPM",IF(P100=CURSOS!$D$33,"ATENCION A PERSONAS CON DISCAPACIDAD",IF(P100=CURSOS!$D$34,"CUIDADO INTEGRAL DEL PACIENTE ADULTO",IF(P100=CURSOS!$D$35,"MANEJO DEFENSIVO",IF(P100=CURSOS!$D$36,"SOPORTE CARDIOVASCULAR AVANZADO NEONATAL",IF(P100=CURSOS!$D$37,"SEGURIDAD DEL PACIENTE",IF(P100=CURSOS!$D$38,"MANEJO DE RESIDUOS HOSPITALARIOS"))))))))))))))))))))))))))))))))))))</f>
        <v xml:space="preserve">SOPORTE CARDIOVASCULAR AVANZADO (ACLS) </v>
      </c>
      <c r="W100" s="65" t="str">
        <f t="shared" si="9"/>
        <v>Juan Carlos Alban Araujo</v>
      </c>
      <c r="X100" s="65" t="str">
        <f t="shared" si="10"/>
        <v>Juan Carlos Alban Araujo</v>
      </c>
      <c r="Y100" s="65" t="str">
        <f t="shared" si="11"/>
        <v>Juan Carlos Alban Araujo-12919771-ACLS</v>
      </c>
    </row>
    <row r="101" spans="1:25" s="82" customFormat="1" x14ac:dyDescent="0.2">
      <c r="A101" s="59">
        <v>100</v>
      </c>
      <c r="B101" s="60">
        <v>27461794</v>
      </c>
      <c r="C101" s="60" t="s">
        <v>381</v>
      </c>
      <c r="D101" s="60" t="s">
        <v>382</v>
      </c>
      <c r="E101" s="60" t="s">
        <v>383</v>
      </c>
      <c r="F101" s="60" t="s">
        <v>384</v>
      </c>
      <c r="G101" s="60">
        <v>18</v>
      </c>
      <c r="H101" s="60" t="s">
        <v>103</v>
      </c>
      <c r="I101" s="61" t="s">
        <v>123</v>
      </c>
      <c r="J101" s="61" t="s">
        <v>177</v>
      </c>
      <c r="K101" s="62">
        <v>45735</v>
      </c>
      <c r="L101" s="63">
        <v>32000</v>
      </c>
      <c r="M101" s="60" t="s">
        <v>156</v>
      </c>
      <c r="N101" s="60" t="s">
        <v>105</v>
      </c>
      <c r="O101" s="60" t="s">
        <v>182</v>
      </c>
      <c r="P101" s="60" t="s">
        <v>23</v>
      </c>
      <c r="Q101" s="61">
        <v>29900</v>
      </c>
      <c r="R101" s="60" t="s">
        <v>107</v>
      </c>
      <c r="S101" s="60" t="s">
        <v>117</v>
      </c>
      <c r="T101" s="60">
        <v>3154659196</v>
      </c>
      <c r="U101" s="64" t="s">
        <v>385</v>
      </c>
      <c r="V101" s="65" t="str">
        <f>IF(P101=CURSOS!$D$3,"DIPLOMADO EN ATENCION PRE-HOSPITALARIA",IF(P101=CURSOS!$D$4,"ACOMPAÑAMIENTO Y MANEJO DEL DUELO",IF(P101=CURSOS!$D$5,"ATENCION A VICTIMAS DE ATAQUE CON AGENTES QUIMICOS ",IF(P101=CURSOS!$D$6,"PRIMEROS AUXILIOS ",IF(P101=CURSOS!$D$7,"DIPLOMADO DE UNIDAD DE CUIDADOS INTENSIVOS (UCI)",IF(P101=CURSOS!$D$8,"MODELO DE ATENCION PARA EVENTOS EMERGENTES EN SALUD MENTAL (CODIGO VERDE)",IF(P101=CURSOS!$D$9,"HUMANIZACION EN EL SERVICIO DE LA SALUD Y BUENAS PRACTICAS EN PACIENTE ",IF(P101=CURSOS!$D$10,"CLINICA DE HERIDAS ",IF(P101=CURSOS!$D$11,"TOMA DE CITOLOGIA CERVICO VAGINAL ",IF(P101=CURSOS!$D$12,"SOPORTE CARDIOVASCULAR AVANZADO (ACLS) ",IF(P101=CURSOS!$D$13,"CAMILLERO ",IF(P101=CURSOS!$D$14,"TOMA DE MUESTRAS Y LABORATORIO ",IF(P101=CURSOS!$D$15,"SOPORTE VITAL BASICO (BLS)",IF(P101=CURSOS!$D$16,"ATENCION A VICTIMAS DE VIOLENCIA SEXUAL ",IF(P101=CURSOS!$D$17,"PROGRAMADO AMPLIADO DE INMUNIZACION (PAI - COVID 19)",IF(P101=CURSOS!$D$18,"ATENCION INTEGRAL EN ENFERMEDADES PREVALENTES EN PRIMERA INFANCIA (AIEPI)",IF(P101=CURSOS!$D$19,"ADMINISTRACION DE MEDICAMENTOS, INYECTOLOGIA  Y CANALIZACION ",IF(P101=CURSOS!$D$20,"OPERADOR DE VEHICULOS DE EMERGENCIA (OVE)",IF(P101=CURSOS!$D$21,"INSTITUCIONES AMIGAS DE LA MUJER Y LA INFANCIA (IAMI)",IF(P101=CURSOS!$D$22,"CUIDADO DEL DONANTE DE ORGANOS",IF(P101=CURSOS!$D$23,"ATENCION A VICTIMAS POR VIOLENCIA DE GENERO",IF(P101=CURSOS!$D$24,"IGUALDAD DE GENERO EN LA SALUD",IF(P101=CURSOS!$D$25,"BRIGADA DE EMERGENCIA",IF(P101=CURSOS!$D$26,"MANEJO DEL DOLOR Y CUIDADOS PALIATIVOS",IF(P101=CURSOS!$D$27,"TOMA DE MUESTRAS Y LABORATORIO POCT",IF(P101=CURSOS!$D$28,"IMPLANTE SUBDERMICO DE DISPOSITIVO INTRAUTERINO",IF(P101=CURSOS!$D$29,"SALUD MENTAL",IF(P101=CURSOS!$D$30,"PRIMEROS AUXILIOS PSICOLOGICOS",IF(P101=CURSOS!$D$31,"ATENCION A VICTIMAS POR CONFLICTO ARMADO",IF(P101=CURSOS!$D$32,"MANIPULACION DE ALIMENTOS Y BPM",IF(P101=CURSOS!$D$33,"ATENCION A PERSONAS CON DISCAPACIDAD",IF(P101=CURSOS!$D$34,"CUIDADO INTEGRAL DEL PACIENTE ADULTO",IF(P101=CURSOS!$D$35,"MANEJO DEFENSIVO",IF(P101=CURSOS!$D$36,"SOPORTE CARDIOVASCULAR AVANZADO NEONATAL",IF(P101=CURSOS!$D$37,"SEGURIDAD DEL PACIENTE",IF(P101=CURSOS!$D$38,"MANEJO DE RESIDUOS HOSPITALARIOS"))))))))))))))))))))))))))))))))))))</f>
        <v>ACOMPAÑAMIENTO Y MANEJO DEL DUELO</v>
      </c>
      <c r="W101" s="65" t="str">
        <f t="shared" si="9"/>
        <v>Mercy Amanda Fierro Patiño</v>
      </c>
      <c r="X101" s="65" t="str">
        <f t="shared" si="10"/>
        <v>Mercy Amanda Fierro Patiño</v>
      </c>
      <c r="Y101" s="65" t="str">
        <f t="shared" si="11"/>
        <v>Mercy Amanda Fierro Patiño-27461794-DUELO</v>
      </c>
    </row>
    <row r="102" spans="1:25" s="82" customFormat="1" x14ac:dyDescent="0.2">
      <c r="A102" s="59">
        <v>101</v>
      </c>
      <c r="B102" s="60">
        <v>1004538964</v>
      </c>
      <c r="C102" s="60" t="s">
        <v>160</v>
      </c>
      <c r="D102" s="60" t="s">
        <v>386</v>
      </c>
      <c r="E102" s="60" t="s">
        <v>387</v>
      </c>
      <c r="F102" s="60" t="s">
        <v>336</v>
      </c>
      <c r="G102" s="60">
        <v>18</v>
      </c>
      <c r="H102" s="60" t="s">
        <v>103</v>
      </c>
      <c r="I102" s="60" t="s">
        <v>104</v>
      </c>
      <c r="J102" s="60"/>
      <c r="K102" s="62">
        <v>45733</v>
      </c>
      <c r="L102" s="63">
        <v>80000</v>
      </c>
      <c r="M102" s="60" t="s">
        <v>156</v>
      </c>
      <c r="N102" s="60" t="s">
        <v>105</v>
      </c>
      <c r="O102" s="60" t="s">
        <v>106</v>
      </c>
      <c r="P102" s="60" t="s">
        <v>19</v>
      </c>
      <c r="Q102" s="61">
        <v>37399</v>
      </c>
      <c r="R102" s="60" t="s">
        <v>107</v>
      </c>
      <c r="S102" s="60" t="s">
        <v>117</v>
      </c>
      <c r="T102" s="60">
        <v>3136922269</v>
      </c>
      <c r="U102" s="60" t="s">
        <v>388</v>
      </c>
      <c r="V102" s="65" t="str">
        <f>IF(P102=CURSOS!$D$3,"DIPLOMADO EN ATENCION PRE-HOSPITALARIA",IF(P102=CURSOS!$D$4,"ACOMPAÑAMIENTO Y MANEJO DEL DUELO",IF(P102=CURSOS!$D$5,"ATENCION A VICTIMAS DE ATAQUE CON AGENTES QUIMICOS ",IF(P102=CURSOS!$D$6,"PRIMEROS AUXILIOS ",IF(P102=CURSOS!$D$7,"DIPLOMADO DE UNIDAD DE CUIDADOS INTENSIVOS (UCI)",IF(P102=CURSOS!$D$8,"MODELO DE ATENCION PARA EVENTOS EMERGENTES EN SALUD MENTAL (CODIGO VERDE)",IF(P102=CURSOS!$D$9,"HUMANIZACION EN EL SERVICIO DE LA SALUD Y BUENAS PRACTICAS EN PACIENTE ",IF(P102=CURSOS!$D$10,"CLINICA DE HERIDAS ",IF(P102=CURSOS!$D$11,"TOMA DE CITOLOGIA CERVICO VAGINAL ",IF(P102=CURSOS!$D$12,"SOPORTE CARDIOVASCULAR AVANZADO (ACLS) ",IF(P102=CURSOS!$D$13,"CAMILLERO ",IF(P102=CURSOS!$D$14,"TOMA DE MUESTRAS Y LABORATORIO ",IF(P102=CURSOS!$D$15,"SOPORTE VITAL BASICO (BLS)",IF(P102=CURSOS!$D$16,"ATENCION A VICTIMAS DE VIOLENCIA SEXUAL ",IF(P102=CURSOS!$D$17,"PROGRAMADO AMPLIADO DE INMUNIZACION (PAI - COVID 19)",IF(P102=CURSOS!$D$18,"ATENCION INTEGRAL EN ENFERMEDADES PREVALENTES EN PRIMERA INFANCIA (AIEPI)",IF(P102=CURSOS!$D$19,"ADMINISTRACION DE MEDICAMENTOS, INYECTOLOGIA  Y CANALIZACION ",IF(P102=CURSOS!$D$20,"OPERADOR DE VEHICULOS DE EMERGENCIA (OVE)",IF(P102=CURSOS!$D$21,"INSTITUCIONES AMIGAS DE LA MUJER Y LA INFANCIA (IAMI)",IF(P102=CURSOS!$D$22,"CUIDADO DEL DONANTE DE ORGANOS",IF(P102=CURSOS!$D$23,"ATENCION A VICTIMAS POR VIOLENCIA DE GENERO",IF(P102=CURSOS!$D$24,"IGUALDAD DE GENERO EN LA SALUD",IF(P102=CURSOS!$D$25,"BRIGADA DE EMERGENCIA",IF(P102=CURSOS!$D$26,"MANEJO DEL DOLOR Y CUIDADOS PALIATIVOS",IF(P102=CURSOS!$D$27,"TOMA DE MUESTRAS Y LABORATORIO POCT",IF(P102=CURSOS!$D$28,"IMPLANTE SUBDERMICO DE DISPOSITIVO INTRAUTERINO",IF(P102=CURSOS!$D$29,"SALUD MENTAL",IF(P102=CURSOS!$D$30,"PRIMEROS AUXILIOS PSICOLOGICOS",IF(P102=CURSOS!$D$31,"ATENCION A VICTIMAS POR CONFLICTO ARMADO",IF(P102=CURSOS!$D$32,"MANIPULACION DE ALIMENTOS Y BPM",IF(P102=CURSOS!$D$33,"ATENCION A PERSONAS CON DISCAPACIDAD",IF(P102=CURSOS!$D$34,"CUIDADO INTEGRAL DEL PACIENTE ADULTO",IF(P102=CURSOS!$D$35,"MANEJO DEFENSIVO",IF(P102=CURSOS!$D$36,"SOPORTE CARDIOVASCULAR AVANZADO NEONATAL",IF(P102=CURSOS!$D$37,"SEGURIDAD DEL PACIENTE",IF(P102=CURSOS!$D$38,"MANEJO DE RESIDUOS HOSPITALARIOS"))))))))))))))))))))))))))))))))))))</f>
        <v>SOPORTE VITAL BASICO (BLS)</v>
      </c>
      <c r="W102" s="65" t="str">
        <f t="shared" si="9"/>
        <v>Leidy Elizabeth Benavides Vallejo</v>
      </c>
      <c r="X102" s="65" t="str">
        <f t="shared" si="10"/>
        <v>Leidy Elizabeth Benavides Vallejo</v>
      </c>
      <c r="Y102" s="65" t="str">
        <f t="shared" si="11"/>
        <v>Leidy Elizabeth Benavides Vallejo-1004538964-BLS</v>
      </c>
    </row>
    <row r="103" spans="1:25" s="82" customFormat="1" x14ac:dyDescent="0.2">
      <c r="A103" s="59">
        <v>102</v>
      </c>
      <c r="B103" s="60">
        <v>1087419325</v>
      </c>
      <c r="C103" s="81" t="s">
        <v>209</v>
      </c>
      <c r="D103" s="81" t="s">
        <v>210</v>
      </c>
      <c r="E103" s="81" t="s">
        <v>211</v>
      </c>
      <c r="F103" s="81" t="s">
        <v>212</v>
      </c>
      <c r="G103" s="81">
        <v>19</v>
      </c>
      <c r="H103" s="60" t="s">
        <v>103</v>
      </c>
      <c r="I103" s="83" t="s">
        <v>123</v>
      </c>
      <c r="J103" s="61" t="s">
        <v>177</v>
      </c>
      <c r="K103" s="62">
        <v>45741</v>
      </c>
      <c r="L103" s="63">
        <v>32000</v>
      </c>
      <c r="M103" s="60" t="s">
        <v>156</v>
      </c>
      <c r="N103" s="60" t="s">
        <v>105</v>
      </c>
      <c r="O103" s="81" t="s">
        <v>182</v>
      </c>
      <c r="P103" s="81" t="s">
        <v>23</v>
      </c>
      <c r="Q103" s="83">
        <v>34183</v>
      </c>
      <c r="R103" s="81" t="s">
        <v>139</v>
      </c>
      <c r="S103" s="81" t="s">
        <v>117</v>
      </c>
      <c r="T103" s="84">
        <v>3176182014</v>
      </c>
      <c r="U103" s="60" t="s">
        <v>213</v>
      </c>
      <c r="V103" s="65" t="str">
        <f>IF(P103=CURSOS!$D$3,"DIPLOMADO EN ATENCION PRE-HOSPITALARIA",IF(P103=CURSOS!$D$4,"ACOMPAÑAMIENTO Y MANEJO DEL DUELO",IF(P103=CURSOS!$D$5,"ATENCION A VICTIMAS DE ATAQUE CON AGENTES QUIMICOS ",IF(P103=CURSOS!$D$6,"PRIMEROS AUXILIOS ",IF(P103=CURSOS!$D$7,"DIPLOMADO DE UNIDAD DE CUIDADOS INTENSIVOS (UCI)",IF(P103=CURSOS!$D$8,"MODELO DE ATENCION PARA EVENTOS EMERGENTES EN SALUD MENTAL (CODIGO VERDE)",IF(P103=CURSOS!$D$9,"HUMANIZACION EN EL SERVICIO DE LA SALUD Y BUENAS PRACTICAS EN PACIENTE ",IF(P103=CURSOS!$D$10,"CLINICA DE HERIDAS ",IF(P103=CURSOS!$D$11,"TOMA DE CITOLOGIA CERVICO VAGINAL ",IF(P103=CURSOS!$D$12,"SOPORTE CARDIOVASCULAR AVANZADO (ACLS) ",IF(P103=CURSOS!$D$13,"CAMILLERO ",IF(P103=CURSOS!$D$14,"TOMA DE MUESTRAS Y LABORATORIO ",IF(P103=CURSOS!$D$15,"SOPORTE VITAL BASICO (BLS)",IF(P103=CURSOS!$D$16,"ATENCION A VICTIMAS DE VIOLENCIA SEXUAL ",IF(P103=CURSOS!$D$17,"PROGRAMADO AMPLIADO DE INMUNIZACION (PAI - COVID 19)",IF(P103=CURSOS!$D$18,"ATENCION INTEGRAL EN ENFERMEDADES PREVALENTES EN PRIMERA INFANCIA (AIEPI)",IF(P103=CURSOS!$D$19,"ADMINISTRACION DE MEDICAMENTOS, INYECTOLOGIA  Y CANALIZACION ",IF(P103=CURSOS!$D$20,"OPERADOR DE VEHICULOS DE EMERGENCIA (OVE)",IF(P103=CURSOS!$D$21,"INSTITUCIONES AMIGAS DE LA MUJER Y LA INFANCIA (IAMI)",IF(P103=CURSOS!$D$22,"CUIDADO DEL DONANTE DE ORGANOS",IF(P103=CURSOS!$D$23,"ATENCION A VICTIMAS POR VIOLENCIA DE GENERO",IF(P103=CURSOS!$D$24,"IGUALDAD DE GENERO EN LA SALUD",IF(P103=CURSOS!$D$25,"BRIGADA DE EMERGENCIA",IF(P103=CURSOS!$D$26,"MANEJO DEL DOLOR Y CUIDADOS PALIATIVOS",IF(P103=CURSOS!$D$27,"TOMA DE MUESTRAS Y LABORATORIO POCT",IF(P103=CURSOS!$D$28,"IMPLANTE SUBDERMICO DE DISPOSITIVO INTRAUTERINO",IF(P103=CURSOS!$D$29,"SALUD MENTAL",IF(P103=CURSOS!$D$30,"PRIMEROS AUXILIOS PSICOLOGICOS",IF(P103=CURSOS!$D$31,"ATENCION A VICTIMAS POR CONFLICTO ARMADO",IF(P103=CURSOS!$D$32,"MANIPULACION DE ALIMENTOS Y BPM",IF(P103=CURSOS!$D$33,"ATENCION A PERSONAS CON DISCAPACIDAD",IF(P103=CURSOS!$D$34,"CUIDADO INTEGRAL DEL PACIENTE ADULTO",IF(P103=CURSOS!$D$35,"MANEJO DEFENSIVO",IF(P103=CURSOS!$D$36,"SOPORTE CARDIOVASCULAR AVANZADO NEONATAL",IF(P103=CURSOS!$D$37,"SEGURIDAD DEL PACIENTE",IF(P103=CURSOS!$D$38,"MANEJO DE RESIDUOS HOSPITALARIOS"))))))))))))))))))))))))))))))))))))</f>
        <v>ACOMPAÑAMIENTO Y MANEJO DEL DUELO</v>
      </c>
      <c r="W103" s="65" t="str">
        <f t="shared" si="9"/>
        <v>Dario Fernando Cucas Asmaza</v>
      </c>
      <c r="X103" s="65" t="str">
        <f t="shared" si="10"/>
        <v>Dario Fernando Cucas Asmaza</v>
      </c>
      <c r="Y103" s="65" t="str">
        <f t="shared" si="11"/>
        <v>Dario Fernando Cucas Asmaza-1087419325-DUELO</v>
      </c>
    </row>
    <row r="104" spans="1:25" s="82" customFormat="1" x14ac:dyDescent="0.2">
      <c r="A104" s="59">
        <v>103</v>
      </c>
      <c r="B104" s="60">
        <v>36759702</v>
      </c>
      <c r="C104" s="60" t="s">
        <v>99</v>
      </c>
      <c r="D104" s="60" t="s">
        <v>180</v>
      </c>
      <c r="E104" s="60" t="s">
        <v>181</v>
      </c>
      <c r="F104" s="60" t="s">
        <v>153</v>
      </c>
      <c r="G104" s="60">
        <v>19</v>
      </c>
      <c r="H104" s="60" t="s">
        <v>103</v>
      </c>
      <c r="I104" s="61" t="s">
        <v>123</v>
      </c>
      <c r="J104" s="61" t="s">
        <v>177</v>
      </c>
      <c r="K104" s="62">
        <v>45741</v>
      </c>
      <c r="L104" s="63">
        <v>32000</v>
      </c>
      <c r="M104" s="60" t="s">
        <v>156</v>
      </c>
      <c r="N104" s="60" t="s">
        <v>105</v>
      </c>
      <c r="O104" s="60" t="s">
        <v>182</v>
      </c>
      <c r="P104" s="60" t="s">
        <v>23</v>
      </c>
      <c r="Q104" s="61">
        <v>30281</v>
      </c>
      <c r="R104" s="60" t="s">
        <v>107</v>
      </c>
      <c r="S104" s="60" t="s">
        <v>117</v>
      </c>
      <c r="T104" s="64">
        <v>3104120372</v>
      </c>
      <c r="U104" s="60" t="s">
        <v>183</v>
      </c>
      <c r="V104" s="65" t="str">
        <f>IF(P104=CURSOS!$D$3,"DIPLOMADO EN ATENCION PRE-HOSPITALARIA",IF(P104=CURSOS!$D$4,"ACOMPAÑAMIENTO Y MANEJO DEL DUELO",IF(P104=CURSOS!$D$5,"ATENCION A VICTIMAS DE ATAQUE CON AGENTES QUIMICOS ",IF(P104=CURSOS!$D$6,"PRIMEROS AUXILIOS ",IF(P104=CURSOS!$D$7,"DIPLOMADO DE UNIDAD DE CUIDADOS INTENSIVOS (UCI)",IF(P104=CURSOS!$D$8,"MODELO DE ATENCION PARA EVENTOS EMERGENTES EN SALUD MENTAL (CODIGO VERDE)",IF(P104=CURSOS!$D$9,"HUMANIZACION EN EL SERVICIO DE LA SALUD Y BUENAS PRACTICAS EN PACIENTE ",IF(P104=CURSOS!$D$10,"CLINICA DE HERIDAS ",IF(P104=CURSOS!$D$11,"TOMA DE CITOLOGIA CERVICO VAGINAL ",IF(P104=CURSOS!$D$12,"SOPORTE CARDIOVASCULAR AVANZADO (ACLS) ",IF(P104=CURSOS!$D$13,"CAMILLERO ",IF(P104=CURSOS!$D$14,"TOMA DE MUESTRAS Y LABORATORIO ",IF(P104=CURSOS!$D$15,"SOPORTE VITAL BASICO (BLS)",IF(P104=CURSOS!$D$16,"ATENCION A VICTIMAS DE VIOLENCIA SEXUAL ",IF(P104=CURSOS!$D$17,"PROGRAMADO AMPLIADO DE INMUNIZACION (PAI - COVID 19)",IF(P104=CURSOS!$D$18,"ATENCION INTEGRAL EN ENFERMEDADES PREVALENTES EN PRIMERA INFANCIA (AIEPI)",IF(P104=CURSOS!$D$19,"ADMINISTRACION DE MEDICAMENTOS, INYECTOLOGIA  Y CANALIZACION ",IF(P104=CURSOS!$D$20,"OPERADOR DE VEHICULOS DE EMERGENCIA (OVE)",IF(P104=CURSOS!$D$21,"INSTITUCIONES AMIGAS DE LA MUJER Y LA INFANCIA (IAMI)",IF(P104=CURSOS!$D$22,"CUIDADO DEL DONANTE DE ORGANOS",IF(P104=CURSOS!$D$23,"ATENCION A VICTIMAS POR VIOLENCIA DE GENERO",IF(P104=CURSOS!$D$24,"IGUALDAD DE GENERO EN LA SALUD",IF(P104=CURSOS!$D$25,"BRIGADA DE EMERGENCIA",IF(P104=CURSOS!$D$26,"MANEJO DEL DOLOR Y CUIDADOS PALIATIVOS",IF(P104=CURSOS!$D$27,"TOMA DE MUESTRAS Y LABORATORIO POCT",IF(P104=CURSOS!$D$28,"IMPLANTE SUBDERMICO DE DISPOSITIVO INTRAUTERINO",IF(P104=CURSOS!$D$29,"SALUD MENTAL",IF(P104=CURSOS!$D$30,"PRIMEROS AUXILIOS PSICOLOGICOS",IF(P104=CURSOS!$D$31,"ATENCION A VICTIMAS POR CONFLICTO ARMADO",IF(P104=CURSOS!$D$32,"MANIPULACION DE ALIMENTOS Y BPM",IF(P104=CURSOS!$D$33,"ATENCION A PERSONAS CON DISCAPACIDAD",IF(P104=CURSOS!$D$34,"CUIDADO INTEGRAL DEL PACIENTE ADULTO",IF(P104=CURSOS!$D$35,"MANEJO DEFENSIVO",IF(P104=CURSOS!$D$36,"SOPORTE CARDIOVASCULAR AVANZADO NEONATAL",IF(P104=CURSOS!$D$37,"SEGURIDAD DEL PACIENTE",IF(P104=CURSOS!$D$38,"MANEJO DE RESIDUOS HOSPITALARIOS"))))))))))))))))))))))))))))))))))))</f>
        <v>ACOMPAÑAMIENTO Y MANEJO DEL DUELO</v>
      </c>
      <c r="W104" s="65" t="str">
        <f t="shared" si="9"/>
        <v>Nancy Liliana Ascuntar Pulzara</v>
      </c>
      <c r="X104" s="65" t="str">
        <f t="shared" si="10"/>
        <v>Nancy Liliana Ascuntar Pulzara</v>
      </c>
      <c r="Y104" s="65" t="str">
        <f t="shared" si="11"/>
        <v>Nancy Liliana Ascuntar Pulzara-36759702-DUELO</v>
      </c>
    </row>
    <row r="105" spans="1:25" s="82" customFormat="1" x14ac:dyDescent="0.2">
      <c r="A105" s="59">
        <v>104</v>
      </c>
      <c r="B105" s="60">
        <v>1084224461</v>
      </c>
      <c r="C105" s="81" t="s">
        <v>224</v>
      </c>
      <c r="D105" s="81" t="s">
        <v>272</v>
      </c>
      <c r="E105" s="81" t="s">
        <v>362</v>
      </c>
      <c r="F105" s="81" t="s">
        <v>389</v>
      </c>
      <c r="G105" s="81">
        <v>13</v>
      </c>
      <c r="H105" s="60" t="s">
        <v>103</v>
      </c>
      <c r="I105" s="83" t="s">
        <v>123</v>
      </c>
      <c r="J105" s="83" t="s">
        <v>167</v>
      </c>
      <c r="K105" s="62">
        <v>45735</v>
      </c>
      <c r="L105" s="63">
        <v>40000</v>
      </c>
      <c r="M105" s="60" t="s">
        <v>126</v>
      </c>
      <c r="N105" s="60" t="s">
        <v>105</v>
      </c>
      <c r="O105" s="81" t="s">
        <v>167</v>
      </c>
      <c r="P105" s="81" t="s">
        <v>59</v>
      </c>
      <c r="Q105" s="83">
        <v>33714</v>
      </c>
      <c r="R105" s="81" t="s">
        <v>107</v>
      </c>
      <c r="S105" s="81" t="s">
        <v>117</v>
      </c>
      <c r="T105" s="84">
        <v>3137165971</v>
      </c>
      <c r="U105" s="60" t="s">
        <v>390</v>
      </c>
      <c r="V105" s="65" t="str">
        <f>IF(P105=CURSOS!$D$3,"DIPLOMADO EN ATENCION PRE-HOSPITALARIA",IF(P105=CURSOS!$D$4,"ACOMPAÑAMIENTO Y MANEJO DEL DUELO",IF(P105=CURSOS!$D$5,"ATENCION A VICTIMAS DE ATAQUE CON AGENTES QUIMICOS ",IF(P105=CURSOS!$D$6,"PRIMEROS AUXILIOS ",IF(P105=CURSOS!$D$7,"DIPLOMADO DE UNIDAD DE CUIDADOS INTENSIVOS (UCI)",IF(P105=CURSOS!$D$8,"MODELO DE ATENCION PARA EVENTOS EMERGENTES EN SALUD MENTAL (CODIGO VERDE)",IF(P105=CURSOS!$D$9,"HUMANIZACION EN EL SERVICIO DE LA SALUD Y BUENAS PRACTICAS EN PACIENTE ",IF(P105=CURSOS!$D$10,"CLINICA DE HERIDAS ",IF(P105=CURSOS!$D$11,"TOMA DE CITOLOGIA CERVICO VAGINAL ",IF(P105=CURSOS!$D$12,"SOPORTE CARDIOVASCULAR AVANZADO (ACLS) ",IF(P105=CURSOS!$D$13,"CAMILLERO ",IF(P105=CURSOS!$D$14,"TOMA DE MUESTRAS Y LABORATORIO ",IF(P105=CURSOS!$D$15,"SOPORTE VITAL BASICO (BLS)",IF(P105=CURSOS!$D$16,"ATENCION A VICTIMAS DE VIOLENCIA SEXUAL ",IF(P105=CURSOS!$D$17,"PROGRAMADO AMPLIADO DE INMUNIZACION (PAI - COVID 19)",IF(P105=CURSOS!$D$18,"ATENCION INTEGRAL EN ENFERMEDADES PREVALENTES EN PRIMERA INFANCIA (AIEPI)",IF(P105=CURSOS!$D$19,"ADMINISTRACION DE MEDICAMENTOS, INYECTOLOGIA  Y CANALIZACION ",IF(P105=CURSOS!$D$20,"OPERADOR DE VEHICULOS DE EMERGENCIA (OVE)",IF(P105=CURSOS!$D$21,"INSTITUCIONES AMIGAS DE LA MUJER Y LA INFANCIA (IAMI)",IF(P105=CURSOS!$D$22,"CUIDADO DEL DONANTE DE ORGANOS",IF(P105=CURSOS!$D$23,"ATENCION A VICTIMAS POR VIOLENCIA DE GENERO",IF(P105=CURSOS!$D$24,"IGUALDAD DE GENERO EN LA SALUD",IF(P105=CURSOS!$D$25,"BRIGADA DE EMERGENCIA",IF(P105=CURSOS!$D$26,"MANEJO DEL DOLOR Y CUIDADOS PALIATIVOS",IF(P105=CURSOS!$D$27,"TOMA DE MUESTRAS Y LABORATORIO POCT",IF(P105=CURSOS!$D$28,"IMPLANTE SUBDERMICO DE DISPOSITIVO INTRAUTERINO",IF(P105=CURSOS!$D$29,"SALUD MENTAL",IF(P105=CURSOS!$D$30,"PRIMEROS AUXILIOS PSICOLOGICOS",IF(P105=CURSOS!$D$31,"ATENCION A VICTIMAS POR CONFLICTO ARMADO",IF(P105=CURSOS!$D$32,"MANIPULACION DE ALIMENTOS Y BPM",IF(P105=CURSOS!$D$33,"ATENCION A PERSONAS CON DISCAPACIDAD",IF(P105=CURSOS!$D$34,"CUIDADO INTEGRAL DEL PACIENTE ADULTO",IF(P105=CURSOS!$D$35,"MANEJO DEFENSIVO",IF(P105=CURSOS!$D$36,"SOPORTE CARDIOVASCULAR AVANZADO NEONATAL",IF(P105=CURSOS!$D$37,"SEGURIDAD DEL PACIENTE",IF(P105=CURSOS!$D$38,"MANEJO DE RESIDUOS HOSPITALARIOS"))))))))))))))))))))))))))))))))))))</f>
        <v>TOMA DE MUESTRAS Y LABORATORIO POCT</v>
      </c>
      <c r="W105" s="65" t="str">
        <f t="shared" si="9"/>
        <v>Diana Lizeth Diaz Moncayo</v>
      </c>
      <c r="X105" s="65" t="str">
        <f t="shared" si="10"/>
        <v>Diana Lizeth Diaz Moncayo</v>
      </c>
      <c r="Y105" s="65" t="str">
        <f t="shared" si="11"/>
        <v>Diana Lizeth Diaz Moncayo-1084224461-POCT</v>
      </c>
    </row>
    <row r="106" spans="1:25" s="82" customFormat="1" x14ac:dyDescent="0.2">
      <c r="A106" s="59">
        <v>105</v>
      </c>
      <c r="B106" s="81">
        <v>1085245571</v>
      </c>
      <c r="C106" s="81" t="s">
        <v>391</v>
      </c>
      <c r="D106" s="81" t="s">
        <v>392</v>
      </c>
      <c r="E106" s="81" t="s">
        <v>393</v>
      </c>
      <c r="F106" s="81" t="s">
        <v>394</v>
      </c>
      <c r="G106" s="81">
        <v>13</v>
      </c>
      <c r="H106" s="60" t="s">
        <v>103</v>
      </c>
      <c r="I106" s="83" t="s">
        <v>123</v>
      </c>
      <c r="J106" s="83" t="s">
        <v>167</v>
      </c>
      <c r="K106" s="85">
        <v>45735</v>
      </c>
      <c r="L106" s="86">
        <v>40000</v>
      </c>
      <c r="M106" s="81" t="s">
        <v>156</v>
      </c>
      <c r="N106" s="60" t="s">
        <v>105</v>
      </c>
      <c r="O106" s="81" t="s">
        <v>167</v>
      </c>
      <c r="P106" s="81" t="s">
        <v>59</v>
      </c>
      <c r="Q106" s="83">
        <v>31306</v>
      </c>
      <c r="R106" s="81" t="s">
        <v>107</v>
      </c>
      <c r="S106" s="84" t="s">
        <v>243</v>
      </c>
      <c r="T106" s="81">
        <v>3138678218</v>
      </c>
      <c r="U106" s="60" t="s">
        <v>395</v>
      </c>
      <c r="V106" s="65" t="str">
        <f>IF(P106=CURSOS!$D$3,"DIPLOMADO EN ATENCION PRE-HOSPITALARIA",IF(P106=CURSOS!$D$4,"ACOMPAÑAMIENTO Y MANEJO DEL DUELO",IF(P106=CURSOS!$D$5,"ATENCION A VICTIMAS DE ATAQUE CON AGENTES QUIMICOS ",IF(P106=CURSOS!$D$6,"PRIMEROS AUXILIOS ",IF(P106=CURSOS!$D$7,"DIPLOMADO DE UNIDAD DE CUIDADOS INTENSIVOS (UCI)",IF(P106=CURSOS!$D$8,"MODELO DE ATENCION PARA EVENTOS EMERGENTES EN SALUD MENTAL (CODIGO VERDE)",IF(P106=CURSOS!$D$9,"HUMANIZACION EN EL SERVICIO DE LA SALUD Y BUENAS PRACTICAS EN PACIENTE ",IF(P106=CURSOS!$D$10,"CLINICA DE HERIDAS ",IF(P106=CURSOS!$D$11,"TOMA DE CITOLOGIA CERVICO VAGINAL ",IF(P106=CURSOS!$D$12,"SOPORTE CARDIOVASCULAR AVANZADO (ACLS) ",IF(P106=CURSOS!$D$13,"CAMILLERO ",IF(P106=CURSOS!$D$14,"TOMA DE MUESTRAS Y LABORATORIO ",IF(P106=CURSOS!$D$15,"SOPORTE VITAL BASICO (BLS)",IF(P106=CURSOS!$D$16,"ATENCION A VICTIMAS DE VIOLENCIA SEXUAL ",IF(P106=CURSOS!$D$17,"PROGRAMADO AMPLIADO DE INMUNIZACION (PAI - COVID 19)",IF(P106=CURSOS!$D$18,"ATENCION INTEGRAL EN ENFERMEDADES PREVALENTES EN PRIMERA INFANCIA (AIEPI)",IF(P106=CURSOS!$D$19,"ADMINISTRACION DE MEDICAMENTOS, INYECTOLOGIA  Y CANALIZACION ",IF(P106=CURSOS!$D$20,"OPERADOR DE VEHICULOS DE EMERGENCIA (OVE)",IF(P106=CURSOS!$D$21,"INSTITUCIONES AMIGAS DE LA MUJER Y LA INFANCIA (IAMI)",IF(P106=CURSOS!$D$22,"CUIDADO DEL DONANTE DE ORGANOS",IF(P106=CURSOS!$D$23,"ATENCION A VICTIMAS POR VIOLENCIA DE GENERO",IF(P106=CURSOS!$D$24,"IGUALDAD DE GENERO EN LA SALUD",IF(P106=CURSOS!$D$25,"BRIGADA DE EMERGENCIA",IF(P106=CURSOS!$D$26,"MANEJO DEL DOLOR Y CUIDADOS PALIATIVOS",IF(P106=CURSOS!$D$27,"TOMA DE MUESTRAS Y LABORATORIO POCT",IF(P106=CURSOS!$D$28,"IMPLANTE SUBDERMICO DE DISPOSITIVO INTRAUTERINO",IF(P106=CURSOS!$D$29,"SALUD MENTAL",IF(P106=CURSOS!$D$30,"PRIMEROS AUXILIOS PSICOLOGICOS",IF(P106=CURSOS!$D$31,"ATENCION A VICTIMAS POR CONFLICTO ARMADO",IF(P106=CURSOS!$D$32,"MANIPULACION DE ALIMENTOS Y BPM",IF(P106=CURSOS!$D$33,"ATENCION A PERSONAS CON DISCAPACIDAD",IF(P106=CURSOS!$D$34,"CUIDADO INTEGRAL DEL PACIENTE ADULTO",IF(P106=CURSOS!$D$35,"MANEJO DEFENSIVO",IF(P106=CURSOS!$D$36,"SOPORTE CARDIOVASCULAR AVANZADO NEONATAL",IF(P106=CURSOS!$D$37,"SEGURIDAD DEL PACIENTE",IF(P106=CURSOS!$D$38,"MANEJO DE RESIDUOS HOSPITALARIOS"))))))))))))))))))))))))))))))))))))</f>
        <v>TOMA DE MUESTRAS Y LABORATORIO POCT</v>
      </c>
      <c r="W106" s="65" t="str">
        <f t="shared" si="9"/>
        <v>Gema Johanna Castillo Lombana</v>
      </c>
      <c r="X106" s="65" t="str">
        <f t="shared" si="10"/>
        <v>Gema Johanna Castillo Lombana</v>
      </c>
      <c r="Y106" s="65" t="str">
        <f t="shared" si="11"/>
        <v>Gema Johanna Castillo Lombana-1085245571-POCT</v>
      </c>
    </row>
    <row r="107" spans="1:25" s="82" customFormat="1" x14ac:dyDescent="0.2">
      <c r="A107" s="59">
        <v>106</v>
      </c>
      <c r="B107" s="81">
        <v>1085245571</v>
      </c>
      <c r="C107" s="81" t="s">
        <v>391</v>
      </c>
      <c r="D107" s="81" t="s">
        <v>392</v>
      </c>
      <c r="E107" s="81" t="s">
        <v>393</v>
      </c>
      <c r="F107" s="81" t="s">
        <v>394</v>
      </c>
      <c r="G107" s="81">
        <v>13</v>
      </c>
      <c r="H107" s="60" t="s">
        <v>103</v>
      </c>
      <c r="I107" s="83" t="s">
        <v>123</v>
      </c>
      <c r="J107" s="83" t="s">
        <v>167</v>
      </c>
      <c r="K107" s="85">
        <v>45735</v>
      </c>
      <c r="L107" s="86">
        <v>40000</v>
      </c>
      <c r="M107" s="81" t="s">
        <v>156</v>
      </c>
      <c r="N107" s="60" t="s">
        <v>105</v>
      </c>
      <c r="O107" s="81" t="s">
        <v>167</v>
      </c>
      <c r="P107" s="81" t="s">
        <v>42</v>
      </c>
      <c r="Q107" s="83">
        <v>31306</v>
      </c>
      <c r="R107" s="81" t="s">
        <v>107</v>
      </c>
      <c r="S107" s="84" t="s">
        <v>243</v>
      </c>
      <c r="T107" s="81">
        <v>3138678218</v>
      </c>
      <c r="U107" s="60" t="s">
        <v>395</v>
      </c>
      <c r="V107" s="65" t="str">
        <f>IF(P107=CURSOS!$D$3,"DIPLOMADO EN ATENCION PRE-HOSPITALARIA",IF(P107=CURSOS!$D$4,"ACOMPAÑAMIENTO Y MANEJO DEL DUELO",IF(P107=CURSOS!$D$5,"ATENCION A VICTIMAS DE ATAQUE CON AGENTES QUIMICOS ",IF(P107=CURSOS!$D$6,"PRIMEROS AUXILIOS ",IF(P107=CURSOS!$D$7,"DIPLOMADO DE UNIDAD DE CUIDADOS INTENSIVOS (UCI)",IF(P107=CURSOS!$D$8,"MODELO DE ATENCION PARA EVENTOS EMERGENTES EN SALUD MENTAL (CODIGO VERDE)",IF(P107=CURSOS!$D$9,"HUMANIZACION EN EL SERVICIO DE LA SALUD Y BUENAS PRACTICAS EN PACIENTE ",IF(P107=CURSOS!$D$10,"CLINICA DE HERIDAS ",IF(P107=CURSOS!$D$11,"TOMA DE CITOLOGIA CERVICO VAGINAL ",IF(P107=CURSOS!$D$12,"SOPORTE CARDIOVASCULAR AVANZADO (ACLS) ",IF(P107=CURSOS!$D$13,"CAMILLERO ",IF(P107=CURSOS!$D$14,"TOMA DE MUESTRAS Y LABORATORIO ",IF(P107=CURSOS!$D$15,"SOPORTE VITAL BASICO (BLS)",IF(P107=CURSOS!$D$16,"ATENCION A VICTIMAS DE VIOLENCIA SEXUAL ",IF(P107=CURSOS!$D$17,"PROGRAMADO AMPLIADO DE INMUNIZACION (PAI - COVID 19)",IF(P107=CURSOS!$D$18,"ATENCION INTEGRAL EN ENFERMEDADES PREVALENTES EN PRIMERA INFANCIA (AIEPI)",IF(P107=CURSOS!$D$19,"ADMINISTRACION DE MEDICAMENTOS, INYECTOLOGIA  Y CANALIZACION ",IF(P107=CURSOS!$D$20,"OPERADOR DE VEHICULOS DE EMERGENCIA (OVE)",IF(P107=CURSOS!$D$21,"INSTITUCIONES AMIGAS DE LA MUJER Y LA INFANCIA (IAMI)",IF(P107=CURSOS!$D$22,"CUIDADO DEL DONANTE DE ORGANOS",IF(P107=CURSOS!$D$23,"ATENCION A VICTIMAS POR VIOLENCIA DE GENERO",IF(P107=CURSOS!$D$24,"IGUALDAD DE GENERO EN LA SALUD",IF(P107=CURSOS!$D$25,"BRIGADA DE EMERGENCIA",IF(P107=CURSOS!$D$26,"MANEJO DEL DOLOR Y CUIDADOS PALIATIVOS",IF(P107=CURSOS!$D$27,"TOMA DE MUESTRAS Y LABORATORIO POCT",IF(P107=CURSOS!$D$28,"IMPLANTE SUBDERMICO DE DISPOSITIVO INTRAUTERINO",IF(P107=CURSOS!$D$29,"SALUD MENTAL",IF(P107=CURSOS!$D$30,"PRIMEROS AUXILIOS PSICOLOGICOS",IF(P107=CURSOS!$D$31,"ATENCION A VICTIMAS POR CONFLICTO ARMADO",IF(P107=CURSOS!$D$32,"MANIPULACION DE ALIMENTOS Y BPM",IF(P107=CURSOS!$D$33,"ATENCION A PERSONAS CON DISCAPACIDAD",IF(P107=CURSOS!$D$34,"CUIDADO INTEGRAL DEL PACIENTE ADULTO",IF(P107=CURSOS!$D$35,"MANEJO DEFENSIVO",IF(P107=CURSOS!$D$36,"SOPORTE CARDIOVASCULAR AVANZADO NEONATAL",IF(P107=CURSOS!$D$37,"SEGURIDAD DEL PACIENTE",IF(P107=CURSOS!$D$38,"MANEJO DE RESIDUOS HOSPITALARIOS"))))))))))))))))))))))))))))))))))))</f>
        <v xml:space="preserve">ATENCION A VICTIMAS DE VIOLENCIA SEXUAL </v>
      </c>
      <c r="W107" s="65" t="str">
        <f t="shared" si="9"/>
        <v>Gema Johanna Castillo Lombana</v>
      </c>
      <c r="X107" s="65" t="str">
        <f t="shared" si="10"/>
        <v>Gema Johanna Castillo Lombana</v>
      </c>
      <c r="Y107" s="65" t="str">
        <f t="shared" si="11"/>
        <v>Gema Johanna Castillo Lombana-1085245571-VIOLENCIA SEXUAL</v>
      </c>
    </row>
    <row r="108" spans="1:25" s="82" customFormat="1" x14ac:dyDescent="0.2">
      <c r="A108" s="59">
        <v>107</v>
      </c>
      <c r="B108" s="81">
        <v>1085249005</v>
      </c>
      <c r="C108" s="81" t="s">
        <v>214</v>
      </c>
      <c r="D108" s="81" t="s">
        <v>160</v>
      </c>
      <c r="E108" s="81" t="s">
        <v>396</v>
      </c>
      <c r="F108" s="81" t="s">
        <v>397</v>
      </c>
      <c r="G108" s="81">
        <v>13</v>
      </c>
      <c r="H108" s="60" t="s">
        <v>103</v>
      </c>
      <c r="I108" s="83" t="s">
        <v>123</v>
      </c>
      <c r="J108" s="83" t="s">
        <v>167</v>
      </c>
      <c r="K108" s="62">
        <v>45735</v>
      </c>
      <c r="L108" s="63">
        <v>40000</v>
      </c>
      <c r="M108" s="60" t="s">
        <v>133</v>
      </c>
      <c r="N108" s="60" t="s">
        <v>105</v>
      </c>
      <c r="O108" s="81" t="s">
        <v>167</v>
      </c>
      <c r="P108" s="81" t="s">
        <v>59</v>
      </c>
      <c r="Q108" s="83">
        <v>31342</v>
      </c>
      <c r="R108" s="81" t="s">
        <v>107</v>
      </c>
      <c r="S108" s="81" t="s">
        <v>117</v>
      </c>
      <c r="T108" s="84">
        <v>3203353692</v>
      </c>
      <c r="U108" s="60" t="s">
        <v>398</v>
      </c>
      <c r="V108" s="65" t="str">
        <f>IF(P108=CURSOS!$D$3,"DIPLOMADO EN ATENCION PRE-HOSPITALARIA",IF(P108=CURSOS!$D$4,"ACOMPAÑAMIENTO Y MANEJO DEL DUELO",IF(P108=CURSOS!$D$5,"ATENCION A VICTIMAS DE ATAQUE CON AGENTES QUIMICOS ",IF(P108=CURSOS!$D$6,"PRIMEROS AUXILIOS ",IF(P108=CURSOS!$D$7,"DIPLOMADO DE UNIDAD DE CUIDADOS INTENSIVOS (UCI)",IF(P108=CURSOS!$D$8,"MODELO DE ATENCION PARA EVENTOS EMERGENTES EN SALUD MENTAL (CODIGO VERDE)",IF(P108=CURSOS!$D$9,"HUMANIZACION EN EL SERVICIO DE LA SALUD Y BUENAS PRACTICAS EN PACIENTE ",IF(P108=CURSOS!$D$10,"CLINICA DE HERIDAS ",IF(P108=CURSOS!$D$11,"TOMA DE CITOLOGIA CERVICO VAGINAL ",IF(P108=CURSOS!$D$12,"SOPORTE CARDIOVASCULAR AVANZADO (ACLS) ",IF(P108=CURSOS!$D$13,"CAMILLERO ",IF(P108=CURSOS!$D$14,"TOMA DE MUESTRAS Y LABORATORIO ",IF(P108=CURSOS!$D$15,"SOPORTE VITAL BASICO (BLS)",IF(P108=CURSOS!$D$16,"ATENCION A VICTIMAS DE VIOLENCIA SEXUAL ",IF(P108=CURSOS!$D$17,"PROGRAMADO AMPLIADO DE INMUNIZACION (PAI - COVID 19)",IF(P108=CURSOS!$D$18,"ATENCION INTEGRAL EN ENFERMEDADES PREVALENTES EN PRIMERA INFANCIA (AIEPI)",IF(P108=CURSOS!$D$19,"ADMINISTRACION DE MEDICAMENTOS, INYECTOLOGIA  Y CANALIZACION ",IF(P108=CURSOS!$D$20,"OPERADOR DE VEHICULOS DE EMERGENCIA (OVE)",IF(P108=CURSOS!$D$21,"INSTITUCIONES AMIGAS DE LA MUJER Y LA INFANCIA (IAMI)",IF(P108=CURSOS!$D$22,"CUIDADO DEL DONANTE DE ORGANOS",IF(P108=CURSOS!$D$23,"ATENCION A VICTIMAS POR VIOLENCIA DE GENERO",IF(P108=CURSOS!$D$24,"IGUALDAD DE GENERO EN LA SALUD",IF(P108=CURSOS!$D$25,"BRIGADA DE EMERGENCIA",IF(P108=CURSOS!$D$26,"MANEJO DEL DOLOR Y CUIDADOS PALIATIVOS",IF(P108=CURSOS!$D$27,"TOMA DE MUESTRAS Y LABORATORIO POCT",IF(P108=CURSOS!$D$28,"IMPLANTE SUBDERMICO DE DISPOSITIVO INTRAUTERINO",IF(P108=CURSOS!$D$29,"SALUD MENTAL",IF(P108=CURSOS!$D$30,"PRIMEROS AUXILIOS PSICOLOGICOS",IF(P108=CURSOS!$D$31,"ATENCION A VICTIMAS POR CONFLICTO ARMADO",IF(P108=CURSOS!$D$32,"MANIPULACION DE ALIMENTOS Y BPM",IF(P108=CURSOS!$D$33,"ATENCION A PERSONAS CON DISCAPACIDAD",IF(P108=CURSOS!$D$34,"CUIDADO INTEGRAL DEL PACIENTE ADULTO",IF(P108=CURSOS!$D$35,"MANEJO DEFENSIVO",IF(P108=CURSOS!$D$36,"SOPORTE CARDIOVASCULAR AVANZADO NEONATAL",IF(P108=CURSOS!$D$37,"SEGURIDAD DEL PACIENTE",IF(P108=CURSOS!$D$38,"MANEJO DE RESIDUOS HOSPITALARIOS"))))))))))))))))))))))))))))))))))))</f>
        <v>TOMA DE MUESTRAS Y LABORATORIO POCT</v>
      </c>
      <c r="W108" s="65" t="str">
        <f t="shared" si="9"/>
        <v>Sandra Milena Martinez Benavides</v>
      </c>
      <c r="X108" s="65" t="str">
        <f t="shared" si="10"/>
        <v>Sandra Milena Martinez Benavides</v>
      </c>
      <c r="Y108" s="65" t="str">
        <f t="shared" si="11"/>
        <v>Sandra Milena Martinez Benavides-1085249005-POCT</v>
      </c>
    </row>
    <row r="109" spans="1:25" s="82" customFormat="1" x14ac:dyDescent="0.2">
      <c r="A109" s="59">
        <v>108</v>
      </c>
      <c r="B109" s="81">
        <v>27232963</v>
      </c>
      <c r="C109" s="81" t="s">
        <v>400</v>
      </c>
      <c r="D109" s="81" t="s">
        <v>401</v>
      </c>
      <c r="E109" s="81" t="s">
        <v>402</v>
      </c>
      <c r="F109" s="81" t="s">
        <v>287</v>
      </c>
      <c r="G109" s="81">
        <v>19</v>
      </c>
      <c r="H109" s="60" t="s">
        <v>103</v>
      </c>
      <c r="I109" s="83" t="s">
        <v>123</v>
      </c>
      <c r="J109" s="83" t="s">
        <v>179</v>
      </c>
      <c r="K109" s="62">
        <v>45735</v>
      </c>
      <c r="L109" s="63">
        <v>40000</v>
      </c>
      <c r="M109" s="60" t="s">
        <v>156</v>
      </c>
      <c r="N109" s="60" t="s">
        <v>105</v>
      </c>
      <c r="O109" s="81" t="s">
        <v>106</v>
      </c>
      <c r="P109" s="81" t="s">
        <v>19</v>
      </c>
      <c r="Q109" s="83"/>
      <c r="R109" s="81" t="s">
        <v>107</v>
      </c>
      <c r="S109" s="81" t="s">
        <v>117</v>
      </c>
      <c r="T109" s="84">
        <v>3104447003</v>
      </c>
      <c r="U109" s="60" t="s">
        <v>403</v>
      </c>
      <c r="V109" s="65" t="str">
        <f>IF(P109=CURSOS!$D$3,"DIPLOMADO EN ATENCION PRE-HOSPITALARIA",IF(P109=CURSOS!$D$4,"ACOMPAÑAMIENTO Y MANEJO DEL DUELO",IF(P109=CURSOS!$D$5,"ATENCION A VICTIMAS DE ATAQUE CON AGENTES QUIMICOS ",IF(P109=CURSOS!$D$6,"PRIMEROS AUXILIOS ",IF(P109=CURSOS!$D$7,"DIPLOMADO DE UNIDAD DE CUIDADOS INTENSIVOS (UCI)",IF(P109=CURSOS!$D$8,"MODELO DE ATENCION PARA EVENTOS EMERGENTES EN SALUD MENTAL (CODIGO VERDE)",IF(P109=CURSOS!$D$9,"HUMANIZACION EN EL SERVICIO DE LA SALUD Y BUENAS PRACTICAS EN PACIENTE ",IF(P109=CURSOS!$D$10,"CLINICA DE HERIDAS ",IF(P109=CURSOS!$D$11,"TOMA DE CITOLOGIA CERVICO VAGINAL ",IF(P109=CURSOS!$D$12,"SOPORTE CARDIOVASCULAR AVANZADO (ACLS) ",IF(P109=CURSOS!$D$13,"CAMILLERO ",IF(P109=CURSOS!$D$14,"TOMA DE MUESTRAS Y LABORATORIO ",IF(P109=CURSOS!$D$15,"SOPORTE VITAL BASICO (BLS)",IF(P109=CURSOS!$D$16,"ATENCION A VICTIMAS DE VIOLENCIA SEXUAL ",IF(P109=CURSOS!$D$17,"PROGRAMADO AMPLIADO DE INMUNIZACION (PAI - COVID 19)",IF(P109=CURSOS!$D$18,"ATENCION INTEGRAL EN ENFERMEDADES PREVALENTES EN PRIMERA INFANCIA (AIEPI)",IF(P109=CURSOS!$D$19,"ADMINISTRACION DE MEDICAMENTOS, INYECTOLOGIA  Y CANALIZACION ",IF(P109=CURSOS!$D$20,"OPERADOR DE VEHICULOS DE EMERGENCIA (OVE)",IF(P109=CURSOS!$D$21,"INSTITUCIONES AMIGAS DE LA MUJER Y LA INFANCIA (IAMI)",IF(P109=CURSOS!$D$22,"CUIDADO DEL DONANTE DE ORGANOS",IF(P109=CURSOS!$D$23,"ATENCION A VICTIMAS POR VIOLENCIA DE GENERO",IF(P109=CURSOS!$D$24,"IGUALDAD DE GENERO EN LA SALUD",IF(P109=CURSOS!$D$25,"BRIGADA DE EMERGENCIA",IF(P109=CURSOS!$D$26,"MANEJO DEL DOLOR Y CUIDADOS PALIATIVOS",IF(P109=CURSOS!$D$27,"TOMA DE MUESTRAS Y LABORATORIO POCT",IF(P109=CURSOS!$D$28,"IMPLANTE SUBDERMICO DE DISPOSITIVO INTRAUTERINO",IF(P109=CURSOS!$D$29,"SALUD MENTAL",IF(P109=CURSOS!$D$30,"PRIMEROS AUXILIOS PSICOLOGICOS",IF(P109=CURSOS!$D$31,"ATENCION A VICTIMAS POR CONFLICTO ARMADO",IF(P109=CURSOS!$D$32,"MANIPULACION DE ALIMENTOS Y BPM",IF(P109=CURSOS!$D$33,"ATENCION A PERSONAS CON DISCAPACIDAD",IF(P109=CURSOS!$D$34,"CUIDADO INTEGRAL DEL PACIENTE ADULTO",IF(P109=CURSOS!$D$35,"MANEJO DEFENSIVO",IF(P109=CURSOS!$D$36,"SOPORTE CARDIOVASCULAR AVANZADO NEONATAL",IF(P109=CURSOS!$D$37,"SEGURIDAD DEL PACIENTE",IF(P109=CURSOS!$D$38,"MANEJO DE RESIDUOS HOSPITALARIOS"))))))))))))))))))))))))))))))))))))</f>
        <v>SOPORTE VITAL BASICO (BLS)</v>
      </c>
      <c r="W109" s="65" t="str">
        <f t="shared" si="9"/>
        <v>Nidia Del Rosario Argoty Escobar</v>
      </c>
      <c r="X109" s="65" t="str">
        <f t="shared" si="10"/>
        <v>Nidia Del Rosario Argoty Escobar</v>
      </c>
      <c r="Y109" s="65" t="str">
        <f t="shared" si="11"/>
        <v>Nidia Del Rosario Argoty Escobar-27232963-BLS</v>
      </c>
    </row>
    <row r="110" spans="1:25" s="82" customFormat="1" x14ac:dyDescent="0.2">
      <c r="A110" s="59">
        <v>109</v>
      </c>
      <c r="B110" s="81">
        <v>27282332</v>
      </c>
      <c r="C110" s="81" t="s">
        <v>244</v>
      </c>
      <c r="D110" s="81" t="s">
        <v>404</v>
      </c>
      <c r="E110" s="81" t="s">
        <v>405</v>
      </c>
      <c r="F110" s="81" t="s">
        <v>397</v>
      </c>
      <c r="G110" s="81">
        <v>13</v>
      </c>
      <c r="H110" s="60" t="s">
        <v>103</v>
      </c>
      <c r="I110" s="83" t="s">
        <v>104</v>
      </c>
      <c r="J110" s="83" t="s">
        <v>167</v>
      </c>
      <c r="K110" s="83">
        <v>45734</v>
      </c>
      <c r="L110" s="63">
        <v>40000</v>
      </c>
      <c r="M110" s="63" t="s">
        <v>156</v>
      </c>
      <c r="N110" s="60" t="s">
        <v>105</v>
      </c>
      <c r="O110" s="60" t="s">
        <v>167</v>
      </c>
      <c r="P110" s="81" t="s">
        <v>59</v>
      </c>
      <c r="Q110" s="61">
        <v>30471</v>
      </c>
      <c r="R110" s="83" t="s">
        <v>107</v>
      </c>
      <c r="S110" s="81" t="s">
        <v>243</v>
      </c>
      <c r="T110" s="81">
        <v>3147927560</v>
      </c>
      <c r="U110" s="84" t="s">
        <v>406</v>
      </c>
      <c r="V110" s="65" t="str">
        <f>IF(P110=CURSOS!$D$3,"DIPLOMADO EN ATENCION PRE-HOSPITALARIA",IF(P110=CURSOS!$D$4,"ACOMPAÑAMIENTO Y MANEJO DEL DUELO",IF(P110=CURSOS!$D$5,"ATENCION A VICTIMAS DE ATAQUE CON AGENTES QUIMICOS ",IF(P110=CURSOS!$D$6,"PRIMEROS AUXILIOS ",IF(P110=CURSOS!$D$7,"DIPLOMADO DE UNIDAD DE CUIDADOS INTENSIVOS (UCI)",IF(P110=CURSOS!$D$8,"MODELO DE ATENCION PARA EVENTOS EMERGENTES EN SALUD MENTAL (CODIGO VERDE)",IF(P110=CURSOS!$D$9,"HUMANIZACION EN EL SERVICIO DE LA SALUD Y BUENAS PRACTICAS EN PACIENTE ",IF(P110=CURSOS!$D$10,"CLINICA DE HERIDAS ",IF(P110=CURSOS!$D$11,"TOMA DE CITOLOGIA CERVICO VAGINAL ",IF(P110=CURSOS!$D$12,"SOPORTE CARDIOVASCULAR AVANZADO (ACLS) ",IF(P110=CURSOS!$D$13,"CAMILLERO ",IF(P110=CURSOS!$D$14,"TOMA DE MUESTRAS Y LABORATORIO ",IF(P110=CURSOS!$D$15,"SOPORTE VITAL BASICO (BLS)",IF(P110=CURSOS!$D$16,"ATENCION A VICTIMAS DE VIOLENCIA SEXUAL ",IF(P110=CURSOS!$D$17,"PROGRAMADO AMPLIADO DE INMUNIZACION (PAI - COVID 19)",IF(P110=CURSOS!$D$18,"ATENCION INTEGRAL EN ENFERMEDADES PREVALENTES EN PRIMERA INFANCIA (AIEPI)",IF(P110=CURSOS!$D$19,"ADMINISTRACION DE MEDICAMENTOS, INYECTOLOGIA  Y CANALIZACION ",IF(P110=CURSOS!$D$20,"OPERADOR DE VEHICULOS DE EMERGENCIA (OVE)",IF(P110=CURSOS!$D$21,"INSTITUCIONES AMIGAS DE LA MUJER Y LA INFANCIA (IAMI)",IF(P110=CURSOS!$D$22,"CUIDADO DEL DONANTE DE ORGANOS",IF(P110=CURSOS!$D$23,"ATENCION A VICTIMAS POR VIOLENCIA DE GENERO",IF(P110=CURSOS!$D$24,"IGUALDAD DE GENERO EN LA SALUD",IF(P110=CURSOS!$D$25,"BRIGADA DE EMERGENCIA",IF(P110=CURSOS!$D$26,"MANEJO DEL DOLOR Y CUIDADOS PALIATIVOS",IF(P110=CURSOS!$D$27,"TOMA DE MUESTRAS Y LABORATORIO POCT",IF(P110=CURSOS!$D$28,"IMPLANTE SUBDERMICO DE DISPOSITIVO INTRAUTERINO",IF(P110=CURSOS!$D$29,"SALUD MENTAL",IF(P110=CURSOS!$D$30,"PRIMEROS AUXILIOS PSICOLOGICOS",IF(P110=CURSOS!$D$31,"ATENCION A VICTIMAS POR CONFLICTO ARMADO",IF(P110=CURSOS!$D$32,"MANIPULACION DE ALIMENTOS Y BPM",IF(P110=CURSOS!$D$33,"ATENCION A PERSONAS CON DISCAPACIDAD",IF(P110=CURSOS!$D$34,"CUIDADO INTEGRAL DEL PACIENTE ADULTO",IF(P110=CURSOS!$D$35,"MANEJO DEFENSIVO",IF(P110=CURSOS!$D$36,"SOPORTE CARDIOVASCULAR AVANZADO NEONATAL",IF(P110=CURSOS!$D$37,"SEGURIDAD DEL PACIENTE",IF(P110=CURSOS!$D$38,"MANEJO DE RESIDUOS HOSPITALARIOS"))))))))))))))))))))))))))))))))))))</f>
        <v>TOMA DE MUESTRAS Y LABORATORIO POCT</v>
      </c>
      <c r="W110" s="65" t="str">
        <f t="shared" si="9"/>
        <v>Gloria Milena Zambrano Hoyos</v>
      </c>
      <c r="X110" s="65" t="str">
        <f t="shared" si="10"/>
        <v>Gloria Milena Zambrano Hoyos</v>
      </c>
      <c r="Y110" s="65" t="str">
        <f t="shared" si="11"/>
        <v>Gloria Milena Zambrano Hoyos-27282332-POCT</v>
      </c>
    </row>
    <row r="111" spans="1:25" s="82" customFormat="1" x14ac:dyDescent="0.2">
      <c r="A111" s="59">
        <v>110</v>
      </c>
      <c r="B111" s="81">
        <v>27282332</v>
      </c>
      <c r="C111" s="81" t="s">
        <v>244</v>
      </c>
      <c r="D111" s="81" t="s">
        <v>404</v>
      </c>
      <c r="E111" s="81" t="s">
        <v>405</v>
      </c>
      <c r="F111" s="81" t="s">
        <v>397</v>
      </c>
      <c r="G111" s="81">
        <v>17</v>
      </c>
      <c r="H111" s="60" t="s">
        <v>103</v>
      </c>
      <c r="I111" s="83" t="s">
        <v>104</v>
      </c>
      <c r="J111" s="83" t="s">
        <v>167</v>
      </c>
      <c r="K111" s="83">
        <v>45734</v>
      </c>
      <c r="L111" s="63">
        <v>40000</v>
      </c>
      <c r="M111" s="63" t="s">
        <v>156</v>
      </c>
      <c r="N111" s="60" t="s">
        <v>105</v>
      </c>
      <c r="O111" s="60" t="s">
        <v>167</v>
      </c>
      <c r="P111" s="81" t="s">
        <v>23</v>
      </c>
      <c r="Q111" s="61">
        <v>30471</v>
      </c>
      <c r="R111" s="83" t="s">
        <v>107</v>
      </c>
      <c r="S111" s="81" t="s">
        <v>243</v>
      </c>
      <c r="T111" s="81">
        <v>3147927560</v>
      </c>
      <c r="U111" s="84" t="s">
        <v>406</v>
      </c>
      <c r="V111" s="65" t="str">
        <f>IF(P111=CURSOS!$D$3,"DIPLOMADO EN ATENCION PRE-HOSPITALARIA",IF(P111=CURSOS!$D$4,"ACOMPAÑAMIENTO Y MANEJO DEL DUELO",IF(P111=CURSOS!$D$5,"ATENCION A VICTIMAS DE ATAQUE CON AGENTES QUIMICOS ",IF(P111=CURSOS!$D$6,"PRIMEROS AUXILIOS ",IF(P111=CURSOS!$D$7,"DIPLOMADO DE UNIDAD DE CUIDADOS INTENSIVOS (UCI)",IF(P111=CURSOS!$D$8,"MODELO DE ATENCION PARA EVENTOS EMERGENTES EN SALUD MENTAL (CODIGO VERDE)",IF(P111=CURSOS!$D$9,"HUMANIZACION EN EL SERVICIO DE LA SALUD Y BUENAS PRACTICAS EN PACIENTE ",IF(P111=CURSOS!$D$10,"CLINICA DE HERIDAS ",IF(P111=CURSOS!$D$11,"TOMA DE CITOLOGIA CERVICO VAGINAL ",IF(P111=CURSOS!$D$12,"SOPORTE CARDIOVASCULAR AVANZADO (ACLS) ",IF(P111=CURSOS!$D$13,"CAMILLERO ",IF(P111=CURSOS!$D$14,"TOMA DE MUESTRAS Y LABORATORIO ",IF(P111=CURSOS!$D$15,"SOPORTE VITAL BASICO (BLS)",IF(P111=CURSOS!$D$16,"ATENCION A VICTIMAS DE VIOLENCIA SEXUAL ",IF(P111=CURSOS!$D$17,"PROGRAMADO AMPLIADO DE INMUNIZACION (PAI - COVID 19)",IF(P111=CURSOS!$D$18,"ATENCION INTEGRAL EN ENFERMEDADES PREVALENTES EN PRIMERA INFANCIA (AIEPI)",IF(P111=CURSOS!$D$19,"ADMINISTRACION DE MEDICAMENTOS, INYECTOLOGIA  Y CANALIZACION ",IF(P111=CURSOS!$D$20,"OPERADOR DE VEHICULOS DE EMERGENCIA (OVE)",IF(P111=CURSOS!$D$21,"INSTITUCIONES AMIGAS DE LA MUJER Y LA INFANCIA (IAMI)",IF(P111=CURSOS!$D$22,"CUIDADO DEL DONANTE DE ORGANOS",IF(P111=CURSOS!$D$23,"ATENCION A VICTIMAS POR VIOLENCIA DE GENERO",IF(P111=CURSOS!$D$24,"IGUALDAD DE GENERO EN LA SALUD",IF(P111=CURSOS!$D$25,"BRIGADA DE EMERGENCIA",IF(P111=CURSOS!$D$26,"MANEJO DEL DOLOR Y CUIDADOS PALIATIVOS",IF(P111=CURSOS!$D$27,"TOMA DE MUESTRAS Y LABORATORIO POCT",IF(P111=CURSOS!$D$28,"IMPLANTE SUBDERMICO DE DISPOSITIVO INTRAUTERINO",IF(P111=CURSOS!$D$29,"SALUD MENTAL",IF(P111=CURSOS!$D$30,"PRIMEROS AUXILIOS PSICOLOGICOS",IF(P111=CURSOS!$D$31,"ATENCION A VICTIMAS POR CONFLICTO ARMADO",IF(P111=CURSOS!$D$32,"MANIPULACION DE ALIMENTOS Y BPM",IF(P111=CURSOS!$D$33,"ATENCION A PERSONAS CON DISCAPACIDAD",IF(P111=CURSOS!$D$34,"CUIDADO INTEGRAL DEL PACIENTE ADULTO",IF(P111=CURSOS!$D$35,"MANEJO DEFENSIVO",IF(P111=CURSOS!$D$36,"SOPORTE CARDIOVASCULAR AVANZADO NEONATAL",IF(P111=CURSOS!$D$37,"SEGURIDAD DEL PACIENTE",IF(P111=CURSOS!$D$38,"MANEJO DE RESIDUOS HOSPITALARIOS"))))))))))))))))))))))))))))))))))))</f>
        <v>ACOMPAÑAMIENTO Y MANEJO DEL DUELO</v>
      </c>
      <c r="W111" s="65" t="str">
        <f t="shared" si="9"/>
        <v>Gloria Milena Zambrano Hoyos</v>
      </c>
      <c r="X111" s="65" t="str">
        <f t="shared" si="10"/>
        <v>Gloria Milena Zambrano Hoyos</v>
      </c>
      <c r="Y111" s="65" t="str">
        <f t="shared" si="11"/>
        <v>Gloria Milena Zambrano Hoyos-27282332-DUELO</v>
      </c>
    </row>
    <row r="112" spans="1:25" s="58" customFormat="1" x14ac:dyDescent="0.2">
      <c r="A112" s="59">
        <v>111</v>
      </c>
      <c r="B112" s="81">
        <v>1004695565</v>
      </c>
      <c r="C112" s="81" t="s">
        <v>292</v>
      </c>
      <c r="D112" s="81" t="s">
        <v>382</v>
      </c>
      <c r="E112" s="81" t="s">
        <v>121</v>
      </c>
      <c r="F112" s="81" t="s">
        <v>407</v>
      </c>
      <c r="G112" s="81">
        <v>19</v>
      </c>
      <c r="H112" s="60" t="s">
        <v>103</v>
      </c>
      <c r="I112" s="83" t="s">
        <v>123</v>
      </c>
      <c r="J112" s="83" t="s">
        <v>179</v>
      </c>
      <c r="K112" s="62">
        <v>45736</v>
      </c>
      <c r="L112" s="63">
        <v>40000</v>
      </c>
      <c r="M112" s="60" t="s">
        <v>126</v>
      </c>
      <c r="N112" s="60" t="s">
        <v>105</v>
      </c>
      <c r="O112" s="81" t="s">
        <v>106</v>
      </c>
      <c r="P112" s="60" t="s">
        <v>25</v>
      </c>
      <c r="Q112" s="61">
        <v>34479</v>
      </c>
      <c r="R112" s="81" t="s">
        <v>107</v>
      </c>
      <c r="S112" s="81" t="s">
        <v>117</v>
      </c>
      <c r="T112" s="84">
        <v>3104274398</v>
      </c>
      <c r="U112" s="60" t="s">
        <v>408</v>
      </c>
      <c r="V112" s="65" t="str">
        <f>IF(P112=CURSOS!$D$3,"DIPLOMADO EN ATENCION PRE-HOSPITALARIA",IF(P112=CURSOS!$D$4,"ACOMPAÑAMIENTO Y MANEJO DEL DUELO",IF(P112=CURSOS!$D$5,"ATENCION A VICTIMAS DE ATAQUE CON AGENTES QUIMICOS ",IF(P112=CURSOS!$D$6,"PRIMEROS AUXILIOS ",IF(P112=CURSOS!$D$7,"DIPLOMADO DE UNIDAD DE CUIDADOS INTENSIVOS (UCI)",IF(P112=CURSOS!$D$8,"MODELO DE ATENCION PARA EVENTOS EMERGENTES EN SALUD MENTAL (CODIGO VERDE)",IF(P112=CURSOS!$D$9,"HUMANIZACION EN EL SERVICIO DE LA SALUD Y BUENAS PRACTICAS EN PACIENTE ",IF(P112=CURSOS!$D$10,"CLINICA DE HERIDAS ",IF(P112=CURSOS!$D$11,"TOMA DE CITOLOGIA CERVICO VAGINAL ",IF(P112=CURSOS!$D$12,"SOPORTE CARDIOVASCULAR AVANZADO (ACLS) ",IF(P112=CURSOS!$D$13,"CAMILLERO ",IF(P112=CURSOS!$D$14,"TOMA DE MUESTRAS Y LABORATORIO ",IF(P112=CURSOS!$D$15,"SOPORTE VITAL BASICO (BLS)",IF(P112=CURSOS!$D$16,"ATENCION A VICTIMAS DE VIOLENCIA SEXUAL ",IF(P112=CURSOS!$D$17,"PROGRAMADO AMPLIADO DE INMUNIZACION (PAI - COVID 19)",IF(P112=CURSOS!$D$18,"ATENCION INTEGRAL EN ENFERMEDADES PREVALENTES EN PRIMERA INFANCIA (AIEPI)",IF(P112=CURSOS!$D$19,"ADMINISTRACION DE MEDICAMENTOS, INYECTOLOGIA  Y CANALIZACION ",IF(P112=CURSOS!$D$20,"OPERADOR DE VEHICULOS DE EMERGENCIA (OVE)",IF(P112=CURSOS!$D$21,"INSTITUCIONES AMIGAS DE LA MUJER Y LA INFANCIA (IAMI)",IF(P112=CURSOS!$D$22,"CUIDADO DEL DONANTE DE ORGANOS",IF(P112=CURSOS!$D$23,"ATENCION A VICTIMAS POR VIOLENCIA DE GENERO",IF(P112=CURSOS!$D$24,"IGUALDAD DE GENERO EN LA SALUD",IF(P112=CURSOS!$D$25,"BRIGADA DE EMERGENCIA",IF(P112=CURSOS!$D$26,"MANEJO DEL DOLOR Y CUIDADOS PALIATIVOS",IF(P112=CURSOS!$D$27,"TOMA DE MUESTRAS Y LABORATORIO POCT",IF(P112=CURSOS!$D$28,"IMPLANTE SUBDERMICO DE DISPOSITIVO INTRAUTERINO",IF(P112=CURSOS!$D$29,"SALUD MENTAL",IF(P112=CURSOS!$D$30,"PRIMEROS AUXILIOS PSICOLOGICOS",IF(P112=CURSOS!$D$31,"ATENCION A VICTIMAS POR CONFLICTO ARMADO",IF(P112=CURSOS!$D$32,"MANIPULACION DE ALIMENTOS Y BPM",IF(P112=CURSOS!$D$33,"ATENCION A PERSONAS CON DISCAPACIDAD",IF(P112=CURSOS!$D$34,"CUIDADO INTEGRAL DEL PACIENTE ADULTO",IF(P112=CURSOS!$D$35,"MANEJO DEFENSIVO",IF(P112=CURSOS!$D$36,"SOPORTE CARDIOVASCULAR AVANZADO NEONATAL",IF(P112=CURSOS!$D$37,"SEGURIDAD DEL PACIENTE",IF(P112=CURSOS!$D$38,"MANEJO DE RESIDUOS HOSPITALARIOS"))))))))))))))))))))))))))))))))))))</f>
        <v xml:space="preserve">ATENCION A VICTIMAS DE ATAQUE CON AGENTES QUIMICOS </v>
      </c>
      <c r="W112" s="65" t="str">
        <f t="shared" si="9"/>
        <v>Maria Cielo Torres Patiño</v>
      </c>
      <c r="X112" s="65" t="str">
        <f t="shared" si="10"/>
        <v>Maria Cielo Torres Patiño</v>
      </c>
      <c r="Y112" s="65" t="str">
        <f t="shared" si="11"/>
        <v>Maria Cielo Torres Patiño-1004695565-QUIMICOS</v>
      </c>
    </row>
    <row r="113" spans="1:25" s="58" customFormat="1" x14ac:dyDescent="0.2">
      <c r="A113" s="59">
        <v>112</v>
      </c>
      <c r="B113" s="81">
        <v>1004695565</v>
      </c>
      <c r="C113" s="81" t="s">
        <v>292</v>
      </c>
      <c r="D113" s="81" t="s">
        <v>382</v>
      </c>
      <c r="E113" s="81" t="s">
        <v>121</v>
      </c>
      <c r="F113" s="81" t="s">
        <v>407</v>
      </c>
      <c r="G113" s="81">
        <v>20</v>
      </c>
      <c r="H113" s="60" t="s">
        <v>103</v>
      </c>
      <c r="I113" s="83" t="s">
        <v>123</v>
      </c>
      <c r="J113" s="83" t="s">
        <v>179</v>
      </c>
      <c r="K113" s="62">
        <v>45736</v>
      </c>
      <c r="L113" s="63">
        <v>40000</v>
      </c>
      <c r="M113" s="60" t="s">
        <v>126</v>
      </c>
      <c r="N113" s="60" t="s">
        <v>105</v>
      </c>
      <c r="O113" s="81" t="s">
        <v>106</v>
      </c>
      <c r="P113" s="60" t="s">
        <v>23</v>
      </c>
      <c r="Q113" s="61">
        <v>34479</v>
      </c>
      <c r="R113" s="81" t="s">
        <v>107</v>
      </c>
      <c r="S113" s="81" t="s">
        <v>117</v>
      </c>
      <c r="T113" s="84">
        <v>3104274398</v>
      </c>
      <c r="U113" s="60" t="s">
        <v>408</v>
      </c>
      <c r="V113" s="65" t="str">
        <f>IF(P113=CURSOS!$D$3,"DIPLOMADO EN ATENCION PRE-HOSPITALARIA",IF(P113=CURSOS!$D$4,"ACOMPAÑAMIENTO Y MANEJO DEL DUELO",IF(P113=CURSOS!$D$5,"ATENCION A VICTIMAS DE ATAQUE CON AGENTES QUIMICOS ",IF(P113=CURSOS!$D$6,"PRIMEROS AUXILIOS ",IF(P113=CURSOS!$D$7,"DIPLOMADO DE UNIDAD DE CUIDADOS INTENSIVOS (UCI)",IF(P113=CURSOS!$D$8,"MODELO DE ATENCION PARA EVENTOS EMERGENTES EN SALUD MENTAL (CODIGO VERDE)",IF(P113=CURSOS!$D$9,"HUMANIZACION EN EL SERVICIO DE LA SALUD Y BUENAS PRACTICAS EN PACIENTE ",IF(P113=CURSOS!$D$10,"CLINICA DE HERIDAS ",IF(P113=CURSOS!$D$11,"TOMA DE CITOLOGIA CERVICO VAGINAL ",IF(P113=CURSOS!$D$12,"SOPORTE CARDIOVASCULAR AVANZADO (ACLS) ",IF(P113=CURSOS!$D$13,"CAMILLERO ",IF(P113=CURSOS!$D$14,"TOMA DE MUESTRAS Y LABORATORIO ",IF(P113=CURSOS!$D$15,"SOPORTE VITAL BASICO (BLS)",IF(P113=CURSOS!$D$16,"ATENCION A VICTIMAS DE VIOLENCIA SEXUAL ",IF(P113=CURSOS!$D$17,"PROGRAMADO AMPLIADO DE INMUNIZACION (PAI - COVID 19)",IF(P113=CURSOS!$D$18,"ATENCION INTEGRAL EN ENFERMEDADES PREVALENTES EN PRIMERA INFANCIA (AIEPI)",IF(P113=CURSOS!$D$19,"ADMINISTRACION DE MEDICAMENTOS, INYECTOLOGIA  Y CANALIZACION ",IF(P113=CURSOS!$D$20,"OPERADOR DE VEHICULOS DE EMERGENCIA (OVE)",IF(P113=CURSOS!$D$21,"INSTITUCIONES AMIGAS DE LA MUJER Y LA INFANCIA (IAMI)",IF(P113=CURSOS!$D$22,"CUIDADO DEL DONANTE DE ORGANOS",IF(P113=CURSOS!$D$23,"ATENCION A VICTIMAS POR VIOLENCIA DE GENERO",IF(P113=CURSOS!$D$24,"IGUALDAD DE GENERO EN LA SALUD",IF(P113=CURSOS!$D$25,"BRIGADA DE EMERGENCIA",IF(P113=CURSOS!$D$26,"MANEJO DEL DOLOR Y CUIDADOS PALIATIVOS",IF(P113=CURSOS!$D$27,"TOMA DE MUESTRAS Y LABORATORIO POCT",IF(P113=CURSOS!$D$28,"IMPLANTE SUBDERMICO DE DISPOSITIVO INTRAUTERINO",IF(P113=CURSOS!$D$29,"SALUD MENTAL",IF(P113=CURSOS!$D$30,"PRIMEROS AUXILIOS PSICOLOGICOS",IF(P113=CURSOS!$D$31,"ATENCION A VICTIMAS POR CONFLICTO ARMADO",IF(P113=CURSOS!$D$32,"MANIPULACION DE ALIMENTOS Y BPM",IF(P113=CURSOS!$D$33,"ATENCION A PERSONAS CON DISCAPACIDAD",IF(P113=CURSOS!$D$34,"CUIDADO INTEGRAL DEL PACIENTE ADULTO",IF(P113=CURSOS!$D$35,"MANEJO DEFENSIVO",IF(P113=CURSOS!$D$36,"SOPORTE CARDIOVASCULAR AVANZADO NEONATAL",IF(P113=CURSOS!$D$37,"SEGURIDAD DEL PACIENTE",IF(P113=CURSOS!$D$38,"MANEJO DE RESIDUOS HOSPITALARIOS"))))))))))))))))))))))))))))))))))))</f>
        <v>ACOMPAÑAMIENTO Y MANEJO DEL DUELO</v>
      </c>
      <c r="W113" s="65" t="str">
        <f t="shared" si="9"/>
        <v>Maria Cielo Torres Patiño</v>
      </c>
      <c r="X113" s="65" t="str">
        <f t="shared" si="10"/>
        <v>Maria Cielo Torres Patiño</v>
      </c>
      <c r="Y113" s="65" t="str">
        <f t="shared" si="11"/>
        <v>Maria Cielo Torres Patiño-1004695565-DUELO</v>
      </c>
    </row>
    <row r="114" spans="1:25" s="58" customFormat="1" x14ac:dyDescent="0.2">
      <c r="A114" s="59">
        <v>113</v>
      </c>
      <c r="B114" s="81">
        <v>1085926472</v>
      </c>
      <c r="C114" s="81" t="s">
        <v>150</v>
      </c>
      <c r="D114" s="81" t="s">
        <v>185</v>
      </c>
      <c r="E114" s="81" t="s">
        <v>409</v>
      </c>
      <c r="F114" s="81" t="s">
        <v>410</v>
      </c>
      <c r="G114" s="81">
        <v>20</v>
      </c>
      <c r="H114" s="60" t="s">
        <v>103</v>
      </c>
      <c r="I114" s="83" t="s">
        <v>123</v>
      </c>
      <c r="J114" s="83" t="s">
        <v>179</v>
      </c>
      <c r="K114" s="62">
        <v>45736</v>
      </c>
      <c r="L114" s="63">
        <v>40000</v>
      </c>
      <c r="M114" s="60" t="s">
        <v>156</v>
      </c>
      <c r="N114" s="60" t="s">
        <v>105</v>
      </c>
      <c r="O114" s="81" t="s">
        <v>106</v>
      </c>
      <c r="P114" s="60" t="s">
        <v>19</v>
      </c>
      <c r="Q114" s="61">
        <v>33632</v>
      </c>
      <c r="R114" s="81" t="s">
        <v>107</v>
      </c>
      <c r="S114" s="81" t="s">
        <v>117</v>
      </c>
      <c r="T114" s="84">
        <v>3167910428</v>
      </c>
      <c r="U114" s="60" t="s">
        <v>411</v>
      </c>
      <c r="V114" s="65" t="str">
        <f>IF(P114=CURSOS!$D$3,"DIPLOMADO EN ATENCION PRE-HOSPITALARIA",IF(P114=CURSOS!$D$4,"ACOMPAÑAMIENTO Y MANEJO DEL DUELO",IF(P114=CURSOS!$D$5,"ATENCION A VICTIMAS DE ATAQUE CON AGENTES QUIMICOS ",IF(P114=CURSOS!$D$6,"PRIMEROS AUXILIOS ",IF(P114=CURSOS!$D$7,"DIPLOMADO DE UNIDAD DE CUIDADOS INTENSIVOS (UCI)",IF(P114=CURSOS!$D$8,"MODELO DE ATENCION PARA EVENTOS EMERGENTES EN SALUD MENTAL (CODIGO VERDE)",IF(P114=CURSOS!$D$9,"HUMANIZACION EN EL SERVICIO DE LA SALUD Y BUENAS PRACTICAS EN PACIENTE ",IF(P114=CURSOS!$D$10,"CLINICA DE HERIDAS ",IF(P114=CURSOS!$D$11,"TOMA DE CITOLOGIA CERVICO VAGINAL ",IF(P114=CURSOS!$D$12,"SOPORTE CARDIOVASCULAR AVANZADO (ACLS) ",IF(P114=CURSOS!$D$13,"CAMILLERO ",IF(P114=CURSOS!$D$14,"TOMA DE MUESTRAS Y LABORATORIO ",IF(P114=CURSOS!$D$15,"SOPORTE VITAL BASICO (BLS)",IF(P114=CURSOS!$D$16,"ATENCION A VICTIMAS DE VIOLENCIA SEXUAL ",IF(P114=CURSOS!$D$17,"PROGRAMADO AMPLIADO DE INMUNIZACION (PAI - COVID 19)",IF(P114=CURSOS!$D$18,"ATENCION INTEGRAL EN ENFERMEDADES PREVALENTES EN PRIMERA INFANCIA (AIEPI)",IF(P114=CURSOS!$D$19,"ADMINISTRACION DE MEDICAMENTOS, INYECTOLOGIA  Y CANALIZACION ",IF(P114=CURSOS!$D$20,"OPERADOR DE VEHICULOS DE EMERGENCIA (OVE)",IF(P114=CURSOS!$D$21,"INSTITUCIONES AMIGAS DE LA MUJER Y LA INFANCIA (IAMI)",IF(P114=CURSOS!$D$22,"CUIDADO DEL DONANTE DE ORGANOS",IF(P114=CURSOS!$D$23,"ATENCION A VICTIMAS POR VIOLENCIA DE GENERO",IF(P114=CURSOS!$D$24,"IGUALDAD DE GENERO EN LA SALUD",IF(P114=CURSOS!$D$25,"BRIGADA DE EMERGENCIA",IF(P114=CURSOS!$D$26,"MANEJO DEL DOLOR Y CUIDADOS PALIATIVOS",IF(P114=CURSOS!$D$27,"TOMA DE MUESTRAS Y LABORATORIO POCT",IF(P114=CURSOS!$D$28,"IMPLANTE SUBDERMICO DE DISPOSITIVO INTRAUTERINO",IF(P114=CURSOS!$D$29,"SALUD MENTAL",IF(P114=CURSOS!$D$30,"PRIMEROS AUXILIOS PSICOLOGICOS",IF(P114=CURSOS!$D$31,"ATENCION A VICTIMAS POR CONFLICTO ARMADO",IF(P114=CURSOS!$D$32,"MANIPULACION DE ALIMENTOS Y BPM",IF(P114=CURSOS!$D$33,"ATENCION A PERSONAS CON DISCAPACIDAD",IF(P114=CURSOS!$D$34,"CUIDADO INTEGRAL DEL PACIENTE ADULTO",IF(P114=CURSOS!$D$35,"MANEJO DEFENSIVO",IF(P114=CURSOS!$D$36,"SOPORTE CARDIOVASCULAR AVANZADO NEONATAL",IF(P114=CURSOS!$D$37,"SEGURIDAD DEL PACIENTE",IF(P114=CURSOS!$D$38,"MANEJO DE RESIDUOS HOSPITALARIOS"))))))))))))))))))))))))))))))))))))</f>
        <v>SOPORTE VITAL BASICO (BLS)</v>
      </c>
      <c r="W114" s="65" t="str">
        <f t="shared" si="9"/>
        <v>Yeniffer Stefani Rosero Estrada</v>
      </c>
      <c r="X114" s="65" t="str">
        <f t="shared" si="10"/>
        <v>Yeniffer Stefani Rosero Estrada</v>
      </c>
      <c r="Y114" s="65" t="str">
        <f t="shared" si="11"/>
        <v>Yeniffer Stefani Rosero Estrada-1085926472-BLS</v>
      </c>
    </row>
    <row r="115" spans="1:25" s="58" customFormat="1" x14ac:dyDescent="0.2">
      <c r="A115" s="59">
        <v>114</v>
      </c>
      <c r="B115" s="60">
        <v>1085339148</v>
      </c>
      <c r="C115" s="81" t="s">
        <v>199</v>
      </c>
      <c r="D115" s="81" t="s">
        <v>238</v>
      </c>
      <c r="E115" s="81" t="s">
        <v>412</v>
      </c>
      <c r="F115" s="81" t="s">
        <v>413</v>
      </c>
      <c r="G115" s="81">
        <v>19</v>
      </c>
      <c r="H115" s="60" t="s">
        <v>103</v>
      </c>
      <c r="I115" s="83" t="s">
        <v>104</v>
      </c>
      <c r="J115" s="83" t="s">
        <v>167</v>
      </c>
      <c r="K115" s="62">
        <v>45735</v>
      </c>
      <c r="L115" s="63">
        <v>40000</v>
      </c>
      <c r="M115" s="60" t="s">
        <v>156</v>
      </c>
      <c r="N115" s="60" t="s">
        <v>105</v>
      </c>
      <c r="O115" s="60" t="s">
        <v>167</v>
      </c>
      <c r="P115" s="60" t="s">
        <v>59</v>
      </c>
      <c r="Q115" s="61">
        <v>35849</v>
      </c>
      <c r="R115" s="81" t="s">
        <v>107</v>
      </c>
      <c r="S115" s="60" t="s">
        <v>117</v>
      </c>
      <c r="T115" s="60">
        <v>3215330359</v>
      </c>
      <c r="U115" s="60" t="s">
        <v>414</v>
      </c>
      <c r="V115" s="65" t="str">
        <f>IF(P115=CURSOS!$D$3,"DIPLOMADO EN ATENCION PRE-HOSPITALARIA",IF(P115=CURSOS!$D$4,"ACOMPAÑAMIENTO Y MANEJO DEL DUELO",IF(P115=CURSOS!$D$5,"ATENCION A VICTIMAS DE ATAQUE CON AGENTES QUIMICOS ",IF(P115=CURSOS!$D$6,"PRIMEROS AUXILIOS ",IF(P115=CURSOS!$D$7,"DIPLOMADO DE UNIDAD DE CUIDADOS INTENSIVOS (UCI)",IF(P115=CURSOS!$D$8,"MODELO DE ATENCION PARA EVENTOS EMERGENTES EN SALUD MENTAL (CODIGO VERDE)",IF(P115=CURSOS!$D$9,"HUMANIZACION EN EL SERVICIO DE LA SALUD Y BUENAS PRACTICAS EN PACIENTE ",IF(P115=CURSOS!$D$10,"CLINICA DE HERIDAS ",IF(P115=CURSOS!$D$11,"TOMA DE CITOLOGIA CERVICO VAGINAL ",IF(P115=CURSOS!$D$12,"SOPORTE CARDIOVASCULAR AVANZADO (ACLS) ",IF(P115=CURSOS!$D$13,"CAMILLERO ",IF(P115=CURSOS!$D$14,"TOMA DE MUESTRAS Y LABORATORIO ",IF(P115=CURSOS!$D$15,"SOPORTE VITAL BASICO (BLS)",IF(P115=CURSOS!$D$16,"ATENCION A VICTIMAS DE VIOLENCIA SEXUAL ",IF(P115=CURSOS!$D$17,"PROGRAMADO AMPLIADO DE INMUNIZACION (PAI - COVID 19)",IF(P115=CURSOS!$D$18,"ATENCION INTEGRAL EN ENFERMEDADES PREVALENTES EN PRIMERA INFANCIA (AIEPI)",IF(P115=CURSOS!$D$19,"ADMINISTRACION DE MEDICAMENTOS, INYECTOLOGIA  Y CANALIZACION ",IF(P115=CURSOS!$D$20,"OPERADOR DE VEHICULOS DE EMERGENCIA (OVE)",IF(P115=CURSOS!$D$21,"INSTITUCIONES AMIGAS DE LA MUJER Y LA INFANCIA (IAMI)",IF(P115=CURSOS!$D$22,"CUIDADO DEL DONANTE DE ORGANOS",IF(P115=CURSOS!$D$23,"ATENCION A VICTIMAS POR VIOLENCIA DE GENERO",IF(P115=CURSOS!$D$24,"IGUALDAD DE GENERO EN LA SALUD",IF(P115=CURSOS!$D$25,"BRIGADA DE EMERGENCIA",IF(P115=CURSOS!$D$26,"MANEJO DEL DOLOR Y CUIDADOS PALIATIVOS",IF(P115=CURSOS!$D$27,"TOMA DE MUESTRAS Y LABORATORIO POCT",IF(P115=CURSOS!$D$28,"IMPLANTE SUBDERMICO DE DISPOSITIVO INTRAUTERINO",IF(P115=CURSOS!$D$29,"SALUD MENTAL",IF(P115=CURSOS!$D$30,"PRIMEROS AUXILIOS PSICOLOGICOS",IF(P115=CURSOS!$D$31,"ATENCION A VICTIMAS POR CONFLICTO ARMADO",IF(P115=CURSOS!$D$32,"MANIPULACION DE ALIMENTOS Y BPM",IF(P115=CURSOS!$D$33,"ATENCION A PERSONAS CON DISCAPACIDAD",IF(P115=CURSOS!$D$34,"CUIDADO INTEGRAL DEL PACIENTE ADULTO",IF(P115=CURSOS!$D$35,"MANEJO DEFENSIVO",IF(P115=CURSOS!$D$36,"SOPORTE CARDIOVASCULAR AVANZADO NEONATAL",IF(P115=CURSOS!$D$37,"SEGURIDAD DEL PACIENTE",IF(P115=CURSOS!$D$38,"MANEJO DE RESIDUOS HOSPITALARIOS"))))))))))))))))))))))))))))))))))))</f>
        <v>TOMA DE MUESTRAS Y LABORATORIO POCT</v>
      </c>
      <c r="W115" s="65" t="str">
        <f t="shared" si="9"/>
        <v>Angie Katherine Muñoz Guerrero</v>
      </c>
      <c r="X115" s="65" t="str">
        <f t="shared" si="10"/>
        <v>Angie Katherine Muñoz Guerrero</v>
      </c>
      <c r="Y115" s="65" t="str">
        <f t="shared" si="11"/>
        <v>Angie Katherine Muñoz Guerrero-1085339148-POCT</v>
      </c>
    </row>
    <row r="116" spans="1:25" s="58" customFormat="1" x14ac:dyDescent="0.2">
      <c r="A116" s="59">
        <v>115</v>
      </c>
      <c r="B116" s="60">
        <v>1085311643</v>
      </c>
      <c r="C116" s="60" t="s">
        <v>160</v>
      </c>
      <c r="D116" s="60" t="s">
        <v>308</v>
      </c>
      <c r="E116" s="60" t="s">
        <v>309</v>
      </c>
      <c r="F116" s="60" t="s">
        <v>201</v>
      </c>
      <c r="G116" s="60">
        <v>17</v>
      </c>
      <c r="H116" s="60" t="s">
        <v>103</v>
      </c>
      <c r="I116" s="61" t="s">
        <v>104</v>
      </c>
      <c r="J116" s="61"/>
      <c r="K116" s="62">
        <v>45729</v>
      </c>
      <c r="L116" s="63">
        <v>65000</v>
      </c>
      <c r="M116" s="60" t="s">
        <v>159</v>
      </c>
      <c r="N116" s="60" t="s">
        <v>105</v>
      </c>
      <c r="O116" s="60" t="s">
        <v>106</v>
      </c>
      <c r="P116" s="60" t="s">
        <v>45</v>
      </c>
      <c r="Q116" s="61">
        <v>34418</v>
      </c>
      <c r="R116" s="60" t="s">
        <v>139</v>
      </c>
      <c r="S116" s="64" t="s">
        <v>117</v>
      </c>
      <c r="T116" s="60">
        <v>3159572023</v>
      </c>
      <c r="U116" s="64" t="s">
        <v>310</v>
      </c>
      <c r="V116" s="65" t="str">
        <f>IF(P116=CURSOS!$D$3,"DIPLOMADO EN ATENCION PRE-HOSPITALARIA",IF(P116=CURSOS!$D$4,"ACOMPAÑAMIENTO Y MANEJO DEL DUELO",IF(P116=CURSOS!$D$5,"ATENCION A VICTIMAS DE ATAQUE CON AGENTES QUIMICOS ",IF(P116=CURSOS!$D$6,"PRIMEROS AUXILIOS ",IF(P116=CURSOS!$D$7,"DIPLOMADO DE UNIDAD DE CUIDADOS INTENSIVOS (UCI)",IF(P116=CURSOS!$D$8,"MODELO DE ATENCION PARA EVENTOS EMERGENTES EN SALUD MENTAL (CODIGO VERDE)",IF(P116=CURSOS!$D$9,"HUMANIZACION EN EL SERVICIO DE LA SALUD Y BUENAS PRACTICAS EN PACIENTE ",IF(P116=CURSOS!$D$10,"CLINICA DE HERIDAS ",IF(P116=CURSOS!$D$11,"TOMA DE CITOLOGIA CERVICO VAGINAL ",IF(P116=CURSOS!$D$12,"SOPORTE CARDIOVASCULAR AVANZADO (ACLS) ",IF(P116=CURSOS!$D$13,"CAMILLERO ",IF(P116=CURSOS!$D$14,"TOMA DE MUESTRAS Y LABORATORIO ",IF(P116=CURSOS!$D$15,"SOPORTE VITAL BASICO (BLS)",IF(P116=CURSOS!$D$16,"ATENCION A VICTIMAS DE VIOLENCIA SEXUAL ",IF(P116=CURSOS!$D$17,"PROGRAMADO AMPLIADO DE INMUNIZACION (PAI - COVID 19)",IF(P116=CURSOS!$D$18,"ATENCION INTEGRAL EN ENFERMEDADES PREVALENTES EN PRIMERA INFANCIA (AIEPI)",IF(P116=CURSOS!$D$19,"ADMINISTRACION DE MEDICAMENTOS, INYECTOLOGIA  Y CANALIZACION ",IF(P116=CURSOS!$D$20,"OPERADOR DE VEHICULOS DE EMERGENCIA (OVE)",IF(P116=CURSOS!$D$21,"INSTITUCIONES AMIGAS DE LA MUJER Y LA INFANCIA (IAMI)",IF(P116=CURSOS!$D$22,"CUIDADO DEL DONANTE DE ORGANOS",IF(P116=CURSOS!$D$23,"ATENCION A VICTIMAS POR VIOLENCIA DE GENERO",IF(P116=CURSOS!$D$24,"IGUALDAD DE GENERO EN LA SALUD",IF(P116=CURSOS!$D$25,"BRIGADA DE EMERGENCIA",IF(P116=CURSOS!$D$26,"MANEJO DEL DOLOR Y CUIDADOS PALIATIVOS",IF(P116=CURSOS!$D$27,"TOMA DE MUESTRAS Y LABORATORIO POCT",IF(P116=CURSOS!$D$28,"IMPLANTE SUBDERMICO DE DISPOSITIVO INTRAUTERINO",IF(P116=CURSOS!$D$29,"SALUD MENTAL",IF(P116=CURSOS!$D$30,"PRIMEROS AUXILIOS PSICOLOGICOS",IF(P116=CURSOS!$D$31,"ATENCION A VICTIMAS POR CONFLICTO ARMADO",IF(P116=CURSOS!$D$32,"MANIPULACION DE ALIMENTOS Y BPM",IF(P116=CURSOS!$D$33,"ATENCION A PERSONAS CON DISCAPACIDAD",IF(P116=CURSOS!$D$34,"CUIDADO INTEGRAL DEL PACIENTE ADULTO",IF(P116=CURSOS!$D$35,"MANEJO DEFENSIVO",IF(P116=CURSOS!$D$36,"SOPORTE CARDIOVASCULAR AVANZADO NEONATAL",IF(P116=CURSOS!$D$37,"SEGURIDAD DEL PACIENTE",IF(P116=CURSOS!$D$38,"MANEJO DE RESIDUOS HOSPITALARIOS"))))))))))))))))))))))))))))))))))))</f>
        <v xml:space="preserve">ADMINISTRACION DE MEDICAMENTOS, INYECTOLOGIA  Y CANALIZACION </v>
      </c>
      <c r="W116" s="65" t="str">
        <f t="shared" ref="W116:W179" si="12">CONCATENATE(E116," ",F116," ",C116," ",D116)</f>
        <v>Cristian Alejandro Benavides Herrera</v>
      </c>
      <c r="X116" s="65" t="str">
        <f t="shared" ref="X116:X179" si="13">PROPER(W116)</f>
        <v>Cristian Alejandro Benavides Herrera</v>
      </c>
      <c r="Y116" s="65" t="str">
        <f t="shared" ref="Y116:Y179" si="14">CONCATENATE(W116,"-",B116,"-",P116)</f>
        <v>Cristian Alejandro Benavides Herrera-1085311643-ADMON DE MEDICAMENTOS</v>
      </c>
    </row>
    <row r="117" spans="1:25" s="58" customFormat="1" x14ac:dyDescent="0.2">
      <c r="A117" s="59">
        <v>116</v>
      </c>
      <c r="B117" s="60">
        <v>1085311643</v>
      </c>
      <c r="C117" s="60" t="s">
        <v>160</v>
      </c>
      <c r="D117" s="60" t="s">
        <v>308</v>
      </c>
      <c r="E117" s="60" t="s">
        <v>309</v>
      </c>
      <c r="F117" s="60" t="s">
        <v>201</v>
      </c>
      <c r="G117" s="60">
        <v>18</v>
      </c>
      <c r="H117" s="60" t="s">
        <v>103</v>
      </c>
      <c r="I117" s="61" t="s">
        <v>104</v>
      </c>
      <c r="J117" s="61"/>
      <c r="K117" s="62" t="s">
        <v>415</v>
      </c>
      <c r="L117" s="63">
        <v>65000</v>
      </c>
      <c r="M117" s="60" t="s">
        <v>159</v>
      </c>
      <c r="N117" s="60" t="s">
        <v>105</v>
      </c>
      <c r="O117" s="60" t="s">
        <v>106</v>
      </c>
      <c r="P117" s="60" t="s">
        <v>42</v>
      </c>
      <c r="Q117" s="61">
        <v>34418</v>
      </c>
      <c r="R117" s="60" t="s">
        <v>139</v>
      </c>
      <c r="S117" s="64" t="s">
        <v>117</v>
      </c>
      <c r="T117" s="60">
        <v>3159572023</v>
      </c>
      <c r="U117" s="64" t="s">
        <v>310</v>
      </c>
      <c r="V117" s="65" t="str">
        <f>IF(P117=CURSOS!$D$3,"DIPLOMADO EN ATENCION PRE-HOSPITALARIA",IF(P117=CURSOS!$D$4,"ACOMPAÑAMIENTO Y MANEJO DEL DUELO",IF(P117=CURSOS!$D$5,"ATENCION A VICTIMAS DE ATAQUE CON AGENTES QUIMICOS ",IF(P117=CURSOS!$D$6,"PRIMEROS AUXILIOS ",IF(P117=CURSOS!$D$7,"DIPLOMADO DE UNIDAD DE CUIDADOS INTENSIVOS (UCI)",IF(P117=CURSOS!$D$8,"MODELO DE ATENCION PARA EVENTOS EMERGENTES EN SALUD MENTAL (CODIGO VERDE)",IF(P117=CURSOS!$D$9,"HUMANIZACION EN EL SERVICIO DE LA SALUD Y BUENAS PRACTICAS EN PACIENTE ",IF(P117=CURSOS!$D$10,"CLINICA DE HERIDAS ",IF(P117=CURSOS!$D$11,"TOMA DE CITOLOGIA CERVICO VAGINAL ",IF(P117=CURSOS!$D$12,"SOPORTE CARDIOVASCULAR AVANZADO (ACLS) ",IF(P117=CURSOS!$D$13,"CAMILLERO ",IF(P117=CURSOS!$D$14,"TOMA DE MUESTRAS Y LABORATORIO ",IF(P117=CURSOS!$D$15,"SOPORTE VITAL BASICO (BLS)",IF(P117=CURSOS!$D$16,"ATENCION A VICTIMAS DE VIOLENCIA SEXUAL ",IF(P117=CURSOS!$D$17,"PROGRAMADO AMPLIADO DE INMUNIZACION (PAI - COVID 19)",IF(P117=CURSOS!$D$18,"ATENCION INTEGRAL EN ENFERMEDADES PREVALENTES EN PRIMERA INFANCIA (AIEPI)",IF(P117=CURSOS!$D$19,"ADMINISTRACION DE MEDICAMENTOS, INYECTOLOGIA  Y CANALIZACION ",IF(P117=CURSOS!$D$20,"OPERADOR DE VEHICULOS DE EMERGENCIA (OVE)",IF(P117=CURSOS!$D$21,"INSTITUCIONES AMIGAS DE LA MUJER Y LA INFANCIA (IAMI)",IF(P117=CURSOS!$D$22,"CUIDADO DEL DONANTE DE ORGANOS",IF(P117=CURSOS!$D$23,"ATENCION A VICTIMAS POR VIOLENCIA DE GENERO",IF(P117=CURSOS!$D$24,"IGUALDAD DE GENERO EN LA SALUD",IF(P117=CURSOS!$D$25,"BRIGADA DE EMERGENCIA",IF(P117=CURSOS!$D$26,"MANEJO DEL DOLOR Y CUIDADOS PALIATIVOS",IF(P117=CURSOS!$D$27,"TOMA DE MUESTRAS Y LABORATORIO POCT",IF(P117=CURSOS!$D$28,"IMPLANTE SUBDERMICO DE DISPOSITIVO INTRAUTERINO",IF(P117=CURSOS!$D$29,"SALUD MENTAL",IF(P117=CURSOS!$D$30,"PRIMEROS AUXILIOS PSICOLOGICOS",IF(P117=CURSOS!$D$31,"ATENCION A VICTIMAS POR CONFLICTO ARMADO",IF(P117=CURSOS!$D$32,"MANIPULACION DE ALIMENTOS Y BPM",IF(P117=CURSOS!$D$33,"ATENCION A PERSONAS CON DISCAPACIDAD",IF(P117=CURSOS!$D$34,"CUIDADO INTEGRAL DEL PACIENTE ADULTO",IF(P117=CURSOS!$D$35,"MANEJO DEFENSIVO",IF(P117=CURSOS!$D$36,"SOPORTE CARDIOVASCULAR AVANZADO NEONATAL",IF(P117=CURSOS!$D$37,"SEGURIDAD DEL PACIENTE",IF(P117=CURSOS!$D$38,"MANEJO DE RESIDUOS HOSPITALARIOS"))))))))))))))))))))))))))))))))))))</f>
        <v xml:space="preserve">ATENCION A VICTIMAS DE VIOLENCIA SEXUAL </v>
      </c>
      <c r="W117" s="65" t="str">
        <f t="shared" si="12"/>
        <v>Cristian Alejandro Benavides Herrera</v>
      </c>
      <c r="X117" s="65" t="str">
        <f t="shared" si="13"/>
        <v>Cristian Alejandro Benavides Herrera</v>
      </c>
      <c r="Y117" s="65" t="str">
        <f t="shared" si="14"/>
        <v>Cristian Alejandro Benavides Herrera-1085311643-VIOLENCIA SEXUAL</v>
      </c>
    </row>
    <row r="118" spans="1:25" s="58" customFormat="1" x14ac:dyDescent="0.2">
      <c r="A118" s="59">
        <v>117</v>
      </c>
      <c r="B118" s="60">
        <v>1085311643</v>
      </c>
      <c r="C118" s="60" t="s">
        <v>160</v>
      </c>
      <c r="D118" s="60" t="s">
        <v>308</v>
      </c>
      <c r="E118" s="60" t="s">
        <v>309</v>
      </c>
      <c r="F118" s="60" t="s">
        <v>201</v>
      </c>
      <c r="G118" s="60">
        <v>19</v>
      </c>
      <c r="H118" s="60" t="s">
        <v>103</v>
      </c>
      <c r="I118" s="61" t="s">
        <v>104</v>
      </c>
      <c r="J118" s="61"/>
      <c r="K118" s="62">
        <v>45729</v>
      </c>
      <c r="L118" s="63">
        <v>162000</v>
      </c>
      <c r="M118" s="60" t="s">
        <v>159</v>
      </c>
      <c r="N118" s="60" t="s">
        <v>105</v>
      </c>
      <c r="O118" s="60" t="s">
        <v>106</v>
      </c>
      <c r="P118" s="60" t="s">
        <v>25</v>
      </c>
      <c r="Q118" s="61">
        <v>34418</v>
      </c>
      <c r="R118" s="60" t="s">
        <v>139</v>
      </c>
      <c r="S118" s="64" t="s">
        <v>117</v>
      </c>
      <c r="T118" s="60">
        <v>3159572023</v>
      </c>
      <c r="U118" s="64" t="s">
        <v>310</v>
      </c>
      <c r="V118" s="65" t="str">
        <f>IF(P118=CURSOS!$D$3,"DIPLOMADO EN ATENCION PRE-HOSPITALARIA",IF(P118=CURSOS!$D$4,"ACOMPAÑAMIENTO Y MANEJO DEL DUELO",IF(P118=CURSOS!$D$5,"ATENCION A VICTIMAS DE ATAQUE CON AGENTES QUIMICOS ",IF(P118=CURSOS!$D$6,"PRIMEROS AUXILIOS ",IF(P118=CURSOS!$D$7,"DIPLOMADO DE UNIDAD DE CUIDADOS INTENSIVOS (UCI)",IF(P118=CURSOS!$D$8,"MODELO DE ATENCION PARA EVENTOS EMERGENTES EN SALUD MENTAL (CODIGO VERDE)",IF(P118=CURSOS!$D$9,"HUMANIZACION EN EL SERVICIO DE LA SALUD Y BUENAS PRACTICAS EN PACIENTE ",IF(P118=CURSOS!$D$10,"CLINICA DE HERIDAS ",IF(P118=CURSOS!$D$11,"TOMA DE CITOLOGIA CERVICO VAGINAL ",IF(P118=CURSOS!$D$12,"SOPORTE CARDIOVASCULAR AVANZADO (ACLS) ",IF(P118=CURSOS!$D$13,"CAMILLERO ",IF(P118=CURSOS!$D$14,"TOMA DE MUESTRAS Y LABORATORIO ",IF(P118=CURSOS!$D$15,"SOPORTE VITAL BASICO (BLS)",IF(P118=CURSOS!$D$16,"ATENCION A VICTIMAS DE VIOLENCIA SEXUAL ",IF(P118=CURSOS!$D$17,"PROGRAMADO AMPLIADO DE INMUNIZACION (PAI - COVID 19)",IF(P118=CURSOS!$D$18,"ATENCION INTEGRAL EN ENFERMEDADES PREVALENTES EN PRIMERA INFANCIA (AIEPI)",IF(P118=CURSOS!$D$19,"ADMINISTRACION DE MEDICAMENTOS, INYECTOLOGIA  Y CANALIZACION ",IF(P118=CURSOS!$D$20,"OPERADOR DE VEHICULOS DE EMERGENCIA (OVE)",IF(P118=CURSOS!$D$21,"INSTITUCIONES AMIGAS DE LA MUJER Y LA INFANCIA (IAMI)",IF(P118=CURSOS!$D$22,"CUIDADO DEL DONANTE DE ORGANOS",IF(P118=CURSOS!$D$23,"ATENCION A VICTIMAS POR VIOLENCIA DE GENERO",IF(P118=CURSOS!$D$24,"IGUALDAD DE GENERO EN LA SALUD",IF(P118=CURSOS!$D$25,"BRIGADA DE EMERGENCIA",IF(P118=CURSOS!$D$26,"MANEJO DEL DOLOR Y CUIDADOS PALIATIVOS",IF(P118=CURSOS!$D$27,"TOMA DE MUESTRAS Y LABORATORIO POCT",IF(P118=CURSOS!$D$28,"IMPLANTE SUBDERMICO DE DISPOSITIVO INTRAUTERINO",IF(P118=CURSOS!$D$29,"SALUD MENTAL",IF(P118=CURSOS!$D$30,"PRIMEROS AUXILIOS PSICOLOGICOS",IF(P118=CURSOS!$D$31,"ATENCION A VICTIMAS POR CONFLICTO ARMADO",IF(P118=CURSOS!$D$32,"MANIPULACION DE ALIMENTOS Y BPM",IF(P118=CURSOS!$D$33,"ATENCION A PERSONAS CON DISCAPACIDAD",IF(P118=CURSOS!$D$34,"CUIDADO INTEGRAL DEL PACIENTE ADULTO",IF(P118=CURSOS!$D$35,"MANEJO DEFENSIVO",IF(P118=CURSOS!$D$36,"SOPORTE CARDIOVASCULAR AVANZADO NEONATAL",IF(P118=CURSOS!$D$37,"SEGURIDAD DEL PACIENTE",IF(P118=CURSOS!$D$38,"MANEJO DE RESIDUOS HOSPITALARIOS"))))))))))))))))))))))))))))))))))))</f>
        <v xml:space="preserve">ATENCION A VICTIMAS DE ATAQUE CON AGENTES QUIMICOS </v>
      </c>
      <c r="W118" s="65" t="str">
        <f t="shared" si="12"/>
        <v>Cristian Alejandro Benavides Herrera</v>
      </c>
      <c r="X118" s="65" t="str">
        <f t="shared" si="13"/>
        <v>Cristian Alejandro Benavides Herrera</v>
      </c>
      <c r="Y118" s="65" t="str">
        <f t="shared" si="14"/>
        <v>Cristian Alejandro Benavides Herrera-1085311643-QUIMICOS</v>
      </c>
    </row>
    <row r="119" spans="1:25" s="58" customFormat="1" x14ac:dyDescent="0.2">
      <c r="A119" s="59">
        <v>118</v>
      </c>
      <c r="B119" s="60">
        <v>1085311643</v>
      </c>
      <c r="C119" s="60" t="s">
        <v>160</v>
      </c>
      <c r="D119" s="60" t="s">
        <v>308</v>
      </c>
      <c r="E119" s="60" t="s">
        <v>309</v>
      </c>
      <c r="F119" s="60" t="s">
        <v>201</v>
      </c>
      <c r="G119" s="60">
        <v>20</v>
      </c>
      <c r="H119" s="60" t="s">
        <v>103</v>
      </c>
      <c r="I119" s="61" t="s">
        <v>104</v>
      </c>
      <c r="J119" s="61"/>
      <c r="K119" s="62">
        <v>45729</v>
      </c>
      <c r="L119" s="63">
        <v>162000</v>
      </c>
      <c r="M119" s="60" t="s">
        <v>159</v>
      </c>
      <c r="N119" s="60" t="s">
        <v>105</v>
      </c>
      <c r="O119" s="60" t="s">
        <v>106</v>
      </c>
      <c r="P119" s="60" t="s">
        <v>32</v>
      </c>
      <c r="Q119" s="61">
        <v>34418</v>
      </c>
      <c r="R119" s="60" t="s">
        <v>139</v>
      </c>
      <c r="S119" s="64" t="s">
        <v>117</v>
      </c>
      <c r="T119" s="60">
        <v>3159572023</v>
      </c>
      <c r="U119" s="64" t="s">
        <v>310</v>
      </c>
      <c r="V119" s="65" t="str">
        <f>IF(P119=CURSOS!$D$3,"DIPLOMADO EN ATENCION PRE-HOSPITALARIA",IF(P119=CURSOS!$D$4,"ACOMPAÑAMIENTO Y MANEJO DEL DUELO",IF(P119=CURSOS!$D$5,"ATENCION A VICTIMAS DE ATAQUE CON AGENTES QUIMICOS ",IF(P119=CURSOS!$D$6,"PRIMEROS AUXILIOS ",IF(P119=CURSOS!$D$7,"DIPLOMADO DE UNIDAD DE CUIDADOS INTENSIVOS (UCI)",IF(P119=CURSOS!$D$8,"MODELO DE ATENCION PARA EVENTOS EMERGENTES EN SALUD MENTAL (CODIGO VERDE)",IF(P119=CURSOS!$D$9,"HUMANIZACION EN EL SERVICIO DE LA SALUD Y BUENAS PRACTICAS EN PACIENTE ",IF(P119=CURSOS!$D$10,"CLINICA DE HERIDAS ",IF(P119=CURSOS!$D$11,"TOMA DE CITOLOGIA CERVICO VAGINAL ",IF(P119=CURSOS!$D$12,"SOPORTE CARDIOVASCULAR AVANZADO (ACLS) ",IF(P119=CURSOS!$D$13,"CAMILLERO ",IF(P119=CURSOS!$D$14,"TOMA DE MUESTRAS Y LABORATORIO ",IF(P119=CURSOS!$D$15,"SOPORTE VITAL BASICO (BLS)",IF(P119=CURSOS!$D$16,"ATENCION A VICTIMAS DE VIOLENCIA SEXUAL ",IF(P119=CURSOS!$D$17,"PROGRAMADO AMPLIADO DE INMUNIZACION (PAI - COVID 19)",IF(P119=CURSOS!$D$18,"ATENCION INTEGRAL EN ENFERMEDADES PREVALENTES EN PRIMERA INFANCIA (AIEPI)",IF(P119=CURSOS!$D$19,"ADMINISTRACION DE MEDICAMENTOS, INYECTOLOGIA  Y CANALIZACION ",IF(P119=CURSOS!$D$20,"OPERADOR DE VEHICULOS DE EMERGENCIA (OVE)",IF(P119=CURSOS!$D$21,"INSTITUCIONES AMIGAS DE LA MUJER Y LA INFANCIA (IAMI)",IF(P119=CURSOS!$D$22,"CUIDADO DEL DONANTE DE ORGANOS",IF(P119=CURSOS!$D$23,"ATENCION A VICTIMAS POR VIOLENCIA DE GENERO",IF(P119=CURSOS!$D$24,"IGUALDAD DE GENERO EN LA SALUD",IF(P119=CURSOS!$D$25,"BRIGADA DE EMERGENCIA",IF(P119=CURSOS!$D$26,"MANEJO DEL DOLOR Y CUIDADOS PALIATIVOS",IF(P119=CURSOS!$D$27,"TOMA DE MUESTRAS Y LABORATORIO POCT",IF(P119=CURSOS!$D$28,"IMPLANTE SUBDERMICO DE DISPOSITIVO INTRAUTERINO",IF(P119=CURSOS!$D$29,"SALUD MENTAL",IF(P119=CURSOS!$D$30,"PRIMEROS AUXILIOS PSICOLOGICOS",IF(P119=CURSOS!$D$31,"ATENCION A VICTIMAS POR CONFLICTO ARMADO",IF(P119=CURSOS!$D$32,"MANIPULACION DE ALIMENTOS Y BPM",IF(P119=CURSOS!$D$33,"ATENCION A PERSONAS CON DISCAPACIDAD",IF(P119=CURSOS!$D$34,"CUIDADO INTEGRAL DEL PACIENTE ADULTO",IF(P119=CURSOS!$D$35,"MANEJO DEFENSIVO",IF(P119=CURSOS!$D$36,"SOPORTE CARDIOVASCULAR AVANZADO NEONATAL",IF(P119=CURSOS!$D$37,"SEGURIDAD DEL PACIENTE",IF(P119=CURSOS!$D$38,"MANEJO DE RESIDUOS HOSPITALARIOS"))))))))))))))))))))))))))))))))))))</f>
        <v xml:space="preserve">HUMANIZACION EN EL SERVICIO DE LA SALUD Y BUENAS PRACTICAS EN PACIENTE </v>
      </c>
      <c r="W119" s="65" t="str">
        <f t="shared" si="12"/>
        <v>Cristian Alejandro Benavides Herrera</v>
      </c>
      <c r="X119" s="65" t="str">
        <f t="shared" si="13"/>
        <v>Cristian Alejandro Benavides Herrera</v>
      </c>
      <c r="Y119" s="65" t="str">
        <f t="shared" si="14"/>
        <v>Cristian Alejandro Benavides Herrera-1085311643-HUMANIZACION</v>
      </c>
    </row>
    <row r="120" spans="1:25" s="58" customFormat="1" x14ac:dyDescent="0.2">
      <c r="A120" s="59">
        <v>119</v>
      </c>
      <c r="B120" s="81">
        <v>1010084749</v>
      </c>
      <c r="C120" s="81" t="s">
        <v>160</v>
      </c>
      <c r="D120" s="81" t="s">
        <v>416</v>
      </c>
      <c r="E120" s="81" t="s">
        <v>378</v>
      </c>
      <c r="F120" s="81" t="s">
        <v>417</v>
      </c>
      <c r="G120" s="81">
        <v>21</v>
      </c>
      <c r="H120" s="60" t="s">
        <v>103</v>
      </c>
      <c r="I120" s="83" t="s">
        <v>123</v>
      </c>
      <c r="J120" s="83"/>
      <c r="K120" s="62">
        <v>45737</v>
      </c>
      <c r="L120" s="63">
        <v>40000</v>
      </c>
      <c r="M120" s="60" t="s">
        <v>156</v>
      </c>
      <c r="N120" s="60" t="s">
        <v>105</v>
      </c>
      <c r="O120" s="60" t="s">
        <v>106</v>
      </c>
      <c r="P120" s="60" t="s">
        <v>19</v>
      </c>
      <c r="Q120" s="61"/>
      <c r="R120" s="60" t="s">
        <v>139</v>
      </c>
      <c r="S120" s="60" t="s">
        <v>117</v>
      </c>
      <c r="T120" s="64">
        <v>3206217013</v>
      </c>
      <c r="U120" s="60" t="s">
        <v>422</v>
      </c>
      <c r="V120" s="65" t="str">
        <f>IF(P120=CURSOS!$D$3,"DIPLOMADO EN ATENCION PRE-HOSPITALARIA",IF(P120=CURSOS!$D$4,"ACOMPAÑAMIENTO Y MANEJO DEL DUELO",IF(P120=CURSOS!$D$5,"ATENCION A VICTIMAS DE ATAQUE CON AGENTES QUIMICOS ",IF(P120=CURSOS!$D$6,"PRIMEROS AUXILIOS ",IF(P120=CURSOS!$D$7,"DIPLOMADO DE UNIDAD DE CUIDADOS INTENSIVOS (UCI)",IF(P120=CURSOS!$D$8,"MODELO DE ATENCION PARA EVENTOS EMERGENTES EN SALUD MENTAL (CODIGO VERDE)",IF(P120=CURSOS!$D$9,"HUMANIZACION EN EL SERVICIO DE LA SALUD Y BUENAS PRACTICAS EN PACIENTE ",IF(P120=CURSOS!$D$10,"CLINICA DE HERIDAS ",IF(P120=CURSOS!$D$11,"TOMA DE CITOLOGIA CERVICO VAGINAL ",IF(P120=CURSOS!$D$12,"SOPORTE CARDIOVASCULAR AVANZADO (ACLS) ",IF(P120=CURSOS!$D$13,"CAMILLERO ",IF(P120=CURSOS!$D$14,"TOMA DE MUESTRAS Y LABORATORIO ",IF(P120=CURSOS!$D$15,"SOPORTE VITAL BASICO (BLS)",IF(P120=CURSOS!$D$16,"ATENCION A VICTIMAS DE VIOLENCIA SEXUAL ",IF(P120=CURSOS!$D$17,"PROGRAMADO AMPLIADO DE INMUNIZACION (PAI - COVID 19)",IF(P120=CURSOS!$D$18,"ATENCION INTEGRAL EN ENFERMEDADES PREVALENTES EN PRIMERA INFANCIA (AIEPI)",IF(P120=CURSOS!$D$19,"ADMINISTRACION DE MEDICAMENTOS, INYECTOLOGIA  Y CANALIZACION ",IF(P120=CURSOS!$D$20,"OPERADOR DE VEHICULOS DE EMERGENCIA (OVE)",IF(P120=CURSOS!$D$21,"INSTITUCIONES AMIGAS DE LA MUJER Y LA INFANCIA (IAMI)",IF(P120=CURSOS!$D$22,"CUIDADO DEL DONANTE DE ORGANOS",IF(P120=CURSOS!$D$23,"ATENCION A VICTIMAS POR VIOLENCIA DE GENERO",IF(P120=CURSOS!$D$24,"IGUALDAD DE GENERO EN LA SALUD",IF(P120=CURSOS!$D$25,"BRIGADA DE EMERGENCIA",IF(P120=CURSOS!$D$26,"MANEJO DEL DOLOR Y CUIDADOS PALIATIVOS",IF(P120=CURSOS!$D$27,"TOMA DE MUESTRAS Y LABORATORIO POCT",IF(P120=CURSOS!$D$28,"IMPLANTE SUBDERMICO DE DISPOSITIVO INTRAUTERINO",IF(P120=CURSOS!$D$29,"SALUD MENTAL",IF(P120=CURSOS!$D$30,"PRIMEROS AUXILIOS PSICOLOGICOS",IF(P120=CURSOS!$D$31,"ATENCION A VICTIMAS POR CONFLICTO ARMADO",IF(P120=CURSOS!$D$32,"MANIPULACION DE ALIMENTOS Y BPM",IF(P120=CURSOS!$D$33,"ATENCION A PERSONAS CON DISCAPACIDAD",IF(P120=CURSOS!$D$34,"CUIDADO INTEGRAL DEL PACIENTE ADULTO",IF(P120=CURSOS!$D$35,"MANEJO DEFENSIVO",IF(P120=CURSOS!$D$36,"SOPORTE CARDIOVASCULAR AVANZADO NEONATAL",IF(P120=CURSOS!$D$37,"SEGURIDAD DEL PACIENTE",IF(P120=CURSOS!$D$38,"MANEJO DE RESIDUOS HOSPITALARIOS"))))))))))))))))))))))))))))))))))))</f>
        <v>SOPORTE VITAL BASICO (BLS)</v>
      </c>
      <c r="W120" s="65" t="str">
        <f t="shared" si="12"/>
        <v>Juan Sebastian Benavides Aux</v>
      </c>
      <c r="X120" s="65" t="str">
        <f t="shared" si="13"/>
        <v>Juan Sebastian Benavides Aux</v>
      </c>
      <c r="Y120" s="65" t="str">
        <f t="shared" si="14"/>
        <v>Juan Sebastian Benavides Aux-1010084749-BLS</v>
      </c>
    </row>
    <row r="121" spans="1:25" s="58" customFormat="1" x14ac:dyDescent="0.2">
      <c r="A121" s="59">
        <v>120</v>
      </c>
      <c r="B121" s="60">
        <v>1085943123</v>
      </c>
      <c r="C121" s="81" t="s">
        <v>418</v>
      </c>
      <c r="D121" s="81" t="s">
        <v>419</v>
      </c>
      <c r="E121" s="81" t="s">
        <v>420</v>
      </c>
      <c r="F121" s="81" t="s">
        <v>121</v>
      </c>
      <c r="G121" s="81">
        <v>21</v>
      </c>
      <c r="H121" s="60" t="s">
        <v>103</v>
      </c>
      <c r="I121" s="83" t="s">
        <v>123</v>
      </c>
      <c r="J121" s="83"/>
      <c r="K121" s="62">
        <v>45737</v>
      </c>
      <c r="L121" s="63">
        <v>40000</v>
      </c>
      <c r="M121" s="60" t="s">
        <v>156</v>
      </c>
      <c r="N121" s="60" t="s">
        <v>105</v>
      </c>
      <c r="O121" s="60" t="s">
        <v>106</v>
      </c>
      <c r="P121" s="60" t="s">
        <v>19</v>
      </c>
      <c r="Q121" s="61">
        <v>35282</v>
      </c>
      <c r="R121" s="81" t="s">
        <v>107</v>
      </c>
      <c r="S121" s="64" t="s">
        <v>117</v>
      </c>
      <c r="T121" s="64">
        <v>3152303538</v>
      </c>
      <c r="U121" s="60" t="s">
        <v>421</v>
      </c>
      <c r="V121" s="65" t="str">
        <f>IF(P121=CURSOS!$D$3,"DIPLOMADO EN ATENCION PRE-HOSPITALARIA",IF(P121=CURSOS!$D$4,"ACOMPAÑAMIENTO Y MANEJO DEL DUELO",IF(P121=CURSOS!$D$5,"ATENCION A VICTIMAS DE ATAQUE CON AGENTES QUIMICOS ",IF(P121=CURSOS!$D$6,"PRIMEROS AUXILIOS ",IF(P121=CURSOS!$D$7,"DIPLOMADO DE UNIDAD DE CUIDADOS INTENSIVOS (UCI)",IF(P121=CURSOS!$D$8,"MODELO DE ATENCION PARA EVENTOS EMERGENTES EN SALUD MENTAL (CODIGO VERDE)",IF(P121=CURSOS!$D$9,"HUMANIZACION EN EL SERVICIO DE LA SALUD Y BUENAS PRACTICAS EN PACIENTE ",IF(P121=CURSOS!$D$10,"CLINICA DE HERIDAS ",IF(P121=CURSOS!$D$11,"TOMA DE CITOLOGIA CERVICO VAGINAL ",IF(P121=CURSOS!$D$12,"SOPORTE CARDIOVASCULAR AVANZADO (ACLS) ",IF(P121=CURSOS!$D$13,"CAMILLERO ",IF(P121=CURSOS!$D$14,"TOMA DE MUESTRAS Y LABORATORIO ",IF(P121=CURSOS!$D$15,"SOPORTE VITAL BASICO (BLS)",IF(P121=CURSOS!$D$16,"ATENCION A VICTIMAS DE VIOLENCIA SEXUAL ",IF(P121=CURSOS!$D$17,"PROGRAMADO AMPLIADO DE INMUNIZACION (PAI - COVID 19)",IF(P121=CURSOS!$D$18,"ATENCION INTEGRAL EN ENFERMEDADES PREVALENTES EN PRIMERA INFANCIA (AIEPI)",IF(P121=CURSOS!$D$19,"ADMINISTRACION DE MEDICAMENTOS, INYECTOLOGIA  Y CANALIZACION ",IF(P121=CURSOS!$D$20,"OPERADOR DE VEHICULOS DE EMERGENCIA (OVE)",IF(P121=CURSOS!$D$21,"INSTITUCIONES AMIGAS DE LA MUJER Y LA INFANCIA (IAMI)",IF(P121=CURSOS!$D$22,"CUIDADO DEL DONANTE DE ORGANOS",IF(P121=CURSOS!$D$23,"ATENCION A VICTIMAS POR VIOLENCIA DE GENERO",IF(P121=CURSOS!$D$24,"IGUALDAD DE GENERO EN LA SALUD",IF(P121=CURSOS!$D$25,"BRIGADA DE EMERGENCIA",IF(P121=CURSOS!$D$26,"MANEJO DEL DOLOR Y CUIDADOS PALIATIVOS",IF(P121=CURSOS!$D$27,"TOMA DE MUESTRAS Y LABORATORIO POCT",IF(P121=CURSOS!$D$28,"IMPLANTE SUBDERMICO DE DISPOSITIVO INTRAUTERINO",IF(P121=CURSOS!$D$29,"SALUD MENTAL",IF(P121=CURSOS!$D$30,"PRIMEROS AUXILIOS PSICOLOGICOS",IF(P121=CURSOS!$D$31,"ATENCION A VICTIMAS POR CONFLICTO ARMADO",IF(P121=CURSOS!$D$32,"MANIPULACION DE ALIMENTOS Y BPM",IF(P121=CURSOS!$D$33,"ATENCION A PERSONAS CON DISCAPACIDAD",IF(P121=CURSOS!$D$34,"CUIDADO INTEGRAL DEL PACIENTE ADULTO",IF(P121=CURSOS!$D$35,"MANEJO DEFENSIVO",IF(P121=CURSOS!$D$36,"SOPORTE CARDIOVASCULAR AVANZADO NEONATAL",IF(P121=CURSOS!$D$37,"SEGURIDAD DEL PACIENTE",IF(P121=CURSOS!$D$38,"MANEJO DE RESIDUOS HOSPITALARIOS"))))))))))))))))))))))))))))))))))))</f>
        <v>SOPORTE VITAL BASICO (BLS)</v>
      </c>
      <c r="W121" s="65" t="str">
        <f t="shared" si="12"/>
        <v>Lina Maria Rosales Cuasapud</v>
      </c>
      <c r="X121" s="65" t="str">
        <f t="shared" si="13"/>
        <v>Lina Maria Rosales Cuasapud</v>
      </c>
      <c r="Y121" s="65" t="str">
        <f t="shared" si="14"/>
        <v>Lina Maria Rosales Cuasapud-1085943123-BLS</v>
      </c>
    </row>
    <row r="122" spans="1:25" s="58" customFormat="1" x14ac:dyDescent="0.2">
      <c r="A122" s="59">
        <v>121</v>
      </c>
      <c r="B122" s="60">
        <v>59395868</v>
      </c>
      <c r="C122" s="81" t="s">
        <v>442</v>
      </c>
      <c r="D122" s="81" t="s">
        <v>443</v>
      </c>
      <c r="E122" s="81" t="s">
        <v>444</v>
      </c>
      <c r="F122" s="81" t="s">
        <v>445</v>
      </c>
      <c r="G122" s="81">
        <v>21</v>
      </c>
      <c r="H122" s="60" t="s">
        <v>103</v>
      </c>
      <c r="I122" s="83" t="s">
        <v>123</v>
      </c>
      <c r="J122" s="83" t="s">
        <v>177</v>
      </c>
      <c r="K122" s="62">
        <v>45741</v>
      </c>
      <c r="L122" s="63">
        <v>32000</v>
      </c>
      <c r="M122" s="60" t="s">
        <v>156</v>
      </c>
      <c r="N122" s="60" t="s">
        <v>105</v>
      </c>
      <c r="O122" s="60" t="s">
        <v>182</v>
      </c>
      <c r="P122" s="60" t="s">
        <v>42</v>
      </c>
      <c r="Q122" s="61">
        <v>30458</v>
      </c>
      <c r="R122" s="81" t="s">
        <v>107</v>
      </c>
      <c r="S122" s="60" t="s">
        <v>117</v>
      </c>
      <c r="T122" s="64">
        <v>3169749544</v>
      </c>
      <c r="U122" s="60" t="s">
        <v>423</v>
      </c>
      <c r="V122" s="65" t="str">
        <f>IF(P122=CURSOS!$D$3,"DIPLOMADO EN ATENCION PRE-HOSPITALARIA",IF(P122=CURSOS!$D$4,"ACOMPAÑAMIENTO Y MANEJO DEL DUELO",IF(P122=CURSOS!$D$5,"ATENCION A VICTIMAS DE ATAQUE CON AGENTES QUIMICOS ",IF(P122=CURSOS!$D$6,"PRIMEROS AUXILIOS ",IF(P122=CURSOS!$D$7,"DIPLOMADO DE UNIDAD DE CUIDADOS INTENSIVOS (UCI)",IF(P122=CURSOS!$D$8,"MODELO DE ATENCION PARA EVENTOS EMERGENTES EN SALUD MENTAL (CODIGO VERDE)",IF(P122=CURSOS!$D$9,"HUMANIZACION EN EL SERVICIO DE LA SALUD Y BUENAS PRACTICAS EN PACIENTE ",IF(P122=CURSOS!$D$10,"CLINICA DE HERIDAS ",IF(P122=CURSOS!$D$11,"TOMA DE CITOLOGIA CERVICO VAGINAL ",IF(P122=CURSOS!$D$12,"SOPORTE CARDIOVASCULAR AVANZADO (ACLS) ",IF(P122=CURSOS!$D$13,"CAMILLERO ",IF(P122=CURSOS!$D$14,"TOMA DE MUESTRAS Y LABORATORIO ",IF(P122=CURSOS!$D$15,"SOPORTE VITAL BASICO (BLS)",IF(P122=CURSOS!$D$16,"ATENCION A VICTIMAS DE VIOLENCIA SEXUAL ",IF(P122=CURSOS!$D$17,"PROGRAMADO AMPLIADO DE INMUNIZACION (PAI - COVID 19)",IF(P122=CURSOS!$D$18,"ATENCION INTEGRAL EN ENFERMEDADES PREVALENTES EN PRIMERA INFANCIA (AIEPI)",IF(P122=CURSOS!$D$19,"ADMINISTRACION DE MEDICAMENTOS, INYECTOLOGIA  Y CANALIZACION ",IF(P122=CURSOS!$D$20,"OPERADOR DE VEHICULOS DE EMERGENCIA (OVE)",IF(P122=CURSOS!$D$21,"INSTITUCIONES AMIGAS DE LA MUJER Y LA INFANCIA (IAMI)",IF(P122=CURSOS!$D$22,"CUIDADO DEL DONANTE DE ORGANOS",IF(P122=CURSOS!$D$23,"ATENCION A VICTIMAS POR VIOLENCIA DE GENERO",IF(P122=CURSOS!$D$24,"IGUALDAD DE GENERO EN LA SALUD",IF(P122=CURSOS!$D$25,"BRIGADA DE EMERGENCIA",IF(P122=CURSOS!$D$26,"MANEJO DEL DOLOR Y CUIDADOS PALIATIVOS",IF(P122=CURSOS!$D$27,"TOMA DE MUESTRAS Y LABORATORIO POCT",IF(P122=CURSOS!$D$28,"IMPLANTE SUBDERMICO DE DISPOSITIVO INTRAUTERINO",IF(P122=CURSOS!$D$29,"SALUD MENTAL",IF(P122=CURSOS!$D$30,"PRIMEROS AUXILIOS PSICOLOGICOS",IF(P122=CURSOS!$D$31,"ATENCION A VICTIMAS POR CONFLICTO ARMADO",IF(P122=CURSOS!$D$32,"MANIPULACION DE ALIMENTOS Y BPM",IF(P122=CURSOS!$D$33,"ATENCION A PERSONAS CON DISCAPACIDAD",IF(P122=CURSOS!$D$34,"CUIDADO INTEGRAL DEL PACIENTE ADULTO",IF(P122=CURSOS!$D$35,"MANEJO DEFENSIVO",IF(P122=CURSOS!$D$36,"SOPORTE CARDIOVASCULAR AVANZADO NEONATAL",IF(P122=CURSOS!$D$37,"SEGURIDAD DEL PACIENTE",IF(P122=CURSOS!$D$38,"MANEJO DE RESIDUOS HOSPITALARIOS"))))))))))))))))))))))))))))))))))))</f>
        <v xml:space="preserve">ATENCION A VICTIMAS DE VIOLENCIA SEXUAL </v>
      </c>
      <c r="W122" s="65" t="str">
        <f t="shared" si="12"/>
        <v>Ayda Yurani Ruiz Ibarra</v>
      </c>
      <c r="X122" s="65" t="str">
        <f t="shared" si="13"/>
        <v>Ayda Yurani Ruiz Ibarra</v>
      </c>
      <c r="Y122" s="65" t="str">
        <f t="shared" si="14"/>
        <v>Ayda Yurani Ruiz Ibarra-59395868-VIOLENCIA SEXUAL</v>
      </c>
    </row>
    <row r="123" spans="1:25" s="58" customFormat="1" x14ac:dyDescent="0.2">
      <c r="A123" s="59">
        <v>122</v>
      </c>
      <c r="B123" s="60">
        <v>59395868</v>
      </c>
      <c r="C123" s="81" t="s">
        <v>442</v>
      </c>
      <c r="D123" s="81" t="s">
        <v>443</v>
      </c>
      <c r="E123" s="81" t="s">
        <v>444</v>
      </c>
      <c r="F123" s="81" t="s">
        <v>445</v>
      </c>
      <c r="G123" s="81">
        <v>21</v>
      </c>
      <c r="H123" s="60" t="s">
        <v>103</v>
      </c>
      <c r="I123" s="83" t="s">
        <v>123</v>
      </c>
      <c r="J123" s="83" t="s">
        <v>177</v>
      </c>
      <c r="K123" s="62">
        <v>45741</v>
      </c>
      <c r="L123" s="63">
        <v>32000</v>
      </c>
      <c r="M123" s="60" t="s">
        <v>156</v>
      </c>
      <c r="N123" s="60" t="s">
        <v>105</v>
      </c>
      <c r="O123" s="60" t="s">
        <v>182</v>
      </c>
      <c r="P123" s="60" t="s">
        <v>25</v>
      </c>
      <c r="Q123" s="61">
        <v>30458</v>
      </c>
      <c r="R123" s="81" t="s">
        <v>107</v>
      </c>
      <c r="S123" s="60" t="s">
        <v>117</v>
      </c>
      <c r="T123" s="64">
        <v>3169749544</v>
      </c>
      <c r="U123" s="60" t="s">
        <v>423</v>
      </c>
      <c r="V123" s="65" t="str">
        <f>IF(P123=CURSOS!$D$3,"DIPLOMADO EN ATENCION PRE-HOSPITALARIA",IF(P123=CURSOS!$D$4,"ACOMPAÑAMIENTO Y MANEJO DEL DUELO",IF(P123=CURSOS!$D$5,"ATENCION A VICTIMAS DE ATAQUE CON AGENTES QUIMICOS ",IF(P123=CURSOS!$D$6,"PRIMEROS AUXILIOS ",IF(P123=CURSOS!$D$7,"DIPLOMADO DE UNIDAD DE CUIDADOS INTENSIVOS (UCI)",IF(P123=CURSOS!$D$8,"MODELO DE ATENCION PARA EVENTOS EMERGENTES EN SALUD MENTAL (CODIGO VERDE)",IF(P123=CURSOS!$D$9,"HUMANIZACION EN EL SERVICIO DE LA SALUD Y BUENAS PRACTICAS EN PACIENTE ",IF(P123=CURSOS!$D$10,"CLINICA DE HERIDAS ",IF(P123=CURSOS!$D$11,"TOMA DE CITOLOGIA CERVICO VAGINAL ",IF(P123=CURSOS!$D$12,"SOPORTE CARDIOVASCULAR AVANZADO (ACLS) ",IF(P123=CURSOS!$D$13,"CAMILLERO ",IF(P123=CURSOS!$D$14,"TOMA DE MUESTRAS Y LABORATORIO ",IF(P123=CURSOS!$D$15,"SOPORTE VITAL BASICO (BLS)",IF(P123=CURSOS!$D$16,"ATENCION A VICTIMAS DE VIOLENCIA SEXUAL ",IF(P123=CURSOS!$D$17,"PROGRAMADO AMPLIADO DE INMUNIZACION (PAI - COVID 19)",IF(P123=CURSOS!$D$18,"ATENCION INTEGRAL EN ENFERMEDADES PREVALENTES EN PRIMERA INFANCIA (AIEPI)",IF(P123=CURSOS!$D$19,"ADMINISTRACION DE MEDICAMENTOS, INYECTOLOGIA  Y CANALIZACION ",IF(P123=CURSOS!$D$20,"OPERADOR DE VEHICULOS DE EMERGENCIA (OVE)",IF(P123=CURSOS!$D$21,"INSTITUCIONES AMIGAS DE LA MUJER Y LA INFANCIA (IAMI)",IF(P123=CURSOS!$D$22,"CUIDADO DEL DONANTE DE ORGANOS",IF(P123=CURSOS!$D$23,"ATENCION A VICTIMAS POR VIOLENCIA DE GENERO",IF(P123=CURSOS!$D$24,"IGUALDAD DE GENERO EN LA SALUD",IF(P123=CURSOS!$D$25,"BRIGADA DE EMERGENCIA",IF(P123=CURSOS!$D$26,"MANEJO DEL DOLOR Y CUIDADOS PALIATIVOS",IF(P123=CURSOS!$D$27,"TOMA DE MUESTRAS Y LABORATORIO POCT",IF(P123=CURSOS!$D$28,"IMPLANTE SUBDERMICO DE DISPOSITIVO INTRAUTERINO",IF(P123=CURSOS!$D$29,"SALUD MENTAL",IF(P123=CURSOS!$D$30,"PRIMEROS AUXILIOS PSICOLOGICOS",IF(P123=CURSOS!$D$31,"ATENCION A VICTIMAS POR CONFLICTO ARMADO",IF(P123=CURSOS!$D$32,"MANIPULACION DE ALIMENTOS Y BPM",IF(P123=CURSOS!$D$33,"ATENCION A PERSONAS CON DISCAPACIDAD",IF(P123=CURSOS!$D$34,"CUIDADO INTEGRAL DEL PACIENTE ADULTO",IF(P123=CURSOS!$D$35,"MANEJO DEFENSIVO",IF(P123=CURSOS!$D$36,"SOPORTE CARDIOVASCULAR AVANZADO NEONATAL",IF(P123=CURSOS!$D$37,"SEGURIDAD DEL PACIENTE",IF(P123=CURSOS!$D$38,"MANEJO DE RESIDUOS HOSPITALARIOS"))))))))))))))))))))))))))))))))))))</f>
        <v xml:space="preserve">ATENCION A VICTIMAS DE ATAQUE CON AGENTES QUIMICOS </v>
      </c>
      <c r="W123" s="65" t="str">
        <f t="shared" si="12"/>
        <v>Ayda Yurani Ruiz Ibarra</v>
      </c>
      <c r="X123" s="65" t="str">
        <f t="shared" si="13"/>
        <v>Ayda Yurani Ruiz Ibarra</v>
      </c>
      <c r="Y123" s="65" t="str">
        <f t="shared" si="14"/>
        <v>Ayda Yurani Ruiz Ibarra-59395868-QUIMICOS</v>
      </c>
    </row>
    <row r="124" spans="1:25" s="58" customFormat="1" x14ac:dyDescent="0.2">
      <c r="A124" s="59">
        <v>123</v>
      </c>
      <c r="B124" s="60">
        <v>59395868</v>
      </c>
      <c r="C124" s="81" t="s">
        <v>442</v>
      </c>
      <c r="D124" s="81" t="s">
        <v>443</v>
      </c>
      <c r="E124" s="81" t="s">
        <v>444</v>
      </c>
      <c r="F124" s="81" t="s">
        <v>445</v>
      </c>
      <c r="G124" s="81">
        <v>21</v>
      </c>
      <c r="H124" s="60" t="s">
        <v>103</v>
      </c>
      <c r="I124" s="83" t="s">
        <v>123</v>
      </c>
      <c r="J124" s="83" t="s">
        <v>177</v>
      </c>
      <c r="K124" s="62">
        <v>45741</v>
      </c>
      <c r="L124" s="63">
        <v>32000</v>
      </c>
      <c r="M124" s="60" t="s">
        <v>156</v>
      </c>
      <c r="N124" s="60" t="s">
        <v>105</v>
      </c>
      <c r="O124" s="60" t="s">
        <v>182</v>
      </c>
      <c r="P124" s="81" t="s">
        <v>23</v>
      </c>
      <c r="Q124" s="61">
        <v>30458</v>
      </c>
      <c r="R124" s="81" t="s">
        <v>107</v>
      </c>
      <c r="S124" s="60" t="s">
        <v>117</v>
      </c>
      <c r="T124" s="64">
        <v>3169749544</v>
      </c>
      <c r="U124" s="60" t="s">
        <v>423</v>
      </c>
      <c r="V124" s="65" t="str">
        <f>IF(P124=CURSOS!$D$3,"DIPLOMADO EN ATENCION PRE-HOSPITALARIA",IF(P124=CURSOS!$D$4,"ACOMPAÑAMIENTO Y MANEJO DEL DUELO",IF(P124=CURSOS!$D$5,"ATENCION A VICTIMAS DE ATAQUE CON AGENTES QUIMICOS ",IF(P124=CURSOS!$D$6,"PRIMEROS AUXILIOS ",IF(P124=CURSOS!$D$7,"DIPLOMADO DE UNIDAD DE CUIDADOS INTENSIVOS (UCI)",IF(P124=CURSOS!$D$8,"MODELO DE ATENCION PARA EVENTOS EMERGENTES EN SALUD MENTAL (CODIGO VERDE)",IF(P124=CURSOS!$D$9,"HUMANIZACION EN EL SERVICIO DE LA SALUD Y BUENAS PRACTICAS EN PACIENTE ",IF(P124=CURSOS!$D$10,"CLINICA DE HERIDAS ",IF(P124=CURSOS!$D$11,"TOMA DE CITOLOGIA CERVICO VAGINAL ",IF(P124=CURSOS!$D$12,"SOPORTE CARDIOVASCULAR AVANZADO (ACLS) ",IF(P124=CURSOS!$D$13,"CAMILLERO ",IF(P124=CURSOS!$D$14,"TOMA DE MUESTRAS Y LABORATORIO ",IF(P124=CURSOS!$D$15,"SOPORTE VITAL BASICO (BLS)",IF(P124=CURSOS!$D$16,"ATENCION A VICTIMAS DE VIOLENCIA SEXUAL ",IF(P124=CURSOS!$D$17,"PROGRAMADO AMPLIADO DE INMUNIZACION (PAI - COVID 19)",IF(P124=CURSOS!$D$18,"ATENCION INTEGRAL EN ENFERMEDADES PREVALENTES EN PRIMERA INFANCIA (AIEPI)",IF(P124=CURSOS!$D$19,"ADMINISTRACION DE MEDICAMENTOS, INYECTOLOGIA  Y CANALIZACION ",IF(P124=CURSOS!$D$20,"OPERADOR DE VEHICULOS DE EMERGENCIA (OVE)",IF(P124=CURSOS!$D$21,"INSTITUCIONES AMIGAS DE LA MUJER Y LA INFANCIA (IAMI)",IF(P124=CURSOS!$D$22,"CUIDADO DEL DONANTE DE ORGANOS",IF(P124=CURSOS!$D$23,"ATENCION A VICTIMAS POR VIOLENCIA DE GENERO",IF(P124=CURSOS!$D$24,"IGUALDAD DE GENERO EN LA SALUD",IF(P124=CURSOS!$D$25,"BRIGADA DE EMERGENCIA",IF(P124=CURSOS!$D$26,"MANEJO DEL DOLOR Y CUIDADOS PALIATIVOS",IF(P124=CURSOS!$D$27,"TOMA DE MUESTRAS Y LABORATORIO POCT",IF(P124=CURSOS!$D$28,"IMPLANTE SUBDERMICO DE DISPOSITIVO INTRAUTERINO",IF(P124=CURSOS!$D$29,"SALUD MENTAL",IF(P124=CURSOS!$D$30,"PRIMEROS AUXILIOS PSICOLOGICOS",IF(P124=CURSOS!$D$31,"ATENCION A VICTIMAS POR CONFLICTO ARMADO",IF(P124=CURSOS!$D$32,"MANIPULACION DE ALIMENTOS Y BPM",IF(P124=CURSOS!$D$33,"ATENCION A PERSONAS CON DISCAPACIDAD",IF(P124=CURSOS!$D$34,"CUIDADO INTEGRAL DEL PACIENTE ADULTO",IF(P124=CURSOS!$D$35,"MANEJO DEFENSIVO",IF(P124=CURSOS!$D$36,"SOPORTE CARDIOVASCULAR AVANZADO NEONATAL",IF(P124=CURSOS!$D$37,"SEGURIDAD DEL PACIENTE",IF(P124=CURSOS!$D$38,"MANEJO DE RESIDUOS HOSPITALARIOS"))))))))))))))))))))))))))))))))))))</f>
        <v>ACOMPAÑAMIENTO Y MANEJO DEL DUELO</v>
      </c>
      <c r="W124" s="65" t="str">
        <f t="shared" si="12"/>
        <v>Ayda Yurani Ruiz Ibarra</v>
      </c>
      <c r="X124" s="65" t="str">
        <f t="shared" si="13"/>
        <v>Ayda Yurani Ruiz Ibarra</v>
      </c>
      <c r="Y124" s="65" t="str">
        <f t="shared" si="14"/>
        <v>Ayda Yurani Ruiz Ibarra-59395868-DUELO</v>
      </c>
    </row>
    <row r="125" spans="1:25" s="58" customFormat="1" x14ac:dyDescent="0.2">
      <c r="A125" s="59">
        <v>124</v>
      </c>
      <c r="B125" s="60">
        <v>59395868</v>
      </c>
      <c r="C125" s="81" t="s">
        <v>442</v>
      </c>
      <c r="D125" s="81" t="s">
        <v>443</v>
      </c>
      <c r="E125" s="81" t="s">
        <v>444</v>
      </c>
      <c r="F125" s="81" t="s">
        <v>445</v>
      </c>
      <c r="G125" s="81">
        <v>21</v>
      </c>
      <c r="H125" s="60" t="s">
        <v>103</v>
      </c>
      <c r="I125" s="83" t="s">
        <v>123</v>
      </c>
      <c r="J125" s="83" t="s">
        <v>177</v>
      </c>
      <c r="K125" s="62">
        <v>45741</v>
      </c>
      <c r="L125" s="63">
        <v>32000</v>
      </c>
      <c r="M125" s="60" t="s">
        <v>156</v>
      </c>
      <c r="N125" s="60" t="s">
        <v>105</v>
      </c>
      <c r="O125" s="60" t="s">
        <v>182</v>
      </c>
      <c r="P125" s="81" t="s">
        <v>32</v>
      </c>
      <c r="Q125" s="61">
        <v>30458</v>
      </c>
      <c r="R125" s="81" t="s">
        <v>107</v>
      </c>
      <c r="S125" s="60" t="s">
        <v>117</v>
      </c>
      <c r="T125" s="64">
        <v>3169749544</v>
      </c>
      <c r="U125" s="60" t="s">
        <v>423</v>
      </c>
      <c r="V125" s="65" t="str">
        <f>IF(P125=CURSOS!$D$3,"DIPLOMADO EN ATENCION PRE-HOSPITALARIA",IF(P125=CURSOS!$D$4,"ACOMPAÑAMIENTO Y MANEJO DEL DUELO",IF(P125=CURSOS!$D$5,"ATENCION A VICTIMAS DE ATAQUE CON AGENTES QUIMICOS ",IF(P125=CURSOS!$D$6,"PRIMEROS AUXILIOS ",IF(P125=CURSOS!$D$7,"DIPLOMADO DE UNIDAD DE CUIDADOS INTENSIVOS (UCI)",IF(P125=CURSOS!$D$8,"MODELO DE ATENCION PARA EVENTOS EMERGENTES EN SALUD MENTAL (CODIGO VERDE)",IF(P125=CURSOS!$D$9,"HUMANIZACION EN EL SERVICIO DE LA SALUD Y BUENAS PRACTICAS EN PACIENTE ",IF(P125=CURSOS!$D$10,"CLINICA DE HERIDAS ",IF(P125=CURSOS!$D$11,"TOMA DE CITOLOGIA CERVICO VAGINAL ",IF(P125=CURSOS!$D$12,"SOPORTE CARDIOVASCULAR AVANZADO (ACLS) ",IF(P125=CURSOS!$D$13,"CAMILLERO ",IF(P125=CURSOS!$D$14,"TOMA DE MUESTRAS Y LABORATORIO ",IF(P125=CURSOS!$D$15,"SOPORTE VITAL BASICO (BLS)",IF(P125=CURSOS!$D$16,"ATENCION A VICTIMAS DE VIOLENCIA SEXUAL ",IF(P125=CURSOS!$D$17,"PROGRAMADO AMPLIADO DE INMUNIZACION (PAI - COVID 19)",IF(P125=CURSOS!$D$18,"ATENCION INTEGRAL EN ENFERMEDADES PREVALENTES EN PRIMERA INFANCIA (AIEPI)",IF(P125=CURSOS!$D$19,"ADMINISTRACION DE MEDICAMENTOS, INYECTOLOGIA  Y CANALIZACION ",IF(P125=CURSOS!$D$20,"OPERADOR DE VEHICULOS DE EMERGENCIA (OVE)",IF(P125=CURSOS!$D$21,"INSTITUCIONES AMIGAS DE LA MUJER Y LA INFANCIA (IAMI)",IF(P125=CURSOS!$D$22,"CUIDADO DEL DONANTE DE ORGANOS",IF(P125=CURSOS!$D$23,"ATENCION A VICTIMAS POR VIOLENCIA DE GENERO",IF(P125=CURSOS!$D$24,"IGUALDAD DE GENERO EN LA SALUD",IF(P125=CURSOS!$D$25,"BRIGADA DE EMERGENCIA",IF(P125=CURSOS!$D$26,"MANEJO DEL DOLOR Y CUIDADOS PALIATIVOS",IF(P125=CURSOS!$D$27,"TOMA DE MUESTRAS Y LABORATORIO POCT",IF(P125=CURSOS!$D$28,"IMPLANTE SUBDERMICO DE DISPOSITIVO INTRAUTERINO",IF(P125=CURSOS!$D$29,"SALUD MENTAL",IF(P125=CURSOS!$D$30,"PRIMEROS AUXILIOS PSICOLOGICOS",IF(P125=CURSOS!$D$31,"ATENCION A VICTIMAS POR CONFLICTO ARMADO",IF(P125=CURSOS!$D$32,"MANIPULACION DE ALIMENTOS Y BPM",IF(P125=CURSOS!$D$33,"ATENCION A PERSONAS CON DISCAPACIDAD",IF(P125=CURSOS!$D$34,"CUIDADO INTEGRAL DEL PACIENTE ADULTO",IF(P125=CURSOS!$D$35,"MANEJO DEFENSIVO",IF(P125=CURSOS!$D$36,"SOPORTE CARDIOVASCULAR AVANZADO NEONATAL",IF(P125=CURSOS!$D$37,"SEGURIDAD DEL PACIENTE",IF(P125=CURSOS!$D$38,"MANEJO DE RESIDUOS HOSPITALARIOS"))))))))))))))))))))))))))))))))))))</f>
        <v xml:space="preserve">HUMANIZACION EN EL SERVICIO DE LA SALUD Y BUENAS PRACTICAS EN PACIENTE </v>
      </c>
      <c r="W125" s="65" t="str">
        <f t="shared" si="12"/>
        <v>Ayda Yurani Ruiz Ibarra</v>
      </c>
      <c r="X125" s="65" t="str">
        <f t="shared" si="13"/>
        <v>Ayda Yurani Ruiz Ibarra</v>
      </c>
      <c r="Y125" s="65" t="str">
        <f t="shared" si="14"/>
        <v>Ayda Yurani Ruiz Ibarra-59395868-HUMANIZACION</v>
      </c>
    </row>
    <row r="126" spans="1:25" s="58" customFormat="1" x14ac:dyDescent="0.2">
      <c r="A126" s="59">
        <v>125</v>
      </c>
      <c r="B126" s="60">
        <v>1085945472</v>
      </c>
      <c r="C126" s="81" t="s">
        <v>285</v>
      </c>
      <c r="D126" s="81" t="s">
        <v>382</v>
      </c>
      <c r="E126" s="81" t="s">
        <v>424</v>
      </c>
      <c r="F126" s="81" t="s">
        <v>250</v>
      </c>
      <c r="G126" s="81">
        <v>21</v>
      </c>
      <c r="H126" s="60" t="s">
        <v>103</v>
      </c>
      <c r="I126" s="83" t="s">
        <v>123</v>
      </c>
      <c r="J126" s="83" t="s">
        <v>179</v>
      </c>
      <c r="K126" s="62">
        <v>45737</v>
      </c>
      <c r="L126" s="63">
        <v>40000</v>
      </c>
      <c r="M126" s="81" t="s">
        <v>156</v>
      </c>
      <c r="N126" s="60" t="s">
        <v>105</v>
      </c>
      <c r="O126" s="81" t="s">
        <v>106</v>
      </c>
      <c r="P126" s="81" t="s">
        <v>19</v>
      </c>
      <c r="Q126" s="61">
        <v>35116</v>
      </c>
      <c r="R126" s="81" t="s">
        <v>107</v>
      </c>
      <c r="S126" s="84" t="s">
        <v>117</v>
      </c>
      <c r="T126" s="81">
        <v>3225447262</v>
      </c>
      <c r="U126" s="64" t="s">
        <v>425</v>
      </c>
      <c r="V126" s="65" t="str">
        <f>IF(P126=CURSOS!$D$3,"DIPLOMADO EN ATENCION PRE-HOSPITALARIA",IF(P126=CURSOS!$D$4,"ACOMPAÑAMIENTO Y MANEJO DEL DUELO",IF(P126=CURSOS!$D$5,"ATENCION A VICTIMAS DE ATAQUE CON AGENTES QUIMICOS ",IF(P126=CURSOS!$D$6,"PRIMEROS AUXILIOS ",IF(P126=CURSOS!$D$7,"DIPLOMADO DE UNIDAD DE CUIDADOS INTENSIVOS (UCI)",IF(P126=CURSOS!$D$8,"MODELO DE ATENCION PARA EVENTOS EMERGENTES EN SALUD MENTAL (CODIGO VERDE)",IF(P126=CURSOS!$D$9,"HUMANIZACION EN EL SERVICIO DE LA SALUD Y BUENAS PRACTICAS EN PACIENTE ",IF(P126=CURSOS!$D$10,"CLINICA DE HERIDAS ",IF(P126=CURSOS!$D$11,"TOMA DE CITOLOGIA CERVICO VAGINAL ",IF(P126=CURSOS!$D$12,"SOPORTE CARDIOVASCULAR AVANZADO (ACLS) ",IF(P126=CURSOS!$D$13,"CAMILLERO ",IF(P126=CURSOS!$D$14,"TOMA DE MUESTRAS Y LABORATORIO ",IF(P126=CURSOS!$D$15,"SOPORTE VITAL BASICO (BLS)",IF(P126=CURSOS!$D$16,"ATENCION A VICTIMAS DE VIOLENCIA SEXUAL ",IF(P126=CURSOS!$D$17,"PROGRAMADO AMPLIADO DE INMUNIZACION (PAI - COVID 19)",IF(P126=CURSOS!$D$18,"ATENCION INTEGRAL EN ENFERMEDADES PREVALENTES EN PRIMERA INFANCIA (AIEPI)",IF(P126=CURSOS!$D$19,"ADMINISTRACION DE MEDICAMENTOS, INYECTOLOGIA  Y CANALIZACION ",IF(P126=CURSOS!$D$20,"OPERADOR DE VEHICULOS DE EMERGENCIA (OVE)",IF(P126=CURSOS!$D$21,"INSTITUCIONES AMIGAS DE LA MUJER Y LA INFANCIA (IAMI)",IF(P126=CURSOS!$D$22,"CUIDADO DEL DONANTE DE ORGANOS",IF(P126=CURSOS!$D$23,"ATENCION A VICTIMAS POR VIOLENCIA DE GENERO",IF(P126=CURSOS!$D$24,"IGUALDAD DE GENERO EN LA SALUD",IF(P126=CURSOS!$D$25,"BRIGADA DE EMERGENCIA",IF(P126=CURSOS!$D$26,"MANEJO DEL DOLOR Y CUIDADOS PALIATIVOS",IF(P126=CURSOS!$D$27,"TOMA DE MUESTRAS Y LABORATORIO POCT",IF(P126=CURSOS!$D$28,"IMPLANTE SUBDERMICO DE DISPOSITIVO INTRAUTERINO",IF(P126=CURSOS!$D$29,"SALUD MENTAL",IF(P126=CURSOS!$D$30,"PRIMEROS AUXILIOS PSICOLOGICOS",IF(P126=CURSOS!$D$31,"ATENCION A VICTIMAS POR CONFLICTO ARMADO",IF(P126=CURSOS!$D$32,"MANIPULACION DE ALIMENTOS Y BPM",IF(P126=CURSOS!$D$33,"ATENCION A PERSONAS CON DISCAPACIDAD",IF(P126=CURSOS!$D$34,"CUIDADO INTEGRAL DEL PACIENTE ADULTO",IF(P126=CURSOS!$D$35,"MANEJO DEFENSIVO",IF(P126=CURSOS!$D$36,"SOPORTE CARDIOVASCULAR AVANZADO NEONATAL",IF(P126=CURSOS!$D$37,"SEGURIDAD DEL PACIENTE",IF(P126=CURSOS!$D$38,"MANEJO DE RESIDUOS HOSPITALARIOS"))))))))))))))))))))))))))))))))))))</f>
        <v>SOPORTE VITAL BASICO (BLS)</v>
      </c>
      <c r="W126" s="65" t="str">
        <f t="shared" si="12"/>
        <v>Yesica Fernanda Tobar Patiño</v>
      </c>
      <c r="X126" s="65" t="str">
        <f t="shared" si="13"/>
        <v>Yesica Fernanda Tobar Patiño</v>
      </c>
      <c r="Y126" s="65" t="str">
        <f t="shared" si="14"/>
        <v>Yesica Fernanda Tobar Patiño-1085945472-BLS</v>
      </c>
    </row>
    <row r="127" spans="1:25" s="58" customFormat="1" x14ac:dyDescent="0.2">
      <c r="A127" s="59">
        <v>126</v>
      </c>
      <c r="B127" s="60">
        <v>1085272026</v>
      </c>
      <c r="C127" s="81" t="s">
        <v>150</v>
      </c>
      <c r="D127" s="81" t="s">
        <v>304</v>
      </c>
      <c r="E127" s="81" t="s">
        <v>396</v>
      </c>
      <c r="F127" s="81" t="s">
        <v>190</v>
      </c>
      <c r="G127" s="81">
        <v>25</v>
      </c>
      <c r="H127" s="60" t="s">
        <v>103</v>
      </c>
      <c r="I127" s="83" t="s">
        <v>123</v>
      </c>
      <c r="J127" s="83"/>
      <c r="K127" s="62">
        <v>45741</v>
      </c>
      <c r="L127" s="63">
        <v>32000</v>
      </c>
      <c r="M127" s="81" t="s">
        <v>159</v>
      </c>
      <c r="N127" s="60" t="s">
        <v>105</v>
      </c>
      <c r="O127" s="60" t="s">
        <v>106</v>
      </c>
      <c r="P127" s="60" t="s">
        <v>42</v>
      </c>
      <c r="Q127" s="61">
        <v>32587</v>
      </c>
      <c r="R127" s="81" t="s">
        <v>107</v>
      </c>
      <c r="S127" s="84" t="s">
        <v>117</v>
      </c>
      <c r="T127" s="81">
        <v>3176464598</v>
      </c>
      <c r="U127" s="64" t="s">
        <v>426</v>
      </c>
      <c r="V127" s="65" t="str">
        <f>IF(P127=CURSOS!$D$3,"DIPLOMADO EN ATENCION PRE-HOSPITALARIA",IF(P127=CURSOS!$D$4,"ACOMPAÑAMIENTO Y MANEJO DEL DUELO",IF(P127=CURSOS!$D$5,"ATENCION A VICTIMAS DE ATAQUE CON AGENTES QUIMICOS ",IF(P127=CURSOS!$D$6,"PRIMEROS AUXILIOS ",IF(P127=CURSOS!$D$7,"DIPLOMADO DE UNIDAD DE CUIDADOS INTENSIVOS (UCI)",IF(P127=CURSOS!$D$8,"MODELO DE ATENCION PARA EVENTOS EMERGENTES EN SALUD MENTAL (CODIGO VERDE)",IF(P127=CURSOS!$D$9,"HUMANIZACION EN EL SERVICIO DE LA SALUD Y BUENAS PRACTICAS EN PACIENTE ",IF(P127=CURSOS!$D$10,"CLINICA DE HERIDAS ",IF(P127=CURSOS!$D$11,"TOMA DE CITOLOGIA CERVICO VAGINAL ",IF(P127=CURSOS!$D$12,"SOPORTE CARDIOVASCULAR AVANZADO (ACLS) ",IF(P127=CURSOS!$D$13,"CAMILLERO ",IF(P127=CURSOS!$D$14,"TOMA DE MUESTRAS Y LABORATORIO ",IF(P127=CURSOS!$D$15,"SOPORTE VITAL BASICO (BLS)",IF(P127=CURSOS!$D$16,"ATENCION A VICTIMAS DE VIOLENCIA SEXUAL ",IF(P127=CURSOS!$D$17,"PROGRAMADO AMPLIADO DE INMUNIZACION (PAI - COVID 19)",IF(P127=CURSOS!$D$18,"ATENCION INTEGRAL EN ENFERMEDADES PREVALENTES EN PRIMERA INFANCIA (AIEPI)",IF(P127=CURSOS!$D$19,"ADMINISTRACION DE MEDICAMENTOS, INYECTOLOGIA  Y CANALIZACION ",IF(P127=CURSOS!$D$20,"OPERADOR DE VEHICULOS DE EMERGENCIA (OVE)",IF(P127=CURSOS!$D$21,"INSTITUCIONES AMIGAS DE LA MUJER Y LA INFANCIA (IAMI)",IF(P127=CURSOS!$D$22,"CUIDADO DEL DONANTE DE ORGANOS",IF(P127=CURSOS!$D$23,"ATENCION A VICTIMAS POR VIOLENCIA DE GENERO",IF(P127=CURSOS!$D$24,"IGUALDAD DE GENERO EN LA SALUD",IF(P127=CURSOS!$D$25,"BRIGADA DE EMERGENCIA",IF(P127=CURSOS!$D$26,"MANEJO DEL DOLOR Y CUIDADOS PALIATIVOS",IF(P127=CURSOS!$D$27,"TOMA DE MUESTRAS Y LABORATORIO POCT",IF(P127=CURSOS!$D$28,"IMPLANTE SUBDERMICO DE DISPOSITIVO INTRAUTERINO",IF(P127=CURSOS!$D$29,"SALUD MENTAL",IF(P127=CURSOS!$D$30,"PRIMEROS AUXILIOS PSICOLOGICOS",IF(P127=CURSOS!$D$31,"ATENCION A VICTIMAS POR CONFLICTO ARMADO",IF(P127=CURSOS!$D$32,"MANIPULACION DE ALIMENTOS Y BPM",IF(P127=CURSOS!$D$33,"ATENCION A PERSONAS CON DISCAPACIDAD",IF(P127=CURSOS!$D$34,"CUIDADO INTEGRAL DEL PACIENTE ADULTO",IF(P127=CURSOS!$D$35,"MANEJO DEFENSIVO",IF(P127=CURSOS!$D$36,"SOPORTE CARDIOVASCULAR AVANZADO NEONATAL",IF(P127=CURSOS!$D$37,"SEGURIDAD DEL PACIENTE",IF(P127=CURSOS!$D$38,"MANEJO DE RESIDUOS HOSPITALARIOS"))))))))))))))))))))))))))))))))))))</f>
        <v xml:space="preserve">ATENCION A VICTIMAS DE VIOLENCIA SEXUAL </v>
      </c>
      <c r="W127" s="65" t="str">
        <f t="shared" si="12"/>
        <v>Sandra Patricia Rosero Cordoba</v>
      </c>
      <c r="X127" s="65" t="str">
        <f t="shared" si="13"/>
        <v>Sandra Patricia Rosero Cordoba</v>
      </c>
      <c r="Y127" s="65" t="str">
        <f t="shared" si="14"/>
        <v>Sandra Patricia Rosero Cordoba-1085272026-VIOLENCIA SEXUAL</v>
      </c>
    </row>
    <row r="128" spans="1:25" s="58" customFormat="1" x14ac:dyDescent="0.2">
      <c r="A128" s="59">
        <v>127</v>
      </c>
      <c r="B128" s="60">
        <v>1088737698</v>
      </c>
      <c r="C128" s="81" t="s">
        <v>284</v>
      </c>
      <c r="D128" s="81" t="s">
        <v>141</v>
      </c>
      <c r="E128" s="81" t="s">
        <v>427</v>
      </c>
      <c r="F128" s="81" t="s">
        <v>428</v>
      </c>
      <c r="G128" s="81">
        <v>25</v>
      </c>
      <c r="H128" s="60" t="s">
        <v>103</v>
      </c>
      <c r="I128" s="83" t="s">
        <v>123</v>
      </c>
      <c r="J128" s="83" t="s">
        <v>177</v>
      </c>
      <c r="K128" s="62">
        <v>45741</v>
      </c>
      <c r="L128" s="63">
        <v>32000</v>
      </c>
      <c r="M128" s="60" t="s">
        <v>156</v>
      </c>
      <c r="N128" s="60" t="s">
        <v>105</v>
      </c>
      <c r="O128" s="60" t="s">
        <v>182</v>
      </c>
      <c r="P128" s="60" t="s">
        <v>57</v>
      </c>
      <c r="Q128" s="61" t="s">
        <v>429</v>
      </c>
      <c r="R128" s="81" t="s">
        <v>107</v>
      </c>
      <c r="S128" s="60" t="s">
        <v>117</v>
      </c>
      <c r="T128" s="60">
        <v>3103338848</v>
      </c>
      <c r="U128" s="60" t="s">
        <v>430</v>
      </c>
      <c r="V128" s="65" t="str">
        <f>IF(P128=CURSOS!$D$3,"DIPLOMADO EN ATENCION PRE-HOSPITALARIA",IF(P128=CURSOS!$D$4,"ACOMPAÑAMIENTO Y MANEJO DEL DUELO",IF(P128=CURSOS!$D$5,"ATENCION A VICTIMAS DE ATAQUE CON AGENTES QUIMICOS ",IF(P128=CURSOS!$D$6,"PRIMEROS AUXILIOS ",IF(P128=CURSOS!$D$7,"DIPLOMADO DE UNIDAD DE CUIDADOS INTENSIVOS (UCI)",IF(P128=CURSOS!$D$8,"MODELO DE ATENCION PARA EVENTOS EMERGENTES EN SALUD MENTAL (CODIGO VERDE)",IF(P128=CURSOS!$D$9,"HUMANIZACION EN EL SERVICIO DE LA SALUD Y BUENAS PRACTICAS EN PACIENTE ",IF(P128=CURSOS!$D$10,"CLINICA DE HERIDAS ",IF(P128=CURSOS!$D$11,"TOMA DE CITOLOGIA CERVICO VAGINAL ",IF(P128=CURSOS!$D$12,"SOPORTE CARDIOVASCULAR AVANZADO (ACLS) ",IF(P128=CURSOS!$D$13,"CAMILLERO ",IF(P128=CURSOS!$D$14,"TOMA DE MUESTRAS Y LABORATORIO ",IF(P128=CURSOS!$D$15,"SOPORTE VITAL BASICO (BLS)",IF(P128=CURSOS!$D$16,"ATENCION A VICTIMAS DE VIOLENCIA SEXUAL ",IF(P128=CURSOS!$D$17,"PROGRAMADO AMPLIADO DE INMUNIZACION (PAI - COVID 19)",IF(P128=CURSOS!$D$18,"ATENCION INTEGRAL EN ENFERMEDADES PREVALENTES EN PRIMERA INFANCIA (AIEPI)",IF(P128=CURSOS!$D$19,"ADMINISTRACION DE MEDICAMENTOS, INYECTOLOGIA  Y CANALIZACION ",IF(P128=CURSOS!$D$20,"OPERADOR DE VEHICULOS DE EMERGENCIA (OVE)",IF(P128=CURSOS!$D$21,"INSTITUCIONES AMIGAS DE LA MUJER Y LA INFANCIA (IAMI)",IF(P128=CURSOS!$D$22,"CUIDADO DEL DONANTE DE ORGANOS",IF(P128=CURSOS!$D$23,"ATENCION A VICTIMAS POR VIOLENCIA DE GENERO",IF(P128=CURSOS!$D$24,"IGUALDAD DE GENERO EN LA SALUD",IF(P128=CURSOS!$D$25,"BRIGADA DE EMERGENCIA",IF(P128=CURSOS!$D$26,"MANEJO DEL DOLOR Y CUIDADOS PALIATIVOS",IF(P128=CURSOS!$D$27,"TOMA DE MUESTRAS Y LABORATORIO POCT",IF(P128=CURSOS!$D$28,"IMPLANTE SUBDERMICO DE DISPOSITIVO INTRAUTERINO",IF(P128=CURSOS!$D$29,"SALUD MENTAL",IF(P128=CURSOS!$D$30,"PRIMEROS AUXILIOS PSICOLOGICOS",IF(P128=CURSOS!$D$31,"ATENCION A VICTIMAS POR CONFLICTO ARMADO",IF(P128=CURSOS!$D$32,"MANIPULACION DE ALIMENTOS Y BPM",IF(P128=CURSOS!$D$33,"ATENCION A PERSONAS CON DISCAPACIDAD",IF(P128=CURSOS!$D$34,"CUIDADO INTEGRAL DEL PACIENTE ADULTO",IF(P128=CURSOS!$D$35,"MANEJO DEFENSIVO",IF(P128=CURSOS!$D$36,"SOPORTE CARDIOVASCULAR AVANZADO NEONATAL",IF(P128=CURSOS!$D$37,"SEGURIDAD DEL PACIENTE",IF(P128=CURSOS!$D$38,"MANEJO DE RESIDUOS HOSPITALARIOS"))))))))))))))))))))))))))))))))))))</f>
        <v>MANEJO DEL DOLOR Y CUIDADOS PALIATIVOS</v>
      </c>
      <c r="W128" s="65" t="str">
        <f t="shared" si="12"/>
        <v>Elisabeth Yamile Pantoja Narvaez</v>
      </c>
      <c r="X128" s="65" t="str">
        <f t="shared" si="13"/>
        <v>Elisabeth Yamile Pantoja Narvaez</v>
      </c>
      <c r="Y128" s="65" t="str">
        <f t="shared" si="14"/>
        <v>Elisabeth Yamile Pantoja Narvaez-1088737698-PALIATIVOS</v>
      </c>
    </row>
    <row r="129" spans="1:25" s="58" customFormat="1" x14ac:dyDescent="0.2">
      <c r="A129" s="59">
        <v>128</v>
      </c>
      <c r="B129" s="60">
        <v>87066839</v>
      </c>
      <c r="C129" s="81" t="s">
        <v>184</v>
      </c>
      <c r="D129" s="81" t="s">
        <v>135</v>
      </c>
      <c r="E129" s="81" t="s">
        <v>431</v>
      </c>
      <c r="F129" s="81" t="s">
        <v>432</v>
      </c>
      <c r="G129" s="81">
        <v>25</v>
      </c>
      <c r="H129" s="60" t="s">
        <v>103</v>
      </c>
      <c r="I129" s="83" t="s">
        <v>123</v>
      </c>
      <c r="J129" s="83" t="s">
        <v>177</v>
      </c>
      <c r="K129" s="62">
        <v>45743</v>
      </c>
      <c r="L129" s="63">
        <v>30000</v>
      </c>
      <c r="M129" s="60" t="s">
        <v>156</v>
      </c>
      <c r="N129" s="60" t="s">
        <v>105</v>
      </c>
      <c r="O129" s="60" t="s">
        <v>138</v>
      </c>
      <c r="P129" s="60" t="s">
        <v>42</v>
      </c>
      <c r="Q129" s="61">
        <v>30538</v>
      </c>
      <c r="R129" s="81" t="s">
        <v>107</v>
      </c>
      <c r="S129" s="64" t="s">
        <v>131</v>
      </c>
      <c r="T129" s="60">
        <v>3165506590</v>
      </c>
      <c r="U129" s="64" t="s">
        <v>433</v>
      </c>
      <c r="V129" s="65" t="str">
        <f>IF(P129=CURSOS!$D$3,"DIPLOMADO EN ATENCION PRE-HOSPITALARIA",IF(P129=CURSOS!$D$4,"ACOMPAÑAMIENTO Y MANEJO DEL DUELO",IF(P129=CURSOS!$D$5,"ATENCION A VICTIMAS DE ATAQUE CON AGENTES QUIMICOS ",IF(P129=CURSOS!$D$6,"PRIMEROS AUXILIOS ",IF(P129=CURSOS!$D$7,"DIPLOMADO DE UNIDAD DE CUIDADOS INTENSIVOS (UCI)",IF(P129=CURSOS!$D$8,"MODELO DE ATENCION PARA EVENTOS EMERGENTES EN SALUD MENTAL (CODIGO VERDE)",IF(P129=CURSOS!$D$9,"HUMANIZACION EN EL SERVICIO DE LA SALUD Y BUENAS PRACTICAS EN PACIENTE ",IF(P129=CURSOS!$D$10,"CLINICA DE HERIDAS ",IF(P129=CURSOS!$D$11,"TOMA DE CITOLOGIA CERVICO VAGINAL ",IF(P129=CURSOS!$D$12,"SOPORTE CARDIOVASCULAR AVANZADO (ACLS) ",IF(P129=CURSOS!$D$13,"CAMILLERO ",IF(P129=CURSOS!$D$14,"TOMA DE MUESTRAS Y LABORATORIO ",IF(P129=CURSOS!$D$15,"SOPORTE VITAL BASICO (BLS)",IF(P129=CURSOS!$D$16,"ATENCION A VICTIMAS DE VIOLENCIA SEXUAL ",IF(P129=CURSOS!$D$17,"PROGRAMADO AMPLIADO DE INMUNIZACION (PAI - COVID 19)",IF(P129=CURSOS!$D$18,"ATENCION INTEGRAL EN ENFERMEDADES PREVALENTES EN PRIMERA INFANCIA (AIEPI)",IF(P129=CURSOS!$D$19,"ADMINISTRACION DE MEDICAMENTOS, INYECTOLOGIA  Y CANALIZACION ",IF(P129=CURSOS!$D$20,"OPERADOR DE VEHICULOS DE EMERGENCIA (OVE)",IF(P129=CURSOS!$D$21,"INSTITUCIONES AMIGAS DE LA MUJER Y LA INFANCIA (IAMI)",IF(P129=CURSOS!$D$22,"CUIDADO DEL DONANTE DE ORGANOS",IF(P129=CURSOS!$D$23,"ATENCION A VICTIMAS POR VIOLENCIA DE GENERO",IF(P129=CURSOS!$D$24,"IGUALDAD DE GENERO EN LA SALUD",IF(P129=CURSOS!$D$25,"BRIGADA DE EMERGENCIA",IF(P129=CURSOS!$D$26,"MANEJO DEL DOLOR Y CUIDADOS PALIATIVOS",IF(P129=CURSOS!$D$27,"TOMA DE MUESTRAS Y LABORATORIO POCT",IF(P129=CURSOS!$D$28,"IMPLANTE SUBDERMICO DE DISPOSITIVO INTRAUTERINO",IF(P129=CURSOS!$D$29,"SALUD MENTAL",IF(P129=CURSOS!$D$30,"PRIMEROS AUXILIOS PSICOLOGICOS",IF(P129=CURSOS!$D$31,"ATENCION A VICTIMAS POR CONFLICTO ARMADO",IF(P129=CURSOS!$D$32,"MANIPULACION DE ALIMENTOS Y BPM",IF(P129=CURSOS!$D$33,"ATENCION A PERSONAS CON DISCAPACIDAD",IF(P129=CURSOS!$D$34,"CUIDADO INTEGRAL DEL PACIENTE ADULTO",IF(P129=CURSOS!$D$35,"MANEJO DEFENSIVO",IF(P129=CURSOS!$D$36,"SOPORTE CARDIOVASCULAR AVANZADO NEONATAL",IF(P129=CURSOS!$D$37,"SEGURIDAD DEL PACIENTE",IF(P129=CURSOS!$D$38,"MANEJO DE RESIDUOS HOSPITALARIOS"))))))))))))))))))))))))))))))))))))</f>
        <v xml:space="preserve">ATENCION A VICTIMAS DE VIOLENCIA SEXUAL </v>
      </c>
      <c r="W129" s="65" t="str">
        <f t="shared" si="12"/>
        <v>Arnulfo Albeiro Mora Lopez</v>
      </c>
      <c r="X129" s="65" t="str">
        <f t="shared" si="13"/>
        <v>Arnulfo Albeiro Mora Lopez</v>
      </c>
      <c r="Y129" s="65" t="str">
        <f t="shared" si="14"/>
        <v>Arnulfo Albeiro Mora Lopez-87066839-VIOLENCIA SEXUAL</v>
      </c>
    </row>
    <row r="130" spans="1:25" s="58" customFormat="1" x14ac:dyDescent="0.2">
      <c r="A130" s="59">
        <v>129</v>
      </c>
      <c r="B130" s="60">
        <v>1085307605</v>
      </c>
      <c r="C130" s="81" t="s">
        <v>169</v>
      </c>
      <c r="D130" s="81" t="s">
        <v>234</v>
      </c>
      <c r="E130" s="81" t="s">
        <v>434</v>
      </c>
      <c r="F130" s="81" t="s">
        <v>170</v>
      </c>
      <c r="G130" s="81">
        <v>25</v>
      </c>
      <c r="H130" s="60" t="s">
        <v>103</v>
      </c>
      <c r="I130" s="83" t="s">
        <v>123</v>
      </c>
      <c r="J130" s="83" t="s">
        <v>177</v>
      </c>
      <c r="K130" s="62">
        <v>45743</v>
      </c>
      <c r="L130" s="63">
        <v>30000</v>
      </c>
      <c r="M130" s="60" t="s">
        <v>156</v>
      </c>
      <c r="N130" s="60" t="s">
        <v>105</v>
      </c>
      <c r="O130" s="60" t="s">
        <v>138</v>
      </c>
      <c r="P130" s="60" t="s">
        <v>23</v>
      </c>
      <c r="Q130" s="61">
        <v>34243</v>
      </c>
      <c r="R130" s="81" t="s">
        <v>107</v>
      </c>
      <c r="S130" s="60" t="s">
        <v>117</v>
      </c>
      <c r="T130" s="60">
        <v>3183258388</v>
      </c>
      <c r="U130" s="60" t="s">
        <v>435</v>
      </c>
      <c r="V130" s="65" t="str">
        <f>IF(P130=CURSOS!$D$3,"DIPLOMADO EN ATENCION PRE-HOSPITALARIA",IF(P130=CURSOS!$D$4,"ACOMPAÑAMIENTO Y MANEJO DEL DUELO",IF(P130=CURSOS!$D$5,"ATENCION A VICTIMAS DE ATAQUE CON AGENTES QUIMICOS ",IF(P130=CURSOS!$D$6,"PRIMEROS AUXILIOS ",IF(P130=CURSOS!$D$7,"DIPLOMADO DE UNIDAD DE CUIDADOS INTENSIVOS (UCI)",IF(P130=CURSOS!$D$8,"MODELO DE ATENCION PARA EVENTOS EMERGENTES EN SALUD MENTAL (CODIGO VERDE)",IF(P130=CURSOS!$D$9,"HUMANIZACION EN EL SERVICIO DE LA SALUD Y BUENAS PRACTICAS EN PACIENTE ",IF(P130=CURSOS!$D$10,"CLINICA DE HERIDAS ",IF(P130=CURSOS!$D$11,"TOMA DE CITOLOGIA CERVICO VAGINAL ",IF(P130=CURSOS!$D$12,"SOPORTE CARDIOVASCULAR AVANZADO (ACLS) ",IF(P130=CURSOS!$D$13,"CAMILLERO ",IF(P130=CURSOS!$D$14,"TOMA DE MUESTRAS Y LABORATORIO ",IF(P130=CURSOS!$D$15,"SOPORTE VITAL BASICO (BLS)",IF(P130=CURSOS!$D$16,"ATENCION A VICTIMAS DE VIOLENCIA SEXUAL ",IF(P130=CURSOS!$D$17,"PROGRAMADO AMPLIADO DE INMUNIZACION (PAI - COVID 19)",IF(P130=CURSOS!$D$18,"ATENCION INTEGRAL EN ENFERMEDADES PREVALENTES EN PRIMERA INFANCIA (AIEPI)",IF(P130=CURSOS!$D$19,"ADMINISTRACION DE MEDICAMENTOS, INYECTOLOGIA  Y CANALIZACION ",IF(P130=CURSOS!$D$20,"OPERADOR DE VEHICULOS DE EMERGENCIA (OVE)",IF(P130=CURSOS!$D$21,"INSTITUCIONES AMIGAS DE LA MUJER Y LA INFANCIA (IAMI)",IF(P130=CURSOS!$D$22,"CUIDADO DEL DONANTE DE ORGANOS",IF(P130=CURSOS!$D$23,"ATENCION A VICTIMAS POR VIOLENCIA DE GENERO",IF(P130=CURSOS!$D$24,"IGUALDAD DE GENERO EN LA SALUD",IF(P130=CURSOS!$D$25,"BRIGADA DE EMERGENCIA",IF(P130=CURSOS!$D$26,"MANEJO DEL DOLOR Y CUIDADOS PALIATIVOS",IF(P130=CURSOS!$D$27,"TOMA DE MUESTRAS Y LABORATORIO POCT",IF(P130=CURSOS!$D$28,"IMPLANTE SUBDERMICO DE DISPOSITIVO INTRAUTERINO",IF(P130=CURSOS!$D$29,"SALUD MENTAL",IF(P130=CURSOS!$D$30,"PRIMEROS AUXILIOS PSICOLOGICOS",IF(P130=CURSOS!$D$31,"ATENCION A VICTIMAS POR CONFLICTO ARMADO",IF(P130=CURSOS!$D$32,"MANIPULACION DE ALIMENTOS Y BPM",IF(P130=CURSOS!$D$33,"ATENCION A PERSONAS CON DISCAPACIDAD",IF(P130=CURSOS!$D$34,"CUIDADO INTEGRAL DEL PACIENTE ADULTO",IF(P130=CURSOS!$D$35,"MANEJO DEFENSIVO",IF(P130=CURSOS!$D$36,"SOPORTE CARDIOVASCULAR AVANZADO NEONATAL",IF(P130=CURSOS!$D$37,"SEGURIDAD DEL PACIENTE",IF(P130=CURSOS!$D$38,"MANEJO DE RESIDUOS HOSPITALARIOS"))))))))))))))))))))))))))))))))))))</f>
        <v>ACOMPAÑAMIENTO Y MANEJO DEL DUELO</v>
      </c>
      <c r="W130" s="65" t="str">
        <f t="shared" si="12"/>
        <v>Jessica Paola Cabrera Argoti</v>
      </c>
      <c r="X130" s="65" t="str">
        <f t="shared" si="13"/>
        <v>Jessica Paola Cabrera Argoti</v>
      </c>
      <c r="Y130" s="65" t="str">
        <f t="shared" si="14"/>
        <v>Jessica Paola Cabrera Argoti-1085307605-DUELO</v>
      </c>
    </row>
    <row r="131" spans="1:25" s="58" customFormat="1" x14ac:dyDescent="0.2">
      <c r="A131" s="59">
        <v>130</v>
      </c>
      <c r="B131" s="60">
        <v>1086133792</v>
      </c>
      <c r="C131" s="81" t="s">
        <v>437</v>
      </c>
      <c r="D131" s="81" t="s">
        <v>438</v>
      </c>
      <c r="E131" s="81" t="s">
        <v>439</v>
      </c>
      <c r="F131" s="81" t="s">
        <v>257</v>
      </c>
      <c r="G131" s="81">
        <v>22</v>
      </c>
      <c r="H131" s="60" t="s">
        <v>103</v>
      </c>
      <c r="I131" s="83" t="s">
        <v>123</v>
      </c>
      <c r="J131" s="83" t="s">
        <v>179</v>
      </c>
      <c r="K131" s="62">
        <v>45749</v>
      </c>
      <c r="L131" s="63">
        <v>100000</v>
      </c>
      <c r="M131" s="60" t="s">
        <v>156</v>
      </c>
      <c r="N131" s="60" t="s">
        <v>105</v>
      </c>
      <c r="O131" s="60" t="s">
        <v>106</v>
      </c>
      <c r="P131" s="60" t="s">
        <v>37</v>
      </c>
      <c r="Q131" s="61">
        <v>31874</v>
      </c>
      <c r="R131" s="81" t="s">
        <v>107</v>
      </c>
      <c r="S131" s="60" t="s">
        <v>243</v>
      </c>
      <c r="T131" s="60">
        <v>3165394074</v>
      </c>
      <c r="U131" s="60" t="s">
        <v>436</v>
      </c>
      <c r="V131" s="65" t="str">
        <f>IF(P131=CURSOS!$D$3,"DIPLOMADO EN ATENCION PRE-HOSPITALARIA",IF(P131=CURSOS!$D$4,"ACOMPAÑAMIENTO Y MANEJO DEL DUELO",IF(P131=CURSOS!$D$5,"ATENCION A VICTIMAS DE ATAQUE CON AGENTES QUIMICOS ",IF(P131=CURSOS!$D$6,"PRIMEROS AUXILIOS ",IF(P131=CURSOS!$D$7,"DIPLOMADO DE UNIDAD DE CUIDADOS INTENSIVOS (UCI)",IF(P131=CURSOS!$D$8,"MODELO DE ATENCION PARA EVENTOS EMERGENTES EN SALUD MENTAL (CODIGO VERDE)",IF(P131=CURSOS!$D$9,"HUMANIZACION EN EL SERVICIO DE LA SALUD Y BUENAS PRACTICAS EN PACIENTE ",IF(P131=CURSOS!$D$10,"CLINICA DE HERIDAS ",IF(P131=CURSOS!$D$11,"TOMA DE CITOLOGIA CERVICO VAGINAL ",IF(P131=CURSOS!$D$12,"SOPORTE CARDIOVASCULAR AVANZADO (ACLS) ",IF(P131=CURSOS!$D$13,"CAMILLERO ",IF(P131=CURSOS!$D$14,"TOMA DE MUESTRAS Y LABORATORIO ",IF(P131=CURSOS!$D$15,"SOPORTE VITAL BASICO (BLS)",IF(P131=CURSOS!$D$16,"ATENCION A VICTIMAS DE VIOLENCIA SEXUAL ",IF(P131=CURSOS!$D$17,"PROGRAMADO AMPLIADO DE INMUNIZACION (PAI - COVID 19)",IF(P131=CURSOS!$D$18,"ATENCION INTEGRAL EN ENFERMEDADES PREVALENTES EN PRIMERA INFANCIA (AIEPI)",IF(P131=CURSOS!$D$19,"ADMINISTRACION DE MEDICAMENTOS, INYECTOLOGIA  Y CANALIZACION ",IF(P131=CURSOS!$D$20,"OPERADOR DE VEHICULOS DE EMERGENCIA (OVE)",IF(P131=CURSOS!$D$21,"INSTITUCIONES AMIGAS DE LA MUJER Y LA INFANCIA (IAMI)",IF(P131=CURSOS!$D$22,"CUIDADO DEL DONANTE DE ORGANOS",IF(P131=CURSOS!$D$23,"ATENCION A VICTIMAS POR VIOLENCIA DE GENERO",IF(P131=CURSOS!$D$24,"IGUALDAD DE GENERO EN LA SALUD",IF(P131=CURSOS!$D$25,"BRIGADA DE EMERGENCIA",IF(P131=CURSOS!$D$26,"MANEJO DEL DOLOR Y CUIDADOS PALIATIVOS",IF(P131=CURSOS!$D$27,"TOMA DE MUESTRAS Y LABORATORIO POCT",IF(P131=CURSOS!$D$28,"IMPLANTE SUBDERMICO DE DISPOSITIVO INTRAUTERINO",IF(P131=CURSOS!$D$29,"SALUD MENTAL",IF(P131=CURSOS!$D$30,"PRIMEROS AUXILIOS PSICOLOGICOS",IF(P131=CURSOS!$D$31,"ATENCION A VICTIMAS POR CONFLICTO ARMADO",IF(P131=CURSOS!$D$32,"MANIPULACION DE ALIMENTOS Y BPM",IF(P131=CURSOS!$D$33,"ATENCION A PERSONAS CON DISCAPACIDAD",IF(P131=CURSOS!$D$34,"CUIDADO INTEGRAL DEL PACIENTE ADULTO",IF(P131=CURSOS!$D$35,"MANEJO DEFENSIVO",IF(P131=CURSOS!$D$36,"SOPORTE CARDIOVASCULAR AVANZADO NEONATAL",IF(P131=CURSOS!$D$37,"SEGURIDAD DEL PACIENTE",IF(P131=CURSOS!$D$38,"MANEJO DE RESIDUOS HOSPITALARIOS"))))))))))))))))))))))))))))))))))))</f>
        <v xml:space="preserve">SOPORTE CARDIOVASCULAR AVANZADO (ACLS) </v>
      </c>
      <c r="W131" s="65" t="str">
        <f t="shared" si="12"/>
        <v>Astrid Carolina Espinoza Mera</v>
      </c>
      <c r="X131" s="65" t="str">
        <f t="shared" si="13"/>
        <v>Astrid Carolina Espinoza Mera</v>
      </c>
      <c r="Y131" s="65" t="str">
        <f t="shared" si="14"/>
        <v>Astrid Carolina Espinoza Mera-1086133792-ACLS</v>
      </c>
    </row>
    <row r="132" spans="1:25" s="58" customFormat="1" x14ac:dyDescent="0.2">
      <c r="A132" s="59">
        <v>131</v>
      </c>
      <c r="B132" s="60">
        <v>1086133792</v>
      </c>
      <c r="C132" s="81" t="s">
        <v>437</v>
      </c>
      <c r="D132" s="81" t="s">
        <v>438</v>
      </c>
      <c r="E132" s="81" t="s">
        <v>439</v>
      </c>
      <c r="F132" s="81" t="s">
        <v>257</v>
      </c>
      <c r="G132" s="81">
        <v>22</v>
      </c>
      <c r="H132" s="60" t="s">
        <v>103</v>
      </c>
      <c r="I132" s="83" t="s">
        <v>123</v>
      </c>
      <c r="J132" s="83" t="s">
        <v>179</v>
      </c>
      <c r="K132" s="62">
        <v>45749</v>
      </c>
      <c r="L132" s="63">
        <v>100000</v>
      </c>
      <c r="M132" s="60" t="s">
        <v>156</v>
      </c>
      <c r="N132" s="60" t="s">
        <v>105</v>
      </c>
      <c r="O132" s="60" t="s">
        <v>106</v>
      </c>
      <c r="P132" s="60" t="s">
        <v>23</v>
      </c>
      <c r="Q132" s="61">
        <v>31874</v>
      </c>
      <c r="R132" s="81" t="s">
        <v>107</v>
      </c>
      <c r="S132" s="60" t="s">
        <v>243</v>
      </c>
      <c r="T132" s="60">
        <v>3165394074</v>
      </c>
      <c r="U132" s="60" t="s">
        <v>436</v>
      </c>
      <c r="V132" s="65" t="str">
        <f>IF(P132=CURSOS!$D$3,"DIPLOMADO EN ATENCION PRE-HOSPITALARIA",IF(P132=CURSOS!$D$4,"ACOMPAÑAMIENTO Y MANEJO DEL DUELO",IF(P132=CURSOS!$D$5,"ATENCION A VICTIMAS DE ATAQUE CON AGENTES QUIMICOS ",IF(P132=CURSOS!$D$6,"PRIMEROS AUXILIOS ",IF(P132=CURSOS!$D$7,"DIPLOMADO DE UNIDAD DE CUIDADOS INTENSIVOS (UCI)",IF(P132=CURSOS!$D$8,"MODELO DE ATENCION PARA EVENTOS EMERGENTES EN SALUD MENTAL (CODIGO VERDE)",IF(P132=CURSOS!$D$9,"HUMANIZACION EN EL SERVICIO DE LA SALUD Y BUENAS PRACTICAS EN PACIENTE ",IF(P132=CURSOS!$D$10,"CLINICA DE HERIDAS ",IF(P132=CURSOS!$D$11,"TOMA DE CITOLOGIA CERVICO VAGINAL ",IF(P132=CURSOS!$D$12,"SOPORTE CARDIOVASCULAR AVANZADO (ACLS) ",IF(P132=CURSOS!$D$13,"CAMILLERO ",IF(P132=CURSOS!$D$14,"TOMA DE MUESTRAS Y LABORATORIO ",IF(P132=CURSOS!$D$15,"SOPORTE VITAL BASICO (BLS)",IF(P132=CURSOS!$D$16,"ATENCION A VICTIMAS DE VIOLENCIA SEXUAL ",IF(P132=CURSOS!$D$17,"PROGRAMADO AMPLIADO DE INMUNIZACION (PAI - COVID 19)",IF(P132=CURSOS!$D$18,"ATENCION INTEGRAL EN ENFERMEDADES PREVALENTES EN PRIMERA INFANCIA (AIEPI)",IF(P132=CURSOS!$D$19,"ADMINISTRACION DE MEDICAMENTOS, INYECTOLOGIA  Y CANALIZACION ",IF(P132=CURSOS!$D$20,"OPERADOR DE VEHICULOS DE EMERGENCIA (OVE)",IF(P132=CURSOS!$D$21,"INSTITUCIONES AMIGAS DE LA MUJER Y LA INFANCIA (IAMI)",IF(P132=CURSOS!$D$22,"CUIDADO DEL DONANTE DE ORGANOS",IF(P132=CURSOS!$D$23,"ATENCION A VICTIMAS POR VIOLENCIA DE GENERO",IF(P132=CURSOS!$D$24,"IGUALDAD DE GENERO EN LA SALUD",IF(P132=CURSOS!$D$25,"BRIGADA DE EMERGENCIA",IF(P132=CURSOS!$D$26,"MANEJO DEL DOLOR Y CUIDADOS PALIATIVOS",IF(P132=CURSOS!$D$27,"TOMA DE MUESTRAS Y LABORATORIO POCT",IF(P132=CURSOS!$D$28,"IMPLANTE SUBDERMICO DE DISPOSITIVO INTRAUTERINO",IF(P132=CURSOS!$D$29,"SALUD MENTAL",IF(P132=CURSOS!$D$30,"PRIMEROS AUXILIOS PSICOLOGICOS",IF(P132=CURSOS!$D$31,"ATENCION A VICTIMAS POR CONFLICTO ARMADO",IF(P132=CURSOS!$D$32,"MANIPULACION DE ALIMENTOS Y BPM",IF(P132=CURSOS!$D$33,"ATENCION A PERSONAS CON DISCAPACIDAD",IF(P132=CURSOS!$D$34,"CUIDADO INTEGRAL DEL PACIENTE ADULTO",IF(P132=CURSOS!$D$35,"MANEJO DEFENSIVO",IF(P132=CURSOS!$D$36,"SOPORTE CARDIOVASCULAR AVANZADO NEONATAL",IF(P132=CURSOS!$D$37,"SEGURIDAD DEL PACIENTE",IF(P132=CURSOS!$D$38,"MANEJO DE RESIDUOS HOSPITALARIOS"))))))))))))))))))))))))))))))))))))</f>
        <v>ACOMPAÑAMIENTO Y MANEJO DEL DUELO</v>
      </c>
      <c r="W132" s="65" t="str">
        <f t="shared" si="12"/>
        <v>Astrid Carolina Espinoza Mera</v>
      </c>
      <c r="X132" s="65" t="str">
        <f t="shared" si="13"/>
        <v>Astrid Carolina Espinoza Mera</v>
      </c>
      <c r="Y132" s="65" t="str">
        <f t="shared" si="14"/>
        <v>Astrid Carolina Espinoza Mera-1086133792-DUELO</v>
      </c>
    </row>
    <row r="133" spans="1:25" s="58" customFormat="1" x14ac:dyDescent="0.2">
      <c r="A133" s="59">
        <v>132</v>
      </c>
      <c r="B133" s="60">
        <v>37121140</v>
      </c>
      <c r="C133" s="60" t="s">
        <v>169</v>
      </c>
      <c r="D133" s="60" t="s">
        <v>160</v>
      </c>
      <c r="E133" s="81" t="s">
        <v>181</v>
      </c>
      <c r="F133" s="60" t="s">
        <v>440</v>
      </c>
      <c r="G133" s="60">
        <v>25</v>
      </c>
      <c r="H133" s="60" t="s">
        <v>103</v>
      </c>
      <c r="I133" s="61" t="s">
        <v>123</v>
      </c>
      <c r="J133" s="61"/>
      <c r="K133" s="62">
        <v>45741</v>
      </c>
      <c r="L133" s="63">
        <v>40000</v>
      </c>
      <c r="M133" s="81" t="s">
        <v>156</v>
      </c>
      <c r="N133" s="60" t="s">
        <v>105</v>
      </c>
      <c r="O133" s="60" t="s">
        <v>106</v>
      </c>
      <c r="P133" s="60" t="s">
        <v>19</v>
      </c>
      <c r="Q133" s="61">
        <v>27907</v>
      </c>
      <c r="R133" s="60" t="s">
        <v>107</v>
      </c>
      <c r="S133" s="64" t="s">
        <v>117</v>
      </c>
      <c r="T133" s="60">
        <v>3177252879</v>
      </c>
      <c r="U133" s="60" t="s">
        <v>441</v>
      </c>
      <c r="V133" s="65" t="str">
        <f>IF(P133=CURSOS!$D$3,"DIPLOMADO EN ATENCION PRE-HOSPITALARIA",IF(P133=CURSOS!$D$4,"ACOMPAÑAMIENTO Y MANEJO DEL DUELO",IF(P133=CURSOS!$D$5,"ATENCION A VICTIMAS DE ATAQUE CON AGENTES QUIMICOS ",IF(P133=CURSOS!$D$6,"PRIMEROS AUXILIOS ",IF(P133=CURSOS!$D$7,"DIPLOMADO DE UNIDAD DE CUIDADOS INTENSIVOS (UCI)",IF(P133=CURSOS!$D$8,"MODELO DE ATENCION PARA EVENTOS EMERGENTES EN SALUD MENTAL (CODIGO VERDE)",IF(P133=CURSOS!$D$9,"HUMANIZACION EN EL SERVICIO DE LA SALUD Y BUENAS PRACTICAS EN PACIENTE ",IF(P133=CURSOS!$D$10,"CLINICA DE HERIDAS ",IF(P133=CURSOS!$D$11,"TOMA DE CITOLOGIA CERVICO VAGINAL ",IF(P133=CURSOS!$D$12,"SOPORTE CARDIOVASCULAR AVANZADO (ACLS) ",IF(P133=CURSOS!$D$13,"CAMILLERO ",IF(P133=CURSOS!$D$14,"TOMA DE MUESTRAS Y LABORATORIO ",IF(P133=CURSOS!$D$15,"SOPORTE VITAL BASICO (BLS)",IF(P133=CURSOS!$D$16,"ATENCION A VICTIMAS DE VIOLENCIA SEXUAL ",IF(P133=CURSOS!$D$17,"PROGRAMADO AMPLIADO DE INMUNIZACION (PAI - COVID 19)",IF(P133=CURSOS!$D$18,"ATENCION INTEGRAL EN ENFERMEDADES PREVALENTES EN PRIMERA INFANCIA (AIEPI)",IF(P133=CURSOS!$D$19,"ADMINISTRACION DE MEDICAMENTOS, INYECTOLOGIA  Y CANALIZACION ",IF(P133=CURSOS!$D$20,"OPERADOR DE VEHICULOS DE EMERGENCIA (OVE)",IF(P133=CURSOS!$D$21,"INSTITUCIONES AMIGAS DE LA MUJER Y LA INFANCIA (IAMI)",IF(P133=CURSOS!$D$22,"CUIDADO DEL DONANTE DE ORGANOS",IF(P133=CURSOS!$D$23,"ATENCION A VICTIMAS POR VIOLENCIA DE GENERO",IF(P133=CURSOS!$D$24,"IGUALDAD DE GENERO EN LA SALUD",IF(P133=CURSOS!$D$25,"BRIGADA DE EMERGENCIA",IF(P133=CURSOS!$D$26,"MANEJO DEL DOLOR Y CUIDADOS PALIATIVOS",IF(P133=CURSOS!$D$27,"TOMA DE MUESTRAS Y LABORATORIO POCT",IF(P133=CURSOS!$D$28,"IMPLANTE SUBDERMICO DE DISPOSITIVO INTRAUTERINO",IF(P133=CURSOS!$D$29,"SALUD MENTAL",IF(P133=CURSOS!$D$30,"PRIMEROS AUXILIOS PSICOLOGICOS",IF(P133=CURSOS!$D$31,"ATENCION A VICTIMAS POR CONFLICTO ARMADO",IF(P133=CURSOS!$D$32,"MANIPULACION DE ALIMENTOS Y BPM",IF(P133=CURSOS!$D$33,"ATENCION A PERSONAS CON DISCAPACIDAD",IF(P133=CURSOS!$D$34,"CUIDADO INTEGRAL DEL PACIENTE ADULTO",IF(P133=CURSOS!$D$35,"MANEJO DEFENSIVO",IF(P133=CURSOS!$D$36,"SOPORTE CARDIOVASCULAR AVANZADO NEONATAL",IF(P133=CURSOS!$D$37,"SEGURIDAD DEL PACIENTE",IF(P133=CURSOS!$D$38,"MANEJO DE RESIDUOS HOSPITALARIOS"))))))))))))))))))))))))))))))))))))</f>
        <v>SOPORTE VITAL BASICO (BLS)</v>
      </c>
      <c r="W133" s="65" t="str">
        <f t="shared" si="12"/>
        <v>Nancy Yaneth Cabrera Benavides</v>
      </c>
      <c r="X133" s="65" t="str">
        <f t="shared" si="13"/>
        <v>Nancy Yaneth Cabrera Benavides</v>
      </c>
      <c r="Y133" s="65" t="str">
        <f t="shared" si="14"/>
        <v>Nancy Yaneth Cabrera Benavides-37121140-BLS</v>
      </c>
    </row>
    <row r="134" spans="1:25" s="58" customFormat="1" x14ac:dyDescent="0.2">
      <c r="A134" s="59">
        <v>133</v>
      </c>
      <c r="B134" s="60">
        <v>1082749693</v>
      </c>
      <c r="C134" s="60" t="s">
        <v>446</v>
      </c>
      <c r="D134" s="60" t="s">
        <v>135</v>
      </c>
      <c r="E134" s="81" t="s">
        <v>447</v>
      </c>
      <c r="F134" s="60" t="s">
        <v>112</v>
      </c>
      <c r="G134" s="60">
        <v>25</v>
      </c>
      <c r="H134" s="60" t="s">
        <v>103</v>
      </c>
      <c r="I134" s="83" t="s">
        <v>123</v>
      </c>
      <c r="J134" s="83" t="s">
        <v>177</v>
      </c>
      <c r="K134" s="62">
        <v>45741</v>
      </c>
      <c r="L134" s="63">
        <v>32000</v>
      </c>
      <c r="M134" s="60" t="s">
        <v>156</v>
      </c>
      <c r="N134" s="60" t="s">
        <v>105</v>
      </c>
      <c r="O134" s="60" t="s">
        <v>182</v>
      </c>
      <c r="P134" s="60" t="s">
        <v>44</v>
      </c>
      <c r="Q134" s="61">
        <v>36479</v>
      </c>
      <c r="R134" s="60" t="s">
        <v>107</v>
      </c>
      <c r="S134" s="64" t="s">
        <v>131</v>
      </c>
      <c r="T134" s="60">
        <v>3135001076</v>
      </c>
      <c r="U134" s="60" t="s">
        <v>448</v>
      </c>
      <c r="V134" s="65" t="str">
        <f>IF(P134=CURSOS!$D$3,"DIPLOMADO EN ATENCION PRE-HOSPITALARIA",IF(P134=CURSOS!$D$4,"ACOMPAÑAMIENTO Y MANEJO DEL DUELO",IF(P134=CURSOS!$D$5,"ATENCION A VICTIMAS DE ATAQUE CON AGENTES QUIMICOS ",IF(P134=CURSOS!$D$6,"PRIMEROS AUXILIOS ",IF(P134=CURSOS!$D$7,"DIPLOMADO DE UNIDAD DE CUIDADOS INTENSIVOS (UCI)",IF(P134=CURSOS!$D$8,"MODELO DE ATENCION PARA EVENTOS EMERGENTES EN SALUD MENTAL (CODIGO VERDE)",IF(P134=CURSOS!$D$9,"HUMANIZACION EN EL SERVICIO DE LA SALUD Y BUENAS PRACTICAS EN PACIENTE ",IF(P134=CURSOS!$D$10,"CLINICA DE HERIDAS ",IF(P134=CURSOS!$D$11,"TOMA DE CITOLOGIA CERVICO VAGINAL ",IF(P134=CURSOS!$D$12,"SOPORTE CARDIOVASCULAR AVANZADO (ACLS) ",IF(P134=CURSOS!$D$13,"CAMILLERO ",IF(P134=CURSOS!$D$14,"TOMA DE MUESTRAS Y LABORATORIO ",IF(P134=CURSOS!$D$15,"SOPORTE VITAL BASICO (BLS)",IF(P134=CURSOS!$D$16,"ATENCION A VICTIMAS DE VIOLENCIA SEXUAL ",IF(P134=CURSOS!$D$17,"PROGRAMADO AMPLIADO DE INMUNIZACION (PAI - COVID 19)",IF(P134=CURSOS!$D$18,"ATENCION INTEGRAL EN ENFERMEDADES PREVALENTES EN PRIMERA INFANCIA (AIEPI)",IF(P134=CURSOS!$D$19,"ADMINISTRACION DE MEDICAMENTOS, INYECTOLOGIA  Y CANALIZACION ",IF(P134=CURSOS!$D$20,"OPERADOR DE VEHICULOS DE EMERGENCIA (OVE)",IF(P134=CURSOS!$D$21,"INSTITUCIONES AMIGAS DE LA MUJER Y LA INFANCIA (IAMI)",IF(P134=CURSOS!$D$22,"CUIDADO DEL DONANTE DE ORGANOS",IF(P134=CURSOS!$D$23,"ATENCION A VICTIMAS POR VIOLENCIA DE GENERO",IF(P134=CURSOS!$D$24,"IGUALDAD DE GENERO EN LA SALUD",IF(P134=CURSOS!$D$25,"BRIGADA DE EMERGENCIA",IF(P134=CURSOS!$D$26,"MANEJO DEL DOLOR Y CUIDADOS PALIATIVOS",IF(P134=CURSOS!$D$27,"TOMA DE MUESTRAS Y LABORATORIO POCT",IF(P134=CURSOS!$D$28,"IMPLANTE SUBDERMICO DE DISPOSITIVO INTRAUTERINO",IF(P134=CURSOS!$D$29,"SALUD MENTAL",IF(P134=CURSOS!$D$30,"PRIMEROS AUXILIOS PSICOLOGICOS",IF(P134=CURSOS!$D$31,"ATENCION A VICTIMAS POR CONFLICTO ARMADO",IF(P134=CURSOS!$D$32,"MANIPULACION DE ALIMENTOS Y BPM",IF(P134=CURSOS!$D$33,"ATENCION A PERSONAS CON DISCAPACIDAD",IF(P134=CURSOS!$D$34,"CUIDADO INTEGRAL DEL PACIENTE ADULTO",IF(P134=CURSOS!$D$35,"MANEJO DEFENSIVO",IF(P134=CURSOS!$D$36,"SOPORTE CARDIOVASCULAR AVANZADO NEONATAL",IF(P134=CURSOS!$D$37,"SEGURIDAD DEL PACIENTE",IF(P134=CURSOS!$D$38,"MANEJO DE RESIDUOS HOSPITALARIOS"))))))))))))))))))))))))))))))))))))</f>
        <v>ATENCION INTEGRAL EN ENFERMEDADES PREVALENTES EN PRIMERA INFANCIA (AIEPI)</v>
      </c>
      <c r="W134" s="65" t="str">
        <f t="shared" si="12"/>
        <v>Fabiana Vanessa Chavez Lopez</v>
      </c>
      <c r="X134" s="65" t="str">
        <f t="shared" si="13"/>
        <v>Fabiana Vanessa Chavez Lopez</v>
      </c>
      <c r="Y134" s="65" t="str">
        <f t="shared" si="14"/>
        <v>Fabiana Vanessa Chavez Lopez-1082749693-AIEPI</v>
      </c>
    </row>
    <row r="135" spans="1:25" s="58" customFormat="1" x14ac:dyDescent="0.2">
      <c r="A135" s="59">
        <v>134</v>
      </c>
      <c r="B135" s="60">
        <v>1085953098</v>
      </c>
      <c r="C135" s="60" t="s">
        <v>449</v>
      </c>
      <c r="D135" s="60" t="s">
        <v>450</v>
      </c>
      <c r="E135" s="81" t="s">
        <v>372</v>
      </c>
      <c r="F135" s="60" t="s">
        <v>451</v>
      </c>
      <c r="G135" s="60">
        <v>25</v>
      </c>
      <c r="H135" s="60" t="s">
        <v>103</v>
      </c>
      <c r="I135" s="83" t="s">
        <v>104</v>
      </c>
      <c r="J135" s="83" t="s">
        <v>179</v>
      </c>
      <c r="K135" s="62" t="s">
        <v>461</v>
      </c>
      <c r="L135" s="63">
        <v>80000</v>
      </c>
      <c r="M135" s="60" t="s">
        <v>156</v>
      </c>
      <c r="N135" s="60" t="s">
        <v>105</v>
      </c>
      <c r="O135" s="60" t="s">
        <v>106</v>
      </c>
      <c r="P135" s="60" t="s">
        <v>19</v>
      </c>
      <c r="Q135" s="61">
        <v>36442</v>
      </c>
      <c r="R135" s="60" t="s">
        <v>107</v>
      </c>
      <c r="S135" s="64" t="s">
        <v>117</v>
      </c>
      <c r="T135" s="60">
        <v>3154984971</v>
      </c>
      <c r="U135" s="60" t="s">
        <v>452</v>
      </c>
      <c r="V135" s="65" t="str">
        <f>IF(P135=CURSOS!$D$3,"DIPLOMADO EN ATENCION PRE-HOSPITALARIA",IF(P135=CURSOS!$D$4,"ACOMPAÑAMIENTO Y MANEJO DEL DUELO",IF(P135=CURSOS!$D$5,"ATENCION A VICTIMAS DE ATAQUE CON AGENTES QUIMICOS ",IF(P135=CURSOS!$D$6,"PRIMEROS AUXILIOS ",IF(P135=CURSOS!$D$7,"DIPLOMADO DE UNIDAD DE CUIDADOS INTENSIVOS (UCI)",IF(P135=CURSOS!$D$8,"MODELO DE ATENCION PARA EVENTOS EMERGENTES EN SALUD MENTAL (CODIGO VERDE)",IF(P135=CURSOS!$D$9,"HUMANIZACION EN EL SERVICIO DE LA SALUD Y BUENAS PRACTICAS EN PACIENTE ",IF(P135=CURSOS!$D$10,"CLINICA DE HERIDAS ",IF(P135=CURSOS!$D$11,"TOMA DE CITOLOGIA CERVICO VAGINAL ",IF(P135=CURSOS!$D$12,"SOPORTE CARDIOVASCULAR AVANZADO (ACLS) ",IF(P135=CURSOS!$D$13,"CAMILLERO ",IF(P135=CURSOS!$D$14,"TOMA DE MUESTRAS Y LABORATORIO ",IF(P135=CURSOS!$D$15,"SOPORTE VITAL BASICO (BLS)",IF(P135=CURSOS!$D$16,"ATENCION A VICTIMAS DE VIOLENCIA SEXUAL ",IF(P135=CURSOS!$D$17,"PROGRAMADO AMPLIADO DE INMUNIZACION (PAI - COVID 19)",IF(P135=CURSOS!$D$18,"ATENCION INTEGRAL EN ENFERMEDADES PREVALENTES EN PRIMERA INFANCIA (AIEPI)",IF(P135=CURSOS!$D$19,"ADMINISTRACION DE MEDICAMENTOS, INYECTOLOGIA  Y CANALIZACION ",IF(P135=CURSOS!$D$20,"OPERADOR DE VEHICULOS DE EMERGENCIA (OVE)",IF(P135=CURSOS!$D$21,"INSTITUCIONES AMIGAS DE LA MUJER Y LA INFANCIA (IAMI)",IF(P135=CURSOS!$D$22,"CUIDADO DEL DONANTE DE ORGANOS",IF(P135=CURSOS!$D$23,"ATENCION A VICTIMAS POR VIOLENCIA DE GENERO",IF(P135=CURSOS!$D$24,"IGUALDAD DE GENERO EN LA SALUD",IF(P135=CURSOS!$D$25,"BRIGADA DE EMERGENCIA",IF(P135=CURSOS!$D$26,"MANEJO DEL DOLOR Y CUIDADOS PALIATIVOS",IF(P135=CURSOS!$D$27,"TOMA DE MUESTRAS Y LABORATORIO POCT",IF(P135=CURSOS!$D$28,"IMPLANTE SUBDERMICO DE DISPOSITIVO INTRAUTERINO",IF(P135=CURSOS!$D$29,"SALUD MENTAL",IF(P135=CURSOS!$D$30,"PRIMEROS AUXILIOS PSICOLOGICOS",IF(P135=CURSOS!$D$31,"ATENCION A VICTIMAS POR CONFLICTO ARMADO",IF(P135=CURSOS!$D$32,"MANIPULACION DE ALIMENTOS Y BPM",IF(P135=CURSOS!$D$33,"ATENCION A PERSONAS CON DISCAPACIDAD",IF(P135=CURSOS!$D$34,"CUIDADO INTEGRAL DEL PACIENTE ADULTO",IF(P135=CURSOS!$D$35,"MANEJO DEFENSIVO",IF(P135=CURSOS!$D$36,"SOPORTE CARDIOVASCULAR AVANZADO NEONATAL",IF(P135=CURSOS!$D$37,"SEGURIDAD DEL PACIENTE",IF(P135=CURSOS!$D$38,"MANEJO DE RESIDUOS HOSPITALARIOS"))))))))))))))))))))))))))))))))))))</f>
        <v>SOPORTE VITAL BASICO (BLS)</v>
      </c>
      <c r="W135" s="65" t="str">
        <f t="shared" si="12"/>
        <v>Lizbeth Alexandra Quistanchala Inagan</v>
      </c>
      <c r="X135" s="65" t="str">
        <f t="shared" si="13"/>
        <v>Lizbeth Alexandra Quistanchala Inagan</v>
      </c>
      <c r="Y135" s="65" t="str">
        <f t="shared" si="14"/>
        <v>Lizbeth Alexandra Quistanchala Inagan-1085953098-BLS</v>
      </c>
    </row>
    <row r="136" spans="1:25" s="58" customFormat="1" x14ac:dyDescent="0.2">
      <c r="A136" s="59">
        <v>135</v>
      </c>
      <c r="B136" s="60">
        <v>27082089</v>
      </c>
      <c r="C136" s="81" t="s">
        <v>453</v>
      </c>
      <c r="D136" s="81" t="s">
        <v>135</v>
      </c>
      <c r="E136" s="81" t="s">
        <v>454</v>
      </c>
      <c r="F136" s="81" t="s">
        <v>455</v>
      </c>
      <c r="G136" s="81">
        <v>22</v>
      </c>
      <c r="H136" s="60" t="s">
        <v>103</v>
      </c>
      <c r="I136" s="83" t="s">
        <v>123</v>
      </c>
      <c r="J136" s="83" t="s">
        <v>179</v>
      </c>
      <c r="K136" s="62"/>
      <c r="L136" s="63"/>
      <c r="M136" s="60" t="s">
        <v>462</v>
      </c>
      <c r="N136" s="60" t="s">
        <v>105</v>
      </c>
      <c r="O136" s="60" t="s">
        <v>106</v>
      </c>
      <c r="P136" s="60" t="s">
        <v>37</v>
      </c>
      <c r="Q136" s="61"/>
      <c r="R136" s="81" t="s">
        <v>107</v>
      </c>
      <c r="S136" s="60" t="s">
        <v>243</v>
      </c>
      <c r="T136" s="60">
        <v>3165394074</v>
      </c>
      <c r="U136" s="64" t="s">
        <v>456</v>
      </c>
      <c r="V136" s="65" t="str">
        <f>IF(P136=CURSOS!$D$3,"DIPLOMADO EN ATENCION PRE-HOSPITALARIA",IF(P136=CURSOS!$D$4,"ACOMPAÑAMIENTO Y MANEJO DEL DUELO",IF(P136=CURSOS!$D$5,"ATENCION A VICTIMAS DE ATAQUE CON AGENTES QUIMICOS ",IF(P136=CURSOS!$D$6,"PRIMEROS AUXILIOS ",IF(P136=CURSOS!$D$7,"DIPLOMADO DE UNIDAD DE CUIDADOS INTENSIVOS (UCI)",IF(P136=CURSOS!$D$8,"MODELO DE ATENCION PARA EVENTOS EMERGENTES EN SALUD MENTAL (CODIGO VERDE)",IF(P136=CURSOS!$D$9,"HUMANIZACION EN EL SERVICIO DE LA SALUD Y BUENAS PRACTICAS EN PACIENTE ",IF(P136=CURSOS!$D$10,"CLINICA DE HERIDAS ",IF(P136=CURSOS!$D$11,"TOMA DE CITOLOGIA CERVICO VAGINAL ",IF(P136=CURSOS!$D$12,"SOPORTE CARDIOVASCULAR AVANZADO (ACLS) ",IF(P136=CURSOS!$D$13,"CAMILLERO ",IF(P136=CURSOS!$D$14,"TOMA DE MUESTRAS Y LABORATORIO ",IF(P136=CURSOS!$D$15,"SOPORTE VITAL BASICO (BLS)",IF(P136=CURSOS!$D$16,"ATENCION A VICTIMAS DE VIOLENCIA SEXUAL ",IF(P136=CURSOS!$D$17,"PROGRAMADO AMPLIADO DE INMUNIZACION (PAI - COVID 19)",IF(P136=CURSOS!$D$18,"ATENCION INTEGRAL EN ENFERMEDADES PREVALENTES EN PRIMERA INFANCIA (AIEPI)",IF(P136=CURSOS!$D$19,"ADMINISTRACION DE MEDICAMENTOS, INYECTOLOGIA  Y CANALIZACION ",IF(P136=CURSOS!$D$20,"OPERADOR DE VEHICULOS DE EMERGENCIA (OVE)",IF(P136=CURSOS!$D$21,"INSTITUCIONES AMIGAS DE LA MUJER Y LA INFANCIA (IAMI)",IF(P136=CURSOS!$D$22,"CUIDADO DEL DONANTE DE ORGANOS",IF(P136=CURSOS!$D$23,"ATENCION A VICTIMAS POR VIOLENCIA DE GENERO",IF(P136=CURSOS!$D$24,"IGUALDAD DE GENERO EN LA SALUD",IF(P136=CURSOS!$D$25,"BRIGADA DE EMERGENCIA",IF(P136=CURSOS!$D$26,"MANEJO DEL DOLOR Y CUIDADOS PALIATIVOS",IF(P136=CURSOS!$D$27,"TOMA DE MUESTRAS Y LABORATORIO POCT",IF(P136=CURSOS!$D$28,"IMPLANTE SUBDERMICO DE DISPOSITIVO INTRAUTERINO",IF(P136=CURSOS!$D$29,"SALUD MENTAL",IF(P136=CURSOS!$D$30,"PRIMEROS AUXILIOS PSICOLOGICOS",IF(P136=CURSOS!$D$31,"ATENCION A VICTIMAS POR CONFLICTO ARMADO",IF(P136=CURSOS!$D$32,"MANIPULACION DE ALIMENTOS Y BPM",IF(P136=CURSOS!$D$33,"ATENCION A PERSONAS CON DISCAPACIDAD",IF(P136=CURSOS!$D$34,"CUIDADO INTEGRAL DEL PACIENTE ADULTO",IF(P136=CURSOS!$D$35,"MANEJO DEFENSIVO",IF(P136=CURSOS!$D$36,"SOPORTE CARDIOVASCULAR AVANZADO NEONATAL",IF(P136=CURSOS!$D$37,"SEGURIDAD DEL PACIENTE",IF(P136=CURSOS!$D$38,"MANEJO DE RESIDUOS HOSPITALARIOS"))))))))))))))))))))))))))))))))))))</f>
        <v xml:space="preserve">SOPORTE CARDIOVASCULAR AVANZADO (ACLS) </v>
      </c>
      <c r="W136" s="65" t="str">
        <f t="shared" si="12"/>
        <v>Marly Isabeth Hidalgo Lopez</v>
      </c>
      <c r="X136" s="65" t="str">
        <f t="shared" si="13"/>
        <v>Marly Isabeth Hidalgo Lopez</v>
      </c>
      <c r="Y136" s="65" t="str">
        <f t="shared" si="14"/>
        <v>Marly Isabeth Hidalgo Lopez-27082089-ACLS</v>
      </c>
    </row>
    <row r="137" spans="1:25" s="58" customFormat="1" x14ac:dyDescent="0.2">
      <c r="A137" s="59">
        <v>136</v>
      </c>
      <c r="B137" s="60">
        <v>1086499905</v>
      </c>
      <c r="C137" s="60" t="s">
        <v>457</v>
      </c>
      <c r="D137" s="60" t="s">
        <v>284</v>
      </c>
      <c r="E137" s="60" t="s">
        <v>458</v>
      </c>
      <c r="F137" s="60" t="s">
        <v>459</v>
      </c>
      <c r="G137" s="60">
        <v>25</v>
      </c>
      <c r="H137" s="60" t="s">
        <v>103</v>
      </c>
      <c r="I137" s="83" t="s">
        <v>123</v>
      </c>
      <c r="J137" s="83" t="s">
        <v>177</v>
      </c>
      <c r="K137" s="62">
        <v>45741</v>
      </c>
      <c r="L137" s="63">
        <v>32000</v>
      </c>
      <c r="M137" s="60" t="s">
        <v>156</v>
      </c>
      <c r="N137" s="60" t="s">
        <v>105</v>
      </c>
      <c r="O137" s="60" t="s">
        <v>182</v>
      </c>
      <c r="P137" s="60" t="s">
        <v>44</v>
      </c>
      <c r="Q137" s="61">
        <v>34892</v>
      </c>
      <c r="R137" s="60" t="s">
        <v>107</v>
      </c>
      <c r="S137" s="64" t="s">
        <v>131</v>
      </c>
      <c r="T137" s="60"/>
      <c r="U137" s="64" t="s">
        <v>460</v>
      </c>
      <c r="V137" s="65" t="str">
        <f>IF(P137=CURSOS!$D$3,"DIPLOMADO EN ATENCION PRE-HOSPITALARIA",IF(P137=CURSOS!$D$4,"ACOMPAÑAMIENTO Y MANEJO DEL DUELO",IF(P137=CURSOS!$D$5,"ATENCION A VICTIMAS DE ATAQUE CON AGENTES QUIMICOS ",IF(P137=CURSOS!$D$6,"PRIMEROS AUXILIOS ",IF(P137=CURSOS!$D$7,"DIPLOMADO DE UNIDAD DE CUIDADOS INTENSIVOS (UCI)",IF(P137=CURSOS!$D$8,"MODELO DE ATENCION PARA EVENTOS EMERGENTES EN SALUD MENTAL (CODIGO VERDE)",IF(P137=CURSOS!$D$9,"HUMANIZACION EN EL SERVICIO DE LA SALUD Y BUENAS PRACTICAS EN PACIENTE ",IF(P137=CURSOS!$D$10,"CLINICA DE HERIDAS ",IF(P137=CURSOS!$D$11,"TOMA DE CITOLOGIA CERVICO VAGINAL ",IF(P137=CURSOS!$D$12,"SOPORTE CARDIOVASCULAR AVANZADO (ACLS) ",IF(P137=CURSOS!$D$13,"CAMILLERO ",IF(P137=CURSOS!$D$14,"TOMA DE MUESTRAS Y LABORATORIO ",IF(P137=CURSOS!$D$15,"SOPORTE VITAL BASICO (BLS)",IF(P137=CURSOS!$D$16,"ATENCION A VICTIMAS DE VIOLENCIA SEXUAL ",IF(P137=CURSOS!$D$17,"PROGRAMADO AMPLIADO DE INMUNIZACION (PAI - COVID 19)",IF(P137=CURSOS!$D$18,"ATENCION INTEGRAL EN ENFERMEDADES PREVALENTES EN PRIMERA INFANCIA (AIEPI)",IF(P137=CURSOS!$D$19,"ADMINISTRACION DE MEDICAMENTOS, INYECTOLOGIA  Y CANALIZACION ",IF(P137=CURSOS!$D$20,"OPERADOR DE VEHICULOS DE EMERGENCIA (OVE)",IF(P137=CURSOS!$D$21,"INSTITUCIONES AMIGAS DE LA MUJER Y LA INFANCIA (IAMI)",IF(P137=CURSOS!$D$22,"CUIDADO DEL DONANTE DE ORGANOS",IF(P137=CURSOS!$D$23,"ATENCION A VICTIMAS POR VIOLENCIA DE GENERO",IF(P137=CURSOS!$D$24,"IGUALDAD DE GENERO EN LA SALUD",IF(P137=CURSOS!$D$25,"BRIGADA DE EMERGENCIA",IF(P137=CURSOS!$D$26,"MANEJO DEL DOLOR Y CUIDADOS PALIATIVOS",IF(P137=CURSOS!$D$27,"TOMA DE MUESTRAS Y LABORATORIO POCT",IF(P137=CURSOS!$D$28,"IMPLANTE SUBDERMICO DE DISPOSITIVO INTRAUTERINO",IF(P137=CURSOS!$D$29,"SALUD MENTAL",IF(P137=CURSOS!$D$30,"PRIMEROS AUXILIOS PSICOLOGICOS",IF(P137=CURSOS!$D$31,"ATENCION A VICTIMAS POR CONFLICTO ARMADO",IF(P137=CURSOS!$D$32,"MANIPULACION DE ALIMENTOS Y BPM",IF(P137=CURSOS!$D$33,"ATENCION A PERSONAS CON DISCAPACIDAD",IF(P137=CURSOS!$D$34,"CUIDADO INTEGRAL DEL PACIENTE ADULTO",IF(P137=CURSOS!$D$35,"MANEJO DEFENSIVO",IF(P137=CURSOS!$D$36,"SOPORTE CARDIOVASCULAR AVANZADO NEONATAL",IF(P137=CURSOS!$D$37,"SEGURIDAD DEL PACIENTE",IF(P137=CURSOS!$D$38,"MANEJO DE RESIDUOS HOSPITALARIOS"))))))))))))))))))))))))))))))))))))</f>
        <v>ATENCION INTEGRAL EN ENFERMEDADES PREVALENTES EN PRIMERA INFANCIA (AIEPI)</v>
      </c>
      <c r="W137" s="65" t="str">
        <f t="shared" si="12"/>
        <v>Daniel Alfonso Prado Pantoja</v>
      </c>
      <c r="X137" s="65" t="str">
        <f t="shared" si="13"/>
        <v>Daniel Alfonso Prado Pantoja</v>
      </c>
      <c r="Y137" s="65" t="str">
        <f t="shared" si="14"/>
        <v>Daniel Alfonso Prado Pantoja-1086499905-AIEPI</v>
      </c>
    </row>
    <row r="138" spans="1:25" s="58" customFormat="1" x14ac:dyDescent="0.2">
      <c r="A138" s="59">
        <v>137</v>
      </c>
      <c r="B138" s="60">
        <v>98397460</v>
      </c>
      <c r="C138" s="60" t="s">
        <v>160</v>
      </c>
      <c r="D138" s="60" t="s">
        <v>465</v>
      </c>
      <c r="E138" s="81" t="s">
        <v>378</v>
      </c>
      <c r="F138" s="60" t="s">
        <v>379</v>
      </c>
      <c r="G138" s="60">
        <v>27</v>
      </c>
      <c r="H138" s="60" t="s">
        <v>103</v>
      </c>
      <c r="I138" s="83" t="s">
        <v>123</v>
      </c>
      <c r="J138" s="83" t="s">
        <v>177</v>
      </c>
      <c r="K138" s="62">
        <v>45747</v>
      </c>
      <c r="L138" s="63">
        <v>30000</v>
      </c>
      <c r="M138" s="60" t="s">
        <v>156</v>
      </c>
      <c r="N138" s="60" t="s">
        <v>105</v>
      </c>
      <c r="O138" s="60" t="s">
        <v>138</v>
      </c>
      <c r="P138" s="60" t="s">
        <v>42</v>
      </c>
      <c r="Q138" s="61">
        <v>28223</v>
      </c>
      <c r="R138" s="60" t="s">
        <v>139</v>
      </c>
      <c r="S138" s="64" t="s">
        <v>117</v>
      </c>
      <c r="T138" s="60">
        <v>3117802694</v>
      </c>
      <c r="U138" s="60" t="s">
        <v>466</v>
      </c>
      <c r="V138" s="65" t="str">
        <f>IF(P138=CURSOS!$D$3,"DIPLOMADO EN ATENCION PRE-HOSPITALARIA",IF(P138=CURSOS!$D$4,"ACOMPAÑAMIENTO Y MANEJO DEL DUELO",IF(P138=CURSOS!$D$5,"ATENCION A VICTIMAS DE ATAQUE CON AGENTES QUIMICOS ",IF(P138=CURSOS!$D$6,"PRIMEROS AUXILIOS ",IF(P138=CURSOS!$D$7,"DIPLOMADO DE UNIDAD DE CUIDADOS INTENSIVOS (UCI)",IF(P138=CURSOS!$D$8,"MODELO DE ATENCION PARA EVENTOS EMERGENTES EN SALUD MENTAL (CODIGO VERDE)",IF(P138=CURSOS!$D$9,"HUMANIZACION EN EL SERVICIO DE LA SALUD Y BUENAS PRACTICAS EN PACIENTE ",IF(P138=CURSOS!$D$10,"CLINICA DE HERIDAS ",IF(P138=CURSOS!$D$11,"TOMA DE CITOLOGIA CERVICO VAGINAL ",IF(P138=CURSOS!$D$12,"SOPORTE CARDIOVASCULAR AVANZADO (ACLS) ",IF(P138=CURSOS!$D$13,"CAMILLERO ",IF(P138=CURSOS!$D$14,"TOMA DE MUESTRAS Y LABORATORIO ",IF(P138=CURSOS!$D$15,"SOPORTE VITAL BASICO (BLS)",IF(P138=CURSOS!$D$16,"ATENCION A VICTIMAS DE VIOLENCIA SEXUAL ",IF(P138=CURSOS!$D$17,"PROGRAMADO AMPLIADO DE INMUNIZACION (PAI - COVID 19)",IF(P138=CURSOS!$D$18,"ATENCION INTEGRAL EN ENFERMEDADES PREVALENTES EN PRIMERA INFANCIA (AIEPI)",IF(P138=CURSOS!$D$19,"ADMINISTRACION DE MEDICAMENTOS, INYECTOLOGIA  Y CANALIZACION ",IF(P138=CURSOS!$D$20,"OPERADOR DE VEHICULOS DE EMERGENCIA (OVE)",IF(P138=CURSOS!$D$21,"INSTITUCIONES AMIGAS DE LA MUJER Y LA INFANCIA (IAMI)",IF(P138=CURSOS!$D$22,"CUIDADO DEL DONANTE DE ORGANOS",IF(P138=CURSOS!$D$23,"ATENCION A VICTIMAS POR VIOLENCIA DE GENERO",IF(P138=CURSOS!$D$24,"IGUALDAD DE GENERO EN LA SALUD",IF(P138=CURSOS!$D$25,"BRIGADA DE EMERGENCIA",IF(P138=CURSOS!$D$26,"MANEJO DEL DOLOR Y CUIDADOS PALIATIVOS",IF(P138=CURSOS!$D$27,"TOMA DE MUESTRAS Y LABORATORIO POCT",IF(P138=CURSOS!$D$28,"IMPLANTE SUBDERMICO DE DISPOSITIVO INTRAUTERINO",IF(P138=CURSOS!$D$29,"SALUD MENTAL",IF(P138=CURSOS!$D$30,"PRIMEROS AUXILIOS PSICOLOGICOS",IF(P138=CURSOS!$D$31,"ATENCION A VICTIMAS POR CONFLICTO ARMADO",IF(P138=CURSOS!$D$32,"MANIPULACION DE ALIMENTOS Y BPM",IF(P138=CURSOS!$D$33,"ATENCION A PERSONAS CON DISCAPACIDAD",IF(P138=CURSOS!$D$34,"CUIDADO INTEGRAL DEL PACIENTE ADULTO",IF(P138=CURSOS!$D$35,"MANEJO DEFENSIVO",IF(P138=CURSOS!$D$36,"SOPORTE CARDIOVASCULAR AVANZADO NEONATAL",IF(P138=CURSOS!$D$37,"SEGURIDAD DEL PACIENTE",IF(P138=CURSOS!$D$38,"MANEJO DE RESIDUOS HOSPITALARIOS"))))))))))))))))))))))))))))))))))))</f>
        <v xml:space="preserve">ATENCION A VICTIMAS DE VIOLENCIA SEXUAL </v>
      </c>
      <c r="W138" s="65" t="str">
        <f t="shared" si="12"/>
        <v>Juan Carlos Benavides Quenan</v>
      </c>
      <c r="X138" s="65" t="str">
        <f t="shared" si="13"/>
        <v>Juan Carlos Benavides Quenan</v>
      </c>
      <c r="Y138" s="65" t="str">
        <f t="shared" si="14"/>
        <v>Juan Carlos Benavides Quenan-98397460-VIOLENCIA SEXUAL</v>
      </c>
    </row>
    <row r="139" spans="1:25" s="58" customFormat="1" x14ac:dyDescent="0.2">
      <c r="A139" s="59">
        <v>138</v>
      </c>
      <c r="B139" s="60">
        <v>98397460</v>
      </c>
      <c r="C139" s="60" t="s">
        <v>160</v>
      </c>
      <c r="D139" s="60" t="s">
        <v>465</v>
      </c>
      <c r="E139" s="81" t="s">
        <v>378</v>
      </c>
      <c r="F139" s="60" t="s">
        <v>379</v>
      </c>
      <c r="G139" s="60">
        <v>26</v>
      </c>
      <c r="H139" s="60" t="s">
        <v>103</v>
      </c>
      <c r="I139" s="83" t="s">
        <v>123</v>
      </c>
      <c r="J139" s="83" t="s">
        <v>177</v>
      </c>
      <c r="K139" s="62">
        <v>45747</v>
      </c>
      <c r="L139" s="63">
        <v>30000</v>
      </c>
      <c r="M139" s="60" t="s">
        <v>156</v>
      </c>
      <c r="N139" s="60" t="s">
        <v>105</v>
      </c>
      <c r="O139" s="60" t="s">
        <v>138</v>
      </c>
      <c r="P139" s="60" t="s">
        <v>25</v>
      </c>
      <c r="Q139" s="61">
        <v>28223</v>
      </c>
      <c r="R139" s="60" t="s">
        <v>139</v>
      </c>
      <c r="S139" s="64" t="s">
        <v>117</v>
      </c>
      <c r="T139" s="60">
        <v>3117802694</v>
      </c>
      <c r="U139" s="60" t="s">
        <v>466</v>
      </c>
      <c r="V139" s="65" t="str">
        <f>IF(P139=CURSOS!$D$3,"DIPLOMADO EN ATENCION PRE-HOSPITALARIA",IF(P139=CURSOS!$D$4,"ACOMPAÑAMIENTO Y MANEJO DEL DUELO",IF(P139=CURSOS!$D$5,"ATENCION A VICTIMAS DE ATAQUE CON AGENTES QUIMICOS ",IF(P139=CURSOS!$D$6,"PRIMEROS AUXILIOS ",IF(P139=CURSOS!$D$7,"DIPLOMADO DE UNIDAD DE CUIDADOS INTENSIVOS (UCI)",IF(P139=CURSOS!$D$8,"MODELO DE ATENCION PARA EVENTOS EMERGENTES EN SALUD MENTAL (CODIGO VERDE)",IF(P139=CURSOS!$D$9,"HUMANIZACION EN EL SERVICIO DE LA SALUD Y BUENAS PRACTICAS EN PACIENTE ",IF(P139=CURSOS!$D$10,"CLINICA DE HERIDAS ",IF(P139=CURSOS!$D$11,"TOMA DE CITOLOGIA CERVICO VAGINAL ",IF(P139=CURSOS!$D$12,"SOPORTE CARDIOVASCULAR AVANZADO (ACLS) ",IF(P139=CURSOS!$D$13,"CAMILLERO ",IF(P139=CURSOS!$D$14,"TOMA DE MUESTRAS Y LABORATORIO ",IF(P139=CURSOS!$D$15,"SOPORTE VITAL BASICO (BLS)",IF(P139=CURSOS!$D$16,"ATENCION A VICTIMAS DE VIOLENCIA SEXUAL ",IF(P139=CURSOS!$D$17,"PROGRAMADO AMPLIADO DE INMUNIZACION (PAI - COVID 19)",IF(P139=CURSOS!$D$18,"ATENCION INTEGRAL EN ENFERMEDADES PREVALENTES EN PRIMERA INFANCIA (AIEPI)",IF(P139=CURSOS!$D$19,"ADMINISTRACION DE MEDICAMENTOS, INYECTOLOGIA  Y CANALIZACION ",IF(P139=CURSOS!$D$20,"OPERADOR DE VEHICULOS DE EMERGENCIA (OVE)",IF(P139=CURSOS!$D$21,"INSTITUCIONES AMIGAS DE LA MUJER Y LA INFANCIA (IAMI)",IF(P139=CURSOS!$D$22,"CUIDADO DEL DONANTE DE ORGANOS",IF(P139=CURSOS!$D$23,"ATENCION A VICTIMAS POR VIOLENCIA DE GENERO",IF(P139=CURSOS!$D$24,"IGUALDAD DE GENERO EN LA SALUD",IF(P139=CURSOS!$D$25,"BRIGADA DE EMERGENCIA",IF(P139=CURSOS!$D$26,"MANEJO DEL DOLOR Y CUIDADOS PALIATIVOS",IF(P139=CURSOS!$D$27,"TOMA DE MUESTRAS Y LABORATORIO POCT",IF(P139=CURSOS!$D$28,"IMPLANTE SUBDERMICO DE DISPOSITIVO INTRAUTERINO",IF(P139=CURSOS!$D$29,"SALUD MENTAL",IF(P139=CURSOS!$D$30,"PRIMEROS AUXILIOS PSICOLOGICOS",IF(P139=CURSOS!$D$31,"ATENCION A VICTIMAS POR CONFLICTO ARMADO",IF(P139=CURSOS!$D$32,"MANIPULACION DE ALIMENTOS Y BPM",IF(P139=CURSOS!$D$33,"ATENCION A PERSONAS CON DISCAPACIDAD",IF(P139=CURSOS!$D$34,"CUIDADO INTEGRAL DEL PACIENTE ADULTO",IF(P139=CURSOS!$D$35,"MANEJO DEFENSIVO",IF(P139=CURSOS!$D$36,"SOPORTE CARDIOVASCULAR AVANZADO NEONATAL",IF(P139=CURSOS!$D$37,"SEGURIDAD DEL PACIENTE",IF(P139=CURSOS!$D$38,"MANEJO DE RESIDUOS HOSPITALARIOS"))))))))))))))))))))))))))))))))))))</f>
        <v xml:space="preserve">ATENCION A VICTIMAS DE ATAQUE CON AGENTES QUIMICOS </v>
      </c>
      <c r="W139" s="65" t="str">
        <f t="shared" si="12"/>
        <v>Juan Carlos Benavides Quenan</v>
      </c>
      <c r="X139" s="65" t="str">
        <f t="shared" si="13"/>
        <v>Juan Carlos Benavides Quenan</v>
      </c>
      <c r="Y139" s="65" t="str">
        <f t="shared" si="14"/>
        <v>Juan Carlos Benavides Quenan-98397460-QUIMICOS</v>
      </c>
    </row>
    <row r="140" spans="1:25" s="58" customFormat="1" x14ac:dyDescent="0.2">
      <c r="A140" s="59">
        <v>139</v>
      </c>
      <c r="B140" s="60">
        <v>1082657219</v>
      </c>
      <c r="C140" s="60" t="s">
        <v>467</v>
      </c>
      <c r="D140" s="60" t="s">
        <v>468</v>
      </c>
      <c r="E140" s="60" t="s">
        <v>195</v>
      </c>
      <c r="F140" s="60" t="s">
        <v>469</v>
      </c>
      <c r="G140" s="60">
        <v>13</v>
      </c>
      <c r="H140" s="60" t="s">
        <v>103</v>
      </c>
      <c r="I140" s="61" t="s">
        <v>104</v>
      </c>
      <c r="J140" s="61" t="s">
        <v>167</v>
      </c>
      <c r="K140" s="62">
        <v>45743</v>
      </c>
      <c r="L140" s="63">
        <v>40000</v>
      </c>
      <c r="M140" s="60" t="s">
        <v>156</v>
      </c>
      <c r="N140" s="60" t="s">
        <v>105</v>
      </c>
      <c r="O140" s="60" t="s">
        <v>167</v>
      </c>
      <c r="P140" s="60" t="s">
        <v>59</v>
      </c>
      <c r="Q140" s="61">
        <v>33054</v>
      </c>
      <c r="R140" s="60" t="s">
        <v>107</v>
      </c>
      <c r="S140" s="60" t="s">
        <v>117</v>
      </c>
      <c r="T140" s="60">
        <v>3224451208</v>
      </c>
      <c r="U140" s="60" t="s">
        <v>470</v>
      </c>
      <c r="V140" s="65" t="str">
        <f>IF(P140=CURSOS!$D$3,"DIPLOMADO EN ATENCION PRE-HOSPITALARIA",IF(P140=CURSOS!$D$4,"ACOMPAÑAMIENTO Y MANEJO DEL DUELO",IF(P140=CURSOS!$D$5,"ATENCION A VICTIMAS DE ATAQUE CON AGENTES QUIMICOS ",IF(P140=CURSOS!$D$6,"PRIMEROS AUXILIOS ",IF(P140=CURSOS!$D$7,"DIPLOMADO DE UNIDAD DE CUIDADOS INTENSIVOS (UCI)",IF(P140=CURSOS!$D$8,"MODELO DE ATENCION PARA EVENTOS EMERGENTES EN SALUD MENTAL (CODIGO VERDE)",IF(P140=CURSOS!$D$9,"HUMANIZACION EN EL SERVICIO DE LA SALUD Y BUENAS PRACTICAS EN PACIENTE ",IF(P140=CURSOS!$D$10,"CLINICA DE HERIDAS ",IF(P140=CURSOS!$D$11,"TOMA DE CITOLOGIA CERVICO VAGINAL ",IF(P140=CURSOS!$D$12,"SOPORTE CARDIOVASCULAR AVANZADO (ACLS) ",IF(P140=CURSOS!$D$13,"CAMILLERO ",IF(P140=CURSOS!$D$14,"TOMA DE MUESTRAS Y LABORATORIO ",IF(P140=CURSOS!$D$15,"SOPORTE VITAL BASICO (BLS)",IF(P140=CURSOS!$D$16,"ATENCION A VICTIMAS DE VIOLENCIA SEXUAL ",IF(P140=CURSOS!$D$17,"PROGRAMADO AMPLIADO DE INMUNIZACION (PAI - COVID 19)",IF(P140=CURSOS!$D$18,"ATENCION INTEGRAL EN ENFERMEDADES PREVALENTES EN PRIMERA INFANCIA (AIEPI)",IF(P140=CURSOS!$D$19,"ADMINISTRACION DE MEDICAMENTOS, INYECTOLOGIA  Y CANALIZACION ",IF(P140=CURSOS!$D$20,"OPERADOR DE VEHICULOS DE EMERGENCIA (OVE)",IF(P140=CURSOS!$D$21,"INSTITUCIONES AMIGAS DE LA MUJER Y LA INFANCIA (IAMI)",IF(P140=CURSOS!$D$22,"CUIDADO DEL DONANTE DE ORGANOS",IF(P140=CURSOS!$D$23,"ATENCION A VICTIMAS POR VIOLENCIA DE GENERO",IF(P140=CURSOS!$D$24,"IGUALDAD DE GENERO EN LA SALUD",IF(P140=CURSOS!$D$25,"BRIGADA DE EMERGENCIA",IF(P140=CURSOS!$D$26,"MANEJO DEL DOLOR Y CUIDADOS PALIATIVOS",IF(P140=CURSOS!$D$27,"TOMA DE MUESTRAS Y LABORATORIO POCT",IF(P140=CURSOS!$D$28,"IMPLANTE SUBDERMICO DE DISPOSITIVO INTRAUTERINO",IF(P140=CURSOS!$D$29,"SALUD MENTAL",IF(P140=CURSOS!$D$30,"PRIMEROS AUXILIOS PSICOLOGICOS",IF(P140=CURSOS!$D$31,"ATENCION A VICTIMAS POR CONFLICTO ARMADO",IF(P140=CURSOS!$D$32,"MANIPULACION DE ALIMENTOS Y BPM",IF(P140=CURSOS!$D$33,"ATENCION A PERSONAS CON DISCAPACIDAD",IF(P140=CURSOS!$D$34,"CUIDADO INTEGRAL DEL PACIENTE ADULTO",IF(P140=CURSOS!$D$35,"MANEJO DEFENSIVO",IF(P140=CURSOS!$D$36,"SOPORTE CARDIOVASCULAR AVANZADO NEONATAL",IF(P140=CURSOS!$D$37,"SEGURIDAD DEL PACIENTE",IF(P140=CURSOS!$D$38,"MANEJO DE RESIDUOS HOSPITALARIOS"))))))))))))))))))))))))))))))))))))</f>
        <v>TOMA DE MUESTRAS Y LABORATORIO POCT</v>
      </c>
      <c r="W140" s="65" t="str">
        <f t="shared" si="12"/>
        <v>Yenny Marcela Meza Tovar</v>
      </c>
      <c r="X140" s="65" t="str">
        <f t="shared" si="13"/>
        <v>Yenny Marcela Meza Tovar</v>
      </c>
      <c r="Y140" s="65" t="str">
        <f t="shared" si="14"/>
        <v>Yenny Marcela Meza Tovar-1082657219-POCT</v>
      </c>
    </row>
    <row r="141" spans="1:25" s="58" customFormat="1" x14ac:dyDescent="0.2">
      <c r="A141" s="59">
        <v>140</v>
      </c>
      <c r="B141" s="60">
        <v>1088731517</v>
      </c>
      <c r="C141" s="60" t="s">
        <v>471</v>
      </c>
      <c r="D141" s="60" t="s">
        <v>443</v>
      </c>
      <c r="E141" s="60" t="s">
        <v>472</v>
      </c>
      <c r="F141" s="60" t="s">
        <v>473</v>
      </c>
      <c r="G141" s="60">
        <v>27</v>
      </c>
      <c r="H141" s="60" t="s">
        <v>103</v>
      </c>
      <c r="I141" s="61" t="s">
        <v>123</v>
      </c>
      <c r="J141" s="61" t="s">
        <v>177</v>
      </c>
      <c r="K141" s="62">
        <v>45743</v>
      </c>
      <c r="L141" s="63">
        <v>32000</v>
      </c>
      <c r="M141" s="60" t="s">
        <v>126</v>
      </c>
      <c r="N141" s="60" t="s">
        <v>105</v>
      </c>
      <c r="O141" s="60" t="s">
        <v>182</v>
      </c>
      <c r="P141" s="60" t="s">
        <v>25</v>
      </c>
      <c r="Q141" s="61">
        <v>32140</v>
      </c>
      <c r="R141" s="60" t="s">
        <v>139</v>
      </c>
      <c r="S141" s="64" t="s">
        <v>374</v>
      </c>
      <c r="T141" s="60">
        <v>3154367055</v>
      </c>
      <c r="U141" s="60" t="s">
        <v>474</v>
      </c>
      <c r="V141" s="65" t="str">
        <f>IF(P141=CURSOS!$D$3,"DIPLOMADO EN ATENCION PRE-HOSPITALARIA",IF(P141=CURSOS!$D$4,"ACOMPAÑAMIENTO Y MANEJO DEL DUELO",IF(P141=CURSOS!$D$5,"ATENCION A VICTIMAS DE ATAQUE CON AGENTES QUIMICOS ",IF(P141=CURSOS!$D$6,"PRIMEROS AUXILIOS ",IF(P141=CURSOS!$D$7,"DIPLOMADO DE UNIDAD DE CUIDADOS INTENSIVOS (UCI)",IF(P141=CURSOS!$D$8,"MODELO DE ATENCION PARA EVENTOS EMERGENTES EN SALUD MENTAL (CODIGO VERDE)",IF(P141=CURSOS!$D$9,"HUMANIZACION EN EL SERVICIO DE LA SALUD Y BUENAS PRACTICAS EN PACIENTE ",IF(P141=CURSOS!$D$10,"CLINICA DE HERIDAS ",IF(P141=CURSOS!$D$11,"TOMA DE CITOLOGIA CERVICO VAGINAL ",IF(P141=CURSOS!$D$12,"SOPORTE CARDIOVASCULAR AVANZADO (ACLS) ",IF(P141=CURSOS!$D$13,"CAMILLERO ",IF(P141=CURSOS!$D$14,"TOMA DE MUESTRAS Y LABORATORIO ",IF(P141=CURSOS!$D$15,"SOPORTE VITAL BASICO (BLS)",IF(P141=CURSOS!$D$16,"ATENCION A VICTIMAS DE VIOLENCIA SEXUAL ",IF(P141=CURSOS!$D$17,"PROGRAMADO AMPLIADO DE INMUNIZACION (PAI - COVID 19)",IF(P141=CURSOS!$D$18,"ATENCION INTEGRAL EN ENFERMEDADES PREVALENTES EN PRIMERA INFANCIA (AIEPI)",IF(P141=CURSOS!$D$19,"ADMINISTRACION DE MEDICAMENTOS, INYECTOLOGIA  Y CANALIZACION ",IF(P141=CURSOS!$D$20,"OPERADOR DE VEHICULOS DE EMERGENCIA (OVE)",IF(P141=CURSOS!$D$21,"INSTITUCIONES AMIGAS DE LA MUJER Y LA INFANCIA (IAMI)",IF(P141=CURSOS!$D$22,"CUIDADO DEL DONANTE DE ORGANOS",IF(P141=CURSOS!$D$23,"ATENCION A VICTIMAS POR VIOLENCIA DE GENERO",IF(P141=CURSOS!$D$24,"IGUALDAD DE GENERO EN LA SALUD",IF(P141=CURSOS!$D$25,"BRIGADA DE EMERGENCIA",IF(P141=CURSOS!$D$26,"MANEJO DEL DOLOR Y CUIDADOS PALIATIVOS",IF(P141=CURSOS!$D$27,"TOMA DE MUESTRAS Y LABORATORIO POCT",IF(P141=CURSOS!$D$28,"IMPLANTE SUBDERMICO DE DISPOSITIVO INTRAUTERINO",IF(P141=CURSOS!$D$29,"SALUD MENTAL",IF(P141=CURSOS!$D$30,"PRIMEROS AUXILIOS PSICOLOGICOS",IF(P141=CURSOS!$D$31,"ATENCION A VICTIMAS POR CONFLICTO ARMADO",IF(P141=CURSOS!$D$32,"MANIPULACION DE ALIMENTOS Y BPM",IF(P141=CURSOS!$D$33,"ATENCION A PERSONAS CON DISCAPACIDAD",IF(P141=CURSOS!$D$34,"CUIDADO INTEGRAL DEL PACIENTE ADULTO",IF(P141=CURSOS!$D$35,"MANEJO DEFENSIVO",IF(P141=CURSOS!$D$36,"SOPORTE CARDIOVASCULAR AVANZADO NEONATAL",IF(P141=CURSOS!$D$37,"SEGURIDAD DEL PACIENTE",IF(P141=CURSOS!$D$38,"MANEJO DE RESIDUOS HOSPITALARIOS"))))))))))))))))))))))))))))))))))))</f>
        <v xml:space="preserve">ATENCION A VICTIMAS DE ATAQUE CON AGENTES QUIMICOS </v>
      </c>
      <c r="W141" s="65" t="str">
        <f t="shared" si="12"/>
        <v>Martin Eduardo Salas Ibarra</v>
      </c>
      <c r="X141" s="65" t="str">
        <f t="shared" si="13"/>
        <v>Martin Eduardo Salas Ibarra</v>
      </c>
      <c r="Y141" s="65" t="str">
        <f t="shared" si="14"/>
        <v>Martin Eduardo Salas Ibarra-1088731517-QUIMICOS</v>
      </c>
    </row>
    <row r="142" spans="1:25" s="58" customFormat="1" x14ac:dyDescent="0.2">
      <c r="A142" s="59">
        <v>141</v>
      </c>
      <c r="B142" s="60">
        <v>1085254626</v>
      </c>
      <c r="C142" s="60" t="s">
        <v>475</v>
      </c>
      <c r="D142" s="60" t="s">
        <v>335</v>
      </c>
      <c r="E142" s="60" t="s">
        <v>257</v>
      </c>
      <c r="F142" s="60" t="s">
        <v>261</v>
      </c>
      <c r="G142" s="60">
        <v>27</v>
      </c>
      <c r="H142" s="60" t="s">
        <v>103</v>
      </c>
      <c r="I142" s="61" t="s">
        <v>123</v>
      </c>
      <c r="J142" s="61" t="s">
        <v>177</v>
      </c>
      <c r="K142" s="62">
        <v>45743</v>
      </c>
      <c r="L142" s="63">
        <v>80000</v>
      </c>
      <c r="M142" s="60" t="s">
        <v>126</v>
      </c>
      <c r="N142" s="60" t="s">
        <v>105</v>
      </c>
      <c r="O142" s="60" t="s">
        <v>182</v>
      </c>
      <c r="P142" s="60" t="s">
        <v>37</v>
      </c>
      <c r="Q142" s="61">
        <v>31739</v>
      </c>
      <c r="R142" s="81" t="s">
        <v>107</v>
      </c>
      <c r="S142" s="60" t="s">
        <v>243</v>
      </c>
      <c r="T142" s="60">
        <v>3013759330</v>
      </c>
      <c r="U142" s="60" t="s">
        <v>476</v>
      </c>
      <c r="V142" s="65" t="str">
        <f>IF(P142=CURSOS!$D$3,"DIPLOMADO EN ATENCION PRE-HOSPITALARIA",IF(P142=CURSOS!$D$4,"ACOMPAÑAMIENTO Y MANEJO DEL DUELO",IF(P142=CURSOS!$D$5,"ATENCION A VICTIMAS DE ATAQUE CON AGENTES QUIMICOS ",IF(P142=CURSOS!$D$6,"PRIMEROS AUXILIOS ",IF(P142=CURSOS!$D$7,"DIPLOMADO DE UNIDAD DE CUIDADOS INTENSIVOS (UCI)",IF(P142=CURSOS!$D$8,"MODELO DE ATENCION PARA EVENTOS EMERGENTES EN SALUD MENTAL (CODIGO VERDE)",IF(P142=CURSOS!$D$9,"HUMANIZACION EN EL SERVICIO DE LA SALUD Y BUENAS PRACTICAS EN PACIENTE ",IF(P142=CURSOS!$D$10,"CLINICA DE HERIDAS ",IF(P142=CURSOS!$D$11,"TOMA DE CITOLOGIA CERVICO VAGINAL ",IF(P142=CURSOS!$D$12,"SOPORTE CARDIOVASCULAR AVANZADO (ACLS) ",IF(P142=CURSOS!$D$13,"CAMILLERO ",IF(P142=CURSOS!$D$14,"TOMA DE MUESTRAS Y LABORATORIO ",IF(P142=CURSOS!$D$15,"SOPORTE VITAL BASICO (BLS)",IF(P142=CURSOS!$D$16,"ATENCION A VICTIMAS DE VIOLENCIA SEXUAL ",IF(P142=CURSOS!$D$17,"PROGRAMADO AMPLIADO DE INMUNIZACION (PAI - COVID 19)",IF(P142=CURSOS!$D$18,"ATENCION INTEGRAL EN ENFERMEDADES PREVALENTES EN PRIMERA INFANCIA (AIEPI)",IF(P142=CURSOS!$D$19,"ADMINISTRACION DE MEDICAMENTOS, INYECTOLOGIA  Y CANALIZACION ",IF(P142=CURSOS!$D$20,"OPERADOR DE VEHICULOS DE EMERGENCIA (OVE)",IF(P142=CURSOS!$D$21,"INSTITUCIONES AMIGAS DE LA MUJER Y LA INFANCIA (IAMI)",IF(P142=CURSOS!$D$22,"CUIDADO DEL DONANTE DE ORGANOS",IF(P142=CURSOS!$D$23,"ATENCION A VICTIMAS POR VIOLENCIA DE GENERO",IF(P142=CURSOS!$D$24,"IGUALDAD DE GENERO EN LA SALUD",IF(P142=CURSOS!$D$25,"BRIGADA DE EMERGENCIA",IF(P142=CURSOS!$D$26,"MANEJO DEL DOLOR Y CUIDADOS PALIATIVOS",IF(P142=CURSOS!$D$27,"TOMA DE MUESTRAS Y LABORATORIO POCT",IF(P142=CURSOS!$D$28,"IMPLANTE SUBDERMICO DE DISPOSITIVO INTRAUTERINO",IF(P142=CURSOS!$D$29,"SALUD MENTAL",IF(P142=CURSOS!$D$30,"PRIMEROS AUXILIOS PSICOLOGICOS",IF(P142=CURSOS!$D$31,"ATENCION A VICTIMAS POR CONFLICTO ARMADO",IF(P142=CURSOS!$D$32,"MANIPULACION DE ALIMENTOS Y BPM",IF(P142=CURSOS!$D$33,"ATENCION A PERSONAS CON DISCAPACIDAD",IF(P142=CURSOS!$D$34,"CUIDADO INTEGRAL DEL PACIENTE ADULTO",IF(P142=CURSOS!$D$35,"MANEJO DEFENSIVO",IF(P142=CURSOS!$D$36,"SOPORTE CARDIOVASCULAR AVANZADO NEONATAL",IF(P142=CURSOS!$D$37,"SEGURIDAD DEL PACIENTE",IF(P142=CURSOS!$D$38,"MANEJO DE RESIDUOS HOSPITALARIOS"))))))))))))))))))))))))))))))))))))</f>
        <v xml:space="preserve">SOPORTE CARDIOVASCULAR AVANZADO (ACLS) </v>
      </c>
      <c r="W142" s="65" t="str">
        <f t="shared" si="12"/>
        <v>Carolina Isabel Portilla Tepud</v>
      </c>
      <c r="X142" s="65" t="str">
        <f t="shared" si="13"/>
        <v>Carolina Isabel Portilla Tepud</v>
      </c>
      <c r="Y142" s="65" t="str">
        <f t="shared" si="14"/>
        <v>Carolina Isabel Portilla Tepud-1085254626-ACLS</v>
      </c>
    </row>
    <row r="143" spans="1:25" s="58" customFormat="1" x14ac:dyDescent="0.2">
      <c r="A143" s="59">
        <v>142</v>
      </c>
      <c r="B143" s="60">
        <v>27090321</v>
      </c>
      <c r="C143" s="60" t="s">
        <v>477</v>
      </c>
      <c r="D143" s="60" t="s">
        <v>478</v>
      </c>
      <c r="E143" s="60" t="s">
        <v>479</v>
      </c>
      <c r="F143" s="60" t="s">
        <v>480</v>
      </c>
      <c r="G143" s="60">
        <v>27</v>
      </c>
      <c r="H143" s="60" t="s">
        <v>103</v>
      </c>
      <c r="I143" s="61" t="s">
        <v>104</v>
      </c>
      <c r="J143" s="61" t="s">
        <v>179</v>
      </c>
      <c r="K143" s="62">
        <v>45743</v>
      </c>
      <c r="L143" s="63">
        <v>60000</v>
      </c>
      <c r="M143" s="60" t="s">
        <v>133</v>
      </c>
      <c r="N143" s="60" t="s">
        <v>105</v>
      </c>
      <c r="O143" s="60" t="s">
        <v>106</v>
      </c>
      <c r="P143" s="60" t="s">
        <v>483</v>
      </c>
      <c r="Q143" s="61">
        <v>29179</v>
      </c>
      <c r="R143" s="81" t="s">
        <v>107</v>
      </c>
      <c r="S143" s="60" t="s">
        <v>481</v>
      </c>
      <c r="T143" s="60">
        <v>3174169288</v>
      </c>
      <c r="U143" s="64" t="s">
        <v>482</v>
      </c>
      <c r="V143" s="65" t="s">
        <v>75</v>
      </c>
      <c r="W143" s="65" t="str">
        <f t="shared" si="12"/>
        <v>Luceli Cecilia Villota Genoy</v>
      </c>
      <c r="X143" s="65" t="str">
        <f t="shared" si="13"/>
        <v>Luceli Cecilia Villota Genoy</v>
      </c>
      <c r="Y143" s="65" t="str">
        <f t="shared" si="14"/>
        <v>Luceli Cecilia Villota Genoy-27090321-MANIPULACION</v>
      </c>
    </row>
    <row r="144" spans="1:25" x14ac:dyDescent="0.2">
      <c r="A144" s="87">
        <v>143</v>
      </c>
      <c r="B144" s="88">
        <v>1085254626</v>
      </c>
      <c r="C144" s="88" t="s">
        <v>475</v>
      </c>
      <c r="D144" s="88" t="s">
        <v>335</v>
      </c>
      <c r="E144" s="88" t="s">
        <v>257</v>
      </c>
      <c r="F144" s="88" t="s">
        <v>261</v>
      </c>
      <c r="G144" s="88">
        <v>27</v>
      </c>
      <c r="H144" s="88" t="s">
        <v>103</v>
      </c>
      <c r="I144" s="89" t="s">
        <v>123</v>
      </c>
      <c r="J144" s="89" t="s">
        <v>177</v>
      </c>
      <c r="K144" s="90">
        <v>45743</v>
      </c>
      <c r="L144" s="91">
        <v>20000</v>
      </c>
      <c r="M144" s="88" t="s">
        <v>126</v>
      </c>
      <c r="N144" s="88" t="s">
        <v>105</v>
      </c>
      <c r="O144" s="88" t="s">
        <v>182</v>
      </c>
      <c r="P144" s="88" t="s">
        <v>19</v>
      </c>
      <c r="Q144" s="89">
        <v>31739</v>
      </c>
      <c r="R144" s="92" t="s">
        <v>107</v>
      </c>
      <c r="S144" s="88" t="s">
        <v>243</v>
      </c>
      <c r="T144" s="88">
        <v>3013759330</v>
      </c>
      <c r="U144" s="88" t="s">
        <v>476</v>
      </c>
      <c r="V144" s="93" t="str">
        <f>IF(P144=CURSOS!$D$3,"DIPLOMADO EN ATENCION PRE-HOSPITALARIA",IF(P144=CURSOS!$D$4,"ACOMPAÑAMIENTO Y MANEJO DEL DUELO",IF(P144=CURSOS!$D$5,"ATENCION A VICTIMAS DE ATAQUE CON AGENTES QUIMICOS ",IF(P144=CURSOS!$D$6,"PRIMEROS AUXILIOS ",IF(P144=CURSOS!$D$7,"DIPLOMADO DE UNIDAD DE CUIDADOS INTENSIVOS (UCI)",IF(P144=CURSOS!$D$8,"MODELO DE ATENCION PARA EVENTOS EMERGENTES EN SALUD MENTAL (CODIGO VERDE)",IF(P144=CURSOS!$D$9,"HUMANIZACION EN EL SERVICIO DE LA SALUD Y BUENAS PRACTICAS EN PACIENTE ",IF(P144=CURSOS!$D$10,"CLINICA DE HERIDAS ",IF(P144=CURSOS!$D$11,"TOMA DE CITOLOGIA CERVICO VAGINAL ",IF(P144=CURSOS!$D$12,"SOPORTE CARDIOVASCULAR AVANZADO (ACLS) ",IF(P144=CURSOS!$D$13,"CAMILLERO ",IF(P144=CURSOS!$D$14,"TOMA DE MUESTRAS Y LABORATORIO ",IF(P144=CURSOS!$D$15,"SOPORTE VITAL BASICO (BLS)",IF(P144=CURSOS!$D$16,"ATENCION A VICTIMAS DE VIOLENCIA SEXUAL ",IF(P144=CURSOS!$D$17,"PROGRAMADO AMPLIADO DE INMUNIZACION (PAI - COVID 19)",IF(P144=CURSOS!$D$18,"ATENCION INTEGRAL EN ENFERMEDADES PREVALENTES EN PRIMERA INFANCIA (AIEPI)",IF(P144=CURSOS!$D$19,"ADMINISTRACION DE MEDICAMENTOS, INYECTOLOGIA  Y CANALIZACION ",IF(P144=CURSOS!$D$20,"OPERADOR DE VEHICULOS DE EMERGENCIA (OVE)",IF(P144=CURSOS!$D$21,"INSTITUCIONES AMIGAS DE LA MUJER Y LA INFANCIA (IAMI)",IF(P144=CURSOS!$D$22,"CUIDADO DEL DONANTE DE ORGANOS",IF(P144=CURSOS!$D$23,"ATENCION A VICTIMAS POR VIOLENCIA DE GENERO",IF(P144=CURSOS!$D$24,"IGUALDAD DE GENERO EN LA SALUD",IF(P144=CURSOS!$D$25,"BRIGADA DE EMERGENCIA",IF(P144=CURSOS!$D$26,"MANEJO DEL DOLOR Y CUIDADOS PALIATIVOS",IF(P144=CURSOS!$D$27,"TOMA DE MUESTRAS Y LABORATORIO POCT",IF(P144=CURSOS!$D$28,"IMPLANTE SUBDERMICO DE DISPOSITIVO INTRAUTERINO",IF(P144=CURSOS!$D$29,"SALUD MENTAL",IF(P144=CURSOS!$D$30,"PRIMEROS AUXILIOS PSICOLOGICOS",IF(P144=CURSOS!$D$31,"ATENCION A VICTIMAS POR CONFLICTO ARMADO",IF(P144=CURSOS!$D$32,"MANIPULACION DE ALIMENTOS Y BPM",IF(P144=CURSOS!$D$33,"ATENCION A PERSONAS CON DISCAPACIDAD",IF(P144=CURSOS!$D$34,"CUIDADO INTEGRAL DEL PACIENTE ADULTO",IF(P144=CURSOS!$D$35,"MANEJO DEFENSIVO",IF(P144=CURSOS!$D$36,"SOPORTE CARDIOVASCULAR AVANZADO NEONATAL",IF(P144=CURSOS!$D$37,"SEGURIDAD DEL PACIENTE",IF(P144=CURSOS!$D$38,"MANEJO DE RESIDUOS HOSPITALARIOS"))))))))))))))))))))))))))))))))))))</f>
        <v>SOPORTE VITAL BASICO (BLS)</v>
      </c>
      <c r="W144" s="93" t="str">
        <f t="shared" si="12"/>
        <v>Carolina Isabel Portilla Tepud</v>
      </c>
      <c r="X144" s="93" t="str">
        <f t="shared" si="13"/>
        <v>Carolina Isabel Portilla Tepud</v>
      </c>
      <c r="Y144" s="93" t="str">
        <f t="shared" si="14"/>
        <v>Carolina Isabel Portilla Tepud-1085254626-BLS</v>
      </c>
    </row>
    <row r="145" spans="1:25" s="58" customFormat="1" x14ac:dyDescent="0.2">
      <c r="A145" s="59">
        <v>144</v>
      </c>
      <c r="B145" s="94">
        <v>1084227383</v>
      </c>
      <c r="C145" s="60" t="s">
        <v>141</v>
      </c>
      <c r="D145" s="60" t="s">
        <v>354</v>
      </c>
      <c r="E145" s="60" t="s">
        <v>315</v>
      </c>
      <c r="F145" s="60" t="s">
        <v>428</v>
      </c>
      <c r="G145" s="60">
        <v>25</v>
      </c>
      <c r="H145" s="60" t="s">
        <v>103</v>
      </c>
      <c r="I145" s="61" t="s">
        <v>104</v>
      </c>
      <c r="J145" s="61" t="s">
        <v>464</v>
      </c>
      <c r="K145" s="62">
        <v>45744</v>
      </c>
      <c r="L145" s="63">
        <v>73000</v>
      </c>
      <c r="M145" s="60" t="s">
        <v>156</v>
      </c>
      <c r="N145" s="60" t="s">
        <v>105</v>
      </c>
      <c r="O145" s="60" t="s">
        <v>106</v>
      </c>
      <c r="P145" s="60" t="s">
        <v>42</v>
      </c>
      <c r="Q145" s="61">
        <v>35495</v>
      </c>
      <c r="R145" s="60" t="s">
        <v>107</v>
      </c>
      <c r="S145" s="60" t="s">
        <v>117</v>
      </c>
      <c r="T145" s="95">
        <v>3212238655</v>
      </c>
      <c r="U145" s="96" t="s">
        <v>485</v>
      </c>
      <c r="V145" s="65" t="str">
        <f>IF(P145=CURSOS!$D$3,"DIPLOMADO EN ATENCION PRE-HOSPITALARIA",IF(P145=CURSOS!$D$4,"ACOMPAÑAMIENTO Y MANEJO DEL DUELO",IF(P145=CURSOS!$D$5,"ATENCION A VICTIMAS DE ATAQUE CON AGENTES QUIMICOS ",IF(P145=CURSOS!$D$6,"PRIMEROS AUXILIOS ",IF(P145=CURSOS!$D$7,"DIPLOMADO DE UNIDAD DE CUIDADOS INTENSIVOS (UCI)",IF(P145=CURSOS!$D$8,"MODELO DE ATENCION PARA EVENTOS EMERGENTES EN SALUD MENTAL (CODIGO VERDE)",IF(P145=CURSOS!$D$9,"HUMANIZACION EN EL SERVICIO DE LA SALUD Y BUENAS PRACTICAS EN PACIENTE ",IF(P145=CURSOS!$D$10,"CLINICA DE HERIDAS ",IF(P145=CURSOS!$D$11,"TOMA DE CITOLOGIA CERVICO VAGINAL ",IF(P145=CURSOS!$D$12,"SOPORTE CARDIOVASCULAR AVANZADO (ACLS) ",IF(P145=CURSOS!$D$13,"CAMILLERO ",IF(P145=CURSOS!$D$14,"TOMA DE MUESTRAS Y LABORATORIO ",IF(P145=CURSOS!$D$15,"SOPORTE VITAL BASICO (BLS)",IF(P145=CURSOS!$D$16,"ATENCION A VICTIMAS DE VIOLENCIA SEXUAL ",IF(P145=CURSOS!$D$17,"PROGRAMADO AMPLIADO DE INMUNIZACION (PAI - COVID 19)",IF(P145=CURSOS!$D$18,"ATENCION INTEGRAL EN ENFERMEDADES PREVALENTES EN PRIMERA INFANCIA (AIEPI)",IF(P145=CURSOS!$D$19,"ADMINISTRACION DE MEDICAMENTOS, INYECTOLOGIA  Y CANALIZACION ",IF(P145=CURSOS!$D$20,"OPERADOR DE VEHICULOS DE EMERGENCIA (OVE)",IF(P145=CURSOS!$D$21,"INSTITUCIONES AMIGAS DE LA MUJER Y LA INFANCIA (IAMI)",IF(P145=CURSOS!$D$22,"CUIDADO DEL DONANTE DE ORGANOS",IF(P145=CURSOS!$D$23,"ATENCION A VICTIMAS POR VIOLENCIA DE GENERO",IF(P145=CURSOS!$D$24,"IGUALDAD DE GENERO EN LA SALUD",IF(P145=CURSOS!$D$25,"BRIGADA DE EMERGENCIA",IF(P145=CURSOS!$D$26,"MANEJO DEL DOLOR Y CUIDADOS PALIATIVOS",IF(P145=CURSOS!$D$27,"TOMA DE MUESTRAS Y LABORATORIO POCT",IF(P145=CURSOS!$D$28,"IMPLANTE SUBDERMICO DE DISPOSITIVO INTRAUTERINO",IF(P145=CURSOS!$D$29,"SALUD MENTAL",IF(P145=CURSOS!$D$30,"PRIMEROS AUXILIOS PSICOLOGICOS",IF(P145=CURSOS!$D$31,"ATENCION A VICTIMAS POR CONFLICTO ARMADO",IF(P145=CURSOS!$D$32,"MANIPULACION DE ALIMENTOS Y BPM",IF(P145=CURSOS!$D$33,"ATENCION A PERSONAS CON DISCAPACIDAD",IF(P145=CURSOS!$D$34,"CUIDADO INTEGRAL DEL PACIENTE ADULTO",IF(P145=CURSOS!$D$35,"MANEJO DEFENSIVO",IF(P145=CURSOS!$D$36,"SOPORTE CARDIOVASCULAR AVANZADO NEONATAL",IF(P145=CURSOS!$D$37,"SEGURIDAD DEL PACIENTE",IF(P145=CURSOS!$D$38,"MANEJO DE RESIDUOS HOSPITALARIOS"))))))))))))))))))))))))))))))))))))</f>
        <v xml:space="preserve">ATENCION A VICTIMAS DE VIOLENCIA SEXUAL </v>
      </c>
      <c r="W145" s="65" t="str">
        <f t="shared" si="12"/>
        <v>Viviana Yamile Narvaez Andrade</v>
      </c>
      <c r="X145" s="65" t="str">
        <f t="shared" si="13"/>
        <v>Viviana Yamile Narvaez Andrade</v>
      </c>
      <c r="Y145" s="65" t="str">
        <f t="shared" si="14"/>
        <v>Viviana Yamile Narvaez Andrade-1084227383-VIOLENCIA SEXUAL</v>
      </c>
    </row>
    <row r="146" spans="1:25" s="58" customFormat="1" x14ac:dyDescent="0.2">
      <c r="A146" s="59">
        <v>145</v>
      </c>
      <c r="B146" s="94">
        <v>1084227383</v>
      </c>
      <c r="C146" s="60" t="s">
        <v>141</v>
      </c>
      <c r="D146" s="60" t="s">
        <v>354</v>
      </c>
      <c r="E146" s="60" t="s">
        <v>315</v>
      </c>
      <c r="F146" s="60" t="s">
        <v>428</v>
      </c>
      <c r="G146" s="60">
        <v>26</v>
      </c>
      <c r="H146" s="60" t="s">
        <v>103</v>
      </c>
      <c r="I146" s="61" t="s">
        <v>104</v>
      </c>
      <c r="J146" s="83" t="s">
        <v>464</v>
      </c>
      <c r="K146" s="62">
        <v>45744</v>
      </c>
      <c r="L146" s="63">
        <v>73000</v>
      </c>
      <c r="M146" s="60" t="s">
        <v>156</v>
      </c>
      <c r="N146" s="60" t="s">
        <v>105</v>
      </c>
      <c r="O146" s="60" t="s">
        <v>106</v>
      </c>
      <c r="P146" s="60" t="s">
        <v>25</v>
      </c>
      <c r="Q146" s="61">
        <v>35495</v>
      </c>
      <c r="R146" s="60" t="s">
        <v>107</v>
      </c>
      <c r="S146" s="60" t="s">
        <v>117</v>
      </c>
      <c r="T146" s="95">
        <v>3212238655</v>
      </c>
      <c r="U146" s="96" t="s">
        <v>485</v>
      </c>
      <c r="V146" s="65" t="str">
        <f>IF(P146=CURSOS!$D$3,"DIPLOMADO EN ATENCION PRE-HOSPITALARIA",IF(P146=CURSOS!$D$4,"ACOMPAÑAMIENTO Y MANEJO DEL DUELO",IF(P146=CURSOS!$D$5,"ATENCION A VICTIMAS DE ATAQUE CON AGENTES QUIMICOS ",IF(P146=CURSOS!$D$6,"PRIMEROS AUXILIOS ",IF(P146=CURSOS!$D$7,"DIPLOMADO DE UNIDAD DE CUIDADOS INTENSIVOS (UCI)",IF(P146=CURSOS!$D$8,"MODELO DE ATENCION PARA EVENTOS EMERGENTES EN SALUD MENTAL (CODIGO VERDE)",IF(P146=CURSOS!$D$9,"HUMANIZACION EN EL SERVICIO DE LA SALUD Y BUENAS PRACTICAS EN PACIENTE ",IF(P146=CURSOS!$D$10,"CLINICA DE HERIDAS ",IF(P146=CURSOS!$D$11,"TOMA DE CITOLOGIA CERVICO VAGINAL ",IF(P146=CURSOS!$D$12,"SOPORTE CARDIOVASCULAR AVANZADO (ACLS) ",IF(P146=CURSOS!$D$13,"CAMILLERO ",IF(P146=CURSOS!$D$14,"TOMA DE MUESTRAS Y LABORATORIO ",IF(P146=CURSOS!$D$15,"SOPORTE VITAL BASICO (BLS)",IF(P146=CURSOS!$D$16,"ATENCION A VICTIMAS DE VIOLENCIA SEXUAL ",IF(P146=CURSOS!$D$17,"PROGRAMADO AMPLIADO DE INMUNIZACION (PAI - COVID 19)",IF(P146=CURSOS!$D$18,"ATENCION INTEGRAL EN ENFERMEDADES PREVALENTES EN PRIMERA INFANCIA (AIEPI)",IF(P146=CURSOS!$D$19,"ADMINISTRACION DE MEDICAMENTOS, INYECTOLOGIA  Y CANALIZACION ",IF(P146=CURSOS!$D$20,"OPERADOR DE VEHICULOS DE EMERGENCIA (OVE)",IF(P146=CURSOS!$D$21,"INSTITUCIONES AMIGAS DE LA MUJER Y LA INFANCIA (IAMI)",IF(P146=CURSOS!$D$22,"CUIDADO DEL DONANTE DE ORGANOS",IF(P146=CURSOS!$D$23,"ATENCION A VICTIMAS POR VIOLENCIA DE GENERO",IF(P146=CURSOS!$D$24,"IGUALDAD DE GENERO EN LA SALUD",IF(P146=CURSOS!$D$25,"BRIGADA DE EMERGENCIA",IF(P146=CURSOS!$D$26,"MANEJO DEL DOLOR Y CUIDADOS PALIATIVOS",IF(P146=CURSOS!$D$27,"TOMA DE MUESTRAS Y LABORATORIO POCT",IF(P146=CURSOS!$D$28,"IMPLANTE SUBDERMICO DE DISPOSITIVO INTRAUTERINO",IF(P146=CURSOS!$D$29,"SALUD MENTAL",IF(P146=CURSOS!$D$30,"PRIMEROS AUXILIOS PSICOLOGICOS",IF(P146=CURSOS!$D$31,"ATENCION A VICTIMAS POR CONFLICTO ARMADO",IF(P146=CURSOS!$D$32,"MANIPULACION DE ALIMENTOS Y BPM",IF(P146=CURSOS!$D$33,"ATENCION A PERSONAS CON DISCAPACIDAD",IF(P146=CURSOS!$D$34,"CUIDADO INTEGRAL DEL PACIENTE ADULTO",IF(P146=CURSOS!$D$35,"MANEJO DEFENSIVO",IF(P146=CURSOS!$D$36,"SOPORTE CARDIOVASCULAR AVANZADO NEONATAL",IF(P146=CURSOS!$D$37,"SEGURIDAD DEL PACIENTE",IF(P146=CURSOS!$D$38,"MANEJO DE RESIDUOS HOSPITALARIOS"))))))))))))))))))))))))))))))))))))</f>
        <v xml:space="preserve">ATENCION A VICTIMAS DE ATAQUE CON AGENTES QUIMICOS </v>
      </c>
      <c r="W146" s="65" t="str">
        <f t="shared" si="12"/>
        <v>Viviana Yamile Narvaez Andrade</v>
      </c>
      <c r="X146" s="65" t="str">
        <f t="shared" si="13"/>
        <v>Viviana Yamile Narvaez Andrade</v>
      </c>
      <c r="Y146" s="65" t="str">
        <f t="shared" si="14"/>
        <v>Viviana Yamile Narvaez Andrade-1084227383-QUIMICOS</v>
      </c>
    </row>
    <row r="147" spans="1:25" s="58" customFormat="1" x14ac:dyDescent="0.2">
      <c r="A147" s="59">
        <v>146</v>
      </c>
      <c r="B147" s="94">
        <v>1084227383</v>
      </c>
      <c r="C147" s="60" t="s">
        <v>141</v>
      </c>
      <c r="D147" s="60" t="s">
        <v>354</v>
      </c>
      <c r="E147" s="60" t="s">
        <v>315</v>
      </c>
      <c r="F147" s="60" t="s">
        <v>428</v>
      </c>
      <c r="G147" s="60">
        <v>27</v>
      </c>
      <c r="H147" s="60" t="s">
        <v>103</v>
      </c>
      <c r="I147" s="61" t="s">
        <v>104</v>
      </c>
      <c r="J147" s="83" t="s">
        <v>464</v>
      </c>
      <c r="K147" s="62">
        <v>45744</v>
      </c>
      <c r="L147" s="63">
        <v>73000</v>
      </c>
      <c r="M147" s="60" t="s">
        <v>156</v>
      </c>
      <c r="N147" s="60" t="s">
        <v>105</v>
      </c>
      <c r="O147" s="60" t="s">
        <v>106</v>
      </c>
      <c r="P147" s="60" t="s">
        <v>57</v>
      </c>
      <c r="Q147" s="61">
        <v>35495</v>
      </c>
      <c r="R147" s="60" t="s">
        <v>107</v>
      </c>
      <c r="S147" s="60" t="s">
        <v>117</v>
      </c>
      <c r="T147" s="95">
        <v>3212238655</v>
      </c>
      <c r="U147" s="96" t="s">
        <v>485</v>
      </c>
      <c r="V147" s="65" t="str">
        <f>IF(P147=CURSOS!$D$3,"DIPLOMADO EN ATENCION PRE-HOSPITALARIA",IF(P147=CURSOS!$D$4,"ACOMPAÑAMIENTO Y MANEJO DEL DUELO",IF(P147=CURSOS!$D$5,"ATENCION A VICTIMAS DE ATAQUE CON AGENTES QUIMICOS ",IF(P147=CURSOS!$D$6,"PRIMEROS AUXILIOS ",IF(P147=CURSOS!$D$7,"DIPLOMADO DE UNIDAD DE CUIDADOS INTENSIVOS (UCI)",IF(P147=CURSOS!$D$8,"MODELO DE ATENCION PARA EVENTOS EMERGENTES EN SALUD MENTAL (CODIGO VERDE)",IF(P147=CURSOS!$D$9,"HUMANIZACION EN EL SERVICIO DE LA SALUD Y BUENAS PRACTICAS EN PACIENTE ",IF(P147=CURSOS!$D$10,"CLINICA DE HERIDAS ",IF(P147=CURSOS!$D$11,"TOMA DE CITOLOGIA CERVICO VAGINAL ",IF(P147=CURSOS!$D$12,"SOPORTE CARDIOVASCULAR AVANZADO (ACLS) ",IF(P147=CURSOS!$D$13,"CAMILLERO ",IF(P147=CURSOS!$D$14,"TOMA DE MUESTRAS Y LABORATORIO ",IF(P147=CURSOS!$D$15,"SOPORTE VITAL BASICO (BLS)",IF(P147=CURSOS!$D$16,"ATENCION A VICTIMAS DE VIOLENCIA SEXUAL ",IF(P147=CURSOS!$D$17,"PROGRAMADO AMPLIADO DE INMUNIZACION (PAI - COVID 19)",IF(P147=CURSOS!$D$18,"ATENCION INTEGRAL EN ENFERMEDADES PREVALENTES EN PRIMERA INFANCIA (AIEPI)",IF(P147=CURSOS!$D$19,"ADMINISTRACION DE MEDICAMENTOS, INYECTOLOGIA  Y CANALIZACION ",IF(P147=CURSOS!$D$20,"OPERADOR DE VEHICULOS DE EMERGENCIA (OVE)",IF(P147=CURSOS!$D$21,"INSTITUCIONES AMIGAS DE LA MUJER Y LA INFANCIA (IAMI)",IF(P147=CURSOS!$D$22,"CUIDADO DEL DONANTE DE ORGANOS",IF(P147=CURSOS!$D$23,"ATENCION A VICTIMAS POR VIOLENCIA DE GENERO",IF(P147=CURSOS!$D$24,"IGUALDAD DE GENERO EN LA SALUD",IF(P147=CURSOS!$D$25,"BRIGADA DE EMERGENCIA",IF(P147=CURSOS!$D$26,"MANEJO DEL DOLOR Y CUIDADOS PALIATIVOS",IF(P147=CURSOS!$D$27,"TOMA DE MUESTRAS Y LABORATORIO POCT",IF(P147=CURSOS!$D$28,"IMPLANTE SUBDERMICO DE DISPOSITIVO INTRAUTERINO",IF(P147=CURSOS!$D$29,"SALUD MENTAL",IF(P147=CURSOS!$D$30,"PRIMEROS AUXILIOS PSICOLOGICOS",IF(P147=CURSOS!$D$31,"ATENCION A VICTIMAS POR CONFLICTO ARMADO",IF(P147=CURSOS!$D$32,"MANIPULACION DE ALIMENTOS Y BPM",IF(P147=CURSOS!$D$33,"ATENCION A PERSONAS CON DISCAPACIDAD",IF(P147=CURSOS!$D$34,"CUIDADO INTEGRAL DEL PACIENTE ADULTO",IF(P147=CURSOS!$D$35,"MANEJO DEFENSIVO",IF(P147=CURSOS!$D$36,"SOPORTE CARDIOVASCULAR AVANZADO NEONATAL",IF(P147=CURSOS!$D$37,"SEGURIDAD DEL PACIENTE",IF(P147=CURSOS!$D$38,"MANEJO DE RESIDUOS HOSPITALARIOS"))))))))))))))))))))))))))))))))))))</f>
        <v>MANEJO DEL DOLOR Y CUIDADOS PALIATIVOS</v>
      </c>
      <c r="W147" s="65" t="str">
        <f t="shared" si="12"/>
        <v>Viviana Yamile Narvaez Andrade</v>
      </c>
      <c r="X147" s="65" t="str">
        <f t="shared" si="13"/>
        <v>Viviana Yamile Narvaez Andrade</v>
      </c>
      <c r="Y147" s="65" t="str">
        <f t="shared" si="14"/>
        <v>Viviana Yamile Narvaez Andrade-1084227383-PALIATIVOS</v>
      </c>
    </row>
    <row r="148" spans="1:25" s="58" customFormat="1" x14ac:dyDescent="0.2">
      <c r="A148" s="59">
        <v>147</v>
      </c>
      <c r="B148" s="60">
        <v>87215478</v>
      </c>
      <c r="C148" s="60" t="s">
        <v>486</v>
      </c>
      <c r="D148" s="60" t="s">
        <v>487</v>
      </c>
      <c r="E148" s="60" t="s">
        <v>488</v>
      </c>
      <c r="F148" s="60" t="s">
        <v>489</v>
      </c>
      <c r="G148" s="60">
        <v>25</v>
      </c>
      <c r="H148" s="60" t="s">
        <v>103</v>
      </c>
      <c r="I148" s="61" t="s">
        <v>123</v>
      </c>
      <c r="J148" s="61" t="s">
        <v>179</v>
      </c>
      <c r="K148" s="62">
        <v>45744</v>
      </c>
      <c r="L148" s="63">
        <v>33000</v>
      </c>
      <c r="M148" s="60" t="s">
        <v>156</v>
      </c>
      <c r="N148" s="60" t="s">
        <v>105</v>
      </c>
      <c r="O148" s="60" t="s">
        <v>106</v>
      </c>
      <c r="P148" s="60" t="s">
        <v>19</v>
      </c>
      <c r="Q148" s="61">
        <v>30073</v>
      </c>
      <c r="R148" s="60" t="s">
        <v>107</v>
      </c>
      <c r="S148" s="60" t="s">
        <v>117</v>
      </c>
      <c r="T148" s="64">
        <v>3212238398</v>
      </c>
      <c r="U148" s="60" t="s">
        <v>490</v>
      </c>
      <c r="V148" s="65" t="str">
        <f>IF(P148=CURSOS!$D$3,"DIPLOMADO EN ATENCION PRE-HOSPITALARIA",IF(P148=CURSOS!$D$4,"ACOMPAÑAMIENTO Y MANEJO DEL DUELO",IF(P148=CURSOS!$D$5,"ATENCION A VICTIMAS DE ATAQUE CON AGENTES QUIMICOS ",IF(P148=CURSOS!$D$6,"PRIMEROS AUXILIOS ",IF(P148=CURSOS!$D$7,"DIPLOMADO DE UNIDAD DE CUIDADOS INTENSIVOS (UCI)",IF(P148=CURSOS!$D$8,"MODELO DE ATENCION PARA EVENTOS EMERGENTES EN SALUD MENTAL (CODIGO VERDE)",IF(P148=CURSOS!$D$9,"HUMANIZACION EN EL SERVICIO DE LA SALUD Y BUENAS PRACTICAS EN PACIENTE ",IF(P148=CURSOS!$D$10,"CLINICA DE HERIDAS ",IF(P148=CURSOS!$D$11,"TOMA DE CITOLOGIA CERVICO VAGINAL ",IF(P148=CURSOS!$D$12,"SOPORTE CARDIOVASCULAR AVANZADO (ACLS) ",IF(P148=CURSOS!$D$13,"CAMILLERO ",IF(P148=CURSOS!$D$14,"TOMA DE MUESTRAS Y LABORATORIO ",IF(P148=CURSOS!$D$15,"SOPORTE VITAL BASICO (BLS)",IF(P148=CURSOS!$D$16,"ATENCION A VICTIMAS DE VIOLENCIA SEXUAL ",IF(P148=CURSOS!$D$17,"PROGRAMADO AMPLIADO DE INMUNIZACION (PAI - COVID 19)",IF(P148=CURSOS!$D$18,"ATENCION INTEGRAL EN ENFERMEDADES PREVALENTES EN PRIMERA INFANCIA (AIEPI)",IF(P148=CURSOS!$D$19,"ADMINISTRACION DE MEDICAMENTOS, INYECTOLOGIA  Y CANALIZACION ",IF(P148=CURSOS!$D$20,"OPERADOR DE VEHICULOS DE EMERGENCIA (OVE)",IF(P148=CURSOS!$D$21,"INSTITUCIONES AMIGAS DE LA MUJER Y LA INFANCIA (IAMI)",IF(P148=CURSOS!$D$22,"CUIDADO DEL DONANTE DE ORGANOS",IF(P148=CURSOS!$D$23,"ATENCION A VICTIMAS POR VIOLENCIA DE GENERO",IF(P148=CURSOS!$D$24,"IGUALDAD DE GENERO EN LA SALUD",IF(P148=CURSOS!$D$25,"BRIGADA DE EMERGENCIA",IF(P148=CURSOS!$D$26,"MANEJO DEL DOLOR Y CUIDADOS PALIATIVOS",IF(P148=CURSOS!$D$27,"TOMA DE MUESTRAS Y LABORATORIO POCT",IF(P148=CURSOS!$D$28,"IMPLANTE SUBDERMICO DE DISPOSITIVO INTRAUTERINO",IF(P148=CURSOS!$D$29,"SALUD MENTAL",IF(P148=CURSOS!$D$30,"PRIMEROS AUXILIOS PSICOLOGICOS",IF(P148=CURSOS!$D$31,"ATENCION A VICTIMAS POR CONFLICTO ARMADO",IF(P148=CURSOS!$D$32,"MANIPULACION DE ALIMENTOS Y BPM",IF(P148=CURSOS!$D$33,"ATENCION A PERSONAS CON DISCAPACIDAD",IF(P148=CURSOS!$D$34,"CUIDADO INTEGRAL DEL PACIENTE ADULTO",IF(P148=CURSOS!$D$35,"MANEJO DEFENSIVO",IF(P148=CURSOS!$D$36,"SOPORTE CARDIOVASCULAR AVANZADO NEONATAL",IF(P148=CURSOS!$D$37,"SEGURIDAD DEL PACIENTE",IF(P148=CURSOS!$D$38,"MANEJO DE RESIDUOS HOSPITALARIOS"))))))))))))))))))))))))))))))))))))</f>
        <v>SOPORTE VITAL BASICO (BLS)</v>
      </c>
      <c r="W148" s="65" t="str">
        <f t="shared" si="12"/>
        <v>Rosember Andres Teran Lucero</v>
      </c>
      <c r="X148" s="65" t="str">
        <f t="shared" si="13"/>
        <v>Rosember Andres Teran Lucero</v>
      </c>
      <c r="Y148" s="65" t="str">
        <f t="shared" si="14"/>
        <v>Rosember Andres Teran Lucero-87215478-BLS</v>
      </c>
    </row>
    <row r="149" spans="1:25" s="58" customFormat="1" x14ac:dyDescent="0.2">
      <c r="A149" s="59">
        <v>148</v>
      </c>
      <c r="B149" s="60">
        <v>87215478</v>
      </c>
      <c r="C149" s="60" t="s">
        <v>486</v>
      </c>
      <c r="D149" s="60" t="s">
        <v>487</v>
      </c>
      <c r="E149" s="60" t="s">
        <v>488</v>
      </c>
      <c r="F149" s="60" t="s">
        <v>489</v>
      </c>
      <c r="G149" s="60">
        <v>26</v>
      </c>
      <c r="H149" s="60" t="s">
        <v>103</v>
      </c>
      <c r="I149" s="61" t="s">
        <v>123</v>
      </c>
      <c r="J149" s="61" t="s">
        <v>179</v>
      </c>
      <c r="K149" s="62">
        <v>45744</v>
      </c>
      <c r="L149" s="63">
        <v>33000</v>
      </c>
      <c r="M149" s="60" t="s">
        <v>156</v>
      </c>
      <c r="N149" s="60" t="s">
        <v>105</v>
      </c>
      <c r="O149" s="60" t="s">
        <v>106</v>
      </c>
      <c r="P149" s="60" t="s">
        <v>42</v>
      </c>
      <c r="Q149" s="61">
        <v>30073</v>
      </c>
      <c r="R149" s="60" t="s">
        <v>107</v>
      </c>
      <c r="S149" s="60" t="s">
        <v>117</v>
      </c>
      <c r="T149" s="64">
        <v>3212238398</v>
      </c>
      <c r="U149" s="60" t="s">
        <v>490</v>
      </c>
      <c r="V149" s="65" t="str">
        <f>IF(P149=CURSOS!$D$3,"DIPLOMADO EN ATENCION PRE-HOSPITALARIA",IF(P149=CURSOS!$D$4,"ACOMPAÑAMIENTO Y MANEJO DEL DUELO",IF(P149=CURSOS!$D$5,"ATENCION A VICTIMAS DE ATAQUE CON AGENTES QUIMICOS ",IF(P149=CURSOS!$D$6,"PRIMEROS AUXILIOS ",IF(P149=CURSOS!$D$7,"DIPLOMADO DE UNIDAD DE CUIDADOS INTENSIVOS (UCI)",IF(P149=CURSOS!$D$8,"MODELO DE ATENCION PARA EVENTOS EMERGENTES EN SALUD MENTAL (CODIGO VERDE)",IF(P149=CURSOS!$D$9,"HUMANIZACION EN EL SERVICIO DE LA SALUD Y BUENAS PRACTICAS EN PACIENTE ",IF(P149=CURSOS!$D$10,"CLINICA DE HERIDAS ",IF(P149=CURSOS!$D$11,"TOMA DE CITOLOGIA CERVICO VAGINAL ",IF(P149=CURSOS!$D$12,"SOPORTE CARDIOVASCULAR AVANZADO (ACLS) ",IF(P149=CURSOS!$D$13,"CAMILLERO ",IF(P149=CURSOS!$D$14,"TOMA DE MUESTRAS Y LABORATORIO ",IF(P149=CURSOS!$D$15,"SOPORTE VITAL BASICO (BLS)",IF(P149=CURSOS!$D$16,"ATENCION A VICTIMAS DE VIOLENCIA SEXUAL ",IF(P149=CURSOS!$D$17,"PROGRAMADO AMPLIADO DE INMUNIZACION (PAI - COVID 19)",IF(P149=CURSOS!$D$18,"ATENCION INTEGRAL EN ENFERMEDADES PREVALENTES EN PRIMERA INFANCIA (AIEPI)",IF(P149=CURSOS!$D$19,"ADMINISTRACION DE MEDICAMENTOS, INYECTOLOGIA  Y CANALIZACION ",IF(P149=CURSOS!$D$20,"OPERADOR DE VEHICULOS DE EMERGENCIA (OVE)",IF(P149=CURSOS!$D$21,"INSTITUCIONES AMIGAS DE LA MUJER Y LA INFANCIA (IAMI)",IF(P149=CURSOS!$D$22,"CUIDADO DEL DONANTE DE ORGANOS",IF(P149=CURSOS!$D$23,"ATENCION A VICTIMAS POR VIOLENCIA DE GENERO",IF(P149=CURSOS!$D$24,"IGUALDAD DE GENERO EN LA SALUD",IF(P149=CURSOS!$D$25,"BRIGADA DE EMERGENCIA",IF(P149=CURSOS!$D$26,"MANEJO DEL DOLOR Y CUIDADOS PALIATIVOS",IF(P149=CURSOS!$D$27,"TOMA DE MUESTRAS Y LABORATORIO POCT",IF(P149=CURSOS!$D$28,"IMPLANTE SUBDERMICO DE DISPOSITIVO INTRAUTERINO",IF(P149=CURSOS!$D$29,"SALUD MENTAL",IF(P149=CURSOS!$D$30,"PRIMEROS AUXILIOS PSICOLOGICOS",IF(P149=CURSOS!$D$31,"ATENCION A VICTIMAS POR CONFLICTO ARMADO",IF(P149=CURSOS!$D$32,"MANIPULACION DE ALIMENTOS Y BPM",IF(P149=CURSOS!$D$33,"ATENCION A PERSONAS CON DISCAPACIDAD",IF(P149=CURSOS!$D$34,"CUIDADO INTEGRAL DEL PACIENTE ADULTO",IF(P149=CURSOS!$D$35,"MANEJO DEFENSIVO",IF(P149=CURSOS!$D$36,"SOPORTE CARDIOVASCULAR AVANZADO NEONATAL",IF(P149=CURSOS!$D$37,"SEGURIDAD DEL PACIENTE",IF(P149=CURSOS!$D$38,"MANEJO DE RESIDUOS HOSPITALARIOS"))))))))))))))))))))))))))))))))))))</f>
        <v xml:space="preserve">ATENCION A VICTIMAS DE VIOLENCIA SEXUAL </v>
      </c>
      <c r="W149" s="65" t="str">
        <f t="shared" si="12"/>
        <v>Rosember Andres Teran Lucero</v>
      </c>
      <c r="X149" s="65" t="str">
        <f t="shared" si="13"/>
        <v>Rosember Andres Teran Lucero</v>
      </c>
      <c r="Y149" s="65" t="str">
        <f t="shared" si="14"/>
        <v>Rosember Andres Teran Lucero-87215478-VIOLENCIA SEXUAL</v>
      </c>
    </row>
    <row r="150" spans="1:25" s="58" customFormat="1" x14ac:dyDescent="0.2">
      <c r="A150" s="59">
        <v>149</v>
      </c>
      <c r="B150" s="60">
        <v>87215478</v>
      </c>
      <c r="C150" s="60" t="s">
        <v>486</v>
      </c>
      <c r="D150" s="60" t="s">
        <v>487</v>
      </c>
      <c r="E150" s="60" t="s">
        <v>488</v>
      </c>
      <c r="F150" s="60" t="s">
        <v>489</v>
      </c>
      <c r="G150" s="60">
        <v>27</v>
      </c>
      <c r="H150" s="60" t="s">
        <v>103</v>
      </c>
      <c r="I150" s="61" t="s">
        <v>123</v>
      </c>
      <c r="J150" s="61" t="s">
        <v>179</v>
      </c>
      <c r="K150" s="62">
        <v>45744</v>
      </c>
      <c r="L150" s="63">
        <v>34000</v>
      </c>
      <c r="M150" s="60" t="s">
        <v>156</v>
      </c>
      <c r="N150" s="60" t="s">
        <v>105</v>
      </c>
      <c r="O150" s="60" t="s">
        <v>106</v>
      </c>
      <c r="P150" s="60" t="s">
        <v>45</v>
      </c>
      <c r="Q150" s="61">
        <v>30073</v>
      </c>
      <c r="R150" s="60" t="s">
        <v>107</v>
      </c>
      <c r="S150" s="60" t="s">
        <v>117</v>
      </c>
      <c r="T150" s="64">
        <v>3212238398</v>
      </c>
      <c r="U150" s="60" t="s">
        <v>490</v>
      </c>
      <c r="V150" s="65" t="str">
        <f>IF(P150=CURSOS!$D$3,"DIPLOMADO EN ATENCION PRE-HOSPITALARIA",IF(P150=CURSOS!$D$4,"ACOMPAÑAMIENTO Y MANEJO DEL DUELO",IF(P150=CURSOS!$D$5,"ATENCION A VICTIMAS DE ATAQUE CON AGENTES QUIMICOS ",IF(P150=CURSOS!$D$6,"PRIMEROS AUXILIOS ",IF(P150=CURSOS!$D$7,"DIPLOMADO DE UNIDAD DE CUIDADOS INTENSIVOS (UCI)",IF(P150=CURSOS!$D$8,"MODELO DE ATENCION PARA EVENTOS EMERGENTES EN SALUD MENTAL (CODIGO VERDE)",IF(P150=CURSOS!$D$9,"HUMANIZACION EN EL SERVICIO DE LA SALUD Y BUENAS PRACTICAS EN PACIENTE ",IF(P150=CURSOS!$D$10,"CLINICA DE HERIDAS ",IF(P150=CURSOS!$D$11,"TOMA DE CITOLOGIA CERVICO VAGINAL ",IF(P150=CURSOS!$D$12,"SOPORTE CARDIOVASCULAR AVANZADO (ACLS) ",IF(P150=CURSOS!$D$13,"CAMILLERO ",IF(P150=CURSOS!$D$14,"TOMA DE MUESTRAS Y LABORATORIO ",IF(P150=CURSOS!$D$15,"SOPORTE VITAL BASICO (BLS)",IF(P150=CURSOS!$D$16,"ATENCION A VICTIMAS DE VIOLENCIA SEXUAL ",IF(P150=CURSOS!$D$17,"PROGRAMADO AMPLIADO DE INMUNIZACION (PAI - COVID 19)",IF(P150=CURSOS!$D$18,"ATENCION INTEGRAL EN ENFERMEDADES PREVALENTES EN PRIMERA INFANCIA (AIEPI)",IF(P150=CURSOS!$D$19,"ADMINISTRACION DE MEDICAMENTOS, INYECTOLOGIA  Y CANALIZACION ",IF(P150=CURSOS!$D$20,"OPERADOR DE VEHICULOS DE EMERGENCIA (OVE)",IF(P150=CURSOS!$D$21,"INSTITUCIONES AMIGAS DE LA MUJER Y LA INFANCIA (IAMI)",IF(P150=CURSOS!$D$22,"CUIDADO DEL DONANTE DE ORGANOS",IF(P150=CURSOS!$D$23,"ATENCION A VICTIMAS POR VIOLENCIA DE GENERO",IF(P150=CURSOS!$D$24,"IGUALDAD DE GENERO EN LA SALUD",IF(P150=CURSOS!$D$25,"BRIGADA DE EMERGENCIA",IF(P150=CURSOS!$D$26,"MANEJO DEL DOLOR Y CUIDADOS PALIATIVOS",IF(P150=CURSOS!$D$27,"TOMA DE MUESTRAS Y LABORATORIO POCT",IF(P150=CURSOS!$D$28,"IMPLANTE SUBDERMICO DE DISPOSITIVO INTRAUTERINO",IF(P150=CURSOS!$D$29,"SALUD MENTAL",IF(P150=CURSOS!$D$30,"PRIMEROS AUXILIOS PSICOLOGICOS",IF(P150=CURSOS!$D$31,"ATENCION A VICTIMAS POR CONFLICTO ARMADO",IF(P150=CURSOS!$D$32,"MANIPULACION DE ALIMENTOS Y BPM",IF(P150=CURSOS!$D$33,"ATENCION A PERSONAS CON DISCAPACIDAD",IF(P150=CURSOS!$D$34,"CUIDADO INTEGRAL DEL PACIENTE ADULTO",IF(P150=CURSOS!$D$35,"MANEJO DEFENSIVO",IF(P150=CURSOS!$D$36,"SOPORTE CARDIOVASCULAR AVANZADO NEONATAL",IF(P150=CURSOS!$D$37,"SEGURIDAD DEL PACIENTE",IF(P150=CURSOS!$D$38,"MANEJO DE RESIDUOS HOSPITALARIOS"))))))))))))))))))))))))))))))))))))</f>
        <v xml:space="preserve">ADMINISTRACION DE MEDICAMENTOS, INYECTOLOGIA  Y CANALIZACION </v>
      </c>
      <c r="W150" s="65" t="str">
        <f t="shared" si="12"/>
        <v>Rosember Andres Teran Lucero</v>
      </c>
      <c r="X150" s="65" t="str">
        <f t="shared" si="13"/>
        <v>Rosember Andres Teran Lucero</v>
      </c>
      <c r="Y150" s="65" t="str">
        <f t="shared" si="14"/>
        <v>Rosember Andres Teran Lucero-87215478-ADMON DE MEDICAMENTOS</v>
      </c>
    </row>
    <row r="151" spans="1:25" s="58" customFormat="1" x14ac:dyDescent="0.2">
      <c r="A151" s="59">
        <v>150</v>
      </c>
      <c r="B151" s="60">
        <v>1086222679</v>
      </c>
      <c r="C151" s="60" t="s">
        <v>491</v>
      </c>
      <c r="D151" s="60" t="s">
        <v>244</v>
      </c>
      <c r="E151" s="60" t="s">
        <v>492</v>
      </c>
      <c r="F151" s="60" t="s">
        <v>493</v>
      </c>
      <c r="G151" s="60">
        <v>29</v>
      </c>
      <c r="H151" s="60" t="s">
        <v>103</v>
      </c>
      <c r="I151" s="61" t="s">
        <v>104</v>
      </c>
      <c r="J151" s="61"/>
      <c r="K151" s="62" t="s">
        <v>530</v>
      </c>
      <c r="L151" s="63">
        <v>50000</v>
      </c>
      <c r="M151" s="60" t="s">
        <v>158</v>
      </c>
      <c r="N151" s="60" t="s">
        <v>105</v>
      </c>
      <c r="O151" s="60" t="s">
        <v>494</v>
      </c>
      <c r="P151" s="60" t="s">
        <v>40</v>
      </c>
      <c r="Q151" s="61">
        <v>32120</v>
      </c>
      <c r="R151" s="60" t="s">
        <v>107</v>
      </c>
      <c r="S151" s="64" t="s">
        <v>117</v>
      </c>
      <c r="T151" s="64">
        <v>3104406595</v>
      </c>
      <c r="U151" s="60" t="s">
        <v>495</v>
      </c>
      <c r="V151" s="65" t="str">
        <f>IF(P151=CURSOS!$D$3,"DIPLOMADO EN ATENCION PRE-HOSPITALARIA",IF(P151=CURSOS!$D$4,"ACOMPAÑAMIENTO Y MANEJO DEL DUELO",IF(P151=CURSOS!$D$5,"ATENCION A VICTIMAS DE ATAQUE CON AGENTES QUIMICOS ",IF(P151=CURSOS!$D$6,"PRIMEROS AUXILIOS ",IF(P151=CURSOS!$D$7,"DIPLOMADO DE UNIDAD DE CUIDADOS INTENSIVOS (UCI)",IF(P151=CURSOS!$D$8,"MODELO DE ATENCION PARA EVENTOS EMERGENTES EN SALUD MENTAL (CODIGO VERDE)",IF(P151=CURSOS!$D$9,"HUMANIZACION EN EL SERVICIO DE LA SALUD Y BUENAS PRACTICAS EN PACIENTE ",IF(P151=CURSOS!$D$10,"CLINICA DE HERIDAS ",IF(P151=CURSOS!$D$11,"TOMA DE CITOLOGIA CERVICO VAGINAL ",IF(P151=CURSOS!$D$12,"SOPORTE CARDIOVASCULAR AVANZADO (ACLS) ",IF(P151=CURSOS!$D$13,"CAMILLERO ",IF(P151=CURSOS!$D$14,"TOMA DE MUESTRAS Y LABORATORIO ",IF(P151=CURSOS!$D$15,"SOPORTE VITAL BASICO (BLS)",IF(P151=CURSOS!$D$16,"ATENCION A VICTIMAS DE VIOLENCIA SEXUAL ",IF(P151=CURSOS!$D$17,"PROGRAMADO AMPLIADO DE INMUNIZACION (PAI - COVID 19)",IF(P151=CURSOS!$D$18,"ATENCION INTEGRAL EN ENFERMEDADES PREVALENTES EN PRIMERA INFANCIA (AIEPI)",IF(P151=CURSOS!$D$19,"ADMINISTRACION DE MEDICAMENTOS, INYECTOLOGIA  Y CANALIZACION ",IF(P151=CURSOS!$D$20,"OPERADOR DE VEHICULOS DE EMERGENCIA (OVE)",IF(P151=CURSOS!$D$21,"INSTITUCIONES AMIGAS DE LA MUJER Y LA INFANCIA (IAMI)",IF(P151=CURSOS!$D$22,"CUIDADO DEL DONANTE DE ORGANOS",IF(P151=CURSOS!$D$23,"ATENCION A VICTIMAS POR VIOLENCIA DE GENERO",IF(P151=CURSOS!$D$24,"IGUALDAD DE GENERO EN LA SALUD",IF(P151=CURSOS!$D$25,"BRIGADA DE EMERGENCIA",IF(P151=CURSOS!$D$26,"MANEJO DEL DOLOR Y CUIDADOS PALIATIVOS",IF(P151=CURSOS!$D$27,"TOMA DE MUESTRAS Y LABORATORIO POCT",IF(P151=CURSOS!$D$28,"IMPLANTE SUBDERMICO DE DISPOSITIVO INTRAUTERINO",IF(P151=CURSOS!$D$29,"SALUD MENTAL",IF(P151=CURSOS!$D$30,"PRIMEROS AUXILIOS PSICOLOGICOS",IF(P151=CURSOS!$D$31,"ATENCION A VICTIMAS POR CONFLICTO ARMADO",IF(P151=CURSOS!$D$32,"MANIPULACION DE ALIMENTOS Y BPM",IF(P151=CURSOS!$D$33,"ATENCION A PERSONAS CON DISCAPACIDAD",IF(P151=CURSOS!$D$34,"CUIDADO INTEGRAL DEL PACIENTE ADULTO",IF(P151=CURSOS!$D$35,"MANEJO DEFENSIVO",IF(P151=CURSOS!$D$36,"SOPORTE CARDIOVASCULAR AVANZADO NEONATAL",IF(P151=CURSOS!$D$37,"SEGURIDAD DEL PACIENTE",IF(P151=CURSOS!$D$38,"MANEJO DE RESIDUOS HOSPITALARIOS"))))))))))))))))))))))))))))))))))))</f>
        <v xml:space="preserve">TOMA DE MUESTRAS Y LABORATORIO </v>
      </c>
      <c r="W151" s="65" t="str">
        <f t="shared" si="12"/>
        <v>Emilin Estefany Urbina Zambrano</v>
      </c>
      <c r="X151" s="65" t="str">
        <f t="shared" si="13"/>
        <v>Emilin Estefany Urbina Zambrano</v>
      </c>
      <c r="Y151" s="65" t="str">
        <f t="shared" si="14"/>
        <v>Emilin Estefany Urbina Zambrano-1086222679-TOMA DE MUESTRAS</v>
      </c>
    </row>
    <row r="152" spans="1:25" s="58" customFormat="1" x14ac:dyDescent="0.2">
      <c r="A152" s="59">
        <v>151</v>
      </c>
      <c r="B152" s="60">
        <v>1081273836</v>
      </c>
      <c r="C152" s="60" t="s">
        <v>477</v>
      </c>
      <c r="D152" s="60" t="s">
        <v>496</v>
      </c>
      <c r="E152" s="60" t="s">
        <v>497</v>
      </c>
      <c r="F152" s="60" t="s">
        <v>498</v>
      </c>
      <c r="G152" s="60">
        <v>29</v>
      </c>
      <c r="H152" s="60" t="s">
        <v>103</v>
      </c>
      <c r="I152" s="61" t="s">
        <v>104</v>
      </c>
      <c r="J152" s="61"/>
      <c r="K152" s="62" t="s">
        <v>530</v>
      </c>
      <c r="L152" s="63">
        <v>50000</v>
      </c>
      <c r="M152" s="60" t="s">
        <v>158</v>
      </c>
      <c r="N152" s="60" t="s">
        <v>105</v>
      </c>
      <c r="O152" s="60" t="s">
        <v>494</v>
      </c>
      <c r="P152" s="60" t="s">
        <v>40</v>
      </c>
      <c r="Q152" s="61">
        <v>38241</v>
      </c>
      <c r="R152" s="60" t="s">
        <v>107</v>
      </c>
      <c r="S152" s="64" t="s">
        <v>117</v>
      </c>
      <c r="T152" s="64">
        <v>3122688896</v>
      </c>
      <c r="U152" s="60" t="s">
        <v>499</v>
      </c>
      <c r="V152" s="65" t="str">
        <f>IF(P152=CURSOS!$D$3,"DIPLOMADO EN ATENCION PRE-HOSPITALARIA",IF(P152=CURSOS!$D$4,"ACOMPAÑAMIENTO Y MANEJO DEL DUELO",IF(P152=CURSOS!$D$5,"ATENCION A VICTIMAS DE ATAQUE CON AGENTES QUIMICOS ",IF(P152=CURSOS!$D$6,"PRIMEROS AUXILIOS ",IF(P152=CURSOS!$D$7,"DIPLOMADO DE UNIDAD DE CUIDADOS INTENSIVOS (UCI)",IF(P152=CURSOS!$D$8,"MODELO DE ATENCION PARA EVENTOS EMERGENTES EN SALUD MENTAL (CODIGO VERDE)",IF(P152=CURSOS!$D$9,"HUMANIZACION EN EL SERVICIO DE LA SALUD Y BUENAS PRACTICAS EN PACIENTE ",IF(P152=CURSOS!$D$10,"CLINICA DE HERIDAS ",IF(P152=CURSOS!$D$11,"TOMA DE CITOLOGIA CERVICO VAGINAL ",IF(P152=CURSOS!$D$12,"SOPORTE CARDIOVASCULAR AVANZADO (ACLS) ",IF(P152=CURSOS!$D$13,"CAMILLERO ",IF(P152=CURSOS!$D$14,"TOMA DE MUESTRAS Y LABORATORIO ",IF(P152=CURSOS!$D$15,"SOPORTE VITAL BASICO (BLS)",IF(P152=CURSOS!$D$16,"ATENCION A VICTIMAS DE VIOLENCIA SEXUAL ",IF(P152=CURSOS!$D$17,"PROGRAMADO AMPLIADO DE INMUNIZACION (PAI - COVID 19)",IF(P152=CURSOS!$D$18,"ATENCION INTEGRAL EN ENFERMEDADES PREVALENTES EN PRIMERA INFANCIA (AIEPI)",IF(P152=CURSOS!$D$19,"ADMINISTRACION DE MEDICAMENTOS, INYECTOLOGIA  Y CANALIZACION ",IF(P152=CURSOS!$D$20,"OPERADOR DE VEHICULOS DE EMERGENCIA (OVE)",IF(P152=CURSOS!$D$21,"INSTITUCIONES AMIGAS DE LA MUJER Y LA INFANCIA (IAMI)",IF(P152=CURSOS!$D$22,"CUIDADO DEL DONANTE DE ORGANOS",IF(P152=CURSOS!$D$23,"ATENCION A VICTIMAS POR VIOLENCIA DE GENERO",IF(P152=CURSOS!$D$24,"IGUALDAD DE GENERO EN LA SALUD",IF(P152=CURSOS!$D$25,"BRIGADA DE EMERGENCIA",IF(P152=CURSOS!$D$26,"MANEJO DEL DOLOR Y CUIDADOS PALIATIVOS",IF(P152=CURSOS!$D$27,"TOMA DE MUESTRAS Y LABORATORIO POCT",IF(P152=CURSOS!$D$28,"IMPLANTE SUBDERMICO DE DISPOSITIVO INTRAUTERINO",IF(P152=CURSOS!$D$29,"SALUD MENTAL",IF(P152=CURSOS!$D$30,"PRIMEROS AUXILIOS PSICOLOGICOS",IF(P152=CURSOS!$D$31,"ATENCION A VICTIMAS POR CONFLICTO ARMADO",IF(P152=CURSOS!$D$32,"MANIPULACION DE ALIMENTOS Y BPM",IF(P152=CURSOS!$D$33,"ATENCION A PERSONAS CON DISCAPACIDAD",IF(P152=CURSOS!$D$34,"CUIDADO INTEGRAL DEL PACIENTE ADULTO",IF(P152=CURSOS!$D$35,"MANEJO DEFENSIVO",IF(P152=CURSOS!$D$36,"SOPORTE CARDIOVASCULAR AVANZADO NEONATAL",IF(P152=CURSOS!$D$37,"SEGURIDAD DEL PACIENTE",IF(P152=CURSOS!$D$38,"MANEJO DE RESIDUOS HOSPITALARIOS"))))))))))))))))))))))))))))))))))))</f>
        <v xml:space="preserve">TOMA DE MUESTRAS Y LABORATORIO </v>
      </c>
      <c r="W152" s="65" t="str">
        <f t="shared" si="12"/>
        <v>Leydi Nathalia Villota Timana</v>
      </c>
      <c r="X152" s="65" t="str">
        <f t="shared" si="13"/>
        <v>Leydi Nathalia Villota Timana</v>
      </c>
      <c r="Y152" s="65" t="str">
        <f t="shared" si="14"/>
        <v>Leydi Nathalia Villota Timana-1081273836-TOMA DE MUESTRAS</v>
      </c>
    </row>
    <row r="153" spans="1:25" s="58" customFormat="1" x14ac:dyDescent="0.2">
      <c r="A153" s="59">
        <v>152</v>
      </c>
      <c r="B153" s="60">
        <v>1004666550</v>
      </c>
      <c r="C153" s="60" t="s">
        <v>500</v>
      </c>
      <c r="D153" s="60" t="s">
        <v>238</v>
      </c>
      <c r="E153" s="60" t="s">
        <v>121</v>
      </c>
      <c r="F153" s="60" t="s">
        <v>250</v>
      </c>
      <c r="G153" s="60">
        <v>29</v>
      </c>
      <c r="H153" s="60" t="s">
        <v>103</v>
      </c>
      <c r="I153" s="61" t="s">
        <v>104</v>
      </c>
      <c r="J153" s="61"/>
      <c r="K153" s="62" t="s">
        <v>530</v>
      </c>
      <c r="L153" s="63">
        <v>50000</v>
      </c>
      <c r="M153" s="60" t="s">
        <v>158</v>
      </c>
      <c r="N153" s="60" t="s">
        <v>105</v>
      </c>
      <c r="O153" s="60" t="s">
        <v>494</v>
      </c>
      <c r="P153" s="60" t="s">
        <v>40</v>
      </c>
      <c r="Q153" s="61">
        <v>37643</v>
      </c>
      <c r="R153" s="60" t="s">
        <v>107</v>
      </c>
      <c r="S153" s="64" t="s">
        <v>117</v>
      </c>
      <c r="T153" s="64">
        <v>3197421995</v>
      </c>
      <c r="U153" s="60" t="s">
        <v>501</v>
      </c>
      <c r="V153" s="65" t="str">
        <f>IF(P153=CURSOS!$D$3,"DIPLOMADO EN ATENCION PRE-HOSPITALARIA",IF(P153=CURSOS!$D$4,"ACOMPAÑAMIENTO Y MANEJO DEL DUELO",IF(P153=CURSOS!$D$5,"ATENCION A VICTIMAS DE ATAQUE CON AGENTES QUIMICOS ",IF(P153=CURSOS!$D$6,"PRIMEROS AUXILIOS ",IF(P153=CURSOS!$D$7,"DIPLOMADO DE UNIDAD DE CUIDADOS INTENSIVOS (UCI)",IF(P153=CURSOS!$D$8,"MODELO DE ATENCION PARA EVENTOS EMERGENTES EN SALUD MENTAL (CODIGO VERDE)",IF(P153=CURSOS!$D$9,"HUMANIZACION EN EL SERVICIO DE LA SALUD Y BUENAS PRACTICAS EN PACIENTE ",IF(P153=CURSOS!$D$10,"CLINICA DE HERIDAS ",IF(P153=CURSOS!$D$11,"TOMA DE CITOLOGIA CERVICO VAGINAL ",IF(P153=CURSOS!$D$12,"SOPORTE CARDIOVASCULAR AVANZADO (ACLS) ",IF(P153=CURSOS!$D$13,"CAMILLERO ",IF(P153=CURSOS!$D$14,"TOMA DE MUESTRAS Y LABORATORIO ",IF(P153=CURSOS!$D$15,"SOPORTE VITAL BASICO (BLS)",IF(P153=CURSOS!$D$16,"ATENCION A VICTIMAS DE VIOLENCIA SEXUAL ",IF(P153=CURSOS!$D$17,"PROGRAMADO AMPLIADO DE INMUNIZACION (PAI - COVID 19)",IF(P153=CURSOS!$D$18,"ATENCION INTEGRAL EN ENFERMEDADES PREVALENTES EN PRIMERA INFANCIA (AIEPI)",IF(P153=CURSOS!$D$19,"ADMINISTRACION DE MEDICAMENTOS, INYECTOLOGIA  Y CANALIZACION ",IF(P153=CURSOS!$D$20,"OPERADOR DE VEHICULOS DE EMERGENCIA (OVE)",IF(P153=CURSOS!$D$21,"INSTITUCIONES AMIGAS DE LA MUJER Y LA INFANCIA (IAMI)",IF(P153=CURSOS!$D$22,"CUIDADO DEL DONANTE DE ORGANOS",IF(P153=CURSOS!$D$23,"ATENCION A VICTIMAS POR VIOLENCIA DE GENERO",IF(P153=CURSOS!$D$24,"IGUALDAD DE GENERO EN LA SALUD",IF(P153=CURSOS!$D$25,"BRIGADA DE EMERGENCIA",IF(P153=CURSOS!$D$26,"MANEJO DEL DOLOR Y CUIDADOS PALIATIVOS",IF(P153=CURSOS!$D$27,"TOMA DE MUESTRAS Y LABORATORIO POCT",IF(P153=CURSOS!$D$28,"IMPLANTE SUBDERMICO DE DISPOSITIVO INTRAUTERINO",IF(P153=CURSOS!$D$29,"SALUD MENTAL",IF(P153=CURSOS!$D$30,"PRIMEROS AUXILIOS PSICOLOGICOS",IF(P153=CURSOS!$D$31,"ATENCION A VICTIMAS POR CONFLICTO ARMADO",IF(P153=CURSOS!$D$32,"MANIPULACION DE ALIMENTOS Y BPM",IF(P153=CURSOS!$D$33,"ATENCION A PERSONAS CON DISCAPACIDAD",IF(P153=CURSOS!$D$34,"CUIDADO INTEGRAL DEL PACIENTE ADULTO",IF(P153=CURSOS!$D$35,"MANEJO DEFENSIVO",IF(P153=CURSOS!$D$36,"SOPORTE CARDIOVASCULAR AVANZADO NEONATAL",IF(P153=CURSOS!$D$37,"SEGURIDAD DEL PACIENTE",IF(P153=CURSOS!$D$38,"MANEJO DE RESIDUOS HOSPITALARIOS"))))))))))))))))))))))))))))))))))))</f>
        <v xml:space="preserve">TOMA DE MUESTRAS Y LABORATORIO </v>
      </c>
      <c r="W153" s="65" t="str">
        <f t="shared" si="12"/>
        <v>Maria Fernanda Trejo Guerrero</v>
      </c>
      <c r="X153" s="65" t="str">
        <f t="shared" si="13"/>
        <v>Maria Fernanda Trejo Guerrero</v>
      </c>
      <c r="Y153" s="65" t="str">
        <f t="shared" si="14"/>
        <v>Maria Fernanda Trejo Guerrero-1004666550-TOMA DE MUESTRAS</v>
      </c>
    </row>
    <row r="154" spans="1:25" s="58" customFormat="1" x14ac:dyDescent="0.2">
      <c r="A154" s="59">
        <v>153</v>
      </c>
      <c r="B154" s="60">
        <v>1086225729</v>
      </c>
      <c r="C154" s="60" t="s">
        <v>491</v>
      </c>
      <c r="D154" s="60" t="s">
        <v>502</v>
      </c>
      <c r="E154" s="60" t="s">
        <v>503</v>
      </c>
      <c r="F154" s="60" t="s">
        <v>189</v>
      </c>
      <c r="G154" s="60">
        <v>29</v>
      </c>
      <c r="H154" s="60" t="s">
        <v>103</v>
      </c>
      <c r="I154" s="61" t="s">
        <v>104</v>
      </c>
      <c r="J154" s="61"/>
      <c r="K154" s="62" t="s">
        <v>530</v>
      </c>
      <c r="L154" s="63">
        <v>50000</v>
      </c>
      <c r="M154" s="60" t="s">
        <v>158</v>
      </c>
      <c r="N154" s="60" t="s">
        <v>105</v>
      </c>
      <c r="O154" s="60" t="s">
        <v>494</v>
      </c>
      <c r="P154" s="60" t="s">
        <v>40</v>
      </c>
      <c r="Q154" s="61">
        <v>36282</v>
      </c>
      <c r="R154" s="60" t="s">
        <v>107</v>
      </c>
      <c r="S154" s="64" t="s">
        <v>117</v>
      </c>
      <c r="T154" s="64">
        <v>3235098900</v>
      </c>
      <c r="U154" s="60" t="s">
        <v>504</v>
      </c>
      <c r="V154" s="65" t="str">
        <f>IF(P154=CURSOS!$D$3,"DIPLOMADO EN ATENCION PRE-HOSPITALARIA",IF(P154=CURSOS!$D$4,"ACOMPAÑAMIENTO Y MANEJO DEL DUELO",IF(P154=CURSOS!$D$5,"ATENCION A VICTIMAS DE ATAQUE CON AGENTES QUIMICOS ",IF(P154=CURSOS!$D$6,"PRIMEROS AUXILIOS ",IF(P154=CURSOS!$D$7,"DIPLOMADO DE UNIDAD DE CUIDADOS INTENSIVOS (UCI)",IF(P154=CURSOS!$D$8,"MODELO DE ATENCION PARA EVENTOS EMERGENTES EN SALUD MENTAL (CODIGO VERDE)",IF(P154=CURSOS!$D$9,"HUMANIZACION EN EL SERVICIO DE LA SALUD Y BUENAS PRACTICAS EN PACIENTE ",IF(P154=CURSOS!$D$10,"CLINICA DE HERIDAS ",IF(P154=CURSOS!$D$11,"TOMA DE CITOLOGIA CERVICO VAGINAL ",IF(P154=CURSOS!$D$12,"SOPORTE CARDIOVASCULAR AVANZADO (ACLS) ",IF(P154=CURSOS!$D$13,"CAMILLERO ",IF(P154=CURSOS!$D$14,"TOMA DE MUESTRAS Y LABORATORIO ",IF(P154=CURSOS!$D$15,"SOPORTE VITAL BASICO (BLS)",IF(P154=CURSOS!$D$16,"ATENCION A VICTIMAS DE VIOLENCIA SEXUAL ",IF(P154=CURSOS!$D$17,"PROGRAMADO AMPLIADO DE INMUNIZACION (PAI - COVID 19)",IF(P154=CURSOS!$D$18,"ATENCION INTEGRAL EN ENFERMEDADES PREVALENTES EN PRIMERA INFANCIA (AIEPI)",IF(P154=CURSOS!$D$19,"ADMINISTRACION DE MEDICAMENTOS, INYECTOLOGIA  Y CANALIZACION ",IF(P154=CURSOS!$D$20,"OPERADOR DE VEHICULOS DE EMERGENCIA (OVE)",IF(P154=CURSOS!$D$21,"INSTITUCIONES AMIGAS DE LA MUJER Y LA INFANCIA (IAMI)",IF(P154=CURSOS!$D$22,"CUIDADO DEL DONANTE DE ORGANOS",IF(P154=CURSOS!$D$23,"ATENCION A VICTIMAS POR VIOLENCIA DE GENERO",IF(P154=CURSOS!$D$24,"IGUALDAD DE GENERO EN LA SALUD",IF(P154=CURSOS!$D$25,"BRIGADA DE EMERGENCIA",IF(P154=CURSOS!$D$26,"MANEJO DEL DOLOR Y CUIDADOS PALIATIVOS",IF(P154=CURSOS!$D$27,"TOMA DE MUESTRAS Y LABORATORIO POCT",IF(P154=CURSOS!$D$28,"IMPLANTE SUBDERMICO DE DISPOSITIVO INTRAUTERINO",IF(P154=CURSOS!$D$29,"SALUD MENTAL",IF(P154=CURSOS!$D$30,"PRIMEROS AUXILIOS PSICOLOGICOS",IF(P154=CURSOS!$D$31,"ATENCION A VICTIMAS POR CONFLICTO ARMADO",IF(P154=CURSOS!$D$32,"MANIPULACION DE ALIMENTOS Y BPM",IF(P154=CURSOS!$D$33,"ATENCION A PERSONAS CON DISCAPACIDAD",IF(P154=CURSOS!$D$34,"CUIDADO INTEGRAL DEL PACIENTE ADULTO",IF(P154=CURSOS!$D$35,"MANEJO DEFENSIVO",IF(P154=CURSOS!$D$36,"SOPORTE CARDIOVASCULAR AVANZADO NEONATAL",IF(P154=CURSOS!$D$37,"SEGURIDAD DEL PACIENTE",IF(P154=CURSOS!$D$38,"MANEJO DE RESIDUOS HOSPITALARIOS"))))))))))))))))))))))))))))))))))))</f>
        <v xml:space="preserve">TOMA DE MUESTRAS Y LABORATORIO </v>
      </c>
      <c r="W154" s="65" t="str">
        <f t="shared" si="12"/>
        <v>Lisbeth Adriana Urbina Carlosama</v>
      </c>
      <c r="X154" s="65" t="str">
        <f t="shared" si="13"/>
        <v>Lisbeth Adriana Urbina Carlosama</v>
      </c>
      <c r="Y154" s="65" t="str">
        <f t="shared" si="14"/>
        <v>Lisbeth Adriana Urbina Carlosama-1086225729-TOMA DE MUESTRAS</v>
      </c>
    </row>
    <row r="155" spans="1:25" s="58" customFormat="1" x14ac:dyDescent="0.2">
      <c r="A155" s="59">
        <v>154</v>
      </c>
      <c r="B155" s="60">
        <v>1004542680</v>
      </c>
      <c r="C155" s="60" t="s">
        <v>238</v>
      </c>
      <c r="D155" s="60" t="s">
        <v>505</v>
      </c>
      <c r="E155" s="60" t="s">
        <v>506</v>
      </c>
      <c r="F155" s="60" t="s">
        <v>336</v>
      </c>
      <c r="G155" s="60">
        <v>29</v>
      </c>
      <c r="H155" s="60" t="s">
        <v>103</v>
      </c>
      <c r="I155" s="61" t="s">
        <v>104</v>
      </c>
      <c r="J155" s="61"/>
      <c r="K155" s="62" t="s">
        <v>531</v>
      </c>
      <c r="L155" s="63">
        <v>50000</v>
      </c>
      <c r="M155" s="60" t="s">
        <v>158</v>
      </c>
      <c r="N155" s="60" t="s">
        <v>105</v>
      </c>
      <c r="O155" s="60" t="s">
        <v>494</v>
      </c>
      <c r="P155" s="60" t="s">
        <v>40</v>
      </c>
      <c r="Q155" s="61">
        <v>37023</v>
      </c>
      <c r="R155" s="60" t="s">
        <v>107</v>
      </c>
      <c r="S155" s="64" t="s">
        <v>117</v>
      </c>
      <c r="T155" s="64">
        <v>3218575825</v>
      </c>
      <c r="U155" s="60" t="s">
        <v>507</v>
      </c>
      <c r="V155" s="65" t="str">
        <f>IF(P155=CURSOS!$D$3,"DIPLOMADO EN ATENCION PRE-HOSPITALARIA",IF(P155=CURSOS!$D$4,"ACOMPAÑAMIENTO Y MANEJO DEL DUELO",IF(P155=CURSOS!$D$5,"ATENCION A VICTIMAS DE ATAQUE CON AGENTES QUIMICOS ",IF(P155=CURSOS!$D$6,"PRIMEROS AUXILIOS ",IF(P155=CURSOS!$D$7,"DIPLOMADO DE UNIDAD DE CUIDADOS INTENSIVOS (UCI)",IF(P155=CURSOS!$D$8,"MODELO DE ATENCION PARA EVENTOS EMERGENTES EN SALUD MENTAL (CODIGO VERDE)",IF(P155=CURSOS!$D$9,"HUMANIZACION EN EL SERVICIO DE LA SALUD Y BUENAS PRACTICAS EN PACIENTE ",IF(P155=CURSOS!$D$10,"CLINICA DE HERIDAS ",IF(P155=CURSOS!$D$11,"TOMA DE CITOLOGIA CERVICO VAGINAL ",IF(P155=CURSOS!$D$12,"SOPORTE CARDIOVASCULAR AVANZADO (ACLS) ",IF(P155=CURSOS!$D$13,"CAMILLERO ",IF(P155=CURSOS!$D$14,"TOMA DE MUESTRAS Y LABORATORIO ",IF(P155=CURSOS!$D$15,"SOPORTE VITAL BASICO (BLS)",IF(P155=CURSOS!$D$16,"ATENCION A VICTIMAS DE VIOLENCIA SEXUAL ",IF(P155=CURSOS!$D$17,"PROGRAMADO AMPLIADO DE INMUNIZACION (PAI - COVID 19)",IF(P155=CURSOS!$D$18,"ATENCION INTEGRAL EN ENFERMEDADES PREVALENTES EN PRIMERA INFANCIA (AIEPI)",IF(P155=CURSOS!$D$19,"ADMINISTRACION DE MEDICAMENTOS, INYECTOLOGIA  Y CANALIZACION ",IF(P155=CURSOS!$D$20,"OPERADOR DE VEHICULOS DE EMERGENCIA (OVE)",IF(P155=CURSOS!$D$21,"INSTITUCIONES AMIGAS DE LA MUJER Y LA INFANCIA (IAMI)",IF(P155=CURSOS!$D$22,"CUIDADO DEL DONANTE DE ORGANOS",IF(P155=CURSOS!$D$23,"ATENCION A VICTIMAS POR VIOLENCIA DE GENERO",IF(P155=CURSOS!$D$24,"IGUALDAD DE GENERO EN LA SALUD",IF(P155=CURSOS!$D$25,"BRIGADA DE EMERGENCIA",IF(P155=CURSOS!$D$26,"MANEJO DEL DOLOR Y CUIDADOS PALIATIVOS",IF(P155=CURSOS!$D$27,"TOMA DE MUESTRAS Y LABORATORIO POCT",IF(P155=CURSOS!$D$28,"IMPLANTE SUBDERMICO DE DISPOSITIVO INTRAUTERINO",IF(P155=CURSOS!$D$29,"SALUD MENTAL",IF(P155=CURSOS!$D$30,"PRIMEROS AUXILIOS PSICOLOGICOS",IF(P155=CURSOS!$D$31,"ATENCION A VICTIMAS POR CONFLICTO ARMADO",IF(P155=CURSOS!$D$32,"MANIPULACION DE ALIMENTOS Y BPM",IF(P155=CURSOS!$D$33,"ATENCION A PERSONAS CON DISCAPACIDAD",IF(P155=CURSOS!$D$34,"CUIDADO INTEGRAL DEL PACIENTE ADULTO",IF(P155=CURSOS!$D$35,"MANEJO DEFENSIVO",IF(P155=CURSOS!$D$36,"SOPORTE CARDIOVASCULAR AVANZADO NEONATAL",IF(P155=CURSOS!$D$37,"SEGURIDAD DEL PACIENTE",IF(P155=CURSOS!$D$38,"MANEJO DE RESIDUOS HOSPITALARIOS"))))))))))))))))))))))))))))))))))))</f>
        <v xml:space="preserve">TOMA DE MUESTRAS Y LABORATORIO </v>
      </c>
      <c r="W155" s="65" t="str">
        <f t="shared" si="12"/>
        <v>Johana Elizabeth Guerrero Morillo</v>
      </c>
      <c r="X155" s="65" t="str">
        <f t="shared" si="13"/>
        <v>Johana Elizabeth Guerrero Morillo</v>
      </c>
      <c r="Y155" s="65" t="str">
        <f t="shared" si="14"/>
        <v>Johana Elizabeth Guerrero Morillo-1004542680-TOMA DE MUESTRAS</v>
      </c>
    </row>
    <row r="156" spans="1:25" s="58" customFormat="1" x14ac:dyDescent="0.2">
      <c r="A156" s="59">
        <v>155</v>
      </c>
      <c r="B156" s="60">
        <v>1004542792</v>
      </c>
      <c r="C156" s="60" t="s">
        <v>508</v>
      </c>
      <c r="D156" s="60" t="s">
        <v>150</v>
      </c>
      <c r="E156" s="60" t="s">
        <v>509</v>
      </c>
      <c r="F156" s="60" t="s">
        <v>506</v>
      </c>
      <c r="G156" s="60">
        <v>29</v>
      </c>
      <c r="H156" s="60" t="s">
        <v>103</v>
      </c>
      <c r="I156" s="61" t="s">
        <v>104</v>
      </c>
      <c r="J156" s="61"/>
      <c r="K156" s="62" t="s">
        <v>531</v>
      </c>
      <c r="L156" s="63">
        <v>50000</v>
      </c>
      <c r="M156" s="60" t="s">
        <v>158</v>
      </c>
      <c r="N156" s="60" t="s">
        <v>105</v>
      </c>
      <c r="O156" s="60" t="s">
        <v>494</v>
      </c>
      <c r="P156" s="60" t="s">
        <v>40</v>
      </c>
      <c r="Q156" s="61">
        <v>37493</v>
      </c>
      <c r="R156" s="60" t="s">
        <v>107</v>
      </c>
      <c r="S156" s="60" t="s">
        <v>117</v>
      </c>
      <c r="T156" s="60">
        <v>3234588598</v>
      </c>
      <c r="U156" s="60" t="s">
        <v>510</v>
      </c>
      <c r="V156" s="65" t="str">
        <f>IF(P156=CURSOS!$D$3,"DIPLOMADO EN ATENCION PRE-HOSPITALARIA",IF(P156=CURSOS!$D$4,"ACOMPAÑAMIENTO Y MANEJO DEL DUELO",IF(P156=CURSOS!$D$5,"ATENCION A VICTIMAS DE ATAQUE CON AGENTES QUIMICOS ",IF(P156=CURSOS!$D$6,"PRIMEROS AUXILIOS ",IF(P156=CURSOS!$D$7,"DIPLOMADO DE UNIDAD DE CUIDADOS INTENSIVOS (UCI)",IF(P156=CURSOS!$D$8,"MODELO DE ATENCION PARA EVENTOS EMERGENTES EN SALUD MENTAL (CODIGO VERDE)",IF(P156=CURSOS!$D$9,"HUMANIZACION EN EL SERVICIO DE LA SALUD Y BUENAS PRACTICAS EN PACIENTE ",IF(P156=CURSOS!$D$10,"CLINICA DE HERIDAS ",IF(P156=CURSOS!$D$11,"TOMA DE CITOLOGIA CERVICO VAGINAL ",IF(P156=CURSOS!$D$12,"SOPORTE CARDIOVASCULAR AVANZADO (ACLS) ",IF(P156=CURSOS!$D$13,"CAMILLERO ",IF(P156=CURSOS!$D$14,"TOMA DE MUESTRAS Y LABORATORIO ",IF(P156=CURSOS!$D$15,"SOPORTE VITAL BASICO (BLS)",IF(P156=CURSOS!$D$16,"ATENCION A VICTIMAS DE VIOLENCIA SEXUAL ",IF(P156=CURSOS!$D$17,"PROGRAMADO AMPLIADO DE INMUNIZACION (PAI - COVID 19)",IF(P156=CURSOS!$D$18,"ATENCION INTEGRAL EN ENFERMEDADES PREVALENTES EN PRIMERA INFANCIA (AIEPI)",IF(P156=CURSOS!$D$19,"ADMINISTRACION DE MEDICAMENTOS, INYECTOLOGIA  Y CANALIZACION ",IF(P156=CURSOS!$D$20,"OPERADOR DE VEHICULOS DE EMERGENCIA (OVE)",IF(P156=CURSOS!$D$21,"INSTITUCIONES AMIGAS DE LA MUJER Y LA INFANCIA (IAMI)",IF(P156=CURSOS!$D$22,"CUIDADO DEL DONANTE DE ORGANOS",IF(P156=CURSOS!$D$23,"ATENCION A VICTIMAS POR VIOLENCIA DE GENERO",IF(P156=CURSOS!$D$24,"IGUALDAD DE GENERO EN LA SALUD",IF(P156=CURSOS!$D$25,"BRIGADA DE EMERGENCIA",IF(P156=CURSOS!$D$26,"MANEJO DEL DOLOR Y CUIDADOS PALIATIVOS",IF(P156=CURSOS!$D$27,"TOMA DE MUESTRAS Y LABORATORIO POCT",IF(P156=CURSOS!$D$28,"IMPLANTE SUBDERMICO DE DISPOSITIVO INTRAUTERINO",IF(P156=CURSOS!$D$29,"SALUD MENTAL",IF(P156=CURSOS!$D$30,"PRIMEROS AUXILIOS PSICOLOGICOS",IF(P156=CURSOS!$D$31,"ATENCION A VICTIMAS POR CONFLICTO ARMADO",IF(P156=CURSOS!$D$32,"MANIPULACION DE ALIMENTOS Y BPM",IF(P156=CURSOS!$D$33,"ATENCION A PERSONAS CON DISCAPACIDAD",IF(P156=CURSOS!$D$34,"CUIDADO INTEGRAL DEL PACIENTE ADULTO",IF(P156=CURSOS!$D$35,"MANEJO DEFENSIVO",IF(P156=CURSOS!$D$36,"SOPORTE CARDIOVASCULAR AVANZADO NEONATAL",IF(P156=CURSOS!$D$37,"SEGURIDAD DEL PACIENTE",IF(P156=CURSOS!$D$38,"MANEJO DE RESIDUOS HOSPITALARIOS"))))))))))))))))))))))))))))))))))))</f>
        <v xml:space="preserve">TOMA DE MUESTRAS Y LABORATORIO </v>
      </c>
      <c r="W156" s="65" t="str">
        <f t="shared" si="12"/>
        <v>Damaris Johana Palacios Rosero</v>
      </c>
      <c r="X156" s="65" t="str">
        <f t="shared" si="13"/>
        <v>Damaris Johana Palacios Rosero</v>
      </c>
      <c r="Y156" s="65" t="str">
        <f t="shared" si="14"/>
        <v>Damaris Johana Palacios Rosero-1004542792-TOMA DE MUESTRAS</v>
      </c>
    </row>
    <row r="157" spans="1:25" s="58" customFormat="1" x14ac:dyDescent="0.2">
      <c r="A157" s="59">
        <v>156</v>
      </c>
      <c r="B157" s="60">
        <v>1004542654</v>
      </c>
      <c r="C157" s="60" t="s">
        <v>511</v>
      </c>
      <c r="D157" s="60" t="s">
        <v>238</v>
      </c>
      <c r="E157" s="60" t="s">
        <v>387</v>
      </c>
      <c r="F157" s="60" t="s">
        <v>506</v>
      </c>
      <c r="G157" s="60">
        <v>29</v>
      </c>
      <c r="H157" s="60" t="s">
        <v>103</v>
      </c>
      <c r="I157" s="61" t="s">
        <v>104</v>
      </c>
      <c r="J157" s="61"/>
      <c r="K157" s="62" t="s">
        <v>530</v>
      </c>
      <c r="L157" s="63">
        <v>50000</v>
      </c>
      <c r="M157" s="60" t="s">
        <v>158</v>
      </c>
      <c r="N157" s="60" t="s">
        <v>105</v>
      </c>
      <c r="O157" s="60" t="s">
        <v>494</v>
      </c>
      <c r="P157" s="60" t="s">
        <v>40</v>
      </c>
      <c r="Q157" s="61">
        <v>36981</v>
      </c>
      <c r="R157" s="60" t="s">
        <v>107</v>
      </c>
      <c r="S157" s="60" t="s">
        <v>117</v>
      </c>
      <c r="T157" s="60">
        <v>3217509011</v>
      </c>
      <c r="U157" s="60" t="s">
        <v>512</v>
      </c>
      <c r="V157" s="65" t="str">
        <f>IF(P157=CURSOS!$D$3,"DIPLOMADO EN ATENCION PRE-HOSPITALARIA",IF(P157=CURSOS!$D$4,"ACOMPAÑAMIENTO Y MANEJO DEL DUELO",IF(P157=CURSOS!$D$5,"ATENCION A VICTIMAS DE ATAQUE CON AGENTES QUIMICOS ",IF(P157=CURSOS!$D$6,"PRIMEROS AUXILIOS ",IF(P157=CURSOS!$D$7,"DIPLOMADO DE UNIDAD DE CUIDADOS INTENSIVOS (UCI)",IF(P157=CURSOS!$D$8,"MODELO DE ATENCION PARA EVENTOS EMERGENTES EN SALUD MENTAL (CODIGO VERDE)",IF(P157=CURSOS!$D$9,"HUMANIZACION EN EL SERVICIO DE LA SALUD Y BUENAS PRACTICAS EN PACIENTE ",IF(P157=CURSOS!$D$10,"CLINICA DE HERIDAS ",IF(P157=CURSOS!$D$11,"TOMA DE CITOLOGIA CERVICO VAGINAL ",IF(P157=CURSOS!$D$12,"SOPORTE CARDIOVASCULAR AVANZADO (ACLS) ",IF(P157=CURSOS!$D$13,"CAMILLERO ",IF(P157=CURSOS!$D$14,"TOMA DE MUESTRAS Y LABORATORIO ",IF(P157=CURSOS!$D$15,"SOPORTE VITAL BASICO (BLS)",IF(P157=CURSOS!$D$16,"ATENCION A VICTIMAS DE VIOLENCIA SEXUAL ",IF(P157=CURSOS!$D$17,"PROGRAMADO AMPLIADO DE INMUNIZACION (PAI - COVID 19)",IF(P157=CURSOS!$D$18,"ATENCION INTEGRAL EN ENFERMEDADES PREVALENTES EN PRIMERA INFANCIA (AIEPI)",IF(P157=CURSOS!$D$19,"ADMINISTRACION DE MEDICAMENTOS, INYECTOLOGIA  Y CANALIZACION ",IF(P157=CURSOS!$D$20,"OPERADOR DE VEHICULOS DE EMERGENCIA (OVE)",IF(P157=CURSOS!$D$21,"INSTITUCIONES AMIGAS DE LA MUJER Y LA INFANCIA (IAMI)",IF(P157=CURSOS!$D$22,"CUIDADO DEL DONANTE DE ORGANOS",IF(P157=CURSOS!$D$23,"ATENCION A VICTIMAS POR VIOLENCIA DE GENERO",IF(P157=CURSOS!$D$24,"IGUALDAD DE GENERO EN LA SALUD",IF(P157=CURSOS!$D$25,"BRIGADA DE EMERGENCIA",IF(P157=CURSOS!$D$26,"MANEJO DEL DOLOR Y CUIDADOS PALIATIVOS",IF(P157=CURSOS!$D$27,"TOMA DE MUESTRAS Y LABORATORIO POCT",IF(P157=CURSOS!$D$28,"IMPLANTE SUBDERMICO DE DISPOSITIVO INTRAUTERINO",IF(P157=CURSOS!$D$29,"SALUD MENTAL",IF(P157=CURSOS!$D$30,"PRIMEROS AUXILIOS PSICOLOGICOS",IF(P157=CURSOS!$D$31,"ATENCION A VICTIMAS POR CONFLICTO ARMADO",IF(P157=CURSOS!$D$32,"MANIPULACION DE ALIMENTOS Y BPM",IF(P157=CURSOS!$D$33,"ATENCION A PERSONAS CON DISCAPACIDAD",IF(P157=CURSOS!$D$34,"CUIDADO INTEGRAL DEL PACIENTE ADULTO",IF(P157=CURSOS!$D$35,"MANEJO DEFENSIVO",IF(P157=CURSOS!$D$36,"SOPORTE CARDIOVASCULAR AVANZADO NEONATAL",IF(P157=CURSOS!$D$37,"SEGURIDAD DEL PACIENTE",IF(P157=CURSOS!$D$38,"MANEJO DE RESIDUOS HOSPITALARIOS"))))))))))))))))))))))))))))))))))))</f>
        <v xml:space="preserve">TOMA DE MUESTRAS Y LABORATORIO </v>
      </c>
      <c r="W157" s="65" t="str">
        <f t="shared" si="12"/>
        <v>Leidy Johana Madroñero Guerrero</v>
      </c>
      <c r="X157" s="65" t="str">
        <f t="shared" si="13"/>
        <v>Leidy Johana Madroñero Guerrero</v>
      </c>
      <c r="Y157" s="65" t="str">
        <f t="shared" si="14"/>
        <v>Leidy Johana Madroñero Guerrero-1004542654-TOMA DE MUESTRAS</v>
      </c>
    </row>
    <row r="158" spans="1:25" s="58" customFormat="1" x14ac:dyDescent="0.2">
      <c r="A158" s="59">
        <v>157</v>
      </c>
      <c r="B158" s="60">
        <v>1085275536</v>
      </c>
      <c r="C158" s="60" t="s">
        <v>513</v>
      </c>
      <c r="D158" s="60" t="s">
        <v>514</v>
      </c>
      <c r="E158" s="60" t="s">
        <v>515</v>
      </c>
      <c r="F158" s="60" t="s">
        <v>516</v>
      </c>
      <c r="G158" s="60">
        <v>29</v>
      </c>
      <c r="H158" s="60" t="s">
        <v>103</v>
      </c>
      <c r="I158" s="61" t="s">
        <v>104</v>
      </c>
      <c r="J158" s="61"/>
      <c r="K158" s="62" t="s">
        <v>531</v>
      </c>
      <c r="L158" s="63">
        <v>50000</v>
      </c>
      <c r="M158" s="60" t="s">
        <v>158</v>
      </c>
      <c r="N158" s="60" t="s">
        <v>105</v>
      </c>
      <c r="O158" s="60" t="s">
        <v>494</v>
      </c>
      <c r="P158" s="60" t="s">
        <v>40</v>
      </c>
      <c r="Q158" s="61">
        <v>32745</v>
      </c>
      <c r="R158" s="60" t="s">
        <v>107</v>
      </c>
      <c r="S158" s="64" t="s">
        <v>117</v>
      </c>
      <c r="T158" s="60">
        <v>3217677876</v>
      </c>
      <c r="U158" s="60" t="s">
        <v>517</v>
      </c>
      <c r="V158" s="65" t="str">
        <f>IF(P158=CURSOS!$D$3,"DIPLOMADO EN ATENCION PRE-HOSPITALARIA",IF(P158=CURSOS!$D$4,"ACOMPAÑAMIENTO Y MANEJO DEL DUELO",IF(P158=CURSOS!$D$5,"ATENCION A VICTIMAS DE ATAQUE CON AGENTES QUIMICOS ",IF(P158=CURSOS!$D$6,"PRIMEROS AUXILIOS ",IF(P158=CURSOS!$D$7,"DIPLOMADO DE UNIDAD DE CUIDADOS INTENSIVOS (UCI)",IF(P158=CURSOS!$D$8,"MODELO DE ATENCION PARA EVENTOS EMERGENTES EN SALUD MENTAL (CODIGO VERDE)",IF(P158=CURSOS!$D$9,"HUMANIZACION EN EL SERVICIO DE LA SALUD Y BUENAS PRACTICAS EN PACIENTE ",IF(P158=CURSOS!$D$10,"CLINICA DE HERIDAS ",IF(P158=CURSOS!$D$11,"TOMA DE CITOLOGIA CERVICO VAGINAL ",IF(P158=CURSOS!$D$12,"SOPORTE CARDIOVASCULAR AVANZADO (ACLS) ",IF(P158=CURSOS!$D$13,"CAMILLERO ",IF(P158=CURSOS!$D$14,"TOMA DE MUESTRAS Y LABORATORIO ",IF(P158=CURSOS!$D$15,"SOPORTE VITAL BASICO (BLS)",IF(P158=CURSOS!$D$16,"ATENCION A VICTIMAS DE VIOLENCIA SEXUAL ",IF(P158=CURSOS!$D$17,"PROGRAMADO AMPLIADO DE INMUNIZACION (PAI - COVID 19)",IF(P158=CURSOS!$D$18,"ATENCION INTEGRAL EN ENFERMEDADES PREVALENTES EN PRIMERA INFANCIA (AIEPI)",IF(P158=CURSOS!$D$19,"ADMINISTRACION DE MEDICAMENTOS, INYECTOLOGIA  Y CANALIZACION ",IF(P158=CURSOS!$D$20,"OPERADOR DE VEHICULOS DE EMERGENCIA (OVE)",IF(P158=CURSOS!$D$21,"INSTITUCIONES AMIGAS DE LA MUJER Y LA INFANCIA (IAMI)",IF(P158=CURSOS!$D$22,"CUIDADO DEL DONANTE DE ORGANOS",IF(P158=CURSOS!$D$23,"ATENCION A VICTIMAS POR VIOLENCIA DE GENERO",IF(P158=CURSOS!$D$24,"IGUALDAD DE GENERO EN LA SALUD",IF(P158=CURSOS!$D$25,"BRIGADA DE EMERGENCIA",IF(P158=CURSOS!$D$26,"MANEJO DEL DOLOR Y CUIDADOS PALIATIVOS",IF(P158=CURSOS!$D$27,"TOMA DE MUESTRAS Y LABORATORIO POCT",IF(P158=CURSOS!$D$28,"IMPLANTE SUBDERMICO DE DISPOSITIVO INTRAUTERINO",IF(P158=CURSOS!$D$29,"SALUD MENTAL",IF(P158=CURSOS!$D$30,"PRIMEROS AUXILIOS PSICOLOGICOS",IF(P158=CURSOS!$D$31,"ATENCION A VICTIMAS POR CONFLICTO ARMADO",IF(P158=CURSOS!$D$32,"MANIPULACION DE ALIMENTOS Y BPM",IF(P158=CURSOS!$D$33,"ATENCION A PERSONAS CON DISCAPACIDAD",IF(P158=CURSOS!$D$34,"CUIDADO INTEGRAL DEL PACIENTE ADULTO",IF(P158=CURSOS!$D$35,"MANEJO DEFENSIVO",IF(P158=CURSOS!$D$36,"SOPORTE CARDIOVASCULAR AVANZADO NEONATAL",IF(P158=CURSOS!$D$37,"SEGURIDAD DEL PACIENTE",IF(P158=CURSOS!$D$38,"MANEJO DE RESIDUOS HOSPITALARIOS"))))))))))))))))))))))))))))))))))))</f>
        <v xml:space="preserve">TOMA DE MUESTRAS Y LABORATORIO </v>
      </c>
      <c r="W158" s="65" t="str">
        <f t="shared" si="12"/>
        <v>July Paulina Caez Maigual</v>
      </c>
      <c r="X158" s="65" t="str">
        <f t="shared" si="13"/>
        <v>July Paulina Caez Maigual</v>
      </c>
      <c r="Y158" s="65" t="str">
        <f t="shared" si="14"/>
        <v>July Paulina Caez Maigual-1085275536-TOMA DE MUESTRAS</v>
      </c>
    </row>
    <row r="159" spans="1:25" s="58" customFormat="1" x14ac:dyDescent="0.2">
      <c r="A159" s="59">
        <v>158</v>
      </c>
      <c r="B159" s="60">
        <v>1085311670</v>
      </c>
      <c r="C159" s="60" t="s">
        <v>518</v>
      </c>
      <c r="D159" s="60" t="s">
        <v>519</v>
      </c>
      <c r="E159" s="60" t="s">
        <v>520</v>
      </c>
      <c r="F159" s="60" t="s">
        <v>521</v>
      </c>
      <c r="G159" s="60">
        <v>29</v>
      </c>
      <c r="H159" s="60" t="s">
        <v>103</v>
      </c>
      <c r="I159" s="61" t="s">
        <v>104</v>
      </c>
      <c r="J159" s="61"/>
      <c r="K159" s="62" t="s">
        <v>530</v>
      </c>
      <c r="L159" s="63">
        <v>50000</v>
      </c>
      <c r="M159" s="60" t="s">
        <v>158</v>
      </c>
      <c r="N159" s="60" t="s">
        <v>105</v>
      </c>
      <c r="O159" s="60" t="s">
        <v>494</v>
      </c>
      <c r="P159" s="60" t="s">
        <v>40</v>
      </c>
      <c r="Q159" s="61">
        <v>34425</v>
      </c>
      <c r="R159" s="60" t="s">
        <v>107</v>
      </c>
      <c r="S159" s="60" t="s">
        <v>117</v>
      </c>
      <c r="T159" s="60">
        <v>3127611703</v>
      </c>
      <c r="U159" s="60" t="s">
        <v>522</v>
      </c>
      <c r="V159" s="65" t="str">
        <f>IF(P159=CURSOS!$D$3,"DIPLOMADO EN ATENCION PRE-HOSPITALARIA",IF(P159=CURSOS!$D$4,"ACOMPAÑAMIENTO Y MANEJO DEL DUELO",IF(P159=CURSOS!$D$5,"ATENCION A VICTIMAS DE ATAQUE CON AGENTES QUIMICOS ",IF(P159=CURSOS!$D$6,"PRIMEROS AUXILIOS ",IF(P159=CURSOS!$D$7,"DIPLOMADO DE UNIDAD DE CUIDADOS INTENSIVOS (UCI)",IF(P159=CURSOS!$D$8,"MODELO DE ATENCION PARA EVENTOS EMERGENTES EN SALUD MENTAL (CODIGO VERDE)",IF(P159=CURSOS!$D$9,"HUMANIZACION EN EL SERVICIO DE LA SALUD Y BUENAS PRACTICAS EN PACIENTE ",IF(P159=CURSOS!$D$10,"CLINICA DE HERIDAS ",IF(P159=CURSOS!$D$11,"TOMA DE CITOLOGIA CERVICO VAGINAL ",IF(P159=CURSOS!$D$12,"SOPORTE CARDIOVASCULAR AVANZADO (ACLS) ",IF(P159=CURSOS!$D$13,"CAMILLERO ",IF(P159=CURSOS!$D$14,"TOMA DE MUESTRAS Y LABORATORIO ",IF(P159=CURSOS!$D$15,"SOPORTE VITAL BASICO (BLS)",IF(P159=CURSOS!$D$16,"ATENCION A VICTIMAS DE VIOLENCIA SEXUAL ",IF(P159=CURSOS!$D$17,"PROGRAMADO AMPLIADO DE INMUNIZACION (PAI - COVID 19)",IF(P159=CURSOS!$D$18,"ATENCION INTEGRAL EN ENFERMEDADES PREVALENTES EN PRIMERA INFANCIA (AIEPI)",IF(P159=CURSOS!$D$19,"ADMINISTRACION DE MEDICAMENTOS, INYECTOLOGIA  Y CANALIZACION ",IF(P159=CURSOS!$D$20,"OPERADOR DE VEHICULOS DE EMERGENCIA (OVE)",IF(P159=CURSOS!$D$21,"INSTITUCIONES AMIGAS DE LA MUJER Y LA INFANCIA (IAMI)",IF(P159=CURSOS!$D$22,"CUIDADO DEL DONANTE DE ORGANOS",IF(P159=CURSOS!$D$23,"ATENCION A VICTIMAS POR VIOLENCIA DE GENERO",IF(P159=CURSOS!$D$24,"IGUALDAD DE GENERO EN LA SALUD",IF(P159=CURSOS!$D$25,"BRIGADA DE EMERGENCIA",IF(P159=CURSOS!$D$26,"MANEJO DEL DOLOR Y CUIDADOS PALIATIVOS",IF(P159=CURSOS!$D$27,"TOMA DE MUESTRAS Y LABORATORIO POCT",IF(P159=CURSOS!$D$28,"IMPLANTE SUBDERMICO DE DISPOSITIVO INTRAUTERINO",IF(P159=CURSOS!$D$29,"SALUD MENTAL",IF(P159=CURSOS!$D$30,"PRIMEROS AUXILIOS PSICOLOGICOS",IF(P159=CURSOS!$D$31,"ATENCION A VICTIMAS POR CONFLICTO ARMADO",IF(P159=CURSOS!$D$32,"MANIPULACION DE ALIMENTOS Y BPM",IF(P159=CURSOS!$D$33,"ATENCION A PERSONAS CON DISCAPACIDAD",IF(P159=CURSOS!$D$34,"CUIDADO INTEGRAL DEL PACIENTE ADULTO",IF(P159=CURSOS!$D$35,"MANEJO DEFENSIVO",IF(P159=CURSOS!$D$36,"SOPORTE CARDIOVASCULAR AVANZADO NEONATAL",IF(P159=CURSOS!$D$37,"SEGURIDAD DEL PACIENTE",IF(P159=CURSOS!$D$38,"MANEJO DE RESIDUOS HOSPITALARIOS"))))))))))))))))))))))))))))))))))))</f>
        <v xml:space="preserve">TOMA DE MUESTRAS Y LABORATORIO </v>
      </c>
      <c r="W159" s="65" t="str">
        <f t="shared" si="12"/>
        <v>Cindy Natalia Canchala Bonilla</v>
      </c>
      <c r="X159" s="65" t="str">
        <f t="shared" si="13"/>
        <v>Cindy Natalia Canchala Bonilla</v>
      </c>
      <c r="Y159" s="65" t="str">
        <f t="shared" si="14"/>
        <v>Cindy Natalia Canchala Bonilla-1085311670-TOMA DE MUESTRAS</v>
      </c>
    </row>
    <row r="160" spans="1:25" s="58" customFormat="1" x14ac:dyDescent="0.2">
      <c r="A160" s="59">
        <v>159</v>
      </c>
      <c r="B160" s="60">
        <v>1004542792</v>
      </c>
      <c r="C160" s="60" t="s">
        <v>150</v>
      </c>
      <c r="D160" s="60" t="s">
        <v>150</v>
      </c>
      <c r="E160" s="60" t="s">
        <v>509</v>
      </c>
      <c r="F160" s="60" t="s">
        <v>506</v>
      </c>
      <c r="G160" s="60">
        <v>29</v>
      </c>
      <c r="H160" s="60" t="s">
        <v>103</v>
      </c>
      <c r="I160" s="61" t="s">
        <v>104</v>
      </c>
      <c r="J160" s="61"/>
      <c r="K160" s="62">
        <v>45745</v>
      </c>
      <c r="L160" s="63">
        <v>80000</v>
      </c>
      <c r="M160" s="60" t="s">
        <v>159</v>
      </c>
      <c r="N160" s="60" t="s">
        <v>105</v>
      </c>
      <c r="O160" s="60" t="s">
        <v>494</v>
      </c>
      <c r="P160" s="60" t="s">
        <v>19</v>
      </c>
      <c r="Q160" s="61">
        <v>37493</v>
      </c>
      <c r="R160" s="60" t="s">
        <v>107</v>
      </c>
      <c r="S160" s="60" t="s">
        <v>117</v>
      </c>
      <c r="T160" s="60">
        <v>3234588598</v>
      </c>
      <c r="U160" s="60" t="s">
        <v>510</v>
      </c>
      <c r="V160" s="65" t="str">
        <f>IF(P160=CURSOS!$D$3,"DIPLOMADO EN ATENCION PRE-HOSPITALARIA",IF(P160=CURSOS!$D$4,"ACOMPAÑAMIENTO Y MANEJO DEL DUELO",IF(P160=CURSOS!$D$5,"ATENCION A VICTIMAS DE ATAQUE CON AGENTES QUIMICOS ",IF(P160=CURSOS!$D$6,"PRIMEROS AUXILIOS ",IF(P160=CURSOS!$D$7,"DIPLOMADO DE UNIDAD DE CUIDADOS INTENSIVOS (UCI)",IF(P160=CURSOS!$D$8,"MODELO DE ATENCION PARA EVENTOS EMERGENTES EN SALUD MENTAL (CODIGO VERDE)",IF(P160=CURSOS!$D$9,"HUMANIZACION EN EL SERVICIO DE LA SALUD Y BUENAS PRACTICAS EN PACIENTE ",IF(P160=CURSOS!$D$10,"CLINICA DE HERIDAS ",IF(P160=CURSOS!$D$11,"TOMA DE CITOLOGIA CERVICO VAGINAL ",IF(P160=CURSOS!$D$12,"SOPORTE CARDIOVASCULAR AVANZADO (ACLS) ",IF(P160=CURSOS!$D$13,"CAMILLERO ",IF(P160=CURSOS!$D$14,"TOMA DE MUESTRAS Y LABORATORIO ",IF(P160=CURSOS!$D$15,"SOPORTE VITAL BASICO (BLS)",IF(P160=CURSOS!$D$16,"ATENCION A VICTIMAS DE VIOLENCIA SEXUAL ",IF(P160=CURSOS!$D$17,"PROGRAMADO AMPLIADO DE INMUNIZACION (PAI - COVID 19)",IF(P160=CURSOS!$D$18,"ATENCION INTEGRAL EN ENFERMEDADES PREVALENTES EN PRIMERA INFANCIA (AIEPI)",IF(P160=CURSOS!$D$19,"ADMINISTRACION DE MEDICAMENTOS, INYECTOLOGIA  Y CANALIZACION ",IF(P160=CURSOS!$D$20,"OPERADOR DE VEHICULOS DE EMERGENCIA (OVE)",IF(P160=CURSOS!$D$21,"INSTITUCIONES AMIGAS DE LA MUJER Y LA INFANCIA (IAMI)",IF(P160=CURSOS!$D$22,"CUIDADO DEL DONANTE DE ORGANOS",IF(P160=CURSOS!$D$23,"ATENCION A VICTIMAS POR VIOLENCIA DE GENERO",IF(P160=CURSOS!$D$24,"IGUALDAD DE GENERO EN LA SALUD",IF(P160=CURSOS!$D$25,"BRIGADA DE EMERGENCIA",IF(P160=CURSOS!$D$26,"MANEJO DEL DOLOR Y CUIDADOS PALIATIVOS",IF(P160=CURSOS!$D$27,"TOMA DE MUESTRAS Y LABORATORIO POCT",IF(P160=CURSOS!$D$28,"IMPLANTE SUBDERMICO DE DISPOSITIVO INTRAUTERINO",IF(P160=CURSOS!$D$29,"SALUD MENTAL",IF(P160=CURSOS!$D$30,"PRIMEROS AUXILIOS PSICOLOGICOS",IF(P160=CURSOS!$D$31,"ATENCION A VICTIMAS POR CONFLICTO ARMADO",IF(P160=CURSOS!$D$32,"MANIPULACION DE ALIMENTOS Y BPM",IF(P160=CURSOS!$D$33,"ATENCION A PERSONAS CON DISCAPACIDAD",IF(P160=CURSOS!$D$34,"CUIDADO INTEGRAL DEL PACIENTE ADULTO",IF(P160=CURSOS!$D$35,"MANEJO DEFENSIVO",IF(P160=CURSOS!$D$36,"SOPORTE CARDIOVASCULAR AVANZADO NEONATAL",IF(P160=CURSOS!$D$37,"SEGURIDAD DEL PACIENTE",IF(P160=CURSOS!$D$38,"MANEJO DE RESIDUOS HOSPITALARIOS"))))))))))))))))))))))))))))))))))))</f>
        <v>SOPORTE VITAL BASICO (BLS)</v>
      </c>
      <c r="W160" s="65" t="str">
        <f t="shared" si="12"/>
        <v>Damaris Johana Rosero Rosero</v>
      </c>
      <c r="X160" s="65" t="str">
        <f t="shared" si="13"/>
        <v>Damaris Johana Rosero Rosero</v>
      </c>
      <c r="Y160" s="65" t="str">
        <f t="shared" si="14"/>
        <v>Damaris Johana Rosero Rosero-1004542792-BLS</v>
      </c>
    </row>
    <row r="161" spans="1:25" s="58" customFormat="1" x14ac:dyDescent="0.2">
      <c r="A161" s="59">
        <v>160</v>
      </c>
      <c r="B161" s="60">
        <v>1085291134</v>
      </c>
      <c r="C161" s="60" t="s">
        <v>255</v>
      </c>
      <c r="D161" s="60" t="s">
        <v>523</v>
      </c>
      <c r="E161" s="60" t="s">
        <v>129</v>
      </c>
      <c r="F161" s="60" t="s">
        <v>121</v>
      </c>
      <c r="G161" s="60">
        <v>29</v>
      </c>
      <c r="H161" s="60" t="s">
        <v>103</v>
      </c>
      <c r="I161" s="61" t="s">
        <v>104</v>
      </c>
      <c r="J161" s="61"/>
      <c r="K161" s="62">
        <v>45745</v>
      </c>
      <c r="L161" s="63">
        <v>80000</v>
      </c>
      <c r="M161" s="60" t="s">
        <v>159</v>
      </c>
      <c r="N161" s="60" t="s">
        <v>105</v>
      </c>
      <c r="O161" s="60" t="s">
        <v>106</v>
      </c>
      <c r="P161" s="60" t="s">
        <v>19</v>
      </c>
      <c r="Q161" s="61">
        <v>33484</v>
      </c>
      <c r="R161" s="60" t="s">
        <v>107</v>
      </c>
      <c r="S161" s="60" t="s">
        <v>524</v>
      </c>
      <c r="T161" s="60">
        <v>3196636618</v>
      </c>
      <c r="U161" s="60" t="s">
        <v>525</v>
      </c>
      <c r="V161" s="65" t="str">
        <f>IF(P161=CURSOS!$D$3,"DIPLOMADO EN ATENCION PRE-HOSPITALARIA",IF(P161=CURSOS!$D$4,"ACOMPAÑAMIENTO Y MANEJO DEL DUELO",IF(P161=CURSOS!$D$5,"ATENCION A VICTIMAS DE ATAQUE CON AGENTES QUIMICOS ",IF(P161=CURSOS!$D$6,"PRIMEROS AUXILIOS ",IF(P161=CURSOS!$D$7,"DIPLOMADO DE UNIDAD DE CUIDADOS INTENSIVOS (UCI)",IF(P161=CURSOS!$D$8,"MODELO DE ATENCION PARA EVENTOS EMERGENTES EN SALUD MENTAL (CODIGO VERDE)",IF(P161=CURSOS!$D$9,"HUMANIZACION EN EL SERVICIO DE LA SALUD Y BUENAS PRACTICAS EN PACIENTE ",IF(P161=CURSOS!$D$10,"CLINICA DE HERIDAS ",IF(P161=CURSOS!$D$11,"TOMA DE CITOLOGIA CERVICO VAGINAL ",IF(P161=CURSOS!$D$12,"SOPORTE CARDIOVASCULAR AVANZADO (ACLS) ",IF(P161=CURSOS!$D$13,"CAMILLERO ",IF(P161=CURSOS!$D$14,"TOMA DE MUESTRAS Y LABORATORIO ",IF(P161=CURSOS!$D$15,"SOPORTE VITAL BASICO (BLS)",IF(P161=CURSOS!$D$16,"ATENCION A VICTIMAS DE VIOLENCIA SEXUAL ",IF(P161=CURSOS!$D$17,"PROGRAMADO AMPLIADO DE INMUNIZACION (PAI - COVID 19)",IF(P161=CURSOS!$D$18,"ATENCION INTEGRAL EN ENFERMEDADES PREVALENTES EN PRIMERA INFANCIA (AIEPI)",IF(P161=CURSOS!$D$19,"ADMINISTRACION DE MEDICAMENTOS, INYECTOLOGIA  Y CANALIZACION ",IF(P161=CURSOS!$D$20,"OPERADOR DE VEHICULOS DE EMERGENCIA (OVE)",IF(P161=CURSOS!$D$21,"INSTITUCIONES AMIGAS DE LA MUJER Y LA INFANCIA (IAMI)",IF(P161=CURSOS!$D$22,"CUIDADO DEL DONANTE DE ORGANOS",IF(P161=CURSOS!$D$23,"ATENCION A VICTIMAS POR VIOLENCIA DE GENERO",IF(P161=CURSOS!$D$24,"IGUALDAD DE GENERO EN LA SALUD",IF(P161=CURSOS!$D$25,"BRIGADA DE EMERGENCIA",IF(P161=CURSOS!$D$26,"MANEJO DEL DOLOR Y CUIDADOS PALIATIVOS",IF(P161=CURSOS!$D$27,"TOMA DE MUESTRAS Y LABORATORIO POCT",IF(P161=CURSOS!$D$28,"IMPLANTE SUBDERMICO DE DISPOSITIVO INTRAUTERINO",IF(P161=CURSOS!$D$29,"SALUD MENTAL",IF(P161=CURSOS!$D$30,"PRIMEROS AUXILIOS PSICOLOGICOS",IF(P161=CURSOS!$D$31,"ATENCION A VICTIMAS POR CONFLICTO ARMADO",IF(P161=CURSOS!$D$32,"MANIPULACION DE ALIMENTOS Y BPM",IF(P161=CURSOS!$D$33,"ATENCION A PERSONAS CON DISCAPACIDAD",IF(P161=CURSOS!$D$34,"CUIDADO INTEGRAL DEL PACIENTE ADULTO",IF(P161=CURSOS!$D$35,"MANEJO DEFENSIVO",IF(P161=CURSOS!$D$36,"SOPORTE CARDIOVASCULAR AVANZADO NEONATAL",IF(P161=CURSOS!$D$37,"SEGURIDAD DEL PACIENTE",IF(P161=CURSOS!$D$38,"MANEJO DE RESIDUOS HOSPITALARIOS"))))))))))))))))))))))))))))))))))))</f>
        <v>SOPORTE VITAL BASICO (BLS)</v>
      </c>
      <c r="W161" s="65" t="str">
        <f t="shared" si="12"/>
        <v>Ana Maria Rodriguez Cabezas</v>
      </c>
      <c r="X161" s="65" t="str">
        <f t="shared" si="13"/>
        <v>Ana Maria Rodriguez Cabezas</v>
      </c>
      <c r="Y161" s="65" t="str">
        <f t="shared" si="14"/>
        <v>Ana Maria Rodriguez Cabezas-1085291134-BLS</v>
      </c>
    </row>
    <row r="162" spans="1:25" s="58" customFormat="1" x14ac:dyDescent="0.2">
      <c r="A162" s="59">
        <v>161</v>
      </c>
      <c r="B162" s="60">
        <v>1085283825</v>
      </c>
      <c r="C162" s="60" t="s">
        <v>526</v>
      </c>
      <c r="D162" s="60" t="s">
        <v>527</v>
      </c>
      <c r="E162" s="60" t="s">
        <v>528</v>
      </c>
      <c r="F162" s="60"/>
      <c r="G162" s="60">
        <v>29</v>
      </c>
      <c r="H162" s="60" t="s">
        <v>103</v>
      </c>
      <c r="I162" s="61" t="s">
        <v>104</v>
      </c>
      <c r="J162" s="61"/>
      <c r="K162" s="62">
        <v>45745</v>
      </c>
      <c r="L162" s="63">
        <v>80000</v>
      </c>
      <c r="M162" s="60" t="s">
        <v>159</v>
      </c>
      <c r="N162" s="60" t="s">
        <v>105</v>
      </c>
      <c r="O162" s="60" t="s">
        <v>106</v>
      </c>
      <c r="P162" s="60" t="s">
        <v>19</v>
      </c>
      <c r="Q162" s="61">
        <v>33135</v>
      </c>
      <c r="R162" s="60" t="s">
        <v>107</v>
      </c>
      <c r="S162" s="60" t="s">
        <v>117</v>
      </c>
      <c r="T162" s="60">
        <v>3166594360</v>
      </c>
      <c r="U162" s="60" t="s">
        <v>529</v>
      </c>
      <c r="V162" s="65" t="str">
        <f>IF(P162=CURSOS!$D$3,"DIPLOMADO EN ATENCION PRE-HOSPITALARIA",IF(P162=CURSOS!$D$4,"ACOMPAÑAMIENTO Y MANEJO DEL DUELO",IF(P162=CURSOS!$D$5,"ATENCION A VICTIMAS DE ATAQUE CON AGENTES QUIMICOS ",IF(P162=CURSOS!$D$6,"PRIMEROS AUXILIOS ",IF(P162=CURSOS!$D$7,"DIPLOMADO DE UNIDAD DE CUIDADOS INTENSIVOS (UCI)",IF(P162=CURSOS!$D$8,"MODELO DE ATENCION PARA EVENTOS EMERGENTES EN SALUD MENTAL (CODIGO VERDE)",IF(P162=CURSOS!$D$9,"HUMANIZACION EN EL SERVICIO DE LA SALUD Y BUENAS PRACTICAS EN PACIENTE ",IF(P162=CURSOS!$D$10,"CLINICA DE HERIDAS ",IF(P162=CURSOS!$D$11,"TOMA DE CITOLOGIA CERVICO VAGINAL ",IF(P162=CURSOS!$D$12,"SOPORTE CARDIOVASCULAR AVANZADO (ACLS) ",IF(P162=CURSOS!$D$13,"CAMILLERO ",IF(P162=CURSOS!$D$14,"TOMA DE MUESTRAS Y LABORATORIO ",IF(P162=CURSOS!$D$15,"SOPORTE VITAL BASICO (BLS)",IF(P162=CURSOS!$D$16,"ATENCION A VICTIMAS DE VIOLENCIA SEXUAL ",IF(P162=CURSOS!$D$17,"PROGRAMADO AMPLIADO DE INMUNIZACION (PAI - COVID 19)",IF(P162=CURSOS!$D$18,"ATENCION INTEGRAL EN ENFERMEDADES PREVALENTES EN PRIMERA INFANCIA (AIEPI)",IF(P162=CURSOS!$D$19,"ADMINISTRACION DE MEDICAMENTOS, INYECTOLOGIA  Y CANALIZACION ",IF(P162=CURSOS!$D$20,"OPERADOR DE VEHICULOS DE EMERGENCIA (OVE)",IF(P162=CURSOS!$D$21,"INSTITUCIONES AMIGAS DE LA MUJER Y LA INFANCIA (IAMI)",IF(P162=CURSOS!$D$22,"CUIDADO DEL DONANTE DE ORGANOS",IF(P162=CURSOS!$D$23,"ATENCION A VICTIMAS POR VIOLENCIA DE GENERO",IF(P162=CURSOS!$D$24,"IGUALDAD DE GENERO EN LA SALUD",IF(P162=CURSOS!$D$25,"BRIGADA DE EMERGENCIA",IF(P162=CURSOS!$D$26,"MANEJO DEL DOLOR Y CUIDADOS PALIATIVOS",IF(P162=CURSOS!$D$27,"TOMA DE MUESTRAS Y LABORATORIO POCT",IF(P162=CURSOS!$D$28,"IMPLANTE SUBDERMICO DE DISPOSITIVO INTRAUTERINO",IF(P162=CURSOS!$D$29,"SALUD MENTAL",IF(P162=CURSOS!$D$30,"PRIMEROS AUXILIOS PSICOLOGICOS",IF(P162=CURSOS!$D$31,"ATENCION A VICTIMAS POR CONFLICTO ARMADO",IF(P162=CURSOS!$D$32,"MANIPULACION DE ALIMENTOS Y BPM",IF(P162=CURSOS!$D$33,"ATENCION A PERSONAS CON DISCAPACIDAD",IF(P162=CURSOS!$D$34,"CUIDADO INTEGRAL DEL PACIENTE ADULTO",IF(P162=CURSOS!$D$35,"MANEJO DEFENSIVO",IF(P162=CURSOS!$D$36,"SOPORTE CARDIOVASCULAR AVANZADO NEONATAL",IF(P162=CURSOS!$D$37,"SEGURIDAD DEL PACIENTE",IF(P162=CURSOS!$D$38,"MANEJO DE RESIDUOS HOSPITALARIOS"))))))))))))))))))))))))))))))))))))</f>
        <v>SOPORTE VITAL BASICO (BLS)</v>
      </c>
      <c r="W162" s="65" t="str">
        <f t="shared" si="12"/>
        <v>Yesenia  Figueroa Benavidez</v>
      </c>
      <c r="X162" s="65" t="str">
        <f t="shared" si="13"/>
        <v>Yesenia  Figueroa Benavidez</v>
      </c>
      <c r="Y162" s="65" t="str">
        <f t="shared" si="14"/>
        <v>Yesenia  Figueroa Benavidez-1085283825-BLS</v>
      </c>
    </row>
    <row r="163" spans="1:25" s="58" customFormat="1" x14ac:dyDescent="0.2">
      <c r="A163" s="59">
        <v>162</v>
      </c>
      <c r="B163" s="60">
        <v>1085283825</v>
      </c>
      <c r="C163" s="60" t="s">
        <v>526</v>
      </c>
      <c r="D163" s="60" t="s">
        <v>527</v>
      </c>
      <c r="E163" s="60" t="s">
        <v>528</v>
      </c>
      <c r="F163" s="60"/>
      <c r="G163" s="60">
        <v>29</v>
      </c>
      <c r="H163" s="60" t="s">
        <v>103</v>
      </c>
      <c r="I163" s="61" t="s">
        <v>104</v>
      </c>
      <c r="J163" s="61"/>
      <c r="K163" s="62">
        <v>45744</v>
      </c>
      <c r="L163" s="63">
        <v>40000</v>
      </c>
      <c r="M163" s="60" t="s">
        <v>159</v>
      </c>
      <c r="N163" s="60" t="s">
        <v>105</v>
      </c>
      <c r="O163" s="60" t="s">
        <v>106</v>
      </c>
      <c r="P163" s="60" t="s">
        <v>40</v>
      </c>
      <c r="Q163" s="61">
        <v>33135</v>
      </c>
      <c r="R163" s="60" t="s">
        <v>107</v>
      </c>
      <c r="S163" s="60" t="s">
        <v>117</v>
      </c>
      <c r="T163" s="60">
        <v>3166594360</v>
      </c>
      <c r="U163" s="60" t="s">
        <v>529</v>
      </c>
      <c r="V163" s="65" t="str">
        <f>IF(P163=CURSOS!$D$3,"DIPLOMADO EN ATENCION PRE-HOSPITALARIA",IF(P163=CURSOS!$D$4,"ACOMPAÑAMIENTO Y MANEJO DEL DUELO",IF(P163=CURSOS!$D$5,"ATENCION A VICTIMAS DE ATAQUE CON AGENTES QUIMICOS ",IF(P163=CURSOS!$D$6,"PRIMEROS AUXILIOS ",IF(P163=CURSOS!$D$7,"DIPLOMADO DE UNIDAD DE CUIDADOS INTENSIVOS (UCI)",IF(P163=CURSOS!$D$8,"MODELO DE ATENCION PARA EVENTOS EMERGENTES EN SALUD MENTAL (CODIGO VERDE)",IF(P163=CURSOS!$D$9,"HUMANIZACION EN EL SERVICIO DE LA SALUD Y BUENAS PRACTICAS EN PACIENTE ",IF(P163=CURSOS!$D$10,"CLINICA DE HERIDAS ",IF(P163=CURSOS!$D$11,"TOMA DE CITOLOGIA CERVICO VAGINAL ",IF(P163=CURSOS!$D$12,"SOPORTE CARDIOVASCULAR AVANZADO (ACLS) ",IF(P163=CURSOS!$D$13,"CAMILLERO ",IF(P163=CURSOS!$D$14,"TOMA DE MUESTRAS Y LABORATORIO ",IF(P163=CURSOS!$D$15,"SOPORTE VITAL BASICO (BLS)",IF(P163=CURSOS!$D$16,"ATENCION A VICTIMAS DE VIOLENCIA SEXUAL ",IF(P163=CURSOS!$D$17,"PROGRAMADO AMPLIADO DE INMUNIZACION (PAI - COVID 19)",IF(P163=CURSOS!$D$18,"ATENCION INTEGRAL EN ENFERMEDADES PREVALENTES EN PRIMERA INFANCIA (AIEPI)",IF(P163=CURSOS!$D$19,"ADMINISTRACION DE MEDICAMENTOS, INYECTOLOGIA  Y CANALIZACION ",IF(P163=CURSOS!$D$20,"OPERADOR DE VEHICULOS DE EMERGENCIA (OVE)",IF(P163=CURSOS!$D$21,"INSTITUCIONES AMIGAS DE LA MUJER Y LA INFANCIA (IAMI)",IF(P163=CURSOS!$D$22,"CUIDADO DEL DONANTE DE ORGANOS",IF(P163=CURSOS!$D$23,"ATENCION A VICTIMAS POR VIOLENCIA DE GENERO",IF(P163=CURSOS!$D$24,"IGUALDAD DE GENERO EN LA SALUD",IF(P163=CURSOS!$D$25,"BRIGADA DE EMERGENCIA",IF(P163=CURSOS!$D$26,"MANEJO DEL DOLOR Y CUIDADOS PALIATIVOS",IF(P163=CURSOS!$D$27,"TOMA DE MUESTRAS Y LABORATORIO POCT",IF(P163=CURSOS!$D$28,"IMPLANTE SUBDERMICO DE DISPOSITIVO INTRAUTERINO",IF(P163=CURSOS!$D$29,"SALUD MENTAL",IF(P163=CURSOS!$D$30,"PRIMEROS AUXILIOS PSICOLOGICOS",IF(P163=CURSOS!$D$31,"ATENCION A VICTIMAS POR CONFLICTO ARMADO",IF(P163=CURSOS!$D$32,"MANIPULACION DE ALIMENTOS Y BPM",IF(P163=CURSOS!$D$33,"ATENCION A PERSONAS CON DISCAPACIDAD",IF(P163=CURSOS!$D$34,"CUIDADO INTEGRAL DEL PACIENTE ADULTO",IF(P163=CURSOS!$D$35,"MANEJO DEFENSIVO",IF(P163=CURSOS!$D$36,"SOPORTE CARDIOVASCULAR AVANZADO NEONATAL",IF(P163=CURSOS!$D$37,"SEGURIDAD DEL PACIENTE",IF(P163=CURSOS!$D$38,"MANEJO DE RESIDUOS HOSPITALARIOS"))))))))))))))))))))))))))))))))))))</f>
        <v xml:space="preserve">TOMA DE MUESTRAS Y LABORATORIO </v>
      </c>
      <c r="W163" s="65" t="str">
        <f t="shared" si="12"/>
        <v>Yesenia  Figueroa Benavidez</v>
      </c>
      <c r="X163" s="65" t="str">
        <f t="shared" si="13"/>
        <v>Yesenia  Figueroa Benavidez</v>
      </c>
      <c r="Y163" s="65" t="str">
        <f t="shared" si="14"/>
        <v>Yesenia  Figueroa Benavidez-1085283825-TOMA DE MUESTRAS</v>
      </c>
    </row>
    <row r="164" spans="1:25" s="58" customFormat="1" x14ac:dyDescent="0.2">
      <c r="A164" s="59">
        <v>163</v>
      </c>
      <c r="B164" s="60">
        <v>1193543631</v>
      </c>
      <c r="C164" s="60" t="s">
        <v>532</v>
      </c>
      <c r="D164" s="60" t="s">
        <v>453</v>
      </c>
      <c r="E164" s="60" t="s">
        <v>533</v>
      </c>
      <c r="F164" s="60" t="s">
        <v>534</v>
      </c>
      <c r="G164" s="60">
        <v>29</v>
      </c>
      <c r="H164" s="60" t="s">
        <v>103</v>
      </c>
      <c r="I164" s="61" t="s">
        <v>104</v>
      </c>
      <c r="J164" s="61"/>
      <c r="K164" s="62">
        <v>45745</v>
      </c>
      <c r="L164" s="63">
        <v>50000</v>
      </c>
      <c r="M164" s="60" t="s">
        <v>159</v>
      </c>
      <c r="N164" s="60" t="s">
        <v>105</v>
      </c>
      <c r="O164" s="60" t="s">
        <v>494</v>
      </c>
      <c r="P164" s="60" t="s">
        <v>40</v>
      </c>
      <c r="Q164" s="61">
        <v>37096</v>
      </c>
      <c r="R164" s="60" t="s">
        <v>107</v>
      </c>
      <c r="S164" s="60" t="s">
        <v>117</v>
      </c>
      <c r="T164" s="60">
        <v>3226227621</v>
      </c>
      <c r="U164" s="60"/>
      <c r="V164" s="65" t="str">
        <f>IF(P164=CURSOS!$D$3,"DIPLOMADO EN ATENCION PRE-HOSPITALARIA",IF(P164=CURSOS!$D$4,"ACOMPAÑAMIENTO Y MANEJO DEL DUELO",IF(P164=CURSOS!$D$5,"ATENCION A VICTIMAS DE ATAQUE CON AGENTES QUIMICOS ",IF(P164=CURSOS!$D$6,"PRIMEROS AUXILIOS ",IF(P164=CURSOS!$D$7,"DIPLOMADO DE UNIDAD DE CUIDADOS INTENSIVOS (UCI)",IF(P164=CURSOS!$D$8,"MODELO DE ATENCION PARA EVENTOS EMERGENTES EN SALUD MENTAL (CODIGO VERDE)",IF(P164=CURSOS!$D$9,"HUMANIZACION EN EL SERVICIO DE LA SALUD Y BUENAS PRACTICAS EN PACIENTE ",IF(P164=CURSOS!$D$10,"CLINICA DE HERIDAS ",IF(P164=CURSOS!$D$11,"TOMA DE CITOLOGIA CERVICO VAGINAL ",IF(P164=CURSOS!$D$12,"SOPORTE CARDIOVASCULAR AVANZADO (ACLS) ",IF(P164=CURSOS!$D$13,"CAMILLERO ",IF(P164=CURSOS!$D$14,"TOMA DE MUESTRAS Y LABORATORIO ",IF(P164=CURSOS!$D$15,"SOPORTE VITAL BASICO (BLS)",IF(P164=CURSOS!$D$16,"ATENCION A VICTIMAS DE VIOLENCIA SEXUAL ",IF(P164=CURSOS!$D$17,"PROGRAMADO AMPLIADO DE INMUNIZACION (PAI - COVID 19)",IF(P164=CURSOS!$D$18,"ATENCION INTEGRAL EN ENFERMEDADES PREVALENTES EN PRIMERA INFANCIA (AIEPI)",IF(P164=CURSOS!$D$19,"ADMINISTRACION DE MEDICAMENTOS, INYECTOLOGIA  Y CANALIZACION ",IF(P164=CURSOS!$D$20,"OPERADOR DE VEHICULOS DE EMERGENCIA (OVE)",IF(P164=CURSOS!$D$21,"INSTITUCIONES AMIGAS DE LA MUJER Y LA INFANCIA (IAMI)",IF(P164=CURSOS!$D$22,"CUIDADO DEL DONANTE DE ORGANOS",IF(P164=CURSOS!$D$23,"ATENCION A VICTIMAS POR VIOLENCIA DE GENERO",IF(P164=CURSOS!$D$24,"IGUALDAD DE GENERO EN LA SALUD",IF(P164=CURSOS!$D$25,"BRIGADA DE EMERGENCIA",IF(P164=CURSOS!$D$26,"MANEJO DEL DOLOR Y CUIDADOS PALIATIVOS",IF(P164=CURSOS!$D$27,"TOMA DE MUESTRAS Y LABORATORIO POCT",IF(P164=CURSOS!$D$28,"IMPLANTE SUBDERMICO DE DISPOSITIVO INTRAUTERINO",IF(P164=CURSOS!$D$29,"SALUD MENTAL",IF(P164=CURSOS!$D$30,"PRIMEROS AUXILIOS PSICOLOGICOS",IF(P164=CURSOS!$D$31,"ATENCION A VICTIMAS POR CONFLICTO ARMADO",IF(P164=CURSOS!$D$32,"MANIPULACION DE ALIMENTOS Y BPM",IF(P164=CURSOS!$D$33,"ATENCION A PERSONAS CON DISCAPACIDAD",IF(P164=CURSOS!$D$34,"CUIDADO INTEGRAL DEL PACIENTE ADULTO",IF(P164=CURSOS!$D$35,"MANEJO DEFENSIVO",IF(P164=CURSOS!$D$36,"SOPORTE CARDIOVASCULAR AVANZADO NEONATAL",IF(P164=CURSOS!$D$37,"SEGURIDAD DEL PACIENTE",IF(P164=CURSOS!$D$38,"MANEJO DE RESIDUOS HOSPITALARIOS"))))))))))))))))))))))))))))))))))))</f>
        <v xml:space="preserve">TOMA DE MUESTRAS Y LABORATORIO </v>
      </c>
      <c r="W164" s="65" t="str">
        <f t="shared" si="12"/>
        <v>Karoll Juliet Zamora Hidalgo</v>
      </c>
      <c r="X164" s="65" t="str">
        <f t="shared" si="13"/>
        <v>Karoll Juliet Zamora Hidalgo</v>
      </c>
      <c r="Y164" s="65" t="str">
        <f t="shared" si="14"/>
        <v>Karoll Juliet Zamora Hidalgo-1193543631-TOMA DE MUESTRAS</v>
      </c>
    </row>
    <row r="165" spans="1:25" s="58" customFormat="1" x14ac:dyDescent="0.2">
      <c r="A165" s="59">
        <v>164</v>
      </c>
      <c r="B165" s="60">
        <v>1085942181</v>
      </c>
      <c r="C165" s="60" t="s">
        <v>535</v>
      </c>
      <c r="D165" s="60" t="s">
        <v>536</v>
      </c>
      <c r="E165" s="60" t="s">
        <v>537</v>
      </c>
      <c r="F165" s="60" t="s">
        <v>538</v>
      </c>
      <c r="G165" s="60">
        <v>29</v>
      </c>
      <c r="H165" s="60" t="s">
        <v>103</v>
      </c>
      <c r="I165" s="61" t="s">
        <v>104</v>
      </c>
      <c r="J165" s="61" t="s">
        <v>550</v>
      </c>
      <c r="K165" s="62">
        <v>45745</v>
      </c>
      <c r="L165" s="63">
        <v>45000</v>
      </c>
      <c r="M165" s="60" t="s">
        <v>159</v>
      </c>
      <c r="N165" s="60" t="s">
        <v>105</v>
      </c>
      <c r="O165" s="61" t="s">
        <v>550</v>
      </c>
      <c r="P165" s="60" t="s">
        <v>19</v>
      </c>
      <c r="Q165" s="61"/>
      <c r="R165" s="60"/>
      <c r="S165" s="64"/>
      <c r="T165" s="60"/>
      <c r="U165" s="60"/>
      <c r="V165" s="65" t="str">
        <f>IF(P165=CURSOS!$D$3,"DIPLOMADO EN ATENCION PRE-HOSPITALARIA",IF(P165=CURSOS!$D$4,"ACOMPAÑAMIENTO Y MANEJO DEL DUELO",IF(P165=CURSOS!$D$5,"ATENCION A VICTIMAS DE ATAQUE CON AGENTES QUIMICOS ",IF(P165=CURSOS!$D$6,"PRIMEROS AUXILIOS ",IF(P165=CURSOS!$D$7,"DIPLOMADO DE UNIDAD DE CUIDADOS INTENSIVOS (UCI)",IF(P165=CURSOS!$D$8,"MODELO DE ATENCION PARA EVENTOS EMERGENTES EN SALUD MENTAL (CODIGO VERDE)",IF(P165=CURSOS!$D$9,"HUMANIZACION EN EL SERVICIO DE LA SALUD Y BUENAS PRACTICAS EN PACIENTE ",IF(P165=CURSOS!$D$10,"CLINICA DE HERIDAS ",IF(P165=CURSOS!$D$11,"TOMA DE CITOLOGIA CERVICO VAGINAL ",IF(P165=CURSOS!$D$12,"SOPORTE CARDIOVASCULAR AVANZADO (ACLS) ",IF(P165=CURSOS!$D$13,"CAMILLERO ",IF(P165=CURSOS!$D$14,"TOMA DE MUESTRAS Y LABORATORIO ",IF(P165=CURSOS!$D$15,"SOPORTE VITAL BASICO (BLS)",IF(P165=CURSOS!$D$16,"ATENCION A VICTIMAS DE VIOLENCIA SEXUAL ",IF(P165=CURSOS!$D$17,"PROGRAMADO AMPLIADO DE INMUNIZACION (PAI - COVID 19)",IF(P165=CURSOS!$D$18,"ATENCION INTEGRAL EN ENFERMEDADES PREVALENTES EN PRIMERA INFANCIA (AIEPI)",IF(P165=CURSOS!$D$19,"ADMINISTRACION DE MEDICAMENTOS, INYECTOLOGIA  Y CANALIZACION ",IF(P165=CURSOS!$D$20,"OPERADOR DE VEHICULOS DE EMERGENCIA (OVE)",IF(P165=CURSOS!$D$21,"INSTITUCIONES AMIGAS DE LA MUJER Y LA INFANCIA (IAMI)",IF(P165=CURSOS!$D$22,"CUIDADO DEL DONANTE DE ORGANOS",IF(P165=CURSOS!$D$23,"ATENCION A VICTIMAS POR VIOLENCIA DE GENERO",IF(P165=CURSOS!$D$24,"IGUALDAD DE GENERO EN LA SALUD",IF(P165=CURSOS!$D$25,"BRIGADA DE EMERGENCIA",IF(P165=CURSOS!$D$26,"MANEJO DEL DOLOR Y CUIDADOS PALIATIVOS",IF(P165=CURSOS!$D$27,"TOMA DE MUESTRAS Y LABORATORIO POCT",IF(P165=CURSOS!$D$28,"IMPLANTE SUBDERMICO DE DISPOSITIVO INTRAUTERINO",IF(P165=CURSOS!$D$29,"SALUD MENTAL",IF(P165=CURSOS!$D$30,"PRIMEROS AUXILIOS PSICOLOGICOS",IF(P165=CURSOS!$D$31,"ATENCION A VICTIMAS POR CONFLICTO ARMADO",IF(P165=CURSOS!$D$32,"MANIPULACION DE ALIMENTOS Y BPM",IF(P165=CURSOS!$D$33,"ATENCION A PERSONAS CON DISCAPACIDAD",IF(P165=CURSOS!$D$34,"CUIDADO INTEGRAL DEL PACIENTE ADULTO",IF(P165=CURSOS!$D$35,"MANEJO DEFENSIVO",IF(P165=CURSOS!$D$36,"SOPORTE CARDIOVASCULAR AVANZADO NEONATAL",IF(P165=CURSOS!$D$37,"SEGURIDAD DEL PACIENTE",IF(P165=CURSOS!$D$38,"MANEJO DE RESIDUOS HOSPITALARIOS"))))))))))))))))))))))))))))))))))))</f>
        <v>SOPORTE VITAL BASICO (BLS)</v>
      </c>
      <c r="W165" s="65" t="str">
        <f t="shared" si="12"/>
        <v>MAYRA ALEJANDRA CHAMORRO ESTACIO</v>
      </c>
      <c r="X165" s="65" t="str">
        <f t="shared" si="13"/>
        <v>Mayra Alejandra Chamorro Estacio</v>
      </c>
      <c r="Y165" s="65" t="str">
        <f t="shared" si="14"/>
        <v>MAYRA ALEJANDRA CHAMORRO ESTACIO-1085942181-BLS</v>
      </c>
    </row>
    <row r="166" spans="1:25" s="58" customFormat="1" x14ac:dyDescent="0.2">
      <c r="A166" s="59">
        <v>165</v>
      </c>
      <c r="B166" s="60">
        <v>1085300566</v>
      </c>
      <c r="C166" s="60" t="s">
        <v>539</v>
      </c>
      <c r="D166" s="60" t="s">
        <v>540</v>
      </c>
      <c r="E166" s="60" t="s">
        <v>541</v>
      </c>
      <c r="F166" s="60" t="s">
        <v>542</v>
      </c>
      <c r="G166" s="60">
        <v>29</v>
      </c>
      <c r="H166" s="60" t="s">
        <v>103</v>
      </c>
      <c r="I166" s="61" t="s">
        <v>104</v>
      </c>
      <c r="J166" s="61" t="s">
        <v>550</v>
      </c>
      <c r="K166" s="62">
        <v>45745</v>
      </c>
      <c r="L166" s="63">
        <v>45000</v>
      </c>
      <c r="M166" s="60" t="s">
        <v>156</v>
      </c>
      <c r="N166" s="60" t="s">
        <v>105</v>
      </c>
      <c r="O166" s="61" t="s">
        <v>550</v>
      </c>
      <c r="P166" s="60" t="s">
        <v>19</v>
      </c>
      <c r="Q166" s="61"/>
      <c r="R166" s="60"/>
      <c r="S166" s="75"/>
      <c r="T166" s="60"/>
      <c r="U166" s="60"/>
      <c r="V166" s="65" t="str">
        <f>IF(P166=CURSOS!$D$3,"DIPLOMADO EN ATENCION PRE-HOSPITALARIA",IF(P166=CURSOS!$D$4,"ACOMPAÑAMIENTO Y MANEJO DEL DUELO",IF(P166=CURSOS!$D$5,"ATENCION A VICTIMAS DE ATAQUE CON AGENTES QUIMICOS ",IF(P166=CURSOS!$D$6,"PRIMEROS AUXILIOS ",IF(P166=CURSOS!$D$7,"DIPLOMADO DE UNIDAD DE CUIDADOS INTENSIVOS (UCI)",IF(P166=CURSOS!$D$8,"MODELO DE ATENCION PARA EVENTOS EMERGENTES EN SALUD MENTAL (CODIGO VERDE)",IF(P166=CURSOS!$D$9,"HUMANIZACION EN EL SERVICIO DE LA SALUD Y BUENAS PRACTICAS EN PACIENTE ",IF(P166=CURSOS!$D$10,"CLINICA DE HERIDAS ",IF(P166=CURSOS!$D$11,"TOMA DE CITOLOGIA CERVICO VAGINAL ",IF(P166=CURSOS!$D$12,"SOPORTE CARDIOVASCULAR AVANZADO (ACLS) ",IF(P166=CURSOS!$D$13,"CAMILLERO ",IF(P166=CURSOS!$D$14,"TOMA DE MUESTRAS Y LABORATORIO ",IF(P166=CURSOS!$D$15,"SOPORTE VITAL BASICO (BLS)",IF(P166=CURSOS!$D$16,"ATENCION A VICTIMAS DE VIOLENCIA SEXUAL ",IF(P166=CURSOS!$D$17,"PROGRAMADO AMPLIADO DE INMUNIZACION (PAI - COVID 19)",IF(P166=CURSOS!$D$18,"ATENCION INTEGRAL EN ENFERMEDADES PREVALENTES EN PRIMERA INFANCIA (AIEPI)",IF(P166=CURSOS!$D$19,"ADMINISTRACION DE MEDICAMENTOS, INYECTOLOGIA  Y CANALIZACION ",IF(P166=CURSOS!$D$20,"OPERADOR DE VEHICULOS DE EMERGENCIA (OVE)",IF(P166=CURSOS!$D$21,"INSTITUCIONES AMIGAS DE LA MUJER Y LA INFANCIA (IAMI)",IF(P166=CURSOS!$D$22,"CUIDADO DEL DONANTE DE ORGANOS",IF(P166=CURSOS!$D$23,"ATENCION A VICTIMAS POR VIOLENCIA DE GENERO",IF(P166=CURSOS!$D$24,"IGUALDAD DE GENERO EN LA SALUD",IF(P166=CURSOS!$D$25,"BRIGADA DE EMERGENCIA",IF(P166=CURSOS!$D$26,"MANEJO DEL DOLOR Y CUIDADOS PALIATIVOS",IF(P166=CURSOS!$D$27,"TOMA DE MUESTRAS Y LABORATORIO POCT",IF(P166=CURSOS!$D$28,"IMPLANTE SUBDERMICO DE DISPOSITIVO INTRAUTERINO",IF(P166=CURSOS!$D$29,"SALUD MENTAL",IF(P166=CURSOS!$D$30,"PRIMEROS AUXILIOS PSICOLOGICOS",IF(P166=CURSOS!$D$31,"ATENCION A VICTIMAS POR CONFLICTO ARMADO",IF(P166=CURSOS!$D$32,"MANIPULACION DE ALIMENTOS Y BPM",IF(P166=CURSOS!$D$33,"ATENCION A PERSONAS CON DISCAPACIDAD",IF(P166=CURSOS!$D$34,"CUIDADO INTEGRAL DEL PACIENTE ADULTO",IF(P166=CURSOS!$D$35,"MANEJO DEFENSIVO",IF(P166=CURSOS!$D$36,"SOPORTE CARDIOVASCULAR AVANZADO NEONATAL",IF(P166=CURSOS!$D$37,"SEGURIDAD DEL PACIENTE",IF(P166=CURSOS!$D$38,"MANEJO DE RESIDUOS HOSPITALARIOS"))))))))))))))))))))))))))))))))))))</f>
        <v>SOPORTE VITAL BASICO (BLS)</v>
      </c>
      <c r="W166" s="65" t="str">
        <f t="shared" si="12"/>
        <v>LIZETH XIOMARA PAZMIÑO GAVIRIA</v>
      </c>
      <c r="X166" s="65" t="str">
        <f t="shared" si="13"/>
        <v>Lizeth Xiomara Pazmiño Gaviria</v>
      </c>
      <c r="Y166" s="65" t="str">
        <f t="shared" si="14"/>
        <v>LIZETH XIOMARA PAZMIÑO GAVIRIA-1085300566-BLS</v>
      </c>
    </row>
    <row r="167" spans="1:25" s="58" customFormat="1" x14ac:dyDescent="0.2">
      <c r="A167" s="59">
        <v>166</v>
      </c>
      <c r="B167" s="60">
        <v>12981658</v>
      </c>
      <c r="C167" s="60" t="s">
        <v>551</v>
      </c>
      <c r="D167" s="60" t="s">
        <v>543</v>
      </c>
      <c r="E167" s="60" t="s">
        <v>544</v>
      </c>
      <c r="F167" s="60" t="s">
        <v>545</v>
      </c>
      <c r="G167" s="60">
        <v>29</v>
      </c>
      <c r="H167" s="60" t="s">
        <v>103</v>
      </c>
      <c r="I167" s="61" t="s">
        <v>104</v>
      </c>
      <c r="J167" s="61" t="s">
        <v>550</v>
      </c>
      <c r="K167" s="62">
        <v>45745</v>
      </c>
      <c r="L167" s="63">
        <v>45000</v>
      </c>
      <c r="M167" s="60" t="s">
        <v>159</v>
      </c>
      <c r="N167" s="60" t="s">
        <v>105</v>
      </c>
      <c r="O167" s="61" t="s">
        <v>550</v>
      </c>
      <c r="P167" s="60" t="s">
        <v>19</v>
      </c>
      <c r="Q167" s="61"/>
      <c r="R167" s="60"/>
      <c r="S167" s="75"/>
      <c r="T167" s="60"/>
      <c r="U167" s="60"/>
      <c r="V167" s="65" t="str">
        <f>IF(P167=CURSOS!$D$3,"DIPLOMADO EN ATENCION PRE-HOSPITALARIA",IF(P167=CURSOS!$D$4,"ACOMPAÑAMIENTO Y MANEJO DEL DUELO",IF(P167=CURSOS!$D$5,"ATENCION A VICTIMAS DE ATAQUE CON AGENTES QUIMICOS ",IF(P167=CURSOS!$D$6,"PRIMEROS AUXILIOS ",IF(P167=CURSOS!$D$7,"DIPLOMADO DE UNIDAD DE CUIDADOS INTENSIVOS (UCI)",IF(P167=CURSOS!$D$8,"MODELO DE ATENCION PARA EVENTOS EMERGENTES EN SALUD MENTAL (CODIGO VERDE)",IF(P167=CURSOS!$D$9,"HUMANIZACION EN EL SERVICIO DE LA SALUD Y BUENAS PRACTICAS EN PACIENTE ",IF(P167=CURSOS!$D$10,"CLINICA DE HERIDAS ",IF(P167=CURSOS!$D$11,"TOMA DE CITOLOGIA CERVICO VAGINAL ",IF(P167=CURSOS!$D$12,"SOPORTE CARDIOVASCULAR AVANZADO (ACLS) ",IF(P167=CURSOS!$D$13,"CAMILLERO ",IF(P167=CURSOS!$D$14,"TOMA DE MUESTRAS Y LABORATORIO ",IF(P167=CURSOS!$D$15,"SOPORTE VITAL BASICO (BLS)",IF(P167=CURSOS!$D$16,"ATENCION A VICTIMAS DE VIOLENCIA SEXUAL ",IF(P167=CURSOS!$D$17,"PROGRAMADO AMPLIADO DE INMUNIZACION (PAI - COVID 19)",IF(P167=CURSOS!$D$18,"ATENCION INTEGRAL EN ENFERMEDADES PREVALENTES EN PRIMERA INFANCIA (AIEPI)",IF(P167=CURSOS!$D$19,"ADMINISTRACION DE MEDICAMENTOS, INYECTOLOGIA  Y CANALIZACION ",IF(P167=CURSOS!$D$20,"OPERADOR DE VEHICULOS DE EMERGENCIA (OVE)",IF(P167=CURSOS!$D$21,"INSTITUCIONES AMIGAS DE LA MUJER Y LA INFANCIA (IAMI)",IF(P167=CURSOS!$D$22,"CUIDADO DEL DONANTE DE ORGANOS",IF(P167=CURSOS!$D$23,"ATENCION A VICTIMAS POR VIOLENCIA DE GENERO",IF(P167=CURSOS!$D$24,"IGUALDAD DE GENERO EN LA SALUD",IF(P167=CURSOS!$D$25,"BRIGADA DE EMERGENCIA",IF(P167=CURSOS!$D$26,"MANEJO DEL DOLOR Y CUIDADOS PALIATIVOS",IF(P167=CURSOS!$D$27,"TOMA DE MUESTRAS Y LABORATORIO POCT",IF(P167=CURSOS!$D$28,"IMPLANTE SUBDERMICO DE DISPOSITIVO INTRAUTERINO",IF(P167=CURSOS!$D$29,"SALUD MENTAL",IF(P167=CURSOS!$D$30,"PRIMEROS AUXILIOS PSICOLOGICOS",IF(P167=CURSOS!$D$31,"ATENCION A VICTIMAS POR CONFLICTO ARMADO",IF(P167=CURSOS!$D$32,"MANIPULACION DE ALIMENTOS Y BPM",IF(P167=CURSOS!$D$33,"ATENCION A PERSONAS CON DISCAPACIDAD",IF(P167=CURSOS!$D$34,"CUIDADO INTEGRAL DEL PACIENTE ADULTO",IF(P167=CURSOS!$D$35,"MANEJO DEFENSIVO",IF(P167=CURSOS!$D$36,"SOPORTE CARDIOVASCULAR AVANZADO NEONATAL",IF(P167=CURSOS!$D$37,"SEGURIDAD DEL PACIENTE",IF(P167=CURSOS!$D$38,"MANEJO DE RESIDUOS HOSPITALARIOS"))))))))))))))))))))))))))))))))))))</f>
        <v>SOPORTE VITAL BASICO (BLS)</v>
      </c>
      <c r="W167" s="65" t="str">
        <f t="shared" si="12"/>
        <v>EDGAR JESUS ERASO BERMUDES</v>
      </c>
      <c r="X167" s="65" t="str">
        <f t="shared" si="13"/>
        <v>Edgar Jesus Eraso Bermudes</v>
      </c>
      <c r="Y167" s="65" t="str">
        <f t="shared" si="14"/>
        <v>EDGAR JESUS ERASO BERMUDES-12981658-BLS</v>
      </c>
    </row>
    <row r="168" spans="1:25" s="58" customFormat="1" x14ac:dyDescent="0.2">
      <c r="A168" s="59">
        <v>167</v>
      </c>
      <c r="B168" s="60">
        <v>1088651988</v>
      </c>
      <c r="C168" s="60" t="s">
        <v>546</v>
      </c>
      <c r="D168" s="60" t="s">
        <v>547</v>
      </c>
      <c r="E168" s="60" t="s">
        <v>548</v>
      </c>
      <c r="F168" s="60" t="s">
        <v>549</v>
      </c>
      <c r="G168" s="60">
        <v>29</v>
      </c>
      <c r="H168" s="60" t="s">
        <v>103</v>
      </c>
      <c r="I168" s="61" t="s">
        <v>104</v>
      </c>
      <c r="J168" s="61" t="s">
        <v>550</v>
      </c>
      <c r="K168" s="62">
        <v>45745</v>
      </c>
      <c r="L168" s="63">
        <v>45000</v>
      </c>
      <c r="M168" s="60" t="s">
        <v>156</v>
      </c>
      <c r="N168" s="60" t="s">
        <v>105</v>
      </c>
      <c r="O168" s="61" t="s">
        <v>550</v>
      </c>
      <c r="P168" s="60" t="s">
        <v>19</v>
      </c>
      <c r="Q168" s="61"/>
      <c r="R168" s="60"/>
      <c r="S168" s="75"/>
      <c r="T168" s="60"/>
      <c r="U168" s="60"/>
      <c r="V168" s="65" t="str">
        <f>IF(P168=CURSOS!$D$3,"DIPLOMADO EN ATENCION PRE-HOSPITALARIA",IF(P168=CURSOS!$D$4,"ACOMPAÑAMIENTO Y MANEJO DEL DUELO",IF(P168=CURSOS!$D$5,"ATENCION A VICTIMAS DE ATAQUE CON AGENTES QUIMICOS ",IF(P168=CURSOS!$D$6,"PRIMEROS AUXILIOS ",IF(P168=CURSOS!$D$7,"DIPLOMADO DE UNIDAD DE CUIDADOS INTENSIVOS (UCI)",IF(P168=CURSOS!$D$8,"MODELO DE ATENCION PARA EVENTOS EMERGENTES EN SALUD MENTAL (CODIGO VERDE)",IF(P168=CURSOS!$D$9,"HUMANIZACION EN EL SERVICIO DE LA SALUD Y BUENAS PRACTICAS EN PACIENTE ",IF(P168=CURSOS!$D$10,"CLINICA DE HERIDAS ",IF(P168=CURSOS!$D$11,"TOMA DE CITOLOGIA CERVICO VAGINAL ",IF(P168=CURSOS!$D$12,"SOPORTE CARDIOVASCULAR AVANZADO (ACLS) ",IF(P168=CURSOS!$D$13,"CAMILLERO ",IF(P168=CURSOS!$D$14,"TOMA DE MUESTRAS Y LABORATORIO ",IF(P168=CURSOS!$D$15,"SOPORTE VITAL BASICO (BLS)",IF(P168=CURSOS!$D$16,"ATENCION A VICTIMAS DE VIOLENCIA SEXUAL ",IF(P168=CURSOS!$D$17,"PROGRAMADO AMPLIADO DE INMUNIZACION (PAI - COVID 19)",IF(P168=CURSOS!$D$18,"ATENCION INTEGRAL EN ENFERMEDADES PREVALENTES EN PRIMERA INFANCIA (AIEPI)",IF(P168=CURSOS!$D$19,"ADMINISTRACION DE MEDICAMENTOS, INYECTOLOGIA  Y CANALIZACION ",IF(P168=CURSOS!$D$20,"OPERADOR DE VEHICULOS DE EMERGENCIA (OVE)",IF(P168=CURSOS!$D$21,"INSTITUCIONES AMIGAS DE LA MUJER Y LA INFANCIA (IAMI)",IF(P168=CURSOS!$D$22,"CUIDADO DEL DONANTE DE ORGANOS",IF(P168=CURSOS!$D$23,"ATENCION A VICTIMAS POR VIOLENCIA DE GENERO",IF(P168=CURSOS!$D$24,"IGUALDAD DE GENERO EN LA SALUD",IF(P168=CURSOS!$D$25,"BRIGADA DE EMERGENCIA",IF(P168=CURSOS!$D$26,"MANEJO DEL DOLOR Y CUIDADOS PALIATIVOS",IF(P168=CURSOS!$D$27,"TOMA DE MUESTRAS Y LABORATORIO POCT",IF(P168=CURSOS!$D$28,"IMPLANTE SUBDERMICO DE DISPOSITIVO INTRAUTERINO",IF(P168=CURSOS!$D$29,"SALUD MENTAL",IF(P168=CURSOS!$D$30,"PRIMEROS AUXILIOS PSICOLOGICOS",IF(P168=CURSOS!$D$31,"ATENCION A VICTIMAS POR CONFLICTO ARMADO",IF(P168=CURSOS!$D$32,"MANIPULACION DE ALIMENTOS Y BPM",IF(P168=CURSOS!$D$33,"ATENCION A PERSONAS CON DISCAPACIDAD",IF(P168=CURSOS!$D$34,"CUIDADO INTEGRAL DEL PACIENTE ADULTO",IF(P168=CURSOS!$D$35,"MANEJO DEFENSIVO",IF(P168=CURSOS!$D$36,"SOPORTE CARDIOVASCULAR AVANZADO NEONATAL",IF(P168=CURSOS!$D$37,"SEGURIDAD DEL PACIENTE",IF(P168=CURSOS!$D$38,"MANEJO DE RESIDUOS HOSPITALARIOS"))))))))))))))))))))))))))))))))))))</f>
        <v>SOPORTE VITAL BASICO (BLS)</v>
      </c>
      <c r="W168" s="65" t="str">
        <f t="shared" si="12"/>
        <v>ELIANA MARICELA REINA CANCHALA</v>
      </c>
      <c r="X168" s="65" t="str">
        <f t="shared" si="13"/>
        <v>Eliana Maricela Reina Canchala</v>
      </c>
      <c r="Y168" s="65" t="str">
        <f t="shared" si="14"/>
        <v>ELIANA MARICELA REINA CANCHALA-1088651988-BLS</v>
      </c>
    </row>
    <row r="169" spans="1:25" s="58" customFormat="1" x14ac:dyDescent="0.2">
      <c r="A169" s="59">
        <v>168</v>
      </c>
      <c r="B169" s="60">
        <v>1143872938</v>
      </c>
      <c r="C169" s="60" t="s">
        <v>552</v>
      </c>
      <c r="D169" s="60" t="s">
        <v>284</v>
      </c>
      <c r="E169" s="60" t="s">
        <v>553</v>
      </c>
      <c r="F169" s="60"/>
      <c r="G169" s="60">
        <v>28</v>
      </c>
      <c r="H169" s="60" t="s">
        <v>103</v>
      </c>
      <c r="I169" s="61" t="s">
        <v>123</v>
      </c>
      <c r="J169" s="61" t="s">
        <v>179</v>
      </c>
      <c r="K169" s="62">
        <v>45745</v>
      </c>
      <c r="L169" s="63">
        <v>100000</v>
      </c>
      <c r="M169" s="60" t="s">
        <v>126</v>
      </c>
      <c r="N169" s="60" t="s">
        <v>105</v>
      </c>
      <c r="O169" s="60" t="s">
        <v>106</v>
      </c>
      <c r="P169" s="60" t="s">
        <v>37</v>
      </c>
      <c r="Q169" s="61">
        <v>35635</v>
      </c>
      <c r="R169" s="60" t="s">
        <v>107</v>
      </c>
      <c r="S169" s="98" t="s">
        <v>131</v>
      </c>
      <c r="T169" s="60">
        <v>3163081727</v>
      </c>
      <c r="U169" s="60" t="s">
        <v>554</v>
      </c>
      <c r="V169" s="65" t="str">
        <f>IF(P169=CURSOS!$D$3,"DIPLOMADO EN ATENCION PRE-HOSPITALARIA",IF(P169=CURSOS!$D$4,"ACOMPAÑAMIENTO Y MANEJO DEL DUELO",IF(P169=CURSOS!$D$5,"ATENCION A VICTIMAS DE ATAQUE CON AGENTES QUIMICOS ",IF(P169=CURSOS!$D$6,"PRIMEROS AUXILIOS ",IF(P169=CURSOS!$D$7,"DIPLOMADO DE UNIDAD DE CUIDADOS INTENSIVOS (UCI)",IF(P169=CURSOS!$D$8,"MODELO DE ATENCION PARA EVENTOS EMERGENTES EN SALUD MENTAL (CODIGO VERDE)",IF(P169=CURSOS!$D$9,"HUMANIZACION EN EL SERVICIO DE LA SALUD Y BUENAS PRACTICAS EN PACIENTE ",IF(P169=CURSOS!$D$10,"CLINICA DE HERIDAS ",IF(P169=CURSOS!$D$11,"TOMA DE CITOLOGIA CERVICO VAGINAL ",IF(P169=CURSOS!$D$12,"SOPORTE CARDIOVASCULAR AVANZADO (ACLS) ",IF(P169=CURSOS!$D$13,"CAMILLERO ",IF(P169=CURSOS!$D$14,"TOMA DE MUESTRAS Y LABORATORIO ",IF(P169=CURSOS!$D$15,"SOPORTE VITAL BASICO (BLS)",IF(P169=CURSOS!$D$16,"ATENCION A VICTIMAS DE VIOLENCIA SEXUAL ",IF(P169=CURSOS!$D$17,"PROGRAMADO AMPLIADO DE INMUNIZACION (PAI - COVID 19)",IF(P169=CURSOS!$D$18,"ATENCION INTEGRAL EN ENFERMEDADES PREVALENTES EN PRIMERA INFANCIA (AIEPI)",IF(P169=CURSOS!$D$19,"ADMINISTRACION DE MEDICAMENTOS, INYECTOLOGIA  Y CANALIZACION ",IF(P169=CURSOS!$D$20,"OPERADOR DE VEHICULOS DE EMERGENCIA (OVE)",IF(P169=CURSOS!$D$21,"INSTITUCIONES AMIGAS DE LA MUJER Y LA INFANCIA (IAMI)",IF(P169=CURSOS!$D$22,"CUIDADO DEL DONANTE DE ORGANOS",IF(P169=CURSOS!$D$23,"ATENCION A VICTIMAS POR VIOLENCIA DE GENERO",IF(P169=CURSOS!$D$24,"IGUALDAD DE GENERO EN LA SALUD",IF(P169=CURSOS!$D$25,"BRIGADA DE EMERGENCIA",IF(P169=CURSOS!$D$26,"MANEJO DEL DOLOR Y CUIDADOS PALIATIVOS",IF(P169=CURSOS!$D$27,"TOMA DE MUESTRAS Y LABORATORIO POCT",IF(P169=CURSOS!$D$28,"IMPLANTE SUBDERMICO DE DISPOSITIVO INTRAUTERINO",IF(P169=CURSOS!$D$29,"SALUD MENTAL",IF(P169=CURSOS!$D$30,"PRIMEROS AUXILIOS PSICOLOGICOS",IF(P169=CURSOS!$D$31,"ATENCION A VICTIMAS POR CONFLICTO ARMADO",IF(P169=CURSOS!$D$32,"MANIPULACION DE ALIMENTOS Y BPM",IF(P169=CURSOS!$D$33,"ATENCION A PERSONAS CON DISCAPACIDAD",IF(P169=CURSOS!$D$34,"CUIDADO INTEGRAL DEL PACIENTE ADULTO",IF(P169=CURSOS!$D$35,"MANEJO DEFENSIVO",IF(P169=CURSOS!$D$36,"SOPORTE CARDIOVASCULAR AVANZADO NEONATAL",IF(P169=CURSOS!$D$37,"SEGURIDAD DEL PACIENTE",IF(P169=CURSOS!$D$38,"MANEJO DE RESIDUOS HOSPITALARIOS"))))))))))))))))))))))))))))))))))))</f>
        <v xml:space="preserve">SOPORTE CARDIOVASCULAR AVANZADO (ACLS) </v>
      </c>
      <c r="W169" s="65" t="str">
        <f t="shared" si="12"/>
        <v>Valentina  Romero Pantoja</v>
      </c>
      <c r="X169" s="65" t="str">
        <f t="shared" si="13"/>
        <v>Valentina  Romero Pantoja</v>
      </c>
      <c r="Y169" s="65" t="str">
        <f t="shared" si="14"/>
        <v>Valentina  Romero Pantoja-1143872938-ACLS</v>
      </c>
    </row>
    <row r="170" spans="1:25" s="58" customFormat="1" x14ac:dyDescent="0.2">
      <c r="A170" s="59">
        <v>169</v>
      </c>
      <c r="B170" s="60">
        <v>1143872938</v>
      </c>
      <c r="C170" s="60" t="s">
        <v>552</v>
      </c>
      <c r="D170" s="60" t="s">
        <v>284</v>
      </c>
      <c r="E170" s="60" t="s">
        <v>553</v>
      </c>
      <c r="F170" s="60"/>
      <c r="G170" s="60">
        <v>27</v>
      </c>
      <c r="H170" s="60" t="s">
        <v>103</v>
      </c>
      <c r="I170" s="61" t="s">
        <v>123</v>
      </c>
      <c r="J170" s="61" t="s">
        <v>179</v>
      </c>
      <c r="K170" s="62">
        <v>45745</v>
      </c>
      <c r="L170" s="63">
        <v>20000</v>
      </c>
      <c r="M170" s="60" t="s">
        <v>126</v>
      </c>
      <c r="N170" s="60" t="s">
        <v>105</v>
      </c>
      <c r="O170" s="60" t="s">
        <v>106</v>
      </c>
      <c r="P170" s="60" t="s">
        <v>19</v>
      </c>
      <c r="Q170" s="61">
        <v>35635</v>
      </c>
      <c r="R170" s="60" t="s">
        <v>107</v>
      </c>
      <c r="S170" s="98" t="s">
        <v>131</v>
      </c>
      <c r="T170" s="60">
        <v>3163081727</v>
      </c>
      <c r="U170" s="60" t="s">
        <v>554</v>
      </c>
      <c r="V170" s="65" t="str">
        <f>IF(P170=CURSOS!$D$3,"DIPLOMADO EN ATENCION PRE-HOSPITALARIA",IF(P170=CURSOS!$D$4,"ACOMPAÑAMIENTO Y MANEJO DEL DUELO",IF(P170=CURSOS!$D$5,"ATENCION A VICTIMAS DE ATAQUE CON AGENTES QUIMICOS ",IF(P170=CURSOS!$D$6,"PRIMEROS AUXILIOS ",IF(P170=CURSOS!$D$7,"DIPLOMADO DE UNIDAD DE CUIDADOS INTENSIVOS (UCI)",IF(P170=CURSOS!$D$8,"MODELO DE ATENCION PARA EVENTOS EMERGENTES EN SALUD MENTAL (CODIGO VERDE)",IF(P170=CURSOS!$D$9,"HUMANIZACION EN EL SERVICIO DE LA SALUD Y BUENAS PRACTICAS EN PACIENTE ",IF(P170=CURSOS!$D$10,"CLINICA DE HERIDAS ",IF(P170=CURSOS!$D$11,"TOMA DE CITOLOGIA CERVICO VAGINAL ",IF(P170=CURSOS!$D$12,"SOPORTE CARDIOVASCULAR AVANZADO (ACLS) ",IF(P170=CURSOS!$D$13,"CAMILLERO ",IF(P170=CURSOS!$D$14,"TOMA DE MUESTRAS Y LABORATORIO ",IF(P170=CURSOS!$D$15,"SOPORTE VITAL BASICO (BLS)",IF(P170=CURSOS!$D$16,"ATENCION A VICTIMAS DE VIOLENCIA SEXUAL ",IF(P170=CURSOS!$D$17,"PROGRAMADO AMPLIADO DE INMUNIZACION (PAI - COVID 19)",IF(P170=CURSOS!$D$18,"ATENCION INTEGRAL EN ENFERMEDADES PREVALENTES EN PRIMERA INFANCIA (AIEPI)",IF(P170=CURSOS!$D$19,"ADMINISTRACION DE MEDICAMENTOS, INYECTOLOGIA  Y CANALIZACION ",IF(P170=CURSOS!$D$20,"OPERADOR DE VEHICULOS DE EMERGENCIA (OVE)",IF(P170=CURSOS!$D$21,"INSTITUCIONES AMIGAS DE LA MUJER Y LA INFANCIA (IAMI)",IF(P170=CURSOS!$D$22,"CUIDADO DEL DONANTE DE ORGANOS",IF(P170=CURSOS!$D$23,"ATENCION A VICTIMAS POR VIOLENCIA DE GENERO",IF(P170=CURSOS!$D$24,"IGUALDAD DE GENERO EN LA SALUD",IF(P170=CURSOS!$D$25,"BRIGADA DE EMERGENCIA",IF(P170=CURSOS!$D$26,"MANEJO DEL DOLOR Y CUIDADOS PALIATIVOS",IF(P170=CURSOS!$D$27,"TOMA DE MUESTRAS Y LABORATORIO POCT",IF(P170=CURSOS!$D$28,"IMPLANTE SUBDERMICO DE DISPOSITIVO INTRAUTERINO",IF(P170=CURSOS!$D$29,"SALUD MENTAL",IF(P170=CURSOS!$D$30,"PRIMEROS AUXILIOS PSICOLOGICOS",IF(P170=CURSOS!$D$31,"ATENCION A VICTIMAS POR CONFLICTO ARMADO",IF(P170=CURSOS!$D$32,"MANIPULACION DE ALIMENTOS Y BPM",IF(P170=CURSOS!$D$33,"ATENCION A PERSONAS CON DISCAPACIDAD",IF(P170=CURSOS!$D$34,"CUIDADO INTEGRAL DEL PACIENTE ADULTO",IF(P170=CURSOS!$D$35,"MANEJO DEFENSIVO",IF(P170=CURSOS!$D$36,"SOPORTE CARDIOVASCULAR AVANZADO NEONATAL",IF(P170=CURSOS!$D$37,"SEGURIDAD DEL PACIENTE",IF(P170=CURSOS!$D$38,"MANEJO DE RESIDUOS HOSPITALARIOS"))))))))))))))))))))))))))))))))))))</f>
        <v>SOPORTE VITAL BASICO (BLS)</v>
      </c>
      <c r="W170" s="65" t="str">
        <f t="shared" si="12"/>
        <v>Valentina  Romero Pantoja</v>
      </c>
      <c r="X170" s="65" t="str">
        <f t="shared" si="13"/>
        <v>Valentina  Romero Pantoja</v>
      </c>
      <c r="Y170" s="65" t="str">
        <f t="shared" si="14"/>
        <v>Valentina  Romero Pantoja-1143872938-BLS</v>
      </c>
    </row>
    <row r="171" spans="1:25" s="58" customFormat="1" x14ac:dyDescent="0.2">
      <c r="A171" s="59">
        <v>170</v>
      </c>
      <c r="B171" s="60">
        <v>1143872938</v>
      </c>
      <c r="C171" s="60" t="s">
        <v>552</v>
      </c>
      <c r="D171" s="60" t="s">
        <v>284</v>
      </c>
      <c r="E171" s="60" t="s">
        <v>553</v>
      </c>
      <c r="F171" s="60"/>
      <c r="G171" s="60">
        <v>28</v>
      </c>
      <c r="H171" s="60" t="s">
        <v>103</v>
      </c>
      <c r="I171" s="61" t="s">
        <v>123</v>
      </c>
      <c r="J171" s="61" t="s">
        <v>179</v>
      </c>
      <c r="K171" s="62">
        <v>45745</v>
      </c>
      <c r="L171" s="63">
        <v>35000</v>
      </c>
      <c r="M171" s="60" t="s">
        <v>126</v>
      </c>
      <c r="N171" s="60" t="s">
        <v>105</v>
      </c>
      <c r="O171" s="60" t="s">
        <v>106</v>
      </c>
      <c r="P171" s="60" t="s">
        <v>42</v>
      </c>
      <c r="Q171" s="61">
        <v>35635</v>
      </c>
      <c r="R171" s="60" t="s">
        <v>107</v>
      </c>
      <c r="S171" s="98" t="s">
        <v>131</v>
      </c>
      <c r="T171" s="60">
        <v>3163081727</v>
      </c>
      <c r="U171" s="60" t="s">
        <v>554</v>
      </c>
      <c r="V171" s="65" t="str">
        <f>IF(P171=CURSOS!$D$3,"DIPLOMADO EN ATENCION PRE-HOSPITALARIA",IF(P171=CURSOS!$D$4,"ACOMPAÑAMIENTO Y MANEJO DEL DUELO",IF(P171=CURSOS!$D$5,"ATENCION A VICTIMAS DE ATAQUE CON AGENTES QUIMICOS ",IF(P171=CURSOS!$D$6,"PRIMEROS AUXILIOS ",IF(P171=CURSOS!$D$7,"DIPLOMADO DE UNIDAD DE CUIDADOS INTENSIVOS (UCI)",IF(P171=CURSOS!$D$8,"MODELO DE ATENCION PARA EVENTOS EMERGENTES EN SALUD MENTAL (CODIGO VERDE)",IF(P171=CURSOS!$D$9,"HUMANIZACION EN EL SERVICIO DE LA SALUD Y BUENAS PRACTICAS EN PACIENTE ",IF(P171=CURSOS!$D$10,"CLINICA DE HERIDAS ",IF(P171=CURSOS!$D$11,"TOMA DE CITOLOGIA CERVICO VAGINAL ",IF(P171=CURSOS!$D$12,"SOPORTE CARDIOVASCULAR AVANZADO (ACLS) ",IF(P171=CURSOS!$D$13,"CAMILLERO ",IF(P171=CURSOS!$D$14,"TOMA DE MUESTRAS Y LABORATORIO ",IF(P171=CURSOS!$D$15,"SOPORTE VITAL BASICO (BLS)",IF(P171=CURSOS!$D$16,"ATENCION A VICTIMAS DE VIOLENCIA SEXUAL ",IF(P171=CURSOS!$D$17,"PROGRAMADO AMPLIADO DE INMUNIZACION (PAI - COVID 19)",IF(P171=CURSOS!$D$18,"ATENCION INTEGRAL EN ENFERMEDADES PREVALENTES EN PRIMERA INFANCIA (AIEPI)",IF(P171=CURSOS!$D$19,"ADMINISTRACION DE MEDICAMENTOS, INYECTOLOGIA  Y CANALIZACION ",IF(P171=CURSOS!$D$20,"OPERADOR DE VEHICULOS DE EMERGENCIA (OVE)",IF(P171=CURSOS!$D$21,"INSTITUCIONES AMIGAS DE LA MUJER Y LA INFANCIA (IAMI)",IF(P171=CURSOS!$D$22,"CUIDADO DEL DONANTE DE ORGANOS",IF(P171=CURSOS!$D$23,"ATENCION A VICTIMAS POR VIOLENCIA DE GENERO",IF(P171=CURSOS!$D$24,"IGUALDAD DE GENERO EN LA SALUD",IF(P171=CURSOS!$D$25,"BRIGADA DE EMERGENCIA",IF(P171=CURSOS!$D$26,"MANEJO DEL DOLOR Y CUIDADOS PALIATIVOS",IF(P171=CURSOS!$D$27,"TOMA DE MUESTRAS Y LABORATORIO POCT",IF(P171=CURSOS!$D$28,"IMPLANTE SUBDERMICO DE DISPOSITIVO INTRAUTERINO",IF(P171=CURSOS!$D$29,"SALUD MENTAL",IF(P171=CURSOS!$D$30,"PRIMEROS AUXILIOS PSICOLOGICOS",IF(P171=CURSOS!$D$31,"ATENCION A VICTIMAS POR CONFLICTO ARMADO",IF(P171=CURSOS!$D$32,"MANIPULACION DE ALIMENTOS Y BPM",IF(P171=CURSOS!$D$33,"ATENCION A PERSONAS CON DISCAPACIDAD",IF(P171=CURSOS!$D$34,"CUIDADO INTEGRAL DEL PACIENTE ADULTO",IF(P171=CURSOS!$D$35,"MANEJO DEFENSIVO",IF(P171=CURSOS!$D$36,"SOPORTE CARDIOVASCULAR AVANZADO NEONATAL",IF(P171=CURSOS!$D$37,"SEGURIDAD DEL PACIENTE",IF(P171=CURSOS!$D$38,"MANEJO DE RESIDUOS HOSPITALARIOS"))))))))))))))))))))))))))))))))))))</f>
        <v xml:space="preserve">ATENCION A VICTIMAS DE VIOLENCIA SEXUAL </v>
      </c>
      <c r="W171" s="65" t="str">
        <f t="shared" si="12"/>
        <v>Valentina  Romero Pantoja</v>
      </c>
      <c r="X171" s="65" t="str">
        <f t="shared" si="13"/>
        <v>Valentina  Romero Pantoja</v>
      </c>
      <c r="Y171" s="65" t="str">
        <f t="shared" si="14"/>
        <v>Valentina  Romero Pantoja-1143872938-VIOLENCIA SEXUAL</v>
      </c>
    </row>
    <row r="172" spans="1:25" s="58" customFormat="1" x14ac:dyDescent="0.2">
      <c r="A172" s="59">
        <v>171</v>
      </c>
      <c r="B172" s="60">
        <v>1143872938</v>
      </c>
      <c r="C172" s="60" t="s">
        <v>552</v>
      </c>
      <c r="D172" s="60" t="s">
        <v>284</v>
      </c>
      <c r="E172" s="60" t="s">
        <v>553</v>
      </c>
      <c r="F172" s="60"/>
      <c r="G172" s="60">
        <v>28</v>
      </c>
      <c r="H172" s="60" t="s">
        <v>103</v>
      </c>
      <c r="I172" s="61" t="s">
        <v>123</v>
      </c>
      <c r="J172" s="61" t="s">
        <v>179</v>
      </c>
      <c r="K172" s="62">
        <v>45745</v>
      </c>
      <c r="L172" s="63">
        <v>35000</v>
      </c>
      <c r="M172" s="60" t="s">
        <v>126</v>
      </c>
      <c r="N172" s="60" t="s">
        <v>105</v>
      </c>
      <c r="O172" s="60" t="s">
        <v>106</v>
      </c>
      <c r="P172" s="60" t="s">
        <v>26</v>
      </c>
      <c r="Q172" s="61">
        <v>35635</v>
      </c>
      <c r="R172" s="60" t="s">
        <v>107</v>
      </c>
      <c r="S172" s="98" t="s">
        <v>131</v>
      </c>
      <c r="T172" s="60">
        <v>3163081727</v>
      </c>
      <c r="U172" s="60" t="s">
        <v>554</v>
      </c>
      <c r="V172" s="65" t="str">
        <f>IF(P172=CURSOS!$D$3,"DIPLOMADO EN ATENCION PRE-HOSPITALARIA",IF(P172=CURSOS!$D$4,"ACOMPAÑAMIENTO Y MANEJO DEL DUELO",IF(P172=CURSOS!$D$5,"ATENCION A VICTIMAS DE ATAQUE CON AGENTES QUIMICOS ",IF(P172=CURSOS!$D$6,"PRIMEROS AUXILIOS ",IF(P172=CURSOS!$D$7,"DIPLOMADO DE UNIDAD DE CUIDADOS INTENSIVOS (UCI)",IF(P172=CURSOS!$D$8,"MODELO DE ATENCION PARA EVENTOS EMERGENTES EN SALUD MENTAL (CODIGO VERDE)",IF(P172=CURSOS!$D$9,"HUMANIZACION EN EL SERVICIO DE LA SALUD Y BUENAS PRACTICAS EN PACIENTE ",IF(P172=CURSOS!$D$10,"CLINICA DE HERIDAS ",IF(P172=CURSOS!$D$11,"TOMA DE CITOLOGIA CERVICO VAGINAL ",IF(P172=CURSOS!$D$12,"SOPORTE CARDIOVASCULAR AVANZADO (ACLS) ",IF(P172=CURSOS!$D$13,"CAMILLERO ",IF(P172=CURSOS!$D$14,"TOMA DE MUESTRAS Y LABORATORIO ",IF(P172=CURSOS!$D$15,"SOPORTE VITAL BASICO (BLS)",IF(P172=CURSOS!$D$16,"ATENCION A VICTIMAS DE VIOLENCIA SEXUAL ",IF(P172=CURSOS!$D$17,"PROGRAMADO AMPLIADO DE INMUNIZACION (PAI - COVID 19)",IF(P172=CURSOS!$D$18,"ATENCION INTEGRAL EN ENFERMEDADES PREVALENTES EN PRIMERA INFANCIA (AIEPI)",IF(P172=CURSOS!$D$19,"ADMINISTRACION DE MEDICAMENTOS, INYECTOLOGIA  Y CANALIZACION ",IF(P172=CURSOS!$D$20,"OPERADOR DE VEHICULOS DE EMERGENCIA (OVE)",IF(P172=CURSOS!$D$21,"INSTITUCIONES AMIGAS DE LA MUJER Y LA INFANCIA (IAMI)",IF(P172=CURSOS!$D$22,"CUIDADO DEL DONANTE DE ORGANOS",IF(P172=CURSOS!$D$23,"ATENCION A VICTIMAS POR VIOLENCIA DE GENERO",IF(P172=CURSOS!$D$24,"IGUALDAD DE GENERO EN LA SALUD",IF(P172=CURSOS!$D$25,"BRIGADA DE EMERGENCIA",IF(P172=CURSOS!$D$26,"MANEJO DEL DOLOR Y CUIDADOS PALIATIVOS",IF(P172=CURSOS!$D$27,"TOMA DE MUESTRAS Y LABORATORIO POCT",IF(P172=CURSOS!$D$28,"IMPLANTE SUBDERMICO DE DISPOSITIVO INTRAUTERINO",IF(P172=CURSOS!$D$29,"SALUD MENTAL",IF(P172=CURSOS!$D$30,"PRIMEROS AUXILIOS PSICOLOGICOS",IF(P172=CURSOS!$D$31,"ATENCION A VICTIMAS POR CONFLICTO ARMADO",IF(P172=CURSOS!$D$32,"MANIPULACION DE ALIMENTOS Y BPM",IF(P172=CURSOS!$D$33,"ATENCION A PERSONAS CON DISCAPACIDAD",IF(P172=CURSOS!$D$34,"CUIDADO INTEGRAL DEL PACIENTE ADULTO",IF(P172=CURSOS!$D$35,"MANEJO DEFENSIVO",IF(P172=CURSOS!$D$36,"SOPORTE CARDIOVASCULAR AVANZADO NEONATAL",IF(P172=CURSOS!$D$37,"SEGURIDAD DEL PACIENTE",IF(P172=CURSOS!$D$38,"MANEJO DE RESIDUOS HOSPITALARIOS"))))))))))))))))))))))))))))))))))))</f>
        <v xml:space="preserve">PRIMEROS AUXILIOS </v>
      </c>
      <c r="W172" s="65" t="str">
        <f t="shared" si="12"/>
        <v>Valentina  Romero Pantoja</v>
      </c>
      <c r="X172" s="65" t="str">
        <f t="shared" si="13"/>
        <v>Valentina  Romero Pantoja</v>
      </c>
      <c r="Y172" s="65" t="str">
        <f t="shared" si="14"/>
        <v>Valentina  Romero Pantoja-1143872938-PRIMEROS AUXILIOS</v>
      </c>
    </row>
    <row r="173" spans="1:25" s="58" customFormat="1" x14ac:dyDescent="0.2">
      <c r="A173" s="59">
        <v>172</v>
      </c>
      <c r="B173" s="60">
        <v>1084226326</v>
      </c>
      <c r="C173" s="60" t="s">
        <v>500</v>
      </c>
      <c r="D173" s="60" t="s">
        <v>354</v>
      </c>
      <c r="E173" s="60" t="s">
        <v>555</v>
      </c>
      <c r="F173" s="60" t="s">
        <v>257</v>
      </c>
      <c r="G173" s="60">
        <v>31</v>
      </c>
      <c r="H173" s="60" t="s">
        <v>103</v>
      </c>
      <c r="I173" s="61" t="s">
        <v>123</v>
      </c>
      <c r="J173" s="61" t="s">
        <v>179</v>
      </c>
      <c r="K173" s="62">
        <v>45747</v>
      </c>
      <c r="L173" s="63">
        <v>35000</v>
      </c>
      <c r="M173" s="60" t="s">
        <v>156</v>
      </c>
      <c r="N173" s="60" t="s">
        <v>105</v>
      </c>
      <c r="O173" s="60" t="s">
        <v>106</v>
      </c>
      <c r="P173" s="60" t="s">
        <v>57</v>
      </c>
      <c r="Q173" s="61">
        <v>34904</v>
      </c>
      <c r="R173" s="60" t="s">
        <v>107</v>
      </c>
      <c r="S173" s="75" t="s">
        <v>117</v>
      </c>
      <c r="T173" s="60">
        <v>3135902683</v>
      </c>
      <c r="U173" s="64" t="s">
        <v>556</v>
      </c>
      <c r="V173" s="65" t="str">
        <f>IF(P173=CURSOS!$D$3,"DIPLOMADO EN ATENCION PRE-HOSPITALARIA",IF(P173=CURSOS!$D$4,"ACOMPAÑAMIENTO Y MANEJO DEL DUELO",IF(P173=CURSOS!$D$5,"ATENCION A VICTIMAS DE ATAQUE CON AGENTES QUIMICOS ",IF(P173=CURSOS!$D$6,"PRIMEROS AUXILIOS ",IF(P173=CURSOS!$D$7,"DIPLOMADO DE UNIDAD DE CUIDADOS INTENSIVOS (UCI)",IF(P173=CURSOS!$D$8,"MODELO DE ATENCION PARA EVENTOS EMERGENTES EN SALUD MENTAL (CODIGO VERDE)",IF(P173=CURSOS!$D$9,"HUMANIZACION EN EL SERVICIO DE LA SALUD Y BUENAS PRACTICAS EN PACIENTE ",IF(P173=CURSOS!$D$10,"CLINICA DE HERIDAS ",IF(P173=CURSOS!$D$11,"TOMA DE CITOLOGIA CERVICO VAGINAL ",IF(P173=CURSOS!$D$12,"SOPORTE CARDIOVASCULAR AVANZADO (ACLS) ",IF(P173=CURSOS!$D$13,"CAMILLERO ",IF(P173=CURSOS!$D$14,"TOMA DE MUESTRAS Y LABORATORIO ",IF(P173=CURSOS!$D$15,"SOPORTE VITAL BASICO (BLS)",IF(P173=CURSOS!$D$16,"ATENCION A VICTIMAS DE VIOLENCIA SEXUAL ",IF(P173=CURSOS!$D$17,"PROGRAMADO AMPLIADO DE INMUNIZACION (PAI - COVID 19)",IF(P173=CURSOS!$D$18,"ATENCION INTEGRAL EN ENFERMEDADES PREVALENTES EN PRIMERA INFANCIA (AIEPI)",IF(P173=CURSOS!$D$19,"ADMINISTRACION DE MEDICAMENTOS, INYECTOLOGIA  Y CANALIZACION ",IF(P173=CURSOS!$D$20,"OPERADOR DE VEHICULOS DE EMERGENCIA (OVE)",IF(P173=CURSOS!$D$21,"INSTITUCIONES AMIGAS DE LA MUJER Y LA INFANCIA (IAMI)",IF(P173=CURSOS!$D$22,"CUIDADO DEL DONANTE DE ORGANOS",IF(P173=CURSOS!$D$23,"ATENCION A VICTIMAS POR VIOLENCIA DE GENERO",IF(P173=CURSOS!$D$24,"IGUALDAD DE GENERO EN LA SALUD",IF(P173=CURSOS!$D$25,"BRIGADA DE EMERGENCIA",IF(P173=CURSOS!$D$26,"MANEJO DEL DOLOR Y CUIDADOS PALIATIVOS",IF(P173=CURSOS!$D$27,"TOMA DE MUESTRAS Y LABORATORIO POCT",IF(P173=CURSOS!$D$28,"IMPLANTE SUBDERMICO DE DISPOSITIVO INTRAUTERINO",IF(P173=CURSOS!$D$29,"SALUD MENTAL",IF(P173=CURSOS!$D$30,"PRIMEROS AUXILIOS PSICOLOGICOS",IF(P173=CURSOS!$D$31,"ATENCION A VICTIMAS POR CONFLICTO ARMADO",IF(P173=CURSOS!$D$32,"MANIPULACION DE ALIMENTOS Y BPM",IF(P173=CURSOS!$D$33,"ATENCION A PERSONAS CON DISCAPACIDAD",IF(P173=CURSOS!$D$34,"CUIDADO INTEGRAL DEL PACIENTE ADULTO",IF(P173=CURSOS!$D$35,"MANEJO DEFENSIVO",IF(P173=CURSOS!$D$36,"SOPORTE CARDIOVASCULAR AVANZADO NEONATAL",IF(P173=CURSOS!$D$37,"SEGURIDAD DEL PACIENTE",IF(P173=CURSOS!$D$38,"MANEJO DE RESIDUOS HOSPITALARIOS"))))))))))))))))))))))))))))))))))))</f>
        <v>MANEJO DEL DOLOR Y CUIDADOS PALIATIVOS</v>
      </c>
      <c r="W173" s="65" t="str">
        <f t="shared" si="12"/>
        <v>Francy Carolina Trejo Andrade</v>
      </c>
      <c r="X173" s="65" t="str">
        <f t="shared" si="13"/>
        <v>Francy Carolina Trejo Andrade</v>
      </c>
      <c r="Y173" s="65" t="str">
        <f t="shared" si="14"/>
        <v>Francy Carolina Trejo Andrade-1084226326-PALIATIVOS</v>
      </c>
    </row>
    <row r="174" spans="1:25" s="58" customFormat="1" x14ac:dyDescent="0.2">
      <c r="A174" s="59">
        <v>173</v>
      </c>
      <c r="B174" s="60">
        <v>1084226326</v>
      </c>
      <c r="C174" s="60" t="s">
        <v>500</v>
      </c>
      <c r="D174" s="60" t="s">
        <v>354</v>
      </c>
      <c r="E174" s="60" t="s">
        <v>555</v>
      </c>
      <c r="F174" s="60" t="s">
        <v>257</v>
      </c>
      <c r="G174" s="60">
        <v>29</v>
      </c>
      <c r="H174" s="60" t="s">
        <v>103</v>
      </c>
      <c r="I174" s="61" t="s">
        <v>123</v>
      </c>
      <c r="J174" s="61" t="s">
        <v>179</v>
      </c>
      <c r="K174" s="62">
        <v>45747</v>
      </c>
      <c r="L174" s="63">
        <v>35000</v>
      </c>
      <c r="M174" s="60" t="s">
        <v>156</v>
      </c>
      <c r="N174" s="60" t="s">
        <v>105</v>
      </c>
      <c r="O174" s="60" t="s">
        <v>106</v>
      </c>
      <c r="P174" s="60" t="s">
        <v>19</v>
      </c>
      <c r="Q174" s="61">
        <v>34904</v>
      </c>
      <c r="R174" s="60" t="s">
        <v>107</v>
      </c>
      <c r="S174" s="75" t="s">
        <v>117</v>
      </c>
      <c r="T174" s="60">
        <v>3135902683</v>
      </c>
      <c r="U174" s="64" t="s">
        <v>556</v>
      </c>
      <c r="V174" s="65" t="str">
        <f>IF(P174=CURSOS!$D$3,"DIPLOMADO EN ATENCION PRE-HOSPITALARIA",IF(P174=CURSOS!$D$4,"ACOMPAÑAMIENTO Y MANEJO DEL DUELO",IF(P174=CURSOS!$D$5,"ATENCION A VICTIMAS DE ATAQUE CON AGENTES QUIMICOS ",IF(P174=CURSOS!$D$6,"PRIMEROS AUXILIOS ",IF(P174=CURSOS!$D$7,"DIPLOMADO DE UNIDAD DE CUIDADOS INTENSIVOS (UCI)",IF(P174=CURSOS!$D$8,"MODELO DE ATENCION PARA EVENTOS EMERGENTES EN SALUD MENTAL (CODIGO VERDE)",IF(P174=CURSOS!$D$9,"HUMANIZACION EN EL SERVICIO DE LA SALUD Y BUENAS PRACTICAS EN PACIENTE ",IF(P174=CURSOS!$D$10,"CLINICA DE HERIDAS ",IF(P174=CURSOS!$D$11,"TOMA DE CITOLOGIA CERVICO VAGINAL ",IF(P174=CURSOS!$D$12,"SOPORTE CARDIOVASCULAR AVANZADO (ACLS) ",IF(P174=CURSOS!$D$13,"CAMILLERO ",IF(P174=CURSOS!$D$14,"TOMA DE MUESTRAS Y LABORATORIO ",IF(P174=CURSOS!$D$15,"SOPORTE VITAL BASICO (BLS)",IF(P174=CURSOS!$D$16,"ATENCION A VICTIMAS DE VIOLENCIA SEXUAL ",IF(P174=CURSOS!$D$17,"PROGRAMADO AMPLIADO DE INMUNIZACION (PAI - COVID 19)",IF(P174=CURSOS!$D$18,"ATENCION INTEGRAL EN ENFERMEDADES PREVALENTES EN PRIMERA INFANCIA (AIEPI)",IF(P174=CURSOS!$D$19,"ADMINISTRACION DE MEDICAMENTOS, INYECTOLOGIA  Y CANALIZACION ",IF(P174=CURSOS!$D$20,"OPERADOR DE VEHICULOS DE EMERGENCIA (OVE)",IF(P174=CURSOS!$D$21,"INSTITUCIONES AMIGAS DE LA MUJER Y LA INFANCIA (IAMI)",IF(P174=CURSOS!$D$22,"CUIDADO DEL DONANTE DE ORGANOS",IF(P174=CURSOS!$D$23,"ATENCION A VICTIMAS POR VIOLENCIA DE GENERO",IF(P174=CURSOS!$D$24,"IGUALDAD DE GENERO EN LA SALUD",IF(P174=CURSOS!$D$25,"BRIGADA DE EMERGENCIA",IF(P174=CURSOS!$D$26,"MANEJO DEL DOLOR Y CUIDADOS PALIATIVOS",IF(P174=CURSOS!$D$27,"TOMA DE MUESTRAS Y LABORATORIO POCT",IF(P174=CURSOS!$D$28,"IMPLANTE SUBDERMICO DE DISPOSITIVO INTRAUTERINO",IF(P174=CURSOS!$D$29,"SALUD MENTAL",IF(P174=CURSOS!$D$30,"PRIMEROS AUXILIOS PSICOLOGICOS",IF(P174=CURSOS!$D$31,"ATENCION A VICTIMAS POR CONFLICTO ARMADO",IF(P174=CURSOS!$D$32,"MANIPULACION DE ALIMENTOS Y BPM",IF(P174=CURSOS!$D$33,"ATENCION A PERSONAS CON DISCAPACIDAD",IF(P174=CURSOS!$D$34,"CUIDADO INTEGRAL DEL PACIENTE ADULTO",IF(P174=CURSOS!$D$35,"MANEJO DEFENSIVO",IF(P174=CURSOS!$D$36,"SOPORTE CARDIOVASCULAR AVANZADO NEONATAL",IF(P174=CURSOS!$D$37,"SEGURIDAD DEL PACIENTE",IF(P174=CURSOS!$D$38,"MANEJO DE RESIDUOS HOSPITALARIOS"))))))))))))))))))))))))))))))))))))</f>
        <v>SOPORTE VITAL BASICO (BLS)</v>
      </c>
      <c r="W174" s="65" t="str">
        <f t="shared" si="12"/>
        <v>Francy Carolina Trejo Andrade</v>
      </c>
      <c r="X174" s="65" t="str">
        <f t="shared" si="13"/>
        <v>Francy Carolina Trejo Andrade</v>
      </c>
      <c r="Y174" s="65" t="str">
        <f t="shared" si="14"/>
        <v>Francy Carolina Trejo Andrade-1084226326-BLS</v>
      </c>
    </row>
    <row r="175" spans="1:25" s="58" customFormat="1" x14ac:dyDescent="0.2">
      <c r="A175" s="59">
        <v>174</v>
      </c>
      <c r="B175" s="60">
        <v>1084226326</v>
      </c>
      <c r="C175" s="60" t="s">
        <v>500</v>
      </c>
      <c r="D175" s="60" t="s">
        <v>354</v>
      </c>
      <c r="E175" s="60" t="s">
        <v>555</v>
      </c>
      <c r="F175" s="60" t="s">
        <v>257</v>
      </c>
      <c r="G175" s="60">
        <v>28</v>
      </c>
      <c r="H175" s="60" t="s">
        <v>103</v>
      </c>
      <c r="I175" s="61" t="s">
        <v>123</v>
      </c>
      <c r="J175" s="61" t="s">
        <v>179</v>
      </c>
      <c r="K175" s="62">
        <v>45747</v>
      </c>
      <c r="L175" s="63">
        <v>35000</v>
      </c>
      <c r="M175" s="60" t="s">
        <v>156</v>
      </c>
      <c r="N175" s="60" t="s">
        <v>105</v>
      </c>
      <c r="O175" s="60" t="s">
        <v>106</v>
      </c>
      <c r="P175" s="60" t="s">
        <v>42</v>
      </c>
      <c r="Q175" s="61">
        <v>34904</v>
      </c>
      <c r="R175" s="60" t="s">
        <v>107</v>
      </c>
      <c r="S175" s="75" t="s">
        <v>117</v>
      </c>
      <c r="T175" s="60">
        <v>3135902683</v>
      </c>
      <c r="U175" s="64" t="s">
        <v>556</v>
      </c>
      <c r="V175" s="65" t="str">
        <f>IF(P175=CURSOS!$D$3,"DIPLOMADO EN ATENCION PRE-HOSPITALARIA",IF(P175=CURSOS!$D$4,"ACOMPAÑAMIENTO Y MANEJO DEL DUELO",IF(P175=CURSOS!$D$5,"ATENCION A VICTIMAS DE ATAQUE CON AGENTES QUIMICOS ",IF(P175=CURSOS!$D$6,"PRIMEROS AUXILIOS ",IF(P175=CURSOS!$D$7,"DIPLOMADO DE UNIDAD DE CUIDADOS INTENSIVOS (UCI)",IF(P175=CURSOS!$D$8,"MODELO DE ATENCION PARA EVENTOS EMERGENTES EN SALUD MENTAL (CODIGO VERDE)",IF(P175=CURSOS!$D$9,"HUMANIZACION EN EL SERVICIO DE LA SALUD Y BUENAS PRACTICAS EN PACIENTE ",IF(P175=CURSOS!$D$10,"CLINICA DE HERIDAS ",IF(P175=CURSOS!$D$11,"TOMA DE CITOLOGIA CERVICO VAGINAL ",IF(P175=CURSOS!$D$12,"SOPORTE CARDIOVASCULAR AVANZADO (ACLS) ",IF(P175=CURSOS!$D$13,"CAMILLERO ",IF(P175=CURSOS!$D$14,"TOMA DE MUESTRAS Y LABORATORIO ",IF(P175=CURSOS!$D$15,"SOPORTE VITAL BASICO (BLS)",IF(P175=CURSOS!$D$16,"ATENCION A VICTIMAS DE VIOLENCIA SEXUAL ",IF(P175=CURSOS!$D$17,"PROGRAMADO AMPLIADO DE INMUNIZACION (PAI - COVID 19)",IF(P175=CURSOS!$D$18,"ATENCION INTEGRAL EN ENFERMEDADES PREVALENTES EN PRIMERA INFANCIA (AIEPI)",IF(P175=CURSOS!$D$19,"ADMINISTRACION DE MEDICAMENTOS, INYECTOLOGIA  Y CANALIZACION ",IF(P175=CURSOS!$D$20,"OPERADOR DE VEHICULOS DE EMERGENCIA (OVE)",IF(P175=CURSOS!$D$21,"INSTITUCIONES AMIGAS DE LA MUJER Y LA INFANCIA (IAMI)",IF(P175=CURSOS!$D$22,"CUIDADO DEL DONANTE DE ORGANOS",IF(P175=CURSOS!$D$23,"ATENCION A VICTIMAS POR VIOLENCIA DE GENERO",IF(P175=CURSOS!$D$24,"IGUALDAD DE GENERO EN LA SALUD",IF(P175=CURSOS!$D$25,"BRIGADA DE EMERGENCIA",IF(P175=CURSOS!$D$26,"MANEJO DEL DOLOR Y CUIDADOS PALIATIVOS",IF(P175=CURSOS!$D$27,"TOMA DE MUESTRAS Y LABORATORIO POCT",IF(P175=CURSOS!$D$28,"IMPLANTE SUBDERMICO DE DISPOSITIVO INTRAUTERINO",IF(P175=CURSOS!$D$29,"SALUD MENTAL",IF(P175=CURSOS!$D$30,"PRIMEROS AUXILIOS PSICOLOGICOS",IF(P175=CURSOS!$D$31,"ATENCION A VICTIMAS POR CONFLICTO ARMADO",IF(P175=CURSOS!$D$32,"MANIPULACION DE ALIMENTOS Y BPM",IF(P175=CURSOS!$D$33,"ATENCION A PERSONAS CON DISCAPACIDAD",IF(P175=CURSOS!$D$34,"CUIDADO INTEGRAL DEL PACIENTE ADULTO",IF(P175=CURSOS!$D$35,"MANEJO DEFENSIVO",IF(P175=CURSOS!$D$36,"SOPORTE CARDIOVASCULAR AVANZADO NEONATAL",IF(P175=CURSOS!$D$37,"SEGURIDAD DEL PACIENTE",IF(P175=CURSOS!$D$38,"MANEJO DE RESIDUOS HOSPITALARIOS"))))))))))))))))))))))))))))))))))))</f>
        <v xml:space="preserve">ATENCION A VICTIMAS DE VIOLENCIA SEXUAL </v>
      </c>
      <c r="W175" s="65" t="str">
        <f t="shared" si="12"/>
        <v>Francy Carolina Trejo Andrade</v>
      </c>
      <c r="X175" s="65" t="str">
        <f t="shared" si="13"/>
        <v>Francy Carolina Trejo Andrade</v>
      </c>
      <c r="Y175" s="65" t="str">
        <f t="shared" si="14"/>
        <v>Francy Carolina Trejo Andrade-1084226326-VIOLENCIA SEXUAL</v>
      </c>
    </row>
    <row r="176" spans="1:25" s="58" customFormat="1" x14ac:dyDescent="0.2">
      <c r="A176" s="59">
        <v>175</v>
      </c>
      <c r="B176" s="60">
        <v>1085299919</v>
      </c>
      <c r="C176" s="60" t="s">
        <v>160</v>
      </c>
      <c r="D176" s="60" t="s">
        <v>193</v>
      </c>
      <c r="E176" s="60" t="s">
        <v>557</v>
      </c>
      <c r="F176" s="60" t="s">
        <v>558</v>
      </c>
      <c r="G176" s="60">
        <v>31</v>
      </c>
      <c r="H176" s="60" t="s">
        <v>103</v>
      </c>
      <c r="I176" s="61" t="s">
        <v>123</v>
      </c>
      <c r="J176" s="61"/>
      <c r="K176" s="62">
        <v>45747</v>
      </c>
      <c r="L176" s="63">
        <v>40000</v>
      </c>
      <c r="M176" s="60" t="s">
        <v>126</v>
      </c>
      <c r="N176" s="60" t="s">
        <v>105</v>
      </c>
      <c r="O176" s="60" t="s">
        <v>106</v>
      </c>
      <c r="P176" s="60" t="s">
        <v>32</v>
      </c>
      <c r="Q176" s="61">
        <v>33891</v>
      </c>
      <c r="R176" s="60" t="s">
        <v>107</v>
      </c>
      <c r="S176" s="96" t="s">
        <v>131</v>
      </c>
      <c r="T176" s="60">
        <v>3126149772</v>
      </c>
      <c r="U176" s="60" t="s">
        <v>559</v>
      </c>
      <c r="V176" s="65" t="str">
        <f>IF(P176=CURSOS!$D$3,"DIPLOMADO EN ATENCION PRE-HOSPITALARIA",IF(P176=CURSOS!$D$4,"ACOMPAÑAMIENTO Y MANEJO DEL DUELO",IF(P176=CURSOS!$D$5,"ATENCION A VICTIMAS DE ATAQUE CON AGENTES QUIMICOS ",IF(P176=CURSOS!$D$6,"PRIMEROS AUXILIOS ",IF(P176=CURSOS!$D$7,"DIPLOMADO DE UNIDAD DE CUIDADOS INTENSIVOS (UCI)",IF(P176=CURSOS!$D$8,"MODELO DE ATENCION PARA EVENTOS EMERGENTES EN SALUD MENTAL (CODIGO VERDE)",IF(P176=CURSOS!$D$9,"HUMANIZACION EN EL SERVICIO DE LA SALUD Y BUENAS PRACTICAS EN PACIENTE ",IF(P176=CURSOS!$D$10,"CLINICA DE HERIDAS ",IF(P176=CURSOS!$D$11,"TOMA DE CITOLOGIA CERVICO VAGINAL ",IF(P176=CURSOS!$D$12,"SOPORTE CARDIOVASCULAR AVANZADO (ACLS) ",IF(P176=CURSOS!$D$13,"CAMILLERO ",IF(P176=CURSOS!$D$14,"TOMA DE MUESTRAS Y LABORATORIO ",IF(P176=CURSOS!$D$15,"SOPORTE VITAL BASICO (BLS)",IF(P176=CURSOS!$D$16,"ATENCION A VICTIMAS DE VIOLENCIA SEXUAL ",IF(P176=CURSOS!$D$17,"PROGRAMADO AMPLIADO DE INMUNIZACION (PAI - COVID 19)",IF(P176=CURSOS!$D$18,"ATENCION INTEGRAL EN ENFERMEDADES PREVALENTES EN PRIMERA INFANCIA (AIEPI)",IF(P176=CURSOS!$D$19,"ADMINISTRACION DE MEDICAMENTOS, INYECTOLOGIA  Y CANALIZACION ",IF(P176=CURSOS!$D$20,"OPERADOR DE VEHICULOS DE EMERGENCIA (OVE)",IF(P176=CURSOS!$D$21,"INSTITUCIONES AMIGAS DE LA MUJER Y LA INFANCIA (IAMI)",IF(P176=CURSOS!$D$22,"CUIDADO DEL DONANTE DE ORGANOS",IF(P176=CURSOS!$D$23,"ATENCION A VICTIMAS POR VIOLENCIA DE GENERO",IF(P176=CURSOS!$D$24,"IGUALDAD DE GENERO EN LA SALUD",IF(P176=CURSOS!$D$25,"BRIGADA DE EMERGENCIA",IF(P176=CURSOS!$D$26,"MANEJO DEL DOLOR Y CUIDADOS PALIATIVOS",IF(P176=CURSOS!$D$27,"TOMA DE MUESTRAS Y LABORATORIO POCT",IF(P176=CURSOS!$D$28,"IMPLANTE SUBDERMICO DE DISPOSITIVO INTRAUTERINO",IF(P176=CURSOS!$D$29,"SALUD MENTAL",IF(P176=CURSOS!$D$30,"PRIMEROS AUXILIOS PSICOLOGICOS",IF(P176=CURSOS!$D$31,"ATENCION A VICTIMAS POR CONFLICTO ARMADO",IF(P176=CURSOS!$D$32,"MANIPULACION DE ALIMENTOS Y BPM",IF(P176=CURSOS!$D$33,"ATENCION A PERSONAS CON DISCAPACIDAD",IF(P176=CURSOS!$D$34,"CUIDADO INTEGRAL DEL PACIENTE ADULTO",IF(P176=CURSOS!$D$35,"MANEJO DEFENSIVO",IF(P176=CURSOS!$D$36,"SOPORTE CARDIOVASCULAR AVANZADO NEONATAL",IF(P176=CURSOS!$D$37,"SEGURIDAD DEL PACIENTE",IF(P176=CURSOS!$D$38,"MANEJO DE RESIDUOS HOSPITALARIOS"))))))))))))))))))))))))))))))))))))</f>
        <v xml:space="preserve">HUMANIZACION EN EL SERVICIO DE LA SALUD Y BUENAS PRACTICAS EN PACIENTE </v>
      </c>
      <c r="W176" s="65" t="str">
        <f t="shared" si="12"/>
        <v>Ignacio Alexander Benavides Portillo</v>
      </c>
      <c r="X176" s="65" t="str">
        <f t="shared" si="13"/>
        <v>Ignacio Alexander Benavides Portillo</v>
      </c>
      <c r="Y176" s="65" t="str">
        <f t="shared" si="14"/>
        <v>Ignacio Alexander Benavides Portillo-1085299919-HUMANIZACION</v>
      </c>
    </row>
    <row r="177" spans="1:25" s="58" customFormat="1" x14ac:dyDescent="0.2">
      <c r="A177" s="59">
        <v>176</v>
      </c>
      <c r="B177" s="60">
        <v>1007292822</v>
      </c>
      <c r="C177" s="60" t="s">
        <v>146</v>
      </c>
      <c r="D177" s="60" t="s">
        <v>560</v>
      </c>
      <c r="E177" s="60" t="s">
        <v>309</v>
      </c>
      <c r="F177" s="60" t="s">
        <v>561</v>
      </c>
      <c r="G177" s="60">
        <v>31</v>
      </c>
      <c r="H177" s="60" t="s">
        <v>103</v>
      </c>
      <c r="I177" s="61" t="s">
        <v>123</v>
      </c>
      <c r="J177" s="61" t="s">
        <v>177</v>
      </c>
      <c r="K177" s="62">
        <v>45747</v>
      </c>
      <c r="L177" s="63">
        <v>30000</v>
      </c>
      <c r="M177" s="60" t="s">
        <v>156</v>
      </c>
      <c r="N177" s="60" t="s">
        <v>105</v>
      </c>
      <c r="O177" s="60" t="s">
        <v>202</v>
      </c>
      <c r="P177" s="60" t="s">
        <v>26</v>
      </c>
      <c r="Q177" s="61"/>
      <c r="R177" s="60" t="s">
        <v>139</v>
      </c>
      <c r="S177" s="75" t="s">
        <v>117</v>
      </c>
      <c r="T177" s="60">
        <v>3135797302</v>
      </c>
      <c r="U177" s="60" t="s">
        <v>562</v>
      </c>
      <c r="V177" s="65" t="str">
        <f>IF(P177=CURSOS!$D$3,"DIPLOMADO EN ATENCION PRE-HOSPITALARIA",IF(P177=CURSOS!$D$4,"ACOMPAÑAMIENTO Y MANEJO DEL DUELO",IF(P177=CURSOS!$D$5,"ATENCION A VICTIMAS DE ATAQUE CON AGENTES QUIMICOS ",IF(P177=CURSOS!$D$6,"PRIMEROS AUXILIOS ",IF(P177=CURSOS!$D$7,"DIPLOMADO DE UNIDAD DE CUIDADOS INTENSIVOS (UCI)",IF(P177=CURSOS!$D$8,"MODELO DE ATENCION PARA EVENTOS EMERGENTES EN SALUD MENTAL (CODIGO VERDE)",IF(P177=CURSOS!$D$9,"HUMANIZACION EN EL SERVICIO DE LA SALUD Y BUENAS PRACTICAS EN PACIENTE ",IF(P177=CURSOS!$D$10,"CLINICA DE HERIDAS ",IF(P177=CURSOS!$D$11,"TOMA DE CITOLOGIA CERVICO VAGINAL ",IF(P177=CURSOS!$D$12,"SOPORTE CARDIOVASCULAR AVANZADO (ACLS) ",IF(P177=CURSOS!$D$13,"CAMILLERO ",IF(P177=CURSOS!$D$14,"TOMA DE MUESTRAS Y LABORATORIO ",IF(P177=CURSOS!$D$15,"SOPORTE VITAL BASICO (BLS)",IF(P177=CURSOS!$D$16,"ATENCION A VICTIMAS DE VIOLENCIA SEXUAL ",IF(P177=CURSOS!$D$17,"PROGRAMADO AMPLIADO DE INMUNIZACION (PAI - COVID 19)",IF(P177=CURSOS!$D$18,"ATENCION INTEGRAL EN ENFERMEDADES PREVALENTES EN PRIMERA INFANCIA (AIEPI)",IF(P177=CURSOS!$D$19,"ADMINISTRACION DE MEDICAMENTOS, INYECTOLOGIA  Y CANALIZACION ",IF(P177=CURSOS!$D$20,"OPERADOR DE VEHICULOS DE EMERGENCIA (OVE)",IF(P177=CURSOS!$D$21,"INSTITUCIONES AMIGAS DE LA MUJER Y LA INFANCIA (IAMI)",IF(P177=CURSOS!$D$22,"CUIDADO DEL DONANTE DE ORGANOS",IF(P177=CURSOS!$D$23,"ATENCION A VICTIMAS POR VIOLENCIA DE GENERO",IF(P177=CURSOS!$D$24,"IGUALDAD DE GENERO EN LA SALUD",IF(P177=CURSOS!$D$25,"BRIGADA DE EMERGENCIA",IF(P177=CURSOS!$D$26,"MANEJO DEL DOLOR Y CUIDADOS PALIATIVOS",IF(P177=CURSOS!$D$27,"TOMA DE MUESTRAS Y LABORATORIO POCT",IF(P177=CURSOS!$D$28,"IMPLANTE SUBDERMICO DE DISPOSITIVO INTRAUTERINO",IF(P177=CURSOS!$D$29,"SALUD MENTAL",IF(P177=CURSOS!$D$30,"PRIMEROS AUXILIOS PSICOLOGICOS",IF(P177=CURSOS!$D$31,"ATENCION A VICTIMAS POR CONFLICTO ARMADO",IF(P177=CURSOS!$D$32,"MANIPULACION DE ALIMENTOS Y BPM",IF(P177=CURSOS!$D$33,"ATENCION A PERSONAS CON DISCAPACIDAD",IF(P177=CURSOS!$D$34,"CUIDADO INTEGRAL DEL PACIENTE ADULTO",IF(P177=CURSOS!$D$35,"MANEJO DEFENSIVO",IF(P177=CURSOS!$D$36,"SOPORTE CARDIOVASCULAR AVANZADO NEONATAL",IF(P177=CURSOS!$D$37,"SEGURIDAD DEL PACIENTE",IF(P177=CURSOS!$D$38,"MANEJO DE RESIDUOS HOSPITALARIOS"))))))))))))))))))))))))))))))))))))</f>
        <v xml:space="preserve">PRIMEROS AUXILIOS </v>
      </c>
      <c r="W177" s="65" t="str">
        <f t="shared" si="12"/>
        <v>Cristian Andrey Erazo Cuaical</v>
      </c>
      <c r="X177" s="65" t="str">
        <f t="shared" si="13"/>
        <v>Cristian Andrey Erazo Cuaical</v>
      </c>
      <c r="Y177" s="65" t="str">
        <f t="shared" si="14"/>
        <v>Cristian Andrey Erazo Cuaical-1007292822-PRIMEROS AUXILIOS</v>
      </c>
    </row>
    <row r="178" spans="1:25" s="58" customFormat="1" x14ac:dyDescent="0.2">
      <c r="A178" s="59">
        <v>177</v>
      </c>
      <c r="B178" s="60">
        <v>52816711</v>
      </c>
      <c r="C178" s="60" t="s">
        <v>367</v>
      </c>
      <c r="D178" s="60" t="s">
        <v>141</v>
      </c>
      <c r="E178" s="60" t="s">
        <v>189</v>
      </c>
      <c r="F178" s="60" t="s">
        <v>563</v>
      </c>
      <c r="G178" s="60">
        <v>31</v>
      </c>
      <c r="H178" s="60" t="s">
        <v>103</v>
      </c>
      <c r="I178" s="61" t="s">
        <v>123</v>
      </c>
      <c r="J178" s="61" t="s">
        <v>179</v>
      </c>
      <c r="K178" s="62">
        <v>45747</v>
      </c>
      <c r="L178" s="63">
        <v>32000</v>
      </c>
      <c r="M178" s="60" t="s">
        <v>133</v>
      </c>
      <c r="N178" s="60" t="s">
        <v>105</v>
      </c>
      <c r="O178" s="60" t="s">
        <v>106</v>
      </c>
      <c r="P178" s="60" t="s">
        <v>42</v>
      </c>
      <c r="Q178" s="61">
        <v>30116</v>
      </c>
      <c r="R178" s="60" t="s">
        <v>107</v>
      </c>
      <c r="S178" s="75" t="s">
        <v>324</v>
      </c>
      <c r="T178" s="60">
        <v>3165150145</v>
      </c>
      <c r="U178" s="60" t="s">
        <v>564</v>
      </c>
      <c r="V178" s="65" t="str">
        <f>IF(P178=CURSOS!$D$3,"DIPLOMADO EN ATENCION PRE-HOSPITALARIA",IF(P178=CURSOS!$D$4,"ACOMPAÑAMIENTO Y MANEJO DEL DUELO",IF(P178=CURSOS!$D$5,"ATENCION A VICTIMAS DE ATAQUE CON AGENTES QUIMICOS ",IF(P178=CURSOS!$D$6,"PRIMEROS AUXILIOS ",IF(P178=CURSOS!$D$7,"DIPLOMADO DE UNIDAD DE CUIDADOS INTENSIVOS (UCI)",IF(P178=CURSOS!$D$8,"MODELO DE ATENCION PARA EVENTOS EMERGENTES EN SALUD MENTAL (CODIGO VERDE)",IF(P178=CURSOS!$D$9,"HUMANIZACION EN EL SERVICIO DE LA SALUD Y BUENAS PRACTICAS EN PACIENTE ",IF(P178=CURSOS!$D$10,"CLINICA DE HERIDAS ",IF(P178=CURSOS!$D$11,"TOMA DE CITOLOGIA CERVICO VAGINAL ",IF(P178=CURSOS!$D$12,"SOPORTE CARDIOVASCULAR AVANZADO (ACLS) ",IF(P178=CURSOS!$D$13,"CAMILLERO ",IF(P178=CURSOS!$D$14,"TOMA DE MUESTRAS Y LABORATORIO ",IF(P178=CURSOS!$D$15,"SOPORTE VITAL BASICO (BLS)",IF(P178=CURSOS!$D$16,"ATENCION A VICTIMAS DE VIOLENCIA SEXUAL ",IF(P178=CURSOS!$D$17,"PROGRAMADO AMPLIADO DE INMUNIZACION (PAI - COVID 19)",IF(P178=CURSOS!$D$18,"ATENCION INTEGRAL EN ENFERMEDADES PREVALENTES EN PRIMERA INFANCIA (AIEPI)",IF(P178=CURSOS!$D$19,"ADMINISTRACION DE MEDICAMENTOS, INYECTOLOGIA  Y CANALIZACION ",IF(P178=CURSOS!$D$20,"OPERADOR DE VEHICULOS DE EMERGENCIA (OVE)",IF(P178=CURSOS!$D$21,"INSTITUCIONES AMIGAS DE LA MUJER Y LA INFANCIA (IAMI)",IF(P178=CURSOS!$D$22,"CUIDADO DEL DONANTE DE ORGANOS",IF(P178=CURSOS!$D$23,"ATENCION A VICTIMAS POR VIOLENCIA DE GENERO",IF(P178=CURSOS!$D$24,"IGUALDAD DE GENERO EN LA SALUD",IF(P178=CURSOS!$D$25,"BRIGADA DE EMERGENCIA",IF(P178=CURSOS!$D$26,"MANEJO DEL DOLOR Y CUIDADOS PALIATIVOS",IF(P178=CURSOS!$D$27,"TOMA DE MUESTRAS Y LABORATORIO POCT",IF(P178=CURSOS!$D$28,"IMPLANTE SUBDERMICO DE DISPOSITIVO INTRAUTERINO",IF(P178=CURSOS!$D$29,"SALUD MENTAL",IF(P178=CURSOS!$D$30,"PRIMEROS AUXILIOS PSICOLOGICOS",IF(P178=CURSOS!$D$31,"ATENCION A VICTIMAS POR CONFLICTO ARMADO",IF(P178=CURSOS!$D$32,"MANIPULACION DE ALIMENTOS Y BPM",IF(P178=CURSOS!$D$33,"ATENCION A PERSONAS CON DISCAPACIDAD",IF(P178=CURSOS!$D$34,"CUIDADO INTEGRAL DEL PACIENTE ADULTO",IF(P178=CURSOS!$D$35,"MANEJO DEFENSIVO",IF(P178=CURSOS!$D$36,"SOPORTE CARDIOVASCULAR AVANZADO NEONATAL",IF(P178=CURSOS!$D$37,"SEGURIDAD DEL PACIENTE",IF(P178=CURSOS!$D$38,"MANEJO DE RESIDUOS HOSPITALARIOS"))))))))))))))))))))))))))))))))))))</f>
        <v xml:space="preserve">ATENCION A VICTIMAS DE VIOLENCIA SEXUAL </v>
      </c>
      <c r="W178" s="65" t="str">
        <f t="shared" si="12"/>
        <v>Adriana Lucia Bastidas Narvaez</v>
      </c>
      <c r="X178" s="65" t="str">
        <f t="shared" si="13"/>
        <v>Adriana Lucia Bastidas Narvaez</v>
      </c>
      <c r="Y178" s="65" t="str">
        <f t="shared" si="14"/>
        <v>Adriana Lucia Bastidas Narvaez-52816711-VIOLENCIA SEXUAL</v>
      </c>
    </row>
    <row r="179" spans="1:25" s="58" customFormat="1" x14ac:dyDescent="0.2">
      <c r="A179" s="59">
        <v>178</v>
      </c>
      <c r="B179" s="60">
        <v>1085323626</v>
      </c>
      <c r="C179" s="60" t="s">
        <v>184</v>
      </c>
      <c r="D179" s="60" t="s">
        <v>565</v>
      </c>
      <c r="E179" s="60" t="s">
        <v>566</v>
      </c>
      <c r="F179" s="60" t="s">
        <v>230</v>
      </c>
      <c r="G179" s="60">
        <v>31</v>
      </c>
      <c r="H179" s="60" t="s">
        <v>103</v>
      </c>
      <c r="I179" s="61" t="s">
        <v>123</v>
      </c>
      <c r="J179" s="61" t="s">
        <v>179</v>
      </c>
      <c r="K179" s="62">
        <v>45747</v>
      </c>
      <c r="L179" s="63">
        <v>100000</v>
      </c>
      <c r="M179" s="60" t="s">
        <v>156</v>
      </c>
      <c r="N179" s="60" t="s">
        <v>105</v>
      </c>
      <c r="O179" s="60" t="s">
        <v>106</v>
      </c>
      <c r="P179" s="60" t="s">
        <v>37</v>
      </c>
      <c r="Q179" s="61">
        <v>34972</v>
      </c>
      <c r="R179" s="60" t="s">
        <v>107</v>
      </c>
      <c r="S179" s="60" t="s">
        <v>291</v>
      </c>
      <c r="T179" s="60">
        <v>3103420500</v>
      </c>
      <c r="U179" s="60" t="s">
        <v>567</v>
      </c>
      <c r="V179" s="65" t="str">
        <f>IF(P179=CURSOS!$D$3,"DIPLOMADO EN ATENCION PRE-HOSPITALARIA",IF(P179=CURSOS!$D$4,"ACOMPAÑAMIENTO Y MANEJO DEL DUELO",IF(P179=CURSOS!$D$5,"ATENCION A VICTIMAS DE ATAQUE CON AGENTES QUIMICOS ",IF(P179=CURSOS!$D$6,"PRIMEROS AUXILIOS ",IF(P179=CURSOS!$D$7,"DIPLOMADO DE UNIDAD DE CUIDADOS INTENSIVOS (UCI)",IF(P179=CURSOS!$D$8,"MODELO DE ATENCION PARA EVENTOS EMERGENTES EN SALUD MENTAL (CODIGO VERDE)",IF(P179=CURSOS!$D$9,"HUMANIZACION EN EL SERVICIO DE LA SALUD Y BUENAS PRACTICAS EN PACIENTE ",IF(P179=CURSOS!$D$10,"CLINICA DE HERIDAS ",IF(P179=CURSOS!$D$11,"TOMA DE CITOLOGIA CERVICO VAGINAL ",IF(P179=CURSOS!$D$12,"SOPORTE CARDIOVASCULAR AVANZADO (ACLS) ",IF(P179=CURSOS!$D$13,"CAMILLERO ",IF(P179=CURSOS!$D$14,"TOMA DE MUESTRAS Y LABORATORIO ",IF(P179=CURSOS!$D$15,"SOPORTE VITAL BASICO (BLS)",IF(P179=CURSOS!$D$16,"ATENCION A VICTIMAS DE VIOLENCIA SEXUAL ",IF(P179=CURSOS!$D$17,"PROGRAMADO AMPLIADO DE INMUNIZACION (PAI - COVID 19)",IF(P179=CURSOS!$D$18,"ATENCION INTEGRAL EN ENFERMEDADES PREVALENTES EN PRIMERA INFANCIA (AIEPI)",IF(P179=CURSOS!$D$19,"ADMINISTRACION DE MEDICAMENTOS, INYECTOLOGIA  Y CANALIZACION ",IF(P179=CURSOS!$D$20,"OPERADOR DE VEHICULOS DE EMERGENCIA (OVE)",IF(P179=CURSOS!$D$21,"INSTITUCIONES AMIGAS DE LA MUJER Y LA INFANCIA (IAMI)",IF(P179=CURSOS!$D$22,"CUIDADO DEL DONANTE DE ORGANOS",IF(P179=CURSOS!$D$23,"ATENCION A VICTIMAS POR VIOLENCIA DE GENERO",IF(P179=CURSOS!$D$24,"IGUALDAD DE GENERO EN LA SALUD",IF(P179=CURSOS!$D$25,"BRIGADA DE EMERGENCIA",IF(P179=CURSOS!$D$26,"MANEJO DEL DOLOR Y CUIDADOS PALIATIVOS",IF(P179=CURSOS!$D$27,"TOMA DE MUESTRAS Y LABORATORIO POCT",IF(P179=CURSOS!$D$28,"IMPLANTE SUBDERMICO DE DISPOSITIVO INTRAUTERINO",IF(P179=CURSOS!$D$29,"SALUD MENTAL",IF(P179=CURSOS!$D$30,"PRIMEROS AUXILIOS PSICOLOGICOS",IF(P179=CURSOS!$D$31,"ATENCION A VICTIMAS POR CONFLICTO ARMADO",IF(P179=CURSOS!$D$32,"MANIPULACION DE ALIMENTOS Y BPM",IF(P179=CURSOS!$D$33,"ATENCION A PERSONAS CON DISCAPACIDAD",IF(P179=CURSOS!$D$34,"CUIDADO INTEGRAL DEL PACIENTE ADULTO",IF(P179=CURSOS!$D$35,"MANEJO DEFENSIVO",IF(P179=CURSOS!$D$36,"SOPORTE CARDIOVASCULAR AVANZADO NEONATAL",IF(P179=CURSOS!$D$37,"SEGURIDAD DEL PACIENTE",IF(P179=CURSOS!$D$38,"MANEJO DE RESIDUOS HOSPITALARIOS"))))))))))))))))))))))))))))))))))))</f>
        <v xml:space="preserve">SOPORTE CARDIOVASCULAR AVANZADO (ACLS) </v>
      </c>
      <c r="W179" s="65" t="str">
        <f t="shared" si="12"/>
        <v>Yessica Alejandra Mora Morales</v>
      </c>
      <c r="X179" s="65" t="str">
        <f t="shared" si="13"/>
        <v>Yessica Alejandra Mora Morales</v>
      </c>
      <c r="Y179" s="65" t="str">
        <f t="shared" si="14"/>
        <v>Yessica Alejandra Mora Morales-1085323626-ACLS</v>
      </c>
    </row>
    <row r="180" spans="1:25" s="58" customFormat="1" x14ac:dyDescent="0.2">
      <c r="A180" s="59">
        <v>179</v>
      </c>
      <c r="B180" s="60">
        <v>1085323626</v>
      </c>
      <c r="C180" s="60" t="s">
        <v>184</v>
      </c>
      <c r="D180" s="60" t="s">
        <v>565</v>
      </c>
      <c r="E180" s="60" t="s">
        <v>566</v>
      </c>
      <c r="F180" s="60" t="s">
        <v>230</v>
      </c>
      <c r="G180" s="60">
        <v>31</v>
      </c>
      <c r="H180" s="60" t="s">
        <v>103</v>
      </c>
      <c r="I180" s="61" t="s">
        <v>123</v>
      </c>
      <c r="J180" s="61" t="s">
        <v>179</v>
      </c>
      <c r="K180" s="62">
        <v>45747</v>
      </c>
      <c r="L180" s="63">
        <v>20000</v>
      </c>
      <c r="M180" s="60" t="s">
        <v>156</v>
      </c>
      <c r="N180" s="60" t="s">
        <v>105</v>
      </c>
      <c r="O180" s="60" t="s">
        <v>106</v>
      </c>
      <c r="P180" s="60" t="s">
        <v>19</v>
      </c>
      <c r="Q180" s="61">
        <v>34972</v>
      </c>
      <c r="R180" s="60" t="s">
        <v>107</v>
      </c>
      <c r="S180" s="60" t="s">
        <v>291</v>
      </c>
      <c r="T180" s="60">
        <v>3103420500</v>
      </c>
      <c r="U180" s="60" t="s">
        <v>567</v>
      </c>
      <c r="V180" s="65" t="str">
        <f>IF(P180=CURSOS!$D$3,"DIPLOMADO EN ATENCION PRE-HOSPITALARIA",IF(P180=CURSOS!$D$4,"ACOMPAÑAMIENTO Y MANEJO DEL DUELO",IF(P180=CURSOS!$D$5,"ATENCION A VICTIMAS DE ATAQUE CON AGENTES QUIMICOS ",IF(P180=CURSOS!$D$6,"PRIMEROS AUXILIOS ",IF(P180=CURSOS!$D$7,"DIPLOMADO DE UNIDAD DE CUIDADOS INTENSIVOS (UCI)",IF(P180=CURSOS!$D$8,"MODELO DE ATENCION PARA EVENTOS EMERGENTES EN SALUD MENTAL (CODIGO VERDE)",IF(P180=CURSOS!$D$9,"HUMANIZACION EN EL SERVICIO DE LA SALUD Y BUENAS PRACTICAS EN PACIENTE ",IF(P180=CURSOS!$D$10,"CLINICA DE HERIDAS ",IF(P180=CURSOS!$D$11,"TOMA DE CITOLOGIA CERVICO VAGINAL ",IF(P180=CURSOS!$D$12,"SOPORTE CARDIOVASCULAR AVANZADO (ACLS) ",IF(P180=CURSOS!$D$13,"CAMILLERO ",IF(P180=CURSOS!$D$14,"TOMA DE MUESTRAS Y LABORATORIO ",IF(P180=CURSOS!$D$15,"SOPORTE VITAL BASICO (BLS)",IF(P180=CURSOS!$D$16,"ATENCION A VICTIMAS DE VIOLENCIA SEXUAL ",IF(P180=CURSOS!$D$17,"PROGRAMADO AMPLIADO DE INMUNIZACION (PAI - COVID 19)",IF(P180=CURSOS!$D$18,"ATENCION INTEGRAL EN ENFERMEDADES PREVALENTES EN PRIMERA INFANCIA (AIEPI)",IF(P180=CURSOS!$D$19,"ADMINISTRACION DE MEDICAMENTOS, INYECTOLOGIA  Y CANALIZACION ",IF(P180=CURSOS!$D$20,"OPERADOR DE VEHICULOS DE EMERGENCIA (OVE)",IF(P180=CURSOS!$D$21,"INSTITUCIONES AMIGAS DE LA MUJER Y LA INFANCIA (IAMI)",IF(P180=CURSOS!$D$22,"CUIDADO DEL DONANTE DE ORGANOS",IF(P180=CURSOS!$D$23,"ATENCION A VICTIMAS POR VIOLENCIA DE GENERO",IF(P180=CURSOS!$D$24,"IGUALDAD DE GENERO EN LA SALUD",IF(P180=CURSOS!$D$25,"BRIGADA DE EMERGENCIA",IF(P180=CURSOS!$D$26,"MANEJO DEL DOLOR Y CUIDADOS PALIATIVOS",IF(P180=CURSOS!$D$27,"TOMA DE MUESTRAS Y LABORATORIO POCT",IF(P180=CURSOS!$D$28,"IMPLANTE SUBDERMICO DE DISPOSITIVO INTRAUTERINO",IF(P180=CURSOS!$D$29,"SALUD MENTAL",IF(P180=CURSOS!$D$30,"PRIMEROS AUXILIOS PSICOLOGICOS",IF(P180=CURSOS!$D$31,"ATENCION A VICTIMAS POR CONFLICTO ARMADO",IF(P180=CURSOS!$D$32,"MANIPULACION DE ALIMENTOS Y BPM",IF(P180=CURSOS!$D$33,"ATENCION A PERSONAS CON DISCAPACIDAD",IF(P180=CURSOS!$D$34,"CUIDADO INTEGRAL DEL PACIENTE ADULTO",IF(P180=CURSOS!$D$35,"MANEJO DEFENSIVO",IF(P180=CURSOS!$D$36,"SOPORTE CARDIOVASCULAR AVANZADO NEONATAL",IF(P180=CURSOS!$D$37,"SEGURIDAD DEL PACIENTE",IF(P180=CURSOS!$D$38,"MANEJO DE RESIDUOS HOSPITALARIOS"))))))))))))))))))))))))))))))))))))</f>
        <v>SOPORTE VITAL BASICO (BLS)</v>
      </c>
      <c r="W180" s="65" t="str">
        <f t="shared" ref="W180:W243" si="15">CONCATENATE(E180," ",F180," ",C180," ",D180)</f>
        <v>Yessica Alejandra Mora Morales</v>
      </c>
      <c r="X180" s="65" t="str">
        <f t="shared" ref="X180:X243" si="16">PROPER(W180)</f>
        <v>Yessica Alejandra Mora Morales</v>
      </c>
      <c r="Y180" s="65" t="str">
        <f t="shared" ref="Y180:Y243" si="17">CONCATENATE(W180,"-",B180,"-",P180)</f>
        <v>Yessica Alejandra Mora Morales-1085323626-BLS</v>
      </c>
    </row>
    <row r="181" spans="1:25" s="58" customFormat="1" x14ac:dyDescent="0.2">
      <c r="A181" s="59">
        <v>180</v>
      </c>
      <c r="B181" s="60">
        <v>1085323626</v>
      </c>
      <c r="C181" s="60" t="s">
        <v>184</v>
      </c>
      <c r="D181" s="60" t="s">
        <v>565</v>
      </c>
      <c r="E181" s="60" t="s">
        <v>566</v>
      </c>
      <c r="F181" s="60" t="s">
        <v>230</v>
      </c>
      <c r="G181" s="60">
        <v>28</v>
      </c>
      <c r="H181" s="60" t="s">
        <v>103</v>
      </c>
      <c r="I181" s="61" t="s">
        <v>123</v>
      </c>
      <c r="J181" s="61" t="s">
        <v>179</v>
      </c>
      <c r="K181" s="62">
        <v>45747</v>
      </c>
      <c r="L181" s="63">
        <v>30000</v>
      </c>
      <c r="M181" s="60" t="s">
        <v>156</v>
      </c>
      <c r="N181" s="60" t="s">
        <v>105</v>
      </c>
      <c r="O181" s="60" t="s">
        <v>106</v>
      </c>
      <c r="P181" s="60" t="s">
        <v>25</v>
      </c>
      <c r="Q181" s="61">
        <v>34972</v>
      </c>
      <c r="R181" s="60" t="s">
        <v>107</v>
      </c>
      <c r="S181" s="60" t="s">
        <v>291</v>
      </c>
      <c r="T181" s="60">
        <v>3103420500</v>
      </c>
      <c r="U181" s="60" t="s">
        <v>567</v>
      </c>
      <c r="V181" s="65" t="str">
        <f>IF(P181=CURSOS!$D$3,"DIPLOMADO EN ATENCION PRE-HOSPITALARIA",IF(P181=CURSOS!$D$4,"ACOMPAÑAMIENTO Y MANEJO DEL DUELO",IF(P181=CURSOS!$D$5,"ATENCION A VICTIMAS DE ATAQUE CON AGENTES QUIMICOS ",IF(P181=CURSOS!$D$6,"PRIMEROS AUXILIOS ",IF(P181=CURSOS!$D$7,"DIPLOMADO DE UNIDAD DE CUIDADOS INTENSIVOS (UCI)",IF(P181=CURSOS!$D$8,"MODELO DE ATENCION PARA EVENTOS EMERGENTES EN SALUD MENTAL (CODIGO VERDE)",IF(P181=CURSOS!$D$9,"HUMANIZACION EN EL SERVICIO DE LA SALUD Y BUENAS PRACTICAS EN PACIENTE ",IF(P181=CURSOS!$D$10,"CLINICA DE HERIDAS ",IF(P181=CURSOS!$D$11,"TOMA DE CITOLOGIA CERVICO VAGINAL ",IF(P181=CURSOS!$D$12,"SOPORTE CARDIOVASCULAR AVANZADO (ACLS) ",IF(P181=CURSOS!$D$13,"CAMILLERO ",IF(P181=CURSOS!$D$14,"TOMA DE MUESTRAS Y LABORATORIO ",IF(P181=CURSOS!$D$15,"SOPORTE VITAL BASICO (BLS)",IF(P181=CURSOS!$D$16,"ATENCION A VICTIMAS DE VIOLENCIA SEXUAL ",IF(P181=CURSOS!$D$17,"PROGRAMADO AMPLIADO DE INMUNIZACION (PAI - COVID 19)",IF(P181=CURSOS!$D$18,"ATENCION INTEGRAL EN ENFERMEDADES PREVALENTES EN PRIMERA INFANCIA (AIEPI)",IF(P181=CURSOS!$D$19,"ADMINISTRACION DE MEDICAMENTOS, INYECTOLOGIA  Y CANALIZACION ",IF(P181=CURSOS!$D$20,"OPERADOR DE VEHICULOS DE EMERGENCIA (OVE)",IF(P181=CURSOS!$D$21,"INSTITUCIONES AMIGAS DE LA MUJER Y LA INFANCIA (IAMI)",IF(P181=CURSOS!$D$22,"CUIDADO DEL DONANTE DE ORGANOS",IF(P181=CURSOS!$D$23,"ATENCION A VICTIMAS POR VIOLENCIA DE GENERO",IF(P181=CURSOS!$D$24,"IGUALDAD DE GENERO EN LA SALUD",IF(P181=CURSOS!$D$25,"BRIGADA DE EMERGENCIA",IF(P181=CURSOS!$D$26,"MANEJO DEL DOLOR Y CUIDADOS PALIATIVOS",IF(P181=CURSOS!$D$27,"TOMA DE MUESTRAS Y LABORATORIO POCT",IF(P181=CURSOS!$D$28,"IMPLANTE SUBDERMICO DE DISPOSITIVO INTRAUTERINO",IF(P181=CURSOS!$D$29,"SALUD MENTAL",IF(P181=CURSOS!$D$30,"PRIMEROS AUXILIOS PSICOLOGICOS",IF(P181=CURSOS!$D$31,"ATENCION A VICTIMAS POR CONFLICTO ARMADO",IF(P181=CURSOS!$D$32,"MANIPULACION DE ALIMENTOS Y BPM",IF(P181=CURSOS!$D$33,"ATENCION A PERSONAS CON DISCAPACIDAD",IF(P181=CURSOS!$D$34,"CUIDADO INTEGRAL DEL PACIENTE ADULTO",IF(P181=CURSOS!$D$35,"MANEJO DEFENSIVO",IF(P181=CURSOS!$D$36,"SOPORTE CARDIOVASCULAR AVANZADO NEONATAL",IF(P181=CURSOS!$D$37,"SEGURIDAD DEL PACIENTE",IF(P181=CURSOS!$D$38,"MANEJO DE RESIDUOS HOSPITALARIOS"))))))))))))))))))))))))))))))))))))</f>
        <v xml:space="preserve">ATENCION A VICTIMAS DE ATAQUE CON AGENTES QUIMICOS </v>
      </c>
      <c r="W181" s="65" t="str">
        <f t="shared" si="15"/>
        <v>Yessica Alejandra Mora Morales</v>
      </c>
      <c r="X181" s="65" t="str">
        <f t="shared" si="16"/>
        <v>Yessica Alejandra Mora Morales</v>
      </c>
      <c r="Y181" s="65" t="str">
        <f t="shared" si="17"/>
        <v>Yessica Alejandra Mora Morales-1085323626-QUIMICOS</v>
      </c>
    </row>
    <row r="182" spans="1:25" s="58" customFormat="1" x14ac:dyDescent="0.2">
      <c r="A182" s="59">
        <v>181</v>
      </c>
      <c r="B182" s="60">
        <v>1085323626</v>
      </c>
      <c r="C182" s="60" t="s">
        <v>184</v>
      </c>
      <c r="D182" s="60" t="s">
        <v>565</v>
      </c>
      <c r="E182" s="60" t="s">
        <v>566</v>
      </c>
      <c r="F182" s="60" t="s">
        <v>230</v>
      </c>
      <c r="G182" s="60">
        <v>27</v>
      </c>
      <c r="H182" s="60" t="s">
        <v>103</v>
      </c>
      <c r="I182" s="61" t="s">
        <v>123</v>
      </c>
      <c r="J182" s="61" t="s">
        <v>179</v>
      </c>
      <c r="K182" s="62">
        <v>45747</v>
      </c>
      <c r="L182" s="63">
        <v>32000</v>
      </c>
      <c r="M182" s="60" t="s">
        <v>156</v>
      </c>
      <c r="N182" s="60" t="s">
        <v>105</v>
      </c>
      <c r="O182" s="60" t="s">
        <v>106</v>
      </c>
      <c r="P182" s="60" t="s">
        <v>42</v>
      </c>
      <c r="Q182" s="61">
        <v>34972</v>
      </c>
      <c r="R182" s="60" t="s">
        <v>107</v>
      </c>
      <c r="S182" s="60" t="s">
        <v>291</v>
      </c>
      <c r="T182" s="60">
        <v>3103420500</v>
      </c>
      <c r="U182" s="60" t="s">
        <v>567</v>
      </c>
      <c r="V182" s="65" t="str">
        <f>IF(P182=CURSOS!$D$3,"DIPLOMADO EN ATENCION PRE-HOSPITALARIA",IF(P182=CURSOS!$D$4,"ACOMPAÑAMIENTO Y MANEJO DEL DUELO",IF(P182=CURSOS!$D$5,"ATENCION A VICTIMAS DE ATAQUE CON AGENTES QUIMICOS ",IF(P182=CURSOS!$D$6,"PRIMEROS AUXILIOS ",IF(P182=CURSOS!$D$7,"DIPLOMADO DE UNIDAD DE CUIDADOS INTENSIVOS (UCI)",IF(P182=CURSOS!$D$8,"MODELO DE ATENCION PARA EVENTOS EMERGENTES EN SALUD MENTAL (CODIGO VERDE)",IF(P182=CURSOS!$D$9,"HUMANIZACION EN EL SERVICIO DE LA SALUD Y BUENAS PRACTICAS EN PACIENTE ",IF(P182=CURSOS!$D$10,"CLINICA DE HERIDAS ",IF(P182=CURSOS!$D$11,"TOMA DE CITOLOGIA CERVICO VAGINAL ",IF(P182=CURSOS!$D$12,"SOPORTE CARDIOVASCULAR AVANZADO (ACLS) ",IF(P182=CURSOS!$D$13,"CAMILLERO ",IF(P182=CURSOS!$D$14,"TOMA DE MUESTRAS Y LABORATORIO ",IF(P182=CURSOS!$D$15,"SOPORTE VITAL BASICO (BLS)",IF(P182=CURSOS!$D$16,"ATENCION A VICTIMAS DE VIOLENCIA SEXUAL ",IF(P182=CURSOS!$D$17,"PROGRAMADO AMPLIADO DE INMUNIZACION (PAI - COVID 19)",IF(P182=CURSOS!$D$18,"ATENCION INTEGRAL EN ENFERMEDADES PREVALENTES EN PRIMERA INFANCIA (AIEPI)",IF(P182=CURSOS!$D$19,"ADMINISTRACION DE MEDICAMENTOS, INYECTOLOGIA  Y CANALIZACION ",IF(P182=CURSOS!$D$20,"OPERADOR DE VEHICULOS DE EMERGENCIA (OVE)",IF(P182=CURSOS!$D$21,"INSTITUCIONES AMIGAS DE LA MUJER Y LA INFANCIA (IAMI)",IF(P182=CURSOS!$D$22,"CUIDADO DEL DONANTE DE ORGANOS",IF(P182=CURSOS!$D$23,"ATENCION A VICTIMAS POR VIOLENCIA DE GENERO",IF(P182=CURSOS!$D$24,"IGUALDAD DE GENERO EN LA SALUD",IF(P182=CURSOS!$D$25,"BRIGADA DE EMERGENCIA",IF(P182=CURSOS!$D$26,"MANEJO DEL DOLOR Y CUIDADOS PALIATIVOS",IF(P182=CURSOS!$D$27,"TOMA DE MUESTRAS Y LABORATORIO POCT",IF(P182=CURSOS!$D$28,"IMPLANTE SUBDERMICO DE DISPOSITIVO INTRAUTERINO",IF(P182=CURSOS!$D$29,"SALUD MENTAL",IF(P182=CURSOS!$D$30,"PRIMEROS AUXILIOS PSICOLOGICOS",IF(P182=CURSOS!$D$31,"ATENCION A VICTIMAS POR CONFLICTO ARMADO",IF(P182=CURSOS!$D$32,"MANIPULACION DE ALIMENTOS Y BPM",IF(P182=CURSOS!$D$33,"ATENCION A PERSONAS CON DISCAPACIDAD",IF(P182=CURSOS!$D$34,"CUIDADO INTEGRAL DEL PACIENTE ADULTO",IF(P182=CURSOS!$D$35,"MANEJO DEFENSIVO",IF(P182=CURSOS!$D$36,"SOPORTE CARDIOVASCULAR AVANZADO NEONATAL",IF(P182=CURSOS!$D$37,"SEGURIDAD DEL PACIENTE",IF(P182=CURSOS!$D$38,"MANEJO DE RESIDUOS HOSPITALARIOS"))))))))))))))))))))))))))))))))))))</f>
        <v xml:space="preserve">ATENCION A VICTIMAS DE VIOLENCIA SEXUAL </v>
      </c>
      <c r="W182" s="65" t="str">
        <f t="shared" si="15"/>
        <v>Yessica Alejandra Mora Morales</v>
      </c>
      <c r="X182" s="65" t="str">
        <f t="shared" si="16"/>
        <v>Yessica Alejandra Mora Morales</v>
      </c>
      <c r="Y182" s="65" t="str">
        <f t="shared" si="17"/>
        <v>Yessica Alejandra Mora Morales-1085323626-VIOLENCIA SEXUAL</v>
      </c>
    </row>
    <row r="183" spans="1:25" x14ac:dyDescent="0.2">
      <c r="A183" s="68">
        <v>182</v>
      </c>
      <c r="B183" s="60">
        <v>1004542792</v>
      </c>
      <c r="C183" s="60" t="s">
        <v>150</v>
      </c>
      <c r="D183" s="60" t="s">
        <v>150</v>
      </c>
      <c r="E183" s="60" t="s">
        <v>509</v>
      </c>
      <c r="F183" s="60" t="s">
        <v>506</v>
      </c>
      <c r="G183" s="60">
        <v>29</v>
      </c>
      <c r="H183" s="60" t="s">
        <v>103</v>
      </c>
      <c r="I183" s="61" t="s">
        <v>104</v>
      </c>
      <c r="J183" s="61"/>
      <c r="K183" s="62" t="s">
        <v>531</v>
      </c>
      <c r="L183" s="63">
        <v>25000</v>
      </c>
      <c r="M183" s="60" t="s">
        <v>158</v>
      </c>
      <c r="N183" s="60" t="s">
        <v>105</v>
      </c>
      <c r="O183" s="60" t="s">
        <v>494</v>
      </c>
      <c r="P183" s="60" t="s">
        <v>19</v>
      </c>
      <c r="Q183" s="61">
        <v>37493</v>
      </c>
      <c r="R183" s="60" t="s">
        <v>107</v>
      </c>
      <c r="S183" s="60" t="s">
        <v>117</v>
      </c>
      <c r="T183" s="60">
        <v>3234588598</v>
      </c>
      <c r="U183" s="60" t="s">
        <v>510</v>
      </c>
      <c r="V183" s="76" t="str">
        <f>IF(P183=CURSOS!$D$3,"DIPLOMADO EN ATENCION PRE-HOSPITALARIA",IF(P183=CURSOS!$D$4,"ACOMPAÑAMIENTO Y MANEJO DEL DUELO",IF(P183=CURSOS!$D$5,"ATENCION A VICTIMAS DE ATAQUE CON AGENTES QUIMICOS ",IF(P183=CURSOS!$D$6,"PRIMEROS AUXILIOS ",IF(P183=CURSOS!$D$7,"DIPLOMADO DE UNIDAD DE CUIDADOS INTENSIVOS (UCI)",IF(P183=CURSOS!$D$8,"MODELO DE ATENCION PARA EVENTOS EMERGENTES EN SALUD MENTAL (CODIGO VERDE)",IF(P183=CURSOS!$D$9,"HUMANIZACION EN EL SERVICIO DE LA SALUD Y BUENAS PRACTICAS EN PACIENTE ",IF(P183=CURSOS!$D$10,"CLINICA DE HERIDAS ",IF(P183=CURSOS!$D$11,"TOMA DE CITOLOGIA CERVICO VAGINAL ",IF(P183=CURSOS!$D$12,"SOPORTE CARDIOVASCULAR AVANZADO (ACLS) ",IF(P183=CURSOS!$D$13,"CAMILLERO ",IF(P183=CURSOS!$D$14,"TOMA DE MUESTRAS Y LABORATORIO ",IF(P183=CURSOS!$D$15,"SOPORTE VITAL BASICO (BLS)",IF(P183=CURSOS!$D$16,"ATENCION A VICTIMAS DE VIOLENCIA SEXUAL ",IF(P183=CURSOS!$D$17,"PROGRAMADO AMPLIADO DE INMUNIZACION (PAI - COVID 19)",IF(P183=CURSOS!$D$18,"ATENCION INTEGRAL EN ENFERMEDADES PREVALENTES EN PRIMERA INFANCIA (AIEPI)",IF(P183=CURSOS!$D$19,"ADMINISTRACION DE MEDICAMENTOS, INYECTOLOGIA  Y CANALIZACION ",IF(P183=CURSOS!$D$20,"OPERADOR DE VEHICULOS DE EMERGENCIA (OVE)",IF(P183=CURSOS!$D$21,"INSTITUCIONES AMIGAS DE LA MUJER Y LA INFANCIA (IAMI)",IF(P183=CURSOS!$D$22,"CUIDADO DEL DONANTE DE ORGANOS",IF(P183=CURSOS!$D$23,"ATENCION A VICTIMAS POR VIOLENCIA DE GENERO",IF(P183=CURSOS!$D$24,"IGUALDAD DE GENERO EN LA SALUD",IF(P183=CURSOS!$D$25,"BRIGADA DE EMERGENCIA",IF(P183=CURSOS!$D$26,"MANEJO DEL DOLOR Y CUIDADOS PALIATIVOS",IF(P183=CURSOS!$D$27,"TOMA DE MUESTRAS Y LABORATORIO POCT",IF(P183=CURSOS!$D$28,"IMPLANTE SUBDERMICO DE DISPOSITIVO INTRAUTERINO",IF(P183=CURSOS!$D$29,"SALUD MENTAL",IF(P183=CURSOS!$D$30,"PRIMEROS AUXILIOS PSICOLOGICOS",IF(P183=CURSOS!$D$31,"ATENCION A VICTIMAS POR CONFLICTO ARMADO",IF(P183=CURSOS!$D$32,"MANIPULACION DE ALIMENTOS Y BPM",IF(P183=CURSOS!$D$33,"ATENCION A PERSONAS CON DISCAPACIDAD",IF(P183=CURSOS!$D$34,"CUIDADO INTEGRAL DEL PACIENTE ADULTO",IF(P183=CURSOS!$D$35,"MANEJO DEFENSIVO",IF(P183=CURSOS!$D$36,"SOPORTE CARDIOVASCULAR AVANZADO NEONATAL",IF(P183=CURSOS!$D$37,"SEGURIDAD DEL PACIENTE",IF(P183=CURSOS!$D$38,"MANEJO DE RESIDUOS HOSPITALARIOS"))))))))))))))))))))))))))))))))))))</f>
        <v>SOPORTE VITAL BASICO (BLS)</v>
      </c>
      <c r="W183" s="76" t="str">
        <f t="shared" si="15"/>
        <v>Damaris Johana Rosero Rosero</v>
      </c>
      <c r="X183" s="76" t="str">
        <f t="shared" si="16"/>
        <v>Damaris Johana Rosero Rosero</v>
      </c>
      <c r="Y183" s="76" t="str">
        <f t="shared" si="17"/>
        <v>Damaris Johana Rosero Rosero-1004542792-BLS</v>
      </c>
    </row>
    <row r="184" spans="1:25" x14ac:dyDescent="0.2">
      <c r="A184" s="59">
        <v>183</v>
      </c>
      <c r="B184" s="60">
        <v>1086225729</v>
      </c>
      <c r="C184" s="60" t="s">
        <v>491</v>
      </c>
      <c r="D184" s="60" t="s">
        <v>502</v>
      </c>
      <c r="E184" s="60" t="s">
        <v>503</v>
      </c>
      <c r="F184" s="60" t="s">
        <v>189</v>
      </c>
      <c r="G184" s="60">
        <v>29</v>
      </c>
      <c r="H184" s="60" t="s">
        <v>103</v>
      </c>
      <c r="I184" s="61" t="s">
        <v>104</v>
      </c>
      <c r="J184" s="61"/>
      <c r="K184" s="62" t="s">
        <v>530</v>
      </c>
      <c r="L184" s="63">
        <v>25000</v>
      </c>
      <c r="M184" s="60" t="s">
        <v>158</v>
      </c>
      <c r="N184" s="60" t="s">
        <v>105</v>
      </c>
      <c r="O184" s="60" t="s">
        <v>494</v>
      </c>
      <c r="P184" s="60" t="s">
        <v>19</v>
      </c>
      <c r="Q184" s="61">
        <v>36282</v>
      </c>
      <c r="R184" s="60" t="s">
        <v>107</v>
      </c>
      <c r="S184" s="64" t="s">
        <v>117</v>
      </c>
      <c r="T184" s="64">
        <v>3235098900</v>
      </c>
      <c r="U184" s="60" t="s">
        <v>504</v>
      </c>
      <c r="V184" s="65" t="str">
        <f>IF(P184=CURSOS!$D$3,"DIPLOMADO EN ATENCION PRE-HOSPITALARIA",IF(P184=CURSOS!$D$4,"ACOMPAÑAMIENTO Y MANEJO DEL DUELO",IF(P184=CURSOS!$D$5,"ATENCION A VICTIMAS DE ATAQUE CON AGENTES QUIMICOS ",IF(P184=CURSOS!$D$6,"PRIMEROS AUXILIOS ",IF(P184=CURSOS!$D$7,"DIPLOMADO DE UNIDAD DE CUIDADOS INTENSIVOS (UCI)",IF(P184=CURSOS!$D$8,"MODELO DE ATENCION PARA EVENTOS EMERGENTES EN SALUD MENTAL (CODIGO VERDE)",IF(P184=CURSOS!$D$9,"HUMANIZACION EN EL SERVICIO DE LA SALUD Y BUENAS PRACTICAS EN PACIENTE ",IF(P184=CURSOS!$D$10,"CLINICA DE HERIDAS ",IF(P184=CURSOS!$D$11,"TOMA DE CITOLOGIA CERVICO VAGINAL ",IF(P184=CURSOS!$D$12,"SOPORTE CARDIOVASCULAR AVANZADO (ACLS) ",IF(P184=CURSOS!$D$13,"CAMILLERO ",IF(P184=CURSOS!$D$14,"TOMA DE MUESTRAS Y LABORATORIO ",IF(P184=CURSOS!$D$15,"SOPORTE VITAL BASICO (BLS)",IF(P184=CURSOS!$D$16,"ATENCION A VICTIMAS DE VIOLENCIA SEXUAL ",IF(P184=CURSOS!$D$17,"PROGRAMADO AMPLIADO DE INMUNIZACION (PAI - COVID 19)",IF(P184=CURSOS!$D$18,"ATENCION INTEGRAL EN ENFERMEDADES PREVALENTES EN PRIMERA INFANCIA (AIEPI)",IF(P184=CURSOS!$D$19,"ADMINISTRACION DE MEDICAMENTOS, INYECTOLOGIA  Y CANALIZACION ",IF(P184=CURSOS!$D$20,"OPERADOR DE VEHICULOS DE EMERGENCIA (OVE)",IF(P184=CURSOS!$D$21,"INSTITUCIONES AMIGAS DE LA MUJER Y LA INFANCIA (IAMI)",IF(P184=CURSOS!$D$22,"CUIDADO DEL DONANTE DE ORGANOS",IF(P184=CURSOS!$D$23,"ATENCION A VICTIMAS POR VIOLENCIA DE GENERO",IF(P184=CURSOS!$D$24,"IGUALDAD DE GENERO EN LA SALUD",IF(P184=CURSOS!$D$25,"BRIGADA DE EMERGENCIA",IF(P184=CURSOS!$D$26,"MANEJO DEL DOLOR Y CUIDADOS PALIATIVOS",IF(P184=CURSOS!$D$27,"TOMA DE MUESTRAS Y LABORATORIO POCT",IF(P184=CURSOS!$D$28,"IMPLANTE SUBDERMICO DE DISPOSITIVO INTRAUTERINO",IF(P184=CURSOS!$D$29,"SALUD MENTAL",IF(P184=CURSOS!$D$30,"PRIMEROS AUXILIOS PSICOLOGICOS",IF(P184=CURSOS!$D$31,"ATENCION A VICTIMAS POR CONFLICTO ARMADO",IF(P184=CURSOS!$D$32,"MANIPULACION DE ALIMENTOS Y BPM",IF(P184=CURSOS!$D$33,"ATENCION A PERSONAS CON DISCAPACIDAD",IF(P184=CURSOS!$D$34,"CUIDADO INTEGRAL DEL PACIENTE ADULTO",IF(P184=CURSOS!$D$35,"MANEJO DEFENSIVO",IF(P184=CURSOS!$D$36,"SOPORTE CARDIOVASCULAR AVANZADO NEONATAL",IF(P184=CURSOS!$D$37,"SEGURIDAD DEL PACIENTE",IF(P184=CURSOS!$D$38,"MANEJO DE RESIDUOS HOSPITALARIOS"))))))))))))))))))))))))))))))))))))</f>
        <v>SOPORTE VITAL BASICO (BLS)</v>
      </c>
      <c r="W184" s="65" t="str">
        <f t="shared" si="15"/>
        <v>Lisbeth Adriana Urbina Carlosama</v>
      </c>
      <c r="X184" s="65" t="str">
        <f t="shared" si="16"/>
        <v>Lisbeth Adriana Urbina Carlosama</v>
      </c>
      <c r="Y184" s="65" t="str">
        <f t="shared" si="17"/>
        <v>Lisbeth Adriana Urbina Carlosama-1086225729-BLS</v>
      </c>
    </row>
    <row r="185" spans="1:25" x14ac:dyDescent="0.2">
      <c r="A185" s="59">
        <v>184</v>
      </c>
      <c r="B185" s="60">
        <v>1193543631</v>
      </c>
      <c r="C185" s="60" t="s">
        <v>532</v>
      </c>
      <c r="D185" s="60" t="s">
        <v>453</v>
      </c>
      <c r="E185" s="60" t="s">
        <v>533</v>
      </c>
      <c r="F185" s="60" t="s">
        <v>534</v>
      </c>
      <c r="G185" s="60">
        <v>29</v>
      </c>
      <c r="H185" s="60" t="s">
        <v>103</v>
      </c>
      <c r="I185" s="61" t="s">
        <v>104</v>
      </c>
      <c r="J185" s="61"/>
      <c r="K185" s="62">
        <v>45745</v>
      </c>
      <c r="L185" s="63">
        <v>25000</v>
      </c>
      <c r="M185" s="60" t="s">
        <v>159</v>
      </c>
      <c r="N185" s="60" t="s">
        <v>105</v>
      </c>
      <c r="O185" s="60" t="s">
        <v>494</v>
      </c>
      <c r="P185" s="60" t="s">
        <v>19</v>
      </c>
      <c r="Q185" s="61">
        <v>37096</v>
      </c>
      <c r="R185" s="60" t="s">
        <v>107</v>
      </c>
      <c r="S185" s="60" t="s">
        <v>117</v>
      </c>
      <c r="T185" s="60">
        <v>3226227621</v>
      </c>
      <c r="U185" s="40"/>
      <c r="V185" s="65" t="str">
        <f>IF(P185=CURSOS!$D$3,"DIPLOMADO EN ATENCION PRE-HOSPITALARIA",IF(P185=CURSOS!$D$4,"ACOMPAÑAMIENTO Y MANEJO DEL DUELO",IF(P185=CURSOS!$D$5,"ATENCION A VICTIMAS DE ATAQUE CON AGENTES QUIMICOS ",IF(P185=CURSOS!$D$6,"PRIMEROS AUXILIOS ",IF(P185=CURSOS!$D$7,"DIPLOMADO DE UNIDAD DE CUIDADOS INTENSIVOS (UCI)",IF(P185=CURSOS!$D$8,"MODELO DE ATENCION PARA EVENTOS EMERGENTES EN SALUD MENTAL (CODIGO VERDE)",IF(P185=CURSOS!$D$9,"HUMANIZACION EN EL SERVICIO DE LA SALUD Y BUENAS PRACTICAS EN PACIENTE ",IF(P185=CURSOS!$D$10,"CLINICA DE HERIDAS ",IF(P185=CURSOS!$D$11,"TOMA DE CITOLOGIA CERVICO VAGINAL ",IF(P185=CURSOS!$D$12,"SOPORTE CARDIOVASCULAR AVANZADO (ACLS) ",IF(P185=CURSOS!$D$13,"CAMILLERO ",IF(P185=CURSOS!$D$14,"TOMA DE MUESTRAS Y LABORATORIO ",IF(P185=CURSOS!$D$15,"SOPORTE VITAL BASICO (BLS)",IF(P185=CURSOS!$D$16,"ATENCION A VICTIMAS DE VIOLENCIA SEXUAL ",IF(P185=CURSOS!$D$17,"PROGRAMADO AMPLIADO DE INMUNIZACION (PAI - COVID 19)",IF(P185=CURSOS!$D$18,"ATENCION INTEGRAL EN ENFERMEDADES PREVALENTES EN PRIMERA INFANCIA (AIEPI)",IF(P185=CURSOS!$D$19,"ADMINISTRACION DE MEDICAMENTOS, INYECTOLOGIA  Y CANALIZACION ",IF(P185=CURSOS!$D$20,"OPERADOR DE VEHICULOS DE EMERGENCIA (OVE)",IF(P185=CURSOS!$D$21,"INSTITUCIONES AMIGAS DE LA MUJER Y LA INFANCIA (IAMI)",IF(P185=CURSOS!$D$22,"CUIDADO DEL DONANTE DE ORGANOS",IF(P185=CURSOS!$D$23,"ATENCION A VICTIMAS POR VIOLENCIA DE GENERO",IF(P185=CURSOS!$D$24,"IGUALDAD DE GENERO EN LA SALUD",IF(P185=CURSOS!$D$25,"BRIGADA DE EMERGENCIA",IF(P185=CURSOS!$D$26,"MANEJO DEL DOLOR Y CUIDADOS PALIATIVOS",IF(P185=CURSOS!$D$27,"TOMA DE MUESTRAS Y LABORATORIO POCT",IF(P185=CURSOS!$D$28,"IMPLANTE SUBDERMICO DE DISPOSITIVO INTRAUTERINO",IF(P185=CURSOS!$D$29,"SALUD MENTAL",IF(P185=CURSOS!$D$30,"PRIMEROS AUXILIOS PSICOLOGICOS",IF(P185=CURSOS!$D$31,"ATENCION A VICTIMAS POR CONFLICTO ARMADO",IF(P185=CURSOS!$D$32,"MANIPULACION DE ALIMENTOS Y BPM",IF(P185=CURSOS!$D$33,"ATENCION A PERSONAS CON DISCAPACIDAD",IF(P185=CURSOS!$D$34,"CUIDADO INTEGRAL DEL PACIENTE ADULTO",IF(P185=CURSOS!$D$35,"MANEJO DEFENSIVO",IF(P185=CURSOS!$D$36,"SOPORTE CARDIOVASCULAR AVANZADO NEONATAL",IF(P185=CURSOS!$D$37,"SEGURIDAD DEL PACIENTE",IF(P185=CURSOS!$D$38,"MANEJO DE RESIDUOS HOSPITALARIOS"))))))))))))))))))))))))))))))))))))</f>
        <v>SOPORTE VITAL BASICO (BLS)</v>
      </c>
      <c r="W185" s="65" t="str">
        <f t="shared" si="15"/>
        <v>Karoll Juliet Zamora Hidalgo</v>
      </c>
      <c r="X185" s="65" t="str">
        <f t="shared" si="16"/>
        <v>Karoll Juliet Zamora Hidalgo</v>
      </c>
      <c r="Y185" s="65" t="str">
        <f t="shared" si="17"/>
        <v>Karoll Juliet Zamora Hidalgo-1193543631-BLS</v>
      </c>
    </row>
    <row r="186" spans="1:25" x14ac:dyDescent="0.2">
      <c r="A186" s="59">
        <v>185</v>
      </c>
      <c r="B186" s="60">
        <v>1004542680</v>
      </c>
      <c r="C186" s="60" t="s">
        <v>238</v>
      </c>
      <c r="D186" s="60" t="s">
        <v>505</v>
      </c>
      <c r="E186" s="60" t="s">
        <v>506</v>
      </c>
      <c r="F186" s="60" t="s">
        <v>336</v>
      </c>
      <c r="G186" s="60">
        <v>29</v>
      </c>
      <c r="H186" s="60" t="s">
        <v>103</v>
      </c>
      <c r="I186" s="61" t="s">
        <v>104</v>
      </c>
      <c r="J186" s="61"/>
      <c r="K186" s="62" t="s">
        <v>531</v>
      </c>
      <c r="L186" s="63">
        <v>25000</v>
      </c>
      <c r="M186" s="60" t="s">
        <v>158</v>
      </c>
      <c r="N186" s="60" t="s">
        <v>105</v>
      </c>
      <c r="O186" s="60" t="s">
        <v>494</v>
      </c>
      <c r="P186" s="60" t="s">
        <v>19</v>
      </c>
      <c r="Q186" s="61">
        <v>37023</v>
      </c>
      <c r="R186" s="60" t="s">
        <v>107</v>
      </c>
      <c r="S186" s="64" t="s">
        <v>117</v>
      </c>
      <c r="T186" s="64">
        <v>3218575825</v>
      </c>
      <c r="U186" s="60" t="s">
        <v>507</v>
      </c>
      <c r="V186" s="65" t="str">
        <f>IF(P186=CURSOS!$D$3,"DIPLOMADO EN ATENCION PRE-HOSPITALARIA",IF(P186=CURSOS!$D$4,"ACOMPAÑAMIENTO Y MANEJO DEL DUELO",IF(P186=CURSOS!$D$5,"ATENCION A VICTIMAS DE ATAQUE CON AGENTES QUIMICOS ",IF(P186=CURSOS!$D$6,"PRIMEROS AUXILIOS ",IF(P186=CURSOS!$D$7,"DIPLOMADO DE UNIDAD DE CUIDADOS INTENSIVOS (UCI)",IF(P186=CURSOS!$D$8,"MODELO DE ATENCION PARA EVENTOS EMERGENTES EN SALUD MENTAL (CODIGO VERDE)",IF(P186=CURSOS!$D$9,"HUMANIZACION EN EL SERVICIO DE LA SALUD Y BUENAS PRACTICAS EN PACIENTE ",IF(P186=CURSOS!$D$10,"CLINICA DE HERIDAS ",IF(P186=CURSOS!$D$11,"TOMA DE CITOLOGIA CERVICO VAGINAL ",IF(P186=CURSOS!$D$12,"SOPORTE CARDIOVASCULAR AVANZADO (ACLS) ",IF(P186=CURSOS!$D$13,"CAMILLERO ",IF(P186=CURSOS!$D$14,"TOMA DE MUESTRAS Y LABORATORIO ",IF(P186=CURSOS!$D$15,"SOPORTE VITAL BASICO (BLS)",IF(P186=CURSOS!$D$16,"ATENCION A VICTIMAS DE VIOLENCIA SEXUAL ",IF(P186=CURSOS!$D$17,"PROGRAMADO AMPLIADO DE INMUNIZACION (PAI - COVID 19)",IF(P186=CURSOS!$D$18,"ATENCION INTEGRAL EN ENFERMEDADES PREVALENTES EN PRIMERA INFANCIA (AIEPI)",IF(P186=CURSOS!$D$19,"ADMINISTRACION DE MEDICAMENTOS, INYECTOLOGIA  Y CANALIZACION ",IF(P186=CURSOS!$D$20,"OPERADOR DE VEHICULOS DE EMERGENCIA (OVE)",IF(P186=CURSOS!$D$21,"INSTITUCIONES AMIGAS DE LA MUJER Y LA INFANCIA (IAMI)",IF(P186=CURSOS!$D$22,"CUIDADO DEL DONANTE DE ORGANOS",IF(P186=CURSOS!$D$23,"ATENCION A VICTIMAS POR VIOLENCIA DE GENERO",IF(P186=CURSOS!$D$24,"IGUALDAD DE GENERO EN LA SALUD",IF(P186=CURSOS!$D$25,"BRIGADA DE EMERGENCIA",IF(P186=CURSOS!$D$26,"MANEJO DEL DOLOR Y CUIDADOS PALIATIVOS",IF(P186=CURSOS!$D$27,"TOMA DE MUESTRAS Y LABORATORIO POCT",IF(P186=CURSOS!$D$28,"IMPLANTE SUBDERMICO DE DISPOSITIVO INTRAUTERINO",IF(P186=CURSOS!$D$29,"SALUD MENTAL",IF(P186=CURSOS!$D$30,"PRIMEROS AUXILIOS PSICOLOGICOS",IF(P186=CURSOS!$D$31,"ATENCION A VICTIMAS POR CONFLICTO ARMADO",IF(P186=CURSOS!$D$32,"MANIPULACION DE ALIMENTOS Y BPM",IF(P186=CURSOS!$D$33,"ATENCION A PERSONAS CON DISCAPACIDAD",IF(P186=CURSOS!$D$34,"CUIDADO INTEGRAL DEL PACIENTE ADULTO",IF(P186=CURSOS!$D$35,"MANEJO DEFENSIVO",IF(P186=CURSOS!$D$36,"SOPORTE CARDIOVASCULAR AVANZADO NEONATAL",IF(P186=CURSOS!$D$37,"SEGURIDAD DEL PACIENTE",IF(P186=CURSOS!$D$38,"MANEJO DE RESIDUOS HOSPITALARIOS"))))))))))))))))))))))))))))))))))))</f>
        <v>SOPORTE VITAL BASICO (BLS)</v>
      </c>
      <c r="W186" s="65" t="str">
        <f t="shared" si="15"/>
        <v>Johana Elizabeth Guerrero Morillo</v>
      </c>
      <c r="X186" s="65" t="str">
        <f t="shared" si="16"/>
        <v>Johana Elizabeth Guerrero Morillo</v>
      </c>
      <c r="Y186" s="65" t="str">
        <f t="shared" si="17"/>
        <v>Johana Elizabeth Guerrero Morillo-1004542680-BLS</v>
      </c>
    </row>
    <row r="187" spans="1:25" x14ac:dyDescent="0.2">
      <c r="A187" s="59">
        <v>186</v>
      </c>
      <c r="B187" s="40">
        <v>1004133930</v>
      </c>
      <c r="C187" s="40" t="s">
        <v>569</v>
      </c>
      <c r="D187" s="40" t="s">
        <v>570</v>
      </c>
      <c r="E187" s="40" t="s">
        <v>489</v>
      </c>
      <c r="F187" s="40" t="s">
        <v>571</v>
      </c>
      <c r="G187" s="40">
        <v>25</v>
      </c>
      <c r="H187" s="40" t="s">
        <v>103</v>
      </c>
      <c r="I187" s="44" t="s">
        <v>104</v>
      </c>
      <c r="J187" s="44"/>
      <c r="K187" s="42">
        <v>45777</v>
      </c>
      <c r="L187" s="45">
        <v>35000</v>
      </c>
      <c r="M187" s="40" t="s">
        <v>156</v>
      </c>
      <c r="N187" s="40" t="s">
        <v>105</v>
      </c>
      <c r="O187" s="40" t="s">
        <v>106</v>
      </c>
      <c r="P187" s="40" t="s">
        <v>23</v>
      </c>
      <c r="Q187" s="44">
        <v>36650</v>
      </c>
      <c r="R187" s="40" t="s">
        <v>139</v>
      </c>
      <c r="S187" s="40" t="s">
        <v>222</v>
      </c>
      <c r="T187" s="47">
        <v>3176628832</v>
      </c>
      <c r="U187" s="40" t="s">
        <v>568</v>
      </c>
      <c r="V187" s="65" t="str">
        <f>IF(P187=CURSOS!$D$3,"DIPLOMADO EN ATENCION PRE-HOSPITALARIA",IF(P187=CURSOS!$D$4,"ACOMPAÑAMIENTO Y MANEJO DEL DUELO",IF(P187=CURSOS!$D$5,"ATENCION A VICTIMAS DE ATAQUE CON AGENTES QUIMICOS ",IF(P187=CURSOS!$D$6,"PRIMEROS AUXILIOS ",IF(P187=CURSOS!$D$7,"DIPLOMADO DE UNIDAD DE CUIDADOS INTENSIVOS (UCI)",IF(P187=CURSOS!$D$8,"MODELO DE ATENCION PARA EVENTOS EMERGENTES EN SALUD MENTAL (CODIGO VERDE)",IF(P187=CURSOS!$D$9,"HUMANIZACION EN EL SERVICIO DE LA SALUD Y BUENAS PRACTICAS EN PACIENTE ",IF(P187=CURSOS!$D$10,"CLINICA DE HERIDAS ",IF(P187=CURSOS!$D$11,"TOMA DE CITOLOGIA CERVICO VAGINAL ",IF(P187=CURSOS!$D$12,"SOPORTE CARDIOVASCULAR AVANZADO (ACLS) ",IF(P187=CURSOS!$D$13,"CAMILLERO ",IF(P187=CURSOS!$D$14,"TOMA DE MUESTRAS Y LABORATORIO ",IF(P187=CURSOS!$D$15,"SOPORTE VITAL BASICO (BLS)",IF(P187=CURSOS!$D$16,"ATENCION A VICTIMAS DE VIOLENCIA SEXUAL ",IF(P187=CURSOS!$D$17,"PROGRAMADO AMPLIADO DE INMUNIZACION (PAI - COVID 19)",IF(P187=CURSOS!$D$18,"ATENCION INTEGRAL EN ENFERMEDADES PREVALENTES EN PRIMERA INFANCIA (AIEPI)",IF(P187=CURSOS!$D$19,"ADMINISTRACION DE MEDICAMENTOS, INYECTOLOGIA  Y CANALIZACION ",IF(P187=CURSOS!$D$20,"OPERADOR DE VEHICULOS DE EMERGENCIA (OVE)",IF(P187=CURSOS!$D$21,"INSTITUCIONES AMIGAS DE LA MUJER Y LA INFANCIA (IAMI)",IF(P187=CURSOS!$D$22,"CUIDADO DEL DONANTE DE ORGANOS",IF(P187=CURSOS!$D$23,"ATENCION A VICTIMAS POR VIOLENCIA DE GENERO",IF(P187=CURSOS!$D$24,"IGUALDAD DE GENERO EN LA SALUD",IF(P187=CURSOS!$D$25,"BRIGADA DE EMERGENCIA",IF(P187=CURSOS!$D$26,"MANEJO DEL DOLOR Y CUIDADOS PALIATIVOS",IF(P187=CURSOS!$D$27,"TOMA DE MUESTRAS Y LABORATORIO POCT",IF(P187=CURSOS!$D$28,"IMPLANTE SUBDERMICO DE DISPOSITIVO INTRAUTERINO",IF(P187=CURSOS!$D$29,"SALUD MENTAL",IF(P187=CURSOS!$D$30,"PRIMEROS AUXILIOS PSICOLOGICOS",IF(P187=CURSOS!$D$31,"ATENCION A VICTIMAS POR CONFLICTO ARMADO",IF(P187=CURSOS!$D$32,"MANIPULACION DE ALIMENTOS Y BPM",IF(P187=CURSOS!$D$33,"ATENCION A PERSONAS CON DISCAPACIDAD",IF(P187=CURSOS!$D$34,"CUIDADO INTEGRAL DEL PACIENTE ADULTO",IF(P187=CURSOS!$D$35,"MANEJO DEFENSIVO",IF(P187=CURSOS!$D$36,"SOPORTE CARDIOVASCULAR AVANZADO NEONATAL",IF(P187=CURSOS!$D$37,"SEGURIDAD DEL PACIENTE",IF(P187=CURSOS!$D$38,"MANEJO DE RESIDUOS HOSPITALARIOS"))))))))))))))))))))))))))))))))))))</f>
        <v>ACOMPAÑAMIENTO Y MANEJO DEL DUELO</v>
      </c>
      <c r="W187" s="65" t="str">
        <f t="shared" si="15"/>
        <v>Andres Mauricio Barrero Perez</v>
      </c>
      <c r="X187" s="65" t="str">
        <f t="shared" si="16"/>
        <v>Andres Mauricio Barrero Perez</v>
      </c>
      <c r="Y187" s="65" t="str">
        <f t="shared" si="17"/>
        <v>Andres Mauricio Barrero Perez-1004133930-DUELO</v>
      </c>
    </row>
    <row r="188" spans="1:25" x14ac:dyDescent="0.2">
      <c r="A188" s="59">
        <v>187</v>
      </c>
      <c r="I188" s="44"/>
      <c r="J188" s="44"/>
      <c r="Q188" s="44"/>
      <c r="T188" s="47"/>
      <c r="U188" s="40"/>
      <c r="V188" s="65" t="b">
        <f>IF(P188=CURSOS!$D$3,"DIPLOMADO EN ATENCION PRE-HOSPITALARIA",IF(P188=CURSOS!$D$4,"ACOMPAÑAMIENTO Y MANEJO DEL DUELO",IF(P188=CURSOS!$D$5,"ATENCION A VICTIMAS DE ATAQUE CON AGENTES QUIMICOS ",IF(P188=CURSOS!$D$6,"PRIMEROS AUXILIOS ",IF(P188=CURSOS!$D$7,"DIPLOMADO DE UNIDAD DE CUIDADOS INTENSIVOS (UCI)",IF(P188=CURSOS!$D$8,"MODELO DE ATENCION PARA EVENTOS EMERGENTES EN SALUD MENTAL (CODIGO VERDE)",IF(P188=CURSOS!$D$9,"HUMANIZACION EN EL SERVICIO DE LA SALUD Y BUENAS PRACTICAS EN PACIENTE ",IF(P188=CURSOS!$D$10,"CLINICA DE HERIDAS ",IF(P188=CURSOS!$D$11,"TOMA DE CITOLOGIA CERVICO VAGINAL ",IF(P188=CURSOS!$D$12,"SOPORTE CARDIOVASCULAR AVANZADO (ACLS) ",IF(P188=CURSOS!$D$13,"CAMILLERO ",IF(P188=CURSOS!$D$14,"TOMA DE MUESTRAS Y LABORATORIO ",IF(P188=CURSOS!$D$15,"SOPORTE VITAL BASICO (BLS)",IF(P188=CURSOS!$D$16,"ATENCION A VICTIMAS DE VIOLENCIA SEXUAL ",IF(P188=CURSOS!$D$17,"PROGRAMADO AMPLIADO DE INMUNIZACION (PAI - COVID 19)",IF(P188=CURSOS!$D$18,"ATENCION INTEGRAL EN ENFERMEDADES PREVALENTES EN PRIMERA INFANCIA (AIEPI)",IF(P188=CURSOS!$D$19,"ADMINISTRACION DE MEDICAMENTOS, INYECTOLOGIA  Y CANALIZACION ",IF(P188=CURSOS!$D$20,"OPERADOR DE VEHICULOS DE EMERGENCIA (OVE)",IF(P188=CURSOS!$D$21,"INSTITUCIONES AMIGAS DE LA MUJER Y LA INFANCIA (IAMI)",IF(P188=CURSOS!$D$22,"CUIDADO DEL DONANTE DE ORGANOS",IF(P188=CURSOS!$D$23,"ATENCION A VICTIMAS POR VIOLENCIA DE GENERO",IF(P188=CURSOS!$D$24,"IGUALDAD DE GENERO EN LA SALUD",IF(P188=CURSOS!$D$25,"BRIGADA DE EMERGENCIA",IF(P188=CURSOS!$D$26,"MANEJO DEL DOLOR Y CUIDADOS PALIATIVOS",IF(P188=CURSOS!$D$27,"TOMA DE MUESTRAS Y LABORATORIO POCT",IF(P188=CURSOS!$D$28,"IMPLANTE SUBDERMICO DE DISPOSITIVO INTRAUTERINO",IF(P188=CURSOS!$D$29,"SALUD MENTAL",IF(P188=CURSOS!$D$30,"PRIMEROS AUXILIOS PSICOLOGICOS",IF(P188=CURSOS!$D$31,"ATENCION A VICTIMAS POR CONFLICTO ARMADO",IF(P188=CURSOS!$D$32,"MANIPULACION DE ALIMENTOS Y BPM",IF(P188=CURSOS!$D$33,"ATENCION A PERSONAS CON DISCAPACIDAD",IF(P188=CURSOS!$D$34,"CUIDADO INTEGRAL DEL PACIENTE ADULTO",IF(P188=CURSOS!$D$35,"MANEJO DEFENSIVO",IF(P188=CURSOS!$D$36,"SOPORTE CARDIOVASCULAR AVANZADO NEONATAL",IF(P188=CURSOS!$D$37,"SEGURIDAD DEL PACIENTE",IF(P188=CURSOS!$D$38,"MANEJO DE RESIDUOS HOSPITALARIOS"))))))))))))))))))))))))))))))))))))</f>
        <v>0</v>
      </c>
      <c r="W188" s="65" t="str">
        <f t="shared" si="15"/>
        <v xml:space="preserve">   </v>
      </c>
      <c r="X188" s="65" t="str">
        <f t="shared" si="16"/>
        <v xml:space="preserve">   </v>
      </c>
      <c r="Y188" s="65" t="str">
        <f t="shared" si="17"/>
        <v xml:space="preserve">   --</v>
      </c>
    </row>
    <row r="189" spans="1:25" x14ac:dyDescent="0.2">
      <c r="A189" s="59">
        <v>188</v>
      </c>
      <c r="I189" s="44"/>
      <c r="J189" s="44"/>
      <c r="Q189" s="44"/>
      <c r="T189" s="47"/>
      <c r="U189" s="40"/>
      <c r="V189" s="65" t="b">
        <f>IF(P189=CURSOS!$D$3,"DIPLOMADO EN ATENCION PRE-HOSPITALARIA",IF(P189=CURSOS!$D$4,"ACOMPAÑAMIENTO Y MANEJO DEL DUELO",IF(P189=CURSOS!$D$5,"ATENCION A VICTIMAS DE ATAQUE CON AGENTES QUIMICOS ",IF(P189=CURSOS!$D$6,"PRIMEROS AUXILIOS ",IF(P189=CURSOS!$D$7,"DIPLOMADO DE UNIDAD DE CUIDADOS INTENSIVOS (UCI)",IF(P189=CURSOS!$D$8,"MODELO DE ATENCION PARA EVENTOS EMERGENTES EN SALUD MENTAL (CODIGO VERDE)",IF(P189=CURSOS!$D$9,"HUMANIZACION EN EL SERVICIO DE LA SALUD Y BUENAS PRACTICAS EN PACIENTE ",IF(P189=CURSOS!$D$10,"CLINICA DE HERIDAS ",IF(P189=CURSOS!$D$11,"TOMA DE CITOLOGIA CERVICO VAGINAL ",IF(P189=CURSOS!$D$12,"SOPORTE CARDIOVASCULAR AVANZADO (ACLS) ",IF(P189=CURSOS!$D$13,"CAMILLERO ",IF(P189=CURSOS!$D$14,"TOMA DE MUESTRAS Y LABORATORIO ",IF(P189=CURSOS!$D$15,"SOPORTE VITAL BASICO (BLS)",IF(P189=CURSOS!$D$16,"ATENCION A VICTIMAS DE VIOLENCIA SEXUAL ",IF(P189=CURSOS!$D$17,"PROGRAMADO AMPLIADO DE INMUNIZACION (PAI - COVID 19)",IF(P189=CURSOS!$D$18,"ATENCION INTEGRAL EN ENFERMEDADES PREVALENTES EN PRIMERA INFANCIA (AIEPI)",IF(P189=CURSOS!$D$19,"ADMINISTRACION DE MEDICAMENTOS, INYECTOLOGIA  Y CANALIZACION ",IF(P189=CURSOS!$D$20,"OPERADOR DE VEHICULOS DE EMERGENCIA (OVE)",IF(P189=CURSOS!$D$21,"INSTITUCIONES AMIGAS DE LA MUJER Y LA INFANCIA (IAMI)",IF(P189=CURSOS!$D$22,"CUIDADO DEL DONANTE DE ORGANOS",IF(P189=CURSOS!$D$23,"ATENCION A VICTIMAS POR VIOLENCIA DE GENERO",IF(P189=CURSOS!$D$24,"IGUALDAD DE GENERO EN LA SALUD",IF(P189=CURSOS!$D$25,"BRIGADA DE EMERGENCIA",IF(P189=CURSOS!$D$26,"MANEJO DEL DOLOR Y CUIDADOS PALIATIVOS",IF(P189=CURSOS!$D$27,"TOMA DE MUESTRAS Y LABORATORIO POCT",IF(P189=CURSOS!$D$28,"IMPLANTE SUBDERMICO DE DISPOSITIVO INTRAUTERINO",IF(P189=CURSOS!$D$29,"SALUD MENTAL",IF(P189=CURSOS!$D$30,"PRIMEROS AUXILIOS PSICOLOGICOS",IF(P189=CURSOS!$D$31,"ATENCION A VICTIMAS POR CONFLICTO ARMADO",IF(P189=CURSOS!$D$32,"MANIPULACION DE ALIMENTOS Y BPM",IF(P189=CURSOS!$D$33,"ATENCION A PERSONAS CON DISCAPACIDAD",IF(P189=CURSOS!$D$34,"CUIDADO INTEGRAL DEL PACIENTE ADULTO",IF(P189=CURSOS!$D$35,"MANEJO DEFENSIVO",IF(P189=CURSOS!$D$36,"SOPORTE CARDIOVASCULAR AVANZADO NEONATAL",IF(P189=CURSOS!$D$37,"SEGURIDAD DEL PACIENTE",IF(P189=CURSOS!$D$38,"MANEJO DE RESIDUOS HOSPITALARIOS"))))))))))))))))))))))))))))))))))))</f>
        <v>0</v>
      </c>
      <c r="W189" s="65" t="str">
        <f t="shared" si="15"/>
        <v xml:space="preserve">   </v>
      </c>
      <c r="X189" s="65" t="str">
        <f t="shared" si="16"/>
        <v xml:space="preserve">   </v>
      </c>
      <c r="Y189" s="65" t="str">
        <f t="shared" si="17"/>
        <v xml:space="preserve">   --</v>
      </c>
    </row>
    <row r="190" spans="1:25" x14ac:dyDescent="0.2">
      <c r="A190" s="59">
        <v>189</v>
      </c>
      <c r="I190" s="44"/>
      <c r="J190" s="44"/>
      <c r="Q190" s="44"/>
      <c r="S190" s="47"/>
      <c r="T190" s="47"/>
      <c r="U190" s="40"/>
      <c r="V190" s="65" t="b">
        <f>IF(P190=CURSOS!$D$3,"DIPLOMADO EN ATENCION PRE-HOSPITALARIA",IF(P190=CURSOS!$D$4,"ACOMPAÑAMIENTO Y MANEJO DEL DUELO",IF(P190=CURSOS!$D$5,"ATENCION A VICTIMAS DE ATAQUE CON AGENTES QUIMICOS ",IF(P190=CURSOS!$D$6,"PRIMEROS AUXILIOS ",IF(P190=CURSOS!$D$7,"DIPLOMADO DE UNIDAD DE CUIDADOS INTENSIVOS (UCI)",IF(P190=CURSOS!$D$8,"MODELO DE ATENCION PARA EVENTOS EMERGENTES EN SALUD MENTAL (CODIGO VERDE)",IF(P190=CURSOS!$D$9,"HUMANIZACION EN EL SERVICIO DE LA SALUD Y BUENAS PRACTICAS EN PACIENTE ",IF(P190=CURSOS!$D$10,"CLINICA DE HERIDAS ",IF(P190=CURSOS!$D$11,"TOMA DE CITOLOGIA CERVICO VAGINAL ",IF(P190=CURSOS!$D$12,"SOPORTE CARDIOVASCULAR AVANZADO (ACLS) ",IF(P190=CURSOS!$D$13,"CAMILLERO ",IF(P190=CURSOS!$D$14,"TOMA DE MUESTRAS Y LABORATORIO ",IF(P190=CURSOS!$D$15,"SOPORTE VITAL BASICO (BLS)",IF(P190=CURSOS!$D$16,"ATENCION A VICTIMAS DE VIOLENCIA SEXUAL ",IF(P190=CURSOS!$D$17,"PROGRAMADO AMPLIADO DE INMUNIZACION (PAI - COVID 19)",IF(P190=CURSOS!$D$18,"ATENCION INTEGRAL EN ENFERMEDADES PREVALENTES EN PRIMERA INFANCIA (AIEPI)",IF(P190=CURSOS!$D$19,"ADMINISTRACION DE MEDICAMENTOS, INYECTOLOGIA  Y CANALIZACION ",IF(P190=CURSOS!$D$20,"OPERADOR DE VEHICULOS DE EMERGENCIA (OVE)",IF(P190=CURSOS!$D$21,"INSTITUCIONES AMIGAS DE LA MUJER Y LA INFANCIA (IAMI)",IF(P190=CURSOS!$D$22,"CUIDADO DEL DONANTE DE ORGANOS",IF(P190=CURSOS!$D$23,"ATENCION A VICTIMAS POR VIOLENCIA DE GENERO",IF(P190=CURSOS!$D$24,"IGUALDAD DE GENERO EN LA SALUD",IF(P190=CURSOS!$D$25,"BRIGADA DE EMERGENCIA",IF(P190=CURSOS!$D$26,"MANEJO DEL DOLOR Y CUIDADOS PALIATIVOS",IF(P190=CURSOS!$D$27,"TOMA DE MUESTRAS Y LABORATORIO POCT",IF(P190=CURSOS!$D$28,"IMPLANTE SUBDERMICO DE DISPOSITIVO INTRAUTERINO",IF(P190=CURSOS!$D$29,"SALUD MENTAL",IF(P190=CURSOS!$D$30,"PRIMEROS AUXILIOS PSICOLOGICOS",IF(P190=CURSOS!$D$31,"ATENCION A VICTIMAS POR CONFLICTO ARMADO",IF(P190=CURSOS!$D$32,"MANIPULACION DE ALIMENTOS Y BPM",IF(P190=CURSOS!$D$33,"ATENCION A PERSONAS CON DISCAPACIDAD",IF(P190=CURSOS!$D$34,"CUIDADO INTEGRAL DEL PACIENTE ADULTO",IF(P190=CURSOS!$D$35,"MANEJO DEFENSIVO",IF(P190=CURSOS!$D$36,"SOPORTE CARDIOVASCULAR AVANZADO NEONATAL",IF(P190=CURSOS!$D$37,"SEGURIDAD DEL PACIENTE",IF(P190=CURSOS!$D$38,"MANEJO DE RESIDUOS HOSPITALARIOS"))))))))))))))))))))))))))))))))))))</f>
        <v>0</v>
      </c>
      <c r="W190" s="65" t="str">
        <f t="shared" si="15"/>
        <v xml:space="preserve">   </v>
      </c>
      <c r="X190" s="65" t="str">
        <f t="shared" si="16"/>
        <v xml:space="preserve">   </v>
      </c>
      <c r="Y190" s="65" t="str">
        <f t="shared" si="17"/>
        <v xml:space="preserve">   --</v>
      </c>
    </row>
    <row r="191" spans="1:25" x14ac:dyDescent="0.2">
      <c r="A191" s="59">
        <v>190</v>
      </c>
      <c r="I191" s="44"/>
      <c r="J191" s="44"/>
      <c r="Q191" s="44"/>
      <c r="S191" s="47"/>
      <c r="T191" s="47"/>
      <c r="U191" s="40"/>
      <c r="V191" s="65" t="b">
        <f>IF(P191=CURSOS!$D$3,"DIPLOMADO EN ATENCION PRE-HOSPITALARIA",IF(P191=CURSOS!$D$4,"ACOMPAÑAMIENTO Y MANEJO DEL DUELO",IF(P191=CURSOS!$D$5,"ATENCION A VICTIMAS DE ATAQUE CON AGENTES QUIMICOS ",IF(P191=CURSOS!$D$6,"PRIMEROS AUXILIOS ",IF(P191=CURSOS!$D$7,"DIPLOMADO DE UNIDAD DE CUIDADOS INTENSIVOS (UCI)",IF(P191=CURSOS!$D$8,"MODELO DE ATENCION PARA EVENTOS EMERGENTES EN SALUD MENTAL (CODIGO VERDE)",IF(P191=CURSOS!$D$9,"HUMANIZACION EN EL SERVICIO DE LA SALUD Y BUENAS PRACTICAS EN PACIENTE ",IF(P191=CURSOS!$D$10,"CLINICA DE HERIDAS ",IF(P191=CURSOS!$D$11,"TOMA DE CITOLOGIA CERVICO VAGINAL ",IF(P191=CURSOS!$D$12,"SOPORTE CARDIOVASCULAR AVANZADO (ACLS) ",IF(P191=CURSOS!$D$13,"CAMILLERO ",IF(P191=CURSOS!$D$14,"TOMA DE MUESTRAS Y LABORATORIO ",IF(P191=CURSOS!$D$15,"SOPORTE VITAL BASICO (BLS)",IF(P191=CURSOS!$D$16,"ATENCION A VICTIMAS DE VIOLENCIA SEXUAL ",IF(P191=CURSOS!$D$17,"PROGRAMADO AMPLIADO DE INMUNIZACION (PAI - COVID 19)",IF(P191=CURSOS!$D$18,"ATENCION INTEGRAL EN ENFERMEDADES PREVALENTES EN PRIMERA INFANCIA (AIEPI)",IF(P191=CURSOS!$D$19,"ADMINISTRACION DE MEDICAMENTOS, INYECTOLOGIA  Y CANALIZACION ",IF(P191=CURSOS!$D$20,"OPERADOR DE VEHICULOS DE EMERGENCIA (OVE)",IF(P191=CURSOS!$D$21,"INSTITUCIONES AMIGAS DE LA MUJER Y LA INFANCIA (IAMI)",IF(P191=CURSOS!$D$22,"CUIDADO DEL DONANTE DE ORGANOS",IF(P191=CURSOS!$D$23,"ATENCION A VICTIMAS POR VIOLENCIA DE GENERO",IF(P191=CURSOS!$D$24,"IGUALDAD DE GENERO EN LA SALUD",IF(P191=CURSOS!$D$25,"BRIGADA DE EMERGENCIA",IF(P191=CURSOS!$D$26,"MANEJO DEL DOLOR Y CUIDADOS PALIATIVOS",IF(P191=CURSOS!$D$27,"TOMA DE MUESTRAS Y LABORATORIO POCT",IF(P191=CURSOS!$D$28,"IMPLANTE SUBDERMICO DE DISPOSITIVO INTRAUTERINO",IF(P191=CURSOS!$D$29,"SALUD MENTAL",IF(P191=CURSOS!$D$30,"PRIMEROS AUXILIOS PSICOLOGICOS",IF(P191=CURSOS!$D$31,"ATENCION A VICTIMAS POR CONFLICTO ARMADO",IF(P191=CURSOS!$D$32,"MANIPULACION DE ALIMENTOS Y BPM",IF(P191=CURSOS!$D$33,"ATENCION A PERSONAS CON DISCAPACIDAD",IF(P191=CURSOS!$D$34,"CUIDADO INTEGRAL DEL PACIENTE ADULTO",IF(P191=CURSOS!$D$35,"MANEJO DEFENSIVO",IF(P191=CURSOS!$D$36,"SOPORTE CARDIOVASCULAR AVANZADO NEONATAL",IF(P191=CURSOS!$D$37,"SEGURIDAD DEL PACIENTE",IF(P191=CURSOS!$D$38,"MANEJO DE RESIDUOS HOSPITALARIOS"))))))))))))))))))))))))))))))))))))</f>
        <v>0</v>
      </c>
      <c r="W191" s="65" t="str">
        <f t="shared" si="15"/>
        <v xml:space="preserve">   </v>
      </c>
      <c r="X191" s="65" t="str">
        <f t="shared" si="16"/>
        <v xml:space="preserve">   </v>
      </c>
      <c r="Y191" s="65" t="str">
        <f t="shared" si="17"/>
        <v xml:space="preserve">   --</v>
      </c>
    </row>
    <row r="192" spans="1:25" x14ac:dyDescent="0.2">
      <c r="A192" s="59">
        <v>191</v>
      </c>
      <c r="I192" s="44"/>
      <c r="J192" s="44"/>
      <c r="Q192" s="44"/>
      <c r="S192" s="47"/>
      <c r="T192" s="47"/>
      <c r="U192" s="40"/>
      <c r="V192" s="65" t="b">
        <f>IF(P192=CURSOS!$D$3,"DIPLOMADO EN ATENCION PRE-HOSPITALARIA",IF(P192=CURSOS!$D$4,"ACOMPAÑAMIENTO Y MANEJO DEL DUELO",IF(P192=CURSOS!$D$5,"ATENCION A VICTIMAS DE ATAQUE CON AGENTES QUIMICOS ",IF(P192=CURSOS!$D$6,"PRIMEROS AUXILIOS ",IF(P192=CURSOS!$D$7,"DIPLOMADO DE UNIDAD DE CUIDADOS INTENSIVOS (UCI)",IF(P192=CURSOS!$D$8,"MODELO DE ATENCION PARA EVENTOS EMERGENTES EN SALUD MENTAL (CODIGO VERDE)",IF(P192=CURSOS!$D$9,"HUMANIZACION EN EL SERVICIO DE LA SALUD Y BUENAS PRACTICAS EN PACIENTE ",IF(P192=CURSOS!$D$10,"CLINICA DE HERIDAS ",IF(P192=CURSOS!$D$11,"TOMA DE CITOLOGIA CERVICO VAGINAL ",IF(P192=CURSOS!$D$12,"SOPORTE CARDIOVASCULAR AVANZADO (ACLS) ",IF(P192=CURSOS!$D$13,"CAMILLERO ",IF(P192=CURSOS!$D$14,"TOMA DE MUESTRAS Y LABORATORIO ",IF(P192=CURSOS!$D$15,"SOPORTE VITAL BASICO (BLS)",IF(P192=CURSOS!$D$16,"ATENCION A VICTIMAS DE VIOLENCIA SEXUAL ",IF(P192=CURSOS!$D$17,"PROGRAMADO AMPLIADO DE INMUNIZACION (PAI - COVID 19)",IF(P192=CURSOS!$D$18,"ATENCION INTEGRAL EN ENFERMEDADES PREVALENTES EN PRIMERA INFANCIA (AIEPI)",IF(P192=CURSOS!$D$19,"ADMINISTRACION DE MEDICAMENTOS, INYECTOLOGIA  Y CANALIZACION ",IF(P192=CURSOS!$D$20,"OPERADOR DE VEHICULOS DE EMERGENCIA (OVE)",IF(P192=CURSOS!$D$21,"INSTITUCIONES AMIGAS DE LA MUJER Y LA INFANCIA (IAMI)",IF(P192=CURSOS!$D$22,"CUIDADO DEL DONANTE DE ORGANOS",IF(P192=CURSOS!$D$23,"ATENCION A VICTIMAS POR VIOLENCIA DE GENERO",IF(P192=CURSOS!$D$24,"IGUALDAD DE GENERO EN LA SALUD",IF(P192=CURSOS!$D$25,"BRIGADA DE EMERGENCIA",IF(P192=CURSOS!$D$26,"MANEJO DEL DOLOR Y CUIDADOS PALIATIVOS",IF(P192=CURSOS!$D$27,"TOMA DE MUESTRAS Y LABORATORIO POCT",IF(P192=CURSOS!$D$28,"IMPLANTE SUBDERMICO DE DISPOSITIVO INTRAUTERINO",IF(P192=CURSOS!$D$29,"SALUD MENTAL",IF(P192=CURSOS!$D$30,"PRIMEROS AUXILIOS PSICOLOGICOS",IF(P192=CURSOS!$D$31,"ATENCION A VICTIMAS POR CONFLICTO ARMADO",IF(P192=CURSOS!$D$32,"MANIPULACION DE ALIMENTOS Y BPM",IF(P192=CURSOS!$D$33,"ATENCION A PERSONAS CON DISCAPACIDAD",IF(P192=CURSOS!$D$34,"CUIDADO INTEGRAL DEL PACIENTE ADULTO",IF(P192=CURSOS!$D$35,"MANEJO DEFENSIVO",IF(P192=CURSOS!$D$36,"SOPORTE CARDIOVASCULAR AVANZADO NEONATAL",IF(P192=CURSOS!$D$37,"SEGURIDAD DEL PACIENTE",IF(P192=CURSOS!$D$38,"MANEJO DE RESIDUOS HOSPITALARIOS"))))))))))))))))))))))))))))))))))))</f>
        <v>0</v>
      </c>
      <c r="W192" s="65" t="str">
        <f t="shared" si="15"/>
        <v xml:space="preserve">   </v>
      </c>
      <c r="X192" s="65" t="str">
        <f t="shared" si="16"/>
        <v xml:space="preserve">   </v>
      </c>
      <c r="Y192" s="65" t="str">
        <f t="shared" si="17"/>
        <v xml:space="preserve">   --</v>
      </c>
    </row>
    <row r="193" spans="1:25" x14ac:dyDescent="0.2">
      <c r="A193" s="59">
        <v>192</v>
      </c>
      <c r="I193" s="44"/>
      <c r="J193" s="44"/>
      <c r="Q193" s="44"/>
      <c r="S193" s="47"/>
      <c r="U193" s="40"/>
      <c r="V193" s="65" t="b">
        <f>IF(P193=CURSOS!$D$3,"DIPLOMADO EN ATENCION PRE-HOSPITALARIA",IF(P193=CURSOS!$D$4,"ACOMPAÑAMIENTO Y MANEJO DEL DUELO",IF(P193=CURSOS!$D$5,"ATENCION A VICTIMAS DE ATAQUE CON AGENTES QUIMICOS ",IF(P193=CURSOS!$D$6,"PRIMEROS AUXILIOS ",IF(P193=CURSOS!$D$7,"DIPLOMADO DE UNIDAD DE CUIDADOS INTENSIVOS (UCI)",IF(P193=CURSOS!$D$8,"MODELO DE ATENCION PARA EVENTOS EMERGENTES EN SALUD MENTAL (CODIGO VERDE)",IF(P193=CURSOS!$D$9,"HUMANIZACION EN EL SERVICIO DE LA SALUD Y BUENAS PRACTICAS EN PACIENTE ",IF(P193=CURSOS!$D$10,"CLINICA DE HERIDAS ",IF(P193=CURSOS!$D$11,"TOMA DE CITOLOGIA CERVICO VAGINAL ",IF(P193=CURSOS!$D$12,"SOPORTE CARDIOVASCULAR AVANZADO (ACLS) ",IF(P193=CURSOS!$D$13,"CAMILLERO ",IF(P193=CURSOS!$D$14,"TOMA DE MUESTRAS Y LABORATORIO ",IF(P193=CURSOS!$D$15,"SOPORTE VITAL BASICO (BLS)",IF(P193=CURSOS!$D$16,"ATENCION A VICTIMAS DE VIOLENCIA SEXUAL ",IF(P193=CURSOS!$D$17,"PROGRAMADO AMPLIADO DE INMUNIZACION (PAI - COVID 19)",IF(P193=CURSOS!$D$18,"ATENCION INTEGRAL EN ENFERMEDADES PREVALENTES EN PRIMERA INFANCIA (AIEPI)",IF(P193=CURSOS!$D$19,"ADMINISTRACION DE MEDICAMENTOS, INYECTOLOGIA  Y CANALIZACION ",IF(P193=CURSOS!$D$20,"OPERADOR DE VEHICULOS DE EMERGENCIA (OVE)",IF(P193=CURSOS!$D$21,"INSTITUCIONES AMIGAS DE LA MUJER Y LA INFANCIA (IAMI)",IF(P193=CURSOS!$D$22,"CUIDADO DEL DONANTE DE ORGANOS",IF(P193=CURSOS!$D$23,"ATENCION A VICTIMAS POR VIOLENCIA DE GENERO",IF(P193=CURSOS!$D$24,"IGUALDAD DE GENERO EN LA SALUD",IF(P193=CURSOS!$D$25,"BRIGADA DE EMERGENCIA",IF(P193=CURSOS!$D$26,"MANEJO DEL DOLOR Y CUIDADOS PALIATIVOS",IF(P193=CURSOS!$D$27,"TOMA DE MUESTRAS Y LABORATORIO POCT",IF(P193=CURSOS!$D$28,"IMPLANTE SUBDERMICO DE DISPOSITIVO INTRAUTERINO",IF(P193=CURSOS!$D$29,"SALUD MENTAL",IF(P193=CURSOS!$D$30,"PRIMEROS AUXILIOS PSICOLOGICOS",IF(P193=CURSOS!$D$31,"ATENCION A VICTIMAS POR CONFLICTO ARMADO",IF(P193=CURSOS!$D$32,"MANIPULACION DE ALIMENTOS Y BPM",IF(P193=CURSOS!$D$33,"ATENCION A PERSONAS CON DISCAPACIDAD",IF(P193=CURSOS!$D$34,"CUIDADO INTEGRAL DEL PACIENTE ADULTO",IF(P193=CURSOS!$D$35,"MANEJO DEFENSIVO",IF(P193=CURSOS!$D$36,"SOPORTE CARDIOVASCULAR AVANZADO NEONATAL",IF(P193=CURSOS!$D$37,"SEGURIDAD DEL PACIENTE",IF(P193=CURSOS!$D$38,"MANEJO DE RESIDUOS HOSPITALARIOS"))))))))))))))))))))))))))))))))))))</f>
        <v>0</v>
      </c>
      <c r="W193" s="65" t="str">
        <f t="shared" si="15"/>
        <v xml:space="preserve">   </v>
      </c>
      <c r="X193" s="65" t="str">
        <f t="shared" si="16"/>
        <v xml:space="preserve">   </v>
      </c>
      <c r="Y193" s="65" t="str">
        <f t="shared" si="17"/>
        <v xml:space="preserve">   --</v>
      </c>
    </row>
    <row r="194" spans="1:25" x14ac:dyDescent="0.2">
      <c r="A194" s="59">
        <v>193</v>
      </c>
      <c r="I194" s="44"/>
      <c r="J194" s="44"/>
      <c r="Q194" s="44"/>
      <c r="S194" s="47"/>
      <c r="U194" s="40"/>
      <c r="V194" s="65" t="b">
        <f>IF(P194=CURSOS!$D$3,"DIPLOMADO EN ATENCION PRE-HOSPITALARIA",IF(P194=CURSOS!$D$4,"ACOMPAÑAMIENTO Y MANEJO DEL DUELO",IF(P194=CURSOS!$D$5,"ATENCION A VICTIMAS DE ATAQUE CON AGENTES QUIMICOS ",IF(P194=CURSOS!$D$6,"PRIMEROS AUXILIOS ",IF(P194=CURSOS!$D$7,"DIPLOMADO DE UNIDAD DE CUIDADOS INTENSIVOS (UCI)",IF(P194=CURSOS!$D$8,"MODELO DE ATENCION PARA EVENTOS EMERGENTES EN SALUD MENTAL (CODIGO VERDE)",IF(P194=CURSOS!$D$9,"HUMANIZACION EN EL SERVICIO DE LA SALUD Y BUENAS PRACTICAS EN PACIENTE ",IF(P194=CURSOS!$D$10,"CLINICA DE HERIDAS ",IF(P194=CURSOS!$D$11,"TOMA DE CITOLOGIA CERVICO VAGINAL ",IF(P194=CURSOS!$D$12,"SOPORTE CARDIOVASCULAR AVANZADO (ACLS) ",IF(P194=CURSOS!$D$13,"CAMILLERO ",IF(P194=CURSOS!$D$14,"TOMA DE MUESTRAS Y LABORATORIO ",IF(P194=CURSOS!$D$15,"SOPORTE VITAL BASICO (BLS)",IF(P194=CURSOS!$D$16,"ATENCION A VICTIMAS DE VIOLENCIA SEXUAL ",IF(P194=CURSOS!$D$17,"PROGRAMADO AMPLIADO DE INMUNIZACION (PAI - COVID 19)",IF(P194=CURSOS!$D$18,"ATENCION INTEGRAL EN ENFERMEDADES PREVALENTES EN PRIMERA INFANCIA (AIEPI)",IF(P194=CURSOS!$D$19,"ADMINISTRACION DE MEDICAMENTOS, INYECTOLOGIA  Y CANALIZACION ",IF(P194=CURSOS!$D$20,"OPERADOR DE VEHICULOS DE EMERGENCIA (OVE)",IF(P194=CURSOS!$D$21,"INSTITUCIONES AMIGAS DE LA MUJER Y LA INFANCIA (IAMI)",IF(P194=CURSOS!$D$22,"CUIDADO DEL DONANTE DE ORGANOS",IF(P194=CURSOS!$D$23,"ATENCION A VICTIMAS POR VIOLENCIA DE GENERO",IF(P194=CURSOS!$D$24,"IGUALDAD DE GENERO EN LA SALUD",IF(P194=CURSOS!$D$25,"BRIGADA DE EMERGENCIA",IF(P194=CURSOS!$D$26,"MANEJO DEL DOLOR Y CUIDADOS PALIATIVOS",IF(P194=CURSOS!$D$27,"TOMA DE MUESTRAS Y LABORATORIO POCT",IF(P194=CURSOS!$D$28,"IMPLANTE SUBDERMICO DE DISPOSITIVO INTRAUTERINO",IF(P194=CURSOS!$D$29,"SALUD MENTAL",IF(P194=CURSOS!$D$30,"PRIMEROS AUXILIOS PSICOLOGICOS",IF(P194=CURSOS!$D$31,"ATENCION A VICTIMAS POR CONFLICTO ARMADO",IF(P194=CURSOS!$D$32,"MANIPULACION DE ALIMENTOS Y BPM",IF(P194=CURSOS!$D$33,"ATENCION A PERSONAS CON DISCAPACIDAD",IF(P194=CURSOS!$D$34,"CUIDADO INTEGRAL DEL PACIENTE ADULTO",IF(P194=CURSOS!$D$35,"MANEJO DEFENSIVO",IF(P194=CURSOS!$D$36,"SOPORTE CARDIOVASCULAR AVANZADO NEONATAL",IF(P194=CURSOS!$D$37,"SEGURIDAD DEL PACIENTE",IF(P194=CURSOS!$D$38,"MANEJO DE RESIDUOS HOSPITALARIOS"))))))))))))))))))))))))))))))))))))</f>
        <v>0</v>
      </c>
      <c r="W194" s="65" t="str">
        <f t="shared" si="15"/>
        <v xml:space="preserve">   </v>
      </c>
      <c r="X194" s="65" t="str">
        <f t="shared" si="16"/>
        <v xml:space="preserve">   </v>
      </c>
      <c r="Y194" s="65" t="str">
        <f t="shared" si="17"/>
        <v xml:space="preserve">   --</v>
      </c>
    </row>
    <row r="195" spans="1:25" x14ac:dyDescent="0.2">
      <c r="A195" s="59">
        <v>194</v>
      </c>
      <c r="I195" s="44"/>
      <c r="J195" s="44"/>
      <c r="Q195" s="44"/>
      <c r="U195" s="40"/>
      <c r="V195" s="65" t="b">
        <f>IF(P195=CURSOS!$D$3,"DIPLOMADO EN ATENCION PRE-HOSPITALARIA",IF(P195=CURSOS!$D$4,"ACOMPAÑAMIENTO Y MANEJO DEL DUELO",IF(P195=CURSOS!$D$5,"ATENCION A VICTIMAS DE ATAQUE CON AGENTES QUIMICOS ",IF(P195=CURSOS!$D$6,"PRIMEROS AUXILIOS ",IF(P195=CURSOS!$D$7,"DIPLOMADO DE UNIDAD DE CUIDADOS INTENSIVOS (UCI)",IF(P195=CURSOS!$D$8,"MODELO DE ATENCION PARA EVENTOS EMERGENTES EN SALUD MENTAL (CODIGO VERDE)",IF(P195=CURSOS!$D$9,"HUMANIZACION EN EL SERVICIO DE LA SALUD Y BUENAS PRACTICAS EN PACIENTE ",IF(P195=CURSOS!$D$10,"CLINICA DE HERIDAS ",IF(P195=CURSOS!$D$11,"TOMA DE CITOLOGIA CERVICO VAGINAL ",IF(P195=CURSOS!$D$12,"SOPORTE CARDIOVASCULAR AVANZADO (ACLS) ",IF(P195=CURSOS!$D$13,"CAMILLERO ",IF(P195=CURSOS!$D$14,"TOMA DE MUESTRAS Y LABORATORIO ",IF(P195=CURSOS!$D$15,"SOPORTE VITAL BASICO (BLS)",IF(P195=CURSOS!$D$16,"ATENCION A VICTIMAS DE VIOLENCIA SEXUAL ",IF(P195=CURSOS!$D$17,"PROGRAMADO AMPLIADO DE INMUNIZACION (PAI - COVID 19)",IF(P195=CURSOS!$D$18,"ATENCION INTEGRAL EN ENFERMEDADES PREVALENTES EN PRIMERA INFANCIA (AIEPI)",IF(P195=CURSOS!$D$19,"ADMINISTRACION DE MEDICAMENTOS, INYECTOLOGIA  Y CANALIZACION ",IF(P195=CURSOS!$D$20,"OPERADOR DE VEHICULOS DE EMERGENCIA (OVE)",IF(P195=CURSOS!$D$21,"INSTITUCIONES AMIGAS DE LA MUJER Y LA INFANCIA (IAMI)",IF(P195=CURSOS!$D$22,"CUIDADO DEL DONANTE DE ORGANOS",IF(P195=CURSOS!$D$23,"ATENCION A VICTIMAS POR VIOLENCIA DE GENERO",IF(P195=CURSOS!$D$24,"IGUALDAD DE GENERO EN LA SALUD",IF(P195=CURSOS!$D$25,"BRIGADA DE EMERGENCIA",IF(P195=CURSOS!$D$26,"MANEJO DEL DOLOR Y CUIDADOS PALIATIVOS",IF(P195=CURSOS!$D$27,"TOMA DE MUESTRAS Y LABORATORIO POCT",IF(P195=CURSOS!$D$28,"IMPLANTE SUBDERMICO DE DISPOSITIVO INTRAUTERINO",IF(P195=CURSOS!$D$29,"SALUD MENTAL",IF(P195=CURSOS!$D$30,"PRIMEROS AUXILIOS PSICOLOGICOS",IF(P195=CURSOS!$D$31,"ATENCION A VICTIMAS POR CONFLICTO ARMADO",IF(P195=CURSOS!$D$32,"MANIPULACION DE ALIMENTOS Y BPM",IF(P195=CURSOS!$D$33,"ATENCION A PERSONAS CON DISCAPACIDAD",IF(P195=CURSOS!$D$34,"CUIDADO INTEGRAL DEL PACIENTE ADULTO",IF(P195=CURSOS!$D$35,"MANEJO DEFENSIVO",IF(P195=CURSOS!$D$36,"SOPORTE CARDIOVASCULAR AVANZADO NEONATAL",IF(P195=CURSOS!$D$37,"SEGURIDAD DEL PACIENTE",IF(P195=CURSOS!$D$38,"MANEJO DE RESIDUOS HOSPITALARIOS"))))))))))))))))))))))))))))))))))))</f>
        <v>0</v>
      </c>
      <c r="W195" s="65" t="str">
        <f t="shared" si="15"/>
        <v xml:space="preserve">   </v>
      </c>
      <c r="X195" s="65" t="str">
        <f t="shared" si="16"/>
        <v xml:space="preserve">   </v>
      </c>
      <c r="Y195" s="65" t="str">
        <f t="shared" si="17"/>
        <v xml:space="preserve">   --</v>
      </c>
    </row>
    <row r="196" spans="1:25" x14ac:dyDescent="0.2">
      <c r="A196" s="59">
        <v>195</v>
      </c>
      <c r="I196" s="44"/>
      <c r="J196" s="44"/>
      <c r="Q196" s="44"/>
      <c r="U196" s="40"/>
      <c r="V196" s="65" t="b">
        <f>IF(P196=CURSOS!$D$3,"DIPLOMADO EN ATENCION PRE-HOSPITALARIA",IF(P196=CURSOS!$D$4,"ACOMPAÑAMIENTO Y MANEJO DEL DUELO",IF(P196=CURSOS!$D$5,"ATENCION A VICTIMAS DE ATAQUE CON AGENTES QUIMICOS ",IF(P196=CURSOS!$D$6,"PRIMEROS AUXILIOS ",IF(P196=CURSOS!$D$7,"DIPLOMADO DE UNIDAD DE CUIDADOS INTENSIVOS (UCI)",IF(P196=CURSOS!$D$8,"MODELO DE ATENCION PARA EVENTOS EMERGENTES EN SALUD MENTAL (CODIGO VERDE)",IF(P196=CURSOS!$D$9,"HUMANIZACION EN EL SERVICIO DE LA SALUD Y BUENAS PRACTICAS EN PACIENTE ",IF(P196=CURSOS!$D$10,"CLINICA DE HERIDAS ",IF(P196=CURSOS!$D$11,"TOMA DE CITOLOGIA CERVICO VAGINAL ",IF(P196=CURSOS!$D$12,"SOPORTE CARDIOVASCULAR AVANZADO (ACLS) ",IF(P196=CURSOS!$D$13,"CAMILLERO ",IF(P196=CURSOS!$D$14,"TOMA DE MUESTRAS Y LABORATORIO ",IF(P196=CURSOS!$D$15,"SOPORTE VITAL BASICO (BLS)",IF(P196=CURSOS!$D$16,"ATENCION A VICTIMAS DE VIOLENCIA SEXUAL ",IF(P196=CURSOS!$D$17,"PROGRAMADO AMPLIADO DE INMUNIZACION (PAI - COVID 19)",IF(P196=CURSOS!$D$18,"ATENCION INTEGRAL EN ENFERMEDADES PREVALENTES EN PRIMERA INFANCIA (AIEPI)",IF(P196=CURSOS!$D$19,"ADMINISTRACION DE MEDICAMENTOS, INYECTOLOGIA  Y CANALIZACION ",IF(P196=CURSOS!$D$20,"OPERADOR DE VEHICULOS DE EMERGENCIA (OVE)",IF(P196=CURSOS!$D$21,"INSTITUCIONES AMIGAS DE LA MUJER Y LA INFANCIA (IAMI)",IF(P196=CURSOS!$D$22,"CUIDADO DEL DONANTE DE ORGANOS",IF(P196=CURSOS!$D$23,"ATENCION A VICTIMAS POR VIOLENCIA DE GENERO",IF(P196=CURSOS!$D$24,"IGUALDAD DE GENERO EN LA SALUD",IF(P196=CURSOS!$D$25,"BRIGADA DE EMERGENCIA",IF(P196=CURSOS!$D$26,"MANEJO DEL DOLOR Y CUIDADOS PALIATIVOS",IF(P196=CURSOS!$D$27,"TOMA DE MUESTRAS Y LABORATORIO POCT",IF(P196=CURSOS!$D$28,"IMPLANTE SUBDERMICO DE DISPOSITIVO INTRAUTERINO",IF(P196=CURSOS!$D$29,"SALUD MENTAL",IF(P196=CURSOS!$D$30,"PRIMEROS AUXILIOS PSICOLOGICOS",IF(P196=CURSOS!$D$31,"ATENCION A VICTIMAS POR CONFLICTO ARMADO",IF(P196=CURSOS!$D$32,"MANIPULACION DE ALIMENTOS Y BPM",IF(P196=CURSOS!$D$33,"ATENCION A PERSONAS CON DISCAPACIDAD",IF(P196=CURSOS!$D$34,"CUIDADO INTEGRAL DEL PACIENTE ADULTO",IF(P196=CURSOS!$D$35,"MANEJO DEFENSIVO",IF(P196=CURSOS!$D$36,"SOPORTE CARDIOVASCULAR AVANZADO NEONATAL",IF(P196=CURSOS!$D$37,"SEGURIDAD DEL PACIENTE",IF(P196=CURSOS!$D$38,"MANEJO DE RESIDUOS HOSPITALARIOS"))))))))))))))))))))))))))))))))))))</f>
        <v>0</v>
      </c>
      <c r="W196" s="65" t="str">
        <f t="shared" si="15"/>
        <v xml:space="preserve">   </v>
      </c>
      <c r="X196" s="65" t="str">
        <f t="shared" si="16"/>
        <v xml:space="preserve">   </v>
      </c>
      <c r="Y196" s="65" t="str">
        <f t="shared" si="17"/>
        <v xml:space="preserve">   --</v>
      </c>
    </row>
    <row r="197" spans="1:25" x14ac:dyDescent="0.2">
      <c r="A197" s="59">
        <v>196</v>
      </c>
      <c r="I197" s="44"/>
      <c r="J197" s="44"/>
      <c r="Q197" s="44"/>
      <c r="U197" s="40"/>
      <c r="V197" s="65" t="b">
        <f>IF(P197=CURSOS!$D$3,"DIPLOMADO EN ATENCION PRE-HOSPITALARIA",IF(P197=CURSOS!$D$4,"ACOMPAÑAMIENTO Y MANEJO DEL DUELO",IF(P197=CURSOS!$D$5,"ATENCION A VICTIMAS DE ATAQUE CON AGENTES QUIMICOS ",IF(P197=CURSOS!$D$6,"PRIMEROS AUXILIOS ",IF(P197=CURSOS!$D$7,"DIPLOMADO DE UNIDAD DE CUIDADOS INTENSIVOS (UCI)",IF(P197=CURSOS!$D$8,"MODELO DE ATENCION PARA EVENTOS EMERGENTES EN SALUD MENTAL (CODIGO VERDE)",IF(P197=CURSOS!$D$9,"HUMANIZACION EN EL SERVICIO DE LA SALUD Y BUENAS PRACTICAS EN PACIENTE ",IF(P197=CURSOS!$D$10,"CLINICA DE HERIDAS ",IF(P197=CURSOS!$D$11,"TOMA DE CITOLOGIA CERVICO VAGINAL ",IF(P197=CURSOS!$D$12,"SOPORTE CARDIOVASCULAR AVANZADO (ACLS) ",IF(P197=CURSOS!$D$13,"CAMILLERO ",IF(P197=CURSOS!$D$14,"TOMA DE MUESTRAS Y LABORATORIO ",IF(P197=CURSOS!$D$15,"SOPORTE VITAL BASICO (BLS)",IF(P197=CURSOS!$D$16,"ATENCION A VICTIMAS DE VIOLENCIA SEXUAL ",IF(P197=CURSOS!$D$17,"PROGRAMADO AMPLIADO DE INMUNIZACION (PAI - COVID 19)",IF(P197=CURSOS!$D$18,"ATENCION INTEGRAL EN ENFERMEDADES PREVALENTES EN PRIMERA INFANCIA (AIEPI)",IF(P197=CURSOS!$D$19,"ADMINISTRACION DE MEDICAMENTOS, INYECTOLOGIA  Y CANALIZACION ",IF(P197=CURSOS!$D$20,"OPERADOR DE VEHICULOS DE EMERGENCIA (OVE)",IF(P197=CURSOS!$D$21,"INSTITUCIONES AMIGAS DE LA MUJER Y LA INFANCIA (IAMI)",IF(P197=CURSOS!$D$22,"CUIDADO DEL DONANTE DE ORGANOS",IF(P197=CURSOS!$D$23,"ATENCION A VICTIMAS POR VIOLENCIA DE GENERO",IF(P197=CURSOS!$D$24,"IGUALDAD DE GENERO EN LA SALUD",IF(P197=CURSOS!$D$25,"BRIGADA DE EMERGENCIA",IF(P197=CURSOS!$D$26,"MANEJO DEL DOLOR Y CUIDADOS PALIATIVOS",IF(P197=CURSOS!$D$27,"TOMA DE MUESTRAS Y LABORATORIO POCT",IF(P197=CURSOS!$D$28,"IMPLANTE SUBDERMICO DE DISPOSITIVO INTRAUTERINO",IF(P197=CURSOS!$D$29,"SALUD MENTAL",IF(P197=CURSOS!$D$30,"PRIMEROS AUXILIOS PSICOLOGICOS",IF(P197=CURSOS!$D$31,"ATENCION A VICTIMAS POR CONFLICTO ARMADO",IF(P197=CURSOS!$D$32,"MANIPULACION DE ALIMENTOS Y BPM",IF(P197=CURSOS!$D$33,"ATENCION A PERSONAS CON DISCAPACIDAD",IF(P197=CURSOS!$D$34,"CUIDADO INTEGRAL DEL PACIENTE ADULTO",IF(P197=CURSOS!$D$35,"MANEJO DEFENSIVO",IF(P197=CURSOS!$D$36,"SOPORTE CARDIOVASCULAR AVANZADO NEONATAL",IF(P197=CURSOS!$D$37,"SEGURIDAD DEL PACIENTE",IF(P197=CURSOS!$D$38,"MANEJO DE RESIDUOS HOSPITALARIOS"))))))))))))))))))))))))))))))))))))</f>
        <v>0</v>
      </c>
      <c r="W197" s="65" t="str">
        <f t="shared" si="15"/>
        <v xml:space="preserve">   </v>
      </c>
      <c r="X197" s="65" t="str">
        <f t="shared" si="16"/>
        <v xml:space="preserve">   </v>
      </c>
      <c r="Y197" s="65" t="str">
        <f t="shared" si="17"/>
        <v xml:space="preserve">   --</v>
      </c>
    </row>
    <row r="198" spans="1:25" x14ac:dyDescent="0.2">
      <c r="A198" s="59">
        <v>197</v>
      </c>
      <c r="I198" s="44"/>
      <c r="J198" s="44"/>
      <c r="Q198" s="44"/>
      <c r="U198" s="40"/>
      <c r="V198" s="65" t="b">
        <f>IF(P198=CURSOS!$D$3,"DIPLOMADO EN ATENCION PRE-HOSPITALARIA",IF(P198=CURSOS!$D$4,"ACOMPAÑAMIENTO Y MANEJO DEL DUELO",IF(P198=CURSOS!$D$5,"ATENCION A VICTIMAS DE ATAQUE CON AGENTES QUIMICOS ",IF(P198=CURSOS!$D$6,"PRIMEROS AUXILIOS ",IF(P198=CURSOS!$D$7,"DIPLOMADO DE UNIDAD DE CUIDADOS INTENSIVOS (UCI)",IF(P198=CURSOS!$D$8,"MODELO DE ATENCION PARA EVENTOS EMERGENTES EN SALUD MENTAL (CODIGO VERDE)",IF(P198=CURSOS!$D$9,"HUMANIZACION EN EL SERVICIO DE LA SALUD Y BUENAS PRACTICAS EN PACIENTE ",IF(P198=CURSOS!$D$10,"CLINICA DE HERIDAS ",IF(P198=CURSOS!$D$11,"TOMA DE CITOLOGIA CERVICO VAGINAL ",IF(P198=CURSOS!$D$12,"SOPORTE CARDIOVASCULAR AVANZADO (ACLS) ",IF(P198=CURSOS!$D$13,"CAMILLERO ",IF(P198=CURSOS!$D$14,"TOMA DE MUESTRAS Y LABORATORIO ",IF(P198=CURSOS!$D$15,"SOPORTE VITAL BASICO (BLS)",IF(P198=CURSOS!$D$16,"ATENCION A VICTIMAS DE VIOLENCIA SEXUAL ",IF(P198=CURSOS!$D$17,"PROGRAMADO AMPLIADO DE INMUNIZACION (PAI - COVID 19)",IF(P198=CURSOS!$D$18,"ATENCION INTEGRAL EN ENFERMEDADES PREVALENTES EN PRIMERA INFANCIA (AIEPI)",IF(P198=CURSOS!$D$19,"ADMINISTRACION DE MEDICAMENTOS, INYECTOLOGIA  Y CANALIZACION ",IF(P198=CURSOS!$D$20,"OPERADOR DE VEHICULOS DE EMERGENCIA (OVE)",IF(P198=CURSOS!$D$21,"INSTITUCIONES AMIGAS DE LA MUJER Y LA INFANCIA (IAMI)",IF(P198=CURSOS!$D$22,"CUIDADO DEL DONANTE DE ORGANOS",IF(P198=CURSOS!$D$23,"ATENCION A VICTIMAS POR VIOLENCIA DE GENERO",IF(P198=CURSOS!$D$24,"IGUALDAD DE GENERO EN LA SALUD",IF(P198=CURSOS!$D$25,"BRIGADA DE EMERGENCIA",IF(P198=CURSOS!$D$26,"MANEJO DEL DOLOR Y CUIDADOS PALIATIVOS",IF(P198=CURSOS!$D$27,"TOMA DE MUESTRAS Y LABORATORIO POCT",IF(P198=CURSOS!$D$28,"IMPLANTE SUBDERMICO DE DISPOSITIVO INTRAUTERINO",IF(P198=CURSOS!$D$29,"SALUD MENTAL",IF(P198=CURSOS!$D$30,"PRIMEROS AUXILIOS PSICOLOGICOS",IF(P198=CURSOS!$D$31,"ATENCION A VICTIMAS POR CONFLICTO ARMADO",IF(P198=CURSOS!$D$32,"MANIPULACION DE ALIMENTOS Y BPM",IF(P198=CURSOS!$D$33,"ATENCION A PERSONAS CON DISCAPACIDAD",IF(P198=CURSOS!$D$34,"CUIDADO INTEGRAL DEL PACIENTE ADULTO",IF(P198=CURSOS!$D$35,"MANEJO DEFENSIVO",IF(P198=CURSOS!$D$36,"SOPORTE CARDIOVASCULAR AVANZADO NEONATAL",IF(P198=CURSOS!$D$37,"SEGURIDAD DEL PACIENTE",IF(P198=CURSOS!$D$38,"MANEJO DE RESIDUOS HOSPITALARIOS"))))))))))))))))))))))))))))))))))))</f>
        <v>0</v>
      </c>
      <c r="W198" s="65" t="str">
        <f t="shared" si="15"/>
        <v xml:space="preserve">   </v>
      </c>
      <c r="X198" s="65" t="str">
        <f t="shared" si="16"/>
        <v xml:space="preserve">   </v>
      </c>
      <c r="Y198" s="65" t="str">
        <f t="shared" si="17"/>
        <v xml:space="preserve">   --</v>
      </c>
    </row>
    <row r="199" spans="1:25" x14ac:dyDescent="0.2">
      <c r="A199" s="59">
        <v>198</v>
      </c>
      <c r="I199" s="44"/>
      <c r="J199" s="44"/>
      <c r="Q199" s="44"/>
      <c r="U199" s="40"/>
      <c r="V199" s="65" t="b">
        <f>IF(P199=CURSOS!$D$3,"DIPLOMADO EN ATENCION PRE-HOSPITALARIA",IF(P199=CURSOS!$D$4,"ACOMPAÑAMIENTO Y MANEJO DEL DUELO",IF(P199=CURSOS!$D$5,"ATENCION A VICTIMAS DE ATAQUE CON AGENTES QUIMICOS ",IF(P199=CURSOS!$D$6,"PRIMEROS AUXILIOS ",IF(P199=CURSOS!$D$7,"DIPLOMADO DE UNIDAD DE CUIDADOS INTENSIVOS (UCI)",IF(P199=CURSOS!$D$8,"MODELO DE ATENCION PARA EVENTOS EMERGENTES EN SALUD MENTAL (CODIGO VERDE)",IF(P199=CURSOS!$D$9,"HUMANIZACION EN EL SERVICIO DE LA SALUD Y BUENAS PRACTICAS EN PACIENTE ",IF(P199=CURSOS!$D$10,"CLINICA DE HERIDAS ",IF(P199=CURSOS!$D$11,"TOMA DE CITOLOGIA CERVICO VAGINAL ",IF(P199=CURSOS!$D$12,"SOPORTE CARDIOVASCULAR AVANZADO (ACLS) ",IF(P199=CURSOS!$D$13,"CAMILLERO ",IF(P199=CURSOS!$D$14,"TOMA DE MUESTRAS Y LABORATORIO ",IF(P199=CURSOS!$D$15,"SOPORTE VITAL BASICO (BLS)",IF(P199=CURSOS!$D$16,"ATENCION A VICTIMAS DE VIOLENCIA SEXUAL ",IF(P199=CURSOS!$D$17,"PROGRAMADO AMPLIADO DE INMUNIZACION (PAI - COVID 19)",IF(P199=CURSOS!$D$18,"ATENCION INTEGRAL EN ENFERMEDADES PREVALENTES EN PRIMERA INFANCIA (AIEPI)",IF(P199=CURSOS!$D$19,"ADMINISTRACION DE MEDICAMENTOS, INYECTOLOGIA  Y CANALIZACION ",IF(P199=CURSOS!$D$20,"OPERADOR DE VEHICULOS DE EMERGENCIA (OVE)",IF(P199=CURSOS!$D$21,"INSTITUCIONES AMIGAS DE LA MUJER Y LA INFANCIA (IAMI)",IF(P199=CURSOS!$D$22,"CUIDADO DEL DONANTE DE ORGANOS",IF(P199=CURSOS!$D$23,"ATENCION A VICTIMAS POR VIOLENCIA DE GENERO",IF(P199=CURSOS!$D$24,"IGUALDAD DE GENERO EN LA SALUD",IF(P199=CURSOS!$D$25,"BRIGADA DE EMERGENCIA",IF(P199=CURSOS!$D$26,"MANEJO DEL DOLOR Y CUIDADOS PALIATIVOS",IF(P199=CURSOS!$D$27,"TOMA DE MUESTRAS Y LABORATORIO POCT",IF(P199=CURSOS!$D$28,"IMPLANTE SUBDERMICO DE DISPOSITIVO INTRAUTERINO",IF(P199=CURSOS!$D$29,"SALUD MENTAL",IF(P199=CURSOS!$D$30,"PRIMEROS AUXILIOS PSICOLOGICOS",IF(P199=CURSOS!$D$31,"ATENCION A VICTIMAS POR CONFLICTO ARMADO",IF(P199=CURSOS!$D$32,"MANIPULACION DE ALIMENTOS Y BPM",IF(P199=CURSOS!$D$33,"ATENCION A PERSONAS CON DISCAPACIDAD",IF(P199=CURSOS!$D$34,"CUIDADO INTEGRAL DEL PACIENTE ADULTO",IF(P199=CURSOS!$D$35,"MANEJO DEFENSIVO",IF(P199=CURSOS!$D$36,"SOPORTE CARDIOVASCULAR AVANZADO NEONATAL",IF(P199=CURSOS!$D$37,"SEGURIDAD DEL PACIENTE",IF(P199=CURSOS!$D$38,"MANEJO DE RESIDUOS HOSPITALARIOS"))))))))))))))))))))))))))))))))))))</f>
        <v>0</v>
      </c>
      <c r="W199" s="65" t="str">
        <f t="shared" si="15"/>
        <v xml:space="preserve">   </v>
      </c>
      <c r="X199" s="65" t="str">
        <f t="shared" si="16"/>
        <v xml:space="preserve">   </v>
      </c>
      <c r="Y199" s="65" t="str">
        <f t="shared" si="17"/>
        <v xml:space="preserve">   --</v>
      </c>
    </row>
    <row r="200" spans="1:25" x14ac:dyDescent="0.2">
      <c r="A200" s="59">
        <v>199</v>
      </c>
      <c r="I200" s="44"/>
      <c r="J200" s="44"/>
      <c r="Q200" s="44"/>
      <c r="U200" s="40"/>
      <c r="V200" s="65" t="b">
        <f>IF(P200=CURSOS!$D$3,"DIPLOMADO EN ATENCION PRE-HOSPITALARIA",IF(P200=CURSOS!$D$4,"ACOMPAÑAMIENTO Y MANEJO DEL DUELO",IF(P200=CURSOS!$D$5,"ATENCION A VICTIMAS DE ATAQUE CON AGENTES QUIMICOS ",IF(P200=CURSOS!$D$6,"PRIMEROS AUXILIOS ",IF(P200=CURSOS!$D$7,"DIPLOMADO DE UNIDAD DE CUIDADOS INTENSIVOS (UCI)",IF(P200=CURSOS!$D$8,"MODELO DE ATENCION PARA EVENTOS EMERGENTES EN SALUD MENTAL (CODIGO VERDE)",IF(P200=CURSOS!$D$9,"HUMANIZACION EN EL SERVICIO DE LA SALUD Y BUENAS PRACTICAS EN PACIENTE ",IF(P200=CURSOS!$D$10,"CLINICA DE HERIDAS ",IF(P200=CURSOS!$D$11,"TOMA DE CITOLOGIA CERVICO VAGINAL ",IF(P200=CURSOS!$D$12,"SOPORTE CARDIOVASCULAR AVANZADO (ACLS) ",IF(P200=CURSOS!$D$13,"CAMILLERO ",IF(P200=CURSOS!$D$14,"TOMA DE MUESTRAS Y LABORATORIO ",IF(P200=CURSOS!$D$15,"SOPORTE VITAL BASICO (BLS)",IF(P200=CURSOS!$D$16,"ATENCION A VICTIMAS DE VIOLENCIA SEXUAL ",IF(P200=CURSOS!$D$17,"PROGRAMADO AMPLIADO DE INMUNIZACION (PAI - COVID 19)",IF(P200=CURSOS!$D$18,"ATENCION INTEGRAL EN ENFERMEDADES PREVALENTES EN PRIMERA INFANCIA (AIEPI)",IF(P200=CURSOS!$D$19,"ADMINISTRACION DE MEDICAMENTOS, INYECTOLOGIA  Y CANALIZACION ",IF(P200=CURSOS!$D$20,"OPERADOR DE VEHICULOS DE EMERGENCIA (OVE)",IF(P200=CURSOS!$D$21,"INSTITUCIONES AMIGAS DE LA MUJER Y LA INFANCIA (IAMI)",IF(P200=CURSOS!$D$22,"CUIDADO DEL DONANTE DE ORGANOS",IF(P200=CURSOS!$D$23,"ATENCION A VICTIMAS POR VIOLENCIA DE GENERO",IF(P200=CURSOS!$D$24,"IGUALDAD DE GENERO EN LA SALUD",IF(P200=CURSOS!$D$25,"BRIGADA DE EMERGENCIA",IF(P200=CURSOS!$D$26,"MANEJO DEL DOLOR Y CUIDADOS PALIATIVOS",IF(P200=CURSOS!$D$27,"TOMA DE MUESTRAS Y LABORATORIO POCT",IF(P200=CURSOS!$D$28,"IMPLANTE SUBDERMICO DE DISPOSITIVO INTRAUTERINO",IF(P200=CURSOS!$D$29,"SALUD MENTAL",IF(P200=CURSOS!$D$30,"PRIMEROS AUXILIOS PSICOLOGICOS",IF(P200=CURSOS!$D$31,"ATENCION A VICTIMAS POR CONFLICTO ARMADO",IF(P200=CURSOS!$D$32,"MANIPULACION DE ALIMENTOS Y BPM",IF(P200=CURSOS!$D$33,"ATENCION A PERSONAS CON DISCAPACIDAD",IF(P200=CURSOS!$D$34,"CUIDADO INTEGRAL DEL PACIENTE ADULTO",IF(P200=CURSOS!$D$35,"MANEJO DEFENSIVO",IF(P200=CURSOS!$D$36,"SOPORTE CARDIOVASCULAR AVANZADO NEONATAL",IF(P200=CURSOS!$D$37,"SEGURIDAD DEL PACIENTE",IF(P200=CURSOS!$D$38,"MANEJO DE RESIDUOS HOSPITALARIOS"))))))))))))))))))))))))))))))))))))</f>
        <v>0</v>
      </c>
      <c r="W200" s="65" t="str">
        <f t="shared" si="15"/>
        <v xml:space="preserve">   </v>
      </c>
      <c r="X200" s="65" t="str">
        <f t="shared" si="16"/>
        <v xml:space="preserve">   </v>
      </c>
      <c r="Y200" s="65" t="str">
        <f t="shared" si="17"/>
        <v xml:space="preserve">   --</v>
      </c>
    </row>
    <row r="201" spans="1:25" x14ac:dyDescent="0.2">
      <c r="A201" s="59">
        <v>200</v>
      </c>
      <c r="I201" s="44"/>
      <c r="J201" s="44"/>
      <c r="Q201" s="44"/>
      <c r="U201" s="40"/>
      <c r="V201" s="65" t="b">
        <f>IF(P201=CURSOS!$D$3,"DIPLOMADO EN ATENCION PRE-HOSPITALARIA",IF(P201=CURSOS!$D$4,"ACOMPAÑAMIENTO Y MANEJO DEL DUELO",IF(P201=CURSOS!$D$5,"ATENCION A VICTIMAS DE ATAQUE CON AGENTES QUIMICOS ",IF(P201=CURSOS!$D$6,"PRIMEROS AUXILIOS ",IF(P201=CURSOS!$D$7,"DIPLOMADO DE UNIDAD DE CUIDADOS INTENSIVOS (UCI)",IF(P201=CURSOS!$D$8,"MODELO DE ATENCION PARA EVENTOS EMERGENTES EN SALUD MENTAL (CODIGO VERDE)",IF(P201=CURSOS!$D$9,"HUMANIZACION EN EL SERVICIO DE LA SALUD Y BUENAS PRACTICAS EN PACIENTE ",IF(P201=CURSOS!$D$10,"CLINICA DE HERIDAS ",IF(P201=CURSOS!$D$11,"TOMA DE CITOLOGIA CERVICO VAGINAL ",IF(P201=CURSOS!$D$12,"SOPORTE CARDIOVASCULAR AVANZADO (ACLS) ",IF(P201=CURSOS!$D$13,"CAMILLERO ",IF(P201=CURSOS!$D$14,"TOMA DE MUESTRAS Y LABORATORIO ",IF(P201=CURSOS!$D$15,"SOPORTE VITAL BASICO (BLS)",IF(P201=CURSOS!$D$16,"ATENCION A VICTIMAS DE VIOLENCIA SEXUAL ",IF(P201=CURSOS!$D$17,"PROGRAMADO AMPLIADO DE INMUNIZACION (PAI - COVID 19)",IF(P201=CURSOS!$D$18,"ATENCION INTEGRAL EN ENFERMEDADES PREVALENTES EN PRIMERA INFANCIA (AIEPI)",IF(P201=CURSOS!$D$19,"ADMINISTRACION DE MEDICAMENTOS, INYECTOLOGIA  Y CANALIZACION ",IF(P201=CURSOS!$D$20,"OPERADOR DE VEHICULOS DE EMERGENCIA (OVE)",IF(P201=CURSOS!$D$21,"INSTITUCIONES AMIGAS DE LA MUJER Y LA INFANCIA (IAMI)",IF(P201=CURSOS!$D$22,"CUIDADO DEL DONANTE DE ORGANOS",IF(P201=CURSOS!$D$23,"ATENCION A VICTIMAS POR VIOLENCIA DE GENERO",IF(P201=CURSOS!$D$24,"IGUALDAD DE GENERO EN LA SALUD",IF(P201=CURSOS!$D$25,"BRIGADA DE EMERGENCIA",IF(P201=CURSOS!$D$26,"MANEJO DEL DOLOR Y CUIDADOS PALIATIVOS",IF(P201=CURSOS!$D$27,"TOMA DE MUESTRAS Y LABORATORIO POCT",IF(P201=CURSOS!$D$28,"IMPLANTE SUBDERMICO DE DISPOSITIVO INTRAUTERINO",IF(P201=CURSOS!$D$29,"SALUD MENTAL",IF(P201=CURSOS!$D$30,"PRIMEROS AUXILIOS PSICOLOGICOS",IF(P201=CURSOS!$D$31,"ATENCION A VICTIMAS POR CONFLICTO ARMADO",IF(P201=CURSOS!$D$32,"MANIPULACION DE ALIMENTOS Y BPM",IF(P201=CURSOS!$D$33,"ATENCION A PERSONAS CON DISCAPACIDAD",IF(P201=CURSOS!$D$34,"CUIDADO INTEGRAL DEL PACIENTE ADULTO",IF(P201=CURSOS!$D$35,"MANEJO DEFENSIVO",IF(P201=CURSOS!$D$36,"SOPORTE CARDIOVASCULAR AVANZADO NEONATAL",IF(P201=CURSOS!$D$37,"SEGURIDAD DEL PACIENTE",IF(P201=CURSOS!$D$38,"MANEJO DE RESIDUOS HOSPITALARIOS"))))))))))))))))))))))))))))))))))))</f>
        <v>0</v>
      </c>
      <c r="W201" s="65" t="str">
        <f t="shared" si="15"/>
        <v xml:space="preserve">   </v>
      </c>
      <c r="X201" s="65" t="str">
        <f t="shared" si="16"/>
        <v xml:space="preserve">   </v>
      </c>
      <c r="Y201" s="65" t="str">
        <f t="shared" si="17"/>
        <v xml:space="preserve">   --</v>
      </c>
    </row>
    <row r="202" spans="1:25" x14ac:dyDescent="0.2">
      <c r="A202" s="59">
        <v>201</v>
      </c>
      <c r="I202" s="44"/>
      <c r="J202" s="44"/>
      <c r="Q202" s="44"/>
      <c r="U202" s="40"/>
      <c r="V202" s="65" t="b">
        <f>IF(P202=CURSOS!$D$3,"DIPLOMADO EN ATENCION PRE-HOSPITALARIA",IF(P202=CURSOS!$D$4,"ACOMPAÑAMIENTO Y MANEJO DEL DUELO",IF(P202=CURSOS!$D$5,"ATENCION A VICTIMAS DE ATAQUE CON AGENTES QUIMICOS ",IF(P202=CURSOS!$D$6,"PRIMEROS AUXILIOS ",IF(P202=CURSOS!$D$7,"DIPLOMADO DE UNIDAD DE CUIDADOS INTENSIVOS (UCI)",IF(P202=CURSOS!$D$8,"MODELO DE ATENCION PARA EVENTOS EMERGENTES EN SALUD MENTAL (CODIGO VERDE)",IF(P202=CURSOS!$D$9,"HUMANIZACION EN EL SERVICIO DE LA SALUD Y BUENAS PRACTICAS EN PACIENTE ",IF(P202=CURSOS!$D$10,"CLINICA DE HERIDAS ",IF(P202=CURSOS!$D$11,"TOMA DE CITOLOGIA CERVICO VAGINAL ",IF(P202=CURSOS!$D$12,"SOPORTE CARDIOVASCULAR AVANZADO (ACLS) ",IF(P202=CURSOS!$D$13,"CAMILLERO ",IF(P202=CURSOS!$D$14,"TOMA DE MUESTRAS Y LABORATORIO ",IF(P202=CURSOS!$D$15,"SOPORTE VITAL BASICO (BLS)",IF(P202=CURSOS!$D$16,"ATENCION A VICTIMAS DE VIOLENCIA SEXUAL ",IF(P202=CURSOS!$D$17,"PROGRAMADO AMPLIADO DE INMUNIZACION (PAI - COVID 19)",IF(P202=CURSOS!$D$18,"ATENCION INTEGRAL EN ENFERMEDADES PREVALENTES EN PRIMERA INFANCIA (AIEPI)",IF(P202=CURSOS!$D$19,"ADMINISTRACION DE MEDICAMENTOS, INYECTOLOGIA  Y CANALIZACION ",IF(P202=CURSOS!$D$20,"OPERADOR DE VEHICULOS DE EMERGENCIA (OVE)",IF(P202=CURSOS!$D$21,"INSTITUCIONES AMIGAS DE LA MUJER Y LA INFANCIA (IAMI)",IF(P202=CURSOS!$D$22,"CUIDADO DEL DONANTE DE ORGANOS",IF(P202=CURSOS!$D$23,"ATENCION A VICTIMAS POR VIOLENCIA DE GENERO",IF(P202=CURSOS!$D$24,"IGUALDAD DE GENERO EN LA SALUD",IF(P202=CURSOS!$D$25,"BRIGADA DE EMERGENCIA",IF(P202=CURSOS!$D$26,"MANEJO DEL DOLOR Y CUIDADOS PALIATIVOS",IF(P202=CURSOS!$D$27,"TOMA DE MUESTRAS Y LABORATORIO POCT",IF(P202=CURSOS!$D$28,"IMPLANTE SUBDERMICO DE DISPOSITIVO INTRAUTERINO",IF(P202=CURSOS!$D$29,"SALUD MENTAL",IF(P202=CURSOS!$D$30,"PRIMEROS AUXILIOS PSICOLOGICOS",IF(P202=CURSOS!$D$31,"ATENCION A VICTIMAS POR CONFLICTO ARMADO",IF(P202=CURSOS!$D$32,"MANIPULACION DE ALIMENTOS Y BPM",IF(P202=CURSOS!$D$33,"ATENCION A PERSONAS CON DISCAPACIDAD",IF(P202=CURSOS!$D$34,"CUIDADO INTEGRAL DEL PACIENTE ADULTO",IF(P202=CURSOS!$D$35,"MANEJO DEFENSIVO",IF(P202=CURSOS!$D$36,"SOPORTE CARDIOVASCULAR AVANZADO NEONATAL",IF(P202=CURSOS!$D$37,"SEGURIDAD DEL PACIENTE",IF(P202=CURSOS!$D$38,"MANEJO DE RESIDUOS HOSPITALARIOS"))))))))))))))))))))))))))))))))))))</f>
        <v>0</v>
      </c>
      <c r="W202" s="65" t="str">
        <f t="shared" si="15"/>
        <v xml:space="preserve">   </v>
      </c>
      <c r="X202" s="65" t="str">
        <f t="shared" si="16"/>
        <v xml:space="preserve">   </v>
      </c>
      <c r="Y202" s="65" t="str">
        <f t="shared" si="17"/>
        <v xml:space="preserve">   --</v>
      </c>
    </row>
    <row r="203" spans="1:25" x14ac:dyDescent="0.2">
      <c r="A203" s="59">
        <v>202</v>
      </c>
      <c r="I203" s="44"/>
      <c r="J203" s="44"/>
      <c r="Q203" s="44"/>
      <c r="U203" s="40"/>
      <c r="V203" s="65" t="b">
        <f>IF(P203=CURSOS!$D$3,"DIPLOMADO EN ATENCION PRE-HOSPITALARIA",IF(P203=CURSOS!$D$4,"ACOMPAÑAMIENTO Y MANEJO DEL DUELO",IF(P203=CURSOS!$D$5,"ATENCION A VICTIMAS DE ATAQUE CON AGENTES QUIMICOS ",IF(P203=CURSOS!$D$6,"PRIMEROS AUXILIOS ",IF(P203=CURSOS!$D$7,"DIPLOMADO DE UNIDAD DE CUIDADOS INTENSIVOS (UCI)",IF(P203=CURSOS!$D$8,"MODELO DE ATENCION PARA EVENTOS EMERGENTES EN SALUD MENTAL (CODIGO VERDE)",IF(P203=CURSOS!$D$9,"HUMANIZACION EN EL SERVICIO DE LA SALUD Y BUENAS PRACTICAS EN PACIENTE ",IF(P203=CURSOS!$D$10,"CLINICA DE HERIDAS ",IF(P203=CURSOS!$D$11,"TOMA DE CITOLOGIA CERVICO VAGINAL ",IF(P203=CURSOS!$D$12,"SOPORTE CARDIOVASCULAR AVANZADO (ACLS) ",IF(P203=CURSOS!$D$13,"CAMILLERO ",IF(P203=CURSOS!$D$14,"TOMA DE MUESTRAS Y LABORATORIO ",IF(P203=CURSOS!$D$15,"SOPORTE VITAL BASICO (BLS)",IF(P203=CURSOS!$D$16,"ATENCION A VICTIMAS DE VIOLENCIA SEXUAL ",IF(P203=CURSOS!$D$17,"PROGRAMADO AMPLIADO DE INMUNIZACION (PAI - COVID 19)",IF(P203=CURSOS!$D$18,"ATENCION INTEGRAL EN ENFERMEDADES PREVALENTES EN PRIMERA INFANCIA (AIEPI)",IF(P203=CURSOS!$D$19,"ADMINISTRACION DE MEDICAMENTOS, INYECTOLOGIA  Y CANALIZACION ",IF(P203=CURSOS!$D$20,"OPERADOR DE VEHICULOS DE EMERGENCIA (OVE)",IF(P203=CURSOS!$D$21,"INSTITUCIONES AMIGAS DE LA MUJER Y LA INFANCIA (IAMI)",IF(P203=CURSOS!$D$22,"CUIDADO DEL DONANTE DE ORGANOS",IF(P203=CURSOS!$D$23,"ATENCION A VICTIMAS POR VIOLENCIA DE GENERO",IF(P203=CURSOS!$D$24,"IGUALDAD DE GENERO EN LA SALUD",IF(P203=CURSOS!$D$25,"BRIGADA DE EMERGENCIA",IF(P203=CURSOS!$D$26,"MANEJO DEL DOLOR Y CUIDADOS PALIATIVOS",IF(P203=CURSOS!$D$27,"TOMA DE MUESTRAS Y LABORATORIO POCT",IF(P203=CURSOS!$D$28,"IMPLANTE SUBDERMICO DE DISPOSITIVO INTRAUTERINO",IF(P203=CURSOS!$D$29,"SALUD MENTAL",IF(P203=CURSOS!$D$30,"PRIMEROS AUXILIOS PSICOLOGICOS",IF(P203=CURSOS!$D$31,"ATENCION A VICTIMAS POR CONFLICTO ARMADO",IF(P203=CURSOS!$D$32,"MANIPULACION DE ALIMENTOS Y BPM",IF(P203=CURSOS!$D$33,"ATENCION A PERSONAS CON DISCAPACIDAD",IF(P203=CURSOS!$D$34,"CUIDADO INTEGRAL DEL PACIENTE ADULTO",IF(P203=CURSOS!$D$35,"MANEJO DEFENSIVO",IF(P203=CURSOS!$D$36,"SOPORTE CARDIOVASCULAR AVANZADO NEONATAL",IF(P203=CURSOS!$D$37,"SEGURIDAD DEL PACIENTE",IF(P203=CURSOS!$D$38,"MANEJO DE RESIDUOS HOSPITALARIOS"))))))))))))))))))))))))))))))))))))</f>
        <v>0</v>
      </c>
      <c r="W203" s="65" t="str">
        <f t="shared" si="15"/>
        <v xml:space="preserve">   </v>
      </c>
      <c r="X203" s="65" t="str">
        <f t="shared" si="16"/>
        <v xml:space="preserve">   </v>
      </c>
      <c r="Y203" s="65" t="str">
        <f t="shared" si="17"/>
        <v xml:space="preserve">   --</v>
      </c>
    </row>
    <row r="204" spans="1:25" x14ac:dyDescent="0.2">
      <c r="A204" s="59">
        <v>203</v>
      </c>
      <c r="I204" s="44"/>
      <c r="J204" s="44"/>
      <c r="Q204" s="44"/>
      <c r="T204" s="46"/>
      <c r="U204" s="40"/>
      <c r="V204" s="65" t="b">
        <f>IF(P204=CURSOS!$D$3,"DIPLOMADO EN ATENCION PRE-HOSPITALARIA",IF(P204=CURSOS!$D$4,"ACOMPAÑAMIENTO Y MANEJO DEL DUELO",IF(P204=CURSOS!$D$5,"ATENCION A VICTIMAS DE ATAQUE CON AGENTES QUIMICOS ",IF(P204=CURSOS!$D$6,"PRIMEROS AUXILIOS ",IF(P204=CURSOS!$D$7,"DIPLOMADO DE UNIDAD DE CUIDADOS INTENSIVOS (UCI)",IF(P204=CURSOS!$D$8,"MODELO DE ATENCION PARA EVENTOS EMERGENTES EN SALUD MENTAL (CODIGO VERDE)",IF(P204=CURSOS!$D$9,"HUMANIZACION EN EL SERVICIO DE LA SALUD Y BUENAS PRACTICAS EN PACIENTE ",IF(P204=CURSOS!$D$10,"CLINICA DE HERIDAS ",IF(P204=CURSOS!$D$11,"TOMA DE CITOLOGIA CERVICO VAGINAL ",IF(P204=CURSOS!$D$12,"SOPORTE CARDIOVASCULAR AVANZADO (ACLS) ",IF(P204=CURSOS!$D$13,"CAMILLERO ",IF(P204=CURSOS!$D$14,"TOMA DE MUESTRAS Y LABORATORIO ",IF(P204=CURSOS!$D$15,"SOPORTE VITAL BASICO (BLS)",IF(P204=CURSOS!$D$16,"ATENCION A VICTIMAS DE VIOLENCIA SEXUAL ",IF(P204=CURSOS!$D$17,"PROGRAMADO AMPLIADO DE INMUNIZACION (PAI - COVID 19)",IF(P204=CURSOS!$D$18,"ATENCION INTEGRAL EN ENFERMEDADES PREVALENTES EN PRIMERA INFANCIA (AIEPI)",IF(P204=CURSOS!$D$19,"ADMINISTRACION DE MEDICAMENTOS, INYECTOLOGIA  Y CANALIZACION ",IF(P204=CURSOS!$D$20,"OPERADOR DE VEHICULOS DE EMERGENCIA (OVE)",IF(P204=CURSOS!$D$21,"INSTITUCIONES AMIGAS DE LA MUJER Y LA INFANCIA (IAMI)",IF(P204=CURSOS!$D$22,"CUIDADO DEL DONANTE DE ORGANOS",IF(P204=CURSOS!$D$23,"ATENCION A VICTIMAS POR VIOLENCIA DE GENERO",IF(P204=CURSOS!$D$24,"IGUALDAD DE GENERO EN LA SALUD",IF(P204=CURSOS!$D$25,"BRIGADA DE EMERGENCIA",IF(P204=CURSOS!$D$26,"MANEJO DEL DOLOR Y CUIDADOS PALIATIVOS",IF(P204=CURSOS!$D$27,"TOMA DE MUESTRAS Y LABORATORIO POCT",IF(P204=CURSOS!$D$28,"IMPLANTE SUBDERMICO DE DISPOSITIVO INTRAUTERINO",IF(P204=CURSOS!$D$29,"SALUD MENTAL",IF(P204=CURSOS!$D$30,"PRIMEROS AUXILIOS PSICOLOGICOS",IF(P204=CURSOS!$D$31,"ATENCION A VICTIMAS POR CONFLICTO ARMADO",IF(P204=CURSOS!$D$32,"MANIPULACION DE ALIMENTOS Y BPM",IF(P204=CURSOS!$D$33,"ATENCION A PERSONAS CON DISCAPACIDAD",IF(P204=CURSOS!$D$34,"CUIDADO INTEGRAL DEL PACIENTE ADULTO",IF(P204=CURSOS!$D$35,"MANEJO DEFENSIVO",IF(P204=CURSOS!$D$36,"SOPORTE CARDIOVASCULAR AVANZADO NEONATAL",IF(P204=CURSOS!$D$37,"SEGURIDAD DEL PACIENTE",IF(P204=CURSOS!$D$38,"MANEJO DE RESIDUOS HOSPITALARIOS"))))))))))))))))))))))))))))))))))))</f>
        <v>0</v>
      </c>
      <c r="W204" s="65" t="str">
        <f t="shared" si="15"/>
        <v xml:space="preserve">   </v>
      </c>
      <c r="X204" s="65" t="str">
        <f t="shared" si="16"/>
        <v xml:space="preserve">   </v>
      </c>
      <c r="Y204" s="65" t="str">
        <f t="shared" si="17"/>
        <v xml:space="preserve">   --</v>
      </c>
    </row>
    <row r="205" spans="1:25" x14ac:dyDescent="0.2">
      <c r="A205" s="59">
        <v>204</v>
      </c>
      <c r="I205" s="44"/>
      <c r="J205" s="44"/>
      <c r="Q205" s="44"/>
      <c r="T205" s="46"/>
      <c r="U205" s="40"/>
      <c r="V205" s="65" t="b">
        <f>IF(P205=CURSOS!$D$3,"DIPLOMADO EN ATENCION PRE-HOSPITALARIA",IF(P205=CURSOS!$D$4,"ACOMPAÑAMIENTO Y MANEJO DEL DUELO",IF(P205=CURSOS!$D$5,"ATENCION A VICTIMAS DE ATAQUE CON AGENTES QUIMICOS ",IF(P205=CURSOS!$D$6,"PRIMEROS AUXILIOS ",IF(P205=CURSOS!$D$7,"DIPLOMADO DE UNIDAD DE CUIDADOS INTENSIVOS (UCI)",IF(P205=CURSOS!$D$8,"MODELO DE ATENCION PARA EVENTOS EMERGENTES EN SALUD MENTAL (CODIGO VERDE)",IF(P205=CURSOS!$D$9,"HUMANIZACION EN EL SERVICIO DE LA SALUD Y BUENAS PRACTICAS EN PACIENTE ",IF(P205=CURSOS!$D$10,"CLINICA DE HERIDAS ",IF(P205=CURSOS!$D$11,"TOMA DE CITOLOGIA CERVICO VAGINAL ",IF(P205=CURSOS!$D$12,"SOPORTE CARDIOVASCULAR AVANZADO (ACLS) ",IF(P205=CURSOS!$D$13,"CAMILLERO ",IF(P205=CURSOS!$D$14,"TOMA DE MUESTRAS Y LABORATORIO ",IF(P205=CURSOS!$D$15,"SOPORTE VITAL BASICO (BLS)",IF(P205=CURSOS!$D$16,"ATENCION A VICTIMAS DE VIOLENCIA SEXUAL ",IF(P205=CURSOS!$D$17,"PROGRAMADO AMPLIADO DE INMUNIZACION (PAI - COVID 19)",IF(P205=CURSOS!$D$18,"ATENCION INTEGRAL EN ENFERMEDADES PREVALENTES EN PRIMERA INFANCIA (AIEPI)",IF(P205=CURSOS!$D$19,"ADMINISTRACION DE MEDICAMENTOS, INYECTOLOGIA  Y CANALIZACION ",IF(P205=CURSOS!$D$20,"OPERADOR DE VEHICULOS DE EMERGENCIA (OVE)",IF(P205=CURSOS!$D$21,"INSTITUCIONES AMIGAS DE LA MUJER Y LA INFANCIA (IAMI)",IF(P205=CURSOS!$D$22,"CUIDADO DEL DONANTE DE ORGANOS",IF(P205=CURSOS!$D$23,"ATENCION A VICTIMAS POR VIOLENCIA DE GENERO",IF(P205=CURSOS!$D$24,"IGUALDAD DE GENERO EN LA SALUD",IF(P205=CURSOS!$D$25,"BRIGADA DE EMERGENCIA",IF(P205=CURSOS!$D$26,"MANEJO DEL DOLOR Y CUIDADOS PALIATIVOS",IF(P205=CURSOS!$D$27,"TOMA DE MUESTRAS Y LABORATORIO POCT",IF(P205=CURSOS!$D$28,"IMPLANTE SUBDERMICO DE DISPOSITIVO INTRAUTERINO",IF(P205=CURSOS!$D$29,"SALUD MENTAL",IF(P205=CURSOS!$D$30,"PRIMEROS AUXILIOS PSICOLOGICOS",IF(P205=CURSOS!$D$31,"ATENCION A VICTIMAS POR CONFLICTO ARMADO",IF(P205=CURSOS!$D$32,"MANIPULACION DE ALIMENTOS Y BPM",IF(P205=CURSOS!$D$33,"ATENCION A PERSONAS CON DISCAPACIDAD",IF(P205=CURSOS!$D$34,"CUIDADO INTEGRAL DEL PACIENTE ADULTO",IF(P205=CURSOS!$D$35,"MANEJO DEFENSIVO",IF(P205=CURSOS!$D$36,"SOPORTE CARDIOVASCULAR AVANZADO NEONATAL",IF(P205=CURSOS!$D$37,"SEGURIDAD DEL PACIENTE",IF(P205=CURSOS!$D$38,"MANEJO DE RESIDUOS HOSPITALARIOS"))))))))))))))))))))))))))))))))))))</f>
        <v>0</v>
      </c>
      <c r="W205" s="65" t="str">
        <f t="shared" si="15"/>
        <v xml:space="preserve">   </v>
      </c>
      <c r="X205" s="65" t="str">
        <f t="shared" si="16"/>
        <v xml:space="preserve">   </v>
      </c>
      <c r="Y205" s="65" t="str">
        <f t="shared" si="17"/>
        <v xml:space="preserve">   --</v>
      </c>
    </row>
    <row r="206" spans="1:25" x14ac:dyDescent="0.2">
      <c r="A206" s="59">
        <v>205</v>
      </c>
      <c r="I206" s="48"/>
      <c r="J206" s="48"/>
      <c r="Q206" s="44"/>
      <c r="U206" s="40"/>
      <c r="V206" s="65" t="b">
        <f>IF(P206=CURSOS!$D$3,"DIPLOMADO EN ATENCION PRE-HOSPITALARIA",IF(P206=CURSOS!$D$4,"ACOMPAÑAMIENTO Y MANEJO DEL DUELO",IF(P206=CURSOS!$D$5,"ATENCION A VICTIMAS DE ATAQUE CON AGENTES QUIMICOS ",IF(P206=CURSOS!$D$6,"PRIMEROS AUXILIOS ",IF(P206=CURSOS!$D$7,"DIPLOMADO DE UNIDAD DE CUIDADOS INTENSIVOS (UCI)",IF(P206=CURSOS!$D$8,"MODELO DE ATENCION PARA EVENTOS EMERGENTES EN SALUD MENTAL (CODIGO VERDE)",IF(P206=CURSOS!$D$9,"HUMANIZACION EN EL SERVICIO DE LA SALUD Y BUENAS PRACTICAS EN PACIENTE ",IF(P206=CURSOS!$D$10,"CLINICA DE HERIDAS ",IF(P206=CURSOS!$D$11,"TOMA DE CITOLOGIA CERVICO VAGINAL ",IF(P206=CURSOS!$D$12,"SOPORTE CARDIOVASCULAR AVANZADO (ACLS) ",IF(P206=CURSOS!$D$13,"CAMILLERO ",IF(P206=CURSOS!$D$14,"TOMA DE MUESTRAS Y LABORATORIO ",IF(P206=CURSOS!$D$15,"SOPORTE VITAL BASICO (BLS)",IF(P206=CURSOS!$D$16,"ATENCION A VICTIMAS DE VIOLENCIA SEXUAL ",IF(P206=CURSOS!$D$17,"PROGRAMADO AMPLIADO DE INMUNIZACION (PAI - COVID 19)",IF(P206=CURSOS!$D$18,"ATENCION INTEGRAL EN ENFERMEDADES PREVALENTES EN PRIMERA INFANCIA (AIEPI)",IF(P206=CURSOS!$D$19,"ADMINISTRACION DE MEDICAMENTOS, INYECTOLOGIA  Y CANALIZACION ",IF(P206=CURSOS!$D$20,"OPERADOR DE VEHICULOS DE EMERGENCIA (OVE)",IF(P206=CURSOS!$D$21,"INSTITUCIONES AMIGAS DE LA MUJER Y LA INFANCIA (IAMI)",IF(P206=CURSOS!$D$22,"CUIDADO DEL DONANTE DE ORGANOS",IF(P206=CURSOS!$D$23,"ATENCION A VICTIMAS POR VIOLENCIA DE GENERO",IF(P206=CURSOS!$D$24,"IGUALDAD DE GENERO EN LA SALUD",IF(P206=CURSOS!$D$25,"BRIGADA DE EMERGENCIA",IF(P206=CURSOS!$D$26,"MANEJO DEL DOLOR Y CUIDADOS PALIATIVOS",IF(P206=CURSOS!$D$27,"TOMA DE MUESTRAS Y LABORATORIO POCT",IF(P206=CURSOS!$D$28,"IMPLANTE SUBDERMICO DE DISPOSITIVO INTRAUTERINO",IF(P206=CURSOS!$D$29,"SALUD MENTAL",IF(P206=CURSOS!$D$30,"PRIMEROS AUXILIOS PSICOLOGICOS",IF(P206=CURSOS!$D$31,"ATENCION A VICTIMAS POR CONFLICTO ARMADO",IF(P206=CURSOS!$D$32,"MANIPULACION DE ALIMENTOS Y BPM",IF(P206=CURSOS!$D$33,"ATENCION A PERSONAS CON DISCAPACIDAD",IF(P206=CURSOS!$D$34,"CUIDADO INTEGRAL DEL PACIENTE ADULTO",IF(P206=CURSOS!$D$35,"MANEJO DEFENSIVO",IF(P206=CURSOS!$D$36,"SOPORTE CARDIOVASCULAR AVANZADO NEONATAL",IF(P206=CURSOS!$D$37,"SEGURIDAD DEL PACIENTE",IF(P206=CURSOS!$D$38,"MANEJO DE RESIDUOS HOSPITALARIOS"))))))))))))))))))))))))))))))))))))</f>
        <v>0</v>
      </c>
      <c r="W206" s="65" t="str">
        <f t="shared" si="15"/>
        <v xml:space="preserve">   </v>
      </c>
      <c r="X206" s="65" t="str">
        <f t="shared" si="16"/>
        <v xml:space="preserve">   </v>
      </c>
      <c r="Y206" s="65" t="str">
        <f t="shared" si="17"/>
        <v xml:space="preserve">   --</v>
      </c>
    </row>
    <row r="207" spans="1:25" x14ac:dyDescent="0.2">
      <c r="A207" s="59">
        <v>206</v>
      </c>
      <c r="I207" s="48"/>
      <c r="J207" s="48"/>
      <c r="Q207" s="44"/>
      <c r="U207" s="40"/>
      <c r="V207" s="65" t="b">
        <f>IF(P207=CURSOS!$D$3,"DIPLOMADO EN ATENCION PRE-HOSPITALARIA",IF(P207=CURSOS!$D$4,"ACOMPAÑAMIENTO Y MANEJO DEL DUELO",IF(P207=CURSOS!$D$5,"ATENCION A VICTIMAS DE ATAQUE CON AGENTES QUIMICOS ",IF(P207=CURSOS!$D$6,"PRIMEROS AUXILIOS ",IF(P207=CURSOS!$D$7,"DIPLOMADO DE UNIDAD DE CUIDADOS INTENSIVOS (UCI)",IF(P207=CURSOS!$D$8,"MODELO DE ATENCION PARA EVENTOS EMERGENTES EN SALUD MENTAL (CODIGO VERDE)",IF(P207=CURSOS!$D$9,"HUMANIZACION EN EL SERVICIO DE LA SALUD Y BUENAS PRACTICAS EN PACIENTE ",IF(P207=CURSOS!$D$10,"CLINICA DE HERIDAS ",IF(P207=CURSOS!$D$11,"TOMA DE CITOLOGIA CERVICO VAGINAL ",IF(P207=CURSOS!$D$12,"SOPORTE CARDIOVASCULAR AVANZADO (ACLS) ",IF(P207=CURSOS!$D$13,"CAMILLERO ",IF(P207=CURSOS!$D$14,"TOMA DE MUESTRAS Y LABORATORIO ",IF(P207=CURSOS!$D$15,"SOPORTE VITAL BASICO (BLS)",IF(P207=CURSOS!$D$16,"ATENCION A VICTIMAS DE VIOLENCIA SEXUAL ",IF(P207=CURSOS!$D$17,"PROGRAMADO AMPLIADO DE INMUNIZACION (PAI - COVID 19)",IF(P207=CURSOS!$D$18,"ATENCION INTEGRAL EN ENFERMEDADES PREVALENTES EN PRIMERA INFANCIA (AIEPI)",IF(P207=CURSOS!$D$19,"ADMINISTRACION DE MEDICAMENTOS, INYECTOLOGIA  Y CANALIZACION ",IF(P207=CURSOS!$D$20,"OPERADOR DE VEHICULOS DE EMERGENCIA (OVE)",IF(P207=CURSOS!$D$21,"INSTITUCIONES AMIGAS DE LA MUJER Y LA INFANCIA (IAMI)",IF(P207=CURSOS!$D$22,"CUIDADO DEL DONANTE DE ORGANOS",IF(P207=CURSOS!$D$23,"ATENCION A VICTIMAS POR VIOLENCIA DE GENERO",IF(P207=CURSOS!$D$24,"IGUALDAD DE GENERO EN LA SALUD",IF(P207=CURSOS!$D$25,"BRIGADA DE EMERGENCIA",IF(P207=CURSOS!$D$26,"MANEJO DEL DOLOR Y CUIDADOS PALIATIVOS",IF(P207=CURSOS!$D$27,"TOMA DE MUESTRAS Y LABORATORIO POCT",IF(P207=CURSOS!$D$28,"IMPLANTE SUBDERMICO DE DISPOSITIVO INTRAUTERINO",IF(P207=CURSOS!$D$29,"SALUD MENTAL",IF(P207=CURSOS!$D$30,"PRIMEROS AUXILIOS PSICOLOGICOS",IF(P207=CURSOS!$D$31,"ATENCION A VICTIMAS POR CONFLICTO ARMADO",IF(P207=CURSOS!$D$32,"MANIPULACION DE ALIMENTOS Y BPM",IF(P207=CURSOS!$D$33,"ATENCION A PERSONAS CON DISCAPACIDAD",IF(P207=CURSOS!$D$34,"CUIDADO INTEGRAL DEL PACIENTE ADULTO",IF(P207=CURSOS!$D$35,"MANEJO DEFENSIVO",IF(P207=CURSOS!$D$36,"SOPORTE CARDIOVASCULAR AVANZADO NEONATAL",IF(P207=CURSOS!$D$37,"SEGURIDAD DEL PACIENTE",IF(P207=CURSOS!$D$38,"MANEJO DE RESIDUOS HOSPITALARIOS"))))))))))))))))))))))))))))))))))))</f>
        <v>0</v>
      </c>
      <c r="W207" s="65" t="str">
        <f t="shared" si="15"/>
        <v xml:space="preserve">   </v>
      </c>
      <c r="X207" s="65" t="str">
        <f t="shared" si="16"/>
        <v xml:space="preserve">   </v>
      </c>
      <c r="Y207" s="65" t="str">
        <f t="shared" si="17"/>
        <v xml:space="preserve">   --</v>
      </c>
    </row>
    <row r="208" spans="1:25" x14ac:dyDescent="0.2">
      <c r="A208" s="59">
        <v>207</v>
      </c>
      <c r="I208" s="48"/>
      <c r="J208" s="48"/>
      <c r="Q208" s="44"/>
      <c r="U208" s="40"/>
      <c r="V208" s="65" t="b">
        <f>IF(P208=CURSOS!$D$3,"DIPLOMADO EN ATENCION PRE-HOSPITALARIA",IF(P208=CURSOS!$D$4,"ACOMPAÑAMIENTO Y MANEJO DEL DUELO",IF(P208=CURSOS!$D$5,"ATENCION A VICTIMAS DE ATAQUE CON AGENTES QUIMICOS ",IF(P208=CURSOS!$D$6,"PRIMEROS AUXILIOS ",IF(P208=CURSOS!$D$7,"DIPLOMADO DE UNIDAD DE CUIDADOS INTENSIVOS (UCI)",IF(P208=CURSOS!$D$8,"MODELO DE ATENCION PARA EVENTOS EMERGENTES EN SALUD MENTAL (CODIGO VERDE)",IF(P208=CURSOS!$D$9,"HUMANIZACION EN EL SERVICIO DE LA SALUD Y BUENAS PRACTICAS EN PACIENTE ",IF(P208=CURSOS!$D$10,"CLINICA DE HERIDAS ",IF(P208=CURSOS!$D$11,"TOMA DE CITOLOGIA CERVICO VAGINAL ",IF(P208=CURSOS!$D$12,"SOPORTE CARDIOVASCULAR AVANZADO (ACLS) ",IF(P208=CURSOS!$D$13,"CAMILLERO ",IF(P208=CURSOS!$D$14,"TOMA DE MUESTRAS Y LABORATORIO ",IF(P208=CURSOS!$D$15,"SOPORTE VITAL BASICO (BLS)",IF(P208=CURSOS!$D$16,"ATENCION A VICTIMAS DE VIOLENCIA SEXUAL ",IF(P208=CURSOS!$D$17,"PROGRAMADO AMPLIADO DE INMUNIZACION (PAI - COVID 19)",IF(P208=CURSOS!$D$18,"ATENCION INTEGRAL EN ENFERMEDADES PREVALENTES EN PRIMERA INFANCIA (AIEPI)",IF(P208=CURSOS!$D$19,"ADMINISTRACION DE MEDICAMENTOS, INYECTOLOGIA  Y CANALIZACION ",IF(P208=CURSOS!$D$20,"OPERADOR DE VEHICULOS DE EMERGENCIA (OVE)",IF(P208=CURSOS!$D$21,"INSTITUCIONES AMIGAS DE LA MUJER Y LA INFANCIA (IAMI)",IF(P208=CURSOS!$D$22,"CUIDADO DEL DONANTE DE ORGANOS",IF(P208=CURSOS!$D$23,"ATENCION A VICTIMAS POR VIOLENCIA DE GENERO",IF(P208=CURSOS!$D$24,"IGUALDAD DE GENERO EN LA SALUD",IF(P208=CURSOS!$D$25,"BRIGADA DE EMERGENCIA",IF(P208=CURSOS!$D$26,"MANEJO DEL DOLOR Y CUIDADOS PALIATIVOS",IF(P208=CURSOS!$D$27,"TOMA DE MUESTRAS Y LABORATORIO POCT",IF(P208=CURSOS!$D$28,"IMPLANTE SUBDERMICO DE DISPOSITIVO INTRAUTERINO",IF(P208=CURSOS!$D$29,"SALUD MENTAL",IF(P208=CURSOS!$D$30,"PRIMEROS AUXILIOS PSICOLOGICOS",IF(P208=CURSOS!$D$31,"ATENCION A VICTIMAS POR CONFLICTO ARMADO",IF(P208=CURSOS!$D$32,"MANIPULACION DE ALIMENTOS Y BPM",IF(P208=CURSOS!$D$33,"ATENCION A PERSONAS CON DISCAPACIDAD",IF(P208=CURSOS!$D$34,"CUIDADO INTEGRAL DEL PACIENTE ADULTO",IF(P208=CURSOS!$D$35,"MANEJO DEFENSIVO",IF(P208=CURSOS!$D$36,"SOPORTE CARDIOVASCULAR AVANZADO NEONATAL",IF(P208=CURSOS!$D$37,"SEGURIDAD DEL PACIENTE",IF(P208=CURSOS!$D$38,"MANEJO DE RESIDUOS HOSPITALARIOS"))))))))))))))))))))))))))))))))))))</f>
        <v>0</v>
      </c>
      <c r="W208" s="65" t="str">
        <f t="shared" si="15"/>
        <v xml:space="preserve">   </v>
      </c>
      <c r="X208" s="65" t="str">
        <f t="shared" si="16"/>
        <v xml:space="preserve">   </v>
      </c>
      <c r="Y208" s="65" t="str">
        <f t="shared" si="17"/>
        <v xml:space="preserve">   --</v>
      </c>
    </row>
    <row r="209" spans="1:25" x14ac:dyDescent="0.2">
      <c r="A209" s="59">
        <v>208</v>
      </c>
      <c r="I209" s="44"/>
      <c r="J209" s="44"/>
      <c r="Q209" s="44"/>
      <c r="U209" s="40"/>
      <c r="V209" s="65" t="b">
        <f>IF(P209=CURSOS!$D$3,"DIPLOMADO EN ATENCION PRE-HOSPITALARIA",IF(P209=CURSOS!$D$4,"ACOMPAÑAMIENTO Y MANEJO DEL DUELO",IF(P209=CURSOS!$D$5,"ATENCION A VICTIMAS DE ATAQUE CON AGENTES QUIMICOS ",IF(P209=CURSOS!$D$6,"PRIMEROS AUXILIOS ",IF(P209=CURSOS!$D$7,"DIPLOMADO DE UNIDAD DE CUIDADOS INTENSIVOS (UCI)",IF(P209=CURSOS!$D$8,"MODELO DE ATENCION PARA EVENTOS EMERGENTES EN SALUD MENTAL (CODIGO VERDE)",IF(P209=CURSOS!$D$9,"HUMANIZACION EN EL SERVICIO DE LA SALUD Y BUENAS PRACTICAS EN PACIENTE ",IF(P209=CURSOS!$D$10,"CLINICA DE HERIDAS ",IF(P209=CURSOS!$D$11,"TOMA DE CITOLOGIA CERVICO VAGINAL ",IF(P209=CURSOS!$D$12,"SOPORTE CARDIOVASCULAR AVANZADO (ACLS) ",IF(P209=CURSOS!$D$13,"CAMILLERO ",IF(P209=CURSOS!$D$14,"TOMA DE MUESTRAS Y LABORATORIO ",IF(P209=CURSOS!$D$15,"SOPORTE VITAL BASICO (BLS)",IF(P209=CURSOS!$D$16,"ATENCION A VICTIMAS DE VIOLENCIA SEXUAL ",IF(P209=CURSOS!$D$17,"PROGRAMADO AMPLIADO DE INMUNIZACION (PAI - COVID 19)",IF(P209=CURSOS!$D$18,"ATENCION INTEGRAL EN ENFERMEDADES PREVALENTES EN PRIMERA INFANCIA (AIEPI)",IF(P209=CURSOS!$D$19,"ADMINISTRACION DE MEDICAMENTOS, INYECTOLOGIA  Y CANALIZACION ",IF(P209=CURSOS!$D$20,"OPERADOR DE VEHICULOS DE EMERGENCIA (OVE)",IF(P209=CURSOS!$D$21,"INSTITUCIONES AMIGAS DE LA MUJER Y LA INFANCIA (IAMI)",IF(P209=CURSOS!$D$22,"CUIDADO DEL DONANTE DE ORGANOS",IF(P209=CURSOS!$D$23,"ATENCION A VICTIMAS POR VIOLENCIA DE GENERO",IF(P209=CURSOS!$D$24,"IGUALDAD DE GENERO EN LA SALUD",IF(P209=CURSOS!$D$25,"BRIGADA DE EMERGENCIA",IF(P209=CURSOS!$D$26,"MANEJO DEL DOLOR Y CUIDADOS PALIATIVOS",IF(P209=CURSOS!$D$27,"TOMA DE MUESTRAS Y LABORATORIO POCT",IF(P209=CURSOS!$D$28,"IMPLANTE SUBDERMICO DE DISPOSITIVO INTRAUTERINO",IF(P209=CURSOS!$D$29,"SALUD MENTAL",IF(P209=CURSOS!$D$30,"PRIMEROS AUXILIOS PSICOLOGICOS",IF(P209=CURSOS!$D$31,"ATENCION A VICTIMAS POR CONFLICTO ARMADO",IF(P209=CURSOS!$D$32,"MANIPULACION DE ALIMENTOS Y BPM",IF(P209=CURSOS!$D$33,"ATENCION A PERSONAS CON DISCAPACIDAD",IF(P209=CURSOS!$D$34,"CUIDADO INTEGRAL DEL PACIENTE ADULTO",IF(P209=CURSOS!$D$35,"MANEJO DEFENSIVO",IF(P209=CURSOS!$D$36,"SOPORTE CARDIOVASCULAR AVANZADO NEONATAL",IF(P209=CURSOS!$D$37,"SEGURIDAD DEL PACIENTE",IF(P209=CURSOS!$D$38,"MANEJO DE RESIDUOS HOSPITALARIOS"))))))))))))))))))))))))))))))))))))</f>
        <v>0</v>
      </c>
      <c r="W209" s="65" t="str">
        <f t="shared" si="15"/>
        <v xml:space="preserve">   </v>
      </c>
      <c r="X209" s="65" t="str">
        <f t="shared" si="16"/>
        <v xml:space="preserve">   </v>
      </c>
      <c r="Y209" s="65" t="str">
        <f t="shared" si="17"/>
        <v xml:space="preserve">   --</v>
      </c>
    </row>
    <row r="210" spans="1:25" x14ac:dyDescent="0.2">
      <c r="A210" s="59">
        <v>209</v>
      </c>
      <c r="I210" s="44"/>
      <c r="J210" s="44"/>
      <c r="Q210" s="44"/>
      <c r="U210" s="40"/>
      <c r="V210" s="65" t="b">
        <f>IF(P210=CURSOS!$D$3,"DIPLOMADO EN ATENCION PRE-HOSPITALARIA",IF(P210=CURSOS!$D$4,"ACOMPAÑAMIENTO Y MANEJO DEL DUELO",IF(P210=CURSOS!$D$5,"ATENCION A VICTIMAS DE ATAQUE CON AGENTES QUIMICOS ",IF(P210=CURSOS!$D$6,"PRIMEROS AUXILIOS ",IF(P210=CURSOS!$D$7,"DIPLOMADO DE UNIDAD DE CUIDADOS INTENSIVOS (UCI)",IF(P210=CURSOS!$D$8,"MODELO DE ATENCION PARA EVENTOS EMERGENTES EN SALUD MENTAL (CODIGO VERDE)",IF(P210=CURSOS!$D$9,"HUMANIZACION EN EL SERVICIO DE LA SALUD Y BUENAS PRACTICAS EN PACIENTE ",IF(P210=CURSOS!$D$10,"CLINICA DE HERIDAS ",IF(P210=CURSOS!$D$11,"TOMA DE CITOLOGIA CERVICO VAGINAL ",IF(P210=CURSOS!$D$12,"SOPORTE CARDIOVASCULAR AVANZADO (ACLS) ",IF(P210=CURSOS!$D$13,"CAMILLERO ",IF(P210=CURSOS!$D$14,"TOMA DE MUESTRAS Y LABORATORIO ",IF(P210=CURSOS!$D$15,"SOPORTE VITAL BASICO (BLS)",IF(P210=CURSOS!$D$16,"ATENCION A VICTIMAS DE VIOLENCIA SEXUAL ",IF(P210=CURSOS!$D$17,"PROGRAMADO AMPLIADO DE INMUNIZACION (PAI - COVID 19)",IF(P210=CURSOS!$D$18,"ATENCION INTEGRAL EN ENFERMEDADES PREVALENTES EN PRIMERA INFANCIA (AIEPI)",IF(P210=CURSOS!$D$19,"ADMINISTRACION DE MEDICAMENTOS, INYECTOLOGIA  Y CANALIZACION ",IF(P210=CURSOS!$D$20,"OPERADOR DE VEHICULOS DE EMERGENCIA (OVE)",IF(P210=CURSOS!$D$21,"INSTITUCIONES AMIGAS DE LA MUJER Y LA INFANCIA (IAMI)",IF(P210=CURSOS!$D$22,"CUIDADO DEL DONANTE DE ORGANOS",IF(P210=CURSOS!$D$23,"ATENCION A VICTIMAS POR VIOLENCIA DE GENERO",IF(P210=CURSOS!$D$24,"IGUALDAD DE GENERO EN LA SALUD",IF(P210=CURSOS!$D$25,"BRIGADA DE EMERGENCIA",IF(P210=CURSOS!$D$26,"MANEJO DEL DOLOR Y CUIDADOS PALIATIVOS",IF(P210=CURSOS!$D$27,"TOMA DE MUESTRAS Y LABORATORIO POCT",IF(P210=CURSOS!$D$28,"IMPLANTE SUBDERMICO DE DISPOSITIVO INTRAUTERINO",IF(P210=CURSOS!$D$29,"SALUD MENTAL",IF(P210=CURSOS!$D$30,"PRIMEROS AUXILIOS PSICOLOGICOS",IF(P210=CURSOS!$D$31,"ATENCION A VICTIMAS POR CONFLICTO ARMADO",IF(P210=CURSOS!$D$32,"MANIPULACION DE ALIMENTOS Y BPM",IF(P210=CURSOS!$D$33,"ATENCION A PERSONAS CON DISCAPACIDAD",IF(P210=CURSOS!$D$34,"CUIDADO INTEGRAL DEL PACIENTE ADULTO",IF(P210=CURSOS!$D$35,"MANEJO DEFENSIVO",IF(P210=CURSOS!$D$36,"SOPORTE CARDIOVASCULAR AVANZADO NEONATAL",IF(P210=CURSOS!$D$37,"SEGURIDAD DEL PACIENTE",IF(P210=CURSOS!$D$38,"MANEJO DE RESIDUOS HOSPITALARIOS"))))))))))))))))))))))))))))))))))))</f>
        <v>0</v>
      </c>
      <c r="W210" s="65" t="str">
        <f t="shared" si="15"/>
        <v xml:space="preserve">   </v>
      </c>
      <c r="X210" s="65" t="str">
        <f t="shared" si="16"/>
        <v xml:space="preserve">   </v>
      </c>
      <c r="Y210" s="65" t="str">
        <f t="shared" si="17"/>
        <v xml:space="preserve">   --</v>
      </c>
    </row>
    <row r="211" spans="1:25" x14ac:dyDescent="0.2">
      <c r="A211" s="59">
        <v>210</v>
      </c>
      <c r="I211" s="44"/>
      <c r="J211" s="44"/>
      <c r="Q211" s="44"/>
      <c r="U211" s="40"/>
      <c r="V211" s="65" t="b">
        <f>IF(P211=CURSOS!$D$3,"DIPLOMADO EN ATENCION PRE-HOSPITALARIA",IF(P211=CURSOS!$D$4,"ACOMPAÑAMIENTO Y MANEJO DEL DUELO",IF(P211=CURSOS!$D$5,"ATENCION A VICTIMAS DE ATAQUE CON AGENTES QUIMICOS ",IF(P211=CURSOS!$D$6,"PRIMEROS AUXILIOS ",IF(P211=CURSOS!$D$7,"DIPLOMADO DE UNIDAD DE CUIDADOS INTENSIVOS (UCI)",IF(P211=CURSOS!$D$8,"MODELO DE ATENCION PARA EVENTOS EMERGENTES EN SALUD MENTAL (CODIGO VERDE)",IF(P211=CURSOS!$D$9,"HUMANIZACION EN EL SERVICIO DE LA SALUD Y BUENAS PRACTICAS EN PACIENTE ",IF(P211=CURSOS!$D$10,"CLINICA DE HERIDAS ",IF(P211=CURSOS!$D$11,"TOMA DE CITOLOGIA CERVICO VAGINAL ",IF(P211=CURSOS!$D$12,"SOPORTE CARDIOVASCULAR AVANZADO (ACLS) ",IF(P211=CURSOS!$D$13,"CAMILLERO ",IF(P211=CURSOS!$D$14,"TOMA DE MUESTRAS Y LABORATORIO ",IF(P211=CURSOS!$D$15,"SOPORTE VITAL BASICO (BLS)",IF(P211=CURSOS!$D$16,"ATENCION A VICTIMAS DE VIOLENCIA SEXUAL ",IF(P211=CURSOS!$D$17,"PROGRAMADO AMPLIADO DE INMUNIZACION (PAI - COVID 19)",IF(P211=CURSOS!$D$18,"ATENCION INTEGRAL EN ENFERMEDADES PREVALENTES EN PRIMERA INFANCIA (AIEPI)",IF(P211=CURSOS!$D$19,"ADMINISTRACION DE MEDICAMENTOS, INYECTOLOGIA  Y CANALIZACION ",IF(P211=CURSOS!$D$20,"OPERADOR DE VEHICULOS DE EMERGENCIA (OVE)",IF(P211=CURSOS!$D$21,"INSTITUCIONES AMIGAS DE LA MUJER Y LA INFANCIA (IAMI)",IF(P211=CURSOS!$D$22,"CUIDADO DEL DONANTE DE ORGANOS",IF(P211=CURSOS!$D$23,"ATENCION A VICTIMAS POR VIOLENCIA DE GENERO",IF(P211=CURSOS!$D$24,"IGUALDAD DE GENERO EN LA SALUD",IF(P211=CURSOS!$D$25,"BRIGADA DE EMERGENCIA",IF(P211=CURSOS!$D$26,"MANEJO DEL DOLOR Y CUIDADOS PALIATIVOS",IF(P211=CURSOS!$D$27,"TOMA DE MUESTRAS Y LABORATORIO POCT",IF(P211=CURSOS!$D$28,"IMPLANTE SUBDERMICO DE DISPOSITIVO INTRAUTERINO",IF(P211=CURSOS!$D$29,"SALUD MENTAL",IF(P211=CURSOS!$D$30,"PRIMEROS AUXILIOS PSICOLOGICOS",IF(P211=CURSOS!$D$31,"ATENCION A VICTIMAS POR CONFLICTO ARMADO",IF(P211=CURSOS!$D$32,"MANIPULACION DE ALIMENTOS Y BPM",IF(P211=CURSOS!$D$33,"ATENCION A PERSONAS CON DISCAPACIDAD",IF(P211=CURSOS!$D$34,"CUIDADO INTEGRAL DEL PACIENTE ADULTO",IF(P211=CURSOS!$D$35,"MANEJO DEFENSIVO",IF(P211=CURSOS!$D$36,"SOPORTE CARDIOVASCULAR AVANZADO NEONATAL",IF(P211=CURSOS!$D$37,"SEGURIDAD DEL PACIENTE",IF(P211=CURSOS!$D$38,"MANEJO DE RESIDUOS HOSPITALARIOS"))))))))))))))))))))))))))))))))))))</f>
        <v>0</v>
      </c>
      <c r="W211" s="65" t="str">
        <f t="shared" si="15"/>
        <v xml:space="preserve">   </v>
      </c>
      <c r="X211" s="65" t="str">
        <f t="shared" si="16"/>
        <v xml:space="preserve">   </v>
      </c>
      <c r="Y211" s="65" t="str">
        <f t="shared" si="17"/>
        <v xml:space="preserve">   --</v>
      </c>
    </row>
    <row r="212" spans="1:25" x14ac:dyDescent="0.2">
      <c r="A212" s="59">
        <v>211</v>
      </c>
      <c r="I212" s="44"/>
      <c r="J212" s="44"/>
      <c r="Q212" s="44"/>
      <c r="U212" s="40"/>
      <c r="V212" s="65" t="b">
        <f>IF(P212=CURSOS!$D$3,"DIPLOMADO EN ATENCION PRE-HOSPITALARIA",IF(P212=CURSOS!$D$4,"ACOMPAÑAMIENTO Y MANEJO DEL DUELO",IF(P212=CURSOS!$D$5,"ATENCION A VICTIMAS DE ATAQUE CON AGENTES QUIMICOS ",IF(P212=CURSOS!$D$6,"PRIMEROS AUXILIOS ",IF(P212=CURSOS!$D$7,"DIPLOMADO DE UNIDAD DE CUIDADOS INTENSIVOS (UCI)",IF(P212=CURSOS!$D$8,"MODELO DE ATENCION PARA EVENTOS EMERGENTES EN SALUD MENTAL (CODIGO VERDE)",IF(P212=CURSOS!$D$9,"HUMANIZACION EN EL SERVICIO DE LA SALUD Y BUENAS PRACTICAS EN PACIENTE ",IF(P212=CURSOS!$D$10,"CLINICA DE HERIDAS ",IF(P212=CURSOS!$D$11,"TOMA DE CITOLOGIA CERVICO VAGINAL ",IF(P212=CURSOS!$D$12,"SOPORTE CARDIOVASCULAR AVANZADO (ACLS) ",IF(P212=CURSOS!$D$13,"CAMILLERO ",IF(P212=CURSOS!$D$14,"TOMA DE MUESTRAS Y LABORATORIO ",IF(P212=CURSOS!$D$15,"SOPORTE VITAL BASICO (BLS)",IF(P212=CURSOS!$D$16,"ATENCION A VICTIMAS DE VIOLENCIA SEXUAL ",IF(P212=CURSOS!$D$17,"PROGRAMADO AMPLIADO DE INMUNIZACION (PAI - COVID 19)",IF(P212=CURSOS!$D$18,"ATENCION INTEGRAL EN ENFERMEDADES PREVALENTES EN PRIMERA INFANCIA (AIEPI)",IF(P212=CURSOS!$D$19,"ADMINISTRACION DE MEDICAMENTOS, INYECTOLOGIA  Y CANALIZACION ",IF(P212=CURSOS!$D$20,"OPERADOR DE VEHICULOS DE EMERGENCIA (OVE)",IF(P212=CURSOS!$D$21,"INSTITUCIONES AMIGAS DE LA MUJER Y LA INFANCIA (IAMI)",IF(P212=CURSOS!$D$22,"CUIDADO DEL DONANTE DE ORGANOS",IF(P212=CURSOS!$D$23,"ATENCION A VICTIMAS POR VIOLENCIA DE GENERO",IF(P212=CURSOS!$D$24,"IGUALDAD DE GENERO EN LA SALUD",IF(P212=CURSOS!$D$25,"BRIGADA DE EMERGENCIA",IF(P212=CURSOS!$D$26,"MANEJO DEL DOLOR Y CUIDADOS PALIATIVOS",IF(P212=CURSOS!$D$27,"TOMA DE MUESTRAS Y LABORATORIO POCT",IF(P212=CURSOS!$D$28,"IMPLANTE SUBDERMICO DE DISPOSITIVO INTRAUTERINO",IF(P212=CURSOS!$D$29,"SALUD MENTAL",IF(P212=CURSOS!$D$30,"PRIMEROS AUXILIOS PSICOLOGICOS",IF(P212=CURSOS!$D$31,"ATENCION A VICTIMAS POR CONFLICTO ARMADO",IF(P212=CURSOS!$D$32,"MANIPULACION DE ALIMENTOS Y BPM",IF(P212=CURSOS!$D$33,"ATENCION A PERSONAS CON DISCAPACIDAD",IF(P212=CURSOS!$D$34,"CUIDADO INTEGRAL DEL PACIENTE ADULTO",IF(P212=CURSOS!$D$35,"MANEJO DEFENSIVO",IF(P212=CURSOS!$D$36,"SOPORTE CARDIOVASCULAR AVANZADO NEONATAL",IF(P212=CURSOS!$D$37,"SEGURIDAD DEL PACIENTE",IF(P212=CURSOS!$D$38,"MANEJO DE RESIDUOS HOSPITALARIOS"))))))))))))))))))))))))))))))))))))</f>
        <v>0</v>
      </c>
      <c r="W212" s="65" t="str">
        <f t="shared" si="15"/>
        <v xml:space="preserve">   </v>
      </c>
      <c r="X212" s="65" t="str">
        <f t="shared" si="16"/>
        <v xml:space="preserve">   </v>
      </c>
      <c r="Y212" s="65" t="str">
        <f t="shared" si="17"/>
        <v xml:space="preserve">   --</v>
      </c>
    </row>
    <row r="213" spans="1:25" x14ac:dyDescent="0.2">
      <c r="A213" s="59">
        <v>212</v>
      </c>
      <c r="I213" s="44"/>
      <c r="J213" s="44"/>
      <c r="Q213" s="44"/>
      <c r="U213" s="40"/>
      <c r="V213" s="65" t="b">
        <f>IF(P213=CURSOS!$D$3,"DIPLOMADO EN ATENCION PRE-HOSPITALARIA",IF(P213=CURSOS!$D$4,"ACOMPAÑAMIENTO Y MANEJO DEL DUELO",IF(P213=CURSOS!$D$5,"ATENCION A VICTIMAS DE ATAQUE CON AGENTES QUIMICOS ",IF(P213=CURSOS!$D$6,"PRIMEROS AUXILIOS ",IF(P213=CURSOS!$D$7,"DIPLOMADO DE UNIDAD DE CUIDADOS INTENSIVOS (UCI)",IF(P213=CURSOS!$D$8,"MODELO DE ATENCION PARA EVENTOS EMERGENTES EN SALUD MENTAL (CODIGO VERDE)",IF(P213=CURSOS!$D$9,"HUMANIZACION EN EL SERVICIO DE LA SALUD Y BUENAS PRACTICAS EN PACIENTE ",IF(P213=CURSOS!$D$10,"CLINICA DE HERIDAS ",IF(P213=CURSOS!$D$11,"TOMA DE CITOLOGIA CERVICO VAGINAL ",IF(P213=CURSOS!$D$12,"SOPORTE CARDIOVASCULAR AVANZADO (ACLS) ",IF(P213=CURSOS!$D$13,"CAMILLERO ",IF(P213=CURSOS!$D$14,"TOMA DE MUESTRAS Y LABORATORIO ",IF(P213=CURSOS!$D$15,"SOPORTE VITAL BASICO (BLS)",IF(P213=CURSOS!$D$16,"ATENCION A VICTIMAS DE VIOLENCIA SEXUAL ",IF(P213=CURSOS!$D$17,"PROGRAMADO AMPLIADO DE INMUNIZACION (PAI - COVID 19)",IF(P213=CURSOS!$D$18,"ATENCION INTEGRAL EN ENFERMEDADES PREVALENTES EN PRIMERA INFANCIA (AIEPI)",IF(P213=CURSOS!$D$19,"ADMINISTRACION DE MEDICAMENTOS, INYECTOLOGIA  Y CANALIZACION ",IF(P213=CURSOS!$D$20,"OPERADOR DE VEHICULOS DE EMERGENCIA (OVE)",IF(P213=CURSOS!$D$21,"INSTITUCIONES AMIGAS DE LA MUJER Y LA INFANCIA (IAMI)",IF(P213=CURSOS!$D$22,"CUIDADO DEL DONANTE DE ORGANOS",IF(P213=CURSOS!$D$23,"ATENCION A VICTIMAS POR VIOLENCIA DE GENERO",IF(P213=CURSOS!$D$24,"IGUALDAD DE GENERO EN LA SALUD",IF(P213=CURSOS!$D$25,"BRIGADA DE EMERGENCIA",IF(P213=CURSOS!$D$26,"MANEJO DEL DOLOR Y CUIDADOS PALIATIVOS",IF(P213=CURSOS!$D$27,"TOMA DE MUESTRAS Y LABORATORIO POCT",IF(P213=CURSOS!$D$28,"IMPLANTE SUBDERMICO DE DISPOSITIVO INTRAUTERINO",IF(P213=CURSOS!$D$29,"SALUD MENTAL",IF(P213=CURSOS!$D$30,"PRIMEROS AUXILIOS PSICOLOGICOS",IF(P213=CURSOS!$D$31,"ATENCION A VICTIMAS POR CONFLICTO ARMADO",IF(P213=CURSOS!$D$32,"MANIPULACION DE ALIMENTOS Y BPM",IF(P213=CURSOS!$D$33,"ATENCION A PERSONAS CON DISCAPACIDAD",IF(P213=CURSOS!$D$34,"CUIDADO INTEGRAL DEL PACIENTE ADULTO",IF(P213=CURSOS!$D$35,"MANEJO DEFENSIVO",IF(P213=CURSOS!$D$36,"SOPORTE CARDIOVASCULAR AVANZADO NEONATAL",IF(P213=CURSOS!$D$37,"SEGURIDAD DEL PACIENTE",IF(P213=CURSOS!$D$38,"MANEJO DE RESIDUOS HOSPITALARIOS"))))))))))))))))))))))))))))))))))))</f>
        <v>0</v>
      </c>
      <c r="W213" s="65" t="str">
        <f t="shared" si="15"/>
        <v xml:space="preserve">   </v>
      </c>
      <c r="X213" s="65" t="str">
        <f t="shared" si="16"/>
        <v xml:space="preserve">   </v>
      </c>
      <c r="Y213" s="65" t="str">
        <f t="shared" si="17"/>
        <v xml:space="preserve">   --</v>
      </c>
    </row>
    <row r="214" spans="1:25" x14ac:dyDescent="0.2">
      <c r="A214" s="59">
        <v>213</v>
      </c>
      <c r="Q214" s="44"/>
      <c r="S214" s="47"/>
      <c r="U214" s="40"/>
      <c r="V214" s="65" t="b">
        <f>IF(P214=CURSOS!$D$3,"DIPLOMADO EN ATENCION PRE-HOSPITALARIA",IF(P214=CURSOS!$D$4,"ACOMPAÑAMIENTO Y MANEJO DEL DUELO",IF(P214=CURSOS!$D$5,"ATENCION A VICTIMAS DE ATAQUE CON AGENTES QUIMICOS ",IF(P214=CURSOS!$D$6,"PRIMEROS AUXILIOS ",IF(P214=CURSOS!$D$7,"DIPLOMADO DE UNIDAD DE CUIDADOS INTENSIVOS (UCI)",IF(P214=CURSOS!$D$8,"MODELO DE ATENCION PARA EVENTOS EMERGENTES EN SALUD MENTAL (CODIGO VERDE)",IF(P214=CURSOS!$D$9,"HUMANIZACION EN EL SERVICIO DE LA SALUD Y BUENAS PRACTICAS EN PACIENTE ",IF(P214=CURSOS!$D$10,"CLINICA DE HERIDAS ",IF(P214=CURSOS!$D$11,"TOMA DE CITOLOGIA CERVICO VAGINAL ",IF(P214=CURSOS!$D$12,"SOPORTE CARDIOVASCULAR AVANZADO (ACLS) ",IF(P214=CURSOS!$D$13,"CAMILLERO ",IF(P214=CURSOS!$D$14,"TOMA DE MUESTRAS Y LABORATORIO ",IF(P214=CURSOS!$D$15,"SOPORTE VITAL BASICO (BLS)",IF(P214=CURSOS!$D$16,"ATENCION A VICTIMAS DE VIOLENCIA SEXUAL ",IF(P214=CURSOS!$D$17,"PROGRAMADO AMPLIADO DE INMUNIZACION (PAI - COVID 19)",IF(P214=CURSOS!$D$18,"ATENCION INTEGRAL EN ENFERMEDADES PREVALENTES EN PRIMERA INFANCIA (AIEPI)",IF(P214=CURSOS!$D$19,"ADMINISTRACION DE MEDICAMENTOS, INYECTOLOGIA  Y CANALIZACION ",IF(P214=CURSOS!$D$20,"OPERADOR DE VEHICULOS DE EMERGENCIA (OVE)",IF(P214=CURSOS!$D$21,"INSTITUCIONES AMIGAS DE LA MUJER Y LA INFANCIA (IAMI)",IF(P214=CURSOS!$D$22,"CUIDADO DEL DONANTE DE ORGANOS",IF(P214=CURSOS!$D$23,"ATENCION A VICTIMAS POR VIOLENCIA DE GENERO",IF(P214=CURSOS!$D$24,"IGUALDAD DE GENERO EN LA SALUD",IF(P214=CURSOS!$D$25,"BRIGADA DE EMERGENCIA",IF(P214=CURSOS!$D$26,"MANEJO DEL DOLOR Y CUIDADOS PALIATIVOS",IF(P214=CURSOS!$D$27,"TOMA DE MUESTRAS Y LABORATORIO POCT",IF(P214=CURSOS!$D$28,"IMPLANTE SUBDERMICO DE DISPOSITIVO INTRAUTERINO",IF(P214=CURSOS!$D$29,"SALUD MENTAL",IF(P214=CURSOS!$D$30,"PRIMEROS AUXILIOS PSICOLOGICOS",IF(P214=CURSOS!$D$31,"ATENCION A VICTIMAS POR CONFLICTO ARMADO",IF(P214=CURSOS!$D$32,"MANIPULACION DE ALIMENTOS Y BPM",IF(P214=CURSOS!$D$33,"ATENCION A PERSONAS CON DISCAPACIDAD",IF(P214=CURSOS!$D$34,"CUIDADO INTEGRAL DEL PACIENTE ADULTO",IF(P214=CURSOS!$D$35,"MANEJO DEFENSIVO",IF(P214=CURSOS!$D$36,"SOPORTE CARDIOVASCULAR AVANZADO NEONATAL",IF(P214=CURSOS!$D$37,"SEGURIDAD DEL PACIENTE",IF(P214=CURSOS!$D$38,"MANEJO DE RESIDUOS HOSPITALARIOS"))))))))))))))))))))))))))))))))))))</f>
        <v>0</v>
      </c>
      <c r="W214" s="65" t="str">
        <f t="shared" si="15"/>
        <v xml:space="preserve">   </v>
      </c>
      <c r="X214" s="65" t="str">
        <f t="shared" si="16"/>
        <v xml:space="preserve">   </v>
      </c>
      <c r="Y214" s="65" t="str">
        <f t="shared" si="17"/>
        <v xml:space="preserve">   --</v>
      </c>
    </row>
    <row r="215" spans="1:25" x14ac:dyDescent="0.2">
      <c r="A215" s="59">
        <v>214</v>
      </c>
      <c r="Q215" s="44"/>
      <c r="S215" s="47"/>
      <c r="U215" s="40"/>
      <c r="V215" s="65" t="b">
        <f>IF(P215=CURSOS!$D$3,"DIPLOMADO EN ATENCION PRE-HOSPITALARIA",IF(P215=CURSOS!$D$4,"ACOMPAÑAMIENTO Y MANEJO DEL DUELO",IF(P215=CURSOS!$D$5,"ATENCION A VICTIMAS DE ATAQUE CON AGENTES QUIMICOS ",IF(P215=CURSOS!$D$6,"PRIMEROS AUXILIOS ",IF(P215=CURSOS!$D$7,"DIPLOMADO DE UNIDAD DE CUIDADOS INTENSIVOS (UCI)",IF(P215=CURSOS!$D$8,"MODELO DE ATENCION PARA EVENTOS EMERGENTES EN SALUD MENTAL (CODIGO VERDE)",IF(P215=CURSOS!$D$9,"HUMANIZACION EN EL SERVICIO DE LA SALUD Y BUENAS PRACTICAS EN PACIENTE ",IF(P215=CURSOS!$D$10,"CLINICA DE HERIDAS ",IF(P215=CURSOS!$D$11,"TOMA DE CITOLOGIA CERVICO VAGINAL ",IF(P215=CURSOS!$D$12,"SOPORTE CARDIOVASCULAR AVANZADO (ACLS) ",IF(P215=CURSOS!$D$13,"CAMILLERO ",IF(P215=CURSOS!$D$14,"TOMA DE MUESTRAS Y LABORATORIO ",IF(P215=CURSOS!$D$15,"SOPORTE VITAL BASICO (BLS)",IF(P215=CURSOS!$D$16,"ATENCION A VICTIMAS DE VIOLENCIA SEXUAL ",IF(P215=CURSOS!$D$17,"PROGRAMADO AMPLIADO DE INMUNIZACION (PAI - COVID 19)",IF(P215=CURSOS!$D$18,"ATENCION INTEGRAL EN ENFERMEDADES PREVALENTES EN PRIMERA INFANCIA (AIEPI)",IF(P215=CURSOS!$D$19,"ADMINISTRACION DE MEDICAMENTOS, INYECTOLOGIA  Y CANALIZACION ",IF(P215=CURSOS!$D$20,"OPERADOR DE VEHICULOS DE EMERGENCIA (OVE)",IF(P215=CURSOS!$D$21,"INSTITUCIONES AMIGAS DE LA MUJER Y LA INFANCIA (IAMI)",IF(P215=CURSOS!$D$22,"CUIDADO DEL DONANTE DE ORGANOS",IF(P215=CURSOS!$D$23,"ATENCION A VICTIMAS POR VIOLENCIA DE GENERO",IF(P215=CURSOS!$D$24,"IGUALDAD DE GENERO EN LA SALUD",IF(P215=CURSOS!$D$25,"BRIGADA DE EMERGENCIA",IF(P215=CURSOS!$D$26,"MANEJO DEL DOLOR Y CUIDADOS PALIATIVOS",IF(P215=CURSOS!$D$27,"TOMA DE MUESTRAS Y LABORATORIO POCT",IF(P215=CURSOS!$D$28,"IMPLANTE SUBDERMICO DE DISPOSITIVO INTRAUTERINO",IF(P215=CURSOS!$D$29,"SALUD MENTAL",IF(P215=CURSOS!$D$30,"PRIMEROS AUXILIOS PSICOLOGICOS",IF(P215=CURSOS!$D$31,"ATENCION A VICTIMAS POR CONFLICTO ARMADO",IF(P215=CURSOS!$D$32,"MANIPULACION DE ALIMENTOS Y BPM",IF(P215=CURSOS!$D$33,"ATENCION A PERSONAS CON DISCAPACIDAD",IF(P215=CURSOS!$D$34,"CUIDADO INTEGRAL DEL PACIENTE ADULTO",IF(P215=CURSOS!$D$35,"MANEJO DEFENSIVO",IF(P215=CURSOS!$D$36,"SOPORTE CARDIOVASCULAR AVANZADO NEONATAL",IF(P215=CURSOS!$D$37,"SEGURIDAD DEL PACIENTE",IF(P215=CURSOS!$D$38,"MANEJO DE RESIDUOS HOSPITALARIOS"))))))))))))))))))))))))))))))))))))</f>
        <v>0</v>
      </c>
      <c r="W215" s="65" t="str">
        <f t="shared" si="15"/>
        <v xml:space="preserve">   </v>
      </c>
      <c r="X215" s="65" t="str">
        <f t="shared" si="16"/>
        <v xml:space="preserve">   </v>
      </c>
      <c r="Y215" s="65" t="str">
        <f t="shared" si="17"/>
        <v xml:space="preserve">   --</v>
      </c>
    </row>
    <row r="216" spans="1:25" x14ac:dyDescent="0.2">
      <c r="A216" s="59">
        <v>215</v>
      </c>
      <c r="Q216" s="44"/>
      <c r="S216" s="47"/>
      <c r="U216" s="40"/>
      <c r="V216" s="65" t="b">
        <f>IF(P216=CURSOS!$D$3,"DIPLOMADO EN ATENCION PRE-HOSPITALARIA",IF(P216=CURSOS!$D$4,"ACOMPAÑAMIENTO Y MANEJO DEL DUELO",IF(P216=CURSOS!$D$5,"ATENCION A VICTIMAS DE ATAQUE CON AGENTES QUIMICOS ",IF(P216=CURSOS!$D$6,"PRIMEROS AUXILIOS ",IF(P216=CURSOS!$D$7,"DIPLOMADO DE UNIDAD DE CUIDADOS INTENSIVOS (UCI)",IF(P216=CURSOS!$D$8,"MODELO DE ATENCION PARA EVENTOS EMERGENTES EN SALUD MENTAL (CODIGO VERDE)",IF(P216=CURSOS!$D$9,"HUMANIZACION EN EL SERVICIO DE LA SALUD Y BUENAS PRACTICAS EN PACIENTE ",IF(P216=CURSOS!$D$10,"CLINICA DE HERIDAS ",IF(P216=CURSOS!$D$11,"TOMA DE CITOLOGIA CERVICO VAGINAL ",IF(P216=CURSOS!$D$12,"SOPORTE CARDIOVASCULAR AVANZADO (ACLS) ",IF(P216=CURSOS!$D$13,"CAMILLERO ",IF(P216=CURSOS!$D$14,"TOMA DE MUESTRAS Y LABORATORIO ",IF(P216=CURSOS!$D$15,"SOPORTE VITAL BASICO (BLS)",IF(P216=CURSOS!$D$16,"ATENCION A VICTIMAS DE VIOLENCIA SEXUAL ",IF(P216=CURSOS!$D$17,"PROGRAMADO AMPLIADO DE INMUNIZACION (PAI - COVID 19)",IF(P216=CURSOS!$D$18,"ATENCION INTEGRAL EN ENFERMEDADES PREVALENTES EN PRIMERA INFANCIA (AIEPI)",IF(P216=CURSOS!$D$19,"ADMINISTRACION DE MEDICAMENTOS, INYECTOLOGIA  Y CANALIZACION ",IF(P216=CURSOS!$D$20,"OPERADOR DE VEHICULOS DE EMERGENCIA (OVE)",IF(P216=CURSOS!$D$21,"INSTITUCIONES AMIGAS DE LA MUJER Y LA INFANCIA (IAMI)",IF(P216=CURSOS!$D$22,"CUIDADO DEL DONANTE DE ORGANOS",IF(P216=CURSOS!$D$23,"ATENCION A VICTIMAS POR VIOLENCIA DE GENERO",IF(P216=CURSOS!$D$24,"IGUALDAD DE GENERO EN LA SALUD",IF(P216=CURSOS!$D$25,"BRIGADA DE EMERGENCIA",IF(P216=CURSOS!$D$26,"MANEJO DEL DOLOR Y CUIDADOS PALIATIVOS",IF(P216=CURSOS!$D$27,"TOMA DE MUESTRAS Y LABORATORIO POCT",IF(P216=CURSOS!$D$28,"IMPLANTE SUBDERMICO DE DISPOSITIVO INTRAUTERINO",IF(P216=CURSOS!$D$29,"SALUD MENTAL",IF(P216=CURSOS!$D$30,"PRIMEROS AUXILIOS PSICOLOGICOS",IF(P216=CURSOS!$D$31,"ATENCION A VICTIMAS POR CONFLICTO ARMADO",IF(P216=CURSOS!$D$32,"MANIPULACION DE ALIMENTOS Y BPM",IF(P216=CURSOS!$D$33,"ATENCION A PERSONAS CON DISCAPACIDAD",IF(P216=CURSOS!$D$34,"CUIDADO INTEGRAL DEL PACIENTE ADULTO",IF(P216=CURSOS!$D$35,"MANEJO DEFENSIVO",IF(P216=CURSOS!$D$36,"SOPORTE CARDIOVASCULAR AVANZADO NEONATAL",IF(P216=CURSOS!$D$37,"SEGURIDAD DEL PACIENTE",IF(P216=CURSOS!$D$38,"MANEJO DE RESIDUOS HOSPITALARIOS"))))))))))))))))))))))))))))))))))))</f>
        <v>0</v>
      </c>
      <c r="W216" s="65" t="str">
        <f t="shared" si="15"/>
        <v xml:space="preserve">   </v>
      </c>
      <c r="X216" s="65" t="str">
        <f t="shared" si="16"/>
        <v xml:space="preserve">   </v>
      </c>
      <c r="Y216" s="65" t="str">
        <f t="shared" si="17"/>
        <v xml:space="preserve">   --</v>
      </c>
    </row>
    <row r="217" spans="1:25" x14ac:dyDescent="0.2">
      <c r="A217" s="59">
        <v>216</v>
      </c>
      <c r="Q217" s="44"/>
      <c r="U217" s="46"/>
      <c r="V217" s="65" t="b">
        <f>IF(P217=CURSOS!$D$3,"DIPLOMADO EN ATENCION PRE-HOSPITALARIA",IF(P217=CURSOS!$D$4,"ACOMPAÑAMIENTO Y MANEJO DEL DUELO",IF(P217=CURSOS!$D$5,"ATENCION A VICTIMAS DE ATAQUE CON AGENTES QUIMICOS ",IF(P217=CURSOS!$D$6,"PRIMEROS AUXILIOS ",IF(P217=CURSOS!$D$7,"DIPLOMADO DE UNIDAD DE CUIDADOS INTENSIVOS (UCI)",IF(P217=CURSOS!$D$8,"MODELO DE ATENCION PARA EVENTOS EMERGENTES EN SALUD MENTAL (CODIGO VERDE)",IF(P217=CURSOS!$D$9,"HUMANIZACION EN EL SERVICIO DE LA SALUD Y BUENAS PRACTICAS EN PACIENTE ",IF(P217=CURSOS!$D$10,"CLINICA DE HERIDAS ",IF(P217=CURSOS!$D$11,"TOMA DE CITOLOGIA CERVICO VAGINAL ",IF(P217=CURSOS!$D$12,"SOPORTE CARDIOVASCULAR AVANZADO (ACLS) ",IF(P217=CURSOS!$D$13,"CAMILLERO ",IF(P217=CURSOS!$D$14,"TOMA DE MUESTRAS Y LABORATORIO ",IF(P217=CURSOS!$D$15,"SOPORTE VITAL BASICO (BLS)",IF(P217=CURSOS!$D$16,"ATENCION A VICTIMAS DE VIOLENCIA SEXUAL ",IF(P217=CURSOS!$D$17,"PROGRAMADO AMPLIADO DE INMUNIZACION (PAI - COVID 19)",IF(P217=CURSOS!$D$18,"ATENCION INTEGRAL EN ENFERMEDADES PREVALENTES EN PRIMERA INFANCIA (AIEPI)",IF(P217=CURSOS!$D$19,"ADMINISTRACION DE MEDICAMENTOS, INYECTOLOGIA  Y CANALIZACION ",IF(P217=CURSOS!$D$20,"OPERADOR DE VEHICULOS DE EMERGENCIA (OVE)",IF(P217=CURSOS!$D$21,"INSTITUCIONES AMIGAS DE LA MUJER Y LA INFANCIA (IAMI)",IF(P217=CURSOS!$D$22,"CUIDADO DEL DONANTE DE ORGANOS",IF(P217=CURSOS!$D$23,"ATENCION A VICTIMAS POR VIOLENCIA DE GENERO",IF(P217=CURSOS!$D$24,"IGUALDAD DE GENERO EN LA SALUD",IF(P217=CURSOS!$D$25,"BRIGADA DE EMERGENCIA",IF(P217=CURSOS!$D$26,"MANEJO DEL DOLOR Y CUIDADOS PALIATIVOS",IF(P217=CURSOS!$D$27,"TOMA DE MUESTRAS Y LABORATORIO POCT",IF(P217=CURSOS!$D$28,"IMPLANTE SUBDERMICO DE DISPOSITIVO INTRAUTERINO",IF(P217=CURSOS!$D$29,"SALUD MENTAL",IF(P217=CURSOS!$D$30,"PRIMEROS AUXILIOS PSICOLOGICOS",IF(P217=CURSOS!$D$31,"ATENCION A VICTIMAS POR CONFLICTO ARMADO",IF(P217=CURSOS!$D$32,"MANIPULACION DE ALIMENTOS Y BPM",IF(P217=CURSOS!$D$33,"ATENCION A PERSONAS CON DISCAPACIDAD",IF(P217=CURSOS!$D$34,"CUIDADO INTEGRAL DEL PACIENTE ADULTO",IF(P217=CURSOS!$D$35,"MANEJO DEFENSIVO",IF(P217=CURSOS!$D$36,"SOPORTE CARDIOVASCULAR AVANZADO NEONATAL",IF(P217=CURSOS!$D$37,"SEGURIDAD DEL PACIENTE",IF(P217=CURSOS!$D$38,"MANEJO DE RESIDUOS HOSPITALARIOS"))))))))))))))))))))))))))))))))))))</f>
        <v>0</v>
      </c>
      <c r="W217" s="65" t="str">
        <f t="shared" si="15"/>
        <v xml:space="preserve">   </v>
      </c>
      <c r="X217" s="65" t="str">
        <f t="shared" si="16"/>
        <v xml:space="preserve">   </v>
      </c>
      <c r="Y217" s="65" t="str">
        <f t="shared" si="17"/>
        <v xml:space="preserve">   --</v>
      </c>
    </row>
    <row r="218" spans="1:25" x14ac:dyDescent="0.2">
      <c r="A218" s="59">
        <v>217</v>
      </c>
      <c r="Q218" s="44"/>
      <c r="U218" s="46"/>
      <c r="V218" s="65" t="b">
        <f>IF(P218=CURSOS!$D$3,"DIPLOMADO EN ATENCION PRE-HOSPITALARIA",IF(P218=CURSOS!$D$4,"ACOMPAÑAMIENTO Y MANEJO DEL DUELO",IF(P218=CURSOS!$D$5,"ATENCION A VICTIMAS DE ATAQUE CON AGENTES QUIMICOS ",IF(P218=CURSOS!$D$6,"PRIMEROS AUXILIOS ",IF(P218=CURSOS!$D$7,"DIPLOMADO DE UNIDAD DE CUIDADOS INTENSIVOS (UCI)",IF(P218=CURSOS!$D$8,"MODELO DE ATENCION PARA EVENTOS EMERGENTES EN SALUD MENTAL (CODIGO VERDE)",IF(P218=CURSOS!$D$9,"HUMANIZACION EN EL SERVICIO DE LA SALUD Y BUENAS PRACTICAS EN PACIENTE ",IF(P218=CURSOS!$D$10,"CLINICA DE HERIDAS ",IF(P218=CURSOS!$D$11,"TOMA DE CITOLOGIA CERVICO VAGINAL ",IF(P218=CURSOS!$D$12,"SOPORTE CARDIOVASCULAR AVANZADO (ACLS) ",IF(P218=CURSOS!$D$13,"CAMILLERO ",IF(P218=CURSOS!$D$14,"TOMA DE MUESTRAS Y LABORATORIO ",IF(P218=CURSOS!$D$15,"SOPORTE VITAL BASICO (BLS)",IF(P218=CURSOS!$D$16,"ATENCION A VICTIMAS DE VIOLENCIA SEXUAL ",IF(P218=CURSOS!$D$17,"PROGRAMADO AMPLIADO DE INMUNIZACION (PAI - COVID 19)",IF(P218=CURSOS!$D$18,"ATENCION INTEGRAL EN ENFERMEDADES PREVALENTES EN PRIMERA INFANCIA (AIEPI)",IF(P218=CURSOS!$D$19,"ADMINISTRACION DE MEDICAMENTOS, INYECTOLOGIA  Y CANALIZACION ",IF(P218=CURSOS!$D$20,"OPERADOR DE VEHICULOS DE EMERGENCIA (OVE)",IF(P218=CURSOS!$D$21,"INSTITUCIONES AMIGAS DE LA MUJER Y LA INFANCIA (IAMI)",IF(P218=CURSOS!$D$22,"CUIDADO DEL DONANTE DE ORGANOS",IF(P218=CURSOS!$D$23,"ATENCION A VICTIMAS POR VIOLENCIA DE GENERO",IF(P218=CURSOS!$D$24,"IGUALDAD DE GENERO EN LA SALUD",IF(P218=CURSOS!$D$25,"BRIGADA DE EMERGENCIA",IF(P218=CURSOS!$D$26,"MANEJO DEL DOLOR Y CUIDADOS PALIATIVOS",IF(P218=CURSOS!$D$27,"TOMA DE MUESTRAS Y LABORATORIO POCT",IF(P218=CURSOS!$D$28,"IMPLANTE SUBDERMICO DE DISPOSITIVO INTRAUTERINO",IF(P218=CURSOS!$D$29,"SALUD MENTAL",IF(P218=CURSOS!$D$30,"PRIMEROS AUXILIOS PSICOLOGICOS",IF(P218=CURSOS!$D$31,"ATENCION A VICTIMAS POR CONFLICTO ARMADO",IF(P218=CURSOS!$D$32,"MANIPULACION DE ALIMENTOS Y BPM",IF(P218=CURSOS!$D$33,"ATENCION A PERSONAS CON DISCAPACIDAD",IF(P218=CURSOS!$D$34,"CUIDADO INTEGRAL DEL PACIENTE ADULTO",IF(P218=CURSOS!$D$35,"MANEJO DEFENSIVO",IF(P218=CURSOS!$D$36,"SOPORTE CARDIOVASCULAR AVANZADO NEONATAL",IF(P218=CURSOS!$D$37,"SEGURIDAD DEL PACIENTE",IF(P218=CURSOS!$D$38,"MANEJO DE RESIDUOS HOSPITALARIOS"))))))))))))))))))))))))))))))))))))</f>
        <v>0</v>
      </c>
      <c r="W218" s="65" t="str">
        <f t="shared" si="15"/>
        <v xml:space="preserve">   </v>
      </c>
      <c r="X218" s="65" t="str">
        <f t="shared" si="16"/>
        <v xml:space="preserve">   </v>
      </c>
      <c r="Y218" s="65" t="str">
        <f t="shared" si="17"/>
        <v xml:space="preserve">   --</v>
      </c>
    </row>
    <row r="219" spans="1:25" x14ac:dyDescent="0.2">
      <c r="A219" s="59">
        <v>218</v>
      </c>
      <c r="I219" s="44"/>
      <c r="J219" s="44"/>
      <c r="Q219" s="44"/>
      <c r="U219" s="40"/>
      <c r="V219" s="65" t="b">
        <f>IF(P219=CURSOS!$D$3,"DIPLOMADO EN ATENCION PRE-HOSPITALARIA",IF(P219=CURSOS!$D$4,"ACOMPAÑAMIENTO Y MANEJO DEL DUELO",IF(P219=CURSOS!$D$5,"ATENCION A VICTIMAS DE ATAQUE CON AGENTES QUIMICOS ",IF(P219=CURSOS!$D$6,"PRIMEROS AUXILIOS ",IF(P219=CURSOS!$D$7,"DIPLOMADO DE UNIDAD DE CUIDADOS INTENSIVOS (UCI)",IF(P219=CURSOS!$D$8,"MODELO DE ATENCION PARA EVENTOS EMERGENTES EN SALUD MENTAL (CODIGO VERDE)",IF(P219=CURSOS!$D$9,"HUMANIZACION EN EL SERVICIO DE LA SALUD Y BUENAS PRACTICAS EN PACIENTE ",IF(P219=CURSOS!$D$10,"CLINICA DE HERIDAS ",IF(P219=CURSOS!$D$11,"TOMA DE CITOLOGIA CERVICO VAGINAL ",IF(P219=CURSOS!$D$12,"SOPORTE CARDIOVASCULAR AVANZADO (ACLS) ",IF(P219=CURSOS!$D$13,"CAMILLERO ",IF(P219=CURSOS!$D$14,"TOMA DE MUESTRAS Y LABORATORIO ",IF(P219=CURSOS!$D$15,"SOPORTE VITAL BASICO (BLS)",IF(P219=CURSOS!$D$16,"ATENCION A VICTIMAS DE VIOLENCIA SEXUAL ",IF(P219=CURSOS!$D$17,"PROGRAMADO AMPLIADO DE INMUNIZACION (PAI - COVID 19)",IF(P219=CURSOS!$D$18,"ATENCION INTEGRAL EN ENFERMEDADES PREVALENTES EN PRIMERA INFANCIA (AIEPI)",IF(P219=CURSOS!$D$19,"ADMINISTRACION DE MEDICAMENTOS, INYECTOLOGIA  Y CANALIZACION ",IF(P219=CURSOS!$D$20,"OPERADOR DE VEHICULOS DE EMERGENCIA (OVE)",IF(P219=CURSOS!$D$21,"INSTITUCIONES AMIGAS DE LA MUJER Y LA INFANCIA (IAMI)",IF(P219=CURSOS!$D$22,"CUIDADO DEL DONANTE DE ORGANOS",IF(P219=CURSOS!$D$23,"ATENCION A VICTIMAS POR VIOLENCIA DE GENERO",IF(P219=CURSOS!$D$24,"IGUALDAD DE GENERO EN LA SALUD",IF(P219=CURSOS!$D$25,"BRIGADA DE EMERGENCIA",IF(P219=CURSOS!$D$26,"MANEJO DEL DOLOR Y CUIDADOS PALIATIVOS",IF(P219=CURSOS!$D$27,"TOMA DE MUESTRAS Y LABORATORIO POCT",IF(P219=CURSOS!$D$28,"IMPLANTE SUBDERMICO DE DISPOSITIVO INTRAUTERINO",IF(P219=CURSOS!$D$29,"SALUD MENTAL",IF(P219=CURSOS!$D$30,"PRIMEROS AUXILIOS PSICOLOGICOS",IF(P219=CURSOS!$D$31,"ATENCION A VICTIMAS POR CONFLICTO ARMADO",IF(P219=CURSOS!$D$32,"MANIPULACION DE ALIMENTOS Y BPM",IF(P219=CURSOS!$D$33,"ATENCION A PERSONAS CON DISCAPACIDAD",IF(P219=CURSOS!$D$34,"CUIDADO INTEGRAL DEL PACIENTE ADULTO",IF(P219=CURSOS!$D$35,"MANEJO DEFENSIVO",IF(P219=CURSOS!$D$36,"SOPORTE CARDIOVASCULAR AVANZADO NEONATAL",IF(P219=CURSOS!$D$37,"SEGURIDAD DEL PACIENTE",IF(P219=CURSOS!$D$38,"MANEJO DE RESIDUOS HOSPITALARIOS"))))))))))))))))))))))))))))))))))))</f>
        <v>0</v>
      </c>
      <c r="W219" s="65" t="str">
        <f t="shared" si="15"/>
        <v xml:space="preserve">   </v>
      </c>
      <c r="X219" s="65" t="str">
        <f t="shared" si="16"/>
        <v xml:space="preserve">   </v>
      </c>
      <c r="Y219" s="65" t="str">
        <f t="shared" si="17"/>
        <v xml:space="preserve">   --</v>
      </c>
    </row>
    <row r="220" spans="1:25" x14ac:dyDescent="0.2">
      <c r="A220" s="59">
        <v>219</v>
      </c>
      <c r="I220" s="44"/>
      <c r="J220" s="44"/>
      <c r="Q220" s="44"/>
      <c r="U220" s="40"/>
      <c r="V220" s="65" t="b">
        <f>IF(P220=CURSOS!$D$3,"DIPLOMADO EN ATENCION PRE-HOSPITALARIA",IF(P220=CURSOS!$D$4,"ACOMPAÑAMIENTO Y MANEJO DEL DUELO",IF(P220=CURSOS!$D$5,"ATENCION A VICTIMAS DE ATAQUE CON AGENTES QUIMICOS ",IF(P220=CURSOS!$D$6,"PRIMEROS AUXILIOS ",IF(P220=CURSOS!$D$7,"DIPLOMADO DE UNIDAD DE CUIDADOS INTENSIVOS (UCI)",IF(P220=CURSOS!$D$8,"MODELO DE ATENCION PARA EVENTOS EMERGENTES EN SALUD MENTAL (CODIGO VERDE)",IF(P220=CURSOS!$D$9,"HUMANIZACION EN EL SERVICIO DE LA SALUD Y BUENAS PRACTICAS EN PACIENTE ",IF(P220=CURSOS!$D$10,"CLINICA DE HERIDAS ",IF(P220=CURSOS!$D$11,"TOMA DE CITOLOGIA CERVICO VAGINAL ",IF(P220=CURSOS!$D$12,"SOPORTE CARDIOVASCULAR AVANZADO (ACLS) ",IF(P220=CURSOS!$D$13,"CAMILLERO ",IF(P220=CURSOS!$D$14,"TOMA DE MUESTRAS Y LABORATORIO ",IF(P220=CURSOS!$D$15,"SOPORTE VITAL BASICO (BLS)",IF(P220=CURSOS!$D$16,"ATENCION A VICTIMAS DE VIOLENCIA SEXUAL ",IF(P220=CURSOS!$D$17,"PROGRAMADO AMPLIADO DE INMUNIZACION (PAI - COVID 19)",IF(P220=CURSOS!$D$18,"ATENCION INTEGRAL EN ENFERMEDADES PREVALENTES EN PRIMERA INFANCIA (AIEPI)",IF(P220=CURSOS!$D$19,"ADMINISTRACION DE MEDICAMENTOS, INYECTOLOGIA  Y CANALIZACION ",IF(P220=CURSOS!$D$20,"OPERADOR DE VEHICULOS DE EMERGENCIA (OVE)",IF(P220=CURSOS!$D$21,"INSTITUCIONES AMIGAS DE LA MUJER Y LA INFANCIA (IAMI)",IF(P220=CURSOS!$D$22,"CUIDADO DEL DONANTE DE ORGANOS",IF(P220=CURSOS!$D$23,"ATENCION A VICTIMAS POR VIOLENCIA DE GENERO",IF(P220=CURSOS!$D$24,"IGUALDAD DE GENERO EN LA SALUD",IF(P220=CURSOS!$D$25,"BRIGADA DE EMERGENCIA",IF(P220=CURSOS!$D$26,"MANEJO DEL DOLOR Y CUIDADOS PALIATIVOS",IF(P220=CURSOS!$D$27,"TOMA DE MUESTRAS Y LABORATORIO POCT",IF(P220=CURSOS!$D$28,"IMPLANTE SUBDERMICO DE DISPOSITIVO INTRAUTERINO",IF(P220=CURSOS!$D$29,"SALUD MENTAL",IF(P220=CURSOS!$D$30,"PRIMEROS AUXILIOS PSICOLOGICOS",IF(P220=CURSOS!$D$31,"ATENCION A VICTIMAS POR CONFLICTO ARMADO",IF(P220=CURSOS!$D$32,"MANIPULACION DE ALIMENTOS Y BPM",IF(P220=CURSOS!$D$33,"ATENCION A PERSONAS CON DISCAPACIDAD",IF(P220=CURSOS!$D$34,"CUIDADO INTEGRAL DEL PACIENTE ADULTO",IF(P220=CURSOS!$D$35,"MANEJO DEFENSIVO",IF(P220=CURSOS!$D$36,"SOPORTE CARDIOVASCULAR AVANZADO NEONATAL",IF(P220=CURSOS!$D$37,"SEGURIDAD DEL PACIENTE",IF(P220=CURSOS!$D$38,"MANEJO DE RESIDUOS HOSPITALARIOS"))))))))))))))))))))))))))))))))))))</f>
        <v>0</v>
      </c>
      <c r="W220" s="65" t="str">
        <f t="shared" si="15"/>
        <v xml:space="preserve">   </v>
      </c>
      <c r="X220" s="65" t="str">
        <f t="shared" si="16"/>
        <v xml:space="preserve">   </v>
      </c>
      <c r="Y220" s="65" t="str">
        <f t="shared" si="17"/>
        <v xml:space="preserve">   --</v>
      </c>
    </row>
    <row r="221" spans="1:25" x14ac:dyDescent="0.2">
      <c r="A221" s="59">
        <v>220</v>
      </c>
      <c r="I221" s="44"/>
      <c r="J221" s="44"/>
      <c r="Q221" s="44"/>
      <c r="U221" s="40"/>
      <c r="V221" s="65" t="b">
        <f>IF(P221=CURSOS!$D$3,"DIPLOMADO EN ATENCION PRE-HOSPITALARIA",IF(P221=CURSOS!$D$4,"ACOMPAÑAMIENTO Y MANEJO DEL DUELO",IF(P221=CURSOS!$D$5,"ATENCION A VICTIMAS DE ATAQUE CON AGENTES QUIMICOS ",IF(P221=CURSOS!$D$6,"PRIMEROS AUXILIOS ",IF(P221=CURSOS!$D$7,"DIPLOMADO DE UNIDAD DE CUIDADOS INTENSIVOS (UCI)",IF(P221=CURSOS!$D$8,"MODELO DE ATENCION PARA EVENTOS EMERGENTES EN SALUD MENTAL (CODIGO VERDE)",IF(P221=CURSOS!$D$9,"HUMANIZACION EN EL SERVICIO DE LA SALUD Y BUENAS PRACTICAS EN PACIENTE ",IF(P221=CURSOS!$D$10,"CLINICA DE HERIDAS ",IF(P221=CURSOS!$D$11,"TOMA DE CITOLOGIA CERVICO VAGINAL ",IF(P221=CURSOS!$D$12,"SOPORTE CARDIOVASCULAR AVANZADO (ACLS) ",IF(P221=CURSOS!$D$13,"CAMILLERO ",IF(P221=CURSOS!$D$14,"TOMA DE MUESTRAS Y LABORATORIO ",IF(P221=CURSOS!$D$15,"SOPORTE VITAL BASICO (BLS)",IF(P221=CURSOS!$D$16,"ATENCION A VICTIMAS DE VIOLENCIA SEXUAL ",IF(P221=CURSOS!$D$17,"PROGRAMADO AMPLIADO DE INMUNIZACION (PAI - COVID 19)",IF(P221=CURSOS!$D$18,"ATENCION INTEGRAL EN ENFERMEDADES PREVALENTES EN PRIMERA INFANCIA (AIEPI)",IF(P221=CURSOS!$D$19,"ADMINISTRACION DE MEDICAMENTOS, INYECTOLOGIA  Y CANALIZACION ",IF(P221=CURSOS!$D$20,"OPERADOR DE VEHICULOS DE EMERGENCIA (OVE)",IF(P221=CURSOS!$D$21,"INSTITUCIONES AMIGAS DE LA MUJER Y LA INFANCIA (IAMI)",IF(P221=CURSOS!$D$22,"CUIDADO DEL DONANTE DE ORGANOS",IF(P221=CURSOS!$D$23,"ATENCION A VICTIMAS POR VIOLENCIA DE GENERO",IF(P221=CURSOS!$D$24,"IGUALDAD DE GENERO EN LA SALUD",IF(P221=CURSOS!$D$25,"BRIGADA DE EMERGENCIA",IF(P221=CURSOS!$D$26,"MANEJO DEL DOLOR Y CUIDADOS PALIATIVOS",IF(P221=CURSOS!$D$27,"TOMA DE MUESTRAS Y LABORATORIO POCT",IF(P221=CURSOS!$D$28,"IMPLANTE SUBDERMICO DE DISPOSITIVO INTRAUTERINO",IF(P221=CURSOS!$D$29,"SALUD MENTAL",IF(P221=CURSOS!$D$30,"PRIMEROS AUXILIOS PSICOLOGICOS",IF(P221=CURSOS!$D$31,"ATENCION A VICTIMAS POR CONFLICTO ARMADO",IF(P221=CURSOS!$D$32,"MANIPULACION DE ALIMENTOS Y BPM",IF(P221=CURSOS!$D$33,"ATENCION A PERSONAS CON DISCAPACIDAD",IF(P221=CURSOS!$D$34,"CUIDADO INTEGRAL DEL PACIENTE ADULTO",IF(P221=CURSOS!$D$35,"MANEJO DEFENSIVO",IF(P221=CURSOS!$D$36,"SOPORTE CARDIOVASCULAR AVANZADO NEONATAL",IF(P221=CURSOS!$D$37,"SEGURIDAD DEL PACIENTE",IF(P221=CURSOS!$D$38,"MANEJO DE RESIDUOS HOSPITALARIOS"))))))))))))))))))))))))))))))))))))</f>
        <v>0</v>
      </c>
      <c r="W221" s="65" t="str">
        <f t="shared" si="15"/>
        <v xml:space="preserve">   </v>
      </c>
      <c r="X221" s="65" t="str">
        <f t="shared" si="16"/>
        <v xml:space="preserve">   </v>
      </c>
      <c r="Y221" s="65" t="str">
        <f t="shared" si="17"/>
        <v xml:space="preserve">   --</v>
      </c>
    </row>
    <row r="222" spans="1:25" x14ac:dyDescent="0.2">
      <c r="A222" s="59">
        <v>221</v>
      </c>
      <c r="I222" s="44"/>
      <c r="J222" s="44"/>
      <c r="Q222" s="44"/>
      <c r="U222" s="40"/>
      <c r="V222" s="65" t="b">
        <f>IF(P222=CURSOS!$D$3,"DIPLOMADO EN ATENCION PRE-HOSPITALARIA",IF(P222=CURSOS!$D$4,"ACOMPAÑAMIENTO Y MANEJO DEL DUELO",IF(P222=CURSOS!$D$5,"ATENCION A VICTIMAS DE ATAQUE CON AGENTES QUIMICOS ",IF(P222=CURSOS!$D$6,"PRIMEROS AUXILIOS ",IF(P222=CURSOS!$D$7,"DIPLOMADO DE UNIDAD DE CUIDADOS INTENSIVOS (UCI)",IF(P222=CURSOS!$D$8,"MODELO DE ATENCION PARA EVENTOS EMERGENTES EN SALUD MENTAL (CODIGO VERDE)",IF(P222=CURSOS!$D$9,"HUMANIZACION EN EL SERVICIO DE LA SALUD Y BUENAS PRACTICAS EN PACIENTE ",IF(P222=CURSOS!$D$10,"CLINICA DE HERIDAS ",IF(P222=CURSOS!$D$11,"TOMA DE CITOLOGIA CERVICO VAGINAL ",IF(P222=CURSOS!$D$12,"SOPORTE CARDIOVASCULAR AVANZADO (ACLS) ",IF(P222=CURSOS!$D$13,"CAMILLERO ",IF(P222=CURSOS!$D$14,"TOMA DE MUESTRAS Y LABORATORIO ",IF(P222=CURSOS!$D$15,"SOPORTE VITAL BASICO (BLS)",IF(P222=CURSOS!$D$16,"ATENCION A VICTIMAS DE VIOLENCIA SEXUAL ",IF(P222=CURSOS!$D$17,"PROGRAMADO AMPLIADO DE INMUNIZACION (PAI - COVID 19)",IF(P222=CURSOS!$D$18,"ATENCION INTEGRAL EN ENFERMEDADES PREVALENTES EN PRIMERA INFANCIA (AIEPI)",IF(P222=CURSOS!$D$19,"ADMINISTRACION DE MEDICAMENTOS, INYECTOLOGIA  Y CANALIZACION ",IF(P222=CURSOS!$D$20,"OPERADOR DE VEHICULOS DE EMERGENCIA (OVE)",IF(P222=CURSOS!$D$21,"INSTITUCIONES AMIGAS DE LA MUJER Y LA INFANCIA (IAMI)",IF(P222=CURSOS!$D$22,"CUIDADO DEL DONANTE DE ORGANOS",IF(P222=CURSOS!$D$23,"ATENCION A VICTIMAS POR VIOLENCIA DE GENERO",IF(P222=CURSOS!$D$24,"IGUALDAD DE GENERO EN LA SALUD",IF(P222=CURSOS!$D$25,"BRIGADA DE EMERGENCIA",IF(P222=CURSOS!$D$26,"MANEJO DEL DOLOR Y CUIDADOS PALIATIVOS",IF(P222=CURSOS!$D$27,"TOMA DE MUESTRAS Y LABORATORIO POCT",IF(P222=CURSOS!$D$28,"IMPLANTE SUBDERMICO DE DISPOSITIVO INTRAUTERINO",IF(P222=CURSOS!$D$29,"SALUD MENTAL",IF(P222=CURSOS!$D$30,"PRIMEROS AUXILIOS PSICOLOGICOS",IF(P222=CURSOS!$D$31,"ATENCION A VICTIMAS POR CONFLICTO ARMADO",IF(P222=CURSOS!$D$32,"MANIPULACION DE ALIMENTOS Y BPM",IF(P222=CURSOS!$D$33,"ATENCION A PERSONAS CON DISCAPACIDAD",IF(P222=CURSOS!$D$34,"CUIDADO INTEGRAL DEL PACIENTE ADULTO",IF(P222=CURSOS!$D$35,"MANEJO DEFENSIVO",IF(P222=CURSOS!$D$36,"SOPORTE CARDIOVASCULAR AVANZADO NEONATAL",IF(P222=CURSOS!$D$37,"SEGURIDAD DEL PACIENTE",IF(P222=CURSOS!$D$38,"MANEJO DE RESIDUOS HOSPITALARIOS"))))))))))))))))))))))))))))))))))))</f>
        <v>0</v>
      </c>
      <c r="W222" s="65" t="str">
        <f t="shared" si="15"/>
        <v xml:space="preserve">   </v>
      </c>
      <c r="X222" s="65" t="str">
        <f t="shared" si="16"/>
        <v xml:space="preserve">   </v>
      </c>
      <c r="Y222" s="65" t="str">
        <f t="shared" si="17"/>
        <v xml:space="preserve">   --</v>
      </c>
    </row>
    <row r="223" spans="1:25" x14ac:dyDescent="0.2">
      <c r="A223" s="59">
        <v>222</v>
      </c>
      <c r="I223" s="44"/>
      <c r="J223" s="44"/>
      <c r="Q223" s="44"/>
      <c r="U223" s="40"/>
      <c r="V223" s="65" t="b">
        <f>IF(P223=CURSOS!$D$3,"DIPLOMADO EN ATENCION PRE-HOSPITALARIA",IF(P223=CURSOS!$D$4,"ACOMPAÑAMIENTO Y MANEJO DEL DUELO",IF(P223=CURSOS!$D$5,"ATENCION A VICTIMAS DE ATAQUE CON AGENTES QUIMICOS ",IF(P223=CURSOS!$D$6,"PRIMEROS AUXILIOS ",IF(P223=CURSOS!$D$7,"DIPLOMADO DE UNIDAD DE CUIDADOS INTENSIVOS (UCI)",IF(P223=CURSOS!$D$8,"MODELO DE ATENCION PARA EVENTOS EMERGENTES EN SALUD MENTAL (CODIGO VERDE)",IF(P223=CURSOS!$D$9,"HUMANIZACION EN EL SERVICIO DE LA SALUD Y BUENAS PRACTICAS EN PACIENTE ",IF(P223=CURSOS!$D$10,"CLINICA DE HERIDAS ",IF(P223=CURSOS!$D$11,"TOMA DE CITOLOGIA CERVICO VAGINAL ",IF(P223=CURSOS!$D$12,"SOPORTE CARDIOVASCULAR AVANZADO (ACLS) ",IF(P223=CURSOS!$D$13,"CAMILLERO ",IF(P223=CURSOS!$D$14,"TOMA DE MUESTRAS Y LABORATORIO ",IF(P223=CURSOS!$D$15,"SOPORTE VITAL BASICO (BLS)",IF(P223=CURSOS!$D$16,"ATENCION A VICTIMAS DE VIOLENCIA SEXUAL ",IF(P223=CURSOS!$D$17,"PROGRAMADO AMPLIADO DE INMUNIZACION (PAI - COVID 19)",IF(P223=CURSOS!$D$18,"ATENCION INTEGRAL EN ENFERMEDADES PREVALENTES EN PRIMERA INFANCIA (AIEPI)",IF(P223=CURSOS!$D$19,"ADMINISTRACION DE MEDICAMENTOS, INYECTOLOGIA  Y CANALIZACION ",IF(P223=CURSOS!$D$20,"OPERADOR DE VEHICULOS DE EMERGENCIA (OVE)",IF(P223=CURSOS!$D$21,"INSTITUCIONES AMIGAS DE LA MUJER Y LA INFANCIA (IAMI)",IF(P223=CURSOS!$D$22,"CUIDADO DEL DONANTE DE ORGANOS",IF(P223=CURSOS!$D$23,"ATENCION A VICTIMAS POR VIOLENCIA DE GENERO",IF(P223=CURSOS!$D$24,"IGUALDAD DE GENERO EN LA SALUD",IF(P223=CURSOS!$D$25,"BRIGADA DE EMERGENCIA",IF(P223=CURSOS!$D$26,"MANEJO DEL DOLOR Y CUIDADOS PALIATIVOS",IF(P223=CURSOS!$D$27,"TOMA DE MUESTRAS Y LABORATORIO POCT",IF(P223=CURSOS!$D$28,"IMPLANTE SUBDERMICO DE DISPOSITIVO INTRAUTERINO",IF(P223=CURSOS!$D$29,"SALUD MENTAL",IF(P223=CURSOS!$D$30,"PRIMEROS AUXILIOS PSICOLOGICOS",IF(P223=CURSOS!$D$31,"ATENCION A VICTIMAS POR CONFLICTO ARMADO",IF(P223=CURSOS!$D$32,"MANIPULACION DE ALIMENTOS Y BPM",IF(P223=CURSOS!$D$33,"ATENCION A PERSONAS CON DISCAPACIDAD",IF(P223=CURSOS!$D$34,"CUIDADO INTEGRAL DEL PACIENTE ADULTO",IF(P223=CURSOS!$D$35,"MANEJO DEFENSIVO",IF(P223=CURSOS!$D$36,"SOPORTE CARDIOVASCULAR AVANZADO NEONATAL",IF(P223=CURSOS!$D$37,"SEGURIDAD DEL PACIENTE",IF(P223=CURSOS!$D$38,"MANEJO DE RESIDUOS HOSPITALARIOS"))))))))))))))))))))))))))))))))))))</f>
        <v>0</v>
      </c>
      <c r="W223" s="65" t="str">
        <f t="shared" si="15"/>
        <v xml:space="preserve">   </v>
      </c>
      <c r="X223" s="65" t="str">
        <f t="shared" si="16"/>
        <v xml:space="preserve">   </v>
      </c>
      <c r="Y223" s="65" t="str">
        <f t="shared" si="17"/>
        <v xml:space="preserve">   --</v>
      </c>
    </row>
    <row r="224" spans="1:25" x14ac:dyDescent="0.2">
      <c r="A224" s="59">
        <v>223</v>
      </c>
      <c r="I224" s="44"/>
      <c r="J224" s="44"/>
      <c r="Q224" s="44"/>
      <c r="U224" s="40"/>
      <c r="V224" s="65" t="b">
        <f>IF(P224=CURSOS!$D$3,"DIPLOMADO EN ATENCION PRE-HOSPITALARIA",IF(P224=CURSOS!$D$4,"ACOMPAÑAMIENTO Y MANEJO DEL DUELO",IF(P224=CURSOS!$D$5,"ATENCION A VICTIMAS DE ATAQUE CON AGENTES QUIMICOS ",IF(P224=CURSOS!$D$6,"PRIMEROS AUXILIOS ",IF(P224=CURSOS!$D$7,"DIPLOMADO DE UNIDAD DE CUIDADOS INTENSIVOS (UCI)",IF(P224=CURSOS!$D$8,"MODELO DE ATENCION PARA EVENTOS EMERGENTES EN SALUD MENTAL (CODIGO VERDE)",IF(P224=CURSOS!$D$9,"HUMANIZACION EN EL SERVICIO DE LA SALUD Y BUENAS PRACTICAS EN PACIENTE ",IF(P224=CURSOS!$D$10,"CLINICA DE HERIDAS ",IF(P224=CURSOS!$D$11,"TOMA DE CITOLOGIA CERVICO VAGINAL ",IF(P224=CURSOS!$D$12,"SOPORTE CARDIOVASCULAR AVANZADO (ACLS) ",IF(P224=CURSOS!$D$13,"CAMILLERO ",IF(P224=CURSOS!$D$14,"TOMA DE MUESTRAS Y LABORATORIO ",IF(P224=CURSOS!$D$15,"SOPORTE VITAL BASICO (BLS)",IF(P224=CURSOS!$D$16,"ATENCION A VICTIMAS DE VIOLENCIA SEXUAL ",IF(P224=CURSOS!$D$17,"PROGRAMADO AMPLIADO DE INMUNIZACION (PAI - COVID 19)",IF(P224=CURSOS!$D$18,"ATENCION INTEGRAL EN ENFERMEDADES PREVALENTES EN PRIMERA INFANCIA (AIEPI)",IF(P224=CURSOS!$D$19,"ADMINISTRACION DE MEDICAMENTOS, INYECTOLOGIA  Y CANALIZACION ",IF(P224=CURSOS!$D$20,"OPERADOR DE VEHICULOS DE EMERGENCIA (OVE)",IF(P224=CURSOS!$D$21,"INSTITUCIONES AMIGAS DE LA MUJER Y LA INFANCIA (IAMI)",IF(P224=CURSOS!$D$22,"CUIDADO DEL DONANTE DE ORGANOS",IF(P224=CURSOS!$D$23,"ATENCION A VICTIMAS POR VIOLENCIA DE GENERO",IF(P224=CURSOS!$D$24,"IGUALDAD DE GENERO EN LA SALUD",IF(P224=CURSOS!$D$25,"BRIGADA DE EMERGENCIA",IF(P224=CURSOS!$D$26,"MANEJO DEL DOLOR Y CUIDADOS PALIATIVOS",IF(P224=CURSOS!$D$27,"TOMA DE MUESTRAS Y LABORATORIO POCT",IF(P224=CURSOS!$D$28,"IMPLANTE SUBDERMICO DE DISPOSITIVO INTRAUTERINO",IF(P224=CURSOS!$D$29,"SALUD MENTAL",IF(P224=CURSOS!$D$30,"PRIMEROS AUXILIOS PSICOLOGICOS",IF(P224=CURSOS!$D$31,"ATENCION A VICTIMAS POR CONFLICTO ARMADO",IF(P224=CURSOS!$D$32,"MANIPULACION DE ALIMENTOS Y BPM",IF(P224=CURSOS!$D$33,"ATENCION A PERSONAS CON DISCAPACIDAD",IF(P224=CURSOS!$D$34,"CUIDADO INTEGRAL DEL PACIENTE ADULTO",IF(P224=CURSOS!$D$35,"MANEJO DEFENSIVO",IF(P224=CURSOS!$D$36,"SOPORTE CARDIOVASCULAR AVANZADO NEONATAL",IF(P224=CURSOS!$D$37,"SEGURIDAD DEL PACIENTE",IF(P224=CURSOS!$D$38,"MANEJO DE RESIDUOS HOSPITALARIOS"))))))))))))))))))))))))))))))))))))</f>
        <v>0</v>
      </c>
      <c r="W224" s="65" t="str">
        <f t="shared" si="15"/>
        <v xml:space="preserve">   </v>
      </c>
      <c r="X224" s="65" t="str">
        <f t="shared" si="16"/>
        <v xml:space="preserve">   </v>
      </c>
      <c r="Y224" s="65" t="str">
        <f t="shared" si="17"/>
        <v xml:space="preserve">   --</v>
      </c>
    </row>
    <row r="225" spans="1:25" x14ac:dyDescent="0.2">
      <c r="A225" s="59">
        <v>224</v>
      </c>
      <c r="I225" s="44"/>
      <c r="J225" s="44"/>
      <c r="Q225" s="44"/>
      <c r="U225" s="40"/>
      <c r="V225" s="65" t="b">
        <f>IF(P225=CURSOS!$D$3,"DIPLOMADO EN ATENCION PRE-HOSPITALARIA",IF(P225=CURSOS!$D$4,"ACOMPAÑAMIENTO Y MANEJO DEL DUELO",IF(P225=CURSOS!$D$5,"ATENCION A VICTIMAS DE ATAQUE CON AGENTES QUIMICOS ",IF(P225=CURSOS!$D$6,"PRIMEROS AUXILIOS ",IF(P225=CURSOS!$D$7,"DIPLOMADO DE UNIDAD DE CUIDADOS INTENSIVOS (UCI)",IF(P225=CURSOS!$D$8,"MODELO DE ATENCION PARA EVENTOS EMERGENTES EN SALUD MENTAL (CODIGO VERDE)",IF(P225=CURSOS!$D$9,"HUMANIZACION EN EL SERVICIO DE LA SALUD Y BUENAS PRACTICAS EN PACIENTE ",IF(P225=CURSOS!$D$10,"CLINICA DE HERIDAS ",IF(P225=CURSOS!$D$11,"TOMA DE CITOLOGIA CERVICO VAGINAL ",IF(P225=CURSOS!$D$12,"SOPORTE CARDIOVASCULAR AVANZADO (ACLS) ",IF(P225=CURSOS!$D$13,"CAMILLERO ",IF(P225=CURSOS!$D$14,"TOMA DE MUESTRAS Y LABORATORIO ",IF(P225=CURSOS!$D$15,"SOPORTE VITAL BASICO (BLS)",IF(P225=CURSOS!$D$16,"ATENCION A VICTIMAS DE VIOLENCIA SEXUAL ",IF(P225=CURSOS!$D$17,"PROGRAMADO AMPLIADO DE INMUNIZACION (PAI - COVID 19)",IF(P225=CURSOS!$D$18,"ATENCION INTEGRAL EN ENFERMEDADES PREVALENTES EN PRIMERA INFANCIA (AIEPI)",IF(P225=CURSOS!$D$19,"ADMINISTRACION DE MEDICAMENTOS, INYECTOLOGIA  Y CANALIZACION ",IF(P225=CURSOS!$D$20,"OPERADOR DE VEHICULOS DE EMERGENCIA (OVE)",IF(P225=CURSOS!$D$21,"INSTITUCIONES AMIGAS DE LA MUJER Y LA INFANCIA (IAMI)",IF(P225=CURSOS!$D$22,"CUIDADO DEL DONANTE DE ORGANOS",IF(P225=CURSOS!$D$23,"ATENCION A VICTIMAS POR VIOLENCIA DE GENERO",IF(P225=CURSOS!$D$24,"IGUALDAD DE GENERO EN LA SALUD",IF(P225=CURSOS!$D$25,"BRIGADA DE EMERGENCIA",IF(P225=CURSOS!$D$26,"MANEJO DEL DOLOR Y CUIDADOS PALIATIVOS",IF(P225=CURSOS!$D$27,"TOMA DE MUESTRAS Y LABORATORIO POCT",IF(P225=CURSOS!$D$28,"IMPLANTE SUBDERMICO DE DISPOSITIVO INTRAUTERINO",IF(P225=CURSOS!$D$29,"SALUD MENTAL",IF(P225=CURSOS!$D$30,"PRIMEROS AUXILIOS PSICOLOGICOS",IF(P225=CURSOS!$D$31,"ATENCION A VICTIMAS POR CONFLICTO ARMADO",IF(P225=CURSOS!$D$32,"MANIPULACION DE ALIMENTOS Y BPM",IF(P225=CURSOS!$D$33,"ATENCION A PERSONAS CON DISCAPACIDAD",IF(P225=CURSOS!$D$34,"CUIDADO INTEGRAL DEL PACIENTE ADULTO",IF(P225=CURSOS!$D$35,"MANEJO DEFENSIVO",IF(P225=CURSOS!$D$36,"SOPORTE CARDIOVASCULAR AVANZADO NEONATAL",IF(P225=CURSOS!$D$37,"SEGURIDAD DEL PACIENTE",IF(P225=CURSOS!$D$38,"MANEJO DE RESIDUOS HOSPITALARIOS"))))))))))))))))))))))))))))))))))))</f>
        <v>0</v>
      </c>
      <c r="W225" s="65" t="str">
        <f t="shared" si="15"/>
        <v xml:space="preserve">   </v>
      </c>
      <c r="X225" s="65" t="str">
        <f t="shared" si="16"/>
        <v xml:space="preserve">   </v>
      </c>
      <c r="Y225" s="65" t="str">
        <f t="shared" si="17"/>
        <v xml:space="preserve">   --</v>
      </c>
    </row>
    <row r="226" spans="1:25" x14ac:dyDescent="0.2">
      <c r="A226" s="59">
        <v>225</v>
      </c>
      <c r="I226" s="44"/>
      <c r="J226" s="44"/>
      <c r="Q226" s="44"/>
      <c r="U226" s="40"/>
      <c r="V226" s="65" t="b">
        <f>IF(P226=CURSOS!$D$3,"DIPLOMADO EN ATENCION PRE-HOSPITALARIA",IF(P226=CURSOS!$D$4,"ACOMPAÑAMIENTO Y MANEJO DEL DUELO",IF(P226=CURSOS!$D$5,"ATENCION A VICTIMAS DE ATAQUE CON AGENTES QUIMICOS ",IF(P226=CURSOS!$D$6,"PRIMEROS AUXILIOS ",IF(P226=CURSOS!$D$7,"DIPLOMADO DE UNIDAD DE CUIDADOS INTENSIVOS (UCI)",IF(P226=CURSOS!$D$8,"MODELO DE ATENCION PARA EVENTOS EMERGENTES EN SALUD MENTAL (CODIGO VERDE)",IF(P226=CURSOS!$D$9,"HUMANIZACION EN EL SERVICIO DE LA SALUD Y BUENAS PRACTICAS EN PACIENTE ",IF(P226=CURSOS!$D$10,"CLINICA DE HERIDAS ",IF(P226=CURSOS!$D$11,"TOMA DE CITOLOGIA CERVICO VAGINAL ",IF(P226=CURSOS!$D$12,"SOPORTE CARDIOVASCULAR AVANZADO (ACLS) ",IF(P226=CURSOS!$D$13,"CAMILLERO ",IF(P226=CURSOS!$D$14,"TOMA DE MUESTRAS Y LABORATORIO ",IF(P226=CURSOS!$D$15,"SOPORTE VITAL BASICO (BLS)",IF(P226=CURSOS!$D$16,"ATENCION A VICTIMAS DE VIOLENCIA SEXUAL ",IF(P226=CURSOS!$D$17,"PROGRAMADO AMPLIADO DE INMUNIZACION (PAI - COVID 19)",IF(P226=CURSOS!$D$18,"ATENCION INTEGRAL EN ENFERMEDADES PREVALENTES EN PRIMERA INFANCIA (AIEPI)",IF(P226=CURSOS!$D$19,"ADMINISTRACION DE MEDICAMENTOS, INYECTOLOGIA  Y CANALIZACION ",IF(P226=CURSOS!$D$20,"OPERADOR DE VEHICULOS DE EMERGENCIA (OVE)",IF(P226=CURSOS!$D$21,"INSTITUCIONES AMIGAS DE LA MUJER Y LA INFANCIA (IAMI)",IF(P226=CURSOS!$D$22,"CUIDADO DEL DONANTE DE ORGANOS",IF(P226=CURSOS!$D$23,"ATENCION A VICTIMAS POR VIOLENCIA DE GENERO",IF(P226=CURSOS!$D$24,"IGUALDAD DE GENERO EN LA SALUD",IF(P226=CURSOS!$D$25,"BRIGADA DE EMERGENCIA",IF(P226=CURSOS!$D$26,"MANEJO DEL DOLOR Y CUIDADOS PALIATIVOS",IF(P226=CURSOS!$D$27,"TOMA DE MUESTRAS Y LABORATORIO POCT",IF(P226=CURSOS!$D$28,"IMPLANTE SUBDERMICO DE DISPOSITIVO INTRAUTERINO",IF(P226=CURSOS!$D$29,"SALUD MENTAL",IF(P226=CURSOS!$D$30,"PRIMEROS AUXILIOS PSICOLOGICOS",IF(P226=CURSOS!$D$31,"ATENCION A VICTIMAS POR CONFLICTO ARMADO",IF(P226=CURSOS!$D$32,"MANIPULACION DE ALIMENTOS Y BPM",IF(P226=CURSOS!$D$33,"ATENCION A PERSONAS CON DISCAPACIDAD",IF(P226=CURSOS!$D$34,"CUIDADO INTEGRAL DEL PACIENTE ADULTO",IF(P226=CURSOS!$D$35,"MANEJO DEFENSIVO",IF(P226=CURSOS!$D$36,"SOPORTE CARDIOVASCULAR AVANZADO NEONATAL",IF(P226=CURSOS!$D$37,"SEGURIDAD DEL PACIENTE",IF(P226=CURSOS!$D$38,"MANEJO DE RESIDUOS HOSPITALARIOS"))))))))))))))))))))))))))))))))))))</f>
        <v>0</v>
      </c>
      <c r="W226" s="65" t="str">
        <f t="shared" si="15"/>
        <v xml:space="preserve">   </v>
      </c>
      <c r="X226" s="65" t="str">
        <f t="shared" si="16"/>
        <v xml:space="preserve">   </v>
      </c>
      <c r="Y226" s="65" t="str">
        <f t="shared" si="17"/>
        <v xml:space="preserve">   --</v>
      </c>
    </row>
    <row r="227" spans="1:25" x14ac:dyDescent="0.2">
      <c r="A227" s="59">
        <v>226</v>
      </c>
      <c r="I227" s="44"/>
      <c r="J227" s="44"/>
      <c r="Q227" s="44"/>
      <c r="U227" s="40"/>
      <c r="V227" s="65" t="b">
        <f>IF(P227=CURSOS!$D$3,"DIPLOMADO EN ATENCION PRE-HOSPITALARIA",IF(P227=CURSOS!$D$4,"ACOMPAÑAMIENTO Y MANEJO DEL DUELO",IF(P227=CURSOS!$D$5,"ATENCION A VICTIMAS DE ATAQUE CON AGENTES QUIMICOS ",IF(P227=CURSOS!$D$6,"PRIMEROS AUXILIOS ",IF(P227=CURSOS!$D$7,"DIPLOMADO DE UNIDAD DE CUIDADOS INTENSIVOS (UCI)",IF(P227=CURSOS!$D$8,"MODELO DE ATENCION PARA EVENTOS EMERGENTES EN SALUD MENTAL (CODIGO VERDE)",IF(P227=CURSOS!$D$9,"HUMANIZACION EN EL SERVICIO DE LA SALUD Y BUENAS PRACTICAS EN PACIENTE ",IF(P227=CURSOS!$D$10,"CLINICA DE HERIDAS ",IF(P227=CURSOS!$D$11,"TOMA DE CITOLOGIA CERVICO VAGINAL ",IF(P227=CURSOS!$D$12,"SOPORTE CARDIOVASCULAR AVANZADO (ACLS) ",IF(P227=CURSOS!$D$13,"CAMILLERO ",IF(P227=CURSOS!$D$14,"TOMA DE MUESTRAS Y LABORATORIO ",IF(P227=CURSOS!$D$15,"SOPORTE VITAL BASICO (BLS)",IF(P227=CURSOS!$D$16,"ATENCION A VICTIMAS DE VIOLENCIA SEXUAL ",IF(P227=CURSOS!$D$17,"PROGRAMADO AMPLIADO DE INMUNIZACION (PAI - COVID 19)",IF(P227=CURSOS!$D$18,"ATENCION INTEGRAL EN ENFERMEDADES PREVALENTES EN PRIMERA INFANCIA (AIEPI)",IF(P227=CURSOS!$D$19,"ADMINISTRACION DE MEDICAMENTOS, INYECTOLOGIA  Y CANALIZACION ",IF(P227=CURSOS!$D$20,"OPERADOR DE VEHICULOS DE EMERGENCIA (OVE)",IF(P227=CURSOS!$D$21,"INSTITUCIONES AMIGAS DE LA MUJER Y LA INFANCIA (IAMI)",IF(P227=CURSOS!$D$22,"CUIDADO DEL DONANTE DE ORGANOS",IF(P227=CURSOS!$D$23,"ATENCION A VICTIMAS POR VIOLENCIA DE GENERO",IF(P227=CURSOS!$D$24,"IGUALDAD DE GENERO EN LA SALUD",IF(P227=CURSOS!$D$25,"BRIGADA DE EMERGENCIA",IF(P227=CURSOS!$D$26,"MANEJO DEL DOLOR Y CUIDADOS PALIATIVOS",IF(P227=CURSOS!$D$27,"TOMA DE MUESTRAS Y LABORATORIO POCT",IF(P227=CURSOS!$D$28,"IMPLANTE SUBDERMICO DE DISPOSITIVO INTRAUTERINO",IF(P227=CURSOS!$D$29,"SALUD MENTAL",IF(P227=CURSOS!$D$30,"PRIMEROS AUXILIOS PSICOLOGICOS",IF(P227=CURSOS!$D$31,"ATENCION A VICTIMAS POR CONFLICTO ARMADO",IF(P227=CURSOS!$D$32,"MANIPULACION DE ALIMENTOS Y BPM",IF(P227=CURSOS!$D$33,"ATENCION A PERSONAS CON DISCAPACIDAD",IF(P227=CURSOS!$D$34,"CUIDADO INTEGRAL DEL PACIENTE ADULTO",IF(P227=CURSOS!$D$35,"MANEJO DEFENSIVO",IF(P227=CURSOS!$D$36,"SOPORTE CARDIOVASCULAR AVANZADO NEONATAL",IF(P227=CURSOS!$D$37,"SEGURIDAD DEL PACIENTE",IF(P227=CURSOS!$D$38,"MANEJO DE RESIDUOS HOSPITALARIOS"))))))))))))))))))))))))))))))))))))</f>
        <v>0</v>
      </c>
      <c r="W227" s="65" t="str">
        <f t="shared" si="15"/>
        <v xml:space="preserve">   </v>
      </c>
      <c r="X227" s="65" t="str">
        <f t="shared" si="16"/>
        <v xml:space="preserve">   </v>
      </c>
      <c r="Y227" s="65" t="str">
        <f t="shared" si="17"/>
        <v xml:space="preserve">   --</v>
      </c>
    </row>
    <row r="228" spans="1:25" x14ac:dyDescent="0.2">
      <c r="A228" s="59">
        <v>227</v>
      </c>
      <c r="I228" s="44"/>
      <c r="J228" s="44"/>
      <c r="Q228" s="44"/>
      <c r="U228" s="40"/>
      <c r="V228" s="65" t="b">
        <f>IF(P228=CURSOS!$D$3,"DIPLOMADO EN ATENCION PRE-HOSPITALARIA",IF(P228=CURSOS!$D$4,"ACOMPAÑAMIENTO Y MANEJO DEL DUELO",IF(P228=CURSOS!$D$5,"ATENCION A VICTIMAS DE ATAQUE CON AGENTES QUIMICOS ",IF(P228=CURSOS!$D$6,"PRIMEROS AUXILIOS ",IF(P228=CURSOS!$D$7,"DIPLOMADO DE UNIDAD DE CUIDADOS INTENSIVOS (UCI)",IF(P228=CURSOS!$D$8,"MODELO DE ATENCION PARA EVENTOS EMERGENTES EN SALUD MENTAL (CODIGO VERDE)",IF(P228=CURSOS!$D$9,"HUMANIZACION EN EL SERVICIO DE LA SALUD Y BUENAS PRACTICAS EN PACIENTE ",IF(P228=CURSOS!$D$10,"CLINICA DE HERIDAS ",IF(P228=CURSOS!$D$11,"TOMA DE CITOLOGIA CERVICO VAGINAL ",IF(P228=CURSOS!$D$12,"SOPORTE CARDIOVASCULAR AVANZADO (ACLS) ",IF(P228=CURSOS!$D$13,"CAMILLERO ",IF(P228=CURSOS!$D$14,"TOMA DE MUESTRAS Y LABORATORIO ",IF(P228=CURSOS!$D$15,"SOPORTE VITAL BASICO (BLS)",IF(P228=CURSOS!$D$16,"ATENCION A VICTIMAS DE VIOLENCIA SEXUAL ",IF(P228=CURSOS!$D$17,"PROGRAMADO AMPLIADO DE INMUNIZACION (PAI - COVID 19)",IF(P228=CURSOS!$D$18,"ATENCION INTEGRAL EN ENFERMEDADES PREVALENTES EN PRIMERA INFANCIA (AIEPI)",IF(P228=CURSOS!$D$19,"ADMINISTRACION DE MEDICAMENTOS, INYECTOLOGIA  Y CANALIZACION ",IF(P228=CURSOS!$D$20,"OPERADOR DE VEHICULOS DE EMERGENCIA (OVE)",IF(P228=CURSOS!$D$21,"INSTITUCIONES AMIGAS DE LA MUJER Y LA INFANCIA (IAMI)",IF(P228=CURSOS!$D$22,"CUIDADO DEL DONANTE DE ORGANOS",IF(P228=CURSOS!$D$23,"ATENCION A VICTIMAS POR VIOLENCIA DE GENERO",IF(P228=CURSOS!$D$24,"IGUALDAD DE GENERO EN LA SALUD",IF(P228=CURSOS!$D$25,"BRIGADA DE EMERGENCIA",IF(P228=CURSOS!$D$26,"MANEJO DEL DOLOR Y CUIDADOS PALIATIVOS",IF(P228=CURSOS!$D$27,"TOMA DE MUESTRAS Y LABORATORIO POCT",IF(P228=CURSOS!$D$28,"IMPLANTE SUBDERMICO DE DISPOSITIVO INTRAUTERINO",IF(P228=CURSOS!$D$29,"SALUD MENTAL",IF(P228=CURSOS!$D$30,"PRIMEROS AUXILIOS PSICOLOGICOS",IF(P228=CURSOS!$D$31,"ATENCION A VICTIMAS POR CONFLICTO ARMADO",IF(P228=CURSOS!$D$32,"MANIPULACION DE ALIMENTOS Y BPM",IF(P228=CURSOS!$D$33,"ATENCION A PERSONAS CON DISCAPACIDAD",IF(P228=CURSOS!$D$34,"CUIDADO INTEGRAL DEL PACIENTE ADULTO",IF(P228=CURSOS!$D$35,"MANEJO DEFENSIVO",IF(P228=CURSOS!$D$36,"SOPORTE CARDIOVASCULAR AVANZADO NEONATAL",IF(P228=CURSOS!$D$37,"SEGURIDAD DEL PACIENTE",IF(P228=CURSOS!$D$38,"MANEJO DE RESIDUOS HOSPITALARIOS"))))))))))))))))))))))))))))))))))))</f>
        <v>0</v>
      </c>
      <c r="W228" s="65" t="str">
        <f t="shared" si="15"/>
        <v xml:space="preserve">   </v>
      </c>
      <c r="X228" s="65" t="str">
        <f t="shared" si="16"/>
        <v xml:space="preserve">   </v>
      </c>
      <c r="Y228" s="65" t="str">
        <f t="shared" si="17"/>
        <v xml:space="preserve">   --</v>
      </c>
    </row>
    <row r="229" spans="1:25" x14ac:dyDescent="0.2">
      <c r="A229" s="59">
        <v>228</v>
      </c>
      <c r="I229" s="44"/>
      <c r="J229" s="44"/>
      <c r="Q229" s="44"/>
      <c r="S229" s="47"/>
      <c r="U229" s="40"/>
      <c r="V229" s="65" t="b">
        <f>IF(P229=CURSOS!$D$3,"DIPLOMADO EN ATENCION PRE-HOSPITALARIA",IF(P229=CURSOS!$D$4,"ACOMPAÑAMIENTO Y MANEJO DEL DUELO",IF(P229=CURSOS!$D$5,"ATENCION A VICTIMAS DE ATAQUE CON AGENTES QUIMICOS ",IF(P229=CURSOS!$D$6,"PRIMEROS AUXILIOS ",IF(P229=CURSOS!$D$7,"DIPLOMADO DE UNIDAD DE CUIDADOS INTENSIVOS (UCI)",IF(P229=CURSOS!$D$8,"MODELO DE ATENCION PARA EVENTOS EMERGENTES EN SALUD MENTAL (CODIGO VERDE)",IF(P229=CURSOS!$D$9,"HUMANIZACION EN EL SERVICIO DE LA SALUD Y BUENAS PRACTICAS EN PACIENTE ",IF(P229=CURSOS!$D$10,"CLINICA DE HERIDAS ",IF(P229=CURSOS!$D$11,"TOMA DE CITOLOGIA CERVICO VAGINAL ",IF(P229=CURSOS!$D$12,"SOPORTE CARDIOVASCULAR AVANZADO (ACLS) ",IF(P229=CURSOS!$D$13,"CAMILLERO ",IF(P229=CURSOS!$D$14,"TOMA DE MUESTRAS Y LABORATORIO ",IF(P229=CURSOS!$D$15,"SOPORTE VITAL BASICO (BLS)",IF(P229=CURSOS!$D$16,"ATENCION A VICTIMAS DE VIOLENCIA SEXUAL ",IF(P229=CURSOS!$D$17,"PROGRAMADO AMPLIADO DE INMUNIZACION (PAI - COVID 19)",IF(P229=CURSOS!$D$18,"ATENCION INTEGRAL EN ENFERMEDADES PREVALENTES EN PRIMERA INFANCIA (AIEPI)",IF(P229=CURSOS!$D$19,"ADMINISTRACION DE MEDICAMENTOS, INYECTOLOGIA  Y CANALIZACION ",IF(P229=CURSOS!$D$20,"OPERADOR DE VEHICULOS DE EMERGENCIA (OVE)",IF(P229=CURSOS!$D$21,"INSTITUCIONES AMIGAS DE LA MUJER Y LA INFANCIA (IAMI)",IF(P229=CURSOS!$D$22,"CUIDADO DEL DONANTE DE ORGANOS",IF(P229=CURSOS!$D$23,"ATENCION A VICTIMAS POR VIOLENCIA DE GENERO",IF(P229=CURSOS!$D$24,"IGUALDAD DE GENERO EN LA SALUD",IF(P229=CURSOS!$D$25,"BRIGADA DE EMERGENCIA",IF(P229=CURSOS!$D$26,"MANEJO DEL DOLOR Y CUIDADOS PALIATIVOS",IF(P229=CURSOS!$D$27,"TOMA DE MUESTRAS Y LABORATORIO POCT",IF(P229=CURSOS!$D$28,"IMPLANTE SUBDERMICO DE DISPOSITIVO INTRAUTERINO",IF(P229=CURSOS!$D$29,"SALUD MENTAL",IF(P229=CURSOS!$D$30,"PRIMEROS AUXILIOS PSICOLOGICOS",IF(P229=CURSOS!$D$31,"ATENCION A VICTIMAS POR CONFLICTO ARMADO",IF(P229=CURSOS!$D$32,"MANIPULACION DE ALIMENTOS Y BPM",IF(P229=CURSOS!$D$33,"ATENCION A PERSONAS CON DISCAPACIDAD",IF(P229=CURSOS!$D$34,"CUIDADO INTEGRAL DEL PACIENTE ADULTO",IF(P229=CURSOS!$D$35,"MANEJO DEFENSIVO",IF(P229=CURSOS!$D$36,"SOPORTE CARDIOVASCULAR AVANZADO NEONATAL",IF(P229=CURSOS!$D$37,"SEGURIDAD DEL PACIENTE",IF(P229=CURSOS!$D$38,"MANEJO DE RESIDUOS HOSPITALARIOS"))))))))))))))))))))))))))))))))))))</f>
        <v>0</v>
      </c>
      <c r="W229" s="65" t="str">
        <f t="shared" si="15"/>
        <v xml:space="preserve">   </v>
      </c>
      <c r="X229" s="65" t="str">
        <f t="shared" si="16"/>
        <v xml:space="preserve">   </v>
      </c>
      <c r="Y229" s="65" t="str">
        <f t="shared" si="17"/>
        <v xml:space="preserve">   --</v>
      </c>
    </row>
    <row r="230" spans="1:25" x14ac:dyDescent="0.2">
      <c r="A230" s="59">
        <v>229</v>
      </c>
      <c r="I230" s="44"/>
      <c r="J230" s="44"/>
      <c r="Q230" s="44"/>
      <c r="S230" s="46"/>
      <c r="U230" s="40"/>
      <c r="V230" s="65" t="b">
        <f>IF(P230=CURSOS!$D$3,"DIPLOMADO EN ATENCION PRE-HOSPITALARIA",IF(P230=CURSOS!$D$4,"ACOMPAÑAMIENTO Y MANEJO DEL DUELO",IF(P230=CURSOS!$D$5,"ATENCION A VICTIMAS DE ATAQUE CON AGENTES QUIMICOS ",IF(P230=CURSOS!$D$6,"PRIMEROS AUXILIOS ",IF(P230=CURSOS!$D$7,"DIPLOMADO DE UNIDAD DE CUIDADOS INTENSIVOS (UCI)",IF(P230=CURSOS!$D$8,"MODELO DE ATENCION PARA EVENTOS EMERGENTES EN SALUD MENTAL (CODIGO VERDE)",IF(P230=CURSOS!$D$9,"HUMANIZACION EN EL SERVICIO DE LA SALUD Y BUENAS PRACTICAS EN PACIENTE ",IF(P230=CURSOS!$D$10,"CLINICA DE HERIDAS ",IF(P230=CURSOS!$D$11,"TOMA DE CITOLOGIA CERVICO VAGINAL ",IF(P230=CURSOS!$D$12,"SOPORTE CARDIOVASCULAR AVANZADO (ACLS) ",IF(P230=CURSOS!$D$13,"CAMILLERO ",IF(P230=CURSOS!$D$14,"TOMA DE MUESTRAS Y LABORATORIO ",IF(P230=CURSOS!$D$15,"SOPORTE VITAL BASICO (BLS)",IF(P230=CURSOS!$D$16,"ATENCION A VICTIMAS DE VIOLENCIA SEXUAL ",IF(P230=CURSOS!$D$17,"PROGRAMADO AMPLIADO DE INMUNIZACION (PAI - COVID 19)",IF(P230=CURSOS!$D$18,"ATENCION INTEGRAL EN ENFERMEDADES PREVALENTES EN PRIMERA INFANCIA (AIEPI)",IF(P230=CURSOS!$D$19,"ADMINISTRACION DE MEDICAMENTOS, INYECTOLOGIA  Y CANALIZACION ",IF(P230=CURSOS!$D$20,"OPERADOR DE VEHICULOS DE EMERGENCIA (OVE)",IF(P230=CURSOS!$D$21,"INSTITUCIONES AMIGAS DE LA MUJER Y LA INFANCIA (IAMI)",IF(P230=CURSOS!$D$22,"CUIDADO DEL DONANTE DE ORGANOS",IF(P230=CURSOS!$D$23,"ATENCION A VICTIMAS POR VIOLENCIA DE GENERO",IF(P230=CURSOS!$D$24,"IGUALDAD DE GENERO EN LA SALUD",IF(P230=CURSOS!$D$25,"BRIGADA DE EMERGENCIA",IF(P230=CURSOS!$D$26,"MANEJO DEL DOLOR Y CUIDADOS PALIATIVOS",IF(P230=CURSOS!$D$27,"TOMA DE MUESTRAS Y LABORATORIO POCT",IF(P230=CURSOS!$D$28,"IMPLANTE SUBDERMICO DE DISPOSITIVO INTRAUTERINO",IF(P230=CURSOS!$D$29,"SALUD MENTAL",IF(P230=CURSOS!$D$30,"PRIMEROS AUXILIOS PSICOLOGICOS",IF(P230=CURSOS!$D$31,"ATENCION A VICTIMAS POR CONFLICTO ARMADO",IF(P230=CURSOS!$D$32,"MANIPULACION DE ALIMENTOS Y BPM",IF(P230=CURSOS!$D$33,"ATENCION A PERSONAS CON DISCAPACIDAD",IF(P230=CURSOS!$D$34,"CUIDADO INTEGRAL DEL PACIENTE ADULTO",IF(P230=CURSOS!$D$35,"MANEJO DEFENSIVO",IF(P230=CURSOS!$D$36,"SOPORTE CARDIOVASCULAR AVANZADO NEONATAL",IF(P230=CURSOS!$D$37,"SEGURIDAD DEL PACIENTE",IF(P230=CURSOS!$D$38,"MANEJO DE RESIDUOS HOSPITALARIOS"))))))))))))))))))))))))))))))))))))</f>
        <v>0</v>
      </c>
      <c r="W230" s="65" t="str">
        <f t="shared" si="15"/>
        <v xml:space="preserve">   </v>
      </c>
      <c r="X230" s="65" t="str">
        <f t="shared" si="16"/>
        <v xml:space="preserve">   </v>
      </c>
      <c r="Y230" s="65" t="str">
        <f t="shared" si="17"/>
        <v xml:space="preserve">   --</v>
      </c>
    </row>
    <row r="231" spans="1:25" x14ac:dyDescent="0.2">
      <c r="A231" s="59">
        <v>230</v>
      </c>
      <c r="I231" s="44"/>
      <c r="J231" s="44"/>
      <c r="Q231" s="44"/>
      <c r="S231" s="46"/>
      <c r="U231" s="40"/>
      <c r="V231" s="65" t="b">
        <f>IF(P231=CURSOS!$D$3,"DIPLOMADO EN ATENCION PRE-HOSPITALARIA",IF(P231=CURSOS!$D$4,"ACOMPAÑAMIENTO Y MANEJO DEL DUELO",IF(P231=CURSOS!$D$5,"ATENCION A VICTIMAS DE ATAQUE CON AGENTES QUIMICOS ",IF(P231=CURSOS!$D$6,"PRIMEROS AUXILIOS ",IF(P231=CURSOS!$D$7,"DIPLOMADO DE UNIDAD DE CUIDADOS INTENSIVOS (UCI)",IF(P231=CURSOS!$D$8,"MODELO DE ATENCION PARA EVENTOS EMERGENTES EN SALUD MENTAL (CODIGO VERDE)",IF(P231=CURSOS!$D$9,"HUMANIZACION EN EL SERVICIO DE LA SALUD Y BUENAS PRACTICAS EN PACIENTE ",IF(P231=CURSOS!$D$10,"CLINICA DE HERIDAS ",IF(P231=CURSOS!$D$11,"TOMA DE CITOLOGIA CERVICO VAGINAL ",IF(P231=CURSOS!$D$12,"SOPORTE CARDIOVASCULAR AVANZADO (ACLS) ",IF(P231=CURSOS!$D$13,"CAMILLERO ",IF(P231=CURSOS!$D$14,"TOMA DE MUESTRAS Y LABORATORIO ",IF(P231=CURSOS!$D$15,"SOPORTE VITAL BASICO (BLS)",IF(P231=CURSOS!$D$16,"ATENCION A VICTIMAS DE VIOLENCIA SEXUAL ",IF(P231=CURSOS!$D$17,"PROGRAMADO AMPLIADO DE INMUNIZACION (PAI - COVID 19)",IF(P231=CURSOS!$D$18,"ATENCION INTEGRAL EN ENFERMEDADES PREVALENTES EN PRIMERA INFANCIA (AIEPI)",IF(P231=CURSOS!$D$19,"ADMINISTRACION DE MEDICAMENTOS, INYECTOLOGIA  Y CANALIZACION ",IF(P231=CURSOS!$D$20,"OPERADOR DE VEHICULOS DE EMERGENCIA (OVE)",IF(P231=CURSOS!$D$21,"INSTITUCIONES AMIGAS DE LA MUJER Y LA INFANCIA (IAMI)",IF(P231=CURSOS!$D$22,"CUIDADO DEL DONANTE DE ORGANOS",IF(P231=CURSOS!$D$23,"ATENCION A VICTIMAS POR VIOLENCIA DE GENERO",IF(P231=CURSOS!$D$24,"IGUALDAD DE GENERO EN LA SALUD",IF(P231=CURSOS!$D$25,"BRIGADA DE EMERGENCIA",IF(P231=CURSOS!$D$26,"MANEJO DEL DOLOR Y CUIDADOS PALIATIVOS",IF(P231=CURSOS!$D$27,"TOMA DE MUESTRAS Y LABORATORIO POCT",IF(P231=CURSOS!$D$28,"IMPLANTE SUBDERMICO DE DISPOSITIVO INTRAUTERINO",IF(P231=CURSOS!$D$29,"SALUD MENTAL",IF(P231=CURSOS!$D$30,"PRIMEROS AUXILIOS PSICOLOGICOS",IF(P231=CURSOS!$D$31,"ATENCION A VICTIMAS POR CONFLICTO ARMADO",IF(P231=CURSOS!$D$32,"MANIPULACION DE ALIMENTOS Y BPM",IF(P231=CURSOS!$D$33,"ATENCION A PERSONAS CON DISCAPACIDAD",IF(P231=CURSOS!$D$34,"CUIDADO INTEGRAL DEL PACIENTE ADULTO",IF(P231=CURSOS!$D$35,"MANEJO DEFENSIVO",IF(P231=CURSOS!$D$36,"SOPORTE CARDIOVASCULAR AVANZADO NEONATAL",IF(P231=CURSOS!$D$37,"SEGURIDAD DEL PACIENTE",IF(P231=CURSOS!$D$38,"MANEJO DE RESIDUOS HOSPITALARIOS"))))))))))))))))))))))))))))))))))))</f>
        <v>0</v>
      </c>
      <c r="W231" s="65" t="str">
        <f t="shared" si="15"/>
        <v xml:space="preserve">   </v>
      </c>
      <c r="X231" s="65" t="str">
        <f t="shared" si="16"/>
        <v xml:space="preserve">   </v>
      </c>
      <c r="Y231" s="65" t="str">
        <f t="shared" si="17"/>
        <v xml:space="preserve">   --</v>
      </c>
    </row>
    <row r="232" spans="1:25" x14ac:dyDescent="0.2">
      <c r="A232" s="59">
        <v>231</v>
      </c>
      <c r="Q232" s="44"/>
      <c r="V232" s="65" t="b">
        <f>IF(P232=CURSOS!$D$3,"DIPLOMADO EN ATENCION PRE-HOSPITALARIA",IF(P232=CURSOS!$D$4,"ACOMPAÑAMIENTO Y MANEJO DEL DUELO",IF(P232=CURSOS!$D$5,"ATENCION A VICTIMAS DE ATAQUE CON AGENTES QUIMICOS ",IF(P232=CURSOS!$D$6,"PRIMEROS AUXILIOS ",IF(P232=CURSOS!$D$7,"DIPLOMADO DE UNIDAD DE CUIDADOS INTENSIVOS (UCI)",IF(P232=CURSOS!$D$8,"MODELO DE ATENCION PARA EVENTOS EMERGENTES EN SALUD MENTAL (CODIGO VERDE)",IF(P232=CURSOS!$D$9,"HUMANIZACION EN EL SERVICIO DE LA SALUD Y BUENAS PRACTICAS EN PACIENTE ",IF(P232=CURSOS!$D$10,"CLINICA DE HERIDAS ",IF(P232=CURSOS!$D$11,"TOMA DE CITOLOGIA CERVICO VAGINAL ",IF(P232=CURSOS!$D$12,"SOPORTE CARDIOVASCULAR AVANZADO (ACLS) ",IF(P232=CURSOS!$D$13,"CAMILLERO ",IF(P232=CURSOS!$D$14,"TOMA DE MUESTRAS Y LABORATORIO ",IF(P232=CURSOS!$D$15,"SOPORTE VITAL BASICO (BLS)",IF(P232=CURSOS!$D$16,"ATENCION A VICTIMAS DE VIOLENCIA SEXUAL ",IF(P232=CURSOS!$D$17,"PROGRAMADO AMPLIADO DE INMUNIZACION (PAI - COVID 19)",IF(P232=CURSOS!$D$18,"ATENCION INTEGRAL EN ENFERMEDADES PREVALENTES EN PRIMERA INFANCIA (AIEPI)",IF(P232=CURSOS!$D$19,"ADMINISTRACION DE MEDICAMENTOS, INYECTOLOGIA  Y CANALIZACION ",IF(P232=CURSOS!$D$20,"OPERADOR DE VEHICULOS DE EMERGENCIA (OVE)",IF(P232=CURSOS!$D$21,"INSTITUCIONES AMIGAS DE LA MUJER Y LA INFANCIA (IAMI)",IF(P232=CURSOS!$D$22,"CUIDADO DEL DONANTE DE ORGANOS",IF(P232=CURSOS!$D$23,"ATENCION A VICTIMAS POR VIOLENCIA DE GENERO",IF(P232=CURSOS!$D$24,"IGUALDAD DE GENERO EN LA SALUD",IF(P232=CURSOS!$D$25,"BRIGADA DE EMERGENCIA",IF(P232=CURSOS!$D$26,"MANEJO DEL DOLOR Y CUIDADOS PALIATIVOS",IF(P232=CURSOS!$D$27,"TOMA DE MUESTRAS Y LABORATORIO POCT",IF(P232=CURSOS!$D$28,"IMPLANTE SUBDERMICO DE DISPOSITIVO INTRAUTERINO",IF(P232=CURSOS!$D$29,"SALUD MENTAL",IF(P232=CURSOS!$D$30,"PRIMEROS AUXILIOS PSICOLOGICOS",IF(P232=CURSOS!$D$31,"ATENCION A VICTIMAS POR CONFLICTO ARMADO",IF(P232=CURSOS!$D$32,"MANIPULACION DE ALIMENTOS Y BPM",IF(P232=CURSOS!$D$33,"ATENCION A PERSONAS CON DISCAPACIDAD",IF(P232=CURSOS!$D$34,"CUIDADO INTEGRAL DEL PACIENTE ADULTO",IF(P232=CURSOS!$D$35,"MANEJO DEFENSIVO",IF(P232=CURSOS!$D$36,"SOPORTE CARDIOVASCULAR AVANZADO NEONATAL",IF(P232=CURSOS!$D$37,"SEGURIDAD DEL PACIENTE",IF(P232=CURSOS!$D$38,"MANEJO DE RESIDUOS HOSPITALARIOS"))))))))))))))))))))))))))))))))))))</f>
        <v>0</v>
      </c>
      <c r="W232" s="65" t="str">
        <f t="shared" si="15"/>
        <v xml:space="preserve">   </v>
      </c>
      <c r="X232" s="65" t="str">
        <f t="shared" si="16"/>
        <v xml:space="preserve">   </v>
      </c>
      <c r="Y232" s="65" t="str">
        <f t="shared" si="17"/>
        <v xml:space="preserve">   --</v>
      </c>
    </row>
    <row r="233" spans="1:25" x14ac:dyDescent="0.2">
      <c r="A233" s="59">
        <v>232</v>
      </c>
      <c r="Q233" s="44"/>
      <c r="V233" s="65" t="b">
        <f>IF(P233=CURSOS!$D$3,"DIPLOMADO EN ATENCION PRE-HOSPITALARIA",IF(P233=CURSOS!$D$4,"ACOMPAÑAMIENTO Y MANEJO DEL DUELO",IF(P233=CURSOS!$D$5,"ATENCION A VICTIMAS DE ATAQUE CON AGENTES QUIMICOS ",IF(P233=CURSOS!$D$6,"PRIMEROS AUXILIOS ",IF(P233=CURSOS!$D$7,"DIPLOMADO DE UNIDAD DE CUIDADOS INTENSIVOS (UCI)",IF(P233=CURSOS!$D$8,"MODELO DE ATENCION PARA EVENTOS EMERGENTES EN SALUD MENTAL (CODIGO VERDE)",IF(P233=CURSOS!$D$9,"HUMANIZACION EN EL SERVICIO DE LA SALUD Y BUENAS PRACTICAS EN PACIENTE ",IF(P233=CURSOS!$D$10,"CLINICA DE HERIDAS ",IF(P233=CURSOS!$D$11,"TOMA DE CITOLOGIA CERVICO VAGINAL ",IF(P233=CURSOS!$D$12,"SOPORTE CARDIOVASCULAR AVANZADO (ACLS) ",IF(P233=CURSOS!$D$13,"CAMILLERO ",IF(P233=CURSOS!$D$14,"TOMA DE MUESTRAS Y LABORATORIO ",IF(P233=CURSOS!$D$15,"SOPORTE VITAL BASICO (BLS)",IF(P233=CURSOS!$D$16,"ATENCION A VICTIMAS DE VIOLENCIA SEXUAL ",IF(P233=CURSOS!$D$17,"PROGRAMADO AMPLIADO DE INMUNIZACION (PAI - COVID 19)",IF(P233=CURSOS!$D$18,"ATENCION INTEGRAL EN ENFERMEDADES PREVALENTES EN PRIMERA INFANCIA (AIEPI)",IF(P233=CURSOS!$D$19,"ADMINISTRACION DE MEDICAMENTOS, INYECTOLOGIA  Y CANALIZACION ",IF(P233=CURSOS!$D$20,"OPERADOR DE VEHICULOS DE EMERGENCIA (OVE)",IF(P233=CURSOS!$D$21,"INSTITUCIONES AMIGAS DE LA MUJER Y LA INFANCIA (IAMI)",IF(P233=CURSOS!$D$22,"CUIDADO DEL DONANTE DE ORGANOS",IF(P233=CURSOS!$D$23,"ATENCION A VICTIMAS POR VIOLENCIA DE GENERO",IF(P233=CURSOS!$D$24,"IGUALDAD DE GENERO EN LA SALUD",IF(P233=CURSOS!$D$25,"BRIGADA DE EMERGENCIA",IF(P233=CURSOS!$D$26,"MANEJO DEL DOLOR Y CUIDADOS PALIATIVOS",IF(P233=CURSOS!$D$27,"TOMA DE MUESTRAS Y LABORATORIO POCT",IF(P233=CURSOS!$D$28,"IMPLANTE SUBDERMICO DE DISPOSITIVO INTRAUTERINO",IF(P233=CURSOS!$D$29,"SALUD MENTAL",IF(P233=CURSOS!$D$30,"PRIMEROS AUXILIOS PSICOLOGICOS",IF(P233=CURSOS!$D$31,"ATENCION A VICTIMAS POR CONFLICTO ARMADO",IF(P233=CURSOS!$D$32,"MANIPULACION DE ALIMENTOS Y BPM",IF(P233=CURSOS!$D$33,"ATENCION A PERSONAS CON DISCAPACIDAD",IF(P233=CURSOS!$D$34,"CUIDADO INTEGRAL DEL PACIENTE ADULTO",IF(P233=CURSOS!$D$35,"MANEJO DEFENSIVO",IF(P233=CURSOS!$D$36,"SOPORTE CARDIOVASCULAR AVANZADO NEONATAL",IF(P233=CURSOS!$D$37,"SEGURIDAD DEL PACIENTE",IF(P233=CURSOS!$D$38,"MANEJO DE RESIDUOS HOSPITALARIOS"))))))))))))))))))))))))))))))))))))</f>
        <v>0</v>
      </c>
      <c r="W233" s="65" t="str">
        <f t="shared" si="15"/>
        <v xml:space="preserve">   </v>
      </c>
      <c r="X233" s="65" t="str">
        <f t="shared" si="16"/>
        <v xml:space="preserve">   </v>
      </c>
      <c r="Y233" s="65" t="str">
        <f t="shared" si="17"/>
        <v xml:space="preserve">   --</v>
      </c>
    </row>
    <row r="234" spans="1:25" x14ac:dyDescent="0.2">
      <c r="A234" s="59">
        <v>233</v>
      </c>
      <c r="Q234" s="44"/>
      <c r="V234" s="65" t="b">
        <f>IF(P234=CURSOS!$D$3,"DIPLOMADO EN ATENCION PRE-HOSPITALARIA",IF(P234=CURSOS!$D$4,"ACOMPAÑAMIENTO Y MANEJO DEL DUELO",IF(P234=CURSOS!$D$5,"ATENCION A VICTIMAS DE ATAQUE CON AGENTES QUIMICOS ",IF(P234=CURSOS!$D$6,"PRIMEROS AUXILIOS ",IF(P234=CURSOS!$D$7,"DIPLOMADO DE UNIDAD DE CUIDADOS INTENSIVOS (UCI)",IF(P234=CURSOS!$D$8,"MODELO DE ATENCION PARA EVENTOS EMERGENTES EN SALUD MENTAL (CODIGO VERDE)",IF(P234=CURSOS!$D$9,"HUMANIZACION EN EL SERVICIO DE LA SALUD Y BUENAS PRACTICAS EN PACIENTE ",IF(P234=CURSOS!$D$10,"CLINICA DE HERIDAS ",IF(P234=CURSOS!$D$11,"TOMA DE CITOLOGIA CERVICO VAGINAL ",IF(P234=CURSOS!$D$12,"SOPORTE CARDIOVASCULAR AVANZADO (ACLS) ",IF(P234=CURSOS!$D$13,"CAMILLERO ",IF(P234=CURSOS!$D$14,"TOMA DE MUESTRAS Y LABORATORIO ",IF(P234=CURSOS!$D$15,"SOPORTE VITAL BASICO (BLS)",IF(P234=CURSOS!$D$16,"ATENCION A VICTIMAS DE VIOLENCIA SEXUAL ",IF(P234=CURSOS!$D$17,"PROGRAMADO AMPLIADO DE INMUNIZACION (PAI - COVID 19)",IF(P234=CURSOS!$D$18,"ATENCION INTEGRAL EN ENFERMEDADES PREVALENTES EN PRIMERA INFANCIA (AIEPI)",IF(P234=CURSOS!$D$19,"ADMINISTRACION DE MEDICAMENTOS, INYECTOLOGIA  Y CANALIZACION ",IF(P234=CURSOS!$D$20,"OPERADOR DE VEHICULOS DE EMERGENCIA (OVE)",IF(P234=CURSOS!$D$21,"INSTITUCIONES AMIGAS DE LA MUJER Y LA INFANCIA (IAMI)",IF(P234=CURSOS!$D$22,"CUIDADO DEL DONANTE DE ORGANOS",IF(P234=CURSOS!$D$23,"ATENCION A VICTIMAS POR VIOLENCIA DE GENERO",IF(P234=CURSOS!$D$24,"IGUALDAD DE GENERO EN LA SALUD",IF(P234=CURSOS!$D$25,"BRIGADA DE EMERGENCIA",IF(P234=CURSOS!$D$26,"MANEJO DEL DOLOR Y CUIDADOS PALIATIVOS",IF(P234=CURSOS!$D$27,"TOMA DE MUESTRAS Y LABORATORIO POCT",IF(P234=CURSOS!$D$28,"IMPLANTE SUBDERMICO DE DISPOSITIVO INTRAUTERINO",IF(P234=CURSOS!$D$29,"SALUD MENTAL",IF(P234=CURSOS!$D$30,"PRIMEROS AUXILIOS PSICOLOGICOS",IF(P234=CURSOS!$D$31,"ATENCION A VICTIMAS POR CONFLICTO ARMADO",IF(P234=CURSOS!$D$32,"MANIPULACION DE ALIMENTOS Y BPM",IF(P234=CURSOS!$D$33,"ATENCION A PERSONAS CON DISCAPACIDAD",IF(P234=CURSOS!$D$34,"CUIDADO INTEGRAL DEL PACIENTE ADULTO",IF(P234=CURSOS!$D$35,"MANEJO DEFENSIVO",IF(P234=CURSOS!$D$36,"SOPORTE CARDIOVASCULAR AVANZADO NEONATAL",IF(P234=CURSOS!$D$37,"SEGURIDAD DEL PACIENTE",IF(P234=CURSOS!$D$38,"MANEJO DE RESIDUOS HOSPITALARIOS"))))))))))))))))))))))))))))))))))))</f>
        <v>0</v>
      </c>
      <c r="W234" s="65" t="str">
        <f t="shared" si="15"/>
        <v xml:space="preserve">   </v>
      </c>
      <c r="X234" s="65" t="str">
        <f t="shared" si="16"/>
        <v xml:space="preserve">   </v>
      </c>
      <c r="Y234" s="65" t="str">
        <f t="shared" si="17"/>
        <v xml:space="preserve">   --</v>
      </c>
    </row>
    <row r="235" spans="1:25" x14ac:dyDescent="0.2">
      <c r="A235" s="59">
        <v>234</v>
      </c>
      <c r="Q235" s="44"/>
      <c r="V235" s="65" t="b">
        <f>IF(P235=CURSOS!$D$3,"DIPLOMADO EN ATENCION PRE-HOSPITALARIA",IF(P235=CURSOS!$D$4,"ACOMPAÑAMIENTO Y MANEJO DEL DUELO",IF(P235=CURSOS!$D$5,"ATENCION A VICTIMAS DE ATAQUE CON AGENTES QUIMICOS ",IF(P235=CURSOS!$D$6,"PRIMEROS AUXILIOS ",IF(P235=CURSOS!$D$7,"DIPLOMADO DE UNIDAD DE CUIDADOS INTENSIVOS (UCI)",IF(P235=CURSOS!$D$8,"MODELO DE ATENCION PARA EVENTOS EMERGENTES EN SALUD MENTAL (CODIGO VERDE)",IF(P235=CURSOS!$D$9,"HUMANIZACION EN EL SERVICIO DE LA SALUD Y BUENAS PRACTICAS EN PACIENTE ",IF(P235=CURSOS!$D$10,"CLINICA DE HERIDAS ",IF(P235=CURSOS!$D$11,"TOMA DE CITOLOGIA CERVICO VAGINAL ",IF(P235=CURSOS!$D$12,"SOPORTE CARDIOVASCULAR AVANZADO (ACLS) ",IF(P235=CURSOS!$D$13,"CAMILLERO ",IF(P235=CURSOS!$D$14,"TOMA DE MUESTRAS Y LABORATORIO ",IF(P235=CURSOS!$D$15,"SOPORTE VITAL BASICO (BLS)",IF(P235=CURSOS!$D$16,"ATENCION A VICTIMAS DE VIOLENCIA SEXUAL ",IF(P235=CURSOS!$D$17,"PROGRAMADO AMPLIADO DE INMUNIZACION (PAI - COVID 19)",IF(P235=CURSOS!$D$18,"ATENCION INTEGRAL EN ENFERMEDADES PREVALENTES EN PRIMERA INFANCIA (AIEPI)",IF(P235=CURSOS!$D$19,"ADMINISTRACION DE MEDICAMENTOS, INYECTOLOGIA  Y CANALIZACION ",IF(P235=CURSOS!$D$20,"OPERADOR DE VEHICULOS DE EMERGENCIA (OVE)",IF(P235=CURSOS!$D$21,"INSTITUCIONES AMIGAS DE LA MUJER Y LA INFANCIA (IAMI)",IF(P235=CURSOS!$D$22,"CUIDADO DEL DONANTE DE ORGANOS",IF(P235=CURSOS!$D$23,"ATENCION A VICTIMAS POR VIOLENCIA DE GENERO",IF(P235=CURSOS!$D$24,"IGUALDAD DE GENERO EN LA SALUD",IF(P235=CURSOS!$D$25,"BRIGADA DE EMERGENCIA",IF(P235=CURSOS!$D$26,"MANEJO DEL DOLOR Y CUIDADOS PALIATIVOS",IF(P235=CURSOS!$D$27,"TOMA DE MUESTRAS Y LABORATORIO POCT",IF(P235=CURSOS!$D$28,"IMPLANTE SUBDERMICO DE DISPOSITIVO INTRAUTERINO",IF(P235=CURSOS!$D$29,"SALUD MENTAL",IF(P235=CURSOS!$D$30,"PRIMEROS AUXILIOS PSICOLOGICOS",IF(P235=CURSOS!$D$31,"ATENCION A VICTIMAS POR CONFLICTO ARMADO",IF(P235=CURSOS!$D$32,"MANIPULACION DE ALIMENTOS Y BPM",IF(P235=CURSOS!$D$33,"ATENCION A PERSONAS CON DISCAPACIDAD",IF(P235=CURSOS!$D$34,"CUIDADO INTEGRAL DEL PACIENTE ADULTO",IF(P235=CURSOS!$D$35,"MANEJO DEFENSIVO",IF(P235=CURSOS!$D$36,"SOPORTE CARDIOVASCULAR AVANZADO NEONATAL",IF(P235=CURSOS!$D$37,"SEGURIDAD DEL PACIENTE",IF(P235=CURSOS!$D$38,"MANEJO DE RESIDUOS HOSPITALARIOS"))))))))))))))))))))))))))))))))))))</f>
        <v>0</v>
      </c>
      <c r="W235" s="65" t="str">
        <f t="shared" si="15"/>
        <v xml:space="preserve">   </v>
      </c>
      <c r="X235" s="65" t="str">
        <f t="shared" si="16"/>
        <v xml:space="preserve">   </v>
      </c>
      <c r="Y235" s="65" t="str">
        <f t="shared" si="17"/>
        <v xml:space="preserve">   --</v>
      </c>
    </row>
    <row r="236" spans="1:25" x14ac:dyDescent="0.2">
      <c r="A236" s="59">
        <v>235</v>
      </c>
      <c r="Q236" s="44"/>
      <c r="V236" s="65" t="b">
        <f>IF(P236=CURSOS!$D$3,"DIPLOMADO EN ATENCION PRE-HOSPITALARIA",IF(P236=CURSOS!$D$4,"ACOMPAÑAMIENTO Y MANEJO DEL DUELO",IF(P236=CURSOS!$D$5,"ATENCION A VICTIMAS DE ATAQUE CON AGENTES QUIMICOS ",IF(P236=CURSOS!$D$6,"PRIMEROS AUXILIOS ",IF(P236=CURSOS!$D$7,"DIPLOMADO DE UNIDAD DE CUIDADOS INTENSIVOS (UCI)",IF(P236=CURSOS!$D$8,"MODELO DE ATENCION PARA EVENTOS EMERGENTES EN SALUD MENTAL (CODIGO VERDE)",IF(P236=CURSOS!$D$9,"HUMANIZACION EN EL SERVICIO DE LA SALUD Y BUENAS PRACTICAS EN PACIENTE ",IF(P236=CURSOS!$D$10,"CLINICA DE HERIDAS ",IF(P236=CURSOS!$D$11,"TOMA DE CITOLOGIA CERVICO VAGINAL ",IF(P236=CURSOS!$D$12,"SOPORTE CARDIOVASCULAR AVANZADO (ACLS) ",IF(P236=CURSOS!$D$13,"CAMILLERO ",IF(P236=CURSOS!$D$14,"TOMA DE MUESTRAS Y LABORATORIO ",IF(P236=CURSOS!$D$15,"SOPORTE VITAL BASICO (BLS)",IF(P236=CURSOS!$D$16,"ATENCION A VICTIMAS DE VIOLENCIA SEXUAL ",IF(P236=CURSOS!$D$17,"PROGRAMADO AMPLIADO DE INMUNIZACION (PAI - COVID 19)",IF(P236=CURSOS!$D$18,"ATENCION INTEGRAL EN ENFERMEDADES PREVALENTES EN PRIMERA INFANCIA (AIEPI)",IF(P236=CURSOS!$D$19,"ADMINISTRACION DE MEDICAMENTOS, INYECTOLOGIA  Y CANALIZACION ",IF(P236=CURSOS!$D$20,"OPERADOR DE VEHICULOS DE EMERGENCIA (OVE)",IF(P236=CURSOS!$D$21,"INSTITUCIONES AMIGAS DE LA MUJER Y LA INFANCIA (IAMI)",IF(P236=CURSOS!$D$22,"CUIDADO DEL DONANTE DE ORGANOS",IF(P236=CURSOS!$D$23,"ATENCION A VICTIMAS POR VIOLENCIA DE GENERO",IF(P236=CURSOS!$D$24,"IGUALDAD DE GENERO EN LA SALUD",IF(P236=CURSOS!$D$25,"BRIGADA DE EMERGENCIA",IF(P236=CURSOS!$D$26,"MANEJO DEL DOLOR Y CUIDADOS PALIATIVOS",IF(P236=CURSOS!$D$27,"TOMA DE MUESTRAS Y LABORATORIO POCT",IF(P236=CURSOS!$D$28,"IMPLANTE SUBDERMICO DE DISPOSITIVO INTRAUTERINO",IF(P236=CURSOS!$D$29,"SALUD MENTAL",IF(P236=CURSOS!$D$30,"PRIMEROS AUXILIOS PSICOLOGICOS",IF(P236=CURSOS!$D$31,"ATENCION A VICTIMAS POR CONFLICTO ARMADO",IF(P236=CURSOS!$D$32,"MANIPULACION DE ALIMENTOS Y BPM",IF(P236=CURSOS!$D$33,"ATENCION A PERSONAS CON DISCAPACIDAD",IF(P236=CURSOS!$D$34,"CUIDADO INTEGRAL DEL PACIENTE ADULTO",IF(P236=CURSOS!$D$35,"MANEJO DEFENSIVO",IF(P236=CURSOS!$D$36,"SOPORTE CARDIOVASCULAR AVANZADO NEONATAL",IF(P236=CURSOS!$D$37,"SEGURIDAD DEL PACIENTE",IF(P236=CURSOS!$D$38,"MANEJO DE RESIDUOS HOSPITALARIOS"))))))))))))))))))))))))))))))))))))</f>
        <v>0</v>
      </c>
      <c r="W236" s="65" t="str">
        <f t="shared" si="15"/>
        <v xml:space="preserve">   </v>
      </c>
      <c r="X236" s="65" t="str">
        <f t="shared" si="16"/>
        <v xml:space="preserve">   </v>
      </c>
      <c r="Y236" s="65" t="str">
        <f t="shared" si="17"/>
        <v xml:space="preserve">   --</v>
      </c>
    </row>
    <row r="237" spans="1:25" x14ac:dyDescent="0.2">
      <c r="A237" s="59">
        <v>236</v>
      </c>
      <c r="Q237" s="44"/>
      <c r="V237" s="65" t="b">
        <f>IF(P237=CURSOS!$D$3,"DIPLOMADO EN ATENCION PRE-HOSPITALARIA",IF(P237=CURSOS!$D$4,"ACOMPAÑAMIENTO Y MANEJO DEL DUELO",IF(P237=CURSOS!$D$5,"ATENCION A VICTIMAS DE ATAQUE CON AGENTES QUIMICOS ",IF(P237=CURSOS!$D$6,"PRIMEROS AUXILIOS ",IF(P237=CURSOS!$D$7,"DIPLOMADO DE UNIDAD DE CUIDADOS INTENSIVOS (UCI)",IF(P237=CURSOS!$D$8,"MODELO DE ATENCION PARA EVENTOS EMERGENTES EN SALUD MENTAL (CODIGO VERDE)",IF(P237=CURSOS!$D$9,"HUMANIZACION EN EL SERVICIO DE LA SALUD Y BUENAS PRACTICAS EN PACIENTE ",IF(P237=CURSOS!$D$10,"CLINICA DE HERIDAS ",IF(P237=CURSOS!$D$11,"TOMA DE CITOLOGIA CERVICO VAGINAL ",IF(P237=CURSOS!$D$12,"SOPORTE CARDIOVASCULAR AVANZADO (ACLS) ",IF(P237=CURSOS!$D$13,"CAMILLERO ",IF(P237=CURSOS!$D$14,"TOMA DE MUESTRAS Y LABORATORIO ",IF(P237=CURSOS!$D$15,"SOPORTE VITAL BASICO (BLS)",IF(P237=CURSOS!$D$16,"ATENCION A VICTIMAS DE VIOLENCIA SEXUAL ",IF(P237=CURSOS!$D$17,"PROGRAMADO AMPLIADO DE INMUNIZACION (PAI - COVID 19)",IF(P237=CURSOS!$D$18,"ATENCION INTEGRAL EN ENFERMEDADES PREVALENTES EN PRIMERA INFANCIA (AIEPI)",IF(P237=CURSOS!$D$19,"ADMINISTRACION DE MEDICAMENTOS, INYECTOLOGIA  Y CANALIZACION ",IF(P237=CURSOS!$D$20,"OPERADOR DE VEHICULOS DE EMERGENCIA (OVE)",IF(P237=CURSOS!$D$21,"INSTITUCIONES AMIGAS DE LA MUJER Y LA INFANCIA (IAMI)",IF(P237=CURSOS!$D$22,"CUIDADO DEL DONANTE DE ORGANOS",IF(P237=CURSOS!$D$23,"ATENCION A VICTIMAS POR VIOLENCIA DE GENERO",IF(P237=CURSOS!$D$24,"IGUALDAD DE GENERO EN LA SALUD",IF(P237=CURSOS!$D$25,"BRIGADA DE EMERGENCIA",IF(P237=CURSOS!$D$26,"MANEJO DEL DOLOR Y CUIDADOS PALIATIVOS",IF(P237=CURSOS!$D$27,"TOMA DE MUESTRAS Y LABORATORIO POCT",IF(P237=CURSOS!$D$28,"IMPLANTE SUBDERMICO DE DISPOSITIVO INTRAUTERINO",IF(P237=CURSOS!$D$29,"SALUD MENTAL",IF(P237=CURSOS!$D$30,"PRIMEROS AUXILIOS PSICOLOGICOS",IF(P237=CURSOS!$D$31,"ATENCION A VICTIMAS POR CONFLICTO ARMADO",IF(P237=CURSOS!$D$32,"MANIPULACION DE ALIMENTOS Y BPM",IF(P237=CURSOS!$D$33,"ATENCION A PERSONAS CON DISCAPACIDAD",IF(P237=CURSOS!$D$34,"CUIDADO INTEGRAL DEL PACIENTE ADULTO",IF(P237=CURSOS!$D$35,"MANEJO DEFENSIVO",IF(P237=CURSOS!$D$36,"SOPORTE CARDIOVASCULAR AVANZADO NEONATAL",IF(P237=CURSOS!$D$37,"SEGURIDAD DEL PACIENTE",IF(P237=CURSOS!$D$38,"MANEJO DE RESIDUOS HOSPITALARIOS"))))))))))))))))))))))))))))))))))))</f>
        <v>0</v>
      </c>
      <c r="W237" s="65" t="str">
        <f t="shared" si="15"/>
        <v xml:space="preserve">   </v>
      </c>
      <c r="X237" s="65" t="str">
        <f t="shared" si="16"/>
        <v xml:space="preserve">   </v>
      </c>
      <c r="Y237" s="65" t="str">
        <f t="shared" si="17"/>
        <v xml:space="preserve">   --</v>
      </c>
    </row>
    <row r="238" spans="1:25" x14ac:dyDescent="0.2">
      <c r="A238" s="59">
        <v>237</v>
      </c>
      <c r="Q238" s="44"/>
      <c r="V238" s="65" t="b">
        <f>IF(P238=CURSOS!$D$3,"DIPLOMADO EN ATENCION PRE-HOSPITALARIA",IF(P238=CURSOS!$D$4,"ACOMPAÑAMIENTO Y MANEJO DEL DUELO",IF(P238=CURSOS!$D$5,"ATENCION A VICTIMAS DE ATAQUE CON AGENTES QUIMICOS ",IF(P238=CURSOS!$D$6,"PRIMEROS AUXILIOS ",IF(P238=CURSOS!$D$7,"DIPLOMADO DE UNIDAD DE CUIDADOS INTENSIVOS (UCI)",IF(P238=CURSOS!$D$8,"MODELO DE ATENCION PARA EVENTOS EMERGENTES EN SALUD MENTAL (CODIGO VERDE)",IF(P238=CURSOS!$D$9,"HUMANIZACION EN EL SERVICIO DE LA SALUD Y BUENAS PRACTICAS EN PACIENTE ",IF(P238=CURSOS!$D$10,"CLINICA DE HERIDAS ",IF(P238=CURSOS!$D$11,"TOMA DE CITOLOGIA CERVICO VAGINAL ",IF(P238=CURSOS!$D$12,"SOPORTE CARDIOVASCULAR AVANZADO (ACLS) ",IF(P238=CURSOS!$D$13,"CAMILLERO ",IF(P238=CURSOS!$D$14,"TOMA DE MUESTRAS Y LABORATORIO ",IF(P238=CURSOS!$D$15,"SOPORTE VITAL BASICO (BLS)",IF(P238=CURSOS!$D$16,"ATENCION A VICTIMAS DE VIOLENCIA SEXUAL ",IF(P238=CURSOS!$D$17,"PROGRAMADO AMPLIADO DE INMUNIZACION (PAI - COVID 19)",IF(P238=CURSOS!$D$18,"ATENCION INTEGRAL EN ENFERMEDADES PREVALENTES EN PRIMERA INFANCIA (AIEPI)",IF(P238=CURSOS!$D$19,"ADMINISTRACION DE MEDICAMENTOS, INYECTOLOGIA  Y CANALIZACION ",IF(P238=CURSOS!$D$20,"OPERADOR DE VEHICULOS DE EMERGENCIA (OVE)",IF(P238=CURSOS!$D$21,"INSTITUCIONES AMIGAS DE LA MUJER Y LA INFANCIA (IAMI)",IF(P238=CURSOS!$D$22,"CUIDADO DEL DONANTE DE ORGANOS",IF(P238=CURSOS!$D$23,"ATENCION A VICTIMAS POR VIOLENCIA DE GENERO",IF(P238=CURSOS!$D$24,"IGUALDAD DE GENERO EN LA SALUD",IF(P238=CURSOS!$D$25,"BRIGADA DE EMERGENCIA",IF(P238=CURSOS!$D$26,"MANEJO DEL DOLOR Y CUIDADOS PALIATIVOS",IF(P238=CURSOS!$D$27,"TOMA DE MUESTRAS Y LABORATORIO POCT",IF(P238=CURSOS!$D$28,"IMPLANTE SUBDERMICO DE DISPOSITIVO INTRAUTERINO",IF(P238=CURSOS!$D$29,"SALUD MENTAL",IF(P238=CURSOS!$D$30,"PRIMEROS AUXILIOS PSICOLOGICOS",IF(P238=CURSOS!$D$31,"ATENCION A VICTIMAS POR CONFLICTO ARMADO",IF(P238=CURSOS!$D$32,"MANIPULACION DE ALIMENTOS Y BPM",IF(P238=CURSOS!$D$33,"ATENCION A PERSONAS CON DISCAPACIDAD",IF(P238=CURSOS!$D$34,"CUIDADO INTEGRAL DEL PACIENTE ADULTO",IF(P238=CURSOS!$D$35,"MANEJO DEFENSIVO",IF(P238=CURSOS!$D$36,"SOPORTE CARDIOVASCULAR AVANZADO NEONATAL",IF(P238=CURSOS!$D$37,"SEGURIDAD DEL PACIENTE",IF(P238=CURSOS!$D$38,"MANEJO DE RESIDUOS HOSPITALARIOS"))))))))))))))))))))))))))))))))))))</f>
        <v>0</v>
      </c>
      <c r="W238" s="65" t="str">
        <f t="shared" si="15"/>
        <v xml:space="preserve">   </v>
      </c>
      <c r="X238" s="65" t="str">
        <f t="shared" si="16"/>
        <v xml:space="preserve">   </v>
      </c>
      <c r="Y238" s="65" t="str">
        <f t="shared" si="17"/>
        <v xml:space="preserve">   --</v>
      </c>
    </row>
    <row r="239" spans="1:25" x14ac:dyDescent="0.2">
      <c r="A239" s="59">
        <v>238</v>
      </c>
      <c r="Q239" s="44"/>
      <c r="V239" s="65" t="b">
        <f>IF(P239=CURSOS!$D$3,"DIPLOMADO EN ATENCION PRE-HOSPITALARIA",IF(P239=CURSOS!$D$4,"ACOMPAÑAMIENTO Y MANEJO DEL DUELO",IF(P239=CURSOS!$D$5,"ATENCION A VICTIMAS DE ATAQUE CON AGENTES QUIMICOS ",IF(P239=CURSOS!$D$6,"PRIMEROS AUXILIOS ",IF(P239=CURSOS!$D$7,"DIPLOMADO DE UNIDAD DE CUIDADOS INTENSIVOS (UCI)",IF(P239=CURSOS!$D$8,"MODELO DE ATENCION PARA EVENTOS EMERGENTES EN SALUD MENTAL (CODIGO VERDE)",IF(P239=CURSOS!$D$9,"HUMANIZACION EN EL SERVICIO DE LA SALUD Y BUENAS PRACTICAS EN PACIENTE ",IF(P239=CURSOS!$D$10,"CLINICA DE HERIDAS ",IF(P239=CURSOS!$D$11,"TOMA DE CITOLOGIA CERVICO VAGINAL ",IF(P239=CURSOS!$D$12,"SOPORTE CARDIOVASCULAR AVANZADO (ACLS) ",IF(P239=CURSOS!$D$13,"CAMILLERO ",IF(P239=CURSOS!$D$14,"TOMA DE MUESTRAS Y LABORATORIO ",IF(P239=CURSOS!$D$15,"SOPORTE VITAL BASICO (BLS)",IF(P239=CURSOS!$D$16,"ATENCION A VICTIMAS DE VIOLENCIA SEXUAL ",IF(P239=CURSOS!$D$17,"PROGRAMADO AMPLIADO DE INMUNIZACION (PAI - COVID 19)",IF(P239=CURSOS!$D$18,"ATENCION INTEGRAL EN ENFERMEDADES PREVALENTES EN PRIMERA INFANCIA (AIEPI)",IF(P239=CURSOS!$D$19,"ADMINISTRACION DE MEDICAMENTOS, INYECTOLOGIA  Y CANALIZACION ",IF(P239=CURSOS!$D$20,"OPERADOR DE VEHICULOS DE EMERGENCIA (OVE)",IF(P239=CURSOS!$D$21,"INSTITUCIONES AMIGAS DE LA MUJER Y LA INFANCIA (IAMI)",IF(P239=CURSOS!$D$22,"CUIDADO DEL DONANTE DE ORGANOS",IF(P239=CURSOS!$D$23,"ATENCION A VICTIMAS POR VIOLENCIA DE GENERO",IF(P239=CURSOS!$D$24,"IGUALDAD DE GENERO EN LA SALUD",IF(P239=CURSOS!$D$25,"BRIGADA DE EMERGENCIA",IF(P239=CURSOS!$D$26,"MANEJO DEL DOLOR Y CUIDADOS PALIATIVOS",IF(P239=CURSOS!$D$27,"TOMA DE MUESTRAS Y LABORATORIO POCT",IF(P239=CURSOS!$D$28,"IMPLANTE SUBDERMICO DE DISPOSITIVO INTRAUTERINO",IF(P239=CURSOS!$D$29,"SALUD MENTAL",IF(P239=CURSOS!$D$30,"PRIMEROS AUXILIOS PSICOLOGICOS",IF(P239=CURSOS!$D$31,"ATENCION A VICTIMAS POR CONFLICTO ARMADO",IF(P239=CURSOS!$D$32,"MANIPULACION DE ALIMENTOS Y BPM",IF(P239=CURSOS!$D$33,"ATENCION A PERSONAS CON DISCAPACIDAD",IF(P239=CURSOS!$D$34,"CUIDADO INTEGRAL DEL PACIENTE ADULTO",IF(P239=CURSOS!$D$35,"MANEJO DEFENSIVO",IF(P239=CURSOS!$D$36,"SOPORTE CARDIOVASCULAR AVANZADO NEONATAL",IF(P239=CURSOS!$D$37,"SEGURIDAD DEL PACIENTE",IF(P239=CURSOS!$D$38,"MANEJO DE RESIDUOS HOSPITALARIOS"))))))))))))))))))))))))))))))))))))</f>
        <v>0</v>
      </c>
      <c r="W239" s="65" t="str">
        <f t="shared" si="15"/>
        <v xml:space="preserve">   </v>
      </c>
      <c r="X239" s="65" t="str">
        <f t="shared" si="16"/>
        <v xml:space="preserve">   </v>
      </c>
      <c r="Y239" s="65" t="str">
        <f t="shared" si="17"/>
        <v xml:space="preserve">   --</v>
      </c>
    </row>
    <row r="240" spans="1:25" x14ac:dyDescent="0.2">
      <c r="A240" s="59">
        <v>239</v>
      </c>
      <c r="V240" s="65" t="b">
        <f>IF(P240=CURSOS!$D$3,"DIPLOMADO EN ATENCION PRE-HOSPITALARIA",IF(P240=CURSOS!$D$4,"ACOMPAÑAMIENTO Y MANEJO DEL DUELO",IF(P240=CURSOS!$D$5,"ATENCION A VICTIMAS DE ATAQUE CON AGENTES QUIMICOS ",IF(P240=CURSOS!$D$6,"PRIMEROS AUXILIOS ",IF(P240=CURSOS!$D$7,"DIPLOMADO DE UNIDAD DE CUIDADOS INTENSIVOS (UCI)",IF(P240=CURSOS!$D$8,"MODELO DE ATENCION PARA EVENTOS EMERGENTES EN SALUD MENTAL (CODIGO VERDE)",IF(P240=CURSOS!$D$9,"HUMANIZACION EN EL SERVICIO DE LA SALUD Y BUENAS PRACTICAS EN PACIENTE ",IF(P240=CURSOS!$D$10,"CLINICA DE HERIDAS ",IF(P240=CURSOS!$D$11,"TOMA DE CITOLOGIA CERVICO VAGINAL ",IF(P240=CURSOS!$D$12,"SOPORTE CARDIOVASCULAR AVANZADO (ACLS) ",IF(P240=CURSOS!$D$13,"CAMILLERO ",IF(P240=CURSOS!$D$14,"TOMA DE MUESTRAS Y LABORATORIO ",IF(P240=CURSOS!$D$15,"SOPORTE VITAL BASICO (BLS)",IF(P240=CURSOS!$D$16,"ATENCION A VICTIMAS DE VIOLENCIA SEXUAL ",IF(P240=CURSOS!$D$17,"PROGRAMADO AMPLIADO DE INMUNIZACION (PAI - COVID 19)",IF(P240=CURSOS!$D$18,"ATENCION INTEGRAL EN ENFERMEDADES PREVALENTES EN PRIMERA INFANCIA (AIEPI)",IF(P240=CURSOS!$D$19,"ADMINISTRACION DE MEDICAMENTOS, INYECTOLOGIA  Y CANALIZACION ",IF(P240=CURSOS!$D$20,"OPERADOR DE VEHICULOS DE EMERGENCIA (OVE)",IF(P240=CURSOS!$D$21,"INSTITUCIONES AMIGAS DE LA MUJER Y LA INFANCIA (IAMI)",IF(P240=CURSOS!$D$22,"CUIDADO DEL DONANTE DE ORGANOS",IF(P240=CURSOS!$D$23,"ATENCION A VICTIMAS POR VIOLENCIA DE GENERO",IF(P240=CURSOS!$D$24,"IGUALDAD DE GENERO EN LA SALUD",IF(P240=CURSOS!$D$25,"BRIGADA DE EMERGENCIA",IF(P240=CURSOS!$D$26,"MANEJO DEL DOLOR Y CUIDADOS PALIATIVOS",IF(P240=CURSOS!$D$27,"TOMA DE MUESTRAS Y LABORATORIO POCT",IF(P240=CURSOS!$D$28,"IMPLANTE SUBDERMICO DE DISPOSITIVO INTRAUTERINO",IF(P240=CURSOS!$D$29,"SALUD MENTAL",IF(P240=CURSOS!$D$30,"PRIMEROS AUXILIOS PSICOLOGICOS",IF(P240=CURSOS!$D$31,"ATENCION A VICTIMAS POR CONFLICTO ARMADO",IF(P240=CURSOS!$D$32,"MANIPULACION DE ALIMENTOS Y BPM",IF(P240=CURSOS!$D$33,"ATENCION A PERSONAS CON DISCAPACIDAD",IF(P240=CURSOS!$D$34,"CUIDADO INTEGRAL DEL PACIENTE ADULTO",IF(P240=CURSOS!$D$35,"MANEJO DEFENSIVO",IF(P240=CURSOS!$D$36,"SOPORTE CARDIOVASCULAR AVANZADO NEONATAL",IF(P240=CURSOS!$D$37,"SEGURIDAD DEL PACIENTE",IF(P240=CURSOS!$D$38,"MANEJO DE RESIDUOS HOSPITALARIOS"))))))))))))))))))))))))))))))))))))</f>
        <v>0</v>
      </c>
      <c r="W240" s="65" t="str">
        <f t="shared" si="15"/>
        <v xml:space="preserve">   </v>
      </c>
      <c r="X240" s="65" t="str">
        <f t="shared" si="16"/>
        <v xml:space="preserve">   </v>
      </c>
      <c r="Y240" s="65" t="str">
        <f t="shared" si="17"/>
        <v xml:space="preserve">   --</v>
      </c>
    </row>
    <row r="241" spans="1:25" x14ac:dyDescent="0.2">
      <c r="A241" s="59">
        <v>240</v>
      </c>
      <c r="V241" s="65" t="b">
        <f>IF(P241=CURSOS!$D$3,"DIPLOMADO EN ATENCION PRE-HOSPITALARIA",IF(P241=CURSOS!$D$4,"ACOMPAÑAMIENTO Y MANEJO DEL DUELO",IF(P241=CURSOS!$D$5,"ATENCION A VICTIMAS DE ATAQUE CON AGENTES QUIMICOS ",IF(P241=CURSOS!$D$6,"PRIMEROS AUXILIOS ",IF(P241=CURSOS!$D$7,"DIPLOMADO DE UNIDAD DE CUIDADOS INTENSIVOS (UCI)",IF(P241=CURSOS!$D$8,"MODELO DE ATENCION PARA EVENTOS EMERGENTES EN SALUD MENTAL (CODIGO VERDE)",IF(P241=CURSOS!$D$9,"HUMANIZACION EN EL SERVICIO DE LA SALUD Y BUENAS PRACTICAS EN PACIENTE ",IF(P241=CURSOS!$D$10,"CLINICA DE HERIDAS ",IF(P241=CURSOS!$D$11,"TOMA DE CITOLOGIA CERVICO VAGINAL ",IF(P241=CURSOS!$D$12,"SOPORTE CARDIOVASCULAR AVANZADO (ACLS) ",IF(P241=CURSOS!$D$13,"CAMILLERO ",IF(P241=CURSOS!$D$14,"TOMA DE MUESTRAS Y LABORATORIO ",IF(P241=CURSOS!$D$15,"SOPORTE VITAL BASICO (BLS)",IF(P241=CURSOS!$D$16,"ATENCION A VICTIMAS DE VIOLENCIA SEXUAL ",IF(P241=CURSOS!$D$17,"PROGRAMADO AMPLIADO DE INMUNIZACION (PAI - COVID 19)",IF(P241=CURSOS!$D$18,"ATENCION INTEGRAL EN ENFERMEDADES PREVALENTES EN PRIMERA INFANCIA (AIEPI)",IF(P241=CURSOS!$D$19,"ADMINISTRACION DE MEDICAMENTOS, INYECTOLOGIA  Y CANALIZACION ",IF(P241=CURSOS!$D$20,"OPERADOR DE VEHICULOS DE EMERGENCIA (OVE)",IF(P241=CURSOS!$D$21,"INSTITUCIONES AMIGAS DE LA MUJER Y LA INFANCIA (IAMI)",IF(P241=CURSOS!$D$22,"CUIDADO DEL DONANTE DE ORGANOS",IF(P241=CURSOS!$D$23,"ATENCION A VICTIMAS POR VIOLENCIA DE GENERO",IF(P241=CURSOS!$D$24,"IGUALDAD DE GENERO EN LA SALUD",IF(P241=CURSOS!$D$25,"BRIGADA DE EMERGENCIA",IF(P241=CURSOS!$D$26,"MANEJO DEL DOLOR Y CUIDADOS PALIATIVOS",IF(P241=CURSOS!$D$27,"TOMA DE MUESTRAS Y LABORATORIO POCT",IF(P241=CURSOS!$D$28,"IMPLANTE SUBDERMICO DE DISPOSITIVO INTRAUTERINO",IF(P241=CURSOS!$D$29,"SALUD MENTAL",IF(P241=CURSOS!$D$30,"PRIMEROS AUXILIOS PSICOLOGICOS",IF(P241=CURSOS!$D$31,"ATENCION A VICTIMAS POR CONFLICTO ARMADO",IF(P241=CURSOS!$D$32,"MANIPULACION DE ALIMENTOS Y BPM",IF(P241=CURSOS!$D$33,"ATENCION A PERSONAS CON DISCAPACIDAD",IF(P241=CURSOS!$D$34,"CUIDADO INTEGRAL DEL PACIENTE ADULTO",IF(P241=CURSOS!$D$35,"MANEJO DEFENSIVO",IF(P241=CURSOS!$D$36,"SOPORTE CARDIOVASCULAR AVANZADO NEONATAL",IF(P241=CURSOS!$D$37,"SEGURIDAD DEL PACIENTE",IF(P241=CURSOS!$D$38,"MANEJO DE RESIDUOS HOSPITALARIOS"))))))))))))))))))))))))))))))))))))</f>
        <v>0</v>
      </c>
      <c r="W241" s="65" t="str">
        <f t="shared" si="15"/>
        <v xml:space="preserve">   </v>
      </c>
      <c r="X241" s="65" t="str">
        <f t="shared" si="16"/>
        <v xml:space="preserve">   </v>
      </c>
      <c r="Y241" s="65" t="str">
        <f t="shared" si="17"/>
        <v xml:space="preserve">   --</v>
      </c>
    </row>
    <row r="242" spans="1:25" x14ac:dyDescent="0.2">
      <c r="A242" s="59">
        <v>241</v>
      </c>
      <c r="V242" s="65" t="b">
        <f>IF(P242=CURSOS!$D$3,"DIPLOMADO EN ATENCION PRE-HOSPITALARIA",IF(P242=CURSOS!$D$4,"ACOMPAÑAMIENTO Y MANEJO DEL DUELO",IF(P242=CURSOS!$D$5,"ATENCION A VICTIMAS DE ATAQUE CON AGENTES QUIMICOS ",IF(P242=CURSOS!$D$6,"PRIMEROS AUXILIOS ",IF(P242=CURSOS!$D$7,"DIPLOMADO DE UNIDAD DE CUIDADOS INTENSIVOS (UCI)",IF(P242=CURSOS!$D$8,"MODELO DE ATENCION PARA EVENTOS EMERGENTES EN SALUD MENTAL (CODIGO VERDE)",IF(P242=CURSOS!$D$9,"HUMANIZACION EN EL SERVICIO DE LA SALUD Y BUENAS PRACTICAS EN PACIENTE ",IF(P242=CURSOS!$D$10,"CLINICA DE HERIDAS ",IF(P242=CURSOS!$D$11,"TOMA DE CITOLOGIA CERVICO VAGINAL ",IF(P242=CURSOS!$D$12,"SOPORTE CARDIOVASCULAR AVANZADO (ACLS) ",IF(P242=CURSOS!$D$13,"CAMILLERO ",IF(P242=CURSOS!$D$14,"TOMA DE MUESTRAS Y LABORATORIO ",IF(P242=CURSOS!$D$15,"SOPORTE VITAL BASICO (BLS)",IF(P242=CURSOS!$D$16,"ATENCION A VICTIMAS DE VIOLENCIA SEXUAL ",IF(P242=CURSOS!$D$17,"PROGRAMADO AMPLIADO DE INMUNIZACION (PAI - COVID 19)",IF(P242=CURSOS!$D$18,"ATENCION INTEGRAL EN ENFERMEDADES PREVALENTES EN PRIMERA INFANCIA (AIEPI)",IF(P242=CURSOS!$D$19,"ADMINISTRACION DE MEDICAMENTOS, INYECTOLOGIA  Y CANALIZACION ",IF(P242=CURSOS!$D$20,"OPERADOR DE VEHICULOS DE EMERGENCIA (OVE)",IF(P242=CURSOS!$D$21,"INSTITUCIONES AMIGAS DE LA MUJER Y LA INFANCIA (IAMI)",IF(P242=CURSOS!$D$22,"CUIDADO DEL DONANTE DE ORGANOS",IF(P242=CURSOS!$D$23,"ATENCION A VICTIMAS POR VIOLENCIA DE GENERO",IF(P242=CURSOS!$D$24,"IGUALDAD DE GENERO EN LA SALUD",IF(P242=CURSOS!$D$25,"BRIGADA DE EMERGENCIA",IF(P242=CURSOS!$D$26,"MANEJO DEL DOLOR Y CUIDADOS PALIATIVOS",IF(P242=CURSOS!$D$27,"TOMA DE MUESTRAS Y LABORATORIO POCT",IF(P242=CURSOS!$D$28,"IMPLANTE SUBDERMICO DE DISPOSITIVO INTRAUTERINO",IF(P242=CURSOS!$D$29,"SALUD MENTAL",IF(P242=CURSOS!$D$30,"PRIMEROS AUXILIOS PSICOLOGICOS",IF(P242=CURSOS!$D$31,"ATENCION A VICTIMAS POR CONFLICTO ARMADO",IF(P242=CURSOS!$D$32,"MANIPULACION DE ALIMENTOS Y BPM",IF(P242=CURSOS!$D$33,"ATENCION A PERSONAS CON DISCAPACIDAD",IF(P242=CURSOS!$D$34,"CUIDADO INTEGRAL DEL PACIENTE ADULTO",IF(P242=CURSOS!$D$35,"MANEJO DEFENSIVO",IF(P242=CURSOS!$D$36,"SOPORTE CARDIOVASCULAR AVANZADO NEONATAL",IF(P242=CURSOS!$D$37,"SEGURIDAD DEL PACIENTE",IF(P242=CURSOS!$D$38,"MANEJO DE RESIDUOS HOSPITALARIOS"))))))))))))))))))))))))))))))))))))</f>
        <v>0</v>
      </c>
      <c r="W242" s="65" t="str">
        <f t="shared" si="15"/>
        <v xml:space="preserve">   </v>
      </c>
      <c r="X242" s="65" t="str">
        <f t="shared" si="16"/>
        <v xml:space="preserve">   </v>
      </c>
      <c r="Y242" s="65" t="str">
        <f t="shared" si="17"/>
        <v xml:space="preserve">   --</v>
      </c>
    </row>
    <row r="243" spans="1:25" x14ac:dyDescent="0.2">
      <c r="A243" s="59">
        <v>242</v>
      </c>
      <c r="V243" s="65" t="b">
        <f>IF(P243=CURSOS!$D$3,"DIPLOMADO EN ATENCION PRE-HOSPITALARIA",IF(P243=CURSOS!$D$4,"ACOMPAÑAMIENTO Y MANEJO DEL DUELO",IF(P243=CURSOS!$D$5,"ATENCION A VICTIMAS DE ATAQUE CON AGENTES QUIMICOS ",IF(P243=CURSOS!$D$6,"PRIMEROS AUXILIOS ",IF(P243=CURSOS!$D$7,"DIPLOMADO DE UNIDAD DE CUIDADOS INTENSIVOS (UCI)",IF(P243=CURSOS!$D$8,"MODELO DE ATENCION PARA EVENTOS EMERGENTES EN SALUD MENTAL (CODIGO VERDE)",IF(P243=CURSOS!$D$9,"HUMANIZACION EN EL SERVICIO DE LA SALUD Y BUENAS PRACTICAS EN PACIENTE ",IF(P243=CURSOS!$D$10,"CLINICA DE HERIDAS ",IF(P243=CURSOS!$D$11,"TOMA DE CITOLOGIA CERVICO VAGINAL ",IF(P243=CURSOS!$D$12,"SOPORTE CARDIOVASCULAR AVANZADO (ACLS) ",IF(P243=CURSOS!$D$13,"CAMILLERO ",IF(P243=CURSOS!$D$14,"TOMA DE MUESTRAS Y LABORATORIO ",IF(P243=CURSOS!$D$15,"SOPORTE VITAL BASICO (BLS)",IF(P243=CURSOS!$D$16,"ATENCION A VICTIMAS DE VIOLENCIA SEXUAL ",IF(P243=CURSOS!$D$17,"PROGRAMADO AMPLIADO DE INMUNIZACION (PAI - COVID 19)",IF(P243=CURSOS!$D$18,"ATENCION INTEGRAL EN ENFERMEDADES PREVALENTES EN PRIMERA INFANCIA (AIEPI)",IF(P243=CURSOS!$D$19,"ADMINISTRACION DE MEDICAMENTOS, INYECTOLOGIA  Y CANALIZACION ",IF(P243=CURSOS!$D$20,"OPERADOR DE VEHICULOS DE EMERGENCIA (OVE)",IF(P243=CURSOS!$D$21,"INSTITUCIONES AMIGAS DE LA MUJER Y LA INFANCIA (IAMI)",IF(P243=CURSOS!$D$22,"CUIDADO DEL DONANTE DE ORGANOS",IF(P243=CURSOS!$D$23,"ATENCION A VICTIMAS POR VIOLENCIA DE GENERO",IF(P243=CURSOS!$D$24,"IGUALDAD DE GENERO EN LA SALUD",IF(P243=CURSOS!$D$25,"BRIGADA DE EMERGENCIA",IF(P243=CURSOS!$D$26,"MANEJO DEL DOLOR Y CUIDADOS PALIATIVOS",IF(P243=CURSOS!$D$27,"TOMA DE MUESTRAS Y LABORATORIO POCT",IF(P243=CURSOS!$D$28,"IMPLANTE SUBDERMICO DE DISPOSITIVO INTRAUTERINO",IF(P243=CURSOS!$D$29,"SALUD MENTAL",IF(P243=CURSOS!$D$30,"PRIMEROS AUXILIOS PSICOLOGICOS",IF(P243=CURSOS!$D$31,"ATENCION A VICTIMAS POR CONFLICTO ARMADO",IF(P243=CURSOS!$D$32,"MANIPULACION DE ALIMENTOS Y BPM",IF(P243=CURSOS!$D$33,"ATENCION A PERSONAS CON DISCAPACIDAD",IF(P243=CURSOS!$D$34,"CUIDADO INTEGRAL DEL PACIENTE ADULTO",IF(P243=CURSOS!$D$35,"MANEJO DEFENSIVO",IF(P243=CURSOS!$D$36,"SOPORTE CARDIOVASCULAR AVANZADO NEONATAL",IF(P243=CURSOS!$D$37,"SEGURIDAD DEL PACIENTE",IF(P243=CURSOS!$D$38,"MANEJO DE RESIDUOS HOSPITALARIOS"))))))))))))))))))))))))))))))))))))</f>
        <v>0</v>
      </c>
      <c r="W243" s="65" t="str">
        <f t="shared" si="15"/>
        <v xml:space="preserve">   </v>
      </c>
      <c r="X243" s="65" t="str">
        <f t="shared" si="16"/>
        <v xml:space="preserve">   </v>
      </c>
      <c r="Y243" s="65" t="str">
        <f t="shared" si="17"/>
        <v xml:space="preserve">   --</v>
      </c>
    </row>
    <row r="244" spans="1:25" x14ac:dyDescent="0.2">
      <c r="A244" s="59">
        <v>243</v>
      </c>
      <c r="V244" s="65" t="b">
        <f>IF(P244=CURSOS!$D$3,"DIPLOMADO EN ATENCION PRE-HOSPITALARIA",IF(P244=CURSOS!$D$4,"ACOMPAÑAMIENTO Y MANEJO DEL DUELO",IF(P244=CURSOS!$D$5,"ATENCION A VICTIMAS DE ATAQUE CON AGENTES QUIMICOS ",IF(P244=CURSOS!$D$6,"PRIMEROS AUXILIOS ",IF(P244=CURSOS!$D$7,"DIPLOMADO DE UNIDAD DE CUIDADOS INTENSIVOS (UCI)",IF(P244=CURSOS!$D$8,"MODELO DE ATENCION PARA EVENTOS EMERGENTES EN SALUD MENTAL (CODIGO VERDE)",IF(P244=CURSOS!$D$9,"HUMANIZACION EN EL SERVICIO DE LA SALUD Y BUENAS PRACTICAS EN PACIENTE ",IF(P244=CURSOS!$D$10,"CLINICA DE HERIDAS ",IF(P244=CURSOS!$D$11,"TOMA DE CITOLOGIA CERVICO VAGINAL ",IF(P244=CURSOS!$D$12,"SOPORTE CARDIOVASCULAR AVANZADO (ACLS) ",IF(P244=CURSOS!$D$13,"CAMILLERO ",IF(P244=CURSOS!$D$14,"TOMA DE MUESTRAS Y LABORATORIO ",IF(P244=CURSOS!$D$15,"SOPORTE VITAL BASICO (BLS)",IF(P244=CURSOS!$D$16,"ATENCION A VICTIMAS DE VIOLENCIA SEXUAL ",IF(P244=CURSOS!$D$17,"PROGRAMADO AMPLIADO DE INMUNIZACION (PAI - COVID 19)",IF(P244=CURSOS!$D$18,"ATENCION INTEGRAL EN ENFERMEDADES PREVALENTES EN PRIMERA INFANCIA (AIEPI)",IF(P244=CURSOS!$D$19,"ADMINISTRACION DE MEDICAMENTOS, INYECTOLOGIA  Y CANALIZACION ",IF(P244=CURSOS!$D$20,"OPERADOR DE VEHICULOS DE EMERGENCIA (OVE)",IF(P244=CURSOS!$D$21,"INSTITUCIONES AMIGAS DE LA MUJER Y LA INFANCIA (IAMI)",IF(P244=CURSOS!$D$22,"CUIDADO DEL DONANTE DE ORGANOS",IF(P244=CURSOS!$D$23,"ATENCION A VICTIMAS POR VIOLENCIA DE GENERO",IF(P244=CURSOS!$D$24,"IGUALDAD DE GENERO EN LA SALUD",IF(P244=CURSOS!$D$25,"BRIGADA DE EMERGENCIA",IF(P244=CURSOS!$D$26,"MANEJO DEL DOLOR Y CUIDADOS PALIATIVOS",IF(P244=CURSOS!$D$27,"TOMA DE MUESTRAS Y LABORATORIO POCT",IF(P244=CURSOS!$D$28,"IMPLANTE SUBDERMICO DE DISPOSITIVO INTRAUTERINO",IF(P244=CURSOS!$D$29,"SALUD MENTAL",IF(P244=CURSOS!$D$30,"PRIMEROS AUXILIOS PSICOLOGICOS",IF(P244=CURSOS!$D$31,"ATENCION A VICTIMAS POR CONFLICTO ARMADO",IF(P244=CURSOS!$D$32,"MANIPULACION DE ALIMENTOS Y BPM",IF(P244=CURSOS!$D$33,"ATENCION A PERSONAS CON DISCAPACIDAD",IF(P244=CURSOS!$D$34,"CUIDADO INTEGRAL DEL PACIENTE ADULTO",IF(P244=CURSOS!$D$35,"MANEJO DEFENSIVO",IF(P244=CURSOS!$D$36,"SOPORTE CARDIOVASCULAR AVANZADO NEONATAL",IF(P244=CURSOS!$D$37,"SEGURIDAD DEL PACIENTE",IF(P244=CURSOS!$D$38,"MANEJO DE RESIDUOS HOSPITALARIOS"))))))))))))))))))))))))))))))))))))</f>
        <v>0</v>
      </c>
      <c r="W244" s="65" t="str">
        <f t="shared" ref="W244" si="18">CONCATENATE(E244," ",F244," ",C244," ",D244)</f>
        <v xml:space="preserve">   </v>
      </c>
      <c r="X244" s="65" t="str">
        <f t="shared" ref="X244" si="19">PROPER(W244)</f>
        <v xml:space="preserve">   </v>
      </c>
      <c r="Y244" s="65" t="str">
        <f t="shared" ref="Y244" si="20">CONCATENATE(W244,"-",B244,"-",P244)</f>
        <v xml:space="preserve">   --</v>
      </c>
    </row>
    <row r="245" spans="1:25" x14ac:dyDescent="0.2">
      <c r="A245" s="59">
        <v>244</v>
      </c>
    </row>
    <row r="246" spans="1:25" x14ac:dyDescent="0.2">
      <c r="A246" s="59">
        <v>245</v>
      </c>
    </row>
    <row r="247" spans="1:25" x14ac:dyDescent="0.2">
      <c r="A247" s="59">
        <v>246</v>
      </c>
    </row>
    <row r="248" spans="1:25" x14ac:dyDescent="0.2">
      <c r="A248" s="59">
        <v>247</v>
      </c>
    </row>
    <row r="249" spans="1:25" x14ac:dyDescent="0.2">
      <c r="A249" s="40">
        <v>99</v>
      </c>
      <c r="Q249" s="44"/>
      <c r="R249" s="39"/>
      <c r="T249" s="46"/>
      <c r="U249" s="40"/>
    </row>
    <row r="250" spans="1:25" x14ac:dyDescent="0.2">
      <c r="A250" s="40">
        <v>100</v>
      </c>
    </row>
    <row r="1048557" spans="2:7" x14ac:dyDescent="0.2">
      <c r="B1048557" s="39"/>
      <c r="C1048557" s="39"/>
      <c r="D1048557" s="39"/>
      <c r="E1048557" s="39"/>
      <c r="F1048557" s="39"/>
      <c r="G1048557" s="39"/>
    </row>
  </sheetData>
  <autoFilter ref="A1:Y250" xr:uid="{00000000-0001-0000-0000-000000000000}"/>
  <phoneticPr fontId="8" type="noConversion"/>
  <hyperlinks>
    <hyperlink ref="S13" r:id="rId1" xr:uid="{00000000-0004-0000-0000-000000000000}"/>
    <hyperlink ref="S17" r:id="rId2" xr:uid="{00000000-0004-0000-0000-000001000000}"/>
    <hyperlink ref="S23" r:id="rId3" xr:uid="{00000000-0004-0000-0000-000002000000}"/>
    <hyperlink ref="S24" r:id="rId4" xr:uid="{00000000-0004-0000-0000-000003000000}"/>
    <hyperlink ref="S25" r:id="rId5" xr:uid="{00000000-0004-0000-0000-000004000000}"/>
    <hyperlink ref="S59" r:id="rId6" xr:uid="{00000000-0004-0000-0000-000005000000}"/>
    <hyperlink ref="S60" r:id="rId7" xr:uid="{00000000-0004-0000-0000-000006000000}"/>
    <hyperlink ref="S61" r:id="rId8" xr:uid="{00000000-0004-0000-0000-000007000000}"/>
    <hyperlink ref="U62" r:id="rId9" xr:uid="{00000000-0004-0000-0000-000008000000}"/>
    <hyperlink ref="U63" r:id="rId10" xr:uid="{00000000-0004-0000-0000-000009000000}"/>
    <hyperlink ref="U64" r:id="rId11" xr:uid="{00000000-0004-0000-0000-00000A000000}"/>
    <hyperlink ref="U66" r:id="rId12" xr:uid="{00000000-0004-0000-0000-00000B000000}"/>
    <hyperlink ref="U67" r:id="rId13" xr:uid="{00000000-0004-0000-0000-00000C000000}"/>
    <hyperlink ref="U68" r:id="rId14" xr:uid="{00000000-0004-0000-0000-00000D000000}"/>
    <hyperlink ref="U69" r:id="rId15" xr:uid="{00000000-0004-0000-0000-00000E000000}"/>
    <hyperlink ref="U96" r:id="rId16" xr:uid="{00000000-0004-0000-0000-00000F000000}"/>
    <hyperlink ref="S98" r:id="rId17" xr:uid="{00000000-0004-0000-0000-000010000000}"/>
    <hyperlink ref="S99" r:id="rId18" xr:uid="{00000000-0004-0000-0000-000011000000}"/>
    <hyperlink ref="S100" r:id="rId19" xr:uid="{00000000-0004-0000-0000-000012000000}"/>
    <hyperlink ref="U116" r:id="rId20" xr:uid="{00000000-0004-0000-0000-000013000000}"/>
    <hyperlink ref="U117" r:id="rId21" xr:uid="{00000000-0004-0000-0000-000014000000}"/>
    <hyperlink ref="U118" r:id="rId22" xr:uid="{00000000-0004-0000-0000-000015000000}"/>
    <hyperlink ref="U119" r:id="rId23" xr:uid="{00000000-0004-0000-0000-000016000000}"/>
    <hyperlink ref="S129" r:id="rId24" xr:uid="{00000000-0004-0000-0000-000017000000}"/>
    <hyperlink ref="S134" r:id="rId25" xr:uid="{00000000-0004-0000-0000-000018000000}"/>
    <hyperlink ref="S137" r:id="rId26" xr:uid="{00000000-0004-0000-0000-000019000000}"/>
    <hyperlink ref="S141" r:id="rId27" xr:uid="{00000000-0004-0000-0000-00001A000000}"/>
    <hyperlink ref="U145" r:id="rId28" xr:uid="{00000000-0004-0000-0000-00001B000000}"/>
    <hyperlink ref="U146" r:id="rId29" xr:uid="{00000000-0004-0000-0000-00001C000000}"/>
    <hyperlink ref="U147" r:id="rId30" xr:uid="{00000000-0004-0000-0000-00001D000000}"/>
    <hyperlink ref="S169" r:id="rId31" xr:uid="{00000000-0004-0000-0000-00001E000000}"/>
    <hyperlink ref="S170" r:id="rId32" xr:uid="{00000000-0004-0000-0000-00001F000000}"/>
    <hyperlink ref="S171" r:id="rId33" xr:uid="{00000000-0004-0000-0000-000020000000}"/>
    <hyperlink ref="S172" r:id="rId34" xr:uid="{00000000-0004-0000-0000-000021000000}"/>
    <hyperlink ref="S176" r:id="rId35" xr:uid="{8B9C84A8-62D7-4919-ACCA-B60BFF26F3F0}"/>
  </hyperlinks>
  <pageMargins left="0.7" right="0.7" top="0.75" bottom="0.75" header="0.3" footer="0.3"/>
  <pageSetup paperSize="9" scale="12" orientation="portrait" r:id="rId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8"/>
  <sheetViews>
    <sheetView topLeftCell="B1" zoomScale="85" zoomScaleNormal="85" workbookViewId="0">
      <selection activeCell="E24" sqref="E24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07.77734375" customWidth="1"/>
  </cols>
  <sheetData>
    <row r="1" spans="3:5" ht="15.75" thickBot="1" x14ac:dyDescent="0.25"/>
    <row r="2" spans="3:5" ht="16.5" thickBot="1" x14ac:dyDescent="0.3">
      <c r="C2" s="35" t="s">
        <v>20</v>
      </c>
      <c r="D2" s="35" t="s">
        <v>11</v>
      </c>
      <c r="E2" s="36" t="s">
        <v>15</v>
      </c>
    </row>
    <row r="3" spans="3:5" x14ac:dyDescent="0.2">
      <c r="C3" s="20">
        <v>1</v>
      </c>
      <c r="D3" s="21" t="s">
        <v>21</v>
      </c>
      <c r="E3" s="22" t="s">
        <v>22</v>
      </c>
    </row>
    <row r="4" spans="3:5" x14ac:dyDescent="0.2">
      <c r="C4" s="23">
        <v>2</v>
      </c>
      <c r="D4" s="24" t="s">
        <v>23</v>
      </c>
      <c r="E4" s="25" t="s">
        <v>24</v>
      </c>
    </row>
    <row r="5" spans="3:5" x14ac:dyDescent="0.2">
      <c r="C5" s="26">
        <v>3</v>
      </c>
      <c r="D5" s="24" t="s">
        <v>25</v>
      </c>
      <c r="E5" s="25" t="s">
        <v>93</v>
      </c>
    </row>
    <row r="6" spans="3:5" x14ac:dyDescent="0.2">
      <c r="C6" s="23">
        <v>4</v>
      </c>
      <c r="D6" s="24" t="s">
        <v>26</v>
      </c>
      <c r="E6" s="25" t="s">
        <v>27</v>
      </c>
    </row>
    <row r="7" spans="3:5" x14ac:dyDescent="0.2">
      <c r="C7" s="26">
        <v>5</v>
      </c>
      <c r="D7" s="24" t="s">
        <v>28</v>
      </c>
      <c r="E7" s="25" t="s">
        <v>29</v>
      </c>
    </row>
    <row r="8" spans="3:5" x14ac:dyDescent="0.2">
      <c r="C8" s="23">
        <v>6</v>
      </c>
      <c r="D8" s="24" t="s">
        <v>30</v>
      </c>
      <c r="E8" s="25" t="s">
        <v>31</v>
      </c>
    </row>
    <row r="9" spans="3:5" x14ac:dyDescent="0.2">
      <c r="C9" s="26">
        <v>7</v>
      </c>
      <c r="D9" s="24" t="s">
        <v>32</v>
      </c>
      <c r="E9" s="25" t="s">
        <v>94</v>
      </c>
    </row>
    <row r="10" spans="3:5" x14ac:dyDescent="0.2">
      <c r="C10" s="23">
        <v>8</v>
      </c>
      <c r="D10" s="24" t="s">
        <v>33</v>
      </c>
      <c r="E10" s="25" t="s">
        <v>34</v>
      </c>
    </row>
    <row r="11" spans="3:5" x14ac:dyDescent="0.2">
      <c r="C11" s="26">
        <v>9</v>
      </c>
      <c r="D11" s="27" t="s">
        <v>35</v>
      </c>
      <c r="E11" s="25" t="s">
        <v>36</v>
      </c>
    </row>
    <row r="12" spans="3:5" x14ac:dyDescent="0.2">
      <c r="C12" s="23">
        <v>10</v>
      </c>
      <c r="D12" s="28" t="s">
        <v>37</v>
      </c>
      <c r="E12" s="25" t="s">
        <v>83</v>
      </c>
    </row>
    <row r="13" spans="3:5" x14ac:dyDescent="0.2">
      <c r="C13" s="26">
        <v>11</v>
      </c>
      <c r="D13" s="28" t="s">
        <v>38</v>
      </c>
      <c r="E13" s="25" t="s">
        <v>39</v>
      </c>
    </row>
    <row r="14" spans="3:5" x14ac:dyDescent="0.2">
      <c r="C14" s="23">
        <v>12</v>
      </c>
      <c r="D14" s="28" t="s">
        <v>40</v>
      </c>
      <c r="E14" s="25" t="s">
        <v>89</v>
      </c>
    </row>
    <row r="15" spans="3:5" x14ac:dyDescent="0.2">
      <c r="C15" s="26">
        <v>13</v>
      </c>
      <c r="D15" s="28" t="s">
        <v>19</v>
      </c>
      <c r="E15" s="25" t="s">
        <v>41</v>
      </c>
    </row>
    <row r="16" spans="3:5" x14ac:dyDescent="0.2">
      <c r="C16" s="23">
        <v>14</v>
      </c>
      <c r="D16" s="28" t="s">
        <v>42</v>
      </c>
      <c r="E16" s="25" t="s">
        <v>95</v>
      </c>
    </row>
    <row r="17" spans="3:5" x14ac:dyDescent="0.2">
      <c r="C17" s="26">
        <v>15</v>
      </c>
      <c r="D17" s="28" t="s">
        <v>73</v>
      </c>
      <c r="E17" s="25" t="s">
        <v>43</v>
      </c>
    </row>
    <row r="18" spans="3:5" x14ac:dyDescent="0.2">
      <c r="C18" s="23">
        <v>16</v>
      </c>
      <c r="D18" s="28" t="s">
        <v>44</v>
      </c>
      <c r="E18" s="25" t="s">
        <v>96</v>
      </c>
    </row>
    <row r="19" spans="3:5" x14ac:dyDescent="0.2">
      <c r="C19" s="26">
        <v>17</v>
      </c>
      <c r="D19" s="28" t="s">
        <v>45</v>
      </c>
      <c r="E19" s="25" t="s">
        <v>97</v>
      </c>
    </row>
    <row r="20" spans="3:5" x14ac:dyDescent="0.2">
      <c r="C20" s="23">
        <v>18</v>
      </c>
      <c r="D20" s="28" t="s">
        <v>46</v>
      </c>
      <c r="E20" s="25" t="s">
        <v>47</v>
      </c>
    </row>
    <row r="21" spans="3:5" x14ac:dyDescent="0.2">
      <c r="C21" s="26">
        <v>19</v>
      </c>
      <c r="D21" s="28" t="s">
        <v>48</v>
      </c>
      <c r="E21" s="29" t="s">
        <v>49</v>
      </c>
    </row>
    <row r="22" spans="3:5" x14ac:dyDescent="0.2">
      <c r="C22" s="23">
        <v>20</v>
      </c>
      <c r="D22" s="28" t="s">
        <v>50</v>
      </c>
      <c r="E22" s="29" t="s">
        <v>51</v>
      </c>
    </row>
    <row r="23" spans="3:5" x14ac:dyDescent="0.2">
      <c r="C23" s="26">
        <v>21</v>
      </c>
      <c r="D23" s="28" t="s">
        <v>52</v>
      </c>
      <c r="E23" s="29" t="s">
        <v>98</v>
      </c>
    </row>
    <row r="24" spans="3:5" x14ac:dyDescent="0.2">
      <c r="C24" s="23">
        <v>22</v>
      </c>
      <c r="D24" s="28" t="s">
        <v>53</v>
      </c>
      <c r="E24" s="30" t="s">
        <v>54</v>
      </c>
    </row>
    <row r="25" spans="3:5" x14ac:dyDescent="0.2">
      <c r="C25" s="31">
        <v>23</v>
      </c>
      <c r="D25" s="28" t="s">
        <v>55</v>
      </c>
      <c r="E25" s="25" t="s">
        <v>56</v>
      </c>
    </row>
    <row r="26" spans="3:5" x14ac:dyDescent="0.2">
      <c r="C26" s="31">
        <v>24</v>
      </c>
      <c r="D26" s="28" t="s">
        <v>57</v>
      </c>
      <c r="E26" s="29" t="s">
        <v>58</v>
      </c>
    </row>
    <row r="27" spans="3:5" x14ac:dyDescent="0.2">
      <c r="C27" s="31">
        <v>25</v>
      </c>
      <c r="D27" s="28" t="s">
        <v>59</v>
      </c>
      <c r="E27" s="25" t="s">
        <v>84</v>
      </c>
    </row>
    <row r="28" spans="3:5" x14ac:dyDescent="0.2">
      <c r="C28" s="31">
        <v>26</v>
      </c>
      <c r="D28" s="28" t="s">
        <v>60</v>
      </c>
      <c r="E28" s="25" t="s">
        <v>85</v>
      </c>
    </row>
    <row r="29" spans="3:5" x14ac:dyDescent="0.2">
      <c r="C29" s="31">
        <v>27</v>
      </c>
      <c r="D29" s="28" t="s">
        <v>61</v>
      </c>
      <c r="E29" s="25" t="s">
        <v>61</v>
      </c>
    </row>
    <row r="30" spans="3:5" x14ac:dyDescent="0.2">
      <c r="C30" s="31">
        <v>28</v>
      </c>
      <c r="D30" s="28" t="s">
        <v>62</v>
      </c>
      <c r="E30" s="25" t="s">
        <v>63</v>
      </c>
    </row>
    <row r="31" spans="3:5" x14ac:dyDescent="0.2">
      <c r="C31" s="31">
        <v>29</v>
      </c>
      <c r="D31" s="28" t="s">
        <v>64</v>
      </c>
      <c r="E31" s="25" t="s">
        <v>65</v>
      </c>
    </row>
    <row r="32" spans="3:5" x14ac:dyDescent="0.2">
      <c r="C32" s="31">
        <v>30</v>
      </c>
      <c r="D32" s="28" t="s">
        <v>74</v>
      </c>
      <c r="E32" s="25" t="s">
        <v>75</v>
      </c>
    </row>
    <row r="33" spans="3:5" x14ac:dyDescent="0.2">
      <c r="C33" s="31">
        <v>31</v>
      </c>
      <c r="D33" s="28" t="s">
        <v>77</v>
      </c>
      <c r="E33" s="25" t="s">
        <v>76</v>
      </c>
    </row>
    <row r="34" spans="3:5" x14ac:dyDescent="0.2">
      <c r="C34" s="31">
        <v>32</v>
      </c>
      <c r="D34" s="28" t="s">
        <v>78</v>
      </c>
      <c r="E34" s="25" t="s">
        <v>79</v>
      </c>
    </row>
    <row r="35" spans="3:5" x14ac:dyDescent="0.2">
      <c r="C35" s="31">
        <v>33</v>
      </c>
      <c r="D35" s="28" t="s">
        <v>80</v>
      </c>
      <c r="E35" s="25" t="s">
        <v>80</v>
      </c>
    </row>
    <row r="36" spans="3:5" x14ac:dyDescent="0.2">
      <c r="C36" s="31">
        <v>34</v>
      </c>
      <c r="D36" s="28" t="s">
        <v>81</v>
      </c>
      <c r="E36" s="25" t="s">
        <v>82</v>
      </c>
    </row>
    <row r="37" spans="3:5" x14ac:dyDescent="0.2">
      <c r="C37" s="31">
        <v>35</v>
      </c>
      <c r="D37" s="28" t="s">
        <v>87</v>
      </c>
      <c r="E37" s="25" t="s">
        <v>86</v>
      </c>
    </row>
    <row r="38" spans="3:5" ht="15.75" thickBot="1" x14ac:dyDescent="0.25">
      <c r="C38" s="32">
        <v>36</v>
      </c>
      <c r="D38" s="33" t="s">
        <v>90</v>
      </c>
      <c r="E38" s="34" t="s">
        <v>91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55"/>
  <sheetViews>
    <sheetView topLeftCell="A221" zoomScale="50" zoomScaleNormal="50" workbookViewId="0">
      <selection activeCell="E226" sqref="E226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0.21875" customWidth="1"/>
    <col min="5" max="5" width="19.33203125" customWidth="1"/>
    <col min="6" max="6" width="38.21875" customWidth="1"/>
    <col min="7" max="7" width="11.21875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6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26</v>
      </c>
    </row>
    <row r="6" spans="6:8" ht="15" customHeight="1" x14ac:dyDescent="0.2">
      <c r="G6" s="5">
        <v>5</v>
      </c>
      <c r="H6" s="6" t="s">
        <v>28</v>
      </c>
    </row>
    <row r="7" spans="6:8" ht="15" customHeight="1" x14ac:dyDescent="0.2">
      <c r="G7" s="3">
        <v>6</v>
      </c>
      <c r="H7" s="6" t="s">
        <v>30</v>
      </c>
    </row>
    <row r="8" spans="6:8" ht="15" customHeight="1" x14ac:dyDescent="0.2">
      <c r="G8" s="5">
        <v>7</v>
      </c>
      <c r="H8" s="6" t="s">
        <v>32</v>
      </c>
    </row>
    <row r="9" spans="6:8" ht="15" customHeight="1" x14ac:dyDescent="0.2">
      <c r="G9" s="3">
        <v>8</v>
      </c>
      <c r="H9" s="6" t="s">
        <v>33</v>
      </c>
    </row>
    <row r="10" spans="6:8" ht="15" customHeight="1" x14ac:dyDescent="0.2">
      <c r="G10" s="5">
        <v>9</v>
      </c>
      <c r="H10" s="7" t="s">
        <v>35</v>
      </c>
    </row>
    <row r="11" spans="6:8" ht="15" customHeight="1" x14ac:dyDescent="0.2">
      <c r="G11" s="3">
        <v>10</v>
      </c>
      <c r="H11" s="4" t="s">
        <v>37</v>
      </c>
    </row>
    <row r="12" spans="6:8" ht="15" customHeight="1" x14ac:dyDescent="0.2">
      <c r="G12" s="5">
        <v>11</v>
      </c>
      <c r="H12" s="4" t="s">
        <v>38</v>
      </c>
    </row>
    <row r="13" spans="6:8" ht="15" customHeight="1" x14ac:dyDescent="0.2">
      <c r="G13" s="3">
        <v>12</v>
      </c>
      <c r="H13" s="4" t="s">
        <v>40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42</v>
      </c>
    </row>
    <row r="16" spans="6:8" ht="15" customHeight="1" x14ac:dyDescent="0.2">
      <c r="G16" s="5">
        <v>15</v>
      </c>
      <c r="H16" s="4" t="s">
        <v>73</v>
      </c>
    </row>
    <row r="17" spans="4:8" ht="15" customHeight="1" x14ac:dyDescent="0.2">
      <c r="G17" s="3">
        <v>16</v>
      </c>
      <c r="H17" s="4" t="s">
        <v>44</v>
      </c>
    </row>
    <row r="18" spans="4:8" ht="15" customHeight="1" x14ac:dyDescent="0.2">
      <c r="G18" s="5">
        <v>17</v>
      </c>
      <c r="H18" s="4" t="s">
        <v>45</v>
      </c>
    </row>
    <row r="19" spans="4:8" ht="15" customHeight="1" x14ac:dyDescent="0.2">
      <c r="G19" s="3">
        <v>18</v>
      </c>
      <c r="H19" s="4" t="s">
        <v>46</v>
      </c>
    </row>
    <row r="20" spans="4:8" ht="15" customHeight="1" x14ac:dyDescent="0.2">
      <c r="G20" s="5">
        <v>19</v>
      </c>
      <c r="H20" s="4" t="s">
        <v>48</v>
      </c>
    </row>
    <row r="21" spans="4:8" ht="15" customHeight="1" x14ac:dyDescent="0.2">
      <c r="G21" s="3">
        <v>20</v>
      </c>
      <c r="H21" s="4" t="s">
        <v>50</v>
      </c>
    </row>
    <row r="22" spans="4:8" ht="15" customHeight="1" x14ac:dyDescent="0.2">
      <c r="G22" s="5">
        <v>21</v>
      </c>
      <c r="H22" s="4" t="s">
        <v>52</v>
      </c>
    </row>
    <row r="23" spans="4:8" ht="15" customHeight="1" x14ac:dyDescent="0.2">
      <c r="G23" s="3">
        <v>22</v>
      </c>
      <c r="H23" s="4" t="s">
        <v>53</v>
      </c>
    </row>
    <row r="24" spans="4:8" ht="15" customHeight="1" x14ac:dyDescent="0.2">
      <c r="G24" s="17">
        <v>23</v>
      </c>
      <c r="H24" s="4" t="s">
        <v>55</v>
      </c>
    </row>
    <row r="25" spans="4:8" ht="15" customHeight="1" x14ac:dyDescent="0.2">
      <c r="G25" s="17">
        <v>24</v>
      </c>
      <c r="H25" s="4" t="s">
        <v>57</v>
      </c>
    </row>
    <row r="26" spans="4:8" ht="15" customHeight="1" x14ac:dyDescent="0.2">
      <c r="G26" s="17">
        <v>25</v>
      </c>
      <c r="H26" s="4" t="s">
        <v>59</v>
      </c>
    </row>
    <row r="27" spans="4:8" ht="15" customHeight="1" x14ac:dyDescent="0.2">
      <c r="G27" s="17">
        <v>26</v>
      </c>
      <c r="H27" s="4" t="s">
        <v>60</v>
      </c>
    </row>
    <row r="28" spans="4:8" ht="15" customHeight="1" x14ac:dyDescent="0.2">
      <c r="G28" s="17">
        <v>27</v>
      </c>
      <c r="H28" s="4" t="s">
        <v>61</v>
      </c>
    </row>
    <row r="29" spans="4:8" ht="15" customHeight="1" x14ac:dyDescent="0.2">
      <c r="G29" s="17">
        <v>28</v>
      </c>
      <c r="H29" s="4" t="s">
        <v>62</v>
      </c>
    </row>
    <row r="30" spans="4:8" ht="15" customHeight="1" x14ac:dyDescent="0.2">
      <c r="G30" s="17">
        <v>29</v>
      </c>
      <c r="H30" s="4" t="s">
        <v>64</v>
      </c>
    </row>
    <row r="31" spans="4:8" ht="15" customHeight="1" x14ac:dyDescent="0.2">
      <c r="G31" s="17">
        <v>30</v>
      </c>
      <c r="H31" s="4" t="s">
        <v>74</v>
      </c>
    </row>
    <row r="32" spans="4:8" ht="15" customHeight="1" x14ac:dyDescent="0.25">
      <c r="D32" s="8" t="s">
        <v>92</v>
      </c>
      <c r="G32" s="17">
        <v>31</v>
      </c>
      <c r="H32" s="4" t="s">
        <v>77</v>
      </c>
    </row>
    <row r="33" spans="1:8" x14ac:dyDescent="0.2">
      <c r="G33" s="17">
        <v>32</v>
      </c>
      <c r="H33" s="4" t="s">
        <v>78</v>
      </c>
    </row>
    <row r="34" spans="1:8" x14ac:dyDescent="0.2">
      <c r="G34" s="17">
        <v>33</v>
      </c>
      <c r="H34" s="4" t="s">
        <v>80</v>
      </c>
    </row>
    <row r="35" spans="1:8" x14ac:dyDescent="0.2">
      <c r="G35" s="17">
        <v>34</v>
      </c>
      <c r="H35" s="4" t="s">
        <v>81</v>
      </c>
    </row>
    <row r="36" spans="1:8" ht="15.75" thickBot="1" x14ac:dyDescent="0.25">
      <c r="G36" s="15">
        <v>35</v>
      </c>
      <c r="H36" s="18" t="s">
        <v>87</v>
      </c>
    </row>
    <row r="37" spans="1:8" ht="15.75" thickBot="1" x14ac:dyDescent="0.25">
      <c r="G37" s="37">
        <v>36</v>
      </c>
      <c r="H37" s="38" t="s">
        <v>90</v>
      </c>
    </row>
    <row r="38" spans="1:8" ht="59.25" customHeight="1" thickBot="1" x14ac:dyDescent="0.25">
      <c r="A38" s="12" t="s">
        <v>11</v>
      </c>
      <c r="B38" s="13" t="s">
        <v>70</v>
      </c>
      <c r="C38" s="13" t="s">
        <v>71</v>
      </c>
      <c r="D38" s="13" t="s">
        <v>72</v>
      </c>
      <c r="E38" s="14"/>
    </row>
    <row r="39" spans="1:8" ht="122.25" customHeight="1" x14ac:dyDescent="0.25">
      <c r="A39" s="19" t="str">
        <f>INSCRITOS!P2</f>
        <v>BLS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,IF(A39=$H$29,"https://centrodecapacitaciondelsur.com/primeros-aux-psicologicos-"))))))))))))))))))))))))))))))))</f>
        <v>https://centrodecapacitaciondelsur.com/soporte-basico-de-vida-</v>
      </c>
      <c r="C39" s="10">
        <f>INSCRITOS!B2</f>
        <v>1007180115</v>
      </c>
      <c r="D39" t="str">
        <f>CONCATENATE(B39,C39,"/")</f>
        <v>https://centrodecapacitaciondelsur.com/soporte-basico-de-vida-1007180115/</v>
      </c>
    </row>
    <row r="40" spans="1:8" ht="127.5" customHeight="1" x14ac:dyDescent="0.25">
      <c r="A40" s="19" t="str">
        <f>INSCRITOS!P3</f>
        <v>BLS</v>
      </c>
      <c r="B40" s="8" t="str">
        <f t="shared" ref="B40:B73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,IF(A40=$H$29,"https://centrodecapacitaciondelsur.com/primeros-aux-psicologicos-"))))))))))))))))))))))))))))))))</f>
        <v>https://centrodecapacitaciondelsur.com/soporte-basico-de-vida-</v>
      </c>
      <c r="C40" s="10">
        <f>INSCRITOS!B3</f>
        <v>1080690265</v>
      </c>
      <c r="D40" t="str">
        <f t="shared" ref="D40:D73" si="1">CONCATENATE(B40,C40,"/")</f>
        <v>https://centrodecapacitaciondelsur.com/soporte-basico-de-vida-1080690265/</v>
      </c>
    </row>
    <row r="41" spans="1:8" ht="122.25" customHeight="1" x14ac:dyDescent="0.25">
      <c r="A41" s="19" t="str">
        <f>INSCRITOS!P4</f>
        <v>BLS</v>
      </c>
      <c r="B41" s="8" t="str">
        <f t="shared" si="0"/>
        <v>https://centrodecapacitaciondelsur.com/soporte-basico-de-vida-</v>
      </c>
      <c r="C41" s="10">
        <f>INSCRITOS!B4</f>
        <v>1010019207</v>
      </c>
      <c r="D41" t="str">
        <f t="shared" si="1"/>
        <v>https://centrodecapacitaciondelsur.com/soporte-basico-de-vida-1010019207/</v>
      </c>
    </row>
    <row r="42" spans="1:8" ht="122.25" customHeight="1" x14ac:dyDescent="0.25">
      <c r="A42" s="19" t="str">
        <f>INSCRITOS!P5</f>
        <v>VIOLENCIA SEXUAL</v>
      </c>
      <c r="B42" s="8" t="str">
        <f t="shared" si="0"/>
        <v>https://centrodecapacitaciondelsur.com/violencia-sexual-</v>
      </c>
      <c r="C42" s="10">
        <f>INSCRITOS!B5</f>
        <v>36752303</v>
      </c>
      <c r="D42" t="str">
        <f t="shared" si="1"/>
        <v>https://centrodecapacitaciondelsur.com/violencia-sexual-36752303/</v>
      </c>
    </row>
    <row r="43" spans="1:8" ht="122.25" customHeight="1" x14ac:dyDescent="0.25">
      <c r="A43" s="19" t="str">
        <f>INSCRITOS!P6</f>
        <v>DUELO</v>
      </c>
      <c r="B43" s="8" t="str">
        <f t="shared" si="0"/>
        <v>https://centrodecapacitaciondelsur.com/manejo-del-duelo-</v>
      </c>
      <c r="C43" s="10">
        <f>INSCRITOS!B6</f>
        <v>36752303</v>
      </c>
      <c r="D43" t="str">
        <f t="shared" si="1"/>
        <v>https://centrodecapacitaciondelsur.com/manejo-del-duelo-36752303/</v>
      </c>
    </row>
    <row r="44" spans="1:8" ht="122.25" customHeight="1" x14ac:dyDescent="0.25">
      <c r="A44" s="19" t="str">
        <f>INSCRITOS!P7</f>
        <v>HUMANIZACION</v>
      </c>
      <c r="B44" s="8" t="str">
        <f t="shared" si="0"/>
        <v>https://centrodecapacitaciondelsur.com/humanizacion-</v>
      </c>
      <c r="C44" s="10">
        <f>INSCRITOS!B7</f>
        <v>36752303</v>
      </c>
      <c r="D44" t="str">
        <f t="shared" si="1"/>
        <v>https://centrodecapacitaciondelsur.com/humanizacion-36752303/</v>
      </c>
    </row>
    <row r="45" spans="1:8" ht="122.25" customHeight="1" x14ac:dyDescent="0.25">
      <c r="A45" s="19" t="str">
        <f>INSCRITOS!P8</f>
        <v>QUIMICOS</v>
      </c>
      <c r="B45" s="8" t="str">
        <f t="shared" si="0"/>
        <v>https://centrodecapacitaciondelsur.com/victimas-por-agentes-quimicos-</v>
      </c>
      <c r="C45" s="10">
        <f>INSCRITOS!B8</f>
        <v>36752303</v>
      </c>
      <c r="D45" t="str">
        <f t="shared" si="1"/>
        <v>https://centrodecapacitaciondelsur.com/victimas-por-agentes-quimicos-36752303/</v>
      </c>
    </row>
    <row r="46" spans="1:8" ht="122.25" customHeight="1" x14ac:dyDescent="0.25">
      <c r="A46" s="19" t="str">
        <f>INSCRITOS!P9</f>
        <v>BLS</v>
      </c>
      <c r="B46" s="8" t="str">
        <f t="shared" si="0"/>
        <v>https://centrodecapacitaciondelsur.com/soporte-basico-de-vida-</v>
      </c>
      <c r="C46" s="10">
        <f>INSCRITOS!B9</f>
        <v>36752303</v>
      </c>
      <c r="D46" t="str">
        <f t="shared" si="1"/>
        <v>https://centrodecapacitaciondelsur.com/soporte-basico-de-vida-36752303/</v>
      </c>
    </row>
    <row r="47" spans="1:8" ht="122.25" customHeight="1" x14ac:dyDescent="0.25">
      <c r="A47" s="19" t="str">
        <f>INSCRITOS!P10</f>
        <v>HUMANIZACION</v>
      </c>
      <c r="B47" s="8" t="str">
        <f t="shared" si="0"/>
        <v>https://centrodecapacitaciondelsur.com/humanizacion-</v>
      </c>
      <c r="C47" s="10">
        <f>INSCRITOS!B10</f>
        <v>1010019207</v>
      </c>
      <c r="D47" t="str">
        <f t="shared" si="1"/>
        <v>https://centrodecapacitaciondelsur.com/humanizacion-1010019207/</v>
      </c>
    </row>
    <row r="48" spans="1:8" ht="122.25" customHeight="1" x14ac:dyDescent="0.25">
      <c r="A48" s="19" t="str">
        <f>INSCRITOS!P11</f>
        <v>QUIMICOS</v>
      </c>
      <c r="B48" s="8" t="str">
        <f t="shared" si="0"/>
        <v>https://centrodecapacitaciondelsur.com/victimas-por-agentes-quimicos-</v>
      </c>
      <c r="C48" s="10">
        <f>INSCRITOS!B11</f>
        <v>1010019207</v>
      </c>
      <c r="D48" t="str">
        <f t="shared" si="1"/>
        <v>https://centrodecapacitaciondelsur.com/victimas-por-agentes-quimicos-1010019207/</v>
      </c>
    </row>
    <row r="49" spans="1:4" ht="122.25" customHeight="1" x14ac:dyDescent="0.25">
      <c r="A49" s="19" t="str">
        <f>INSCRITOS!P12</f>
        <v>VIOLENCIA SEXUAL</v>
      </c>
      <c r="B49" s="8" t="str">
        <f t="shared" si="0"/>
        <v>https://centrodecapacitaciondelsur.com/violencia-sexual-</v>
      </c>
      <c r="C49" s="10">
        <f>INSCRITOS!B12</f>
        <v>1010019207</v>
      </c>
      <c r="D49" t="str">
        <f t="shared" si="1"/>
        <v>https://centrodecapacitaciondelsur.com/violencia-sexual-1010019207/</v>
      </c>
    </row>
    <row r="50" spans="1:4" ht="122.25" customHeight="1" x14ac:dyDescent="0.25">
      <c r="A50" s="19" t="str">
        <f>INSCRITOS!P13</f>
        <v>ACLS</v>
      </c>
      <c r="B50" s="8" t="str">
        <f t="shared" si="0"/>
        <v>https://centrodecapacitaciondelsur.com/soporte-cardiovascular-avanzado-</v>
      </c>
      <c r="C50" s="10">
        <f>INSCRITOS!B13</f>
        <v>1085293480</v>
      </c>
      <c r="D50" t="str">
        <f t="shared" si="1"/>
        <v>https://centrodecapacitaciondelsur.com/soporte-cardiovascular-avanzado-1085293480/</v>
      </c>
    </row>
    <row r="51" spans="1:4" ht="122.25" customHeight="1" x14ac:dyDescent="0.25">
      <c r="A51" s="19" t="str">
        <f>INSCRITOS!P14</f>
        <v>BLS</v>
      </c>
      <c r="B51" s="8" t="str">
        <f t="shared" si="0"/>
        <v>https://centrodecapacitaciondelsur.com/soporte-basico-de-vida-</v>
      </c>
      <c r="C51" s="10">
        <f>INSCRITOS!B14</f>
        <v>5205151</v>
      </c>
      <c r="D51" t="str">
        <f t="shared" si="1"/>
        <v>https://centrodecapacitaciondelsur.com/soporte-basico-de-vida-5205151/</v>
      </c>
    </row>
    <row r="52" spans="1:4" ht="122.25" customHeight="1" x14ac:dyDescent="0.25">
      <c r="A52" s="19" t="str">
        <f>INSCRITOS!P15</f>
        <v>VIOLENCIA SEXUAL</v>
      </c>
      <c r="B52" s="8" t="str">
        <f t="shared" si="0"/>
        <v>https://centrodecapacitaciondelsur.com/violencia-sexual-</v>
      </c>
      <c r="C52" s="10">
        <f>INSCRITOS!B15</f>
        <v>5205151</v>
      </c>
      <c r="D52" t="str">
        <f t="shared" si="1"/>
        <v>https://centrodecapacitaciondelsur.com/violencia-sexual-5205151/</v>
      </c>
    </row>
    <row r="53" spans="1:4" ht="122.25" customHeight="1" x14ac:dyDescent="0.25">
      <c r="A53" s="19" t="str">
        <f>INSCRITOS!P16</f>
        <v>DUELO</v>
      </c>
      <c r="B53" s="8" t="str">
        <f t="shared" si="0"/>
        <v>https://centrodecapacitaciondelsur.com/manejo-del-duelo-</v>
      </c>
      <c r="C53" s="10">
        <f>INSCRITOS!B16</f>
        <v>5205151</v>
      </c>
      <c r="D53" t="str">
        <f t="shared" si="1"/>
        <v>https://centrodecapacitaciondelsur.com/manejo-del-duelo-5205151/</v>
      </c>
    </row>
    <row r="54" spans="1:4" ht="122.25" customHeight="1" x14ac:dyDescent="0.25">
      <c r="A54" s="19" t="str">
        <f>INSCRITOS!P17</f>
        <v>DUELO</v>
      </c>
      <c r="B54" s="8" t="str">
        <f t="shared" si="0"/>
        <v>https://centrodecapacitaciondelsur.com/manejo-del-duelo-</v>
      </c>
      <c r="C54" s="10">
        <f>INSCRITOS!B17</f>
        <v>5206859</v>
      </c>
      <c r="D54" t="str">
        <f t="shared" si="1"/>
        <v>https://centrodecapacitaciondelsur.com/manejo-del-duelo-5206859/</v>
      </c>
    </row>
    <row r="55" spans="1:4" ht="122.25" customHeight="1" x14ac:dyDescent="0.25">
      <c r="A55" s="19" t="str">
        <f>INSCRITOS!P18</f>
        <v>BLS</v>
      </c>
      <c r="B55" s="8" t="str">
        <f t="shared" si="0"/>
        <v>https://centrodecapacitaciondelsur.com/soporte-basico-de-vida-</v>
      </c>
      <c r="C55" s="10">
        <f>INSCRITOS!B18</f>
        <v>1085330304</v>
      </c>
      <c r="D55" t="str">
        <f t="shared" si="1"/>
        <v>https://centrodecapacitaciondelsur.com/soporte-basico-de-vida-1085330304/</v>
      </c>
    </row>
    <row r="56" spans="1:4" ht="122.25" customHeight="1" x14ac:dyDescent="0.25">
      <c r="A56" s="19" t="str">
        <f>INSCRITOS!P19</f>
        <v>VIOLENCIA SEXUAL</v>
      </c>
      <c r="B56" s="8" t="str">
        <f t="shared" si="0"/>
        <v>https://centrodecapacitaciondelsur.com/violencia-sexual-</v>
      </c>
      <c r="C56" s="10">
        <f>INSCRITOS!B19</f>
        <v>1085330304</v>
      </c>
      <c r="D56" t="str">
        <f t="shared" si="1"/>
        <v>https://centrodecapacitaciondelsur.com/violencia-sexual-1085330304/</v>
      </c>
    </row>
    <row r="57" spans="1:4" ht="122.25" customHeight="1" x14ac:dyDescent="0.25">
      <c r="A57" s="19" t="str">
        <f>INSCRITOS!P20</f>
        <v>DUELO</v>
      </c>
      <c r="B57" s="8" t="str">
        <f t="shared" si="0"/>
        <v>https://centrodecapacitaciondelsur.com/manejo-del-duelo-</v>
      </c>
      <c r="C57" s="10">
        <f>INSCRITOS!B20</f>
        <v>1085330304</v>
      </c>
      <c r="D57" t="str">
        <f t="shared" si="1"/>
        <v>https://centrodecapacitaciondelsur.com/manejo-del-duelo-1085330304/</v>
      </c>
    </row>
    <row r="58" spans="1:4" ht="122.25" customHeight="1" x14ac:dyDescent="0.25">
      <c r="A58" s="19" t="str">
        <f>INSCRITOS!P21</f>
        <v>HUMANIZACION</v>
      </c>
      <c r="B58" s="8" t="str">
        <f t="shared" si="0"/>
        <v>https://centrodecapacitaciondelsur.com/humanizacion-</v>
      </c>
      <c r="C58" s="10">
        <f>INSCRITOS!B21</f>
        <v>1085330304</v>
      </c>
      <c r="D58" t="str">
        <f t="shared" si="1"/>
        <v>https://centrodecapacitaciondelsur.com/humanizacion-1085330304/</v>
      </c>
    </row>
    <row r="59" spans="1:4" ht="122.25" customHeight="1" x14ac:dyDescent="0.25">
      <c r="A59" s="19" t="str">
        <f>INSCRITOS!P22</f>
        <v>QUIMICOS</v>
      </c>
      <c r="B59" s="8" t="str">
        <f t="shared" si="0"/>
        <v>https://centrodecapacitaciondelsur.com/victimas-por-agentes-quimicos-</v>
      </c>
      <c r="C59" s="10">
        <f>INSCRITOS!B22</f>
        <v>1085330304</v>
      </c>
      <c r="D59" t="str">
        <f t="shared" si="1"/>
        <v>https://centrodecapacitaciondelsur.com/victimas-por-agentes-quimicos-1085330304/</v>
      </c>
    </row>
    <row r="60" spans="1:4" ht="122.25" customHeight="1" x14ac:dyDescent="0.25">
      <c r="A60" s="19" t="str">
        <f>INSCRITOS!P23</f>
        <v>VIOLENCIA SEXUAL</v>
      </c>
      <c r="B60" s="8" t="str">
        <f t="shared" si="0"/>
        <v>https://centrodecapacitaciondelsur.com/violencia-sexual-</v>
      </c>
      <c r="C60" s="10">
        <f>INSCRITOS!B23</f>
        <v>1088588719</v>
      </c>
      <c r="D60" t="str">
        <f t="shared" si="1"/>
        <v>https://centrodecapacitaciondelsur.com/violencia-sexual-1088588719/</v>
      </c>
    </row>
    <row r="61" spans="1:4" ht="122.25" customHeight="1" x14ac:dyDescent="0.25">
      <c r="A61" s="19" t="str">
        <f>INSCRITOS!P24</f>
        <v>QUIMICOS</v>
      </c>
      <c r="B61" s="8" t="str">
        <f t="shared" si="0"/>
        <v>https://centrodecapacitaciondelsur.com/victimas-por-agentes-quimicos-</v>
      </c>
      <c r="C61" s="10">
        <f>INSCRITOS!B24</f>
        <v>1088588719</v>
      </c>
      <c r="D61" t="str">
        <f t="shared" si="1"/>
        <v>https://centrodecapacitaciondelsur.com/victimas-por-agentes-quimicos-1088588719/</v>
      </c>
    </row>
    <row r="62" spans="1:4" ht="122.25" customHeight="1" x14ac:dyDescent="0.25">
      <c r="A62" s="19" t="str">
        <f>INSCRITOS!P25</f>
        <v>HUMANIZACION</v>
      </c>
      <c r="B62" s="8" t="str">
        <f t="shared" si="0"/>
        <v>https://centrodecapacitaciondelsur.com/humanizacion-</v>
      </c>
      <c r="C62" s="10">
        <f>INSCRITOS!B25</f>
        <v>1088588719</v>
      </c>
      <c r="D62" t="str">
        <f t="shared" si="1"/>
        <v>https://centrodecapacitaciondelsur.com/humanizacion-1088588719/</v>
      </c>
    </row>
    <row r="63" spans="1:4" ht="122.25" customHeight="1" x14ac:dyDescent="0.25">
      <c r="A63" s="19" t="str">
        <f>INSCRITOS!P26</f>
        <v>CITOLOGIA</v>
      </c>
      <c r="B63" s="8" t="str">
        <f t="shared" si="0"/>
        <v>https://centrodecapacitaciondelsur.com/toma-de-citologia-</v>
      </c>
      <c r="C63" s="10">
        <f>INSCRITOS!B26</f>
        <v>1088588719</v>
      </c>
      <c r="D63" t="str">
        <f t="shared" si="1"/>
        <v>https://centrodecapacitaciondelsur.com/toma-de-citologia-1088588719/</v>
      </c>
    </row>
    <row r="64" spans="1:4" ht="122.25" customHeight="1" x14ac:dyDescent="0.25">
      <c r="A64" s="19" t="str">
        <f>INSCRITOS!P27</f>
        <v>BLS</v>
      </c>
      <c r="B64" s="8" t="str">
        <f t="shared" si="0"/>
        <v>https://centrodecapacitaciondelsur.com/soporte-basico-de-vida-</v>
      </c>
      <c r="C64" s="10">
        <f>INSCRITOS!B27</f>
        <v>1088588719</v>
      </c>
      <c r="D64" t="str">
        <f t="shared" si="1"/>
        <v>https://centrodecapacitaciondelsur.com/soporte-basico-de-vida-1088588719/</v>
      </c>
    </row>
    <row r="65" spans="1:4" ht="122.25" customHeight="1" x14ac:dyDescent="0.25">
      <c r="A65" s="19" t="str">
        <f>INSCRITOS!P28</f>
        <v>BLS</v>
      </c>
      <c r="B65" s="8" t="str">
        <f t="shared" si="0"/>
        <v>https://centrodecapacitaciondelsur.com/soporte-basico-de-vida-</v>
      </c>
      <c r="C65" s="10">
        <f>INSCRITOS!B28</f>
        <v>1085258180</v>
      </c>
      <c r="D65" t="str">
        <f t="shared" si="1"/>
        <v>https://centrodecapacitaciondelsur.com/soporte-basico-de-vida-1085258180/</v>
      </c>
    </row>
    <row r="66" spans="1:4" ht="122.25" customHeight="1" x14ac:dyDescent="0.25">
      <c r="A66" s="19" t="str">
        <f>INSCRITOS!P29</f>
        <v>QUIMICOS</v>
      </c>
      <c r="B66" s="8" t="str">
        <f t="shared" si="0"/>
        <v>https://centrodecapacitaciondelsur.com/victimas-por-agentes-quimicos-</v>
      </c>
      <c r="C66" s="10">
        <f>INSCRITOS!B29</f>
        <v>36759702</v>
      </c>
      <c r="D66" t="str">
        <f t="shared" si="1"/>
        <v>https://centrodecapacitaciondelsur.com/victimas-por-agentes-quimicos-36759702/</v>
      </c>
    </row>
    <row r="67" spans="1:4" ht="122.25" customHeight="1" x14ac:dyDescent="0.25">
      <c r="A67" s="19" t="str">
        <f>INSCRITOS!P30</f>
        <v>QUIMICOS</v>
      </c>
      <c r="B67" s="8" t="str">
        <f t="shared" si="0"/>
        <v>https://centrodecapacitaciondelsur.com/victimas-por-agentes-quimicos-</v>
      </c>
      <c r="C67" s="10">
        <f>INSCRITOS!B30</f>
        <v>1087423840</v>
      </c>
      <c r="D67" t="str">
        <f t="shared" si="1"/>
        <v>https://centrodecapacitaciondelsur.com/victimas-por-agentes-quimicos-1087423840/</v>
      </c>
    </row>
    <row r="68" spans="1:4" ht="122.25" customHeight="1" x14ac:dyDescent="0.25">
      <c r="A68" s="19" t="str">
        <f>INSCRITOS!P31</f>
        <v>DUELO</v>
      </c>
      <c r="B68" s="8" t="str">
        <f t="shared" si="0"/>
        <v>https://centrodecapacitaciondelsur.com/manejo-del-duelo-</v>
      </c>
      <c r="C68" s="10">
        <f>INSCRITOS!B31</f>
        <v>1087423840</v>
      </c>
      <c r="D68" t="str">
        <f t="shared" si="1"/>
        <v>https://centrodecapacitaciondelsur.com/manejo-del-duelo-1087423840/</v>
      </c>
    </row>
    <row r="69" spans="1:4" ht="122.25" customHeight="1" x14ac:dyDescent="0.25">
      <c r="A69" s="19" t="e">
        <f>INSCRITOS!#REF!</f>
        <v>#REF!</v>
      </c>
      <c r="B69" s="8" t="e">
        <f t="shared" si="0"/>
        <v>#REF!</v>
      </c>
      <c r="C69" s="10" t="e">
        <f>INSCRITOS!#REF!</f>
        <v>#REF!</v>
      </c>
      <c r="D69" t="e">
        <f t="shared" si="1"/>
        <v>#REF!</v>
      </c>
    </row>
    <row r="70" spans="1:4" ht="122.25" customHeight="1" x14ac:dyDescent="0.25">
      <c r="A70" s="19" t="str">
        <f>INSCRITOS!P32</f>
        <v>QUIMICOS</v>
      </c>
      <c r="B70" s="8" t="str">
        <f t="shared" si="0"/>
        <v>https://centrodecapacitaciondelsur.com/victimas-por-agentes-quimicos-</v>
      </c>
      <c r="C70" s="10">
        <f>INSCRITOS!B32</f>
        <v>1087407308</v>
      </c>
      <c r="D70" t="str">
        <f t="shared" si="1"/>
        <v>https://centrodecapacitaciondelsur.com/victimas-por-agentes-quimicos-1087407308/</v>
      </c>
    </row>
    <row r="71" spans="1:4" ht="122.25" customHeight="1" x14ac:dyDescent="0.25">
      <c r="A71" s="19" t="str">
        <f>INSCRITOS!P33</f>
        <v>TOMA DE MUESTRAS</v>
      </c>
      <c r="B71" s="8" t="str">
        <f t="shared" si="0"/>
        <v>https://centrodecapacitaciondelsur.com/toma-de-muestras-y-lab-clinico-</v>
      </c>
      <c r="C71" s="10">
        <f>INSCRITOS!B33</f>
        <v>1087407308</v>
      </c>
      <c r="D71" t="str">
        <f t="shared" si="1"/>
        <v>https://centrodecapacitaciondelsur.com/toma-de-muestras-y-lab-clinico-1087407308/</v>
      </c>
    </row>
    <row r="72" spans="1:4" ht="122.25" customHeight="1" x14ac:dyDescent="0.25">
      <c r="A72" s="19" t="str">
        <f>INSCRITOS!P34</f>
        <v>HUMANIZACION</v>
      </c>
      <c r="B72" s="8" t="str">
        <f t="shared" si="0"/>
        <v>https://centrodecapacitaciondelsur.com/humanizacion-</v>
      </c>
      <c r="C72" s="10">
        <f>INSCRITOS!B34</f>
        <v>1085313371</v>
      </c>
      <c r="D72" t="str">
        <f t="shared" si="1"/>
        <v>https://centrodecapacitaciondelsur.com/humanizacion-1085313371/</v>
      </c>
    </row>
    <row r="73" spans="1:4" ht="122.25" customHeight="1" x14ac:dyDescent="0.25">
      <c r="A73" s="19" t="str">
        <f>INSCRITOS!P35</f>
        <v>VIOLENCIA SEXUAL</v>
      </c>
      <c r="B73" s="8" t="str">
        <f t="shared" si="0"/>
        <v>https://centrodecapacitaciondelsur.com/violencia-sexual-</v>
      </c>
      <c r="C73" s="10">
        <f>INSCRITOS!B35</f>
        <v>1085313371</v>
      </c>
      <c r="D73" t="str">
        <f t="shared" si="1"/>
        <v>https://centrodecapacitaciondelsur.com/violencia-sexual-1085313371/</v>
      </c>
    </row>
    <row r="74" spans="1:4" ht="122.25" customHeight="1" x14ac:dyDescent="0.25">
      <c r="A74" s="19" t="str">
        <f>INSCRITOS!P36</f>
        <v>QUIMICOS</v>
      </c>
      <c r="B74" s="8" t="str">
        <f t="shared" ref="B74:B95" si="2">IF(A74=$H$19,"https://centrodecapacitaciondelsur.com/o-v-e-",IF(A74=$H$2,"https://centrodecapacitaciondelsur.com/aph-",IF(A74=$H$3,"https://centrodecapacitaciondelsur.com/manejo-del-duelo-",IF(A74=$H$4,"https://centrodecapacitaciondelsur.com/victimas-por-agentes-quimicos-",IF(A74=$H$5,"https://centrodecapacitaciondelsur.com/primeros-auxilios-",IF(A74=$H$6,"https://centrodecapacitaciondelsur.com/uci-",IF(A74=$H$8,"https://centrodecapacitaciondelsur.com/humanizacion-",IF(A74=$H$11,"https://centrodecapacitaciondelsur.com/soporte-cardiovascular-avanzado-",IF(A74=$H$12,"https://centrodecapacitaciondelsur.com/camillero-",IF(A74=$H$13,"https://centrodecapacitaciondelsur.com/toma-de-muestras-y-lab-clinico-",IF(A74=$H$14,"https://centrodecapacitaciondelsur.com/soporte-basico-de-vida-",IF(A74=$H$15,"https://centrodecapacitaciondelsur.com/violencia-sexual-",IF(A74=$H$17,"https://centrodecapacitaciondelsur.com/aiepi-",IF(A74=$H$18,"https://centrodecapacitaciondelsur.com/adm-medicamentos-canalizacion-inyectologia-",IF(A74=$H$25,"https://centrodecapacitaciondelsur.com/manejo-del-dolor-y-cuidados-paliativos-",IF(A74=$H$26,"https://centrodecapacitaciondelsur.com/toma-de-muestras-y-lab-clinico-poct-",IF(A74=$H$27,"https://centrodecapacitaciondelsur.com/implante-subdermico-",IF(A74=$H$21,"https://centrodecapacitaciondelsur.com/donante-de-organos-",IF(A74=$H$30,"https://centrodecapacitaciondelsur.com/atencion-a-victimas-del-conflicto-armado-",IF(A74=$H$20,"https://centrodecapacitaciondelsur.com/iami-",IF(A74=$H$22,"https://centrodecapacitaciondelsur.com/violencia-de-genero-",IF(A74=$H$23,"https://centrodecapacitaciondelsur.com/igualdad-de-genero-",IF(A74=$H$16,"https://centrodecapacitaciondelsur.com/pai-",IF(A74=$H$31,"https://centrodecapacitaciondelsur.com/manipulacion-de-alimentos-",IF(A74=$H$32,"https://centrodecapacitaciondelsur.com/atencion-a-personas-con-discapacidad-",IF(A74=$H$33,"https://centrodecapacitaciondelsur.com/atencion-al-adulto-mayor-",IF(A74=$H$34,"https://centrodecapacitaciondelsur.com/manejo-defensivo-",IF(A74=$H$35,"https://centrodecapacitaciondelsur.com/soporte-basico-neonatal-",IF(A74=$H$36,"https://centrodecapacitaciondelsur.com/seguridad-del-paciente-",IF(A74=$H$37,"https://centrodecapacitaciondelsur.com/manejo-de-residuos-hospitalarios-",IF(A74=$H$10,"https://centrodecapacitaciondelsur.com/toma-de-citologia-",IF(A74=$H$29,"https://centrodecapacitaciondelsur.com/primeros-aux-psicologicos-"))))))))))))))))))))))))))))))))</f>
        <v>https://centrodecapacitaciondelsur.com/victimas-por-agentes-quimicos-</v>
      </c>
      <c r="C74" s="10">
        <f>INSCRITOS!B36</f>
        <v>36934650</v>
      </c>
      <c r="D74" t="str">
        <f t="shared" ref="D74:D95" si="3">CONCATENATE(B74,C74,"/")</f>
        <v>https://centrodecapacitaciondelsur.com/victimas-por-agentes-quimicos-36934650/</v>
      </c>
    </row>
    <row r="75" spans="1:4" ht="122.25" customHeight="1" x14ac:dyDescent="0.25">
      <c r="A75" s="19" t="str">
        <f>INSCRITOS!P37</f>
        <v>QUIMICOS</v>
      </c>
      <c r="B75" s="8" t="str">
        <f t="shared" si="2"/>
        <v>https://centrodecapacitaciondelsur.com/victimas-por-agentes-quimicos-</v>
      </c>
      <c r="C75" s="10">
        <f>INSCRITOS!B37</f>
        <v>1087419325</v>
      </c>
      <c r="D75" t="str">
        <f t="shared" si="3"/>
        <v>https://centrodecapacitaciondelsur.com/victimas-por-agentes-quimicos-1087419325/</v>
      </c>
    </row>
    <row r="76" spans="1:4" ht="122.25" customHeight="1" x14ac:dyDescent="0.25">
      <c r="A76" s="19" t="str">
        <f>INSCRITOS!P38</f>
        <v>AIEPI</v>
      </c>
      <c r="B76" s="8" t="str">
        <f t="shared" si="2"/>
        <v>https://centrodecapacitaciondelsur.com/aiepi-</v>
      </c>
      <c r="C76" s="10">
        <f>INSCRITOS!B38</f>
        <v>1085285257</v>
      </c>
      <c r="D76" t="str">
        <f t="shared" si="3"/>
        <v>https://centrodecapacitaciondelsur.com/aiepi-1085285257/</v>
      </c>
    </row>
    <row r="77" spans="1:4" ht="122.25" customHeight="1" x14ac:dyDescent="0.25">
      <c r="A77" s="19" t="str">
        <f>INSCRITOS!P39</f>
        <v>IAMI</v>
      </c>
      <c r="B77" s="8" t="str">
        <f t="shared" si="2"/>
        <v>https://centrodecapacitaciondelsur.com/iami-</v>
      </c>
      <c r="C77" s="10">
        <f>INSCRITOS!B39</f>
        <v>1085285257</v>
      </c>
      <c r="D77" t="str">
        <f t="shared" si="3"/>
        <v>https://centrodecapacitaciondelsur.com/iami-1085285257/</v>
      </c>
    </row>
    <row r="78" spans="1:4" ht="122.25" customHeight="1" x14ac:dyDescent="0.25">
      <c r="A78" s="19" t="str">
        <f>INSCRITOS!P40</f>
        <v>DUELO</v>
      </c>
      <c r="B78" s="8" t="str">
        <f t="shared" si="2"/>
        <v>https://centrodecapacitaciondelsur.com/manejo-del-duelo-</v>
      </c>
      <c r="C78" s="10">
        <f>INSCRITOS!B40</f>
        <v>1193458385</v>
      </c>
      <c r="D78" t="str">
        <f t="shared" si="3"/>
        <v>https://centrodecapacitaciondelsur.com/manejo-del-duelo-1193458385/</v>
      </c>
    </row>
    <row r="79" spans="1:4" ht="122.25" customHeight="1" x14ac:dyDescent="0.25">
      <c r="A79" s="19" t="str">
        <f>INSCRITOS!P41</f>
        <v>DUELO</v>
      </c>
      <c r="B79" s="8" t="str">
        <f t="shared" si="2"/>
        <v>https://centrodecapacitaciondelsur.com/manejo-del-duelo-</v>
      </c>
      <c r="C79" s="10">
        <f>INSCRITOS!B41</f>
        <v>1087423840</v>
      </c>
      <c r="D79" t="str">
        <f t="shared" si="3"/>
        <v>https://centrodecapacitaciondelsur.com/manejo-del-duelo-1087423840/</v>
      </c>
    </row>
    <row r="80" spans="1:4" ht="122.25" customHeight="1" x14ac:dyDescent="0.25">
      <c r="A80" s="19" t="str">
        <f>INSCRITOS!P42</f>
        <v>DUELO</v>
      </c>
      <c r="B80" s="8" t="str">
        <f t="shared" si="2"/>
        <v>https://centrodecapacitaciondelsur.com/manejo-del-duelo-</v>
      </c>
      <c r="C80" s="10">
        <f>INSCRITOS!B42</f>
        <v>59653561</v>
      </c>
      <c r="D80" t="str">
        <f t="shared" si="3"/>
        <v>https://centrodecapacitaciondelsur.com/manejo-del-duelo-59653561/</v>
      </c>
    </row>
    <row r="81" spans="1:4" ht="122.25" customHeight="1" x14ac:dyDescent="0.25">
      <c r="A81" s="19" t="str">
        <f>INSCRITOS!P43</f>
        <v>DUELO</v>
      </c>
      <c r="B81" s="8" t="str">
        <f t="shared" si="2"/>
        <v>https://centrodecapacitaciondelsur.com/manejo-del-duelo-</v>
      </c>
      <c r="C81" s="10">
        <f>INSCRITOS!B43</f>
        <v>1085297070</v>
      </c>
      <c r="D81" t="str">
        <f t="shared" si="3"/>
        <v>https://centrodecapacitaciondelsur.com/manejo-del-duelo-1085297070/</v>
      </c>
    </row>
    <row r="82" spans="1:4" ht="122.25" customHeight="1" x14ac:dyDescent="0.25">
      <c r="A82" s="19" t="str">
        <f>INSCRITOS!P44</f>
        <v>DUELO</v>
      </c>
      <c r="B82" s="8" t="str">
        <f t="shared" si="2"/>
        <v>https://centrodecapacitaciondelsur.com/manejo-del-duelo-</v>
      </c>
      <c r="C82" s="10">
        <f>INSCRITOS!B44</f>
        <v>59835813</v>
      </c>
      <c r="D82" t="str">
        <f t="shared" si="3"/>
        <v>https://centrodecapacitaciondelsur.com/manejo-del-duelo-59835813/</v>
      </c>
    </row>
    <row r="83" spans="1:4" ht="122.25" customHeight="1" x14ac:dyDescent="0.25">
      <c r="A83" s="19" t="str">
        <f>INSCRITOS!P45</f>
        <v>ADMON DE MEDICAMENTOS</v>
      </c>
      <c r="B83" s="8" t="str">
        <f t="shared" si="2"/>
        <v>https://centrodecapacitaciondelsur.com/adm-medicamentos-canalizacion-inyectologia-</v>
      </c>
      <c r="C83" s="10">
        <f>INSCRITOS!B45</f>
        <v>1013584940</v>
      </c>
      <c r="D83" t="str">
        <f t="shared" si="3"/>
        <v>https://centrodecapacitaciondelsur.com/adm-medicamentos-canalizacion-inyectologia-1013584940/</v>
      </c>
    </row>
    <row r="84" spans="1:4" ht="122.25" customHeight="1" x14ac:dyDescent="0.25">
      <c r="A84" s="19" t="str">
        <f>INSCRITOS!P46</f>
        <v>ADMON DE MEDICAMENTOS</v>
      </c>
      <c r="B84" s="8" t="str">
        <f t="shared" si="2"/>
        <v>https://centrodecapacitaciondelsur.com/adm-medicamentos-canalizacion-inyectologia-</v>
      </c>
      <c r="C84" s="10">
        <f>INSCRITOS!B46</f>
        <v>1087212955</v>
      </c>
      <c r="D84" t="str">
        <f t="shared" si="3"/>
        <v>https://centrodecapacitaciondelsur.com/adm-medicamentos-canalizacion-inyectologia-1087212955/</v>
      </c>
    </row>
    <row r="85" spans="1:4" ht="122.25" customHeight="1" x14ac:dyDescent="0.25">
      <c r="A85" s="19" t="str">
        <f>INSCRITOS!P47</f>
        <v>ADMON DE MEDICAMENTOS</v>
      </c>
      <c r="B85" s="8" t="str">
        <f t="shared" si="2"/>
        <v>https://centrodecapacitaciondelsur.com/adm-medicamentos-canalizacion-inyectologia-</v>
      </c>
      <c r="C85" s="10">
        <f>INSCRITOS!B47</f>
        <v>27091434</v>
      </c>
      <c r="D85" t="str">
        <f t="shared" si="3"/>
        <v>https://centrodecapacitaciondelsur.com/adm-medicamentos-canalizacion-inyectologia-27091434/</v>
      </c>
    </row>
    <row r="86" spans="1:4" ht="122.25" customHeight="1" x14ac:dyDescent="0.25">
      <c r="A86" s="19" t="str">
        <f>INSCRITOS!P48</f>
        <v>DUELO</v>
      </c>
      <c r="B86" s="8" t="str">
        <f t="shared" si="2"/>
        <v>https://centrodecapacitaciondelsur.com/manejo-del-duelo-</v>
      </c>
      <c r="C86" s="10">
        <f>INSCRITOS!B48</f>
        <v>36934933</v>
      </c>
      <c r="D86" t="str">
        <f t="shared" si="3"/>
        <v>https://centrodecapacitaciondelsur.com/manejo-del-duelo-36934933/</v>
      </c>
    </row>
    <row r="87" spans="1:4" ht="122.25" customHeight="1" x14ac:dyDescent="0.25">
      <c r="A87" s="19" t="str">
        <f>INSCRITOS!P49</f>
        <v>QUIMICOS</v>
      </c>
      <c r="B87" s="8" t="str">
        <f t="shared" si="2"/>
        <v>https://centrodecapacitaciondelsur.com/victimas-por-agentes-quimicos-</v>
      </c>
      <c r="C87" s="10">
        <f>INSCRITOS!B49</f>
        <v>36931576</v>
      </c>
      <c r="D87" t="str">
        <f t="shared" si="3"/>
        <v>https://centrodecapacitaciondelsur.com/victimas-por-agentes-quimicos-36931576/</v>
      </c>
    </row>
    <row r="88" spans="1:4" ht="122.25" customHeight="1" x14ac:dyDescent="0.25">
      <c r="A88" s="19" t="str">
        <f>INSCRITOS!P50</f>
        <v>BLS</v>
      </c>
      <c r="B88" s="8" t="str">
        <f t="shared" si="2"/>
        <v>https://centrodecapacitaciondelsur.com/soporte-basico-de-vida-</v>
      </c>
      <c r="C88" s="10">
        <f>INSCRITOS!B50</f>
        <v>1085319523</v>
      </c>
      <c r="D88" t="str">
        <f t="shared" si="3"/>
        <v>https://centrodecapacitaciondelsur.com/soporte-basico-de-vida-1085319523/</v>
      </c>
    </row>
    <row r="89" spans="1:4" ht="122.25" customHeight="1" x14ac:dyDescent="0.25">
      <c r="A89" s="19" t="str">
        <f>INSCRITOS!P51</f>
        <v>VIOLENCIA SEXUAL</v>
      </c>
      <c r="B89" s="8" t="str">
        <f t="shared" si="2"/>
        <v>https://centrodecapacitaciondelsur.com/violencia-sexual-</v>
      </c>
      <c r="C89" s="10">
        <f>INSCRITOS!B51</f>
        <v>1085319523</v>
      </c>
      <c r="D89" t="str">
        <f t="shared" si="3"/>
        <v>https://centrodecapacitaciondelsur.com/violencia-sexual-1085319523/</v>
      </c>
    </row>
    <row r="90" spans="1:4" ht="122.25" customHeight="1" x14ac:dyDescent="0.25">
      <c r="A90" s="19" t="str">
        <f>INSCRITOS!P52</f>
        <v>QUIMICOS</v>
      </c>
      <c r="B90" s="8" t="str">
        <f t="shared" si="2"/>
        <v>https://centrodecapacitaciondelsur.com/victimas-por-agentes-quimicos-</v>
      </c>
      <c r="C90" s="10">
        <f>INSCRITOS!B52</f>
        <v>1085319523</v>
      </c>
      <c r="D90" t="str">
        <f t="shared" si="3"/>
        <v>https://centrodecapacitaciondelsur.com/victimas-por-agentes-quimicos-1085319523/</v>
      </c>
    </row>
    <row r="91" spans="1:4" ht="122.25" customHeight="1" x14ac:dyDescent="0.25">
      <c r="A91" s="19" t="str">
        <f>INSCRITOS!P53</f>
        <v>DUELO</v>
      </c>
      <c r="B91" s="8" t="str">
        <f t="shared" si="2"/>
        <v>https://centrodecapacitaciondelsur.com/manejo-del-duelo-</v>
      </c>
      <c r="C91" s="10">
        <f>INSCRITOS!B53</f>
        <v>1085319523</v>
      </c>
      <c r="D91" t="str">
        <f t="shared" si="3"/>
        <v>https://centrodecapacitaciondelsur.com/manejo-del-duelo-1085319523/</v>
      </c>
    </row>
    <row r="92" spans="1:4" ht="122.25" customHeight="1" x14ac:dyDescent="0.25">
      <c r="A92" s="19" t="str">
        <f>INSCRITOS!P54</f>
        <v>DUELO</v>
      </c>
      <c r="B92" s="8" t="str">
        <f t="shared" si="2"/>
        <v>https://centrodecapacitaciondelsur.com/manejo-del-duelo-</v>
      </c>
      <c r="C92" s="10">
        <f>INSCRITOS!B54</f>
        <v>1087408837</v>
      </c>
      <c r="D92" t="str">
        <f t="shared" si="3"/>
        <v>https://centrodecapacitaciondelsur.com/manejo-del-duelo-1087408837/</v>
      </c>
    </row>
    <row r="93" spans="1:4" ht="122.25" customHeight="1" x14ac:dyDescent="0.25">
      <c r="A93" s="19" t="str">
        <f>INSCRITOS!P55</f>
        <v>STOP THE BLEED</v>
      </c>
      <c r="B93" s="8" t="s">
        <v>276</v>
      </c>
      <c r="C93" s="10">
        <f>INSCRITOS!B55</f>
        <v>1085346372</v>
      </c>
      <c r="D93" t="str">
        <f t="shared" si="3"/>
        <v>https://centrodecapacitaciondelsur.com/stop-the-bleed-1085346372/</v>
      </c>
    </row>
    <row r="94" spans="1:4" ht="122.25" customHeight="1" x14ac:dyDescent="0.25">
      <c r="A94" s="19" t="str">
        <f>INSCRITOS!P56</f>
        <v>STOP THE BLEED</v>
      </c>
      <c r="B94" s="8" t="s">
        <v>276</v>
      </c>
      <c r="C94" s="10">
        <f>INSCRITOS!B56</f>
        <v>1081055626</v>
      </c>
      <c r="D94" t="str">
        <f t="shared" si="3"/>
        <v>https://centrodecapacitaciondelsur.com/stop-the-bleed-1081055626/</v>
      </c>
    </row>
    <row r="95" spans="1:4" ht="122.25" customHeight="1" x14ac:dyDescent="0.25">
      <c r="A95" s="19" t="str">
        <f>INSCRITOS!P57</f>
        <v>DUELO</v>
      </c>
      <c r="B95" s="8" t="str">
        <f t="shared" si="2"/>
        <v>https://centrodecapacitaciondelsur.com/manejo-del-duelo-</v>
      </c>
      <c r="C95" s="10">
        <f>INSCRITOS!B57</f>
        <v>27091114</v>
      </c>
      <c r="D95" t="str">
        <f t="shared" si="3"/>
        <v>https://centrodecapacitaciondelsur.com/manejo-del-duelo-27091114/</v>
      </c>
    </row>
    <row r="96" spans="1:4" ht="122.25" customHeight="1" x14ac:dyDescent="0.25">
      <c r="A96" s="19" t="str">
        <f>INSCRITOS!P58</f>
        <v>PALIATIVOS</v>
      </c>
      <c r="B96" s="8" t="str">
        <f t="shared" ref="B96:B159" si="4">IF(A96=$H$19,"https://centrodecapacitaciondelsur.com/o-v-e-",IF(A96=$H$2,"https://centrodecapacitaciondelsur.com/aph-",IF(A96=$H$3,"https://centrodecapacitaciondelsur.com/manejo-del-duelo-",IF(A96=$H$4,"https://centrodecapacitaciondelsur.com/victimas-por-agentes-quimicos-",IF(A96=$H$5,"https://centrodecapacitaciondelsur.com/primeros-auxilios-",IF(A96=$H$6,"https://centrodecapacitaciondelsur.com/uci-",IF(A96=$H$8,"https://centrodecapacitaciondelsur.com/humanizacion-",IF(A96=$H$11,"https://centrodecapacitaciondelsur.com/soporte-cardiovascular-avanzado-",IF(A96=$H$12,"https://centrodecapacitaciondelsur.com/camillero-",IF(A96=$H$13,"https://centrodecapacitaciondelsur.com/toma-de-muestras-y-lab-clinico-",IF(A96=$H$14,"https://centrodecapacitaciondelsur.com/soporte-basico-de-vida-",IF(A96=$H$15,"https://centrodecapacitaciondelsur.com/violencia-sexual-",IF(A96=$H$17,"https://centrodecapacitaciondelsur.com/aiepi-",IF(A96=$H$18,"https://centrodecapacitaciondelsur.com/adm-medicamentos-canalizacion-inyectologia-",IF(A96=$H$25,"https://centrodecapacitaciondelsur.com/manejo-del-dolor-y-cuidados-paliativos-",IF(A96=$H$26,"https://centrodecapacitaciondelsur.com/toma-de-muestras-y-lab-clinico-poct-",IF(A96=$H$27,"https://centrodecapacitaciondelsur.com/implante-subdermico-",IF(A96=$H$21,"https://centrodecapacitaciondelsur.com/donante-de-organos-",IF(A96=$H$30,"https://centrodecapacitaciondelsur.com/atencion-a-victimas-del-conflicto-armado-",IF(A96=$H$20,"https://centrodecapacitaciondelsur.com/iami-",IF(A96=$H$22,"https://centrodecapacitaciondelsur.com/violencia-de-genero-",IF(A96=$H$23,"https://centrodecapacitaciondelsur.com/igualdad-de-genero-",IF(A96=$H$16,"https://centrodecapacitaciondelsur.com/pai-",IF(A96=$H$31,"https://centrodecapacitaciondelsur.com/manipulacion-de-alimentos-",IF(A96=$H$32,"https://centrodecapacitaciondelsur.com/atencion-a-personas-con-discapacidad-",IF(A96=$H$33,"https://centrodecapacitaciondelsur.com/atencion-al-adulto-mayor-",IF(A96=$H$34,"https://centrodecapacitaciondelsur.com/manejo-defensivo-",IF(A96=$H$35,"https://centrodecapacitaciondelsur.com/soporte-basico-neonatal-",IF(A96=$H$36,"https://centrodecapacitaciondelsur.com/seguridad-del-paciente-",IF(A96=$H$37,"https://centrodecapacitaciondelsur.com/manejo-de-residuos-hospitalarios-",IF(A96=$H$10,"https://centrodecapacitaciondelsur.com/toma-de-citologia-",IF(A96=$H$29,"https://centrodecapacitaciondelsur.com/primeros-aux-psicologicos-"))))))))))))))))))))))))))))))))</f>
        <v>https://centrodecapacitaciondelsur.com/manejo-del-dolor-y-cuidados-paliativos-</v>
      </c>
      <c r="C96" s="10">
        <f>INSCRITOS!B58</f>
        <v>27091114</v>
      </c>
      <c r="D96" t="str">
        <f t="shared" ref="D96:D159" si="5">CONCATENATE(B96,C96,"/")</f>
        <v>https://centrodecapacitaciondelsur.com/manejo-del-dolor-y-cuidados-paliativos-27091114/</v>
      </c>
    </row>
    <row r="97" spans="1:4" ht="122.25" customHeight="1" x14ac:dyDescent="0.25">
      <c r="A97" s="19" t="str">
        <f>INSCRITOS!P59</f>
        <v>DUELO</v>
      </c>
      <c r="B97" s="8" t="str">
        <f t="shared" si="4"/>
        <v>https://centrodecapacitaciondelsur.com/manejo-del-duelo-</v>
      </c>
      <c r="C97" s="10">
        <f>INSCRITOS!B59</f>
        <v>13064773</v>
      </c>
      <c r="D97" t="str">
        <f t="shared" si="5"/>
        <v>https://centrodecapacitaciondelsur.com/manejo-del-duelo-13064773/</v>
      </c>
    </row>
    <row r="98" spans="1:4" ht="122.25" customHeight="1" x14ac:dyDescent="0.25">
      <c r="A98" s="19" t="str">
        <f>INSCRITOS!P60</f>
        <v>QUIMICOS</v>
      </c>
      <c r="B98" s="8" t="str">
        <f t="shared" si="4"/>
        <v>https://centrodecapacitaciondelsur.com/victimas-por-agentes-quimicos-</v>
      </c>
      <c r="C98" s="10">
        <f>INSCRITOS!B60</f>
        <v>13064773</v>
      </c>
      <c r="D98" t="str">
        <f t="shared" si="5"/>
        <v>https://centrodecapacitaciondelsur.com/victimas-por-agentes-quimicos-13064773/</v>
      </c>
    </row>
    <row r="99" spans="1:4" ht="122.25" customHeight="1" x14ac:dyDescent="0.25">
      <c r="A99" s="19" t="str">
        <f>INSCRITOS!P61</f>
        <v>AIEPI</v>
      </c>
      <c r="B99" s="8" t="str">
        <f t="shared" si="4"/>
        <v>https://centrodecapacitaciondelsur.com/aiepi-</v>
      </c>
      <c r="C99" s="10">
        <f>INSCRITOS!B61</f>
        <v>13064773</v>
      </c>
      <c r="D99" t="str">
        <f t="shared" si="5"/>
        <v>https://centrodecapacitaciondelsur.com/aiepi-13064773/</v>
      </c>
    </row>
    <row r="100" spans="1:4" ht="122.25" customHeight="1" x14ac:dyDescent="0.25">
      <c r="A100" s="19" t="str">
        <f>INSCRITOS!P62</f>
        <v>POCT</v>
      </c>
      <c r="B100" s="8" t="str">
        <f t="shared" si="4"/>
        <v>https://centrodecapacitaciondelsur.com/toma-de-muestras-y-lab-clinico-poct-</v>
      </c>
      <c r="C100" s="10">
        <f>INSCRITOS!B62</f>
        <v>27219697</v>
      </c>
      <c r="D100" t="str">
        <f t="shared" si="5"/>
        <v>https://centrodecapacitaciondelsur.com/toma-de-muestras-y-lab-clinico-poct-27219697/</v>
      </c>
    </row>
    <row r="101" spans="1:4" ht="122.25" customHeight="1" x14ac:dyDescent="0.25">
      <c r="A101" s="19" t="str">
        <f>INSCRITOS!P63</f>
        <v>POCT</v>
      </c>
      <c r="B101" s="8" t="str">
        <f t="shared" si="4"/>
        <v>https://centrodecapacitaciondelsur.com/toma-de-muestras-y-lab-clinico-poct-</v>
      </c>
      <c r="C101" s="10">
        <f>INSCRITOS!B63</f>
        <v>1085269680</v>
      </c>
      <c r="D101" t="str">
        <f t="shared" si="5"/>
        <v>https://centrodecapacitaciondelsur.com/toma-de-muestras-y-lab-clinico-poct-1085269680/</v>
      </c>
    </row>
    <row r="102" spans="1:4" ht="122.25" customHeight="1" x14ac:dyDescent="0.25">
      <c r="A102" s="19" t="str">
        <f>INSCRITOS!P64</f>
        <v>POCT</v>
      </c>
      <c r="B102" s="8" t="str">
        <f t="shared" si="4"/>
        <v>https://centrodecapacitaciondelsur.com/toma-de-muestras-y-lab-clinico-poct-</v>
      </c>
      <c r="C102" s="10">
        <f>INSCRITOS!B64</f>
        <v>1089846462</v>
      </c>
      <c r="D102" t="str">
        <f t="shared" si="5"/>
        <v>https://centrodecapacitaciondelsur.com/toma-de-muestras-y-lab-clinico-poct-1089846462/</v>
      </c>
    </row>
    <row r="103" spans="1:4" ht="122.25" customHeight="1" x14ac:dyDescent="0.25">
      <c r="A103" s="19" t="str">
        <f>INSCRITOS!P65</f>
        <v>POCT</v>
      </c>
      <c r="B103" s="8" t="str">
        <f t="shared" si="4"/>
        <v>https://centrodecapacitaciondelsur.com/toma-de-muestras-y-lab-clinico-poct-</v>
      </c>
      <c r="C103" s="10">
        <f>INSCRITOS!B65</f>
        <v>59821548</v>
      </c>
      <c r="D103" t="str">
        <f t="shared" si="5"/>
        <v>https://centrodecapacitaciondelsur.com/toma-de-muestras-y-lab-clinico-poct-59821548/</v>
      </c>
    </row>
    <row r="104" spans="1:4" ht="122.25" customHeight="1" x14ac:dyDescent="0.25">
      <c r="A104" s="19" t="str">
        <f>INSCRITOS!P66</f>
        <v>POCT</v>
      </c>
      <c r="B104" s="8" t="str">
        <f t="shared" si="4"/>
        <v>https://centrodecapacitaciondelsur.com/toma-de-muestras-y-lab-clinico-poct-</v>
      </c>
      <c r="C104" s="10">
        <f>INSCRITOS!B66</f>
        <v>37084018</v>
      </c>
      <c r="D104" t="str">
        <f t="shared" si="5"/>
        <v>https://centrodecapacitaciondelsur.com/toma-de-muestras-y-lab-clinico-poct-37084018/</v>
      </c>
    </row>
    <row r="105" spans="1:4" ht="122.25" customHeight="1" x14ac:dyDescent="0.25">
      <c r="A105" s="19" t="str">
        <f>INSCRITOS!P67</f>
        <v>POCT</v>
      </c>
      <c r="B105" s="8" t="str">
        <f t="shared" si="4"/>
        <v>https://centrodecapacitaciondelsur.com/toma-de-muestras-y-lab-clinico-poct-</v>
      </c>
      <c r="C105" s="10">
        <f>INSCRITOS!B67</f>
        <v>1006849055</v>
      </c>
      <c r="D105" t="str">
        <f t="shared" si="5"/>
        <v>https://centrodecapacitaciondelsur.com/toma-de-muestras-y-lab-clinico-poct-1006849055/</v>
      </c>
    </row>
    <row r="106" spans="1:4" ht="122.25" customHeight="1" x14ac:dyDescent="0.25">
      <c r="A106" s="19" t="str">
        <f>INSCRITOS!P68</f>
        <v>POCT</v>
      </c>
      <c r="B106" s="8" t="str">
        <f t="shared" si="4"/>
        <v>https://centrodecapacitaciondelsur.com/toma-de-muestras-y-lab-clinico-poct-</v>
      </c>
      <c r="C106" s="10">
        <f>INSCRITOS!B68</f>
        <v>1131085776</v>
      </c>
      <c r="D106" t="str">
        <f t="shared" si="5"/>
        <v>https://centrodecapacitaciondelsur.com/toma-de-muestras-y-lab-clinico-poct-1131085776/</v>
      </c>
    </row>
    <row r="107" spans="1:4" ht="122.25" customHeight="1" x14ac:dyDescent="0.25">
      <c r="A107" s="19" t="str">
        <f>INSCRITOS!P69</f>
        <v>BLS</v>
      </c>
      <c r="B107" s="8" t="str">
        <f t="shared" si="4"/>
        <v>https://centrodecapacitaciondelsur.com/soporte-basico-de-vida-</v>
      </c>
      <c r="C107" s="10">
        <f>INSCRITOS!B69</f>
        <v>1085311643</v>
      </c>
      <c r="D107" t="str">
        <f t="shared" si="5"/>
        <v>https://centrodecapacitaciondelsur.com/soporte-basico-de-vida-1085311643/</v>
      </c>
    </row>
    <row r="108" spans="1:4" ht="122.25" customHeight="1" x14ac:dyDescent="0.25">
      <c r="A108" s="19" t="str">
        <f>INSCRITOS!P70</f>
        <v>BLS</v>
      </c>
      <c r="B108" s="8" t="str">
        <f t="shared" si="4"/>
        <v>https://centrodecapacitaciondelsur.com/soporte-basico-de-vida-</v>
      </c>
      <c r="C108" s="10">
        <f>INSCRITOS!B70</f>
        <v>1085346372</v>
      </c>
      <c r="D108" t="str">
        <f t="shared" si="5"/>
        <v>https://centrodecapacitaciondelsur.com/soporte-basico-de-vida-1085346372/</v>
      </c>
    </row>
    <row r="109" spans="1:4" ht="122.25" customHeight="1" x14ac:dyDescent="0.25">
      <c r="A109" s="19" t="str">
        <f>INSCRITOS!P71</f>
        <v>BLS</v>
      </c>
      <c r="B109" s="8" t="str">
        <f t="shared" si="4"/>
        <v>https://centrodecapacitaciondelsur.com/soporte-basico-de-vida-</v>
      </c>
      <c r="C109" s="10">
        <f>INSCRITOS!B71</f>
        <v>1081055626</v>
      </c>
      <c r="D109" t="str">
        <f t="shared" si="5"/>
        <v>https://centrodecapacitaciondelsur.com/soporte-basico-de-vida-1081055626/</v>
      </c>
    </row>
    <row r="110" spans="1:4" ht="122.25" customHeight="1" x14ac:dyDescent="0.25">
      <c r="A110" s="19" t="str">
        <f>INSCRITOS!P72</f>
        <v>POCT</v>
      </c>
      <c r="B110" s="8" t="str">
        <f t="shared" si="4"/>
        <v>https://centrodecapacitaciondelsur.com/toma-de-muestras-y-lab-clinico-poct-</v>
      </c>
      <c r="C110" s="10">
        <f>INSCRITOS!B72</f>
        <v>37087132</v>
      </c>
      <c r="D110" t="str">
        <f t="shared" si="5"/>
        <v>https://centrodecapacitaciondelsur.com/toma-de-muestras-y-lab-clinico-poct-37087132/</v>
      </c>
    </row>
    <row r="111" spans="1:4" ht="122.25" customHeight="1" x14ac:dyDescent="0.25">
      <c r="A111" s="19" t="str">
        <f>INSCRITOS!P73</f>
        <v>POCT</v>
      </c>
      <c r="B111" s="8" t="str">
        <f t="shared" si="4"/>
        <v>https://centrodecapacitaciondelsur.com/toma-de-muestras-y-lab-clinico-poct-</v>
      </c>
      <c r="C111" s="10">
        <f>INSCRITOS!B73</f>
        <v>1072921838</v>
      </c>
      <c r="D111" t="str">
        <f t="shared" si="5"/>
        <v>https://centrodecapacitaciondelsur.com/toma-de-muestras-y-lab-clinico-poct-1072921838/</v>
      </c>
    </row>
    <row r="112" spans="1:4" ht="122.25" customHeight="1" x14ac:dyDescent="0.25">
      <c r="A112" s="19" t="str">
        <f>INSCRITOS!P74</f>
        <v>POCT</v>
      </c>
      <c r="B112" s="8" t="str">
        <f t="shared" si="4"/>
        <v>https://centrodecapacitaciondelsur.com/toma-de-muestras-y-lab-clinico-poct-</v>
      </c>
      <c r="C112" s="10">
        <f>INSCRITOS!B74</f>
        <v>1085245956</v>
      </c>
      <c r="D112" t="str">
        <f t="shared" si="5"/>
        <v>https://centrodecapacitaciondelsur.com/toma-de-muestras-y-lab-clinico-poct-1085245956/</v>
      </c>
    </row>
    <row r="113" spans="1:4" ht="122.25" customHeight="1" x14ac:dyDescent="0.25">
      <c r="A113" s="19" t="str">
        <f>INSCRITOS!P75</f>
        <v>POCT</v>
      </c>
      <c r="B113" s="8" t="str">
        <f t="shared" si="4"/>
        <v>https://centrodecapacitaciondelsur.com/toma-de-muestras-y-lab-clinico-poct-</v>
      </c>
      <c r="C113" s="10">
        <f>INSCRITOS!B75</f>
        <v>37082958</v>
      </c>
      <c r="D113" t="str">
        <f t="shared" si="5"/>
        <v>https://centrodecapacitaciondelsur.com/toma-de-muestras-y-lab-clinico-poct-37082958/</v>
      </c>
    </row>
    <row r="114" spans="1:4" ht="122.25" customHeight="1" x14ac:dyDescent="0.25">
      <c r="A114" s="19" t="str">
        <f>INSCRITOS!P76</f>
        <v>BLS</v>
      </c>
      <c r="B114" s="8" t="str">
        <f t="shared" si="4"/>
        <v>https://centrodecapacitaciondelsur.com/soporte-basico-de-vida-</v>
      </c>
      <c r="C114" s="10">
        <f>INSCRITOS!B76</f>
        <v>918436287</v>
      </c>
      <c r="D114" t="str">
        <f t="shared" si="5"/>
        <v>https://centrodecapacitaciondelsur.com/soporte-basico-de-vida-918436287/</v>
      </c>
    </row>
    <row r="115" spans="1:4" ht="122.25" customHeight="1" x14ac:dyDescent="0.25">
      <c r="A115" s="19" t="str">
        <f>INSCRITOS!P77</f>
        <v>VIOLENCIA SEXUAL</v>
      </c>
      <c r="B115" s="8" t="str">
        <f t="shared" si="4"/>
        <v>https://centrodecapacitaciondelsur.com/violencia-sexual-</v>
      </c>
      <c r="C115" s="10">
        <f>INSCRITOS!B77</f>
        <v>1085255251</v>
      </c>
      <c r="D115" t="str">
        <f t="shared" si="5"/>
        <v>https://centrodecapacitaciondelsur.com/violencia-sexual-1085255251/</v>
      </c>
    </row>
    <row r="116" spans="1:4" ht="122.25" customHeight="1" x14ac:dyDescent="0.25">
      <c r="A116" s="19" t="str">
        <f>INSCRITOS!P78</f>
        <v>DUELO</v>
      </c>
      <c r="B116" s="8" t="str">
        <f t="shared" si="4"/>
        <v>https://centrodecapacitaciondelsur.com/manejo-del-duelo-</v>
      </c>
      <c r="C116" s="10">
        <f>INSCRITOS!B78</f>
        <v>1087407308</v>
      </c>
      <c r="D116" t="str">
        <f t="shared" si="5"/>
        <v>https://centrodecapacitaciondelsur.com/manejo-del-duelo-1087407308/</v>
      </c>
    </row>
    <row r="117" spans="1:4" ht="122.25" customHeight="1" x14ac:dyDescent="0.25">
      <c r="A117" s="19" t="str">
        <f>INSCRITOS!P79</f>
        <v>BLS</v>
      </c>
      <c r="B117" s="8" t="str">
        <f t="shared" si="4"/>
        <v>https://centrodecapacitaciondelsur.com/soporte-basico-de-vida-</v>
      </c>
      <c r="C117" s="10">
        <f>INSCRITOS!B79</f>
        <v>1004438607</v>
      </c>
      <c r="D117" t="str">
        <f t="shared" si="5"/>
        <v>https://centrodecapacitaciondelsur.com/soporte-basico-de-vida-1004438607/</v>
      </c>
    </row>
    <row r="118" spans="1:4" ht="122.25" customHeight="1" x14ac:dyDescent="0.25">
      <c r="A118" s="19" t="str">
        <f>INSCRITOS!P80</f>
        <v>DUELO</v>
      </c>
      <c r="B118" s="8" t="str">
        <f t="shared" si="4"/>
        <v>https://centrodecapacitaciondelsur.com/manejo-del-duelo-</v>
      </c>
      <c r="C118" s="10">
        <f>INSCRITOS!B80</f>
        <v>1004438607</v>
      </c>
      <c r="D118" t="str">
        <f t="shared" si="5"/>
        <v>https://centrodecapacitaciondelsur.com/manejo-del-duelo-1004438607/</v>
      </c>
    </row>
    <row r="119" spans="1:4" ht="122.25" customHeight="1" x14ac:dyDescent="0.25">
      <c r="A119" s="19" t="str">
        <f>INSCRITOS!P81</f>
        <v>PRIMEROS AUXILIOS P</v>
      </c>
      <c r="B119" s="8" t="str">
        <f t="shared" si="4"/>
        <v>https://centrodecapacitaciondelsur.com/primeros-aux-psicologicos-</v>
      </c>
      <c r="C119" s="10">
        <f>INSCRITOS!B81</f>
        <v>1004438607</v>
      </c>
      <c r="D119" t="str">
        <f t="shared" si="5"/>
        <v>https://centrodecapacitaciondelsur.com/primeros-aux-psicologicos-1004438607/</v>
      </c>
    </row>
    <row r="120" spans="1:4" ht="122.25" customHeight="1" x14ac:dyDescent="0.25">
      <c r="A120" s="19" t="str">
        <f>INSCRITOS!P82</f>
        <v>SALUD MENTAL</v>
      </c>
      <c r="B120" s="8" t="s">
        <v>329</v>
      </c>
      <c r="C120" s="10">
        <f>INSCRITOS!B82</f>
        <v>1004438607</v>
      </c>
      <c r="D120" t="str">
        <f t="shared" si="5"/>
        <v>https://centrodecapacitaciondelsur.com/salus-mental-1004438607/</v>
      </c>
    </row>
    <row r="121" spans="1:4" ht="122.25" customHeight="1" x14ac:dyDescent="0.25">
      <c r="A121" s="19" t="str">
        <f>INSCRITOS!P83</f>
        <v>POCT</v>
      </c>
      <c r="B121" s="8" t="str">
        <f t="shared" si="4"/>
        <v>https://centrodecapacitaciondelsur.com/toma-de-muestras-y-lab-clinico-poct-</v>
      </c>
      <c r="C121" s="10">
        <f>INSCRITOS!B83</f>
        <v>36951376</v>
      </c>
      <c r="D121" t="str">
        <f t="shared" si="5"/>
        <v>https://centrodecapacitaciondelsur.com/toma-de-muestras-y-lab-clinico-poct-36951376/</v>
      </c>
    </row>
    <row r="122" spans="1:4" ht="122.25" customHeight="1" x14ac:dyDescent="0.25">
      <c r="A122" s="19" t="str">
        <f>INSCRITOS!P84</f>
        <v>VIOLENCIA SEXUAL</v>
      </c>
      <c r="B122" s="8" t="str">
        <f t="shared" si="4"/>
        <v>https://centrodecapacitaciondelsur.com/violencia-sexual-</v>
      </c>
      <c r="C122" s="10">
        <f>INSCRITOS!B84</f>
        <v>1061693408</v>
      </c>
      <c r="D122" t="str">
        <f t="shared" si="5"/>
        <v>https://centrodecapacitaciondelsur.com/violencia-sexual-1061693408/</v>
      </c>
    </row>
    <row r="123" spans="1:4" ht="122.25" customHeight="1" x14ac:dyDescent="0.25">
      <c r="A123" s="19" t="str">
        <f>INSCRITOS!P85</f>
        <v>BLS</v>
      </c>
      <c r="B123" s="8" t="str">
        <f t="shared" si="4"/>
        <v>https://centrodecapacitaciondelsur.com/soporte-basico-de-vida-</v>
      </c>
      <c r="C123" s="10">
        <f>INSCRITOS!B85</f>
        <v>1004539452</v>
      </c>
      <c r="D123" t="str">
        <f t="shared" si="5"/>
        <v>https://centrodecapacitaciondelsur.com/soporte-basico-de-vida-1004539452/</v>
      </c>
    </row>
    <row r="124" spans="1:4" ht="122.25" customHeight="1" x14ac:dyDescent="0.25">
      <c r="A124" s="19" t="str">
        <f>INSCRITOS!P86</f>
        <v>POCT</v>
      </c>
      <c r="B124" s="8" t="str">
        <f t="shared" si="4"/>
        <v>https://centrodecapacitaciondelsur.com/toma-de-muestras-y-lab-clinico-poct-</v>
      </c>
      <c r="C124" s="10">
        <f>INSCRITOS!B86</f>
        <v>38644168</v>
      </c>
      <c r="D124" t="str">
        <f t="shared" si="5"/>
        <v>https://centrodecapacitaciondelsur.com/toma-de-muestras-y-lab-clinico-poct-38644168/</v>
      </c>
    </row>
    <row r="125" spans="1:4" ht="122.25" customHeight="1" x14ac:dyDescent="0.25">
      <c r="A125" s="19" t="str">
        <f>INSCRITOS!P87</f>
        <v>BLS</v>
      </c>
      <c r="B125" s="8" t="str">
        <f t="shared" si="4"/>
        <v>https://centrodecapacitaciondelsur.com/soporte-basico-de-vida-</v>
      </c>
      <c r="C125" s="10">
        <f>INSCRITOS!B87</f>
        <v>98397110</v>
      </c>
      <c r="D125" t="str">
        <f t="shared" si="5"/>
        <v>https://centrodecapacitaciondelsur.com/soporte-basico-de-vida-98397110/</v>
      </c>
    </row>
    <row r="126" spans="1:4" ht="122.25" customHeight="1" x14ac:dyDescent="0.25">
      <c r="A126" s="19" t="str">
        <f>INSCRITOS!P88</f>
        <v>DUELO</v>
      </c>
      <c r="B126" s="8" t="str">
        <f t="shared" si="4"/>
        <v>https://centrodecapacitaciondelsur.com/manejo-del-duelo-</v>
      </c>
      <c r="C126" s="10">
        <f>INSCRITOS!B88</f>
        <v>98397110</v>
      </c>
      <c r="D126" t="str">
        <f t="shared" si="5"/>
        <v>https://centrodecapacitaciondelsur.com/manejo-del-duelo-98397110/</v>
      </c>
    </row>
    <row r="127" spans="1:4" ht="122.25" customHeight="1" x14ac:dyDescent="0.25">
      <c r="A127" s="19" t="str">
        <f>INSCRITOS!P89</f>
        <v>HUMANIZACION</v>
      </c>
      <c r="B127" s="8" t="str">
        <f t="shared" si="4"/>
        <v>https://centrodecapacitaciondelsur.com/humanizacion-</v>
      </c>
      <c r="C127" s="10">
        <f>INSCRITOS!B89</f>
        <v>98397110</v>
      </c>
      <c r="D127" t="str">
        <f t="shared" si="5"/>
        <v>https://centrodecapacitaciondelsur.com/humanizacion-98397110/</v>
      </c>
    </row>
    <row r="128" spans="1:4" ht="122.25" customHeight="1" x14ac:dyDescent="0.25">
      <c r="A128" s="19" t="str">
        <f>INSCRITOS!P90</f>
        <v>VIOLENCIA SEXUAL</v>
      </c>
      <c r="B128" s="8" t="str">
        <f t="shared" si="4"/>
        <v>https://centrodecapacitaciondelsur.com/violencia-sexual-</v>
      </c>
      <c r="C128" s="10">
        <f>INSCRITOS!B90</f>
        <v>98397110</v>
      </c>
      <c r="D128" t="str">
        <f t="shared" si="5"/>
        <v>https://centrodecapacitaciondelsur.com/violencia-sexual-98397110/</v>
      </c>
    </row>
    <row r="129" spans="1:4" ht="122.25" customHeight="1" x14ac:dyDescent="0.25">
      <c r="A129" s="19" t="str">
        <f>INSCRITOS!P91</f>
        <v>BLS</v>
      </c>
      <c r="B129" s="8" t="str">
        <f t="shared" si="4"/>
        <v>https://centrodecapacitaciondelsur.com/soporte-basico-de-vida-</v>
      </c>
      <c r="C129" s="10">
        <f>INSCRITOS!B91</f>
        <v>1085939028</v>
      </c>
      <c r="D129" t="str">
        <f t="shared" si="5"/>
        <v>https://centrodecapacitaciondelsur.com/soporte-basico-de-vida-1085939028/</v>
      </c>
    </row>
    <row r="130" spans="1:4" ht="122.25" customHeight="1" x14ac:dyDescent="0.25">
      <c r="A130" s="19" t="str">
        <f>INSCRITOS!P92</f>
        <v>HUMANIZACION</v>
      </c>
      <c r="B130" s="8" t="str">
        <f t="shared" si="4"/>
        <v>https://centrodecapacitaciondelsur.com/humanizacion-</v>
      </c>
      <c r="C130" s="10">
        <f>INSCRITOS!B92</f>
        <v>1088729829</v>
      </c>
      <c r="D130" t="str">
        <f t="shared" si="5"/>
        <v>https://centrodecapacitaciondelsur.com/humanizacion-1088729829/</v>
      </c>
    </row>
    <row r="131" spans="1:4" ht="122.25" customHeight="1" x14ac:dyDescent="0.25">
      <c r="A131" s="19" t="str">
        <f>INSCRITOS!P93</f>
        <v>BLS</v>
      </c>
      <c r="B131" s="8" t="str">
        <f t="shared" si="4"/>
        <v>https://centrodecapacitaciondelsur.com/soporte-basico-de-vida-</v>
      </c>
      <c r="C131" s="10">
        <f>INSCRITOS!B93</f>
        <v>1089458772</v>
      </c>
      <c r="D131" t="str">
        <f t="shared" si="5"/>
        <v>https://centrodecapacitaciondelsur.com/soporte-basico-de-vida-1089458772/</v>
      </c>
    </row>
    <row r="132" spans="1:4" ht="122.25" customHeight="1" x14ac:dyDescent="0.25">
      <c r="A132" s="19" t="str">
        <f>INSCRITOS!P94</f>
        <v>VIOLENCIA SEXUAL</v>
      </c>
      <c r="B132" s="8" t="str">
        <f t="shared" si="4"/>
        <v>https://centrodecapacitaciondelsur.com/violencia-sexual-</v>
      </c>
      <c r="C132" s="10">
        <f>INSCRITOS!B94</f>
        <v>1089458772</v>
      </c>
      <c r="D132" t="str">
        <f t="shared" si="5"/>
        <v>https://centrodecapacitaciondelsur.com/violencia-sexual-1089458772/</v>
      </c>
    </row>
    <row r="133" spans="1:4" ht="122.25" customHeight="1" x14ac:dyDescent="0.25">
      <c r="A133" s="19" t="str">
        <f>INSCRITOS!P95</f>
        <v>HUMANIZACION</v>
      </c>
      <c r="B133" s="8" t="str">
        <f t="shared" si="4"/>
        <v>https://centrodecapacitaciondelsur.com/humanizacion-</v>
      </c>
      <c r="C133" s="10">
        <f>INSCRITOS!B95</f>
        <v>1004192571</v>
      </c>
      <c r="D133" t="str">
        <f t="shared" si="5"/>
        <v>https://centrodecapacitaciondelsur.com/humanizacion-1004192571/</v>
      </c>
    </row>
    <row r="134" spans="1:4" ht="122.25" customHeight="1" x14ac:dyDescent="0.25">
      <c r="A134" s="19" t="str">
        <f>INSCRITOS!P96</f>
        <v>VIOLENCIA SEXUAL</v>
      </c>
      <c r="B134" s="8" t="str">
        <f t="shared" si="4"/>
        <v>https://centrodecapacitaciondelsur.com/violencia-sexual-</v>
      </c>
      <c r="C134" s="10">
        <f>INSCRITOS!B96</f>
        <v>1085301199</v>
      </c>
      <c r="D134" t="str">
        <f t="shared" si="5"/>
        <v>https://centrodecapacitaciondelsur.com/violencia-sexual-1085301199/</v>
      </c>
    </row>
    <row r="135" spans="1:4" ht="122.25" customHeight="1" x14ac:dyDescent="0.25">
      <c r="A135" s="19" t="str">
        <f>INSCRITOS!P97</f>
        <v>BLS</v>
      </c>
      <c r="B135" s="8" t="str">
        <f t="shared" si="4"/>
        <v>https://centrodecapacitaciondelsur.com/soporte-basico-de-vida-</v>
      </c>
      <c r="C135" s="10">
        <f>INSCRITOS!B97</f>
        <v>1085939038</v>
      </c>
      <c r="D135" t="str">
        <f t="shared" si="5"/>
        <v>https://centrodecapacitaciondelsur.com/soporte-basico-de-vida-1085939038/</v>
      </c>
    </row>
    <row r="136" spans="1:4" ht="122.25" customHeight="1" x14ac:dyDescent="0.25">
      <c r="A136" s="19" t="str">
        <f>INSCRITOS!P98</f>
        <v>AIEPI</v>
      </c>
      <c r="B136" s="8" t="str">
        <f t="shared" si="4"/>
        <v>https://centrodecapacitaciondelsur.com/aiepi-</v>
      </c>
      <c r="C136" s="10">
        <f>INSCRITOS!B98</f>
        <v>1126567107</v>
      </c>
      <c r="D136" t="str">
        <f t="shared" si="5"/>
        <v>https://centrodecapacitaciondelsur.com/aiepi-1126567107/</v>
      </c>
    </row>
    <row r="137" spans="1:4" ht="122.25" customHeight="1" x14ac:dyDescent="0.25">
      <c r="A137" s="19" t="str">
        <f>INSCRITOS!P99</f>
        <v>VIOLENCIA SEXUAL</v>
      </c>
      <c r="B137" s="8" t="str">
        <f t="shared" si="4"/>
        <v>https://centrodecapacitaciondelsur.com/violencia-sexual-</v>
      </c>
      <c r="C137" s="10">
        <f>INSCRITOS!B99</f>
        <v>1193483187</v>
      </c>
      <c r="D137" t="str">
        <f t="shared" si="5"/>
        <v>https://centrodecapacitaciondelsur.com/violencia-sexual-1193483187/</v>
      </c>
    </row>
    <row r="138" spans="1:4" ht="122.25" customHeight="1" x14ac:dyDescent="0.25">
      <c r="A138" s="19" t="str">
        <f>INSCRITOS!P100</f>
        <v>ACLS</v>
      </c>
      <c r="B138" s="8" t="str">
        <f t="shared" si="4"/>
        <v>https://centrodecapacitaciondelsur.com/soporte-cardiovascular-avanzado-</v>
      </c>
      <c r="C138" s="10">
        <f>INSCRITOS!B100</f>
        <v>12919771</v>
      </c>
      <c r="D138" t="str">
        <f t="shared" si="5"/>
        <v>https://centrodecapacitaciondelsur.com/soporte-cardiovascular-avanzado-12919771/</v>
      </c>
    </row>
    <row r="139" spans="1:4" ht="122.25" customHeight="1" x14ac:dyDescent="0.25">
      <c r="A139" s="19" t="str">
        <f>INSCRITOS!P101</f>
        <v>DUELO</v>
      </c>
      <c r="B139" s="8" t="str">
        <f t="shared" si="4"/>
        <v>https://centrodecapacitaciondelsur.com/manejo-del-duelo-</v>
      </c>
      <c r="C139" s="10">
        <f>INSCRITOS!B101</f>
        <v>27461794</v>
      </c>
      <c r="D139" t="str">
        <f t="shared" si="5"/>
        <v>https://centrodecapacitaciondelsur.com/manejo-del-duelo-27461794/</v>
      </c>
    </row>
    <row r="140" spans="1:4" ht="122.25" customHeight="1" x14ac:dyDescent="0.25">
      <c r="A140" s="19" t="str">
        <f>INSCRITOS!P102</f>
        <v>BLS</v>
      </c>
      <c r="B140" s="8" t="str">
        <f t="shared" si="4"/>
        <v>https://centrodecapacitaciondelsur.com/soporte-basico-de-vida-</v>
      </c>
      <c r="C140" s="10">
        <f>INSCRITOS!B102</f>
        <v>1004538964</v>
      </c>
      <c r="D140" t="str">
        <f t="shared" si="5"/>
        <v>https://centrodecapacitaciondelsur.com/soporte-basico-de-vida-1004538964/</v>
      </c>
    </row>
    <row r="141" spans="1:4" ht="122.25" customHeight="1" x14ac:dyDescent="0.25">
      <c r="A141" s="19" t="str">
        <f>INSCRITOS!P103</f>
        <v>DUELO</v>
      </c>
      <c r="B141" s="8" t="str">
        <f t="shared" si="4"/>
        <v>https://centrodecapacitaciondelsur.com/manejo-del-duelo-</v>
      </c>
      <c r="C141" s="10">
        <f>INSCRITOS!B103</f>
        <v>1087419325</v>
      </c>
      <c r="D141" t="str">
        <f t="shared" si="5"/>
        <v>https://centrodecapacitaciondelsur.com/manejo-del-duelo-1087419325/</v>
      </c>
    </row>
    <row r="142" spans="1:4" ht="122.25" customHeight="1" x14ac:dyDescent="0.25">
      <c r="A142" s="19" t="str">
        <f>INSCRITOS!P104</f>
        <v>DUELO</v>
      </c>
      <c r="B142" s="8" t="str">
        <f t="shared" si="4"/>
        <v>https://centrodecapacitaciondelsur.com/manejo-del-duelo-</v>
      </c>
      <c r="C142" s="10">
        <f>INSCRITOS!B104</f>
        <v>36759702</v>
      </c>
      <c r="D142" t="str">
        <f t="shared" si="5"/>
        <v>https://centrodecapacitaciondelsur.com/manejo-del-duelo-36759702/</v>
      </c>
    </row>
    <row r="143" spans="1:4" ht="122.25" customHeight="1" x14ac:dyDescent="0.25">
      <c r="A143" s="19" t="str">
        <f>INSCRITOS!P105</f>
        <v>POCT</v>
      </c>
      <c r="B143" s="8" t="str">
        <f t="shared" si="4"/>
        <v>https://centrodecapacitaciondelsur.com/toma-de-muestras-y-lab-clinico-poct-</v>
      </c>
      <c r="C143" s="10">
        <f>INSCRITOS!B105</f>
        <v>1084224461</v>
      </c>
      <c r="D143" t="str">
        <f t="shared" si="5"/>
        <v>https://centrodecapacitaciondelsur.com/toma-de-muestras-y-lab-clinico-poct-1084224461/</v>
      </c>
    </row>
    <row r="144" spans="1:4" ht="122.25" customHeight="1" x14ac:dyDescent="0.25">
      <c r="A144" s="19" t="str">
        <f>INSCRITOS!P106</f>
        <v>POCT</v>
      </c>
      <c r="B144" s="8" t="str">
        <f t="shared" si="4"/>
        <v>https://centrodecapacitaciondelsur.com/toma-de-muestras-y-lab-clinico-poct-</v>
      </c>
      <c r="C144" s="10">
        <f>INSCRITOS!B106</f>
        <v>1085245571</v>
      </c>
      <c r="D144" t="str">
        <f t="shared" si="5"/>
        <v>https://centrodecapacitaciondelsur.com/toma-de-muestras-y-lab-clinico-poct-1085245571/</v>
      </c>
    </row>
    <row r="145" spans="1:4" ht="122.25" customHeight="1" x14ac:dyDescent="0.25">
      <c r="A145" s="19" t="str">
        <f>INSCRITOS!P107</f>
        <v>VIOLENCIA SEXUAL</v>
      </c>
      <c r="B145" s="8" t="str">
        <f t="shared" si="4"/>
        <v>https://centrodecapacitaciondelsur.com/violencia-sexual-</v>
      </c>
      <c r="C145" s="10">
        <f>INSCRITOS!B107</f>
        <v>1085245571</v>
      </c>
      <c r="D145" t="str">
        <f t="shared" si="5"/>
        <v>https://centrodecapacitaciondelsur.com/violencia-sexual-1085245571/</v>
      </c>
    </row>
    <row r="146" spans="1:4" ht="122.25" customHeight="1" x14ac:dyDescent="0.25">
      <c r="A146" s="19" t="str">
        <f>INSCRITOS!P108</f>
        <v>POCT</v>
      </c>
      <c r="B146" s="8" t="str">
        <f t="shared" si="4"/>
        <v>https://centrodecapacitaciondelsur.com/toma-de-muestras-y-lab-clinico-poct-</v>
      </c>
      <c r="C146" s="10">
        <f>INSCRITOS!B108</f>
        <v>1085249005</v>
      </c>
      <c r="D146" t="str">
        <f t="shared" si="5"/>
        <v>https://centrodecapacitaciondelsur.com/toma-de-muestras-y-lab-clinico-poct-1085249005/</v>
      </c>
    </row>
    <row r="147" spans="1:4" ht="122.25" customHeight="1" x14ac:dyDescent="0.25">
      <c r="A147" s="19" t="str">
        <f>INSCRITOS!P109</f>
        <v>BLS</v>
      </c>
      <c r="B147" s="8" t="str">
        <f t="shared" si="4"/>
        <v>https://centrodecapacitaciondelsur.com/soporte-basico-de-vida-</v>
      </c>
      <c r="C147" s="10">
        <f>INSCRITOS!B109</f>
        <v>27232963</v>
      </c>
      <c r="D147" t="str">
        <f t="shared" si="5"/>
        <v>https://centrodecapacitaciondelsur.com/soporte-basico-de-vida-27232963/</v>
      </c>
    </row>
    <row r="148" spans="1:4" ht="122.25" customHeight="1" x14ac:dyDescent="0.25">
      <c r="A148" s="19" t="str">
        <f>INSCRITOS!P110</f>
        <v>POCT</v>
      </c>
      <c r="B148" s="8" t="str">
        <f t="shared" si="4"/>
        <v>https://centrodecapacitaciondelsur.com/toma-de-muestras-y-lab-clinico-poct-</v>
      </c>
      <c r="C148" s="10">
        <f>INSCRITOS!B110</f>
        <v>27282332</v>
      </c>
      <c r="D148" t="str">
        <f t="shared" si="5"/>
        <v>https://centrodecapacitaciondelsur.com/toma-de-muestras-y-lab-clinico-poct-27282332/</v>
      </c>
    </row>
    <row r="149" spans="1:4" ht="122.25" customHeight="1" x14ac:dyDescent="0.25">
      <c r="A149" s="19" t="str">
        <f>INSCRITOS!P111</f>
        <v>DUELO</v>
      </c>
      <c r="B149" s="8" t="str">
        <f t="shared" si="4"/>
        <v>https://centrodecapacitaciondelsur.com/manejo-del-duelo-</v>
      </c>
      <c r="C149" s="10">
        <f>INSCRITOS!B111</f>
        <v>27282332</v>
      </c>
      <c r="D149" t="str">
        <f t="shared" si="5"/>
        <v>https://centrodecapacitaciondelsur.com/manejo-del-duelo-27282332/</v>
      </c>
    </row>
    <row r="150" spans="1:4" ht="122.25" customHeight="1" x14ac:dyDescent="0.25">
      <c r="A150" s="19" t="str">
        <f>INSCRITOS!P112</f>
        <v>QUIMICOS</v>
      </c>
      <c r="B150" s="8" t="str">
        <f t="shared" si="4"/>
        <v>https://centrodecapacitaciondelsur.com/victimas-por-agentes-quimicos-</v>
      </c>
      <c r="C150" s="10">
        <f>INSCRITOS!B112</f>
        <v>1004695565</v>
      </c>
      <c r="D150" t="str">
        <f t="shared" si="5"/>
        <v>https://centrodecapacitaciondelsur.com/victimas-por-agentes-quimicos-1004695565/</v>
      </c>
    </row>
    <row r="151" spans="1:4" ht="122.25" customHeight="1" x14ac:dyDescent="0.25">
      <c r="A151" s="19" t="str">
        <f>INSCRITOS!P113</f>
        <v>DUELO</v>
      </c>
      <c r="B151" s="8" t="str">
        <f t="shared" si="4"/>
        <v>https://centrodecapacitaciondelsur.com/manejo-del-duelo-</v>
      </c>
      <c r="C151" s="10">
        <f>INSCRITOS!B113</f>
        <v>1004695565</v>
      </c>
      <c r="D151" t="str">
        <f t="shared" si="5"/>
        <v>https://centrodecapacitaciondelsur.com/manejo-del-duelo-1004695565/</v>
      </c>
    </row>
    <row r="152" spans="1:4" ht="122.25" customHeight="1" x14ac:dyDescent="0.25">
      <c r="A152" s="19" t="str">
        <f>INSCRITOS!P114</f>
        <v>BLS</v>
      </c>
      <c r="B152" s="8" t="str">
        <f t="shared" si="4"/>
        <v>https://centrodecapacitaciondelsur.com/soporte-basico-de-vida-</v>
      </c>
      <c r="C152" s="10">
        <f>INSCRITOS!B114</f>
        <v>1085926472</v>
      </c>
      <c r="D152" t="str">
        <f t="shared" si="5"/>
        <v>https://centrodecapacitaciondelsur.com/soporte-basico-de-vida-1085926472/</v>
      </c>
    </row>
    <row r="153" spans="1:4" ht="122.25" customHeight="1" x14ac:dyDescent="0.25">
      <c r="A153" s="19" t="str">
        <f>INSCRITOS!P115</f>
        <v>POCT</v>
      </c>
      <c r="B153" s="8" t="str">
        <f t="shared" si="4"/>
        <v>https://centrodecapacitaciondelsur.com/toma-de-muestras-y-lab-clinico-poct-</v>
      </c>
      <c r="C153" s="10">
        <f>INSCRITOS!B115</f>
        <v>1085339148</v>
      </c>
      <c r="D153" t="str">
        <f t="shared" si="5"/>
        <v>https://centrodecapacitaciondelsur.com/toma-de-muestras-y-lab-clinico-poct-1085339148/</v>
      </c>
    </row>
    <row r="154" spans="1:4" ht="122.25" customHeight="1" x14ac:dyDescent="0.25">
      <c r="A154" s="19" t="str">
        <f>INSCRITOS!P116</f>
        <v>ADMON DE MEDICAMENTOS</v>
      </c>
      <c r="B154" s="8" t="str">
        <f t="shared" si="4"/>
        <v>https://centrodecapacitaciondelsur.com/adm-medicamentos-canalizacion-inyectologia-</v>
      </c>
      <c r="C154" s="10">
        <f>INSCRITOS!B116</f>
        <v>1085311643</v>
      </c>
      <c r="D154" t="str">
        <f t="shared" si="5"/>
        <v>https://centrodecapacitaciondelsur.com/adm-medicamentos-canalizacion-inyectologia-1085311643/</v>
      </c>
    </row>
    <row r="155" spans="1:4" ht="122.25" customHeight="1" x14ac:dyDescent="0.25">
      <c r="A155" s="19" t="str">
        <f>INSCRITOS!P117</f>
        <v>VIOLENCIA SEXUAL</v>
      </c>
      <c r="B155" s="8" t="str">
        <f t="shared" si="4"/>
        <v>https://centrodecapacitaciondelsur.com/violencia-sexual-</v>
      </c>
      <c r="C155" s="10">
        <f>INSCRITOS!B117</f>
        <v>1085311643</v>
      </c>
      <c r="D155" t="str">
        <f t="shared" si="5"/>
        <v>https://centrodecapacitaciondelsur.com/violencia-sexual-1085311643/</v>
      </c>
    </row>
    <row r="156" spans="1:4" ht="122.25" customHeight="1" x14ac:dyDescent="0.25">
      <c r="A156" s="19" t="str">
        <f>INSCRITOS!P118</f>
        <v>QUIMICOS</v>
      </c>
      <c r="B156" s="8" t="str">
        <f t="shared" si="4"/>
        <v>https://centrodecapacitaciondelsur.com/victimas-por-agentes-quimicos-</v>
      </c>
      <c r="C156" s="10">
        <f>INSCRITOS!B118</f>
        <v>1085311643</v>
      </c>
      <c r="D156" t="str">
        <f t="shared" si="5"/>
        <v>https://centrodecapacitaciondelsur.com/victimas-por-agentes-quimicos-1085311643/</v>
      </c>
    </row>
    <row r="157" spans="1:4" ht="122.25" customHeight="1" x14ac:dyDescent="0.25">
      <c r="A157" s="19" t="str">
        <f>INSCRITOS!P119</f>
        <v>HUMANIZACION</v>
      </c>
      <c r="B157" s="8" t="str">
        <f t="shared" si="4"/>
        <v>https://centrodecapacitaciondelsur.com/humanizacion-</v>
      </c>
      <c r="C157" s="10">
        <f>INSCRITOS!B119</f>
        <v>1085311643</v>
      </c>
      <c r="D157" t="str">
        <f t="shared" si="5"/>
        <v>https://centrodecapacitaciondelsur.com/humanizacion-1085311643/</v>
      </c>
    </row>
    <row r="158" spans="1:4" ht="122.25" customHeight="1" x14ac:dyDescent="0.25">
      <c r="A158" s="19" t="str">
        <f>INSCRITOS!P120</f>
        <v>BLS</v>
      </c>
      <c r="B158" s="8" t="str">
        <f t="shared" si="4"/>
        <v>https://centrodecapacitaciondelsur.com/soporte-basico-de-vida-</v>
      </c>
      <c r="C158" s="10">
        <f>INSCRITOS!B120</f>
        <v>1010084749</v>
      </c>
      <c r="D158" t="str">
        <f t="shared" si="5"/>
        <v>https://centrodecapacitaciondelsur.com/soporte-basico-de-vida-1010084749/</v>
      </c>
    </row>
    <row r="159" spans="1:4" ht="122.25" customHeight="1" x14ac:dyDescent="0.25">
      <c r="A159" s="19" t="str">
        <f>INSCRITOS!P121</f>
        <v>BLS</v>
      </c>
      <c r="B159" s="8" t="str">
        <f t="shared" si="4"/>
        <v>https://centrodecapacitaciondelsur.com/soporte-basico-de-vida-</v>
      </c>
      <c r="C159" s="10">
        <f>INSCRITOS!B121</f>
        <v>1085943123</v>
      </c>
      <c r="D159" t="str">
        <f t="shared" si="5"/>
        <v>https://centrodecapacitaciondelsur.com/soporte-basico-de-vida-1085943123/</v>
      </c>
    </row>
    <row r="160" spans="1:4" ht="122.25" customHeight="1" x14ac:dyDescent="0.25">
      <c r="A160" s="19" t="str">
        <f>INSCRITOS!P122</f>
        <v>VIOLENCIA SEXUAL</v>
      </c>
      <c r="B160" s="8" t="str">
        <f t="shared" ref="B160:B223" si="6">IF(A160=$H$19,"https://centrodecapacitaciondelsur.com/o-v-e-",IF(A160=$H$2,"https://centrodecapacitaciondelsur.com/aph-",IF(A160=$H$3,"https://centrodecapacitaciondelsur.com/manejo-del-duelo-",IF(A160=$H$4,"https://centrodecapacitaciondelsur.com/victimas-por-agentes-quimicos-",IF(A160=$H$5,"https://centrodecapacitaciondelsur.com/primeros-auxilios-",IF(A160=$H$6,"https://centrodecapacitaciondelsur.com/uci-",IF(A160=$H$8,"https://centrodecapacitaciondelsur.com/humanizacion-",IF(A160=$H$11,"https://centrodecapacitaciondelsur.com/soporte-cardiovascular-avanzado-",IF(A160=$H$12,"https://centrodecapacitaciondelsur.com/camillero-",IF(A160=$H$13,"https://centrodecapacitaciondelsur.com/toma-de-muestras-y-lab-clinico-",IF(A160=$H$14,"https://centrodecapacitaciondelsur.com/soporte-basico-de-vida-",IF(A160=$H$15,"https://centrodecapacitaciondelsur.com/violencia-sexual-",IF(A160=$H$17,"https://centrodecapacitaciondelsur.com/aiepi-",IF(A160=$H$18,"https://centrodecapacitaciondelsur.com/adm-medicamentos-canalizacion-inyectologia-",IF(A160=$H$25,"https://centrodecapacitaciondelsur.com/manejo-del-dolor-y-cuidados-paliativos-",IF(A160=$H$26,"https://centrodecapacitaciondelsur.com/toma-de-muestras-y-lab-clinico-poct-",IF(A160=$H$27,"https://centrodecapacitaciondelsur.com/implante-subdermico-",IF(A160=$H$21,"https://centrodecapacitaciondelsur.com/donante-de-organos-",IF(A160=$H$30,"https://centrodecapacitaciondelsur.com/atencion-a-victimas-del-conflicto-armado-",IF(A160=$H$20,"https://centrodecapacitaciondelsur.com/iami-",IF(A160=$H$22,"https://centrodecapacitaciondelsur.com/violencia-de-genero-",IF(A160=$H$23,"https://centrodecapacitaciondelsur.com/igualdad-de-genero-",IF(A160=$H$16,"https://centrodecapacitaciondelsur.com/pai-",IF(A160=$H$31,"https://centrodecapacitaciondelsur.com/manipulacion-de-alimentos-",IF(A160=$H$32,"https://centrodecapacitaciondelsur.com/atencion-a-personas-con-discapacidad-",IF(A160=$H$33,"https://centrodecapacitaciondelsur.com/atencion-al-adulto-mayor-",IF(A160=$H$34,"https://centrodecapacitaciondelsur.com/manejo-defensivo-",IF(A160=$H$35,"https://centrodecapacitaciondelsur.com/soporte-basico-neonatal-",IF(A160=$H$36,"https://centrodecapacitaciondelsur.com/seguridad-del-paciente-",IF(A160=$H$37,"https://centrodecapacitaciondelsur.com/manejo-de-residuos-hospitalarios-",IF(A160=$H$10,"https://centrodecapacitaciondelsur.com/toma-de-citologia-",IF(A160=$H$29,"https://centrodecapacitaciondelsur.com/primeros-aux-psicologicos-"))))))))))))))))))))))))))))))))</f>
        <v>https://centrodecapacitaciondelsur.com/violencia-sexual-</v>
      </c>
      <c r="C160" s="10">
        <f>INSCRITOS!B122</f>
        <v>59395868</v>
      </c>
      <c r="D160" t="str">
        <f t="shared" ref="D160:D223" si="7">CONCATENATE(B160,C160,"/")</f>
        <v>https://centrodecapacitaciondelsur.com/violencia-sexual-59395868/</v>
      </c>
    </row>
    <row r="161" spans="1:4" ht="122.25" customHeight="1" x14ac:dyDescent="0.25">
      <c r="A161" s="19" t="str">
        <f>INSCRITOS!P123</f>
        <v>QUIMICOS</v>
      </c>
      <c r="B161" s="8" t="str">
        <f t="shared" si="6"/>
        <v>https://centrodecapacitaciondelsur.com/victimas-por-agentes-quimicos-</v>
      </c>
      <c r="C161" s="10">
        <f>INSCRITOS!B123</f>
        <v>59395868</v>
      </c>
      <c r="D161" t="str">
        <f t="shared" si="7"/>
        <v>https://centrodecapacitaciondelsur.com/victimas-por-agentes-quimicos-59395868/</v>
      </c>
    </row>
    <row r="162" spans="1:4" ht="122.25" customHeight="1" x14ac:dyDescent="0.25">
      <c r="A162" s="19" t="str">
        <f>INSCRITOS!P124</f>
        <v>DUELO</v>
      </c>
      <c r="B162" s="8" t="str">
        <f t="shared" si="6"/>
        <v>https://centrodecapacitaciondelsur.com/manejo-del-duelo-</v>
      </c>
      <c r="C162" s="10">
        <f>INSCRITOS!B124</f>
        <v>59395868</v>
      </c>
      <c r="D162" t="str">
        <f t="shared" si="7"/>
        <v>https://centrodecapacitaciondelsur.com/manejo-del-duelo-59395868/</v>
      </c>
    </row>
    <row r="163" spans="1:4" ht="122.25" customHeight="1" x14ac:dyDescent="0.25">
      <c r="A163" s="19" t="str">
        <f>INSCRITOS!P125</f>
        <v>HUMANIZACION</v>
      </c>
      <c r="B163" s="8" t="str">
        <f t="shared" si="6"/>
        <v>https://centrodecapacitaciondelsur.com/humanizacion-</v>
      </c>
      <c r="C163" s="10">
        <f>INSCRITOS!B125</f>
        <v>59395868</v>
      </c>
      <c r="D163" t="str">
        <f t="shared" si="7"/>
        <v>https://centrodecapacitaciondelsur.com/humanizacion-59395868/</v>
      </c>
    </row>
    <row r="164" spans="1:4" ht="122.25" customHeight="1" x14ac:dyDescent="0.25">
      <c r="A164" s="19" t="str">
        <f>INSCRITOS!P126</f>
        <v>BLS</v>
      </c>
      <c r="B164" s="8" t="str">
        <f t="shared" si="6"/>
        <v>https://centrodecapacitaciondelsur.com/soporte-basico-de-vida-</v>
      </c>
      <c r="C164" s="10">
        <f>INSCRITOS!B126</f>
        <v>1085945472</v>
      </c>
      <c r="D164" t="str">
        <f t="shared" si="7"/>
        <v>https://centrodecapacitaciondelsur.com/soporte-basico-de-vida-1085945472/</v>
      </c>
    </row>
    <row r="165" spans="1:4" ht="122.25" customHeight="1" x14ac:dyDescent="0.25">
      <c r="A165" s="19" t="str">
        <f>INSCRITOS!P127</f>
        <v>VIOLENCIA SEXUAL</v>
      </c>
      <c r="B165" s="8" t="str">
        <f t="shared" si="6"/>
        <v>https://centrodecapacitaciondelsur.com/violencia-sexual-</v>
      </c>
      <c r="C165" s="10">
        <f>INSCRITOS!B127</f>
        <v>1085272026</v>
      </c>
      <c r="D165" t="str">
        <f t="shared" si="7"/>
        <v>https://centrodecapacitaciondelsur.com/violencia-sexual-1085272026/</v>
      </c>
    </row>
    <row r="166" spans="1:4" ht="122.25" customHeight="1" x14ac:dyDescent="0.25">
      <c r="A166" s="19" t="str">
        <f>INSCRITOS!P128</f>
        <v>PALIATIVOS</v>
      </c>
      <c r="B166" s="8" t="str">
        <f t="shared" si="6"/>
        <v>https://centrodecapacitaciondelsur.com/manejo-del-dolor-y-cuidados-paliativos-</v>
      </c>
      <c r="C166" s="10">
        <f>INSCRITOS!B128</f>
        <v>1088737698</v>
      </c>
      <c r="D166" t="str">
        <f t="shared" si="7"/>
        <v>https://centrodecapacitaciondelsur.com/manejo-del-dolor-y-cuidados-paliativos-1088737698/</v>
      </c>
    </row>
    <row r="167" spans="1:4" ht="122.25" customHeight="1" x14ac:dyDescent="0.25">
      <c r="A167" s="19" t="str">
        <f>INSCRITOS!P129</f>
        <v>VIOLENCIA SEXUAL</v>
      </c>
      <c r="B167" s="8" t="str">
        <f t="shared" si="6"/>
        <v>https://centrodecapacitaciondelsur.com/violencia-sexual-</v>
      </c>
      <c r="C167" s="10">
        <f>INSCRITOS!B129</f>
        <v>87066839</v>
      </c>
      <c r="D167" t="str">
        <f t="shared" si="7"/>
        <v>https://centrodecapacitaciondelsur.com/violencia-sexual-87066839/</v>
      </c>
    </row>
    <row r="168" spans="1:4" ht="122.25" customHeight="1" x14ac:dyDescent="0.25">
      <c r="A168" s="19" t="str">
        <f>INSCRITOS!P130</f>
        <v>DUELO</v>
      </c>
      <c r="B168" s="8" t="str">
        <f t="shared" si="6"/>
        <v>https://centrodecapacitaciondelsur.com/manejo-del-duelo-</v>
      </c>
      <c r="C168" s="10">
        <f>INSCRITOS!B130</f>
        <v>1085307605</v>
      </c>
      <c r="D168" t="str">
        <f t="shared" si="7"/>
        <v>https://centrodecapacitaciondelsur.com/manejo-del-duelo-1085307605/</v>
      </c>
    </row>
    <row r="169" spans="1:4" ht="122.25" customHeight="1" x14ac:dyDescent="0.25">
      <c r="A169" s="19" t="str">
        <f>INSCRITOS!P131</f>
        <v>ACLS</v>
      </c>
      <c r="B169" s="8" t="str">
        <f t="shared" si="6"/>
        <v>https://centrodecapacitaciondelsur.com/soporte-cardiovascular-avanzado-</v>
      </c>
      <c r="C169" s="10">
        <f>INSCRITOS!B131</f>
        <v>1086133792</v>
      </c>
      <c r="D169" t="str">
        <f t="shared" si="7"/>
        <v>https://centrodecapacitaciondelsur.com/soporte-cardiovascular-avanzado-1086133792/</v>
      </c>
    </row>
    <row r="170" spans="1:4" ht="122.25" customHeight="1" x14ac:dyDescent="0.25">
      <c r="A170" s="19" t="str">
        <f>INSCRITOS!P132</f>
        <v>DUELO</v>
      </c>
      <c r="B170" s="8" t="str">
        <f t="shared" si="6"/>
        <v>https://centrodecapacitaciondelsur.com/manejo-del-duelo-</v>
      </c>
      <c r="C170" s="10">
        <f>INSCRITOS!B132</f>
        <v>1086133792</v>
      </c>
      <c r="D170" t="str">
        <f t="shared" si="7"/>
        <v>https://centrodecapacitaciondelsur.com/manejo-del-duelo-1086133792/</v>
      </c>
    </row>
    <row r="171" spans="1:4" ht="122.25" customHeight="1" x14ac:dyDescent="0.25">
      <c r="A171" s="19" t="str">
        <f>INSCRITOS!P133</f>
        <v>BLS</v>
      </c>
      <c r="B171" s="8" t="str">
        <f t="shared" si="6"/>
        <v>https://centrodecapacitaciondelsur.com/soporte-basico-de-vida-</v>
      </c>
      <c r="C171" s="10">
        <f>INSCRITOS!B133</f>
        <v>37121140</v>
      </c>
      <c r="D171" t="str">
        <f t="shared" si="7"/>
        <v>https://centrodecapacitaciondelsur.com/soporte-basico-de-vida-37121140/</v>
      </c>
    </row>
    <row r="172" spans="1:4" ht="122.25" customHeight="1" x14ac:dyDescent="0.25">
      <c r="A172" s="19" t="str">
        <f>INSCRITOS!P134</f>
        <v>AIEPI</v>
      </c>
      <c r="B172" s="8" t="str">
        <f t="shared" si="6"/>
        <v>https://centrodecapacitaciondelsur.com/aiepi-</v>
      </c>
      <c r="C172" s="10">
        <f>INSCRITOS!B134</f>
        <v>1082749693</v>
      </c>
      <c r="D172" t="str">
        <f t="shared" si="7"/>
        <v>https://centrodecapacitaciondelsur.com/aiepi-1082749693/</v>
      </c>
    </row>
    <row r="173" spans="1:4" ht="122.25" customHeight="1" x14ac:dyDescent="0.25">
      <c r="A173" s="19" t="str">
        <f>INSCRITOS!P135</f>
        <v>BLS</v>
      </c>
      <c r="B173" s="8" t="str">
        <f t="shared" si="6"/>
        <v>https://centrodecapacitaciondelsur.com/soporte-basico-de-vida-</v>
      </c>
      <c r="C173" s="10">
        <f>INSCRITOS!B135</f>
        <v>1085953098</v>
      </c>
      <c r="D173" t="str">
        <f t="shared" si="7"/>
        <v>https://centrodecapacitaciondelsur.com/soporte-basico-de-vida-1085953098/</v>
      </c>
    </row>
    <row r="174" spans="1:4" ht="122.25" customHeight="1" x14ac:dyDescent="0.25">
      <c r="A174" s="19" t="str">
        <f>INSCRITOS!P136</f>
        <v>ACLS</v>
      </c>
      <c r="B174" s="8" t="str">
        <f t="shared" si="6"/>
        <v>https://centrodecapacitaciondelsur.com/soporte-cardiovascular-avanzado-</v>
      </c>
      <c r="C174" s="10">
        <f>INSCRITOS!B136</f>
        <v>27082089</v>
      </c>
      <c r="D174" t="str">
        <f t="shared" si="7"/>
        <v>https://centrodecapacitaciondelsur.com/soporte-cardiovascular-avanzado-27082089/</v>
      </c>
    </row>
    <row r="175" spans="1:4" ht="122.25" customHeight="1" x14ac:dyDescent="0.25">
      <c r="A175" s="19" t="str">
        <f>INSCRITOS!P137</f>
        <v>AIEPI</v>
      </c>
      <c r="B175" s="8" t="str">
        <f t="shared" si="6"/>
        <v>https://centrodecapacitaciondelsur.com/aiepi-</v>
      </c>
      <c r="C175" s="10">
        <f>INSCRITOS!B137</f>
        <v>1086499905</v>
      </c>
      <c r="D175" t="str">
        <f t="shared" si="7"/>
        <v>https://centrodecapacitaciondelsur.com/aiepi-1086499905/</v>
      </c>
    </row>
    <row r="176" spans="1:4" ht="122.25" customHeight="1" x14ac:dyDescent="0.25">
      <c r="A176" s="19" t="str">
        <f>INSCRITOS!P138</f>
        <v>VIOLENCIA SEXUAL</v>
      </c>
      <c r="B176" s="8" t="str">
        <f t="shared" si="6"/>
        <v>https://centrodecapacitaciondelsur.com/violencia-sexual-</v>
      </c>
      <c r="C176" s="10">
        <f>INSCRITOS!B138</f>
        <v>98397460</v>
      </c>
      <c r="D176" t="str">
        <f t="shared" si="7"/>
        <v>https://centrodecapacitaciondelsur.com/violencia-sexual-98397460/</v>
      </c>
    </row>
    <row r="177" spans="1:4" ht="122.25" customHeight="1" x14ac:dyDescent="0.25">
      <c r="A177" s="19" t="str">
        <f>INSCRITOS!P139</f>
        <v>QUIMICOS</v>
      </c>
      <c r="B177" s="8" t="str">
        <f t="shared" si="6"/>
        <v>https://centrodecapacitaciondelsur.com/victimas-por-agentes-quimicos-</v>
      </c>
      <c r="C177" s="10">
        <f>INSCRITOS!B139</f>
        <v>98397460</v>
      </c>
      <c r="D177" t="str">
        <f t="shared" si="7"/>
        <v>https://centrodecapacitaciondelsur.com/victimas-por-agentes-quimicos-98397460/</v>
      </c>
    </row>
    <row r="178" spans="1:4" ht="122.25" customHeight="1" x14ac:dyDescent="0.25">
      <c r="A178" s="19" t="str">
        <f>INSCRITOS!P140</f>
        <v>POCT</v>
      </c>
      <c r="B178" s="8" t="str">
        <f t="shared" si="6"/>
        <v>https://centrodecapacitaciondelsur.com/toma-de-muestras-y-lab-clinico-poct-</v>
      </c>
      <c r="C178" s="10">
        <f>INSCRITOS!B140</f>
        <v>1082657219</v>
      </c>
      <c r="D178" t="str">
        <f t="shared" si="7"/>
        <v>https://centrodecapacitaciondelsur.com/toma-de-muestras-y-lab-clinico-poct-1082657219/</v>
      </c>
    </row>
    <row r="179" spans="1:4" ht="122.25" customHeight="1" x14ac:dyDescent="0.25">
      <c r="A179" s="19" t="str">
        <f>INSCRITOS!P141</f>
        <v>QUIMICOS</v>
      </c>
      <c r="B179" s="8" t="str">
        <f t="shared" si="6"/>
        <v>https://centrodecapacitaciondelsur.com/victimas-por-agentes-quimicos-</v>
      </c>
      <c r="C179" s="10">
        <f>INSCRITOS!B141</f>
        <v>1088731517</v>
      </c>
      <c r="D179" t="str">
        <f t="shared" si="7"/>
        <v>https://centrodecapacitaciondelsur.com/victimas-por-agentes-quimicos-1088731517/</v>
      </c>
    </row>
    <row r="180" spans="1:4" ht="122.25" customHeight="1" x14ac:dyDescent="0.25">
      <c r="A180" s="19" t="str">
        <f>INSCRITOS!P142</f>
        <v>ACLS</v>
      </c>
      <c r="B180" s="8" t="str">
        <f t="shared" si="6"/>
        <v>https://centrodecapacitaciondelsur.com/soporte-cardiovascular-avanzado-</v>
      </c>
      <c r="C180" s="10">
        <f>INSCRITOS!B142</f>
        <v>1085254626</v>
      </c>
      <c r="D180" t="str">
        <f t="shared" si="7"/>
        <v>https://centrodecapacitaciondelsur.com/soporte-cardiovascular-avanzado-1085254626/</v>
      </c>
    </row>
    <row r="181" spans="1:4" ht="122.25" customHeight="1" x14ac:dyDescent="0.25">
      <c r="A181" s="19" t="str">
        <f>INSCRITOS!P143</f>
        <v>MANIPULACION</v>
      </c>
      <c r="B181" s="8" t="s">
        <v>484</v>
      </c>
      <c r="C181" s="10">
        <f>INSCRITOS!B143</f>
        <v>27090321</v>
      </c>
      <c r="D181" t="str">
        <f t="shared" si="7"/>
        <v>https://centrodecapacitaciondelsur.com/manipulacion-de-alimentos-27090321/</v>
      </c>
    </row>
    <row r="182" spans="1:4" ht="122.25" customHeight="1" x14ac:dyDescent="0.25">
      <c r="A182" s="19" t="str">
        <f>INSCRITOS!P144</f>
        <v>BLS</v>
      </c>
      <c r="B182" s="8" t="str">
        <f t="shared" si="6"/>
        <v>https://centrodecapacitaciondelsur.com/soporte-basico-de-vida-</v>
      </c>
      <c r="C182" s="10">
        <f>INSCRITOS!B144</f>
        <v>1085254626</v>
      </c>
      <c r="D182" t="str">
        <f t="shared" si="7"/>
        <v>https://centrodecapacitaciondelsur.com/soporte-basico-de-vida-1085254626/</v>
      </c>
    </row>
    <row r="183" spans="1:4" ht="122.25" customHeight="1" x14ac:dyDescent="0.25">
      <c r="A183" s="19" t="str">
        <f>INSCRITOS!P145</f>
        <v>VIOLENCIA SEXUAL</v>
      </c>
      <c r="B183" s="8" t="str">
        <f t="shared" si="6"/>
        <v>https://centrodecapacitaciondelsur.com/violencia-sexual-</v>
      </c>
      <c r="C183" s="10">
        <f>INSCRITOS!B145</f>
        <v>1084227383</v>
      </c>
      <c r="D183" t="str">
        <f t="shared" si="7"/>
        <v>https://centrodecapacitaciondelsur.com/violencia-sexual-1084227383/</v>
      </c>
    </row>
    <row r="184" spans="1:4" ht="122.25" customHeight="1" x14ac:dyDescent="0.25">
      <c r="A184" s="19" t="str">
        <f>INSCRITOS!P146</f>
        <v>QUIMICOS</v>
      </c>
      <c r="B184" s="8" t="str">
        <f t="shared" si="6"/>
        <v>https://centrodecapacitaciondelsur.com/victimas-por-agentes-quimicos-</v>
      </c>
      <c r="C184" s="10">
        <f>INSCRITOS!B146</f>
        <v>1084227383</v>
      </c>
      <c r="D184" t="str">
        <f t="shared" si="7"/>
        <v>https://centrodecapacitaciondelsur.com/victimas-por-agentes-quimicos-1084227383/</v>
      </c>
    </row>
    <row r="185" spans="1:4" ht="122.25" customHeight="1" x14ac:dyDescent="0.25">
      <c r="A185" s="19" t="str">
        <f>INSCRITOS!P147</f>
        <v>PALIATIVOS</v>
      </c>
      <c r="B185" s="8" t="str">
        <f t="shared" si="6"/>
        <v>https://centrodecapacitaciondelsur.com/manejo-del-dolor-y-cuidados-paliativos-</v>
      </c>
      <c r="C185" s="10">
        <f>INSCRITOS!B147</f>
        <v>1084227383</v>
      </c>
      <c r="D185" t="str">
        <f t="shared" si="7"/>
        <v>https://centrodecapacitaciondelsur.com/manejo-del-dolor-y-cuidados-paliativos-1084227383/</v>
      </c>
    </row>
    <row r="186" spans="1:4" ht="122.25" customHeight="1" x14ac:dyDescent="0.25">
      <c r="A186" s="19" t="str">
        <f>INSCRITOS!P148</f>
        <v>BLS</v>
      </c>
      <c r="B186" s="8" t="str">
        <f t="shared" si="6"/>
        <v>https://centrodecapacitaciondelsur.com/soporte-basico-de-vida-</v>
      </c>
      <c r="C186" s="10">
        <f>INSCRITOS!B148</f>
        <v>87215478</v>
      </c>
      <c r="D186" t="str">
        <f t="shared" si="7"/>
        <v>https://centrodecapacitaciondelsur.com/soporte-basico-de-vida-87215478/</v>
      </c>
    </row>
    <row r="187" spans="1:4" ht="122.25" customHeight="1" x14ac:dyDescent="0.25">
      <c r="A187" s="19" t="str">
        <f>INSCRITOS!P149</f>
        <v>VIOLENCIA SEXUAL</v>
      </c>
      <c r="B187" s="8" t="str">
        <f t="shared" si="6"/>
        <v>https://centrodecapacitaciondelsur.com/violencia-sexual-</v>
      </c>
      <c r="C187" s="10">
        <f>INSCRITOS!B149</f>
        <v>87215478</v>
      </c>
      <c r="D187" t="str">
        <f t="shared" si="7"/>
        <v>https://centrodecapacitaciondelsur.com/violencia-sexual-87215478/</v>
      </c>
    </row>
    <row r="188" spans="1:4" ht="122.25" customHeight="1" x14ac:dyDescent="0.25">
      <c r="A188" s="19" t="str">
        <f>INSCRITOS!P150</f>
        <v>ADMON DE MEDICAMENTOS</v>
      </c>
      <c r="B188" s="8" t="str">
        <f t="shared" si="6"/>
        <v>https://centrodecapacitaciondelsur.com/adm-medicamentos-canalizacion-inyectologia-</v>
      </c>
      <c r="C188" s="10">
        <f>INSCRITOS!B150</f>
        <v>87215478</v>
      </c>
      <c r="D188" t="str">
        <f t="shared" si="7"/>
        <v>https://centrodecapacitaciondelsur.com/adm-medicamentos-canalizacion-inyectologia-87215478/</v>
      </c>
    </row>
    <row r="189" spans="1:4" ht="122.25" customHeight="1" x14ac:dyDescent="0.25">
      <c r="A189" s="19" t="str">
        <f>INSCRITOS!P151</f>
        <v>TOMA DE MUESTRAS</v>
      </c>
      <c r="B189" s="8" t="str">
        <f t="shared" si="6"/>
        <v>https://centrodecapacitaciondelsur.com/toma-de-muestras-y-lab-clinico-</v>
      </c>
      <c r="C189" s="10">
        <f>INSCRITOS!B151</f>
        <v>1086222679</v>
      </c>
      <c r="D189" t="str">
        <f t="shared" si="7"/>
        <v>https://centrodecapacitaciondelsur.com/toma-de-muestras-y-lab-clinico-1086222679/</v>
      </c>
    </row>
    <row r="190" spans="1:4" ht="122.25" customHeight="1" x14ac:dyDescent="0.25">
      <c r="A190" s="19" t="str">
        <f>INSCRITOS!P152</f>
        <v>TOMA DE MUESTRAS</v>
      </c>
      <c r="B190" s="8" t="str">
        <f t="shared" si="6"/>
        <v>https://centrodecapacitaciondelsur.com/toma-de-muestras-y-lab-clinico-</v>
      </c>
      <c r="C190" s="10">
        <f>INSCRITOS!B152</f>
        <v>1081273836</v>
      </c>
      <c r="D190" t="str">
        <f t="shared" si="7"/>
        <v>https://centrodecapacitaciondelsur.com/toma-de-muestras-y-lab-clinico-1081273836/</v>
      </c>
    </row>
    <row r="191" spans="1:4" ht="122.25" customHeight="1" x14ac:dyDescent="0.25">
      <c r="A191" s="19" t="str">
        <f>INSCRITOS!P153</f>
        <v>TOMA DE MUESTRAS</v>
      </c>
      <c r="B191" s="8" t="str">
        <f t="shared" si="6"/>
        <v>https://centrodecapacitaciondelsur.com/toma-de-muestras-y-lab-clinico-</v>
      </c>
      <c r="C191" s="10">
        <f>INSCRITOS!B153</f>
        <v>1004666550</v>
      </c>
      <c r="D191" t="str">
        <f t="shared" si="7"/>
        <v>https://centrodecapacitaciondelsur.com/toma-de-muestras-y-lab-clinico-1004666550/</v>
      </c>
    </row>
    <row r="192" spans="1:4" ht="122.25" customHeight="1" x14ac:dyDescent="0.25">
      <c r="A192" s="19" t="str">
        <f>INSCRITOS!P154</f>
        <v>TOMA DE MUESTRAS</v>
      </c>
      <c r="B192" s="8" t="str">
        <f t="shared" si="6"/>
        <v>https://centrodecapacitaciondelsur.com/toma-de-muestras-y-lab-clinico-</v>
      </c>
      <c r="C192" s="10">
        <f>INSCRITOS!B154</f>
        <v>1086225729</v>
      </c>
      <c r="D192" t="str">
        <f t="shared" si="7"/>
        <v>https://centrodecapacitaciondelsur.com/toma-de-muestras-y-lab-clinico-1086225729/</v>
      </c>
    </row>
    <row r="193" spans="1:4" ht="122.25" customHeight="1" x14ac:dyDescent="0.25">
      <c r="A193" s="19" t="str">
        <f>INSCRITOS!P155</f>
        <v>TOMA DE MUESTRAS</v>
      </c>
      <c r="B193" s="8" t="str">
        <f t="shared" si="6"/>
        <v>https://centrodecapacitaciondelsur.com/toma-de-muestras-y-lab-clinico-</v>
      </c>
      <c r="C193" s="10">
        <f>INSCRITOS!B155</f>
        <v>1004542680</v>
      </c>
      <c r="D193" t="str">
        <f t="shared" si="7"/>
        <v>https://centrodecapacitaciondelsur.com/toma-de-muestras-y-lab-clinico-1004542680/</v>
      </c>
    </row>
    <row r="194" spans="1:4" ht="122.25" customHeight="1" x14ac:dyDescent="0.25">
      <c r="A194" s="19" t="str">
        <f>INSCRITOS!P156</f>
        <v>TOMA DE MUESTRAS</v>
      </c>
      <c r="B194" s="8" t="str">
        <f t="shared" si="6"/>
        <v>https://centrodecapacitaciondelsur.com/toma-de-muestras-y-lab-clinico-</v>
      </c>
      <c r="C194" s="10">
        <f>INSCRITOS!B156</f>
        <v>1004542792</v>
      </c>
      <c r="D194" t="str">
        <f t="shared" si="7"/>
        <v>https://centrodecapacitaciondelsur.com/toma-de-muestras-y-lab-clinico-1004542792/</v>
      </c>
    </row>
    <row r="195" spans="1:4" ht="122.25" customHeight="1" x14ac:dyDescent="0.25">
      <c r="A195" s="19" t="str">
        <f>INSCRITOS!P157</f>
        <v>TOMA DE MUESTRAS</v>
      </c>
      <c r="B195" s="8" t="str">
        <f t="shared" si="6"/>
        <v>https://centrodecapacitaciondelsur.com/toma-de-muestras-y-lab-clinico-</v>
      </c>
      <c r="C195" s="10">
        <f>INSCRITOS!B157</f>
        <v>1004542654</v>
      </c>
      <c r="D195" t="str">
        <f t="shared" si="7"/>
        <v>https://centrodecapacitaciondelsur.com/toma-de-muestras-y-lab-clinico-1004542654/</v>
      </c>
    </row>
    <row r="196" spans="1:4" ht="122.25" customHeight="1" x14ac:dyDescent="0.25">
      <c r="A196" s="19" t="str">
        <f>INSCRITOS!P158</f>
        <v>TOMA DE MUESTRAS</v>
      </c>
      <c r="B196" s="8" t="str">
        <f t="shared" si="6"/>
        <v>https://centrodecapacitaciondelsur.com/toma-de-muestras-y-lab-clinico-</v>
      </c>
      <c r="C196" s="10">
        <f>INSCRITOS!B158</f>
        <v>1085275536</v>
      </c>
      <c r="D196" t="str">
        <f t="shared" si="7"/>
        <v>https://centrodecapacitaciondelsur.com/toma-de-muestras-y-lab-clinico-1085275536/</v>
      </c>
    </row>
    <row r="197" spans="1:4" ht="122.25" customHeight="1" x14ac:dyDescent="0.25">
      <c r="A197" s="19" t="str">
        <f>INSCRITOS!P159</f>
        <v>TOMA DE MUESTRAS</v>
      </c>
      <c r="B197" s="8" t="str">
        <f t="shared" si="6"/>
        <v>https://centrodecapacitaciondelsur.com/toma-de-muestras-y-lab-clinico-</v>
      </c>
      <c r="C197" s="10">
        <f>INSCRITOS!B159</f>
        <v>1085311670</v>
      </c>
      <c r="D197" t="str">
        <f t="shared" si="7"/>
        <v>https://centrodecapacitaciondelsur.com/toma-de-muestras-y-lab-clinico-1085311670/</v>
      </c>
    </row>
    <row r="198" spans="1:4" ht="122.25" customHeight="1" x14ac:dyDescent="0.25">
      <c r="A198" s="19" t="str">
        <f>INSCRITOS!P160</f>
        <v>BLS</v>
      </c>
      <c r="B198" s="8" t="str">
        <f t="shared" si="6"/>
        <v>https://centrodecapacitaciondelsur.com/soporte-basico-de-vida-</v>
      </c>
      <c r="C198" s="10">
        <f>INSCRITOS!B160</f>
        <v>1004542792</v>
      </c>
      <c r="D198" s="97" t="str">
        <f t="shared" si="7"/>
        <v>https://centrodecapacitaciondelsur.com/soporte-basico-de-vida-1004542792/</v>
      </c>
    </row>
    <row r="199" spans="1:4" ht="122.25" customHeight="1" x14ac:dyDescent="0.25">
      <c r="A199" s="19" t="str">
        <f>INSCRITOS!P161</f>
        <v>BLS</v>
      </c>
      <c r="B199" s="8" t="str">
        <f t="shared" si="6"/>
        <v>https://centrodecapacitaciondelsur.com/soporte-basico-de-vida-</v>
      </c>
      <c r="C199" s="10">
        <f>INSCRITOS!B161</f>
        <v>1085291134</v>
      </c>
      <c r="D199" t="str">
        <f t="shared" si="7"/>
        <v>https://centrodecapacitaciondelsur.com/soporte-basico-de-vida-1085291134/</v>
      </c>
    </row>
    <row r="200" spans="1:4" ht="122.25" customHeight="1" x14ac:dyDescent="0.25">
      <c r="A200" s="19" t="str">
        <f>INSCRITOS!P162</f>
        <v>BLS</v>
      </c>
      <c r="B200" s="8" t="str">
        <f t="shared" si="6"/>
        <v>https://centrodecapacitaciondelsur.com/soporte-basico-de-vida-</v>
      </c>
      <c r="C200" s="10">
        <f>INSCRITOS!B162</f>
        <v>1085283825</v>
      </c>
      <c r="D200" t="str">
        <f t="shared" si="7"/>
        <v>https://centrodecapacitaciondelsur.com/soporte-basico-de-vida-1085283825/</v>
      </c>
    </row>
    <row r="201" spans="1:4" ht="122.25" customHeight="1" x14ac:dyDescent="0.25">
      <c r="A201" s="19" t="str">
        <f>INSCRITOS!P163</f>
        <v>TOMA DE MUESTRAS</v>
      </c>
      <c r="B201" s="8" t="str">
        <f t="shared" si="6"/>
        <v>https://centrodecapacitaciondelsur.com/toma-de-muestras-y-lab-clinico-</v>
      </c>
      <c r="C201" s="10">
        <f>INSCRITOS!B163</f>
        <v>1085283825</v>
      </c>
      <c r="D201" t="str">
        <f t="shared" si="7"/>
        <v>https://centrodecapacitaciondelsur.com/toma-de-muestras-y-lab-clinico-1085283825/</v>
      </c>
    </row>
    <row r="202" spans="1:4" ht="122.25" customHeight="1" x14ac:dyDescent="0.25">
      <c r="A202" s="19" t="str">
        <f>INSCRITOS!P164</f>
        <v>TOMA DE MUESTRAS</v>
      </c>
      <c r="B202" s="8" t="str">
        <f t="shared" si="6"/>
        <v>https://centrodecapacitaciondelsur.com/toma-de-muestras-y-lab-clinico-</v>
      </c>
      <c r="C202" s="10">
        <f>INSCRITOS!B164</f>
        <v>1193543631</v>
      </c>
      <c r="D202" t="str">
        <f t="shared" si="7"/>
        <v>https://centrodecapacitaciondelsur.com/toma-de-muestras-y-lab-clinico-1193543631/</v>
      </c>
    </row>
    <row r="203" spans="1:4" ht="122.25" customHeight="1" x14ac:dyDescent="0.25">
      <c r="A203" s="19" t="str">
        <f>INSCRITOS!P165</f>
        <v>BLS</v>
      </c>
      <c r="B203" s="8" t="str">
        <f t="shared" si="6"/>
        <v>https://centrodecapacitaciondelsur.com/soporte-basico-de-vida-</v>
      </c>
      <c r="C203" s="10">
        <f>INSCRITOS!B165</f>
        <v>1085942181</v>
      </c>
      <c r="D203" t="str">
        <f t="shared" si="7"/>
        <v>https://centrodecapacitaciondelsur.com/soporte-basico-de-vida-1085942181/</v>
      </c>
    </row>
    <row r="204" spans="1:4" ht="122.25" customHeight="1" x14ac:dyDescent="0.25">
      <c r="A204" s="19" t="str">
        <f>INSCRITOS!P166</f>
        <v>BLS</v>
      </c>
      <c r="B204" s="8" t="str">
        <f t="shared" si="6"/>
        <v>https://centrodecapacitaciondelsur.com/soporte-basico-de-vida-</v>
      </c>
      <c r="C204" s="10">
        <f>INSCRITOS!B166</f>
        <v>1085300566</v>
      </c>
      <c r="D204" t="str">
        <f t="shared" si="7"/>
        <v>https://centrodecapacitaciondelsur.com/soporte-basico-de-vida-1085300566/</v>
      </c>
    </row>
    <row r="205" spans="1:4" ht="122.25" customHeight="1" x14ac:dyDescent="0.25">
      <c r="A205" s="19" t="str">
        <f>INSCRITOS!P167</f>
        <v>BLS</v>
      </c>
      <c r="B205" s="8" t="str">
        <f t="shared" si="6"/>
        <v>https://centrodecapacitaciondelsur.com/soporte-basico-de-vida-</v>
      </c>
      <c r="C205" s="10">
        <f>INSCRITOS!B167</f>
        <v>12981658</v>
      </c>
      <c r="D205" t="str">
        <f t="shared" si="7"/>
        <v>https://centrodecapacitaciondelsur.com/soporte-basico-de-vida-12981658/</v>
      </c>
    </row>
    <row r="206" spans="1:4" ht="122.25" customHeight="1" x14ac:dyDescent="0.25">
      <c r="A206" s="19" t="str">
        <f>INSCRITOS!P168</f>
        <v>BLS</v>
      </c>
      <c r="B206" s="8" t="str">
        <f t="shared" si="6"/>
        <v>https://centrodecapacitaciondelsur.com/soporte-basico-de-vida-</v>
      </c>
      <c r="C206" s="10">
        <f>INSCRITOS!B168</f>
        <v>1088651988</v>
      </c>
      <c r="D206" t="str">
        <f t="shared" si="7"/>
        <v>https://centrodecapacitaciondelsur.com/soporte-basico-de-vida-1088651988/</v>
      </c>
    </row>
    <row r="207" spans="1:4" ht="122.25" customHeight="1" x14ac:dyDescent="0.25">
      <c r="A207" s="19" t="str">
        <f>INSCRITOS!P169</f>
        <v>ACLS</v>
      </c>
      <c r="B207" s="8" t="str">
        <f t="shared" si="6"/>
        <v>https://centrodecapacitaciondelsur.com/soporte-cardiovascular-avanzado-</v>
      </c>
      <c r="C207" s="10">
        <f>INSCRITOS!B169</f>
        <v>1143872938</v>
      </c>
      <c r="D207" t="str">
        <f t="shared" si="7"/>
        <v>https://centrodecapacitaciondelsur.com/soporte-cardiovascular-avanzado-1143872938/</v>
      </c>
    </row>
    <row r="208" spans="1:4" ht="122.25" customHeight="1" x14ac:dyDescent="0.25">
      <c r="A208" s="19" t="str">
        <f>INSCRITOS!P170</f>
        <v>BLS</v>
      </c>
      <c r="B208" s="8" t="str">
        <f t="shared" si="6"/>
        <v>https://centrodecapacitaciondelsur.com/soporte-basico-de-vida-</v>
      </c>
      <c r="C208" s="10">
        <f>INSCRITOS!B170</f>
        <v>1143872938</v>
      </c>
      <c r="D208" t="str">
        <f t="shared" si="7"/>
        <v>https://centrodecapacitaciondelsur.com/soporte-basico-de-vida-1143872938/</v>
      </c>
    </row>
    <row r="209" spans="1:4" ht="122.25" customHeight="1" x14ac:dyDescent="0.25">
      <c r="A209" s="19" t="str">
        <f>INSCRITOS!P171</f>
        <v>VIOLENCIA SEXUAL</v>
      </c>
      <c r="B209" s="8" t="str">
        <f t="shared" si="6"/>
        <v>https://centrodecapacitaciondelsur.com/violencia-sexual-</v>
      </c>
      <c r="C209" s="10">
        <f>INSCRITOS!B171</f>
        <v>1143872938</v>
      </c>
      <c r="D209" t="str">
        <f t="shared" si="7"/>
        <v>https://centrodecapacitaciondelsur.com/violencia-sexual-1143872938/</v>
      </c>
    </row>
    <row r="210" spans="1:4" ht="122.25" customHeight="1" x14ac:dyDescent="0.25">
      <c r="A210" s="19" t="str">
        <f>INSCRITOS!P172</f>
        <v>PRIMEROS AUXILIOS</v>
      </c>
      <c r="B210" s="8" t="str">
        <f t="shared" si="6"/>
        <v>https://centrodecapacitaciondelsur.com/primeros-auxilios-</v>
      </c>
      <c r="C210" s="10">
        <f>INSCRITOS!B172</f>
        <v>1143872938</v>
      </c>
      <c r="D210" t="str">
        <f t="shared" si="7"/>
        <v>https://centrodecapacitaciondelsur.com/primeros-auxilios-1143872938/</v>
      </c>
    </row>
    <row r="211" spans="1:4" ht="122.25" customHeight="1" x14ac:dyDescent="0.25">
      <c r="A211" s="19" t="str">
        <f>INSCRITOS!P173</f>
        <v>PALIATIVOS</v>
      </c>
      <c r="B211" s="8" t="str">
        <f t="shared" si="6"/>
        <v>https://centrodecapacitaciondelsur.com/manejo-del-dolor-y-cuidados-paliativos-</v>
      </c>
      <c r="C211" s="10">
        <f>INSCRITOS!B173</f>
        <v>1084226326</v>
      </c>
      <c r="D211" t="str">
        <f t="shared" si="7"/>
        <v>https://centrodecapacitaciondelsur.com/manejo-del-dolor-y-cuidados-paliativos-1084226326/</v>
      </c>
    </row>
    <row r="212" spans="1:4" ht="122.25" customHeight="1" x14ac:dyDescent="0.25">
      <c r="A212" s="19" t="str">
        <f>INSCRITOS!P174</f>
        <v>BLS</v>
      </c>
      <c r="B212" s="8" t="str">
        <f t="shared" si="6"/>
        <v>https://centrodecapacitaciondelsur.com/soporte-basico-de-vida-</v>
      </c>
      <c r="C212" s="10">
        <f>INSCRITOS!B174</f>
        <v>1084226326</v>
      </c>
      <c r="D212" t="str">
        <f t="shared" si="7"/>
        <v>https://centrodecapacitaciondelsur.com/soporte-basico-de-vida-1084226326/</v>
      </c>
    </row>
    <row r="213" spans="1:4" ht="122.25" customHeight="1" x14ac:dyDescent="0.25">
      <c r="A213" s="19" t="str">
        <f>INSCRITOS!P175</f>
        <v>VIOLENCIA SEXUAL</v>
      </c>
      <c r="B213" s="8" t="str">
        <f t="shared" si="6"/>
        <v>https://centrodecapacitaciondelsur.com/violencia-sexual-</v>
      </c>
      <c r="C213" s="10">
        <f>INSCRITOS!B175</f>
        <v>1084226326</v>
      </c>
      <c r="D213" t="str">
        <f t="shared" si="7"/>
        <v>https://centrodecapacitaciondelsur.com/violencia-sexual-1084226326/</v>
      </c>
    </row>
    <row r="214" spans="1:4" ht="122.25" customHeight="1" x14ac:dyDescent="0.25">
      <c r="A214" s="19" t="str">
        <f>INSCRITOS!P176</f>
        <v>HUMANIZACION</v>
      </c>
      <c r="B214" s="8" t="str">
        <f t="shared" si="6"/>
        <v>https://centrodecapacitaciondelsur.com/humanizacion-</v>
      </c>
      <c r="C214" s="10">
        <f>INSCRITOS!B176</f>
        <v>1085299919</v>
      </c>
      <c r="D214" t="str">
        <f t="shared" si="7"/>
        <v>https://centrodecapacitaciondelsur.com/humanizacion-1085299919/</v>
      </c>
    </row>
    <row r="215" spans="1:4" ht="122.25" customHeight="1" x14ac:dyDescent="0.25">
      <c r="A215" s="19" t="str">
        <f>INSCRITOS!P177</f>
        <v>PRIMEROS AUXILIOS</v>
      </c>
      <c r="B215" s="8" t="str">
        <f t="shared" si="6"/>
        <v>https://centrodecapacitaciondelsur.com/primeros-auxilios-</v>
      </c>
      <c r="C215" s="10">
        <f>INSCRITOS!B177</f>
        <v>1007292822</v>
      </c>
      <c r="D215" t="str">
        <f t="shared" si="7"/>
        <v>https://centrodecapacitaciondelsur.com/primeros-auxilios-1007292822/</v>
      </c>
    </row>
    <row r="216" spans="1:4" ht="122.25" customHeight="1" x14ac:dyDescent="0.25">
      <c r="A216" s="19" t="str">
        <f>INSCRITOS!P178</f>
        <v>VIOLENCIA SEXUAL</v>
      </c>
      <c r="B216" s="8" t="str">
        <f t="shared" si="6"/>
        <v>https://centrodecapacitaciondelsur.com/violencia-sexual-</v>
      </c>
      <c r="C216" s="10">
        <f>INSCRITOS!B178</f>
        <v>52816711</v>
      </c>
      <c r="D216" t="str">
        <f t="shared" si="7"/>
        <v>https://centrodecapacitaciondelsur.com/violencia-sexual-52816711/</v>
      </c>
    </row>
    <row r="217" spans="1:4" ht="122.25" customHeight="1" x14ac:dyDescent="0.25">
      <c r="A217" s="19" t="str">
        <f>INSCRITOS!P179</f>
        <v>ACLS</v>
      </c>
      <c r="B217" s="8" t="str">
        <f t="shared" si="6"/>
        <v>https://centrodecapacitaciondelsur.com/soporte-cardiovascular-avanzado-</v>
      </c>
      <c r="C217" s="10">
        <f>INSCRITOS!B179</f>
        <v>1085323626</v>
      </c>
      <c r="D217" t="str">
        <f t="shared" si="7"/>
        <v>https://centrodecapacitaciondelsur.com/soporte-cardiovascular-avanzado-1085323626/</v>
      </c>
    </row>
    <row r="218" spans="1:4" ht="122.25" customHeight="1" x14ac:dyDescent="0.25">
      <c r="A218" s="19" t="str">
        <f>INSCRITOS!P180</f>
        <v>BLS</v>
      </c>
      <c r="B218" s="8" t="str">
        <f t="shared" si="6"/>
        <v>https://centrodecapacitaciondelsur.com/soporte-basico-de-vida-</v>
      </c>
      <c r="C218" s="10">
        <f>INSCRITOS!B180</f>
        <v>1085323626</v>
      </c>
      <c r="D218" t="str">
        <f t="shared" si="7"/>
        <v>https://centrodecapacitaciondelsur.com/soporte-basico-de-vida-1085323626/</v>
      </c>
    </row>
    <row r="219" spans="1:4" ht="122.25" customHeight="1" x14ac:dyDescent="0.25">
      <c r="A219" s="19" t="str">
        <f>INSCRITOS!P181</f>
        <v>QUIMICOS</v>
      </c>
      <c r="B219" s="8" t="str">
        <f t="shared" si="6"/>
        <v>https://centrodecapacitaciondelsur.com/victimas-por-agentes-quimicos-</v>
      </c>
      <c r="C219" s="10">
        <f>INSCRITOS!B181</f>
        <v>1085323626</v>
      </c>
      <c r="D219" t="str">
        <f t="shared" si="7"/>
        <v>https://centrodecapacitaciondelsur.com/victimas-por-agentes-quimicos-1085323626/</v>
      </c>
    </row>
    <row r="220" spans="1:4" ht="122.25" customHeight="1" x14ac:dyDescent="0.25">
      <c r="A220" s="19" t="str">
        <f>INSCRITOS!P182</f>
        <v>VIOLENCIA SEXUAL</v>
      </c>
      <c r="B220" s="8" t="str">
        <f t="shared" si="6"/>
        <v>https://centrodecapacitaciondelsur.com/violencia-sexual-</v>
      </c>
      <c r="C220" s="10">
        <f>INSCRITOS!B182</f>
        <v>1085323626</v>
      </c>
      <c r="D220" t="str">
        <f t="shared" si="7"/>
        <v>https://centrodecapacitaciondelsur.com/violencia-sexual-1085323626/</v>
      </c>
    </row>
    <row r="221" spans="1:4" ht="122.25" customHeight="1" x14ac:dyDescent="0.25">
      <c r="A221" s="19" t="str">
        <f>INSCRITOS!P183</f>
        <v>BLS</v>
      </c>
      <c r="B221" s="8" t="str">
        <f t="shared" si="6"/>
        <v>https://centrodecapacitaciondelsur.com/soporte-basico-de-vida-</v>
      </c>
      <c r="C221" s="10">
        <f>INSCRITOS!B183</f>
        <v>1004542792</v>
      </c>
      <c r="D221" t="str">
        <f t="shared" si="7"/>
        <v>https://centrodecapacitaciondelsur.com/soporte-basico-de-vida-1004542792/</v>
      </c>
    </row>
    <row r="222" spans="1:4" ht="122.25" customHeight="1" x14ac:dyDescent="0.25">
      <c r="A222" s="19" t="str">
        <f>INSCRITOS!P184</f>
        <v>BLS</v>
      </c>
      <c r="B222" s="8" t="str">
        <f t="shared" si="6"/>
        <v>https://centrodecapacitaciondelsur.com/soporte-basico-de-vida-</v>
      </c>
      <c r="C222" s="10">
        <f>INSCRITOS!B184</f>
        <v>1086225729</v>
      </c>
      <c r="D222" t="str">
        <f t="shared" si="7"/>
        <v>https://centrodecapacitaciondelsur.com/soporte-basico-de-vida-1086225729/</v>
      </c>
    </row>
    <row r="223" spans="1:4" ht="122.25" customHeight="1" x14ac:dyDescent="0.25">
      <c r="A223" s="19" t="str">
        <f>INSCRITOS!P185</f>
        <v>BLS</v>
      </c>
      <c r="B223" s="8" t="str">
        <f t="shared" si="6"/>
        <v>https://centrodecapacitaciondelsur.com/soporte-basico-de-vida-</v>
      </c>
      <c r="C223" s="10">
        <f>INSCRITOS!B185</f>
        <v>1193543631</v>
      </c>
      <c r="D223" t="str">
        <f t="shared" si="7"/>
        <v>https://centrodecapacitaciondelsur.com/soporte-basico-de-vida-1193543631/</v>
      </c>
    </row>
    <row r="224" spans="1:4" ht="122.25" customHeight="1" x14ac:dyDescent="0.25">
      <c r="A224" s="19" t="str">
        <f>INSCRITOS!P186</f>
        <v>BLS</v>
      </c>
      <c r="B224" s="8" t="str">
        <f t="shared" ref="B224:B287" si="8">IF(A224=$H$19,"https://centrodecapacitaciondelsur.com/o-v-e-",IF(A224=$H$2,"https://centrodecapacitaciondelsur.com/aph-",IF(A224=$H$3,"https://centrodecapacitaciondelsur.com/manejo-del-duelo-",IF(A224=$H$4,"https://centrodecapacitaciondelsur.com/victimas-por-agentes-quimicos-",IF(A224=$H$5,"https://centrodecapacitaciondelsur.com/primeros-auxilios-",IF(A224=$H$6,"https://centrodecapacitaciondelsur.com/uci-",IF(A224=$H$8,"https://centrodecapacitaciondelsur.com/humanizacion-",IF(A224=$H$11,"https://centrodecapacitaciondelsur.com/soporte-cardiovascular-avanzado-",IF(A224=$H$12,"https://centrodecapacitaciondelsur.com/camillero-",IF(A224=$H$13,"https://centrodecapacitaciondelsur.com/toma-de-muestras-y-lab-clinico-",IF(A224=$H$14,"https://centrodecapacitaciondelsur.com/soporte-basico-de-vida-",IF(A224=$H$15,"https://centrodecapacitaciondelsur.com/violencia-sexual-",IF(A224=$H$17,"https://centrodecapacitaciondelsur.com/aiepi-",IF(A224=$H$18,"https://centrodecapacitaciondelsur.com/adm-medicamentos-canalizacion-inyectologia-",IF(A224=$H$25,"https://centrodecapacitaciondelsur.com/manejo-del-dolor-y-cuidados-paliativos-",IF(A224=$H$26,"https://centrodecapacitaciondelsur.com/toma-de-muestras-y-lab-clinico-poct-",IF(A224=$H$27,"https://centrodecapacitaciondelsur.com/implante-subdermico-",IF(A224=$H$21,"https://centrodecapacitaciondelsur.com/donante-de-organos-",IF(A224=$H$30,"https://centrodecapacitaciondelsur.com/atencion-a-victimas-del-conflicto-armado-",IF(A224=$H$20,"https://centrodecapacitaciondelsur.com/iami-",IF(A224=$H$22,"https://centrodecapacitaciondelsur.com/violencia-de-genero-",IF(A224=$H$23,"https://centrodecapacitaciondelsur.com/igualdad-de-genero-",IF(A224=$H$16,"https://centrodecapacitaciondelsur.com/pai-",IF(A224=$H$31,"https://centrodecapacitaciondelsur.com/manipulacion-de-alimentos-",IF(A224=$H$32,"https://centrodecapacitaciondelsur.com/atencion-a-personas-con-discapacidad-",IF(A224=$H$33,"https://centrodecapacitaciondelsur.com/atencion-al-adulto-mayor-",IF(A224=$H$34,"https://centrodecapacitaciondelsur.com/manejo-defensivo-",IF(A224=$H$35,"https://centrodecapacitaciondelsur.com/soporte-basico-neonatal-",IF(A224=$H$36,"https://centrodecapacitaciondelsur.com/seguridad-del-paciente-",IF(A224=$H$37,"https://centrodecapacitaciondelsur.com/manejo-de-residuos-hospitalarios-",IF(A224=$H$10,"https://centrodecapacitaciondelsur.com/toma-de-citologia-",IF(A224=$H$29,"https://centrodecapacitaciondelsur.com/primeros-aux-psicologicos-"))))))))))))))))))))))))))))))))</f>
        <v>https://centrodecapacitaciondelsur.com/soporte-basico-de-vida-</v>
      </c>
      <c r="C224" s="10">
        <f>INSCRITOS!B186</f>
        <v>1004542680</v>
      </c>
      <c r="D224" t="str">
        <f t="shared" ref="D224:D287" si="9">CONCATENATE(B224,C224,"/")</f>
        <v>https://centrodecapacitaciondelsur.com/soporte-basico-de-vida-1004542680/</v>
      </c>
    </row>
    <row r="225" spans="1:5" ht="122.25" customHeight="1" x14ac:dyDescent="0.25">
      <c r="A225" s="19" t="str">
        <f>INSCRITOS!P187</f>
        <v>DUELO</v>
      </c>
      <c r="B225" s="8" t="str">
        <f t="shared" si="8"/>
        <v>https://centrodecapacitaciondelsur.com/manejo-del-duelo-</v>
      </c>
      <c r="C225" s="10">
        <f>INSCRITOS!B187</f>
        <v>1004133930</v>
      </c>
      <c r="D225" t="str">
        <f t="shared" si="9"/>
        <v>https://centrodecapacitaciondelsur.com/manejo-del-duelo-1004133930/</v>
      </c>
      <c r="E225" t="str" cm="1">
        <f t="array" ref="E225">CodigoQr(D225)</f>
        <v/>
      </c>
    </row>
    <row r="226" spans="1:5" ht="122.25" customHeight="1" x14ac:dyDescent="0.25">
      <c r="A226" s="19">
        <f>INSCRITOS!P188</f>
        <v>0</v>
      </c>
      <c r="B226" s="8" t="b">
        <f t="shared" si="8"/>
        <v>0</v>
      </c>
      <c r="C226" s="10">
        <f>INSCRITOS!B188</f>
        <v>0</v>
      </c>
      <c r="D226" t="str">
        <f t="shared" si="9"/>
        <v>FALSO0/</v>
      </c>
    </row>
    <row r="227" spans="1:5" ht="122.25" customHeight="1" x14ac:dyDescent="0.25">
      <c r="A227" s="19">
        <f>INSCRITOS!P189</f>
        <v>0</v>
      </c>
      <c r="B227" s="8" t="b">
        <f t="shared" si="8"/>
        <v>0</v>
      </c>
      <c r="C227" s="10">
        <f>INSCRITOS!B189</f>
        <v>0</v>
      </c>
      <c r="D227" t="str">
        <f t="shared" si="9"/>
        <v>FALSO0/</v>
      </c>
    </row>
    <row r="228" spans="1:5" ht="122.25" customHeight="1" x14ac:dyDescent="0.25">
      <c r="A228" s="19">
        <f>INSCRITOS!P190</f>
        <v>0</v>
      </c>
      <c r="B228" s="8" t="b">
        <f t="shared" si="8"/>
        <v>0</v>
      </c>
      <c r="C228" s="10">
        <f>INSCRITOS!B190</f>
        <v>0</v>
      </c>
      <c r="D228" t="str">
        <f t="shared" si="9"/>
        <v>FALSO0/</v>
      </c>
    </row>
    <row r="229" spans="1:5" ht="122.25" customHeight="1" x14ac:dyDescent="0.25">
      <c r="A229" s="19">
        <f>INSCRITOS!P191</f>
        <v>0</v>
      </c>
      <c r="B229" s="8" t="b">
        <f t="shared" si="8"/>
        <v>0</v>
      </c>
      <c r="C229" s="10">
        <f>INSCRITOS!B191</f>
        <v>0</v>
      </c>
      <c r="D229" t="str">
        <f t="shared" si="9"/>
        <v>FALSO0/</v>
      </c>
    </row>
    <row r="230" spans="1:5" ht="122.25" customHeight="1" x14ac:dyDescent="0.25">
      <c r="A230" s="19">
        <f>INSCRITOS!P192</f>
        <v>0</v>
      </c>
      <c r="B230" s="8" t="b">
        <f t="shared" si="8"/>
        <v>0</v>
      </c>
      <c r="C230" s="10">
        <f>INSCRITOS!B192</f>
        <v>0</v>
      </c>
      <c r="D230" t="str">
        <f t="shared" si="9"/>
        <v>FALSO0/</v>
      </c>
    </row>
    <row r="231" spans="1:5" ht="122.25" customHeight="1" x14ac:dyDescent="0.25">
      <c r="A231" s="19">
        <f>INSCRITOS!P193</f>
        <v>0</v>
      </c>
      <c r="B231" s="8" t="b">
        <f t="shared" si="8"/>
        <v>0</v>
      </c>
      <c r="C231" s="10">
        <f>INSCRITOS!B193</f>
        <v>0</v>
      </c>
      <c r="D231" t="str">
        <f t="shared" si="9"/>
        <v>FALSO0/</v>
      </c>
    </row>
    <row r="232" spans="1:5" ht="122.25" customHeight="1" x14ac:dyDescent="0.25">
      <c r="A232" s="19">
        <f>INSCRITOS!P194</f>
        <v>0</v>
      </c>
      <c r="B232" s="8" t="b">
        <f t="shared" si="8"/>
        <v>0</v>
      </c>
      <c r="C232" s="10">
        <f>INSCRITOS!B194</f>
        <v>0</v>
      </c>
      <c r="D232" t="str">
        <f t="shared" si="9"/>
        <v>FALSO0/</v>
      </c>
    </row>
    <row r="233" spans="1:5" ht="122.25" customHeight="1" x14ac:dyDescent="0.25">
      <c r="A233" s="19">
        <f>INSCRITOS!P195</f>
        <v>0</v>
      </c>
      <c r="B233" s="8" t="b">
        <f t="shared" si="8"/>
        <v>0</v>
      </c>
      <c r="C233" s="10">
        <f>INSCRITOS!B195</f>
        <v>0</v>
      </c>
      <c r="D233" t="str">
        <f t="shared" si="9"/>
        <v>FALSO0/</v>
      </c>
    </row>
    <row r="234" spans="1:5" ht="122.25" customHeight="1" x14ac:dyDescent="0.25">
      <c r="A234" s="19">
        <f>INSCRITOS!P196</f>
        <v>0</v>
      </c>
      <c r="B234" s="8" t="b">
        <f t="shared" si="8"/>
        <v>0</v>
      </c>
      <c r="C234" s="10">
        <f>INSCRITOS!B196</f>
        <v>0</v>
      </c>
      <c r="D234" t="str">
        <f t="shared" si="9"/>
        <v>FALSO0/</v>
      </c>
    </row>
    <row r="235" spans="1:5" ht="122.25" customHeight="1" x14ac:dyDescent="0.25">
      <c r="A235" s="19">
        <f>INSCRITOS!P197</f>
        <v>0</v>
      </c>
      <c r="B235" s="8" t="b">
        <f t="shared" si="8"/>
        <v>0</v>
      </c>
      <c r="C235" s="10">
        <f>INSCRITOS!B197</f>
        <v>0</v>
      </c>
      <c r="D235" t="str">
        <f t="shared" si="9"/>
        <v>FALSO0/</v>
      </c>
    </row>
    <row r="236" spans="1:5" ht="122.25" customHeight="1" x14ac:dyDescent="0.25">
      <c r="A236" s="19">
        <f>INSCRITOS!P198</f>
        <v>0</v>
      </c>
      <c r="B236" s="8" t="b">
        <f t="shared" si="8"/>
        <v>0</v>
      </c>
      <c r="C236" s="10">
        <f>INSCRITOS!B198</f>
        <v>0</v>
      </c>
      <c r="D236" t="str">
        <f t="shared" si="9"/>
        <v>FALSO0/</v>
      </c>
    </row>
    <row r="237" spans="1:5" ht="122.25" customHeight="1" x14ac:dyDescent="0.25">
      <c r="A237" s="19">
        <f>INSCRITOS!P199</f>
        <v>0</v>
      </c>
      <c r="B237" s="8" t="b">
        <f t="shared" si="8"/>
        <v>0</v>
      </c>
      <c r="C237" s="10">
        <f>INSCRITOS!B199</f>
        <v>0</v>
      </c>
      <c r="D237" t="str">
        <f t="shared" si="9"/>
        <v>FALSO0/</v>
      </c>
    </row>
    <row r="238" spans="1:5" ht="122.25" customHeight="1" x14ac:dyDescent="0.25">
      <c r="A238" s="19">
        <f>INSCRITOS!P200</f>
        <v>0</v>
      </c>
      <c r="B238" s="8" t="b">
        <f t="shared" si="8"/>
        <v>0</v>
      </c>
      <c r="C238" s="10">
        <f>INSCRITOS!B200</f>
        <v>0</v>
      </c>
      <c r="D238" t="str">
        <f t="shared" si="9"/>
        <v>FALSO0/</v>
      </c>
    </row>
    <row r="239" spans="1:5" ht="122.25" customHeight="1" x14ac:dyDescent="0.25">
      <c r="A239" s="19">
        <f>INSCRITOS!P201</f>
        <v>0</v>
      </c>
      <c r="B239" s="8" t="b">
        <f t="shared" si="8"/>
        <v>0</v>
      </c>
      <c r="C239" s="10">
        <f>INSCRITOS!B201</f>
        <v>0</v>
      </c>
      <c r="D239" t="str">
        <f t="shared" si="9"/>
        <v>FALSO0/</v>
      </c>
    </row>
    <row r="240" spans="1:5" ht="122.25" customHeight="1" x14ac:dyDescent="0.25">
      <c r="A240" s="19">
        <f>INSCRITOS!P202</f>
        <v>0</v>
      </c>
      <c r="B240" s="8" t="b">
        <f t="shared" si="8"/>
        <v>0</v>
      </c>
      <c r="C240" s="10">
        <f>INSCRITOS!B202</f>
        <v>0</v>
      </c>
      <c r="D240" t="str">
        <f t="shared" si="9"/>
        <v>FALSO0/</v>
      </c>
    </row>
    <row r="241" spans="1:4" ht="122.25" customHeight="1" x14ac:dyDescent="0.25">
      <c r="A241" s="19">
        <f>INSCRITOS!P203</f>
        <v>0</v>
      </c>
      <c r="B241" s="8" t="b">
        <f t="shared" si="8"/>
        <v>0</v>
      </c>
      <c r="C241" s="10">
        <f>INSCRITOS!B203</f>
        <v>0</v>
      </c>
      <c r="D241" t="str">
        <f t="shared" si="9"/>
        <v>FALSO0/</v>
      </c>
    </row>
    <row r="242" spans="1:4" ht="122.25" customHeight="1" x14ac:dyDescent="0.25">
      <c r="A242" s="19">
        <f>INSCRITOS!P204</f>
        <v>0</v>
      </c>
      <c r="B242" s="8" t="b">
        <f t="shared" si="8"/>
        <v>0</v>
      </c>
      <c r="C242" s="10">
        <f>INSCRITOS!B204</f>
        <v>0</v>
      </c>
      <c r="D242" t="str">
        <f t="shared" si="9"/>
        <v>FALSO0/</v>
      </c>
    </row>
    <row r="243" spans="1:4" ht="122.25" customHeight="1" x14ac:dyDescent="0.25">
      <c r="A243" s="19">
        <f>INSCRITOS!P205</f>
        <v>0</v>
      </c>
      <c r="B243" s="8" t="b">
        <f t="shared" si="8"/>
        <v>0</v>
      </c>
      <c r="C243" s="10">
        <f>INSCRITOS!B205</f>
        <v>0</v>
      </c>
      <c r="D243" t="str">
        <f t="shared" si="9"/>
        <v>FALSO0/</v>
      </c>
    </row>
    <row r="244" spans="1:4" ht="122.25" customHeight="1" x14ac:dyDescent="0.25">
      <c r="A244" s="19">
        <f>INSCRITOS!P206</f>
        <v>0</v>
      </c>
      <c r="B244" s="8" t="b">
        <f t="shared" si="8"/>
        <v>0</v>
      </c>
      <c r="C244" s="10">
        <f>INSCRITOS!B206</f>
        <v>0</v>
      </c>
      <c r="D244" t="str">
        <f t="shared" si="9"/>
        <v>FALSO0/</v>
      </c>
    </row>
    <row r="245" spans="1:4" ht="122.25" customHeight="1" x14ac:dyDescent="0.25">
      <c r="A245" s="19">
        <f>INSCRITOS!P207</f>
        <v>0</v>
      </c>
      <c r="B245" s="8" t="b">
        <f t="shared" si="8"/>
        <v>0</v>
      </c>
      <c r="C245" s="10">
        <f>INSCRITOS!B207</f>
        <v>0</v>
      </c>
      <c r="D245" t="str">
        <f t="shared" si="9"/>
        <v>FALSO0/</v>
      </c>
    </row>
    <row r="246" spans="1:4" ht="122.25" customHeight="1" x14ac:dyDescent="0.25">
      <c r="A246" s="19">
        <f>INSCRITOS!P208</f>
        <v>0</v>
      </c>
      <c r="B246" s="8" t="b">
        <f t="shared" si="8"/>
        <v>0</v>
      </c>
      <c r="C246" s="10">
        <f>INSCRITOS!B208</f>
        <v>0</v>
      </c>
      <c r="D246" t="str">
        <f t="shared" si="9"/>
        <v>FALSO0/</v>
      </c>
    </row>
    <row r="247" spans="1:4" ht="122.25" customHeight="1" x14ac:dyDescent="0.25">
      <c r="A247" s="19">
        <f>INSCRITOS!P209</f>
        <v>0</v>
      </c>
      <c r="B247" s="8" t="b">
        <f t="shared" si="8"/>
        <v>0</v>
      </c>
      <c r="C247" s="10">
        <f>INSCRITOS!B209</f>
        <v>0</v>
      </c>
      <c r="D247" t="str">
        <f t="shared" si="9"/>
        <v>FALSO0/</v>
      </c>
    </row>
    <row r="248" spans="1:4" ht="122.25" customHeight="1" x14ac:dyDescent="0.25">
      <c r="A248" s="19">
        <f>INSCRITOS!P210</f>
        <v>0</v>
      </c>
      <c r="B248" s="8" t="b">
        <f t="shared" si="8"/>
        <v>0</v>
      </c>
      <c r="C248" s="10">
        <f>INSCRITOS!B210</f>
        <v>0</v>
      </c>
      <c r="D248" t="str">
        <f t="shared" si="9"/>
        <v>FALSO0/</v>
      </c>
    </row>
    <row r="249" spans="1:4" ht="122.25" customHeight="1" x14ac:dyDescent="0.25">
      <c r="A249" s="19">
        <f>INSCRITOS!P211</f>
        <v>0</v>
      </c>
      <c r="B249" s="8" t="b">
        <f t="shared" si="8"/>
        <v>0</v>
      </c>
      <c r="C249" s="10">
        <f>INSCRITOS!B211</f>
        <v>0</v>
      </c>
      <c r="D249" t="str">
        <f t="shared" si="9"/>
        <v>FALSO0/</v>
      </c>
    </row>
    <row r="250" spans="1:4" ht="122.25" customHeight="1" x14ac:dyDescent="0.25">
      <c r="A250" s="19">
        <f>INSCRITOS!P212</f>
        <v>0</v>
      </c>
      <c r="B250" s="8" t="b">
        <f t="shared" si="8"/>
        <v>0</v>
      </c>
      <c r="C250" s="10">
        <f>INSCRITOS!B212</f>
        <v>0</v>
      </c>
      <c r="D250" t="str">
        <f t="shared" si="9"/>
        <v>FALSO0/</v>
      </c>
    </row>
    <row r="251" spans="1:4" ht="122.25" customHeight="1" x14ac:dyDescent="0.25">
      <c r="A251" s="19">
        <f>INSCRITOS!P213</f>
        <v>0</v>
      </c>
      <c r="B251" s="8" t="b">
        <f t="shared" si="8"/>
        <v>0</v>
      </c>
      <c r="C251" s="10">
        <f>INSCRITOS!B213</f>
        <v>0</v>
      </c>
      <c r="D251" t="str">
        <f t="shared" si="9"/>
        <v>FALSO0/</v>
      </c>
    </row>
    <row r="252" spans="1:4" ht="122.25" customHeight="1" x14ac:dyDescent="0.25">
      <c r="A252" s="19">
        <f>INSCRITOS!P214</f>
        <v>0</v>
      </c>
      <c r="B252" s="8" t="b">
        <f t="shared" si="8"/>
        <v>0</v>
      </c>
      <c r="C252" s="10">
        <f>INSCRITOS!B214</f>
        <v>0</v>
      </c>
      <c r="D252" t="str">
        <f t="shared" si="9"/>
        <v>FALSO0/</v>
      </c>
    </row>
    <row r="253" spans="1:4" ht="122.25" customHeight="1" x14ac:dyDescent="0.25">
      <c r="A253" s="19">
        <f>INSCRITOS!P215</f>
        <v>0</v>
      </c>
      <c r="B253" s="8" t="b">
        <f t="shared" si="8"/>
        <v>0</v>
      </c>
      <c r="C253" s="10">
        <f>INSCRITOS!B215</f>
        <v>0</v>
      </c>
      <c r="D253" t="str">
        <f t="shared" si="9"/>
        <v>FALSO0/</v>
      </c>
    </row>
    <row r="254" spans="1:4" ht="122.25" customHeight="1" x14ac:dyDescent="0.25">
      <c r="A254" s="19">
        <f>INSCRITOS!P216</f>
        <v>0</v>
      </c>
      <c r="B254" s="8" t="b">
        <f t="shared" si="8"/>
        <v>0</v>
      </c>
      <c r="C254" s="10">
        <f>INSCRITOS!B216</f>
        <v>0</v>
      </c>
      <c r="D254" t="str">
        <f t="shared" si="9"/>
        <v>FALSO0/</v>
      </c>
    </row>
    <row r="255" spans="1:4" ht="122.25" customHeight="1" x14ac:dyDescent="0.25">
      <c r="A255" s="19">
        <f>INSCRITOS!P217</f>
        <v>0</v>
      </c>
      <c r="B255" s="8" t="b">
        <f t="shared" si="8"/>
        <v>0</v>
      </c>
      <c r="C255" s="10">
        <f>INSCRITOS!B217</f>
        <v>0</v>
      </c>
      <c r="D255" t="str">
        <f t="shared" si="9"/>
        <v>FALSO0/</v>
      </c>
    </row>
    <row r="256" spans="1:4" ht="122.25" customHeight="1" x14ac:dyDescent="0.25">
      <c r="A256" s="19">
        <f>INSCRITOS!P218</f>
        <v>0</v>
      </c>
      <c r="B256" s="8" t="b">
        <f t="shared" si="8"/>
        <v>0</v>
      </c>
      <c r="C256" s="10">
        <f>INSCRITOS!B218</f>
        <v>0</v>
      </c>
      <c r="D256" t="str">
        <f t="shared" si="9"/>
        <v>FALSO0/</v>
      </c>
    </row>
    <row r="257" spans="1:4" ht="122.25" customHeight="1" x14ac:dyDescent="0.25">
      <c r="A257" s="19">
        <f>INSCRITOS!P219</f>
        <v>0</v>
      </c>
      <c r="B257" s="8" t="b">
        <f t="shared" si="8"/>
        <v>0</v>
      </c>
      <c r="C257" s="10">
        <f>INSCRITOS!B219</f>
        <v>0</v>
      </c>
      <c r="D257" t="str">
        <f t="shared" si="9"/>
        <v>FALSO0/</v>
      </c>
    </row>
    <row r="258" spans="1:4" ht="122.25" customHeight="1" x14ac:dyDescent="0.25">
      <c r="A258" s="19">
        <f>INSCRITOS!P220</f>
        <v>0</v>
      </c>
      <c r="B258" s="8" t="b">
        <f t="shared" si="8"/>
        <v>0</v>
      </c>
      <c r="C258" s="10">
        <f>INSCRITOS!B220</f>
        <v>0</v>
      </c>
      <c r="D258" t="str">
        <f t="shared" si="9"/>
        <v>FALSO0/</v>
      </c>
    </row>
    <row r="259" spans="1:4" ht="122.25" customHeight="1" x14ac:dyDescent="0.25">
      <c r="A259" s="19">
        <f>INSCRITOS!P221</f>
        <v>0</v>
      </c>
      <c r="B259" s="8" t="b">
        <f t="shared" si="8"/>
        <v>0</v>
      </c>
      <c r="C259" s="10">
        <f>INSCRITOS!B221</f>
        <v>0</v>
      </c>
      <c r="D259" t="str">
        <f t="shared" si="9"/>
        <v>FALSO0/</v>
      </c>
    </row>
    <row r="260" spans="1:4" ht="122.25" customHeight="1" x14ac:dyDescent="0.25">
      <c r="A260" s="19">
        <f>INSCRITOS!P222</f>
        <v>0</v>
      </c>
      <c r="B260" s="8" t="b">
        <f t="shared" si="8"/>
        <v>0</v>
      </c>
      <c r="C260" s="10">
        <f>INSCRITOS!B222</f>
        <v>0</v>
      </c>
      <c r="D260" t="str">
        <f t="shared" si="9"/>
        <v>FALSO0/</v>
      </c>
    </row>
    <row r="261" spans="1:4" ht="122.25" customHeight="1" x14ac:dyDescent="0.25">
      <c r="A261" s="19">
        <f>INSCRITOS!P223</f>
        <v>0</v>
      </c>
      <c r="B261" s="8" t="b">
        <f t="shared" si="8"/>
        <v>0</v>
      </c>
      <c r="C261" s="10">
        <f>INSCRITOS!B223</f>
        <v>0</v>
      </c>
      <c r="D261" t="str">
        <f t="shared" si="9"/>
        <v>FALSO0/</v>
      </c>
    </row>
    <row r="262" spans="1:4" ht="122.25" customHeight="1" x14ac:dyDescent="0.25">
      <c r="A262" s="19">
        <f>INSCRITOS!P224</f>
        <v>0</v>
      </c>
      <c r="B262" s="8" t="b">
        <f t="shared" si="8"/>
        <v>0</v>
      </c>
      <c r="C262" s="10">
        <f>INSCRITOS!B224</f>
        <v>0</v>
      </c>
      <c r="D262" t="str">
        <f t="shared" si="9"/>
        <v>FALSO0/</v>
      </c>
    </row>
    <row r="263" spans="1:4" ht="122.25" customHeight="1" x14ac:dyDescent="0.25">
      <c r="A263" s="19">
        <f>INSCRITOS!P225</f>
        <v>0</v>
      </c>
      <c r="B263" s="8" t="b">
        <f t="shared" si="8"/>
        <v>0</v>
      </c>
      <c r="C263" s="10">
        <f>INSCRITOS!B225</f>
        <v>0</v>
      </c>
      <c r="D263" t="str">
        <f t="shared" si="9"/>
        <v>FALSO0/</v>
      </c>
    </row>
    <row r="264" spans="1:4" ht="122.25" customHeight="1" x14ac:dyDescent="0.25">
      <c r="A264" s="19">
        <f>INSCRITOS!P226</f>
        <v>0</v>
      </c>
      <c r="B264" s="8" t="b">
        <f t="shared" si="8"/>
        <v>0</v>
      </c>
      <c r="C264" s="10">
        <f>INSCRITOS!B226</f>
        <v>0</v>
      </c>
      <c r="D264" t="str">
        <f t="shared" si="9"/>
        <v>FALSO0/</v>
      </c>
    </row>
    <row r="265" spans="1:4" ht="122.25" customHeight="1" x14ac:dyDescent="0.25">
      <c r="A265" s="19">
        <f>INSCRITOS!P227</f>
        <v>0</v>
      </c>
      <c r="B265" s="8" t="b">
        <f t="shared" si="8"/>
        <v>0</v>
      </c>
      <c r="C265" s="10">
        <f>INSCRITOS!B227</f>
        <v>0</v>
      </c>
      <c r="D265" t="str">
        <f t="shared" si="9"/>
        <v>FALSO0/</v>
      </c>
    </row>
    <row r="266" spans="1:4" ht="122.25" customHeight="1" x14ac:dyDescent="0.25">
      <c r="A266" s="19">
        <f>INSCRITOS!P228</f>
        <v>0</v>
      </c>
      <c r="B266" s="8" t="b">
        <f t="shared" si="8"/>
        <v>0</v>
      </c>
      <c r="C266" s="10">
        <f>INSCRITOS!B228</f>
        <v>0</v>
      </c>
      <c r="D266" t="str">
        <f t="shared" si="9"/>
        <v>FALSO0/</v>
      </c>
    </row>
    <row r="267" spans="1:4" ht="122.25" customHeight="1" x14ac:dyDescent="0.25">
      <c r="A267" s="19">
        <f>INSCRITOS!P229</f>
        <v>0</v>
      </c>
      <c r="B267" s="8" t="b">
        <f t="shared" si="8"/>
        <v>0</v>
      </c>
      <c r="C267" s="10">
        <f>INSCRITOS!B229</f>
        <v>0</v>
      </c>
      <c r="D267" t="str">
        <f t="shared" si="9"/>
        <v>FALSO0/</v>
      </c>
    </row>
    <row r="268" spans="1:4" ht="122.25" customHeight="1" x14ac:dyDescent="0.25">
      <c r="A268" s="19">
        <f>INSCRITOS!P230</f>
        <v>0</v>
      </c>
      <c r="B268" s="8" t="b">
        <f t="shared" si="8"/>
        <v>0</v>
      </c>
      <c r="C268" s="10">
        <f>INSCRITOS!B230</f>
        <v>0</v>
      </c>
      <c r="D268" t="str">
        <f t="shared" si="9"/>
        <v>FALSO0/</v>
      </c>
    </row>
    <row r="269" spans="1:4" ht="122.25" customHeight="1" x14ac:dyDescent="0.25">
      <c r="A269" s="19">
        <f>INSCRITOS!P231</f>
        <v>0</v>
      </c>
      <c r="B269" s="8" t="b">
        <f t="shared" si="8"/>
        <v>0</v>
      </c>
      <c r="C269" s="10">
        <f>INSCRITOS!B231</f>
        <v>0</v>
      </c>
      <c r="D269" t="str">
        <f t="shared" si="9"/>
        <v>FALSO0/</v>
      </c>
    </row>
    <row r="270" spans="1:4" ht="122.25" customHeight="1" x14ac:dyDescent="0.25">
      <c r="A270" s="19">
        <f>INSCRITOS!P232</f>
        <v>0</v>
      </c>
      <c r="B270" s="8" t="b">
        <f t="shared" si="8"/>
        <v>0</v>
      </c>
      <c r="C270" s="10">
        <f>INSCRITOS!B232</f>
        <v>0</v>
      </c>
      <c r="D270" t="str">
        <f t="shared" si="9"/>
        <v>FALSO0/</v>
      </c>
    </row>
    <row r="271" spans="1:4" ht="122.25" customHeight="1" x14ac:dyDescent="0.25">
      <c r="A271" s="19">
        <f>INSCRITOS!P233</f>
        <v>0</v>
      </c>
      <c r="B271" s="8" t="b">
        <f t="shared" si="8"/>
        <v>0</v>
      </c>
      <c r="C271" s="10">
        <f>INSCRITOS!B233</f>
        <v>0</v>
      </c>
      <c r="D271" t="str">
        <f t="shared" si="9"/>
        <v>FALSO0/</v>
      </c>
    </row>
    <row r="272" spans="1:4" ht="122.25" customHeight="1" x14ac:dyDescent="0.25">
      <c r="A272" s="19">
        <f>INSCRITOS!P234</f>
        <v>0</v>
      </c>
      <c r="B272" s="8" t="b">
        <f t="shared" si="8"/>
        <v>0</v>
      </c>
      <c r="C272" s="10">
        <f>INSCRITOS!B234</f>
        <v>0</v>
      </c>
      <c r="D272" t="str">
        <f t="shared" si="9"/>
        <v>FALSO0/</v>
      </c>
    </row>
    <row r="273" spans="1:4" ht="122.25" customHeight="1" x14ac:dyDescent="0.25">
      <c r="A273" s="19">
        <f>INSCRITOS!P235</f>
        <v>0</v>
      </c>
      <c r="B273" s="8" t="b">
        <f t="shared" si="8"/>
        <v>0</v>
      </c>
      <c r="C273" s="10">
        <f>INSCRITOS!B235</f>
        <v>0</v>
      </c>
      <c r="D273" t="str">
        <f t="shared" si="9"/>
        <v>FALSO0/</v>
      </c>
    </row>
    <row r="274" spans="1:4" ht="122.25" customHeight="1" x14ac:dyDescent="0.25">
      <c r="A274" s="19">
        <f>INSCRITOS!P236</f>
        <v>0</v>
      </c>
      <c r="B274" s="8" t="b">
        <f t="shared" si="8"/>
        <v>0</v>
      </c>
      <c r="C274" s="10">
        <f>INSCRITOS!B236</f>
        <v>0</v>
      </c>
      <c r="D274" t="str">
        <f t="shared" si="9"/>
        <v>FALSO0/</v>
      </c>
    </row>
    <row r="275" spans="1:4" ht="122.25" customHeight="1" x14ac:dyDescent="0.25">
      <c r="A275" s="19">
        <f>INSCRITOS!P237</f>
        <v>0</v>
      </c>
      <c r="B275" s="8" t="b">
        <f t="shared" si="8"/>
        <v>0</v>
      </c>
      <c r="C275" s="10">
        <f>INSCRITOS!B237</f>
        <v>0</v>
      </c>
      <c r="D275" t="str">
        <f t="shared" si="9"/>
        <v>FALSO0/</v>
      </c>
    </row>
    <row r="276" spans="1:4" ht="122.25" customHeight="1" x14ac:dyDescent="0.25">
      <c r="A276" s="19">
        <f>INSCRITOS!P238</f>
        <v>0</v>
      </c>
      <c r="B276" s="8" t="b">
        <f t="shared" si="8"/>
        <v>0</v>
      </c>
      <c r="C276" s="10">
        <f>INSCRITOS!B238</f>
        <v>0</v>
      </c>
      <c r="D276" t="str">
        <f t="shared" si="9"/>
        <v>FALSO0/</v>
      </c>
    </row>
    <row r="277" spans="1:4" ht="122.25" customHeight="1" x14ac:dyDescent="0.25">
      <c r="A277" s="19">
        <f>INSCRITOS!P239</f>
        <v>0</v>
      </c>
      <c r="B277" s="8" t="b">
        <f t="shared" si="8"/>
        <v>0</v>
      </c>
      <c r="C277" s="10">
        <f>INSCRITOS!B239</f>
        <v>0</v>
      </c>
      <c r="D277" t="str">
        <f t="shared" si="9"/>
        <v>FALSO0/</v>
      </c>
    </row>
    <row r="278" spans="1:4" ht="122.25" customHeight="1" x14ac:dyDescent="0.25">
      <c r="A278" s="19">
        <f>INSCRITOS!P240</f>
        <v>0</v>
      </c>
      <c r="B278" s="8" t="b">
        <f t="shared" si="8"/>
        <v>0</v>
      </c>
      <c r="C278" s="10">
        <f>INSCRITOS!B240</f>
        <v>0</v>
      </c>
      <c r="D278" t="str">
        <f t="shared" si="9"/>
        <v>FALSO0/</v>
      </c>
    </row>
    <row r="279" spans="1:4" ht="122.25" customHeight="1" x14ac:dyDescent="0.25">
      <c r="A279" s="19">
        <f>INSCRITOS!P241</f>
        <v>0</v>
      </c>
      <c r="B279" s="8" t="b">
        <f t="shared" si="8"/>
        <v>0</v>
      </c>
      <c r="C279" s="10">
        <f>INSCRITOS!B241</f>
        <v>0</v>
      </c>
      <c r="D279" t="str">
        <f t="shared" si="9"/>
        <v>FALSO0/</v>
      </c>
    </row>
    <row r="280" spans="1:4" ht="122.25" customHeight="1" x14ac:dyDescent="0.25">
      <c r="A280" s="19">
        <f>INSCRITOS!P242</f>
        <v>0</v>
      </c>
      <c r="B280" s="8" t="b">
        <f t="shared" si="8"/>
        <v>0</v>
      </c>
      <c r="C280" s="10">
        <f>INSCRITOS!B242</f>
        <v>0</v>
      </c>
      <c r="D280" t="str">
        <f t="shared" si="9"/>
        <v>FALSO0/</v>
      </c>
    </row>
    <row r="281" spans="1:4" ht="122.25" customHeight="1" x14ac:dyDescent="0.25">
      <c r="A281" s="19">
        <f>INSCRITOS!P243</f>
        <v>0</v>
      </c>
      <c r="B281" s="8" t="b">
        <f t="shared" si="8"/>
        <v>0</v>
      </c>
      <c r="C281" s="10">
        <f>INSCRITOS!B243</f>
        <v>0</v>
      </c>
      <c r="D281" t="str">
        <f t="shared" si="9"/>
        <v>FALSO0/</v>
      </c>
    </row>
    <row r="282" spans="1:4" ht="122.25" customHeight="1" x14ac:dyDescent="0.25">
      <c r="A282" s="19">
        <f>INSCRITOS!P244</f>
        <v>0</v>
      </c>
      <c r="B282" s="8" t="b">
        <f t="shared" si="8"/>
        <v>0</v>
      </c>
      <c r="C282" s="10">
        <f>INSCRITOS!B244</f>
        <v>0</v>
      </c>
      <c r="D282" t="str">
        <f t="shared" si="9"/>
        <v>FALSO0/</v>
      </c>
    </row>
    <row r="283" spans="1:4" ht="122.25" customHeight="1" x14ac:dyDescent="0.25">
      <c r="A283" s="19">
        <f>INSCRITOS!P245</f>
        <v>0</v>
      </c>
      <c r="B283" s="8" t="b">
        <f t="shared" si="8"/>
        <v>0</v>
      </c>
      <c r="C283" s="10">
        <f>INSCRITOS!B245</f>
        <v>0</v>
      </c>
      <c r="D283" t="str">
        <f t="shared" si="9"/>
        <v>FALSO0/</v>
      </c>
    </row>
    <row r="284" spans="1:4" ht="122.25" customHeight="1" x14ac:dyDescent="0.25">
      <c r="A284" s="19">
        <f>INSCRITOS!P246</f>
        <v>0</v>
      </c>
      <c r="B284" s="8" t="b">
        <f t="shared" si="8"/>
        <v>0</v>
      </c>
      <c r="C284" s="10">
        <f>INSCRITOS!B246</f>
        <v>0</v>
      </c>
      <c r="D284" t="str">
        <f t="shared" si="9"/>
        <v>FALSO0/</v>
      </c>
    </row>
    <row r="285" spans="1:4" ht="122.25" customHeight="1" x14ac:dyDescent="0.25">
      <c r="A285" s="19">
        <f>INSCRITOS!P247</f>
        <v>0</v>
      </c>
      <c r="B285" s="8" t="b">
        <f t="shared" si="8"/>
        <v>0</v>
      </c>
      <c r="C285" s="10">
        <f>INSCRITOS!B247</f>
        <v>0</v>
      </c>
      <c r="D285" t="str">
        <f t="shared" si="9"/>
        <v>FALSO0/</v>
      </c>
    </row>
    <row r="286" spans="1:4" ht="122.25" customHeight="1" x14ac:dyDescent="0.25">
      <c r="A286" s="19">
        <f>INSCRITOS!P248</f>
        <v>0</v>
      </c>
      <c r="B286" s="8" t="b">
        <f t="shared" si="8"/>
        <v>0</v>
      </c>
      <c r="C286" s="10">
        <f>INSCRITOS!B248</f>
        <v>0</v>
      </c>
      <c r="D286" t="str">
        <f t="shared" si="9"/>
        <v>FALSO0/</v>
      </c>
    </row>
    <row r="287" spans="1:4" ht="122.25" customHeight="1" x14ac:dyDescent="0.25">
      <c r="A287" s="19">
        <f>INSCRITOS!P249</f>
        <v>0</v>
      </c>
      <c r="B287" s="8" t="b">
        <f t="shared" si="8"/>
        <v>0</v>
      </c>
      <c r="C287" s="10">
        <f>INSCRITOS!B249</f>
        <v>0</v>
      </c>
      <c r="D287" t="str">
        <f t="shared" si="9"/>
        <v>FALSO0/</v>
      </c>
    </row>
    <row r="288" spans="1:4" ht="122.25" customHeight="1" x14ac:dyDescent="0.25">
      <c r="A288" s="19">
        <f>INSCRITOS!P250</f>
        <v>0</v>
      </c>
      <c r="B288" s="8" t="b">
        <f t="shared" ref="B288:B351" si="10">IF(A288=$H$19,"https://centrodecapacitaciondelsur.com/o-v-e-",IF(A288=$H$2,"https://centrodecapacitaciondelsur.com/aph-",IF(A288=$H$3,"https://centrodecapacitaciondelsur.com/manejo-del-duelo-",IF(A288=$H$4,"https://centrodecapacitaciondelsur.com/victimas-por-agentes-quimicos-",IF(A288=$H$5,"https://centrodecapacitaciondelsur.com/primeros-auxilios-",IF(A288=$H$6,"https://centrodecapacitaciondelsur.com/uci-",IF(A288=$H$8,"https://centrodecapacitaciondelsur.com/humanizacion-",IF(A288=$H$11,"https://centrodecapacitaciondelsur.com/soporte-cardiovascular-avanzado-",IF(A288=$H$12,"https://centrodecapacitaciondelsur.com/camillero-",IF(A288=$H$13,"https://centrodecapacitaciondelsur.com/toma-de-muestras-y-lab-clinico-",IF(A288=$H$14,"https://centrodecapacitaciondelsur.com/soporte-basico-de-vida-",IF(A288=$H$15,"https://centrodecapacitaciondelsur.com/violencia-sexual-",IF(A288=$H$17,"https://centrodecapacitaciondelsur.com/aiepi-",IF(A288=$H$18,"https://centrodecapacitaciondelsur.com/adm-medicamentos-canalizacion-inyectologia-",IF(A288=$H$25,"https://centrodecapacitaciondelsur.com/manejo-del-dolor-y-cuidados-paliativos-",IF(A288=$H$26,"https://centrodecapacitaciondelsur.com/toma-de-muestras-y-lab-clinico-poct-",IF(A288=$H$27,"https://centrodecapacitaciondelsur.com/implante-subdermico-",IF(A288=$H$21,"https://centrodecapacitaciondelsur.com/donante-de-organos-",IF(A288=$H$30,"https://centrodecapacitaciondelsur.com/atencion-a-victimas-del-conflicto-armado-",IF(A288=$H$20,"https://centrodecapacitaciondelsur.com/iami-",IF(A288=$H$22,"https://centrodecapacitaciondelsur.com/violencia-de-genero-",IF(A288=$H$23,"https://centrodecapacitaciondelsur.com/igualdad-de-genero-",IF(A288=$H$16,"https://centrodecapacitaciondelsur.com/pai-",IF(A288=$H$31,"https://centrodecapacitaciondelsur.com/manipulacion-de-alimentos-",IF(A288=$H$32,"https://centrodecapacitaciondelsur.com/atencion-a-personas-con-discapacidad-",IF(A288=$H$33,"https://centrodecapacitaciondelsur.com/atencion-al-adulto-mayor-",IF(A288=$H$34,"https://centrodecapacitaciondelsur.com/manejo-defensivo-",IF(A288=$H$35,"https://centrodecapacitaciondelsur.com/soporte-basico-neonatal-",IF(A288=$H$36,"https://centrodecapacitaciondelsur.com/seguridad-del-paciente-",IF(A288=$H$37,"https://centrodecapacitaciondelsur.com/manejo-de-residuos-hospitalarios-",IF(A288=$H$10,"https://centrodecapacitaciondelsur.com/toma-de-citologia-",IF(A288=$H$29,"https://centrodecapacitaciondelsur.com/primeros-aux-psicologicos-"))))))))))))))))))))))))))))))))</f>
        <v>0</v>
      </c>
      <c r="C288" s="10">
        <f>INSCRITOS!B250</f>
        <v>0</v>
      </c>
      <c r="D288" t="str">
        <f t="shared" ref="D288:D351" si="11">CONCATENATE(B288,C288,"/")</f>
        <v>FALSO0/</v>
      </c>
    </row>
    <row r="289" spans="1:4" ht="122.25" customHeight="1" x14ac:dyDescent="0.25">
      <c r="A289" s="19">
        <f>INSCRITOS!P251</f>
        <v>0</v>
      </c>
      <c r="B289" s="8" t="b">
        <f t="shared" si="10"/>
        <v>0</v>
      </c>
      <c r="C289" s="10">
        <f>INSCRITOS!B251</f>
        <v>0</v>
      </c>
      <c r="D289" t="str">
        <f t="shared" si="11"/>
        <v>FALSO0/</v>
      </c>
    </row>
    <row r="290" spans="1:4" ht="122.25" customHeight="1" x14ac:dyDescent="0.25">
      <c r="A290" s="19">
        <f>INSCRITOS!P252</f>
        <v>0</v>
      </c>
      <c r="B290" s="8" t="b">
        <f t="shared" si="10"/>
        <v>0</v>
      </c>
      <c r="C290" s="10">
        <f>INSCRITOS!B252</f>
        <v>0</v>
      </c>
      <c r="D290" t="str">
        <f t="shared" si="11"/>
        <v>FALSO0/</v>
      </c>
    </row>
    <row r="291" spans="1:4" ht="122.25" customHeight="1" x14ac:dyDescent="0.25">
      <c r="A291" s="19">
        <f>INSCRITOS!P253</f>
        <v>0</v>
      </c>
      <c r="B291" s="8" t="b">
        <f t="shared" si="10"/>
        <v>0</v>
      </c>
      <c r="C291" s="10">
        <f>INSCRITOS!B253</f>
        <v>0</v>
      </c>
      <c r="D291" t="str">
        <f t="shared" si="11"/>
        <v>FALSO0/</v>
      </c>
    </row>
    <row r="292" spans="1:4" ht="122.25" customHeight="1" x14ac:dyDescent="0.25">
      <c r="A292" s="19">
        <f>INSCRITOS!P254</f>
        <v>0</v>
      </c>
      <c r="B292" s="8" t="b">
        <f t="shared" si="10"/>
        <v>0</v>
      </c>
      <c r="C292" s="10">
        <f>INSCRITOS!B254</f>
        <v>0</v>
      </c>
      <c r="D292" t="str">
        <f t="shared" si="11"/>
        <v>FALSO0/</v>
      </c>
    </row>
    <row r="293" spans="1:4" ht="122.25" customHeight="1" x14ac:dyDescent="0.25">
      <c r="A293" s="19">
        <f>INSCRITOS!P255</f>
        <v>0</v>
      </c>
      <c r="B293" s="8" t="b">
        <f t="shared" si="10"/>
        <v>0</v>
      </c>
      <c r="C293" s="10">
        <f>INSCRITOS!B255</f>
        <v>0</v>
      </c>
      <c r="D293" t="str">
        <f t="shared" si="11"/>
        <v>FALSO0/</v>
      </c>
    </row>
    <row r="294" spans="1:4" ht="122.25" customHeight="1" x14ac:dyDescent="0.25">
      <c r="A294" s="19">
        <f>INSCRITOS!P256</f>
        <v>0</v>
      </c>
      <c r="B294" s="8" t="b">
        <f t="shared" si="10"/>
        <v>0</v>
      </c>
      <c r="C294" s="10">
        <f>INSCRITOS!B256</f>
        <v>0</v>
      </c>
      <c r="D294" t="str">
        <f t="shared" si="11"/>
        <v>FALSO0/</v>
      </c>
    </row>
    <row r="295" spans="1:4" ht="122.25" customHeight="1" x14ac:dyDescent="0.25">
      <c r="A295" s="19">
        <f>INSCRITOS!P257</f>
        <v>0</v>
      </c>
      <c r="B295" s="8" t="b">
        <f t="shared" si="10"/>
        <v>0</v>
      </c>
      <c r="C295" s="10">
        <f>INSCRITOS!B257</f>
        <v>0</v>
      </c>
      <c r="D295" t="str">
        <f t="shared" si="11"/>
        <v>FALSO0/</v>
      </c>
    </row>
    <row r="296" spans="1:4" ht="122.25" customHeight="1" x14ac:dyDescent="0.25">
      <c r="A296" s="19">
        <f>INSCRITOS!P258</f>
        <v>0</v>
      </c>
      <c r="B296" s="8" t="b">
        <f t="shared" si="10"/>
        <v>0</v>
      </c>
      <c r="C296" s="10">
        <f>INSCRITOS!B258</f>
        <v>0</v>
      </c>
      <c r="D296" t="str">
        <f t="shared" si="11"/>
        <v>FALSO0/</v>
      </c>
    </row>
    <row r="297" spans="1:4" ht="122.25" customHeight="1" x14ac:dyDescent="0.25">
      <c r="A297" s="19">
        <f>INSCRITOS!P259</f>
        <v>0</v>
      </c>
      <c r="B297" s="8" t="b">
        <f t="shared" si="10"/>
        <v>0</v>
      </c>
      <c r="C297" s="10">
        <f>INSCRITOS!B259</f>
        <v>0</v>
      </c>
      <c r="D297" t="str">
        <f t="shared" si="11"/>
        <v>FALSO0/</v>
      </c>
    </row>
    <row r="298" spans="1:4" ht="122.25" customHeight="1" x14ac:dyDescent="0.25">
      <c r="A298" s="19">
        <f>INSCRITOS!P260</f>
        <v>0</v>
      </c>
      <c r="B298" s="8" t="b">
        <f t="shared" si="10"/>
        <v>0</v>
      </c>
      <c r="C298" s="10">
        <f>INSCRITOS!B260</f>
        <v>0</v>
      </c>
      <c r="D298" t="str">
        <f t="shared" si="11"/>
        <v>FALSO0/</v>
      </c>
    </row>
    <row r="299" spans="1:4" ht="122.25" customHeight="1" x14ac:dyDescent="0.25">
      <c r="A299" s="19">
        <f>INSCRITOS!P261</f>
        <v>0</v>
      </c>
      <c r="B299" s="8" t="b">
        <f t="shared" si="10"/>
        <v>0</v>
      </c>
      <c r="C299" s="10">
        <f>INSCRITOS!B261</f>
        <v>0</v>
      </c>
      <c r="D299" t="str">
        <f t="shared" si="11"/>
        <v>FALSO0/</v>
      </c>
    </row>
    <row r="300" spans="1:4" ht="122.25" customHeight="1" x14ac:dyDescent="0.25">
      <c r="A300" s="19">
        <f>INSCRITOS!P262</f>
        <v>0</v>
      </c>
      <c r="B300" s="8" t="b">
        <f t="shared" si="10"/>
        <v>0</v>
      </c>
      <c r="C300" s="10">
        <f>INSCRITOS!B262</f>
        <v>0</v>
      </c>
      <c r="D300" t="str">
        <f t="shared" si="11"/>
        <v>FALSO0/</v>
      </c>
    </row>
    <row r="301" spans="1:4" ht="122.25" customHeight="1" x14ac:dyDescent="0.25">
      <c r="A301" s="19">
        <f>INSCRITOS!P263</f>
        <v>0</v>
      </c>
      <c r="B301" s="8" t="b">
        <f t="shared" si="10"/>
        <v>0</v>
      </c>
      <c r="C301" s="10">
        <f>INSCRITOS!B263</f>
        <v>0</v>
      </c>
      <c r="D301" t="str">
        <f t="shared" si="11"/>
        <v>FALSO0/</v>
      </c>
    </row>
    <row r="302" spans="1:4" ht="122.25" customHeight="1" x14ac:dyDescent="0.25">
      <c r="A302" s="19">
        <f>INSCRITOS!P264</f>
        <v>0</v>
      </c>
      <c r="B302" s="8" t="b">
        <f t="shared" si="10"/>
        <v>0</v>
      </c>
      <c r="C302" s="10">
        <f>INSCRITOS!B264</f>
        <v>0</v>
      </c>
      <c r="D302" t="str">
        <f t="shared" si="11"/>
        <v>FALSO0/</v>
      </c>
    </row>
    <row r="303" spans="1:4" ht="122.25" customHeight="1" x14ac:dyDescent="0.25">
      <c r="A303" s="19">
        <f>INSCRITOS!P265</f>
        <v>0</v>
      </c>
      <c r="B303" s="8" t="b">
        <f t="shared" si="10"/>
        <v>0</v>
      </c>
      <c r="C303" s="10">
        <f>INSCRITOS!B265</f>
        <v>0</v>
      </c>
      <c r="D303" t="str">
        <f t="shared" si="11"/>
        <v>FALSO0/</v>
      </c>
    </row>
    <row r="304" spans="1:4" ht="122.25" customHeight="1" x14ac:dyDescent="0.25">
      <c r="A304" s="19">
        <f>INSCRITOS!P266</f>
        <v>0</v>
      </c>
      <c r="B304" s="8" t="b">
        <f t="shared" si="10"/>
        <v>0</v>
      </c>
      <c r="C304" s="10">
        <f>INSCRITOS!B266</f>
        <v>0</v>
      </c>
      <c r="D304" t="str">
        <f t="shared" si="11"/>
        <v>FALSO0/</v>
      </c>
    </row>
    <row r="305" spans="1:4" ht="122.25" customHeight="1" x14ac:dyDescent="0.25">
      <c r="A305" s="19">
        <f>INSCRITOS!P267</f>
        <v>0</v>
      </c>
      <c r="B305" s="8" t="b">
        <f t="shared" si="10"/>
        <v>0</v>
      </c>
      <c r="C305" s="10">
        <f>INSCRITOS!B267</f>
        <v>0</v>
      </c>
      <c r="D305" t="str">
        <f t="shared" si="11"/>
        <v>FALSO0/</v>
      </c>
    </row>
    <row r="306" spans="1:4" ht="122.25" customHeight="1" x14ac:dyDescent="0.25">
      <c r="A306" s="19">
        <f>INSCRITOS!P268</f>
        <v>0</v>
      </c>
      <c r="B306" s="8" t="b">
        <f t="shared" si="10"/>
        <v>0</v>
      </c>
      <c r="C306" s="10">
        <f>INSCRITOS!B268</f>
        <v>0</v>
      </c>
      <c r="D306" t="str">
        <f t="shared" si="11"/>
        <v>FALSO0/</v>
      </c>
    </row>
    <row r="307" spans="1:4" ht="122.25" customHeight="1" x14ac:dyDescent="0.25">
      <c r="A307" s="19">
        <f>INSCRITOS!P269</f>
        <v>0</v>
      </c>
      <c r="B307" s="8" t="b">
        <f t="shared" si="10"/>
        <v>0</v>
      </c>
      <c r="C307" s="10">
        <f>INSCRITOS!B269</f>
        <v>0</v>
      </c>
      <c r="D307" t="str">
        <f t="shared" si="11"/>
        <v>FALSO0/</v>
      </c>
    </row>
    <row r="308" spans="1:4" ht="122.25" customHeight="1" x14ac:dyDescent="0.25">
      <c r="A308" s="19">
        <f>INSCRITOS!P270</f>
        <v>0</v>
      </c>
      <c r="B308" s="8" t="b">
        <f t="shared" si="10"/>
        <v>0</v>
      </c>
      <c r="C308" s="10">
        <f>INSCRITOS!B270</f>
        <v>0</v>
      </c>
      <c r="D308" t="str">
        <f t="shared" si="11"/>
        <v>FALSO0/</v>
      </c>
    </row>
    <row r="309" spans="1:4" ht="122.25" customHeight="1" x14ac:dyDescent="0.25">
      <c r="A309" s="19">
        <f>INSCRITOS!P271</f>
        <v>0</v>
      </c>
      <c r="B309" s="8" t="b">
        <f t="shared" si="10"/>
        <v>0</v>
      </c>
      <c r="C309" s="10">
        <f>INSCRITOS!B271</f>
        <v>0</v>
      </c>
      <c r="D309" t="str">
        <f t="shared" si="11"/>
        <v>FALSO0/</v>
      </c>
    </row>
    <row r="310" spans="1:4" ht="122.25" customHeight="1" x14ac:dyDescent="0.25">
      <c r="A310" s="19">
        <f>INSCRITOS!P272</f>
        <v>0</v>
      </c>
      <c r="B310" s="8" t="b">
        <f t="shared" si="10"/>
        <v>0</v>
      </c>
      <c r="C310" s="10">
        <f>INSCRITOS!B272</f>
        <v>0</v>
      </c>
      <c r="D310" t="str">
        <f t="shared" si="11"/>
        <v>FALSO0/</v>
      </c>
    </row>
    <row r="311" spans="1:4" ht="122.25" customHeight="1" x14ac:dyDescent="0.25">
      <c r="A311" s="19">
        <f>INSCRITOS!P273</f>
        <v>0</v>
      </c>
      <c r="B311" s="8" t="b">
        <f t="shared" si="10"/>
        <v>0</v>
      </c>
      <c r="C311" s="10">
        <f>INSCRITOS!B273</f>
        <v>0</v>
      </c>
      <c r="D311" t="str">
        <f t="shared" si="11"/>
        <v>FALSO0/</v>
      </c>
    </row>
    <row r="312" spans="1:4" ht="122.25" customHeight="1" x14ac:dyDescent="0.25">
      <c r="A312" s="19">
        <f>INSCRITOS!P274</f>
        <v>0</v>
      </c>
      <c r="B312" s="8" t="b">
        <f t="shared" si="10"/>
        <v>0</v>
      </c>
      <c r="C312" s="10">
        <f>INSCRITOS!B274</f>
        <v>0</v>
      </c>
      <c r="D312" t="str">
        <f t="shared" si="11"/>
        <v>FALSO0/</v>
      </c>
    </row>
    <row r="313" spans="1:4" ht="122.25" customHeight="1" x14ac:dyDescent="0.25">
      <c r="A313" s="19">
        <f>INSCRITOS!P275</f>
        <v>0</v>
      </c>
      <c r="B313" s="8" t="b">
        <f t="shared" si="10"/>
        <v>0</v>
      </c>
      <c r="C313" s="10">
        <f>INSCRITOS!B275</f>
        <v>0</v>
      </c>
      <c r="D313" t="str">
        <f t="shared" si="11"/>
        <v>FALSO0/</v>
      </c>
    </row>
    <row r="314" spans="1:4" ht="122.25" customHeight="1" x14ac:dyDescent="0.25">
      <c r="A314" s="19">
        <f>INSCRITOS!P276</f>
        <v>0</v>
      </c>
      <c r="B314" s="8" t="b">
        <f t="shared" si="10"/>
        <v>0</v>
      </c>
      <c r="C314" s="10">
        <f>INSCRITOS!B276</f>
        <v>0</v>
      </c>
      <c r="D314" t="str">
        <f t="shared" si="11"/>
        <v>FALSO0/</v>
      </c>
    </row>
    <row r="315" spans="1:4" ht="122.25" customHeight="1" x14ac:dyDescent="0.25">
      <c r="A315" s="19">
        <f>INSCRITOS!P277</f>
        <v>0</v>
      </c>
      <c r="B315" s="8" t="b">
        <f t="shared" si="10"/>
        <v>0</v>
      </c>
      <c r="C315" s="10">
        <f>INSCRITOS!B277</f>
        <v>0</v>
      </c>
      <c r="D315" t="str">
        <f t="shared" si="11"/>
        <v>FALSO0/</v>
      </c>
    </row>
    <row r="316" spans="1:4" ht="122.25" customHeight="1" x14ac:dyDescent="0.25">
      <c r="A316" s="19">
        <f>INSCRITOS!P278</f>
        <v>0</v>
      </c>
      <c r="B316" s="8" t="b">
        <f t="shared" si="10"/>
        <v>0</v>
      </c>
      <c r="C316" s="10">
        <f>INSCRITOS!B278</f>
        <v>0</v>
      </c>
      <c r="D316" t="str">
        <f t="shared" si="11"/>
        <v>FALSO0/</v>
      </c>
    </row>
    <row r="317" spans="1:4" ht="122.25" customHeight="1" x14ac:dyDescent="0.25">
      <c r="A317" s="19">
        <f>INSCRITOS!P279</f>
        <v>0</v>
      </c>
      <c r="B317" s="8" t="b">
        <f t="shared" si="10"/>
        <v>0</v>
      </c>
      <c r="C317" s="10">
        <f>INSCRITOS!B279</f>
        <v>0</v>
      </c>
      <c r="D317" t="str">
        <f t="shared" si="11"/>
        <v>FALSO0/</v>
      </c>
    </row>
    <row r="318" spans="1:4" ht="122.25" customHeight="1" x14ac:dyDescent="0.25">
      <c r="A318" s="19">
        <f>INSCRITOS!P280</f>
        <v>0</v>
      </c>
      <c r="B318" s="8" t="b">
        <f t="shared" si="10"/>
        <v>0</v>
      </c>
      <c r="C318" s="10">
        <f>INSCRITOS!B280</f>
        <v>0</v>
      </c>
      <c r="D318" t="str">
        <f t="shared" si="11"/>
        <v>FALSO0/</v>
      </c>
    </row>
    <row r="319" spans="1:4" ht="122.25" customHeight="1" x14ac:dyDescent="0.25">
      <c r="A319" s="19">
        <f>INSCRITOS!P281</f>
        <v>0</v>
      </c>
      <c r="B319" s="8" t="b">
        <f t="shared" si="10"/>
        <v>0</v>
      </c>
      <c r="C319" s="10">
        <f>INSCRITOS!B281</f>
        <v>0</v>
      </c>
      <c r="D319" t="str">
        <f t="shared" si="11"/>
        <v>FALSO0/</v>
      </c>
    </row>
    <row r="320" spans="1:4" ht="122.25" customHeight="1" x14ac:dyDescent="0.25">
      <c r="A320" s="19">
        <f>INSCRITOS!P282</f>
        <v>0</v>
      </c>
      <c r="B320" s="8" t="b">
        <f t="shared" si="10"/>
        <v>0</v>
      </c>
      <c r="C320" s="10">
        <f>INSCRITOS!B282</f>
        <v>0</v>
      </c>
      <c r="D320" t="str">
        <f t="shared" si="11"/>
        <v>FALSO0/</v>
      </c>
    </row>
    <row r="321" spans="1:4" ht="122.25" customHeight="1" x14ac:dyDescent="0.25">
      <c r="A321" s="19">
        <f>INSCRITOS!P283</f>
        <v>0</v>
      </c>
      <c r="B321" s="8" t="b">
        <f t="shared" si="10"/>
        <v>0</v>
      </c>
      <c r="C321" s="10">
        <f>INSCRITOS!B283</f>
        <v>0</v>
      </c>
      <c r="D321" t="str">
        <f t="shared" si="11"/>
        <v>FALSO0/</v>
      </c>
    </row>
    <row r="322" spans="1:4" ht="122.25" customHeight="1" x14ac:dyDescent="0.25">
      <c r="A322" s="19">
        <f>INSCRITOS!P284</f>
        <v>0</v>
      </c>
      <c r="B322" s="8" t="b">
        <f t="shared" si="10"/>
        <v>0</v>
      </c>
      <c r="C322" s="10">
        <f>INSCRITOS!B284</f>
        <v>0</v>
      </c>
      <c r="D322" t="str">
        <f t="shared" si="11"/>
        <v>FALSO0/</v>
      </c>
    </row>
    <row r="323" spans="1:4" ht="122.25" customHeight="1" x14ac:dyDescent="0.25">
      <c r="A323" s="19">
        <f>INSCRITOS!P285</f>
        <v>0</v>
      </c>
      <c r="B323" s="8" t="b">
        <f t="shared" si="10"/>
        <v>0</v>
      </c>
      <c r="C323" s="10">
        <f>INSCRITOS!B285</f>
        <v>0</v>
      </c>
      <c r="D323" t="str">
        <f t="shared" si="11"/>
        <v>FALSO0/</v>
      </c>
    </row>
    <row r="324" spans="1:4" ht="122.25" customHeight="1" x14ac:dyDescent="0.25">
      <c r="A324" s="19">
        <f>INSCRITOS!P286</f>
        <v>0</v>
      </c>
      <c r="B324" s="8" t="b">
        <f t="shared" si="10"/>
        <v>0</v>
      </c>
      <c r="C324" s="10">
        <f>INSCRITOS!B286</f>
        <v>0</v>
      </c>
      <c r="D324" t="str">
        <f t="shared" si="11"/>
        <v>FALSO0/</v>
      </c>
    </row>
    <row r="325" spans="1:4" ht="122.25" customHeight="1" x14ac:dyDescent="0.25">
      <c r="A325" s="19">
        <f>INSCRITOS!P287</f>
        <v>0</v>
      </c>
      <c r="B325" s="8" t="b">
        <f t="shared" si="10"/>
        <v>0</v>
      </c>
      <c r="C325" s="10">
        <f>INSCRITOS!B287</f>
        <v>0</v>
      </c>
      <c r="D325" t="str">
        <f t="shared" si="11"/>
        <v>FALSO0/</v>
      </c>
    </row>
    <row r="326" spans="1:4" ht="122.25" customHeight="1" x14ac:dyDescent="0.25">
      <c r="A326" s="19">
        <f>INSCRITOS!P288</f>
        <v>0</v>
      </c>
      <c r="B326" s="8" t="b">
        <f t="shared" si="10"/>
        <v>0</v>
      </c>
      <c r="C326" s="10">
        <f>INSCRITOS!B288</f>
        <v>0</v>
      </c>
      <c r="D326" t="str">
        <f t="shared" si="11"/>
        <v>FALSO0/</v>
      </c>
    </row>
    <row r="327" spans="1:4" ht="122.25" customHeight="1" x14ac:dyDescent="0.25">
      <c r="A327" s="19">
        <f>INSCRITOS!P289</f>
        <v>0</v>
      </c>
      <c r="B327" s="8" t="b">
        <f t="shared" si="10"/>
        <v>0</v>
      </c>
      <c r="C327" s="10">
        <f>INSCRITOS!B289</f>
        <v>0</v>
      </c>
      <c r="D327" t="str">
        <f t="shared" si="11"/>
        <v>FALSO0/</v>
      </c>
    </row>
    <row r="328" spans="1:4" ht="122.25" customHeight="1" x14ac:dyDescent="0.25">
      <c r="A328" s="19">
        <f>INSCRITOS!P290</f>
        <v>0</v>
      </c>
      <c r="B328" s="8" t="b">
        <f t="shared" si="10"/>
        <v>0</v>
      </c>
      <c r="C328" s="10">
        <f>INSCRITOS!B290</f>
        <v>0</v>
      </c>
      <c r="D328" t="str">
        <f t="shared" si="11"/>
        <v>FALSO0/</v>
      </c>
    </row>
    <row r="329" spans="1:4" ht="122.25" customHeight="1" x14ac:dyDescent="0.25">
      <c r="A329" s="19">
        <f>INSCRITOS!P291</f>
        <v>0</v>
      </c>
      <c r="B329" s="8" t="b">
        <f t="shared" si="10"/>
        <v>0</v>
      </c>
      <c r="C329" s="10">
        <f>INSCRITOS!B291</f>
        <v>0</v>
      </c>
      <c r="D329" t="str">
        <f t="shared" si="11"/>
        <v>FALSO0/</v>
      </c>
    </row>
    <row r="330" spans="1:4" ht="122.25" customHeight="1" x14ac:dyDescent="0.25">
      <c r="A330" s="19">
        <f>INSCRITOS!P292</f>
        <v>0</v>
      </c>
      <c r="B330" s="8" t="b">
        <f t="shared" si="10"/>
        <v>0</v>
      </c>
      <c r="C330" s="10">
        <f>INSCRITOS!B292</f>
        <v>0</v>
      </c>
      <c r="D330" t="str">
        <f t="shared" si="11"/>
        <v>FALSO0/</v>
      </c>
    </row>
    <row r="331" spans="1:4" ht="122.25" customHeight="1" x14ac:dyDescent="0.25">
      <c r="A331" s="19">
        <f>INSCRITOS!P293</f>
        <v>0</v>
      </c>
      <c r="B331" s="8" t="b">
        <f t="shared" si="10"/>
        <v>0</v>
      </c>
      <c r="C331" s="10">
        <f>INSCRITOS!B293</f>
        <v>0</v>
      </c>
      <c r="D331" t="str">
        <f t="shared" si="11"/>
        <v>FALSO0/</v>
      </c>
    </row>
    <row r="332" spans="1:4" ht="122.25" customHeight="1" x14ac:dyDescent="0.25">
      <c r="A332" s="19">
        <f>INSCRITOS!P294</f>
        <v>0</v>
      </c>
      <c r="B332" s="8" t="b">
        <f t="shared" si="10"/>
        <v>0</v>
      </c>
      <c r="C332" s="10">
        <f>INSCRITOS!B294</f>
        <v>0</v>
      </c>
      <c r="D332" t="str">
        <f t="shared" si="11"/>
        <v>FALSO0/</v>
      </c>
    </row>
    <row r="333" spans="1:4" ht="122.25" customHeight="1" x14ac:dyDescent="0.25">
      <c r="A333" s="19">
        <f>INSCRITOS!P295</f>
        <v>0</v>
      </c>
      <c r="B333" s="8" t="b">
        <f t="shared" si="10"/>
        <v>0</v>
      </c>
      <c r="C333" s="10">
        <f>INSCRITOS!B295</f>
        <v>0</v>
      </c>
      <c r="D333" t="str">
        <f t="shared" si="11"/>
        <v>FALSO0/</v>
      </c>
    </row>
    <row r="334" spans="1:4" ht="122.25" customHeight="1" x14ac:dyDescent="0.25">
      <c r="A334" s="19">
        <f>INSCRITOS!P296</f>
        <v>0</v>
      </c>
      <c r="B334" s="8" t="b">
        <f t="shared" si="10"/>
        <v>0</v>
      </c>
      <c r="C334" s="10">
        <f>INSCRITOS!B296</f>
        <v>0</v>
      </c>
      <c r="D334" t="str">
        <f t="shared" si="11"/>
        <v>FALSO0/</v>
      </c>
    </row>
    <row r="335" spans="1:4" ht="122.25" customHeight="1" x14ac:dyDescent="0.25">
      <c r="A335" s="19">
        <f>INSCRITOS!P297</f>
        <v>0</v>
      </c>
      <c r="B335" s="8" t="b">
        <f t="shared" si="10"/>
        <v>0</v>
      </c>
      <c r="C335" s="10">
        <f>INSCRITOS!B297</f>
        <v>0</v>
      </c>
      <c r="D335" t="str">
        <f t="shared" si="11"/>
        <v>FALSO0/</v>
      </c>
    </row>
    <row r="336" spans="1:4" ht="122.25" customHeight="1" x14ac:dyDescent="0.25">
      <c r="A336" s="19">
        <f>INSCRITOS!P298</f>
        <v>0</v>
      </c>
      <c r="B336" s="8" t="b">
        <f t="shared" si="10"/>
        <v>0</v>
      </c>
      <c r="C336" s="10">
        <f>INSCRITOS!B298</f>
        <v>0</v>
      </c>
      <c r="D336" t="str">
        <f t="shared" si="11"/>
        <v>FALSO0/</v>
      </c>
    </row>
    <row r="337" spans="1:4" ht="122.25" customHeight="1" x14ac:dyDescent="0.25">
      <c r="A337" s="19">
        <f>INSCRITOS!P299</f>
        <v>0</v>
      </c>
      <c r="B337" s="8" t="b">
        <f t="shared" si="10"/>
        <v>0</v>
      </c>
      <c r="C337" s="10">
        <f>INSCRITOS!B299</f>
        <v>0</v>
      </c>
      <c r="D337" t="str">
        <f t="shared" si="11"/>
        <v>FALSO0/</v>
      </c>
    </row>
    <row r="338" spans="1:4" ht="122.25" customHeight="1" x14ac:dyDescent="0.25">
      <c r="A338" s="19">
        <f>INSCRITOS!P300</f>
        <v>0</v>
      </c>
      <c r="B338" s="8" t="b">
        <f t="shared" si="10"/>
        <v>0</v>
      </c>
      <c r="C338" s="10">
        <f>INSCRITOS!B300</f>
        <v>0</v>
      </c>
      <c r="D338" t="str">
        <f t="shared" si="11"/>
        <v>FALSO0/</v>
      </c>
    </row>
    <row r="339" spans="1:4" ht="122.25" customHeight="1" x14ac:dyDescent="0.25">
      <c r="A339" s="19">
        <f>INSCRITOS!P301</f>
        <v>0</v>
      </c>
      <c r="B339" s="8" t="b">
        <f t="shared" si="10"/>
        <v>0</v>
      </c>
      <c r="C339" s="10">
        <f>INSCRITOS!B301</f>
        <v>0</v>
      </c>
      <c r="D339" t="str">
        <f t="shared" si="11"/>
        <v>FALSO0/</v>
      </c>
    </row>
    <row r="340" spans="1:4" ht="122.25" customHeight="1" x14ac:dyDescent="0.25">
      <c r="A340" s="19">
        <f>INSCRITOS!P302</f>
        <v>0</v>
      </c>
      <c r="B340" s="8" t="b">
        <f t="shared" si="10"/>
        <v>0</v>
      </c>
      <c r="C340" s="10">
        <f>INSCRITOS!B302</f>
        <v>0</v>
      </c>
      <c r="D340" t="str">
        <f t="shared" si="11"/>
        <v>FALSO0/</v>
      </c>
    </row>
    <row r="341" spans="1:4" ht="122.25" customHeight="1" x14ac:dyDescent="0.25">
      <c r="A341" s="19">
        <f>INSCRITOS!P303</f>
        <v>0</v>
      </c>
      <c r="B341" s="8" t="b">
        <f t="shared" si="10"/>
        <v>0</v>
      </c>
      <c r="C341" s="10">
        <f>INSCRITOS!B303</f>
        <v>0</v>
      </c>
      <c r="D341" t="str">
        <f t="shared" si="11"/>
        <v>FALSO0/</v>
      </c>
    </row>
    <row r="342" spans="1:4" ht="122.25" customHeight="1" x14ac:dyDescent="0.25">
      <c r="A342" s="19">
        <f>INSCRITOS!P304</f>
        <v>0</v>
      </c>
      <c r="B342" s="8" t="b">
        <f t="shared" si="10"/>
        <v>0</v>
      </c>
      <c r="C342" s="10">
        <f>INSCRITOS!B304</f>
        <v>0</v>
      </c>
      <c r="D342" t="str">
        <f t="shared" si="11"/>
        <v>FALSO0/</v>
      </c>
    </row>
    <row r="343" spans="1:4" ht="122.25" customHeight="1" x14ac:dyDescent="0.25">
      <c r="A343" s="19">
        <f>INSCRITOS!P305</f>
        <v>0</v>
      </c>
      <c r="B343" s="8" t="b">
        <f t="shared" si="10"/>
        <v>0</v>
      </c>
      <c r="C343" s="10">
        <f>INSCRITOS!B305</f>
        <v>0</v>
      </c>
      <c r="D343" t="str">
        <f t="shared" si="11"/>
        <v>FALSO0/</v>
      </c>
    </row>
    <row r="344" spans="1:4" ht="122.25" customHeight="1" x14ac:dyDescent="0.25">
      <c r="A344" s="19">
        <f>INSCRITOS!P306</f>
        <v>0</v>
      </c>
      <c r="B344" s="8" t="b">
        <f t="shared" si="10"/>
        <v>0</v>
      </c>
      <c r="C344" s="10">
        <f>INSCRITOS!B306</f>
        <v>0</v>
      </c>
      <c r="D344" t="str">
        <f t="shared" si="11"/>
        <v>FALSO0/</v>
      </c>
    </row>
    <row r="345" spans="1:4" ht="122.25" customHeight="1" x14ac:dyDescent="0.25">
      <c r="A345" s="19">
        <f>INSCRITOS!P307</f>
        <v>0</v>
      </c>
      <c r="B345" s="8" t="b">
        <f t="shared" si="10"/>
        <v>0</v>
      </c>
      <c r="C345" s="10">
        <f>INSCRITOS!B307</f>
        <v>0</v>
      </c>
      <c r="D345" t="str">
        <f t="shared" si="11"/>
        <v>FALSO0/</v>
      </c>
    </row>
    <row r="346" spans="1:4" ht="122.25" customHeight="1" x14ac:dyDescent="0.25">
      <c r="A346" s="19">
        <f>INSCRITOS!P308</f>
        <v>0</v>
      </c>
      <c r="B346" s="8" t="b">
        <f t="shared" si="10"/>
        <v>0</v>
      </c>
      <c r="C346" s="10">
        <f>INSCRITOS!B308</f>
        <v>0</v>
      </c>
      <c r="D346" t="str">
        <f t="shared" si="11"/>
        <v>FALSO0/</v>
      </c>
    </row>
    <row r="347" spans="1:4" ht="122.25" customHeight="1" x14ac:dyDescent="0.25">
      <c r="A347" s="19">
        <f>INSCRITOS!P309</f>
        <v>0</v>
      </c>
      <c r="B347" s="8" t="b">
        <f t="shared" si="10"/>
        <v>0</v>
      </c>
      <c r="C347" s="10">
        <f>INSCRITOS!B309</f>
        <v>0</v>
      </c>
      <c r="D347" t="str">
        <f t="shared" si="11"/>
        <v>FALSO0/</v>
      </c>
    </row>
    <row r="348" spans="1:4" ht="122.25" customHeight="1" x14ac:dyDescent="0.25">
      <c r="A348" s="19">
        <f>INSCRITOS!P310</f>
        <v>0</v>
      </c>
      <c r="B348" s="8" t="b">
        <f t="shared" si="10"/>
        <v>0</v>
      </c>
      <c r="C348" s="10">
        <f>INSCRITOS!B310</f>
        <v>0</v>
      </c>
      <c r="D348" t="str">
        <f t="shared" si="11"/>
        <v>FALSO0/</v>
      </c>
    </row>
    <row r="349" spans="1:4" ht="122.25" customHeight="1" x14ac:dyDescent="0.25">
      <c r="A349" s="19">
        <f>INSCRITOS!P311</f>
        <v>0</v>
      </c>
      <c r="B349" s="8" t="b">
        <f t="shared" si="10"/>
        <v>0</v>
      </c>
      <c r="C349" s="10">
        <f>INSCRITOS!B311</f>
        <v>0</v>
      </c>
      <c r="D349" t="str">
        <f t="shared" si="11"/>
        <v>FALSO0/</v>
      </c>
    </row>
    <row r="350" spans="1:4" ht="122.25" customHeight="1" x14ac:dyDescent="0.25">
      <c r="A350" s="19">
        <f>INSCRITOS!P312</f>
        <v>0</v>
      </c>
      <c r="B350" s="8" t="b">
        <f t="shared" si="10"/>
        <v>0</v>
      </c>
      <c r="C350" s="10">
        <f>INSCRITOS!B312</f>
        <v>0</v>
      </c>
      <c r="D350" t="str">
        <f t="shared" si="11"/>
        <v>FALSO0/</v>
      </c>
    </row>
    <row r="351" spans="1:4" ht="122.25" customHeight="1" x14ac:dyDescent="0.25">
      <c r="A351" s="19">
        <f>INSCRITOS!P313</f>
        <v>0</v>
      </c>
      <c r="B351" s="8" t="b">
        <f t="shared" si="10"/>
        <v>0</v>
      </c>
      <c r="C351" s="10">
        <f>INSCRITOS!B313</f>
        <v>0</v>
      </c>
      <c r="D351" t="str">
        <f t="shared" si="11"/>
        <v>FALSO0/</v>
      </c>
    </row>
    <row r="352" spans="1:4" ht="122.25" customHeight="1" x14ac:dyDescent="0.25">
      <c r="A352" s="19">
        <f>INSCRITOS!P314</f>
        <v>0</v>
      </c>
      <c r="B352" s="8" t="b">
        <f t="shared" ref="B352:B355" si="12">IF(A352=$H$19,"https://centrodecapacitaciondelsur.com/o-v-e-",IF(A352=$H$2,"https://centrodecapacitaciondelsur.com/aph-",IF(A352=$H$3,"https://centrodecapacitaciondelsur.com/manejo-del-duelo-",IF(A352=$H$4,"https://centrodecapacitaciondelsur.com/victimas-por-agentes-quimicos-",IF(A352=$H$5,"https://centrodecapacitaciondelsur.com/primeros-auxilios-",IF(A352=$H$6,"https://centrodecapacitaciondelsur.com/uci-",IF(A352=$H$8,"https://centrodecapacitaciondelsur.com/humanizacion-",IF(A352=$H$11,"https://centrodecapacitaciondelsur.com/soporte-cardiovascular-avanzado-",IF(A352=$H$12,"https://centrodecapacitaciondelsur.com/camillero-",IF(A352=$H$13,"https://centrodecapacitaciondelsur.com/toma-de-muestras-y-lab-clinico-",IF(A352=$H$14,"https://centrodecapacitaciondelsur.com/soporte-basico-de-vida-",IF(A352=$H$15,"https://centrodecapacitaciondelsur.com/violencia-sexual-",IF(A352=$H$17,"https://centrodecapacitaciondelsur.com/aiepi-",IF(A352=$H$18,"https://centrodecapacitaciondelsur.com/adm-medicamentos-canalizacion-inyectologia-",IF(A352=$H$25,"https://centrodecapacitaciondelsur.com/manejo-del-dolor-y-cuidados-paliativos-",IF(A352=$H$26,"https://centrodecapacitaciondelsur.com/toma-de-muestras-y-lab-clinico-poct-",IF(A352=$H$27,"https://centrodecapacitaciondelsur.com/implante-subdermico-",IF(A352=$H$21,"https://centrodecapacitaciondelsur.com/donante-de-organos-",IF(A352=$H$30,"https://centrodecapacitaciondelsur.com/atencion-a-victimas-del-conflicto-armado-",IF(A352=$H$20,"https://centrodecapacitaciondelsur.com/iami-",IF(A352=$H$22,"https://centrodecapacitaciondelsur.com/violencia-de-genero-",IF(A352=$H$23,"https://centrodecapacitaciondelsur.com/igualdad-de-genero-",IF(A352=$H$16,"https://centrodecapacitaciondelsur.com/pai-",IF(A352=$H$31,"https://centrodecapacitaciondelsur.com/manipulacion-de-alimentos-",IF(A352=$H$32,"https://centrodecapacitaciondelsur.com/atencion-a-personas-con-discapacidad-",IF(A352=$H$33,"https://centrodecapacitaciondelsur.com/atencion-al-adulto-mayor-",IF(A352=$H$34,"https://centrodecapacitaciondelsur.com/manejo-defensivo-",IF(A352=$H$35,"https://centrodecapacitaciondelsur.com/soporte-basico-neonatal-",IF(A352=$H$36,"https://centrodecapacitaciondelsur.com/seguridad-del-paciente-",IF(A352=$H$37,"https://centrodecapacitaciondelsur.com/manejo-de-residuos-hospitalarios-",IF(A352=$H$10,"https://centrodecapacitaciondelsur.com/toma-de-citologia-",IF(A352=$H$29,"https://centrodecapacitaciondelsur.com/primeros-aux-psicologicos-"))))))))))))))))))))))))))))))))</f>
        <v>0</v>
      </c>
      <c r="C352" s="10">
        <f>INSCRITOS!B314</f>
        <v>0</v>
      </c>
      <c r="D352" t="str">
        <f t="shared" ref="D352:D355" si="13">CONCATENATE(B352,C352,"/")</f>
        <v>FALSO0/</v>
      </c>
    </row>
    <row r="353" spans="1:4" ht="122.25" customHeight="1" x14ac:dyDescent="0.25">
      <c r="A353" s="19">
        <f>INSCRITOS!P315</f>
        <v>0</v>
      </c>
      <c r="B353" s="8" t="b">
        <f t="shared" si="12"/>
        <v>0</v>
      </c>
      <c r="C353" s="10">
        <f>INSCRITOS!B315</f>
        <v>0</v>
      </c>
      <c r="D353" t="str">
        <f t="shared" si="13"/>
        <v>FALSO0/</v>
      </c>
    </row>
    <row r="354" spans="1:4" ht="122.25" customHeight="1" x14ac:dyDescent="0.25">
      <c r="A354" s="19">
        <f>INSCRITOS!P316</f>
        <v>0</v>
      </c>
      <c r="B354" s="8" t="b">
        <f t="shared" si="12"/>
        <v>0</v>
      </c>
      <c r="C354" s="10">
        <f>INSCRITOS!B316</f>
        <v>0</v>
      </c>
      <c r="D354" t="str">
        <f t="shared" si="13"/>
        <v>FALSO0/</v>
      </c>
    </row>
    <row r="355" spans="1:4" ht="122.25" customHeight="1" x14ac:dyDescent="0.25">
      <c r="A355" s="19">
        <f>INSCRITOS!P317</f>
        <v>0</v>
      </c>
      <c r="B355" s="8" t="b">
        <f t="shared" si="12"/>
        <v>0</v>
      </c>
      <c r="C355" s="10">
        <f>INSCRITOS!B317</f>
        <v>0</v>
      </c>
      <c r="D355" t="str">
        <f t="shared" si="13"/>
        <v>FALSO0/</v>
      </c>
    </row>
  </sheetData>
  <hyperlinks>
    <hyperlink ref="B39" r:id="rId1" display="https://centrodecapacitaciondelsur.com/soporte-basico-de-vida-" xr:uid="{00000000-0004-0000-0200-000000000000}"/>
    <hyperlink ref="D32" r:id="rId2" xr:uid="{00000000-0004-0000-0200-000001000000}"/>
    <hyperlink ref="B40" r:id="rId3" display="https://centrodecapacitaciondelsur.com/soporte-basico-de-vida-" xr:uid="{00000000-0004-0000-0200-000002000000}"/>
    <hyperlink ref="B41" r:id="rId4" display="https://centrodecapacitaciondelsur.com/soporte-basico-de-vida-" xr:uid="{00000000-0004-0000-0200-000003000000}"/>
    <hyperlink ref="B42" r:id="rId5" display="https://centrodecapacitaciondelsur.com/soporte-basico-de-vida-" xr:uid="{00000000-0004-0000-0200-000004000000}"/>
    <hyperlink ref="B43" r:id="rId6" display="https://centrodecapacitaciondelsur.com/soporte-basico-de-vida-" xr:uid="{00000000-0004-0000-0200-000005000000}"/>
    <hyperlink ref="B44" r:id="rId7" display="https://centrodecapacitaciondelsur.com/soporte-basico-de-vida-" xr:uid="{00000000-0004-0000-0200-000006000000}"/>
    <hyperlink ref="B45" r:id="rId8" display="https://centrodecapacitaciondelsur.com/soporte-basico-de-vida-" xr:uid="{00000000-0004-0000-0200-000007000000}"/>
    <hyperlink ref="B46" r:id="rId9" display="https://centrodecapacitaciondelsur.com/soporte-basico-de-vida-" xr:uid="{00000000-0004-0000-0200-000008000000}"/>
    <hyperlink ref="B47" r:id="rId10" display="https://centrodecapacitaciondelsur.com/soporte-basico-de-vida-" xr:uid="{00000000-0004-0000-0200-000009000000}"/>
    <hyperlink ref="B48" r:id="rId11" display="https://centrodecapacitaciondelsur.com/soporte-basico-de-vida-" xr:uid="{00000000-0004-0000-0200-00000A000000}"/>
    <hyperlink ref="B49" r:id="rId12" display="https://centrodecapacitaciondelsur.com/soporte-basico-de-vida-" xr:uid="{00000000-0004-0000-0200-00000B000000}"/>
    <hyperlink ref="B50" r:id="rId13" display="https://centrodecapacitaciondelsur.com/soporte-basico-de-vida-" xr:uid="{00000000-0004-0000-0200-00000C000000}"/>
    <hyperlink ref="B51" r:id="rId14" display="https://centrodecapacitaciondelsur.com/soporte-basico-de-vida-" xr:uid="{00000000-0004-0000-0200-00000D000000}"/>
    <hyperlink ref="B52" r:id="rId15" display="https://centrodecapacitaciondelsur.com/soporte-basico-de-vida-" xr:uid="{00000000-0004-0000-0200-00000E000000}"/>
    <hyperlink ref="B53" r:id="rId16" display="https://centrodecapacitaciondelsur.com/soporte-basico-de-vida-" xr:uid="{00000000-0004-0000-0200-00000F000000}"/>
    <hyperlink ref="B54" r:id="rId17" display="https://centrodecapacitaciondelsur.com/soporte-basico-de-vida-" xr:uid="{00000000-0004-0000-0200-000010000000}"/>
    <hyperlink ref="B55" r:id="rId18" display="https://centrodecapacitaciondelsur.com/soporte-basico-de-vida-" xr:uid="{00000000-0004-0000-0200-000011000000}"/>
    <hyperlink ref="B56" r:id="rId19" display="https://centrodecapacitaciondelsur.com/soporte-basico-de-vida-" xr:uid="{00000000-0004-0000-0200-000012000000}"/>
    <hyperlink ref="B57" r:id="rId20" display="https://centrodecapacitaciondelsur.com/soporte-basico-de-vida-" xr:uid="{00000000-0004-0000-0200-000013000000}"/>
    <hyperlink ref="B58" r:id="rId21" display="https://centrodecapacitaciondelsur.com/soporte-basico-de-vida-" xr:uid="{00000000-0004-0000-0200-000014000000}"/>
    <hyperlink ref="B59" r:id="rId22" display="https://centrodecapacitaciondelsur.com/soporte-basico-de-vida-" xr:uid="{00000000-0004-0000-0200-000015000000}"/>
    <hyperlink ref="B60" r:id="rId23" display="https://centrodecapacitaciondelsur.com/soporte-basico-de-vida-" xr:uid="{00000000-0004-0000-0200-000016000000}"/>
    <hyperlink ref="B61" r:id="rId24" display="https://centrodecapacitaciondelsur.com/soporte-basico-de-vida-" xr:uid="{00000000-0004-0000-0200-000017000000}"/>
    <hyperlink ref="B62" r:id="rId25" display="https://centrodecapacitaciondelsur.com/soporte-basico-de-vida-" xr:uid="{00000000-0004-0000-0200-000018000000}"/>
    <hyperlink ref="B63" r:id="rId26" display="https://centrodecapacitaciondelsur.com/soporte-basico-de-vida-" xr:uid="{00000000-0004-0000-0200-000019000000}"/>
    <hyperlink ref="B64" r:id="rId27" display="https://centrodecapacitaciondelsur.com/soporte-basico-de-vida-" xr:uid="{00000000-0004-0000-0200-00001A000000}"/>
    <hyperlink ref="B65" r:id="rId28" display="https://centrodecapacitaciondelsur.com/soporte-basico-de-vida-" xr:uid="{00000000-0004-0000-0200-00001B000000}"/>
    <hyperlink ref="B66" r:id="rId29" display="https://centrodecapacitaciondelsur.com/soporte-basico-de-vida-" xr:uid="{00000000-0004-0000-0200-00001C000000}"/>
    <hyperlink ref="B67" r:id="rId30" display="https://centrodecapacitaciondelsur.com/soporte-basico-de-vida-" xr:uid="{00000000-0004-0000-0200-00001D000000}"/>
    <hyperlink ref="B68" r:id="rId31" display="https://centrodecapacitaciondelsur.com/soporte-basico-de-vida-" xr:uid="{00000000-0004-0000-0200-00001E000000}"/>
    <hyperlink ref="B69" r:id="rId32" display="https://centrodecapacitaciondelsur.com/soporte-basico-de-vida-" xr:uid="{00000000-0004-0000-0200-00001F000000}"/>
    <hyperlink ref="B70" r:id="rId33" display="https://centrodecapacitaciondelsur.com/soporte-basico-de-vida-" xr:uid="{00000000-0004-0000-0200-000020000000}"/>
    <hyperlink ref="B71" r:id="rId34" display="https://centrodecapacitaciondelsur.com/soporte-basico-de-vida-" xr:uid="{00000000-0004-0000-0200-000021000000}"/>
    <hyperlink ref="B72" r:id="rId35" display="https://centrodecapacitaciondelsur.com/soporte-basico-de-vida-" xr:uid="{00000000-0004-0000-0200-000022000000}"/>
    <hyperlink ref="B73" r:id="rId36" display="https://centrodecapacitaciondelsur.com/soporte-basico-de-vida-" xr:uid="{00000000-0004-0000-0200-000023000000}"/>
    <hyperlink ref="B74" r:id="rId37" display="https://centrodecapacitaciondelsur.com/soporte-basico-de-vida-" xr:uid="{00000000-0004-0000-0200-000024000000}"/>
    <hyperlink ref="B75" r:id="rId38" display="https://centrodecapacitaciondelsur.com/soporte-basico-de-vida-" xr:uid="{00000000-0004-0000-0200-000025000000}"/>
    <hyperlink ref="B76" r:id="rId39" display="https://centrodecapacitaciondelsur.com/soporte-basico-de-vida-" xr:uid="{00000000-0004-0000-0200-000026000000}"/>
    <hyperlink ref="B77" r:id="rId40" display="https://centrodecapacitaciondelsur.com/soporte-basico-de-vida-" xr:uid="{00000000-0004-0000-0200-000027000000}"/>
    <hyperlink ref="B78" r:id="rId41" display="https://centrodecapacitaciondelsur.com/soporte-basico-de-vida-" xr:uid="{00000000-0004-0000-0200-000028000000}"/>
    <hyperlink ref="B79" r:id="rId42" display="https://centrodecapacitaciondelsur.com/soporte-basico-de-vida-" xr:uid="{00000000-0004-0000-0200-000029000000}"/>
    <hyperlink ref="B80" r:id="rId43" display="https://centrodecapacitaciondelsur.com/soporte-basico-de-vida-" xr:uid="{00000000-0004-0000-0200-00002A000000}"/>
    <hyperlink ref="B81" r:id="rId44" display="https://centrodecapacitaciondelsur.com/soporte-basico-de-vida-" xr:uid="{00000000-0004-0000-0200-00002B000000}"/>
    <hyperlink ref="B82" r:id="rId45" display="https://centrodecapacitaciondelsur.com/soporte-basico-de-vida-" xr:uid="{00000000-0004-0000-0200-00002C000000}"/>
    <hyperlink ref="B83" r:id="rId46" display="https://centrodecapacitaciondelsur.com/soporte-basico-de-vida-" xr:uid="{00000000-0004-0000-0200-00002D000000}"/>
    <hyperlink ref="B84" r:id="rId47" display="https://centrodecapacitaciondelsur.com/soporte-basico-de-vida-" xr:uid="{00000000-0004-0000-0200-00002E000000}"/>
    <hyperlink ref="B85" r:id="rId48" display="https://centrodecapacitaciondelsur.com/soporte-basico-de-vida-" xr:uid="{00000000-0004-0000-0200-00002F000000}"/>
    <hyperlink ref="B86" r:id="rId49" display="https://centrodecapacitaciondelsur.com/soporte-basico-de-vida-" xr:uid="{00000000-0004-0000-0200-000030000000}"/>
    <hyperlink ref="B87" r:id="rId50" display="https://centrodecapacitaciondelsur.com/soporte-basico-de-vida-" xr:uid="{00000000-0004-0000-0200-000031000000}"/>
    <hyperlink ref="B88" r:id="rId51" display="https://centrodecapacitaciondelsur.com/soporte-basico-de-vida-" xr:uid="{00000000-0004-0000-0200-000032000000}"/>
    <hyperlink ref="B89" r:id="rId52" display="https://centrodecapacitaciondelsur.com/soporte-basico-de-vida-" xr:uid="{00000000-0004-0000-0200-000033000000}"/>
    <hyperlink ref="B90" r:id="rId53" display="https://centrodecapacitaciondelsur.com/soporte-basico-de-vida-" xr:uid="{00000000-0004-0000-0200-000034000000}"/>
    <hyperlink ref="B91" r:id="rId54" display="https://centrodecapacitaciondelsur.com/soporte-basico-de-vida-" xr:uid="{00000000-0004-0000-0200-000035000000}"/>
    <hyperlink ref="B92" r:id="rId55" display="https://centrodecapacitaciondelsur.com/soporte-basico-de-vida-" xr:uid="{00000000-0004-0000-0200-000036000000}"/>
    <hyperlink ref="B95" r:id="rId56" display="https://centrodecapacitaciondelsur.com/soporte-basico-de-vida-" xr:uid="{00000000-0004-0000-0200-000037000000}"/>
    <hyperlink ref="B96" r:id="rId57" display="https://centrodecapacitaciondelsur.com/soporte-basico-de-vida-" xr:uid="{00000000-0004-0000-0200-000038000000}"/>
    <hyperlink ref="B97" r:id="rId58" display="https://centrodecapacitaciondelsur.com/soporte-basico-de-vida-" xr:uid="{00000000-0004-0000-0200-000039000000}"/>
    <hyperlink ref="B98" r:id="rId59" display="https://centrodecapacitaciondelsur.com/soporte-basico-de-vida-" xr:uid="{00000000-0004-0000-0200-00003A000000}"/>
    <hyperlink ref="B99" r:id="rId60" display="https://centrodecapacitaciondelsur.com/soporte-basico-de-vida-" xr:uid="{00000000-0004-0000-0200-00003B000000}"/>
    <hyperlink ref="B100" r:id="rId61" display="https://centrodecapacitaciondelsur.com/soporte-basico-de-vida-" xr:uid="{00000000-0004-0000-0200-00003C000000}"/>
    <hyperlink ref="B101" r:id="rId62" display="https://centrodecapacitaciondelsur.com/soporte-basico-de-vida-" xr:uid="{00000000-0004-0000-0200-00003D000000}"/>
    <hyperlink ref="B102" r:id="rId63" display="https://centrodecapacitaciondelsur.com/soporte-basico-de-vida-" xr:uid="{00000000-0004-0000-0200-00003E000000}"/>
    <hyperlink ref="B103" r:id="rId64" display="https://centrodecapacitaciondelsur.com/soporte-basico-de-vida-" xr:uid="{00000000-0004-0000-0200-00003F000000}"/>
    <hyperlink ref="B104" r:id="rId65" display="https://centrodecapacitaciondelsur.com/soporte-basico-de-vida-" xr:uid="{00000000-0004-0000-0200-000040000000}"/>
    <hyperlink ref="B105" r:id="rId66" display="https://centrodecapacitaciondelsur.com/soporte-basico-de-vida-" xr:uid="{00000000-0004-0000-0200-000041000000}"/>
    <hyperlink ref="B106" r:id="rId67" display="https://centrodecapacitaciondelsur.com/soporte-basico-de-vida-" xr:uid="{00000000-0004-0000-0200-000042000000}"/>
    <hyperlink ref="B107" r:id="rId68" display="https://centrodecapacitaciondelsur.com/soporte-basico-de-vida-" xr:uid="{00000000-0004-0000-0200-000043000000}"/>
    <hyperlink ref="B108" r:id="rId69" display="https://centrodecapacitaciondelsur.com/soporte-basico-de-vida-" xr:uid="{00000000-0004-0000-0200-000044000000}"/>
    <hyperlink ref="B109" r:id="rId70" display="https://centrodecapacitaciondelsur.com/soporte-basico-de-vida-" xr:uid="{00000000-0004-0000-0200-000045000000}"/>
    <hyperlink ref="B110" r:id="rId71" display="https://centrodecapacitaciondelsur.com/soporte-basico-de-vida-" xr:uid="{00000000-0004-0000-0200-000046000000}"/>
    <hyperlink ref="B111" r:id="rId72" display="https://centrodecapacitaciondelsur.com/soporte-basico-de-vida-" xr:uid="{00000000-0004-0000-0200-000047000000}"/>
    <hyperlink ref="B112" r:id="rId73" display="https://centrodecapacitaciondelsur.com/soporte-basico-de-vida-" xr:uid="{00000000-0004-0000-0200-000048000000}"/>
    <hyperlink ref="B113" r:id="rId74" display="https://centrodecapacitaciondelsur.com/soporte-basico-de-vida-" xr:uid="{00000000-0004-0000-0200-000049000000}"/>
    <hyperlink ref="B114" r:id="rId75" display="https://centrodecapacitaciondelsur.com/soporte-basico-de-vida-" xr:uid="{00000000-0004-0000-0200-00004A000000}"/>
    <hyperlink ref="B115" r:id="rId76" display="https://centrodecapacitaciondelsur.com/soporte-basico-de-vida-" xr:uid="{00000000-0004-0000-0200-00004B000000}"/>
    <hyperlink ref="B116" r:id="rId77" display="https://centrodecapacitaciondelsur.com/soporte-basico-de-vida-" xr:uid="{00000000-0004-0000-0200-00004C000000}"/>
    <hyperlink ref="B117" r:id="rId78" display="https://centrodecapacitaciondelsur.com/soporte-basico-de-vida-" xr:uid="{00000000-0004-0000-0200-00004D000000}"/>
    <hyperlink ref="B118" r:id="rId79" display="https://centrodecapacitaciondelsur.com/soporte-basico-de-vida-" xr:uid="{00000000-0004-0000-0200-00004E000000}"/>
    <hyperlink ref="B119" r:id="rId80" display="https://centrodecapacitaciondelsur.com/soporte-basico-de-vida-" xr:uid="{00000000-0004-0000-0200-00004F000000}"/>
    <hyperlink ref="B121" r:id="rId81" display="https://centrodecapacitaciondelsur.com/soporte-basico-de-vida-" xr:uid="{00000000-0004-0000-0200-000050000000}"/>
    <hyperlink ref="B122" r:id="rId82" display="https://centrodecapacitaciondelsur.com/soporte-basico-de-vida-" xr:uid="{00000000-0004-0000-0200-000051000000}"/>
    <hyperlink ref="B123" r:id="rId83" display="https://centrodecapacitaciondelsur.com/soporte-basico-de-vida-" xr:uid="{00000000-0004-0000-0200-000052000000}"/>
    <hyperlink ref="B124" r:id="rId84" display="https://centrodecapacitaciondelsur.com/soporte-basico-de-vida-" xr:uid="{00000000-0004-0000-0200-000053000000}"/>
    <hyperlink ref="B125" r:id="rId85" display="https://centrodecapacitaciondelsur.com/soporte-basico-de-vida-" xr:uid="{00000000-0004-0000-0200-000054000000}"/>
    <hyperlink ref="B126" r:id="rId86" display="https://centrodecapacitaciondelsur.com/soporte-basico-de-vida-" xr:uid="{00000000-0004-0000-0200-000055000000}"/>
    <hyperlink ref="B127" r:id="rId87" display="https://centrodecapacitaciondelsur.com/soporte-basico-de-vida-" xr:uid="{00000000-0004-0000-0200-000056000000}"/>
    <hyperlink ref="B128" r:id="rId88" display="https://centrodecapacitaciondelsur.com/soporte-basico-de-vida-" xr:uid="{00000000-0004-0000-0200-000057000000}"/>
    <hyperlink ref="B129" r:id="rId89" display="https://centrodecapacitaciondelsur.com/soporte-basico-de-vida-" xr:uid="{00000000-0004-0000-0200-000058000000}"/>
    <hyperlink ref="B130" r:id="rId90" display="https://centrodecapacitaciondelsur.com/soporte-basico-de-vida-" xr:uid="{00000000-0004-0000-0200-000059000000}"/>
    <hyperlink ref="B131" r:id="rId91" display="https://centrodecapacitaciondelsur.com/soporte-basico-de-vida-" xr:uid="{00000000-0004-0000-0200-00005A000000}"/>
    <hyperlink ref="B132" r:id="rId92" display="https://centrodecapacitaciondelsur.com/soporte-basico-de-vida-" xr:uid="{00000000-0004-0000-0200-00005B000000}"/>
    <hyperlink ref="B133" r:id="rId93" display="https://centrodecapacitaciondelsur.com/soporte-basico-de-vida-" xr:uid="{00000000-0004-0000-0200-00005C000000}"/>
    <hyperlink ref="B134" r:id="rId94" display="https://centrodecapacitaciondelsur.com/soporte-basico-de-vida-" xr:uid="{00000000-0004-0000-0200-00005D000000}"/>
    <hyperlink ref="B135" r:id="rId95" display="https://centrodecapacitaciondelsur.com/soporte-basico-de-vida-" xr:uid="{00000000-0004-0000-0200-00005E000000}"/>
    <hyperlink ref="B136" r:id="rId96" display="https://centrodecapacitaciondelsur.com/soporte-basico-de-vida-" xr:uid="{00000000-0004-0000-0200-00005F000000}"/>
    <hyperlink ref="B137" r:id="rId97" display="https://centrodecapacitaciondelsur.com/soporte-basico-de-vida-" xr:uid="{00000000-0004-0000-0200-000060000000}"/>
    <hyperlink ref="B138" r:id="rId98" display="https://centrodecapacitaciondelsur.com/soporte-basico-de-vida-" xr:uid="{00000000-0004-0000-0200-000061000000}"/>
    <hyperlink ref="B139" r:id="rId99" display="https://centrodecapacitaciondelsur.com/soporte-basico-de-vida-" xr:uid="{00000000-0004-0000-0200-000062000000}"/>
    <hyperlink ref="B140" r:id="rId100" display="https://centrodecapacitaciondelsur.com/soporte-basico-de-vida-" xr:uid="{00000000-0004-0000-0200-000063000000}"/>
    <hyperlink ref="B141" r:id="rId101" display="https://centrodecapacitaciondelsur.com/soporte-basico-de-vida-" xr:uid="{00000000-0004-0000-0200-000064000000}"/>
    <hyperlink ref="B142" r:id="rId102" display="https://centrodecapacitaciondelsur.com/soporte-basico-de-vida-" xr:uid="{00000000-0004-0000-0200-000065000000}"/>
    <hyperlink ref="B143" r:id="rId103" display="https://centrodecapacitaciondelsur.com/soporte-basico-de-vida-" xr:uid="{00000000-0004-0000-0200-000066000000}"/>
    <hyperlink ref="B144" r:id="rId104" display="https://centrodecapacitaciondelsur.com/soporte-basico-de-vida-" xr:uid="{00000000-0004-0000-0200-000067000000}"/>
    <hyperlink ref="B145" r:id="rId105" display="https://centrodecapacitaciondelsur.com/soporte-basico-de-vida-" xr:uid="{00000000-0004-0000-0200-000068000000}"/>
    <hyperlink ref="B146" r:id="rId106" display="https://centrodecapacitaciondelsur.com/soporte-basico-de-vida-" xr:uid="{00000000-0004-0000-0200-000069000000}"/>
    <hyperlink ref="B147" r:id="rId107" display="https://centrodecapacitaciondelsur.com/soporte-basico-de-vida-" xr:uid="{00000000-0004-0000-0200-00006A000000}"/>
    <hyperlink ref="B148" r:id="rId108" display="https://centrodecapacitaciondelsur.com/soporte-basico-de-vida-" xr:uid="{00000000-0004-0000-0200-00006B000000}"/>
    <hyperlink ref="B149" r:id="rId109" display="https://centrodecapacitaciondelsur.com/soporte-basico-de-vida-" xr:uid="{00000000-0004-0000-0200-00006C000000}"/>
    <hyperlink ref="B150" r:id="rId110" display="https://centrodecapacitaciondelsur.com/soporte-basico-de-vida-" xr:uid="{00000000-0004-0000-0200-00006D000000}"/>
    <hyperlink ref="B151" r:id="rId111" display="https://centrodecapacitaciondelsur.com/soporte-basico-de-vida-" xr:uid="{00000000-0004-0000-0200-00006E000000}"/>
    <hyperlink ref="B152" r:id="rId112" display="https://centrodecapacitaciondelsur.com/soporte-basico-de-vida-" xr:uid="{00000000-0004-0000-0200-00006F000000}"/>
    <hyperlink ref="B153" r:id="rId113" display="https://centrodecapacitaciondelsur.com/soporte-basico-de-vida-" xr:uid="{00000000-0004-0000-0200-000070000000}"/>
    <hyperlink ref="B154" r:id="rId114" display="https://centrodecapacitaciondelsur.com/soporte-basico-de-vida-" xr:uid="{00000000-0004-0000-0200-000071000000}"/>
    <hyperlink ref="B155" r:id="rId115" display="https://centrodecapacitaciondelsur.com/soporte-basico-de-vida-" xr:uid="{00000000-0004-0000-0200-000072000000}"/>
    <hyperlink ref="B156" r:id="rId116" display="https://centrodecapacitaciondelsur.com/soporte-basico-de-vida-" xr:uid="{00000000-0004-0000-0200-000073000000}"/>
    <hyperlink ref="B157" r:id="rId117" display="https://centrodecapacitaciondelsur.com/soporte-basico-de-vida-" xr:uid="{00000000-0004-0000-0200-000074000000}"/>
    <hyperlink ref="B158" r:id="rId118" display="https://centrodecapacitaciondelsur.com/soporte-basico-de-vida-" xr:uid="{00000000-0004-0000-0200-000075000000}"/>
    <hyperlink ref="B159" r:id="rId119" display="https://centrodecapacitaciondelsur.com/soporte-basico-de-vida-" xr:uid="{00000000-0004-0000-0200-000076000000}"/>
    <hyperlink ref="B160" r:id="rId120" display="https://centrodecapacitaciondelsur.com/soporte-basico-de-vida-" xr:uid="{00000000-0004-0000-0200-000077000000}"/>
    <hyperlink ref="B161" r:id="rId121" display="https://centrodecapacitaciondelsur.com/soporte-basico-de-vida-" xr:uid="{00000000-0004-0000-0200-000078000000}"/>
    <hyperlink ref="B162" r:id="rId122" display="https://centrodecapacitaciondelsur.com/soporte-basico-de-vida-" xr:uid="{00000000-0004-0000-0200-000079000000}"/>
    <hyperlink ref="B163" r:id="rId123" display="https://centrodecapacitaciondelsur.com/soporte-basico-de-vida-" xr:uid="{00000000-0004-0000-0200-00007A000000}"/>
    <hyperlink ref="B164" r:id="rId124" display="https://centrodecapacitaciondelsur.com/soporte-basico-de-vida-" xr:uid="{00000000-0004-0000-0200-00007B000000}"/>
    <hyperlink ref="B165" r:id="rId125" display="https://centrodecapacitaciondelsur.com/soporte-basico-de-vida-" xr:uid="{00000000-0004-0000-0200-00007C000000}"/>
    <hyperlink ref="B166" r:id="rId126" display="https://centrodecapacitaciondelsur.com/soporte-basico-de-vida-" xr:uid="{00000000-0004-0000-0200-00007D000000}"/>
    <hyperlink ref="B167" r:id="rId127" display="https://centrodecapacitaciondelsur.com/soporte-basico-de-vida-" xr:uid="{00000000-0004-0000-0200-00007E000000}"/>
    <hyperlink ref="B168" r:id="rId128" display="https://centrodecapacitaciondelsur.com/soporte-basico-de-vida-" xr:uid="{00000000-0004-0000-0200-00007F000000}"/>
    <hyperlink ref="B169" r:id="rId129" display="https://centrodecapacitaciondelsur.com/soporte-basico-de-vida-" xr:uid="{00000000-0004-0000-0200-000080000000}"/>
    <hyperlink ref="B170" r:id="rId130" display="https://centrodecapacitaciondelsur.com/soporte-basico-de-vida-" xr:uid="{00000000-0004-0000-0200-000081000000}"/>
    <hyperlink ref="B171" r:id="rId131" display="https://centrodecapacitaciondelsur.com/soporte-basico-de-vida-" xr:uid="{00000000-0004-0000-0200-000082000000}"/>
    <hyperlink ref="B172" r:id="rId132" display="https://centrodecapacitaciondelsur.com/soporte-basico-de-vida-" xr:uid="{00000000-0004-0000-0200-000083000000}"/>
    <hyperlink ref="B173" r:id="rId133" display="https://centrodecapacitaciondelsur.com/soporte-basico-de-vida-" xr:uid="{00000000-0004-0000-0200-000084000000}"/>
    <hyperlink ref="B174" r:id="rId134" display="https://centrodecapacitaciondelsur.com/soporte-basico-de-vida-" xr:uid="{00000000-0004-0000-0200-000085000000}"/>
    <hyperlink ref="B175" r:id="rId135" display="https://centrodecapacitaciondelsur.com/soporte-basico-de-vida-" xr:uid="{00000000-0004-0000-0200-000086000000}"/>
    <hyperlink ref="B176" r:id="rId136" display="https://centrodecapacitaciondelsur.com/soporte-basico-de-vida-" xr:uid="{00000000-0004-0000-0200-000087000000}"/>
    <hyperlink ref="B177" r:id="rId137" display="https://centrodecapacitaciondelsur.com/soporte-basico-de-vida-" xr:uid="{00000000-0004-0000-0200-000088000000}"/>
    <hyperlink ref="B178" r:id="rId138" display="https://centrodecapacitaciondelsur.com/soporte-basico-de-vida-" xr:uid="{00000000-0004-0000-0200-000089000000}"/>
    <hyperlink ref="B179" r:id="rId139" display="https://centrodecapacitaciondelsur.com/soporte-basico-de-vida-" xr:uid="{00000000-0004-0000-0200-00008A000000}"/>
    <hyperlink ref="B180" r:id="rId140" display="https://centrodecapacitaciondelsur.com/soporte-basico-de-vida-" xr:uid="{00000000-0004-0000-0200-00008B000000}"/>
    <hyperlink ref="B182" r:id="rId141" display="https://centrodecapacitaciondelsur.com/soporte-basico-de-vida-" xr:uid="{00000000-0004-0000-0200-00008C000000}"/>
    <hyperlink ref="B183" r:id="rId142" display="https://centrodecapacitaciondelsur.com/soporte-basico-de-vida-" xr:uid="{00000000-0004-0000-0200-00008D000000}"/>
    <hyperlink ref="B184" r:id="rId143" display="https://centrodecapacitaciondelsur.com/soporte-basico-de-vida-" xr:uid="{00000000-0004-0000-0200-00008E000000}"/>
    <hyperlink ref="B185" r:id="rId144" display="https://centrodecapacitaciondelsur.com/soporte-basico-de-vida-" xr:uid="{00000000-0004-0000-0200-00008F000000}"/>
    <hyperlink ref="B186" r:id="rId145" display="https://centrodecapacitaciondelsur.com/soporte-basico-de-vida-" xr:uid="{00000000-0004-0000-0200-000090000000}"/>
    <hyperlink ref="B187" r:id="rId146" display="https://centrodecapacitaciondelsur.com/soporte-basico-de-vida-" xr:uid="{00000000-0004-0000-0200-000091000000}"/>
    <hyperlink ref="B188" r:id="rId147" display="https://centrodecapacitaciondelsur.com/soporte-basico-de-vida-" xr:uid="{00000000-0004-0000-0200-000092000000}"/>
    <hyperlink ref="B189" r:id="rId148" display="https://centrodecapacitaciondelsur.com/soporte-basico-de-vida-" xr:uid="{00000000-0004-0000-0200-000093000000}"/>
    <hyperlink ref="B190" r:id="rId149" display="https://centrodecapacitaciondelsur.com/soporte-basico-de-vida-" xr:uid="{00000000-0004-0000-0200-000094000000}"/>
    <hyperlink ref="B191" r:id="rId150" display="https://centrodecapacitaciondelsur.com/soporte-basico-de-vida-" xr:uid="{00000000-0004-0000-0200-000095000000}"/>
    <hyperlink ref="B192" r:id="rId151" display="https://centrodecapacitaciondelsur.com/soporte-basico-de-vida-" xr:uid="{00000000-0004-0000-0200-000096000000}"/>
    <hyperlink ref="B193" r:id="rId152" display="https://centrodecapacitaciondelsur.com/soporte-basico-de-vida-" xr:uid="{00000000-0004-0000-0200-000097000000}"/>
    <hyperlink ref="B194" r:id="rId153" display="https://centrodecapacitaciondelsur.com/soporte-basico-de-vida-" xr:uid="{00000000-0004-0000-0200-000098000000}"/>
    <hyperlink ref="B195" r:id="rId154" display="https://centrodecapacitaciondelsur.com/soporte-basico-de-vida-" xr:uid="{00000000-0004-0000-0200-000099000000}"/>
    <hyperlink ref="B196" r:id="rId155" display="https://centrodecapacitaciondelsur.com/soporte-basico-de-vida-" xr:uid="{00000000-0004-0000-0200-00009A000000}"/>
    <hyperlink ref="B197" r:id="rId156" display="https://centrodecapacitaciondelsur.com/soporte-basico-de-vida-" xr:uid="{00000000-0004-0000-0200-00009B000000}"/>
    <hyperlink ref="B198" r:id="rId157" display="https://centrodecapacitaciondelsur.com/soporte-basico-de-vida-" xr:uid="{00000000-0004-0000-0200-00009C000000}"/>
    <hyperlink ref="B199" r:id="rId158" display="https://centrodecapacitaciondelsur.com/soporte-basico-de-vida-" xr:uid="{00000000-0004-0000-0200-00009D000000}"/>
    <hyperlink ref="B200" r:id="rId159" display="https://centrodecapacitaciondelsur.com/soporte-basico-de-vida-" xr:uid="{00000000-0004-0000-0200-00009E000000}"/>
    <hyperlink ref="B201" r:id="rId160" display="https://centrodecapacitaciondelsur.com/soporte-basico-de-vida-" xr:uid="{00000000-0004-0000-0200-00009F000000}"/>
    <hyperlink ref="B202" r:id="rId161" display="https://centrodecapacitaciondelsur.com/soporte-basico-de-vida-" xr:uid="{00000000-0004-0000-0200-0000A0000000}"/>
    <hyperlink ref="B203" r:id="rId162" display="https://centrodecapacitaciondelsur.com/soporte-basico-de-vida-" xr:uid="{00000000-0004-0000-0200-0000A1000000}"/>
    <hyperlink ref="B204" r:id="rId163" display="https://centrodecapacitaciondelsur.com/soporte-basico-de-vida-" xr:uid="{00000000-0004-0000-0200-0000A2000000}"/>
    <hyperlink ref="B205" r:id="rId164" display="https://centrodecapacitaciondelsur.com/soporte-basico-de-vida-" xr:uid="{00000000-0004-0000-0200-0000A3000000}"/>
    <hyperlink ref="B206" r:id="rId165" display="https://centrodecapacitaciondelsur.com/soporte-basico-de-vida-" xr:uid="{00000000-0004-0000-0200-0000A4000000}"/>
    <hyperlink ref="B207" r:id="rId166" display="https://centrodecapacitaciondelsur.com/soporte-basico-de-vida-" xr:uid="{00000000-0004-0000-0200-0000A5000000}"/>
    <hyperlink ref="B208" r:id="rId167" display="https://centrodecapacitaciondelsur.com/soporte-basico-de-vida-" xr:uid="{00000000-0004-0000-0200-0000A6000000}"/>
    <hyperlink ref="B209" r:id="rId168" display="https://centrodecapacitaciondelsur.com/soporte-basico-de-vida-" xr:uid="{00000000-0004-0000-0200-0000A7000000}"/>
    <hyperlink ref="B210" r:id="rId169" display="https://centrodecapacitaciondelsur.com/soporte-basico-de-vida-" xr:uid="{00000000-0004-0000-0200-0000A8000000}"/>
    <hyperlink ref="B211" r:id="rId170" display="https://centrodecapacitaciondelsur.com/soporte-basico-de-vida-" xr:uid="{00000000-0004-0000-0200-0000A9000000}"/>
    <hyperlink ref="B212" r:id="rId171" display="https://centrodecapacitaciondelsur.com/soporte-basico-de-vida-" xr:uid="{00000000-0004-0000-0200-0000AA000000}"/>
    <hyperlink ref="B213" r:id="rId172" display="https://centrodecapacitaciondelsur.com/soporte-basico-de-vida-" xr:uid="{00000000-0004-0000-0200-0000AB000000}"/>
    <hyperlink ref="B214" r:id="rId173" display="https://centrodecapacitaciondelsur.com/soporte-basico-de-vida-" xr:uid="{00000000-0004-0000-0200-0000AC000000}"/>
    <hyperlink ref="B215" r:id="rId174" display="https://centrodecapacitaciondelsur.com/soporte-basico-de-vida-" xr:uid="{00000000-0004-0000-0200-0000AD000000}"/>
    <hyperlink ref="B216" r:id="rId175" display="https://centrodecapacitaciondelsur.com/soporte-basico-de-vida-" xr:uid="{00000000-0004-0000-0200-0000AE000000}"/>
    <hyperlink ref="B217" r:id="rId176" display="https://centrodecapacitaciondelsur.com/soporte-basico-de-vida-" xr:uid="{00000000-0004-0000-0200-0000AF000000}"/>
    <hyperlink ref="B218" r:id="rId177" display="https://centrodecapacitaciondelsur.com/soporte-basico-de-vida-" xr:uid="{00000000-0004-0000-0200-0000B0000000}"/>
    <hyperlink ref="B219" r:id="rId178" display="https://centrodecapacitaciondelsur.com/soporte-basico-de-vida-" xr:uid="{00000000-0004-0000-0200-0000B1000000}"/>
    <hyperlink ref="B220" r:id="rId179" display="https://centrodecapacitaciondelsur.com/soporte-basico-de-vida-" xr:uid="{00000000-0004-0000-0200-0000B2000000}"/>
    <hyperlink ref="B221" r:id="rId180" display="https://centrodecapacitaciondelsur.com/soporte-basico-de-vida-" xr:uid="{00000000-0004-0000-0200-0000B3000000}"/>
    <hyperlink ref="B222" r:id="rId181" display="https://centrodecapacitaciondelsur.com/soporte-basico-de-vida-" xr:uid="{00000000-0004-0000-0200-0000B4000000}"/>
    <hyperlink ref="B223" r:id="rId182" display="https://centrodecapacitaciondelsur.com/soporte-basico-de-vida-" xr:uid="{00000000-0004-0000-0200-0000B5000000}"/>
    <hyperlink ref="B224" r:id="rId183" display="https://centrodecapacitaciondelsur.com/soporte-basico-de-vida-" xr:uid="{00000000-0004-0000-0200-0000B6000000}"/>
    <hyperlink ref="B225" r:id="rId184" display="https://centrodecapacitaciondelsur.com/soporte-basico-de-vida-" xr:uid="{00000000-0004-0000-0200-0000B7000000}"/>
    <hyperlink ref="B226" r:id="rId185" display="https://centrodecapacitaciondelsur.com/soporte-basico-de-vida-" xr:uid="{00000000-0004-0000-0200-0000B8000000}"/>
    <hyperlink ref="B227" r:id="rId186" display="https://centrodecapacitaciondelsur.com/soporte-basico-de-vida-" xr:uid="{00000000-0004-0000-0200-0000B9000000}"/>
    <hyperlink ref="B228" r:id="rId187" display="https://centrodecapacitaciondelsur.com/soporte-basico-de-vida-" xr:uid="{00000000-0004-0000-0200-0000BA000000}"/>
    <hyperlink ref="B229" r:id="rId188" display="https://centrodecapacitaciondelsur.com/soporte-basico-de-vida-" xr:uid="{00000000-0004-0000-0200-0000BB000000}"/>
    <hyperlink ref="B230" r:id="rId189" display="https://centrodecapacitaciondelsur.com/soporte-basico-de-vida-" xr:uid="{00000000-0004-0000-0200-0000BC000000}"/>
    <hyperlink ref="B231" r:id="rId190" display="https://centrodecapacitaciondelsur.com/soporte-basico-de-vida-" xr:uid="{00000000-0004-0000-0200-0000BD000000}"/>
    <hyperlink ref="B232" r:id="rId191" display="https://centrodecapacitaciondelsur.com/soporte-basico-de-vida-" xr:uid="{00000000-0004-0000-0200-0000BE000000}"/>
    <hyperlink ref="B233" r:id="rId192" display="https://centrodecapacitaciondelsur.com/soporte-basico-de-vida-" xr:uid="{00000000-0004-0000-0200-0000BF000000}"/>
    <hyperlink ref="B234" r:id="rId193" display="https://centrodecapacitaciondelsur.com/soporte-basico-de-vida-" xr:uid="{00000000-0004-0000-0200-0000C0000000}"/>
    <hyperlink ref="B235" r:id="rId194" display="https://centrodecapacitaciondelsur.com/soporte-basico-de-vida-" xr:uid="{00000000-0004-0000-0200-0000C1000000}"/>
    <hyperlink ref="B236" r:id="rId195" display="https://centrodecapacitaciondelsur.com/soporte-basico-de-vida-" xr:uid="{00000000-0004-0000-0200-0000C2000000}"/>
    <hyperlink ref="B237" r:id="rId196" display="https://centrodecapacitaciondelsur.com/soporte-basico-de-vida-" xr:uid="{00000000-0004-0000-0200-0000C3000000}"/>
    <hyperlink ref="B238" r:id="rId197" display="https://centrodecapacitaciondelsur.com/soporte-basico-de-vida-" xr:uid="{00000000-0004-0000-0200-0000C4000000}"/>
    <hyperlink ref="B239" r:id="rId198" display="https://centrodecapacitaciondelsur.com/soporte-basico-de-vida-" xr:uid="{00000000-0004-0000-0200-0000C5000000}"/>
    <hyperlink ref="B240" r:id="rId199" display="https://centrodecapacitaciondelsur.com/soporte-basico-de-vida-" xr:uid="{00000000-0004-0000-0200-0000C6000000}"/>
    <hyperlink ref="B241" r:id="rId200" display="https://centrodecapacitaciondelsur.com/soporte-basico-de-vida-" xr:uid="{00000000-0004-0000-0200-0000C7000000}"/>
    <hyperlink ref="B242" r:id="rId201" display="https://centrodecapacitaciondelsur.com/soporte-basico-de-vida-" xr:uid="{00000000-0004-0000-0200-0000C8000000}"/>
    <hyperlink ref="B243" r:id="rId202" display="https://centrodecapacitaciondelsur.com/soporte-basico-de-vida-" xr:uid="{00000000-0004-0000-0200-0000C9000000}"/>
    <hyperlink ref="B244" r:id="rId203" display="https://centrodecapacitaciondelsur.com/soporte-basico-de-vida-" xr:uid="{00000000-0004-0000-0200-0000CA000000}"/>
    <hyperlink ref="B245" r:id="rId204" display="https://centrodecapacitaciondelsur.com/soporte-basico-de-vida-" xr:uid="{00000000-0004-0000-0200-0000CB000000}"/>
    <hyperlink ref="B246" r:id="rId205" display="https://centrodecapacitaciondelsur.com/soporte-basico-de-vida-" xr:uid="{00000000-0004-0000-0200-0000CC000000}"/>
    <hyperlink ref="B247" r:id="rId206" display="https://centrodecapacitaciondelsur.com/soporte-basico-de-vida-" xr:uid="{00000000-0004-0000-0200-0000CD000000}"/>
    <hyperlink ref="B248" r:id="rId207" display="https://centrodecapacitaciondelsur.com/soporte-basico-de-vida-" xr:uid="{00000000-0004-0000-0200-0000CE000000}"/>
    <hyperlink ref="B249" r:id="rId208" display="https://centrodecapacitaciondelsur.com/soporte-basico-de-vida-" xr:uid="{00000000-0004-0000-0200-0000CF000000}"/>
    <hyperlink ref="B250" r:id="rId209" display="https://centrodecapacitaciondelsur.com/soporte-basico-de-vida-" xr:uid="{00000000-0004-0000-0200-0000D0000000}"/>
    <hyperlink ref="B251" r:id="rId210" display="https://centrodecapacitaciondelsur.com/soporte-basico-de-vida-" xr:uid="{00000000-0004-0000-0200-0000D1000000}"/>
    <hyperlink ref="B252" r:id="rId211" display="https://centrodecapacitaciondelsur.com/soporte-basico-de-vida-" xr:uid="{00000000-0004-0000-0200-0000D2000000}"/>
    <hyperlink ref="B253" r:id="rId212" display="https://centrodecapacitaciondelsur.com/soporte-basico-de-vida-" xr:uid="{00000000-0004-0000-0200-0000D3000000}"/>
    <hyperlink ref="B254" r:id="rId213" display="https://centrodecapacitaciondelsur.com/soporte-basico-de-vida-" xr:uid="{00000000-0004-0000-0200-0000D4000000}"/>
    <hyperlink ref="B255" r:id="rId214" display="https://centrodecapacitaciondelsur.com/soporte-basico-de-vida-" xr:uid="{00000000-0004-0000-0200-0000D5000000}"/>
    <hyperlink ref="B256" r:id="rId215" display="https://centrodecapacitaciondelsur.com/soporte-basico-de-vida-" xr:uid="{00000000-0004-0000-0200-0000D6000000}"/>
    <hyperlink ref="B257" r:id="rId216" display="https://centrodecapacitaciondelsur.com/soporte-basico-de-vida-" xr:uid="{00000000-0004-0000-0200-0000D7000000}"/>
    <hyperlink ref="B258" r:id="rId217" display="https://centrodecapacitaciondelsur.com/soporte-basico-de-vida-" xr:uid="{00000000-0004-0000-0200-0000D8000000}"/>
    <hyperlink ref="B259" r:id="rId218" display="https://centrodecapacitaciondelsur.com/soporte-basico-de-vida-" xr:uid="{00000000-0004-0000-0200-0000D9000000}"/>
    <hyperlink ref="B260" r:id="rId219" display="https://centrodecapacitaciondelsur.com/soporte-basico-de-vida-" xr:uid="{00000000-0004-0000-0200-0000DA000000}"/>
    <hyperlink ref="B261" r:id="rId220" display="https://centrodecapacitaciondelsur.com/soporte-basico-de-vida-" xr:uid="{00000000-0004-0000-0200-0000DB000000}"/>
    <hyperlink ref="B262" r:id="rId221" display="https://centrodecapacitaciondelsur.com/soporte-basico-de-vida-" xr:uid="{00000000-0004-0000-0200-0000DC000000}"/>
    <hyperlink ref="B263" r:id="rId222" display="https://centrodecapacitaciondelsur.com/soporte-basico-de-vida-" xr:uid="{00000000-0004-0000-0200-0000DD000000}"/>
    <hyperlink ref="B264" r:id="rId223" display="https://centrodecapacitaciondelsur.com/soporte-basico-de-vida-" xr:uid="{00000000-0004-0000-0200-0000DE000000}"/>
    <hyperlink ref="B265" r:id="rId224" display="https://centrodecapacitaciondelsur.com/soporte-basico-de-vida-" xr:uid="{00000000-0004-0000-0200-0000DF000000}"/>
    <hyperlink ref="B266" r:id="rId225" display="https://centrodecapacitaciondelsur.com/soporte-basico-de-vida-" xr:uid="{00000000-0004-0000-0200-0000E0000000}"/>
    <hyperlink ref="B267" r:id="rId226" display="https://centrodecapacitaciondelsur.com/soporte-basico-de-vida-" xr:uid="{00000000-0004-0000-0200-0000E1000000}"/>
    <hyperlink ref="B268" r:id="rId227" display="https://centrodecapacitaciondelsur.com/soporte-basico-de-vida-" xr:uid="{00000000-0004-0000-0200-0000E2000000}"/>
    <hyperlink ref="B269" r:id="rId228" display="https://centrodecapacitaciondelsur.com/soporte-basico-de-vida-" xr:uid="{00000000-0004-0000-0200-0000E3000000}"/>
    <hyperlink ref="B270" r:id="rId229" display="https://centrodecapacitaciondelsur.com/soporte-basico-de-vida-" xr:uid="{00000000-0004-0000-0200-0000E4000000}"/>
    <hyperlink ref="B271" r:id="rId230" display="https://centrodecapacitaciondelsur.com/soporte-basico-de-vida-" xr:uid="{00000000-0004-0000-0200-0000E5000000}"/>
    <hyperlink ref="B272" r:id="rId231" display="https://centrodecapacitaciondelsur.com/soporte-basico-de-vida-" xr:uid="{00000000-0004-0000-0200-0000E6000000}"/>
    <hyperlink ref="B273" r:id="rId232" display="https://centrodecapacitaciondelsur.com/soporte-basico-de-vida-" xr:uid="{00000000-0004-0000-0200-0000E7000000}"/>
    <hyperlink ref="B274" r:id="rId233" display="https://centrodecapacitaciondelsur.com/soporte-basico-de-vida-" xr:uid="{00000000-0004-0000-0200-0000E8000000}"/>
    <hyperlink ref="B275" r:id="rId234" display="https://centrodecapacitaciondelsur.com/soporte-basico-de-vida-" xr:uid="{00000000-0004-0000-0200-0000E9000000}"/>
    <hyperlink ref="B276" r:id="rId235" display="https://centrodecapacitaciondelsur.com/soporte-basico-de-vida-" xr:uid="{00000000-0004-0000-0200-0000EA000000}"/>
    <hyperlink ref="B277" r:id="rId236" display="https://centrodecapacitaciondelsur.com/soporte-basico-de-vida-" xr:uid="{00000000-0004-0000-0200-0000EB000000}"/>
    <hyperlink ref="B278" r:id="rId237" display="https://centrodecapacitaciondelsur.com/soporte-basico-de-vida-" xr:uid="{00000000-0004-0000-0200-0000EC000000}"/>
    <hyperlink ref="B279" r:id="rId238" display="https://centrodecapacitaciondelsur.com/soporte-basico-de-vida-" xr:uid="{00000000-0004-0000-0200-0000ED000000}"/>
    <hyperlink ref="B280" r:id="rId239" display="https://centrodecapacitaciondelsur.com/soporte-basico-de-vida-" xr:uid="{00000000-0004-0000-0200-0000EE000000}"/>
    <hyperlink ref="B281" r:id="rId240" display="https://centrodecapacitaciondelsur.com/soporte-basico-de-vida-" xr:uid="{00000000-0004-0000-0200-0000EF000000}"/>
    <hyperlink ref="B282" r:id="rId241" display="https://centrodecapacitaciondelsur.com/soporte-basico-de-vida-" xr:uid="{00000000-0004-0000-0200-0000F0000000}"/>
    <hyperlink ref="B283" r:id="rId242" display="https://centrodecapacitaciondelsur.com/soporte-basico-de-vida-" xr:uid="{00000000-0004-0000-0200-0000F1000000}"/>
    <hyperlink ref="B284" r:id="rId243" display="https://centrodecapacitaciondelsur.com/soporte-basico-de-vida-" xr:uid="{00000000-0004-0000-0200-0000F2000000}"/>
    <hyperlink ref="B285" r:id="rId244" display="https://centrodecapacitaciondelsur.com/soporte-basico-de-vida-" xr:uid="{00000000-0004-0000-0200-0000F3000000}"/>
    <hyperlink ref="B286" r:id="rId245" display="https://centrodecapacitaciondelsur.com/soporte-basico-de-vida-" xr:uid="{00000000-0004-0000-0200-0000F4000000}"/>
    <hyperlink ref="B287" r:id="rId246" display="https://centrodecapacitaciondelsur.com/soporte-basico-de-vida-" xr:uid="{00000000-0004-0000-0200-0000F5000000}"/>
    <hyperlink ref="B288" r:id="rId247" display="https://centrodecapacitaciondelsur.com/soporte-basico-de-vida-" xr:uid="{00000000-0004-0000-0200-0000F6000000}"/>
    <hyperlink ref="B289" r:id="rId248" display="https://centrodecapacitaciondelsur.com/soporte-basico-de-vida-" xr:uid="{00000000-0004-0000-0200-0000F7000000}"/>
    <hyperlink ref="B290" r:id="rId249" display="https://centrodecapacitaciondelsur.com/soporte-basico-de-vida-" xr:uid="{00000000-0004-0000-0200-0000F8000000}"/>
    <hyperlink ref="B291" r:id="rId250" display="https://centrodecapacitaciondelsur.com/soporte-basico-de-vida-" xr:uid="{00000000-0004-0000-0200-0000F9000000}"/>
    <hyperlink ref="B292" r:id="rId251" display="https://centrodecapacitaciondelsur.com/soporte-basico-de-vida-" xr:uid="{00000000-0004-0000-0200-0000FA000000}"/>
    <hyperlink ref="B293" r:id="rId252" display="https://centrodecapacitaciondelsur.com/soporte-basico-de-vida-" xr:uid="{00000000-0004-0000-0200-0000FB000000}"/>
    <hyperlink ref="B294" r:id="rId253" display="https://centrodecapacitaciondelsur.com/soporte-basico-de-vida-" xr:uid="{00000000-0004-0000-0200-0000FC000000}"/>
    <hyperlink ref="B295" r:id="rId254" display="https://centrodecapacitaciondelsur.com/soporte-basico-de-vida-" xr:uid="{00000000-0004-0000-0200-0000FD000000}"/>
    <hyperlink ref="B296" r:id="rId255" display="https://centrodecapacitaciondelsur.com/soporte-basico-de-vida-" xr:uid="{00000000-0004-0000-0200-0000FE000000}"/>
    <hyperlink ref="B297" r:id="rId256" display="https://centrodecapacitaciondelsur.com/soporte-basico-de-vida-" xr:uid="{00000000-0004-0000-0200-0000FF000000}"/>
    <hyperlink ref="B298" r:id="rId257" display="https://centrodecapacitaciondelsur.com/soporte-basico-de-vida-" xr:uid="{00000000-0004-0000-0200-000000010000}"/>
    <hyperlink ref="B299" r:id="rId258" display="https://centrodecapacitaciondelsur.com/soporte-basico-de-vida-" xr:uid="{00000000-0004-0000-0200-000001010000}"/>
    <hyperlink ref="B300" r:id="rId259" display="https://centrodecapacitaciondelsur.com/soporte-basico-de-vida-" xr:uid="{00000000-0004-0000-0200-000002010000}"/>
    <hyperlink ref="B301" r:id="rId260" display="https://centrodecapacitaciondelsur.com/soporte-basico-de-vida-" xr:uid="{00000000-0004-0000-0200-000003010000}"/>
    <hyperlink ref="B302" r:id="rId261" display="https://centrodecapacitaciondelsur.com/soporte-basico-de-vida-" xr:uid="{00000000-0004-0000-0200-000004010000}"/>
    <hyperlink ref="B303" r:id="rId262" display="https://centrodecapacitaciondelsur.com/soporte-basico-de-vida-" xr:uid="{00000000-0004-0000-0200-000005010000}"/>
    <hyperlink ref="B304" r:id="rId263" display="https://centrodecapacitaciondelsur.com/soporte-basico-de-vida-" xr:uid="{00000000-0004-0000-0200-000006010000}"/>
    <hyperlink ref="B305" r:id="rId264" display="https://centrodecapacitaciondelsur.com/soporte-basico-de-vida-" xr:uid="{00000000-0004-0000-0200-000007010000}"/>
    <hyperlink ref="B306" r:id="rId265" display="https://centrodecapacitaciondelsur.com/soporte-basico-de-vida-" xr:uid="{00000000-0004-0000-0200-000008010000}"/>
    <hyperlink ref="B307" r:id="rId266" display="https://centrodecapacitaciondelsur.com/soporte-basico-de-vida-" xr:uid="{00000000-0004-0000-0200-000009010000}"/>
    <hyperlink ref="B308" r:id="rId267" display="https://centrodecapacitaciondelsur.com/soporte-basico-de-vida-" xr:uid="{00000000-0004-0000-0200-00000A010000}"/>
    <hyperlink ref="B309" r:id="rId268" display="https://centrodecapacitaciondelsur.com/soporte-basico-de-vida-" xr:uid="{00000000-0004-0000-0200-00000B010000}"/>
    <hyperlink ref="B310" r:id="rId269" display="https://centrodecapacitaciondelsur.com/soporte-basico-de-vida-" xr:uid="{00000000-0004-0000-0200-00000C010000}"/>
    <hyperlink ref="B311" r:id="rId270" display="https://centrodecapacitaciondelsur.com/soporte-basico-de-vida-" xr:uid="{00000000-0004-0000-0200-00000D010000}"/>
    <hyperlink ref="B312" r:id="rId271" display="https://centrodecapacitaciondelsur.com/soporte-basico-de-vida-" xr:uid="{00000000-0004-0000-0200-00000E010000}"/>
    <hyperlink ref="B313" r:id="rId272" display="https://centrodecapacitaciondelsur.com/soporte-basico-de-vida-" xr:uid="{00000000-0004-0000-0200-00000F010000}"/>
    <hyperlink ref="B314" r:id="rId273" display="https://centrodecapacitaciondelsur.com/soporte-basico-de-vida-" xr:uid="{00000000-0004-0000-0200-000010010000}"/>
    <hyperlink ref="B315" r:id="rId274" display="https://centrodecapacitaciondelsur.com/soporte-basico-de-vida-" xr:uid="{00000000-0004-0000-0200-000011010000}"/>
    <hyperlink ref="B316" r:id="rId275" display="https://centrodecapacitaciondelsur.com/soporte-basico-de-vida-" xr:uid="{00000000-0004-0000-0200-000012010000}"/>
    <hyperlink ref="B317" r:id="rId276" display="https://centrodecapacitaciondelsur.com/soporte-basico-de-vida-" xr:uid="{00000000-0004-0000-0200-000013010000}"/>
    <hyperlink ref="B318" r:id="rId277" display="https://centrodecapacitaciondelsur.com/soporte-basico-de-vida-" xr:uid="{00000000-0004-0000-0200-000014010000}"/>
    <hyperlink ref="B319" r:id="rId278" display="https://centrodecapacitaciondelsur.com/soporte-basico-de-vida-" xr:uid="{00000000-0004-0000-0200-000015010000}"/>
    <hyperlink ref="B320" r:id="rId279" display="https://centrodecapacitaciondelsur.com/soporte-basico-de-vida-" xr:uid="{00000000-0004-0000-0200-000016010000}"/>
    <hyperlink ref="B321" r:id="rId280" display="https://centrodecapacitaciondelsur.com/soporte-basico-de-vida-" xr:uid="{00000000-0004-0000-0200-000017010000}"/>
    <hyperlink ref="B322" r:id="rId281" display="https://centrodecapacitaciondelsur.com/soporte-basico-de-vida-" xr:uid="{00000000-0004-0000-0200-000018010000}"/>
    <hyperlink ref="B323" r:id="rId282" display="https://centrodecapacitaciondelsur.com/soporte-basico-de-vida-" xr:uid="{00000000-0004-0000-0200-000019010000}"/>
    <hyperlink ref="B324" r:id="rId283" display="https://centrodecapacitaciondelsur.com/soporte-basico-de-vida-" xr:uid="{00000000-0004-0000-0200-00001A010000}"/>
    <hyperlink ref="B325" r:id="rId284" display="https://centrodecapacitaciondelsur.com/soporte-basico-de-vida-" xr:uid="{00000000-0004-0000-0200-00001B010000}"/>
    <hyperlink ref="B326" r:id="rId285" display="https://centrodecapacitaciondelsur.com/soporte-basico-de-vida-" xr:uid="{00000000-0004-0000-0200-00001C010000}"/>
    <hyperlink ref="B327" r:id="rId286" display="https://centrodecapacitaciondelsur.com/soporte-basico-de-vida-" xr:uid="{00000000-0004-0000-0200-00001D010000}"/>
    <hyperlink ref="B328" r:id="rId287" display="https://centrodecapacitaciondelsur.com/soporte-basico-de-vida-" xr:uid="{00000000-0004-0000-0200-00001E010000}"/>
    <hyperlink ref="B329" r:id="rId288" display="https://centrodecapacitaciondelsur.com/soporte-basico-de-vida-" xr:uid="{00000000-0004-0000-0200-00001F010000}"/>
    <hyperlink ref="B330" r:id="rId289" display="https://centrodecapacitaciondelsur.com/soporte-basico-de-vida-" xr:uid="{00000000-0004-0000-0200-000020010000}"/>
    <hyperlink ref="B331" r:id="rId290" display="https://centrodecapacitaciondelsur.com/soporte-basico-de-vida-" xr:uid="{00000000-0004-0000-0200-000021010000}"/>
    <hyperlink ref="B332" r:id="rId291" display="https://centrodecapacitaciondelsur.com/soporte-basico-de-vida-" xr:uid="{00000000-0004-0000-0200-000022010000}"/>
    <hyperlink ref="B333" r:id="rId292" display="https://centrodecapacitaciondelsur.com/soporte-basico-de-vida-" xr:uid="{00000000-0004-0000-0200-000023010000}"/>
    <hyperlink ref="B334" r:id="rId293" display="https://centrodecapacitaciondelsur.com/soporte-basico-de-vida-" xr:uid="{00000000-0004-0000-0200-000024010000}"/>
    <hyperlink ref="B335" r:id="rId294" display="https://centrodecapacitaciondelsur.com/soporte-basico-de-vida-" xr:uid="{00000000-0004-0000-0200-000025010000}"/>
    <hyperlink ref="B336" r:id="rId295" display="https://centrodecapacitaciondelsur.com/soporte-basico-de-vida-" xr:uid="{00000000-0004-0000-0200-000026010000}"/>
    <hyperlink ref="B337" r:id="rId296" display="https://centrodecapacitaciondelsur.com/soporte-basico-de-vida-" xr:uid="{00000000-0004-0000-0200-000027010000}"/>
    <hyperlink ref="B338" r:id="rId297" display="https://centrodecapacitaciondelsur.com/soporte-basico-de-vida-" xr:uid="{00000000-0004-0000-0200-000028010000}"/>
    <hyperlink ref="B339" r:id="rId298" display="https://centrodecapacitaciondelsur.com/soporte-basico-de-vida-" xr:uid="{00000000-0004-0000-0200-000029010000}"/>
    <hyperlink ref="B340" r:id="rId299" display="https://centrodecapacitaciondelsur.com/soporte-basico-de-vida-" xr:uid="{00000000-0004-0000-0200-00002A010000}"/>
    <hyperlink ref="B341" r:id="rId300" display="https://centrodecapacitaciondelsur.com/soporte-basico-de-vida-" xr:uid="{00000000-0004-0000-0200-00002B010000}"/>
    <hyperlink ref="B342" r:id="rId301" display="https://centrodecapacitaciondelsur.com/soporte-basico-de-vida-" xr:uid="{00000000-0004-0000-0200-00002C010000}"/>
    <hyperlink ref="B343" r:id="rId302" display="https://centrodecapacitaciondelsur.com/soporte-basico-de-vida-" xr:uid="{00000000-0004-0000-0200-00002D010000}"/>
    <hyperlink ref="B344" r:id="rId303" display="https://centrodecapacitaciondelsur.com/soporte-basico-de-vida-" xr:uid="{00000000-0004-0000-0200-00002E010000}"/>
    <hyperlink ref="B345" r:id="rId304" display="https://centrodecapacitaciondelsur.com/soporte-basico-de-vida-" xr:uid="{00000000-0004-0000-0200-00002F010000}"/>
    <hyperlink ref="B346" r:id="rId305" display="https://centrodecapacitaciondelsur.com/soporte-basico-de-vida-" xr:uid="{00000000-0004-0000-0200-000030010000}"/>
    <hyperlink ref="B347" r:id="rId306" display="https://centrodecapacitaciondelsur.com/soporte-basico-de-vida-" xr:uid="{00000000-0004-0000-0200-000031010000}"/>
    <hyperlink ref="B348" r:id="rId307" display="https://centrodecapacitaciondelsur.com/soporte-basico-de-vida-" xr:uid="{00000000-0004-0000-0200-000032010000}"/>
    <hyperlink ref="B349" r:id="rId308" display="https://centrodecapacitaciondelsur.com/soporte-basico-de-vida-" xr:uid="{00000000-0004-0000-0200-000033010000}"/>
    <hyperlink ref="B350" r:id="rId309" display="https://centrodecapacitaciondelsur.com/soporte-basico-de-vida-" xr:uid="{00000000-0004-0000-0200-000034010000}"/>
    <hyperlink ref="B351" r:id="rId310" display="https://centrodecapacitaciondelsur.com/soporte-basico-de-vida-" xr:uid="{00000000-0004-0000-0200-000035010000}"/>
    <hyperlink ref="B352" r:id="rId311" display="https://centrodecapacitaciondelsur.com/soporte-basico-de-vida-" xr:uid="{00000000-0004-0000-0200-000036010000}"/>
    <hyperlink ref="B353" r:id="rId312" display="https://centrodecapacitaciondelsur.com/soporte-basico-de-vida-" xr:uid="{00000000-0004-0000-0200-000037010000}"/>
    <hyperlink ref="B354" r:id="rId313" display="https://centrodecapacitaciondelsur.com/soporte-basico-de-vida-" xr:uid="{00000000-0004-0000-0200-000038010000}"/>
    <hyperlink ref="B355" r:id="rId314" display="https://centrodecapacitaciondelsur.com/soporte-basico-de-vida-" xr:uid="{00000000-0004-0000-0200-000039010000}"/>
  </hyperlinks>
  <pageMargins left="0.7" right="0.7" top="0.75" bottom="0.75" header="0.3" footer="0.3"/>
  <pageSetup orientation="portrait" r:id="rId315"/>
  <drawing r:id="rId3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CCS-Pc</cp:lastModifiedBy>
  <cp:lastPrinted>2023-10-09T20:56:18Z</cp:lastPrinted>
  <dcterms:created xsi:type="dcterms:W3CDTF">2023-09-02T16:45:54Z</dcterms:created>
  <dcterms:modified xsi:type="dcterms:W3CDTF">2025-04-30T20:12:34Z</dcterms:modified>
</cp:coreProperties>
</file>