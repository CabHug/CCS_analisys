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CCS\CCS\2.Certificado\2025\5.MAYO\"/>
    </mc:Choice>
  </mc:AlternateContent>
  <xr:revisionPtr revIDLastSave="0" documentId="13_ncr:1_{FA81E36E-6568-4652-9250-6BBDE5BC5042}" xr6:coauthVersionLast="47" xr6:coauthVersionMax="47" xr10:uidLastSave="{00000000-0000-0000-0000-000000000000}"/>
  <bookViews>
    <workbookView xWindow="-120" yWindow="-120" windowWidth="29040" windowHeight="15840" tabRatio="574" xr2:uid="{00000000-000D-0000-FFFF-FFFF00000000}"/>
  </bookViews>
  <sheets>
    <sheet name="INSCRITOS" sheetId="1" r:id="rId1"/>
    <sheet name="RETIRADOS" sheetId="10" r:id="rId2"/>
    <sheet name="IPS FONOCENTER" sheetId="9" r:id="rId3"/>
    <sheet name="CURSOS" sheetId="2" r:id="rId4"/>
    <sheet name="LINK" sheetId="7" r:id="rId5"/>
  </sheets>
  <functionGroups builtInGroupCount="19"/>
  <definedNames>
    <definedName name="_xlnm._FilterDatabase" localSheetId="0" hidden="1">INSCRITOS!$A$1:$Y$248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1" l="1"/>
  <c r="A60" i="7" l="1"/>
  <c r="B60" i="7" s="1"/>
  <c r="D60" i="7" s="1"/>
  <c r="C60" i="7"/>
  <c r="A61" i="7"/>
  <c r="B61" i="7" s="1"/>
  <c r="D61" i="7" s="1"/>
  <c r="C61" i="7"/>
  <c r="A62" i="7"/>
  <c r="B62" i="7" s="1"/>
  <c r="C62" i="7"/>
  <c r="A63" i="7"/>
  <c r="B63" i="7" s="1"/>
  <c r="C63" i="7"/>
  <c r="A64" i="7"/>
  <c r="B64" i="7" s="1"/>
  <c r="D64" i="7" s="1"/>
  <c r="C64" i="7"/>
  <c r="A65" i="7"/>
  <c r="B65" i="7" s="1"/>
  <c r="C65" i="7"/>
  <c r="A66" i="7"/>
  <c r="B66" i="7" s="1"/>
  <c r="C66" i="7"/>
  <c r="A67" i="7"/>
  <c r="B67" i="7"/>
  <c r="D67" i="7" s="1"/>
  <c r="C67" i="7"/>
  <c r="A68" i="7"/>
  <c r="B68" i="7" s="1"/>
  <c r="C68" i="7"/>
  <c r="A69" i="7"/>
  <c r="B69" i="7" s="1"/>
  <c r="D69" i="7" s="1"/>
  <c r="C69" i="7"/>
  <c r="A70" i="7"/>
  <c r="B70" i="7" s="1"/>
  <c r="D70" i="7" s="1"/>
  <c r="C70" i="7"/>
  <c r="A71" i="7"/>
  <c r="B71" i="7" s="1"/>
  <c r="C71" i="7"/>
  <c r="A72" i="7"/>
  <c r="B72" i="7" s="1"/>
  <c r="C72" i="7"/>
  <c r="A73" i="7"/>
  <c r="B73" i="7" s="1"/>
  <c r="C73" i="7"/>
  <c r="A74" i="7"/>
  <c r="B74" i="7" s="1"/>
  <c r="C74" i="7"/>
  <c r="A75" i="7"/>
  <c r="B75" i="7" s="1"/>
  <c r="C75" i="7"/>
  <c r="A76" i="7"/>
  <c r="B76" i="7" s="1"/>
  <c r="C76" i="7"/>
  <c r="A77" i="7"/>
  <c r="B77" i="7"/>
  <c r="C77" i="7"/>
  <c r="A78" i="7"/>
  <c r="B78" i="7" s="1"/>
  <c r="D78" i="7" s="1"/>
  <c r="C78" i="7"/>
  <c r="A79" i="7"/>
  <c r="B79" i="7" s="1"/>
  <c r="D79" i="7" s="1"/>
  <c r="C79" i="7"/>
  <c r="A80" i="7"/>
  <c r="B80" i="7" s="1"/>
  <c r="D80" i="7" s="1"/>
  <c r="C80" i="7"/>
  <c r="A81" i="7"/>
  <c r="B81" i="7" s="1"/>
  <c r="D81" i="7" s="1"/>
  <c r="C81" i="7"/>
  <c r="A82" i="7"/>
  <c r="B82" i="7" s="1"/>
  <c r="C82" i="7"/>
  <c r="A83" i="7"/>
  <c r="B83" i="7" s="1"/>
  <c r="D83" i="7" s="1"/>
  <c r="C83" i="7"/>
  <c r="A84" i="7"/>
  <c r="B84" i="7" s="1"/>
  <c r="C84" i="7"/>
  <c r="A85" i="7"/>
  <c r="B85" i="7"/>
  <c r="D85" i="7" s="1"/>
  <c r="C85" i="7"/>
  <c r="A86" i="7"/>
  <c r="B86" i="7" s="1"/>
  <c r="C86" i="7"/>
  <c r="A87" i="7"/>
  <c r="B87" i="7"/>
  <c r="D87" i="7" s="1"/>
  <c r="C87" i="7"/>
  <c r="A88" i="7"/>
  <c r="B88" i="7" s="1"/>
  <c r="C88" i="7"/>
  <c r="A89" i="7"/>
  <c r="B89" i="7" s="1"/>
  <c r="D89" i="7" s="1"/>
  <c r="C89" i="7"/>
  <c r="A90" i="7"/>
  <c r="B90" i="7" s="1"/>
  <c r="D90" i="7" s="1"/>
  <c r="C90" i="7"/>
  <c r="A91" i="7"/>
  <c r="B91" i="7" s="1"/>
  <c r="C91" i="7"/>
  <c r="A92" i="7"/>
  <c r="B92" i="7" s="1"/>
  <c r="C92" i="7"/>
  <c r="A93" i="7"/>
  <c r="B93" i="7" s="1"/>
  <c r="C93" i="7"/>
  <c r="A94" i="7"/>
  <c r="B94" i="7" s="1"/>
  <c r="C94" i="7"/>
  <c r="A95" i="7"/>
  <c r="B95" i="7" s="1"/>
  <c r="C95" i="7"/>
  <c r="A96" i="7"/>
  <c r="B96" i="7" s="1"/>
  <c r="C96" i="7"/>
  <c r="A97" i="7"/>
  <c r="B97" i="7"/>
  <c r="D97" i="7" s="1"/>
  <c r="C97" i="7"/>
  <c r="A98" i="7"/>
  <c r="B98" i="7" s="1"/>
  <c r="D98" i="7" s="1"/>
  <c r="C98" i="7"/>
  <c r="A99" i="7"/>
  <c r="B99" i="7" s="1"/>
  <c r="D99" i="7" s="1"/>
  <c r="C99" i="7"/>
  <c r="A100" i="7"/>
  <c r="B100" i="7" s="1"/>
  <c r="C100" i="7"/>
  <c r="A101" i="7"/>
  <c r="B101" i="7" s="1"/>
  <c r="D101" i="7" s="1"/>
  <c r="C101" i="7"/>
  <c r="A102" i="7"/>
  <c r="B102" i="7" s="1"/>
  <c r="C102" i="7"/>
  <c r="A103" i="7"/>
  <c r="B103" i="7" s="1"/>
  <c r="C103" i="7"/>
  <c r="A104" i="7"/>
  <c r="B104" i="7" s="1"/>
  <c r="C104" i="7"/>
  <c r="A105" i="7"/>
  <c r="B105" i="7" s="1"/>
  <c r="C105" i="7"/>
  <c r="A106" i="7"/>
  <c r="B106" i="7" s="1"/>
  <c r="C106" i="7"/>
  <c r="A107" i="7"/>
  <c r="B107" i="7" s="1"/>
  <c r="C107" i="7"/>
  <c r="A108" i="7"/>
  <c r="B108" i="7" s="1"/>
  <c r="C108" i="7"/>
  <c r="A109" i="7"/>
  <c r="B109" i="7"/>
  <c r="D109" i="7" s="1"/>
  <c r="C109" i="7"/>
  <c r="A110" i="7"/>
  <c r="B110" i="7" s="1"/>
  <c r="C110" i="7"/>
  <c r="A111" i="7"/>
  <c r="B111" i="7" s="1"/>
  <c r="C111" i="7"/>
  <c r="A112" i="7"/>
  <c r="B112" i="7" s="1"/>
  <c r="D112" i="7" s="1"/>
  <c r="C112" i="7"/>
  <c r="A113" i="7"/>
  <c r="B113" i="7" s="1"/>
  <c r="D113" i="7" s="1"/>
  <c r="C113" i="7"/>
  <c r="A114" i="7"/>
  <c r="B114" i="7" s="1"/>
  <c r="D114" i="7" s="1"/>
  <c r="C114" i="7"/>
  <c r="A115" i="7"/>
  <c r="B115" i="7" s="1"/>
  <c r="D115" i="7" s="1"/>
  <c r="C115" i="7"/>
  <c r="A116" i="7"/>
  <c r="B116" i="7" s="1"/>
  <c r="C116" i="7"/>
  <c r="A117" i="7"/>
  <c r="B117" i="7" s="1"/>
  <c r="C117" i="7"/>
  <c r="A118" i="7"/>
  <c r="B118" i="7" s="1"/>
  <c r="C118" i="7"/>
  <c r="A119" i="7"/>
  <c r="B119" i="7"/>
  <c r="C119" i="7"/>
  <c r="A120" i="7"/>
  <c r="B120" i="7" s="1"/>
  <c r="C120" i="7"/>
  <c r="A121" i="7"/>
  <c r="B121" i="7" s="1"/>
  <c r="D121" i="7" s="1"/>
  <c r="C121" i="7"/>
  <c r="A122" i="7"/>
  <c r="B122" i="7" s="1"/>
  <c r="C122" i="7"/>
  <c r="A123" i="7"/>
  <c r="B123" i="7" s="1"/>
  <c r="D123" i="7" s="1"/>
  <c r="C123" i="7"/>
  <c r="A124" i="7"/>
  <c r="B124" i="7" s="1"/>
  <c r="D124" i="7" s="1"/>
  <c r="C124" i="7"/>
  <c r="A125" i="7"/>
  <c r="B125" i="7" s="1"/>
  <c r="D125" i="7" s="1"/>
  <c r="C125" i="7"/>
  <c r="A126" i="7"/>
  <c r="B126" i="7" s="1"/>
  <c r="C126" i="7"/>
  <c r="A127" i="7"/>
  <c r="B127" i="7" s="1"/>
  <c r="C127" i="7"/>
  <c r="A128" i="7"/>
  <c r="B128" i="7" s="1"/>
  <c r="C128" i="7"/>
  <c r="A129" i="7"/>
  <c r="B129" i="7" s="1"/>
  <c r="C129" i="7"/>
  <c r="A130" i="7"/>
  <c r="B130" i="7" s="1"/>
  <c r="C130" i="7"/>
  <c r="A131" i="7"/>
  <c r="B131" i="7" s="1"/>
  <c r="C131" i="7"/>
  <c r="A132" i="7"/>
  <c r="B132" i="7" s="1"/>
  <c r="C132" i="7"/>
  <c r="A133" i="7"/>
  <c r="B133" i="7" s="1"/>
  <c r="C133" i="7"/>
  <c r="A134" i="7"/>
  <c r="B134" i="7" s="1"/>
  <c r="C134" i="7"/>
  <c r="A135" i="7"/>
  <c r="B135" i="7" s="1"/>
  <c r="C135" i="7"/>
  <c r="A136" i="7"/>
  <c r="B136" i="7" s="1"/>
  <c r="C136" i="7"/>
  <c r="A137" i="7"/>
  <c r="B137" i="7"/>
  <c r="C137" i="7"/>
  <c r="A138" i="7"/>
  <c r="B138" i="7" s="1"/>
  <c r="D138" i="7" s="1"/>
  <c r="C138" i="7"/>
  <c r="A139" i="7"/>
  <c r="B139" i="7" s="1"/>
  <c r="D139" i="7" s="1"/>
  <c r="C139" i="7"/>
  <c r="A140" i="7"/>
  <c r="B140" i="7" s="1"/>
  <c r="C140" i="7"/>
  <c r="A141" i="7"/>
  <c r="B141" i="7" s="1"/>
  <c r="D141" i="7" s="1"/>
  <c r="C141" i="7"/>
  <c r="A142" i="7"/>
  <c r="B142" i="7" s="1"/>
  <c r="D142" i="7" s="1"/>
  <c r="C142" i="7"/>
  <c r="A143" i="7"/>
  <c r="B143" i="7" s="1"/>
  <c r="D143" i="7" s="1"/>
  <c r="C143" i="7"/>
  <c r="A144" i="7"/>
  <c r="B144" i="7" s="1"/>
  <c r="C144" i="7"/>
  <c r="A145" i="7"/>
  <c r="B145" i="7" s="1"/>
  <c r="D145" i="7" s="1"/>
  <c r="C145" i="7"/>
  <c r="A146" i="7"/>
  <c r="B146" i="7" s="1"/>
  <c r="C146" i="7"/>
  <c r="A147" i="7"/>
  <c r="B147" i="7" s="1"/>
  <c r="D147" i="7" s="1"/>
  <c r="C147" i="7"/>
  <c r="A148" i="7"/>
  <c r="B148" i="7" s="1"/>
  <c r="D148" i="7" s="1"/>
  <c r="C148" i="7"/>
  <c r="A149" i="7"/>
  <c r="B149" i="7" s="1"/>
  <c r="C149" i="7"/>
  <c r="A150" i="7"/>
  <c r="B150" i="7" s="1"/>
  <c r="D150" i="7" s="1"/>
  <c r="C150" i="7"/>
  <c r="A151" i="7"/>
  <c r="B151" i="7" s="1"/>
  <c r="C151" i="7"/>
  <c r="A152" i="7"/>
  <c r="B152" i="7" s="1"/>
  <c r="D152" i="7" s="1"/>
  <c r="C152" i="7"/>
  <c r="A153" i="7"/>
  <c r="B153" i="7" s="1"/>
  <c r="D153" i="7" s="1"/>
  <c r="C153" i="7"/>
  <c r="A154" i="7"/>
  <c r="B154" i="7" s="1"/>
  <c r="D154" i="7" s="1"/>
  <c r="C154" i="7"/>
  <c r="A155" i="7"/>
  <c r="B155" i="7" s="1"/>
  <c r="C155" i="7"/>
  <c r="A156" i="7"/>
  <c r="B156" i="7" s="1"/>
  <c r="D156" i="7" s="1"/>
  <c r="C156" i="7"/>
  <c r="A157" i="7"/>
  <c r="B157" i="7" s="1"/>
  <c r="D157" i="7" s="1"/>
  <c r="C157" i="7"/>
  <c r="A158" i="7"/>
  <c r="B158" i="7" s="1"/>
  <c r="D158" i="7" s="1"/>
  <c r="C158" i="7"/>
  <c r="A159" i="7"/>
  <c r="B159" i="7" s="1"/>
  <c r="C159" i="7"/>
  <c r="A160" i="7"/>
  <c r="B160" i="7" s="1"/>
  <c r="D160" i="7" s="1"/>
  <c r="C160" i="7"/>
  <c r="A161" i="7"/>
  <c r="B161" i="7" s="1"/>
  <c r="D161" i="7" s="1"/>
  <c r="C161" i="7"/>
  <c r="A162" i="7"/>
  <c r="B162" i="7" s="1"/>
  <c r="D162" i="7" s="1"/>
  <c r="C162" i="7"/>
  <c r="A163" i="7"/>
  <c r="B163" i="7" s="1"/>
  <c r="D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B170" i="7" s="1"/>
  <c r="C170" i="7"/>
  <c r="A171" i="7"/>
  <c r="B171" i="7" s="1"/>
  <c r="C171" i="7"/>
  <c r="A172" i="7"/>
  <c r="B172" i="7" s="1"/>
  <c r="C172" i="7"/>
  <c r="A173" i="7"/>
  <c r="B173" i="7" s="1"/>
  <c r="C173" i="7"/>
  <c r="A174" i="7"/>
  <c r="B174" i="7" s="1"/>
  <c r="C174" i="7"/>
  <c r="A175" i="7"/>
  <c r="B175" i="7" s="1"/>
  <c r="C175" i="7"/>
  <c r="A176" i="7"/>
  <c r="B176" i="7" s="1"/>
  <c r="C176" i="7"/>
  <c r="A177" i="7"/>
  <c r="B177" i="7" s="1"/>
  <c r="C177" i="7"/>
  <c r="A178" i="7"/>
  <c r="B178" i="7" s="1"/>
  <c r="C178" i="7"/>
  <c r="A179" i="7"/>
  <c r="B179" i="7" s="1"/>
  <c r="C179" i="7"/>
  <c r="A180" i="7"/>
  <c r="B180" i="7" s="1"/>
  <c r="C180" i="7"/>
  <c r="A181" i="7"/>
  <c r="B181" i="7" s="1"/>
  <c r="C181" i="7"/>
  <c r="A182" i="7"/>
  <c r="C182" i="7"/>
  <c r="A183" i="7"/>
  <c r="B183" i="7" s="1"/>
  <c r="C183" i="7"/>
  <c r="A184" i="7"/>
  <c r="B184" i="7" s="1"/>
  <c r="C184" i="7"/>
  <c r="A185" i="7"/>
  <c r="B185" i="7" s="1"/>
  <c r="C185" i="7"/>
  <c r="A186" i="7"/>
  <c r="B186" i="7" s="1"/>
  <c r="C186" i="7"/>
  <c r="A187" i="7"/>
  <c r="B187" i="7" s="1"/>
  <c r="C187" i="7"/>
  <c r="A188" i="7"/>
  <c r="B188" i="7" s="1"/>
  <c r="C188" i="7"/>
  <c r="A189" i="7"/>
  <c r="B189" i="7" s="1"/>
  <c r="C189" i="7"/>
  <c r="A190" i="7"/>
  <c r="B190" i="7" s="1"/>
  <c r="C190" i="7"/>
  <c r="A191" i="7"/>
  <c r="B191" i="7" s="1"/>
  <c r="C191" i="7"/>
  <c r="A192" i="7"/>
  <c r="B192" i="7" s="1"/>
  <c r="C192" i="7"/>
  <c r="A193" i="7"/>
  <c r="B193" i="7" s="1"/>
  <c r="C193" i="7"/>
  <c r="A194" i="7"/>
  <c r="B194" i="7" s="1"/>
  <c r="C194" i="7"/>
  <c r="A195" i="7"/>
  <c r="B195" i="7" s="1"/>
  <c r="C195" i="7"/>
  <c r="A196" i="7"/>
  <c r="B196" i="7" s="1"/>
  <c r="C196" i="7"/>
  <c r="A197" i="7"/>
  <c r="B197" i="7" s="1"/>
  <c r="C197" i="7"/>
  <c r="A198" i="7"/>
  <c r="B198" i="7" s="1"/>
  <c r="C198" i="7"/>
  <c r="A199" i="7"/>
  <c r="B199" i="7" s="1"/>
  <c r="C199" i="7"/>
  <c r="A200" i="7"/>
  <c r="B200" i="7" s="1"/>
  <c r="C200" i="7"/>
  <c r="A201" i="7"/>
  <c r="B201" i="7" s="1"/>
  <c r="C201" i="7"/>
  <c r="A202" i="7"/>
  <c r="B202" i="7" s="1"/>
  <c r="C202" i="7"/>
  <c r="A203" i="7"/>
  <c r="B203" i="7" s="1"/>
  <c r="C203" i="7"/>
  <c r="A204" i="7"/>
  <c r="B204" i="7" s="1"/>
  <c r="C204" i="7"/>
  <c r="A205" i="7"/>
  <c r="B205" i="7" s="1"/>
  <c r="C205" i="7"/>
  <c r="A206" i="7"/>
  <c r="B206" i="7" s="1"/>
  <c r="C206" i="7"/>
  <c r="A207" i="7"/>
  <c r="B207" i="7" s="1"/>
  <c r="C207" i="7"/>
  <c r="A208" i="7"/>
  <c r="B208" i="7" s="1"/>
  <c r="C208" i="7"/>
  <c r="A209" i="7"/>
  <c r="B209" i="7" s="1"/>
  <c r="C209" i="7"/>
  <c r="A210" i="7"/>
  <c r="B210" i="7" s="1"/>
  <c r="C210" i="7"/>
  <c r="A211" i="7"/>
  <c r="B211" i="7" s="1"/>
  <c r="C211" i="7"/>
  <c r="A212" i="7"/>
  <c r="B212" i="7" s="1"/>
  <c r="C212" i="7"/>
  <c r="A213" i="7"/>
  <c r="B213" i="7" s="1"/>
  <c r="C213" i="7"/>
  <c r="A214" i="7"/>
  <c r="B214" i="7" s="1"/>
  <c r="C214" i="7"/>
  <c r="A215" i="7"/>
  <c r="B215" i="7" s="1"/>
  <c r="C215" i="7"/>
  <c r="A216" i="7"/>
  <c r="B216" i="7" s="1"/>
  <c r="C216" i="7"/>
  <c r="A217" i="7"/>
  <c r="B217" i="7" s="1"/>
  <c r="C217" i="7"/>
  <c r="A218" i="7"/>
  <c r="B218" i="7" s="1"/>
  <c r="C218" i="7"/>
  <c r="A219" i="7"/>
  <c r="B219" i="7"/>
  <c r="D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A224" i="7"/>
  <c r="B224" i="7" s="1"/>
  <c r="C224" i="7"/>
  <c r="A225" i="7"/>
  <c r="B225" i="7" s="1"/>
  <c r="C225" i="7"/>
  <c r="A226" i="7"/>
  <c r="B226" i="7" s="1"/>
  <c r="C226" i="7"/>
  <c r="A227" i="7"/>
  <c r="B227" i="7" s="1"/>
  <c r="C227" i="7"/>
  <c r="A228" i="7"/>
  <c r="B228" i="7" s="1"/>
  <c r="C228" i="7"/>
  <c r="D228" i="7" s="1"/>
  <c r="A229" i="7"/>
  <c r="B229" i="7"/>
  <c r="D229" i="7" s="1"/>
  <c r="C229" i="7"/>
  <c r="A230" i="7"/>
  <c r="B230" i="7" s="1"/>
  <c r="C230" i="7"/>
  <c r="A231" i="7"/>
  <c r="B231" i="7" s="1"/>
  <c r="C231" i="7"/>
  <c r="A232" i="7"/>
  <c r="B232" i="7" s="1"/>
  <c r="C232" i="7"/>
  <c r="A233" i="7"/>
  <c r="B233" i="7" s="1"/>
  <c r="D233" i="7" s="1"/>
  <c r="C233" i="7"/>
  <c r="A234" i="7"/>
  <c r="B234" i="7" s="1"/>
  <c r="C234" i="7"/>
  <c r="A235" i="7"/>
  <c r="B235" i="7" s="1"/>
  <c r="D235" i="7" s="1"/>
  <c r="C235" i="7"/>
  <c r="A236" i="7"/>
  <c r="B236" i="7" s="1"/>
  <c r="C236" i="7"/>
  <c r="A237" i="7"/>
  <c r="B237" i="7" s="1"/>
  <c r="C237" i="7"/>
  <c r="A238" i="7"/>
  <c r="B238" i="7" s="1"/>
  <c r="C238" i="7"/>
  <c r="A239" i="7"/>
  <c r="B239" i="7" s="1"/>
  <c r="C239" i="7"/>
  <c r="A240" i="7"/>
  <c r="B240" i="7" s="1"/>
  <c r="C240" i="7"/>
  <c r="A241" i="7"/>
  <c r="B241" i="7" s="1"/>
  <c r="C241" i="7"/>
  <c r="A242" i="7"/>
  <c r="B242" i="7" s="1"/>
  <c r="C242" i="7"/>
  <c r="A243" i="7"/>
  <c r="B243" i="7" s="1"/>
  <c r="C243" i="7"/>
  <c r="A244" i="7"/>
  <c r="B244" i="7" s="1"/>
  <c r="C244" i="7"/>
  <c r="A245" i="7"/>
  <c r="B245" i="7"/>
  <c r="D245" i="7" s="1"/>
  <c r="C245" i="7"/>
  <c r="A246" i="7"/>
  <c r="B246" i="7" s="1"/>
  <c r="C246" i="7"/>
  <c r="A247" i="7"/>
  <c r="B247" i="7" s="1"/>
  <c r="D247" i="7" s="1"/>
  <c r="C247" i="7"/>
  <c r="A248" i="7"/>
  <c r="B248" i="7" s="1"/>
  <c r="C248" i="7"/>
  <c r="A249" i="7"/>
  <c r="B249" i="7" s="1"/>
  <c r="D249" i="7" s="1"/>
  <c r="C249" i="7"/>
  <c r="A250" i="7"/>
  <c r="B250" i="7" s="1"/>
  <c r="C250" i="7"/>
  <c r="A251" i="7"/>
  <c r="B251" i="7" s="1"/>
  <c r="D251" i="7" s="1"/>
  <c r="C251" i="7"/>
  <c r="A252" i="7"/>
  <c r="B252" i="7" s="1"/>
  <c r="D252" i="7" s="1"/>
  <c r="C252" i="7"/>
  <c r="A253" i="7"/>
  <c r="B253" i="7" s="1"/>
  <c r="D253" i="7" s="1"/>
  <c r="C253" i="7"/>
  <c r="A254" i="7"/>
  <c r="B254" i="7" s="1"/>
  <c r="C254" i="7"/>
  <c r="A255" i="7"/>
  <c r="B255" i="7" s="1"/>
  <c r="C255" i="7"/>
  <c r="A256" i="7"/>
  <c r="B256" i="7" s="1"/>
  <c r="C256" i="7"/>
  <c r="A257" i="7"/>
  <c r="B257" i="7" s="1"/>
  <c r="D257" i="7" s="1"/>
  <c r="C257" i="7"/>
  <c r="A258" i="7"/>
  <c r="B258" i="7" s="1"/>
  <c r="C258" i="7"/>
  <c r="A259" i="7"/>
  <c r="B259" i="7" s="1"/>
  <c r="C259" i="7"/>
  <c r="A260" i="7"/>
  <c r="B260" i="7" s="1"/>
  <c r="C260" i="7"/>
  <c r="A261" i="7"/>
  <c r="B261" i="7" s="1"/>
  <c r="C261" i="7"/>
  <c r="A262" i="7"/>
  <c r="B262" i="7" s="1"/>
  <c r="C262" i="7"/>
  <c r="A263" i="7"/>
  <c r="B263" i="7" s="1"/>
  <c r="C263" i="7"/>
  <c r="A264" i="7"/>
  <c r="B264" i="7" s="1"/>
  <c r="C264" i="7"/>
  <c r="A265" i="7"/>
  <c r="B265" i="7"/>
  <c r="C265" i="7"/>
  <c r="A266" i="7"/>
  <c r="B266" i="7" s="1"/>
  <c r="C266" i="7"/>
  <c r="A267" i="7"/>
  <c r="B267" i="7" s="1"/>
  <c r="D267" i="7" s="1"/>
  <c r="C267" i="7"/>
  <c r="A268" i="7"/>
  <c r="B268" i="7" s="1"/>
  <c r="C268" i="7"/>
  <c r="A269" i="7"/>
  <c r="B269" i="7" s="1"/>
  <c r="C269" i="7"/>
  <c r="A270" i="7"/>
  <c r="B270" i="7" s="1"/>
  <c r="C270" i="7"/>
  <c r="A271" i="7"/>
  <c r="B271" i="7" s="1"/>
  <c r="C271" i="7"/>
  <c r="A272" i="7"/>
  <c r="B272" i="7" s="1"/>
  <c r="C272" i="7"/>
  <c r="A273" i="7"/>
  <c r="B273" i="7"/>
  <c r="D273" i="7" s="1"/>
  <c r="C273" i="7"/>
  <c r="A274" i="7"/>
  <c r="B274" i="7" s="1"/>
  <c r="C274" i="7"/>
  <c r="A275" i="7"/>
  <c r="B275" i="7" s="1"/>
  <c r="C275" i="7"/>
  <c r="A276" i="7"/>
  <c r="B276" i="7" s="1"/>
  <c r="C276" i="7"/>
  <c r="A277" i="7"/>
  <c r="B277" i="7"/>
  <c r="D277" i="7" s="1"/>
  <c r="C277" i="7"/>
  <c r="A278" i="7"/>
  <c r="B278" i="7" s="1"/>
  <c r="C278" i="7"/>
  <c r="A279" i="7"/>
  <c r="B279" i="7" s="1"/>
  <c r="D279" i="7" s="1"/>
  <c r="C279" i="7"/>
  <c r="A280" i="7"/>
  <c r="B280" i="7" s="1"/>
  <c r="C280" i="7"/>
  <c r="A281" i="7"/>
  <c r="B281" i="7" s="1"/>
  <c r="D281" i="7" s="1"/>
  <c r="C281" i="7"/>
  <c r="A282" i="7"/>
  <c r="B282" i="7" s="1"/>
  <c r="C282" i="7"/>
  <c r="A283" i="7"/>
  <c r="B283" i="7" s="1"/>
  <c r="D283" i="7" s="1"/>
  <c r="C283" i="7"/>
  <c r="A284" i="7"/>
  <c r="B284" i="7" s="1"/>
  <c r="C284" i="7"/>
  <c r="A285" i="7"/>
  <c r="B285" i="7"/>
  <c r="C285" i="7"/>
  <c r="A286" i="7"/>
  <c r="B286" i="7" s="1"/>
  <c r="C286" i="7"/>
  <c r="A287" i="7"/>
  <c r="B287" i="7" s="1"/>
  <c r="D287" i="7" s="1"/>
  <c r="C287" i="7"/>
  <c r="A288" i="7"/>
  <c r="B288" i="7" s="1"/>
  <c r="C288" i="7"/>
  <c r="A289" i="7"/>
  <c r="B289" i="7"/>
  <c r="D289" i="7" s="1"/>
  <c r="C289" i="7"/>
  <c r="A290" i="7"/>
  <c r="B290" i="7" s="1"/>
  <c r="C290" i="7"/>
  <c r="A291" i="7"/>
  <c r="B291" i="7"/>
  <c r="D291" i="7" s="1"/>
  <c r="C291" i="7"/>
  <c r="A292" i="7"/>
  <c r="B292" i="7" s="1"/>
  <c r="D292" i="7" s="1"/>
  <c r="C292" i="7"/>
  <c r="A293" i="7"/>
  <c r="B293" i="7"/>
  <c r="D293" i="7" s="1"/>
  <c r="C293" i="7"/>
  <c r="A294" i="7"/>
  <c r="B294" i="7" s="1"/>
  <c r="C294" i="7"/>
  <c r="A295" i="7"/>
  <c r="B295" i="7" s="1"/>
  <c r="D295" i="7" s="1"/>
  <c r="C295" i="7"/>
  <c r="A296" i="7"/>
  <c r="B296" i="7" s="1"/>
  <c r="C296" i="7"/>
  <c r="A297" i="7"/>
  <c r="B297" i="7"/>
  <c r="D297" i="7" s="1"/>
  <c r="C297" i="7"/>
  <c r="A298" i="7"/>
  <c r="B298" i="7" s="1"/>
  <c r="C298" i="7"/>
  <c r="A299" i="7"/>
  <c r="B299" i="7"/>
  <c r="D299" i="7" s="1"/>
  <c r="C299" i="7"/>
  <c r="A300" i="7"/>
  <c r="B300" i="7" s="1"/>
  <c r="D300" i="7" s="1"/>
  <c r="C300" i="7"/>
  <c r="A301" i="7"/>
  <c r="B301" i="7"/>
  <c r="D301" i="7" s="1"/>
  <c r="C301" i="7"/>
  <c r="A302" i="7"/>
  <c r="B302" i="7" s="1"/>
  <c r="C302" i="7"/>
  <c r="A303" i="7"/>
  <c r="B303" i="7" s="1"/>
  <c r="D303" i="7" s="1"/>
  <c r="C303" i="7"/>
  <c r="A304" i="7"/>
  <c r="B304" i="7" s="1"/>
  <c r="C304" i="7"/>
  <c r="A305" i="7"/>
  <c r="B305" i="7"/>
  <c r="D305" i="7" s="1"/>
  <c r="C305" i="7"/>
  <c r="A306" i="7"/>
  <c r="B306" i="7" s="1"/>
  <c r="C306" i="7"/>
  <c r="A307" i="7"/>
  <c r="B307" i="7"/>
  <c r="D307" i="7" s="1"/>
  <c r="C307" i="7"/>
  <c r="A308" i="7"/>
  <c r="B308" i="7" s="1"/>
  <c r="D308" i="7" s="1"/>
  <c r="C308" i="7"/>
  <c r="A309" i="7"/>
  <c r="B309" i="7"/>
  <c r="D309" i="7" s="1"/>
  <c r="C309" i="7"/>
  <c r="A310" i="7"/>
  <c r="B310" i="7" s="1"/>
  <c r="C310" i="7"/>
  <c r="A311" i="7"/>
  <c r="B311" i="7" s="1"/>
  <c r="D311" i="7" s="1"/>
  <c r="C311" i="7"/>
  <c r="A312" i="7"/>
  <c r="B312" i="7" s="1"/>
  <c r="C312" i="7"/>
  <c r="A313" i="7"/>
  <c r="B313" i="7"/>
  <c r="D313" i="7" s="1"/>
  <c r="C313" i="7"/>
  <c r="A314" i="7"/>
  <c r="B314" i="7" s="1"/>
  <c r="C314" i="7"/>
  <c r="A315" i="7"/>
  <c r="B315" i="7"/>
  <c r="D315" i="7" s="1"/>
  <c r="C315" i="7"/>
  <c r="A316" i="7"/>
  <c r="B316" i="7" s="1"/>
  <c r="D316" i="7" s="1"/>
  <c r="C316" i="7"/>
  <c r="A317" i="7"/>
  <c r="B317" i="7"/>
  <c r="D317" i="7" s="1"/>
  <c r="C317" i="7"/>
  <c r="A318" i="7"/>
  <c r="B318" i="7" s="1"/>
  <c r="C318" i="7"/>
  <c r="A319" i="7"/>
  <c r="B319" i="7" s="1"/>
  <c r="D319" i="7" s="1"/>
  <c r="C319" i="7"/>
  <c r="A320" i="7"/>
  <c r="B320" i="7" s="1"/>
  <c r="C320" i="7"/>
  <c r="A321" i="7"/>
  <c r="B321" i="7"/>
  <c r="D321" i="7" s="1"/>
  <c r="C321" i="7"/>
  <c r="A322" i="7"/>
  <c r="B322" i="7" s="1"/>
  <c r="C322" i="7"/>
  <c r="A323" i="7"/>
  <c r="B323" i="7"/>
  <c r="D323" i="7" s="1"/>
  <c r="C323" i="7"/>
  <c r="A324" i="7"/>
  <c r="B324" i="7" s="1"/>
  <c r="D324" i="7" s="1"/>
  <c r="C324" i="7"/>
  <c r="A325" i="7"/>
  <c r="B325" i="7"/>
  <c r="D325" i="7" s="1"/>
  <c r="C325" i="7"/>
  <c r="A326" i="7"/>
  <c r="B326" i="7" s="1"/>
  <c r="C326" i="7"/>
  <c r="A327" i="7"/>
  <c r="B327" i="7" s="1"/>
  <c r="D327" i="7" s="1"/>
  <c r="C327" i="7"/>
  <c r="A328" i="7"/>
  <c r="B328" i="7" s="1"/>
  <c r="C328" i="7"/>
  <c r="A329" i="7"/>
  <c r="B329" i="7"/>
  <c r="D329" i="7" s="1"/>
  <c r="C329" i="7"/>
  <c r="A330" i="7"/>
  <c r="B330" i="7" s="1"/>
  <c r="C330" i="7"/>
  <c r="A331" i="7"/>
  <c r="B331" i="7"/>
  <c r="D331" i="7" s="1"/>
  <c r="C331" i="7"/>
  <c r="A332" i="7"/>
  <c r="B332" i="7" s="1"/>
  <c r="D332" i="7" s="1"/>
  <c r="C332" i="7"/>
  <c r="A333" i="7"/>
  <c r="B333" i="7"/>
  <c r="D333" i="7" s="1"/>
  <c r="C333" i="7"/>
  <c r="A334" i="7"/>
  <c r="B334" i="7" s="1"/>
  <c r="C334" i="7"/>
  <c r="A335" i="7"/>
  <c r="B335" i="7" s="1"/>
  <c r="D335" i="7" s="1"/>
  <c r="C335" i="7"/>
  <c r="A336" i="7"/>
  <c r="B336" i="7" s="1"/>
  <c r="C336" i="7"/>
  <c r="A337" i="7"/>
  <c r="B337" i="7"/>
  <c r="D337" i="7" s="1"/>
  <c r="C337" i="7"/>
  <c r="A338" i="7"/>
  <c r="B338" i="7" s="1"/>
  <c r="C338" i="7"/>
  <c r="A339" i="7"/>
  <c r="B339" i="7"/>
  <c r="D339" i="7" s="1"/>
  <c r="C339" i="7"/>
  <c r="A340" i="7"/>
  <c r="B340" i="7" s="1"/>
  <c r="D340" i="7" s="1"/>
  <c r="C340" i="7"/>
  <c r="A341" i="7"/>
  <c r="B341" i="7"/>
  <c r="D341" i="7" s="1"/>
  <c r="C341" i="7"/>
  <c r="A342" i="7"/>
  <c r="B342" i="7" s="1"/>
  <c r="C342" i="7"/>
  <c r="D342" i="7"/>
  <c r="A343" i="7"/>
  <c r="B343" i="7"/>
  <c r="D343" i="7" s="1"/>
  <c r="C343" i="7"/>
  <c r="A344" i="7"/>
  <c r="B344" i="7" s="1"/>
  <c r="D344" i="7" s="1"/>
  <c r="C344" i="7"/>
  <c r="A345" i="7"/>
  <c r="B345" i="7" s="1"/>
  <c r="D345" i="7" s="1"/>
  <c r="C345" i="7"/>
  <c r="A346" i="7"/>
  <c r="B346" i="7" s="1"/>
  <c r="C346" i="7"/>
  <c r="D346" i="7" s="1"/>
  <c r="A347" i="7"/>
  <c r="B347" i="7"/>
  <c r="D347" i="7" s="1"/>
  <c r="C347" i="7"/>
  <c r="A348" i="7"/>
  <c r="B348" i="7" s="1"/>
  <c r="D348" i="7" s="1"/>
  <c r="C348" i="7"/>
  <c r="A349" i="7"/>
  <c r="B349" i="7"/>
  <c r="D349" i="7" s="1"/>
  <c r="C349" i="7"/>
  <c r="A350" i="7"/>
  <c r="B350" i="7" s="1"/>
  <c r="D350" i="7" s="1"/>
  <c r="C350" i="7"/>
  <c r="A351" i="7"/>
  <c r="B351" i="7" s="1"/>
  <c r="D351" i="7" s="1"/>
  <c r="C351" i="7"/>
  <c r="A352" i="7"/>
  <c r="B352" i="7" s="1"/>
  <c r="C352" i="7"/>
  <c r="D352" i="7"/>
  <c r="A353" i="7"/>
  <c r="B353" i="7"/>
  <c r="D353" i="7" s="1"/>
  <c r="C353" i="7"/>
  <c r="A354" i="7"/>
  <c r="B354" i="7" s="1"/>
  <c r="D354" i="7" s="1"/>
  <c r="C354" i="7"/>
  <c r="A355" i="7"/>
  <c r="B355" i="7" s="1"/>
  <c r="D355" i="7" s="1"/>
  <c r="C355" i="7"/>
  <c r="V3" i="1"/>
  <c r="W3" i="1"/>
  <c r="X3" i="1" s="1"/>
  <c r="Y3" i="1" s="1"/>
  <c r="V4" i="1"/>
  <c r="W4" i="1"/>
  <c r="X4" i="1" s="1"/>
  <c r="Y4" i="1" s="1"/>
  <c r="V5" i="1"/>
  <c r="W5" i="1"/>
  <c r="X5" i="1" s="1"/>
  <c r="Y5" i="1" s="1"/>
  <c r="V6" i="1"/>
  <c r="W6" i="1"/>
  <c r="X6" i="1" s="1"/>
  <c r="Y6" i="1" s="1"/>
  <c r="V7" i="1"/>
  <c r="W7" i="1"/>
  <c r="X7" i="1" s="1"/>
  <c r="Y7" i="1" s="1"/>
  <c r="V8" i="1"/>
  <c r="W8" i="1"/>
  <c r="X8" i="1" s="1"/>
  <c r="Y8" i="1" s="1"/>
  <c r="V9" i="1"/>
  <c r="W9" i="1"/>
  <c r="X9" i="1" s="1"/>
  <c r="Y9" i="1" s="1"/>
  <c r="V10" i="1"/>
  <c r="W10" i="1"/>
  <c r="X10" i="1" s="1"/>
  <c r="Y10" i="1" s="1"/>
  <c r="V11" i="1"/>
  <c r="W11" i="1"/>
  <c r="X11" i="1" s="1"/>
  <c r="Y11" i="1" s="1"/>
  <c r="V12" i="1"/>
  <c r="W12" i="1"/>
  <c r="X12" i="1" s="1"/>
  <c r="Y12" i="1" s="1"/>
  <c r="V13" i="1"/>
  <c r="W13" i="1"/>
  <c r="X13" i="1" s="1"/>
  <c r="Y13" i="1" s="1"/>
  <c r="V14" i="1"/>
  <c r="W14" i="1"/>
  <c r="X14" i="1" s="1"/>
  <c r="Y14" i="1" s="1"/>
  <c r="V15" i="1"/>
  <c r="W15" i="1"/>
  <c r="X15" i="1" s="1"/>
  <c r="Y15" i="1" s="1"/>
  <c r="V16" i="1"/>
  <c r="W16" i="1"/>
  <c r="X16" i="1" s="1"/>
  <c r="Y16" i="1" s="1"/>
  <c r="V17" i="1"/>
  <c r="W17" i="1"/>
  <c r="X17" i="1" s="1"/>
  <c r="Y17" i="1" s="1"/>
  <c r="V18" i="1"/>
  <c r="W18" i="1"/>
  <c r="X18" i="1" s="1"/>
  <c r="Y18" i="1" s="1"/>
  <c r="V19" i="1"/>
  <c r="W19" i="1"/>
  <c r="X19" i="1" s="1"/>
  <c r="Y19" i="1" s="1"/>
  <c r="V20" i="1"/>
  <c r="W20" i="1"/>
  <c r="X20" i="1" s="1"/>
  <c r="Y20" i="1" s="1"/>
  <c r="V21" i="1"/>
  <c r="W21" i="1"/>
  <c r="X21" i="1" s="1"/>
  <c r="Y21" i="1" s="1"/>
  <c r="V22" i="1"/>
  <c r="W22" i="1"/>
  <c r="X22" i="1" s="1"/>
  <c r="Y22" i="1" s="1"/>
  <c r="V23" i="1"/>
  <c r="W23" i="1"/>
  <c r="X23" i="1" s="1"/>
  <c r="Y23" i="1" s="1"/>
  <c r="V24" i="1"/>
  <c r="W24" i="1"/>
  <c r="X24" i="1" s="1"/>
  <c r="Y24" i="1" s="1"/>
  <c r="V25" i="1"/>
  <c r="W25" i="1"/>
  <c r="X25" i="1" s="1"/>
  <c r="Y25" i="1" s="1"/>
  <c r="V26" i="1"/>
  <c r="W26" i="1"/>
  <c r="X26" i="1" s="1"/>
  <c r="Y26" i="1" s="1"/>
  <c r="V27" i="1"/>
  <c r="W27" i="1"/>
  <c r="X27" i="1" s="1"/>
  <c r="Y27" i="1" s="1"/>
  <c r="V28" i="1"/>
  <c r="W28" i="1"/>
  <c r="X28" i="1" s="1"/>
  <c r="Y28" i="1" s="1"/>
  <c r="V29" i="1"/>
  <c r="W29" i="1"/>
  <c r="X29" i="1" s="1"/>
  <c r="Y29" i="1" s="1"/>
  <c r="V30" i="1"/>
  <c r="W30" i="1"/>
  <c r="X30" i="1" s="1"/>
  <c r="Y30" i="1" s="1"/>
  <c r="V31" i="1"/>
  <c r="W31" i="1"/>
  <c r="X31" i="1" s="1"/>
  <c r="Y31" i="1" s="1"/>
  <c r="V32" i="1"/>
  <c r="W32" i="1"/>
  <c r="X32" i="1" s="1"/>
  <c r="Y32" i="1" s="1"/>
  <c r="V33" i="1"/>
  <c r="W33" i="1"/>
  <c r="X33" i="1" s="1"/>
  <c r="Y33" i="1" s="1"/>
  <c r="V34" i="1"/>
  <c r="W34" i="1"/>
  <c r="X34" i="1" s="1"/>
  <c r="Y34" i="1" s="1"/>
  <c r="V35" i="1"/>
  <c r="W35" i="1"/>
  <c r="X35" i="1" s="1"/>
  <c r="Y35" i="1" s="1"/>
  <c r="V36" i="1"/>
  <c r="W36" i="1"/>
  <c r="X36" i="1" s="1"/>
  <c r="Y36" i="1" s="1"/>
  <c r="V37" i="1"/>
  <c r="W37" i="1"/>
  <c r="X37" i="1" s="1"/>
  <c r="Y37" i="1" s="1"/>
  <c r="V38" i="1"/>
  <c r="W38" i="1"/>
  <c r="X38" i="1" s="1"/>
  <c r="Y38" i="1"/>
  <c r="V39" i="1"/>
  <c r="W39" i="1"/>
  <c r="X39" i="1" s="1"/>
  <c r="Y39" i="1" s="1"/>
  <c r="V40" i="1"/>
  <c r="W40" i="1"/>
  <c r="X40" i="1" s="1"/>
  <c r="Y40" i="1" s="1"/>
  <c r="V41" i="1"/>
  <c r="W41" i="1"/>
  <c r="X41" i="1" s="1"/>
  <c r="Y41" i="1" s="1"/>
  <c r="V42" i="1"/>
  <c r="W42" i="1"/>
  <c r="X42" i="1" s="1"/>
  <c r="Y42" i="1" s="1"/>
  <c r="V43" i="1"/>
  <c r="W43" i="1"/>
  <c r="X43" i="1" s="1"/>
  <c r="Y43" i="1" s="1"/>
  <c r="V44" i="1"/>
  <c r="W44" i="1"/>
  <c r="X44" i="1" s="1"/>
  <c r="Y44" i="1" s="1"/>
  <c r="V45" i="1"/>
  <c r="W45" i="1"/>
  <c r="X45" i="1" s="1"/>
  <c r="Y45" i="1" s="1"/>
  <c r="V46" i="1"/>
  <c r="W46" i="1"/>
  <c r="X46" i="1" s="1"/>
  <c r="Y46" i="1" s="1"/>
  <c r="V47" i="1"/>
  <c r="W47" i="1"/>
  <c r="X47" i="1" s="1"/>
  <c r="Y47" i="1" s="1"/>
  <c r="V48" i="1"/>
  <c r="W48" i="1"/>
  <c r="X48" i="1" s="1"/>
  <c r="Y48" i="1" s="1"/>
  <c r="V49" i="1"/>
  <c r="W49" i="1"/>
  <c r="X49" i="1" s="1"/>
  <c r="Y49" i="1" s="1"/>
  <c r="V50" i="1"/>
  <c r="W50" i="1"/>
  <c r="X50" i="1" s="1"/>
  <c r="Y50" i="1"/>
  <c r="V51" i="1"/>
  <c r="W51" i="1"/>
  <c r="X51" i="1" s="1"/>
  <c r="Y51" i="1" s="1"/>
  <c r="V52" i="1"/>
  <c r="W52" i="1"/>
  <c r="X52" i="1" s="1"/>
  <c r="Y52" i="1" s="1"/>
  <c r="V53" i="1"/>
  <c r="W53" i="1"/>
  <c r="X53" i="1" s="1"/>
  <c r="Y53" i="1" s="1"/>
  <c r="V54" i="1"/>
  <c r="W54" i="1"/>
  <c r="X54" i="1" s="1"/>
  <c r="Y54" i="1" s="1"/>
  <c r="V55" i="1"/>
  <c r="W55" i="1"/>
  <c r="X55" i="1" s="1"/>
  <c r="Y55" i="1" s="1"/>
  <c r="V56" i="1"/>
  <c r="W56" i="1"/>
  <c r="X56" i="1" s="1"/>
  <c r="Y56" i="1" s="1"/>
  <c r="V57" i="1"/>
  <c r="W57" i="1"/>
  <c r="X57" i="1" s="1"/>
  <c r="Y57" i="1" s="1"/>
  <c r="V58" i="1"/>
  <c r="W58" i="1"/>
  <c r="X58" i="1" s="1"/>
  <c r="Y58" i="1" s="1"/>
  <c r="V59" i="1"/>
  <c r="W59" i="1"/>
  <c r="X59" i="1" s="1"/>
  <c r="Y59" i="1" s="1"/>
  <c r="V60" i="1"/>
  <c r="W60" i="1"/>
  <c r="X60" i="1" s="1"/>
  <c r="Y60" i="1" s="1"/>
  <c r="V61" i="1"/>
  <c r="W61" i="1"/>
  <c r="X61" i="1" s="1"/>
  <c r="Y61" i="1" s="1"/>
  <c r="V62" i="1"/>
  <c r="W62" i="1"/>
  <c r="X62" i="1" s="1"/>
  <c r="Y62" i="1" s="1"/>
  <c r="V63" i="1"/>
  <c r="W63" i="1"/>
  <c r="X63" i="1" s="1"/>
  <c r="Y63" i="1" s="1"/>
  <c r="V64" i="1"/>
  <c r="W64" i="1"/>
  <c r="X64" i="1" s="1"/>
  <c r="Y64" i="1" s="1"/>
  <c r="V65" i="1"/>
  <c r="W65" i="1"/>
  <c r="X65" i="1" s="1"/>
  <c r="Y65" i="1" s="1"/>
  <c r="V66" i="1"/>
  <c r="W66" i="1"/>
  <c r="X66" i="1" s="1"/>
  <c r="Y66" i="1" s="1"/>
  <c r="V67" i="1"/>
  <c r="W67" i="1"/>
  <c r="X67" i="1" s="1"/>
  <c r="Y67" i="1" s="1"/>
  <c r="V68" i="1"/>
  <c r="W68" i="1"/>
  <c r="X68" i="1" s="1"/>
  <c r="Y68" i="1" s="1"/>
  <c r="V69" i="1"/>
  <c r="W69" i="1"/>
  <c r="X69" i="1" s="1"/>
  <c r="Y69" i="1" s="1"/>
  <c r="V70" i="1"/>
  <c r="W70" i="1"/>
  <c r="X70" i="1" s="1"/>
  <c r="Y70" i="1" s="1"/>
  <c r="V71" i="1"/>
  <c r="W71" i="1"/>
  <c r="X71" i="1" s="1"/>
  <c r="Y71" i="1" s="1"/>
  <c r="V72" i="1"/>
  <c r="W72" i="1"/>
  <c r="X72" i="1" s="1"/>
  <c r="Y72" i="1" s="1"/>
  <c r="V73" i="1"/>
  <c r="W73" i="1"/>
  <c r="X73" i="1" s="1"/>
  <c r="Y73" i="1" s="1"/>
  <c r="V74" i="1"/>
  <c r="W74" i="1"/>
  <c r="X74" i="1" s="1"/>
  <c r="Y74" i="1" s="1"/>
  <c r="V75" i="1"/>
  <c r="W75" i="1"/>
  <c r="X75" i="1" s="1"/>
  <c r="Y75" i="1" s="1"/>
  <c r="V76" i="1"/>
  <c r="W76" i="1"/>
  <c r="X76" i="1" s="1"/>
  <c r="Y76" i="1" s="1"/>
  <c r="V77" i="1"/>
  <c r="W77" i="1"/>
  <c r="X77" i="1" s="1"/>
  <c r="Y77" i="1" s="1"/>
  <c r="V78" i="1"/>
  <c r="W78" i="1"/>
  <c r="X78" i="1" s="1"/>
  <c r="Y78" i="1" s="1"/>
  <c r="V79" i="1"/>
  <c r="W79" i="1"/>
  <c r="X79" i="1" s="1"/>
  <c r="Y79" i="1" s="1"/>
  <c r="V80" i="1"/>
  <c r="W80" i="1"/>
  <c r="X80" i="1" s="1"/>
  <c r="Y80" i="1" s="1"/>
  <c r="V81" i="1"/>
  <c r="W81" i="1"/>
  <c r="X81" i="1" s="1"/>
  <c r="Y81" i="1" s="1"/>
  <c r="V82" i="1"/>
  <c r="W82" i="1"/>
  <c r="X82" i="1" s="1"/>
  <c r="Y82" i="1" s="1"/>
  <c r="W83" i="1"/>
  <c r="X83" i="1" s="1"/>
  <c r="Y83" i="1" s="1"/>
  <c r="V84" i="1"/>
  <c r="W84" i="1"/>
  <c r="X84" i="1" s="1"/>
  <c r="Y84" i="1" s="1"/>
  <c r="V85" i="1"/>
  <c r="W85" i="1"/>
  <c r="X85" i="1" s="1"/>
  <c r="Y85" i="1" s="1"/>
  <c r="V86" i="1"/>
  <c r="W86" i="1"/>
  <c r="X86" i="1" s="1"/>
  <c r="Y86" i="1" s="1"/>
  <c r="V87" i="1"/>
  <c r="W87" i="1"/>
  <c r="X87" i="1" s="1"/>
  <c r="Y87" i="1" s="1"/>
  <c r="W88" i="1"/>
  <c r="X88" i="1" s="1"/>
  <c r="Y88" i="1" s="1"/>
  <c r="V89" i="1"/>
  <c r="W89" i="1"/>
  <c r="X89" i="1" s="1"/>
  <c r="Y89" i="1" s="1"/>
  <c r="V90" i="1"/>
  <c r="W90" i="1"/>
  <c r="X90" i="1" s="1"/>
  <c r="Y90" i="1" s="1"/>
  <c r="V91" i="1"/>
  <c r="W91" i="1"/>
  <c r="X91" i="1" s="1"/>
  <c r="Y91" i="1" s="1"/>
  <c r="V92" i="1"/>
  <c r="W92" i="1"/>
  <c r="X92" i="1" s="1"/>
  <c r="Y92" i="1" s="1"/>
  <c r="V93" i="1"/>
  <c r="W93" i="1"/>
  <c r="X93" i="1" s="1"/>
  <c r="Y93" i="1" s="1"/>
  <c r="V94" i="1"/>
  <c r="W94" i="1"/>
  <c r="X94" i="1" s="1"/>
  <c r="Y94" i="1" s="1"/>
  <c r="V95" i="1"/>
  <c r="W95" i="1"/>
  <c r="X95" i="1" s="1"/>
  <c r="Y95" i="1" s="1"/>
  <c r="V96" i="1"/>
  <c r="W96" i="1"/>
  <c r="X96" i="1" s="1"/>
  <c r="Y96" i="1" s="1"/>
  <c r="V97" i="1"/>
  <c r="W97" i="1"/>
  <c r="X97" i="1" s="1"/>
  <c r="Y97" i="1" s="1"/>
  <c r="V98" i="1"/>
  <c r="W98" i="1"/>
  <c r="X98" i="1" s="1"/>
  <c r="Y98" i="1" s="1"/>
  <c r="V99" i="1"/>
  <c r="W99" i="1"/>
  <c r="X99" i="1" s="1"/>
  <c r="Y99" i="1" s="1"/>
  <c r="V100" i="1"/>
  <c r="W100" i="1"/>
  <c r="X100" i="1" s="1"/>
  <c r="Y100" i="1" s="1"/>
  <c r="V101" i="1"/>
  <c r="W101" i="1"/>
  <c r="X101" i="1" s="1"/>
  <c r="Y101" i="1" s="1"/>
  <c r="V102" i="1"/>
  <c r="W102" i="1"/>
  <c r="X102" i="1" s="1"/>
  <c r="Y102" i="1" s="1"/>
  <c r="V103" i="1"/>
  <c r="W103" i="1"/>
  <c r="X103" i="1" s="1"/>
  <c r="Y103" i="1" s="1"/>
  <c r="V104" i="1"/>
  <c r="W104" i="1"/>
  <c r="X104" i="1" s="1"/>
  <c r="Y104" i="1" s="1"/>
  <c r="V105" i="1"/>
  <c r="W105" i="1"/>
  <c r="X105" i="1" s="1"/>
  <c r="Y105" i="1" s="1"/>
  <c r="V106" i="1"/>
  <c r="W106" i="1"/>
  <c r="X106" i="1" s="1"/>
  <c r="Y106" i="1" s="1"/>
  <c r="V107" i="1"/>
  <c r="W107" i="1"/>
  <c r="X107" i="1" s="1"/>
  <c r="Y107" i="1" s="1"/>
  <c r="V108" i="1"/>
  <c r="W108" i="1"/>
  <c r="X108" i="1" s="1"/>
  <c r="Y108" i="1" s="1"/>
  <c r="V109" i="1"/>
  <c r="W109" i="1"/>
  <c r="X109" i="1" s="1"/>
  <c r="Y109" i="1" s="1"/>
  <c r="V110" i="1"/>
  <c r="W110" i="1"/>
  <c r="X110" i="1" s="1"/>
  <c r="Y110" i="1" s="1"/>
  <c r="V111" i="1"/>
  <c r="W111" i="1"/>
  <c r="X111" i="1" s="1"/>
  <c r="Y111" i="1" s="1"/>
  <c r="V112" i="1"/>
  <c r="W112" i="1"/>
  <c r="X112" i="1" s="1"/>
  <c r="Y112" i="1" s="1"/>
  <c r="V113" i="1"/>
  <c r="W113" i="1"/>
  <c r="X113" i="1" s="1"/>
  <c r="Y113" i="1" s="1"/>
  <c r="V114" i="1"/>
  <c r="W114" i="1"/>
  <c r="X114" i="1" s="1"/>
  <c r="Y114" i="1" s="1"/>
  <c r="V115" i="1"/>
  <c r="W115" i="1"/>
  <c r="X115" i="1" s="1"/>
  <c r="Y115" i="1" s="1"/>
  <c r="V116" i="1"/>
  <c r="W116" i="1"/>
  <c r="X116" i="1" s="1"/>
  <c r="Y116" i="1" s="1"/>
  <c r="V117" i="1"/>
  <c r="W117" i="1"/>
  <c r="X117" i="1" s="1"/>
  <c r="Y117" i="1" s="1"/>
  <c r="V118" i="1"/>
  <c r="W118" i="1"/>
  <c r="X118" i="1" s="1"/>
  <c r="Y118" i="1" s="1"/>
  <c r="V119" i="1"/>
  <c r="W119" i="1"/>
  <c r="X119" i="1" s="1"/>
  <c r="Y119" i="1" s="1"/>
  <c r="V120" i="1"/>
  <c r="W120" i="1"/>
  <c r="X120" i="1" s="1"/>
  <c r="Y120" i="1" s="1"/>
  <c r="V121" i="1"/>
  <c r="W121" i="1"/>
  <c r="X121" i="1" s="1"/>
  <c r="Y121" i="1" s="1"/>
  <c r="V122" i="1"/>
  <c r="W122" i="1"/>
  <c r="X122" i="1" s="1"/>
  <c r="Y122" i="1" s="1"/>
  <c r="V123" i="1"/>
  <c r="W123" i="1"/>
  <c r="X123" i="1" s="1"/>
  <c r="Y123" i="1" s="1"/>
  <c r="V124" i="1"/>
  <c r="W124" i="1"/>
  <c r="X124" i="1" s="1"/>
  <c r="Y124" i="1" s="1"/>
  <c r="V125" i="1"/>
  <c r="W125" i="1"/>
  <c r="X125" i="1" s="1"/>
  <c r="Y125" i="1" s="1"/>
  <c r="V126" i="1"/>
  <c r="W126" i="1"/>
  <c r="X126" i="1" s="1"/>
  <c r="Y126" i="1" s="1"/>
  <c r="V127" i="1"/>
  <c r="W127" i="1"/>
  <c r="X127" i="1" s="1"/>
  <c r="Y127" i="1" s="1"/>
  <c r="V128" i="1"/>
  <c r="W128" i="1"/>
  <c r="X128" i="1" s="1"/>
  <c r="Y128" i="1" s="1"/>
  <c r="V129" i="1"/>
  <c r="W129" i="1"/>
  <c r="X129" i="1" s="1"/>
  <c r="Y129" i="1" s="1"/>
  <c r="V130" i="1"/>
  <c r="W130" i="1"/>
  <c r="X130" i="1" s="1"/>
  <c r="Y130" i="1" s="1"/>
  <c r="V131" i="1"/>
  <c r="W131" i="1"/>
  <c r="X131" i="1" s="1"/>
  <c r="Y131" i="1" s="1"/>
  <c r="V132" i="1"/>
  <c r="W132" i="1"/>
  <c r="X132" i="1" s="1"/>
  <c r="Y132" i="1" s="1"/>
  <c r="V133" i="1"/>
  <c r="W133" i="1"/>
  <c r="X133" i="1" s="1"/>
  <c r="Y133" i="1" s="1"/>
  <c r="V134" i="1"/>
  <c r="W134" i="1"/>
  <c r="X134" i="1" s="1"/>
  <c r="Y134" i="1" s="1"/>
  <c r="V135" i="1"/>
  <c r="W135" i="1"/>
  <c r="X135" i="1" s="1"/>
  <c r="Y135" i="1" s="1"/>
  <c r="V136" i="1"/>
  <c r="W136" i="1"/>
  <c r="X136" i="1" s="1"/>
  <c r="Y136" i="1" s="1"/>
  <c r="V137" i="1"/>
  <c r="W137" i="1"/>
  <c r="X137" i="1" s="1"/>
  <c r="Y137" i="1" s="1"/>
  <c r="V138" i="1"/>
  <c r="W138" i="1"/>
  <c r="X138" i="1" s="1"/>
  <c r="Y138" i="1" s="1"/>
  <c r="V139" i="1"/>
  <c r="W139" i="1"/>
  <c r="X139" i="1" s="1"/>
  <c r="Y139" i="1" s="1"/>
  <c r="V140" i="1"/>
  <c r="W140" i="1"/>
  <c r="X140" i="1" s="1"/>
  <c r="Y140" i="1" s="1"/>
  <c r="V141" i="1"/>
  <c r="W141" i="1"/>
  <c r="X141" i="1" s="1"/>
  <c r="Y141" i="1" s="1"/>
  <c r="V142" i="1"/>
  <c r="W142" i="1"/>
  <c r="X142" i="1" s="1"/>
  <c r="Y142" i="1" s="1"/>
  <c r="V143" i="1"/>
  <c r="W143" i="1"/>
  <c r="X143" i="1" s="1"/>
  <c r="Y143" i="1" s="1"/>
  <c r="V144" i="1"/>
  <c r="W144" i="1"/>
  <c r="X144" i="1" s="1"/>
  <c r="Y144" i="1" s="1"/>
  <c r="W145" i="1"/>
  <c r="X145" i="1" s="1"/>
  <c r="Y145" i="1" s="1"/>
  <c r="V146" i="1"/>
  <c r="W146" i="1"/>
  <c r="X146" i="1" s="1"/>
  <c r="Y146" i="1" s="1"/>
  <c r="V147" i="1"/>
  <c r="W147" i="1"/>
  <c r="X147" i="1" s="1"/>
  <c r="Y147" i="1" s="1"/>
  <c r="V148" i="1"/>
  <c r="W148" i="1"/>
  <c r="X148" i="1" s="1"/>
  <c r="Y148" i="1" s="1"/>
  <c r="V149" i="1"/>
  <c r="W149" i="1"/>
  <c r="X149" i="1" s="1"/>
  <c r="Y149" i="1" s="1"/>
  <c r="V150" i="1"/>
  <c r="W150" i="1"/>
  <c r="X150" i="1" s="1"/>
  <c r="Y150" i="1" s="1"/>
  <c r="V151" i="1"/>
  <c r="W151" i="1"/>
  <c r="X151" i="1" s="1"/>
  <c r="Y151" i="1" s="1"/>
  <c r="V152" i="1"/>
  <c r="W152" i="1"/>
  <c r="X152" i="1" s="1"/>
  <c r="Y152" i="1" s="1"/>
  <c r="V153" i="1"/>
  <c r="W153" i="1"/>
  <c r="X153" i="1" s="1"/>
  <c r="Y153" i="1" s="1"/>
  <c r="V154" i="1"/>
  <c r="W154" i="1"/>
  <c r="X154" i="1" s="1"/>
  <c r="Y154" i="1" s="1"/>
  <c r="V155" i="1"/>
  <c r="W155" i="1"/>
  <c r="X155" i="1" s="1"/>
  <c r="Y155" i="1" s="1"/>
  <c r="V156" i="1"/>
  <c r="W156" i="1"/>
  <c r="X156" i="1" s="1"/>
  <c r="Y156" i="1" s="1"/>
  <c r="V157" i="1"/>
  <c r="W157" i="1"/>
  <c r="X157" i="1" s="1"/>
  <c r="Y157" i="1" s="1"/>
  <c r="V158" i="1"/>
  <c r="W158" i="1"/>
  <c r="X158" i="1" s="1"/>
  <c r="Y158" i="1" s="1"/>
  <c r="V159" i="1"/>
  <c r="W159" i="1"/>
  <c r="X159" i="1" s="1"/>
  <c r="Y159" i="1" s="1"/>
  <c r="V160" i="1"/>
  <c r="W160" i="1"/>
  <c r="X160" i="1" s="1"/>
  <c r="Y160" i="1" s="1"/>
  <c r="V161" i="1"/>
  <c r="W161" i="1"/>
  <c r="X161" i="1" s="1"/>
  <c r="Y161" i="1" s="1"/>
  <c r="V162" i="1"/>
  <c r="W162" i="1"/>
  <c r="X162" i="1"/>
  <c r="Y162" i="1" s="1"/>
  <c r="V163" i="1"/>
  <c r="W163" i="1"/>
  <c r="X163" i="1" s="1"/>
  <c r="Y163" i="1" s="1"/>
  <c r="V164" i="1"/>
  <c r="W164" i="1"/>
  <c r="X164" i="1" s="1"/>
  <c r="Y164" i="1" s="1"/>
  <c r="V165" i="1"/>
  <c r="W165" i="1"/>
  <c r="X165" i="1" s="1"/>
  <c r="Y165" i="1" s="1"/>
  <c r="V166" i="1"/>
  <c r="W166" i="1"/>
  <c r="X166" i="1"/>
  <c r="Y166" i="1" s="1"/>
  <c r="V167" i="1"/>
  <c r="W167" i="1"/>
  <c r="X167" i="1" s="1"/>
  <c r="Y167" i="1" s="1"/>
  <c r="V168" i="1"/>
  <c r="W168" i="1"/>
  <c r="X168" i="1" s="1"/>
  <c r="Y168" i="1" s="1"/>
  <c r="V169" i="1"/>
  <c r="W169" i="1"/>
  <c r="X169" i="1" s="1"/>
  <c r="Y169" i="1" s="1"/>
  <c r="V170" i="1"/>
  <c r="W170" i="1"/>
  <c r="X170" i="1" s="1"/>
  <c r="Y170" i="1" s="1"/>
  <c r="V171" i="1"/>
  <c r="W171" i="1"/>
  <c r="X171" i="1" s="1"/>
  <c r="Y171" i="1" s="1"/>
  <c r="V172" i="1"/>
  <c r="W172" i="1"/>
  <c r="X172" i="1" s="1"/>
  <c r="Y172" i="1" s="1"/>
  <c r="V173" i="1"/>
  <c r="W173" i="1"/>
  <c r="X173" i="1" s="1"/>
  <c r="Y173" i="1" s="1"/>
  <c r="V174" i="1"/>
  <c r="W174" i="1"/>
  <c r="X174" i="1" s="1"/>
  <c r="Y174" i="1" s="1"/>
  <c r="V175" i="1"/>
  <c r="W175" i="1"/>
  <c r="X175" i="1" s="1"/>
  <c r="Y175" i="1" s="1"/>
  <c r="V176" i="1"/>
  <c r="W176" i="1"/>
  <c r="X176" i="1" s="1"/>
  <c r="Y176" i="1" s="1"/>
  <c r="V177" i="1"/>
  <c r="W177" i="1"/>
  <c r="X177" i="1" s="1"/>
  <c r="Y177" i="1" s="1"/>
  <c r="V178" i="1"/>
  <c r="W178" i="1"/>
  <c r="X178" i="1" s="1"/>
  <c r="Y178" i="1" s="1"/>
  <c r="V179" i="1"/>
  <c r="W179" i="1"/>
  <c r="X179" i="1"/>
  <c r="Y179" i="1" s="1"/>
  <c r="V180" i="1"/>
  <c r="W180" i="1"/>
  <c r="X180" i="1" s="1"/>
  <c r="Y180" i="1" s="1"/>
  <c r="V181" i="1"/>
  <c r="W181" i="1"/>
  <c r="X181" i="1" s="1"/>
  <c r="Y181" i="1" s="1"/>
  <c r="V182" i="1"/>
  <c r="W182" i="1"/>
  <c r="X182" i="1" s="1"/>
  <c r="Y182" i="1" s="1"/>
  <c r="V183" i="1"/>
  <c r="W183" i="1"/>
  <c r="X183" i="1" s="1"/>
  <c r="Y183" i="1" s="1"/>
  <c r="V184" i="1"/>
  <c r="W184" i="1"/>
  <c r="X184" i="1" s="1"/>
  <c r="Y184" i="1" s="1"/>
  <c r="V185" i="1"/>
  <c r="W185" i="1"/>
  <c r="X185" i="1" s="1"/>
  <c r="Y185" i="1" s="1"/>
  <c r="V186" i="1"/>
  <c r="W186" i="1"/>
  <c r="X186" i="1" s="1"/>
  <c r="Y186" i="1" s="1"/>
  <c r="V187" i="1"/>
  <c r="W187" i="1"/>
  <c r="X187" i="1" s="1"/>
  <c r="Y187" i="1" s="1"/>
  <c r="V188" i="1"/>
  <c r="W188" i="1"/>
  <c r="X188" i="1" s="1"/>
  <c r="Y188" i="1" s="1"/>
  <c r="V189" i="1"/>
  <c r="W189" i="1"/>
  <c r="X189" i="1" s="1"/>
  <c r="Y189" i="1" s="1"/>
  <c r="V190" i="1"/>
  <c r="W190" i="1"/>
  <c r="X190" i="1" s="1"/>
  <c r="Y190" i="1" s="1"/>
  <c r="V191" i="1"/>
  <c r="W191" i="1"/>
  <c r="X191" i="1" s="1"/>
  <c r="Y191" i="1" s="1"/>
  <c r="V192" i="1"/>
  <c r="W192" i="1"/>
  <c r="X192" i="1" s="1"/>
  <c r="Y192" i="1" s="1"/>
  <c r="V193" i="1"/>
  <c r="W193" i="1"/>
  <c r="X193" i="1" s="1"/>
  <c r="Y193" i="1" s="1"/>
  <c r="V194" i="1"/>
  <c r="W194" i="1"/>
  <c r="X194" i="1" s="1"/>
  <c r="Y194" i="1" s="1"/>
  <c r="V195" i="1"/>
  <c r="W195" i="1"/>
  <c r="X195" i="1"/>
  <c r="Y195" i="1" s="1"/>
  <c r="V196" i="1"/>
  <c r="W196" i="1"/>
  <c r="X196" i="1" s="1"/>
  <c r="Y196" i="1" s="1"/>
  <c r="V197" i="1"/>
  <c r="W197" i="1"/>
  <c r="X197" i="1" s="1"/>
  <c r="Y197" i="1" s="1"/>
  <c r="V198" i="1"/>
  <c r="W198" i="1"/>
  <c r="X198" i="1" s="1"/>
  <c r="Y198" i="1" s="1"/>
  <c r="V199" i="1"/>
  <c r="W199" i="1"/>
  <c r="X199" i="1" s="1"/>
  <c r="Y199" i="1" s="1"/>
  <c r="V200" i="1"/>
  <c r="W200" i="1"/>
  <c r="X200" i="1" s="1"/>
  <c r="Y200" i="1" s="1"/>
  <c r="V201" i="1"/>
  <c r="W201" i="1"/>
  <c r="X201" i="1" s="1"/>
  <c r="Y201" i="1" s="1"/>
  <c r="V202" i="1"/>
  <c r="W202" i="1"/>
  <c r="X202" i="1" s="1"/>
  <c r="Y202" i="1" s="1"/>
  <c r="V203" i="1"/>
  <c r="W203" i="1"/>
  <c r="X203" i="1"/>
  <c r="Y203" i="1" s="1"/>
  <c r="V204" i="1"/>
  <c r="W204" i="1"/>
  <c r="X204" i="1" s="1"/>
  <c r="Y204" i="1" s="1"/>
  <c r="V205" i="1"/>
  <c r="W205" i="1"/>
  <c r="X205" i="1" s="1"/>
  <c r="Y205" i="1" s="1"/>
  <c r="V206" i="1"/>
  <c r="W206" i="1"/>
  <c r="X206" i="1" s="1"/>
  <c r="Y206" i="1" s="1"/>
  <c r="V207" i="1"/>
  <c r="W207" i="1"/>
  <c r="X207" i="1" s="1"/>
  <c r="Y207" i="1" s="1"/>
  <c r="V208" i="1"/>
  <c r="W208" i="1"/>
  <c r="X208" i="1" s="1"/>
  <c r="Y208" i="1" s="1"/>
  <c r="V209" i="1"/>
  <c r="W209" i="1"/>
  <c r="X209" i="1" s="1"/>
  <c r="Y209" i="1" s="1"/>
  <c r="V210" i="1"/>
  <c r="W210" i="1"/>
  <c r="X210" i="1" s="1"/>
  <c r="Y210" i="1" s="1"/>
  <c r="V211" i="1"/>
  <c r="W211" i="1"/>
  <c r="X211" i="1" s="1"/>
  <c r="Y211" i="1" s="1"/>
  <c r="V212" i="1"/>
  <c r="W212" i="1"/>
  <c r="X212" i="1" s="1"/>
  <c r="Y212" i="1" s="1"/>
  <c r="V213" i="1"/>
  <c r="W213" i="1"/>
  <c r="X213" i="1" s="1"/>
  <c r="Y213" i="1" s="1"/>
  <c r="V214" i="1"/>
  <c r="W214" i="1"/>
  <c r="X214" i="1" s="1"/>
  <c r="Y214" i="1" s="1"/>
  <c r="V215" i="1"/>
  <c r="W215" i="1"/>
  <c r="X215" i="1"/>
  <c r="Y215" i="1" s="1"/>
  <c r="V216" i="1"/>
  <c r="W216" i="1"/>
  <c r="X216" i="1" s="1"/>
  <c r="Y216" i="1" s="1"/>
  <c r="V217" i="1"/>
  <c r="W217" i="1"/>
  <c r="X217" i="1" s="1"/>
  <c r="Y217" i="1" s="1"/>
  <c r="V218" i="1"/>
  <c r="W218" i="1"/>
  <c r="X218" i="1" s="1"/>
  <c r="Y218" i="1" s="1"/>
  <c r="V219" i="1"/>
  <c r="W219" i="1"/>
  <c r="X219" i="1" s="1"/>
  <c r="Y219" i="1" s="1"/>
  <c r="V220" i="1"/>
  <c r="W220" i="1"/>
  <c r="X220" i="1" s="1"/>
  <c r="Y220" i="1" s="1"/>
  <c r="V221" i="1"/>
  <c r="W221" i="1"/>
  <c r="X221" i="1" s="1"/>
  <c r="Y221" i="1" s="1"/>
  <c r="V222" i="1"/>
  <c r="W222" i="1"/>
  <c r="X222" i="1" s="1"/>
  <c r="Y222" i="1" s="1"/>
  <c r="V223" i="1"/>
  <c r="W223" i="1"/>
  <c r="X223" i="1" s="1"/>
  <c r="Y223" i="1" s="1"/>
  <c r="V224" i="1"/>
  <c r="W224" i="1"/>
  <c r="X224" i="1" s="1"/>
  <c r="Y224" i="1" s="1"/>
  <c r="V225" i="1"/>
  <c r="W225" i="1"/>
  <c r="X225" i="1" s="1"/>
  <c r="Y225" i="1" s="1"/>
  <c r="V226" i="1"/>
  <c r="W226" i="1"/>
  <c r="X226" i="1" s="1"/>
  <c r="Y226" i="1" s="1"/>
  <c r="V227" i="1"/>
  <c r="W227" i="1"/>
  <c r="X227" i="1"/>
  <c r="Y227" i="1" s="1"/>
  <c r="V228" i="1"/>
  <c r="W228" i="1"/>
  <c r="X228" i="1" s="1"/>
  <c r="Y228" i="1" s="1"/>
  <c r="V229" i="1"/>
  <c r="W229" i="1"/>
  <c r="X229" i="1" s="1"/>
  <c r="Y229" i="1" s="1"/>
  <c r="V230" i="1"/>
  <c r="W230" i="1"/>
  <c r="X230" i="1" s="1"/>
  <c r="Y230" i="1" s="1"/>
  <c r="V231" i="1"/>
  <c r="W231" i="1"/>
  <c r="X231" i="1" s="1"/>
  <c r="Y231" i="1" s="1"/>
  <c r="V232" i="1"/>
  <c r="W232" i="1"/>
  <c r="X232" i="1" s="1"/>
  <c r="Y232" i="1" s="1"/>
  <c r="V233" i="1"/>
  <c r="W233" i="1"/>
  <c r="X233" i="1" s="1"/>
  <c r="Y233" i="1" s="1"/>
  <c r="V234" i="1"/>
  <c r="W234" i="1"/>
  <c r="X234" i="1" s="1"/>
  <c r="Y234" i="1" s="1"/>
  <c r="V235" i="1"/>
  <c r="W235" i="1"/>
  <c r="X235" i="1" s="1"/>
  <c r="Y235" i="1" s="1"/>
  <c r="V236" i="1"/>
  <c r="W236" i="1"/>
  <c r="X236" i="1" s="1"/>
  <c r="Y236" i="1" s="1"/>
  <c r="V237" i="1"/>
  <c r="W237" i="1"/>
  <c r="X237" i="1" s="1"/>
  <c r="Y237" i="1" s="1"/>
  <c r="V238" i="1"/>
  <c r="W238" i="1"/>
  <c r="X238" i="1" s="1"/>
  <c r="Y238" i="1" s="1"/>
  <c r="V239" i="1"/>
  <c r="W239" i="1"/>
  <c r="X239" i="1" s="1"/>
  <c r="Y239" i="1" s="1"/>
  <c r="V240" i="1"/>
  <c r="W240" i="1"/>
  <c r="X240" i="1" s="1"/>
  <c r="Y240" i="1" s="1"/>
  <c r="V241" i="1"/>
  <c r="W241" i="1"/>
  <c r="X241" i="1" s="1"/>
  <c r="Y241" i="1" s="1"/>
  <c r="V242" i="1"/>
  <c r="W242" i="1"/>
  <c r="X242" i="1" s="1"/>
  <c r="Y242" i="1" s="1"/>
  <c r="V243" i="1"/>
  <c r="W243" i="1"/>
  <c r="X243" i="1" s="1"/>
  <c r="Y243" i="1" s="1"/>
  <c r="V244" i="1"/>
  <c r="W244" i="1"/>
  <c r="X244" i="1" s="1"/>
  <c r="Y244" i="1" s="1"/>
  <c r="F39" i="2"/>
  <c r="D271" i="7" l="1"/>
  <c r="D241" i="7"/>
  <c r="D237" i="7"/>
  <c r="D226" i="7"/>
  <c r="D222" i="7"/>
  <c r="D215" i="7"/>
  <c r="D211" i="7"/>
  <c r="D195" i="7"/>
  <c r="D191" i="7"/>
  <c r="D187" i="7"/>
  <c r="D175" i="7"/>
  <c r="D171" i="7"/>
  <c r="D136" i="7"/>
  <c r="D132" i="7"/>
  <c r="D117" i="7"/>
  <c r="D77" i="7"/>
  <c r="D63" i="7"/>
  <c r="D284" i="7"/>
  <c r="D263" i="7"/>
  <c r="D259" i="7"/>
  <c r="D244" i="7"/>
  <c r="D236" i="7"/>
  <c r="D218" i="7"/>
  <c r="D214" i="7"/>
  <c r="D210" i="7"/>
  <c r="D131" i="7"/>
  <c r="D127" i="7"/>
  <c r="D105" i="7"/>
  <c r="D94" i="7"/>
  <c r="D73" i="7"/>
  <c r="D66" i="7"/>
  <c r="D269" i="7"/>
  <c r="D243" i="7"/>
  <c r="D224" i="7"/>
  <c r="D217" i="7"/>
  <c r="D209" i="7"/>
  <c r="D205" i="7"/>
  <c r="D201" i="7"/>
  <c r="D197" i="7"/>
  <c r="D193" i="7"/>
  <c r="D185" i="7"/>
  <c r="D177" i="7"/>
  <c r="D173" i="7"/>
  <c r="D169" i="7"/>
  <c r="D134" i="7"/>
  <c r="D130" i="7"/>
  <c r="D108" i="7"/>
  <c r="D104" i="7"/>
  <c r="D93" i="7"/>
  <c r="D86" i="7"/>
  <c r="D76" i="7"/>
  <c r="D72" i="7"/>
  <c r="D71" i="7"/>
  <c r="D261" i="7"/>
  <c r="D227" i="7"/>
  <c r="D216" i="7"/>
  <c r="D188" i="7"/>
  <c r="D180" i="7"/>
  <c r="D172" i="7"/>
  <c r="D168" i="7"/>
  <c r="D164" i="7"/>
  <c r="D129" i="7"/>
  <c r="D118" i="7"/>
  <c r="D107" i="7"/>
  <c r="D92" i="7"/>
  <c r="D75" i="7"/>
  <c r="D91" i="7"/>
  <c r="D285" i="7"/>
  <c r="D275" i="7"/>
  <c r="D265" i="7"/>
  <c r="D255" i="7"/>
  <c r="D225" i="7"/>
  <c r="D213" i="7"/>
  <c r="D202" i="7"/>
  <c r="D133" i="7"/>
  <c r="D126" i="7"/>
  <c r="D111" i="7"/>
  <c r="D106" i="7"/>
  <c r="D100" i="7"/>
  <c r="D88" i="7"/>
  <c r="D74" i="7"/>
  <c r="D65" i="7"/>
  <c r="D268" i="7"/>
  <c r="D231" i="7"/>
  <c r="D212" i="7"/>
  <c r="D170" i="7"/>
  <c r="D166" i="7"/>
  <c r="D159" i="7"/>
  <c r="D155" i="7"/>
  <c r="D144" i="7"/>
  <c r="D140" i="7"/>
  <c r="D120" i="7"/>
  <c r="D68" i="7"/>
  <c r="D62" i="7"/>
  <c r="D181" i="7"/>
  <c r="D165" i="7"/>
  <c r="D119" i="7"/>
  <c r="D102" i="7"/>
  <c r="D96" i="7"/>
  <c r="D82" i="7"/>
  <c r="D95" i="7"/>
  <c r="D260" i="7"/>
  <c r="D220" i="7"/>
  <c r="D204" i="7"/>
  <c r="D149" i="7"/>
  <c r="D146" i="7"/>
  <c r="D135" i="7"/>
  <c r="D128" i="7"/>
  <c r="D122" i="7"/>
  <c r="D116" i="7"/>
  <c r="D110" i="7"/>
  <c r="D84" i="7"/>
  <c r="D276" i="7"/>
  <c r="D239" i="7"/>
  <c r="D223" i="7"/>
  <c r="D207" i="7"/>
  <c r="D203" i="7"/>
  <c r="D103" i="7"/>
  <c r="D196" i="7"/>
  <c r="D194" i="7"/>
  <c r="D189" i="7"/>
  <c r="D186" i="7"/>
  <c r="D179" i="7"/>
  <c r="D178" i="7"/>
  <c r="D176" i="7"/>
  <c r="D174" i="7"/>
  <c r="D338" i="7"/>
  <c r="D322" i="7"/>
  <c r="D306" i="7"/>
  <c r="D290" i="7"/>
  <c r="D274" i="7"/>
  <c r="D258" i="7"/>
  <c r="D242" i="7"/>
  <c r="D221" i="7"/>
  <c r="D208" i="7"/>
  <c r="D198" i="7"/>
  <c r="D192" i="7"/>
  <c r="D182" i="7"/>
  <c r="D330" i="7"/>
  <c r="D314" i="7"/>
  <c r="D298" i="7"/>
  <c r="D282" i="7"/>
  <c r="D266" i="7"/>
  <c r="D250" i="7"/>
  <c r="D234" i="7"/>
  <c r="D137" i="7"/>
  <c r="D334" i="7"/>
  <c r="D326" i="7"/>
  <c r="D318" i="7"/>
  <c r="D310" i="7"/>
  <c r="D302" i="7"/>
  <c r="D294" i="7"/>
  <c r="D286" i="7"/>
  <c r="D278" i="7"/>
  <c r="D270" i="7"/>
  <c r="D262" i="7"/>
  <c r="D254" i="7"/>
  <c r="D246" i="7"/>
  <c r="D238" i="7"/>
  <c r="D230" i="7"/>
  <c r="D206" i="7"/>
  <c r="D200" i="7"/>
  <c r="D190" i="7"/>
  <c r="D184" i="7"/>
  <c r="D336" i="7"/>
  <c r="D328" i="7"/>
  <c r="D320" i="7"/>
  <c r="D312" i="7"/>
  <c r="D304" i="7"/>
  <c r="D296" i="7"/>
  <c r="D288" i="7"/>
  <c r="D280" i="7"/>
  <c r="D272" i="7"/>
  <c r="D264" i="7"/>
  <c r="D256" i="7"/>
  <c r="D248" i="7"/>
  <c r="D240" i="7"/>
  <c r="D232" i="7"/>
  <c r="D199" i="7"/>
  <c r="D183" i="7"/>
  <c r="D167" i="7"/>
  <c r="D151" i="7"/>
  <c r="A40" i="7"/>
  <c r="B40" i="7" s="1"/>
  <c r="C40" i="7"/>
  <c r="A41" i="7"/>
  <c r="B41" i="7" s="1"/>
  <c r="C41" i="7"/>
  <c r="A42" i="7"/>
  <c r="B42" i="7" s="1"/>
  <c r="C42" i="7"/>
  <c r="A43" i="7"/>
  <c r="B43" i="7" s="1"/>
  <c r="C43" i="7"/>
  <c r="A44" i="7"/>
  <c r="B44" i="7" s="1"/>
  <c r="C44" i="7"/>
  <c r="A45" i="7"/>
  <c r="B45" i="7" s="1"/>
  <c r="C45" i="7"/>
  <c r="A46" i="7"/>
  <c r="B46" i="7" s="1"/>
  <c r="C46" i="7"/>
  <c r="A47" i="7"/>
  <c r="B47" i="7" s="1"/>
  <c r="C47" i="7"/>
  <c r="A48" i="7"/>
  <c r="B48" i="7" s="1"/>
  <c r="C48" i="7"/>
  <c r="A49" i="7"/>
  <c r="B49" i="7" s="1"/>
  <c r="C49" i="7"/>
  <c r="A50" i="7"/>
  <c r="B50" i="7" s="1"/>
  <c r="C50" i="7"/>
  <c r="A51" i="7"/>
  <c r="B51" i="7" s="1"/>
  <c r="C51" i="7"/>
  <c r="A52" i="7"/>
  <c r="B52" i="7" s="1"/>
  <c r="C52" i="7"/>
  <c r="A53" i="7"/>
  <c r="B53" i="7" s="1"/>
  <c r="C53" i="7"/>
  <c r="A54" i="7"/>
  <c r="B54" i="7" s="1"/>
  <c r="C54" i="7"/>
  <c r="A55" i="7"/>
  <c r="B55" i="7" s="1"/>
  <c r="D55" i="7" s="1"/>
  <c r="C55" i="7"/>
  <c r="A56" i="7"/>
  <c r="B56" i="7" s="1"/>
  <c r="C56" i="7"/>
  <c r="A57" i="7"/>
  <c r="B57" i="7" s="1"/>
  <c r="C57" i="7"/>
  <c r="A58" i="7"/>
  <c r="B58" i="7" s="1"/>
  <c r="D58" i="7" s="1"/>
  <c r="C58" i="7"/>
  <c r="A59" i="7"/>
  <c r="B59" i="7" s="1"/>
  <c r="D59" i="7" s="1"/>
  <c r="C59" i="7"/>
  <c r="E129" i="7" a="1"/>
  <c r="E129" i="7" l="1"/>
  <c r="D54" i="7"/>
  <c r="D49" i="7"/>
  <c r="D56" i="7"/>
  <c r="D41" i="7"/>
  <c r="D42" i="7"/>
  <c r="D48" i="7"/>
  <c r="D57" i="7"/>
  <c r="D53" i="7"/>
  <c r="D45" i="7"/>
  <c r="D47" i="7"/>
  <c r="D51" i="7"/>
  <c r="D52" i="7"/>
  <c r="D43" i="7"/>
  <c r="D50" i="7"/>
  <c r="D46" i="7"/>
  <c r="D40" i="7"/>
  <c r="D44" i="7"/>
  <c r="W2" i="1"/>
  <c r="X2" i="1" s="1"/>
  <c r="Y2" i="1" s="1"/>
  <c r="C39" i="7" l="1"/>
  <c r="A39" i="7" l="1"/>
  <c r="B39" i="7" s="1"/>
  <c r="D39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<sst xmlns="http://schemas.openxmlformats.org/spreadsheetml/2006/main" count="2560" uniqueCount="573">
  <si>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</si>
  <si>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</si>
  <si>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</si>
  <si>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</si>
  <si>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</si>
  <si>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</si>
  <si>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</si>
  <si>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</si>
  <si>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</si>
  <si>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</si>
  <si>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</si>
  <si>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</si>
  <si>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</si>
  <si>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</si>
  <si>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</si>
  <si>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</si>
  <si>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</si>
  <si>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</si>
  <si>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</si>
  <si>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</si>
  <si>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</si>
  <si>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</si>
  <si>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</si>
  <si>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</si>
  <si>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</si>
  <si>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</si>
  <si>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</si>
  <si>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</si>
  <si>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</si>
  <si>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</si>
  <si>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</si>
  <si>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</si>
  <si>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</si>
  <si>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</si>
  <si>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</si>
  <si>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</si>
  <si>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</si>
  <si>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</si>
  <si>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</si>
  <si>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</si>
  <si>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</si>
  <si>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</si>
  <si>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</si>
  <si>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>PROGRAMADO AMPLIADO DE INMUNIZACION (PAI - COVID 19)</t>
  </si>
  <si>
    <t>AIEPI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</si>
  <si>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</si>
  <si>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</si>
  <si>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</si>
  <si>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</si>
  <si>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</si>
  <si>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</si>
  <si>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</si>
  <si>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</si>
  <si>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</si>
  <si>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</si>
  <si>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</si>
  <si>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</si>
  <si>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</si>
  <si>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</si>
  <si>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</si>
  <si>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</si>
  <si>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</si>
  <si>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</si>
  <si>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</si>
  <si>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</si>
  <si>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</si>
  <si>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</si>
  <si>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</si>
  <si>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</si>
  <si>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</si>
  <si>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</si>
  <si>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</si>
  <si>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</si>
  <si>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</si>
  <si>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</si>
  <si>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</si>
  <si>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>ATENCION A PERSONAS CON DISCAPACIDAD</t>
  </si>
  <si>
    <t>DISCAPACIDAD</t>
  </si>
  <si>
    <t>ADULTO MAYOR</t>
  </si>
  <si>
    <t>CUIDADO INTEGRAL DEL PACIENTE ADULTO</t>
  </si>
  <si>
    <t>MANEJO DEFENSIVO</t>
  </si>
  <si>
    <t>ACLSN</t>
  </si>
  <si>
    <t>SOPORTE CARDIOVASCULAR AVANZADO NEONATAL</t>
  </si>
  <si>
    <t>SOPORTE CARDIOVASCULAR AVANZADO (ACLS)</t>
  </si>
  <si>
    <t>TOMA DE MUESTRAS Y LABORATORIO POCT</t>
  </si>
  <si>
    <t>IMPLANTE SUBDERMICO DE DISPOSITIVO INTRAUTERINO</t>
  </si>
  <si>
    <t>SEGURIDAD DEL PACIENTE</t>
  </si>
  <si>
    <t>PACIENTE</t>
  </si>
  <si>
    <t>MODALIDAD</t>
  </si>
  <si>
    <t>TOMA DE MUESTRAS Y LABORATORIO CLINICO</t>
  </si>
  <si>
    <t>RESIDUOS</t>
  </si>
  <si>
    <t>MANEJO DE RESIDUOS HOSPITALARIOS</t>
  </si>
  <si>
    <t>https://centrodecapacitaciondelsur.com/manejo-de-residuos-hospitalarios-</t>
  </si>
  <si>
    <t xml:space="preserve">ATENCIÓN A VÍCTIMAS DE ATAQUE CON AGENTES QUIMICOS </t>
  </si>
  <si>
    <t xml:space="preserve">HUMANIZACIÓN EN EL SERVICIO DE LA SALUD Y BUENAS PRACTICAS EN PACIENTE </t>
  </si>
  <si>
    <t xml:space="preserve">ATENCIÓN A VÍCTIMAS DE VIOLENCIA SEXUAL </t>
  </si>
  <si>
    <t>ATENCIÓN INTEGRAL EN ENFERMEDADES PREVALENTES EN PRIMERA INFANCIA (AIEPI)</t>
  </si>
  <si>
    <t xml:space="preserve">ADMINISTRACIÓN DE MEDICAMENTOS, INYECTOLOGIA  Y CANALIZACION </t>
  </si>
  <si>
    <t>ATENCIÓN A VICTIMAS POR VIOLENCIA DE GENERO</t>
  </si>
  <si>
    <t>YURANI</t>
  </si>
  <si>
    <t>estrellanathi@gmail.com</t>
  </si>
  <si>
    <t>AUXILIAR DE ENFERMERIA</t>
  </si>
  <si>
    <t>F</t>
  </si>
  <si>
    <t>NEQUI</t>
  </si>
  <si>
    <t>Tatiana</t>
  </si>
  <si>
    <t>Natalia</t>
  </si>
  <si>
    <t>Muñoz</t>
  </si>
  <si>
    <t>Estrella</t>
  </si>
  <si>
    <t>MANEJO DEL DUELO</t>
  </si>
  <si>
    <t>SEG. PACIENTE</t>
  </si>
  <si>
    <t>FUENTE</t>
  </si>
  <si>
    <t>Perez</t>
  </si>
  <si>
    <t>Salinas</t>
  </si>
  <si>
    <t>Claudia</t>
  </si>
  <si>
    <t>Lizeth</t>
  </si>
  <si>
    <t>RENOVACION</t>
  </si>
  <si>
    <t>CCS</t>
  </si>
  <si>
    <t>lizperez2456@gmail.com</t>
  </si>
  <si>
    <t>Quitiaquez</t>
  </si>
  <si>
    <t>Morales</t>
  </si>
  <si>
    <t>Jhon</t>
  </si>
  <si>
    <t>Wilmer</t>
  </si>
  <si>
    <t>CAPACITACION</t>
  </si>
  <si>
    <t>RECOMENDADO</t>
  </si>
  <si>
    <t>M</t>
  </si>
  <si>
    <t>wilmerquitia99@gmail.com</t>
  </si>
  <si>
    <t>Torres</t>
  </si>
  <si>
    <t>Gama</t>
  </si>
  <si>
    <t>Fanny</t>
  </si>
  <si>
    <t>FISIOTERAPEUTA</t>
  </si>
  <si>
    <t>Fannygamita@hotmail.com</t>
  </si>
  <si>
    <t>PRIMEROS AUXILIOS PARA CONDUCTOR DE EMERGENCIAS</t>
  </si>
  <si>
    <t>REGENTE DE FARMACIA</t>
  </si>
  <si>
    <t>CONDUCTOR</t>
  </si>
  <si>
    <t>Botina</t>
  </si>
  <si>
    <t>Pai</t>
  </si>
  <si>
    <t>Issa</t>
  </si>
  <si>
    <t>Nayibe</t>
  </si>
  <si>
    <t>CAMILO</t>
  </si>
  <si>
    <t>UMARIANA</t>
  </si>
  <si>
    <t>ESTUDIANTE</t>
  </si>
  <si>
    <t xml:space="preserve">isnabotina223@umariana.edu.co </t>
  </si>
  <si>
    <t>Noguera</t>
  </si>
  <si>
    <t>Bolaños</t>
  </si>
  <si>
    <t>Carol</t>
  </si>
  <si>
    <t>Yined</t>
  </si>
  <si>
    <t>carynoguerab124@umariana.edu.co</t>
  </si>
  <si>
    <t>Arcos</t>
  </si>
  <si>
    <t>Garcia</t>
  </si>
  <si>
    <t>Brayan</t>
  </si>
  <si>
    <t>Adrian</t>
  </si>
  <si>
    <t xml:space="preserve">brarcosg223@umariana.edu.co </t>
  </si>
  <si>
    <t>Gomez</t>
  </si>
  <si>
    <t>Delgado</t>
  </si>
  <si>
    <t>Diego</t>
  </si>
  <si>
    <t>Armando</t>
  </si>
  <si>
    <t xml:space="preserve">diegogomez201449@gmail.com </t>
  </si>
  <si>
    <t>Jojoa</t>
  </si>
  <si>
    <t>Benitez</t>
  </si>
  <si>
    <t>Jeison</t>
  </si>
  <si>
    <t>Camilo</t>
  </si>
  <si>
    <t>Camilojojoa449@gmail.com</t>
  </si>
  <si>
    <t>Martinez</t>
  </si>
  <si>
    <t>Janamejoy</t>
  </si>
  <si>
    <t>Johan</t>
  </si>
  <si>
    <t>Alexander</t>
  </si>
  <si>
    <t>johamartinezj124@umariana.edu.co</t>
  </si>
  <si>
    <t>Asmaza</t>
  </si>
  <si>
    <t>Estiven</t>
  </si>
  <si>
    <t>Braemartineza124@umariana.edu.co</t>
  </si>
  <si>
    <t>Guzman</t>
  </si>
  <si>
    <t>Montejo</t>
  </si>
  <si>
    <t>Cristhian</t>
  </si>
  <si>
    <t>cricguzmanm124@umariana.edu.co</t>
  </si>
  <si>
    <t>Araujo</t>
  </si>
  <si>
    <t>Rodriguez</t>
  </si>
  <si>
    <t>Helenita</t>
  </si>
  <si>
    <t>Sofia</t>
  </si>
  <si>
    <t xml:space="preserve">Helenitasofiaraujo@gmail.com </t>
  </si>
  <si>
    <t>Abahonza</t>
  </si>
  <si>
    <t>Quenan</t>
  </si>
  <si>
    <t>Angela</t>
  </si>
  <si>
    <t>angelaabahonzaq@gmail.com</t>
  </si>
  <si>
    <t>Lucano</t>
  </si>
  <si>
    <t>Guachavez</t>
  </si>
  <si>
    <t>Elmer</t>
  </si>
  <si>
    <t>elmerlucano2020@gmail.com</t>
  </si>
  <si>
    <t>Escobar</t>
  </si>
  <si>
    <t>Meneses</t>
  </si>
  <si>
    <t>Juliana</t>
  </si>
  <si>
    <t>Alejandra</t>
  </si>
  <si>
    <t>escobaralejandracsfn@gmail.com</t>
  </si>
  <si>
    <t>Joaginoy</t>
  </si>
  <si>
    <t>Sebastian</t>
  </si>
  <si>
    <t>Alejandro</t>
  </si>
  <si>
    <t>Sebasjoar64@gmail.com</t>
  </si>
  <si>
    <t>Estrada</t>
  </si>
  <si>
    <t>Zambrano</t>
  </si>
  <si>
    <t>Maria</t>
  </si>
  <si>
    <t>Eugenia</t>
  </si>
  <si>
    <t>Mayo</t>
  </si>
  <si>
    <t>AUX DE ENFERMERIA</t>
  </si>
  <si>
    <t xml:space="preserve">mariaeszam2010@gmail.com </t>
  </si>
  <si>
    <t>2/5/2025-3/5/2025</t>
  </si>
  <si>
    <t>Davila</t>
  </si>
  <si>
    <t>Jimenez</t>
  </si>
  <si>
    <t>Jaime</t>
  </si>
  <si>
    <t>Edilberto</t>
  </si>
  <si>
    <t>Jaimedavila609@gmail.com</t>
  </si>
  <si>
    <t>Bastidas</t>
  </si>
  <si>
    <t>Carlosama</t>
  </si>
  <si>
    <t>Katheryn</t>
  </si>
  <si>
    <t>NICO</t>
  </si>
  <si>
    <t>katheryntati@gmail.com</t>
  </si>
  <si>
    <t>DAVIPLATA</t>
  </si>
  <si>
    <t>ENFERMER@</t>
  </si>
  <si>
    <t>yinhapantojamedfam@gmail.com</t>
  </si>
  <si>
    <t>Pantoja</t>
  </si>
  <si>
    <t>Benavides</t>
  </si>
  <si>
    <t>Yina</t>
  </si>
  <si>
    <t>Marcela</t>
  </si>
  <si>
    <t>Rivera</t>
  </si>
  <si>
    <t>Guimar</t>
  </si>
  <si>
    <t>Johana</t>
  </si>
  <si>
    <t>OBSEQUIO</t>
  </si>
  <si>
    <t xml:space="preserve">gjzr1182@gmail.com </t>
  </si>
  <si>
    <t>Del castillo</t>
  </si>
  <si>
    <t>Goyez</t>
  </si>
  <si>
    <t>Carmela</t>
  </si>
  <si>
    <t>Del pilar</t>
  </si>
  <si>
    <t>CODIGO ROJO</t>
  </si>
  <si>
    <t>BUENAS PRACTICAS</t>
  </si>
  <si>
    <t>TRIAGE</t>
  </si>
  <si>
    <t>Abril</t>
  </si>
  <si>
    <t>Pilarika31162@hotmail.com</t>
  </si>
  <si>
    <t>Apraez</t>
  </si>
  <si>
    <t>Alomia</t>
  </si>
  <si>
    <t>Diana</t>
  </si>
  <si>
    <t>Melissa</t>
  </si>
  <si>
    <t xml:space="preserve">d.apraez16@gmail.com </t>
  </si>
  <si>
    <t>COLABORADOR</t>
  </si>
  <si>
    <t>Espinosa</t>
  </si>
  <si>
    <t>Parra</t>
  </si>
  <si>
    <t>Juan</t>
  </si>
  <si>
    <t>Pablo</t>
  </si>
  <si>
    <t>SEBAS</t>
  </si>
  <si>
    <t>auxiliarpai3medfam@gmail.com</t>
  </si>
  <si>
    <t>Rengifo</t>
  </si>
  <si>
    <t>Sylvia</t>
  </si>
  <si>
    <t>Alexandra</t>
  </si>
  <si>
    <t>ABOGADA</t>
  </si>
  <si>
    <t>sylviarengifo@gmail.com</t>
  </si>
  <si>
    <t>Herrera</t>
  </si>
  <si>
    <t>Hernandez</t>
  </si>
  <si>
    <t>Angie</t>
  </si>
  <si>
    <t>LUIS PINTA</t>
  </si>
  <si>
    <t>18//11/1994</t>
  </si>
  <si>
    <t xml:space="preserve">hrndezherrera@hotmail.com </t>
  </si>
  <si>
    <t>REDES SOCIALES</t>
  </si>
  <si>
    <t>Mejia</t>
  </si>
  <si>
    <t>Guerrero</t>
  </si>
  <si>
    <t>Luis</t>
  </si>
  <si>
    <t>Rigoberto</t>
  </si>
  <si>
    <t>rigomejia784@gmail.com</t>
  </si>
  <si>
    <t>Ceron</t>
  </si>
  <si>
    <t>Hary</t>
  </si>
  <si>
    <t>ADMIN DE EMPRESAS</t>
  </si>
  <si>
    <t>tatianapantojaceron@gmail.com</t>
  </si>
  <si>
    <t>BANCOLOMBIA</t>
  </si>
  <si>
    <t>Daza</t>
  </si>
  <si>
    <t>Aguirre</t>
  </si>
  <si>
    <t>Leidy</t>
  </si>
  <si>
    <t>leidydaza145@gmail.com</t>
  </si>
  <si>
    <t>Santacruz</t>
  </si>
  <si>
    <t>Pabon</t>
  </si>
  <si>
    <t>Christian</t>
  </si>
  <si>
    <t>EFECTIVO</t>
  </si>
  <si>
    <t>cristhiancamilo1202@gmail.com</t>
  </si>
  <si>
    <t>SUSTANCIAS</t>
  </si>
  <si>
    <t>Jurado</t>
  </si>
  <si>
    <t>Castro</t>
  </si>
  <si>
    <t>Jazmin</t>
  </si>
  <si>
    <t>ODONTOLOGA</t>
  </si>
  <si>
    <t>jazminjurado91@hotmail.com</t>
  </si>
  <si>
    <t>Nanchelo1831@gmail.com</t>
  </si>
  <si>
    <t>Guarin</t>
  </si>
  <si>
    <t>Roldan</t>
  </si>
  <si>
    <t>Harold</t>
  </si>
  <si>
    <t>Steban</t>
  </si>
  <si>
    <t>Atencion De Pts Consumo Sustancias Psicoactivas Y Adicciones</t>
  </si>
  <si>
    <t>ATENCION DE PACIENTE POR CONSUMO SUSTANCIAS PSICOACTIVAS Y ADICCIONES</t>
  </si>
  <si>
    <t>Castillo</t>
  </si>
  <si>
    <t>Silva</t>
  </si>
  <si>
    <t>Karold</t>
  </si>
  <si>
    <t>Daniela</t>
  </si>
  <si>
    <t>MEDIC@</t>
  </si>
  <si>
    <t xml:space="preserve">karitocastillo12@hotmail.com </t>
  </si>
  <si>
    <t>Cisneros</t>
  </si>
  <si>
    <t>Cuaran</t>
  </si>
  <si>
    <t>Orlando</t>
  </si>
  <si>
    <t>Andres</t>
  </si>
  <si>
    <t>cisneroscuaran9815@gmail.com</t>
  </si>
  <si>
    <t>Miramag</t>
  </si>
  <si>
    <t>Villota</t>
  </si>
  <si>
    <t>Daira</t>
  </si>
  <si>
    <t>Yuliana</t>
  </si>
  <si>
    <t xml:space="preserve">dairavillota2005@gmail.com </t>
  </si>
  <si>
    <t>Genoy</t>
  </si>
  <si>
    <t>Anyel</t>
  </si>
  <si>
    <t>Viviana</t>
  </si>
  <si>
    <t>AUXILIAR ODONTOLOGA</t>
  </si>
  <si>
    <t xml:space="preserve">anyelviv25@hotmail.com </t>
  </si>
  <si>
    <t>Timaran</t>
  </si>
  <si>
    <t>Cuaspud</t>
  </si>
  <si>
    <t>Leydi</t>
  </si>
  <si>
    <t>Lorena</t>
  </si>
  <si>
    <t xml:space="preserve"> leidytimaran769@gmail.com</t>
  </si>
  <si>
    <t>Loza</t>
  </si>
  <si>
    <t>Portilla</t>
  </si>
  <si>
    <t>Nathaly</t>
  </si>
  <si>
    <t>NUTRICIONISTA DIETISTA</t>
  </si>
  <si>
    <t xml:space="preserve">nathalyalex24@gmail.com </t>
  </si>
  <si>
    <t>Parada</t>
  </si>
  <si>
    <t>Montes</t>
  </si>
  <si>
    <t>Dazly</t>
  </si>
  <si>
    <t>Katherine</t>
  </si>
  <si>
    <t>paradadazly@gmail.com</t>
  </si>
  <si>
    <t>APS</t>
  </si>
  <si>
    <t>Quiroz</t>
  </si>
  <si>
    <t>Deivid</t>
  </si>
  <si>
    <t xml:space="preserve">alejo227w@gmail.com </t>
  </si>
  <si>
    <t>Elia</t>
  </si>
  <si>
    <t>Marilin</t>
  </si>
  <si>
    <t>marilindaza75@gmail.com</t>
  </si>
  <si>
    <t>danielappa76@gmail.com</t>
  </si>
  <si>
    <t>Vela</t>
  </si>
  <si>
    <t>Gutierrez</t>
  </si>
  <si>
    <t>Ximena</t>
  </si>
  <si>
    <t>mximegv16@gmail.com</t>
  </si>
  <si>
    <t>Melo</t>
  </si>
  <si>
    <t>Rosero</t>
  </si>
  <si>
    <t>Amanda</t>
  </si>
  <si>
    <t>Lucia</t>
  </si>
  <si>
    <t>Lupitasaraymelomelo@gmail.com</t>
  </si>
  <si>
    <t>Rosales</t>
  </si>
  <si>
    <t>Lina</t>
  </si>
  <si>
    <t>Fernanda</t>
  </si>
  <si>
    <t>FRANCISO</t>
  </si>
  <si>
    <t>Montaño</t>
  </si>
  <si>
    <t>Palacios</t>
  </si>
  <si>
    <t>Yenny</t>
  </si>
  <si>
    <t>Felisa</t>
  </si>
  <si>
    <t>Fajardo</t>
  </si>
  <si>
    <t>Gonzales</t>
  </si>
  <si>
    <t>Aura</t>
  </si>
  <si>
    <t>Esperanza</t>
  </si>
  <si>
    <t>OFTALMOLOGA</t>
  </si>
  <si>
    <t xml:space="preserve">auraoftalmo@gmail.com </t>
  </si>
  <si>
    <t>Lasso</t>
  </si>
  <si>
    <t>Paredes</t>
  </si>
  <si>
    <t>Ana</t>
  </si>
  <si>
    <t>anislasso@gmail.com</t>
  </si>
  <si>
    <t>Arevalo</t>
  </si>
  <si>
    <t>Umaña</t>
  </si>
  <si>
    <t>Jennyfer</t>
  </si>
  <si>
    <t>Andrea</t>
  </si>
  <si>
    <t xml:space="preserve">jefer1105@hotmail.com </t>
  </si>
  <si>
    <t>Chamorro</t>
  </si>
  <si>
    <t>Duban</t>
  </si>
  <si>
    <t>Afranio</t>
  </si>
  <si>
    <t>PSICOLOG@</t>
  </si>
  <si>
    <t>yinaguevaracopias@gmail.com</t>
  </si>
  <si>
    <t>Coral</t>
  </si>
  <si>
    <t>Solarte</t>
  </si>
  <si>
    <t>Edgar</t>
  </si>
  <si>
    <t>Mauricio</t>
  </si>
  <si>
    <t>mcoral17@gmail.com</t>
  </si>
  <si>
    <t>Lopez</t>
  </si>
  <si>
    <t>Bucheli</t>
  </si>
  <si>
    <t>Alfonso</t>
  </si>
  <si>
    <t>SEGURIDAD VIAL</t>
  </si>
  <si>
    <t>Lopezgesenia@gmail.com</t>
  </si>
  <si>
    <t>Cecilia</t>
  </si>
  <si>
    <t>aurabenavidez@hotmail.com</t>
  </si>
  <si>
    <t>Granda</t>
  </si>
  <si>
    <t>Francia</t>
  </si>
  <si>
    <t>Dayana</t>
  </si>
  <si>
    <t>PROINSALUD</t>
  </si>
  <si>
    <t>d.dayanaportilla@gmail.com</t>
  </si>
  <si>
    <t>ADMON DE EMPRESAS</t>
  </si>
  <si>
    <t>Diaz</t>
  </si>
  <si>
    <t>Carlos</t>
  </si>
  <si>
    <t>luiscahedi1992@gmail.com</t>
  </si>
  <si>
    <t>Cordoba</t>
  </si>
  <si>
    <t>Marisol</t>
  </si>
  <si>
    <t>cordobachamorromarisol@gmail.com</t>
  </si>
  <si>
    <t>Pelaez</t>
  </si>
  <si>
    <t>Calvo</t>
  </si>
  <si>
    <t>Jose</t>
  </si>
  <si>
    <t>Augusto</t>
  </si>
  <si>
    <t>OPTOMETRA</t>
  </si>
  <si>
    <t xml:space="preserve">joseaugustopelaez1@gmail.com </t>
  </si>
  <si>
    <t>Bravo</t>
  </si>
  <si>
    <t>Suarez</t>
  </si>
  <si>
    <t>diana.bs@hotmail.com</t>
  </si>
  <si>
    <t>Ascuntar</t>
  </si>
  <si>
    <t>Mora</t>
  </si>
  <si>
    <t>Ivonne</t>
  </si>
  <si>
    <t xml:space="preserve">iaampsico@gmail.com </t>
  </si>
  <si>
    <t>17/5/2025-20/5/2025</t>
  </si>
  <si>
    <t>Deisy</t>
  </si>
  <si>
    <t>HIGIENISTA ORAL</t>
  </si>
  <si>
    <t xml:space="preserve">deisy_perez@yahoo.es </t>
  </si>
  <si>
    <t>Ordoñez</t>
  </si>
  <si>
    <t>Nancy</t>
  </si>
  <si>
    <t>Patricia</t>
  </si>
  <si>
    <t xml:space="preserve">napapor79@gmail.com </t>
  </si>
  <si>
    <t>Oñate</t>
  </si>
  <si>
    <t>Raul</t>
  </si>
  <si>
    <t>Alveiro</t>
  </si>
  <si>
    <t>TECNOLOGO EN RADIODIAGNOSTICO</t>
  </si>
  <si>
    <t>rygarcia0108@gmail.com</t>
  </si>
  <si>
    <t>Vasquez</t>
  </si>
  <si>
    <t>Cardenas</t>
  </si>
  <si>
    <t>Adriana</t>
  </si>
  <si>
    <t xml:space="preserve">adrianasofiavasquezz@gmail.com </t>
  </si>
  <si>
    <t>Puerchambud</t>
  </si>
  <si>
    <t>Oscar</t>
  </si>
  <si>
    <t>Dario</t>
  </si>
  <si>
    <t>ADMINISTRADOR PUBLICO</t>
  </si>
  <si>
    <t>oscardarioprosero@gmail.com</t>
  </si>
  <si>
    <t>Plaza</t>
  </si>
  <si>
    <t>Del rosario</t>
  </si>
  <si>
    <t xml:space="preserve">Lorensplaza0410@gmail.com </t>
  </si>
  <si>
    <t>Cuastumal</t>
  </si>
  <si>
    <t>Inguilan</t>
  </si>
  <si>
    <t>Miguel</t>
  </si>
  <si>
    <t xml:space="preserve">lucuastumal@umariana.edu.co </t>
  </si>
  <si>
    <t>Angelica</t>
  </si>
  <si>
    <t>angiemariacordobacastillo@gmail.com</t>
  </si>
  <si>
    <t>Cucas</t>
  </si>
  <si>
    <t>Fernando</t>
  </si>
  <si>
    <t xml:space="preserve">dariofer501@gmail.com </t>
  </si>
  <si>
    <t xml:space="preserve">lisethandreaguancha@gmail.com </t>
  </si>
  <si>
    <t>Pasaje</t>
  </si>
  <si>
    <t>ft.diana913@gmail.com</t>
  </si>
  <si>
    <t>Realpe</t>
  </si>
  <si>
    <t>INGENIERO ELECTRONICO</t>
  </si>
  <si>
    <t>carlos.realpe60@gmail.com</t>
  </si>
  <si>
    <t>Guancha</t>
  </si>
  <si>
    <t>Liseth</t>
  </si>
  <si>
    <t>Tobar</t>
  </si>
  <si>
    <t>Valencia</t>
  </si>
  <si>
    <t>Andelly</t>
  </si>
  <si>
    <t>Yurany</t>
  </si>
  <si>
    <t>Nanyyuvalencia@gmail.com</t>
  </si>
  <si>
    <t>Milvia</t>
  </si>
  <si>
    <t>miloren13@yahoo.es</t>
  </si>
  <si>
    <t>Tenorio</t>
  </si>
  <si>
    <t>Borja</t>
  </si>
  <si>
    <t>Karen</t>
  </si>
  <si>
    <t>Eilyn</t>
  </si>
  <si>
    <t>eilyntenirio02@gmail.com</t>
  </si>
  <si>
    <t>Blandon</t>
  </si>
  <si>
    <t>Granja</t>
  </si>
  <si>
    <t xml:space="preserve">Ana </t>
  </si>
  <si>
    <t>Carina</t>
  </si>
  <si>
    <t xml:space="preserve"> anagranja01@hotmail.com</t>
  </si>
  <si>
    <t>Wendy</t>
  </si>
  <si>
    <t>Rocio</t>
  </si>
  <si>
    <t>311 2789207</t>
  </si>
  <si>
    <t>wendyrocior@icloud.com</t>
  </si>
  <si>
    <t>Viveros</t>
  </si>
  <si>
    <t>Sevillano</t>
  </si>
  <si>
    <t>Durby</t>
  </si>
  <si>
    <t>Aracely</t>
  </si>
  <si>
    <t>318 4260648</t>
  </si>
  <si>
    <t>durbyviveros@yahoo.es</t>
  </si>
  <si>
    <t>Serrano</t>
  </si>
  <si>
    <t>Aleserrano1710@gmail.com</t>
  </si>
  <si>
    <t>Montenegro</t>
  </si>
  <si>
    <t>Vallejo</t>
  </si>
  <si>
    <t>Martha</t>
  </si>
  <si>
    <t xml:space="preserve">mcmv1224@gmail.com.co </t>
  </si>
  <si>
    <t>marthameloceron@hotmail.com</t>
  </si>
  <si>
    <t>WHATSAPP</t>
  </si>
  <si>
    <t>CLIENTE</t>
  </si>
  <si>
    <t>Sarita</t>
  </si>
  <si>
    <t xml:space="preserve">saritabo2017@gmail.com </t>
  </si>
  <si>
    <t>Basante</t>
  </si>
  <si>
    <t>Denis</t>
  </si>
  <si>
    <t>Talia</t>
  </si>
  <si>
    <t xml:space="preserve">taliabasante024@gmail.com </t>
  </si>
  <si>
    <t>Velasquez</t>
  </si>
  <si>
    <t>Chavez</t>
  </si>
  <si>
    <t>Joana</t>
  </si>
  <si>
    <t>Mabel</t>
  </si>
  <si>
    <t>johanavelasquezc@hotmail.com</t>
  </si>
  <si>
    <t>Leyton</t>
  </si>
  <si>
    <t>Cindy</t>
  </si>
  <si>
    <t>Vanessa</t>
  </si>
  <si>
    <t xml:space="preserve">vane.304@hotmail.es </t>
  </si>
  <si>
    <t>Claudiaestrella.599@gmail.com</t>
  </si>
  <si>
    <t>28/4/2025-20/5/2025</t>
  </si>
  <si>
    <t>20000-36000</t>
  </si>
  <si>
    <t>CAJA/NEQUI</t>
  </si>
  <si>
    <t>14/02/2025-21/5/2025</t>
  </si>
  <si>
    <t>14/2/2025-21/5/2025</t>
  </si>
  <si>
    <t>CAJA/BANCOLOMBIA</t>
  </si>
  <si>
    <t>Cuaspa</t>
  </si>
  <si>
    <t>Erazo</t>
  </si>
  <si>
    <t>camilocuaspaerazo@gmail.com</t>
  </si>
  <si>
    <t>SAN PEDRO</t>
  </si>
  <si>
    <t>Sanchez</t>
  </si>
  <si>
    <t>Jennifer</t>
  </si>
  <si>
    <t>Camila</t>
  </si>
  <si>
    <t>INGENIERA AMBIENTAL</t>
  </si>
  <si>
    <t>camidelgado2704@gmail.com</t>
  </si>
  <si>
    <t>26/05/2025-</t>
  </si>
  <si>
    <t>Garzon</t>
  </si>
  <si>
    <t>Marinela</t>
  </si>
  <si>
    <t>Citohistologa.</t>
  </si>
  <si>
    <t xml:space="preserve">labocitomary@hotmail.com </t>
  </si>
  <si>
    <t>Caballero</t>
  </si>
  <si>
    <t xml:space="preserve">kami199704@gmail.com </t>
  </si>
  <si>
    <t>Idrobo</t>
  </si>
  <si>
    <t>Ceballos</t>
  </si>
  <si>
    <t>Carolina</t>
  </si>
  <si>
    <t>idroboana@gmail.com</t>
  </si>
  <si>
    <t>Riascos</t>
  </si>
  <si>
    <t>RADIOPROTECCION</t>
  </si>
  <si>
    <t>https://centrodecapacitaciondelsur.com/radioproteccion-</t>
  </si>
  <si>
    <t>dianamoralesriascos.3@gmail.com</t>
  </si>
  <si>
    <t>Gonzalez</t>
  </si>
  <si>
    <t>Sory</t>
  </si>
  <si>
    <t>Sthephanie</t>
  </si>
  <si>
    <t xml:space="preserve">sorycastro3@gmail.com </t>
  </si>
  <si>
    <t>Caicedo</t>
  </si>
  <si>
    <t>rodriguezjulianac@gmail.com</t>
  </si>
  <si>
    <t xml:space="preserve">alex01jav02@gmail.com </t>
  </si>
  <si>
    <t>Enriquez</t>
  </si>
  <si>
    <t>Cabrera</t>
  </si>
  <si>
    <t>Javier</t>
  </si>
  <si>
    <t>Sosopanta</t>
  </si>
  <si>
    <t>Jefferson</t>
  </si>
  <si>
    <t>Paolo</t>
  </si>
  <si>
    <t xml:space="preserve">Jeffer.sosa@hotmail.com </t>
  </si>
  <si>
    <t>Marcillo</t>
  </si>
  <si>
    <t>Oquendo</t>
  </si>
  <si>
    <t>Miryan</t>
  </si>
  <si>
    <t>Milagro</t>
  </si>
  <si>
    <t xml:space="preserve">milagromarcillo@hotmail.com </t>
  </si>
  <si>
    <t>Danna</t>
  </si>
  <si>
    <t>Xiomara</t>
  </si>
  <si>
    <t>dannaxiomararoseromelo@gmail.com</t>
  </si>
  <si>
    <t>Chazatar</t>
  </si>
  <si>
    <t>Bibiana</t>
  </si>
  <si>
    <t>chazatarl@gmail.com</t>
  </si>
  <si>
    <t>26/05/2025-28/5/2025</t>
  </si>
  <si>
    <t>23/05/2025-28/5/2025</t>
  </si>
  <si>
    <t>23/5/2025-27/5/2025</t>
  </si>
  <si>
    <t>Romo</t>
  </si>
  <si>
    <t>Burgos</t>
  </si>
  <si>
    <t>Santiago</t>
  </si>
  <si>
    <t>Esteban</t>
  </si>
  <si>
    <t>Romos2386@gmail.com</t>
  </si>
  <si>
    <t>Chana</t>
  </si>
  <si>
    <t>Maritza</t>
  </si>
  <si>
    <t xml:space="preserve">dianitach1201@gmail.com </t>
  </si>
  <si>
    <t>CAJA</t>
  </si>
  <si>
    <t>30000-34000</t>
  </si>
  <si>
    <t>60000-150000</t>
  </si>
  <si>
    <t>20000-44000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</si>
</sst>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_-* #,##0_-;\-* #,##0_-;_-* &quot;-&quot;??_-;_-@_-"/>
  </numFmts>
  <fonts count="11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b/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2" fillId="0" borderId="9" xfId="0" applyFont="1" applyBorder="1" applyAlignment="1">
      <alignment horizontal="center"/>
    </xf>
    <xf numFmtId="0" fontId="4" fillId="2" borderId="8" xfId="0" applyFont="1" applyFill="1" applyBorder="1"/>
    <xf numFmtId="0" fontId="2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5" fillId="0" borderId="14" xfId="0" applyFont="1" applyBorder="1" applyAlignment="1">
      <alignment horizontal="center"/>
    </xf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5" fillId="0" borderId="16" xfId="0" applyFont="1" applyBorder="1"/>
    <xf numFmtId="14" fontId="4" fillId="2" borderId="8" xfId="0" applyNumberFormat="1" applyFont="1" applyFill="1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/>
    <xf numFmtId="0" fontId="9" fillId="0" borderId="6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4" fillId="0" borderId="7" xfId="0" applyFont="1" applyBorder="1"/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9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4" fontId="9" fillId="2" borderId="0" xfId="1" applyNumberFormat="1" applyFont="1" applyFill="1" applyBorder="1" applyAlignment="1">
      <alignment horizontal="center" vertical="center"/>
    </xf>
    <xf numFmtId="0" fontId="9" fillId="2" borderId="0" xfId="3" applyFont="1" applyFill="1" applyBorder="1" applyAlignment="1">
      <alignment horizontal="center" vertical="center"/>
    </xf>
    <xf numFmtId="0" fontId="9" fillId="2" borderId="0" xfId="3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2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2" applyNumberFormat="1" applyFont="1" applyFill="1" applyBorder="1" applyAlignment="1" applyProtection="1">
      <alignment horizontal="center" vertical="center"/>
      <protection locked="0"/>
    </xf>
    <xf numFmtId="44" fontId="3" fillId="2" borderId="1" xfId="1" applyNumberFormat="1" applyFont="1" applyFill="1" applyBorder="1" applyAlignment="1" applyProtection="1">
      <alignment horizontal="center" vertical="center"/>
      <protection locked="0"/>
    </xf>
    <xf numFmtId="14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14" fontId="9" fillId="2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14" fontId="9" fillId="2" borderId="0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1" xfId="3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 applyProtection="1">
      <alignment horizontal="center" vertical="center"/>
      <protection locked="0"/>
    </xf>
    <xf numFmtId="164" fontId="9" fillId="2" borderId="1" xfId="1" applyNumberFormat="1" applyFont="1" applyFill="1" applyBorder="1" applyAlignment="1">
      <alignment horizontal="center" vertical="center"/>
    </xf>
    <xf numFmtId="164" fontId="9" fillId="2" borderId="0" xfId="0" applyNumberFormat="1" applyFont="1" applyFill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 wrapText="1"/>
    </xf>
    <xf numFmtId="0" fontId="9" fillId="2" borderId="1" xfId="3" applyFont="1" applyFill="1" applyBorder="1" applyAlignment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/>
    </xf>
    <xf numFmtId="1" fontId="9" fillId="2" borderId="17" xfId="0" applyNumberFormat="1" applyFont="1" applyFill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14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165" fontId="9" fillId="2" borderId="1" xfId="1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Font="1" applyFill="1" applyBorder="1"/>
    <xf numFmtId="0" fontId="0" fillId="0" borderId="16" xfId="0" applyBorder="1"/>
    <xf numFmtId="1" fontId="9" fillId="2" borderId="19" xfId="0" applyNumberFormat="1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14" fontId="9" fillId="2" borderId="19" xfId="0" applyNumberFormat="1" applyFont="1" applyFill="1" applyBorder="1" applyAlignment="1">
      <alignment horizontal="center" vertical="center"/>
    </xf>
    <xf numFmtId="14" fontId="9" fillId="2" borderId="19" xfId="1" applyNumberFormat="1" applyFont="1" applyFill="1" applyBorder="1" applyAlignment="1">
      <alignment horizontal="center" vertical="center"/>
    </xf>
    <xf numFmtId="164" fontId="9" fillId="2" borderId="19" xfId="1" applyNumberFormat="1" applyFont="1" applyFill="1" applyBorder="1" applyAlignment="1">
      <alignment horizontal="center" vertical="center"/>
    </xf>
    <xf numFmtId="0" fontId="9" fillId="5" borderId="1" xfId="3" applyFont="1" applyFill="1" applyBorder="1" applyAlignment="1">
      <alignment horizontal="center" vertical="center"/>
    </xf>
    <xf numFmtId="0" fontId="9" fillId="2" borderId="1" xfId="3" applyNumberFormat="1" applyFont="1" applyFill="1" applyBorder="1" applyAlignment="1">
      <alignment horizontal="center" vertical="center"/>
    </xf>
    <xf numFmtId="0" fontId="9" fillId="0" borderId="0" xfId="0" applyFont="1"/>
    <xf numFmtId="43" fontId="0" fillId="0" borderId="0" xfId="1" applyFont="1"/>
    <xf numFmtId="43" fontId="0" fillId="0" borderId="0" xfId="1" applyFont="1" applyBorder="1"/>
    <xf numFmtId="43" fontId="0" fillId="0" borderId="0" xfId="1" applyFont="1" applyFill="1" applyBorder="1" applyAlignment="1">
      <alignment horizontal="center"/>
    </xf>
    <xf numFmtId="43" fontId="0" fillId="0" borderId="0" xfId="1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1" xfId="0" applyFont="1" applyFill="1" applyBorder="1"/>
    <xf numFmtId="0" fontId="8" fillId="2" borderId="1" xfId="3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14" fontId="9" fillId="7" borderId="1" xfId="0" applyNumberFormat="1" applyFont="1" applyFill="1" applyBorder="1" applyAlignment="1">
      <alignment horizontal="center" vertical="center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128</xdr:row>
      <xdr:rowOff>566738</xdr:rowOff>
    </xdr:from>
    <xdr:to>
      <xdr:col>4</xdr:col>
      <xdr:colOff>0</xdr:colOff>
      <xdr:row>128</xdr:row>
      <xdr:rowOff>985838</xdr:rowOff>
    </xdr:to>
    <xdr:grpSp>
      <xdr:nvGrpSpPr>
        <xdr:cNvPr id="5250" name="$E$129" descr="QuickResponse barcode, level L, version 4, mode binary, 33x33 cells" title="https://centrodecapacitaciondelsur.com/soporte-basico-de-vida-9872812/">
          <a:extLst>
            <a:ext uri="{FF2B5EF4-FFF2-40B4-BE49-F238E27FC236}">
              <a16:creationId xmlns:a16="http://schemas.microsoft.com/office/drawing/2014/main" id="{3EE514F0-5C58-4E2D-8A29-7B07E0CC81EA}"/>
            </a:ext>
          </a:extLst>
        </xdr:cNvPr>
        <xdr:cNvGrpSpPr>
          <a:grpSpLocks noChangeAspect="1"/>
        </xdr:cNvGrpSpPr>
      </xdr:nvGrpSpPr>
      <xdr:grpSpPr>
        <a:xfrm>
          <a:off x="21174075" y="148204238"/>
          <a:ext cx="0" cy="419100"/>
          <a:chOff x="0" y="0"/>
          <a:chExt cx="419100" cy="419100"/>
        </a:xfrm>
      </xdr:grpSpPr>
      <xdr:sp macro="" textlink="">
        <xdr:nvSpPr>
          <xdr:cNvPr id="4689" name="$E$129">
            <a:extLst>
              <a:ext uri="{FF2B5EF4-FFF2-40B4-BE49-F238E27FC236}">
                <a16:creationId xmlns:a16="http://schemas.microsoft.com/office/drawing/2014/main" id="{8768CC95-AF81-47C9-94CB-1120C2D3B3FA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0" name="$E$129">
            <a:extLst>
              <a:ext uri="{FF2B5EF4-FFF2-40B4-BE49-F238E27FC236}">
                <a16:creationId xmlns:a16="http://schemas.microsoft.com/office/drawing/2014/main" id="{113E50F6-2105-4AB3-B0A1-0CD1F6B2A876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1" name="$E$129">
            <a:extLst>
              <a:ext uri="{FF2B5EF4-FFF2-40B4-BE49-F238E27FC236}">
                <a16:creationId xmlns:a16="http://schemas.microsoft.com/office/drawing/2014/main" id="{6AD3BD9F-361B-410F-9496-787D088A8138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2" name="$E$129">
            <a:extLst>
              <a:ext uri="{FF2B5EF4-FFF2-40B4-BE49-F238E27FC236}">
                <a16:creationId xmlns:a16="http://schemas.microsoft.com/office/drawing/2014/main" id="{C1E6A672-9466-4F97-B455-EC5798927F42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3" name="$E$129">
            <a:extLst>
              <a:ext uri="{FF2B5EF4-FFF2-40B4-BE49-F238E27FC236}">
                <a16:creationId xmlns:a16="http://schemas.microsoft.com/office/drawing/2014/main" id="{9E79D76D-46FF-4FAF-8E2A-8A40520DC3EC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4" name="$E$129">
            <a:extLst>
              <a:ext uri="{FF2B5EF4-FFF2-40B4-BE49-F238E27FC236}">
                <a16:creationId xmlns:a16="http://schemas.microsoft.com/office/drawing/2014/main" id="{D0B823A5-C932-4170-8F57-9F9B3BDCBDCB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5" name="$E$129">
            <a:extLst>
              <a:ext uri="{FF2B5EF4-FFF2-40B4-BE49-F238E27FC236}">
                <a16:creationId xmlns:a16="http://schemas.microsoft.com/office/drawing/2014/main" id="{13471901-C0EB-4FD2-94D9-3A924AB40051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6" name="$E$129">
            <a:extLst>
              <a:ext uri="{FF2B5EF4-FFF2-40B4-BE49-F238E27FC236}">
                <a16:creationId xmlns:a16="http://schemas.microsoft.com/office/drawing/2014/main" id="{D7730366-10A4-4D92-AAD1-7B3A5405F545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7" name="$E$129">
            <a:extLst>
              <a:ext uri="{FF2B5EF4-FFF2-40B4-BE49-F238E27FC236}">
                <a16:creationId xmlns:a16="http://schemas.microsoft.com/office/drawing/2014/main" id="{EEF84703-A217-42DA-ADD5-5032598F8B36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8" name="$E$129">
            <a:extLst>
              <a:ext uri="{FF2B5EF4-FFF2-40B4-BE49-F238E27FC236}">
                <a16:creationId xmlns:a16="http://schemas.microsoft.com/office/drawing/2014/main" id="{BA77D273-2E41-434B-80AA-B8C1CF405AA1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9" name="$E$129">
            <a:extLst>
              <a:ext uri="{FF2B5EF4-FFF2-40B4-BE49-F238E27FC236}">
                <a16:creationId xmlns:a16="http://schemas.microsoft.com/office/drawing/2014/main" id="{A9A11EF9-AF01-40ED-8028-3A62DC0F4387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0" name="$E$129">
            <a:extLst>
              <a:ext uri="{FF2B5EF4-FFF2-40B4-BE49-F238E27FC236}">
                <a16:creationId xmlns:a16="http://schemas.microsoft.com/office/drawing/2014/main" id="{1DF7CE35-E93B-4E01-987F-05713BD0B64F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1" name="$E$129">
            <a:extLst>
              <a:ext uri="{FF2B5EF4-FFF2-40B4-BE49-F238E27FC236}">
                <a16:creationId xmlns:a16="http://schemas.microsoft.com/office/drawing/2014/main" id="{FB8A1117-7733-41F4-99B9-97EFC67CBE94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2" name="$E$129">
            <a:extLst>
              <a:ext uri="{FF2B5EF4-FFF2-40B4-BE49-F238E27FC236}">
                <a16:creationId xmlns:a16="http://schemas.microsoft.com/office/drawing/2014/main" id="{BB734E86-31E6-43B4-9CB8-7AAA6537BB0A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3" name="$E$129">
            <a:extLst>
              <a:ext uri="{FF2B5EF4-FFF2-40B4-BE49-F238E27FC236}">
                <a16:creationId xmlns:a16="http://schemas.microsoft.com/office/drawing/2014/main" id="{A29704CE-F0D0-402F-96E7-EDABE5EC4E35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4" name="$E$129">
            <a:extLst>
              <a:ext uri="{FF2B5EF4-FFF2-40B4-BE49-F238E27FC236}">
                <a16:creationId xmlns:a16="http://schemas.microsoft.com/office/drawing/2014/main" id="{B76014C5-0899-4E9E-8AA2-1E9A298D6C75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5" name="$E$129">
            <a:extLst>
              <a:ext uri="{FF2B5EF4-FFF2-40B4-BE49-F238E27FC236}">
                <a16:creationId xmlns:a16="http://schemas.microsoft.com/office/drawing/2014/main" id="{9E65240A-1A9D-44A6-8E6C-AC69EC6F4CD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6" name="$E$129">
            <a:extLst>
              <a:ext uri="{FF2B5EF4-FFF2-40B4-BE49-F238E27FC236}">
                <a16:creationId xmlns:a16="http://schemas.microsoft.com/office/drawing/2014/main" id="{F7BB5E1C-00B8-4F0D-90DE-5FABC170AC2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7" name="$E$129">
            <a:extLst>
              <a:ext uri="{FF2B5EF4-FFF2-40B4-BE49-F238E27FC236}">
                <a16:creationId xmlns:a16="http://schemas.microsoft.com/office/drawing/2014/main" id="{1332627A-9A29-4CCF-AEEE-FC5B00CF71FE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8" name="$E$129">
            <a:extLst>
              <a:ext uri="{FF2B5EF4-FFF2-40B4-BE49-F238E27FC236}">
                <a16:creationId xmlns:a16="http://schemas.microsoft.com/office/drawing/2014/main" id="{B53E745A-253E-47F4-BBD2-DF705017CE8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9" name="$E$129">
            <a:extLst>
              <a:ext uri="{FF2B5EF4-FFF2-40B4-BE49-F238E27FC236}">
                <a16:creationId xmlns:a16="http://schemas.microsoft.com/office/drawing/2014/main" id="{E848C4AD-C6E7-4453-86FE-E297C586F958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0" name="$E$129">
            <a:extLst>
              <a:ext uri="{FF2B5EF4-FFF2-40B4-BE49-F238E27FC236}">
                <a16:creationId xmlns:a16="http://schemas.microsoft.com/office/drawing/2014/main" id="{355CFE33-43A4-44F5-91B4-9B30F1B98344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1" name="$E$129">
            <a:extLst>
              <a:ext uri="{FF2B5EF4-FFF2-40B4-BE49-F238E27FC236}">
                <a16:creationId xmlns:a16="http://schemas.microsoft.com/office/drawing/2014/main" id="{2D2BD021-C154-408C-AE80-B8D0EF7A5F1C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2" name="$E$129">
            <a:extLst>
              <a:ext uri="{FF2B5EF4-FFF2-40B4-BE49-F238E27FC236}">
                <a16:creationId xmlns:a16="http://schemas.microsoft.com/office/drawing/2014/main" id="{1DDDA268-3EFD-482A-835F-96800B4394C4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3" name="$E$129">
            <a:extLst>
              <a:ext uri="{FF2B5EF4-FFF2-40B4-BE49-F238E27FC236}">
                <a16:creationId xmlns:a16="http://schemas.microsoft.com/office/drawing/2014/main" id="{44577977-0822-4556-BF71-5C856AD4A823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4" name="$E$129">
            <a:extLst>
              <a:ext uri="{FF2B5EF4-FFF2-40B4-BE49-F238E27FC236}">
                <a16:creationId xmlns:a16="http://schemas.microsoft.com/office/drawing/2014/main" id="{DEBFF959-8F31-4176-BC2B-CE709FC5A827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5" name="$E$129">
            <a:extLst>
              <a:ext uri="{FF2B5EF4-FFF2-40B4-BE49-F238E27FC236}">
                <a16:creationId xmlns:a16="http://schemas.microsoft.com/office/drawing/2014/main" id="{AA1AE048-8DBD-492B-AB19-B368D0F5CE1B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6" name="$E$129">
            <a:extLst>
              <a:ext uri="{FF2B5EF4-FFF2-40B4-BE49-F238E27FC236}">
                <a16:creationId xmlns:a16="http://schemas.microsoft.com/office/drawing/2014/main" id="{DA10B706-107C-4C52-9023-C27C8B1BC547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7" name="$E$129">
            <a:extLst>
              <a:ext uri="{FF2B5EF4-FFF2-40B4-BE49-F238E27FC236}">
                <a16:creationId xmlns:a16="http://schemas.microsoft.com/office/drawing/2014/main" id="{53362A96-779C-4084-841D-0EDE1E32BB1E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8" name="$E$129">
            <a:extLst>
              <a:ext uri="{FF2B5EF4-FFF2-40B4-BE49-F238E27FC236}">
                <a16:creationId xmlns:a16="http://schemas.microsoft.com/office/drawing/2014/main" id="{F5F425AF-8163-44F8-B90A-F77869500BCD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9" name="$E$129">
            <a:extLst>
              <a:ext uri="{FF2B5EF4-FFF2-40B4-BE49-F238E27FC236}">
                <a16:creationId xmlns:a16="http://schemas.microsoft.com/office/drawing/2014/main" id="{AEA3C0B0-1A2D-44CC-8D4E-0CA58B8CDA59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0" name="$E$129">
            <a:extLst>
              <a:ext uri="{FF2B5EF4-FFF2-40B4-BE49-F238E27FC236}">
                <a16:creationId xmlns:a16="http://schemas.microsoft.com/office/drawing/2014/main" id="{15F52E97-217E-434F-B059-63866F6503DD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1" name="$E$129">
            <a:extLst>
              <a:ext uri="{FF2B5EF4-FFF2-40B4-BE49-F238E27FC236}">
                <a16:creationId xmlns:a16="http://schemas.microsoft.com/office/drawing/2014/main" id="{2C209D3D-9DB5-4EAB-938F-B2CD6D45690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2" name="$E$129">
            <a:extLst>
              <a:ext uri="{FF2B5EF4-FFF2-40B4-BE49-F238E27FC236}">
                <a16:creationId xmlns:a16="http://schemas.microsoft.com/office/drawing/2014/main" id="{5AC988CF-172F-4E09-851E-CD249B7E9F49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3" name="$E$129">
            <a:extLst>
              <a:ext uri="{FF2B5EF4-FFF2-40B4-BE49-F238E27FC236}">
                <a16:creationId xmlns:a16="http://schemas.microsoft.com/office/drawing/2014/main" id="{25333B96-958B-402F-88C1-2AE7B9C0283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4" name="$E$129">
            <a:extLst>
              <a:ext uri="{FF2B5EF4-FFF2-40B4-BE49-F238E27FC236}">
                <a16:creationId xmlns:a16="http://schemas.microsoft.com/office/drawing/2014/main" id="{F665ED6F-1689-4F33-88F9-47C7083BC773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5" name="$E$129">
            <a:extLst>
              <a:ext uri="{FF2B5EF4-FFF2-40B4-BE49-F238E27FC236}">
                <a16:creationId xmlns:a16="http://schemas.microsoft.com/office/drawing/2014/main" id="{F61BE928-B8E3-4CB0-9714-2F150FEB36D7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6" name="$E$129">
            <a:extLst>
              <a:ext uri="{FF2B5EF4-FFF2-40B4-BE49-F238E27FC236}">
                <a16:creationId xmlns:a16="http://schemas.microsoft.com/office/drawing/2014/main" id="{01BF3B4B-9855-478F-B28E-27AB06706B79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7" name="$E$129">
            <a:extLst>
              <a:ext uri="{FF2B5EF4-FFF2-40B4-BE49-F238E27FC236}">
                <a16:creationId xmlns:a16="http://schemas.microsoft.com/office/drawing/2014/main" id="{B13B9164-843C-4354-93DB-41245AB85E89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8" name="$E$129">
            <a:extLst>
              <a:ext uri="{FF2B5EF4-FFF2-40B4-BE49-F238E27FC236}">
                <a16:creationId xmlns:a16="http://schemas.microsoft.com/office/drawing/2014/main" id="{86D57814-7386-4242-8720-776DD92E3DDC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9" name="$E$129">
            <a:extLst>
              <a:ext uri="{FF2B5EF4-FFF2-40B4-BE49-F238E27FC236}">
                <a16:creationId xmlns:a16="http://schemas.microsoft.com/office/drawing/2014/main" id="{D3C2A333-DB86-4AA8-9668-8C1CA34139E9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0" name="$E$129">
            <a:extLst>
              <a:ext uri="{FF2B5EF4-FFF2-40B4-BE49-F238E27FC236}">
                <a16:creationId xmlns:a16="http://schemas.microsoft.com/office/drawing/2014/main" id="{DF13F603-5F9C-44B5-B0E2-92FC6F539076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1" name="$E$129">
            <a:extLst>
              <a:ext uri="{FF2B5EF4-FFF2-40B4-BE49-F238E27FC236}">
                <a16:creationId xmlns:a16="http://schemas.microsoft.com/office/drawing/2014/main" id="{298E27E1-1F9A-49C0-9CB2-DFA359A4772F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2" name="$E$129">
            <a:extLst>
              <a:ext uri="{FF2B5EF4-FFF2-40B4-BE49-F238E27FC236}">
                <a16:creationId xmlns:a16="http://schemas.microsoft.com/office/drawing/2014/main" id="{F58B631B-6C02-461F-86B6-E83D6F8AD665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3" name="$E$129">
            <a:extLst>
              <a:ext uri="{FF2B5EF4-FFF2-40B4-BE49-F238E27FC236}">
                <a16:creationId xmlns:a16="http://schemas.microsoft.com/office/drawing/2014/main" id="{04B958ED-7B8A-424F-A438-21F55E7F5A39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4" name="$E$129">
            <a:extLst>
              <a:ext uri="{FF2B5EF4-FFF2-40B4-BE49-F238E27FC236}">
                <a16:creationId xmlns:a16="http://schemas.microsoft.com/office/drawing/2014/main" id="{A7676D41-818E-41F8-BB19-27B0E8D43FEE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5" name="$E$129">
            <a:extLst>
              <a:ext uri="{FF2B5EF4-FFF2-40B4-BE49-F238E27FC236}">
                <a16:creationId xmlns:a16="http://schemas.microsoft.com/office/drawing/2014/main" id="{B475D4F5-B205-4579-9535-CAB4B4FE35EB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6" name="$E$129">
            <a:extLst>
              <a:ext uri="{FF2B5EF4-FFF2-40B4-BE49-F238E27FC236}">
                <a16:creationId xmlns:a16="http://schemas.microsoft.com/office/drawing/2014/main" id="{977E3A44-23DD-41E7-8A90-CFF965589796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7" name="$E$129">
            <a:extLst>
              <a:ext uri="{FF2B5EF4-FFF2-40B4-BE49-F238E27FC236}">
                <a16:creationId xmlns:a16="http://schemas.microsoft.com/office/drawing/2014/main" id="{F93296C9-248F-4282-8C5C-77FE7EE5803C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8" name="$E$129">
            <a:extLst>
              <a:ext uri="{FF2B5EF4-FFF2-40B4-BE49-F238E27FC236}">
                <a16:creationId xmlns:a16="http://schemas.microsoft.com/office/drawing/2014/main" id="{FB139433-4430-4083-A4E2-C19082F85AB8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9" name="$E$129">
            <a:extLst>
              <a:ext uri="{FF2B5EF4-FFF2-40B4-BE49-F238E27FC236}">
                <a16:creationId xmlns:a16="http://schemas.microsoft.com/office/drawing/2014/main" id="{AD9BC3E6-AAAA-482C-88BE-A801CB5158B1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0" name="$E$129">
            <a:extLst>
              <a:ext uri="{FF2B5EF4-FFF2-40B4-BE49-F238E27FC236}">
                <a16:creationId xmlns:a16="http://schemas.microsoft.com/office/drawing/2014/main" id="{7806A8F2-742E-4D28-BD11-3AB21B6AB8DC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1" name="$E$129">
            <a:extLst>
              <a:ext uri="{FF2B5EF4-FFF2-40B4-BE49-F238E27FC236}">
                <a16:creationId xmlns:a16="http://schemas.microsoft.com/office/drawing/2014/main" id="{6D2DC16B-9F01-4894-A403-37FE08E2E94A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2" name="$E$129">
            <a:extLst>
              <a:ext uri="{FF2B5EF4-FFF2-40B4-BE49-F238E27FC236}">
                <a16:creationId xmlns:a16="http://schemas.microsoft.com/office/drawing/2014/main" id="{297484F8-6CE1-4739-938F-32168EA1E587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3" name="$E$129">
            <a:extLst>
              <a:ext uri="{FF2B5EF4-FFF2-40B4-BE49-F238E27FC236}">
                <a16:creationId xmlns:a16="http://schemas.microsoft.com/office/drawing/2014/main" id="{B6D44EA2-B04D-487A-B0D4-C2395A31E00A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4" name="$E$129">
            <a:extLst>
              <a:ext uri="{FF2B5EF4-FFF2-40B4-BE49-F238E27FC236}">
                <a16:creationId xmlns:a16="http://schemas.microsoft.com/office/drawing/2014/main" id="{09BDEBAF-9C56-48CA-AD25-7B9CBBC4D622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5" name="$E$129">
            <a:extLst>
              <a:ext uri="{FF2B5EF4-FFF2-40B4-BE49-F238E27FC236}">
                <a16:creationId xmlns:a16="http://schemas.microsoft.com/office/drawing/2014/main" id="{95679829-D471-4E1A-B14B-5C4ADA46352E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6" name="$E$129">
            <a:extLst>
              <a:ext uri="{FF2B5EF4-FFF2-40B4-BE49-F238E27FC236}">
                <a16:creationId xmlns:a16="http://schemas.microsoft.com/office/drawing/2014/main" id="{6638D71D-C5D1-4A62-BD19-F9F270D473FA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7" name="$E$129">
            <a:extLst>
              <a:ext uri="{FF2B5EF4-FFF2-40B4-BE49-F238E27FC236}">
                <a16:creationId xmlns:a16="http://schemas.microsoft.com/office/drawing/2014/main" id="{1F000E2B-6909-4B16-A7FC-00B5449E3E75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8" name="$E$129">
            <a:extLst>
              <a:ext uri="{FF2B5EF4-FFF2-40B4-BE49-F238E27FC236}">
                <a16:creationId xmlns:a16="http://schemas.microsoft.com/office/drawing/2014/main" id="{9E8AEB9E-5FFE-4A0B-8835-3D93E553F9C9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9" name="$E$129">
            <a:extLst>
              <a:ext uri="{FF2B5EF4-FFF2-40B4-BE49-F238E27FC236}">
                <a16:creationId xmlns:a16="http://schemas.microsoft.com/office/drawing/2014/main" id="{5A4D29BF-92D3-43E9-BD5E-2DC6F6D4F40B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0" name="$E$129">
            <a:extLst>
              <a:ext uri="{FF2B5EF4-FFF2-40B4-BE49-F238E27FC236}">
                <a16:creationId xmlns:a16="http://schemas.microsoft.com/office/drawing/2014/main" id="{64E62DD4-0934-494D-A6DF-6077E9DE7F6D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1" name="$E$129">
            <a:extLst>
              <a:ext uri="{FF2B5EF4-FFF2-40B4-BE49-F238E27FC236}">
                <a16:creationId xmlns:a16="http://schemas.microsoft.com/office/drawing/2014/main" id="{08CAC30D-45C4-4A17-A9A8-EAA5513FD034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2" name="$E$129">
            <a:extLst>
              <a:ext uri="{FF2B5EF4-FFF2-40B4-BE49-F238E27FC236}">
                <a16:creationId xmlns:a16="http://schemas.microsoft.com/office/drawing/2014/main" id="{D91CA0BE-BAE4-4670-B104-C304D3AB705F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3" name="$E$129">
            <a:extLst>
              <a:ext uri="{FF2B5EF4-FFF2-40B4-BE49-F238E27FC236}">
                <a16:creationId xmlns:a16="http://schemas.microsoft.com/office/drawing/2014/main" id="{90D100EF-B7D8-4C0E-9B68-2D3F88BA7814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4" name="$E$129">
            <a:extLst>
              <a:ext uri="{FF2B5EF4-FFF2-40B4-BE49-F238E27FC236}">
                <a16:creationId xmlns:a16="http://schemas.microsoft.com/office/drawing/2014/main" id="{C8111581-0225-4255-ABBF-BA778279997B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5" name="$E$129">
            <a:extLst>
              <a:ext uri="{FF2B5EF4-FFF2-40B4-BE49-F238E27FC236}">
                <a16:creationId xmlns:a16="http://schemas.microsoft.com/office/drawing/2014/main" id="{AC6EE2EE-54AF-4C6F-9731-27950A01BD15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6" name="$E$129">
            <a:extLst>
              <a:ext uri="{FF2B5EF4-FFF2-40B4-BE49-F238E27FC236}">
                <a16:creationId xmlns:a16="http://schemas.microsoft.com/office/drawing/2014/main" id="{FE91F1E0-E258-4E56-91A5-78F04370CD7B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7" name="$E$129">
            <a:extLst>
              <a:ext uri="{FF2B5EF4-FFF2-40B4-BE49-F238E27FC236}">
                <a16:creationId xmlns:a16="http://schemas.microsoft.com/office/drawing/2014/main" id="{3176C13F-168A-4909-9D7D-DFEDA6766148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8" name="$E$129">
            <a:extLst>
              <a:ext uri="{FF2B5EF4-FFF2-40B4-BE49-F238E27FC236}">
                <a16:creationId xmlns:a16="http://schemas.microsoft.com/office/drawing/2014/main" id="{EF852079-846A-472B-BDA4-B8F8BFCF140C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9" name="$E$129">
            <a:extLst>
              <a:ext uri="{FF2B5EF4-FFF2-40B4-BE49-F238E27FC236}">
                <a16:creationId xmlns:a16="http://schemas.microsoft.com/office/drawing/2014/main" id="{23526119-BF07-4A28-98A5-9575CC4581B6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0" name="$E$129">
            <a:extLst>
              <a:ext uri="{FF2B5EF4-FFF2-40B4-BE49-F238E27FC236}">
                <a16:creationId xmlns:a16="http://schemas.microsoft.com/office/drawing/2014/main" id="{CE73388B-0907-4639-BC1F-CD16BA943658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1" name="$E$129">
            <a:extLst>
              <a:ext uri="{FF2B5EF4-FFF2-40B4-BE49-F238E27FC236}">
                <a16:creationId xmlns:a16="http://schemas.microsoft.com/office/drawing/2014/main" id="{41EC8004-3F81-479E-B198-10314109A053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2" name="$E$129">
            <a:extLst>
              <a:ext uri="{FF2B5EF4-FFF2-40B4-BE49-F238E27FC236}">
                <a16:creationId xmlns:a16="http://schemas.microsoft.com/office/drawing/2014/main" id="{89A8634E-0678-444B-A6B7-E26B60DDB6C2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3" name="$E$129">
            <a:extLst>
              <a:ext uri="{FF2B5EF4-FFF2-40B4-BE49-F238E27FC236}">
                <a16:creationId xmlns:a16="http://schemas.microsoft.com/office/drawing/2014/main" id="{0BE8DD40-143F-40EE-98EE-98B3F8765255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4" name="$E$129">
            <a:extLst>
              <a:ext uri="{FF2B5EF4-FFF2-40B4-BE49-F238E27FC236}">
                <a16:creationId xmlns:a16="http://schemas.microsoft.com/office/drawing/2014/main" id="{2188F7EE-2E94-4571-B4BC-CB6A81A82BE2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5" name="$E$129">
            <a:extLst>
              <a:ext uri="{FF2B5EF4-FFF2-40B4-BE49-F238E27FC236}">
                <a16:creationId xmlns:a16="http://schemas.microsoft.com/office/drawing/2014/main" id="{FDBAEAD1-16B4-4927-9785-C130858FC33E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6" name="$E$129">
            <a:extLst>
              <a:ext uri="{FF2B5EF4-FFF2-40B4-BE49-F238E27FC236}">
                <a16:creationId xmlns:a16="http://schemas.microsoft.com/office/drawing/2014/main" id="{21303A7A-D25E-4F84-B178-1EC0032C4233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7" name="$E$129">
            <a:extLst>
              <a:ext uri="{FF2B5EF4-FFF2-40B4-BE49-F238E27FC236}">
                <a16:creationId xmlns:a16="http://schemas.microsoft.com/office/drawing/2014/main" id="{3FDFCECC-1496-455B-9021-4CDEFF1A04A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8" name="$E$129">
            <a:extLst>
              <a:ext uri="{FF2B5EF4-FFF2-40B4-BE49-F238E27FC236}">
                <a16:creationId xmlns:a16="http://schemas.microsoft.com/office/drawing/2014/main" id="{A72D5879-CBDF-43BA-97AA-0F414803A812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9" name="$E$129">
            <a:extLst>
              <a:ext uri="{FF2B5EF4-FFF2-40B4-BE49-F238E27FC236}">
                <a16:creationId xmlns:a16="http://schemas.microsoft.com/office/drawing/2014/main" id="{8A9FA405-B2CD-4D6E-BB63-6587DD7D79E7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0" name="$E$129">
            <a:extLst>
              <a:ext uri="{FF2B5EF4-FFF2-40B4-BE49-F238E27FC236}">
                <a16:creationId xmlns:a16="http://schemas.microsoft.com/office/drawing/2014/main" id="{196655F2-5B51-4662-8066-D18FC4FF8DED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1" name="$E$129">
            <a:extLst>
              <a:ext uri="{FF2B5EF4-FFF2-40B4-BE49-F238E27FC236}">
                <a16:creationId xmlns:a16="http://schemas.microsoft.com/office/drawing/2014/main" id="{500572AC-E1E2-4CA1-8645-3BBB2E985824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2" name="$E$129">
            <a:extLst>
              <a:ext uri="{FF2B5EF4-FFF2-40B4-BE49-F238E27FC236}">
                <a16:creationId xmlns:a16="http://schemas.microsoft.com/office/drawing/2014/main" id="{18467C9B-6609-4C28-B39D-96C712644332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3" name="$E$129">
            <a:extLst>
              <a:ext uri="{FF2B5EF4-FFF2-40B4-BE49-F238E27FC236}">
                <a16:creationId xmlns:a16="http://schemas.microsoft.com/office/drawing/2014/main" id="{46CC59F9-A453-4F85-B2E8-C1B00A40BD71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4" name="$E$129">
            <a:extLst>
              <a:ext uri="{FF2B5EF4-FFF2-40B4-BE49-F238E27FC236}">
                <a16:creationId xmlns:a16="http://schemas.microsoft.com/office/drawing/2014/main" id="{D1615824-4B02-48F9-B90F-9E86B4D58FDB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5" name="$E$129">
            <a:extLst>
              <a:ext uri="{FF2B5EF4-FFF2-40B4-BE49-F238E27FC236}">
                <a16:creationId xmlns:a16="http://schemas.microsoft.com/office/drawing/2014/main" id="{04D57CB7-3D24-4545-9043-8151BC735C52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6" name="$E$129">
            <a:extLst>
              <a:ext uri="{FF2B5EF4-FFF2-40B4-BE49-F238E27FC236}">
                <a16:creationId xmlns:a16="http://schemas.microsoft.com/office/drawing/2014/main" id="{4CBB315A-5D63-4565-A471-806642E2B96F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7" name="$E$129">
            <a:extLst>
              <a:ext uri="{FF2B5EF4-FFF2-40B4-BE49-F238E27FC236}">
                <a16:creationId xmlns:a16="http://schemas.microsoft.com/office/drawing/2014/main" id="{35BF5D12-203A-42A9-870A-C4D7A178D0CA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8" name="$E$129">
            <a:extLst>
              <a:ext uri="{FF2B5EF4-FFF2-40B4-BE49-F238E27FC236}">
                <a16:creationId xmlns:a16="http://schemas.microsoft.com/office/drawing/2014/main" id="{B9CB9C59-6372-4B57-AD51-4039A272EAD4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9" name="$E$129">
            <a:extLst>
              <a:ext uri="{FF2B5EF4-FFF2-40B4-BE49-F238E27FC236}">
                <a16:creationId xmlns:a16="http://schemas.microsoft.com/office/drawing/2014/main" id="{EB289E76-F1D9-44F2-9E66-675C966198B1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0" name="$E$129">
            <a:extLst>
              <a:ext uri="{FF2B5EF4-FFF2-40B4-BE49-F238E27FC236}">
                <a16:creationId xmlns:a16="http://schemas.microsoft.com/office/drawing/2014/main" id="{D10AD875-5A76-43A3-9E83-975E0DA6619A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1" name="$E$129">
            <a:extLst>
              <a:ext uri="{FF2B5EF4-FFF2-40B4-BE49-F238E27FC236}">
                <a16:creationId xmlns:a16="http://schemas.microsoft.com/office/drawing/2014/main" id="{2F771DA3-6E65-4D42-90AC-CDEA56496318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2" name="$E$129">
            <a:extLst>
              <a:ext uri="{FF2B5EF4-FFF2-40B4-BE49-F238E27FC236}">
                <a16:creationId xmlns:a16="http://schemas.microsoft.com/office/drawing/2014/main" id="{9C737DCC-466F-44FB-827E-16EE2618F166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3" name="$E$129">
            <a:extLst>
              <a:ext uri="{FF2B5EF4-FFF2-40B4-BE49-F238E27FC236}">
                <a16:creationId xmlns:a16="http://schemas.microsoft.com/office/drawing/2014/main" id="{151CCF29-F3F9-44E8-BDED-AEFF89274F17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4" name="$E$129">
            <a:extLst>
              <a:ext uri="{FF2B5EF4-FFF2-40B4-BE49-F238E27FC236}">
                <a16:creationId xmlns:a16="http://schemas.microsoft.com/office/drawing/2014/main" id="{D3FAD47E-923C-41AE-A5D7-76531EA3FEB5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5" name="$E$129">
            <a:extLst>
              <a:ext uri="{FF2B5EF4-FFF2-40B4-BE49-F238E27FC236}">
                <a16:creationId xmlns:a16="http://schemas.microsoft.com/office/drawing/2014/main" id="{7CF39F34-F86A-4805-8150-F4DF32725953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6" name="$E$129">
            <a:extLst>
              <a:ext uri="{FF2B5EF4-FFF2-40B4-BE49-F238E27FC236}">
                <a16:creationId xmlns:a16="http://schemas.microsoft.com/office/drawing/2014/main" id="{D8DDDE0B-C042-4BA6-B6EB-949587847C8D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7" name="$E$129">
            <a:extLst>
              <a:ext uri="{FF2B5EF4-FFF2-40B4-BE49-F238E27FC236}">
                <a16:creationId xmlns:a16="http://schemas.microsoft.com/office/drawing/2014/main" id="{05B27C5A-CD87-4D94-AF40-DD8A0414609F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8" name="$E$129">
            <a:extLst>
              <a:ext uri="{FF2B5EF4-FFF2-40B4-BE49-F238E27FC236}">
                <a16:creationId xmlns:a16="http://schemas.microsoft.com/office/drawing/2014/main" id="{14D62807-035C-4AD8-B6A0-4C2180CBC374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9" name="$E$129">
            <a:extLst>
              <a:ext uri="{FF2B5EF4-FFF2-40B4-BE49-F238E27FC236}">
                <a16:creationId xmlns:a16="http://schemas.microsoft.com/office/drawing/2014/main" id="{3F33CCD5-9A2A-48C0-A41E-CE046B68E54D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0" name="$E$129">
            <a:extLst>
              <a:ext uri="{FF2B5EF4-FFF2-40B4-BE49-F238E27FC236}">
                <a16:creationId xmlns:a16="http://schemas.microsoft.com/office/drawing/2014/main" id="{2D947ABC-B827-48F4-A274-E6085F6190EA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1" name="$E$129">
            <a:extLst>
              <a:ext uri="{FF2B5EF4-FFF2-40B4-BE49-F238E27FC236}">
                <a16:creationId xmlns:a16="http://schemas.microsoft.com/office/drawing/2014/main" id="{520C33E7-8404-4691-B857-3FD62433E201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2" name="$E$129">
            <a:extLst>
              <a:ext uri="{FF2B5EF4-FFF2-40B4-BE49-F238E27FC236}">
                <a16:creationId xmlns:a16="http://schemas.microsoft.com/office/drawing/2014/main" id="{0464250C-B1FC-49B6-864E-9871E5BE052C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3" name="$E$129">
            <a:extLst>
              <a:ext uri="{FF2B5EF4-FFF2-40B4-BE49-F238E27FC236}">
                <a16:creationId xmlns:a16="http://schemas.microsoft.com/office/drawing/2014/main" id="{495BD107-B4D8-4715-892B-15945DCC8FFD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4" name="$E$129">
            <a:extLst>
              <a:ext uri="{FF2B5EF4-FFF2-40B4-BE49-F238E27FC236}">
                <a16:creationId xmlns:a16="http://schemas.microsoft.com/office/drawing/2014/main" id="{D3F84CB1-9B2A-47EE-B83F-EFBEDB6B0D52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5" name="$E$129">
            <a:extLst>
              <a:ext uri="{FF2B5EF4-FFF2-40B4-BE49-F238E27FC236}">
                <a16:creationId xmlns:a16="http://schemas.microsoft.com/office/drawing/2014/main" id="{1F3D15D6-5E6B-413A-B1D3-B61B40CEFDED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6" name="$E$129">
            <a:extLst>
              <a:ext uri="{FF2B5EF4-FFF2-40B4-BE49-F238E27FC236}">
                <a16:creationId xmlns:a16="http://schemas.microsoft.com/office/drawing/2014/main" id="{CD3D89B1-6D1A-4F17-BE32-E9200EA99C78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7" name="$E$129">
            <a:extLst>
              <a:ext uri="{FF2B5EF4-FFF2-40B4-BE49-F238E27FC236}">
                <a16:creationId xmlns:a16="http://schemas.microsoft.com/office/drawing/2014/main" id="{11F642E5-A993-4CF0-BFF2-B41942A2E249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8" name="$E$129">
            <a:extLst>
              <a:ext uri="{FF2B5EF4-FFF2-40B4-BE49-F238E27FC236}">
                <a16:creationId xmlns:a16="http://schemas.microsoft.com/office/drawing/2014/main" id="{73684578-88AF-4C66-B624-733998922D56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9" name="$E$129">
            <a:extLst>
              <a:ext uri="{FF2B5EF4-FFF2-40B4-BE49-F238E27FC236}">
                <a16:creationId xmlns:a16="http://schemas.microsoft.com/office/drawing/2014/main" id="{BC3C9F16-1289-4F6E-8206-9075ABD73D2C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0" name="$E$129">
            <a:extLst>
              <a:ext uri="{FF2B5EF4-FFF2-40B4-BE49-F238E27FC236}">
                <a16:creationId xmlns:a16="http://schemas.microsoft.com/office/drawing/2014/main" id="{AD37C0B3-99CC-4481-879A-BCC52E6F61AB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1" name="$E$129">
            <a:extLst>
              <a:ext uri="{FF2B5EF4-FFF2-40B4-BE49-F238E27FC236}">
                <a16:creationId xmlns:a16="http://schemas.microsoft.com/office/drawing/2014/main" id="{09D2F797-2BA7-4853-A6EE-CEF77FD242D3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2" name="$E$129">
            <a:extLst>
              <a:ext uri="{FF2B5EF4-FFF2-40B4-BE49-F238E27FC236}">
                <a16:creationId xmlns:a16="http://schemas.microsoft.com/office/drawing/2014/main" id="{044736B5-8073-4D2D-B424-58F70937182F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3" name="$E$129">
            <a:extLst>
              <a:ext uri="{FF2B5EF4-FFF2-40B4-BE49-F238E27FC236}">
                <a16:creationId xmlns:a16="http://schemas.microsoft.com/office/drawing/2014/main" id="{07799D2F-F0D1-4693-A3B9-BF814BD4E2BA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4" name="$E$129">
            <a:extLst>
              <a:ext uri="{FF2B5EF4-FFF2-40B4-BE49-F238E27FC236}">
                <a16:creationId xmlns:a16="http://schemas.microsoft.com/office/drawing/2014/main" id="{5B349219-B2FB-4858-A4B3-2DE1B94268E1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5" name="$E$129">
            <a:extLst>
              <a:ext uri="{FF2B5EF4-FFF2-40B4-BE49-F238E27FC236}">
                <a16:creationId xmlns:a16="http://schemas.microsoft.com/office/drawing/2014/main" id="{E90D3CA7-6616-456F-87FA-007B7C853F24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6" name="$E$129">
            <a:extLst>
              <a:ext uri="{FF2B5EF4-FFF2-40B4-BE49-F238E27FC236}">
                <a16:creationId xmlns:a16="http://schemas.microsoft.com/office/drawing/2014/main" id="{675E4D82-2A2C-4AE8-B1AB-42A427F965B2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7" name="$E$129">
            <a:extLst>
              <a:ext uri="{FF2B5EF4-FFF2-40B4-BE49-F238E27FC236}">
                <a16:creationId xmlns:a16="http://schemas.microsoft.com/office/drawing/2014/main" id="{1346A4BF-A851-4BE3-ABE4-462253FF9E53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8" name="$E$129">
            <a:extLst>
              <a:ext uri="{FF2B5EF4-FFF2-40B4-BE49-F238E27FC236}">
                <a16:creationId xmlns:a16="http://schemas.microsoft.com/office/drawing/2014/main" id="{D6CBAA4E-DE55-4B65-B312-5DBDFD7422A2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9" name="$E$129">
            <a:extLst>
              <a:ext uri="{FF2B5EF4-FFF2-40B4-BE49-F238E27FC236}">
                <a16:creationId xmlns:a16="http://schemas.microsoft.com/office/drawing/2014/main" id="{C92E2A6E-011D-4955-9AB9-E0648B4B6FA2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0" name="$E$129">
            <a:extLst>
              <a:ext uri="{FF2B5EF4-FFF2-40B4-BE49-F238E27FC236}">
                <a16:creationId xmlns:a16="http://schemas.microsoft.com/office/drawing/2014/main" id="{9C035129-A6D8-40BB-B3B8-BE5EF3F17DEC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1" name="$E$129">
            <a:extLst>
              <a:ext uri="{FF2B5EF4-FFF2-40B4-BE49-F238E27FC236}">
                <a16:creationId xmlns:a16="http://schemas.microsoft.com/office/drawing/2014/main" id="{3A97E3AA-1D2A-4BC9-9E9A-6D815AFFA371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2" name="$E$129">
            <a:extLst>
              <a:ext uri="{FF2B5EF4-FFF2-40B4-BE49-F238E27FC236}">
                <a16:creationId xmlns:a16="http://schemas.microsoft.com/office/drawing/2014/main" id="{B139302D-80C7-43DA-887B-6E2DD194A27E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3" name="$E$129">
            <a:extLst>
              <a:ext uri="{FF2B5EF4-FFF2-40B4-BE49-F238E27FC236}">
                <a16:creationId xmlns:a16="http://schemas.microsoft.com/office/drawing/2014/main" id="{E5FFEF07-C544-4A0E-B368-277757F2E7DF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4" name="$E$129">
            <a:extLst>
              <a:ext uri="{FF2B5EF4-FFF2-40B4-BE49-F238E27FC236}">
                <a16:creationId xmlns:a16="http://schemas.microsoft.com/office/drawing/2014/main" id="{DC0AD4DC-50E1-49B9-BF94-3A319C1C1BDB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5" name="$E$129">
            <a:extLst>
              <a:ext uri="{FF2B5EF4-FFF2-40B4-BE49-F238E27FC236}">
                <a16:creationId xmlns:a16="http://schemas.microsoft.com/office/drawing/2014/main" id="{1DD25E9F-921E-4D7D-AB02-D34D689D959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6" name="$E$129">
            <a:extLst>
              <a:ext uri="{FF2B5EF4-FFF2-40B4-BE49-F238E27FC236}">
                <a16:creationId xmlns:a16="http://schemas.microsoft.com/office/drawing/2014/main" id="{B7FA71A9-D510-47A1-AA40-EAB3D68A915F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7" name="$E$129">
            <a:extLst>
              <a:ext uri="{FF2B5EF4-FFF2-40B4-BE49-F238E27FC236}">
                <a16:creationId xmlns:a16="http://schemas.microsoft.com/office/drawing/2014/main" id="{3C9F4E3E-346E-4CFE-9080-D5B8D00819EF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8" name="$E$129">
            <a:extLst>
              <a:ext uri="{FF2B5EF4-FFF2-40B4-BE49-F238E27FC236}">
                <a16:creationId xmlns:a16="http://schemas.microsoft.com/office/drawing/2014/main" id="{BE87D4C2-E4D0-4EDD-909C-F3C7504C701B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9" name="$E$129">
            <a:extLst>
              <a:ext uri="{FF2B5EF4-FFF2-40B4-BE49-F238E27FC236}">
                <a16:creationId xmlns:a16="http://schemas.microsoft.com/office/drawing/2014/main" id="{B6D8BEDF-9EE7-4C02-B65E-B1EDDD8D7574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0" name="$E$129">
            <a:extLst>
              <a:ext uri="{FF2B5EF4-FFF2-40B4-BE49-F238E27FC236}">
                <a16:creationId xmlns:a16="http://schemas.microsoft.com/office/drawing/2014/main" id="{A85E31B8-E2A9-4166-8F78-4D412B18BA1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1" name="$E$129">
            <a:extLst>
              <a:ext uri="{FF2B5EF4-FFF2-40B4-BE49-F238E27FC236}">
                <a16:creationId xmlns:a16="http://schemas.microsoft.com/office/drawing/2014/main" id="{ADA26B0D-759E-4F21-95C3-F9A39D60E029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2" name="$E$129">
            <a:extLst>
              <a:ext uri="{FF2B5EF4-FFF2-40B4-BE49-F238E27FC236}">
                <a16:creationId xmlns:a16="http://schemas.microsoft.com/office/drawing/2014/main" id="{E488889F-41DF-4848-8C6C-04AB3F61D223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3" name="$E$129">
            <a:extLst>
              <a:ext uri="{FF2B5EF4-FFF2-40B4-BE49-F238E27FC236}">
                <a16:creationId xmlns:a16="http://schemas.microsoft.com/office/drawing/2014/main" id="{E942B09A-C89D-4CCF-9559-171D621C019C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4" name="$E$129">
            <a:extLst>
              <a:ext uri="{FF2B5EF4-FFF2-40B4-BE49-F238E27FC236}">
                <a16:creationId xmlns:a16="http://schemas.microsoft.com/office/drawing/2014/main" id="{29069880-CDD4-43BD-A9FD-77A2E01D00AC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5" name="$E$129">
            <a:extLst>
              <a:ext uri="{FF2B5EF4-FFF2-40B4-BE49-F238E27FC236}">
                <a16:creationId xmlns:a16="http://schemas.microsoft.com/office/drawing/2014/main" id="{E028A50A-11AE-4EF5-AB68-1ED44BD51CDA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6" name="$E$129">
            <a:extLst>
              <a:ext uri="{FF2B5EF4-FFF2-40B4-BE49-F238E27FC236}">
                <a16:creationId xmlns:a16="http://schemas.microsoft.com/office/drawing/2014/main" id="{365B7606-F8EE-4441-B9A4-6E6B5D88EA9D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7" name="$E$129">
            <a:extLst>
              <a:ext uri="{FF2B5EF4-FFF2-40B4-BE49-F238E27FC236}">
                <a16:creationId xmlns:a16="http://schemas.microsoft.com/office/drawing/2014/main" id="{A4B97304-A98A-42ED-BF6A-86E59D92693A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8" name="$E$129">
            <a:extLst>
              <a:ext uri="{FF2B5EF4-FFF2-40B4-BE49-F238E27FC236}">
                <a16:creationId xmlns:a16="http://schemas.microsoft.com/office/drawing/2014/main" id="{3E09A7BF-E350-4967-A949-D4EA66A76578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9" name="$E$129">
            <a:extLst>
              <a:ext uri="{FF2B5EF4-FFF2-40B4-BE49-F238E27FC236}">
                <a16:creationId xmlns:a16="http://schemas.microsoft.com/office/drawing/2014/main" id="{F66A0124-9F69-47FC-B0BB-B92A4411571A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0" name="$E$129">
            <a:extLst>
              <a:ext uri="{FF2B5EF4-FFF2-40B4-BE49-F238E27FC236}">
                <a16:creationId xmlns:a16="http://schemas.microsoft.com/office/drawing/2014/main" id="{8C1E1964-E034-4DEB-97B7-4E1944D3151D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1" name="$E$129">
            <a:extLst>
              <a:ext uri="{FF2B5EF4-FFF2-40B4-BE49-F238E27FC236}">
                <a16:creationId xmlns:a16="http://schemas.microsoft.com/office/drawing/2014/main" id="{63D566A4-FE56-41FE-89C3-7459CB90F592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2" name="$E$129">
            <a:extLst>
              <a:ext uri="{FF2B5EF4-FFF2-40B4-BE49-F238E27FC236}">
                <a16:creationId xmlns:a16="http://schemas.microsoft.com/office/drawing/2014/main" id="{898DDB38-9C6D-47AD-9F4F-5A59BDB957E5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3" name="$E$129">
            <a:extLst>
              <a:ext uri="{FF2B5EF4-FFF2-40B4-BE49-F238E27FC236}">
                <a16:creationId xmlns:a16="http://schemas.microsoft.com/office/drawing/2014/main" id="{D63B7966-AE9A-4071-8773-1AAFE7C0C20E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4" name="$E$129">
            <a:extLst>
              <a:ext uri="{FF2B5EF4-FFF2-40B4-BE49-F238E27FC236}">
                <a16:creationId xmlns:a16="http://schemas.microsoft.com/office/drawing/2014/main" id="{F7B72E69-8CAC-4772-A32B-54377844CC28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5" name="$E$129">
            <a:extLst>
              <a:ext uri="{FF2B5EF4-FFF2-40B4-BE49-F238E27FC236}">
                <a16:creationId xmlns:a16="http://schemas.microsoft.com/office/drawing/2014/main" id="{D1479D5D-0D4D-435E-B849-9BD2AC3219B7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6" name="$E$129">
            <a:extLst>
              <a:ext uri="{FF2B5EF4-FFF2-40B4-BE49-F238E27FC236}">
                <a16:creationId xmlns:a16="http://schemas.microsoft.com/office/drawing/2014/main" id="{46DC8DE1-D7BA-4AD1-BC88-B8E73152431C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7" name="$E$129">
            <a:extLst>
              <a:ext uri="{FF2B5EF4-FFF2-40B4-BE49-F238E27FC236}">
                <a16:creationId xmlns:a16="http://schemas.microsoft.com/office/drawing/2014/main" id="{145B5344-E270-43B8-96CE-F7B7526A1B07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8" name="$E$129">
            <a:extLst>
              <a:ext uri="{FF2B5EF4-FFF2-40B4-BE49-F238E27FC236}">
                <a16:creationId xmlns:a16="http://schemas.microsoft.com/office/drawing/2014/main" id="{CE7B9A77-4CEE-4C34-A857-DA59B6B235FE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9" name="$E$129">
            <a:extLst>
              <a:ext uri="{FF2B5EF4-FFF2-40B4-BE49-F238E27FC236}">
                <a16:creationId xmlns:a16="http://schemas.microsoft.com/office/drawing/2014/main" id="{E6C594ED-0AD6-437F-AEAA-1483E2078F11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0" name="$E$129">
            <a:extLst>
              <a:ext uri="{FF2B5EF4-FFF2-40B4-BE49-F238E27FC236}">
                <a16:creationId xmlns:a16="http://schemas.microsoft.com/office/drawing/2014/main" id="{A75330CC-B569-4E17-ABEE-98718BA68FE4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1" name="$E$129">
            <a:extLst>
              <a:ext uri="{FF2B5EF4-FFF2-40B4-BE49-F238E27FC236}">
                <a16:creationId xmlns:a16="http://schemas.microsoft.com/office/drawing/2014/main" id="{FA994503-11DE-49B5-A7AE-CD128A2ED2FB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2" name="$E$129">
            <a:extLst>
              <a:ext uri="{FF2B5EF4-FFF2-40B4-BE49-F238E27FC236}">
                <a16:creationId xmlns:a16="http://schemas.microsoft.com/office/drawing/2014/main" id="{34E67390-6FC2-49AC-BAC3-C60E95ECBC1A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3" name="$E$129">
            <a:extLst>
              <a:ext uri="{FF2B5EF4-FFF2-40B4-BE49-F238E27FC236}">
                <a16:creationId xmlns:a16="http://schemas.microsoft.com/office/drawing/2014/main" id="{20D35FCA-3C48-4BCD-8305-BB22B4EEFFC9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4" name="$E$129">
            <a:extLst>
              <a:ext uri="{FF2B5EF4-FFF2-40B4-BE49-F238E27FC236}">
                <a16:creationId xmlns:a16="http://schemas.microsoft.com/office/drawing/2014/main" id="{C8F55EFE-F0E3-4898-A9C9-A85F6D8F6F59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5" name="$E$129">
            <a:extLst>
              <a:ext uri="{FF2B5EF4-FFF2-40B4-BE49-F238E27FC236}">
                <a16:creationId xmlns:a16="http://schemas.microsoft.com/office/drawing/2014/main" id="{295F3206-C635-4971-8CFC-CD3107E16006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6" name="$E$129">
            <a:extLst>
              <a:ext uri="{FF2B5EF4-FFF2-40B4-BE49-F238E27FC236}">
                <a16:creationId xmlns:a16="http://schemas.microsoft.com/office/drawing/2014/main" id="{D060F79E-BC66-4FF9-88A4-C882FCB28DDA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7" name="$E$129">
            <a:extLst>
              <a:ext uri="{FF2B5EF4-FFF2-40B4-BE49-F238E27FC236}">
                <a16:creationId xmlns:a16="http://schemas.microsoft.com/office/drawing/2014/main" id="{D602C698-D7E0-44DF-AFB1-BF2452C9E0D4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8" name="$E$129">
            <a:extLst>
              <a:ext uri="{FF2B5EF4-FFF2-40B4-BE49-F238E27FC236}">
                <a16:creationId xmlns:a16="http://schemas.microsoft.com/office/drawing/2014/main" id="{86A819F6-B143-477D-9A2B-505F581B4C66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9" name="$E$129">
            <a:extLst>
              <a:ext uri="{FF2B5EF4-FFF2-40B4-BE49-F238E27FC236}">
                <a16:creationId xmlns:a16="http://schemas.microsoft.com/office/drawing/2014/main" id="{5BE8ADB9-C727-45C7-B414-314FBDADA174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0" name="$E$129">
            <a:extLst>
              <a:ext uri="{FF2B5EF4-FFF2-40B4-BE49-F238E27FC236}">
                <a16:creationId xmlns:a16="http://schemas.microsoft.com/office/drawing/2014/main" id="{D0ADBD45-24FE-4BD8-8B5D-8FA46FED25D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1" name="$E$129">
            <a:extLst>
              <a:ext uri="{FF2B5EF4-FFF2-40B4-BE49-F238E27FC236}">
                <a16:creationId xmlns:a16="http://schemas.microsoft.com/office/drawing/2014/main" id="{A91D735B-C0AF-424B-B603-ADC31545DC46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2" name="$E$129">
            <a:extLst>
              <a:ext uri="{FF2B5EF4-FFF2-40B4-BE49-F238E27FC236}">
                <a16:creationId xmlns:a16="http://schemas.microsoft.com/office/drawing/2014/main" id="{5B454B5A-BF83-4121-84A4-BB7AB77E1A4A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3" name="$E$129">
            <a:extLst>
              <a:ext uri="{FF2B5EF4-FFF2-40B4-BE49-F238E27FC236}">
                <a16:creationId xmlns:a16="http://schemas.microsoft.com/office/drawing/2014/main" id="{64E6C8BC-308F-49DC-92BD-F89719C79ABD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4" name="$E$129">
            <a:extLst>
              <a:ext uri="{FF2B5EF4-FFF2-40B4-BE49-F238E27FC236}">
                <a16:creationId xmlns:a16="http://schemas.microsoft.com/office/drawing/2014/main" id="{972C918C-B063-4116-AE27-2A4338C4D29F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5" name="$E$129">
            <a:extLst>
              <a:ext uri="{FF2B5EF4-FFF2-40B4-BE49-F238E27FC236}">
                <a16:creationId xmlns:a16="http://schemas.microsoft.com/office/drawing/2014/main" id="{1A6ECF47-A272-48D5-91FF-C1828E6AD47F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6" name="$E$129">
            <a:extLst>
              <a:ext uri="{FF2B5EF4-FFF2-40B4-BE49-F238E27FC236}">
                <a16:creationId xmlns:a16="http://schemas.microsoft.com/office/drawing/2014/main" id="{120702F8-0346-4AA3-80E0-FB4953014815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7" name="$E$129">
            <a:extLst>
              <a:ext uri="{FF2B5EF4-FFF2-40B4-BE49-F238E27FC236}">
                <a16:creationId xmlns:a16="http://schemas.microsoft.com/office/drawing/2014/main" id="{4BEBD333-C3B3-43A0-AF61-6EB85F8EEC0F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8" name="$E$129">
            <a:extLst>
              <a:ext uri="{FF2B5EF4-FFF2-40B4-BE49-F238E27FC236}">
                <a16:creationId xmlns:a16="http://schemas.microsoft.com/office/drawing/2014/main" id="{A3F623E9-B862-4A00-86F8-0618D16C659C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9" name="$E$129">
            <a:extLst>
              <a:ext uri="{FF2B5EF4-FFF2-40B4-BE49-F238E27FC236}">
                <a16:creationId xmlns:a16="http://schemas.microsoft.com/office/drawing/2014/main" id="{AC389598-9221-4F55-A3FF-0C9A3F8B437C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0" name="$E$129">
            <a:extLst>
              <a:ext uri="{FF2B5EF4-FFF2-40B4-BE49-F238E27FC236}">
                <a16:creationId xmlns:a16="http://schemas.microsoft.com/office/drawing/2014/main" id="{1B29AD6F-1822-4840-8233-F349216FA1B1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1" name="$E$129">
            <a:extLst>
              <a:ext uri="{FF2B5EF4-FFF2-40B4-BE49-F238E27FC236}">
                <a16:creationId xmlns:a16="http://schemas.microsoft.com/office/drawing/2014/main" id="{E5891B01-0FCD-4812-87E8-330B3F26A1E2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2" name="$E$129">
            <a:extLst>
              <a:ext uri="{FF2B5EF4-FFF2-40B4-BE49-F238E27FC236}">
                <a16:creationId xmlns:a16="http://schemas.microsoft.com/office/drawing/2014/main" id="{EB493367-6204-457C-8D30-C2F9977F5C02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3" name="$E$129">
            <a:extLst>
              <a:ext uri="{FF2B5EF4-FFF2-40B4-BE49-F238E27FC236}">
                <a16:creationId xmlns:a16="http://schemas.microsoft.com/office/drawing/2014/main" id="{BE5BBCD3-1FB6-40AE-8817-AAE2C77AE638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4" name="$E$129">
            <a:extLst>
              <a:ext uri="{FF2B5EF4-FFF2-40B4-BE49-F238E27FC236}">
                <a16:creationId xmlns:a16="http://schemas.microsoft.com/office/drawing/2014/main" id="{BDB0A806-281B-47D8-B84E-7E6D0459D1E1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5" name="$E$129">
            <a:extLst>
              <a:ext uri="{FF2B5EF4-FFF2-40B4-BE49-F238E27FC236}">
                <a16:creationId xmlns:a16="http://schemas.microsoft.com/office/drawing/2014/main" id="{55CCA7AD-2772-4A14-BAA6-04BE32CA0CA3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6" name="$E$129">
            <a:extLst>
              <a:ext uri="{FF2B5EF4-FFF2-40B4-BE49-F238E27FC236}">
                <a16:creationId xmlns:a16="http://schemas.microsoft.com/office/drawing/2014/main" id="{FFE47429-538C-4BD5-9E6F-81C05FD7CA6A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7" name="$E$129">
            <a:extLst>
              <a:ext uri="{FF2B5EF4-FFF2-40B4-BE49-F238E27FC236}">
                <a16:creationId xmlns:a16="http://schemas.microsoft.com/office/drawing/2014/main" id="{BD47CFF7-81A8-444B-B54C-50CED6F6B656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8" name="$E$129">
            <a:extLst>
              <a:ext uri="{FF2B5EF4-FFF2-40B4-BE49-F238E27FC236}">
                <a16:creationId xmlns:a16="http://schemas.microsoft.com/office/drawing/2014/main" id="{2B6734CA-B695-4046-B921-B94B28215041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9" name="$E$129">
            <a:extLst>
              <a:ext uri="{FF2B5EF4-FFF2-40B4-BE49-F238E27FC236}">
                <a16:creationId xmlns:a16="http://schemas.microsoft.com/office/drawing/2014/main" id="{40150DAB-4CFE-4063-839B-13FC905A6F75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0" name="$E$129">
            <a:extLst>
              <a:ext uri="{FF2B5EF4-FFF2-40B4-BE49-F238E27FC236}">
                <a16:creationId xmlns:a16="http://schemas.microsoft.com/office/drawing/2014/main" id="{E75763CA-1410-47D4-B99F-DECCB4A084E8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1" name="$E$129">
            <a:extLst>
              <a:ext uri="{FF2B5EF4-FFF2-40B4-BE49-F238E27FC236}">
                <a16:creationId xmlns:a16="http://schemas.microsoft.com/office/drawing/2014/main" id="{D8FA045E-8F3A-40DF-ACB9-72C9B2B58578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2" name="$E$129">
            <a:extLst>
              <a:ext uri="{FF2B5EF4-FFF2-40B4-BE49-F238E27FC236}">
                <a16:creationId xmlns:a16="http://schemas.microsoft.com/office/drawing/2014/main" id="{89546A4C-ED39-447A-BEBA-7802EA35280D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3" name="$E$129">
            <a:extLst>
              <a:ext uri="{FF2B5EF4-FFF2-40B4-BE49-F238E27FC236}">
                <a16:creationId xmlns:a16="http://schemas.microsoft.com/office/drawing/2014/main" id="{14921072-3A6D-4F80-BAB8-49355681A3B8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4" name="$E$129">
            <a:extLst>
              <a:ext uri="{FF2B5EF4-FFF2-40B4-BE49-F238E27FC236}">
                <a16:creationId xmlns:a16="http://schemas.microsoft.com/office/drawing/2014/main" id="{4CA10971-8B08-4E5E-B8AD-218414683E5C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5" name="$E$129">
            <a:extLst>
              <a:ext uri="{FF2B5EF4-FFF2-40B4-BE49-F238E27FC236}">
                <a16:creationId xmlns:a16="http://schemas.microsoft.com/office/drawing/2014/main" id="{75736DC1-53F9-43F1-B32C-6E21475FA135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6" name="$E$129">
            <a:extLst>
              <a:ext uri="{FF2B5EF4-FFF2-40B4-BE49-F238E27FC236}">
                <a16:creationId xmlns:a16="http://schemas.microsoft.com/office/drawing/2014/main" id="{C58F7032-5C34-4AF0-9BF0-FEC81226275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7" name="$E$129">
            <a:extLst>
              <a:ext uri="{FF2B5EF4-FFF2-40B4-BE49-F238E27FC236}">
                <a16:creationId xmlns:a16="http://schemas.microsoft.com/office/drawing/2014/main" id="{47A754BC-3299-499A-8995-D6AEB870517F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8" name="$E$129">
            <a:extLst>
              <a:ext uri="{FF2B5EF4-FFF2-40B4-BE49-F238E27FC236}">
                <a16:creationId xmlns:a16="http://schemas.microsoft.com/office/drawing/2014/main" id="{DC0DCC09-48CD-4597-8FD2-606CEE5B63FE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9" name="$E$129">
            <a:extLst>
              <a:ext uri="{FF2B5EF4-FFF2-40B4-BE49-F238E27FC236}">
                <a16:creationId xmlns:a16="http://schemas.microsoft.com/office/drawing/2014/main" id="{3F0E3DF3-4714-47D6-8A4F-6890F5710AA3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0" name="$E$129">
            <a:extLst>
              <a:ext uri="{FF2B5EF4-FFF2-40B4-BE49-F238E27FC236}">
                <a16:creationId xmlns:a16="http://schemas.microsoft.com/office/drawing/2014/main" id="{34C12A24-D7BB-4D06-96C5-C06275B8D431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1" name="$E$129">
            <a:extLst>
              <a:ext uri="{FF2B5EF4-FFF2-40B4-BE49-F238E27FC236}">
                <a16:creationId xmlns:a16="http://schemas.microsoft.com/office/drawing/2014/main" id="{600A7312-7ECD-436C-AE45-E3BCA6ABAE3E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2" name="$E$129">
            <a:extLst>
              <a:ext uri="{FF2B5EF4-FFF2-40B4-BE49-F238E27FC236}">
                <a16:creationId xmlns:a16="http://schemas.microsoft.com/office/drawing/2014/main" id="{0F7C9C1B-311A-46EC-8964-0D0BC2F77148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3" name="$E$129">
            <a:extLst>
              <a:ext uri="{FF2B5EF4-FFF2-40B4-BE49-F238E27FC236}">
                <a16:creationId xmlns:a16="http://schemas.microsoft.com/office/drawing/2014/main" id="{F5365520-C99C-46CD-9513-3C014C5BE1B3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4" name="$E$129">
            <a:extLst>
              <a:ext uri="{FF2B5EF4-FFF2-40B4-BE49-F238E27FC236}">
                <a16:creationId xmlns:a16="http://schemas.microsoft.com/office/drawing/2014/main" id="{36DADA43-73F1-4E77-81A0-4B0A4D437915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5" name="$E$129">
            <a:extLst>
              <a:ext uri="{FF2B5EF4-FFF2-40B4-BE49-F238E27FC236}">
                <a16:creationId xmlns:a16="http://schemas.microsoft.com/office/drawing/2014/main" id="{E4228C27-4283-477B-97F9-FC1AB83A9E5C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6" name="$E$129">
            <a:extLst>
              <a:ext uri="{FF2B5EF4-FFF2-40B4-BE49-F238E27FC236}">
                <a16:creationId xmlns:a16="http://schemas.microsoft.com/office/drawing/2014/main" id="{EF678C4D-9704-467B-A487-57319B423CBA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7" name="$E$129">
            <a:extLst>
              <a:ext uri="{FF2B5EF4-FFF2-40B4-BE49-F238E27FC236}">
                <a16:creationId xmlns:a16="http://schemas.microsoft.com/office/drawing/2014/main" id="{7F0D2480-8AA7-42AA-8363-B3A91388CE45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8" name="$E$129">
            <a:extLst>
              <a:ext uri="{FF2B5EF4-FFF2-40B4-BE49-F238E27FC236}">
                <a16:creationId xmlns:a16="http://schemas.microsoft.com/office/drawing/2014/main" id="{24F50F1F-ED58-43BF-A433-3AC24254C23E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9" name="$E$129">
            <a:extLst>
              <a:ext uri="{FF2B5EF4-FFF2-40B4-BE49-F238E27FC236}">
                <a16:creationId xmlns:a16="http://schemas.microsoft.com/office/drawing/2014/main" id="{CFA08AA1-F0FE-47CC-99EB-CA44B8166A8A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0" name="$E$129">
            <a:extLst>
              <a:ext uri="{FF2B5EF4-FFF2-40B4-BE49-F238E27FC236}">
                <a16:creationId xmlns:a16="http://schemas.microsoft.com/office/drawing/2014/main" id="{F55FF77D-B041-492A-8DC0-2C21CAB7C37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1" name="$E$129">
            <a:extLst>
              <a:ext uri="{FF2B5EF4-FFF2-40B4-BE49-F238E27FC236}">
                <a16:creationId xmlns:a16="http://schemas.microsoft.com/office/drawing/2014/main" id="{9BA9B577-57E3-4125-A012-958FCDE634AF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2" name="$E$129">
            <a:extLst>
              <a:ext uri="{FF2B5EF4-FFF2-40B4-BE49-F238E27FC236}">
                <a16:creationId xmlns:a16="http://schemas.microsoft.com/office/drawing/2014/main" id="{7C93F157-C1CD-456A-9AD2-5CEC7BB2EFC8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3" name="$E$129">
            <a:extLst>
              <a:ext uri="{FF2B5EF4-FFF2-40B4-BE49-F238E27FC236}">
                <a16:creationId xmlns:a16="http://schemas.microsoft.com/office/drawing/2014/main" id="{F89DF641-17D8-412D-BE76-B7CD1454885E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4" name="$E$129">
            <a:extLst>
              <a:ext uri="{FF2B5EF4-FFF2-40B4-BE49-F238E27FC236}">
                <a16:creationId xmlns:a16="http://schemas.microsoft.com/office/drawing/2014/main" id="{CF40EC13-0936-490E-9E29-C7B9D58D717B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5" name="$E$129">
            <a:extLst>
              <a:ext uri="{FF2B5EF4-FFF2-40B4-BE49-F238E27FC236}">
                <a16:creationId xmlns:a16="http://schemas.microsoft.com/office/drawing/2014/main" id="{0647327D-B949-4BF5-982C-4DD7D452D523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6" name="$E$129">
            <a:extLst>
              <a:ext uri="{FF2B5EF4-FFF2-40B4-BE49-F238E27FC236}">
                <a16:creationId xmlns:a16="http://schemas.microsoft.com/office/drawing/2014/main" id="{90DA938D-73C5-4B00-9AEB-FE125CFE42BC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7" name="$E$129">
            <a:extLst>
              <a:ext uri="{FF2B5EF4-FFF2-40B4-BE49-F238E27FC236}">
                <a16:creationId xmlns:a16="http://schemas.microsoft.com/office/drawing/2014/main" id="{072901C5-6C57-42EC-A80A-4F0990F4DD11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8" name="$E$129">
            <a:extLst>
              <a:ext uri="{FF2B5EF4-FFF2-40B4-BE49-F238E27FC236}">
                <a16:creationId xmlns:a16="http://schemas.microsoft.com/office/drawing/2014/main" id="{8E447CA5-7A89-40DD-AF83-1DC5CFA2BE32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9" name="$E$129">
            <a:extLst>
              <a:ext uri="{FF2B5EF4-FFF2-40B4-BE49-F238E27FC236}">
                <a16:creationId xmlns:a16="http://schemas.microsoft.com/office/drawing/2014/main" id="{B32A975A-5A4F-4470-A44F-63CD5A08B78B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0" name="$E$129">
            <a:extLst>
              <a:ext uri="{FF2B5EF4-FFF2-40B4-BE49-F238E27FC236}">
                <a16:creationId xmlns:a16="http://schemas.microsoft.com/office/drawing/2014/main" id="{6CF6BC2E-C2D1-4681-B176-499BE7894BFC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1" name="$E$129">
            <a:extLst>
              <a:ext uri="{FF2B5EF4-FFF2-40B4-BE49-F238E27FC236}">
                <a16:creationId xmlns:a16="http://schemas.microsoft.com/office/drawing/2014/main" id="{DE22C8FC-4616-4A5D-9AA6-7A569EDD5E2C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2" name="$E$129">
            <a:extLst>
              <a:ext uri="{FF2B5EF4-FFF2-40B4-BE49-F238E27FC236}">
                <a16:creationId xmlns:a16="http://schemas.microsoft.com/office/drawing/2014/main" id="{A710D0C3-F30B-4DBA-A380-E693B54AEDA7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3" name="$E$129">
            <a:extLst>
              <a:ext uri="{FF2B5EF4-FFF2-40B4-BE49-F238E27FC236}">
                <a16:creationId xmlns:a16="http://schemas.microsoft.com/office/drawing/2014/main" id="{FB53751B-8564-4932-ABE4-A6C6EC8F89B2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4" name="$E$129">
            <a:extLst>
              <a:ext uri="{FF2B5EF4-FFF2-40B4-BE49-F238E27FC236}">
                <a16:creationId xmlns:a16="http://schemas.microsoft.com/office/drawing/2014/main" id="{3A5B1886-5FA3-4D4B-806E-F2F3AF6D4864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5" name="$E$129">
            <a:extLst>
              <a:ext uri="{FF2B5EF4-FFF2-40B4-BE49-F238E27FC236}">
                <a16:creationId xmlns:a16="http://schemas.microsoft.com/office/drawing/2014/main" id="{B0B493DD-C8A4-4785-8D44-F644695B01B2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6" name="$E$129">
            <a:extLst>
              <a:ext uri="{FF2B5EF4-FFF2-40B4-BE49-F238E27FC236}">
                <a16:creationId xmlns:a16="http://schemas.microsoft.com/office/drawing/2014/main" id="{3DABBC53-204D-41F1-B8AC-7669F60E0DF2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7" name="$E$129">
            <a:extLst>
              <a:ext uri="{FF2B5EF4-FFF2-40B4-BE49-F238E27FC236}">
                <a16:creationId xmlns:a16="http://schemas.microsoft.com/office/drawing/2014/main" id="{5373C0DA-607E-49EA-8A91-EC618D83687D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8" name="$E$129">
            <a:extLst>
              <a:ext uri="{FF2B5EF4-FFF2-40B4-BE49-F238E27FC236}">
                <a16:creationId xmlns:a16="http://schemas.microsoft.com/office/drawing/2014/main" id="{5CC06EFC-FEBC-4973-9067-404F49A4F9B4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9" name="$E$129">
            <a:extLst>
              <a:ext uri="{FF2B5EF4-FFF2-40B4-BE49-F238E27FC236}">
                <a16:creationId xmlns:a16="http://schemas.microsoft.com/office/drawing/2014/main" id="{14C376A8-950B-4AD9-B589-EFE0B365E7E4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0" name="$E$129">
            <a:extLst>
              <a:ext uri="{FF2B5EF4-FFF2-40B4-BE49-F238E27FC236}">
                <a16:creationId xmlns:a16="http://schemas.microsoft.com/office/drawing/2014/main" id="{DBE8E16B-8208-4981-87E6-745E37166027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1" name="$E$129">
            <a:extLst>
              <a:ext uri="{FF2B5EF4-FFF2-40B4-BE49-F238E27FC236}">
                <a16:creationId xmlns:a16="http://schemas.microsoft.com/office/drawing/2014/main" id="{72249785-4117-4FB7-B17D-99E6118D741E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2" name="$E$129">
            <a:extLst>
              <a:ext uri="{FF2B5EF4-FFF2-40B4-BE49-F238E27FC236}">
                <a16:creationId xmlns:a16="http://schemas.microsoft.com/office/drawing/2014/main" id="{8DD084C6-E81D-45F8-81CD-71337C8C8E3B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3" name="$E$129">
            <a:extLst>
              <a:ext uri="{FF2B5EF4-FFF2-40B4-BE49-F238E27FC236}">
                <a16:creationId xmlns:a16="http://schemas.microsoft.com/office/drawing/2014/main" id="{081B22AF-2DE5-49FC-B65A-CA219E2D697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4" name="$E$129">
            <a:extLst>
              <a:ext uri="{FF2B5EF4-FFF2-40B4-BE49-F238E27FC236}">
                <a16:creationId xmlns:a16="http://schemas.microsoft.com/office/drawing/2014/main" id="{3355B6FD-8236-41D4-A3A5-CB62DD907F43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5" name="$E$129">
            <a:extLst>
              <a:ext uri="{FF2B5EF4-FFF2-40B4-BE49-F238E27FC236}">
                <a16:creationId xmlns:a16="http://schemas.microsoft.com/office/drawing/2014/main" id="{971389B3-B6E6-4A7B-81E1-62E198B67011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6" name="$E$129">
            <a:extLst>
              <a:ext uri="{FF2B5EF4-FFF2-40B4-BE49-F238E27FC236}">
                <a16:creationId xmlns:a16="http://schemas.microsoft.com/office/drawing/2014/main" id="{2EC4C542-B2A0-49EC-BEAD-DECE0848A19A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7" name="$E$129">
            <a:extLst>
              <a:ext uri="{FF2B5EF4-FFF2-40B4-BE49-F238E27FC236}">
                <a16:creationId xmlns:a16="http://schemas.microsoft.com/office/drawing/2014/main" id="{50E54651-33DF-43BE-AD72-CF76968C5B22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8" name="$E$129">
            <a:extLst>
              <a:ext uri="{FF2B5EF4-FFF2-40B4-BE49-F238E27FC236}">
                <a16:creationId xmlns:a16="http://schemas.microsoft.com/office/drawing/2014/main" id="{D7A74E4E-EF88-4095-9BD5-EB7B98AA6CCC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9" name="$E$129">
            <a:extLst>
              <a:ext uri="{FF2B5EF4-FFF2-40B4-BE49-F238E27FC236}">
                <a16:creationId xmlns:a16="http://schemas.microsoft.com/office/drawing/2014/main" id="{C8C77584-40F6-45B8-8057-D8AED029DA58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0" name="$E$129">
            <a:extLst>
              <a:ext uri="{FF2B5EF4-FFF2-40B4-BE49-F238E27FC236}">
                <a16:creationId xmlns:a16="http://schemas.microsoft.com/office/drawing/2014/main" id="{77FE2596-39D7-4616-B2AB-49B63FA28AFA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1" name="$E$129">
            <a:extLst>
              <a:ext uri="{FF2B5EF4-FFF2-40B4-BE49-F238E27FC236}">
                <a16:creationId xmlns:a16="http://schemas.microsoft.com/office/drawing/2014/main" id="{B627C7B2-9CCB-494A-9F3F-4D64E9A77F92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2" name="$E$129">
            <a:extLst>
              <a:ext uri="{FF2B5EF4-FFF2-40B4-BE49-F238E27FC236}">
                <a16:creationId xmlns:a16="http://schemas.microsoft.com/office/drawing/2014/main" id="{826F05EC-CF71-48AA-AB2D-245D1676BA9C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3" name="$E$129">
            <a:extLst>
              <a:ext uri="{FF2B5EF4-FFF2-40B4-BE49-F238E27FC236}">
                <a16:creationId xmlns:a16="http://schemas.microsoft.com/office/drawing/2014/main" id="{3DD9699D-A9E0-4FDD-AEA9-7EAABB21EEB2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4" name="$E$129">
            <a:extLst>
              <a:ext uri="{FF2B5EF4-FFF2-40B4-BE49-F238E27FC236}">
                <a16:creationId xmlns:a16="http://schemas.microsoft.com/office/drawing/2014/main" id="{7A381CDB-E6AB-4452-9963-BE41082441B6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5" name="$E$129">
            <a:extLst>
              <a:ext uri="{FF2B5EF4-FFF2-40B4-BE49-F238E27FC236}">
                <a16:creationId xmlns:a16="http://schemas.microsoft.com/office/drawing/2014/main" id="{1CD139C0-CBFD-45A9-AEDF-414E6B45CF2C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6" name="$E$129">
            <a:extLst>
              <a:ext uri="{FF2B5EF4-FFF2-40B4-BE49-F238E27FC236}">
                <a16:creationId xmlns:a16="http://schemas.microsoft.com/office/drawing/2014/main" id="{1EA6EE00-D84F-4185-B01F-C1B5E4BD0B54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7" name="$E$129">
            <a:extLst>
              <a:ext uri="{FF2B5EF4-FFF2-40B4-BE49-F238E27FC236}">
                <a16:creationId xmlns:a16="http://schemas.microsoft.com/office/drawing/2014/main" id="{05B4E099-4E6E-41EE-816F-8893B365C58A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8" name="$E$129">
            <a:extLst>
              <a:ext uri="{FF2B5EF4-FFF2-40B4-BE49-F238E27FC236}">
                <a16:creationId xmlns:a16="http://schemas.microsoft.com/office/drawing/2014/main" id="{E283CE52-F920-431B-A45A-A287E428A749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9" name="$E$129">
            <a:extLst>
              <a:ext uri="{FF2B5EF4-FFF2-40B4-BE49-F238E27FC236}">
                <a16:creationId xmlns:a16="http://schemas.microsoft.com/office/drawing/2014/main" id="{CCB986FA-BC02-40EB-AAF5-7096AF729AC8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0" name="$E$129">
            <a:extLst>
              <a:ext uri="{FF2B5EF4-FFF2-40B4-BE49-F238E27FC236}">
                <a16:creationId xmlns:a16="http://schemas.microsoft.com/office/drawing/2014/main" id="{91DB23AC-F3B2-4513-A644-4DCFE7526DEA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1" name="$E$129">
            <a:extLst>
              <a:ext uri="{FF2B5EF4-FFF2-40B4-BE49-F238E27FC236}">
                <a16:creationId xmlns:a16="http://schemas.microsoft.com/office/drawing/2014/main" id="{238E3920-53D2-47B8-89A7-F9FDD238AB6E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2" name="$E$129">
            <a:extLst>
              <a:ext uri="{FF2B5EF4-FFF2-40B4-BE49-F238E27FC236}">
                <a16:creationId xmlns:a16="http://schemas.microsoft.com/office/drawing/2014/main" id="{11D6E1A6-3434-4B62-8929-5136B69B168B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3" name="$E$129">
            <a:extLst>
              <a:ext uri="{FF2B5EF4-FFF2-40B4-BE49-F238E27FC236}">
                <a16:creationId xmlns:a16="http://schemas.microsoft.com/office/drawing/2014/main" id="{25D84685-B7D6-4E68-A413-E562C189C377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4" name="$E$129">
            <a:extLst>
              <a:ext uri="{FF2B5EF4-FFF2-40B4-BE49-F238E27FC236}">
                <a16:creationId xmlns:a16="http://schemas.microsoft.com/office/drawing/2014/main" id="{355DCF35-A462-4829-8946-3BE0E91CA8FB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5" name="$E$129">
            <a:extLst>
              <a:ext uri="{FF2B5EF4-FFF2-40B4-BE49-F238E27FC236}">
                <a16:creationId xmlns:a16="http://schemas.microsoft.com/office/drawing/2014/main" id="{77185A47-1C69-48AF-91D4-64F72B325508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6" name="$E$129">
            <a:extLst>
              <a:ext uri="{FF2B5EF4-FFF2-40B4-BE49-F238E27FC236}">
                <a16:creationId xmlns:a16="http://schemas.microsoft.com/office/drawing/2014/main" id="{D46AF333-B341-4BF6-9231-88D41A988049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7" name="$E$129">
            <a:extLst>
              <a:ext uri="{FF2B5EF4-FFF2-40B4-BE49-F238E27FC236}">
                <a16:creationId xmlns:a16="http://schemas.microsoft.com/office/drawing/2014/main" id="{E1F8DFCB-FED4-4BC2-B756-924C56E74161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8" name="$E$129">
            <a:extLst>
              <a:ext uri="{FF2B5EF4-FFF2-40B4-BE49-F238E27FC236}">
                <a16:creationId xmlns:a16="http://schemas.microsoft.com/office/drawing/2014/main" id="{FF6C861D-FDAE-4921-9801-819285E1BD9D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9" name="$E$129">
            <a:extLst>
              <a:ext uri="{FF2B5EF4-FFF2-40B4-BE49-F238E27FC236}">
                <a16:creationId xmlns:a16="http://schemas.microsoft.com/office/drawing/2014/main" id="{4D4480AD-9EA1-4E5C-A6A7-6C399D973F3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0" name="$E$129">
            <a:extLst>
              <a:ext uri="{FF2B5EF4-FFF2-40B4-BE49-F238E27FC236}">
                <a16:creationId xmlns:a16="http://schemas.microsoft.com/office/drawing/2014/main" id="{77ACC91B-B8B5-498F-A42A-728EFA427683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1" name="$E$129">
            <a:extLst>
              <a:ext uri="{FF2B5EF4-FFF2-40B4-BE49-F238E27FC236}">
                <a16:creationId xmlns:a16="http://schemas.microsoft.com/office/drawing/2014/main" id="{3D0EE311-AF2D-47AC-A425-93767B12E835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2" name="$E$129">
            <a:extLst>
              <a:ext uri="{FF2B5EF4-FFF2-40B4-BE49-F238E27FC236}">
                <a16:creationId xmlns:a16="http://schemas.microsoft.com/office/drawing/2014/main" id="{AFCE99AF-043B-49A9-A7D2-9E9F80EE3A0E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3" name="$E$129">
            <a:extLst>
              <a:ext uri="{FF2B5EF4-FFF2-40B4-BE49-F238E27FC236}">
                <a16:creationId xmlns:a16="http://schemas.microsoft.com/office/drawing/2014/main" id="{CD8210BC-91EB-4D86-8752-4896844AC823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4" name="$E$129">
            <a:extLst>
              <a:ext uri="{FF2B5EF4-FFF2-40B4-BE49-F238E27FC236}">
                <a16:creationId xmlns:a16="http://schemas.microsoft.com/office/drawing/2014/main" id="{3A7E8F27-ACC3-46C9-8803-9DCB597E7665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5" name="$E$129">
            <a:extLst>
              <a:ext uri="{FF2B5EF4-FFF2-40B4-BE49-F238E27FC236}">
                <a16:creationId xmlns:a16="http://schemas.microsoft.com/office/drawing/2014/main" id="{B0630943-4C1C-43EE-B2C7-CA7CA085A649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6" name="$E$129">
            <a:extLst>
              <a:ext uri="{FF2B5EF4-FFF2-40B4-BE49-F238E27FC236}">
                <a16:creationId xmlns:a16="http://schemas.microsoft.com/office/drawing/2014/main" id="{DBF0A394-AE01-42EF-ABF3-A1B828B98C96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7" name="$E$129">
            <a:extLst>
              <a:ext uri="{FF2B5EF4-FFF2-40B4-BE49-F238E27FC236}">
                <a16:creationId xmlns:a16="http://schemas.microsoft.com/office/drawing/2014/main" id="{3DA83A48-2303-4296-A664-26D8310FF343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8" name="$E$129">
            <a:extLst>
              <a:ext uri="{FF2B5EF4-FFF2-40B4-BE49-F238E27FC236}">
                <a16:creationId xmlns:a16="http://schemas.microsoft.com/office/drawing/2014/main" id="{A1B96CB5-1256-4F8C-A386-8A67511F197C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9" name="$E$129">
            <a:extLst>
              <a:ext uri="{FF2B5EF4-FFF2-40B4-BE49-F238E27FC236}">
                <a16:creationId xmlns:a16="http://schemas.microsoft.com/office/drawing/2014/main" id="{6EF95E62-82C0-4372-BAF7-76BAD09CE537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0" name="$E$129">
            <a:extLst>
              <a:ext uri="{FF2B5EF4-FFF2-40B4-BE49-F238E27FC236}">
                <a16:creationId xmlns:a16="http://schemas.microsoft.com/office/drawing/2014/main" id="{9EA72D44-7F59-4781-99FD-FEE38B345404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1" name="$E$129">
            <a:extLst>
              <a:ext uri="{FF2B5EF4-FFF2-40B4-BE49-F238E27FC236}">
                <a16:creationId xmlns:a16="http://schemas.microsoft.com/office/drawing/2014/main" id="{6EA3642C-17A6-4B4B-BF3F-26963DB5C93F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2" name="$E$129">
            <a:extLst>
              <a:ext uri="{FF2B5EF4-FFF2-40B4-BE49-F238E27FC236}">
                <a16:creationId xmlns:a16="http://schemas.microsoft.com/office/drawing/2014/main" id="{DFFD43B9-73B4-4AA2-8D4A-6937B272CAF4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3" name="$E$129">
            <a:extLst>
              <a:ext uri="{FF2B5EF4-FFF2-40B4-BE49-F238E27FC236}">
                <a16:creationId xmlns:a16="http://schemas.microsoft.com/office/drawing/2014/main" id="{0AF665EB-85C5-470F-A061-E6FD06C759C6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4" name="$E$129">
            <a:extLst>
              <a:ext uri="{FF2B5EF4-FFF2-40B4-BE49-F238E27FC236}">
                <a16:creationId xmlns:a16="http://schemas.microsoft.com/office/drawing/2014/main" id="{0CD795C6-AEF1-469B-8FA3-2689B67767A4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5" name="$E$129">
            <a:extLst>
              <a:ext uri="{FF2B5EF4-FFF2-40B4-BE49-F238E27FC236}">
                <a16:creationId xmlns:a16="http://schemas.microsoft.com/office/drawing/2014/main" id="{3A6C0A8D-A516-43F2-93E8-75F42F73778C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6" name="$E$129">
            <a:extLst>
              <a:ext uri="{FF2B5EF4-FFF2-40B4-BE49-F238E27FC236}">
                <a16:creationId xmlns:a16="http://schemas.microsoft.com/office/drawing/2014/main" id="{5072E677-91AF-483A-A276-297D27F2B73C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7" name="$E$129">
            <a:extLst>
              <a:ext uri="{FF2B5EF4-FFF2-40B4-BE49-F238E27FC236}">
                <a16:creationId xmlns:a16="http://schemas.microsoft.com/office/drawing/2014/main" id="{DECD4728-7877-4E55-A1EB-FE1E9D3D9F3F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8" name="$E$129">
            <a:extLst>
              <a:ext uri="{FF2B5EF4-FFF2-40B4-BE49-F238E27FC236}">
                <a16:creationId xmlns:a16="http://schemas.microsoft.com/office/drawing/2014/main" id="{42E16E3E-A7B8-4404-8283-DEAF41DE4947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9" name="$E$129">
            <a:extLst>
              <a:ext uri="{FF2B5EF4-FFF2-40B4-BE49-F238E27FC236}">
                <a16:creationId xmlns:a16="http://schemas.microsoft.com/office/drawing/2014/main" id="{E5B69525-8790-4D3F-A458-907DE55A9E76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0" name="$E$129">
            <a:extLst>
              <a:ext uri="{FF2B5EF4-FFF2-40B4-BE49-F238E27FC236}">
                <a16:creationId xmlns:a16="http://schemas.microsoft.com/office/drawing/2014/main" id="{194AE3A2-5B26-4020-968E-73148AED9CAF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1" name="$E$129">
            <a:extLst>
              <a:ext uri="{FF2B5EF4-FFF2-40B4-BE49-F238E27FC236}">
                <a16:creationId xmlns:a16="http://schemas.microsoft.com/office/drawing/2014/main" id="{F4842A14-4D46-4C12-BC87-7E9047C01925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2" name="$E$129">
            <a:extLst>
              <a:ext uri="{FF2B5EF4-FFF2-40B4-BE49-F238E27FC236}">
                <a16:creationId xmlns:a16="http://schemas.microsoft.com/office/drawing/2014/main" id="{942C8592-6085-4688-82F9-F3B0F3ABA891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3" name="$E$129">
            <a:extLst>
              <a:ext uri="{FF2B5EF4-FFF2-40B4-BE49-F238E27FC236}">
                <a16:creationId xmlns:a16="http://schemas.microsoft.com/office/drawing/2014/main" id="{38E80EC8-BA4F-4DD6-9319-9FD8A8C0D18C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4" name="$E$129">
            <a:extLst>
              <a:ext uri="{FF2B5EF4-FFF2-40B4-BE49-F238E27FC236}">
                <a16:creationId xmlns:a16="http://schemas.microsoft.com/office/drawing/2014/main" id="{E136145B-15AC-4E3F-B8B4-1BC93776F1F9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5" name="$E$129">
            <a:extLst>
              <a:ext uri="{FF2B5EF4-FFF2-40B4-BE49-F238E27FC236}">
                <a16:creationId xmlns:a16="http://schemas.microsoft.com/office/drawing/2014/main" id="{480F2BE0-DB6B-4227-8DAD-39C043FF14BF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6" name="$E$129">
            <a:extLst>
              <a:ext uri="{FF2B5EF4-FFF2-40B4-BE49-F238E27FC236}">
                <a16:creationId xmlns:a16="http://schemas.microsoft.com/office/drawing/2014/main" id="{AD843EC3-38E7-40E0-AB24-3062DFB13E4E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7" name="$E$129">
            <a:extLst>
              <a:ext uri="{FF2B5EF4-FFF2-40B4-BE49-F238E27FC236}">
                <a16:creationId xmlns:a16="http://schemas.microsoft.com/office/drawing/2014/main" id="{5777F4DC-8DC4-4ABF-BFDC-8D13D1D67481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8" name="$E$129">
            <a:extLst>
              <a:ext uri="{FF2B5EF4-FFF2-40B4-BE49-F238E27FC236}">
                <a16:creationId xmlns:a16="http://schemas.microsoft.com/office/drawing/2014/main" id="{CE0948B3-70ED-49D2-913A-A49039F033C9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9" name="$E$129">
            <a:extLst>
              <a:ext uri="{FF2B5EF4-FFF2-40B4-BE49-F238E27FC236}">
                <a16:creationId xmlns:a16="http://schemas.microsoft.com/office/drawing/2014/main" id="{AA4955B3-8F0D-4739-A579-4EC1CA354B2C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0" name="$E$129">
            <a:extLst>
              <a:ext uri="{FF2B5EF4-FFF2-40B4-BE49-F238E27FC236}">
                <a16:creationId xmlns:a16="http://schemas.microsoft.com/office/drawing/2014/main" id="{1AE15D4D-CBBB-4574-8C1F-C6F61BDAAF41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1" name="$E$129">
            <a:extLst>
              <a:ext uri="{FF2B5EF4-FFF2-40B4-BE49-F238E27FC236}">
                <a16:creationId xmlns:a16="http://schemas.microsoft.com/office/drawing/2014/main" id="{A0D4C715-DCC1-4970-95CF-B9BCEFD093CC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2" name="$E$129">
            <a:extLst>
              <a:ext uri="{FF2B5EF4-FFF2-40B4-BE49-F238E27FC236}">
                <a16:creationId xmlns:a16="http://schemas.microsoft.com/office/drawing/2014/main" id="{7374BB04-DD56-4834-85A5-9F8D03BB3BC5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3" name="$E$129">
            <a:extLst>
              <a:ext uri="{FF2B5EF4-FFF2-40B4-BE49-F238E27FC236}">
                <a16:creationId xmlns:a16="http://schemas.microsoft.com/office/drawing/2014/main" id="{BF8D2F9D-01B2-44FD-A489-167337EDFDDB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4" name="$E$129">
            <a:extLst>
              <a:ext uri="{FF2B5EF4-FFF2-40B4-BE49-F238E27FC236}">
                <a16:creationId xmlns:a16="http://schemas.microsoft.com/office/drawing/2014/main" id="{D97E7035-5006-43AB-B3FF-C7650C83D5C9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5" name="$E$129">
            <a:extLst>
              <a:ext uri="{FF2B5EF4-FFF2-40B4-BE49-F238E27FC236}">
                <a16:creationId xmlns:a16="http://schemas.microsoft.com/office/drawing/2014/main" id="{3099990F-25E7-4611-B6AA-029B76F8A004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6" name="$E$129">
            <a:extLst>
              <a:ext uri="{FF2B5EF4-FFF2-40B4-BE49-F238E27FC236}">
                <a16:creationId xmlns:a16="http://schemas.microsoft.com/office/drawing/2014/main" id="{244E98A6-4B8A-41E0-87E3-2B17B5CC4FD9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7" name="$E$129">
            <a:extLst>
              <a:ext uri="{FF2B5EF4-FFF2-40B4-BE49-F238E27FC236}">
                <a16:creationId xmlns:a16="http://schemas.microsoft.com/office/drawing/2014/main" id="{7C56E41A-6A3B-43D2-8641-C14D620A09B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8" name="$E$129">
            <a:extLst>
              <a:ext uri="{FF2B5EF4-FFF2-40B4-BE49-F238E27FC236}">
                <a16:creationId xmlns:a16="http://schemas.microsoft.com/office/drawing/2014/main" id="{8CCE6CED-FE51-4B7A-9D6C-9E12C433D4C8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9" name="$E$129">
            <a:extLst>
              <a:ext uri="{FF2B5EF4-FFF2-40B4-BE49-F238E27FC236}">
                <a16:creationId xmlns:a16="http://schemas.microsoft.com/office/drawing/2014/main" id="{F35A8467-BA84-4A8E-ACDA-B130421B9FF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0" name="$E$129">
            <a:extLst>
              <a:ext uri="{FF2B5EF4-FFF2-40B4-BE49-F238E27FC236}">
                <a16:creationId xmlns:a16="http://schemas.microsoft.com/office/drawing/2014/main" id="{8B86658F-747C-4BEC-93D0-68F8279731C3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1" name="$E$129">
            <a:extLst>
              <a:ext uri="{FF2B5EF4-FFF2-40B4-BE49-F238E27FC236}">
                <a16:creationId xmlns:a16="http://schemas.microsoft.com/office/drawing/2014/main" id="{B8EC70A7-36D0-48C7-9A19-C654231796B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2" name="$E$129">
            <a:extLst>
              <a:ext uri="{FF2B5EF4-FFF2-40B4-BE49-F238E27FC236}">
                <a16:creationId xmlns:a16="http://schemas.microsoft.com/office/drawing/2014/main" id="{18C3F834-707D-477E-8B1A-655CC83DC18A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3" name="$E$129">
            <a:extLst>
              <a:ext uri="{FF2B5EF4-FFF2-40B4-BE49-F238E27FC236}">
                <a16:creationId xmlns:a16="http://schemas.microsoft.com/office/drawing/2014/main" id="{C6688DDC-C3A0-4647-90AD-5CB988AB7EBD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4" name="$E$129">
            <a:extLst>
              <a:ext uri="{FF2B5EF4-FFF2-40B4-BE49-F238E27FC236}">
                <a16:creationId xmlns:a16="http://schemas.microsoft.com/office/drawing/2014/main" id="{BA7099AB-A2B5-4C9A-869C-30A6037D90FE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5" name="$E$129">
            <a:extLst>
              <a:ext uri="{FF2B5EF4-FFF2-40B4-BE49-F238E27FC236}">
                <a16:creationId xmlns:a16="http://schemas.microsoft.com/office/drawing/2014/main" id="{B1CD5CE7-279F-4B1E-B39F-382F1DFF02D5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6" name="$E$129">
            <a:extLst>
              <a:ext uri="{FF2B5EF4-FFF2-40B4-BE49-F238E27FC236}">
                <a16:creationId xmlns:a16="http://schemas.microsoft.com/office/drawing/2014/main" id="{63C8E675-C093-4D8D-A01A-870E57FC8C5A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7" name="$E$129">
            <a:extLst>
              <a:ext uri="{FF2B5EF4-FFF2-40B4-BE49-F238E27FC236}">
                <a16:creationId xmlns:a16="http://schemas.microsoft.com/office/drawing/2014/main" id="{151AA7D4-1AEE-4800-BF1D-AFB3FD398681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8" name="$E$129">
            <a:extLst>
              <a:ext uri="{FF2B5EF4-FFF2-40B4-BE49-F238E27FC236}">
                <a16:creationId xmlns:a16="http://schemas.microsoft.com/office/drawing/2014/main" id="{3B197654-FBBF-4641-840B-6BB14FA50975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9" name="$E$129">
            <a:extLst>
              <a:ext uri="{FF2B5EF4-FFF2-40B4-BE49-F238E27FC236}">
                <a16:creationId xmlns:a16="http://schemas.microsoft.com/office/drawing/2014/main" id="{9619D0EF-BED1-42A8-88B9-5D08A3CD4BDA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0" name="$E$129">
            <a:extLst>
              <a:ext uri="{FF2B5EF4-FFF2-40B4-BE49-F238E27FC236}">
                <a16:creationId xmlns:a16="http://schemas.microsoft.com/office/drawing/2014/main" id="{3314698A-EC20-477B-81C3-D60F144B1795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1" name="$E$129">
            <a:extLst>
              <a:ext uri="{FF2B5EF4-FFF2-40B4-BE49-F238E27FC236}">
                <a16:creationId xmlns:a16="http://schemas.microsoft.com/office/drawing/2014/main" id="{3FD0B0BC-FCE8-43CB-B744-486BBF2B20BB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2" name="$E$129">
            <a:extLst>
              <a:ext uri="{FF2B5EF4-FFF2-40B4-BE49-F238E27FC236}">
                <a16:creationId xmlns:a16="http://schemas.microsoft.com/office/drawing/2014/main" id="{087013EA-7D25-4E98-B5E4-1E6B603E432D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3" name="$E$129">
            <a:extLst>
              <a:ext uri="{FF2B5EF4-FFF2-40B4-BE49-F238E27FC236}">
                <a16:creationId xmlns:a16="http://schemas.microsoft.com/office/drawing/2014/main" id="{1C256B6C-D228-4E75-980D-B980EC873B1B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4" name="$E$129">
            <a:extLst>
              <a:ext uri="{FF2B5EF4-FFF2-40B4-BE49-F238E27FC236}">
                <a16:creationId xmlns:a16="http://schemas.microsoft.com/office/drawing/2014/main" id="{8FD73CA9-7EFD-4E6D-B913-6CF503C3345C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5" name="$E$129">
            <a:extLst>
              <a:ext uri="{FF2B5EF4-FFF2-40B4-BE49-F238E27FC236}">
                <a16:creationId xmlns:a16="http://schemas.microsoft.com/office/drawing/2014/main" id="{964EE635-9F1C-4686-839E-B599C7442C1D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6" name="$E$129">
            <a:extLst>
              <a:ext uri="{FF2B5EF4-FFF2-40B4-BE49-F238E27FC236}">
                <a16:creationId xmlns:a16="http://schemas.microsoft.com/office/drawing/2014/main" id="{BC7807D5-12A1-4589-A49F-FE84D37BF9AF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7" name="$E$129">
            <a:extLst>
              <a:ext uri="{FF2B5EF4-FFF2-40B4-BE49-F238E27FC236}">
                <a16:creationId xmlns:a16="http://schemas.microsoft.com/office/drawing/2014/main" id="{BF221AAE-CBAF-4DA8-8A2A-EEA3E31BAB4D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8" name="$E$129">
            <a:extLst>
              <a:ext uri="{FF2B5EF4-FFF2-40B4-BE49-F238E27FC236}">
                <a16:creationId xmlns:a16="http://schemas.microsoft.com/office/drawing/2014/main" id="{6A7F439E-A7A5-451D-9E47-E132348E9068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9" name="$E$129">
            <a:extLst>
              <a:ext uri="{FF2B5EF4-FFF2-40B4-BE49-F238E27FC236}">
                <a16:creationId xmlns:a16="http://schemas.microsoft.com/office/drawing/2014/main" id="{7FBD9398-21FA-44E9-A2C8-5E1164A936E1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0" name="$E$129">
            <a:extLst>
              <a:ext uri="{FF2B5EF4-FFF2-40B4-BE49-F238E27FC236}">
                <a16:creationId xmlns:a16="http://schemas.microsoft.com/office/drawing/2014/main" id="{577B3B29-4ABD-4163-8094-57AB8CEAAC2B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1" name="$E$129">
            <a:extLst>
              <a:ext uri="{FF2B5EF4-FFF2-40B4-BE49-F238E27FC236}">
                <a16:creationId xmlns:a16="http://schemas.microsoft.com/office/drawing/2014/main" id="{3101C366-B7DF-4F89-B531-F84FAA8A7A06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2" name="$E$129">
            <a:extLst>
              <a:ext uri="{FF2B5EF4-FFF2-40B4-BE49-F238E27FC236}">
                <a16:creationId xmlns:a16="http://schemas.microsoft.com/office/drawing/2014/main" id="{43B3FEC7-21B9-403D-8B63-5BD84429B206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3" name="$E$129">
            <a:extLst>
              <a:ext uri="{FF2B5EF4-FFF2-40B4-BE49-F238E27FC236}">
                <a16:creationId xmlns:a16="http://schemas.microsoft.com/office/drawing/2014/main" id="{F159FFD1-24F4-4A98-9D9E-780F3551687A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4" name="$E$129">
            <a:extLst>
              <a:ext uri="{FF2B5EF4-FFF2-40B4-BE49-F238E27FC236}">
                <a16:creationId xmlns:a16="http://schemas.microsoft.com/office/drawing/2014/main" id="{90A51140-B8ED-4E4D-B74A-12A5C097D3F0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5" name="$E$129">
            <a:extLst>
              <a:ext uri="{FF2B5EF4-FFF2-40B4-BE49-F238E27FC236}">
                <a16:creationId xmlns:a16="http://schemas.microsoft.com/office/drawing/2014/main" id="{989F579A-A0FB-4773-97DA-7F4AC2F94077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6" name="$E$129">
            <a:extLst>
              <a:ext uri="{FF2B5EF4-FFF2-40B4-BE49-F238E27FC236}">
                <a16:creationId xmlns:a16="http://schemas.microsoft.com/office/drawing/2014/main" id="{4CFECA08-E270-4E2E-B164-3418326F6FF9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7" name="$E$129">
            <a:extLst>
              <a:ext uri="{FF2B5EF4-FFF2-40B4-BE49-F238E27FC236}">
                <a16:creationId xmlns:a16="http://schemas.microsoft.com/office/drawing/2014/main" id="{F763C49C-29EF-4664-B9CA-96D42A5B327F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8" name="$E$129">
            <a:extLst>
              <a:ext uri="{FF2B5EF4-FFF2-40B4-BE49-F238E27FC236}">
                <a16:creationId xmlns:a16="http://schemas.microsoft.com/office/drawing/2014/main" id="{E399E5C7-C3E1-407A-9C16-EE9144537D0C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9" name="$E$129">
            <a:extLst>
              <a:ext uri="{FF2B5EF4-FFF2-40B4-BE49-F238E27FC236}">
                <a16:creationId xmlns:a16="http://schemas.microsoft.com/office/drawing/2014/main" id="{52FF7C27-4A11-4DB9-B755-96623ACEF73A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0" name="$E$129">
            <a:extLst>
              <a:ext uri="{FF2B5EF4-FFF2-40B4-BE49-F238E27FC236}">
                <a16:creationId xmlns:a16="http://schemas.microsoft.com/office/drawing/2014/main" id="{40B0F02E-5770-42F8-B542-8C7EA700D62A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1" name="$E$129">
            <a:extLst>
              <a:ext uri="{FF2B5EF4-FFF2-40B4-BE49-F238E27FC236}">
                <a16:creationId xmlns:a16="http://schemas.microsoft.com/office/drawing/2014/main" id="{F321971D-A2E4-4D29-832F-4CB45440B3C5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2" name="$E$129">
            <a:extLst>
              <a:ext uri="{FF2B5EF4-FFF2-40B4-BE49-F238E27FC236}">
                <a16:creationId xmlns:a16="http://schemas.microsoft.com/office/drawing/2014/main" id="{7DA58554-D014-474F-8D01-64735CCC5401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3" name="$E$129">
            <a:extLst>
              <a:ext uri="{FF2B5EF4-FFF2-40B4-BE49-F238E27FC236}">
                <a16:creationId xmlns:a16="http://schemas.microsoft.com/office/drawing/2014/main" id="{3D8B7A06-E0C5-451E-95D7-76C18ED83A68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4" name="$E$129">
            <a:extLst>
              <a:ext uri="{FF2B5EF4-FFF2-40B4-BE49-F238E27FC236}">
                <a16:creationId xmlns:a16="http://schemas.microsoft.com/office/drawing/2014/main" id="{57B636DA-BC91-46D2-A99C-D398493BA632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5" name="$E$129">
            <a:extLst>
              <a:ext uri="{FF2B5EF4-FFF2-40B4-BE49-F238E27FC236}">
                <a16:creationId xmlns:a16="http://schemas.microsoft.com/office/drawing/2014/main" id="{E013AE4B-9BBE-4A94-9700-48D9697697AC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6" name="$E$129">
            <a:extLst>
              <a:ext uri="{FF2B5EF4-FFF2-40B4-BE49-F238E27FC236}">
                <a16:creationId xmlns:a16="http://schemas.microsoft.com/office/drawing/2014/main" id="{D1599EFA-CC55-4600-B07D-1B6E77F2855F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7" name="$E$129">
            <a:extLst>
              <a:ext uri="{FF2B5EF4-FFF2-40B4-BE49-F238E27FC236}">
                <a16:creationId xmlns:a16="http://schemas.microsoft.com/office/drawing/2014/main" id="{7075D6D8-3AEC-4041-978D-0BD76557BF1C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8" name="$E$129">
            <a:extLst>
              <a:ext uri="{FF2B5EF4-FFF2-40B4-BE49-F238E27FC236}">
                <a16:creationId xmlns:a16="http://schemas.microsoft.com/office/drawing/2014/main" id="{B0FC7B9F-6E71-49F6-98F4-A535E364F01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9" name="$E$129">
            <a:extLst>
              <a:ext uri="{FF2B5EF4-FFF2-40B4-BE49-F238E27FC236}">
                <a16:creationId xmlns:a16="http://schemas.microsoft.com/office/drawing/2014/main" id="{8A56092A-7F95-4831-A181-D36BD479E7A4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0" name="$E$129">
            <a:extLst>
              <a:ext uri="{FF2B5EF4-FFF2-40B4-BE49-F238E27FC236}">
                <a16:creationId xmlns:a16="http://schemas.microsoft.com/office/drawing/2014/main" id="{7633748A-87D1-4EE2-A194-D10E6F06AA59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1" name="$E$129">
            <a:extLst>
              <a:ext uri="{FF2B5EF4-FFF2-40B4-BE49-F238E27FC236}">
                <a16:creationId xmlns:a16="http://schemas.microsoft.com/office/drawing/2014/main" id="{118A42AF-3957-4ADC-AA4A-90C88EEC4E35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2" name="$E$129">
            <a:extLst>
              <a:ext uri="{FF2B5EF4-FFF2-40B4-BE49-F238E27FC236}">
                <a16:creationId xmlns:a16="http://schemas.microsoft.com/office/drawing/2014/main" id="{65296420-CD0F-49DF-A6C4-86420BC80F05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3" name="$E$129">
            <a:extLst>
              <a:ext uri="{FF2B5EF4-FFF2-40B4-BE49-F238E27FC236}">
                <a16:creationId xmlns:a16="http://schemas.microsoft.com/office/drawing/2014/main" id="{4CBFEBDA-3649-464E-8796-EAADF2766835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4" name="$E$129">
            <a:extLst>
              <a:ext uri="{FF2B5EF4-FFF2-40B4-BE49-F238E27FC236}">
                <a16:creationId xmlns:a16="http://schemas.microsoft.com/office/drawing/2014/main" id="{FB084165-DFB6-4EB8-B7A2-7FE337C67A8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5" name="$E$129">
            <a:extLst>
              <a:ext uri="{FF2B5EF4-FFF2-40B4-BE49-F238E27FC236}">
                <a16:creationId xmlns:a16="http://schemas.microsoft.com/office/drawing/2014/main" id="{60617E12-F4AB-4996-8629-80DC44895FC5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6" name="$E$129">
            <a:extLst>
              <a:ext uri="{FF2B5EF4-FFF2-40B4-BE49-F238E27FC236}">
                <a16:creationId xmlns:a16="http://schemas.microsoft.com/office/drawing/2014/main" id="{27890593-8BA4-4379-8AAA-EA999C8972BE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7" name="$E$129">
            <a:extLst>
              <a:ext uri="{FF2B5EF4-FFF2-40B4-BE49-F238E27FC236}">
                <a16:creationId xmlns:a16="http://schemas.microsoft.com/office/drawing/2014/main" id="{B6793C45-547F-4CB4-A093-E290E64A9F0F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8" name="$E$129">
            <a:extLst>
              <a:ext uri="{FF2B5EF4-FFF2-40B4-BE49-F238E27FC236}">
                <a16:creationId xmlns:a16="http://schemas.microsoft.com/office/drawing/2014/main" id="{48BD6A4F-B7D1-4AC5-B47B-C5EAB56078E4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9" name="$E$129">
            <a:extLst>
              <a:ext uri="{FF2B5EF4-FFF2-40B4-BE49-F238E27FC236}">
                <a16:creationId xmlns:a16="http://schemas.microsoft.com/office/drawing/2014/main" id="{1EC1E79E-CBA0-46A7-B320-8DAE4C7DD6B8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0" name="$E$129">
            <a:extLst>
              <a:ext uri="{FF2B5EF4-FFF2-40B4-BE49-F238E27FC236}">
                <a16:creationId xmlns:a16="http://schemas.microsoft.com/office/drawing/2014/main" id="{553125F9-C8B9-4435-B104-4CADA6CD2404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1" name="$E$129">
            <a:extLst>
              <a:ext uri="{FF2B5EF4-FFF2-40B4-BE49-F238E27FC236}">
                <a16:creationId xmlns:a16="http://schemas.microsoft.com/office/drawing/2014/main" id="{AFED0788-8B49-42A5-87EF-733110CD4DCC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2" name="$E$129">
            <a:extLst>
              <a:ext uri="{FF2B5EF4-FFF2-40B4-BE49-F238E27FC236}">
                <a16:creationId xmlns:a16="http://schemas.microsoft.com/office/drawing/2014/main" id="{FF4FC113-CC31-4E88-AA94-8A10F6B24B0C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3" name="$E$129">
            <a:extLst>
              <a:ext uri="{FF2B5EF4-FFF2-40B4-BE49-F238E27FC236}">
                <a16:creationId xmlns:a16="http://schemas.microsoft.com/office/drawing/2014/main" id="{320D5D73-3E71-4D99-B5A2-5C8932A15FD7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4" name="$E$129">
            <a:extLst>
              <a:ext uri="{FF2B5EF4-FFF2-40B4-BE49-F238E27FC236}">
                <a16:creationId xmlns:a16="http://schemas.microsoft.com/office/drawing/2014/main" id="{3227185F-A59E-4632-BFCE-D7C4259CB161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5" name="$E$129">
            <a:extLst>
              <a:ext uri="{FF2B5EF4-FFF2-40B4-BE49-F238E27FC236}">
                <a16:creationId xmlns:a16="http://schemas.microsoft.com/office/drawing/2014/main" id="{8423CCC0-35EA-4850-9B94-0FEF5E5FCAA4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6" name="$E$129">
            <a:extLst>
              <a:ext uri="{FF2B5EF4-FFF2-40B4-BE49-F238E27FC236}">
                <a16:creationId xmlns:a16="http://schemas.microsoft.com/office/drawing/2014/main" id="{42A5302B-6A8F-46A2-8BF2-FF30EF56CB5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7" name="$E$129">
            <a:extLst>
              <a:ext uri="{FF2B5EF4-FFF2-40B4-BE49-F238E27FC236}">
                <a16:creationId xmlns:a16="http://schemas.microsoft.com/office/drawing/2014/main" id="{4AF36586-7AB6-407B-8547-CBE54D59C6FD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8" name="$E$129">
            <a:extLst>
              <a:ext uri="{FF2B5EF4-FFF2-40B4-BE49-F238E27FC236}">
                <a16:creationId xmlns:a16="http://schemas.microsoft.com/office/drawing/2014/main" id="{80DAD935-D772-4F42-9CD9-687F214C31EB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9" name="$E$129">
            <a:extLst>
              <a:ext uri="{FF2B5EF4-FFF2-40B4-BE49-F238E27FC236}">
                <a16:creationId xmlns:a16="http://schemas.microsoft.com/office/drawing/2014/main" id="{7BAAD3BD-CDF0-4685-B1D6-4E78BEDBC5F6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0" name="$E$129">
            <a:extLst>
              <a:ext uri="{FF2B5EF4-FFF2-40B4-BE49-F238E27FC236}">
                <a16:creationId xmlns:a16="http://schemas.microsoft.com/office/drawing/2014/main" id="{544E45CC-EE1A-4E0E-A50F-C7E1515E93D2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1" name="$E$129">
            <a:extLst>
              <a:ext uri="{FF2B5EF4-FFF2-40B4-BE49-F238E27FC236}">
                <a16:creationId xmlns:a16="http://schemas.microsoft.com/office/drawing/2014/main" id="{D7E90AA1-BBD2-4463-A216-E00A6436BC52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2" name="$E$129">
            <a:extLst>
              <a:ext uri="{FF2B5EF4-FFF2-40B4-BE49-F238E27FC236}">
                <a16:creationId xmlns:a16="http://schemas.microsoft.com/office/drawing/2014/main" id="{0B18D828-9D57-43EB-9B7D-231EEA5F5C74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3" name="$E$129">
            <a:extLst>
              <a:ext uri="{FF2B5EF4-FFF2-40B4-BE49-F238E27FC236}">
                <a16:creationId xmlns:a16="http://schemas.microsoft.com/office/drawing/2014/main" id="{486EB5A3-D50B-4011-AC9A-89174755B538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4" name="$E$129">
            <a:extLst>
              <a:ext uri="{FF2B5EF4-FFF2-40B4-BE49-F238E27FC236}">
                <a16:creationId xmlns:a16="http://schemas.microsoft.com/office/drawing/2014/main" id="{CBA34D46-9D20-48E0-8FC0-45CBFF62747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5" name="$E$129">
            <a:extLst>
              <a:ext uri="{FF2B5EF4-FFF2-40B4-BE49-F238E27FC236}">
                <a16:creationId xmlns:a16="http://schemas.microsoft.com/office/drawing/2014/main" id="{712395EE-EC05-47ED-858E-90281CD24CEA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6" name="$E$129">
            <a:extLst>
              <a:ext uri="{FF2B5EF4-FFF2-40B4-BE49-F238E27FC236}">
                <a16:creationId xmlns:a16="http://schemas.microsoft.com/office/drawing/2014/main" id="{92AFA612-471C-4F82-BFC7-7AFDE0E10938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7" name="$E$129">
            <a:extLst>
              <a:ext uri="{FF2B5EF4-FFF2-40B4-BE49-F238E27FC236}">
                <a16:creationId xmlns:a16="http://schemas.microsoft.com/office/drawing/2014/main" id="{D1DE1F30-0584-4CB0-AEA7-D7113AF0C589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8" name="$E$129">
            <a:extLst>
              <a:ext uri="{FF2B5EF4-FFF2-40B4-BE49-F238E27FC236}">
                <a16:creationId xmlns:a16="http://schemas.microsoft.com/office/drawing/2014/main" id="{8F90A996-2760-4228-BC54-E7F14DD025C2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9" name="$E$129">
            <a:extLst>
              <a:ext uri="{FF2B5EF4-FFF2-40B4-BE49-F238E27FC236}">
                <a16:creationId xmlns:a16="http://schemas.microsoft.com/office/drawing/2014/main" id="{A12BB1CE-F545-430E-AE10-5FE7F953CE8D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0" name="$E$129">
            <a:extLst>
              <a:ext uri="{FF2B5EF4-FFF2-40B4-BE49-F238E27FC236}">
                <a16:creationId xmlns:a16="http://schemas.microsoft.com/office/drawing/2014/main" id="{37E1A7D0-B8BC-4671-9FF8-60091DAF16CB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1" name="$E$129">
            <a:extLst>
              <a:ext uri="{FF2B5EF4-FFF2-40B4-BE49-F238E27FC236}">
                <a16:creationId xmlns:a16="http://schemas.microsoft.com/office/drawing/2014/main" id="{D80C6AC6-A078-4689-A730-56B5BADD810C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2" name="$E$129">
            <a:extLst>
              <a:ext uri="{FF2B5EF4-FFF2-40B4-BE49-F238E27FC236}">
                <a16:creationId xmlns:a16="http://schemas.microsoft.com/office/drawing/2014/main" id="{17BB07A2-5B52-4EE9-9B65-5D79E8D34CAC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3" name="$E$129">
            <a:extLst>
              <a:ext uri="{FF2B5EF4-FFF2-40B4-BE49-F238E27FC236}">
                <a16:creationId xmlns:a16="http://schemas.microsoft.com/office/drawing/2014/main" id="{AB08760B-2841-4C92-A158-38323D644EC1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4" name="$E$129">
            <a:extLst>
              <a:ext uri="{FF2B5EF4-FFF2-40B4-BE49-F238E27FC236}">
                <a16:creationId xmlns:a16="http://schemas.microsoft.com/office/drawing/2014/main" id="{C9CE3249-CA1B-4E4E-8A7C-65048964BD92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5" name="$E$129">
            <a:extLst>
              <a:ext uri="{FF2B5EF4-FFF2-40B4-BE49-F238E27FC236}">
                <a16:creationId xmlns:a16="http://schemas.microsoft.com/office/drawing/2014/main" id="{B1BD75D2-96DA-4A5C-BAC1-B44C543EA377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6" name="$E$129">
            <a:extLst>
              <a:ext uri="{FF2B5EF4-FFF2-40B4-BE49-F238E27FC236}">
                <a16:creationId xmlns:a16="http://schemas.microsoft.com/office/drawing/2014/main" id="{88A524A9-2F97-4C75-AFA2-DDCC6CCB7628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7" name="$E$129">
            <a:extLst>
              <a:ext uri="{FF2B5EF4-FFF2-40B4-BE49-F238E27FC236}">
                <a16:creationId xmlns:a16="http://schemas.microsoft.com/office/drawing/2014/main" id="{ADF914AE-0394-4BF6-AF4F-8B4EB90DA569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8" name="$E$129">
            <a:extLst>
              <a:ext uri="{FF2B5EF4-FFF2-40B4-BE49-F238E27FC236}">
                <a16:creationId xmlns:a16="http://schemas.microsoft.com/office/drawing/2014/main" id="{C9AE30BE-D5B4-4265-804C-EE28A6CDC28E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9" name="$E$129">
            <a:extLst>
              <a:ext uri="{FF2B5EF4-FFF2-40B4-BE49-F238E27FC236}">
                <a16:creationId xmlns:a16="http://schemas.microsoft.com/office/drawing/2014/main" id="{70D668FF-3949-4835-8C8C-1AC4093CD714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0" name="$E$129">
            <a:extLst>
              <a:ext uri="{FF2B5EF4-FFF2-40B4-BE49-F238E27FC236}">
                <a16:creationId xmlns:a16="http://schemas.microsoft.com/office/drawing/2014/main" id="{96D99A90-DE5E-44DE-92D2-F04B8DDF256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1" name="$E$129">
            <a:extLst>
              <a:ext uri="{FF2B5EF4-FFF2-40B4-BE49-F238E27FC236}">
                <a16:creationId xmlns:a16="http://schemas.microsoft.com/office/drawing/2014/main" id="{DF4BE922-D586-49B3-9340-5E0C8C3A90AA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2" name="$E$129">
            <a:extLst>
              <a:ext uri="{FF2B5EF4-FFF2-40B4-BE49-F238E27FC236}">
                <a16:creationId xmlns:a16="http://schemas.microsoft.com/office/drawing/2014/main" id="{D5024BCB-CEA3-4241-8A73-AF2283A39595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3" name="$E$129">
            <a:extLst>
              <a:ext uri="{FF2B5EF4-FFF2-40B4-BE49-F238E27FC236}">
                <a16:creationId xmlns:a16="http://schemas.microsoft.com/office/drawing/2014/main" id="{315DEB79-6E2D-473C-B77D-9EA65E17AF51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4" name="$E$129">
            <a:extLst>
              <a:ext uri="{FF2B5EF4-FFF2-40B4-BE49-F238E27FC236}">
                <a16:creationId xmlns:a16="http://schemas.microsoft.com/office/drawing/2014/main" id="{F96AD451-6E4C-42D5-A074-4886918B73E3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5" name="$E$129">
            <a:extLst>
              <a:ext uri="{FF2B5EF4-FFF2-40B4-BE49-F238E27FC236}">
                <a16:creationId xmlns:a16="http://schemas.microsoft.com/office/drawing/2014/main" id="{B8D4A896-97A1-42EC-8FED-A3730D3DD13C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6" name="$E$129">
            <a:extLst>
              <a:ext uri="{FF2B5EF4-FFF2-40B4-BE49-F238E27FC236}">
                <a16:creationId xmlns:a16="http://schemas.microsoft.com/office/drawing/2014/main" id="{616DA743-C05E-4401-AD15-98C61ED80F7C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7" name="$E$129">
            <a:extLst>
              <a:ext uri="{FF2B5EF4-FFF2-40B4-BE49-F238E27FC236}">
                <a16:creationId xmlns:a16="http://schemas.microsoft.com/office/drawing/2014/main" id="{2120EAA8-B267-49DF-9E8C-0138D52DAF8A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8" name="$E$129">
            <a:extLst>
              <a:ext uri="{FF2B5EF4-FFF2-40B4-BE49-F238E27FC236}">
                <a16:creationId xmlns:a16="http://schemas.microsoft.com/office/drawing/2014/main" id="{087100B1-12B8-4087-B965-B8A0383E8A3B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9" name="$E$129">
            <a:extLst>
              <a:ext uri="{FF2B5EF4-FFF2-40B4-BE49-F238E27FC236}">
                <a16:creationId xmlns:a16="http://schemas.microsoft.com/office/drawing/2014/main" id="{9E834386-2D79-4D02-A3B3-BD9753EED676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0" name="$E$129">
            <a:extLst>
              <a:ext uri="{FF2B5EF4-FFF2-40B4-BE49-F238E27FC236}">
                <a16:creationId xmlns:a16="http://schemas.microsoft.com/office/drawing/2014/main" id="{5E0103F4-07AE-4E19-9CF9-7862151D1F18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1" name="$E$129">
            <a:extLst>
              <a:ext uri="{FF2B5EF4-FFF2-40B4-BE49-F238E27FC236}">
                <a16:creationId xmlns:a16="http://schemas.microsoft.com/office/drawing/2014/main" id="{5E93B983-1CCB-4660-A31F-94B01D09295C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2" name="$E$129">
            <a:extLst>
              <a:ext uri="{FF2B5EF4-FFF2-40B4-BE49-F238E27FC236}">
                <a16:creationId xmlns:a16="http://schemas.microsoft.com/office/drawing/2014/main" id="{8EB3E4B7-0444-42EF-995B-814E3BABC62C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3" name="$E$129">
            <a:extLst>
              <a:ext uri="{FF2B5EF4-FFF2-40B4-BE49-F238E27FC236}">
                <a16:creationId xmlns:a16="http://schemas.microsoft.com/office/drawing/2014/main" id="{D0ECC491-06C8-4CC4-81D9-0B3B30171ECA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4" name="$E$129">
            <a:extLst>
              <a:ext uri="{FF2B5EF4-FFF2-40B4-BE49-F238E27FC236}">
                <a16:creationId xmlns:a16="http://schemas.microsoft.com/office/drawing/2014/main" id="{C12BDE62-000C-4450-BA93-605D53D1A767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5" name="$E$129">
            <a:extLst>
              <a:ext uri="{FF2B5EF4-FFF2-40B4-BE49-F238E27FC236}">
                <a16:creationId xmlns:a16="http://schemas.microsoft.com/office/drawing/2014/main" id="{CB08F646-67D3-45FE-9CC4-C5348B76E849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6" name="$E$129">
            <a:extLst>
              <a:ext uri="{FF2B5EF4-FFF2-40B4-BE49-F238E27FC236}">
                <a16:creationId xmlns:a16="http://schemas.microsoft.com/office/drawing/2014/main" id="{C9BBC228-64F0-4B0B-93DC-F78F7F655689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7" name="$E$129">
            <a:extLst>
              <a:ext uri="{FF2B5EF4-FFF2-40B4-BE49-F238E27FC236}">
                <a16:creationId xmlns:a16="http://schemas.microsoft.com/office/drawing/2014/main" id="{284636ED-FC13-4E39-B226-E30D4AA27124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8" name="$E$129">
            <a:extLst>
              <a:ext uri="{FF2B5EF4-FFF2-40B4-BE49-F238E27FC236}">
                <a16:creationId xmlns:a16="http://schemas.microsoft.com/office/drawing/2014/main" id="{097A663F-A964-4500-8A27-2610F6CB9658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9" name="$E$129">
            <a:extLst>
              <a:ext uri="{FF2B5EF4-FFF2-40B4-BE49-F238E27FC236}">
                <a16:creationId xmlns:a16="http://schemas.microsoft.com/office/drawing/2014/main" id="{FD84EB7B-99CD-4B93-A734-20E480B3CE21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0" name="$E$129">
            <a:extLst>
              <a:ext uri="{FF2B5EF4-FFF2-40B4-BE49-F238E27FC236}">
                <a16:creationId xmlns:a16="http://schemas.microsoft.com/office/drawing/2014/main" id="{E7126699-5E77-4377-97BB-744BCDD8132D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1" name="$E$129">
            <a:extLst>
              <a:ext uri="{FF2B5EF4-FFF2-40B4-BE49-F238E27FC236}">
                <a16:creationId xmlns:a16="http://schemas.microsoft.com/office/drawing/2014/main" id="{F5DF942C-C271-4A15-BE64-7088CF404F76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2" name="$E$129">
            <a:extLst>
              <a:ext uri="{FF2B5EF4-FFF2-40B4-BE49-F238E27FC236}">
                <a16:creationId xmlns:a16="http://schemas.microsoft.com/office/drawing/2014/main" id="{FF2636FF-10CC-4DF7-90E9-D152B2A74621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3" name="$E$129">
            <a:extLst>
              <a:ext uri="{FF2B5EF4-FFF2-40B4-BE49-F238E27FC236}">
                <a16:creationId xmlns:a16="http://schemas.microsoft.com/office/drawing/2014/main" id="{69BA4B64-3A01-4621-BCA4-941BA634159B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4" name="$E$129">
            <a:extLst>
              <a:ext uri="{FF2B5EF4-FFF2-40B4-BE49-F238E27FC236}">
                <a16:creationId xmlns:a16="http://schemas.microsoft.com/office/drawing/2014/main" id="{839FBE3A-68A5-4C4C-8FED-40AD5204E86A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5" name="$E$129">
            <a:extLst>
              <a:ext uri="{FF2B5EF4-FFF2-40B4-BE49-F238E27FC236}">
                <a16:creationId xmlns:a16="http://schemas.microsoft.com/office/drawing/2014/main" id="{52440E73-ED28-4FBC-AEE5-B7C6365E8A37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6" name="$E$129">
            <a:extLst>
              <a:ext uri="{FF2B5EF4-FFF2-40B4-BE49-F238E27FC236}">
                <a16:creationId xmlns:a16="http://schemas.microsoft.com/office/drawing/2014/main" id="{DA154F0F-5DD3-4724-8E91-D55D40622E31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7" name="$E$129">
            <a:extLst>
              <a:ext uri="{FF2B5EF4-FFF2-40B4-BE49-F238E27FC236}">
                <a16:creationId xmlns:a16="http://schemas.microsoft.com/office/drawing/2014/main" id="{08E7FB66-B3CD-41CE-B35E-9B0BB8314DD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8" name="$E$129">
            <a:extLst>
              <a:ext uri="{FF2B5EF4-FFF2-40B4-BE49-F238E27FC236}">
                <a16:creationId xmlns:a16="http://schemas.microsoft.com/office/drawing/2014/main" id="{85053AAC-5136-43CE-A563-4824B5F4FEFC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9" name="$E$129">
            <a:extLst>
              <a:ext uri="{FF2B5EF4-FFF2-40B4-BE49-F238E27FC236}">
                <a16:creationId xmlns:a16="http://schemas.microsoft.com/office/drawing/2014/main" id="{4BD7AFBB-599C-4882-A8EC-5915A53527CC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0" name="$E$129">
            <a:extLst>
              <a:ext uri="{FF2B5EF4-FFF2-40B4-BE49-F238E27FC236}">
                <a16:creationId xmlns:a16="http://schemas.microsoft.com/office/drawing/2014/main" id="{4C35F99E-4308-4F8E-B5EE-F820F7838AD9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1" name="$E$129">
            <a:extLst>
              <a:ext uri="{FF2B5EF4-FFF2-40B4-BE49-F238E27FC236}">
                <a16:creationId xmlns:a16="http://schemas.microsoft.com/office/drawing/2014/main" id="{6C4DCB12-D8BA-4BEB-9116-FAE8204E58E9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2" name="$E$129">
            <a:extLst>
              <a:ext uri="{FF2B5EF4-FFF2-40B4-BE49-F238E27FC236}">
                <a16:creationId xmlns:a16="http://schemas.microsoft.com/office/drawing/2014/main" id="{587D1EED-70AD-447D-B367-9CD6F3029EAF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3" name="$E$129">
            <a:extLst>
              <a:ext uri="{FF2B5EF4-FFF2-40B4-BE49-F238E27FC236}">
                <a16:creationId xmlns:a16="http://schemas.microsoft.com/office/drawing/2014/main" id="{BE4F7494-675C-401E-8365-9C6E848A401A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4" name="$E$129">
            <a:extLst>
              <a:ext uri="{FF2B5EF4-FFF2-40B4-BE49-F238E27FC236}">
                <a16:creationId xmlns:a16="http://schemas.microsoft.com/office/drawing/2014/main" id="{8F5C1F96-7BF3-4308-A5D0-E51567AE3931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5" name="$E$129">
            <a:extLst>
              <a:ext uri="{FF2B5EF4-FFF2-40B4-BE49-F238E27FC236}">
                <a16:creationId xmlns:a16="http://schemas.microsoft.com/office/drawing/2014/main" id="{ACCACBE4-86CC-4113-998A-1B9D70895F6F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6" name="$E$129">
            <a:extLst>
              <a:ext uri="{FF2B5EF4-FFF2-40B4-BE49-F238E27FC236}">
                <a16:creationId xmlns:a16="http://schemas.microsoft.com/office/drawing/2014/main" id="{033471C2-FF94-4FAB-9FCA-7E8737FBA133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7" name="$E$129">
            <a:extLst>
              <a:ext uri="{FF2B5EF4-FFF2-40B4-BE49-F238E27FC236}">
                <a16:creationId xmlns:a16="http://schemas.microsoft.com/office/drawing/2014/main" id="{9B6EEF09-EB95-4CFB-90DA-7DE7B16C4427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8" name="$E$129">
            <a:extLst>
              <a:ext uri="{FF2B5EF4-FFF2-40B4-BE49-F238E27FC236}">
                <a16:creationId xmlns:a16="http://schemas.microsoft.com/office/drawing/2014/main" id="{FDCA2C8C-9280-4966-A7E1-BF445CB37116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9" name="$E$129">
            <a:extLst>
              <a:ext uri="{FF2B5EF4-FFF2-40B4-BE49-F238E27FC236}">
                <a16:creationId xmlns:a16="http://schemas.microsoft.com/office/drawing/2014/main" id="{799D3747-8717-4A9D-8B5E-91C6BCF0A1FA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0" name="$E$129">
            <a:extLst>
              <a:ext uri="{FF2B5EF4-FFF2-40B4-BE49-F238E27FC236}">
                <a16:creationId xmlns:a16="http://schemas.microsoft.com/office/drawing/2014/main" id="{2A9D3DCD-9A08-419B-A482-53DB6036D56D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1" name="$E$129">
            <a:extLst>
              <a:ext uri="{FF2B5EF4-FFF2-40B4-BE49-F238E27FC236}">
                <a16:creationId xmlns:a16="http://schemas.microsoft.com/office/drawing/2014/main" id="{05FF097D-4291-4342-9CB9-D232D65D497F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2" name="$E$129">
            <a:extLst>
              <a:ext uri="{FF2B5EF4-FFF2-40B4-BE49-F238E27FC236}">
                <a16:creationId xmlns:a16="http://schemas.microsoft.com/office/drawing/2014/main" id="{3BD20D27-99A8-422A-B1DC-2EB86355BBA2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3" name="$E$129">
            <a:extLst>
              <a:ext uri="{FF2B5EF4-FFF2-40B4-BE49-F238E27FC236}">
                <a16:creationId xmlns:a16="http://schemas.microsoft.com/office/drawing/2014/main" id="{15407E1D-0F09-4F16-9CBD-F1BE26B763EA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4" name="$E$129">
            <a:extLst>
              <a:ext uri="{FF2B5EF4-FFF2-40B4-BE49-F238E27FC236}">
                <a16:creationId xmlns:a16="http://schemas.microsoft.com/office/drawing/2014/main" id="{5954E426-C336-49E3-BC0E-A38C9D5B4B62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5" name="$E$129">
            <a:extLst>
              <a:ext uri="{FF2B5EF4-FFF2-40B4-BE49-F238E27FC236}">
                <a16:creationId xmlns:a16="http://schemas.microsoft.com/office/drawing/2014/main" id="{3E6EA8B9-7281-4D25-A64E-C967262F204D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6" name="$E$129">
            <a:extLst>
              <a:ext uri="{FF2B5EF4-FFF2-40B4-BE49-F238E27FC236}">
                <a16:creationId xmlns:a16="http://schemas.microsoft.com/office/drawing/2014/main" id="{66E6899A-099F-4B35-BF09-52FB97898702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7" name="$E$129">
            <a:extLst>
              <a:ext uri="{FF2B5EF4-FFF2-40B4-BE49-F238E27FC236}">
                <a16:creationId xmlns:a16="http://schemas.microsoft.com/office/drawing/2014/main" id="{D8C8302F-0DA6-4575-84E1-C7D2BAE99795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8" name="$E$129">
            <a:extLst>
              <a:ext uri="{FF2B5EF4-FFF2-40B4-BE49-F238E27FC236}">
                <a16:creationId xmlns:a16="http://schemas.microsoft.com/office/drawing/2014/main" id="{B20633A6-3EFB-413E-8AA2-96FF90682967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9" name="$E$129">
            <a:extLst>
              <a:ext uri="{FF2B5EF4-FFF2-40B4-BE49-F238E27FC236}">
                <a16:creationId xmlns:a16="http://schemas.microsoft.com/office/drawing/2014/main" id="{B654BD3E-1553-4956-9802-F082D975F1ED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0" name="$E$129">
            <a:extLst>
              <a:ext uri="{FF2B5EF4-FFF2-40B4-BE49-F238E27FC236}">
                <a16:creationId xmlns:a16="http://schemas.microsoft.com/office/drawing/2014/main" id="{A3DCA2B7-29BE-4EFC-84A5-B972AB16E15F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1" name="$E$129">
            <a:extLst>
              <a:ext uri="{FF2B5EF4-FFF2-40B4-BE49-F238E27FC236}">
                <a16:creationId xmlns:a16="http://schemas.microsoft.com/office/drawing/2014/main" id="{7E1A33B9-B401-4A32-AD51-AF2CB08A1E4C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2" name="$E$129">
            <a:extLst>
              <a:ext uri="{FF2B5EF4-FFF2-40B4-BE49-F238E27FC236}">
                <a16:creationId xmlns:a16="http://schemas.microsoft.com/office/drawing/2014/main" id="{9521B317-7D8C-4544-9B30-E57EACF2088D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3" name="$E$129">
            <a:extLst>
              <a:ext uri="{FF2B5EF4-FFF2-40B4-BE49-F238E27FC236}">
                <a16:creationId xmlns:a16="http://schemas.microsoft.com/office/drawing/2014/main" id="{CD24A78C-7346-411C-A972-BF3C31BB8DCA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4" name="$E$129">
            <a:extLst>
              <a:ext uri="{FF2B5EF4-FFF2-40B4-BE49-F238E27FC236}">
                <a16:creationId xmlns:a16="http://schemas.microsoft.com/office/drawing/2014/main" id="{8F07E5EB-3F51-4111-9F2D-DF81F5512283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5" name="$E$129">
            <a:extLst>
              <a:ext uri="{FF2B5EF4-FFF2-40B4-BE49-F238E27FC236}">
                <a16:creationId xmlns:a16="http://schemas.microsoft.com/office/drawing/2014/main" id="{E9045BD8-960E-4E21-9F69-5320656CC8D8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6" name="$E$129">
            <a:extLst>
              <a:ext uri="{FF2B5EF4-FFF2-40B4-BE49-F238E27FC236}">
                <a16:creationId xmlns:a16="http://schemas.microsoft.com/office/drawing/2014/main" id="{2346087A-CA02-4D3A-A9BC-FC0CB088BC4D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7" name="$E$129">
            <a:extLst>
              <a:ext uri="{FF2B5EF4-FFF2-40B4-BE49-F238E27FC236}">
                <a16:creationId xmlns:a16="http://schemas.microsoft.com/office/drawing/2014/main" id="{2F478BB0-984A-45CF-823F-F0D7247D0AF1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8" name="$E$129">
            <a:extLst>
              <a:ext uri="{FF2B5EF4-FFF2-40B4-BE49-F238E27FC236}">
                <a16:creationId xmlns:a16="http://schemas.microsoft.com/office/drawing/2014/main" id="{609E8967-A473-4BE1-8804-E7F3CC699D03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9" name="$E$129">
            <a:extLst>
              <a:ext uri="{FF2B5EF4-FFF2-40B4-BE49-F238E27FC236}">
                <a16:creationId xmlns:a16="http://schemas.microsoft.com/office/drawing/2014/main" id="{B27C3E37-D4E4-4C1F-A269-1D9252AE3C05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0" name="$E$129">
            <a:extLst>
              <a:ext uri="{FF2B5EF4-FFF2-40B4-BE49-F238E27FC236}">
                <a16:creationId xmlns:a16="http://schemas.microsoft.com/office/drawing/2014/main" id="{4B861206-9FCE-4B87-921C-0B2F4BDA4FB4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1" name="$E$129">
            <a:extLst>
              <a:ext uri="{FF2B5EF4-FFF2-40B4-BE49-F238E27FC236}">
                <a16:creationId xmlns:a16="http://schemas.microsoft.com/office/drawing/2014/main" id="{65B948A0-F8D9-4D5A-8CA4-9BC43534D849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2" name="$E$129">
            <a:extLst>
              <a:ext uri="{FF2B5EF4-FFF2-40B4-BE49-F238E27FC236}">
                <a16:creationId xmlns:a16="http://schemas.microsoft.com/office/drawing/2014/main" id="{6E583513-C8D9-4CA5-9A95-CC222767DE2B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3" name="$E$129">
            <a:extLst>
              <a:ext uri="{FF2B5EF4-FFF2-40B4-BE49-F238E27FC236}">
                <a16:creationId xmlns:a16="http://schemas.microsoft.com/office/drawing/2014/main" id="{B5E84C42-B011-4F2F-9320-CA0B31701598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4" name="$E$129">
            <a:extLst>
              <a:ext uri="{FF2B5EF4-FFF2-40B4-BE49-F238E27FC236}">
                <a16:creationId xmlns:a16="http://schemas.microsoft.com/office/drawing/2014/main" id="{0A5350C0-14A2-4CF6-BF7D-98E3B2907A7F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5" name="$E$129">
            <a:extLst>
              <a:ext uri="{FF2B5EF4-FFF2-40B4-BE49-F238E27FC236}">
                <a16:creationId xmlns:a16="http://schemas.microsoft.com/office/drawing/2014/main" id="{FEB9BECC-8DDD-4775-B972-0B36FDF30D74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6" name="$E$129">
            <a:extLst>
              <a:ext uri="{FF2B5EF4-FFF2-40B4-BE49-F238E27FC236}">
                <a16:creationId xmlns:a16="http://schemas.microsoft.com/office/drawing/2014/main" id="{6305C03D-8F3D-4C6A-B76E-3E0ADC7AB738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7" name="$E$129">
            <a:extLst>
              <a:ext uri="{FF2B5EF4-FFF2-40B4-BE49-F238E27FC236}">
                <a16:creationId xmlns:a16="http://schemas.microsoft.com/office/drawing/2014/main" id="{9F9A1678-8AC6-4BC3-90FD-E0B6455FC8CA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8" name="$E$129">
            <a:extLst>
              <a:ext uri="{FF2B5EF4-FFF2-40B4-BE49-F238E27FC236}">
                <a16:creationId xmlns:a16="http://schemas.microsoft.com/office/drawing/2014/main" id="{2914B970-9E25-4355-9A0F-8D2D57246C5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9" name="$E$129">
            <a:extLst>
              <a:ext uri="{FF2B5EF4-FFF2-40B4-BE49-F238E27FC236}">
                <a16:creationId xmlns:a16="http://schemas.microsoft.com/office/drawing/2014/main" id="{F44FE3EA-29F7-4903-8BBF-EDF7916155CE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0" name="$E$129">
            <a:extLst>
              <a:ext uri="{FF2B5EF4-FFF2-40B4-BE49-F238E27FC236}">
                <a16:creationId xmlns:a16="http://schemas.microsoft.com/office/drawing/2014/main" id="{D5D68979-6795-46B1-AC15-264C4384DFA1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1" name="$E$129">
            <a:extLst>
              <a:ext uri="{FF2B5EF4-FFF2-40B4-BE49-F238E27FC236}">
                <a16:creationId xmlns:a16="http://schemas.microsoft.com/office/drawing/2014/main" id="{76E292E7-AEDA-488F-BEA8-A58902DB8F96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2" name="$E$129">
            <a:extLst>
              <a:ext uri="{FF2B5EF4-FFF2-40B4-BE49-F238E27FC236}">
                <a16:creationId xmlns:a16="http://schemas.microsoft.com/office/drawing/2014/main" id="{4750C837-383E-4AD0-85F7-1C62060E58E7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3" name="$E$129">
            <a:extLst>
              <a:ext uri="{FF2B5EF4-FFF2-40B4-BE49-F238E27FC236}">
                <a16:creationId xmlns:a16="http://schemas.microsoft.com/office/drawing/2014/main" id="{80498D42-26FD-48D9-80F8-D6BE6EB76A7A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4" name="$E$129">
            <a:extLst>
              <a:ext uri="{FF2B5EF4-FFF2-40B4-BE49-F238E27FC236}">
                <a16:creationId xmlns:a16="http://schemas.microsoft.com/office/drawing/2014/main" id="{1BC5E02D-04F7-4528-988E-084012ACC457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5" name="$E$129">
            <a:extLst>
              <a:ext uri="{FF2B5EF4-FFF2-40B4-BE49-F238E27FC236}">
                <a16:creationId xmlns:a16="http://schemas.microsoft.com/office/drawing/2014/main" id="{830E7DE2-4FF3-4790-8576-823CFD59C5C4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6" name="$E$129">
            <a:extLst>
              <a:ext uri="{FF2B5EF4-FFF2-40B4-BE49-F238E27FC236}">
                <a16:creationId xmlns:a16="http://schemas.microsoft.com/office/drawing/2014/main" id="{5098CDD3-99F1-45EA-A43F-1909FFC686D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7" name="$E$129">
            <a:extLst>
              <a:ext uri="{FF2B5EF4-FFF2-40B4-BE49-F238E27FC236}">
                <a16:creationId xmlns:a16="http://schemas.microsoft.com/office/drawing/2014/main" id="{841D5AAF-F99E-4882-9C31-C90F527DEF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8" name="$E$129">
            <a:extLst>
              <a:ext uri="{FF2B5EF4-FFF2-40B4-BE49-F238E27FC236}">
                <a16:creationId xmlns:a16="http://schemas.microsoft.com/office/drawing/2014/main" id="{5DA9A32F-98FD-493F-88AC-279704D3BA51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9" name="$E$129">
            <a:extLst>
              <a:ext uri="{FF2B5EF4-FFF2-40B4-BE49-F238E27FC236}">
                <a16:creationId xmlns:a16="http://schemas.microsoft.com/office/drawing/2014/main" id="{E417A648-C40C-409B-9439-DB125ED431F9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0" name="$E$129">
            <a:extLst>
              <a:ext uri="{FF2B5EF4-FFF2-40B4-BE49-F238E27FC236}">
                <a16:creationId xmlns:a16="http://schemas.microsoft.com/office/drawing/2014/main" id="{8FF41012-6007-4EFA-A755-2EC08B4BA79A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1" name="$E$129">
            <a:extLst>
              <a:ext uri="{FF2B5EF4-FFF2-40B4-BE49-F238E27FC236}">
                <a16:creationId xmlns:a16="http://schemas.microsoft.com/office/drawing/2014/main" id="{D85234FC-5425-4EC5-A533-F2EF19F53979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2" name="$E$129">
            <a:extLst>
              <a:ext uri="{FF2B5EF4-FFF2-40B4-BE49-F238E27FC236}">
                <a16:creationId xmlns:a16="http://schemas.microsoft.com/office/drawing/2014/main" id="{E8A662C5-5ECD-494D-BCAB-279D5DD69704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3" name="$E$129">
            <a:extLst>
              <a:ext uri="{FF2B5EF4-FFF2-40B4-BE49-F238E27FC236}">
                <a16:creationId xmlns:a16="http://schemas.microsoft.com/office/drawing/2014/main" id="{B58B2C77-0C89-44BA-A60F-BA747113EF8A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4" name="$E$129">
            <a:extLst>
              <a:ext uri="{FF2B5EF4-FFF2-40B4-BE49-F238E27FC236}">
                <a16:creationId xmlns:a16="http://schemas.microsoft.com/office/drawing/2014/main" id="{238D66CC-E445-42EC-82A8-B48D9134E2B8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5" name="$E$129">
            <a:extLst>
              <a:ext uri="{FF2B5EF4-FFF2-40B4-BE49-F238E27FC236}">
                <a16:creationId xmlns:a16="http://schemas.microsoft.com/office/drawing/2014/main" id="{84B35EDB-F7B8-4862-8110-8AFF4A6DC438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6" name="$E$129">
            <a:extLst>
              <a:ext uri="{FF2B5EF4-FFF2-40B4-BE49-F238E27FC236}">
                <a16:creationId xmlns:a16="http://schemas.microsoft.com/office/drawing/2014/main" id="{35C2F601-9BFE-4072-91A3-C6D3776E91DE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7" name="$E$129">
            <a:extLst>
              <a:ext uri="{FF2B5EF4-FFF2-40B4-BE49-F238E27FC236}">
                <a16:creationId xmlns:a16="http://schemas.microsoft.com/office/drawing/2014/main" id="{1B93C8AB-C244-4E28-9FF7-FA08C8793DBB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8" name="$E$129">
            <a:extLst>
              <a:ext uri="{FF2B5EF4-FFF2-40B4-BE49-F238E27FC236}">
                <a16:creationId xmlns:a16="http://schemas.microsoft.com/office/drawing/2014/main" id="{050D0C1B-573F-462C-91EA-87E8B5DA35F2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9" name="$E$129">
            <a:extLst>
              <a:ext uri="{FF2B5EF4-FFF2-40B4-BE49-F238E27FC236}">
                <a16:creationId xmlns:a16="http://schemas.microsoft.com/office/drawing/2014/main" id="{37DF8128-827F-438C-B8DA-E17D90C58527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0" name="$E$129">
            <a:extLst>
              <a:ext uri="{FF2B5EF4-FFF2-40B4-BE49-F238E27FC236}">
                <a16:creationId xmlns:a16="http://schemas.microsoft.com/office/drawing/2014/main" id="{B93146BE-F6A9-462E-A055-17510B9B8D47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1" name="$E$129">
            <a:extLst>
              <a:ext uri="{FF2B5EF4-FFF2-40B4-BE49-F238E27FC236}">
                <a16:creationId xmlns:a16="http://schemas.microsoft.com/office/drawing/2014/main" id="{B3CC3B23-5112-414F-AA12-19E30BE4B32E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2" name="$E$129">
            <a:extLst>
              <a:ext uri="{FF2B5EF4-FFF2-40B4-BE49-F238E27FC236}">
                <a16:creationId xmlns:a16="http://schemas.microsoft.com/office/drawing/2014/main" id="{43421A24-714F-4E32-9075-A8626F8659EF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3" name="$E$129">
            <a:extLst>
              <a:ext uri="{FF2B5EF4-FFF2-40B4-BE49-F238E27FC236}">
                <a16:creationId xmlns:a16="http://schemas.microsoft.com/office/drawing/2014/main" id="{6E64E829-9803-44EE-975B-B6603FC1372C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4" name="$E$129">
            <a:extLst>
              <a:ext uri="{FF2B5EF4-FFF2-40B4-BE49-F238E27FC236}">
                <a16:creationId xmlns:a16="http://schemas.microsoft.com/office/drawing/2014/main" id="{F6F1C941-3269-4DCB-A46A-E35EDDF880D2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5" name="$E$129">
            <a:extLst>
              <a:ext uri="{FF2B5EF4-FFF2-40B4-BE49-F238E27FC236}">
                <a16:creationId xmlns:a16="http://schemas.microsoft.com/office/drawing/2014/main" id="{B83F3012-96A3-4926-8E69-945F5CB6B13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6" name="$E$129">
            <a:extLst>
              <a:ext uri="{FF2B5EF4-FFF2-40B4-BE49-F238E27FC236}">
                <a16:creationId xmlns:a16="http://schemas.microsoft.com/office/drawing/2014/main" id="{E2DF5489-E510-4150-9EB9-9AABB9179252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7" name="$E$129">
            <a:extLst>
              <a:ext uri="{FF2B5EF4-FFF2-40B4-BE49-F238E27FC236}">
                <a16:creationId xmlns:a16="http://schemas.microsoft.com/office/drawing/2014/main" id="{75FD121F-3F39-4C91-A4C9-C9F06D03904D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8" name="$E$129">
            <a:extLst>
              <a:ext uri="{FF2B5EF4-FFF2-40B4-BE49-F238E27FC236}">
                <a16:creationId xmlns:a16="http://schemas.microsoft.com/office/drawing/2014/main" id="{3803A4F5-355A-49B9-AC33-9B4259AA9954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9" name="$E$129">
            <a:extLst>
              <a:ext uri="{FF2B5EF4-FFF2-40B4-BE49-F238E27FC236}">
                <a16:creationId xmlns:a16="http://schemas.microsoft.com/office/drawing/2014/main" id="{53349AD1-8ABD-4EC9-85E2-86717A644206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0" name="$E$129">
            <a:extLst>
              <a:ext uri="{FF2B5EF4-FFF2-40B4-BE49-F238E27FC236}">
                <a16:creationId xmlns:a16="http://schemas.microsoft.com/office/drawing/2014/main" id="{CF63F2B2-BBF0-483F-B292-501430A687A4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1" name="$E$129">
            <a:extLst>
              <a:ext uri="{FF2B5EF4-FFF2-40B4-BE49-F238E27FC236}">
                <a16:creationId xmlns:a16="http://schemas.microsoft.com/office/drawing/2014/main" id="{8614AFDE-C345-49FC-A56B-0410DEBF3A18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2" name="$E$129">
            <a:extLst>
              <a:ext uri="{FF2B5EF4-FFF2-40B4-BE49-F238E27FC236}">
                <a16:creationId xmlns:a16="http://schemas.microsoft.com/office/drawing/2014/main" id="{FE822E22-710F-48E5-A5D0-1682A5F8790A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3" name="$E$129">
            <a:extLst>
              <a:ext uri="{FF2B5EF4-FFF2-40B4-BE49-F238E27FC236}">
                <a16:creationId xmlns:a16="http://schemas.microsoft.com/office/drawing/2014/main" id="{762B7FFE-B2DF-4645-A445-E636D30B5346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4" name="$E$129">
            <a:extLst>
              <a:ext uri="{FF2B5EF4-FFF2-40B4-BE49-F238E27FC236}">
                <a16:creationId xmlns:a16="http://schemas.microsoft.com/office/drawing/2014/main" id="{DB25B0FB-A019-470A-82E1-EBDD8CDAEE7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5" name="$E$129">
            <a:extLst>
              <a:ext uri="{FF2B5EF4-FFF2-40B4-BE49-F238E27FC236}">
                <a16:creationId xmlns:a16="http://schemas.microsoft.com/office/drawing/2014/main" id="{80C5A86E-8DB5-4F41-AB71-33D415B338FC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6" name="$E$129">
            <a:extLst>
              <a:ext uri="{FF2B5EF4-FFF2-40B4-BE49-F238E27FC236}">
                <a16:creationId xmlns:a16="http://schemas.microsoft.com/office/drawing/2014/main" id="{71CAA2E6-65EE-481C-8401-0456F359A81B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7" name="$E$129">
            <a:extLst>
              <a:ext uri="{FF2B5EF4-FFF2-40B4-BE49-F238E27FC236}">
                <a16:creationId xmlns:a16="http://schemas.microsoft.com/office/drawing/2014/main" id="{D35E458D-8C4F-410A-992A-239B3B3E2886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8" name="$E$129">
            <a:extLst>
              <a:ext uri="{FF2B5EF4-FFF2-40B4-BE49-F238E27FC236}">
                <a16:creationId xmlns:a16="http://schemas.microsoft.com/office/drawing/2014/main" id="{B244CE94-2257-4A66-BFD8-5C844903932A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9" name="$E$129">
            <a:extLst>
              <a:ext uri="{FF2B5EF4-FFF2-40B4-BE49-F238E27FC236}">
                <a16:creationId xmlns:a16="http://schemas.microsoft.com/office/drawing/2014/main" id="{E7077A38-90CF-4418-A202-1E08AD7C0C8F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0" name="$E$129">
            <a:extLst>
              <a:ext uri="{FF2B5EF4-FFF2-40B4-BE49-F238E27FC236}">
                <a16:creationId xmlns:a16="http://schemas.microsoft.com/office/drawing/2014/main" id="{F9F9E8AB-8DDF-4D5F-B7F7-242999751EA2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1" name="$E$129">
            <a:extLst>
              <a:ext uri="{FF2B5EF4-FFF2-40B4-BE49-F238E27FC236}">
                <a16:creationId xmlns:a16="http://schemas.microsoft.com/office/drawing/2014/main" id="{B2390218-76C1-4B8F-8C1C-70D62DB2E289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2" name="$E$129">
            <a:extLst>
              <a:ext uri="{FF2B5EF4-FFF2-40B4-BE49-F238E27FC236}">
                <a16:creationId xmlns:a16="http://schemas.microsoft.com/office/drawing/2014/main" id="{EAF97407-C67F-4930-B4BC-08725FBC5959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3" name="$E$129">
            <a:extLst>
              <a:ext uri="{FF2B5EF4-FFF2-40B4-BE49-F238E27FC236}">
                <a16:creationId xmlns:a16="http://schemas.microsoft.com/office/drawing/2014/main" id="{E07304B9-6625-4DA2-B947-45E78286ED8D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4" name="$E$129">
            <a:extLst>
              <a:ext uri="{FF2B5EF4-FFF2-40B4-BE49-F238E27FC236}">
                <a16:creationId xmlns:a16="http://schemas.microsoft.com/office/drawing/2014/main" id="{0D9419BC-A8EB-40A0-A9B7-307767624DEC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5" name="$E$129">
            <a:extLst>
              <a:ext uri="{FF2B5EF4-FFF2-40B4-BE49-F238E27FC236}">
                <a16:creationId xmlns:a16="http://schemas.microsoft.com/office/drawing/2014/main" id="{2001069F-F0F4-44C8-A46A-D39BB9ECB768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6" name="$E$129">
            <a:extLst>
              <a:ext uri="{FF2B5EF4-FFF2-40B4-BE49-F238E27FC236}">
                <a16:creationId xmlns:a16="http://schemas.microsoft.com/office/drawing/2014/main" id="{D9BC7F95-7DBC-4F38-9211-64A676C15B3C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7" name="$E$129">
            <a:extLst>
              <a:ext uri="{FF2B5EF4-FFF2-40B4-BE49-F238E27FC236}">
                <a16:creationId xmlns:a16="http://schemas.microsoft.com/office/drawing/2014/main" id="{46C396A5-B687-4317-A20E-E2E3F47C8C3B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8" name="$E$129">
            <a:extLst>
              <a:ext uri="{FF2B5EF4-FFF2-40B4-BE49-F238E27FC236}">
                <a16:creationId xmlns:a16="http://schemas.microsoft.com/office/drawing/2014/main" id="{25325346-9781-45B9-8FFE-A4DA5B2818AA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9" name="$E$129">
            <a:extLst>
              <a:ext uri="{FF2B5EF4-FFF2-40B4-BE49-F238E27FC236}">
                <a16:creationId xmlns:a16="http://schemas.microsoft.com/office/drawing/2014/main" id="{61C28D59-9C3A-4EC2-9427-C5213F69A426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0" name="$E$129">
            <a:extLst>
              <a:ext uri="{FF2B5EF4-FFF2-40B4-BE49-F238E27FC236}">
                <a16:creationId xmlns:a16="http://schemas.microsoft.com/office/drawing/2014/main" id="{EBFEB9F2-96FB-4AA9-9CF9-CFCEEE704A43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1" name="$E$129">
            <a:extLst>
              <a:ext uri="{FF2B5EF4-FFF2-40B4-BE49-F238E27FC236}">
                <a16:creationId xmlns:a16="http://schemas.microsoft.com/office/drawing/2014/main" id="{9F25CF6F-A66A-4493-AE35-A8BC2C00F1F5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2" name="$E$129">
            <a:extLst>
              <a:ext uri="{FF2B5EF4-FFF2-40B4-BE49-F238E27FC236}">
                <a16:creationId xmlns:a16="http://schemas.microsoft.com/office/drawing/2014/main" id="{157F738C-06F9-4C0D-96C1-F538681C4CBD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3" name="$E$129">
            <a:extLst>
              <a:ext uri="{FF2B5EF4-FFF2-40B4-BE49-F238E27FC236}">
                <a16:creationId xmlns:a16="http://schemas.microsoft.com/office/drawing/2014/main" id="{9F1F5D5F-B864-4939-A851-9B83731A39EF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4" name="$E$129">
            <a:extLst>
              <a:ext uri="{FF2B5EF4-FFF2-40B4-BE49-F238E27FC236}">
                <a16:creationId xmlns:a16="http://schemas.microsoft.com/office/drawing/2014/main" id="{E5254E15-5E49-4B3B-A116-397CDF0B5332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5" name="$E$129">
            <a:extLst>
              <a:ext uri="{FF2B5EF4-FFF2-40B4-BE49-F238E27FC236}">
                <a16:creationId xmlns:a16="http://schemas.microsoft.com/office/drawing/2014/main" id="{846D86B4-5F47-48F2-ABB2-B1996157628A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6" name="$E$129">
            <a:extLst>
              <a:ext uri="{FF2B5EF4-FFF2-40B4-BE49-F238E27FC236}">
                <a16:creationId xmlns:a16="http://schemas.microsoft.com/office/drawing/2014/main" id="{4E571759-C5FD-4548-95C1-F53EB8F23D63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7" name="$E$129">
            <a:extLst>
              <a:ext uri="{FF2B5EF4-FFF2-40B4-BE49-F238E27FC236}">
                <a16:creationId xmlns:a16="http://schemas.microsoft.com/office/drawing/2014/main" id="{341154CD-1800-4810-8A53-754850CEF1DD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8" name="$E$129">
            <a:extLst>
              <a:ext uri="{FF2B5EF4-FFF2-40B4-BE49-F238E27FC236}">
                <a16:creationId xmlns:a16="http://schemas.microsoft.com/office/drawing/2014/main" id="{D82006F2-00C4-4524-B00E-EFE1E705C37A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9" name="$E$129">
            <a:extLst>
              <a:ext uri="{FF2B5EF4-FFF2-40B4-BE49-F238E27FC236}">
                <a16:creationId xmlns:a16="http://schemas.microsoft.com/office/drawing/2014/main" id="{8067A929-9FA8-4C68-82EF-511A70583613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0" name="$E$129">
            <a:extLst>
              <a:ext uri="{FF2B5EF4-FFF2-40B4-BE49-F238E27FC236}">
                <a16:creationId xmlns:a16="http://schemas.microsoft.com/office/drawing/2014/main" id="{F04EA4F8-686D-4DA9-85F0-C22D528B1AF1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1" name="$E$129">
            <a:extLst>
              <a:ext uri="{FF2B5EF4-FFF2-40B4-BE49-F238E27FC236}">
                <a16:creationId xmlns:a16="http://schemas.microsoft.com/office/drawing/2014/main" id="{3CC0BEF1-65F2-443A-81E1-F5B4416D8A23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2" name="$E$129">
            <a:extLst>
              <a:ext uri="{FF2B5EF4-FFF2-40B4-BE49-F238E27FC236}">
                <a16:creationId xmlns:a16="http://schemas.microsoft.com/office/drawing/2014/main" id="{20B90AED-D788-40C5-A954-579ACACF5355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3" name="$E$129">
            <a:extLst>
              <a:ext uri="{FF2B5EF4-FFF2-40B4-BE49-F238E27FC236}">
                <a16:creationId xmlns:a16="http://schemas.microsoft.com/office/drawing/2014/main" id="{C6012206-0E9F-4A22-A179-1C3B4FBBE0BC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4" name="$E$129">
            <a:extLst>
              <a:ext uri="{FF2B5EF4-FFF2-40B4-BE49-F238E27FC236}">
                <a16:creationId xmlns:a16="http://schemas.microsoft.com/office/drawing/2014/main" id="{2559FD81-8878-407F-AA07-4ABF7895EA95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5" name="$E$129">
            <a:extLst>
              <a:ext uri="{FF2B5EF4-FFF2-40B4-BE49-F238E27FC236}">
                <a16:creationId xmlns:a16="http://schemas.microsoft.com/office/drawing/2014/main" id="{B5B5C917-A312-41E4-BFA5-A67E136DC617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6" name="$E$129">
            <a:extLst>
              <a:ext uri="{FF2B5EF4-FFF2-40B4-BE49-F238E27FC236}">
                <a16:creationId xmlns:a16="http://schemas.microsoft.com/office/drawing/2014/main" id="{1AB802FA-337C-4709-9DB1-20C1A3715908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7" name="$E$129">
            <a:extLst>
              <a:ext uri="{FF2B5EF4-FFF2-40B4-BE49-F238E27FC236}">
                <a16:creationId xmlns:a16="http://schemas.microsoft.com/office/drawing/2014/main" id="{9BA478FE-1712-4759-8C1D-BB5DD0DA2D35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8" name="$E$129">
            <a:extLst>
              <a:ext uri="{FF2B5EF4-FFF2-40B4-BE49-F238E27FC236}">
                <a16:creationId xmlns:a16="http://schemas.microsoft.com/office/drawing/2014/main" id="{0A74255E-FF73-4254-9734-206031FBB3D8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9" name="$E$129">
            <a:extLst>
              <a:ext uri="{FF2B5EF4-FFF2-40B4-BE49-F238E27FC236}">
                <a16:creationId xmlns:a16="http://schemas.microsoft.com/office/drawing/2014/main" id="{50A5FD99-F729-48E3-B60B-D44D2D5D5CFB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0" name="$E$129">
            <a:extLst>
              <a:ext uri="{FF2B5EF4-FFF2-40B4-BE49-F238E27FC236}">
                <a16:creationId xmlns:a16="http://schemas.microsoft.com/office/drawing/2014/main" id="{D6B77100-B5E1-4865-A829-3A00B1DC76B8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1" name="$E$129">
            <a:extLst>
              <a:ext uri="{FF2B5EF4-FFF2-40B4-BE49-F238E27FC236}">
                <a16:creationId xmlns:a16="http://schemas.microsoft.com/office/drawing/2014/main" id="{3AA327AD-4EF1-402D-83F2-0DBAF02405B2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2" name="$E$129">
            <a:extLst>
              <a:ext uri="{FF2B5EF4-FFF2-40B4-BE49-F238E27FC236}">
                <a16:creationId xmlns:a16="http://schemas.microsoft.com/office/drawing/2014/main" id="{3F3FFD20-EDED-4F36-8A3E-3DE1853283A9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3" name="$E$129">
            <a:extLst>
              <a:ext uri="{FF2B5EF4-FFF2-40B4-BE49-F238E27FC236}">
                <a16:creationId xmlns:a16="http://schemas.microsoft.com/office/drawing/2014/main" id="{7B10132F-91F2-40A8-ABAC-4C0EEB811B49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4" name="$E$129">
            <a:extLst>
              <a:ext uri="{FF2B5EF4-FFF2-40B4-BE49-F238E27FC236}">
                <a16:creationId xmlns:a16="http://schemas.microsoft.com/office/drawing/2014/main" id="{4B2357CF-E7B9-4684-A630-8B781614CD73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5" name="$E$129">
            <a:extLst>
              <a:ext uri="{FF2B5EF4-FFF2-40B4-BE49-F238E27FC236}">
                <a16:creationId xmlns:a16="http://schemas.microsoft.com/office/drawing/2014/main" id="{5A64A9CF-A48A-41B6-8280-962CBA368609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6" name="$E$129">
            <a:extLst>
              <a:ext uri="{FF2B5EF4-FFF2-40B4-BE49-F238E27FC236}">
                <a16:creationId xmlns:a16="http://schemas.microsoft.com/office/drawing/2014/main" id="{CB3D852E-6CCE-4795-AC0D-99298E3F9B2C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7" name="$E$129">
            <a:extLst>
              <a:ext uri="{FF2B5EF4-FFF2-40B4-BE49-F238E27FC236}">
                <a16:creationId xmlns:a16="http://schemas.microsoft.com/office/drawing/2014/main" id="{E60AF12D-C96F-46AA-A1E8-803686DA30B4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8" name="$E$129">
            <a:extLst>
              <a:ext uri="{FF2B5EF4-FFF2-40B4-BE49-F238E27FC236}">
                <a16:creationId xmlns:a16="http://schemas.microsoft.com/office/drawing/2014/main" id="{98F3ABD5-B121-46EB-B31D-F43C62FBABA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9" name="$E$129">
            <a:extLst>
              <a:ext uri="{FF2B5EF4-FFF2-40B4-BE49-F238E27FC236}">
                <a16:creationId xmlns:a16="http://schemas.microsoft.com/office/drawing/2014/main" id="{4A39DB95-9399-4176-A299-91DF883DE3DB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0" name="$E$129">
            <a:extLst>
              <a:ext uri="{FF2B5EF4-FFF2-40B4-BE49-F238E27FC236}">
                <a16:creationId xmlns:a16="http://schemas.microsoft.com/office/drawing/2014/main" id="{5794A64F-4919-476F-AFA5-0603F46011CB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1" name="$E$129">
            <a:extLst>
              <a:ext uri="{FF2B5EF4-FFF2-40B4-BE49-F238E27FC236}">
                <a16:creationId xmlns:a16="http://schemas.microsoft.com/office/drawing/2014/main" id="{2BEA518C-A2AC-4815-8BF6-31050546A664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2" name="$E$129">
            <a:extLst>
              <a:ext uri="{FF2B5EF4-FFF2-40B4-BE49-F238E27FC236}">
                <a16:creationId xmlns:a16="http://schemas.microsoft.com/office/drawing/2014/main" id="{5CF74DE1-A98A-44E6-BDA0-9F7CFD1E7211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3" name="$E$129">
            <a:extLst>
              <a:ext uri="{FF2B5EF4-FFF2-40B4-BE49-F238E27FC236}">
                <a16:creationId xmlns:a16="http://schemas.microsoft.com/office/drawing/2014/main" id="{030DA474-E4FE-4A18-9044-1AD23962E131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4" name="$E$129">
            <a:extLst>
              <a:ext uri="{FF2B5EF4-FFF2-40B4-BE49-F238E27FC236}">
                <a16:creationId xmlns:a16="http://schemas.microsoft.com/office/drawing/2014/main" id="{C91CE348-8D07-46AB-A430-C3B85BEE9C65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5" name="$E$129">
            <a:extLst>
              <a:ext uri="{FF2B5EF4-FFF2-40B4-BE49-F238E27FC236}">
                <a16:creationId xmlns:a16="http://schemas.microsoft.com/office/drawing/2014/main" id="{EECFBECB-D85E-401B-B20C-C5F5950000C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6" name="$E$129">
            <a:extLst>
              <a:ext uri="{FF2B5EF4-FFF2-40B4-BE49-F238E27FC236}">
                <a16:creationId xmlns:a16="http://schemas.microsoft.com/office/drawing/2014/main" id="{71D5B09C-FEB8-471E-B71A-243322076EDB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7" name="$E$129">
            <a:extLst>
              <a:ext uri="{FF2B5EF4-FFF2-40B4-BE49-F238E27FC236}">
                <a16:creationId xmlns:a16="http://schemas.microsoft.com/office/drawing/2014/main" id="{46DEC427-02D9-4F68-8F46-579C2D59729C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8" name="$E$129">
            <a:extLst>
              <a:ext uri="{FF2B5EF4-FFF2-40B4-BE49-F238E27FC236}">
                <a16:creationId xmlns:a16="http://schemas.microsoft.com/office/drawing/2014/main" id="{E929A146-9DD1-4185-BD91-E0A586E258C3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9" name="$E$129">
            <a:extLst>
              <a:ext uri="{FF2B5EF4-FFF2-40B4-BE49-F238E27FC236}">
                <a16:creationId xmlns:a16="http://schemas.microsoft.com/office/drawing/2014/main" id="{BFBA2273-69C9-44F5-8FBF-977E87F9F9C3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0" name="$E$129">
            <a:extLst>
              <a:ext uri="{FF2B5EF4-FFF2-40B4-BE49-F238E27FC236}">
                <a16:creationId xmlns:a16="http://schemas.microsoft.com/office/drawing/2014/main" id="{9A66C604-67A1-4399-9EDB-8DF602DE9C2C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1" name="$E$129">
            <a:extLst>
              <a:ext uri="{FF2B5EF4-FFF2-40B4-BE49-F238E27FC236}">
                <a16:creationId xmlns:a16="http://schemas.microsoft.com/office/drawing/2014/main" id="{7921E171-FE7D-42F8-91A1-9034C5F375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2" name="$E$129">
            <a:extLst>
              <a:ext uri="{FF2B5EF4-FFF2-40B4-BE49-F238E27FC236}">
                <a16:creationId xmlns:a16="http://schemas.microsoft.com/office/drawing/2014/main" id="{2BBDA28C-E848-4162-BECF-4FAE0083DCDC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3" name="$E$129">
            <a:extLst>
              <a:ext uri="{FF2B5EF4-FFF2-40B4-BE49-F238E27FC236}">
                <a16:creationId xmlns:a16="http://schemas.microsoft.com/office/drawing/2014/main" id="{9C2C7272-347C-445B-BE6A-3B26DB641325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4" name="$E$129">
            <a:extLst>
              <a:ext uri="{FF2B5EF4-FFF2-40B4-BE49-F238E27FC236}">
                <a16:creationId xmlns:a16="http://schemas.microsoft.com/office/drawing/2014/main" id="{CC72C7B5-17A1-4305-BD17-4E0F3CB2F5D1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5" name="$E$129">
            <a:extLst>
              <a:ext uri="{FF2B5EF4-FFF2-40B4-BE49-F238E27FC236}">
                <a16:creationId xmlns:a16="http://schemas.microsoft.com/office/drawing/2014/main" id="{05F74219-8667-4A74-9829-CD46D3B4438A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6" name="$E$129">
            <a:extLst>
              <a:ext uri="{FF2B5EF4-FFF2-40B4-BE49-F238E27FC236}">
                <a16:creationId xmlns:a16="http://schemas.microsoft.com/office/drawing/2014/main" id="{29EB83E5-1284-4F63-A423-66397B7018D3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7" name="$E$129">
            <a:extLst>
              <a:ext uri="{FF2B5EF4-FFF2-40B4-BE49-F238E27FC236}">
                <a16:creationId xmlns:a16="http://schemas.microsoft.com/office/drawing/2014/main" id="{248B4C35-B092-40EC-8A58-C1C6F04D672F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8" name="$E$129">
            <a:extLst>
              <a:ext uri="{FF2B5EF4-FFF2-40B4-BE49-F238E27FC236}">
                <a16:creationId xmlns:a16="http://schemas.microsoft.com/office/drawing/2014/main" id="{77FAD057-B7B2-4957-8823-4AEAE13F96B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9" name="$E$129">
            <a:extLst>
              <a:ext uri="{FF2B5EF4-FFF2-40B4-BE49-F238E27FC236}">
                <a16:creationId xmlns:a16="http://schemas.microsoft.com/office/drawing/2014/main" id="{0B093246-B465-4072-AE9E-5A8B1377E0BC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0" name="$E$129">
            <a:extLst>
              <a:ext uri="{FF2B5EF4-FFF2-40B4-BE49-F238E27FC236}">
                <a16:creationId xmlns:a16="http://schemas.microsoft.com/office/drawing/2014/main" id="{455D957A-6438-4603-B67D-56F394737FC4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1" name="$E$129">
            <a:extLst>
              <a:ext uri="{FF2B5EF4-FFF2-40B4-BE49-F238E27FC236}">
                <a16:creationId xmlns:a16="http://schemas.microsoft.com/office/drawing/2014/main" id="{B0BB9783-5698-41FE-99A0-999DD8AAA3DB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2" name="$E$129">
            <a:extLst>
              <a:ext uri="{FF2B5EF4-FFF2-40B4-BE49-F238E27FC236}">
                <a16:creationId xmlns:a16="http://schemas.microsoft.com/office/drawing/2014/main" id="{A9411DE9-0362-4205-ADDF-D8D5DB61D214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3" name="$E$129">
            <a:extLst>
              <a:ext uri="{FF2B5EF4-FFF2-40B4-BE49-F238E27FC236}">
                <a16:creationId xmlns:a16="http://schemas.microsoft.com/office/drawing/2014/main" id="{9DCCD3DD-4FEE-4930-BA0F-082FC0235617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4" name="$E$129">
            <a:extLst>
              <a:ext uri="{FF2B5EF4-FFF2-40B4-BE49-F238E27FC236}">
                <a16:creationId xmlns:a16="http://schemas.microsoft.com/office/drawing/2014/main" id="{E92AAAD3-C983-477B-9A9C-769C7B0C25E2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5" name="$E$129">
            <a:extLst>
              <a:ext uri="{FF2B5EF4-FFF2-40B4-BE49-F238E27FC236}">
                <a16:creationId xmlns:a16="http://schemas.microsoft.com/office/drawing/2014/main" id="{D2A355F5-2D13-4EBA-8068-42801403BD1A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6" name="$E$129">
            <a:extLst>
              <a:ext uri="{FF2B5EF4-FFF2-40B4-BE49-F238E27FC236}">
                <a16:creationId xmlns:a16="http://schemas.microsoft.com/office/drawing/2014/main" id="{B9B0B825-C1E6-4BB4-B64C-C3FA80B3852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7" name="$E$129">
            <a:extLst>
              <a:ext uri="{FF2B5EF4-FFF2-40B4-BE49-F238E27FC236}">
                <a16:creationId xmlns:a16="http://schemas.microsoft.com/office/drawing/2014/main" id="{6A1D273B-EBCF-4D1B-9B85-AC43D904FA88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8" name="$E$129">
            <a:extLst>
              <a:ext uri="{FF2B5EF4-FFF2-40B4-BE49-F238E27FC236}">
                <a16:creationId xmlns:a16="http://schemas.microsoft.com/office/drawing/2014/main" id="{DC5C1A97-0DA9-41C7-884E-E1E04F5E79C5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9" name="$E$129">
            <a:extLst>
              <a:ext uri="{FF2B5EF4-FFF2-40B4-BE49-F238E27FC236}">
                <a16:creationId xmlns:a16="http://schemas.microsoft.com/office/drawing/2014/main" id="{DED76C31-A867-477D-917A-2A51C335DF67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0" name="$E$129">
            <a:extLst>
              <a:ext uri="{FF2B5EF4-FFF2-40B4-BE49-F238E27FC236}">
                <a16:creationId xmlns:a16="http://schemas.microsoft.com/office/drawing/2014/main" id="{9220B324-78E0-4932-BD99-0975DBA4315B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1" name="$E$129">
            <a:extLst>
              <a:ext uri="{FF2B5EF4-FFF2-40B4-BE49-F238E27FC236}">
                <a16:creationId xmlns:a16="http://schemas.microsoft.com/office/drawing/2014/main" id="{66894336-B126-43CC-B5E0-4AA6E81C5EFA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2" name="$E$129">
            <a:extLst>
              <a:ext uri="{FF2B5EF4-FFF2-40B4-BE49-F238E27FC236}">
                <a16:creationId xmlns:a16="http://schemas.microsoft.com/office/drawing/2014/main" id="{7F091B98-9338-4FAD-BB85-B6CC014C06B9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3" name="$E$129">
            <a:extLst>
              <a:ext uri="{FF2B5EF4-FFF2-40B4-BE49-F238E27FC236}">
                <a16:creationId xmlns:a16="http://schemas.microsoft.com/office/drawing/2014/main" id="{6EE9F0C1-52D7-4714-8BBC-CFB4A82ADA19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4" name="$E$129">
            <a:extLst>
              <a:ext uri="{FF2B5EF4-FFF2-40B4-BE49-F238E27FC236}">
                <a16:creationId xmlns:a16="http://schemas.microsoft.com/office/drawing/2014/main" id="{9C914920-A7C3-493C-8E51-801C650B4DE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5" name="$E$129">
            <a:extLst>
              <a:ext uri="{FF2B5EF4-FFF2-40B4-BE49-F238E27FC236}">
                <a16:creationId xmlns:a16="http://schemas.microsoft.com/office/drawing/2014/main" id="{7AD12964-2AD2-43BC-995B-7325F1FE23BD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6" name="$E$129">
            <a:extLst>
              <a:ext uri="{FF2B5EF4-FFF2-40B4-BE49-F238E27FC236}">
                <a16:creationId xmlns:a16="http://schemas.microsoft.com/office/drawing/2014/main" id="{018E3B3C-3DF1-42A8-857E-06E3777A16D5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7" name="$E$129">
            <a:extLst>
              <a:ext uri="{FF2B5EF4-FFF2-40B4-BE49-F238E27FC236}">
                <a16:creationId xmlns:a16="http://schemas.microsoft.com/office/drawing/2014/main" id="{257EEDB1-C71A-4D03-86D3-C0B86565E48D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8" name="$E$129">
            <a:extLst>
              <a:ext uri="{FF2B5EF4-FFF2-40B4-BE49-F238E27FC236}">
                <a16:creationId xmlns:a16="http://schemas.microsoft.com/office/drawing/2014/main" id="{F138E8FD-DC32-49E2-A174-051AFB0FAA89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9" name="$E$129">
            <a:extLst>
              <a:ext uri="{FF2B5EF4-FFF2-40B4-BE49-F238E27FC236}">
                <a16:creationId xmlns:a16="http://schemas.microsoft.com/office/drawing/2014/main" id="{5A6D9FE4-4317-4187-892A-9F5F59A8E86D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SICOLOG@" TargetMode="External"/><Relationship Id="rId13" Type="http://schemas.openxmlformats.org/officeDocument/2006/relationships/hyperlink" Target="mailto:MEDIC@" TargetMode="External"/><Relationship Id="rId18" Type="http://schemas.openxmlformats.org/officeDocument/2006/relationships/hyperlink" Target="mailto:PSICOLOG@" TargetMode="External"/><Relationship Id="rId3" Type="http://schemas.openxmlformats.org/officeDocument/2006/relationships/hyperlink" Target="mailto:MEDIC@" TargetMode="External"/><Relationship Id="rId21" Type="http://schemas.openxmlformats.org/officeDocument/2006/relationships/hyperlink" Target="mailto:ENFERMER@" TargetMode="External"/><Relationship Id="rId7" Type="http://schemas.openxmlformats.org/officeDocument/2006/relationships/hyperlink" Target="mailto:MEDIC@" TargetMode="External"/><Relationship Id="rId12" Type="http://schemas.openxmlformats.org/officeDocument/2006/relationships/hyperlink" Target="mailto:MEDIC@" TargetMode="External"/><Relationship Id="rId17" Type="http://schemas.openxmlformats.org/officeDocument/2006/relationships/hyperlink" Target="mailto:MEDIC@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mailto:MEDIC@" TargetMode="External"/><Relationship Id="rId16" Type="http://schemas.openxmlformats.org/officeDocument/2006/relationships/hyperlink" Target="mailto:MEDIC@" TargetMode="External"/><Relationship Id="rId20" Type="http://schemas.openxmlformats.org/officeDocument/2006/relationships/hyperlink" Target="mailto:MEDIC@" TargetMode="External"/><Relationship Id="rId1" Type="http://schemas.openxmlformats.org/officeDocument/2006/relationships/hyperlink" Target="mailto:ENFERMER@" TargetMode="External"/><Relationship Id="rId6" Type="http://schemas.openxmlformats.org/officeDocument/2006/relationships/hyperlink" Target="mailto:MEDIC@" TargetMode="External"/><Relationship Id="rId11" Type="http://schemas.openxmlformats.org/officeDocument/2006/relationships/hyperlink" Target="mailto:oscardarioprosero@gmail.com" TargetMode="External"/><Relationship Id="rId24" Type="http://schemas.openxmlformats.org/officeDocument/2006/relationships/hyperlink" Target="mailto:ENFERMER@" TargetMode="External"/><Relationship Id="rId5" Type="http://schemas.openxmlformats.org/officeDocument/2006/relationships/hyperlink" Target="mailto:MEDIC@" TargetMode="External"/><Relationship Id="rId15" Type="http://schemas.openxmlformats.org/officeDocument/2006/relationships/hyperlink" Target="mailto:MEDIC@" TargetMode="External"/><Relationship Id="rId23" Type="http://schemas.openxmlformats.org/officeDocument/2006/relationships/hyperlink" Target="mailto:MEDIC@" TargetMode="External"/><Relationship Id="rId10" Type="http://schemas.openxmlformats.org/officeDocument/2006/relationships/hyperlink" Target="mailto:PSICOLOG@" TargetMode="External"/><Relationship Id="rId19" Type="http://schemas.openxmlformats.org/officeDocument/2006/relationships/hyperlink" Target="mailto:MEDIC@" TargetMode="External"/><Relationship Id="rId4" Type="http://schemas.openxmlformats.org/officeDocument/2006/relationships/hyperlink" Target="mailto:PSICOLOG@" TargetMode="External"/><Relationship Id="rId9" Type="http://schemas.openxmlformats.org/officeDocument/2006/relationships/hyperlink" Target="mailto:PSICOLOG@" TargetMode="External"/><Relationship Id="rId14" Type="http://schemas.openxmlformats.org/officeDocument/2006/relationships/hyperlink" Target="mailto:MEDIC@" TargetMode="External"/><Relationship Id="rId22" Type="http://schemas.openxmlformats.org/officeDocument/2006/relationships/hyperlink" Target="mailto:MEDIC@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centrodecapacitaciondelsur.com/soporte-basico-de-vida-" TargetMode="External"/><Relationship Id="rId299" Type="http://schemas.openxmlformats.org/officeDocument/2006/relationships/hyperlink" Target="https://centrodecapacitaciondelsur.com/soporte-basico-de-vida-" TargetMode="External"/><Relationship Id="rId21" Type="http://schemas.openxmlformats.org/officeDocument/2006/relationships/hyperlink" Target="https://centrodecapacitaciondelsur.com/soporte-basico-de-vida-" TargetMode="External"/><Relationship Id="rId63" Type="http://schemas.openxmlformats.org/officeDocument/2006/relationships/hyperlink" Target="https://centrodecapacitaciondelsur.com/soporte-basico-de-vida-" TargetMode="External"/><Relationship Id="rId159" Type="http://schemas.openxmlformats.org/officeDocument/2006/relationships/hyperlink" Target="https://centrodecapacitaciondelsur.com/soporte-basico-de-vida-" TargetMode="External"/><Relationship Id="rId170" Type="http://schemas.openxmlformats.org/officeDocument/2006/relationships/hyperlink" Target="https://centrodecapacitaciondelsur.com/soporte-basico-de-vida-" TargetMode="External"/><Relationship Id="rId226" Type="http://schemas.openxmlformats.org/officeDocument/2006/relationships/hyperlink" Target="https://centrodecapacitaciondelsur.com/soporte-basico-de-vida-" TargetMode="External"/><Relationship Id="rId268" Type="http://schemas.openxmlformats.org/officeDocument/2006/relationships/hyperlink" Target="https://centrodecapacitaciondelsur.com/soporte-basico-de-vida-" TargetMode="External"/><Relationship Id="rId32" Type="http://schemas.openxmlformats.org/officeDocument/2006/relationships/hyperlink" Target="https://centrodecapacitaciondelsur.com/soporte-basico-de-vida-" TargetMode="External"/><Relationship Id="rId74" Type="http://schemas.openxmlformats.org/officeDocument/2006/relationships/hyperlink" Target="https://centrodecapacitaciondelsur.com/soporte-basico-de-vida-" TargetMode="External"/><Relationship Id="rId128" Type="http://schemas.openxmlformats.org/officeDocument/2006/relationships/hyperlink" Target="https://centrodecapacitaciondelsur.com/soporte-basico-de-vida-" TargetMode="External"/><Relationship Id="rId5" Type="http://schemas.openxmlformats.org/officeDocument/2006/relationships/hyperlink" Target="https://centrodecapacitaciondelsur.com/soporte-basico-de-vida-" TargetMode="External"/><Relationship Id="rId181" Type="http://schemas.openxmlformats.org/officeDocument/2006/relationships/hyperlink" Target="https://centrodecapacitaciondelsur.com/soporte-basico-de-vida-" TargetMode="External"/><Relationship Id="rId237" Type="http://schemas.openxmlformats.org/officeDocument/2006/relationships/hyperlink" Target="https://centrodecapacitaciondelsur.com/soporte-basico-de-vida-" TargetMode="External"/><Relationship Id="rId279" Type="http://schemas.openxmlformats.org/officeDocument/2006/relationships/hyperlink" Target="https://centrodecapacitaciondelsur.com/soporte-basico-de-vida-" TargetMode="External"/><Relationship Id="rId43" Type="http://schemas.openxmlformats.org/officeDocument/2006/relationships/hyperlink" Target="https://centrodecapacitaciondelsur.com/soporte-basico-de-vida-" TargetMode="External"/><Relationship Id="rId139" Type="http://schemas.openxmlformats.org/officeDocument/2006/relationships/hyperlink" Target="https://centrodecapacitaciondelsur.com/soporte-basico-de-vida-" TargetMode="External"/><Relationship Id="rId290" Type="http://schemas.openxmlformats.org/officeDocument/2006/relationships/hyperlink" Target="https://centrodecapacitaciondelsur.com/soporte-basico-de-vida-" TargetMode="External"/><Relationship Id="rId304" Type="http://schemas.openxmlformats.org/officeDocument/2006/relationships/hyperlink" Target="https://centrodecapacitaciondelsur.com/soporte-basico-de-vida-" TargetMode="External"/><Relationship Id="rId85" Type="http://schemas.openxmlformats.org/officeDocument/2006/relationships/hyperlink" Target="https://centrodecapacitaciondelsur.com/soporte-basico-de-vida-" TargetMode="External"/><Relationship Id="rId150" Type="http://schemas.openxmlformats.org/officeDocument/2006/relationships/hyperlink" Target="https://centrodecapacitaciondelsur.com/soporte-basico-de-vida-" TargetMode="External"/><Relationship Id="rId192" Type="http://schemas.openxmlformats.org/officeDocument/2006/relationships/hyperlink" Target="https://centrodecapacitaciondelsur.com/soporte-basico-de-vida-" TargetMode="External"/><Relationship Id="rId206" Type="http://schemas.openxmlformats.org/officeDocument/2006/relationships/hyperlink" Target="https://centrodecapacitaciondelsur.com/soporte-basico-de-vida-" TargetMode="External"/><Relationship Id="rId248" Type="http://schemas.openxmlformats.org/officeDocument/2006/relationships/hyperlink" Target="https://centrodecapacitaciondelsur.com/soporte-basico-de-vida-" TargetMode="External"/><Relationship Id="rId12" Type="http://schemas.openxmlformats.org/officeDocument/2006/relationships/hyperlink" Target="https://centrodecapacitaciondelsur.com/soporte-basico-de-vida-" TargetMode="External"/><Relationship Id="rId108" Type="http://schemas.openxmlformats.org/officeDocument/2006/relationships/hyperlink" Target="https://centrodecapacitaciondelsur.com/soporte-basico-de-vida-" TargetMode="External"/><Relationship Id="rId315" Type="http://schemas.openxmlformats.org/officeDocument/2006/relationships/hyperlink" Target="https://centrodecapacitaciondelsur.com/soporte-basico-de-vida-" TargetMode="External"/><Relationship Id="rId54" Type="http://schemas.openxmlformats.org/officeDocument/2006/relationships/hyperlink" Target="https://centrodecapacitaciondelsur.com/soporte-basico-de-vida-" TargetMode="External"/><Relationship Id="rId96" Type="http://schemas.openxmlformats.org/officeDocument/2006/relationships/hyperlink" Target="https://centrodecapacitaciondelsur.com/soporte-basico-de-vida-" TargetMode="External"/><Relationship Id="rId161" Type="http://schemas.openxmlformats.org/officeDocument/2006/relationships/hyperlink" Target="https://centrodecapacitaciondelsur.com/soporte-basico-de-vida-" TargetMode="External"/><Relationship Id="rId217" Type="http://schemas.openxmlformats.org/officeDocument/2006/relationships/hyperlink" Target="https://centrodecapacitaciondelsur.com/soporte-basico-de-vida-" TargetMode="External"/><Relationship Id="rId259" Type="http://schemas.openxmlformats.org/officeDocument/2006/relationships/hyperlink" Target="https://centrodecapacitaciondelsur.com/soporte-basico-de-vida-" TargetMode="External"/><Relationship Id="rId23" Type="http://schemas.openxmlformats.org/officeDocument/2006/relationships/hyperlink" Target="https://centrodecapacitaciondelsur.com/soporte-basico-de-vida-" TargetMode="External"/><Relationship Id="rId119" Type="http://schemas.openxmlformats.org/officeDocument/2006/relationships/hyperlink" Target="https://centrodecapacitaciondelsur.com/soporte-basico-de-vida-" TargetMode="External"/><Relationship Id="rId270" Type="http://schemas.openxmlformats.org/officeDocument/2006/relationships/hyperlink" Target="https://centrodecapacitaciondelsur.com/soporte-basico-de-vida-" TargetMode="External"/><Relationship Id="rId65" Type="http://schemas.openxmlformats.org/officeDocument/2006/relationships/hyperlink" Target="https://centrodecapacitaciondelsur.com/soporte-basico-de-vida-" TargetMode="External"/><Relationship Id="rId130" Type="http://schemas.openxmlformats.org/officeDocument/2006/relationships/hyperlink" Target="https://centrodecapacitaciondelsur.com/soporte-basico-de-vida-" TargetMode="External"/><Relationship Id="rId172" Type="http://schemas.openxmlformats.org/officeDocument/2006/relationships/hyperlink" Target="https://centrodecapacitaciondelsur.com/soporte-basico-de-vida-" TargetMode="External"/><Relationship Id="rId228" Type="http://schemas.openxmlformats.org/officeDocument/2006/relationships/hyperlink" Target="https://centrodecapacitaciondelsur.com/soporte-basico-de-vida-" TargetMode="External"/><Relationship Id="rId13" Type="http://schemas.openxmlformats.org/officeDocument/2006/relationships/hyperlink" Target="https://centrodecapacitaciondelsur.com/soporte-basico-de-vida-" TargetMode="External"/><Relationship Id="rId109" Type="http://schemas.openxmlformats.org/officeDocument/2006/relationships/hyperlink" Target="https://centrodecapacitaciondelsur.com/soporte-basico-de-vida-" TargetMode="External"/><Relationship Id="rId260" Type="http://schemas.openxmlformats.org/officeDocument/2006/relationships/hyperlink" Target="https://centrodecapacitaciondelsur.com/soporte-basico-de-vida-" TargetMode="External"/><Relationship Id="rId281" Type="http://schemas.openxmlformats.org/officeDocument/2006/relationships/hyperlink" Target="https://centrodecapacitaciondelsur.com/soporte-basico-de-vida-" TargetMode="External"/><Relationship Id="rId316" Type="http://schemas.openxmlformats.org/officeDocument/2006/relationships/hyperlink" Target="https://centrodecapacitaciondelsur.com/soporte-basico-de-vida-" TargetMode="External"/><Relationship Id="rId34" Type="http://schemas.openxmlformats.org/officeDocument/2006/relationships/hyperlink" Target="https://centrodecapacitaciondelsur.com/soporte-basico-de-vida-" TargetMode="External"/><Relationship Id="rId55" Type="http://schemas.openxmlformats.org/officeDocument/2006/relationships/hyperlink" Target="https://centrodecapacitaciondelsur.com/soporte-basico-de-vida-" TargetMode="External"/><Relationship Id="rId76" Type="http://schemas.openxmlformats.org/officeDocument/2006/relationships/hyperlink" Target="https://centrodecapacitaciondelsur.com/soporte-basico-de-vida-" TargetMode="External"/><Relationship Id="rId97" Type="http://schemas.openxmlformats.org/officeDocument/2006/relationships/hyperlink" Target="https://centrodecapacitaciondelsur.com/soporte-basico-de-vida-" TargetMode="External"/><Relationship Id="rId120" Type="http://schemas.openxmlformats.org/officeDocument/2006/relationships/hyperlink" Target="https://centrodecapacitaciondelsur.com/soporte-basico-de-vida-" TargetMode="External"/><Relationship Id="rId141" Type="http://schemas.openxmlformats.org/officeDocument/2006/relationships/hyperlink" Target="https://centrodecapacitaciondelsur.com/soporte-basico-de-vida-" TargetMode="External"/><Relationship Id="rId7" Type="http://schemas.openxmlformats.org/officeDocument/2006/relationships/hyperlink" Target="https://centrodecapacitaciondelsur.com/soporte-basico-de-vida-" TargetMode="External"/><Relationship Id="rId162" Type="http://schemas.openxmlformats.org/officeDocument/2006/relationships/hyperlink" Target="https://centrodecapacitaciondelsur.com/soporte-basico-de-vida-" TargetMode="External"/><Relationship Id="rId183" Type="http://schemas.openxmlformats.org/officeDocument/2006/relationships/hyperlink" Target="https://centrodecapacitaciondelsur.com/soporte-basico-de-vida-" TargetMode="External"/><Relationship Id="rId218" Type="http://schemas.openxmlformats.org/officeDocument/2006/relationships/hyperlink" Target="https://centrodecapacitaciondelsur.com/soporte-basico-de-vida-" TargetMode="External"/><Relationship Id="rId239" Type="http://schemas.openxmlformats.org/officeDocument/2006/relationships/hyperlink" Target="https://centrodecapacitaciondelsur.com/soporte-basico-de-vida-" TargetMode="External"/><Relationship Id="rId250" Type="http://schemas.openxmlformats.org/officeDocument/2006/relationships/hyperlink" Target="https://centrodecapacitaciondelsur.com/soporte-basico-de-vida-" TargetMode="External"/><Relationship Id="rId271" Type="http://schemas.openxmlformats.org/officeDocument/2006/relationships/hyperlink" Target="https://centrodecapacitaciondelsur.com/soporte-basico-de-vida-" TargetMode="External"/><Relationship Id="rId292" Type="http://schemas.openxmlformats.org/officeDocument/2006/relationships/hyperlink" Target="https://centrodecapacitaciondelsur.com/soporte-basico-de-vida-" TargetMode="External"/><Relationship Id="rId306" Type="http://schemas.openxmlformats.org/officeDocument/2006/relationships/hyperlink" Target="https://centrodecapacitaciondelsur.com/soporte-basico-de-vida-" TargetMode="External"/><Relationship Id="rId24" Type="http://schemas.openxmlformats.org/officeDocument/2006/relationships/hyperlink" Target="https://centrodecapacitaciondelsur.com/soporte-basico-de-vida-" TargetMode="External"/><Relationship Id="rId45" Type="http://schemas.openxmlformats.org/officeDocument/2006/relationships/hyperlink" Target="https://centrodecapacitaciondelsur.com/soporte-basico-de-vida-" TargetMode="External"/><Relationship Id="rId66" Type="http://schemas.openxmlformats.org/officeDocument/2006/relationships/hyperlink" Target="https://centrodecapacitaciondelsur.com/soporte-basico-de-vida-" TargetMode="External"/><Relationship Id="rId87" Type="http://schemas.openxmlformats.org/officeDocument/2006/relationships/hyperlink" Target="https://centrodecapacitaciondelsur.com/soporte-basico-de-vida-" TargetMode="External"/><Relationship Id="rId110" Type="http://schemas.openxmlformats.org/officeDocument/2006/relationships/hyperlink" Target="https://centrodecapacitaciondelsur.com/soporte-basico-de-vida-" TargetMode="External"/><Relationship Id="rId131" Type="http://schemas.openxmlformats.org/officeDocument/2006/relationships/hyperlink" Target="https://centrodecapacitaciondelsur.com/soporte-basico-de-vida-" TargetMode="External"/><Relationship Id="rId152" Type="http://schemas.openxmlformats.org/officeDocument/2006/relationships/hyperlink" Target="https://centrodecapacitaciondelsur.com/soporte-basico-de-vida-" TargetMode="External"/><Relationship Id="rId173" Type="http://schemas.openxmlformats.org/officeDocument/2006/relationships/hyperlink" Target="https://centrodecapacitaciondelsur.com/soporte-basico-de-vida-" TargetMode="External"/><Relationship Id="rId194" Type="http://schemas.openxmlformats.org/officeDocument/2006/relationships/hyperlink" Target="https://centrodecapacitaciondelsur.com/soporte-basico-de-vida-" TargetMode="External"/><Relationship Id="rId208" Type="http://schemas.openxmlformats.org/officeDocument/2006/relationships/hyperlink" Target="https://centrodecapacitaciondelsur.com/soporte-basico-de-vida-" TargetMode="External"/><Relationship Id="rId229" Type="http://schemas.openxmlformats.org/officeDocument/2006/relationships/hyperlink" Target="https://centrodecapacitaciondelsur.com/soporte-basico-de-vida-" TargetMode="External"/><Relationship Id="rId240" Type="http://schemas.openxmlformats.org/officeDocument/2006/relationships/hyperlink" Target="https://centrodecapacitaciondelsur.com/soporte-basico-de-vida-" TargetMode="External"/><Relationship Id="rId261" Type="http://schemas.openxmlformats.org/officeDocument/2006/relationships/hyperlink" Target="https://centrodecapacitaciondelsur.com/soporte-basico-de-vida-" TargetMode="External"/><Relationship Id="rId14" Type="http://schemas.openxmlformats.org/officeDocument/2006/relationships/hyperlink" Target="https://centrodecapacitaciondelsur.com/soporte-basico-de-vida-" TargetMode="External"/><Relationship Id="rId35" Type="http://schemas.openxmlformats.org/officeDocument/2006/relationships/hyperlink" Target="https://centrodecapacitaciondelsur.com/soporte-basico-de-vida-" TargetMode="External"/><Relationship Id="rId56" Type="http://schemas.openxmlformats.org/officeDocument/2006/relationships/hyperlink" Target="https://centrodecapacitaciondelsur.com/soporte-basico-de-vida-" TargetMode="External"/><Relationship Id="rId77" Type="http://schemas.openxmlformats.org/officeDocument/2006/relationships/hyperlink" Target="https://centrodecapacitaciondelsur.com/soporte-basico-de-vida-" TargetMode="External"/><Relationship Id="rId100" Type="http://schemas.openxmlformats.org/officeDocument/2006/relationships/hyperlink" Target="https://centrodecapacitaciondelsur.com/soporte-basico-de-vida-" TargetMode="External"/><Relationship Id="rId282" Type="http://schemas.openxmlformats.org/officeDocument/2006/relationships/hyperlink" Target="https://centrodecapacitaciondelsur.com/soporte-basico-de-vida-" TargetMode="External"/><Relationship Id="rId317" Type="http://schemas.openxmlformats.org/officeDocument/2006/relationships/hyperlink" Target="https://centrodecapacitaciondelsur.com/soporte-basico-de-vida-" TargetMode="External"/><Relationship Id="rId8" Type="http://schemas.openxmlformats.org/officeDocument/2006/relationships/hyperlink" Target="https://centrodecapacitaciondelsur.com/soporte-basico-de-vida-" TargetMode="External"/><Relationship Id="rId98" Type="http://schemas.openxmlformats.org/officeDocument/2006/relationships/hyperlink" Target="https://centrodecapacitaciondelsur.com/soporte-basico-de-vida-" TargetMode="External"/><Relationship Id="rId121" Type="http://schemas.openxmlformats.org/officeDocument/2006/relationships/hyperlink" Target="https://centrodecapacitaciondelsur.com/soporte-basico-de-vida-" TargetMode="External"/><Relationship Id="rId142" Type="http://schemas.openxmlformats.org/officeDocument/2006/relationships/hyperlink" Target="https://centrodecapacitaciondelsur.com/soporte-basico-de-vida-" TargetMode="External"/><Relationship Id="rId163" Type="http://schemas.openxmlformats.org/officeDocument/2006/relationships/hyperlink" Target="https://centrodecapacitaciondelsur.com/soporte-basico-de-vida-" TargetMode="External"/><Relationship Id="rId184" Type="http://schemas.openxmlformats.org/officeDocument/2006/relationships/hyperlink" Target="https://centrodecapacitaciondelsur.com/soporte-basico-de-vida-" TargetMode="External"/><Relationship Id="rId219" Type="http://schemas.openxmlformats.org/officeDocument/2006/relationships/hyperlink" Target="https://centrodecapacitaciondelsur.com/soporte-basico-de-vida-" TargetMode="External"/><Relationship Id="rId230" Type="http://schemas.openxmlformats.org/officeDocument/2006/relationships/hyperlink" Target="https://centrodecapacitaciondelsur.com/soporte-basico-de-vida-" TargetMode="External"/><Relationship Id="rId251" Type="http://schemas.openxmlformats.org/officeDocument/2006/relationships/hyperlink" Target="https://centrodecapacitaciondelsur.com/soporte-basico-de-vida-" TargetMode="External"/><Relationship Id="rId25" Type="http://schemas.openxmlformats.org/officeDocument/2006/relationships/hyperlink" Target="https://centrodecapacitaciondelsur.com/soporte-basico-de-vida-" TargetMode="External"/><Relationship Id="rId46" Type="http://schemas.openxmlformats.org/officeDocument/2006/relationships/hyperlink" Target="https://centrodecapacitaciondelsur.com/soporte-basico-de-vida-" TargetMode="External"/><Relationship Id="rId67" Type="http://schemas.openxmlformats.org/officeDocument/2006/relationships/hyperlink" Target="https://centrodecapacitaciondelsur.com/soporte-basico-de-vida-" TargetMode="External"/><Relationship Id="rId272" Type="http://schemas.openxmlformats.org/officeDocument/2006/relationships/hyperlink" Target="https://centrodecapacitaciondelsur.com/soporte-basico-de-vida-" TargetMode="External"/><Relationship Id="rId293" Type="http://schemas.openxmlformats.org/officeDocument/2006/relationships/hyperlink" Target="https://centrodecapacitaciondelsur.com/soporte-basico-de-vida-" TargetMode="External"/><Relationship Id="rId307" Type="http://schemas.openxmlformats.org/officeDocument/2006/relationships/hyperlink" Target="https://centrodecapacitaciondelsur.com/soporte-basico-de-vida-" TargetMode="External"/><Relationship Id="rId88" Type="http://schemas.openxmlformats.org/officeDocument/2006/relationships/hyperlink" Target="https://centrodecapacitaciondelsur.com/soporte-basico-de-vida-" TargetMode="External"/><Relationship Id="rId111" Type="http://schemas.openxmlformats.org/officeDocument/2006/relationships/hyperlink" Target="https://centrodecapacitaciondelsur.com/soporte-basico-de-vida-" TargetMode="External"/><Relationship Id="rId132" Type="http://schemas.openxmlformats.org/officeDocument/2006/relationships/hyperlink" Target="https://centrodecapacitaciondelsur.com/soporte-basico-de-vida-" TargetMode="External"/><Relationship Id="rId153" Type="http://schemas.openxmlformats.org/officeDocument/2006/relationships/hyperlink" Target="https://centrodecapacitaciondelsur.com/soporte-basico-de-vida-" TargetMode="External"/><Relationship Id="rId174" Type="http://schemas.openxmlformats.org/officeDocument/2006/relationships/hyperlink" Target="https://centrodecapacitaciondelsur.com/soporte-basico-de-vida-" TargetMode="External"/><Relationship Id="rId195" Type="http://schemas.openxmlformats.org/officeDocument/2006/relationships/hyperlink" Target="https://centrodecapacitaciondelsur.com/soporte-basico-de-vida-" TargetMode="External"/><Relationship Id="rId209" Type="http://schemas.openxmlformats.org/officeDocument/2006/relationships/hyperlink" Target="https://centrodecapacitaciondelsur.com/soporte-basico-de-vida-" TargetMode="External"/><Relationship Id="rId220" Type="http://schemas.openxmlformats.org/officeDocument/2006/relationships/hyperlink" Target="https://centrodecapacitaciondelsur.com/soporte-basico-de-vida-" TargetMode="External"/><Relationship Id="rId241" Type="http://schemas.openxmlformats.org/officeDocument/2006/relationships/hyperlink" Target="https://centrodecapacitaciondelsur.com/soporte-basico-de-vida-" TargetMode="External"/><Relationship Id="rId15" Type="http://schemas.openxmlformats.org/officeDocument/2006/relationships/hyperlink" Target="https://centrodecapacitaciondelsur.com/soporte-basico-de-vida-" TargetMode="External"/><Relationship Id="rId36" Type="http://schemas.openxmlformats.org/officeDocument/2006/relationships/hyperlink" Target="https://centrodecapacitaciondelsur.com/soporte-basico-de-vida-" TargetMode="External"/><Relationship Id="rId57" Type="http://schemas.openxmlformats.org/officeDocument/2006/relationships/hyperlink" Target="https://centrodecapacitaciondelsur.com/soporte-basico-de-vida-" TargetMode="External"/><Relationship Id="rId262" Type="http://schemas.openxmlformats.org/officeDocument/2006/relationships/hyperlink" Target="https://centrodecapacitaciondelsur.com/soporte-basico-de-vida-" TargetMode="External"/><Relationship Id="rId283" Type="http://schemas.openxmlformats.org/officeDocument/2006/relationships/hyperlink" Target="https://centrodecapacitaciondelsur.com/soporte-basico-de-vida-" TargetMode="External"/><Relationship Id="rId318" Type="http://schemas.openxmlformats.org/officeDocument/2006/relationships/printerSettings" Target="../printerSettings/printerSettings3.bin"/><Relationship Id="rId78" Type="http://schemas.openxmlformats.org/officeDocument/2006/relationships/hyperlink" Target="https://centrodecapacitaciondelsur.com/soporte-basico-de-vida-" TargetMode="External"/><Relationship Id="rId99" Type="http://schemas.openxmlformats.org/officeDocument/2006/relationships/hyperlink" Target="https://centrodecapacitaciondelsur.com/soporte-basico-de-vida-" TargetMode="External"/><Relationship Id="rId101" Type="http://schemas.openxmlformats.org/officeDocument/2006/relationships/hyperlink" Target="https://centrodecapacitaciondelsur.com/soporte-basico-de-vida-" TargetMode="External"/><Relationship Id="rId122" Type="http://schemas.openxmlformats.org/officeDocument/2006/relationships/hyperlink" Target="https://centrodecapacitaciondelsur.com/soporte-basico-de-vida-" TargetMode="External"/><Relationship Id="rId143" Type="http://schemas.openxmlformats.org/officeDocument/2006/relationships/hyperlink" Target="https://centrodecapacitaciondelsur.com/soporte-basico-de-vida-" TargetMode="External"/><Relationship Id="rId164" Type="http://schemas.openxmlformats.org/officeDocument/2006/relationships/hyperlink" Target="https://centrodecapacitaciondelsur.com/soporte-basico-de-vida-" TargetMode="External"/><Relationship Id="rId185" Type="http://schemas.openxmlformats.org/officeDocument/2006/relationships/hyperlink" Target="https://centrodecapacitaciondelsur.com/soporte-basico-de-vida-" TargetMode="External"/><Relationship Id="rId9" Type="http://schemas.openxmlformats.org/officeDocument/2006/relationships/hyperlink" Target="https://centrodecapacitaciondelsur.com/soporte-basico-de-vida-" TargetMode="External"/><Relationship Id="rId210" Type="http://schemas.openxmlformats.org/officeDocument/2006/relationships/hyperlink" Target="https://centrodecapacitaciondelsur.com/soporte-basico-de-vida-" TargetMode="External"/><Relationship Id="rId26" Type="http://schemas.openxmlformats.org/officeDocument/2006/relationships/hyperlink" Target="https://centrodecapacitaciondelsur.com/soporte-basico-de-vida-" TargetMode="External"/><Relationship Id="rId231" Type="http://schemas.openxmlformats.org/officeDocument/2006/relationships/hyperlink" Target="https://centrodecapacitaciondelsur.com/soporte-basico-de-vida-" TargetMode="External"/><Relationship Id="rId252" Type="http://schemas.openxmlformats.org/officeDocument/2006/relationships/hyperlink" Target="https://centrodecapacitaciondelsur.com/soporte-basico-de-vida-" TargetMode="External"/><Relationship Id="rId273" Type="http://schemas.openxmlformats.org/officeDocument/2006/relationships/hyperlink" Target="https://centrodecapacitaciondelsur.com/soporte-basico-de-vida-" TargetMode="External"/><Relationship Id="rId294" Type="http://schemas.openxmlformats.org/officeDocument/2006/relationships/hyperlink" Target="https://centrodecapacitaciondelsur.com/soporte-basico-de-vida-" TargetMode="External"/><Relationship Id="rId308" Type="http://schemas.openxmlformats.org/officeDocument/2006/relationships/hyperlink" Target="https://centrodecapacitaciondelsur.com/soporte-basico-de-vida-" TargetMode="External"/><Relationship Id="rId47" Type="http://schemas.openxmlformats.org/officeDocument/2006/relationships/hyperlink" Target="https://centrodecapacitaciondelsur.com/soporte-basico-de-vida-" TargetMode="External"/><Relationship Id="rId68" Type="http://schemas.openxmlformats.org/officeDocument/2006/relationships/hyperlink" Target="https://centrodecapacitaciondelsur.com/soporte-basico-de-vida-" TargetMode="External"/><Relationship Id="rId89" Type="http://schemas.openxmlformats.org/officeDocument/2006/relationships/hyperlink" Target="https://centrodecapacitaciondelsur.com/soporte-basico-de-vida-" TargetMode="External"/><Relationship Id="rId112" Type="http://schemas.openxmlformats.org/officeDocument/2006/relationships/hyperlink" Target="https://centrodecapacitaciondelsur.com/soporte-basico-de-vida-" TargetMode="External"/><Relationship Id="rId133" Type="http://schemas.openxmlformats.org/officeDocument/2006/relationships/hyperlink" Target="https://centrodecapacitaciondelsur.com/soporte-basico-de-vida-" TargetMode="External"/><Relationship Id="rId154" Type="http://schemas.openxmlformats.org/officeDocument/2006/relationships/hyperlink" Target="https://centrodecapacitaciondelsur.com/soporte-basico-de-vida-" TargetMode="External"/><Relationship Id="rId175" Type="http://schemas.openxmlformats.org/officeDocument/2006/relationships/hyperlink" Target="https://centrodecapacitaciondelsur.com/soporte-basico-de-vida-" TargetMode="External"/><Relationship Id="rId196" Type="http://schemas.openxmlformats.org/officeDocument/2006/relationships/hyperlink" Target="https://centrodecapacitaciondelsur.com/soporte-basico-de-vida-" TargetMode="External"/><Relationship Id="rId200" Type="http://schemas.openxmlformats.org/officeDocument/2006/relationships/hyperlink" Target="https://centrodecapacitaciondelsur.com/soporte-basico-de-vida-" TargetMode="External"/><Relationship Id="rId16" Type="http://schemas.openxmlformats.org/officeDocument/2006/relationships/hyperlink" Target="https://centrodecapacitaciondelsur.com/soporte-basico-de-vida-" TargetMode="External"/><Relationship Id="rId221" Type="http://schemas.openxmlformats.org/officeDocument/2006/relationships/hyperlink" Target="https://centrodecapacitaciondelsur.com/soporte-basico-de-vida-" TargetMode="External"/><Relationship Id="rId242" Type="http://schemas.openxmlformats.org/officeDocument/2006/relationships/hyperlink" Target="https://centrodecapacitaciondelsur.com/soporte-basico-de-vida-" TargetMode="External"/><Relationship Id="rId263" Type="http://schemas.openxmlformats.org/officeDocument/2006/relationships/hyperlink" Target="https://centrodecapacitaciondelsur.com/soporte-basico-de-vida-" TargetMode="External"/><Relationship Id="rId284" Type="http://schemas.openxmlformats.org/officeDocument/2006/relationships/hyperlink" Target="https://centrodecapacitaciondelsur.com/soporte-basico-de-vida-" TargetMode="External"/><Relationship Id="rId319" Type="http://schemas.openxmlformats.org/officeDocument/2006/relationships/drawing" Target="../drawings/drawing1.xml"/><Relationship Id="rId37" Type="http://schemas.openxmlformats.org/officeDocument/2006/relationships/hyperlink" Target="https://centrodecapacitaciondelsur.com/soporte-basico-de-vida-" TargetMode="External"/><Relationship Id="rId58" Type="http://schemas.openxmlformats.org/officeDocument/2006/relationships/hyperlink" Target="https://centrodecapacitaciondelsur.com/soporte-basico-de-vida-" TargetMode="External"/><Relationship Id="rId79" Type="http://schemas.openxmlformats.org/officeDocument/2006/relationships/hyperlink" Target="https://centrodecapacitaciondelsur.com/soporte-basico-de-vida-" TargetMode="External"/><Relationship Id="rId102" Type="http://schemas.openxmlformats.org/officeDocument/2006/relationships/hyperlink" Target="https://centrodecapacitaciondelsur.com/soporte-basico-de-vida-" TargetMode="External"/><Relationship Id="rId123" Type="http://schemas.openxmlformats.org/officeDocument/2006/relationships/hyperlink" Target="https://centrodecapacitaciondelsur.com/soporte-basico-de-vida-" TargetMode="External"/><Relationship Id="rId144" Type="http://schemas.openxmlformats.org/officeDocument/2006/relationships/hyperlink" Target="https://centrodecapacitaciondelsur.com/soporte-basico-de-vida-" TargetMode="External"/><Relationship Id="rId90" Type="http://schemas.openxmlformats.org/officeDocument/2006/relationships/hyperlink" Target="https://centrodecapacitaciondelsur.com/soporte-basico-de-vida-" TargetMode="External"/><Relationship Id="rId165" Type="http://schemas.openxmlformats.org/officeDocument/2006/relationships/hyperlink" Target="https://centrodecapacitaciondelsur.com/soporte-basico-de-vida-" TargetMode="External"/><Relationship Id="rId186" Type="http://schemas.openxmlformats.org/officeDocument/2006/relationships/hyperlink" Target="https://centrodecapacitaciondelsur.com/soporte-basico-de-vida-" TargetMode="External"/><Relationship Id="rId211" Type="http://schemas.openxmlformats.org/officeDocument/2006/relationships/hyperlink" Target="https://centrodecapacitaciondelsur.com/soporte-basico-de-vida-" TargetMode="External"/><Relationship Id="rId232" Type="http://schemas.openxmlformats.org/officeDocument/2006/relationships/hyperlink" Target="https://centrodecapacitaciondelsur.com/soporte-basico-de-vida-" TargetMode="External"/><Relationship Id="rId253" Type="http://schemas.openxmlformats.org/officeDocument/2006/relationships/hyperlink" Target="https://centrodecapacitaciondelsur.com/soporte-basico-de-vida-" TargetMode="External"/><Relationship Id="rId274" Type="http://schemas.openxmlformats.org/officeDocument/2006/relationships/hyperlink" Target="https://centrodecapacitaciondelsur.com/soporte-basico-de-vida-" TargetMode="External"/><Relationship Id="rId295" Type="http://schemas.openxmlformats.org/officeDocument/2006/relationships/hyperlink" Target="https://centrodecapacitaciondelsur.com/soporte-basico-de-vida-" TargetMode="External"/><Relationship Id="rId309" Type="http://schemas.openxmlformats.org/officeDocument/2006/relationships/hyperlink" Target="https://centrodecapacitaciondelsur.com/soporte-basico-de-vida-" TargetMode="External"/><Relationship Id="rId27" Type="http://schemas.openxmlformats.org/officeDocument/2006/relationships/hyperlink" Target="https://centrodecapacitaciondelsur.com/soporte-basico-de-vida-" TargetMode="External"/><Relationship Id="rId48" Type="http://schemas.openxmlformats.org/officeDocument/2006/relationships/hyperlink" Target="https://centrodecapacitaciondelsur.com/soporte-basico-de-vida-" TargetMode="External"/><Relationship Id="rId69" Type="http://schemas.openxmlformats.org/officeDocument/2006/relationships/hyperlink" Target="https://centrodecapacitaciondelsur.com/soporte-basico-de-vida-" TargetMode="External"/><Relationship Id="rId113" Type="http://schemas.openxmlformats.org/officeDocument/2006/relationships/hyperlink" Target="https://centrodecapacitaciondelsur.com/soporte-basico-de-vida-" TargetMode="External"/><Relationship Id="rId134" Type="http://schemas.openxmlformats.org/officeDocument/2006/relationships/hyperlink" Target="https://centrodecapacitaciondelsur.com/soporte-basico-de-vida-" TargetMode="External"/><Relationship Id="rId80" Type="http://schemas.openxmlformats.org/officeDocument/2006/relationships/hyperlink" Target="https://centrodecapacitaciondelsur.com/soporte-basico-de-vida-" TargetMode="External"/><Relationship Id="rId155" Type="http://schemas.openxmlformats.org/officeDocument/2006/relationships/hyperlink" Target="https://centrodecapacitaciondelsur.com/soporte-basico-de-vida-" TargetMode="External"/><Relationship Id="rId176" Type="http://schemas.openxmlformats.org/officeDocument/2006/relationships/hyperlink" Target="https://centrodecapacitaciondelsur.com/soporte-basico-de-vida-" TargetMode="External"/><Relationship Id="rId197" Type="http://schemas.openxmlformats.org/officeDocument/2006/relationships/hyperlink" Target="https://centrodecapacitaciondelsur.com/soporte-basico-de-vida-" TargetMode="External"/><Relationship Id="rId201" Type="http://schemas.openxmlformats.org/officeDocument/2006/relationships/hyperlink" Target="https://centrodecapacitaciondelsur.com/soporte-basico-de-vida-" TargetMode="External"/><Relationship Id="rId222" Type="http://schemas.openxmlformats.org/officeDocument/2006/relationships/hyperlink" Target="https://centrodecapacitaciondelsur.com/soporte-basico-de-vida-" TargetMode="External"/><Relationship Id="rId243" Type="http://schemas.openxmlformats.org/officeDocument/2006/relationships/hyperlink" Target="https://centrodecapacitaciondelsur.com/soporte-basico-de-vida-" TargetMode="External"/><Relationship Id="rId264" Type="http://schemas.openxmlformats.org/officeDocument/2006/relationships/hyperlink" Target="https://centrodecapacitaciondelsur.com/soporte-basico-de-vida-" TargetMode="External"/><Relationship Id="rId285" Type="http://schemas.openxmlformats.org/officeDocument/2006/relationships/hyperlink" Target="https://centrodecapacitaciondelsur.com/soporte-basico-de-vida-" TargetMode="External"/><Relationship Id="rId17" Type="http://schemas.openxmlformats.org/officeDocument/2006/relationships/hyperlink" Target="https://centrodecapacitaciondelsur.com/soporte-basico-de-vida-" TargetMode="External"/><Relationship Id="rId38" Type="http://schemas.openxmlformats.org/officeDocument/2006/relationships/hyperlink" Target="https://centrodecapacitaciondelsur.com/soporte-basico-de-vida-" TargetMode="External"/><Relationship Id="rId59" Type="http://schemas.openxmlformats.org/officeDocument/2006/relationships/hyperlink" Target="https://centrodecapacitaciondelsur.com/soporte-basico-de-vida-" TargetMode="External"/><Relationship Id="rId103" Type="http://schemas.openxmlformats.org/officeDocument/2006/relationships/hyperlink" Target="https://centrodecapacitaciondelsur.com/soporte-basico-de-vida-" TargetMode="External"/><Relationship Id="rId124" Type="http://schemas.openxmlformats.org/officeDocument/2006/relationships/hyperlink" Target="https://centrodecapacitaciondelsur.com/soporte-basico-de-vida-" TargetMode="External"/><Relationship Id="rId310" Type="http://schemas.openxmlformats.org/officeDocument/2006/relationships/hyperlink" Target="https://centrodecapacitaciondelsur.com/soporte-basico-de-vida-" TargetMode="External"/><Relationship Id="rId70" Type="http://schemas.openxmlformats.org/officeDocument/2006/relationships/hyperlink" Target="https://centrodecapacitaciondelsur.com/soporte-basico-de-vida-" TargetMode="External"/><Relationship Id="rId91" Type="http://schemas.openxmlformats.org/officeDocument/2006/relationships/hyperlink" Target="https://centrodecapacitaciondelsur.com/soporte-basico-de-vida-" TargetMode="External"/><Relationship Id="rId145" Type="http://schemas.openxmlformats.org/officeDocument/2006/relationships/hyperlink" Target="https://centrodecapacitaciondelsur.com/soporte-basico-de-vida-" TargetMode="External"/><Relationship Id="rId166" Type="http://schemas.openxmlformats.org/officeDocument/2006/relationships/hyperlink" Target="https://centrodecapacitaciondelsur.com/soporte-basico-de-vida-" TargetMode="External"/><Relationship Id="rId187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Relationship Id="rId212" Type="http://schemas.openxmlformats.org/officeDocument/2006/relationships/hyperlink" Target="https://centrodecapacitaciondelsur.com/soporte-basico-de-vida-" TargetMode="External"/><Relationship Id="rId233" Type="http://schemas.openxmlformats.org/officeDocument/2006/relationships/hyperlink" Target="https://centrodecapacitaciondelsur.com/soporte-basico-de-vida-" TargetMode="External"/><Relationship Id="rId254" Type="http://schemas.openxmlformats.org/officeDocument/2006/relationships/hyperlink" Target="https://centrodecapacitaciondelsur.com/soporte-basico-de-vida-" TargetMode="External"/><Relationship Id="rId28" Type="http://schemas.openxmlformats.org/officeDocument/2006/relationships/hyperlink" Target="https://centrodecapacitaciondelsur.com/soporte-basico-de-vida-" TargetMode="External"/><Relationship Id="rId49" Type="http://schemas.openxmlformats.org/officeDocument/2006/relationships/hyperlink" Target="https://centrodecapacitaciondelsur.com/soporte-basico-de-vida-" TargetMode="External"/><Relationship Id="rId114" Type="http://schemas.openxmlformats.org/officeDocument/2006/relationships/hyperlink" Target="https://centrodecapacitaciondelsur.com/soporte-basico-de-vida-" TargetMode="External"/><Relationship Id="rId275" Type="http://schemas.openxmlformats.org/officeDocument/2006/relationships/hyperlink" Target="https://centrodecapacitaciondelsur.com/soporte-basico-de-vida-" TargetMode="External"/><Relationship Id="rId296" Type="http://schemas.openxmlformats.org/officeDocument/2006/relationships/hyperlink" Target="https://centrodecapacitaciondelsur.com/soporte-basico-de-vida-" TargetMode="External"/><Relationship Id="rId300" Type="http://schemas.openxmlformats.org/officeDocument/2006/relationships/hyperlink" Target="https://centrodecapacitaciondelsur.com/soporte-basico-de-vida-" TargetMode="External"/><Relationship Id="rId60" Type="http://schemas.openxmlformats.org/officeDocument/2006/relationships/hyperlink" Target="https://centrodecapacitaciondelsur.com/soporte-basico-de-vida-" TargetMode="External"/><Relationship Id="rId81" Type="http://schemas.openxmlformats.org/officeDocument/2006/relationships/hyperlink" Target="https://centrodecapacitaciondelsur.com/soporte-basico-de-vida-" TargetMode="External"/><Relationship Id="rId135" Type="http://schemas.openxmlformats.org/officeDocument/2006/relationships/hyperlink" Target="https://centrodecapacitaciondelsur.com/soporte-basico-de-vida-" TargetMode="External"/><Relationship Id="rId156" Type="http://schemas.openxmlformats.org/officeDocument/2006/relationships/hyperlink" Target="https://centrodecapacitaciondelsur.com/soporte-basico-de-vida-" TargetMode="External"/><Relationship Id="rId177" Type="http://schemas.openxmlformats.org/officeDocument/2006/relationships/hyperlink" Target="https://centrodecapacitaciondelsur.com/soporte-basico-de-vida-" TargetMode="External"/><Relationship Id="rId198" Type="http://schemas.openxmlformats.org/officeDocument/2006/relationships/hyperlink" Target="https://centrodecapacitaciondelsur.com/soporte-basico-de-vida-" TargetMode="External"/><Relationship Id="rId202" Type="http://schemas.openxmlformats.org/officeDocument/2006/relationships/hyperlink" Target="https://centrodecapacitaciondelsur.com/soporte-basico-de-vida-" TargetMode="External"/><Relationship Id="rId223" Type="http://schemas.openxmlformats.org/officeDocument/2006/relationships/hyperlink" Target="https://centrodecapacitaciondelsur.com/soporte-basico-de-vida-" TargetMode="External"/><Relationship Id="rId244" Type="http://schemas.openxmlformats.org/officeDocument/2006/relationships/hyperlink" Target="https://centrodecapacitaciondelsur.com/soporte-basico-de-vida-" TargetMode="External"/><Relationship Id="rId18" Type="http://schemas.openxmlformats.org/officeDocument/2006/relationships/hyperlink" Target="https://centrodecapacitaciondelsur.com/soporte-basico-de-vida-" TargetMode="External"/><Relationship Id="rId39" Type="http://schemas.openxmlformats.org/officeDocument/2006/relationships/hyperlink" Target="https://centrodecapacitaciondelsur.com/soporte-basico-de-vida-" TargetMode="External"/><Relationship Id="rId265" Type="http://schemas.openxmlformats.org/officeDocument/2006/relationships/hyperlink" Target="https://centrodecapacitaciondelsur.com/soporte-basico-de-vida-" TargetMode="External"/><Relationship Id="rId286" Type="http://schemas.openxmlformats.org/officeDocument/2006/relationships/hyperlink" Target="https://centrodecapacitaciondelsur.com/soporte-basico-de-vida-" TargetMode="External"/><Relationship Id="rId50" Type="http://schemas.openxmlformats.org/officeDocument/2006/relationships/hyperlink" Target="https://centrodecapacitaciondelsur.com/soporte-basico-de-vida-" TargetMode="External"/><Relationship Id="rId104" Type="http://schemas.openxmlformats.org/officeDocument/2006/relationships/hyperlink" Target="https://centrodecapacitaciondelsur.com/soporte-basico-de-vida-" TargetMode="External"/><Relationship Id="rId125" Type="http://schemas.openxmlformats.org/officeDocument/2006/relationships/hyperlink" Target="https://centrodecapacitaciondelsur.com/soporte-basico-de-vida-" TargetMode="External"/><Relationship Id="rId146" Type="http://schemas.openxmlformats.org/officeDocument/2006/relationships/hyperlink" Target="https://centrodecapacitaciondelsur.com/soporte-basico-de-vida-" TargetMode="External"/><Relationship Id="rId167" Type="http://schemas.openxmlformats.org/officeDocument/2006/relationships/hyperlink" Target="https://centrodecapacitaciondelsur.com/soporte-basico-de-vida-" TargetMode="External"/><Relationship Id="rId188" Type="http://schemas.openxmlformats.org/officeDocument/2006/relationships/hyperlink" Target="https://centrodecapacitaciondelsur.com/soporte-basico-de-vida-" TargetMode="External"/><Relationship Id="rId311" Type="http://schemas.openxmlformats.org/officeDocument/2006/relationships/hyperlink" Target="https://centrodecapacitaciondelsur.com/soporte-basico-de-vida-" TargetMode="External"/><Relationship Id="rId71" Type="http://schemas.openxmlformats.org/officeDocument/2006/relationships/hyperlink" Target="https://centrodecapacitaciondelsur.com/soporte-basico-de-vida-" TargetMode="External"/><Relationship Id="rId92" Type="http://schemas.openxmlformats.org/officeDocument/2006/relationships/hyperlink" Target="https://centrodecapacitaciondelsur.com/soporte-basico-de-vida-" TargetMode="External"/><Relationship Id="rId213" Type="http://schemas.openxmlformats.org/officeDocument/2006/relationships/hyperlink" Target="https://centrodecapacitaciondelsur.com/soporte-basico-de-vida-" TargetMode="External"/><Relationship Id="rId234" Type="http://schemas.openxmlformats.org/officeDocument/2006/relationships/hyperlink" Target="https://centrodecapacitaciondelsur.com/soporte-basico-de-vida-" TargetMode="External"/><Relationship Id="rId2" Type="http://schemas.openxmlformats.org/officeDocument/2006/relationships/hyperlink" Target="https://centrodecapacitaciondelsur.com/manejo-de-residuos-hospitalarios-" TargetMode="External"/><Relationship Id="rId29" Type="http://schemas.openxmlformats.org/officeDocument/2006/relationships/hyperlink" Target="https://centrodecapacitaciondelsur.com/soporte-basico-de-vida-" TargetMode="External"/><Relationship Id="rId255" Type="http://schemas.openxmlformats.org/officeDocument/2006/relationships/hyperlink" Target="https://centrodecapacitaciondelsur.com/soporte-basico-de-vida-" TargetMode="External"/><Relationship Id="rId276" Type="http://schemas.openxmlformats.org/officeDocument/2006/relationships/hyperlink" Target="https://centrodecapacitaciondelsur.com/soporte-basico-de-vida-" TargetMode="External"/><Relationship Id="rId297" Type="http://schemas.openxmlformats.org/officeDocument/2006/relationships/hyperlink" Target="https://centrodecapacitaciondelsur.com/soporte-basico-de-vida-" TargetMode="External"/><Relationship Id="rId40" Type="http://schemas.openxmlformats.org/officeDocument/2006/relationships/hyperlink" Target="https://centrodecapacitaciondelsur.com/soporte-basico-de-vida-" TargetMode="External"/><Relationship Id="rId115" Type="http://schemas.openxmlformats.org/officeDocument/2006/relationships/hyperlink" Target="https://centrodecapacitaciondelsur.com/soporte-basico-de-vida-" TargetMode="External"/><Relationship Id="rId136" Type="http://schemas.openxmlformats.org/officeDocument/2006/relationships/hyperlink" Target="https://centrodecapacitaciondelsur.com/soporte-basico-de-vida-" TargetMode="External"/><Relationship Id="rId157" Type="http://schemas.openxmlformats.org/officeDocument/2006/relationships/hyperlink" Target="https://centrodecapacitaciondelsur.com/soporte-basico-de-vida-" TargetMode="External"/><Relationship Id="rId178" Type="http://schemas.openxmlformats.org/officeDocument/2006/relationships/hyperlink" Target="https://centrodecapacitaciondelsur.com/soporte-basico-de-vida-" TargetMode="External"/><Relationship Id="rId301" Type="http://schemas.openxmlformats.org/officeDocument/2006/relationships/hyperlink" Target="https://centrodecapacitaciondelsur.com/soporte-basico-de-vida-" TargetMode="External"/><Relationship Id="rId61" Type="http://schemas.openxmlformats.org/officeDocument/2006/relationships/hyperlink" Target="https://centrodecapacitaciondelsur.com/soporte-basico-de-vida-" TargetMode="External"/><Relationship Id="rId82" Type="http://schemas.openxmlformats.org/officeDocument/2006/relationships/hyperlink" Target="https://centrodecapacitaciondelsur.com/soporte-basico-de-vida-" TargetMode="External"/><Relationship Id="rId199" Type="http://schemas.openxmlformats.org/officeDocument/2006/relationships/hyperlink" Target="https://centrodecapacitaciondelsur.com/soporte-basico-de-vida-" TargetMode="External"/><Relationship Id="rId203" Type="http://schemas.openxmlformats.org/officeDocument/2006/relationships/hyperlink" Target="https://centrodecapacitaciondelsur.com/soporte-basico-de-vida-" TargetMode="External"/><Relationship Id="rId19" Type="http://schemas.openxmlformats.org/officeDocument/2006/relationships/hyperlink" Target="https://centrodecapacitaciondelsur.com/soporte-basico-de-vida-" TargetMode="External"/><Relationship Id="rId224" Type="http://schemas.openxmlformats.org/officeDocument/2006/relationships/hyperlink" Target="https://centrodecapacitaciondelsur.com/soporte-basico-de-vida-" TargetMode="External"/><Relationship Id="rId245" Type="http://schemas.openxmlformats.org/officeDocument/2006/relationships/hyperlink" Target="https://centrodecapacitaciondelsur.com/soporte-basico-de-vida-" TargetMode="External"/><Relationship Id="rId266" Type="http://schemas.openxmlformats.org/officeDocument/2006/relationships/hyperlink" Target="https://centrodecapacitaciondelsur.com/soporte-basico-de-vida-" TargetMode="External"/><Relationship Id="rId287" Type="http://schemas.openxmlformats.org/officeDocument/2006/relationships/hyperlink" Target="https://centrodecapacitaciondelsur.com/soporte-basico-de-vida-" TargetMode="External"/><Relationship Id="rId30" Type="http://schemas.openxmlformats.org/officeDocument/2006/relationships/hyperlink" Target="https://centrodecapacitaciondelsur.com/soporte-basico-de-vida-" TargetMode="External"/><Relationship Id="rId105" Type="http://schemas.openxmlformats.org/officeDocument/2006/relationships/hyperlink" Target="https://centrodecapacitaciondelsur.com/soporte-basico-de-vida-" TargetMode="External"/><Relationship Id="rId126" Type="http://schemas.openxmlformats.org/officeDocument/2006/relationships/hyperlink" Target="https://centrodecapacitaciondelsur.com/soporte-basico-de-vida-" TargetMode="External"/><Relationship Id="rId147" Type="http://schemas.openxmlformats.org/officeDocument/2006/relationships/hyperlink" Target="https://centrodecapacitaciondelsur.com/soporte-basico-de-vida-" TargetMode="External"/><Relationship Id="rId168" Type="http://schemas.openxmlformats.org/officeDocument/2006/relationships/hyperlink" Target="https://centrodecapacitaciondelsur.com/soporte-basico-de-vida-" TargetMode="External"/><Relationship Id="rId312" Type="http://schemas.openxmlformats.org/officeDocument/2006/relationships/hyperlink" Target="https://centrodecapacitaciondelsur.com/soporte-basico-de-vida-" TargetMode="External"/><Relationship Id="rId51" Type="http://schemas.openxmlformats.org/officeDocument/2006/relationships/hyperlink" Target="https://centrodecapacitaciondelsur.com/soporte-basico-de-vida-" TargetMode="External"/><Relationship Id="rId72" Type="http://schemas.openxmlformats.org/officeDocument/2006/relationships/hyperlink" Target="https://centrodecapacitaciondelsur.com/soporte-basico-de-vida-" TargetMode="External"/><Relationship Id="rId93" Type="http://schemas.openxmlformats.org/officeDocument/2006/relationships/hyperlink" Target="https://centrodecapacitaciondelsur.com/soporte-basico-de-vida-" TargetMode="External"/><Relationship Id="rId189" Type="http://schemas.openxmlformats.org/officeDocument/2006/relationships/hyperlink" Target="https://centrodecapacitaciondelsur.com/soporte-basico-de-vida-" TargetMode="External"/><Relationship Id="rId3" Type="http://schemas.openxmlformats.org/officeDocument/2006/relationships/hyperlink" Target="https://centrodecapacitaciondelsur.com/soporte-basico-de-vida-" TargetMode="External"/><Relationship Id="rId214" Type="http://schemas.openxmlformats.org/officeDocument/2006/relationships/hyperlink" Target="https://centrodecapacitaciondelsur.com/soporte-basico-de-vida-" TargetMode="External"/><Relationship Id="rId235" Type="http://schemas.openxmlformats.org/officeDocument/2006/relationships/hyperlink" Target="https://centrodecapacitaciondelsur.com/soporte-basico-de-vida-" TargetMode="External"/><Relationship Id="rId256" Type="http://schemas.openxmlformats.org/officeDocument/2006/relationships/hyperlink" Target="https://centrodecapacitaciondelsur.com/soporte-basico-de-vida-" TargetMode="External"/><Relationship Id="rId277" Type="http://schemas.openxmlformats.org/officeDocument/2006/relationships/hyperlink" Target="https://centrodecapacitaciondelsur.com/soporte-basico-de-vida-" TargetMode="External"/><Relationship Id="rId298" Type="http://schemas.openxmlformats.org/officeDocument/2006/relationships/hyperlink" Target="https://centrodecapacitaciondelsur.com/soporte-basico-de-vida-" TargetMode="External"/><Relationship Id="rId116" Type="http://schemas.openxmlformats.org/officeDocument/2006/relationships/hyperlink" Target="https://centrodecapacitaciondelsur.com/soporte-basico-de-vida-" TargetMode="External"/><Relationship Id="rId137" Type="http://schemas.openxmlformats.org/officeDocument/2006/relationships/hyperlink" Target="https://centrodecapacitaciondelsur.com/soporte-basico-de-vida-" TargetMode="External"/><Relationship Id="rId158" Type="http://schemas.openxmlformats.org/officeDocument/2006/relationships/hyperlink" Target="https://centrodecapacitaciondelsur.com/soporte-basico-de-vida-" TargetMode="External"/><Relationship Id="rId302" Type="http://schemas.openxmlformats.org/officeDocument/2006/relationships/hyperlink" Target="https://centrodecapacitaciondelsur.com/soporte-basico-de-vida-" TargetMode="External"/><Relationship Id="rId20" Type="http://schemas.openxmlformats.org/officeDocument/2006/relationships/hyperlink" Target="https://centrodecapacitaciondelsur.com/soporte-basico-de-vida-" TargetMode="External"/><Relationship Id="rId41" Type="http://schemas.openxmlformats.org/officeDocument/2006/relationships/hyperlink" Target="https://centrodecapacitaciondelsur.com/soporte-basico-de-vida-" TargetMode="External"/><Relationship Id="rId62" Type="http://schemas.openxmlformats.org/officeDocument/2006/relationships/hyperlink" Target="https://centrodecapacitaciondelsur.com/soporte-basico-de-vida-" TargetMode="External"/><Relationship Id="rId83" Type="http://schemas.openxmlformats.org/officeDocument/2006/relationships/hyperlink" Target="https://centrodecapacitaciondelsur.com/soporte-basico-de-vida-" TargetMode="External"/><Relationship Id="rId179" Type="http://schemas.openxmlformats.org/officeDocument/2006/relationships/hyperlink" Target="https://centrodecapacitaciondelsur.com/soporte-basico-de-vida-" TargetMode="External"/><Relationship Id="rId190" Type="http://schemas.openxmlformats.org/officeDocument/2006/relationships/hyperlink" Target="https://centrodecapacitaciondelsur.com/soporte-basico-de-vida-" TargetMode="External"/><Relationship Id="rId204" Type="http://schemas.openxmlformats.org/officeDocument/2006/relationships/hyperlink" Target="https://centrodecapacitaciondelsur.com/soporte-basico-de-vida-" TargetMode="External"/><Relationship Id="rId225" Type="http://schemas.openxmlformats.org/officeDocument/2006/relationships/hyperlink" Target="https://centrodecapacitaciondelsur.com/soporte-basico-de-vida-" TargetMode="External"/><Relationship Id="rId246" Type="http://schemas.openxmlformats.org/officeDocument/2006/relationships/hyperlink" Target="https://centrodecapacitaciondelsur.com/soporte-basico-de-vida-" TargetMode="External"/><Relationship Id="rId267" Type="http://schemas.openxmlformats.org/officeDocument/2006/relationships/hyperlink" Target="https://centrodecapacitaciondelsur.com/soporte-basico-de-vida-" TargetMode="External"/><Relationship Id="rId288" Type="http://schemas.openxmlformats.org/officeDocument/2006/relationships/hyperlink" Target="https://centrodecapacitaciondelsur.com/soporte-basico-de-vida-" TargetMode="External"/><Relationship Id="rId106" Type="http://schemas.openxmlformats.org/officeDocument/2006/relationships/hyperlink" Target="https://centrodecapacitaciondelsur.com/soporte-basico-de-vida-" TargetMode="External"/><Relationship Id="rId127" Type="http://schemas.openxmlformats.org/officeDocument/2006/relationships/hyperlink" Target="https://centrodecapacitaciondelsur.com/soporte-basico-de-vida-" TargetMode="External"/><Relationship Id="rId313" Type="http://schemas.openxmlformats.org/officeDocument/2006/relationships/hyperlink" Target="https://centrodecapacitaciondelsur.com/soporte-basico-de-vida-" TargetMode="External"/><Relationship Id="rId10" Type="http://schemas.openxmlformats.org/officeDocument/2006/relationships/hyperlink" Target="https://centrodecapacitaciondelsur.com/soporte-basico-de-vida-" TargetMode="External"/><Relationship Id="rId31" Type="http://schemas.openxmlformats.org/officeDocument/2006/relationships/hyperlink" Target="https://centrodecapacitaciondelsur.com/soporte-basico-de-vida-" TargetMode="External"/><Relationship Id="rId52" Type="http://schemas.openxmlformats.org/officeDocument/2006/relationships/hyperlink" Target="https://centrodecapacitaciondelsur.com/soporte-basico-de-vida-" TargetMode="External"/><Relationship Id="rId73" Type="http://schemas.openxmlformats.org/officeDocument/2006/relationships/hyperlink" Target="https://centrodecapacitaciondelsur.com/soporte-basico-de-vida-" TargetMode="External"/><Relationship Id="rId94" Type="http://schemas.openxmlformats.org/officeDocument/2006/relationships/hyperlink" Target="https://centrodecapacitaciondelsur.com/soporte-basico-de-vida-" TargetMode="External"/><Relationship Id="rId148" Type="http://schemas.openxmlformats.org/officeDocument/2006/relationships/hyperlink" Target="https://centrodecapacitaciondelsur.com/soporte-basico-de-vida-" TargetMode="External"/><Relationship Id="rId169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hyperlink" Target="https://centrodecapacitaciondelsur.com/soporte-basico-de-vida-" TargetMode="External"/><Relationship Id="rId180" Type="http://schemas.openxmlformats.org/officeDocument/2006/relationships/hyperlink" Target="https://centrodecapacitaciondelsur.com/soporte-basico-de-vida-" TargetMode="External"/><Relationship Id="rId215" Type="http://schemas.openxmlformats.org/officeDocument/2006/relationships/hyperlink" Target="https://centrodecapacitaciondelsur.com/soporte-basico-de-vida-" TargetMode="External"/><Relationship Id="rId236" Type="http://schemas.openxmlformats.org/officeDocument/2006/relationships/hyperlink" Target="https://centrodecapacitaciondelsur.com/soporte-basico-de-vida-" TargetMode="External"/><Relationship Id="rId257" Type="http://schemas.openxmlformats.org/officeDocument/2006/relationships/hyperlink" Target="https://centrodecapacitaciondelsur.com/soporte-basico-de-vida-" TargetMode="External"/><Relationship Id="rId278" Type="http://schemas.openxmlformats.org/officeDocument/2006/relationships/hyperlink" Target="https://centrodecapacitaciondelsur.com/soporte-basico-de-vida-" TargetMode="External"/><Relationship Id="rId303" Type="http://schemas.openxmlformats.org/officeDocument/2006/relationships/hyperlink" Target="https://centrodecapacitaciondelsur.com/soporte-basico-de-vida-" TargetMode="External"/><Relationship Id="rId42" Type="http://schemas.openxmlformats.org/officeDocument/2006/relationships/hyperlink" Target="https://centrodecapacitaciondelsur.com/soporte-basico-de-vida-" TargetMode="External"/><Relationship Id="rId84" Type="http://schemas.openxmlformats.org/officeDocument/2006/relationships/hyperlink" Target="https://centrodecapacitaciondelsur.com/soporte-basico-de-vida-" TargetMode="External"/><Relationship Id="rId138" Type="http://schemas.openxmlformats.org/officeDocument/2006/relationships/hyperlink" Target="https://centrodecapacitaciondelsur.com/soporte-basico-de-vida-" TargetMode="External"/><Relationship Id="rId191" Type="http://schemas.openxmlformats.org/officeDocument/2006/relationships/hyperlink" Target="https://centrodecapacitaciondelsur.com/soporte-basico-de-vida-" TargetMode="External"/><Relationship Id="rId205" Type="http://schemas.openxmlformats.org/officeDocument/2006/relationships/hyperlink" Target="https://centrodecapacitaciondelsur.com/soporte-basico-de-vida-" TargetMode="External"/><Relationship Id="rId247" Type="http://schemas.openxmlformats.org/officeDocument/2006/relationships/hyperlink" Target="https://centrodecapacitaciondelsur.com/soporte-basico-de-vida-" TargetMode="External"/><Relationship Id="rId107" Type="http://schemas.openxmlformats.org/officeDocument/2006/relationships/hyperlink" Target="https://centrodecapacitaciondelsur.com/soporte-basico-de-vida-" TargetMode="External"/><Relationship Id="rId289" Type="http://schemas.openxmlformats.org/officeDocument/2006/relationships/hyperlink" Target="https://centrodecapacitaciondelsur.com/soporte-basico-de-vida-" TargetMode="External"/><Relationship Id="rId11" Type="http://schemas.openxmlformats.org/officeDocument/2006/relationships/hyperlink" Target="https://centrodecapacitaciondelsur.com/soporte-basico-de-vida-" TargetMode="External"/><Relationship Id="rId53" Type="http://schemas.openxmlformats.org/officeDocument/2006/relationships/hyperlink" Target="https://centrodecapacitaciondelsur.com/soporte-basico-de-vida-" TargetMode="External"/><Relationship Id="rId149" Type="http://schemas.openxmlformats.org/officeDocument/2006/relationships/hyperlink" Target="https://centrodecapacitaciondelsur.com/soporte-basico-de-vida-" TargetMode="External"/><Relationship Id="rId314" Type="http://schemas.openxmlformats.org/officeDocument/2006/relationships/hyperlink" Target="https://centrodecapacitaciondelsur.com/soporte-basico-de-vida-" TargetMode="External"/><Relationship Id="rId95" Type="http://schemas.openxmlformats.org/officeDocument/2006/relationships/hyperlink" Target="https://centrodecapacitaciondelsur.com/soporte-basico-de-vida-" TargetMode="External"/><Relationship Id="rId160" Type="http://schemas.openxmlformats.org/officeDocument/2006/relationships/hyperlink" Target="https://centrodecapacitaciondelsur.com/soporte-basico-de-vida-" TargetMode="External"/><Relationship Id="rId216" Type="http://schemas.openxmlformats.org/officeDocument/2006/relationships/hyperlink" Target="https://centrodecapacitaciondelsur.com/soporte-basico-de-vida-" TargetMode="External"/><Relationship Id="rId258" Type="http://schemas.openxmlformats.org/officeDocument/2006/relationships/hyperlink" Target="https://centrodecapacitaciondelsur.com/soporte-basico-de-vida-" TargetMode="External"/><Relationship Id="rId22" Type="http://schemas.openxmlformats.org/officeDocument/2006/relationships/hyperlink" Target="https://centrodecapacitaciondelsur.com/soporte-basico-de-vida-" TargetMode="External"/><Relationship Id="rId64" Type="http://schemas.openxmlformats.org/officeDocument/2006/relationships/hyperlink" Target="https://centrodecapacitaciondelsur.com/soporte-basico-de-vida-" TargetMode="External"/><Relationship Id="rId118" Type="http://schemas.openxmlformats.org/officeDocument/2006/relationships/hyperlink" Target="https://centrodecapacitaciondelsur.com/soporte-basico-de-vida-" TargetMode="External"/><Relationship Id="rId171" Type="http://schemas.openxmlformats.org/officeDocument/2006/relationships/hyperlink" Target="https://centrodecapacitaciondelsur.com/soporte-basico-de-vida-" TargetMode="External"/><Relationship Id="rId227" Type="http://schemas.openxmlformats.org/officeDocument/2006/relationships/hyperlink" Target="https://centrodecapacitaciondelsur.com/soporte-basico-de-vida-" TargetMode="External"/><Relationship Id="rId269" Type="http://schemas.openxmlformats.org/officeDocument/2006/relationships/hyperlink" Target="https://centrodecapacitaciondelsur.com/soporte-basico-de-vida-" TargetMode="External"/><Relationship Id="rId33" Type="http://schemas.openxmlformats.org/officeDocument/2006/relationships/hyperlink" Target="https://centrodecapacitaciondelsur.com/soporte-basico-de-vida-" TargetMode="External"/><Relationship Id="rId129" Type="http://schemas.openxmlformats.org/officeDocument/2006/relationships/hyperlink" Target="https://centrodecapacitaciondelsur.com/soporte-basico-de-vida-" TargetMode="External"/><Relationship Id="rId280" Type="http://schemas.openxmlformats.org/officeDocument/2006/relationships/hyperlink" Target="https://centrodecapacitaciondelsur.com/soporte-basico-de-vida-" TargetMode="External"/><Relationship Id="rId75" Type="http://schemas.openxmlformats.org/officeDocument/2006/relationships/hyperlink" Target="https://centrodecapacitaciondelsur.com/soporte-basico-de-vida-" TargetMode="External"/><Relationship Id="rId140" Type="http://schemas.openxmlformats.org/officeDocument/2006/relationships/hyperlink" Target="https://centrodecapacitaciondelsur.com/soporte-basico-de-vida-" TargetMode="External"/><Relationship Id="rId182" Type="http://schemas.openxmlformats.org/officeDocument/2006/relationships/hyperlink" Target="https://centrodecapacitaciondelsur.com/soporte-basico-de-vida-" TargetMode="External"/><Relationship Id="rId6" Type="http://schemas.openxmlformats.org/officeDocument/2006/relationships/hyperlink" Target="https://centrodecapacitaciondelsur.com/soporte-basico-de-vida-" TargetMode="External"/><Relationship Id="rId238" Type="http://schemas.openxmlformats.org/officeDocument/2006/relationships/hyperlink" Target="https://centrodecapacitaciondelsur.com/soporte-basico-de-vida-" TargetMode="External"/><Relationship Id="rId291" Type="http://schemas.openxmlformats.org/officeDocument/2006/relationships/hyperlink" Target="https://centrodecapacitaciondelsur.com/soporte-basico-de-vida-" TargetMode="External"/><Relationship Id="rId305" Type="http://schemas.openxmlformats.org/officeDocument/2006/relationships/hyperlink" Target="https://centrodecapacitaciondelsur.com/soporte-basico-de-vida-" TargetMode="External"/><Relationship Id="rId44" Type="http://schemas.openxmlformats.org/officeDocument/2006/relationships/hyperlink" Target="https://centrodecapacitaciondelsur.com/soporte-basico-de-vida-" TargetMode="External"/><Relationship Id="rId86" Type="http://schemas.openxmlformats.org/officeDocument/2006/relationships/hyperlink" Target="https://centrodecapacitaciondelsur.com/soporte-basico-de-vida-" TargetMode="External"/><Relationship Id="rId151" Type="http://schemas.openxmlformats.org/officeDocument/2006/relationships/hyperlink" Target="https://centrodecapacitaciondelsur.com/soporte-basico-de-vida-" TargetMode="External"/><Relationship Id="rId193" Type="http://schemas.openxmlformats.org/officeDocument/2006/relationships/hyperlink" Target="https://centrodecapacitaciondelsur.com/soporte-basico-de-vida-" TargetMode="External"/><Relationship Id="rId207" Type="http://schemas.openxmlformats.org/officeDocument/2006/relationships/hyperlink" Target="https://centrodecapacitaciondelsur.com/soporte-basico-de-vida-" TargetMode="External"/><Relationship Id="rId249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48532"/>
  <sheetViews>
    <sheetView tabSelected="1" zoomScale="85" zoomScaleNormal="85" workbookViewId="0">
      <pane xSplit="1" ySplit="1" topLeftCell="E101" activePane="bottomRight" state="frozen"/>
      <selection pane="topRight"/>
      <selection pane="bottomLeft"/>
      <selection pane="bottomRight" activeCell="L23" sqref="L23"/>
    </sheetView>
  </sheetViews>
  <sheetFormatPr baseColWidth="10" defaultRowHeight="15" x14ac:dyDescent="0.2"/>
  <cols>
    <col min="1" max="1" width="4.77734375" style="51" customWidth="1"/>
    <col min="2" max="2" width="34.5546875" style="51" bestFit="1" customWidth="1"/>
    <col min="3" max="3" width="21.44140625" style="51" bestFit="1" customWidth="1"/>
    <col min="4" max="4" width="23.44140625" style="51" bestFit="1" customWidth="1"/>
    <col min="5" max="5" width="20.77734375" style="51" bestFit="1" customWidth="1"/>
    <col min="6" max="6" width="22.77734375" style="51" bestFit="1" customWidth="1"/>
    <col min="7" max="7" width="5.6640625" style="51" bestFit="1" customWidth="1"/>
    <col min="8" max="8" width="6.5546875" style="51" bestFit="1" customWidth="1"/>
    <col min="9" max="9" width="15.6640625" style="51" bestFit="1" customWidth="1"/>
    <col min="10" max="10" width="16.6640625" style="51" bestFit="1" customWidth="1"/>
    <col min="11" max="11" width="20.77734375" style="36" bestFit="1" customWidth="1"/>
    <col min="12" max="12" width="22.33203125" style="67" bestFit="1" customWidth="1"/>
    <col min="13" max="13" width="21" style="51" bestFit="1" customWidth="1"/>
    <col min="14" max="14" width="12.109375" style="51" bestFit="1" customWidth="1"/>
    <col min="15" max="15" width="17.44140625" style="51" bestFit="1" customWidth="1"/>
    <col min="16" max="16" width="26.77734375" style="51" customWidth="1"/>
    <col min="17" max="17" width="27.44140625" style="51" bestFit="1" customWidth="1"/>
    <col min="18" max="18" width="10.77734375" style="51" bestFit="1" customWidth="1"/>
    <col min="19" max="19" width="34.77734375" style="51" bestFit="1" customWidth="1"/>
    <col min="20" max="20" width="12.5546875" style="51" bestFit="1" customWidth="1"/>
    <col min="21" max="21" width="32.109375" style="53" bestFit="1" customWidth="1"/>
    <col min="22" max="22" width="81.44140625" style="53" bestFit="1" customWidth="1"/>
    <col min="23" max="24" width="31.6640625" style="53" bestFit="1" customWidth="1"/>
    <col min="25" max="25" width="94.33203125" style="49" bestFit="1" customWidth="1"/>
    <col min="26" max="16384" width="11.5546875" style="49"/>
  </cols>
  <sheetData>
    <row r="1" spans="1:26" s="57" customFormat="1" ht="15.75" x14ac:dyDescent="0.2">
      <c r="A1" s="39" t="s">
        <v>67</v>
      </c>
      <c r="B1" s="40" t="s">
        <v>0</v>
      </c>
      <c r="C1" s="41" t="s">
        <v>1</v>
      </c>
      <c r="D1" s="41" t="s">
        <v>2</v>
      </c>
      <c r="E1" s="41" t="s">
        <v>3</v>
      </c>
      <c r="F1" s="41" t="s">
        <v>4</v>
      </c>
      <c r="G1" s="42" t="s">
        <v>5</v>
      </c>
      <c r="H1" s="42" t="s">
        <v>6</v>
      </c>
      <c r="I1" s="43" t="s">
        <v>88</v>
      </c>
      <c r="J1" s="43" t="s">
        <v>110</v>
      </c>
      <c r="K1" s="44" t="s">
        <v>7</v>
      </c>
      <c r="L1" s="65" t="s">
        <v>8</v>
      </c>
      <c r="M1" s="41" t="s">
        <v>9</v>
      </c>
      <c r="N1" s="41" t="s">
        <v>68</v>
      </c>
      <c r="O1" s="41" t="s">
        <v>10</v>
      </c>
      <c r="P1" s="41" t="s">
        <v>11</v>
      </c>
      <c r="Q1" s="46" t="s">
        <v>66</v>
      </c>
      <c r="R1" s="41" t="s">
        <v>12</v>
      </c>
      <c r="S1" s="41" t="s">
        <v>13</v>
      </c>
      <c r="T1" s="41" t="s">
        <v>14</v>
      </c>
      <c r="U1" s="93" t="s">
        <v>69</v>
      </c>
      <c r="V1" s="56" t="s">
        <v>15</v>
      </c>
      <c r="W1" s="56" t="s">
        <v>16</v>
      </c>
      <c r="X1" s="56" t="s">
        <v>17</v>
      </c>
      <c r="Y1" s="56" t="s">
        <v>18</v>
      </c>
    </row>
    <row r="2" spans="1:26" s="57" customFormat="1" x14ac:dyDescent="0.2">
      <c r="A2" s="58">
        <v>1</v>
      </c>
      <c r="B2" s="59">
        <v>1056688349</v>
      </c>
      <c r="C2" s="59" t="s">
        <v>111</v>
      </c>
      <c r="D2" s="59" t="s">
        <v>112</v>
      </c>
      <c r="E2" s="59" t="s">
        <v>113</v>
      </c>
      <c r="F2" s="59" t="s">
        <v>114</v>
      </c>
      <c r="G2" s="59">
        <v>1</v>
      </c>
      <c r="H2" s="59" t="s">
        <v>200</v>
      </c>
      <c r="I2" s="60" t="s">
        <v>115</v>
      </c>
      <c r="J2" s="60" t="s">
        <v>258</v>
      </c>
      <c r="K2" s="61">
        <v>45779</v>
      </c>
      <c r="L2" s="66">
        <v>40000</v>
      </c>
      <c r="M2" s="59" t="s">
        <v>103</v>
      </c>
      <c r="N2" s="59" t="s">
        <v>245</v>
      </c>
      <c r="O2" s="59" t="s">
        <v>116</v>
      </c>
      <c r="P2" s="94" t="s">
        <v>45</v>
      </c>
      <c r="Q2" s="60">
        <v>33243</v>
      </c>
      <c r="R2" s="59" t="s">
        <v>102</v>
      </c>
      <c r="S2" s="59" t="s">
        <v>132</v>
      </c>
      <c r="T2" s="59">
        <v>3144636144</v>
      </c>
      <c r="U2" s="59" t="s">
        <v>117</v>
      </c>
      <c r="V2" s="62" t="str">
        <f>IF(P2=CURSOS!$D$3,"DIPLOMADO EN ATENCION PRE-HOSPITALARIA",IF(P2=CURSOS!$D$4,"ACOMPAÑAMIENTO Y MANEJO DEL DUELO",IF(P2=CURSOS!$D$5,"ATENCION A VICTIMAS DE ATAQUE CON AGENTES QUIMICOS ",IF(P2=CURSOS!$D$6,"PRIMEROS AUXILIOS ",IF(P2=CURSOS!$D$7,"DIPLOMADO DE UNIDAD DE CUIDADOS INTENSIVOS (UCI)",IF(P2=CURSOS!$D$8,"MODELO DE ATENCION PARA EVENTOS EMERGENTES EN SALUD MENTAL (CODIGO VERDE)",IF(P2=CURSOS!$D$9,"HUMANIZACION EN EL SERVICIO DE LA SALUD Y BUENAS PRACTICAS EN PACIENTE ",IF(P2=CURSOS!$D$10,"CLINICA DE HERIDAS ",IF(P2=CURSOS!$D$11,"TOMA DE CITOLOGIA CERVICO VAGINAL ",IF(P2=CURSOS!$D$12,"SOPORTE CARDIOVASCULAR AVANZADO (ACLS) ",IF(P2=CURSOS!$D$13,"CAMILLERO ",IF(P2=CURSOS!$D$14,"TOMA DE MUESTRAS Y LABORATORIO ",IF(P2=CURSOS!$D$15,"SOPORTE VITAL BASICO (BLS)",IF(P2=CURSOS!$D$16,"ATENCION A VICTIMAS DE VIOLENCIA SEXUAL ",IF(P2=CURSOS!$D$17,"PROGRAMADO AMPLIADO DE INMUNIZACION (PAI - COVID 19)",IF(P2=CURSOS!$D$18,"ATENCION INTEGRAL EN ENFERMEDADES PREVALENTES EN PRIMERA INFANCIA (AIEPI)",IF(P2=CURSOS!$D$19,"ADMINISTRACION DE MEDICAMENTOS, INYECTOLOGIA  Y CANALIZACION ",IF(P2=CURSOS!$D$20,"OPERADOR DE VEHICULOS DE EMERGENCIA (OVE)",IF(P2=CURSOS!$D$21,"INSTITUCIONES AMIGAS DE LA MUJER Y LA INFANCIA (IAMI)",IF(P2=CURSOS!$D$22,"CUIDADO DEL DONANTE DE ORGANOS",IF(P2=CURSOS!$D$23,"ATENCION A VICTIMAS POR VIOLENCIA DE GENERO",IF(P2=CURSOS!$D$24,"IGUALDAD DE GENERO EN LA SALUD",IF(P2=CURSOS!$D$25,"BRIGADA DE EMERGENCIA",IF(P2=CURSOS!$D$26,"MANEJO DEL DOLOR Y CUIDADOS PALIATIVOS",IF(P2=CURSOS!$D$27,"TOMA DE MUESTRAS Y LABORATORIO POCT",IF(P2=CURSOS!$D$28,"IMPLANTE SUBDERMICO DE DISPOSITIVO INTRAUTERINO",IF(P2=CURSOS!$D$29,"SALUD MENTAL",IF(P2=CURSOS!$D$30,"PRIMEROS AUXILIOS PSICOLOGICOS",IF(P2=CURSOS!$D$31,"ATENCION A VICTIMAS POR CONFLICTO ARMADO",IF(P2=CURSOS!$D$32,"MANIPULACION DE ALIMENTOS Y BPM",IF(P2=CURSOS!$D$33,"ATENCION A PERSONAS CON DISCAPACIDAD",IF(P2=CURSOS!$D$34,"CUIDADO INTEGRAL DEL PACIENTE ADULTO",IF(P2=CURSOS!$D$35,"MANEJO DEFENSIVO",IF(P2=CURSOS!$D$36,"SOPORTE CARDIOVASCULAR AVANZADO NEONATAL",IF(P2=CURSOS!$D$37,"SEGURIDAD DEL PACIENTE",IF(P2=CURSOS!$D$38,"MANEJO DE RESIDUOS HOSPITALARIOS",IF(P2=CURSOS!$D$39,"ATENCION DE PACIENTE POR CONSUMO SUSTANCIAS PSICOACTIVAS Y ADICCIONES")))))))))))))))))))))))))))))))))))))</f>
        <v xml:space="preserve">ADMINISTRACION DE MEDICAMENTOS, INYECTOLOGIA  Y CANALIZACION </v>
      </c>
      <c r="W2" s="62" t="str">
        <f t="shared" ref="W2" si="0">CONCATENATE(E2," ",F2," ",C2," ",D2)</f>
        <v>Claudia Lizeth Perez Salinas</v>
      </c>
      <c r="X2" s="62" t="str">
        <f t="shared" ref="X2" si="1">PROPER(W2)</f>
        <v>Claudia Lizeth Perez Salinas</v>
      </c>
      <c r="Y2" s="62" t="str">
        <f t="shared" ref="Y2" si="2">CONCATENATE(X2,"-",B2,"-",P2)</f>
        <v>Claudia Lizeth Perez Salinas-1056688349-ADMON DE MEDICAMENTOS</v>
      </c>
    </row>
    <row r="3" spans="1:26" s="57" customFormat="1" x14ac:dyDescent="0.2">
      <c r="A3" s="58">
        <v>2</v>
      </c>
      <c r="B3" s="59">
        <v>1087675304</v>
      </c>
      <c r="C3" s="59" t="s">
        <v>118</v>
      </c>
      <c r="D3" s="59" t="s">
        <v>119</v>
      </c>
      <c r="E3" s="59" t="s">
        <v>120</v>
      </c>
      <c r="F3" s="59" t="s">
        <v>121</v>
      </c>
      <c r="G3" s="59">
        <v>2</v>
      </c>
      <c r="H3" s="59" t="s">
        <v>200</v>
      </c>
      <c r="I3" s="60" t="s">
        <v>122</v>
      </c>
      <c r="J3" s="60" t="s">
        <v>123</v>
      </c>
      <c r="K3" s="61">
        <v>45779</v>
      </c>
      <c r="L3" s="66">
        <v>70000</v>
      </c>
      <c r="M3" s="59" t="s">
        <v>569</v>
      </c>
      <c r="N3" s="59" t="s">
        <v>245</v>
      </c>
      <c r="O3" s="59" t="s">
        <v>116</v>
      </c>
      <c r="P3" s="59" t="s">
        <v>131</v>
      </c>
      <c r="Q3" s="60">
        <v>36469</v>
      </c>
      <c r="R3" s="59" t="s">
        <v>124</v>
      </c>
      <c r="S3" s="59" t="s">
        <v>133</v>
      </c>
      <c r="T3" s="59">
        <v>3215539161</v>
      </c>
      <c r="U3" s="59" t="s">
        <v>125</v>
      </c>
      <c r="V3" s="62" t="b">
        <f>IF(P3=CURSOS!$D$3,"DIPLOMADO EN ATENCION PRE-HOSPITALARIA",IF(P3=CURSOS!$D$4,"ACOMPAÑAMIENTO Y MANEJO DEL DUELO",IF(P3=CURSOS!$D$5,"ATENCION A VICTIMAS DE ATAQUE CON AGENTES QUIMICOS ",IF(P3=CURSOS!$D$6,"PRIMEROS AUXILIOS ",IF(P3=CURSOS!$D$7,"DIPLOMADO DE UNIDAD DE CUIDADOS INTENSIVOS (UCI)",IF(P3=CURSOS!$D$8,"MODELO DE ATENCION PARA EVENTOS EMERGENTES EN SALUD MENTAL (CODIGO VERDE)",IF(P3=CURSOS!$D$9,"HUMANIZACION EN EL SERVICIO DE LA SALUD Y BUENAS PRACTICAS EN PACIENTE ",IF(P3=CURSOS!$D$10,"CLINICA DE HERIDAS ",IF(P3=CURSOS!$D$11,"TOMA DE CITOLOGIA CERVICO VAGINAL ",IF(P3=CURSOS!$D$12,"SOPORTE CARDIOVASCULAR AVANZADO (ACLS) ",IF(P3=CURSOS!$D$13,"CAMILLERO ",IF(P3=CURSOS!$D$14,"TOMA DE MUESTRAS Y LABORATORIO ",IF(P3=CURSOS!$D$15,"SOPORTE VITAL BASICO (BLS)",IF(P3=CURSOS!$D$16,"ATENCION A VICTIMAS DE VIOLENCIA SEXUAL ",IF(P3=CURSOS!$D$17,"PROGRAMADO AMPLIADO DE INMUNIZACION (PAI - COVID 19)",IF(P3=CURSOS!$D$18,"ATENCION INTEGRAL EN ENFERMEDADES PREVALENTES EN PRIMERA INFANCIA (AIEPI)",IF(P3=CURSOS!$D$19,"ADMINISTRACION DE MEDICAMENTOS, INYECTOLOGIA  Y CANALIZACION ",IF(P3=CURSOS!$D$20,"OPERADOR DE VEHICULOS DE EMERGENCIA (OVE)",IF(P3=CURSOS!$D$21,"INSTITUCIONES AMIGAS DE LA MUJER Y LA INFANCIA (IAMI)",IF(P3=CURSOS!$D$22,"CUIDADO DEL DONANTE DE ORGANOS",IF(P3=CURSOS!$D$23,"ATENCION A VICTIMAS POR VIOLENCIA DE GENERO",IF(P3=CURSOS!$D$24,"IGUALDAD DE GENERO EN LA SALUD",IF(P3=CURSOS!$D$25,"BRIGADA DE EMERGENCIA",IF(P3=CURSOS!$D$26,"MANEJO DEL DOLOR Y CUIDADOS PALIATIVOS",IF(P3=CURSOS!$D$27,"TOMA DE MUESTRAS Y LABORATORIO POCT",IF(P3=CURSOS!$D$28,"IMPLANTE SUBDERMICO DE DISPOSITIVO INTRAUTERINO",IF(P3=CURSOS!$D$29,"SALUD MENTAL",IF(P3=CURSOS!$D$30,"PRIMEROS AUXILIOS PSICOLOGICOS",IF(P3=CURSOS!$D$31,"ATENCION A VICTIMAS POR CONFLICTO ARMADO",IF(P3=CURSOS!$D$32,"MANIPULACION DE ALIMENTOS Y BPM",IF(P3=CURSOS!$D$33,"ATENCION A PERSONAS CON DISCAPACIDAD",IF(P3=CURSOS!$D$34,"CUIDADO INTEGRAL DEL PACIENTE ADULTO",IF(P3=CURSOS!$D$35,"MANEJO DEFENSIVO",IF(P3=CURSOS!$D$36,"SOPORTE CARDIOVASCULAR AVANZADO NEONATAL",IF(P3=CURSOS!$D$37,"SEGURIDAD DEL PACIENTE",IF(P3=CURSOS!$D$38,"MANEJO DE RESIDUOS HOSPITALARIOS",IF(P3=CURSOS!$D$39,"ATENCION DE PACIENTE POR CONSUMO SUSTANCIAS PSICOACTIVAS Y ADICCIONES")))))))))))))))))))))))))))))))))))))</f>
        <v>0</v>
      </c>
      <c r="W3" s="62" t="str">
        <f t="shared" ref="W3:W66" si="3">CONCATENATE(E3," ",F3," ",C3," ",D3)</f>
        <v>Jhon Wilmer Quitiaquez Morales</v>
      </c>
      <c r="X3" s="62" t="str">
        <f t="shared" ref="X3:X66" si="4">PROPER(W3)</f>
        <v>Jhon Wilmer Quitiaquez Morales</v>
      </c>
      <c r="Y3" s="62" t="str">
        <f t="shared" ref="Y3:Y66" si="5">CONCATENATE(X3,"-",B3,"-",P3)</f>
        <v>Jhon Wilmer Quitiaquez Morales-1087675304-PRIMEROS AUXILIOS PARA CONDUCTOR DE EMERGENCIAS</v>
      </c>
    </row>
    <row r="4" spans="1:26" s="57" customFormat="1" x14ac:dyDescent="0.2">
      <c r="A4" s="71">
        <v>3</v>
      </c>
      <c r="B4" s="59">
        <v>37084471</v>
      </c>
      <c r="C4" s="59" t="s">
        <v>126</v>
      </c>
      <c r="D4" s="59" t="s">
        <v>127</v>
      </c>
      <c r="E4" s="59" t="s">
        <v>128</v>
      </c>
      <c r="F4" s="59"/>
      <c r="G4" s="59">
        <v>2</v>
      </c>
      <c r="H4" s="59" t="s">
        <v>200</v>
      </c>
      <c r="I4" s="60" t="s">
        <v>122</v>
      </c>
      <c r="J4" s="60" t="s">
        <v>123</v>
      </c>
      <c r="K4" s="60">
        <v>45776</v>
      </c>
      <c r="L4" s="66">
        <v>70000</v>
      </c>
      <c r="M4" s="59" t="s">
        <v>103</v>
      </c>
      <c r="N4" s="59" t="s">
        <v>245</v>
      </c>
      <c r="O4" s="59" t="s">
        <v>116</v>
      </c>
      <c r="P4" s="59" t="s">
        <v>19</v>
      </c>
      <c r="Q4" s="61">
        <v>30571</v>
      </c>
      <c r="R4" s="59" t="s">
        <v>102</v>
      </c>
      <c r="S4" s="59" t="s">
        <v>129</v>
      </c>
      <c r="T4" s="59">
        <v>3155621531</v>
      </c>
      <c r="U4" s="59" t="s">
        <v>130</v>
      </c>
      <c r="V4" s="62" t="str">
        <f>IF(P4=CURSOS!$D$3,"DIPLOMADO EN ATENCION PRE-HOSPITALARIA",IF(P4=CURSOS!$D$4,"ACOMPAÑAMIENTO Y MANEJO DEL DUELO",IF(P4=CURSOS!$D$5,"ATENCION A VICTIMAS DE ATAQUE CON AGENTES QUIMICOS ",IF(P4=CURSOS!$D$6,"PRIMEROS AUXILIOS ",IF(P4=CURSOS!$D$7,"DIPLOMADO DE UNIDAD DE CUIDADOS INTENSIVOS (UCI)",IF(P4=CURSOS!$D$8,"MODELO DE ATENCION PARA EVENTOS EMERGENTES EN SALUD MENTAL (CODIGO VERDE)",IF(P4=CURSOS!$D$9,"HUMANIZACION EN EL SERVICIO DE LA SALUD Y BUENAS PRACTICAS EN PACIENTE ",IF(P4=CURSOS!$D$10,"CLINICA DE HERIDAS ",IF(P4=CURSOS!$D$11,"TOMA DE CITOLOGIA CERVICO VAGINAL ",IF(P4=CURSOS!$D$12,"SOPORTE CARDIOVASCULAR AVANZADO (ACLS) ",IF(P4=CURSOS!$D$13,"CAMILLERO ",IF(P4=CURSOS!$D$14,"TOMA DE MUESTRAS Y LABORATORIO ",IF(P4=CURSOS!$D$15,"SOPORTE VITAL BASICO (BLS)",IF(P4=CURSOS!$D$16,"ATENCION A VICTIMAS DE VIOLENCIA SEXUAL ",IF(P4=CURSOS!$D$17,"PROGRAMADO AMPLIADO DE INMUNIZACION (PAI - COVID 19)",IF(P4=CURSOS!$D$18,"ATENCION INTEGRAL EN ENFERMEDADES PREVALENTES EN PRIMERA INFANCIA (AIEPI)",IF(P4=CURSOS!$D$19,"ADMINISTRACION DE MEDICAMENTOS, INYECTOLOGIA  Y CANALIZACION ",IF(P4=CURSOS!$D$20,"OPERADOR DE VEHICULOS DE EMERGENCIA (OVE)",IF(P4=CURSOS!$D$21,"INSTITUCIONES AMIGAS DE LA MUJER Y LA INFANCIA (IAMI)",IF(P4=CURSOS!$D$22,"CUIDADO DEL DONANTE DE ORGANOS",IF(P4=CURSOS!$D$23,"ATENCION A VICTIMAS POR VIOLENCIA DE GENERO",IF(P4=CURSOS!$D$24,"IGUALDAD DE GENERO EN LA SALUD",IF(P4=CURSOS!$D$25,"BRIGADA DE EMERGENCIA",IF(P4=CURSOS!$D$26,"MANEJO DEL DOLOR Y CUIDADOS PALIATIVOS",IF(P4=CURSOS!$D$27,"TOMA DE MUESTRAS Y LABORATORIO POCT",IF(P4=CURSOS!$D$28,"IMPLANTE SUBDERMICO DE DISPOSITIVO INTRAUTERINO",IF(P4=CURSOS!$D$29,"SALUD MENTAL",IF(P4=CURSOS!$D$30,"PRIMEROS AUXILIOS PSICOLOGICOS",IF(P4=CURSOS!$D$31,"ATENCION A VICTIMAS POR CONFLICTO ARMADO",IF(P4=CURSOS!$D$32,"MANIPULACION DE ALIMENTOS Y BPM",IF(P4=CURSOS!$D$33,"ATENCION A PERSONAS CON DISCAPACIDAD",IF(P4=CURSOS!$D$34,"CUIDADO INTEGRAL DEL PACIENTE ADULTO",IF(P4=CURSOS!$D$35,"MANEJO DEFENSIVO",IF(P4=CURSOS!$D$36,"SOPORTE CARDIOVASCULAR AVANZADO NEONATAL",IF(P4=CURSOS!$D$37,"SEGURIDAD DEL PACIENTE",IF(P4=CURSOS!$D$38,"MANEJO DE RESIDUOS HOSPITALARIOS",IF(P4=CURSOS!$D$39,"ATENCION DE PACIENTE POR CONSUMO SUSTANCIAS PSICOACTIVAS Y ADICCIONES")))))))))))))))))))))))))))))))))))))</f>
        <v>SOPORTE VITAL BASICO (BLS)</v>
      </c>
      <c r="W4" s="62" t="str">
        <f t="shared" si="3"/>
        <v>Fanny  Torres Gama</v>
      </c>
      <c r="X4" s="62" t="str">
        <f t="shared" si="4"/>
        <v>Fanny  Torres Gama</v>
      </c>
      <c r="Y4" s="62" t="str">
        <f t="shared" si="5"/>
        <v>Fanny  Torres Gama-37084471-BLS</v>
      </c>
      <c r="Z4" s="72"/>
    </row>
    <row r="5" spans="1:26" s="57" customFormat="1" x14ac:dyDescent="0.2">
      <c r="A5" s="58">
        <v>4</v>
      </c>
      <c r="B5" s="70">
        <v>36861874</v>
      </c>
      <c r="C5" s="59" t="s">
        <v>196</v>
      </c>
      <c r="D5" s="59" t="s">
        <v>197</v>
      </c>
      <c r="E5" s="59" t="s">
        <v>198</v>
      </c>
      <c r="F5" s="59" t="s">
        <v>199</v>
      </c>
      <c r="G5" s="59">
        <v>3</v>
      </c>
      <c r="H5" s="59" t="s">
        <v>200</v>
      </c>
      <c r="I5" s="60" t="s">
        <v>122</v>
      </c>
      <c r="J5" s="60" t="s">
        <v>123</v>
      </c>
      <c r="K5" s="61" t="s">
        <v>203</v>
      </c>
      <c r="L5" s="66">
        <v>80000</v>
      </c>
      <c r="M5" s="59" t="s">
        <v>103</v>
      </c>
      <c r="N5" s="59" t="s">
        <v>138</v>
      </c>
      <c r="O5" s="59" t="s">
        <v>116</v>
      </c>
      <c r="P5" s="59" t="s">
        <v>45</v>
      </c>
      <c r="Q5" s="60">
        <v>29425</v>
      </c>
      <c r="R5" s="59" t="s">
        <v>102</v>
      </c>
      <c r="S5" s="59" t="s">
        <v>201</v>
      </c>
      <c r="T5" s="64">
        <v>3184516471</v>
      </c>
      <c r="U5" s="64" t="s">
        <v>202</v>
      </c>
      <c r="V5" s="62" t="str">
        <f>IF(P5=CURSOS!$D$3,"DIPLOMADO EN ATENCION PRE-HOSPITALARIA",IF(P5=CURSOS!$D$4,"ACOMPAÑAMIENTO Y MANEJO DEL DUELO",IF(P5=CURSOS!$D$5,"ATENCION A VICTIMAS DE ATAQUE CON AGENTES QUIMICOS ",IF(P5=CURSOS!$D$6,"PRIMEROS AUXILIOS ",IF(P5=CURSOS!$D$7,"DIPLOMADO DE UNIDAD DE CUIDADOS INTENSIVOS (UCI)",IF(P5=CURSOS!$D$8,"MODELO DE ATENCION PARA EVENTOS EMERGENTES EN SALUD MENTAL (CODIGO VERDE)",IF(P5=CURSOS!$D$9,"HUMANIZACION EN EL SERVICIO DE LA SALUD Y BUENAS PRACTICAS EN PACIENTE ",IF(P5=CURSOS!$D$10,"CLINICA DE HERIDAS ",IF(P5=CURSOS!$D$11,"TOMA DE CITOLOGIA CERVICO VAGINAL ",IF(P5=CURSOS!$D$12,"SOPORTE CARDIOVASCULAR AVANZADO (ACLS) ",IF(P5=CURSOS!$D$13,"CAMILLERO ",IF(P5=CURSOS!$D$14,"TOMA DE MUESTRAS Y LABORATORIO ",IF(P5=CURSOS!$D$15,"SOPORTE VITAL BASICO (BLS)",IF(P5=CURSOS!$D$16,"ATENCION A VICTIMAS DE VIOLENCIA SEXUAL ",IF(P5=CURSOS!$D$17,"PROGRAMADO AMPLIADO DE INMUNIZACION (PAI - COVID 19)",IF(P5=CURSOS!$D$18,"ATENCION INTEGRAL EN ENFERMEDADES PREVALENTES EN PRIMERA INFANCIA (AIEPI)",IF(P5=CURSOS!$D$19,"ADMINISTRACION DE MEDICAMENTOS, INYECTOLOGIA  Y CANALIZACION ",IF(P5=CURSOS!$D$20,"OPERADOR DE VEHICULOS DE EMERGENCIA (OVE)",IF(P5=CURSOS!$D$21,"INSTITUCIONES AMIGAS DE LA MUJER Y LA INFANCIA (IAMI)",IF(P5=CURSOS!$D$22,"CUIDADO DEL DONANTE DE ORGANOS",IF(P5=CURSOS!$D$23,"ATENCION A VICTIMAS POR VIOLENCIA DE GENERO",IF(P5=CURSOS!$D$24,"IGUALDAD DE GENERO EN LA SALUD",IF(P5=CURSOS!$D$25,"BRIGADA DE EMERGENCIA",IF(P5=CURSOS!$D$26,"MANEJO DEL DOLOR Y CUIDADOS PALIATIVOS",IF(P5=CURSOS!$D$27,"TOMA DE MUESTRAS Y LABORATORIO POCT",IF(P5=CURSOS!$D$28,"IMPLANTE SUBDERMICO DE DISPOSITIVO INTRAUTERINO",IF(P5=CURSOS!$D$29,"SALUD MENTAL",IF(P5=CURSOS!$D$30,"PRIMEROS AUXILIOS PSICOLOGICOS",IF(P5=CURSOS!$D$31,"ATENCION A VICTIMAS POR CONFLICTO ARMADO",IF(P5=CURSOS!$D$32,"MANIPULACION DE ALIMENTOS Y BPM",IF(P5=CURSOS!$D$33,"ATENCION A PERSONAS CON DISCAPACIDAD",IF(P5=CURSOS!$D$34,"CUIDADO INTEGRAL DEL PACIENTE ADULTO",IF(P5=CURSOS!$D$35,"MANEJO DEFENSIVO",IF(P5=CURSOS!$D$36,"SOPORTE CARDIOVASCULAR AVANZADO NEONATAL",IF(P5=CURSOS!$D$37,"SEGURIDAD DEL PACIENTE",IF(P5=CURSOS!$D$38,"MANEJO DE RESIDUOS HOSPITALARIOS",IF(P5=CURSOS!$D$39,"ATENCION DE PACIENTE POR CONSUMO SUSTANCIAS PSICOACTIVAS Y ADICCIONES")))))))))))))))))))))))))))))))))))))</f>
        <v xml:space="preserve">ADMINISTRACION DE MEDICAMENTOS, INYECTOLOGIA  Y CANALIZACION </v>
      </c>
      <c r="W5" s="62" t="str">
        <f t="shared" si="3"/>
        <v>Maria Eugenia Estrada Zambrano</v>
      </c>
      <c r="X5" s="62" t="str">
        <f t="shared" si="4"/>
        <v>Maria Eugenia Estrada Zambrano</v>
      </c>
      <c r="Y5" s="62" t="str">
        <f t="shared" si="5"/>
        <v>Maria Eugenia Estrada Zambrano-36861874-ADMON DE MEDICAMENTOS</v>
      </c>
      <c r="Z5" s="72"/>
    </row>
    <row r="6" spans="1:26" s="57" customFormat="1" x14ac:dyDescent="0.2">
      <c r="A6" s="58">
        <v>5</v>
      </c>
      <c r="B6" s="59">
        <v>98371346</v>
      </c>
      <c r="C6" s="59" t="s">
        <v>204</v>
      </c>
      <c r="D6" s="59" t="s">
        <v>205</v>
      </c>
      <c r="E6" s="59" t="s">
        <v>206</v>
      </c>
      <c r="F6" s="59" t="s">
        <v>207</v>
      </c>
      <c r="G6" s="59">
        <v>5</v>
      </c>
      <c r="H6" s="59" t="s">
        <v>200</v>
      </c>
      <c r="I6" s="60" t="s">
        <v>122</v>
      </c>
      <c r="J6" s="60" t="s">
        <v>123</v>
      </c>
      <c r="K6" s="61">
        <v>45779</v>
      </c>
      <c r="L6" s="66">
        <v>70000</v>
      </c>
      <c r="M6" s="59" t="s">
        <v>569</v>
      </c>
      <c r="N6" s="59" t="s">
        <v>138</v>
      </c>
      <c r="O6" s="59" t="s">
        <v>116</v>
      </c>
      <c r="P6" s="59" t="s">
        <v>131</v>
      </c>
      <c r="Q6" s="60">
        <v>29232</v>
      </c>
      <c r="R6" s="59" t="s">
        <v>124</v>
      </c>
      <c r="S6" s="59" t="s">
        <v>133</v>
      </c>
      <c r="T6" s="64">
        <v>3170585274</v>
      </c>
      <c r="U6" s="64" t="s">
        <v>208</v>
      </c>
      <c r="V6" s="62" t="b">
        <f>IF(P6=CURSOS!$D$3,"DIPLOMADO EN ATENCION PRE-HOSPITALARIA",IF(P6=CURSOS!$D$4,"ACOMPAÑAMIENTO Y MANEJO DEL DUELO",IF(P6=CURSOS!$D$5,"ATENCION A VICTIMAS DE ATAQUE CON AGENTES QUIMICOS ",IF(P6=CURSOS!$D$6,"PRIMEROS AUXILIOS ",IF(P6=CURSOS!$D$7,"DIPLOMADO DE UNIDAD DE CUIDADOS INTENSIVOS (UCI)",IF(P6=CURSOS!$D$8,"MODELO DE ATENCION PARA EVENTOS EMERGENTES EN SALUD MENTAL (CODIGO VERDE)",IF(P6=CURSOS!$D$9,"HUMANIZACION EN EL SERVICIO DE LA SALUD Y BUENAS PRACTICAS EN PACIENTE ",IF(P6=CURSOS!$D$10,"CLINICA DE HERIDAS ",IF(P6=CURSOS!$D$11,"TOMA DE CITOLOGIA CERVICO VAGINAL ",IF(P6=CURSOS!$D$12,"SOPORTE CARDIOVASCULAR AVANZADO (ACLS) ",IF(P6=CURSOS!$D$13,"CAMILLERO ",IF(P6=CURSOS!$D$14,"TOMA DE MUESTRAS Y LABORATORIO ",IF(P6=CURSOS!$D$15,"SOPORTE VITAL BASICO (BLS)",IF(P6=CURSOS!$D$16,"ATENCION A VICTIMAS DE VIOLENCIA SEXUAL ",IF(P6=CURSOS!$D$17,"PROGRAMADO AMPLIADO DE INMUNIZACION (PAI - COVID 19)",IF(P6=CURSOS!$D$18,"ATENCION INTEGRAL EN ENFERMEDADES PREVALENTES EN PRIMERA INFANCIA (AIEPI)",IF(P6=CURSOS!$D$19,"ADMINISTRACION DE MEDICAMENTOS, INYECTOLOGIA  Y CANALIZACION ",IF(P6=CURSOS!$D$20,"OPERADOR DE VEHICULOS DE EMERGENCIA (OVE)",IF(P6=CURSOS!$D$21,"INSTITUCIONES AMIGAS DE LA MUJER Y LA INFANCIA (IAMI)",IF(P6=CURSOS!$D$22,"CUIDADO DEL DONANTE DE ORGANOS",IF(P6=CURSOS!$D$23,"ATENCION A VICTIMAS POR VIOLENCIA DE GENERO",IF(P6=CURSOS!$D$24,"IGUALDAD DE GENERO EN LA SALUD",IF(P6=CURSOS!$D$25,"BRIGADA DE EMERGENCIA",IF(P6=CURSOS!$D$26,"MANEJO DEL DOLOR Y CUIDADOS PALIATIVOS",IF(P6=CURSOS!$D$27,"TOMA DE MUESTRAS Y LABORATORIO POCT",IF(P6=CURSOS!$D$28,"IMPLANTE SUBDERMICO DE DISPOSITIVO INTRAUTERINO",IF(P6=CURSOS!$D$29,"SALUD MENTAL",IF(P6=CURSOS!$D$30,"PRIMEROS AUXILIOS PSICOLOGICOS",IF(P6=CURSOS!$D$31,"ATENCION A VICTIMAS POR CONFLICTO ARMADO",IF(P6=CURSOS!$D$32,"MANIPULACION DE ALIMENTOS Y BPM",IF(P6=CURSOS!$D$33,"ATENCION A PERSONAS CON DISCAPACIDAD",IF(P6=CURSOS!$D$34,"CUIDADO INTEGRAL DEL PACIENTE ADULTO",IF(P6=CURSOS!$D$35,"MANEJO DEFENSIVO",IF(P6=CURSOS!$D$36,"SOPORTE CARDIOVASCULAR AVANZADO NEONATAL",IF(P6=CURSOS!$D$37,"SEGURIDAD DEL PACIENTE",IF(P6=CURSOS!$D$38,"MANEJO DE RESIDUOS HOSPITALARIOS",IF(P6=CURSOS!$D$39,"ATENCION DE PACIENTE POR CONSUMO SUSTANCIAS PSICOACTIVAS Y ADICCIONES")))))))))))))))))))))))))))))))))))))</f>
        <v>0</v>
      </c>
      <c r="W6" s="62" t="str">
        <f t="shared" si="3"/>
        <v>Jaime Edilberto Davila Jimenez</v>
      </c>
      <c r="X6" s="62" t="str">
        <f t="shared" si="4"/>
        <v>Jaime Edilberto Davila Jimenez</v>
      </c>
      <c r="Y6" s="62" t="str">
        <f t="shared" si="5"/>
        <v>Jaime Edilberto Davila Jimenez-98371346-PRIMEROS AUXILIOS PARA CONDUCTOR DE EMERGENCIAS</v>
      </c>
      <c r="Z6" s="72"/>
    </row>
    <row r="7" spans="1:26" s="57" customFormat="1" x14ac:dyDescent="0.2">
      <c r="A7" s="58">
        <v>6</v>
      </c>
      <c r="B7" s="59">
        <v>1085324933</v>
      </c>
      <c r="C7" s="59" t="s">
        <v>209</v>
      </c>
      <c r="D7" s="59" t="s">
        <v>210</v>
      </c>
      <c r="E7" s="59" t="s">
        <v>211</v>
      </c>
      <c r="F7" s="59" t="s">
        <v>104</v>
      </c>
      <c r="G7" s="59">
        <v>3</v>
      </c>
      <c r="H7" s="59" t="s">
        <v>200</v>
      </c>
      <c r="I7" s="60" t="s">
        <v>115</v>
      </c>
      <c r="J7" s="60" t="s">
        <v>123</v>
      </c>
      <c r="K7" s="61">
        <v>45779</v>
      </c>
      <c r="L7" s="66">
        <v>35000</v>
      </c>
      <c r="M7" s="59" t="s">
        <v>214</v>
      </c>
      <c r="N7" s="59" t="s">
        <v>138</v>
      </c>
      <c r="O7" s="59" t="s">
        <v>212</v>
      </c>
      <c r="P7" s="59" t="s">
        <v>48</v>
      </c>
      <c r="Q7" s="60">
        <v>35028</v>
      </c>
      <c r="R7" s="59" t="s">
        <v>102</v>
      </c>
      <c r="S7" s="59" t="s">
        <v>201</v>
      </c>
      <c r="T7" s="59">
        <v>3135906400</v>
      </c>
      <c r="U7" s="59" t="s">
        <v>213</v>
      </c>
      <c r="V7" s="62" t="str">
        <f>IF(P7=CURSOS!$D$3,"DIPLOMADO EN ATENCION PRE-HOSPITALARIA",IF(P7=CURSOS!$D$4,"ACOMPAÑAMIENTO Y MANEJO DEL DUELO",IF(P7=CURSOS!$D$5,"ATENCION A VICTIMAS DE ATAQUE CON AGENTES QUIMICOS ",IF(P7=CURSOS!$D$6,"PRIMEROS AUXILIOS ",IF(P7=CURSOS!$D$7,"DIPLOMADO DE UNIDAD DE CUIDADOS INTENSIVOS (UCI)",IF(P7=CURSOS!$D$8,"MODELO DE ATENCION PARA EVENTOS EMERGENTES EN SALUD MENTAL (CODIGO VERDE)",IF(P7=CURSOS!$D$9,"HUMANIZACION EN EL SERVICIO DE LA SALUD Y BUENAS PRACTICAS EN PACIENTE ",IF(P7=CURSOS!$D$10,"CLINICA DE HERIDAS ",IF(P7=CURSOS!$D$11,"TOMA DE CITOLOGIA CERVICO VAGINAL ",IF(P7=CURSOS!$D$12,"SOPORTE CARDIOVASCULAR AVANZADO (ACLS) ",IF(P7=CURSOS!$D$13,"CAMILLERO ",IF(P7=CURSOS!$D$14,"TOMA DE MUESTRAS Y LABORATORIO ",IF(P7=CURSOS!$D$15,"SOPORTE VITAL BASICO (BLS)",IF(P7=CURSOS!$D$16,"ATENCION A VICTIMAS DE VIOLENCIA SEXUAL ",IF(P7=CURSOS!$D$17,"PROGRAMADO AMPLIADO DE INMUNIZACION (PAI - COVID 19)",IF(P7=CURSOS!$D$18,"ATENCION INTEGRAL EN ENFERMEDADES PREVALENTES EN PRIMERA INFANCIA (AIEPI)",IF(P7=CURSOS!$D$19,"ADMINISTRACION DE MEDICAMENTOS, INYECTOLOGIA  Y CANALIZACION ",IF(P7=CURSOS!$D$20,"OPERADOR DE VEHICULOS DE EMERGENCIA (OVE)",IF(P7=CURSOS!$D$21,"INSTITUCIONES AMIGAS DE LA MUJER Y LA INFANCIA (IAMI)",IF(P7=CURSOS!$D$22,"CUIDADO DEL DONANTE DE ORGANOS",IF(P7=CURSOS!$D$23,"ATENCION A VICTIMAS POR VIOLENCIA DE GENERO",IF(P7=CURSOS!$D$24,"IGUALDAD DE GENERO EN LA SALUD",IF(P7=CURSOS!$D$25,"BRIGADA DE EMERGENCIA",IF(P7=CURSOS!$D$26,"MANEJO DEL DOLOR Y CUIDADOS PALIATIVOS",IF(P7=CURSOS!$D$27,"TOMA DE MUESTRAS Y LABORATORIO POCT",IF(P7=CURSOS!$D$28,"IMPLANTE SUBDERMICO DE DISPOSITIVO INTRAUTERINO",IF(P7=CURSOS!$D$29,"SALUD MENTAL",IF(P7=CURSOS!$D$30,"PRIMEROS AUXILIOS PSICOLOGICOS",IF(P7=CURSOS!$D$31,"ATENCION A VICTIMAS POR CONFLICTO ARMADO",IF(P7=CURSOS!$D$32,"MANIPULACION DE ALIMENTOS Y BPM",IF(P7=CURSOS!$D$33,"ATENCION A PERSONAS CON DISCAPACIDAD",IF(P7=CURSOS!$D$34,"CUIDADO INTEGRAL DEL PACIENTE ADULTO",IF(P7=CURSOS!$D$35,"MANEJO DEFENSIVO",IF(P7=CURSOS!$D$36,"SOPORTE CARDIOVASCULAR AVANZADO NEONATAL",IF(P7=CURSOS!$D$37,"SEGURIDAD DEL PACIENTE",IF(P7=CURSOS!$D$38,"MANEJO DE RESIDUOS HOSPITALARIOS",IF(P7=CURSOS!$D$39,"ATENCION DE PACIENTE POR CONSUMO SUSTANCIAS PSICOACTIVAS Y ADICCIONES")))))))))))))))))))))))))))))))))))))</f>
        <v>INSTITUCIONES AMIGAS DE LA MUJER Y LA INFANCIA (IAMI)</v>
      </c>
      <c r="W7" s="62" t="str">
        <f t="shared" si="3"/>
        <v>Katheryn Tatiana Bastidas Carlosama</v>
      </c>
      <c r="X7" s="62" t="str">
        <f t="shared" si="4"/>
        <v>Katheryn Tatiana Bastidas Carlosama</v>
      </c>
      <c r="Y7" s="62" t="str">
        <f t="shared" si="5"/>
        <v>Katheryn Tatiana Bastidas Carlosama-1085324933-IAMI</v>
      </c>
      <c r="Z7" s="72"/>
    </row>
    <row r="8" spans="1:26" s="57" customFormat="1" x14ac:dyDescent="0.2">
      <c r="A8" s="58">
        <v>7</v>
      </c>
      <c r="B8" s="59">
        <v>1085324933</v>
      </c>
      <c r="C8" s="59" t="s">
        <v>209</v>
      </c>
      <c r="D8" s="59" t="s">
        <v>210</v>
      </c>
      <c r="E8" s="59" t="s">
        <v>211</v>
      </c>
      <c r="F8" s="59" t="s">
        <v>104</v>
      </c>
      <c r="G8" s="59">
        <v>3</v>
      </c>
      <c r="H8" s="59" t="s">
        <v>200</v>
      </c>
      <c r="I8" s="60" t="s">
        <v>115</v>
      </c>
      <c r="J8" s="60" t="s">
        <v>123</v>
      </c>
      <c r="K8" s="61">
        <v>45779</v>
      </c>
      <c r="L8" s="66">
        <v>35000</v>
      </c>
      <c r="M8" s="59" t="s">
        <v>214</v>
      </c>
      <c r="N8" s="59" t="s">
        <v>138</v>
      </c>
      <c r="O8" s="59" t="s">
        <v>212</v>
      </c>
      <c r="P8" s="59" t="s">
        <v>44</v>
      </c>
      <c r="Q8" s="60">
        <v>35028</v>
      </c>
      <c r="R8" s="59" t="s">
        <v>102</v>
      </c>
      <c r="S8" s="59" t="s">
        <v>201</v>
      </c>
      <c r="T8" s="59">
        <v>3135906400</v>
      </c>
      <c r="U8" s="59" t="s">
        <v>213</v>
      </c>
      <c r="V8" s="62" t="str">
        <f>IF(P8=CURSOS!$D$3,"DIPLOMADO EN ATENCION PRE-HOSPITALARIA",IF(P8=CURSOS!$D$4,"ACOMPAÑAMIENTO Y MANEJO DEL DUELO",IF(P8=CURSOS!$D$5,"ATENCION A VICTIMAS DE ATAQUE CON AGENTES QUIMICOS ",IF(P8=CURSOS!$D$6,"PRIMEROS AUXILIOS ",IF(P8=CURSOS!$D$7,"DIPLOMADO DE UNIDAD DE CUIDADOS INTENSIVOS (UCI)",IF(P8=CURSOS!$D$8,"MODELO DE ATENCION PARA EVENTOS EMERGENTES EN SALUD MENTAL (CODIGO VERDE)",IF(P8=CURSOS!$D$9,"HUMANIZACION EN EL SERVICIO DE LA SALUD Y BUENAS PRACTICAS EN PACIENTE ",IF(P8=CURSOS!$D$10,"CLINICA DE HERIDAS ",IF(P8=CURSOS!$D$11,"TOMA DE CITOLOGIA CERVICO VAGINAL ",IF(P8=CURSOS!$D$12,"SOPORTE CARDIOVASCULAR AVANZADO (ACLS) ",IF(P8=CURSOS!$D$13,"CAMILLERO ",IF(P8=CURSOS!$D$14,"TOMA DE MUESTRAS Y LABORATORIO ",IF(P8=CURSOS!$D$15,"SOPORTE VITAL BASICO (BLS)",IF(P8=CURSOS!$D$16,"ATENCION A VICTIMAS DE VIOLENCIA SEXUAL ",IF(P8=CURSOS!$D$17,"PROGRAMADO AMPLIADO DE INMUNIZACION (PAI - COVID 19)",IF(P8=CURSOS!$D$18,"ATENCION INTEGRAL EN ENFERMEDADES PREVALENTES EN PRIMERA INFANCIA (AIEPI)",IF(P8=CURSOS!$D$19,"ADMINISTRACION DE MEDICAMENTOS, INYECTOLOGIA  Y CANALIZACION ",IF(P8=CURSOS!$D$20,"OPERADOR DE VEHICULOS DE EMERGENCIA (OVE)",IF(P8=CURSOS!$D$21,"INSTITUCIONES AMIGAS DE LA MUJER Y LA INFANCIA (IAMI)",IF(P8=CURSOS!$D$22,"CUIDADO DEL DONANTE DE ORGANOS",IF(P8=CURSOS!$D$23,"ATENCION A VICTIMAS POR VIOLENCIA DE GENERO",IF(P8=CURSOS!$D$24,"IGUALDAD DE GENERO EN LA SALUD",IF(P8=CURSOS!$D$25,"BRIGADA DE EMERGENCIA",IF(P8=CURSOS!$D$26,"MANEJO DEL DOLOR Y CUIDADOS PALIATIVOS",IF(P8=CURSOS!$D$27,"TOMA DE MUESTRAS Y LABORATORIO POCT",IF(P8=CURSOS!$D$28,"IMPLANTE SUBDERMICO DE DISPOSITIVO INTRAUTERINO",IF(P8=CURSOS!$D$29,"SALUD MENTAL",IF(P8=CURSOS!$D$30,"PRIMEROS AUXILIOS PSICOLOGICOS",IF(P8=CURSOS!$D$31,"ATENCION A VICTIMAS POR CONFLICTO ARMADO",IF(P8=CURSOS!$D$32,"MANIPULACION DE ALIMENTOS Y BPM",IF(P8=CURSOS!$D$33,"ATENCION A PERSONAS CON DISCAPACIDAD",IF(P8=CURSOS!$D$34,"CUIDADO INTEGRAL DEL PACIENTE ADULTO",IF(P8=CURSOS!$D$35,"MANEJO DEFENSIVO",IF(P8=CURSOS!$D$36,"SOPORTE CARDIOVASCULAR AVANZADO NEONATAL",IF(P8=CURSOS!$D$37,"SEGURIDAD DEL PACIENTE",IF(P8=CURSOS!$D$38,"MANEJO DE RESIDUOS HOSPITALARIOS",IF(P8=CURSOS!$D$39,"ATENCION DE PACIENTE POR CONSUMO SUSTANCIAS PSICOACTIVAS Y ADICCIONES")))))))))))))))))))))))))))))))))))))</f>
        <v>ATENCION INTEGRAL EN ENFERMEDADES PREVALENTES EN PRIMERA INFANCIA (AIEPI)</v>
      </c>
      <c r="W8" s="62" t="str">
        <f t="shared" si="3"/>
        <v>Katheryn Tatiana Bastidas Carlosama</v>
      </c>
      <c r="X8" s="62" t="str">
        <f t="shared" si="4"/>
        <v>Katheryn Tatiana Bastidas Carlosama</v>
      </c>
      <c r="Y8" s="62" t="str">
        <f t="shared" si="5"/>
        <v>Katheryn Tatiana Bastidas Carlosama-1085324933-AIEPI</v>
      </c>
      <c r="Z8" s="72"/>
    </row>
    <row r="9" spans="1:26" s="57" customFormat="1" x14ac:dyDescent="0.2">
      <c r="A9" s="58">
        <v>8</v>
      </c>
      <c r="B9" s="59">
        <v>1085319244</v>
      </c>
      <c r="C9" s="59" t="s">
        <v>217</v>
      </c>
      <c r="D9" s="59" t="s">
        <v>218</v>
      </c>
      <c r="E9" s="59" t="s">
        <v>219</v>
      </c>
      <c r="F9" s="59" t="s">
        <v>220</v>
      </c>
      <c r="G9" s="59">
        <v>3</v>
      </c>
      <c r="H9" s="59" t="s">
        <v>200</v>
      </c>
      <c r="I9" s="60" t="s">
        <v>115</v>
      </c>
      <c r="J9" s="60" t="s">
        <v>123</v>
      </c>
      <c r="K9" s="61">
        <v>45779</v>
      </c>
      <c r="L9" s="66">
        <v>35000</v>
      </c>
      <c r="M9" s="59" t="s">
        <v>214</v>
      </c>
      <c r="N9" s="59" t="s">
        <v>138</v>
      </c>
      <c r="O9" s="59" t="s">
        <v>212</v>
      </c>
      <c r="P9" s="59" t="s">
        <v>48</v>
      </c>
      <c r="Q9" s="60">
        <v>34746</v>
      </c>
      <c r="R9" s="59" t="s">
        <v>102</v>
      </c>
      <c r="S9" s="64" t="s">
        <v>215</v>
      </c>
      <c r="T9" s="59">
        <v>3164093653</v>
      </c>
      <c r="U9" s="59" t="s">
        <v>216</v>
      </c>
      <c r="V9" s="62" t="str">
        <f>IF(P9=CURSOS!$D$3,"DIPLOMADO EN ATENCION PRE-HOSPITALARIA",IF(P9=CURSOS!$D$4,"ACOMPAÑAMIENTO Y MANEJO DEL DUELO",IF(P9=CURSOS!$D$5,"ATENCION A VICTIMAS DE ATAQUE CON AGENTES QUIMICOS ",IF(P9=CURSOS!$D$6,"PRIMEROS AUXILIOS ",IF(P9=CURSOS!$D$7,"DIPLOMADO DE UNIDAD DE CUIDADOS INTENSIVOS (UCI)",IF(P9=CURSOS!$D$8,"MODELO DE ATENCION PARA EVENTOS EMERGENTES EN SALUD MENTAL (CODIGO VERDE)",IF(P9=CURSOS!$D$9,"HUMANIZACION EN EL SERVICIO DE LA SALUD Y BUENAS PRACTICAS EN PACIENTE ",IF(P9=CURSOS!$D$10,"CLINICA DE HERIDAS ",IF(P9=CURSOS!$D$11,"TOMA DE CITOLOGIA CERVICO VAGINAL ",IF(P9=CURSOS!$D$12,"SOPORTE CARDIOVASCULAR AVANZADO (ACLS) ",IF(P9=CURSOS!$D$13,"CAMILLERO ",IF(P9=CURSOS!$D$14,"TOMA DE MUESTRAS Y LABORATORIO ",IF(P9=CURSOS!$D$15,"SOPORTE VITAL BASICO (BLS)",IF(P9=CURSOS!$D$16,"ATENCION A VICTIMAS DE VIOLENCIA SEXUAL ",IF(P9=CURSOS!$D$17,"PROGRAMADO AMPLIADO DE INMUNIZACION (PAI - COVID 19)",IF(P9=CURSOS!$D$18,"ATENCION INTEGRAL EN ENFERMEDADES PREVALENTES EN PRIMERA INFANCIA (AIEPI)",IF(P9=CURSOS!$D$19,"ADMINISTRACION DE MEDICAMENTOS, INYECTOLOGIA  Y CANALIZACION ",IF(P9=CURSOS!$D$20,"OPERADOR DE VEHICULOS DE EMERGENCIA (OVE)",IF(P9=CURSOS!$D$21,"INSTITUCIONES AMIGAS DE LA MUJER Y LA INFANCIA (IAMI)",IF(P9=CURSOS!$D$22,"CUIDADO DEL DONANTE DE ORGANOS",IF(P9=CURSOS!$D$23,"ATENCION A VICTIMAS POR VIOLENCIA DE GENERO",IF(P9=CURSOS!$D$24,"IGUALDAD DE GENERO EN LA SALUD",IF(P9=CURSOS!$D$25,"BRIGADA DE EMERGENCIA",IF(P9=CURSOS!$D$26,"MANEJO DEL DOLOR Y CUIDADOS PALIATIVOS",IF(P9=CURSOS!$D$27,"TOMA DE MUESTRAS Y LABORATORIO POCT",IF(P9=CURSOS!$D$28,"IMPLANTE SUBDERMICO DE DISPOSITIVO INTRAUTERINO",IF(P9=CURSOS!$D$29,"SALUD MENTAL",IF(P9=CURSOS!$D$30,"PRIMEROS AUXILIOS PSICOLOGICOS",IF(P9=CURSOS!$D$31,"ATENCION A VICTIMAS POR CONFLICTO ARMADO",IF(P9=CURSOS!$D$32,"MANIPULACION DE ALIMENTOS Y BPM",IF(P9=CURSOS!$D$33,"ATENCION A PERSONAS CON DISCAPACIDAD",IF(P9=CURSOS!$D$34,"CUIDADO INTEGRAL DEL PACIENTE ADULTO",IF(P9=CURSOS!$D$35,"MANEJO DEFENSIVO",IF(P9=CURSOS!$D$36,"SOPORTE CARDIOVASCULAR AVANZADO NEONATAL",IF(P9=CURSOS!$D$37,"SEGURIDAD DEL PACIENTE",IF(P9=CURSOS!$D$38,"MANEJO DE RESIDUOS HOSPITALARIOS",IF(P9=CURSOS!$D$39,"ATENCION DE PACIENTE POR CONSUMO SUSTANCIAS PSICOACTIVAS Y ADICCIONES")))))))))))))))))))))))))))))))))))))</f>
        <v>INSTITUCIONES AMIGAS DE LA MUJER Y LA INFANCIA (IAMI)</v>
      </c>
      <c r="W9" s="62" t="str">
        <f t="shared" si="3"/>
        <v>Yina Marcela Pantoja Benavides</v>
      </c>
      <c r="X9" s="62" t="str">
        <f t="shared" si="4"/>
        <v>Yina Marcela Pantoja Benavides</v>
      </c>
      <c r="Y9" s="62" t="str">
        <f t="shared" si="5"/>
        <v>Yina Marcela Pantoja Benavides-1085319244-IAMI</v>
      </c>
      <c r="Z9" s="72"/>
    </row>
    <row r="10" spans="1:26" s="57" customFormat="1" x14ac:dyDescent="0.2">
      <c r="A10" s="58">
        <v>9</v>
      </c>
      <c r="B10" s="59">
        <v>1085319244</v>
      </c>
      <c r="C10" s="59" t="s">
        <v>217</v>
      </c>
      <c r="D10" s="59" t="s">
        <v>218</v>
      </c>
      <c r="E10" s="59" t="s">
        <v>219</v>
      </c>
      <c r="F10" s="59" t="s">
        <v>220</v>
      </c>
      <c r="G10" s="59">
        <v>3</v>
      </c>
      <c r="H10" s="59" t="s">
        <v>200</v>
      </c>
      <c r="I10" s="60" t="s">
        <v>115</v>
      </c>
      <c r="J10" s="60" t="s">
        <v>123</v>
      </c>
      <c r="K10" s="61">
        <v>45779</v>
      </c>
      <c r="L10" s="66">
        <v>35000</v>
      </c>
      <c r="M10" s="59" t="s">
        <v>214</v>
      </c>
      <c r="N10" s="59" t="s">
        <v>138</v>
      </c>
      <c r="O10" s="59" t="s">
        <v>212</v>
      </c>
      <c r="P10" s="59" t="s">
        <v>44</v>
      </c>
      <c r="Q10" s="60">
        <v>34746</v>
      </c>
      <c r="R10" s="59" t="s">
        <v>102</v>
      </c>
      <c r="S10" s="64" t="s">
        <v>215</v>
      </c>
      <c r="T10" s="59">
        <v>3164093653</v>
      </c>
      <c r="U10" s="59" t="s">
        <v>216</v>
      </c>
      <c r="V10" s="62" t="str">
        <f>IF(P10=CURSOS!$D$3,"DIPLOMADO EN ATENCION PRE-HOSPITALARIA",IF(P10=CURSOS!$D$4,"ACOMPAÑAMIENTO Y MANEJO DEL DUELO",IF(P10=CURSOS!$D$5,"ATENCION A VICTIMAS DE ATAQUE CON AGENTES QUIMICOS ",IF(P10=CURSOS!$D$6,"PRIMEROS AUXILIOS ",IF(P10=CURSOS!$D$7,"DIPLOMADO DE UNIDAD DE CUIDADOS INTENSIVOS (UCI)",IF(P10=CURSOS!$D$8,"MODELO DE ATENCION PARA EVENTOS EMERGENTES EN SALUD MENTAL (CODIGO VERDE)",IF(P10=CURSOS!$D$9,"HUMANIZACION EN EL SERVICIO DE LA SALUD Y BUENAS PRACTICAS EN PACIENTE ",IF(P10=CURSOS!$D$10,"CLINICA DE HERIDAS ",IF(P10=CURSOS!$D$11,"TOMA DE CITOLOGIA CERVICO VAGINAL ",IF(P10=CURSOS!$D$12,"SOPORTE CARDIOVASCULAR AVANZADO (ACLS) ",IF(P10=CURSOS!$D$13,"CAMILLERO ",IF(P10=CURSOS!$D$14,"TOMA DE MUESTRAS Y LABORATORIO ",IF(P10=CURSOS!$D$15,"SOPORTE VITAL BASICO (BLS)",IF(P10=CURSOS!$D$16,"ATENCION A VICTIMAS DE VIOLENCIA SEXUAL ",IF(P10=CURSOS!$D$17,"PROGRAMADO AMPLIADO DE INMUNIZACION (PAI - COVID 19)",IF(P10=CURSOS!$D$18,"ATENCION INTEGRAL EN ENFERMEDADES PREVALENTES EN PRIMERA INFANCIA (AIEPI)",IF(P10=CURSOS!$D$19,"ADMINISTRACION DE MEDICAMENTOS, INYECTOLOGIA  Y CANALIZACION ",IF(P10=CURSOS!$D$20,"OPERADOR DE VEHICULOS DE EMERGENCIA (OVE)",IF(P10=CURSOS!$D$21,"INSTITUCIONES AMIGAS DE LA MUJER Y LA INFANCIA (IAMI)",IF(P10=CURSOS!$D$22,"CUIDADO DEL DONANTE DE ORGANOS",IF(P10=CURSOS!$D$23,"ATENCION A VICTIMAS POR VIOLENCIA DE GENERO",IF(P10=CURSOS!$D$24,"IGUALDAD DE GENERO EN LA SALUD",IF(P10=CURSOS!$D$25,"BRIGADA DE EMERGENCIA",IF(P10=CURSOS!$D$26,"MANEJO DEL DOLOR Y CUIDADOS PALIATIVOS",IF(P10=CURSOS!$D$27,"TOMA DE MUESTRAS Y LABORATORIO POCT",IF(P10=CURSOS!$D$28,"IMPLANTE SUBDERMICO DE DISPOSITIVO INTRAUTERINO",IF(P10=CURSOS!$D$29,"SALUD MENTAL",IF(P10=CURSOS!$D$30,"PRIMEROS AUXILIOS PSICOLOGICOS",IF(P10=CURSOS!$D$31,"ATENCION A VICTIMAS POR CONFLICTO ARMADO",IF(P10=CURSOS!$D$32,"MANIPULACION DE ALIMENTOS Y BPM",IF(P10=CURSOS!$D$33,"ATENCION A PERSONAS CON DISCAPACIDAD",IF(P10=CURSOS!$D$34,"CUIDADO INTEGRAL DEL PACIENTE ADULTO",IF(P10=CURSOS!$D$35,"MANEJO DEFENSIVO",IF(P10=CURSOS!$D$36,"SOPORTE CARDIOVASCULAR AVANZADO NEONATAL",IF(P10=CURSOS!$D$37,"SEGURIDAD DEL PACIENTE",IF(P10=CURSOS!$D$38,"MANEJO DE RESIDUOS HOSPITALARIOS",IF(P10=CURSOS!$D$39,"ATENCION DE PACIENTE POR CONSUMO SUSTANCIAS PSICOACTIVAS Y ADICCIONES")))))))))))))))))))))))))))))))))))))</f>
        <v>ATENCION INTEGRAL EN ENFERMEDADES PREVALENTES EN PRIMERA INFANCIA (AIEPI)</v>
      </c>
      <c r="W10" s="62" t="str">
        <f t="shared" si="3"/>
        <v>Yina Marcela Pantoja Benavides</v>
      </c>
      <c r="X10" s="62" t="str">
        <f t="shared" si="4"/>
        <v>Yina Marcela Pantoja Benavides</v>
      </c>
      <c r="Y10" s="62" t="str">
        <f t="shared" si="5"/>
        <v>Yina Marcela Pantoja Benavides-1085319244-AIEPI</v>
      </c>
      <c r="Z10" s="72"/>
    </row>
    <row r="11" spans="1:26" s="57" customFormat="1" x14ac:dyDescent="0.2">
      <c r="A11" s="58">
        <v>10</v>
      </c>
      <c r="B11" s="59">
        <v>1085279286</v>
      </c>
      <c r="C11" s="59" t="s">
        <v>197</v>
      </c>
      <c r="D11" s="59" t="s">
        <v>221</v>
      </c>
      <c r="E11" s="59" t="s">
        <v>222</v>
      </c>
      <c r="F11" s="59" t="s">
        <v>223</v>
      </c>
      <c r="G11" s="59">
        <v>3</v>
      </c>
      <c r="H11" s="59" t="s">
        <v>200</v>
      </c>
      <c r="I11" s="60" t="s">
        <v>115</v>
      </c>
      <c r="J11" s="60" t="s">
        <v>123</v>
      </c>
      <c r="K11" s="61">
        <v>45780</v>
      </c>
      <c r="L11" s="66">
        <v>0</v>
      </c>
      <c r="M11" s="59" t="s">
        <v>224</v>
      </c>
      <c r="N11" s="59" t="s">
        <v>138</v>
      </c>
      <c r="O11" s="59" t="s">
        <v>212</v>
      </c>
      <c r="P11" s="59" t="s">
        <v>44</v>
      </c>
      <c r="Q11" s="60">
        <v>32862</v>
      </c>
      <c r="R11" s="63" t="s">
        <v>102</v>
      </c>
      <c r="S11" s="59" t="s">
        <v>201</v>
      </c>
      <c r="T11" s="64">
        <v>3206454809</v>
      </c>
      <c r="U11" s="59" t="s">
        <v>225</v>
      </c>
      <c r="V11" s="62" t="str">
        <f>IF(P11=CURSOS!$D$3,"DIPLOMADO EN ATENCION PRE-HOSPITALARIA",IF(P11=CURSOS!$D$4,"ACOMPAÑAMIENTO Y MANEJO DEL DUELO",IF(P11=CURSOS!$D$5,"ATENCION A VICTIMAS DE ATAQUE CON AGENTES QUIMICOS ",IF(P11=CURSOS!$D$6,"PRIMEROS AUXILIOS ",IF(P11=CURSOS!$D$7,"DIPLOMADO DE UNIDAD DE CUIDADOS INTENSIVOS (UCI)",IF(P11=CURSOS!$D$8,"MODELO DE ATENCION PARA EVENTOS EMERGENTES EN SALUD MENTAL (CODIGO VERDE)",IF(P11=CURSOS!$D$9,"HUMANIZACION EN EL SERVICIO DE LA SALUD Y BUENAS PRACTICAS EN PACIENTE ",IF(P11=CURSOS!$D$10,"CLINICA DE HERIDAS ",IF(P11=CURSOS!$D$11,"TOMA DE CITOLOGIA CERVICO VAGINAL ",IF(P11=CURSOS!$D$12,"SOPORTE CARDIOVASCULAR AVANZADO (ACLS) ",IF(P11=CURSOS!$D$13,"CAMILLERO ",IF(P11=CURSOS!$D$14,"TOMA DE MUESTRAS Y LABORATORIO ",IF(P11=CURSOS!$D$15,"SOPORTE VITAL BASICO (BLS)",IF(P11=CURSOS!$D$16,"ATENCION A VICTIMAS DE VIOLENCIA SEXUAL ",IF(P11=CURSOS!$D$17,"PROGRAMADO AMPLIADO DE INMUNIZACION (PAI - COVID 19)",IF(P11=CURSOS!$D$18,"ATENCION INTEGRAL EN ENFERMEDADES PREVALENTES EN PRIMERA INFANCIA (AIEPI)",IF(P11=CURSOS!$D$19,"ADMINISTRACION DE MEDICAMENTOS, INYECTOLOGIA  Y CANALIZACION ",IF(P11=CURSOS!$D$20,"OPERADOR DE VEHICULOS DE EMERGENCIA (OVE)",IF(P11=CURSOS!$D$21,"INSTITUCIONES AMIGAS DE LA MUJER Y LA INFANCIA (IAMI)",IF(P11=CURSOS!$D$22,"CUIDADO DEL DONANTE DE ORGANOS",IF(P11=CURSOS!$D$23,"ATENCION A VICTIMAS POR VIOLENCIA DE GENERO",IF(P11=CURSOS!$D$24,"IGUALDAD DE GENERO EN LA SALUD",IF(P11=CURSOS!$D$25,"BRIGADA DE EMERGENCIA",IF(P11=CURSOS!$D$26,"MANEJO DEL DOLOR Y CUIDADOS PALIATIVOS",IF(P11=CURSOS!$D$27,"TOMA DE MUESTRAS Y LABORATORIO POCT",IF(P11=CURSOS!$D$28,"IMPLANTE SUBDERMICO DE DISPOSITIVO INTRAUTERINO",IF(P11=CURSOS!$D$29,"SALUD MENTAL",IF(P11=CURSOS!$D$30,"PRIMEROS AUXILIOS PSICOLOGICOS",IF(P11=CURSOS!$D$31,"ATENCION A VICTIMAS POR CONFLICTO ARMADO",IF(P11=CURSOS!$D$32,"MANIPULACION DE ALIMENTOS Y BPM",IF(P11=CURSOS!$D$33,"ATENCION A PERSONAS CON DISCAPACIDAD",IF(P11=CURSOS!$D$34,"CUIDADO INTEGRAL DEL PACIENTE ADULTO",IF(P11=CURSOS!$D$35,"MANEJO DEFENSIVO",IF(P11=CURSOS!$D$36,"SOPORTE CARDIOVASCULAR AVANZADO NEONATAL",IF(P11=CURSOS!$D$37,"SEGURIDAD DEL PACIENTE",IF(P11=CURSOS!$D$38,"MANEJO DE RESIDUOS HOSPITALARIOS",IF(P11=CURSOS!$D$39,"ATENCION DE PACIENTE POR CONSUMO SUSTANCIAS PSICOACTIVAS Y ADICCIONES")))))))))))))))))))))))))))))))))))))</f>
        <v>ATENCION INTEGRAL EN ENFERMEDADES PREVALENTES EN PRIMERA INFANCIA (AIEPI)</v>
      </c>
      <c r="W11" s="62" t="str">
        <f t="shared" si="3"/>
        <v>Guimar Johana Zambrano Rivera</v>
      </c>
      <c r="X11" s="62" t="str">
        <f t="shared" si="4"/>
        <v>Guimar Johana Zambrano Rivera</v>
      </c>
      <c r="Y11" s="62" t="str">
        <f t="shared" si="5"/>
        <v>Guimar Johana Zambrano Rivera-1085279286-AIEPI</v>
      </c>
      <c r="Z11" s="72"/>
    </row>
    <row r="12" spans="1:26" s="57" customFormat="1" x14ac:dyDescent="0.2">
      <c r="A12" s="58">
        <v>11</v>
      </c>
      <c r="B12" s="59">
        <v>1085279286</v>
      </c>
      <c r="C12" s="59" t="s">
        <v>197</v>
      </c>
      <c r="D12" s="59" t="s">
        <v>221</v>
      </c>
      <c r="E12" s="59" t="s">
        <v>222</v>
      </c>
      <c r="F12" s="59" t="s">
        <v>223</v>
      </c>
      <c r="G12" s="59">
        <v>3</v>
      </c>
      <c r="H12" s="59" t="s">
        <v>200</v>
      </c>
      <c r="I12" s="60" t="s">
        <v>115</v>
      </c>
      <c r="J12" s="60" t="s">
        <v>123</v>
      </c>
      <c r="K12" s="61">
        <v>45780</v>
      </c>
      <c r="L12" s="66">
        <v>0</v>
      </c>
      <c r="M12" s="59" t="s">
        <v>224</v>
      </c>
      <c r="N12" s="59" t="s">
        <v>138</v>
      </c>
      <c r="O12" s="59" t="s">
        <v>212</v>
      </c>
      <c r="P12" s="59" t="s">
        <v>48</v>
      </c>
      <c r="Q12" s="60">
        <v>32862</v>
      </c>
      <c r="R12" s="63" t="s">
        <v>102</v>
      </c>
      <c r="S12" s="59" t="s">
        <v>201</v>
      </c>
      <c r="T12" s="64">
        <v>3206454809</v>
      </c>
      <c r="U12" s="59" t="s">
        <v>225</v>
      </c>
      <c r="V12" s="62" t="str">
        <f>IF(P12=CURSOS!$D$3,"DIPLOMADO EN ATENCION PRE-HOSPITALARIA",IF(P12=CURSOS!$D$4,"ACOMPAÑAMIENTO Y MANEJO DEL DUELO",IF(P12=CURSOS!$D$5,"ATENCION A VICTIMAS DE ATAQUE CON AGENTES QUIMICOS ",IF(P12=CURSOS!$D$6,"PRIMEROS AUXILIOS ",IF(P12=CURSOS!$D$7,"DIPLOMADO DE UNIDAD DE CUIDADOS INTENSIVOS (UCI)",IF(P12=CURSOS!$D$8,"MODELO DE ATENCION PARA EVENTOS EMERGENTES EN SALUD MENTAL (CODIGO VERDE)",IF(P12=CURSOS!$D$9,"HUMANIZACION EN EL SERVICIO DE LA SALUD Y BUENAS PRACTICAS EN PACIENTE ",IF(P12=CURSOS!$D$10,"CLINICA DE HERIDAS ",IF(P12=CURSOS!$D$11,"TOMA DE CITOLOGIA CERVICO VAGINAL ",IF(P12=CURSOS!$D$12,"SOPORTE CARDIOVASCULAR AVANZADO (ACLS) ",IF(P12=CURSOS!$D$13,"CAMILLERO ",IF(P12=CURSOS!$D$14,"TOMA DE MUESTRAS Y LABORATORIO ",IF(P12=CURSOS!$D$15,"SOPORTE VITAL BASICO (BLS)",IF(P12=CURSOS!$D$16,"ATENCION A VICTIMAS DE VIOLENCIA SEXUAL ",IF(P12=CURSOS!$D$17,"PROGRAMADO AMPLIADO DE INMUNIZACION (PAI - COVID 19)",IF(P12=CURSOS!$D$18,"ATENCION INTEGRAL EN ENFERMEDADES PREVALENTES EN PRIMERA INFANCIA (AIEPI)",IF(P12=CURSOS!$D$19,"ADMINISTRACION DE MEDICAMENTOS, INYECTOLOGIA  Y CANALIZACION ",IF(P12=CURSOS!$D$20,"OPERADOR DE VEHICULOS DE EMERGENCIA (OVE)",IF(P12=CURSOS!$D$21,"INSTITUCIONES AMIGAS DE LA MUJER Y LA INFANCIA (IAMI)",IF(P12=CURSOS!$D$22,"CUIDADO DEL DONANTE DE ORGANOS",IF(P12=CURSOS!$D$23,"ATENCION A VICTIMAS POR VIOLENCIA DE GENERO",IF(P12=CURSOS!$D$24,"IGUALDAD DE GENERO EN LA SALUD",IF(P12=CURSOS!$D$25,"BRIGADA DE EMERGENCIA",IF(P12=CURSOS!$D$26,"MANEJO DEL DOLOR Y CUIDADOS PALIATIVOS",IF(P12=CURSOS!$D$27,"TOMA DE MUESTRAS Y LABORATORIO POCT",IF(P12=CURSOS!$D$28,"IMPLANTE SUBDERMICO DE DISPOSITIVO INTRAUTERINO",IF(P12=CURSOS!$D$29,"SALUD MENTAL",IF(P12=CURSOS!$D$30,"PRIMEROS AUXILIOS PSICOLOGICOS",IF(P12=CURSOS!$D$31,"ATENCION A VICTIMAS POR CONFLICTO ARMADO",IF(P12=CURSOS!$D$32,"MANIPULACION DE ALIMENTOS Y BPM",IF(P12=CURSOS!$D$33,"ATENCION A PERSONAS CON DISCAPACIDAD",IF(P12=CURSOS!$D$34,"CUIDADO INTEGRAL DEL PACIENTE ADULTO",IF(P12=CURSOS!$D$35,"MANEJO DEFENSIVO",IF(P12=CURSOS!$D$36,"SOPORTE CARDIOVASCULAR AVANZADO NEONATAL",IF(P12=CURSOS!$D$37,"SEGURIDAD DEL PACIENTE",IF(P12=CURSOS!$D$38,"MANEJO DE RESIDUOS HOSPITALARIOS",IF(P12=CURSOS!$D$39,"ATENCION DE PACIENTE POR CONSUMO SUSTANCIAS PSICOACTIVAS Y ADICCIONES")))))))))))))))))))))))))))))))))))))</f>
        <v>INSTITUCIONES AMIGAS DE LA MUJER Y LA INFANCIA (IAMI)</v>
      </c>
      <c r="W12" s="62" t="str">
        <f t="shared" si="3"/>
        <v>Guimar Johana Zambrano Rivera</v>
      </c>
      <c r="X12" s="62" t="str">
        <f t="shared" si="4"/>
        <v>Guimar Johana Zambrano Rivera</v>
      </c>
      <c r="Y12" s="62" t="str">
        <f t="shared" si="5"/>
        <v>Guimar Johana Zambrano Rivera-1085279286-IAMI</v>
      </c>
      <c r="Z12" s="72"/>
    </row>
    <row r="13" spans="1:26" s="57" customFormat="1" x14ac:dyDescent="0.2">
      <c r="A13" s="58">
        <v>12</v>
      </c>
      <c r="B13" s="59">
        <v>59815992</v>
      </c>
      <c r="C13" s="59" t="s">
        <v>226</v>
      </c>
      <c r="D13" s="59" t="s">
        <v>227</v>
      </c>
      <c r="E13" s="59" t="s">
        <v>228</v>
      </c>
      <c r="F13" s="59" t="s">
        <v>229</v>
      </c>
      <c r="G13" s="59">
        <v>2</v>
      </c>
      <c r="H13" s="59" t="s">
        <v>200</v>
      </c>
      <c r="I13" s="60" t="s">
        <v>115</v>
      </c>
      <c r="J13" s="60" t="s">
        <v>123</v>
      </c>
      <c r="K13" s="61">
        <v>45780</v>
      </c>
      <c r="L13" s="66">
        <v>30000</v>
      </c>
      <c r="M13" s="59" t="s">
        <v>103</v>
      </c>
      <c r="N13" s="59" t="s">
        <v>138</v>
      </c>
      <c r="O13" s="59" t="s">
        <v>116</v>
      </c>
      <c r="P13" s="59" t="s">
        <v>19</v>
      </c>
      <c r="Q13" s="60">
        <v>25625</v>
      </c>
      <c r="R13" s="59" t="s">
        <v>102</v>
      </c>
      <c r="S13" s="59" t="s">
        <v>201</v>
      </c>
      <c r="T13" s="64">
        <v>3165095970</v>
      </c>
      <c r="U13" s="59" t="s">
        <v>234</v>
      </c>
      <c r="V13" s="62" t="str">
        <f>IF(P13=CURSOS!$D$3,"DIPLOMADO EN ATENCION PRE-HOSPITALARIA",IF(P13=CURSOS!$D$4,"ACOMPAÑAMIENTO Y MANEJO DEL DUELO",IF(P13=CURSOS!$D$5,"ATENCION A VICTIMAS DE ATAQUE CON AGENTES QUIMICOS ",IF(P13=CURSOS!$D$6,"PRIMEROS AUXILIOS ",IF(P13=CURSOS!$D$7,"DIPLOMADO DE UNIDAD DE CUIDADOS INTENSIVOS (UCI)",IF(P13=CURSOS!$D$8,"MODELO DE ATENCION PARA EVENTOS EMERGENTES EN SALUD MENTAL (CODIGO VERDE)",IF(P13=CURSOS!$D$9,"HUMANIZACION EN EL SERVICIO DE LA SALUD Y BUENAS PRACTICAS EN PACIENTE ",IF(P13=CURSOS!$D$10,"CLINICA DE HERIDAS ",IF(P13=CURSOS!$D$11,"TOMA DE CITOLOGIA CERVICO VAGINAL ",IF(P13=CURSOS!$D$12,"SOPORTE CARDIOVASCULAR AVANZADO (ACLS) ",IF(P13=CURSOS!$D$13,"CAMILLERO ",IF(P13=CURSOS!$D$14,"TOMA DE MUESTRAS Y LABORATORIO ",IF(P13=CURSOS!$D$15,"SOPORTE VITAL BASICO (BLS)",IF(P13=CURSOS!$D$16,"ATENCION A VICTIMAS DE VIOLENCIA SEXUAL ",IF(P13=CURSOS!$D$17,"PROGRAMADO AMPLIADO DE INMUNIZACION (PAI - COVID 19)",IF(P13=CURSOS!$D$18,"ATENCION INTEGRAL EN ENFERMEDADES PREVALENTES EN PRIMERA INFANCIA (AIEPI)",IF(P13=CURSOS!$D$19,"ADMINISTRACION DE MEDICAMENTOS, INYECTOLOGIA  Y CANALIZACION ",IF(P13=CURSOS!$D$20,"OPERADOR DE VEHICULOS DE EMERGENCIA (OVE)",IF(P13=CURSOS!$D$21,"INSTITUCIONES AMIGAS DE LA MUJER Y LA INFANCIA (IAMI)",IF(P13=CURSOS!$D$22,"CUIDADO DEL DONANTE DE ORGANOS",IF(P13=CURSOS!$D$23,"ATENCION A VICTIMAS POR VIOLENCIA DE GENERO",IF(P13=CURSOS!$D$24,"IGUALDAD DE GENERO EN LA SALUD",IF(P13=CURSOS!$D$25,"BRIGADA DE EMERGENCIA",IF(P13=CURSOS!$D$26,"MANEJO DEL DOLOR Y CUIDADOS PALIATIVOS",IF(P13=CURSOS!$D$27,"TOMA DE MUESTRAS Y LABORATORIO POCT",IF(P13=CURSOS!$D$28,"IMPLANTE SUBDERMICO DE DISPOSITIVO INTRAUTERINO",IF(P13=CURSOS!$D$29,"SALUD MENTAL",IF(P13=CURSOS!$D$30,"PRIMEROS AUXILIOS PSICOLOGICOS",IF(P13=CURSOS!$D$31,"ATENCION A VICTIMAS POR CONFLICTO ARMADO",IF(P13=CURSOS!$D$32,"MANIPULACION DE ALIMENTOS Y BPM",IF(P13=CURSOS!$D$33,"ATENCION A PERSONAS CON DISCAPACIDAD",IF(P13=CURSOS!$D$34,"CUIDADO INTEGRAL DEL PACIENTE ADULTO",IF(P13=CURSOS!$D$35,"MANEJO DEFENSIVO",IF(P13=CURSOS!$D$36,"SOPORTE CARDIOVASCULAR AVANZADO NEONATAL",IF(P13=CURSOS!$D$37,"SEGURIDAD DEL PACIENTE",IF(P13=CURSOS!$D$38,"MANEJO DE RESIDUOS HOSPITALARIOS",IF(P13=CURSOS!$D$39,"ATENCION DE PACIENTE POR CONSUMO SUSTANCIAS PSICOACTIVAS Y ADICCIONES")))))))))))))))))))))))))))))))))))))</f>
        <v>SOPORTE VITAL BASICO (BLS)</v>
      </c>
      <c r="W13" s="62" t="str">
        <f t="shared" si="3"/>
        <v>Carmela Del pilar Del castillo Goyez</v>
      </c>
      <c r="X13" s="62" t="str">
        <f t="shared" si="4"/>
        <v>Carmela Del Pilar Del Castillo Goyez</v>
      </c>
      <c r="Y13" s="62" t="str">
        <f t="shared" si="5"/>
        <v>Carmela Del Pilar Del Castillo Goyez-59815992-BLS</v>
      </c>
      <c r="Z13" s="72"/>
    </row>
    <row r="14" spans="1:26" s="57" customFormat="1" x14ac:dyDescent="0.2">
      <c r="A14" s="58">
        <v>13</v>
      </c>
      <c r="B14" s="59">
        <v>59815992</v>
      </c>
      <c r="C14" s="59" t="s">
        <v>226</v>
      </c>
      <c r="D14" s="59" t="s">
        <v>227</v>
      </c>
      <c r="E14" s="59" t="s">
        <v>228</v>
      </c>
      <c r="F14" s="59" t="s">
        <v>229</v>
      </c>
      <c r="G14" s="59">
        <v>3</v>
      </c>
      <c r="H14" s="59" t="s">
        <v>200</v>
      </c>
      <c r="I14" s="60" t="s">
        <v>115</v>
      </c>
      <c r="J14" s="60" t="s">
        <v>123</v>
      </c>
      <c r="K14" s="61">
        <v>45780</v>
      </c>
      <c r="L14" s="66">
        <v>30000</v>
      </c>
      <c r="M14" s="59" t="s">
        <v>103</v>
      </c>
      <c r="N14" s="59" t="s">
        <v>138</v>
      </c>
      <c r="O14" s="59" t="s">
        <v>116</v>
      </c>
      <c r="P14" s="59" t="s">
        <v>230</v>
      </c>
      <c r="Q14" s="60">
        <v>25625</v>
      </c>
      <c r="R14" s="59" t="s">
        <v>102</v>
      </c>
      <c r="S14" s="59" t="s">
        <v>201</v>
      </c>
      <c r="T14" s="64">
        <v>3165095970</v>
      </c>
      <c r="U14" s="59" t="s">
        <v>234</v>
      </c>
      <c r="V14" s="62" t="b">
        <f>IF(P14=CURSOS!$D$3,"DIPLOMADO EN ATENCION PRE-HOSPITALARIA",IF(P14=CURSOS!$D$4,"ACOMPAÑAMIENTO Y MANEJO DEL DUELO",IF(P14=CURSOS!$D$5,"ATENCION A VICTIMAS DE ATAQUE CON AGENTES QUIMICOS ",IF(P14=CURSOS!$D$6,"PRIMEROS AUXILIOS ",IF(P14=CURSOS!$D$7,"DIPLOMADO DE UNIDAD DE CUIDADOS INTENSIVOS (UCI)",IF(P14=CURSOS!$D$8,"MODELO DE ATENCION PARA EVENTOS EMERGENTES EN SALUD MENTAL (CODIGO VERDE)",IF(P14=CURSOS!$D$9,"HUMANIZACION EN EL SERVICIO DE LA SALUD Y BUENAS PRACTICAS EN PACIENTE ",IF(P14=CURSOS!$D$10,"CLINICA DE HERIDAS ",IF(P14=CURSOS!$D$11,"TOMA DE CITOLOGIA CERVICO VAGINAL ",IF(P14=CURSOS!$D$12,"SOPORTE CARDIOVASCULAR AVANZADO (ACLS) ",IF(P14=CURSOS!$D$13,"CAMILLERO ",IF(P14=CURSOS!$D$14,"TOMA DE MUESTRAS Y LABORATORIO ",IF(P14=CURSOS!$D$15,"SOPORTE VITAL BASICO (BLS)",IF(P14=CURSOS!$D$16,"ATENCION A VICTIMAS DE VIOLENCIA SEXUAL ",IF(P14=CURSOS!$D$17,"PROGRAMADO AMPLIADO DE INMUNIZACION (PAI - COVID 19)",IF(P14=CURSOS!$D$18,"ATENCION INTEGRAL EN ENFERMEDADES PREVALENTES EN PRIMERA INFANCIA (AIEPI)",IF(P14=CURSOS!$D$19,"ADMINISTRACION DE MEDICAMENTOS, INYECTOLOGIA  Y CANALIZACION ",IF(P14=CURSOS!$D$20,"OPERADOR DE VEHICULOS DE EMERGENCIA (OVE)",IF(P14=CURSOS!$D$21,"INSTITUCIONES AMIGAS DE LA MUJER Y LA INFANCIA (IAMI)",IF(P14=CURSOS!$D$22,"CUIDADO DEL DONANTE DE ORGANOS",IF(P14=CURSOS!$D$23,"ATENCION A VICTIMAS POR VIOLENCIA DE GENERO",IF(P14=CURSOS!$D$24,"IGUALDAD DE GENERO EN LA SALUD",IF(P14=CURSOS!$D$25,"BRIGADA DE EMERGENCIA",IF(P14=CURSOS!$D$26,"MANEJO DEL DOLOR Y CUIDADOS PALIATIVOS",IF(P14=CURSOS!$D$27,"TOMA DE MUESTRAS Y LABORATORIO POCT",IF(P14=CURSOS!$D$28,"IMPLANTE SUBDERMICO DE DISPOSITIVO INTRAUTERINO",IF(P14=CURSOS!$D$29,"SALUD MENTAL",IF(P14=CURSOS!$D$30,"PRIMEROS AUXILIOS PSICOLOGICOS",IF(P14=CURSOS!$D$31,"ATENCION A VICTIMAS POR CONFLICTO ARMADO",IF(P14=CURSOS!$D$32,"MANIPULACION DE ALIMENTOS Y BPM",IF(P14=CURSOS!$D$33,"ATENCION A PERSONAS CON DISCAPACIDAD",IF(P14=CURSOS!$D$34,"CUIDADO INTEGRAL DEL PACIENTE ADULTO",IF(P14=CURSOS!$D$35,"MANEJO DEFENSIVO",IF(P14=CURSOS!$D$36,"SOPORTE CARDIOVASCULAR AVANZADO NEONATAL",IF(P14=CURSOS!$D$37,"SEGURIDAD DEL PACIENTE",IF(P14=CURSOS!$D$38,"MANEJO DE RESIDUOS HOSPITALARIOS",IF(P14=CURSOS!$D$39,"ATENCION DE PACIENTE POR CONSUMO SUSTANCIAS PSICOACTIVAS Y ADICCIONES")))))))))))))))))))))))))))))))))))))</f>
        <v>0</v>
      </c>
      <c r="W14" s="62" t="str">
        <f t="shared" si="3"/>
        <v>Carmela Del pilar Del castillo Goyez</v>
      </c>
      <c r="X14" s="62" t="str">
        <f t="shared" si="4"/>
        <v>Carmela Del Pilar Del Castillo Goyez</v>
      </c>
      <c r="Y14" s="62" t="str">
        <f t="shared" si="5"/>
        <v>Carmela Del Pilar Del Castillo Goyez-59815992-CODIGO ROJO</v>
      </c>
      <c r="Z14" s="72"/>
    </row>
    <row r="15" spans="1:26" s="57" customFormat="1" x14ac:dyDescent="0.2">
      <c r="A15" s="58">
        <v>14</v>
      </c>
      <c r="B15" s="59">
        <v>59815992</v>
      </c>
      <c r="C15" s="59" t="s">
        <v>226</v>
      </c>
      <c r="D15" s="59" t="s">
        <v>227</v>
      </c>
      <c r="E15" s="59" t="s">
        <v>228</v>
      </c>
      <c r="F15" s="59" t="s">
        <v>229</v>
      </c>
      <c r="G15" s="63">
        <v>1</v>
      </c>
      <c r="H15" s="59" t="s">
        <v>200</v>
      </c>
      <c r="I15" s="60" t="s">
        <v>115</v>
      </c>
      <c r="J15" s="60" t="s">
        <v>123</v>
      </c>
      <c r="K15" s="61">
        <v>45780</v>
      </c>
      <c r="L15" s="66">
        <v>30000</v>
      </c>
      <c r="M15" s="59" t="s">
        <v>103</v>
      </c>
      <c r="N15" s="59" t="s">
        <v>138</v>
      </c>
      <c r="O15" s="59" t="s">
        <v>116</v>
      </c>
      <c r="P15" s="59" t="s">
        <v>60</v>
      </c>
      <c r="Q15" s="60">
        <v>25625</v>
      </c>
      <c r="R15" s="59" t="s">
        <v>102</v>
      </c>
      <c r="S15" s="59" t="s">
        <v>201</v>
      </c>
      <c r="T15" s="64">
        <v>3165095970</v>
      </c>
      <c r="U15" s="59" t="s">
        <v>234</v>
      </c>
      <c r="V15" s="62" t="str">
        <f>IF(P15=CURSOS!$D$3,"DIPLOMADO EN ATENCION PRE-HOSPITALARIA",IF(P15=CURSOS!$D$4,"ACOMPAÑAMIENTO Y MANEJO DEL DUELO",IF(P15=CURSOS!$D$5,"ATENCION A VICTIMAS DE ATAQUE CON AGENTES QUIMICOS ",IF(P15=CURSOS!$D$6,"PRIMEROS AUXILIOS ",IF(P15=CURSOS!$D$7,"DIPLOMADO DE UNIDAD DE CUIDADOS INTENSIVOS (UCI)",IF(P15=CURSOS!$D$8,"MODELO DE ATENCION PARA EVENTOS EMERGENTES EN SALUD MENTAL (CODIGO VERDE)",IF(P15=CURSOS!$D$9,"HUMANIZACION EN EL SERVICIO DE LA SALUD Y BUENAS PRACTICAS EN PACIENTE ",IF(P15=CURSOS!$D$10,"CLINICA DE HERIDAS ",IF(P15=CURSOS!$D$11,"TOMA DE CITOLOGIA CERVICO VAGINAL ",IF(P15=CURSOS!$D$12,"SOPORTE CARDIOVASCULAR AVANZADO (ACLS) ",IF(P15=CURSOS!$D$13,"CAMILLERO ",IF(P15=CURSOS!$D$14,"TOMA DE MUESTRAS Y LABORATORIO ",IF(P15=CURSOS!$D$15,"SOPORTE VITAL BASICO (BLS)",IF(P15=CURSOS!$D$16,"ATENCION A VICTIMAS DE VIOLENCIA SEXUAL ",IF(P15=CURSOS!$D$17,"PROGRAMADO AMPLIADO DE INMUNIZACION (PAI - COVID 19)",IF(P15=CURSOS!$D$18,"ATENCION INTEGRAL EN ENFERMEDADES PREVALENTES EN PRIMERA INFANCIA (AIEPI)",IF(P15=CURSOS!$D$19,"ADMINISTRACION DE MEDICAMENTOS, INYECTOLOGIA  Y CANALIZACION ",IF(P15=CURSOS!$D$20,"OPERADOR DE VEHICULOS DE EMERGENCIA (OVE)",IF(P15=CURSOS!$D$21,"INSTITUCIONES AMIGAS DE LA MUJER Y LA INFANCIA (IAMI)",IF(P15=CURSOS!$D$22,"CUIDADO DEL DONANTE DE ORGANOS",IF(P15=CURSOS!$D$23,"ATENCION A VICTIMAS POR VIOLENCIA DE GENERO",IF(P15=CURSOS!$D$24,"IGUALDAD DE GENERO EN LA SALUD",IF(P15=CURSOS!$D$25,"BRIGADA DE EMERGENCIA",IF(P15=CURSOS!$D$26,"MANEJO DEL DOLOR Y CUIDADOS PALIATIVOS",IF(P15=CURSOS!$D$27,"TOMA DE MUESTRAS Y LABORATORIO POCT",IF(P15=CURSOS!$D$28,"IMPLANTE SUBDERMICO DE DISPOSITIVO INTRAUTERINO",IF(P15=CURSOS!$D$29,"SALUD MENTAL",IF(P15=CURSOS!$D$30,"PRIMEROS AUXILIOS PSICOLOGICOS",IF(P15=CURSOS!$D$31,"ATENCION A VICTIMAS POR CONFLICTO ARMADO",IF(P15=CURSOS!$D$32,"MANIPULACION DE ALIMENTOS Y BPM",IF(P15=CURSOS!$D$33,"ATENCION A PERSONAS CON DISCAPACIDAD",IF(P15=CURSOS!$D$34,"CUIDADO INTEGRAL DEL PACIENTE ADULTO",IF(P15=CURSOS!$D$35,"MANEJO DEFENSIVO",IF(P15=CURSOS!$D$36,"SOPORTE CARDIOVASCULAR AVANZADO NEONATAL",IF(P15=CURSOS!$D$37,"SEGURIDAD DEL PACIENTE",IF(P15=CURSOS!$D$38,"MANEJO DE RESIDUOS HOSPITALARIOS",IF(P15=CURSOS!$D$39,"ATENCION DE PACIENTE POR CONSUMO SUSTANCIAS PSICOACTIVAS Y ADICCIONES")))))))))))))))))))))))))))))))))))))</f>
        <v>IMPLANTE SUBDERMICO DE DISPOSITIVO INTRAUTERINO</v>
      </c>
      <c r="W15" s="62" t="str">
        <f t="shared" si="3"/>
        <v>Carmela Del pilar Del castillo Goyez</v>
      </c>
      <c r="X15" s="62" t="str">
        <f t="shared" si="4"/>
        <v>Carmela Del Pilar Del Castillo Goyez</v>
      </c>
      <c r="Y15" s="62" t="str">
        <f t="shared" si="5"/>
        <v>Carmela Del Pilar Del Castillo Goyez-59815992-IMPLANTE</v>
      </c>
      <c r="Z15" s="72"/>
    </row>
    <row r="16" spans="1:26" s="57" customFormat="1" x14ac:dyDescent="0.2">
      <c r="A16" s="58">
        <v>15</v>
      </c>
      <c r="B16" s="59">
        <v>59815992</v>
      </c>
      <c r="C16" s="59" t="s">
        <v>226</v>
      </c>
      <c r="D16" s="59" t="s">
        <v>227</v>
      </c>
      <c r="E16" s="59" t="s">
        <v>228</v>
      </c>
      <c r="F16" s="59" t="s">
        <v>229</v>
      </c>
      <c r="G16" s="59">
        <v>30</v>
      </c>
      <c r="H16" s="59" t="s">
        <v>233</v>
      </c>
      <c r="I16" s="60" t="s">
        <v>115</v>
      </c>
      <c r="J16" s="60" t="s">
        <v>123</v>
      </c>
      <c r="K16" s="61">
        <v>45780</v>
      </c>
      <c r="L16" s="66">
        <v>30000</v>
      </c>
      <c r="M16" s="59" t="s">
        <v>103</v>
      </c>
      <c r="N16" s="59" t="s">
        <v>138</v>
      </c>
      <c r="O16" s="59" t="s">
        <v>116</v>
      </c>
      <c r="P16" s="59" t="s">
        <v>231</v>
      </c>
      <c r="Q16" s="60">
        <v>25625</v>
      </c>
      <c r="R16" s="59" t="s">
        <v>102</v>
      </c>
      <c r="S16" s="59" t="s">
        <v>201</v>
      </c>
      <c r="T16" s="64">
        <v>3165095970</v>
      </c>
      <c r="U16" s="59" t="s">
        <v>234</v>
      </c>
      <c r="V16" s="62" t="b">
        <f>IF(P16=CURSOS!$D$3,"DIPLOMADO EN ATENCION PRE-HOSPITALARIA",IF(P16=CURSOS!$D$4,"ACOMPAÑAMIENTO Y MANEJO DEL DUELO",IF(P16=CURSOS!$D$5,"ATENCION A VICTIMAS DE ATAQUE CON AGENTES QUIMICOS ",IF(P16=CURSOS!$D$6,"PRIMEROS AUXILIOS ",IF(P16=CURSOS!$D$7,"DIPLOMADO DE UNIDAD DE CUIDADOS INTENSIVOS (UCI)",IF(P16=CURSOS!$D$8,"MODELO DE ATENCION PARA EVENTOS EMERGENTES EN SALUD MENTAL (CODIGO VERDE)",IF(P16=CURSOS!$D$9,"HUMANIZACION EN EL SERVICIO DE LA SALUD Y BUENAS PRACTICAS EN PACIENTE ",IF(P16=CURSOS!$D$10,"CLINICA DE HERIDAS ",IF(P16=CURSOS!$D$11,"TOMA DE CITOLOGIA CERVICO VAGINAL ",IF(P16=CURSOS!$D$12,"SOPORTE CARDIOVASCULAR AVANZADO (ACLS) ",IF(P16=CURSOS!$D$13,"CAMILLERO ",IF(P16=CURSOS!$D$14,"TOMA DE MUESTRAS Y LABORATORIO ",IF(P16=CURSOS!$D$15,"SOPORTE VITAL BASICO (BLS)",IF(P16=CURSOS!$D$16,"ATENCION A VICTIMAS DE VIOLENCIA SEXUAL ",IF(P16=CURSOS!$D$17,"PROGRAMADO AMPLIADO DE INMUNIZACION (PAI - COVID 19)",IF(P16=CURSOS!$D$18,"ATENCION INTEGRAL EN ENFERMEDADES PREVALENTES EN PRIMERA INFANCIA (AIEPI)",IF(P16=CURSOS!$D$19,"ADMINISTRACION DE MEDICAMENTOS, INYECTOLOGIA  Y CANALIZACION ",IF(P16=CURSOS!$D$20,"OPERADOR DE VEHICULOS DE EMERGENCIA (OVE)",IF(P16=CURSOS!$D$21,"INSTITUCIONES AMIGAS DE LA MUJER Y LA INFANCIA (IAMI)",IF(P16=CURSOS!$D$22,"CUIDADO DEL DONANTE DE ORGANOS",IF(P16=CURSOS!$D$23,"ATENCION A VICTIMAS POR VIOLENCIA DE GENERO",IF(P16=CURSOS!$D$24,"IGUALDAD DE GENERO EN LA SALUD",IF(P16=CURSOS!$D$25,"BRIGADA DE EMERGENCIA",IF(P16=CURSOS!$D$26,"MANEJO DEL DOLOR Y CUIDADOS PALIATIVOS",IF(P16=CURSOS!$D$27,"TOMA DE MUESTRAS Y LABORATORIO POCT",IF(P16=CURSOS!$D$28,"IMPLANTE SUBDERMICO DE DISPOSITIVO INTRAUTERINO",IF(P16=CURSOS!$D$29,"SALUD MENTAL",IF(P16=CURSOS!$D$30,"PRIMEROS AUXILIOS PSICOLOGICOS",IF(P16=CURSOS!$D$31,"ATENCION A VICTIMAS POR CONFLICTO ARMADO",IF(P16=CURSOS!$D$32,"MANIPULACION DE ALIMENTOS Y BPM",IF(P16=CURSOS!$D$33,"ATENCION A PERSONAS CON DISCAPACIDAD",IF(P16=CURSOS!$D$34,"CUIDADO INTEGRAL DEL PACIENTE ADULTO",IF(P16=CURSOS!$D$35,"MANEJO DEFENSIVO",IF(P16=CURSOS!$D$36,"SOPORTE CARDIOVASCULAR AVANZADO NEONATAL",IF(P16=CURSOS!$D$37,"SEGURIDAD DEL PACIENTE",IF(P16=CURSOS!$D$38,"MANEJO DE RESIDUOS HOSPITALARIOS",IF(P16=CURSOS!$D$39,"ATENCION DE PACIENTE POR CONSUMO SUSTANCIAS PSICOACTIVAS Y ADICCIONES")))))))))))))))))))))))))))))))))))))</f>
        <v>0</v>
      </c>
      <c r="W16" s="62" t="str">
        <f t="shared" si="3"/>
        <v>Carmela Del pilar Del castillo Goyez</v>
      </c>
      <c r="X16" s="62" t="str">
        <f t="shared" si="4"/>
        <v>Carmela Del Pilar Del Castillo Goyez</v>
      </c>
      <c r="Y16" s="62" t="str">
        <f t="shared" si="5"/>
        <v>Carmela Del Pilar Del Castillo Goyez-59815992-BUENAS PRACTICAS</v>
      </c>
      <c r="Z16" s="72"/>
    </row>
    <row r="17" spans="1:26" s="57" customFormat="1" x14ac:dyDescent="0.2">
      <c r="A17" s="58">
        <v>16</v>
      </c>
      <c r="B17" s="59">
        <v>59815992</v>
      </c>
      <c r="C17" s="59" t="s">
        <v>226</v>
      </c>
      <c r="D17" s="59" t="s">
        <v>227</v>
      </c>
      <c r="E17" s="59" t="s">
        <v>228</v>
      </c>
      <c r="F17" s="59" t="s">
        <v>229</v>
      </c>
      <c r="G17" s="59">
        <v>29</v>
      </c>
      <c r="H17" s="59" t="s">
        <v>233</v>
      </c>
      <c r="I17" s="60" t="s">
        <v>115</v>
      </c>
      <c r="J17" s="60" t="s">
        <v>123</v>
      </c>
      <c r="K17" s="61">
        <v>45780</v>
      </c>
      <c r="L17" s="66">
        <v>30000</v>
      </c>
      <c r="M17" s="59" t="s">
        <v>103</v>
      </c>
      <c r="N17" s="59" t="s">
        <v>138</v>
      </c>
      <c r="O17" s="59" t="s">
        <v>116</v>
      </c>
      <c r="P17" s="59" t="s">
        <v>232</v>
      </c>
      <c r="Q17" s="60">
        <v>25625</v>
      </c>
      <c r="R17" s="59" t="s">
        <v>102</v>
      </c>
      <c r="S17" s="59" t="s">
        <v>201</v>
      </c>
      <c r="T17" s="64">
        <v>3165095970</v>
      </c>
      <c r="U17" s="59" t="s">
        <v>234</v>
      </c>
      <c r="V17" s="62" t="b">
        <f>IF(P17=CURSOS!$D$3,"DIPLOMADO EN ATENCION PRE-HOSPITALARIA",IF(P17=CURSOS!$D$4,"ACOMPAÑAMIENTO Y MANEJO DEL DUELO",IF(P17=CURSOS!$D$5,"ATENCION A VICTIMAS DE ATAQUE CON AGENTES QUIMICOS ",IF(P17=CURSOS!$D$6,"PRIMEROS AUXILIOS ",IF(P17=CURSOS!$D$7,"DIPLOMADO DE UNIDAD DE CUIDADOS INTENSIVOS (UCI)",IF(P17=CURSOS!$D$8,"MODELO DE ATENCION PARA EVENTOS EMERGENTES EN SALUD MENTAL (CODIGO VERDE)",IF(P17=CURSOS!$D$9,"HUMANIZACION EN EL SERVICIO DE LA SALUD Y BUENAS PRACTICAS EN PACIENTE ",IF(P17=CURSOS!$D$10,"CLINICA DE HERIDAS ",IF(P17=CURSOS!$D$11,"TOMA DE CITOLOGIA CERVICO VAGINAL ",IF(P17=CURSOS!$D$12,"SOPORTE CARDIOVASCULAR AVANZADO (ACLS) ",IF(P17=CURSOS!$D$13,"CAMILLERO ",IF(P17=CURSOS!$D$14,"TOMA DE MUESTRAS Y LABORATORIO ",IF(P17=CURSOS!$D$15,"SOPORTE VITAL BASICO (BLS)",IF(P17=CURSOS!$D$16,"ATENCION A VICTIMAS DE VIOLENCIA SEXUAL ",IF(P17=CURSOS!$D$17,"PROGRAMADO AMPLIADO DE INMUNIZACION (PAI - COVID 19)",IF(P17=CURSOS!$D$18,"ATENCION INTEGRAL EN ENFERMEDADES PREVALENTES EN PRIMERA INFANCIA (AIEPI)",IF(P17=CURSOS!$D$19,"ADMINISTRACION DE MEDICAMENTOS, INYECTOLOGIA  Y CANALIZACION ",IF(P17=CURSOS!$D$20,"OPERADOR DE VEHICULOS DE EMERGENCIA (OVE)",IF(P17=CURSOS!$D$21,"INSTITUCIONES AMIGAS DE LA MUJER Y LA INFANCIA (IAMI)",IF(P17=CURSOS!$D$22,"CUIDADO DEL DONANTE DE ORGANOS",IF(P17=CURSOS!$D$23,"ATENCION A VICTIMAS POR VIOLENCIA DE GENERO",IF(P17=CURSOS!$D$24,"IGUALDAD DE GENERO EN LA SALUD",IF(P17=CURSOS!$D$25,"BRIGADA DE EMERGENCIA",IF(P17=CURSOS!$D$26,"MANEJO DEL DOLOR Y CUIDADOS PALIATIVOS",IF(P17=CURSOS!$D$27,"TOMA DE MUESTRAS Y LABORATORIO POCT",IF(P17=CURSOS!$D$28,"IMPLANTE SUBDERMICO DE DISPOSITIVO INTRAUTERINO",IF(P17=CURSOS!$D$29,"SALUD MENTAL",IF(P17=CURSOS!$D$30,"PRIMEROS AUXILIOS PSICOLOGICOS",IF(P17=CURSOS!$D$31,"ATENCION A VICTIMAS POR CONFLICTO ARMADO",IF(P17=CURSOS!$D$32,"MANIPULACION DE ALIMENTOS Y BPM",IF(P17=CURSOS!$D$33,"ATENCION A PERSONAS CON DISCAPACIDAD",IF(P17=CURSOS!$D$34,"CUIDADO INTEGRAL DEL PACIENTE ADULTO",IF(P17=CURSOS!$D$35,"MANEJO DEFENSIVO",IF(P17=CURSOS!$D$36,"SOPORTE CARDIOVASCULAR AVANZADO NEONATAL",IF(P17=CURSOS!$D$37,"SEGURIDAD DEL PACIENTE",IF(P17=CURSOS!$D$38,"MANEJO DE RESIDUOS HOSPITALARIOS",IF(P17=CURSOS!$D$39,"ATENCION DE PACIENTE POR CONSUMO SUSTANCIAS PSICOACTIVAS Y ADICCIONES")))))))))))))))))))))))))))))))))))))</f>
        <v>0</v>
      </c>
      <c r="W17" s="62" t="str">
        <f t="shared" si="3"/>
        <v>Carmela Del pilar Del castillo Goyez</v>
      </c>
      <c r="X17" s="62" t="str">
        <f t="shared" si="4"/>
        <v>Carmela Del Pilar Del Castillo Goyez</v>
      </c>
      <c r="Y17" s="62" t="str">
        <f t="shared" si="5"/>
        <v>Carmela Del Pilar Del Castillo Goyez-59815992-TRIAGE</v>
      </c>
      <c r="Z17" s="72"/>
    </row>
    <row r="18" spans="1:26" s="57" customFormat="1" x14ac:dyDescent="0.2">
      <c r="A18" s="58">
        <v>17</v>
      </c>
      <c r="B18" s="59">
        <v>1085262318</v>
      </c>
      <c r="C18" s="59" t="s">
        <v>235</v>
      </c>
      <c r="D18" s="59" t="s">
        <v>236</v>
      </c>
      <c r="E18" s="59" t="s">
        <v>237</v>
      </c>
      <c r="F18" s="59" t="s">
        <v>238</v>
      </c>
      <c r="G18" s="59">
        <v>30</v>
      </c>
      <c r="H18" s="59" t="s">
        <v>233</v>
      </c>
      <c r="I18" s="60" t="s">
        <v>115</v>
      </c>
      <c r="J18" s="60" t="s">
        <v>240</v>
      </c>
      <c r="K18" s="61">
        <v>45782</v>
      </c>
      <c r="L18" s="66">
        <v>0</v>
      </c>
      <c r="M18" s="59" t="s">
        <v>224</v>
      </c>
      <c r="N18" s="59" t="s">
        <v>245</v>
      </c>
      <c r="O18" s="59" t="s">
        <v>116</v>
      </c>
      <c r="P18" s="59" t="s">
        <v>37</v>
      </c>
      <c r="Q18" s="60">
        <v>32066</v>
      </c>
      <c r="R18" s="59" t="s">
        <v>102</v>
      </c>
      <c r="S18" s="59" t="s">
        <v>215</v>
      </c>
      <c r="T18" s="69">
        <v>3164290181</v>
      </c>
      <c r="U18" s="59" t="s">
        <v>239</v>
      </c>
      <c r="V18" s="62" t="str">
        <f>IF(P18=CURSOS!$D$3,"DIPLOMADO EN ATENCION PRE-HOSPITALARIA",IF(P18=CURSOS!$D$4,"ACOMPAÑAMIENTO Y MANEJO DEL DUELO",IF(P18=CURSOS!$D$5,"ATENCION A VICTIMAS DE ATAQUE CON AGENTES QUIMICOS ",IF(P18=CURSOS!$D$6,"PRIMEROS AUXILIOS ",IF(P18=CURSOS!$D$7,"DIPLOMADO DE UNIDAD DE CUIDADOS INTENSIVOS (UCI)",IF(P18=CURSOS!$D$8,"MODELO DE ATENCION PARA EVENTOS EMERGENTES EN SALUD MENTAL (CODIGO VERDE)",IF(P18=CURSOS!$D$9,"HUMANIZACION EN EL SERVICIO DE LA SALUD Y BUENAS PRACTICAS EN PACIENTE ",IF(P18=CURSOS!$D$10,"CLINICA DE HERIDAS ",IF(P18=CURSOS!$D$11,"TOMA DE CITOLOGIA CERVICO VAGINAL ",IF(P18=CURSOS!$D$12,"SOPORTE CARDIOVASCULAR AVANZADO (ACLS) ",IF(P18=CURSOS!$D$13,"CAMILLERO ",IF(P18=CURSOS!$D$14,"TOMA DE MUESTRAS Y LABORATORIO ",IF(P18=CURSOS!$D$15,"SOPORTE VITAL BASICO (BLS)",IF(P18=CURSOS!$D$16,"ATENCION A VICTIMAS DE VIOLENCIA SEXUAL ",IF(P18=CURSOS!$D$17,"PROGRAMADO AMPLIADO DE INMUNIZACION (PAI - COVID 19)",IF(P18=CURSOS!$D$18,"ATENCION INTEGRAL EN ENFERMEDADES PREVALENTES EN PRIMERA INFANCIA (AIEPI)",IF(P18=CURSOS!$D$19,"ADMINISTRACION DE MEDICAMENTOS, INYECTOLOGIA  Y CANALIZACION ",IF(P18=CURSOS!$D$20,"OPERADOR DE VEHICULOS DE EMERGENCIA (OVE)",IF(P18=CURSOS!$D$21,"INSTITUCIONES AMIGAS DE LA MUJER Y LA INFANCIA (IAMI)",IF(P18=CURSOS!$D$22,"CUIDADO DEL DONANTE DE ORGANOS",IF(P18=CURSOS!$D$23,"ATENCION A VICTIMAS POR VIOLENCIA DE GENERO",IF(P18=CURSOS!$D$24,"IGUALDAD DE GENERO EN LA SALUD",IF(P18=CURSOS!$D$25,"BRIGADA DE EMERGENCIA",IF(P18=CURSOS!$D$26,"MANEJO DEL DOLOR Y CUIDADOS PALIATIVOS",IF(P18=CURSOS!$D$27,"TOMA DE MUESTRAS Y LABORATORIO POCT",IF(P18=CURSOS!$D$28,"IMPLANTE SUBDERMICO DE DISPOSITIVO INTRAUTERINO",IF(P18=CURSOS!$D$29,"SALUD MENTAL",IF(P18=CURSOS!$D$30,"PRIMEROS AUXILIOS PSICOLOGICOS",IF(P18=CURSOS!$D$31,"ATENCION A VICTIMAS POR CONFLICTO ARMADO",IF(P18=CURSOS!$D$32,"MANIPULACION DE ALIMENTOS Y BPM",IF(P18=CURSOS!$D$33,"ATENCION A PERSONAS CON DISCAPACIDAD",IF(P18=CURSOS!$D$34,"CUIDADO INTEGRAL DEL PACIENTE ADULTO",IF(P18=CURSOS!$D$35,"MANEJO DEFENSIVO",IF(P18=CURSOS!$D$36,"SOPORTE CARDIOVASCULAR AVANZADO NEONATAL",IF(P18=CURSOS!$D$37,"SEGURIDAD DEL PACIENTE",IF(P18=CURSOS!$D$38,"MANEJO DE RESIDUOS HOSPITALARIOS",IF(P18=CURSOS!$D$39,"ATENCION DE PACIENTE POR CONSUMO SUSTANCIAS PSICOACTIVAS Y ADICCIONES")))))))))))))))))))))))))))))))))))))</f>
        <v xml:space="preserve">SOPORTE CARDIOVASCULAR AVANZADO (ACLS) </v>
      </c>
      <c r="W18" s="62" t="str">
        <f t="shared" si="3"/>
        <v>Diana Melissa Apraez Alomia</v>
      </c>
      <c r="X18" s="62" t="str">
        <f t="shared" si="4"/>
        <v>Diana Melissa Apraez Alomia</v>
      </c>
      <c r="Y18" s="62" t="str">
        <f t="shared" si="5"/>
        <v>Diana Melissa Apraez Alomia-1085262318-ACLS</v>
      </c>
      <c r="Z18" s="72"/>
    </row>
    <row r="19" spans="1:26" s="57" customFormat="1" x14ac:dyDescent="0.2">
      <c r="A19" s="58">
        <v>18</v>
      </c>
      <c r="B19" s="59">
        <v>1085262318</v>
      </c>
      <c r="C19" s="59" t="s">
        <v>235</v>
      </c>
      <c r="D19" s="59" t="s">
        <v>236</v>
      </c>
      <c r="E19" s="59" t="s">
        <v>237</v>
      </c>
      <c r="F19" s="59" t="s">
        <v>238</v>
      </c>
      <c r="G19" s="59">
        <v>1</v>
      </c>
      <c r="H19" s="59" t="s">
        <v>200</v>
      </c>
      <c r="I19" s="60" t="s">
        <v>115</v>
      </c>
      <c r="J19" s="60" t="s">
        <v>240</v>
      </c>
      <c r="K19" s="61">
        <v>45782</v>
      </c>
      <c r="L19" s="66">
        <v>0</v>
      </c>
      <c r="M19" s="59" t="s">
        <v>224</v>
      </c>
      <c r="N19" s="59" t="s">
        <v>245</v>
      </c>
      <c r="O19" s="59" t="s">
        <v>116</v>
      </c>
      <c r="P19" s="59" t="s">
        <v>19</v>
      </c>
      <c r="Q19" s="60">
        <v>32066</v>
      </c>
      <c r="R19" s="59" t="s">
        <v>102</v>
      </c>
      <c r="S19" s="59" t="s">
        <v>215</v>
      </c>
      <c r="T19" s="69">
        <v>3164290181</v>
      </c>
      <c r="U19" s="59" t="s">
        <v>239</v>
      </c>
      <c r="V19" s="62" t="str">
        <f>IF(P19=CURSOS!$D$3,"DIPLOMADO EN ATENCION PRE-HOSPITALARIA",IF(P19=CURSOS!$D$4,"ACOMPAÑAMIENTO Y MANEJO DEL DUELO",IF(P19=CURSOS!$D$5,"ATENCION A VICTIMAS DE ATAQUE CON AGENTES QUIMICOS ",IF(P19=CURSOS!$D$6,"PRIMEROS AUXILIOS ",IF(P19=CURSOS!$D$7,"DIPLOMADO DE UNIDAD DE CUIDADOS INTENSIVOS (UCI)",IF(P19=CURSOS!$D$8,"MODELO DE ATENCION PARA EVENTOS EMERGENTES EN SALUD MENTAL (CODIGO VERDE)",IF(P19=CURSOS!$D$9,"HUMANIZACION EN EL SERVICIO DE LA SALUD Y BUENAS PRACTICAS EN PACIENTE ",IF(P19=CURSOS!$D$10,"CLINICA DE HERIDAS ",IF(P19=CURSOS!$D$11,"TOMA DE CITOLOGIA CERVICO VAGINAL ",IF(P19=CURSOS!$D$12,"SOPORTE CARDIOVASCULAR AVANZADO (ACLS) ",IF(P19=CURSOS!$D$13,"CAMILLERO ",IF(P19=CURSOS!$D$14,"TOMA DE MUESTRAS Y LABORATORIO ",IF(P19=CURSOS!$D$15,"SOPORTE VITAL BASICO (BLS)",IF(P19=CURSOS!$D$16,"ATENCION A VICTIMAS DE VIOLENCIA SEXUAL ",IF(P19=CURSOS!$D$17,"PROGRAMADO AMPLIADO DE INMUNIZACION (PAI - COVID 19)",IF(P19=CURSOS!$D$18,"ATENCION INTEGRAL EN ENFERMEDADES PREVALENTES EN PRIMERA INFANCIA (AIEPI)",IF(P19=CURSOS!$D$19,"ADMINISTRACION DE MEDICAMENTOS, INYECTOLOGIA  Y CANALIZACION ",IF(P19=CURSOS!$D$20,"OPERADOR DE VEHICULOS DE EMERGENCIA (OVE)",IF(P19=CURSOS!$D$21,"INSTITUCIONES AMIGAS DE LA MUJER Y LA INFANCIA (IAMI)",IF(P19=CURSOS!$D$22,"CUIDADO DEL DONANTE DE ORGANOS",IF(P19=CURSOS!$D$23,"ATENCION A VICTIMAS POR VIOLENCIA DE GENERO",IF(P19=CURSOS!$D$24,"IGUALDAD DE GENERO EN LA SALUD",IF(P19=CURSOS!$D$25,"BRIGADA DE EMERGENCIA",IF(P19=CURSOS!$D$26,"MANEJO DEL DOLOR Y CUIDADOS PALIATIVOS",IF(P19=CURSOS!$D$27,"TOMA DE MUESTRAS Y LABORATORIO POCT",IF(P19=CURSOS!$D$28,"IMPLANTE SUBDERMICO DE DISPOSITIVO INTRAUTERINO",IF(P19=CURSOS!$D$29,"SALUD MENTAL",IF(P19=CURSOS!$D$30,"PRIMEROS AUXILIOS PSICOLOGICOS",IF(P19=CURSOS!$D$31,"ATENCION A VICTIMAS POR CONFLICTO ARMADO",IF(P19=CURSOS!$D$32,"MANIPULACION DE ALIMENTOS Y BPM",IF(P19=CURSOS!$D$33,"ATENCION A PERSONAS CON DISCAPACIDAD",IF(P19=CURSOS!$D$34,"CUIDADO INTEGRAL DEL PACIENTE ADULTO",IF(P19=CURSOS!$D$35,"MANEJO DEFENSIVO",IF(P19=CURSOS!$D$36,"SOPORTE CARDIOVASCULAR AVANZADO NEONATAL",IF(P19=CURSOS!$D$37,"SEGURIDAD DEL PACIENTE",IF(P19=CURSOS!$D$38,"MANEJO DE RESIDUOS HOSPITALARIOS",IF(P19=CURSOS!$D$39,"ATENCION DE PACIENTE POR CONSUMO SUSTANCIAS PSICOACTIVAS Y ADICCIONES")))))))))))))))))))))))))))))))))))))</f>
        <v>SOPORTE VITAL BASICO (BLS)</v>
      </c>
      <c r="W19" s="62" t="str">
        <f t="shared" si="3"/>
        <v>Diana Melissa Apraez Alomia</v>
      </c>
      <c r="X19" s="62" t="str">
        <f t="shared" si="4"/>
        <v>Diana Melissa Apraez Alomia</v>
      </c>
      <c r="Y19" s="62" t="str">
        <f t="shared" si="5"/>
        <v>Diana Melissa Apraez Alomia-1085262318-BLS</v>
      </c>
      <c r="Z19" s="72"/>
    </row>
    <row r="20" spans="1:26" s="57" customFormat="1" x14ac:dyDescent="0.2">
      <c r="A20" s="58">
        <v>19</v>
      </c>
      <c r="B20" s="59">
        <v>1085262318</v>
      </c>
      <c r="C20" s="59" t="s">
        <v>235</v>
      </c>
      <c r="D20" s="59" t="s">
        <v>236</v>
      </c>
      <c r="E20" s="59" t="s">
        <v>237</v>
      </c>
      <c r="F20" s="59" t="s">
        <v>238</v>
      </c>
      <c r="G20" s="59">
        <v>3</v>
      </c>
      <c r="H20" s="59" t="s">
        <v>200</v>
      </c>
      <c r="I20" s="60" t="s">
        <v>115</v>
      </c>
      <c r="J20" s="60" t="s">
        <v>240</v>
      </c>
      <c r="K20" s="61">
        <v>45782</v>
      </c>
      <c r="L20" s="66">
        <v>0</v>
      </c>
      <c r="M20" s="59" t="s">
        <v>224</v>
      </c>
      <c r="N20" s="59" t="s">
        <v>245</v>
      </c>
      <c r="O20" s="59" t="s">
        <v>116</v>
      </c>
      <c r="P20" s="59" t="s">
        <v>32</v>
      </c>
      <c r="Q20" s="60">
        <v>32066</v>
      </c>
      <c r="R20" s="59" t="s">
        <v>102</v>
      </c>
      <c r="S20" s="59" t="s">
        <v>215</v>
      </c>
      <c r="T20" s="69">
        <v>3164290181</v>
      </c>
      <c r="U20" s="59" t="s">
        <v>239</v>
      </c>
      <c r="V20" s="62" t="str">
        <f>IF(P20=CURSOS!$D$3,"DIPLOMADO EN ATENCION PRE-HOSPITALARIA",IF(P20=CURSOS!$D$4,"ACOMPAÑAMIENTO Y MANEJO DEL DUELO",IF(P20=CURSOS!$D$5,"ATENCION A VICTIMAS DE ATAQUE CON AGENTES QUIMICOS ",IF(P20=CURSOS!$D$6,"PRIMEROS AUXILIOS ",IF(P20=CURSOS!$D$7,"DIPLOMADO DE UNIDAD DE CUIDADOS INTENSIVOS (UCI)",IF(P20=CURSOS!$D$8,"MODELO DE ATENCION PARA EVENTOS EMERGENTES EN SALUD MENTAL (CODIGO VERDE)",IF(P20=CURSOS!$D$9,"HUMANIZACION EN EL SERVICIO DE LA SALUD Y BUENAS PRACTICAS EN PACIENTE ",IF(P20=CURSOS!$D$10,"CLINICA DE HERIDAS ",IF(P20=CURSOS!$D$11,"TOMA DE CITOLOGIA CERVICO VAGINAL ",IF(P20=CURSOS!$D$12,"SOPORTE CARDIOVASCULAR AVANZADO (ACLS) ",IF(P20=CURSOS!$D$13,"CAMILLERO ",IF(P20=CURSOS!$D$14,"TOMA DE MUESTRAS Y LABORATORIO ",IF(P20=CURSOS!$D$15,"SOPORTE VITAL BASICO (BLS)",IF(P20=CURSOS!$D$16,"ATENCION A VICTIMAS DE VIOLENCIA SEXUAL ",IF(P20=CURSOS!$D$17,"PROGRAMADO AMPLIADO DE INMUNIZACION (PAI - COVID 19)",IF(P20=CURSOS!$D$18,"ATENCION INTEGRAL EN ENFERMEDADES PREVALENTES EN PRIMERA INFANCIA (AIEPI)",IF(P20=CURSOS!$D$19,"ADMINISTRACION DE MEDICAMENTOS, INYECTOLOGIA  Y CANALIZACION ",IF(P20=CURSOS!$D$20,"OPERADOR DE VEHICULOS DE EMERGENCIA (OVE)",IF(P20=CURSOS!$D$21,"INSTITUCIONES AMIGAS DE LA MUJER Y LA INFANCIA (IAMI)",IF(P20=CURSOS!$D$22,"CUIDADO DEL DONANTE DE ORGANOS",IF(P20=CURSOS!$D$23,"ATENCION A VICTIMAS POR VIOLENCIA DE GENERO",IF(P20=CURSOS!$D$24,"IGUALDAD DE GENERO EN LA SALUD",IF(P20=CURSOS!$D$25,"BRIGADA DE EMERGENCIA",IF(P20=CURSOS!$D$26,"MANEJO DEL DOLOR Y CUIDADOS PALIATIVOS",IF(P20=CURSOS!$D$27,"TOMA DE MUESTRAS Y LABORATORIO POCT",IF(P20=CURSOS!$D$28,"IMPLANTE SUBDERMICO DE DISPOSITIVO INTRAUTERINO",IF(P20=CURSOS!$D$29,"SALUD MENTAL",IF(P20=CURSOS!$D$30,"PRIMEROS AUXILIOS PSICOLOGICOS",IF(P20=CURSOS!$D$31,"ATENCION A VICTIMAS POR CONFLICTO ARMADO",IF(P20=CURSOS!$D$32,"MANIPULACION DE ALIMENTOS Y BPM",IF(P20=CURSOS!$D$33,"ATENCION A PERSONAS CON DISCAPACIDAD",IF(P20=CURSOS!$D$34,"CUIDADO INTEGRAL DEL PACIENTE ADULTO",IF(P20=CURSOS!$D$35,"MANEJO DEFENSIVO",IF(P20=CURSOS!$D$36,"SOPORTE CARDIOVASCULAR AVANZADO NEONATAL",IF(P20=CURSOS!$D$37,"SEGURIDAD DEL PACIENTE",IF(P20=CURSOS!$D$38,"MANEJO DE RESIDUOS HOSPITALARIOS",IF(P20=CURSOS!$D$39,"ATENCION DE PACIENTE POR CONSUMO SUSTANCIAS PSICOACTIVAS Y ADICCIONES")))))))))))))))))))))))))))))))))))))</f>
        <v xml:space="preserve">HUMANIZACION EN EL SERVICIO DE LA SALUD Y BUENAS PRACTICAS EN PACIENTE </v>
      </c>
      <c r="W20" s="62" t="str">
        <f t="shared" si="3"/>
        <v>Diana Melissa Apraez Alomia</v>
      </c>
      <c r="X20" s="62" t="str">
        <f t="shared" si="4"/>
        <v>Diana Melissa Apraez Alomia</v>
      </c>
      <c r="Y20" s="62" t="str">
        <f t="shared" si="5"/>
        <v>Diana Melissa Apraez Alomia-1085262318-HUMANIZACION</v>
      </c>
      <c r="Z20" s="72"/>
    </row>
    <row r="21" spans="1:26" s="57" customFormat="1" x14ac:dyDescent="0.2">
      <c r="A21" s="58">
        <v>20</v>
      </c>
      <c r="B21" s="59">
        <v>1085262318</v>
      </c>
      <c r="C21" s="59" t="s">
        <v>235</v>
      </c>
      <c r="D21" s="59" t="s">
        <v>236</v>
      </c>
      <c r="E21" s="59" t="s">
        <v>237</v>
      </c>
      <c r="F21" s="59" t="s">
        <v>238</v>
      </c>
      <c r="G21" s="59">
        <v>3</v>
      </c>
      <c r="H21" s="59" t="s">
        <v>200</v>
      </c>
      <c r="I21" s="60" t="s">
        <v>115</v>
      </c>
      <c r="J21" s="60" t="s">
        <v>240</v>
      </c>
      <c r="K21" s="61">
        <v>45782</v>
      </c>
      <c r="L21" s="66">
        <v>0</v>
      </c>
      <c r="M21" s="59" t="s">
        <v>224</v>
      </c>
      <c r="N21" s="59" t="s">
        <v>245</v>
      </c>
      <c r="O21" s="59" t="s">
        <v>116</v>
      </c>
      <c r="P21" s="59" t="s">
        <v>23</v>
      </c>
      <c r="Q21" s="60">
        <v>32066</v>
      </c>
      <c r="R21" s="59" t="s">
        <v>102</v>
      </c>
      <c r="S21" s="59" t="s">
        <v>215</v>
      </c>
      <c r="T21" s="69">
        <v>3164290181</v>
      </c>
      <c r="U21" s="59" t="s">
        <v>239</v>
      </c>
      <c r="V21" s="62" t="str">
        <f>IF(P21=CURSOS!$D$3,"DIPLOMADO EN ATENCION PRE-HOSPITALARIA",IF(P21=CURSOS!$D$4,"ACOMPAÑAMIENTO Y MANEJO DEL DUELO",IF(P21=CURSOS!$D$5,"ATENCION A VICTIMAS DE ATAQUE CON AGENTES QUIMICOS ",IF(P21=CURSOS!$D$6,"PRIMEROS AUXILIOS ",IF(P21=CURSOS!$D$7,"DIPLOMADO DE UNIDAD DE CUIDADOS INTENSIVOS (UCI)",IF(P21=CURSOS!$D$8,"MODELO DE ATENCION PARA EVENTOS EMERGENTES EN SALUD MENTAL (CODIGO VERDE)",IF(P21=CURSOS!$D$9,"HUMANIZACION EN EL SERVICIO DE LA SALUD Y BUENAS PRACTICAS EN PACIENTE ",IF(P21=CURSOS!$D$10,"CLINICA DE HERIDAS ",IF(P21=CURSOS!$D$11,"TOMA DE CITOLOGIA CERVICO VAGINAL ",IF(P21=CURSOS!$D$12,"SOPORTE CARDIOVASCULAR AVANZADO (ACLS) ",IF(P21=CURSOS!$D$13,"CAMILLERO ",IF(P21=CURSOS!$D$14,"TOMA DE MUESTRAS Y LABORATORIO ",IF(P21=CURSOS!$D$15,"SOPORTE VITAL BASICO (BLS)",IF(P21=CURSOS!$D$16,"ATENCION A VICTIMAS DE VIOLENCIA SEXUAL ",IF(P21=CURSOS!$D$17,"PROGRAMADO AMPLIADO DE INMUNIZACION (PAI - COVID 19)",IF(P21=CURSOS!$D$18,"ATENCION INTEGRAL EN ENFERMEDADES PREVALENTES EN PRIMERA INFANCIA (AIEPI)",IF(P21=CURSOS!$D$19,"ADMINISTRACION DE MEDICAMENTOS, INYECTOLOGIA  Y CANALIZACION ",IF(P21=CURSOS!$D$20,"OPERADOR DE VEHICULOS DE EMERGENCIA (OVE)",IF(P21=CURSOS!$D$21,"INSTITUCIONES AMIGAS DE LA MUJER Y LA INFANCIA (IAMI)",IF(P21=CURSOS!$D$22,"CUIDADO DEL DONANTE DE ORGANOS",IF(P21=CURSOS!$D$23,"ATENCION A VICTIMAS POR VIOLENCIA DE GENERO",IF(P21=CURSOS!$D$24,"IGUALDAD DE GENERO EN LA SALUD",IF(P21=CURSOS!$D$25,"BRIGADA DE EMERGENCIA",IF(P21=CURSOS!$D$26,"MANEJO DEL DOLOR Y CUIDADOS PALIATIVOS",IF(P21=CURSOS!$D$27,"TOMA DE MUESTRAS Y LABORATORIO POCT",IF(P21=CURSOS!$D$28,"IMPLANTE SUBDERMICO DE DISPOSITIVO INTRAUTERINO",IF(P21=CURSOS!$D$29,"SALUD MENTAL",IF(P21=CURSOS!$D$30,"PRIMEROS AUXILIOS PSICOLOGICOS",IF(P21=CURSOS!$D$31,"ATENCION A VICTIMAS POR CONFLICTO ARMADO",IF(P21=CURSOS!$D$32,"MANIPULACION DE ALIMENTOS Y BPM",IF(P21=CURSOS!$D$33,"ATENCION A PERSONAS CON DISCAPACIDAD",IF(P21=CURSOS!$D$34,"CUIDADO INTEGRAL DEL PACIENTE ADULTO",IF(P21=CURSOS!$D$35,"MANEJO DEFENSIVO",IF(P21=CURSOS!$D$36,"SOPORTE CARDIOVASCULAR AVANZADO NEONATAL",IF(P21=CURSOS!$D$37,"SEGURIDAD DEL PACIENTE",IF(P21=CURSOS!$D$38,"MANEJO DE RESIDUOS HOSPITALARIOS",IF(P21=CURSOS!$D$39,"ATENCION DE PACIENTE POR CONSUMO SUSTANCIAS PSICOACTIVAS Y ADICCIONES")))))))))))))))))))))))))))))))))))))</f>
        <v>ACOMPAÑAMIENTO Y MANEJO DEL DUELO</v>
      </c>
      <c r="W21" s="62" t="str">
        <f t="shared" si="3"/>
        <v>Diana Melissa Apraez Alomia</v>
      </c>
      <c r="X21" s="62" t="str">
        <f t="shared" si="4"/>
        <v>Diana Melissa Apraez Alomia</v>
      </c>
      <c r="Y21" s="62" t="str">
        <f t="shared" si="5"/>
        <v>Diana Melissa Apraez Alomia-1085262318-DUELO</v>
      </c>
      <c r="Z21" s="72"/>
    </row>
    <row r="22" spans="1:26" s="57" customFormat="1" x14ac:dyDescent="0.2">
      <c r="A22" s="58">
        <v>21</v>
      </c>
      <c r="B22" s="59">
        <v>1085262318</v>
      </c>
      <c r="C22" s="59" t="s">
        <v>235</v>
      </c>
      <c r="D22" s="59" t="s">
        <v>236</v>
      </c>
      <c r="E22" s="59" t="s">
        <v>237</v>
      </c>
      <c r="F22" s="59" t="s">
        <v>238</v>
      </c>
      <c r="G22" s="59">
        <v>4</v>
      </c>
      <c r="H22" s="59" t="s">
        <v>200</v>
      </c>
      <c r="I22" s="60" t="s">
        <v>115</v>
      </c>
      <c r="J22" s="60" t="s">
        <v>240</v>
      </c>
      <c r="K22" s="61">
        <v>45782</v>
      </c>
      <c r="L22" s="66">
        <v>0</v>
      </c>
      <c r="M22" s="59" t="s">
        <v>224</v>
      </c>
      <c r="N22" s="59" t="s">
        <v>245</v>
      </c>
      <c r="O22" s="59" t="s">
        <v>116</v>
      </c>
      <c r="P22" s="59" t="s">
        <v>25</v>
      </c>
      <c r="Q22" s="60">
        <v>32066</v>
      </c>
      <c r="R22" s="59" t="s">
        <v>102</v>
      </c>
      <c r="S22" s="59" t="s">
        <v>215</v>
      </c>
      <c r="T22" s="69">
        <v>3164290181</v>
      </c>
      <c r="U22" s="59" t="s">
        <v>239</v>
      </c>
      <c r="V22" s="62" t="str">
        <f>IF(P22=CURSOS!$D$3,"DIPLOMADO EN ATENCION PRE-HOSPITALARIA",IF(P22=CURSOS!$D$4,"ACOMPAÑAMIENTO Y MANEJO DEL DUELO",IF(P22=CURSOS!$D$5,"ATENCION A VICTIMAS DE ATAQUE CON AGENTES QUIMICOS ",IF(P22=CURSOS!$D$6,"PRIMEROS AUXILIOS ",IF(P22=CURSOS!$D$7,"DIPLOMADO DE UNIDAD DE CUIDADOS INTENSIVOS (UCI)",IF(P22=CURSOS!$D$8,"MODELO DE ATENCION PARA EVENTOS EMERGENTES EN SALUD MENTAL (CODIGO VERDE)",IF(P22=CURSOS!$D$9,"HUMANIZACION EN EL SERVICIO DE LA SALUD Y BUENAS PRACTICAS EN PACIENTE ",IF(P22=CURSOS!$D$10,"CLINICA DE HERIDAS ",IF(P22=CURSOS!$D$11,"TOMA DE CITOLOGIA CERVICO VAGINAL ",IF(P22=CURSOS!$D$12,"SOPORTE CARDIOVASCULAR AVANZADO (ACLS) ",IF(P22=CURSOS!$D$13,"CAMILLERO ",IF(P22=CURSOS!$D$14,"TOMA DE MUESTRAS Y LABORATORIO ",IF(P22=CURSOS!$D$15,"SOPORTE VITAL BASICO (BLS)",IF(P22=CURSOS!$D$16,"ATENCION A VICTIMAS DE VIOLENCIA SEXUAL ",IF(P22=CURSOS!$D$17,"PROGRAMADO AMPLIADO DE INMUNIZACION (PAI - COVID 19)",IF(P22=CURSOS!$D$18,"ATENCION INTEGRAL EN ENFERMEDADES PREVALENTES EN PRIMERA INFANCIA (AIEPI)",IF(P22=CURSOS!$D$19,"ADMINISTRACION DE MEDICAMENTOS, INYECTOLOGIA  Y CANALIZACION ",IF(P22=CURSOS!$D$20,"OPERADOR DE VEHICULOS DE EMERGENCIA (OVE)",IF(P22=CURSOS!$D$21,"INSTITUCIONES AMIGAS DE LA MUJER Y LA INFANCIA (IAMI)",IF(P22=CURSOS!$D$22,"CUIDADO DEL DONANTE DE ORGANOS",IF(P22=CURSOS!$D$23,"ATENCION A VICTIMAS POR VIOLENCIA DE GENERO",IF(P22=CURSOS!$D$24,"IGUALDAD DE GENERO EN LA SALUD",IF(P22=CURSOS!$D$25,"BRIGADA DE EMERGENCIA",IF(P22=CURSOS!$D$26,"MANEJO DEL DOLOR Y CUIDADOS PALIATIVOS",IF(P22=CURSOS!$D$27,"TOMA DE MUESTRAS Y LABORATORIO POCT",IF(P22=CURSOS!$D$28,"IMPLANTE SUBDERMICO DE DISPOSITIVO INTRAUTERINO",IF(P22=CURSOS!$D$29,"SALUD MENTAL",IF(P22=CURSOS!$D$30,"PRIMEROS AUXILIOS PSICOLOGICOS",IF(P22=CURSOS!$D$31,"ATENCION A VICTIMAS POR CONFLICTO ARMADO",IF(P22=CURSOS!$D$32,"MANIPULACION DE ALIMENTOS Y BPM",IF(P22=CURSOS!$D$33,"ATENCION A PERSONAS CON DISCAPACIDAD",IF(P22=CURSOS!$D$34,"CUIDADO INTEGRAL DEL PACIENTE ADULTO",IF(P22=CURSOS!$D$35,"MANEJO DEFENSIVO",IF(P22=CURSOS!$D$36,"SOPORTE CARDIOVASCULAR AVANZADO NEONATAL",IF(P22=CURSOS!$D$37,"SEGURIDAD DEL PACIENTE",IF(P22=CURSOS!$D$38,"MANEJO DE RESIDUOS HOSPITALARIOS",IF(P22=CURSOS!$D$39,"ATENCION DE PACIENTE POR CONSUMO SUSTANCIAS PSICOACTIVAS Y ADICCIONES")))))))))))))))))))))))))))))))))))))</f>
        <v xml:space="preserve">ATENCION A VICTIMAS DE ATAQUE CON AGENTES QUIMICOS </v>
      </c>
      <c r="W22" s="62" t="str">
        <f t="shared" si="3"/>
        <v>Diana Melissa Apraez Alomia</v>
      </c>
      <c r="X22" s="62" t="str">
        <f t="shared" si="4"/>
        <v>Diana Melissa Apraez Alomia</v>
      </c>
      <c r="Y22" s="62" t="str">
        <f t="shared" si="5"/>
        <v>Diana Melissa Apraez Alomia-1085262318-QUIMICOS</v>
      </c>
      <c r="Z22" s="72"/>
    </row>
    <row r="23" spans="1:26" s="57" customFormat="1" x14ac:dyDescent="0.2">
      <c r="A23" s="58">
        <v>22</v>
      </c>
      <c r="B23" s="59">
        <v>1085262318</v>
      </c>
      <c r="C23" s="59" t="s">
        <v>235</v>
      </c>
      <c r="D23" s="59" t="s">
        <v>236</v>
      </c>
      <c r="E23" s="59" t="s">
        <v>237</v>
      </c>
      <c r="F23" s="59" t="s">
        <v>238</v>
      </c>
      <c r="G23" s="59">
        <v>4</v>
      </c>
      <c r="H23" s="59" t="s">
        <v>200</v>
      </c>
      <c r="I23" s="60" t="s">
        <v>115</v>
      </c>
      <c r="J23" s="60" t="s">
        <v>240</v>
      </c>
      <c r="K23" s="61">
        <v>45782</v>
      </c>
      <c r="L23" s="66">
        <v>0</v>
      </c>
      <c r="M23" s="59" t="s">
        <v>224</v>
      </c>
      <c r="N23" s="59" t="s">
        <v>245</v>
      </c>
      <c r="O23" s="59" t="s">
        <v>116</v>
      </c>
      <c r="P23" s="59" t="s">
        <v>42</v>
      </c>
      <c r="Q23" s="60">
        <v>32066</v>
      </c>
      <c r="R23" s="59" t="s">
        <v>102</v>
      </c>
      <c r="S23" s="59" t="s">
        <v>215</v>
      </c>
      <c r="T23" s="69">
        <v>3164290181</v>
      </c>
      <c r="U23" s="59" t="s">
        <v>239</v>
      </c>
      <c r="V23" s="62" t="str">
        <f>IF(P23=CURSOS!$D$3,"DIPLOMADO EN ATENCION PRE-HOSPITALARIA",IF(P23=CURSOS!$D$4,"ACOMPAÑAMIENTO Y MANEJO DEL DUELO",IF(P23=CURSOS!$D$5,"ATENCION A VICTIMAS DE ATAQUE CON AGENTES QUIMICOS ",IF(P23=CURSOS!$D$6,"PRIMEROS AUXILIOS ",IF(P23=CURSOS!$D$7,"DIPLOMADO DE UNIDAD DE CUIDADOS INTENSIVOS (UCI)",IF(P23=CURSOS!$D$8,"MODELO DE ATENCION PARA EVENTOS EMERGENTES EN SALUD MENTAL (CODIGO VERDE)",IF(P23=CURSOS!$D$9,"HUMANIZACION EN EL SERVICIO DE LA SALUD Y BUENAS PRACTICAS EN PACIENTE ",IF(P23=CURSOS!$D$10,"CLINICA DE HERIDAS ",IF(P23=CURSOS!$D$11,"TOMA DE CITOLOGIA CERVICO VAGINAL ",IF(P23=CURSOS!$D$12,"SOPORTE CARDIOVASCULAR AVANZADO (ACLS) ",IF(P23=CURSOS!$D$13,"CAMILLERO ",IF(P23=CURSOS!$D$14,"TOMA DE MUESTRAS Y LABORATORIO ",IF(P23=CURSOS!$D$15,"SOPORTE VITAL BASICO (BLS)",IF(P23=CURSOS!$D$16,"ATENCION A VICTIMAS DE VIOLENCIA SEXUAL ",IF(P23=CURSOS!$D$17,"PROGRAMADO AMPLIADO DE INMUNIZACION (PAI - COVID 19)",IF(P23=CURSOS!$D$18,"ATENCION INTEGRAL EN ENFERMEDADES PREVALENTES EN PRIMERA INFANCIA (AIEPI)",IF(P23=CURSOS!$D$19,"ADMINISTRACION DE MEDICAMENTOS, INYECTOLOGIA  Y CANALIZACION ",IF(P23=CURSOS!$D$20,"OPERADOR DE VEHICULOS DE EMERGENCIA (OVE)",IF(P23=CURSOS!$D$21,"INSTITUCIONES AMIGAS DE LA MUJER Y LA INFANCIA (IAMI)",IF(P23=CURSOS!$D$22,"CUIDADO DEL DONANTE DE ORGANOS",IF(P23=CURSOS!$D$23,"ATENCION A VICTIMAS POR VIOLENCIA DE GENERO",IF(P23=CURSOS!$D$24,"IGUALDAD DE GENERO EN LA SALUD",IF(P23=CURSOS!$D$25,"BRIGADA DE EMERGENCIA",IF(P23=CURSOS!$D$26,"MANEJO DEL DOLOR Y CUIDADOS PALIATIVOS",IF(P23=CURSOS!$D$27,"TOMA DE MUESTRAS Y LABORATORIO POCT",IF(P23=CURSOS!$D$28,"IMPLANTE SUBDERMICO DE DISPOSITIVO INTRAUTERINO",IF(P23=CURSOS!$D$29,"SALUD MENTAL",IF(P23=CURSOS!$D$30,"PRIMEROS AUXILIOS PSICOLOGICOS",IF(P23=CURSOS!$D$31,"ATENCION A VICTIMAS POR CONFLICTO ARMADO",IF(P23=CURSOS!$D$32,"MANIPULACION DE ALIMENTOS Y BPM",IF(P23=CURSOS!$D$33,"ATENCION A PERSONAS CON DISCAPACIDAD",IF(P23=CURSOS!$D$34,"CUIDADO INTEGRAL DEL PACIENTE ADULTO",IF(P23=CURSOS!$D$35,"MANEJO DEFENSIVO",IF(P23=CURSOS!$D$36,"SOPORTE CARDIOVASCULAR AVANZADO NEONATAL",IF(P23=CURSOS!$D$37,"SEGURIDAD DEL PACIENTE",IF(P23=CURSOS!$D$38,"MANEJO DE RESIDUOS HOSPITALARIOS",IF(P23=CURSOS!$D$39,"ATENCION DE PACIENTE POR CONSUMO SUSTANCIAS PSICOACTIVAS Y ADICCIONES")))))))))))))))))))))))))))))))))))))</f>
        <v xml:space="preserve">ATENCION A VICTIMAS DE VIOLENCIA SEXUAL </v>
      </c>
      <c r="W23" s="62" t="str">
        <f t="shared" si="3"/>
        <v>Diana Melissa Apraez Alomia</v>
      </c>
      <c r="X23" s="62" t="str">
        <f t="shared" si="4"/>
        <v>Diana Melissa Apraez Alomia</v>
      </c>
      <c r="Y23" s="62" t="str">
        <f t="shared" si="5"/>
        <v>Diana Melissa Apraez Alomia-1085262318-VIOLENCIA SEXUAL</v>
      </c>
      <c r="Z23" s="72"/>
    </row>
    <row r="24" spans="1:26" x14ac:dyDescent="0.2">
      <c r="A24" s="58">
        <v>23</v>
      </c>
      <c r="B24" s="59">
        <v>1085262318</v>
      </c>
      <c r="C24" s="59" t="s">
        <v>235</v>
      </c>
      <c r="D24" s="59" t="s">
        <v>236</v>
      </c>
      <c r="E24" s="59" t="s">
        <v>237</v>
      </c>
      <c r="F24" s="59" t="s">
        <v>238</v>
      </c>
      <c r="G24" s="59">
        <v>5</v>
      </c>
      <c r="H24" s="59" t="s">
        <v>200</v>
      </c>
      <c r="I24" s="60" t="s">
        <v>115</v>
      </c>
      <c r="J24" s="60" t="s">
        <v>240</v>
      </c>
      <c r="K24" s="61">
        <v>45782</v>
      </c>
      <c r="L24" s="66">
        <v>0</v>
      </c>
      <c r="M24" s="59" t="s">
        <v>224</v>
      </c>
      <c r="N24" s="59" t="s">
        <v>245</v>
      </c>
      <c r="O24" s="59" t="s">
        <v>116</v>
      </c>
      <c r="P24" s="59" t="s">
        <v>64</v>
      </c>
      <c r="Q24" s="60">
        <v>32066</v>
      </c>
      <c r="R24" s="59" t="s">
        <v>102</v>
      </c>
      <c r="S24" s="59" t="s">
        <v>215</v>
      </c>
      <c r="T24" s="69">
        <v>3164290181</v>
      </c>
      <c r="U24" s="59" t="s">
        <v>239</v>
      </c>
      <c r="V24" s="62" t="str">
        <f>IF(P24=CURSOS!$D$3,"DIPLOMADO EN ATENCION PRE-HOSPITALARIA",IF(P24=CURSOS!$D$4,"ACOMPAÑAMIENTO Y MANEJO DEL DUELO",IF(P24=CURSOS!$D$5,"ATENCION A VICTIMAS DE ATAQUE CON AGENTES QUIMICOS ",IF(P24=CURSOS!$D$6,"PRIMEROS AUXILIOS ",IF(P24=CURSOS!$D$7,"DIPLOMADO DE UNIDAD DE CUIDADOS INTENSIVOS (UCI)",IF(P24=CURSOS!$D$8,"MODELO DE ATENCION PARA EVENTOS EMERGENTES EN SALUD MENTAL (CODIGO VERDE)",IF(P24=CURSOS!$D$9,"HUMANIZACION EN EL SERVICIO DE LA SALUD Y BUENAS PRACTICAS EN PACIENTE ",IF(P24=CURSOS!$D$10,"CLINICA DE HERIDAS ",IF(P24=CURSOS!$D$11,"TOMA DE CITOLOGIA CERVICO VAGINAL ",IF(P24=CURSOS!$D$12,"SOPORTE CARDIOVASCULAR AVANZADO (ACLS) ",IF(P24=CURSOS!$D$13,"CAMILLERO ",IF(P24=CURSOS!$D$14,"TOMA DE MUESTRAS Y LABORATORIO ",IF(P24=CURSOS!$D$15,"SOPORTE VITAL BASICO (BLS)",IF(P24=CURSOS!$D$16,"ATENCION A VICTIMAS DE VIOLENCIA SEXUAL ",IF(P24=CURSOS!$D$17,"PROGRAMADO AMPLIADO DE INMUNIZACION (PAI - COVID 19)",IF(P24=CURSOS!$D$18,"ATENCION INTEGRAL EN ENFERMEDADES PREVALENTES EN PRIMERA INFANCIA (AIEPI)",IF(P24=CURSOS!$D$19,"ADMINISTRACION DE MEDICAMENTOS, INYECTOLOGIA  Y CANALIZACION ",IF(P24=CURSOS!$D$20,"OPERADOR DE VEHICULOS DE EMERGENCIA (OVE)",IF(P24=CURSOS!$D$21,"INSTITUCIONES AMIGAS DE LA MUJER Y LA INFANCIA (IAMI)",IF(P24=CURSOS!$D$22,"CUIDADO DEL DONANTE DE ORGANOS",IF(P24=CURSOS!$D$23,"ATENCION A VICTIMAS POR VIOLENCIA DE GENERO",IF(P24=CURSOS!$D$24,"IGUALDAD DE GENERO EN LA SALUD",IF(P24=CURSOS!$D$25,"BRIGADA DE EMERGENCIA",IF(P24=CURSOS!$D$26,"MANEJO DEL DOLOR Y CUIDADOS PALIATIVOS",IF(P24=CURSOS!$D$27,"TOMA DE MUESTRAS Y LABORATORIO POCT",IF(P24=CURSOS!$D$28,"IMPLANTE SUBDERMICO DE DISPOSITIVO INTRAUTERINO",IF(P24=CURSOS!$D$29,"SALUD MENTAL",IF(P24=CURSOS!$D$30,"PRIMEROS AUXILIOS PSICOLOGICOS",IF(P24=CURSOS!$D$31,"ATENCION A VICTIMAS POR CONFLICTO ARMADO",IF(P24=CURSOS!$D$32,"MANIPULACION DE ALIMENTOS Y BPM",IF(P24=CURSOS!$D$33,"ATENCION A PERSONAS CON DISCAPACIDAD",IF(P24=CURSOS!$D$34,"CUIDADO INTEGRAL DEL PACIENTE ADULTO",IF(P24=CURSOS!$D$35,"MANEJO DEFENSIVO",IF(P24=CURSOS!$D$36,"SOPORTE CARDIOVASCULAR AVANZADO NEONATAL",IF(P24=CURSOS!$D$37,"SEGURIDAD DEL PACIENTE",IF(P24=CURSOS!$D$38,"MANEJO DE RESIDUOS HOSPITALARIOS",IF(P24=CURSOS!$D$39,"ATENCION DE PACIENTE POR CONSUMO SUSTANCIAS PSICOACTIVAS Y ADICCIONES")))))))))))))))))))))))))))))))))))))</f>
        <v>ATENCION A VICTIMAS POR CONFLICTO ARMADO</v>
      </c>
      <c r="W24" s="62" t="str">
        <f t="shared" si="3"/>
        <v>Diana Melissa Apraez Alomia</v>
      </c>
      <c r="X24" s="62" t="str">
        <f t="shared" si="4"/>
        <v>Diana Melissa Apraez Alomia</v>
      </c>
      <c r="Y24" s="62" t="str">
        <f t="shared" si="5"/>
        <v>Diana Melissa Apraez Alomia-1085262318-CONFLICTO ARMADO</v>
      </c>
    </row>
    <row r="25" spans="1:26" x14ac:dyDescent="0.2">
      <c r="A25" s="58">
        <v>24</v>
      </c>
      <c r="B25" s="59">
        <v>1085262318</v>
      </c>
      <c r="C25" s="59" t="s">
        <v>235</v>
      </c>
      <c r="D25" s="59" t="s">
        <v>236</v>
      </c>
      <c r="E25" s="59" t="s">
        <v>237</v>
      </c>
      <c r="F25" s="59" t="s">
        <v>238</v>
      </c>
      <c r="G25" s="59">
        <v>5</v>
      </c>
      <c r="H25" s="59" t="s">
        <v>200</v>
      </c>
      <c r="I25" s="60" t="s">
        <v>115</v>
      </c>
      <c r="J25" s="60" t="s">
        <v>240</v>
      </c>
      <c r="K25" s="61">
        <v>45782</v>
      </c>
      <c r="L25" s="66">
        <v>0</v>
      </c>
      <c r="M25" s="59" t="s">
        <v>224</v>
      </c>
      <c r="N25" s="59" t="s">
        <v>245</v>
      </c>
      <c r="O25" s="59" t="s">
        <v>116</v>
      </c>
      <c r="P25" s="59" t="s">
        <v>57</v>
      </c>
      <c r="Q25" s="60">
        <v>32066</v>
      </c>
      <c r="R25" s="59" t="s">
        <v>102</v>
      </c>
      <c r="S25" s="59" t="s">
        <v>215</v>
      </c>
      <c r="T25" s="69">
        <v>3164290181</v>
      </c>
      <c r="U25" s="59" t="s">
        <v>239</v>
      </c>
      <c r="V25" s="62" t="str">
        <f>IF(P25=CURSOS!$D$3,"DIPLOMADO EN ATENCION PRE-HOSPITALARIA",IF(P25=CURSOS!$D$4,"ACOMPAÑAMIENTO Y MANEJO DEL DUELO",IF(P25=CURSOS!$D$5,"ATENCION A VICTIMAS DE ATAQUE CON AGENTES QUIMICOS ",IF(P25=CURSOS!$D$6,"PRIMEROS AUXILIOS ",IF(P25=CURSOS!$D$7,"DIPLOMADO DE UNIDAD DE CUIDADOS INTENSIVOS (UCI)",IF(P25=CURSOS!$D$8,"MODELO DE ATENCION PARA EVENTOS EMERGENTES EN SALUD MENTAL (CODIGO VERDE)",IF(P25=CURSOS!$D$9,"HUMANIZACION EN EL SERVICIO DE LA SALUD Y BUENAS PRACTICAS EN PACIENTE ",IF(P25=CURSOS!$D$10,"CLINICA DE HERIDAS ",IF(P25=CURSOS!$D$11,"TOMA DE CITOLOGIA CERVICO VAGINAL ",IF(P25=CURSOS!$D$12,"SOPORTE CARDIOVASCULAR AVANZADO (ACLS) ",IF(P25=CURSOS!$D$13,"CAMILLERO ",IF(P25=CURSOS!$D$14,"TOMA DE MUESTRAS Y LABORATORIO ",IF(P25=CURSOS!$D$15,"SOPORTE VITAL BASICO (BLS)",IF(P25=CURSOS!$D$16,"ATENCION A VICTIMAS DE VIOLENCIA SEXUAL ",IF(P25=CURSOS!$D$17,"PROGRAMADO AMPLIADO DE INMUNIZACION (PAI - COVID 19)",IF(P25=CURSOS!$D$18,"ATENCION INTEGRAL EN ENFERMEDADES PREVALENTES EN PRIMERA INFANCIA (AIEPI)",IF(P25=CURSOS!$D$19,"ADMINISTRACION DE MEDICAMENTOS, INYECTOLOGIA  Y CANALIZACION ",IF(P25=CURSOS!$D$20,"OPERADOR DE VEHICULOS DE EMERGENCIA (OVE)",IF(P25=CURSOS!$D$21,"INSTITUCIONES AMIGAS DE LA MUJER Y LA INFANCIA (IAMI)",IF(P25=CURSOS!$D$22,"CUIDADO DEL DONANTE DE ORGANOS",IF(P25=CURSOS!$D$23,"ATENCION A VICTIMAS POR VIOLENCIA DE GENERO",IF(P25=CURSOS!$D$24,"IGUALDAD DE GENERO EN LA SALUD",IF(P25=CURSOS!$D$25,"BRIGADA DE EMERGENCIA",IF(P25=CURSOS!$D$26,"MANEJO DEL DOLOR Y CUIDADOS PALIATIVOS",IF(P25=CURSOS!$D$27,"TOMA DE MUESTRAS Y LABORATORIO POCT",IF(P25=CURSOS!$D$28,"IMPLANTE SUBDERMICO DE DISPOSITIVO INTRAUTERINO",IF(P25=CURSOS!$D$29,"SALUD MENTAL",IF(P25=CURSOS!$D$30,"PRIMEROS AUXILIOS PSICOLOGICOS",IF(P25=CURSOS!$D$31,"ATENCION A VICTIMAS POR CONFLICTO ARMADO",IF(P25=CURSOS!$D$32,"MANIPULACION DE ALIMENTOS Y BPM",IF(P25=CURSOS!$D$33,"ATENCION A PERSONAS CON DISCAPACIDAD",IF(P25=CURSOS!$D$34,"CUIDADO INTEGRAL DEL PACIENTE ADULTO",IF(P25=CURSOS!$D$35,"MANEJO DEFENSIVO",IF(P25=CURSOS!$D$36,"SOPORTE CARDIOVASCULAR AVANZADO NEONATAL",IF(P25=CURSOS!$D$37,"SEGURIDAD DEL PACIENTE",IF(P25=CURSOS!$D$38,"MANEJO DE RESIDUOS HOSPITALARIOS",IF(P25=CURSOS!$D$39,"ATENCION DE PACIENTE POR CONSUMO SUSTANCIAS PSICOACTIVAS Y ADICCIONES")))))))))))))))))))))))))))))))))))))</f>
        <v>MANEJO DEL DOLOR Y CUIDADOS PALIATIVOS</v>
      </c>
      <c r="W25" s="62" t="str">
        <f t="shared" si="3"/>
        <v>Diana Melissa Apraez Alomia</v>
      </c>
      <c r="X25" s="62" t="str">
        <f t="shared" si="4"/>
        <v>Diana Melissa Apraez Alomia</v>
      </c>
      <c r="Y25" s="62" t="str">
        <f t="shared" si="5"/>
        <v>Diana Melissa Apraez Alomia-1085262318-PALIATIVOS</v>
      </c>
    </row>
    <row r="26" spans="1:26" x14ac:dyDescent="0.2">
      <c r="A26" s="58">
        <v>25</v>
      </c>
      <c r="B26" s="59">
        <v>1233192581</v>
      </c>
      <c r="C26" s="59" t="s">
        <v>241</v>
      </c>
      <c r="D26" s="59" t="s">
        <v>242</v>
      </c>
      <c r="E26" s="59" t="s">
        <v>243</v>
      </c>
      <c r="F26" s="59" t="s">
        <v>244</v>
      </c>
      <c r="G26" s="59">
        <v>5</v>
      </c>
      <c r="H26" s="59" t="s">
        <v>200</v>
      </c>
      <c r="I26" s="60" t="s">
        <v>115</v>
      </c>
      <c r="J26" s="60" t="s">
        <v>123</v>
      </c>
      <c r="K26" s="61">
        <v>45782</v>
      </c>
      <c r="L26" s="66">
        <v>35000</v>
      </c>
      <c r="M26" s="59" t="s">
        <v>214</v>
      </c>
      <c r="N26" s="59" t="s">
        <v>138</v>
      </c>
      <c r="O26" s="59" t="s">
        <v>212</v>
      </c>
      <c r="P26" s="59" t="s">
        <v>48</v>
      </c>
      <c r="Q26" s="60">
        <v>36139</v>
      </c>
      <c r="R26" s="59" t="s">
        <v>124</v>
      </c>
      <c r="S26" s="64" t="s">
        <v>201</v>
      </c>
      <c r="T26" s="59">
        <v>3173277928</v>
      </c>
      <c r="U26" s="59" t="s">
        <v>246</v>
      </c>
      <c r="V26" s="62" t="str">
        <f>IF(P26=CURSOS!$D$3,"DIPLOMADO EN ATENCION PRE-HOSPITALARIA",IF(P26=CURSOS!$D$4,"ACOMPAÑAMIENTO Y MANEJO DEL DUELO",IF(P26=CURSOS!$D$5,"ATENCION A VICTIMAS DE ATAQUE CON AGENTES QUIMICOS ",IF(P26=CURSOS!$D$6,"PRIMEROS AUXILIOS ",IF(P26=CURSOS!$D$7,"DIPLOMADO DE UNIDAD DE CUIDADOS INTENSIVOS (UCI)",IF(P26=CURSOS!$D$8,"MODELO DE ATENCION PARA EVENTOS EMERGENTES EN SALUD MENTAL (CODIGO VERDE)",IF(P26=CURSOS!$D$9,"HUMANIZACION EN EL SERVICIO DE LA SALUD Y BUENAS PRACTICAS EN PACIENTE ",IF(P26=CURSOS!$D$10,"CLINICA DE HERIDAS ",IF(P26=CURSOS!$D$11,"TOMA DE CITOLOGIA CERVICO VAGINAL ",IF(P26=CURSOS!$D$12,"SOPORTE CARDIOVASCULAR AVANZADO (ACLS) ",IF(P26=CURSOS!$D$13,"CAMILLERO ",IF(P26=CURSOS!$D$14,"TOMA DE MUESTRAS Y LABORATORIO ",IF(P26=CURSOS!$D$15,"SOPORTE VITAL BASICO (BLS)",IF(P26=CURSOS!$D$16,"ATENCION A VICTIMAS DE VIOLENCIA SEXUAL ",IF(P26=CURSOS!$D$17,"PROGRAMADO AMPLIADO DE INMUNIZACION (PAI - COVID 19)",IF(P26=CURSOS!$D$18,"ATENCION INTEGRAL EN ENFERMEDADES PREVALENTES EN PRIMERA INFANCIA (AIEPI)",IF(P26=CURSOS!$D$19,"ADMINISTRACION DE MEDICAMENTOS, INYECTOLOGIA  Y CANALIZACION ",IF(P26=CURSOS!$D$20,"OPERADOR DE VEHICULOS DE EMERGENCIA (OVE)",IF(P26=CURSOS!$D$21,"INSTITUCIONES AMIGAS DE LA MUJER Y LA INFANCIA (IAMI)",IF(P26=CURSOS!$D$22,"CUIDADO DEL DONANTE DE ORGANOS",IF(P26=CURSOS!$D$23,"ATENCION A VICTIMAS POR VIOLENCIA DE GENERO",IF(P26=CURSOS!$D$24,"IGUALDAD DE GENERO EN LA SALUD",IF(P26=CURSOS!$D$25,"BRIGADA DE EMERGENCIA",IF(P26=CURSOS!$D$26,"MANEJO DEL DOLOR Y CUIDADOS PALIATIVOS",IF(P26=CURSOS!$D$27,"TOMA DE MUESTRAS Y LABORATORIO POCT",IF(P26=CURSOS!$D$28,"IMPLANTE SUBDERMICO DE DISPOSITIVO INTRAUTERINO",IF(P26=CURSOS!$D$29,"SALUD MENTAL",IF(P26=CURSOS!$D$30,"PRIMEROS AUXILIOS PSICOLOGICOS",IF(P26=CURSOS!$D$31,"ATENCION A VICTIMAS POR CONFLICTO ARMADO",IF(P26=CURSOS!$D$32,"MANIPULACION DE ALIMENTOS Y BPM",IF(P26=CURSOS!$D$33,"ATENCION A PERSONAS CON DISCAPACIDAD",IF(P26=CURSOS!$D$34,"CUIDADO INTEGRAL DEL PACIENTE ADULTO",IF(P26=CURSOS!$D$35,"MANEJO DEFENSIVO",IF(P26=CURSOS!$D$36,"SOPORTE CARDIOVASCULAR AVANZADO NEONATAL",IF(P26=CURSOS!$D$37,"SEGURIDAD DEL PACIENTE",IF(P26=CURSOS!$D$38,"MANEJO DE RESIDUOS HOSPITALARIOS",IF(P26=CURSOS!$D$39,"ATENCION DE PACIENTE POR CONSUMO SUSTANCIAS PSICOACTIVAS Y ADICCIONES")))))))))))))))))))))))))))))))))))))</f>
        <v>INSTITUCIONES AMIGAS DE LA MUJER Y LA INFANCIA (IAMI)</v>
      </c>
      <c r="W26" s="62" t="str">
        <f t="shared" si="3"/>
        <v>Juan Pablo Espinosa Parra</v>
      </c>
      <c r="X26" s="62" t="str">
        <f t="shared" si="4"/>
        <v>Juan Pablo Espinosa Parra</v>
      </c>
      <c r="Y26" s="62" t="str">
        <f t="shared" si="5"/>
        <v>Juan Pablo Espinosa Parra-1233192581-IAMI</v>
      </c>
    </row>
    <row r="27" spans="1:26" x14ac:dyDescent="0.2">
      <c r="A27" s="58">
        <v>26</v>
      </c>
      <c r="B27" s="59">
        <v>1233192581</v>
      </c>
      <c r="C27" s="59" t="s">
        <v>241</v>
      </c>
      <c r="D27" s="59" t="s">
        <v>242</v>
      </c>
      <c r="E27" s="59" t="s">
        <v>243</v>
      </c>
      <c r="F27" s="59" t="s">
        <v>244</v>
      </c>
      <c r="G27" s="59">
        <v>3</v>
      </c>
      <c r="H27" s="59" t="s">
        <v>200</v>
      </c>
      <c r="I27" s="60" t="s">
        <v>115</v>
      </c>
      <c r="J27" s="60" t="s">
        <v>123</v>
      </c>
      <c r="K27" s="61">
        <v>45782</v>
      </c>
      <c r="L27" s="66">
        <v>35000</v>
      </c>
      <c r="M27" s="59" t="s">
        <v>214</v>
      </c>
      <c r="N27" s="59" t="s">
        <v>138</v>
      </c>
      <c r="O27" s="59" t="s">
        <v>212</v>
      </c>
      <c r="P27" s="59" t="s">
        <v>44</v>
      </c>
      <c r="Q27" s="60">
        <v>36139</v>
      </c>
      <c r="R27" s="59" t="s">
        <v>124</v>
      </c>
      <c r="S27" s="64" t="s">
        <v>201</v>
      </c>
      <c r="T27" s="59">
        <v>3173277928</v>
      </c>
      <c r="U27" s="59" t="s">
        <v>246</v>
      </c>
      <c r="V27" s="62" t="str">
        <f>IF(P27=CURSOS!$D$3,"DIPLOMADO EN ATENCION PRE-HOSPITALARIA",IF(P27=CURSOS!$D$4,"ACOMPAÑAMIENTO Y MANEJO DEL DUELO",IF(P27=CURSOS!$D$5,"ATENCION A VICTIMAS DE ATAQUE CON AGENTES QUIMICOS ",IF(P27=CURSOS!$D$6,"PRIMEROS AUXILIOS ",IF(P27=CURSOS!$D$7,"DIPLOMADO DE UNIDAD DE CUIDADOS INTENSIVOS (UCI)",IF(P27=CURSOS!$D$8,"MODELO DE ATENCION PARA EVENTOS EMERGENTES EN SALUD MENTAL (CODIGO VERDE)",IF(P27=CURSOS!$D$9,"HUMANIZACION EN EL SERVICIO DE LA SALUD Y BUENAS PRACTICAS EN PACIENTE ",IF(P27=CURSOS!$D$10,"CLINICA DE HERIDAS ",IF(P27=CURSOS!$D$11,"TOMA DE CITOLOGIA CERVICO VAGINAL ",IF(P27=CURSOS!$D$12,"SOPORTE CARDIOVASCULAR AVANZADO (ACLS) ",IF(P27=CURSOS!$D$13,"CAMILLERO ",IF(P27=CURSOS!$D$14,"TOMA DE MUESTRAS Y LABORATORIO ",IF(P27=CURSOS!$D$15,"SOPORTE VITAL BASICO (BLS)",IF(P27=CURSOS!$D$16,"ATENCION A VICTIMAS DE VIOLENCIA SEXUAL ",IF(P27=CURSOS!$D$17,"PROGRAMADO AMPLIADO DE INMUNIZACION (PAI - COVID 19)",IF(P27=CURSOS!$D$18,"ATENCION INTEGRAL EN ENFERMEDADES PREVALENTES EN PRIMERA INFANCIA (AIEPI)",IF(P27=CURSOS!$D$19,"ADMINISTRACION DE MEDICAMENTOS, INYECTOLOGIA  Y CANALIZACION ",IF(P27=CURSOS!$D$20,"OPERADOR DE VEHICULOS DE EMERGENCIA (OVE)",IF(P27=CURSOS!$D$21,"INSTITUCIONES AMIGAS DE LA MUJER Y LA INFANCIA (IAMI)",IF(P27=CURSOS!$D$22,"CUIDADO DEL DONANTE DE ORGANOS",IF(P27=CURSOS!$D$23,"ATENCION A VICTIMAS POR VIOLENCIA DE GENERO",IF(P27=CURSOS!$D$24,"IGUALDAD DE GENERO EN LA SALUD",IF(P27=CURSOS!$D$25,"BRIGADA DE EMERGENCIA",IF(P27=CURSOS!$D$26,"MANEJO DEL DOLOR Y CUIDADOS PALIATIVOS",IF(P27=CURSOS!$D$27,"TOMA DE MUESTRAS Y LABORATORIO POCT",IF(P27=CURSOS!$D$28,"IMPLANTE SUBDERMICO DE DISPOSITIVO INTRAUTERINO",IF(P27=CURSOS!$D$29,"SALUD MENTAL",IF(P27=CURSOS!$D$30,"PRIMEROS AUXILIOS PSICOLOGICOS",IF(P27=CURSOS!$D$31,"ATENCION A VICTIMAS POR CONFLICTO ARMADO",IF(P27=CURSOS!$D$32,"MANIPULACION DE ALIMENTOS Y BPM",IF(P27=CURSOS!$D$33,"ATENCION A PERSONAS CON DISCAPACIDAD",IF(P27=CURSOS!$D$34,"CUIDADO INTEGRAL DEL PACIENTE ADULTO",IF(P27=CURSOS!$D$35,"MANEJO DEFENSIVO",IF(P27=CURSOS!$D$36,"SOPORTE CARDIOVASCULAR AVANZADO NEONATAL",IF(P27=CURSOS!$D$37,"SEGURIDAD DEL PACIENTE",IF(P27=CURSOS!$D$38,"MANEJO DE RESIDUOS HOSPITALARIOS",IF(P27=CURSOS!$D$39,"ATENCION DE PACIENTE POR CONSUMO SUSTANCIAS PSICOACTIVAS Y ADICCIONES")))))))))))))))))))))))))))))))))))))</f>
        <v>ATENCION INTEGRAL EN ENFERMEDADES PREVALENTES EN PRIMERA INFANCIA (AIEPI)</v>
      </c>
      <c r="W27" s="62" t="str">
        <f t="shared" si="3"/>
        <v>Juan Pablo Espinosa Parra</v>
      </c>
      <c r="X27" s="62" t="str">
        <f t="shared" si="4"/>
        <v>Juan Pablo Espinosa Parra</v>
      </c>
      <c r="Y27" s="62" t="str">
        <f t="shared" si="5"/>
        <v>Juan Pablo Espinosa Parra-1233192581-AIEPI</v>
      </c>
    </row>
    <row r="28" spans="1:26" x14ac:dyDescent="0.2">
      <c r="A28" s="58">
        <v>27</v>
      </c>
      <c r="B28" s="59">
        <v>27143975</v>
      </c>
      <c r="C28" s="63" t="s">
        <v>247</v>
      </c>
      <c r="D28" s="63" t="s">
        <v>106</v>
      </c>
      <c r="E28" s="63" t="s">
        <v>248</v>
      </c>
      <c r="F28" s="63" t="s">
        <v>249</v>
      </c>
      <c r="G28" s="63">
        <v>5</v>
      </c>
      <c r="H28" s="59" t="s">
        <v>200</v>
      </c>
      <c r="I28" s="60" t="s">
        <v>122</v>
      </c>
      <c r="J28" s="60" t="s">
        <v>258</v>
      </c>
      <c r="K28" s="61">
        <v>45782</v>
      </c>
      <c r="L28" s="66">
        <v>80000</v>
      </c>
      <c r="M28" s="59" t="s">
        <v>103</v>
      </c>
      <c r="N28" s="59" t="s">
        <v>138</v>
      </c>
      <c r="O28" s="59" t="s">
        <v>116</v>
      </c>
      <c r="P28" s="59" t="s">
        <v>32</v>
      </c>
      <c r="Q28" s="68">
        <v>28537</v>
      </c>
      <c r="R28" s="63" t="s">
        <v>102</v>
      </c>
      <c r="S28" s="63" t="s">
        <v>250</v>
      </c>
      <c r="T28" s="69">
        <v>3003259871</v>
      </c>
      <c r="U28" s="59" t="s">
        <v>251</v>
      </c>
      <c r="V28" s="62" t="str">
        <f>IF(P28=CURSOS!$D$3,"DIPLOMADO EN ATENCION PRE-HOSPITALARIA",IF(P28=CURSOS!$D$4,"ACOMPAÑAMIENTO Y MANEJO DEL DUELO",IF(P28=CURSOS!$D$5,"ATENCION A VICTIMAS DE ATAQUE CON AGENTES QUIMICOS ",IF(P28=CURSOS!$D$6,"PRIMEROS AUXILIOS ",IF(P28=CURSOS!$D$7,"DIPLOMADO DE UNIDAD DE CUIDADOS INTENSIVOS (UCI)",IF(P28=CURSOS!$D$8,"MODELO DE ATENCION PARA EVENTOS EMERGENTES EN SALUD MENTAL (CODIGO VERDE)",IF(P28=CURSOS!$D$9,"HUMANIZACION EN EL SERVICIO DE LA SALUD Y BUENAS PRACTICAS EN PACIENTE ",IF(P28=CURSOS!$D$10,"CLINICA DE HERIDAS ",IF(P28=CURSOS!$D$11,"TOMA DE CITOLOGIA CERVICO VAGINAL ",IF(P28=CURSOS!$D$12,"SOPORTE CARDIOVASCULAR AVANZADO (ACLS) ",IF(P28=CURSOS!$D$13,"CAMILLERO ",IF(P28=CURSOS!$D$14,"TOMA DE MUESTRAS Y LABORATORIO ",IF(P28=CURSOS!$D$15,"SOPORTE VITAL BASICO (BLS)",IF(P28=CURSOS!$D$16,"ATENCION A VICTIMAS DE VIOLENCIA SEXUAL ",IF(P28=CURSOS!$D$17,"PROGRAMADO AMPLIADO DE INMUNIZACION (PAI - COVID 19)",IF(P28=CURSOS!$D$18,"ATENCION INTEGRAL EN ENFERMEDADES PREVALENTES EN PRIMERA INFANCIA (AIEPI)",IF(P28=CURSOS!$D$19,"ADMINISTRACION DE MEDICAMENTOS, INYECTOLOGIA  Y CANALIZACION ",IF(P28=CURSOS!$D$20,"OPERADOR DE VEHICULOS DE EMERGENCIA (OVE)",IF(P28=CURSOS!$D$21,"INSTITUCIONES AMIGAS DE LA MUJER Y LA INFANCIA (IAMI)",IF(P28=CURSOS!$D$22,"CUIDADO DEL DONANTE DE ORGANOS",IF(P28=CURSOS!$D$23,"ATENCION A VICTIMAS POR VIOLENCIA DE GENERO",IF(P28=CURSOS!$D$24,"IGUALDAD DE GENERO EN LA SALUD",IF(P28=CURSOS!$D$25,"BRIGADA DE EMERGENCIA",IF(P28=CURSOS!$D$26,"MANEJO DEL DOLOR Y CUIDADOS PALIATIVOS",IF(P28=CURSOS!$D$27,"TOMA DE MUESTRAS Y LABORATORIO POCT",IF(P28=CURSOS!$D$28,"IMPLANTE SUBDERMICO DE DISPOSITIVO INTRAUTERINO",IF(P28=CURSOS!$D$29,"SALUD MENTAL",IF(P28=CURSOS!$D$30,"PRIMEROS AUXILIOS PSICOLOGICOS",IF(P28=CURSOS!$D$31,"ATENCION A VICTIMAS POR CONFLICTO ARMADO",IF(P28=CURSOS!$D$32,"MANIPULACION DE ALIMENTOS Y BPM",IF(P28=CURSOS!$D$33,"ATENCION A PERSONAS CON DISCAPACIDAD",IF(P28=CURSOS!$D$34,"CUIDADO INTEGRAL DEL PACIENTE ADULTO",IF(P28=CURSOS!$D$35,"MANEJO DEFENSIVO",IF(P28=CURSOS!$D$36,"SOPORTE CARDIOVASCULAR AVANZADO NEONATAL",IF(P28=CURSOS!$D$37,"SEGURIDAD DEL PACIENTE",IF(P28=CURSOS!$D$38,"MANEJO DE RESIDUOS HOSPITALARIOS",IF(P28=CURSOS!$D$39,"ATENCION DE PACIENTE POR CONSUMO SUSTANCIAS PSICOACTIVAS Y ADICCIONES")))))))))))))))))))))))))))))))))))))</f>
        <v xml:space="preserve">HUMANIZACION EN EL SERVICIO DE LA SALUD Y BUENAS PRACTICAS EN PACIENTE </v>
      </c>
      <c r="W28" s="62" t="str">
        <f t="shared" si="3"/>
        <v>Sylvia Alexandra Rengifo Muñoz</v>
      </c>
      <c r="X28" s="62" t="str">
        <f t="shared" si="4"/>
        <v>Sylvia Alexandra Rengifo Muñoz</v>
      </c>
      <c r="Y28" s="62" t="str">
        <f t="shared" si="5"/>
        <v>Sylvia Alexandra Rengifo Muñoz-27143975-HUMANIZACION</v>
      </c>
    </row>
    <row r="29" spans="1:26" x14ac:dyDescent="0.2">
      <c r="A29" s="58">
        <v>28</v>
      </c>
      <c r="B29" s="59">
        <v>1016071454</v>
      </c>
      <c r="C29" s="59" t="s">
        <v>252</v>
      </c>
      <c r="D29" s="59" t="s">
        <v>253</v>
      </c>
      <c r="E29" s="59" t="s">
        <v>254</v>
      </c>
      <c r="F29" s="59" t="s">
        <v>114</v>
      </c>
      <c r="G29" s="59">
        <v>5</v>
      </c>
      <c r="H29" s="59" t="s">
        <v>200</v>
      </c>
      <c r="I29" s="60" t="s">
        <v>240</v>
      </c>
      <c r="J29" s="60" t="s">
        <v>240</v>
      </c>
      <c r="K29" s="61">
        <v>45782</v>
      </c>
      <c r="L29" s="66">
        <v>25000</v>
      </c>
      <c r="M29" s="59" t="s">
        <v>103</v>
      </c>
      <c r="N29" s="59" t="s">
        <v>138</v>
      </c>
      <c r="O29" s="59" t="s">
        <v>255</v>
      </c>
      <c r="P29" s="59" t="s">
        <v>19</v>
      </c>
      <c r="Q29" s="60" t="s">
        <v>256</v>
      </c>
      <c r="R29" s="59" t="s">
        <v>102</v>
      </c>
      <c r="S29" s="64" t="s">
        <v>201</v>
      </c>
      <c r="T29" s="64">
        <v>3102604496</v>
      </c>
      <c r="U29" s="59" t="s">
        <v>257</v>
      </c>
      <c r="V29" s="62" t="str">
        <f>IF(P29=CURSOS!$D$3,"DIPLOMADO EN ATENCION PRE-HOSPITALARIA",IF(P29=CURSOS!$D$4,"ACOMPAÑAMIENTO Y MANEJO DEL DUELO",IF(P29=CURSOS!$D$5,"ATENCION A VICTIMAS DE ATAQUE CON AGENTES QUIMICOS ",IF(P29=CURSOS!$D$6,"PRIMEROS AUXILIOS ",IF(P29=CURSOS!$D$7,"DIPLOMADO DE UNIDAD DE CUIDADOS INTENSIVOS (UCI)",IF(P29=CURSOS!$D$8,"MODELO DE ATENCION PARA EVENTOS EMERGENTES EN SALUD MENTAL (CODIGO VERDE)",IF(P29=CURSOS!$D$9,"HUMANIZACION EN EL SERVICIO DE LA SALUD Y BUENAS PRACTICAS EN PACIENTE ",IF(P29=CURSOS!$D$10,"CLINICA DE HERIDAS ",IF(P29=CURSOS!$D$11,"TOMA DE CITOLOGIA CERVICO VAGINAL ",IF(P29=CURSOS!$D$12,"SOPORTE CARDIOVASCULAR AVANZADO (ACLS) ",IF(P29=CURSOS!$D$13,"CAMILLERO ",IF(P29=CURSOS!$D$14,"TOMA DE MUESTRAS Y LABORATORIO ",IF(P29=CURSOS!$D$15,"SOPORTE VITAL BASICO (BLS)",IF(P29=CURSOS!$D$16,"ATENCION A VICTIMAS DE VIOLENCIA SEXUAL ",IF(P29=CURSOS!$D$17,"PROGRAMADO AMPLIADO DE INMUNIZACION (PAI - COVID 19)",IF(P29=CURSOS!$D$18,"ATENCION INTEGRAL EN ENFERMEDADES PREVALENTES EN PRIMERA INFANCIA (AIEPI)",IF(P29=CURSOS!$D$19,"ADMINISTRACION DE MEDICAMENTOS, INYECTOLOGIA  Y CANALIZACION ",IF(P29=CURSOS!$D$20,"OPERADOR DE VEHICULOS DE EMERGENCIA (OVE)",IF(P29=CURSOS!$D$21,"INSTITUCIONES AMIGAS DE LA MUJER Y LA INFANCIA (IAMI)",IF(P29=CURSOS!$D$22,"CUIDADO DEL DONANTE DE ORGANOS",IF(P29=CURSOS!$D$23,"ATENCION A VICTIMAS POR VIOLENCIA DE GENERO",IF(P29=CURSOS!$D$24,"IGUALDAD DE GENERO EN LA SALUD",IF(P29=CURSOS!$D$25,"BRIGADA DE EMERGENCIA",IF(P29=CURSOS!$D$26,"MANEJO DEL DOLOR Y CUIDADOS PALIATIVOS",IF(P29=CURSOS!$D$27,"TOMA DE MUESTRAS Y LABORATORIO POCT",IF(P29=CURSOS!$D$28,"IMPLANTE SUBDERMICO DE DISPOSITIVO INTRAUTERINO",IF(P29=CURSOS!$D$29,"SALUD MENTAL",IF(P29=CURSOS!$D$30,"PRIMEROS AUXILIOS PSICOLOGICOS",IF(P29=CURSOS!$D$31,"ATENCION A VICTIMAS POR CONFLICTO ARMADO",IF(P29=CURSOS!$D$32,"MANIPULACION DE ALIMENTOS Y BPM",IF(P29=CURSOS!$D$33,"ATENCION A PERSONAS CON DISCAPACIDAD",IF(P29=CURSOS!$D$34,"CUIDADO INTEGRAL DEL PACIENTE ADULTO",IF(P29=CURSOS!$D$35,"MANEJO DEFENSIVO",IF(P29=CURSOS!$D$36,"SOPORTE CARDIOVASCULAR AVANZADO NEONATAL",IF(P29=CURSOS!$D$37,"SEGURIDAD DEL PACIENTE",IF(P29=CURSOS!$D$38,"MANEJO DE RESIDUOS HOSPITALARIOS",IF(P29=CURSOS!$D$39,"ATENCION DE PACIENTE POR CONSUMO SUSTANCIAS PSICOACTIVAS Y ADICCIONES")))))))))))))))))))))))))))))))))))))</f>
        <v>SOPORTE VITAL BASICO (BLS)</v>
      </c>
      <c r="W29" s="62" t="str">
        <f t="shared" si="3"/>
        <v>Angie Lizeth Herrera Hernandez</v>
      </c>
      <c r="X29" s="62" t="str">
        <f t="shared" si="4"/>
        <v>Angie Lizeth Herrera Hernandez</v>
      </c>
      <c r="Y29" s="62" t="str">
        <f t="shared" si="5"/>
        <v>Angie Lizeth Herrera Hernandez-1016071454-BLS</v>
      </c>
    </row>
    <row r="30" spans="1:26" x14ac:dyDescent="0.2">
      <c r="A30" s="58">
        <v>29</v>
      </c>
      <c r="B30" s="59">
        <v>1016071454</v>
      </c>
      <c r="C30" s="59" t="s">
        <v>252</v>
      </c>
      <c r="D30" s="59" t="s">
        <v>253</v>
      </c>
      <c r="E30" s="59" t="s">
        <v>254</v>
      </c>
      <c r="F30" s="59" t="s">
        <v>114</v>
      </c>
      <c r="G30" s="59">
        <v>3</v>
      </c>
      <c r="H30" s="59" t="s">
        <v>200</v>
      </c>
      <c r="I30" s="60" t="s">
        <v>240</v>
      </c>
      <c r="J30" s="60" t="s">
        <v>240</v>
      </c>
      <c r="K30" s="61">
        <v>45782</v>
      </c>
      <c r="L30" s="66">
        <v>25000</v>
      </c>
      <c r="M30" s="59" t="s">
        <v>103</v>
      </c>
      <c r="N30" s="59" t="s">
        <v>138</v>
      </c>
      <c r="O30" s="59" t="s">
        <v>255</v>
      </c>
      <c r="P30" s="59" t="s">
        <v>42</v>
      </c>
      <c r="Q30" s="60" t="s">
        <v>256</v>
      </c>
      <c r="R30" s="59" t="s">
        <v>102</v>
      </c>
      <c r="S30" s="64" t="s">
        <v>201</v>
      </c>
      <c r="T30" s="64">
        <v>3102604496</v>
      </c>
      <c r="U30" s="59" t="s">
        <v>257</v>
      </c>
      <c r="V30" s="62" t="str">
        <f>IF(P30=CURSOS!$D$3,"DIPLOMADO EN ATENCION PRE-HOSPITALARIA",IF(P30=CURSOS!$D$4,"ACOMPAÑAMIENTO Y MANEJO DEL DUELO",IF(P30=CURSOS!$D$5,"ATENCION A VICTIMAS DE ATAQUE CON AGENTES QUIMICOS ",IF(P30=CURSOS!$D$6,"PRIMEROS AUXILIOS ",IF(P30=CURSOS!$D$7,"DIPLOMADO DE UNIDAD DE CUIDADOS INTENSIVOS (UCI)",IF(P30=CURSOS!$D$8,"MODELO DE ATENCION PARA EVENTOS EMERGENTES EN SALUD MENTAL (CODIGO VERDE)",IF(P30=CURSOS!$D$9,"HUMANIZACION EN EL SERVICIO DE LA SALUD Y BUENAS PRACTICAS EN PACIENTE ",IF(P30=CURSOS!$D$10,"CLINICA DE HERIDAS ",IF(P30=CURSOS!$D$11,"TOMA DE CITOLOGIA CERVICO VAGINAL ",IF(P30=CURSOS!$D$12,"SOPORTE CARDIOVASCULAR AVANZADO (ACLS) ",IF(P30=CURSOS!$D$13,"CAMILLERO ",IF(P30=CURSOS!$D$14,"TOMA DE MUESTRAS Y LABORATORIO ",IF(P30=CURSOS!$D$15,"SOPORTE VITAL BASICO (BLS)",IF(P30=CURSOS!$D$16,"ATENCION A VICTIMAS DE VIOLENCIA SEXUAL ",IF(P30=CURSOS!$D$17,"PROGRAMADO AMPLIADO DE INMUNIZACION (PAI - COVID 19)",IF(P30=CURSOS!$D$18,"ATENCION INTEGRAL EN ENFERMEDADES PREVALENTES EN PRIMERA INFANCIA (AIEPI)",IF(P30=CURSOS!$D$19,"ADMINISTRACION DE MEDICAMENTOS, INYECTOLOGIA  Y CANALIZACION ",IF(P30=CURSOS!$D$20,"OPERADOR DE VEHICULOS DE EMERGENCIA (OVE)",IF(P30=CURSOS!$D$21,"INSTITUCIONES AMIGAS DE LA MUJER Y LA INFANCIA (IAMI)",IF(P30=CURSOS!$D$22,"CUIDADO DEL DONANTE DE ORGANOS",IF(P30=CURSOS!$D$23,"ATENCION A VICTIMAS POR VIOLENCIA DE GENERO",IF(P30=CURSOS!$D$24,"IGUALDAD DE GENERO EN LA SALUD",IF(P30=CURSOS!$D$25,"BRIGADA DE EMERGENCIA",IF(P30=CURSOS!$D$26,"MANEJO DEL DOLOR Y CUIDADOS PALIATIVOS",IF(P30=CURSOS!$D$27,"TOMA DE MUESTRAS Y LABORATORIO POCT",IF(P30=CURSOS!$D$28,"IMPLANTE SUBDERMICO DE DISPOSITIVO INTRAUTERINO",IF(P30=CURSOS!$D$29,"SALUD MENTAL",IF(P30=CURSOS!$D$30,"PRIMEROS AUXILIOS PSICOLOGICOS",IF(P30=CURSOS!$D$31,"ATENCION A VICTIMAS POR CONFLICTO ARMADO",IF(P30=CURSOS!$D$32,"MANIPULACION DE ALIMENTOS Y BPM",IF(P30=CURSOS!$D$33,"ATENCION A PERSONAS CON DISCAPACIDAD",IF(P30=CURSOS!$D$34,"CUIDADO INTEGRAL DEL PACIENTE ADULTO",IF(P30=CURSOS!$D$35,"MANEJO DEFENSIVO",IF(P30=CURSOS!$D$36,"SOPORTE CARDIOVASCULAR AVANZADO NEONATAL",IF(P30=CURSOS!$D$37,"SEGURIDAD DEL PACIENTE",IF(P30=CURSOS!$D$38,"MANEJO DE RESIDUOS HOSPITALARIOS",IF(P30=CURSOS!$D$39,"ATENCION DE PACIENTE POR CONSUMO SUSTANCIAS PSICOACTIVAS Y ADICCIONES")))))))))))))))))))))))))))))))))))))</f>
        <v xml:space="preserve">ATENCION A VICTIMAS DE VIOLENCIA SEXUAL </v>
      </c>
      <c r="W30" s="62" t="str">
        <f t="shared" si="3"/>
        <v>Angie Lizeth Herrera Hernandez</v>
      </c>
      <c r="X30" s="62" t="str">
        <f t="shared" si="4"/>
        <v>Angie Lizeth Herrera Hernandez</v>
      </c>
      <c r="Y30" s="62" t="str">
        <f t="shared" si="5"/>
        <v>Angie Lizeth Herrera Hernandez-1016071454-VIOLENCIA SEXUAL</v>
      </c>
    </row>
    <row r="31" spans="1:26" s="57" customFormat="1" x14ac:dyDescent="0.2">
      <c r="A31" s="58">
        <v>30</v>
      </c>
      <c r="B31" s="59">
        <v>1016071454</v>
      </c>
      <c r="C31" s="59" t="s">
        <v>252</v>
      </c>
      <c r="D31" s="59" t="s">
        <v>253</v>
      </c>
      <c r="E31" s="59" t="s">
        <v>254</v>
      </c>
      <c r="F31" s="59" t="s">
        <v>114</v>
      </c>
      <c r="G31" s="59">
        <v>2</v>
      </c>
      <c r="H31" s="59" t="s">
        <v>200</v>
      </c>
      <c r="I31" s="60" t="s">
        <v>240</v>
      </c>
      <c r="J31" s="60" t="s">
        <v>240</v>
      </c>
      <c r="K31" s="61">
        <v>45782</v>
      </c>
      <c r="L31" s="66">
        <v>25000</v>
      </c>
      <c r="M31" s="59" t="s">
        <v>103</v>
      </c>
      <c r="N31" s="59" t="s">
        <v>138</v>
      </c>
      <c r="O31" s="59" t="s">
        <v>255</v>
      </c>
      <c r="P31" s="59" t="s">
        <v>25</v>
      </c>
      <c r="Q31" s="60" t="s">
        <v>256</v>
      </c>
      <c r="R31" s="59" t="s">
        <v>102</v>
      </c>
      <c r="S31" s="64" t="s">
        <v>201</v>
      </c>
      <c r="T31" s="64">
        <v>3102604496</v>
      </c>
      <c r="U31" s="59" t="s">
        <v>257</v>
      </c>
      <c r="V31" s="62" t="str">
        <f>IF(P31=CURSOS!$D$3,"DIPLOMADO EN ATENCION PRE-HOSPITALARIA",IF(P31=CURSOS!$D$4,"ACOMPAÑAMIENTO Y MANEJO DEL DUELO",IF(P31=CURSOS!$D$5,"ATENCION A VICTIMAS DE ATAQUE CON AGENTES QUIMICOS ",IF(P31=CURSOS!$D$6,"PRIMEROS AUXILIOS ",IF(P31=CURSOS!$D$7,"DIPLOMADO DE UNIDAD DE CUIDADOS INTENSIVOS (UCI)",IF(P31=CURSOS!$D$8,"MODELO DE ATENCION PARA EVENTOS EMERGENTES EN SALUD MENTAL (CODIGO VERDE)",IF(P31=CURSOS!$D$9,"HUMANIZACION EN EL SERVICIO DE LA SALUD Y BUENAS PRACTICAS EN PACIENTE ",IF(P31=CURSOS!$D$10,"CLINICA DE HERIDAS ",IF(P31=CURSOS!$D$11,"TOMA DE CITOLOGIA CERVICO VAGINAL ",IF(P31=CURSOS!$D$12,"SOPORTE CARDIOVASCULAR AVANZADO (ACLS) ",IF(P31=CURSOS!$D$13,"CAMILLERO ",IF(P31=CURSOS!$D$14,"TOMA DE MUESTRAS Y LABORATORIO ",IF(P31=CURSOS!$D$15,"SOPORTE VITAL BASICO (BLS)",IF(P31=CURSOS!$D$16,"ATENCION A VICTIMAS DE VIOLENCIA SEXUAL ",IF(P31=CURSOS!$D$17,"PROGRAMADO AMPLIADO DE INMUNIZACION (PAI - COVID 19)",IF(P31=CURSOS!$D$18,"ATENCION INTEGRAL EN ENFERMEDADES PREVALENTES EN PRIMERA INFANCIA (AIEPI)",IF(P31=CURSOS!$D$19,"ADMINISTRACION DE MEDICAMENTOS, INYECTOLOGIA  Y CANALIZACION ",IF(P31=CURSOS!$D$20,"OPERADOR DE VEHICULOS DE EMERGENCIA (OVE)",IF(P31=CURSOS!$D$21,"INSTITUCIONES AMIGAS DE LA MUJER Y LA INFANCIA (IAMI)",IF(P31=CURSOS!$D$22,"CUIDADO DEL DONANTE DE ORGANOS",IF(P31=CURSOS!$D$23,"ATENCION A VICTIMAS POR VIOLENCIA DE GENERO",IF(P31=CURSOS!$D$24,"IGUALDAD DE GENERO EN LA SALUD",IF(P31=CURSOS!$D$25,"BRIGADA DE EMERGENCIA",IF(P31=CURSOS!$D$26,"MANEJO DEL DOLOR Y CUIDADOS PALIATIVOS",IF(P31=CURSOS!$D$27,"TOMA DE MUESTRAS Y LABORATORIO POCT",IF(P31=CURSOS!$D$28,"IMPLANTE SUBDERMICO DE DISPOSITIVO INTRAUTERINO",IF(P31=CURSOS!$D$29,"SALUD MENTAL",IF(P31=CURSOS!$D$30,"PRIMEROS AUXILIOS PSICOLOGICOS",IF(P31=CURSOS!$D$31,"ATENCION A VICTIMAS POR CONFLICTO ARMADO",IF(P31=CURSOS!$D$32,"MANIPULACION DE ALIMENTOS Y BPM",IF(P31=CURSOS!$D$33,"ATENCION A PERSONAS CON DISCAPACIDAD",IF(P31=CURSOS!$D$34,"CUIDADO INTEGRAL DEL PACIENTE ADULTO",IF(P31=CURSOS!$D$35,"MANEJO DEFENSIVO",IF(P31=CURSOS!$D$36,"SOPORTE CARDIOVASCULAR AVANZADO NEONATAL",IF(P31=CURSOS!$D$37,"SEGURIDAD DEL PACIENTE",IF(P31=CURSOS!$D$38,"MANEJO DE RESIDUOS HOSPITALARIOS",IF(P31=CURSOS!$D$39,"ATENCION DE PACIENTE POR CONSUMO SUSTANCIAS PSICOACTIVAS Y ADICCIONES")))))))))))))))))))))))))))))))))))))</f>
        <v xml:space="preserve">ATENCION A VICTIMAS DE ATAQUE CON AGENTES QUIMICOS </v>
      </c>
      <c r="W31" s="62" t="str">
        <f t="shared" si="3"/>
        <v>Angie Lizeth Herrera Hernandez</v>
      </c>
      <c r="X31" s="62" t="str">
        <f t="shared" si="4"/>
        <v>Angie Lizeth Herrera Hernandez</v>
      </c>
      <c r="Y31" s="62" t="str">
        <f t="shared" si="5"/>
        <v>Angie Lizeth Herrera Hernandez-1016071454-QUIMICOS</v>
      </c>
    </row>
    <row r="32" spans="1:26" s="57" customFormat="1" x14ac:dyDescent="0.2">
      <c r="A32" s="58">
        <v>31</v>
      </c>
      <c r="B32" s="59">
        <v>1016071454</v>
      </c>
      <c r="C32" s="59" t="s">
        <v>252</v>
      </c>
      <c r="D32" s="59" t="s">
        <v>253</v>
      </c>
      <c r="E32" s="59" t="s">
        <v>254</v>
      </c>
      <c r="F32" s="59" t="s">
        <v>114</v>
      </c>
      <c r="G32" s="59">
        <v>1</v>
      </c>
      <c r="H32" s="59" t="s">
        <v>200</v>
      </c>
      <c r="I32" s="60" t="s">
        <v>240</v>
      </c>
      <c r="J32" s="60" t="s">
        <v>240</v>
      </c>
      <c r="K32" s="61">
        <v>45782</v>
      </c>
      <c r="L32" s="66">
        <v>25000</v>
      </c>
      <c r="M32" s="59" t="s">
        <v>103</v>
      </c>
      <c r="N32" s="59" t="s">
        <v>138</v>
      </c>
      <c r="O32" s="59" t="s">
        <v>255</v>
      </c>
      <c r="P32" s="59" t="s">
        <v>23</v>
      </c>
      <c r="Q32" s="60" t="s">
        <v>256</v>
      </c>
      <c r="R32" s="59" t="s">
        <v>102</v>
      </c>
      <c r="S32" s="64" t="s">
        <v>201</v>
      </c>
      <c r="T32" s="64">
        <v>3102604496</v>
      </c>
      <c r="U32" s="59" t="s">
        <v>257</v>
      </c>
      <c r="V32" s="62" t="str">
        <f>IF(P32=CURSOS!$D$3,"DIPLOMADO EN ATENCION PRE-HOSPITALARIA",IF(P32=CURSOS!$D$4,"ACOMPAÑAMIENTO Y MANEJO DEL DUELO",IF(P32=CURSOS!$D$5,"ATENCION A VICTIMAS DE ATAQUE CON AGENTES QUIMICOS ",IF(P32=CURSOS!$D$6,"PRIMEROS AUXILIOS ",IF(P32=CURSOS!$D$7,"DIPLOMADO DE UNIDAD DE CUIDADOS INTENSIVOS (UCI)",IF(P32=CURSOS!$D$8,"MODELO DE ATENCION PARA EVENTOS EMERGENTES EN SALUD MENTAL (CODIGO VERDE)",IF(P32=CURSOS!$D$9,"HUMANIZACION EN EL SERVICIO DE LA SALUD Y BUENAS PRACTICAS EN PACIENTE ",IF(P32=CURSOS!$D$10,"CLINICA DE HERIDAS ",IF(P32=CURSOS!$D$11,"TOMA DE CITOLOGIA CERVICO VAGINAL ",IF(P32=CURSOS!$D$12,"SOPORTE CARDIOVASCULAR AVANZADO (ACLS) ",IF(P32=CURSOS!$D$13,"CAMILLERO ",IF(P32=CURSOS!$D$14,"TOMA DE MUESTRAS Y LABORATORIO ",IF(P32=CURSOS!$D$15,"SOPORTE VITAL BASICO (BLS)",IF(P32=CURSOS!$D$16,"ATENCION A VICTIMAS DE VIOLENCIA SEXUAL ",IF(P32=CURSOS!$D$17,"PROGRAMADO AMPLIADO DE INMUNIZACION (PAI - COVID 19)",IF(P32=CURSOS!$D$18,"ATENCION INTEGRAL EN ENFERMEDADES PREVALENTES EN PRIMERA INFANCIA (AIEPI)",IF(P32=CURSOS!$D$19,"ADMINISTRACION DE MEDICAMENTOS, INYECTOLOGIA  Y CANALIZACION ",IF(P32=CURSOS!$D$20,"OPERADOR DE VEHICULOS DE EMERGENCIA (OVE)",IF(P32=CURSOS!$D$21,"INSTITUCIONES AMIGAS DE LA MUJER Y LA INFANCIA (IAMI)",IF(P32=CURSOS!$D$22,"CUIDADO DEL DONANTE DE ORGANOS",IF(P32=CURSOS!$D$23,"ATENCION A VICTIMAS POR VIOLENCIA DE GENERO",IF(P32=CURSOS!$D$24,"IGUALDAD DE GENERO EN LA SALUD",IF(P32=CURSOS!$D$25,"BRIGADA DE EMERGENCIA",IF(P32=CURSOS!$D$26,"MANEJO DEL DOLOR Y CUIDADOS PALIATIVOS",IF(P32=CURSOS!$D$27,"TOMA DE MUESTRAS Y LABORATORIO POCT",IF(P32=CURSOS!$D$28,"IMPLANTE SUBDERMICO DE DISPOSITIVO INTRAUTERINO",IF(P32=CURSOS!$D$29,"SALUD MENTAL",IF(P32=CURSOS!$D$30,"PRIMEROS AUXILIOS PSICOLOGICOS",IF(P32=CURSOS!$D$31,"ATENCION A VICTIMAS POR CONFLICTO ARMADO",IF(P32=CURSOS!$D$32,"MANIPULACION DE ALIMENTOS Y BPM",IF(P32=CURSOS!$D$33,"ATENCION A PERSONAS CON DISCAPACIDAD",IF(P32=CURSOS!$D$34,"CUIDADO INTEGRAL DEL PACIENTE ADULTO",IF(P32=CURSOS!$D$35,"MANEJO DEFENSIVO",IF(P32=CURSOS!$D$36,"SOPORTE CARDIOVASCULAR AVANZADO NEONATAL",IF(P32=CURSOS!$D$37,"SEGURIDAD DEL PACIENTE",IF(P32=CURSOS!$D$38,"MANEJO DE RESIDUOS HOSPITALARIOS",IF(P32=CURSOS!$D$39,"ATENCION DE PACIENTE POR CONSUMO SUSTANCIAS PSICOACTIVAS Y ADICCIONES")))))))))))))))))))))))))))))))))))))</f>
        <v>ACOMPAÑAMIENTO Y MANEJO DEL DUELO</v>
      </c>
      <c r="W32" s="62" t="str">
        <f t="shared" si="3"/>
        <v>Angie Lizeth Herrera Hernandez</v>
      </c>
      <c r="X32" s="62" t="str">
        <f t="shared" si="4"/>
        <v>Angie Lizeth Herrera Hernandez</v>
      </c>
      <c r="Y32" s="62" t="str">
        <f t="shared" si="5"/>
        <v>Angie Lizeth Herrera Hernandez-1016071454-DUELO</v>
      </c>
    </row>
    <row r="33" spans="1:25" s="57" customFormat="1" x14ac:dyDescent="0.2">
      <c r="A33" s="58">
        <v>32</v>
      </c>
      <c r="B33" s="59">
        <v>1085305618</v>
      </c>
      <c r="C33" s="59" t="s">
        <v>259</v>
      </c>
      <c r="D33" s="59" t="s">
        <v>260</v>
      </c>
      <c r="E33" s="59" t="s">
        <v>261</v>
      </c>
      <c r="F33" s="59" t="s">
        <v>262</v>
      </c>
      <c r="G33" s="59">
        <v>6</v>
      </c>
      <c r="H33" s="59" t="s">
        <v>200</v>
      </c>
      <c r="I33" s="60" t="s">
        <v>115</v>
      </c>
      <c r="J33" s="60" t="s">
        <v>123</v>
      </c>
      <c r="K33" s="74">
        <v>45783</v>
      </c>
      <c r="L33" s="66">
        <v>100000</v>
      </c>
      <c r="M33" s="59" t="s">
        <v>214</v>
      </c>
      <c r="N33" s="59" t="s">
        <v>245</v>
      </c>
      <c r="O33" s="59" t="s">
        <v>212</v>
      </c>
      <c r="P33" s="59" t="s">
        <v>37</v>
      </c>
      <c r="Q33" s="61">
        <v>34131</v>
      </c>
      <c r="R33" s="59" t="s">
        <v>124</v>
      </c>
      <c r="S33" s="59" t="s">
        <v>129</v>
      </c>
      <c r="T33" s="64">
        <v>3224116259</v>
      </c>
      <c r="U33" s="59" t="s">
        <v>263</v>
      </c>
      <c r="V33" s="62" t="str">
        <f>IF(P33=CURSOS!$D$3,"DIPLOMADO EN ATENCION PRE-HOSPITALARIA",IF(P33=CURSOS!$D$4,"ACOMPAÑAMIENTO Y MANEJO DEL DUELO",IF(P33=CURSOS!$D$5,"ATENCION A VICTIMAS DE ATAQUE CON AGENTES QUIMICOS ",IF(P33=CURSOS!$D$6,"PRIMEROS AUXILIOS ",IF(P33=CURSOS!$D$7,"DIPLOMADO DE UNIDAD DE CUIDADOS INTENSIVOS (UCI)",IF(P33=CURSOS!$D$8,"MODELO DE ATENCION PARA EVENTOS EMERGENTES EN SALUD MENTAL (CODIGO VERDE)",IF(P33=CURSOS!$D$9,"HUMANIZACION EN EL SERVICIO DE LA SALUD Y BUENAS PRACTICAS EN PACIENTE ",IF(P33=CURSOS!$D$10,"CLINICA DE HERIDAS ",IF(P33=CURSOS!$D$11,"TOMA DE CITOLOGIA CERVICO VAGINAL ",IF(P33=CURSOS!$D$12,"SOPORTE CARDIOVASCULAR AVANZADO (ACLS) ",IF(P33=CURSOS!$D$13,"CAMILLERO ",IF(P33=CURSOS!$D$14,"TOMA DE MUESTRAS Y LABORATORIO ",IF(P33=CURSOS!$D$15,"SOPORTE VITAL BASICO (BLS)",IF(P33=CURSOS!$D$16,"ATENCION A VICTIMAS DE VIOLENCIA SEXUAL ",IF(P33=CURSOS!$D$17,"PROGRAMADO AMPLIADO DE INMUNIZACION (PAI - COVID 19)",IF(P33=CURSOS!$D$18,"ATENCION INTEGRAL EN ENFERMEDADES PREVALENTES EN PRIMERA INFANCIA (AIEPI)",IF(P33=CURSOS!$D$19,"ADMINISTRACION DE MEDICAMENTOS, INYECTOLOGIA  Y CANALIZACION ",IF(P33=CURSOS!$D$20,"OPERADOR DE VEHICULOS DE EMERGENCIA (OVE)",IF(P33=CURSOS!$D$21,"INSTITUCIONES AMIGAS DE LA MUJER Y LA INFANCIA (IAMI)",IF(P33=CURSOS!$D$22,"CUIDADO DEL DONANTE DE ORGANOS",IF(P33=CURSOS!$D$23,"ATENCION A VICTIMAS POR VIOLENCIA DE GENERO",IF(P33=CURSOS!$D$24,"IGUALDAD DE GENERO EN LA SALUD",IF(P33=CURSOS!$D$25,"BRIGADA DE EMERGENCIA",IF(P33=CURSOS!$D$26,"MANEJO DEL DOLOR Y CUIDADOS PALIATIVOS",IF(P33=CURSOS!$D$27,"TOMA DE MUESTRAS Y LABORATORIO POCT",IF(P33=CURSOS!$D$28,"IMPLANTE SUBDERMICO DE DISPOSITIVO INTRAUTERINO",IF(P33=CURSOS!$D$29,"SALUD MENTAL",IF(P33=CURSOS!$D$30,"PRIMEROS AUXILIOS PSICOLOGICOS",IF(P33=CURSOS!$D$31,"ATENCION A VICTIMAS POR CONFLICTO ARMADO",IF(P33=CURSOS!$D$32,"MANIPULACION DE ALIMENTOS Y BPM",IF(P33=CURSOS!$D$33,"ATENCION A PERSONAS CON DISCAPACIDAD",IF(P33=CURSOS!$D$34,"CUIDADO INTEGRAL DEL PACIENTE ADULTO",IF(P33=CURSOS!$D$35,"MANEJO DEFENSIVO",IF(P33=CURSOS!$D$36,"SOPORTE CARDIOVASCULAR AVANZADO NEONATAL",IF(P33=CURSOS!$D$37,"SEGURIDAD DEL PACIENTE",IF(P33=CURSOS!$D$38,"MANEJO DE RESIDUOS HOSPITALARIOS",IF(P33=CURSOS!$D$39,"ATENCION DE PACIENTE POR CONSUMO SUSTANCIAS PSICOACTIVAS Y ADICCIONES")))))))))))))))))))))))))))))))))))))</f>
        <v xml:space="preserve">SOPORTE CARDIOVASCULAR AVANZADO (ACLS) </v>
      </c>
      <c r="W33" s="62" t="str">
        <f t="shared" si="3"/>
        <v>Luis Rigoberto Mejia Guerrero</v>
      </c>
      <c r="X33" s="62" t="str">
        <f t="shared" si="4"/>
        <v>Luis Rigoberto Mejia Guerrero</v>
      </c>
      <c r="Y33" s="62" t="str">
        <f t="shared" si="5"/>
        <v>Luis Rigoberto Mejia Guerrero-1085305618-ACLS</v>
      </c>
    </row>
    <row r="34" spans="1:25" s="57" customFormat="1" x14ac:dyDescent="0.2">
      <c r="A34" s="58">
        <v>33</v>
      </c>
      <c r="B34" s="59">
        <v>1193036675</v>
      </c>
      <c r="C34" s="59" t="s">
        <v>217</v>
      </c>
      <c r="D34" s="59" t="s">
        <v>264</v>
      </c>
      <c r="E34" s="59" t="s">
        <v>265</v>
      </c>
      <c r="F34" s="59" t="s">
        <v>104</v>
      </c>
      <c r="G34" s="59">
        <v>6</v>
      </c>
      <c r="H34" s="59" t="s">
        <v>200</v>
      </c>
      <c r="I34" s="60" t="s">
        <v>122</v>
      </c>
      <c r="J34" s="60"/>
      <c r="K34" s="61">
        <v>45783</v>
      </c>
      <c r="L34" s="66">
        <v>64000</v>
      </c>
      <c r="M34" s="59" t="s">
        <v>268</v>
      </c>
      <c r="N34" s="59" t="s">
        <v>138</v>
      </c>
      <c r="O34" s="59" t="s">
        <v>116</v>
      </c>
      <c r="P34" s="59" t="s">
        <v>42</v>
      </c>
      <c r="Q34" s="60">
        <v>37242</v>
      </c>
      <c r="R34" s="59" t="s">
        <v>102</v>
      </c>
      <c r="S34" s="64" t="s">
        <v>266</v>
      </c>
      <c r="T34" s="59">
        <v>3116282392</v>
      </c>
      <c r="U34" s="59" t="s">
        <v>267</v>
      </c>
      <c r="V34" s="62" t="str">
        <f>IF(P34=CURSOS!$D$3,"DIPLOMADO EN ATENCION PRE-HOSPITALARIA",IF(P34=CURSOS!$D$4,"ACOMPAÑAMIENTO Y MANEJO DEL DUELO",IF(P34=CURSOS!$D$5,"ATENCION A VICTIMAS DE ATAQUE CON AGENTES QUIMICOS ",IF(P34=CURSOS!$D$6,"PRIMEROS AUXILIOS ",IF(P34=CURSOS!$D$7,"DIPLOMADO DE UNIDAD DE CUIDADOS INTENSIVOS (UCI)",IF(P34=CURSOS!$D$8,"MODELO DE ATENCION PARA EVENTOS EMERGENTES EN SALUD MENTAL (CODIGO VERDE)",IF(P34=CURSOS!$D$9,"HUMANIZACION EN EL SERVICIO DE LA SALUD Y BUENAS PRACTICAS EN PACIENTE ",IF(P34=CURSOS!$D$10,"CLINICA DE HERIDAS ",IF(P34=CURSOS!$D$11,"TOMA DE CITOLOGIA CERVICO VAGINAL ",IF(P34=CURSOS!$D$12,"SOPORTE CARDIOVASCULAR AVANZADO (ACLS) ",IF(P34=CURSOS!$D$13,"CAMILLERO ",IF(P34=CURSOS!$D$14,"TOMA DE MUESTRAS Y LABORATORIO ",IF(P34=CURSOS!$D$15,"SOPORTE VITAL BASICO (BLS)",IF(P34=CURSOS!$D$16,"ATENCION A VICTIMAS DE VIOLENCIA SEXUAL ",IF(P34=CURSOS!$D$17,"PROGRAMADO AMPLIADO DE INMUNIZACION (PAI - COVID 19)",IF(P34=CURSOS!$D$18,"ATENCION INTEGRAL EN ENFERMEDADES PREVALENTES EN PRIMERA INFANCIA (AIEPI)",IF(P34=CURSOS!$D$19,"ADMINISTRACION DE MEDICAMENTOS, INYECTOLOGIA  Y CANALIZACION ",IF(P34=CURSOS!$D$20,"OPERADOR DE VEHICULOS DE EMERGENCIA (OVE)",IF(P34=CURSOS!$D$21,"INSTITUCIONES AMIGAS DE LA MUJER Y LA INFANCIA (IAMI)",IF(P34=CURSOS!$D$22,"CUIDADO DEL DONANTE DE ORGANOS",IF(P34=CURSOS!$D$23,"ATENCION A VICTIMAS POR VIOLENCIA DE GENERO",IF(P34=CURSOS!$D$24,"IGUALDAD DE GENERO EN LA SALUD",IF(P34=CURSOS!$D$25,"BRIGADA DE EMERGENCIA",IF(P34=CURSOS!$D$26,"MANEJO DEL DOLOR Y CUIDADOS PALIATIVOS",IF(P34=CURSOS!$D$27,"TOMA DE MUESTRAS Y LABORATORIO POCT",IF(P34=CURSOS!$D$28,"IMPLANTE SUBDERMICO DE DISPOSITIVO INTRAUTERINO",IF(P34=CURSOS!$D$29,"SALUD MENTAL",IF(P34=CURSOS!$D$30,"PRIMEROS AUXILIOS PSICOLOGICOS",IF(P34=CURSOS!$D$31,"ATENCION A VICTIMAS POR CONFLICTO ARMADO",IF(P34=CURSOS!$D$32,"MANIPULACION DE ALIMENTOS Y BPM",IF(P34=CURSOS!$D$33,"ATENCION A PERSONAS CON DISCAPACIDAD",IF(P34=CURSOS!$D$34,"CUIDADO INTEGRAL DEL PACIENTE ADULTO",IF(P34=CURSOS!$D$35,"MANEJO DEFENSIVO",IF(P34=CURSOS!$D$36,"SOPORTE CARDIOVASCULAR AVANZADO NEONATAL",IF(P34=CURSOS!$D$37,"SEGURIDAD DEL PACIENTE",IF(P34=CURSOS!$D$38,"MANEJO DE RESIDUOS HOSPITALARIOS",IF(P34=CURSOS!$D$39,"ATENCION DE PACIENTE POR CONSUMO SUSTANCIAS PSICOACTIVAS Y ADICCIONES")))))))))))))))))))))))))))))))))))))</f>
        <v xml:space="preserve">ATENCION A VICTIMAS DE VIOLENCIA SEXUAL </v>
      </c>
      <c r="W34" s="62" t="str">
        <f t="shared" si="3"/>
        <v>Hary Tatiana Pantoja Ceron</v>
      </c>
      <c r="X34" s="62" t="str">
        <f t="shared" si="4"/>
        <v>Hary Tatiana Pantoja Ceron</v>
      </c>
      <c r="Y34" s="62" t="str">
        <f t="shared" si="5"/>
        <v>Hary Tatiana Pantoja Ceron-1193036675-VIOLENCIA SEXUAL</v>
      </c>
    </row>
    <row r="35" spans="1:25" s="57" customFormat="1" x14ac:dyDescent="0.2">
      <c r="A35" s="58">
        <v>34</v>
      </c>
      <c r="B35" s="59">
        <v>1088946257</v>
      </c>
      <c r="C35" s="59" t="s">
        <v>269</v>
      </c>
      <c r="D35" s="59" t="s">
        <v>270</v>
      </c>
      <c r="E35" s="59" t="s">
        <v>271</v>
      </c>
      <c r="F35" s="59" t="s">
        <v>237</v>
      </c>
      <c r="G35" s="59">
        <v>6</v>
      </c>
      <c r="H35" s="59" t="s">
        <v>200</v>
      </c>
      <c r="I35" s="97" t="s">
        <v>122</v>
      </c>
      <c r="J35" s="60"/>
      <c r="K35" s="61">
        <v>45783</v>
      </c>
      <c r="L35" s="66">
        <v>32000</v>
      </c>
      <c r="M35" s="59" t="s">
        <v>103</v>
      </c>
      <c r="N35" s="59" t="s">
        <v>138</v>
      </c>
      <c r="O35" s="59" t="s">
        <v>116</v>
      </c>
      <c r="P35" s="59" t="s">
        <v>19</v>
      </c>
      <c r="Q35" s="60">
        <v>33856</v>
      </c>
      <c r="R35" s="63" t="s">
        <v>102</v>
      </c>
      <c r="S35" s="59" t="s">
        <v>201</v>
      </c>
      <c r="T35" s="64">
        <v>3137541703</v>
      </c>
      <c r="U35" s="59" t="s">
        <v>272</v>
      </c>
      <c r="V35" s="62" t="str">
        <f>IF(P35=CURSOS!$D$3,"DIPLOMADO EN ATENCION PRE-HOSPITALARIA",IF(P35=CURSOS!$D$4,"ACOMPAÑAMIENTO Y MANEJO DEL DUELO",IF(P35=CURSOS!$D$5,"ATENCION A VICTIMAS DE ATAQUE CON AGENTES QUIMICOS ",IF(P35=CURSOS!$D$6,"PRIMEROS AUXILIOS ",IF(P35=CURSOS!$D$7,"DIPLOMADO DE UNIDAD DE CUIDADOS INTENSIVOS (UCI)",IF(P35=CURSOS!$D$8,"MODELO DE ATENCION PARA EVENTOS EMERGENTES EN SALUD MENTAL (CODIGO VERDE)",IF(P35=CURSOS!$D$9,"HUMANIZACION EN EL SERVICIO DE LA SALUD Y BUENAS PRACTICAS EN PACIENTE ",IF(P35=CURSOS!$D$10,"CLINICA DE HERIDAS ",IF(P35=CURSOS!$D$11,"TOMA DE CITOLOGIA CERVICO VAGINAL ",IF(P35=CURSOS!$D$12,"SOPORTE CARDIOVASCULAR AVANZADO (ACLS) ",IF(P35=CURSOS!$D$13,"CAMILLERO ",IF(P35=CURSOS!$D$14,"TOMA DE MUESTRAS Y LABORATORIO ",IF(P35=CURSOS!$D$15,"SOPORTE VITAL BASICO (BLS)",IF(P35=CURSOS!$D$16,"ATENCION A VICTIMAS DE VIOLENCIA SEXUAL ",IF(P35=CURSOS!$D$17,"PROGRAMADO AMPLIADO DE INMUNIZACION (PAI - COVID 19)",IF(P35=CURSOS!$D$18,"ATENCION INTEGRAL EN ENFERMEDADES PREVALENTES EN PRIMERA INFANCIA (AIEPI)",IF(P35=CURSOS!$D$19,"ADMINISTRACION DE MEDICAMENTOS, INYECTOLOGIA  Y CANALIZACION ",IF(P35=CURSOS!$D$20,"OPERADOR DE VEHICULOS DE EMERGENCIA (OVE)",IF(P35=CURSOS!$D$21,"INSTITUCIONES AMIGAS DE LA MUJER Y LA INFANCIA (IAMI)",IF(P35=CURSOS!$D$22,"CUIDADO DEL DONANTE DE ORGANOS",IF(P35=CURSOS!$D$23,"ATENCION A VICTIMAS POR VIOLENCIA DE GENERO",IF(P35=CURSOS!$D$24,"IGUALDAD DE GENERO EN LA SALUD",IF(P35=CURSOS!$D$25,"BRIGADA DE EMERGENCIA",IF(P35=CURSOS!$D$26,"MANEJO DEL DOLOR Y CUIDADOS PALIATIVOS",IF(P35=CURSOS!$D$27,"TOMA DE MUESTRAS Y LABORATORIO POCT",IF(P35=CURSOS!$D$28,"IMPLANTE SUBDERMICO DE DISPOSITIVO INTRAUTERINO",IF(P35=CURSOS!$D$29,"SALUD MENTAL",IF(P35=CURSOS!$D$30,"PRIMEROS AUXILIOS PSICOLOGICOS",IF(P35=CURSOS!$D$31,"ATENCION A VICTIMAS POR CONFLICTO ARMADO",IF(P35=CURSOS!$D$32,"MANIPULACION DE ALIMENTOS Y BPM",IF(P35=CURSOS!$D$33,"ATENCION A PERSONAS CON DISCAPACIDAD",IF(P35=CURSOS!$D$34,"CUIDADO INTEGRAL DEL PACIENTE ADULTO",IF(P35=CURSOS!$D$35,"MANEJO DEFENSIVO",IF(P35=CURSOS!$D$36,"SOPORTE CARDIOVASCULAR AVANZADO NEONATAL",IF(P35=CURSOS!$D$37,"SEGURIDAD DEL PACIENTE",IF(P35=CURSOS!$D$38,"MANEJO DE RESIDUOS HOSPITALARIOS",IF(P35=CURSOS!$D$39,"ATENCION DE PACIENTE POR CONSUMO SUSTANCIAS PSICOACTIVAS Y ADICCIONES")))))))))))))))))))))))))))))))))))))</f>
        <v>SOPORTE VITAL BASICO (BLS)</v>
      </c>
      <c r="W35" s="62" t="str">
        <f t="shared" si="3"/>
        <v>Leidy Diana Daza Aguirre</v>
      </c>
      <c r="X35" s="62" t="str">
        <f t="shared" si="4"/>
        <v>Leidy Diana Daza Aguirre</v>
      </c>
      <c r="Y35" s="62" t="str">
        <f t="shared" si="5"/>
        <v>Leidy Diana Daza Aguirre-1088946257-BLS</v>
      </c>
    </row>
    <row r="36" spans="1:25" s="57" customFormat="1" x14ac:dyDescent="0.2">
      <c r="A36" s="58">
        <v>35</v>
      </c>
      <c r="B36" s="59">
        <v>1085280790</v>
      </c>
      <c r="C36" s="59" t="s">
        <v>273</v>
      </c>
      <c r="D36" s="59" t="s">
        <v>274</v>
      </c>
      <c r="E36" s="59" t="s">
        <v>275</v>
      </c>
      <c r="F36" s="59" t="s">
        <v>160</v>
      </c>
      <c r="G36" s="59">
        <v>7</v>
      </c>
      <c r="H36" s="59" t="s">
        <v>200</v>
      </c>
      <c r="I36" s="60" t="s">
        <v>115</v>
      </c>
      <c r="J36" s="61" t="s">
        <v>123</v>
      </c>
      <c r="K36" s="61">
        <v>45783</v>
      </c>
      <c r="L36" s="76">
        <v>40000</v>
      </c>
      <c r="M36" s="59" t="s">
        <v>276</v>
      </c>
      <c r="N36" s="59" t="s">
        <v>138</v>
      </c>
      <c r="O36" s="59" t="s">
        <v>116</v>
      </c>
      <c r="P36" s="59" t="s">
        <v>278</v>
      </c>
      <c r="Q36" s="60">
        <v>32916</v>
      </c>
      <c r="R36" s="59" t="s">
        <v>124</v>
      </c>
      <c r="S36" s="59" t="s">
        <v>201</v>
      </c>
      <c r="T36" s="59">
        <v>3145184052</v>
      </c>
      <c r="U36" s="59" t="s">
        <v>277</v>
      </c>
      <c r="V36" s="62" t="str">
        <f>IF(P36=CURSOS!$D$3,"DIPLOMADO EN ATENCION PRE-HOSPITALARIA",IF(P36=CURSOS!$D$4,"ACOMPAÑAMIENTO Y MANEJO DEL DUELO",IF(P36=CURSOS!$D$5,"ATENCION A VICTIMAS DE ATAQUE CON AGENTES QUIMICOS ",IF(P36=CURSOS!$D$6,"PRIMEROS AUXILIOS ",IF(P36=CURSOS!$D$7,"DIPLOMADO DE UNIDAD DE CUIDADOS INTENSIVOS (UCI)",IF(P36=CURSOS!$D$8,"MODELO DE ATENCION PARA EVENTOS EMERGENTES EN SALUD MENTAL (CODIGO VERDE)",IF(P36=CURSOS!$D$9,"HUMANIZACION EN EL SERVICIO DE LA SALUD Y BUENAS PRACTICAS EN PACIENTE ",IF(P36=CURSOS!$D$10,"CLINICA DE HERIDAS ",IF(P36=CURSOS!$D$11,"TOMA DE CITOLOGIA CERVICO VAGINAL ",IF(P36=CURSOS!$D$12,"SOPORTE CARDIOVASCULAR AVANZADO (ACLS) ",IF(P36=CURSOS!$D$13,"CAMILLERO ",IF(P36=CURSOS!$D$14,"TOMA DE MUESTRAS Y LABORATORIO ",IF(P36=CURSOS!$D$15,"SOPORTE VITAL BASICO (BLS)",IF(P36=CURSOS!$D$16,"ATENCION A VICTIMAS DE VIOLENCIA SEXUAL ",IF(P36=CURSOS!$D$17,"PROGRAMADO AMPLIADO DE INMUNIZACION (PAI - COVID 19)",IF(P36=CURSOS!$D$18,"ATENCION INTEGRAL EN ENFERMEDADES PREVALENTES EN PRIMERA INFANCIA (AIEPI)",IF(P36=CURSOS!$D$19,"ADMINISTRACION DE MEDICAMENTOS, INYECTOLOGIA  Y CANALIZACION ",IF(P36=CURSOS!$D$20,"OPERADOR DE VEHICULOS DE EMERGENCIA (OVE)",IF(P36=CURSOS!$D$21,"INSTITUCIONES AMIGAS DE LA MUJER Y LA INFANCIA (IAMI)",IF(P36=CURSOS!$D$22,"CUIDADO DEL DONANTE DE ORGANOS",IF(P36=CURSOS!$D$23,"ATENCION A VICTIMAS POR VIOLENCIA DE GENERO",IF(P36=CURSOS!$D$24,"IGUALDAD DE GENERO EN LA SALUD",IF(P36=CURSOS!$D$25,"BRIGADA DE EMERGENCIA",IF(P36=CURSOS!$D$26,"MANEJO DEL DOLOR Y CUIDADOS PALIATIVOS",IF(P36=CURSOS!$D$27,"TOMA DE MUESTRAS Y LABORATORIO POCT",IF(P36=CURSOS!$D$28,"IMPLANTE SUBDERMICO DE DISPOSITIVO INTRAUTERINO",IF(P36=CURSOS!$D$29,"SALUD MENTAL",IF(P36=CURSOS!$D$30,"PRIMEROS AUXILIOS PSICOLOGICOS",IF(P36=CURSOS!$D$31,"ATENCION A VICTIMAS POR CONFLICTO ARMADO",IF(P36=CURSOS!$D$32,"MANIPULACION DE ALIMENTOS Y BPM",IF(P36=CURSOS!$D$33,"ATENCION A PERSONAS CON DISCAPACIDAD",IF(P36=CURSOS!$D$34,"CUIDADO INTEGRAL DEL PACIENTE ADULTO",IF(P36=CURSOS!$D$35,"MANEJO DEFENSIVO",IF(P36=CURSOS!$D$36,"SOPORTE CARDIOVASCULAR AVANZADO NEONATAL",IF(P36=CURSOS!$D$37,"SEGURIDAD DEL PACIENTE",IF(P36=CURSOS!$D$38,"MANEJO DE RESIDUOS HOSPITALARIOS",IF(P36=CURSOS!$D$39,"ATENCION DE PACIENTE POR CONSUMO SUSTANCIAS PSICOACTIVAS Y ADICCIONES")))))))))))))))))))))))))))))))))))))</f>
        <v>ATENCION DE PACIENTE POR CONSUMO SUSTANCIAS PSICOACTIVAS Y ADICCIONES</v>
      </c>
      <c r="W36" s="62" t="str">
        <f t="shared" si="3"/>
        <v>Christian Camilo Santacruz Pabon</v>
      </c>
      <c r="X36" s="62" t="str">
        <f t="shared" si="4"/>
        <v>Christian Camilo Santacruz Pabon</v>
      </c>
      <c r="Y36" s="62" t="str">
        <f t="shared" si="5"/>
        <v>Christian Camilo Santacruz Pabon-1085280790-SUSTANCIAS</v>
      </c>
    </row>
    <row r="37" spans="1:25" s="57" customFormat="1" x14ac:dyDescent="0.2">
      <c r="A37" s="58">
        <v>36</v>
      </c>
      <c r="B37" s="59">
        <v>1053810512</v>
      </c>
      <c r="C37" s="59" t="s">
        <v>279</v>
      </c>
      <c r="D37" s="59" t="s">
        <v>280</v>
      </c>
      <c r="E37" s="59" t="s">
        <v>281</v>
      </c>
      <c r="F37" s="59" t="s">
        <v>249</v>
      </c>
      <c r="G37" s="59">
        <v>7</v>
      </c>
      <c r="H37" s="59" t="s">
        <v>200</v>
      </c>
      <c r="I37" s="60" t="s">
        <v>115</v>
      </c>
      <c r="J37" s="60"/>
      <c r="K37" s="61">
        <v>45784</v>
      </c>
      <c r="L37" s="66">
        <v>40000</v>
      </c>
      <c r="M37" s="59" t="s">
        <v>103</v>
      </c>
      <c r="N37" s="59" t="s">
        <v>138</v>
      </c>
      <c r="O37" s="59" t="s">
        <v>116</v>
      </c>
      <c r="P37" s="59" t="s">
        <v>48</v>
      </c>
      <c r="Q37" s="60">
        <v>33290</v>
      </c>
      <c r="R37" s="63" t="s">
        <v>102</v>
      </c>
      <c r="S37" s="59" t="s">
        <v>282</v>
      </c>
      <c r="T37" s="59">
        <v>3169183739</v>
      </c>
      <c r="U37" s="59" t="s">
        <v>283</v>
      </c>
      <c r="V37" s="62" t="str">
        <f>IF(P37=CURSOS!$D$3,"DIPLOMADO EN ATENCION PRE-HOSPITALARIA",IF(P37=CURSOS!$D$4,"ACOMPAÑAMIENTO Y MANEJO DEL DUELO",IF(P37=CURSOS!$D$5,"ATENCION A VICTIMAS DE ATAQUE CON AGENTES QUIMICOS ",IF(P37=CURSOS!$D$6,"PRIMEROS AUXILIOS ",IF(P37=CURSOS!$D$7,"DIPLOMADO DE UNIDAD DE CUIDADOS INTENSIVOS (UCI)",IF(P37=CURSOS!$D$8,"MODELO DE ATENCION PARA EVENTOS EMERGENTES EN SALUD MENTAL (CODIGO VERDE)",IF(P37=CURSOS!$D$9,"HUMANIZACION EN EL SERVICIO DE LA SALUD Y BUENAS PRACTICAS EN PACIENTE ",IF(P37=CURSOS!$D$10,"CLINICA DE HERIDAS ",IF(P37=CURSOS!$D$11,"TOMA DE CITOLOGIA CERVICO VAGINAL ",IF(P37=CURSOS!$D$12,"SOPORTE CARDIOVASCULAR AVANZADO (ACLS) ",IF(P37=CURSOS!$D$13,"CAMILLERO ",IF(P37=CURSOS!$D$14,"TOMA DE MUESTRAS Y LABORATORIO ",IF(P37=CURSOS!$D$15,"SOPORTE VITAL BASICO (BLS)",IF(P37=CURSOS!$D$16,"ATENCION A VICTIMAS DE VIOLENCIA SEXUAL ",IF(P37=CURSOS!$D$17,"PROGRAMADO AMPLIADO DE INMUNIZACION (PAI - COVID 19)",IF(P37=CURSOS!$D$18,"ATENCION INTEGRAL EN ENFERMEDADES PREVALENTES EN PRIMERA INFANCIA (AIEPI)",IF(P37=CURSOS!$D$19,"ADMINISTRACION DE MEDICAMENTOS, INYECTOLOGIA  Y CANALIZACION ",IF(P37=CURSOS!$D$20,"OPERADOR DE VEHICULOS DE EMERGENCIA (OVE)",IF(P37=CURSOS!$D$21,"INSTITUCIONES AMIGAS DE LA MUJER Y LA INFANCIA (IAMI)",IF(P37=CURSOS!$D$22,"CUIDADO DEL DONANTE DE ORGANOS",IF(P37=CURSOS!$D$23,"ATENCION A VICTIMAS POR VIOLENCIA DE GENERO",IF(P37=CURSOS!$D$24,"IGUALDAD DE GENERO EN LA SALUD",IF(P37=CURSOS!$D$25,"BRIGADA DE EMERGENCIA",IF(P37=CURSOS!$D$26,"MANEJO DEL DOLOR Y CUIDADOS PALIATIVOS",IF(P37=CURSOS!$D$27,"TOMA DE MUESTRAS Y LABORATORIO POCT",IF(P37=CURSOS!$D$28,"IMPLANTE SUBDERMICO DE DISPOSITIVO INTRAUTERINO",IF(P37=CURSOS!$D$29,"SALUD MENTAL",IF(P37=CURSOS!$D$30,"PRIMEROS AUXILIOS PSICOLOGICOS",IF(P37=CURSOS!$D$31,"ATENCION A VICTIMAS POR CONFLICTO ARMADO",IF(P37=CURSOS!$D$32,"MANIPULACION DE ALIMENTOS Y BPM",IF(P37=CURSOS!$D$33,"ATENCION A PERSONAS CON DISCAPACIDAD",IF(P37=CURSOS!$D$34,"CUIDADO INTEGRAL DEL PACIENTE ADULTO",IF(P37=CURSOS!$D$35,"MANEJO DEFENSIVO",IF(P37=CURSOS!$D$36,"SOPORTE CARDIOVASCULAR AVANZADO NEONATAL",IF(P37=CURSOS!$D$37,"SEGURIDAD DEL PACIENTE",IF(P37=CURSOS!$D$38,"MANEJO DE RESIDUOS HOSPITALARIOS",IF(P37=CURSOS!$D$39,"ATENCION DE PACIENTE POR CONSUMO SUSTANCIAS PSICOACTIVAS Y ADICCIONES")))))))))))))))))))))))))))))))))))))</f>
        <v>INSTITUCIONES AMIGAS DE LA MUJER Y LA INFANCIA (IAMI)</v>
      </c>
      <c r="W37" s="62" t="str">
        <f t="shared" si="3"/>
        <v>Jazmin Alexandra Jurado Castro</v>
      </c>
      <c r="X37" s="62" t="str">
        <f t="shared" si="4"/>
        <v>Jazmin Alexandra Jurado Castro</v>
      </c>
      <c r="Y37" s="62" t="str">
        <f t="shared" si="5"/>
        <v>Jazmin Alexandra Jurado Castro-1053810512-IAMI</v>
      </c>
    </row>
    <row r="38" spans="1:25" s="57" customFormat="1" x14ac:dyDescent="0.2">
      <c r="A38" s="58">
        <v>37</v>
      </c>
      <c r="B38" s="59">
        <v>1115070648</v>
      </c>
      <c r="C38" s="59" t="s">
        <v>285</v>
      </c>
      <c r="D38" s="59" t="s">
        <v>286</v>
      </c>
      <c r="E38" s="59" t="s">
        <v>287</v>
      </c>
      <c r="F38" s="59" t="s">
        <v>288</v>
      </c>
      <c r="G38" s="59">
        <v>7</v>
      </c>
      <c r="H38" s="59" t="s">
        <v>200</v>
      </c>
      <c r="I38" s="60" t="s">
        <v>115</v>
      </c>
      <c r="J38" s="60" t="s">
        <v>240</v>
      </c>
      <c r="K38" s="61">
        <v>45784</v>
      </c>
      <c r="L38" s="66">
        <v>30000</v>
      </c>
      <c r="M38" s="59" t="s">
        <v>103</v>
      </c>
      <c r="N38" s="59" t="s">
        <v>138</v>
      </c>
      <c r="O38" s="59" t="s">
        <v>255</v>
      </c>
      <c r="P38" s="59" t="s">
        <v>19</v>
      </c>
      <c r="Q38" s="60">
        <v>32584</v>
      </c>
      <c r="R38" s="59" t="s">
        <v>124</v>
      </c>
      <c r="S38" s="59" t="s">
        <v>201</v>
      </c>
      <c r="T38" s="64">
        <v>3164418943</v>
      </c>
      <c r="U38" s="59" t="s">
        <v>284</v>
      </c>
      <c r="V38" s="62" t="str">
        <f>IF(P38=CURSOS!$D$3,"DIPLOMADO EN ATENCION PRE-HOSPITALARIA",IF(P38=CURSOS!$D$4,"ACOMPAÑAMIENTO Y MANEJO DEL DUELO",IF(P38=CURSOS!$D$5,"ATENCION A VICTIMAS DE ATAQUE CON AGENTES QUIMICOS ",IF(P38=CURSOS!$D$6,"PRIMEROS AUXILIOS ",IF(P38=CURSOS!$D$7,"DIPLOMADO DE UNIDAD DE CUIDADOS INTENSIVOS (UCI)",IF(P38=CURSOS!$D$8,"MODELO DE ATENCION PARA EVENTOS EMERGENTES EN SALUD MENTAL (CODIGO VERDE)",IF(P38=CURSOS!$D$9,"HUMANIZACION EN EL SERVICIO DE LA SALUD Y BUENAS PRACTICAS EN PACIENTE ",IF(P38=CURSOS!$D$10,"CLINICA DE HERIDAS ",IF(P38=CURSOS!$D$11,"TOMA DE CITOLOGIA CERVICO VAGINAL ",IF(P38=CURSOS!$D$12,"SOPORTE CARDIOVASCULAR AVANZADO (ACLS) ",IF(P38=CURSOS!$D$13,"CAMILLERO ",IF(P38=CURSOS!$D$14,"TOMA DE MUESTRAS Y LABORATORIO ",IF(P38=CURSOS!$D$15,"SOPORTE VITAL BASICO (BLS)",IF(P38=CURSOS!$D$16,"ATENCION A VICTIMAS DE VIOLENCIA SEXUAL ",IF(P38=CURSOS!$D$17,"PROGRAMADO AMPLIADO DE INMUNIZACION (PAI - COVID 19)",IF(P38=CURSOS!$D$18,"ATENCION INTEGRAL EN ENFERMEDADES PREVALENTES EN PRIMERA INFANCIA (AIEPI)",IF(P38=CURSOS!$D$19,"ADMINISTRACION DE MEDICAMENTOS, INYECTOLOGIA  Y CANALIZACION ",IF(P38=CURSOS!$D$20,"OPERADOR DE VEHICULOS DE EMERGENCIA (OVE)",IF(P38=CURSOS!$D$21,"INSTITUCIONES AMIGAS DE LA MUJER Y LA INFANCIA (IAMI)",IF(P38=CURSOS!$D$22,"CUIDADO DEL DONANTE DE ORGANOS",IF(P38=CURSOS!$D$23,"ATENCION A VICTIMAS POR VIOLENCIA DE GENERO",IF(P38=CURSOS!$D$24,"IGUALDAD DE GENERO EN LA SALUD",IF(P38=CURSOS!$D$25,"BRIGADA DE EMERGENCIA",IF(P38=CURSOS!$D$26,"MANEJO DEL DOLOR Y CUIDADOS PALIATIVOS",IF(P38=CURSOS!$D$27,"TOMA DE MUESTRAS Y LABORATORIO POCT",IF(P38=CURSOS!$D$28,"IMPLANTE SUBDERMICO DE DISPOSITIVO INTRAUTERINO",IF(P38=CURSOS!$D$29,"SALUD MENTAL",IF(P38=CURSOS!$D$30,"PRIMEROS AUXILIOS PSICOLOGICOS",IF(P38=CURSOS!$D$31,"ATENCION A VICTIMAS POR CONFLICTO ARMADO",IF(P38=CURSOS!$D$32,"MANIPULACION DE ALIMENTOS Y BPM",IF(P38=CURSOS!$D$33,"ATENCION A PERSONAS CON DISCAPACIDAD",IF(P38=CURSOS!$D$34,"CUIDADO INTEGRAL DEL PACIENTE ADULTO",IF(P38=CURSOS!$D$35,"MANEJO DEFENSIVO",IF(P38=CURSOS!$D$36,"SOPORTE CARDIOVASCULAR AVANZADO NEONATAL",IF(P38=CURSOS!$D$37,"SEGURIDAD DEL PACIENTE",IF(P38=CURSOS!$D$38,"MANEJO DE RESIDUOS HOSPITALARIOS",IF(P38=CURSOS!$D$39,"ATENCION DE PACIENTE POR CONSUMO SUSTANCIAS PSICOACTIVAS Y ADICCIONES")))))))))))))))))))))))))))))))))))))</f>
        <v>SOPORTE VITAL BASICO (BLS)</v>
      </c>
      <c r="W38" s="62" t="str">
        <f t="shared" si="3"/>
        <v>Harold Steban Guarin Roldan</v>
      </c>
      <c r="X38" s="62" t="str">
        <f t="shared" si="4"/>
        <v>Harold Steban Guarin Roldan</v>
      </c>
      <c r="Y38" s="62" t="str">
        <f t="shared" si="5"/>
        <v>Harold Steban Guarin Roldan-1115070648-BLS</v>
      </c>
    </row>
    <row r="39" spans="1:25" s="57" customFormat="1" x14ac:dyDescent="0.2">
      <c r="A39" s="58">
        <v>38</v>
      </c>
      <c r="B39" s="59">
        <v>1081593673</v>
      </c>
      <c r="C39" s="63" t="s">
        <v>291</v>
      </c>
      <c r="D39" s="63" t="s">
        <v>292</v>
      </c>
      <c r="E39" s="63" t="s">
        <v>293</v>
      </c>
      <c r="F39" s="63" t="s">
        <v>294</v>
      </c>
      <c r="G39" s="63">
        <v>19</v>
      </c>
      <c r="H39" s="59" t="s">
        <v>200</v>
      </c>
      <c r="I39" s="60" t="s">
        <v>122</v>
      </c>
      <c r="J39" s="60" t="s">
        <v>123</v>
      </c>
      <c r="K39" s="61" t="s">
        <v>503</v>
      </c>
      <c r="L39" s="66" t="s">
        <v>504</v>
      </c>
      <c r="M39" s="59" t="s">
        <v>103</v>
      </c>
      <c r="N39" s="59" t="s">
        <v>138</v>
      </c>
      <c r="O39" s="59" t="s">
        <v>116</v>
      </c>
      <c r="P39" s="59" t="s">
        <v>44</v>
      </c>
      <c r="Q39" s="60">
        <v>33281</v>
      </c>
      <c r="R39" s="59" t="s">
        <v>102</v>
      </c>
      <c r="S39" s="64" t="s">
        <v>295</v>
      </c>
      <c r="T39" s="59">
        <v>3209084530</v>
      </c>
      <c r="U39" s="59" t="s">
        <v>296</v>
      </c>
      <c r="V39" s="62" t="str">
        <f>IF(P39=CURSOS!$D$3,"DIPLOMADO EN ATENCION PRE-HOSPITALARIA",IF(P39=CURSOS!$D$4,"ACOMPAÑAMIENTO Y MANEJO DEL DUELO",IF(P39=CURSOS!$D$5,"ATENCION A VICTIMAS DE ATAQUE CON AGENTES QUIMICOS ",IF(P39=CURSOS!$D$6,"PRIMEROS AUXILIOS ",IF(P39=CURSOS!$D$7,"DIPLOMADO DE UNIDAD DE CUIDADOS INTENSIVOS (UCI)",IF(P39=CURSOS!$D$8,"MODELO DE ATENCION PARA EVENTOS EMERGENTES EN SALUD MENTAL (CODIGO VERDE)",IF(P39=CURSOS!$D$9,"HUMANIZACION EN EL SERVICIO DE LA SALUD Y BUENAS PRACTICAS EN PACIENTE ",IF(P39=CURSOS!$D$10,"CLINICA DE HERIDAS ",IF(P39=CURSOS!$D$11,"TOMA DE CITOLOGIA CERVICO VAGINAL ",IF(P39=CURSOS!$D$12,"SOPORTE CARDIOVASCULAR AVANZADO (ACLS) ",IF(P39=CURSOS!$D$13,"CAMILLERO ",IF(P39=CURSOS!$D$14,"TOMA DE MUESTRAS Y LABORATORIO ",IF(P39=CURSOS!$D$15,"SOPORTE VITAL BASICO (BLS)",IF(P39=CURSOS!$D$16,"ATENCION A VICTIMAS DE VIOLENCIA SEXUAL ",IF(P39=CURSOS!$D$17,"PROGRAMADO AMPLIADO DE INMUNIZACION (PAI - COVID 19)",IF(P39=CURSOS!$D$18,"ATENCION INTEGRAL EN ENFERMEDADES PREVALENTES EN PRIMERA INFANCIA (AIEPI)",IF(P39=CURSOS!$D$19,"ADMINISTRACION DE MEDICAMENTOS, INYECTOLOGIA  Y CANALIZACION ",IF(P39=CURSOS!$D$20,"OPERADOR DE VEHICULOS DE EMERGENCIA (OVE)",IF(P39=CURSOS!$D$21,"INSTITUCIONES AMIGAS DE LA MUJER Y LA INFANCIA (IAMI)",IF(P39=CURSOS!$D$22,"CUIDADO DEL DONANTE DE ORGANOS",IF(P39=CURSOS!$D$23,"ATENCION A VICTIMAS POR VIOLENCIA DE GENERO",IF(P39=CURSOS!$D$24,"IGUALDAD DE GENERO EN LA SALUD",IF(P39=CURSOS!$D$25,"BRIGADA DE EMERGENCIA",IF(P39=CURSOS!$D$26,"MANEJO DEL DOLOR Y CUIDADOS PALIATIVOS",IF(P39=CURSOS!$D$27,"TOMA DE MUESTRAS Y LABORATORIO POCT",IF(P39=CURSOS!$D$28,"IMPLANTE SUBDERMICO DE DISPOSITIVO INTRAUTERINO",IF(P39=CURSOS!$D$29,"SALUD MENTAL",IF(P39=CURSOS!$D$30,"PRIMEROS AUXILIOS PSICOLOGICOS",IF(P39=CURSOS!$D$31,"ATENCION A VICTIMAS POR CONFLICTO ARMADO",IF(P39=CURSOS!$D$32,"MANIPULACION DE ALIMENTOS Y BPM",IF(P39=CURSOS!$D$33,"ATENCION A PERSONAS CON DISCAPACIDAD",IF(P39=CURSOS!$D$34,"CUIDADO INTEGRAL DEL PACIENTE ADULTO",IF(P39=CURSOS!$D$35,"MANEJO DEFENSIVO",IF(P39=CURSOS!$D$36,"SOPORTE CARDIOVASCULAR AVANZADO NEONATAL",IF(P39=CURSOS!$D$37,"SEGURIDAD DEL PACIENTE",IF(P39=CURSOS!$D$38,"MANEJO DE RESIDUOS HOSPITALARIOS",IF(P39=CURSOS!$D$39,"ATENCION DE PACIENTE POR CONSUMO SUSTANCIAS PSICOACTIVAS Y ADICCIONES")))))))))))))))))))))))))))))))))))))</f>
        <v>ATENCION INTEGRAL EN ENFERMEDADES PREVALENTES EN PRIMERA INFANCIA (AIEPI)</v>
      </c>
      <c r="W39" s="62" t="str">
        <f t="shared" si="3"/>
        <v>Karold Daniela Castillo Silva</v>
      </c>
      <c r="X39" s="62" t="str">
        <f t="shared" si="4"/>
        <v>Karold Daniela Castillo Silva</v>
      </c>
      <c r="Y39" s="62" t="str">
        <f t="shared" si="5"/>
        <v>Karold Daniela Castillo Silva-1081593673-AIEPI</v>
      </c>
    </row>
    <row r="40" spans="1:25" s="57" customFormat="1" x14ac:dyDescent="0.2">
      <c r="A40" s="58">
        <v>39</v>
      </c>
      <c r="B40" s="59">
        <v>37084471</v>
      </c>
      <c r="C40" s="59" t="s">
        <v>126</v>
      </c>
      <c r="D40" s="59" t="s">
        <v>127</v>
      </c>
      <c r="E40" s="59" t="s">
        <v>128</v>
      </c>
      <c r="F40" s="59"/>
      <c r="G40" s="59">
        <v>7</v>
      </c>
      <c r="H40" s="59" t="s">
        <v>200</v>
      </c>
      <c r="I40" s="60" t="s">
        <v>122</v>
      </c>
      <c r="J40" s="60" t="s">
        <v>123</v>
      </c>
      <c r="K40" s="60">
        <v>45776</v>
      </c>
      <c r="L40" s="66">
        <v>70000</v>
      </c>
      <c r="M40" s="59" t="s">
        <v>103</v>
      </c>
      <c r="N40" s="59" t="s">
        <v>138</v>
      </c>
      <c r="O40" s="59" t="s">
        <v>116</v>
      </c>
      <c r="P40" s="59" t="s">
        <v>32</v>
      </c>
      <c r="Q40" s="61">
        <v>30571</v>
      </c>
      <c r="R40" s="59" t="s">
        <v>102</v>
      </c>
      <c r="S40" s="59" t="s">
        <v>129</v>
      </c>
      <c r="T40" s="59">
        <v>3155621531</v>
      </c>
      <c r="U40" s="59" t="s">
        <v>130</v>
      </c>
      <c r="V40" s="62" t="str">
        <f>IF(P40=CURSOS!$D$3,"DIPLOMADO EN ATENCION PRE-HOSPITALARIA",IF(P40=CURSOS!$D$4,"ACOMPAÑAMIENTO Y MANEJO DEL DUELO",IF(P40=CURSOS!$D$5,"ATENCION A VICTIMAS DE ATAQUE CON AGENTES QUIMICOS ",IF(P40=CURSOS!$D$6,"PRIMEROS AUXILIOS ",IF(P40=CURSOS!$D$7,"DIPLOMADO DE UNIDAD DE CUIDADOS INTENSIVOS (UCI)",IF(P40=CURSOS!$D$8,"MODELO DE ATENCION PARA EVENTOS EMERGENTES EN SALUD MENTAL (CODIGO VERDE)",IF(P40=CURSOS!$D$9,"HUMANIZACION EN EL SERVICIO DE LA SALUD Y BUENAS PRACTICAS EN PACIENTE ",IF(P40=CURSOS!$D$10,"CLINICA DE HERIDAS ",IF(P40=CURSOS!$D$11,"TOMA DE CITOLOGIA CERVICO VAGINAL ",IF(P40=CURSOS!$D$12,"SOPORTE CARDIOVASCULAR AVANZADO (ACLS) ",IF(P40=CURSOS!$D$13,"CAMILLERO ",IF(P40=CURSOS!$D$14,"TOMA DE MUESTRAS Y LABORATORIO ",IF(P40=CURSOS!$D$15,"SOPORTE VITAL BASICO (BLS)",IF(P40=CURSOS!$D$16,"ATENCION A VICTIMAS DE VIOLENCIA SEXUAL ",IF(P40=CURSOS!$D$17,"PROGRAMADO AMPLIADO DE INMUNIZACION (PAI - COVID 19)",IF(P40=CURSOS!$D$18,"ATENCION INTEGRAL EN ENFERMEDADES PREVALENTES EN PRIMERA INFANCIA (AIEPI)",IF(P40=CURSOS!$D$19,"ADMINISTRACION DE MEDICAMENTOS, INYECTOLOGIA  Y CANALIZACION ",IF(P40=CURSOS!$D$20,"OPERADOR DE VEHICULOS DE EMERGENCIA (OVE)",IF(P40=CURSOS!$D$21,"INSTITUCIONES AMIGAS DE LA MUJER Y LA INFANCIA (IAMI)",IF(P40=CURSOS!$D$22,"CUIDADO DEL DONANTE DE ORGANOS",IF(P40=CURSOS!$D$23,"ATENCION A VICTIMAS POR VIOLENCIA DE GENERO",IF(P40=CURSOS!$D$24,"IGUALDAD DE GENERO EN LA SALUD",IF(P40=CURSOS!$D$25,"BRIGADA DE EMERGENCIA",IF(P40=CURSOS!$D$26,"MANEJO DEL DOLOR Y CUIDADOS PALIATIVOS",IF(P40=CURSOS!$D$27,"TOMA DE MUESTRAS Y LABORATORIO POCT",IF(P40=CURSOS!$D$28,"IMPLANTE SUBDERMICO DE DISPOSITIVO INTRAUTERINO",IF(P40=CURSOS!$D$29,"SALUD MENTAL",IF(P40=CURSOS!$D$30,"PRIMEROS AUXILIOS PSICOLOGICOS",IF(P40=CURSOS!$D$31,"ATENCION A VICTIMAS POR CONFLICTO ARMADO",IF(P40=CURSOS!$D$32,"MANIPULACION DE ALIMENTOS Y BPM",IF(P40=CURSOS!$D$33,"ATENCION A PERSONAS CON DISCAPACIDAD",IF(P40=CURSOS!$D$34,"CUIDADO INTEGRAL DEL PACIENTE ADULTO",IF(P40=CURSOS!$D$35,"MANEJO DEFENSIVO",IF(P40=CURSOS!$D$36,"SOPORTE CARDIOVASCULAR AVANZADO NEONATAL",IF(P40=CURSOS!$D$37,"SEGURIDAD DEL PACIENTE",IF(P40=CURSOS!$D$38,"MANEJO DE RESIDUOS HOSPITALARIOS",IF(P40=CURSOS!$D$39,"ATENCION DE PACIENTE POR CONSUMO SUSTANCIAS PSICOACTIVAS Y ADICCIONES")))))))))))))))))))))))))))))))))))))</f>
        <v xml:space="preserve">HUMANIZACION EN EL SERVICIO DE LA SALUD Y BUENAS PRACTICAS EN PACIENTE </v>
      </c>
      <c r="W40" s="62" t="str">
        <f t="shared" si="3"/>
        <v>Fanny  Torres Gama</v>
      </c>
      <c r="X40" s="62" t="str">
        <f t="shared" si="4"/>
        <v>Fanny  Torres Gama</v>
      </c>
      <c r="Y40" s="62" t="str">
        <f t="shared" si="5"/>
        <v>Fanny  Torres Gama-37084471-HUMANIZACION</v>
      </c>
    </row>
    <row r="41" spans="1:25" s="57" customFormat="1" x14ac:dyDescent="0.2">
      <c r="A41" s="58">
        <v>40</v>
      </c>
      <c r="B41" s="59">
        <v>1085949667</v>
      </c>
      <c r="C41" s="59" t="s">
        <v>297</v>
      </c>
      <c r="D41" s="59" t="s">
        <v>298</v>
      </c>
      <c r="E41" s="59" t="s">
        <v>299</v>
      </c>
      <c r="F41" s="59" t="s">
        <v>300</v>
      </c>
      <c r="G41" s="59">
        <v>8</v>
      </c>
      <c r="H41" s="59" t="s">
        <v>200</v>
      </c>
      <c r="I41" s="60" t="s">
        <v>115</v>
      </c>
      <c r="J41" s="60" t="s">
        <v>240</v>
      </c>
      <c r="K41" s="61">
        <v>45785</v>
      </c>
      <c r="L41" s="66">
        <v>80000</v>
      </c>
      <c r="M41" s="59" t="s">
        <v>103</v>
      </c>
      <c r="N41" s="59" t="s">
        <v>245</v>
      </c>
      <c r="O41" s="59" t="s">
        <v>99</v>
      </c>
      <c r="P41" s="59" t="s">
        <v>37</v>
      </c>
      <c r="Q41" s="60">
        <v>36053</v>
      </c>
      <c r="R41" s="59" t="s">
        <v>124</v>
      </c>
      <c r="S41" s="64" t="s">
        <v>295</v>
      </c>
      <c r="T41" s="64">
        <v>3177051224</v>
      </c>
      <c r="U41" s="59" t="s">
        <v>301</v>
      </c>
      <c r="V41" s="62" t="str">
        <f>IF(P41=CURSOS!$D$3,"DIPLOMADO EN ATENCION PRE-HOSPITALARIA",IF(P41=CURSOS!$D$4,"ACOMPAÑAMIENTO Y MANEJO DEL DUELO",IF(P41=CURSOS!$D$5,"ATENCION A VICTIMAS DE ATAQUE CON AGENTES QUIMICOS ",IF(P41=CURSOS!$D$6,"PRIMEROS AUXILIOS ",IF(P41=CURSOS!$D$7,"DIPLOMADO DE UNIDAD DE CUIDADOS INTENSIVOS (UCI)",IF(P41=CURSOS!$D$8,"MODELO DE ATENCION PARA EVENTOS EMERGENTES EN SALUD MENTAL (CODIGO VERDE)",IF(P41=CURSOS!$D$9,"HUMANIZACION EN EL SERVICIO DE LA SALUD Y BUENAS PRACTICAS EN PACIENTE ",IF(P41=CURSOS!$D$10,"CLINICA DE HERIDAS ",IF(P41=CURSOS!$D$11,"TOMA DE CITOLOGIA CERVICO VAGINAL ",IF(P41=CURSOS!$D$12,"SOPORTE CARDIOVASCULAR AVANZADO (ACLS) ",IF(P41=CURSOS!$D$13,"CAMILLERO ",IF(P41=CURSOS!$D$14,"TOMA DE MUESTRAS Y LABORATORIO ",IF(P41=CURSOS!$D$15,"SOPORTE VITAL BASICO (BLS)",IF(P41=CURSOS!$D$16,"ATENCION A VICTIMAS DE VIOLENCIA SEXUAL ",IF(P41=CURSOS!$D$17,"PROGRAMADO AMPLIADO DE INMUNIZACION (PAI - COVID 19)",IF(P41=CURSOS!$D$18,"ATENCION INTEGRAL EN ENFERMEDADES PREVALENTES EN PRIMERA INFANCIA (AIEPI)",IF(P41=CURSOS!$D$19,"ADMINISTRACION DE MEDICAMENTOS, INYECTOLOGIA  Y CANALIZACION ",IF(P41=CURSOS!$D$20,"OPERADOR DE VEHICULOS DE EMERGENCIA (OVE)",IF(P41=CURSOS!$D$21,"INSTITUCIONES AMIGAS DE LA MUJER Y LA INFANCIA (IAMI)",IF(P41=CURSOS!$D$22,"CUIDADO DEL DONANTE DE ORGANOS",IF(P41=CURSOS!$D$23,"ATENCION A VICTIMAS POR VIOLENCIA DE GENERO",IF(P41=CURSOS!$D$24,"IGUALDAD DE GENERO EN LA SALUD",IF(P41=CURSOS!$D$25,"BRIGADA DE EMERGENCIA",IF(P41=CURSOS!$D$26,"MANEJO DEL DOLOR Y CUIDADOS PALIATIVOS",IF(P41=CURSOS!$D$27,"TOMA DE MUESTRAS Y LABORATORIO POCT",IF(P41=CURSOS!$D$28,"IMPLANTE SUBDERMICO DE DISPOSITIVO INTRAUTERINO",IF(P41=CURSOS!$D$29,"SALUD MENTAL",IF(P41=CURSOS!$D$30,"PRIMEROS AUXILIOS PSICOLOGICOS",IF(P41=CURSOS!$D$31,"ATENCION A VICTIMAS POR CONFLICTO ARMADO",IF(P41=CURSOS!$D$32,"MANIPULACION DE ALIMENTOS Y BPM",IF(P41=CURSOS!$D$33,"ATENCION A PERSONAS CON DISCAPACIDAD",IF(P41=CURSOS!$D$34,"CUIDADO INTEGRAL DEL PACIENTE ADULTO",IF(P41=CURSOS!$D$35,"MANEJO DEFENSIVO",IF(P41=CURSOS!$D$36,"SOPORTE CARDIOVASCULAR AVANZADO NEONATAL",IF(P41=CURSOS!$D$37,"SEGURIDAD DEL PACIENTE",IF(P41=CURSOS!$D$38,"MANEJO DE RESIDUOS HOSPITALARIOS",IF(P41=CURSOS!$D$39,"ATENCION DE PACIENTE POR CONSUMO SUSTANCIAS PSICOACTIVAS Y ADICCIONES")))))))))))))))))))))))))))))))))))))</f>
        <v xml:space="preserve">SOPORTE CARDIOVASCULAR AVANZADO (ACLS) </v>
      </c>
      <c r="W41" s="62" t="str">
        <f t="shared" si="3"/>
        <v>Orlando Andres Cisneros Cuaran</v>
      </c>
      <c r="X41" s="62" t="str">
        <f t="shared" si="4"/>
        <v>Orlando Andres Cisneros Cuaran</v>
      </c>
      <c r="Y41" s="62" t="str">
        <f t="shared" si="5"/>
        <v>Orlando Andres Cisneros Cuaran-1085949667-ACLS</v>
      </c>
    </row>
    <row r="42" spans="1:25" s="57" customFormat="1" x14ac:dyDescent="0.2">
      <c r="A42" s="58">
        <v>41</v>
      </c>
      <c r="B42" s="59">
        <v>1085949667</v>
      </c>
      <c r="C42" s="59" t="s">
        <v>297</v>
      </c>
      <c r="D42" s="59" t="s">
        <v>298</v>
      </c>
      <c r="E42" s="59" t="s">
        <v>299</v>
      </c>
      <c r="F42" s="59" t="s">
        <v>300</v>
      </c>
      <c r="G42" s="59">
        <v>8</v>
      </c>
      <c r="H42" s="59" t="s">
        <v>200</v>
      </c>
      <c r="I42" s="60" t="s">
        <v>115</v>
      </c>
      <c r="J42" s="60" t="s">
        <v>240</v>
      </c>
      <c r="K42" s="61">
        <v>45785</v>
      </c>
      <c r="L42" s="66">
        <v>20000</v>
      </c>
      <c r="M42" s="66" t="s">
        <v>103</v>
      </c>
      <c r="N42" s="59" t="s">
        <v>245</v>
      </c>
      <c r="O42" s="59" t="s">
        <v>99</v>
      </c>
      <c r="P42" s="59" t="s">
        <v>19</v>
      </c>
      <c r="Q42" s="60">
        <v>36053</v>
      </c>
      <c r="R42" s="59" t="s">
        <v>124</v>
      </c>
      <c r="S42" s="64" t="s">
        <v>295</v>
      </c>
      <c r="T42" s="64">
        <v>3177051224</v>
      </c>
      <c r="U42" s="59" t="s">
        <v>301</v>
      </c>
      <c r="V42" s="62" t="str">
        <f>IF(P42=CURSOS!$D$3,"DIPLOMADO EN ATENCION PRE-HOSPITALARIA",IF(P42=CURSOS!$D$4,"ACOMPAÑAMIENTO Y MANEJO DEL DUELO",IF(P42=CURSOS!$D$5,"ATENCION A VICTIMAS DE ATAQUE CON AGENTES QUIMICOS ",IF(P42=CURSOS!$D$6,"PRIMEROS AUXILIOS ",IF(P42=CURSOS!$D$7,"DIPLOMADO DE UNIDAD DE CUIDADOS INTENSIVOS (UCI)",IF(P42=CURSOS!$D$8,"MODELO DE ATENCION PARA EVENTOS EMERGENTES EN SALUD MENTAL (CODIGO VERDE)",IF(P42=CURSOS!$D$9,"HUMANIZACION EN EL SERVICIO DE LA SALUD Y BUENAS PRACTICAS EN PACIENTE ",IF(P42=CURSOS!$D$10,"CLINICA DE HERIDAS ",IF(P42=CURSOS!$D$11,"TOMA DE CITOLOGIA CERVICO VAGINAL ",IF(P42=CURSOS!$D$12,"SOPORTE CARDIOVASCULAR AVANZADO (ACLS) ",IF(P42=CURSOS!$D$13,"CAMILLERO ",IF(P42=CURSOS!$D$14,"TOMA DE MUESTRAS Y LABORATORIO ",IF(P42=CURSOS!$D$15,"SOPORTE VITAL BASICO (BLS)",IF(P42=CURSOS!$D$16,"ATENCION A VICTIMAS DE VIOLENCIA SEXUAL ",IF(P42=CURSOS!$D$17,"PROGRAMADO AMPLIADO DE INMUNIZACION (PAI - COVID 19)",IF(P42=CURSOS!$D$18,"ATENCION INTEGRAL EN ENFERMEDADES PREVALENTES EN PRIMERA INFANCIA (AIEPI)",IF(P42=CURSOS!$D$19,"ADMINISTRACION DE MEDICAMENTOS, INYECTOLOGIA  Y CANALIZACION ",IF(P42=CURSOS!$D$20,"OPERADOR DE VEHICULOS DE EMERGENCIA (OVE)",IF(P42=CURSOS!$D$21,"INSTITUCIONES AMIGAS DE LA MUJER Y LA INFANCIA (IAMI)",IF(P42=CURSOS!$D$22,"CUIDADO DEL DONANTE DE ORGANOS",IF(P42=CURSOS!$D$23,"ATENCION A VICTIMAS POR VIOLENCIA DE GENERO",IF(P42=CURSOS!$D$24,"IGUALDAD DE GENERO EN LA SALUD",IF(P42=CURSOS!$D$25,"BRIGADA DE EMERGENCIA",IF(P42=CURSOS!$D$26,"MANEJO DEL DOLOR Y CUIDADOS PALIATIVOS",IF(P42=CURSOS!$D$27,"TOMA DE MUESTRAS Y LABORATORIO POCT",IF(P42=CURSOS!$D$28,"IMPLANTE SUBDERMICO DE DISPOSITIVO INTRAUTERINO",IF(P42=CURSOS!$D$29,"SALUD MENTAL",IF(P42=CURSOS!$D$30,"PRIMEROS AUXILIOS PSICOLOGICOS",IF(P42=CURSOS!$D$31,"ATENCION A VICTIMAS POR CONFLICTO ARMADO",IF(P42=CURSOS!$D$32,"MANIPULACION DE ALIMENTOS Y BPM",IF(P42=CURSOS!$D$33,"ATENCION A PERSONAS CON DISCAPACIDAD",IF(P42=CURSOS!$D$34,"CUIDADO INTEGRAL DEL PACIENTE ADULTO",IF(P42=CURSOS!$D$35,"MANEJO DEFENSIVO",IF(P42=CURSOS!$D$36,"SOPORTE CARDIOVASCULAR AVANZADO NEONATAL",IF(P42=CURSOS!$D$37,"SEGURIDAD DEL PACIENTE",IF(P42=CURSOS!$D$38,"MANEJO DE RESIDUOS HOSPITALARIOS",IF(P42=CURSOS!$D$39,"ATENCION DE PACIENTE POR CONSUMO SUSTANCIAS PSICOACTIVAS Y ADICCIONES")))))))))))))))))))))))))))))))))))))</f>
        <v>SOPORTE VITAL BASICO (BLS)</v>
      </c>
      <c r="W42" s="62" t="str">
        <f t="shared" si="3"/>
        <v>Orlando Andres Cisneros Cuaran</v>
      </c>
      <c r="X42" s="62" t="str">
        <f t="shared" si="4"/>
        <v>Orlando Andres Cisneros Cuaran</v>
      </c>
      <c r="Y42" s="62" t="str">
        <f t="shared" si="5"/>
        <v>Orlando Andres Cisneros Cuaran-1085949667-BLS</v>
      </c>
    </row>
    <row r="43" spans="1:25" s="57" customFormat="1" x14ac:dyDescent="0.2">
      <c r="A43" s="58">
        <v>42</v>
      </c>
      <c r="B43" s="81">
        <v>1004437731</v>
      </c>
      <c r="C43" s="81" t="s">
        <v>302</v>
      </c>
      <c r="D43" s="81" t="s">
        <v>303</v>
      </c>
      <c r="E43" s="81" t="s">
        <v>304</v>
      </c>
      <c r="F43" s="81" t="s">
        <v>305</v>
      </c>
      <c r="G43" s="81">
        <v>8</v>
      </c>
      <c r="H43" s="81" t="s">
        <v>200</v>
      </c>
      <c r="I43" s="82" t="s">
        <v>115</v>
      </c>
      <c r="J43" s="82" t="s">
        <v>123</v>
      </c>
      <c r="K43" s="83">
        <v>45785</v>
      </c>
      <c r="L43" s="84">
        <v>32000</v>
      </c>
      <c r="M43" s="81" t="s">
        <v>103</v>
      </c>
      <c r="N43" s="81" t="s">
        <v>245</v>
      </c>
      <c r="O43" s="81" t="s">
        <v>116</v>
      </c>
      <c r="P43" s="81" t="s">
        <v>19</v>
      </c>
      <c r="Q43" s="83">
        <v>37085</v>
      </c>
      <c r="R43" s="81" t="s">
        <v>102</v>
      </c>
      <c r="S43" s="81" t="s">
        <v>201</v>
      </c>
      <c r="T43" s="81">
        <v>3173274150</v>
      </c>
      <c r="U43" s="81" t="s">
        <v>306</v>
      </c>
      <c r="V43" s="62" t="str">
        <f>IF(P43=CURSOS!$D$3,"DIPLOMADO EN ATENCION PRE-HOSPITALARIA",IF(P43=CURSOS!$D$4,"ACOMPAÑAMIENTO Y MANEJO DEL DUELO",IF(P43=CURSOS!$D$5,"ATENCION A VICTIMAS DE ATAQUE CON AGENTES QUIMICOS ",IF(P43=CURSOS!$D$6,"PRIMEROS AUXILIOS ",IF(P43=CURSOS!$D$7,"DIPLOMADO DE UNIDAD DE CUIDADOS INTENSIVOS (UCI)",IF(P43=CURSOS!$D$8,"MODELO DE ATENCION PARA EVENTOS EMERGENTES EN SALUD MENTAL (CODIGO VERDE)",IF(P43=CURSOS!$D$9,"HUMANIZACION EN EL SERVICIO DE LA SALUD Y BUENAS PRACTICAS EN PACIENTE ",IF(P43=CURSOS!$D$10,"CLINICA DE HERIDAS ",IF(P43=CURSOS!$D$11,"TOMA DE CITOLOGIA CERVICO VAGINAL ",IF(P43=CURSOS!$D$12,"SOPORTE CARDIOVASCULAR AVANZADO (ACLS) ",IF(P43=CURSOS!$D$13,"CAMILLERO ",IF(P43=CURSOS!$D$14,"TOMA DE MUESTRAS Y LABORATORIO ",IF(P43=CURSOS!$D$15,"SOPORTE VITAL BASICO (BLS)",IF(P43=CURSOS!$D$16,"ATENCION A VICTIMAS DE VIOLENCIA SEXUAL ",IF(P43=CURSOS!$D$17,"PROGRAMADO AMPLIADO DE INMUNIZACION (PAI - COVID 19)",IF(P43=CURSOS!$D$18,"ATENCION INTEGRAL EN ENFERMEDADES PREVALENTES EN PRIMERA INFANCIA (AIEPI)",IF(P43=CURSOS!$D$19,"ADMINISTRACION DE MEDICAMENTOS, INYECTOLOGIA  Y CANALIZACION ",IF(P43=CURSOS!$D$20,"OPERADOR DE VEHICULOS DE EMERGENCIA (OVE)",IF(P43=CURSOS!$D$21,"INSTITUCIONES AMIGAS DE LA MUJER Y LA INFANCIA (IAMI)",IF(P43=CURSOS!$D$22,"CUIDADO DEL DONANTE DE ORGANOS",IF(P43=CURSOS!$D$23,"ATENCION A VICTIMAS POR VIOLENCIA DE GENERO",IF(P43=CURSOS!$D$24,"IGUALDAD DE GENERO EN LA SALUD",IF(P43=CURSOS!$D$25,"BRIGADA DE EMERGENCIA",IF(P43=CURSOS!$D$26,"MANEJO DEL DOLOR Y CUIDADOS PALIATIVOS",IF(P43=CURSOS!$D$27,"TOMA DE MUESTRAS Y LABORATORIO POCT",IF(P43=CURSOS!$D$28,"IMPLANTE SUBDERMICO DE DISPOSITIVO INTRAUTERINO",IF(P43=CURSOS!$D$29,"SALUD MENTAL",IF(P43=CURSOS!$D$30,"PRIMEROS AUXILIOS PSICOLOGICOS",IF(P43=CURSOS!$D$31,"ATENCION A VICTIMAS POR CONFLICTO ARMADO",IF(P43=CURSOS!$D$32,"MANIPULACION DE ALIMENTOS Y BPM",IF(P43=CURSOS!$D$33,"ATENCION A PERSONAS CON DISCAPACIDAD",IF(P43=CURSOS!$D$34,"CUIDADO INTEGRAL DEL PACIENTE ADULTO",IF(P43=CURSOS!$D$35,"MANEJO DEFENSIVO",IF(P43=CURSOS!$D$36,"SOPORTE CARDIOVASCULAR AVANZADO NEONATAL",IF(P43=CURSOS!$D$37,"SEGURIDAD DEL PACIENTE",IF(P43=CURSOS!$D$38,"MANEJO DE RESIDUOS HOSPITALARIOS",IF(P43=CURSOS!$D$39,"ATENCION DE PACIENTE POR CONSUMO SUSTANCIAS PSICOACTIVAS Y ADICCIONES")))))))))))))))))))))))))))))))))))))</f>
        <v>SOPORTE VITAL BASICO (BLS)</v>
      </c>
      <c r="W43" s="62" t="str">
        <f t="shared" si="3"/>
        <v>Daira Yuliana Miramag Villota</v>
      </c>
      <c r="X43" s="62" t="str">
        <f t="shared" si="4"/>
        <v>Daira Yuliana Miramag Villota</v>
      </c>
      <c r="Y43" s="62" t="str">
        <f t="shared" si="5"/>
        <v>Daira Yuliana Miramag Villota-1004437731-BLS</v>
      </c>
    </row>
    <row r="44" spans="1:25" s="57" customFormat="1" x14ac:dyDescent="0.2">
      <c r="A44" s="58">
        <v>43</v>
      </c>
      <c r="B44" s="59">
        <v>1004437731</v>
      </c>
      <c r="C44" s="59" t="s">
        <v>302</v>
      </c>
      <c r="D44" s="59" t="s">
        <v>303</v>
      </c>
      <c r="E44" s="59" t="s">
        <v>304</v>
      </c>
      <c r="F44" s="59" t="s">
        <v>305</v>
      </c>
      <c r="G44" s="59">
        <v>8</v>
      </c>
      <c r="H44" s="59" t="s">
        <v>200</v>
      </c>
      <c r="I44" s="60" t="s">
        <v>115</v>
      </c>
      <c r="J44" s="60" t="s">
        <v>123</v>
      </c>
      <c r="K44" s="61">
        <v>45785</v>
      </c>
      <c r="L44" s="66">
        <v>64000</v>
      </c>
      <c r="M44" s="59" t="s">
        <v>103</v>
      </c>
      <c r="N44" s="59" t="s">
        <v>245</v>
      </c>
      <c r="O44" s="59" t="s">
        <v>116</v>
      </c>
      <c r="P44" s="59" t="s">
        <v>42</v>
      </c>
      <c r="Q44" s="61">
        <v>37085</v>
      </c>
      <c r="R44" s="59" t="s">
        <v>102</v>
      </c>
      <c r="S44" s="59" t="s">
        <v>201</v>
      </c>
      <c r="T44" s="59">
        <v>3173274150</v>
      </c>
      <c r="U44" s="59" t="s">
        <v>306</v>
      </c>
      <c r="V44" s="62" t="str">
        <f>IF(P44=CURSOS!$D$3,"DIPLOMADO EN ATENCION PRE-HOSPITALARIA",IF(P44=CURSOS!$D$4,"ACOMPAÑAMIENTO Y MANEJO DEL DUELO",IF(P44=CURSOS!$D$5,"ATENCION A VICTIMAS DE ATAQUE CON AGENTES QUIMICOS ",IF(P44=CURSOS!$D$6,"PRIMEROS AUXILIOS ",IF(P44=CURSOS!$D$7,"DIPLOMADO DE UNIDAD DE CUIDADOS INTENSIVOS (UCI)",IF(P44=CURSOS!$D$8,"MODELO DE ATENCION PARA EVENTOS EMERGENTES EN SALUD MENTAL (CODIGO VERDE)",IF(P44=CURSOS!$D$9,"HUMANIZACION EN EL SERVICIO DE LA SALUD Y BUENAS PRACTICAS EN PACIENTE ",IF(P44=CURSOS!$D$10,"CLINICA DE HERIDAS ",IF(P44=CURSOS!$D$11,"TOMA DE CITOLOGIA CERVICO VAGINAL ",IF(P44=CURSOS!$D$12,"SOPORTE CARDIOVASCULAR AVANZADO (ACLS) ",IF(P44=CURSOS!$D$13,"CAMILLERO ",IF(P44=CURSOS!$D$14,"TOMA DE MUESTRAS Y LABORATORIO ",IF(P44=CURSOS!$D$15,"SOPORTE VITAL BASICO (BLS)",IF(P44=CURSOS!$D$16,"ATENCION A VICTIMAS DE VIOLENCIA SEXUAL ",IF(P44=CURSOS!$D$17,"PROGRAMADO AMPLIADO DE INMUNIZACION (PAI - COVID 19)",IF(P44=CURSOS!$D$18,"ATENCION INTEGRAL EN ENFERMEDADES PREVALENTES EN PRIMERA INFANCIA (AIEPI)",IF(P44=CURSOS!$D$19,"ADMINISTRACION DE MEDICAMENTOS, INYECTOLOGIA  Y CANALIZACION ",IF(P44=CURSOS!$D$20,"OPERADOR DE VEHICULOS DE EMERGENCIA (OVE)",IF(P44=CURSOS!$D$21,"INSTITUCIONES AMIGAS DE LA MUJER Y LA INFANCIA (IAMI)",IF(P44=CURSOS!$D$22,"CUIDADO DEL DONANTE DE ORGANOS",IF(P44=CURSOS!$D$23,"ATENCION A VICTIMAS POR VIOLENCIA DE GENERO",IF(P44=CURSOS!$D$24,"IGUALDAD DE GENERO EN LA SALUD",IF(P44=CURSOS!$D$25,"BRIGADA DE EMERGENCIA",IF(P44=CURSOS!$D$26,"MANEJO DEL DOLOR Y CUIDADOS PALIATIVOS",IF(P44=CURSOS!$D$27,"TOMA DE MUESTRAS Y LABORATORIO POCT",IF(P44=CURSOS!$D$28,"IMPLANTE SUBDERMICO DE DISPOSITIVO INTRAUTERINO",IF(P44=CURSOS!$D$29,"SALUD MENTAL",IF(P44=CURSOS!$D$30,"PRIMEROS AUXILIOS PSICOLOGICOS",IF(P44=CURSOS!$D$31,"ATENCION A VICTIMAS POR CONFLICTO ARMADO",IF(P44=CURSOS!$D$32,"MANIPULACION DE ALIMENTOS Y BPM",IF(P44=CURSOS!$D$33,"ATENCION A PERSONAS CON DISCAPACIDAD",IF(P44=CURSOS!$D$34,"CUIDADO INTEGRAL DEL PACIENTE ADULTO",IF(P44=CURSOS!$D$35,"MANEJO DEFENSIVO",IF(P44=CURSOS!$D$36,"SOPORTE CARDIOVASCULAR AVANZADO NEONATAL",IF(P44=CURSOS!$D$37,"SEGURIDAD DEL PACIENTE",IF(P44=CURSOS!$D$38,"MANEJO DE RESIDUOS HOSPITALARIOS",IF(P44=CURSOS!$D$39,"ATENCION DE PACIENTE POR CONSUMO SUSTANCIAS PSICOACTIVAS Y ADICCIONES")))))))))))))))))))))))))))))))))))))</f>
        <v xml:space="preserve">ATENCION A VICTIMAS DE VIOLENCIA SEXUAL </v>
      </c>
      <c r="W44" s="62" t="str">
        <f t="shared" si="3"/>
        <v>Daira Yuliana Miramag Villota</v>
      </c>
      <c r="X44" s="62" t="str">
        <f t="shared" si="4"/>
        <v>Daira Yuliana Miramag Villota</v>
      </c>
      <c r="Y44" s="62" t="str">
        <f t="shared" si="5"/>
        <v>Daira Yuliana Miramag Villota-1004437731-VIOLENCIA SEXUAL</v>
      </c>
    </row>
    <row r="45" spans="1:25" s="57" customFormat="1" x14ac:dyDescent="0.2">
      <c r="A45" s="58">
        <v>44</v>
      </c>
      <c r="B45" s="59">
        <v>1004437731</v>
      </c>
      <c r="C45" s="59" t="s">
        <v>302</v>
      </c>
      <c r="D45" s="59" t="s">
        <v>303</v>
      </c>
      <c r="E45" s="59" t="s">
        <v>304</v>
      </c>
      <c r="F45" s="59" t="s">
        <v>305</v>
      </c>
      <c r="G45" s="59">
        <v>8</v>
      </c>
      <c r="H45" s="59" t="s">
        <v>200</v>
      </c>
      <c r="I45" s="60" t="s">
        <v>115</v>
      </c>
      <c r="J45" s="60" t="s">
        <v>123</v>
      </c>
      <c r="K45" s="61">
        <v>45785</v>
      </c>
      <c r="L45" s="66">
        <v>64000</v>
      </c>
      <c r="M45" s="59" t="s">
        <v>103</v>
      </c>
      <c r="N45" s="59" t="s">
        <v>245</v>
      </c>
      <c r="O45" s="59" t="s">
        <v>116</v>
      </c>
      <c r="P45" s="59" t="s">
        <v>23</v>
      </c>
      <c r="Q45" s="61">
        <v>37085</v>
      </c>
      <c r="R45" s="59" t="s">
        <v>102</v>
      </c>
      <c r="S45" s="59" t="s">
        <v>201</v>
      </c>
      <c r="T45" s="59">
        <v>3173274150</v>
      </c>
      <c r="U45" s="59" t="s">
        <v>306</v>
      </c>
      <c r="V45" s="62" t="str">
        <f>IF(P45=CURSOS!$D$3,"DIPLOMADO EN ATENCION PRE-HOSPITALARIA",IF(P45=CURSOS!$D$4,"ACOMPAÑAMIENTO Y MANEJO DEL DUELO",IF(P45=CURSOS!$D$5,"ATENCION A VICTIMAS DE ATAQUE CON AGENTES QUIMICOS ",IF(P45=CURSOS!$D$6,"PRIMEROS AUXILIOS ",IF(P45=CURSOS!$D$7,"DIPLOMADO DE UNIDAD DE CUIDADOS INTENSIVOS (UCI)",IF(P45=CURSOS!$D$8,"MODELO DE ATENCION PARA EVENTOS EMERGENTES EN SALUD MENTAL (CODIGO VERDE)",IF(P45=CURSOS!$D$9,"HUMANIZACION EN EL SERVICIO DE LA SALUD Y BUENAS PRACTICAS EN PACIENTE ",IF(P45=CURSOS!$D$10,"CLINICA DE HERIDAS ",IF(P45=CURSOS!$D$11,"TOMA DE CITOLOGIA CERVICO VAGINAL ",IF(P45=CURSOS!$D$12,"SOPORTE CARDIOVASCULAR AVANZADO (ACLS) ",IF(P45=CURSOS!$D$13,"CAMILLERO ",IF(P45=CURSOS!$D$14,"TOMA DE MUESTRAS Y LABORATORIO ",IF(P45=CURSOS!$D$15,"SOPORTE VITAL BASICO (BLS)",IF(P45=CURSOS!$D$16,"ATENCION A VICTIMAS DE VIOLENCIA SEXUAL ",IF(P45=CURSOS!$D$17,"PROGRAMADO AMPLIADO DE INMUNIZACION (PAI - COVID 19)",IF(P45=CURSOS!$D$18,"ATENCION INTEGRAL EN ENFERMEDADES PREVALENTES EN PRIMERA INFANCIA (AIEPI)",IF(P45=CURSOS!$D$19,"ADMINISTRACION DE MEDICAMENTOS, INYECTOLOGIA  Y CANALIZACION ",IF(P45=CURSOS!$D$20,"OPERADOR DE VEHICULOS DE EMERGENCIA (OVE)",IF(P45=CURSOS!$D$21,"INSTITUCIONES AMIGAS DE LA MUJER Y LA INFANCIA (IAMI)",IF(P45=CURSOS!$D$22,"CUIDADO DEL DONANTE DE ORGANOS",IF(P45=CURSOS!$D$23,"ATENCION A VICTIMAS POR VIOLENCIA DE GENERO",IF(P45=CURSOS!$D$24,"IGUALDAD DE GENERO EN LA SALUD",IF(P45=CURSOS!$D$25,"BRIGADA DE EMERGENCIA",IF(P45=CURSOS!$D$26,"MANEJO DEL DOLOR Y CUIDADOS PALIATIVOS",IF(P45=CURSOS!$D$27,"TOMA DE MUESTRAS Y LABORATORIO POCT",IF(P45=CURSOS!$D$28,"IMPLANTE SUBDERMICO DE DISPOSITIVO INTRAUTERINO",IF(P45=CURSOS!$D$29,"SALUD MENTAL",IF(P45=CURSOS!$D$30,"PRIMEROS AUXILIOS PSICOLOGICOS",IF(P45=CURSOS!$D$31,"ATENCION A VICTIMAS POR CONFLICTO ARMADO",IF(P45=CURSOS!$D$32,"MANIPULACION DE ALIMENTOS Y BPM",IF(P45=CURSOS!$D$33,"ATENCION A PERSONAS CON DISCAPACIDAD",IF(P45=CURSOS!$D$34,"CUIDADO INTEGRAL DEL PACIENTE ADULTO",IF(P45=CURSOS!$D$35,"MANEJO DEFENSIVO",IF(P45=CURSOS!$D$36,"SOPORTE CARDIOVASCULAR AVANZADO NEONATAL",IF(P45=CURSOS!$D$37,"SEGURIDAD DEL PACIENTE",IF(P45=CURSOS!$D$38,"MANEJO DE RESIDUOS HOSPITALARIOS",IF(P45=CURSOS!$D$39,"ATENCION DE PACIENTE POR CONSUMO SUSTANCIAS PSICOACTIVAS Y ADICCIONES")))))))))))))))))))))))))))))))))))))</f>
        <v>ACOMPAÑAMIENTO Y MANEJO DEL DUELO</v>
      </c>
      <c r="W45" s="62" t="str">
        <f t="shared" si="3"/>
        <v>Daira Yuliana Miramag Villota</v>
      </c>
      <c r="X45" s="62" t="str">
        <f t="shared" si="4"/>
        <v>Daira Yuliana Miramag Villota</v>
      </c>
      <c r="Y45" s="62" t="str">
        <f t="shared" si="5"/>
        <v>Daira Yuliana Miramag Villota-1004437731-DUELO</v>
      </c>
    </row>
    <row r="46" spans="1:25" s="75" customFormat="1" x14ac:dyDescent="0.2">
      <c r="A46" s="58">
        <v>45</v>
      </c>
      <c r="B46" s="59">
        <v>1085298753</v>
      </c>
      <c r="C46" s="59" t="s">
        <v>148</v>
      </c>
      <c r="D46" s="59" t="s">
        <v>307</v>
      </c>
      <c r="E46" s="59" t="s">
        <v>308</v>
      </c>
      <c r="F46" s="59" t="s">
        <v>309</v>
      </c>
      <c r="G46" s="59">
        <v>8</v>
      </c>
      <c r="H46" s="59" t="s">
        <v>200</v>
      </c>
      <c r="I46" s="60" t="s">
        <v>115</v>
      </c>
      <c r="J46" s="60" t="s">
        <v>123</v>
      </c>
      <c r="K46" s="61">
        <v>45785</v>
      </c>
      <c r="L46" s="66">
        <v>40000</v>
      </c>
      <c r="M46" s="59" t="s">
        <v>103</v>
      </c>
      <c r="N46" s="59" t="s">
        <v>245</v>
      </c>
      <c r="O46" s="59" t="s">
        <v>116</v>
      </c>
      <c r="P46" s="59" t="s">
        <v>48</v>
      </c>
      <c r="Q46" s="60">
        <v>33810</v>
      </c>
      <c r="R46" s="63" t="s">
        <v>102</v>
      </c>
      <c r="S46" s="59" t="s">
        <v>310</v>
      </c>
      <c r="T46" s="59">
        <v>3225875677</v>
      </c>
      <c r="U46" s="59" t="s">
        <v>311</v>
      </c>
      <c r="V46" s="62" t="str">
        <f>IF(P46=CURSOS!$D$3,"DIPLOMADO EN ATENCION PRE-HOSPITALARIA",IF(P46=CURSOS!$D$4,"ACOMPAÑAMIENTO Y MANEJO DEL DUELO",IF(P46=CURSOS!$D$5,"ATENCION A VICTIMAS DE ATAQUE CON AGENTES QUIMICOS ",IF(P46=CURSOS!$D$6,"PRIMEROS AUXILIOS ",IF(P46=CURSOS!$D$7,"DIPLOMADO DE UNIDAD DE CUIDADOS INTENSIVOS (UCI)",IF(P46=CURSOS!$D$8,"MODELO DE ATENCION PARA EVENTOS EMERGENTES EN SALUD MENTAL (CODIGO VERDE)",IF(P46=CURSOS!$D$9,"HUMANIZACION EN EL SERVICIO DE LA SALUD Y BUENAS PRACTICAS EN PACIENTE ",IF(P46=CURSOS!$D$10,"CLINICA DE HERIDAS ",IF(P46=CURSOS!$D$11,"TOMA DE CITOLOGIA CERVICO VAGINAL ",IF(P46=CURSOS!$D$12,"SOPORTE CARDIOVASCULAR AVANZADO (ACLS) ",IF(P46=CURSOS!$D$13,"CAMILLERO ",IF(P46=CURSOS!$D$14,"TOMA DE MUESTRAS Y LABORATORIO ",IF(P46=CURSOS!$D$15,"SOPORTE VITAL BASICO (BLS)",IF(P46=CURSOS!$D$16,"ATENCION A VICTIMAS DE VIOLENCIA SEXUAL ",IF(P46=CURSOS!$D$17,"PROGRAMADO AMPLIADO DE INMUNIZACION (PAI - COVID 19)",IF(P46=CURSOS!$D$18,"ATENCION INTEGRAL EN ENFERMEDADES PREVALENTES EN PRIMERA INFANCIA (AIEPI)",IF(P46=CURSOS!$D$19,"ADMINISTRACION DE MEDICAMENTOS, INYECTOLOGIA  Y CANALIZACION ",IF(P46=CURSOS!$D$20,"OPERADOR DE VEHICULOS DE EMERGENCIA (OVE)",IF(P46=CURSOS!$D$21,"INSTITUCIONES AMIGAS DE LA MUJER Y LA INFANCIA (IAMI)",IF(P46=CURSOS!$D$22,"CUIDADO DEL DONANTE DE ORGANOS",IF(P46=CURSOS!$D$23,"ATENCION A VICTIMAS POR VIOLENCIA DE GENERO",IF(P46=CURSOS!$D$24,"IGUALDAD DE GENERO EN LA SALUD",IF(P46=CURSOS!$D$25,"BRIGADA DE EMERGENCIA",IF(P46=CURSOS!$D$26,"MANEJO DEL DOLOR Y CUIDADOS PALIATIVOS",IF(P46=CURSOS!$D$27,"TOMA DE MUESTRAS Y LABORATORIO POCT",IF(P46=CURSOS!$D$28,"IMPLANTE SUBDERMICO DE DISPOSITIVO INTRAUTERINO",IF(P46=CURSOS!$D$29,"SALUD MENTAL",IF(P46=CURSOS!$D$30,"PRIMEROS AUXILIOS PSICOLOGICOS",IF(P46=CURSOS!$D$31,"ATENCION A VICTIMAS POR CONFLICTO ARMADO",IF(P46=CURSOS!$D$32,"MANIPULACION DE ALIMENTOS Y BPM",IF(P46=CURSOS!$D$33,"ATENCION A PERSONAS CON DISCAPACIDAD",IF(P46=CURSOS!$D$34,"CUIDADO INTEGRAL DEL PACIENTE ADULTO",IF(P46=CURSOS!$D$35,"MANEJO DEFENSIVO",IF(P46=CURSOS!$D$36,"SOPORTE CARDIOVASCULAR AVANZADO NEONATAL",IF(P46=CURSOS!$D$37,"SEGURIDAD DEL PACIENTE",IF(P46=CURSOS!$D$38,"MANEJO DE RESIDUOS HOSPITALARIOS",IF(P46=CURSOS!$D$39,"ATENCION DE PACIENTE POR CONSUMO SUSTANCIAS PSICOACTIVAS Y ADICCIONES")))))))))))))))))))))))))))))))))))))</f>
        <v>INSTITUCIONES AMIGAS DE LA MUJER Y LA INFANCIA (IAMI)</v>
      </c>
      <c r="W46" s="62" t="str">
        <f t="shared" si="3"/>
        <v>Anyel Viviana Garcia Genoy</v>
      </c>
      <c r="X46" s="62" t="str">
        <f t="shared" si="4"/>
        <v>Anyel Viviana Garcia Genoy</v>
      </c>
      <c r="Y46" s="62" t="str">
        <f t="shared" si="5"/>
        <v>Anyel Viviana Garcia Genoy-1085298753-IAMI</v>
      </c>
    </row>
    <row r="47" spans="1:25" s="57" customFormat="1" x14ac:dyDescent="0.2">
      <c r="A47" s="58">
        <v>46</v>
      </c>
      <c r="B47" s="59">
        <v>1233190559</v>
      </c>
      <c r="C47" s="59" t="s">
        <v>312</v>
      </c>
      <c r="D47" s="59" t="s">
        <v>313</v>
      </c>
      <c r="E47" s="59" t="s">
        <v>314</v>
      </c>
      <c r="F47" s="59" t="s">
        <v>315</v>
      </c>
      <c r="G47" s="59">
        <v>8</v>
      </c>
      <c r="H47" s="59" t="s">
        <v>200</v>
      </c>
      <c r="I47" s="60" t="s">
        <v>115</v>
      </c>
      <c r="J47" s="60" t="s">
        <v>123</v>
      </c>
      <c r="K47" s="61">
        <v>45785</v>
      </c>
      <c r="L47" s="66">
        <v>32000</v>
      </c>
      <c r="M47" s="59" t="s">
        <v>103</v>
      </c>
      <c r="N47" s="59" t="s">
        <v>245</v>
      </c>
      <c r="O47" s="59" t="s">
        <v>116</v>
      </c>
      <c r="P47" s="59" t="s">
        <v>19</v>
      </c>
      <c r="Q47" s="60">
        <v>35314</v>
      </c>
      <c r="R47" s="59" t="s">
        <v>102</v>
      </c>
      <c r="S47" s="59" t="s">
        <v>201</v>
      </c>
      <c r="T47" s="59">
        <v>3165169537</v>
      </c>
      <c r="U47" s="59" t="s">
        <v>316</v>
      </c>
      <c r="V47" s="62" t="str">
        <f>IF(P47=CURSOS!$D$3,"DIPLOMADO EN ATENCION PRE-HOSPITALARIA",IF(P47=CURSOS!$D$4,"ACOMPAÑAMIENTO Y MANEJO DEL DUELO",IF(P47=CURSOS!$D$5,"ATENCION A VICTIMAS DE ATAQUE CON AGENTES QUIMICOS ",IF(P47=CURSOS!$D$6,"PRIMEROS AUXILIOS ",IF(P47=CURSOS!$D$7,"DIPLOMADO DE UNIDAD DE CUIDADOS INTENSIVOS (UCI)",IF(P47=CURSOS!$D$8,"MODELO DE ATENCION PARA EVENTOS EMERGENTES EN SALUD MENTAL (CODIGO VERDE)",IF(P47=CURSOS!$D$9,"HUMANIZACION EN EL SERVICIO DE LA SALUD Y BUENAS PRACTICAS EN PACIENTE ",IF(P47=CURSOS!$D$10,"CLINICA DE HERIDAS ",IF(P47=CURSOS!$D$11,"TOMA DE CITOLOGIA CERVICO VAGINAL ",IF(P47=CURSOS!$D$12,"SOPORTE CARDIOVASCULAR AVANZADO (ACLS) ",IF(P47=CURSOS!$D$13,"CAMILLERO ",IF(P47=CURSOS!$D$14,"TOMA DE MUESTRAS Y LABORATORIO ",IF(P47=CURSOS!$D$15,"SOPORTE VITAL BASICO (BLS)",IF(P47=CURSOS!$D$16,"ATENCION A VICTIMAS DE VIOLENCIA SEXUAL ",IF(P47=CURSOS!$D$17,"PROGRAMADO AMPLIADO DE INMUNIZACION (PAI - COVID 19)",IF(P47=CURSOS!$D$18,"ATENCION INTEGRAL EN ENFERMEDADES PREVALENTES EN PRIMERA INFANCIA (AIEPI)",IF(P47=CURSOS!$D$19,"ADMINISTRACION DE MEDICAMENTOS, INYECTOLOGIA  Y CANALIZACION ",IF(P47=CURSOS!$D$20,"OPERADOR DE VEHICULOS DE EMERGENCIA (OVE)",IF(P47=CURSOS!$D$21,"INSTITUCIONES AMIGAS DE LA MUJER Y LA INFANCIA (IAMI)",IF(P47=CURSOS!$D$22,"CUIDADO DEL DONANTE DE ORGANOS",IF(P47=CURSOS!$D$23,"ATENCION A VICTIMAS POR VIOLENCIA DE GENERO",IF(P47=CURSOS!$D$24,"IGUALDAD DE GENERO EN LA SALUD",IF(P47=CURSOS!$D$25,"BRIGADA DE EMERGENCIA",IF(P47=CURSOS!$D$26,"MANEJO DEL DOLOR Y CUIDADOS PALIATIVOS",IF(P47=CURSOS!$D$27,"TOMA DE MUESTRAS Y LABORATORIO POCT",IF(P47=CURSOS!$D$28,"IMPLANTE SUBDERMICO DE DISPOSITIVO INTRAUTERINO",IF(P47=CURSOS!$D$29,"SALUD MENTAL",IF(P47=CURSOS!$D$30,"PRIMEROS AUXILIOS PSICOLOGICOS",IF(P47=CURSOS!$D$31,"ATENCION A VICTIMAS POR CONFLICTO ARMADO",IF(P47=CURSOS!$D$32,"MANIPULACION DE ALIMENTOS Y BPM",IF(P47=CURSOS!$D$33,"ATENCION A PERSONAS CON DISCAPACIDAD",IF(P47=CURSOS!$D$34,"CUIDADO INTEGRAL DEL PACIENTE ADULTO",IF(P47=CURSOS!$D$35,"MANEJO DEFENSIVO",IF(P47=CURSOS!$D$36,"SOPORTE CARDIOVASCULAR AVANZADO NEONATAL",IF(P47=CURSOS!$D$37,"SEGURIDAD DEL PACIENTE",IF(P47=CURSOS!$D$38,"MANEJO DE RESIDUOS HOSPITALARIOS",IF(P47=CURSOS!$D$39,"ATENCION DE PACIENTE POR CONSUMO SUSTANCIAS PSICOACTIVAS Y ADICCIONES")))))))))))))))))))))))))))))))))))))</f>
        <v>SOPORTE VITAL BASICO (BLS)</v>
      </c>
      <c r="W47" s="62" t="str">
        <f t="shared" si="3"/>
        <v>Leydi Lorena Timaran Cuaspud</v>
      </c>
      <c r="X47" s="62" t="str">
        <f t="shared" si="4"/>
        <v>Leydi Lorena Timaran Cuaspud</v>
      </c>
      <c r="Y47" s="62" t="str">
        <f t="shared" si="5"/>
        <v>Leydi Lorena Timaran Cuaspud-1233190559-BLS</v>
      </c>
    </row>
    <row r="48" spans="1:25" s="57" customFormat="1" x14ac:dyDescent="0.2">
      <c r="A48" s="58">
        <v>47</v>
      </c>
      <c r="B48" s="59">
        <v>1010075116</v>
      </c>
      <c r="C48" s="59" t="s">
        <v>317</v>
      </c>
      <c r="D48" s="59" t="s">
        <v>318</v>
      </c>
      <c r="E48" s="59" t="s">
        <v>319</v>
      </c>
      <c r="F48" s="59" t="s">
        <v>249</v>
      </c>
      <c r="G48" s="59">
        <v>8</v>
      </c>
      <c r="H48" s="59" t="s">
        <v>200</v>
      </c>
      <c r="I48" s="60" t="s">
        <v>115</v>
      </c>
      <c r="J48" s="60" t="s">
        <v>240</v>
      </c>
      <c r="K48" s="61">
        <v>45786</v>
      </c>
      <c r="L48" s="66">
        <v>32000</v>
      </c>
      <c r="M48" s="59" t="s">
        <v>103</v>
      </c>
      <c r="N48" s="59" t="s">
        <v>138</v>
      </c>
      <c r="O48" s="59" t="s">
        <v>116</v>
      </c>
      <c r="P48" s="59" t="s">
        <v>42</v>
      </c>
      <c r="Q48" s="60">
        <v>37219</v>
      </c>
      <c r="R48" s="59" t="s">
        <v>102</v>
      </c>
      <c r="S48" s="59" t="s">
        <v>320</v>
      </c>
      <c r="T48" s="64">
        <v>3162524890</v>
      </c>
      <c r="U48" s="59" t="s">
        <v>321</v>
      </c>
      <c r="V48" s="62" t="str">
        <f>IF(P48=CURSOS!$D$3,"DIPLOMADO EN ATENCION PRE-HOSPITALARIA",IF(P48=CURSOS!$D$4,"ACOMPAÑAMIENTO Y MANEJO DEL DUELO",IF(P48=CURSOS!$D$5,"ATENCION A VICTIMAS DE ATAQUE CON AGENTES QUIMICOS ",IF(P48=CURSOS!$D$6,"PRIMEROS AUXILIOS ",IF(P48=CURSOS!$D$7,"DIPLOMADO DE UNIDAD DE CUIDADOS INTENSIVOS (UCI)",IF(P48=CURSOS!$D$8,"MODELO DE ATENCION PARA EVENTOS EMERGENTES EN SALUD MENTAL (CODIGO VERDE)",IF(P48=CURSOS!$D$9,"HUMANIZACION EN EL SERVICIO DE LA SALUD Y BUENAS PRACTICAS EN PACIENTE ",IF(P48=CURSOS!$D$10,"CLINICA DE HERIDAS ",IF(P48=CURSOS!$D$11,"TOMA DE CITOLOGIA CERVICO VAGINAL ",IF(P48=CURSOS!$D$12,"SOPORTE CARDIOVASCULAR AVANZADO (ACLS) ",IF(P48=CURSOS!$D$13,"CAMILLERO ",IF(P48=CURSOS!$D$14,"TOMA DE MUESTRAS Y LABORATORIO ",IF(P48=CURSOS!$D$15,"SOPORTE VITAL BASICO (BLS)",IF(P48=CURSOS!$D$16,"ATENCION A VICTIMAS DE VIOLENCIA SEXUAL ",IF(P48=CURSOS!$D$17,"PROGRAMADO AMPLIADO DE INMUNIZACION (PAI - COVID 19)",IF(P48=CURSOS!$D$18,"ATENCION INTEGRAL EN ENFERMEDADES PREVALENTES EN PRIMERA INFANCIA (AIEPI)",IF(P48=CURSOS!$D$19,"ADMINISTRACION DE MEDICAMENTOS, INYECTOLOGIA  Y CANALIZACION ",IF(P48=CURSOS!$D$20,"OPERADOR DE VEHICULOS DE EMERGENCIA (OVE)",IF(P48=CURSOS!$D$21,"INSTITUCIONES AMIGAS DE LA MUJER Y LA INFANCIA (IAMI)",IF(P48=CURSOS!$D$22,"CUIDADO DEL DONANTE DE ORGANOS",IF(P48=CURSOS!$D$23,"ATENCION A VICTIMAS POR VIOLENCIA DE GENERO",IF(P48=CURSOS!$D$24,"IGUALDAD DE GENERO EN LA SALUD",IF(P48=CURSOS!$D$25,"BRIGADA DE EMERGENCIA",IF(P48=CURSOS!$D$26,"MANEJO DEL DOLOR Y CUIDADOS PALIATIVOS",IF(P48=CURSOS!$D$27,"TOMA DE MUESTRAS Y LABORATORIO POCT",IF(P48=CURSOS!$D$28,"IMPLANTE SUBDERMICO DE DISPOSITIVO INTRAUTERINO",IF(P48=CURSOS!$D$29,"SALUD MENTAL",IF(P48=CURSOS!$D$30,"PRIMEROS AUXILIOS PSICOLOGICOS",IF(P48=CURSOS!$D$31,"ATENCION A VICTIMAS POR CONFLICTO ARMADO",IF(P48=CURSOS!$D$32,"MANIPULACION DE ALIMENTOS Y BPM",IF(P48=CURSOS!$D$33,"ATENCION A PERSONAS CON DISCAPACIDAD",IF(P48=CURSOS!$D$34,"CUIDADO INTEGRAL DEL PACIENTE ADULTO",IF(P48=CURSOS!$D$35,"MANEJO DEFENSIVO",IF(P48=CURSOS!$D$36,"SOPORTE CARDIOVASCULAR AVANZADO NEONATAL",IF(P48=CURSOS!$D$37,"SEGURIDAD DEL PACIENTE",IF(P48=CURSOS!$D$38,"MANEJO DE RESIDUOS HOSPITALARIOS",IF(P48=CURSOS!$D$39,"ATENCION DE PACIENTE POR CONSUMO SUSTANCIAS PSICOACTIVAS Y ADICCIONES")))))))))))))))))))))))))))))))))))))</f>
        <v xml:space="preserve">ATENCION A VICTIMAS DE VIOLENCIA SEXUAL </v>
      </c>
      <c r="W48" s="62" t="str">
        <f t="shared" si="3"/>
        <v>Nathaly Alexandra Loza Portilla</v>
      </c>
      <c r="X48" s="62" t="str">
        <f t="shared" si="4"/>
        <v>Nathaly Alexandra Loza Portilla</v>
      </c>
      <c r="Y48" s="62" t="str">
        <f t="shared" si="5"/>
        <v>Nathaly Alexandra Loza Portilla-1010075116-VIOLENCIA SEXUAL</v>
      </c>
    </row>
    <row r="49" spans="1:25" s="57" customFormat="1" x14ac:dyDescent="0.2">
      <c r="A49" s="58">
        <v>48</v>
      </c>
      <c r="B49" s="59">
        <v>1010075116</v>
      </c>
      <c r="C49" s="59" t="s">
        <v>317</v>
      </c>
      <c r="D49" s="59" t="s">
        <v>318</v>
      </c>
      <c r="E49" s="59" t="s">
        <v>319</v>
      </c>
      <c r="F49" s="59" t="s">
        <v>249</v>
      </c>
      <c r="G49" s="59">
        <v>8</v>
      </c>
      <c r="H49" s="59" t="s">
        <v>200</v>
      </c>
      <c r="I49" s="60" t="s">
        <v>115</v>
      </c>
      <c r="J49" s="60" t="s">
        <v>240</v>
      </c>
      <c r="K49" s="61">
        <v>45786</v>
      </c>
      <c r="L49" s="66">
        <v>32000</v>
      </c>
      <c r="M49" s="59" t="s">
        <v>103</v>
      </c>
      <c r="N49" s="59" t="s">
        <v>138</v>
      </c>
      <c r="O49" s="59" t="s">
        <v>116</v>
      </c>
      <c r="P49" s="59" t="s">
        <v>25</v>
      </c>
      <c r="Q49" s="60">
        <v>37219</v>
      </c>
      <c r="R49" s="59" t="s">
        <v>102</v>
      </c>
      <c r="S49" s="59" t="s">
        <v>320</v>
      </c>
      <c r="T49" s="64">
        <v>3162524890</v>
      </c>
      <c r="U49" s="59" t="s">
        <v>321</v>
      </c>
      <c r="V49" s="62" t="str">
        <f>IF(P49=CURSOS!$D$3,"DIPLOMADO EN ATENCION PRE-HOSPITALARIA",IF(P49=CURSOS!$D$4,"ACOMPAÑAMIENTO Y MANEJO DEL DUELO",IF(P49=CURSOS!$D$5,"ATENCION A VICTIMAS DE ATAQUE CON AGENTES QUIMICOS ",IF(P49=CURSOS!$D$6,"PRIMEROS AUXILIOS ",IF(P49=CURSOS!$D$7,"DIPLOMADO DE UNIDAD DE CUIDADOS INTENSIVOS (UCI)",IF(P49=CURSOS!$D$8,"MODELO DE ATENCION PARA EVENTOS EMERGENTES EN SALUD MENTAL (CODIGO VERDE)",IF(P49=CURSOS!$D$9,"HUMANIZACION EN EL SERVICIO DE LA SALUD Y BUENAS PRACTICAS EN PACIENTE ",IF(P49=CURSOS!$D$10,"CLINICA DE HERIDAS ",IF(P49=CURSOS!$D$11,"TOMA DE CITOLOGIA CERVICO VAGINAL ",IF(P49=CURSOS!$D$12,"SOPORTE CARDIOVASCULAR AVANZADO (ACLS) ",IF(P49=CURSOS!$D$13,"CAMILLERO ",IF(P49=CURSOS!$D$14,"TOMA DE MUESTRAS Y LABORATORIO ",IF(P49=CURSOS!$D$15,"SOPORTE VITAL BASICO (BLS)",IF(P49=CURSOS!$D$16,"ATENCION A VICTIMAS DE VIOLENCIA SEXUAL ",IF(P49=CURSOS!$D$17,"PROGRAMADO AMPLIADO DE INMUNIZACION (PAI - COVID 19)",IF(P49=CURSOS!$D$18,"ATENCION INTEGRAL EN ENFERMEDADES PREVALENTES EN PRIMERA INFANCIA (AIEPI)",IF(P49=CURSOS!$D$19,"ADMINISTRACION DE MEDICAMENTOS, INYECTOLOGIA  Y CANALIZACION ",IF(P49=CURSOS!$D$20,"OPERADOR DE VEHICULOS DE EMERGENCIA (OVE)",IF(P49=CURSOS!$D$21,"INSTITUCIONES AMIGAS DE LA MUJER Y LA INFANCIA (IAMI)",IF(P49=CURSOS!$D$22,"CUIDADO DEL DONANTE DE ORGANOS",IF(P49=CURSOS!$D$23,"ATENCION A VICTIMAS POR VIOLENCIA DE GENERO",IF(P49=CURSOS!$D$24,"IGUALDAD DE GENERO EN LA SALUD",IF(P49=CURSOS!$D$25,"BRIGADA DE EMERGENCIA",IF(P49=CURSOS!$D$26,"MANEJO DEL DOLOR Y CUIDADOS PALIATIVOS",IF(P49=CURSOS!$D$27,"TOMA DE MUESTRAS Y LABORATORIO POCT",IF(P49=CURSOS!$D$28,"IMPLANTE SUBDERMICO DE DISPOSITIVO INTRAUTERINO",IF(P49=CURSOS!$D$29,"SALUD MENTAL",IF(P49=CURSOS!$D$30,"PRIMEROS AUXILIOS PSICOLOGICOS",IF(P49=CURSOS!$D$31,"ATENCION A VICTIMAS POR CONFLICTO ARMADO",IF(P49=CURSOS!$D$32,"MANIPULACION DE ALIMENTOS Y BPM",IF(P49=CURSOS!$D$33,"ATENCION A PERSONAS CON DISCAPACIDAD",IF(P49=CURSOS!$D$34,"CUIDADO INTEGRAL DEL PACIENTE ADULTO",IF(P49=CURSOS!$D$35,"MANEJO DEFENSIVO",IF(P49=CURSOS!$D$36,"SOPORTE CARDIOVASCULAR AVANZADO NEONATAL",IF(P49=CURSOS!$D$37,"SEGURIDAD DEL PACIENTE",IF(P49=CURSOS!$D$38,"MANEJO DE RESIDUOS HOSPITALARIOS",IF(P49=CURSOS!$D$39,"ATENCION DE PACIENTE POR CONSUMO SUSTANCIAS PSICOACTIVAS Y ADICCIONES")))))))))))))))))))))))))))))))))))))</f>
        <v xml:space="preserve">ATENCION A VICTIMAS DE ATAQUE CON AGENTES QUIMICOS </v>
      </c>
      <c r="W49" s="62" t="str">
        <f t="shared" si="3"/>
        <v>Nathaly Alexandra Loza Portilla</v>
      </c>
      <c r="X49" s="62" t="str">
        <f t="shared" si="4"/>
        <v>Nathaly Alexandra Loza Portilla</v>
      </c>
      <c r="Y49" s="62" t="str">
        <f t="shared" si="5"/>
        <v>Nathaly Alexandra Loza Portilla-1010075116-QUIMICOS</v>
      </c>
    </row>
    <row r="50" spans="1:25" s="57" customFormat="1" x14ac:dyDescent="0.2">
      <c r="A50" s="58">
        <v>49</v>
      </c>
      <c r="B50" s="59">
        <v>1010075116</v>
      </c>
      <c r="C50" s="59" t="s">
        <v>317</v>
      </c>
      <c r="D50" s="59" t="s">
        <v>318</v>
      </c>
      <c r="E50" s="59" t="s">
        <v>319</v>
      </c>
      <c r="F50" s="59" t="s">
        <v>249</v>
      </c>
      <c r="G50" s="59">
        <v>9</v>
      </c>
      <c r="H50" s="59" t="s">
        <v>200</v>
      </c>
      <c r="I50" s="60" t="s">
        <v>115</v>
      </c>
      <c r="J50" s="60" t="s">
        <v>240</v>
      </c>
      <c r="K50" s="61">
        <v>45786</v>
      </c>
      <c r="L50" s="66">
        <v>32000</v>
      </c>
      <c r="M50" s="59" t="s">
        <v>103</v>
      </c>
      <c r="N50" s="59" t="s">
        <v>138</v>
      </c>
      <c r="O50" s="59" t="s">
        <v>116</v>
      </c>
      <c r="P50" s="59" t="s">
        <v>32</v>
      </c>
      <c r="Q50" s="60">
        <v>37219</v>
      </c>
      <c r="R50" s="59" t="s">
        <v>102</v>
      </c>
      <c r="S50" s="59" t="s">
        <v>320</v>
      </c>
      <c r="T50" s="64">
        <v>3162524890</v>
      </c>
      <c r="U50" s="59" t="s">
        <v>321</v>
      </c>
      <c r="V50" s="62" t="str">
        <f>IF(P50=CURSOS!$D$3,"DIPLOMADO EN ATENCION PRE-HOSPITALARIA",IF(P50=CURSOS!$D$4,"ACOMPAÑAMIENTO Y MANEJO DEL DUELO",IF(P50=CURSOS!$D$5,"ATENCION A VICTIMAS DE ATAQUE CON AGENTES QUIMICOS ",IF(P50=CURSOS!$D$6,"PRIMEROS AUXILIOS ",IF(P50=CURSOS!$D$7,"DIPLOMADO DE UNIDAD DE CUIDADOS INTENSIVOS (UCI)",IF(P50=CURSOS!$D$8,"MODELO DE ATENCION PARA EVENTOS EMERGENTES EN SALUD MENTAL (CODIGO VERDE)",IF(P50=CURSOS!$D$9,"HUMANIZACION EN EL SERVICIO DE LA SALUD Y BUENAS PRACTICAS EN PACIENTE ",IF(P50=CURSOS!$D$10,"CLINICA DE HERIDAS ",IF(P50=CURSOS!$D$11,"TOMA DE CITOLOGIA CERVICO VAGINAL ",IF(P50=CURSOS!$D$12,"SOPORTE CARDIOVASCULAR AVANZADO (ACLS) ",IF(P50=CURSOS!$D$13,"CAMILLERO ",IF(P50=CURSOS!$D$14,"TOMA DE MUESTRAS Y LABORATORIO ",IF(P50=CURSOS!$D$15,"SOPORTE VITAL BASICO (BLS)",IF(P50=CURSOS!$D$16,"ATENCION A VICTIMAS DE VIOLENCIA SEXUAL ",IF(P50=CURSOS!$D$17,"PROGRAMADO AMPLIADO DE INMUNIZACION (PAI - COVID 19)",IF(P50=CURSOS!$D$18,"ATENCION INTEGRAL EN ENFERMEDADES PREVALENTES EN PRIMERA INFANCIA (AIEPI)",IF(P50=CURSOS!$D$19,"ADMINISTRACION DE MEDICAMENTOS, INYECTOLOGIA  Y CANALIZACION ",IF(P50=CURSOS!$D$20,"OPERADOR DE VEHICULOS DE EMERGENCIA (OVE)",IF(P50=CURSOS!$D$21,"INSTITUCIONES AMIGAS DE LA MUJER Y LA INFANCIA (IAMI)",IF(P50=CURSOS!$D$22,"CUIDADO DEL DONANTE DE ORGANOS",IF(P50=CURSOS!$D$23,"ATENCION A VICTIMAS POR VIOLENCIA DE GENERO",IF(P50=CURSOS!$D$24,"IGUALDAD DE GENERO EN LA SALUD",IF(P50=CURSOS!$D$25,"BRIGADA DE EMERGENCIA",IF(P50=CURSOS!$D$26,"MANEJO DEL DOLOR Y CUIDADOS PALIATIVOS",IF(P50=CURSOS!$D$27,"TOMA DE MUESTRAS Y LABORATORIO POCT",IF(P50=CURSOS!$D$28,"IMPLANTE SUBDERMICO DE DISPOSITIVO INTRAUTERINO",IF(P50=CURSOS!$D$29,"SALUD MENTAL",IF(P50=CURSOS!$D$30,"PRIMEROS AUXILIOS PSICOLOGICOS",IF(P50=CURSOS!$D$31,"ATENCION A VICTIMAS POR CONFLICTO ARMADO",IF(P50=CURSOS!$D$32,"MANIPULACION DE ALIMENTOS Y BPM",IF(P50=CURSOS!$D$33,"ATENCION A PERSONAS CON DISCAPACIDAD",IF(P50=CURSOS!$D$34,"CUIDADO INTEGRAL DEL PACIENTE ADULTO",IF(P50=CURSOS!$D$35,"MANEJO DEFENSIVO",IF(P50=CURSOS!$D$36,"SOPORTE CARDIOVASCULAR AVANZADO NEONATAL",IF(P50=CURSOS!$D$37,"SEGURIDAD DEL PACIENTE",IF(P50=CURSOS!$D$38,"MANEJO DE RESIDUOS HOSPITALARIOS",IF(P50=CURSOS!$D$39,"ATENCION DE PACIENTE POR CONSUMO SUSTANCIAS PSICOACTIVAS Y ADICCIONES")))))))))))))))))))))))))))))))))))))</f>
        <v xml:space="preserve">HUMANIZACION EN EL SERVICIO DE LA SALUD Y BUENAS PRACTICAS EN PACIENTE </v>
      </c>
      <c r="W50" s="62" t="str">
        <f t="shared" si="3"/>
        <v>Nathaly Alexandra Loza Portilla</v>
      </c>
      <c r="X50" s="62" t="str">
        <f t="shared" si="4"/>
        <v>Nathaly Alexandra Loza Portilla</v>
      </c>
      <c r="Y50" s="62" t="str">
        <f t="shared" si="5"/>
        <v>Nathaly Alexandra Loza Portilla-1010075116-HUMANIZACION</v>
      </c>
    </row>
    <row r="51" spans="1:25" s="57" customFormat="1" x14ac:dyDescent="0.2">
      <c r="A51" s="58">
        <v>50</v>
      </c>
      <c r="B51" s="59">
        <v>1010075116</v>
      </c>
      <c r="C51" s="59" t="s">
        <v>317</v>
      </c>
      <c r="D51" s="59" t="s">
        <v>318</v>
      </c>
      <c r="E51" s="59" t="s">
        <v>319</v>
      </c>
      <c r="F51" s="59" t="s">
        <v>249</v>
      </c>
      <c r="G51" s="59">
        <v>7</v>
      </c>
      <c r="H51" s="59" t="s">
        <v>200</v>
      </c>
      <c r="I51" s="60" t="s">
        <v>115</v>
      </c>
      <c r="J51" s="60" t="s">
        <v>240</v>
      </c>
      <c r="K51" s="61">
        <v>45786</v>
      </c>
      <c r="L51" s="66">
        <v>32000</v>
      </c>
      <c r="M51" s="59" t="s">
        <v>103</v>
      </c>
      <c r="N51" s="59" t="s">
        <v>138</v>
      </c>
      <c r="O51" s="59" t="s">
        <v>116</v>
      </c>
      <c r="P51" s="59" t="s">
        <v>278</v>
      </c>
      <c r="Q51" s="60">
        <v>37219</v>
      </c>
      <c r="R51" s="59" t="s">
        <v>102</v>
      </c>
      <c r="S51" s="59" t="s">
        <v>320</v>
      </c>
      <c r="T51" s="64">
        <v>3162524890</v>
      </c>
      <c r="U51" s="59" t="s">
        <v>321</v>
      </c>
      <c r="V51" s="62" t="str">
        <f>IF(P51=CURSOS!$D$3,"DIPLOMADO EN ATENCION PRE-HOSPITALARIA",IF(P51=CURSOS!$D$4,"ACOMPAÑAMIENTO Y MANEJO DEL DUELO",IF(P51=CURSOS!$D$5,"ATENCION A VICTIMAS DE ATAQUE CON AGENTES QUIMICOS ",IF(P51=CURSOS!$D$6,"PRIMEROS AUXILIOS ",IF(P51=CURSOS!$D$7,"DIPLOMADO DE UNIDAD DE CUIDADOS INTENSIVOS (UCI)",IF(P51=CURSOS!$D$8,"MODELO DE ATENCION PARA EVENTOS EMERGENTES EN SALUD MENTAL (CODIGO VERDE)",IF(P51=CURSOS!$D$9,"HUMANIZACION EN EL SERVICIO DE LA SALUD Y BUENAS PRACTICAS EN PACIENTE ",IF(P51=CURSOS!$D$10,"CLINICA DE HERIDAS ",IF(P51=CURSOS!$D$11,"TOMA DE CITOLOGIA CERVICO VAGINAL ",IF(P51=CURSOS!$D$12,"SOPORTE CARDIOVASCULAR AVANZADO (ACLS) ",IF(P51=CURSOS!$D$13,"CAMILLERO ",IF(P51=CURSOS!$D$14,"TOMA DE MUESTRAS Y LABORATORIO ",IF(P51=CURSOS!$D$15,"SOPORTE VITAL BASICO (BLS)",IF(P51=CURSOS!$D$16,"ATENCION A VICTIMAS DE VIOLENCIA SEXUAL ",IF(P51=CURSOS!$D$17,"PROGRAMADO AMPLIADO DE INMUNIZACION (PAI - COVID 19)",IF(P51=CURSOS!$D$18,"ATENCION INTEGRAL EN ENFERMEDADES PREVALENTES EN PRIMERA INFANCIA (AIEPI)",IF(P51=CURSOS!$D$19,"ADMINISTRACION DE MEDICAMENTOS, INYECTOLOGIA  Y CANALIZACION ",IF(P51=CURSOS!$D$20,"OPERADOR DE VEHICULOS DE EMERGENCIA (OVE)",IF(P51=CURSOS!$D$21,"INSTITUCIONES AMIGAS DE LA MUJER Y LA INFANCIA (IAMI)",IF(P51=CURSOS!$D$22,"CUIDADO DEL DONANTE DE ORGANOS",IF(P51=CURSOS!$D$23,"ATENCION A VICTIMAS POR VIOLENCIA DE GENERO",IF(P51=CURSOS!$D$24,"IGUALDAD DE GENERO EN LA SALUD",IF(P51=CURSOS!$D$25,"BRIGADA DE EMERGENCIA",IF(P51=CURSOS!$D$26,"MANEJO DEL DOLOR Y CUIDADOS PALIATIVOS",IF(P51=CURSOS!$D$27,"TOMA DE MUESTRAS Y LABORATORIO POCT",IF(P51=CURSOS!$D$28,"IMPLANTE SUBDERMICO DE DISPOSITIVO INTRAUTERINO",IF(P51=CURSOS!$D$29,"SALUD MENTAL",IF(P51=CURSOS!$D$30,"PRIMEROS AUXILIOS PSICOLOGICOS",IF(P51=CURSOS!$D$31,"ATENCION A VICTIMAS POR CONFLICTO ARMADO",IF(P51=CURSOS!$D$32,"MANIPULACION DE ALIMENTOS Y BPM",IF(P51=CURSOS!$D$33,"ATENCION A PERSONAS CON DISCAPACIDAD",IF(P51=CURSOS!$D$34,"CUIDADO INTEGRAL DEL PACIENTE ADULTO",IF(P51=CURSOS!$D$35,"MANEJO DEFENSIVO",IF(P51=CURSOS!$D$36,"SOPORTE CARDIOVASCULAR AVANZADO NEONATAL",IF(P51=CURSOS!$D$37,"SEGURIDAD DEL PACIENTE",IF(P51=CURSOS!$D$38,"MANEJO DE RESIDUOS HOSPITALARIOS",IF(P51=CURSOS!$D$39,"ATENCION DE PACIENTE POR CONSUMO SUSTANCIAS PSICOACTIVAS Y ADICCIONES")))))))))))))))))))))))))))))))))))))</f>
        <v>ATENCION DE PACIENTE POR CONSUMO SUSTANCIAS PSICOACTIVAS Y ADICCIONES</v>
      </c>
      <c r="W51" s="62" t="str">
        <f t="shared" si="3"/>
        <v>Nathaly Alexandra Loza Portilla</v>
      </c>
      <c r="X51" s="62" t="str">
        <f t="shared" si="4"/>
        <v>Nathaly Alexandra Loza Portilla</v>
      </c>
      <c r="Y51" s="62" t="str">
        <f t="shared" si="5"/>
        <v>Nathaly Alexandra Loza Portilla-1010075116-SUSTANCIAS</v>
      </c>
    </row>
    <row r="52" spans="1:25" x14ac:dyDescent="0.2">
      <c r="A52" s="58">
        <v>51</v>
      </c>
      <c r="B52" s="59">
        <v>1094279414</v>
      </c>
      <c r="C52" s="59" t="s">
        <v>322</v>
      </c>
      <c r="D52" s="59" t="s">
        <v>323</v>
      </c>
      <c r="E52" s="59" t="s">
        <v>324</v>
      </c>
      <c r="F52" s="59" t="s">
        <v>325</v>
      </c>
      <c r="G52" s="59">
        <v>8</v>
      </c>
      <c r="H52" s="59" t="s">
        <v>200</v>
      </c>
      <c r="I52" s="60" t="s">
        <v>122</v>
      </c>
      <c r="J52" s="60" t="s">
        <v>123</v>
      </c>
      <c r="K52" s="61">
        <v>45786</v>
      </c>
      <c r="L52" s="66">
        <v>64000</v>
      </c>
      <c r="M52" s="59" t="s">
        <v>103</v>
      </c>
      <c r="N52" s="59" t="s">
        <v>138</v>
      </c>
      <c r="O52" s="59" t="s">
        <v>116</v>
      </c>
      <c r="P52" s="59" t="s">
        <v>19</v>
      </c>
      <c r="Q52" s="60">
        <v>35581</v>
      </c>
      <c r="R52" s="59" t="s">
        <v>102</v>
      </c>
      <c r="S52" s="59" t="s">
        <v>201</v>
      </c>
      <c r="T52" s="59">
        <v>3124195725</v>
      </c>
      <c r="U52" s="64" t="s">
        <v>326</v>
      </c>
      <c r="V52" s="62" t="str">
        <f>IF(P52=CURSOS!$D$3,"DIPLOMADO EN ATENCION PRE-HOSPITALARIA",IF(P52=CURSOS!$D$4,"ACOMPAÑAMIENTO Y MANEJO DEL DUELO",IF(P52=CURSOS!$D$5,"ATENCION A VICTIMAS DE ATAQUE CON AGENTES QUIMICOS ",IF(P52=CURSOS!$D$6,"PRIMEROS AUXILIOS ",IF(P52=CURSOS!$D$7,"DIPLOMADO DE UNIDAD DE CUIDADOS INTENSIVOS (UCI)",IF(P52=CURSOS!$D$8,"MODELO DE ATENCION PARA EVENTOS EMERGENTES EN SALUD MENTAL (CODIGO VERDE)",IF(P52=CURSOS!$D$9,"HUMANIZACION EN EL SERVICIO DE LA SALUD Y BUENAS PRACTICAS EN PACIENTE ",IF(P52=CURSOS!$D$10,"CLINICA DE HERIDAS ",IF(P52=CURSOS!$D$11,"TOMA DE CITOLOGIA CERVICO VAGINAL ",IF(P52=CURSOS!$D$12,"SOPORTE CARDIOVASCULAR AVANZADO (ACLS) ",IF(P52=CURSOS!$D$13,"CAMILLERO ",IF(P52=CURSOS!$D$14,"TOMA DE MUESTRAS Y LABORATORIO ",IF(P52=CURSOS!$D$15,"SOPORTE VITAL BASICO (BLS)",IF(P52=CURSOS!$D$16,"ATENCION A VICTIMAS DE VIOLENCIA SEXUAL ",IF(P52=CURSOS!$D$17,"PROGRAMADO AMPLIADO DE INMUNIZACION (PAI - COVID 19)",IF(P52=CURSOS!$D$18,"ATENCION INTEGRAL EN ENFERMEDADES PREVALENTES EN PRIMERA INFANCIA (AIEPI)",IF(P52=CURSOS!$D$19,"ADMINISTRACION DE MEDICAMENTOS, INYECTOLOGIA  Y CANALIZACION ",IF(P52=CURSOS!$D$20,"OPERADOR DE VEHICULOS DE EMERGENCIA (OVE)",IF(P52=CURSOS!$D$21,"INSTITUCIONES AMIGAS DE LA MUJER Y LA INFANCIA (IAMI)",IF(P52=CURSOS!$D$22,"CUIDADO DEL DONANTE DE ORGANOS",IF(P52=CURSOS!$D$23,"ATENCION A VICTIMAS POR VIOLENCIA DE GENERO",IF(P52=CURSOS!$D$24,"IGUALDAD DE GENERO EN LA SALUD",IF(P52=CURSOS!$D$25,"BRIGADA DE EMERGENCIA",IF(P52=CURSOS!$D$26,"MANEJO DEL DOLOR Y CUIDADOS PALIATIVOS",IF(P52=CURSOS!$D$27,"TOMA DE MUESTRAS Y LABORATORIO POCT",IF(P52=CURSOS!$D$28,"IMPLANTE SUBDERMICO DE DISPOSITIVO INTRAUTERINO",IF(P52=CURSOS!$D$29,"SALUD MENTAL",IF(P52=CURSOS!$D$30,"PRIMEROS AUXILIOS PSICOLOGICOS",IF(P52=CURSOS!$D$31,"ATENCION A VICTIMAS POR CONFLICTO ARMADO",IF(P52=CURSOS!$D$32,"MANIPULACION DE ALIMENTOS Y BPM",IF(P52=CURSOS!$D$33,"ATENCION A PERSONAS CON DISCAPACIDAD",IF(P52=CURSOS!$D$34,"CUIDADO INTEGRAL DEL PACIENTE ADULTO",IF(P52=CURSOS!$D$35,"MANEJO DEFENSIVO",IF(P52=CURSOS!$D$36,"SOPORTE CARDIOVASCULAR AVANZADO NEONATAL",IF(P52=CURSOS!$D$37,"SEGURIDAD DEL PACIENTE",IF(P52=CURSOS!$D$38,"MANEJO DE RESIDUOS HOSPITALARIOS",IF(P52=CURSOS!$D$39,"ATENCION DE PACIENTE POR CONSUMO SUSTANCIAS PSICOACTIVAS Y ADICCIONES")))))))))))))))))))))))))))))))))))))</f>
        <v>SOPORTE VITAL BASICO (BLS)</v>
      </c>
      <c r="W52" s="62" t="str">
        <f t="shared" si="3"/>
        <v>Dazly Katherine Parada Montes</v>
      </c>
      <c r="X52" s="62" t="str">
        <f t="shared" si="4"/>
        <v>Dazly Katherine Parada Montes</v>
      </c>
      <c r="Y52" s="62" t="str">
        <f t="shared" si="5"/>
        <v>Dazly Katherine Parada Montes-1094279414-BLS</v>
      </c>
    </row>
    <row r="53" spans="1:25" x14ac:dyDescent="0.2">
      <c r="A53" s="58">
        <v>52</v>
      </c>
      <c r="B53" s="59">
        <v>1010075116</v>
      </c>
      <c r="C53" s="59" t="s">
        <v>317</v>
      </c>
      <c r="D53" s="59" t="s">
        <v>318</v>
      </c>
      <c r="E53" s="59" t="s">
        <v>319</v>
      </c>
      <c r="F53" s="59" t="s">
        <v>249</v>
      </c>
      <c r="G53" s="59">
        <v>6</v>
      </c>
      <c r="H53" s="59" t="s">
        <v>200</v>
      </c>
      <c r="I53" s="60" t="s">
        <v>115</v>
      </c>
      <c r="J53" s="60" t="s">
        <v>240</v>
      </c>
      <c r="K53" s="61">
        <v>45786</v>
      </c>
      <c r="L53" s="66">
        <v>32000</v>
      </c>
      <c r="M53" s="59" t="s">
        <v>103</v>
      </c>
      <c r="N53" s="59" t="s">
        <v>138</v>
      </c>
      <c r="O53" s="59" t="s">
        <v>116</v>
      </c>
      <c r="P53" s="59" t="s">
        <v>327</v>
      </c>
      <c r="Q53" s="60">
        <v>37219</v>
      </c>
      <c r="R53" s="59" t="s">
        <v>102</v>
      </c>
      <c r="S53" s="59" t="s">
        <v>320</v>
      </c>
      <c r="T53" s="64">
        <v>3162524890</v>
      </c>
      <c r="U53" s="59" t="s">
        <v>321</v>
      </c>
      <c r="V53" s="62" t="b">
        <f>IF(P53=CURSOS!$D$3,"DIPLOMADO EN ATENCION PRE-HOSPITALARIA",IF(P53=CURSOS!$D$4,"ACOMPAÑAMIENTO Y MANEJO DEL DUELO",IF(P53=CURSOS!$D$5,"ATENCION A VICTIMAS DE ATAQUE CON AGENTES QUIMICOS ",IF(P53=CURSOS!$D$6,"PRIMEROS AUXILIOS ",IF(P53=CURSOS!$D$7,"DIPLOMADO DE UNIDAD DE CUIDADOS INTENSIVOS (UCI)",IF(P53=CURSOS!$D$8,"MODELO DE ATENCION PARA EVENTOS EMERGENTES EN SALUD MENTAL (CODIGO VERDE)",IF(P53=CURSOS!$D$9,"HUMANIZACION EN EL SERVICIO DE LA SALUD Y BUENAS PRACTICAS EN PACIENTE ",IF(P53=CURSOS!$D$10,"CLINICA DE HERIDAS ",IF(P53=CURSOS!$D$11,"TOMA DE CITOLOGIA CERVICO VAGINAL ",IF(P53=CURSOS!$D$12,"SOPORTE CARDIOVASCULAR AVANZADO (ACLS) ",IF(P53=CURSOS!$D$13,"CAMILLERO ",IF(P53=CURSOS!$D$14,"TOMA DE MUESTRAS Y LABORATORIO ",IF(P53=CURSOS!$D$15,"SOPORTE VITAL BASICO (BLS)",IF(P53=CURSOS!$D$16,"ATENCION A VICTIMAS DE VIOLENCIA SEXUAL ",IF(P53=CURSOS!$D$17,"PROGRAMADO AMPLIADO DE INMUNIZACION (PAI - COVID 19)",IF(P53=CURSOS!$D$18,"ATENCION INTEGRAL EN ENFERMEDADES PREVALENTES EN PRIMERA INFANCIA (AIEPI)",IF(P53=CURSOS!$D$19,"ADMINISTRACION DE MEDICAMENTOS, INYECTOLOGIA  Y CANALIZACION ",IF(P53=CURSOS!$D$20,"OPERADOR DE VEHICULOS DE EMERGENCIA (OVE)",IF(P53=CURSOS!$D$21,"INSTITUCIONES AMIGAS DE LA MUJER Y LA INFANCIA (IAMI)",IF(P53=CURSOS!$D$22,"CUIDADO DEL DONANTE DE ORGANOS",IF(P53=CURSOS!$D$23,"ATENCION A VICTIMAS POR VIOLENCIA DE GENERO",IF(P53=CURSOS!$D$24,"IGUALDAD DE GENERO EN LA SALUD",IF(P53=CURSOS!$D$25,"BRIGADA DE EMERGENCIA",IF(P53=CURSOS!$D$26,"MANEJO DEL DOLOR Y CUIDADOS PALIATIVOS",IF(P53=CURSOS!$D$27,"TOMA DE MUESTRAS Y LABORATORIO POCT",IF(P53=CURSOS!$D$28,"IMPLANTE SUBDERMICO DE DISPOSITIVO INTRAUTERINO",IF(P53=CURSOS!$D$29,"SALUD MENTAL",IF(P53=CURSOS!$D$30,"PRIMEROS AUXILIOS PSICOLOGICOS",IF(P53=CURSOS!$D$31,"ATENCION A VICTIMAS POR CONFLICTO ARMADO",IF(P53=CURSOS!$D$32,"MANIPULACION DE ALIMENTOS Y BPM",IF(P53=CURSOS!$D$33,"ATENCION A PERSONAS CON DISCAPACIDAD",IF(P53=CURSOS!$D$34,"CUIDADO INTEGRAL DEL PACIENTE ADULTO",IF(P53=CURSOS!$D$35,"MANEJO DEFENSIVO",IF(P53=CURSOS!$D$36,"SOPORTE CARDIOVASCULAR AVANZADO NEONATAL",IF(P53=CURSOS!$D$37,"SEGURIDAD DEL PACIENTE",IF(P53=CURSOS!$D$38,"MANEJO DE RESIDUOS HOSPITALARIOS",IF(P53=CURSOS!$D$39,"ATENCION DE PACIENTE POR CONSUMO SUSTANCIAS PSICOACTIVAS Y ADICCIONES")))))))))))))))))))))))))))))))))))))</f>
        <v>0</v>
      </c>
      <c r="W53" s="62" t="str">
        <f t="shared" si="3"/>
        <v>Nathaly Alexandra Loza Portilla</v>
      </c>
      <c r="X53" s="62" t="str">
        <f t="shared" si="4"/>
        <v>Nathaly Alexandra Loza Portilla</v>
      </c>
      <c r="Y53" s="62" t="str">
        <f t="shared" si="5"/>
        <v>Nathaly Alexandra Loza Portilla-1010075116-APS</v>
      </c>
    </row>
    <row r="54" spans="1:25" x14ac:dyDescent="0.2">
      <c r="A54" s="58">
        <v>53</v>
      </c>
      <c r="B54" s="59">
        <v>1004516910</v>
      </c>
      <c r="C54" s="59" t="s">
        <v>218</v>
      </c>
      <c r="D54" s="59" t="s">
        <v>328</v>
      </c>
      <c r="E54" s="59" t="s">
        <v>329</v>
      </c>
      <c r="F54" s="59" t="s">
        <v>194</v>
      </c>
      <c r="G54" s="59">
        <v>2</v>
      </c>
      <c r="H54" s="59" t="s">
        <v>200</v>
      </c>
      <c r="I54" s="60" t="s">
        <v>122</v>
      </c>
      <c r="J54" s="60" t="s">
        <v>258</v>
      </c>
      <c r="K54" s="61">
        <v>45786</v>
      </c>
      <c r="L54" s="66">
        <v>70000</v>
      </c>
      <c r="M54" s="59" t="s">
        <v>103</v>
      </c>
      <c r="N54" s="59" t="s">
        <v>138</v>
      </c>
      <c r="O54" s="59" t="s">
        <v>116</v>
      </c>
      <c r="P54" s="59" t="s">
        <v>19</v>
      </c>
      <c r="Q54" s="60">
        <v>37790</v>
      </c>
      <c r="R54" s="59" t="s">
        <v>124</v>
      </c>
      <c r="S54" s="59" t="s">
        <v>201</v>
      </c>
      <c r="T54" s="64">
        <v>3127534137</v>
      </c>
      <c r="U54" s="86" t="s">
        <v>330</v>
      </c>
      <c r="V54" s="62" t="str">
        <f>IF(P54=CURSOS!$D$3,"DIPLOMADO EN ATENCION PRE-HOSPITALARIA",IF(P54=CURSOS!$D$4,"ACOMPAÑAMIENTO Y MANEJO DEL DUELO",IF(P54=CURSOS!$D$5,"ATENCION A VICTIMAS DE ATAQUE CON AGENTES QUIMICOS ",IF(P54=CURSOS!$D$6,"PRIMEROS AUXILIOS ",IF(P54=CURSOS!$D$7,"DIPLOMADO DE UNIDAD DE CUIDADOS INTENSIVOS (UCI)",IF(P54=CURSOS!$D$8,"MODELO DE ATENCION PARA EVENTOS EMERGENTES EN SALUD MENTAL (CODIGO VERDE)",IF(P54=CURSOS!$D$9,"HUMANIZACION EN EL SERVICIO DE LA SALUD Y BUENAS PRACTICAS EN PACIENTE ",IF(P54=CURSOS!$D$10,"CLINICA DE HERIDAS ",IF(P54=CURSOS!$D$11,"TOMA DE CITOLOGIA CERVICO VAGINAL ",IF(P54=CURSOS!$D$12,"SOPORTE CARDIOVASCULAR AVANZADO (ACLS) ",IF(P54=CURSOS!$D$13,"CAMILLERO ",IF(P54=CURSOS!$D$14,"TOMA DE MUESTRAS Y LABORATORIO ",IF(P54=CURSOS!$D$15,"SOPORTE VITAL BASICO (BLS)",IF(P54=CURSOS!$D$16,"ATENCION A VICTIMAS DE VIOLENCIA SEXUAL ",IF(P54=CURSOS!$D$17,"PROGRAMADO AMPLIADO DE INMUNIZACION (PAI - COVID 19)",IF(P54=CURSOS!$D$18,"ATENCION INTEGRAL EN ENFERMEDADES PREVALENTES EN PRIMERA INFANCIA (AIEPI)",IF(P54=CURSOS!$D$19,"ADMINISTRACION DE MEDICAMENTOS, INYECTOLOGIA  Y CANALIZACION ",IF(P54=CURSOS!$D$20,"OPERADOR DE VEHICULOS DE EMERGENCIA (OVE)",IF(P54=CURSOS!$D$21,"INSTITUCIONES AMIGAS DE LA MUJER Y LA INFANCIA (IAMI)",IF(P54=CURSOS!$D$22,"CUIDADO DEL DONANTE DE ORGANOS",IF(P54=CURSOS!$D$23,"ATENCION A VICTIMAS POR VIOLENCIA DE GENERO",IF(P54=CURSOS!$D$24,"IGUALDAD DE GENERO EN LA SALUD",IF(P54=CURSOS!$D$25,"BRIGADA DE EMERGENCIA",IF(P54=CURSOS!$D$26,"MANEJO DEL DOLOR Y CUIDADOS PALIATIVOS",IF(P54=CURSOS!$D$27,"TOMA DE MUESTRAS Y LABORATORIO POCT",IF(P54=CURSOS!$D$28,"IMPLANTE SUBDERMICO DE DISPOSITIVO INTRAUTERINO",IF(P54=CURSOS!$D$29,"SALUD MENTAL",IF(P54=CURSOS!$D$30,"PRIMEROS AUXILIOS PSICOLOGICOS",IF(P54=CURSOS!$D$31,"ATENCION A VICTIMAS POR CONFLICTO ARMADO",IF(P54=CURSOS!$D$32,"MANIPULACION DE ALIMENTOS Y BPM",IF(P54=CURSOS!$D$33,"ATENCION A PERSONAS CON DISCAPACIDAD",IF(P54=CURSOS!$D$34,"CUIDADO INTEGRAL DEL PACIENTE ADULTO",IF(P54=CURSOS!$D$35,"MANEJO DEFENSIVO",IF(P54=CURSOS!$D$36,"SOPORTE CARDIOVASCULAR AVANZADO NEONATAL",IF(P54=CURSOS!$D$37,"SEGURIDAD DEL PACIENTE",IF(P54=CURSOS!$D$38,"MANEJO DE RESIDUOS HOSPITALARIOS",IF(P54=CURSOS!$D$39,"ATENCION DE PACIENTE POR CONSUMO SUSTANCIAS PSICOACTIVAS Y ADICCIONES")))))))))))))))))))))))))))))))))))))</f>
        <v>SOPORTE VITAL BASICO (BLS)</v>
      </c>
      <c r="W54" s="62" t="str">
        <f t="shared" si="3"/>
        <v>Deivid Alejandro Benavides Quiroz</v>
      </c>
      <c r="X54" s="62" t="str">
        <f t="shared" si="4"/>
        <v>Deivid Alejandro Benavides Quiroz</v>
      </c>
      <c r="Y54" s="62" t="str">
        <f t="shared" si="5"/>
        <v>Deivid Alejandro Benavides Quiroz-1004516910-BLS</v>
      </c>
    </row>
    <row r="55" spans="1:25" x14ac:dyDescent="0.2">
      <c r="A55" s="58">
        <v>54</v>
      </c>
      <c r="B55" s="59">
        <v>1004516910</v>
      </c>
      <c r="C55" s="59" t="s">
        <v>218</v>
      </c>
      <c r="D55" s="59" t="s">
        <v>328</v>
      </c>
      <c r="E55" s="59" t="s">
        <v>329</v>
      </c>
      <c r="F55" s="59" t="s">
        <v>194</v>
      </c>
      <c r="G55" s="59">
        <v>9</v>
      </c>
      <c r="H55" s="59" t="s">
        <v>200</v>
      </c>
      <c r="I55" s="60" t="s">
        <v>122</v>
      </c>
      <c r="J55" s="60" t="s">
        <v>258</v>
      </c>
      <c r="K55" s="61">
        <v>45786</v>
      </c>
      <c r="L55" s="66">
        <v>70000</v>
      </c>
      <c r="M55" s="59" t="s">
        <v>103</v>
      </c>
      <c r="N55" s="59" t="s">
        <v>138</v>
      </c>
      <c r="O55" s="59" t="s">
        <v>116</v>
      </c>
      <c r="P55" s="59" t="s">
        <v>32</v>
      </c>
      <c r="Q55" s="60">
        <v>37790</v>
      </c>
      <c r="R55" s="59" t="s">
        <v>124</v>
      </c>
      <c r="S55" s="59" t="s">
        <v>201</v>
      </c>
      <c r="T55" s="64">
        <v>3127534137</v>
      </c>
      <c r="U55" s="86" t="s">
        <v>330</v>
      </c>
      <c r="V55" s="62" t="str">
        <f>IF(P55=CURSOS!$D$3,"DIPLOMADO EN ATENCION PRE-HOSPITALARIA",IF(P55=CURSOS!$D$4,"ACOMPAÑAMIENTO Y MANEJO DEL DUELO",IF(P55=CURSOS!$D$5,"ATENCION A VICTIMAS DE ATAQUE CON AGENTES QUIMICOS ",IF(P55=CURSOS!$D$6,"PRIMEROS AUXILIOS ",IF(P55=CURSOS!$D$7,"DIPLOMADO DE UNIDAD DE CUIDADOS INTENSIVOS (UCI)",IF(P55=CURSOS!$D$8,"MODELO DE ATENCION PARA EVENTOS EMERGENTES EN SALUD MENTAL (CODIGO VERDE)",IF(P55=CURSOS!$D$9,"HUMANIZACION EN EL SERVICIO DE LA SALUD Y BUENAS PRACTICAS EN PACIENTE ",IF(P55=CURSOS!$D$10,"CLINICA DE HERIDAS ",IF(P55=CURSOS!$D$11,"TOMA DE CITOLOGIA CERVICO VAGINAL ",IF(P55=CURSOS!$D$12,"SOPORTE CARDIOVASCULAR AVANZADO (ACLS) ",IF(P55=CURSOS!$D$13,"CAMILLERO ",IF(P55=CURSOS!$D$14,"TOMA DE MUESTRAS Y LABORATORIO ",IF(P55=CURSOS!$D$15,"SOPORTE VITAL BASICO (BLS)",IF(P55=CURSOS!$D$16,"ATENCION A VICTIMAS DE VIOLENCIA SEXUAL ",IF(P55=CURSOS!$D$17,"PROGRAMADO AMPLIADO DE INMUNIZACION (PAI - COVID 19)",IF(P55=CURSOS!$D$18,"ATENCION INTEGRAL EN ENFERMEDADES PREVALENTES EN PRIMERA INFANCIA (AIEPI)",IF(P55=CURSOS!$D$19,"ADMINISTRACION DE MEDICAMENTOS, INYECTOLOGIA  Y CANALIZACION ",IF(P55=CURSOS!$D$20,"OPERADOR DE VEHICULOS DE EMERGENCIA (OVE)",IF(P55=CURSOS!$D$21,"INSTITUCIONES AMIGAS DE LA MUJER Y LA INFANCIA (IAMI)",IF(P55=CURSOS!$D$22,"CUIDADO DEL DONANTE DE ORGANOS",IF(P55=CURSOS!$D$23,"ATENCION A VICTIMAS POR VIOLENCIA DE GENERO",IF(P55=CURSOS!$D$24,"IGUALDAD DE GENERO EN LA SALUD",IF(P55=CURSOS!$D$25,"BRIGADA DE EMERGENCIA",IF(P55=CURSOS!$D$26,"MANEJO DEL DOLOR Y CUIDADOS PALIATIVOS",IF(P55=CURSOS!$D$27,"TOMA DE MUESTRAS Y LABORATORIO POCT",IF(P55=CURSOS!$D$28,"IMPLANTE SUBDERMICO DE DISPOSITIVO INTRAUTERINO",IF(P55=CURSOS!$D$29,"SALUD MENTAL",IF(P55=CURSOS!$D$30,"PRIMEROS AUXILIOS PSICOLOGICOS",IF(P55=CURSOS!$D$31,"ATENCION A VICTIMAS POR CONFLICTO ARMADO",IF(P55=CURSOS!$D$32,"MANIPULACION DE ALIMENTOS Y BPM",IF(P55=CURSOS!$D$33,"ATENCION A PERSONAS CON DISCAPACIDAD",IF(P55=CURSOS!$D$34,"CUIDADO INTEGRAL DEL PACIENTE ADULTO",IF(P55=CURSOS!$D$35,"MANEJO DEFENSIVO",IF(P55=CURSOS!$D$36,"SOPORTE CARDIOVASCULAR AVANZADO NEONATAL",IF(P55=CURSOS!$D$37,"SEGURIDAD DEL PACIENTE",IF(P55=CURSOS!$D$38,"MANEJO DE RESIDUOS HOSPITALARIOS",IF(P55=CURSOS!$D$39,"ATENCION DE PACIENTE POR CONSUMO SUSTANCIAS PSICOACTIVAS Y ADICCIONES")))))))))))))))))))))))))))))))))))))</f>
        <v xml:space="preserve">HUMANIZACION EN EL SERVICIO DE LA SALUD Y BUENAS PRACTICAS EN PACIENTE </v>
      </c>
      <c r="W55" s="62" t="str">
        <f t="shared" si="3"/>
        <v>Deivid Alejandro Benavides Quiroz</v>
      </c>
      <c r="X55" s="62" t="str">
        <f t="shared" si="4"/>
        <v>Deivid Alejandro Benavides Quiroz</v>
      </c>
      <c r="Y55" s="62" t="str">
        <f t="shared" si="5"/>
        <v>Deivid Alejandro Benavides Quiroz-1004516910-HUMANIZACION</v>
      </c>
    </row>
    <row r="56" spans="1:25" x14ac:dyDescent="0.2">
      <c r="A56" s="80">
        <v>55</v>
      </c>
      <c r="B56" s="59">
        <v>1004516910</v>
      </c>
      <c r="C56" s="59" t="s">
        <v>218</v>
      </c>
      <c r="D56" s="59" t="s">
        <v>328</v>
      </c>
      <c r="E56" s="59" t="s">
        <v>329</v>
      </c>
      <c r="F56" s="59" t="s">
        <v>194</v>
      </c>
      <c r="G56" s="59">
        <v>5</v>
      </c>
      <c r="H56" s="59" t="s">
        <v>200</v>
      </c>
      <c r="I56" s="60" t="s">
        <v>122</v>
      </c>
      <c r="J56" s="60" t="s">
        <v>258</v>
      </c>
      <c r="K56" s="61">
        <v>45786</v>
      </c>
      <c r="L56" s="66">
        <v>70000</v>
      </c>
      <c r="M56" s="59" t="s">
        <v>103</v>
      </c>
      <c r="N56" s="59" t="s">
        <v>138</v>
      </c>
      <c r="O56" s="59" t="s">
        <v>116</v>
      </c>
      <c r="P56" s="59" t="s">
        <v>23</v>
      </c>
      <c r="Q56" s="60">
        <v>37790</v>
      </c>
      <c r="R56" s="59" t="s">
        <v>124</v>
      </c>
      <c r="S56" s="59" t="s">
        <v>201</v>
      </c>
      <c r="T56" s="64">
        <v>3127534137</v>
      </c>
      <c r="U56" s="86" t="s">
        <v>330</v>
      </c>
      <c r="V56" s="62" t="str">
        <f>IF(P56=CURSOS!$D$3,"DIPLOMADO EN ATENCION PRE-HOSPITALARIA",IF(P56=CURSOS!$D$4,"ACOMPAÑAMIENTO Y MANEJO DEL DUELO",IF(P56=CURSOS!$D$5,"ATENCION A VICTIMAS DE ATAQUE CON AGENTES QUIMICOS ",IF(P56=CURSOS!$D$6,"PRIMEROS AUXILIOS ",IF(P56=CURSOS!$D$7,"DIPLOMADO DE UNIDAD DE CUIDADOS INTENSIVOS (UCI)",IF(P56=CURSOS!$D$8,"MODELO DE ATENCION PARA EVENTOS EMERGENTES EN SALUD MENTAL (CODIGO VERDE)",IF(P56=CURSOS!$D$9,"HUMANIZACION EN EL SERVICIO DE LA SALUD Y BUENAS PRACTICAS EN PACIENTE ",IF(P56=CURSOS!$D$10,"CLINICA DE HERIDAS ",IF(P56=CURSOS!$D$11,"TOMA DE CITOLOGIA CERVICO VAGINAL ",IF(P56=CURSOS!$D$12,"SOPORTE CARDIOVASCULAR AVANZADO (ACLS) ",IF(P56=CURSOS!$D$13,"CAMILLERO ",IF(P56=CURSOS!$D$14,"TOMA DE MUESTRAS Y LABORATORIO ",IF(P56=CURSOS!$D$15,"SOPORTE VITAL BASICO (BLS)",IF(P56=CURSOS!$D$16,"ATENCION A VICTIMAS DE VIOLENCIA SEXUAL ",IF(P56=CURSOS!$D$17,"PROGRAMADO AMPLIADO DE INMUNIZACION (PAI - COVID 19)",IF(P56=CURSOS!$D$18,"ATENCION INTEGRAL EN ENFERMEDADES PREVALENTES EN PRIMERA INFANCIA (AIEPI)",IF(P56=CURSOS!$D$19,"ADMINISTRACION DE MEDICAMENTOS, INYECTOLOGIA  Y CANALIZACION ",IF(P56=CURSOS!$D$20,"OPERADOR DE VEHICULOS DE EMERGENCIA (OVE)",IF(P56=CURSOS!$D$21,"INSTITUCIONES AMIGAS DE LA MUJER Y LA INFANCIA (IAMI)",IF(P56=CURSOS!$D$22,"CUIDADO DEL DONANTE DE ORGANOS",IF(P56=CURSOS!$D$23,"ATENCION A VICTIMAS POR VIOLENCIA DE GENERO",IF(P56=CURSOS!$D$24,"IGUALDAD DE GENERO EN LA SALUD",IF(P56=CURSOS!$D$25,"BRIGADA DE EMERGENCIA",IF(P56=CURSOS!$D$26,"MANEJO DEL DOLOR Y CUIDADOS PALIATIVOS",IF(P56=CURSOS!$D$27,"TOMA DE MUESTRAS Y LABORATORIO POCT",IF(P56=CURSOS!$D$28,"IMPLANTE SUBDERMICO DE DISPOSITIVO INTRAUTERINO",IF(P56=CURSOS!$D$29,"SALUD MENTAL",IF(P56=CURSOS!$D$30,"PRIMEROS AUXILIOS PSICOLOGICOS",IF(P56=CURSOS!$D$31,"ATENCION A VICTIMAS POR CONFLICTO ARMADO",IF(P56=CURSOS!$D$32,"MANIPULACION DE ALIMENTOS Y BPM",IF(P56=CURSOS!$D$33,"ATENCION A PERSONAS CON DISCAPACIDAD",IF(P56=CURSOS!$D$34,"CUIDADO INTEGRAL DEL PACIENTE ADULTO",IF(P56=CURSOS!$D$35,"MANEJO DEFENSIVO",IF(P56=CURSOS!$D$36,"SOPORTE CARDIOVASCULAR AVANZADO NEONATAL",IF(P56=CURSOS!$D$37,"SEGURIDAD DEL PACIENTE",IF(P56=CURSOS!$D$38,"MANEJO DE RESIDUOS HOSPITALARIOS",IF(P56=CURSOS!$D$39,"ATENCION DE PACIENTE POR CONSUMO SUSTANCIAS PSICOACTIVAS Y ADICCIONES")))))))))))))))))))))))))))))))))))))</f>
        <v>ACOMPAÑAMIENTO Y MANEJO DEL DUELO</v>
      </c>
      <c r="W56" s="62" t="str">
        <f t="shared" si="3"/>
        <v>Deivid Alejandro Benavides Quiroz</v>
      </c>
      <c r="X56" s="62" t="str">
        <f t="shared" si="4"/>
        <v>Deivid Alejandro Benavides Quiroz</v>
      </c>
      <c r="Y56" s="62" t="str">
        <f t="shared" si="5"/>
        <v>Deivid Alejandro Benavides Quiroz-1004516910-DUELO</v>
      </c>
    </row>
    <row r="57" spans="1:25" s="57" customFormat="1" x14ac:dyDescent="0.2">
      <c r="A57" s="58">
        <v>56</v>
      </c>
      <c r="B57" s="59">
        <v>1004516910</v>
      </c>
      <c r="C57" s="59" t="s">
        <v>218</v>
      </c>
      <c r="D57" s="59" t="s">
        <v>328</v>
      </c>
      <c r="E57" s="59" t="s">
        <v>329</v>
      </c>
      <c r="F57" s="59" t="s">
        <v>194</v>
      </c>
      <c r="G57" s="59">
        <v>6</v>
      </c>
      <c r="H57" s="59" t="s">
        <v>200</v>
      </c>
      <c r="I57" s="60" t="s">
        <v>122</v>
      </c>
      <c r="J57" s="60" t="s">
        <v>258</v>
      </c>
      <c r="K57" s="61">
        <v>45786</v>
      </c>
      <c r="L57" s="66">
        <v>70000</v>
      </c>
      <c r="M57" s="59" t="s">
        <v>103</v>
      </c>
      <c r="N57" s="59" t="s">
        <v>138</v>
      </c>
      <c r="O57" s="59" t="s">
        <v>116</v>
      </c>
      <c r="P57" s="59" t="s">
        <v>25</v>
      </c>
      <c r="Q57" s="60">
        <v>37790</v>
      </c>
      <c r="R57" s="59" t="s">
        <v>124</v>
      </c>
      <c r="S57" s="59" t="s">
        <v>201</v>
      </c>
      <c r="T57" s="64">
        <v>3127534137</v>
      </c>
      <c r="U57" s="86" t="s">
        <v>330</v>
      </c>
      <c r="V57" s="62" t="str">
        <f>IF(P57=CURSOS!$D$3,"DIPLOMADO EN ATENCION PRE-HOSPITALARIA",IF(P57=CURSOS!$D$4,"ACOMPAÑAMIENTO Y MANEJO DEL DUELO",IF(P57=CURSOS!$D$5,"ATENCION A VICTIMAS DE ATAQUE CON AGENTES QUIMICOS ",IF(P57=CURSOS!$D$6,"PRIMEROS AUXILIOS ",IF(P57=CURSOS!$D$7,"DIPLOMADO DE UNIDAD DE CUIDADOS INTENSIVOS (UCI)",IF(P57=CURSOS!$D$8,"MODELO DE ATENCION PARA EVENTOS EMERGENTES EN SALUD MENTAL (CODIGO VERDE)",IF(P57=CURSOS!$D$9,"HUMANIZACION EN EL SERVICIO DE LA SALUD Y BUENAS PRACTICAS EN PACIENTE ",IF(P57=CURSOS!$D$10,"CLINICA DE HERIDAS ",IF(P57=CURSOS!$D$11,"TOMA DE CITOLOGIA CERVICO VAGINAL ",IF(P57=CURSOS!$D$12,"SOPORTE CARDIOVASCULAR AVANZADO (ACLS) ",IF(P57=CURSOS!$D$13,"CAMILLERO ",IF(P57=CURSOS!$D$14,"TOMA DE MUESTRAS Y LABORATORIO ",IF(P57=CURSOS!$D$15,"SOPORTE VITAL BASICO (BLS)",IF(P57=CURSOS!$D$16,"ATENCION A VICTIMAS DE VIOLENCIA SEXUAL ",IF(P57=CURSOS!$D$17,"PROGRAMADO AMPLIADO DE INMUNIZACION (PAI - COVID 19)",IF(P57=CURSOS!$D$18,"ATENCION INTEGRAL EN ENFERMEDADES PREVALENTES EN PRIMERA INFANCIA (AIEPI)",IF(P57=CURSOS!$D$19,"ADMINISTRACION DE MEDICAMENTOS, INYECTOLOGIA  Y CANALIZACION ",IF(P57=CURSOS!$D$20,"OPERADOR DE VEHICULOS DE EMERGENCIA (OVE)",IF(P57=CURSOS!$D$21,"INSTITUCIONES AMIGAS DE LA MUJER Y LA INFANCIA (IAMI)",IF(P57=CURSOS!$D$22,"CUIDADO DEL DONANTE DE ORGANOS",IF(P57=CURSOS!$D$23,"ATENCION A VICTIMAS POR VIOLENCIA DE GENERO",IF(P57=CURSOS!$D$24,"IGUALDAD DE GENERO EN LA SALUD",IF(P57=CURSOS!$D$25,"BRIGADA DE EMERGENCIA",IF(P57=CURSOS!$D$26,"MANEJO DEL DOLOR Y CUIDADOS PALIATIVOS",IF(P57=CURSOS!$D$27,"TOMA DE MUESTRAS Y LABORATORIO POCT",IF(P57=CURSOS!$D$28,"IMPLANTE SUBDERMICO DE DISPOSITIVO INTRAUTERINO",IF(P57=CURSOS!$D$29,"SALUD MENTAL",IF(P57=CURSOS!$D$30,"PRIMEROS AUXILIOS PSICOLOGICOS",IF(P57=CURSOS!$D$31,"ATENCION A VICTIMAS POR CONFLICTO ARMADO",IF(P57=CURSOS!$D$32,"MANIPULACION DE ALIMENTOS Y BPM",IF(P57=CURSOS!$D$33,"ATENCION A PERSONAS CON DISCAPACIDAD",IF(P57=CURSOS!$D$34,"CUIDADO INTEGRAL DEL PACIENTE ADULTO",IF(P57=CURSOS!$D$35,"MANEJO DEFENSIVO",IF(P57=CURSOS!$D$36,"SOPORTE CARDIOVASCULAR AVANZADO NEONATAL",IF(P57=CURSOS!$D$37,"SEGURIDAD DEL PACIENTE",IF(P57=CURSOS!$D$38,"MANEJO DE RESIDUOS HOSPITALARIOS",IF(P57=CURSOS!$D$39,"ATENCION DE PACIENTE POR CONSUMO SUSTANCIAS PSICOACTIVAS Y ADICCIONES")))))))))))))))))))))))))))))))))))))</f>
        <v xml:space="preserve">ATENCION A VICTIMAS DE ATAQUE CON AGENTES QUIMICOS </v>
      </c>
      <c r="W57" s="62" t="str">
        <f t="shared" si="3"/>
        <v>Deivid Alejandro Benavides Quiroz</v>
      </c>
      <c r="X57" s="62" t="str">
        <f t="shared" si="4"/>
        <v>Deivid Alejandro Benavides Quiroz</v>
      </c>
      <c r="Y57" s="62" t="str">
        <f t="shared" si="5"/>
        <v>Deivid Alejandro Benavides Quiroz-1004516910-QUIMICOS</v>
      </c>
    </row>
    <row r="58" spans="1:25" s="57" customFormat="1" x14ac:dyDescent="0.2">
      <c r="A58" s="58">
        <v>57</v>
      </c>
      <c r="B58" s="59">
        <v>1004516910</v>
      </c>
      <c r="C58" s="59" t="s">
        <v>218</v>
      </c>
      <c r="D58" s="59" t="s">
        <v>328</v>
      </c>
      <c r="E58" s="59" t="s">
        <v>329</v>
      </c>
      <c r="F58" s="59" t="s">
        <v>194</v>
      </c>
      <c r="G58" s="59">
        <v>7</v>
      </c>
      <c r="H58" s="59" t="s">
        <v>200</v>
      </c>
      <c r="I58" s="60" t="s">
        <v>122</v>
      </c>
      <c r="J58" s="60" t="s">
        <v>258</v>
      </c>
      <c r="K58" s="61">
        <v>45786</v>
      </c>
      <c r="L58" s="66">
        <v>70000</v>
      </c>
      <c r="M58" s="59" t="s">
        <v>103</v>
      </c>
      <c r="N58" s="59" t="s">
        <v>138</v>
      </c>
      <c r="O58" s="59" t="s">
        <v>116</v>
      </c>
      <c r="P58" s="59" t="s">
        <v>42</v>
      </c>
      <c r="Q58" s="60">
        <v>37790</v>
      </c>
      <c r="R58" s="59" t="s">
        <v>124</v>
      </c>
      <c r="S58" s="59" t="s">
        <v>201</v>
      </c>
      <c r="T58" s="64">
        <v>3127534137</v>
      </c>
      <c r="U58" s="86" t="s">
        <v>330</v>
      </c>
      <c r="V58" s="62" t="str">
        <f>IF(P58=CURSOS!$D$3,"DIPLOMADO EN ATENCION PRE-HOSPITALARIA",IF(P58=CURSOS!$D$4,"ACOMPAÑAMIENTO Y MANEJO DEL DUELO",IF(P58=CURSOS!$D$5,"ATENCION A VICTIMAS DE ATAQUE CON AGENTES QUIMICOS ",IF(P58=CURSOS!$D$6,"PRIMEROS AUXILIOS ",IF(P58=CURSOS!$D$7,"DIPLOMADO DE UNIDAD DE CUIDADOS INTENSIVOS (UCI)",IF(P58=CURSOS!$D$8,"MODELO DE ATENCION PARA EVENTOS EMERGENTES EN SALUD MENTAL (CODIGO VERDE)",IF(P58=CURSOS!$D$9,"HUMANIZACION EN EL SERVICIO DE LA SALUD Y BUENAS PRACTICAS EN PACIENTE ",IF(P58=CURSOS!$D$10,"CLINICA DE HERIDAS ",IF(P58=CURSOS!$D$11,"TOMA DE CITOLOGIA CERVICO VAGINAL ",IF(P58=CURSOS!$D$12,"SOPORTE CARDIOVASCULAR AVANZADO (ACLS) ",IF(P58=CURSOS!$D$13,"CAMILLERO ",IF(P58=CURSOS!$D$14,"TOMA DE MUESTRAS Y LABORATORIO ",IF(P58=CURSOS!$D$15,"SOPORTE VITAL BASICO (BLS)",IF(P58=CURSOS!$D$16,"ATENCION A VICTIMAS DE VIOLENCIA SEXUAL ",IF(P58=CURSOS!$D$17,"PROGRAMADO AMPLIADO DE INMUNIZACION (PAI - COVID 19)",IF(P58=CURSOS!$D$18,"ATENCION INTEGRAL EN ENFERMEDADES PREVALENTES EN PRIMERA INFANCIA (AIEPI)",IF(P58=CURSOS!$D$19,"ADMINISTRACION DE MEDICAMENTOS, INYECTOLOGIA  Y CANALIZACION ",IF(P58=CURSOS!$D$20,"OPERADOR DE VEHICULOS DE EMERGENCIA (OVE)",IF(P58=CURSOS!$D$21,"INSTITUCIONES AMIGAS DE LA MUJER Y LA INFANCIA (IAMI)",IF(P58=CURSOS!$D$22,"CUIDADO DEL DONANTE DE ORGANOS",IF(P58=CURSOS!$D$23,"ATENCION A VICTIMAS POR VIOLENCIA DE GENERO",IF(P58=CURSOS!$D$24,"IGUALDAD DE GENERO EN LA SALUD",IF(P58=CURSOS!$D$25,"BRIGADA DE EMERGENCIA",IF(P58=CURSOS!$D$26,"MANEJO DEL DOLOR Y CUIDADOS PALIATIVOS",IF(P58=CURSOS!$D$27,"TOMA DE MUESTRAS Y LABORATORIO POCT",IF(P58=CURSOS!$D$28,"IMPLANTE SUBDERMICO DE DISPOSITIVO INTRAUTERINO",IF(P58=CURSOS!$D$29,"SALUD MENTAL",IF(P58=CURSOS!$D$30,"PRIMEROS AUXILIOS PSICOLOGICOS",IF(P58=CURSOS!$D$31,"ATENCION A VICTIMAS POR CONFLICTO ARMADO",IF(P58=CURSOS!$D$32,"MANIPULACION DE ALIMENTOS Y BPM",IF(P58=CURSOS!$D$33,"ATENCION A PERSONAS CON DISCAPACIDAD",IF(P58=CURSOS!$D$34,"CUIDADO INTEGRAL DEL PACIENTE ADULTO",IF(P58=CURSOS!$D$35,"MANEJO DEFENSIVO",IF(P58=CURSOS!$D$36,"SOPORTE CARDIOVASCULAR AVANZADO NEONATAL",IF(P58=CURSOS!$D$37,"SEGURIDAD DEL PACIENTE",IF(P58=CURSOS!$D$38,"MANEJO DE RESIDUOS HOSPITALARIOS",IF(P58=CURSOS!$D$39,"ATENCION DE PACIENTE POR CONSUMO SUSTANCIAS PSICOACTIVAS Y ADICCIONES")))))))))))))))))))))))))))))))))))))</f>
        <v xml:space="preserve">ATENCION A VICTIMAS DE VIOLENCIA SEXUAL </v>
      </c>
      <c r="W58" s="62" t="str">
        <f t="shared" si="3"/>
        <v>Deivid Alejandro Benavides Quiroz</v>
      </c>
      <c r="X58" s="62" t="str">
        <f t="shared" si="4"/>
        <v>Deivid Alejandro Benavides Quiroz</v>
      </c>
      <c r="Y58" s="62" t="str">
        <f t="shared" si="5"/>
        <v>Deivid Alejandro Benavides Quiroz-1004516910-VIOLENCIA SEXUAL</v>
      </c>
    </row>
    <row r="59" spans="1:25" s="57" customFormat="1" x14ac:dyDescent="0.2">
      <c r="A59" s="58">
        <v>58</v>
      </c>
      <c r="B59" s="59">
        <v>1004516910</v>
      </c>
      <c r="C59" s="59" t="s">
        <v>218</v>
      </c>
      <c r="D59" s="59" t="s">
        <v>328</v>
      </c>
      <c r="E59" s="59" t="s">
        <v>329</v>
      </c>
      <c r="F59" s="59" t="s">
        <v>194</v>
      </c>
      <c r="G59" s="59">
        <v>8</v>
      </c>
      <c r="H59" s="59" t="s">
        <v>200</v>
      </c>
      <c r="I59" s="60" t="s">
        <v>122</v>
      </c>
      <c r="J59" s="60" t="s">
        <v>258</v>
      </c>
      <c r="K59" s="61">
        <v>45786</v>
      </c>
      <c r="L59" s="66">
        <v>70000</v>
      </c>
      <c r="M59" s="59" t="s">
        <v>103</v>
      </c>
      <c r="N59" s="59" t="s">
        <v>138</v>
      </c>
      <c r="O59" s="59" t="s">
        <v>116</v>
      </c>
      <c r="P59" s="59" t="s">
        <v>45</v>
      </c>
      <c r="Q59" s="60">
        <v>37790</v>
      </c>
      <c r="R59" s="59" t="s">
        <v>124</v>
      </c>
      <c r="S59" s="59" t="s">
        <v>201</v>
      </c>
      <c r="T59" s="64">
        <v>3127534137</v>
      </c>
      <c r="U59" s="86" t="s">
        <v>330</v>
      </c>
      <c r="V59" s="62" t="str">
        <f>IF(P59=CURSOS!$D$3,"DIPLOMADO EN ATENCION PRE-HOSPITALARIA",IF(P59=CURSOS!$D$4,"ACOMPAÑAMIENTO Y MANEJO DEL DUELO",IF(P59=CURSOS!$D$5,"ATENCION A VICTIMAS DE ATAQUE CON AGENTES QUIMICOS ",IF(P59=CURSOS!$D$6,"PRIMEROS AUXILIOS ",IF(P59=CURSOS!$D$7,"DIPLOMADO DE UNIDAD DE CUIDADOS INTENSIVOS (UCI)",IF(P59=CURSOS!$D$8,"MODELO DE ATENCION PARA EVENTOS EMERGENTES EN SALUD MENTAL (CODIGO VERDE)",IF(P59=CURSOS!$D$9,"HUMANIZACION EN EL SERVICIO DE LA SALUD Y BUENAS PRACTICAS EN PACIENTE ",IF(P59=CURSOS!$D$10,"CLINICA DE HERIDAS ",IF(P59=CURSOS!$D$11,"TOMA DE CITOLOGIA CERVICO VAGINAL ",IF(P59=CURSOS!$D$12,"SOPORTE CARDIOVASCULAR AVANZADO (ACLS) ",IF(P59=CURSOS!$D$13,"CAMILLERO ",IF(P59=CURSOS!$D$14,"TOMA DE MUESTRAS Y LABORATORIO ",IF(P59=CURSOS!$D$15,"SOPORTE VITAL BASICO (BLS)",IF(P59=CURSOS!$D$16,"ATENCION A VICTIMAS DE VIOLENCIA SEXUAL ",IF(P59=CURSOS!$D$17,"PROGRAMADO AMPLIADO DE INMUNIZACION (PAI - COVID 19)",IF(P59=CURSOS!$D$18,"ATENCION INTEGRAL EN ENFERMEDADES PREVALENTES EN PRIMERA INFANCIA (AIEPI)",IF(P59=CURSOS!$D$19,"ADMINISTRACION DE MEDICAMENTOS, INYECTOLOGIA  Y CANALIZACION ",IF(P59=CURSOS!$D$20,"OPERADOR DE VEHICULOS DE EMERGENCIA (OVE)",IF(P59=CURSOS!$D$21,"INSTITUCIONES AMIGAS DE LA MUJER Y LA INFANCIA (IAMI)",IF(P59=CURSOS!$D$22,"CUIDADO DEL DONANTE DE ORGANOS",IF(P59=CURSOS!$D$23,"ATENCION A VICTIMAS POR VIOLENCIA DE GENERO",IF(P59=CURSOS!$D$24,"IGUALDAD DE GENERO EN LA SALUD",IF(P59=CURSOS!$D$25,"BRIGADA DE EMERGENCIA",IF(P59=CURSOS!$D$26,"MANEJO DEL DOLOR Y CUIDADOS PALIATIVOS",IF(P59=CURSOS!$D$27,"TOMA DE MUESTRAS Y LABORATORIO POCT",IF(P59=CURSOS!$D$28,"IMPLANTE SUBDERMICO DE DISPOSITIVO INTRAUTERINO",IF(P59=CURSOS!$D$29,"SALUD MENTAL",IF(P59=CURSOS!$D$30,"PRIMEROS AUXILIOS PSICOLOGICOS",IF(P59=CURSOS!$D$31,"ATENCION A VICTIMAS POR CONFLICTO ARMADO",IF(P59=CURSOS!$D$32,"MANIPULACION DE ALIMENTOS Y BPM",IF(P59=CURSOS!$D$33,"ATENCION A PERSONAS CON DISCAPACIDAD",IF(P59=CURSOS!$D$34,"CUIDADO INTEGRAL DEL PACIENTE ADULTO",IF(P59=CURSOS!$D$35,"MANEJO DEFENSIVO",IF(P59=CURSOS!$D$36,"SOPORTE CARDIOVASCULAR AVANZADO NEONATAL",IF(P59=CURSOS!$D$37,"SEGURIDAD DEL PACIENTE",IF(P59=CURSOS!$D$38,"MANEJO DE RESIDUOS HOSPITALARIOS",IF(P59=CURSOS!$D$39,"ATENCION DE PACIENTE POR CONSUMO SUSTANCIAS PSICOACTIVAS Y ADICCIONES")))))))))))))))))))))))))))))))))))))</f>
        <v xml:space="preserve">ADMINISTRACION DE MEDICAMENTOS, INYECTOLOGIA  Y CANALIZACION </v>
      </c>
      <c r="W59" s="62" t="str">
        <f t="shared" si="3"/>
        <v>Deivid Alejandro Benavides Quiroz</v>
      </c>
      <c r="X59" s="62" t="str">
        <f t="shared" si="4"/>
        <v>Deivid Alejandro Benavides Quiroz</v>
      </c>
      <c r="Y59" s="62" t="str">
        <f t="shared" si="5"/>
        <v>Deivid Alejandro Benavides Quiroz-1004516910-ADMON DE MEDICAMENTOS</v>
      </c>
    </row>
    <row r="60" spans="1:25" s="57" customFormat="1" x14ac:dyDescent="0.2">
      <c r="A60" s="58">
        <v>59</v>
      </c>
      <c r="B60" s="59">
        <v>1004516910</v>
      </c>
      <c r="C60" s="59" t="s">
        <v>218</v>
      </c>
      <c r="D60" s="59" t="s">
        <v>328</v>
      </c>
      <c r="E60" s="59" t="s">
        <v>329</v>
      </c>
      <c r="F60" s="59" t="s">
        <v>194</v>
      </c>
      <c r="G60" s="59">
        <v>3</v>
      </c>
      <c r="H60" s="59" t="s">
        <v>200</v>
      </c>
      <c r="I60" s="60" t="s">
        <v>122</v>
      </c>
      <c r="J60" s="60" t="s">
        <v>258</v>
      </c>
      <c r="K60" s="61">
        <v>45786</v>
      </c>
      <c r="L60" s="66">
        <v>70000</v>
      </c>
      <c r="M60" s="59" t="s">
        <v>103</v>
      </c>
      <c r="N60" s="59" t="s">
        <v>138</v>
      </c>
      <c r="O60" s="59" t="s">
        <v>116</v>
      </c>
      <c r="P60" s="59" t="s">
        <v>40</v>
      </c>
      <c r="Q60" s="60">
        <v>37790</v>
      </c>
      <c r="R60" s="59" t="s">
        <v>124</v>
      </c>
      <c r="S60" s="59" t="s">
        <v>201</v>
      </c>
      <c r="T60" s="64">
        <v>3127534137</v>
      </c>
      <c r="U60" s="86" t="s">
        <v>330</v>
      </c>
      <c r="V60" s="62" t="str">
        <f>IF(P60=CURSOS!$D$3,"DIPLOMADO EN ATENCION PRE-HOSPITALARIA",IF(P60=CURSOS!$D$4,"ACOMPAÑAMIENTO Y MANEJO DEL DUELO",IF(P60=CURSOS!$D$5,"ATENCION A VICTIMAS DE ATAQUE CON AGENTES QUIMICOS ",IF(P60=CURSOS!$D$6,"PRIMEROS AUXILIOS ",IF(P60=CURSOS!$D$7,"DIPLOMADO DE UNIDAD DE CUIDADOS INTENSIVOS (UCI)",IF(P60=CURSOS!$D$8,"MODELO DE ATENCION PARA EVENTOS EMERGENTES EN SALUD MENTAL (CODIGO VERDE)",IF(P60=CURSOS!$D$9,"HUMANIZACION EN EL SERVICIO DE LA SALUD Y BUENAS PRACTICAS EN PACIENTE ",IF(P60=CURSOS!$D$10,"CLINICA DE HERIDAS ",IF(P60=CURSOS!$D$11,"TOMA DE CITOLOGIA CERVICO VAGINAL ",IF(P60=CURSOS!$D$12,"SOPORTE CARDIOVASCULAR AVANZADO (ACLS) ",IF(P60=CURSOS!$D$13,"CAMILLERO ",IF(P60=CURSOS!$D$14,"TOMA DE MUESTRAS Y LABORATORIO ",IF(P60=CURSOS!$D$15,"SOPORTE VITAL BASICO (BLS)",IF(P60=CURSOS!$D$16,"ATENCION A VICTIMAS DE VIOLENCIA SEXUAL ",IF(P60=CURSOS!$D$17,"PROGRAMADO AMPLIADO DE INMUNIZACION (PAI - COVID 19)",IF(P60=CURSOS!$D$18,"ATENCION INTEGRAL EN ENFERMEDADES PREVALENTES EN PRIMERA INFANCIA (AIEPI)",IF(P60=CURSOS!$D$19,"ADMINISTRACION DE MEDICAMENTOS, INYECTOLOGIA  Y CANALIZACION ",IF(P60=CURSOS!$D$20,"OPERADOR DE VEHICULOS DE EMERGENCIA (OVE)",IF(P60=CURSOS!$D$21,"INSTITUCIONES AMIGAS DE LA MUJER Y LA INFANCIA (IAMI)",IF(P60=CURSOS!$D$22,"CUIDADO DEL DONANTE DE ORGANOS",IF(P60=CURSOS!$D$23,"ATENCION A VICTIMAS POR VIOLENCIA DE GENERO",IF(P60=CURSOS!$D$24,"IGUALDAD DE GENERO EN LA SALUD",IF(P60=CURSOS!$D$25,"BRIGADA DE EMERGENCIA",IF(P60=CURSOS!$D$26,"MANEJO DEL DOLOR Y CUIDADOS PALIATIVOS",IF(P60=CURSOS!$D$27,"TOMA DE MUESTRAS Y LABORATORIO POCT",IF(P60=CURSOS!$D$28,"IMPLANTE SUBDERMICO DE DISPOSITIVO INTRAUTERINO",IF(P60=CURSOS!$D$29,"SALUD MENTAL",IF(P60=CURSOS!$D$30,"PRIMEROS AUXILIOS PSICOLOGICOS",IF(P60=CURSOS!$D$31,"ATENCION A VICTIMAS POR CONFLICTO ARMADO",IF(P60=CURSOS!$D$32,"MANIPULACION DE ALIMENTOS Y BPM",IF(P60=CURSOS!$D$33,"ATENCION A PERSONAS CON DISCAPACIDAD",IF(P60=CURSOS!$D$34,"CUIDADO INTEGRAL DEL PACIENTE ADULTO",IF(P60=CURSOS!$D$35,"MANEJO DEFENSIVO",IF(P60=CURSOS!$D$36,"SOPORTE CARDIOVASCULAR AVANZADO NEONATAL",IF(P60=CURSOS!$D$37,"SEGURIDAD DEL PACIENTE",IF(P60=CURSOS!$D$38,"MANEJO DE RESIDUOS HOSPITALARIOS",IF(P60=CURSOS!$D$39,"ATENCION DE PACIENTE POR CONSUMO SUSTANCIAS PSICOACTIVAS Y ADICCIONES")))))))))))))))))))))))))))))))))))))</f>
        <v xml:space="preserve">TOMA DE MUESTRAS Y LABORATORIO </v>
      </c>
      <c r="W60" s="62" t="str">
        <f t="shared" si="3"/>
        <v>Deivid Alejandro Benavides Quiroz</v>
      </c>
      <c r="X60" s="62" t="str">
        <f t="shared" si="4"/>
        <v>Deivid Alejandro Benavides Quiroz</v>
      </c>
      <c r="Y60" s="62" t="str">
        <f t="shared" si="5"/>
        <v>Deivid Alejandro Benavides Quiroz-1004516910-TOMA DE MUESTRAS</v>
      </c>
    </row>
    <row r="61" spans="1:25" s="57" customFormat="1" x14ac:dyDescent="0.2">
      <c r="A61" s="58">
        <v>60</v>
      </c>
      <c r="B61" s="59">
        <v>1004437731</v>
      </c>
      <c r="C61" s="59" t="s">
        <v>302</v>
      </c>
      <c r="D61" s="59" t="s">
        <v>303</v>
      </c>
      <c r="E61" s="59" t="s">
        <v>304</v>
      </c>
      <c r="F61" s="59" t="s">
        <v>305</v>
      </c>
      <c r="G61" s="59">
        <v>8</v>
      </c>
      <c r="H61" s="59" t="s">
        <v>200</v>
      </c>
      <c r="I61" s="60" t="s">
        <v>115</v>
      </c>
      <c r="J61" s="60" t="s">
        <v>258</v>
      </c>
      <c r="K61" s="61">
        <v>45785</v>
      </c>
      <c r="L61" s="66">
        <v>32000</v>
      </c>
      <c r="M61" s="59" t="s">
        <v>103</v>
      </c>
      <c r="N61" s="59" t="s">
        <v>138</v>
      </c>
      <c r="O61" s="59" t="s">
        <v>116</v>
      </c>
      <c r="P61" s="59" t="s">
        <v>19</v>
      </c>
      <c r="Q61" s="60">
        <v>37085</v>
      </c>
      <c r="R61" s="59" t="s">
        <v>102</v>
      </c>
      <c r="S61" s="64" t="s">
        <v>201</v>
      </c>
      <c r="T61" s="59">
        <v>3173274150</v>
      </c>
      <c r="U61" s="59" t="s">
        <v>306</v>
      </c>
      <c r="V61" s="62" t="str">
        <f>IF(P61=CURSOS!$D$3,"DIPLOMADO EN ATENCION PRE-HOSPITALARIA",IF(P61=CURSOS!$D$4,"ACOMPAÑAMIENTO Y MANEJO DEL DUELO",IF(P61=CURSOS!$D$5,"ATENCION A VICTIMAS DE ATAQUE CON AGENTES QUIMICOS ",IF(P61=CURSOS!$D$6,"PRIMEROS AUXILIOS ",IF(P61=CURSOS!$D$7,"DIPLOMADO DE UNIDAD DE CUIDADOS INTENSIVOS (UCI)",IF(P61=CURSOS!$D$8,"MODELO DE ATENCION PARA EVENTOS EMERGENTES EN SALUD MENTAL (CODIGO VERDE)",IF(P61=CURSOS!$D$9,"HUMANIZACION EN EL SERVICIO DE LA SALUD Y BUENAS PRACTICAS EN PACIENTE ",IF(P61=CURSOS!$D$10,"CLINICA DE HERIDAS ",IF(P61=CURSOS!$D$11,"TOMA DE CITOLOGIA CERVICO VAGINAL ",IF(P61=CURSOS!$D$12,"SOPORTE CARDIOVASCULAR AVANZADO (ACLS) ",IF(P61=CURSOS!$D$13,"CAMILLERO ",IF(P61=CURSOS!$D$14,"TOMA DE MUESTRAS Y LABORATORIO ",IF(P61=CURSOS!$D$15,"SOPORTE VITAL BASICO (BLS)",IF(P61=CURSOS!$D$16,"ATENCION A VICTIMAS DE VIOLENCIA SEXUAL ",IF(P61=CURSOS!$D$17,"PROGRAMADO AMPLIADO DE INMUNIZACION (PAI - COVID 19)",IF(P61=CURSOS!$D$18,"ATENCION INTEGRAL EN ENFERMEDADES PREVALENTES EN PRIMERA INFANCIA (AIEPI)",IF(P61=CURSOS!$D$19,"ADMINISTRACION DE MEDICAMENTOS, INYECTOLOGIA  Y CANALIZACION ",IF(P61=CURSOS!$D$20,"OPERADOR DE VEHICULOS DE EMERGENCIA (OVE)",IF(P61=CURSOS!$D$21,"INSTITUCIONES AMIGAS DE LA MUJER Y LA INFANCIA (IAMI)",IF(P61=CURSOS!$D$22,"CUIDADO DEL DONANTE DE ORGANOS",IF(P61=CURSOS!$D$23,"ATENCION A VICTIMAS POR VIOLENCIA DE GENERO",IF(P61=CURSOS!$D$24,"IGUALDAD DE GENERO EN LA SALUD",IF(P61=CURSOS!$D$25,"BRIGADA DE EMERGENCIA",IF(P61=CURSOS!$D$26,"MANEJO DEL DOLOR Y CUIDADOS PALIATIVOS",IF(P61=CURSOS!$D$27,"TOMA DE MUESTRAS Y LABORATORIO POCT",IF(P61=CURSOS!$D$28,"IMPLANTE SUBDERMICO DE DISPOSITIVO INTRAUTERINO",IF(P61=CURSOS!$D$29,"SALUD MENTAL",IF(P61=CURSOS!$D$30,"PRIMEROS AUXILIOS PSICOLOGICOS",IF(P61=CURSOS!$D$31,"ATENCION A VICTIMAS POR CONFLICTO ARMADO",IF(P61=CURSOS!$D$32,"MANIPULACION DE ALIMENTOS Y BPM",IF(P61=CURSOS!$D$33,"ATENCION A PERSONAS CON DISCAPACIDAD",IF(P61=CURSOS!$D$34,"CUIDADO INTEGRAL DEL PACIENTE ADULTO",IF(P61=CURSOS!$D$35,"MANEJO DEFENSIVO",IF(P61=CURSOS!$D$36,"SOPORTE CARDIOVASCULAR AVANZADO NEONATAL",IF(P61=CURSOS!$D$37,"SEGURIDAD DEL PACIENTE",IF(P61=CURSOS!$D$38,"MANEJO DE RESIDUOS HOSPITALARIOS",IF(P61=CURSOS!$D$39,"ATENCION DE PACIENTE POR CONSUMO SUSTANCIAS PSICOACTIVAS Y ADICCIONES")))))))))))))))))))))))))))))))))))))</f>
        <v>SOPORTE VITAL BASICO (BLS)</v>
      </c>
      <c r="W61" s="62" t="str">
        <f t="shared" si="3"/>
        <v>Daira Yuliana Miramag Villota</v>
      </c>
      <c r="X61" s="62" t="str">
        <f t="shared" si="4"/>
        <v>Daira Yuliana Miramag Villota</v>
      </c>
      <c r="Y61" s="62" t="str">
        <f t="shared" si="5"/>
        <v>Daira Yuliana Miramag Villota-1004437731-BLS</v>
      </c>
    </row>
    <row r="62" spans="1:25" s="57" customFormat="1" x14ac:dyDescent="0.2">
      <c r="A62" s="58">
        <v>61</v>
      </c>
      <c r="B62" s="59">
        <v>1004437731</v>
      </c>
      <c r="C62" s="59" t="s">
        <v>302</v>
      </c>
      <c r="D62" s="59" t="s">
        <v>303</v>
      </c>
      <c r="E62" s="59" t="s">
        <v>304</v>
      </c>
      <c r="F62" s="59" t="s">
        <v>305</v>
      </c>
      <c r="G62" s="59">
        <v>9</v>
      </c>
      <c r="H62" s="59" t="s">
        <v>200</v>
      </c>
      <c r="I62" s="60" t="s">
        <v>122</v>
      </c>
      <c r="J62" s="60" t="s">
        <v>258</v>
      </c>
      <c r="K62" s="61">
        <v>45785</v>
      </c>
      <c r="L62" s="66">
        <v>64000</v>
      </c>
      <c r="M62" s="59" t="s">
        <v>103</v>
      </c>
      <c r="N62" s="59" t="s">
        <v>138</v>
      </c>
      <c r="O62" s="59" t="s">
        <v>116</v>
      </c>
      <c r="P62" s="59" t="s">
        <v>23</v>
      </c>
      <c r="Q62" s="60">
        <v>37085</v>
      </c>
      <c r="R62" s="59" t="s">
        <v>102</v>
      </c>
      <c r="S62" s="64" t="s">
        <v>201</v>
      </c>
      <c r="T62" s="59">
        <v>3173274150</v>
      </c>
      <c r="U62" s="59" t="s">
        <v>306</v>
      </c>
      <c r="V62" s="62" t="str">
        <f>IF(P62=CURSOS!$D$3,"DIPLOMADO EN ATENCION PRE-HOSPITALARIA",IF(P62=CURSOS!$D$4,"ACOMPAÑAMIENTO Y MANEJO DEL DUELO",IF(P62=CURSOS!$D$5,"ATENCION A VICTIMAS DE ATAQUE CON AGENTES QUIMICOS ",IF(P62=CURSOS!$D$6,"PRIMEROS AUXILIOS ",IF(P62=CURSOS!$D$7,"DIPLOMADO DE UNIDAD DE CUIDADOS INTENSIVOS (UCI)",IF(P62=CURSOS!$D$8,"MODELO DE ATENCION PARA EVENTOS EMERGENTES EN SALUD MENTAL (CODIGO VERDE)",IF(P62=CURSOS!$D$9,"HUMANIZACION EN EL SERVICIO DE LA SALUD Y BUENAS PRACTICAS EN PACIENTE ",IF(P62=CURSOS!$D$10,"CLINICA DE HERIDAS ",IF(P62=CURSOS!$D$11,"TOMA DE CITOLOGIA CERVICO VAGINAL ",IF(P62=CURSOS!$D$12,"SOPORTE CARDIOVASCULAR AVANZADO (ACLS) ",IF(P62=CURSOS!$D$13,"CAMILLERO ",IF(P62=CURSOS!$D$14,"TOMA DE MUESTRAS Y LABORATORIO ",IF(P62=CURSOS!$D$15,"SOPORTE VITAL BASICO (BLS)",IF(P62=CURSOS!$D$16,"ATENCION A VICTIMAS DE VIOLENCIA SEXUAL ",IF(P62=CURSOS!$D$17,"PROGRAMADO AMPLIADO DE INMUNIZACION (PAI - COVID 19)",IF(P62=CURSOS!$D$18,"ATENCION INTEGRAL EN ENFERMEDADES PREVALENTES EN PRIMERA INFANCIA (AIEPI)",IF(P62=CURSOS!$D$19,"ADMINISTRACION DE MEDICAMENTOS, INYECTOLOGIA  Y CANALIZACION ",IF(P62=CURSOS!$D$20,"OPERADOR DE VEHICULOS DE EMERGENCIA (OVE)",IF(P62=CURSOS!$D$21,"INSTITUCIONES AMIGAS DE LA MUJER Y LA INFANCIA (IAMI)",IF(P62=CURSOS!$D$22,"CUIDADO DEL DONANTE DE ORGANOS",IF(P62=CURSOS!$D$23,"ATENCION A VICTIMAS POR VIOLENCIA DE GENERO",IF(P62=CURSOS!$D$24,"IGUALDAD DE GENERO EN LA SALUD",IF(P62=CURSOS!$D$25,"BRIGADA DE EMERGENCIA",IF(P62=CURSOS!$D$26,"MANEJO DEL DOLOR Y CUIDADOS PALIATIVOS",IF(P62=CURSOS!$D$27,"TOMA DE MUESTRAS Y LABORATORIO POCT",IF(P62=CURSOS!$D$28,"IMPLANTE SUBDERMICO DE DISPOSITIVO INTRAUTERINO",IF(P62=CURSOS!$D$29,"SALUD MENTAL",IF(P62=CURSOS!$D$30,"PRIMEROS AUXILIOS PSICOLOGICOS",IF(P62=CURSOS!$D$31,"ATENCION A VICTIMAS POR CONFLICTO ARMADO",IF(P62=CURSOS!$D$32,"MANIPULACION DE ALIMENTOS Y BPM",IF(P62=CURSOS!$D$33,"ATENCION A PERSONAS CON DISCAPACIDAD",IF(P62=CURSOS!$D$34,"CUIDADO INTEGRAL DEL PACIENTE ADULTO",IF(P62=CURSOS!$D$35,"MANEJO DEFENSIVO",IF(P62=CURSOS!$D$36,"SOPORTE CARDIOVASCULAR AVANZADO NEONATAL",IF(P62=CURSOS!$D$37,"SEGURIDAD DEL PACIENTE",IF(P62=CURSOS!$D$38,"MANEJO DE RESIDUOS HOSPITALARIOS",IF(P62=CURSOS!$D$39,"ATENCION DE PACIENTE POR CONSUMO SUSTANCIAS PSICOACTIVAS Y ADICCIONES")))))))))))))))))))))))))))))))))))))</f>
        <v>ACOMPAÑAMIENTO Y MANEJO DEL DUELO</v>
      </c>
      <c r="W62" s="62" t="str">
        <f t="shared" si="3"/>
        <v>Daira Yuliana Miramag Villota</v>
      </c>
      <c r="X62" s="62" t="str">
        <f t="shared" si="4"/>
        <v>Daira Yuliana Miramag Villota</v>
      </c>
      <c r="Y62" s="62" t="str">
        <f t="shared" si="5"/>
        <v>Daira Yuliana Miramag Villota-1004437731-DUELO</v>
      </c>
    </row>
    <row r="63" spans="1:25" s="57" customFormat="1" x14ac:dyDescent="0.2">
      <c r="A63" s="58">
        <v>62</v>
      </c>
      <c r="B63" s="59">
        <v>1004437731</v>
      </c>
      <c r="C63" s="59" t="s">
        <v>302</v>
      </c>
      <c r="D63" s="59" t="s">
        <v>303</v>
      </c>
      <c r="E63" s="59" t="s">
        <v>304</v>
      </c>
      <c r="F63" s="59" t="s">
        <v>305</v>
      </c>
      <c r="G63" s="59">
        <v>9</v>
      </c>
      <c r="H63" s="59" t="s">
        <v>200</v>
      </c>
      <c r="I63" s="60" t="s">
        <v>122</v>
      </c>
      <c r="J63" s="60" t="s">
        <v>258</v>
      </c>
      <c r="K63" s="61">
        <v>45785</v>
      </c>
      <c r="L63" s="66">
        <v>64000</v>
      </c>
      <c r="M63" s="59" t="s">
        <v>103</v>
      </c>
      <c r="N63" s="59" t="s">
        <v>138</v>
      </c>
      <c r="O63" s="59" t="s">
        <v>116</v>
      </c>
      <c r="P63" s="59" t="s">
        <v>42</v>
      </c>
      <c r="Q63" s="60">
        <v>37085</v>
      </c>
      <c r="R63" s="59" t="s">
        <v>102</v>
      </c>
      <c r="S63" s="64" t="s">
        <v>201</v>
      </c>
      <c r="T63" s="59">
        <v>3173274150</v>
      </c>
      <c r="U63" s="59" t="s">
        <v>306</v>
      </c>
      <c r="V63" s="62" t="str">
        <f>IF(P63=CURSOS!$D$3,"DIPLOMADO EN ATENCION PRE-HOSPITALARIA",IF(P63=CURSOS!$D$4,"ACOMPAÑAMIENTO Y MANEJO DEL DUELO",IF(P63=CURSOS!$D$5,"ATENCION A VICTIMAS DE ATAQUE CON AGENTES QUIMICOS ",IF(P63=CURSOS!$D$6,"PRIMEROS AUXILIOS ",IF(P63=CURSOS!$D$7,"DIPLOMADO DE UNIDAD DE CUIDADOS INTENSIVOS (UCI)",IF(P63=CURSOS!$D$8,"MODELO DE ATENCION PARA EVENTOS EMERGENTES EN SALUD MENTAL (CODIGO VERDE)",IF(P63=CURSOS!$D$9,"HUMANIZACION EN EL SERVICIO DE LA SALUD Y BUENAS PRACTICAS EN PACIENTE ",IF(P63=CURSOS!$D$10,"CLINICA DE HERIDAS ",IF(P63=CURSOS!$D$11,"TOMA DE CITOLOGIA CERVICO VAGINAL ",IF(P63=CURSOS!$D$12,"SOPORTE CARDIOVASCULAR AVANZADO (ACLS) ",IF(P63=CURSOS!$D$13,"CAMILLERO ",IF(P63=CURSOS!$D$14,"TOMA DE MUESTRAS Y LABORATORIO ",IF(P63=CURSOS!$D$15,"SOPORTE VITAL BASICO (BLS)",IF(P63=CURSOS!$D$16,"ATENCION A VICTIMAS DE VIOLENCIA SEXUAL ",IF(P63=CURSOS!$D$17,"PROGRAMADO AMPLIADO DE INMUNIZACION (PAI - COVID 19)",IF(P63=CURSOS!$D$18,"ATENCION INTEGRAL EN ENFERMEDADES PREVALENTES EN PRIMERA INFANCIA (AIEPI)",IF(P63=CURSOS!$D$19,"ADMINISTRACION DE MEDICAMENTOS, INYECTOLOGIA  Y CANALIZACION ",IF(P63=CURSOS!$D$20,"OPERADOR DE VEHICULOS DE EMERGENCIA (OVE)",IF(P63=CURSOS!$D$21,"INSTITUCIONES AMIGAS DE LA MUJER Y LA INFANCIA (IAMI)",IF(P63=CURSOS!$D$22,"CUIDADO DEL DONANTE DE ORGANOS",IF(P63=CURSOS!$D$23,"ATENCION A VICTIMAS POR VIOLENCIA DE GENERO",IF(P63=CURSOS!$D$24,"IGUALDAD DE GENERO EN LA SALUD",IF(P63=CURSOS!$D$25,"BRIGADA DE EMERGENCIA",IF(P63=CURSOS!$D$26,"MANEJO DEL DOLOR Y CUIDADOS PALIATIVOS",IF(P63=CURSOS!$D$27,"TOMA DE MUESTRAS Y LABORATORIO POCT",IF(P63=CURSOS!$D$28,"IMPLANTE SUBDERMICO DE DISPOSITIVO INTRAUTERINO",IF(P63=CURSOS!$D$29,"SALUD MENTAL",IF(P63=CURSOS!$D$30,"PRIMEROS AUXILIOS PSICOLOGICOS",IF(P63=CURSOS!$D$31,"ATENCION A VICTIMAS POR CONFLICTO ARMADO",IF(P63=CURSOS!$D$32,"MANIPULACION DE ALIMENTOS Y BPM",IF(P63=CURSOS!$D$33,"ATENCION A PERSONAS CON DISCAPACIDAD",IF(P63=CURSOS!$D$34,"CUIDADO INTEGRAL DEL PACIENTE ADULTO",IF(P63=CURSOS!$D$35,"MANEJO DEFENSIVO",IF(P63=CURSOS!$D$36,"SOPORTE CARDIOVASCULAR AVANZADO NEONATAL",IF(P63=CURSOS!$D$37,"SEGURIDAD DEL PACIENTE",IF(P63=CURSOS!$D$38,"MANEJO DE RESIDUOS HOSPITALARIOS",IF(P63=CURSOS!$D$39,"ATENCION DE PACIENTE POR CONSUMO SUSTANCIAS PSICOACTIVAS Y ADICCIONES")))))))))))))))))))))))))))))))))))))</f>
        <v xml:space="preserve">ATENCION A VICTIMAS DE VIOLENCIA SEXUAL </v>
      </c>
      <c r="W63" s="62" t="str">
        <f t="shared" si="3"/>
        <v>Daira Yuliana Miramag Villota</v>
      </c>
      <c r="X63" s="62" t="str">
        <f t="shared" si="4"/>
        <v>Daira Yuliana Miramag Villota</v>
      </c>
      <c r="Y63" s="62" t="str">
        <f t="shared" si="5"/>
        <v>Daira Yuliana Miramag Villota-1004437731-VIOLENCIA SEXUAL</v>
      </c>
    </row>
    <row r="64" spans="1:25" s="57" customFormat="1" x14ac:dyDescent="0.2">
      <c r="A64" s="58">
        <v>63</v>
      </c>
      <c r="B64" s="59">
        <v>1089030527</v>
      </c>
      <c r="C64" s="59" t="s">
        <v>318</v>
      </c>
      <c r="D64" s="59" t="s">
        <v>217</v>
      </c>
      <c r="E64" s="59" t="s">
        <v>181</v>
      </c>
      <c r="F64" s="59" t="s">
        <v>294</v>
      </c>
      <c r="G64" s="59">
        <v>9</v>
      </c>
      <c r="H64" s="59" t="s">
        <v>200</v>
      </c>
      <c r="I64" s="60" t="s">
        <v>115</v>
      </c>
      <c r="J64" s="60" t="s">
        <v>240</v>
      </c>
      <c r="K64" s="61">
        <v>45790</v>
      </c>
      <c r="L64" s="66">
        <v>32000</v>
      </c>
      <c r="M64" s="59" t="s">
        <v>103</v>
      </c>
      <c r="N64" s="59" t="s">
        <v>138</v>
      </c>
      <c r="O64" s="59" t="s">
        <v>99</v>
      </c>
      <c r="P64" s="59" t="s">
        <v>42</v>
      </c>
      <c r="Q64" s="60">
        <v>32392</v>
      </c>
      <c r="R64" s="59" t="s">
        <v>102</v>
      </c>
      <c r="S64" s="64" t="s">
        <v>215</v>
      </c>
      <c r="T64" s="85">
        <v>3138625257</v>
      </c>
      <c r="U64" s="59" t="s">
        <v>334</v>
      </c>
      <c r="V64" s="62" t="str">
        <f>IF(P64=CURSOS!$D$3,"DIPLOMADO EN ATENCION PRE-HOSPITALARIA",IF(P64=CURSOS!$D$4,"ACOMPAÑAMIENTO Y MANEJO DEL DUELO",IF(P64=CURSOS!$D$5,"ATENCION A VICTIMAS DE ATAQUE CON AGENTES QUIMICOS ",IF(P64=CURSOS!$D$6,"PRIMEROS AUXILIOS ",IF(P64=CURSOS!$D$7,"DIPLOMADO DE UNIDAD DE CUIDADOS INTENSIVOS (UCI)",IF(P64=CURSOS!$D$8,"MODELO DE ATENCION PARA EVENTOS EMERGENTES EN SALUD MENTAL (CODIGO VERDE)",IF(P64=CURSOS!$D$9,"HUMANIZACION EN EL SERVICIO DE LA SALUD Y BUENAS PRACTICAS EN PACIENTE ",IF(P64=CURSOS!$D$10,"CLINICA DE HERIDAS ",IF(P64=CURSOS!$D$11,"TOMA DE CITOLOGIA CERVICO VAGINAL ",IF(P64=CURSOS!$D$12,"SOPORTE CARDIOVASCULAR AVANZADO (ACLS) ",IF(P64=CURSOS!$D$13,"CAMILLERO ",IF(P64=CURSOS!$D$14,"TOMA DE MUESTRAS Y LABORATORIO ",IF(P64=CURSOS!$D$15,"SOPORTE VITAL BASICO (BLS)",IF(P64=CURSOS!$D$16,"ATENCION A VICTIMAS DE VIOLENCIA SEXUAL ",IF(P64=CURSOS!$D$17,"PROGRAMADO AMPLIADO DE INMUNIZACION (PAI - COVID 19)",IF(P64=CURSOS!$D$18,"ATENCION INTEGRAL EN ENFERMEDADES PREVALENTES EN PRIMERA INFANCIA (AIEPI)",IF(P64=CURSOS!$D$19,"ADMINISTRACION DE MEDICAMENTOS, INYECTOLOGIA  Y CANALIZACION ",IF(P64=CURSOS!$D$20,"OPERADOR DE VEHICULOS DE EMERGENCIA (OVE)",IF(P64=CURSOS!$D$21,"INSTITUCIONES AMIGAS DE LA MUJER Y LA INFANCIA (IAMI)",IF(P64=CURSOS!$D$22,"CUIDADO DEL DONANTE DE ORGANOS",IF(P64=CURSOS!$D$23,"ATENCION A VICTIMAS POR VIOLENCIA DE GENERO",IF(P64=CURSOS!$D$24,"IGUALDAD DE GENERO EN LA SALUD",IF(P64=CURSOS!$D$25,"BRIGADA DE EMERGENCIA",IF(P64=CURSOS!$D$26,"MANEJO DEL DOLOR Y CUIDADOS PALIATIVOS",IF(P64=CURSOS!$D$27,"TOMA DE MUESTRAS Y LABORATORIO POCT",IF(P64=CURSOS!$D$28,"IMPLANTE SUBDERMICO DE DISPOSITIVO INTRAUTERINO",IF(P64=CURSOS!$D$29,"SALUD MENTAL",IF(P64=CURSOS!$D$30,"PRIMEROS AUXILIOS PSICOLOGICOS",IF(P64=CURSOS!$D$31,"ATENCION A VICTIMAS POR CONFLICTO ARMADO",IF(P64=CURSOS!$D$32,"MANIPULACION DE ALIMENTOS Y BPM",IF(P64=CURSOS!$D$33,"ATENCION A PERSONAS CON DISCAPACIDAD",IF(P64=CURSOS!$D$34,"CUIDADO INTEGRAL DEL PACIENTE ADULTO",IF(P64=CURSOS!$D$35,"MANEJO DEFENSIVO",IF(P64=CURSOS!$D$36,"SOPORTE CARDIOVASCULAR AVANZADO NEONATAL",IF(P64=CURSOS!$D$37,"SEGURIDAD DEL PACIENTE",IF(P64=CURSOS!$D$38,"MANEJO DE RESIDUOS HOSPITALARIOS",IF(P64=CURSOS!$D$39,"ATENCION DE PACIENTE POR CONSUMO SUSTANCIAS PSICOACTIVAS Y ADICCIONES")))))))))))))))))))))))))))))))))))))</f>
        <v xml:space="preserve">ATENCION A VICTIMAS DE VIOLENCIA SEXUAL </v>
      </c>
      <c r="W64" s="62" t="str">
        <f t="shared" si="3"/>
        <v>Angela Daniela Portilla Pantoja</v>
      </c>
      <c r="X64" s="62" t="str">
        <f t="shared" si="4"/>
        <v>Angela Daniela Portilla Pantoja</v>
      </c>
      <c r="Y64" s="62" t="str">
        <f t="shared" si="5"/>
        <v>Angela Daniela Portilla Pantoja-1089030527-VIOLENCIA SEXUAL</v>
      </c>
    </row>
    <row r="65" spans="1:25" s="57" customFormat="1" x14ac:dyDescent="0.2">
      <c r="A65" s="58">
        <v>64</v>
      </c>
      <c r="B65" s="59">
        <v>1089030527</v>
      </c>
      <c r="C65" s="59" t="s">
        <v>318</v>
      </c>
      <c r="D65" s="59" t="s">
        <v>217</v>
      </c>
      <c r="E65" s="59" t="s">
        <v>181</v>
      </c>
      <c r="F65" s="59" t="s">
        <v>294</v>
      </c>
      <c r="G65" s="59">
        <v>8</v>
      </c>
      <c r="H65" s="59" t="s">
        <v>200</v>
      </c>
      <c r="I65" s="60" t="s">
        <v>115</v>
      </c>
      <c r="J65" s="60" t="s">
        <v>240</v>
      </c>
      <c r="K65" s="61">
        <v>45790</v>
      </c>
      <c r="L65" s="66">
        <v>32000</v>
      </c>
      <c r="M65" s="59" t="s">
        <v>103</v>
      </c>
      <c r="N65" s="59" t="s">
        <v>138</v>
      </c>
      <c r="O65" s="59" t="s">
        <v>99</v>
      </c>
      <c r="P65" s="59" t="s">
        <v>32</v>
      </c>
      <c r="Q65" s="60">
        <v>32392</v>
      </c>
      <c r="R65" s="59" t="s">
        <v>102</v>
      </c>
      <c r="S65" s="64" t="s">
        <v>215</v>
      </c>
      <c r="T65" s="85">
        <v>3138625257</v>
      </c>
      <c r="U65" s="59" t="s">
        <v>334</v>
      </c>
      <c r="V65" s="62" t="str">
        <f>IF(P65=CURSOS!$D$3,"DIPLOMADO EN ATENCION PRE-HOSPITALARIA",IF(P65=CURSOS!$D$4,"ACOMPAÑAMIENTO Y MANEJO DEL DUELO",IF(P65=CURSOS!$D$5,"ATENCION A VICTIMAS DE ATAQUE CON AGENTES QUIMICOS ",IF(P65=CURSOS!$D$6,"PRIMEROS AUXILIOS ",IF(P65=CURSOS!$D$7,"DIPLOMADO DE UNIDAD DE CUIDADOS INTENSIVOS (UCI)",IF(P65=CURSOS!$D$8,"MODELO DE ATENCION PARA EVENTOS EMERGENTES EN SALUD MENTAL (CODIGO VERDE)",IF(P65=CURSOS!$D$9,"HUMANIZACION EN EL SERVICIO DE LA SALUD Y BUENAS PRACTICAS EN PACIENTE ",IF(P65=CURSOS!$D$10,"CLINICA DE HERIDAS ",IF(P65=CURSOS!$D$11,"TOMA DE CITOLOGIA CERVICO VAGINAL ",IF(P65=CURSOS!$D$12,"SOPORTE CARDIOVASCULAR AVANZADO (ACLS) ",IF(P65=CURSOS!$D$13,"CAMILLERO ",IF(P65=CURSOS!$D$14,"TOMA DE MUESTRAS Y LABORATORIO ",IF(P65=CURSOS!$D$15,"SOPORTE VITAL BASICO (BLS)",IF(P65=CURSOS!$D$16,"ATENCION A VICTIMAS DE VIOLENCIA SEXUAL ",IF(P65=CURSOS!$D$17,"PROGRAMADO AMPLIADO DE INMUNIZACION (PAI - COVID 19)",IF(P65=CURSOS!$D$18,"ATENCION INTEGRAL EN ENFERMEDADES PREVALENTES EN PRIMERA INFANCIA (AIEPI)",IF(P65=CURSOS!$D$19,"ADMINISTRACION DE MEDICAMENTOS, INYECTOLOGIA  Y CANALIZACION ",IF(P65=CURSOS!$D$20,"OPERADOR DE VEHICULOS DE EMERGENCIA (OVE)",IF(P65=CURSOS!$D$21,"INSTITUCIONES AMIGAS DE LA MUJER Y LA INFANCIA (IAMI)",IF(P65=CURSOS!$D$22,"CUIDADO DEL DONANTE DE ORGANOS",IF(P65=CURSOS!$D$23,"ATENCION A VICTIMAS POR VIOLENCIA DE GENERO",IF(P65=CURSOS!$D$24,"IGUALDAD DE GENERO EN LA SALUD",IF(P65=CURSOS!$D$25,"BRIGADA DE EMERGENCIA",IF(P65=CURSOS!$D$26,"MANEJO DEL DOLOR Y CUIDADOS PALIATIVOS",IF(P65=CURSOS!$D$27,"TOMA DE MUESTRAS Y LABORATORIO POCT",IF(P65=CURSOS!$D$28,"IMPLANTE SUBDERMICO DE DISPOSITIVO INTRAUTERINO",IF(P65=CURSOS!$D$29,"SALUD MENTAL",IF(P65=CURSOS!$D$30,"PRIMEROS AUXILIOS PSICOLOGICOS",IF(P65=CURSOS!$D$31,"ATENCION A VICTIMAS POR CONFLICTO ARMADO",IF(P65=CURSOS!$D$32,"MANIPULACION DE ALIMENTOS Y BPM",IF(P65=CURSOS!$D$33,"ATENCION A PERSONAS CON DISCAPACIDAD",IF(P65=CURSOS!$D$34,"CUIDADO INTEGRAL DEL PACIENTE ADULTO",IF(P65=CURSOS!$D$35,"MANEJO DEFENSIVO",IF(P65=CURSOS!$D$36,"SOPORTE CARDIOVASCULAR AVANZADO NEONATAL",IF(P65=CURSOS!$D$37,"SEGURIDAD DEL PACIENTE",IF(P65=CURSOS!$D$38,"MANEJO DE RESIDUOS HOSPITALARIOS",IF(P65=CURSOS!$D$39,"ATENCION DE PACIENTE POR CONSUMO SUSTANCIAS PSICOACTIVAS Y ADICCIONES")))))))))))))))))))))))))))))))))))))</f>
        <v xml:space="preserve">HUMANIZACION EN EL SERVICIO DE LA SALUD Y BUENAS PRACTICAS EN PACIENTE </v>
      </c>
      <c r="W65" s="62" t="str">
        <f t="shared" si="3"/>
        <v>Angela Daniela Portilla Pantoja</v>
      </c>
      <c r="X65" s="62" t="str">
        <f t="shared" si="4"/>
        <v>Angela Daniela Portilla Pantoja</v>
      </c>
      <c r="Y65" s="62" t="str">
        <f t="shared" si="5"/>
        <v>Angela Daniela Portilla Pantoja-1089030527-HUMANIZACION</v>
      </c>
    </row>
    <row r="66" spans="1:25" s="57" customFormat="1" x14ac:dyDescent="0.2">
      <c r="A66" s="58">
        <v>65</v>
      </c>
      <c r="B66" s="59">
        <v>27081574</v>
      </c>
      <c r="C66" s="59" t="s">
        <v>336</v>
      </c>
      <c r="D66" s="59" t="s">
        <v>335</v>
      </c>
      <c r="E66" s="59" t="s">
        <v>198</v>
      </c>
      <c r="F66" s="59" t="s">
        <v>337</v>
      </c>
      <c r="G66" s="59">
        <v>12</v>
      </c>
      <c r="H66" s="59" t="s">
        <v>200</v>
      </c>
      <c r="I66" s="60" t="s">
        <v>115</v>
      </c>
      <c r="J66" s="60"/>
      <c r="K66" s="61">
        <v>45789</v>
      </c>
      <c r="L66" s="66">
        <v>32000</v>
      </c>
      <c r="M66" s="59" t="s">
        <v>214</v>
      </c>
      <c r="N66" s="59" t="s">
        <v>138</v>
      </c>
      <c r="O66" s="59" t="s">
        <v>116</v>
      </c>
      <c r="P66" s="59" t="s">
        <v>48</v>
      </c>
      <c r="Q66" s="60">
        <v>28414</v>
      </c>
      <c r="R66" s="59" t="s">
        <v>102</v>
      </c>
      <c r="S66" s="64" t="s">
        <v>282</v>
      </c>
      <c r="T66" s="59">
        <v>3002016287</v>
      </c>
      <c r="U66" s="59" t="s">
        <v>338</v>
      </c>
      <c r="V66" s="62" t="str">
        <f>IF(P66=CURSOS!$D$3,"DIPLOMADO EN ATENCION PRE-HOSPITALARIA",IF(P66=CURSOS!$D$4,"ACOMPAÑAMIENTO Y MANEJO DEL DUELO",IF(P66=CURSOS!$D$5,"ATENCION A VICTIMAS DE ATAQUE CON AGENTES QUIMICOS ",IF(P66=CURSOS!$D$6,"PRIMEROS AUXILIOS ",IF(P66=CURSOS!$D$7,"DIPLOMADO DE UNIDAD DE CUIDADOS INTENSIVOS (UCI)",IF(P66=CURSOS!$D$8,"MODELO DE ATENCION PARA EVENTOS EMERGENTES EN SALUD MENTAL (CODIGO VERDE)",IF(P66=CURSOS!$D$9,"HUMANIZACION EN EL SERVICIO DE LA SALUD Y BUENAS PRACTICAS EN PACIENTE ",IF(P66=CURSOS!$D$10,"CLINICA DE HERIDAS ",IF(P66=CURSOS!$D$11,"TOMA DE CITOLOGIA CERVICO VAGINAL ",IF(P66=CURSOS!$D$12,"SOPORTE CARDIOVASCULAR AVANZADO (ACLS) ",IF(P66=CURSOS!$D$13,"CAMILLERO ",IF(P66=CURSOS!$D$14,"TOMA DE MUESTRAS Y LABORATORIO ",IF(P66=CURSOS!$D$15,"SOPORTE VITAL BASICO (BLS)",IF(P66=CURSOS!$D$16,"ATENCION A VICTIMAS DE VIOLENCIA SEXUAL ",IF(P66=CURSOS!$D$17,"PROGRAMADO AMPLIADO DE INMUNIZACION (PAI - COVID 19)",IF(P66=CURSOS!$D$18,"ATENCION INTEGRAL EN ENFERMEDADES PREVALENTES EN PRIMERA INFANCIA (AIEPI)",IF(P66=CURSOS!$D$19,"ADMINISTRACION DE MEDICAMENTOS, INYECTOLOGIA  Y CANALIZACION ",IF(P66=CURSOS!$D$20,"OPERADOR DE VEHICULOS DE EMERGENCIA (OVE)",IF(P66=CURSOS!$D$21,"INSTITUCIONES AMIGAS DE LA MUJER Y LA INFANCIA (IAMI)",IF(P66=CURSOS!$D$22,"CUIDADO DEL DONANTE DE ORGANOS",IF(P66=CURSOS!$D$23,"ATENCION A VICTIMAS POR VIOLENCIA DE GENERO",IF(P66=CURSOS!$D$24,"IGUALDAD DE GENERO EN LA SALUD",IF(P66=CURSOS!$D$25,"BRIGADA DE EMERGENCIA",IF(P66=CURSOS!$D$26,"MANEJO DEL DOLOR Y CUIDADOS PALIATIVOS",IF(P66=CURSOS!$D$27,"TOMA DE MUESTRAS Y LABORATORIO POCT",IF(P66=CURSOS!$D$28,"IMPLANTE SUBDERMICO DE DISPOSITIVO INTRAUTERINO",IF(P66=CURSOS!$D$29,"SALUD MENTAL",IF(P66=CURSOS!$D$30,"PRIMEROS AUXILIOS PSICOLOGICOS",IF(P66=CURSOS!$D$31,"ATENCION A VICTIMAS POR CONFLICTO ARMADO",IF(P66=CURSOS!$D$32,"MANIPULACION DE ALIMENTOS Y BPM",IF(P66=CURSOS!$D$33,"ATENCION A PERSONAS CON DISCAPACIDAD",IF(P66=CURSOS!$D$34,"CUIDADO INTEGRAL DEL PACIENTE ADULTO",IF(P66=CURSOS!$D$35,"MANEJO DEFENSIVO",IF(P66=CURSOS!$D$36,"SOPORTE CARDIOVASCULAR AVANZADO NEONATAL",IF(P66=CURSOS!$D$37,"SEGURIDAD DEL PACIENTE",IF(P66=CURSOS!$D$38,"MANEJO DE RESIDUOS HOSPITALARIOS",IF(P66=CURSOS!$D$39,"ATENCION DE PACIENTE POR CONSUMO SUSTANCIAS PSICOACTIVAS Y ADICCIONES")))))))))))))))))))))))))))))))))))))</f>
        <v>INSTITUCIONES AMIGAS DE LA MUJER Y LA INFANCIA (IAMI)</v>
      </c>
      <c r="W66" s="62" t="str">
        <f t="shared" si="3"/>
        <v>Maria Ximena Gutierrez Vela</v>
      </c>
      <c r="X66" s="62" t="str">
        <f t="shared" si="4"/>
        <v>Maria Ximena Gutierrez Vela</v>
      </c>
      <c r="Y66" s="62" t="str">
        <f t="shared" si="5"/>
        <v>Maria Ximena Gutierrez Vela-27081574-IAMI</v>
      </c>
    </row>
    <row r="67" spans="1:25" s="57" customFormat="1" x14ac:dyDescent="0.2">
      <c r="A67" s="58">
        <v>66</v>
      </c>
      <c r="B67" s="59">
        <v>59310860</v>
      </c>
      <c r="C67" s="59" t="s">
        <v>339</v>
      </c>
      <c r="D67" s="59" t="s">
        <v>340</v>
      </c>
      <c r="E67" s="59" t="s">
        <v>341</v>
      </c>
      <c r="F67" s="59" t="s">
        <v>342</v>
      </c>
      <c r="G67" s="59">
        <v>12</v>
      </c>
      <c r="H67" s="59" t="s">
        <v>200</v>
      </c>
      <c r="I67" s="60" t="s">
        <v>115</v>
      </c>
      <c r="J67" s="60"/>
      <c r="K67" s="61">
        <v>45789</v>
      </c>
      <c r="L67" s="66">
        <v>40000</v>
      </c>
      <c r="M67" s="59" t="s">
        <v>214</v>
      </c>
      <c r="N67" s="59" t="s">
        <v>138</v>
      </c>
      <c r="O67" s="59" t="s">
        <v>116</v>
      </c>
      <c r="P67" s="59" t="s">
        <v>59</v>
      </c>
      <c r="Q67" s="60">
        <v>30704</v>
      </c>
      <c r="R67" s="59" t="s">
        <v>102</v>
      </c>
      <c r="S67" s="64" t="s">
        <v>201</v>
      </c>
      <c r="T67" s="59">
        <v>3154636335</v>
      </c>
      <c r="U67" s="59" t="s">
        <v>343</v>
      </c>
      <c r="V67" s="62" t="str">
        <f>IF(P67=CURSOS!$D$3,"DIPLOMADO EN ATENCION PRE-HOSPITALARIA",IF(P67=CURSOS!$D$4,"ACOMPAÑAMIENTO Y MANEJO DEL DUELO",IF(P67=CURSOS!$D$5,"ATENCION A VICTIMAS DE ATAQUE CON AGENTES QUIMICOS ",IF(P67=CURSOS!$D$6,"PRIMEROS AUXILIOS ",IF(P67=CURSOS!$D$7,"DIPLOMADO DE UNIDAD DE CUIDADOS INTENSIVOS (UCI)",IF(P67=CURSOS!$D$8,"MODELO DE ATENCION PARA EVENTOS EMERGENTES EN SALUD MENTAL (CODIGO VERDE)",IF(P67=CURSOS!$D$9,"HUMANIZACION EN EL SERVICIO DE LA SALUD Y BUENAS PRACTICAS EN PACIENTE ",IF(P67=CURSOS!$D$10,"CLINICA DE HERIDAS ",IF(P67=CURSOS!$D$11,"TOMA DE CITOLOGIA CERVICO VAGINAL ",IF(P67=CURSOS!$D$12,"SOPORTE CARDIOVASCULAR AVANZADO (ACLS) ",IF(P67=CURSOS!$D$13,"CAMILLERO ",IF(P67=CURSOS!$D$14,"TOMA DE MUESTRAS Y LABORATORIO ",IF(P67=CURSOS!$D$15,"SOPORTE VITAL BASICO (BLS)",IF(P67=CURSOS!$D$16,"ATENCION A VICTIMAS DE VIOLENCIA SEXUAL ",IF(P67=CURSOS!$D$17,"PROGRAMADO AMPLIADO DE INMUNIZACION (PAI - COVID 19)",IF(P67=CURSOS!$D$18,"ATENCION INTEGRAL EN ENFERMEDADES PREVALENTES EN PRIMERA INFANCIA (AIEPI)",IF(P67=CURSOS!$D$19,"ADMINISTRACION DE MEDICAMENTOS, INYECTOLOGIA  Y CANALIZACION ",IF(P67=CURSOS!$D$20,"OPERADOR DE VEHICULOS DE EMERGENCIA (OVE)",IF(P67=CURSOS!$D$21,"INSTITUCIONES AMIGAS DE LA MUJER Y LA INFANCIA (IAMI)",IF(P67=CURSOS!$D$22,"CUIDADO DEL DONANTE DE ORGANOS",IF(P67=CURSOS!$D$23,"ATENCION A VICTIMAS POR VIOLENCIA DE GENERO",IF(P67=CURSOS!$D$24,"IGUALDAD DE GENERO EN LA SALUD",IF(P67=CURSOS!$D$25,"BRIGADA DE EMERGENCIA",IF(P67=CURSOS!$D$26,"MANEJO DEL DOLOR Y CUIDADOS PALIATIVOS",IF(P67=CURSOS!$D$27,"TOMA DE MUESTRAS Y LABORATORIO POCT",IF(P67=CURSOS!$D$28,"IMPLANTE SUBDERMICO DE DISPOSITIVO INTRAUTERINO",IF(P67=CURSOS!$D$29,"SALUD MENTAL",IF(P67=CURSOS!$D$30,"PRIMEROS AUXILIOS PSICOLOGICOS",IF(P67=CURSOS!$D$31,"ATENCION A VICTIMAS POR CONFLICTO ARMADO",IF(P67=CURSOS!$D$32,"MANIPULACION DE ALIMENTOS Y BPM",IF(P67=CURSOS!$D$33,"ATENCION A PERSONAS CON DISCAPACIDAD",IF(P67=CURSOS!$D$34,"CUIDADO INTEGRAL DEL PACIENTE ADULTO",IF(P67=CURSOS!$D$35,"MANEJO DEFENSIVO",IF(P67=CURSOS!$D$36,"SOPORTE CARDIOVASCULAR AVANZADO NEONATAL",IF(P67=CURSOS!$D$37,"SEGURIDAD DEL PACIENTE",IF(P67=CURSOS!$D$38,"MANEJO DE RESIDUOS HOSPITALARIOS",IF(P67=CURSOS!$D$39,"ATENCION DE PACIENTE POR CONSUMO SUSTANCIAS PSICOACTIVAS Y ADICCIONES")))))))))))))))))))))))))))))))))))))</f>
        <v>TOMA DE MUESTRAS Y LABORATORIO POCT</v>
      </c>
      <c r="W67" s="62" t="str">
        <f t="shared" ref="W67:W130" si="6">CONCATENATE(E67," ",F67," ",C67," ",D67)</f>
        <v>Amanda Lucia Melo Rosero</v>
      </c>
      <c r="X67" s="62" t="str">
        <f t="shared" ref="X67:X130" si="7">PROPER(W67)</f>
        <v>Amanda Lucia Melo Rosero</v>
      </c>
      <c r="Y67" s="62" t="str">
        <f t="shared" ref="Y67:Y130" si="8">CONCATENATE(X67,"-",B67,"-",P67)</f>
        <v>Amanda Lucia Melo Rosero-59310860-POCT</v>
      </c>
    </row>
    <row r="68" spans="1:25" s="57" customFormat="1" x14ac:dyDescent="0.2">
      <c r="A68" s="58">
        <v>67</v>
      </c>
      <c r="B68" s="70">
        <v>1114459093</v>
      </c>
      <c r="C68" s="59" t="s">
        <v>340</v>
      </c>
      <c r="D68" s="59" t="s">
        <v>344</v>
      </c>
      <c r="E68" s="59" t="s">
        <v>345</v>
      </c>
      <c r="F68" s="59" t="s">
        <v>346</v>
      </c>
      <c r="G68" s="59">
        <v>12</v>
      </c>
      <c r="H68" s="59" t="s">
        <v>200</v>
      </c>
      <c r="I68" s="60" t="s">
        <v>115</v>
      </c>
      <c r="J68" s="60" t="s">
        <v>240</v>
      </c>
      <c r="K68" s="61">
        <v>46000</v>
      </c>
      <c r="L68" s="66">
        <v>30000</v>
      </c>
      <c r="M68" s="59" t="s">
        <v>103</v>
      </c>
      <c r="N68" s="59" t="s">
        <v>138</v>
      </c>
      <c r="O68" s="59" t="s">
        <v>347</v>
      </c>
      <c r="P68" s="59" t="s">
        <v>32</v>
      </c>
      <c r="Q68" s="60"/>
      <c r="R68" s="59" t="s">
        <v>102</v>
      </c>
      <c r="S68" s="64" t="s">
        <v>201</v>
      </c>
      <c r="T68" s="85"/>
      <c r="U68" s="59"/>
      <c r="V68" s="62" t="str">
        <f>IF(P68=CURSOS!$D$3,"DIPLOMADO EN ATENCION PRE-HOSPITALARIA",IF(P68=CURSOS!$D$4,"ACOMPAÑAMIENTO Y MANEJO DEL DUELO",IF(P68=CURSOS!$D$5,"ATENCION A VICTIMAS DE ATAQUE CON AGENTES QUIMICOS ",IF(P68=CURSOS!$D$6,"PRIMEROS AUXILIOS ",IF(P68=CURSOS!$D$7,"DIPLOMADO DE UNIDAD DE CUIDADOS INTENSIVOS (UCI)",IF(P68=CURSOS!$D$8,"MODELO DE ATENCION PARA EVENTOS EMERGENTES EN SALUD MENTAL (CODIGO VERDE)",IF(P68=CURSOS!$D$9,"HUMANIZACION EN EL SERVICIO DE LA SALUD Y BUENAS PRACTICAS EN PACIENTE ",IF(P68=CURSOS!$D$10,"CLINICA DE HERIDAS ",IF(P68=CURSOS!$D$11,"TOMA DE CITOLOGIA CERVICO VAGINAL ",IF(P68=CURSOS!$D$12,"SOPORTE CARDIOVASCULAR AVANZADO (ACLS) ",IF(P68=CURSOS!$D$13,"CAMILLERO ",IF(P68=CURSOS!$D$14,"TOMA DE MUESTRAS Y LABORATORIO ",IF(P68=CURSOS!$D$15,"SOPORTE VITAL BASICO (BLS)",IF(P68=CURSOS!$D$16,"ATENCION A VICTIMAS DE VIOLENCIA SEXUAL ",IF(P68=CURSOS!$D$17,"PROGRAMADO AMPLIADO DE INMUNIZACION (PAI - COVID 19)",IF(P68=CURSOS!$D$18,"ATENCION INTEGRAL EN ENFERMEDADES PREVALENTES EN PRIMERA INFANCIA (AIEPI)",IF(P68=CURSOS!$D$19,"ADMINISTRACION DE MEDICAMENTOS, INYECTOLOGIA  Y CANALIZACION ",IF(P68=CURSOS!$D$20,"OPERADOR DE VEHICULOS DE EMERGENCIA (OVE)",IF(P68=CURSOS!$D$21,"INSTITUCIONES AMIGAS DE LA MUJER Y LA INFANCIA (IAMI)",IF(P68=CURSOS!$D$22,"CUIDADO DEL DONANTE DE ORGANOS",IF(P68=CURSOS!$D$23,"ATENCION A VICTIMAS POR VIOLENCIA DE GENERO",IF(P68=CURSOS!$D$24,"IGUALDAD DE GENERO EN LA SALUD",IF(P68=CURSOS!$D$25,"BRIGADA DE EMERGENCIA",IF(P68=CURSOS!$D$26,"MANEJO DEL DOLOR Y CUIDADOS PALIATIVOS",IF(P68=CURSOS!$D$27,"TOMA DE MUESTRAS Y LABORATORIO POCT",IF(P68=CURSOS!$D$28,"IMPLANTE SUBDERMICO DE DISPOSITIVO INTRAUTERINO",IF(P68=CURSOS!$D$29,"SALUD MENTAL",IF(P68=CURSOS!$D$30,"PRIMEROS AUXILIOS PSICOLOGICOS",IF(P68=CURSOS!$D$31,"ATENCION A VICTIMAS POR CONFLICTO ARMADO",IF(P68=CURSOS!$D$32,"MANIPULACION DE ALIMENTOS Y BPM",IF(P68=CURSOS!$D$33,"ATENCION A PERSONAS CON DISCAPACIDAD",IF(P68=CURSOS!$D$34,"CUIDADO INTEGRAL DEL PACIENTE ADULTO",IF(P68=CURSOS!$D$35,"MANEJO DEFENSIVO",IF(P68=CURSOS!$D$36,"SOPORTE CARDIOVASCULAR AVANZADO NEONATAL",IF(P68=CURSOS!$D$37,"SEGURIDAD DEL PACIENTE",IF(P68=CURSOS!$D$38,"MANEJO DE RESIDUOS HOSPITALARIOS",IF(P68=CURSOS!$D$39,"ATENCION DE PACIENTE POR CONSUMO SUSTANCIAS PSICOACTIVAS Y ADICCIONES")))))))))))))))))))))))))))))))))))))</f>
        <v xml:space="preserve">HUMANIZACION EN EL SERVICIO DE LA SALUD Y BUENAS PRACTICAS EN PACIENTE </v>
      </c>
      <c r="W68" s="62" t="str">
        <f t="shared" si="6"/>
        <v>Lina Fernanda Rosero Rosales</v>
      </c>
      <c r="X68" s="62" t="str">
        <f t="shared" si="7"/>
        <v>Lina Fernanda Rosero Rosales</v>
      </c>
      <c r="Y68" s="62" t="str">
        <f t="shared" si="8"/>
        <v>Lina Fernanda Rosero Rosales-1114459093-HUMANIZACION</v>
      </c>
    </row>
    <row r="69" spans="1:25" s="57" customFormat="1" x14ac:dyDescent="0.2">
      <c r="A69" s="58">
        <v>68</v>
      </c>
      <c r="B69" s="70">
        <v>1114459093</v>
      </c>
      <c r="C69" s="59" t="s">
        <v>340</v>
      </c>
      <c r="D69" s="59" t="s">
        <v>344</v>
      </c>
      <c r="E69" s="59" t="s">
        <v>345</v>
      </c>
      <c r="F69" s="59" t="s">
        <v>346</v>
      </c>
      <c r="G69" s="59">
        <v>10</v>
      </c>
      <c r="H69" s="59" t="s">
        <v>200</v>
      </c>
      <c r="I69" s="60" t="s">
        <v>115</v>
      </c>
      <c r="J69" s="60" t="s">
        <v>240</v>
      </c>
      <c r="K69" s="61">
        <v>46000</v>
      </c>
      <c r="L69" s="66">
        <v>30000</v>
      </c>
      <c r="M69" s="59" t="s">
        <v>103</v>
      </c>
      <c r="N69" s="59" t="s">
        <v>138</v>
      </c>
      <c r="O69" s="59" t="s">
        <v>347</v>
      </c>
      <c r="P69" s="59" t="s">
        <v>87</v>
      </c>
      <c r="Q69" s="60"/>
      <c r="R69" s="59" t="s">
        <v>102</v>
      </c>
      <c r="S69" s="64" t="s">
        <v>201</v>
      </c>
      <c r="T69" s="85"/>
      <c r="U69" s="59"/>
      <c r="V69" s="62" t="str">
        <f>IF(P69=CURSOS!$D$3,"DIPLOMADO EN ATENCION PRE-HOSPITALARIA",IF(P69=CURSOS!$D$4,"ACOMPAÑAMIENTO Y MANEJO DEL DUELO",IF(P69=CURSOS!$D$5,"ATENCION A VICTIMAS DE ATAQUE CON AGENTES QUIMICOS ",IF(P69=CURSOS!$D$6,"PRIMEROS AUXILIOS ",IF(P69=CURSOS!$D$7,"DIPLOMADO DE UNIDAD DE CUIDADOS INTENSIVOS (UCI)",IF(P69=CURSOS!$D$8,"MODELO DE ATENCION PARA EVENTOS EMERGENTES EN SALUD MENTAL (CODIGO VERDE)",IF(P69=CURSOS!$D$9,"HUMANIZACION EN EL SERVICIO DE LA SALUD Y BUENAS PRACTICAS EN PACIENTE ",IF(P69=CURSOS!$D$10,"CLINICA DE HERIDAS ",IF(P69=CURSOS!$D$11,"TOMA DE CITOLOGIA CERVICO VAGINAL ",IF(P69=CURSOS!$D$12,"SOPORTE CARDIOVASCULAR AVANZADO (ACLS) ",IF(P69=CURSOS!$D$13,"CAMILLERO ",IF(P69=CURSOS!$D$14,"TOMA DE MUESTRAS Y LABORATORIO ",IF(P69=CURSOS!$D$15,"SOPORTE VITAL BASICO (BLS)",IF(P69=CURSOS!$D$16,"ATENCION A VICTIMAS DE VIOLENCIA SEXUAL ",IF(P69=CURSOS!$D$17,"PROGRAMADO AMPLIADO DE INMUNIZACION (PAI - COVID 19)",IF(P69=CURSOS!$D$18,"ATENCION INTEGRAL EN ENFERMEDADES PREVALENTES EN PRIMERA INFANCIA (AIEPI)",IF(P69=CURSOS!$D$19,"ADMINISTRACION DE MEDICAMENTOS, INYECTOLOGIA  Y CANALIZACION ",IF(P69=CURSOS!$D$20,"OPERADOR DE VEHICULOS DE EMERGENCIA (OVE)",IF(P69=CURSOS!$D$21,"INSTITUCIONES AMIGAS DE LA MUJER Y LA INFANCIA (IAMI)",IF(P69=CURSOS!$D$22,"CUIDADO DEL DONANTE DE ORGANOS",IF(P69=CURSOS!$D$23,"ATENCION A VICTIMAS POR VIOLENCIA DE GENERO",IF(P69=CURSOS!$D$24,"IGUALDAD DE GENERO EN LA SALUD",IF(P69=CURSOS!$D$25,"BRIGADA DE EMERGENCIA",IF(P69=CURSOS!$D$26,"MANEJO DEL DOLOR Y CUIDADOS PALIATIVOS",IF(P69=CURSOS!$D$27,"TOMA DE MUESTRAS Y LABORATORIO POCT",IF(P69=CURSOS!$D$28,"IMPLANTE SUBDERMICO DE DISPOSITIVO INTRAUTERINO",IF(P69=CURSOS!$D$29,"SALUD MENTAL",IF(P69=CURSOS!$D$30,"PRIMEROS AUXILIOS PSICOLOGICOS",IF(P69=CURSOS!$D$31,"ATENCION A VICTIMAS POR CONFLICTO ARMADO",IF(P69=CURSOS!$D$32,"MANIPULACION DE ALIMENTOS Y BPM",IF(P69=CURSOS!$D$33,"ATENCION A PERSONAS CON DISCAPACIDAD",IF(P69=CURSOS!$D$34,"CUIDADO INTEGRAL DEL PACIENTE ADULTO",IF(P69=CURSOS!$D$35,"MANEJO DEFENSIVO",IF(P69=CURSOS!$D$36,"SOPORTE CARDIOVASCULAR AVANZADO NEONATAL",IF(P69=CURSOS!$D$37,"SEGURIDAD DEL PACIENTE",IF(P69=CURSOS!$D$38,"MANEJO DE RESIDUOS HOSPITALARIOS",IF(P69=CURSOS!$D$39,"ATENCION DE PACIENTE POR CONSUMO SUSTANCIAS PSICOACTIVAS Y ADICCIONES")))))))))))))))))))))))))))))))))))))</f>
        <v>SEGURIDAD DEL PACIENTE</v>
      </c>
      <c r="W69" s="62" t="str">
        <f t="shared" si="6"/>
        <v>Lina Fernanda Rosero Rosales</v>
      </c>
      <c r="X69" s="62" t="str">
        <f t="shared" si="7"/>
        <v>Lina Fernanda Rosero Rosales</v>
      </c>
      <c r="Y69" s="62" t="str">
        <f t="shared" si="8"/>
        <v>Lina Fernanda Rosero Rosales-1114459093-PACIENTE</v>
      </c>
    </row>
    <row r="70" spans="1:25" s="57" customFormat="1" x14ac:dyDescent="0.2">
      <c r="A70" s="58">
        <v>69</v>
      </c>
      <c r="B70" s="70">
        <v>1114459093</v>
      </c>
      <c r="C70" s="59" t="s">
        <v>340</v>
      </c>
      <c r="D70" s="59" t="s">
        <v>344</v>
      </c>
      <c r="E70" s="59" t="s">
        <v>345</v>
      </c>
      <c r="F70" s="59" t="s">
        <v>346</v>
      </c>
      <c r="G70" s="59">
        <v>11</v>
      </c>
      <c r="H70" s="59" t="s">
        <v>200</v>
      </c>
      <c r="I70" s="60" t="s">
        <v>115</v>
      </c>
      <c r="J70" s="60" t="s">
        <v>240</v>
      </c>
      <c r="K70" s="61">
        <v>46000</v>
      </c>
      <c r="L70" s="66">
        <v>30000</v>
      </c>
      <c r="M70" s="59" t="s">
        <v>103</v>
      </c>
      <c r="N70" s="59" t="s">
        <v>138</v>
      </c>
      <c r="O70" s="59" t="s">
        <v>347</v>
      </c>
      <c r="P70" s="59" t="s">
        <v>23</v>
      </c>
      <c r="Q70" s="60"/>
      <c r="R70" s="59" t="s">
        <v>102</v>
      </c>
      <c r="S70" s="64" t="s">
        <v>201</v>
      </c>
      <c r="T70" s="85"/>
      <c r="U70" s="59"/>
      <c r="V70" s="62" t="str">
        <f>IF(P70=CURSOS!$D$3,"DIPLOMADO EN ATENCION PRE-HOSPITALARIA",IF(P70=CURSOS!$D$4,"ACOMPAÑAMIENTO Y MANEJO DEL DUELO",IF(P70=CURSOS!$D$5,"ATENCION A VICTIMAS DE ATAQUE CON AGENTES QUIMICOS ",IF(P70=CURSOS!$D$6,"PRIMEROS AUXILIOS ",IF(P70=CURSOS!$D$7,"DIPLOMADO DE UNIDAD DE CUIDADOS INTENSIVOS (UCI)",IF(P70=CURSOS!$D$8,"MODELO DE ATENCION PARA EVENTOS EMERGENTES EN SALUD MENTAL (CODIGO VERDE)",IF(P70=CURSOS!$D$9,"HUMANIZACION EN EL SERVICIO DE LA SALUD Y BUENAS PRACTICAS EN PACIENTE ",IF(P70=CURSOS!$D$10,"CLINICA DE HERIDAS ",IF(P70=CURSOS!$D$11,"TOMA DE CITOLOGIA CERVICO VAGINAL ",IF(P70=CURSOS!$D$12,"SOPORTE CARDIOVASCULAR AVANZADO (ACLS) ",IF(P70=CURSOS!$D$13,"CAMILLERO ",IF(P70=CURSOS!$D$14,"TOMA DE MUESTRAS Y LABORATORIO ",IF(P70=CURSOS!$D$15,"SOPORTE VITAL BASICO (BLS)",IF(P70=CURSOS!$D$16,"ATENCION A VICTIMAS DE VIOLENCIA SEXUAL ",IF(P70=CURSOS!$D$17,"PROGRAMADO AMPLIADO DE INMUNIZACION (PAI - COVID 19)",IF(P70=CURSOS!$D$18,"ATENCION INTEGRAL EN ENFERMEDADES PREVALENTES EN PRIMERA INFANCIA (AIEPI)",IF(P70=CURSOS!$D$19,"ADMINISTRACION DE MEDICAMENTOS, INYECTOLOGIA  Y CANALIZACION ",IF(P70=CURSOS!$D$20,"OPERADOR DE VEHICULOS DE EMERGENCIA (OVE)",IF(P70=CURSOS!$D$21,"INSTITUCIONES AMIGAS DE LA MUJER Y LA INFANCIA (IAMI)",IF(P70=CURSOS!$D$22,"CUIDADO DEL DONANTE DE ORGANOS",IF(P70=CURSOS!$D$23,"ATENCION A VICTIMAS POR VIOLENCIA DE GENERO",IF(P70=CURSOS!$D$24,"IGUALDAD DE GENERO EN LA SALUD",IF(P70=CURSOS!$D$25,"BRIGADA DE EMERGENCIA",IF(P70=CURSOS!$D$26,"MANEJO DEL DOLOR Y CUIDADOS PALIATIVOS",IF(P70=CURSOS!$D$27,"TOMA DE MUESTRAS Y LABORATORIO POCT",IF(P70=CURSOS!$D$28,"IMPLANTE SUBDERMICO DE DISPOSITIVO INTRAUTERINO",IF(P70=CURSOS!$D$29,"SALUD MENTAL",IF(P70=CURSOS!$D$30,"PRIMEROS AUXILIOS PSICOLOGICOS",IF(P70=CURSOS!$D$31,"ATENCION A VICTIMAS POR CONFLICTO ARMADO",IF(P70=CURSOS!$D$32,"MANIPULACION DE ALIMENTOS Y BPM",IF(P70=CURSOS!$D$33,"ATENCION A PERSONAS CON DISCAPACIDAD",IF(P70=CURSOS!$D$34,"CUIDADO INTEGRAL DEL PACIENTE ADULTO",IF(P70=CURSOS!$D$35,"MANEJO DEFENSIVO",IF(P70=CURSOS!$D$36,"SOPORTE CARDIOVASCULAR AVANZADO NEONATAL",IF(P70=CURSOS!$D$37,"SEGURIDAD DEL PACIENTE",IF(P70=CURSOS!$D$38,"MANEJO DE RESIDUOS HOSPITALARIOS",IF(P70=CURSOS!$D$39,"ATENCION DE PACIENTE POR CONSUMO SUSTANCIAS PSICOACTIVAS Y ADICCIONES")))))))))))))))))))))))))))))))))))))</f>
        <v>ACOMPAÑAMIENTO Y MANEJO DEL DUELO</v>
      </c>
      <c r="W70" s="62" t="str">
        <f t="shared" si="6"/>
        <v>Lina Fernanda Rosero Rosales</v>
      </c>
      <c r="X70" s="62" t="str">
        <f t="shared" si="7"/>
        <v>Lina Fernanda Rosero Rosales</v>
      </c>
      <c r="Y70" s="62" t="str">
        <f t="shared" si="8"/>
        <v>Lina Fernanda Rosero Rosales-1114459093-DUELO</v>
      </c>
    </row>
    <row r="71" spans="1:25" s="57" customFormat="1" x14ac:dyDescent="0.2">
      <c r="A71" s="58">
        <v>70</v>
      </c>
      <c r="B71" s="59">
        <v>1085690288</v>
      </c>
      <c r="C71" s="63" t="s">
        <v>269</v>
      </c>
      <c r="D71" s="63" t="s">
        <v>269</v>
      </c>
      <c r="E71" s="63" t="s">
        <v>331</v>
      </c>
      <c r="F71" s="63" t="s">
        <v>332</v>
      </c>
      <c r="G71" s="63">
        <v>9</v>
      </c>
      <c r="H71" s="59" t="s">
        <v>200</v>
      </c>
      <c r="I71" s="60" t="s">
        <v>115</v>
      </c>
      <c r="J71" s="60" t="s">
        <v>240</v>
      </c>
      <c r="K71" s="61">
        <v>46000</v>
      </c>
      <c r="L71" s="66">
        <v>30000</v>
      </c>
      <c r="M71" s="59" t="s">
        <v>103</v>
      </c>
      <c r="N71" s="59" t="s">
        <v>138</v>
      </c>
      <c r="O71" s="59" t="s">
        <v>347</v>
      </c>
      <c r="P71" s="59" t="s">
        <v>19</v>
      </c>
      <c r="Q71" s="60">
        <v>35329</v>
      </c>
      <c r="R71" s="59" t="s">
        <v>102</v>
      </c>
      <c r="S71" s="86" t="s">
        <v>201</v>
      </c>
      <c r="T71" s="59">
        <v>3234853385</v>
      </c>
      <c r="U71" s="59" t="s">
        <v>333</v>
      </c>
      <c r="V71" s="62" t="str">
        <f>IF(P71=CURSOS!$D$3,"DIPLOMADO EN ATENCION PRE-HOSPITALARIA",IF(P71=CURSOS!$D$4,"ACOMPAÑAMIENTO Y MANEJO DEL DUELO",IF(P71=CURSOS!$D$5,"ATENCION A VICTIMAS DE ATAQUE CON AGENTES QUIMICOS ",IF(P71=CURSOS!$D$6,"PRIMEROS AUXILIOS ",IF(P71=CURSOS!$D$7,"DIPLOMADO DE UNIDAD DE CUIDADOS INTENSIVOS (UCI)",IF(P71=CURSOS!$D$8,"MODELO DE ATENCION PARA EVENTOS EMERGENTES EN SALUD MENTAL (CODIGO VERDE)",IF(P71=CURSOS!$D$9,"HUMANIZACION EN EL SERVICIO DE LA SALUD Y BUENAS PRACTICAS EN PACIENTE ",IF(P71=CURSOS!$D$10,"CLINICA DE HERIDAS ",IF(P71=CURSOS!$D$11,"TOMA DE CITOLOGIA CERVICO VAGINAL ",IF(P71=CURSOS!$D$12,"SOPORTE CARDIOVASCULAR AVANZADO (ACLS) ",IF(P71=CURSOS!$D$13,"CAMILLERO ",IF(P71=CURSOS!$D$14,"TOMA DE MUESTRAS Y LABORATORIO ",IF(P71=CURSOS!$D$15,"SOPORTE VITAL BASICO (BLS)",IF(P71=CURSOS!$D$16,"ATENCION A VICTIMAS DE VIOLENCIA SEXUAL ",IF(P71=CURSOS!$D$17,"PROGRAMADO AMPLIADO DE INMUNIZACION (PAI - COVID 19)",IF(P71=CURSOS!$D$18,"ATENCION INTEGRAL EN ENFERMEDADES PREVALENTES EN PRIMERA INFANCIA (AIEPI)",IF(P71=CURSOS!$D$19,"ADMINISTRACION DE MEDICAMENTOS, INYECTOLOGIA  Y CANALIZACION ",IF(P71=CURSOS!$D$20,"OPERADOR DE VEHICULOS DE EMERGENCIA (OVE)",IF(P71=CURSOS!$D$21,"INSTITUCIONES AMIGAS DE LA MUJER Y LA INFANCIA (IAMI)",IF(P71=CURSOS!$D$22,"CUIDADO DEL DONANTE DE ORGANOS",IF(P71=CURSOS!$D$23,"ATENCION A VICTIMAS POR VIOLENCIA DE GENERO",IF(P71=CURSOS!$D$24,"IGUALDAD DE GENERO EN LA SALUD",IF(P71=CURSOS!$D$25,"BRIGADA DE EMERGENCIA",IF(P71=CURSOS!$D$26,"MANEJO DEL DOLOR Y CUIDADOS PALIATIVOS",IF(P71=CURSOS!$D$27,"TOMA DE MUESTRAS Y LABORATORIO POCT",IF(P71=CURSOS!$D$28,"IMPLANTE SUBDERMICO DE DISPOSITIVO INTRAUTERINO",IF(P71=CURSOS!$D$29,"SALUD MENTAL",IF(P71=CURSOS!$D$30,"PRIMEROS AUXILIOS PSICOLOGICOS",IF(P71=CURSOS!$D$31,"ATENCION A VICTIMAS POR CONFLICTO ARMADO",IF(P71=CURSOS!$D$32,"MANIPULACION DE ALIMENTOS Y BPM",IF(P71=CURSOS!$D$33,"ATENCION A PERSONAS CON DISCAPACIDAD",IF(P71=CURSOS!$D$34,"CUIDADO INTEGRAL DEL PACIENTE ADULTO",IF(P71=CURSOS!$D$35,"MANEJO DEFENSIVO",IF(P71=CURSOS!$D$36,"SOPORTE CARDIOVASCULAR AVANZADO NEONATAL",IF(P71=CURSOS!$D$37,"SEGURIDAD DEL PACIENTE",IF(P71=CURSOS!$D$38,"MANEJO DE RESIDUOS HOSPITALARIOS",IF(P71=CURSOS!$D$39,"ATENCION DE PACIENTE POR CONSUMO SUSTANCIAS PSICOACTIVAS Y ADICCIONES")))))))))))))))))))))))))))))))))))))</f>
        <v>SOPORTE VITAL BASICO (BLS)</v>
      </c>
      <c r="W71" s="62" t="str">
        <f t="shared" si="6"/>
        <v>Elia Marilin Daza Daza</v>
      </c>
      <c r="X71" s="62" t="str">
        <f t="shared" si="7"/>
        <v>Elia Marilin Daza Daza</v>
      </c>
      <c r="Y71" s="62" t="str">
        <f t="shared" si="8"/>
        <v>Elia Marilin Daza Daza-1085690288-BLS</v>
      </c>
    </row>
    <row r="72" spans="1:25" s="57" customFormat="1" x14ac:dyDescent="0.2">
      <c r="A72" s="58">
        <v>71</v>
      </c>
      <c r="B72" s="59">
        <v>1085690288</v>
      </c>
      <c r="C72" s="63" t="s">
        <v>269</v>
      </c>
      <c r="D72" s="63" t="s">
        <v>269</v>
      </c>
      <c r="E72" s="63" t="s">
        <v>331</v>
      </c>
      <c r="F72" s="63" t="s">
        <v>332</v>
      </c>
      <c r="G72" s="63">
        <v>12</v>
      </c>
      <c r="H72" s="59" t="s">
        <v>200</v>
      </c>
      <c r="I72" s="60" t="s">
        <v>115</v>
      </c>
      <c r="J72" s="60" t="s">
        <v>240</v>
      </c>
      <c r="K72" s="61">
        <v>46000</v>
      </c>
      <c r="L72" s="66">
        <v>30000</v>
      </c>
      <c r="M72" s="59" t="s">
        <v>103</v>
      </c>
      <c r="N72" s="59" t="s">
        <v>138</v>
      </c>
      <c r="O72" s="59" t="s">
        <v>347</v>
      </c>
      <c r="P72" s="59" t="s">
        <v>32</v>
      </c>
      <c r="Q72" s="60">
        <v>35329</v>
      </c>
      <c r="R72" s="59" t="s">
        <v>102</v>
      </c>
      <c r="S72" s="86" t="s">
        <v>201</v>
      </c>
      <c r="T72" s="59">
        <v>3234853385</v>
      </c>
      <c r="U72" s="59" t="s">
        <v>333</v>
      </c>
      <c r="V72" s="62" t="str">
        <f>IF(P72=CURSOS!$D$3,"DIPLOMADO EN ATENCION PRE-HOSPITALARIA",IF(P72=CURSOS!$D$4,"ACOMPAÑAMIENTO Y MANEJO DEL DUELO",IF(P72=CURSOS!$D$5,"ATENCION A VICTIMAS DE ATAQUE CON AGENTES QUIMICOS ",IF(P72=CURSOS!$D$6,"PRIMEROS AUXILIOS ",IF(P72=CURSOS!$D$7,"DIPLOMADO DE UNIDAD DE CUIDADOS INTENSIVOS (UCI)",IF(P72=CURSOS!$D$8,"MODELO DE ATENCION PARA EVENTOS EMERGENTES EN SALUD MENTAL (CODIGO VERDE)",IF(P72=CURSOS!$D$9,"HUMANIZACION EN EL SERVICIO DE LA SALUD Y BUENAS PRACTICAS EN PACIENTE ",IF(P72=CURSOS!$D$10,"CLINICA DE HERIDAS ",IF(P72=CURSOS!$D$11,"TOMA DE CITOLOGIA CERVICO VAGINAL ",IF(P72=CURSOS!$D$12,"SOPORTE CARDIOVASCULAR AVANZADO (ACLS) ",IF(P72=CURSOS!$D$13,"CAMILLERO ",IF(P72=CURSOS!$D$14,"TOMA DE MUESTRAS Y LABORATORIO ",IF(P72=CURSOS!$D$15,"SOPORTE VITAL BASICO (BLS)",IF(P72=CURSOS!$D$16,"ATENCION A VICTIMAS DE VIOLENCIA SEXUAL ",IF(P72=CURSOS!$D$17,"PROGRAMADO AMPLIADO DE INMUNIZACION (PAI - COVID 19)",IF(P72=CURSOS!$D$18,"ATENCION INTEGRAL EN ENFERMEDADES PREVALENTES EN PRIMERA INFANCIA (AIEPI)",IF(P72=CURSOS!$D$19,"ADMINISTRACION DE MEDICAMENTOS, INYECTOLOGIA  Y CANALIZACION ",IF(P72=CURSOS!$D$20,"OPERADOR DE VEHICULOS DE EMERGENCIA (OVE)",IF(P72=CURSOS!$D$21,"INSTITUCIONES AMIGAS DE LA MUJER Y LA INFANCIA (IAMI)",IF(P72=CURSOS!$D$22,"CUIDADO DEL DONANTE DE ORGANOS",IF(P72=CURSOS!$D$23,"ATENCION A VICTIMAS POR VIOLENCIA DE GENERO",IF(P72=CURSOS!$D$24,"IGUALDAD DE GENERO EN LA SALUD",IF(P72=CURSOS!$D$25,"BRIGADA DE EMERGENCIA",IF(P72=CURSOS!$D$26,"MANEJO DEL DOLOR Y CUIDADOS PALIATIVOS",IF(P72=CURSOS!$D$27,"TOMA DE MUESTRAS Y LABORATORIO POCT",IF(P72=CURSOS!$D$28,"IMPLANTE SUBDERMICO DE DISPOSITIVO INTRAUTERINO",IF(P72=CURSOS!$D$29,"SALUD MENTAL",IF(P72=CURSOS!$D$30,"PRIMEROS AUXILIOS PSICOLOGICOS",IF(P72=CURSOS!$D$31,"ATENCION A VICTIMAS POR CONFLICTO ARMADO",IF(P72=CURSOS!$D$32,"MANIPULACION DE ALIMENTOS Y BPM",IF(P72=CURSOS!$D$33,"ATENCION A PERSONAS CON DISCAPACIDAD",IF(P72=CURSOS!$D$34,"CUIDADO INTEGRAL DEL PACIENTE ADULTO",IF(P72=CURSOS!$D$35,"MANEJO DEFENSIVO",IF(P72=CURSOS!$D$36,"SOPORTE CARDIOVASCULAR AVANZADO NEONATAL",IF(P72=CURSOS!$D$37,"SEGURIDAD DEL PACIENTE",IF(P72=CURSOS!$D$38,"MANEJO DE RESIDUOS HOSPITALARIOS",IF(P72=CURSOS!$D$39,"ATENCION DE PACIENTE POR CONSUMO SUSTANCIAS PSICOACTIVAS Y ADICCIONES")))))))))))))))))))))))))))))))))))))</f>
        <v xml:space="preserve">HUMANIZACION EN EL SERVICIO DE LA SALUD Y BUENAS PRACTICAS EN PACIENTE </v>
      </c>
      <c r="W72" s="62" t="str">
        <f t="shared" si="6"/>
        <v>Elia Marilin Daza Daza</v>
      </c>
      <c r="X72" s="62" t="str">
        <f t="shared" si="7"/>
        <v>Elia Marilin Daza Daza</v>
      </c>
      <c r="Y72" s="62" t="str">
        <f t="shared" si="8"/>
        <v>Elia Marilin Daza Daza-1085690288-HUMANIZACION</v>
      </c>
    </row>
    <row r="73" spans="1:25" s="57" customFormat="1" x14ac:dyDescent="0.2">
      <c r="A73" s="58">
        <v>72</v>
      </c>
      <c r="B73" s="59">
        <v>1085690288</v>
      </c>
      <c r="C73" s="63" t="s">
        <v>269</v>
      </c>
      <c r="D73" s="63" t="s">
        <v>269</v>
      </c>
      <c r="E73" s="63" t="s">
        <v>331</v>
      </c>
      <c r="F73" s="63" t="s">
        <v>332</v>
      </c>
      <c r="G73" s="63">
        <v>10</v>
      </c>
      <c r="H73" s="59" t="s">
        <v>200</v>
      </c>
      <c r="I73" s="60" t="s">
        <v>115</v>
      </c>
      <c r="J73" s="60" t="s">
        <v>240</v>
      </c>
      <c r="K73" s="61">
        <v>46000</v>
      </c>
      <c r="L73" s="66">
        <v>30000</v>
      </c>
      <c r="M73" s="59" t="s">
        <v>103</v>
      </c>
      <c r="N73" s="59" t="s">
        <v>138</v>
      </c>
      <c r="O73" s="59" t="s">
        <v>347</v>
      </c>
      <c r="P73" s="59" t="s">
        <v>87</v>
      </c>
      <c r="Q73" s="60">
        <v>35329</v>
      </c>
      <c r="R73" s="59" t="s">
        <v>102</v>
      </c>
      <c r="S73" s="86" t="s">
        <v>201</v>
      </c>
      <c r="T73" s="59">
        <v>3234853385</v>
      </c>
      <c r="U73" s="59" t="s">
        <v>333</v>
      </c>
      <c r="V73" s="62" t="str">
        <f>IF(P73=CURSOS!$D$3,"DIPLOMADO EN ATENCION PRE-HOSPITALARIA",IF(P73=CURSOS!$D$4,"ACOMPAÑAMIENTO Y MANEJO DEL DUELO",IF(P73=CURSOS!$D$5,"ATENCION A VICTIMAS DE ATAQUE CON AGENTES QUIMICOS ",IF(P73=CURSOS!$D$6,"PRIMEROS AUXILIOS ",IF(P73=CURSOS!$D$7,"DIPLOMADO DE UNIDAD DE CUIDADOS INTENSIVOS (UCI)",IF(P73=CURSOS!$D$8,"MODELO DE ATENCION PARA EVENTOS EMERGENTES EN SALUD MENTAL (CODIGO VERDE)",IF(P73=CURSOS!$D$9,"HUMANIZACION EN EL SERVICIO DE LA SALUD Y BUENAS PRACTICAS EN PACIENTE ",IF(P73=CURSOS!$D$10,"CLINICA DE HERIDAS ",IF(P73=CURSOS!$D$11,"TOMA DE CITOLOGIA CERVICO VAGINAL ",IF(P73=CURSOS!$D$12,"SOPORTE CARDIOVASCULAR AVANZADO (ACLS) ",IF(P73=CURSOS!$D$13,"CAMILLERO ",IF(P73=CURSOS!$D$14,"TOMA DE MUESTRAS Y LABORATORIO ",IF(P73=CURSOS!$D$15,"SOPORTE VITAL BASICO (BLS)",IF(P73=CURSOS!$D$16,"ATENCION A VICTIMAS DE VIOLENCIA SEXUAL ",IF(P73=CURSOS!$D$17,"PROGRAMADO AMPLIADO DE INMUNIZACION (PAI - COVID 19)",IF(P73=CURSOS!$D$18,"ATENCION INTEGRAL EN ENFERMEDADES PREVALENTES EN PRIMERA INFANCIA (AIEPI)",IF(P73=CURSOS!$D$19,"ADMINISTRACION DE MEDICAMENTOS, INYECTOLOGIA  Y CANALIZACION ",IF(P73=CURSOS!$D$20,"OPERADOR DE VEHICULOS DE EMERGENCIA (OVE)",IF(P73=CURSOS!$D$21,"INSTITUCIONES AMIGAS DE LA MUJER Y LA INFANCIA (IAMI)",IF(P73=CURSOS!$D$22,"CUIDADO DEL DONANTE DE ORGANOS",IF(P73=CURSOS!$D$23,"ATENCION A VICTIMAS POR VIOLENCIA DE GENERO",IF(P73=CURSOS!$D$24,"IGUALDAD DE GENERO EN LA SALUD",IF(P73=CURSOS!$D$25,"BRIGADA DE EMERGENCIA",IF(P73=CURSOS!$D$26,"MANEJO DEL DOLOR Y CUIDADOS PALIATIVOS",IF(P73=CURSOS!$D$27,"TOMA DE MUESTRAS Y LABORATORIO POCT",IF(P73=CURSOS!$D$28,"IMPLANTE SUBDERMICO DE DISPOSITIVO INTRAUTERINO",IF(P73=CURSOS!$D$29,"SALUD MENTAL",IF(P73=CURSOS!$D$30,"PRIMEROS AUXILIOS PSICOLOGICOS",IF(P73=CURSOS!$D$31,"ATENCION A VICTIMAS POR CONFLICTO ARMADO",IF(P73=CURSOS!$D$32,"MANIPULACION DE ALIMENTOS Y BPM",IF(P73=CURSOS!$D$33,"ATENCION A PERSONAS CON DISCAPACIDAD",IF(P73=CURSOS!$D$34,"CUIDADO INTEGRAL DEL PACIENTE ADULTO",IF(P73=CURSOS!$D$35,"MANEJO DEFENSIVO",IF(P73=CURSOS!$D$36,"SOPORTE CARDIOVASCULAR AVANZADO NEONATAL",IF(P73=CURSOS!$D$37,"SEGURIDAD DEL PACIENTE",IF(P73=CURSOS!$D$38,"MANEJO DE RESIDUOS HOSPITALARIOS",IF(P73=CURSOS!$D$39,"ATENCION DE PACIENTE POR CONSUMO SUSTANCIAS PSICOACTIVAS Y ADICCIONES")))))))))))))))))))))))))))))))))))))</f>
        <v>SEGURIDAD DEL PACIENTE</v>
      </c>
      <c r="W73" s="62" t="str">
        <f t="shared" si="6"/>
        <v>Elia Marilin Daza Daza</v>
      </c>
      <c r="X73" s="62" t="str">
        <f t="shared" si="7"/>
        <v>Elia Marilin Daza Daza</v>
      </c>
      <c r="Y73" s="62" t="str">
        <f t="shared" si="8"/>
        <v>Elia Marilin Daza Daza-1085690288-PACIENTE</v>
      </c>
    </row>
    <row r="74" spans="1:25" s="57" customFormat="1" x14ac:dyDescent="0.2">
      <c r="A74" s="58">
        <v>73</v>
      </c>
      <c r="B74" s="59">
        <v>1085690288</v>
      </c>
      <c r="C74" s="63" t="s">
        <v>269</v>
      </c>
      <c r="D74" s="63" t="s">
        <v>269</v>
      </c>
      <c r="E74" s="63" t="s">
        <v>331</v>
      </c>
      <c r="F74" s="63" t="s">
        <v>332</v>
      </c>
      <c r="G74" s="63">
        <v>8</v>
      </c>
      <c r="H74" s="59" t="s">
        <v>200</v>
      </c>
      <c r="I74" s="60" t="s">
        <v>115</v>
      </c>
      <c r="J74" s="60" t="s">
        <v>240</v>
      </c>
      <c r="K74" s="61">
        <v>46000</v>
      </c>
      <c r="L74" s="66">
        <v>30000</v>
      </c>
      <c r="M74" s="59" t="s">
        <v>103</v>
      </c>
      <c r="N74" s="59" t="s">
        <v>138</v>
      </c>
      <c r="O74" s="59" t="s">
        <v>347</v>
      </c>
      <c r="P74" s="59" t="s">
        <v>25</v>
      </c>
      <c r="Q74" s="60">
        <v>35329</v>
      </c>
      <c r="R74" s="59" t="s">
        <v>102</v>
      </c>
      <c r="S74" s="86" t="s">
        <v>201</v>
      </c>
      <c r="T74" s="59">
        <v>3234853385</v>
      </c>
      <c r="U74" s="59" t="s">
        <v>333</v>
      </c>
      <c r="V74" s="62" t="str">
        <f>IF(P74=CURSOS!$D$3,"DIPLOMADO EN ATENCION PRE-HOSPITALARIA",IF(P74=CURSOS!$D$4,"ACOMPAÑAMIENTO Y MANEJO DEL DUELO",IF(P74=CURSOS!$D$5,"ATENCION A VICTIMAS DE ATAQUE CON AGENTES QUIMICOS ",IF(P74=CURSOS!$D$6,"PRIMEROS AUXILIOS ",IF(P74=CURSOS!$D$7,"DIPLOMADO DE UNIDAD DE CUIDADOS INTENSIVOS (UCI)",IF(P74=CURSOS!$D$8,"MODELO DE ATENCION PARA EVENTOS EMERGENTES EN SALUD MENTAL (CODIGO VERDE)",IF(P74=CURSOS!$D$9,"HUMANIZACION EN EL SERVICIO DE LA SALUD Y BUENAS PRACTICAS EN PACIENTE ",IF(P74=CURSOS!$D$10,"CLINICA DE HERIDAS ",IF(P74=CURSOS!$D$11,"TOMA DE CITOLOGIA CERVICO VAGINAL ",IF(P74=CURSOS!$D$12,"SOPORTE CARDIOVASCULAR AVANZADO (ACLS) ",IF(P74=CURSOS!$D$13,"CAMILLERO ",IF(P74=CURSOS!$D$14,"TOMA DE MUESTRAS Y LABORATORIO ",IF(P74=CURSOS!$D$15,"SOPORTE VITAL BASICO (BLS)",IF(P74=CURSOS!$D$16,"ATENCION A VICTIMAS DE VIOLENCIA SEXUAL ",IF(P74=CURSOS!$D$17,"PROGRAMADO AMPLIADO DE INMUNIZACION (PAI - COVID 19)",IF(P74=CURSOS!$D$18,"ATENCION INTEGRAL EN ENFERMEDADES PREVALENTES EN PRIMERA INFANCIA (AIEPI)",IF(P74=CURSOS!$D$19,"ADMINISTRACION DE MEDICAMENTOS, INYECTOLOGIA  Y CANALIZACION ",IF(P74=CURSOS!$D$20,"OPERADOR DE VEHICULOS DE EMERGENCIA (OVE)",IF(P74=CURSOS!$D$21,"INSTITUCIONES AMIGAS DE LA MUJER Y LA INFANCIA (IAMI)",IF(P74=CURSOS!$D$22,"CUIDADO DEL DONANTE DE ORGANOS",IF(P74=CURSOS!$D$23,"ATENCION A VICTIMAS POR VIOLENCIA DE GENERO",IF(P74=CURSOS!$D$24,"IGUALDAD DE GENERO EN LA SALUD",IF(P74=CURSOS!$D$25,"BRIGADA DE EMERGENCIA",IF(P74=CURSOS!$D$26,"MANEJO DEL DOLOR Y CUIDADOS PALIATIVOS",IF(P74=CURSOS!$D$27,"TOMA DE MUESTRAS Y LABORATORIO POCT",IF(P74=CURSOS!$D$28,"IMPLANTE SUBDERMICO DE DISPOSITIVO INTRAUTERINO",IF(P74=CURSOS!$D$29,"SALUD MENTAL",IF(P74=CURSOS!$D$30,"PRIMEROS AUXILIOS PSICOLOGICOS",IF(P74=CURSOS!$D$31,"ATENCION A VICTIMAS POR CONFLICTO ARMADO",IF(P74=CURSOS!$D$32,"MANIPULACION DE ALIMENTOS Y BPM",IF(P74=CURSOS!$D$33,"ATENCION A PERSONAS CON DISCAPACIDAD",IF(P74=CURSOS!$D$34,"CUIDADO INTEGRAL DEL PACIENTE ADULTO",IF(P74=CURSOS!$D$35,"MANEJO DEFENSIVO",IF(P74=CURSOS!$D$36,"SOPORTE CARDIOVASCULAR AVANZADO NEONATAL",IF(P74=CURSOS!$D$37,"SEGURIDAD DEL PACIENTE",IF(P74=CURSOS!$D$38,"MANEJO DE RESIDUOS HOSPITALARIOS",IF(P74=CURSOS!$D$39,"ATENCION DE PACIENTE POR CONSUMO SUSTANCIAS PSICOACTIVAS Y ADICCIONES")))))))))))))))))))))))))))))))))))))</f>
        <v xml:space="preserve">ATENCION A VICTIMAS DE ATAQUE CON AGENTES QUIMICOS </v>
      </c>
      <c r="W74" s="62" t="str">
        <f t="shared" si="6"/>
        <v>Elia Marilin Daza Daza</v>
      </c>
      <c r="X74" s="62" t="str">
        <f t="shared" si="7"/>
        <v>Elia Marilin Daza Daza</v>
      </c>
      <c r="Y74" s="62" t="str">
        <f t="shared" si="8"/>
        <v>Elia Marilin Daza Daza-1085690288-QUIMICOS</v>
      </c>
    </row>
    <row r="75" spans="1:25" s="57" customFormat="1" x14ac:dyDescent="0.2">
      <c r="A75" s="58">
        <v>74</v>
      </c>
      <c r="B75" s="59">
        <v>1085690288</v>
      </c>
      <c r="C75" s="63" t="s">
        <v>269</v>
      </c>
      <c r="D75" s="63" t="s">
        <v>269</v>
      </c>
      <c r="E75" s="63" t="s">
        <v>331</v>
      </c>
      <c r="F75" s="63" t="s">
        <v>332</v>
      </c>
      <c r="G75" s="63">
        <v>11</v>
      </c>
      <c r="H75" s="59" t="s">
        <v>200</v>
      </c>
      <c r="I75" s="60" t="s">
        <v>115</v>
      </c>
      <c r="J75" s="60" t="s">
        <v>240</v>
      </c>
      <c r="K75" s="61">
        <v>46000</v>
      </c>
      <c r="L75" s="66">
        <v>30000</v>
      </c>
      <c r="M75" s="59" t="s">
        <v>103</v>
      </c>
      <c r="N75" s="59" t="s">
        <v>138</v>
      </c>
      <c r="O75" s="59" t="s">
        <v>347</v>
      </c>
      <c r="P75" s="59" t="s">
        <v>23</v>
      </c>
      <c r="Q75" s="60">
        <v>35329</v>
      </c>
      <c r="R75" s="59" t="s">
        <v>102</v>
      </c>
      <c r="S75" s="86" t="s">
        <v>201</v>
      </c>
      <c r="T75" s="59">
        <v>3234853385</v>
      </c>
      <c r="U75" s="59" t="s">
        <v>333</v>
      </c>
      <c r="V75" s="62" t="str">
        <f>IF(P75=CURSOS!$D$3,"DIPLOMADO EN ATENCION PRE-HOSPITALARIA",IF(P75=CURSOS!$D$4,"ACOMPAÑAMIENTO Y MANEJO DEL DUELO",IF(P75=CURSOS!$D$5,"ATENCION A VICTIMAS DE ATAQUE CON AGENTES QUIMICOS ",IF(P75=CURSOS!$D$6,"PRIMEROS AUXILIOS ",IF(P75=CURSOS!$D$7,"DIPLOMADO DE UNIDAD DE CUIDADOS INTENSIVOS (UCI)",IF(P75=CURSOS!$D$8,"MODELO DE ATENCION PARA EVENTOS EMERGENTES EN SALUD MENTAL (CODIGO VERDE)",IF(P75=CURSOS!$D$9,"HUMANIZACION EN EL SERVICIO DE LA SALUD Y BUENAS PRACTICAS EN PACIENTE ",IF(P75=CURSOS!$D$10,"CLINICA DE HERIDAS ",IF(P75=CURSOS!$D$11,"TOMA DE CITOLOGIA CERVICO VAGINAL ",IF(P75=CURSOS!$D$12,"SOPORTE CARDIOVASCULAR AVANZADO (ACLS) ",IF(P75=CURSOS!$D$13,"CAMILLERO ",IF(P75=CURSOS!$D$14,"TOMA DE MUESTRAS Y LABORATORIO ",IF(P75=CURSOS!$D$15,"SOPORTE VITAL BASICO (BLS)",IF(P75=CURSOS!$D$16,"ATENCION A VICTIMAS DE VIOLENCIA SEXUAL ",IF(P75=CURSOS!$D$17,"PROGRAMADO AMPLIADO DE INMUNIZACION (PAI - COVID 19)",IF(P75=CURSOS!$D$18,"ATENCION INTEGRAL EN ENFERMEDADES PREVALENTES EN PRIMERA INFANCIA (AIEPI)",IF(P75=CURSOS!$D$19,"ADMINISTRACION DE MEDICAMENTOS, INYECTOLOGIA  Y CANALIZACION ",IF(P75=CURSOS!$D$20,"OPERADOR DE VEHICULOS DE EMERGENCIA (OVE)",IF(P75=CURSOS!$D$21,"INSTITUCIONES AMIGAS DE LA MUJER Y LA INFANCIA (IAMI)",IF(P75=CURSOS!$D$22,"CUIDADO DEL DONANTE DE ORGANOS",IF(P75=CURSOS!$D$23,"ATENCION A VICTIMAS POR VIOLENCIA DE GENERO",IF(P75=CURSOS!$D$24,"IGUALDAD DE GENERO EN LA SALUD",IF(P75=CURSOS!$D$25,"BRIGADA DE EMERGENCIA",IF(P75=CURSOS!$D$26,"MANEJO DEL DOLOR Y CUIDADOS PALIATIVOS",IF(P75=CURSOS!$D$27,"TOMA DE MUESTRAS Y LABORATORIO POCT",IF(P75=CURSOS!$D$28,"IMPLANTE SUBDERMICO DE DISPOSITIVO INTRAUTERINO",IF(P75=CURSOS!$D$29,"SALUD MENTAL",IF(P75=CURSOS!$D$30,"PRIMEROS AUXILIOS PSICOLOGICOS",IF(P75=CURSOS!$D$31,"ATENCION A VICTIMAS POR CONFLICTO ARMADO",IF(P75=CURSOS!$D$32,"MANIPULACION DE ALIMENTOS Y BPM",IF(P75=CURSOS!$D$33,"ATENCION A PERSONAS CON DISCAPACIDAD",IF(P75=CURSOS!$D$34,"CUIDADO INTEGRAL DEL PACIENTE ADULTO",IF(P75=CURSOS!$D$35,"MANEJO DEFENSIVO",IF(P75=CURSOS!$D$36,"SOPORTE CARDIOVASCULAR AVANZADO NEONATAL",IF(P75=CURSOS!$D$37,"SEGURIDAD DEL PACIENTE",IF(P75=CURSOS!$D$38,"MANEJO DE RESIDUOS HOSPITALARIOS",IF(P75=CURSOS!$D$39,"ATENCION DE PACIENTE POR CONSUMO SUSTANCIAS PSICOACTIVAS Y ADICCIONES")))))))))))))))))))))))))))))))))))))</f>
        <v>ACOMPAÑAMIENTO Y MANEJO DEL DUELO</v>
      </c>
      <c r="W75" s="62" t="str">
        <f t="shared" si="6"/>
        <v>Elia Marilin Daza Daza</v>
      </c>
      <c r="X75" s="62" t="str">
        <f t="shared" si="7"/>
        <v>Elia Marilin Daza Daza</v>
      </c>
      <c r="Y75" s="62" t="str">
        <f t="shared" si="8"/>
        <v>Elia Marilin Daza Daza-1085690288-DUELO</v>
      </c>
    </row>
    <row r="76" spans="1:25" s="57" customFormat="1" x14ac:dyDescent="0.2">
      <c r="A76" s="58">
        <v>75</v>
      </c>
      <c r="B76" s="59">
        <v>59679711</v>
      </c>
      <c r="C76" s="63" t="s">
        <v>348</v>
      </c>
      <c r="D76" s="63" t="s">
        <v>349</v>
      </c>
      <c r="E76" s="63" t="s">
        <v>350</v>
      </c>
      <c r="F76" s="63" t="s">
        <v>351</v>
      </c>
      <c r="G76" s="63">
        <v>12</v>
      </c>
      <c r="H76" s="59" t="s">
        <v>200</v>
      </c>
      <c r="I76" s="60" t="s">
        <v>115</v>
      </c>
      <c r="J76" s="60" t="s">
        <v>240</v>
      </c>
      <c r="K76" s="61">
        <v>46000</v>
      </c>
      <c r="L76" s="66">
        <v>30000</v>
      </c>
      <c r="M76" s="59" t="s">
        <v>103</v>
      </c>
      <c r="N76" s="59" t="s">
        <v>138</v>
      </c>
      <c r="O76" s="59" t="s">
        <v>347</v>
      </c>
      <c r="P76" s="59" t="s">
        <v>42</v>
      </c>
      <c r="Q76" s="60"/>
      <c r="R76" s="59" t="s">
        <v>102</v>
      </c>
      <c r="S76" s="64" t="s">
        <v>201</v>
      </c>
      <c r="T76" s="59"/>
      <c r="U76" s="59"/>
      <c r="V76" s="62" t="str">
        <f>IF(P76=CURSOS!$D$3,"DIPLOMADO EN ATENCION PRE-HOSPITALARIA",IF(P76=CURSOS!$D$4,"ACOMPAÑAMIENTO Y MANEJO DEL DUELO",IF(P76=CURSOS!$D$5,"ATENCION A VICTIMAS DE ATAQUE CON AGENTES QUIMICOS ",IF(P76=CURSOS!$D$6,"PRIMEROS AUXILIOS ",IF(P76=CURSOS!$D$7,"DIPLOMADO DE UNIDAD DE CUIDADOS INTENSIVOS (UCI)",IF(P76=CURSOS!$D$8,"MODELO DE ATENCION PARA EVENTOS EMERGENTES EN SALUD MENTAL (CODIGO VERDE)",IF(P76=CURSOS!$D$9,"HUMANIZACION EN EL SERVICIO DE LA SALUD Y BUENAS PRACTICAS EN PACIENTE ",IF(P76=CURSOS!$D$10,"CLINICA DE HERIDAS ",IF(P76=CURSOS!$D$11,"TOMA DE CITOLOGIA CERVICO VAGINAL ",IF(P76=CURSOS!$D$12,"SOPORTE CARDIOVASCULAR AVANZADO (ACLS) ",IF(P76=CURSOS!$D$13,"CAMILLERO ",IF(P76=CURSOS!$D$14,"TOMA DE MUESTRAS Y LABORATORIO ",IF(P76=CURSOS!$D$15,"SOPORTE VITAL BASICO (BLS)",IF(P76=CURSOS!$D$16,"ATENCION A VICTIMAS DE VIOLENCIA SEXUAL ",IF(P76=CURSOS!$D$17,"PROGRAMADO AMPLIADO DE INMUNIZACION (PAI - COVID 19)",IF(P76=CURSOS!$D$18,"ATENCION INTEGRAL EN ENFERMEDADES PREVALENTES EN PRIMERA INFANCIA (AIEPI)",IF(P76=CURSOS!$D$19,"ADMINISTRACION DE MEDICAMENTOS, INYECTOLOGIA  Y CANALIZACION ",IF(P76=CURSOS!$D$20,"OPERADOR DE VEHICULOS DE EMERGENCIA (OVE)",IF(P76=CURSOS!$D$21,"INSTITUCIONES AMIGAS DE LA MUJER Y LA INFANCIA (IAMI)",IF(P76=CURSOS!$D$22,"CUIDADO DEL DONANTE DE ORGANOS",IF(P76=CURSOS!$D$23,"ATENCION A VICTIMAS POR VIOLENCIA DE GENERO",IF(P76=CURSOS!$D$24,"IGUALDAD DE GENERO EN LA SALUD",IF(P76=CURSOS!$D$25,"BRIGADA DE EMERGENCIA",IF(P76=CURSOS!$D$26,"MANEJO DEL DOLOR Y CUIDADOS PALIATIVOS",IF(P76=CURSOS!$D$27,"TOMA DE MUESTRAS Y LABORATORIO POCT",IF(P76=CURSOS!$D$28,"IMPLANTE SUBDERMICO DE DISPOSITIVO INTRAUTERINO",IF(P76=CURSOS!$D$29,"SALUD MENTAL",IF(P76=CURSOS!$D$30,"PRIMEROS AUXILIOS PSICOLOGICOS",IF(P76=CURSOS!$D$31,"ATENCION A VICTIMAS POR CONFLICTO ARMADO",IF(P76=CURSOS!$D$32,"MANIPULACION DE ALIMENTOS Y BPM",IF(P76=CURSOS!$D$33,"ATENCION A PERSONAS CON DISCAPACIDAD",IF(P76=CURSOS!$D$34,"CUIDADO INTEGRAL DEL PACIENTE ADULTO",IF(P76=CURSOS!$D$35,"MANEJO DEFENSIVO",IF(P76=CURSOS!$D$36,"SOPORTE CARDIOVASCULAR AVANZADO NEONATAL",IF(P76=CURSOS!$D$37,"SEGURIDAD DEL PACIENTE",IF(P76=CURSOS!$D$38,"MANEJO DE RESIDUOS HOSPITALARIOS",IF(P76=CURSOS!$D$39,"ATENCION DE PACIENTE POR CONSUMO SUSTANCIAS PSICOACTIVAS Y ADICCIONES")))))))))))))))))))))))))))))))))))))</f>
        <v xml:space="preserve">ATENCION A VICTIMAS DE VIOLENCIA SEXUAL </v>
      </c>
      <c r="W76" s="62" t="str">
        <f t="shared" si="6"/>
        <v>Yenny Felisa Montaño Palacios</v>
      </c>
      <c r="X76" s="62" t="str">
        <f t="shared" si="7"/>
        <v>Yenny Felisa Montaño Palacios</v>
      </c>
      <c r="Y76" s="62" t="str">
        <f t="shared" si="8"/>
        <v>Yenny Felisa Montaño Palacios-59679711-VIOLENCIA SEXUAL</v>
      </c>
    </row>
    <row r="77" spans="1:25" s="57" customFormat="1" x14ac:dyDescent="0.2">
      <c r="A77" s="58">
        <v>76</v>
      </c>
      <c r="B77" s="59">
        <v>1020716205</v>
      </c>
      <c r="C77" s="59" t="s">
        <v>352</v>
      </c>
      <c r="D77" s="59" t="s">
        <v>353</v>
      </c>
      <c r="E77" s="59" t="s">
        <v>354</v>
      </c>
      <c r="F77" s="59" t="s">
        <v>355</v>
      </c>
      <c r="G77" s="59">
        <v>12</v>
      </c>
      <c r="H77" s="59" t="s">
        <v>200</v>
      </c>
      <c r="I77" s="60" t="s">
        <v>115</v>
      </c>
      <c r="J77" s="60"/>
      <c r="K77" s="61">
        <v>45789</v>
      </c>
      <c r="L77" s="66">
        <v>130000</v>
      </c>
      <c r="M77" s="59" t="s">
        <v>268</v>
      </c>
      <c r="N77" s="59" t="s">
        <v>138</v>
      </c>
      <c r="O77" s="59" t="s">
        <v>116</v>
      </c>
      <c r="P77" s="59" t="s">
        <v>37</v>
      </c>
      <c r="Q77" s="60">
        <v>31560</v>
      </c>
      <c r="R77" s="59" t="s">
        <v>102</v>
      </c>
      <c r="S77" s="64" t="s">
        <v>356</v>
      </c>
      <c r="T77" s="85">
        <v>3152081727</v>
      </c>
      <c r="U77" s="59" t="s">
        <v>357</v>
      </c>
      <c r="V77" s="62" t="str">
        <f>IF(P77=CURSOS!$D$3,"DIPLOMADO EN ATENCION PRE-HOSPITALARIA",IF(P77=CURSOS!$D$4,"ACOMPAÑAMIENTO Y MANEJO DEL DUELO",IF(P77=CURSOS!$D$5,"ATENCION A VICTIMAS DE ATAQUE CON AGENTES QUIMICOS ",IF(P77=CURSOS!$D$6,"PRIMEROS AUXILIOS ",IF(P77=CURSOS!$D$7,"DIPLOMADO DE UNIDAD DE CUIDADOS INTENSIVOS (UCI)",IF(P77=CURSOS!$D$8,"MODELO DE ATENCION PARA EVENTOS EMERGENTES EN SALUD MENTAL (CODIGO VERDE)",IF(P77=CURSOS!$D$9,"HUMANIZACION EN EL SERVICIO DE LA SALUD Y BUENAS PRACTICAS EN PACIENTE ",IF(P77=CURSOS!$D$10,"CLINICA DE HERIDAS ",IF(P77=CURSOS!$D$11,"TOMA DE CITOLOGIA CERVICO VAGINAL ",IF(P77=CURSOS!$D$12,"SOPORTE CARDIOVASCULAR AVANZADO (ACLS) ",IF(P77=CURSOS!$D$13,"CAMILLERO ",IF(P77=CURSOS!$D$14,"TOMA DE MUESTRAS Y LABORATORIO ",IF(P77=CURSOS!$D$15,"SOPORTE VITAL BASICO (BLS)",IF(P77=CURSOS!$D$16,"ATENCION A VICTIMAS DE VIOLENCIA SEXUAL ",IF(P77=CURSOS!$D$17,"PROGRAMADO AMPLIADO DE INMUNIZACION (PAI - COVID 19)",IF(P77=CURSOS!$D$18,"ATENCION INTEGRAL EN ENFERMEDADES PREVALENTES EN PRIMERA INFANCIA (AIEPI)",IF(P77=CURSOS!$D$19,"ADMINISTRACION DE MEDICAMENTOS, INYECTOLOGIA  Y CANALIZACION ",IF(P77=CURSOS!$D$20,"OPERADOR DE VEHICULOS DE EMERGENCIA (OVE)",IF(P77=CURSOS!$D$21,"INSTITUCIONES AMIGAS DE LA MUJER Y LA INFANCIA (IAMI)",IF(P77=CURSOS!$D$22,"CUIDADO DEL DONANTE DE ORGANOS",IF(P77=CURSOS!$D$23,"ATENCION A VICTIMAS POR VIOLENCIA DE GENERO",IF(P77=CURSOS!$D$24,"IGUALDAD DE GENERO EN LA SALUD",IF(P77=CURSOS!$D$25,"BRIGADA DE EMERGENCIA",IF(P77=CURSOS!$D$26,"MANEJO DEL DOLOR Y CUIDADOS PALIATIVOS",IF(P77=CURSOS!$D$27,"TOMA DE MUESTRAS Y LABORATORIO POCT",IF(P77=CURSOS!$D$28,"IMPLANTE SUBDERMICO DE DISPOSITIVO INTRAUTERINO",IF(P77=CURSOS!$D$29,"SALUD MENTAL",IF(P77=CURSOS!$D$30,"PRIMEROS AUXILIOS PSICOLOGICOS",IF(P77=CURSOS!$D$31,"ATENCION A VICTIMAS POR CONFLICTO ARMADO",IF(P77=CURSOS!$D$32,"MANIPULACION DE ALIMENTOS Y BPM",IF(P77=CURSOS!$D$33,"ATENCION A PERSONAS CON DISCAPACIDAD",IF(P77=CURSOS!$D$34,"CUIDADO INTEGRAL DEL PACIENTE ADULTO",IF(P77=CURSOS!$D$35,"MANEJO DEFENSIVO",IF(P77=CURSOS!$D$36,"SOPORTE CARDIOVASCULAR AVANZADO NEONATAL",IF(P77=CURSOS!$D$37,"SEGURIDAD DEL PACIENTE",IF(P77=CURSOS!$D$38,"MANEJO DE RESIDUOS HOSPITALARIOS",IF(P77=CURSOS!$D$39,"ATENCION DE PACIENTE POR CONSUMO SUSTANCIAS PSICOACTIVAS Y ADICCIONES")))))))))))))))))))))))))))))))))))))</f>
        <v xml:space="preserve">SOPORTE CARDIOVASCULAR AVANZADO (ACLS) </v>
      </c>
      <c r="W77" s="62" t="str">
        <f t="shared" si="6"/>
        <v>Aura Esperanza Fajardo Gonzales</v>
      </c>
      <c r="X77" s="62" t="str">
        <f t="shared" si="7"/>
        <v>Aura Esperanza Fajardo Gonzales</v>
      </c>
      <c r="Y77" s="62" t="str">
        <f t="shared" si="8"/>
        <v>Aura Esperanza Fajardo Gonzales-1020716205-ACLS</v>
      </c>
    </row>
    <row r="78" spans="1:25" s="57" customFormat="1" x14ac:dyDescent="0.2">
      <c r="A78" s="58">
        <v>77</v>
      </c>
      <c r="B78" s="59">
        <v>1233189338</v>
      </c>
      <c r="C78" s="59" t="s">
        <v>358</v>
      </c>
      <c r="D78" s="59" t="s">
        <v>359</v>
      </c>
      <c r="E78" s="59" t="s">
        <v>360</v>
      </c>
      <c r="F78" s="59" t="s">
        <v>198</v>
      </c>
      <c r="G78" s="59">
        <v>12</v>
      </c>
      <c r="H78" s="59" t="s">
        <v>200</v>
      </c>
      <c r="I78" s="60" t="s">
        <v>115</v>
      </c>
      <c r="J78" s="60" t="s">
        <v>240</v>
      </c>
      <c r="K78" s="61">
        <v>45789</v>
      </c>
      <c r="L78" s="66">
        <v>80000</v>
      </c>
      <c r="M78" s="59" t="s">
        <v>268</v>
      </c>
      <c r="N78" s="59" t="s">
        <v>138</v>
      </c>
      <c r="O78" s="59" t="s">
        <v>138</v>
      </c>
      <c r="P78" s="59" t="s">
        <v>37</v>
      </c>
      <c r="Q78" s="60">
        <v>35480</v>
      </c>
      <c r="R78" s="59" t="s">
        <v>102</v>
      </c>
      <c r="S78" s="64" t="s">
        <v>295</v>
      </c>
      <c r="T78" s="85">
        <v>3003012865</v>
      </c>
      <c r="U78" s="59" t="s">
        <v>361</v>
      </c>
      <c r="V78" s="62" t="str">
        <f>IF(P78=CURSOS!$D$3,"DIPLOMADO EN ATENCION PRE-HOSPITALARIA",IF(P78=CURSOS!$D$4,"ACOMPAÑAMIENTO Y MANEJO DEL DUELO",IF(P78=CURSOS!$D$5,"ATENCION A VICTIMAS DE ATAQUE CON AGENTES QUIMICOS ",IF(P78=CURSOS!$D$6,"PRIMEROS AUXILIOS ",IF(P78=CURSOS!$D$7,"DIPLOMADO DE UNIDAD DE CUIDADOS INTENSIVOS (UCI)",IF(P78=CURSOS!$D$8,"MODELO DE ATENCION PARA EVENTOS EMERGENTES EN SALUD MENTAL (CODIGO VERDE)",IF(P78=CURSOS!$D$9,"HUMANIZACION EN EL SERVICIO DE LA SALUD Y BUENAS PRACTICAS EN PACIENTE ",IF(P78=CURSOS!$D$10,"CLINICA DE HERIDAS ",IF(P78=CURSOS!$D$11,"TOMA DE CITOLOGIA CERVICO VAGINAL ",IF(P78=CURSOS!$D$12,"SOPORTE CARDIOVASCULAR AVANZADO (ACLS) ",IF(P78=CURSOS!$D$13,"CAMILLERO ",IF(P78=CURSOS!$D$14,"TOMA DE MUESTRAS Y LABORATORIO ",IF(P78=CURSOS!$D$15,"SOPORTE VITAL BASICO (BLS)",IF(P78=CURSOS!$D$16,"ATENCION A VICTIMAS DE VIOLENCIA SEXUAL ",IF(P78=CURSOS!$D$17,"PROGRAMADO AMPLIADO DE INMUNIZACION (PAI - COVID 19)",IF(P78=CURSOS!$D$18,"ATENCION INTEGRAL EN ENFERMEDADES PREVALENTES EN PRIMERA INFANCIA (AIEPI)",IF(P78=CURSOS!$D$19,"ADMINISTRACION DE MEDICAMENTOS, INYECTOLOGIA  Y CANALIZACION ",IF(P78=CURSOS!$D$20,"OPERADOR DE VEHICULOS DE EMERGENCIA (OVE)",IF(P78=CURSOS!$D$21,"INSTITUCIONES AMIGAS DE LA MUJER Y LA INFANCIA (IAMI)",IF(P78=CURSOS!$D$22,"CUIDADO DEL DONANTE DE ORGANOS",IF(P78=CURSOS!$D$23,"ATENCION A VICTIMAS POR VIOLENCIA DE GENERO",IF(P78=CURSOS!$D$24,"IGUALDAD DE GENERO EN LA SALUD",IF(P78=CURSOS!$D$25,"BRIGADA DE EMERGENCIA",IF(P78=CURSOS!$D$26,"MANEJO DEL DOLOR Y CUIDADOS PALIATIVOS",IF(P78=CURSOS!$D$27,"TOMA DE MUESTRAS Y LABORATORIO POCT",IF(P78=CURSOS!$D$28,"IMPLANTE SUBDERMICO DE DISPOSITIVO INTRAUTERINO",IF(P78=CURSOS!$D$29,"SALUD MENTAL",IF(P78=CURSOS!$D$30,"PRIMEROS AUXILIOS PSICOLOGICOS",IF(P78=CURSOS!$D$31,"ATENCION A VICTIMAS POR CONFLICTO ARMADO",IF(P78=CURSOS!$D$32,"MANIPULACION DE ALIMENTOS Y BPM",IF(P78=CURSOS!$D$33,"ATENCION A PERSONAS CON DISCAPACIDAD",IF(P78=CURSOS!$D$34,"CUIDADO INTEGRAL DEL PACIENTE ADULTO",IF(P78=CURSOS!$D$35,"MANEJO DEFENSIVO",IF(P78=CURSOS!$D$36,"SOPORTE CARDIOVASCULAR AVANZADO NEONATAL",IF(P78=CURSOS!$D$37,"SEGURIDAD DEL PACIENTE",IF(P78=CURSOS!$D$38,"MANEJO DE RESIDUOS HOSPITALARIOS",IF(P78=CURSOS!$D$39,"ATENCION DE PACIENTE POR CONSUMO SUSTANCIAS PSICOACTIVAS Y ADICCIONES")))))))))))))))))))))))))))))))))))))</f>
        <v xml:space="preserve">SOPORTE CARDIOVASCULAR AVANZADO (ACLS) </v>
      </c>
      <c r="W78" s="62" t="str">
        <f t="shared" si="6"/>
        <v>Ana Maria Lasso Paredes</v>
      </c>
      <c r="X78" s="62" t="str">
        <f t="shared" si="7"/>
        <v>Ana Maria Lasso Paredes</v>
      </c>
      <c r="Y78" s="62" t="str">
        <f t="shared" si="8"/>
        <v>Ana Maria Lasso Paredes-1233189338-ACLS</v>
      </c>
    </row>
    <row r="79" spans="1:25" s="57" customFormat="1" x14ac:dyDescent="0.2">
      <c r="A79" s="58">
        <v>78</v>
      </c>
      <c r="B79" s="59">
        <v>1233189338</v>
      </c>
      <c r="C79" s="59" t="s">
        <v>358</v>
      </c>
      <c r="D79" s="59" t="s">
        <v>359</v>
      </c>
      <c r="E79" s="59" t="s">
        <v>360</v>
      </c>
      <c r="F79" s="59" t="s">
        <v>198</v>
      </c>
      <c r="G79" s="59">
        <v>10</v>
      </c>
      <c r="H79" s="59" t="s">
        <v>200</v>
      </c>
      <c r="I79" s="60" t="s">
        <v>115</v>
      </c>
      <c r="J79" s="60" t="s">
        <v>240</v>
      </c>
      <c r="K79" s="61">
        <v>45789</v>
      </c>
      <c r="L79" s="66">
        <v>24000</v>
      </c>
      <c r="M79" s="59" t="s">
        <v>268</v>
      </c>
      <c r="N79" s="59" t="s">
        <v>138</v>
      </c>
      <c r="O79" s="59" t="s">
        <v>138</v>
      </c>
      <c r="P79" s="59" t="s">
        <v>19</v>
      </c>
      <c r="Q79" s="60">
        <v>35480</v>
      </c>
      <c r="R79" s="59" t="s">
        <v>102</v>
      </c>
      <c r="S79" s="64" t="s">
        <v>295</v>
      </c>
      <c r="T79" s="85">
        <v>3003012865</v>
      </c>
      <c r="U79" s="59" t="s">
        <v>361</v>
      </c>
      <c r="V79" s="62" t="str">
        <f>IF(P79=CURSOS!$D$3,"DIPLOMADO EN ATENCION PRE-HOSPITALARIA",IF(P79=CURSOS!$D$4,"ACOMPAÑAMIENTO Y MANEJO DEL DUELO",IF(P79=CURSOS!$D$5,"ATENCION A VICTIMAS DE ATAQUE CON AGENTES QUIMICOS ",IF(P79=CURSOS!$D$6,"PRIMEROS AUXILIOS ",IF(P79=CURSOS!$D$7,"DIPLOMADO DE UNIDAD DE CUIDADOS INTENSIVOS (UCI)",IF(P79=CURSOS!$D$8,"MODELO DE ATENCION PARA EVENTOS EMERGENTES EN SALUD MENTAL (CODIGO VERDE)",IF(P79=CURSOS!$D$9,"HUMANIZACION EN EL SERVICIO DE LA SALUD Y BUENAS PRACTICAS EN PACIENTE ",IF(P79=CURSOS!$D$10,"CLINICA DE HERIDAS ",IF(P79=CURSOS!$D$11,"TOMA DE CITOLOGIA CERVICO VAGINAL ",IF(P79=CURSOS!$D$12,"SOPORTE CARDIOVASCULAR AVANZADO (ACLS) ",IF(P79=CURSOS!$D$13,"CAMILLERO ",IF(P79=CURSOS!$D$14,"TOMA DE MUESTRAS Y LABORATORIO ",IF(P79=CURSOS!$D$15,"SOPORTE VITAL BASICO (BLS)",IF(P79=CURSOS!$D$16,"ATENCION A VICTIMAS DE VIOLENCIA SEXUAL ",IF(P79=CURSOS!$D$17,"PROGRAMADO AMPLIADO DE INMUNIZACION (PAI - COVID 19)",IF(P79=CURSOS!$D$18,"ATENCION INTEGRAL EN ENFERMEDADES PREVALENTES EN PRIMERA INFANCIA (AIEPI)",IF(P79=CURSOS!$D$19,"ADMINISTRACION DE MEDICAMENTOS, INYECTOLOGIA  Y CANALIZACION ",IF(P79=CURSOS!$D$20,"OPERADOR DE VEHICULOS DE EMERGENCIA (OVE)",IF(P79=CURSOS!$D$21,"INSTITUCIONES AMIGAS DE LA MUJER Y LA INFANCIA (IAMI)",IF(P79=CURSOS!$D$22,"CUIDADO DEL DONANTE DE ORGANOS",IF(P79=CURSOS!$D$23,"ATENCION A VICTIMAS POR VIOLENCIA DE GENERO",IF(P79=CURSOS!$D$24,"IGUALDAD DE GENERO EN LA SALUD",IF(P79=CURSOS!$D$25,"BRIGADA DE EMERGENCIA",IF(P79=CURSOS!$D$26,"MANEJO DEL DOLOR Y CUIDADOS PALIATIVOS",IF(P79=CURSOS!$D$27,"TOMA DE MUESTRAS Y LABORATORIO POCT",IF(P79=CURSOS!$D$28,"IMPLANTE SUBDERMICO DE DISPOSITIVO INTRAUTERINO",IF(P79=CURSOS!$D$29,"SALUD MENTAL",IF(P79=CURSOS!$D$30,"PRIMEROS AUXILIOS PSICOLOGICOS",IF(P79=CURSOS!$D$31,"ATENCION A VICTIMAS POR CONFLICTO ARMADO",IF(P79=CURSOS!$D$32,"MANIPULACION DE ALIMENTOS Y BPM",IF(P79=CURSOS!$D$33,"ATENCION A PERSONAS CON DISCAPACIDAD",IF(P79=CURSOS!$D$34,"CUIDADO INTEGRAL DEL PACIENTE ADULTO",IF(P79=CURSOS!$D$35,"MANEJO DEFENSIVO",IF(P79=CURSOS!$D$36,"SOPORTE CARDIOVASCULAR AVANZADO NEONATAL",IF(P79=CURSOS!$D$37,"SEGURIDAD DEL PACIENTE",IF(P79=CURSOS!$D$38,"MANEJO DE RESIDUOS HOSPITALARIOS",IF(P79=CURSOS!$D$39,"ATENCION DE PACIENTE POR CONSUMO SUSTANCIAS PSICOACTIVAS Y ADICCIONES")))))))))))))))))))))))))))))))))))))</f>
        <v>SOPORTE VITAL BASICO (BLS)</v>
      </c>
      <c r="W79" s="62" t="str">
        <f t="shared" si="6"/>
        <v>Ana Maria Lasso Paredes</v>
      </c>
      <c r="X79" s="62" t="str">
        <f t="shared" si="7"/>
        <v>Ana Maria Lasso Paredes</v>
      </c>
      <c r="Y79" s="62" t="str">
        <f t="shared" si="8"/>
        <v>Ana Maria Lasso Paredes-1233189338-BLS</v>
      </c>
    </row>
    <row r="80" spans="1:25" s="57" customFormat="1" x14ac:dyDescent="0.2">
      <c r="A80" s="58">
        <v>79</v>
      </c>
      <c r="B80" s="59">
        <v>1085272650</v>
      </c>
      <c r="C80" s="59" t="s">
        <v>362</v>
      </c>
      <c r="D80" s="59" t="s">
        <v>363</v>
      </c>
      <c r="E80" s="59" t="s">
        <v>364</v>
      </c>
      <c r="F80" s="59" t="s">
        <v>365</v>
      </c>
      <c r="G80" s="59">
        <v>13</v>
      </c>
      <c r="H80" s="59" t="s">
        <v>200</v>
      </c>
      <c r="I80" s="60" t="s">
        <v>115</v>
      </c>
      <c r="J80" s="60" t="s">
        <v>123</v>
      </c>
      <c r="K80" s="61">
        <v>45790</v>
      </c>
      <c r="L80" s="66">
        <v>32000</v>
      </c>
      <c r="M80" s="59" t="s">
        <v>214</v>
      </c>
      <c r="N80" s="59" t="s">
        <v>138</v>
      </c>
      <c r="O80" s="59" t="s">
        <v>116</v>
      </c>
      <c r="P80" s="59" t="s">
        <v>48</v>
      </c>
      <c r="Q80" s="60">
        <v>32579</v>
      </c>
      <c r="R80" s="59" t="s">
        <v>102</v>
      </c>
      <c r="S80" s="64" t="s">
        <v>282</v>
      </c>
      <c r="T80" s="59">
        <v>3172426019</v>
      </c>
      <c r="U80" s="59" t="s">
        <v>366</v>
      </c>
      <c r="V80" s="62" t="str">
        <f>IF(P80=CURSOS!$D$3,"DIPLOMADO EN ATENCION PRE-HOSPITALARIA",IF(P80=CURSOS!$D$4,"ACOMPAÑAMIENTO Y MANEJO DEL DUELO",IF(P80=CURSOS!$D$5,"ATENCION A VICTIMAS DE ATAQUE CON AGENTES QUIMICOS ",IF(P80=CURSOS!$D$6,"PRIMEROS AUXILIOS ",IF(P80=CURSOS!$D$7,"DIPLOMADO DE UNIDAD DE CUIDADOS INTENSIVOS (UCI)",IF(P80=CURSOS!$D$8,"MODELO DE ATENCION PARA EVENTOS EMERGENTES EN SALUD MENTAL (CODIGO VERDE)",IF(P80=CURSOS!$D$9,"HUMANIZACION EN EL SERVICIO DE LA SALUD Y BUENAS PRACTICAS EN PACIENTE ",IF(P80=CURSOS!$D$10,"CLINICA DE HERIDAS ",IF(P80=CURSOS!$D$11,"TOMA DE CITOLOGIA CERVICO VAGINAL ",IF(P80=CURSOS!$D$12,"SOPORTE CARDIOVASCULAR AVANZADO (ACLS) ",IF(P80=CURSOS!$D$13,"CAMILLERO ",IF(P80=CURSOS!$D$14,"TOMA DE MUESTRAS Y LABORATORIO ",IF(P80=CURSOS!$D$15,"SOPORTE VITAL BASICO (BLS)",IF(P80=CURSOS!$D$16,"ATENCION A VICTIMAS DE VIOLENCIA SEXUAL ",IF(P80=CURSOS!$D$17,"PROGRAMADO AMPLIADO DE INMUNIZACION (PAI - COVID 19)",IF(P80=CURSOS!$D$18,"ATENCION INTEGRAL EN ENFERMEDADES PREVALENTES EN PRIMERA INFANCIA (AIEPI)",IF(P80=CURSOS!$D$19,"ADMINISTRACION DE MEDICAMENTOS, INYECTOLOGIA  Y CANALIZACION ",IF(P80=CURSOS!$D$20,"OPERADOR DE VEHICULOS DE EMERGENCIA (OVE)",IF(P80=CURSOS!$D$21,"INSTITUCIONES AMIGAS DE LA MUJER Y LA INFANCIA (IAMI)",IF(P80=CURSOS!$D$22,"CUIDADO DEL DONANTE DE ORGANOS",IF(P80=CURSOS!$D$23,"ATENCION A VICTIMAS POR VIOLENCIA DE GENERO",IF(P80=CURSOS!$D$24,"IGUALDAD DE GENERO EN LA SALUD",IF(P80=CURSOS!$D$25,"BRIGADA DE EMERGENCIA",IF(P80=CURSOS!$D$26,"MANEJO DEL DOLOR Y CUIDADOS PALIATIVOS",IF(P80=CURSOS!$D$27,"TOMA DE MUESTRAS Y LABORATORIO POCT",IF(P80=CURSOS!$D$28,"IMPLANTE SUBDERMICO DE DISPOSITIVO INTRAUTERINO",IF(P80=CURSOS!$D$29,"SALUD MENTAL",IF(P80=CURSOS!$D$30,"PRIMEROS AUXILIOS PSICOLOGICOS",IF(P80=CURSOS!$D$31,"ATENCION A VICTIMAS POR CONFLICTO ARMADO",IF(P80=CURSOS!$D$32,"MANIPULACION DE ALIMENTOS Y BPM",IF(P80=CURSOS!$D$33,"ATENCION A PERSONAS CON DISCAPACIDAD",IF(P80=CURSOS!$D$34,"CUIDADO INTEGRAL DEL PACIENTE ADULTO",IF(P80=CURSOS!$D$35,"MANEJO DEFENSIVO",IF(P80=CURSOS!$D$36,"SOPORTE CARDIOVASCULAR AVANZADO NEONATAL",IF(P80=CURSOS!$D$37,"SEGURIDAD DEL PACIENTE",IF(P80=CURSOS!$D$38,"MANEJO DE RESIDUOS HOSPITALARIOS",IF(P80=CURSOS!$D$39,"ATENCION DE PACIENTE POR CONSUMO SUSTANCIAS PSICOACTIVAS Y ADICCIONES")))))))))))))))))))))))))))))))))))))</f>
        <v>INSTITUCIONES AMIGAS DE LA MUJER Y LA INFANCIA (IAMI)</v>
      </c>
      <c r="W80" s="62" t="str">
        <f t="shared" si="6"/>
        <v>Jennyfer Andrea Arevalo Umaña</v>
      </c>
      <c r="X80" s="62" t="str">
        <f t="shared" si="7"/>
        <v>Jennyfer Andrea Arevalo Umaña</v>
      </c>
      <c r="Y80" s="62" t="str">
        <f t="shared" si="8"/>
        <v>Jennyfer Andrea Arevalo Umaña-1085272650-IAMI</v>
      </c>
    </row>
    <row r="81" spans="1:25" s="57" customFormat="1" x14ac:dyDescent="0.2">
      <c r="A81" s="58">
        <v>80</v>
      </c>
      <c r="B81" s="70">
        <v>1040034476</v>
      </c>
      <c r="C81" s="59" t="s">
        <v>209</v>
      </c>
      <c r="D81" s="59" t="s">
        <v>367</v>
      </c>
      <c r="E81" s="59" t="s">
        <v>368</v>
      </c>
      <c r="F81" s="59" t="s">
        <v>369</v>
      </c>
      <c r="G81" s="59">
        <v>14</v>
      </c>
      <c r="H81" s="59" t="s">
        <v>200</v>
      </c>
      <c r="I81" s="60" t="s">
        <v>115</v>
      </c>
      <c r="J81" s="60" t="s">
        <v>240</v>
      </c>
      <c r="K81" s="61">
        <v>45791</v>
      </c>
      <c r="L81" s="66">
        <v>32000</v>
      </c>
      <c r="M81" s="59" t="s">
        <v>103</v>
      </c>
      <c r="N81" s="59" t="s">
        <v>138</v>
      </c>
      <c r="O81" s="59" t="s">
        <v>99</v>
      </c>
      <c r="P81" s="59" t="s">
        <v>19</v>
      </c>
      <c r="Q81" s="60">
        <v>32313</v>
      </c>
      <c r="R81" s="59" t="s">
        <v>124</v>
      </c>
      <c r="S81" s="64" t="s">
        <v>370</v>
      </c>
      <c r="T81" s="85"/>
      <c r="U81" s="59" t="s">
        <v>371</v>
      </c>
      <c r="V81" s="62" t="str">
        <f>IF(P81=CURSOS!$D$3,"DIPLOMADO EN ATENCION PRE-HOSPITALARIA",IF(P81=CURSOS!$D$4,"ACOMPAÑAMIENTO Y MANEJO DEL DUELO",IF(P81=CURSOS!$D$5,"ATENCION A VICTIMAS DE ATAQUE CON AGENTES QUIMICOS ",IF(P81=CURSOS!$D$6,"PRIMEROS AUXILIOS ",IF(P81=CURSOS!$D$7,"DIPLOMADO DE UNIDAD DE CUIDADOS INTENSIVOS (UCI)",IF(P81=CURSOS!$D$8,"MODELO DE ATENCION PARA EVENTOS EMERGENTES EN SALUD MENTAL (CODIGO VERDE)",IF(P81=CURSOS!$D$9,"HUMANIZACION EN EL SERVICIO DE LA SALUD Y BUENAS PRACTICAS EN PACIENTE ",IF(P81=CURSOS!$D$10,"CLINICA DE HERIDAS ",IF(P81=CURSOS!$D$11,"TOMA DE CITOLOGIA CERVICO VAGINAL ",IF(P81=CURSOS!$D$12,"SOPORTE CARDIOVASCULAR AVANZADO (ACLS) ",IF(P81=CURSOS!$D$13,"CAMILLERO ",IF(P81=CURSOS!$D$14,"TOMA DE MUESTRAS Y LABORATORIO ",IF(P81=CURSOS!$D$15,"SOPORTE VITAL BASICO (BLS)",IF(P81=CURSOS!$D$16,"ATENCION A VICTIMAS DE VIOLENCIA SEXUAL ",IF(P81=CURSOS!$D$17,"PROGRAMADO AMPLIADO DE INMUNIZACION (PAI - COVID 19)",IF(P81=CURSOS!$D$18,"ATENCION INTEGRAL EN ENFERMEDADES PREVALENTES EN PRIMERA INFANCIA (AIEPI)",IF(P81=CURSOS!$D$19,"ADMINISTRACION DE MEDICAMENTOS, INYECTOLOGIA  Y CANALIZACION ",IF(P81=CURSOS!$D$20,"OPERADOR DE VEHICULOS DE EMERGENCIA (OVE)",IF(P81=CURSOS!$D$21,"INSTITUCIONES AMIGAS DE LA MUJER Y LA INFANCIA (IAMI)",IF(P81=CURSOS!$D$22,"CUIDADO DEL DONANTE DE ORGANOS",IF(P81=CURSOS!$D$23,"ATENCION A VICTIMAS POR VIOLENCIA DE GENERO",IF(P81=CURSOS!$D$24,"IGUALDAD DE GENERO EN LA SALUD",IF(P81=CURSOS!$D$25,"BRIGADA DE EMERGENCIA",IF(P81=CURSOS!$D$26,"MANEJO DEL DOLOR Y CUIDADOS PALIATIVOS",IF(P81=CURSOS!$D$27,"TOMA DE MUESTRAS Y LABORATORIO POCT",IF(P81=CURSOS!$D$28,"IMPLANTE SUBDERMICO DE DISPOSITIVO INTRAUTERINO",IF(P81=CURSOS!$D$29,"SALUD MENTAL",IF(P81=CURSOS!$D$30,"PRIMEROS AUXILIOS PSICOLOGICOS",IF(P81=CURSOS!$D$31,"ATENCION A VICTIMAS POR CONFLICTO ARMADO",IF(P81=CURSOS!$D$32,"MANIPULACION DE ALIMENTOS Y BPM",IF(P81=CURSOS!$D$33,"ATENCION A PERSONAS CON DISCAPACIDAD",IF(P81=CURSOS!$D$34,"CUIDADO INTEGRAL DEL PACIENTE ADULTO",IF(P81=CURSOS!$D$35,"MANEJO DEFENSIVO",IF(P81=CURSOS!$D$36,"SOPORTE CARDIOVASCULAR AVANZADO NEONATAL",IF(P81=CURSOS!$D$37,"SEGURIDAD DEL PACIENTE",IF(P81=CURSOS!$D$38,"MANEJO DE RESIDUOS HOSPITALARIOS",IF(P81=CURSOS!$D$39,"ATENCION DE PACIENTE POR CONSUMO SUSTANCIAS PSICOACTIVAS Y ADICCIONES")))))))))))))))))))))))))))))))))))))</f>
        <v>SOPORTE VITAL BASICO (BLS)</v>
      </c>
      <c r="W81" s="62" t="str">
        <f t="shared" si="6"/>
        <v>Duban Afranio Bastidas Chamorro</v>
      </c>
      <c r="X81" s="62" t="str">
        <f t="shared" si="7"/>
        <v>Duban Afranio Bastidas Chamorro</v>
      </c>
      <c r="Y81" s="62" t="str">
        <f t="shared" si="8"/>
        <v>Duban Afranio Bastidas Chamorro-1040034476-BLS</v>
      </c>
    </row>
    <row r="82" spans="1:25" s="57" customFormat="1" x14ac:dyDescent="0.2">
      <c r="A82" s="58">
        <v>81</v>
      </c>
      <c r="B82" s="70">
        <v>1087421530</v>
      </c>
      <c r="C82" s="59" t="s">
        <v>372</v>
      </c>
      <c r="D82" s="59" t="s">
        <v>373</v>
      </c>
      <c r="E82" s="59" t="s">
        <v>374</v>
      </c>
      <c r="F82" s="59" t="s">
        <v>375</v>
      </c>
      <c r="G82" s="59">
        <v>14</v>
      </c>
      <c r="H82" s="59" t="s">
        <v>200</v>
      </c>
      <c r="I82" s="60" t="s">
        <v>115</v>
      </c>
      <c r="J82" s="60" t="s">
        <v>240</v>
      </c>
      <c r="K82" s="61">
        <v>45791</v>
      </c>
      <c r="L82" s="66">
        <v>32000</v>
      </c>
      <c r="M82" s="59" t="s">
        <v>103</v>
      </c>
      <c r="N82" s="59" t="s">
        <v>138</v>
      </c>
      <c r="O82" s="59" t="s">
        <v>99</v>
      </c>
      <c r="P82" s="59" t="s">
        <v>25</v>
      </c>
      <c r="Q82" s="60">
        <v>34823</v>
      </c>
      <c r="R82" s="59" t="s">
        <v>124</v>
      </c>
      <c r="S82" s="64" t="s">
        <v>201</v>
      </c>
      <c r="T82" s="85">
        <v>3154075344</v>
      </c>
      <c r="U82" s="59" t="s">
        <v>376</v>
      </c>
      <c r="V82" s="62" t="str">
        <f>IF(P82=CURSOS!$D$3,"DIPLOMADO EN ATENCION PRE-HOSPITALARIA",IF(P82=CURSOS!$D$4,"ACOMPAÑAMIENTO Y MANEJO DEL DUELO",IF(P82=CURSOS!$D$5,"ATENCION A VICTIMAS DE ATAQUE CON AGENTES QUIMICOS ",IF(P82=CURSOS!$D$6,"PRIMEROS AUXILIOS ",IF(P82=CURSOS!$D$7,"DIPLOMADO DE UNIDAD DE CUIDADOS INTENSIVOS (UCI)",IF(P82=CURSOS!$D$8,"MODELO DE ATENCION PARA EVENTOS EMERGENTES EN SALUD MENTAL (CODIGO VERDE)",IF(P82=CURSOS!$D$9,"HUMANIZACION EN EL SERVICIO DE LA SALUD Y BUENAS PRACTICAS EN PACIENTE ",IF(P82=CURSOS!$D$10,"CLINICA DE HERIDAS ",IF(P82=CURSOS!$D$11,"TOMA DE CITOLOGIA CERVICO VAGINAL ",IF(P82=CURSOS!$D$12,"SOPORTE CARDIOVASCULAR AVANZADO (ACLS) ",IF(P82=CURSOS!$D$13,"CAMILLERO ",IF(P82=CURSOS!$D$14,"TOMA DE MUESTRAS Y LABORATORIO ",IF(P82=CURSOS!$D$15,"SOPORTE VITAL BASICO (BLS)",IF(P82=CURSOS!$D$16,"ATENCION A VICTIMAS DE VIOLENCIA SEXUAL ",IF(P82=CURSOS!$D$17,"PROGRAMADO AMPLIADO DE INMUNIZACION (PAI - COVID 19)",IF(P82=CURSOS!$D$18,"ATENCION INTEGRAL EN ENFERMEDADES PREVALENTES EN PRIMERA INFANCIA (AIEPI)",IF(P82=CURSOS!$D$19,"ADMINISTRACION DE MEDICAMENTOS, INYECTOLOGIA  Y CANALIZACION ",IF(P82=CURSOS!$D$20,"OPERADOR DE VEHICULOS DE EMERGENCIA (OVE)",IF(P82=CURSOS!$D$21,"INSTITUCIONES AMIGAS DE LA MUJER Y LA INFANCIA (IAMI)",IF(P82=CURSOS!$D$22,"CUIDADO DEL DONANTE DE ORGANOS",IF(P82=CURSOS!$D$23,"ATENCION A VICTIMAS POR VIOLENCIA DE GENERO",IF(P82=CURSOS!$D$24,"IGUALDAD DE GENERO EN LA SALUD",IF(P82=CURSOS!$D$25,"BRIGADA DE EMERGENCIA",IF(P82=CURSOS!$D$26,"MANEJO DEL DOLOR Y CUIDADOS PALIATIVOS",IF(P82=CURSOS!$D$27,"TOMA DE MUESTRAS Y LABORATORIO POCT",IF(P82=CURSOS!$D$28,"IMPLANTE SUBDERMICO DE DISPOSITIVO INTRAUTERINO",IF(P82=CURSOS!$D$29,"SALUD MENTAL",IF(P82=CURSOS!$D$30,"PRIMEROS AUXILIOS PSICOLOGICOS",IF(P82=CURSOS!$D$31,"ATENCION A VICTIMAS POR CONFLICTO ARMADO",IF(P82=CURSOS!$D$32,"MANIPULACION DE ALIMENTOS Y BPM",IF(P82=CURSOS!$D$33,"ATENCION A PERSONAS CON DISCAPACIDAD",IF(P82=CURSOS!$D$34,"CUIDADO INTEGRAL DEL PACIENTE ADULTO",IF(P82=CURSOS!$D$35,"MANEJO DEFENSIVO",IF(P82=CURSOS!$D$36,"SOPORTE CARDIOVASCULAR AVANZADO NEONATAL",IF(P82=CURSOS!$D$37,"SEGURIDAD DEL PACIENTE",IF(P82=CURSOS!$D$38,"MANEJO DE RESIDUOS HOSPITALARIOS",IF(P82=CURSOS!$D$39,"ATENCION DE PACIENTE POR CONSUMO SUSTANCIAS PSICOACTIVAS Y ADICCIONES")))))))))))))))))))))))))))))))))))))</f>
        <v xml:space="preserve">ATENCION A VICTIMAS DE ATAQUE CON AGENTES QUIMICOS </v>
      </c>
      <c r="W82" s="62" t="str">
        <f t="shared" si="6"/>
        <v>Edgar Mauricio Coral Solarte</v>
      </c>
      <c r="X82" s="62" t="str">
        <f t="shared" si="7"/>
        <v>Edgar Mauricio Coral Solarte</v>
      </c>
      <c r="Y82" s="62" t="str">
        <f t="shared" si="8"/>
        <v>Edgar Mauricio Coral Solarte-1087421530-QUIMICOS</v>
      </c>
    </row>
    <row r="83" spans="1:25" s="57" customFormat="1" x14ac:dyDescent="0.2">
      <c r="A83" s="58">
        <v>82</v>
      </c>
      <c r="B83" s="70">
        <v>1086132741</v>
      </c>
      <c r="C83" s="59" t="s">
        <v>377</v>
      </c>
      <c r="D83" s="59" t="s">
        <v>378</v>
      </c>
      <c r="E83" s="59" t="s">
        <v>379</v>
      </c>
      <c r="F83" s="59" t="s">
        <v>165</v>
      </c>
      <c r="G83" s="59">
        <v>14</v>
      </c>
      <c r="H83" s="59" t="s">
        <v>200</v>
      </c>
      <c r="I83" s="60" t="s">
        <v>115</v>
      </c>
      <c r="J83" s="60" t="s">
        <v>240</v>
      </c>
      <c r="K83" s="61">
        <v>45791</v>
      </c>
      <c r="L83" s="66">
        <v>30000</v>
      </c>
      <c r="M83" s="59" t="s">
        <v>103</v>
      </c>
      <c r="N83" s="59" t="s">
        <v>138</v>
      </c>
      <c r="O83" s="59" t="s">
        <v>347</v>
      </c>
      <c r="P83" s="59" t="s">
        <v>380</v>
      </c>
      <c r="Q83" s="60"/>
      <c r="R83" s="59" t="s">
        <v>124</v>
      </c>
      <c r="S83" s="64" t="s">
        <v>133</v>
      </c>
      <c r="T83" s="85">
        <v>3152232987</v>
      </c>
      <c r="U83" s="59" t="s">
        <v>381</v>
      </c>
      <c r="V83" s="59" t="s">
        <v>380</v>
      </c>
      <c r="W83" s="62" t="str">
        <f t="shared" si="6"/>
        <v>Alfonso Alexander Lopez Bucheli</v>
      </c>
      <c r="X83" s="62" t="str">
        <f t="shared" si="7"/>
        <v>Alfonso Alexander Lopez Bucheli</v>
      </c>
      <c r="Y83" s="62" t="str">
        <f t="shared" si="8"/>
        <v>Alfonso Alexander Lopez Bucheli-1086132741-SEGURIDAD VIAL</v>
      </c>
    </row>
    <row r="84" spans="1:25" s="57" customFormat="1" x14ac:dyDescent="0.2">
      <c r="A84" s="58">
        <v>83</v>
      </c>
      <c r="B84" s="70">
        <v>1086132741</v>
      </c>
      <c r="C84" s="59" t="s">
        <v>377</v>
      </c>
      <c r="D84" s="59" t="s">
        <v>378</v>
      </c>
      <c r="E84" s="59" t="s">
        <v>379</v>
      </c>
      <c r="F84" s="59" t="s">
        <v>165</v>
      </c>
      <c r="G84" s="59">
        <v>13</v>
      </c>
      <c r="H84" s="59" t="s">
        <v>200</v>
      </c>
      <c r="I84" s="60" t="s">
        <v>115</v>
      </c>
      <c r="J84" s="60" t="s">
        <v>240</v>
      </c>
      <c r="K84" s="61">
        <v>45791</v>
      </c>
      <c r="L84" s="66">
        <v>30000</v>
      </c>
      <c r="M84" s="59" t="s">
        <v>103</v>
      </c>
      <c r="N84" s="59" t="s">
        <v>138</v>
      </c>
      <c r="O84" s="59" t="s">
        <v>347</v>
      </c>
      <c r="P84" s="59" t="s">
        <v>80</v>
      </c>
      <c r="Q84" s="60"/>
      <c r="R84" s="59" t="s">
        <v>124</v>
      </c>
      <c r="S84" s="64" t="s">
        <v>133</v>
      </c>
      <c r="T84" s="85">
        <v>3152232987</v>
      </c>
      <c r="U84" s="59" t="s">
        <v>381</v>
      </c>
      <c r="V84" s="62" t="str">
        <f>IF(P84=CURSOS!$D$3,"DIPLOMADO EN ATENCION PRE-HOSPITALARIA",IF(P84=CURSOS!$D$4,"ACOMPAÑAMIENTO Y MANEJO DEL DUELO",IF(P84=CURSOS!$D$5,"ATENCION A VICTIMAS DE ATAQUE CON AGENTES QUIMICOS ",IF(P84=CURSOS!$D$6,"PRIMEROS AUXILIOS ",IF(P84=CURSOS!$D$7,"DIPLOMADO DE UNIDAD DE CUIDADOS INTENSIVOS (UCI)",IF(P84=CURSOS!$D$8,"MODELO DE ATENCION PARA EVENTOS EMERGENTES EN SALUD MENTAL (CODIGO VERDE)",IF(P84=CURSOS!$D$9,"HUMANIZACION EN EL SERVICIO DE LA SALUD Y BUENAS PRACTICAS EN PACIENTE ",IF(P84=CURSOS!$D$10,"CLINICA DE HERIDAS ",IF(P84=CURSOS!$D$11,"TOMA DE CITOLOGIA CERVICO VAGINAL ",IF(P84=CURSOS!$D$12,"SOPORTE CARDIOVASCULAR AVANZADO (ACLS) ",IF(P84=CURSOS!$D$13,"CAMILLERO ",IF(P84=CURSOS!$D$14,"TOMA DE MUESTRAS Y LABORATORIO ",IF(P84=CURSOS!$D$15,"SOPORTE VITAL BASICO (BLS)",IF(P84=CURSOS!$D$16,"ATENCION A VICTIMAS DE VIOLENCIA SEXUAL ",IF(P84=CURSOS!$D$17,"PROGRAMADO AMPLIADO DE INMUNIZACION (PAI - COVID 19)",IF(P84=CURSOS!$D$18,"ATENCION INTEGRAL EN ENFERMEDADES PREVALENTES EN PRIMERA INFANCIA (AIEPI)",IF(P84=CURSOS!$D$19,"ADMINISTRACION DE MEDICAMENTOS, INYECTOLOGIA  Y CANALIZACION ",IF(P84=CURSOS!$D$20,"OPERADOR DE VEHICULOS DE EMERGENCIA (OVE)",IF(P84=CURSOS!$D$21,"INSTITUCIONES AMIGAS DE LA MUJER Y LA INFANCIA (IAMI)",IF(P84=CURSOS!$D$22,"CUIDADO DEL DONANTE DE ORGANOS",IF(P84=CURSOS!$D$23,"ATENCION A VICTIMAS POR VIOLENCIA DE GENERO",IF(P84=CURSOS!$D$24,"IGUALDAD DE GENERO EN LA SALUD",IF(P84=CURSOS!$D$25,"BRIGADA DE EMERGENCIA",IF(P84=CURSOS!$D$26,"MANEJO DEL DOLOR Y CUIDADOS PALIATIVOS",IF(P84=CURSOS!$D$27,"TOMA DE MUESTRAS Y LABORATORIO POCT",IF(P84=CURSOS!$D$28,"IMPLANTE SUBDERMICO DE DISPOSITIVO INTRAUTERINO",IF(P84=CURSOS!$D$29,"SALUD MENTAL",IF(P84=CURSOS!$D$30,"PRIMEROS AUXILIOS PSICOLOGICOS",IF(P84=CURSOS!$D$31,"ATENCION A VICTIMAS POR CONFLICTO ARMADO",IF(P84=CURSOS!$D$32,"MANIPULACION DE ALIMENTOS Y BPM",IF(P84=CURSOS!$D$33,"ATENCION A PERSONAS CON DISCAPACIDAD",IF(P84=CURSOS!$D$34,"CUIDADO INTEGRAL DEL PACIENTE ADULTO",IF(P84=CURSOS!$D$35,"MANEJO DEFENSIVO",IF(P84=CURSOS!$D$36,"SOPORTE CARDIOVASCULAR AVANZADO NEONATAL",IF(P84=CURSOS!$D$37,"SEGURIDAD DEL PACIENTE",IF(P84=CURSOS!$D$38,"MANEJO DE RESIDUOS HOSPITALARIOS",IF(P84=CURSOS!$D$39,"ATENCION DE PACIENTE POR CONSUMO SUSTANCIAS PSICOACTIVAS Y ADICCIONES")))))))))))))))))))))))))))))))))))))</f>
        <v>MANEJO DEFENSIVO</v>
      </c>
      <c r="W84" s="62" t="str">
        <f t="shared" si="6"/>
        <v>Alfonso Alexander Lopez Bucheli</v>
      </c>
      <c r="X84" s="62" t="str">
        <f t="shared" si="7"/>
        <v>Alfonso Alexander Lopez Bucheli</v>
      </c>
      <c r="Y84" s="62" t="str">
        <f t="shared" si="8"/>
        <v>Alfonso Alexander Lopez Bucheli-1086132741-MANEJO DEFENSIVO</v>
      </c>
    </row>
    <row r="85" spans="1:25" s="57" customFormat="1" x14ac:dyDescent="0.2">
      <c r="A85" s="58">
        <v>84</v>
      </c>
      <c r="B85" s="59">
        <v>37082400</v>
      </c>
      <c r="C85" s="63" t="s">
        <v>218</v>
      </c>
      <c r="D85" s="63" t="s">
        <v>217</v>
      </c>
      <c r="E85" s="63" t="s">
        <v>354</v>
      </c>
      <c r="F85" s="63" t="s">
        <v>382</v>
      </c>
      <c r="G85" s="63">
        <v>14</v>
      </c>
      <c r="H85" s="59" t="s">
        <v>200</v>
      </c>
      <c r="I85" s="60" t="s">
        <v>115</v>
      </c>
      <c r="J85" s="60" t="s">
        <v>123</v>
      </c>
      <c r="K85" s="61">
        <v>45791</v>
      </c>
      <c r="L85" s="66">
        <v>32000</v>
      </c>
      <c r="M85" s="59" t="s">
        <v>214</v>
      </c>
      <c r="N85" s="59" t="s">
        <v>138</v>
      </c>
      <c r="O85" s="59" t="s">
        <v>116</v>
      </c>
      <c r="P85" s="59" t="s">
        <v>48</v>
      </c>
      <c r="Q85" s="60">
        <v>30079</v>
      </c>
      <c r="R85" s="59" t="s">
        <v>102</v>
      </c>
      <c r="S85" s="86" t="s">
        <v>282</v>
      </c>
      <c r="T85" s="59">
        <v>3217787321</v>
      </c>
      <c r="U85" s="59" t="s">
        <v>383</v>
      </c>
      <c r="V85" s="62" t="str">
        <f>IF(P85=CURSOS!$D$3,"DIPLOMADO EN ATENCION PRE-HOSPITALARIA",IF(P85=CURSOS!$D$4,"ACOMPAÑAMIENTO Y MANEJO DEL DUELO",IF(P85=CURSOS!$D$5,"ATENCION A VICTIMAS DE ATAQUE CON AGENTES QUIMICOS ",IF(P85=CURSOS!$D$6,"PRIMEROS AUXILIOS ",IF(P85=CURSOS!$D$7,"DIPLOMADO DE UNIDAD DE CUIDADOS INTENSIVOS (UCI)",IF(P85=CURSOS!$D$8,"MODELO DE ATENCION PARA EVENTOS EMERGENTES EN SALUD MENTAL (CODIGO VERDE)",IF(P85=CURSOS!$D$9,"HUMANIZACION EN EL SERVICIO DE LA SALUD Y BUENAS PRACTICAS EN PACIENTE ",IF(P85=CURSOS!$D$10,"CLINICA DE HERIDAS ",IF(P85=CURSOS!$D$11,"TOMA DE CITOLOGIA CERVICO VAGINAL ",IF(P85=CURSOS!$D$12,"SOPORTE CARDIOVASCULAR AVANZADO (ACLS) ",IF(P85=CURSOS!$D$13,"CAMILLERO ",IF(P85=CURSOS!$D$14,"TOMA DE MUESTRAS Y LABORATORIO ",IF(P85=CURSOS!$D$15,"SOPORTE VITAL BASICO (BLS)",IF(P85=CURSOS!$D$16,"ATENCION A VICTIMAS DE VIOLENCIA SEXUAL ",IF(P85=CURSOS!$D$17,"PROGRAMADO AMPLIADO DE INMUNIZACION (PAI - COVID 19)",IF(P85=CURSOS!$D$18,"ATENCION INTEGRAL EN ENFERMEDADES PREVALENTES EN PRIMERA INFANCIA (AIEPI)",IF(P85=CURSOS!$D$19,"ADMINISTRACION DE MEDICAMENTOS, INYECTOLOGIA  Y CANALIZACION ",IF(P85=CURSOS!$D$20,"OPERADOR DE VEHICULOS DE EMERGENCIA (OVE)",IF(P85=CURSOS!$D$21,"INSTITUCIONES AMIGAS DE LA MUJER Y LA INFANCIA (IAMI)",IF(P85=CURSOS!$D$22,"CUIDADO DEL DONANTE DE ORGANOS",IF(P85=CURSOS!$D$23,"ATENCION A VICTIMAS POR VIOLENCIA DE GENERO",IF(P85=CURSOS!$D$24,"IGUALDAD DE GENERO EN LA SALUD",IF(P85=CURSOS!$D$25,"BRIGADA DE EMERGENCIA",IF(P85=CURSOS!$D$26,"MANEJO DEL DOLOR Y CUIDADOS PALIATIVOS",IF(P85=CURSOS!$D$27,"TOMA DE MUESTRAS Y LABORATORIO POCT",IF(P85=CURSOS!$D$28,"IMPLANTE SUBDERMICO DE DISPOSITIVO INTRAUTERINO",IF(P85=CURSOS!$D$29,"SALUD MENTAL",IF(P85=CURSOS!$D$30,"PRIMEROS AUXILIOS PSICOLOGICOS",IF(P85=CURSOS!$D$31,"ATENCION A VICTIMAS POR CONFLICTO ARMADO",IF(P85=CURSOS!$D$32,"MANIPULACION DE ALIMENTOS Y BPM",IF(P85=CURSOS!$D$33,"ATENCION A PERSONAS CON DISCAPACIDAD",IF(P85=CURSOS!$D$34,"CUIDADO INTEGRAL DEL PACIENTE ADULTO",IF(P85=CURSOS!$D$35,"MANEJO DEFENSIVO",IF(P85=CURSOS!$D$36,"SOPORTE CARDIOVASCULAR AVANZADO NEONATAL",IF(P85=CURSOS!$D$37,"SEGURIDAD DEL PACIENTE",IF(P85=CURSOS!$D$38,"MANEJO DE RESIDUOS HOSPITALARIOS",IF(P85=CURSOS!$D$39,"ATENCION DE PACIENTE POR CONSUMO SUSTANCIAS PSICOACTIVAS Y ADICCIONES")))))))))))))))))))))))))))))))))))))</f>
        <v>INSTITUCIONES AMIGAS DE LA MUJER Y LA INFANCIA (IAMI)</v>
      </c>
      <c r="W85" s="62" t="str">
        <f t="shared" si="6"/>
        <v>Aura Cecilia Benavides Pantoja</v>
      </c>
      <c r="X85" s="62" t="str">
        <f t="shared" si="7"/>
        <v>Aura Cecilia Benavides Pantoja</v>
      </c>
      <c r="Y85" s="62" t="str">
        <f t="shared" si="8"/>
        <v>Aura Cecilia Benavides Pantoja-37082400-IAMI</v>
      </c>
    </row>
    <row r="86" spans="1:25" s="57" customFormat="1" x14ac:dyDescent="0.2">
      <c r="A86" s="58">
        <v>85</v>
      </c>
      <c r="B86" s="59">
        <v>36755883</v>
      </c>
      <c r="C86" s="63" t="s">
        <v>318</v>
      </c>
      <c r="D86" s="63" t="s">
        <v>384</v>
      </c>
      <c r="E86" s="63" t="s">
        <v>385</v>
      </c>
      <c r="F86" s="63" t="s">
        <v>386</v>
      </c>
      <c r="G86" s="63">
        <v>14</v>
      </c>
      <c r="H86" s="59" t="s">
        <v>200</v>
      </c>
      <c r="I86" s="60" t="s">
        <v>122</v>
      </c>
      <c r="J86" s="60" t="s">
        <v>387</v>
      </c>
      <c r="K86" s="61">
        <v>45792</v>
      </c>
      <c r="L86" s="66">
        <v>64000</v>
      </c>
      <c r="M86" s="59" t="s">
        <v>103</v>
      </c>
      <c r="N86" s="59" t="s">
        <v>138</v>
      </c>
      <c r="O86" s="59" t="s">
        <v>387</v>
      </c>
      <c r="P86" s="59" t="s">
        <v>32</v>
      </c>
      <c r="Q86" s="60">
        <v>29887</v>
      </c>
      <c r="R86" s="59" t="s">
        <v>102</v>
      </c>
      <c r="S86" s="86" t="s">
        <v>389</v>
      </c>
      <c r="T86" s="59">
        <v>3225933081</v>
      </c>
      <c r="U86" s="59" t="s">
        <v>388</v>
      </c>
      <c r="V86" s="62" t="str">
        <f>IF(P86=CURSOS!$D$3,"DIPLOMADO EN ATENCION PRE-HOSPITALARIA",IF(P86=CURSOS!$D$4,"ACOMPAÑAMIENTO Y MANEJO DEL DUELO",IF(P86=CURSOS!$D$5,"ATENCION A VICTIMAS DE ATAQUE CON AGENTES QUIMICOS ",IF(P86=CURSOS!$D$6,"PRIMEROS AUXILIOS ",IF(P86=CURSOS!$D$7,"DIPLOMADO DE UNIDAD DE CUIDADOS INTENSIVOS (UCI)",IF(P86=CURSOS!$D$8,"MODELO DE ATENCION PARA EVENTOS EMERGENTES EN SALUD MENTAL (CODIGO VERDE)",IF(P86=CURSOS!$D$9,"HUMANIZACION EN EL SERVICIO DE LA SALUD Y BUENAS PRACTICAS EN PACIENTE ",IF(P86=CURSOS!$D$10,"CLINICA DE HERIDAS ",IF(P86=CURSOS!$D$11,"TOMA DE CITOLOGIA CERVICO VAGINAL ",IF(P86=CURSOS!$D$12,"SOPORTE CARDIOVASCULAR AVANZADO (ACLS) ",IF(P86=CURSOS!$D$13,"CAMILLERO ",IF(P86=CURSOS!$D$14,"TOMA DE MUESTRAS Y LABORATORIO ",IF(P86=CURSOS!$D$15,"SOPORTE VITAL BASICO (BLS)",IF(P86=CURSOS!$D$16,"ATENCION A VICTIMAS DE VIOLENCIA SEXUAL ",IF(P86=CURSOS!$D$17,"PROGRAMADO AMPLIADO DE INMUNIZACION (PAI - COVID 19)",IF(P86=CURSOS!$D$18,"ATENCION INTEGRAL EN ENFERMEDADES PREVALENTES EN PRIMERA INFANCIA (AIEPI)",IF(P86=CURSOS!$D$19,"ADMINISTRACION DE MEDICAMENTOS, INYECTOLOGIA  Y CANALIZACION ",IF(P86=CURSOS!$D$20,"OPERADOR DE VEHICULOS DE EMERGENCIA (OVE)",IF(P86=CURSOS!$D$21,"INSTITUCIONES AMIGAS DE LA MUJER Y LA INFANCIA (IAMI)",IF(P86=CURSOS!$D$22,"CUIDADO DEL DONANTE DE ORGANOS",IF(P86=CURSOS!$D$23,"ATENCION A VICTIMAS POR VIOLENCIA DE GENERO",IF(P86=CURSOS!$D$24,"IGUALDAD DE GENERO EN LA SALUD",IF(P86=CURSOS!$D$25,"BRIGADA DE EMERGENCIA",IF(P86=CURSOS!$D$26,"MANEJO DEL DOLOR Y CUIDADOS PALIATIVOS",IF(P86=CURSOS!$D$27,"TOMA DE MUESTRAS Y LABORATORIO POCT",IF(P86=CURSOS!$D$28,"IMPLANTE SUBDERMICO DE DISPOSITIVO INTRAUTERINO",IF(P86=CURSOS!$D$29,"SALUD MENTAL",IF(P86=CURSOS!$D$30,"PRIMEROS AUXILIOS PSICOLOGICOS",IF(P86=CURSOS!$D$31,"ATENCION A VICTIMAS POR CONFLICTO ARMADO",IF(P86=CURSOS!$D$32,"MANIPULACION DE ALIMENTOS Y BPM",IF(P86=CURSOS!$D$33,"ATENCION A PERSONAS CON DISCAPACIDAD",IF(P86=CURSOS!$D$34,"CUIDADO INTEGRAL DEL PACIENTE ADULTO",IF(P86=CURSOS!$D$35,"MANEJO DEFENSIVO",IF(P86=CURSOS!$D$36,"SOPORTE CARDIOVASCULAR AVANZADO NEONATAL",IF(P86=CURSOS!$D$37,"SEGURIDAD DEL PACIENTE",IF(P86=CURSOS!$D$38,"MANEJO DE RESIDUOS HOSPITALARIOS",IF(P86=CURSOS!$D$39,"ATENCION DE PACIENTE POR CONSUMO SUSTANCIAS PSICOACTIVAS Y ADICCIONES")))))))))))))))))))))))))))))))))))))</f>
        <v xml:space="preserve">HUMANIZACION EN EL SERVICIO DE LA SALUD Y BUENAS PRACTICAS EN PACIENTE </v>
      </c>
      <c r="W86" s="62" t="str">
        <f t="shared" si="6"/>
        <v>Francia Dayana Portilla Granda</v>
      </c>
      <c r="X86" s="62" t="str">
        <f t="shared" si="7"/>
        <v>Francia Dayana Portilla Granda</v>
      </c>
      <c r="Y86" s="62" t="str">
        <f t="shared" si="8"/>
        <v>Francia Dayana Portilla Granda-36755883-HUMANIZACION</v>
      </c>
    </row>
    <row r="87" spans="1:25" s="57" customFormat="1" x14ac:dyDescent="0.2">
      <c r="A87" s="58">
        <v>86</v>
      </c>
      <c r="B87" s="59">
        <v>1088735247</v>
      </c>
      <c r="C87" s="63" t="s">
        <v>252</v>
      </c>
      <c r="D87" s="63" t="s">
        <v>390</v>
      </c>
      <c r="E87" s="63" t="s">
        <v>261</v>
      </c>
      <c r="F87" s="63" t="s">
        <v>391</v>
      </c>
      <c r="G87" s="63">
        <v>15</v>
      </c>
      <c r="H87" s="59" t="s">
        <v>200</v>
      </c>
      <c r="I87" s="60" t="s">
        <v>115</v>
      </c>
      <c r="J87" s="60" t="s">
        <v>240</v>
      </c>
      <c r="K87" s="61">
        <v>45792</v>
      </c>
      <c r="L87" s="66">
        <v>32000</v>
      </c>
      <c r="M87" s="59" t="s">
        <v>103</v>
      </c>
      <c r="N87" s="59" t="s">
        <v>138</v>
      </c>
      <c r="O87" s="59" t="s">
        <v>99</v>
      </c>
      <c r="P87" s="59" t="s">
        <v>44</v>
      </c>
      <c r="Q87" s="60">
        <v>33781</v>
      </c>
      <c r="R87" s="59" t="s">
        <v>124</v>
      </c>
      <c r="S87" s="86" t="s">
        <v>295</v>
      </c>
      <c r="T87" s="59">
        <v>3234721254</v>
      </c>
      <c r="U87" s="59" t="s">
        <v>392</v>
      </c>
      <c r="V87" s="62" t="str">
        <f>IF(P87=CURSOS!$D$3,"DIPLOMADO EN ATENCION PRE-HOSPITALARIA",IF(P87=CURSOS!$D$4,"ACOMPAÑAMIENTO Y MANEJO DEL DUELO",IF(P87=CURSOS!$D$5,"ATENCION A VICTIMAS DE ATAQUE CON AGENTES QUIMICOS ",IF(P87=CURSOS!$D$6,"PRIMEROS AUXILIOS ",IF(P87=CURSOS!$D$7,"DIPLOMADO DE UNIDAD DE CUIDADOS INTENSIVOS (UCI)",IF(P87=CURSOS!$D$8,"MODELO DE ATENCION PARA EVENTOS EMERGENTES EN SALUD MENTAL (CODIGO VERDE)",IF(P87=CURSOS!$D$9,"HUMANIZACION EN EL SERVICIO DE LA SALUD Y BUENAS PRACTICAS EN PACIENTE ",IF(P87=CURSOS!$D$10,"CLINICA DE HERIDAS ",IF(P87=CURSOS!$D$11,"TOMA DE CITOLOGIA CERVICO VAGINAL ",IF(P87=CURSOS!$D$12,"SOPORTE CARDIOVASCULAR AVANZADO (ACLS) ",IF(P87=CURSOS!$D$13,"CAMILLERO ",IF(P87=CURSOS!$D$14,"TOMA DE MUESTRAS Y LABORATORIO ",IF(P87=CURSOS!$D$15,"SOPORTE VITAL BASICO (BLS)",IF(P87=CURSOS!$D$16,"ATENCION A VICTIMAS DE VIOLENCIA SEXUAL ",IF(P87=CURSOS!$D$17,"PROGRAMADO AMPLIADO DE INMUNIZACION (PAI - COVID 19)",IF(P87=CURSOS!$D$18,"ATENCION INTEGRAL EN ENFERMEDADES PREVALENTES EN PRIMERA INFANCIA (AIEPI)",IF(P87=CURSOS!$D$19,"ADMINISTRACION DE MEDICAMENTOS, INYECTOLOGIA  Y CANALIZACION ",IF(P87=CURSOS!$D$20,"OPERADOR DE VEHICULOS DE EMERGENCIA (OVE)",IF(P87=CURSOS!$D$21,"INSTITUCIONES AMIGAS DE LA MUJER Y LA INFANCIA (IAMI)",IF(P87=CURSOS!$D$22,"CUIDADO DEL DONANTE DE ORGANOS",IF(P87=CURSOS!$D$23,"ATENCION A VICTIMAS POR VIOLENCIA DE GENERO",IF(P87=CURSOS!$D$24,"IGUALDAD DE GENERO EN LA SALUD",IF(P87=CURSOS!$D$25,"BRIGADA DE EMERGENCIA",IF(P87=CURSOS!$D$26,"MANEJO DEL DOLOR Y CUIDADOS PALIATIVOS",IF(P87=CURSOS!$D$27,"TOMA DE MUESTRAS Y LABORATORIO POCT",IF(P87=CURSOS!$D$28,"IMPLANTE SUBDERMICO DE DISPOSITIVO INTRAUTERINO",IF(P87=CURSOS!$D$29,"SALUD MENTAL",IF(P87=CURSOS!$D$30,"PRIMEROS AUXILIOS PSICOLOGICOS",IF(P87=CURSOS!$D$31,"ATENCION A VICTIMAS POR CONFLICTO ARMADO",IF(P87=CURSOS!$D$32,"MANIPULACION DE ALIMENTOS Y BPM",IF(P87=CURSOS!$D$33,"ATENCION A PERSONAS CON DISCAPACIDAD",IF(P87=CURSOS!$D$34,"CUIDADO INTEGRAL DEL PACIENTE ADULTO",IF(P87=CURSOS!$D$35,"MANEJO DEFENSIVO",IF(P87=CURSOS!$D$36,"SOPORTE CARDIOVASCULAR AVANZADO NEONATAL",IF(P87=CURSOS!$D$37,"SEGURIDAD DEL PACIENTE",IF(P87=CURSOS!$D$38,"MANEJO DE RESIDUOS HOSPITALARIOS",IF(P87=CURSOS!$D$39,"ATENCION DE PACIENTE POR CONSUMO SUSTANCIAS PSICOACTIVAS Y ADICCIONES")))))))))))))))))))))))))))))))))))))</f>
        <v>ATENCION INTEGRAL EN ENFERMEDADES PREVALENTES EN PRIMERA INFANCIA (AIEPI)</v>
      </c>
      <c r="W87" s="62" t="str">
        <f t="shared" si="6"/>
        <v>Luis Carlos Herrera Diaz</v>
      </c>
      <c r="X87" s="62" t="str">
        <f t="shared" si="7"/>
        <v>Luis Carlos Herrera Diaz</v>
      </c>
      <c r="Y87" s="62" t="str">
        <f t="shared" si="8"/>
        <v>Luis Carlos Herrera Diaz-1088735247-AIEPI</v>
      </c>
    </row>
    <row r="88" spans="1:25" s="57" customFormat="1" x14ac:dyDescent="0.2">
      <c r="A88" s="58">
        <v>87</v>
      </c>
      <c r="B88" s="59">
        <v>1088735247</v>
      </c>
      <c r="C88" s="63" t="s">
        <v>252</v>
      </c>
      <c r="D88" s="63" t="s">
        <v>390</v>
      </c>
      <c r="E88" s="63" t="s">
        <v>261</v>
      </c>
      <c r="F88" s="63" t="s">
        <v>391</v>
      </c>
      <c r="G88" s="63">
        <v>14</v>
      </c>
      <c r="H88" s="59" t="s">
        <v>200</v>
      </c>
      <c r="I88" s="60" t="s">
        <v>115</v>
      </c>
      <c r="J88" s="60" t="s">
        <v>240</v>
      </c>
      <c r="K88" s="61">
        <v>45792</v>
      </c>
      <c r="L88" s="66">
        <v>32000</v>
      </c>
      <c r="M88" s="59" t="s">
        <v>103</v>
      </c>
      <c r="N88" s="59" t="s">
        <v>138</v>
      </c>
      <c r="O88" s="59" t="s">
        <v>99</v>
      </c>
      <c r="P88" s="59" t="s">
        <v>232</v>
      </c>
      <c r="Q88" s="60">
        <v>33781</v>
      </c>
      <c r="R88" s="59" t="s">
        <v>124</v>
      </c>
      <c r="S88" s="86" t="s">
        <v>295</v>
      </c>
      <c r="T88" s="59">
        <v>3234721254</v>
      </c>
      <c r="U88" s="59" t="s">
        <v>392</v>
      </c>
      <c r="V88" s="62" t="s">
        <v>232</v>
      </c>
      <c r="W88" s="62" t="str">
        <f t="shared" si="6"/>
        <v>Luis Carlos Herrera Diaz</v>
      </c>
      <c r="X88" s="62" t="str">
        <f t="shared" si="7"/>
        <v>Luis Carlos Herrera Diaz</v>
      </c>
      <c r="Y88" s="62" t="str">
        <f t="shared" si="8"/>
        <v>Luis Carlos Herrera Diaz-1088735247-TRIAGE</v>
      </c>
    </row>
    <row r="89" spans="1:25" s="57" customFormat="1" x14ac:dyDescent="0.2">
      <c r="A89" s="58">
        <v>88</v>
      </c>
      <c r="B89" s="59">
        <v>1088735247</v>
      </c>
      <c r="C89" s="63" t="s">
        <v>252</v>
      </c>
      <c r="D89" s="63" t="s">
        <v>390</v>
      </c>
      <c r="E89" s="63" t="s">
        <v>261</v>
      </c>
      <c r="F89" s="63" t="s">
        <v>391</v>
      </c>
      <c r="G89" s="63">
        <v>14</v>
      </c>
      <c r="H89" s="59" t="s">
        <v>200</v>
      </c>
      <c r="I89" s="60" t="s">
        <v>115</v>
      </c>
      <c r="J89" s="60" t="s">
        <v>240</v>
      </c>
      <c r="K89" s="61">
        <v>45792</v>
      </c>
      <c r="L89" s="66">
        <v>32000</v>
      </c>
      <c r="M89" s="59" t="s">
        <v>103</v>
      </c>
      <c r="N89" s="59" t="s">
        <v>138</v>
      </c>
      <c r="O89" s="59" t="s">
        <v>99</v>
      </c>
      <c r="P89" s="59" t="s">
        <v>48</v>
      </c>
      <c r="Q89" s="60">
        <v>33781</v>
      </c>
      <c r="R89" s="59" t="s">
        <v>124</v>
      </c>
      <c r="S89" s="86" t="s">
        <v>295</v>
      </c>
      <c r="T89" s="59">
        <v>3234721254</v>
      </c>
      <c r="U89" s="59" t="s">
        <v>392</v>
      </c>
      <c r="V89" s="62" t="str">
        <f>IF(P89=CURSOS!$D$3,"DIPLOMADO EN ATENCION PRE-HOSPITALARIA",IF(P89=CURSOS!$D$4,"ACOMPAÑAMIENTO Y MANEJO DEL DUELO",IF(P89=CURSOS!$D$5,"ATENCION A VICTIMAS DE ATAQUE CON AGENTES QUIMICOS ",IF(P89=CURSOS!$D$6,"PRIMEROS AUXILIOS ",IF(P89=CURSOS!$D$7,"DIPLOMADO DE UNIDAD DE CUIDADOS INTENSIVOS (UCI)",IF(P89=CURSOS!$D$8,"MODELO DE ATENCION PARA EVENTOS EMERGENTES EN SALUD MENTAL (CODIGO VERDE)",IF(P89=CURSOS!$D$9,"HUMANIZACION EN EL SERVICIO DE LA SALUD Y BUENAS PRACTICAS EN PACIENTE ",IF(P89=CURSOS!$D$10,"CLINICA DE HERIDAS ",IF(P89=CURSOS!$D$11,"TOMA DE CITOLOGIA CERVICO VAGINAL ",IF(P89=CURSOS!$D$12,"SOPORTE CARDIOVASCULAR AVANZADO (ACLS) ",IF(P89=CURSOS!$D$13,"CAMILLERO ",IF(P89=CURSOS!$D$14,"TOMA DE MUESTRAS Y LABORATORIO ",IF(P89=CURSOS!$D$15,"SOPORTE VITAL BASICO (BLS)",IF(P89=CURSOS!$D$16,"ATENCION A VICTIMAS DE VIOLENCIA SEXUAL ",IF(P89=CURSOS!$D$17,"PROGRAMADO AMPLIADO DE INMUNIZACION (PAI - COVID 19)",IF(P89=CURSOS!$D$18,"ATENCION INTEGRAL EN ENFERMEDADES PREVALENTES EN PRIMERA INFANCIA (AIEPI)",IF(P89=CURSOS!$D$19,"ADMINISTRACION DE MEDICAMENTOS, INYECTOLOGIA  Y CANALIZACION ",IF(P89=CURSOS!$D$20,"OPERADOR DE VEHICULOS DE EMERGENCIA (OVE)",IF(P89=CURSOS!$D$21,"INSTITUCIONES AMIGAS DE LA MUJER Y LA INFANCIA (IAMI)",IF(P89=CURSOS!$D$22,"CUIDADO DEL DONANTE DE ORGANOS",IF(P89=CURSOS!$D$23,"ATENCION A VICTIMAS POR VIOLENCIA DE GENERO",IF(P89=CURSOS!$D$24,"IGUALDAD DE GENERO EN LA SALUD",IF(P89=CURSOS!$D$25,"BRIGADA DE EMERGENCIA",IF(P89=CURSOS!$D$26,"MANEJO DEL DOLOR Y CUIDADOS PALIATIVOS",IF(P89=CURSOS!$D$27,"TOMA DE MUESTRAS Y LABORATORIO POCT",IF(P89=CURSOS!$D$28,"IMPLANTE SUBDERMICO DE DISPOSITIVO INTRAUTERINO",IF(P89=CURSOS!$D$29,"SALUD MENTAL",IF(P89=CURSOS!$D$30,"PRIMEROS AUXILIOS PSICOLOGICOS",IF(P89=CURSOS!$D$31,"ATENCION A VICTIMAS POR CONFLICTO ARMADO",IF(P89=CURSOS!$D$32,"MANIPULACION DE ALIMENTOS Y BPM",IF(P89=CURSOS!$D$33,"ATENCION A PERSONAS CON DISCAPACIDAD",IF(P89=CURSOS!$D$34,"CUIDADO INTEGRAL DEL PACIENTE ADULTO",IF(P89=CURSOS!$D$35,"MANEJO DEFENSIVO",IF(P89=CURSOS!$D$36,"SOPORTE CARDIOVASCULAR AVANZADO NEONATAL",IF(P89=CURSOS!$D$37,"SEGURIDAD DEL PACIENTE",IF(P89=CURSOS!$D$38,"MANEJO DE RESIDUOS HOSPITALARIOS",IF(P89=CURSOS!$D$39,"ATENCION DE PACIENTE POR CONSUMO SUSTANCIAS PSICOACTIVAS Y ADICCIONES")))))))))))))))))))))))))))))))))))))</f>
        <v>INSTITUCIONES AMIGAS DE LA MUJER Y LA INFANCIA (IAMI)</v>
      </c>
      <c r="W89" s="62" t="str">
        <f t="shared" si="6"/>
        <v>Luis Carlos Herrera Diaz</v>
      </c>
      <c r="X89" s="62" t="str">
        <f t="shared" si="7"/>
        <v>Luis Carlos Herrera Diaz</v>
      </c>
      <c r="Y89" s="62" t="str">
        <f t="shared" si="8"/>
        <v>Luis Carlos Herrera Diaz-1088735247-IAMI</v>
      </c>
    </row>
    <row r="90" spans="1:25" s="57" customFormat="1" x14ac:dyDescent="0.2">
      <c r="A90" s="58">
        <v>89</v>
      </c>
      <c r="B90" s="59">
        <v>52056087</v>
      </c>
      <c r="C90" s="59" t="s">
        <v>393</v>
      </c>
      <c r="D90" s="59" t="s">
        <v>367</v>
      </c>
      <c r="E90" s="59" t="s">
        <v>394</v>
      </c>
      <c r="F90" s="59"/>
      <c r="G90" s="59">
        <v>16</v>
      </c>
      <c r="H90" s="59" t="s">
        <v>200</v>
      </c>
      <c r="I90" s="60" t="s">
        <v>115</v>
      </c>
      <c r="J90" s="60" t="s">
        <v>123</v>
      </c>
      <c r="K90" s="61">
        <v>45793</v>
      </c>
      <c r="L90" s="66">
        <v>64000</v>
      </c>
      <c r="M90" s="59" t="s">
        <v>214</v>
      </c>
      <c r="N90" s="59" t="s">
        <v>138</v>
      </c>
      <c r="O90" s="59" t="s">
        <v>116</v>
      </c>
      <c r="P90" s="59" t="s">
        <v>19</v>
      </c>
      <c r="Q90" s="60">
        <v>26530</v>
      </c>
      <c r="R90" s="59" t="s">
        <v>102</v>
      </c>
      <c r="S90" s="64" t="s">
        <v>370</v>
      </c>
      <c r="T90" s="64">
        <v>3148923191</v>
      </c>
      <c r="U90" s="59" t="s">
        <v>395</v>
      </c>
      <c r="V90" s="62" t="str">
        <f>IF(P90=CURSOS!$D$3,"DIPLOMADO EN ATENCION PRE-HOSPITALARIA",IF(P90=CURSOS!$D$4,"ACOMPAÑAMIENTO Y MANEJO DEL DUELO",IF(P90=CURSOS!$D$5,"ATENCION A VICTIMAS DE ATAQUE CON AGENTES QUIMICOS ",IF(P90=CURSOS!$D$6,"PRIMEROS AUXILIOS ",IF(P90=CURSOS!$D$7,"DIPLOMADO DE UNIDAD DE CUIDADOS INTENSIVOS (UCI)",IF(P90=CURSOS!$D$8,"MODELO DE ATENCION PARA EVENTOS EMERGENTES EN SALUD MENTAL (CODIGO VERDE)",IF(P90=CURSOS!$D$9,"HUMANIZACION EN EL SERVICIO DE LA SALUD Y BUENAS PRACTICAS EN PACIENTE ",IF(P90=CURSOS!$D$10,"CLINICA DE HERIDAS ",IF(P90=CURSOS!$D$11,"TOMA DE CITOLOGIA CERVICO VAGINAL ",IF(P90=CURSOS!$D$12,"SOPORTE CARDIOVASCULAR AVANZADO (ACLS) ",IF(P90=CURSOS!$D$13,"CAMILLERO ",IF(P90=CURSOS!$D$14,"TOMA DE MUESTRAS Y LABORATORIO ",IF(P90=CURSOS!$D$15,"SOPORTE VITAL BASICO (BLS)",IF(P90=CURSOS!$D$16,"ATENCION A VICTIMAS DE VIOLENCIA SEXUAL ",IF(P90=CURSOS!$D$17,"PROGRAMADO AMPLIADO DE INMUNIZACION (PAI - COVID 19)",IF(P90=CURSOS!$D$18,"ATENCION INTEGRAL EN ENFERMEDADES PREVALENTES EN PRIMERA INFANCIA (AIEPI)",IF(P90=CURSOS!$D$19,"ADMINISTRACION DE MEDICAMENTOS, INYECTOLOGIA  Y CANALIZACION ",IF(P90=CURSOS!$D$20,"OPERADOR DE VEHICULOS DE EMERGENCIA (OVE)",IF(P90=CURSOS!$D$21,"INSTITUCIONES AMIGAS DE LA MUJER Y LA INFANCIA (IAMI)",IF(P90=CURSOS!$D$22,"CUIDADO DEL DONANTE DE ORGANOS",IF(P90=CURSOS!$D$23,"ATENCION A VICTIMAS POR VIOLENCIA DE GENERO",IF(P90=CURSOS!$D$24,"IGUALDAD DE GENERO EN LA SALUD",IF(P90=CURSOS!$D$25,"BRIGADA DE EMERGENCIA",IF(P90=CURSOS!$D$26,"MANEJO DEL DOLOR Y CUIDADOS PALIATIVOS",IF(P90=CURSOS!$D$27,"TOMA DE MUESTRAS Y LABORATORIO POCT",IF(P90=CURSOS!$D$28,"IMPLANTE SUBDERMICO DE DISPOSITIVO INTRAUTERINO",IF(P90=CURSOS!$D$29,"SALUD MENTAL",IF(P90=CURSOS!$D$30,"PRIMEROS AUXILIOS PSICOLOGICOS",IF(P90=CURSOS!$D$31,"ATENCION A VICTIMAS POR CONFLICTO ARMADO",IF(P90=CURSOS!$D$32,"MANIPULACION DE ALIMENTOS Y BPM",IF(P90=CURSOS!$D$33,"ATENCION A PERSONAS CON DISCAPACIDAD",IF(P90=CURSOS!$D$34,"CUIDADO INTEGRAL DEL PACIENTE ADULTO",IF(P90=CURSOS!$D$35,"MANEJO DEFENSIVO",IF(P90=CURSOS!$D$36,"SOPORTE CARDIOVASCULAR AVANZADO NEONATAL",IF(P90=CURSOS!$D$37,"SEGURIDAD DEL PACIENTE",IF(P90=CURSOS!$D$38,"MANEJO DE RESIDUOS HOSPITALARIOS",IF(P90=CURSOS!$D$39,"ATENCION DE PACIENTE POR CONSUMO SUSTANCIAS PSICOACTIVAS Y ADICCIONES")))))))))))))))))))))))))))))))))))))</f>
        <v>SOPORTE VITAL BASICO (BLS)</v>
      </c>
      <c r="W90" s="62" t="str">
        <f t="shared" si="6"/>
        <v>Marisol  Cordoba Chamorro</v>
      </c>
      <c r="X90" s="62" t="str">
        <f t="shared" si="7"/>
        <v>Marisol  Cordoba Chamorro</v>
      </c>
      <c r="Y90" s="62" t="str">
        <f t="shared" si="8"/>
        <v>Marisol  Cordoba Chamorro-52056087-BLS</v>
      </c>
    </row>
    <row r="91" spans="1:25" s="92" customFormat="1" x14ac:dyDescent="0.2">
      <c r="A91" s="58">
        <v>90</v>
      </c>
      <c r="B91" s="59">
        <v>52056087</v>
      </c>
      <c r="C91" s="59" t="s">
        <v>393</v>
      </c>
      <c r="D91" s="59" t="s">
        <v>367</v>
      </c>
      <c r="E91" s="59" t="s">
        <v>394</v>
      </c>
      <c r="F91" s="59"/>
      <c r="G91" s="59">
        <v>15</v>
      </c>
      <c r="H91" s="59" t="s">
        <v>200</v>
      </c>
      <c r="I91" s="60" t="s">
        <v>115</v>
      </c>
      <c r="J91" s="60" t="s">
        <v>123</v>
      </c>
      <c r="K91" s="61">
        <v>45793</v>
      </c>
      <c r="L91" s="66">
        <v>64000</v>
      </c>
      <c r="M91" s="59" t="s">
        <v>214</v>
      </c>
      <c r="N91" s="59" t="s">
        <v>138</v>
      </c>
      <c r="O91" s="59" t="s">
        <v>116</v>
      </c>
      <c r="P91" s="59" t="s">
        <v>32</v>
      </c>
      <c r="Q91" s="60">
        <v>26530</v>
      </c>
      <c r="R91" s="59" t="s">
        <v>102</v>
      </c>
      <c r="S91" s="64" t="s">
        <v>370</v>
      </c>
      <c r="T91" s="64">
        <v>3148923191</v>
      </c>
      <c r="U91" s="59" t="s">
        <v>395</v>
      </c>
      <c r="V91" s="62" t="str">
        <f>IF(P91=CURSOS!$D$3,"DIPLOMADO EN ATENCION PRE-HOSPITALARIA",IF(P91=CURSOS!$D$4,"ACOMPAÑAMIENTO Y MANEJO DEL DUELO",IF(P91=CURSOS!$D$5,"ATENCION A VICTIMAS DE ATAQUE CON AGENTES QUIMICOS ",IF(P91=CURSOS!$D$6,"PRIMEROS AUXILIOS ",IF(P91=CURSOS!$D$7,"DIPLOMADO DE UNIDAD DE CUIDADOS INTENSIVOS (UCI)",IF(P91=CURSOS!$D$8,"MODELO DE ATENCION PARA EVENTOS EMERGENTES EN SALUD MENTAL (CODIGO VERDE)",IF(P91=CURSOS!$D$9,"HUMANIZACION EN EL SERVICIO DE LA SALUD Y BUENAS PRACTICAS EN PACIENTE ",IF(P91=CURSOS!$D$10,"CLINICA DE HERIDAS ",IF(P91=CURSOS!$D$11,"TOMA DE CITOLOGIA CERVICO VAGINAL ",IF(P91=CURSOS!$D$12,"SOPORTE CARDIOVASCULAR AVANZADO (ACLS) ",IF(P91=CURSOS!$D$13,"CAMILLERO ",IF(P91=CURSOS!$D$14,"TOMA DE MUESTRAS Y LABORATORIO ",IF(P91=CURSOS!$D$15,"SOPORTE VITAL BASICO (BLS)",IF(P91=CURSOS!$D$16,"ATENCION A VICTIMAS DE VIOLENCIA SEXUAL ",IF(P91=CURSOS!$D$17,"PROGRAMADO AMPLIADO DE INMUNIZACION (PAI - COVID 19)",IF(P91=CURSOS!$D$18,"ATENCION INTEGRAL EN ENFERMEDADES PREVALENTES EN PRIMERA INFANCIA (AIEPI)",IF(P91=CURSOS!$D$19,"ADMINISTRACION DE MEDICAMENTOS, INYECTOLOGIA  Y CANALIZACION ",IF(P91=CURSOS!$D$20,"OPERADOR DE VEHICULOS DE EMERGENCIA (OVE)",IF(P91=CURSOS!$D$21,"INSTITUCIONES AMIGAS DE LA MUJER Y LA INFANCIA (IAMI)",IF(P91=CURSOS!$D$22,"CUIDADO DEL DONANTE DE ORGANOS",IF(P91=CURSOS!$D$23,"ATENCION A VICTIMAS POR VIOLENCIA DE GENERO",IF(P91=CURSOS!$D$24,"IGUALDAD DE GENERO EN LA SALUD",IF(P91=CURSOS!$D$25,"BRIGADA DE EMERGENCIA",IF(P91=CURSOS!$D$26,"MANEJO DEL DOLOR Y CUIDADOS PALIATIVOS",IF(P91=CURSOS!$D$27,"TOMA DE MUESTRAS Y LABORATORIO POCT",IF(P91=CURSOS!$D$28,"IMPLANTE SUBDERMICO DE DISPOSITIVO INTRAUTERINO",IF(P91=CURSOS!$D$29,"SALUD MENTAL",IF(P91=CURSOS!$D$30,"PRIMEROS AUXILIOS PSICOLOGICOS",IF(P91=CURSOS!$D$31,"ATENCION A VICTIMAS POR CONFLICTO ARMADO",IF(P91=CURSOS!$D$32,"MANIPULACION DE ALIMENTOS Y BPM",IF(P91=CURSOS!$D$33,"ATENCION A PERSONAS CON DISCAPACIDAD",IF(P91=CURSOS!$D$34,"CUIDADO INTEGRAL DEL PACIENTE ADULTO",IF(P91=CURSOS!$D$35,"MANEJO DEFENSIVO",IF(P91=CURSOS!$D$36,"SOPORTE CARDIOVASCULAR AVANZADO NEONATAL",IF(P91=CURSOS!$D$37,"SEGURIDAD DEL PACIENTE",IF(P91=CURSOS!$D$38,"MANEJO DE RESIDUOS HOSPITALARIOS",IF(P91=CURSOS!$D$39,"ATENCION DE PACIENTE POR CONSUMO SUSTANCIAS PSICOACTIVAS Y ADICCIONES")))))))))))))))))))))))))))))))))))))</f>
        <v xml:space="preserve">HUMANIZACION EN EL SERVICIO DE LA SALUD Y BUENAS PRACTICAS EN PACIENTE </v>
      </c>
      <c r="W91" s="62" t="str">
        <f t="shared" si="6"/>
        <v>Marisol  Cordoba Chamorro</v>
      </c>
      <c r="X91" s="62" t="str">
        <f t="shared" si="7"/>
        <v>Marisol  Cordoba Chamorro</v>
      </c>
      <c r="Y91" s="62" t="str">
        <f t="shared" si="8"/>
        <v>Marisol  Cordoba Chamorro-52056087-HUMANIZACION</v>
      </c>
    </row>
    <row r="92" spans="1:25" s="92" customFormat="1" x14ac:dyDescent="0.2">
      <c r="A92" s="58">
        <v>91</v>
      </c>
      <c r="B92" s="59">
        <v>9872812</v>
      </c>
      <c r="C92" s="59" t="s">
        <v>396</v>
      </c>
      <c r="D92" s="59" t="s">
        <v>397</v>
      </c>
      <c r="E92" s="59" t="s">
        <v>398</v>
      </c>
      <c r="F92" s="59" t="s">
        <v>399</v>
      </c>
      <c r="G92" s="63">
        <v>17</v>
      </c>
      <c r="H92" s="59" t="s">
        <v>200</v>
      </c>
      <c r="I92" s="60" t="s">
        <v>115</v>
      </c>
      <c r="J92" s="60"/>
      <c r="K92" s="61">
        <v>45793</v>
      </c>
      <c r="L92" s="66">
        <v>64000</v>
      </c>
      <c r="M92" s="59" t="s">
        <v>103</v>
      </c>
      <c r="N92" s="59" t="s">
        <v>138</v>
      </c>
      <c r="O92" s="59" t="s">
        <v>116</v>
      </c>
      <c r="P92" s="59" t="s">
        <v>19</v>
      </c>
      <c r="Q92" s="60">
        <v>29961</v>
      </c>
      <c r="R92" s="59" t="s">
        <v>124</v>
      </c>
      <c r="S92" s="59" t="s">
        <v>400</v>
      </c>
      <c r="T92" s="59">
        <v>3135016383</v>
      </c>
      <c r="U92" s="59" t="s">
        <v>401</v>
      </c>
      <c r="V92" s="62" t="str">
        <f>IF(P92=CURSOS!$D$3,"DIPLOMADO EN ATENCION PRE-HOSPITALARIA",IF(P92=CURSOS!$D$4,"ACOMPAÑAMIENTO Y MANEJO DEL DUELO",IF(P92=CURSOS!$D$5,"ATENCION A VICTIMAS DE ATAQUE CON AGENTES QUIMICOS ",IF(P92=CURSOS!$D$6,"PRIMEROS AUXILIOS ",IF(P92=CURSOS!$D$7,"DIPLOMADO DE UNIDAD DE CUIDADOS INTENSIVOS (UCI)",IF(P92=CURSOS!$D$8,"MODELO DE ATENCION PARA EVENTOS EMERGENTES EN SALUD MENTAL (CODIGO VERDE)",IF(P92=CURSOS!$D$9,"HUMANIZACION EN EL SERVICIO DE LA SALUD Y BUENAS PRACTICAS EN PACIENTE ",IF(P92=CURSOS!$D$10,"CLINICA DE HERIDAS ",IF(P92=CURSOS!$D$11,"TOMA DE CITOLOGIA CERVICO VAGINAL ",IF(P92=CURSOS!$D$12,"SOPORTE CARDIOVASCULAR AVANZADO (ACLS) ",IF(P92=CURSOS!$D$13,"CAMILLERO ",IF(P92=CURSOS!$D$14,"TOMA DE MUESTRAS Y LABORATORIO ",IF(P92=CURSOS!$D$15,"SOPORTE VITAL BASICO (BLS)",IF(P92=CURSOS!$D$16,"ATENCION A VICTIMAS DE VIOLENCIA SEXUAL ",IF(P92=CURSOS!$D$17,"PROGRAMADO AMPLIADO DE INMUNIZACION (PAI - COVID 19)",IF(P92=CURSOS!$D$18,"ATENCION INTEGRAL EN ENFERMEDADES PREVALENTES EN PRIMERA INFANCIA (AIEPI)",IF(P92=CURSOS!$D$19,"ADMINISTRACION DE MEDICAMENTOS, INYECTOLOGIA  Y CANALIZACION ",IF(P92=CURSOS!$D$20,"OPERADOR DE VEHICULOS DE EMERGENCIA (OVE)",IF(P92=CURSOS!$D$21,"INSTITUCIONES AMIGAS DE LA MUJER Y LA INFANCIA (IAMI)",IF(P92=CURSOS!$D$22,"CUIDADO DEL DONANTE DE ORGANOS",IF(P92=CURSOS!$D$23,"ATENCION A VICTIMAS POR VIOLENCIA DE GENERO",IF(P92=CURSOS!$D$24,"IGUALDAD DE GENERO EN LA SALUD",IF(P92=CURSOS!$D$25,"BRIGADA DE EMERGENCIA",IF(P92=CURSOS!$D$26,"MANEJO DEL DOLOR Y CUIDADOS PALIATIVOS",IF(P92=CURSOS!$D$27,"TOMA DE MUESTRAS Y LABORATORIO POCT",IF(P92=CURSOS!$D$28,"IMPLANTE SUBDERMICO DE DISPOSITIVO INTRAUTERINO",IF(P92=CURSOS!$D$29,"SALUD MENTAL",IF(P92=CURSOS!$D$30,"PRIMEROS AUXILIOS PSICOLOGICOS",IF(P92=CURSOS!$D$31,"ATENCION A VICTIMAS POR CONFLICTO ARMADO",IF(P92=CURSOS!$D$32,"MANIPULACION DE ALIMENTOS Y BPM",IF(P92=CURSOS!$D$33,"ATENCION A PERSONAS CON DISCAPACIDAD",IF(P92=CURSOS!$D$34,"CUIDADO INTEGRAL DEL PACIENTE ADULTO",IF(P92=CURSOS!$D$35,"MANEJO DEFENSIVO",IF(P92=CURSOS!$D$36,"SOPORTE CARDIOVASCULAR AVANZADO NEONATAL",IF(P92=CURSOS!$D$37,"SEGURIDAD DEL PACIENTE",IF(P92=CURSOS!$D$38,"MANEJO DE RESIDUOS HOSPITALARIOS",IF(P92=CURSOS!$D$39,"ATENCION DE PACIENTE POR CONSUMO SUSTANCIAS PSICOACTIVAS Y ADICCIONES")))))))))))))))))))))))))))))))))))))</f>
        <v>SOPORTE VITAL BASICO (BLS)</v>
      </c>
      <c r="W92" s="62" t="str">
        <f t="shared" si="6"/>
        <v>Jose Augusto Pelaez Calvo</v>
      </c>
      <c r="X92" s="62" t="str">
        <f t="shared" si="7"/>
        <v>Jose Augusto Pelaez Calvo</v>
      </c>
      <c r="Y92" s="62" t="str">
        <f t="shared" si="8"/>
        <v>Jose Augusto Pelaez Calvo-9872812-BLS</v>
      </c>
    </row>
    <row r="93" spans="1:25" s="92" customFormat="1" x14ac:dyDescent="0.2">
      <c r="A93" s="58">
        <v>92</v>
      </c>
      <c r="B93" s="59">
        <v>1085284980</v>
      </c>
      <c r="C93" s="59" t="s">
        <v>402</v>
      </c>
      <c r="D93" s="59" t="s">
        <v>403</v>
      </c>
      <c r="E93" s="59" t="s">
        <v>237</v>
      </c>
      <c r="F93" s="59" t="s">
        <v>220</v>
      </c>
      <c r="G93" s="59">
        <v>17</v>
      </c>
      <c r="H93" s="59" t="s">
        <v>200</v>
      </c>
      <c r="I93" s="60" t="s">
        <v>115</v>
      </c>
      <c r="J93" s="60"/>
      <c r="K93" s="61">
        <v>45794</v>
      </c>
      <c r="L93" s="66">
        <v>32000</v>
      </c>
      <c r="M93" s="59" t="s">
        <v>103</v>
      </c>
      <c r="N93" s="59" t="s">
        <v>138</v>
      </c>
      <c r="O93" s="59" t="s">
        <v>116</v>
      </c>
      <c r="P93" s="59" t="s">
        <v>48</v>
      </c>
      <c r="Q93" s="60">
        <v>33129</v>
      </c>
      <c r="R93" s="63" t="s">
        <v>102</v>
      </c>
      <c r="S93" s="63" t="s">
        <v>282</v>
      </c>
      <c r="T93" s="69">
        <v>3013196860</v>
      </c>
      <c r="U93" s="59" t="s">
        <v>404</v>
      </c>
      <c r="V93" s="62" t="str">
        <f>IF(P93=CURSOS!$D$3,"DIPLOMADO EN ATENCION PRE-HOSPITALARIA",IF(P93=CURSOS!$D$4,"ACOMPAÑAMIENTO Y MANEJO DEL DUELO",IF(P93=CURSOS!$D$5,"ATENCION A VICTIMAS DE ATAQUE CON AGENTES QUIMICOS ",IF(P93=CURSOS!$D$6,"PRIMEROS AUXILIOS ",IF(P93=CURSOS!$D$7,"DIPLOMADO DE UNIDAD DE CUIDADOS INTENSIVOS (UCI)",IF(P93=CURSOS!$D$8,"MODELO DE ATENCION PARA EVENTOS EMERGENTES EN SALUD MENTAL (CODIGO VERDE)",IF(P93=CURSOS!$D$9,"HUMANIZACION EN EL SERVICIO DE LA SALUD Y BUENAS PRACTICAS EN PACIENTE ",IF(P93=CURSOS!$D$10,"CLINICA DE HERIDAS ",IF(P93=CURSOS!$D$11,"TOMA DE CITOLOGIA CERVICO VAGINAL ",IF(P93=CURSOS!$D$12,"SOPORTE CARDIOVASCULAR AVANZADO (ACLS) ",IF(P93=CURSOS!$D$13,"CAMILLERO ",IF(P93=CURSOS!$D$14,"TOMA DE MUESTRAS Y LABORATORIO ",IF(P93=CURSOS!$D$15,"SOPORTE VITAL BASICO (BLS)",IF(P93=CURSOS!$D$16,"ATENCION A VICTIMAS DE VIOLENCIA SEXUAL ",IF(P93=CURSOS!$D$17,"PROGRAMADO AMPLIADO DE INMUNIZACION (PAI - COVID 19)",IF(P93=CURSOS!$D$18,"ATENCION INTEGRAL EN ENFERMEDADES PREVALENTES EN PRIMERA INFANCIA (AIEPI)",IF(P93=CURSOS!$D$19,"ADMINISTRACION DE MEDICAMENTOS, INYECTOLOGIA  Y CANALIZACION ",IF(P93=CURSOS!$D$20,"OPERADOR DE VEHICULOS DE EMERGENCIA (OVE)",IF(P93=CURSOS!$D$21,"INSTITUCIONES AMIGAS DE LA MUJER Y LA INFANCIA (IAMI)",IF(P93=CURSOS!$D$22,"CUIDADO DEL DONANTE DE ORGANOS",IF(P93=CURSOS!$D$23,"ATENCION A VICTIMAS POR VIOLENCIA DE GENERO",IF(P93=CURSOS!$D$24,"IGUALDAD DE GENERO EN LA SALUD",IF(P93=CURSOS!$D$25,"BRIGADA DE EMERGENCIA",IF(P93=CURSOS!$D$26,"MANEJO DEL DOLOR Y CUIDADOS PALIATIVOS",IF(P93=CURSOS!$D$27,"TOMA DE MUESTRAS Y LABORATORIO POCT",IF(P93=CURSOS!$D$28,"IMPLANTE SUBDERMICO DE DISPOSITIVO INTRAUTERINO",IF(P93=CURSOS!$D$29,"SALUD MENTAL",IF(P93=CURSOS!$D$30,"PRIMEROS AUXILIOS PSICOLOGICOS",IF(P93=CURSOS!$D$31,"ATENCION A VICTIMAS POR CONFLICTO ARMADO",IF(P93=CURSOS!$D$32,"MANIPULACION DE ALIMENTOS Y BPM",IF(P93=CURSOS!$D$33,"ATENCION A PERSONAS CON DISCAPACIDAD",IF(P93=CURSOS!$D$34,"CUIDADO INTEGRAL DEL PACIENTE ADULTO",IF(P93=CURSOS!$D$35,"MANEJO DEFENSIVO",IF(P93=CURSOS!$D$36,"SOPORTE CARDIOVASCULAR AVANZADO NEONATAL",IF(P93=CURSOS!$D$37,"SEGURIDAD DEL PACIENTE",IF(P93=CURSOS!$D$38,"MANEJO DE RESIDUOS HOSPITALARIOS",IF(P93=CURSOS!$D$39,"ATENCION DE PACIENTE POR CONSUMO SUSTANCIAS PSICOACTIVAS Y ADICCIONES")))))))))))))))))))))))))))))))))))))</f>
        <v>INSTITUCIONES AMIGAS DE LA MUJER Y LA INFANCIA (IAMI)</v>
      </c>
      <c r="W93" s="62" t="str">
        <f t="shared" si="6"/>
        <v>Diana Marcela Bravo Suarez</v>
      </c>
      <c r="X93" s="62" t="str">
        <f t="shared" si="7"/>
        <v>Diana Marcela Bravo Suarez</v>
      </c>
      <c r="Y93" s="62" t="str">
        <f t="shared" si="8"/>
        <v>Diana Marcela Bravo Suarez-1085284980-IAMI</v>
      </c>
    </row>
    <row r="94" spans="1:25" s="92" customFormat="1" x14ac:dyDescent="0.2">
      <c r="A94" s="58">
        <v>93</v>
      </c>
      <c r="B94" s="59">
        <v>1087426699</v>
      </c>
      <c r="C94" s="63" t="s">
        <v>405</v>
      </c>
      <c r="D94" s="63" t="s">
        <v>406</v>
      </c>
      <c r="E94" s="63" t="s">
        <v>407</v>
      </c>
      <c r="F94" s="63" t="s">
        <v>190</v>
      </c>
      <c r="G94" s="63">
        <v>20</v>
      </c>
      <c r="H94" s="59" t="s">
        <v>200</v>
      </c>
      <c r="I94" s="60" t="s">
        <v>122</v>
      </c>
      <c r="J94" s="60" t="s">
        <v>123</v>
      </c>
      <c r="K94" s="61" t="s">
        <v>409</v>
      </c>
      <c r="L94" s="66" t="s">
        <v>572</v>
      </c>
      <c r="M94" s="59" t="s">
        <v>505</v>
      </c>
      <c r="N94" s="59" t="s">
        <v>138</v>
      </c>
      <c r="O94" s="59" t="s">
        <v>116</v>
      </c>
      <c r="P94" s="59" t="s">
        <v>26</v>
      </c>
      <c r="Q94" s="60">
        <v>36369</v>
      </c>
      <c r="R94" s="63" t="s">
        <v>102</v>
      </c>
      <c r="S94" s="64" t="s">
        <v>370</v>
      </c>
      <c r="T94" s="64">
        <v>3011470935</v>
      </c>
      <c r="U94" s="59" t="s">
        <v>408</v>
      </c>
      <c r="V94" s="62" t="str">
        <f>IF(P94=CURSOS!$D$3,"DIPLOMADO EN ATENCION PRE-HOSPITALARIA",IF(P94=CURSOS!$D$4,"ACOMPAÑAMIENTO Y MANEJO DEL DUELO",IF(P94=CURSOS!$D$5,"ATENCION A VICTIMAS DE ATAQUE CON AGENTES QUIMICOS ",IF(P94=CURSOS!$D$6,"PRIMEROS AUXILIOS ",IF(P94=CURSOS!$D$7,"DIPLOMADO DE UNIDAD DE CUIDADOS INTENSIVOS (UCI)",IF(P94=CURSOS!$D$8,"MODELO DE ATENCION PARA EVENTOS EMERGENTES EN SALUD MENTAL (CODIGO VERDE)",IF(P94=CURSOS!$D$9,"HUMANIZACION EN EL SERVICIO DE LA SALUD Y BUENAS PRACTICAS EN PACIENTE ",IF(P94=CURSOS!$D$10,"CLINICA DE HERIDAS ",IF(P94=CURSOS!$D$11,"TOMA DE CITOLOGIA CERVICO VAGINAL ",IF(P94=CURSOS!$D$12,"SOPORTE CARDIOVASCULAR AVANZADO (ACLS) ",IF(P94=CURSOS!$D$13,"CAMILLERO ",IF(P94=CURSOS!$D$14,"TOMA DE MUESTRAS Y LABORATORIO ",IF(P94=CURSOS!$D$15,"SOPORTE VITAL BASICO (BLS)",IF(P94=CURSOS!$D$16,"ATENCION A VICTIMAS DE VIOLENCIA SEXUAL ",IF(P94=CURSOS!$D$17,"PROGRAMADO AMPLIADO DE INMUNIZACION (PAI - COVID 19)",IF(P94=CURSOS!$D$18,"ATENCION INTEGRAL EN ENFERMEDADES PREVALENTES EN PRIMERA INFANCIA (AIEPI)",IF(P94=CURSOS!$D$19,"ADMINISTRACION DE MEDICAMENTOS, INYECTOLOGIA  Y CANALIZACION ",IF(P94=CURSOS!$D$20,"OPERADOR DE VEHICULOS DE EMERGENCIA (OVE)",IF(P94=CURSOS!$D$21,"INSTITUCIONES AMIGAS DE LA MUJER Y LA INFANCIA (IAMI)",IF(P94=CURSOS!$D$22,"CUIDADO DEL DONANTE DE ORGANOS",IF(P94=CURSOS!$D$23,"ATENCION A VICTIMAS POR VIOLENCIA DE GENERO",IF(P94=CURSOS!$D$24,"IGUALDAD DE GENERO EN LA SALUD",IF(P94=CURSOS!$D$25,"BRIGADA DE EMERGENCIA",IF(P94=CURSOS!$D$26,"MANEJO DEL DOLOR Y CUIDADOS PALIATIVOS",IF(P94=CURSOS!$D$27,"TOMA DE MUESTRAS Y LABORATORIO POCT",IF(P94=CURSOS!$D$28,"IMPLANTE SUBDERMICO DE DISPOSITIVO INTRAUTERINO",IF(P94=CURSOS!$D$29,"SALUD MENTAL",IF(P94=CURSOS!$D$30,"PRIMEROS AUXILIOS PSICOLOGICOS",IF(P94=CURSOS!$D$31,"ATENCION A VICTIMAS POR CONFLICTO ARMADO",IF(P94=CURSOS!$D$32,"MANIPULACION DE ALIMENTOS Y BPM",IF(P94=CURSOS!$D$33,"ATENCION A PERSONAS CON DISCAPACIDAD",IF(P94=CURSOS!$D$34,"CUIDADO INTEGRAL DEL PACIENTE ADULTO",IF(P94=CURSOS!$D$35,"MANEJO DEFENSIVO",IF(P94=CURSOS!$D$36,"SOPORTE CARDIOVASCULAR AVANZADO NEONATAL",IF(P94=CURSOS!$D$37,"SEGURIDAD DEL PACIENTE",IF(P94=CURSOS!$D$38,"MANEJO DE RESIDUOS HOSPITALARIOS",IF(P94=CURSOS!$D$39,"ATENCION DE PACIENTE POR CONSUMO SUSTANCIAS PSICOACTIVAS Y ADICCIONES")))))))))))))))))))))))))))))))))))))</f>
        <v xml:space="preserve">PRIMEROS AUXILIOS </v>
      </c>
      <c r="W94" s="62" t="str">
        <f t="shared" si="6"/>
        <v>Ivonne Alejandra Ascuntar Mora</v>
      </c>
      <c r="X94" s="62" t="str">
        <f t="shared" si="7"/>
        <v>Ivonne Alejandra Ascuntar Mora</v>
      </c>
      <c r="Y94" s="62" t="str">
        <f t="shared" si="8"/>
        <v>Ivonne Alejandra Ascuntar Mora-1087426699-PRIMEROS AUXILIOS</v>
      </c>
    </row>
    <row r="95" spans="1:25" s="92" customFormat="1" x14ac:dyDescent="0.2">
      <c r="A95" s="58">
        <v>94</v>
      </c>
      <c r="B95" s="70">
        <v>1085265257</v>
      </c>
      <c r="C95" s="59" t="s">
        <v>111</v>
      </c>
      <c r="D95" s="59" t="s">
        <v>209</v>
      </c>
      <c r="E95" s="59" t="s">
        <v>410</v>
      </c>
      <c r="F95" s="59" t="s">
        <v>365</v>
      </c>
      <c r="G95" s="59">
        <v>19</v>
      </c>
      <c r="H95" s="59" t="s">
        <v>200</v>
      </c>
      <c r="I95" s="60" t="s">
        <v>115</v>
      </c>
      <c r="J95" s="60" t="s">
        <v>258</v>
      </c>
      <c r="K95" s="61">
        <v>45796</v>
      </c>
      <c r="L95" s="66">
        <v>32000</v>
      </c>
      <c r="M95" s="59" t="s">
        <v>103</v>
      </c>
      <c r="N95" s="59" t="s">
        <v>138</v>
      </c>
      <c r="O95" s="59" t="s">
        <v>116</v>
      </c>
      <c r="P95" s="59" t="s">
        <v>48</v>
      </c>
      <c r="Q95" s="60">
        <v>32267</v>
      </c>
      <c r="R95" s="59" t="s">
        <v>102</v>
      </c>
      <c r="S95" s="64" t="s">
        <v>411</v>
      </c>
      <c r="T95" s="64">
        <v>3158201730</v>
      </c>
      <c r="U95" s="59" t="s">
        <v>412</v>
      </c>
      <c r="V95" s="62" t="str">
        <f>IF(P95=CURSOS!$D$3,"DIPLOMADO EN ATENCION PRE-HOSPITALARIA",IF(P95=CURSOS!$D$4,"ACOMPAÑAMIENTO Y MANEJO DEL DUELO",IF(P95=CURSOS!$D$5,"ATENCION A VICTIMAS DE ATAQUE CON AGENTES QUIMICOS ",IF(P95=CURSOS!$D$6,"PRIMEROS AUXILIOS ",IF(P95=CURSOS!$D$7,"DIPLOMADO DE UNIDAD DE CUIDADOS INTENSIVOS (UCI)",IF(P95=CURSOS!$D$8,"MODELO DE ATENCION PARA EVENTOS EMERGENTES EN SALUD MENTAL (CODIGO VERDE)",IF(P95=CURSOS!$D$9,"HUMANIZACION EN EL SERVICIO DE LA SALUD Y BUENAS PRACTICAS EN PACIENTE ",IF(P95=CURSOS!$D$10,"CLINICA DE HERIDAS ",IF(P95=CURSOS!$D$11,"TOMA DE CITOLOGIA CERVICO VAGINAL ",IF(P95=CURSOS!$D$12,"SOPORTE CARDIOVASCULAR AVANZADO (ACLS) ",IF(P95=CURSOS!$D$13,"CAMILLERO ",IF(P95=CURSOS!$D$14,"TOMA DE MUESTRAS Y LABORATORIO ",IF(P95=CURSOS!$D$15,"SOPORTE VITAL BASICO (BLS)",IF(P95=CURSOS!$D$16,"ATENCION A VICTIMAS DE VIOLENCIA SEXUAL ",IF(P95=CURSOS!$D$17,"PROGRAMADO AMPLIADO DE INMUNIZACION (PAI - COVID 19)",IF(P95=CURSOS!$D$18,"ATENCION INTEGRAL EN ENFERMEDADES PREVALENTES EN PRIMERA INFANCIA (AIEPI)",IF(P95=CURSOS!$D$19,"ADMINISTRACION DE MEDICAMENTOS, INYECTOLOGIA  Y CANALIZACION ",IF(P95=CURSOS!$D$20,"OPERADOR DE VEHICULOS DE EMERGENCIA (OVE)",IF(P95=CURSOS!$D$21,"INSTITUCIONES AMIGAS DE LA MUJER Y LA INFANCIA (IAMI)",IF(P95=CURSOS!$D$22,"CUIDADO DEL DONANTE DE ORGANOS",IF(P95=CURSOS!$D$23,"ATENCION A VICTIMAS POR VIOLENCIA DE GENERO",IF(P95=CURSOS!$D$24,"IGUALDAD DE GENERO EN LA SALUD",IF(P95=CURSOS!$D$25,"BRIGADA DE EMERGENCIA",IF(P95=CURSOS!$D$26,"MANEJO DEL DOLOR Y CUIDADOS PALIATIVOS",IF(P95=CURSOS!$D$27,"TOMA DE MUESTRAS Y LABORATORIO POCT",IF(P95=CURSOS!$D$28,"IMPLANTE SUBDERMICO DE DISPOSITIVO INTRAUTERINO",IF(P95=CURSOS!$D$29,"SALUD MENTAL",IF(P95=CURSOS!$D$30,"PRIMEROS AUXILIOS PSICOLOGICOS",IF(P95=CURSOS!$D$31,"ATENCION A VICTIMAS POR CONFLICTO ARMADO",IF(P95=CURSOS!$D$32,"MANIPULACION DE ALIMENTOS Y BPM",IF(P95=CURSOS!$D$33,"ATENCION A PERSONAS CON DISCAPACIDAD",IF(P95=CURSOS!$D$34,"CUIDADO INTEGRAL DEL PACIENTE ADULTO",IF(P95=CURSOS!$D$35,"MANEJO DEFENSIVO",IF(P95=CURSOS!$D$36,"SOPORTE CARDIOVASCULAR AVANZADO NEONATAL",IF(P95=CURSOS!$D$37,"SEGURIDAD DEL PACIENTE",IF(P95=CURSOS!$D$38,"MANEJO DE RESIDUOS HOSPITALARIOS",IF(P95=CURSOS!$D$39,"ATENCION DE PACIENTE POR CONSUMO SUSTANCIAS PSICOACTIVAS Y ADICCIONES")))))))))))))))))))))))))))))))))))))</f>
        <v>INSTITUCIONES AMIGAS DE LA MUJER Y LA INFANCIA (IAMI)</v>
      </c>
      <c r="W95" s="62" t="str">
        <f t="shared" si="6"/>
        <v>Deisy Andrea Perez Bastidas</v>
      </c>
      <c r="X95" s="62" t="str">
        <f t="shared" si="7"/>
        <v>Deisy Andrea Perez Bastidas</v>
      </c>
      <c r="Y95" s="62" t="str">
        <f t="shared" si="8"/>
        <v>Deisy Andrea Perez Bastidas-1085265257-IAMI</v>
      </c>
    </row>
    <row r="96" spans="1:25" s="92" customFormat="1" x14ac:dyDescent="0.2">
      <c r="A96" s="58">
        <v>95</v>
      </c>
      <c r="B96" s="59">
        <v>27090086</v>
      </c>
      <c r="C96" s="59" t="s">
        <v>318</v>
      </c>
      <c r="D96" s="59" t="s">
        <v>413</v>
      </c>
      <c r="E96" s="59" t="s">
        <v>414</v>
      </c>
      <c r="F96" s="59" t="s">
        <v>415</v>
      </c>
      <c r="G96" s="59">
        <v>19</v>
      </c>
      <c r="H96" s="59" t="s">
        <v>200</v>
      </c>
      <c r="I96" s="60" t="s">
        <v>115</v>
      </c>
      <c r="J96" s="60"/>
      <c r="K96" s="61">
        <v>45796</v>
      </c>
      <c r="L96" s="66">
        <v>40000</v>
      </c>
      <c r="M96" s="59" t="s">
        <v>214</v>
      </c>
      <c r="N96" s="59" t="s">
        <v>138</v>
      </c>
      <c r="O96" s="59" t="s">
        <v>116</v>
      </c>
      <c r="P96" s="59" t="s">
        <v>48</v>
      </c>
      <c r="Q96" s="60">
        <v>29110</v>
      </c>
      <c r="R96" s="63" t="s">
        <v>102</v>
      </c>
      <c r="S96" s="69" t="s">
        <v>282</v>
      </c>
      <c r="T96" s="63">
        <v>3117216861</v>
      </c>
      <c r="U96" s="64" t="s">
        <v>416</v>
      </c>
      <c r="V96" s="62" t="str">
        <f>IF(P96=CURSOS!$D$3,"DIPLOMADO EN ATENCION PRE-HOSPITALARIA",IF(P96=CURSOS!$D$4,"ACOMPAÑAMIENTO Y MANEJO DEL DUELO",IF(P96=CURSOS!$D$5,"ATENCION A VICTIMAS DE ATAQUE CON AGENTES QUIMICOS ",IF(P96=CURSOS!$D$6,"PRIMEROS AUXILIOS ",IF(P96=CURSOS!$D$7,"DIPLOMADO DE UNIDAD DE CUIDADOS INTENSIVOS (UCI)",IF(P96=CURSOS!$D$8,"MODELO DE ATENCION PARA EVENTOS EMERGENTES EN SALUD MENTAL (CODIGO VERDE)",IF(P96=CURSOS!$D$9,"HUMANIZACION EN EL SERVICIO DE LA SALUD Y BUENAS PRACTICAS EN PACIENTE ",IF(P96=CURSOS!$D$10,"CLINICA DE HERIDAS ",IF(P96=CURSOS!$D$11,"TOMA DE CITOLOGIA CERVICO VAGINAL ",IF(P96=CURSOS!$D$12,"SOPORTE CARDIOVASCULAR AVANZADO (ACLS) ",IF(P96=CURSOS!$D$13,"CAMILLERO ",IF(P96=CURSOS!$D$14,"TOMA DE MUESTRAS Y LABORATORIO ",IF(P96=CURSOS!$D$15,"SOPORTE VITAL BASICO (BLS)",IF(P96=CURSOS!$D$16,"ATENCION A VICTIMAS DE VIOLENCIA SEXUAL ",IF(P96=CURSOS!$D$17,"PROGRAMADO AMPLIADO DE INMUNIZACION (PAI - COVID 19)",IF(P96=CURSOS!$D$18,"ATENCION INTEGRAL EN ENFERMEDADES PREVALENTES EN PRIMERA INFANCIA (AIEPI)",IF(P96=CURSOS!$D$19,"ADMINISTRACION DE MEDICAMENTOS, INYECTOLOGIA  Y CANALIZACION ",IF(P96=CURSOS!$D$20,"OPERADOR DE VEHICULOS DE EMERGENCIA (OVE)",IF(P96=CURSOS!$D$21,"INSTITUCIONES AMIGAS DE LA MUJER Y LA INFANCIA (IAMI)",IF(P96=CURSOS!$D$22,"CUIDADO DEL DONANTE DE ORGANOS",IF(P96=CURSOS!$D$23,"ATENCION A VICTIMAS POR VIOLENCIA DE GENERO",IF(P96=CURSOS!$D$24,"IGUALDAD DE GENERO EN LA SALUD",IF(P96=CURSOS!$D$25,"BRIGADA DE EMERGENCIA",IF(P96=CURSOS!$D$26,"MANEJO DEL DOLOR Y CUIDADOS PALIATIVOS",IF(P96=CURSOS!$D$27,"TOMA DE MUESTRAS Y LABORATORIO POCT",IF(P96=CURSOS!$D$28,"IMPLANTE SUBDERMICO DE DISPOSITIVO INTRAUTERINO",IF(P96=CURSOS!$D$29,"SALUD MENTAL",IF(P96=CURSOS!$D$30,"PRIMEROS AUXILIOS PSICOLOGICOS",IF(P96=CURSOS!$D$31,"ATENCION A VICTIMAS POR CONFLICTO ARMADO",IF(P96=CURSOS!$D$32,"MANIPULACION DE ALIMENTOS Y BPM",IF(P96=CURSOS!$D$33,"ATENCION A PERSONAS CON DISCAPACIDAD",IF(P96=CURSOS!$D$34,"CUIDADO INTEGRAL DEL PACIENTE ADULTO",IF(P96=CURSOS!$D$35,"MANEJO DEFENSIVO",IF(P96=CURSOS!$D$36,"SOPORTE CARDIOVASCULAR AVANZADO NEONATAL",IF(P96=CURSOS!$D$37,"SEGURIDAD DEL PACIENTE",IF(P96=CURSOS!$D$38,"MANEJO DE RESIDUOS HOSPITALARIOS",IF(P96=CURSOS!$D$39,"ATENCION DE PACIENTE POR CONSUMO SUSTANCIAS PSICOACTIVAS Y ADICCIONES")))))))))))))))))))))))))))))))))))))</f>
        <v>INSTITUCIONES AMIGAS DE LA MUJER Y LA INFANCIA (IAMI)</v>
      </c>
      <c r="W96" s="62" t="str">
        <f t="shared" si="6"/>
        <v>Nancy Patricia Portilla Ordoñez</v>
      </c>
      <c r="X96" s="62" t="str">
        <f t="shared" si="7"/>
        <v>Nancy Patricia Portilla Ordoñez</v>
      </c>
      <c r="Y96" s="62" t="str">
        <f t="shared" si="8"/>
        <v>Nancy Patricia Portilla Ordoñez-27090086-IAMI</v>
      </c>
    </row>
    <row r="97" spans="1:25" s="92" customFormat="1" x14ac:dyDescent="0.2">
      <c r="A97" s="58">
        <v>96</v>
      </c>
      <c r="B97" s="59">
        <v>12752047</v>
      </c>
      <c r="C97" s="59" t="s">
        <v>417</v>
      </c>
      <c r="D97" s="59" t="s">
        <v>148</v>
      </c>
      <c r="E97" s="59" t="s">
        <v>418</v>
      </c>
      <c r="F97" s="59" t="s">
        <v>419</v>
      </c>
      <c r="G97" s="59">
        <v>19</v>
      </c>
      <c r="H97" s="59" t="s">
        <v>200</v>
      </c>
      <c r="I97" s="60" t="s">
        <v>115</v>
      </c>
      <c r="J97" s="60"/>
      <c r="K97" s="61">
        <v>45796</v>
      </c>
      <c r="L97" s="66">
        <v>32000</v>
      </c>
      <c r="M97" s="59" t="s">
        <v>103</v>
      </c>
      <c r="N97" s="59" t="s">
        <v>138</v>
      </c>
      <c r="O97" s="59" t="s">
        <v>116</v>
      </c>
      <c r="P97" s="59" t="s">
        <v>19</v>
      </c>
      <c r="Q97" s="60">
        <v>30164</v>
      </c>
      <c r="R97" s="59" t="s">
        <v>124</v>
      </c>
      <c r="S97" s="64" t="s">
        <v>420</v>
      </c>
      <c r="T97" s="59">
        <v>3146343368</v>
      </c>
      <c r="U97" s="59" t="s">
        <v>421</v>
      </c>
      <c r="V97" s="62" t="str">
        <f>IF(P97=CURSOS!$D$3,"DIPLOMADO EN ATENCION PRE-HOSPITALARIA",IF(P97=CURSOS!$D$4,"ACOMPAÑAMIENTO Y MANEJO DEL DUELO",IF(P97=CURSOS!$D$5,"ATENCION A VICTIMAS DE ATAQUE CON AGENTES QUIMICOS ",IF(P97=CURSOS!$D$6,"PRIMEROS AUXILIOS ",IF(P97=CURSOS!$D$7,"DIPLOMADO DE UNIDAD DE CUIDADOS INTENSIVOS (UCI)",IF(P97=CURSOS!$D$8,"MODELO DE ATENCION PARA EVENTOS EMERGENTES EN SALUD MENTAL (CODIGO VERDE)",IF(P97=CURSOS!$D$9,"HUMANIZACION EN EL SERVICIO DE LA SALUD Y BUENAS PRACTICAS EN PACIENTE ",IF(P97=CURSOS!$D$10,"CLINICA DE HERIDAS ",IF(P97=CURSOS!$D$11,"TOMA DE CITOLOGIA CERVICO VAGINAL ",IF(P97=CURSOS!$D$12,"SOPORTE CARDIOVASCULAR AVANZADO (ACLS) ",IF(P97=CURSOS!$D$13,"CAMILLERO ",IF(P97=CURSOS!$D$14,"TOMA DE MUESTRAS Y LABORATORIO ",IF(P97=CURSOS!$D$15,"SOPORTE VITAL BASICO (BLS)",IF(P97=CURSOS!$D$16,"ATENCION A VICTIMAS DE VIOLENCIA SEXUAL ",IF(P97=CURSOS!$D$17,"PROGRAMADO AMPLIADO DE INMUNIZACION (PAI - COVID 19)",IF(P97=CURSOS!$D$18,"ATENCION INTEGRAL EN ENFERMEDADES PREVALENTES EN PRIMERA INFANCIA (AIEPI)",IF(P97=CURSOS!$D$19,"ADMINISTRACION DE MEDICAMENTOS, INYECTOLOGIA  Y CANALIZACION ",IF(P97=CURSOS!$D$20,"OPERADOR DE VEHICULOS DE EMERGENCIA (OVE)",IF(P97=CURSOS!$D$21,"INSTITUCIONES AMIGAS DE LA MUJER Y LA INFANCIA (IAMI)",IF(P97=CURSOS!$D$22,"CUIDADO DEL DONANTE DE ORGANOS",IF(P97=CURSOS!$D$23,"ATENCION A VICTIMAS POR VIOLENCIA DE GENERO",IF(P97=CURSOS!$D$24,"IGUALDAD DE GENERO EN LA SALUD",IF(P97=CURSOS!$D$25,"BRIGADA DE EMERGENCIA",IF(P97=CURSOS!$D$26,"MANEJO DEL DOLOR Y CUIDADOS PALIATIVOS",IF(P97=CURSOS!$D$27,"TOMA DE MUESTRAS Y LABORATORIO POCT",IF(P97=CURSOS!$D$28,"IMPLANTE SUBDERMICO DE DISPOSITIVO INTRAUTERINO",IF(P97=CURSOS!$D$29,"SALUD MENTAL",IF(P97=CURSOS!$D$30,"PRIMEROS AUXILIOS PSICOLOGICOS",IF(P97=CURSOS!$D$31,"ATENCION A VICTIMAS POR CONFLICTO ARMADO",IF(P97=CURSOS!$D$32,"MANIPULACION DE ALIMENTOS Y BPM",IF(P97=CURSOS!$D$33,"ATENCION A PERSONAS CON DISCAPACIDAD",IF(P97=CURSOS!$D$34,"CUIDADO INTEGRAL DEL PACIENTE ADULTO",IF(P97=CURSOS!$D$35,"MANEJO DEFENSIVO",IF(P97=CURSOS!$D$36,"SOPORTE CARDIOVASCULAR AVANZADO NEONATAL",IF(P97=CURSOS!$D$37,"SEGURIDAD DEL PACIENTE",IF(P97=CURSOS!$D$38,"MANEJO DE RESIDUOS HOSPITALARIOS",IF(P97=CURSOS!$D$39,"ATENCION DE PACIENTE POR CONSUMO SUSTANCIAS PSICOACTIVAS Y ADICCIONES")))))))))))))))))))))))))))))))))))))</f>
        <v>SOPORTE VITAL BASICO (BLS)</v>
      </c>
      <c r="W97" s="62" t="str">
        <f t="shared" si="6"/>
        <v>Raul Alveiro Oñate Garcia</v>
      </c>
      <c r="X97" s="62" t="str">
        <f t="shared" si="7"/>
        <v>Raul Alveiro Oñate Garcia</v>
      </c>
      <c r="Y97" s="62" t="str">
        <f t="shared" si="8"/>
        <v>Raul Alveiro Oñate Garcia-12752047-BLS</v>
      </c>
    </row>
    <row r="98" spans="1:25" s="92" customFormat="1" x14ac:dyDescent="0.2">
      <c r="A98" s="71">
        <v>97</v>
      </c>
      <c r="B98" s="59">
        <v>1080046139</v>
      </c>
      <c r="C98" s="63" t="s">
        <v>422</v>
      </c>
      <c r="D98" s="63" t="s">
        <v>423</v>
      </c>
      <c r="E98" s="63" t="s">
        <v>424</v>
      </c>
      <c r="F98" s="63" t="s">
        <v>177</v>
      </c>
      <c r="G98" s="63">
        <v>19</v>
      </c>
      <c r="H98" s="59" t="s">
        <v>200</v>
      </c>
      <c r="I98" s="60" t="s">
        <v>122</v>
      </c>
      <c r="J98" s="60"/>
      <c r="K98" s="61">
        <v>45796</v>
      </c>
      <c r="L98" s="66">
        <v>64000</v>
      </c>
      <c r="M98" s="59" t="s">
        <v>103</v>
      </c>
      <c r="N98" s="59" t="s">
        <v>138</v>
      </c>
      <c r="O98" s="59" t="s">
        <v>116</v>
      </c>
      <c r="P98" s="59" t="s">
        <v>25</v>
      </c>
      <c r="Q98" s="60">
        <v>38814</v>
      </c>
      <c r="R98" s="59" t="s">
        <v>102</v>
      </c>
      <c r="S98" s="64" t="s">
        <v>201</v>
      </c>
      <c r="T98" s="64">
        <v>3227632514</v>
      </c>
      <c r="U98" s="59" t="s">
        <v>425</v>
      </c>
      <c r="V98" s="62" t="str">
        <f>IF(P98=CURSOS!$D$3,"DIPLOMADO EN ATENCION PRE-HOSPITALARIA",IF(P98=CURSOS!$D$4,"ACOMPAÑAMIENTO Y MANEJO DEL DUELO",IF(P98=CURSOS!$D$5,"ATENCION A VICTIMAS DE ATAQUE CON AGENTES QUIMICOS ",IF(P98=CURSOS!$D$6,"PRIMEROS AUXILIOS ",IF(P98=CURSOS!$D$7,"DIPLOMADO DE UNIDAD DE CUIDADOS INTENSIVOS (UCI)",IF(P98=CURSOS!$D$8,"MODELO DE ATENCION PARA EVENTOS EMERGENTES EN SALUD MENTAL (CODIGO VERDE)",IF(P98=CURSOS!$D$9,"HUMANIZACION EN EL SERVICIO DE LA SALUD Y BUENAS PRACTICAS EN PACIENTE ",IF(P98=CURSOS!$D$10,"CLINICA DE HERIDAS ",IF(P98=CURSOS!$D$11,"TOMA DE CITOLOGIA CERVICO VAGINAL ",IF(P98=CURSOS!$D$12,"SOPORTE CARDIOVASCULAR AVANZADO (ACLS) ",IF(P98=CURSOS!$D$13,"CAMILLERO ",IF(P98=CURSOS!$D$14,"TOMA DE MUESTRAS Y LABORATORIO ",IF(P98=CURSOS!$D$15,"SOPORTE VITAL BASICO (BLS)",IF(P98=CURSOS!$D$16,"ATENCION A VICTIMAS DE VIOLENCIA SEXUAL ",IF(P98=CURSOS!$D$17,"PROGRAMADO AMPLIADO DE INMUNIZACION (PAI - COVID 19)",IF(P98=CURSOS!$D$18,"ATENCION INTEGRAL EN ENFERMEDADES PREVALENTES EN PRIMERA INFANCIA (AIEPI)",IF(P98=CURSOS!$D$19,"ADMINISTRACION DE MEDICAMENTOS, INYECTOLOGIA  Y CANALIZACION ",IF(P98=CURSOS!$D$20,"OPERADOR DE VEHICULOS DE EMERGENCIA (OVE)",IF(P98=CURSOS!$D$21,"INSTITUCIONES AMIGAS DE LA MUJER Y LA INFANCIA (IAMI)",IF(P98=CURSOS!$D$22,"CUIDADO DEL DONANTE DE ORGANOS",IF(P98=CURSOS!$D$23,"ATENCION A VICTIMAS POR VIOLENCIA DE GENERO",IF(P98=CURSOS!$D$24,"IGUALDAD DE GENERO EN LA SALUD",IF(P98=CURSOS!$D$25,"BRIGADA DE EMERGENCIA",IF(P98=CURSOS!$D$26,"MANEJO DEL DOLOR Y CUIDADOS PALIATIVOS",IF(P98=CURSOS!$D$27,"TOMA DE MUESTRAS Y LABORATORIO POCT",IF(P98=CURSOS!$D$28,"IMPLANTE SUBDERMICO DE DISPOSITIVO INTRAUTERINO",IF(P98=CURSOS!$D$29,"SALUD MENTAL",IF(P98=CURSOS!$D$30,"PRIMEROS AUXILIOS PSICOLOGICOS",IF(P98=CURSOS!$D$31,"ATENCION A VICTIMAS POR CONFLICTO ARMADO",IF(P98=CURSOS!$D$32,"MANIPULACION DE ALIMENTOS Y BPM",IF(P98=CURSOS!$D$33,"ATENCION A PERSONAS CON DISCAPACIDAD",IF(P98=CURSOS!$D$34,"CUIDADO INTEGRAL DEL PACIENTE ADULTO",IF(P98=CURSOS!$D$35,"MANEJO DEFENSIVO",IF(P98=CURSOS!$D$36,"SOPORTE CARDIOVASCULAR AVANZADO NEONATAL",IF(P98=CURSOS!$D$37,"SEGURIDAD DEL PACIENTE",IF(P98=CURSOS!$D$38,"MANEJO DE RESIDUOS HOSPITALARIOS",IF(P98=CURSOS!$D$39,"ATENCION DE PACIENTE POR CONSUMO SUSTANCIAS PSICOACTIVAS Y ADICCIONES")))))))))))))))))))))))))))))))))))))</f>
        <v xml:space="preserve">ATENCION A VICTIMAS DE ATAQUE CON AGENTES QUIMICOS </v>
      </c>
      <c r="W98" s="62" t="str">
        <f t="shared" si="6"/>
        <v>Adriana Sofia Vasquez Cardenas</v>
      </c>
      <c r="X98" s="62" t="str">
        <f t="shared" si="7"/>
        <v>Adriana Sofia Vasquez Cardenas</v>
      </c>
      <c r="Y98" s="62" t="str">
        <f t="shared" si="8"/>
        <v>Adriana Sofia Vasquez Cardenas-1080046139-QUIMICOS</v>
      </c>
    </row>
    <row r="99" spans="1:25" s="92" customFormat="1" x14ac:dyDescent="0.2">
      <c r="A99" s="71">
        <v>98</v>
      </c>
      <c r="B99" s="59">
        <v>1080046139</v>
      </c>
      <c r="C99" s="63" t="s">
        <v>422</v>
      </c>
      <c r="D99" s="63" t="s">
        <v>423</v>
      </c>
      <c r="E99" s="63" t="s">
        <v>424</v>
      </c>
      <c r="F99" s="63" t="s">
        <v>177</v>
      </c>
      <c r="G99" s="63">
        <v>17</v>
      </c>
      <c r="H99" s="59" t="s">
        <v>200</v>
      </c>
      <c r="I99" s="60" t="s">
        <v>122</v>
      </c>
      <c r="J99" s="60"/>
      <c r="K99" s="61">
        <v>45796</v>
      </c>
      <c r="L99" s="66">
        <v>64000</v>
      </c>
      <c r="M99" s="59" t="s">
        <v>103</v>
      </c>
      <c r="N99" s="59" t="s">
        <v>138</v>
      </c>
      <c r="O99" s="59" t="s">
        <v>116</v>
      </c>
      <c r="P99" s="59" t="s">
        <v>42</v>
      </c>
      <c r="Q99" s="60">
        <v>38814</v>
      </c>
      <c r="R99" s="59" t="s">
        <v>102</v>
      </c>
      <c r="S99" s="64" t="s">
        <v>201</v>
      </c>
      <c r="T99" s="64">
        <v>3227632514</v>
      </c>
      <c r="U99" s="59" t="s">
        <v>425</v>
      </c>
      <c r="V99" s="62" t="str">
        <f>IF(P99=CURSOS!$D$3,"DIPLOMADO EN ATENCION PRE-HOSPITALARIA",IF(P99=CURSOS!$D$4,"ACOMPAÑAMIENTO Y MANEJO DEL DUELO",IF(P99=CURSOS!$D$5,"ATENCION A VICTIMAS DE ATAQUE CON AGENTES QUIMICOS ",IF(P99=CURSOS!$D$6,"PRIMEROS AUXILIOS ",IF(P99=CURSOS!$D$7,"DIPLOMADO DE UNIDAD DE CUIDADOS INTENSIVOS (UCI)",IF(P99=CURSOS!$D$8,"MODELO DE ATENCION PARA EVENTOS EMERGENTES EN SALUD MENTAL (CODIGO VERDE)",IF(P99=CURSOS!$D$9,"HUMANIZACION EN EL SERVICIO DE LA SALUD Y BUENAS PRACTICAS EN PACIENTE ",IF(P99=CURSOS!$D$10,"CLINICA DE HERIDAS ",IF(P99=CURSOS!$D$11,"TOMA DE CITOLOGIA CERVICO VAGINAL ",IF(P99=CURSOS!$D$12,"SOPORTE CARDIOVASCULAR AVANZADO (ACLS) ",IF(P99=CURSOS!$D$13,"CAMILLERO ",IF(P99=CURSOS!$D$14,"TOMA DE MUESTRAS Y LABORATORIO ",IF(P99=CURSOS!$D$15,"SOPORTE VITAL BASICO (BLS)",IF(P99=CURSOS!$D$16,"ATENCION A VICTIMAS DE VIOLENCIA SEXUAL ",IF(P99=CURSOS!$D$17,"PROGRAMADO AMPLIADO DE INMUNIZACION (PAI - COVID 19)",IF(P99=CURSOS!$D$18,"ATENCION INTEGRAL EN ENFERMEDADES PREVALENTES EN PRIMERA INFANCIA (AIEPI)",IF(P99=CURSOS!$D$19,"ADMINISTRACION DE MEDICAMENTOS, INYECTOLOGIA  Y CANALIZACION ",IF(P99=CURSOS!$D$20,"OPERADOR DE VEHICULOS DE EMERGENCIA (OVE)",IF(P99=CURSOS!$D$21,"INSTITUCIONES AMIGAS DE LA MUJER Y LA INFANCIA (IAMI)",IF(P99=CURSOS!$D$22,"CUIDADO DEL DONANTE DE ORGANOS",IF(P99=CURSOS!$D$23,"ATENCION A VICTIMAS POR VIOLENCIA DE GENERO",IF(P99=CURSOS!$D$24,"IGUALDAD DE GENERO EN LA SALUD",IF(P99=CURSOS!$D$25,"BRIGADA DE EMERGENCIA",IF(P99=CURSOS!$D$26,"MANEJO DEL DOLOR Y CUIDADOS PALIATIVOS",IF(P99=CURSOS!$D$27,"TOMA DE MUESTRAS Y LABORATORIO POCT",IF(P99=CURSOS!$D$28,"IMPLANTE SUBDERMICO DE DISPOSITIVO INTRAUTERINO",IF(P99=CURSOS!$D$29,"SALUD MENTAL",IF(P99=CURSOS!$D$30,"PRIMEROS AUXILIOS PSICOLOGICOS",IF(P99=CURSOS!$D$31,"ATENCION A VICTIMAS POR CONFLICTO ARMADO",IF(P99=CURSOS!$D$32,"MANIPULACION DE ALIMENTOS Y BPM",IF(P99=CURSOS!$D$33,"ATENCION A PERSONAS CON DISCAPACIDAD",IF(P99=CURSOS!$D$34,"CUIDADO INTEGRAL DEL PACIENTE ADULTO",IF(P99=CURSOS!$D$35,"MANEJO DEFENSIVO",IF(P99=CURSOS!$D$36,"SOPORTE CARDIOVASCULAR AVANZADO NEONATAL",IF(P99=CURSOS!$D$37,"SEGURIDAD DEL PACIENTE",IF(P99=CURSOS!$D$38,"MANEJO DE RESIDUOS HOSPITALARIOS",IF(P99=CURSOS!$D$39,"ATENCION DE PACIENTE POR CONSUMO SUSTANCIAS PSICOACTIVAS Y ADICCIONES")))))))))))))))))))))))))))))))))))))</f>
        <v xml:space="preserve">ATENCION A VICTIMAS DE VIOLENCIA SEXUAL </v>
      </c>
      <c r="W99" s="62" t="str">
        <f t="shared" si="6"/>
        <v>Adriana Sofia Vasquez Cardenas</v>
      </c>
      <c r="X99" s="62" t="str">
        <f t="shared" si="7"/>
        <v>Adriana Sofia Vasquez Cardenas</v>
      </c>
      <c r="Y99" s="62" t="str">
        <f t="shared" si="8"/>
        <v>Adriana Sofia Vasquez Cardenas-1080046139-VIOLENCIA SEXUAL</v>
      </c>
    </row>
    <row r="100" spans="1:25" s="92" customFormat="1" x14ac:dyDescent="0.2">
      <c r="A100" s="71">
        <v>99</v>
      </c>
      <c r="B100" s="59">
        <v>1085282089</v>
      </c>
      <c r="C100" s="59" t="s">
        <v>426</v>
      </c>
      <c r="D100" s="59" t="s">
        <v>340</v>
      </c>
      <c r="E100" s="59" t="s">
        <v>427</v>
      </c>
      <c r="F100" s="59" t="s">
        <v>428</v>
      </c>
      <c r="G100" s="59">
        <v>19</v>
      </c>
      <c r="H100" s="59" t="s">
        <v>200</v>
      </c>
      <c r="I100" s="60" t="s">
        <v>122</v>
      </c>
      <c r="J100" s="60" t="s">
        <v>387</v>
      </c>
      <c r="K100" s="61">
        <v>45796</v>
      </c>
      <c r="L100" s="66">
        <v>64000</v>
      </c>
      <c r="M100" s="59" t="s">
        <v>103</v>
      </c>
      <c r="N100" s="59" t="s">
        <v>138</v>
      </c>
      <c r="O100" s="59" t="s">
        <v>387</v>
      </c>
      <c r="P100" s="59" t="s">
        <v>32</v>
      </c>
      <c r="Q100" s="60">
        <v>33058</v>
      </c>
      <c r="R100" s="59" t="s">
        <v>124</v>
      </c>
      <c r="S100" s="59" t="s">
        <v>429</v>
      </c>
      <c r="T100" s="64">
        <v>3024038088</v>
      </c>
      <c r="U100" s="64" t="s">
        <v>430</v>
      </c>
      <c r="V100" s="62" t="str">
        <f>IF(P100=CURSOS!$D$3,"DIPLOMADO EN ATENCION PRE-HOSPITALARIA",IF(P100=CURSOS!$D$4,"ACOMPAÑAMIENTO Y MANEJO DEL DUELO",IF(P100=CURSOS!$D$5,"ATENCION A VICTIMAS DE ATAQUE CON AGENTES QUIMICOS ",IF(P100=CURSOS!$D$6,"PRIMEROS AUXILIOS ",IF(P100=CURSOS!$D$7,"DIPLOMADO DE UNIDAD DE CUIDADOS INTENSIVOS (UCI)",IF(P100=CURSOS!$D$8,"MODELO DE ATENCION PARA EVENTOS EMERGENTES EN SALUD MENTAL (CODIGO VERDE)",IF(P100=CURSOS!$D$9,"HUMANIZACION EN EL SERVICIO DE LA SALUD Y BUENAS PRACTICAS EN PACIENTE ",IF(P100=CURSOS!$D$10,"CLINICA DE HERIDAS ",IF(P100=CURSOS!$D$11,"TOMA DE CITOLOGIA CERVICO VAGINAL ",IF(P100=CURSOS!$D$12,"SOPORTE CARDIOVASCULAR AVANZADO (ACLS) ",IF(P100=CURSOS!$D$13,"CAMILLERO ",IF(P100=CURSOS!$D$14,"TOMA DE MUESTRAS Y LABORATORIO ",IF(P100=CURSOS!$D$15,"SOPORTE VITAL BASICO (BLS)",IF(P100=CURSOS!$D$16,"ATENCION A VICTIMAS DE VIOLENCIA SEXUAL ",IF(P100=CURSOS!$D$17,"PROGRAMADO AMPLIADO DE INMUNIZACION (PAI - COVID 19)",IF(P100=CURSOS!$D$18,"ATENCION INTEGRAL EN ENFERMEDADES PREVALENTES EN PRIMERA INFANCIA (AIEPI)",IF(P100=CURSOS!$D$19,"ADMINISTRACION DE MEDICAMENTOS, INYECTOLOGIA  Y CANALIZACION ",IF(P100=CURSOS!$D$20,"OPERADOR DE VEHICULOS DE EMERGENCIA (OVE)",IF(P100=CURSOS!$D$21,"INSTITUCIONES AMIGAS DE LA MUJER Y LA INFANCIA (IAMI)",IF(P100=CURSOS!$D$22,"CUIDADO DEL DONANTE DE ORGANOS",IF(P100=CURSOS!$D$23,"ATENCION A VICTIMAS POR VIOLENCIA DE GENERO",IF(P100=CURSOS!$D$24,"IGUALDAD DE GENERO EN LA SALUD",IF(P100=CURSOS!$D$25,"BRIGADA DE EMERGENCIA",IF(P100=CURSOS!$D$26,"MANEJO DEL DOLOR Y CUIDADOS PALIATIVOS",IF(P100=CURSOS!$D$27,"TOMA DE MUESTRAS Y LABORATORIO POCT",IF(P100=CURSOS!$D$28,"IMPLANTE SUBDERMICO DE DISPOSITIVO INTRAUTERINO",IF(P100=CURSOS!$D$29,"SALUD MENTAL",IF(P100=CURSOS!$D$30,"PRIMEROS AUXILIOS PSICOLOGICOS",IF(P100=CURSOS!$D$31,"ATENCION A VICTIMAS POR CONFLICTO ARMADO",IF(P100=CURSOS!$D$32,"MANIPULACION DE ALIMENTOS Y BPM",IF(P100=CURSOS!$D$33,"ATENCION A PERSONAS CON DISCAPACIDAD",IF(P100=CURSOS!$D$34,"CUIDADO INTEGRAL DEL PACIENTE ADULTO",IF(P100=CURSOS!$D$35,"MANEJO DEFENSIVO",IF(P100=CURSOS!$D$36,"SOPORTE CARDIOVASCULAR AVANZADO NEONATAL",IF(P100=CURSOS!$D$37,"SEGURIDAD DEL PACIENTE",IF(P100=CURSOS!$D$38,"MANEJO DE RESIDUOS HOSPITALARIOS",IF(P100=CURSOS!$D$39,"ATENCION DE PACIENTE POR CONSUMO SUSTANCIAS PSICOACTIVAS Y ADICCIONES")))))))))))))))))))))))))))))))))))))</f>
        <v xml:space="preserve">HUMANIZACION EN EL SERVICIO DE LA SALUD Y BUENAS PRACTICAS EN PACIENTE </v>
      </c>
      <c r="W100" s="62" t="str">
        <f t="shared" si="6"/>
        <v>Oscar Dario Puerchambud Rosero</v>
      </c>
      <c r="X100" s="62" t="str">
        <f t="shared" si="7"/>
        <v>Oscar Dario Puerchambud Rosero</v>
      </c>
      <c r="Y100" s="62" t="str">
        <f t="shared" si="8"/>
        <v>Oscar Dario Puerchambud Rosero-1085282089-HUMANIZACION</v>
      </c>
    </row>
    <row r="101" spans="1:25" s="92" customFormat="1" x14ac:dyDescent="0.2">
      <c r="A101" s="71">
        <v>100</v>
      </c>
      <c r="B101" s="59">
        <v>1087617873</v>
      </c>
      <c r="C101" s="59" t="s">
        <v>434</v>
      </c>
      <c r="D101" s="59" t="s">
        <v>435</v>
      </c>
      <c r="E101" s="59" t="s">
        <v>261</v>
      </c>
      <c r="F101" s="59" t="s">
        <v>436</v>
      </c>
      <c r="G101" s="59">
        <v>19</v>
      </c>
      <c r="H101" s="59" t="s">
        <v>200</v>
      </c>
      <c r="I101" s="60" t="s">
        <v>115</v>
      </c>
      <c r="J101" s="60" t="s">
        <v>240</v>
      </c>
      <c r="K101" s="61">
        <v>45796</v>
      </c>
      <c r="L101" s="66">
        <v>104000</v>
      </c>
      <c r="M101" s="59" t="s">
        <v>103</v>
      </c>
      <c r="N101" s="59" t="s">
        <v>138</v>
      </c>
      <c r="O101" s="59" t="s">
        <v>347</v>
      </c>
      <c r="P101" s="59" t="s">
        <v>37</v>
      </c>
      <c r="Q101" s="60">
        <v>33548</v>
      </c>
      <c r="R101" s="63" t="s">
        <v>124</v>
      </c>
      <c r="S101" s="64" t="s">
        <v>215</v>
      </c>
      <c r="T101" s="59">
        <v>3177562911</v>
      </c>
      <c r="U101" s="64" t="s">
        <v>437</v>
      </c>
      <c r="V101" s="62" t="str">
        <f>IF(P101=CURSOS!$D$3,"DIPLOMADO EN ATENCION PRE-HOSPITALARIA",IF(P101=CURSOS!$D$4,"ACOMPAÑAMIENTO Y MANEJO DEL DUELO",IF(P101=CURSOS!$D$5,"ATENCION A VICTIMAS DE ATAQUE CON AGENTES QUIMICOS ",IF(P101=CURSOS!$D$6,"PRIMEROS AUXILIOS ",IF(P101=CURSOS!$D$7,"DIPLOMADO DE UNIDAD DE CUIDADOS INTENSIVOS (UCI)",IF(P101=CURSOS!$D$8,"MODELO DE ATENCION PARA EVENTOS EMERGENTES EN SALUD MENTAL (CODIGO VERDE)",IF(P101=CURSOS!$D$9,"HUMANIZACION EN EL SERVICIO DE LA SALUD Y BUENAS PRACTICAS EN PACIENTE ",IF(P101=CURSOS!$D$10,"CLINICA DE HERIDAS ",IF(P101=CURSOS!$D$11,"TOMA DE CITOLOGIA CERVICO VAGINAL ",IF(P101=CURSOS!$D$12,"SOPORTE CARDIOVASCULAR AVANZADO (ACLS) ",IF(P101=CURSOS!$D$13,"CAMILLERO ",IF(P101=CURSOS!$D$14,"TOMA DE MUESTRAS Y LABORATORIO ",IF(P101=CURSOS!$D$15,"SOPORTE VITAL BASICO (BLS)",IF(P101=CURSOS!$D$16,"ATENCION A VICTIMAS DE VIOLENCIA SEXUAL ",IF(P101=CURSOS!$D$17,"PROGRAMADO AMPLIADO DE INMUNIZACION (PAI - COVID 19)",IF(P101=CURSOS!$D$18,"ATENCION INTEGRAL EN ENFERMEDADES PREVALENTES EN PRIMERA INFANCIA (AIEPI)",IF(P101=CURSOS!$D$19,"ADMINISTRACION DE MEDICAMENTOS, INYECTOLOGIA  Y CANALIZACION ",IF(P101=CURSOS!$D$20,"OPERADOR DE VEHICULOS DE EMERGENCIA (OVE)",IF(P101=CURSOS!$D$21,"INSTITUCIONES AMIGAS DE LA MUJER Y LA INFANCIA (IAMI)",IF(P101=CURSOS!$D$22,"CUIDADO DEL DONANTE DE ORGANOS",IF(P101=CURSOS!$D$23,"ATENCION A VICTIMAS POR VIOLENCIA DE GENERO",IF(P101=CURSOS!$D$24,"IGUALDAD DE GENERO EN LA SALUD",IF(P101=CURSOS!$D$25,"BRIGADA DE EMERGENCIA",IF(P101=CURSOS!$D$26,"MANEJO DEL DOLOR Y CUIDADOS PALIATIVOS",IF(P101=CURSOS!$D$27,"TOMA DE MUESTRAS Y LABORATORIO POCT",IF(P101=CURSOS!$D$28,"IMPLANTE SUBDERMICO DE DISPOSITIVO INTRAUTERINO",IF(P101=CURSOS!$D$29,"SALUD MENTAL",IF(P101=CURSOS!$D$30,"PRIMEROS AUXILIOS PSICOLOGICOS",IF(P101=CURSOS!$D$31,"ATENCION A VICTIMAS POR CONFLICTO ARMADO",IF(P101=CURSOS!$D$32,"MANIPULACION DE ALIMENTOS Y BPM",IF(P101=CURSOS!$D$33,"ATENCION A PERSONAS CON DISCAPACIDAD",IF(P101=CURSOS!$D$34,"CUIDADO INTEGRAL DEL PACIENTE ADULTO",IF(P101=CURSOS!$D$35,"MANEJO DEFENSIVO",IF(P101=CURSOS!$D$36,"SOPORTE CARDIOVASCULAR AVANZADO NEONATAL",IF(P101=CURSOS!$D$37,"SEGURIDAD DEL PACIENTE",IF(P101=CURSOS!$D$38,"MANEJO DE RESIDUOS HOSPITALARIOS",IF(P101=CURSOS!$D$39,"ATENCION DE PACIENTE POR CONSUMO SUSTANCIAS PSICOACTIVAS Y ADICCIONES")))))))))))))))))))))))))))))))))))))</f>
        <v xml:space="preserve">SOPORTE CARDIOVASCULAR AVANZADO (ACLS) </v>
      </c>
      <c r="W101" s="62" t="str">
        <f t="shared" si="6"/>
        <v>Luis Miguel Cuastumal Inguilan</v>
      </c>
      <c r="X101" s="62" t="str">
        <f t="shared" si="7"/>
        <v>Luis Miguel Cuastumal Inguilan</v>
      </c>
      <c r="Y101" s="62" t="str">
        <f t="shared" si="8"/>
        <v>Luis Miguel Cuastumal Inguilan-1087617873-ACLS</v>
      </c>
    </row>
    <row r="102" spans="1:25" s="92" customFormat="1" x14ac:dyDescent="0.2">
      <c r="A102" s="71">
        <v>101</v>
      </c>
      <c r="B102" s="59">
        <v>1087617873</v>
      </c>
      <c r="C102" s="59" t="s">
        <v>434</v>
      </c>
      <c r="D102" s="59" t="s">
        <v>435</v>
      </c>
      <c r="E102" s="59" t="s">
        <v>261</v>
      </c>
      <c r="F102" s="59" t="s">
        <v>436</v>
      </c>
      <c r="G102" s="59">
        <v>17</v>
      </c>
      <c r="H102" s="59" t="s">
        <v>200</v>
      </c>
      <c r="I102" s="60" t="s">
        <v>115</v>
      </c>
      <c r="J102" s="60" t="s">
        <v>240</v>
      </c>
      <c r="K102" s="61">
        <v>45796</v>
      </c>
      <c r="L102" s="66">
        <v>32000</v>
      </c>
      <c r="M102" s="59" t="s">
        <v>103</v>
      </c>
      <c r="N102" s="59" t="s">
        <v>138</v>
      </c>
      <c r="O102" s="59" t="s">
        <v>347</v>
      </c>
      <c r="P102" s="59" t="s">
        <v>40</v>
      </c>
      <c r="Q102" s="60">
        <v>33548</v>
      </c>
      <c r="R102" s="63" t="s">
        <v>124</v>
      </c>
      <c r="S102" s="64" t="s">
        <v>215</v>
      </c>
      <c r="T102" s="59">
        <v>3177562911</v>
      </c>
      <c r="U102" s="64" t="s">
        <v>437</v>
      </c>
      <c r="V102" s="62" t="str">
        <f>IF(P102=CURSOS!$D$3,"DIPLOMADO EN ATENCION PRE-HOSPITALARIA",IF(P102=CURSOS!$D$4,"ACOMPAÑAMIENTO Y MANEJO DEL DUELO",IF(P102=CURSOS!$D$5,"ATENCION A VICTIMAS DE ATAQUE CON AGENTES QUIMICOS ",IF(P102=CURSOS!$D$6,"PRIMEROS AUXILIOS ",IF(P102=CURSOS!$D$7,"DIPLOMADO DE UNIDAD DE CUIDADOS INTENSIVOS (UCI)",IF(P102=CURSOS!$D$8,"MODELO DE ATENCION PARA EVENTOS EMERGENTES EN SALUD MENTAL (CODIGO VERDE)",IF(P102=CURSOS!$D$9,"HUMANIZACION EN EL SERVICIO DE LA SALUD Y BUENAS PRACTICAS EN PACIENTE ",IF(P102=CURSOS!$D$10,"CLINICA DE HERIDAS ",IF(P102=CURSOS!$D$11,"TOMA DE CITOLOGIA CERVICO VAGINAL ",IF(P102=CURSOS!$D$12,"SOPORTE CARDIOVASCULAR AVANZADO (ACLS) ",IF(P102=CURSOS!$D$13,"CAMILLERO ",IF(P102=CURSOS!$D$14,"TOMA DE MUESTRAS Y LABORATORIO ",IF(P102=CURSOS!$D$15,"SOPORTE VITAL BASICO (BLS)",IF(P102=CURSOS!$D$16,"ATENCION A VICTIMAS DE VIOLENCIA SEXUAL ",IF(P102=CURSOS!$D$17,"PROGRAMADO AMPLIADO DE INMUNIZACION (PAI - COVID 19)",IF(P102=CURSOS!$D$18,"ATENCION INTEGRAL EN ENFERMEDADES PREVALENTES EN PRIMERA INFANCIA (AIEPI)",IF(P102=CURSOS!$D$19,"ADMINISTRACION DE MEDICAMENTOS, INYECTOLOGIA  Y CANALIZACION ",IF(P102=CURSOS!$D$20,"OPERADOR DE VEHICULOS DE EMERGENCIA (OVE)",IF(P102=CURSOS!$D$21,"INSTITUCIONES AMIGAS DE LA MUJER Y LA INFANCIA (IAMI)",IF(P102=CURSOS!$D$22,"CUIDADO DEL DONANTE DE ORGANOS",IF(P102=CURSOS!$D$23,"ATENCION A VICTIMAS POR VIOLENCIA DE GENERO",IF(P102=CURSOS!$D$24,"IGUALDAD DE GENERO EN LA SALUD",IF(P102=CURSOS!$D$25,"BRIGADA DE EMERGENCIA",IF(P102=CURSOS!$D$26,"MANEJO DEL DOLOR Y CUIDADOS PALIATIVOS",IF(P102=CURSOS!$D$27,"TOMA DE MUESTRAS Y LABORATORIO POCT",IF(P102=CURSOS!$D$28,"IMPLANTE SUBDERMICO DE DISPOSITIVO INTRAUTERINO",IF(P102=CURSOS!$D$29,"SALUD MENTAL",IF(P102=CURSOS!$D$30,"PRIMEROS AUXILIOS PSICOLOGICOS",IF(P102=CURSOS!$D$31,"ATENCION A VICTIMAS POR CONFLICTO ARMADO",IF(P102=CURSOS!$D$32,"MANIPULACION DE ALIMENTOS Y BPM",IF(P102=CURSOS!$D$33,"ATENCION A PERSONAS CON DISCAPACIDAD",IF(P102=CURSOS!$D$34,"CUIDADO INTEGRAL DEL PACIENTE ADULTO",IF(P102=CURSOS!$D$35,"MANEJO DEFENSIVO",IF(P102=CURSOS!$D$36,"SOPORTE CARDIOVASCULAR AVANZADO NEONATAL",IF(P102=CURSOS!$D$37,"SEGURIDAD DEL PACIENTE",IF(P102=CURSOS!$D$38,"MANEJO DE RESIDUOS HOSPITALARIOS",IF(P102=CURSOS!$D$39,"ATENCION DE PACIENTE POR CONSUMO SUSTANCIAS PSICOACTIVAS Y ADICCIONES")))))))))))))))))))))))))))))))))))))</f>
        <v xml:space="preserve">TOMA DE MUESTRAS Y LABORATORIO </v>
      </c>
      <c r="W102" s="62" t="str">
        <f t="shared" si="6"/>
        <v>Luis Miguel Cuastumal Inguilan</v>
      </c>
      <c r="X102" s="62" t="str">
        <f t="shared" si="7"/>
        <v>Luis Miguel Cuastumal Inguilan</v>
      </c>
      <c r="Y102" s="62" t="str">
        <f t="shared" si="8"/>
        <v>Luis Miguel Cuastumal Inguilan-1087617873-TOMA DE MUESTRAS</v>
      </c>
    </row>
    <row r="103" spans="1:25" s="92" customFormat="1" x14ac:dyDescent="0.2">
      <c r="A103" s="71">
        <v>102</v>
      </c>
      <c r="B103" s="59">
        <v>1087617873</v>
      </c>
      <c r="C103" s="59" t="s">
        <v>434</v>
      </c>
      <c r="D103" s="59" t="s">
        <v>435</v>
      </c>
      <c r="E103" s="59" t="s">
        <v>261</v>
      </c>
      <c r="F103" s="59" t="s">
        <v>436</v>
      </c>
      <c r="G103" s="59">
        <v>16</v>
      </c>
      <c r="H103" s="59" t="s">
        <v>200</v>
      </c>
      <c r="I103" s="60" t="s">
        <v>115</v>
      </c>
      <c r="J103" s="60" t="s">
        <v>240</v>
      </c>
      <c r="K103" s="61">
        <v>45796</v>
      </c>
      <c r="L103" s="66">
        <v>32000</v>
      </c>
      <c r="M103" s="59" t="s">
        <v>103</v>
      </c>
      <c r="N103" s="59" t="s">
        <v>138</v>
      </c>
      <c r="O103" s="59" t="s">
        <v>347</v>
      </c>
      <c r="P103" s="59" t="s">
        <v>57</v>
      </c>
      <c r="Q103" s="60">
        <v>33548</v>
      </c>
      <c r="R103" s="63" t="s">
        <v>124</v>
      </c>
      <c r="S103" s="64" t="s">
        <v>215</v>
      </c>
      <c r="T103" s="59">
        <v>3177562911</v>
      </c>
      <c r="U103" s="64" t="s">
        <v>437</v>
      </c>
      <c r="V103" s="62" t="str">
        <f>IF(P103=CURSOS!$D$3,"DIPLOMADO EN ATENCION PRE-HOSPITALARIA",IF(P103=CURSOS!$D$4,"ACOMPAÑAMIENTO Y MANEJO DEL DUELO",IF(P103=CURSOS!$D$5,"ATENCION A VICTIMAS DE ATAQUE CON AGENTES QUIMICOS ",IF(P103=CURSOS!$D$6,"PRIMEROS AUXILIOS ",IF(P103=CURSOS!$D$7,"DIPLOMADO DE UNIDAD DE CUIDADOS INTENSIVOS (UCI)",IF(P103=CURSOS!$D$8,"MODELO DE ATENCION PARA EVENTOS EMERGENTES EN SALUD MENTAL (CODIGO VERDE)",IF(P103=CURSOS!$D$9,"HUMANIZACION EN EL SERVICIO DE LA SALUD Y BUENAS PRACTICAS EN PACIENTE ",IF(P103=CURSOS!$D$10,"CLINICA DE HERIDAS ",IF(P103=CURSOS!$D$11,"TOMA DE CITOLOGIA CERVICO VAGINAL ",IF(P103=CURSOS!$D$12,"SOPORTE CARDIOVASCULAR AVANZADO (ACLS) ",IF(P103=CURSOS!$D$13,"CAMILLERO ",IF(P103=CURSOS!$D$14,"TOMA DE MUESTRAS Y LABORATORIO ",IF(P103=CURSOS!$D$15,"SOPORTE VITAL BASICO (BLS)",IF(P103=CURSOS!$D$16,"ATENCION A VICTIMAS DE VIOLENCIA SEXUAL ",IF(P103=CURSOS!$D$17,"PROGRAMADO AMPLIADO DE INMUNIZACION (PAI - COVID 19)",IF(P103=CURSOS!$D$18,"ATENCION INTEGRAL EN ENFERMEDADES PREVALENTES EN PRIMERA INFANCIA (AIEPI)",IF(P103=CURSOS!$D$19,"ADMINISTRACION DE MEDICAMENTOS, INYECTOLOGIA  Y CANALIZACION ",IF(P103=CURSOS!$D$20,"OPERADOR DE VEHICULOS DE EMERGENCIA (OVE)",IF(P103=CURSOS!$D$21,"INSTITUCIONES AMIGAS DE LA MUJER Y LA INFANCIA (IAMI)",IF(P103=CURSOS!$D$22,"CUIDADO DEL DONANTE DE ORGANOS",IF(P103=CURSOS!$D$23,"ATENCION A VICTIMAS POR VIOLENCIA DE GENERO",IF(P103=CURSOS!$D$24,"IGUALDAD DE GENERO EN LA SALUD",IF(P103=CURSOS!$D$25,"BRIGADA DE EMERGENCIA",IF(P103=CURSOS!$D$26,"MANEJO DEL DOLOR Y CUIDADOS PALIATIVOS",IF(P103=CURSOS!$D$27,"TOMA DE MUESTRAS Y LABORATORIO POCT",IF(P103=CURSOS!$D$28,"IMPLANTE SUBDERMICO DE DISPOSITIVO INTRAUTERINO",IF(P103=CURSOS!$D$29,"SALUD MENTAL",IF(P103=CURSOS!$D$30,"PRIMEROS AUXILIOS PSICOLOGICOS",IF(P103=CURSOS!$D$31,"ATENCION A VICTIMAS POR CONFLICTO ARMADO",IF(P103=CURSOS!$D$32,"MANIPULACION DE ALIMENTOS Y BPM",IF(P103=CURSOS!$D$33,"ATENCION A PERSONAS CON DISCAPACIDAD",IF(P103=CURSOS!$D$34,"CUIDADO INTEGRAL DEL PACIENTE ADULTO",IF(P103=CURSOS!$D$35,"MANEJO DEFENSIVO",IF(P103=CURSOS!$D$36,"SOPORTE CARDIOVASCULAR AVANZADO NEONATAL",IF(P103=CURSOS!$D$37,"SEGURIDAD DEL PACIENTE",IF(P103=CURSOS!$D$38,"MANEJO DE RESIDUOS HOSPITALARIOS",IF(P103=CURSOS!$D$39,"ATENCION DE PACIENTE POR CONSUMO SUSTANCIAS PSICOACTIVAS Y ADICCIONES")))))))))))))))))))))))))))))))))))))</f>
        <v>MANEJO DEL DOLOR Y CUIDADOS PALIATIVOS</v>
      </c>
      <c r="W103" s="62" t="str">
        <f t="shared" si="6"/>
        <v>Luis Miguel Cuastumal Inguilan</v>
      </c>
      <c r="X103" s="62" t="str">
        <f t="shared" si="7"/>
        <v>Luis Miguel Cuastumal Inguilan</v>
      </c>
      <c r="Y103" s="62" t="str">
        <f t="shared" si="8"/>
        <v>Luis Miguel Cuastumal Inguilan-1087617873-PALIATIVOS</v>
      </c>
    </row>
    <row r="104" spans="1:25" s="92" customFormat="1" x14ac:dyDescent="0.2">
      <c r="A104" s="71">
        <v>103</v>
      </c>
      <c r="B104" s="59">
        <v>1087617873</v>
      </c>
      <c r="C104" s="59" t="s">
        <v>434</v>
      </c>
      <c r="D104" s="59" t="s">
        <v>435</v>
      </c>
      <c r="E104" s="59" t="s">
        <v>261</v>
      </c>
      <c r="F104" s="59" t="s">
        <v>436</v>
      </c>
      <c r="G104" s="59">
        <v>14</v>
      </c>
      <c r="H104" s="59" t="s">
        <v>200</v>
      </c>
      <c r="I104" s="60" t="s">
        <v>115</v>
      </c>
      <c r="J104" s="60" t="s">
        <v>240</v>
      </c>
      <c r="K104" s="61">
        <v>45796</v>
      </c>
      <c r="L104" s="66">
        <v>32000</v>
      </c>
      <c r="M104" s="59" t="s">
        <v>103</v>
      </c>
      <c r="N104" s="59" t="s">
        <v>138</v>
      </c>
      <c r="O104" s="59" t="s">
        <v>347</v>
      </c>
      <c r="P104" s="59" t="s">
        <v>42</v>
      </c>
      <c r="Q104" s="60">
        <v>33548</v>
      </c>
      <c r="R104" s="63" t="s">
        <v>124</v>
      </c>
      <c r="S104" s="64" t="s">
        <v>215</v>
      </c>
      <c r="T104" s="59">
        <v>3177562911</v>
      </c>
      <c r="U104" s="64" t="s">
        <v>437</v>
      </c>
      <c r="V104" s="62" t="str">
        <f>IF(P104=CURSOS!$D$3,"DIPLOMADO EN ATENCION PRE-HOSPITALARIA",IF(P104=CURSOS!$D$4,"ACOMPAÑAMIENTO Y MANEJO DEL DUELO",IF(P104=CURSOS!$D$5,"ATENCION A VICTIMAS DE ATAQUE CON AGENTES QUIMICOS ",IF(P104=CURSOS!$D$6,"PRIMEROS AUXILIOS ",IF(P104=CURSOS!$D$7,"DIPLOMADO DE UNIDAD DE CUIDADOS INTENSIVOS (UCI)",IF(P104=CURSOS!$D$8,"MODELO DE ATENCION PARA EVENTOS EMERGENTES EN SALUD MENTAL (CODIGO VERDE)",IF(P104=CURSOS!$D$9,"HUMANIZACION EN EL SERVICIO DE LA SALUD Y BUENAS PRACTICAS EN PACIENTE ",IF(P104=CURSOS!$D$10,"CLINICA DE HERIDAS ",IF(P104=CURSOS!$D$11,"TOMA DE CITOLOGIA CERVICO VAGINAL ",IF(P104=CURSOS!$D$12,"SOPORTE CARDIOVASCULAR AVANZADO (ACLS) ",IF(P104=CURSOS!$D$13,"CAMILLERO ",IF(P104=CURSOS!$D$14,"TOMA DE MUESTRAS Y LABORATORIO ",IF(P104=CURSOS!$D$15,"SOPORTE VITAL BASICO (BLS)",IF(P104=CURSOS!$D$16,"ATENCION A VICTIMAS DE VIOLENCIA SEXUAL ",IF(P104=CURSOS!$D$17,"PROGRAMADO AMPLIADO DE INMUNIZACION (PAI - COVID 19)",IF(P104=CURSOS!$D$18,"ATENCION INTEGRAL EN ENFERMEDADES PREVALENTES EN PRIMERA INFANCIA (AIEPI)",IF(P104=CURSOS!$D$19,"ADMINISTRACION DE MEDICAMENTOS, INYECTOLOGIA  Y CANALIZACION ",IF(P104=CURSOS!$D$20,"OPERADOR DE VEHICULOS DE EMERGENCIA (OVE)",IF(P104=CURSOS!$D$21,"INSTITUCIONES AMIGAS DE LA MUJER Y LA INFANCIA (IAMI)",IF(P104=CURSOS!$D$22,"CUIDADO DEL DONANTE DE ORGANOS",IF(P104=CURSOS!$D$23,"ATENCION A VICTIMAS POR VIOLENCIA DE GENERO",IF(P104=CURSOS!$D$24,"IGUALDAD DE GENERO EN LA SALUD",IF(P104=CURSOS!$D$25,"BRIGADA DE EMERGENCIA",IF(P104=CURSOS!$D$26,"MANEJO DEL DOLOR Y CUIDADOS PALIATIVOS",IF(P104=CURSOS!$D$27,"TOMA DE MUESTRAS Y LABORATORIO POCT",IF(P104=CURSOS!$D$28,"IMPLANTE SUBDERMICO DE DISPOSITIVO INTRAUTERINO",IF(P104=CURSOS!$D$29,"SALUD MENTAL",IF(P104=CURSOS!$D$30,"PRIMEROS AUXILIOS PSICOLOGICOS",IF(P104=CURSOS!$D$31,"ATENCION A VICTIMAS POR CONFLICTO ARMADO",IF(P104=CURSOS!$D$32,"MANIPULACION DE ALIMENTOS Y BPM",IF(P104=CURSOS!$D$33,"ATENCION A PERSONAS CON DISCAPACIDAD",IF(P104=CURSOS!$D$34,"CUIDADO INTEGRAL DEL PACIENTE ADULTO",IF(P104=CURSOS!$D$35,"MANEJO DEFENSIVO",IF(P104=CURSOS!$D$36,"SOPORTE CARDIOVASCULAR AVANZADO NEONATAL",IF(P104=CURSOS!$D$37,"SEGURIDAD DEL PACIENTE",IF(P104=CURSOS!$D$38,"MANEJO DE RESIDUOS HOSPITALARIOS",IF(P104=CURSOS!$D$39,"ATENCION DE PACIENTE POR CONSUMO SUSTANCIAS PSICOACTIVAS Y ADICCIONES")))))))))))))))))))))))))))))))))))))</f>
        <v xml:space="preserve">ATENCION A VICTIMAS DE VIOLENCIA SEXUAL </v>
      </c>
      <c r="W104" s="62" t="str">
        <f t="shared" si="6"/>
        <v>Luis Miguel Cuastumal Inguilan</v>
      </c>
      <c r="X104" s="62" t="str">
        <f t="shared" si="7"/>
        <v>Luis Miguel Cuastumal Inguilan</v>
      </c>
      <c r="Y104" s="62" t="str">
        <f t="shared" si="8"/>
        <v>Luis Miguel Cuastumal Inguilan-1087617873-VIOLENCIA SEXUAL</v>
      </c>
    </row>
    <row r="105" spans="1:25" s="92" customFormat="1" x14ac:dyDescent="0.2">
      <c r="A105" s="71">
        <v>104</v>
      </c>
      <c r="B105" s="59">
        <v>1087617873</v>
      </c>
      <c r="C105" s="59" t="s">
        <v>434</v>
      </c>
      <c r="D105" s="59" t="s">
        <v>435</v>
      </c>
      <c r="E105" s="59" t="s">
        <v>261</v>
      </c>
      <c r="F105" s="59" t="s">
        <v>436</v>
      </c>
      <c r="G105" s="59">
        <v>15</v>
      </c>
      <c r="H105" s="59" t="s">
        <v>200</v>
      </c>
      <c r="I105" s="60" t="s">
        <v>115</v>
      </c>
      <c r="J105" s="60" t="s">
        <v>240</v>
      </c>
      <c r="K105" s="61">
        <v>45796</v>
      </c>
      <c r="L105" s="66">
        <v>32000</v>
      </c>
      <c r="M105" s="59" t="s">
        <v>103</v>
      </c>
      <c r="N105" s="59" t="s">
        <v>138</v>
      </c>
      <c r="O105" s="59" t="s">
        <v>347</v>
      </c>
      <c r="P105" s="59" t="s">
        <v>25</v>
      </c>
      <c r="Q105" s="60">
        <v>33548</v>
      </c>
      <c r="R105" s="63" t="s">
        <v>124</v>
      </c>
      <c r="S105" s="64" t="s">
        <v>215</v>
      </c>
      <c r="T105" s="59">
        <v>3177562911</v>
      </c>
      <c r="U105" s="64" t="s">
        <v>437</v>
      </c>
      <c r="V105" s="62" t="str">
        <f>IF(P105=CURSOS!$D$3,"DIPLOMADO EN ATENCION PRE-HOSPITALARIA",IF(P105=CURSOS!$D$4,"ACOMPAÑAMIENTO Y MANEJO DEL DUELO",IF(P105=CURSOS!$D$5,"ATENCION A VICTIMAS DE ATAQUE CON AGENTES QUIMICOS ",IF(P105=CURSOS!$D$6,"PRIMEROS AUXILIOS ",IF(P105=CURSOS!$D$7,"DIPLOMADO DE UNIDAD DE CUIDADOS INTENSIVOS (UCI)",IF(P105=CURSOS!$D$8,"MODELO DE ATENCION PARA EVENTOS EMERGENTES EN SALUD MENTAL (CODIGO VERDE)",IF(P105=CURSOS!$D$9,"HUMANIZACION EN EL SERVICIO DE LA SALUD Y BUENAS PRACTICAS EN PACIENTE ",IF(P105=CURSOS!$D$10,"CLINICA DE HERIDAS ",IF(P105=CURSOS!$D$11,"TOMA DE CITOLOGIA CERVICO VAGINAL ",IF(P105=CURSOS!$D$12,"SOPORTE CARDIOVASCULAR AVANZADO (ACLS) ",IF(P105=CURSOS!$D$13,"CAMILLERO ",IF(P105=CURSOS!$D$14,"TOMA DE MUESTRAS Y LABORATORIO ",IF(P105=CURSOS!$D$15,"SOPORTE VITAL BASICO (BLS)",IF(P105=CURSOS!$D$16,"ATENCION A VICTIMAS DE VIOLENCIA SEXUAL ",IF(P105=CURSOS!$D$17,"PROGRAMADO AMPLIADO DE INMUNIZACION (PAI - COVID 19)",IF(P105=CURSOS!$D$18,"ATENCION INTEGRAL EN ENFERMEDADES PREVALENTES EN PRIMERA INFANCIA (AIEPI)",IF(P105=CURSOS!$D$19,"ADMINISTRACION DE MEDICAMENTOS, INYECTOLOGIA  Y CANALIZACION ",IF(P105=CURSOS!$D$20,"OPERADOR DE VEHICULOS DE EMERGENCIA (OVE)",IF(P105=CURSOS!$D$21,"INSTITUCIONES AMIGAS DE LA MUJER Y LA INFANCIA (IAMI)",IF(P105=CURSOS!$D$22,"CUIDADO DEL DONANTE DE ORGANOS",IF(P105=CURSOS!$D$23,"ATENCION A VICTIMAS POR VIOLENCIA DE GENERO",IF(P105=CURSOS!$D$24,"IGUALDAD DE GENERO EN LA SALUD",IF(P105=CURSOS!$D$25,"BRIGADA DE EMERGENCIA",IF(P105=CURSOS!$D$26,"MANEJO DEL DOLOR Y CUIDADOS PALIATIVOS",IF(P105=CURSOS!$D$27,"TOMA DE MUESTRAS Y LABORATORIO POCT",IF(P105=CURSOS!$D$28,"IMPLANTE SUBDERMICO DE DISPOSITIVO INTRAUTERINO",IF(P105=CURSOS!$D$29,"SALUD MENTAL",IF(P105=CURSOS!$D$30,"PRIMEROS AUXILIOS PSICOLOGICOS",IF(P105=CURSOS!$D$31,"ATENCION A VICTIMAS POR CONFLICTO ARMADO",IF(P105=CURSOS!$D$32,"MANIPULACION DE ALIMENTOS Y BPM",IF(P105=CURSOS!$D$33,"ATENCION A PERSONAS CON DISCAPACIDAD",IF(P105=CURSOS!$D$34,"CUIDADO INTEGRAL DEL PACIENTE ADULTO",IF(P105=CURSOS!$D$35,"MANEJO DEFENSIVO",IF(P105=CURSOS!$D$36,"SOPORTE CARDIOVASCULAR AVANZADO NEONATAL",IF(P105=CURSOS!$D$37,"SEGURIDAD DEL PACIENTE",IF(P105=CURSOS!$D$38,"MANEJO DE RESIDUOS HOSPITALARIOS",IF(P105=CURSOS!$D$39,"ATENCION DE PACIENTE POR CONSUMO SUSTANCIAS PSICOACTIVAS Y ADICCIONES")))))))))))))))))))))))))))))))))))))</f>
        <v xml:space="preserve">ATENCION A VICTIMAS DE ATAQUE CON AGENTES QUIMICOS </v>
      </c>
      <c r="W105" s="62" t="str">
        <f t="shared" si="6"/>
        <v>Luis Miguel Cuastumal Inguilan</v>
      </c>
      <c r="X105" s="62" t="str">
        <f t="shared" si="7"/>
        <v>Luis Miguel Cuastumal Inguilan</v>
      </c>
      <c r="Y105" s="62" t="str">
        <f t="shared" si="8"/>
        <v>Luis Miguel Cuastumal Inguilan-1087617873-QUIMICOS</v>
      </c>
    </row>
    <row r="106" spans="1:25" s="92" customFormat="1" x14ac:dyDescent="0.2">
      <c r="A106" s="71">
        <v>105</v>
      </c>
      <c r="B106" s="59">
        <v>36756919</v>
      </c>
      <c r="C106" s="63" t="s">
        <v>393</v>
      </c>
      <c r="D106" s="63" t="s">
        <v>291</v>
      </c>
      <c r="E106" s="63" t="s">
        <v>438</v>
      </c>
      <c r="F106" s="63" t="s">
        <v>198</v>
      </c>
      <c r="G106" s="63">
        <v>20</v>
      </c>
      <c r="H106" s="59" t="s">
        <v>200</v>
      </c>
      <c r="I106" s="60" t="s">
        <v>115</v>
      </c>
      <c r="J106" s="60" t="s">
        <v>123</v>
      </c>
      <c r="K106" s="61">
        <v>45797</v>
      </c>
      <c r="L106" s="66">
        <v>32000</v>
      </c>
      <c r="M106" s="59" t="s">
        <v>103</v>
      </c>
      <c r="N106" s="59" t="s">
        <v>138</v>
      </c>
      <c r="O106" s="59" t="s">
        <v>116</v>
      </c>
      <c r="P106" s="59" t="s">
        <v>48</v>
      </c>
      <c r="Q106" s="60">
        <v>30004</v>
      </c>
      <c r="R106" s="63" t="s">
        <v>102</v>
      </c>
      <c r="S106" s="59" t="s">
        <v>282</v>
      </c>
      <c r="T106" s="64">
        <v>3104975061</v>
      </c>
      <c r="U106" s="59" t="s">
        <v>439</v>
      </c>
      <c r="V106" s="62" t="str">
        <f>IF(P106=CURSOS!$D$3,"DIPLOMADO EN ATENCION PRE-HOSPITALARIA",IF(P106=CURSOS!$D$4,"ACOMPAÑAMIENTO Y MANEJO DEL DUELO",IF(P106=CURSOS!$D$5,"ATENCION A VICTIMAS DE ATAQUE CON AGENTES QUIMICOS ",IF(P106=CURSOS!$D$6,"PRIMEROS AUXILIOS ",IF(P106=CURSOS!$D$7,"DIPLOMADO DE UNIDAD DE CUIDADOS INTENSIVOS (UCI)",IF(P106=CURSOS!$D$8,"MODELO DE ATENCION PARA EVENTOS EMERGENTES EN SALUD MENTAL (CODIGO VERDE)",IF(P106=CURSOS!$D$9,"HUMANIZACION EN EL SERVICIO DE LA SALUD Y BUENAS PRACTICAS EN PACIENTE ",IF(P106=CURSOS!$D$10,"CLINICA DE HERIDAS ",IF(P106=CURSOS!$D$11,"TOMA DE CITOLOGIA CERVICO VAGINAL ",IF(P106=CURSOS!$D$12,"SOPORTE CARDIOVASCULAR AVANZADO (ACLS) ",IF(P106=CURSOS!$D$13,"CAMILLERO ",IF(P106=CURSOS!$D$14,"TOMA DE MUESTRAS Y LABORATORIO ",IF(P106=CURSOS!$D$15,"SOPORTE VITAL BASICO (BLS)",IF(P106=CURSOS!$D$16,"ATENCION A VICTIMAS DE VIOLENCIA SEXUAL ",IF(P106=CURSOS!$D$17,"PROGRAMADO AMPLIADO DE INMUNIZACION (PAI - COVID 19)",IF(P106=CURSOS!$D$18,"ATENCION INTEGRAL EN ENFERMEDADES PREVALENTES EN PRIMERA INFANCIA (AIEPI)",IF(P106=CURSOS!$D$19,"ADMINISTRACION DE MEDICAMENTOS, INYECTOLOGIA  Y CANALIZACION ",IF(P106=CURSOS!$D$20,"OPERADOR DE VEHICULOS DE EMERGENCIA (OVE)",IF(P106=CURSOS!$D$21,"INSTITUCIONES AMIGAS DE LA MUJER Y LA INFANCIA (IAMI)",IF(P106=CURSOS!$D$22,"CUIDADO DEL DONANTE DE ORGANOS",IF(P106=CURSOS!$D$23,"ATENCION A VICTIMAS POR VIOLENCIA DE GENERO",IF(P106=CURSOS!$D$24,"IGUALDAD DE GENERO EN LA SALUD",IF(P106=CURSOS!$D$25,"BRIGADA DE EMERGENCIA",IF(P106=CURSOS!$D$26,"MANEJO DEL DOLOR Y CUIDADOS PALIATIVOS",IF(P106=CURSOS!$D$27,"TOMA DE MUESTRAS Y LABORATORIO POCT",IF(P106=CURSOS!$D$28,"IMPLANTE SUBDERMICO DE DISPOSITIVO INTRAUTERINO",IF(P106=CURSOS!$D$29,"SALUD MENTAL",IF(P106=CURSOS!$D$30,"PRIMEROS AUXILIOS PSICOLOGICOS",IF(P106=CURSOS!$D$31,"ATENCION A VICTIMAS POR CONFLICTO ARMADO",IF(P106=CURSOS!$D$32,"MANIPULACION DE ALIMENTOS Y BPM",IF(P106=CURSOS!$D$33,"ATENCION A PERSONAS CON DISCAPACIDAD",IF(P106=CURSOS!$D$34,"CUIDADO INTEGRAL DEL PACIENTE ADULTO",IF(P106=CURSOS!$D$35,"MANEJO DEFENSIVO",IF(P106=CURSOS!$D$36,"SOPORTE CARDIOVASCULAR AVANZADO NEONATAL",IF(P106=CURSOS!$D$37,"SEGURIDAD DEL PACIENTE",IF(P106=CURSOS!$D$38,"MANEJO DE RESIDUOS HOSPITALARIOS",IF(P106=CURSOS!$D$39,"ATENCION DE PACIENTE POR CONSUMO SUSTANCIAS PSICOACTIVAS Y ADICCIONES")))))))))))))))))))))))))))))))))))))</f>
        <v>INSTITUCIONES AMIGAS DE LA MUJER Y LA INFANCIA (IAMI)</v>
      </c>
      <c r="W106" s="62" t="str">
        <f t="shared" si="6"/>
        <v>Angelica Maria Cordoba Castillo</v>
      </c>
      <c r="X106" s="62" t="str">
        <f t="shared" si="7"/>
        <v>Angelica Maria Cordoba Castillo</v>
      </c>
      <c r="Y106" s="62" t="str">
        <f t="shared" si="8"/>
        <v>Angelica Maria Cordoba Castillo-36756919-IAMI</v>
      </c>
    </row>
    <row r="107" spans="1:25" s="92" customFormat="1" x14ac:dyDescent="0.2">
      <c r="A107" s="71">
        <v>106</v>
      </c>
      <c r="B107" s="59">
        <v>1087419325</v>
      </c>
      <c r="C107" s="63" t="s">
        <v>440</v>
      </c>
      <c r="D107" s="63" t="s">
        <v>167</v>
      </c>
      <c r="E107" s="63" t="s">
        <v>428</v>
      </c>
      <c r="F107" s="63" t="s">
        <v>441</v>
      </c>
      <c r="G107" s="63">
        <v>20</v>
      </c>
      <c r="H107" s="59" t="s">
        <v>200</v>
      </c>
      <c r="I107" s="60" t="s">
        <v>115</v>
      </c>
      <c r="J107" s="60" t="s">
        <v>240</v>
      </c>
      <c r="K107" s="61">
        <v>45798</v>
      </c>
      <c r="L107" s="66">
        <v>32000</v>
      </c>
      <c r="M107" s="59" t="s">
        <v>103</v>
      </c>
      <c r="N107" s="59" t="s">
        <v>138</v>
      </c>
      <c r="O107" s="59" t="s">
        <v>99</v>
      </c>
      <c r="P107" s="59" t="s">
        <v>19</v>
      </c>
      <c r="Q107" s="68">
        <v>34183</v>
      </c>
      <c r="R107" s="63" t="s">
        <v>124</v>
      </c>
      <c r="S107" s="63" t="s">
        <v>201</v>
      </c>
      <c r="T107" s="69"/>
      <c r="U107" s="59" t="s">
        <v>442</v>
      </c>
      <c r="V107" s="62" t="str">
        <f>IF(P107=CURSOS!$D$3,"DIPLOMADO EN ATENCION PRE-HOSPITALARIA",IF(P107=CURSOS!$D$4,"ACOMPAÑAMIENTO Y MANEJO DEL DUELO",IF(P107=CURSOS!$D$5,"ATENCION A VICTIMAS DE ATAQUE CON AGENTES QUIMICOS ",IF(P107=CURSOS!$D$6,"PRIMEROS AUXILIOS ",IF(P107=CURSOS!$D$7,"DIPLOMADO DE UNIDAD DE CUIDADOS INTENSIVOS (UCI)",IF(P107=CURSOS!$D$8,"MODELO DE ATENCION PARA EVENTOS EMERGENTES EN SALUD MENTAL (CODIGO VERDE)",IF(P107=CURSOS!$D$9,"HUMANIZACION EN EL SERVICIO DE LA SALUD Y BUENAS PRACTICAS EN PACIENTE ",IF(P107=CURSOS!$D$10,"CLINICA DE HERIDAS ",IF(P107=CURSOS!$D$11,"TOMA DE CITOLOGIA CERVICO VAGINAL ",IF(P107=CURSOS!$D$12,"SOPORTE CARDIOVASCULAR AVANZADO (ACLS) ",IF(P107=CURSOS!$D$13,"CAMILLERO ",IF(P107=CURSOS!$D$14,"TOMA DE MUESTRAS Y LABORATORIO ",IF(P107=CURSOS!$D$15,"SOPORTE VITAL BASICO (BLS)",IF(P107=CURSOS!$D$16,"ATENCION A VICTIMAS DE VIOLENCIA SEXUAL ",IF(P107=CURSOS!$D$17,"PROGRAMADO AMPLIADO DE INMUNIZACION (PAI - COVID 19)",IF(P107=CURSOS!$D$18,"ATENCION INTEGRAL EN ENFERMEDADES PREVALENTES EN PRIMERA INFANCIA (AIEPI)",IF(P107=CURSOS!$D$19,"ADMINISTRACION DE MEDICAMENTOS, INYECTOLOGIA  Y CANALIZACION ",IF(P107=CURSOS!$D$20,"OPERADOR DE VEHICULOS DE EMERGENCIA (OVE)",IF(P107=CURSOS!$D$21,"INSTITUCIONES AMIGAS DE LA MUJER Y LA INFANCIA (IAMI)",IF(P107=CURSOS!$D$22,"CUIDADO DEL DONANTE DE ORGANOS",IF(P107=CURSOS!$D$23,"ATENCION A VICTIMAS POR VIOLENCIA DE GENERO",IF(P107=CURSOS!$D$24,"IGUALDAD DE GENERO EN LA SALUD",IF(P107=CURSOS!$D$25,"BRIGADA DE EMERGENCIA",IF(P107=CURSOS!$D$26,"MANEJO DEL DOLOR Y CUIDADOS PALIATIVOS",IF(P107=CURSOS!$D$27,"TOMA DE MUESTRAS Y LABORATORIO POCT",IF(P107=CURSOS!$D$28,"IMPLANTE SUBDERMICO DE DISPOSITIVO INTRAUTERINO",IF(P107=CURSOS!$D$29,"SALUD MENTAL",IF(P107=CURSOS!$D$30,"PRIMEROS AUXILIOS PSICOLOGICOS",IF(P107=CURSOS!$D$31,"ATENCION A VICTIMAS POR CONFLICTO ARMADO",IF(P107=CURSOS!$D$32,"MANIPULACION DE ALIMENTOS Y BPM",IF(P107=CURSOS!$D$33,"ATENCION A PERSONAS CON DISCAPACIDAD",IF(P107=CURSOS!$D$34,"CUIDADO INTEGRAL DEL PACIENTE ADULTO",IF(P107=CURSOS!$D$35,"MANEJO DEFENSIVO",IF(P107=CURSOS!$D$36,"SOPORTE CARDIOVASCULAR AVANZADO NEONATAL",IF(P107=CURSOS!$D$37,"SEGURIDAD DEL PACIENTE",IF(P107=CURSOS!$D$38,"MANEJO DE RESIDUOS HOSPITALARIOS",IF(P107=CURSOS!$D$39,"ATENCION DE PACIENTE POR CONSUMO SUSTANCIAS PSICOACTIVAS Y ADICCIONES")))))))))))))))))))))))))))))))))))))</f>
        <v>SOPORTE VITAL BASICO (BLS)</v>
      </c>
      <c r="W107" s="62" t="str">
        <f t="shared" si="6"/>
        <v>Dario Fernando Cucas Asmaza</v>
      </c>
      <c r="X107" s="62" t="str">
        <f t="shared" si="7"/>
        <v>Dario Fernando Cucas Asmaza</v>
      </c>
      <c r="Y107" s="62" t="str">
        <f t="shared" si="8"/>
        <v>Dario Fernando Cucas Asmaza-1087419325-BLS</v>
      </c>
    </row>
    <row r="108" spans="1:25" s="92" customFormat="1" x14ac:dyDescent="0.2">
      <c r="A108" s="71">
        <v>107</v>
      </c>
      <c r="B108" s="59">
        <v>1022370824</v>
      </c>
      <c r="C108" s="59" t="s">
        <v>449</v>
      </c>
      <c r="D108" s="59" t="s">
        <v>451</v>
      </c>
      <c r="E108" s="59" t="s">
        <v>450</v>
      </c>
      <c r="F108" s="59" t="s">
        <v>365</v>
      </c>
      <c r="G108" s="59">
        <v>21</v>
      </c>
      <c r="H108" s="59" t="s">
        <v>200</v>
      </c>
      <c r="I108" s="60" t="s">
        <v>122</v>
      </c>
      <c r="J108" s="60" t="s">
        <v>123</v>
      </c>
      <c r="K108" s="61" t="s">
        <v>507</v>
      </c>
      <c r="L108" s="66" t="s">
        <v>571</v>
      </c>
      <c r="M108" s="59" t="s">
        <v>508</v>
      </c>
      <c r="N108" s="59" t="s">
        <v>138</v>
      </c>
      <c r="O108" s="59" t="s">
        <v>116</v>
      </c>
      <c r="P108" s="59" t="s">
        <v>37</v>
      </c>
      <c r="Q108" s="60">
        <v>33505</v>
      </c>
      <c r="R108" s="63" t="s">
        <v>102</v>
      </c>
      <c r="S108" s="59" t="s">
        <v>129</v>
      </c>
      <c r="T108" s="59">
        <v>3165364395</v>
      </c>
      <c r="U108" s="59" t="s">
        <v>443</v>
      </c>
      <c r="V108" s="62" t="str">
        <f>IF(P108=CURSOS!$D$3,"DIPLOMADO EN ATENCION PRE-HOSPITALARIA",IF(P108=CURSOS!$D$4,"ACOMPAÑAMIENTO Y MANEJO DEL DUELO",IF(P108=CURSOS!$D$5,"ATENCION A VICTIMAS DE ATAQUE CON AGENTES QUIMICOS ",IF(P108=CURSOS!$D$6,"PRIMEROS AUXILIOS ",IF(P108=CURSOS!$D$7,"DIPLOMADO DE UNIDAD DE CUIDADOS INTENSIVOS (UCI)",IF(P108=CURSOS!$D$8,"MODELO DE ATENCION PARA EVENTOS EMERGENTES EN SALUD MENTAL (CODIGO VERDE)",IF(P108=CURSOS!$D$9,"HUMANIZACION EN EL SERVICIO DE LA SALUD Y BUENAS PRACTICAS EN PACIENTE ",IF(P108=CURSOS!$D$10,"CLINICA DE HERIDAS ",IF(P108=CURSOS!$D$11,"TOMA DE CITOLOGIA CERVICO VAGINAL ",IF(P108=CURSOS!$D$12,"SOPORTE CARDIOVASCULAR AVANZADO (ACLS) ",IF(P108=CURSOS!$D$13,"CAMILLERO ",IF(P108=CURSOS!$D$14,"TOMA DE MUESTRAS Y LABORATORIO ",IF(P108=CURSOS!$D$15,"SOPORTE VITAL BASICO (BLS)",IF(P108=CURSOS!$D$16,"ATENCION A VICTIMAS DE VIOLENCIA SEXUAL ",IF(P108=CURSOS!$D$17,"PROGRAMADO AMPLIADO DE INMUNIZACION (PAI - COVID 19)",IF(P108=CURSOS!$D$18,"ATENCION INTEGRAL EN ENFERMEDADES PREVALENTES EN PRIMERA INFANCIA (AIEPI)",IF(P108=CURSOS!$D$19,"ADMINISTRACION DE MEDICAMENTOS, INYECTOLOGIA  Y CANALIZACION ",IF(P108=CURSOS!$D$20,"OPERADOR DE VEHICULOS DE EMERGENCIA (OVE)",IF(P108=CURSOS!$D$21,"INSTITUCIONES AMIGAS DE LA MUJER Y LA INFANCIA (IAMI)",IF(P108=CURSOS!$D$22,"CUIDADO DEL DONANTE DE ORGANOS",IF(P108=CURSOS!$D$23,"ATENCION A VICTIMAS POR VIOLENCIA DE GENERO",IF(P108=CURSOS!$D$24,"IGUALDAD DE GENERO EN LA SALUD",IF(P108=CURSOS!$D$25,"BRIGADA DE EMERGENCIA",IF(P108=CURSOS!$D$26,"MANEJO DEL DOLOR Y CUIDADOS PALIATIVOS",IF(P108=CURSOS!$D$27,"TOMA DE MUESTRAS Y LABORATORIO POCT",IF(P108=CURSOS!$D$28,"IMPLANTE SUBDERMICO DE DISPOSITIVO INTRAUTERINO",IF(P108=CURSOS!$D$29,"SALUD MENTAL",IF(P108=CURSOS!$D$30,"PRIMEROS AUXILIOS PSICOLOGICOS",IF(P108=CURSOS!$D$31,"ATENCION A VICTIMAS POR CONFLICTO ARMADO",IF(P108=CURSOS!$D$32,"MANIPULACION DE ALIMENTOS Y BPM",IF(P108=CURSOS!$D$33,"ATENCION A PERSONAS CON DISCAPACIDAD",IF(P108=CURSOS!$D$34,"CUIDADO INTEGRAL DEL PACIENTE ADULTO",IF(P108=CURSOS!$D$35,"MANEJO DEFENSIVO",IF(P108=CURSOS!$D$36,"SOPORTE CARDIOVASCULAR AVANZADO NEONATAL",IF(P108=CURSOS!$D$37,"SEGURIDAD DEL PACIENTE",IF(P108=CURSOS!$D$38,"MANEJO DE RESIDUOS HOSPITALARIOS",IF(P108=CURSOS!$D$39,"ATENCION DE PACIENTE POR CONSUMO SUSTANCIAS PSICOACTIVAS Y ADICCIONES")))))))))))))))))))))))))))))))))))))</f>
        <v xml:space="preserve">SOPORTE CARDIOVASCULAR AVANZADO (ACLS) </v>
      </c>
      <c r="W108" s="62" t="str">
        <f t="shared" si="6"/>
        <v>Liseth Andrea Guancha Tobar</v>
      </c>
      <c r="X108" s="62" t="str">
        <f t="shared" si="7"/>
        <v>Liseth Andrea Guancha Tobar</v>
      </c>
      <c r="Y108" s="62" t="str">
        <f t="shared" si="8"/>
        <v>Liseth Andrea Guancha Tobar-1022370824-ACLS</v>
      </c>
    </row>
    <row r="109" spans="1:25" s="92" customFormat="1" x14ac:dyDescent="0.2">
      <c r="A109" s="58">
        <v>108</v>
      </c>
      <c r="B109" s="59">
        <v>1032441992</v>
      </c>
      <c r="C109" s="59" t="s">
        <v>413</v>
      </c>
      <c r="D109" s="59" t="s">
        <v>444</v>
      </c>
      <c r="E109" s="59" t="s">
        <v>237</v>
      </c>
      <c r="F109" s="59" t="s">
        <v>114</v>
      </c>
      <c r="G109" s="59">
        <v>21</v>
      </c>
      <c r="H109" s="59" t="s">
        <v>200</v>
      </c>
      <c r="I109" s="60" t="s">
        <v>122</v>
      </c>
      <c r="J109" s="60" t="s">
        <v>123</v>
      </c>
      <c r="K109" s="61" t="s">
        <v>506</v>
      </c>
      <c r="L109" s="66" t="s">
        <v>571</v>
      </c>
      <c r="M109" s="59" t="s">
        <v>268</v>
      </c>
      <c r="N109" s="59" t="s">
        <v>138</v>
      </c>
      <c r="O109" s="59" t="s">
        <v>116</v>
      </c>
      <c r="P109" s="59" t="s">
        <v>37</v>
      </c>
      <c r="Q109" s="60">
        <v>33246</v>
      </c>
      <c r="R109" s="59" t="s">
        <v>102</v>
      </c>
      <c r="S109" s="59" t="s">
        <v>129</v>
      </c>
      <c r="T109" s="64">
        <v>3146787246</v>
      </c>
      <c r="U109" s="64" t="s">
        <v>445</v>
      </c>
      <c r="V109" s="62" t="str">
        <f>IF(P109=CURSOS!$D$3,"DIPLOMADO EN ATENCION PRE-HOSPITALARIA",IF(P109=CURSOS!$D$4,"ACOMPAÑAMIENTO Y MANEJO DEL DUELO",IF(P109=CURSOS!$D$5,"ATENCION A VICTIMAS DE ATAQUE CON AGENTES QUIMICOS ",IF(P109=CURSOS!$D$6,"PRIMEROS AUXILIOS ",IF(P109=CURSOS!$D$7,"DIPLOMADO DE UNIDAD DE CUIDADOS INTENSIVOS (UCI)",IF(P109=CURSOS!$D$8,"MODELO DE ATENCION PARA EVENTOS EMERGENTES EN SALUD MENTAL (CODIGO VERDE)",IF(P109=CURSOS!$D$9,"HUMANIZACION EN EL SERVICIO DE LA SALUD Y BUENAS PRACTICAS EN PACIENTE ",IF(P109=CURSOS!$D$10,"CLINICA DE HERIDAS ",IF(P109=CURSOS!$D$11,"TOMA DE CITOLOGIA CERVICO VAGINAL ",IF(P109=CURSOS!$D$12,"SOPORTE CARDIOVASCULAR AVANZADO (ACLS) ",IF(P109=CURSOS!$D$13,"CAMILLERO ",IF(P109=CURSOS!$D$14,"TOMA DE MUESTRAS Y LABORATORIO ",IF(P109=CURSOS!$D$15,"SOPORTE VITAL BASICO (BLS)",IF(P109=CURSOS!$D$16,"ATENCION A VICTIMAS DE VIOLENCIA SEXUAL ",IF(P109=CURSOS!$D$17,"PROGRAMADO AMPLIADO DE INMUNIZACION (PAI - COVID 19)",IF(P109=CURSOS!$D$18,"ATENCION INTEGRAL EN ENFERMEDADES PREVALENTES EN PRIMERA INFANCIA (AIEPI)",IF(P109=CURSOS!$D$19,"ADMINISTRACION DE MEDICAMENTOS, INYECTOLOGIA  Y CANALIZACION ",IF(P109=CURSOS!$D$20,"OPERADOR DE VEHICULOS DE EMERGENCIA (OVE)",IF(P109=CURSOS!$D$21,"INSTITUCIONES AMIGAS DE LA MUJER Y LA INFANCIA (IAMI)",IF(P109=CURSOS!$D$22,"CUIDADO DEL DONANTE DE ORGANOS",IF(P109=CURSOS!$D$23,"ATENCION A VICTIMAS POR VIOLENCIA DE GENERO",IF(P109=CURSOS!$D$24,"IGUALDAD DE GENERO EN LA SALUD",IF(P109=CURSOS!$D$25,"BRIGADA DE EMERGENCIA",IF(P109=CURSOS!$D$26,"MANEJO DEL DOLOR Y CUIDADOS PALIATIVOS",IF(P109=CURSOS!$D$27,"TOMA DE MUESTRAS Y LABORATORIO POCT",IF(P109=CURSOS!$D$28,"IMPLANTE SUBDERMICO DE DISPOSITIVO INTRAUTERINO",IF(P109=CURSOS!$D$29,"SALUD MENTAL",IF(P109=CURSOS!$D$30,"PRIMEROS AUXILIOS PSICOLOGICOS",IF(P109=CURSOS!$D$31,"ATENCION A VICTIMAS POR CONFLICTO ARMADO",IF(P109=CURSOS!$D$32,"MANIPULACION DE ALIMENTOS Y BPM",IF(P109=CURSOS!$D$33,"ATENCION A PERSONAS CON DISCAPACIDAD",IF(P109=CURSOS!$D$34,"CUIDADO INTEGRAL DEL PACIENTE ADULTO",IF(P109=CURSOS!$D$35,"MANEJO DEFENSIVO",IF(P109=CURSOS!$D$36,"SOPORTE CARDIOVASCULAR AVANZADO NEONATAL",IF(P109=CURSOS!$D$37,"SEGURIDAD DEL PACIENTE",IF(P109=CURSOS!$D$38,"MANEJO DE RESIDUOS HOSPITALARIOS",IF(P109=CURSOS!$D$39,"ATENCION DE PACIENTE POR CONSUMO SUSTANCIAS PSICOACTIVAS Y ADICCIONES")))))))))))))))))))))))))))))))))))))</f>
        <v xml:space="preserve">SOPORTE CARDIOVASCULAR AVANZADO (ACLS) </v>
      </c>
      <c r="W109" s="62" t="str">
        <f t="shared" si="6"/>
        <v>Diana Lizeth Ordoñez Pasaje</v>
      </c>
      <c r="X109" s="62" t="str">
        <f t="shared" si="7"/>
        <v>Diana Lizeth Ordoñez Pasaje</v>
      </c>
      <c r="Y109" s="62" t="str">
        <f t="shared" si="8"/>
        <v>Diana Lizeth Ordoñez Pasaje-1032441992-ACLS</v>
      </c>
    </row>
    <row r="110" spans="1:25" s="92" customFormat="1" x14ac:dyDescent="0.2">
      <c r="A110" s="58">
        <v>109</v>
      </c>
      <c r="B110" s="59">
        <v>1088972827</v>
      </c>
      <c r="C110" s="63" t="s">
        <v>446</v>
      </c>
      <c r="D110" s="63" t="s">
        <v>119</v>
      </c>
      <c r="E110" s="63" t="s">
        <v>391</v>
      </c>
      <c r="F110" s="63" t="s">
        <v>300</v>
      </c>
      <c r="G110" s="63">
        <v>21</v>
      </c>
      <c r="H110" s="59" t="s">
        <v>200</v>
      </c>
      <c r="I110" s="60" t="s">
        <v>115</v>
      </c>
      <c r="J110" s="60" t="s">
        <v>485</v>
      </c>
      <c r="K110" s="61">
        <v>45798</v>
      </c>
      <c r="L110" s="66">
        <v>64000</v>
      </c>
      <c r="M110" s="59" t="s">
        <v>268</v>
      </c>
      <c r="N110" s="59" t="s">
        <v>138</v>
      </c>
      <c r="O110" s="59" t="s">
        <v>116</v>
      </c>
      <c r="P110" s="59" t="s">
        <v>32</v>
      </c>
      <c r="Q110" s="60">
        <v>32998</v>
      </c>
      <c r="R110" s="59" t="s">
        <v>102</v>
      </c>
      <c r="S110" s="64" t="s">
        <v>447</v>
      </c>
      <c r="T110" s="64">
        <v>3163311401</v>
      </c>
      <c r="U110" s="59" t="s">
        <v>448</v>
      </c>
      <c r="V110" s="62" t="str">
        <f>IF(P110=CURSOS!$D$3,"DIPLOMADO EN ATENCION PRE-HOSPITALARIA",IF(P110=CURSOS!$D$4,"ACOMPAÑAMIENTO Y MANEJO DEL DUELO",IF(P110=CURSOS!$D$5,"ATENCION A VICTIMAS DE ATAQUE CON AGENTES QUIMICOS ",IF(P110=CURSOS!$D$6,"PRIMEROS AUXILIOS ",IF(P110=CURSOS!$D$7,"DIPLOMADO DE UNIDAD DE CUIDADOS INTENSIVOS (UCI)",IF(P110=CURSOS!$D$8,"MODELO DE ATENCION PARA EVENTOS EMERGENTES EN SALUD MENTAL (CODIGO VERDE)",IF(P110=CURSOS!$D$9,"HUMANIZACION EN EL SERVICIO DE LA SALUD Y BUENAS PRACTICAS EN PACIENTE ",IF(P110=CURSOS!$D$10,"CLINICA DE HERIDAS ",IF(P110=CURSOS!$D$11,"TOMA DE CITOLOGIA CERVICO VAGINAL ",IF(P110=CURSOS!$D$12,"SOPORTE CARDIOVASCULAR AVANZADO (ACLS) ",IF(P110=CURSOS!$D$13,"CAMILLERO ",IF(P110=CURSOS!$D$14,"TOMA DE MUESTRAS Y LABORATORIO ",IF(P110=CURSOS!$D$15,"SOPORTE VITAL BASICO (BLS)",IF(P110=CURSOS!$D$16,"ATENCION A VICTIMAS DE VIOLENCIA SEXUAL ",IF(P110=CURSOS!$D$17,"PROGRAMADO AMPLIADO DE INMUNIZACION (PAI - COVID 19)",IF(P110=CURSOS!$D$18,"ATENCION INTEGRAL EN ENFERMEDADES PREVALENTES EN PRIMERA INFANCIA (AIEPI)",IF(P110=CURSOS!$D$19,"ADMINISTRACION DE MEDICAMENTOS, INYECTOLOGIA  Y CANALIZACION ",IF(P110=CURSOS!$D$20,"OPERADOR DE VEHICULOS DE EMERGENCIA (OVE)",IF(P110=CURSOS!$D$21,"INSTITUCIONES AMIGAS DE LA MUJER Y LA INFANCIA (IAMI)",IF(P110=CURSOS!$D$22,"CUIDADO DEL DONANTE DE ORGANOS",IF(P110=CURSOS!$D$23,"ATENCION A VICTIMAS POR VIOLENCIA DE GENERO",IF(P110=CURSOS!$D$24,"IGUALDAD DE GENERO EN LA SALUD",IF(P110=CURSOS!$D$25,"BRIGADA DE EMERGENCIA",IF(P110=CURSOS!$D$26,"MANEJO DEL DOLOR Y CUIDADOS PALIATIVOS",IF(P110=CURSOS!$D$27,"TOMA DE MUESTRAS Y LABORATORIO POCT",IF(P110=CURSOS!$D$28,"IMPLANTE SUBDERMICO DE DISPOSITIVO INTRAUTERINO",IF(P110=CURSOS!$D$29,"SALUD MENTAL",IF(P110=CURSOS!$D$30,"PRIMEROS AUXILIOS PSICOLOGICOS",IF(P110=CURSOS!$D$31,"ATENCION A VICTIMAS POR CONFLICTO ARMADO",IF(P110=CURSOS!$D$32,"MANIPULACION DE ALIMENTOS Y BPM",IF(P110=CURSOS!$D$33,"ATENCION A PERSONAS CON DISCAPACIDAD",IF(P110=CURSOS!$D$34,"CUIDADO INTEGRAL DEL PACIENTE ADULTO",IF(P110=CURSOS!$D$35,"MANEJO DEFENSIVO",IF(P110=CURSOS!$D$36,"SOPORTE CARDIOVASCULAR AVANZADO NEONATAL",IF(P110=CURSOS!$D$37,"SEGURIDAD DEL PACIENTE",IF(P110=CURSOS!$D$38,"MANEJO DE RESIDUOS HOSPITALARIOS",IF(P110=CURSOS!$D$39,"ATENCION DE PACIENTE POR CONSUMO SUSTANCIAS PSICOACTIVAS Y ADICCIONES")))))))))))))))))))))))))))))))))))))</f>
        <v xml:space="preserve">HUMANIZACION EN EL SERVICIO DE LA SALUD Y BUENAS PRACTICAS EN PACIENTE </v>
      </c>
      <c r="W110" s="62" t="str">
        <f t="shared" si="6"/>
        <v>Carlos Andres Realpe Morales</v>
      </c>
      <c r="X110" s="62" t="str">
        <f t="shared" si="7"/>
        <v>Carlos Andres Realpe Morales</v>
      </c>
      <c r="Y110" s="62" t="str">
        <f t="shared" si="8"/>
        <v>Carlos Andres Realpe Morales-1088972827-HUMANIZACION</v>
      </c>
    </row>
    <row r="111" spans="1:25" s="92" customFormat="1" x14ac:dyDescent="0.2">
      <c r="A111" s="58">
        <v>110</v>
      </c>
      <c r="B111" s="63">
        <v>1127075119</v>
      </c>
      <c r="C111" s="63" t="s">
        <v>452</v>
      </c>
      <c r="D111" s="63" t="s">
        <v>188</v>
      </c>
      <c r="E111" s="63" t="s">
        <v>453</v>
      </c>
      <c r="F111" s="63" t="s">
        <v>454</v>
      </c>
      <c r="G111" s="63">
        <v>21</v>
      </c>
      <c r="H111" s="59" t="s">
        <v>200</v>
      </c>
      <c r="I111" s="60" t="s">
        <v>115</v>
      </c>
      <c r="J111" s="60" t="s">
        <v>240</v>
      </c>
      <c r="K111" s="61">
        <v>45798</v>
      </c>
      <c r="L111" s="66">
        <v>32000</v>
      </c>
      <c r="M111" s="59" t="s">
        <v>103</v>
      </c>
      <c r="N111" s="59" t="s">
        <v>138</v>
      </c>
      <c r="O111" s="59" t="s">
        <v>99</v>
      </c>
      <c r="P111" s="59" t="s">
        <v>52</v>
      </c>
      <c r="Q111" s="60">
        <v>34013</v>
      </c>
      <c r="R111" s="60" t="s">
        <v>102</v>
      </c>
      <c r="S111" s="85" t="s">
        <v>370</v>
      </c>
      <c r="T111" s="64">
        <v>3222806620</v>
      </c>
      <c r="U111" s="59" t="s">
        <v>455</v>
      </c>
      <c r="V111" s="62" t="str">
        <f>IF(P111=CURSOS!$D$3,"DIPLOMADO EN ATENCION PRE-HOSPITALARIA",IF(P111=CURSOS!$D$4,"ACOMPAÑAMIENTO Y MANEJO DEL DUELO",IF(P111=CURSOS!$D$5,"ATENCION A VICTIMAS DE ATAQUE CON AGENTES QUIMICOS ",IF(P111=CURSOS!$D$6,"PRIMEROS AUXILIOS ",IF(P111=CURSOS!$D$7,"DIPLOMADO DE UNIDAD DE CUIDADOS INTENSIVOS (UCI)",IF(P111=CURSOS!$D$8,"MODELO DE ATENCION PARA EVENTOS EMERGENTES EN SALUD MENTAL (CODIGO VERDE)",IF(P111=CURSOS!$D$9,"HUMANIZACION EN EL SERVICIO DE LA SALUD Y BUENAS PRACTICAS EN PACIENTE ",IF(P111=CURSOS!$D$10,"CLINICA DE HERIDAS ",IF(P111=CURSOS!$D$11,"TOMA DE CITOLOGIA CERVICO VAGINAL ",IF(P111=CURSOS!$D$12,"SOPORTE CARDIOVASCULAR AVANZADO (ACLS) ",IF(P111=CURSOS!$D$13,"CAMILLERO ",IF(P111=CURSOS!$D$14,"TOMA DE MUESTRAS Y LABORATORIO ",IF(P111=CURSOS!$D$15,"SOPORTE VITAL BASICO (BLS)",IF(P111=CURSOS!$D$16,"ATENCION A VICTIMAS DE VIOLENCIA SEXUAL ",IF(P111=CURSOS!$D$17,"PROGRAMADO AMPLIADO DE INMUNIZACION (PAI - COVID 19)",IF(P111=CURSOS!$D$18,"ATENCION INTEGRAL EN ENFERMEDADES PREVALENTES EN PRIMERA INFANCIA (AIEPI)",IF(P111=CURSOS!$D$19,"ADMINISTRACION DE MEDICAMENTOS, INYECTOLOGIA  Y CANALIZACION ",IF(P111=CURSOS!$D$20,"OPERADOR DE VEHICULOS DE EMERGENCIA (OVE)",IF(P111=CURSOS!$D$21,"INSTITUCIONES AMIGAS DE LA MUJER Y LA INFANCIA (IAMI)",IF(P111=CURSOS!$D$22,"CUIDADO DEL DONANTE DE ORGANOS",IF(P111=CURSOS!$D$23,"ATENCION A VICTIMAS POR VIOLENCIA DE GENERO",IF(P111=CURSOS!$D$24,"IGUALDAD DE GENERO EN LA SALUD",IF(P111=CURSOS!$D$25,"BRIGADA DE EMERGENCIA",IF(P111=CURSOS!$D$26,"MANEJO DEL DOLOR Y CUIDADOS PALIATIVOS",IF(P111=CURSOS!$D$27,"TOMA DE MUESTRAS Y LABORATORIO POCT",IF(P111=CURSOS!$D$28,"IMPLANTE SUBDERMICO DE DISPOSITIVO INTRAUTERINO",IF(P111=CURSOS!$D$29,"SALUD MENTAL",IF(P111=CURSOS!$D$30,"PRIMEROS AUXILIOS PSICOLOGICOS",IF(P111=CURSOS!$D$31,"ATENCION A VICTIMAS POR CONFLICTO ARMADO",IF(P111=CURSOS!$D$32,"MANIPULACION DE ALIMENTOS Y BPM",IF(P111=CURSOS!$D$33,"ATENCION A PERSONAS CON DISCAPACIDAD",IF(P111=CURSOS!$D$34,"CUIDADO INTEGRAL DEL PACIENTE ADULTO",IF(P111=CURSOS!$D$35,"MANEJO DEFENSIVO",IF(P111=CURSOS!$D$36,"SOPORTE CARDIOVASCULAR AVANZADO NEONATAL",IF(P111=CURSOS!$D$37,"SEGURIDAD DEL PACIENTE",IF(P111=CURSOS!$D$38,"MANEJO DE RESIDUOS HOSPITALARIOS",IF(P111=CURSOS!$D$39,"ATENCION DE PACIENTE POR CONSUMO SUSTANCIAS PSICOACTIVAS Y ADICCIONES")))))))))))))))))))))))))))))))))))))</f>
        <v>ATENCION A VICTIMAS POR VIOLENCIA DE GENERO</v>
      </c>
      <c r="W111" s="62" t="str">
        <f t="shared" si="6"/>
        <v>Andelly Yurany Valencia Meneses</v>
      </c>
      <c r="X111" s="62" t="str">
        <f t="shared" si="7"/>
        <v>Andelly Yurany Valencia Meneses</v>
      </c>
      <c r="Y111" s="62" t="str">
        <f t="shared" si="8"/>
        <v>Andelly Yurany Valencia Meneses-1127075119-VIOLENCIA DE GENERO</v>
      </c>
    </row>
    <row r="112" spans="1:25" s="57" customFormat="1" x14ac:dyDescent="0.2">
      <c r="A112" s="58">
        <v>111</v>
      </c>
      <c r="B112" s="63">
        <v>1127075119</v>
      </c>
      <c r="C112" s="63" t="s">
        <v>452</v>
      </c>
      <c r="D112" s="63" t="s">
        <v>188</v>
      </c>
      <c r="E112" s="63" t="s">
        <v>453</v>
      </c>
      <c r="F112" s="63" t="s">
        <v>454</v>
      </c>
      <c r="G112" s="63">
        <v>21</v>
      </c>
      <c r="H112" s="59" t="s">
        <v>200</v>
      </c>
      <c r="I112" s="60" t="s">
        <v>115</v>
      </c>
      <c r="J112" s="60" t="s">
        <v>240</v>
      </c>
      <c r="K112" s="61">
        <v>45798</v>
      </c>
      <c r="L112" s="66">
        <v>32000</v>
      </c>
      <c r="M112" s="59" t="s">
        <v>103</v>
      </c>
      <c r="N112" s="59" t="s">
        <v>138</v>
      </c>
      <c r="O112" s="59" t="s">
        <v>99</v>
      </c>
      <c r="P112" s="59" t="s">
        <v>23</v>
      </c>
      <c r="Q112" s="60">
        <v>34013</v>
      </c>
      <c r="R112" s="60" t="s">
        <v>102</v>
      </c>
      <c r="S112" s="85" t="s">
        <v>370</v>
      </c>
      <c r="T112" s="64">
        <v>3222806620</v>
      </c>
      <c r="U112" s="59" t="s">
        <v>455</v>
      </c>
      <c r="V112" s="62" t="str">
        <f>IF(P112=CURSOS!$D$3,"DIPLOMADO EN ATENCION PRE-HOSPITALARIA",IF(P112=CURSOS!$D$4,"ACOMPAÑAMIENTO Y MANEJO DEL DUELO",IF(P112=CURSOS!$D$5,"ATENCION A VICTIMAS DE ATAQUE CON AGENTES QUIMICOS ",IF(P112=CURSOS!$D$6,"PRIMEROS AUXILIOS ",IF(P112=CURSOS!$D$7,"DIPLOMADO DE UNIDAD DE CUIDADOS INTENSIVOS (UCI)",IF(P112=CURSOS!$D$8,"MODELO DE ATENCION PARA EVENTOS EMERGENTES EN SALUD MENTAL (CODIGO VERDE)",IF(P112=CURSOS!$D$9,"HUMANIZACION EN EL SERVICIO DE LA SALUD Y BUENAS PRACTICAS EN PACIENTE ",IF(P112=CURSOS!$D$10,"CLINICA DE HERIDAS ",IF(P112=CURSOS!$D$11,"TOMA DE CITOLOGIA CERVICO VAGINAL ",IF(P112=CURSOS!$D$12,"SOPORTE CARDIOVASCULAR AVANZADO (ACLS) ",IF(P112=CURSOS!$D$13,"CAMILLERO ",IF(P112=CURSOS!$D$14,"TOMA DE MUESTRAS Y LABORATORIO ",IF(P112=CURSOS!$D$15,"SOPORTE VITAL BASICO (BLS)",IF(P112=CURSOS!$D$16,"ATENCION A VICTIMAS DE VIOLENCIA SEXUAL ",IF(P112=CURSOS!$D$17,"PROGRAMADO AMPLIADO DE INMUNIZACION (PAI - COVID 19)",IF(P112=CURSOS!$D$18,"ATENCION INTEGRAL EN ENFERMEDADES PREVALENTES EN PRIMERA INFANCIA (AIEPI)",IF(P112=CURSOS!$D$19,"ADMINISTRACION DE MEDICAMENTOS, INYECTOLOGIA  Y CANALIZACION ",IF(P112=CURSOS!$D$20,"OPERADOR DE VEHICULOS DE EMERGENCIA (OVE)",IF(P112=CURSOS!$D$21,"INSTITUCIONES AMIGAS DE LA MUJER Y LA INFANCIA (IAMI)",IF(P112=CURSOS!$D$22,"CUIDADO DEL DONANTE DE ORGANOS",IF(P112=CURSOS!$D$23,"ATENCION A VICTIMAS POR VIOLENCIA DE GENERO",IF(P112=CURSOS!$D$24,"IGUALDAD DE GENERO EN LA SALUD",IF(P112=CURSOS!$D$25,"BRIGADA DE EMERGENCIA",IF(P112=CURSOS!$D$26,"MANEJO DEL DOLOR Y CUIDADOS PALIATIVOS",IF(P112=CURSOS!$D$27,"TOMA DE MUESTRAS Y LABORATORIO POCT",IF(P112=CURSOS!$D$28,"IMPLANTE SUBDERMICO DE DISPOSITIVO INTRAUTERINO",IF(P112=CURSOS!$D$29,"SALUD MENTAL",IF(P112=CURSOS!$D$30,"PRIMEROS AUXILIOS PSICOLOGICOS",IF(P112=CURSOS!$D$31,"ATENCION A VICTIMAS POR CONFLICTO ARMADO",IF(P112=CURSOS!$D$32,"MANIPULACION DE ALIMENTOS Y BPM",IF(P112=CURSOS!$D$33,"ATENCION A PERSONAS CON DISCAPACIDAD",IF(P112=CURSOS!$D$34,"CUIDADO INTEGRAL DEL PACIENTE ADULTO",IF(P112=CURSOS!$D$35,"MANEJO DEFENSIVO",IF(P112=CURSOS!$D$36,"SOPORTE CARDIOVASCULAR AVANZADO NEONATAL",IF(P112=CURSOS!$D$37,"SEGURIDAD DEL PACIENTE",IF(P112=CURSOS!$D$38,"MANEJO DE RESIDUOS HOSPITALARIOS",IF(P112=CURSOS!$D$39,"ATENCION DE PACIENTE POR CONSUMO SUSTANCIAS PSICOACTIVAS Y ADICCIONES")))))))))))))))))))))))))))))))))))))</f>
        <v>ACOMPAÑAMIENTO Y MANEJO DEL DUELO</v>
      </c>
      <c r="W112" s="62" t="str">
        <f t="shared" si="6"/>
        <v>Andelly Yurany Valencia Meneses</v>
      </c>
      <c r="X112" s="62" t="str">
        <f t="shared" si="7"/>
        <v>Andelly Yurany Valencia Meneses</v>
      </c>
      <c r="Y112" s="62" t="str">
        <f t="shared" si="8"/>
        <v>Andelly Yurany Valencia Meneses-1127075119-DUELO</v>
      </c>
    </row>
    <row r="113" spans="1:25" s="57" customFormat="1" x14ac:dyDescent="0.2">
      <c r="A113" s="58">
        <v>112</v>
      </c>
      <c r="B113" s="59">
        <v>27389058</v>
      </c>
      <c r="C113" s="59" t="s">
        <v>328</v>
      </c>
      <c r="D113" s="59" t="s">
        <v>367</v>
      </c>
      <c r="E113" s="59" t="s">
        <v>456</v>
      </c>
      <c r="F113" s="59" t="s">
        <v>315</v>
      </c>
      <c r="G113" s="59">
        <v>21</v>
      </c>
      <c r="H113" s="59" t="s">
        <v>200</v>
      </c>
      <c r="I113" s="60" t="s">
        <v>115</v>
      </c>
      <c r="J113" s="60" t="s">
        <v>123</v>
      </c>
      <c r="K113" s="61">
        <v>45798</v>
      </c>
      <c r="L113" s="66">
        <v>30000</v>
      </c>
      <c r="M113" s="59" t="s">
        <v>103</v>
      </c>
      <c r="N113" s="59" t="s">
        <v>245</v>
      </c>
      <c r="O113" s="59" t="s">
        <v>347</v>
      </c>
      <c r="P113" s="59" t="s">
        <v>42</v>
      </c>
      <c r="Q113" s="60"/>
      <c r="R113" s="59" t="s">
        <v>102</v>
      </c>
      <c r="S113" s="86" t="s">
        <v>201</v>
      </c>
      <c r="T113" s="59">
        <v>3213305172</v>
      </c>
      <c r="U113" s="59" t="s">
        <v>457</v>
      </c>
      <c r="V113" s="62" t="str">
        <f>IF(P113=CURSOS!$D$3,"DIPLOMADO EN ATENCION PRE-HOSPITALARIA",IF(P113=CURSOS!$D$4,"ACOMPAÑAMIENTO Y MANEJO DEL DUELO",IF(P113=CURSOS!$D$5,"ATENCION A VICTIMAS DE ATAQUE CON AGENTES QUIMICOS ",IF(P113=CURSOS!$D$6,"PRIMEROS AUXILIOS ",IF(P113=CURSOS!$D$7,"DIPLOMADO DE UNIDAD DE CUIDADOS INTENSIVOS (UCI)",IF(P113=CURSOS!$D$8,"MODELO DE ATENCION PARA EVENTOS EMERGENTES EN SALUD MENTAL (CODIGO VERDE)",IF(P113=CURSOS!$D$9,"HUMANIZACION EN EL SERVICIO DE LA SALUD Y BUENAS PRACTICAS EN PACIENTE ",IF(P113=CURSOS!$D$10,"CLINICA DE HERIDAS ",IF(P113=CURSOS!$D$11,"TOMA DE CITOLOGIA CERVICO VAGINAL ",IF(P113=CURSOS!$D$12,"SOPORTE CARDIOVASCULAR AVANZADO (ACLS) ",IF(P113=CURSOS!$D$13,"CAMILLERO ",IF(P113=CURSOS!$D$14,"TOMA DE MUESTRAS Y LABORATORIO ",IF(P113=CURSOS!$D$15,"SOPORTE VITAL BASICO (BLS)",IF(P113=CURSOS!$D$16,"ATENCION A VICTIMAS DE VIOLENCIA SEXUAL ",IF(P113=CURSOS!$D$17,"PROGRAMADO AMPLIADO DE INMUNIZACION (PAI - COVID 19)",IF(P113=CURSOS!$D$18,"ATENCION INTEGRAL EN ENFERMEDADES PREVALENTES EN PRIMERA INFANCIA (AIEPI)",IF(P113=CURSOS!$D$19,"ADMINISTRACION DE MEDICAMENTOS, INYECTOLOGIA  Y CANALIZACION ",IF(P113=CURSOS!$D$20,"OPERADOR DE VEHICULOS DE EMERGENCIA (OVE)",IF(P113=CURSOS!$D$21,"INSTITUCIONES AMIGAS DE LA MUJER Y LA INFANCIA (IAMI)",IF(P113=CURSOS!$D$22,"CUIDADO DEL DONANTE DE ORGANOS",IF(P113=CURSOS!$D$23,"ATENCION A VICTIMAS POR VIOLENCIA DE GENERO",IF(P113=CURSOS!$D$24,"IGUALDAD DE GENERO EN LA SALUD",IF(P113=CURSOS!$D$25,"BRIGADA DE EMERGENCIA",IF(P113=CURSOS!$D$26,"MANEJO DEL DOLOR Y CUIDADOS PALIATIVOS",IF(P113=CURSOS!$D$27,"TOMA DE MUESTRAS Y LABORATORIO POCT",IF(P113=CURSOS!$D$28,"IMPLANTE SUBDERMICO DE DISPOSITIVO INTRAUTERINO",IF(P113=CURSOS!$D$29,"SALUD MENTAL",IF(P113=CURSOS!$D$30,"PRIMEROS AUXILIOS PSICOLOGICOS",IF(P113=CURSOS!$D$31,"ATENCION A VICTIMAS POR CONFLICTO ARMADO",IF(P113=CURSOS!$D$32,"MANIPULACION DE ALIMENTOS Y BPM",IF(P113=CURSOS!$D$33,"ATENCION A PERSONAS CON DISCAPACIDAD",IF(P113=CURSOS!$D$34,"CUIDADO INTEGRAL DEL PACIENTE ADULTO",IF(P113=CURSOS!$D$35,"MANEJO DEFENSIVO",IF(P113=CURSOS!$D$36,"SOPORTE CARDIOVASCULAR AVANZADO NEONATAL",IF(P113=CURSOS!$D$37,"SEGURIDAD DEL PACIENTE",IF(P113=CURSOS!$D$38,"MANEJO DE RESIDUOS HOSPITALARIOS",IF(P113=CURSOS!$D$39,"ATENCION DE PACIENTE POR CONSUMO SUSTANCIAS PSICOACTIVAS Y ADICCIONES")))))))))))))))))))))))))))))))))))))</f>
        <v xml:space="preserve">ATENCION A VICTIMAS DE VIOLENCIA SEXUAL </v>
      </c>
      <c r="W113" s="62" t="str">
        <f t="shared" si="6"/>
        <v>Milvia Lorena Quiroz Chamorro</v>
      </c>
      <c r="X113" s="62" t="str">
        <f t="shared" si="7"/>
        <v>Milvia Lorena Quiroz Chamorro</v>
      </c>
      <c r="Y113" s="62" t="str">
        <f t="shared" si="8"/>
        <v>Milvia Lorena Quiroz Chamorro-27389058-VIOLENCIA SEXUAL</v>
      </c>
    </row>
    <row r="114" spans="1:25" s="57" customFormat="1" x14ac:dyDescent="0.2">
      <c r="A114" s="58">
        <v>113</v>
      </c>
      <c r="B114" s="59">
        <v>27389058</v>
      </c>
      <c r="C114" s="59" t="s">
        <v>328</v>
      </c>
      <c r="D114" s="59" t="s">
        <v>367</v>
      </c>
      <c r="E114" s="59" t="s">
        <v>456</v>
      </c>
      <c r="F114" s="59" t="s">
        <v>315</v>
      </c>
      <c r="G114" s="59">
        <v>21</v>
      </c>
      <c r="H114" s="59" t="s">
        <v>200</v>
      </c>
      <c r="I114" s="60" t="s">
        <v>115</v>
      </c>
      <c r="J114" s="60" t="s">
        <v>123</v>
      </c>
      <c r="K114" s="61">
        <v>45798</v>
      </c>
      <c r="L114" s="66">
        <v>30000</v>
      </c>
      <c r="M114" s="59" t="s">
        <v>103</v>
      </c>
      <c r="N114" s="59" t="s">
        <v>245</v>
      </c>
      <c r="O114" s="59" t="s">
        <v>347</v>
      </c>
      <c r="P114" s="59" t="s">
        <v>19</v>
      </c>
      <c r="Q114" s="60"/>
      <c r="R114" s="59" t="s">
        <v>102</v>
      </c>
      <c r="S114" s="86" t="s">
        <v>201</v>
      </c>
      <c r="T114" s="59">
        <v>3213305172</v>
      </c>
      <c r="U114" s="59" t="s">
        <v>457</v>
      </c>
      <c r="V114" s="62" t="str">
        <f>IF(P114=CURSOS!$D$3,"DIPLOMADO EN ATENCION PRE-HOSPITALARIA",IF(P114=CURSOS!$D$4,"ACOMPAÑAMIENTO Y MANEJO DEL DUELO",IF(P114=CURSOS!$D$5,"ATENCION A VICTIMAS DE ATAQUE CON AGENTES QUIMICOS ",IF(P114=CURSOS!$D$6,"PRIMEROS AUXILIOS ",IF(P114=CURSOS!$D$7,"DIPLOMADO DE UNIDAD DE CUIDADOS INTENSIVOS (UCI)",IF(P114=CURSOS!$D$8,"MODELO DE ATENCION PARA EVENTOS EMERGENTES EN SALUD MENTAL (CODIGO VERDE)",IF(P114=CURSOS!$D$9,"HUMANIZACION EN EL SERVICIO DE LA SALUD Y BUENAS PRACTICAS EN PACIENTE ",IF(P114=CURSOS!$D$10,"CLINICA DE HERIDAS ",IF(P114=CURSOS!$D$11,"TOMA DE CITOLOGIA CERVICO VAGINAL ",IF(P114=CURSOS!$D$12,"SOPORTE CARDIOVASCULAR AVANZADO (ACLS) ",IF(P114=CURSOS!$D$13,"CAMILLERO ",IF(P114=CURSOS!$D$14,"TOMA DE MUESTRAS Y LABORATORIO ",IF(P114=CURSOS!$D$15,"SOPORTE VITAL BASICO (BLS)",IF(P114=CURSOS!$D$16,"ATENCION A VICTIMAS DE VIOLENCIA SEXUAL ",IF(P114=CURSOS!$D$17,"PROGRAMADO AMPLIADO DE INMUNIZACION (PAI - COVID 19)",IF(P114=CURSOS!$D$18,"ATENCION INTEGRAL EN ENFERMEDADES PREVALENTES EN PRIMERA INFANCIA (AIEPI)",IF(P114=CURSOS!$D$19,"ADMINISTRACION DE MEDICAMENTOS, INYECTOLOGIA  Y CANALIZACION ",IF(P114=CURSOS!$D$20,"OPERADOR DE VEHICULOS DE EMERGENCIA (OVE)",IF(P114=CURSOS!$D$21,"INSTITUCIONES AMIGAS DE LA MUJER Y LA INFANCIA (IAMI)",IF(P114=CURSOS!$D$22,"CUIDADO DEL DONANTE DE ORGANOS",IF(P114=CURSOS!$D$23,"ATENCION A VICTIMAS POR VIOLENCIA DE GENERO",IF(P114=CURSOS!$D$24,"IGUALDAD DE GENERO EN LA SALUD",IF(P114=CURSOS!$D$25,"BRIGADA DE EMERGENCIA",IF(P114=CURSOS!$D$26,"MANEJO DEL DOLOR Y CUIDADOS PALIATIVOS",IF(P114=CURSOS!$D$27,"TOMA DE MUESTRAS Y LABORATORIO POCT",IF(P114=CURSOS!$D$28,"IMPLANTE SUBDERMICO DE DISPOSITIVO INTRAUTERINO",IF(P114=CURSOS!$D$29,"SALUD MENTAL",IF(P114=CURSOS!$D$30,"PRIMEROS AUXILIOS PSICOLOGICOS",IF(P114=CURSOS!$D$31,"ATENCION A VICTIMAS POR CONFLICTO ARMADO",IF(P114=CURSOS!$D$32,"MANIPULACION DE ALIMENTOS Y BPM",IF(P114=CURSOS!$D$33,"ATENCION A PERSONAS CON DISCAPACIDAD",IF(P114=CURSOS!$D$34,"CUIDADO INTEGRAL DEL PACIENTE ADULTO",IF(P114=CURSOS!$D$35,"MANEJO DEFENSIVO",IF(P114=CURSOS!$D$36,"SOPORTE CARDIOVASCULAR AVANZADO NEONATAL",IF(P114=CURSOS!$D$37,"SEGURIDAD DEL PACIENTE",IF(P114=CURSOS!$D$38,"MANEJO DE RESIDUOS HOSPITALARIOS",IF(P114=CURSOS!$D$39,"ATENCION DE PACIENTE POR CONSUMO SUSTANCIAS PSICOACTIVAS Y ADICCIONES")))))))))))))))))))))))))))))))))))))</f>
        <v>SOPORTE VITAL BASICO (BLS)</v>
      </c>
      <c r="W114" s="62" t="str">
        <f t="shared" si="6"/>
        <v>Milvia Lorena Quiroz Chamorro</v>
      </c>
      <c r="X114" s="62" t="str">
        <f t="shared" si="7"/>
        <v>Milvia Lorena Quiroz Chamorro</v>
      </c>
      <c r="Y114" s="62" t="str">
        <f t="shared" si="8"/>
        <v>Milvia Lorena Quiroz Chamorro-27389058-BLS</v>
      </c>
    </row>
    <row r="115" spans="1:25" s="57" customFormat="1" x14ac:dyDescent="0.2">
      <c r="A115" s="58">
        <v>114</v>
      </c>
      <c r="B115" s="59">
        <v>27389058</v>
      </c>
      <c r="C115" s="59" t="s">
        <v>328</v>
      </c>
      <c r="D115" s="59" t="s">
        <v>367</v>
      </c>
      <c r="E115" s="59" t="s">
        <v>456</v>
      </c>
      <c r="F115" s="59" t="s">
        <v>315</v>
      </c>
      <c r="G115" s="59">
        <v>21</v>
      </c>
      <c r="H115" s="59" t="s">
        <v>200</v>
      </c>
      <c r="I115" s="60" t="s">
        <v>115</v>
      </c>
      <c r="J115" s="60" t="s">
        <v>123</v>
      </c>
      <c r="K115" s="61">
        <v>45798</v>
      </c>
      <c r="L115" s="66">
        <v>30000</v>
      </c>
      <c r="M115" s="59" t="s">
        <v>103</v>
      </c>
      <c r="N115" s="59" t="s">
        <v>245</v>
      </c>
      <c r="O115" s="59" t="s">
        <v>347</v>
      </c>
      <c r="P115" s="59" t="s">
        <v>23</v>
      </c>
      <c r="Q115" s="60"/>
      <c r="R115" s="59" t="s">
        <v>102</v>
      </c>
      <c r="S115" s="86" t="s">
        <v>201</v>
      </c>
      <c r="T115" s="59">
        <v>3213305172</v>
      </c>
      <c r="U115" s="59" t="s">
        <v>457</v>
      </c>
      <c r="V115" s="62" t="str">
        <f>IF(P115=CURSOS!$D$3,"DIPLOMADO EN ATENCION PRE-HOSPITALARIA",IF(P115=CURSOS!$D$4,"ACOMPAÑAMIENTO Y MANEJO DEL DUELO",IF(P115=CURSOS!$D$5,"ATENCION A VICTIMAS DE ATAQUE CON AGENTES QUIMICOS ",IF(P115=CURSOS!$D$6,"PRIMEROS AUXILIOS ",IF(P115=CURSOS!$D$7,"DIPLOMADO DE UNIDAD DE CUIDADOS INTENSIVOS (UCI)",IF(P115=CURSOS!$D$8,"MODELO DE ATENCION PARA EVENTOS EMERGENTES EN SALUD MENTAL (CODIGO VERDE)",IF(P115=CURSOS!$D$9,"HUMANIZACION EN EL SERVICIO DE LA SALUD Y BUENAS PRACTICAS EN PACIENTE ",IF(P115=CURSOS!$D$10,"CLINICA DE HERIDAS ",IF(P115=CURSOS!$D$11,"TOMA DE CITOLOGIA CERVICO VAGINAL ",IF(P115=CURSOS!$D$12,"SOPORTE CARDIOVASCULAR AVANZADO (ACLS) ",IF(P115=CURSOS!$D$13,"CAMILLERO ",IF(P115=CURSOS!$D$14,"TOMA DE MUESTRAS Y LABORATORIO ",IF(P115=CURSOS!$D$15,"SOPORTE VITAL BASICO (BLS)",IF(P115=CURSOS!$D$16,"ATENCION A VICTIMAS DE VIOLENCIA SEXUAL ",IF(P115=CURSOS!$D$17,"PROGRAMADO AMPLIADO DE INMUNIZACION (PAI - COVID 19)",IF(P115=CURSOS!$D$18,"ATENCION INTEGRAL EN ENFERMEDADES PREVALENTES EN PRIMERA INFANCIA (AIEPI)",IF(P115=CURSOS!$D$19,"ADMINISTRACION DE MEDICAMENTOS, INYECTOLOGIA  Y CANALIZACION ",IF(P115=CURSOS!$D$20,"OPERADOR DE VEHICULOS DE EMERGENCIA (OVE)",IF(P115=CURSOS!$D$21,"INSTITUCIONES AMIGAS DE LA MUJER Y LA INFANCIA (IAMI)",IF(P115=CURSOS!$D$22,"CUIDADO DEL DONANTE DE ORGANOS",IF(P115=CURSOS!$D$23,"ATENCION A VICTIMAS POR VIOLENCIA DE GENERO",IF(P115=CURSOS!$D$24,"IGUALDAD DE GENERO EN LA SALUD",IF(P115=CURSOS!$D$25,"BRIGADA DE EMERGENCIA",IF(P115=CURSOS!$D$26,"MANEJO DEL DOLOR Y CUIDADOS PALIATIVOS",IF(P115=CURSOS!$D$27,"TOMA DE MUESTRAS Y LABORATORIO POCT",IF(P115=CURSOS!$D$28,"IMPLANTE SUBDERMICO DE DISPOSITIVO INTRAUTERINO",IF(P115=CURSOS!$D$29,"SALUD MENTAL",IF(P115=CURSOS!$D$30,"PRIMEROS AUXILIOS PSICOLOGICOS",IF(P115=CURSOS!$D$31,"ATENCION A VICTIMAS POR CONFLICTO ARMADO",IF(P115=CURSOS!$D$32,"MANIPULACION DE ALIMENTOS Y BPM",IF(P115=CURSOS!$D$33,"ATENCION A PERSONAS CON DISCAPACIDAD",IF(P115=CURSOS!$D$34,"CUIDADO INTEGRAL DEL PACIENTE ADULTO",IF(P115=CURSOS!$D$35,"MANEJO DEFENSIVO",IF(P115=CURSOS!$D$36,"SOPORTE CARDIOVASCULAR AVANZADO NEONATAL",IF(P115=CURSOS!$D$37,"SEGURIDAD DEL PACIENTE",IF(P115=CURSOS!$D$38,"MANEJO DE RESIDUOS HOSPITALARIOS",IF(P115=CURSOS!$D$39,"ATENCION DE PACIENTE POR CONSUMO SUSTANCIAS PSICOACTIVAS Y ADICCIONES")))))))))))))))))))))))))))))))))))))</f>
        <v>ACOMPAÑAMIENTO Y MANEJO DEL DUELO</v>
      </c>
      <c r="W115" s="62" t="str">
        <f t="shared" si="6"/>
        <v>Milvia Lorena Quiroz Chamorro</v>
      </c>
      <c r="X115" s="62" t="str">
        <f t="shared" si="7"/>
        <v>Milvia Lorena Quiroz Chamorro</v>
      </c>
      <c r="Y115" s="62" t="str">
        <f t="shared" si="8"/>
        <v>Milvia Lorena Quiroz Chamorro-27389058-DUELO</v>
      </c>
    </row>
    <row r="116" spans="1:25" s="57" customFormat="1" x14ac:dyDescent="0.2">
      <c r="A116" s="58">
        <v>115</v>
      </c>
      <c r="B116" s="70">
        <v>1004575583</v>
      </c>
      <c r="C116" s="59" t="s">
        <v>458</v>
      </c>
      <c r="D116" s="59" t="s">
        <v>459</v>
      </c>
      <c r="E116" s="59" t="s">
        <v>460</v>
      </c>
      <c r="F116" s="59" t="s">
        <v>461</v>
      </c>
      <c r="G116" s="59">
        <v>21</v>
      </c>
      <c r="H116" s="59" t="s">
        <v>200</v>
      </c>
      <c r="I116" s="60" t="s">
        <v>115</v>
      </c>
      <c r="J116" s="60" t="s">
        <v>123</v>
      </c>
      <c r="K116" s="61">
        <v>45798</v>
      </c>
      <c r="L116" s="66">
        <v>30000</v>
      </c>
      <c r="M116" s="59" t="s">
        <v>103</v>
      </c>
      <c r="N116" s="59" t="s">
        <v>245</v>
      </c>
      <c r="O116" s="59" t="s">
        <v>347</v>
      </c>
      <c r="P116" s="59" t="s">
        <v>52</v>
      </c>
      <c r="Q116" s="60"/>
      <c r="R116" s="59" t="s">
        <v>102</v>
      </c>
      <c r="S116" s="64" t="s">
        <v>201</v>
      </c>
      <c r="T116" s="64">
        <v>3163456745</v>
      </c>
      <c r="U116" s="59" t="s">
        <v>462</v>
      </c>
      <c r="V116" s="62" t="str">
        <f>IF(P116=CURSOS!$D$3,"DIPLOMADO EN ATENCION PRE-HOSPITALARIA",IF(P116=CURSOS!$D$4,"ACOMPAÑAMIENTO Y MANEJO DEL DUELO",IF(P116=CURSOS!$D$5,"ATENCION A VICTIMAS DE ATAQUE CON AGENTES QUIMICOS ",IF(P116=CURSOS!$D$6,"PRIMEROS AUXILIOS ",IF(P116=CURSOS!$D$7,"DIPLOMADO DE UNIDAD DE CUIDADOS INTENSIVOS (UCI)",IF(P116=CURSOS!$D$8,"MODELO DE ATENCION PARA EVENTOS EMERGENTES EN SALUD MENTAL (CODIGO VERDE)",IF(P116=CURSOS!$D$9,"HUMANIZACION EN EL SERVICIO DE LA SALUD Y BUENAS PRACTICAS EN PACIENTE ",IF(P116=CURSOS!$D$10,"CLINICA DE HERIDAS ",IF(P116=CURSOS!$D$11,"TOMA DE CITOLOGIA CERVICO VAGINAL ",IF(P116=CURSOS!$D$12,"SOPORTE CARDIOVASCULAR AVANZADO (ACLS) ",IF(P116=CURSOS!$D$13,"CAMILLERO ",IF(P116=CURSOS!$D$14,"TOMA DE MUESTRAS Y LABORATORIO ",IF(P116=CURSOS!$D$15,"SOPORTE VITAL BASICO (BLS)",IF(P116=CURSOS!$D$16,"ATENCION A VICTIMAS DE VIOLENCIA SEXUAL ",IF(P116=CURSOS!$D$17,"PROGRAMADO AMPLIADO DE INMUNIZACION (PAI - COVID 19)",IF(P116=CURSOS!$D$18,"ATENCION INTEGRAL EN ENFERMEDADES PREVALENTES EN PRIMERA INFANCIA (AIEPI)",IF(P116=CURSOS!$D$19,"ADMINISTRACION DE MEDICAMENTOS, INYECTOLOGIA  Y CANALIZACION ",IF(P116=CURSOS!$D$20,"OPERADOR DE VEHICULOS DE EMERGENCIA (OVE)",IF(P116=CURSOS!$D$21,"INSTITUCIONES AMIGAS DE LA MUJER Y LA INFANCIA (IAMI)",IF(P116=CURSOS!$D$22,"CUIDADO DEL DONANTE DE ORGANOS",IF(P116=CURSOS!$D$23,"ATENCION A VICTIMAS POR VIOLENCIA DE GENERO",IF(P116=CURSOS!$D$24,"IGUALDAD DE GENERO EN LA SALUD",IF(P116=CURSOS!$D$25,"BRIGADA DE EMERGENCIA",IF(P116=CURSOS!$D$26,"MANEJO DEL DOLOR Y CUIDADOS PALIATIVOS",IF(P116=CURSOS!$D$27,"TOMA DE MUESTRAS Y LABORATORIO POCT",IF(P116=CURSOS!$D$28,"IMPLANTE SUBDERMICO DE DISPOSITIVO INTRAUTERINO",IF(P116=CURSOS!$D$29,"SALUD MENTAL",IF(P116=CURSOS!$D$30,"PRIMEROS AUXILIOS PSICOLOGICOS",IF(P116=CURSOS!$D$31,"ATENCION A VICTIMAS POR CONFLICTO ARMADO",IF(P116=CURSOS!$D$32,"MANIPULACION DE ALIMENTOS Y BPM",IF(P116=CURSOS!$D$33,"ATENCION A PERSONAS CON DISCAPACIDAD",IF(P116=CURSOS!$D$34,"CUIDADO INTEGRAL DEL PACIENTE ADULTO",IF(P116=CURSOS!$D$35,"MANEJO DEFENSIVO",IF(P116=CURSOS!$D$36,"SOPORTE CARDIOVASCULAR AVANZADO NEONATAL",IF(P116=CURSOS!$D$37,"SEGURIDAD DEL PACIENTE",IF(P116=CURSOS!$D$38,"MANEJO DE RESIDUOS HOSPITALARIOS",IF(P116=CURSOS!$D$39,"ATENCION DE PACIENTE POR CONSUMO SUSTANCIAS PSICOACTIVAS Y ADICCIONES")))))))))))))))))))))))))))))))))))))</f>
        <v>ATENCION A VICTIMAS POR VIOLENCIA DE GENERO</v>
      </c>
      <c r="W116" s="62" t="str">
        <f t="shared" si="6"/>
        <v>Karen Eilyn Tenorio Borja</v>
      </c>
      <c r="X116" s="62" t="str">
        <f t="shared" si="7"/>
        <v>Karen Eilyn Tenorio Borja</v>
      </c>
      <c r="Y116" s="62" t="str">
        <f t="shared" si="8"/>
        <v>Karen Eilyn Tenorio Borja-1004575583-VIOLENCIA DE GENERO</v>
      </c>
    </row>
    <row r="117" spans="1:25" s="57" customFormat="1" x14ac:dyDescent="0.2">
      <c r="A117" s="58">
        <v>116</v>
      </c>
      <c r="B117" s="70">
        <v>1087188471</v>
      </c>
      <c r="C117" s="59" t="s">
        <v>463</v>
      </c>
      <c r="D117" s="59" t="s">
        <v>464</v>
      </c>
      <c r="E117" s="59" t="s">
        <v>465</v>
      </c>
      <c r="F117" s="59" t="s">
        <v>466</v>
      </c>
      <c r="G117" s="59">
        <v>21</v>
      </c>
      <c r="H117" s="59" t="s">
        <v>200</v>
      </c>
      <c r="I117" s="60" t="s">
        <v>115</v>
      </c>
      <c r="J117" s="60" t="s">
        <v>123</v>
      </c>
      <c r="K117" s="61">
        <v>45798</v>
      </c>
      <c r="L117" s="66">
        <v>30000</v>
      </c>
      <c r="M117" s="59" t="s">
        <v>103</v>
      </c>
      <c r="N117" s="59" t="s">
        <v>245</v>
      </c>
      <c r="O117" s="59" t="s">
        <v>347</v>
      </c>
      <c r="P117" s="59" t="s">
        <v>52</v>
      </c>
      <c r="Q117" s="60"/>
      <c r="R117" s="59" t="s">
        <v>102</v>
      </c>
      <c r="S117" s="86" t="s">
        <v>201</v>
      </c>
      <c r="T117" s="59">
        <v>3104343810</v>
      </c>
      <c r="U117" s="59" t="s">
        <v>467</v>
      </c>
      <c r="V117" s="62" t="str">
        <f>IF(P117=CURSOS!$D$3,"DIPLOMADO EN ATENCION PRE-HOSPITALARIA",IF(P117=CURSOS!$D$4,"ACOMPAÑAMIENTO Y MANEJO DEL DUELO",IF(P117=CURSOS!$D$5,"ATENCION A VICTIMAS DE ATAQUE CON AGENTES QUIMICOS ",IF(P117=CURSOS!$D$6,"PRIMEROS AUXILIOS ",IF(P117=CURSOS!$D$7,"DIPLOMADO DE UNIDAD DE CUIDADOS INTENSIVOS (UCI)",IF(P117=CURSOS!$D$8,"MODELO DE ATENCION PARA EVENTOS EMERGENTES EN SALUD MENTAL (CODIGO VERDE)",IF(P117=CURSOS!$D$9,"HUMANIZACION EN EL SERVICIO DE LA SALUD Y BUENAS PRACTICAS EN PACIENTE ",IF(P117=CURSOS!$D$10,"CLINICA DE HERIDAS ",IF(P117=CURSOS!$D$11,"TOMA DE CITOLOGIA CERVICO VAGINAL ",IF(P117=CURSOS!$D$12,"SOPORTE CARDIOVASCULAR AVANZADO (ACLS) ",IF(P117=CURSOS!$D$13,"CAMILLERO ",IF(P117=CURSOS!$D$14,"TOMA DE MUESTRAS Y LABORATORIO ",IF(P117=CURSOS!$D$15,"SOPORTE VITAL BASICO (BLS)",IF(P117=CURSOS!$D$16,"ATENCION A VICTIMAS DE VIOLENCIA SEXUAL ",IF(P117=CURSOS!$D$17,"PROGRAMADO AMPLIADO DE INMUNIZACION (PAI - COVID 19)",IF(P117=CURSOS!$D$18,"ATENCION INTEGRAL EN ENFERMEDADES PREVALENTES EN PRIMERA INFANCIA (AIEPI)",IF(P117=CURSOS!$D$19,"ADMINISTRACION DE MEDICAMENTOS, INYECTOLOGIA  Y CANALIZACION ",IF(P117=CURSOS!$D$20,"OPERADOR DE VEHICULOS DE EMERGENCIA (OVE)",IF(P117=CURSOS!$D$21,"INSTITUCIONES AMIGAS DE LA MUJER Y LA INFANCIA (IAMI)",IF(P117=CURSOS!$D$22,"CUIDADO DEL DONANTE DE ORGANOS",IF(P117=CURSOS!$D$23,"ATENCION A VICTIMAS POR VIOLENCIA DE GENERO",IF(P117=CURSOS!$D$24,"IGUALDAD DE GENERO EN LA SALUD",IF(P117=CURSOS!$D$25,"BRIGADA DE EMERGENCIA",IF(P117=CURSOS!$D$26,"MANEJO DEL DOLOR Y CUIDADOS PALIATIVOS",IF(P117=CURSOS!$D$27,"TOMA DE MUESTRAS Y LABORATORIO POCT",IF(P117=CURSOS!$D$28,"IMPLANTE SUBDERMICO DE DISPOSITIVO INTRAUTERINO",IF(P117=CURSOS!$D$29,"SALUD MENTAL",IF(P117=CURSOS!$D$30,"PRIMEROS AUXILIOS PSICOLOGICOS",IF(P117=CURSOS!$D$31,"ATENCION A VICTIMAS POR CONFLICTO ARMADO",IF(P117=CURSOS!$D$32,"MANIPULACION DE ALIMENTOS Y BPM",IF(P117=CURSOS!$D$33,"ATENCION A PERSONAS CON DISCAPACIDAD",IF(P117=CURSOS!$D$34,"CUIDADO INTEGRAL DEL PACIENTE ADULTO",IF(P117=CURSOS!$D$35,"MANEJO DEFENSIVO",IF(P117=CURSOS!$D$36,"SOPORTE CARDIOVASCULAR AVANZADO NEONATAL",IF(P117=CURSOS!$D$37,"SEGURIDAD DEL PACIENTE",IF(P117=CURSOS!$D$38,"MANEJO DE RESIDUOS HOSPITALARIOS",IF(P117=CURSOS!$D$39,"ATENCION DE PACIENTE POR CONSUMO SUSTANCIAS PSICOACTIVAS Y ADICCIONES")))))))))))))))))))))))))))))))))))))</f>
        <v>ATENCION A VICTIMAS POR VIOLENCIA DE GENERO</v>
      </c>
      <c r="W117" s="62" t="str">
        <f t="shared" si="6"/>
        <v>Ana  Carina Blandon Granja</v>
      </c>
      <c r="X117" s="62" t="str">
        <f t="shared" si="7"/>
        <v>Ana  Carina Blandon Granja</v>
      </c>
      <c r="Y117" s="62" t="str">
        <f t="shared" si="8"/>
        <v>Ana  Carina Blandon Granja-1087188471-VIOLENCIA DE GENERO</v>
      </c>
    </row>
    <row r="118" spans="1:25" s="57" customFormat="1" x14ac:dyDescent="0.2">
      <c r="A118" s="58">
        <v>117</v>
      </c>
      <c r="B118" s="70">
        <v>1004574826</v>
      </c>
      <c r="C118" s="59" t="s">
        <v>175</v>
      </c>
      <c r="D118" s="59" t="s">
        <v>291</v>
      </c>
      <c r="E118" s="59" t="s">
        <v>468</v>
      </c>
      <c r="F118" s="59" t="s">
        <v>469</v>
      </c>
      <c r="G118" s="59">
        <v>21</v>
      </c>
      <c r="H118" s="59" t="s">
        <v>200</v>
      </c>
      <c r="I118" s="60" t="s">
        <v>115</v>
      </c>
      <c r="J118" s="60" t="s">
        <v>123</v>
      </c>
      <c r="K118" s="61">
        <v>45798</v>
      </c>
      <c r="L118" s="66">
        <v>30000</v>
      </c>
      <c r="M118" s="59" t="s">
        <v>103</v>
      </c>
      <c r="N118" s="59" t="s">
        <v>245</v>
      </c>
      <c r="O118" s="59" t="s">
        <v>347</v>
      </c>
      <c r="P118" s="59" t="s">
        <v>52</v>
      </c>
      <c r="Q118" s="60"/>
      <c r="R118" s="59" t="s">
        <v>102</v>
      </c>
      <c r="S118" s="86" t="s">
        <v>201</v>
      </c>
      <c r="T118" s="64" t="s">
        <v>470</v>
      </c>
      <c r="U118" s="59" t="s">
        <v>471</v>
      </c>
      <c r="V118" s="62" t="str">
        <f>IF(P118=CURSOS!$D$3,"DIPLOMADO EN ATENCION PRE-HOSPITALARIA",IF(P118=CURSOS!$D$4,"ACOMPAÑAMIENTO Y MANEJO DEL DUELO",IF(P118=CURSOS!$D$5,"ATENCION A VICTIMAS DE ATAQUE CON AGENTES QUIMICOS ",IF(P118=CURSOS!$D$6,"PRIMEROS AUXILIOS ",IF(P118=CURSOS!$D$7,"DIPLOMADO DE UNIDAD DE CUIDADOS INTENSIVOS (UCI)",IF(P118=CURSOS!$D$8,"MODELO DE ATENCION PARA EVENTOS EMERGENTES EN SALUD MENTAL (CODIGO VERDE)",IF(P118=CURSOS!$D$9,"HUMANIZACION EN EL SERVICIO DE LA SALUD Y BUENAS PRACTICAS EN PACIENTE ",IF(P118=CURSOS!$D$10,"CLINICA DE HERIDAS ",IF(P118=CURSOS!$D$11,"TOMA DE CITOLOGIA CERVICO VAGINAL ",IF(P118=CURSOS!$D$12,"SOPORTE CARDIOVASCULAR AVANZADO (ACLS) ",IF(P118=CURSOS!$D$13,"CAMILLERO ",IF(P118=CURSOS!$D$14,"TOMA DE MUESTRAS Y LABORATORIO ",IF(P118=CURSOS!$D$15,"SOPORTE VITAL BASICO (BLS)",IF(P118=CURSOS!$D$16,"ATENCION A VICTIMAS DE VIOLENCIA SEXUAL ",IF(P118=CURSOS!$D$17,"PROGRAMADO AMPLIADO DE INMUNIZACION (PAI - COVID 19)",IF(P118=CURSOS!$D$18,"ATENCION INTEGRAL EN ENFERMEDADES PREVALENTES EN PRIMERA INFANCIA (AIEPI)",IF(P118=CURSOS!$D$19,"ADMINISTRACION DE MEDICAMENTOS, INYECTOLOGIA  Y CANALIZACION ",IF(P118=CURSOS!$D$20,"OPERADOR DE VEHICULOS DE EMERGENCIA (OVE)",IF(P118=CURSOS!$D$21,"INSTITUCIONES AMIGAS DE LA MUJER Y LA INFANCIA (IAMI)",IF(P118=CURSOS!$D$22,"CUIDADO DEL DONANTE DE ORGANOS",IF(P118=CURSOS!$D$23,"ATENCION A VICTIMAS POR VIOLENCIA DE GENERO",IF(P118=CURSOS!$D$24,"IGUALDAD DE GENERO EN LA SALUD",IF(P118=CURSOS!$D$25,"BRIGADA DE EMERGENCIA",IF(P118=CURSOS!$D$26,"MANEJO DEL DOLOR Y CUIDADOS PALIATIVOS",IF(P118=CURSOS!$D$27,"TOMA DE MUESTRAS Y LABORATORIO POCT",IF(P118=CURSOS!$D$28,"IMPLANTE SUBDERMICO DE DISPOSITIVO INTRAUTERINO",IF(P118=CURSOS!$D$29,"SALUD MENTAL",IF(P118=CURSOS!$D$30,"PRIMEROS AUXILIOS PSICOLOGICOS",IF(P118=CURSOS!$D$31,"ATENCION A VICTIMAS POR CONFLICTO ARMADO",IF(P118=CURSOS!$D$32,"MANIPULACION DE ALIMENTOS Y BPM",IF(P118=CURSOS!$D$33,"ATENCION A PERSONAS CON DISCAPACIDAD",IF(P118=CURSOS!$D$34,"CUIDADO INTEGRAL DEL PACIENTE ADULTO",IF(P118=CURSOS!$D$35,"MANEJO DEFENSIVO",IF(P118=CURSOS!$D$36,"SOPORTE CARDIOVASCULAR AVANZADO NEONATAL",IF(P118=CURSOS!$D$37,"SEGURIDAD DEL PACIENTE",IF(P118=CURSOS!$D$38,"MANEJO DE RESIDUOS HOSPITALARIOS",IF(P118=CURSOS!$D$39,"ATENCION DE PACIENTE POR CONSUMO SUSTANCIAS PSICOACTIVAS Y ADICCIONES")))))))))))))))))))))))))))))))))))))</f>
        <v>ATENCION A VICTIMAS POR VIOLENCIA DE GENERO</v>
      </c>
      <c r="W118" s="62" t="str">
        <f t="shared" si="6"/>
        <v>Wendy Rocio Rodriguez Castillo</v>
      </c>
      <c r="X118" s="62" t="str">
        <f t="shared" si="7"/>
        <v>Wendy Rocio Rodriguez Castillo</v>
      </c>
      <c r="Y118" s="62" t="str">
        <f t="shared" si="8"/>
        <v>Wendy Rocio Rodriguez Castillo-1004574826-VIOLENCIA DE GENERO</v>
      </c>
    </row>
    <row r="119" spans="1:25" s="57" customFormat="1" x14ac:dyDescent="0.2">
      <c r="A119" s="58">
        <v>118</v>
      </c>
      <c r="B119" s="70">
        <v>36835366</v>
      </c>
      <c r="C119" s="63" t="s">
        <v>472</v>
      </c>
      <c r="D119" s="63" t="s">
        <v>473</v>
      </c>
      <c r="E119" s="63" t="s">
        <v>474</v>
      </c>
      <c r="F119" s="63" t="s">
        <v>475</v>
      </c>
      <c r="G119" s="59">
        <v>21</v>
      </c>
      <c r="H119" s="59" t="s">
        <v>200</v>
      </c>
      <c r="I119" s="60" t="s">
        <v>115</v>
      </c>
      <c r="J119" s="60" t="s">
        <v>123</v>
      </c>
      <c r="K119" s="61">
        <v>45798</v>
      </c>
      <c r="L119" s="66">
        <v>30000</v>
      </c>
      <c r="M119" s="59" t="s">
        <v>103</v>
      </c>
      <c r="N119" s="59" t="s">
        <v>245</v>
      </c>
      <c r="O119" s="59" t="s">
        <v>347</v>
      </c>
      <c r="P119" s="59" t="s">
        <v>52</v>
      </c>
      <c r="Q119" s="60"/>
      <c r="R119" s="59" t="s">
        <v>102</v>
      </c>
      <c r="S119" s="86" t="s">
        <v>201</v>
      </c>
      <c r="T119" s="59" t="s">
        <v>476</v>
      </c>
      <c r="U119" s="59" t="s">
        <v>477</v>
      </c>
      <c r="V119" s="62" t="str">
        <f>IF(P119=CURSOS!$D$3,"DIPLOMADO EN ATENCION PRE-HOSPITALARIA",IF(P119=CURSOS!$D$4,"ACOMPAÑAMIENTO Y MANEJO DEL DUELO",IF(P119=CURSOS!$D$5,"ATENCION A VICTIMAS DE ATAQUE CON AGENTES QUIMICOS ",IF(P119=CURSOS!$D$6,"PRIMEROS AUXILIOS ",IF(P119=CURSOS!$D$7,"DIPLOMADO DE UNIDAD DE CUIDADOS INTENSIVOS (UCI)",IF(P119=CURSOS!$D$8,"MODELO DE ATENCION PARA EVENTOS EMERGENTES EN SALUD MENTAL (CODIGO VERDE)",IF(P119=CURSOS!$D$9,"HUMANIZACION EN EL SERVICIO DE LA SALUD Y BUENAS PRACTICAS EN PACIENTE ",IF(P119=CURSOS!$D$10,"CLINICA DE HERIDAS ",IF(P119=CURSOS!$D$11,"TOMA DE CITOLOGIA CERVICO VAGINAL ",IF(P119=CURSOS!$D$12,"SOPORTE CARDIOVASCULAR AVANZADO (ACLS) ",IF(P119=CURSOS!$D$13,"CAMILLERO ",IF(P119=CURSOS!$D$14,"TOMA DE MUESTRAS Y LABORATORIO ",IF(P119=CURSOS!$D$15,"SOPORTE VITAL BASICO (BLS)",IF(P119=CURSOS!$D$16,"ATENCION A VICTIMAS DE VIOLENCIA SEXUAL ",IF(P119=CURSOS!$D$17,"PROGRAMADO AMPLIADO DE INMUNIZACION (PAI - COVID 19)",IF(P119=CURSOS!$D$18,"ATENCION INTEGRAL EN ENFERMEDADES PREVALENTES EN PRIMERA INFANCIA (AIEPI)",IF(P119=CURSOS!$D$19,"ADMINISTRACION DE MEDICAMENTOS, INYECTOLOGIA  Y CANALIZACION ",IF(P119=CURSOS!$D$20,"OPERADOR DE VEHICULOS DE EMERGENCIA (OVE)",IF(P119=CURSOS!$D$21,"INSTITUCIONES AMIGAS DE LA MUJER Y LA INFANCIA (IAMI)",IF(P119=CURSOS!$D$22,"CUIDADO DEL DONANTE DE ORGANOS",IF(P119=CURSOS!$D$23,"ATENCION A VICTIMAS POR VIOLENCIA DE GENERO",IF(P119=CURSOS!$D$24,"IGUALDAD DE GENERO EN LA SALUD",IF(P119=CURSOS!$D$25,"BRIGADA DE EMERGENCIA",IF(P119=CURSOS!$D$26,"MANEJO DEL DOLOR Y CUIDADOS PALIATIVOS",IF(P119=CURSOS!$D$27,"TOMA DE MUESTRAS Y LABORATORIO POCT",IF(P119=CURSOS!$D$28,"IMPLANTE SUBDERMICO DE DISPOSITIVO INTRAUTERINO",IF(P119=CURSOS!$D$29,"SALUD MENTAL",IF(P119=CURSOS!$D$30,"PRIMEROS AUXILIOS PSICOLOGICOS",IF(P119=CURSOS!$D$31,"ATENCION A VICTIMAS POR CONFLICTO ARMADO",IF(P119=CURSOS!$D$32,"MANIPULACION DE ALIMENTOS Y BPM",IF(P119=CURSOS!$D$33,"ATENCION A PERSONAS CON DISCAPACIDAD",IF(P119=CURSOS!$D$34,"CUIDADO INTEGRAL DEL PACIENTE ADULTO",IF(P119=CURSOS!$D$35,"MANEJO DEFENSIVO",IF(P119=CURSOS!$D$36,"SOPORTE CARDIOVASCULAR AVANZADO NEONATAL",IF(P119=CURSOS!$D$37,"SEGURIDAD DEL PACIENTE",IF(P119=CURSOS!$D$38,"MANEJO DE RESIDUOS HOSPITALARIOS",IF(P119=CURSOS!$D$39,"ATENCION DE PACIENTE POR CONSUMO SUSTANCIAS PSICOACTIVAS Y ADICCIONES")))))))))))))))))))))))))))))))))))))</f>
        <v>ATENCION A VICTIMAS POR VIOLENCIA DE GENERO</v>
      </c>
      <c r="W119" s="62" t="str">
        <f t="shared" si="6"/>
        <v>Durby Aracely Viveros Sevillano</v>
      </c>
      <c r="X119" s="62" t="str">
        <f t="shared" si="7"/>
        <v>Durby Aracely Viveros Sevillano</v>
      </c>
      <c r="Y119" s="62" t="str">
        <f t="shared" si="8"/>
        <v>Durby Aracely Viveros Sevillano-36835366-VIOLENCIA DE GENERO</v>
      </c>
    </row>
    <row r="120" spans="1:25" s="57" customFormat="1" x14ac:dyDescent="0.2">
      <c r="A120" s="58">
        <v>119</v>
      </c>
      <c r="B120" s="59">
        <v>1127075119</v>
      </c>
      <c r="C120" s="63" t="s">
        <v>452</v>
      </c>
      <c r="D120" s="63" t="s">
        <v>188</v>
      </c>
      <c r="E120" s="63" t="s">
        <v>453</v>
      </c>
      <c r="F120" s="63" t="s">
        <v>454</v>
      </c>
      <c r="G120" s="63">
        <v>21</v>
      </c>
      <c r="H120" s="59" t="s">
        <v>200</v>
      </c>
      <c r="I120" s="60" t="s">
        <v>115</v>
      </c>
      <c r="J120" s="60" t="s">
        <v>240</v>
      </c>
      <c r="K120" s="61">
        <v>45798</v>
      </c>
      <c r="L120" s="66">
        <v>32000</v>
      </c>
      <c r="M120" s="59" t="s">
        <v>103</v>
      </c>
      <c r="N120" s="59" t="s">
        <v>138</v>
      </c>
      <c r="O120" s="59" t="s">
        <v>99</v>
      </c>
      <c r="P120" s="59" t="s">
        <v>61</v>
      </c>
      <c r="Q120" s="60">
        <v>34013</v>
      </c>
      <c r="R120" s="60" t="s">
        <v>102</v>
      </c>
      <c r="S120" s="85" t="s">
        <v>370</v>
      </c>
      <c r="T120" s="64">
        <v>3222806620</v>
      </c>
      <c r="U120" s="59" t="s">
        <v>455</v>
      </c>
      <c r="V120" s="62" t="str">
        <f>IF(P120=CURSOS!$D$3,"DIPLOMADO EN ATENCION PRE-HOSPITALARIA",IF(P120=CURSOS!$D$4,"ACOMPAÑAMIENTO Y MANEJO DEL DUELO",IF(P120=CURSOS!$D$5,"ATENCION A VICTIMAS DE ATAQUE CON AGENTES QUIMICOS ",IF(P120=CURSOS!$D$6,"PRIMEROS AUXILIOS ",IF(P120=CURSOS!$D$7,"DIPLOMADO DE UNIDAD DE CUIDADOS INTENSIVOS (UCI)",IF(P120=CURSOS!$D$8,"MODELO DE ATENCION PARA EVENTOS EMERGENTES EN SALUD MENTAL (CODIGO VERDE)",IF(P120=CURSOS!$D$9,"HUMANIZACION EN EL SERVICIO DE LA SALUD Y BUENAS PRACTICAS EN PACIENTE ",IF(P120=CURSOS!$D$10,"CLINICA DE HERIDAS ",IF(P120=CURSOS!$D$11,"TOMA DE CITOLOGIA CERVICO VAGINAL ",IF(P120=CURSOS!$D$12,"SOPORTE CARDIOVASCULAR AVANZADO (ACLS) ",IF(P120=CURSOS!$D$13,"CAMILLERO ",IF(P120=CURSOS!$D$14,"TOMA DE MUESTRAS Y LABORATORIO ",IF(P120=CURSOS!$D$15,"SOPORTE VITAL BASICO (BLS)",IF(P120=CURSOS!$D$16,"ATENCION A VICTIMAS DE VIOLENCIA SEXUAL ",IF(P120=CURSOS!$D$17,"PROGRAMADO AMPLIADO DE INMUNIZACION (PAI - COVID 19)",IF(P120=CURSOS!$D$18,"ATENCION INTEGRAL EN ENFERMEDADES PREVALENTES EN PRIMERA INFANCIA (AIEPI)",IF(P120=CURSOS!$D$19,"ADMINISTRACION DE MEDICAMENTOS, INYECTOLOGIA  Y CANALIZACION ",IF(P120=CURSOS!$D$20,"OPERADOR DE VEHICULOS DE EMERGENCIA (OVE)",IF(P120=CURSOS!$D$21,"INSTITUCIONES AMIGAS DE LA MUJER Y LA INFANCIA (IAMI)",IF(P120=CURSOS!$D$22,"CUIDADO DEL DONANTE DE ORGANOS",IF(P120=CURSOS!$D$23,"ATENCION A VICTIMAS POR VIOLENCIA DE GENERO",IF(P120=CURSOS!$D$24,"IGUALDAD DE GENERO EN LA SALUD",IF(P120=CURSOS!$D$25,"BRIGADA DE EMERGENCIA",IF(P120=CURSOS!$D$26,"MANEJO DEL DOLOR Y CUIDADOS PALIATIVOS",IF(P120=CURSOS!$D$27,"TOMA DE MUESTRAS Y LABORATORIO POCT",IF(P120=CURSOS!$D$28,"IMPLANTE SUBDERMICO DE DISPOSITIVO INTRAUTERINO",IF(P120=CURSOS!$D$29,"SALUD MENTAL",IF(P120=CURSOS!$D$30,"PRIMEROS AUXILIOS PSICOLOGICOS",IF(P120=CURSOS!$D$31,"ATENCION A VICTIMAS POR CONFLICTO ARMADO",IF(P120=CURSOS!$D$32,"MANIPULACION DE ALIMENTOS Y BPM",IF(P120=CURSOS!$D$33,"ATENCION A PERSONAS CON DISCAPACIDAD",IF(P120=CURSOS!$D$34,"CUIDADO INTEGRAL DEL PACIENTE ADULTO",IF(P120=CURSOS!$D$35,"MANEJO DEFENSIVO",IF(P120=CURSOS!$D$36,"SOPORTE CARDIOVASCULAR AVANZADO NEONATAL",IF(P120=CURSOS!$D$37,"SEGURIDAD DEL PACIENTE",IF(P120=CURSOS!$D$38,"MANEJO DE RESIDUOS HOSPITALARIOS",IF(P120=CURSOS!$D$39,"ATENCION DE PACIENTE POR CONSUMO SUSTANCIAS PSICOACTIVAS Y ADICCIONES")))))))))))))))))))))))))))))))))))))</f>
        <v>SALUD MENTAL</v>
      </c>
      <c r="W120" s="62" t="str">
        <f t="shared" si="6"/>
        <v>Andelly Yurany Valencia Meneses</v>
      </c>
      <c r="X120" s="62" t="str">
        <f t="shared" si="7"/>
        <v>Andelly Yurany Valencia Meneses</v>
      </c>
      <c r="Y120" s="62" t="str">
        <f t="shared" si="8"/>
        <v>Andelly Yurany Valencia Meneses-1127075119-SALUD MENTAL</v>
      </c>
    </row>
    <row r="121" spans="1:25" s="57" customFormat="1" x14ac:dyDescent="0.2">
      <c r="A121" s="58">
        <v>120</v>
      </c>
      <c r="B121" s="63">
        <v>1127075119</v>
      </c>
      <c r="C121" s="63" t="s">
        <v>452</v>
      </c>
      <c r="D121" s="63" t="s">
        <v>188</v>
      </c>
      <c r="E121" s="63" t="s">
        <v>453</v>
      </c>
      <c r="F121" s="63" t="s">
        <v>454</v>
      </c>
      <c r="G121" s="63">
        <v>20</v>
      </c>
      <c r="H121" s="59" t="s">
        <v>200</v>
      </c>
      <c r="I121" s="60" t="s">
        <v>115</v>
      </c>
      <c r="J121" s="60" t="s">
        <v>240</v>
      </c>
      <c r="K121" s="61">
        <v>45799</v>
      </c>
      <c r="L121" s="66">
        <v>28000</v>
      </c>
      <c r="M121" s="59" t="s">
        <v>103</v>
      </c>
      <c r="N121" s="59" t="s">
        <v>138</v>
      </c>
      <c r="O121" s="59" t="s">
        <v>99</v>
      </c>
      <c r="P121" s="59" t="s">
        <v>42</v>
      </c>
      <c r="Q121" s="60">
        <v>34013</v>
      </c>
      <c r="R121" s="60" t="s">
        <v>102</v>
      </c>
      <c r="S121" s="85" t="s">
        <v>370</v>
      </c>
      <c r="T121" s="64">
        <v>3222806620</v>
      </c>
      <c r="U121" s="59" t="s">
        <v>455</v>
      </c>
      <c r="V121" s="62" t="str">
        <f>IF(P121=CURSOS!$D$3,"DIPLOMADO EN ATENCION PRE-HOSPITALARIA",IF(P121=CURSOS!$D$4,"ACOMPAÑAMIENTO Y MANEJO DEL DUELO",IF(P121=CURSOS!$D$5,"ATENCION A VICTIMAS DE ATAQUE CON AGENTES QUIMICOS ",IF(P121=CURSOS!$D$6,"PRIMEROS AUXILIOS ",IF(P121=CURSOS!$D$7,"DIPLOMADO DE UNIDAD DE CUIDADOS INTENSIVOS (UCI)",IF(P121=CURSOS!$D$8,"MODELO DE ATENCION PARA EVENTOS EMERGENTES EN SALUD MENTAL (CODIGO VERDE)",IF(P121=CURSOS!$D$9,"HUMANIZACION EN EL SERVICIO DE LA SALUD Y BUENAS PRACTICAS EN PACIENTE ",IF(P121=CURSOS!$D$10,"CLINICA DE HERIDAS ",IF(P121=CURSOS!$D$11,"TOMA DE CITOLOGIA CERVICO VAGINAL ",IF(P121=CURSOS!$D$12,"SOPORTE CARDIOVASCULAR AVANZADO (ACLS) ",IF(P121=CURSOS!$D$13,"CAMILLERO ",IF(P121=CURSOS!$D$14,"TOMA DE MUESTRAS Y LABORATORIO ",IF(P121=CURSOS!$D$15,"SOPORTE VITAL BASICO (BLS)",IF(P121=CURSOS!$D$16,"ATENCION A VICTIMAS DE VIOLENCIA SEXUAL ",IF(P121=CURSOS!$D$17,"PROGRAMADO AMPLIADO DE INMUNIZACION (PAI - COVID 19)",IF(P121=CURSOS!$D$18,"ATENCION INTEGRAL EN ENFERMEDADES PREVALENTES EN PRIMERA INFANCIA (AIEPI)",IF(P121=CURSOS!$D$19,"ADMINISTRACION DE MEDICAMENTOS, INYECTOLOGIA  Y CANALIZACION ",IF(P121=CURSOS!$D$20,"OPERADOR DE VEHICULOS DE EMERGENCIA (OVE)",IF(P121=CURSOS!$D$21,"INSTITUCIONES AMIGAS DE LA MUJER Y LA INFANCIA (IAMI)",IF(P121=CURSOS!$D$22,"CUIDADO DEL DONANTE DE ORGANOS",IF(P121=CURSOS!$D$23,"ATENCION A VICTIMAS POR VIOLENCIA DE GENERO",IF(P121=CURSOS!$D$24,"IGUALDAD DE GENERO EN LA SALUD",IF(P121=CURSOS!$D$25,"BRIGADA DE EMERGENCIA",IF(P121=CURSOS!$D$26,"MANEJO DEL DOLOR Y CUIDADOS PALIATIVOS",IF(P121=CURSOS!$D$27,"TOMA DE MUESTRAS Y LABORATORIO POCT",IF(P121=CURSOS!$D$28,"IMPLANTE SUBDERMICO DE DISPOSITIVO INTRAUTERINO",IF(P121=CURSOS!$D$29,"SALUD MENTAL",IF(P121=CURSOS!$D$30,"PRIMEROS AUXILIOS PSICOLOGICOS",IF(P121=CURSOS!$D$31,"ATENCION A VICTIMAS POR CONFLICTO ARMADO",IF(P121=CURSOS!$D$32,"MANIPULACION DE ALIMENTOS Y BPM",IF(P121=CURSOS!$D$33,"ATENCION A PERSONAS CON DISCAPACIDAD",IF(P121=CURSOS!$D$34,"CUIDADO INTEGRAL DEL PACIENTE ADULTO",IF(P121=CURSOS!$D$35,"MANEJO DEFENSIVO",IF(P121=CURSOS!$D$36,"SOPORTE CARDIOVASCULAR AVANZADO NEONATAL",IF(P121=CURSOS!$D$37,"SEGURIDAD DEL PACIENTE",IF(P121=CURSOS!$D$38,"MANEJO DE RESIDUOS HOSPITALARIOS",IF(P121=CURSOS!$D$39,"ATENCION DE PACIENTE POR CONSUMO SUSTANCIAS PSICOACTIVAS Y ADICCIONES")))))))))))))))))))))))))))))))))))))</f>
        <v xml:space="preserve">ATENCION A VICTIMAS DE VIOLENCIA SEXUAL </v>
      </c>
      <c r="W121" s="62" t="str">
        <f t="shared" si="6"/>
        <v>Andelly Yurany Valencia Meneses</v>
      </c>
      <c r="X121" s="62" t="str">
        <f t="shared" si="7"/>
        <v>Andelly Yurany Valencia Meneses</v>
      </c>
      <c r="Y121" s="62" t="str">
        <f t="shared" si="8"/>
        <v>Andelly Yurany Valencia Meneses-1127075119-VIOLENCIA SEXUAL</v>
      </c>
    </row>
    <row r="122" spans="1:25" s="57" customFormat="1" x14ac:dyDescent="0.2">
      <c r="A122" s="58">
        <v>121</v>
      </c>
      <c r="B122" s="63">
        <v>1127075119</v>
      </c>
      <c r="C122" s="63" t="s">
        <v>452</v>
      </c>
      <c r="D122" s="63" t="s">
        <v>188</v>
      </c>
      <c r="E122" s="63" t="s">
        <v>453</v>
      </c>
      <c r="F122" s="63" t="s">
        <v>454</v>
      </c>
      <c r="G122" s="63">
        <v>22</v>
      </c>
      <c r="H122" s="59" t="s">
        <v>200</v>
      </c>
      <c r="I122" s="60" t="s">
        <v>115</v>
      </c>
      <c r="J122" s="60" t="s">
        <v>240</v>
      </c>
      <c r="K122" s="61">
        <v>45799</v>
      </c>
      <c r="L122" s="66">
        <v>28000</v>
      </c>
      <c r="M122" s="59" t="s">
        <v>103</v>
      </c>
      <c r="N122" s="59" t="s">
        <v>138</v>
      </c>
      <c r="O122" s="59" t="s">
        <v>99</v>
      </c>
      <c r="P122" s="59" t="s">
        <v>32</v>
      </c>
      <c r="Q122" s="60">
        <v>34013</v>
      </c>
      <c r="R122" s="60" t="s">
        <v>102</v>
      </c>
      <c r="S122" s="85" t="s">
        <v>370</v>
      </c>
      <c r="T122" s="64">
        <v>3222806620</v>
      </c>
      <c r="U122" s="59" t="s">
        <v>455</v>
      </c>
      <c r="V122" s="62" t="str">
        <f>IF(P122=CURSOS!$D$3,"DIPLOMADO EN ATENCION PRE-HOSPITALARIA",IF(P122=CURSOS!$D$4,"ACOMPAÑAMIENTO Y MANEJO DEL DUELO",IF(P122=CURSOS!$D$5,"ATENCION A VICTIMAS DE ATAQUE CON AGENTES QUIMICOS ",IF(P122=CURSOS!$D$6,"PRIMEROS AUXILIOS ",IF(P122=CURSOS!$D$7,"DIPLOMADO DE UNIDAD DE CUIDADOS INTENSIVOS (UCI)",IF(P122=CURSOS!$D$8,"MODELO DE ATENCION PARA EVENTOS EMERGENTES EN SALUD MENTAL (CODIGO VERDE)",IF(P122=CURSOS!$D$9,"HUMANIZACION EN EL SERVICIO DE LA SALUD Y BUENAS PRACTICAS EN PACIENTE ",IF(P122=CURSOS!$D$10,"CLINICA DE HERIDAS ",IF(P122=CURSOS!$D$11,"TOMA DE CITOLOGIA CERVICO VAGINAL ",IF(P122=CURSOS!$D$12,"SOPORTE CARDIOVASCULAR AVANZADO (ACLS) ",IF(P122=CURSOS!$D$13,"CAMILLERO ",IF(P122=CURSOS!$D$14,"TOMA DE MUESTRAS Y LABORATORIO ",IF(P122=CURSOS!$D$15,"SOPORTE VITAL BASICO (BLS)",IF(P122=CURSOS!$D$16,"ATENCION A VICTIMAS DE VIOLENCIA SEXUAL ",IF(P122=CURSOS!$D$17,"PROGRAMADO AMPLIADO DE INMUNIZACION (PAI - COVID 19)",IF(P122=CURSOS!$D$18,"ATENCION INTEGRAL EN ENFERMEDADES PREVALENTES EN PRIMERA INFANCIA (AIEPI)",IF(P122=CURSOS!$D$19,"ADMINISTRACION DE MEDICAMENTOS, INYECTOLOGIA  Y CANALIZACION ",IF(P122=CURSOS!$D$20,"OPERADOR DE VEHICULOS DE EMERGENCIA (OVE)",IF(P122=CURSOS!$D$21,"INSTITUCIONES AMIGAS DE LA MUJER Y LA INFANCIA (IAMI)",IF(P122=CURSOS!$D$22,"CUIDADO DEL DONANTE DE ORGANOS",IF(P122=CURSOS!$D$23,"ATENCION A VICTIMAS POR VIOLENCIA DE GENERO",IF(P122=CURSOS!$D$24,"IGUALDAD DE GENERO EN LA SALUD",IF(P122=CURSOS!$D$25,"BRIGADA DE EMERGENCIA",IF(P122=CURSOS!$D$26,"MANEJO DEL DOLOR Y CUIDADOS PALIATIVOS",IF(P122=CURSOS!$D$27,"TOMA DE MUESTRAS Y LABORATORIO POCT",IF(P122=CURSOS!$D$28,"IMPLANTE SUBDERMICO DE DISPOSITIVO INTRAUTERINO",IF(P122=CURSOS!$D$29,"SALUD MENTAL",IF(P122=CURSOS!$D$30,"PRIMEROS AUXILIOS PSICOLOGICOS",IF(P122=CURSOS!$D$31,"ATENCION A VICTIMAS POR CONFLICTO ARMADO",IF(P122=CURSOS!$D$32,"MANIPULACION DE ALIMENTOS Y BPM",IF(P122=CURSOS!$D$33,"ATENCION A PERSONAS CON DISCAPACIDAD",IF(P122=CURSOS!$D$34,"CUIDADO INTEGRAL DEL PACIENTE ADULTO",IF(P122=CURSOS!$D$35,"MANEJO DEFENSIVO",IF(P122=CURSOS!$D$36,"SOPORTE CARDIOVASCULAR AVANZADO NEONATAL",IF(P122=CURSOS!$D$37,"SEGURIDAD DEL PACIENTE",IF(P122=CURSOS!$D$38,"MANEJO DE RESIDUOS HOSPITALARIOS",IF(P122=CURSOS!$D$39,"ATENCION DE PACIENTE POR CONSUMO SUSTANCIAS PSICOACTIVAS Y ADICCIONES")))))))))))))))))))))))))))))))))))))</f>
        <v xml:space="preserve">HUMANIZACION EN EL SERVICIO DE LA SALUD Y BUENAS PRACTICAS EN PACIENTE </v>
      </c>
      <c r="W122" s="62" t="str">
        <f t="shared" si="6"/>
        <v>Andelly Yurany Valencia Meneses</v>
      </c>
      <c r="X122" s="62" t="str">
        <f t="shared" si="7"/>
        <v>Andelly Yurany Valencia Meneses</v>
      </c>
      <c r="Y122" s="62" t="str">
        <f t="shared" si="8"/>
        <v>Andelly Yurany Valencia Meneses-1127075119-HUMANIZACION</v>
      </c>
    </row>
    <row r="123" spans="1:25" s="57" customFormat="1" x14ac:dyDescent="0.2">
      <c r="A123" s="58">
        <v>122</v>
      </c>
      <c r="B123" s="63">
        <v>1127075119</v>
      </c>
      <c r="C123" s="63" t="s">
        <v>452</v>
      </c>
      <c r="D123" s="63" t="s">
        <v>188</v>
      </c>
      <c r="E123" s="63" t="s">
        <v>453</v>
      </c>
      <c r="F123" s="63" t="s">
        <v>454</v>
      </c>
      <c r="G123" s="63">
        <v>19</v>
      </c>
      <c r="H123" s="59" t="s">
        <v>200</v>
      </c>
      <c r="I123" s="60" t="s">
        <v>115</v>
      </c>
      <c r="J123" s="60" t="s">
        <v>240</v>
      </c>
      <c r="K123" s="61">
        <v>45799</v>
      </c>
      <c r="L123" s="66">
        <v>28000</v>
      </c>
      <c r="M123" s="59" t="s">
        <v>103</v>
      </c>
      <c r="N123" s="59" t="s">
        <v>138</v>
      </c>
      <c r="O123" s="59" t="s">
        <v>99</v>
      </c>
      <c r="P123" s="59" t="s">
        <v>64</v>
      </c>
      <c r="Q123" s="60">
        <v>34013</v>
      </c>
      <c r="R123" s="60" t="s">
        <v>102</v>
      </c>
      <c r="S123" s="85" t="s">
        <v>370</v>
      </c>
      <c r="T123" s="64">
        <v>3222806620</v>
      </c>
      <c r="U123" s="59" t="s">
        <v>455</v>
      </c>
      <c r="V123" s="62" t="str">
        <f>IF(P123=CURSOS!$D$3,"DIPLOMADO EN ATENCION PRE-HOSPITALARIA",IF(P123=CURSOS!$D$4,"ACOMPAÑAMIENTO Y MANEJO DEL DUELO",IF(P123=CURSOS!$D$5,"ATENCION A VICTIMAS DE ATAQUE CON AGENTES QUIMICOS ",IF(P123=CURSOS!$D$6,"PRIMEROS AUXILIOS ",IF(P123=CURSOS!$D$7,"DIPLOMADO DE UNIDAD DE CUIDADOS INTENSIVOS (UCI)",IF(P123=CURSOS!$D$8,"MODELO DE ATENCION PARA EVENTOS EMERGENTES EN SALUD MENTAL (CODIGO VERDE)",IF(P123=CURSOS!$D$9,"HUMANIZACION EN EL SERVICIO DE LA SALUD Y BUENAS PRACTICAS EN PACIENTE ",IF(P123=CURSOS!$D$10,"CLINICA DE HERIDAS ",IF(P123=CURSOS!$D$11,"TOMA DE CITOLOGIA CERVICO VAGINAL ",IF(P123=CURSOS!$D$12,"SOPORTE CARDIOVASCULAR AVANZADO (ACLS) ",IF(P123=CURSOS!$D$13,"CAMILLERO ",IF(P123=CURSOS!$D$14,"TOMA DE MUESTRAS Y LABORATORIO ",IF(P123=CURSOS!$D$15,"SOPORTE VITAL BASICO (BLS)",IF(P123=CURSOS!$D$16,"ATENCION A VICTIMAS DE VIOLENCIA SEXUAL ",IF(P123=CURSOS!$D$17,"PROGRAMADO AMPLIADO DE INMUNIZACION (PAI - COVID 19)",IF(P123=CURSOS!$D$18,"ATENCION INTEGRAL EN ENFERMEDADES PREVALENTES EN PRIMERA INFANCIA (AIEPI)",IF(P123=CURSOS!$D$19,"ADMINISTRACION DE MEDICAMENTOS, INYECTOLOGIA  Y CANALIZACION ",IF(P123=CURSOS!$D$20,"OPERADOR DE VEHICULOS DE EMERGENCIA (OVE)",IF(P123=CURSOS!$D$21,"INSTITUCIONES AMIGAS DE LA MUJER Y LA INFANCIA (IAMI)",IF(P123=CURSOS!$D$22,"CUIDADO DEL DONANTE DE ORGANOS",IF(P123=CURSOS!$D$23,"ATENCION A VICTIMAS POR VIOLENCIA DE GENERO",IF(P123=CURSOS!$D$24,"IGUALDAD DE GENERO EN LA SALUD",IF(P123=CURSOS!$D$25,"BRIGADA DE EMERGENCIA",IF(P123=CURSOS!$D$26,"MANEJO DEL DOLOR Y CUIDADOS PALIATIVOS",IF(P123=CURSOS!$D$27,"TOMA DE MUESTRAS Y LABORATORIO POCT",IF(P123=CURSOS!$D$28,"IMPLANTE SUBDERMICO DE DISPOSITIVO INTRAUTERINO",IF(P123=CURSOS!$D$29,"SALUD MENTAL",IF(P123=CURSOS!$D$30,"PRIMEROS AUXILIOS PSICOLOGICOS",IF(P123=CURSOS!$D$31,"ATENCION A VICTIMAS POR CONFLICTO ARMADO",IF(P123=CURSOS!$D$32,"MANIPULACION DE ALIMENTOS Y BPM",IF(P123=CURSOS!$D$33,"ATENCION A PERSONAS CON DISCAPACIDAD",IF(P123=CURSOS!$D$34,"CUIDADO INTEGRAL DEL PACIENTE ADULTO",IF(P123=CURSOS!$D$35,"MANEJO DEFENSIVO",IF(P123=CURSOS!$D$36,"SOPORTE CARDIOVASCULAR AVANZADO NEONATAL",IF(P123=CURSOS!$D$37,"SEGURIDAD DEL PACIENTE",IF(P123=CURSOS!$D$38,"MANEJO DE RESIDUOS HOSPITALARIOS",IF(P123=CURSOS!$D$39,"ATENCION DE PACIENTE POR CONSUMO SUSTANCIAS PSICOACTIVAS Y ADICCIONES")))))))))))))))))))))))))))))))))))))</f>
        <v>ATENCION A VICTIMAS POR CONFLICTO ARMADO</v>
      </c>
      <c r="W123" s="62" t="str">
        <f t="shared" si="6"/>
        <v>Andelly Yurany Valencia Meneses</v>
      </c>
      <c r="X123" s="62" t="str">
        <f t="shared" si="7"/>
        <v>Andelly Yurany Valencia Meneses</v>
      </c>
      <c r="Y123" s="62" t="str">
        <f t="shared" si="8"/>
        <v>Andelly Yurany Valencia Meneses-1127075119-CONFLICTO ARMADO</v>
      </c>
    </row>
    <row r="124" spans="1:25" s="57" customFormat="1" x14ac:dyDescent="0.2">
      <c r="A124" s="58">
        <v>123</v>
      </c>
      <c r="B124" s="59">
        <v>1085339035</v>
      </c>
      <c r="C124" s="59" t="s">
        <v>478</v>
      </c>
      <c r="D124" s="59" t="s">
        <v>153</v>
      </c>
      <c r="E124" s="59" t="s">
        <v>198</v>
      </c>
      <c r="F124" s="59" t="s">
        <v>190</v>
      </c>
      <c r="G124" s="59">
        <v>22</v>
      </c>
      <c r="H124" s="59" t="s">
        <v>200</v>
      </c>
      <c r="I124" s="60" t="s">
        <v>115</v>
      </c>
      <c r="J124" s="60" t="s">
        <v>258</v>
      </c>
      <c r="K124" s="61">
        <v>45799</v>
      </c>
      <c r="L124" s="66">
        <v>104000</v>
      </c>
      <c r="M124" s="59" t="s">
        <v>214</v>
      </c>
      <c r="N124" s="59" t="s">
        <v>138</v>
      </c>
      <c r="O124" s="59" t="s">
        <v>116</v>
      </c>
      <c r="P124" s="59" t="s">
        <v>37</v>
      </c>
      <c r="Q124" s="60">
        <v>35838</v>
      </c>
      <c r="R124" s="63" t="s">
        <v>102</v>
      </c>
      <c r="S124" s="64" t="s">
        <v>215</v>
      </c>
      <c r="T124" s="64">
        <v>3118776702</v>
      </c>
      <c r="U124" s="59" t="s">
        <v>479</v>
      </c>
      <c r="V124" s="62" t="str">
        <f>IF(P124=CURSOS!$D$3,"DIPLOMADO EN ATENCION PRE-HOSPITALARIA",IF(P124=CURSOS!$D$4,"ACOMPAÑAMIENTO Y MANEJO DEL DUELO",IF(P124=CURSOS!$D$5,"ATENCION A VICTIMAS DE ATAQUE CON AGENTES QUIMICOS ",IF(P124=CURSOS!$D$6,"PRIMEROS AUXILIOS ",IF(P124=CURSOS!$D$7,"DIPLOMADO DE UNIDAD DE CUIDADOS INTENSIVOS (UCI)",IF(P124=CURSOS!$D$8,"MODELO DE ATENCION PARA EVENTOS EMERGENTES EN SALUD MENTAL (CODIGO VERDE)",IF(P124=CURSOS!$D$9,"HUMANIZACION EN EL SERVICIO DE LA SALUD Y BUENAS PRACTICAS EN PACIENTE ",IF(P124=CURSOS!$D$10,"CLINICA DE HERIDAS ",IF(P124=CURSOS!$D$11,"TOMA DE CITOLOGIA CERVICO VAGINAL ",IF(P124=CURSOS!$D$12,"SOPORTE CARDIOVASCULAR AVANZADO (ACLS) ",IF(P124=CURSOS!$D$13,"CAMILLERO ",IF(P124=CURSOS!$D$14,"TOMA DE MUESTRAS Y LABORATORIO ",IF(P124=CURSOS!$D$15,"SOPORTE VITAL BASICO (BLS)",IF(P124=CURSOS!$D$16,"ATENCION A VICTIMAS DE VIOLENCIA SEXUAL ",IF(P124=CURSOS!$D$17,"PROGRAMADO AMPLIADO DE INMUNIZACION (PAI - COVID 19)",IF(P124=CURSOS!$D$18,"ATENCION INTEGRAL EN ENFERMEDADES PREVALENTES EN PRIMERA INFANCIA (AIEPI)",IF(P124=CURSOS!$D$19,"ADMINISTRACION DE MEDICAMENTOS, INYECTOLOGIA  Y CANALIZACION ",IF(P124=CURSOS!$D$20,"OPERADOR DE VEHICULOS DE EMERGENCIA (OVE)",IF(P124=CURSOS!$D$21,"INSTITUCIONES AMIGAS DE LA MUJER Y LA INFANCIA (IAMI)",IF(P124=CURSOS!$D$22,"CUIDADO DEL DONANTE DE ORGANOS",IF(P124=CURSOS!$D$23,"ATENCION A VICTIMAS POR VIOLENCIA DE GENERO",IF(P124=CURSOS!$D$24,"IGUALDAD DE GENERO EN LA SALUD",IF(P124=CURSOS!$D$25,"BRIGADA DE EMERGENCIA",IF(P124=CURSOS!$D$26,"MANEJO DEL DOLOR Y CUIDADOS PALIATIVOS",IF(P124=CURSOS!$D$27,"TOMA DE MUESTRAS Y LABORATORIO POCT",IF(P124=CURSOS!$D$28,"IMPLANTE SUBDERMICO DE DISPOSITIVO INTRAUTERINO",IF(P124=CURSOS!$D$29,"SALUD MENTAL",IF(P124=CURSOS!$D$30,"PRIMEROS AUXILIOS PSICOLOGICOS",IF(P124=CURSOS!$D$31,"ATENCION A VICTIMAS POR CONFLICTO ARMADO",IF(P124=CURSOS!$D$32,"MANIPULACION DE ALIMENTOS Y BPM",IF(P124=CURSOS!$D$33,"ATENCION A PERSONAS CON DISCAPACIDAD",IF(P124=CURSOS!$D$34,"CUIDADO INTEGRAL DEL PACIENTE ADULTO",IF(P124=CURSOS!$D$35,"MANEJO DEFENSIVO",IF(P124=CURSOS!$D$36,"SOPORTE CARDIOVASCULAR AVANZADO NEONATAL",IF(P124=CURSOS!$D$37,"SEGURIDAD DEL PACIENTE",IF(P124=CURSOS!$D$38,"MANEJO DE RESIDUOS HOSPITALARIOS",IF(P124=CURSOS!$D$39,"ATENCION DE PACIENTE POR CONSUMO SUSTANCIAS PSICOACTIVAS Y ADICCIONES")))))))))))))))))))))))))))))))))))))</f>
        <v xml:space="preserve">SOPORTE CARDIOVASCULAR AVANZADO (ACLS) </v>
      </c>
      <c r="W124" s="62" t="str">
        <f t="shared" si="6"/>
        <v>Maria Alejandra Serrano Delgado</v>
      </c>
      <c r="X124" s="62" t="str">
        <f t="shared" si="7"/>
        <v>Maria Alejandra Serrano Delgado</v>
      </c>
      <c r="Y124" s="62" t="str">
        <f t="shared" si="8"/>
        <v>Maria Alejandra Serrano Delgado-1085339035-ACLS</v>
      </c>
    </row>
    <row r="125" spans="1:25" s="57" customFormat="1" x14ac:dyDescent="0.2">
      <c r="A125" s="58">
        <v>124</v>
      </c>
      <c r="B125" s="59">
        <v>27314992</v>
      </c>
      <c r="C125" s="59" t="s">
        <v>480</v>
      </c>
      <c r="D125" s="59" t="s">
        <v>481</v>
      </c>
      <c r="E125" s="59" t="s">
        <v>482</v>
      </c>
      <c r="F125" s="59" t="s">
        <v>382</v>
      </c>
      <c r="G125" s="59">
        <v>22</v>
      </c>
      <c r="H125" s="59" t="s">
        <v>200</v>
      </c>
      <c r="I125" s="60" t="s">
        <v>115</v>
      </c>
      <c r="J125" s="60" t="s">
        <v>485</v>
      </c>
      <c r="K125" s="61">
        <v>45799</v>
      </c>
      <c r="L125" s="66">
        <v>28000</v>
      </c>
      <c r="M125" s="59" t="s">
        <v>103</v>
      </c>
      <c r="N125" s="59" t="s">
        <v>138</v>
      </c>
      <c r="O125" s="59" t="s">
        <v>116</v>
      </c>
      <c r="P125" s="59" t="s">
        <v>42</v>
      </c>
      <c r="Q125" s="60">
        <v>29921</v>
      </c>
      <c r="R125" s="59" t="s">
        <v>102</v>
      </c>
      <c r="S125" s="64" t="s">
        <v>201</v>
      </c>
      <c r="T125" s="59">
        <v>3216868841</v>
      </c>
      <c r="U125" s="59" t="s">
        <v>483</v>
      </c>
      <c r="V125" s="62" t="str">
        <f>IF(P125=CURSOS!$D$3,"DIPLOMADO EN ATENCION PRE-HOSPITALARIA",IF(P125=CURSOS!$D$4,"ACOMPAÑAMIENTO Y MANEJO DEL DUELO",IF(P125=CURSOS!$D$5,"ATENCION A VICTIMAS DE ATAQUE CON AGENTES QUIMICOS ",IF(P125=CURSOS!$D$6,"PRIMEROS AUXILIOS ",IF(P125=CURSOS!$D$7,"DIPLOMADO DE UNIDAD DE CUIDADOS INTENSIVOS (UCI)",IF(P125=CURSOS!$D$8,"MODELO DE ATENCION PARA EVENTOS EMERGENTES EN SALUD MENTAL (CODIGO VERDE)",IF(P125=CURSOS!$D$9,"HUMANIZACION EN EL SERVICIO DE LA SALUD Y BUENAS PRACTICAS EN PACIENTE ",IF(P125=CURSOS!$D$10,"CLINICA DE HERIDAS ",IF(P125=CURSOS!$D$11,"TOMA DE CITOLOGIA CERVICO VAGINAL ",IF(P125=CURSOS!$D$12,"SOPORTE CARDIOVASCULAR AVANZADO (ACLS) ",IF(P125=CURSOS!$D$13,"CAMILLERO ",IF(P125=CURSOS!$D$14,"TOMA DE MUESTRAS Y LABORATORIO ",IF(P125=CURSOS!$D$15,"SOPORTE VITAL BASICO (BLS)",IF(P125=CURSOS!$D$16,"ATENCION A VICTIMAS DE VIOLENCIA SEXUAL ",IF(P125=CURSOS!$D$17,"PROGRAMADO AMPLIADO DE INMUNIZACION (PAI - COVID 19)",IF(P125=CURSOS!$D$18,"ATENCION INTEGRAL EN ENFERMEDADES PREVALENTES EN PRIMERA INFANCIA (AIEPI)",IF(P125=CURSOS!$D$19,"ADMINISTRACION DE MEDICAMENTOS, INYECTOLOGIA  Y CANALIZACION ",IF(P125=CURSOS!$D$20,"OPERADOR DE VEHICULOS DE EMERGENCIA (OVE)",IF(P125=CURSOS!$D$21,"INSTITUCIONES AMIGAS DE LA MUJER Y LA INFANCIA (IAMI)",IF(P125=CURSOS!$D$22,"CUIDADO DEL DONANTE DE ORGANOS",IF(P125=CURSOS!$D$23,"ATENCION A VICTIMAS POR VIOLENCIA DE GENERO",IF(P125=CURSOS!$D$24,"IGUALDAD DE GENERO EN LA SALUD",IF(P125=CURSOS!$D$25,"BRIGADA DE EMERGENCIA",IF(P125=CURSOS!$D$26,"MANEJO DEL DOLOR Y CUIDADOS PALIATIVOS",IF(P125=CURSOS!$D$27,"TOMA DE MUESTRAS Y LABORATORIO POCT",IF(P125=CURSOS!$D$28,"IMPLANTE SUBDERMICO DE DISPOSITIVO INTRAUTERINO",IF(P125=CURSOS!$D$29,"SALUD MENTAL",IF(P125=CURSOS!$D$30,"PRIMEROS AUXILIOS PSICOLOGICOS",IF(P125=CURSOS!$D$31,"ATENCION A VICTIMAS POR CONFLICTO ARMADO",IF(P125=CURSOS!$D$32,"MANIPULACION DE ALIMENTOS Y BPM",IF(P125=CURSOS!$D$33,"ATENCION A PERSONAS CON DISCAPACIDAD",IF(P125=CURSOS!$D$34,"CUIDADO INTEGRAL DEL PACIENTE ADULTO",IF(P125=CURSOS!$D$35,"MANEJO DEFENSIVO",IF(P125=CURSOS!$D$36,"SOPORTE CARDIOVASCULAR AVANZADO NEONATAL",IF(P125=CURSOS!$D$37,"SEGURIDAD DEL PACIENTE",IF(P125=CURSOS!$D$38,"MANEJO DE RESIDUOS HOSPITALARIOS",IF(P125=CURSOS!$D$39,"ATENCION DE PACIENTE POR CONSUMO SUSTANCIAS PSICOACTIVAS Y ADICCIONES")))))))))))))))))))))))))))))))))))))</f>
        <v xml:space="preserve">ATENCION A VICTIMAS DE VIOLENCIA SEXUAL </v>
      </c>
      <c r="W125" s="62" t="str">
        <f t="shared" si="6"/>
        <v>Martha Cecilia Montenegro Vallejo</v>
      </c>
      <c r="X125" s="62" t="str">
        <f t="shared" si="7"/>
        <v>Martha Cecilia Montenegro Vallejo</v>
      </c>
      <c r="Y125" s="62" t="str">
        <f t="shared" si="8"/>
        <v>Martha Cecilia Montenegro Vallejo-27314992-VIOLENCIA SEXUAL</v>
      </c>
    </row>
    <row r="126" spans="1:25" s="57" customFormat="1" x14ac:dyDescent="0.2">
      <c r="A126" s="58">
        <v>125</v>
      </c>
      <c r="B126" s="59">
        <v>27314992</v>
      </c>
      <c r="C126" s="59" t="s">
        <v>480</v>
      </c>
      <c r="D126" s="59" t="s">
        <v>481</v>
      </c>
      <c r="E126" s="59" t="s">
        <v>482</v>
      </c>
      <c r="F126" s="59" t="s">
        <v>382</v>
      </c>
      <c r="G126" s="59">
        <v>22</v>
      </c>
      <c r="H126" s="59" t="s">
        <v>200</v>
      </c>
      <c r="I126" s="60" t="s">
        <v>115</v>
      </c>
      <c r="J126" s="60" t="s">
        <v>485</v>
      </c>
      <c r="K126" s="61">
        <v>45799</v>
      </c>
      <c r="L126" s="66">
        <v>28000</v>
      </c>
      <c r="M126" s="59" t="s">
        <v>103</v>
      </c>
      <c r="N126" s="59" t="s">
        <v>138</v>
      </c>
      <c r="O126" s="59" t="s">
        <v>116</v>
      </c>
      <c r="P126" s="59" t="s">
        <v>25</v>
      </c>
      <c r="Q126" s="60">
        <v>29921</v>
      </c>
      <c r="R126" s="59" t="s">
        <v>102</v>
      </c>
      <c r="S126" s="64" t="s">
        <v>201</v>
      </c>
      <c r="T126" s="59">
        <v>3216868841</v>
      </c>
      <c r="U126" s="59" t="s">
        <v>483</v>
      </c>
      <c r="V126" s="62" t="str">
        <f>IF(P126=CURSOS!$D$3,"DIPLOMADO EN ATENCION PRE-HOSPITALARIA",IF(P126=CURSOS!$D$4,"ACOMPAÑAMIENTO Y MANEJO DEL DUELO",IF(P126=CURSOS!$D$5,"ATENCION A VICTIMAS DE ATAQUE CON AGENTES QUIMICOS ",IF(P126=CURSOS!$D$6,"PRIMEROS AUXILIOS ",IF(P126=CURSOS!$D$7,"DIPLOMADO DE UNIDAD DE CUIDADOS INTENSIVOS (UCI)",IF(P126=CURSOS!$D$8,"MODELO DE ATENCION PARA EVENTOS EMERGENTES EN SALUD MENTAL (CODIGO VERDE)",IF(P126=CURSOS!$D$9,"HUMANIZACION EN EL SERVICIO DE LA SALUD Y BUENAS PRACTICAS EN PACIENTE ",IF(P126=CURSOS!$D$10,"CLINICA DE HERIDAS ",IF(P126=CURSOS!$D$11,"TOMA DE CITOLOGIA CERVICO VAGINAL ",IF(P126=CURSOS!$D$12,"SOPORTE CARDIOVASCULAR AVANZADO (ACLS) ",IF(P126=CURSOS!$D$13,"CAMILLERO ",IF(P126=CURSOS!$D$14,"TOMA DE MUESTRAS Y LABORATORIO ",IF(P126=CURSOS!$D$15,"SOPORTE VITAL BASICO (BLS)",IF(P126=CURSOS!$D$16,"ATENCION A VICTIMAS DE VIOLENCIA SEXUAL ",IF(P126=CURSOS!$D$17,"PROGRAMADO AMPLIADO DE INMUNIZACION (PAI - COVID 19)",IF(P126=CURSOS!$D$18,"ATENCION INTEGRAL EN ENFERMEDADES PREVALENTES EN PRIMERA INFANCIA (AIEPI)",IF(P126=CURSOS!$D$19,"ADMINISTRACION DE MEDICAMENTOS, INYECTOLOGIA  Y CANALIZACION ",IF(P126=CURSOS!$D$20,"OPERADOR DE VEHICULOS DE EMERGENCIA (OVE)",IF(P126=CURSOS!$D$21,"INSTITUCIONES AMIGAS DE LA MUJER Y LA INFANCIA (IAMI)",IF(P126=CURSOS!$D$22,"CUIDADO DEL DONANTE DE ORGANOS",IF(P126=CURSOS!$D$23,"ATENCION A VICTIMAS POR VIOLENCIA DE GENERO",IF(P126=CURSOS!$D$24,"IGUALDAD DE GENERO EN LA SALUD",IF(P126=CURSOS!$D$25,"BRIGADA DE EMERGENCIA",IF(P126=CURSOS!$D$26,"MANEJO DEL DOLOR Y CUIDADOS PALIATIVOS",IF(P126=CURSOS!$D$27,"TOMA DE MUESTRAS Y LABORATORIO POCT",IF(P126=CURSOS!$D$28,"IMPLANTE SUBDERMICO DE DISPOSITIVO INTRAUTERINO",IF(P126=CURSOS!$D$29,"SALUD MENTAL",IF(P126=CURSOS!$D$30,"PRIMEROS AUXILIOS PSICOLOGICOS",IF(P126=CURSOS!$D$31,"ATENCION A VICTIMAS POR CONFLICTO ARMADO",IF(P126=CURSOS!$D$32,"MANIPULACION DE ALIMENTOS Y BPM",IF(P126=CURSOS!$D$33,"ATENCION A PERSONAS CON DISCAPACIDAD",IF(P126=CURSOS!$D$34,"CUIDADO INTEGRAL DEL PACIENTE ADULTO",IF(P126=CURSOS!$D$35,"MANEJO DEFENSIVO",IF(P126=CURSOS!$D$36,"SOPORTE CARDIOVASCULAR AVANZADO NEONATAL",IF(P126=CURSOS!$D$37,"SEGURIDAD DEL PACIENTE",IF(P126=CURSOS!$D$38,"MANEJO DE RESIDUOS HOSPITALARIOS",IF(P126=CURSOS!$D$39,"ATENCION DE PACIENTE POR CONSUMO SUSTANCIAS PSICOACTIVAS Y ADICCIONES")))))))))))))))))))))))))))))))))))))</f>
        <v xml:space="preserve">ATENCION A VICTIMAS DE ATAQUE CON AGENTES QUIMICOS </v>
      </c>
      <c r="W126" s="62" t="str">
        <f t="shared" si="6"/>
        <v>Martha Cecilia Montenegro Vallejo</v>
      </c>
      <c r="X126" s="62" t="str">
        <f t="shared" si="7"/>
        <v>Martha Cecilia Montenegro Vallejo</v>
      </c>
      <c r="Y126" s="62" t="str">
        <f t="shared" si="8"/>
        <v>Martha Cecilia Montenegro Vallejo-27314992-QUIMICOS</v>
      </c>
    </row>
    <row r="127" spans="1:25" s="57" customFormat="1" x14ac:dyDescent="0.2">
      <c r="A127" s="58">
        <v>126</v>
      </c>
      <c r="B127" s="59">
        <v>27081932</v>
      </c>
      <c r="C127" s="59" t="s">
        <v>339</v>
      </c>
      <c r="D127" s="59" t="s">
        <v>264</v>
      </c>
      <c r="E127" s="59" t="s">
        <v>482</v>
      </c>
      <c r="F127" s="59" t="s">
        <v>342</v>
      </c>
      <c r="G127" s="59">
        <v>22</v>
      </c>
      <c r="H127" s="59" t="s">
        <v>200</v>
      </c>
      <c r="I127" s="60" t="s">
        <v>115</v>
      </c>
      <c r="J127" s="60" t="s">
        <v>486</v>
      </c>
      <c r="K127" s="61">
        <v>45799</v>
      </c>
      <c r="L127" s="66">
        <v>28000</v>
      </c>
      <c r="M127" s="59" t="s">
        <v>214</v>
      </c>
      <c r="N127" s="59" t="s">
        <v>138</v>
      </c>
      <c r="O127" s="59" t="s">
        <v>116</v>
      </c>
      <c r="P127" s="59" t="s">
        <v>19</v>
      </c>
      <c r="Q127" s="60">
        <v>28466</v>
      </c>
      <c r="R127" s="59" t="s">
        <v>102</v>
      </c>
      <c r="S127" s="64" t="s">
        <v>295</v>
      </c>
      <c r="T127" s="59">
        <v>3146816203</v>
      </c>
      <c r="U127" s="64" t="s">
        <v>484</v>
      </c>
      <c r="V127" s="62" t="str">
        <f>IF(P127=CURSOS!$D$3,"DIPLOMADO EN ATENCION PRE-HOSPITALARIA",IF(P127=CURSOS!$D$4,"ACOMPAÑAMIENTO Y MANEJO DEL DUELO",IF(P127=CURSOS!$D$5,"ATENCION A VICTIMAS DE ATAQUE CON AGENTES QUIMICOS ",IF(P127=CURSOS!$D$6,"PRIMEROS AUXILIOS ",IF(P127=CURSOS!$D$7,"DIPLOMADO DE UNIDAD DE CUIDADOS INTENSIVOS (UCI)",IF(P127=CURSOS!$D$8,"MODELO DE ATENCION PARA EVENTOS EMERGENTES EN SALUD MENTAL (CODIGO VERDE)",IF(P127=CURSOS!$D$9,"HUMANIZACION EN EL SERVICIO DE LA SALUD Y BUENAS PRACTICAS EN PACIENTE ",IF(P127=CURSOS!$D$10,"CLINICA DE HERIDAS ",IF(P127=CURSOS!$D$11,"TOMA DE CITOLOGIA CERVICO VAGINAL ",IF(P127=CURSOS!$D$12,"SOPORTE CARDIOVASCULAR AVANZADO (ACLS) ",IF(P127=CURSOS!$D$13,"CAMILLERO ",IF(P127=CURSOS!$D$14,"TOMA DE MUESTRAS Y LABORATORIO ",IF(P127=CURSOS!$D$15,"SOPORTE VITAL BASICO (BLS)",IF(P127=CURSOS!$D$16,"ATENCION A VICTIMAS DE VIOLENCIA SEXUAL ",IF(P127=CURSOS!$D$17,"PROGRAMADO AMPLIADO DE INMUNIZACION (PAI - COVID 19)",IF(P127=CURSOS!$D$18,"ATENCION INTEGRAL EN ENFERMEDADES PREVALENTES EN PRIMERA INFANCIA (AIEPI)",IF(P127=CURSOS!$D$19,"ADMINISTRACION DE MEDICAMENTOS, INYECTOLOGIA  Y CANALIZACION ",IF(P127=CURSOS!$D$20,"OPERADOR DE VEHICULOS DE EMERGENCIA (OVE)",IF(P127=CURSOS!$D$21,"INSTITUCIONES AMIGAS DE LA MUJER Y LA INFANCIA (IAMI)",IF(P127=CURSOS!$D$22,"CUIDADO DEL DONANTE DE ORGANOS",IF(P127=CURSOS!$D$23,"ATENCION A VICTIMAS POR VIOLENCIA DE GENERO",IF(P127=CURSOS!$D$24,"IGUALDAD DE GENERO EN LA SALUD",IF(P127=CURSOS!$D$25,"BRIGADA DE EMERGENCIA",IF(P127=CURSOS!$D$26,"MANEJO DEL DOLOR Y CUIDADOS PALIATIVOS",IF(P127=CURSOS!$D$27,"TOMA DE MUESTRAS Y LABORATORIO POCT",IF(P127=CURSOS!$D$28,"IMPLANTE SUBDERMICO DE DISPOSITIVO INTRAUTERINO",IF(P127=CURSOS!$D$29,"SALUD MENTAL",IF(P127=CURSOS!$D$30,"PRIMEROS AUXILIOS PSICOLOGICOS",IF(P127=CURSOS!$D$31,"ATENCION A VICTIMAS POR CONFLICTO ARMADO",IF(P127=CURSOS!$D$32,"MANIPULACION DE ALIMENTOS Y BPM",IF(P127=CURSOS!$D$33,"ATENCION A PERSONAS CON DISCAPACIDAD",IF(P127=CURSOS!$D$34,"CUIDADO INTEGRAL DEL PACIENTE ADULTO",IF(P127=CURSOS!$D$35,"MANEJO DEFENSIVO",IF(P127=CURSOS!$D$36,"SOPORTE CARDIOVASCULAR AVANZADO NEONATAL",IF(P127=CURSOS!$D$37,"SEGURIDAD DEL PACIENTE",IF(P127=CURSOS!$D$38,"MANEJO DE RESIDUOS HOSPITALARIOS",IF(P127=CURSOS!$D$39,"ATENCION DE PACIENTE POR CONSUMO SUSTANCIAS PSICOACTIVAS Y ADICCIONES")))))))))))))))))))))))))))))))))))))</f>
        <v>SOPORTE VITAL BASICO (BLS)</v>
      </c>
      <c r="W127" s="62" t="str">
        <f t="shared" si="6"/>
        <v>Martha Lucia Melo Ceron</v>
      </c>
      <c r="X127" s="62" t="str">
        <f t="shared" si="7"/>
        <v>Martha Lucia Melo Ceron</v>
      </c>
      <c r="Y127" s="62" t="str">
        <f t="shared" si="8"/>
        <v>Martha Lucia Melo Ceron-27081932-BLS</v>
      </c>
    </row>
    <row r="128" spans="1:25" s="57" customFormat="1" x14ac:dyDescent="0.2">
      <c r="A128" s="58">
        <v>127</v>
      </c>
      <c r="B128" s="59">
        <v>27081932</v>
      </c>
      <c r="C128" s="59" t="s">
        <v>339</v>
      </c>
      <c r="D128" s="59" t="s">
        <v>264</v>
      </c>
      <c r="E128" s="59" t="s">
        <v>482</v>
      </c>
      <c r="F128" s="59" t="s">
        <v>342</v>
      </c>
      <c r="G128" s="59">
        <v>22</v>
      </c>
      <c r="H128" s="59" t="s">
        <v>200</v>
      </c>
      <c r="I128" s="60" t="s">
        <v>115</v>
      </c>
      <c r="J128" s="60" t="s">
        <v>486</v>
      </c>
      <c r="K128" s="61">
        <v>45799</v>
      </c>
      <c r="L128" s="66">
        <v>28000</v>
      </c>
      <c r="M128" s="59" t="s">
        <v>214</v>
      </c>
      <c r="N128" s="59" t="s">
        <v>138</v>
      </c>
      <c r="O128" s="59" t="s">
        <v>116</v>
      </c>
      <c r="P128" s="59" t="s">
        <v>23</v>
      </c>
      <c r="Q128" s="60">
        <v>28466</v>
      </c>
      <c r="R128" s="59" t="s">
        <v>102</v>
      </c>
      <c r="S128" s="64" t="s">
        <v>295</v>
      </c>
      <c r="T128" s="59">
        <v>3146816203</v>
      </c>
      <c r="U128" s="64" t="s">
        <v>484</v>
      </c>
      <c r="V128" s="62" t="str">
        <f>IF(P128=CURSOS!$D$3,"DIPLOMADO EN ATENCION PRE-HOSPITALARIA",IF(P128=CURSOS!$D$4,"ACOMPAÑAMIENTO Y MANEJO DEL DUELO",IF(P128=CURSOS!$D$5,"ATENCION A VICTIMAS DE ATAQUE CON AGENTES QUIMICOS ",IF(P128=CURSOS!$D$6,"PRIMEROS AUXILIOS ",IF(P128=CURSOS!$D$7,"DIPLOMADO DE UNIDAD DE CUIDADOS INTENSIVOS (UCI)",IF(P128=CURSOS!$D$8,"MODELO DE ATENCION PARA EVENTOS EMERGENTES EN SALUD MENTAL (CODIGO VERDE)",IF(P128=CURSOS!$D$9,"HUMANIZACION EN EL SERVICIO DE LA SALUD Y BUENAS PRACTICAS EN PACIENTE ",IF(P128=CURSOS!$D$10,"CLINICA DE HERIDAS ",IF(P128=CURSOS!$D$11,"TOMA DE CITOLOGIA CERVICO VAGINAL ",IF(P128=CURSOS!$D$12,"SOPORTE CARDIOVASCULAR AVANZADO (ACLS) ",IF(P128=CURSOS!$D$13,"CAMILLERO ",IF(P128=CURSOS!$D$14,"TOMA DE MUESTRAS Y LABORATORIO ",IF(P128=CURSOS!$D$15,"SOPORTE VITAL BASICO (BLS)",IF(P128=CURSOS!$D$16,"ATENCION A VICTIMAS DE VIOLENCIA SEXUAL ",IF(P128=CURSOS!$D$17,"PROGRAMADO AMPLIADO DE INMUNIZACION (PAI - COVID 19)",IF(P128=CURSOS!$D$18,"ATENCION INTEGRAL EN ENFERMEDADES PREVALENTES EN PRIMERA INFANCIA (AIEPI)",IF(P128=CURSOS!$D$19,"ADMINISTRACION DE MEDICAMENTOS, INYECTOLOGIA  Y CANALIZACION ",IF(P128=CURSOS!$D$20,"OPERADOR DE VEHICULOS DE EMERGENCIA (OVE)",IF(P128=CURSOS!$D$21,"INSTITUCIONES AMIGAS DE LA MUJER Y LA INFANCIA (IAMI)",IF(P128=CURSOS!$D$22,"CUIDADO DEL DONANTE DE ORGANOS",IF(P128=CURSOS!$D$23,"ATENCION A VICTIMAS POR VIOLENCIA DE GENERO",IF(P128=CURSOS!$D$24,"IGUALDAD DE GENERO EN LA SALUD",IF(P128=CURSOS!$D$25,"BRIGADA DE EMERGENCIA",IF(P128=CURSOS!$D$26,"MANEJO DEL DOLOR Y CUIDADOS PALIATIVOS",IF(P128=CURSOS!$D$27,"TOMA DE MUESTRAS Y LABORATORIO POCT",IF(P128=CURSOS!$D$28,"IMPLANTE SUBDERMICO DE DISPOSITIVO INTRAUTERINO",IF(P128=CURSOS!$D$29,"SALUD MENTAL",IF(P128=CURSOS!$D$30,"PRIMEROS AUXILIOS PSICOLOGICOS",IF(P128=CURSOS!$D$31,"ATENCION A VICTIMAS POR CONFLICTO ARMADO",IF(P128=CURSOS!$D$32,"MANIPULACION DE ALIMENTOS Y BPM",IF(P128=CURSOS!$D$33,"ATENCION A PERSONAS CON DISCAPACIDAD",IF(P128=CURSOS!$D$34,"CUIDADO INTEGRAL DEL PACIENTE ADULTO",IF(P128=CURSOS!$D$35,"MANEJO DEFENSIVO",IF(P128=CURSOS!$D$36,"SOPORTE CARDIOVASCULAR AVANZADO NEONATAL",IF(P128=CURSOS!$D$37,"SEGURIDAD DEL PACIENTE",IF(P128=CURSOS!$D$38,"MANEJO DE RESIDUOS HOSPITALARIOS",IF(P128=CURSOS!$D$39,"ATENCION DE PACIENTE POR CONSUMO SUSTANCIAS PSICOACTIVAS Y ADICCIONES")))))))))))))))))))))))))))))))))))))</f>
        <v>ACOMPAÑAMIENTO Y MANEJO DEL DUELO</v>
      </c>
      <c r="W128" s="62" t="str">
        <f t="shared" si="6"/>
        <v>Martha Lucia Melo Ceron</v>
      </c>
      <c r="X128" s="62" t="str">
        <f t="shared" si="7"/>
        <v>Martha Lucia Melo Ceron</v>
      </c>
      <c r="Y128" s="62" t="str">
        <f t="shared" si="8"/>
        <v>Martha Lucia Melo Ceron-27081932-DUELO</v>
      </c>
    </row>
    <row r="129" spans="1:25" s="57" customFormat="1" x14ac:dyDescent="0.2">
      <c r="A129" s="58">
        <v>128</v>
      </c>
      <c r="B129" s="59">
        <v>1004508285</v>
      </c>
      <c r="C129" s="59" t="s">
        <v>134</v>
      </c>
      <c r="D129" s="59" t="s">
        <v>188</v>
      </c>
      <c r="E129" s="59" t="s">
        <v>487</v>
      </c>
      <c r="F129" s="59" t="s">
        <v>198</v>
      </c>
      <c r="G129" s="59">
        <v>22</v>
      </c>
      <c r="H129" s="59" t="s">
        <v>200</v>
      </c>
      <c r="I129" s="60" t="s">
        <v>115</v>
      </c>
      <c r="J129" s="60" t="s">
        <v>258</v>
      </c>
      <c r="K129" s="61">
        <v>45799</v>
      </c>
      <c r="L129" s="66">
        <v>64000</v>
      </c>
      <c r="M129" s="59" t="s">
        <v>103</v>
      </c>
      <c r="N129" s="59" t="s">
        <v>138</v>
      </c>
      <c r="O129" s="59" t="s">
        <v>116</v>
      </c>
      <c r="P129" s="59" t="s">
        <v>42</v>
      </c>
      <c r="Q129" s="60">
        <v>37251</v>
      </c>
      <c r="R129" s="59" t="s">
        <v>102</v>
      </c>
      <c r="S129" s="59" t="s">
        <v>310</v>
      </c>
      <c r="T129" s="64">
        <v>3134120887</v>
      </c>
      <c r="U129" s="59" t="s">
        <v>488</v>
      </c>
      <c r="V129" s="62" t="str">
        <f>IF(P129=CURSOS!$D$3,"DIPLOMADO EN ATENCION PRE-HOSPITALARIA",IF(P129=CURSOS!$D$4,"ACOMPAÑAMIENTO Y MANEJO DEL DUELO",IF(P129=CURSOS!$D$5,"ATENCION A VICTIMAS DE ATAQUE CON AGENTES QUIMICOS ",IF(P129=CURSOS!$D$6,"PRIMEROS AUXILIOS ",IF(P129=CURSOS!$D$7,"DIPLOMADO DE UNIDAD DE CUIDADOS INTENSIVOS (UCI)",IF(P129=CURSOS!$D$8,"MODELO DE ATENCION PARA EVENTOS EMERGENTES EN SALUD MENTAL (CODIGO VERDE)",IF(P129=CURSOS!$D$9,"HUMANIZACION EN EL SERVICIO DE LA SALUD Y BUENAS PRACTICAS EN PACIENTE ",IF(P129=CURSOS!$D$10,"CLINICA DE HERIDAS ",IF(P129=CURSOS!$D$11,"TOMA DE CITOLOGIA CERVICO VAGINAL ",IF(P129=CURSOS!$D$12,"SOPORTE CARDIOVASCULAR AVANZADO (ACLS) ",IF(P129=CURSOS!$D$13,"CAMILLERO ",IF(P129=CURSOS!$D$14,"TOMA DE MUESTRAS Y LABORATORIO ",IF(P129=CURSOS!$D$15,"SOPORTE VITAL BASICO (BLS)",IF(P129=CURSOS!$D$16,"ATENCION A VICTIMAS DE VIOLENCIA SEXUAL ",IF(P129=CURSOS!$D$17,"PROGRAMADO AMPLIADO DE INMUNIZACION (PAI - COVID 19)",IF(P129=CURSOS!$D$18,"ATENCION INTEGRAL EN ENFERMEDADES PREVALENTES EN PRIMERA INFANCIA (AIEPI)",IF(P129=CURSOS!$D$19,"ADMINISTRACION DE MEDICAMENTOS, INYECTOLOGIA  Y CANALIZACION ",IF(P129=CURSOS!$D$20,"OPERADOR DE VEHICULOS DE EMERGENCIA (OVE)",IF(P129=CURSOS!$D$21,"INSTITUCIONES AMIGAS DE LA MUJER Y LA INFANCIA (IAMI)",IF(P129=CURSOS!$D$22,"CUIDADO DEL DONANTE DE ORGANOS",IF(P129=CURSOS!$D$23,"ATENCION A VICTIMAS POR VIOLENCIA DE GENERO",IF(P129=CURSOS!$D$24,"IGUALDAD DE GENERO EN LA SALUD",IF(P129=CURSOS!$D$25,"BRIGADA DE EMERGENCIA",IF(P129=CURSOS!$D$26,"MANEJO DEL DOLOR Y CUIDADOS PALIATIVOS",IF(P129=CURSOS!$D$27,"TOMA DE MUESTRAS Y LABORATORIO POCT",IF(P129=CURSOS!$D$28,"IMPLANTE SUBDERMICO DE DISPOSITIVO INTRAUTERINO",IF(P129=CURSOS!$D$29,"SALUD MENTAL",IF(P129=CURSOS!$D$30,"PRIMEROS AUXILIOS PSICOLOGICOS",IF(P129=CURSOS!$D$31,"ATENCION A VICTIMAS POR CONFLICTO ARMADO",IF(P129=CURSOS!$D$32,"MANIPULACION DE ALIMENTOS Y BPM",IF(P129=CURSOS!$D$33,"ATENCION A PERSONAS CON DISCAPACIDAD",IF(P129=CURSOS!$D$34,"CUIDADO INTEGRAL DEL PACIENTE ADULTO",IF(P129=CURSOS!$D$35,"MANEJO DEFENSIVO",IF(P129=CURSOS!$D$36,"SOPORTE CARDIOVASCULAR AVANZADO NEONATAL",IF(P129=CURSOS!$D$37,"SEGURIDAD DEL PACIENTE",IF(P129=CURSOS!$D$38,"MANEJO DE RESIDUOS HOSPITALARIOS",IF(P129=CURSOS!$D$39,"ATENCION DE PACIENTE POR CONSUMO SUSTANCIAS PSICOACTIVAS Y ADICCIONES")))))))))))))))))))))))))))))))))))))</f>
        <v xml:space="preserve">ATENCION A VICTIMAS DE VIOLENCIA SEXUAL </v>
      </c>
      <c r="W129" s="62" t="str">
        <f t="shared" si="6"/>
        <v>Sarita Maria Botina Meneses</v>
      </c>
      <c r="X129" s="62" t="str">
        <f t="shared" si="7"/>
        <v>Sarita Maria Botina Meneses</v>
      </c>
      <c r="Y129" s="62" t="str">
        <f t="shared" si="8"/>
        <v>Sarita Maria Botina Meneses-1004508285-VIOLENCIA SEXUAL</v>
      </c>
    </row>
    <row r="130" spans="1:25" s="57" customFormat="1" x14ac:dyDescent="0.2">
      <c r="A130" s="58">
        <v>129</v>
      </c>
      <c r="B130" s="59">
        <v>27081932</v>
      </c>
      <c r="C130" s="59" t="s">
        <v>339</v>
      </c>
      <c r="D130" s="59" t="s">
        <v>264</v>
      </c>
      <c r="E130" s="59" t="s">
        <v>482</v>
      </c>
      <c r="F130" s="59" t="s">
        <v>342</v>
      </c>
      <c r="G130" s="59">
        <v>23</v>
      </c>
      <c r="H130" s="59" t="s">
        <v>200</v>
      </c>
      <c r="I130" s="60" t="s">
        <v>115</v>
      </c>
      <c r="J130" s="60" t="s">
        <v>486</v>
      </c>
      <c r="K130" s="61">
        <v>45799</v>
      </c>
      <c r="L130" s="66">
        <v>28000</v>
      </c>
      <c r="M130" s="59" t="s">
        <v>214</v>
      </c>
      <c r="N130" s="59" t="s">
        <v>138</v>
      </c>
      <c r="O130" s="59" t="s">
        <v>116</v>
      </c>
      <c r="P130" s="59" t="s">
        <v>64</v>
      </c>
      <c r="Q130" s="60">
        <v>28466</v>
      </c>
      <c r="R130" s="59" t="s">
        <v>102</v>
      </c>
      <c r="S130" s="64" t="s">
        <v>295</v>
      </c>
      <c r="T130" s="59">
        <v>3146816203</v>
      </c>
      <c r="U130" s="64" t="s">
        <v>484</v>
      </c>
      <c r="V130" s="62" t="str">
        <f>IF(P130=CURSOS!$D$3,"DIPLOMADO EN ATENCION PRE-HOSPITALARIA",IF(P130=CURSOS!$D$4,"ACOMPAÑAMIENTO Y MANEJO DEL DUELO",IF(P130=CURSOS!$D$5,"ATENCION A VICTIMAS DE ATAQUE CON AGENTES QUIMICOS ",IF(P130=CURSOS!$D$6,"PRIMEROS AUXILIOS ",IF(P130=CURSOS!$D$7,"DIPLOMADO DE UNIDAD DE CUIDADOS INTENSIVOS (UCI)",IF(P130=CURSOS!$D$8,"MODELO DE ATENCION PARA EVENTOS EMERGENTES EN SALUD MENTAL (CODIGO VERDE)",IF(P130=CURSOS!$D$9,"HUMANIZACION EN EL SERVICIO DE LA SALUD Y BUENAS PRACTICAS EN PACIENTE ",IF(P130=CURSOS!$D$10,"CLINICA DE HERIDAS ",IF(P130=CURSOS!$D$11,"TOMA DE CITOLOGIA CERVICO VAGINAL ",IF(P130=CURSOS!$D$12,"SOPORTE CARDIOVASCULAR AVANZADO (ACLS) ",IF(P130=CURSOS!$D$13,"CAMILLERO ",IF(P130=CURSOS!$D$14,"TOMA DE MUESTRAS Y LABORATORIO ",IF(P130=CURSOS!$D$15,"SOPORTE VITAL BASICO (BLS)",IF(P130=CURSOS!$D$16,"ATENCION A VICTIMAS DE VIOLENCIA SEXUAL ",IF(P130=CURSOS!$D$17,"PROGRAMADO AMPLIADO DE INMUNIZACION (PAI - COVID 19)",IF(P130=CURSOS!$D$18,"ATENCION INTEGRAL EN ENFERMEDADES PREVALENTES EN PRIMERA INFANCIA (AIEPI)",IF(P130=CURSOS!$D$19,"ADMINISTRACION DE MEDICAMENTOS, INYECTOLOGIA  Y CANALIZACION ",IF(P130=CURSOS!$D$20,"OPERADOR DE VEHICULOS DE EMERGENCIA (OVE)",IF(P130=CURSOS!$D$21,"INSTITUCIONES AMIGAS DE LA MUJER Y LA INFANCIA (IAMI)",IF(P130=CURSOS!$D$22,"CUIDADO DEL DONANTE DE ORGANOS",IF(P130=CURSOS!$D$23,"ATENCION A VICTIMAS POR VIOLENCIA DE GENERO",IF(P130=CURSOS!$D$24,"IGUALDAD DE GENERO EN LA SALUD",IF(P130=CURSOS!$D$25,"BRIGADA DE EMERGENCIA",IF(P130=CURSOS!$D$26,"MANEJO DEL DOLOR Y CUIDADOS PALIATIVOS",IF(P130=CURSOS!$D$27,"TOMA DE MUESTRAS Y LABORATORIO POCT",IF(P130=CURSOS!$D$28,"IMPLANTE SUBDERMICO DE DISPOSITIVO INTRAUTERINO",IF(P130=CURSOS!$D$29,"SALUD MENTAL",IF(P130=CURSOS!$D$30,"PRIMEROS AUXILIOS PSICOLOGICOS",IF(P130=CURSOS!$D$31,"ATENCION A VICTIMAS POR CONFLICTO ARMADO",IF(P130=CURSOS!$D$32,"MANIPULACION DE ALIMENTOS Y BPM",IF(P130=CURSOS!$D$33,"ATENCION A PERSONAS CON DISCAPACIDAD",IF(P130=CURSOS!$D$34,"CUIDADO INTEGRAL DEL PACIENTE ADULTO",IF(P130=CURSOS!$D$35,"MANEJO DEFENSIVO",IF(P130=CURSOS!$D$36,"SOPORTE CARDIOVASCULAR AVANZADO NEONATAL",IF(P130=CURSOS!$D$37,"SEGURIDAD DEL PACIENTE",IF(P130=CURSOS!$D$38,"MANEJO DE RESIDUOS HOSPITALARIOS",IF(P130=CURSOS!$D$39,"ATENCION DE PACIENTE POR CONSUMO SUSTANCIAS PSICOACTIVAS Y ADICCIONES")))))))))))))))))))))))))))))))))))))</f>
        <v>ATENCION A VICTIMAS POR CONFLICTO ARMADO</v>
      </c>
      <c r="W130" s="62" t="str">
        <f t="shared" si="6"/>
        <v>Martha Lucia Melo Ceron</v>
      </c>
      <c r="X130" s="62" t="str">
        <f t="shared" si="7"/>
        <v>Martha Lucia Melo Ceron</v>
      </c>
      <c r="Y130" s="62" t="str">
        <f t="shared" si="8"/>
        <v>Martha Lucia Melo Ceron-27081932-CONFLICTO ARMADO</v>
      </c>
    </row>
    <row r="131" spans="1:25" s="57" customFormat="1" x14ac:dyDescent="0.2">
      <c r="A131" s="58">
        <v>130</v>
      </c>
      <c r="B131" s="59">
        <v>1004623899</v>
      </c>
      <c r="C131" s="59" t="s">
        <v>489</v>
      </c>
      <c r="D131" s="59" t="s">
        <v>313</v>
      </c>
      <c r="E131" s="59" t="s">
        <v>490</v>
      </c>
      <c r="F131" s="59" t="s">
        <v>491</v>
      </c>
      <c r="G131" s="59">
        <v>23</v>
      </c>
      <c r="H131" s="59" t="s">
        <v>200</v>
      </c>
      <c r="I131" s="60" t="s">
        <v>115</v>
      </c>
      <c r="J131" s="60" t="s">
        <v>240</v>
      </c>
      <c r="K131" s="61">
        <v>45799</v>
      </c>
      <c r="L131" s="66">
        <v>28000</v>
      </c>
      <c r="M131" s="59" t="s">
        <v>103</v>
      </c>
      <c r="N131" s="59" t="s">
        <v>138</v>
      </c>
      <c r="O131" s="59" t="s">
        <v>99</v>
      </c>
      <c r="P131" s="59" t="s">
        <v>42</v>
      </c>
      <c r="Q131" s="60"/>
      <c r="R131" s="60" t="s">
        <v>102</v>
      </c>
      <c r="S131" s="85" t="s">
        <v>201</v>
      </c>
      <c r="T131" s="64">
        <v>3156908912</v>
      </c>
      <c r="U131" s="59" t="s">
        <v>492</v>
      </c>
      <c r="V131" s="62" t="str">
        <f>IF(P131=CURSOS!$D$3,"DIPLOMADO EN ATENCION PRE-HOSPITALARIA",IF(P131=CURSOS!$D$4,"ACOMPAÑAMIENTO Y MANEJO DEL DUELO",IF(P131=CURSOS!$D$5,"ATENCION A VICTIMAS DE ATAQUE CON AGENTES QUIMICOS ",IF(P131=CURSOS!$D$6,"PRIMEROS AUXILIOS ",IF(P131=CURSOS!$D$7,"DIPLOMADO DE UNIDAD DE CUIDADOS INTENSIVOS (UCI)",IF(P131=CURSOS!$D$8,"MODELO DE ATENCION PARA EVENTOS EMERGENTES EN SALUD MENTAL (CODIGO VERDE)",IF(P131=CURSOS!$D$9,"HUMANIZACION EN EL SERVICIO DE LA SALUD Y BUENAS PRACTICAS EN PACIENTE ",IF(P131=CURSOS!$D$10,"CLINICA DE HERIDAS ",IF(P131=CURSOS!$D$11,"TOMA DE CITOLOGIA CERVICO VAGINAL ",IF(P131=CURSOS!$D$12,"SOPORTE CARDIOVASCULAR AVANZADO (ACLS) ",IF(P131=CURSOS!$D$13,"CAMILLERO ",IF(P131=CURSOS!$D$14,"TOMA DE MUESTRAS Y LABORATORIO ",IF(P131=CURSOS!$D$15,"SOPORTE VITAL BASICO (BLS)",IF(P131=CURSOS!$D$16,"ATENCION A VICTIMAS DE VIOLENCIA SEXUAL ",IF(P131=CURSOS!$D$17,"PROGRAMADO AMPLIADO DE INMUNIZACION (PAI - COVID 19)",IF(P131=CURSOS!$D$18,"ATENCION INTEGRAL EN ENFERMEDADES PREVALENTES EN PRIMERA INFANCIA (AIEPI)",IF(P131=CURSOS!$D$19,"ADMINISTRACION DE MEDICAMENTOS, INYECTOLOGIA  Y CANALIZACION ",IF(P131=CURSOS!$D$20,"OPERADOR DE VEHICULOS DE EMERGENCIA (OVE)",IF(P131=CURSOS!$D$21,"INSTITUCIONES AMIGAS DE LA MUJER Y LA INFANCIA (IAMI)",IF(P131=CURSOS!$D$22,"CUIDADO DEL DONANTE DE ORGANOS",IF(P131=CURSOS!$D$23,"ATENCION A VICTIMAS POR VIOLENCIA DE GENERO",IF(P131=CURSOS!$D$24,"IGUALDAD DE GENERO EN LA SALUD",IF(P131=CURSOS!$D$25,"BRIGADA DE EMERGENCIA",IF(P131=CURSOS!$D$26,"MANEJO DEL DOLOR Y CUIDADOS PALIATIVOS",IF(P131=CURSOS!$D$27,"TOMA DE MUESTRAS Y LABORATORIO POCT",IF(P131=CURSOS!$D$28,"IMPLANTE SUBDERMICO DE DISPOSITIVO INTRAUTERINO",IF(P131=CURSOS!$D$29,"SALUD MENTAL",IF(P131=CURSOS!$D$30,"PRIMEROS AUXILIOS PSICOLOGICOS",IF(P131=CURSOS!$D$31,"ATENCION A VICTIMAS POR CONFLICTO ARMADO",IF(P131=CURSOS!$D$32,"MANIPULACION DE ALIMENTOS Y BPM",IF(P131=CURSOS!$D$33,"ATENCION A PERSONAS CON DISCAPACIDAD",IF(P131=CURSOS!$D$34,"CUIDADO INTEGRAL DEL PACIENTE ADULTO",IF(P131=CURSOS!$D$35,"MANEJO DEFENSIVO",IF(P131=CURSOS!$D$36,"SOPORTE CARDIOVASCULAR AVANZADO NEONATAL",IF(P131=CURSOS!$D$37,"SEGURIDAD DEL PACIENTE",IF(P131=CURSOS!$D$38,"MANEJO DE RESIDUOS HOSPITALARIOS",IF(P131=CURSOS!$D$39,"ATENCION DE PACIENTE POR CONSUMO SUSTANCIAS PSICOACTIVAS Y ADICCIONES")))))))))))))))))))))))))))))))))))))</f>
        <v xml:space="preserve">ATENCION A VICTIMAS DE VIOLENCIA SEXUAL </v>
      </c>
      <c r="W131" s="62" t="str">
        <f t="shared" ref="W131:W194" si="9">CONCATENATE(E131," ",F131," ",C131," ",D131)</f>
        <v>Denis Talia Basante Cuaspud</v>
      </c>
      <c r="X131" s="62" t="str">
        <f t="shared" ref="X131:X194" si="10">PROPER(W131)</f>
        <v>Denis Talia Basante Cuaspud</v>
      </c>
      <c r="Y131" s="62" t="str">
        <f t="shared" ref="Y131:Y194" si="11">CONCATENATE(X131,"-",B131,"-",P131)</f>
        <v>Denis Talia Basante Cuaspud-1004623899-VIOLENCIA SEXUAL</v>
      </c>
    </row>
    <row r="132" spans="1:25" s="57" customFormat="1" x14ac:dyDescent="0.2">
      <c r="A132" s="58">
        <v>131</v>
      </c>
      <c r="B132" s="59">
        <v>1085262542</v>
      </c>
      <c r="C132" s="59" t="s">
        <v>493</v>
      </c>
      <c r="D132" s="59" t="s">
        <v>494</v>
      </c>
      <c r="E132" s="59" t="s">
        <v>495</v>
      </c>
      <c r="F132" s="59" t="s">
        <v>496</v>
      </c>
      <c r="G132" s="59">
        <v>23</v>
      </c>
      <c r="H132" s="59" t="s">
        <v>200</v>
      </c>
      <c r="I132" s="60" t="s">
        <v>115</v>
      </c>
      <c r="J132" s="60" t="s">
        <v>123</v>
      </c>
      <c r="K132" s="61">
        <v>45800</v>
      </c>
      <c r="L132" s="66">
        <v>32000</v>
      </c>
      <c r="M132" s="59" t="s">
        <v>268</v>
      </c>
      <c r="N132" s="59" t="s">
        <v>138</v>
      </c>
      <c r="O132" s="59" t="s">
        <v>116</v>
      </c>
      <c r="P132" s="59" t="s">
        <v>64</v>
      </c>
      <c r="Q132" s="60">
        <v>31914</v>
      </c>
      <c r="R132" s="59" t="s">
        <v>102</v>
      </c>
      <c r="S132" s="64" t="s">
        <v>295</v>
      </c>
      <c r="T132" s="59">
        <v>3003484121</v>
      </c>
      <c r="U132" s="59" t="s">
        <v>497</v>
      </c>
      <c r="V132" s="62" t="str">
        <f>IF(P132=CURSOS!$D$3,"DIPLOMADO EN ATENCION PRE-HOSPITALARIA",IF(P132=CURSOS!$D$4,"ACOMPAÑAMIENTO Y MANEJO DEL DUELO",IF(P132=CURSOS!$D$5,"ATENCION A VICTIMAS DE ATAQUE CON AGENTES QUIMICOS ",IF(P132=CURSOS!$D$6,"PRIMEROS AUXILIOS ",IF(P132=CURSOS!$D$7,"DIPLOMADO DE UNIDAD DE CUIDADOS INTENSIVOS (UCI)",IF(P132=CURSOS!$D$8,"MODELO DE ATENCION PARA EVENTOS EMERGENTES EN SALUD MENTAL (CODIGO VERDE)",IF(P132=CURSOS!$D$9,"HUMANIZACION EN EL SERVICIO DE LA SALUD Y BUENAS PRACTICAS EN PACIENTE ",IF(P132=CURSOS!$D$10,"CLINICA DE HERIDAS ",IF(P132=CURSOS!$D$11,"TOMA DE CITOLOGIA CERVICO VAGINAL ",IF(P132=CURSOS!$D$12,"SOPORTE CARDIOVASCULAR AVANZADO (ACLS) ",IF(P132=CURSOS!$D$13,"CAMILLERO ",IF(P132=CURSOS!$D$14,"TOMA DE MUESTRAS Y LABORATORIO ",IF(P132=CURSOS!$D$15,"SOPORTE VITAL BASICO (BLS)",IF(P132=CURSOS!$D$16,"ATENCION A VICTIMAS DE VIOLENCIA SEXUAL ",IF(P132=CURSOS!$D$17,"PROGRAMADO AMPLIADO DE INMUNIZACION (PAI - COVID 19)",IF(P132=CURSOS!$D$18,"ATENCION INTEGRAL EN ENFERMEDADES PREVALENTES EN PRIMERA INFANCIA (AIEPI)",IF(P132=CURSOS!$D$19,"ADMINISTRACION DE MEDICAMENTOS, INYECTOLOGIA  Y CANALIZACION ",IF(P132=CURSOS!$D$20,"OPERADOR DE VEHICULOS DE EMERGENCIA (OVE)",IF(P132=CURSOS!$D$21,"INSTITUCIONES AMIGAS DE LA MUJER Y LA INFANCIA (IAMI)",IF(P132=CURSOS!$D$22,"CUIDADO DEL DONANTE DE ORGANOS",IF(P132=CURSOS!$D$23,"ATENCION A VICTIMAS POR VIOLENCIA DE GENERO",IF(P132=CURSOS!$D$24,"IGUALDAD DE GENERO EN LA SALUD",IF(P132=CURSOS!$D$25,"BRIGADA DE EMERGENCIA",IF(P132=CURSOS!$D$26,"MANEJO DEL DOLOR Y CUIDADOS PALIATIVOS",IF(P132=CURSOS!$D$27,"TOMA DE MUESTRAS Y LABORATORIO POCT",IF(P132=CURSOS!$D$28,"IMPLANTE SUBDERMICO DE DISPOSITIVO INTRAUTERINO",IF(P132=CURSOS!$D$29,"SALUD MENTAL",IF(P132=CURSOS!$D$30,"PRIMEROS AUXILIOS PSICOLOGICOS",IF(P132=CURSOS!$D$31,"ATENCION A VICTIMAS POR CONFLICTO ARMADO",IF(P132=CURSOS!$D$32,"MANIPULACION DE ALIMENTOS Y BPM",IF(P132=CURSOS!$D$33,"ATENCION A PERSONAS CON DISCAPACIDAD",IF(P132=CURSOS!$D$34,"CUIDADO INTEGRAL DEL PACIENTE ADULTO",IF(P132=CURSOS!$D$35,"MANEJO DEFENSIVO",IF(P132=CURSOS!$D$36,"SOPORTE CARDIOVASCULAR AVANZADO NEONATAL",IF(P132=CURSOS!$D$37,"SEGURIDAD DEL PACIENTE",IF(P132=CURSOS!$D$38,"MANEJO DE RESIDUOS HOSPITALARIOS",IF(P132=CURSOS!$D$39,"ATENCION DE PACIENTE POR CONSUMO SUSTANCIAS PSICOACTIVAS Y ADICCIONES")))))))))))))))))))))))))))))))))))))</f>
        <v>ATENCION A VICTIMAS POR CONFLICTO ARMADO</v>
      </c>
      <c r="W132" s="62" t="str">
        <f t="shared" si="9"/>
        <v>Joana Mabel Velasquez Chavez</v>
      </c>
      <c r="X132" s="62" t="str">
        <f t="shared" si="10"/>
        <v>Joana Mabel Velasquez Chavez</v>
      </c>
      <c r="Y132" s="62" t="str">
        <f t="shared" si="11"/>
        <v>Joana Mabel Velasquez Chavez-1085262542-CONFLICTO ARMADO</v>
      </c>
    </row>
    <row r="133" spans="1:25" s="57" customFormat="1" x14ac:dyDescent="0.2">
      <c r="A133" s="58">
        <v>132</v>
      </c>
      <c r="B133" s="59">
        <v>1085322474</v>
      </c>
      <c r="C133" s="59" t="s">
        <v>264</v>
      </c>
      <c r="D133" s="59" t="s">
        <v>498</v>
      </c>
      <c r="E133" s="59" t="s">
        <v>499</v>
      </c>
      <c r="F133" s="59" t="s">
        <v>500</v>
      </c>
      <c r="G133" s="59">
        <v>23</v>
      </c>
      <c r="H133" s="59" t="s">
        <v>200</v>
      </c>
      <c r="I133" s="60" t="s">
        <v>115</v>
      </c>
      <c r="J133" s="60" t="s">
        <v>123</v>
      </c>
      <c r="K133" s="61">
        <v>45800</v>
      </c>
      <c r="L133" s="66">
        <v>32000</v>
      </c>
      <c r="M133" s="59" t="s">
        <v>214</v>
      </c>
      <c r="N133" s="59" t="s">
        <v>138</v>
      </c>
      <c r="O133" s="59" t="s">
        <v>116</v>
      </c>
      <c r="P133" s="59" t="s">
        <v>64</v>
      </c>
      <c r="Q133" s="60">
        <v>34737</v>
      </c>
      <c r="R133" s="59" t="s">
        <v>102</v>
      </c>
      <c r="S133" s="64" t="s">
        <v>295</v>
      </c>
      <c r="T133" s="59">
        <v>3136533147</v>
      </c>
      <c r="U133" s="59" t="s">
        <v>501</v>
      </c>
      <c r="V133" s="62" t="str">
        <f>IF(P133=CURSOS!$D$3,"DIPLOMADO EN ATENCION PRE-HOSPITALARIA",IF(P133=CURSOS!$D$4,"ACOMPAÑAMIENTO Y MANEJO DEL DUELO",IF(P133=CURSOS!$D$5,"ATENCION A VICTIMAS DE ATAQUE CON AGENTES QUIMICOS ",IF(P133=CURSOS!$D$6,"PRIMEROS AUXILIOS ",IF(P133=CURSOS!$D$7,"DIPLOMADO DE UNIDAD DE CUIDADOS INTENSIVOS (UCI)",IF(P133=CURSOS!$D$8,"MODELO DE ATENCION PARA EVENTOS EMERGENTES EN SALUD MENTAL (CODIGO VERDE)",IF(P133=CURSOS!$D$9,"HUMANIZACION EN EL SERVICIO DE LA SALUD Y BUENAS PRACTICAS EN PACIENTE ",IF(P133=CURSOS!$D$10,"CLINICA DE HERIDAS ",IF(P133=CURSOS!$D$11,"TOMA DE CITOLOGIA CERVICO VAGINAL ",IF(P133=CURSOS!$D$12,"SOPORTE CARDIOVASCULAR AVANZADO (ACLS) ",IF(P133=CURSOS!$D$13,"CAMILLERO ",IF(P133=CURSOS!$D$14,"TOMA DE MUESTRAS Y LABORATORIO ",IF(P133=CURSOS!$D$15,"SOPORTE VITAL BASICO (BLS)",IF(P133=CURSOS!$D$16,"ATENCION A VICTIMAS DE VIOLENCIA SEXUAL ",IF(P133=CURSOS!$D$17,"PROGRAMADO AMPLIADO DE INMUNIZACION (PAI - COVID 19)",IF(P133=CURSOS!$D$18,"ATENCION INTEGRAL EN ENFERMEDADES PREVALENTES EN PRIMERA INFANCIA (AIEPI)",IF(P133=CURSOS!$D$19,"ADMINISTRACION DE MEDICAMENTOS, INYECTOLOGIA  Y CANALIZACION ",IF(P133=CURSOS!$D$20,"OPERADOR DE VEHICULOS DE EMERGENCIA (OVE)",IF(P133=CURSOS!$D$21,"INSTITUCIONES AMIGAS DE LA MUJER Y LA INFANCIA (IAMI)",IF(P133=CURSOS!$D$22,"CUIDADO DEL DONANTE DE ORGANOS",IF(P133=CURSOS!$D$23,"ATENCION A VICTIMAS POR VIOLENCIA DE GENERO",IF(P133=CURSOS!$D$24,"IGUALDAD DE GENERO EN LA SALUD",IF(P133=CURSOS!$D$25,"BRIGADA DE EMERGENCIA",IF(P133=CURSOS!$D$26,"MANEJO DEL DOLOR Y CUIDADOS PALIATIVOS",IF(P133=CURSOS!$D$27,"TOMA DE MUESTRAS Y LABORATORIO POCT",IF(P133=CURSOS!$D$28,"IMPLANTE SUBDERMICO DE DISPOSITIVO INTRAUTERINO",IF(P133=CURSOS!$D$29,"SALUD MENTAL",IF(P133=CURSOS!$D$30,"PRIMEROS AUXILIOS PSICOLOGICOS",IF(P133=CURSOS!$D$31,"ATENCION A VICTIMAS POR CONFLICTO ARMADO",IF(P133=CURSOS!$D$32,"MANIPULACION DE ALIMENTOS Y BPM",IF(P133=CURSOS!$D$33,"ATENCION A PERSONAS CON DISCAPACIDAD",IF(P133=CURSOS!$D$34,"CUIDADO INTEGRAL DEL PACIENTE ADULTO",IF(P133=CURSOS!$D$35,"MANEJO DEFENSIVO",IF(P133=CURSOS!$D$36,"SOPORTE CARDIOVASCULAR AVANZADO NEONATAL",IF(P133=CURSOS!$D$37,"SEGURIDAD DEL PACIENTE",IF(P133=CURSOS!$D$38,"MANEJO DE RESIDUOS HOSPITALARIOS",IF(P133=CURSOS!$D$39,"ATENCION DE PACIENTE POR CONSUMO SUSTANCIAS PSICOACTIVAS Y ADICCIONES")))))))))))))))))))))))))))))))))))))</f>
        <v>ATENCION A VICTIMAS POR CONFLICTO ARMADO</v>
      </c>
      <c r="W133" s="62" t="str">
        <f t="shared" si="9"/>
        <v>Cindy Vanessa Ceron Leyton</v>
      </c>
      <c r="X133" s="62" t="str">
        <f t="shared" si="10"/>
        <v>Cindy Vanessa Ceron Leyton</v>
      </c>
      <c r="Y133" s="62" t="str">
        <f t="shared" si="11"/>
        <v>Cindy Vanessa Ceron Leyton-1085322474-CONFLICTO ARMADO</v>
      </c>
    </row>
    <row r="134" spans="1:25" s="57" customFormat="1" x14ac:dyDescent="0.2">
      <c r="A134" s="58">
        <v>133</v>
      </c>
      <c r="B134" s="59">
        <v>1085347409</v>
      </c>
      <c r="C134" s="59" t="s">
        <v>107</v>
      </c>
      <c r="D134" s="59" t="s">
        <v>367</v>
      </c>
      <c r="E134" s="59" t="s">
        <v>113</v>
      </c>
      <c r="F134" s="59" t="s">
        <v>500</v>
      </c>
      <c r="G134" s="59">
        <v>23</v>
      </c>
      <c r="H134" s="59" t="s">
        <v>200</v>
      </c>
      <c r="I134" s="60" t="s">
        <v>115</v>
      </c>
      <c r="J134" s="60" t="s">
        <v>123</v>
      </c>
      <c r="K134" s="61">
        <v>45800</v>
      </c>
      <c r="L134" s="66">
        <v>32000</v>
      </c>
      <c r="M134" s="59" t="s">
        <v>103</v>
      </c>
      <c r="N134" s="59" t="s">
        <v>138</v>
      </c>
      <c r="O134" s="59" t="s">
        <v>116</v>
      </c>
      <c r="P134" s="59" t="s">
        <v>64</v>
      </c>
      <c r="Q134" s="60">
        <v>36469</v>
      </c>
      <c r="R134" s="59" t="s">
        <v>102</v>
      </c>
      <c r="S134" s="64" t="s">
        <v>295</v>
      </c>
      <c r="T134" s="59">
        <v>3166558255</v>
      </c>
      <c r="U134" s="59" t="s">
        <v>502</v>
      </c>
      <c r="V134" s="62" t="str">
        <f>IF(P134=CURSOS!$D$3,"DIPLOMADO EN ATENCION PRE-HOSPITALARIA",IF(P134=CURSOS!$D$4,"ACOMPAÑAMIENTO Y MANEJO DEL DUELO",IF(P134=CURSOS!$D$5,"ATENCION A VICTIMAS DE ATAQUE CON AGENTES QUIMICOS ",IF(P134=CURSOS!$D$6,"PRIMEROS AUXILIOS ",IF(P134=CURSOS!$D$7,"DIPLOMADO DE UNIDAD DE CUIDADOS INTENSIVOS (UCI)",IF(P134=CURSOS!$D$8,"MODELO DE ATENCION PARA EVENTOS EMERGENTES EN SALUD MENTAL (CODIGO VERDE)",IF(P134=CURSOS!$D$9,"HUMANIZACION EN EL SERVICIO DE LA SALUD Y BUENAS PRACTICAS EN PACIENTE ",IF(P134=CURSOS!$D$10,"CLINICA DE HERIDAS ",IF(P134=CURSOS!$D$11,"TOMA DE CITOLOGIA CERVICO VAGINAL ",IF(P134=CURSOS!$D$12,"SOPORTE CARDIOVASCULAR AVANZADO (ACLS) ",IF(P134=CURSOS!$D$13,"CAMILLERO ",IF(P134=CURSOS!$D$14,"TOMA DE MUESTRAS Y LABORATORIO ",IF(P134=CURSOS!$D$15,"SOPORTE VITAL BASICO (BLS)",IF(P134=CURSOS!$D$16,"ATENCION A VICTIMAS DE VIOLENCIA SEXUAL ",IF(P134=CURSOS!$D$17,"PROGRAMADO AMPLIADO DE INMUNIZACION (PAI - COVID 19)",IF(P134=CURSOS!$D$18,"ATENCION INTEGRAL EN ENFERMEDADES PREVALENTES EN PRIMERA INFANCIA (AIEPI)",IF(P134=CURSOS!$D$19,"ADMINISTRACION DE MEDICAMENTOS, INYECTOLOGIA  Y CANALIZACION ",IF(P134=CURSOS!$D$20,"OPERADOR DE VEHICULOS DE EMERGENCIA (OVE)",IF(P134=CURSOS!$D$21,"INSTITUCIONES AMIGAS DE LA MUJER Y LA INFANCIA (IAMI)",IF(P134=CURSOS!$D$22,"CUIDADO DEL DONANTE DE ORGANOS",IF(P134=CURSOS!$D$23,"ATENCION A VICTIMAS POR VIOLENCIA DE GENERO",IF(P134=CURSOS!$D$24,"IGUALDAD DE GENERO EN LA SALUD",IF(P134=CURSOS!$D$25,"BRIGADA DE EMERGENCIA",IF(P134=CURSOS!$D$26,"MANEJO DEL DOLOR Y CUIDADOS PALIATIVOS",IF(P134=CURSOS!$D$27,"TOMA DE MUESTRAS Y LABORATORIO POCT",IF(P134=CURSOS!$D$28,"IMPLANTE SUBDERMICO DE DISPOSITIVO INTRAUTERINO",IF(P134=CURSOS!$D$29,"SALUD MENTAL",IF(P134=CURSOS!$D$30,"PRIMEROS AUXILIOS PSICOLOGICOS",IF(P134=CURSOS!$D$31,"ATENCION A VICTIMAS POR CONFLICTO ARMADO",IF(P134=CURSOS!$D$32,"MANIPULACION DE ALIMENTOS Y BPM",IF(P134=CURSOS!$D$33,"ATENCION A PERSONAS CON DISCAPACIDAD",IF(P134=CURSOS!$D$34,"CUIDADO INTEGRAL DEL PACIENTE ADULTO",IF(P134=CURSOS!$D$35,"MANEJO DEFENSIVO",IF(P134=CURSOS!$D$36,"SOPORTE CARDIOVASCULAR AVANZADO NEONATAL",IF(P134=CURSOS!$D$37,"SEGURIDAD DEL PACIENTE",IF(P134=CURSOS!$D$38,"MANEJO DE RESIDUOS HOSPITALARIOS",IF(P134=CURSOS!$D$39,"ATENCION DE PACIENTE POR CONSUMO SUSTANCIAS PSICOACTIVAS Y ADICCIONES")))))))))))))))))))))))))))))))))))))</f>
        <v>ATENCION A VICTIMAS POR CONFLICTO ARMADO</v>
      </c>
      <c r="W134" s="62" t="str">
        <f t="shared" si="9"/>
        <v>Claudia Vanessa Estrella Chamorro</v>
      </c>
      <c r="X134" s="62" t="str">
        <f t="shared" si="10"/>
        <v>Claudia Vanessa Estrella Chamorro</v>
      </c>
      <c r="Y134" s="62" t="str">
        <f t="shared" si="11"/>
        <v>Claudia Vanessa Estrella Chamorro-1085347409-CONFLICTO ARMADO</v>
      </c>
    </row>
    <row r="135" spans="1:25" s="57" customFormat="1" x14ac:dyDescent="0.2">
      <c r="A135" s="58">
        <v>134</v>
      </c>
      <c r="B135" s="59">
        <v>1053784604</v>
      </c>
      <c r="C135" s="59" t="s">
        <v>431</v>
      </c>
      <c r="D135" s="59" t="s">
        <v>413</v>
      </c>
      <c r="E135" s="59" t="s">
        <v>315</v>
      </c>
      <c r="F135" s="59" t="s">
        <v>432</v>
      </c>
      <c r="G135" s="59">
        <v>19</v>
      </c>
      <c r="H135" s="59" t="s">
        <v>200</v>
      </c>
      <c r="I135" s="60" t="s">
        <v>115</v>
      </c>
      <c r="J135" s="60" t="s">
        <v>485</v>
      </c>
      <c r="K135" s="61">
        <v>45800</v>
      </c>
      <c r="L135" s="66">
        <v>30000</v>
      </c>
      <c r="M135" s="59" t="s">
        <v>103</v>
      </c>
      <c r="N135" s="59" t="s">
        <v>138</v>
      </c>
      <c r="O135" s="59" t="s">
        <v>116</v>
      </c>
      <c r="P135" s="59" t="s">
        <v>44</v>
      </c>
      <c r="Q135" s="60">
        <v>32054</v>
      </c>
      <c r="R135" s="59" t="s">
        <v>102</v>
      </c>
      <c r="S135" s="64" t="s">
        <v>295</v>
      </c>
      <c r="T135" s="64">
        <v>3115425399</v>
      </c>
      <c r="U135" s="59" t="s">
        <v>433</v>
      </c>
      <c r="V135" s="62" t="str">
        <f>IF(P135=CURSOS!$D$3,"DIPLOMADO EN ATENCION PRE-HOSPITALARIA",IF(P135=CURSOS!$D$4,"ACOMPAÑAMIENTO Y MANEJO DEL DUELO",IF(P135=CURSOS!$D$5,"ATENCION A VICTIMAS DE ATAQUE CON AGENTES QUIMICOS ",IF(P135=CURSOS!$D$6,"PRIMEROS AUXILIOS ",IF(P135=CURSOS!$D$7,"DIPLOMADO DE UNIDAD DE CUIDADOS INTENSIVOS (UCI)",IF(P135=CURSOS!$D$8,"MODELO DE ATENCION PARA EVENTOS EMERGENTES EN SALUD MENTAL (CODIGO VERDE)",IF(P135=CURSOS!$D$9,"HUMANIZACION EN EL SERVICIO DE LA SALUD Y BUENAS PRACTICAS EN PACIENTE ",IF(P135=CURSOS!$D$10,"CLINICA DE HERIDAS ",IF(P135=CURSOS!$D$11,"TOMA DE CITOLOGIA CERVICO VAGINAL ",IF(P135=CURSOS!$D$12,"SOPORTE CARDIOVASCULAR AVANZADO (ACLS) ",IF(P135=CURSOS!$D$13,"CAMILLERO ",IF(P135=CURSOS!$D$14,"TOMA DE MUESTRAS Y LABORATORIO ",IF(P135=CURSOS!$D$15,"SOPORTE VITAL BASICO (BLS)",IF(P135=CURSOS!$D$16,"ATENCION A VICTIMAS DE VIOLENCIA SEXUAL ",IF(P135=CURSOS!$D$17,"PROGRAMADO AMPLIADO DE INMUNIZACION (PAI - COVID 19)",IF(P135=CURSOS!$D$18,"ATENCION INTEGRAL EN ENFERMEDADES PREVALENTES EN PRIMERA INFANCIA (AIEPI)",IF(P135=CURSOS!$D$19,"ADMINISTRACION DE MEDICAMENTOS, INYECTOLOGIA  Y CANALIZACION ",IF(P135=CURSOS!$D$20,"OPERADOR DE VEHICULOS DE EMERGENCIA (OVE)",IF(P135=CURSOS!$D$21,"INSTITUCIONES AMIGAS DE LA MUJER Y LA INFANCIA (IAMI)",IF(P135=CURSOS!$D$22,"CUIDADO DEL DONANTE DE ORGANOS",IF(P135=CURSOS!$D$23,"ATENCION A VICTIMAS POR VIOLENCIA DE GENERO",IF(P135=CURSOS!$D$24,"IGUALDAD DE GENERO EN LA SALUD",IF(P135=CURSOS!$D$25,"BRIGADA DE EMERGENCIA",IF(P135=CURSOS!$D$26,"MANEJO DEL DOLOR Y CUIDADOS PALIATIVOS",IF(P135=CURSOS!$D$27,"TOMA DE MUESTRAS Y LABORATORIO POCT",IF(P135=CURSOS!$D$28,"IMPLANTE SUBDERMICO DE DISPOSITIVO INTRAUTERINO",IF(P135=CURSOS!$D$29,"SALUD MENTAL",IF(P135=CURSOS!$D$30,"PRIMEROS AUXILIOS PSICOLOGICOS",IF(P135=CURSOS!$D$31,"ATENCION A VICTIMAS POR CONFLICTO ARMADO",IF(P135=CURSOS!$D$32,"MANIPULACION DE ALIMENTOS Y BPM",IF(P135=CURSOS!$D$33,"ATENCION A PERSONAS CON DISCAPACIDAD",IF(P135=CURSOS!$D$34,"CUIDADO INTEGRAL DEL PACIENTE ADULTO",IF(P135=CURSOS!$D$35,"MANEJO DEFENSIVO",IF(P135=CURSOS!$D$36,"SOPORTE CARDIOVASCULAR AVANZADO NEONATAL",IF(P135=CURSOS!$D$37,"SEGURIDAD DEL PACIENTE",IF(P135=CURSOS!$D$38,"MANEJO DE RESIDUOS HOSPITALARIOS",IF(P135=CURSOS!$D$39,"ATENCION DE PACIENTE POR CONSUMO SUSTANCIAS PSICOACTIVAS Y ADICCIONES")))))))))))))))))))))))))))))))))))))</f>
        <v>ATENCION INTEGRAL EN ENFERMEDADES PREVALENTES EN PRIMERA INFANCIA (AIEPI)</v>
      </c>
      <c r="W135" s="62" t="str">
        <f t="shared" si="9"/>
        <v>Lorena Del rosario Plaza Ordoñez</v>
      </c>
      <c r="X135" s="62" t="str">
        <f t="shared" si="10"/>
        <v>Lorena Del Rosario Plaza Ordoñez</v>
      </c>
      <c r="Y135" s="62" t="str">
        <f t="shared" si="11"/>
        <v>Lorena Del Rosario Plaza Ordoñez-1053784604-AIEPI</v>
      </c>
    </row>
    <row r="136" spans="1:25" s="57" customFormat="1" x14ac:dyDescent="0.2">
      <c r="A136" s="58">
        <v>135</v>
      </c>
      <c r="B136" s="59">
        <v>1053784604</v>
      </c>
      <c r="C136" s="59" t="s">
        <v>431</v>
      </c>
      <c r="D136" s="59" t="s">
        <v>413</v>
      </c>
      <c r="E136" s="59" t="s">
        <v>315</v>
      </c>
      <c r="F136" s="59" t="s">
        <v>432</v>
      </c>
      <c r="G136" s="59">
        <v>17</v>
      </c>
      <c r="H136" s="59" t="s">
        <v>200</v>
      </c>
      <c r="I136" s="60" t="s">
        <v>115</v>
      </c>
      <c r="J136" s="60" t="s">
        <v>485</v>
      </c>
      <c r="K136" s="61">
        <v>45800</v>
      </c>
      <c r="L136" s="66">
        <v>30000</v>
      </c>
      <c r="M136" s="59" t="s">
        <v>103</v>
      </c>
      <c r="N136" s="59" t="s">
        <v>138</v>
      </c>
      <c r="O136" s="59" t="s">
        <v>116</v>
      </c>
      <c r="P136" s="59" t="s">
        <v>48</v>
      </c>
      <c r="Q136" s="60">
        <v>32054</v>
      </c>
      <c r="R136" s="59" t="s">
        <v>102</v>
      </c>
      <c r="S136" s="64" t="s">
        <v>295</v>
      </c>
      <c r="T136" s="64">
        <v>3115425399</v>
      </c>
      <c r="U136" s="59" t="s">
        <v>433</v>
      </c>
      <c r="V136" s="62" t="str">
        <f>IF(P136=CURSOS!$D$3,"DIPLOMADO EN ATENCION PRE-HOSPITALARIA",IF(P136=CURSOS!$D$4,"ACOMPAÑAMIENTO Y MANEJO DEL DUELO",IF(P136=CURSOS!$D$5,"ATENCION A VICTIMAS DE ATAQUE CON AGENTES QUIMICOS ",IF(P136=CURSOS!$D$6,"PRIMEROS AUXILIOS ",IF(P136=CURSOS!$D$7,"DIPLOMADO DE UNIDAD DE CUIDADOS INTENSIVOS (UCI)",IF(P136=CURSOS!$D$8,"MODELO DE ATENCION PARA EVENTOS EMERGENTES EN SALUD MENTAL (CODIGO VERDE)",IF(P136=CURSOS!$D$9,"HUMANIZACION EN EL SERVICIO DE LA SALUD Y BUENAS PRACTICAS EN PACIENTE ",IF(P136=CURSOS!$D$10,"CLINICA DE HERIDAS ",IF(P136=CURSOS!$D$11,"TOMA DE CITOLOGIA CERVICO VAGINAL ",IF(P136=CURSOS!$D$12,"SOPORTE CARDIOVASCULAR AVANZADO (ACLS) ",IF(P136=CURSOS!$D$13,"CAMILLERO ",IF(P136=CURSOS!$D$14,"TOMA DE MUESTRAS Y LABORATORIO ",IF(P136=CURSOS!$D$15,"SOPORTE VITAL BASICO (BLS)",IF(P136=CURSOS!$D$16,"ATENCION A VICTIMAS DE VIOLENCIA SEXUAL ",IF(P136=CURSOS!$D$17,"PROGRAMADO AMPLIADO DE INMUNIZACION (PAI - COVID 19)",IF(P136=CURSOS!$D$18,"ATENCION INTEGRAL EN ENFERMEDADES PREVALENTES EN PRIMERA INFANCIA (AIEPI)",IF(P136=CURSOS!$D$19,"ADMINISTRACION DE MEDICAMENTOS, INYECTOLOGIA  Y CANALIZACION ",IF(P136=CURSOS!$D$20,"OPERADOR DE VEHICULOS DE EMERGENCIA (OVE)",IF(P136=CURSOS!$D$21,"INSTITUCIONES AMIGAS DE LA MUJER Y LA INFANCIA (IAMI)",IF(P136=CURSOS!$D$22,"CUIDADO DEL DONANTE DE ORGANOS",IF(P136=CURSOS!$D$23,"ATENCION A VICTIMAS POR VIOLENCIA DE GENERO",IF(P136=CURSOS!$D$24,"IGUALDAD DE GENERO EN LA SALUD",IF(P136=CURSOS!$D$25,"BRIGADA DE EMERGENCIA",IF(P136=CURSOS!$D$26,"MANEJO DEL DOLOR Y CUIDADOS PALIATIVOS",IF(P136=CURSOS!$D$27,"TOMA DE MUESTRAS Y LABORATORIO POCT",IF(P136=CURSOS!$D$28,"IMPLANTE SUBDERMICO DE DISPOSITIVO INTRAUTERINO",IF(P136=CURSOS!$D$29,"SALUD MENTAL",IF(P136=CURSOS!$D$30,"PRIMEROS AUXILIOS PSICOLOGICOS",IF(P136=CURSOS!$D$31,"ATENCION A VICTIMAS POR CONFLICTO ARMADO",IF(P136=CURSOS!$D$32,"MANIPULACION DE ALIMENTOS Y BPM",IF(P136=CURSOS!$D$33,"ATENCION A PERSONAS CON DISCAPACIDAD",IF(P136=CURSOS!$D$34,"CUIDADO INTEGRAL DEL PACIENTE ADULTO",IF(P136=CURSOS!$D$35,"MANEJO DEFENSIVO",IF(P136=CURSOS!$D$36,"SOPORTE CARDIOVASCULAR AVANZADO NEONATAL",IF(P136=CURSOS!$D$37,"SEGURIDAD DEL PACIENTE",IF(P136=CURSOS!$D$38,"MANEJO DE RESIDUOS HOSPITALARIOS",IF(P136=CURSOS!$D$39,"ATENCION DE PACIENTE POR CONSUMO SUSTANCIAS PSICOACTIVAS Y ADICCIONES")))))))))))))))))))))))))))))))))))))</f>
        <v>INSTITUCIONES AMIGAS DE LA MUJER Y LA INFANCIA (IAMI)</v>
      </c>
      <c r="W136" s="62" t="str">
        <f t="shared" si="9"/>
        <v>Lorena Del rosario Plaza Ordoñez</v>
      </c>
      <c r="X136" s="62" t="str">
        <f t="shared" si="10"/>
        <v>Lorena Del Rosario Plaza Ordoñez</v>
      </c>
      <c r="Y136" s="62" t="str">
        <f t="shared" si="11"/>
        <v>Lorena Del Rosario Plaza Ordoñez-1053784604-IAMI</v>
      </c>
    </row>
    <row r="137" spans="1:25" s="57" customFormat="1" x14ac:dyDescent="0.2">
      <c r="A137" s="58">
        <v>136</v>
      </c>
      <c r="B137" s="59">
        <v>1085344728</v>
      </c>
      <c r="C137" s="59" t="s">
        <v>509</v>
      </c>
      <c r="D137" s="59" t="s">
        <v>510</v>
      </c>
      <c r="E137" s="59" t="s">
        <v>261</v>
      </c>
      <c r="F137" s="59" t="s">
        <v>160</v>
      </c>
      <c r="G137" s="59">
        <v>26</v>
      </c>
      <c r="H137" s="59" t="s">
        <v>200</v>
      </c>
      <c r="I137" s="60" t="s">
        <v>115</v>
      </c>
      <c r="J137" s="60" t="s">
        <v>512</v>
      </c>
      <c r="K137" s="61">
        <v>45803</v>
      </c>
      <c r="L137" s="66">
        <v>84000</v>
      </c>
      <c r="M137" s="59" t="s">
        <v>268</v>
      </c>
      <c r="N137" s="59" t="s">
        <v>138</v>
      </c>
      <c r="O137" s="59" t="s">
        <v>116</v>
      </c>
      <c r="P137" s="59" t="s">
        <v>37</v>
      </c>
      <c r="Q137" s="60">
        <v>36255</v>
      </c>
      <c r="R137" s="59" t="s">
        <v>124</v>
      </c>
      <c r="S137" s="64" t="s">
        <v>295</v>
      </c>
      <c r="T137" s="64">
        <v>3166205092</v>
      </c>
      <c r="U137" s="59" t="s">
        <v>511</v>
      </c>
      <c r="V137" s="62" t="str">
        <f>IF(P137=CURSOS!$D$3,"DIPLOMADO EN ATENCION PRE-HOSPITALARIA",IF(P137=CURSOS!$D$4,"ACOMPAÑAMIENTO Y MANEJO DEL DUELO",IF(P137=CURSOS!$D$5,"ATENCION A VICTIMAS DE ATAQUE CON AGENTES QUIMICOS ",IF(P137=CURSOS!$D$6,"PRIMEROS AUXILIOS ",IF(P137=CURSOS!$D$7,"DIPLOMADO DE UNIDAD DE CUIDADOS INTENSIVOS (UCI)",IF(P137=CURSOS!$D$8,"MODELO DE ATENCION PARA EVENTOS EMERGENTES EN SALUD MENTAL (CODIGO VERDE)",IF(P137=CURSOS!$D$9,"HUMANIZACION EN EL SERVICIO DE LA SALUD Y BUENAS PRACTICAS EN PACIENTE ",IF(P137=CURSOS!$D$10,"CLINICA DE HERIDAS ",IF(P137=CURSOS!$D$11,"TOMA DE CITOLOGIA CERVICO VAGINAL ",IF(P137=CURSOS!$D$12,"SOPORTE CARDIOVASCULAR AVANZADO (ACLS) ",IF(P137=CURSOS!$D$13,"CAMILLERO ",IF(P137=CURSOS!$D$14,"TOMA DE MUESTRAS Y LABORATORIO ",IF(P137=CURSOS!$D$15,"SOPORTE VITAL BASICO (BLS)",IF(P137=CURSOS!$D$16,"ATENCION A VICTIMAS DE VIOLENCIA SEXUAL ",IF(P137=CURSOS!$D$17,"PROGRAMADO AMPLIADO DE INMUNIZACION (PAI - COVID 19)",IF(P137=CURSOS!$D$18,"ATENCION INTEGRAL EN ENFERMEDADES PREVALENTES EN PRIMERA INFANCIA (AIEPI)",IF(P137=CURSOS!$D$19,"ADMINISTRACION DE MEDICAMENTOS, INYECTOLOGIA  Y CANALIZACION ",IF(P137=CURSOS!$D$20,"OPERADOR DE VEHICULOS DE EMERGENCIA (OVE)",IF(P137=CURSOS!$D$21,"INSTITUCIONES AMIGAS DE LA MUJER Y LA INFANCIA (IAMI)",IF(P137=CURSOS!$D$22,"CUIDADO DEL DONANTE DE ORGANOS",IF(P137=CURSOS!$D$23,"ATENCION A VICTIMAS POR VIOLENCIA DE GENERO",IF(P137=CURSOS!$D$24,"IGUALDAD DE GENERO EN LA SALUD",IF(P137=CURSOS!$D$25,"BRIGADA DE EMERGENCIA",IF(P137=CURSOS!$D$26,"MANEJO DEL DOLOR Y CUIDADOS PALIATIVOS",IF(P137=CURSOS!$D$27,"TOMA DE MUESTRAS Y LABORATORIO POCT",IF(P137=CURSOS!$D$28,"IMPLANTE SUBDERMICO DE DISPOSITIVO INTRAUTERINO",IF(P137=CURSOS!$D$29,"SALUD MENTAL",IF(P137=CURSOS!$D$30,"PRIMEROS AUXILIOS PSICOLOGICOS",IF(P137=CURSOS!$D$31,"ATENCION A VICTIMAS POR CONFLICTO ARMADO",IF(P137=CURSOS!$D$32,"MANIPULACION DE ALIMENTOS Y BPM",IF(P137=CURSOS!$D$33,"ATENCION A PERSONAS CON DISCAPACIDAD",IF(P137=CURSOS!$D$34,"CUIDADO INTEGRAL DEL PACIENTE ADULTO",IF(P137=CURSOS!$D$35,"MANEJO DEFENSIVO",IF(P137=CURSOS!$D$36,"SOPORTE CARDIOVASCULAR AVANZADO NEONATAL",IF(P137=CURSOS!$D$37,"SEGURIDAD DEL PACIENTE",IF(P137=CURSOS!$D$38,"MANEJO DE RESIDUOS HOSPITALARIOS",IF(P137=CURSOS!$D$39,"ATENCION DE PACIENTE POR CONSUMO SUSTANCIAS PSICOACTIVAS Y ADICCIONES")))))))))))))))))))))))))))))))))))))</f>
        <v xml:space="preserve">SOPORTE CARDIOVASCULAR AVANZADO (ACLS) </v>
      </c>
      <c r="W137" s="62" t="str">
        <f t="shared" si="9"/>
        <v>Luis Camilo Cuaspa Erazo</v>
      </c>
      <c r="X137" s="62" t="str">
        <f t="shared" si="10"/>
        <v>Luis Camilo Cuaspa Erazo</v>
      </c>
      <c r="Y137" s="62" t="str">
        <f t="shared" si="11"/>
        <v>Luis Camilo Cuaspa Erazo-1085344728-ACLS</v>
      </c>
    </row>
    <row r="138" spans="1:25" s="57" customFormat="1" x14ac:dyDescent="0.2">
      <c r="A138" s="58">
        <v>137</v>
      </c>
      <c r="B138" s="59">
        <v>1085344728</v>
      </c>
      <c r="C138" s="59" t="s">
        <v>509</v>
      </c>
      <c r="D138" s="59" t="s">
        <v>510</v>
      </c>
      <c r="E138" s="59" t="s">
        <v>261</v>
      </c>
      <c r="F138" s="59" t="s">
        <v>160</v>
      </c>
      <c r="G138" s="59">
        <v>24</v>
      </c>
      <c r="H138" s="59" t="s">
        <v>200</v>
      </c>
      <c r="I138" s="60" t="s">
        <v>115</v>
      </c>
      <c r="J138" s="60" t="s">
        <v>512</v>
      </c>
      <c r="K138" s="61">
        <v>45803</v>
      </c>
      <c r="L138" s="66">
        <v>20000</v>
      </c>
      <c r="M138" s="59" t="s">
        <v>268</v>
      </c>
      <c r="N138" s="59" t="s">
        <v>138</v>
      </c>
      <c r="O138" s="59" t="s">
        <v>116</v>
      </c>
      <c r="P138" s="59" t="s">
        <v>19</v>
      </c>
      <c r="Q138" s="60">
        <v>36255</v>
      </c>
      <c r="R138" s="59" t="s">
        <v>124</v>
      </c>
      <c r="S138" s="64" t="s">
        <v>295</v>
      </c>
      <c r="T138" s="64">
        <v>3166205092</v>
      </c>
      <c r="U138" s="59" t="s">
        <v>511</v>
      </c>
      <c r="V138" s="62" t="str">
        <f>IF(P138=CURSOS!$D$3,"DIPLOMADO EN ATENCION PRE-HOSPITALARIA",IF(P138=CURSOS!$D$4,"ACOMPAÑAMIENTO Y MANEJO DEL DUELO",IF(P138=CURSOS!$D$5,"ATENCION A VICTIMAS DE ATAQUE CON AGENTES QUIMICOS ",IF(P138=CURSOS!$D$6,"PRIMEROS AUXILIOS ",IF(P138=CURSOS!$D$7,"DIPLOMADO DE UNIDAD DE CUIDADOS INTENSIVOS (UCI)",IF(P138=CURSOS!$D$8,"MODELO DE ATENCION PARA EVENTOS EMERGENTES EN SALUD MENTAL (CODIGO VERDE)",IF(P138=CURSOS!$D$9,"HUMANIZACION EN EL SERVICIO DE LA SALUD Y BUENAS PRACTICAS EN PACIENTE ",IF(P138=CURSOS!$D$10,"CLINICA DE HERIDAS ",IF(P138=CURSOS!$D$11,"TOMA DE CITOLOGIA CERVICO VAGINAL ",IF(P138=CURSOS!$D$12,"SOPORTE CARDIOVASCULAR AVANZADO (ACLS) ",IF(P138=CURSOS!$D$13,"CAMILLERO ",IF(P138=CURSOS!$D$14,"TOMA DE MUESTRAS Y LABORATORIO ",IF(P138=CURSOS!$D$15,"SOPORTE VITAL BASICO (BLS)",IF(P138=CURSOS!$D$16,"ATENCION A VICTIMAS DE VIOLENCIA SEXUAL ",IF(P138=CURSOS!$D$17,"PROGRAMADO AMPLIADO DE INMUNIZACION (PAI - COVID 19)",IF(P138=CURSOS!$D$18,"ATENCION INTEGRAL EN ENFERMEDADES PREVALENTES EN PRIMERA INFANCIA (AIEPI)",IF(P138=CURSOS!$D$19,"ADMINISTRACION DE MEDICAMENTOS, INYECTOLOGIA  Y CANALIZACION ",IF(P138=CURSOS!$D$20,"OPERADOR DE VEHICULOS DE EMERGENCIA (OVE)",IF(P138=CURSOS!$D$21,"INSTITUCIONES AMIGAS DE LA MUJER Y LA INFANCIA (IAMI)",IF(P138=CURSOS!$D$22,"CUIDADO DEL DONANTE DE ORGANOS",IF(P138=CURSOS!$D$23,"ATENCION A VICTIMAS POR VIOLENCIA DE GENERO",IF(P138=CURSOS!$D$24,"IGUALDAD DE GENERO EN LA SALUD",IF(P138=CURSOS!$D$25,"BRIGADA DE EMERGENCIA",IF(P138=CURSOS!$D$26,"MANEJO DEL DOLOR Y CUIDADOS PALIATIVOS",IF(P138=CURSOS!$D$27,"TOMA DE MUESTRAS Y LABORATORIO POCT",IF(P138=CURSOS!$D$28,"IMPLANTE SUBDERMICO DE DISPOSITIVO INTRAUTERINO",IF(P138=CURSOS!$D$29,"SALUD MENTAL",IF(P138=CURSOS!$D$30,"PRIMEROS AUXILIOS PSICOLOGICOS",IF(P138=CURSOS!$D$31,"ATENCION A VICTIMAS POR CONFLICTO ARMADO",IF(P138=CURSOS!$D$32,"MANIPULACION DE ALIMENTOS Y BPM",IF(P138=CURSOS!$D$33,"ATENCION A PERSONAS CON DISCAPACIDAD",IF(P138=CURSOS!$D$34,"CUIDADO INTEGRAL DEL PACIENTE ADULTO",IF(P138=CURSOS!$D$35,"MANEJO DEFENSIVO",IF(P138=CURSOS!$D$36,"SOPORTE CARDIOVASCULAR AVANZADO NEONATAL",IF(P138=CURSOS!$D$37,"SEGURIDAD DEL PACIENTE",IF(P138=CURSOS!$D$38,"MANEJO DE RESIDUOS HOSPITALARIOS",IF(P138=CURSOS!$D$39,"ATENCION DE PACIENTE POR CONSUMO SUSTANCIAS PSICOACTIVAS Y ADICCIONES")))))))))))))))))))))))))))))))))))))</f>
        <v>SOPORTE VITAL BASICO (BLS)</v>
      </c>
      <c r="W138" s="62" t="str">
        <f t="shared" si="9"/>
        <v>Luis Camilo Cuaspa Erazo</v>
      </c>
      <c r="X138" s="62" t="str">
        <f t="shared" si="10"/>
        <v>Luis Camilo Cuaspa Erazo</v>
      </c>
      <c r="Y138" s="62" t="str">
        <f t="shared" si="11"/>
        <v>Luis Camilo Cuaspa Erazo-1085344728-BLS</v>
      </c>
    </row>
    <row r="139" spans="1:25" s="57" customFormat="1" x14ac:dyDescent="0.2">
      <c r="A139" s="58">
        <v>138</v>
      </c>
      <c r="B139" s="59">
        <v>1085344728</v>
      </c>
      <c r="C139" s="59" t="s">
        <v>509</v>
      </c>
      <c r="D139" s="59" t="s">
        <v>510</v>
      </c>
      <c r="E139" s="59" t="s">
        <v>261</v>
      </c>
      <c r="F139" s="59" t="s">
        <v>160</v>
      </c>
      <c r="G139" s="59">
        <v>23</v>
      </c>
      <c r="H139" s="59" t="s">
        <v>200</v>
      </c>
      <c r="I139" s="60" t="s">
        <v>115</v>
      </c>
      <c r="J139" s="60" t="s">
        <v>512</v>
      </c>
      <c r="K139" s="61">
        <v>45803</v>
      </c>
      <c r="L139" s="66">
        <v>32000</v>
      </c>
      <c r="M139" s="59" t="s">
        <v>268</v>
      </c>
      <c r="N139" s="59" t="s">
        <v>138</v>
      </c>
      <c r="O139" s="59" t="s">
        <v>116</v>
      </c>
      <c r="P139" s="59" t="s">
        <v>25</v>
      </c>
      <c r="Q139" s="60">
        <v>36255</v>
      </c>
      <c r="R139" s="59" t="s">
        <v>124</v>
      </c>
      <c r="S139" s="64" t="s">
        <v>295</v>
      </c>
      <c r="T139" s="64">
        <v>3166205092</v>
      </c>
      <c r="U139" s="59" t="s">
        <v>511</v>
      </c>
      <c r="V139" s="62" t="str">
        <f>IF(P139=CURSOS!$D$3,"DIPLOMADO EN ATENCION PRE-HOSPITALARIA",IF(P139=CURSOS!$D$4,"ACOMPAÑAMIENTO Y MANEJO DEL DUELO",IF(P139=CURSOS!$D$5,"ATENCION A VICTIMAS DE ATAQUE CON AGENTES QUIMICOS ",IF(P139=CURSOS!$D$6,"PRIMEROS AUXILIOS ",IF(P139=CURSOS!$D$7,"DIPLOMADO DE UNIDAD DE CUIDADOS INTENSIVOS (UCI)",IF(P139=CURSOS!$D$8,"MODELO DE ATENCION PARA EVENTOS EMERGENTES EN SALUD MENTAL (CODIGO VERDE)",IF(P139=CURSOS!$D$9,"HUMANIZACION EN EL SERVICIO DE LA SALUD Y BUENAS PRACTICAS EN PACIENTE ",IF(P139=CURSOS!$D$10,"CLINICA DE HERIDAS ",IF(P139=CURSOS!$D$11,"TOMA DE CITOLOGIA CERVICO VAGINAL ",IF(P139=CURSOS!$D$12,"SOPORTE CARDIOVASCULAR AVANZADO (ACLS) ",IF(P139=CURSOS!$D$13,"CAMILLERO ",IF(P139=CURSOS!$D$14,"TOMA DE MUESTRAS Y LABORATORIO ",IF(P139=CURSOS!$D$15,"SOPORTE VITAL BASICO (BLS)",IF(P139=CURSOS!$D$16,"ATENCION A VICTIMAS DE VIOLENCIA SEXUAL ",IF(P139=CURSOS!$D$17,"PROGRAMADO AMPLIADO DE INMUNIZACION (PAI - COVID 19)",IF(P139=CURSOS!$D$18,"ATENCION INTEGRAL EN ENFERMEDADES PREVALENTES EN PRIMERA INFANCIA (AIEPI)",IF(P139=CURSOS!$D$19,"ADMINISTRACION DE MEDICAMENTOS, INYECTOLOGIA  Y CANALIZACION ",IF(P139=CURSOS!$D$20,"OPERADOR DE VEHICULOS DE EMERGENCIA (OVE)",IF(P139=CURSOS!$D$21,"INSTITUCIONES AMIGAS DE LA MUJER Y LA INFANCIA (IAMI)",IF(P139=CURSOS!$D$22,"CUIDADO DEL DONANTE DE ORGANOS",IF(P139=CURSOS!$D$23,"ATENCION A VICTIMAS POR VIOLENCIA DE GENERO",IF(P139=CURSOS!$D$24,"IGUALDAD DE GENERO EN LA SALUD",IF(P139=CURSOS!$D$25,"BRIGADA DE EMERGENCIA",IF(P139=CURSOS!$D$26,"MANEJO DEL DOLOR Y CUIDADOS PALIATIVOS",IF(P139=CURSOS!$D$27,"TOMA DE MUESTRAS Y LABORATORIO POCT",IF(P139=CURSOS!$D$28,"IMPLANTE SUBDERMICO DE DISPOSITIVO INTRAUTERINO",IF(P139=CURSOS!$D$29,"SALUD MENTAL",IF(P139=CURSOS!$D$30,"PRIMEROS AUXILIOS PSICOLOGICOS",IF(P139=CURSOS!$D$31,"ATENCION A VICTIMAS POR CONFLICTO ARMADO",IF(P139=CURSOS!$D$32,"MANIPULACION DE ALIMENTOS Y BPM",IF(P139=CURSOS!$D$33,"ATENCION A PERSONAS CON DISCAPACIDAD",IF(P139=CURSOS!$D$34,"CUIDADO INTEGRAL DEL PACIENTE ADULTO",IF(P139=CURSOS!$D$35,"MANEJO DEFENSIVO",IF(P139=CURSOS!$D$36,"SOPORTE CARDIOVASCULAR AVANZADO NEONATAL",IF(P139=CURSOS!$D$37,"SEGURIDAD DEL PACIENTE",IF(P139=CURSOS!$D$38,"MANEJO DE RESIDUOS HOSPITALARIOS",IF(P139=CURSOS!$D$39,"ATENCION DE PACIENTE POR CONSUMO SUSTANCIAS PSICOACTIVAS Y ADICCIONES")))))))))))))))))))))))))))))))))))))</f>
        <v xml:space="preserve">ATENCION A VICTIMAS DE ATAQUE CON AGENTES QUIMICOS </v>
      </c>
      <c r="W139" s="62" t="str">
        <f t="shared" si="9"/>
        <v>Luis Camilo Cuaspa Erazo</v>
      </c>
      <c r="X139" s="62" t="str">
        <f t="shared" si="10"/>
        <v>Luis Camilo Cuaspa Erazo</v>
      </c>
      <c r="Y139" s="62" t="str">
        <f t="shared" si="11"/>
        <v>Luis Camilo Cuaspa Erazo-1085344728-QUIMICOS</v>
      </c>
    </row>
    <row r="140" spans="1:25" s="57" customFormat="1" x14ac:dyDescent="0.2">
      <c r="A140" s="58">
        <v>139</v>
      </c>
      <c r="B140" s="59">
        <v>1085344728</v>
      </c>
      <c r="C140" s="59" t="s">
        <v>509</v>
      </c>
      <c r="D140" s="59" t="s">
        <v>510</v>
      </c>
      <c r="E140" s="59" t="s">
        <v>261</v>
      </c>
      <c r="F140" s="59" t="s">
        <v>160</v>
      </c>
      <c r="G140" s="59">
        <v>22</v>
      </c>
      <c r="H140" s="59" t="s">
        <v>200</v>
      </c>
      <c r="I140" s="60" t="s">
        <v>115</v>
      </c>
      <c r="J140" s="60" t="s">
        <v>512</v>
      </c>
      <c r="K140" s="61">
        <v>45803</v>
      </c>
      <c r="L140" s="66">
        <v>32000</v>
      </c>
      <c r="M140" s="59" t="s">
        <v>268</v>
      </c>
      <c r="N140" s="59" t="s">
        <v>138</v>
      </c>
      <c r="O140" s="59" t="s">
        <v>116</v>
      </c>
      <c r="P140" s="59" t="s">
        <v>42</v>
      </c>
      <c r="Q140" s="60">
        <v>36255</v>
      </c>
      <c r="R140" s="59" t="s">
        <v>124</v>
      </c>
      <c r="S140" s="64" t="s">
        <v>295</v>
      </c>
      <c r="T140" s="64">
        <v>3166205092</v>
      </c>
      <c r="U140" s="59" t="s">
        <v>511</v>
      </c>
      <c r="V140" s="62" t="str">
        <f>IF(P140=CURSOS!$D$3,"DIPLOMADO EN ATENCION PRE-HOSPITALARIA",IF(P140=CURSOS!$D$4,"ACOMPAÑAMIENTO Y MANEJO DEL DUELO",IF(P140=CURSOS!$D$5,"ATENCION A VICTIMAS DE ATAQUE CON AGENTES QUIMICOS ",IF(P140=CURSOS!$D$6,"PRIMEROS AUXILIOS ",IF(P140=CURSOS!$D$7,"DIPLOMADO DE UNIDAD DE CUIDADOS INTENSIVOS (UCI)",IF(P140=CURSOS!$D$8,"MODELO DE ATENCION PARA EVENTOS EMERGENTES EN SALUD MENTAL (CODIGO VERDE)",IF(P140=CURSOS!$D$9,"HUMANIZACION EN EL SERVICIO DE LA SALUD Y BUENAS PRACTICAS EN PACIENTE ",IF(P140=CURSOS!$D$10,"CLINICA DE HERIDAS ",IF(P140=CURSOS!$D$11,"TOMA DE CITOLOGIA CERVICO VAGINAL ",IF(P140=CURSOS!$D$12,"SOPORTE CARDIOVASCULAR AVANZADO (ACLS) ",IF(P140=CURSOS!$D$13,"CAMILLERO ",IF(P140=CURSOS!$D$14,"TOMA DE MUESTRAS Y LABORATORIO ",IF(P140=CURSOS!$D$15,"SOPORTE VITAL BASICO (BLS)",IF(P140=CURSOS!$D$16,"ATENCION A VICTIMAS DE VIOLENCIA SEXUAL ",IF(P140=CURSOS!$D$17,"PROGRAMADO AMPLIADO DE INMUNIZACION (PAI - COVID 19)",IF(P140=CURSOS!$D$18,"ATENCION INTEGRAL EN ENFERMEDADES PREVALENTES EN PRIMERA INFANCIA (AIEPI)",IF(P140=CURSOS!$D$19,"ADMINISTRACION DE MEDICAMENTOS, INYECTOLOGIA  Y CANALIZACION ",IF(P140=CURSOS!$D$20,"OPERADOR DE VEHICULOS DE EMERGENCIA (OVE)",IF(P140=CURSOS!$D$21,"INSTITUCIONES AMIGAS DE LA MUJER Y LA INFANCIA (IAMI)",IF(P140=CURSOS!$D$22,"CUIDADO DEL DONANTE DE ORGANOS",IF(P140=CURSOS!$D$23,"ATENCION A VICTIMAS POR VIOLENCIA DE GENERO",IF(P140=CURSOS!$D$24,"IGUALDAD DE GENERO EN LA SALUD",IF(P140=CURSOS!$D$25,"BRIGADA DE EMERGENCIA",IF(P140=CURSOS!$D$26,"MANEJO DEL DOLOR Y CUIDADOS PALIATIVOS",IF(P140=CURSOS!$D$27,"TOMA DE MUESTRAS Y LABORATORIO POCT",IF(P140=CURSOS!$D$28,"IMPLANTE SUBDERMICO DE DISPOSITIVO INTRAUTERINO",IF(P140=CURSOS!$D$29,"SALUD MENTAL",IF(P140=CURSOS!$D$30,"PRIMEROS AUXILIOS PSICOLOGICOS",IF(P140=CURSOS!$D$31,"ATENCION A VICTIMAS POR CONFLICTO ARMADO",IF(P140=CURSOS!$D$32,"MANIPULACION DE ALIMENTOS Y BPM",IF(P140=CURSOS!$D$33,"ATENCION A PERSONAS CON DISCAPACIDAD",IF(P140=CURSOS!$D$34,"CUIDADO INTEGRAL DEL PACIENTE ADULTO",IF(P140=CURSOS!$D$35,"MANEJO DEFENSIVO",IF(P140=CURSOS!$D$36,"SOPORTE CARDIOVASCULAR AVANZADO NEONATAL",IF(P140=CURSOS!$D$37,"SEGURIDAD DEL PACIENTE",IF(P140=CURSOS!$D$38,"MANEJO DE RESIDUOS HOSPITALARIOS",IF(P140=CURSOS!$D$39,"ATENCION DE PACIENTE POR CONSUMO SUSTANCIAS PSICOACTIVAS Y ADICCIONES")))))))))))))))))))))))))))))))))))))</f>
        <v xml:space="preserve">ATENCION A VICTIMAS DE VIOLENCIA SEXUAL </v>
      </c>
      <c r="W140" s="62" t="str">
        <f t="shared" si="9"/>
        <v>Luis Camilo Cuaspa Erazo</v>
      </c>
      <c r="X140" s="62" t="str">
        <f t="shared" si="10"/>
        <v>Luis Camilo Cuaspa Erazo</v>
      </c>
      <c r="Y140" s="62" t="str">
        <f t="shared" si="11"/>
        <v>Luis Camilo Cuaspa Erazo-1085344728-VIOLENCIA SEXUAL</v>
      </c>
    </row>
    <row r="141" spans="1:25" s="57" customFormat="1" x14ac:dyDescent="0.2">
      <c r="A141" s="58">
        <v>140</v>
      </c>
      <c r="B141" s="59">
        <v>1089484199</v>
      </c>
      <c r="C141" s="59" t="s">
        <v>153</v>
      </c>
      <c r="D141" s="59" t="s">
        <v>513</v>
      </c>
      <c r="E141" s="59" t="s">
        <v>514</v>
      </c>
      <c r="F141" s="59" t="s">
        <v>515</v>
      </c>
      <c r="G141" s="59">
        <v>27</v>
      </c>
      <c r="H141" s="59" t="s">
        <v>200</v>
      </c>
      <c r="I141" s="60" t="s">
        <v>122</v>
      </c>
      <c r="J141" s="60" t="s">
        <v>123</v>
      </c>
      <c r="K141" s="61" t="s">
        <v>558</v>
      </c>
      <c r="L141" s="66" t="s">
        <v>570</v>
      </c>
      <c r="M141" s="59" t="s">
        <v>103</v>
      </c>
      <c r="N141" s="59" t="s">
        <v>138</v>
      </c>
      <c r="O141" s="59" t="s">
        <v>116</v>
      </c>
      <c r="P141" s="59" t="s">
        <v>32</v>
      </c>
      <c r="Q141" s="60">
        <v>34086</v>
      </c>
      <c r="R141" s="63" t="s">
        <v>102</v>
      </c>
      <c r="S141" s="59" t="s">
        <v>516</v>
      </c>
      <c r="T141" s="59">
        <v>3217222691</v>
      </c>
      <c r="U141" s="64" t="s">
        <v>517</v>
      </c>
      <c r="V141" s="62" t="str">
        <f>IF(P141=CURSOS!$D$3,"DIPLOMADO EN ATENCION PRE-HOSPITALARIA",IF(P141=CURSOS!$D$4,"ACOMPAÑAMIENTO Y MANEJO DEL DUELO",IF(P141=CURSOS!$D$5,"ATENCION A VICTIMAS DE ATAQUE CON AGENTES QUIMICOS ",IF(P141=CURSOS!$D$6,"PRIMEROS AUXILIOS ",IF(P141=CURSOS!$D$7,"DIPLOMADO DE UNIDAD DE CUIDADOS INTENSIVOS (UCI)",IF(P141=CURSOS!$D$8,"MODELO DE ATENCION PARA EVENTOS EMERGENTES EN SALUD MENTAL (CODIGO VERDE)",IF(P141=CURSOS!$D$9,"HUMANIZACION EN EL SERVICIO DE LA SALUD Y BUENAS PRACTICAS EN PACIENTE ",IF(P141=CURSOS!$D$10,"CLINICA DE HERIDAS ",IF(P141=CURSOS!$D$11,"TOMA DE CITOLOGIA CERVICO VAGINAL ",IF(P141=CURSOS!$D$12,"SOPORTE CARDIOVASCULAR AVANZADO (ACLS) ",IF(P141=CURSOS!$D$13,"CAMILLERO ",IF(P141=CURSOS!$D$14,"TOMA DE MUESTRAS Y LABORATORIO ",IF(P141=CURSOS!$D$15,"SOPORTE VITAL BASICO (BLS)",IF(P141=CURSOS!$D$16,"ATENCION A VICTIMAS DE VIOLENCIA SEXUAL ",IF(P141=CURSOS!$D$17,"PROGRAMADO AMPLIADO DE INMUNIZACION (PAI - COVID 19)",IF(P141=CURSOS!$D$18,"ATENCION INTEGRAL EN ENFERMEDADES PREVALENTES EN PRIMERA INFANCIA (AIEPI)",IF(P141=CURSOS!$D$19,"ADMINISTRACION DE MEDICAMENTOS, INYECTOLOGIA  Y CANALIZACION ",IF(P141=CURSOS!$D$20,"OPERADOR DE VEHICULOS DE EMERGENCIA (OVE)",IF(P141=CURSOS!$D$21,"INSTITUCIONES AMIGAS DE LA MUJER Y LA INFANCIA (IAMI)",IF(P141=CURSOS!$D$22,"CUIDADO DEL DONANTE DE ORGANOS",IF(P141=CURSOS!$D$23,"ATENCION A VICTIMAS POR VIOLENCIA DE GENERO",IF(P141=CURSOS!$D$24,"IGUALDAD DE GENERO EN LA SALUD",IF(P141=CURSOS!$D$25,"BRIGADA DE EMERGENCIA",IF(P141=CURSOS!$D$26,"MANEJO DEL DOLOR Y CUIDADOS PALIATIVOS",IF(P141=CURSOS!$D$27,"TOMA DE MUESTRAS Y LABORATORIO POCT",IF(P141=CURSOS!$D$28,"IMPLANTE SUBDERMICO DE DISPOSITIVO INTRAUTERINO",IF(P141=CURSOS!$D$29,"SALUD MENTAL",IF(P141=CURSOS!$D$30,"PRIMEROS AUXILIOS PSICOLOGICOS",IF(P141=CURSOS!$D$31,"ATENCION A VICTIMAS POR CONFLICTO ARMADO",IF(P141=CURSOS!$D$32,"MANIPULACION DE ALIMENTOS Y BPM",IF(P141=CURSOS!$D$33,"ATENCION A PERSONAS CON DISCAPACIDAD",IF(P141=CURSOS!$D$34,"CUIDADO INTEGRAL DEL PACIENTE ADULTO",IF(P141=CURSOS!$D$35,"MANEJO DEFENSIVO",IF(P141=CURSOS!$D$36,"SOPORTE CARDIOVASCULAR AVANZADO NEONATAL",IF(P141=CURSOS!$D$37,"SEGURIDAD DEL PACIENTE",IF(P141=CURSOS!$D$38,"MANEJO DE RESIDUOS HOSPITALARIOS",IF(P141=CURSOS!$D$39,"ATENCION DE PACIENTE POR CONSUMO SUSTANCIAS PSICOACTIVAS Y ADICCIONES")))))))))))))))))))))))))))))))))))))</f>
        <v xml:space="preserve">HUMANIZACION EN EL SERVICIO DE LA SALUD Y BUENAS PRACTICAS EN PACIENTE </v>
      </c>
      <c r="W141" s="62" t="str">
        <f t="shared" si="9"/>
        <v>Jennifer Camila Delgado Sanchez</v>
      </c>
      <c r="X141" s="62" t="str">
        <f t="shared" si="10"/>
        <v>Jennifer Camila Delgado Sanchez</v>
      </c>
      <c r="Y141" s="62" t="str">
        <f t="shared" si="11"/>
        <v>Jennifer Camila Delgado Sanchez-1089484199-HUMANIZACION</v>
      </c>
    </row>
    <row r="142" spans="1:25" s="57" customFormat="1" x14ac:dyDescent="0.2">
      <c r="A142" s="58">
        <v>141</v>
      </c>
      <c r="B142" s="59">
        <v>59705774</v>
      </c>
      <c r="C142" s="59" t="s">
        <v>519</v>
      </c>
      <c r="D142" s="59" t="s">
        <v>111</v>
      </c>
      <c r="E142" s="59" t="s">
        <v>520</v>
      </c>
      <c r="F142" s="59"/>
      <c r="G142" s="59">
        <v>27</v>
      </c>
      <c r="H142" s="59" t="s">
        <v>200</v>
      </c>
      <c r="I142" s="60" t="s">
        <v>122</v>
      </c>
      <c r="J142" s="60" t="s">
        <v>123</v>
      </c>
      <c r="K142" s="61" t="s">
        <v>559</v>
      </c>
      <c r="L142" s="66" t="s">
        <v>570</v>
      </c>
      <c r="M142" s="59" t="s">
        <v>103</v>
      </c>
      <c r="N142" s="59" t="s">
        <v>138</v>
      </c>
      <c r="O142" s="59" t="s">
        <v>116</v>
      </c>
      <c r="P142" s="59" t="s">
        <v>32</v>
      </c>
      <c r="Q142" s="60">
        <v>27730</v>
      </c>
      <c r="R142" s="63" t="s">
        <v>102</v>
      </c>
      <c r="S142" s="59" t="s">
        <v>521</v>
      </c>
      <c r="T142" s="59">
        <v>3116141612</v>
      </c>
      <c r="U142" s="59" t="s">
        <v>522</v>
      </c>
      <c r="V142" s="62" t="str">
        <f>IF(P142=CURSOS!$D$3,"DIPLOMADO EN ATENCION PRE-HOSPITALARIA",IF(P142=CURSOS!$D$4,"ACOMPAÑAMIENTO Y MANEJO DEL DUELO",IF(P142=CURSOS!$D$5,"ATENCION A VICTIMAS DE ATAQUE CON AGENTES QUIMICOS ",IF(P142=CURSOS!$D$6,"PRIMEROS AUXILIOS ",IF(P142=CURSOS!$D$7,"DIPLOMADO DE UNIDAD DE CUIDADOS INTENSIVOS (UCI)",IF(P142=CURSOS!$D$8,"MODELO DE ATENCION PARA EVENTOS EMERGENTES EN SALUD MENTAL (CODIGO VERDE)",IF(P142=CURSOS!$D$9,"HUMANIZACION EN EL SERVICIO DE LA SALUD Y BUENAS PRACTICAS EN PACIENTE ",IF(P142=CURSOS!$D$10,"CLINICA DE HERIDAS ",IF(P142=CURSOS!$D$11,"TOMA DE CITOLOGIA CERVICO VAGINAL ",IF(P142=CURSOS!$D$12,"SOPORTE CARDIOVASCULAR AVANZADO (ACLS) ",IF(P142=CURSOS!$D$13,"CAMILLERO ",IF(P142=CURSOS!$D$14,"TOMA DE MUESTRAS Y LABORATORIO ",IF(P142=CURSOS!$D$15,"SOPORTE VITAL BASICO (BLS)",IF(P142=CURSOS!$D$16,"ATENCION A VICTIMAS DE VIOLENCIA SEXUAL ",IF(P142=CURSOS!$D$17,"PROGRAMADO AMPLIADO DE INMUNIZACION (PAI - COVID 19)",IF(P142=CURSOS!$D$18,"ATENCION INTEGRAL EN ENFERMEDADES PREVALENTES EN PRIMERA INFANCIA (AIEPI)",IF(P142=CURSOS!$D$19,"ADMINISTRACION DE MEDICAMENTOS, INYECTOLOGIA  Y CANALIZACION ",IF(P142=CURSOS!$D$20,"OPERADOR DE VEHICULOS DE EMERGENCIA (OVE)",IF(P142=CURSOS!$D$21,"INSTITUCIONES AMIGAS DE LA MUJER Y LA INFANCIA (IAMI)",IF(P142=CURSOS!$D$22,"CUIDADO DEL DONANTE DE ORGANOS",IF(P142=CURSOS!$D$23,"ATENCION A VICTIMAS POR VIOLENCIA DE GENERO",IF(P142=CURSOS!$D$24,"IGUALDAD DE GENERO EN LA SALUD",IF(P142=CURSOS!$D$25,"BRIGADA DE EMERGENCIA",IF(P142=CURSOS!$D$26,"MANEJO DEL DOLOR Y CUIDADOS PALIATIVOS",IF(P142=CURSOS!$D$27,"TOMA DE MUESTRAS Y LABORATORIO POCT",IF(P142=CURSOS!$D$28,"IMPLANTE SUBDERMICO DE DISPOSITIVO INTRAUTERINO",IF(P142=CURSOS!$D$29,"SALUD MENTAL",IF(P142=CURSOS!$D$30,"PRIMEROS AUXILIOS PSICOLOGICOS",IF(P142=CURSOS!$D$31,"ATENCION A VICTIMAS POR CONFLICTO ARMADO",IF(P142=CURSOS!$D$32,"MANIPULACION DE ALIMENTOS Y BPM",IF(P142=CURSOS!$D$33,"ATENCION A PERSONAS CON DISCAPACIDAD",IF(P142=CURSOS!$D$34,"CUIDADO INTEGRAL DEL PACIENTE ADULTO",IF(P142=CURSOS!$D$35,"MANEJO DEFENSIVO",IF(P142=CURSOS!$D$36,"SOPORTE CARDIOVASCULAR AVANZADO NEONATAL",IF(P142=CURSOS!$D$37,"SEGURIDAD DEL PACIENTE",IF(P142=CURSOS!$D$38,"MANEJO DE RESIDUOS HOSPITALARIOS",IF(P142=CURSOS!$D$39,"ATENCION DE PACIENTE POR CONSUMO SUSTANCIAS PSICOACTIVAS Y ADICCIONES")))))))))))))))))))))))))))))))))))))</f>
        <v xml:space="preserve">HUMANIZACION EN EL SERVICIO DE LA SALUD Y BUENAS PRACTICAS EN PACIENTE </v>
      </c>
      <c r="W142" s="62" t="str">
        <f t="shared" si="9"/>
        <v>Marinela  Garzon Perez</v>
      </c>
      <c r="X142" s="62" t="str">
        <f t="shared" si="10"/>
        <v>Marinela  Garzon Perez</v>
      </c>
      <c r="Y142" s="62" t="str">
        <f t="shared" si="11"/>
        <v>Marinela  Garzon Perez-59705774-HUMANIZACION</v>
      </c>
    </row>
    <row r="143" spans="1:25" s="57" customFormat="1" x14ac:dyDescent="0.2">
      <c r="A143" s="58">
        <v>142</v>
      </c>
      <c r="B143" s="59">
        <v>1152708839</v>
      </c>
      <c r="C143" s="59" t="s">
        <v>523</v>
      </c>
      <c r="D143" s="59" t="s">
        <v>446</v>
      </c>
      <c r="E143" s="59" t="s">
        <v>309</v>
      </c>
      <c r="F143" s="59" t="s">
        <v>515</v>
      </c>
      <c r="G143" s="59">
        <v>29</v>
      </c>
      <c r="H143" s="59" t="s">
        <v>200</v>
      </c>
      <c r="I143" s="60" t="s">
        <v>122</v>
      </c>
      <c r="J143" s="60" t="s">
        <v>123</v>
      </c>
      <c r="K143" s="61" t="s">
        <v>518</v>
      </c>
      <c r="L143" s="66">
        <v>64000</v>
      </c>
      <c r="M143" s="59" t="s">
        <v>103</v>
      </c>
      <c r="N143" s="59" t="s">
        <v>138</v>
      </c>
      <c r="O143" s="59" t="s">
        <v>116</v>
      </c>
      <c r="P143" s="59" t="s">
        <v>42</v>
      </c>
      <c r="Q143" s="60">
        <v>35530</v>
      </c>
      <c r="R143" s="59" t="s">
        <v>102</v>
      </c>
      <c r="S143" s="95" t="s">
        <v>370</v>
      </c>
      <c r="T143" s="59">
        <v>3003786006</v>
      </c>
      <c r="U143" s="59" t="s">
        <v>524</v>
      </c>
      <c r="V143" s="62" t="str">
        <f>IF(P143=CURSOS!$D$3,"DIPLOMADO EN ATENCION PRE-HOSPITALARIA",IF(P143=CURSOS!$D$4,"ACOMPAÑAMIENTO Y MANEJO DEL DUELO",IF(P143=CURSOS!$D$5,"ATENCION A VICTIMAS DE ATAQUE CON AGENTES QUIMICOS ",IF(P143=CURSOS!$D$6,"PRIMEROS AUXILIOS ",IF(P143=CURSOS!$D$7,"DIPLOMADO DE UNIDAD DE CUIDADOS INTENSIVOS (UCI)",IF(P143=CURSOS!$D$8,"MODELO DE ATENCION PARA EVENTOS EMERGENTES EN SALUD MENTAL (CODIGO VERDE)",IF(P143=CURSOS!$D$9,"HUMANIZACION EN EL SERVICIO DE LA SALUD Y BUENAS PRACTICAS EN PACIENTE ",IF(P143=CURSOS!$D$10,"CLINICA DE HERIDAS ",IF(P143=CURSOS!$D$11,"TOMA DE CITOLOGIA CERVICO VAGINAL ",IF(P143=CURSOS!$D$12,"SOPORTE CARDIOVASCULAR AVANZADO (ACLS) ",IF(P143=CURSOS!$D$13,"CAMILLERO ",IF(P143=CURSOS!$D$14,"TOMA DE MUESTRAS Y LABORATORIO ",IF(P143=CURSOS!$D$15,"SOPORTE VITAL BASICO (BLS)",IF(P143=CURSOS!$D$16,"ATENCION A VICTIMAS DE VIOLENCIA SEXUAL ",IF(P143=CURSOS!$D$17,"PROGRAMADO AMPLIADO DE INMUNIZACION (PAI - COVID 19)",IF(P143=CURSOS!$D$18,"ATENCION INTEGRAL EN ENFERMEDADES PREVALENTES EN PRIMERA INFANCIA (AIEPI)",IF(P143=CURSOS!$D$19,"ADMINISTRACION DE MEDICAMENTOS, INYECTOLOGIA  Y CANALIZACION ",IF(P143=CURSOS!$D$20,"OPERADOR DE VEHICULOS DE EMERGENCIA (OVE)",IF(P143=CURSOS!$D$21,"INSTITUCIONES AMIGAS DE LA MUJER Y LA INFANCIA (IAMI)",IF(P143=CURSOS!$D$22,"CUIDADO DEL DONANTE DE ORGANOS",IF(P143=CURSOS!$D$23,"ATENCION A VICTIMAS POR VIOLENCIA DE GENERO",IF(P143=CURSOS!$D$24,"IGUALDAD DE GENERO EN LA SALUD",IF(P143=CURSOS!$D$25,"BRIGADA DE EMERGENCIA",IF(P143=CURSOS!$D$26,"MANEJO DEL DOLOR Y CUIDADOS PALIATIVOS",IF(P143=CURSOS!$D$27,"TOMA DE MUESTRAS Y LABORATORIO POCT",IF(P143=CURSOS!$D$28,"IMPLANTE SUBDERMICO DE DISPOSITIVO INTRAUTERINO",IF(P143=CURSOS!$D$29,"SALUD MENTAL",IF(P143=CURSOS!$D$30,"PRIMEROS AUXILIOS PSICOLOGICOS",IF(P143=CURSOS!$D$31,"ATENCION A VICTIMAS POR CONFLICTO ARMADO",IF(P143=CURSOS!$D$32,"MANIPULACION DE ALIMENTOS Y BPM",IF(P143=CURSOS!$D$33,"ATENCION A PERSONAS CON DISCAPACIDAD",IF(P143=CURSOS!$D$34,"CUIDADO INTEGRAL DEL PACIENTE ADULTO",IF(P143=CURSOS!$D$35,"MANEJO DEFENSIVO",IF(P143=CURSOS!$D$36,"SOPORTE CARDIOVASCULAR AVANZADO NEONATAL",IF(P143=CURSOS!$D$37,"SEGURIDAD DEL PACIENTE",IF(P143=CURSOS!$D$38,"MANEJO DE RESIDUOS HOSPITALARIOS",IF(P143=CURSOS!$D$39,"ATENCION DE PACIENTE POR CONSUMO SUSTANCIAS PSICOACTIVAS Y ADICCIONES")))))))))))))))))))))))))))))))))))))</f>
        <v xml:space="preserve">ATENCION A VICTIMAS DE VIOLENCIA SEXUAL </v>
      </c>
      <c r="W143" s="62" t="str">
        <f t="shared" si="9"/>
        <v>Viviana Camila Caballero Realpe</v>
      </c>
      <c r="X143" s="62" t="str">
        <f t="shared" si="10"/>
        <v>Viviana Camila Caballero Realpe</v>
      </c>
      <c r="Y143" s="62" t="str">
        <f t="shared" si="11"/>
        <v>Viviana Camila Caballero Realpe-1152708839-VIOLENCIA SEXUAL</v>
      </c>
    </row>
    <row r="144" spans="1:25" s="57" customFormat="1" x14ac:dyDescent="0.2">
      <c r="A144" s="58">
        <v>143</v>
      </c>
      <c r="B144" s="59">
        <v>1085260780</v>
      </c>
      <c r="C144" s="59" t="s">
        <v>525</v>
      </c>
      <c r="D144" s="59" t="s">
        <v>526</v>
      </c>
      <c r="E144" s="59" t="s">
        <v>360</v>
      </c>
      <c r="F144" s="59" t="s">
        <v>527</v>
      </c>
      <c r="G144" s="59">
        <v>27</v>
      </c>
      <c r="H144" s="59" t="s">
        <v>200</v>
      </c>
      <c r="I144" s="60" t="s">
        <v>122</v>
      </c>
      <c r="J144" s="60" t="s">
        <v>123</v>
      </c>
      <c r="K144" s="61" t="s">
        <v>560</v>
      </c>
      <c r="L144" s="66" t="s">
        <v>570</v>
      </c>
      <c r="M144" s="59" t="s">
        <v>103</v>
      </c>
      <c r="N144" s="59" t="s">
        <v>138</v>
      </c>
      <c r="O144" s="59" t="s">
        <v>116</v>
      </c>
      <c r="P144" s="59" t="s">
        <v>19</v>
      </c>
      <c r="Q144" s="60">
        <v>32026</v>
      </c>
      <c r="R144" s="59" t="s">
        <v>102</v>
      </c>
      <c r="S144" s="64" t="s">
        <v>201</v>
      </c>
      <c r="T144" s="64">
        <v>3008264661</v>
      </c>
      <c r="U144" s="59" t="s">
        <v>528</v>
      </c>
      <c r="V144" s="62" t="str">
        <f>IF(P144=CURSOS!$D$3,"DIPLOMADO EN ATENCION PRE-HOSPITALARIA",IF(P144=CURSOS!$D$4,"ACOMPAÑAMIENTO Y MANEJO DEL DUELO",IF(P144=CURSOS!$D$5,"ATENCION A VICTIMAS DE ATAQUE CON AGENTES QUIMICOS ",IF(P144=CURSOS!$D$6,"PRIMEROS AUXILIOS ",IF(P144=CURSOS!$D$7,"DIPLOMADO DE UNIDAD DE CUIDADOS INTENSIVOS (UCI)",IF(P144=CURSOS!$D$8,"MODELO DE ATENCION PARA EVENTOS EMERGENTES EN SALUD MENTAL (CODIGO VERDE)",IF(P144=CURSOS!$D$9,"HUMANIZACION EN EL SERVICIO DE LA SALUD Y BUENAS PRACTICAS EN PACIENTE ",IF(P144=CURSOS!$D$10,"CLINICA DE HERIDAS ",IF(P144=CURSOS!$D$11,"TOMA DE CITOLOGIA CERVICO VAGINAL ",IF(P144=CURSOS!$D$12,"SOPORTE CARDIOVASCULAR AVANZADO (ACLS) ",IF(P144=CURSOS!$D$13,"CAMILLERO ",IF(P144=CURSOS!$D$14,"TOMA DE MUESTRAS Y LABORATORIO ",IF(P144=CURSOS!$D$15,"SOPORTE VITAL BASICO (BLS)",IF(P144=CURSOS!$D$16,"ATENCION A VICTIMAS DE VIOLENCIA SEXUAL ",IF(P144=CURSOS!$D$17,"PROGRAMADO AMPLIADO DE INMUNIZACION (PAI - COVID 19)",IF(P144=CURSOS!$D$18,"ATENCION INTEGRAL EN ENFERMEDADES PREVALENTES EN PRIMERA INFANCIA (AIEPI)",IF(P144=CURSOS!$D$19,"ADMINISTRACION DE MEDICAMENTOS, INYECTOLOGIA  Y CANALIZACION ",IF(P144=CURSOS!$D$20,"OPERADOR DE VEHICULOS DE EMERGENCIA (OVE)",IF(P144=CURSOS!$D$21,"INSTITUCIONES AMIGAS DE LA MUJER Y LA INFANCIA (IAMI)",IF(P144=CURSOS!$D$22,"CUIDADO DEL DONANTE DE ORGANOS",IF(P144=CURSOS!$D$23,"ATENCION A VICTIMAS POR VIOLENCIA DE GENERO",IF(P144=CURSOS!$D$24,"IGUALDAD DE GENERO EN LA SALUD",IF(P144=CURSOS!$D$25,"BRIGADA DE EMERGENCIA",IF(P144=CURSOS!$D$26,"MANEJO DEL DOLOR Y CUIDADOS PALIATIVOS",IF(P144=CURSOS!$D$27,"TOMA DE MUESTRAS Y LABORATORIO POCT",IF(P144=CURSOS!$D$28,"IMPLANTE SUBDERMICO DE DISPOSITIVO INTRAUTERINO",IF(P144=CURSOS!$D$29,"SALUD MENTAL",IF(P144=CURSOS!$D$30,"PRIMEROS AUXILIOS PSICOLOGICOS",IF(P144=CURSOS!$D$31,"ATENCION A VICTIMAS POR CONFLICTO ARMADO",IF(P144=CURSOS!$D$32,"MANIPULACION DE ALIMENTOS Y BPM",IF(P144=CURSOS!$D$33,"ATENCION A PERSONAS CON DISCAPACIDAD",IF(P144=CURSOS!$D$34,"CUIDADO INTEGRAL DEL PACIENTE ADULTO",IF(P144=CURSOS!$D$35,"MANEJO DEFENSIVO",IF(P144=CURSOS!$D$36,"SOPORTE CARDIOVASCULAR AVANZADO NEONATAL",IF(P144=CURSOS!$D$37,"SEGURIDAD DEL PACIENTE",IF(P144=CURSOS!$D$38,"MANEJO DE RESIDUOS HOSPITALARIOS",IF(P144=CURSOS!$D$39,"ATENCION DE PACIENTE POR CONSUMO SUSTANCIAS PSICOACTIVAS Y ADICCIONES")))))))))))))))))))))))))))))))))))))</f>
        <v>SOPORTE VITAL BASICO (BLS)</v>
      </c>
      <c r="W144" s="62" t="str">
        <f t="shared" si="9"/>
        <v>Ana Carolina Idrobo Ceballos</v>
      </c>
      <c r="X144" s="62" t="str">
        <f t="shared" si="10"/>
        <v>Ana Carolina Idrobo Ceballos</v>
      </c>
      <c r="Y144" s="62" t="str">
        <f t="shared" si="11"/>
        <v>Ana Carolina Idrobo Ceballos-1085260780-BLS</v>
      </c>
    </row>
    <row r="145" spans="1:25" s="57" customFormat="1" x14ac:dyDescent="0.2">
      <c r="A145" s="58">
        <v>144</v>
      </c>
      <c r="B145" s="59">
        <v>59396292</v>
      </c>
      <c r="C145" s="59" t="s">
        <v>119</v>
      </c>
      <c r="D145" s="59" t="s">
        <v>529</v>
      </c>
      <c r="E145" s="59" t="s">
        <v>237</v>
      </c>
      <c r="F145" s="59" t="s">
        <v>315</v>
      </c>
      <c r="G145" s="59">
        <v>26</v>
      </c>
      <c r="H145" s="59" t="s">
        <v>200</v>
      </c>
      <c r="I145" s="60" t="s">
        <v>115</v>
      </c>
      <c r="J145" s="60" t="s">
        <v>240</v>
      </c>
      <c r="K145" s="61">
        <v>45807</v>
      </c>
      <c r="L145" s="66">
        <v>80000</v>
      </c>
      <c r="M145" s="59" t="s">
        <v>103</v>
      </c>
      <c r="N145" s="59" t="s">
        <v>138</v>
      </c>
      <c r="O145" s="59" t="s">
        <v>99</v>
      </c>
      <c r="P145" s="59" t="s">
        <v>530</v>
      </c>
      <c r="Q145" s="60">
        <v>30804</v>
      </c>
      <c r="R145" s="59" t="s">
        <v>102</v>
      </c>
      <c r="S145" s="59" t="s">
        <v>282</v>
      </c>
      <c r="T145" s="59">
        <v>3108235095</v>
      </c>
      <c r="U145" s="59" t="s">
        <v>532</v>
      </c>
      <c r="V145" s="62" t="s">
        <v>530</v>
      </c>
      <c r="W145" s="62" t="str">
        <f t="shared" si="9"/>
        <v>Diana Lorena Morales Riascos</v>
      </c>
      <c r="X145" s="62" t="str">
        <f t="shared" si="10"/>
        <v>Diana Lorena Morales Riascos</v>
      </c>
      <c r="Y145" s="62" t="str">
        <f t="shared" si="11"/>
        <v>Diana Lorena Morales Riascos-59396292-RADIOPROTECCION</v>
      </c>
    </row>
    <row r="146" spans="1:25" s="57" customFormat="1" x14ac:dyDescent="0.2">
      <c r="A146" s="58">
        <v>145</v>
      </c>
      <c r="B146" s="70">
        <v>1085282460</v>
      </c>
      <c r="C146" s="59" t="s">
        <v>280</v>
      </c>
      <c r="D146" s="59" t="s">
        <v>533</v>
      </c>
      <c r="E146" s="59" t="s">
        <v>534</v>
      </c>
      <c r="F146" s="59" t="s">
        <v>535</v>
      </c>
      <c r="G146" s="59">
        <v>27</v>
      </c>
      <c r="H146" s="59" t="s">
        <v>200</v>
      </c>
      <c r="I146" s="60" t="s">
        <v>115</v>
      </c>
      <c r="J146" s="60" t="s">
        <v>123</v>
      </c>
      <c r="K146" s="61">
        <v>45804</v>
      </c>
      <c r="L146" s="66">
        <v>32000</v>
      </c>
      <c r="M146" s="59" t="s">
        <v>214</v>
      </c>
      <c r="N146" s="59" t="s">
        <v>138</v>
      </c>
      <c r="O146" s="59" t="s">
        <v>116</v>
      </c>
      <c r="P146" s="59" t="s">
        <v>44</v>
      </c>
      <c r="Q146" s="60">
        <v>32996</v>
      </c>
      <c r="R146" s="63" t="s">
        <v>102</v>
      </c>
      <c r="S146" s="95" t="s">
        <v>295</v>
      </c>
      <c r="T146" s="59">
        <v>3006778618</v>
      </c>
      <c r="U146" s="64" t="s">
        <v>536</v>
      </c>
      <c r="V146" s="62" t="str">
        <f>IF(P146=CURSOS!$D$3,"DIPLOMADO EN ATENCION PRE-HOSPITALARIA",IF(P146=CURSOS!$D$4,"ACOMPAÑAMIENTO Y MANEJO DEL DUELO",IF(P146=CURSOS!$D$5,"ATENCION A VICTIMAS DE ATAQUE CON AGENTES QUIMICOS ",IF(P146=CURSOS!$D$6,"PRIMEROS AUXILIOS ",IF(P146=CURSOS!$D$7,"DIPLOMADO DE UNIDAD DE CUIDADOS INTENSIVOS (UCI)",IF(P146=CURSOS!$D$8,"MODELO DE ATENCION PARA EVENTOS EMERGENTES EN SALUD MENTAL (CODIGO VERDE)",IF(P146=CURSOS!$D$9,"HUMANIZACION EN EL SERVICIO DE LA SALUD Y BUENAS PRACTICAS EN PACIENTE ",IF(P146=CURSOS!$D$10,"CLINICA DE HERIDAS ",IF(P146=CURSOS!$D$11,"TOMA DE CITOLOGIA CERVICO VAGINAL ",IF(P146=CURSOS!$D$12,"SOPORTE CARDIOVASCULAR AVANZADO (ACLS) ",IF(P146=CURSOS!$D$13,"CAMILLERO ",IF(P146=CURSOS!$D$14,"TOMA DE MUESTRAS Y LABORATORIO ",IF(P146=CURSOS!$D$15,"SOPORTE VITAL BASICO (BLS)",IF(P146=CURSOS!$D$16,"ATENCION A VICTIMAS DE VIOLENCIA SEXUAL ",IF(P146=CURSOS!$D$17,"PROGRAMADO AMPLIADO DE INMUNIZACION (PAI - COVID 19)",IF(P146=CURSOS!$D$18,"ATENCION INTEGRAL EN ENFERMEDADES PREVALENTES EN PRIMERA INFANCIA (AIEPI)",IF(P146=CURSOS!$D$19,"ADMINISTRACION DE MEDICAMENTOS, INYECTOLOGIA  Y CANALIZACION ",IF(P146=CURSOS!$D$20,"OPERADOR DE VEHICULOS DE EMERGENCIA (OVE)",IF(P146=CURSOS!$D$21,"INSTITUCIONES AMIGAS DE LA MUJER Y LA INFANCIA (IAMI)",IF(P146=CURSOS!$D$22,"CUIDADO DEL DONANTE DE ORGANOS",IF(P146=CURSOS!$D$23,"ATENCION A VICTIMAS POR VIOLENCIA DE GENERO",IF(P146=CURSOS!$D$24,"IGUALDAD DE GENERO EN LA SALUD",IF(P146=CURSOS!$D$25,"BRIGADA DE EMERGENCIA",IF(P146=CURSOS!$D$26,"MANEJO DEL DOLOR Y CUIDADOS PALIATIVOS",IF(P146=CURSOS!$D$27,"TOMA DE MUESTRAS Y LABORATORIO POCT",IF(P146=CURSOS!$D$28,"IMPLANTE SUBDERMICO DE DISPOSITIVO INTRAUTERINO",IF(P146=CURSOS!$D$29,"SALUD MENTAL",IF(P146=CURSOS!$D$30,"PRIMEROS AUXILIOS PSICOLOGICOS",IF(P146=CURSOS!$D$31,"ATENCION A VICTIMAS POR CONFLICTO ARMADO",IF(P146=CURSOS!$D$32,"MANIPULACION DE ALIMENTOS Y BPM",IF(P146=CURSOS!$D$33,"ATENCION A PERSONAS CON DISCAPACIDAD",IF(P146=CURSOS!$D$34,"CUIDADO INTEGRAL DEL PACIENTE ADULTO",IF(P146=CURSOS!$D$35,"MANEJO DEFENSIVO",IF(P146=CURSOS!$D$36,"SOPORTE CARDIOVASCULAR AVANZADO NEONATAL",IF(P146=CURSOS!$D$37,"SEGURIDAD DEL PACIENTE",IF(P146=CURSOS!$D$38,"MANEJO DE RESIDUOS HOSPITALARIOS",IF(P146=CURSOS!$D$39,"ATENCION DE PACIENTE POR CONSUMO SUSTANCIAS PSICOACTIVAS Y ADICCIONES")))))))))))))))))))))))))))))))))))))</f>
        <v>ATENCION INTEGRAL EN ENFERMEDADES PREVALENTES EN PRIMERA INFANCIA (AIEPI)</v>
      </c>
      <c r="W146" s="62" t="str">
        <f t="shared" si="9"/>
        <v>Sory Sthephanie Castro Gonzalez</v>
      </c>
      <c r="X146" s="62" t="str">
        <f t="shared" si="10"/>
        <v>Sory Sthephanie Castro Gonzalez</v>
      </c>
      <c r="Y146" s="62" t="str">
        <f t="shared" si="11"/>
        <v>Sory Sthephanie Castro Gonzalez-1085282460-AIEPI</v>
      </c>
    </row>
    <row r="147" spans="1:25" s="57" customFormat="1" x14ac:dyDescent="0.2">
      <c r="A147" s="58">
        <v>146</v>
      </c>
      <c r="B147" s="70">
        <v>1085282460</v>
      </c>
      <c r="C147" s="59" t="s">
        <v>280</v>
      </c>
      <c r="D147" s="59" t="s">
        <v>533</v>
      </c>
      <c r="E147" s="59" t="s">
        <v>534</v>
      </c>
      <c r="F147" s="59" t="s">
        <v>535</v>
      </c>
      <c r="G147" s="59">
        <v>26</v>
      </c>
      <c r="H147" s="59" t="s">
        <v>200</v>
      </c>
      <c r="I147" s="60" t="s">
        <v>115</v>
      </c>
      <c r="J147" s="60" t="s">
        <v>123</v>
      </c>
      <c r="K147" s="61">
        <v>45804</v>
      </c>
      <c r="L147" s="66">
        <v>32000</v>
      </c>
      <c r="M147" s="59" t="s">
        <v>214</v>
      </c>
      <c r="N147" s="59" t="s">
        <v>138</v>
      </c>
      <c r="O147" s="59" t="s">
        <v>116</v>
      </c>
      <c r="P147" s="59" t="s">
        <v>48</v>
      </c>
      <c r="Q147" s="60">
        <v>32996</v>
      </c>
      <c r="R147" s="63" t="s">
        <v>102</v>
      </c>
      <c r="S147" s="95" t="s">
        <v>295</v>
      </c>
      <c r="T147" s="59">
        <v>3006778618</v>
      </c>
      <c r="U147" s="64" t="s">
        <v>536</v>
      </c>
      <c r="V147" s="62" t="str">
        <f>IF(P147=CURSOS!$D$3,"DIPLOMADO EN ATENCION PRE-HOSPITALARIA",IF(P147=CURSOS!$D$4,"ACOMPAÑAMIENTO Y MANEJO DEL DUELO",IF(P147=CURSOS!$D$5,"ATENCION A VICTIMAS DE ATAQUE CON AGENTES QUIMICOS ",IF(P147=CURSOS!$D$6,"PRIMEROS AUXILIOS ",IF(P147=CURSOS!$D$7,"DIPLOMADO DE UNIDAD DE CUIDADOS INTENSIVOS (UCI)",IF(P147=CURSOS!$D$8,"MODELO DE ATENCION PARA EVENTOS EMERGENTES EN SALUD MENTAL (CODIGO VERDE)",IF(P147=CURSOS!$D$9,"HUMANIZACION EN EL SERVICIO DE LA SALUD Y BUENAS PRACTICAS EN PACIENTE ",IF(P147=CURSOS!$D$10,"CLINICA DE HERIDAS ",IF(P147=CURSOS!$D$11,"TOMA DE CITOLOGIA CERVICO VAGINAL ",IF(P147=CURSOS!$D$12,"SOPORTE CARDIOVASCULAR AVANZADO (ACLS) ",IF(P147=CURSOS!$D$13,"CAMILLERO ",IF(P147=CURSOS!$D$14,"TOMA DE MUESTRAS Y LABORATORIO ",IF(P147=CURSOS!$D$15,"SOPORTE VITAL BASICO (BLS)",IF(P147=CURSOS!$D$16,"ATENCION A VICTIMAS DE VIOLENCIA SEXUAL ",IF(P147=CURSOS!$D$17,"PROGRAMADO AMPLIADO DE INMUNIZACION (PAI - COVID 19)",IF(P147=CURSOS!$D$18,"ATENCION INTEGRAL EN ENFERMEDADES PREVALENTES EN PRIMERA INFANCIA (AIEPI)",IF(P147=CURSOS!$D$19,"ADMINISTRACION DE MEDICAMENTOS, INYECTOLOGIA  Y CANALIZACION ",IF(P147=CURSOS!$D$20,"OPERADOR DE VEHICULOS DE EMERGENCIA (OVE)",IF(P147=CURSOS!$D$21,"INSTITUCIONES AMIGAS DE LA MUJER Y LA INFANCIA (IAMI)",IF(P147=CURSOS!$D$22,"CUIDADO DEL DONANTE DE ORGANOS",IF(P147=CURSOS!$D$23,"ATENCION A VICTIMAS POR VIOLENCIA DE GENERO",IF(P147=CURSOS!$D$24,"IGUALDAD DE GENERO EN LA SALUD",IF(P147=CURSOS!$D$25,"BRIGADA DE EMERGENCIA",IF(P147=CURSOS!$D$26,"MANEJO DEL DOLOR Y CUIDADOS PALIATIVOS",IF(P147=CURSOS!$D$27,"TOMA DE MUESTRAS Y LABORATORIO POCT",IF(P147=CURSOS!$D$28,"IMPLANTE SUBDERMICO DE DISPOSITIVO INTRAUTERINO",IF(P147=CURSOS!$D$29,"SALUD MENTAL",IF(P147=CURSOS!$D$30,"PRIMEROS AUXILIOS PSICOLOGICOS",IF(P147=CURSOS!$D$31,"ATENCION A VICTIMAS POR CONFLICTO ARMADO",IF(P147=CURSOS!$D$32,"MANIPULACION DE ALIMENTOS Y BPM",IF(P147=CURSOS!$D$33,"ATENCION A PERSONAS CON DISCAPACIDAD",IF(P147=CURSOS!$D$34,"CUIDADO INTEGRAL DEL PACIENTE ADULTO",IF(P147=CURSOS!$D$35,"MANEJO DEFENSIVO",IF(P147=CURSOS!$D$36,"SOPORTE CARDIOVASCULAR AVANZADO NEONATAL",IF(P147=CURSOS!$D$37,"SEGURIDAD DEL PACIENTE",IF(P147=CURSOS!$D$38,"MANEJO DE RESIDUOS HOSPITALARIOS",IF(P147=CURSOS!$D$39,"ATENCION DE PACIENTE POR CONSUMO SUSTANCIAS PSICOACTIVAS Y ADICCIONES")))))))))))))))))))))))))))))))))))))</f>
        <v>INSTITUCIONES AMIGAS DE LA MUJER Y LA INFANCIA (IAMI)</v>
      </c>
      <c r="W147" s="62" t="str">
        <f t="shared" si="9"/>
        <v>Sory Sthephanie Castro Gonzalez</v>
      </c>
      <c r="X147" s="62" t="str">
        <f t="shared" si="10"/>
        <v>Sory Sthephanie Castro Gonzalez</v>
      </c>
      <c r="Y147" s="62" t="str">
        <f t="shared" si="11"/>
        <v>Sory Sthephanie Castro Gonzalez-1085282460-IAMI</v>
      </c>
    </row>
    <row r="148" spans="1:25" s="57" customFormat="1" x14ac:dyDescent="0.2">
      <c r="A148" s="58">
        <v>147</v>
      </c>
      <c r="B148" s="59">
        <v>1085252538</v>
      </c>
      <c r="C148" s="59" t="s">
        <v>175</v>
      </c>
      <c r="D148" s="59" t="s">
        <v>537</v>
      </c>
      <c r="E148" s="59" t="s">
        <v>189</v>
      </c>
      <c r="F148" s="59"/>
      <c r="G148" s="59">
        <v>27</v>
      </c>
      <c r="H148" s="59" t="s">
        <v>200</v>
      </c>
      <c r="I148" s="60" t="s">
        <v>115</v>
      </c>
      <c r="J148" s="60" t="s">
        <v>123</v>
      </c>
      <c r="K148" s="61">
        <v>45803</v>
      </c>
      <c r="L148" s="66">
        <v>32000</v>
      </c>
      <c r="M148" s="59" t="s">
        <v>103</v>
      </c>
      <c r="N148" s="59" t="s">
        <v>138</v>
      </c>
      <c r="O148" s="59" t="s">
        <v>116</v>
      </c>
      <c r="P148" s="59" t="s">
        <v>48</v>
      </c>
      <c r="Q148" s="60">
        <v>31675</v>
      </c>
      <c r="R148" s="59" t="s">
        <v>102</v>
      </c>
      <c r="S148" s="59" t="s">
        <v>282</v>
      </c>
      <c r="T148" s="86">
        <v>3003052653</v>
      </c>
      <c r="U148" s="59" t="s">
        <v>538</v>
      </c>
      <c r="V148" s="62" t="str">
        <f>IF(P148=CURSOS!$D$3,"DIPLOMADO EN ATENCION PRE-HOSPITALARIA",IF(P148=CURSOS!$D$4,"ACOMPAÑAMIENTO Y MANEJO DEL DUELO",IF(P148=CURSOS!$D$5,"ATENCION A VICTIMAS DE ATAQUE CON AGENTES QUIMICOS ",IF(P148=CURSOS!$D$6,"PRIMEROS AUXILIOS ",IF(P148=CURSOS!$D$7,"DIPLOMADO DE UNIDAD DE CUIDADOS INTENSIVOS (UCI)",IF(P148=CURSOS!$D$8,"MODELO DE ATENCION PARA EVENTOS EMERGENTES EN SALUD MENTAL (CODIGO VERDE)",IF(P148=CURSOS!$D$9,"HUMANIZACION EN EL SERVICIO DE LA SALUD Y BUENAS PRACTICAS EN PACIENTE ",IF(P148=CURSOS!$D$10,"CLINICA DE HERIDAS ",IF(P148=CURSOS!$D$11,"TOMA DE CITOLOGIA CERVICO VAGINAL ",IF(P148=CURSOS!$D$12,"SOPORTE CARDIOVASCULAR AVANZADO (ACLS) ",IF(P148=CURSOS!$D$13,"CAMILLERO ",IF(P148=CURSOS!$D$14,"TOMA DE MUESTRAS Y LABORATORIO ",IF(P148=CURSOS!$D$15,"SOPORTE VITAL BASICO (BLS)",IF(P148=CURSOS!$D$16,"ATENCION A VICTIMAS DE VIOLENCIA SEXUAL ",IF(P148=CURSOS!$D$17,"PROGRAMADO AMPLIADO DE INMUNIZACION (PAI - COVID 19)",IF(P148=CURSOS!$D$18,"ATENCION INTEGRAL EN ENFERMEDADES PREVALENTES EN PRIMERA INFANCIA (AIEPI)",IF(P148=CURSOS!$D$19,"ADMINISTRACION DE MEDICAMENTOS, INYECTOLOGIA  Y CANALIZACION ",IF(P148=CURSOS!$D$20,"OPERADOR DE VEHICULOS DE EMERGENCIA (OVE)",IF(P148=CURSOS!$D$21,"INSTITUCIONES AMIGAS DE LA MUJER Y LA INFANCIA (IAMI)",IF(P148=CURSOS!$D$22,"CUIDADO DEL DONANTE DE ORGANOS",IF(P148=CURSOS!$D$23,"ATENCION A VICTIMAS POR VIOLENCIA DE GENERO",IF(P148=CURSOS!$D$24,"IGUALDAD DE GENERO EN LA SALUD",IF(P148=CURSOS!$D$25,"BRIGADA DE EMERGENCIA",IF(P148=CURSOS!$D$26,"MANEJO DEL DOLOR Y CUIDADOS PALIATIVOS",IF(P148=CURSOS!$D$27,"TOMA DE MUESTRAS Y LABORATORIO POCT",IF(P148=CURSOS!$D$28,"IMPLANTE SUBDERMICO DE DISPOSITIVO INTRAUTERINO",IF(P148=CURSOS!$D$29,"SALUD MENTAL",IF(P148=CURSOS!$D$30,"PRIMEROS AUXILIOS PSICOLOGICOS",IF(P148=CURSOS!$D$31,"ATENCION A VICTIMAS POR CONFLICTO ARMADO",IF(P148=CURSOS!$D$32,"MANIPULACION DE ALIMENTOS Y BPM",IF(P148=CURSOS!$D$33,"ATENCION A PERSONAS CON DISCAPACIDAD",IF(P148=CURSOS!$D$34,"CUIDADO INTEGRAL DEL PACIENTE ADULTO",IF(P148=CURSOS!$D$35,"MANEJO DEFENSIVO",IF(P148=CURSOS!$D$36,"SOPORTE CARDIOVASCULAR AVANZADO NEONATAL",IF(P148=CURSOS!$D$37,"SEGURIDAD DEL PACIENTE",IF(P148=CURSOS!$D$38,"MANEJO DE RESIDUOS HOSPITALARIOS",IF(P148=CURSOS!$D$39,"ATENCION DE PACIENTE POR CONSUMO SUSTANCIAS PSICOACTIVAS Y ADICCIONES")))))))))))))))))))))))))))))))))))))</f>
        <v>INSTITUCIONES AMIGAS DE LA MUJER Y LA INFANCIA (IAMI)</v>
      </c>
      <c r="W148" s="62" t="str">
        <f t="shared" si="9"/>
        <v>Juliana  Rodriguez Caicedo</v>
      </c>
      <c r="X148" s="62" t="str">
        <f t="shared" si="10"/>
        <v>Juliana  Rodriguez Caicedo</v>
      </c>
      <c r="Y148" s="62" t="str">
        <f t="shared" si="11"/>
        <v>Juliana  Rodriguez Caicedo-1085252538-IAMI</v>
      </c>
    </row>
    <row r="149" spans="1:25" s="57" customFormat="1" x14ac:dyDescent="0.2">
      <c r="A149" s="58">
        <v>148</v>
      </c>
      <c r="B149" s="59">
        <v>1085291360</v>
      </c>
      <c r="C149" s="59" t="s">
        <v>540</v>
      </c>
      <c r="D149" s="59" t="s">
        <v>541</v>
      </c>
      <c r="E149" s="59" t="s">
        <v>542</v>
      </c>
      <c r="F149" s="59" t="s">
        <v>165</v>
      </c>
      <c r="G149" s="59">
        <v>27</v>
      </c>
      <c r="H149" s="59" t="s">
        <v>200</v>
      </c>
      <c r="I149" s="60" t="s">
        <v>115</v>
      </c>
      <c r="J149" s="60" t="s">
        <v>115</v>
      </c>
      <c r="K149" s="61">
        <v>45804</v>
      </c>
      <c r="L149" s="66">
        <v>32000</v>
      </c>
      <c r="M149" s="59" t="s">
        <v>103</v>
      </c>
      <c r="N149" s="59" t="s">
        <v>138</v>
      </c>
      <c r="O149" s="59" t="s">
        <v>116</v>
      </c>
      <c r="P149" s="59" t="s">
        <v>23</v>
      </c>
      <c r="Q149" s="60"/>
      <c r="R149" s="59" t="s">
        <v>124</v>
      </c>
      <c r="S149" s="95" t="s">
        <v>215</v>
      </c>
      <c r="T149" s="59">
        <v>3147012903</v>
      </c>
      <c r="U149" s="59" t="s">
        <v>539</v>
      </c>
      <c r="V149" s="62" t="str">
        <f>IF(P149=CURSOS!$D$3,"DIPLOMADO EN ATENCION PRE-HOSPITALARIA",IF(P149=CURSOS!$D$4,"ACOMPAÑAMIENTO Y MANEJO DEL DUELO",IF(P149=CURSOS!$D$5,"ATENCION A VICTIMAS DE ATAQUE CON AGENTES QUIMICOS ",IF(P149=CURSOS!$D$6,"PRIMEROS AUXILIOS ",IF(P149=CURSOS!$D$7,"DIPLOMADO DE UNIDAD DE CUIDADOS INTENSIVOS (UCI)",IF(P149=CURSOS!$D$8,"MODELO DE ATENCION PARA EVENTOS EMERGENTES EN SALUD MENTAL (CODIGO VERDE)",IF(P149=CURSOS!$D$9,"HUMANIZACION EN EL SERVICIO DE LA SALUD Y BUENAS PRACTICAS EN PACIENTE ",IF(P149=CURSOS!$D$10,"CLINICA DE HERIDAS ",IF(P149=CURSOS!$D$11,"TOMA DE CITOLOGIA CERVICO VAGINAL ",IF(P149=CURSOS!$D$12,"SOPORTE CARDIOVASCULAR AVANZADO (ACLS) ",IF(P149=CURSOS!$D$13,"CAMILLERO ",IF(P149=CURSOS!$D$14,"TOMA DE MUESTRAS Y LABORATORIO ",IF(P149=CURSOS!$D$15,"SOPORTE VITAL BASICO (BLS)",IF(P149=CURSOS!$D$16,"ATENCION A VICTIMAS DE VIOLENCIA SEXUAL ",IF(P149=CURSOS!$D$17,"PROGRAMADO AMPLIADO DE INMUNIZACION (PAI - COVID 19)",IF(P149=CURSOS!$D$18,"ATENCION INTEGRAL EN ENFERMEDADES PREVALENTES EN PRIMERA INFANCIA (AIEPI)",IF(P149=CURSOS!$D$19,"ADMINISTRACION DE MEDICAMENTOS, INYECTOLOGIA  Y CANALIZACION ",IF(P149=CURSOS!$D$20,"OPERADOR DE VEHICULOS DE EMERGENCIA (OVE)",IF(P149=CURSOS!$D$21,"INSTITUCIONES AMIGAS DE LA MUJER Y LA INFANCIA (IAMI)",IF(P149=CURSOS!$D$22,"CUIDADO DEL DONANTE DE ORGANOS",IF(P149=CURSOS!$D$23,"ATENCION A VICTIMAS POR VIOLENCIA DE GENERO",IF(P149=CURSOS!$D$24,"IGUALDAD DE GENERO EN LA SALUD",IF(P149=CURSOS!$D$25,"BRIGADA DE EMERGENCIA",IF(P149=CURSOS!$D$26,"MANEJO DEL DOLOR Y CUIDADOS PALIATIVOS",IF(P149=CURSOS!$D$27,"TOMA DE MUESTRAS Y LABORATORIO POCT",IF(P149=CURSOS!$D$28,"IMPLANTE SUBDERMICO DE DISPOSITIVO INTRAUTERINO",IF(P149=CURSOS!$D$29,"SALUD MENTAL",IF(P149=CURSOS!$D$30,"PRIMEROS AUXILIOS PSICOLOGICOS",IF(P149=CURSOS!$D$31,"ATENCION A VICTIMAS POR CONFLICTO ARMADO",IF(P149=CURSOS!$D$32,"MANIPULACION DE ALIMENTOS Y BPM",IF(P149=CURSOS!$D$33,"ATENCION A PERSONAS CON DISCAPACIDAD",IF(P149=CURSOS!$D$34,"CUIDADO INTEGRAL DEL PACIENTE ADULTO",IF(P149=CURSOS!$D$35,"MANEJO DEFENSIVO",IF(P149=CURSOS!$D$36,"SOPORTE CARDIOVASCULAR AVANZADO NEONATAL",IF(P149=CURSOS!$D$37,"SEGURIDAD DEL PACIENTE",IF(P149=CURSOS!$D$38,"MANEJO DE RESIDUOS HOSPITALARIOS",IF(P149=CURSOS!$D$39,"ATENCION DE PACIENTE POR CONSUMO SUSTANCIAS PSICOACTIVAS Y ADICCIONES")))))))))))))))))))))))))))))))))))))</f>
        <v>ACOMPAÑAMIENTO Y MANEJO DEL DUELO</v>
      </c>
      <c r="W149" s="62" t="str">
        <f t="shared" si="9"/>
        <v>Javier Alexander Enriquez Cabrera</v>
      </c>
      <c r="X149" s="62" t="str">
        <f t="shared" si="10"/>
        <v>Javier Alexander Enriquez Cabrera</v>
      </c>
      <c r="Y149" s="62" t="str">
        <f t="shared" si="11"/>
        <v>Javier Alexander Enriquez Cabrera-1085291360-DUELO</v>
      </c>
    </row>
    <row r="150" spans="1:25" s="57" customFormat="1" x14ac:dyDescent="0.2">
      <c r="A150" s="58">
        <v>149</v>
      </c>
      <c r="B150" s="59">
        <v>1086361131</v>
      </c>
      <c r="C150" s="63" t="s">
        <v>543</v>
      </c>
      <c r="D150" s="63" t="s">
        <v>269</v>
      </c>
      <c r="E150" s="63" t="s">
        <v>544</v>
      </c>
      <c r="F150" s="63" t="s">
        <v>545</v>
      </c>
      <c r="G150" s="63">
        <v>27</v>
      </c>
      <c r="H150" s="59" t="s">
        <v>200</v>
      </c>
      <c r="I150" s="60" t="s">
        <v>115</v>
      </c>
      <c r="J150" s="60" t="s">
        <v>485</v>
      </c>
      <c r="K150" s="61">
        <v>45804</v>
      </c>
      <c r="L150" s="66">
        <v>32000</v>
      </c>
      <c r="M150" s="59" t="s">
        <v>103</v>
      </c>
      <c r="N150" s="59" t="s">
        <v>138</v>
      </c>
      <c r="O150" s="59" t="s">
        <v>116</v>
      </c>
      <c r="P150" s="59" t="s">
        <v>44</v>
      </c>
      <c r="Q150" s="60">
        <v>33438</v>
      </c>
      <c r="R150" s="59" t="s">
        <v>124</v>
      </c>
      <c r="S150" s="95" t="s">
        <v>295</v>
      </c>
      <c r="T150" s="64">
        <v>3045774565</v>
      </c>
      <c r="U150" s="59" t="s">
        <v>546</v>
      </c>
      <c r="V150" s="62" t="str">
        <f>IF(P150=CURSOS!$D$3,"DIPLOMADO EN ATENCION PRE-HOSPITALARIA",IF(P150=CURSOS!$D$4,"ACOMPAÑAMIENTO Y MANEJO DEL DUELO",IF(P150=CURSOS!$D$5,"ATENCION A VICTIMAS DE ATAQUE CON AGENTES QUIMICOS ",IF(P150=CURSOS!$D$6,"PRIMEROS AUXILIOS ",IF(P150=CURSOS!$D$7,"DIPLOMADO DE UNIDAD DE CUIDADOS INTENSIVOS (UCI)",IF(P150=CURSOS!$D$8,"MODELO DE ATENCION PARA EVENTOS EMERGENTES EN SALUD MENTAL (CODIGO VERDE)",IF(P150=CURSOS!$D$9,"HUMANIZACION EN EL SERVICIO DE LA SALUD Y BUENAS PRACTICAS EN PACIENTE ",IF(P150=CURSOS!$D$10,"CLINICA DE HERIDAS ",IF(P150=CURSOS!$D$11,"TOMA DE CITOLOGIA CERVICO VAGINAL ",IF(P150=CURSOS!$D$12,"SOPORTE CARDIOVASCULAR AVANZADO (ACLS) ",IF(P150=CURSOS!$D$13,"CAMILLERO ",IF(P150=CURSOS!$D$14,"TOMA DE MUESTRAS Y LABORATORIO ",IF(P150=CURSOS!$D$15,"SOPORTE VITAL BASICO (BLS)",IF(P150=CURSOS!$D$16,"ATENCION A VICTIMAS DE VIOLENCIA SEXUAL ",IF(P150=CURSOS!$D$17,"PROGRAMADO AMPLIADO DE INMUNIZACION (PAI - COVID 19)",IF(P150=CURSOS!$D$18,"ATENCION INTEGRAL EN ENFERMEDADES PREVALENTES EN PRIMERA INFANCIA (AIEPI)",IF(P150=CURSOS!$D$19,"ADMINISTRACION DE MEDICAMENTOS, INYECTOLOGIA  Y CANALIZACION ",IF(P150=CURSOS!$D$20,"OPERADOR DE VEHICULOS DE EMERGENCIA (OVE)",IF(P150=CURSOS!$D$21,"INSTITUCIONES AMIGAS DE LA MUJER Y LA INFANCIA (IAMI)",IF(P150=CURSOS!$D$22,"CUIDADO DEL DONANTE DE ORGANOS",IF(P150=CURSOS!$D$23,"ATENCION A VICTIMAS POR VIOLENCIA DE GENERO",IF(P150=CURSOS!$D$24,"IGUALDAD DE GENERO EN LA SALUD",IF(P150=CURSOS!$D$25,"BRIGADA DE EMERGENCIA",IF(P150=CURSOS!$D$26,"MANEJO DEL DOLOR Y CUIDADOS PALIATIVOS",IF(P150=CURSOS!$D$27,"TOMA DE MUESTRAS Y LABORATORIO POCT",IF(P150=CURSOS!$D$28,"IMPLANTE SUBDERMICO DE DISPOSITIVO INTRAUTERINO",IF(P150=CURSOS!$D$29,"SALUD MENTAL",IF(P150=CURSOS!$D$30,"PRIMEROS AUXILIOS PSICOLOGICOS",IF(P150=CURSOS!$D$31,"ATENCION A VICTIMAS POR CONFLICTO ARMADO",IF(P150=CURSOS!$D$32,"MANIPULACION DE ALIMENTOS Y BPM",IF(P150=CURSOS!$D$33,"ATENCION A PERSONAS CON DISCAPACIDAD",IF(P150=CURSOS!$D$34,"CUIDADO INTEGRAL DEL PACIENTE ADULTO",IF(P150=CURSOS!$D$35,"MANEJO DEFENSIVO",IF(P150=CURSOS!$D$36,"SOPORTE CARDIOVASCULAR AVANZADO NEONATAL",IF(P150=CURSOS!$D$37,"SEGURIDAD DEL PACIENTE",IF(P150=CURSOS!$D$38,"MANEJO DE RESIDUOS HOSPITALARIOS",IF(P150=CURSOS!$D$39,"ATENCION DE PACIENTE POR CONSUMO SUSTANCIAS PSICOACTIVAS Y ADICCIONES")))))))))))))))))))))))))))))))))))))</f>
        <v>ATENCION INTEGRAL EN ENFERMEDADES PREVALENTES EN PRIMERA INFANCIA (AIEPI)</v>
      </c>
      <c r="W150" s="62" t="str">
        <f t="shared" si="9"/>
        <v>Jefferson Paolo Sosopanta Daza</v>
      </c>
      <c r="X150" s="62" t="str">
        <f t="shared" si="10"/>
        <v>Jefferson Paolo Sosopanta Daza</v>
      </c>
      <c r="Y150" s="62" t="str">
        <f t="shared" si="11"/>
        <v>Jefferson Paolo Sosopanta Daza-1086361131-AIEPI</v>
      </c>
    </row>
    <row r="151" spans="1:25" s="57" customFormat="1" x14ac:dyDescent="0.2">
      <c r="A151" s="58">
        <v>150</v>
      </c>
      <c r="B151" s="59">
        <v>1086361131</v>
      </c>
      <c r="C151" s="63" t="s">
        <v>543</v>
      </c>
      <c r="D151" s="63" t="s">
        <v>269</v>
      </c>
      <c r="E151" s="63" t="s">
        <v>544</v>
      </c>
      <c r="F151" s="63" t="s">
        <v>545</v>
      </c>
      <c r="G151" s="63">
        <v>26</v>
      </c>
      <c r="H151" s="59" t="s">
        <v>200</v>
      </c>
      <c r="I151" s="60" t="s">
        <v>115</v>
      </c>
      <c r="J151" s="60" t="s">
        <v>485</v>
      </c>
      <c r="K151" s="61">
        <v>45804</v>
      </c>
      <c r="L151" s="66">
        <v>32000</v>
      </c>
      <c r="M151" s="59" t="s">
        <v>103</v>
      </c>
      <c r="N151" s="59" t="s">
        <v>138</v>
      </c>
      <c r="O151" s="59" t="s">
        <v>116</v>
      </c>
      <c r="P151" s="59" t="s">
        <v>48</v>
      </c>
      <c r="Q151" s="60">
        <v>33438</v>
      </c>
      <c r="R151" s="59" t="s">
        <v>124</v>
      </c>
      <c r="S151" s="95" t="s">
        <v>295</v>
      </c>
      <c r="T151" s="64">
        <v>3045774565</v>
      </c>
      <c r="U151" s="59" t="s">
        <v>546</v>
      </c>
      <c r="V151" s="62" t="str">
        <f>IF(P151=CURSOS!$D$3,"DIPLOMADO EN ATENCION PRE-HOSPITALARIA",IF(P151=CURSOS!$D$4,"ACOMPAÑAMIENTO Y MANEJO DEL DUELO",IF(P151=CURSOS!$D$5,"ATENCION A VICTIMAS DE ATAQUE CON AGENTES QUIMICOS ",IF(P151=CURSOS!$D$6,"PRIMEROS AUXILIOS ",IF(P151=CURSOS!$D$7,"DIPLOMADO DE UNIDAD DE CUIDADOS INTENSIVOS (UCI)",IF(P151=CURSOS!$D$8,"MODELO DE ATENCION PARA EVENTOS EMERGENTES EN SALUD MENTAL (CODIGO VERDE)",IF(P151=CURSOS!$D$9,"HUMANIZACION EN EL SERVICIO DE LA SALUD Y BUENAS PRACTICAS EN PACIENTE ",IF(P151=CURSOS!$D$10,"CLINICA DE HERIDAS ",IF(P151=CURSOS!$D$11,"TOMA DE CITOLOGIA CERVICO VAGINAL ",IF(P151=CURSOS!$D$12,"SOPORTE CARDIOVASCULAR AVANZADO (ACLS) ",IF(P151=CURSOS!$D$13,"CAMILLERO ",IF(P151=CURSOS!$D$14,"TOMA DE MUESTRAS Y LABORATORIO ",IF(P151=CURSOS!$D$15,"SOPORTE VITAL BASICO (BLS)",IF(P151=CURSOS!$D$16,"ATENCION A VICTIMAS DE VIOLENCIA SEXUAL ",IF(P151=CURSOS!$D$17,"PROGRAMADO AMPLIADO DE INMUNIZACION (PAI - COVID 19)",IF(P151=CURSOS!$D$18,"ATENCION INTEGRAL EN ENFERMEDADES PREVALENTES EN PRIMERA INFANCIA (AIEPI)",IF(P151=CURSOS!$D$19,"ADMINISTRACION DE MEDICAMENTOS, INYECTOLOGIA  Y CANALIZACION ",IF(P151=CURSOS!$D$20,"OPERADOR DE VEHICULOS DE EMERGENCIA (OVE)",IF(P151=CURSOS!$D$21,"INSTITUCIONES AMIGAS DE LA MUJER Y LA INFANCIA (IAMI)",IF(P151=CURSOS!$D$22,"CUIDADO DEL DONANTE DE ORGANOS",IF(P151=CURSOS!$D$23,"ATENCION A VICTIMAS POR VIOLENCIA DE GENERO",IF(P151=CURSOS!$D$24,"IGUALDAD DE GENERO EN LA SALUD",IF(P151=CURSOS!$D$25,"BRIGADA DE EMERGENCIA",IF(P151=CURSOS!$D$26,"MANEJO DEL DOLOR Y CUIDADOS PALIATIVOS",IF(P151=CURSOS!$D$27,"TOMA DE MUESTRAS Y LABORATORIO POCT",IF(P151=CURSOS!$D$28,"IMPLANTE SUBDERMICO DE DISPOSITIVO INTRAUTERINO",IF(P151=CURSOS!$D$29,"SALUD MENTAL",IF(P151=CURSOS!$D$30,"PRIMEROS AUXILIOS PSICOLOGICOS",IF(P151=CURSOS!$D$31,"ATENCION A VICTIMAS POR CONFLICTO ARMADO",IF(P151=CURSOS!$D$32,"MANIPULACION DE ALIMENTOS Y BPM",IF(P151=CURSOS!$D$33,"ATENCION A PERSONAS CON DISCAPACIDAD",IF(P151=CURSOS!$D$34,"CUIDADO INTEGRAL DEL PACIENTE ADULTO",IF(P151=CURSOS!$D$35,"MANEJO DEFENSIVO",IF(P151=CURSOS!$D$36,"SOPORTE CARDIOVASCULAR AVANZADO NEONATAL",IF(P151=CURSOS!$D$37,"SEGURIDAD DEL PACIENTE",IF(P151=CURSOS!$D$38,"MANEJO DE RESIDUOS HOSPITALARIOS",IF(P151=CURSOS!$D$39,"ATENCION DE PACIENTE POR CONSUMO SUSTANCIAS PSICOACTIVAS Y ADICCIONES")))))))))))))))))))))))))))))))))))))</f>
        <v>INSTITUCIONES AMIGAS DE LA MUJER Y LA INFANCIA (IAMI)</v>
      </c>
      <c r="W151" s="62" t="str">
        <f t="shared" si="9"/>
        <v>Jefferson Paolo Sosopanta Daza</v>
      </c>
      <c r="X151" s="62" t="str">
        <f t="shared" si="10"/>
        <v>Jefferson Paolo Sosopanta Daza</v>
      </c>
      <c r="Y151" s="62" t="str">
        <f t="shared" si="11"/>
        <v>Jefferson Paolo Sosopanta Daza-1086361131-IAMI</v>
      </c>
    </row>
    <row r="152" spans="1:25" s="57" customFormat="1" x14ac:dyDescent="0.2">
      <c r="A152" s="58">
        <v>151</v>
      </c>
      <c r="B152" s="59">
        <v>36934650</v>
      </c>
      <c r="C152" s="59" t="s">
        <v>547</v>
      </c>
      <c r="D152" s="59" t="s">
        <v>548</v>
      </c>
      <c r="E152" s="59" t="s">
        <v>549</v>
      </c>
      <c r="F152" s="59" t="s">
        <v>550</v>
      </c>
      <c r="G152" s="59">
        <v>28</v>
      </c>
      <c r="H152" s="59" t="s">
        <v>200</v>
      </c>
      <c r="I152" s="60" t="s">
        <v>115</v>
      </c>
      <c r="J152" s="60" t="s">
        <v>240</v>
      </c>
      <c r="K152" s="61">
        <v>45807</v>
      </c>
      <c r="L152" s="66">
        <v>32000</v>
      </c>
      <c r="M152" s="59" t="s">
        <v>103</v>
      </c>
      <c r="N152" s="59" t="s">
        <v>138</v>
      </c>
      <c r="O152" s="59" t="s">
        <v>99</v>
      </c>
      <c r="P152" s="59" t="s">
        <v>59</v>
      </c>
      <c r="Q152" s="60">
        <v>27938</v>
      </c>
      <c r="R152" s="59" t="s">
        <v>102</v>
      </c>
      <c r="S152" s="59" t="s">
        <v>201</v>
      </c>
      <c r="T152" s="59">
        <v>3188017415</v>
      </c>
      <c r="U152" s="59" t="s">
        <v>551</v>
      </c>
      <c r="V152" s="62" t="str">
        <f>IF(P152=CURSOS!$D$3,"DIPLOMADO EN ATENCION PRE-HOSPITALARIA",IF(P152=CURSOS!$D$4,"ACOMPAÑAMIENTO Y MANEJO DEL DUELO",IF(P152=CURSOS!$D$5,"ATENCION A VICTIMAS DE ATAQUE CON AGENTES QUIMICOS ",IF(P152=CURSOS!$D$6,"PRIMEROS AUXILIOS ",IF(P152=CURSOS!$D$7,"DIPLOMADO DE UNIDAD DE CUIDADOS INTENSIVOS (UCI)",IF(P152=CURSOS!$D$8,"MODELO DE ATENCION PARA EVENTOS EMERGENTES EN SALUD MENTAL (CODIGO VERDE)",IF(P152=CURSOS!$D$9,"HUMANIZACION EN EL SERVICIO DE LA SALUD Y BUENAS PRACTICAS EN PACIENTE ",IF(P152=CURSOS!$D$10,"CLINICA DE HERIDAS ",IF(P152=CURSOS!$D$11,"TOMA DE CITOLOGIA CERVICO VAGINAL ",IF(P152=CURSOS!$D$12,"SOPORTE CARDIOVASCULAR AVANZADO (ACLS) ",IF(P152=CURSOS!$D$13,"CAMILLERO ",IF(P152=CURSOS!$D$14,"TOMA DE MUESTRAS Y LABORATORIO ",IF(P152=CURSOS!$D$15,"SOPORTE VITAL BASICO (BLS)",IF(P152=CURSOS!$D$16,"ATENCION A VICTIMAS DE VIOLENCIA SEXUAL ",IF(P152=CURSOS!$D$17,"PROGRAMADO AMPLIADO DE INMUNIZACION (PAI - COVID 19)",IF(P152=CURSOS!$D$18,"ATENCION INTEGRAL EN ENFERMEDADES PREVALENTES EN PRIMERA INFANCIA (AIEPI)",IF(P152=CURSOS!$D$19,"ADMINISTRACION DE MEDICAMENTOS, INYECTOLOGIA  Y CANALIZACION ",IF(P152=CURSOS!$D$20,"OPERADOR DE VEHICULOS DE EMERGENCIA (OVE)",IF(P152=CURSOS!$D$21,"INSTITUCIONES AMIGAS DE LA MUJER Y LA INFANCIA (IAMI)",IF(P152=CURSOS!$D$22,"CUIDADO DEL DONANTE DE ORGANOS",IF(P152=CURSOS!$D$23,"ATENCION A VICTIMAS POR VIOLENCIA DE GENERO",IF(P152=CURSOS!$D$24,"IGUALDAD DE GENERO EN LA SALUD",IF(P152=CURSOS!$D$25,"BRIGADA DE EMERGENCIA",IF(P152=CURSOS!$D$26,"MANEJO DEL DOLOR Y CUIDADOS PALIATIVOS",IF(P152=CURSOS!$D$27,"TOMA DE MUESTRAS Y LABORATORIO POCT",IF(P152=CURSOS!$D$28,"IMPLANTE SUBDERMICO DE DISPOSITIVO INTRAUTERINO",IF(P152=CURSOS!$D$29,"SALUD MENTAL",IF(P152=CURSOS!$D$30,"PRIMEROS AUXILIOS PSICOLOGICOS",IF(P152=CURSOS!$D$31,"ATENCION A VICTIMAS POR CONFLICTO ARMADO",IF(P152=CURSOS!$D$32,"MANIPULACION DE ALIMENTOS Y BPM",IF(P152=CURSOS!$D$33,"ATENCION A PERSONAS CON DISCAPACIDAD",IF(P152=CURSOS!$D$34,"CUIDADO INTEGRAL DEL PACIENTE ADULTO",IF(P152=CURSOS!$D$35,"MANEJO DEFENSIVO",IF(P152=CURSOS!$D$36,"SOPORTE CARDIOVASCULAR AVANZADO NEONATAL",IF(P152=CURSOS!$D$37,"SEGURIDAD DEL PACIENTE",IF(P152=CURSOS!$D$38,"MANEJO DE RESIDUOS HOSPITALARIOS",IF(P152=CURSOS!$D$39,"ATENCION DE PACIENTE POR CONSUMO SUSTANCIAS PSICOACTIVAS Y ADICCIONES")))))))))))))))))))))))))))))))))))))</f>
        <v>TOMA DE MUESTRAS Y LABORATORIO POCT</v>
      </c>
      <c r="W152" s="62" t="str">
        <f t="shared" si="9"/>
        <v>Miryan Milagro Marcillo Oquendo</v>
      </c>
      <c r="X152" s="62" t="str">
        <f t="shared" si="10"/>
        <v>Miryan Milagro Marcillo Oquendo</v>
      </c>
      <c r="Y152" s="62" t="str">
        <f t="shared" si="11"/>
        <v>Miryan Milagro Marcillo Oquendo-36934650-POCT</v>
      </c>
    </row>
    <row r="153" spans="1:25" s="57" customFormat="1" x14ac:dyDescent="0.2">
      <c r="A153" s="58">
        <v>152</v>
      </c>
      <c r="B153" s="59">
        <v>1088738809</v>
      </c>
      <c r="C153" s="59" t="s">
        <v>340</v>
      </c>
      <c r="D153" s="59" t="s">
        <v>339</v>
      </c>
      <c r="E153" s="59" t="s">
        <v>552</v>
      </c>
      <c r="F153" s="59" t="s">
        <v>553</v>
      </c>
      <c r="G153" s="59">
        <v>29</v>
      </c>
      <c r="H153" s="59" t="s">
        <v>200</v>
      </c>
      <c r="I153" s="60" t="s">
        <v>115</v>
      </c>
      <c r="J153" s="60"/>
      <c r="K153" s="61">
        <v>45806</v>
      </c>
      <c r="L153" s="66">
        <v>32000</v>
      </c>
      <c r="M153" s="59" t="s">
        <v>103</v>
      </c>
      <c r="N153" s="59" t="s">
        <v>138</v>
      </c>
      <c r="O153" s="59" t="s">
        <v>116</v>
      </c>
      <c r="P153" s="59" t="s">
        <v>19</v>
      </c>
      <c r="Q153" s="60">
        <v>36265</v>
      </c>
      <c r="R153" s="63" t="s">
        <v>102</v>
      </c>
      <c r="S153" s="59" t="s">
        <v>201</v>
      </c>
      <c r="T153" s="59">
        <v>3104218049</v>
      </c>
      <c r="U153" s="59" t="s">
        <v>554</v>
      </c>
      <c r="V153" s="62" t="str">
        <f>IF(P153=CURSOS!$D$3,"DIPLOMADO EN ATENCION PRE-HOSPITALARIA",IF(P153=CURSOS!$D$4,"ACOMPAÑAMIENTO Y MANEJO DEL DUELO",IF(P153=CURSOS!$D$5,"ATENCION A VICTIMAS DE ATAQUE CON AGENTES QUIMICOS ",IF(P153=CURSOS!$D$6,"PRIMEROS AUXILIOS ",IF(P153=CURSOS!$D$7,"DIPLOMADO DE UNIDAD DE CUIDADOS INTENSIVOS (UCI)",IF(P153=CURSOS!$D$8,"MODELO DE ATENCION PARA EVENTOS EMERGENTES EN SALUD MENTAL (CODIGO VERDE)",IF(P153=CURSOS!$D$9,"HUMANIZACION EN EL SERVICIO DE LA SALUD Y BUENAS PRACTICAS EN PACIENTE ",IF(P153=CURSOS!$D$10,"CLINICA DE HERIDAS ",IF(P153=CURSOS!$D$11,"TOMA DE CITOLOGIA CERVICO VAGINAL ",IF(P153=CURSOS!$D$12,"SOPORTE CARDIOVASCULAR AVANZADO (ACLS) ",IF(P153=CURSOS!$D$13,"CAMILLERO ",IF(P153=CURSOS!$D$14,"TOMA DE MUESTRAS Y LABORATORIO ",IF(P153=CURSOS!$D$15,"SOPORTE VITAL BASICO (BLS)",IF(P153=CURSOS!$D$16,"ATENCION A VICTIMAS DE VIOLENCIA SEXUAL ",IF(P153=CURSOS!$D$17,"PROGRAMADO AMPLIADO DE INMUNIZACION (PAI - COVID 19)",IF(P153=CURSOS!$D$18,"ATENCION INTEGRAL EN ENFERMEDADES PREVALENTES EN PRIMERA INFANCIA (AIEPI)",IF(P153=CURSOS!$D$19,"ADMINISTRACION DE MEDICAMENTOS, INYECTOLOGIA  Y CANALIZACION ",IF(P153=CURSOS!$D$20,"OPERADOR DE VEHICULOS DE EMERGENCIA (OVE)",IF(P153=CURSOS!$D$21,"INSTITUCIONES AMIGAS DE LA MUJER Y LA INFANCIA (IAMI)",IF(P153=CURSOS!$D$22,"CUIDADO DEL DONANTE DE ORGANOS",IF(P153=CURSOS!$D$23,"ATENCION A VICTIMAS POR VIOLENCIA DE GENERO",IF(P153=CURSOS!$D$24,"IGUALDAD DE GENERO EN LA SALUD",IF(P153=CURSOS!$D$25,"BRIGADA DE EMERGENCIA",IF(P153=CURSOS!$D$26,"MANEJO DEL DOLOR Y CUIDADOS PALIATIVOS",IF(P153=CURSOS!$D$27,"TOMA DE MUESTRAS Y LABORATORIO POCT",IF(P153=CURSOS!$D$28,"IMPLANTE SUBDERMICO DE DISPOSITIVO INTRAUTERINO",IF(P153=CURSOS!$D$29,"SALUD MENTAL",IF(P153=CURSOS!$D$30,"PRIMEROS AUXILIOS PSICOLOGICOS",IF(P153=CURSOS!$D$31,"ATENCION A VICTIMAS POR CONFLICTO ARMADO",IF(P153=CURSOS!$D$32,"MANIPULACION DE ALIMENTOS Y BPM",IF(P153=CURSOS!$D$33,"ATENCION A PERSONAS CON DISCAPACIDAD",IF(P153=CURSOS!$D$34,"CUIDADO INTEGRAL DEL PACIENTE ADULTO",IF(P153=CURSOS!$D$35,"MANEJO DEFENSIVO",IF(P153=CURSOS!$D$36,"SOPORTE CARDIOVASCULAR AVANZADO NEONATAL",IF(P153=CURSOS!$D$37,"SEGURIDAD DEL PACIENTE",IF(P153=CURSOS!$D$38,"MANEJO DE RESIDUOS HOSPITALARIOS",IF(P153=CURSOS!$D$39,"ATENCION DE PACIENTE POR CONSUMO SUSTANCIAS PSICOACTIVAS Y ADICCIONES")))))))))))))))))))))))))))))))))))))</f>
        <v>SOPORTE VITAL BASICO (BLS)</v>
      </c>
      <c r="W153" s="62" t="str">
        <f t="shared" si="9"/>
        <v>Danna Xiomara Rosero Melo</v>
      </c>
      <c r="X153" s="62" t="str">
        <f t="shared" si="10"/>
        <v>Danna Xiomara Rosero Melo</v>
      </c>
      <c r="Y153" s="62" t="str">
        <f t="shared" si="11"/>
        <v>Danna Xiomara Rosero Melo-1088738809-BLS</v>
      </c>
    </row>
    <row r="154" spans="1:25" s="57" customFormat="1" x14ac:dyDescent="0.2">
      <c r="A154" s="58">
        <v>153</v>
      </c>
      <c r="B154" s="59">
        <v>1033707269</v>
      </c>
      <c r="C154" s="59" t="s">
        <v>555</v>
      </c>
      <c r="D154" s="59" t="s">
        <v>339</v>
      </c>
      <c r="E154" s="59" t="s">
        <v>271</v>
      </c>
      <c r="F154" s="59" t="s">
        <v>556</v>
      </c>
      <c r="G154" s="59">
        <v>27</v>
      </c>
      <c r="H154" s="59" t="s">
        <v>200</v>
      </c>
      <c r="I154" s="60" t="s">
        <v>115</v>
      </c>
      <c r="J154" s="60" t="s">
        <v>240</v>
      </c>
      <c r="K154" s="61">
        <v>45807</v>
      </c>
      <c r="L154" s="96">
        <v>80000</v>
      </c>
      <c r="M154" s="59" t="s">
        <v>103</v>
      </c>
      <c r="N154" s="59" t="s">
        <v>138</v>
      </c>
      <c r="O154" s="59" t="s">
        <v>99</v>
      </c>
      <c r="P154" s="59" t="s">
        <v>37</v>
      </c>
      <c r="Q154" s="60"/>
      <c r="R154" s="59" t="s">
        <v>102</v>
      </c>
      <c r="S154" s="64" t="s">
        <v>129</v>
      </c>
      <c r="T154" s="64">
        <v>3125589379</v>
      </c>
      <c r="U154" s="59" t="s">
        <v>557</v>
      </c>
      <c r="V154" s="62" t="str">
        <f>IF(P154=CURSOS!$D$3,"DIPLOMADO EN ATENCION PRE-HOSPITALARIA",IF(P154=CURSOS!$D$4,"ACOMPAÑAMIENTO Y MANEJO DEL DUELO",IF(P154=CURSOS!$D$5,"ATENCION A VICTIMAS DE ATAQUE CON AGENTES QUIMICOS ",IF(P154=CURSOS!$D$6,"PRIMEROS AUXILIOS ",IF(P154=CURSOS!$D$7,"DIPLOMADO DE UNIDAD DE CUIDADOS INTENSIVOS (UCI)",IF(P154=CURSOS!$D$8,"MODELO DE ATENCION PARA EVENTOS EMERGENTES EN SALUD MENTAL (CODIGO VERDE)",IF(P154=CURSOS!$D$9,"HUMANIZACION EN EL SERVICIO DE LA SALUD Y BUENAS PRACTICAS EN PACIENTE ",IF(P154=CURSOS!$D$10,"CLINICA DE HERIDAS ",IF(P154=CURSOS!$D$11,"TOMA DE CITOLOGIA CERVICO VAGINAL ",IF(P154=CURSOS!$D$12,"SOPORTE CARDIOVASCULAR AVANZADO (ACLS) ",IF(P154=CURSOS!$D$13,"CAMILLERO ",IF(P154=CURSOS!$D$14,"TOMA DE MUESTRAS Y LABORATORIO ",IF(P154=CURSOS!$D$15,"SOPORTE VITAL BASICO (BLS)",IF(P154=CURSOS!$D$16,"ATENCION A VICTIMAS DE VIOLENCIA SEXUAL ",IF(P154=CURSOS!$D$17,"PROGRAMADO AMPLIADO DE INMUNIZACION (PAI - COVID 19)",IF(P154=CURSOS!$D$18,"ATENCION INTEGRAL EN ENFERMEDADES PREVALENTES EN PRIMERA INFANCIA (AIEPI)",IF(P154=CURSOS!$D$19,"ADMINISTRACION DE MEDICAMENTOS, INYECTOLOGIA  Y CANALIZACION ",IF(P154=CURSOS!$D$20,"OPERADOR DE VEHICULOS DE EMERGENCIA (OVE)",IF(P154=CURSOS!$D$21,"INSTITUCIONES AMIGAS DE LA MUJER Y LA INFANCIA (IAMI)",IF(P154=CURSOS!$D$22,"CUIDADO DEL DONANTE DE ORGANOS",IF(P154=CURSOS!$D$23,"ATENCION A VICTIMAS POR VIOLENCIA DE GENERO",IF(P154=CURSOS!$D$24,"IGUALDAD DE GENERO EN LA SALUD",IF(P154=CURSOS!$D$25,"BRIGADA DE EMERGENCIA",IF(P154=CURSOS!$D$26,"MANEJO DEL DOLOR Y CUIDADOS PALIATIVOS",IF(P154=CURSOS!$D$27,"TOMA DE MUESTRAS Y LABORATORIO POCT",IF(P154=CURSOS!$D$28,"IMPLANTE SUBDERMICO DE DISPOSITIVO INTRAUTERINO",IF(P154=CURSOS!$D$29,"SALUD MENTAL",IF(P154=CURSOS!$D$30,"PRIMEROS AUXILIOS PSICOLOGICOS",IF(P154=CURSOS!$D$31,"ATENCION A VICTIMAS POR CONFLICTO ARMADO",IF(P154=CURSOS!$D$32,"MANIPULACION DE ALIMENTOS Y BPM",IF(P154=CURSOS!$D$33,"ATENCION A PERSONAS CON DISCAPACIDAD",IF(P154=CURSOS!$D$34,"CUIDADO INTEGRAL DEL PACIENTE ADULTO",IF(P154=CURSOS!$D$35,"MANEJO DEFENSIVO",IF(P154=CURSOS!$D$36,"SOPORTE CARDIOVASCULAR AVANZADO NEONATAL",IF(P154=CURSOS!$D$37,"SEGURIDAD DEL PACIENTE",IF(P154=CURSOS!$D$38,"MANEJO DE RESIDUOS HOSPITALARIOS",IF(P154=CURSOS!$D$39,"ATENCION DE PACIENTE POR CONSUMO SUSTANCIAS PSICOACTIVAS Y ADICCIONES")))))))))))))))))))))))))))))))))))))</f>
        <v xml:space="preserve">SOPORTE CARDIOVASCULAR AVANZADO (ACLS) </v>
      </c>
      <c r="W154" s="62" t="str">
        <f t="shared" si="9"/>
        <v>Leidy Bibiana Chazatar Melo</v>
      </c>
      <c r="X154" s="62" t="str">
        <f t="shared" si="10"/>
        <v>Leidy Bibiana Chazatar Melo</v>
      </c>
      <c r="Y154" s="62" t="str">
        <f t="shared" si="11"/>
        <v>Leidy Bibiana Chazatar Melo-1033707269-ACLS</v>
      </c>
    </row>
    <row r="155" spans="1:25" s="57" customFormat="1" x14ac:dyDescent="0.2">
      <c r="A155" s="58">
        <v>154</v>
      </c>
      <c r="B155" s="59">
        <v>1033707269</v>
      </c>
      <c r="C155" s="59" t="s">
        <v>555</v>
      </c>
      <c r="D155" s="59" t="s">
        <v>339</v>
      </c>
      <c r="E155" s="59" t="s">
        <v>271</v>
      </c>
      <c r="F155" s="59" t="s">
        <v>556</v>
      </c>
      <c r="G155" s="59">
        <v>26</v>
      </c>
      <c r="H155" s="59" t="s">
        <v>200</v>
      </c>
      <c r="I155" s="60" t="s">
        <v>115</v>
      </c>
      <c r="J155" s="60" t="s">
        <v>240</v>
      </c>
      <c r="K155" s="61">
        <v>45807</v>
      </c>
      <c r="L155" s="96">
        <v>32000</v>
      </c>
      <c r="M155" s="59" t="s">
        <v>103</v>
      </c>
      <c r="N155" s="59" t="s">
        <v>138</v>
      </c>
      <c r="O155" s="59" t="s">
        <v>99</v>
      </c>
      <c r="P155" s="59" t="s">
        <v>42</v>
      </c>
      <c r="Q155" s="60"/>
      <c r="R155" s="59" t="s">
        <v>102</v>
      </c>
      <c r="S155" s="64" t="s">
        <v>129</v>
      </c>
      <c r="T155" s="64">
        <v>3125589379</v>
      </c>
      <c r="U155" s="59" t="s">
        <v>557</v>
      </c>
      <c r="V155" s="62" t="str">
        <f>IF(P155=CURSOS!$D$3,"DIPLOMADO EN ATENCION PRE-HOSPITALARIA",IF(P155=CURSOS!$D$4,"ACOMPAÑAMIENTO Y MANEJO DEL DUELO",IF(P155=CURSOS!$D$5,"ATENCION A VICTIMAS DE ATAQUE CON AGENTES QUIMICOS ",IF(P155=CURSOS!$D$6,"PRIMEROS AUXILIOS ",IF(P155=CURSOS!$D$7,"DIPLOMADO DE UNIDAD DE CUIDADOS INTENSIVOS (UCI)",IF(P155=CURSOS!$D$8,"MODELO DE ATENCION PARA EVENTOS EMERGENTES EN SALUD MENTAL (CODIGO VERDE)",IF(P155=CURSOS!$D$9,"HUMANIZACION EN EL SERVICIO DE LA SALUD Y BUENAS PRACTICAS EN PACIENTE ",IF(P155=CURSOS!$D$10,"CLINICA DE HERIDAS ",IF(P155=CURSOS!$D$11,"TOMA DE CITOLOGIA CERVICO VAGINAL ",IF(P155=CURSOS!$D$12,"SOPORTE CARDIOVASCULAR AVANZADO (ACLS) ",IF(P155=CURSOS!$D$13,"CAMILLERO ",IF(P155=CURSOS!$D$14,"TOMA DE MUESTRAS Y LABORATORIO ",IF(P155=CURSOS!$D$15,"SOPORTE VITAL BASICO (BLS)",IF(P155=CURSOS!$D$16,"ATENCION A VICTIMAS DE VIOLENCIA SEXUAL ",IF(P155=CURSOS!$D$17,"PROGRAMADO AMPLIADO DE INMUNIZACION (PAI - COVID 19)",IF(P155=CURSOS!$D$18,"ATENCION INTEGRAL EN ENFERMEDADES PREVALENTES EN PRIMERA INFANCIA (AIEPI)",IF(P155=CURSOS!$D$19,"ADMINISTRACION DE MEDICAMENTOS, INYECTOLOGIA  Y CANALIZACION ",IF(P155=CURSOS!$D$20,"OPERADOR DE VEHICULOS DE EMERGENCIA (OVE)",IF(P155=CURSOS!$D$21,"INSTITUCIONES AMIGAS DE LA MUJER Y LA INFANCIA (IAMI)",IF(P155=CURSOS!$D$22,"CUIDADO DEL DONANTE DE ORGANOS",IF(P155=CURSOS!$D$23,"ATENCION A VICTIMAS POR VIOLENCIA DE GENERO",IF(P155=CURSOS!$D$24,"IGUALDAD DE GENERO EN LA SALUD",IF(P155=CURSOS!$D$25,"BRIGADA DE EMERGENCIA",IF(P155=CURSOS!$D$26,"MANEJO DEL DOLOR Y CUIDADOS PALIATIVOS",IF(P155=CURSOS!$D$27,"TOMA DE MUESTRAS Y LABORATORIO POCT",IF(P155=CURSOS!$D$28,"IMPLANTE SUBDERMICO DE DISPOSITIVO INTRAUTERINO",IF(P155=CURSOS!$D$29,"SALUD MENTAL",IF(P155=CURSOS!$D$30,"PRIMEROS AUXILIOS PSICOLOGICOS",IF(P155=CURSOS!$D$31,"ATENCION A VICTIMAS POR CONFLICTO ARMADO",IF(P155=CURSOS!$D$32,"MANIPULACION DE ALIMENTOS Y BPM",IF(P155=CURSOS!$D$33,"ATENCION A PERSONAS CON DISCAPACIDAD",IF(P155=CURSOS!$D$34,"CUIDADO INTEGRAL DEL PACIENTE ADULTO",IF(P155=CURSOS!$D$35,"MANEJO DEFENSIVO",IF(P155=CURSOS!$D$36,"SOPORTE CARDIOVASCULAR AVANZADO NEONATAL",IF(P155=CURSOS!$D$37,"SEGURIDAD DEL PACIENTE",IF(P155=CURSOS!$D$38,"MANEJO DE RESIDUOS HOSPITALARIOS",IF(P155=CURSOS!$D$39,"ATENCION DE PACIENTE POR CONSUMO SUSTANCIAS PSICOACTIVAS Y ADICCIONES")))))))))))))))))))))))))))))))))))))</f>
        <v xml:space="preserve">ATENCION A VICTIMAS DE VIOLENCIA SEXUAL </v>
      </c>
      <c r="W155" s="62" t="str">
        <f t="shared" si="9"/>
        <v>Leidy Bibiana Chazatar Melo</v>
      </c>
      <c r="X155" s="62" t="str">
        <f t="shared" si="10"/>
        <v>Leidy Bibiana Chazatar Melo</v>
      </c>
      <c r="Y155" s="62" t="str">
        <f t="shared" si="11"/>
        <v>Leidy Bibiana Chazatar Melo-1033707269-VIOLENCIA SEXUAL</v>
      </c>
    </row>
    <row r="156" spans="1:25" s="57" customFormat="1" x14ac:dyDescent="0.2">
      <c r="A156" s="58">
        <v>155</v>
      </c>
      <c r="B156" s="59">
        <v>1033707269</v>
      </c>
      <c r="C156" s="59" t="s">
        <v>555</v>
      </c>
      <c r="D156" s="59" t="s">
        <v>339</v>
      </c>
      <c r="E156" s="59" t="s">
        <v>271</v>
      </c>
      <c r="F156" s="59" t="s">
        <v>556</v>
      </c>
      <c r="G156" s="59">
        <v>28</v>
      </c>
      <c r="H156" s="59" t="s">
        <v>200</v>
      </c>
      <c r="I156" s="60" t="s">
        <v>115</v>
      </c>
      <c r="J156" s="60" t="s">
        <v>240</v>
      </c>
      <c r="K156" s="61">
        <v>45807</v>
      </c>
      <c r="L156" s="96">
        <v>32000</v>
      </c>
      <c r="M156" s="59" t="s">
        <v>103</v>
      </c>
      <c r="N156" s="59" t="s">
        <v>138</v>
      </c>
      <c r="O156" s="59" t="s">
        <v>99</v>
      </c>
      <c r="P156" s="59" t="s">
        <v>25</v>
      </c>
      <c r="Q156" s="60"/>
      <c r="R156" s="59" t="s">
        <v>102</v>
      </c>
      <c r="S156" s="64" t="s">
        <v>129</v>
      </c>
      <c r="T156" s="64">
        <v>3125589379</v>
      </c>
      <c r="U156" s="59" t="s">
        <v>557</v>
      </c>
      <c r="V156" s="62" t="str">
        <f>IF(P156=CURSOS!$D$3,"DIPLOMADO EN ATENCION PRE-HOSPITALARIA",IF(P156=CURSOS!$D$4,"ACOMPAÑAMIENTO Y MANEJO DEL DUELO",IF(P156=CURSOS!$D$5,"ATENCION A VICTIMAS DE ATAQUE CON AGENTES QUIMICOS ",IF(P156=CURSOS!$D$6,"PRIMEROS AUXILIOS ",IF(P156=CURSOS!$D$7,"DIPLOMADO DE UNIDAD DE CUIDADOS INTENSIVOS (UCI)",IF(P156=CURSOS!$D$8,"MODELO DE ATENCION PARA EVENTOS EMERGENTES EN SALUD MENTAL (CODIGO VERDE)",IF(P156=CURSOS!$D$9,"HUMANIZACION EN EL SERVICIO DE LA SALUD Y BUENAS PRACTICAS EN PACIENTE ",IF(P156=CURSOS!$D$10,"CLINICA DE HERIDAS ",IF(P156=CURSOS!$D$11,"TOMA DE CITOLOGIA CERVICO VAGINAL ",IF(P156=CURSOS!$D$12,"SOPORTE CARDIOVASCULAR AVANZADO (ACLS) ",IF(P156=CURSOS!$D$13,"CAMILLERO ",IF(P156=CURSOS!$D$14,"TOMA DE MUESTRAS Y LABORATORIO ",IF(P156=CURSOS!$D$15,"SOPORTE VITAL BASICO (BLS)",IF(P156=CURSOS!$D$16,"ATENCION A VICTIMAS DE VIOLENCIA SEXUAL ",IF(P156=CURSOS!$D$17,"PROGRAMADO AMPLIADO DE INMUNIZACION (PAI - COVID 19)",IF(P156=CURSOS!$D$18,"ATENCION INTEGRAL EN ENFERMEDADES PREVALENTES EN PRIMERA INFANCIA (AIEPI)",IF(P156=CURSOS!$D$19,"ADMINISTRACION DE MEDICAMENTOS, INYECTOLOGIA  Y CANALIZACION ",IF(P156=CURSOS!$D$20,"OPERADOR DE VEHICULOS DE EMERGENCIA (OVE)",IF(P156=CURSOS!$D$21,"INSTITUCIONES AMIGAS DE LA MUJER Y LA INFANCIA (IAMI)",IF(P156=CURSOS!$D$22,"CUIDADO DEL DONANTE DE ORGANOS",IF(P156=CURSOS!$D$23,"ATENCION A VICTIMAS POR VIOLENCIA DE GENERO",IF(P156=CURSOS!$D$24,"IGUALDAD DE GENERO EN LA SALUD",IF(P156=CURSOS!$D$25,"BRIGADA DE EMERGENCIA",IF(P156=CURSOS!$D$26,"MANEJO DEL DOLOR Y CUIDADOS PALIATIVOS",IF(P156=CURSOS!$D$27,"TOMA DE MUESTRAS Y LABORATORIO POCT",IF(P156=CURSOS!$D$28,"IMPLANTE SUBDERMICO DE DISPOSITIVO INTRAUTERINO",IF(P156=CURSOS!$D$29,"SALUD MENTAL",IF(P156=CURSOS!$D$30,"PRIMEROS AUXILIOS PSICOLOGICOS",IF(P156=CURSOS!$D$31,"ATENCION A VICTIMAS POR CONFLICTO ARMADO",IF(P156=CURSOS!$D$32,"MANIPULACION DE ALIMENTOS Y BPM",IF(P156=CURSOS!$D$33,"ATENCION A PERSONAS CON DISCAPACIDAD",IF(P156=CURSOS!$D$34,"CUIDADO INTEGRAL DEL PACIENTE ADULTO",IF(P156=CURSOS!$D$35,"MANEJO DEFENSIVO",IF(P156=CURSOS!$D$36,"SOPORTE CARDIOVASCULAR AVANZADO NEONATAL",IF(P156=CURSOS!$D$37,"SEGURIDAD DEL PACIENTE",IF(P156=CURSOS!$D$38,"MANEJO DE RESIDUOS HOSPITALARIOS",IF(P156=CURSOS!$D$39,"ATENCION DE PACIENTE POR CONSUMO SUSTANCIAS PSICOACTIVAS Y ADICCIONES")))))))))))))))))))))))))))))))))))))</f>
        <v xml:space="preserve">ATENCION A VICTIMAS DE ATAQUE CON AGENTES QUIMICOS </v>
      </c>
      <c r="W156" s="62" t="str">
        <f t="shared" si="9"/>
        <v>Leidy Bibiana Chazatar Melo</v>
      </c>
      <c r="X156" s="62" t="str">
        <f t="shared" si="10"/>
        <v>Leidy Bibiana Chazatar Melo</v>
      </c>
      <c r="Y156" s="62" t="str">
        <f t="shared" si="11"/>
        <v>Leidy Bibiana Chazatar Melo-1033707269-QUIMICOS</v>
      </c>
    </row>
    <row r="157" spans="1:25" s="57" customFormat="1" x14ac:dyDescent="0.2">
      <c r="A157" s="58">
        <v>156</v>
      </c>
      <c r="B157" s="59">
        <v>1033707269</v>
      </c>
      <c r="C157" s="59" t="s">
        <v>555</v>
      </c>
      <c r="D157" s="59" t="s">
        <v>339</v>
      </c>
      <c r="E157" s="59" t="s">
        <v>271</v>
      </c>
      <c r="F157" s="59" t="s">
        <v>556</v>
      </c>
      <c r="G157" s="59">
        <v>29</v>
      </c>
      <c r="H157" s="59" t="s">
        <v>200</v>
      </c>
      <c r="I157" s="60" t="s">
        <v>115</v>
      </c>
      <c r="J157" s="60" t="s">
        <v>240</v>
      </c>
      <c r="K157" s="61">
        <v>45807</v>
      </c>
      <c r="L157" s="96">
        <v>32000</v>
      </c>
      <c r="M157" s="59" t="s">
        <v>103</v>
      </c>
      <c r="N157" s="59" t="s">
        <v>138</v>
      </c>
      <c r="O157" s="59" t="s">
        <v>99</v>
      </c>
      <c r="P157" s="59" t="s">
        <v>23</v>
      </c>
      <c r="Q157" s="60"/>
      <c r="R157" s="59" t="s">
        <v>102</v>
      </c>
      <c r="S157" s="64" t="s">
        <v>129</v>
      </c>
      <c r="T157" s="64">
        <v>3125589379</v>
      </c>
      <c r="U157" s="59" t="s">
        <v>557</v>
      </c>
      <c r="V157" s="62" t="str">
        <f>IF(P157=CURSOS!$D$3,"DIPLOMADO EN ATENCION PRE-HOSPITALARIA",IF(P157=CURSOS!$D$4,"ACOMPAÑAMIENTO Y MANEJO DEL DUELO",IF(P157=CURSOS!$D$5,"ATENCION A VICTIMAS DE ATAQUE CON AGENTES QUIMICOS ",IF(P157=CURSOS!$D$6,"PRIMEROS AUXILIOS ",IF(P157=CURSOS!$D$7,"DIPLOMADO DE UNIDAD DE CUIDADOS INTENSIVOS (UCI)",IF(P157=CURSOS!$D$8,"MODELO DE ATENCION PARA EVENTOS EMERGENTES EN SALUD MENTAL (CODIGO VERDE)",IF(P157=CURSOS!$D$9,"HUMANIZACION EN EL SERVICIO DE LA SALUD Y BUENAS PRACTICAS EN PACIENTE ",IF(P157=CURSOS!$D$10,"CLINICA DE HERIDAS ",IF(P157=CURSOS!$D$11,"TOMA DE CITOLOGIA CERVICO VAGINAL ",IF(P157=CURSOS!$D$12,"SOPORTE CARDIOVASCULAR AVANZADO (ACLS) ",IF(P157=CURSOS!$D$13,"CAMILLERO ",IF(P157=CURSOS!$D$14,"TOMA DE MUESTRAS Y LABORATORIO ",IF(P157=CURSOS!$D$15,"SOPORTE VITAL BASICO (BLS)",IF(P157=CURSOS!$D$16,"ATENCION A VICTIMAS DE VIOLENCIA SEXUAL ",IF(P157=CURSOS!$D$17,"PROGRAMADO AMPLIADO DE INMUNIZACION (PAI - COVID 19)",IF(P157=CURSOS!$D$18,"ATENCION INTEGRAL EN ENFERMEDADES PREVALENTES EN PRIMERA INFANCIA (AIEPI)",IF(P157=CURSOS!$D$19,"ADMINISTRACION DE MEDICAMENTOS, INYECTOLOGIA  Y CANALIZACION ",IF(P157=CURSOS!$D$20,"OPERADOR DE VEHICULOS DE EMERGENCIA (OVE)",IF(P157=CURSOS!$D$21,"INSTITUCIONES AMIGAS DE LA MUJER Y LA INFANCIA (IAMI)",IF(P157=CURSOS!$D$22,"CUIDADO DEL DONANTE DE ORGANOS",IF(P157=CURSOS!$D$23,"ATENCION A VICTIMAS POR VIOLENCIA DE GENERO",IF(P157=CURSOS!$D$24,"IGUALDAD DE GENERO EN LA SALUD",IF(P157=CURSOS!$D$25,"BRIGADA DE EMERGENCIA",IF(P157=CURSOS!$D$26,"MANEJO DEL DOLOR Y CUIDADOS PALIATIVOS",IF(P157=CURSOS!$D$27,"TOMA DE MUESTRAS Y LABORATORIO POCT",IF(P157=CURSOS!$D$28,"IMPLANTE SUBDERMICO DE DISPOSITIVO INTRAUTERINO",IF(P157=CURSOS!$D$29,"SALUD MENTAL",IF(P157=CURSOS!$D$30,"PRIMEROS AUXILIOS PSICOLOGICOS",IF(P157=CURSOS!$D$31,"ATENCION A VICTIMAS POR CONFLICTO ARMADO",IF(P157=CURSOS!$D$32,"MANIPULACION DE ALIMENTOS Y BPM",IF(P157=CURSOS!$D$33,"ATENCION A PERSONAS CON DISCAPACIDAD",IF(P157=CURSOS!$D$34,"CUIDADO INTEGRAL DEL PACIENTE ADULTO",IF(P157=CURSOS!$D$35,"MANEJO DEFENSIVO",IF(P157=CURSOS!$D$36,"SOPORTE CARDIOVASCULAR AVANZADO NEONATAL",IF(P157=CURSOS!$D$37,"SEGURIDAD DEL PACIENTE",IF(P157=CURSOS!$D$38,"MANEJO DE RESIDUOS HOSPITALARIOS",IF(P157=CURSOS!$D$39,"ATENCION DE PACIENTE POR CONSUMO SUSTANCIAS PSICOACTIVAS Y ADICCIONES")))))))))))))))))))))))))))))))))))))</f>
        <v>ACOMPAÑAMIENTO Y MANEJO DEL DUELO</v>
      </c>
      <c r="W157" s="62" t="str">
        <f t="shared" si="9"/>
        <v>Leidy Bibiana Chazatar Melo</v>
      </c>
      <c r="X157" s="62" t="str">
        <f t="shared" si="10"/>
        <v>Leidy Bibiana Chazatar Melo</v>
      </c>
      <c r="Y157" s="62" t="str">
        <f t="shared" si="11"/>
        <v>Leidy Bibiana Chazatar Melo-1033707269-DUELO</v>
      </c>
    </row>
    <row r="158" spans="1:25" s="57" customFormat="1" x14ac:dyDescent="0.2">
      <c r="A158" s="58">
        <v>157</v>
      </c>
      <c r="B158" s="59">
        <v>1033707269</v>
      </c>
      <c r="C158" s="59" t="s">
        <v>555</v>
      </c>
      <c r="D158" s="59" t="s">
        <v>339</v>
      </c>
      <c r="E158" s="59" t="s">
        <v>271</v>
      </c>
      <c r="F158" s="59" t="s">
        <v>556</v>
      </c>
      <c r="G158" s="59">
        <v>27</v>
      </c>
      <c r="H158" s="59" t="s">
        <v>200</v>
      </c>
      <c r="I158" s="60" t="s">
        <v>115</v>
      </c>
      <c r="J158" s="60" t="s">
        <v>240</v>
      </c>
      <c r="K158" s="61">
        <v>45807</v>
      </c>
      <c r="L158" s="96">
        <v>20000</v>
      </c>
      <c r="M158" s="59" t="s">
        <v>103</v>
      </c>
      <c r="N158" s="59" t="s">
        <v>138</v>
      </c>
      <c r="O158" s="59" t="s">
        <v>99</v>
      </c>
      <c r="P158" s="59" t="s">
        <v>19</v>
      </c>
      <c r="Q158" s="60"/>
      <c r="R158" s="59" t="s">
        <v>102</v>
      </c>
      <c r="S158" s="64" t="s">
        <v>129</v>
      </c>
      <c r="T158" s="64">
        <v>3125589379</v>
      </c>
      <c r="U158" s="59" t="s">
        <v>557</v>
      </c>
      <c r="V158" s="62" t="str">
        <f>IF(P158=CURSOS!$D$3,"DIPLOMADO EN ATENCION PRE-HOSPITALARIA",IF(P158=CURSOS!$D$4,"ACOMPAÑAMIENTO Y MANEJO DEL DUELO",IF(P158=CURSOS!$D$5,"ATENCION A VICTIMAS DE ATAQUE CON AGENTES QUIMICOS ",IF(P158=CURSOS!$D$6,"PRIMEROS AUXILIOS ",IF(P158=CURSOS!$D$7,"DIPLOMADO DE UNIDAD DE CUIDADOS INTENSIVOS (UCI)",IF(P158=CURSOS!$D$8,"MODELO DE ATENCION PARA EVENTOS EMERGENTES EN SALUD MENTAL (CODIGO VERDE)",IF(P158=CURSOS!$D$9,"HUMANIZACION EN EL SERVICIO DE LA SALUD Y BUENAS PRACTICAS EN PACIENTE ",IF(P158=CURSOS!$D$10,"CLINICA DE HERIDAS ",IF(P158=CURSOS!$D$11,"TOMA DE CITOLOGIA CERVICO VAGINAL ",IF(P158=CURSOS!$D$12,"SOPORTE CARDIOVASCULAR AVANZADO (ACLS) ",IF(P158=CURSOS!$D$13,"CAMILLERO ",IF(P158=CURSOS!$D$14,"TOMA DE MUESTRAS Y LABORATORIO ",IF(P158=CURSOS!$D$15,"SOPORTE VITAL BASICO (BLS)",IF(P158=CURSOS!$D$16,"ATENCION A VICTIMAS DE VIOLENCIA SEXUAL ",IF(P158=CURSOS!$D$17,"PROGRAMADO AMPLIADO DE INMUNIZACION (PAI - COVID 19)",IF(P158=CURSOS!$D$18,"ATENCION INTEGRAL EN ENFERMEDADES PREVALENTES EN PRIMERA INFANCIA (AIEPI)",IF(P158=CURSOS!$D$19,"ADMINISTRACION DE MEDICAMENTOS, INYECTOLOGIA  Y CANALIZACION ",IF(P158=CURSOS!$D$20,"OPERADOR DE VEHICULOS DE EMERGENCIA (OVE)",IF(P158=CURSOS!$D$21,"INSTITUCIONES AMIGAS DE LA MUJER Y LA INFANCIA (IAMI)",IF(P158=CURSOS!$D$22,"CUIDADO DEL DONANTE DE ORGANOS",IF(P158=CURSOS!$D$23,"ATENCION A VICTIMAS POR VIOLENCIA DE GENERO",IF(P158=CURSOS!$D$24,"IGUALDAD DE GENERO EN LA SALUD",IF(P158=CURSOS!$D$25,"BRIGADA DE EMERGENCIA",IF(P158=CURSOS!$D$26,"MANEJO DEL DOLOR Y CUIDADOS PALIATIVOS",IF(P158=CURSOS!$D$27,"TOMA DE MUESTRAS Y LABORATORIO POCT",IF(P158=CURSOS!$D$28,"IMPLANTE SUBDERMICO DE DISPOSITIVO INTRAUTERINO",IF(P158=CURSOS!$D$29,"SALUD MENTAL",IF(P158=CURSOS!$D$30,"PRIMEROS AUXILIOS PSICOLOGICOS",IF(P158=CURSOS!$D$31,"ATENCION A VICTIMAS POR CONFLICTO ARMADO",IF(P158=CURSOS!$D$32,"MANIPULACION DE ALIMENTOS Y BPM",IF(P158=CURSOS!$D$33,"ATENCION A PERSONAS CON DISCAPACIDAD",IF(P158=CURSOS!$D$34,"CUIDADO INTEGRAL DEL PACIENTE ADULTO",IF(P158=CURSOS!$D$35,"MANEJO DEFENSIVO",IF(P158=CURSOS!$D$36,"SOPORTE CARDIOVASCULAR AVANZADO NEONATAL",IF(P158=CURSOS!$D$37,"SEGURIDAD DEL PACIENTE",IF(P158=CURSOS!$D$38,"MANEJO DE RESIDUOS HOSPITALARIOS",IF(P158=CURSOS!$D$39,"ATENCION DE PACIENTE POR CONSUMO SUSTANCIAS PSICOACTIVAS Y ADICCIONES")))))))))))))))))))))))))))))))))))))</f>
        <v>SOPORTE VITAL BASICO (BLS)</v>
      </c>
      <c r="W158" s="62" t="str">
        <f t="shared" si="9"/>
        <v>Leidy Bibiana Chazatar Melo</v>
      </c>
      <c r="X158" s="62" t="str">
        <f t="shared" si="10"/>
        <v>Leidy Bibiana Chazatar Melo</v>
      </c>
      <c r="Y158" s="62" t="str">
        <f t="shared" si="11"/>
        <v>Leidy Bibiana Chazatar Melo-1033707269-BLS</v>
      </c>
    </row>
    <row r="159" spans="1:25" s="57" customFormat="1" x14ac:dyDescent="0.2">
      <c r="A159" s="58">
        <v>158</v>
      </c>
      <c r="B159" s="59">
        <v>1193272985</v>
      </c>
      <c r="C159" s="59" t="s">
        <v>561</v>
      </c>
      <c r="D159" s="59" t="s">
        <v>562</v>
      </c>
      <c r="E159" s="59" t="s">
        <v>563</v>
      </c>
      <c r="F159" s="59" t="s">
        <v>564</v>
      </c>
      <c r="G159" s="59">
        <v>30</v>
      </c>
      <c r="H159" s="59" t="s">
        <v>200</v>
      </c>
      <c r="I159" s="60" t="s">
        <v>115</v>
      </c>
      <c r="J159" s="60" t="s">
        <v>115</v>
      </c>
      <c r="K159" s="61">
        <v>45806</v>
      </c>
      <c r="L159" s="96">
        <v>95000</v>
      </c>
      <c r="M159" s="59" t="s">
        <v>103</v>
      </c>
      <c r="N159" s="59" t="s">
        <v>245</v>
      </c>
      <c r="O159" s="59" t="s">
        <v>116</v>
      </c>
      <c r="P159" s="59" t="s">
        <v>37</v>
      </c>
      <c r="Q159" s="60">
        <v>37099</v>
      </c>
      <c r="R159" s="59" t="s">
        <v>124</v>
      </c>
      <c r="S159" s="95" t="s">
        <v>215</v>
      </c>
      <c r="T159" s="59">
        <v>3127882397</v>
      </c>
      <c r="U159" s="59" t="s">
        <v>565</v>
      </c>
      <c r="V159" s="62" t="str">
        <f>IF(P159=CURSOS!$D$3,"DIPLOMADO EN ATENCION PRE-HOSPITALARIA",IF(P159=CURSOS!$D$4,"ACOMPAÑAMIENTO Y MANEJO DEL DUELO",IF(P159=CURSOS!$D$5,"ATENCION A VICTIMAS DE ATAQUE CON AGENTES QUIMICOS ",IF(P159=CURSOS!$D$6,"PRIMEROS AUXILIOS ",IF(P159=CURSOS!$D$7,"DIPLOMADO DE UNIDAD DE CUIDADOS INTENSIVOS (UCI)",IF(P159=CURSOS!$D$8,"MODELO DE ATENCION PARA EVENTOS EMERGENTES EN SALUD MENTAL (CODIGO VERDE)",IF(P159=CURSOS!$D$9,"HUMANIZACION EN EL SERVICIO DE LA SALUD Y BUENAS PRACTICAS EN PACIENTE ",IF(P159=CURSOS!$D$10,"CLINICA DE HERIDAS ",IF(P159=CURSOS!$D$11,"TOMA DE CITOLOGIA CERVICO VAGINAL ",IF(P159=CURSOS!$D$12,"SOPORTE CARDIOVASCULAR AVANZADO (ACLS) ",IF(P159=CURSOS!$D$13,"CAMILLERO ",IF(P159=CURSOS!$D$14,"TOMA DE MUESTRAS Y LABORATORIO ",IF(P159=CURSOS!$D$15,"SOPORTE VITAL BASICO (BLS)",IF(P159=CURSOS!$D$16,"ATENCION A VICTIMAS DE VIOLENCIA SEXUAL ",IF(P159=CURSOS!$D$17,"PROGRAMADO AMPLIADO DE INMUNIZACION (PAI - COVID 19)",IF(P159=CURSOS!$D$18,"ATENCION INTEGRAL EN ENFERMEDADES PREVALENTES EN PRIMERA INFANCIA (AIEPI)",IF(P159=CURSOS!$D$19,"ADMINISTRACION DE MEDICAMENTOS, INYECTOLOGIA  Y CANALIZACION ",IF(P159=CURSOS!$D$20,"OPERADOR DE VEHICULOS DE EMERGENCIA (OVE)",IF(P159=CURSOS!$D$21,"INSTITUCIONES AMIGAS DE LA MUJER Y LA INFANCIA (IAMI)",IF(P159=CURSOS!$D$22,"CUIDADO DEL DONANTE DE ORGANOS",IF(P159=CURSOS!$D$23,"ATENCION A VICTIMAS POR VIOLENCIA DE GENERO",IF(P159=CURSOS!$D$24,"IGUALDAD DE GENERO EN LA SALUD",IF(P159=CURSOS!$D$25,"BRIGADA DE EMERGENCIA",IF(P159=CURSOS!$D$26,"MANEJO DEL DOLOR Y CUIDADOS PALIATIVOS",IF(P159=CURSOS!$D$27,"TOMA DE MUESTRAS Y LABORATORIO POCT",IF(P159=CURSOS!$D$28,"IMPLANTE SUBDERMICO DE DISPOSITIVO INTRAUTERINO",IF(P159=CURSOS!$D$29,"SALUD MENTAL",IF(P159=CURSOS!$D$30,"PRIMEROS AUXILIOS PSICOLOGICOS",IF(P159=CURSOS!$D$31,"ATENCION A VICTIMAS POR CONFLICTO ARMADO",IF(P159=CURSOS!$D$32,"MANIPULACION DE ALIMENTOS Y BPM",IF(P159=CURSOS!$D$33,"ATENCION A PERSONAS CON DISCAPACIDAD",IF(P159=CURSOS!$D$34,"CUIDADO INTEGRAL DEL PACIENTE ADULTO",IF(P159=CURSOS!$D$35,"MANEJO DEFENSIVO",IF(P159=CURSOS!$D$36,"SOPORTE CARDIOVASCULAR AVANZADO NEONATAL",IF(P159=CURSOS!$D$37,"SEGURIDAD DEL PACIENTE",IF(P159=CURSOS!$D$38,"MANEJO DE RESIDUOS HOSPITALARIOS",IF(P159=CURSOS!$D$39,"ATENCION DE PACIENTE POR CONSUMO SUSTANCIAS PSICOACTIVAS Y ADICCIONES")))))))))))))))))))))))))))))))))))))</f>
        <v xml:space="preserve">SOPORTE CARDIOVASCULAR AVANZADO (ACLS) </v>
      </c>
      <c r="W159" s="62" t="str">
        <f t="shared" si="9"/>
        <v>Santiago Esteban Romo Burgos</v>
      </c>
      <c r="X159" s="62" t="str">
        <f t="shared" si="10"/>
        <v>Santiago Esteban Romo Burgos</v>
      </c>
      <c r="Y159" s="62" t="str">
        <f t="shared" si="11"/>
        <v>Santiago Esteban Romo Burgos-1193272985-ACLS</v>
      </c>
    </row>
    <row r="160" spans="1:25" s="57" customFormat="1" x14ac:dyDescent="0.2">
      <c r="A160" s="58">
        <v>159</v>
      </c>
      <c r="B160" s="59">
        <v>1085254225</v>
      </c>
      <c r="C160" s="59" t="s">
        <v>566</v>
      </c>
      <c r="D160" s="59" t="s">
        <v>291</v>
      </c>
      <c r="E160" s="59" t="s">
        <v>237</v>
      </c>
      <c r="F160" s="59" t="s">
        <v>567</v>
      </c>
      <c r="G160" s="59">
        <v>31</v>
      </c>
      <c r="H160" s="59" t="s">
        <v>200</v>
      </c>
      <c r="I160" s="60" t="s">
        <v>115</v>
      </c>
      <c r="J160" s="60" t="s">
        <v>123</v>
      </c>
      <c r="K160" s="61">
        <v>45808</v>
      </c>
      <c r="L160" s="96">
        <v>32000</v>
      </c>
      <c r="M160" s="59" t="s">
        <v>268</v>
      </c>
      <c r="N160" s="59" t="s">
        <v>138</v>
      </c>
      <c r="O160" s="59" t="s">
        <v>116</v>
      </c>
      <c r="P160" s="59" t="s">
        <v>42</v>
      </c>
      <c r="Q160" s="60">
        <v>31747</v>
      </c>
      <c r="R160" s="59" t="s">
        <v>102</v>
      </c>
      <c r="S160" s="59" t="s">
        <v>201</v>
      </c>
      <c r="T160" s="59">
        <v>3173248347</v>
      </c>
      <c r="U160" s="59" t="s">
        <v>568</v>
      </c>
      <c r="V160" s="62" t="str">
        <f>IF(P160=CURSOS!$D$3,"DIPLOMADO EN ATENCION PRE-HOSPITALARIA",IF(P160=CURSOS!$D$4,"ACOMPAÑAMIENTO Y MANEJO DEL DUELO",IF(P160=CURSOS!$D$5,"ATENCION A VICTIMAS DE ATAQUE CON AGENTES QUIMICOS ",IF(P160=CURSOS!$D$6,"PRIMEROS AUXILIOS ",IF(P160=CURSOS!$D$7,"DIPLOMADO DE UNIDAD DE CUIDADOS INTENSIVOS (UCI)",IF(P160=CURSOS!$D$8,"MODELO DE ATENCION PARA EVENTOS EMERGENTES EN SALUD MENTAL (CODIGO VERDE)",IF(P160=CURSOS!$D$9,"HUMANIZACION EN EL SERVICIO DE LA SALUD Y BUENAS PRACTICAS EN PACIENTE ",IF(P160=CURSOS!$D$10,"CLINICA DE HERIDAS ",IF(P160=CURSOS!$D$11,"TOMA DE CITOLOGIA CERVICO VAGINAL ",IF(P160=CURSOS!$D$12,"SOPORTE CARDIOVASCULAR AVANZADO (ACLS) ",IF(P160=CURSOS!$D$13,"CAMILLERO ",IF(P160=CURSOS!$D$14,"TOMA DE MUESTRAS Y LABORATORIO ",IF(P160=CURSOS!$D$15,"SOPORTE VITAL BASICO (BLS)",IF(P160=CURSOS!$D$16,"ATENCION A VICTIMAS DE VIOLENCIA SEXUAL ",IF(P160=CURSOS!$D$17,"PROGRAMADO AMPLIADO DE INMUNIZACION (PAI - COVID 19)",IF(P160=CURSOS!$D$18,"ATENCION INTEGRAL EN ENFERMEDADES PREVALENTES EN PRIMERA INFANCIA (AIEPI)",IF(P160=CURSOS!$D$19,"ADMINISTRACION DE MEDICAMENTOS, INYECTOLOGIA  Y CANALIZACION ",IF(P160=CURSOS!$D$20,"OPERADOR DE VEHICULOS DE EMERGENCIA (OVE)",IF(P160=CURSOS!$D$21,"INSTITUCIONES AMIGAS DE LA MUJER Y LA INFANCIA (IAMI)",IF(P160=CURSOS!$D$22,"CUIDADO DEL DONANTE DE ORGANOS",IF(P160=CURSOS!$D$23,"ATENCION A VICTIMAS POR VIOLENCIA DE GENERO",IF(P160=CURSOS!$D$24,"IGUALDAD DE GENERO EN LA SALUD",IF(P160=CURSOS!$D$25,"BRIGADA DE EMERGENCIA",IF(P160=CURSOS!$D$26,"MANEJO DEL DOLOR Y CUIDADOS PALIATIVOS",IF(P160=CURSOS!$D$27,"TOMA DE MUESTRAS Y LABORATORIO POCT",IF(P160=CURSOS!$D$28,"IMPLANTE SUBDERMICO DE DISPOSITIVO INTRAUTERINO",IF(P160=CURSOS!$D$29,"SALUD MENTAL",IF(P160=CURSOS!$D$30,"PRIMEROS AUXILIOS PSICOLOGICOS",IF(P160=CURSOS!$D$31,"ATENCION A VICTIMAS POR CONFLICTO ARMADO",IF(P160=CURSOS!$D$32,"MANIPULACION DE ALIMENTOS Y BPM",IF(P160=CURSOS!$D$33,"ATENCION A PERSONAS CON DISCAPACIDAD",IF(P160=CURSOS!$D$34,"CUIDADO INTEGRAL DEL PACIENTE ADULTO",IF(P160=CURSOS!$D$35,"MANEJO DEFENSIVO",IF(P160=CURSOS!$D$36,"SOPORTE CARDIOVASCULAR AVANZADO NEONATAL",IF(P160=CURSOS!$D$37,"SEGURIDAD DEL PACIENTE",IF(P160=CURSOS!$D$38,"MANEJO DE RESIDUOS HOSPITALARIOS",IF(P160=CURSOS!$D$39,"ATENCION DE PACIENTE POR CONSUMO SUSTANCIAS PSICOACTIVAS Y ADICCIONES")))))))))))))))))))))))))))))))))))))</f>
        <v xml:space="preserve">ATENCION A VICTIMAS DE VIOLENCIA SEXUAL </v>
      </c>
      <c r="W160" s="62" t="str">
        <f t="shared" si="9"/>
        <v>Diana Maritza Chana Castillo</v>
      </c>
      <c r="X160" s="62" t="str">
        <f t="shared" si="10"/>
        <v>Diana Maritza Chana Castillo</v>
      </c>
      <c r="Y160" s="62" t="str">
        <f t="shared" si="11"/>
        <v>Diana Maritza Chana Castillo-1085254225-VIOLENCIA SEXUAL</v>
      </c>
    </row>
    <row r="161" spans="1:25" x14ac:dyDescent="0.2">
      <c r="A161" s="50">
        <v>160</v>
      </c>
      <c r="I161" s="52"/>
      <c r="J161" s="52"/>
      <c r="Q161" s="52"/>
      <c r="U161" s="51"/>
      <c r="V161" s="73" t="b">
        <f>IF(P161=CURSOS!$D$3,"DIPLOMADO EN ATENCION PRE-HOSPITALARIA",IF(P161=CURSOS!$D$4,"ACOMPAÑAMIENTO Y MANEJO DEL DUELO",IF(P161=CURSOS!$D$5,"ATENCION A VICTIMAS DE ATAQUE CON AGENTES QUIMICOS ",IF(P161=CURSOS!$D$6,"PRIMEROS AUXILIOS ",IF(P161=CURSOS!$D$7,"DIPLOMADO DE UNIDAD DE CUIDADOS INTENSIVOS (UCI)",IF(P161=CURSOS!$D$8,"MODELO DE ATENCION PARA EVENTOS EMERGENTES EN SALUD MENTAL (CODIGO VERDE)",IF(P161=CURSOS!$D$9,"HUMANIZACION EN EL SERVICIO DE LA SALUD Y BUENAS PRACTICAS EN PACIENTE ",IF(P161=CURSOS!$D$10,"CLINICA DE HERIDAS ",IF(P161=CURSOS!$D$11,"TOMA DE CITOLOGIA CERVICO VAGINAL ",IF(P161=CURSOS!$D$12,"SOPORTE CARDIOVASCULAR AVANZADO (ACLS) ",IF(P161=CURSOS!$D$13,"CAMILLERO ",IF(P161=CURSOS!$D$14,"TOMA DE MUESTRAS Y LABORATORIO ",IF(P161=CURSOS!$D$15,"SOPORTE VITAL BASICO (BLS)",IF(P161=CURSOS!$D$16,"ATENCION A VICTIMAS DE VIOLENCIA SEXUAL ",IF(P161=CURSOS!$D$17,"PROGRAMADO AMPLIADO DE INMUNIZACION (PAI - COVID 19)",IF(P161=CURSOS!$D$18,"ATENCION INTEGRAL EN ENFERMEDADES PREVALENTES EN PRIMERA INFANCIA (AIEPI)",IF(P161=CURSOS!$D$19,"ADMINISTRACION DE MEDICAMENTOS, INYECTOLOGIA  Y CANALIZACION ",IF(P161=CURSOS!$D$20,"OPERADOR DE VEHICULOS DE EMERGENCIA (OVE)",IF(P161=CURSOS!$D$21,"INSTITUCIONES AMIGAS DE LA MUJER Y LA INFANCIA (IAMI)",IF(P161=CURSOS!$D$22,"CUIDADO DEL DONANTE DE ORGANOS",IF(P161=CURSOS!$D$23,"ATENCION A VICTIMAS POR VIOLENCIA DE GENERO",IF(P161=CURSOS!$D$24,"IGUALDAD DE GENERO EN LA SALUD",IF(P161=CURSOS!$D$25,"BRIGADA DE EMERGENCIA",IF(P161=CURSOS!$D$26,"MANEJO DEL DOLOR Y CUIDADOS PALIATIVOS",IF(P161=CURSOS!$D$27,"TOMA DE MUESTRAS Y LABORATORIO POCT",IF(P161=CURSOS!$D$28,"IMPLANTE SUBDERMICO DE DISPOSITIVO INTRAUTERINO",IF(P161=CURSOS!$D$29,"SALUD MENTAL",IF(P161=CURSOS!$D$30,"PRIMEROS AUXILIOS PSICOLOGICOS",IF(P161=CURSOS!$D$31,"ATENCION A VICTIMAS POR CONFLICTO ARMADO",IF(P161=CURSOS!$D$32,"MANIPULACION DE ALIMENTOS Y BPM",IF(P161=CURSOS!$D$33,"ATENCION A PERSONAS CON DISCAPACIDAD",IF(P161=CURSOS!$D$34,"CUIDADO INTEGRAL DEL PACIENTE ADULTO",IF(P161=CURSOS!$D$35,"MANEJO DEFENSIVO",IF(P161=CURSOS!$D$36,"SOPORTE CARDIOVASCULAR AVANZADO NEONATAL",IF(P161=CURSOS!$D$37,"SEGURIDAD DEL PACIENTE",IF(P161=CURSOS!$D$38,"MANEJO DE RESIDUOS HOSPITALARIOS",IF(P161=CURSOS!$D$39,"ATENCION DE PACIENTE POR CONSUMO SUSTANCIAS PSICOACTIVAS Y ADICCIONES")))))))))))))))))))))))))))))))))))))</f>
        <v>0</v>
      </c>
      <c r="W161" s="73" t="str">
        <f t="shared" si="9"/>
        <v xml:space="preserve">   </v>
      </c>
      <c r="X161" s="73" t="str">
        <f t="shared" si="10"/>
        <v xml:space="preserve">   </v>
      </c>
      <c r="Y161" s="73" t="str">
        <f t="shared" si="11"/>
        <v xml:space="preserve">   --</v>
      </c>
    </row>
    <row r="162" spans="1:25" x14ac:dyDescent="0.2">
      <c r="A162" s="50">
        <v>161</v>
      </c>
      <c r="I162" s="52"/>
      <c r="J162" s="52"/>
      <c r="Q162" s="52"/>
      <c r="U162" s="51"/>
      <c r="V162" s="62" t="b">
        <f>IF(P162=CURSOS!$D$3,"DIPLOMADO EN ATENCION PRE-HOSPITALARIA",IF(P162=CURSOS!$D$4,"ACOMPAÑAMIENTO Y MANEJO DEL DUELO",IF(P162=CURSOS!$D$5,"ATENCION A VICTIMAS DE ATAQUE CON AGENTES QUIMICOS ",IF(P162=CURSOS!$D$6,"PRIMEROS AUXILIOS ",IF(P162=CURSOS!$D$7,"DIPLOMADO DE UNIDAD DE CUIDADOS INTENSIVOS (UCI)",IF(P162=CURSOS!$D$8,"MODELO DE ATENCION PARA EVENTOS EMERGENTES EN SALUD MENTAL (CODIGO VERDE)",IF(P162=CURSOS!$D$9,"HUMANIZACION EN EL SERVICIO DE LA SALUD Y BUENAS PRACTICAS EN PACIENTE ",IF(P162=CURSOS!$D$10,"CLINICA DE HERIDAS ",IF(P162=CURSOS!$D$11,"TOMA DE CITOLOGIA CERVICO VAGINAL ",IF(P162=CURSOS!$D$12,"SOPORTE CARDIOVASCULAR AVANZADO (ACLS) ",IF(P162=CURSOS!$D$13,"CAMILLERO ",IF(P162=CURSOS!$D$14,"TOMA DE MUESTRAS Y LABORATORIO ",IF(P162=CURSOS!$D$15,"SOPORTE VITAL BASICO (BLS)",IF(P162=CURSOS!$D$16,"ATENCION A VICTIMAS DE VIOLENCIA SEXUAL ",IF(P162=CURSOS!$D$17,"PROGRAMADO AMPLIADO DE INMUNIZACION (PAI - COVID 19)",IF(P162=CURSOS!$D$18,"ATENCION INTEGRAL EN ENFERMEDADES PREVALENTES EN PRIMERA INFANCIA (AIEPI)",IF(P162=CURSOS!$D$19,"ADMINISTRACION DE MEDICAMENTOS, INYECTOLOGIA  Y CANALIZACION ",IF(P162=CURSOS!$D$20,"OPERADOR DE VEHICULOS DE EMERGENCIA (OVE)",IF(P162=CURSOS!$D$21,"INSTITUCIONES AMIGAS DE LA MUJER Y LA INFANCIA (IAMI)",IF(P162=CURSOS!$D$22,"CUIDADO DEL DONANTE DE ORGANOS",IF(P162=CURSOS!$D$23,"ATENCION A VICTIMAS POR VIOLENCIA DE GENERO",IF(P162=CURSOS!$D$24,"IGUALDAD DE GENERO EN LA SALUD",IF(P162=CURSOS!$D$25,"BRIGADA DE EMERGENCIA",IF(P162=CURSOS!$D$26,"MANEJO DEL DOLOR Y CUIDADOS PALIATIVOS",IF(P162=CURSOS!$D$27,"TOMA DE MUESTRAS Y LABORATORIO POCT",IF(P162=CURSOS!$D$28,"IMPLANTE SUBDERMICO DE DISPOSITIVO INTRAUTERINO",IF(P162=CURSOS!$D$29,"SALUD MENTAL",IF(P162=CURSOS!$D$30,"PRIMEROS AUXILIOS PSICOLOGICOS",IF(P162=CURSOS!$D$31,"ATENCION A VICTIMAS POR CONFLICTO ARMADO",IF(P162=CURSOS!$D$32,"MANIPULACION DE ALIMENTOS Y BPM",IF(P162=CURSOS!$D$33,"ATENCION A PERSONAS CON DISCAPACIDAD",IF(P162=CURSOS!$D$34,"CUIDADO INTEGRAL DEL PACIENTE ADULTO",IF(P162=CURSOS!$D$35,"MANEJO DEFENSIVO",IF(P162=CURSOS!$D$36,"SOPORTE CARDIOVASCULAR AVANZADO NEONATAL",IF(P162=CURSOS!$D$37,"SEGURIDAD DEL PACIENTE",IF(P162=CURSOS!$D$38,"MANEJO DE RESIDUOS HOSPITALARIOS",IF(P162=CURSOS!$D$39,"ATENCION DE PACIENTE POR CONSUMO SUSTANCIAS PSICOACTIVAS Y ADICCIONES")))))))))))))))))))))))))))))))))))))</f>
        <v>0</v>
      </c>
      <c r="W162" s="62" t="str">
        <f t="shared" si="9"/>
        <v xml:space="preserve">   </v>
      </c>
      <c r="X162" s="62" t="str">
        <f t="shared" si="10"/>
        <v xml:space="preserve">   </v>
      </c>
      <c r="Y162" s="62" t="str">
        <f t="shared" si="11"/>
        <v xml:space="preserve">   --</v>
      </c>
    </row>
    <row r="163" spans="1:25" x14ac:dyDescent="0.2">
      <c r="A163" s="50">
        <v>162</v>
      </c>
      <c r="I163" s="52"/>
      <c r="J163" s="52"/>
      <c r="Q163" s="52"/>
      <c r="U163" s="51"/>
      <c r="V163" s="62" t="b">
        <f>IF(P163=CURSOS!$D$3,"DIPLOMADO EN ATENCION PRE-HOSPITALARIA",IF(P163=CURSOS!$D$4,"ACOMPAÑAMIENTO Y MANEJO DEL DUELO",IF(P163=CURSOS!$D$5,"ATENCION A VICTIMAS DE ATAQUE CON AGENTES QUIMICOS ",IF(P163=CURSOS!$D$6,"PRIMEROS AUXILIOS ",IF(P163=CURSOS!$D$7,"DIPLOMADO DE UNIDAD DE CUIDADOS INTENSIVOS (UCI)",IF(P163=CURSOS!$D$8,"MODELO DE ATENCION PARA EVENTOS EMERGENTES EN SALUD MENTAL (CODIGO VERDE)",IF(P163=CURSOS!$D$9,"HUMANIZACION EN EL SERVICIO DE LA SALUD Y BUENAS PRACTICAS EN PACIENTE ",IF(P163=CURSOS!$D$10,"CLINICA DE HERIDAS ",IF(P163=CURSOS!$D$11,"TOMA DE CITOLOGIA CERVICO VAGINAL ",IF(P163=CURSOS!$D$12,"SOPORTE CARDIOVASCULAR AVANZADO (ACLS) ",IF(P163=CURSOS!$D$13,"CAMILLERO ",IF(P163=CURSOS!$D$14,"TOMA DE MUESTRAS Y LABORATORIO ",IF(P163=CURSOS!$D$15,"SOPORTE VITAL BASICO (BLS)",IF(P163=CURSOS!$D$16,"ATENCION A VICTIMAS DE VIOLENCIA SEXUAL ",IF(P163=CURSOS!$D$17,"PROGRAMADO AMPLIADO DE INMUNIZACION (PAI - COVID 19)",IF(P163=CURSOS!$D$18,"ATENCION INTEGRAL EN ENFERMEDADES PREVALENTES EN PRIMERA INFANCIA (AIEPI)",IF(P163=CURSOS!$D$19,"ADMINISTRACION DE MEDICAMENTOS, INYECTOLOGIA  Y CANALIZACION ",IF(P163=CURSOS!$D$20,"OPERADOR DE VEHICULOS DE EMERGENCIA (OVE)",IF(P163=CURSOS!$D$21,"INSTITUCIONES AMIGAS DE LA MUJER Y LA INFANCIA (IAMI)",IF(P163=CURSOS!$D$22,"CUIDADO DEL DONANTE DE ORGANOS",IF(P163=CURSOS!$D$23,"ATENCION A VICTIMAS POR VIOLENCIA DE GENERO",IF(P163=CURSOS!$D$24,"IGUALDAD DE GENERO EN LA SALUD",IF(P163=CURSOS!$D$25,"BRIGADA DE EMERGENCIA",IF(P163=CURSOS!$D$26,"MANEJO DEL DOLOR Y CUIDADOS PALIATIVOS",IF(P163=CURSOS!$D$27,"TOMA DE MUESTRAS Y LABORATORIO POCT",IF(P163=CURSOS!$D$28,"IMPLANTE SUBDERMICO DE DISPOSITIVO INTRAUTERINO",IF(P163=CURSOS!$D$29,"SALUD MENTAL",IF(P163=CURSOS!$D$30,"PRIMEROS AUXILIOS PSICOLOGICOS",IF(P163=CURSOS!$D$31,"ATENCION A VICTIMAS POR CONFLICTO ARMADO",IF(P163=CURSOS!$D$32,"MANIPULACION DE ALIMENTOS Y BPM",IF(P163=CURSOS!$D$33,"ATENCION A PERSONAS CON DISCAPACIDAD",IF(P163=CURSOS!$D$34,"CUIDADO INTEGRAL DEL PACIENTE ADULTO",IF(P163=CURSOS!$D$35,"MANEJO DEFENSIVO",IF(P163=CURSOS!$D$36,"SOPORTE CARDIOVASCULAR AVANZADO NEONATAL",IF(P163=CURSOS!$D$37,"SEGURIDAD DEL PACIENTE",IF(P163=CURSOS!$D$38,"MANEJO DE RESIDUOS HOSPITALARIOS",IF(P163=CURSOS!$D$39,"ATENCION DE PACIENTE POR CONSUMO SUSTANCIAS PSICOACTIVAS Y ADICCIONES")))))))))))))))))))))))))))))))))))))</f>
        <v>0</v>
      </c>
      <c r="W163" s="62" t="str">
        <f t="shared" si="9"/>
        <v xml:space="preserve">   </v>
      </c>
      <c r="X163" s="62" t="str">
        <f t="shared" si="10"/>
        <v xml:space="preserve">   </v>
      </c>
      <c r="Y163" s="62" t="str">
        <f t="shared" si="11"/>
        <v xml:space="preserve">   --</v>
      </c>
    </row>
    <row r="164" spans="1:25" x14ac:dyDescent="0.2">
      <c r="A164" s="50">
        <v>163</v>
      </c>
      <c r="I164" s="52"/>
      <c r="J164" s="52"/>
      <c r="Q164" s="52"/>
      <c r="U164" s="51"/>
      <c r="V164" s="62" t="b">
        <f>IF(P164=CURSOS!$D$3,"DIPLOMADO EN ATENCION PRE-HOSPITALARIA",IF(P164=CURSOS!$D$4,"ACOMPAÑAMIENTO Y MANEJO DEL DUELO",IF(P164=CURSOS!$D$5,"ATENCION A VICTIMAS DE ATAQUE CON AGENTES QUIMICOS ",IF(P164=CURSOS!$D$6,"PRIMEROS AUXILIOS ",IF(P164=CURSOS!$D$7,"DIPLOMADO DE UNIDAD DE CUIDADOS INTENSIVOS (UCI)",IF(P164=CURSOS!$D$8,"MODELO DE ATENCION PARA EVENTOS EMERGENTES EN SALUD MENTAL (CODIGO VERDE)",IF(P164=CURSOS!$D$9,"HUMANIZACION EN EL SERVICIO DE LA SALUD Y BUENAS PRACTICAS EN PACIENTE ",IF(P164=CURSOS!$D$10,"CLINICA DE HERIDAS ",IF(P164=CURSOS!$D$11,"TOMA DE CITOLOGIA CERVICO VAGINAL ",IF(P164=CURSOS!$D$12,"SOPORTE CARDIOVASCULAR AVANZADO (ACLS) ",IF(P164=CURSOS!$D$13,"CAMILLERO ",IF(P164=CURSOS!$D$14,"TOMA DE MUESTRAS Y LABORATORIO ",IF(P164=CURSOS!$D$15,"SOPORTE VITAL BASICO (BLS)",IF(P164=CURSOS!$D$16,"ATENCION A VICTIMAS DE VIOLENCIA SEXUAL ",IF(P164=CURSOS!$D$17,"PROGRAMADO AMPLIADO DE INMUNIZACION (PAI - COVID 19)",IF(P164=CURSOS!$D$18,"ATENCION INTEGRAL EN ENFERMEDADES PREVALENTES EN PRIMERA INFANCIA (AIEPI)",IF(P164=CURSOS!$D$19,"ADMINISTRACION DE MEDICAMENTOS, INYECTOLOGIA  Y CANALIZACION ",IF(P164=CURSOS!$D$20,"OPERADOR DE VEHICULOS DE EMERGENCIA (OVE)",IF(P164=CURSOS!$D$21,"INSTITUCIONES AMIGAS DE LA MUJER Y LA INFANCIA (IAMI)",IF(P164=CURSOS!$D$22,"CUIDADO DEL DONANTE DE ORGANOS",IF(P164=CURSOS!$D$23,"ATENCION A VICTIMAS POR VIOLENCIA DE GENERO",IF(P164=CURSOS!$D$24,"IGUALDAD DE GENERO EN LA SALUD",IF(P164=CURSOS!$D$25,"BRIGADA DE EMERGENCIA",IF(P164=CURSOS!$D$26,"MANEJO DEL DOLOR Y CUIDADOS PALIATIVOS",IF(P164=CURSOS!$D$27,"TOMA DE MUESTRAS Y LABORATORIO POCT",IF(P164=CURSOS!$D$28,"IMPLANTE SUBDERMICO DE DISPOSITIVO INTRAUTERINO",IF(P164=CURSOS!$D$29,"SALUD MENTAL",IF(P164=CURSOS!$D$30,"PRIMEROS AUXILIOS PSICOLOGICOS",IF(P164=CURSOS!$D$31,"ATENCION A VICTIMAS POR CONFLICTO ARMADO",IF(P164=CURSOS!$D$32,"MANIPULACION DE ALIMENTOS Y BPM",IF(P164=CURSOS!$D$33,"ATENCION A PERSONAS CON DISCAPACIDAD",IF(P164=CURSOS!$D$34,"CUIDADO INTEGRAL DEL PACIENTE ADULTO",IF(P164=CURSOS!$D$35,"MANEJO DEFENSIVO",IF(P164=CURSOS!$D$36,"SOPORTE CARDIOVASCULAR AVANZADO NEONATAL",IF(P164=CURSOS!$D$37,"SEGURIDAD DEL PACIENTE",IF(P164=CURSOS!$D$38,"MANEJO DE RESIDUOS HOSPITALARIOS",IF(P164=CURSOS!$D$39,"ATENCION DE PACIENTE POR CONSUMO SUSTANCIAS PSICOACTIVAS Y ADICCIONES")))))))))))))))))))))))))))))))))))))</f>
        <v>0</v>
      </c>
      <c r="W164" s="62" t="str">
        <f t="shared" si="9"/>
        <v xml:space="preserve">   </v>
      </c>
      <c r="X164" s="62" t="str">
        <f t="shared" si="10"/>
        <v xml:space="preserve">   </v>
      </c>
      <c r="Y164" s="62" t="str">
        <f t="shared" si="11"/>
        <v xml:space="preserve">   --</v>
      </c>
    </row>
    <row r="165" spans="1:25" x14ac:dyDescent="0.2">
      <c r="A165" s="50">
        <v>164</v>
      </c>
      <c r="I165" s="52"/>
      <c r="J165" s="52"/>
      <c r="Q165" s="52"/>
      <c r="S165" s="37"/>
      <c r="U165" s="51"/>
      <c r="V165" s="62" t="b">
        <f>IF(P165=CURSOS!$D$3,"DIPLOMADO EN ATENCION PRE-HOSPITALARIA",IF(P165=CURSOS!$D$4,"ACOMPAÑAMIENTO Y MANEJO DEL DUELO",IF(P165=CURSOS!$D$5,"ATENCION A VICTIMAS DE ATAQUE CON AGENTES QUIMICOS ",IF(P165=CURSOS!$D$6,"PRIMEROS AUXILIOS ",IF(P165=CURSOS!$D$7,"DIPLOMADO DE UNIDAD DE CUIDADOS INTENSIVOS (UCI)",IF(P165=CURSOS!$D$8,"MODELO DE ATENCION PARA EVENTOS EMERGENTES EN SALUD MENTAL (CODIGO VERDE)",IF(P165=CURSOS!$D$9,"HUMANIZACION EN EL SERVICIO DE LA SALUD Y BUENAS PRACTICAS EN PACIENTE ",IF(P165=CURSOS!$D$10,"CLINICA DE HERIDAS ",IF(P165=CURSOS!$D$11,"TOMA DE CITOLOGIA CERVICO VAGINAL ",IF(P165=CURSOS!$D$12,"SOPORTE CARDIOVASCULAR AVANZADO (ACLS) ",IF(P165=CURSOS!$D$13,"CAMILLERO ",IF(P165=CURSOS!$D$14,"TOMA DE MUESTRAS Y LABORATORIO ",IF(P165=CURSOS!$D$15,"SOPORTE VITAL BASICO (BLS)",IF(P165=CURSOS!$D$16,"ATENCION A VICTIMAS DE VIOLENCIA SEXUAL ",IF(P165=CURSOS!$D$17,"PROGRAMADO AMPLIADO DE INMUNIZACION (PAI - COVID 19)",IF(P165=CURSOS!$D$18,"ATENCION INTEGRAL EN ENFERMEDADES PREVALENTES EN PRIMERA INFANCIA (AIEPI)",IF(P165=CURSOS!$D$19,"ADMINISTRACION DE MEDICAMENTOS, INYECTOLOGIA  Y CANALIZACION ",IF(P165=CURSOS!$D$20,"OPERADOR DE VEHICULOS DE EMERGENCIA (OVE)",IF(P165=CURSOS!$D$21,"INSTITUCIONES AMIGAS DE LA MUJER Y LA INFANCIA (IAMI)",IF(P165=CURSOS!$D$22,"CUIDADO DEL DONANTE DE ORGANOS",IF(P165=CURSOS!$D$23,"ATENCION A VICTIMAS POR VIOLENCIA DE GENERO",IF(P165=CURSOS!$D$24,"IGUALDAD DE GENERO EN LA SALUD",IF(P165=CURSOS!$D$25,"BRIGADA DE EMERGENCIA",IF(P165=CURSOS!$D$26,"MANEJO DEL DOLOR Y CUIDADOS PALIATIVOS",IF(P165=CURSOS!$D$27,"TOMA DE MUESTRAS Y LABORATORIO POCT",IF(P165=CURSOS!$D$28,"IMPLANTE SUBDERMICO DE DISPOSITIVO INTRAUTERINO",IF(P165=CURSOS!$D$29,"SALUD MENTAL",IF(P165=CURSOS!$D$30,"PRIMEROS AUXILIOS PSICOLOGICOS",IF(P165=CURSOS!$D$31,"ATENCION A VICTIMAS POR CONFLICTO ARMADO",IF(P165=CURSOS!$D$32,"MANIPULACION DE ALIMENTOS Y BPM",IF(P165=CURSOS!$D$33,"ATENCION A PERSONAS CON DISCAPACIDAD",IF(P165=CURSOS!$D$34,"CUIDADO INTEGRAL DEL PACIENTE ADULTO",IF(P165=CURSOS!$D$35,"MANEJO DEFENSIVO",IF(P165=CURSOS!$D$36,"SOPORTE CARDIOVASCULAR AVANZADO NEONATAL",IF(P165=CURSOS!$D$37,"SEGURIDAD DEL PACIENTE",IF(P165=CURSOS!$D$38,"MANEJO DE RESIDUOS HOSPITALARIOS",IF(P165=CURSOS!$D$39,"ATENCION DE PACIENTE POR CONSUMO SUSTANCIAS PSICOACTIVAS Y ADICCIONES")))))))))))))))))))))))))))))))))))))</f>
        <v>0</v>
      </c>
      <c r="W165" s="62" t="str">
        <f t="shared" si="9"/>
        <v xml:space="preserve">   </v>
      </c>
      <c r="X165" s="62" t="str">
        <f t="shared" si="10"/>
        <v xml:space="preserve">   </v>
      </c>
      <c r="Y165" s="62" t="str">
        <f t="shared" si="11"/>
        <v xml:space="preserve">   --</v>
      </c>
    </row>
    <row r="166" spans="1:25" x14ac:dyDescent="0.2">
      <c r="A166" s="50">
        <v>165</v>
      </c>
      <c r="I166" s="52"/>
      <c r="J166" s="52"/>
      <c r="Q166" s="52"/>
      <c r="S166" s="38"/>
      <c r="U166" s="51"/>
      <c r="V166" s="62" t="b">
        <f>IF(P166=CURSOS!$D$3,"DIPLOMADO EN ATENCION PRE-HOSPITALARIA",IF(P166=CURSOS!$D$4,"ACOMPAÑAMIENTO Y MANEJO DEL DUELO",IF(P166=CURSOS!$D$5,"ATENCION A VICTIMAS DE ATAQUE CON AGENTES QUIMICOS ",IF(P166=CURSOS!$D$6,"PRIMEROS AUXILIOS ",IF(P166=CURSOS!$D$7,"DIPLOMADO DE UNIDAD DE CUIDADOS INTENSIVOS (UCI)",IF(P166=CURSOS!$D$8,"MODELO DE ATENCION PARA EVENTOS EMERGENTES EN SALUD MENTAL (CODIGO VERDE)",IF(P166=CURSOS!$D$9,"HUMANIZACION EN EL SERVICIO DE LA SALUD Y BUENAS PRACTICAS EN PACIENTE ",IF(P166=CURSOS!$D$10,"CLINICA DE HERIDAS ",IF(P166=CURSOS!$D$11,"TOMA DE CITOLOGIA CERVICO VAGINAL ",IF(P166=CURSOS!$D$12,"SOPORTE CARDIOVASCULAR AVANZADO (ACLS) ",IF(P166=CURSOS!$D$13,"CAMILLERO ",IF(P166=CURSOS!$D$14,"TOMA DE MUESTRAS Y LABORATORIO ",IF(P166=CURSOS!$D$15,"SOPORTE VITAL BASICO (BLS)",IF(P166=CURSOS!$D$16,"ATENCION A VICTIMAS DE VIOLENCIA SEXUAL ",IF(P166=CURSOS!$D$17,"PROGRAMADO AMPLIADO DE INMUNIZACION (PAI - COVID 19)",IF(P166=CURSOS!$D$18,"ATENCION INTEGRAL EN ENFERMEDADES PREVALENTES EN PRIMERA INFANCIA (AIEPI)",IF(P166=CURSOS!$D$19,"ADMINISTRACION DE MEDICAMENTOS, INYECTOLOGIA  Y CANALIZACION ",IF(P166=CURSOS!$D$20,"OPERADOR DE VEHICULOS DE EMERGENCIA (OVE)",IF(P166=CURSOS!$D$21,"INSTITUCIONES AMIGAS DE LA MUJER Y LA INFANCIA (IAMI)",IF(P166=CURSOS!$D$22,"CUIDADO DEL DONANTE DE ORGANOS",IF(P166=CURSOS!$D$23,"ATENCION A VICTIMAS POR VIOLENCIA DE GENERO",IF(P166=CURSOS!$D$24,"IGUALDAD DE GENERO EN LA SALUD",IF(P166=CURSOS!$D$25,"BRIGADA DE EMERGENCIA",IF(P166=CURSOS!$D$26,"MANEJO DEL DOLOR Y CUIDADOS PALIATIVOS",IF(P166=CURSOS!$D$27,"TOMA DE MUESTRAS Y LABORATORIO POCT",IF(P166=CURSOS!$D$28,"IMPLANTE SUBDERMICO DE DISPOSITIVO INTRAUTERINO",IF(P166=CURSOS!$D$29,"SALUD MENTAL",IF(P166=CURSOS!$D$30,"PRIMEROS AUXILIOS PSICOLOGICOS",IF(P166=CURSOS!$D$31,"ATENCION A VICTIMAS POR CONFLICTO ARMADO",IF(P166=CURSOS!$D$32,"MANIPULACION DE ALIMENTOS Y BPM",IF(P166=CURSOS!$D$33,"ATENCION A PERSONAS CON DISCAPACIDAD",IF(P166=CURSOS!$D$34,"CUIDADO INTEGRAL DEL PACIENTE ADULTO",IF(P166=CURSOS!$D$35,"MANEJO DEFENSIVO",IF(P166=CURSOS!$D$36,"SOPORTE CARDIOVASCULAR AVANZADO NEONATAL",IF(P166=CURSOS!$D$37,"SEGURIDAD DEL PACIENTE",IF(P166=CURSOS!$D$38,"MANEJO DE RESIDUOS HOSPITALARIOS",IF(P166=CURSOS!$D$39,"ATENCION DE PACIENTE POR CONSUMO SUSTANCIAS PSICOACTIVAS Y ADICCIONES")))))))))))))))))))))))))))))))))))))</f>
        <v>0</v>
      </c>
      <c r="W166" s="62" t="str">
        <f t="shared" si="9"/>
        <v xml:space="preserve">   </v>
      </c>
      <c r="X166" s="62" t="str">
        <f t="shared" si="10"/>
        <v xml:space="preserve">   </v>
      </c>
      <c r="Y166" s="62" t="str">
        <f t="shared" si="11"/>
        <v xml:space="preserve">   --</v>
      </c>
    </row>
    <row r="167" spans="1:25" x14ac:dyDescent="0.2">
      <c r="A167" s="50">
        <v>166</v>
      </c>
      <c r="I167" s="52"/>
      <c r="J167" s="52"/>
      <c r="Q167" s="52"/>
      <c r="S167" s="38"/>
      <c r="U167" s="51"/>
      <c r="V167" s="62" t="b">
        <f>IF(P167=CURSOS!$D$3,"DIPLOMADO EN ATENCION PRE-HOSPITALARIA",IF(P167=CURSOS!$D$4,"ACOMPAÑAMIENTO Y MANEJO DEL DUELO",IF(P167=CURSOS!$D$5,"ATENCION A VICTIMAS DE ATAQUE CON AGENTES QUIMICOS ",IF(P167=CURSOS!$D$6,"PRIMEROS AUXILIOS ",IF(P167=CURSOS!$D$7,"DIPLOMADO DE UNIDAD DE CUIDADOS INTENSIVOS (UCI)",IF(P167=CURSOS!$D$8,"MODELO DE ATENCION PARA EVENTOS EMERGENTES EN SALUD MENTAL (CODIGO VERDE)",IF(P167=CURSOS!$D$9,"HUMANIZACION EN EL SERVICIO DE LA SALUD Y BUENAS PRACTICAS EN PACIENTE ",IF(P167=CURSOS!$D$10,"CLINICA DE HERIDAS ",IF(P167=CURSOS!$D$11,"TOMA DE CITOLOGIA CERVICO VAGINAL ",IF(P167=CURSOS!$D$12,"SOPORTE CARDIOVASCULAR AVANZADO (ACLS) ",IF(P167=CURSOS!$D$13,"CAMILLERO ",IF(P167=CURSOS!$D$14,"TOMA DE MUESTRAS Y LABORATORIO ",IF(P167=CURSOS!$D$15,"SOPORTE VITAL BASICO (BLS)",IF(P167=CURSOS!$D$16,"ATENCION A VICTIMAS DE VIOLENCIA SEXUAL ",IF(P167=CURSOS!$D$17,"PROGRAMADO AMPLIADO DE INMUNIZACION (PAI - COVID 19)",IF(P167=CURSOS!$D$18,"ATENCION INTEGRAL EN ENFERMEDADES PREVALENTES EN PRIMERA INFANCIA (AIEPI)",IF(P167=CURSOS!$D$19,"ADMINISTRACION DE MEDICAMENTOS, INYECTOLOGIA  Y CANALIZACION ",IF(P167=CURSOS!$D$20,"OPERADOR DE VEHICULOS DE EMERGENCIA (OVE)",IF(P167=CURSOS!$D$21,"INSTITUCIONES AMIGAS DE LA MUJER Y LA INFANCIA (IAMI)",IF(P167=CURSOS!$D$22,"CUIDADO DEL DONANTE DE ORGANOS",IF(P167=CURSOS!$D$23,"ATENCION A VICTIMAS POR VIOLENCIA DE GENERO",IF(P167=CURSOS!$D$24,"IGUALDAD DE GENERO EN LA SALUD",IF(P167=CURSOS!$D$25,"BRIGADA DE EMERGENCIA",IF(P167=CURSOS!$D$26,"MANEJO DEL DOLOR Y CUIDADOS PALIATIVOS",IF(P167=CURSOS!$D$27,"TOMA DE MUESTRAS Y LABORATORIO POCT",IF(P167=CURSOS!$D$28,"IMPLANTE SUBDERMICO DE DISPOSITIVO INTRAUTERINO",IF(P167=CURSOS!$D$29,"SALUD MENTAL",IF(P167=CURSOS!$D$30,"PRIMEROS AUXILIOS PSICOLOGICOS",IF(P167=CURSOS!$D$31,"ATENCION A VICTIMAS POR CONFLICTO ARMADO",IF(P167=CURSOS!$D$32,"MANIPULACION DE ALIMENTOS Y BPM",IF(P167=CURSOS!$D$33,"ATENCION A PERSONAS CON DISCAPACIDAD",IF(P167=CURSOS!$D$34,"CUIDADO INTEGRAL DEL PACIENTE ADULTO",IF(P167=CURSOS!$D$35,"MANEJO DEFENSIVO",IF(P167=CURSOS!$D$36,"SOPORTE CARDIOVASCULAR AVANZADO NEONATAL",IF(P167=CURSOS!$D$37,"SEGURIDAD DEL PACIENTE",IF(P167=CURSOS!$D$38,"MANEJO DE RESIDUOS HOSPITALARIOS",IF(P167=CURSOS!$D$39,"ATENCION DE PACIENTE POR CONSUMO SUSTANCIAS PSICOACTIVAS Y ADICCIONES")))))))))))))))))))))))))))))))))))))</f>
        <v>0</v>
      </c>
      <c r="W167" s="62" t="str">
        <f t="shared" si="9"/>
        <v xml:space="preserve">   </v>
      </c>
      <c r="X167" s="62" t="str">
        <f t="shared" si="10"/>
        <v xml:space="preserve">   </v>
      </c>
      <c r="Y167" s="62" t="str">
        <f t="shared" si="11"/>
        <v xml:space="preserve">   --</v>
      </c>
    </row>
    <row r="168" spans="1:25" x14ac:dyDescent="0.2">
      <c r="A168" s="50">
        <v>167</v>
      </c>
      <c r="I168" s="52"/>
      <c r="J168" s="52"/>
      <c r="Q168" s="52"/>
      <c r="S168" s="38"/>
      <c r="U168" s="51"/>
      <c r="V168" s="62" t="b">
        <f>IF(P168=CURSOS!$D$3,"DIPLOMADO EN ATENCION PRE-HOSPITALARIA",IF(P168=CURSOS!$D$4,"ACOMPAÑAMIENTO Y MANEJO DEL DUELO",IF(P168=CURSOS!$D$5,"ATENCION A VICTIMAS DE ATAQUE CON AGENTES QUIMICOS ",IF(P168=CURSOS!$D$6,"PRIMEROS AUXILIOS ",IF(P168=CURSOS!$D$7,"DIPLOMADO DE UNIDAD DE CUIDADOS INTENSIVOS (UCI)",IF(P168=CURSOS!$D$8,"MODELO DE ATENCION PARA EVENTOS EMERGENTES EN SALUD MENTAL (CODIGO VERDE)",IF(P168=CURSOS!$D$9,"HUMANIZACION EN EL SERVICIO DE LA SALUD Y BUENAS PRACTICAS EN PACIENTE ",IF(P168=CURSOS!$D$10,"CLINICA DE HERIDAS ",IF(P168=CURSOS!$D$11,"TOMA DE CITOLOGIA CERVICO VAGINAL ",IF(P168=CURSOS!$D$12,"SOPORTE CARDIOVASCULAR AVANZADO (ACLS) ",IF(P168=CURSOS!$D$13,"CAMILLERO ",IF(P168=CURSOS!$D$14,"TOMA DE MUESTRAS Y LABORATORIO ",IF(P168=CURSOS!$D$15,"SOPORTE VITAL BASICO (BLS)",IF(P168=CURSOS!$D$16,"ATENCION A VICTIMAS DE VIOLENCIA SEXUAL ",IF(P168=CURSOS!$D$17,"PROGRAMADO AMPLIADO DE INMUNIZACION (PAI - COVID 19)",IF(P168=CURSOS!$D$18,"ATENCION INTEGRAL EN ENFERMEDADES PREVALENTES EN PRIMERA INFANCIA (AIEPI)",IF(P168=CURSOS!$D$19,"ADMINISTRACION DE MEDICAMENTOS, INYECTOLOGIA  Y CANALIZACION ",IF(P168=CURSOS!$D$20,"OPERADOR DE VEHICULOS DE EMERGENCIA (OVE)",IF(P168=CURSOS!$D$21,"INSTITUCIONES AMIGAS DE LA MUJER Y LA INFANCIA (IAMI)",IF(P168=CURSOS!$D$22,"CUIDADO DEL DONANTE DE ORGANOS",IF(P168=CURSOS!$D$23,"ATENCION A VICTIMAS POR VIOLENCIA DE GENERO",IF(P168=CURSOS!$D$24,"IGUALDAD DE GENERO EN LA SALUD",IF(P168=CURSOS!$D$25,"BRIGADA DE EMERGENCIA",IF(P168=CURSOS!$D$26,"MANEJO DEL DOLOR Y CUIDADOS PALIATIVOS",IF(P168=CURSOS!$D$27,"TOMA DE MUESTRAS Y LABORATORIO POCT",IF(P168=CURSOS!$D$28,"IMPLANTE SUBDERMICO DE DISPOSITIVO INTRAUTERINO",IF(P168=CURSOS!$D$29,"SALUD MENTAL",IF(P168=CURSOS!$D$30,"PRIMEROS AUXILIOS PSICOLOGICOS",IF(P168=CURSOS!$D$31,"ATENCION A VICTIMAS POR CONFLICTO ARMADO",IF(P168=CURSOS!$D$32,"MANIPULACION DE ALIMENTOS Y BPM",IF(P168=CURSOS!$D$33,"ATENCION A PERSONAS CON DISCAPACIDAD",IF(P168=CURSOS!$D$34,"CUIDADO INTEGRAL DEL PACIENTE ADULTO",IF(P168=CURSOS!$D$35,"MANEJO DEFENSIVO",IF(P168=CURSOS!$D$36,"SOPORTE CARDIOVASCULAR AVANZADO NEONATAL",IF(P168=CURSOS!$D$37,"SEGURIDAD DEL PACIENTE",IF(P168=CURSOS!$D$38,"MANEJO DE RESIDUOS HOSPITALARIOS",IF(P168=CURSOS!$D$39,"ATENCION DE PACIENTE POR CONSUMO SUSTANCIAS PSICOACTIVAS Y ADICCIONES")))))))))))))))))))))))))))))))))))))</f>
        <v>0</v>
      </c>
      <c r="W168" s="62" t="str">
        <f t="shared" si="9"/>
        <v xml:space="preserve">   </v>
      </c>
      <c r="X168" s="62" t="str">
        <f t="shared" si="10"/>
        <v xml:space="preserve">   </v>
      </c>
      <c r="Y168" s="62" t="str">
        <f t="shared" si="11"/>
        <v xml:space="preserve">   --</v>
      </c>
    </row>
    <row r="169" spans="1:25" x14ac:dyDescent="0.2">
      <c r="A169" s="50">
        <v>168</v>
      </c>
      <c r="I169" s="52"/>
      <c r="J169" s="52"/>
      <c r="Q169" s="52"/>
      <c r="S169" s="38"/>
      <c r="U169" s="51"/>
      <c r="V169" s="62" t="b">
        <f>IF(P169=CURSOS!$D$3,"DIPLOMADO EN ATENCION PRE-HOSPITALARIA",IF(P169=CURSOS!$D$4,"ACOMPAÑAMIENTO Y MANEJO DEL DUELO",IF(P169=CURSOS!$D$5,"ATENCION A VICTIMAS DE ATAQUE CON AGENTES QUIMICOS ",IF(P169=CURSOS!$D$6,"PRIMEROS AUXILIOS ",IF(P169=CURSOS!$D$7,"DIPLOMADO DE UNIDAD DE CUIDADOS INTENSIVOS (UCI)",IF(P169=CURSOS!$D$8,"MODELO DE ATENCION PARA EVENTOS EMERGENTES EN SALUD MENTAL (CODIGO VERDE)",IF(P169=CURSOS!$D$9,"HUMANIZACION EN EL SERVICIO DE LA SALUD Y BUENAS PRACTICAS EN PACIENTE ",IF(P169=CURSOS!$D$10,"CLINICA DE HERIDAS ",IF(P169=CURSOS!$D$11,"TOMA DE CITOLOGIA CERVICO VAGINAL ",IF(P169=CURSOS!$D$12,"SOPORTE CARDIOVASCULAR AVANZADO (ACLS) ",IF(P169=CURSOS!$D$13,"CAMILLERO ",IF(P169=CURSOS!$D$14,"TOMA DE MUESTRAS Y LABORATORIO ",IF(P169=CURSOS!$D$15,"SOPORTE VITAL BASICO (BLS)",IF(P169=CURSOS!$D$16,"ATENCION A VICTIMAS DE VIOLENCIA SEXUAL ",IF(P169=CURSOS!$D$17,"PROGRAMADO AMPLIADO DE INMUNIZACION (PAI - COVID 19)",IF(P169=CURSOS!$D$18,"ATENCION INTEGRAL EN ENFERMEDADES PREVALENTES EN PRIMERA INFANCIA (AIEPI)",IF(P169=CURSOS!$D$19,"ADMINISTRACION DE MEDICAMENTOS, INYECTOLOGIA  Y CANALIZACION ",IF(P169=CURSOS!$D$20,"OPERADOR DE VEHICULOS DE EMERGENCIA (OVE)",IF(P169=CURSOS!$D$21,"INSTITUCIONES AMIGAS DE LA MUJER Y LA INFANCIA (IAMI)",IF(P169=CURSOS!$D$22,"CUIDADO DEL DONANTE DE ORGANOS",IF(P169=CURSOS!$D$23,"ATENCION A VICTIMAS POR VIOLENCIA DE GENERO",IF(P169=CURSOS!$D$24,"IGUALDAD DE GENERO EN LA SALUD",IF(P169=CURSOS!$D$25,"BRIGADA DE EMERGENCIA",IF(P169=CURSOS!$D$26,"MANEJO DEL DOLOR Y CUIDADOS PALIATIVOS",IF(P169=CURSOS!$D$27,"TOMA DE MUESTRAS Y LABORATORIO POCT",IF(P169=CURSOS!$D$28,"IMPLANTE SUBDERMICO DE DISPOSITIVO INTRAUTERINO",IF(P169=CURSOS!$D$29,"SALUD MENTAL",IF(P169=CURSOS!$D$30,"PRIMEROS AUXILIOS PSICOLOGICOS",IF(P169=CURSOS!$D$31,"ATENCION A VICTIMAS POR CONFLICTO ARMADO",IF(P169=CURSOS!$D$32,"MANIPULACION DE ALIMENTOS Y BPM",IF(P169=CURSOS!$D$33,"ATENCION A PERSONAS CON DISCAPACIDAD",IF(P169=CURSOS!$D$34,"CUIDADO INTEGRAL DEL PACIENTE ADULTO",IF(P169=CURSOS!$D$35,"MANEJO DEFENSIVO",IF(P169=CURSOS!$D$36,"SOPORTE CARDIOVASCULAR AVANZADO NEONATAL",IF(P169=CURSOS!$D$37,"SEGURIDAD DEL PACIENTE",IF(P169=CURSOS!$D$38,"MANEJO DE RESIDUOS HOSPITALARIOS",IF(P169=CURSOS!$D$39,"ATENCION DE PACIENTE POR CONSUMO SUSTANCIAS PSICOACTIVAS Y ADICCIONES")))))))))))))))))))))))))))))))))))))</f>
        <v>0</v>
      </c>
      <c r="W169" s="62" t="str">
        <f t="shared" si="9"/>
        <v xml:space="preserve">   </v>
      </c>
      <c r="X169" s="62" t="str">
        <f t="shared" si="10"/>
        <v xml:space="preserve">   </v>
      </c>
      <c r="Y169" s="62" t="str">
        <f t="shared" si="11"/>
        <v xml:space="preserve">   --</v>
      </c>
    </row>
    <row r="170" spans="1:25" x14ac:dyDescent="0.2">
      <c r="A170" s="50">
        <v>169</v>
      </c>
      <c r="I170" s="52"/>
      <c r="J170" s="52"/>
      <c r="Q170" s="52"/>
      <c r="S170" s="38"/>
      <c r="U170" s="51"/>
      <c r="V170" s="62" t="b">
        <f>IF(P170=CURSOS!$D$3,"DIPLOMADO EN ATENCION PRE-HOSPITALARIA",IF(P170=CURSOS!$D$4,"ACOMPAÑAMIENTO Y MANEJO DEL DUELO",IF(P170=CURSOS!$D$5,"ATENCION A VICTIMAS DE ATAQUE CON AGENTES QUIMICOS ",IF(P170=CURSOS!$D$6,"PRIMEROS AUXILIOS ",IF(P170=CURSOS!$D$7,"DIPLOMADO DE UNIDAD DE CUIDADOS INTENSIVOS (UCI)",IF(P170=CURSOS!$D$8,"MODELO DE ATENCION PARA EVENTOS EMERGENTES EN SALUD MENTAL (CODIGO VERDE)",IF(P170=CURSOS!$D$9,"HUMANIZACION EN EL SERVICIO DE LA SALUD Y BUENAS PRACTICAS EN PACIENTE ",IF(P170=CURSOS!$D$10,"CLINICA DE HERIDAS ",IF(P170=CURSOS!$D$11,"TOMA DE CITOLOGIA CERVICO VAGINAL ",IF(P170=CURSOS!$D$12,"SOPORTE CARDIOVASCULAR AVANZADO (ACLS) ",IF(P170=CURSOS!$D$13,"CAMILLERO ",IF(P170=CURSOS!$D$14,"TOMA DE MUESTRAS Y LABORATORIO ",IF(P170=CURSOS!$D$15,"SOPORTE VITAL BASICO (BLS)",IF(P170=CURSOS!$D$16,"ATENCION A VICTIMAS DE VIOLENCIA SEXUAL ",IF(P170=CURSOS!$D$17,"PROGRAMADO AMPLIADO DE INMUNIZACION (PAI - COVID 19)",IF(P170=CURSOS!$D$18,"ATENCION INTEGRAL EN ENFERMEDADES PREVALENTES EN PRIMERA INFANCIA (AIEPI)",IF(P170=CURSOS!$D$19,"ADMINISTRACION DE MEDICAMENTOS, INYECTOLOGIA  Y CANALIZACION ",IF(P170=CURSOS!$D$20,"OPERADOR DE VEHICULOS DE EMERGENCIA (OVE)",IF(P170=CURSOS!$D$21,"INSTITUCIONES AMIGAS DE LA MUJER Y LA INFANCIA (IAMI)",IF(P170=CURSOS!$D$22,"CUIDADO DEL DONANTE DE ORGANOS",IF(P170=CURSOS!$D$23,"ATENCION A VICTIMAS POR VIOLENCIA DE GENERO",IF(P170=CURSOS!$D$24,"IGUALDAD DE GENERO EN LA SALUD",IF(P170=CURSOS!$D$25,"BRIGADA DE EMERGENCIA",IF(P170=CURSOS!$D$26,"MANEJO DEL DOLOR Y CUIDADOS PALIATIVOS",IF(P170=CURSOS!$D$27,"TOMA DE MUESTRAS Y LABORATORIO POCT",IF(P170=CURSOS!$D$28,"IMPLANTE SUBDERMICO DE DISPOSITIVO INTRAUTERINO",IF(P170=CURSOS!$D$29,"SALUD MENTAL",IF(P170=CURSOS!$D$30,"PRIMEROS AUXILIOS PSICOLOGICOS",IF(P170=CURSOS!$D$31,"ATENCION A VICTIMAS POR CONFLICTO ARMADO",IF(P170=CURSOS!$D$32,"MANIPULACION DE ALIMENTOS Y BPM",IF(P170=CURSOS!$D$33,"ATENCION A PERSONAS CON DISCAPACIDAD",IF(P170=CURSOS!$D$34,"CUIDADO INTEGRAL DEL PACIENTE ADULTO",IF(P170=CURSOS!$D$35,"MANEJO DEFENSIVO",IF(P170=CURSOS!$D$36,"SOPORTE CARDIOVASCULAR AVANZADO NEONATAL",IF(P170=CURSOS!$D$37,"SEGURIDAD DEL PACIENTE",IF(P170=CURSOS!$D$38,"MANEJO DE RESIDUOS HOSPITALARIOS",IF(P170=CURSOS!$D$39,"ATENCION DE PACIENTE POR CONSUMO SUSTANCIAS PSICOACTIVAS Y ADICCIONES")))))))))))))))))))))))))))))))))))))</f>
        <v>0</v>
      </c>
      <c r="W170" s="62" t="str">
        <f t="shared" si="9"/>
        <v xml:space="preserve">   </v>
      </c>
      <c r="X170" s="62" t="str">
        <f t="shared" si="10"/>
        <v xml:space="preserve">   </v>
      </c>
      <c r="Y170" s="62" t="str">
        <f t="shared" si="11"/>
        <v xml:space="preserve">   --</v>
      </c>
    </row>
    <row r="171" spans="1:25" x14ac:dyDescent="0.2">
      <c r="A171" s="50">
        <v>170</v>
      </c>
      <c r="I171" s="52"/>
      <c r="J171" s="52"/>
      <c r="Q171" s="52"/>
      <c r="S171" s="38"/>
      <c r="U171" s="51"/>
      <c r="V171" s="62" t="b">
        <f>IF(P171=CURSOS!$D$3,"DIPLOMADO EN ATENCION PRE-HOSPITALARIA",IF(P171=CURSOS!$D$4,"ACOMPAÑAMIENTO Y MANEJO DEL DUELO",IF(P171=CURSOS!$D$5,"ATENCION A VICTIMAS DE ATAQUE CON AGENTES QUIMICOS ",IF(P171=CURSOS!$D$6,"PRIMEROS AUXILIOS ",IF(P171=CURSOS!$D$7,"DIPLOMADO DE UNIDAD DE CUIDADOS INTENSIVOS (UCI)",IF(P171=CURSOS!$D$8,"MODELO DE ATENCION PARA EVENTOS EMERGENTES EN SALUD MENTAL (CODIGO VERDE)",IF(P171=CURSOS!$D$9,"HUMANIZACION EN EL SERVICIO DE LA SALUD Y BUENAS PRACTICAS EN PACIENTE ",IF(P171=CURSOS!$D$10,"CLINICA DE HERIDAS ",IF(P171=CURSOS!$D$11,"TOMA DE CITOLOGIA CERVICO VAGINAL ",IF(P171=CURSOS!$D$12,"SOPORTE CARDIOVASCULAR AVANZADO (ACLS) ",IF(P171=CURSOS!$D$13,"CAMILLERO ",IF(P171=CURSOS!$D$14,"TOMA DE MUESTRAS Y LABORATORIO ",IF(P171=CURSOS!$D$15,"SOPORTE VITAL BASICO (BLS)",IF(P171=CURSOS!$D$16,"ATENCION A VICTIMAS DE VIOLENCIA SEXUAL ",IF(P171=CURSOS!$D$17,"PROGRAMADO AMPLIADO DE INMUNIZACION (PAI - COVID 19)",IF(P171=CURSOS!$D$18,"ATENCION INTEGRAL EN ENFERMEDADES PREVALENTES EN PRIMERA INFANCIA (AIEPI)",IF(P171=CURSOS!$D$19,"ADMINISTRACION DE MEDICAMENTOS, INYECTOLOGIA  Y CANALIZACION ",IF(P171=CURSOS!$D$20,"OPERADOR DE VEHICULOS DE EMERGENCIA (OVE)",IF(P171=CURSOS!$D$21,"INSTITUCIONES AMIGAS DE LA MUJER Y LA INFANCIA (IAMI)",IF(P171=CURSOS!$D$22,"CUIDADO DEL DONANTE DE ORGANOS",IF(P171=CURSOS!$D$23,"ATENCION A VICTIMAS POR VIOLENCIA DE GENERO",IF(P171=CURSOS!$D$24,"IGUALDAD DE GENERO EN LA SALUD",IF(P171=CURSOS!$D$25,"BRIGADA DE EMERGENCIA",IF(P171=CURSOS!$D$26,"MANEJO DEL DOLOR Y CUIDADOS PALIATIVOS",IF(P171=CURSOS!$D$27,"TOMA DE MUESTRAS Y LABORATORIO POCT",IF(P171=CURSOS!$D$28,"IMPLANTE SUBDERMICO DE DISPOSITIVO INTRAUTERINO",IF(P171=CURSOS!$D$29,"SALUD MENTAL",IF(P171=CURSOS!$D$30,"PRIMEROS AUXILIOS PSICOLOGICOS",IF(P171=CURSOS!$D$31,"ATENCION A VICTIMAS POR CONFLICTO ARMADO",IF(P171=CURSOS!$D$32,"MANIPULACION DE ALIMENTOS Y BPM",IF(P171=CURSOS!$D$33,"ATENCION A PERSONAS CON DISCAPACIDAD",IF(P171=CURSOS!$D$34,"CUIDADO INTEGRAL DEL PACIENTE ADULTO",IF(P171=CURSOS!$D$35,"MANEJO DEFENSIVO",IF(P171=CURSOS!$D$36,"SOPORTE CARDIOVASCULAR AVANZADO NEONATAL",IF(P171=CURSOS!$D$37,"SEGURIDAD DEL PACIENTE",IF(P171=CURSOS!$D$38,"MANEJO DE RESIDUOS HOSPITALARIOS",IF(P171=CURSOS!$D$39,"ATENCION DE PACIENTE POR CONSUMO SUSTANCIAS PSICOACTIVAS Y ADICCIONES")))))))))))))))))))))))))))))))))))))</f>
        <v>0</v>
      </c>
      <c r="W171" s="62" t="str">
        <f t="shared" si="9"/>
        <v xml:space="preserve">   </v>
      </c>
      <c r="X171" s="62" t="str">
        <f t="shared" si="10"/>
        <v xml:space="preserve">   </v>
      </c>
      <c r="Y171" s="62" t="str">
        <f t="shared" si="11"/>
        <v xml:space="preserve">   --</v>
      </c>
    </row>
    <row r="172" spans="1:25" x14ac:dyDescent="0.2">
      <c r="A172" s="50">
        <v>171</v>
      </c>
      <c r="I172" s="52"/>
      <c r="J172" s="52"/>
      <c r="Q172" s="52"/>
      <c r="S172" s="38"/>
      <c r="U172" s="51"/>
      <c r="V172" s="62" t="b">
        <f>IF(P172=CURSOS!$D$3,"DIPLOMADO EN ATENCION PRE-HOSPITALARIA",IF(P172=CURSOS!$D$4,"ACOMPAÑAMIENTO Y MANEJO DEL DUELO",IF(P172=CURSOS!$D$5,"ATENCION A VICTIMAS DE ATAQUE CON AGENTES QUIMICOS ",IF(P172=CURSOS!$D$6,"PRIMEROS AUXILIOS ",IF(P172=CURSOS!$D$7,"DIPLOMADO DE UNIDAD DE CUIDADOS INTENSIVOS (UCI)",IF(P172=CURSOS!$D$8,"MODELO DE ATENCION PARA EVENTOS EMERGENTES EN SALUD MENTAL (CODIGO VERDE)",IF(P172=CURSOS!$D$9,"HUMANIZACION EN EL SERVICIO DE LA SALUD Y BUENAS PRACTICAS EN PACIENTE ",IF(P172=CURSOS!$D$10,"CLINICA DE HERIDAS ",IF(P172=CURSOS!$D$11,"TOMA DE CITOLOGIA CERVICO VAGINAL ",IF(P172=CURSOS!$D$12,"SOPORTE CARDIOVASCULAR AVANZADO (ACLS) ",IF(P172=CURSOS!$D$13,"CAMILLERO ",IF(P172=CURSOS!$D$14,"TOMA DE MUESTRAS Y LABORATORIO ",IF(P172=CURSOS!$D$15,"SOPORTE VITAL BASICO (BLS)",IF(P172=CURSOS!$D$16,"ATENCION A VICTIMAS DE VIOLENCIA SEXUAL ",IF(P172=CURSOS!$D$17,"PROGRAMADO AMPLIADO DE INMUNIZACION (PAI - COVID 19)",IF(P172=CURSOS!$D$18,"ATENCION INTEGRAL EN ENFERMEDADES PREVALENTES EN PRIMERA INFANCIA (AIEPI)",IF(P172=CURSOS!$D$19,"ADMINISTRACION DE MEDICAMENTOS, INYECTOLOGIA  Y CANALIZACION ",IF(P172=CURSOS!$D$20,"OPERADOR DE VEHICULOS DE EMERGENCIA (OVE)",IF(P172=CURSOS!$D$21,"INSTITUCIONES AMIGAS DE LA MUJER Y LA INFANCIA (IAMI)",IF(P172=CURSOS!$D$22,"CUIDADO DEL DONANTE DE ORGANOS",IF(P172=CURSOS!$D$23,"ATENCION A VICTIMAS POR VIOLENCIA DE GENERO",IF(P172=CURSOS!$D$24,"IGUALDAD DE GENERO EN LA SALUD",IF(P172=CURSOS!$D$25,"BRIGADA DE EMERGENCIA",IF(P172=CURSOS!$D$26,"MANEJO DEL DOLOR Y CUIDADOS PALIATIVOS",IF(P172=CURSOS!$D$27,"TOMA DE MUESTRAS Y LABORATORIO POCT",IF(P172=CURSOS!$D$28,"IMPLANTE SUBDERMICO DE DISPOSITIVO INTRAUTERINO",IF(P172=CURSOS!$D$29,"SALUD MENTAL",IF(P172=CURSOS!$D$30,"PRIMEROS AUXILIOS PSICOLOGICOS",IF(P172=CURSOS!$D$31,"ATENCION A VICTIMAS POR CONFLICTO ARMADO",IF(P172=CURSOS!$D$32,"MANIPULACION DE ALIMENTOS Y BPM",IF(P172=CURSOS!$D$33,"ATENCION A PERSONAS CON DISCAPACIDAD",IF(P172=CURSOS!$D$34,"CUIDADO INTEGRAL DEL PACIENTE ADULTO",IF(P172=CURSOS!$D$35,"MANEJO DEFENSIVO",IF(P172=CURSOS!$D$36,"SOPORTE CARDIOVASCULAR AVANZADO NEONATAL",IF(P172=CURSOS!$D$37,"SEGURIDAD DEL PACIENTE",IF(P172=CURSOS!$D$38,"MANEJO DE RESIDUOS HOSPITALARIOS",IF(P172=CURSOS!$D$39,"ATENCION DE PACIENTE POR CONSUMO SUSTANCIAS PSICOACTIVAS Y ADICCIONES")))))))))))))))))))))))))))))))))))))</f>
        <v>0</v>
      </c>
      <c r="W172" s="62" t="str">
        <f t="shared" si="9"/>
        <v xml:space="preserve">   </v>
      </c>
      <c r="X172" s="62" t="str">
        <f t="shared" si="10"/>
        <v xml:space="preserve">   </v>
      </c>
      <c r="Y172" s="62" t="str">
        <f t="shared" si="11"/>
        <v xml:space="preserve">   --</v>
      </c>
    </row>
    <row r="173" spans="1:25" x14ac:dyDescent="0.2">
      <c r="A173" s="50">
        <v>172</v>
      </c>
      <c r="I173" s="52"/>
      <c r="J173" s="52"/>
      <c r="Q173" s="52"/>
      <c r="S173" s="38"/>
      <c r="U173" s="37"/>
      <c r="V173" s="62" t="b">
        <f>IF(P173=CURSOS!$D$3,"DIPLOMADO EN ATENCION PRE-HOSPITALARIA",IF(P173=CURSOS!$D$4,"ACOMPAÑAMIENTO Y MANEJO DEL DUELO",IF(P173=CURSOS!$D$5,"ATENCION A VICTIMAS DE ATAQUE CON AGENTES QUIMICOS ",IF(P173=CURSOS!$D$6,"PRIMEROS AUXILIOS ",IF(P173=CURSOS!$D$7,"DIPLOMADO DE UNIDAD DE CUIDADOS INTENSIVOS (UCI)",IF(P173=CURSOS!$D$8,"MODELO DE ATENCION PARA EVENTOS EMERGENTES EN SALUD MENTAL (CODIGO VERDE)",IF(P173=CURSOS!$D$9,"HUMANIZACION EN EL SERVICIO DE LA SALUD Y BUENAS PRACTICAS EN PACIENTE ",IF(P173=CURSOS!$D$10,"CLINICA DE HERIDAS ",IF(P173=CURSOS!$D$11,"TOMA DE CITOLOGIA CERVICO VAGINAL ",IF(P173=CURSOS!$D$12,"SOPORTE CARDIOVASCULAR AVANZADO (ACLS) ",IF(P173=CURSOS!$D$13,"CAMILLERO ",IF(P173=CURSOS!$D$14,"TOMA DE MUESTRAS Y LABORATORIO ",IF(P173=CURSOS!$D$15,"SOPORTE VITAL BASICO (BLS)",IF(P173=CURSOS!$D$16,"ATENCION A VICTIMAS DE VIOLENCIA SEXUAL ",IF(P173=CURSOS!$D$17,"PROGRAMADO AMPLIADO DE INMUNIZACION (PAI - COVID 19)",IF(P173=CURSOS!$D$18,"ATENCION INTEGRAL EN ENFERMEDADES PREVALENTES EN PRIMERA INFANCIA (AIEPI)",IF(P173=CURSOS!$D$19,"ADMINISTRACION DE MEDICAMENTOS, INYECTOLOGIA  Y CANALIZACION ",IF(P173=CURSOS!$D$20,"OPERADOR DE VEHICULOS DE EMERGENCIA (OVE)",IF(P173=CURSOS!$D$21,"INSTITUCIONES AMIGAS DE LA MUJER Y LA INFANCIA (IAMI)",IF(P173=CURSOS!$D$22,"CUIDADO DEL DONANTE DE ORGANOS",IF(P173=CURSOS!$D$23,"ATENCION A VICTIMAS POR VIOLENCIA DE GENERO",IF(P173=CURSOS!$D$24,"IGUALDAD DE GENERO EN LA SALUD",IF(P173=CURSOS!$D$25,"BRIGADA DE EMERGENCIA",IF(P173=CURSOS!$D$26,"MANEJO DEL DOLOR Y CUIDADOS PALIATIVOS",IF(P173=CURSOS!$D$27,"TOMA DE MUESTRAS Y LABORATORIO POCT",IF(P173=CURSOS!$D$28,"IMPLANTE SUBDERMICO DE DISPOSITIVO INTRAUTERINO",IF(P173=CURSOS!$D$29,"SALUD MENTAL",IF(P173=CURSOS!$D$30,"PRIMEROS AUXILIOS PSICOLOGICOS",IF(P173=CURSOS!$D$31,"ATENCION A VICTIMAS POR CONFLICTO ARMADO",IF(P173=CURSOS!$D$32,"MANIPULACION DE ALIMENTOS Y BPM",IF(P173=CURSOS!$D$33,"ATENCION A PERSONAS CON DISCAPACIDAD",IF(P173=CURSOS!$D$34,"CUIDADO INTEGRAL DEL PACIENTE ADULTO",IF(P173=CURSOS!$D$35,"MANEJO DEFENSIVO",IF(P173=CURSOS!$D$36,"SOPORTE CARDIOVASCULAR AVANZADO NEONATAL",IF(P173=CURSOS!$D$37,"SEGURIDAD DEL PACIENTE",IF(P173=CURSOS!$D$38,"MANEJO DE RESIDUOS HOSPITALARIOS",IF(P173=CURSOS!$D$39,"ATENCION DE PACIENTE POR CONSUMO SUSTANCIAS PSICOACTIVAS Y ADICCIONES")))))))))))))))))))))))))))))))))))))</f>
        <v>0</v>
      </c>
      <c r="W173" s="62" t="str">
        <f t="shared" si="9"/>
        <v xml:space="preserve">   </v>
      </c>
      <c r="X173" s="62" t="str">
        <f t="shared" si="10"/>
        <v xml:space="preserve">   </v>
      </c>
      <c r="Y173" s="62" t="str">
        <f t="shared" si="11"/>
        <v xml:space="preserve">   --</v>
      </c>
    </row>
    <row r="174" spans="1:25" x14ac:dyDescent="0.2">
      <c r="A174" s="50">
        <v>173</v>
      </c>
      <c r="I174" s="52"/>
      <c r="J174" s="52"/>
      <c r="Q174" s="52"/>
      <c r="S174" s="38"/>
      <c r="U174" s="51"/>
      <c r="V174" s="62" t="b">
        <f>IF(P174=CURSOS!$D$3,"DIPLOMADO EN ATENCION PRE-HOSPITALARIA",IF(P174=CURSOS!$D$4,"ACOMPAÑAMIENTO Y MANEJO DEL DUELO",IF(P174=CURSOS!$D$5,"ATENCION A VICTIMAS DE ATAQUE CON AGENTES QUIMICOS ",IF(P174=CURSOS!$D$6,"PRIMEROS AUXILIOS ",IF(P174=CURSOS!$D$7,"DIPLOMADO DE UNIDAD DE CUIDADOS INTENSIVOS (UCI)",IF(P174=CURSOS!$D$8,"MODELO DE ATENCION PARA EVENTOS EMERGENTES EN SALUD MENTAL (CODIGO VERDE)",IF(P174=CURSOS!$D$9,"HUMANIZACION EN EL SERVICIO DE LA SALUD Y BUENAS PRACTICAS EN PACIENTE ",IF(P174=CURSOS!$D$10,"CLINICA DE HERIDAS ",IF(P174=CURSOS!$D$11,"TOMA DE CITOLOGIA CERVICO VAGINAL ",IF(P174=CURSOS!$D$12,"SOPORTE CARDIOVASCULAR AVANZADO (ACLS) ",IF(P174=CURSOS!$D$13,"CAMILLERO ",IF(P174=CURSOS!$D$14,"TOMA DE MUESTRAS Y LABORATORIO ",IF(P174=CURSOS!$D$15,"SOPORTE VITAL BASICO (BLS)",IF(P174=CURSOS!$D$16,"ATENCION A VICTIMAS DE VIOLENCIA SEXUAL ",IF(P174=CURSOS!$D$17,"PROGRAMADO AMPLIADO DE INMUNIZACION (PAI - COVID 19)",IF(P174=CURSOS!$D$18,"ATENCION INTEGRAL EN ENFERMEDADES PREVALENTES EN PRIMERA INFANCIA (AIEPI)",IF(P174=CURSOS!$D$19,"ADMINISTRACION DE MEDICAMENTOS, INYECTOLOGIA  Y CANALIZACION ",IF(P174=CURSOS!$D$20,"OPERADOR DE VEHICULOS DE EMERGENCIA (OVE)",IF(P174=CURSOS!$D$21,"INSTITUCIONES AMIGAS DE LA MUJER Y LA INFANCIA (IAMI)",IF(P174=CURSOS!$D$22,"CUIDADO DEL DONANTE DE ORGANOS",IF(P174=CURSOS!$D$23,"ATENCION A VICTIMAS POR VIOLENCIA DE GENERO",IF(P174=CURSOS!$D$24,"IGUALDAD DE GENERO EN LA SALUD",IF(P174=CURSOS!$D$25,"BRIGADA DE EMERGENCIA",IF(P174=CURSOS!$D$26,"MANEJO DEL DOLOR Y CUIDADOS PALIATIVOS",IF(P174=CURSOS!$D$27,"TOMA DE MUESTRAS Y LABORATORIO POCT",IF(P174=CURSOS!$D$28,"IMPLANTE SUBDERMICO DE DISPOSITIVO INTRAUTERINO",IF(P174=CURSOS!$D$29,"SALUD MENTAL",IF(P174=CURSOS!$D$30,"PRIMEROS AUXILIOS PSICOLOGICOS",IF(P174=CURSOS!$D$31,"ATENCION A VICTIMAS POR CONFLICTO ARMADO",IF(P174=CURSOS!$D$32,"MANIPULACION DE ALIMENTOS Y BPM",IF(P174=CURSOS!$D$33,"ATENCION A PERSONAS CON DISCAPACIDAD",IF(P174=CURSOS!$D$34,"CUIDADO INTEGRAL DEL PACIENTE ADULTO",IF(P174=CURSOS!$D$35,"MANEJO DEFENSIVO",IF(P174=CURSOS!$D$36,"SOPORTE CARDIOVASCULAR AVANZADO NEONATAL",IF(P174=CURSOS!$D$37,"SEGURIDAD DEL PACIENTE",IF(P174=CURSOS!$D$38,"MANEJO DE RESIDUOS HOSPITALARIOS",IF(P174=CURSOS!$D$39,"ATENCION DE PACIENTE POR CONSUMO SUSTANCIAS PSICOACTIVAS Y ADICCIONES")))))))))))))))))))))))))))))))))))))</f>
        <v>0</v>
      </c>
      <c r="W174" s="62" t="str">
        <f t="shared" si="9"/>
        <v xml:space="preserve">   </v>
      </c>
      <c r="X174" s="62" t="str">
        <f t="shared" si="10"/>
        <v xml:space="preserve">   </v>
      </c>
      <c r="Y174" s="62" t="str">
        <f t="shared" si="11"/>
        <v xml:space="preserve">   --</v>
      </c>
    </row>
    <row r="175" spans="1:25" x14ac:dyDescent="0.2">
      <c r="A175" s="50">
        <v>174</v>
      </c>
      <c r="I175" s="52"/>
      <c r="J175" s="52"/>
      <c r="Q175" s="52"/>
      <c r="U175" s="51"/>
      <c r="V175" s="62" t="b">
        <f>IF(P175=CURSOS!$D$3,"DIPLOMADO EN ATENCION PRE-HOSPITALARIA",IF(P175=CURSOS!$D$4,"ACOMPAÑAMIENTO Y MANEJO DEL DUELO",IF(P175=CURSOS!$D$5,"ATENCION A VICTIMAS DE ATAQUE CON AGENTES QUIMICOS ",IF(P175=CURSOS!$D$6,"PRIMEROS AUXILIOS ",IF(P175=CURSOS!$D$7,"DIPLOMADO DE UNIDAD DE CUIDADOS INTENSIVOS (UCI)",IF(P175=CURSOS!$D$8,"MODELO DE ATENCION PARA EVENTOS EMERGENTES EN SALUD MENTAL (CODIGO VERDE)",IF(P175=CURSOS!$D$9,"HUMANIZACION EN EL SERVICIO DE LA SALUD Y BUENAS PRACTICAS EN PACIENTE ",IF(P175=CURSOS!$D$10,"CLINICA DE HERIDAS ",IF(P175=CURSOS!$D$11,"TOMA DE CITOLOGIA CERVICO VAGINAL ",IF(P175=CURSOS!$D$12,"SOPORTE CARDIOVASCULAR AVANZADO (ACLS) ",IF(P175=CURSOS!$D$13,"CAMILLERO ",IF(P175=CURSOS!$D$14,"TOMA DE MUESTRAS Y LABORATORIO ",IF(P175=CURSOS!$D$15,"SOPORTE VITAL BASICO (BLS)",IF(P175=CURSOS!$D$16,"ATENCION A VICTIMAS DE VIOLENCIA SEXUAL ",IF(P175=CURSOS!$D$17,"PROGRAMADO AMPLIADO DE INMUNIZACION (PAI - COVID 19)",IF(P175=CURSOS!$D$18,"ATENCION INTEGRAL EN ENFERMEDADES PREVALENTES EN PRIMERA INFANCIA (AIEPI)",IF(P175=CURSOS!$D$19,"ADMINISTRACION DE MEDICAMENTOS, INYECTOLOGIA  Y CANALIZACION ",IF(P175=CURSOS!$D$20,"OPERADOR DE VEHICULOS DE EMERGENCIA (OVE)",IF(P175=CURSOS!$D$21,"INSTITUCIONES AMIGAS DE LA MUJER Y LA INFANCIA (IAMI)",IF(P175=CURSOS!$D$22,"CUIDADO DEL DONANTE DE ORGANOS",IF(P175=CURSOS!$D$23,"ATENCION A VICTIMAS POR VIOLENCIA DE GENERO",IF(P175=CURSOS!$D$24,"IGUALDAD DE GENERO EN LA SALUD",IF(P175=CURSOS!$D$25,"BRIGADA DE EMERGENCIA",IF(P175=CURSOS!$D$26,"MANEJO DEL DOLOR Y CUIDADOS PALIATIVOS",IF(P175=CURSOS!$D$27,"TOMA DE MUESTRAS Y LABORATORIO POCT",IF(P175=CURSOS!$D$28,"IMPLANTE SUBDERMICO DE DISPOSITIVO INTRAUTERINO",IF(P175=CURSOS!$D$29,"SALUD MENTAL",IF(P175=CURSOS!$D$30,"PRIMEROS AUXILIOS PSICOLOGICOS",IF(P175=CURSOS!$D$31,"ATENCION A VICTIMAS POR CONFLICTO ARMADO",IF(P175=CURSOS!$D$32,"MANIPULACION DE ALIMENTOS Y BPM",IF(P175=CURSOS!$D$33,"ATENCION A PERSONAS CON DISCAPACIDAD",IF(P175=CURSOS!$D$34,"CUIDADO INTEGRAL DEL PACIENTE ADULTO",IF(P175=CURSOS!$D$35,"MANEJO DEFENSIVO",IF(P175=CURSOS!$D$36,"SOPORTE CARDIOVASCULAR AVANZADO NEONATAL",IF(P175=CURSOS!$D$37,"SEGURIDAD DEL PACIENTE",IF(P175=CURSOS!$D$38,"MANEJO DE RESIDUOS HOSPITALARIOS",IF(P175=CURSOS!$D$39,"ATENCION DE PACIENTE POR CONSUMO SUSTANCIAS PSICOACTIVAS Y ADICCIONES")))))))))))))))))))))))))))))))))))))</f>
        <v>0</v>
      </c>
      <c r="W175" s="62" t="str">
        <f t="shared" si="9"/>
        <v xml:space="preserve">   </v>
      </c>
      <c r="X175" s="62" t="str">
        <f t="shared" si="10"/>
        <v xml:space="preserve">   </v>
      </c>
      <c r="Y175" s="62" t="str">
        <f t="shared" si="11"/>
        <v xml:space="preserve">   --</v>
      </c>
    </row>
    <row r="176" spans="1:25" x14ac:dyDescent="0.2">
      <c r="A176" s="50">
        <v>175</v>
      </c>
      <c r="I176" s="52"/>
      <c r="J176" s="52"/>
      <c r="Q176" s="52"/>
      <c r="U176" s="51"/>
      <c r="V176" s="62" t="b">
        <f>IF(P176=CURSOS!$D$3,"DIPLOMADO EN ATENCION PRE-HOSPITALARIA",IF(P176=CURSOS!$D$4,"ACOMPAÑAMIENTO Y MANEJO DEL DUELO",IF(P176=CURSOS!$D$5,"ATENCION A VICTIMAS DE ATAQUE CON AGENTES QUIMICOS ",IF(P176=CURSOS!$D$6,"PRIMEROS AUXILIOS ",IF(P176=CURSOS!$D$7,"DIPLOMADO DE UNIDAD DE CUIDADOS INTENSIVOS (UCI)",IF(P176=CURSOS!$D$8,"MODELO DE ATENCION PARA EVENTOS EMERGENTES EN SALUD MENTAL (CODIGO VERDE)",IF(P176=CURSOS!$D$9,"HUMANIZACION EN EL SERVICIO DE LA SALUD Y BUENAS PRACTICAS EN PACIENTE ",IF(P176=CURSOS!$D$10,"CLINICA DE HERIDAS ",IF(P176=CURSOS!$D$11,"TOMA DE CITOLOGIA CERVICO VAGINAL ",IF(P176=CURSOS!$D$12,"SOPORTE CARDIOVASCULAR AVANZADO (ACLS) ",IF(P176=CURSOS!$D$13,"CAMILLERO ",IF(P176=CURSOS!$D$14,"TOMA DE MUESTRAS Y LABORATORIO ",IF(P176=CURSOS!$D$15,"SOPORTE VITAL BASICO (BLS)",IF(P176=CURSOS!$D$16,"ATENCION A VICTIMAS DE VIOLENCIA SEXUAL ",IF(P176=CURSOS!$D$17,"PROGRAMADO AMPLIADO DE INMUNIZACION (PAI - COVID 19)",IF(P176=CURSOS!$D$18,"ATENCION INTEGRAL EN ENFERMEDADES PREVALENTES EN PRIMERA INFANCIA (AIEPI)",IF(P176=CURSOS!$D$19,"ADMINISTRACION DE MEDICAMENTOS, INYECTOLOGIA  Y CANALIZACION ",IF(P176=CURSOS!$D$20,"OPERADOR DE VEHICULOS DE EMERGENCIA (OVE)",IF(P176=CURSOS!$D$21,"INSTITUCIONES AMIGAS DE LA MUJER Y LA INFANCIA (IAMI)",IF(P176=CURSOS!$D$22,"CUIDADO DEL DONANTE DE ORGANOS",IF(P176=CURSOS!$D$23,"ATENCION A VICTIMAS POR VIOLENCIA DE GENERO",IF(P176=CURSOS!$D$24,"IGUALDAD DE GENERO EN LA SALUD",IF(P176=CURSOS!$D$25,"BRIGADA DE EMERGENCIA",IF(P176=CURSOS!$D$26,"MANEJO DEL DOLOR Y CUIDADOS PALIATIVOS",IF(P176=CURSOS!$D$27,"TOMA DE MUESTRAS Y LABORATORIO POCT",IF(P176=CURSOS!$D$28,"IMPLANTE SUBDERMICO DE DISPOSITIVO INTRAUTERINO",IF(P176=CURSOS!$D$29,"SALUD MENTAL",IF(P176=CURSOS!$D$30,"PRIMEROS AUXILIOS PSICOLOGICOS",IF(P176=CURSOS!$D$31,"ATENCION A VICTIMAS POR CONFLICTO ARMADO",IF(P176=CURSOS!$D$32,"MANIPULACION DE ALIMENTOS Y BPM",IF(P176=CURSOS!$D$33,"ATENCION A PERSONAS CON DISCAPACIDAD",IF(P176=CURSOS!$D$34,"CUIDADO INTEGRAL DEL PACIENTE ADULTO",IF(P176=CURSOS!$D$35,"MANEJO DEFENSIVO",IF(P176=CURSOS!$D$36,"SOPORTE CARDIOVASCULAR AVANZADO NEONATAL",IF(P176=CURSOS!$D$37,"SEGURIDAD DEL PACIENTE",IF(P176=CURSOS!$D$38,"MANEJO DE RESIDUOS HOSPITALARIOS",IF(P176=CURSOS!$D$39,"ATENCION DE PACIENTE POR CONSUMO SUSTANCIAS PSICOACTIVAS Y ADICCIONES")))))))))))))))))))))))))))))))))))))</f>
        <v>0</v>
      </c>
      <c r="W176" s="62" t="str">
        <f t="shared" si="9"/>
        <v xml:space="preserve">   </v>
      </c>
      <c r="X176" s="62" t="str">
        <f t="shared" si="10"/>
        <v xml:space="preserve">   </v>
      </c>
      <c r="Y176" s="62" t="str">
        <f t="shared" si="11"/>
        <v xml:space="preserve">   --</v>
      </c>
    </row>
    <row r="177" spans="1:25" x14ac:dyDescent="0.2">
      <c r="A177" s="50">
        <v>176</v>
      </c>
      <c r="I177" s="52"/>
      <c r="J177" s="52"/>
      <c r="Q177" s="52"/>
      <c r="S177" s="38"/>
      <c r="U177" s="51"/>
      <c r="V177" s="62" t="b">
        <f>IF(P177=CURSOS!$D$3,"DIPLOMADO EN ATENCION PRE-HOSPITALARIA",IF(P177=CURSOS!$D$4,"ACOMPAÑAMIENTO Y MANEJO DEL DUELO",IF(P177=CURSOS!$D$5,"ATENCION A VICTIMAS DE ATAQUE CON AGENTES QUIMICOS ",IF(P177=CURSOS!$D$6,"PRIMEROS AUXILIOS ",IF(P177=CURSOS!$D$7,"DIPLOMADO DE UNIDAD DE CUIDADOS INTENSIVOS (UCI)",IF(P177=CURSOS!$D$8,"MODELO DE ATENCION PARA EVENTOS EMERGENTES EN SALUD MENTAL (CODIGO VERDE)",IF(P177=CURSOS!$D$9,"HUMANIZACION EN EL SERVICIO DE LA SALUD Y BUENAS PRACTICAS EN PACIENTE ",IF(P177=CURSOS!$D$10,"CLINICA DE HERIDAS ",IF(P177=CURSOS!$D$11,"TOMA DE CITOLOGIA CERVICO VAGINAL ",IF(P177=CURSOS!$D$12,"SOPORTE CARDIOVASCULAR AVANZADO (ACLS) ",IF(P177=CURSOS!$D$13,"CAMILLERO ",IF(P177=CURSOS!$D$14,"TOMA DE MUESTRAS Y LABORATORIO ",IF(P177=CURSOS!$D$15,"SOPORTE VITAL BASICO (BLS)",IF(P177=CURSOS!$D$16,"ATENCION A VICTIMAS DE VIOLENCIA SEXUAL ",IF(P177=CURSOS!$D$17,"PROGRAMADO AMPLIADO DE INMUNIZACION (PAI - COVID 19)",IF(P177=CURSOS!$D$18,"ATENCION INTEGRAL EN ENFERMEDADES PREVALENTES EN PRIMERA INFANCIA (AIEPI)",IF(P177=CURSOS!$D$19,"ADMINISTRACION DE MEDICAMENTOS, INYECTOLOGIA  Y CANALIZACION ",IF(P177=CURSOS!$D$20,"OPERADOR DE VEHICULOS DE EMERGENCIA (OVE)",IF(P177=CURSOS!$D$21,"INSTITUCIONES AMIGAS DE LA MUJER Y LA INFANCIA (IAMI)",IF(P177=CURSOS!$D$22,"CUIDADO DEL DONANTE DE ORGANOS",IF(P177=CURSOS!$D$23,"ATENCION A VICTIMAS POR VIOLENCIA DE GENERO",IF(P177=CURSOS!$D$24,"IGUALDAD DE GENERO EN LA SALUD",IF(P177=CURSOS!$D$25,"BRIGADA DE EMERGENCIA",IF(P177=CURSOS!$D$26,"MANEJO DEL DOLOR Y CUIDADOS PALIATIVOS",IF(P177=CURSOS!$D$27,"TOMA DE MUESTRAS Y LABORATORIO POCT",IF(P177=CURSOS!$D$28,"IMPLANTE SUBDERMICO DE DISPOSITIVO INTRAUTERINO",IF(P177=CURSOS!$D$29,"SALUD MENTAL",IF(P177=CURSOS!$D$30,"PRIMEROS AUXILIOS PSICOLOGICOS",IF(P177=CURSOS!$D$31,"ATENCION A VICTIMAS POR CONFLICTO ARMADO",IF(P177=CURSOS!$D$32,"MANIPULACION DE ALIMENTOS Y BPM",IF(P177=CURSOS!$D$33,"ATENCION A PERSONAS CON DISCAPACIDAD",IF(P177=CURSOS!$D$34,"CUIDADO INTEGRAL DEL PACIENTE ADULTO",IF(P177=CURSOS!$D$35,"MANEJO DEFENSIVO",IF(P177=CURSOS!$D$36,"SOPORTE CARDIOVASCULAR AVANZADO NEONATAL",IF(P177=CURSOS!$D$37,"SEGURIDAD DEL PACIENTE",IF(P177=CURSOS!$D$38,"MANEJO DE RESIDUOS HOSPITALARIOS",IF(P177=CURSOS!$D$39,"ATENCION DE PACIENTE POR CONSUMO SUSTANCIAS PSICOACTIVAS Y ADICCIONES")))))))))))))))))))))))))))))))))))))</f>
        <v>0</v>
      </c>
      <c r="W177" s="62" t="str">
        <f t="shared" si="9"/>
        <v xml:space="preserve">   </v>
      </c>
      <c r="X177" s="62" t="str">
        <f t="shared" si="10"/>
        <v xml:space="preserve">   </v>
      </c>
      <c r="Y177" s="62" t="str">
        <f t="shared" si="11"/>
        <v xml:space="preserve">   --</v>
      </c>
    </row>
    <row r="178" spans="1:25" x14ac:dyDescent="0.2">
      <c r="A178" s="50">
        <v>177</v>
      </c>
      <c r="I178" s="52"/>
      <c r="J178" s="52"/>
      <c r="Q178" s="52"/>
      <c r="S178" s="38"/>
      <c r="U178" s="51"/>
      <c r="V178" s="62" t="b">
        <f>IF(P178=CURSOS!$D$3,"DIPLOMADO EN ATENCION PRE-HOSPITALARIA",IF(P178=CURSOS!$D$4,"ACOMPAÑAMIENTO Y MANEJO DEL DUELO",IF(P178=CURSOS!$D$5,"ATENCION A VICTIMAS DE ATAQUE CON AGENTES QUIMICOS ",IF(P178=CURSOS!$D$6,"PRIMEROS AUXILIOS ",IF(P178=CURSOS!$D$7,"DIPLOMADO DE UNIDAD DE CUIDADOS INTENSIVOS (UCI)",IF(P178=CURSOS!$D$8,"MODELO DE ATENCION PARA EVENTOS EMERGENTES EN SALUD MENTAL (CODIGO VERDE)",IF(P178=CURSOS!$D$9,"HUMANIZACION EN EL SERVICIO DE LA SALUD Y BUENAS PRACTICAS EN PACIENTE ",IF(P178=CURSOS!$D$10,"CLINICA DE HERIDAS ",IF(P178=CURSOS!$D$11,"TOMA DE CITOLOGIA CERVICO VAGINAL ",IF(P178=CURSOS!$D$12,"SOPORTE CARDIOVASCULAR AVANZADO (ACLS) ",IF(P178=CURSOS!$D$13,"CAMILLERO ",IF(P178=CURSOS!$D$14,"TOMA DE MUESTRAS Y LABORATORIO ",IF(P178=CURSOS!$D$15,"SOPORTE VITAL BASICO (BLS)",IF(P178=CURSOS!$D$16,"ATENCION A VICTIMAS DE VIOLENCIA SEXUAL ",IF(P178=CURSOS!$D$17,"PROGRAMADO AMPLIADO DE INMUNIZACION (PAI - COVID 19)",IF(P178=CURSOS!$D$18,"ATENCION INTEGRAL EN ENFERMEDADES PREVALENTES EN PRIMERA INFANCIA (AIEPI)",IF(P178=CURSOS!$D$19,"ADMINISTRACION DE MEDICAMENTOS, INYECTOLOGIA  Y CANALIZACION ",IF(P178=CURSOS!$D$20,"OPERADOR DE VEHICULOS DE EMERGENCIA (OVE)",IF(P178=CURSOS!$D$21,"INSTITUCIONES AMIGAS DE LA MUJER Y LA INFANCIA (IAMI)",IF(P178=CURSOS!$D$22,"CUIDADO DEL DONANTE DE ORGANOS",IF(P178=CURSOS!$D$23,"ATENCION A VICTIMAS POR VIOLENCIA DE GENERO",IF(P178=CURSOS!$D$24,"IGUALDAD DE GENERO EN LA SALUD",IF(P178=CURSOS!$D$25,"BRIGADA DE EMERGENCIA",IF(P178=CURSOS!$D$26,"MANEJO DEL DOLOR Y CUIDADOS PALIATIVOS",IF(P178=CURSOS!$D$27,"TOMA DE MUESTRAS Y LABORATORIO POCT",IF(P178=CURSOS!$D$28,"IMPLANTE SUBDERMICO DE DISPOSITIVO INTRAUTERINO",IF(P178=CURSOS!$D$29,"SALUD MENTAL",IF(P178=CURSOS!$D$30,"PRIMEROS AUXILIOS PSICOLOGICOS",IF(P178=CURSOS!$D$31,"ATENCION A VICTIMAS POR CONFLICTO ARMADO",IF(P178=CURSOS!$D$32,"MANIPULACION DE ALIMENTOS Y BPM",IF(P178=CURSOS!$D$33,"ATENCION A PERSONAS CON DISCAPACIDAD",IF(P178=CURSOS!$D$34,"CUIDADO INTEGRAL DEL PACIENTE ADULTO",IF(P178=CURSOS!$D$35,"MANEJO DEFENSIVO",IF(P178=CURSOS!$D$36,"SOPORTE CARDIOVASCULAR AVANZADO NEONATAL",IF(P178=CURSOS!$D$37,"SEGURIDAD DEL PACIENTE",IF(P178=CURSOS!$D$38,"MANEJO DE RESIDUOS HOSPITALARIOS",IF(P178=CURSOS!$D$39,"ATENCION DE PACIENTE POR CONSUMO SUSTANCIAS PSICOACTIVAS Y ADICCIONES")))))))))))))))))))))))))))))))))))))</f>
        <v>0</v>
      </c>
      <c r="W178" s="62" t="str">
        <f t="shared" si="9"/>
        <v xml:space="preserve">   </v>
      </c>
      <c r="X178" s="62" t="str">
        <f t="shared" si="10"/>
        <v xml:space="preserve">   </v>
      </c>
      <c r="Y178" s="62" t="str">
        <f t="shared" si="11"/>
        <v xml:space="preserve">   --</v>
      </c>
    </row>
    <row r="179" spans="1:25" x14ac:dyDescent="0.2">
      <c r="A179" s="50">
        <v>178</v>
      </c>
      <c r="I179" s="52"/>
      <c r="J179" s="52"/>
      <c r="Q179" s="52"/>
      <c r="U179" s="51"/>
      <c r="V179" s="62" t="b">
        <f>IF(P179=CURSOS!$D$3,"DIPLOMADO EN ATENCION PRE-HOSPITALARIA",IF(P179=CURSOS!$D$4,"ACOMPAÑAMIENTO Y MANEJO DEL DUELO",IF(P179=CURSOS!$D$5,"ATENCION A VICTIMAS DE ATAQUE CON AGENTES QUIMICOS ",IF(P179=CURSOS!$D$6,"PRIMEROS AUXILIOS ",IF(P179=CURSOS!$D$7,"DIPLOMADO DE UNIDAD DE CUIDADOS INTENSIVOS (UCI)",IF(P179=CURSOS!$D$8,"MODELO DE ATENCION PARA EVENTOS EMERGENTES EN SALUD MENTAL (CODIGO VERDE)",IF(P179=CURSOS!$D$9,"HUMANIZACION EN EL SERVICIO DE LA SALUD Y BUENAS PRACTICAS EN PACIENTE ",IF(P179=CURSOS!$D$10,"CLINICA DE HERIDAS ",IF(P179=CURSOS!$D$11,"TOMA DE CITOLOGIA CERVICO VAGINAL ",IF(P179=CURSOS!$D$12,"SOPORTE CARDIOVASCULAR AVANZADO (ACLS) ",IF(P179=CURSOS!$D$13,"CAMILLERO ",IF(P179=CURSOS!$D$14,"TOMA DE MUESTRAS Y LABORATORIO ",IF(P179=CURSOS!$D$15,"SOPORTE VITAL BASICO (BLS)",IF(P179=CURSOS!$D$16,"ATENCION A VICTIMAS DE VIOLENCIA SEXUAL ",IF(P179=CURSOS!$D$17,"PROGRAMADO AMPLIADO DE INMUNIZACION (PAI - COVID 19)",IF(P179=CURSOS!$D$18,"ATENCION INTEGRAL EN ENFERMEDADES PREVALENTES EN PRIMERA INFANCIA (AIEPI)",IF(P179=CURSOS!$D$19,"ADMINISTRACION DE MEDICAMENTOS, INYECTOLOGIA  Y CANALIZACION ",IF(P179=CURSOS!$D$20,"OPERADOR DE VEHICULOS DE EMERGENCIA (OVE)",IF(P179=CURSOS!$D$21,"INSTITUCIONES AMIGAS DE LA MUJER Y LA INFANCIA (IAMI)",IF(P179=CURSOS!$D$22,"CUIDADO DEL DONANTE DE ORGANOS",IF(P179=CURSOS!$D$23,"ATENCION A VICTIMAS POR VIOLENCIA DE GENERO",IF(P179=CURSOS!$D$24,"IGUALDAD DE GENERO EN LA SALUD",IF(P179=CURSOS!$D$25,"BRIGADA DE EMERGENCIA",IF(P179=CURSOS!$D$26,"MANEJO DEL DOLOR Y CUIDADOS PALIATIVOS",IF(P179=CURSOS!$D$27,"TOMA DE MUESTRAS Y LABORATORIO POCT",IF(P179=CURSOS!$D$28,"IMPLANTE SUBDERMICO DE DISPOSITIVO INTRAUTERINO",IF(P179=CURSOS!$D$29,"SALUD MENTAL",IF(P179=CURSOS!$D$30,"PRIMEROS AUXILIOS PSICOLOGICOS",IF(P179=CURSOS!$D$31,"ATENCION A VICTIMAS POR CONFLICTO ARMADO",IF(P179=CURSOS!$D$32,"MANIPULACION DE ALIMENTOS Y BPM",IF(P179=CURSOS!$D$33,"ATENCION A PERSONAS CON DISCAPACIDAD",IF(P179=CURSOS!$D$34,"CUIDADO INTEGRAL DEL PACIENTE ADULTO",IF(P179=CURSOS!$D$35,"MANEJO DEFENSIVO",IF(P179=CURSOS!$D$36,"SOPORTE CARDIOVASCULAR AVANZADO NEONATAL",IF(P179=CURSOS!$D$37,"SEGURIDAD DEL PACIENTE",IF(P179=CURSOS!$D$38,"MANEJO DE RESIDUOS HOSPITALARIOS",IF(P179=CURSOS!$D$39,"ATENCION DE PACIENTE POR CONSUMO SUSTANCIAS PSICOACTIVAS Y ADICCIONES")))))))))))))))))))))))))))))))))))))</f>
        <v>0</v>
      </c>
      <c r="W179" s="62" t="str">
        <f t="shared" si="9"/>
        <v xml:space="preserve">   </v>
      </c>
      <c r="X179" s="62" t="str">
        <f t="shared" si="10"/>
        <v xml:space="preserve">   </v>
      </c>
      <c r="Y179" s="62" t="str">
        <f t="shared" si="11"/>
        <v xml:space="preserve">   --</v>
      </c>
    </row>
    <row r="180" spans="1:25" x14ac:dyDescent="0.2">
      <c r="A180" s="50">
        <v>179</v>
      </c>
      <c r="I180" s="52"/>
      <c r="J180" s="52"/>
      <c r="Q180" s="52"/>
      <c r="U180" s="51"/>
      <c r="V180" s="62" t="b">
        <f>IF(P180=CURSOS!$D$3,"DIPLOMADO EN ATENCION PRE-HOSPITALARIA",IF(P180=CURSOS!$D$4,"ACOMPAÑAMIENTO Y MANEJO DEL DUELO",IF(P180=CURSOS!$D$5,"ATENCION A VICTIMAS DE ATAQUE CON AGENTES QUIMICOS ",IF(P180=CURSOS!$D$6,"PRIMEROS AUXILIOS ",IF(P180=CURSOS!$D$7,"DIPLOMADO DE UNIDAD DE CUIDADOS INTENSIVOS (UCI)",IF(P180=CURSOS!$D$8,"MODELO DE ATENCION PARA EVENTOS EMERGENTES EN SALUD MENTAL (CODIGO VERDE)",IF(P180=CURSOS!$D$9,"HUMANIZACION EN EL SERVICIO DE LA SALUD Y BUENAS PRACTICAS EN PACIENTE ",IF(P180=CURSOS!$D$10,"CLINICA DE HERIDAS ",IF(P180=CURSOS!$D$11,"TOMA DE CITOLOGIA CERVICO VAGINAL ",IF(P180=CURSOS!$D$12,"SOPORTE CARDIOVASCULAR AVANZADO (ACLS) ",IF(P180=CURSOS!$D$13,"CAMILLERO ",IF(P180=CURSOS!$D$14,"TOMA DE MUESTRAS Y LABORATORIO ",IF(P180=CURSOS!$D$15,"SOPORTE VITAL BASICO (BLS)",IF(P180=CURSOS!$D$16,"ATENCION A VICTIMAS DE VIOLENCIA SEXUAL ",IF(P180=CURSOS!$D$17,"PROGRAMADO AMPLIADO DE INMUNIZACION (PAI - COVID 19)",IF(P180=CURSOS!$D$18,"ATENCION INTEGRAL EN ENFERMEDADES PREVALENTES EN PRIMERA INFANCIA (AIEPI)",IF(P180=CURSOS!$D$19,"ADMINISTRACION DE MEDICAMENTOS, INYECTOLOGIA  Y CANALIZACION ",IF(P180=CURSOS!$D$20,"OPERADOR DE VEHICULOS DE EMERGENCIA (OVE)",IF(P180=CURSOS!$D$21,"INSTITUCIONES AMIGAS DE LA MUJER Y LA INFANCIA (IAMI)",IF(P180=CURSOS!$D$22,"CUIDADO DEL DONANTE DE ORGANOS",IF(P180=CURSOS!$D$23,"ATENCION A VICTIMAS POR VIOLENCIA DE GENERO",IF(P180=CURSOS!$D$24,"IGUALDAD DE GENERO EN LA SALUD",IF(P180=CURSOS!$D$25,"BRIGADA DE EMERGENCIA",IF(P180=CURSOS!$D$26,"MANEJO DEL DOLOR Y CUIDADOS PALIATIVOS",IF(P180=CURSOS!$D$27,"TOMA DE MUESTRAS Y LABORATORIO POCT",IF(P180=CURSOS!$D$28,"IMPLANTE SUBDERMICO DE DISPOSITIVO INTRAUTERINO",IF(P180=CURSOS!$D$29,"SALUD MENTAL",IF(P180=CURSOS!$D$30,"PRIMEROS AUXILIOS PSICOLOGICOS",IF(P180=CURSOS!$D$31,"ATENCION A VICTIMAS POR CONFLICTO ARMADO",IF(P180=CURSOS!$D$32,"MANIPULACION DE ALIMENTOS Y BPM",IF(P180=CURSOS!$D$33,"ATENCION A PERSONAS CON DISCAPACIDAD",IF(P180=CURSOS!$D$34,"CUIDADO INTEGRAL DEL PACIENTE ADULTO",IF(P180=CURSOS!$D$35,"MANEJO DEFENSIVO",IF(P180=CURSOS!$D$36,"SOPORTE CARDIOVASCULAR AVANZADO NEONATAL",IF(P180=CURSOS!$D$37,"SEGURIDAD DEL PACIENTE",IF(P180=CURSOS!$D$38,"MANEJO DE RESIDUOS HOSPITALARIOS",IF(P180=CURSOS!$D$39,"ATENCION DE PACIENTE POR CONSUMO SUSTANCIAS PSICOACTIVAS Y ADICCIONES")))))))))))))))))))))))))))))))))))))</f>
        <v>0</v>
      </c>
      <c r="W180" s="62" t="str">
        <f t="shared" si="9"/>
        <v xml:space="preserve">   </v>
      </c>
      <c r="X180" s="62" t="str">
        <f t="shared" si="10"/>
        <v xml:space="preserve">   </v>
      </c>
      <c r="Y180" s="62" t="str">
        <f t="shared" si="11"/>
        <v xml:space="preserve">   --</v>
      </c>
    </row>
    <row r="181" spans="1:25" x14ac:dyDescent="0.2">
      <c r="A181" s="50">
        <v>180</v>
      </c>
      <c r="I181" s="55"/>
      <c r="J181" s="55"/>
      <c r="Q181" s="52"/>
      <c r="U181" s="51"/>
      <c r="V181" s="62" t="b">
        <f>IF(P181=CURSOS!$D$3,"DIPLOMADO EN ATENCION PRE-HOSPITALARIA",IF(P181=CURSOS!$D$4,"ACOMPAÑAMIENTO Y MANEJO DEL DUELO",IF(P181=CURSOS!$D$5,"ATENCION A VICTIMAS DE ATAQUE CON AGENTES QUIMICOS ",IF(P181=CURSOS!$D$6,"PRIMEROS AUXILIOS ",IF(P181=CURSOS!$D$7,"DIPLOMADO DE UNIDAD DE CUIDADOS INTENSIVOS (UCI)",IF(P181=CURSOS!$D$8,"MODELO DE ATENCION PARA EVENTOS EMERGENTES EN SALUD MENTAL (CODIGO VERDE)",IF(P181=CURSOS!$D$9,"HUMANIZACION EN EL SERVICIO DE LA SALUD Y BUENAS PRACTICAS EN PACIENTE ",IF(P181=CURSOS!$D$10,"CLINICA DE HERIDAS ",IF(P181=CURSOS!$D$11,"TOMA DE CITOLOGIA CERVICO VAGINAL ",IF(P181=CURSOS!$D$12,"SOPORTE CARDIOVASCULAR AVANZADO (ACLS) ",IF(P181=CURSOS!$D$13,"CAMILLERO ",IF(P181=CURSOS!$D$14,"TOMA DE MUESTRAS Y LABORATORIO ",IF(P181=CURSOS!$D$15,"SOPORTE VITAL BASICO (BLS)",IF(P181=CURSOS!$D$16,"ATENCION A VICTIMAS DE VIOLENCIA SEXUAL ",IF(P181=CURSOS!$D$17,"PROGRAMADO AMPLIADO DE INMUNIZACION (PAI - COVID 19)",IF(P181=CURSOS!$D$18,"ATENCION INTEGRAL EN ENFERMEDADES PREVALENTES EN PRIMERA INFANCIA (AIEPI)",IF(P181=CURSOS!$D$19,"ADMINISTRACION DE MEDICAMENTOS, INYECTOLOGIA  Y CANALIZACION ",IF(P181=CURSOS!$D$20,"OPERADOR DE VEHICULOS DE EMERGENCIA (OVE)",IF(P181=CURSOS!$D$21,"INSTITUCIONES AMIGAS DE LA MUJER Y LA INFANCIA (IAMI)",IF(P181=CURSOS!$D$22,"CUIDADO DEL DONANTE DE ORGANOS",IF(P181=CURSOS!$D$23,"ATENCION A VICTIMAS POR VIOLENCIA DE GENERO",IF(P181=CURSOS!$D$24,"IGUALDAD DE GENERO EN LA SALUD",IF(P181=CURSOS!$D$25,"BRIGADA DE EMERGENCIA",IF(P181=CURSOS!$D$26,"MANEJO DEL DOLOR Y CUIDADOS PALIATIVOS",IF(P181=CURSOS!$D$27,"TOMA DE MUESTRAS Y LABORATORIO POCT",IF(P181=CURSOS!$D$28,"IMPLANTE SUBDERMICO DE DISPOSITIVO INTRAUTERINO",IF(P181=CURSOS!$D$29,"SALUD MENTAL",IF(P181=CURSOS!$D$30,"PRIMEROS AUXILIOS PSICOLOGICOS",IF(P181=CURSOS!$D$31,"ATENCION A VICTIMAS POR CONFLICTO ARMADO",IF(P181=CURSOS!$D$32,"MANIPULACION DE ALIMENTOS Y BPM",IF(P181=CURSOS!$D$33,"ATENCION A PERSONAS CON DISCAPACIDAD",IF(P181=CURSOS!$D$34,"CUIDADO INTEGRAL DEL PACIENTE ADULTO",IF(P181=CURSOS!$D$35,"MANEJO DEFENSIVO",IF(P181=CURSOS!$D$36,"SOPORTE CARDIOVASCULAR AVANZADO NEONATAL",IF(P181=CURSOS!$D$37,"SEGURIDAD DEL PACIENTE",IF(P181=CURSOS!$D$38,"MANEJO DE RESIDUOS HOSPITALARIOS",IF(P181=CURSOS!$D$39,"ATENCION DE PACIENTE POR CONSUMO SUSTANCIAS PSICOACTIVAS Y ADICCIONES")))))))))))))))))))))))))))))))))))))</f>
        <v>0</v>
      </c>
      <c r="W181" s="62" t="str">
        <f t="shared" si="9"/>
        <v xml:space="preserve">   </v>
      </c>
      <c r="X181" s="62" t="str">
        <f t="shared" si="10"/>
        <v xml:space="preserve">   </v>
      </c>
      <c r="Y181" s="62" t="str">
        <f t="shared" si="11"/>
        <v xml:space="preserve">   --</v>
      </c>
    </row>
    <row r="182" spans="1:25" x14ac:dyDescent="0.2">
      <c r="A182" s="50">
        <v>181</v>
      </c>
      <c r="I182" s="55"/>
      <c r="J182" s="55"/>
      <c r="Q182" s="52"/>
      <c r="U182" s="37"/>
      <c r="V182" s="62" t="b">
        <f>IF(P182=CURSOS!$D$3,"DIPLOMADO EN ATENCION PRE-HOSPITALARIA",IF(P182=CURSOS!$D$4,"ACOMPAÑAMIENTO Y MANEJO DEL DUELO",IF(P182=CURSOS!$D$5,"ATENCION A VICTIMAS DE ATAQUE CON AGENTES QUIMICOS ",IF(P182=CURSOS!$D$6,"PRIMEROS AUXILIOS ",IF(P182=CURSOS!$D$7,"DIPLOMADO DE UNIDAD DE CUIDADOS INTENSIVOS (UCI)",IF(P182=CURSOS!$D$8,"MODELO DE ATENCION PARA EVENTOS EMERGENTES EN SALUD MENTAL (CODIGO VERDE)",IF(P182=CURSOS!$D$9,"HUMANIZACION EN EL SERVICIO DE LA SALUD Y BUENAS PRACTICAS EN PACIENTE ",IF(P182=CURSOS!$D$10,"CLINICA DE HERIDAS ",IF(P182=CURSOS!$D$11,"TOMA DE CITOLOGIA CERVICO VAGINAL ",IF(P182=CURSOS!$D$12,"SOPORTE CARDIOVASCULAR AVANZADO (ACLS) ",IF(P182=CURSOS!$D$13,"CAMILLERO ",IF(P182=CURSOS!$D$14,"TOMA DE MUESTRAS Y LABORATORIO ",IF(P182=CURSOS!$D$15,"SOPORTE VITAL BASICO (BLS)",IF(P182=CURSOS!$D$16,"ATENCION A VICTIMAS DE VIOLENCIA SEXUAL ",IF(P182=CURSOS!$D$17,"PROGRAMADO AMPLIADO DE INMUNIZACION (PAI - COVID 19)",IF(P182=CURSOS!$D$18,"ATENCION INTEGRAL EN ENFERMEDADES PREVALENTES EN PRIMERA INFANCIA (AIEPI)",IF(P182=CURSOS!$D$19,"ADMINISTRACION DE MEDICAMENTOS, INYECTOLOGIA  Y CANALIZACION ",IF(P182=CURSOS!$D$20,"OPERADOR DE VEHICULOS DE EMERGENCIA (OVE)",IF(P182=CURSOS!$D$21,"INSTITUCIONES AMIGAS DE LA MUJER Y LA INFANCIA (IAMI)",IF(P182=CURSOS!$D$22,"CUIDADO DEL DONANTE DE ORGANOS",IF(P182=CURSOS!$D$23,"ATENCION A VICTIMAS POR VIOLENCIA DE GENERO",IF(P182=CURSOS!$D$24,"IGUALDAD DE GENERO EN LA SALUD",IF(P182=CURSOS!$D$25,"BRIGADA DE EMERGENCIA",IF(P182=CURSOS!$D$26,"MANEJO DEL DOLOR Y CUIDADOS PALIATIVOS",IF(P182=CURSOS!$D$27,"TOMA DE MUESTRAS Y LABORATORIO POCT",IF(P182=CURSOS!$D$28,"IMPLANTE SUBDERMICO DE DISPOSITIVO INTRAUTERINO",IF(P182=CURSOS!$D$29,"SALUD MENTAL",IF(P182=CURSOS!$D$30,"PRIMEROS AUXILIOS PSICOLOGICOS",IF(P182=CURSOS!$D$31,"ATENCION A VICTIMAS POR CONFLICTO ARMADO",IF(P182=CURSOS!$D$32,"MANIPULACION DE ALIMENTOS Y BPM",IF(P182=CURSOS!$D$33,"ATENCION A PERSONAS CON DISCAPACIDAD",IF(P182=CURSOS!$D$34,"CUIDADO INTEGRAL DEL PACIENTE ADULTO",IF(P182=CURSOS!$D$35,"MANEJO DEFENSIVO",IF(P182=CURSOS!$D$36,"SOPORTE CARDIOVASCULAR AVANZADO NEONATAL",IF(P182=CURSOS!$D$37,"SEGURIDAD DEL PACIENTE",IF(P182=CURSOS!$D$38,"MANEJO DE RESIDUOS HOSPITALARIOS",IF(P182=CURSOS!$D$39,"ATENCION DE PACIENTE POR CONSUMO SUSTANCIAS PSICOACTIVAS Y ADICCIONES")))))))))))))))))))))))))))))))))))))</f>
        <v>0</v>
      </c>
      <c r="W182" s="62" t="str">
        <f t="shared" si="9"/>
        <v xml:space="preserve">   </v>
      </c>
      <c r="X182" s="62" t="str">
        <f t="shared" si="10"/>
        <v xml:space="preserve">   </v>
      </c>
      <c r="Y182" s="62" t="str">
        <f t="shared" si="11"/>
        <v xml:space="preserve">   --</v>
      </c>
    </row>
    <row r="183" spans="1:25" x14ac:dyDescent="0.2">
      <c r="A183" s="50">
        <v>182</v>
      </c>
      <c r="I183" s="55"/>
      <c r="J183" s="55"/>
      <c r="Q183" s="52"/>
      <c r="U183" s="37"/>
      <c r="V183" s="62" t="b">
        <f>IF(P183=CURSOS!$D$3,"DIPLOMADO EN ATENCION PRE-HOSPITALARIA",IF(P183=CURSOS!$D$4,"ACOMPAÑAMIENTO Y MANEJO DEL DUELO",IF(P183=CURSOS!$D$5,"ATENCION A VICTIMAS DE ATAQUE CON AGENTES QUIMICOS ",IF(P183=CURSOS!$D$6,"PRIMEROS AUXILIOS ",IF(P183=CURSOS!$D$7,"DIPLOMADO DE UNIDAD DE CUIDADOS INTENSIVOS (UCI)",IF(P183=CURSOS!$D$8,"MODELO DE ATENCION PARA EVENTOS EMERGENTES EN SALUD MENTAL (CODIGO VERDE)",IF(P183=CURSOS!$D$9,"HUMANIZACION EN EL SERVICIO DE LA SALUD Y BUENAS PRACTICAS EN PACIENTE ",IF(P183=CURSOS!$D$10,"CLINICA DE HERIDAS ",IF(P183=CURSOS!$D$11,"TOMA DE CITOLOGIA CERVICO VAGINAL ",IF(P183=CURSOS!$D$12,"SOPORTE CARDIOVASCULAR AVANZADO (ACLS) ",IF(P183=CURSOS!$D$13,"CAMILLERO ",IF(P183=CURSOS!$D$14,"TOMA DE MUESTRAS Y LABORATORIO ",IF(P183=CURSOS!$D$15,"SOPORTE VITAL BASICO (BLS)",IF(P183=CURSOS!$D$16,"ATENCION A VICTIMAS DE VIOLENCIA SEXUAL ",IF(P183=CURSOS!$D$17,"PROGRAMADO AMPLIADO DE INMUNIZACION (PAI - COVID 19)",IF(P183=CURSOS!$D$18,"ATENCION INTEGRAL EN ENFERMEDADES PREVALENTES EN PRIMERA INFANCIA (AIEPI)",IF(P183=CURSOS!$D$19,"ADMINISTRACION DE MEDICAMENTOS, INYECTOLOGIA  Y CANALIZACION ",IF(P183=CURSOS!$D$20,"OPERADOR DE VEHICULOS DE EMERGENCIA (OVE)",IF(P183=CURSOS!$D$21,"INSTITUCIONES AMIGAS DE LA MUJER Y LA INFANCIA (IAMI)",IF(P183=CURSOS!$D$22,"CUIDADO DEL DONANTE DE ORGANOS",IF(P183=CURSOS!$D$23,"ATENCION A VICTIMAS POR VIOLENCIA DE GENERO",IF(P183=CURSOS!$D$24,"IGUALDAD DE GENERO EN LA SALUD",IF(P183=CURSOS!$D$25,"BRIGADA DE EMERGENCIA",IF(P183=CURSOS!$D$26,"MANEJO DEL DOLOR Y CUIDADOS PALIATIVOS",IF(P183=CURSOS!$D$27,"TOMA DE MUESTRAS Y LABORATORIO POCT",IF(P183=CURSOS!$D$28,"IMPLANTE SUBDERMICO DE DISPOSITIVO INTRAUTERINO",IF(P183=CURSOS!$D$29,"SALUD MENTAL",IF(P183=CURSOS!$D$30,"PRIMEROS AUXILIOS PSICOLOGICOS",IF(P183=CURSOS!$D$31,"ATENCION A VICTIMAS POR CONFLICTO ARMADO",IF(P183=CURSOS!$D$32,"MANIPULACION DE ALIMENTOS Y BPM",IF(P183=CURSOS!$D$33,"ATENCION A PERSONAS CON DISCAPACIDAD",IF(P183=CURSOS!$D$34,"CUIDADO INTEGRAL DEL PACIENTE ADULTO",IF(P183=CURSOS!$D$35,"MANEJO DEFENSIVO",IF(P183=CURSOS!$D$36,"SOPORTE CARDIOVASCULAR AVANZADO NEONATAL",IF(P183=CURSOS!$D$37,"SEGURIDAD DEL PACIENTE",IF(P183=CURSOS!$D$38,"MANEJO DE RESIDUOS HOSPITALARIOS",IF(P183=CURSOS!$D$39,"ATENCION DE PACIENTE POR CONSUMO SUSTANCIAS PSICOACTIVAS Y ADICCIONES")))))))))))))))))))))))))))))))))))))</f>
        <v>0</v>
      </c>
      <c r="W183" s="62" t="str">
        <f t="shared" si="9"/>
        <v xml:space="preserve">   </v>
      </c>
      <c r="X183" s="62" t="str">
        <f t="shared" si="10"/>
        <v xml:space="preserve">   </v>
      </c>
      <c r="Y183" s="62" t="str">
        <f t="shared" si="11"/>
        <v xml:space="preserve">   --</v>
      </c>
    </row>
    <row r="184" spans="1:25" x14ac:dyDescent="0.2">
      <c r="A184" s="50">
        <v>183</v>
      </c>
      <c r="I184" s="52"/>
      <c r="J184" s="52"/>
      <c r="Q184" s="52"/>
      <c r="U184" s="51"/>
      <c r="V184" s="62" t="b">
        <f>IF(P184=CURSOS!$D$3,"DIPLOMADO EN ATENCION PRE-HOSPITALARIA",IF(P184=CURSOS!$D$4,"ACOMPAÑAMIENTO Y MANEJO DEL DUELO",IF(P184=CURSOS!$D$5,"ATENCION A VICTIMAS DE ATAQUE CON AGENTES QUIMICOS ",IF(P184=CURSOS!$D$6,"PRIMEROS AUXILIOS ",IF(P184=CURSOS!$D$7,"DIPLOMADO DE UNIDAD DE CUIDADOS INTENSIVOS (UCI)",IF(P184=CURSOS!$D$8,"MODELO DE ATENCION PARA EVENTOS EMERGENTES EN SALUD MENTAL (CODIGO VERDE)",IF(P184=CURSOS!$D$9,"HUMANIZACION EN EL SERVICIO DE LA SALUD Y BUENAS PRACTICAS EN PACIENTE ",IF(P184=CURSOS!$D$10,"CLINICA DE HERIDAS ",IF(P184=CURSOS!$D$11,"TOMA DE CITOLOGIA CERVICO VAGINAL ",IF(P184=CURSOS!$D$12,"SOPORTE CARDIOVASCULAR AVANZADO (ACLS) ",IF(P184=CURSOS!$D$13,"CAMILLERO ",IF(P184=CURSOS!$D$14,"TOMA DE MUESTRAS Y LABORATORIO ",IF(P184=CURSOS!$D$15,"SOPORTE VITAL BASICO (BLS)",IF(P184=CURSOS!$D$16,"ATENCION A VICTIMAS DE VIOLENCIA SEXUAL ",IF(P184=CURSOS!$D$17,"PROGRAMADO AMPLIADO DE INMUNIZACION (PAI - COVID 19)",IF(P184=CURSOS!$D$18,"ATENCION INTEGRAL EN ENFERMEDADES PREVALENTES EN PRIMERA INFANCIA (AIEPI)",IF(P184=CURSOS!$D$19,"ADMINISTRACION DE MEDICAMENTOS, INYECTOLOGIA  Y CANALIZACION ",IF(P184=CURSOS!$D$20,"OPERADOR DE VEHICULOS DE EMERGENCIA (OVE)",IF(P184=CURSOS!$D$21,"INSTITUCIONES AMIGAS DE LA MUJER Y LA INFANCIA (IAMI)",IF(P184=CURSOS!$D$22,"CUIDADO DEL DONANTE DE ORGANOS",IF(P184=CURSOS!$D$23,"ATENCION A VICTIMAS POR VIOLENCIA DE GENERO",IF(P184=CURSOS!$D$24,"IGUALDAD DE GENERO EN LA SALUD",IF(P184=CURSOS!$D$25,"BRIGADA DE EMERGENCIA",IF(P184=CURSOS!$D$26,"MANEJO DEL DOLOR Y CUIDADOS PALIATIVOS",IF(P184=CURSOS!$D$27,"TOMA DE MUESTRAS Y LABORATORIO POCT",IF(P184=CURSOS!$D$28,"IMPLANTE SUBDERMICO DE DISPOSITIVO INTRAUTERINO",IF(P184=CURSOS!$D$29,"SALUD MENTAL",IF(P184=CURSOS!$D$30,"PRIMEROS AUXILIOS PSICOLOGICOS",IF(P184=CURSOS!$D$31,"ATENCION A VICTIMAS POR CONFLICTO ARMADO",IF(P184=CURSOS!$D$32,"MANIPULACION DE ALIMENTOS Y BPM",IF(P184=CURSOS!$D$33,"ATENCION A PERSONAS CON DISCAPACIDAD",IF(P184=CURSOS!$D$34,"CUIDADO INTEGRAL DEL PACIENTE ADULTO",IF(P184=CURSOS!$D$35,"MANEJO DEFENSIVO",IF(P184=CURSOS!$D$36,"SOPORTE CARDIOVASCULAR AVANZADO NEONATAL",IF(P184=CURSOS!$D$37,"SEGURIDAD DEL PACIENTE",IF(P184=CURSOS!$D$38,"MANEJO DE RESIDUOS HOSPITALARIOS",IF(P184=CURSOS!$D$39,"ATENCION DE PACIENTE POR CONSUMO SUSTANCIAS PSICOACTIVAS Y ADICCIONES")))))))))))))))))))))))))))))))))))))</f>
        <v>0</v>
      </c>
      <c r="W184" s="62" t="str">
        <f t="shared" si="9"/>
        <v xml:space="preserve">   </v>
      </c>
      <c r="X184" s="62" t="str">
        <f t="shared" si="10"/>
        <v xml:space="preserve">   </v>
      </c>
      <c r="Y184" s="62" t="str">
        <f t="shared" si="11"/>
        <v xml:space="preserve">   --</v>
      </c>
    </row>
    <row r="185" spans="1:25" x14ac:dyDescent="0.2">
      <c r="A185" s="50">
        <v>184</v>
      </c>
      <c r="I185" s="52"/>
      <c r="J185" s="52"/>
      <c r="Q185" s="52"/>
      <c r="U185" s="51"/>
      <c r="V185" s="62" t="b">
        <f>IF(P185=CURSOS!$D$3,"DIPLOMADO EN ATENCION PRE-HOSPITALARIA",IF(P185=CURSOS!$D$4,"ACOMPAÑAMIENTO Y MANEJO DEL DUELO",IF(P185=CURSOS!$D$5,"ATENCION A VICTIMAS DE ATAQUE CON AGENTES QUIMICOS ",IF(P185=CURSOS!$D$6,"PRIMEROS AUXILIOS ",IF(P185=CURSOS!$D$7,"DIPLOMADO DE UNIDAD DE CUIDADOS INTENSIVOS (UCI)",IF(P185=CURSOS!$D$8,"MODELO DE ATENCION PARA EVENTOS EMERGENTES EN SALUD MENTAL (CODIGO VERDE)",IF(P185=CURSOS!$D$9,"HUMANIZACION EN EL SERVICIO DE LA SALUD Y BUENAS PRACTICAS EN PACIENTE ",IF(P185=CURSOS!$D$10,"CLINICA DE HERIDAS ",IF(P185=CURSOS!$D$11,"TOMA DE CITOLOGIA CERVICO VAGINAL ",IF(P185=CURSOS!$D$12,"SOPORTE CARDIOVASCULAR AVANZADO (ACLS) ",IF(P185=CURSOS!$D$13,"CAMILLERO ",IF(P185=CURSOS!$D$14,"TOMA DE MUESTRAS Y LABORATORIO ",IF(P185=CURSOS!$D$15,"SOPORTE VITAL BASICO (BLS)",IF(P185=CURSOS!$D$16,"ATENCION A VICTIMAS DE VIOLENCIA SEXUAL ",IF(P185=CURSOS!$D$17,"PROGRAMADO AMPLIADO DE INMUNIZACION (PAI - COVID 19)",IF(P185=CURSOS!$D$18,"ATENCION INTEGRAL EN ENFERMEDADES PREVALENTES EN PRIMERA INFANCIA (AIEPI)",IF(P185=CURSOS!$D$19,"ADMINISTRACION DE MEDICAMENTOS, INYECTOLOGIA  Y CANALIZACION ",IF(P185=CURSOS!$D$20,"OPERADOR DE VEHICULOS DE EMERGENCIA (OVE)",IF(P185=CURSOS!$D$21,"INSTITUCIONES AMIGAS DE LA MUJER Y LA INFANCIA (IAMI)",IF(P185=CURSOS!$D$22,"CUIDADO DEL DONANTE DE ORGANOS",IF(P185=CURSOS!$D$23,"ATENCION A VICTIMAS POR VIOLENCIA DE GENERO",IF(P185=CURSOS!$D$24,"IGUALDAD DE GENERO EN LA SALUD",IF(P185=CURSOS!$D$25,"BRIGADA DE EMERGENCIA",IF(P185=CURSOS!$D$26,"MANEJO DEL DOLOR Y CUIDADOS PALIATIVOS",IF(P185=CURSOS!$D$27,"TOMA DE MUESTRAS Y LABORATORIO POCT",IF(P185=CURSOS!$D$28,"IMPLANTE SUBDERMICO DE DISPOSITIVO INTRAUTERINO",IF(P185=CURSOS!$D$29,"SALUD MENTAL",IF(P185=CURSOS!$D$30,"PRIMEROS AUXILIOS PSICOLOGICOS",IF(P185=CURSOS!$D$31,"ATENCION A VICTIMAS POR CONFLICTO ARMADO",IF(P185=CURSOS!$D$32,"MANIPULACION DE ALIMENTOS Y BPM",IF(P185=CURSOS!$D$33,"ATENCION A PERSONAS CON DISCAPACIDAD",IF(P185=CURSOS!$D$34,"CUIDADO INTEGRAL DEL PACIENTE ADULTO",IF(P185=CURSOS!$D$35,"MANEJO DEFENSIVO",IF(P185=CURSOS!$D$36,"SOPORTE CARDIOVASCULAR AVANZADO NEONATAL",IF(P185=CURSOS!$D$37,"SEGURIDAD DEL PACIENTE",IF(P185=CURSOS!$D$38,"MANEJO DE RESIDUOS HOSPITALARIOS",IF(P185=CURSOS!$D$39,"ATENCION DE PACIENTE POR CONSUMO SUSTANCIAS PSICOACTIVAS Y ADICCIONES")))))))))))))))))))))))))))))))))))))</f>
        <v>0</v>
      </c>
      <c r="W185" s="62" t="str">
        <f t="shared" si="9"/>
        <v xml:space="preserve">   </v>
      </c>
      <c r="X185" s="62" t="str">
        <f t="shared" si="10"/>
        <v xml:space="preserve">   </v>
      </c>
      <c r="Y185" s="62" t="str">
        <f t="shared" si="11"/>
        <v xml:space="preserve">   --</v>
      </c>
    </row>
    <row r="186" spans="1:25" x14ac:dyDescent="0.2">
      <c r="A186" s="50">
        <v>185</v>
      </c>
      <c r="I186" s="52"/>
      <c r="J186" s="52"/>
      <c r="Q186" s="52"/>
      <c r="U186" s="51"/>
      <c r="V186" s="62" t="b">
        <f>IF(P186=CURSOS!$D$3,"DIPLOMADO EN ATENCION PRE-HOSPITALARIA",IF(P186=CURSOS!$D$4,"ACOMPAÑAMIENTO Y MANEJO DEL DUELO",IF(P186=CURSOS!$D$5,"ATENCION A VICTIMAS DE ATAQUE CON AGENTES QUIMICOS ",IF(P186=CURSOS!$D$6,"PRIMEROS AUXILIOS ",IF(P186=CURSOS!$D$7,"DIPLOMADO DE UNIDAD DE CUIDADOS INTENSIVOS (UCI)",IF(P186=CURSOS!$D$8,"MODELO DE ATENCION PARA EVENTOS EMERGENTES EN SALUD MENTAL (CODIGO VERDE)",IF(P186=CURSOS!$D$9,"HUMANIZACION EN EL SERVICIO DE LA SALUD Y BUENAS PRACTICAS EN PACIENTE ",IF(P186=CURSOS!$D$10,"CLINICA DE HERIDAS ",IF(P186=CURSOS!$D$11,"TOMA DE CITOLOGIA CERVICO VAGINAL ",IF(P186=CURSOS!$D$12,"SOPORTE CARDIOVASCULAR AVANZADO (ACLS) ",IF(P186=CURSOS!$D$13,"CAMILLERO ",IF(P186=CURSOS!$D$14,"TOMA DE MUESTRAS Y LABORATORIO ",IF(P186=CURSOS!$D$15,"SOPORTE VITAL BASICO (BLS)",IF(P186=CURSOS!$D$16,"ATENCION A VICTIMAS DE VIOLENCIA SEXUAL ",IF(P186=CURSOS!$D$17,"PROGRAMADO AMPLIADO DE INMUNIZACION (PAI - COVID 19)",IF(P186=CURSOS!$D$18,"ATENCION INTEGRAL EN ENFERMEDADES PREVALENTES EN PRIMERA INFANCIA (AIEPI)",IF(P186=CURSOS!$D$19,"ADMINISTRACION DE MEDICAMENTOS, INYECTOLOGIA  Y CANALIZACION ",IF(P186=CURSOS!$D$20,"OPERADOR DE VEHICULOS DE EMERGENCIA (OVE)",IF(P186=CURSOS!$D$21,"INSTITUCIONES AMIGAS DE LA MUJER Y LA INFANCIA (IAMI)",IF(P186=CURSOS!$D$22,"CUIDADO DEL DONANTE DE ORGANOS",IF(P186=CURSOS!$D$23,"ATENCION A VICTIMAS POR VIOLENCIA DE GENERO",IF(P186=CURSOS!$D$24,"IGUALDAD DE GENERO EN LA SALUD",IF(P186=CURSOS!$D$25,"BRIGADA DE EMERGENCIA",IF(P186=CURSOS!$D$26,"MANEJO DEL DOLOR Y CUIDADOS PALIATIVOS",IF(P186=CURSOS!$D$27,"TOMA DE MUESTRAS Y LABORATORIO POCT",IF(P186=CURSOS!$D$28,"IMPLANTE SUBDERMICO DE DISPOSITIVO INTRAUTERINO",IF(P186=CURSOS!$D$29,"SALUD MENTAL",IF(P186=CURSOS!$D$30,"PRIMEROS AUXILIOS PSICOLOGICOS",IF(P186=CURSOS!$D$31,"ATENCION A VICTIMAS POR CONFLICTO ARMADO",IF(P186=CURSOS!$D$32,"MANIPULACION DE ALIMENTOS Y BPM",IF(P186=CURSOS!$D$33,"ATENCION A PERSONAS CON DISCAPACIDAD",IF(P186=CURSOS!$D$34,"CUIDADO INTEGRAL DEL PACIENTE ADULTO",IF(P186=CURSOS!$D$35,"MANEJO DEFENSIVO",IF(P186=CURSOS!$D$36,"SOPORTE CARDIOVASCULAR AVANZADO NEONATAL",IF(P186=CURSOS!$D$37,"SEGURIDAD DEL PACIENTE",IF(P186=CURSOS!$D$38,"MANEJO DE RESIDUOS HOSPITALARIOS",IF(P186=CURSOS!$D$39,"ATENCION DE PACIENTE POR CONSUMO SUSTANCIAS PSICOACTIVAS Y ADICCIONES")))))))))))))))))))))))))))))))))))))</f>
        <v>0</v>
      </c>
      <c r="W186" s="62" t="str">
        <f t="shared" si="9"/>
        <v xml:space="preserve">   </v>
      </c>
      <c r="X186" s="62" t="str">
        <f t="shared" si="10"/>
        <v xml:space="preserve">   </v>
      </c>
      <c r="Y186" s="62" t="str">
        <f t="shared" si="11"/>
        <v xml:space="preserve">   --</v>
      </c>
    </row>
    <row r="187" spans="1:25" x14ac:dyDescent="0.2">
      <c r="A187" s="50">
        <v>186</v>
      </c>
      <c r="I187" s="52"/>
      <c r="J187" s="52"/>
      <c r="Q187" s="52"/>
      <c r="T187" s="38"/>
      <c r="U187" s="51"/>
      <c r="V187" s="62" t="b">
        <f>IF(P187=CURSOS!$D$3,"DIPLOMADO EN ATENCION PRE-HOSPITALARIA",IF(P187=CURSOS!$D$4,"ACOMPAÑAMIENTO Y MANEJO DEL DUELO",IF(P187=CURSOS!$D$5,"ATENCION A VICTIMAS DE ATAQUE CON AGENTES QUIMICOS ",IF(P187=CURSOS!$D$6,"PRIMEROS AUXILIOS ",IF(P187=CURSOS!$D$7,"DIPLOMADO DE UNIDAD DE CUIDADOS INTENSIVOS (UCI)",IF(P187=CURSOS!$D$8,"MODELO DE ATENCION PARA EVENTOS EMERGENTES EN SALUD MENTAL (CODIGO VERDE)",IF(P187=CURSOS!$D$9,"HUMANIZACION EN EL SERVICIO DE LA SALUD Y BUENAS PRACTICAS EN PACIENTE ",IF(P187=CURSOS!$D$10,"CLINICA DE HERIDAS ",IF(P187=CURSOS!$D$11,"TOMA DE CITOLOGIA CERVICO VAGINAL ",IF(P187=CURSOS!$D$12,"SOPORTE CARDIOVASCULAR AVANZADO (ACLS) ",IF(P187=CURSOS!$D$13,"CAMILLERO ",IF(P187=CURSOS!$D$14,"TOMA DE MUESTRAS Y LABORATORIO ",IF(P187=CURSOS!$D$15,"SOPORTE VITAL BASICO (BLS)",IF(P187=CURSOS!$D$16,"ATENCION A VICTIMAS DE VIOLENCIA SEXUAL ",IF(P187=CURSOS!$D$17,"PROGRAMADO AMPLIADO DE INMUNIZACION (PAI - COVID 19)",IF(P187=CURSOS!$D$18,"ATENCION INTEGRAL EN ENFERMEDADES PREVALENTES EN PRIMERA INFANCIA (AIEPI)",IF(P187=CURSOS!$D$19,"ADMINISTRACION DE MEDICAMENTOS, INYECTOLOGIA  Y CANALIZACION ",IF(P187=CURSOS!$D$20,"OPERADOR DE VEHICULOS DE EMERGENCIA (OVE)",IF(P187=CURSOS!$D$21,"INSTITUCIONES AMIGAS DE LA MUJER Y LA INFANCIA (IAMI)",IF(P187=CURSOS!$D$22,"CUIDADO DEL DONANTE DE ORGANOS",IF(P187=CURSOS!$D$23,"ATENCION A VICTIMAS POR VIOLENCIA DE GENERO",IF(P187=CURSOS!$D$24,"IGUALDAD DE GENERO EN LA SALUD",IF(P187=CURSOS!$D$25,"BRIGADA DE EMERGENCIA",IF(P187=CURSOS!$D$26,"MANEJO DEL DOLOR Y CUIDADOS PALIATIVOS",IF(P187=CURSOS!$D$27,"TOMA DE MUESTRAS Y LABORATORIO POCT",IF(P187=CURSOS!$D$28,"IMPLANTE SUBDERMICO DE DISPOSITIVO INTRAUTERINO",IF(P187=CURSOS!$D$29,"SALUD MENTAL",IF(P187=CURSOS!$D$30,"PRIMEROS AUXILIOS PSICOLOGICOS",IF(P187=CURSOS!$D$31,"ATENCION A VICTIMAS POR CONFLICTO ARMADO",IF(P187=CURSOS!$D$32,"MANIPULACION DE ALIMENTOS Y BPM",IF(P187=CURSOS!$D$33,"ATENCION A PERSONAS CON DISCAPACIDAD",IF(P187=CURSOS!$D$34,"CUIDADO INTEGRAL DEL PACIENTE ADULTO",IF(P187=CURSOS!$D$35,"MANEJO DEFENSIVO",IF(P187=CURSOS!$D$36,"SOPORTE CARDIOVASCULAR AVANZADO NEONATAL",IF(P187=CURSOS!$D$37,"SEGURIDAD DEL PACIENTE",IF(P187=CURSOS!$D$38,"MANEJO DE RESIDUOS HOSPITALARIOS",IF(P187=CURSOS!$D$39,"ATENCION DE PACIENTE POR CONSUMO SUSTANCIAS PSICOACTIVAS Y ADICCIONES")))))))))))))))))))))))))))))))))))))</f>
        <v>0</v>
      </c>
      <c r="W187" s="62" t="str">
        <f t="shared" si="9"/>
        <v xml:space="preserve">   </v>
      </c>
      <c r="X187" s="62" t="str">
        <f t="shared" si="10"/>
        <v xml:space="preserve">   </v>
      </c>
      <c r="Y187" s="62" t="str">
        <f t="shared" si="11"/>
        <v xml:space="preserve">   --</v>
      </c>
    </row>
    <row r="188" spans="1:25" x14ac:dyDescent="0.2">
      <c r="A188" s="50">
        <v>187</v>
      </c>
      <c r="I188" s="52"/>
      <c r="J188" s="52"/>
      <c r="Q188" s="52"/>
      <c r="T188" s="38"/>
      <c r="U188" s="51"/>
      <c r="V188" s="62" t="b">
        <f>IF(P188=CURSOS!$D$3,"DIPLOMADO EN ATENCION PRE-HOSPITALARIA",IF(P188=CURSOS!$D$4,"ACOMPAÑAMIENTO Y MANEJO DEL DUELO",IF(P188=CURSOS!$D$5,"ATENCION A VICTIMAS DE ATAQUE CON AGENTES QUIMICOS ",IF(P188=CURSOS!$D$6,"PRIMEROS AUXILIOS ",IF(P188=CURSOS!$D$7,"DIPLOMADO DE UNIDAD DE CUIDADOS INTENSIVOS (UCI)",IF(P188=CURSOS!$D$8,"MODELO DE ATENCION PARA EVENTOS EMERGENTES EN SALUD MENTAL (CODIGO VERDE)",IF(P188=CURSOS!$D$9,"HUMANIZACION EN EL SERVICIO DE LA SALUD Y BUENAS PRACTICAS EN PACIENTE ",IF(P188=CURSOS!$D$10,"CLINICA DE HERIDAS ",IF(P188=CURSOS!$D$11,"TOMA DE CITOLOGIA CERVICO VAGINAL ",IF(P188=CURSOS!$D$12,"SOPORTE CARDIOVASCULAR AVANZADO (ACLS) ",IF(P188=CURSOS!$D$13,"CAMILLERO ",IF(P188=CURSOS!$D$14,"TOMA DE MUESTRAS Y LABORATORIO ",IF(P188=CURSOS!$D$15,"SOPORTE VITAL BASICO (BLS)",IF(P188=CURSOS!$D$16,"ATENCION A VICTIMAS DE VIOLENCIA SEXUAL ",IF(P188=CURSOS!$D$17,"PROGRAMADO AMPLIADO DE INMUNIZACION (PAI - COVID 19)",IF(P188=CURSOS!$D$18,"ATENCION INTEGRAL EN ENFERMEDADES PREVALENTES EN PRIMERA INFANCIA (AIEPI)",IF(P188=CURSOS!$D$19,"ADMINISTRACION DE MEDICAMENTOS, INYECTOLOGIA  Y CANALIZACION ",IF(P188=CURSOS!$D$20,"OPERADOR DE VEHICULOS DE EMERGENCIA (OVE)",IF(P188=CURSOS!$D$21,"INSTITUCIONES AMIGAS DE LA MUJER Y LA INFANCIA (IAMI)",IF(P188=CURSOS!$D$22,"CUIDADO DEL DONANTE DE ORGANOS",IF(P188=CURSOS!$D$23,"ATENCION A VICTIMAS POR VIOLENCIA DE GENERO",IF(P188=CURSOS!$D$24,"IGUALDAD DE GENERO EN LA SALUD",IF(P188=CURSOS!$D$25,"BRIGADA DE EMERGENCIA",IF(P188=CURSOS!$D$26,"MANEJO DEL DOLOR Y CUIDADOS PALIATIVOS",IF(P188=CURSOS!$D$27,"TOMA DE MUESTRAS Y LABORATORIO POCT",IF(P188=CURSOS!$D$28,"IMPLANTE SUBDERMICO DE DISPOSITIVO INTRAUTERINO",IF(P188=CURSOS!$D$29,"SALUD MENTAL",IF(P188=CURSOS!$D$30,"PRIMEROS AUXILIOS PSICOLOGICOS",IF(P188=CURSOS!$D$31,"ATENCION A VICTIMAS POR CONFLICTO ARMADO",IF(P188=CURSOS!$D$32,"MANIPULACION DE ALIMENTOS Y BPM",IF(P188=CURSOS!$D$33,"ATENCION A PERSONAS CON DISCAPACIDAD",IF(P188=CURSOS!$D$34,"CUIDADO INTEGRAL DEL PACIENTE ADULTO",IF(P188=CURSOS!$D$35,"MANEJO DEFENSIVO",IF(P188=CURSOS!$D$36,"SOPORTE CARDIOVASCULAR AVANZADO NEONATAL",IF(P188=CURSOS!$D$37,"SEGURIDAD DEL PACIENTE",IF(P188=CURSOS!$D$38,"MANEJO DE RESIDUOS HOSPITALARIOS",IF(P188=CURSOS!$D$39,"ATENCION DE PACIENTE POR CONSUMO SUSTANCIAS PSICOACTIVAS Y ADICCIONES")))))))))))))))))))))))))))))))))))))</f>
        <v>0</v>
      </c>
      <c r="W188" s="62" t="str">
        <f t="shared" si="9"/>
        <v xml:space="preserve">   </v>
      </c>
      <c r="X188" s="62" t="str">
        <f t="shared" si="10"/>
        <v xml:space="preserve">   </v>
      </c>
      <c r="Y188" s="62" t="str">
        <f t="shared" si="11"/>
        <v xml:space="preserve">   --</v>
      </c>
    </row>
    <row r="189" spans="1:25" x14ac:dyDescent="0.2">
      <c r="A189" s="50">
        <v>188</v>
      </c>
      <c r="Q189" s="52"/>
      <c r="T189" s="38"/>
      <c r="U189" s="51"/>
      <c r="V189" s="62" t="b">
        <f>IF(P189=CURSOS!$D$3,"DIPLOMADO EN ATENCION PRE-HOSPITALARIA",IF(P189=CURSOS!$D$4,"ACOMPAÑAMIENTO Y MANEJO DEL DUELO",IF(P189=CURSOS!$D$5,"ATENCION A VICTIMAS DE ATAQUE CON AGENTES QUIMICOS ",IF(P189=CURSOS!$D$6,"PRIMEROS AUXILIOS ",IF(P189=CURSOS!$D$7,"DIPLOMADO DE UNIDAD DE CUIDADOS INTENSIVOS (UCI)",IF(P189=CURSOS!$D$8,"MODELO DE ATENCION PARA EVENTOS EMERGENTES EN SALUD MENTAL (CODIGO VERDE)",IF(P189=CURSOS!$D$9,"HUMANIZACION EN EL SERVICIO DE LA SALUD Y BUENAS PRACTICAS EN PACIENTE ",IF(P189=CURSOS!$D$10,"CLINICA DE HERIDAS ",IF(P189=CURSOS!$D$11,"TOMA DE CITOLOGIA CERVICO VAGINAL ",IF(P189=CURSOS!$D$12,"SOPORTE CARDIOVASCULAR AVANZADO (ACLS) ",IF(P189=CURSOS!$D$13,"CAMILLERO ",IF(P189=CURSOS!$D$14,"TOMA DE MUESTRAS Y LABORATORIO ",IF(P189=CURSOS!$D$15,"SOPORTE VITAL BASICO (BLS)",IF(P189=CURSOS!$D$16,"ATENCION A VICTIMAS DE VIOLENCIA SEXUAL ",IF(P189=CURSOS!$D$17,"PROGRAMADO AMPLIADO DE INMUNIZACION (PAI - COVID 19)",IF(P189=CURSOS!$D$18,"ATENCION INTEGRAL EN ENFERMEDADES PREVALENTES EN PRIMERA INFANCIA (AIEPI)",IF(P189=CURSOS!$D$19,"ADMINISTRACION DE MEDICAMENTOS, INYECTOLOGIA  Y CANALIZACION ",IF(P189=CURSOS!$D$20,"OPERADOR DE VEHICULOS DE EMERGENCIA (OVE)",IF(P189=CURSOS!$D$21,"INSTITUCIONES AMIGAS DE LA MUJER Y LA INFANCIA (IAMI)",IF(P189=CURSOS!$D$22,"CUIDADO DEL DONANTE DE ORGANOS",IF(P189=CURSOS!$D$23,"ATENCION A VICTIMAS POR VIOLENCIA DE GENERO",IF(P189=CURSOS!$D$24,"IGUALDAD DE GENERO EN LA SALUD",IF(P189=CURSOS!$D$25,"BRIGADA DE EMERGENCIA",IF(P189=CURSOS!$D$26,"MANEJO DEL DOLOR Y CUIDADOS PALIATIVOS",IF(P189=CURSOS!$D$27,"TOMA DE MUESTRAS Y LABORATORIO POCT",IF(P189=CURSOS!$D$28,"IMPLANTE SUBDERMICO DE DISPOSITIVO INTRAUTERINO",IF(P189=CURSOS!$D$29,"SALUD MENTAL",IF(P189=CURSOS!$D$30,"PRIMEROS AUXILIOS PSICOLOGICOS",IF(P189=CURSOS!$D$31,"ATENCION A VICTIMAS POR CONFLICTO ARMADO",IF(P189=CURSOS!$D$32,"MANIPULACION DE ALIMENTOS Y BPM",IF(P189=CURSOS!$D$33,"ATENCION A PERSONAS CON DISCAPACIDAD",IF(P189=CURSOS!$D$34,"CUIDADO INTEGRAL DEL PACIENTE ADULTO",IF(P189=CURSOS!$D$35,"MANEJO DEFENSIVO",IF(P189=CURSOS!$D$36,"SOPORTE CARDIOVASCULAR AVANZADO NEONATAL",IF(P189=CURSOS!$D$37,"SEGURIDAD DEL PACIENTE",IF(P189=CURSOS!$D$38,"MANEJO DE RESIDUOS HOSPITALARIOS",IF(P189=CURSOS!$D$39,"ATENCION DE PACIENTE POR CONSUMO SUSTANCIAS PSICOACTIVAS Y ADICCIONES")))))))))))))))))))))))))))))))))))))</f>
        <v>0</v>
      </c>
      <c r="W189" s="62" t="str">
        <f t="shared" si="9"/>
        <v xml:space="preserve">   </v>
      </c>
      <c r="X189" s="62" t="str">
        <f t="shared" si="10"/>
        <v xml:space="preserve">   </v>
      </c>
      <c r="Y189" s="62" t="str">
        <f t="shared" si="11"/>
        <v xml:space="preserve">   --</v>
      </c>
    </row>
    <row r="190" spans="1:25" x14ac:dyDescent="0.2">
      <c r="A190" s="50">
        <v>189</v>
      </c>
      <c r="Q190" s="52"/>
      <c r="S190" s="38"/>
      <c r="T190" s="38"/>
      <c r="U190" s="51"/>
      <c r="V190" s="62" t="b">
        <f>IF(P190=CURSOS!$D$3,"DIPLOMADO EN ATENCION PRE-HOSPITALARIA",IF(P190=CURSOS!$D$4,"ACOMPAÑAMIENTO Y MANEJO DEL DUELO",IF(P190=CURSOS!$D$5,"ATENCION A VICTIMAS DE ATAQUE CON AGENTES QUIMICOS ",IF(P190=CURSOS!$D$6,"PRIMEROS AUXILIOS ",IF(P190=CURSOS!$D$7,"DIPLOMADO DE UNIDAD DE CUIDADOS INTENSIVOS (UCI)",IF(P190=CURSOS!$D$8,"MODELO DE ATENCION PARA EVENTOS EMERGENTES EN SALUD MENTAL (CODIGO VERDE)",IF(P190=CURSOS!$D$9,"HUMANIZACION EN EL SERVICIO DE LA SALUD Y BUENAS PRACTICAS EN PACIENTE ",IF(P190=CURSOS!$D$10,"CLINICA DE HERIDAS ",IF(P190=CURSOS!$D$11,"TOMA DE CITOLOGIA CERVICO VAGINAL ",IF(P190=CURSOS!$D$12,"SOPORTE CARDIOVASCULAR AVANZADO (ACLS) ",IF(P190=CURSOS!$D$13,"CAMILLERO ",IF(P190=CURSOS!$D$14,"TOMA DE MUESTRAS Y LABORATORIO ",IF(P190=CURSOS!$D$15,"SOPORTE VITAL BASICO (BLS)",IF(P190=CURSOS!$D$16,"ATENCION A VICTIMAS DE VIOLENCIA SEXUAL ",IF(P190=CURSOS!$D$17,"PROGRAMADO AMPLIADO DE INMUNIZACION (PAI - COVID 19)",IF(P190=CURSOS!$D$18,"ATENCION INTEGRAL EN ENFERMEDADES PREVALENTES EN PRIMERA INFANCIA (AIEPI)",IF(P190=CURSOS!$D$19,"ADMINISTRACION DE MEDICAMENTOS, INYECTOLOGIA  Y CANALIZACION ",IF(P190=CURSOS!$D$20,"OPERADOR DE VEHICULOS DE EMERGENCIA (OVE)",IF(P190=CURSOS!$D$21,"INSTITUCIONES AMIGAS DE LA MUJER Y LA INFANCIA (IAMI)",IF(P190=CURSOS!$D$22,"CUIDADO DEL DONANTE DE ORGANOS",IF(P190=CURSOS!$D$23,"ATENCION A VICTIMAS POR VIOLENCIA DE GENERO",IF(P190=CURSOS!$D$24,"IGUALDAD DE GENERO EN LA SALUD",IF(P190=CURSOS!$D$25,"BRIGADA DE EMERGENCIA",IF(P190=CURSOS!$D$26,"MANEJO DEL DOLOR Y CUIDADOS PALIATIVOS",IF(P190=CURSOS!$D$27,"TOMA DE MUESTRAS Y LABORATORIO POCT",IF(P190=CURSOS!$D$28,"IMPLANTE SUBDERMICO DE DISPOSITIVO INTRAUTERINO",IF(P190=CURSOS!$D$29,"SALUD MENTAL",IF(P190=CURSOS!$D$30,"PRIMEROS AUXILIOS PSICOLOGICOS",IF(P190=CURSOS!$D$31,"ATENCION A VICTIMAS POR CONFLICTO ARMADO",IF(P190=CURSOS!$D$32,"MANIPULACION DE ALIMENTOS Y BPM",IF(P190=CURSOS!$D$33,"ATENCION A PERSONAS CON DISCAPACIDAD",IF(P190=CURSOS!$D$34,"CUIDADO INTEGRAL DEL PACIENTE ADULTO",IF(P190=CURSOS!$D$35,"MANEJO DEFENSIVO",IF(P190=CURSOS!$D$36,"SOPORTE CARDIOVASCULAR AVANZADO NEONATAL",IF(P190=CURSOS!$D$37,"SEGURIDAD DEL PACIENTE",IF(P190=CURSOS!$D$38,"MANEJO DE RESIDUOS HOSPITALARIOS",IF(P190=CURSOS!$D$39,"ATENCION DE PACIENTE POR CONSUMO SUSTANCIAS PSICOACTIVAS Y ADICCIONES")))))))))))))))))))))))))))))))))))))</f>
        <v>0</v>
      </c>
      <c r="W190" s="62" t="str">
        <f t="shared" si="9"/>
        <v xml:space="preserve">   </v>
      </c>
      <c r="X190" s="62" t="str">
        <f t="shared" si="10"/>
        <v xml:space="preserve">   </v>
      </c>
      <c r="Y190" s="62" t="str">
        <f t="shared" si="11"/>
        <v xml:space="preserve">   --</v>
      </c>
    </row>
    <row r="191" spans="1:25" x14ac:dyDescent="0.2">
      <c r="A191" s="50">
        <v>190</v>
      </c>
      <c r="Q191" s="52"/>
      <c r="S191" s="38"/>
      <c r="T191" s="38"/>
      <c r="U191" s="51"/>
      <c r="V191" s="62" t="b">
        <f>IF(P191=CURSOS!$D$3,"DIPLOMADO EN ATENCION PRE-HOSPITALARIA",IF(P191=CURSOS!$D$4,"ACOMPAÑAMIENTO Y MANEJO DEL DUELO",IF(P191=CURSOS!$D$5,"ATENCION A VICTIMAS DE ATAQUE CON AGENTES QUIMICOS ",IF(P191=CURSOS!$D$6,"PRIMEROS AUXILIOS ",IF(P191=CURSOS!$D$7,"DIPLOMADO DE UNIDAD DE CUIDADOS INTENSIVOS (UCI)",IF(P191=CURSOS!$D$8,"MODELO DE ATENCION PARA EVENTOS EMERGENTES EN SALUD MENTAL (CODIGO VERDE)",IF(P191=CURSOS!$D$9,"HUMANIZACION EN EL SERVICIO DE LA SALUD Y BUENAS PRACTICAS EN PACIENTE ",IF(P191=CURSOS!$D$10,"CLINICA DE HERIDAS ",IF(P191=CURSOS!$D$11,"TOMA DE CITOLOGIA CERVICO VAGINAL ",IF(P191=CURSOS!$D$12,"SOPORTE CARDIOVASCULAR AVANZADO (ACLS) ",IF(P191=CURSOS!$D$13,"CAMILLERO ",IF(P191=CURSOS!$D$14,"TOMA DE MUESTRAS Y LABORATORIO ",IF(P191=CURSOS!$D$15,"SOPORTE VITAL BASICO (BLS)",IF(P191=CURSOS!$D$16,"ATENCION A VICTIMAS DE VIOLENCIA SEXUAL ",IF(P191=CURSOS!$D$17,"PROGRAMADO AMPLIADO DE INMUNIZACION (PAI - COVID 19)",IF(P191=CURSOS!$D$18,"ATENCION INTEGRAL EN ENFERMEDADES PREVALENTES EN PRIMERA INFANCIA (AIEPI)",IF(P191=CURSOS!$D$19,"ADMINISTRACION DE MEDICAMENTOS, INYECTOLOGIA  Y CANALIZACION ",IF(P191=CURSOS!$D$20,"OPERADOR DE VEHICULOS DE EMERGENCIA (OVE)",IF(P191=CURSOS!$D$21,"INSTITUCIONES AMIGAS DE LA MUJER Y LA INFANCIA (IAMI)",IF(P191=CURSOS!$D$22,"CUIDADO DEL DONANTE DE ORGANOS",IF(P191=CURSOS!$D$23,"ATENCION A VICTIMAS POR VIOLENCIA DE GENERO",IF(P191=CURSOS!$D$24,"IGUALDAD DE GENERO EN LA SALUD",IF(P191=CURSOS!$D$25,"BRIGADA DE EMERGENCIA",IF(P191=CURSOS!$D$26,"MANEJO DEL DOLOR Y CUIDADOS PALIATIVOS",IF(P191=CURSOS!$D$27,"TOMA DE MUESTRAS Y LABORATORIO POCT",IF(P191=CURSOS!$D$28,"IMPLANTE SUBDERMICO DE DISPOSITIVO INTRAUTERINO",IF(P191=CURSOS!$D$29,"SALUD MENTAL",IF(P191=CURSOS!$D$30,"PRIMEROS AUXILIOS PSICOLOGICOS",IF(P191=CURSOS!$D$31,"ATENCION A VICTIMAS POR CONFLICTO ARMADO",IF(P191=CURSOS!$D$32,"MANIPULACION DE ALIMENTOS Y BPM",IF(P191=CURSOS!$D$33,"ATENCION A PERSONAS CON DISCAPACIDAD",IF(P191=CURSOS!$D$34,"CUIDADO INTEGRAL DEL PACIENTE ADULTO",IF(P191=CURSOS!$D$35,"MANEJO DEFENSIVO",IF(P191=CURSOS!$D$36,"SOPORTE CARDIOVASCULAR AVANZADO NEONATAL",IF(P191=CURSOS!$D$37,"SEGURIDAD DEL PACIENTE",IF(P191=CURSOS!$D$38,"MANEJO DE RESIDUOS HOSPITALARIOS",IF(P191=CURSOS!$D$39,"ATENCION DE PACIENTE POR CONSUMO SUSTANCIAS PSICOACTIVAS Y ADICCIONES")))))))))))))))))))))))))))))))))))))</f>
        <v>0</v>
      </c>
      <c r="W191" s="62" t="str">
        <f t="shared" si="9"/>
        <v xml:space="preserve">   </v>
      </c>
      <c r="X191" s="62" t="str">
        <f t="shared" si="10"/>
        <v xml:space="preserve">   </v>
      </c>
      <c r="Y191" s="62" t="str">
        <f t="shared" si="11"/>
        <v xml:space="preserve">   --</v>
      </c>
    </row>
    <row r="192" spans="1:25" x14ac:dyDescent="0.2">
      <c r="A192" s="50">
        <v>191</v>
      </c>
      <c r="Q192" s="52"/>
      <c r="S192" s="38"/>
      <c r="T192" s="38"/>
      <c r="U192" s="51"/>
      <c r="V192" s="62" t="b">
        <f>IF(P192=CURSOS!$D$3,"DIPLOMADO EN ATENCION PRE-HOSPITALARIA",IF(P192=CURSOS!$D$4,"ACOMPAÑAMIENTO Y MANEJO DEL DUELO",IF(P192=CURSOS!$D$5,"ATENCION A VICTIMAS DE ATAQUE CON AGENTES QUIMICOS ",IF(P192=CURSOS!$D$6,"PRIMEROS AUXILIOS ",IF(P192=CURSOS!$D$7,"DIPLOMADO DE UNIDAD DE CUIDADOS INTENSIVOS (UCI)",IF(P192=CURSOS!$D$8,"MODELO DE ATENCION PARA EVENTOS EMERGENTES EN SALUD MENTAL (CODIGO VERDE)",IF(P192=CURSOS!$D$9,"HUMANIZACION EN EL SERVICIO DE LA SALUD Y BUENAS PRACTICAS EN PACIENTE ",IF(P192=CURSOS!$D$10,"CLINICA DE HERIDAS ",IF(P192=CURSOS!$D$11,"TOMA DE CITOLOGIA CERVICO VAGINAL ",IF(P192=CURSOS!$D$12,"SOPORTE CARDIOVASCULAR AVANZADO (ACLS) ",IF(P192=CURSOS!$D$13,"CAMILLERO ",IF(P192=CURSOS!$D$14,"TOMA DE MUESTRAS Y LABORATORIO ",IF(P192=CURSOS!$D$15,"SOPORTE VITAL BASICO (BLS)",IF(P192=CURSOS!$D$16,"ATENCION A VICTIMAS DE VIOLENCIA SEXUAL ",IF(P192=CURSOS!$D$17,"PROGRAMADO AMPLIADO DE INMUNIZACION (PAI - COVID 19)",IF(P192=CURSOS!$D$18,"ATENCION INTEGRAL EN ENFERMEDADES PREVALENTES EN PRIMERA INFANCIA (AIEPI)",IF(P192=CURSOS!$D$19,"ADMINISTRACION DE MEDICAMENTOS, INYECTOLOGIA  Y CANALIZACION ",IF(P192=CURSOS!$D$20,"OPERADOR DE VEHICULOS DE EMERGENCIA (OVE)",IF(P192=CURSOS!$D$21,"INSTITUCIONES AMIGAS DE LA MUJER Y LA INFANCIA (IAMI)",IF(P192=CURSOS!$D$22,"CUIDADO DEL DONANTE DE ORGANOS",IF(P192=CURSOS!$D$23,"ATENCION A VICTIMAS POR VIOLENCIA DE GENERO",IF(P192=CURSOS!$D$24,"IGUALDAD DE GENERO EN LA SALUD",IF(P192=CURSOS!$D$25,"BRIGADA DE EMERGENCIA",IF(P192=CURSOS!$D$26,"MANEJO DEL DOLOR Y CUIDADOS PALIATIVOS",IF(P192=CURSOS!$D$27,"TOMA DE MUESTRAS Y LABORATORIO POCT",IF(P192=CURSOS!$D$28,"IMPLANTE SUBDERMICO DE DISPOSITIVO INTRAUTERINO",IF(P192=CURSOS!$D$29,"SALUD MENTAL",IF(P192=CURSOS!$D$30,"PRIMEROS AUXILIOS PSICOLOGICOS",IF(P192=CURSOS!$D$31,"ATENCION A VICTIMAS POR CONFLICTO ARMADO",IF(P192=CURSOS!$D$32,"MANIPULACION DE ALIMENTOS Y BPM",IF(P192=CURSOS!$D$33,"ATENCION A PERSONAS CON DISCAPACIDAD",IF(P192=CURSOS!$D$34,"CUIDADO INTEGRAL DEL PACIENTE ADULTO",IF(P192=CURSOS!$D$35,"MANEJO DEFENSIVO",IF(P192=CURSOS!$D$36,"SOPORTE CARDIOVASCULAR AVANZADO NEONATAL",IF(P192=CURSOS!$D$37,"SEGURIDAD DEL PACIENTE",IF(P192=CURSOS!$D$38,"MANEJO DE RESIDUOS HOSPITALARIOS",IF(P192=CURSOS!$D$39,"ATENCION DE PACIENTE POR CONSUMO SUSTANCIAS PSICOACTIVAS Y ADICCIONES")))))))))))))))))))))))))))))))))))))</f>
        <v>0</v>
      </c>
      <c r="W192" s="62" t="str">
        <f t="shared" si="9"/>
        <v xml:space="preserve">   </v>
      </c>
      <c r="X192" s="62" t="str">
        <f t="shared" si="10"/>
        <v xml:space="preserve">   </v>
      </c>
      <c r="Y192" s="62" t="str">
        <f t="shared" si="11"/>
        <v xml:space="preserve">   --</v>
      </c>
    </row>
    <row r="193" spans="1:25" x14ac:dyDescent="0.2">
      <c r="A193" s="50">
        <v>192</v>
      </c>
      <c r="Q193" s="52"/>
      <c r="S193" s="38"/>
      <c r="U193" s="51"/>
      <c r="V193" s="62" t="b">
        <f>IF(P193=CURSOS!$D$3,"DIPLOMADO EN ATENCION PRE-HOSPITALARIA",IF(P193=CURSOS!$D$4,"ACOMPAÑAMIENTO Y MANEJO DEL DUELO",IF(P193=CURSOS!$D$5,"ATENCION A VICTIMAS DE ATAQUE CON AGENTES QUIMICOS ",IF(P193=CURSOS!$D$6,"PRIMEROS AUXILIOS ",IF(P193=CURSOS!$D$7,"DIPLOMADO DE UNIDAD DE CUIDADOS INTENSIVOS (UCI)",IF(P193=CURSOS!$D$8,"MODELO DE ATENCION PARA EVENTOS EMERGENTES EN SALUD MENTAL (CODIGO VERDE)",IF(P193=CURSOS!$D$9,"HUMANIZACION EN EL SERVICIO DE LA SALUD Y BUENAS PRACTICAS EN PACIENTE ",IF(P193=CURSOS!$D$10,"CLINICA DE HERIDAS ",IF(P193=CURSOS!$D$11,"TOMA DE CITOLOGIA CERVICO VAGINAL ",IF(P193=CURSOS!$D$12,"SOPORTE CARDIOVASCULAR AVANZADO (ACLS) ",IF(P193=CURSOS!$D$13,"CAMILLERO ",IF(P193=CURSOS!$D$14,"TOMA DE MUESTRAS Y LABORATORIO ",IF(P193=CURSOS!$D$15,"SOPORTE VITAL BASICO (BLS)",IF(P193=CURSOS!$D$16,"ATENCION A VICTIMAS DE VIOLENCIA SEXUAL ",IF(P193=CURSOS!$D$17,"PROGRAMADO AMPLIADO DE INMUNIZACION (PAI - COVID 19)",IF(P193=CURSOS!$D$18,"ATENCION INTEGRAL EN ENFERMEDADES PREVALENTES EN PRIMERA INFANCIA (AIEPI)",IF(P193=CURSOS!$D$19,"ADMINISTRACION DE MEDICAMENTOS, INYECTOLOGIA  Y CANALIZACION ",IF(P193=CURSOS!$D$20,"OPERADOR DE VEHICULOS DE EMERGENCIA (OVE)",IF(P193=CURSOS!$D$21,"INSTITUCIONES AMIGAS DE LA MUJER Y LA INFANCIA (IAMI)",IF(P193=CURSOS!$D$22,"CUIDADO DEL DONANTE DE ORGANOS",IF(P193=CURSOS!$D$23,"ATENCION A VICTIMAS POR VIOLENCIA DE GENERO",IF(P193=CURSOS!$D$24,"IGUALDAD DE GENERO EN LA SALUD",IF(P193=CURSOS!$D$25,"BRIGADA DE EMERGENCIA",IF(P193=CURSOS!$D$26,"MANEJO DEL DOLOR Y CUIDADOS PALIATIVOS",IF(P193=CURSOS!$D$27,"TOMA DE MUESTRAS Y LABORATORIO POCT",IF(P193=CURSOS!$D$28,"IMPLANTE SUBDERMICO DE DISPOSITIVO INTRAUTERINO",IF(P193=CURSOS!$D$29,"SALUD MENTAL",IF(P193=CURSOS!$D$30,"PRIMEROS AUXILIOS PSICOLOGICOS",IF(P193=CURSOS!$D$31,"ATENCION A VICTIMAS POR CONFLICTO ARMADO",IF(P193=CURSOS!$D$32,"MANIPULACION DE ALIMENTOS Y BPM",IF(P193=CURSOS!$D$33,"ATENCION A PERSONAS CON DISCAPACIDAD",IF(P193=CURSOS!$D$34,"CUIDADO INTEGRAL DEL PACIENTE ADULTO",IF(P193=CURSOS!$D$35,"MANEJO DEFENSIVO",IF(P193=CURSOS!$D$36,"SOPORTE CARDIOVASCULAR AVANZADO NEONATAL",IF(P193=CURSOS!$D$37,"SEGURIDAD DEL PACIENTE",IF(P193=CURSOS!$D$38,"MANEJO DE RESIDUOS HOSPITALARIOS",IF(P193=CURSOS!$D$39,"ATENCION DE PACIENTE POR CONSUMO SUSTANCIAS PSICOACTIVAS Y ADICCIONES")))))))))))))))))))))))))))))))))))))</f>
        <v>0</v>
      </c>
      <c r="W193" s="62" t="str">
        <f t="shared" si="9"/>
        <v xml:space="preserve">   </v>
      </c>
      <c r="X193" s="62" t="str">
        <f t="shared" si="10"/>
        <v xml:space="preserve">   </v>
      </c>
      <c r="Y193" s="62" t="str">
        <f t="shared" si="11"/>
        <v xml:space="preserve">   --</v>
      </c>
    </row>
    <row r="194" spans="1:25" x14ac:dyDescent="0.2">
      <c r="A194" s="50">
        <v>193</v>
      </c>
      <c r="I194" s="52"/>
      <c r="J194" s="52"/>
      <c r="Q194" s="52"/>
      <c r="S194" s="38"/>
      <c r="U194" s="51"/>
      <c r="V194" s="62" t="b">
        <f>IF(P194=CURSOS!$D$3,"DIPLOMADO EN ATENCION PRE-HOSPITALARIA",IF(P194=CURSOS!$D$4,"ACOMPAÑAMIENTO Y MANEJO DEL DUELO",IF(P194=CURSOS!$D$5,"ATENCION A VICTIMAS DE ATAQUE CON AGENTES QUIMICOS ",IF(P194=CURSOS!$D$6,"PRIMEROS AUXILIOS ",IF(P194=CURSOS!$D$7,"DIPLOMADO DE UNIDAD DE CUIDADOS INTENSIVOS (UCI)",IF(P194=CURSOS!$D$8,"MODELO DE ATENCION PARA EVENTOS EMERGENTES EN SALUD MENTAL (CODIGO VERDE)",IF(P194=CURSOS!$D$9,"HUMANIZACION EN EL SERVICIO DE LA SALUD Y BUENAS PRACTICAS EN PACIENTE ",IF(P194=CURSOS!$D$10,"CLINICA DE HERIDAS ",IF(P194=CURSOS!$D$11,"TOMA DE CITOLOGIA CERVICO VAGINAL ",IF(P194=CURSOS!$D$12,"SOPORTE CARDIOVASCULAR AVANZADO (ACLS) ",IF(P194=CURSOS!$D$13,"CAMILLERO ",IF(P194=CURSOS!$D$14,"TOMA DE MUESTRAS Y LABORATORIO ",IF(P194=CURSOS!$D$15,"SOPORTE VITAL BASICO (BLS)",IF(P194=CURSOS!$D$16,"ATENCION A VICTIMAS DE VIOLENCIA SEXUAL ",IF(P194=CURSOS!$D$17,"PROGRAMADO AMPLIADO DE INMUNIZACION (PAI - COVID 19)",IF(P194=CURSOS!$D$18,"ATENCION INTEGRAL EN ENFERMEDADES PREVALENTES EN PRIMERA INFANCIA (AIEPI)",IF(P194=CURSOS!$D$19,"ADMINISTRACION DE MEDICAMENTOS, INYECTOLOGIA  Y CANALIZACION ",IF(P194=CURSOS!$D$20,"OPERADOR DE VEHICULOS DE EMERGENCIA (OVE)",IF(P194=CURSOS!$D$21,"INSTITUCIONES AMIGAS DE LA MUJER Y LA INFANCIA (IAMI)",IF(P194=CURSOS!$D$22,"CUIDADO DEL DONANTE DE ORGANOS",IF(P194=CURSOS!$D$23,"ATENCION A VICTIMAS POR VIOLENCIA DE GENERO",IF(P194=CURSOS!$D$24,"IGUALDAD DE GENERO EN LA SALUD",IF(P194=CURSOS!$D$25,"BRIGADA DE EMERGENCIA",IF(P194=CURSOS!$D$26,"MANEJO DEL DOLOR Y CUIDADOS PALIATIVOS",IF(P194=CURSOS!$D$27,"TOMA DE MUESTRAS Y LABORATORIO POCT",IF(P194=CURSOS!$D$28,"IMPLANTE SUBDERMICO DE DISPOSITIVO INTRAUTERINO",IF(P194=CURSOS!$D$29,"SALUD MENTAL",IF(P194=CURSOS!$D$30,"PRIMEROS AUXILIOS PSICOLOGICOS",IF(P194=CURSOS!$D$31,"ATENCION A VICTIMAS POR CONFLICTO ARMADO",IF(P194=CURSOS!$D$32,"MANIPULACION DE ALIMENTOS Y BPM",IF(P194=CURSOS!$D$33,"ATENCION A PERSONAS CON DISCAPACIDAD",IF(P194=CURSOS!$D$34,"CUIDADO INTEGRAL DEL PACIENTE ADULTO",IF(P194=CURSOS!$D$35,"MANEJO DEFENSIVO",IF(P194=CURSOS!$D$36,"SOPORTE CARDIOVASCULAR AVANZADO NEONATAL",IF(P194=CURSOS!$D$37,"SEGURIDAD DEL PACIENTE",IF(P194=CURSOS!$D$38,"MANEJO DE RESIDUOS HOSPITALARIOS",IF(P194=CURSOS!$D$39,"ATENCION DE PACIENTE POR CONSUMO SUSTANCIAS PSICOACTIVAS Y ADICCIONES")))))))))))))))))))))))))))))))))))))</f>
        <v>0</v>
      </c>
      <c r="W194" s="62" t="str">
        <f t="shared" si="9"/>
        <v xml:space="preserve">   </v>
      </c>
      <c r="X194" s="62" t="str">
        <f t="shared" si="10"/>
        <v xml:space="preserve">   </v>
      </c>
      <c r="Y194" s="62" t="str">
        <f t="shared" si="11"/>
        <v xml:space="preserve">   --</v>
      </c>
    </row>
    <row r="195" spans="1:25" x14ac:dyDescent="0.2">
      <c r="A195" s="50">
        <v>194</v>
      </c>
      <c r="I195" s="52"/>
      <c r="J195" s="52"/>
      <c r="Q195" s="52"/>
      <c r="U195" s="51"/>
      <c r="V195" s="62" t="b">
        <f>IF(P195=CURSOS!$D$3,"DIPLOMADO EN ATENCION PRE-HOSPITALARIA",IF(P195=CURSOS!$D$4,"ACOMPAÑAMIENTO Y MANEJO DEL DUELO",IF(P195=CURSOS!$D$5,"ATENCION A VICTIMAS DE ATAQUE CON AGENTES QUIMICOS ",IF(P195=CURSOS!$D$6,"PRIMEROS AUXILIOS ",IF(P195=CURSOS!$D$7,"DIPLOMADO DE UNIDAD DE CUIDADOS INTENSIVOS (UCI)",IF(P195=CURSOS!$D$8,"MODELO DE ATENCION PARA EVENTOS EMERGENTES EN SALUD MENTAL (CODIGO VERDE)",IF(P195=CURSOS!$D$9,"HUMANIZACION EN EL SERVICIO DE LA SALUD Y BUENAS PRACTICAS EN PACIENTE ",IF(P195=CURSOS!$D$10,"CLINICA DE HERIDAS ",IF(P195=CURSOS!$D$11,"TOMA DE CITOLOGIA CERVICO VAGINAL ",IF(P195=CURSOS!$D$12,"SOPORTE CARDIOVASCULAR AVANZADO (ACLS) ",IF(P195=CURSOS!$D$13,"CAMILLERO ",IF(P195=CURSOS!$D$14,"TOMA DE MUESTRAS Y LABORATORIO ",IF(P195=CURSOS!$D$15,"SOPORTE VITAL BASICO (BLS)",IF(P195=CURSOS!$D$16,"ATENCION A VICTIMAS DE VIOLENCIA SEXUAL ",IF(P195=CURSOS!$D$17,"PROGRAMADO AMPLIADO DE INMUNIZACION (PAI - COVID 19)",IF(P195=CURSOS!$D$18,"ATENCION INTEGRAL EN ENFERMEDADES PREVALENTES EN PRIMERA INFANCIA (AIEPI)",IF(P195=CURSOS!$D$19,"ADMINISTRACION DE MEDICAMENTOS, INYECTOLOGIA  Y CANALIZACION ",IF(P195=CURSOS!$D$20,"OPERADOR DE VEHICULOS DE EMERGENCIA (OVE)",IF(P195=CURSOS!$D$21,"INSTITUCIONES AMIGAS DE LA MUJER Y LA INFANCIA (IAMI)",IF(P195=CURSOS!$D$22,"CUIDADO DEL DONANTE DE ORGANOS",IF(P195=CURSOS!$D$23,"ATENCION A VICTIMAS POR VIOLENCIA DE GENERO",IF(P195=CURSOS!$D$24,"IGUALDAD DE GENERO EN LA SALUD",IF(P195=CURSOS!$D$25,"BRIGADA DE EMERGENCIA",IF(P195=CURSOS!$D$26,"MANEJO DEL DOLOR Y CUIDADOS PALIATIVOS",IF(P195=CURSOS!$D$27,"TOMA DE MUESTRAS Y LABORATORIO POCT",IF(P195=CURSOS!$D$28,"IMPLANTE SUBDERMICO DE DISPOSITIVO INTRAUTERINO",IF(P195=CURSOS!$D$29,"SALUD MENTAL",IF(P195=CURSOS!$D$30,"PRIMEROS AUXILIOS PSICOLOGICOS",IF(P195=CURSOS!$D$31,"ATENCION A VICTIMAS POR CONFLICTO ARMADO",IF(P195=CURSOS!$D$32,"MANIPULACION DE ALIMENTOS Y BPM",IF(P195=CURSOS!$D$33,"ATENCION A PERSONAS CON DISCAPACIDAD",IF(P195=CURSOS!$D$34,"CUIDADO INTEGRAL DEL PACIENTE ADULTO",IF(P195=CURSOS!$D$35,"MANEJO DEFENSIVO",IF(P195=CURSOS!$D$36,"SOPORTE CARDIOVASCULAR AVANZADO NEONATAL",IF(P195=CURSOS!$D$37,"SEGURIDAD DEL PACIENTE",IF(P195=CURSOS!$D$38,"MANEJO DE RESIDUOS HOSPITALARIOS",IF(P195=CURSOS!$D$39,"ATENCION DE PACIENTE POR CONSUMO SUSTANCIAS PSICOACTIVAS Y ADICCIONES")))))))))))))))))))))))))))))))))))))</f>
        <v>0</v>
      </c>
      <c r="W195" s="62" t="str">
        <f t="shared" ref="W195:W244" si="12">CONCATENATE(E195," ",F195," ",C195," ",D195)</f>
        <v xml:space="preserve">   </v>
      </c>
      <c r="X195" s="62" t="str">
        <f t="shared" ref="X195:X244" si="13">PROPER(W195)</f>
        <v xml:space="preserve">   </v>
      </c>
      <c r="Y195" s="62" t="str">
        <f t="shared" ref="Y195:Y244" si="14">CONCATENATE(X195,"-",B195,"-",P195)</f>
        <v xml:space="preserve">   --</v>
      </c>
    </row>
    <row r="196" spans="1:25" x14ac:dyDescent="0.2">
      <c r="A196" s="50">
        <v>195</v>
      </c>
      <c r="I196" s="52"/>
      <c r="J196" s="52"/>
      <c r="Q196" s="52"/>
      <c r="U196" s="51"/>
      <c r="V196" s="62" t="b">
        <f>IF(P196=CURSOS!$D$3,"DIPLOMADO EN ATENCION PRE-HOSPITALARIA",IF(P196=CURSOS!$D$4,"ACOMPAÑAMIENTO Y MANEJO DEL DUELO",IF(P196=CURSOS!$D$5,"ATENCION A VICTIMAS DE ATAQUE CON AGENTES QUIMICOS ",IF(P196=CURSOS!$D$6,"PRIMEROS AUXILIOS ",IF(P196=CURSOS!$D$7,"DIPLOMADO DE UNIDAD DE CUIDADOS INTENSIVOS (UCI)",IF(P196=CURSOS!$D$8,"MODELO DE ATENCION PARA EVENTOS EMERGENTES EN SALUD MENTAL (CODIGO VERDE)",IF(P196=CURSOS!$D$9,"HUMANIZACION EN EL SERVICIO DE LA SALUD Y BUENAS PRACTICAS EN PACIENTE ",IF(P196=CURSOS!$D$10,"CLINICA DE HERIDAS ",IF(P196=CURSOS!$D$11,"TOMA DE CITOLOGIA CERVICO VAGINAL ",IF(P196=CURSOS!$D$12,"SOPORTE CARDIOVASCULAR AVANZADO (ACLS) ",IF(P196=CURSOS!$D$13,"CAMILLERO ",IF(P196=CURSOS!$D$14,"TOMA DE MUESTRAS Y LABORATORIO ",IF(P196=CURSOS!$D$15,"SOPORTE VITAL BASICO (BLS)",IF(P196=CURSOS!$D$16,"ATENCION A VICTIMAS DE VIOLENCIA SEXUAL ",IF(P196=CURSOS!$D$17,"PROGRAMADO AMPLIADO DE INMUNIZACION (PAI - COVID 19)",IF(P196=CURSOS!$D$18,"ATENCION INTEGRAL EN ENFERMEDADES PREVALENTES EN PRIMERA INFANCIA (AIEPI)",IF(P196=CURSOS!$D$19,"ADMINISTRACION DE MEDICAMENTOS, INYECTOLOGIA  Y CANALIZACION ",IF(P196=CURSOS!$D$20,"OPERADOR DE VEHICULOS DE EMERGENCIA (OVE)",IF(P196=CURSOS!$D$21,"INSTITUCIONES AMIGAS DE LA MUJER Y LA INFANCIA (IAMI)",IF(P196=CURSOS!$D$22,"CUIDADO DEL DONANTE DE ORGANOS",IF(P196=CURSOS!$D$23,"ATENCION A VICTIMAS POR VIOLENCIA DE GENERO",IF(P196=CURSOS!$D$24,"IGUALDAD DE GENERO EN LA SALUD",IF(P196=CURSOS!$D$25,"BRIGADA DE EMERGENCIA",IF(P196=CURSOS!$D$26,"MANEJO DEL DOLOR Y CUIDADOS PALIATIVOS",IF(P196=CURSOS!$D$27,"TOMA DE MUESTRAS Y LABORATORIO POCT",IF(P196=CURSOS!$D$28,"IMPLANTE SUBDERMICO DE DISPOSITIVO INTRAUTERINO",IF(P196=CURSOS!$D$29,"SALUD MENTAL",IF(P196=CURSOS!$D$30,"PRIMEROS AUXILIOS PSICOLOGICOS",IF(P196=CURSOS!$D$31,"ATENCION A VICTIMAS POR CONFLICTO ARMADO",IF(P196=CURSOS!$D$32,"MANIPULACION DE ALIMENTOS Y BPM",IF(P196=CURSOS!$D$33,"ATENCION A PERSONAS CON DISCAPACIDAD",IF(P196=CURSOS!$D$34,"CUIDADO INTEGRAL DEL PACIENTE ADULTO",IF(P196=CURSOS!$D$35,"MANEJO DEFENSIVO",IF(P196=CURSOS!$D$36,"SOPORTE CARDIOVASCULAR AVANZADO NEONATAL",IF(P196=CURSOS!$D$37,"SEGURIDAD DEL PACIENTE",IF(P196=CURSOS!$D$38,"MANEJO DE RESIDUOS HOSPITALARIOS",IF(P196=CURSOS!$D$39,"ATENCION DE PACIENTE POR CONSUMO SUSTANCIAS PSICOACTIVAS Y ADICCIONES")))))))))))))))))))))))))))))))))))))</f>
        <v>0</v>
      </c>
      <c r="W196" s="62" t="str">
        <f t="shared" si="12"/>
        <v xml:space="preserve">   </v>
      </c>
      <c r="X196" s="62" t="str">
        <f t="shared" si="13"/>
        <v xml:space="preserve">   </v>
      </c>
      <c r="Y196" s="62" t="str">
        <f t="shared" si="14"/>
        <v xml:space="preserve">   --</v>
      </c>
    </row>
    <row r="197" spans="1:25" x14ac:dyDescent="0.2">
      <c r="A197" s="50">
        <v>196</v>
      </c>
      <c r="I197" s="52"/>
      <c r="J197" s="52"/>
      <c r="Q197" s="52"/>
      <c r="U197" s="51"/>
      <c r="V197" s="62" t="b">
        <f>IF(P197=CURSOS!$D$3,"DIPLOMADO EN ATENCION PRE-HOSPITALARIA",IF(P197=CURSOS!$D$4,"ACOMPAÑAMIENTO Y MANEJO DEL DUELO",IF(P197=CURSOS!$D$5,"ATENCION A VICTIMAS DE ATAQUE CON AGENTES QUIMICOS ",IF(P197=CURSOS!$D$6,"PRIMEROS AUXILIOS ",IF(P197=CURSOS!$D$7,"DIPLOMADO DE UNIDAD DE CUIDADOS INTENSIVOS (UCI)",IF(P197=CURSOS!$D$8,"MODELO DE ATENCION PARA EVENTOS EMERGENTES EN SALUD MENTAL (CODIGO VERDE)",IF(P197=CURSOS!$D$9,"HUMANIZACION EN EL SERVICIO DE LA SALUD Y BUENAS PRACTICAS EN PACIENTE ",IF(P197=CURSOS!$D$10,"CLINICA DE HERIDAS ",IF(P197=CURSOS!$D$11,"TOMA DE CITOLOGIA CERVICO VAGINAL ",IF(P197=CURSOS!$D$12,"SOPORTE CARDIOVASCULAR AVANZADO (ACLS) ",IF(P197=CURSOS!$D$13,"CAMILLERO ",IF(P197=CURSOS!$D$14,"TOMA DE MUESTRAS Y LABORATORIO ",IF(P197=CURSOS!$D$15,"SOPORTE VITAL BASICO (BLS)",IF(P197=CURSOS!$D$16,"ATENCION A VICTIMAS DE VIOLENCIA SEXUAL ",IF(P197=CURSOS!$D$17,"PROGRAMADO AMPLIADO DE INMUNIZACION (PAI - COVID 19)",IF(P197=CURSOS!$D$18,"ATENCION INTEGRAL EN ENFERMEDADES PREVALENTES EN PRIMERA INFANCIA (AIEPI)",IF(P197=CURSOS!$D$19,"ADMINISTRACION DE MEDICAMENTOS, INYECTOLOGIA  Y CANALIZACION ",IF(P197=CURSOS!$D$20,"OPERADOR DE VEHICULOS DE EMERGENCIA (OVE)",IF(P197=CURSOS!$D$21,"INSTITUCIONES AMIGAS DE LA MUJER Y LA INFANCIA (IAMI)",IF(P197=CURSOS!$D$22,"CUIDADO DEL DONANTE DE ORGANOS",IF(P197=CURSOS!$D$23,"ATENCION A VICTIMAS POR VIOLENCIA DE GENERO",IF(P197=CURSOS!$D$24,"IGUALDAD DE GENERO EN LA SALUD",IF(P197=CURSOS!$D$25,"BRIGADA DE EMERGENCIA",IF(P197=CURSOS!$D$26,"MANEJO DEL DOLOR Y CUIDADOS PALIATIVOS",IF(P197=CURSOS!$D$27,"TOMA DE MUESTRAS Y LABORATORIO POCT",IF(P197=CURSOS!$D$28,"IMPLANTE SUBDERMICO DE DISPOSITIVO INTRAUTERINO",IF(P197=CURSOS!$D$29,"SALUD MENTAL",IF(P197=CURSOS!$D$30,"PRIMEROS AUXILIOS PSICOLOGICOS",IF(P197=CURSOS!$D$31,"ATENCION A VICTIMAS POR CONFLICTO ARMADO",IF(P197=CURSOS!$D$32,"MANIPULACION DE ALIMENTOS Y BPM",IF(P197=CURSOS!$D$33,"ATENCION A PERSONAS CON DISCAPACIDAD",IF(P197=CURSOS!$D$34,"CUIDADO INTEGRAL DEL PACIENTE ADULTO",IF(P197=CURSOS!$D$35,"MANEJO DEFENSIVO",IF(P197=CURSOS!$D$36,"SOPORTE CARDIOVASCULAR AVANZADO NEONATAL",IF(P197=CURSOS!$D$37,"SEGURIDAD DEL PACIENTE",IF(P197=CURSOS!$D$38,"MANEJO DE RESIDUOS HOSPITALARIOS",IF(P197=CURSOS!$D$39,"ATENCION DE PACIENTE POR CONSUMO SUSTANCIAS PSICOACTIVAS Y ADICCIONES")))))))))))))))))))))))))))))))))))))</f>
        <v>0</v>
      </c>
      <c r="W197" s="62" t="str">
        <f t="shared" si="12"/>
        <v xml:space="preserve">   </v>
      </c>
      <c r="X197" s="62" t="str">
        <f t="shared" si="13"/>
        <v xml:space="preserve">   </v>
      </c>
      <c r="Y197" s="62" t="str">
        <f t="shared" si="14"/>
        <v xml:space="preserve">   --</v>
      </c>
    </row>
    <row r="198" spans="1:25" x14ac:dyDescent="0.2">
      <c r="A198" s="50">
        <v>197</v>
      </c>
      <c r="I198" s="52"/>
      <c r="J198" s="52"/>
      <c r="Q198" s="52"/>
      <c r="U198" s="51"/>
      <c r="V198" s="62" t="b">
        <f>IF(P198=CURSOS!$D$3,"DIPLOMADO EN ATENCION PRE-HOSPITALARIA",IF(P198=CURSOS!$D$4,"ACOMPAÑAMIENTO Y MANEJO DEL DUELO",IF(P198=CURSOS!$D$5,"ATENCION A VICTIMAS DE ATAQUE CON AGENTES QUIMICOS ",IF(P198=CURSOS!$D$6,"PRIMEROS AUXILIOS ",IF(P198=CURSOS!$D$7,"DIPLOMADO DE UNIDAD DE CUIDADOS INTENSIVOS (UCI)",IF(P198=CURSOS!$D$8,"MODELO DE ATENCION PARA EVENTOS EMERGENTES EN SALUD MENTAL (CODIGO VERDE)",IF(P198=CURSOS!$D$9,"HUMANIZACION EN EL SERVICIO DE LA SALUD Y BUENAS PRACTICAS EN PACIENTE ",IF(P198=CURSOS!$D$10,"CLINICA DE HERIDAS ",IF(P198=CURSOS!$D$11,"TOMA DE CITOLOGIA CERVICO VAGINAL ",IF(P198=CURSOS!$D$12,"SOPORTE CARDIOVASCULAR AVANZADO (ACLS) ",IF(P198=CURSOS!$D$13,"CAMILLERO ",IF(P198=CURSOS!$D$14,"TOMA DE MUESTRAS Y LABORATORIO ",IF(P198=CURSOS!$D$15,"SOPORTE VITAL BASICO (BLS)",IF(P198=CURSOS!$D$16,"ATENCION A VICTIMAS DE VIOLENCIA SEXUAL ",IF(P198=CURSOS!$D$17,"PROGRAMADO AMPLIADO DE INMUNIZACION (PAI - COVID 19)",IF(P198=CURSOS!$D$18,"ATENCION INTEGRAL EN ENFERMEDADES PREVALENTES EN PRIMERA INFANCIA (AIEPI)",IF(P198=CURSOS!$D$19,"ADMINISTRACION DE MEDICAMENTOS, INYECTOLOGIA  Y CANALIZACION ",IF(P198=CURSOS!$D$20,"OPERADOR DE VEHICULOS DE EMERGENCIA (OVE)",IF(P198=CURSOS!$D$21,"INSTITUCIONES AMIGAS DE LA MUJER Y LA INFANCIA (IAMI)",IF(P198=CURSOS!$D$22,"CUIDADO DEL DONANTE DE ORGANOS",IF(P198=CURSOS!$D$23,"ATENCION A VICTIMAS POR VIOLENCIA DE GENERO",IF(P198=CURSOS!$D$24,"IGUALDAD DE GENERO EN LA SALUD",IF(P198=CURSOS!$D$25,"BRIGADA DE EMERGENCIA",IF(P198=CURSOS!$D$26,"MANEJO DEL DOLOR Y CUIDADOS PALIATIVOS",IF(P198=CURSOS!$D$27,"TOMA DE MUESTRAS Y LABORATORIO POCT",IF(P198=CURSOS!$D$28,"IMPLANTE SUBDERMICO DE DISPOSITIVO INTRAUTERINO",IF(P198=CURSOS!$D$29,"SALUD MENTAL",IF(P198=CURSOS!$D$30,"PRIMEROS AUXILIOS PSICOLOGICOS",IF(P198=CURSOS!$D$31,"ATENCION A VICTIMAS POR CONFLICTO ARMADO",IF(P198=CURSOS!$D$32,"MANIPULACION DE ALIMENTOS Y BPM",IF(P198=CURSOS!$D$33,"ATENCION A PERSONAS CON DISCAPACIDAD",IF(P198=CURSOS!$D$34,"CUIDADO INTEGRAL DEL PACIENTE ADULTO",IF(P198=CURSOS!$D$35,"MANEJO DEFENSIVO",IF(P198=CURSOS!$D$36,"SOPORTE CARDIOVASCULAR AVANZADO NEONATAL",IF(P198=CURSOS!$D$37,"SEGURIDAD DEL PACIENTE",IF(P198=CURSOS!$D$38,"MANEJO DE RESIDUOS HOSPITALARIOS",IF(P198=CURSOS!$D$39,"ATENCION DE PACIENTE POR CONSUMO SUSTANCIAS PSICOACTIVAS Y ADICCIONES")))))))))))))))))))))))))))))))))))))</f>
        <v>0</v>
      </c>
      <c r="W198" s="62" t="str">
        <f t="shared" si="12"/>
        <v xml:space="preserve">   </v>
      </c>
      <c r="X198" s="62" t="str">
        <f t="shared" si="13"/>
        <v xml:space="preserve">   </v>
      </c>
      <c r="Y198" s="62" t="str">
        <f t="shared" si="14"/>
        <v xml:space="preserve">   --</v>
      </c>
    </row>
    <row r="199" spans="1:25" x14ac:dyDescent="0.2">
      <c r="A199" s="50">
        <v>198</v>
      </c>
      <c r="I199" s="52"/>
      <c r="J199" s="52"/>
      <c r="Q199" s="52"/>
      <c r="U199" s="51"/>
      <c r="V199" s="62" t="b">
        <f>IF(P199=CURSOS!$D$3,"DIPLOMADO EN ATENCION PRE-HOSPITALARIA",IF(P199=CURSOS!$D$4,"ACOMPAÑAMIENTO Y MANEJO DEL DUELO",IF(P199=CURSOS!$D$5,"ATENCION A VICTIMAS DE ATAQUE CON AGENTES QUIMICOS ",IF(P199=CURSOS!$D$6,"PRIMEROS AUXILIOS ",IF(P199=CURSOS!$D$7,"DIPLOMADO DE UNIDAD DE CUIDADOS INTENSIVOS (UCI)",IF(P199=CURSOS!$D$8,"MODELO DE ATENCION PARA EVENTOS EMERGENTES EN SALUD MENTAL (CODIGO VERDE)",IF(P199=CURSOS!$D$9,"HUMANIZACION EN EL SERVICIO DE LA SALUD Y BUENAS PRACTICAS EN PACIENTE ",IF(P199=CURSOS!$D$10,"CLINICA DE HERIDAS ",IF(P199=CURSOS!$D$11,"TOMA DE CITOLOGIA CERVICO VAGINAL ",IF(P199=CURSOS!$D$12,"SOPORTE CARDIOVASCULAR AVANZADO (ACLS) ",IF(P199=CURSOS!$D$13,"CAMILLERO ",IF(P199=CURSOS!$D$14,"TOMA DE MUESTRAS Y LABORATORIO ",IF(P199=CURSOS!$D$15,"SOPORTE VITAL BASICO (BLS)",IF(P199=CURSOS!$D$16,"ATENCION A VICTIMAS DE VIOLENCIA SEXUAL ",IF(P199=CURSOS!$D$17,"PROGRAMADO AMPLIADO DE INMUNIZACION (PAI - COVID 19)",IF(P199=CURSOS!$D$18,"ATENCION INTEGRAL EN ENFERMEDADES PREVALENTES EN PRIMERA INFANCIA (AIEPI)",IF(P199=CURSOS!$D$19,"ADMINISTRACION DE MEDICAMENTOS, INYECTOLOGIA  Y CANALIZACION ",IF(P199=CURSOS!$D$20,"OPERADOR DE VEHICULOS DE EMERGENCIA (OVE)",IF(P199=CURSOS!$D$21,"INSTITUCIONES AMIGAS DE LA MUJER Y LA INFANCIA (IAMI)",IF(P199=CURSOS!$D$22,"CUIDADO DEL DONANTE DE ORGANOS",IF(P199=CURSOS!$D$23,"ATENCION A VICTIMAS POR VIOLENCIA DE GENERO",IF(P199=CURSOS!$D$24,"IGUALDAD DE GENERO EN LA SALUD",IF(P199=CURSOS!$D$25,"BRIGADA DE EMERGENCIA",IF(P199=CURSOS!$D$26,"MANEJO DEL DOLOR Y CUIDADOS PALIATIVOS",IF(P199=CURSOS!$D$27,"TOMA DE MUESTRAS Y LABORATORIO POCT",IF(P199=CURSOS!$D$28,"IMPLANTE SUBDERMICO DE DISPOSITIVO INTRAUTERINO",IF(P199=CURSOS!$D$29,"SALUD MENTAL",IF(P199=CURSOS!$D$30,"PRIMEROS AUXILIOS PSICOLOGICOS",IF(P199=CURSOS!$D$31,"ATENCION A VICTIMAS POR CONFLICTO ARMADO",IF(P199=CURSOS!$D$32,"MANIPULACION DE ALIMENTOS Y BPM",IF(P199=CURSOS!$D$33,"ATENCION A PERSONAS CON DISCAPACIDAD",IF(P199=CURSOS!$D$34,"CUIDADO INTEGRAL DEL PACIENTE ADULTO",IF(P199=CURSOS!$D$35,"MANEJO DEFENSIVO",IF(P199=CURSOS!$D$36,"SOPORTE CARDIOVASCULAR AVANZADO NEONATAL",IF(P199=CURSOS!$D$37,"SEGURIDAD DEL PACIENTE",IF(P199=CURSOS!$D$38,"MANEJO DE RESIDUOS HOSPITALARIOS",IF(P199=CURSOS!$D$39,"ATENCION DE PACIENTE POR CONSUMO SUSTANCIAS PSICOACTIVAS Y ADICCIONES")))))))))))))))))))))))))))))))))))))</f>
        <v>0</v>
      </c>
      <c r="W199" s="62" t="str">
        <f t="shared" si="12"/>
        <v xml:space="preserve">   </v>
      </c>
      <c r="X199" s="62" t="str">
        <f t="shared" si="13"/>
        <v xml:space="preserve">   </v>
      </c>
      <c r="Y199" s="62" t="str">
        <f t="shared" si="14"/>
        <v xml:space="preserve">   --</v>
      </c>
    </row>
    <row r="200" spans="1:25" x14ac:dyDescent="0.2">
      <c r="A200" s="50">
        <v>199</v>
      </c>
      <c r="I200" s="52"/>
      <c r="J200" s="52"/>
      <c r="Q200" s="52"/>
      <c r="U200" s="51"/>
      <c r="V200" s="62" t="b">
        <f>IF(P200=CURSOS!$D$3,"DIPLOMADO EN ATENCION PRE-HOSPITALARIA",IF(P200=CURSOS!$D$4,"ACOMPAÑAMIENTO Y MANEJO DEL DUELO",IF(P200=CURSOS!$D$5,"ATENCION A VICTIMAS DE ATAQUE CON AGENTES QUIMICOS ",IF(P200=CURSOS!$D$6,"PRIMEROS AUXILIOS ",IF(P200=CURSOS!$D$7,"DIPLOMADO DE UNIDAD DE CUIDADOS INTENSIVOS (UCI)",IF(P200=CURSOS!$D$8,"MODELO DE ATENCION PARA EVENTOS EMERGENTES EN SALUD MENTAL (CODIGO VERDE)",IF(P200=CURSOS!$D$9,"HUMANIZACION EN EL SERVICIO DE LA SALUD Y BUENAS PRACTICAS EN PACIENTE ",IF(P200=CURSOS!$D$10,"CLINICA DE HERIDAS ",IF(P200=CURSOS!$D$11,"TOMA DE CITOLOGIA CERVICO VAGINAL ",IF(P200=CURSOS!$D$12,"SOPORTE CARDIOVASCULAR AVANZADO (ACLS) ",IF(P200=CURSOS!$D$13,"CAMILLERO ",IF(P200=CURSOS!$D$14,"TOMA DE MUESTRAS Y LABORATORIO ",IF(P200=CURSOS!$D$15,"SOPORTE VITAL BASICO (BLS)",IF(P200=CURSOS!$D$16,"ATENCION A VICTIMAS DE VIOLENCIA SEXUAL ",IF(P200=CURSOS!$D$17,"PROGRAMADO AMPLIADO DE INMUNIZACION (PAI - COVID 19)",IF(P200=CURSOS!$D$18,"ATENCION INTEGRAL EN ENFERMEDADES PREVALENTES EN PRIMERA INFANCIA (AIEPI)",IF(P200=CURSOS!$D$19,"ADMINISTRACION DE MEDICAMENTOS, INYECTOLOGIA  Y CANALIZACION ",IF(P200=CURSOS!$D$20,"OPERADOR DE VEHICULOS DE EMERGENCIA (OVE)",IF(P200=CURSOS!$D$21,"INSTITUCIONES AMIGAS DE LA MUJER Y LA INFANCIA (IAMI)",IF(P200=CURSOS!$D$22,"CUIDADO DEL DONANTE DE ORGANOS",IF(P200=CURSOS!$D$23,"ATENCION A VICTIMAS POR VIOLENCIA DE GENERO",IF(P200=CURSOS!$D$24,"IGUALDAD DE GENERO EN LA SALUD",IF(P200=CURSOS!$D$25,"BRIGADA DE EMERGENCIA",IF(P200=CURSOS!$D$26,"MANEJO DEL DOLOR Y CUIDADOS PALIATIVOS",IF(P200=CURSOS!$D$27,"TOMA DE MUESTRAS Y LABORATORIO POCT",IF(P200=CURSOS!$D$28,"IMPLANTE SUBDERMICO DE DISPOSITIVO INTRAUTERINO",IF(P200=CURSOS!$D$29,"SALUD MENTAL",IF(P200=CURSOS!$D$30,"PRIMEROS AUXILIOS PSICOLOGICOS",IF(P200=CURSOS!$D$31,"ATENCION A VICTIMAS POR CONFLICTO ARMADO",IF(P200=CURSOS!$D$32,"MANIPULACION DE ALIMENTOS Y BPM",IF(P200=CURSOS!$D$33,"ATENCION A PERSONAS CON DISCAPACIDAD",IF(P200=CURSOS!$D$34,"CUIDADO INTEGRAL DEL PACIENTE ADULTO",IF(P200=CURSOS!$D$35,"MANEJO DEFENSIVO",IF(P200=CURSOS!$D$36,"SOPORTE CARDIOVASCULAR AVANZADO NEONATAL",IF(P200=CURSOS!$D$37,"SEGURIDAD DEL PACIENTE",IF(P200=CURSOS!$D$38,"MANEJO DE RESIDUOS HOSPITALARIOS",IF(P200=CURSOS!$D$39,"ATENCION DE PACIENTE POR CONSUMO SUSTANCIAS PSICOACTIVAS Y ADICCIONES")))))))))))))))))))))))))))))))))))))</f>
        <v>0</v>
      </c>
      <c r="W200" s="62" t="str">
        <f t="shared" si="12"/>
        <v xml:space="preserve">   </v>
      </c>
      <c r="X200" s="62" t="str">
        <f t="shared" si="13"/>
        <v xml:space="preserve">   </v>
      </c>
      <c r="Y200" s="62" t="str">
        <f t="shared" si="14"/>
        <v xml:space="preserve">   --</v>
      </c>
    </row>
    <row r="201" spans="1:25" x14ac:dyDescent="0.2">
      <c r="A201" s="50">
        <v>200</v>
      </c>
      <c r="I201" s="52"/>
      <c r="J201" s="52"/>
      <c r="Q201" s="52"/>
      <c r="U201" s="51"/>
      <c r="V201" s="62" t="b">
        <f>IF(P201=CURSOS!$D$3,"DIPLOMADO EN ATENCION PRE-HOSPITALARIA",IF(P201=CURSOS!$D$4,"ACOMPAÑAMIENTO Y MANEJO DEL DUELO",IF(P201=CURSOS!$D$5,"ATENCION A VICTIMAS DE ATAQUE CON AGENTES QUIMICOS ",IF(P201=CURSOS!$D$6,"PRIMEROS AUXILIOS ",IF(P201=CURSOS!$D$7,"DIPLOMADO DE UNIDAD DE CUIDADOS INTENSIVOS (UCI)",IF(P201=CURSOS!$D$8,"MODELO DE ATENCION PARA EVENTOS EMERGENTES EN SALUD MENTAL (CODIGO VERDE)",IF(P201=CURSOS!$D$9,"HUMANIZACION EN EL SERVICIO DE LA SALUD Y BUENAS PRACTICAS EN PACIENTE ",IF(P201=CURSOS!$D$10,"CLINICA DE HERIDAS ",IF(P201=CURSOS!$D$11,"TOMA DE CITOLOGIA CERVICO VAGINAL ",IF(P201=CURSOS!$D$12,"SOPORTE CARDIOVASCULAR AVANZADO (ACLS) ",IF(P201=CURSOS!$D$13,"CAMILLERO ",IF(P201=CURSOS!$D$14,"TOMA DE MUESTRAS Y LABORATORIO ",IF(P201=CURSOS!$D$15,"SOPORTE VITAL BASICO (BLS)",IF(P201=CURSOS!$D$16,"ATENCION A VICTIMAS DE VIOLENCIA SEXUAL ",IF(P201=CURSOS!$D$17,"PROGRAMADO AMPLIADO DE INMUNIZACION (PAI - COVID 19)",IF(P201=CURSOS!$D$18,"ATENCION INTEGRAL EN ENFERMEDADES PREVALENTES EN PRIMERA INFANCIA (AIEPI)",IF(P201=CURSOS!$D$19,"ADMINISTRACION DE MEDICAMENTOS, INYECTOLOGIA  Y CANALIZACION ",IF(P201=CURSOS!$D$20,"OPERADOR DE VEHICULOS DE EMERGENCIA (OVE)",IF(P201=CURSOS!$D$21,"INSTITUCIONES AMIGAS DE LA MUJER Y LA INFANCIA (IAMI)",IF(P201=CURSOS!$D$22,"CUIDADO DEL DONANTE DE ORGANOS",IF(P201=CURSOS!$D$23,"ATENCION A VICTIMAS POR VIOLENCIA DE GENERO",IF(P201=CURSOS!$D$24,"IGUALDAD DE GENERO EN LA SALUD",IF(P201=CURSOS!$D$25,"BRIGADA DE EMERGENCIA",IF(P201=CURSOS!$D$26,"MANEJO DEL DOLOR Y CUIDADOS PALIATIVOS",IF(P201=CURSOS!$D$27,"TOMA DE MUESTRAS Y LABORATORIO POCT",IF(P201=CURSOS!$D$28,"IMPLANTE SUBDERMICO DE DISPOSITIVO INTRAUTERINO",IF(P201=CURSOS!$D$29,"SALUD MENTAL",IF(P201=CURSOS!$D$30,"PRIMEROS AUXILIOS PSICOLOGICOS",IF(P201=CURSOS!$D$31,"ATENCION A VICTIMAS POR CONFLICTO ARMADO",IF(P201=CURSOS!$D$32,"MANIPULACION DE ALIMENTOS Y BPM",IF(P201=CURSOS!$D$33,"ATENCION A PERSONAS CON DISCAPACIDAD",IF(P201=CURSOS!$D$34,"CUIDADO INTEGRAL DEL PACIENTE ADULTO",IF(P201=CURSOS!$D$35,"MANEJO DEFENSIVO",IF(P201=CURSOS!$D$36,"SOPORTE CARDIOVASCULAR AVANZADO NEONATAL",IF(P201=CURSOS!$D$37,"SEGURIDAD DEL PACIENTE",IF(P201=CURSOS!$D$38,"MANEJO DE RESIDUOS HOSPITALARIOS",IF(P201=CURSOS!$D$39,"ATENCION DE PACIENTE POR CONSUMO SUSTANCIAS PSICOACTIVAS Y ADICCIONES")))))))))))))))))))))))))))))))))))))</f>
        <v>0</v>
      </c>
      <c r="W201" s="62" t="str">
        <f t="shared" si="12"/>
        <v xml:space="preserve">   </v>
      </c>
      <c r="X201" s="62" t="str">
        <f t="shared" si="13"/>
        <v xml:space="preserve">   </v>
      </c>
      <c r="Y201" s="62" t="str">
        <f t="shared" si="14"/>
        <v xml:space="preserve">   --</v>
      </c>
    </row>
    <row r="202" spans="1:25" x14ac:dyDescent="0.2">
      <c r="A202" s="50">
        <v>201</v>
      </c>
      <c r="I202" s="52"/>
      <c r="J202" s="52"/>
      <c r="Q202" s="52"/>
      <c r="U202" s="51"/>
      <c r="V202" s="62" t="b">
        <f>IF(P202=CURSOS!$D$3,"DIPLOMADO EN ATENCION PRE-HOSPITALARIA",IF(P202=CURSOS!$D$4,"ACOMPAÑAMIENTO Y MANEJO DEL DUELO",IF(P202=CURSOS!$D$5,"ATENCION A VICTIMAS DE ATAQUE CON AGENTES QUIMICOS ",IF(P202=CURSOS!$D$6,"PRIMEROS AUXILIOS ",IF(P202=CURSOS!$D$7,"DIPLOMADO DE UNIDAD DE CUIDADOS INTENSIVOS (UCI)",IF(P202=CURSOS!$D$8,"MODELO DE ATENCION PARA EVENTOS EMERGENTES EN SALUD MENTAL (CODIGO VERDE)",IF(P202=CURSOS!$D$9,"HUMANIZACION EN EL SERVICIO DE LA SALUD Y BUENAS PRACTICAS EN PACIENTE ",IF(P202=CURSOS!$D$10,"CLINICA DE HERIDAS ",IF(P202=CURSOS!$D$11,"TOMA DE CITOLOGIA CERVICO VAGINAL ",IF(P202=CURSOS!$D$12,"SOPORTE CARDIOVASCULAR AVANZADO (ACLS) ",IF(P202=CURSOS!$D$13,"CAMILLERO ",IF(P202=CURSOS!$D$14,"TOMA DE MUESTRAS Y LABORATORIO ",IF(P202=CURSOS!$D$15,"SOPORTE VITAL BASICO (BLS)",IF(P202=CURSOS!$D$16,"ATENCION A VICTIMAS DE VIOLENCIA SEXUAL ",IF(P202=CURSOS!$D$17,"PROGRAMADO AMPLIADO DE INMUNIZACION (PAI - COVID 19)",IF(P202=CURSOS!$D$18,"ATENCION INTEGRAL EN ENFERMEDADES PREVALENTES EN PRIMERA INFANCIA (AIEPI)",IF(P202=CURSOS!$D$19,"ADMINISTRACION DE MEDICAMENTOS, INYECTOLOGIA  Y CANALIZACION ",IF(P202=CURSOS!$D$20,"OPERADOR DE VEHICULOS DE EMERGENCIA (OVE)",IF(P202=CURSOS!$D$21,"INSTITUCIONES AMIGAS DE LA MUJER Y LA INFANCIA (IAMI)",IF(P202=CURSOS!$D$22,"CUIDADO DEL DONANTE DE ORGANOS",IF(P202=CURSOS!$D$23,"ATENCION A VICTIMAS POR VIOLENCIA DE GENERO",IF(P202=CURSOS!$D$24,"IGUALDAD DE GENERO EN LA SALUD",IF(P202=CURSOS!$D$25,"BRIGADA DE EMERGENCIA",IF(P202=CURSOS!$D$26,"MANEJO DEL DOLOR Y CUIDADOS PALIATIVOS",IF(P202=CURSOS!$D$27,"TOMA DE MUESTRAS Y LABORATORIO POCT",IF(P202=CURSOS!$D$28,"IMPLANTE SUBDERMICO DE DISPOSITIVO INTRAUTERINO",IF(P202=CURSOS!$D$29,"SALUD MENTAL",IF(P202=CURSOS!$D$30,"PRIMEROS AUXILIOS PSICOLOGICOS",IF(P202=CURSOS!$D$31,"ATENCION A VICTIMAS POR CONFLICTO ARMADO",IF(P202=CURSOS!$D$32,"MANIPULACION DE ALIMENTOS Y BPM",IF(P202=CURSOS!$D$33,"ATENCION A PERSONAS CON DISCAPACIDAD",IF(P202=CURSOS!$D$34,"CUIDADO INTEGRAL DEL PACIENTE ADULTO",IF(P202=CURSOS!$D$35,"MANEJO DEFENSIVO",IF(P202=CURSOS!$D$36,"SOPORTE CARDIOVASCULAR AVANZADO NEONATAL",IF(P202=CURSOS!$D$37,"SEGURIDAD DEL PACIENTE",IF(P202=CURSOS!$D$38,"MANEJO DE RESIDUOS HOSPITALARIOS",IF(P202=CURSOS!$D$39,"ATENCION DE PACIENTE POR CONSUMO SUSTANCIAS PSICOACTIVAS Y ADICCIONES")))))))))))))))))))))))))))))))))))))</f>
        <v>0</v>
      </c>
      <c r="W202" s="62" t="str">
        <f t="shared" si="12"/>
        <v xml:space="preserve">   </v>
      </c>
      <c r="X202" s="62" t="str">
        <f t="shared" si="13"/>
        <v xml:space="preserve">   </v>
      </c>
      <c r="Y202" s="62" t="str">
        <f t="shared" si="14"/>
        <v xml:space="preserve">   --</v>
      </c>
    </row>
    <row r="203" spans="1:25" x14ac:dyDescent="0.2">
      <c r="A203" s="50">
        <v>202</v>
      </c>
      <c r="I203" s="52"/>
      <c r="J203" s="52"/>
      <c r="Q203" s="52"/>
      <c r="U203" s="51"/>
      <c r="V203" s="62" t="b">
        <f>IF(P203=CURSOS!$D$3,"DIPLOMADO EN ATENCION PRE-HOSPITALARIA",IF(P203=CURSOS!$D$4,"ACOMPAÑAMIENTO Y MANEJO DEL DUELO",IF(P203=CURSOS!$D$5,"ATENCION A VICTIMAS DE ATAQUE CON AGENTES QUIMICOS ",IF(P203=CURSOS!$D$6,"PRIMEROS AUXILIOS ",IF(P203=CURSOS!$D$7,"DIPLOMADO DE UNIDAD DE CUIDADOS INTENSIVOS (UCI)",IF(P203=CURSOS!$D$8,"MODELO DE ATENCION PARA EVENTOS EMERGENTES EN SALUD MENTAL (CODIGO VERDE)",IF(P203=CURSOS!$D$9,"HUMANIZACION EN EL SERVICIO DE LA SALUD Y BUENAS PRACTICAS EN PACIENTE ",IF(P203=CURSOS!$D$10,"CLINICA DE HERIDAS ",IF(P203=CURSOS!$D$11,"TOMA DE CITOLOGIA CERVICO VAGINAL ",IF(P203=CURSOS!$D$12,"SOPORTE CARDIOVASCULAR AVANZADO (ACLS) ",IF(P203=CURSOS!$D$13,"CAMILLERO ",IF(P203=CURSOS!$D$14,"TOMA DE MUESTRAS Y LABORATORIO ",IF(P203=CURSOS!$D$15,"SOPORTE VITAL BASICO (BLS)",IF(P203=CURSOS!$D$16,"ATENCION A VICTIMAS DE VIOLENCIA SEXUAL ",IF(P203=CURSOS!$D$17,"PROGRAMADO AMPLIADO DE INMUNIZACION (PAI - COVID 19)",IF(P203=CURSOS!$D$18,"ATENCION INTEGRAL EN ENFERMEDADES PREVALENTES EN PRIMERA INFANCIA (AIEPI)",IF(P203=CURSOS!$D$19,"ADMINISTRACION DE MEDICAMENTOS, INYECTOLOGIA  Y CANALIZACION ",IF(P203=CURSOS!$D$20,"OPERADOR DE VEHICULOS DE EMERGENCIA (OVE)",IF(P203=CURSOS!$D$21,"INSTITUCIONES AMIGAS DE LA MUJER Y LA INFANCIA (IAMI)",IF(P203=CURSOS!$D$22,"CUIDADO DEL DONANTE DE ORGANOS",IF(P203=CURSOS!$D$23,"ATENCION A VICTIMAS POR VIOLENCIA DE GENERO",IF(P203=CURSOS!$D$24,"IGUALDAD DE GENERO EN LA SALUD",IF(P203=CURSOS!$D$25,"BRIGADA DE EMERGENCIA",IF(P203=CURSOS!$D$26,"MANEJO DEL DOLOR Y CUIDADOS PALIATIVOS",IF(P203=CURSOS!$D$27,"TOMA DE MUESTRAS Y LABORATORIO POCT",IF(P203=CURSOS!$D$28,"IMPLANTE SUBDERMICO DE DISPOSITIVO INTRAUTERINO",IF(P203=CURSOS!$D$29,"SALUD MENTAL",IF(P203=CURSOS!$D$30,"PRIMEROS AUXILIOS PSICOLOGICOS",IF(P203=CURSOS!$D$31,"ATENCION A VICTIMAS POR CONFLICTO ARMADO",IF(P203=CURSOS!$D$32,"MANIPULACION DE ALIMENTOS Y BPM",IF(P203=CURSOS!$D$33,"ATENCION A PERSONAS CON DISCAPACIDAD",IF(P203=CURSOS!$D$34,"CUIDADO INTEGRAL DEL PACIENTE ADULTO",IF(P203=CURSOS!$D$35,"MANEJO DEFENSIVO",IF(P203=CURSOS!$D$36,"SOPORTE CARDIOVASCULAR AVANZADO NEONATAL",IF(P203=CURSOS!$D$37,"SEGURIDAD DEL PACIENTE",IF(P203=CURSOS!$D$38,"MANEJO DE RESIDUOS HOSPITALARIOS",IF(P203=CURSOS!$D$39,"ATENCION DE PACIENTE POR CONSUMO SUSTANCIAS PSICOACTIVAS Y ADICCIONES")))))))))))))))))))))))))))))))))))))</f>
        <v>0</v>
      </c>
      <c r="W203" s="62" t="str">
        <f t="shared" si="12"/>
        <v xml:space="preserve">   </v>
      </c>
      <c r="X203" s="62" t="str">
        <f t="shared" si="13"/>
        <v xml:space="preserve">   </v>
      </c>
      <c r="Y203" s="62" t="str">
        <f t="shared" si="14"/>
        <v xml:space="preserve">   --</v>
      </c>
    </row>
    <row r="204" spans="1:25" x14ac:dyDescent="0.2">
      <c r="A204" s="50">
        <v>203</v>
      </c>
      <c r="I204" s="52"/>
      <c r="J204" s="52"/>
      <c r="Q204" s="52"/>
      <c r="T204" s="37"/>
      <c r="U204" s="51"/>
      <c r="V204" s="62" t="b">
        <f>IF(P204=CURSOS!$D$3,"DIPLOMADO EN ATENCION PRE-HOSPITALARIA",IF(P204=CURSOS!$D$4,"ACOMPAÑAMIENTO Y MANEJO DEL DUELO",IF(P204=CURSOS!$D$5,"ATENCION A VICTIMAS DE ATAQUE CON AGENTES QUIMICOS ",IF(P204=CURSOS!$D$6,"PRIMEROS AUXILIOS ",IF(P204=CURSOS!$D$7,"DIPLOMADO DE UNIDAD DE CUIDADOS INTENSIVOS (UCI)",IF(P204=CURSOS!$D$8,"MODELO DE ATENCION PARA EVENTOS EMERGENTES EN SALUD MENTAL (CODIGO VERDE)",IF(P204=CURSOS!$D$9,"HUMANIZACION EN EL SERVICIO DE LA SALUD Y BUENAS PRACTICAS EN PACIENTE ",IF(P204=CURSOS!$D$10,"CLINICA DE HERIDAS ",IF(P204=CURSOS!$D$11,"TOMA DE CITOLOGIA CERVICO VAGINAL ",IF(P204=CURSOS!$D$12,"SOPORTE CARDIOVASCULAR AVANZADO (ACLS) ",IF(P204=CURSOS!$D$13,"CAMILLERO ",IF(P204=CURSOS!$D$14,"TOMA DE MUESTRAS Y LABORATORIO ",IF(P204=CURSOS!$D$15,"SOPORTE VITAL BASICO (BLS)",IF(P204=CURSOS!$D$16,"ATENCION A VICTIMAS DE VIOLENCIA SEXUAL ",IF(P204=CURSOS!$D$17,"PROGRAMADO AMPLIADO DE INMUNIZACION (PAI - COVID 19)",IF(P204=CURSOS!$D$18,"ATENCION INTEGRAL EN ENFERMEDADES PREVALENTES EN PRIMERA INFANCIA (AIEPI)",IF(P204=CURSOS!$D$19,"ADMINISTRACION DE MEDICAMENTOS, INYECTOLOGIA  Y CANALIZACION ",IF(P204=CURSOS!$D$20,"OPERADOR DE VEHICULOS DE EMERGENCIA (OVE)",IF(P204=CURSOS!$D$21,"INSTITUCIONES AMIGAS DE LA MUJER Y LA INFANCIA (IAMI)",IF(P204=CURSOS!$D$22,"CUIDADO DEL DONANTE DE ORGANOS",IF(P204=CURSOS!$D$23,"ATENCION A VICTIMAS POR VIOLENCIA DE GENERO",IF(P204=CURSOS!$D$24,"IGUALDAD DE GENERO EN LA SALUD",IF(P204=CURSOS!$D$25,"BRIGADA DE EMERGENCIA",IF(P204=CURSOS!$D$26,"MANEJO DEL DOLOR Y CUIDADOS PALIATIVOS",IF(P204=CURSOS!$D$27,"TOMA DE MUESTRAS Y LABORATORIO POCT",IF(P204=CURSOS!$D$28,"IMPLANTE SUBDERMICO DE DISPOSITIVO INTRAUTERINO",IF(P204=CURSOS!$D$29,"SALUD MENTAL",IF(P204=CURSOS!$D$30,"PRIMEROS AUXILIOS PSICOLOGICOS",IF(P204=CURSOS!$D$31,"ATENCION A VICTIMAS POR CONFLICTO ARMADO",IF(P204=CURSOS!$D$32,"MANIPULACION DE ALIMENTOS Y BPM",IF(P204=CURSOS!$D$33,"ATENCION A PERSONAS CON DISCAPACIDAD",IF(P204=CURSOS!$D$34,"CUIDADO INTEGRAL DEL PACIENTE ADULTO",IF(P204=CURSOS!$D$35,"MANEJO DEFENSIVO",IF(P204=CURSOS!$D$36,"SOPORTE CARDIOVASCULAR AVANZADO NEONATAL",IF(P204=CURSOS!$D$37,"SEGURIDAD DEL PACIENTE",IF(P204=CURSOS!$D$38,"MANEJO DE RESIDUOS HOSPITALARIOS",IF(P204=CURSOS!$D$39,"ATENCION DE PACIENTE POR CONSUMO SUSTANCIAS PSICOACTIVAS Y ADICCIONES")))))))))))))))))))))))))))))))))))))</f>
        <v>0</v>
      </c>
      <c r="W204" s="62" t="str">
        <f t="shared" si="12"/>
        <v xml:space="preserve">   </v>
      </c>
      <c r="X204" s="62" t="str">
        <f t="shared" si="13"/>
        <v xml:space="preserve">   </v>
      </c>
      <c r="Y204" s="62" t="str">
        <f t="shared" si="14"/>
        <v xml:space="preserve">   --</v>
      </c>
    </row>
    <row r="205" spans="1:25" x14ac:dyDescent="0.2">
      <c r="A205" s="50">
        <v>204</v>
      </c>
      <c r="I205" s="52"/>
      <c r="J205" s="52"/>
      <c r="Q205" s="52"/>
      <c r="T205" s="37"/>
      <c r="U205" s="51"/>
      <c r="V205" s="62" t="b">
        <f>IF(P205=CURSOS!$D$3,"DIPLOMADO EN ATENCION PRE-HOSPITALARIA",IF(P205=CURSOS!$D$4,"ACOMPAÑAMIENTO Y MANEJO DEL DUELO",IF(P205=CURSOS!$D$5,"ATENCION A VICTIMAS DE ATAQUE CON AGENTES QUIMICOS ",IF(P205=CURSOS!$D$6,"PRIMEROS AUXILIOS ",IF(P205=CURSOS!$D$7,"DIPLOMADO DE UNIDAD DE CUIDADOS INTENSIVOS (UCI)",IF(P205=CURSOS!$D$8,"MODELO DE ATENCION PARA EVENTOS EMERGENTES EN SALUD MENTAL (CODIGO VERDE)",IF(P205=CURSOS!$D$9,"HUMANIZACION EN EL SERVICIO DE LA SALUD Y BUENAS PRACTICAS EN PACIENTE ",IF(P205=CURSOS!$D$10,"CLINICA DE HERIDAS ",IF(P205=CURSOS!$D$11,"TOMA DE CITOLOGIA CERVICO VAGINAL ",IF(P205=CURSOS!$D$12,"SOPORTE CARDIOVASCULAR AVANZADO (ACLS) ",IF(P205=CURSOS!$D$13,"CAMILLERO ",IF(P205=CURSOS!$D$14,"TOMA DE MUESTRAS Y LABORATORIO ",IF(P205=CURSOS!$D$15,"SOPORTE VITAL BASICO (BLS)",IF(P205=CURSOS!$D$16,"ATENCION A VICTIMAS DE VIOLENCIA SEXUAL ",IF(P205=CURSOS!$D$17,"PROGRAMADO AMPLIADO DE INMUNIZACION (PAI - COVID 19)",IF(P205=CURSOS!$D$18,"ATENCION INTEGRAL EN ENFERMEDADES PREVALENTES EN PRIMERA INFANCIA (AIEPI)",IF(P205=CURSOS!$D$19,"ADMINISTRACION DE MEDICAMENTOS, INYECTOLOGIA  Y CANALIZACION ",IF(P205=CURSOS!$D$20,"OPERADOR DE VEHICULOS DE EMERGENCIA (OVE)",IF(P205=CURSOS!$D$21,"INSTITUCIONES AMIGAS DE LA MUJER Y LA INFANCIA (IAMI)",IF(P205=CURSOS!$D$22,"CUIDADO DEL DONANTE DE ORGANOS",IF(P205=CURSOS!$D$23,"ATENCION A VICTIMAS POR VIOLENCIA DE GENERO",IF(P205=CURSOS!$D$24,"IGUALDAD DE GENERO EN LA SALUD",IF(P205=CURSOS!$D$25,"BRIGADA DE EMERGENCIA",IF(P205=CURSOS!$D$26,"MANEJO DEL DOLOR Y CUIDADOS PALIATIVOS",IF(P205=CURSOS!$D$27,"TOMA DE MUESTRAS Y LABORATORIO POCT",IF(P205=CURSOS!$D$28,"IMPLANTE SUBDERMICO DE DISPOSITIVO INTRAUTERINO",IF(P205=CURSOS!$D$29,"SALUD MENTAL",IF(P205=CURSOS!$D$30,"PRIMEROS AUXILIOS PSICOLOGICOS",IF(P205=CURSOS!$D$31,"ATENCION A VICTIMAS POR CONFLICTO ARMADO",IF(P205=CURSOS!$D$32,"MANIPULACION DE ALIMENTOS Y BPM",IF(P205=CURSOS!$D$33,"ATENCION A PERSONAS CON DISCAPACIDAD",IF(P205=CURSOS!$D$34,"CUIDADO INTEGRAL DEL PACIENTE ADULTO",IF(P205=CURSOS!$D$35,"MANEJO DEFENSIVO",IF(P205=CURSOS!$D$36,"SOPORTE CARDIOVASCULAR AVANZADO NEONATAL",IF(P205=CURSOS!$D$37,"SEGURIDAD DEL PACIENTE",IF(P205=CURSOS!$D$38,"MANEJO DE RESIDUOS HOSPITALARIOS",IF(P205=CURSOS!$D$39,"ATENCION DE PACIENTE POR CONSUMO SUSTANCIAS PSICOACTIVAS Y ADICCIONES")))))))))))))))))))))))))))))))))))))</f>
        <v>0</v>
      </c>
      <c r="W205" s="62" t="str">
        <f t="shared" si="12"/>
        <v xml:space="preserve">   </v>
      </c>
      <c r="X205" s="62" t="str">
        <f t="shared" si="13"/>
        <v xml:space="preserve">   </v>
      </c>
      <c r="Y205" s="62" t="str">
        <f t="shared" si="14"/>
        <v xml:space="preserve">   --</v>
      </c>
    </row>
    <row r="206" spans="1:25" x14ac:dyDescent="0.2">
      <c r="A206" s="50">
        <v>205</v>
      </c>
      <c r="I206" s="52"/>
      <c r="J206" s="52"/>
      <c r="Q206" s="52"/>
      <c r="U206" s="51"/>
      <c r="V206" s="62" t="b">
        <f>IF(P206=CURSOS!$D$3,"DIPLOMADO EN ATENCION PRE-HOSPITALARIA",IF(P206=CURSOS!$D$4,"ACOMPAÑAMIENTO Y MANEJO DEL DUELO",IF(P206=CURSOS!$D$5,"ATENCION A VICTIMAS DE ATAQUE CON AGENTES QUIMICOS ",IF(P206=CURSOS!$D$6,"PRIMEROS AUXILIOS ",IF(P206=CURSOS!$D$7,"DIPLOMADO DE UNIDAD DE CUIDADOS INTENSIVOS (UCI)",IF(P206=CURSOS!$D$8,"MODELO DE ATENCION PARA EVENTOS EMERGENTES EN SALUD MENTAL (CODIGO VERDE)",IF(P206=CURSOS!$D$9,"HUMANIZACION EN EL SERVICIO DE LA SALUD Y BUENAS PRACTICAS EN PACIENTE ",IF(P206=CURSOS!$D$10,"CLINICA DE HERIDAS ",IF(P206=CURSOS!$D$11,"TOMA DE CITOLOGIA CERVICO VAGINAL ",IF(P206=CURSOS!$D$12,"SOPORTE CARDIOVASCULAR AVANZADO (ACLS) ",IF(P206=CURSOS!$D$13,"CAMILLERO ",IF(P206=CURSOS!$D$14,"TOMA DE MUESTRAS Y LABORATORIO ",IF(P206=CURSOS!$D$15,"SOPORTE VITAL BASICO (BLS)",IF(P206=CURSOS!$D$16,"ATENCION A VICTIMAS DE VIOLENCIA SEXUAL ",IF(P206=CURSOS!$D$17,"PROGRAMADO AMPLIADO DE INMUNIZACION (PAI - COVID 19)",IF(P206=CURSOS!$D$18,"ATENCION INTEGRAL EN ENFERMEDADES PREVALENTES EN PRIMERA INFANCIA (AIEPI)",IF(P206=CURSOS!$D$19,"ADMINISTRACION DE MEDICAMENTOS, INYECTOLOGIA  Y CANALIZACION ",IF(P206=CURSOS!$D$20,"OPERADOR DE VEHICULOS DE EMERGENCIA (OVE)",IF(P206=CURSOS!$D$21,"INSTITUCIONES AMIGAS DE LA MUJER Y LA INFANCIA (IAMI)",IF(P206=CURSOS!$D$22,"CUIDADO DEL DONANTE DE ORGANOS",IF(P206=CURSOS!$D$23,"ATENCION A VICTIMAS POR VIOLENCIA DE GENERO",IF(P206=CURSOS!$D$24,"IGUALDAD DE GENERO EN LA SALUD",IF(P206=CURSOS!$D$25,"BRIGADA DE EMERGENCIA",IF(P206=CURSOS!$D$26,"MANEJO DEL DOLOR Y CUIDADOS PALIATIVOS",IF(P206=CURSOS!$D$27,"TOMA DE MUESTRAS Y LABORATORIO POCT",IF(P206=CURSOS!$D$28,"IMPLANTE SUBDERMICO DE DISPOSITIVO INTRAUTERINO",IF(P206=CURSOS!$D$29,"SALUD MENTAL",IF(P206=CURSOS!$D$30,"PRIMEROS AUXILIOS PSICOLOGICOS",IF(P206=CURSOS!$D$31,"ATENCION A VICTIMAS POR CONFLICTO ARMADO",IF(P206=CURSOS!$D$32,"MANIPULACION DE ALIMENTOS Y BPM",IF(P206=CURSOS!$D$33,"ATENCION A PERSONAS CON DISCAPACIDAD",IF(P206=CURSOS!$D$34,"CUIDADO INTEGRAL DEL PACIENTE ADULTO",IF(P206=CURSOS!$D$35,"MANEJO DEFENSIVO",IF(P206=CURSOS!$D$36,"SOPORTE CARDIOVASCULAR AVANZADO NEONATAL",IF(P206=CURSOS!$D$37,"SEGURIDAD DEL PACIENTE",IF(P206=CURSOS!$D$38,"MANEJO DE RESIDUOS HOSPITALARIOS",IF(P206=CURSOS!$D$39,"ATENCION DE PACIENTE POR CONSUMO SUSTANCIAS PSICOACTIVAS Y ADICCIONES")))))))))))))))))))))))))))))))))))))</f>
        <v>0</v>
      </c>
      <c r="W206" s="62" t="str">
        <f t="shared" si="12"/>
        <v xml:space="preserve">   </v>
      </c>
      <c r="X206" s="62" t="str">
        <f t="shared" si="13"/>
        <v xml:space="preserve">   </v>
      </c>
      <c r="Y206" s="62" t="str">
        <f t="shared" si="14"/>
        <v xml:space="preserve">   --</v>
      </c>
    </row>
    <row r="207" spans="1:25" x14ac:dyDescent="0.2">
      <c r="A207" s="50">
        <v>206</v>
      </c>
      <c r="Q207" s="52"/>
      <c r="U207" s="51"/>
      <c r="V207" s="62" t="b">
        <f>IF(P207=CURSOS!$D$3,"DIPLOMADO EN ATENCION PRE-HOSPITALARIA",IF(P207=CURSOS!$D$4,"ACOMPAÑAMIENTO Y MANEJO DEL DUELO",IF(P207=CURSOS!$D$5,"ATENCION A VICTIMAS DE ATAQUE CON AGENTES QUIMICOS ",IF(P207=CURSOS!$D$6,"PRIMEROS AUXILIOS ",IF(P207=CURSOS!$D$7,"DIPLOMADO DE UNIDAD DE CUIDADOS INTENSIVOS (UCI)",IF(P207=CURSOS!$D$8,"MODELO DE ATENCION PARA EVENTOS EMERGENTES EN SALUD MENTAL (CODIGO VERDE)",IF(P207=CURSOS!$D$9,"HUMANIZACION EN EL SERVICIO DE LA SALUD Y BUENAS PRACTICAS EN PACIENTE ",IF(P207=CURSOS!$D$10,"CLINICA DE HERIDAS ",IF(P207=CURSOS!$D$11,"TOMA DE CITOLOGIA CERVICO VAGINAL ",IF(P207=CURSOS!$D$12,"SOPORTE CARDIOVASCULAR AVANZADO (ACLS) ",IF(P207=CURSOS!$D$13,"CAMILLERO ",IF(P207=CURSOS!$D$14,"TOMA DE MUESTRAS Y LABORATORIO ",IF(P207=CURSOS!$D$15,"SOPORTE VITAL BASICO (BLS)",IF(P207=CURSOS!$D$16,"ATENCION A VICTIMAS DE VIOLENCIA SEXUAL ",IF(P207=CURSOS!$D$17,"PROGRAMADO AMPLIADO DE INMUNIZACION (PAI - COVID 19)",IF(P207=CURSOS!$D$18,"ATENCION INTEGRAL EN ENFERMEDADES PREVALENTES EN PRIMERA INFANCIA (AIEPI)",IF(P207=CURSOS!$D$19,"ADMINISTRACION DE MEDICAMENTOS, INYECTOLOGIA  Y CANALIZACION ",IF(P207=CURSOS!$D$20,"OPERADOR DE VEHICULOS DE EMERGENCIA (OVE)",IF(P207=CURSOS!$D$21,"INSTITUCIONES AMIGAS DE LA MUJER Y LA INFANCIA (IAMI)",IF(P207=CURSOS!$D$22,"CUIDADO DEL DONANTE DE ORGANOS",IF(P207=CURSOS!$D$23,"ATENCION A VICTIMAS POR VIOLENCIA DE GENERO",IF(P207=CURSOS!$D$24,"IGUALDAD DE GENERO EN LA SALUD",IF(P207=CURSOS!$D$25,"BRIGADA DE EMERGENCIA",IF(P207=CURSOS!$D$26,"MANEJO DEL DOLOR Y CUIDADOS PALIATIVOS",IF(P207=CURSOS!$D$27,"TOMA DE MUESTRAS Y LABORATORIO POCT",IF(P207=CURSOS!$D$28,"IMPLANTE SUBDERMICO DE DISPOSITIVO INTRAUTERINO",IF(P207=CURSOS!$D$29,"SALUD MENTAL",IF(P207=CURSOS!$D$30,"PRIMEROS AUXILIOS PSICOLOGICOS",IF(P207=CURSOS!$D$31,"ATENCION A VICTIMAS POR CONFLICTO ARMADO",IF(P207=CURSOS!$D$32,"MANIPULACION DE ALIMENTOS Y BPM",IF(P207=CURSOS!$D$33,"ATENCION A PERSONAS CON DISCAPACIDAD",IF(P207=CURSOS!$D$34,"CUIDADO INTEGRAL DEL PACIENTE ADULTO",IF(P207=CURSOS!$D$35,"MANEJO DEFENSIVO",IF(P207=CURSOS!$D$36,"SOPORTE CARDIOVASCULAR AVANZADO NEONATAL",IF(P207=CURSOS!$D$37,"SEGURIDAD DEL PACIENTE",IF(P207=CURSOS!$D$38,"MANEJO DE RESIDUOS HOSPITALARIOS",IF(P207=CURSOS!$D$39,"ATENCION DE PACIENTE POR CONSUMO SUSTANCIAS PSICOACTIVAS Y ADICCIONES")))))))))))))))))))))))))))))))))))))</f>
        <v>0</v>
      </c>
      <c r="W207" s="62" t="str">
        <f t="shared" si="12"/>
        <v xml:space="preserve">   </v>
      </c>
      <c r="X207" s="62" t="str">
        <f t="shared" si="13"/>
        <v xml:space="preserve">   </v>
      </c>
      <c r="Y207" s="62" t="str">
        <f t="shared" si="14"/>
        <v xml:space="preserve">   --</v>
      </c>
    </row>
    <row r="208" spans="1:25" x14ac:dyDescent="0.2">
      <c r="A208" s="50">
        <v>207</v>
      </c>
      <c r="Q208" s="52"/>
      <c r="U208" s="51"/>
      <c r="V208" s="62" t="b">
        <f>IF(P208=CURSOS!$D$3,"DIPLOMADO EN ATENCION PRE-HOSPITALARIA",IF(P208=CURSOS!$D$4,"ACOMPAÑAMIENTO Y MANEJO DEL DUELO",IF(P208=CURSOS!$D$5,"ATENCION A VICTIMAS DE ATAQUE CON AGENTES QUIMICOS ",IF(P208=CURSOS!$D$6,"PRIMEROS AUXILIOS ",IF(P208=CURSOS!$D$7,"DIPLOMADO DE UNIDAD DE CUIDADOS INTENSIVOS (UCI)",IF(P208=CURSOS!$D$8,"MODELO DE ATENCION PARA EVENTOS EMERGENTES EN SALUD MENTAL (CODIGO VERDE)",IF(P208=CURSOS!$D$9,"HUMANIZACION EN EL SERVICIO DE LA SALUD Y BUENAS PRACTICAS EN PACIENTE ",IF(P208=CURSOS!$D$10,"CLINICA DE HERIDAS ",IF(P208=CURSOS!$D$11,"TOMA DE CITOLOGIA CERVICO VAGINAL ",IF(P208=CURSOS!$D$12,"SOPORTE CARDIOVASCULAR AVANZADO (ACLS) ",IF(P208=CURSOS!$D$13,"CAMILLERO ",IF(P208=CURSOS!$D$14,"TOMA DE MUESTRAS Y LABORATORIO ",IF(P208=CURSOS!$D$15,"SOPORTE VITAL BASICO (BLS)",IF(P208=CURSOS!$D$16,"ATENCION A VICTIMAS DE VIOLENCIA SEXUAL ",IF(P208=CURSOS!$D$17,"PROGRAMADO AMPLIADO DE INMUNIZACION (PAI - COVID 19)",IF(P208=CURSOS!$D$18,"ATENCION INTEGRAL EN ENFERMEDADES PREVALENTES EN PRIMERA INFANCIA (AIEPI)",IF(P208=CURSOS!$D$19,"ADMINISTRACION DE MEDICAMENTOS, INYECTOLOGIA  Y CANALIZACION ",IF(P208=CURSOS!$D$20,"OPERADOR DE VEHICULOS DE EMERGENCIA (OVE)",IF(P208=CURSOS!$D$21,"INSTITUCIONES AMIGAS DE LA MUJER Y LA INFANCIA (IAMI)",IF(P208=CURSOS!$D$22,"CUIDADO DEL DONANTE DE ORGANOS",IF(P208=CURSOS!$D$23,"ATENCION A VICTIMAS POR VIOLENCIA DE GENERO",IF(P208=CURSOS!$D$24,"IGUALDAD DE GENERO EN LA SALUD",IF(P208=CURSOS!$D$25,"BRIGADA DE EMERGENCIA",IF(P208=CURSOS!$D$26,"MANEJO DEL DOLOR Y CUIDADOS PALIATIVOS",IF(P208=CURSOS!$D$27,"TOMA DE MUESTRAS Y LABORATORIO POCT",IF(P208=CURSOS!$D$28,"IMPLANTE SUBDERMICO DE DISPOSITIVO INTRAUTERINO",IF(P208=CURSOS!$D$29,"SALUD MENTAL",IF(P208=CURSOS!$D$30,"PRIMEROS AUXILIOS PSICOLOGICOS",IF(P208=CURSOS!$D$31,"ATENCION A VICTIMAS POR CONFLICTO ARMADO",IF(P208=CURSOS!$D$32,"MANIPULACION DE ALIMENTOS Y BPM",IF(P208=CURSOS!$D$33,"ATENCION A PERSONAS CON DISCAPACIDAD",IF(P208=CURSOS!$D$34,"CUIDADO INTEGRAL DEL PACIENTE ADULTO",IF(P208=CURSOS!$D$35,"MANEJO DEFENSIVO",IF(P208=CURSOS!$D$36,"SOPORTE CARDIOVASCULAR AVANZADO NEONATAL",IF(P208=CURSOS!$D$37,"SEGURIDAD DEL PACIENTE",IF(P208=CURSOS!$D$38,"MANEJO DE RESIDUOS HOSPITALARIOS",IF(P208=CURSOS!$D$39,"ATENCION DE PACIENTE POR CONSUMO SUSTANCIAS PSICOACTIVAS Y ADICCIONES")))))))))))))))))))))))))))))))))))))</f>
        <v>0</v>
      </c>
      <c r="W208" s="62" t="str">
        <f t="shared" si="12"/>
        <v xml:space="preserve">   </v>
      </c>
      <c r="X208" s="62" t="str">
        <f t="shared" si="13"/>
        <v xml:space="preserve">   </v>
      </c>
      <c r="Y208" s="62" t="str">
        <f t="shared" si="14"/>
        <v xml:space="preserve">   --</v>
      </c>
    </row>
    <row r="209" spans="1:25" x14ac:dyDescent="0.2">
      <c r="A209" s="50">
        <v>208</v>
      </c>
      <c r="Q209" s="52"/>
      <c r="U209" s="51"/>
      <c r="V209" s="62" t="b">
        <f>IF(P209=CURSOS!$D$3,"DIPLOMADO EN ATENCION PRE-HOSPITALARIA",IF(P209=CURSOS!$D$4,"ACOMPAÑAMIENTO Y MANEJO DEL DUELO",IF(P209=CURSOS!$D$5,"ATENCION A VICTIMAS DE ATAQUE CON AGENTES QUIMICOS ",IF(P209=CURSOS!$D$6,"PRIMEROS AUXILIOS ",IF(P209=CURSOS!$D$7,"DIPLOMADO DE UNIDAD DE CUIDADOS INTENSIVOS (UCI)",IF(P209=CURSOS!$D$8,"MODELO DE ATENCION PARA EVENTOS EMERGENTES EN SALUD MENTAL (CODIGO VERDE)",IF(P209=CURSOS!$D$9,"HUMANIZACION EN EL SERVICIO DE LA SALUD Y BUENAS PRACTICAS EN PACIENTE ",IF(P209=CURSOS!$D$10,"CLINICA DE HERIDAS ",IF(P209=CURSOS!$D$11,"TOMA DE CITOLOGIA CERVICO VAGINAL ",IF(P209=CURSOS!$D$12,"SOPORTE CARDIOVASCULAR AVANZADO (ACLS) ",IF(P209=CURSOS!$D$13,"CAMILLERO ",IF(P209=CURSOS!$D$14,"TOMA DE MUESTRAS Y LABORATORIO ",IF(P209=CURSOS!$D$15,"SOPORTE VITAL BASICO (BLS)",IF(P209=CURSOS!$D$16,"ATENCION A VICTIMAS DE VIOLENCIA SEXUAL ",IF(P209=CURSOS!$D$17,"PROGRAMADO AMPLIADO DE INMUNIZACION (PAI - COVID 19)",IF(P209=CURSOS!$D$18,"ATENCION INTEGRAL EN ENFERMEDADES PREVALENTES EN PRIMERA INFANCIA (AIEPI)",IF(P209=CURSOS!$D$19,"ADMINISTRACION DE MEDICAMENTOS, INYECTOLOGIA  Y CANALIZACION ",IF(P209=CURSOS!$D$20,"OPERADOR DE VEHICULOS DE EMERGENCIA (OVE)",IF(P209=CURSOS!$D$21,"INSTITUCIONES AMIGAS DE LA MUJER Y LA INFANCIA (IAMI)",IF(P209=CURSOS!$D$22,"CUIDADO DEL DONANTE DE ORGANOS",IF(P209=CURSOS!$D$23,"ATENCION A VICTIMAS POR VIOLENCIA DE GENERO",IF(P209=CURSOS!$D$24,"IGUALDAD DE GENERO EN LA SALUD",IF(P209=CURSOS!$D$25,"BRIGADA DE EMERGENCIA",IF(P209=CURSOS!$D$26,"MANEJO DEL DOLOR Y CUIDADOS PALIATIVOS",IF(P209=CURSOS!$D$27,"TOMA DE MUESTRAS Y LABORATORIO POCT",IF(P209=CURSOS!$D$28,"IMPLANTE SUBDERMICO DE DISPOSITIVO INTRAUTERINO",IF(P209=CURSOS!$D$29,"SALUD MENTAL",IF(P209=CURSOS!$D$30,"PRIMEROS AUXILIOS PSICOLOGICOS",IF(P209=CURSOS!$D$31,"ATENCION A VICTIMAS POR CONFLICTO ARMADO",IF(P209=CURSOS!$D$32,"MANIPULACION DE ALIMENTOS Y BPM",IF(P209=CURSOS!$D$33,"ATENCION A PERSONAS CON DISCAPACIDAD",IF(P209=CURSOS!$D$34,"CUIDADO INTEGRAL DEL PACIENTE ADULTO",IF(P209=CURSOS!$D$35,"MANEJO DEFENSIVO",IF(P209=CURSOS!$D$36,"SOPORTE CARDIOVASCULAR AVANZADO NEONATAL",IF(P209=CURSOS!$D$37,"SEGURIDAD DEL PACIENTE",IF(P209=CURSOS!$D$38,"MANEJO DE RESIDUOS HOSPITALARIOS",IF(P209=CURSOS!$D$39,"ATENCION DE PACIENTE POR CONSUMO SUSTANCIAS PSICOACTIVAS Y ADICCIONES")))))))))))))))))))))))))))))))))))))</f>
        <v>0</v>
      </c>
      <c r="W209" s="62" t="str">
        <f t="shared" si="12"/>
        <v xml:space="preserve">   </v>
      </c>
      <c r="X209" s="62" t="str">
        <f t="shared" si="13"/>
        <v xml:space="preserve">   </v>
      </c>
      <c r="Y209" s="62" t="str">
        <f t="shared" si="14"/>
        <v xml:space="preserve">   --</v>
      </c>
    </row>
    <row r="210" spans="1:25" x14ac:dyDescent="0.2">
      <c r="A210" s="50">
        <v>209</v>
      </c>
      <c r="Q210" s="52"/>
      <c r="U210" s="51"/>
      <c r="V210" s="62" t="b">
        <f>IF(P210=CURSOS!$D$3,"DIPLOMADO EN ATENCION PRE-HOSPITALARIA",IF(P210=CURSOS!$D$4,"ACOMPAÑAMIENTO Y MANEJO DEL DUELO",IF(P210=CURSOS!$D$5,"ATENCION A VICTIMAS DE ATAQUE CON AGENTES QUIMICOS ",IF(P210=CURSOS!$D$6,"PRIMEROS AUXILIOS ",IF(P210=CURSOS!$D$7,"DIPLOMADO DE UNIDAD DE CUIDADOS INTENSIVOS (UCI)",IF(P210=CURSOS!$D$8,"MODELO DE ATENCION PARA EVENTOS EMERGENTES EN SALUD MENTAL (CODIGO VERDE)",IF(P210=CURSOS!$D$9,"HUMANIZACION EN EL SERVICIO DE LA SALUD Y BUENAS PRACTICAS EN PACIENTE ",IF(P210=CURSOS!$D$10,"CLINICA DE HERIDAS ",IF(P210=CURSOS!$D$11,"TOMA DE CITOLOGIA CERVICO VAGINAL ",IF(P210=CURSOS!$D$12,"SOPORTE CARDIOVASCULAR AVANZADO (ACLS) ",IF(P210=CURSOS!$D$13,"CAMILLERO ",IF(P210=CURSOS!$D$14,"TOMA DE MUESTRAS Y LABORATORIO ",IF(P210=CURSOS!$D$15,"SOPORTE VITAL BASICO (BLS)",IF(P210=CURSOS!$D$16,"ATENCION A VICTIMAS DE VIOLENCIA SEXUAL ",IF(P210=CURSOS!$D$17,"PROGRAMADO AMPLIADO DE INMUNIZACION (PAI - COVID 19)",IF(P210=CURSOS!$D$18,"ATENCION INTEGRAL EN ENFERMEDADES PREVALENTES EN PRIMERA INFANCIA (AIEPI)",IF(P210=CURSOS!$D$19,"ADMINISTRACION DE MEDICAMENTOS, INYECTOLOGIA  Y CANALIZACION ",IF(P210=CURSOS!$D$20,"OPERADOR DE VEHICULOS DE EMERGENCIA (OVE)",IF(P210=CURSOS!$D$21,"INSTITUCIONES AMIGAS DE LA MUJER Y LA INFANCIA (IAMI)",IF(P210=CURSOS!$D$22,"CUIDADO DEL DONANTE DE ORGANOS",IF(P210=CURSOS!$D$23,"ATENCION A VICTIMAS POR VIOLENCIA DE GENERO",IF(P210=CURSOS!$D$24,"IGUALDAD DE GENERO EN LA SALUD",IF(P210=CURSOS!$D$25,"BRIGADA DE EMERGENCIA",IF(P210=CURSOS!$D$26,"MANEJO DEL DOLOR Y CUIDADOS PALIATIVOS",IF(P210=CURSOS!$D$27,"TOMA DE MUESTRAS Y LABORATORIO POCT",IF(P210=CURSOS!$D$28,"IMPLANTE SUBDERMICO DE DISPOSITIVO INTRAUTERINO",IF(P210=CURSOS!$D$29,"SALUD MENTAL",IF(P210=CURSOS!$D$30,"PRIMEROS AUXILIOS PSICOLOGICOS",IF(P210=CURSOS!$D$31,"ATENCION A VICTIMAS POR CONFLICTO ARMADO",IF(P210=CURSOS!$D$32,"MANIPULACION DE ALIMENTOS Y BPM",IF(P210=CURSOS!$D$33,"ATENCION A PERSONAS CON DISCAPACIDAD",IF(P210=CURSOS!$D$34,"CUIDADO INTEGRAL DEL PACIENTE ADULTO",IF(P210=CURSOS!$D$35,"MANEJO DEFENSIVO",IF(P210=CURSOS!$D$36,"SOPORTE CARDIOVASCULAR AVANZADO NEONATAL",IF(P210=CURSOS!$D$37,"SEGURIDAD DEL PACIENTE",IF(P210=CURSOS!$D$38,"MANEJO DE RESIDUOS HOSPITALARIOS",IF(P210=CURSOS!$D$39,"ATENCION DE PACIENTE POR CONSUMO SUSTANCIAS PSICOACTIVAS Y ADICCIONES")))))))))))))))))))))))))))))))))))))</f>
        <v>0</v>
      </c>
      <c r="W210" s="62" t="str">
        <f t="shared" si="12"/>
        <v xml:space="preserve">   </v>
      </c>
      <c r="X210" s="62" t="str">
        <f t="shared" si="13"/>
        <v xml:space="preserve">   </v>
      </c>
      <c r="Y210" s="62" t="str">
        <f t="shared" si="14"/>
        <v xml:space="preserve">   --</v>
      </c>
    </row>
    <row r="211" spans="1:25" x14ac:dyDescent="0.2">
      <c r="A211" s="50">
        <v>210</v>
      </c>
      <c r="Q211" s="52"/>
      <c r="U211" s="51"/>
      <c r="V211" s="62" t="b">
        <f>IF(P211=CURSOS!$D$3,"DIPLOMADO EN ATENCION PRE-HOSPITALARIA",IF(P211=CURSOS!$D$4,"ACOMPAÑAMIENTO Y MANEJO DEL DUELO",IF(P211=CURSOS!$D$5,"ATENCION A VICTIMAS DE ATAQUE CON AGENTES QUIMICOS ",IF(P211=CURSOS!$D$6,"PRIMEROS AUXILIOS ",IF(P211=CURSOS!$D$7,"DIPLOMADO DE UNIDAD DE CUIDADOS INTENSIVOS (UCI)",IF(P211=CURSOS!$D$8,"MODELO DE ATENCION PARA EVENTOS EMERGENTES EN SALUD MENTAL (CODIGO VERDE)",IF(P211=CURSOS!$D$9,"HUMANIZACION EN EL SERVICIO DE LA SALUD Y BUENAS PRACTICAS EN PACIENTE ",IF(P211=CURSOS!$D$10,"CLINICA DE HERIDAS ",IF(P211=CURSOS!$D$11,"TOMA DE CITOLOGIA CERVICO VAGINAL ",IF(P211=CURSOS!$D$12,"SOPORTE CARDIOVASCULAR AVANZADO (ACLS) ",IF(P211=CURSOS!$D$13,"CAMILLERO ",IF(P211=CURSOS!$D$14,"TOMA DE MUESTRAS Y LABORATORIO ",IF(P211=CURSOS!$D$15,"SOPORTE VITAL BASICO (BLS)",IF(P211=CURSOS!$D$16,"ATENCION A VICTIMAS DE VIOLENCIA SEXUAL ",IF(P211=CURSOS!$D$17,"PROGRAMADO AMPLIADO DE INMUNIZACION (PAI - COVID 19)",IF(P211=CURSOS!$D$18,"ATENCION INTEGRAL EN ENFERMEDADES PREVALENTES EN PRIMERA INFANCIA (AIEPI)",IF(P211=CURSOS!$D$19,"ADMINISTRACION DE MEDICAMENTOS, INYECTOLOGIA  Y CANALIZACION ",IF(P211=CURSOS!$D$20,"OPERADOR DE VEHICULOS DE EMERGENCIA (OVE)",IF(P211=CURSOS!$D$21,"INSTITUCIONES AMIGAS DE LA MUJER Y LA INFANCIA (IAMI)",IF(P211=CURSOS!$D$22,"CUIDADO DEL DONANTE DE ORGANOS",IF(P211=CURSOS!$D$23,"ATENCION A VICTIMAS POR VIOLENCIA DE GENERO",IF(P211=CURSOS!$D$24,"IGUALDAD DE GENERO EN LA SALUD",IF(P211=CURSOS!$D$25,"BRIGADA DE EMERGENCIA",IF(P211=CURSOS!$D$26,"MANEJO DEL DOLOR Y CUIDADOS PALIATIVOS",IF(P211=CURSOS!$D$27,"TOMA DE MUESTRAS Y LABORATORIO POCT",IF(P211=CURSOS!$D$28,"IMPLANTE SUBDERMICO DE DISPOSITIVO INTRAUTERINO",IF(P211=CURSOS!$D$29,"SALUD MENTAL",IF(P211=CURSOS!$D$30,"PRIMEROS AUXILIOS PSICOLOGICOS",IF(P211=CURSOS!$D$31,"ATENCION A VICTIMAS POR CONFLICTO ARMADO",IF(P211=CURSOS!$D$32,"MANIPULACION DE ALIMENTOS Y BPM",IF(P211=CURSOS!$D$33,"ATENCION A PERSONAS CON DISCAPACIDAD",IF(P211=CURSOS!$D$34,"CUIDADO INTEGRAL DEL PACIENTE ADULTO",IF(P211=CURSOS!$D$35,"MANEJO DEFENSIVO",IF(P211=CURSOS!$D$36,"SOPORTE CARDIOVASCULAR AVANZADO NEONATAL",IF(P211=CURSOS!$D$37,"SEGURIDAD DEL PACIENTE",IF(P211=CURSOS!$D$38,"MANEJO DE RESIDUOS HOSPITALARIOS",IF(P211=CURSOS!$D$39,"ATENCION DE PACIENTE POR CONSUMO SUSTANCIAS PSICOACTIVAS Y ADICCIONES")))))))))))))))))))))))))))))))))))))</f>
        <v>0</v>
      </c>
      <c r="W211" s="62" t="str">
        <f t="shared" si="12"/>
        <v xml:space="preserve">   </v>
      </c>
      <c r="X211" s="62" t="str">
        <f t="shared" si="13"/>
        <v xml:space="preserve">   </v>
      </c>
      <c r="Y211" s="62" t="str">
        <f t="shared" si="14"/>
        <v xml:space="preserve">   --</v>
      </c>
    </row>
    <row r="212" spans="1:25" x14ac:dyDescent="0.2">
      <c r="A212" s="50">
        <v>211</v>
      </c>
      <c r="Q212" s="52"/>
      <c r="U212" s="51"/>
      <c r="V212" s="62" t="b">
        <f>IF(P212=CURSOS!$D$3,"DIPLOMADO EN ATENCION PRE-HOSPITALARIA",IF(P212=CURSOS!$D$4,"ACOMPAÑAMIENTO Y MANEJO DEL DUELO",IF(P212=CURSOS!$D$5,"ATENCION A VICTIMAS DE ATAQUE CON AGENTES QUIMICOS ",IF(P212=CURSOS!$D$6,"PRIMEROS AUXILIOS ",IF(P212=CURSOS!$D$7,"DIPLOMADO DE UNIDAD DE CUIDADOS INTENSIVOS (UCI)",IF(P212=CURSOS!$D$8,"MODELO DE ATENCION PARA EVENTOS EMERGENTES EN SALUD MENTAL (CODIGO VERDE)",IF(P212=CURSOS!$D$9,"HUMANIZACION EN EL SERVICIO DE LA SALUD Y BUENAS PRACTICAS EN PACIENTE ",IF(P212=CURSOS!$D$10,"CLINICA DE HERIDAS ",IF(P212=CURSOS!$D$11,"TOMA DE CITOLOGIA CERVICO VAGINAL ",IF(P212=CURSOS!$D$12,"SOPORTE CARDIOVASCULAR AVANZADO (ACLS) ",IF(P212=CURSOS!$D$13,"CAMILLERO ",IF(P212=CURSOS!$D$14,"TOMA DE MUESTRAS Y LABORATORIO ",IF(P212=CURSOS!$D$15,"SOPORTE VITAL BASICO (BLS)",IF(P212=CURSOS!$D$16,"ATENCION A VICTIMAS DE VIOLENCIA SEXUAL ",IF(P212=CURSOS!$D$17,"PROGRAMADO AMPLIADO DE INMUNIZACION (PAI - COVID 19)",IF(P212=CURSOS!$D$18,"ATENCION INTEGRAL EN ENFERMEDADES PREVALENTES EN PRIMERA INFANCIA (AIEPI)",IF(P212=CURSOS!$D$19,"ADMINISTRACION DE MEDICAMENTOS, INYECTOLOGIA  Y CANALIZACION ",IF(P212=CURSOS!$D$20,"OPERADOR DE VEHICULOS DE EMERGENCIA (OVE)",IF(P212=CURSOS!$D$21,"INSTITUCIONES AMIGAS DE LA MUJER Y LA INFANCIA (IAMI)",IF(P212=CURSOS!$D$22,"CUIDADO DEL DONANTE DE ORGANOS",IF(P212=CURSOS!$D$23,"ATENCION A VICTIMAS POR VIOLENCIA DE GENERO",IF(P212=CURSOS!$D$24,"IGUALDAD DE GENERO EN LA SALUD",IF(P212=CURSOS!$D$25,"BRIGADA DE EMERGENCIA",IF(P212=CURSOS!$D$26,"MANEJO DEL DOLOR Y CUIDADOS PALIATIVOS",IF(P212=CURSOS!$D$27,"TOMA DE MUESTRAS Y LABORATORIO POCT",IF(P212=CURSOS!$D$28,"IMPLANTE SUBDERMICO DE DISPOSITIVO INTRAUTERINO",IF(P212=CURSOS!$D$29,"SALUD MENTAL",IF(P212=CURSOS!$D$30,"PRIMEROS AUXILIOS PSICOLOGICOS",IF(P212=CURSOS!$D$31,"ATENCION A VICTIMAS POR CONFLICTO ARMADO",IF(P212=CURSOS!$D$32,"MANIPULACION DE ALIMENTOS Y BPM",IF(P212=CURSOS!$D$33,"ATENCION A PERSONAS CON DISCAPACIDAD",IF(P212=CURSOS!$D$34,"CUIDADO INTEGRAL DEL PACIENTE ADULTO",IF(P212=CURSOS!$D$35,"MANEJO DEFENSIVO",IF(P212=CURSOS!$D$36,"SOPORTE CARDIOVASCULAR AVANZADO NEONATAL",IF(P212=CURSOS!$D$37,"SEGURIDAD DEL PACIENTE",IF(P212=CURSOS!$D$38,"MANEJO DE RESIDUOS HOSPITALARIOS",IF(P212=CURSOS!$D$39,"ATENCION DE PACIENTE POR CONSUMO SUSTANCIAS PSICOACTIVAS Y ADICCIONES")))))))))))))))))))))))))))))))))))))</f>
        <v>0</v>
      </c>
      <c r="W212" s="62" t="str">
        <f t="shared" si="12"/>
        <v xml:space="preserve">   </v>
      </c>
      <c r="X212" s="62" t="str">
        <f t="shared" si="13"/>
        <v xml:space="preserve">   </v>
      </c>
      <c r="Y212" s="62" t="str">
        <f t="shared" si="14"/>
        <v xml:space="preserve">   --</v>
      </c>
    </row>
    <row r="213" spans="1:25" x14ac:dyDescent="0.2">
      <c r="A213" s="50">
        <v>212</v>
      </c>
      <c r="Q213" s="52"/>
      <c r="U213" s="51"/>
      <c r="V213" s="62" t="b">
        <f>IF(P213=CURSOS!$D$3,"DIPLOMADO EN ATENCION PRE-HOSPITALARIA",IF(P213=CURSOS!$D$4,"ACOMPAÑAMIENTO Y MANEJO DEL DUELO",IF(P213=CURSOS!$D$5,"ATENCION A VICTIMAS DE ATAQUE CON AGENTES QUIMICOS ",IF(P213=CURSOS!$D$6,"PRIMEROS AUXILIOS ",IF(P213=CURSOS!$D$7,"DIPLOMADO DE UNIDAD DE CUIDADOS INTENSIVOS (UCI)",IF(P213=CURSOS!$D$8,"MODELO DE ATENCION PARA EVENTOS EMERGENTES EN SALUD MENTAL (CODIGO VERDE)",IF(P213=CURSOS!$D$9,"HUMANIZACION EN EL SERVICIO DE LA SALUD Y BUENAS PRACTICAS EN PACIENTE ",IF(P213=CURSOS!$D$10,"CLINICA DE HERIDAS ",IF(P213=CURSOS!$D$11,"TOMA DE CITOLOGIA CERVICO VAGINAL ",IF(P213=CURSOS!$D$12,"SOPORTE CARDIOVASCULAR AVANZADO (ACLS) ",IF(P213=CURSOS!$D$13,"CAMILLERO ",IF(P213=CURSOS!$D$14,"TOMA DE MUESTRAS Y LABORATORIO ",IF(P213=CURSOS!$D$15,"SOPORTE VITAL BASICO (BLS)",IF(P213=CURSOS!$D$16,"ATENCION A VICTIMAS DE VIOLENCIA SEXUAL ",IF(P213=CURSOS!$D$17,"PROGRAMADO AMPLIADO DE INMUNIZACION (PAI - COVID 19)",IF(P213=CURSOS!$D$18,"ATENCION INTEGRAL EN ENFERMEDADES PREVALENTES EN PRIMERA INFANCIA (AIEPI)",IF(P213=CURSOS!$D$19,"ADMINISTRACION DE MEDICAMENTOS, INYECTOLOGIA  Y CANALIZACION ",IF(P213=CURSOS!$D$20,"OPERADOR DE VEHICULOS DE EMERGENCIA (OVE)",IF(P213=CURSOS!$D$21,"INSTITUCIONES AMIGAS DE LA MUJER Y LA INFANCIA (IAMI)",IF(P213=CURSOS!$D$22,"CUIDADO DEL DONANTE DE ORGANOS",IF(P213=CURSOS!$D$23,"ATENCION A VICTIMAS POR VIOLENCIA DE GENERO",IF(P213=CURSOS!$D$24,"IGUALDAD DE GENERO EN LA SALUD",IF(P213=CURSOS!$D$25,"BRIGADA DE EMERGENCIA",IF(P213=CURSOS!$D$26,"MANEJO DEL DOLOR Y CUIDADOS PALIATIVOS",IF(P213=CURSOS!$D$27,"TOMA DE MUESTRAS Y LABORATORIO POCT",IF(P213=CURSOS!$D$28,"IMPLANTE SUBDERMICO DE DISPOSITIVO INTRAUTERINO",IF(P213=CURSOS!$D$29,"SALUD MENTAL",IF(P213=CURSOS!$D$30,"PRIMEROS AUXILIOS PSICOLOGICOS",IF(P213=CURSOS!$D$31,"ATENCION A VICTIMAS POR CONFLICTO ARMADO",IF(P213=CURSOS!$D$32,"MANIPULACION DE ALIMENTOS Y BPM",IF(P213=CURSOS!$D$33,"ATENCION A PERSONAS CON DISCAPACIDAD",IF(P213=CURSOS!$D$34,"CUIDADO INTEGRAL DEL PACIENTE ADULTO",IF(P213=CURSOS!$D$35,"MANEJO DEFENSIVO",IF(P213=CURSOS!$D$36,"SOPORTE CARDIOVASCULAR AVANZADO NEONATAL",IF(P213=CURSOS!$D$37,"SEGURIDAD DEL PACIENTE",IF(P213=CURSOS!$D$38,"MANEJO DE RESIDUOS HOSPITALARIOS",IF(P213=CURSOS!$D$39,"ATENCION DE PACIENTE POR CONSUMO SUSTANCIAS PSICOACTIVAS Y ADICCIONES")))))))))))))))))))))))))))))))))))))</f>
        <v>0</v>
      </c>
      <c r="W213" s="62" t="str">
        <f t="shared" si="12"/>
        <v xml:space="preserve">   </v>
      </c>
      <c r="X213" s="62" t="str">
        <f t="shared" si="13"/>
        <v xml:space="preserve">   </v>
      </c>
      <c r="Y213" s="62" t="str">
        <f t="shared" si="14"/>
        <v xml:space="preserve">   --</v>
      </c>
    </row>
    <row r="214" spans="1:25" x14ac:dyDescent="0.2">
      <c r="A214" s="50">
        <v>213</v>
      </c>
      <c r="Q214" s="52"/>
      <c r="S214" s="38"/>
      <c r="U214" s="51"/>
      <c r="V214" s="62" t="b">
        <f>IF(P214=CURSOS!$D$3,"DIPLOMADO EN ATENCION PRE-HOSPITALARIA",IF(P214=CURSOS!$D$4,"ACOMPAÑAMIENTO Y MANEJO DEL DUELO",IF(P214=CURSOS!$D$5,"ATENCION A VICTIMAS DE ATAQUE CON AGENTES QUIMICOS ",IF(P214=CURSOS!$D$6,"PRIMEROS AUXILIOS ",IF(P214=CURSOS!$D$7,"DIPLOMADO DE UNIDAD DE CUIDADOS INTENSIVOS (UCI)",IF(P214=CURSOS!$D$8,"MODELO DE ATENCION PARA EVENTOS EMERGENTES EN SALUD MENTAL (CODIGO VERDE)",IF(P214=CURSOS!$D$9,"HUMANIZACION EN EL SERVICIO DE LA SALUD Y BUENAS PRACTICAS EN PACIENTE ",IF(P214=CURSOS!$D$10,"CLINICA DE HERIDAS ",IF(P214=CURSOS!$D$11,"TOMA DE CITOLOGIA CERVICO VAGINAL ",IF(P214=CURSOS!$D$12,"SOPORTE CARDIOVASCULAR AVANZADO (ACLS) ",IF(P214=CURSOS!$D$13,"CAMILLERO ",IF(P214=CURSOS!$D$14,"TOMA DE MUESTRAS Y LABORATORIO ",IF(P214=CURSOS!$D$15,"SOPORTE VITAL BASICO (BLS)",IF(P214=CURSOS!$D$16,"ATENCION A VICTIMAS DE VIOLENCIA SEXUAL ",IF(P214=CURSOS!$D$17,"PROGRAMADO AMPLIADO DE INMUNIZACION (PAI - COVID 19)",IF(P214=CURSOS!$D$18,"ATENCION INTEGRAL EN ENFERMEDADES PREVALENTES EN PRIMERA INFANCIA (AIEPI)",IF(P214=CURSOS!$D$19,"ADMINISTRACION DE MEDICAMENTOS, INYECTOLOGIA  Y CANALIZACION ",IF(P214=CURSOS!$D$20,"OPERADOR DE VEHICULOS DE EMERGENCIA (OVE)",IF(P214=CURSOS!$D$21,"INSTITUCIONES AMIGAS DE LA MUJER Y LA INFANCIA (IAMI)",IF(P214=CURSOS!$D$22,"CUIDADO DEL DONANTE DE ORGANOS",IF(P214=CURSOS!$D$23,"ATENCION A VICTIMAS POR VIOLENCIA DE GENERO",IF(P214=CURSOS!$D$24,"IGUALDAD DE GENERO EN LA SALUD",IF(P214=CURSOS!$D$25,"BRIGADA DE EMERGENCIA",IF(P214=CURSOS!$D$26,"MANEJO DEL DOLOR Y CUIDADOS PALIATIVOS",IF(P214=CURSOS!$D$27,"TOMA DE MUESTRAS Y LABORATORIO POCT",IF(P214=CURSOS!$D$28,"IMPLANTE SUBDERMICO DE DISPOSITIVO INTRAUTERINO",IF(P214=CURSOS!$D$29,"SALUD MENTAL",IF(P214=CURSOS!$D$30,"PRIMEROS AUXILIOS PSICOLOGICOS",IF(P214=CURSOS!$D$31,"ATENCION A VICTIMAS POR CONFLICTO ARMADO",IF(P214=CURSOS!$D$32,"MANIPULACION DE ALIMENTOS Y BPM",IF(P214=CURSOS!$D$33,"ATENCION A PERSONAS CON DISCAPACIDAD",IF(P214=CURSOS!$D$34,"CUIDADO INTEGRAL DEL PACIENTE ADULTO",IF(P214=CURSOS!$D$35,"MANEJO DEFENSIVO",IF(P214=CURSOS!$D$36,"SOPORTE CARDIOVASCULAR AVANZADO NEONATAL",IF(P214=CURSOS!$D$37,"SEGURIDAD DEL PACIENTE",IF(P214=CURSOS!$D$38,"MANEJO DE RESIDUOS HOSPITALARIOS",IF(P214=CURSOS!$D$39,"ATENCION DE PACIENTE POR CONSUMO SUSTANCIAS PSICOACTIVAS Y ADICCIONES")))))))))))))))))))))))))))))))))))))</f>
        <v>0</v>
      </c>
      <c r="W214" s="62" t="str">
        <f t="shared" si="12"/>
        <v xml:space="preserve">   </v>
      </c>
      <c r="X214" s="62" t="str">
        <f t="shared" si="13"/>
        <v xml:space="preserve">   </v>
      </c>
      <c r="Y214" s="62" t="str">
        <f t="shared" si="14"/>
        <v xml:space="preserve">   --</v>
      </c>
    </row>
    <row r="215" spans="1:25" x14ac:dyDescent="0.2">
      <c r="A215" s="50">
        <v>214</v>
      </c>
      <c r="Q215" s="52"/>
      <c r="S215" s="38"/>
      <c r="U215" s="51"/>
      <c r="V215" s="62" t="b">
        <f>IF(P215=CURSOS!$D$3,"DIPLOMADO EN ATENCION PRE-HOSPITALARIA",IF(P215=CURSOS!$D$4,"ACOMPAÑAMIENTO Y MANEJO DEL DUELO",IF(P215=CURSOS!$D$5,"ATENCION A VICTIMAS DE ATAQUE CON AGENTES QUIMICOS ",IF(P215=CURSOS!$D$6,"PRIMEROS AUXILIOS ",IF(P215=CURSOS!$D$7,"DIPLOMADO DE UNIDAD DE CUIDADOS INTENSIVOS (UCI)",IF(P215=CURSOS!$D$8,"MODELO DE ATENCION PARA EVENTOS EMERGENTES EN SALUD MENTAL (CODIGO VERDE)",IF(P215=CURSOS!$D$9,"HUMANIZACION EN EL SERVICIO DE LA SALUD Y BUENAS PRACTICAS EN PACIENTE ",IF(P215=CURSOS!$D$10,"CLINICA DE HERIDAS ",IF(P215=CURSOS!$D$11,"TOMA DE CITOLOGIA CERVICO VAGINAL ",IF(P215=CURSOS!$D$12,"SOPORTE CARDIOVASCULAR AVANZADO (ACLS) ",IF(P215=CURSOS!$D$13,"CAMILLERO ",IF(P215=CURSOS!$D$14,"TOMA DE MUESTRAS Y LABORATORIO ",IF(P215=CURSOS!$D$15,"SOPORTE VITAL BASICO (BLS)",IF(P215=CURSOS!$D$16,"ATENCION A VICTIMAS DE VIOLENCIA SEXUAL ",IF(P215=CURSOS!$D$17,"PROGRAMADO AMPLIADO DE INMUNIZACION (PAI - COVID 19)",IF(P215=CURSOS!$D$18,"ATENCION INTEGRAL EN ENFERMEDADES PREVALENTES EN PRIMERA INFANCIA (AIEPI)",IF(P215=CURSOS!$D$19,"ADMINISTRACION DE MEDICAMENTOS, INYECTOLOGIA  Y CANALIZACION ",IF(P215=CURSOS!$D$20,"OPERADOR DE VEHICULOS DE EMERGENCIA (OVE)",IF(P215=CURSOS!$D$21,"INSTITUCIONES AMIGAS DE LA MUJER Y LA INFANCIA (IAMI)",IF(P215=CURSOS!$D$22,"CUIDADO DEL DONANTE DE ORGANOS",IF(P215=CURSOS!$D$23,"ATENCION A VICTIMAS POR VIOLENCIA DE GENERO",IF(P215=CURSOS!$D$24,"IGUALDAD DE GENERO EN LA SALUD",IF(P215=CURSOS!$D$25,"BRIGADA DE EMERGENCIA",IF(P215=CURSOS!$D$26,"MANEJO DEL DOLOR Y CUIDADOS PALIATIVOS",IF(P215=CURSOS!$D$27,"TOMA DE MUESTRAS Y LABORATORIO POCT",IF(P215=CURSOS!$D$28,"IMPLANTE SUBDERMICO DE DISPOSITIVO INTRAUTERINO",IF(P215=CURSOS!$D$29,"SALUD MENTAL",IF(P215=CURSOS!$D$30,"PRIMEROS AUXILIOS PSICOLOGICOS",IF(P215=CURSOS!$D$31,"ATENCION A VICTIMAS POR CONFLICTO ARMADO",IF(P215=CURSOS!$D$32,"MANIPULACION DE ALIMENTOS Y BPM",IF(P215=CURSOS!$D$33,"ATENCION A PERSONAS CON DISCAPACIDAD",IF(P215=CURSOS!$D$34,"CUIDADO INTEGRAL DEL PACIENTE ADULTO",IF(P215=CURSOS!$D$35,"MANEJO DEFENSIVO",IF(P215=CURSOS!$D$36,"SOPORTE CARDIOVASCULAR AVANZADO NEONATAL",IF(P215=CURSOS!$D$37,"SEGURIDAD DEL PACIENTE",IF(P215=CURSOS!$D$38,"MANEJO DE RESIDUOS HOSPITALARIOS",IF(P215=CURSOS!$D$39,"ATENCION DE PACIENTE POR CONSUMO SUSTANCIAS PSICOACTIVAS Y ADICCIONES")))))))))))))))))))))))))))))))))))))</f>
        <v>0</v>
      </c>
      <c r="W215" s="62" t="str">
        <f t="shared" si="12"/>
        <v xml:space="preserve">   </v>
      </c>
      <c r="X215" s="62" t="str">
        <f t="shared" si="13"/>
        <v xml:space="preserve">   </v>
      </c>
      <c r="Y215" s="62" t="str">
        <f t="shared" si="14"/>
        <v xml:space="preserve">   --</v>
      </c>
    </row>
    <row r="216" spans="1:25" x14ac:dyDescent="0.2">
      <c r="A216" s="50">
        <v>215</v>
      </c>
      <c r="Q216" s="52"/>
      <c r="S216" s="38"/>
      <c r="U216" s="51"/>
      <c r="V216" s="62" t="b">
        <f>IF(P216=CURSOS!$D$3,"DIPLOMADO EN ATENCION PRE-HOSPITALARIA",IF(P216=CURSOS!$D$4,"ACOMPAÑAMIENTO Y MANEJO DEL DUELO",IF(P216=CURSOS!$D$5,"ATENCION A VICTIMAS DE ATAQUE CON AGENTES QUIMICOS ",IF(P216=CURSOS!$D$6,"PRIMEROS AUXILIOS ",IF(P216=CURSOS!$D$7,"DIPLOMADO DE UNIDAD DE CUIDADOS INTENSIVOS (UCI)",IF(P216=CURSOS!$D$8,"MODELO DE ATENCION PARA EVENTOS EMERGENTES EN SALUD MENTAL (CODIGO VERDE)",IF(P216=CURSOS!$D$9,"HUMANIZACION EN EL SERVICIO DE LA SALUD Y BUENAS PRACTICAS EN PACIENTE ",IF(P216=CURSOS!$D$10,"CLINICA DE HERIDAS ",IF(P216=CURSOS!$D$11,"TOMA DE CITOLOGIA CERVICO VAGINAL ",IF(P216=CURSOS!$D$12,"SOPORTE CARDIOVASCULAR AVANZADO (ACLS) ",IF(P216=CURSOS!$D$13,"CAMILLERO ",IF(P216=CURSOS!$D$14,"TOMA DE MUESTRAS Y LABORATORIO ",IF(P216=CURSOS!$D$15,"SOPORTE VITAL BASICO (BLS)",IF(P216=CURSOS!$D$16,"ATENCION A VICTIMAS DE VIOLENCIA SEXUAL ",IF(P216=CURSOS!$D$17,"PROGRAMADO AMPLIADO DE INMUNIZACION (PAI - COVID 19)",IF(P216=CURSOS!$D$18,"ATENCION INTEGRAL EN ENFERMEDADES PREVALENTES EN PRIMERA INFANCIA (AIEPI)",IF(P216=CURSOS!$D$19,"ADMINISTRACION DE MEDICAMENTOS, INYECTOLOGIA  Y CANALIZACION ",IF(P216=CURSOS!$D$20,"OPERADOR DE VEHICULOS DE EMERGENCIA (OVE)",IF(P216=CURSOS!$D$21,"INSTITUCIONES AMIGAS DE LA MUJER Y LA INFANCIA (IAMI)",IF(P216=CURSOS!$D$22,"CUIDADO DEL DONANTE DE ORGANOS",IF(P216=CURSOS!$D$23,"ATENCION A VICTIMAS POR VIOLENCIA DE GENERO",IF(P216=CURSOS!$D$24,"IGUALDAD DE GENERO EN LA SALUD",IF(P216=CURSOS!$D$25,"BRIGADA DE EMERGENCIA",IF(P216=CURSOS!$D$26,"MANEJO DEL DOLOR Y CUIDADOS PALIATIVOS",IF(P216=CURSOS!$D$27,"TOMA DE MUESTRAS Y LABORATORIO POCT",IF(P216=CURSOS!$D$28,"IMPLANTE SUBDERMICO DE DISPOSITIVO INTRAUTERINO",IF(P216=CURSOS!$D$29,"SALUD MENTAL",IF(P216=CURSOS!$D$30,"PRIMEROS AUXILIOS PSICOLOGICOS",IF(P216=CURSOS!$D$31,"ATENCION A VICTIMAS POR CONFLICTO ARMADO",IF(P216=CURSOS!$D$32,"MANIPULACION DE ALIMENTOS Y BPM",IF(P216=CURSOS!$D$33,"ATENCION A PERSONAS CON DISCAPACIDAD",IF(P216=CURSOS!$D$34,"CUIDADO INTEGRAL DEL PACIENTE ADULTO",IF(P216=CURSOS!$D$35,"MANEJO DEFENSIVO",IF(P216=CURSOS!$D$36,"SOPORTE CARDIOVASCULAR AVANZADO NEONATAL",IF(P216=CURSOS!$D$37,"SEGURIDAD DEL PACIENTE",IF(P216=CURSOS!$D$38,"MANEJO DE RESIDUOS HOSPITALARIOS",IF(P216=CURSOS!$D$39,"ATENCION DE PACIENTE POR CONSUMO SUSTANCIAS PSICOACTIVAS Y ADICCIONES")))))))))))))))))))))))))))))))))))))</f>
        <v>0</v>
      </c>
      <c r="W216" s="62" t="str">
        <f t="shared" si="12"/>
        <v xml:space="preserve">   </v>
      </c>
      <c r="X216" s="62" t="str">
        <f t="shared" si="13"/>
        <v xml:space="preserve">   </v>
      </c>
      <c r="Y216" s="62" t="str">
        <f t="shared" si="14"/>
        <v xml:space="preserve">   --</v>
      </c>
    </row>
    <row r="217" spans="1:25" x14ac:dyDescent="0.2">
      <c r="A217" s="50">
        <v>216</v>
      </c>
      <c r="Q217" s="52"/>
      <c r="U217" s="37"/>
      <c r="V217" s="62" t="b">
        <f>IF(P217=CURSOS!$D$3,"DIPLOMADO EN ATENCION PRE-HOSPITALARIA",IF(P217=CURSOS!$D$4,"ACOMPAÑAMIENTO Y MANEJO DEL DUELO",IF(P217=CURSOS!$D$5,"ATENCION A VICTIMAS DE ATAQUE CON AGENTES QUIMICOS ",IF(P217=CURSOS!$D$6,"PRIMEROS AUXILIOS ",IF(P217=CURSOS!$D$7,"DIPLOMADO DE UNIDAD DE CUIDADOS INTENSIVOS (UCI)",IF(P217=CURSOS!$D$8,"MODELO DE ATENCION PARA EVENTOS EMERGENTES EN SALUD MENTAL (CODIGO VERDE)",IF(P217=CURSOS!$D$9,"HUMANIZACION EN EL SERVICIO DE LA SALUD Y BUENAS PRACTICAS EN PACIENTE ",IF(P217=CURSOS!$D$10,"CLINICA DE HERIDAS ",IF(P217=CURSOS!$D$11,"TOMA DE CITOLOGIA CERVICO VAGINAL ",IF(P217=CURSOS!$D$12,"SOPORTE CARDIOVASCULAR AVANZADO (ACLS) ",IF(P217=CURSOS!$D$13,"CAMILLERO ",IF(P217=CURSOS!$D$14,"TOMA DE MUESTRAS Y LABORATORIO ",IF(P217=CURSOS!$D$15,"SOPORTE VITAL BASICO (BLS)",IF(P217=CURSOS!$D$16,"ATENCION A VICTIMAS DE VIOLENCIA SEXUAL ",IF(P217=CURSOS!$D$17,"PROGRAMADO AMPLIADO DE INMUNIZACION (PAI - COVID 19)",IF(P217=CURSOS!$D$18,"ATENCION INTEGRAL EN ENFERMEDADES PREVALENTES EN PRIMERA INFANCIA (AIEPI)",IF(P217=CURSOS!$D$19,"ADMINISTRACION DE MEDICAMENTOS, INYECTOLOGIA  Y CANALIZACION ",IF(P217=CURSOS!$D$20,"OPERADOR DE VEHICULOS DE EMERGENCIA (OVE)",IF(P217=CURSOS!$D$21,"INSTITUCIONES AMIGAS DE LA MUJER Y LA INFANCIA (IAMI)",IF(P217=CURSOS!$D$22,"CUIDADO DEL DONANTE DE ORGANOS",IF(P217=CURSOS!$D$23,"ATENCION A VICTIMAS POR VIOLENCIA DE GENERO",IF(P217=CURSOS!$D$24,"IGUALDAD DE GENERO EN LA SALUD",IF(P217=CURSOS!$D$25,"BRIGADA DE EMERGENCIA",IF(P217=CURSOS!$D$26,"MANEJO DEL DOLOR Y CUIDADOS PALIATIVOS",IF(P217=CURSOS!$D$27,"TOMA DE MUESTRAS Y LABORATORIO POCT",IF(P217=CURSOS!$D$28,"IMPLANTE SUBDERMICO DE DISPOSITIVO INTRAUTERINO",IF(P217=CURSOS!$D$29,"SALUD MENTAL",IF(P217=CURSOS!$D$30,"PRIMEROS AUXILIOS PSICOLOGICOS",IF(P217=CURSOS!$D$31,"ATENCION A VICTIMAS POR CONFLICTO ARMADO",IF(P217=CURSOS!$D$32,"MANIPULACION DE ALIMENTOS Y BPM",IF(P217=CURSOS!$D$33,"ATENCION A PERSONAS CON DISCAPACIDAD",IF(P217=CURSOS!$D$34,"CUIDADO INTEGRAL DEL PACIENTE ADULTO",IF(P217=CURSOS!$D$35,"MANEJO DEFENSIVO",IF(P217=CURSOS!$D$36,"SOPORTE CARDIOVASCULAR AVANZADO NEONATAL",IF(P217=CURSOS!$D$37,"SEGURIDAD DEL PACIENTE",IF(P217=CURSOS!$D$38,"MANEJO DE RESIDUOS HOSPITALARIOS",IF(P217=CURSOS!$D$39,"ATENCION DE PACIENTE POR CONSUMO SUSTANCIAS PSICOACTIVAS Y ADICCIONES")))))))))))))))))))))))))))))))))))))</f>
        <v>0</v>
      </c>
      <c r="W217" s="62" t="str">
        <f t="shared" si="12"/>
        <v xml:space="preserve">   </v>
      </c>
      <c r="X217" s="62" t="str">
        <f t="shared" si="13"/>
        <v xml:space="preserve">   </v>
      </c>
      <c r="Y217" s="62" t="str">
        <f t="shared" si="14"/>
        <v xml:space="preserve">   --</v>
      </c>
    </row>
    <row r="218" spans="1:25" x14ac:dyDescent="0.2">
      <c r="A218" s="50">
        <v>217</v>
      </c>
      <c r="Q218" s="52"/>
      <c r="U218" s="37"/>
      <c r="V218" s="62" t="b">
        <f>IF(P218=CURSOS!$D$3,"DIPLOMADO EN ATENCION PRE-HOSPITALARIA",IF(P218=CURSOS!$D$4,"ACOMPAÑAMIENTO Y MANEJO DEL DUELO",IF(P218=CURSOS!$D$5,"ATENCION A VICTIMAS DE ATAQUE CON AGENTES QUIMICOS ",IF(P218=CURSOS!$D$6,"PRIMEROS AUXILIOS ",IF(P218=CURSOS!$D$7,"DIPLOMADO DE UNIDAD DE CUIDADOS INTENSIVOS (UCI)",IF(P218=CURSOS!$D$8,"MODELO DE ATENCION PARA EVENTOS EMERGENTES EN SALUD MENTAL (CODIGO VERDE)",IF(P218=CURSOS!$D$9,"HUMANIZACION EN EL SERVICIO DE LA SALUD Y BUENAS PRACTICAS EN PACIENTE ",IF(P218=CURSOS!$D$10,"CLINICA DE HERIDAS ",IF(P218=CURSOS!$D$11,"TOMA DE CITOLOGIA CERVICO VAGINAL ",IF(P218=CURSOS!$D$12,"SOPORTE CARDIOVASCULAR AVANZADO (ACLS) ",IF(P218=CURSOS!$D$13,"CAMILLERO ",IF(P218=CURSOS!$D$14,"TOMA DE MUESTRAS Y LABORATORIO ",IF(P218=CURSOS!$D$15,"SOPORTE VITAL BASICO (BLS)",IF(P218=CURSOS!$D$16,"ATENCION A VICTIMAS DE VIOLENCIA SEXUAL ",IF(P218=CURSOS!$D$17,"PROGRAMADO AMPLIADO DE INMUNIZACION (PAI - COVID 19)",IF(P218=CURSOS!$D$18,"ATENCION INTEGRAL EN ENFERMEDADES PREVALENTES EN PRIMERA INFANCIA (AIEPI)",IF(P218=CURSOS!$D$19,"ADMINISTRACION DE MEDICAMENTOS, INYECTOLOGIA  Y CANALIZACION ",IF(P218=CURSOS!$D$20,"OPERADOR DE VEHICULOS DE EMERGENCIA (OVE)",IF(P218=CURSOS!$D$21,"INSTITUCIONES AMIGAS DE LA MUJER Y LA INFANCIA (IAMI)",IF(P218=CURSOS!$D$22,"CUIDADO DEL DONANTE DE ORGANOS",IF(P218=CURSOS!$D$23,"ATENCION A VICTIMAS POR VIOLENCIA DE GENERO",IF(P218=CURSOS!$D$24,"IGUALDAD DE GENERO EN LA SALUD",IF(P218=CURSOS!$D$25,"BRIGADA DE EMERGENCIA",IF(P218=CURSOS!$D$26,"MANEJO DEL DOLOR Y CUIDADOS PALIATIVOS",IF(P218=CURSOS!$D$27,"TOMA DE MUESTRAS Y LABORATORIO POCT",IF(P218=CURSOS!$D$28,"IMPLANTE SUBDERMICO DE DISPOSITIVO INTRAUTERINO",IF(P218=CURSOS!$D$29,"SALUD MENTAL",IF(P218=CURSOS!$D$30,"PRIMEROS AUXILIOS PSICOLOGICOS",IF(P218=CURSOS!$D$31,"ATENCION A VICTIMAS POR CONFLICTO ARMADO",IF(P218=CURSOS!$D$32,"MANIPULACION DE ALIMENTOS Y BPM",IF(P218=CURSOS!$D$33,"ATENCION A PERSONAS CON DISCAPACIDAD",IF(P218=CURSOS!$D$34,"CUIDADO INTEGRAL DEL PACIENTE ADULTO",IF(P218=CURSOS!$D$35,"MANEJO DEFENSIVO",IF(P218=CURSOS!$D$36,"SOPORTE CARDIOVASCULAR AVANZADO NEONATAL",IF(P218=CURSOS!$D$37,"SEGURIDAD DEL PACIENTE",IF(P218=CURSOS!$D$38,"MANEJO DE RESIDUOS HOSPITALARIOS",IF(P218=CURSOS!$D$39,"ATENCION DE PACIENTE POR CONSUMO SUSTANCIAS PSICOACTIVAS Y ADICCIONES")))))))))))))))))))))))))))))))))))))</f>
        <v>0</v>
      </c>
      <c r="W218" s="62" t="str">
        <f t="shared" si="12"/>
        <v xml:space="preserve">   </v>
      </c>
      <c r="X218" s="62" t="str">
        <f t="shared" si="13"/>
        <v xml:space="preserve">   </v>
      </c>
      <c r="Y218" s="62" t="str">
        <f t="shared" si="14"/>
        <v xml:space="preserve">   --</v>
      </c>
    </row>
    <row r="219" spans="1:25" x14ac:dyDescent="0.2">
      <c r="A219" s="50">
        <v>218</v>
      </c>
      <c r="Q219" s="52"/>
      <c r="U219" s="51"/>
      <c r="V219" s="62" t="b">
        <f>IF(P219=CURSOS!$D$3,"DIPLOMADO EN ATENCION PRE-HOSPITALARIA",IF(P219=CURSOS!$D$4,"ACOMPAÑAMIENTO Y MANEJO DEL DUELO",IF(P219=CURSOS!$D$5,"ATENCION A VICTIMAS DE ATAQUE CON AGENTES QUIMICOS ",IF(P219=CURSOS!$D$6,"PRIMEROS AUXILIOS ",IF(P219=CURSOS!$D$7,"DIPLOMADO DE UNIDAD DE CUIDADOS INTENSIVOS (UCI)",IF(P219=CURSOS!$D$8,"MODELO DE ATENCION PARA EVENTOS EMERGENTES EN SALUD MENTAL (CODIGO VERDE)",IF(P219=CURSOS!$D$9,"HUMANIZACION EN EL SERVICIO DE LA SALUD Y BUENAS PRACTICAS EN PACIENTE ",IF(P219=CURSOS!$D$10,"CLINICA DE HERIDAS ",IF(P219=CURSOS!$D$11,"TOMA DE CITOLOGIA CERVICO VAGINAL ",IF(P219=CURSOS!$D$12,"SOPORTE CARDIOVASCULAR AVANZADO (ACLS) ",IF(P219=CURSOS!$D$13,"CAMILLERO ",IF(P219=CURSOS!$D$14,"TOMA DE MUESTRAS Y LABORATORIO ",IF(P219=CURSOS!$D$15,"SOPORTE VITAL BASICO (BLS)",IF(P219=CURSOS!$D$16,"ATENCION A VICTIMAS DE VIOLENCIA SEXUAL ",IF(P219=CURSOS!$D$17,"PROGRAMADO AMPLIADO DE INMUNIZACION (PAI - COVID 19)",IF(P219=CURSOS!$D$18,"ATENCION INTEGRAL EN ENFERMEDADES PREVALENTES EN PRIMERA INFANCIA (AIEPI)",IF(P219=CURSOS!$D$19,"ADMINISTRACION DE MEDICAMENTOS, INYECTOLOGIA  Y CANALIZACION ",IF(P219=CURSOS!$D$20,"OPERADOR DE VEHICULOS DE EMERGENCIA (OVE)",IF(P219=CURSOS!$D$21,"INSTITUCIONES AMIGAS DE LA MUJER Y LA INFANCIA (IAMI)",IF(P219=CURSOS!$D$22,"CUIDADO DEL DONANTE DE ORGANOS",IF(P219=CURSOS!$D$23,"ATENCION A VICTIMAS POR VIOLENCIA DE GENERO",IF(P219=CURSOS!$D$24,"IGUALDAD DE GENERO EN LA SALUD",IF(P219=CURSOS!$D$25,"BRIGADA DE EMERGENCIA",IF(P219=CURSOS!$D$26,"MANEJO DEL DOLOR Y CUIDADOS PALIATIVOS",IF(P219=CURSOS!$D$27,"TOMA DE MUESTRAS Y LABORATORIO POCT",IF(P219=CURSOS!$D$28,"IMPLANTE SUBDERMICO DE DISPOSITIVO INTRAUTERINO",IF(P219=CURSOS!$D$29,"SALUD MENTAL",IF(P219=CURSOS!$D$30,"PRIMEROS AUXILIOS PSICOLOGICOS",IF(P219=CURSOS!$D$31,"ATENCION A VICTIMAS POR CONFLICTO ARMADO",IF(P219=CURSOS!$D$32,"MANIPULACION DE ALIMENTOS Y BPM",IF(P219=CURSOS!$D$33,"ATENCION A PERSONAS CON DISCAPACIDAD",IF(P219=CURSOS!$D$34,"CUIDADO INTEGRAL DEL PACIENTE ADULTO",IF(P219=CURSOS!$D$35,"MANEJO DEFENSIVO",IF(P219=CURSOS!$D$36,"SOPORTE CARDIOVASCULAR AVANZADO NEONATAL",IF(P219=CURSOS!$D$37,"SEGURIDAD DEL PACIENTE",IF(P219=CURSOS!$D$38,"MANEJO DE RESIDUOS HOSPITALARIOS",IF(P219=CURSOS!$D$39,"ATENCION DE PACIENTE POR CONSUMO SUSTANCIAS PSICOACTIVAS Y ADICCIONES")))))))))))))))))))))))))))))))))))))</f>
        <v>0</v>
      </c>
      <c r="W219" s="62" t="str">
        <f t="shared" si="12"/>
        <v xml:space="preserve">   </v>
      </c>
      <c r="X219" s="62" t="str">
        <f t="shared" si="13"/>
        <v xml:space="preserve">   </v>
      </c>
      <c r="Y219" s="62" t="str">
        <f t="shared" si="14"/>
        <v xml:space="preserve">   --</v>
      </c>
    </row>
    <row r="220" spans="1:25" x14ac:dyDescent="0.2">
      <c r="A220" s="50">
        <v>219</v>
      </c>
      <c r="Q220" s="52"/>
      <c r="U220" s="51"/>
      <c r="V220" s="62" t="b">
        <f>IF(P220=CURSOS!$D$3,"DIPLOMADO EN ATENCION PRE-HOSPITALARIA",IF(P220=CURSOS!$D$4,"ACOMPAÑAMIENTO Y MANEJO DEL DUELO",IF(P220=CURSOS!$D$5,"ATENCION A VICTIMAS DE ATAQUE CON AGENTES QUIMICOS ",IF(P220=CURSOS!$D$6,"PRIMEROS AUXILIOS ",IF(P220=CURSOS!$D$7,"DIPLOMADO DE UNIDAD DE CUIDADOS INTENSIVOS (UCI)",IF(P220=CURSOS!$D$8,"MODELO DE ATENCION PARA EVENTOS EMERGENTES EN SALUD MENTAL (CODIGO VERDE)",IF(P220=CURSOS!$D$9,"HUMANIZACION EN EL SERVICIO DE LA SALUD Y BUENAS PRACTICAS EN PACIENTE ",IF(P220=CURSOS!$D$10,"CLINICA DE HERIDAS ",IF(P220=CURSOS!$D$11,"TOMA DE CITOLOGIA CERVICO VAGINAL ",IF(P220=CURSOS!$D$12,"SOPORTE CARDIOVASCULAR AVANZADO (ACLS) ",IF(P220=CURSOS!$D$13,"CAMILLERO ",IF(P220=CURSOS!$D$14,"TOMA DE MUESTRAS Y LABORATORIO ",IF(P220=CURSOS!$D$15,"SOPORTE VITAL BASICO (BLS)",IF(P220=CURSOS!$D$16,"ATENCION A VICTIMAS DE VIOLENCIA SEXUAL ",IF(P220=CURSOS!$D$17,"PROGRAMADO AMPLIADO DE INMUNIZACION (PAI - COVID 19)",IF(P220=CURSOS!$D$18,"ATENCION INTEGRAL EN ENFERMEDADES PREVALENTES EN PRIMERA INFANCIA (AIEPI)",IF(P220=CURSOS!$D$19,"ADMINISTRACION DE MEDICAMENTOS, INYECTOLOGIA  Y CANALIZACION ",IF(P220=CURSOS!$D$20,"OPERADOR DE VEHICULOS DE EMERGENCIA (OVE)",IF(P220=CURSOS!$D$21,"INSTITUCIONES AMIGAS DE LA MUJER Y LA INFANCIA (IAMI)",IF(P220=CURSOS!$D$22,"CUIDADO DEL DONANTE DE ORGANOS",IF(P220=CURSOS!$D$23,"ATENCION A VICTIMAS POR VIOLENCIA DE GENERO",IF(P220=CURSOS!$D$24,"IGUALDAD DE GENERO EN LA SALUD",IF(P220=CURSOS!$D$25,"BRIGADA DE EMERGENCIA",IF(P220=CURSOS!$D$26,"MANEJO DEL DOLOR Y CUIDADOS PALIATIVOS",IF(P220=CURSOS!$D$27,"TOMA DE MUESTRAS Y LABORATORIO POCT",IF(P220=CURSOS!$D$28,"IMPLANTE SUBDERMICO DE DISPOSITIVO INTRAUTERINO",IF(P220=CURSOS!$D$29,"SALUD MENTAL",IF(P220=CURSOS!$D$30,"PRIMEROS AUXILIOS PSICOLOGICOS",IF(P220=CURSOS!$D$31,"ATENCION A VICTIMAS POR CONFLICTO ARMADO",IF(P220=CURSOS!$D$32,"MANIPULACION DE ALIMENTOS Y BPM",IF(P220=CURSOS!$D$33,"ATENCION A PERSONAS CON DISCAPACIDAD",IF(P220=CURSOS!$D$34,"CUIDADO INTEGRAL DEL PACIENTE ADULTO",IF(P220=CURSOS!$D$35,"MANEJO DEFENSIVO",IF(P220=CURSOS!$D$36,"SOPORTE CARDIOVASCULAR AVANZADO NEONATAL",IF(P220=CURSOS!$D$37,"SEGURIDAD DEL PACIENTE",IF(P220=CURSOS!$D$38,"MANEJO DE RESIDUOS HOSPITALARIOS",IF(P220=CURSOS!$D$39,"ATENCION DE PACIENTE POR CONSUMO SUSTANCIAS PSICOACTIVAS Y ADICCIONES")))))))))))))))))))))))))))))))))))))</f>
        <v>0</v>
      </c>
      <c r="W220" s="62" t="str">
        <f t="shared" si="12"/>
        <v xml:space="preserve">   </v>
      </c>
      <c r="X220" s="62" t="str">
        <f t="shared" si="13"/>
        <v xml:space="preserve">   </v>
      </c>
      <c r="Y220" s="62" t="str">
        <f t="shared" si="14"/>
        <v xml:space="preserve">   --</v>
      </c>
    </row>
    <row r="221" spans="1:25" x14ac:dyDescent="0.2">
      <c r="A221" s="50">
        <v>220</v>
      </c>
      <c r="Q221" s="52"/>
      <c r="U221" s="51"/>
      <c r="V221" s="62" t="b">
        <f>IF(P221=CURSOS!$D$3,"DIPLOMADO EN ATENCION PRE-HOSPITALARIA",IF(P221=CURSOS!$D$4,"ACOMPAÑAMIENTO Y MANEJO DEL DUELO",IF(P221=CURSOS!$D$5,"ATENCION A VICTIMAS DE ATAQUE CON AGENTES QUIMICOS ",IF(P221=CURSOS!$D$6,"PRIMEROS AUXILIOS ",IF(P221=CURSOS!$D$7,"DIPLOMADO DE UNIDAD DE CUIDADOS INTENSIVOS (UCI)",IF(P221=CURSOS!$D$8,"MODELO DE ATENCION PARA EVENTOS EMERGENTES EN SALUD MENTAL (CODIGO VERDE)",IF(P221=CURSOS!$D$9,"HUMANIZACION EN EL SERVICIO DE LA SALUD Y BUENAS PRACTICAS EN PACIENTE ",IF(P221=CURSOS!$D$10,"CLINICA DE HERIDAS ",IF(P221=CURSOS!$D$11,"TOMA DE CITOLOGIA CERVICO VAGINAL ",IF(P221=CURSOS!$D$12,"SOPORTE CARDIOVASCULAR AVANZADO (ACLS) ",IF(P221=CURSOS!$D$13,"CAMILLERO ",IF(P221=CURSOS!$D$14,"TOMA DE MUESTRAS Y LABORATORIO ",IF(P221=CURSOS!$D$15,"SOPORTE VITAL BASICO (BLS)",IF(P221=CURSOS!$D$16,"ATENCION A VICTIMAS DE VIOLENCIA SEXUAL ",IF(P221=CURSOS!$D$17,"PROGRAMADO AMPLIADO DE INMUNIZACION (PAI - COVID 19)",IF(P221=CURSOS!$D$18,"ATENCION INTEGRAL EN ENFERMEDADES PREVALENTES EN PRIMERA INFANCIA (AIEPI)",IF(P221=CURSOS!$D$19,"ADMINISTRACION DE MEDICAMENTOS, INYECTOLOGIA  Y CANALIZACION ",IF(P221=CURSOS!$D$20,"OPERADOR DE VEHICULOS DE EMERGENCIA (OVE)",IF(P221=CURSOS!$D$21,"INSTITUCIONES AMIGAS DE LA MUJER Y LA INFANCIA (IAMI)",IF(P221=CURSOS!$D$22,"CUIDADO DEL DONANTE DE ORGANOS",IF(P221=CURSOS!$D$23,"ATENCION A VICTIMAS POR VIOLENCIA DE GENERO",IF(P221=CURSOS!$D$24,"IGUALDAD DE GENERO EN LA SALUD",IF(P221=CURSOS!$D$25,"BRIGADA DE EMERGENCIA",IF(P221=CURSOS!$D$26,"MANEJO DEL DOLOR Y CUIDADOS PALIATIVOS",IF(P221=CURSOS!$D$27,"TOMA DE MUESTRAS Y LABORATORIO POCT",IF(P221=CURSOS!$D$28,"IMPLANTE SUBDERMICO DE DISPOSITIVO INTRAUTERINO",IF(P221=CURSOS!$D$29,"SALUD MENTAL",IF(P221=CURSOS!$D$30,"PRIMEROS AUXILIOS PSICOLOGICOS",IF(P221=CURSOS!$D$31,"ATENCION A VICTIMAS POR CONFLICTO ARMADO",IF(P221=CURSOS!$D$32,"MANIPULACION DE ALIMENTOS Y BPM",IF(P221=CURSOS!$D$33,"ATENCION A PERSONAS CON DISCAPACIDAD",IF(P221=CURSOS!$D$34,"CUIDADO INTEGRAL DEL PACIENTE ADULTO",IF(P221=CURSOS!$D$35,"MANEJO DEFENSIVO",IF(P221=CURSOS!$D$36,"SOPORTE CARDIOVASCULAR AVANZADO NEONATAL",IF(P221=CURSOS!$D$37,"SEGURIDAD DEL PACIENTE",IF(P221=CURSOS!$D$38,"MANEJO DE RESIDUOS HOSPITALARIOS",IF(P221=CURSOS!$D$39,"ATENCION DE PACIENTE POR CONSUMO SUSTANCIAS PSICOACTIVAS Y ADICCIONES")))))))))))))))))))))))))))))))))))))</f>
        <v>0</v>
      </c>
      <c r="W221" s="62" t="str">
        <f t="shared" si="12"/>
        <v xml:space="preserve">   </v>
      </c>
      <c r="X221" s="62" t="str">
        <f t="shared" si="13"/>
        <v xml:space="preserve">   </v>
      </c>
      <c r="Y221" s="62" t="str">
        <f t="shared" si="14"/>
        <v xml:space="preserve">   --</v>
      </c>
    </row>
    <row r="222" spans="1:25" x14ac:dyDescent="0.2">
      <c r="A222" s="50">
        <v>221</v>
      </c>
      <c r="Q222" s="52"/>
      <c r="U222" s="51"/>
      <c r="V222" s="62" t="b">
        <f>IF(P222=CURSOS!$D$3,"DIPLOMADO EN ATENCION PRE-HOSPITALARIA",IF(P222=CURSOS!$D$4,"ACOMPAÑAMIENTO Y MANEJO DEL DUELO",IF(P222=CURSOS!$D$5,"ATENCION A VICTIMAS DE ATAQUE CON AGENTES QUIMICOS ",IF(P222=CURSOS!$D$6,"PRIMEROS AUXILIOS ",IF(P222=CURSOS!$D$7,"DIPLOMADO DE UNIDAD DE CUIDADOS INTENSIVOS (UCI)",IF(P222=CURSOS!$D$8,"MODELO DE ATENCION PARA EVENTOS EMERGENTES EN SALUD MENTAL (CODIGO VERDE)",IF(P222=CURSOS!$D$9,"HUMANIZACION EN EL SERVICIO DE LA SALUD Y BUENAS PRACTICAS EN PACIENTE ",IF(P222=CURSOS!$D$10,"CLINICA DE HERIDAS ",IF(P222=CURSOS!$D$11,"TOMA DE CITOLOGIA CERVICO VAGINAL ",IF(P222=CURSOS!$D$12,"SOPORTE CARDIOVASCULAR AVANZADO (ACLS) ",IF(P222=CURSOS!$D$13,"CAMILLERO ",IF(P222=CURSOS!$D$14,"TOMA DE MUESTRAS Y LABORATORIO ",IF(P222=CURSOS!$D$15,"SOPORTE VITAL BASICO (BLS)",IF(P222=CURSOS!$D$16,"ATENCION A VICTIMAS DE VIOLENCIA SEXUAL ",IF(P222=CURSOS!$D$17,"PROGRAMADO AMPLIADO DE INMUNIZACION (PAI - COVID 19)",IF(P222=CURSOS!$D$18,"ATENCION INTEGRAL EN ENFERMEDADES PREVALENTES EN PRIMERA INFANCIA (AIEPI)",IF(P222=CURSOS!$D$19,"ADMINISTRACION DE MEDICAMENTOS, INYECTOLOGIA  Y CANALIZACION ",IF(P222=CURSOS!$D$20,"OPERADOR DE VEHICULOS DE EMERGENCIA (OVE)",IF(P222=CURSOS!$D$21,"INSTITUCIONES AMIGAS DE LA MUJER Y LA INFANCIA (IAMI)",IF(P222=CURSOS!$D$22,"CUIDADO DEL DONANTE DE ORGANOS",IF(P222=CURSOS!$D$23,"ATENCION A VICTIMAS POR VIOLENCIA DE GENERO",IF(P222=CURSOS!$D$24,"IGUALDAD DE GENERO EN LA SALUD",IF(P222=CURSOS!$D$25,"BRIGADA DE EMERGENCIA",IF(P222=CURSOS!$D$26,"MANEJO DEL DOLOR Y CUIDADOS PALIATIVOS",IF(P222=CURSOS!$D$27,"TOMA DE MUESTRAS Y LABORATORIO POCT",IF(P222=CURSOS!$D$28,"IMPLANTE SUBDERMICO DE DISPOSITIVO INTRAUTERINO",IF(P222=CURSOS!$D$29,"SALUD MENTAL",IF(P222=CURSOS!$D$30,"PRIMEROS AUXILIOS PSICOLOGICOS",IF(P222=CURSOS!$D$31,"ATENCION A VICTIMAS POR CONFLICTO ARMADO",IF(P222=CURSOS!$D$32,"MANIPULACION DE ALIMENTOS Y BPM",IF(P222=CURSOS!$D$33,"ATENCION A PERSONAS CON DISCAPACIDAD",IF(P222=CURSOS!$D$34,"CUIDADO INTEGRAL DEL PACIENTE ADULTO",IF(P222=CURSOS!$D$35,"MANEJO DEFENSIVO",IF(P222=CURSOS!$D$36,"SOPORTE CARDIOVASCULAR AVANZADO NEONATAL",IF(P222=CURSOS!$D$37,"SEGURIDAD DEL PACIENTE",IF(P222=CURSOS!$D$38,"MANEJO DE RESIDUOS HOSPITALARIOS",IF(P222=CURSOS!$D$39,"ATENCION DE PACIENTE POR CONSUMO SUSTANCIAS PSICOACTIVAS Y ADICCIONES")))))))))))))))))))))))))))))))))))))</f>
        <v>0</v>
      </c>
      <c r="W222" s="62" t="str">
        <f t="shared" si="12"/>
        <v xml:space="preserve">   </v>
      </c>
      <c r="X222" s="62" t="str">
        <f t="shared" si="13"/>
        <v xml:space="preserve">   </v>
      </c>
      <c r="Y222" s="62" t="str">
        <f t="shared" si="14"/>
        <v xml:space="preserve">   --</v>
      </c>
    </row>
    <row r="223" spans="1:25" x14ac:dyDescent="0.2">
      <c r="A223" s="50">
        <v>222</v>
      </c>
      <c r="Q223" s="52"/>
      <c r="U223" s="51"/>
      <c r="V223" s="62" t="b">
        <f>IF(P223=CURSOS!$D$3,"DIPLOMADO EN ATENCION PRE-HOSPITALARIA",IF(P223=CURSOS!$D$4,"ACOMPAÑAMIENTO Y MANEJO DEL DUELO",IF(P223=CURSOS!$D$5,"ATENCION A VICTIMAS DE ATAQUE CON AGENTES QUIMICOS ",IF(P223=CURSOS!$D$6,"PRIMEROS AUXILIOS ",IF(P223=CURSOS!$D$7,"DIPLOMADO DE UNIDAD DE CUIDADOS INTENSIVOS (UCI)",IF(P223=CURSOS!$D$8,"MODELO DE ATENCION PARA EVENTOS EMERGENTES EN SALUD MENTAL (CODIGO VERDE)",IF(P223=CURSOS!$D$9,"HUMANIZACION EN EL SERVICIO DE LA SALUD Y BUENAS PRACTICAS EN PACIENTE ",IF(P223=CURSOS!$D$10,"CLINICA DE HERIDAS ",IF(P223=CURSOS!$D$11,"TOMA DE CITOLOGIA CERVICO VAGINAL ",IF(P223=CURSOS!$D$12,"SOPORTE CARDIOVASCULAR AVANZADO (ACLS) ",IF(P223=CURSOS!$D$13,"CAMILLERO ",IF(P223=CURSOS!$D$14,"TOMA DE MUESTRAS Y LABORATORIO ",IF(P223=CURSOS!$D$15,"SOPORTE VITAL BASICO (BLS)",IF(P223=CURSOS!$D$16,"ATENCION A VICTIMAS DE VIOLENCIA SEXUAL ",IF(P223=CURSOS!$D$17,"PROGRAMADO AMPLIADO DE INMUNIZACION (PAI - COVID 19)",IF(P223=CURSOS!$D$18,"ATENCION INTEGRAL EN ENFERMEDADES PREVALENTES EN PRIMERA INFANCIA (AIEPI)",IF(P223=CURSOS!$D$19,"ADMINISTRACION DE MEDICAMENTOS, INYECTOLOGIA  Y CANALIZACION ",IF(P223=CURSOS!$D$20,"OPERADOR DE VEHICULOS DE EMERGENCIA (OVE)",IF(P223=CURSOS!$D$21,"INSTITUCIONES AMIGAS DE LA MUJER Y LA INFANCIA (IAMI)",IF(P223=CURSOS!$D$22,"CUIDADO DEL DONANTE DE ORGANOS",IF(P223=CURSOS!$D$23,"ATENCION A VICTIMAS POR VIOLENCIA DE GENERO",IF(P223=CURSOS!$D$24,"IGUALDAD DE GENERO EN LA SALUD",IF(P223=CURSOS!$D$25,"BRIGADA DE EMERGENCIA",IF(P223=CURSOS!$D$26,"MANEJO DEL DOLOR Y CUIDADOS PALIATIVOS",IF(P223=CURSOS!$D$27,"TOMA DE MUESTRAS Y LABORATORIO POCT",IF(P223=CURSOS!$D$28,"IMPLANTE SUBDERMICO DE DISPOSITIVO INTRAUTERINO",IF(P223=CURSOS!$D$29,"SALUD MENTAL",IF(P223=CURSOS!$D$30,"PRIMEROS AUXILIOS PSICOLOGICOS",IF(P223=CURSOS!$D$31,"ATENCION A VICTIMAS POR CONFLICTO ARMADO",IF(P223=CURSOS!$D$32,"MANIPULACION DE ALIMENTOS Y BPM",IF(P223=CURSOS!$D$33,"ATENCION A PERSONAS CON DISCAPACIDAD",IF(P223=CURSOS!$D$34,"CUIDADO INTEGRAL DEL PACIENTE ADULTO",IF(P223=CURSOS!$D$35,"MANEJO DEFENSIVO",IF(P223=CURSOS!$D$36,"SOPORTE CARDIOVASCULAR AVANZADO NEONATAL",IF(P223=CURSOS!$D$37,"SEGURIDAD DEL PACIENTE",IF(P223=CURSOS!$D$38,"MANEJO DE RESIDUOS HOSPITALARIOS",IF(P223=CURSOS!$D$39,"ATENCION DE PACIENTE POR CONSUMO SUSTANCIAS PSICOACTIVAS Y ADICCIONES")))))))))))))))))))))))))))))))))))))</f>
        <v>0</v>
      </c>
      <c r="W223" s="62" t="str">
        <f t="shared" si="12"/>
        <v xml:space="preserve">   </v>
      </c>
      <c r="X223" s="62" t="str">
        <f t="shared" si="13"/>
        <v xml:space="preserve">   </v>
      </c>
      <c r="Y223" s="62" t="str">
        <f t="shared" si="14"/>
        <v xml:space="preserve">   --</v>
      </c>
    </row>
    <row r="224" spans="1:25" x14ac:dyDescent="0.2">
      <c r="A224" s="50">
        <v>223</v>
      </c>
      <c r="Q224" s="52"/>
      <c r="U224" s="51"/>
      <c r="V224" s="62" t="b">
        <f>IF(P224=CURSOS!$D$3,"DIPLOMADO EN ATENCION PRE-HOSPITALARIA",IF(P224=CURSOS!$D$4,"ACOMPAÑAMIENTO Y MANEJO DEL DUELO",IF(P224=CURSOS!$D$5,"ATENCION A VICTIMAS DE ATAQUE CON AGENTES QUIMICOS ",IF(P224=CURSOS!$D$6,"PRIMEROS AUXILIOS ",IF(P224=CURSOS!$D$7,"DIPLOMADO DE UNIDAD DE CUIDADOS INTENSIVOS (UCI)",IF(P224=CURSOS!$D$8,"MODELO DE ATENCION PARA EVENTOS EMERGENTES EN SALUD MENTAL (CODIGO VERDE)",IF(P224=CURSOS!$D$9,"HUMANIZACION EN EL SERVICIO DE LA SALUD Y BUENAS PRACTICAS EN PACIENTE ",IF(P224=CURSOS!$D$10,"CLINICA DE HERIDAS ",IF(P224=CURSOS!$D$11,"TOMA DE CITOLOGIA CERVICO VAGINAL ",IF(P224=CURSOS!$D$12,"SOPORTE CARDIOVASCULAR AVANZADO (ACLS) ",IF(P224=CURSOS!$D$13,"CAMILLERO ",IF(P224=CURSOS!$D$14,"TOMA DE MUESTRAS Y LABORATORIO ",IF(P224=CURSOS!$D$15,"SOPORTE VITAL BASICO (BLS)",IF(P224=CURSOS!$D$16,"ATENCION A VICTIMAS DE VIOLENCIA SEXUAL ",IF(P224=CURSOS!$D$17,"PROGRAMADO AMPLIADO DE INMUNIZACION (PAI - COVID 19)",IF(P224=CURSOS!$D$18,"ATENCION INTEGRAL EN ENFERMEDADES PREVALENTES EN PRIMERA INFANCIA (AIEPI)",IF(P224=CURSOS!$D$19,"ADMINISTRACION DE MEDICAMENTOS, INYECTOLOGIA  Y CANALIZACION ",IF(P224=CURSOS!$D$20,"OPERADOR DE VEHICULOS DE EMERGENCIA (OVE)",IF(P224=CURSOS!$D$21,"INSTITUCIONES AMIGAS DE LA MUJER Y LA INFANCIA (IAMI)",IF(P224=CURSOS!$D$22,"CUIDADO DEL DONANTE DE ORGANOS",IF(P224=CURSOS!$D$23,"ATENCION A VICTIMAS POR VIOLENCIA DE GENERO",IF(P224=CURSOS!$D$24,"IGUALDAD DE GENERO EN LA SALUD",IF(P224=CURSOS!$D$25,"BRIGADA DE EMERGENCIA",IF(P224=CURSOS!$D$26,"MANEJO DEL DOLOR Y CUIDADOS PALIATIVOS",IF(P224=CURSOS!$D$27,"TOMA DE MUESTRAS Y LABORATORIO POCT",IF(P224=CURSOS!$D$28,"IMPLANTE SUBDERMICO DE DISPOSITIVO INTRAUTERINO",IF(P224=CURSOS!$D$29,"SALUD MENTAL",IF(P224=CURSOS!$D$30,"PRIMEROS AUXILIOS PSICOLOGICOS",IF(P224=CURSOS!$D$31,"ATENCION A VICTIMAS POR CONFLICTO ARMADO",IF(P224=CURSOS!$D$32,"MANIPULACION DE ALIMENTOS Y BPM",IF(P224=CURSOS!$D$33,"ATENCION A PERSONAS CON DISCAPACIDAD",IF(P224=CURSOS!$D$34,"CUIDADO INTEGRAL DEL PACIENTE ADULTO",IF(P224=CURSOS!$D$35,"MANEJO DEFENSIVO",IF(P224=CURSOS!$D$36,"SOPORTE CARDIOVASCULAR AVANZADO NEONATAL",IF(P224=CURSOS!$D$37,"SEGURIDAD DEL PACIENTE",IF(P224=CURSOS!$D$38,"MANEJO DE RESIDUOS HOSPITALARIOS",IF(P224=CURSOS!$D$39,"ATENCION DE PACIENTE POR CONSUMO SUSTANCIAS PSICOACTIVAS Y ADICCIONES")))))))))))))))))))))))))))))))))))))</f>
        <v>0</v>
      </c>
      <c r="W224" s="62" t="str">
        <f t="shared" si="12"/>
        <v xml:space="preserve">   </v>
      </c>
      <c r="X224" s="62" t="str">
        <f t="shared" si="13"/>
        <v xml:space="preserve">   </v>
      </c>
      <c r="Y224" s="62" t="str">
        <f t="shared" si="14"/>
        <v xml:space="preserve">   --</v>
      </c>
    </row>
    <row r="225" spans="1:25" x14ac:dyDescent="0.2">
      <c r="A225" s="50">
        <v>224</v>
      </c>
      <c r="Q225" s="52"/>
      <c r="U225" s="51"/>
      <c r="V225" s="62" t="b">
        <f>IF(P225=CURSOS!$D$3,"DIPLOMADO EN ATENCION PRE-HOSPITALARIA",IF(P225=CURSOS!$D$4,"ACOMPAÑAMIENTO Y MANEJO DEL DUELO",IF(P225=CURSOS!$D$5,"ATENCION A VICTIMAS DE ATAQUE CON AGENTES QUIMICOS ",IF(P225=CURSOS!$D$6,"PRIMEROS AUXILIOS ",IF(P225=CURSOS!$D$7,"DIPLOMADO DE UNIDAD DE CUIDADOS INTENSIVOS (UCI)",IF(P225=CURSOS!$D$8,"MODELO DE ATENCION PARA EVENTOS EMERGENTES EN SALUD MENTAL (CODIGO VERDE)",IF(P225=CURSOS!$D$9,"HUMANIZACION EN EL SERVICIO DE LA SALUD Y BUENAS PRACTICAS EN PACIENTE ",IF(P225=CURSOS!$D$10,"CLINICA DE HERIDAS ",IF(P225=CURSOS!$D$11,"TOMA DE CITOLOGIA CERVICO VAGINAL ",IF(P225=CURSOS!$D$12,"SOPORTE CARDIOVASCULAR AVANZADO (ACLS) ",IF(P225=CURSOS!$D$13,"CAMILLERO ",IF(P225=CURSOS!$D$14,"TOMA DE MUESTRAS Y LABORATORIO ",IF(P225=CURSOS!$D$15,"SOPORTE VITAL BASICO (BLS)",IF(P225=CURSOS!$D$16,"ATENCION A VICTIMAS DE VIOLENCIA SEXUAL ",IF(P225=CURSOS!$D$17,"PROGRAMADO AMPLIADO DE INMUNIZACION (PAI - COVID 19)",IF(P225=CURSOS!$D$18,"ATENCION INTEGRAL EN ENFERMEDADES PREVALENTES EN PRIMERA INFANCIA (AIEPI)",IF(P225=CURSOS!$D$19,"ADMINISTRACION DE MEDICAMENTOS, INYECTOLOGIA  Y CANALIZACION ",IF(P225=CURSOS!$D$20,"OPERADOR DE VEHICULOS DE EMERGENCIA (OVE)",IF(P225=CURSOS!$D$21,"INSTITUCIONES AMIGAS DE LA MUJER Y LA INFANCIA (IAMI)",IF(P225=CURSOS!$D$22,"CUIDADO DEL DONANTE DE ORGANOS",IF(P225=CURSOS!$D$23,"ATENCION A VICTIMAS POR VIOLENCIA DE GENERO",IF(P225=CURSOS!$D$24,"IGUALDAD DE GENERO EN LA SALUD",IF(P225=CURSOS!$D$25,"BRIGADA DE EMERGENCIA",IF(P225=CURSOS!$D$26,"MANEJO DEL DOLOR Y CUIDADOS PALIATIVOS",IF(P225=CURSOS!$D$27,"TOMA DE MUESTRAS Y LABORATORIO POCT",IF(P225=CURSOS!$D$28,"IMPLANTE SUBDERMICO DE DISPOSITIVO INTRAUTERINO",IF(P225=CURSOS!$D$29,"SALUD MENTAL",IF(P225=CURSOS!$D$30,"PRIMEROS AUXILIOS PSICOLOGICOS",IF(P225=CURSOS!$D$31,"ATENCION A VICTIMAS POR CONFLICTO ARMADO",IF(P225=CURSOS!$D$32,"MANIPULACION DE ALIMENTOS Y BPM",IF(P225=CURSOS!$D$33,"ATENCION A PERSONAS CON DISCAPACIDAD",IF(P225=CURSOS!$D$34,"CUIDADO INTEGRAL DEL PACIENTE ADULTO",IF(P225=CURSOS!$D$35,"MANEJO DEFENSIVO",IF(P225=CURSOS!$D$36,"SOPORTE CARDIOVASCULAR AVANZADO NEONATAL",IF(P225=CURSOS!$D$37,"SEGURIDAD DEL PACIENTE",IF(P225=CURSOS!$D$38,"MANEJO DE RESIDUOS HOSPITALARIOS",IF(P225=CURSOS!$D$39,"ATENCION DE PACIENTE POR CONSUMO SUSTANCIAS PSICOACTIVAS Y ADICCIONES")))))))))))))))))))))))))))))))))))))</f>
        <v>0</v>
      </c>
      <c r="W225" s="62" t="str">
        <f t="shared" si="12"/>
        <v xml:space="preserve">   </v>
      </c>
      <c r="X225" s="62" t="str">
        <f t="shared" si="13"/>
        <v xml:space="preserve">   </v>
      </c>
      <c r="Y225" s="62" t="str">
        <f t="shared" si="14"/>
        <v xml:space="preserve">   --</v>
      </c>
    </row>
    <row r="226" spans="1:25" x14ac:dyDescent="0.2">
      <c r="A226" s="50">
        <v>225</v>
      </c>
      <c r="Q226" s="52"/>
      <c r="U226" s="51"/>
      <c r="V226" s="62" t="b">
        <f>IF(P226=CURSOS!$D$3,"DIPLOMADO EN ATENCION PRE-HOSPITALARIA",IF(P226=CURSOS!$D$4,"ACOMPAÑAMIENTO Y MANEJO DEL DUELO",IF(P226=CURSOS!$D$5,"ATENCION A VICTIMAS DE ATAQUE CON AGENTES QUIMICOS ",IF(P226=CURSOS!$D$6,"PRIMEROS AUXILIOS ",IF(P226=CURSOS!$D$7,"DIPLOMADO DE UNIDAD DE CUIDADOS INTENSIVOS (UCI)",IF(P226=CURSOS!$D$8,"MODELO DE ATENCION PARA EVENTOS EMERGENTES EN SALUD MENTAL (CODIGO VERDE)",IF(P226=CURSOS!$D$9,"HUMANIZACION EN EL SERVICIO DE LA SALUD Y BUENAS PRACTICAS EN PACIENTE ",IF(P226=CURSOS!$D$10,"CLINICA DE HERIDAS ",IF(P226=CURSOS!$D$11,"TOMA DE CITOLOGIA CERVICO VAGINAL ",IF(P226=CURSOS!$D$12,"SOPORTE CARDIOVASCULAR AVANZADO (ACLS) ",IF(P226=CURSOS!$D$13,"CAMILLERO ",IF(P226=CURSOS!$D$14,"TOMA DE MUESTRAS Y LABORATORIO ",IF(P226=CURSOS!$D$15,"SOPORTE VITAL BASICO (BLS)",IF(P226=CURSOS!$D$16,"ATENCION A VICTIMAS DE VIOLENCIA SEXUAL ",IF(P226=CURSOS!$D$17,"PROGRAMADO AMPLIADO DE INMUNIZACION (PAI - COVID 19)",IF(P226=CURSOS!$D$18,"ATENCION INTEGRAL EN ENFERMEDADES PREVALENTES EN PRIMERA INFANCIA (AIEPI)",IF(P226=CURSOS!$D$19,"ADMINISTRACION DE MEDICAMENTOS, INYECTOLOGIA  Y CANALIZACION ",IF(P226=CURSOS!$D$20,"OPERADOR DE VEHICULOS DE EMERGENCIA (OVE)",IF(P226=CURSOS!$D$21,"INSTITUCIONES AMIGAS DE LA MUJER Y LA INFANCIA (IAMI)",IF(P226=CURSOS!$D$22,"CUIDADO DEL DONANTE DE ORGANOS",IF(P226=CURSOS!$D$23,"ATENCION A VICTIMAS POR VIOLENCIA DE GENERO",IF(P226=CURSOS!$D$24,"IGUALDAD DE GENERO EN LA SALUD",IF(P226=CURSOS!$D$25,"BRIGADA DE EMERGENCIA",IF(P226=CURSOS!$D$26,"MANEJO DEL DOLOR Y CUIDADOS PALIATIVOS",IF(P226=CURSOS!$D$27,"TOMA DE MUESTRAS Y LABORATORIO POCT",IF(P226=CURSOS!$D$28,"IMPLANTE SUBDERMICO DE DISPOSITIVO INTRAUTERINO",IF(P226=CURSOS!$D$29,"SALUD MENTAL",IF(P226=CURSOS!$D$30,"PRIMEROS AUXILIOS PSICOLOGICOS",IF(P226=CURSOS!$D$31,"ATENCION A VICTIMAS POR CONFLICTO ARMADO",IF(P226=CURSOS!$D$32,"MANIPULACION DE ALIMENTOS Y BPM",IF(P226=CURSOS!$D$33,"ATENCION A PERSONAS CON DISCAPACIDAD",IF(P226=CURSOS!$D$34,"CUIDADO INTEGRAL DEL PACIENTE ADULTO",IF(P226=CURSOS!$D$35,"MANEJO DEFENSIVO",IF(P226=CURSOS!$D$36,"SOPORTE CARDIOVASCULAR AVANZADO NEONATAL",IF(P226=CURSOS!$D$37,"SEGURIDAD DEL PACIENTE",IF(P226=CURSOS!$D$38,"MANEJO DE RESIDUOS HOSPITALARIOS",IF(P226=CURSOS!$D$39,"ATENCION DE PACIENTE POR CONSUMO SUSTANCIAS PSICOACTIVAS Y ADICCIONES")))))))))))))))))))))))))))))))))))))</f>
        <v>0</v>
      </c>
      <c r="W226" s="62" t="str">
        <f t="shared" si="12"/>
        <v xml:space="preserve">   </v>
      </c>
      <c r="X226" s="62" t="str">
        <f t="shared" si="13"/>
        <v xml:space="preserve">   </v>
      </c>
      <c r="Y226" s="62" t="str">
        <f t="shared" si="14"/>
        <v xml:space="preserve">   --</v>
      </c>
    </row>
    <row r="227" spans="1:25" x14ac:dyDescent="0.2">
      <c r="A227" s="50">
        <v>226</v>
      </c>
      <c r="Q227" s="52"/>
      <c r="U227" s="51"/>
      <c r="V227" s="62" t="b">
        <f>IF(P227=CURSOS!$D$3,"DIPLOMADO EN ATENCION PRE-HOSPITALARIA",IF(P227=CURSOS!$D$4,"ACOMPAÑAMIENTO Y MANEJO DEL DUELO",IF(P227=CURSOS!$D$5,"ATENCION A VICTIMAS DE ATAQUE CON AGENTES QUIMICOS ",IF(P227=CURSOS!$D$6,"PRIMEROS AUXILIOS ",IF(P227=CURSOS!$D$7,"DIPLOMADO DE UNIDAD DE CUIDADOS INTENSIVOS (UCI)",IF(P227=CURSOS!$D$8,"MODELO DE ATENCION PARA EVENTOS EMERGENTES EN SALUD MENTAL (CODIGO VERDE)",IF(P227=CURSOS!$D$9,"HUMANIZACION EN EL SERVICIO DE LA SALUD Y BUENAS PRACTICAS EN PACIENTE ",IF(P227=CURSOS!$D$10,"CLINICA DE HERIDAS ",IF(P227=CURSOS!$D$11,"TOMA DE CITOLOGIA CERVICO VAGINAL ",IF(P227=CURSOS!$D$12,"SOPORTE CARDIOVASCULAR AVANZADO (ACLS) ",IF(P227=CURSOS!$D$13,"CAMILLERO ",IF(P227=CURSOS!$D$14,"TOMA DE MUESTRAS Y LABORATORIO ",IF(P227=CURSOS!$D$15,"SOPORTE VITAL BASICO (BLS)",IF(P227=CURSOS!$D$16,"ATENCION A VICTIMAS DE VIOLENCIA SEXUAL ",IF(P227=CURSOS!$D$17,"PROGRAMADO AMPLIADO DE INMUNIZACION (PAI - COVID 19)",IF(P227=CURSOS!$D$18,"ATENCION INTEGRAL EN ENFERMEDADES PREVALENTES EN PRIMERA INFANCIA (AIEPI)",IF(P227=CURSOS!$D$19,"ADMINISTRACION DE MEDICAMENTOS, INYECTOLOGIA  Y CANALIZACION ",IF(P227=CURSOS!$D$20,"OPERADOR DE VEHICULOS DE EMERGENCIA (OVE)",IF(P227=CURSOS!$D$21,"INSTITUCIONES AMIGAS DE LA MUJER Y LA INFANCIA (IAMI)",IF(P227=CURSOS!$D$22,"CUIDADO DEL DONANTE DE ORGANOS",IF(P227=CURSOS!$D$23,"ATENCION A VICTIMAS POR VIOLENCIA DE GENERO",IF(P227=CURSOS!$D$24,"IGUALDAD DE GENERO EN LA SALUD",IF(P227=CURSOS!$D$25,"BRIGADA DE EMERGENCIA",IF(P227=CURSOS!$D$26,"MANEJO DEL DOLOR Y CUIDADOS PALIATIVOS",IF(P227=CURSOS!$D$27,"TOMA DE MUESTRAS Y LABORATORIO POCT",IF(P227=CURSOS!$D$28,"IMPLANTE SUBDERMICO DE DISPOSITIVO INTRAUTERINO",IF(P227=CURSOS!$D$29,"SALUD MENTAL",IF(P227=CURSOS!$D$30,"PRIMEROS AUXILIOS PSICOLOGICOS",IF(P227=CURSOS!$D$31,"ATENCION A VICTIMAS POR CONFLICTO ARMADO",IF(P227=CURSOS!$D$32,"MANIPULACION DE ALIMENTOS Y BPM",IF(P227=CURSOS!$D$33,"ATENCION A PERSONAS CON DISCAPACIDAD",IF(P227=CURSOS!$D$34,"CUIDADO INTEGRAL DEL PACIENTE ADULTO",IF(P227=CURSOS!$D$35,"MANEJO DEFENSIVO",IF(P227=CURSOS!$D$36,"SOPORTE CARDIOVASCULAR AVANZADO NEONATAL",IF(P227=CURSOS!$D$37,"SEGURIDAD DEL PACIENTE",IF(P227=CURSOS!$D$38,"MANEJO DE RESIDUOS HOSPITALARIOS",IF(P227=CURSOS!$D$39,"ATENCION DE PACIENTE POR CONSUMO SUSTANCIAS PSICOACTIVAS Y ADICCIONES")))))))))))))))))))))))))))))))))))))</f>
        <v>0</v>
      </c>
      <c r="W227" s="62" t="str">
        <f t="shared" si="12"/>
        <v xml:space="preserve">   </v>
      </c>
      <c r="X227" s="62" t="str">
        <f t="shared" si="13"/>
        <v xml:space="preserve">   </v>
      </c>
      <c r="Y227" s="62" t="str">
        <f t="shared" si="14"/>
        <v xml:space="preserve">   --</v>
      </c>
    </row>
    <row r="228" spans="1:25" x14ac:dyDescent="0.2">
      <c r="A228" s="50">
        <v>227</v>
      </c>
      <c r="Q228" s="52"/>
      <c r="U228" s="51"/>
      <c r="V228" s="62" t="b">
        <f>IF(P228=CURSOS!$D$3,"DIPLOMADO EN ATENCION PRE-HOSPITALARIA",IF(P228=CURSOS!$D$4,"ACOMPAÑAMIENTO Y MANEJO DEL DUELO",IF(P228=CURSOS!$D$5,"ATENCION A VICTIMAS DE ATAQUE CON AGENTES QUIMICOS ",IF(P228=CURSOS!$D$6,"PRIMEROS AUXILIOS ",IF(P228=CURSOS!$D$7,"DIPLOMADO DE UNIDAD DE CUIDADOS INTENSIVOS (UCI)",IF(P228=CURSOS!$D$8,"MODELO DE ATENCION PARA EVENTOS EMERGENTES EN SALUD MENTAL (CODIGO VERDE)",IF(P228=CURSOS!$D$9,"HUMANIZACION EN EL SERVICIO DE LA SALUD Y BUENAS PRACTICAS EN PACIENTE ",IF(P228=CURSOS!$D$10,"CLINICA DE HERIDAS ",IF(P228=CURSOS!$D$11,"TOMA DE CITOLOGIA CERVICO VAGINAL ",IF(P228=CURSOS!$D$12,"SOPORTE CARDIOVASCULAR AVANZADO (ACLS) ",IF(P228=CURSOS!$D$13,"CAMILLERO ",IF(P228=CURSOS!$D$14,"TOMA DE MUESTRAS Y LABORATORIO ",IF(P228=CURSOS!$D$15,"SOPORTE VITAL BASICO (BLS)",IF(P228=CURSOS!$D$16,"ATENCION A VICTIMAS DE VIOLENCIA SEXUAL ",IF(P228=CURSOS!$D$17,"PROGRAMADO AMPLIADO DE INMUNIZACION (PAI - COVID 19)",IF(P228=CURSOS!$D$18,"ATENCION INTEGRAL EN ENFERMEDADES PREVALENTES EN PRIMERA INFANCIA (AIEPI)",IF(P228=CURSOS!$D$19,"ADMINISTRACION DE MEDICAMENTOS, INYECTOLOGIA  Y CANALIZACION ",IF(P228=CURSOS!$D$20,"OPERADOR DE VEHICULOS DE EMERGENCIA (OVE)",IF(P228=CURSOS!$D$21,"INSTITUCIONES AMIGAS DE LA MUJER Y LA INFANCIA (IAMI)",IF(P228=CURSOS!$D$22,"CUIDADO DEL DONANTE DE ORGANOS",IF(P228=CURSOS!$D$23,"ATENCION A VICTIMAS POR VIOLENCIA DE GENERO",IF(P228=CURSOS!$D$24,"IGUALDAD DE GENERO EN LA SALUD",IF(P228=CURSOS!$D$25,"BRIGADA DE EMERGENCIA",IF(P228=CURSOS!$D$26,"MANEJO DEL DOLOR Y CUIDADOS PALIATIVOS",IF(P228=CURSOS!$D$27,"TOMA DE MUESTRAS Y LABORATORIO POCT",IF(P228=CURSOS!$D$28,"IMPLANTE SUBDERMICO DE DISPOSITIVO INTRAUTERINO",IF(P228=CURSOS!$D$29,"SALUD MENTAL",IF(P228=CURSOS!$D$30,"PRIMEROS AUXILIOS PSICOLOGICOS",IF(P228=CURSOS!$D$31,"ATENCION A VICTIMAS POR CONFLICTO ARMADO",IF(P228=CURSOS!$D$32,"MANIPULACION DE ALIMENTOS Y BPM",IF(P228=CURSOS!$D$33,"ATENCION A PERSONAS CON DISCAPACIDAD",IF(P228=CURSOS!$D$34,"CUIDADO INTEGRAL DEL PACIENTE ADULTO",IF(P228=CURSOS!$D$35,"MANEJO DEFENSIVO",IF(P228=CURSOS!$D$36,"SOPORTE CARDIOVASCULAR AVANZADO NEONATAL",IF(P228=CURSOS!$D$37,"SEGURIDAD DEL PACIENTE",IF(P228=CURSOS!$D$38,"MANEJO DE RESIDUOS HOSPITALARIOS",IF(P228=CURSOS!$D$39,"ATENCION DE PACIENTE POR CONSUMO SUSTANCIAS PSICOACTIVAS Y ADICCIONES")))))))))))))))))))))))))))))))))))))</f>
        <v>0</v>
      </c>
      <c r="W228" s="62" t="str">
        <f t="shared" si="12"/>
        <v xml:space="preserve">   </v>
      </c>
      <c r="X228" s="62" t="str">
        <f t="shared" si="13"/>
        <v xml:space="preserve">   </v>
      </c>
      <c r="Y228" s="62" t="str">
        <f t="shared" si="14"/>
        <v xml:space="preserve">   --</v>
      </c>
    </row>
    <row r="229" spans="1:25" x14ac:dyDescent="0.2">
      <c r="A229" s="50">
        <v>228</v>
      </c>
      <c r="Q229" s="52"/>
      <c r="S229" s="38"/>
      <c r="U229" s="51"/>
      <c r="V229" s="62" t="b">
        <f>IF(P229=CURSOS!$D$3,"DIPLOMADO EN ATENCION PRE-HOSPITALARIA",IF(P229=CURSOS!$D$4,"ACOMPAÑAMIENTO Y MANEJO DEL DUELO",IF(P229=CURSOS!$D$5,"ATENCION A VICTIMAS DE ATAQUE CON AGENTES QUIMICOS ",IF(P229=CURSOS!$D$6,"PRIMEROS AUXILIOS ",IF(P229=CURSOS!$D$7,"DIPLOMADO DE UNIDAD DE CUIDADOS INTENSIVOS (UCI)",IF(P229=CURSOS!$D$8,"MODELO DE ATENCION PARA EVENTOS EMERGENTES EN SALUD MENTAL (CODIGO VERDE)",IF(P229=CURSOS!$D$9,"HUMANIZACION EN EL SERVICIO DE LA SALUD Y BUENAS PRACTICAS EN PACIENTE ",IF(P229=CURSOS!$D$10,"CLINICA DE HERIDAS ",IF(P229=CURSOS!$D$11,"TOMA DE CITOLOGIA CERVICO VAGINAL ",IF(P229=CURSOS!$D$12,"SOPORTE CARDIOVASCULAR AVANZADO (ACLS) ",IF(P229=CURSOS!$D$13,"CAMILLERO ",IF(P229=CURSOS!$D$14,"TOMA DE MUESTRAS Y LABORATORIO ",IF(P229=CURSOS!$D$15,"SOPORTE VITAL BASICO (BLS)",IF(P229=CURSOS!$D$16,"ATENCION A VICTIMAS DE VIOLENCIA SEXUAL ",IF(P229=CURSOS!$D$17,"PROGRAMADO AMPLIADO DE INMUNIZACION (PAI - COVID 19)",IF(P229=CURSOS!$D$18,"ATENCION INTEGRAL EN ENFERMEDADES PREVALENTES EN PRIMERA INFANCIA (AIEPI)",IF(P229=CURSOS!$D$19,"ADMINISTRACION DE MEDICAMENTOS, INYECTOLOGIA  Y CANALIZACION ",IF(P229=CURSOS!$D$20,"OPERADOR DE VEHICULOS DE EMERGENCIA (OVE)",IF(P229=CURSOS!$D$21,"INSTITUCIONES AMIGAS DE LA MUJER Y LA INFANCIA (IAMI)",IF(P229=CURSOS!$D$22,"CUIDADO DEL DONANTE DE ORGANOS",IF(P229=CURSOS!$D$23,"ATENCION A VICTIMAS POR VIOLENCIA DE GENERO",IF(P229=CURSOS!$D$24,"IGUALDAD DE GENERO EN LA SALUD",IF(P229=CURSOS!$D$25,"BRIGADA DE EMERGENCIA",IF(P229=CURSOS!$D$26,"MANEJO DEL DOLOR Y CUIDADOS PALIATIVOS",IF(P229=CURSOS!$D$27,"TOMA DE MUESTRAS Y LABORATORIO POCT",IF(P229=CURSOS!$D$28,"IMPLANTE SUBDERMICO DE DISPOSITIVO INTRAUTERINO",IF(P229=CURSOS!$D$29,"SALUD MENTAL",IF(P229=CURSOS!$D$30,"PRIMEROS AUXILIOS PSICOLOGICOS",IF(P229=CURSOS!$D$31,"ATENCION A VICTIMAS POR CONFLICTO ARMADO",IF(P229=CURSOS!$D$32,"MANIPULACION DE ALIMENTOS Y BPM",IF(P229=CURSOS!$D$33,"ATENCION A PERSONAS CON DISCAPACIDAD",IF(P229=CURSOS!$D$34,"CUIDADO INTEGRAL DEL PACIENTE ADULTO",IF(P229=CURSOS!$D$35,"MANEJO DEFENSIVO",IF(P229=CURSOS!$D$36,"SOPORTE CARDIOVASCULAR AVANZADO NEONATAL",IF(P229=CURSOS!$D$37,"SEGURIDAD DEL PACIENTE",IF(P229=CURSOS!$D$38,"MANEJO DE RESIDUOS HOSPITALARIOS",IF(P229=CURSOS!$D$39,"ATENCION DE PACIENTE POR CONSUMO SUSTANCIAS PSICOACTIVAS Y ADICCIONES")))))))))))))))))))))))))))))))))))))</f>
        <v>0</v>
      </c>
      <c r="W229" s="62" t="str">
        <f t="shared" si="12"/>
        <v xml:space="preserve">   </v>
      </c>
      <c r="X229" s="62" t="str">
        <f t="shared" si="13"/>
        <v xml:space="preserve">   </v>
      </c>
      <c r="Y229" s="62" t="str">
        <f t="shared" si="14"/>
        <v xml:space="preserve">   --</v>
      </c>
    </row>
    <row r="230" spans="1:25" x14ac:dyDescent="0.2">
      <c r="A230" s="50">
        <v>229</v>
      </c>
      <c r="Q230" s="52"/>
      <c r="S230" s="37"/>
      <c r="U230" s="51"/>
      <c r="V230" s="62" t="b">
        <f>IF(P230=CURSOS!$D$3,"DIPLOMADO EN ATENCION PRE-HOSPITALARIA",IF(P230=CURSOS!$D$4,"ACOMPAÑAMIENTO Y MANEJO DEL DUELO",IF(P230=CURSOS!$D$5,"ATENCION A VICTIMAS DE ATAQUE CON AGENTES QUIMICOS ",IF(P230=CURSOS!$D$6,"PRIMEROS AUXILIOS ",IF(P230=CURSOS!$D$7,"DIPLOMADO DE UNIDAD DE CUIDADOS INTENSIVOS (UCI)",IF(P230=CURSOS!$D$8,"MODELO DE ATENCION PARA EVENTOS EMERGENTES EN SALUD MENTAL (CODIGO VERDE)",IF(P230=CURSOS!$D$9,"HUMANIZACION EN EL SERVICIO DE LA SALUD Y BUENAS PRACTICAS EN PACIENTE ",IF(P230=CURSOS!$D$10,"CLINICA DE HERIDAS ",IF(P230=CURSOS!$D$11,"TOMA DE CITOLOGIA CERVICO VAGINAL ",IF(P230=CURSOS!$D$12,"SOPORTE CARDIOVASCULAR AVANZADO (ACLS) ",IF(P230=CURSOS!$D$13,"CAMILLERO ",IF(P230=CURSOS!$D$14,"TOMA DE MUESTRAS Y LABORATORIO ",IF(P230=CURSOS!$D$15,"SOPORTE VITAL BASICO (BLS)",IF(P230=CURSOS!$D$16,"ATENCION A VICTIMAS DE VIOLENCIA SEXUAL ",IF(P230=CURSOS!$D$17,"PROGRAMADO AMPLIADO DE INMUNIZACION (PAI - COVID 19)",IF(P230=CURSOS!$D$18,"ATENCION INTEGRAL EN ENFERMEDADES PREVALENTES EN PRIMERA INFANCIA (AIEPI)",IF(P230=CURSOS!$D$19,"ADMINISTRACION DE MEDICAMENTOS, INYECTOLOGIA  Y CANALIZACION ",IF(P230=CURSOS!$D$20,"OPERADOR DE VEHICULOS DE EMERGENCIA (OVE)",IF(P230=CURSOS!$D$21,"INSTITUCIONES AMIGAS DE LA MUJER Y LA INFANCIA (IAMI)",IF(P230=CURSOS!$D$22,"CUIDADO DEL DONANTE DE ORGANOS",IF(P230=CURSOS!$D$23,"ATENCION A VICTIMAS POR VIOLENCIA DE GENERO",IF(P230=CURSOS!$D$24,"IGUALDAD DE GENERO EN LA SALUD",IF(P230=CURSOS!$D$25,"BRIGADA DE EMERGENCIA",IF(P230=CURSOS!$D$26,"MANEJO DEL DOLOR Y CUIDADOS PALIATIVOS",IF(P230=CURSOS!$D$27,"TOMA DE MUESTRAS Y LABORATORIO POCT",IF(P230=CURSOS!$D$28,"IMPLANTE SUBDERMICO DE DISPOSITIVO INTRAUTERINO",IF(P230=CURSOS!$D$29,"SALUD MENTAL",IF(P230=CURSOS!$D$30,"PRIMEROS AUXILIOS PSICOLOGICOS",IF(P230=CURSOS!$D$31,"ATENCION A VICTIMAS POR CONFLICTO ARMADO",IF(P230=CURSOS!$D$32,"MANIPULACION DE ALIMENTOS Y BPM",IF(P230=CURSOS!$D$33,"ATENCION A PERSONAS CON DISCAPACIDAD",IF(P230=CURSOS!$D$34,"CUIDADO INTEGRAL DEL PACIENTE ADULTO",IF(P230=CURSOS!$D$35,"MANEJO DEFENSIVO",IF(P230=CURSOS!$D$36,"SOPORTE CARDIOVASCULAR AVANZADO NEONATAL",IF(P230=CURSOS!$D$37,"SEGURIDAD DEL PACIENTE",IF(P230=CURSOS!$D$38,"MANEJO DE RESIDUOS HOSPITALARIOS",IF(P230=CURSOS!$D$39,"ATENCION DE PACIENTE POR CONSUMO SUSTANCIAS PSICOACTIVAS Y ADICCIONES")))))))))))))))))))))))))))))))))))))</f>
        <v>0</v>
      </c>
      <c r="W230" s="62" t="str">
        <f t="shared" si="12"/>
        <v xml:space="preserve">   </v>
      </c>
      <c r="X230" s="62" t="str">
        <f t="shared" si="13"/>
        <v xml:space="preserve">   </v>
      </c>
      <c r="Y230" s="62" t="str">
        <f t="shared" si="14"/>
        <v xml:space="preserve">   --</v>
      </c>
    </row>
    <row r="231" spans="1:25" x14ac:dyDescent="0.2">
      <c r="A231" s="50">
        <v>230</v>
      </c>
      <c r="Q231" s="52"/>
      <c r="S231" s="37"/>
      <c r="U231" s="51"/>
      <c r="V231" s="62" t="b">
        <f>IF(P231=CURSOS!$D$3,"DIPLOMADO EN ATENCION PRE-HOSPITALARIA",IF(P231=CURSOS!$D$4,"ACOMPAÑAMIENTO Y MANEJO DEL DUELO",IF(P231=CURSOS!$D$5,"ATENCION A VICTIMAS DE ATAQUE CON AGENTES QUIMICOS ",IF(P231=CURSOS!$D$6,"PRIMEROS AUXILIOS ",IF(P231=CURSOS!$D$7,"DIPLOMADO DE UNIDAD DE CUIDADOS INTENSIVOS (UCI)",IF(P231=CURSOS!$D$8,"MODELO DE ATENCION PARA EVENTOS EMERGENTES EN SALUD MENTAL (CODIGO VERDE)",IF(P231=CURSOS!$D$9,"HUMANIZACION EN EL SERVICIO DE LA SALUD Y BUENAS PRACTICAS EN PACIENTE ",IF(P231=CURSOS!$D$10,"CLINICA DE HERIDAS ",IF(P231=CURSOS!$D$11,"TOMA DE CITOLOGIA CERVICO VAGINAL ",IF(P231=CURSOS!$D$12,"SOPORTE CARDIOVASCULAR AVANZADO (ACLS) ",IF(P231=CURSOS!$D$13,"CAMILLERO ",IF(P231=CURSOS!$D$14,"TOMA DE MUESTRAS Y LABORATORIO ",IF(P231=CURSOS!$D$15,"SOPORTE VITAL BASICO (BLS)",IF(P231=CURSOS!$D$16,"ATENCION A VICTIMAS DE VIOLENCIA SEXUAL ",IF(P231=CURSOS!$D$17,"PROGRAMADO AMPLIADO DE INMUNIZACION (PAI - COVID 19)",IF(P231=CURSOS!$D$18,"ATENCION INTEGRAL EN ENFERMEDADES PREVALENTES EN PRIMERA INFANCIA (AIEPI)",IF(P231=CURSOS!$D$19,"ADMINISTRACION DE MEDICAMENTOS, INYECTOLOGIA  Y CANALIZACION ",IF(P231=CURSOS!$D$20,"OPERADOR DE VEHICULOS DE EMERGENCIA (OVE)",IF(P231=CURSOS!$D$21,"INSTITUCIONES AMIGAS DE LA MUJER Y LA INFANCIA (IAMI)",IF(P231=CURSOS!$D$22,"CUIDADO DEL DONANTE DE ORGANOS",IF(P231=CURSOS!$D$23,"ATENCION A VICTIMAS POR VIOLENCIA DE GENERO",IF(P231=CURSOS!$D$24,"IGUALDAD DE GENERO EN LA SALUD",IF(P231=CURSOS!$D$25,"BRIGADA DE EMERGENCIA",IF(P231=CURSOS!$D$26,"MANEJO DEL DOLOR Y CUIDADOS PALIATIVOS",IF(P231=CURSOS!$D$27,"TOMA DE MUESTRAS Y LABORATORIO POCT",IF(P231=CURSOS!$D$28,"IMPLANTE SUBDERMICO DE DISPOSITIVO INTRAUTERINO",IF(P231=CURSOS!$D$29,"SALUD MENTAL",IF(P231=CURSOS!$D$30,"PRIMEROS AUXILIOS PSICOLOGICOS",IF(P231=CURSOS!$D$31,"ATENCION A VICTIMAS POR CONFLICTO ARMADO",IF(P231=CURSOS!$D$32,"MANIPULACION DE ALIMENTOS Y BPM",IF(P231=CURSOS!$D$33,"ATENCION A PERSONAS CON DISCAPACIDAD",IF(P231=CURSOS!$D$34,"CUIDADO INTEGRAL DEL PACIENTE ADULTO",IF(P231=CURSOS!$D$35,"MANEJO DEFENSIVO",IF(P231=CURSOS!$D$36,"SOPORTE CARDIOVASCULAR AVANZADO NEONATAL",IF(P231=CURSOS!$D$37,"SEGURIDAD DEL PACIENTE",IF(P231=CURSOS!$D$38,"MANEJO DE RESIDUOS HOSPITALARIOS",IF(P231=CURSOS!$D$39,"ATENCION DE PACIENTE POR CONSUMO SUSTANCIAS PSICOACTIVAS Y ADICCIONES")))))))))))))))))))))))))))))))))))))</f>
        <v>0</v>
      </c>
      <c r="W231" s="62" t="str">
        <f t="shared" si="12"/>
        <v xml:space="preserve">   </v>
      </c>
      <c r="X231" s="62" t="str">
        <f t="shared" si="13"/>
        <v xml:space="preserve">   </v>
      </c>
      <c r="Y231" s="62" t="str">
        <f t="shared" si="14"/>
        <v xml:space="preserve">   --</v>
      </c>
    </row>
    <row r="232" spans="1:25" x14ac:dyDescent="0.2">
      <c r="A232" s="50">
        <v>231</v>
      </c>
      <c r="Q232" s="52"/>
      <c r="V232" s="62" t="b">
        <f>IF(P232=CURSOS!$D$3,"DIPLOMADO EN ATENCION PRE-HOSPITALARIA",IF(P232=CURSOS!$D$4,"ACOMPAÑAMIENTO Y MANEJO DEL DUELO",IF(P232=CURSOS!$D$5,"ATENCION A VICTIMAS DE ATAQUE CON AGENTES QUIMICOS ",IF(P232=CURSOS!$D$6,"PRIMEROS AUXILIOS ",IF(P232=CURSOS!$D$7,"DIPLOMADO DE UNIDAD DE CUIDADOS INTENSIVOS (UCI)",IF(P232=CURSOS!$D$8,"MODELO DE ATENCION PARA EVENTOS EMERGENTES EN SALUD MENTAL (CODIGO VERDE)",IF(P232=CURSOS!$D$9,"HUMANIZACION EN EL SERVICIO DE LA SALUD Y BUENAS PRACTICAS EN PACIENTE ",IF(P232=CURSOS!$D$10,"CLINICA DE HERIDAS ",IF(P232=CURSOS!$D$11,"TOMA DE CITOLOGIA CERVICO VAGINAL ",IF(P232=CURSOS!$D$12,"SOPORTE CARDIOVASCULAR AVANZADO (ACLS) ",IF(P232=CURSOS!$D$13,"CAMILLERO ",IF(P232=CURSOS!$D$14,"TOMA DE MUESTRAS Y LABORATORIO ",IF(P232=CURSOS!$D$15,"SOPORTE VITAL BASICO (BLS)",IF(P232=CURSOS!$D$16,"ATENCION A VICTIMAS DE VIOLENCIA SEXUAL ",IF(P232=CURSOS!$D$17,"PROGRAMADO AMPLIADO DE INMUNIZACION (PAI - COVID 19)",IF(P232=CURSOS!$D$18,"ATENCION INTEGRAL EN ENFERMEDADES PREVALENTES EN PRIMERA INFANCIA (AIEPI)",IF(P232=CURSOS!$D$19,"ADMINISTRACION DE MEDICAMENTOS, INYECTOLOGIA  Y CANALIZACION ",IF(P232=CURSOS!$D$20,"OPERADOR DE VEHICULOS DE EMERGENCIA (OVE)",IF(P232=CURSOS!$D$21,"INSTITUCIONES AMIGAS DE LA MUJER Y LA INFANCIA (IAMI)",IF(P232=CURSOS!$D$22,"CUIDADO DEL DONANTE DE ORGANOS",IF(P232=CURSOS!$D$23,"ATENCION A VICTIMAS POR VIOLENCIA DE GENERO",IF(P232=CURSOS!$D$24,"IGUALDAD DE GENERO EN LA SALUD",IF(P232=CURSOS!$D$25,"BRIGADA DE EMERGENCIA",IF(P232=CURSOS!$D$26,"MANEJO DEL DOLOR Y CUIDADOS PALIATIVOS",IF(P232=CURSOS!$D$27,"TOMA DE MUESTRAS Y LABORATORIO POCT",IF(P232=CURSOS!$D$28,"IMPLANTE SUBDERMICO DE DISPOSITIVO INTRAUTERINO",IF(P232=CURSOS!$D$29,"SALUD MENTAL",IF(P232=CURSOS!$D$30,"PRIMEROS AUXILIOS PSICOLOGICOS",IF(P232=CURSOS!$D$31,"ATENCION A VICTIMAS POR CONFLICTO ARMADO",IF(P232=CURSOS!$D$32,"MANIPULACION DE ALIMENTOS Y BPM",IF(P232=CURSOS!$D$33,"ATENCION A PERSONAS CON DISCAPACIDAD",IF(P232=CURSOS!$D$34,"CUIDADO INTEGRAL DEL PACIENTE ADULTO",IF(P232=CURSOS!$D$35,"MANEJO DEFENSIVO",IF(P232=CURSOS!$D$36,"SOPORTE CARDIOVASCULAR AVANZADO NEONATAL",IF(P232=CURSOS!$D$37,"SEGURIDAD DEL PACIENTE",IF(P232=CURSOS!$D$38,"MANEJO DE RESIDUOS HOSPITALARIOS",IF(P232=CURSOS!$D$39,"ATENCION DE PACIENTE POR CONSUMO SUSTANCIAS PSICOACTIVAS Y ADICCIONES")))))))))))))))))))))))))))))))))))))</f>
        <v>0</v>
      </c>
      <c r="W232" s="62" t="str">
        <f t="shared" si="12"/>
        <v xml:space="preserve">   </v>
      </c>
      <c r="X232" s="62" t="str">
        <f t="shared" si="13"/>
        <v xml:space="preserve">   </v>
      </c>
      <c r="Y232" s="62" t="str">
        <f t="shared" si="14"/>
        <v xml:space="preserve">   --</v>
      </c>
    </row>
    <row r="233" spans="1:25" x14ac:dyDescent="0.2">
      <c r="A233" s="50">
        <v>232</v>
      </c>
      <c r="Q233" s="52"/>
      <c r="V233" s="62" t="b">
        <f>IF(P233=CURSOS!$D$3,"DIPLOMADO EN ATENCION PRE-HOSPITALARIA",IF(P233=CURSOS!$D$4,"ACOMPAÑAMIENTO Y MANEJO DEL DUELO",IF(P233=CURSOS!$D$5,"ATENCION A VICTIMAS DE ATAQUE CON AGENTES QUIMICOS ",IF(P233=CURSOS!$D$6,"PRIMEROS AUXILIOS ",IF(P233=CURSOS!$D$7,"DIPLOMADO DE UNIDAD DE CUIDADOS INTENSIVOS (UCI)",IF(P233=CURSOS!$D$8,"MODELO DE ATENCION PARA EVENTOS EMERGENTES EN SALUD MENTAL (CODIGO VERDE)",IF(P233=CURSOS!$D$9,"HUMANIZACION EN EL SERVICIO DE LA SALUD Y BUENAS PRACTICAS EN PACIENTE ",IF(P233=CURSOS!$D$10,"CLINICA DE HERIDAS ",IF(P233=CURSOS!$D$11,"TOMA DE CITOLOGIA CERVICO VAGINAL ",IF(P233=CURSOS!$D$12,"SOPORTE CARDIOVASCULAR AVANZADO (ACLS) ",IF(P233=CURSOS!$D$13,"CAMILLERO ",IF(P233=CURSOS!$D$14,"TOMA DE MUESTRAS Y LABORATORIO ",IF(P233=CURSOS!$D$15,"SOPORTE VITAL BASICO (BLS)",IF(P233=CURSOS!$D$16,"ATENCION A VICTIMAS DE VIOLENCIA SEXUAL ",IF(P233=CURSOS!$D$17,"PROGRAMADO AMPLIADO DE INMUNIZACION (PAI - COVID 19)",IF(P233=CURSOS!$D$18,"ATENCION INTEGRAL EN ENFERMEDADES PREVALENTES EN PRIMERA INFANCIA (AIEPI)",IF(P233=CURSOS!$D$19,"ADMINISTRACION DE MEDICAMENTOS, INYECTOLOGIA  Y CANALIZACION ",IF(P233=CURSOS!$D$20,"OPERADOR DE VEHICULOS DE EMERGENCIA (OVE)",IF(P233=CURSOS!$D$21,"INSTITUCIONES AMIGAS DE LA MUJER Y LA INFANCIA (IAMI)",IF(P233=CURSOS!$D$22,"CUIDADO DEL DONANTE DE ORGANOS",IF(P233=CURSOS!$D$23,"ATENCION A VICTIMAS POR VIOLENCIA DE GENERO",IF(P233=CURSOS!$D$24,"IGUALDAD DE GENERO EN LA SALUD",IF(P233=CURSOS!$D$25,"BRIGADA DE EMERGENCIA",IF(P233=CURSOS!$D$26,"MANEJO DEL DOLOR Y CUIDADOS PALIATIVOS",IF(P233=CURSOS!$D$27,"TOMA DE MUESTRAS Y LABORATORIO POCT",IF(P233=CURSOS!$D$28,"IMPLANTE SUBDERMICO DE DISPOSITIVO INTRAUTERINO",IF(P233=CURSOS!$D$29,"SALUD MENTAL",IF(P233=CURSOS!$D$30,"PRIMEROS AUXILIOS PSICOLOGICOS",IF(P233=CURSOS!$D$31,"ATENCION A VICTIMAS POR CONFLICTO ARMADO",IF(P233=CURSOS!$D$32,"MANIPULACION DE ALIMENTOS Y BPM",IF(P233=CURSOS!$D$33,"ATENCION A PERSONAS CON DISCAPACIDAD",IF(P233=CURSOS!$D$34,"CUIDADO INTEGRAL DEL PACIENTE ADULTO",IF(P233=CURSOS!$D$35,"MANEJO DEFENSIVO",IF(P233=CURSOS!$D$36,"SOPORTE CARDIOVASCULAR AVANZADO NEONATAL",IF(P233=CURSOS!$D$37,"SEGURIDAD DEL PACIENTE",IF(P233=CURSOS!$D$38,"MANEJO DE RESIDUOS HOSPITALARIOS",IF(P233=CURSOS!$D$39,"ATENCION DE PACIENTE POR CONSUMO SUSTANCIAS PSICOACTIVAS Y ADICCIONES")))))))))))))))))))))))))))))))))))))</f>
        <v>0</v>
      </c>
      <c r="W233" s="62" t="str">
        <f t="shared" si="12"/>
        <v xml:space="preserve">   </v>
      </c>
      <c r="X233" s="62" t="str">
        <f t="shared" si="13"/>
        <v xml:space="preserve">   </v>
      </c>
      <c r="Y233" s="62" t="str">
        <f t="shared" si="14"/>
        <v xml:space="preserve">   --</v>
      </c>
    </row>
    <row r="234" spans="1:25" x14ac:dyDescent="0.2">
      <c r="A234" s="50">
        <v>233</v>
      </c>
      <c r="Q234" s="52"/>
      <c r="V234" s="62" t="b">
        <f>IF(P234=CURSOS!$D$3,"DIPLOMADO EN ATENCION PRE-HOSPITALARIA",IF(P234=CURSOS!$D$4,"ACOMPAÑAMIENTO Y MANEJO DEL DUELO",IF(P234=CURSOS!$D$5,"ATENCION A VICTIMAS DE ATAQUE CON AGENTES QUIMICOS ",IF(P234=CURSOS!$D$6,"PRIMEROS AUXILIOS ",IF(P234=CURSOS!$D$7,"DIPLOMADO DE UNIDAD DE CUIDADOS INTENSIVOS (UCI)",IF(P234=CURSOS!$D$8,"MODELO DE ATENCION PARA EVENTOS EMERGENTES EN SALUD MENTAL (CODIGO VERDE)",IF(P234=CURSOS!$D$9,"HUMANIZACION EN EL SERVICIO DE LA SALUD Y BUENAS PRACTICAS EN PACIENTE ",IF(P234=CURSOS!$D$10,"CLINICA DE HERIDAS ",IF(P234=CURSOS!$D$11,"TOMA DE CITOLOGIA CERVICO VAGINAL ",IF(P234=CURSOS!$D$12,"SOPORTE CARDIOVASCULAR AVANZADO (ACLS) ",IF(P234=CURSOS!$D$13,"CAMILLERO ",IF(P234=CURSOS!$D$14,"TOMA DE MUESTRAS Y LABORATORIO ",IF(P234=CURSOS!$D$15,"SOPORTE VITAL BASICO (BLS)",IF(P234=CURSOS!$D$16,"ATENCION A VICTIMAS DE VIOLENCIA SEXUAL ",IF(P234=CURSOS!$D$17,"PROGRAMADO AMPLIADO DE INMUNIZACION (PAI - COVID 19)",IF(P234=CURSOS!$D$18,"ATENCION INTEGRAL EN ENFERMEDADES PREVALENTES EN PRIMERA INFANCIA (AIEPI)",IF(P234=CURSOS!$D$19,"ADMINISTRACION DE MEDICAMENTOS, INYECTOLOGIA  Y CANALIZACION ",IF(P234=CURSOS!$D$20,"OPERADOR DE VEHICULOS DE EMERGENCIA (OVE)",IF(P234=CURSOS!$D$21,"INSTITUCIONES AMIGAS DE LA MUJER Y LA INFANCIA (IAMI)",IF(P234=CURSOS!$D$22,"CUIDADO DEL DONANTE DE ORGANOS",IF(P234=CURSOS!$D$23,"ATENCION A VICTIMAS POR VIOLENCIA DE GENERO",IF(P234=CURSOS!$D$24,"IGUALDAD DE GENERO EN LA SALUD",IF(P234=CURSOS!$D$25,"BRIGADA DE EMERGENCIA",IF(P234=CURSOS!$D$26,"MANEJO DEL DOLOR Y CUIDADOS PALIATIVOS",IF(P234=CURSOS!$D$27,"TOMA DE MUESTRAS Y LABORATORIO POCT",IF(P234=CURSOS!$D$28,"IMPLANTE SUBDERMICO DE DISPOSITIVO INTRAUTERINO",IF(P234=CURSOS!$D$29,"SALUD MENTAL",IF(P234=CURSOS!$D$30,"PRIMEROS AUXILIOS PSICOLOGICOS",IF(P234=CURSOS!$D$31,"ATENCION A VICTIMAS POR CONFLICTO ARMADO",IF(P234=CURSOS!$D$32,"MANIPULACION DE ALIMENTOS Y BPM",IF(P234=CURSOS!$D$33,"ATENCION A PERSONAS CON DISCAPACIDAD",IF(P234=CURSOS!$D$34,"CUIDADO INTEGRAL DEL PACIENTE ADULTO",IF(P234=CURSOS!$D$35,"MANEJO DEFENSIVO",IF(P234=CURSOS!$D$36,"SOPORTE CARDIOVASCULAR AVANZADO NEONATAL",IF(P234=CURSOS!$D$37,"SEGURIDAD DEL PACIENTE",IF(P234=CURSOS!$D$38,"MANEJO DE RESIDUOS HOSPITALARIOS",IF(P234=CURSOS!$D$39,"ATENCION DE PACIENTE POR CONSUMO SUSTANCIAS PSICOACTIVAS Y ADICCIONES")))))))))))))))))))))))))))))))))))))</f>
        <v>0</v>
      </c>
      <c r="W234" s="62" t="str">
        <f t="shared" si="12"/>
        <v xml:space="preserve">   </v>
      </c>
      <c r="X234" s="62" t="str">
        <f t="shared" si="13"/>
        <v xml:space="preserve">   </v>
      </c>
      <c r="Y234" s="62" t="str">
        <f t="shared" si="14"/>
        <v xml:space="preserve">   --</v>
      </c>
    </row>
    <row r="235" spans="1:25" x14ac:dyDescent="0.2">
      <c r="A235" s="50">
        <v>234</v>
      </c>
      <c r="Q235" s="52"/>
      <c r="V235" s="62" t="b">
        <f>IF(P235=CURSOS!$D$3,"DIPLOMADO EN ATENCION PRE-HOSPITALARIA",IF(P235=CURSOS!$D$4,"ACOMPAÑAMIENTO Y MANEJO DEL DUELO",IF(P235=CURSOS!$D$5,"ATENCION A VICTIMAS DE ATAQUE CON AGENTES QUIMICOS ",IF(P235=CURSOS!$D$6,"PRIMEROS AUXILIOS ",IF(P235=CURSOS!$D$7,"DIPLOMADO DE UNIDAD DE CUIDADOS INTENSIVOS (UCI)",IF(P235=CURSOS!$D$8,"MODELO DE ATENCION PARA EVENTOS EMERGENTES EN SALUD MENTAL (CODIGO VERDE)",IF(P235=CURSOS!$D$9,"HUMANIZACION EN EL SERVICIO DE LA SALUD Y BUENAS PRACTICAS EN PACIENTE ",IF(P235=CURSOS!$D$10,"CLINICA DE HERIDAS ",IF(P235=CURSOS!$D$11,"TOMA DE CITOLOGIA CERVICO VAGINAL ",IF(P235=CURSOS!$D$12,"SOPORTE CARDIOVASCULAR AVANZADO (ACLS) ",IF(P235=CURSOS!$D$13,"CAMILLERO ",IF(P235=CURSOS!$D$14,"TOMA DE MUESTRAS Y LABORATORIO ",IF(P235=CURSOS!$D$15,"SOPORTE VITAL BASICO (BLS)",IF(P235=CURSOS!$D$16,"ATENCION A VICTIMAS DE VIOLENCIA SEXUAL ",IF(P235=CURSOS!$D$17,"PROGRAMADO AMPLIADO DE INMUNIZACION (PAI - COVID 19)",IF(P235=CURSOS!$D$18,"ATENCION INTEGRAL EN ENFERMEDADES PREVALENTES EN PRIMERA INFANCIA (AIEPI)",IF(P235=CURSOS!$D$19,"ADMINISTRACION DE MEDICAMENTOS, INYECTOLOGIA  Y CANALIZACION ",IF(P235=CURSOS!$D$20,"OPERADOR DE VEHICULOS DE EMERGENCIA (OVE)",IF(P235=CURSOS!$D$21,"INSTITUCIONES AMIGAS DE LA MUJER Y LA INFANCIA (IAMI)",IF(P235=CURSOS!$D$22,"CUIDADO DEL DONANTE DE ORGANOS",IF(P235=CURSOS!$D$23,"ATENCION A VICTIMAS POR VIOLENCIA DE GENERO",IF(P235=CURSOS!$D$24,"IGUALDAD DE GENERO EN LA SALUD",IF(P235=CURSOS!$D$25,"BRIGADA DE EMERGENCIA",IF(P235=CURSOS!$D$26,"MANEJO DEL DOLOR Y CUIDADOS PALIATIVOS",IF(P235=CURSOS!$D$27,"TOMA DE MUESTRAS Y LABORATORIO POCT",IF(P235=CURSOS!$D$28,"IMPLANTE SUBDERMICO DE DISPOSITIVO INTRAUTERINO",IF(P235=CURSOS!$D$29,"SALUD MENTAL",IF(P235=CURSOS!$D$30,"PRIMEROS AUXILIOS PSICOLOGICOS",IF(P235=CURSOS!$D$31,"ATENCION A VICTIMAS POR CONFLICTO ARMADO",IF(P235=CURSOS!$D$32,"MANIPULACION DE ALIMENTOS Y BPM",IF(P235=CURSOS!$D$33,"ATENCION A PERSONAS CON DISCAPACIDAD",IF(P235=CURSOS!$D$34,"CUIDADO INTEGRAL DEL PACIENTE ADULTO",IF(P235=CURSOS!$D$35,"MANEJO DEFENSIVO",IF(P235=CURSOS!$D$36,"SOPORTE CARDIOVASCULAR AVANZADO NEONATAL",IF(P235=CURSOS!$D$37,"SEGURIDAD DEL PACIENTE",IF(P235=CURSOS!$D$38,"MANEJO DE RESIDUOS HOSPITALARIOS",IF(P235=CURSOS!$D$39,"ATENCION DE PACIENTE POR CONSUMO SUSTANCIAS PSICOACTIVAS Y ADICCIONES")))))))))))))))))))))))))))))))))))))</f>
        <v>0</v>
      </c>
      <c r="W235" s="62" t="str">
        <f t="shared" si="12"/>
        <v xml:space="preserve">   </v>
      </c>
      <c r="X235" s="62" t="str">
        <f t="shared" si="13"/>
        <v xml:space="preserve">   </v>
      </c>
      <c r="Y235" s="62" t="str">
        <f t="shared" si="14"/>
        <v xml:space="preserve">   --</v>
      </c>
    </row>
    <row r="236" spans="1:25" x14ac:dyDescent="0.2">
      <c r="A236" s="50">
        <v>235</v>
      </c>
      <c r="Q236" s="52"/>
      <c r="V236" s="62" t="b">
        <f>IF(P236=CURSOS!$D$3,"DIPLOMADO EN ATENCION PRE-HOSPITALARIA",IF(P236=CURSOS!$D$4,"ACOMPAÑAMIENTO Y MANEJO DEL DUELO",IF(P236=CURSOS!$D$5,"ATENCION A VICTIMAS DE ATAQUE CON AGENTES QUIMICOS ",IF(P236=CURSOS!$D$6,"PRIMEROS AUXILIOS ",IF(P236=CURSOS!$D$7,"DIPLOMADO DE UNIDAD DE CUIDADOS INTENSIVOS (UCI)",IF(P236=CURSOS!$D$8,"MODELO DE ATENCION PARA EVENTOS EMERGENTES EN SALUD MENTAL (CODIGO VERDE)",IF(P236=CURSOS!$D$9,"HUMANIZACION EN EL SERVICIO DE LA SALUD Y BUENAS PRACTICAS EN PACIENTE ",IF(P236=CURSOS!$D$10,"CLINICA DE HERIDAS ",IF(P236=CURSOS!$D$11,"TOMA DE CITOLOGIA CERVICO VAGINAL ",IF(P236=CURSOS!$D$12,"SOPORTE CARDIOVASCULAR AVANZADO (ACLS) ",IF(P236=CURSOS!$D$13,"CAMILLERO ",IF(P236=CURSOS!$D$14,"TOMA DE MUESTRAS Y LABORATORIO ",IF(P236=CURSOS!$D$15,"SOPORTE VITAL BASICO (BLS)",IF(P236=CURSOS!$D$16,"ATENCION A VICTIMAS DE VIOLENCIA SEXUAL ",IF(P236=CURSOS!$D$17,"PROGRAMADO AMPLIADO DE INMUNIZACION (PAI - COVID 19)",IF(P236=CURSOS!$D$18,"ATENCION INTEGRAL EN ENFERMEDADES PREVALENTES EN PRIMERA INFANCIA (AIEPI)",IF(P236=CURSOS!$D$19,"ADMINISTRACION DE MEDICAMENTOS, INYECTOLOGIA  Y CANALIZACION ",IF(P236=CURSOS!$D$20,"OPERADOR DE VEHICULOS DE EMERGENCIA (OVE)",IF(P236=CURSOS!$D$21,"INSTITUCIONES AMIGAS DE LA MUJER Y LA INFANCIA (IAMI)",IF(P236=CURSOS!$D$22,"CUIDADO DEL DONANTE DE ORGANOS",IF(P236=CURSOS!$D$23,"ATENCION A VICTIMAS POR VIOLENCIA DE GENERO",IF(P236=CURSOS!$D$24,"IGUALDAD DE GENERO EN LA SALUD",IF(P236=CURSOS!$D$25,"BRIGADA DE EMERGENCIA",IF(P236=CURSOS!$D$26,"MANEJO DEL DOLOR Y CUIDADOS PALIATIVOS",IF(P236=CURSOS!$D$27,"TOMA DE MUESTRAS Y LABORATORIO POCT",IF(P236=CURSOS!$D$28,"IMPLANTE SUBDERMICO DE DISPOSITIVO INTRAUTERINO",IF(P236=CURSOS!$D$29,"SALUD MENTAL",IF(P236=CURSOS!$D$30,"PRIMEROS AUXILIOS PSICOLOGICOS",IF(P236=CURSOS!$D$31,"ATENCION A VICTIMAS POR CONFLICTO ARMADO",IF(P236=CURSOS!$D$32,"MANIPULACION DE ALIMENTOS Y BPM",IF(P236=CURSOS!$D$33,"ATENCION A PERSONAS CON DISCAPACIDAD",IF(P236=CURSOS!$D$34,"CUIDADO INTEGRAL DEL PACIENTE ADULTO",IF(P236=CURSOS!$D$35,"MANEJO DEFENSIVO",IF(P236=CURSOS!$D$36,"SOPORTE CARDIOVASCULAR AVANZADO NEONATAL",IF(P236=CURSOS!$D$37,"SEGURIDAD DEL PACIENTE",IF(P236=CURSOS!$D$38,"MANEJO DE RESIDUOS HOSPITALARIOS",IF(P236=CURSOS!$D$39,"ATENCION DE PACIENTE POR CONSUMO SUSTANCIAS PSICOACTIVAS Y ADICCIONES")))))))))))))))))))))))))))))))))))))</f>
        <v>0</v>
      </c>
      <c r="W236" s="62" t="str">
        <f t="shared" si="12"/>
        <v xml:space="preserve">   </v>
      </c>
      <c r="X236" s="62" t="str">
        <f t="shared" si="13"/>
        <v xml:space="preserve">   </v>
      </c>
      <c r="Y236" s="62" t="str">
        <f t="shared" si="14"/>
        <v xml:space="preserve">   --</v>
      </c>
    </row>
    <row r="237" spans="1:25" x14ac:dyDescent="0.2">
      <c r="A237" s="50">
        <v>236</v>
      </c>
      <c r="Q237" s="52"/>
      <c r="V237" s="62" t="b">
        <f>IF(P237=CURSOS!$D$3,"DIPLOMADO EN ATENCION PRE-HOSPITALARIA",IF(P237=CURSOS!$D$4,"ACOMPAÑAMIENTO Y MANEJO DEL DUELO",IF(P237=CURSOS!$D$5,"ATENCION A VICTIMAS DE ATAQUE CON AGENTES QUIMICOS ",IF(P237=CURSOS!$D$6,"PRIMEROS AUXILIOS ",IF(P237=CURSOS!$D$7,"DIPLOMADO DE UNIDAD DE CUIDADOS INTENSIVOS (UCI)",IF(P237=CURSOS!$D$8,"MODELO DE ATENCION PARA EVENTOS EMERGENTES EN SALUD MENTAL (CODIGO VERDE)",IF(P237=CURSOS!$D$9,"HUMANIZACION EN EL SERVICIO DE LA SALUD Y BUENAS PRACTICAS EN PACIENTE ",IF(P237=CURSOS!$D$10,"CLINICA DE HERIDAS ",IF(P237=CURSOS!$D$11,"TOMA DE CITOLOGIA CERVICO VAGINAL ",IF(P237=CURSOS!$D$12,"SOPORTE CARDIOVASCULAR AVANZADO (ACLS) ",IF(P237=CURSOS!$D$13,"CAMILLERO ",IF(P237=CURSOS!$D$14,"TOMA DE MUESTRAS Y LABORATORIO ",IF(P237=CURSOS!$D$15,"SOPORTE VITAL BASICO (BLS)",IF(P237=CURSOS!$D$16,"ATENCION A VICTIMAS DE VIOLENCIA SEXUAL ",IF(P237=CURSOS!$D$17,"PROGRAMADO AMPLIADO DE INMUNIZACION (PAI - COVID 19)",IF(P237=CURSOS!$D$18,"ATENCION INTEGRAL EN ENFERMEDADES PREVALENTES EN PRIMERA INFANCIA (AIEPI)",IF(P237=CURSOS!$D$19,"ADMINISTRACION DE MEDICAMENTOS, INYECTOLOGIA  Y CANALIZACION ",IF(P237=CURSOS!$D$20,"OPERADOR DE VEHICULOS DE EMERGENCIA (OVE)",IF(P237=CURSOS!$D$21,"INSTITUCIONES AMIGAS DE LA MUJER Y LA INFANCIA (IAMI)",IF(P237=CURSOS!$D$22,"CUIDADO DEL DONANTE DE ORGANOS",IF(P237=CURSOS!$D$23,"ATENCION A VICTIMAS POR VIOLENCIA DE GENERO",IF(P237=CURSOS!$D$24,"IGUALDAD DE GENERO EN LA SALUD",IF(P237=CURSOS!$D$25,"BRIGADA DE EMERGENCIA",IF(P237=CURSOS!$D$26,"MANEJO DEL DOLOR Y CUIDADOS PALIATIVOS",IF(P237=CURSOS!$D$27,"TOMA DE MUESTRAS Y LABORATORIO POCT",IF(P237=CURSOS!$D$28,"IMPLANTE SUBDERMICO DE DISPOSITIVO INTRAUTERINO",IF(P237=CURSOS!$D$29,"SALUD MENTAL",IF(P237=CURSOS!$D$30,"PRIMEROS AUXILIOS PSICOLOGICOS",IF(P237=CURSOS!$D$31,"ATENCION A VICTIMAS POR CONFLICTO ARMADO",IF(P237=CURSOS!$D$32,"MANIPULACION DE ALIMENTOS Y BPM",IF(P237=CURSOS!$D$33,"ATENCION A PERSONAS CON DISCAPACIDAD",IF(P237=CURSOS!$D$34,"CUIDADO INTEGRAL DEL PACIENTE ADULTO",IF(P237=CURSOS!$D$35,"MANEJO DEFENSIVO",IF(P237=CURSOS!$D$36,"SOPORTE CARDIOVASCULAR AVANZADO NEONATAL",IF(P237=CURSOS!$D$37,"SEGURIDAD DEL PACIENTE",IF(P237=CURSOS!$D$38,"MANEJO DE RESIDUOS HOSPITALARIOS",IF(P237=CURSOS!$D$39,"ATENCION DE PACIENTE POR CONSUMO SUSTANCIAS PSICOACTIVAS Y ADICCIONES")))))))))))))))))))))))))))))))))))))</f>
        <v>0</v>
      </c>
      <c r="W237" s="62" t="str">
        <f t="shared" si="12"/>
        <v xml:space="preserve">   </v>
      </c>
      <c r="X237" s="62" t="str">
        <f t="shared" si="13"/>
        <v xml:space="preserve">   </v>
      </c>
      <c r="Y237" s="62" t="str">
        <f t="shared" si="14"/>
        <v xml:space="preserve">   --</v>
      </c>
    </row>
    <row r="238" spans="1:25" x14ac:dyDescent="0.2">
      <c r="A238" s="50">
        <v>237</v>
      </c>
      <c r="Q238" s="52"/>
      <c r="V238" s="62" t="b">
        <f>IF(P238=CURSOS!$D$3,"DIPLOMADO EN ATENCION PRE-HOSPITALARIA",IF(P238=CURSOS!$D$4,"ACOMPAÑAMIENTO Y MANEJO DEL DUELO",IF(P238=CURSOS!$D$5,"ATENCION A VICTIMAS DE ATAQUE CON AGENTES QUIMICOS ",IF(P238=CURSOS!$D$6,"PRIMEROS AUXILIOS ",IF(P238=CURSOS!$D$7,"DIPLOMADO DE UNIDAD DE CUIDADOS INTENSIVOS (UCI)",IF(P238=CURSOS!$D$8,"MODELO DE ATENCION PARA EVENTOS EMERGENTES EN SALUD MENTAL (CODIGO VERDE)",IF(P238=CURSOS!$D$9,"HUMANIZACION EN EL SERVICIO DE LA SALUD Y BUENAS PRACTICAS EN PACIENTE ",IF(P238=CURSOS!$D$10,"CLINICA DE HERIDAS ",IF(P238=CURSOS!$D$11,"TOMA DE CITOLOGIA CERVICO VAGINAL ",IF(P238=CURSOS!$D$12,"SOPORTE CARDIOVASCULAR AVANZADO (ACLS) ",IF(P238=CURSOS!$D$13,"CAMILLERO ",IF(P238=CURSOS!$D$14,"TOMA DE MUESTRAS Y LABORATORIO ",IF(P238=CURSOS!$D$15,"SOPORTE VITAL BASICO (BLS)",IF(P238=CURSOS!$D$16,"ATENCION A VICTIMAS DE VIOLENCIA SEXUAL ",IF(P238=CURSOS!$D$17,"PROGRAMADO AMPLIADO DE INMUNIZACION (PAI - COVID 19)",IF(P238=CURSOS!$D$18,"ATENCION INTEGRAL EN ENFERMEDADES PREVALENTES EN PRIMERA INFANCIA (AIEPI)",IF(P238=CURSOS!$D$19,"ADMINISTRACION DE MEDICAMENTOS, INYECTOLOGIA  Y CANALIZACION ",IF(P238=CURSOS!$D$20,"OPERADOR DE VEHICULOS DE EMERGENCIA (OVE)",IF(P238=CURSOS!$D$21,"INSTITUCIONES AMIGAS DE LA MUJER Y LA INFANCIA (IAMI)",IF(P238=CURSOS!$D$22,"CUIDADO DEL DONANTE DE ORGANOS",IF(P238=CURSOS!$D$23,"ATENCION A VICTIMAS POR VIOLENCIA DE GENERO",IF(P238=CURSOS!$D$24,"IGUALDAD DE GENERO EN LA SALUD",IF(P238=CURSOS!$D$25,"BRIGADA DE EMERGENCIA",IF(P238=CURSOS!$D$26,"MANEJO DEL DOLOR Y CUIDADOS PALIATIVOS",IF(P238=CURSOS!$D$27,"TOMA DE MUESTRAS Y LABORATORIO POCT",IF(P238=CURSOS!$D$28,"IMPLANTE SUBDERMICO DE DISPOSITIVO INTRAUTERINO",IF(P238=CURSOS!$D$29,"SALUD MENTAL",IF(P238=CURSOS!$D$30,"PRIMEROS AUXILIOS PSICOLOGICOS",IF(P238=CURSOS!$D$31,"ATENCION A VICTIMAS POR CONFLICTO ARMADO",IF(P238=CURSOS!$D$32,"MANIPULACION DE ALIMENTOS Y BPM",IF(P238=CURSOS!$D$33,"ATENCION A PERSONAS CON DISCAPACIDAD",IF(P238=CURSOS!$D$34,"CUIDADO INTEGRAL DEL PACIENTE ADULTO",IF(P238=CURSOS!$D$35,"MANEJO DEFENSIVO",IF(P238=CURSOS!$D$36,"SOPORTE CARDIOVASCULAR AVANZADO NEONATAL",IF(P238=CURSOS!$D$37,"SEGURIDAD DEL PACIENTE",IF(P238=CURSOS!$D$38,"MANEJO DE RESIDUOS HOSPITALARIOS",IF(P238=CURSOS!$D$39,"ATENCION DE PACIENTE POR CONSUMO SUSTANCIAS PSICOACTIVAS Y ADICCIONES")))))))))))))))))))))))))))))))))))))</f>
        <v>0</v>
      </c>
      <c r="W238" s="62" t="str">
        <f t="shared" si="12"/>
        <v xml:space="preserve">   </v>
      </c>
      <c r="X238" s="62" t="str">
        <f t="shared" si="13"/>
        <v xml:space="preserve">   </v>
      </c>
      <c r="Y238" s="62" t="str">
        <f t="shared" si="14"/>
        <v xml:space="preserve">   --</v>
      </c>
    </row>
    <row r="239" spans="1:25" x14ac:dyDescent="0.2">
      <c r="A239" s="50">
        <v>238</v>
      </c>
      <c r="Q239" s="52"/>
      <c r="V239" s="62" t="b">
        <f>IF(P239=CURSOS!$D$3,"DIPLOMADO EN ATENCION PRE-HOSPITALARIA",IF(P239=CURSOS!$D$4,"ACOMPAÑAMIENTO Y MANEJO DEL DUELO",IF(P239=CURSOS!$D$5,"ATENCION A VICTIMAS DE ATAQUE CON AGENTES QUIMICOS ",IF(P239=CURSOS!$D$6,"PRIMEROS AUXILIOS ",IF(P239=CURSOS!$D$7,"DIPLOMADO DE UNIDAD DE CUIDADOS INTENSIVOS (UCI)",IF(P239=CURSOS!$D$8,"MODELO DE ATENCION PARA EVENTOS EMERGENTES EN SALUD MENTAL (CODIGO VERDE)",IF(P239=CURSOS!$D$9,"HUMANIZACION EN EL SERVICIO DE LA SALUD Y BUENAS PRACTICAS EN PACIENTE ",IF(P239=CURSOS!$D$10,"CLINICA DE HERIDAS ",IF(P239=CURSOS!$D$11,"TOMA DE CITOLOGIA CERVICO VAGINAL ",IF(P239=CURSOS!$D$12,"SOPORTE CARDIOVASCULAR AVANZADO (ACLS) ",IF(P239=CURSOS!$D$13,"CAMILLERO ",IF(P239=CURSOS!$D$14,"TOMA DE MUESTRAS Y LABORATORIO ",IF(P239=CURSOS!$D$15,"SOPORTE VITAL BASICO (BLS)",IF(P239=CURSOS!$D$16,"ATENCION A VICTIMAS DE VIOLENCIA SEXUAL ",IF(P239=CURSOS!$D$17,"PROGRAMADO AMPLIADO DE INMUNIZACION (PAI - COVID 19)",IF(P239=CURSOS!$D$18,"ATENCION INTEGRAL EN ENFERMEDADES PREVALENTES EN PRIMERA INFANCIA (AIEPI)",IF(P239=CURSOS!$D$19,"ADMINISTRACION DE MEDICAMENTOS, INYECTOLOGIA  Y CANALIZACION ",IF(P239=CURSOS!$D$20,"OPERADOR DE VEHICULOS DE EMERGENCIA (OVE)",IF(P239=CURSOS!$D$21,"INSTITUCIONES AMIGAS DE LA MUJER Y LA INFANCIA (IAMI)",IF(P239=CURSOS!$D$22,"CUIDADO DEL DONANTE DE ORGANOS",IF(P239=CURSOS!$D$23,"ATENCION A VICTIMAS POR VIOLENCIA DE GENERO",IF(P239=CURSOS!$D$24,"IGUALDAD DE GENERO EN LA SALUD",IF(P239=CURSOS!$D$25,"BRIGADA DE EMERGENCIA",IF(P239=CURSOS!$D$26,"MANEJO DEL DOLOR Y CUIDADOS PALIATIVOS",IF(P239=CURSOS!$D$27,"TOMA DE MUESTRAS Y LABORATORIO POCT",IF(P239=CURSOS!$D$28,"IMPLANTE SUBDERMICO DE DISPOSITIVO INTRAUTERINO",IF(P239=CURSOS!$D$29,"SALUD MENTAL",IF(P239=CURSOS!$D$30,"PRIMEROS AUXILIOS PSICOLOGICOS",IF(P239=CURSOS!$D$31,"ATENCION A VICTIMAS POR CONFLICTO ARMADO",IF(P239=CURSOS!$D$32,"MANIPULACION DE ALIMENTOS Y BPM",IF(P239=CURSOS!$D$33,"ATENCION A PERSONAS CON DISCAPACIDAD",IF(P239=CURSOS!$D$34,"CUIDADO INTEGRAL DEL PACIENTE ADULTO",IF(P239=CURSOS!$D$35,"MANEJO DEFENSIVO",IF(P239=CURSOS!$D$36,"SOPORTE CARDIOVASCULAR AVANZADO NEONATAL",IF(P239=CURSOS!$D$37,"SEGURIDAD DEL PACIENTE",IF(P239=CURSOS!$D$38,"MANEJO DE RESIDUOS HOSPITALARIOS",IF(P239=CURSOS!$D$39,"ATENCION DE PACIENTE POR CONSUMO SUSTANCIAS PSICOACTIVAS Y ADICCIONES")))))))))))))))))))))))))))))))))))))</f>
        <v>0</v>
      </c>
      <c r="W239" s="62" t="str">
        <f t="shared" si="12"/>
        <v xml:space="preserve">   </v>
      </c>
      <c r="X239" s="62" t="str">
        <f t="shared" si="13"/>
        <v xml:space="preserve">   </v>
      </c>
      <c r="Y239" s="62" t="str">
        <f t="shared" si="14"/>
        <v xml:space="preserve">   --</v>
      </c>
    </row>
    <row r="240" spans="1:25" x14ac:dyDescent="0.2">
      <c r="A240" s="50">
        <v>239</v>
      </c>
      <c r="V240" s="62" t="b">
        <f>IF(P240=CURSOS!$D$3,"DIPLOMADO EN ATENCION PRE-HOSPITALARIA",IF(P240=CURSOS!$D$4,"ACOMPAÑAMIENTO Y MANEJO DEL DUELO",IF(P240=CURSOS!$D$5,"ATENCION A VICTIMAS DE ATAQUE CON AGENTES QUIMICOS ",IF(P240=CURSOS!$D$6,"PRIMEROS AUXILIOS ",IF(P240=CURSOS!$D$7,"DIPLOMADO DE UNIDAD DE CUIDADOS INTENSIVOS (UCI)",IF(P240=CURSOS!$D$8,"MODELO DE ATENCION PARA EVENTOS EMERGENTES EN SALUD MENTAL (CODIGO VERDE)",IF(P240=CURSOS!$D$9,"HUMANIZACION EN EL SERVICIO DE LA SALUD Y BUENAS PRACTICAS EN PACIENTE ",IF(P240=CURSOS!$D$10,"CLINICA DE HERIDAS ",IF(P240=CURSOS!$D$11,"TOMA DE CITOLOGIA CERVICO VAGINAL ",IF(P240=CURSOS!$D$12,"SOPORTE CARDIOVASCULAR AVANZADO (ACLS) ",IF(P240=CURSOS!$D$13,"CAMILLERO ",IF(P240=CURSOS!$D$14,"TOMA DE MUESTRAS Y LABORATORIO ",IF(P240=CURSOS!$D$15,"SOPORTE VITAL BASICO (BLS)",IF(P240=CURSOS!$D$16,"ATENCION A VICTIMAS DE VIOLENCIA SEXUAL ",IF(P240=CURSOS!$D$17,"PROGRAMADO AMPLIADO DE INMUNIZACION (PAI - COVID 19)",IF(P240=CURSOS!$D$18,"ATENCION INTEGRAL EN ENFERMEDADES PREVALENTES EN PRIMERA INFANCIA (AIEPI)",IF(P240=CURSOS!$D$19,"ADMINISTRACION DE MEDICAMENTOS, INYECTOLOGIA  Y CANALIZACION ",IF(P240=CURSOS!$D$20,"OPERADOR DE VEHICULOS DE EMERGENCIA (OVE)",IF(P240=CURSOS!$D$21,"INSTITUCIONES AMIGAS DE LA MUJER Y LA INFANCIA (IAMI)",IF(P240=CURSOS!$D$22,"CUIDADO DEL DONANTE DE ORGANOS",IF(P240=CURSOS!$D$23,"ATENCION A VICTIMAS POR VIOLENCIA DE GENERO",IF(P240=CURSOS!$D$24,"IGUALDAD DE GENERO EN LA SALUD",IF(P240=CURSOS!$D$25,"BRIGADA DE EMERGENCIA",IF(P240=CURSOS!$D$26,"MANEJO DEL DOLOR Y CUIDADOS PALIATIVOS",IF(P240=CURSOS!$D$27,"TOMA DE MUESTRAS Y LABORATORIO POCT",IF(P240=CURSOS!$D$28,"IMPLANTE SUBDERMICO DE DISPOSITIVO INTRAUTERINO",IF(P240=CURSOS!$D$29,"SALUD MENTAL",IF(P240=CURSOS!$D$30,"PRIMEROS AUXILIOS PSICOLOGICOS",IF(P240=CURSOS!$D$31,"ATENCION A VICTIMAS POR CONFLICTO ARMADO",IF(P240=CURSOS!$D$32,"MANIPULACION DE ALIMENTOS Y BPM",IF(P240=CURSOS!$D$33,"ATENCION A PERSONAS CON DISCAPACIDAD",IF(P240=CURSOS!$D$34,"CUIDADO INTEGRAL DEL PACIENTE ADULTO",IF(P240=CURSOS!$D$35,"MANEJO DEFENSIVO",IF(P240=CURSOS!$D$36,"SOPORTE CARDIOVASCULAR AVANZADO NEONATAL",IF(P240=CURSOS!$D$37,"SEGURIDAD DEL PACIENTE",IF(P240=CURSOS!$D$38,"MANEJO DE RESIDUOS HOSPITALARIOS",IF(P240=CURSOS!$D$39,"ATENCION DE PACIENTE POR CONSUMO SUSTANCIAS PSICOACTIVAS Y ADICCIONES")))))))))))))))))))))))))))))))))))))</f>
        <v>0</v>
      </c>
      <c r="W240" s="62" t="str">
        <f t="shared" si="12"/>
        <v xml:space="preserve">   </v>
      </c>
      <c r="X240" s="62" t="str">
        <f t="shared" si="13"/>
        <v xml:space="preserve">   </v>
      </c>
      <c r="Y240" s="62" t="str">
        <f t="shared" si="14"/>
        <v xml:space="preserve">   --</v>
      </c>
    </row>
    <row r="241" spans="1:25" x14ac:dyDescent="0.2">
      <c r="A241" s="50">
        <v>240</v>
      </c>
      <c r="V241" s="62" t="b">
        <f>IF(P241=CURSOS!$D$3,"DIPLOMADO EN ATENCION PRE-HOSPITALARIA",IF(P241=CURSOS!$D$4,"ACOMPAÑAMIENTO Y MANEJO DEL DUELO",IF(P241=CURSOS!$D$5,"ATENCION A VICTIMAS DE ATAQUE CON AGENTES QUIMICOS ",IF(P241=CURSOS!$D$6,"PRIMEROS AUXILIOS ",IF(P241=CURSOS!$D$7,"DIPLOMADO DE UNIDAD DE CUIDADOS INTENSIVOS (UCI)",IF(P241=CURSOS!$D$8,"MODELO DE ATENCION PARA EVENTOS EMERGENTES EN SALUD MENTAL (CODIGO VERDE)",IF(P241=CURSOS!$D$9,"HUMANIZACION EN EL SERVICIO DE LA SALUD Y BUENAS PRACTICAS EN PACIENTE ",IF(P241=CURSOS!$D$10,"CLINICA DE HERIDAS ",IF(P241=CURSOS!$D$11,"TOMA DE CITOLOGIA CERVICO VAGINAL ",IF(P241=CURSOS!$D$12,"SOPORTE CARDIOVASCULAR AVANZADO (ACLS) ",IF(P241=CURSOS!$D$13,"CAMILLERO ",IF(P241=CURSOS!$D$14,"TOMA DE MUESTRAS Y LABORATORIO ",IF(P241=CURSOS!$D$15,"SOPORTE VITAL BASICO (BLS)",IF(P241=CURSOS!$D$16,"ATENCION A VICTIMAS DE VIOLENCIA SEXUAL ",IF(P241=CURSOS!$D$17,"PROGRAMADO AMPLIADO DE INMUNIZACION (PAI - COVID 19)",IF(P241=CURSOS!$D$18,"ATENCION INTEGRAL EN ENFERMEDADES PREVALENTES EN PRIMERA INFANCIA (AIEPI)",IF(P241=CURSOS!$D$19,"ADMINISTRACION DE MEDICAMENTOS, INYECTOLOGIA  Y CANALIZACION ",IF(P241=CURSOS!$D$20,"OPERADOR DE VEHICULOS DE EMERGENCIA (OVE)",IF(P241=CURSOS!$D$21,"INSTITUCIONES AMIGAS DE LA MUJER Y LA INFANCIA (IAMI)",IF(P241=CURSOS!$D$22,"CUIDADO DEL DONANTE DE ORGANOS",IF(P241=CURSOS!$D$23,"ATENCION A VICTIMAS POR VIOLENCIA DE GENERO",IF(P241=CURSOS!$D$24,"IGUALDAD DE GENERO EN LA SALUD",IF(P241=CURSOS!$D$25,"BRIGADA DE EMERGENCIA",IF(P241=CURSOS!$D$26,"MANEJO DEL DOLOR Y CUIDADOS PALIATIVOS",IF(P241=CURSOS!$D$27,"TOMA DE MUESTRAS Y LABORATORIO POCT",IF(P241=CURSOS!$D$28,"IMPLANTE SUBDERMICO DE DISPOSITIVO INTRAUTERINO",IF(P241=CURSOS!$D$29,"SALUD MENTAL",IF(P241=CURSOS!$D$30,"PRIMEROS AUXILIOS PSICOLOGICOS",IF(P241=CURSOS!$D$31,"ATENCION A VICTIMAS POR CONFLICTO ARMADO",IF(P241=CURSOS!$D$32,"MANIPULACION DE ALIMENTOS Y BPM",IF(P241=CURSOS!$D$33,"ATENCION A PERSONAS CON DISCAPACIDAD",IF(P241=CURSOS!$D$34,"CUIDADO INTEGRAL DEL PACIENTE ADULTO",IF(P241=CURSOS!$D$35,"MANEJO DEFENSIVO",IF(P241=CURSOS!$D$36,"SOPORTE CARDIOVASCULAR AVANZADO NEONATAL",IF(P241=CURSOS!$D$37,"SEGURIDAD DEL PACIENTE",IF(P241=CURSOS!$D$38,"MANEJO DE RESIDUOS HOSPITALARIOS",IF(P241=CURSOS!$D$39,"ATENCION DE PACIENTE POR CONSUMO SUSTANCIAS PSICOACTIVAS Y ADICCIONES")))))))))))))))))))))))))))))))))))))</f>
        <v>0</v>
      </c>
      <c r="W241" s="62" t="str">
        <f t="shared" si="12"/>
        <v xml:space="preserve">   </v>
      </c>
      <c r="X241" s="62" t="str">
        <f t="shared" si="13"/>
        <v xml:space="preserve">   </v>
      </c>
      <c r="Y241" s="62" t="str">
        <f t="shared" si="14"/>
        <v xml:space="preserve">   --</v>
      </c>
    </row>
    <row r="242" spans="1:25" x14ac:dyDescent="0.2">
      <c r="A242" s="50">
        <v>241</v>
      </c>
      <c r="V242" s="62" t="b">
        <f>IF(P242=CURSOS!$D$3,"DIPLOMADO EN ATENCION PRE-HOSPITALARIA",IF(P242=CURSOS!$D$4,"ACOMPAÑAMIENTO Y MANEJO DEL DUELO",IF(P242=CURSOS!$D$5,"ATENCION A VICTIMAS DE ATAQUE CON AGENTES QUIMICOS ",IF(P242=CURSOS!$D$6,"PRIMEROS AUXILIOS ",IF(P242=CURSOS!$D$7,"DIPLOMADO DE UNIDAD DE CUIDADOS INTENSIVOS (UCI)",IF(P242=CURSOS!$D$8,"MODELO DE ATENCION PARA EVENTOS EMERGENTES EN SALUD MENTAL (CODIGO VERDE)",IF(P242=CURSOS!$D$9,"HUMANIZACION EN EL SERVICIO DE LA SALUD Y BUENAS PRACTICAS EN PACIENTE ",IF(P242=CURSOS!$D$10,"CLINICA DE HERIDAS ",IF(P242=CURSOS!$D$11,"TOMA DE CITOLOGIA CERVICO VAGINAL ",IF(P242=CURSOS!$D$12,"SOPORTE CARDIOVASCULAR AVANZADO (ACLS) ",IF(P242=CURSOS!$D$13,"CAMILLERO ",IF(P242=CURSOS!$D$14,"TOMA DE MUESTRAS Y LABORATORIO ",IF(P242=CURSOS!$D$15,"SOPORTE VITAL BASICO (BLS)",IF(P242=CURSOS!$D$16,"ATENCION A VICTIMAS DE VIOLENCIA SEXUAL ",IF(P242=CURSOS!$D$17,"PROGRAMADO AMPLIADO DE INMUNIZACION (PAI - COVID 19)",IF(P242=CURSOS!$D$18,"ATENCION INTEGRAL EN ENFERMEDADES PREVALENTES EN PRIMERA INFANCIA (AIEPI)",IF(P242=CURSOS!$D$19,"ADMINISTRACION DE MEDICAMENTOS, INYECTOLOGIA  Y CANALIZACION ",IF(P242=CURSOS!$D$20,"OPERADOR DE VEHICULOS DE EMERGENCIA (OVE)",IF(P242=CURSOS!$D$21,"INSTITUCIONES AMIGAS DE LA MUJER Y LA INFANCIA (IAMI)",IF(P242=CURSOS!$D$22,"CUIDADO DEL DONANTE DE ORGANOS",IF(P242=CURSOS!$D$23,"ATENCION A VICTIMAS POR VIOLENCIA DE GENERO",IF(P242=CURSOS!$D$24,"IGUALDAD DE GENERO EN LA SALUD",IF(P242=CURSOS!$D$25,"BRIGADA DE EMERGENCIA",IF(P242=CURSOS!$D$26,"MANEJO DEL DOLOR Y CUIDADOS PALIATIVOS",IF(P242=CURSOS!$D$27,"TOMA DE MUESTRAS Y LABORATORIO POCT",IF(P242=CURSOS!$D$28,"IMPLANTE SUBDERMICO DE DISPOSITIVO INTRAUTERINO",IF(P242=CURSOS!$D$29,"SALUD MENTAL",IF(P242=CURSOS!$D$30,"PRIMEROS AUXILIOS PSICOLOGICOS",IF(P242=CURSOS!$D$31,"ATENCION A VICTIMAS POR CONFLICTO ARMADO",IF(P242=CURSOS!$D$32,"MANIPULACION DE ALIMENTOS Y BPM",IF(P242=CURSOS!$D$33,"ATENCION A PERSONAS CON DISCAPACIDAD",IF(P242=CURSOS!$D$34,"CUIDADO INTEGRAL DEL PACIENTE ADULTO",IF(P242=CURSOS!$D$35,"MANEJO DEFENSIVO",IF(P242=CURSOS!$D$36,"SOPORTE CARDIOVASCULAR AVANZADO NEONATAL",IF(P242=CURSOS!$D$37,"SEGURIDAD DEL PACIENTE",IF(P242=CURSOS!$D$38,"MANEJO DE RESIDUOS HOSPITALARIOS",IF(P242=CURSOS!$D$39,"ATENCION DE PACIENTE POR CONSUMO SUSTANCIAS PSICOACTIVAS Y ADICCIONES")))))))))))))))))))))))))))))))))))))</f>
        <v>0</v>
      </c>
      <c r="W242" s="62" t="str">
        <f t="shared" si="12"/>
        <v xml:space="preserve">   </v>
      </c>
      <c r="X242" s="62" t="str">
        <f t="shared" si="13"/>
        <v xml:space="preserve">   </v>
      </c>
      <c r="Y242" s="62" t="str">
        <f t="shared" si="14"/>
        <v xml:space="preserve">   --</v>
      </c>
    </row>
    <row r="243" spans="1:25" x14ac:dyDescent="0.2">
      <c r="A243" s="50">
        <v>242</v>
      </c>
      <c r="V243" s="62" t="b">
        <f>IF(P243=CURSOS!$D$3,"DIPLOMADO EN ATENCION PRE-HOSPITALARIA",IF(P243=CURSOS!$D$4,"ACOMPAÑAMIENTO Y MANEJO DEL DUELO",IF(P243=CURSOS!$D$5,"ATENCION A VICTIMAS DE ATAQUE CON AGENTES QUIMICOS ",IF(P243=CURSOS!$D$6,"PRIMEROS AUXILIOS ",IF(P243=CURSOS!$D$7,"DIPLOMADO DE UNIDAD DE CUIDADOS INTENSIVOS (UCI)",IF(P243=CURSOS!$D$8,"MODELO DE ATENCION PARA EVENTOS EMERGENTES EN SALUD MENTAL (CODIGO VERDE)",IF(P243=CURSOS!$D$9,"HUMANIZACION EN EL SERVICIO DE LA SALUD Y BUENAS PRACTICAS EN PACIENTE ",IF(P243=CURSOS!$D$10,"CLINICA DE HERIDAS ",IF(P243=CURSOS!$D$11,"TOMA DE CITOLOGIA CERVICO VAGINAL ",IF(P243=CURSOS!$D$12,"SOPORTE CARDIOVASCULAR AVANZADO (ACLS) ",IF(P243=CURSOS!$D$13,"CAMILLERO ",IF(P243=CURSOS!$D$14,"TOMA DE MUESTRAS Y LABORATORIO ",IF(P243=CURSOS!$D$15,"SOPORTE VITAL BASICO (BLS)",IF(P243=CURSOS!$D$16,"ATENCION A VICTIMAS DE VIOLENCIA SEXUAL ",IF(P243=CURSOS!$D$17,"PROGRAMADO AMPLIADO DE INMUNIZACION (PAI - COVID 19)",IF(P243=CURSOS!$D$18,"ATENCION INTEGRAL EN ENFERMEDADES PREVALENTES EN PRIMERA INFANCIA (AIEPI)",IF(P243=CURSOS!$D$19,"ADMINISTRACION DE MEDICAMENTOS, INYECTOLOGIA  Y CANALIZACION ",IF(P243=CURSOS!$D$20,"OPERADOR DE VEHICULOS DE EMERGENCIA (OVE)",IF(P243=CURSOS!$D$21,"INSTITUCIONES AMIGAS DE LA MUJER Y LA INFANCIA (IAMI)",IF(P243=CURSOS!$D$22,"CUIDADO DEL DONANTE DE ORGANOS",IF(P243=CURSOS!$D$23,"ATENCION A VICTIMAS POR VIOLENCIA DE GENERO",IF(P243=CURSOS!$D$24,"IGUALDAD DE GENERO EN LA SALUD",IF(P243=CURSOS!$D$25,"BRIGADA DE EMERGENCIA",IF(P243=CURSOS!$D$26,"MANEJO DEL DOLOR Y CUIDADOS PALIATIVOS",IF(P243=CURSOS!$D$27,"TOMA DE MUESTRAS Y LABORATORIO POCT",IF(P243=CURSOS!$D$28,"IMPLANTE SUBDERMICO DE DISPOSITIVO INTRAUTERINO",IF(P243=CURSOS!$D$29,"SALUD MENTAL",IF(P243=CURSOS!$D$30,"PRIMEROS AUXILIOS PSICOLOGICOS",IF(P243=CURSOS!$D$31,"ATENCION A VICTIMAS POR CONFLICTO ARMADO",IF(P243=CURSOS!$D$32,"MANIPULACION DE ALIMENTOS Y BPM",IF(P243=CURSOS!$D$33,"ATENCION A PERSONAS CON DISCAPACIDAD",IF(P243=CURSOS!$D$34,"CUIDADO INTEGRAL DEL PACIENTE ADULTO",IF(P243=CURSOS!$D$35,"MANEJO DEFENSIVO",IF(P243=CURSOS!$D$36,"SOPORTE CARDIOVASCULAR AVANZADO NEONATAL",IF(P243=CURSOS!$D$37,"SEGURIDAD DEL PACIENTE",IF(P243=CURSOS!$D$38,"MANEJO DE RESIDUOS HOSPITALARIOS",IF(P243=CURSOS!$D$39,"ATENCION DE PACIENTE POR CONSUMO SUSTANCIAS PSICOACTIVAS Y ADICCIONES")))))))))))))))))))))))))))))))))))))</f>
        <v>0</v>
      </c>
      <c r="W243" s="62" t="str">
        <f t="shared" si="12"/>
        <v xml:space="preserve">   </v>
      </c>
      <c r="X243" s="62" t="str">
        <f t="shared" si="13"/>
        <v xml:space="preserve">   </v>
      </c>
      <c r="Y243" s="62" t="str">
        <f t="shared" si="14"/>
        <v xml:space="preserve">   --</v>
      </c>
    </row>
    <row r="244" spans="1:25" x14ac:dyDescent="0.2">
      <c r="A244" s="50">
        <v>243</v>
      </c>
      <c r="V244" s="62" t="b">
        <f>IF(P244=CURSOS!$D$3,"DIPLOMADO EN ATENCION PRE-HOSPITALARIA",IF(P244=CURSOS!$D$4,"ACOMPAÑAMIENTO Y MANEJO DEL DUELO",IF(P244=CURSOS!$D$5,"ATENCION A VICTIMAS DE ATAQUE CON AGENTES QUIMICOS ",IF(P244=CURSOS!$D$6,"PRIMEROS AUXILIOS ",IF(P244=CURSOS!$D$7,"DIPLOMADO DE UNIDAD DE CUIDADOS INTENSIVOS (UCI)",IF(P244=CURSOS!$D$8,"MODELO DE ATENCION PARA EVENTOS EMERGENTES EN SALUD MENTAL (CODIGO VERDE)",IF(P244=CURSOS!$D$9,"HUMANIZACION EN EL SERVICIO DE LA SALUD Y BUENAS PRACTICAS EN PACIENTE ",IF(P244=CURSOS!$D$10,"CLINICA DE HERIDAS ",IF(P244=CURSOS!$D$11,"TOMA DE CITOLOGIA CERVICO VAGINAL ",IF(P244=CURSOS!$D$12,"SOPORTE CARDIOVASCULAR AVANZADO (ACLS) ",IF(P244=CURSOS!$D$13,"CAMILLERO ",IF(P244=CURSOS!$D$14,"TOMA DE MUESTRAS Y LABORATORIO ",IF(P244=CURSOS!$D$15,"SOPORTE VITAL BASICO (BLS)",IF(P244=CURSOS!$D$16,"ATENCION A VICTIMAS DE VIOLENCIA SEXUAL ",IF(P244=CURSOS!$D$17,"PROGRAMADO AMPLIADO DE INMUNIZACION (PAI - COVID 19)",IF(P244=CURSOS!$D$18,"ATENCION INTEGRAL EN ENFERMEDADES PREVALENTES EN PRIMERA INFANCIA (AIEPI)",IF(P244=CURSOS!$D$19,"ADMINISTRACION DE MEDICAMENTOS, INYECTOLOGIA  Y CANALIZACION ",IF(P244=CURSOS!$D$20,"OPERADOR DE VEHICULOS DE EMERGENCIA (OVE)",IF(P244=CURSOS!$D$21,"INSTITUCIONES AMIGAS DE LA MUJER Y LA INFANCIA (IAMI)",IF(P244=CURSOS!$D$22,"CUIDADO DEL DONANTE DE ORGANOS",IF(P244=CURSOS!$D$23,"ATENCION A VICTIMAS POR VIOLENCIA DE GENERO",IF(P244=CURSOS!$D$24,"IGUALDAD DE GENERO EN LA SALUD",IF(P244=CURSOS!$D$25,"BRIGADA DE EMERGENCIA",IF(P244=CURSOS!$D$26,"MANEJO DEL DOLOR Y CUIDADOS PALIATIVOS",IF(P244=CURSOS!$D$27,"TOMA DE MUESTRAS Y LABORATORIO POCT",IF(P244=CURSOS!$D$28,"IMPLANTE SUBDERMICO DE DISPOSITIVO INTRAUTERINO",IF(P244=CURSOS!$D$29,"SALUD MENTAL",IF(P244=CURSOS!$D$30,"PRIMEROS AUXILIOS PSICOLOGICOS",IF(P244=CURSOS!$D$31,"ATENCION A VICTIMAS POR CONFLICTO ARMADO",IF(P244=CURSOS!$D$32,"MANIPULACION DE ALIMENTOS Y BPM",IF(P244=CURSOS!$D$33,"ATENCION A PERSONAS CON DISCAPACIDAD",IF(P244=CURSOS!$D$34,"CUIDADO INTEGRAL DEL PACIENTE ADULTO",IF(P244=CURSOS!$D$35,"MANEJO DEFENSIVO",IF(P244=CURSOS!$D$36,"SOPORTE CARDIOVASCULAR AVANZADO NEONATAL",IF(P244=CURSOS!$D$37,"SEGURIDAD DEL PACIENTE",IF(P244=CURSOS!$D$38,"MANEJO DE RESIDUOS HOSPITALARIOS",IF(P244=CURSOS!$D$39,"ATENCION DE PACIENTE POR CONSUMO SUSTANCIAS PSICOACTIVAS Y ADICCIONES")))))))))))))))))))))))))))))))))))))</f>
        <v>0</v>
      </c>
      <c r="W244" s="62" t="str">
        <f t="shared" si="12"/>
        <v xml:space="preserve">   </v>
      </c>
      <c r="X244" s="62" t="str">
        <f t="shared" si="13"/>
        <v xml:space="preserve">   </v>
      </c>
      <c r="Y244" s="62" t="str">
        <f t="shared" si="14"/>
        <v xml:space="preserve">   --</v>
      </c>
    </row>
    <row r="245" spans="1:25" x14ac:dyDescent="0.2">
      <c r="A245" s="50">
        <v>244</v>
      </c>
    </row>
    <row r="246" spans="1:25" x14ac:dyDescent="0.2">
      <c r="A246" s="50">
        <v>245</v>
      </c>
    </row>
    <row r="247" spans="1:25" x14ac:dyDescent="0.2">
      <c r="A247" s="50">
        <v>246</v>
      </c>
    </row>
    <row r="248" spans="1:25" x14ac:dyDescent="0.2">
      <c r="A248" s="50">
        <v>247</v>
      </c>
    </row>
    <row r="1048532" spans="2:7" x14ac:dyDescent="0.2">
      <c r="B1048532" s="54"/>
      <c r="C1048532" s="54"/>
      <c r="D1048532" s="54"/>
      <c r="E1048532" s="54"/>
      <c r="F1048532" s="54"/>
      <c r="G1048532" s="54"/>
    </row>
  </sheetData>
  <autoFilter ref="A1:Y248" xr:uid="{00000000-0001-0000-0000-000000000000}"/>
  <phoneticPr fontId="7" type="noConversion"/>
  <hyperlinks>
    <hyperlink ref="S9" r:id="rId1" xr:uid="{00000000-0004-0000-0000-000000000000}"/>
    <hyperlink ref="S78" r:id="rId2" xr:uid="{00000000-0004-0000-0000-000001000000}"/>
    <hyperlink ref="S79" r:id="rId3" xr:uid="{00000000-0004-0000-0000-000002000000}"/>
    <hyperlink ref="S81" r:id="rId4" xr:uid="{00000000-0004-0000-0000-000003000000}"/>
    <hyperlink ref="S87" r:id="rId5" xr:uid="{00000000-0004-0000-0000-000004000000}"/>
    <hyperlink ref="S88" r:id="rId6" xr:uid="{00000000-0004-0000-0000-000005000000}"/>
    <hyperlink ref="S89" r:id="rId7" xr:uid="{00000000-0004-0000-0000-000006000000}"/>
    <hyperlink ref="S90" r:id="rId8" xr:uid="{00000000-0004-0000-0000-000007000000}"/>
    <hyperlink ref="S91" r:id="rId9" xr:uid="{00000000-0004-0000-0000-000008000000}"/>
    <hyperlink ref="S94" r:id="rId10" xr:uid="{00000000-0004-0000-0000-000009000000}"/>
    <hyperlink ref="U100" r:id="rId11" xr:uid="{00000000-0004-0000-0000-00000A000000}"/>
    <hyperlink ref="S101" r:id="rId12" display="MEDIC@" xr:uid="{51789C26-7AEC-43DC-B5EE-0A7C6F2BC660}"/>
    <hyperlink ref="S102" r:id="rId13" display="MEDIC@" xr:uid="{FA2FD133-5634-487A-B28D-5E06EE6EF697}"/>
    <hyperlink ref="S137" r:id="rId14" xr:uid="{C9104A58-3C4E-4EFC-AFD4-64E593360562}"/>
    <hyperlink ref="S138" r:id="rId15" xr:uid="{301678D4-3DA7-46AC-9470-DDCD7F2A89E0}"/>
    <hyperlink ref="S139" r:id="rId16" xr:uid="{4016D811-9D77-47E7-8EB3-EAE5CB2C5CC4}"/>
    <hyperlink ref="S140" r:id="rId17" xr:uid="{C1C0AA01-C39E-4755-B6E2-43459AE521A0}"/>
    <hyperlink ref="S143" r:id="rId18" xr:uid="{A36DE12F-4615-441D-9ADE-62F578D2C870}"/>
    <hyperlink ref="S146" r:id="rId19" xr:uid="{03154CB7-5150-45A4-A084-673621CCCC01}"/>
    <hyperlink ref="S147" r:id="rId20" xr:uid="{FA8AAF42-3402-4106-8438-25F66226E503}"/>
    <hyperlink ref="S149" r:id="rId21" xr:uid="{6F510F01-5B01-4B4D-B281-57995FDE2DC2}"/>
    <hyperlink ref="S150" r:id="rId22" xr:uid="{AFF52C79-031D-4884-AE89-CB0CBA254E14}"/>
    <hyperlink ref="S151" r:id="rId23" xr:uid="{ECD4C6E2-7136-49D2-A5AB-5D2FDB368981}"/>
    <hyperlink ref="S159" r:id="rId24" xr:uid="{9360E952-6ED5-43AE-A0CD-AE8891E4C79F}"/>
  </hyperlinks>
  <pageMargins left="0.7" right="0.7" top="0.75" bottom="0.75" header="0.3" footer="0.3"/>
  <pageSetup paperSize="9" scale="12" orientation="portrait" r:id="rId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4"/>
  <sheetViews>
    <sheetView zoomScale="55" zoomScaleNormal="55" workbookViewId="0">
      <selection activeCell="A52" sqref="A52"/>
    </sheetView>
  </sheetViews>
  <sheetFormatPr baseColWidth="10" defaultRowHeight="15" x14ac:dyDescent="0.2"/>
  <cols>
    <col min="1" max="1" width="3.109375" customWidth="1"/>
    <col min="2" max="2" width="35.109375" bestFit="1" customWidth="1"/>
    <col min="3" max="3" width="22.5546875" bestFit="1" customWidth="1"/>
    <col min="4" max="4" width="24.33203125" bestFit="1" customWidth="1"/>
    <col min="5" max="5" width="21.33203125" bestFit="1" customWidth="1"/>
    <col min="6" max="6" width="23.33203125" bestFit="1" customWidth="1"/>
    <col min="7" max="7" width="5.5546875" bestFit="1" customWidth="1"/>
    <col min="8" max="8" width="6.5546875" bestFit="1" customWidth="1"/>
    <col min="9" max="9" width="16.109375" bestFit="1" customWidth="1"/>
    <col min="10" max="10" width="11.77734375" bestFit="1" customWidth="1"/>
    <col min="11" max="11" width="28.44140625" bestFit="1" customWidth="1"/>
    <col min="12" max="12" width="11" bestFit="1" customWidth="1"/>
    <col min="13" max="13" width="31.44140625" bestFit="1" customWidth="1"/>
    <col min="14" max="14" width="11.77734375" bestFit="1" customWidth="1"/>
    <col min="15" max="15" width="32.44140625" bestFit="1" customWidth="1"/>
    <col min="16" max="16" width="20.109375" bestFit="1" customWidth="1"/>
    <col min="17" max="17" width="25.109375" bestFit="1" customWidth="1"/>
    <col min="18" max="18" width="28" bestFit="1" customWidth="1"/>
    <col min="19" max="19" width="17.109375" bestFit="1" customWidth="1"/>
  </cols>
  <sheetData>
    <row r="1" spans="1:15" s="57" customFormat="1" ht="15.75" x14ac:dyDescent="0.2">
      <c r="A1" s="39" t="s">
        <v>67</v>
      </c>
      <c r="B1" s="40" t="s">
        <v>0</v>
      </c>
      <c r="C1" s="41" t="s">
        <v>1</v>
      </c>
      <c r="D1" s="41" t="s">
        <v>2</v>
      </c>
      <c r="E1" s="41" t="s">
        <v>3</v>
      </c>
      <c r="F1" s="41" t="s">
        <v>4</v>
      </c>
      <c r="G1" s="42" t="s">
        <v>5</v>
      </c>
      <c r="H1" s="42" t="s">
        <v>6</v>
      </c>
      <c r="I1" s="43" t="s">
        <v>88</v>
      </c>
      <c r="J1" s="43" t="s">
        <v>110</v>
      </c>
      <c r="K1" s="46" t="s">
        <v>66</v>
      </c>
      <c r="L1" s="41" t="s">
        <v>12</v>
      </c>
      <c r="M1" s="41" t="s">
        <v>13</v>
      </c>
      <c r="N1" s="41" t="s">
        <v>14</v>
      </c>
      <c r="O1" s="41" t="s">
        <v>69</v>
      </c>
    </row>
    <row r="2" spans="1:15" s="87" customFormat="1" x14ac:dyDescent="0.2">
      <c r="A2" s="58">
        <v>4</v>
      </c>
      <c r="B2" s="59">
        <v>1004192002</v>
      </c>
      <c r="C2" s="59" t="s">
        <v>134</v>
      </c>
      <c r="D2" s="59" t="s">
        <v>135</v>
      </c>
      <c r="E2" s="59" t="s">
        <v>136</v>
      </c>
      <c r="F2" s="59" t="s">
        <v>137</v>
      </c>
      <c r="G2" s="59">
        <v>3</v>
      </c>
      <c r="H2" s="59" t="s">
        <v>200</v>
      </c>
      <c r="I2" s="60" t="s">
        <v>122</v>
      </c>
      <c r="J2" s="60" t="s">
        <v>139</v>
      </c>
      <c r="K2" s="60">
        <v>37585</v>
      </c>
      <c r="L2" s="59" t="s">
        <v>102</v>
      </c>
      <c r="M2" s="59" t="s">
        <v>140</v>
      </c>
      <c r="N2" s="59">
        <v>3185645768</v>
      </c>
      <c r="O2" s="59" t="s">
        <v>141</v>
      </c>
    </row>
    <row r="3" spans="1:15" s="87" customFormat="1" x14ac:dyDescent="0.2">
      <c r="A3" s="58">
        <v>5</v>
      </c>
      <c r="B3" s="59">
        <v>1088971239</v>
      </c>
      <c r="C3" s="59" t="s">
        <v>142</v>
      </c>
      <c r="D3" s="59" t="s">
        <v>143</v>
      </c>
      <c r="E3" s="59" t="s">
        <v>144</v>
      </c>
      <c r="F3" s="59" t="s">
        <v>145</v>
      </c>
      <c r="G3" s="59">
        <v>3</v>
      </c>
      <c r="H3" s="59" t="s">
        <v>200</v>
      </c>
      <c r="I3" s="60" t="s">
        <v>122</v>
      </c>
      <c r="J3" s="60" t="s">
        <v>139</v>
      </c>
      <c r="K3" s="60">
        <v>38581</v>
      </c>
      <c r="L3" s="59" t="s">
        <v>102</v>
      </c>
      <c r="M3" s="59" t="s">
        <v>140</v>
      </c>
      <c r="N3" s="59">
        <v>3187200459</v>
      </c>
      <c r="O3" s="59" t="s">
        <v>146</v>
      </c>
    </row>
    <row r="4" spans="1:15" s="87" customFormat="1" x14ac:dyDescent="0.2">
      <c r="A4" s="58">
        <v>6</v>
      </c>
      <c r="B4" s="59">
        <v>1085345773</v>
      </c>
      <c r="C4" s="59" t="s">
        <v>147</v>
      </c>
      <c r="D4" s="59" t="s">
        <v>148</v>
      </c>
      <c r="E4" s="59" t="s">
        <v>149</v>
      </c>
      <c r="F4" s="59" t="s">
        <v>150</v>
      </c>
      <c r="G4" s="59">
        <v>3</v>
      </c>
      <c r="H4" s="59" t="s">
        <v>200</v>
      </c>
      <c r="I4" s="60" t="s">
        <v>122</v>
      </c>
      <c r="J4" s="60" t="s">
        <v>139</v>
      </c>
      <c r="K4" s="60">
        <v>36333</v>
      </c>
      <c r="L4" s="59" t="s">
        <v>124</v>
      </c>
      <c r="M4" s="59" t="s">
        <v>140</v>
      </c>
      <c r="N4" s="59">
        <v>3188951319</v>
      </c>
      <c r="O4" s="59" t="s">
        <v>151</v>
      </c>
    </row>
    <row r="5" spans="1:15" s="87" customFormat="1" x14ac:dyDescent="0.2">
      <c r="A5" s="58">
        <v>7</v>
      </c>
      <c r="B5" s="59">
        <v>1086019806</v>
      </c>
      <c r="C5" s="63" t="s">
        <v>152</v>
      </c>
      <c r="D5" s="63" t="s">
        <v>153</v>
      </c>
      <c r="E5" s="63" t="s">
        <v>154</v>
      </c>
      <c r="F5" s="63" t="s">
        <v>155</v>
      </c>
      <c r="G5" s="59">
        <v>3</v>
      </c>
      <c r="H5" s="59" t="s">
        <v>200</v>
      </c>
      <c r="I5" s="60" t="s">
        <v>122</v>
      </c>
      <c r="J5" s="60" t="s">
        <v>139</v>
      </c>
      <c r="K5" s="60">
        <v>36219</v>
      </c>
      <c r="L5" s="60" t="s">
        <v>124</v>
      </c>
      <c r="M5" s="59" t="s">
        <v>140</v>
      </c>
      <c r="N5" s="64">
        <v>3106376776</v>
      </c>
      <c r="O5" s="85" t="s">
        <v>156</v>
      </c>
    </row>
    <row r="6" spans="1:15" s="87" customFormat="1" x14ac:dyDescent="0.2">
      <c r="A6" s="58">
        <v>8</v>
      </c>
      <c r="B6" s="59">
        <v>1004234092</v>
      </c>
      <c r="C6" s="63" t="s">
        <v>157</v>
      </c>
      <c r="D6" s="63" t="s">
        <v>158</v>
      </c>
      <c r="E6" s="63" t="s">
        <v>159</v>
      </c>
      <c r="F6" s="63" t="s">
        <v>160</v>
      </c>
      <c r="G6" s="63">
        <v>3</v>
      </c>
      <c r="H6" s="59" t="s">
        <v>200</v>
      </c>
      <c r="I6" s="60" t="s">
        <v>122</v>
      </c>
      <c r="J6" s="60" t="s">
        <v>139</v>
      </c>
      <c r="K6" s="60">
        <v>37916</v>
      </c>
      <c r="L6" s="59" t="s">
        <v>124</v>
      </c>
      <c r="M6" s="64" t="s">
        <v>140</v>
      </c>
      <c r="N6" s="64">
        <v>3152368358</v>
      </c>
      <c r="O6" s="59" t="s">
        <v>161</v>
      </c>
    </row>
    <row r="7" spans="1:15" s="87" customFormat="1" x14ac:dyDescent="0.2">
      <c r="A7" s="58">
        <v>9</v>
      </c>
      <c r="B7" s="59">
        <v>1143993711</v>
      </c>
      <c r="C7" s="63" t="s">
        <v>162</v>
      </c>
      <c r="D7" s="63" t="s">
        <v>163</v>
      </c>
      <c r="E7" s="63" t="s">
        <v>164</v>
      </c>
      <c r="F7" s="63" t="s">
        <v>165</v>
      </c>
      <c r="G7" s="63">
        <v>3</v>
      </c>
      <c r="H7" s="59" t="s">
        <v>200</v>
      </c>
      <c r="I7" s="60" t="s">
        <v>122</v>
      </c>
      <c r="J7" s="60" t="s">
        <v>139</v>
      </c>
      <c r="K7" s="60">
        <v>36074</v>
      </c>
      <c r="L7" s="59" t="s">
        <v>124</v>
      </c>
      <c r="M7" s="64" t="s">
        <v>140</v>
      </c>
      <c r="N7" s="64">
        <v>3142440900</v>
      </c>
      <c r="O7" s="59" t="s">
        <v>166</v>
      </c>
    </row>
    <row r="8" spans="1:15" s="87" customFormat="1" x14ac:dyDescent="0.2">
      <c r="A8" s="58">
        <v>10</v>
      </c>
      <c r="B8" s="59">
        <v>1087426610</v>
      </c>
      <c r="C8" s="59" t="s">
        <v>162</v>
      </c>
      <c r="D8" s="59" t="s">
        <v>167</v>
      </c>
      <c r="E8" s="63" t="s">
        <v>149</v>
      </c>
      <c r="F8" s="59" t="s">
        <v>168</v>
      </c>
      <c r="G8" s="63">
        <v>3</v>
      </c>
      <c r="H8" s="59" t="s">
        <v>200</v>
      </c>
      <c r="I8" s="60" t="s">
        <v>122</v>
      </c>
      <c r="J8" s="60" t="s">
        <v>139</v>
      </c>
      <c r="K8" s="68">
        <v>36354</v>
      </c>
      <c r="L8" s="63" t="s">
        <v>124</v>
      </c>
      <c r="M8" s="63" t="s">
        <v>140</v>
      </c>
      <c r="N8" s="69">
        <v>3154573728</v>
      </c>
      <c r="O8" s="59" t="s">
        <v>169</v>
      </c>
    </row>
    <row r="9" spans="1:15" s="87" customFormat="1" x14ac:dyDescent="0.2">
      <c r="A9" s="58">
        <v>11</v>
      </c>
      <c r="B9" s="59">
        <v>1085312331</v>
      </c>
      <c r="C9" s="59" t="s">
        <v>170</v>
      </c>
      <c r="D9" s="59" t="s">
        <v>171</v>
      </c>
      <c r="E9" s="59" t="s">
        <v>172</v>
      </c>
      <c r="F9" s="59" t="s">
        <v>160</v>
      </c>
      <c r="G9" s="59">
        <v>3</v>
      </c>
      <c r="H9" s="59" t="s">
        <v>200</v>
      </c>
      <c r="I9" s="60" t="s">
        <v>122</v>
      </c>
      <c r="J9" s="60" t="s">
        <v>139</v>
      </c>
      <c r="K9" s="60">
        <v>34467</v>
      </c>
      <c r="L9" s="59" t="s">
        <v>124</v>
      </c>
      <c r="M9" s="64" t="s">
        <v>140</v>
      </c>
      <c r="N9" s="59">
        <v>3234369151</v>
      </c>
      <c r="O9" s="59" t="s">
        <v>173</v>
      </c>
    </row>
    <row r="10" spans="1:15" s="87" customFormat="1" x14ac:dyDescent="0.2">
      <c r="A10" s="58">
        <v>12</v>
      </c>
      <c r="B10" s="59">
        <v>1080042489</v>
      </c>
      <c r="C10" s="59" t="s">
        <v>174</v>
      </c>
      <c r="D10" s="59" t="s">
        <v>175</v>
      </c>
      <c r="E10" s="63" t="s">
        <v>176</v>
      </c>
      <c r="F10" s="59" t="s">
        <v>177</v>
      </c>
      <c r="G10" s="59">
        <v>3</v>
      </c>
      <c r="H10" s="59" t="s">
        <v>200</v>
      </c>
      <c r="I10" s="60" t="s">
        <v>122</v>
      </c>
      <c r="J10" s="60" t="s">
        <v>139</v>
      </c>
      <c r="K10" s="68">
        <v>38295</v>
      </c>
      <c r="L10" s="63" t="s">
        <v>102</v>
      </c>
      <c r="M10" s="63" t="s">
        <v>140</v>
      </c>
      <c r="N10" s="69">
        <v>3023726100</v>
      </c>
      <c r="O10" s="59" t="s">
        <v>178</v>
      </c>
    </row>
    <row r="11" spans="1:15" s="87" customFormat="1" x14ac:dyDescent="0.2">
      <c r="A11" s="58">
        <v>13</v>
      </c>
      <c r="B11" s="59">
        <v>1004133604</v>
      </c>
      <c r="C11" s="59" t="s">
        <v>179</v>
      </c>
      <c r="D11" s="59" t="s">
        <v>180</v>
      </c>
      <c r="E11" s="63" t="s">
        <v>181</v>
      </c>
      <c r="F11" s="59" t="s">
        <v>177</v>
      </c>
      <c r="G11" s="59">
        <v>3</v>
      </c>
      <c r="H11" s="59" t="s">
        <v>200</v>
      </c>
      <c r="I11" s="60" t="s">
        <v>122</v>
      </c>
      <c r="J11" s="60" t="s">
        <v>139</v>
      </c>
      <c r="K11" s="60">
        <v>36572</v>
      </c>
      <c r="L11" s="63" t="s">
        <v>102</v>
      </c>
      <c r="M11" s="63" t="s">
        <v>140</v>
      </c>
      <c r="N11" s="69">
        <v>3137947754</v>
      </c>
      <c r="O11" s="59" t="s">
        <v>182</v>
      </c>
    </row>
    <row r="12" spans="1:15" s="87" customFormat="1" x14ac:dyDescent="0.2">
      <c r="A12" s="58">
        <v>14</v>
      </c>
      <c r="B12" s="59">
        <v>1004726686</v>
      </c>
      <c r="C12" s="59" t="s">
        <v>183</v>
      </c>
      <c r="D12" s="59" t="s">
        <v>184</v>
      </c>
      <c r="E12" s="59" t="s">
        <v>185</v>
      </c>
      <c r="F12" s="59" t="s">
        <v>165</v>
      </c>
      <c r="G12" s="59">
        <v>3</v>
      </c>
      <c r="H12" s="59" t="s">
        <v>200</v>
      </c>
      <c r="I12" s="60" t="s">
        <v>122</v>
      </c>
      <c r="J12" s="60" t="s">
        <v>139</v>
      </c>
      <c r="K12" s="60">
        <v>37206</v>
      </c>
      <c r="L12" s="63" t="s">
        <v>124</v>
      </c>
      <c r="M12" s="59" t="s">
        <v>140</v>
      </c>
      <c r="N12" s="59">
        <v>3207924834</v>
      </c>
      <c r="O12" s="59" t="s">
        <v>186</v>
      </c>
    </row>
    <row r="13" spans="1:15" s="87" customFormat="1" x14ac:dyDescent="0.2">
      <c r="A13" s="58">
        <v>15</v>
      </c>
      <c r="B13" s="59">
        <v>1138524142</v>
      </c>
      <c r="C13" s="59" t="s">
        <v>187</v>
      </c>
      <c r="D13" s="59" t="s">
        <v>188</v>
      </c>
      <c r="E13" s="59" t="s">
        <v>189</v>
      </c>
      <c r="F13" s="59" t="s">
        <v>190</v>
      </c>
      <c r="G13" s="59">
        <v>3</v>
      </c>
      <c r="H13" s="59" t="s">
        <v>200</v>
      </c>
      <c r="I13" s="60" t="s">
        <v>122</v>
      </c>
      <c r="J13" s="60" t="s">
        <v>139</v>
      </c>
      <c r="K13" s="60">
        <v>38402</v>
      </c>
      <c r="L13" s="59" t="s">
        <v>102</v>
      </c>
      <c r="M13" s="59" t="s">
        <v>140</v>
      </c>
      <c r="N13" s="59">
        <v>3188317591</v>
      </c>
      <c r="O13" s="59" t="s">
        <v>191</v>
      </c>
    </row>
    <row r="14" spans="1:15" s="87" customFormat="1" x14ac:dyDescent="0.2">
      <c r="A14" s="58">
        <v>16</v>
      </c>
      <c r="B14" s="59">
        <v>1091354789</v>
      </c>
      <c r="C14" s="59" t="s">
        <v>192</v>
      </c>
      <c r="D14" s="59" t="s">
        <v>147</v>
      </c>
      <c r="E14" s="59" t="s">
        <v>193</v>
      </c>
      <c r="F14" s="59" t="s">
        <v>194</v>
      </c>
      <c r="G14" s="59">
        <v>3</v>
      </c>
      <c r="H14" s="59" t="s">
        <v>200</v>
      </c>
      <c r="I14" s="60" t="s">
        <v>122</v>
      </c>
      <c r="J14" s="60" t="s">
        <v>139</v>
      </c>
      <c r="K14" s="60">
        <v>38433</v>
      </c>
      <c r="L14" s="63" t="s">
        <v>124</v>
      </c>
      <c r="M14" s="63" t="s">
        <v>140</v>
      </c>
      <c r="N14" s="63">
        <v>3137702743</v>
      </c>
      <c r="O14" s="59" t="s">
        <v>195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2"/>
  <sheetViews>
    <sheetView zoomScale="85" zoomScaleNormal="85" workbookViewId="0">
      <selection activeCell="B3" sqref="B3"/>
    </sheetView>
  </sheetViews>
  <sheetFormatPr baseColWidth="10" defaultRowHeight="15" x14ac:dyDescent="0.2"/>
  <cols>
    <col min="1" max="1" width="5.88671875" bestFit="1" customWidth="1"/>
    <col min="2" max="2" width="27.77734375" bestFit="1" customWidth="1"/>
    <col min="3" max="3" width="17.5546875" bestFit="1" customWidth="1"/>
    <col min="4" max="4" width="19.6640625" bestFit="1" customWidth="1"/>
    <col min="5" max="5" width="16.5546875" bestFit="1" customWidth="1"/>
    <col min="6" max="6" width="18.6640625" bestFit="1" customWidth="1"/>
    <col min="7" max="7" width="4" bestFit="1" customWidth="1"/>
    <col min="8" max="8" width="4.88671875" bestFit="1" customWidth="1"/>
    <col min="9" max="9" width="10.44140625" bestFit="1" customWidth="1"/>
    <col min="10" max="10" width="15.88671875" bestFit="1" customWidth="1"/>
    <col min="11" max="11" width="17.5546875" bestFit="1" customWidth="1"/>
    <col min="12" max="12" width="15.33203125" bestFit="1" customWidth="1"/>
    <col min="13" max="13" width="9.88671875" bestFit="1" customWidth="1"/>
    <col min="14" max="14" width="14.77734375" bestFit="1" customWidth="1"/>
    <col min="15" max="15" width="7.5546875" bestFit="1" customWidth="1"/>
    <col min="16" max="16" width="22.109375" bestFit="1" customWidth="1"/>
    <col min="17" max="17" width="8.77734375" bestFit="1" customWidth="1"/>
    <col min="18" max="18" width="25.109375" bestFit="1" customWidth="1"/>
    <col min="19" max="19" width="17" bestFit="1" customWidth="1"/>
    <col min="20" max="20" width="20.109375" bestFit="1" customWidth="1"/>
    <col min="21" max="22" width="14.77734375" bestFit="1" customWidth="1"/>
    <col min="23" max="23" width="19.5546875" bestFit="1" customWidth="1"/>
    <col min="24" max="24" width="4.6640625" bestFit="1" customWidth="1"/>
    <col min="25" max="25" width="9.88671875" bestFit="1" customWidth="1"/>
    <col min="26" max="26" width="18.5546875" bestFit="1" customWidth="1"/>
  </cols>
  <sheetData>
    <row r="1" spans="1:26" ht="31.5" x14ac:dyDescent="0.2">
      <c r="A1" s="39" t="s">
        <v>67</v>
      </c>
      <c r="B1" s="40" t="s">
        <v>0</v>
      </c>
      <c r="C1" s="41" t="s">
        <v>1</v>
      </c>
      <c r="D1" s="41" t="s">
        <v>2</v>
      </c>
      <c r="E1" s="41" t="s">
        <v>3</v>
      </c>
      <c r="F1" s="41" t="s">
        <v>4</v>
      </c>
      <c r="G1" s="42" t="s">
        <v>5</v>
      </c>
      <c r="H1" s="42" t="s">
        <v>6</v>
      </c>
      <c r="I1" s="43" t="s">
        <v>88</v>
      </c>
      <c r="J1" s="44" t="s">
        <v>7</v>
      </c>
      <c r="K1" s="45" t="s">
        <v>8</v>
      </c>
      <c r="L1" s="41" t="s">
        <v>9</v>
      </c>
      <c r="M1" s="41" t="s">
        <v>68</v>
      </c>
      <c r="N1" s="41" t="s">
        <v>10</v>
      </c>
      <c r="O1" s="41" t="s">
        <v>11</v>
      </c>
      <c r="P1" s="46" t="s">
        <v>66</v>
      </c>
      <c r="Q1" s="41" t="s">
        <v>12</v>
      </c>
      <c r="R1" s="41" t="s">
        <v>13</v>
      </c>
      <c r="S1" s="41" t="s">
        <v>14</v>
      </c>
      <c r="T1" s="41" t="s">
        <v>69</v>
      </c>
      <c r="U1" s="48" t="s">
        <v>32</v>
      </c>
      <c r="V1" s="47" t="s">
        <v>109</v>
      </c>
      <c r="W1" s="47" t="s">
        <v>108</v>
      </c>
      <c r="X1" s="47" t="s">
        <v>19</v>
      </c>
      <c r="Y1" s="47" t="s">
        <v>25</v>
      </c>
      <c r="Z1" s="47" t="s">
        <v>42</v>
      </c>
    </row>
    <row r="2" spans="1:26" s="88" customFormat="1" x14ac:dyDescent="0.2">
      <c r="A2" s="88">
        <v>1</v>
      </c>
      <c r="B2" s="88">
        <v>1103069151</v>
      </c>
      <c r="C2" s="88" t="s">
        <v>107</v>
      </c>
      <c r="D2" s="88" t="s">
        <v>106</v>
      </c>
      <c r="E2" s="88" t="s">
        <v>105</v>
      </c>
      <c r="F2" s="88" t="s">
        <v>104</v>
      </c>
      <c r="J2" s="88">
        <v>45770</v>
      </c>
      <c r="K2" s="88">
        <v>180000</v>
      </c>
      <c r="L2" s="88" t="s">
        <v>103</v>
      </c>
      <c r="Q2" s="88" t="s">
        <v>102</v>
      </c>
      <c r="R2" s="88" t="s">
        <v>101</v>
      </c>
      <c r="S2" s="88">
        <v>3219840266</v>
      </c>
      <c r="T2" s="89" t="s">
        <v>100</v>
      </c>
      <c r="U2" s="90" t="s">
        <v>67</v>
      </c>
      <c r="V2" s="90" t="s">
        <v>67</v>
      </c>
      <c r="W2" s="91" t="s">
        <v>67</v>
      </c>
      <c r="X2" s="91" t="s">
        <v>67</v>
      </c>
      <c r="Y2" s="91" t="s">
        <v>67</v>
      </c>
      <c r="Z2" s="91" t="s"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C1:G39"/>
  <sheetViews>
    <sheetView topLeftCell="B1" zoomScale="85" zoomScaleNormal="85" workbookViewId="0">
      <selection activeCell="E18" sqref="E18"/>
    </sheetView>
  </sheetViews>
  <sheetFormatPr baseColWidth="10" defaultRowHeight="15" x14ac:dyDescent="0.2"/>
  <cols>
    <col min="3" max="3" width="10.77734375" style="1" customWidth="1"/>
    <col min="4" max="4" width="36.33203125" customWidth="1"/>
    <col min="5" max="5" width="107.77734375" customWidth="1"/>
  </cols>
  <sheetData>
    <row r="1" spans="3:5" ht="15.75" thickBot="1" x14ac:dyDescent="0.25"/>
    <row r="2" spans="3:5" ht="16.5" thickBot="1" x14ac:dyDescent="0.3">
      <c r="C2" s="32" t="s">
        <v>20</v>
      </c>
      <c r="D2" s="32" t="s">
        <v>11</v>
      </c>
      <c r="E2" s="33" t="s">
        <v>15</v>
      </c>
    </row>
    <row r="3" spans="3:5" x14ac:dyDescent="0.2">
      <c r="C3" s="20">
        <v>1</v>
      </c>
      <c r="D3" s="21" t="s">
        <v>21</v>
      </c>
      <c r="E3" s="22" t="s">
        <v>22</v>
      </c>
    </row>
    <row r="4" spans="3:5" x14ac:dyDescent="0.2">
      <c r="C4" s="23">
        <v>2</v>
      </c>
      <c r="D4" s="24" t="s">
        <v>23</v>
      </c>
      <c r="E4" s="25" t="s">
        <v>24</v>
      </c>
    </row>
    <row r="5" spans="3:5" x14ac:dyDescent="0.2">
      <c r="C5" s="26">
        <v>3</v>
      </c>
      <c r="D5" s="24" t="s">
        <v>25</v>
      </c>
      <c r="E5" s="25" t="s">
        <v>93</v>
      </c>
    </row>
    <row r="6" spans="3:5" x14ac:dyDescent="0.2">
      <c r="C6" s="23">
        <v>4</v>
      </c>
      <c r="D6" s="24" t="s">
        <v>26</v>
      </c>
      <c r="E6" s="25" t="s">
        <v>27</v>
      </c>
    </row>
    <row r="7" spans="3:5" x14ac:dyDescent="0.2">
      <c r="C7" s="26">
        <v>5</v>
      </c>
      <c r="D7" s="24" t="s">
        <v>28</v>
      </c>
      <c r="E7" s="25" t="s">
        <v>29</v>
      </c>
    </row>
    <row r="8" spans="3:5" x14ac:dyDescent="0.2">
      <c r="C8" s="23">
        <v>6</v>
      </c>
      <c r="D8" s="24" t="s">
        <v>30</v>
      </c>
      <c r="E8" s="25" t="s">
        <v>31</v>
      </c>
    </row>
    <row r="9" spans="3:5" x14ac:dyDescent="0.2">
      <c r="C9" s="26">
        <v>7</v>
      </c>
      <c r="D9" s="24" t="s">
        <v>32</v>
      </c>
      <c r="E9" s="25" t="s">
        <v>94</v>
      </c>
    </row>
    <row r="10" spans="3:5" x14ac:dyDescent="0.2">
      <c r="C10" s="23">
        <v>8</v>
      </c>
      <c r="D10" s="24" t="s">
        <v>33</v>
      </c>
      <c r="E10" s="25" t="s">
        <v>34</v>
      </c>
    </row>
    <row r="11" spans="3:5" x14ac:dyDescent="0.2">
      <c r="C11" s="26">
        <v>9</v>
      </c>
      <c r="D11" s="27" t="s">
        <v>35</v>
      </c>
      <c r="E11" s="25" t="s">
        <v>36</v>
      </c>
    </row>
    <row r="12" spans="3:5" x14ac:dyDescent="0.2">
      <c r="C12" s="23">
        <v>10</v>
      </c>
      <c r="D12" s="28" t="s">
        <v>37</v>
      </c>
      <c r="E12" s="25" t="s">
        <v>83</v>
      </c>
    </row>
    <row r="13" spans="3:5" x14ac:dyDescent="0.2">
      <c r="C13" s="26">
        <v>11</v>
      </c>
      <c r="D13" s="28" t="s">
        <v>38</v>
      </c>
      <c r="E13" s="25" t="s">
        <v>39</v>
      </c>
    </row>
    <row r="14" spans="3:5" x14ac:dyDescent="0.2">
      <c r="C14" s="23">
        <v>12</v>
      </c>
      <c r="D14" s="28" t="s">
        <v>40</v>
      </c>
      <c r="E14" s="25" t="s">
        <v>89</v>
      </c>
    </row>
    <row r="15" spans="3:5" x14ac:dyDescent="0.2">
      <c r="C15" s="26">
        <v>13</v>
      </c>
      <c r="D15" s="28" t="s">
        <v>19</v>
      </c>
      <c r="E15" s="25" t="s">
        <v>41</v>
      </c>
    </row>
    <row r="16" spans="3:5" x14ac:dyDescent="0.2">
      <c r="C16" s="23">
        <v>14</v>
      </c>
      <c r="D16" s="28" t="s">
        <v>42</v>
      </c>
      <c r="E16" s="25" t="s">
        <v>95</v>
      </c>
    </row>
    <row r="17" spans="3:5" x14ac:dyDescent="0.2">
      <c r="C17" s="26">
        <v>15</v>
      </c>
      <c r="D17" s="28" t="s">
        <v>73</v>
      </c>
      <c r="E17" s="25" t="s">
        <v>43</v>
      </c>
    </row>
    <row r="18" spans="3:5" x14ac:dyDescent="0.2">
      <c r="C18" s="23">
        <v>16</v>
      </c>
      <c r="D18" s="28" t="s">
        <v>44</v>
      </c>
      <c r="E18" s="25" t="s">
        <v>96</v>
      </c>
    </row>
    <row r="19" spans="3:5" x14ac:dyDescent="0.2">
      <c r="C19" s="26">
        <v>17</v>
      </c>
      <c r="D19" s="28" t="s">
        <v>45</v>
      </c>
      <c r="E19" s="25" t="s">
        <v>97</v>
      </c>
    </row>
    <row r="20" spans="3:5" x14ac:dyDescent="0.2">
      <c r="C20" s="23">
        <v>18</v>
      </c>
      <c r="D20" s="28" t="s">
        <v>46</v>
      </c>
      <c r="E20" s="25" t="s">
        <v>47</v>
      </c>
    </row>
    <row r="21" spans="3:5" x14ac:dyDescent="0.2">
      <c r="C21" s="26">
        <v>19</v>
      </c>
      <c r="D21" s="28" t="s">
        <v>48</v>
      </c>
      <c r="E21" s="29" t="s">
        <v>49</v>
      </c>
    </row>
    <row r="22" spans="3:5" x14ac:dyDescent="0.2">
      <c r="C22" s="23">
        <v>20</v>
      </c>
      <c r="D22" s="28" t="s">
        <v>50</v>
      </c>
      <c r="E22" s="29" t="s">
        <v>51</v>
      </c>
    </row>
    <row r="23" spans="3:5" x14ac:dyDescent="0.2">
      <c r="C23" s="26">
        <v>21</v>
      </c>
      <c r="D23" s="28" t="s">
        <v>52</v>
      </c>
      <c r="E23" s="29" t="s">
        <v>98</v>
      </c>
    </row>
    <row r="24" spans="3:5" x14ac:dyDescent="0.2">
      <c r="C24" s="23">
        <v>22</v>
      </c>
      <c r="D24" s="28" t="s">
        <v>53</v>
      </c>
      <c r="E24" s="30" t="s">
        <v>54</v>
      </c>
    </row>
    <row r="25" spans="3:5" x14ac:dyDescent="0.2">
      <c r="C25" s="31">
        <v>23</v>
      </c>
      <c r="D25" s="28" t="s">
        <v>55</v>
      </c>
      <c r="E25" s="25" t="s">
        <v>56</v>
      </c>
    </row>
    <row r="26" spans="3:5" x14ac:dyDescent="0.2">
      <c r="C26" s="31">
        <v>24</v>
      </c>
      <c r="D26" s="28" t="s">
        <v>57</v>
      </c>
      <c r="E26" s="29" t="s">
        <v>58</v>
      </c>
    </row>
    <row r="27" spans="3:5" x14ac:dyDescent="0.2">
      <c r="C27" s="31">
        <v>25</v>
      </c>
      <c r="D27" s="28" t="s">
        <v>59</v>
      </c>
      <c r="E27" s="25" t="s">
        <v>84</v>
      </c>
    </row>
    <row r="28" spans="3:5" x14ac:dyDescent="0.2">
      <c r="C28" s="31">
        <v>26</v>
      </c>
      <c r="D28" s="28" t="s">
        <v>60</v>
      </c>
      <c r="E28" s="25" t="s">
        <v>85</v>
      </c>
    </row>
    <row r="29" spans="3:5" x14ac:dyDescent="0.2">
      <c r="C29" s="31">
        <v>27</v>
      </c>
      <c r="D29" s="28" t="s">
        <v>61</v>
      </c>
      <c r="E29" s="25" t="s">
        <v>61</v>
      </c>
    </row>
    <row r="30" spans="3:5" x14ac:dyDescent="0.2">
      <c r="C30" s="31">
        <v>28</v>
      </c>
      <c r="D30" s="28" t="s">
        <v>62</v>
      </c>
      <c r="E30" s="25" t="s">
        <v>63</v>
      </c>
    </row>
    <row r="31" spans="3:5" x14ac:dyDescent="0.2">
      <c r="C31" s="31">
        <v>29</v>
      </c>
      <c r="D31" s="28" t="s">
        <v>64</v>
      </c>
      <c r="E31" s="25" t="s">
        <v>65</v>
      </c>
    </row>
    <row r="32" spans="3:5" x14ac:dyDescent="0.2">
      <c r="C32" s="31">
        <v>30</v>
      </c>
      <c r="D32" s="28" t="s">
        <v>74</v>
      </c>
      <c r="E32" s="25" t="s">
        <v>75</v>
      </c>
    </row>
    <row r="33" spans="3:7" x14ac:dyDescent="0.2">
      <c r="C33" s="31">
        <v>31</v>
      </c>
      <c r="D33" s="28" t="s">
        <v>77</v>
      </c>
      <c r="E33" s="25" t="s">
        <v>76</v>
      </c>
    </row>
    <row r="34" spans="3:7" x14ac:dyDescent="0.2">
      <c r="C34" s="31">
        <v>32</v>
      </c>
      <c r="D34" s="28" t="s">
        <v>78</v>
      </c>
      <c r="E34" s="25" t="s">
        <v>79</v>
      </c>
    </row>
    <row r="35" spans="3:7" x14ac:dyDescent="0.2">
      <c r="C35" s="31">
        <v>33</v>
      </c>
      <c r="D35" s="28" t="s">
        <v>80</v>
      </c>
      <c r="E35" s="25" t="s">
        <v>80</v>
      </c>
    </row>
    <row r="36" spans="3:7" x14ac:dyDescent="0.2">
      <c r="C36" s="31">
        <v>34</v>
      </c>
      <c r="D36" s="28" t="s">
        <v>81</v>
      </c>
      <c r="E36" s="25" t="s">
        <v>82</v>
      </c>
    </row>
    <row r="37" spans="3:7" x14ac:dyDescent="0.2">
      <c r="C37" s="31">
        <v>35</v>
      </c>
      <c r="D37" s="28" t="s">
        <v>87</v>
      </c>
      <c r="E37" s="25" t="s">
        <v>86</v>
      </c>
    </row>
    <row r="38" spans="3:7" x14ac:dyDescent="0.2">
      <c r="C38" s="31">
        <v>36</v>
      </c>
      <c r="D38" s="28" t="s">
        <v>90</v>
      </c>
      <c r="E38" s="25" t="s">
        <v>91</v>
      </c>
    </row>
    <row r="39" spans="3:7" ht="15.75" thickBot="1" x14ac:dyDescent="0.25">
      <c r="C39" s="77">
        <v>37</v>
      </c>
      <c r="D39" s="78" t="s">
        <v>278</v>
      </c>
      <c r="E39" s="79" t="s">
        <v>290</v>
      </c>
      <c r="F39" t="str">
        <f>PROPER(E39)</f>
        <v>Atencion De Paciente Por Consumo Sustancias Psicoactivas Y Adicciones</v>
      </c>
      <c r="G39" t="s">
        <v>289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H355"/>
  <sheetViews>
    <sheetView topLeftCell="A193" zoomScale="50" zoomScaleNormal="50" workbookViewId="0">
      <selection activeCell="F197" sqref="F197"/>
    </sheetView>
  </sheetViews>
  <sheetFormatPr baseColWidth="10" defaultRowHeight="15" customHeight="1" x14ac:dyDescent="0.2"/>
  <cols>
    <col min="1" max="1" width="39.33203125" customWidth="1"/>
    <col min="2" max="2" width="84.21875" customWidth="1"/>
    <col min="3" max="3" width="16.21875" customWidth="1"/>
    <col min="4" max="4" width="107.21875" bestFit="1" customWidth="1"/>
    <col min="5" max="5" width="19.33203125" hidden="1" customWidth="1"/>
    <col min="6" max="6" width="18.33203125" bestFit="1" customWidth="1"/>
    <col min="7" max="7" width="9.21875" bestFit="1" customWidth="1"/>
    <col min="8" max="8" width="35.109375" customWidth="1"/>
  </cols>
  <sheetData>
    <row r="1" spans="6:8" ht="16.5" thickBot="1" x14ac:dyDescent="0.3">
      <c r="F1" s="8"/>
      <c r="G1" s="11" t="s">
        <v>20</v>
      </c>
      <c r="H1" s="9" t="s">
        <v>11</v>
      </c>
    </row>
    <row r="2" spans="6:8" x14ac:dyDescent="0.2">
      <c r="G2" s="2">
        <v>1</v>
      </c>
      <c r="H2" s="16" t="s">
        <v>21</v>
      </c>
    </row>
    <row r="3" spans="6:8" ht="15" customHeight="1" x14ac:dyDescent="0.2">
      <c r="G3" s="3">
        <v>2</v>
      </c>
      <c r="H3" s="6" t="s">
        <v>23</v>
      </c>
    </row>
    <row r="4" spans="6:8" ht="15" customHeight="1" x14ac:dyDescent="0.2">
      <c r="G4" s="5">
        <v>3</v>
      </c>
      <c r="H4" s="6" t="s">
        <v>25</v>
      </c>
    </row>
    <row r="5" spans="6:8" ht="15" customHeight="1" x14ac:dyDescent="0.2">
      <c r="G5" s="3">
        <v>4</v>
      </c>
      <c r="H5" s="6" t="s">
        <v>26</v>
      </c>
    </row>
    <row r="6" spans="6:8" ht="15" customHeight="1" x14ac:dyDescent="0.2">
      <c r="G6" s="5">
        <v>5</v>
      </c>
      <c r="H6" s="6" t="s">
        <v>28</v>
      </c>
    </row>
    <row r="7" spans="6:8" ht="15" customHeight="1" x14ac:dyDescent="0.2">
      <c r="G7" s="3">
        <v>6</v>
      </c>
      <c r="H7" s="6" t="s">
        <v>30</v>
      </c>
    </row>
    <row r="8" spans="6:8" ht="15" customHeight="1" x14ac:dyDescent="0.2">
      <c r="G8" s="5">
        <v>7</v>
      </c>
      <c r="H8" s="6" t="s">
        <v>32</v>
      </c>
    </row>
    <row r="9" spans="6:8" ht="15" customHeight="1" x14ac:dyDescent="0.2">
      <c r="G9" s="3">
        <v>8</v>
      </c>
      <c r="H9" s="6" t="s">
        <v>33</v>
      </c>
    </row>
    <row r="10" spans="6:8" ht="15" customHeight="1" x14ac:dyDescent="0.2">
      <c r="G10" s="5">
        <v>9</v>
      </c>
      <c r="H10" s="7" t="s">
        <v>35</v>
      </c>
    </row>
    <row r="11" spans="6:8" ht="15" customHeight="1" x14ac:dyDescent="0.2">
      <c r="G11" s="3">
        <v>10</v>
      </c>
      <c r="H11" s="4" t="s">
        <v>37</v>
      </c>
    </row>
    <row r="12" spans="6:8" ht="15" customHeight="1" x14ac:dyDescent="0.2">
      <c r="G12" s="5">
        <v>11</v>
      </c>
      <c r="H12" s="4" t="s">
        <v>38</v>
      </c>
    </row>
    <row r="13" spans="6:8" ht="15" customHeight="1" x14ac:dyDescent="0.2">
      <c r="G13" s="3">
        <v>12</v>
      </c>
      <c r="H13" s="4" t="s">
        <v>40</v>
      </c>
    </row>
    <row r="14" spans="6:8" ht="15" customHeight="1" x14ac:dyDescent="0.2">
      <c r="G14" s="5">
        <v>13</v>
      </c>
      <c r="H14" s="4" t="s">
        <v>19</v>
      </c>
    </row>
    <row r="15" spans="6:8" ht="15" customHeight="1" x14ac:dyDescent="0.2">
      <c r="G15" s="3">
        <v>14</v>
      </c>
      <c r="H15" s="4" t="s">
        <v>42</v>
      </c>
    </row>
    <row r="16" spans="6:8" ht="15" customHeight="1" x14ac:dyDescent="0.2">
      <c r="G16" s="5">
        <v>15</v>
      </c>
      <c r="H16" s="4" t="s">
        <v>73</v>
      </c>
    </row>
    <row r="17" spans="4:8" ht="15" customHeight="1" x14ac:dyDescent="0.2">
      <c r="G17" s="3">
        <v>16</v>
      </c>
      <c r="H17" s="4" t="s">
        <v>44</v>
      </c>
    </row>
    <row r="18" spans="4:8" ht="15" customHeight="1" x14ac:dyDescent="0.2">
      <c r="G18" s="5">
        <v>17</v>
      </c>
      <c r="H18" s="4" t="s">
        <v>45</v>
      </c>
    </row>
    <row r="19" spans="4:8" ht="15" customHeight="1" x14ac:dyDescent="0.2">
      <c r="G19" s="3">
        <v>18</v>
      </c>
      <c r="H19" s="4" t="s">
        <v>46</v>
      </c>
    </row>
    <row r="20" spans="4:8" ht="15" customHeight="1" x14ac:dyDescent="0.2">
      <c r="G20" s="5">
        <v>19</v>
      </c>
      <c r="H20" s="4" t="s">
        <v>48</v>
      </c>
    </row>
    <row r="21" spans="4:8" ht="15" customHeight="1" x14ac:dyDescent="0.2">
      <c r="G21" s="3">
        <v>20</v>
      </c>
      <c r="H21" s="4" t="s">
        <v>50</v>
      </c>
    </row>
    <row r="22" spans="4:8" ht="15" customHeight="1" x14ac:dyDescent="0.2">
      <c r="G22" s="5">
        <v>21</v>
      </c>
      <c r="H22" s="4" t="s">
        <v>52</v>
      </c>
    </row>
    <row r="23" spans="4:8" ht="15" customHeight="1" x14ac:dyDescent="0.2">
      <c r="G23" s="3">
        <v>22</v>
      </c>
      <c r="H23" s="4" t="s">
        <v>53</v>
      </c>
    </row>
    <row r="24" spans="4:8" ht="15" customHeight="1" x14ac:dyDescent="0.2">
      <c r="G24" s="17">
        <v>23</v>
      </c>
      <c r="H24" s="4" t="s">
        <v>55</v>
      </c>
    </row>
    <row r="25" spans="4:8" ht="15" customHeight="1" x14ac:dyDescent="0.2">
      <c r="G25" s="17">
        <v>24</v>
      </c>
      <c r="H25" s="4" t="s">
        <v>57</v>
      </c>
    </row>
    <row r="26" spans="4:8" ht="15" customHeight="1" x14ac:dyDescent="0.2">
      <c r="G26" s="17">
        <v>25</v>
      </c>
      <c r="H26" s="4" t="s">
        <v>59</v>
      </c>
    </row>
    <row r="27" spans="4:8" ht="15" customHeight="1" x14ac:dyDescent="0.2">
      <c r="G27" s="17">
        <v>26</v>
      </c>
      <c r="H27" s="4" t="s">
        <v>60</v>
      </c>
    </row>
    <row r="28" spans="4:8" ht="15" customHeight="1" x14ac:dyDescent="0.2">
      <c r="G28" s="17">
        <v>27</v>
      </c>
      <c r="H28" s="4" t="s">
        <v>61</v>
      </c>
    </row>
    <row r="29" spans="4:8" ht="15" customHeight="1" x14ac:dyDescent="0.2">
      <c r="G29" s="17">
        <v>28</v>
      </c>
      <c r="H29" s="4" t="s">
        <v>62</v>
      </c>
    </row>
    <row r="30" spans="4:8" ht="15" customHeight="1" x14ac:dyDescent="0.2">
      <c r="G30" s="17">
        <v>29</v>
      </c>
      <c r="H30" s="4" t="s">
        <v>64</v>
      </c>
    </row>
    <row r="31" spans="4:8" ht="15" customHeight="1" x14ac:dyDescent="0.2">
      <c r="G31" s="17">
        <v>30</v>
      </c>
      <c r="H31" s="4" t="s">
        <v>74</v>
      </c>
    </row>
    <row r="32" spans="4:8" ht="15" customHeight="1" x14ac:dyDescent="0.25">
      <c r="D32" s="8" t="s">
        <v>92</v>
      </c>
      <c r="G32" s="17">
        <v>31</v>
      </c>
      <c r="H32" s="4" t="s">
        <v>77</v>
      </c>
    </row>
    <row r="33" spans="1:8" x14ac:dyDescent="0.2">
      <c r="G33" s="17">
        <v>32</v>
      </c>
      <c r="H33" s="4" t="s">
        <v>78</v>
      </c>
    </row>
    <row r="34" spans="1:8" x14ac:dyDescent="0.2">
      <c r="G34" s="17">
        <v>33</v>
      </c>
      <c r="H34" s="4" t="s">
        <v>80</v>
      </c>
    </row>
    <row r="35" spans="1:8" x14ac:dyDescent="0.2">
      <c r="G35" s="17">
        <v>34</v>
      </c>
      <c r="H35" s="4" t="s">
        <v>81</v>
      </c>
    </row>
    <row r="36" spans="1:8" ht="15.75" thickBot="1" x14ac:dyDescent="0.25">
      <c r="G36" s="15">
        <v>35</v>
      </c>
      <c r="H36" s="18" t="s">
        <v>87</v>
      </c>
    </row>
    <row r="37" spans="1:8" ht="15.75" thickBot="1" x14ac:dyDescent="0.25">
      <c r="G37" s="34">
        <v>36</v>
      </c>
      <c r="H37" s="35" t="s">
        <v>90</v>
      </c>
    </row>
    <row r="38" spans="1:8" ht="59.25" customHeight="1" thickBot="1" x14ac:dyDescent="0.25">
      <c r="A38" s="12" t="s">
        <v>11</v>
      </c>
      <c r="B38" s="13" t="s">
        <v>70</v>
      </c>
      <c r="C38" s="13" t="s">
        <v>71</v>
      </c>
      <c r="D38" s="13" t="s">
        <v>72</v>
      </c>
      <c r="E38" s="14"/>
    </row>
    <row r="39" spans="1:8" ht="122.25" customHeight="1" x14ac:dyDescent="0.25">
      <c r="A39" s="19" t="str">
        <f>INSCRITOS!P2</f>
        <v>ADMON DE MEDICAMENTOS</v>
      </c>
      <c r="B39" s="8" t="str">
        <f>IF(A39=$H$19,"https://centrodecapacitaciondelsur.com/o-v-e-",IF(A39=$H$2,"https://centrodecapacitaciondelsur.com/aph-",IF(A39=$H$3,"https://centrodecapacitaciondelsur.com/manejo-del-duelo-",IF(A39=$H$4,"https://centrodecapacitaciondelsur.com/victimas-por-agentes-quimicos-",IF(A39=$H$5,"https://centrodecapacitaciondelsur.com/primeros-auxilios-",IF(A39=$H$6,"https://centrodecapacitaciondelsur.com/uci-",IF(A39=$H$8,"https://centrodecapacitaciondelsur.com/humanizacion-",IF(A39=$H$11,"https://centrodecapacitaciondelsur.com/soporte-cardiovascular-avanzado-",IF(A39=$H$12,"https://centrodecapacitaciondelsur.com/camillero-",IF(A39=$H$13,"https://centrodecapacitaciondelsur.com/toma-de-muestras-y-lab-clinico-",IF(A39=$H$14,"https://centrodecapacitaciondelsur.com/soporte-basico-de-vida-",IF(A39=$H$15,"https://centrodecapacitaciondelsur.com/violencia-sexual-",IF(A39=$H$17,"https://centrodecapacitaciondelsur.com/aiepi-",IF(A39=$H$18,"https://centrodecapacitaciondelsur.com/adm-medicamentos-canalizacion-inyectologia-",IF(A39=$H$25,"https://centrodecapacitaciondelsur.com/manejo-del-dolor-y-cuidados-paliativos-",IF(A39=$H$26,"https://centrodecapacitaciondelsur.com/toma-de-muestras-y-lab-clinico-poct-",IF(A39=$H$27,"https://centrodecapacitaciondelsur.com/implante-subdermico-",IF(A39=$H$21,"https://centrodecapacitaciondelsur.com/donante-de-organos-",IF(A39=$H$30,"https://centrodecapacitaciondelsur.com/atencion-a-victimas-del-conflicto-armado-",IF(A39=$H$20,"https://centrodecapacitaciondelsur.com/iami-",IF(A39=$H$22,"https://centrodecapacitaciondelsur.com/violencia-de-genero-",IF(A39=$H$23,"https://centrodecapacitaciondelsur.com/igualdad-de-genero-",IF(A39=$H$16,"https://centrodecapacitaciondelsur.com/pai-",IF(A39=$H$31,"https://centrodecapacitaciondelsur.com/manipulacion-de-alimentos-",IF(A39=$H$32,"https://centrodecapacitaciondelsur.com/atencion-a-personas-con-discapacidad-",IF(A39=$H$33,"https://centrodecapacitaciondelsur.com/atencion-al-adulto-mayor-",IF(A39=$H$34,"https://centrodecapacitaciondelsur.com/manejo-defensivo-",IF(A39=$H$35,"https://centrodecapacitaciondelsur.com/soporte-basico-neonatal-",IF(A39=$H$36,"https://centrodecapacitaciondelsur.com/seguridad-del-paciente-",IF(A39=$H$37,"https://centrodecapacitaciondelsur.com/manejo-de-residuos-hospitalarios-",IF(A39=$H$10,"https://centrodecapacitaciondelsur.com/toma-de-citologia-",IF(A39=$H$29,"https://centrodecapacitaciondelsur.com/primeros-aux-psicologicos-"))))))))))))))))))))))))))))))))</f>
        <v>https://centrodecapacitaciondelsur.com/adm-medicamentos-canalizacion-inyectologia-</v>
      </c>
      <c r="C39" s="10">
        <f>INSCRITOS!B2</f>
        <v>1056688349</v>
      </c>
      <c r="D39" t="str">
        <f>CONCATENATE(B39,C39,"/")</f>
        <v>https://centrodecapacitaciondelsur.com/adm-medicamentos-canalizacion-inyectologia-1056688349/</v>
      </c>
    </row>
    <row r="40" spans="1:8" ht="127.5" customHeight="1" x14ac:dyDescent="0.25">
      <c r="A40" s="19" t="str">
        <f>INSCRITOS!P3</f>
        <v>PRIMEROS AUXILIOS PARA CONDUCTOR DE EMERGENCIAS</v>
      </c>
      <c r="B40" s="8" t="b">
        <f t="shared" ref="B40:B59" si="0">IF(A40=$H$19,"https://centrodecapacitaciondelsur.com/o-v-e-",IF(A40=$H$2,"https://centrodecapacitaciondelsur.com/aph-",IF(A40=$H$3,"https://centrodecapacitaciondelsur.com/manejo-del-duelo-",IF(A40=$H$4,"https://centrodecapacitaciondelsur.com/victimas-por-agentes-quimicos-",IF(A40=$H$5,"https://centrodecapacitaciondelsur.com/primeros-auxilios-",IF(A40=$H$6,"https://centrodecapacitaciondelsur.com/uci-",IF(A40=$H$8,"https://centrodecapacitaciondelsur.com/humanizacion-",IF(A40=$H$11,"https://centrodecapacitaciondelsur.com/soporte-cardiovascular-avanzado-",IF(A40=$H$12,"https://centrodecapacitaciondelsur.com/camillero-",IF(A40=$H$13,"https://centrodecapacitaciondelsur.com/toma-de-muestras-y-lab-clinico-",IF(A40=$H$14,"https://centrodecapacitaciondelsur.com/soporte-basico-de-vida-",IF(A40=$H$15,"https://centrodecapacitaciondelsur.com/violencia-sexual-",IF(A40=$H$17,"https://centrodecapacitaciondelsur.com/aiepi-",IF(A40=$H$18,"https://centrodecapacitaciondelsur.com/adm-medicamentos-canalizacion-inyectologia-",IF(A40=$H$25,"https://centrodecapacitaciondelsur.com/manejo-del-dolor-y-cuidados-paliativos-",IF(A40=$H$26,"https://centrodecapacitaciondelsur.com/toma-de-muestras-y-lab-clinico-poct-",IF(A40=$H$27,"https://centrodecapacitaciondelsur.com/implante-subdermico-",IF(A40=$H$21,"https://centrodecapacitaciondelsur.com/donante-de-organos-",IF(A40=$H$30,"https://centrodecapacitaciondelsur.com/atencion-a-victimas-del-conflicto-armado-",IF(A40=$H$20,"https://centrodecapacitaciondelsur.com/iami-",IF(A40=$H$22,"https://centrodecapacitaciondelsur.com/violencia-de-genero-",IF(A40=$H$23,"https://centrodecapacitaciondelsur.com/igualdad-de-genero-",IF(A40=$H$16,"https://centrodecapacitaciondelsur.com/pai-",IF(A40=$H$31,"https://centrodecapacitaciondelsur.com/manipulacion-de-alimentos-",IF(A40=$H$32,"https://centrodecapacitaciondelsur.com/atencion-a-personas-con-discapacidad-",IF(A40=$H$33,"https://centrodecapacitaciondelsur.com/atencion-al-adulto-mayor-",IF(A40=$H$34,"https://centrodecapacitaciondelsur.com/manejo-defensivo-",IF(A40=$H$35,"https://centrodecapacitaciondelsur.com/soporte-basico-neonatal-",IF(A40=$H$36,"https://centrodecapacitaciondelsur.com/seguridad-del-paciente-",IF(A40=$H$37,"https://centrodecapacitaciondelsur.com/manejo-de-residuos-hospitalarios-",IF(A40=$H$10,"https://centrodecapacitaciondelsur.com/toma-de-citologia-",IF(A40=$H$29,"https://centrodecapacitaciondelsur.com/primeros-aux-psicologicos-"))))))))))))))))))))))))))))))))</f>
        <v>0</v>
      </c>
      <c r="C40" s="10">
        <f>INSCRITOS!B3</f>
        <v>1087675304</v>
      </c>
      <c r="D40" t="str">
        <f t="shared" ref="D40:D59" si="1">CONCATENATE(B40,C40,"/")</f>
        <v>FALSO1087675304/</v>
      </c>
    </row>
    <row r="41" spans="1:8" ht="122.25" customHeight="1" x14ac:dyDescent="0.25">
      <c r="A41" s="19" t="str">
        <f>INSCRITOS!P4</f>
        <v>BLS</v>
      </c>
      <c r="B41" s="8" t="str">
        <f t="shared" si="0"/>
        <v>https://centrodecapacitaciondelsur.com/soporte-basico-de-vida-</v>
      </c>
      <c r="C41" s="10">
        <f>INSCRITOS!B4</f>
        <v>37084471</v>
      </c>
      <c r="D41" t="str">
        <f t="shared" si="1"/>
        <v>https://centrodecapacitaciondelsur.com/soporte-basico-de-vida-37084471/</v>
      </c>
    </row>
    <row r="42" spans="1:8" ht="122.25" customHeight="1" x14ac:dyDescent="0.25">
      <c r="A42" s="19" t="str">
        <f>INSCRITOS!P5</f>
        <v>ADMON DE MEDICAMENTOS</v>
      </c>
      <c r="B42" s="8" t="str">
        <f t="shared" si="0"/>
        <v>https://centrodecapacitaciondelsur.com/adm-medicamentos-canalizacion-inyectologia-</v>
      </c>
      <c r="C42" s="10">
        <f>INSCRITOS!B5</f>
        <v>36861874</v>
      </c>
      <c r="D42" t="str">
        <f t="shared" si="1"/>
        <v>https://centrodecapacitaciondelsur.com/adm-medicamentos-canalizacion-inyectologia-36861874/</v>
      </c>
    </row>
    <row r="43" spans="1:8" ht="122.25" customHeight="1" x14ac:dyDescent="0.25">
      <c r="A43" s="19" t="str">
        <f>INSCRITOS!P6</f>
        <v>PRIMEROS AUXILIOS PARA CONDUCTOR DE EMERGENCIAS</v>
      </c>
      <c r="B43" s="8" t="b">
        <f t="shared" si="0"/>
        <v>0</v>
      </c>
      <c r="C43" s="10">
        <f>INSCRITOS!B6</f>
        <v>98371346</v>
      </c>
      <c r="D43" t="str">
        <f t="shared" si="1"/>
        <v>FALSO98371346/</v>
      </c>
    </row>
    <row r="44" spans="1:8" ht="122.25" customHeight="1" x14ac:dyDescent="0.25">
      <c r="A44" s="19" t="str">
        <f>INSCRITOS!P7</f>
        <v>IAMI</v>
      </c>
      <c r="B44" s="8" t="str">
        <f t="shared" si="0"/>
        <v>https://centrodecapacitaciondelsur.com/iami-</v>
      </c>
      <c r="C44" s="10">
        <f>INSCRITOS!B7</f>
        <v>1085324933</v>
      </c>
      <c r="D44" t="str">
        <f t="shared" si="1"/>
        <v>https://centrodecapacitaciondelsur.com/iami-1085324933/</v>
      </c>
    </row>
    <row r="45" spans="1:8" ht="122.25" customHeight="1" x14ac:dyDescent="0.25">
      <c r="A45" s="19" t="str">
        <f>INSCRITOS!P8</f>
        <v>AIEPI</v>
      </c>
      <c r="B45" s="8" t="str">
        <f t="shared" si="0"/>
        <v>https://centrodecapacitaciondelsur.com/aiepi-</v>
      </c>
      <c r="C45" s="10">
        <f>INSCRITOS!B8</f>
        <v>1085324933</v>
      </c>
      <c r="D45" t="str">
        <f t="shared" si="1"/>
        <v>https://centrodecapacitaciondelsur.com/aiepi-1085324933/</v>
      </c>
    </row>
    <row r="46" spans="1:8" ht="122.25" customHeight="1" x14ac:dyDescent="0.25">
      <c r="A46" s="19" t="str">
        <f>INSCRITOS!P9</f>
        <v>IAMI</v>
      </c>
      <c r="B46" s="8" t="str">
        <f t="shared" si="0"/>
        <v>https://centrodecapacitaciondelsur.com/iami-</v>
      </c>
      <c r="C46" s="10">
        <f>INSCRITOS!B9</f>
        <v>1085319244</v>
      </c>
      <c r="D46" t="str">
        <f t="shared" si="1"/>
        <v>https://centrodecapacitaciondelsur.com/iami-1085319244/</v>
      </c>
    </row>
    <row r="47" spans="1:8" ht="122.25" customHeight="1" x14ac:dyDescent="0.25">
      <c r="A47" s="19" t="str">
        <f>INSCRITOS!P10</f>
        <v>AIEPI</v>
      </c>
      <c r="B47" s="8" t="str">
        <f t="shared" si="0"/>
        <v>https://centrodecapacitaciondelsur.com/aiepi-</v>
      </c>
      <c r="C47" s="10">
        <f>INSCRITOS!B10</f>
        <v>1085319244</v>
      </c>
      <c r="D47" t="str">
        <f t="shared" si="1"/>
        <v>https://centrodecapacitaciondelsur.com/aiepi-1085319244/</v>
      </c>
    </row>
    <row r="48" spans="1:8" ht="122.25" customHeight="1" x14ac:dyDescent="0.25">
      <c r="A48" s="19" t="str">
        <f>INSCRITOS!P11</f>
        <v>AIEPI</v>
      </c>
      <c r="B48" s="8" t="str">
        <f t="shared" si="0"/>
        <v>https://centrodecapacitaciondelsur.com/aiepi-</v>
      </c>
      <c r="C48" s="10">
        <f>INSCRITOS!B11</f>
        <v>1085279286</v>
      </c>
      <c r="D48" t="str">
        <f t="shared" si="1"/>
        <v>https://centrodecapacitaciondelsur.com/aiepi-1085279286/</v>
      </c>
    </row>
    <row r="49" spans="1:4" ht="122.25" customHeight="1" x14ac:dyDescent="0.25">
      <c r="A49" s="19" t="str">
        <f>INSCRITOS!P12</f>
        <v>IAMI</v>
      </c>
      <c r="B49" s="8" t="str">
        <f t="shared" si="0"/>
        <v>https://centrodecapacitaciondelsur.com/iami-</v>
      </c>
      <c r="C49" s="10">
        <f>INSCRITOS!B12</f>
        <v>1085279286</v>
      </c>
      <c r="D49" t="str">
        <f t="shared" si="1"/>
        <v>https://centrodecapacitaciondelsur.com/iami-1085279286/</v>
      </c>
    </row>
    <row r="50" spans="1:4" ht="122.25" customHeight="1" x14ac:dyDescent="0.25">
      <c r="A50" s="19" t="str">
        <f>INSCRITOS!P13</f>
        <v>BLS</v>
      </c>
      <c r="B50" s="8" t="str">
        <f t="shared" si="0"/>
        <v>https://centrodecapacitaciondelsur.com/soporte-basico-de-vida-</v>
      </c>
      <c r="C50" s="10">
        <f>INSCRITOS!B13</f>
        <v>59815992</v>
      </c>
      <c r="D50" t="str">
        <f t="shared" si="1"/>
        <v>https://centrodecapacitaciondelsur.com/soporte-basico-de-vida-59815992/</v>
      </c>
    </row>
    <row r="51" spans="1:4" ht="122.25" customHeight="1" x14ac:dyDescent="0.25">
      <c r="A51" s="19" t="str">
        <f>INSCRITOS!P14</f>
        <v>CODIGO ROJO</v>
      </c>
      <c r="B51" s="8" t="b">
        <f t="shared" si="0"/>
        <v>0</v>
      </c>
      <c r="C51" s="10">
        <f>INSCRITOS!B14</f>
        <v>59815992</v>
      </c>
      <c r="D51" t="str">
        <f t="shared" si="1"/>
        <v>FALSO59815992/</v>
      </c>
    </row>
    <row r="52" spans="1:4" ht="122.25" customHeight="1" x14ac:dyDescent="0.25">
      <c r="A52" s="19" t="str">
        <f>INSCRITOS!P15</f>
        <v>IMPLANTE</v>
      </c>
      <c r="B52" s="8" t="str">
        <f t="shared" si="0"/>
        <v>https://centrodecapacitaciondelsur.com/implante-subdermico-</v>
      </c>
      <c r="C52" s="10">
        <f>INSCRITOS!B15</f>
        <v>59815992</v>
      </c>
      <c r="D52" t="str">
        <f t="shared" si="1"/>
        <v>https://centrodecapacitaciondelsur.com/implante-subdermico-59815992/</v>
      </c>
    </row>
    <row r="53" spans="1:4" ht="122.25" customHeight="1" x14ac:dyDescent="0.25">
      <c r="A53" s="19" t="str">
        <f>INSCRITOS!P16</f>
        <v>BUENAS PRACTICAS</v>
      </c>
      <c r="B53" s="8" t="b">
        <f t="shared" si="0"/>
        <v>0</v>
      </c>
      <c r="C53" s="10">
        <f>INSCRITOS!B16</f>
        <v>59815992</v>
      </c>
      <c r="D53" t="str">
        <f t="shared" si="1"/>
        <v>FALSO59815992/</v>
      </c>
    </row>
    <row r="54" spans="1:4" ht="122.25" customHeight="1" x14ac:dyDescent="0.25">
      <c r="A54" s="19" t="str">
        <f>INSCRITOS!P17</f>
        <v>TRIAGE</v>
      </c>
      <c r="B54" s="8" t="b">
        <f t="shared" si="0"/>
        <v>0</v>
      </c>
      <c r="C54" s="10">
        <f>INSCRITOS!B17</f>
        <v>59815992</v>
      </c>
      <c r="D54" t="str">
        <f t="shared" si="1"/>
        <v>FALSO59815992/</v>
      </c>
    </row>
    <row r="55" spans="1:4" ht="122.25" customHeight="1" x14ac:dyDescent="0.25">
      <c r="A55" s="19" t="str">
        <f>INSCRITOS!P18</f>
        <v>ACLS</v>
      </c>
      <c r="B55" s="8" t="str">
        <f t="shared" si="0"/>
        <v>https://centrodecapacitaciondelsur.com/soporte-cardiovascular-avanzado-</v>
      </c>
      <c r="C55" s="10">
        <f>INSCRITOS!B18</f>
        <v>1085262318</v>
      </c>
      <c r="D55" t="str">
        <f t="shared" si="1"/>
        <v>https://centrodecapacitaciondelsur.com/soporte-cardiovascular-avanzado-1085262318/</v>
      </c>
    </row>
    <row r="56" spans="1:4" ht="122.25" customHeight="1" x14ac:dyDescent="0.25">
      <c r="A56" s="19" t="str">
        <f>INSCRITOS!P19</f>
        <v>BLS</v>
      </c>
      <c r="B56" s="8" t="str">
        <f t="shared" si="0"/>
        <v>https://centrodecapacitaciondelsur.com/soporte-basico-de-vida-</v>
      </c>
      <c r="C56" s="10">
        <f>INSCRITOS!B19</f>
        <v>1085262318</v>
      </c>
      <c r="D56" t="str">
        <f t="shared" si="1"/>
        <v>https://centrodecapacitaciondelsur.com/soporte-basico-de-vida-1085262318/</v>
      </c>
    </row>
    <row r="57" spans="1:4" ht="122.25" customHeight="1" x14ac:dyDescent="0.25">
      <c r="A57" s="19" t="str">
        <f>INSCRITOS!P20</f>
        <v>HUMANIZACION</v>
      </c>
      <c r="B57" s="8" t="str">
        <f t="shared" si="0"/>
        <v>https://centrodecapacitaciondelsur.com/humanizacion-</v>
      </c>
      <c r="C57" s="10">
        <f>INSCRITOS!B20</f>
        <v>1085262318</v>
      </c>
      <c r="D57" t="str">
        <f t="shared" si="1"/>
        <v>https://centrodecapacitaciondelsur.com/humanizacion-1085262318/</v>
      </c>
    </row>
    <row r="58" spans="1:4" ht="122.25" customHeight="1" x14ac:dyDescent="0.25">
      <c r="A58" s="19" t="str">
        <f>INSCRITOS!P21</f>
        <v>DUELO</v>
      </c>
      <c r="B58" s="8" t="str">
        <f t="shared" si="0"/>
        <v>https://centrodecapacitaciondelsur.com/manejo-del-duelo-</v>
      </c>
      <c r="C58" s="10">
        <f>INSCRITOS!B21</f>
        <v>1085262318</v>
      </c>
      <c r="D58" t="str">
        <f t="shared" si="1"/>
        <v>https://centrodecapacitaciondelsur.com/manejo-del-duelo-1085262318/</v>
      </c>
    </row>
    <row r="59" spans="1:4" ht="122.25" customHeight="1" x14ac:dyDescent="0.25">
      <c r="A59" s="19" t="str">
        <f>INSCRITOS!P22</f>
        <v>QUIMICOS</v>
      </c>
      <c r="B59" s="8" t="str">
        <f t="shared" si="0"/>
        <v>https://centrodecapacitaciondelsur.com/victimas-por-agentes-quimicos-</v>
      </c>
      <c r="C59" s="10">
        <f>INSCRITOS!B22</f>
        <v>1085262318</v>
      </c>
      <c r="D59" t="str">
        <f t="shared" si="1"/>
        <v>https://centrodecapacitaciondelsur.com/victimas-por-agentes-quimicos-1085262318/</v>
      </c>
    </row>
    <row r="60" spans="1:4" ht="122.25" customHeight="1" x14ac:dyDescent="0.25">
      <c r="A60" s="19" t="str">
        <f>INSCRITOS!P23</f>
        <v>VIOLENCIA SEXUAL</v>
      </c>
      <c r="B60" s="8" t="str">
        <f t="shared" ref="B60:B123" si="2">IF(A60=$H$19,"https://centrodecapacitaciondelsur.com/o-v-e-",IF(A60=$H$2,"https://centrodecapacitaciondelsur.com/aph-",IF(A60=$H$3,"https://centrodecapacitaciondelsur.com/manejo-del-duelo-",IF(A60=$H$4,"https://centrodecapacitaciondelsur.com/victimas-por-agentes-quimicos-",IF(A60=$H$5,"https://centrodecapacitaciondelsur.com/primeros-auxilios-",IF(A60=$H$6,"https://centrodecapacitaciondelsur.com/uci-",IF(A60=$H$8,"https://centrodecapacitaciondelsur.com/humanizacion-",IF(A60=$H$11,"https://centrodecapacitaciondelsur.com/soporte-cardiovascular-avanzado-",IF(A60=$H$12,"https://centrodecapacitaciondelsur.com/camillero-",IF(A60=$H$13,"https://centrodecapacitaciondelsur.com/toma-de-muestras-y-lab-clinico-",IF(A60=$H$14,"https://centrodecapacitaciondelsur.com/soporte-basico-de-vida-",IF(A60=$H$15,"https://centrodecapacitaciondelsur.com/violencia-sexual-",IF(A60=$H$17,"https://centrodecapacitaciondelsur.com/aiepi-",IF(A60=$H$18,"https://centrodecapacitaciondelsur.com/adm-medicamentos-canalizacion-inyectologia-",IF(A60=$H$25,"https://centrodecapacitaciondelsur.com/manejo-del-dolor-y-cuidados-paliativos-",IF(A60=$H$26,"https://centrodecapacitaciondelsur.com/toma-de-muestras-y-lab-clinico-poct-",IF(A60=$H$27,"https://centrodecapacitaciondelsur.com/implante-subdermico-",IF(A60=$H$21,"https://centrodecapacitaciondelsur.com/donante-de-organos-",IF(A60=$H$30,"https://centrodecapacitaciondelsur.com/atencion-a-victimas-del-conflicto-armado-",IF(A60=$H$20,"https://centrodecapacitaciondelsur.com/iami-",IF(A60=$H$22,"https://centrodecapacitaciondelsur.com/violencia-de-genero-",IF(A60=$H$23,"https://centrodecapacitaciondelsur.com/igualdad-de-genero-",IF(A60=$H$16,"https://centrodecapacitaciondelsur.com/pai-",IF(A60=$H$31,"https://centrodecapacitaciondelsur.com/manipulacion-de-alimentos-",IF(A60=$H$32,"https://centrodecapacitaciondelsur.com/atencion-a-personas-con-discapacidad-",IF(A60=$H$33,"https://centrodecapacitaciondelsur.com/atencion-al-adulto-mayor-",IF(A60=$H$34,"https://centrodecapacitaciondelsur.com/manejo-defensivo-",IF(A60=$H$35,"https://centrodecapacitaciondelsur.com/soporte-basico-neonatal-",IF(A60=$H$36,"https://centrodecapacitaciondelsur.com/seguridad-del-paciente-",IF(A60=$H$37,"https://centrodecapacitaciondelsur.com/manejo-de-residuos-hospitalarios-",IF(A60=$H$10,"https://centrodecapacitaciondelsur.com/toma-de-citologia-",IF(A60=$H$29,"https://centrodecapacitaciondelsur.com/primeros-aux-psicologicos-"))))))))))))))))))))))))))))))))</f>
        <v>https://centrodecapacitaciondelsur.com/violencia-sexual-</v>
      </c>
      <c r="C60" s="10">
        <f>INSCRITOS!B23</f>
        <v>1085262318</v>
      </c>
      <c r="D60" t="str">
        <f t="shared" ref="D60:D123" si="3">CONCATENATE(B60,C60,"/")</f>
        <v>https://centrodecapacitaciondelsur.com/violencia-sexual-1085262318/</v>
      </c>
    </row>
    <row r="61" spans="1:4" ht="122.25" customHeight="1" x14ac:dyDescent="0.25">
      <c r="A61" s="19" t="str">
        <f>INSCRITOS!P24</f>
        <v>CONFLICTO ARMADO</v>
      </c>
      <c r="B61" s="8" t="str">
        <f t="shared" si="2"/>
        <v>https://centrodecapacitaciondelsur.com/atencion-a-victimas-del-conflicto-armado-</v>
      </c>
      <c r="C61" s="10">
        <f>INSCRITOS!B24</f>
        <v>1085262318</v>
      </c>
      <c r="D61" t="str">
        <f t="shared" si="3"/>
        <v>https://centrodecapacitaciondelsur.com/atencion-a-victimas-del-conflicto-armado-1085262318/</v>
      </c>
    </row>
    <row r="62" spans="1:4" ht="122.25" customHeight="1" x14ac:dyDescent="0.25">
      <c r="A62" s="19" t="str">
        <f>INSCRITOS!P25</f>
        <v>PALIATIVOS</v>
      </c>
      <c r="B62" s="8" t="str">
        <f t="shared" si="2"/>
        <v>https://centrodecapacitaciondelsur.com/manejo-del-dolor-y-cuidados-paliativos-</v>
      </c>
      <c r="C62" s="10">
        <f>INSCRITOS!B25</f>
        <v>1085262318</v>
      </c>
      <c r="D62" t="str">
        <f t="shared" si="3"/>
        <v>https://centrodecapacitaciondelsur.com/manejo-del-dolor-y-cuidados-paliativos-1085262318/</v>
      </c>
    </row>
    <row r="63" spans="1:4" ht="122.25" customHeight="1" x14ac:dyDescent="0.25">
      <c r="A63" s="19" t="str">
        <f>INSCRITOS!P26</f>
        <v>IAMI</v>
      </c>
      <c r="B63" s="8" t="str">
        <f t="shared" si="2"/>
        <v>https://centrodecapacitaciondelsur.com/iami-</v>
      </c>
      <c r="C63" s="10">
        <f>INSCRITOS!B26</f>
        <v>1233192581</v>
      </c>
      <c r="D63" t="str">
        <f t="shared" si="3"/>
        <v>https://centrodecapacitaciondelsur.com/iami-1233192581/</v>
      </c>
    </row>
    <row r="64" spans="1:4" ht="122.25" customHeight="1" x14ac:dyDescent="0.25">
      <c r="A64" s="19" t="str">
        <f>INSCRITOS!P27</f>
        <v>AIEPI</v>
      </c>
      <c r="B64" s="8" t="str">
        <f t="shared" si="2"/>
        <v>https://centrodecapacitaciondelsur.com/aiepi-</v>
      </c>
      <c r="C64" s="10">
        <f>INSCRITOS!B27</f>
        <v>1233192581</v>
      </c>
      <c r="D64" t="str">
        <f t="shared" si="3"/>
        <v>https://centrodecapacitaciondelsur.com/aiepi-1233192581/</v>
      </c>
    </row>
    <row r="65" spans="1:4" ht="122.25" customHeight="1" x14ac:dyDescent="0.25">
      <c r="A65" s="19" t="str">
        <f>INSCRITOS!P28</f>
        <v>HUMANIZACION</v>
      </c>
      <c r="B65" s="8" t="str">
        <f t="shared" si="2"/>
        <v>https://centrodecapacitaciondelsur.com/humanizacion-</v>
      </c>
      <c r="C65" s="10">
        <f>INSCRITOS!B28</f>
        <v>27143975</v>
      </c>
      <c r="D65" t="str">
        <f t="shared" si="3"/>
        <v>https://centrodecapacitaciondelsur.com/humanizacion-27143975/</v>
      </c>
    </row>
    <row r="66" spans="1:4" ht="122.25" customHeight="1" x14ac:dyDescent="0.25">
      <c r="A66" s="19" t="str">
        <f>INSCRITOS!P29</f>
        <v>BLS</v>
      </c>
      <c r="B66" s="8" t="str">
        <f t="shared" si="2"/>
        <v>https://centrodecapacitaciondelsur.com/soporte-basico-de-vida-</v>
      </c>
      <c r="C66" s="10">
        <f>INSCRITOS!B29</f>
        <v>1016071454</v>
      </c>
      <c r="D66" t="str">
        <f t="shared" si="3"/>
        <v>https://centrodecapacitaciondelsur.com/soporte-basico-de-vida-1016071454/</v>
      </c>
    </row>
    <row r="67" spans="1:4" ht="122.25" customHeight="1" x14ac:dyDescent="0.25">
      <c r="A67" s="19" t="str">
        <f>INSCRITOS!P30</f>
        <v>VIOLENCIA SEXUAL</v>
      </c>
      <c r="B67" s="8" t="str">
        <f t="shared" si="2"/>
        <v>https://centrodecapacitaciondelsur.com/violencia-sexual-</v>
      </c>
      <c r="C67" s="10">
        <f>INSCRITOS!B30</f>
        <v>1016071454</v>
      </c>
      <c r="D67" t="str">
        <f t="shared" si="3"/>
        <v>https://centrodecapacitaciondelsur.com/violencia-sexual-1016071454/</v>
      </c>
    </row>
    <row r="68" spans="1:4" ht="122.25" customHeight="1" x14ac:dyDescent="0.25">
      <c r="A68" s="19" t="str">
        <f>INSCRITOS!P31</f>
        <v>QUIMICOS</v>
      </c>
      <c r="B68" s="8" t="str">
        <f t="shared" si="2"/>
        <v>https://centrodecapacitaciondelsur.com/victimas-por-agentes-quimicos-</v>
      </c>
      <c r="C68" s="10">
        <f>INSCRITOS!B31</f>
        <v>1016071454</v>
      </c>
      <c r="D68" t="str">
        <f t="shared" si="3"/>
        <v>https://centrodecapacitaciondelsur.com/victimas-por-agentes-quimicos-1016071454/</v>
      </c>
    </row>
    <row r="69" spans="1:4" ht="122.25" customHeight="1" x14ac:dyDescent="0.25">
      <c r="A69" s="19" t="str">
        <f>INSCRITOS!P32</f>
        <v>DUELO</v>
      </c>
      <c r="B69" s="8" t="str">
        <f t="shared" si="2"/>
        <v>https://centrodecapacitaciondelsur.com/manejo-del-duelo-</v>
      </c>
      <c r="C69" s="10">
        <f>INSCRITOS!B32</f>
        <v>1016071454</v>
      </c>
      <c r="D69" t="str">
        <f t="shared" si="3"/>
        <v>https://centrodecapacitaciondelsur.com/manejo-del-duelo-1016071454/</v>
      </c>
    </row>
    <row r="70" spans="1:4" ht="122.25" customHeight="1" x14ac:dyDescent="0.25">
      <c r="A70" s="19" t="str">
        <f>INSCRITOS!P33</f>
        <v>ACLS</v>
      </c>
      <c r="B70" s="8" t="str">
        <f t="shared" si="2"/>
        <v>https://centrodecapacitaciondelsur.com/soporte-cardiovascular-avanzado-</v>
      </c>
      <c r="C70" s="10">
        <f>INSCRITOS!B33</f>
        <v>1085305618</v>
      </c>
      <c r="D70" t="str">
        <f t="shared" si="3"/>
        <v>https://centrodecapacitaciondelsur.com/soporte-cardiovascular-avanzado-1085305618/</v>
      </c>
    </row>
    <row r="71" spans="1:4" ht="122.25" customHeight="1" x14ac:dyDescent="0.25">
      <c r="A71" s="19" t="str">
        <f>INSCRITOS!P34</f>
        <v>VIOLENCIA SEXUAL</v>
      </c>
      <c r="B71" s="8" t="str">
        <f t="shared" si="2"/>
        <v>https://centrodecapacitaciondelsur.com/violencia-sexual-</v>
      </c>
      <c r="C71" s="10">
        <f>INSCRITOS!B34</f>
        <v>1193036675</v>
      </c>
      <c r="D71" t="str">
        <f t="shared" si="3"/>
        <v>https://centrodecapacitaciondelsur.com/violencia-sexual-1193036675/</v>
      </c>
    </row>
    <row r="72" spans="1:4" ht="122.25" customHeight="1" x14ac:dyDescent="0.25">
      <c r="A72" s="19" t="str">
        <f>INSCRITOS!P35</f>
        <v>BLS</v>
      </c>
      <c r="B72" s="8" t="str">
        <f t="shared" si="2"/>
        <v>https://centrodecapacitaciondelsur.com/soporte-basico-de-vida-</v>
      </c>
      <c r="C72" s="10">
        <f>INSCRITOS!B35</f>
        <v>1088946257</v>
      </c>
      <c r="D72" t="str">
        <f t="shared" si="3"/>
        <v>https://centrodecapacitaciondelsur.com/soporte-basico-de-vida-1088946257/</v>
      </c>
    </row>
    <row r="73" spans="1:4" ht="122.25" customHeight="1" x14ac:dyDescent="0.25">
      <c r="A73" s="19" t="str">
        <f>INSCRITOS!P36</f>
        <v>SUSTANCIAS</v>
      </c>
      <c r="B73" s="8" t="b">
        <f t="shared" si="2"/>
        <v>0</v>
      </c>
      <c r="C73" s="10">
        <f>INSCRITOS!B36</f>
        <v>1085280790</v>
      </c>
      <c r="D73" t="str">
        <f t="shared" si="3"/>
        <v>FALSO1085280790/</v>
      </c>
    </row>
    <row r="74" spans="1:4" ht="122.25" customHeight="1" x14ac:dyDescent="0.25">
      <c r="A74" s="19" t="str">
        <f>INSCRITOS!P37</f>
        <v>IAMI</v>
      </c>
      <c r="B74" s="8" t="str">
        <f t="shared" si="2"/>
        <v>https://centrodecapacitaciondelsur.com/iami-</v>
      </c>
      <c r="C74" s="10">
        <f>INSCRITOS!B37</f>
        <v>1053810512</v>
      </c>
      <c r="D74" t="str">
        <f t="shared" si="3"/>
        <v>https://centrodecapacitaciondelsur.com/iami-1053810512/</v>
      </c>
    </row>
    <row r="75" spans="1:4" ht="122.25" customHeight="1" x14ac:dyDescent="0.25">
      <c r="A75" s="19" t="str">
        <f>INSCRITOS!P38</f>
        <v>BLS</v>
      </c>
      <c r="B75" s="8" t="str">
        <f t="shared" si="2"/>
        <v>https://centrodecapacitaciondelsur.com/soporte-basico-de-vida-</v>
      </c>
      <c r="C75" s="10">
        <f>INSCRITOS!B38</f>
        <v>1115070648</v>
      </c>
      <c r="D75" t="str">
        <f t="shared" si="3"/>
        <v>https://centrodecapacitaciondelsur.com/soporte-basico-de-vida-1115070648/</v>
      </c>
    </row>
    <row r="76" spans="1:4" ht="122.25" customHeight="1" x14ac:dyDescent="0.25">
      <c r="A76" s="19" t="str">
        <f>INSCRITOS!P39</f>
        <v>AIEPI</v>
      </c>
      <c r="B76" s="8" t="str">
        <f t="shared" si="2"/>
        <v>https://centrodecapacitaciondelsur.com/aiepi-</v>
      </c>
      <c r="C76" s="10">
        <f>INSCRITOS!B39</f>
        <v>1081593673</v>
      </c>
      <c r="D76" t="str">
        <f t="shared" si="3"/>
        <v>https://centrodecapacitaciondelsur.com/aiepi-1081593673/</v>
      </c>
    </row>
    <row r="77" spans="1:4" ht="122.25" customHeight="1" x14ac:dyDescent="0.25">
      <c r="A77" s="19" t="str">
        <f>INSCRITOS!P40</f>
        <v>HUMANIZACION</v>
      </c>
      <c r="B77" s="8" t="str">
        <f t="shared" si="2"/>
        <v>https://centrodecapacitaciondelsur.com/humanizacion-</v>
      </c>
      <c r="C77" s="10">
        <f>INSCRITOS!B40</f>
        <v>37084471</v>
      </c>
      <c r="D77" t="str">
        <f t="shared" si="3"/>
        <v>https://centrodecapacitaciondelsur.com/humanizacion-37084471/</v>
      </c>
    </row>
    <row r="78" spans="1:4" ht="122.25" customHeight="1" x14ac:dyDescent="0.25">
      <c r="A78" s="19" t="str">
        <f>INSCRITOS!P41</f>
        <v>ACLS</v>
      </c>
      <c r="B78" s="8" t="str">
        <f t="shared" si="2"/>
        <v>https://centrodecapacitaciondelsur.com/soporte-cardiovascular-avanzado-</v>
      </c>
      <c r="C78" s="10">
        <f>INSCRITOS!B41</f>
        <v>1085949667</v>
      </c>
      <c r="D78" t="str">
        <f t="shared" si="3"/>
        <v>https://centrodecapacitaciondelsur.com/soporte-cardiovascular-avanzado-1085949667/</v>
      </c>
    </row>
    <row r="79" spans="1:4" ht="122.25" customHeight="1" x14ac:dyDescent="0.25">
      <c r="A79" s="19" t="str">
        <f>INSCRITOS!P42</f>
        <v>BLS</v>
      </c>
      <c r="B79" s="8" t="str">
        <f t="shared" si="2"/>
        <v>https://centrodecapacitaciondelsur.com/soporte-basico-de-vida-</v>
      </c>
      <c r="C79" s="10">
        <f>INSCRITOS!B42</f>
        <v>1085949667</v>
      </c>
      <c r="D79" t="str">
        <f t="shared" si="3"/>
        <v>https://centrodecapacitaciondelsur.com/soporte-basico-de-vida-1085949667/</v>
      </c>
    </row>
    <row r="80" spans="1:4" ht="122.25" customHeight="1" x14ac:dyDescent="0.25">
      <c r="A80" s="19" t="str">
        <f>INSCRITOS!P43</f>
        <v>BLS</v>
      </c>
      <c r="B80" s="8" t="str">
        <f t="shared" si="2"/>
        <v>https://centrodecapacitaciondelsur.com/soporte-basico-de-vida-</v>
      </c>
      <c r="C80" s="10">
        <f>INSCRITOS!B43</f>
        <v>1004437731</v>
      </c>
      <c r="D80" t="str">
        <f t="shared" si="3"/>
        <v>https://centrodecapacitaciondelsur.com/soporte-basico-de-vida-1004437731/</v>
      </c>
    </row>
    <row r="81" spans="1:4" ht="122.25" customHeight="1" x14ac:dyDescent="0.25">
      <c r="A81" s="19" t="str">
        <f>INSCRITOS!P44</f>
        <v>VIOLENCIA SEXUAL</v>
      </c>
      <c r="B81" s="8" t="str">
        <f t="shared" si="2"/>
        <v>https://centrodecapacitaciondelsur.com/violencia-sexual-</v>
      </c>
      <c r="C81" s="10">
        <f>INSCRITOS!B44</f>
        <v>1004437731</v>
      </c>
      <c r="D81" t="str">
        <f t="shared" si="3"/>
        <v>https://centrodecapacitaciondelsur.com/violencia-sexual-1004437731/</v>
      </c>
    </row>
    <row r="82" spans="1:4" ht="122.25" customHeight="1" x14ac:dyDescent="0.25">
      <c r="A82" s="19" t="str">
        <f>INSCRITOS!P45</f>
        <v>DUELO</v>
      </c>
      <c r="B82" s="8" t="str">
        <f t="shared" si="2"/>
        <v>https://centrodecapacitaciondelsur.com/manejo-del-duelo-</v>
      </c>
      <c r="C82" s="10">
        <f>INSCRITOS!B45</f>
        <v>1004437731</v>
      </c>
      <c r="D82" t="str">
        <f t="shared" si="3"/>
        <v>https://centrodecapacitaciondelsur.com/manejo-del-duelo-1004437731/</v>
      </c>
    </row>
    <row r="83" spans="1:4" ht="122.25" customHeight="1" x14ac:dyDescent="0.25">
      <c r="A83" s="19" t="str">
        <f>INSCRITOS!P46</f>
        <v>IAMI</v>
      </c>
      <c r="B83" s="8" t="str">
        <f t="shared" si="2"/>
        <v>https://centrodecapacitaciondelsur.com/iami-</v>
      </c>
      <c r="C83" s="10">
        <f>INSCRITOS!B46</f>
        <v>1085298753</v>
      </c>
      <c r="D83" t="str">
        <f t="shared" si="3"/>
        <v>https://centrodecapacitaciondelsur.com/iami-1085298753/</v>
      </c>
    </row>
    <row r="84" spans="1:4" ht="122.25" customHeight="1" x14ac:dyDescent="0.25">
      <c r="A84" s="19" t="str">
        <f>INSCRITOS!P47</f>
        <v>BLS</v>
      </c>
      <c r="B84" s="8" t="str">
        <f t="shared" si="2"/>
        <v>https://centrodecapacitaciondelsur.com/soporte-basico-de-vida-</v>
      </c>
      <c r="C84" s="10">
        <f>INSCRITOS!B47</f>
        <v>1233190559</v>
      </c>
      <c r="D84" t="str">
        <f t="shared" si="3"/>
        <v>https://centrodecapacitaciondelsur.com/soporte-basico-de-vida-1233190559/</v>
      </c>
    </row>
    <row r="85" spans="1:4" ht="122.25" customHeight="1" x14ac:dyDescent="0.25">
      <c r="A85" s="19" t="str">
        <f>INSCRITOS!P48</f>
        <v>VIOLENCIA SEXUAL</v>
      </c>
      <c r="B85" s="8" t="str">
        <f t="shared" si="2"/>
        <v>https://centrodecapacitaciondelsur.com/violencia-sexual-</v>
      </c>
      <c r="C85" s="10">
        <f>INSCRITOS!B48</f>
        <v>1010075116</v>
      </c>
      <c r="D85" t="str">
        <f t="shared" si="3"/>
        <v>https://centrodecapacitaciondelsur.com/violencia-sexual-1010075116/</v>
      </c>
    </row>
    <row r="86" spans="1:4" ht="122.25" customHeight="1" x14ac:dyDescent="0.25">
      <c r="A86" s="19" t="str">
        <f>INSCRITOS!P49</f>
        <v>QUIMICOS</v>
      </c>
      <c r="B86" s="8" t="str">
        <f t="shared" si="2"/>
        <v>https://centrodecapacitaciondelsur.com/victimas-por-agentes-quimicos-</v>
      </c>
      <c r="C86" s="10">
        <f>INSCRITOS!B49</f>
        <v>1010075116</v>
      </c>
      <c r="D86" t="str">
        <f t="shared" si="3"/>
        <v>https://centrodecapacitaciondelsur.com/victimas-por-agentes-quimicos-1010075116/</v>
      </c>
    </row>
    <row r="87" spans="1:4" ht="122.25" customHeight="1" x14ac:dyDescent="0.25">
      <c r="A87" s="19" t="str">
        <f>INSCRITOS!P50</f>
        <v>HUMANIZACION</v>
      </c>
      <c r="B87" s="8" t="str">
        <f t="shared" si="2"/>
        <v>https://centrodecapacitaciondelsur.com/humanizacion-</v>
      </c>
      <c r="C87" s="10">
        <f>INSCRITOS!B50</f>
        <v>1010075116</v>
      </c>
      <c r="D87" t="str">
        <f t="shared" si="3"/>
        <v>https://centrodecapacitaciondelsur.com/humanizacion-1010075116/</v>
      </c>
    </row>
    <row r="88" spans="1:4" ht="122.25" customHeight="1" x14ac:dyDescent="0.25">
      <c r="A88" s="19" t="str">
        <f>INSCRITOS!P51</f>
        <v>SUSTANCIAS</v>
      </c>
      <c r="B88" s="8" t="b">
        <f t="shared" si="2"/>
        <v>0</v>
      </c>
      <c r="C88" s="10">
        <f>INSCRITOS!B51</f>
        <v>1010075116</v>
      </c>
      <c r="D88" t="str">
        <f t="shared" si="3"/>
        <v>FALSO1010075116/</v>
      </c>
    </row>
    <row r="89" spans="1:4" ht="122.25" customHeight="1" x14ac:dyDescent="0.25">
      <c r="A89" s="19" t="str">
        <f>INSCRITOS!P52</f>
        <v>BLS</v>
      </c>
      <c r="B89" s="8" t="str">
        <f t="shared" si="2"/>
        <v>https://centrodecapacitaciondelsur.com/soporte-basico-de-vida-</v>
      </c>
      <c r="C89" s="10">
        <f>INSCRITOS!B52</f>
        <v>1094279414</v>
      </c>
      <c r="D89" t="str">
        <f t="shared" si="3"/>
        <v>https://centrodecapacitaciondelsur.com/soporte-basico-de-vida-1094279414/</v>
      </c>
    </row>
    <row r="90" spans="1:4" ht="122.25" customHeight="1" x14ac:dyDescent="0.25">
      <c r="A90" s="19" t="str">
        <f>INSCRITOS!P53</f>
        <v>APS</v>
      </c>
      <c r="B90" s="8" t="b">
        <f t="shared" si="2"/>
        <v>0</v>
      </c>
      <c r="C90" s="10">
        <f>INSCRITOS!B53</f>
        <v>1010075116</v>
      </c>
      <c r="D90" t="str">
        <f t="shared" si="3"/>
        <v>FALSO1010075116/</v>
      </c>
    </row>
    <row r="91" spans="1:4" ht="122.25" customHeight="1" x14ac:dyDescent="0.25">
      <c r="A91" s="19" t="str">
        <f>INSCRITOS!P54</f>
        <v>BLS</v>
      </c>
      <c r="B91" s="8" t="str">
        <f t="shared" si="2"/>
        <v>https://centrodecapacitaciondelsur.com/soporte-basico-de-vida-</v>
      </c>
      <c r="C91" s="10">
        <f>INSCRITOS!B54</f>
        <v>1004516910</v>
      </c>
      <c r="D91" t="str">
        <f t="shared" si="3"/>
        <v>https://centrodecapacitaciondelsur.com/soporte-basico-de-vida-1004516910/</v>
      </c>
    </row>
    <row r="92" spans="1:4" ht="122.25" customHeight="1" x14ac:dyDescent="0.25">
      <c r="A92" s="19" t="str">
        <f>INSCRITOS!P55</f>
        <v>HUMANIZACION</v>
      </c>
      <c r="B92" s="8" t="str">
        <f t="shared" si="2"/>
        <v>https://centrodecapacitaciondelsur.com/humanizacion-</v>
      </c>
      <c r="C92" s="10">
        <f>INSCRITOS!B55</f>
        <v>1004516910</v>
      </c>
      <c r="D92" t="str">
        <f t="shared" si="3"/>
        <v>https://centrodecapacitaciondelsur.com/humanizacion-1004516910/</v>
      </c>
    </row>
    <row r="93" spans="1:4" ht="122.25" customHeight="1" x14ac:dyDescent="0.25">
      <c r="A93" s="19" t="str">
        <f>INSCRITOS!P56</f>
        <v>DUELO</v>
      </c>
      <c r="B93" s="8" t="str">
        <f t="shared" si="2"/>
        <v>https://centrodecapacitaciondelsur.com/manejo-del-duelo-</v>
      </c>
      <c r="C93" s="10">
        <f>INSCRITOS!B56</f>
        <v>1004516910</v>
      </c>
      <c r="D93" t="str">
        <f t="shared" si="3"/>
        <v>https://centrodecapacitaciondelsur.com/manejo-del-duelo-1004516910/</v>
      </c>
    </row>
    <row r="94" spans="1:4" ht="122.25" customHeight="1" x14ac:dyDescent="0.25">
      <c r="A94" s="19" t="str">
        <f>INSCRITOS!P57</f>
        <v>QUIMICOS</v>
      </c>
      <c r="B94" s="8" t="str">
        <f t="shared" si="2"/>
        <v>https://centrodecapacitaciondelsur.com/victimas-por-agentes-quimicos-</v>
      </c>
      <c r="C94" s="10">
        <f>INSCRITOS!B57</f>
        <v>1004516910</v>
      </c>
      <c r="D94" t="str">
        <f t="shared" si="3"/>
        <v>https://centrodecapacitaciondelsur.com/victimas-por-agentes-quimicos-1004516910/</v>
      </c>
    </row>
    <row r="95" spans="1:4" ht="122.25" customHeight="1" x14ac:dyDescent="0.25">
      <c r="A95" s="19" t="str">
        <f>INSCRITOS!P58</f>
        <v>VIOLENCIA SEXUAL</v>
      </c>
      <c r="B95" s="8" t="str">
        <f t="shared" si="2"/>
        <v>https://centrodecapacitaciondelsur.com/violencia-sexual-</v>
      </c>
      <c r="C95" s="10">
        <f>INSCRITOS!B58</f>
        <v>1004516910</v>
      </c>
      <c r="D95" t="str">
        <f t="shared" si="3"/>
        <v>https://centrodecapacitaciondelsur.com/violencia-sexual-1004516910/</v>
      </c>
    </row>
    <row r="96" spans="1:4" ht="122.25" customHeight="1" x14ac:dyDescent="0.25">
      <c r="A96" s="19" t="str">
        <f>INSCRITOS!P59</f>
        <v>ADMON DE MEDICAMENTOS</v>
      </c>
      <c r="B96" s="8" t="str">
        <f t="shared" si="2"/>
        <v>https://centrodecapacitaciondelsur.com/adm-medicamentos-canalizacion-inyectologia-</v>
      </c>
      <c r="C96" s="10">
        <f>INSCRITOS!B59</f>
        <v>1004516910</v>
      </c>
      <c r="D96" t="str">
        <f t="shared" si="3"/>
        <v>https://centrodecapacitaciondelsur.com/adm-medicamentos-canalizacion-inyectologia-1004516910/</v>
      </c>
    </row>
    <row r="97" spans="1:4" ht="122.25" customHeight="1" x14ac:dyDescent="0.25">
      <c r="A97" s="19" t="str">
        <f>INSCRITOS!P60</f>
        <v>TOMA DE MUESTRAS</v>
      </c>
      <c r="B97" s="8" t="str">
        <f t="shared" si="2"/>
        <v>https://centrodecapacitaciondelsur.com/toma-de-muestras-y-lab-clinico-</v>
      </c>
      <c r="C97" s="10">
        <f>INSCRITOS!B60</f>
        <v>1004516910</v>
      </c>
      <c r="D97" t="str">
        <f t="shared" si="3"/>
        <v>https://centrodecapacitaciondelsur.com/toma-de-muestras-y-lab-clinico-1004516910/</v>
      </c>
    </row>
    <row r="98" spans="1:4" ht="122.25" customHeight="1" x14ac:dyDescent="0.25">
      <c r="A98" s="19" t="str">
        <f>INSCRITOS!P61</f>
        <v>BLS</v>
      </c>
      <c r="B98" s="8" t="str">
        <f t="shared" si="2"/>
        <v>https://centrodecapacitaciondelsur.com/soporte-basico-de-vida-</v>
      </c>
      <c r="C98" s="10">
        <f>INSCRITOS!B61</f>
        <v>1004437731</v>
      </c>
      <c r="D98" t="str">
        <f t="shared" si="3"/>
        <v>https://centrodecapacitaciondelsur.com/soporte-basico-de-vida-1004437731/</v>
      </c>
    </row>
    <row r="99" spans="1:4" ht="122.25" customHeight="1" x14ac:dyDescent="0.25">
      <c r="A99" s="19" t="str">
        <f>INSCRITOS!P62</f>
        <v>DUELO</v>
      </c>
      <c r="B99" s="8" t="str">
        <f t="shared" si="2"/>
        <v>https://centrodecapacitaciondelsur.com/manejo-del-duelo-</v>
      </c>
      <c r="C99" s="10">
        <f>INSCRITOS!B62</f>
        <v>1004437731</v>
      </c>
      <c r="D99" t="str">
        <f t="shared" si="3"/>
        <v>https://centrodecapacitaciondelsur.com/manejo-del-duelo-1004437731/</v>
      </c>
    </row>
    <row r="100" spans="1:4" ht="122.25" customHeight="1" x14ac:dyDescent="0.25">
      <c r="A100" s="19" t="str">
        <f>INSCRITOS!P63</f>
        <v>VIOLENCIA SEXUAL</v>
      </c>
      <c r="B100" s="8" t="str">
        <f t="shared" si="2"/>
        <v>https://centrodecapacitaciondelsur.com/violencia-sexual-</v>
      </c>
      <c r="C100" s="10">
        <f>INSCRITOS!B63</f>
        <v>1004437731</v>
      </c>
      <c r="D100" t="str">
        <f t="shared" si="3"/>
        <v>https://centrodecapacitaciondelsur.com/violencia-sexual-1004437731/</v>
      </c>
    </row>
    <row r="101" spans="1:4" ht="122.25" customHeight="1" x14ac:dyDescent="0.25">
      <c r="A101" s="19" t="str">
        <f>INSCRITOS!P64</f>
        <v>VIOLENCIA SEXUAL</v>
      </c>
      <c r="B101" s="8" t="str">
        <f t="shared" si="2"/>
        <v>https://centrodecapacitaciondelsur.com/violencia-sexual-</v>
      </c>
      <c r="C101" s="10">
        <f>INSCRITOS!B64</f>
        <v>1089030527</v>
      </c>
      <c r="D101" t="str">
        <f t="shared" si="3"/>
        <v>https://centrodecapacitaciondelsur.com/violencia-sexual-1089030527/</v>
      </c>
    </row>
    <row r="102" spans="1:4" ht="122.25" customHeight="1" x14ac:dyDescent="0.25">
      <c r="A102" s="19" t="str">
        <f>INSCRITOS!P65</f>
        <v>HUMANIZACION</v>
      </c>
      <c r="B102" s="8" t="str">
        <f t="shared" si="2"/>
        <v>https://centrodecapacitaciondelsur.com/humanizacion-</v>
      </c>
      <c r="C102" s="10">
        <f>INSCRITOS!B65</f>
        <v>1089030527</v>
      </c>
      <c r="D102" t="str">
        <f t="shared" si="3"/>
        <v>https://centrodecapacitaciondelsur.com/humanizacion-1089030527/</v>
      </c>
    </row>
    <row r="103" spans="1:4" ht="122.25" customHeight="1" x14ac:dyDescent="0.25">
      <c r="A103" s="19" t="str">
        <f>INSCRITOS!P66</f>
        <v>IAMI</v>
      </c>
      <c r="B103" s="8" t="str">
        <f t="shared" si="2"/>
        <v>https://centrodecapacitaciondelsur.com/iami-</v>
      </c>
      <c r="C103" s="10">
        <f>INSCRITOS!B66</f>
        <v>27081574</v>
      </c>
      <c r="D103" t="str">
        <f t="shared" si="3"/>
        <v>https://centrodecapacitaciondelsur.com/iami-27081574/</v>
      </c>
    </row>
    <row r="104" spans="1:4" ht="122.25" customHeight="1" x14ac:dyDescent="0.25">
      <c r="A104" s="19" t="str">
        <f>INSCRITOS!P67</f>
        <v>POCT</v>
      </c>
      <c r="B104" s="8" t="str">
        <f t="shared" si="2"/>
        <v>https://centrodecapacitaciondelsur.com/toma-de-muestras-y-lab-clinico-poct-</v>
      </c>
      <c r="C104" s="10">
        <f>INSCRITOS!B67</f>
        <v>59310860</v>
      </c>
      <c r="D104" t="str">
        <f t="shared" si="3"/>
        <v>https://centrodecapacitaciondelsur.com/toma-de-muestras-y-lab-clinico-poct-59310860/</v>
      </c>
    </row>
    <row r="105" spans="1:4" ht="122.25" customHeight="1" x14ac:dyDescent="0.25">
      <c r="A105" s="19" t="str">
        <f>INSCRITOS!P68</f>
        <v>HUMANIZACION</v>
      </c>
      <c r="B105" s="8" t="str">
        <f t="shared" si="2"/>
        <v>https://centrodecapacitaciondelsur.com/humanizacion-</v>
      </c>
      <c r="C105" s="10">
        <f>INSCRITOS!B68</f>
        <v>1114459093</v>
      </c>
      <c r="D105" t="str">
        <f t="shared" si="3"/>
        <v>https://centrodecapacitaciondelsur.com/humanizacion-1114459093/</v>
      </c>
    </row>
    <row r="106" spans="1:4" ht="122.25" customHeight="1" x14ac:dyDescent="0.25">
      <c r="A106" s="19" t="str">
        <f>INSCRITOS!P69</f>
        <v>PACIENTE</v>
      </c>
      <c r="B106" s="8" t="str">
        <f t="shared" si="2"/>
        <v>https://centrodecapacitaciondelsur.com/seguridad-del-paciente-</v>
      </c>
      <c r="C106" s="10">
        <f>INSCRITOS!B69</f>
        <v>1114459093</v>
      </c>
      <c r="D106" t="str">
        <f t="shared" si="3"/>
        <v>https://centrodecapacitaciondelsur.com/seguridad-del-paciente-1114459093/</v>
      </c>
    </row>
    <row r="107" spans="1:4" ht="122.25" customHeight="1" x14ac:dyDescent="0.25">
      <c r="A107" s="19" t="str">
        <f>INSCRITOS!P70</f>
        <v>DUELO</v>
      </c>
      <c r="B107" s="8" t="str">
        <f t="shared" si="2"/>
        <v>https://centrodecapacitaciondelsur.com/manejo-del-duelo-</v>
      </c>
      <c r="C107" s="10">
        <f>INSCRITOS!B70</f>
        <v>1114459093</v>
      </c>
      <c r="D107" t="str">
        <f t="shared" si="3"/>
        <v>https://centrodecapacitaciondelsur.com/manejo-del-duelo-1114459093/</v>
      </c>
    </row>
    <row r="108" spans="1:4" ht="122.25" customHeight="1" x14ac:dyDescent="0.25">
      <c r="A108" s="19" t="str">
        <f>INSCRITOS!P71</f>
        <v>BLS</v>
      </c>
      <c r="B108" s="8" t="str">
        <f t="shared" si="2"/>
        <v>https://centrodecapacitaciondelsur.com/soporte-basico-de-vida-</v>
      </c>
      <c r="C108" s="10">
        <f>INSCRITOS!B71</f>
        <v>1085690288</v>
      </c>
      <c r="D108" t="str">
        <f t="shared" si="3"/>
        <v>https://centrodecapacitaciondelsur.com/soporte-basico-de-vida-1085690288/</v>
      </c>
    </row>
    <row r="109" spans="1:4" ht="122.25" customHeight="1" x14ac:dyDescent="0.25">
      <c r="A109" s="19" t="str">
        <f>INSCRITOS!P72</f>
        <v>HUMANIZACION</v>
      </c>
      <c r="B109" s="8" t="str">
        <f t="shared" si="2"/>
        <v>https://centrodecapacitaciondelsur.com/humanizacion-</v>
      </c>
      <c r="C109" s="10">
        <f>INSCRITOS!B72</f>
        <v>1085690288</v>
      </c>
      <c r="D109" t="str">
        <f t="shared" si="3"/>
        <v>https://centrodecapacitaciondelsur.com/humanizacion-1085690288/</v>
      </c>
    </row>
    <row r="110" spans="1:4" ht="122.25" customHeight="1" x14ac:dyDescent="0.25">
      <c r="A110" s="19" t="str">
        <f>INSCRITOS!P73</f>
        <v>PACIENTE</v>
      </c>
      <c r="B110" s="8" t="str">
        <f t="shared" si="2"/>
        <v>https://centrodecapacitaciondelsur.com/seguridad-del-paciente-</v>
      </c>
      <c r="C110" s="10">
        <f>INSCRITOS!B73</f>
        <v>1085690288</v>
      </c>
      <c r="D110" t="str">
        <f t="shared" si="3"/>
        <v>https://centrodecapacitaciondelsur.com/seguridad-del-paciente-1085690288/</v>
      </c>
    </row>
    <row r="111" spans="1:4" ht="122.25" customHeight="1" x14ac:dyDescent="0.25">
      <c r="A111" s="19" t="str">
        <f>INSCRITOS!P74</f>
        <v>QUIMICOS</v>
      </c>
      <c r="B111" s="8" t="str">
        <f t="shared" si="2"/>
        <v>https://centrodecapacitaciondelsur.com/victimas-por-agentes-quimicos-</v>
      </c>
      <c r="C111" s="10">
        <f>INSCRITOS!B74</f>
        <v>1085690288</v>
      </c>
      <c r="D111" t="str">
        <f t="shared" si="3"/>
        <v>https://centrodecapacitaciondelsur.com/victimas-por-agentes-quimicos-1085690288/</v>
      </c>
    </row>
    <row r="112" spans="1:4" ht="122.25" customHeight="1" x14ac:dyDescent="0.25">
      <c r="A112" s="19" t="str">
        <f>INSCRITOS!P75</f>
        <v>DUELO</v>
      </c>
      <c r="B112" s="8" t="str">
        <f t="shared" si="2"/>
        <v>https://centrodecapacitaciondelsur.com/manejo-del-duelo-</v>
      </c>
      <c r="C112" s="10">
        <f>INSCRITOS!B75</f>
        <v>1085690288</v>
      </c>
      <c r="D112" t="str">
        <f t="shared" si="3"/>
        <v>https://centrodecapacitaciondelsur.com/manejo-del-duelo-1085690288/</v>
      </c>
    </row>
    <row r="113" spans="1:4" ht="122.25" customHeight="1" x14ac:dyDescent="0.25">
      <c r="A113" s="19" t="str">
        <f>INSCRITOS!P76</f>
        <v>VIOLENCIA SEXUAL</v>
      </c>
      <c r="B113" s="8" t="str">
        <f t="shared" si="2"/>
        <v>https://centrodecapacitaciondelsur.com/violencia-sexual-</v>
      </c>
      <c r="C113" s="10">
        <f>INSCRITOS!B76</f>
        <v>59679711</v>
      </c>
      <c r="D113" t="str">
        <f t="shared" si="3"/>
        <v>https://centrodecapacitaciondelsur.com/violencia-sexual-59679711/</v>
      </c>
    </row>
    <row r="114" spans="1:4" ht="122.25" customHeight="1" x14ac:dyDescent="0.25">
      <c r="A114" s="19" t="str">
        <f>INSCRITOS!P77</f>
        <v>ACLS</v>
      </c>
      <c r="B114" s="8" t="str">
        <f t="shared" si="2"/>
        <v>https://centrodecapacitaciondelsur.com/soporte-cardiovascular-avanzado-</v>
      </c>
      <c r="C114" s="10">
        <f>INSCRITOS!B77</f>
        <v>1020716205</v>
      </c>
      <c r="D114" t="str">
        <f t="shared" si="3"/>
        <v>https://centrodecapacitaciondelsur.com/soporte-cardiovascular-avanzado-1020716205/</v>
      </c>
    </row>
    <row r="115" spans="1:4" ht="122.25" customHeight="1" x14ac:dyDescent="0.25">
      <c r="A115" s="19" t="str">
        <f>INSCRITOS!P78</f>
        <v>ACLS</v>
      </c>
      <c r="B115" s="8" t="str">
        <f t="shared" si="2"/>
        <v>https://centrodecapacitaciondelsur.com/soporte-cardiovascular-avanzado-</v>
      </c>
      <c r="C115" s="10">
        <f>INSCRITOS!B78</f>
        <v>1233189338</v>
      </c>
      <c r="D115" t="str">
        <f t="shared" si="3"/>
        <v>https://centrodecapacitaciondelsur.com/soporte-cardiovascular-avanzado-1233189338/</v>
      </c>
    </row>
    <row r="116" spans="1:4" ht="122.25" customHeight="1" x14ac:dyDescent="0.25">
      <c r="A116" s="19" t="str">
        <f>INSCRITOS!P79</f>
        <v>BLS</v>
      </c>
      <c r="B116" s="8" t="str">
        <f t="shared" si="2"/>
        <v>https://centrodecapacitaciondelsur.com/soporte-basico-de-vida-</v>
      </c>
      <c r="C116" s="10">
        <f>INSCRITOS!B79</f>
        <v>1233189338</v>
      </c>
      <c r="D116" t="str">
        <f t="shared" si="3"/>
        <v>https://centrodecapacitaciondelsur.com/soporte-basico-de-vida-1233189338/</v>
      </c>
    </row>
    <row r="117" spans="1:4" ht="122.25" customHeight="1" x14ac:dyDescent="0.25">
      <c r="A117" s="19" t="str">
        <f>INSCRITOS!P80</f>
        <v>IAMI</v>
      </c>
      <c r="B117" s="8" t="str">
        <f t="shared" si="2"/>
        <v>https://centrodecapacitaciondelsur.com/iami-</v>
      </c>
      <c r="C117" s="10">
        <f>INSCRITOS!B80</f>
        <v>1085272650</v>
      </c>
      <c r="D117" t="str">
        <f t="shared" si="3"/>
        <v>https://centrodecapacitaciondelsur.com/iami-1085272650/</v>
      </c>
    </row>
    <row r="118" spans="1:4" ht="122.25" customHeight="1" x14ac:dyDescent="0.25">
      <c r="A118" s="19" t="str">
        <f>INSCRITOS!P81</f>
        <v>BLS</v>
      </c>
      <c r="B118" s="8" t="str">
        <f t="shared" si="2"/>
        <v>https://centrodecapacitaciondelsur.com/soporte-basico-de-vida-</v>
      </c>
      <c r="C118" s="10">
        <f>INSCRITOS!B81</f>
        <v>1040034476</v>
      </c>
      <c r="D118" t="str">
        <f t="shared" si="3"/>
        <v>https://centrodecapacitaciondelsur.com/soporte-basico-de-vida-1040034476/</v>
      </c>
    </row>
    <row r="119" spans="1:4" ht="122.25" customHeight="1" x14ac:dyDescent="0.25">
      <c r="A119" s="19" t="str">
        <f>INSCRITOS!P82</f>
        <v>QUIMICOS</v>
      </c>
      <c r="B119" s="8" t="str">
        <f t="shared" si="2"/>
        <v>https://centrodecapacitaciondelsur.com/victimas-por-agentes-quimicos-</v>
      </c>
      <c r="C119" s="10">
        <f>INSCRITOS!B82</f>
        <v>1087421530</v>
      </c>
      <c r="D119" t="str">
        <f t="shared" si="3"/>
        <v>https://centrodecapacitaciondelsur.com/victimas-por-agentes-quimicos-1087421530/</v>
      </c>
    </row>
    <row r="120" spans="1:4" ht="122.25" customHeight="1" x14ac:dyDescent="0.25">
      <c r="A120" s="19" t="str">
        <f>INSCRITOS!P83</f>
        <v>SEGURIDAD VIAL</v>
      </c>
      <c r="B120" s="8" t="b">
        <f t="shared" si="2"/>
        <v>0</v>
      </c>
      <c r="C120" s="10">
        <f>INSCRITOS!B83</f>
        <v>1086132741</v>
      </c>
      <c r="D120" t="str">
        <f t="shared" si="3"/>
        <v>FALSO1086132741/</v>
      </c>
    </row>
    <row r="121" spans="1:4" ht="122.25" customHeight="1" x14ac:dyDescent="0.25">
      <c r="A121" s="19" t="str">
        <f>INSCRITOS!P84</f>
        <v>MANEJO DEFENSIVO</v>
      </c>
      <c r="B121" s="8" t="str">
        <f t="shared" si="2"/>
        <v>https://centrodecapacitaciondelsur.com/manejo-defensivo-</v>
      </c>
      <c r="C121" s="10">
        <f>INSCRITOS!B84</f>
        <v>1086132741</v>
      </c>
      <c r="D121" t="str">
        <f t="shared" si="3"/>
        <v>https://centrodecapacitaciondelsur.com/manejo-defensivo-1086132741/</v>
      </c>
    </row>
    <row r="122" spans="1:4" ht="122.25" customHeight="1" x14ac:dyDescent="0.25">
      <c r="A122" s="19" t="str">
        <f>INSCRITOS!P85</f>
        <v>IAMI</v>
      </c>
      <c r="B122" s="8" t="str">
        <f t="shared" si="2"/>
        <v>https://centrodecapacitaciondelsur.com/iami-</v>
      </c>
      <c r="C122" s="10">
        <f>INSCRITOS!B85</f>
        <v>37082400</v>
      </c>
      <c r="D122" t="str">
        <f t="shared" si="3"/>
        <v>https://centrodecapacitaciondelsur.com/iami-37082400/</v>
      </c>
    </row>
    <row r="123" spans="1:4" ht="122.25" customHeight="1" x14ac:dyDescent="0.25">
      <c r="A123" s="19" t="str">
        <f>INSCRITOS!P86</f>
        <v>HUMANIZACION</v>
      </c>
      <c r="B123" s="8" t="str">
        <f t="shared" si="2"/>
        <v>https://centrodecapacitaciondelsur.com/humanizacion-</v>
      </c>
      <c r="C123" s="10">
        <f>INSCRITOS!B86</f>
        <v>36755883</v>
      </c>
      <c r="D123" t="str">
        <f t="shared" si="3"/>
        <v>https://centrodecapacitaciondelsur.com/humanizacion-36755883/</v>
      </c>
    </row>
    <row r="124" spans="1:4" ht="122.25" customHeight="1" x14ac:dyDescent="0.25">
      <c r="A124" s="19" t="str">
        <f>INSCRITOS!P87</f>
        <v>AIEPI</v>
      </c>
      <c r="B124" s="8" t="str">
        <f t="shared" ref="B124:B187" si="4">IF(A124=$H$19,"https://centrodecapacitaciondelsur.com/o-v-e-",IF(A124=$H$2,"https://centrodecapacitaciondelsur.com/aph-",IF(A124=$H$3,"https://centrodecapacitaciondelsur.com/manejo-del-duelo-",IF(A124=$H$4,"https://centrodecapacitaciondelsur.com/victimas-por-agentes-quimicos-",IF(A124=$H$5,"https://centrodecapacitaciondelsur.com/primeros-auxilios-",IF(A124=$H$6,"https://centrodecapacitaciondelsur.com/uci-",IF(A124=$H$8,"https://centrodecapacitaciondelsur.com/humanizacion-",IF(A124=$H$11,"https://centrodecapacitaciondelsur.com/soporte-cardiovascular-avanzado-",IF(A124=$H$12,"https://centrodecapacitaciondelsur.com/camillero-",IF(A124=$H$13,"https://centrodecapacitaciondelsur.com/toma-de-muestras-y-lab-clinico-",IF(A124=$H$14,"https://centrodecapacitaciondelsur.com/soporte-basico-de-vida-",IF(A124=$H$15,"https://centrodecapacitaciondelsur.com/violencia-sexual-",IF(A124=$H$17,"https://centrodecapacitaciondelsur.com/aiepi-",IF(A124=$H$18,"https://centrodecapacitaciondelsur.com/adm-medicamentos-canalizacion-inyectologia-",IF(A124=$H$25,"https://centrodecapacitaciondelsur.com/manejo-del-dolor-y-cuidados-paliativos-",IF(A124=$H$26,"https://centrodecapacitaciondelsur.com/toma-de-muestras-y-lab-clinico-poct-",IF(A124=$H$27,"https://centrodecapacitaciondelsur.com/implante-subdermico-",IF(A124=$H$21,"https://centrodecapacitaciondelsur.com/donante-de-organos-",IF(A124=$H$30,"https://centrodecapacitaciondelsur.com/atencion-a-victimas-del-conflicto-armado-",IF(A124=$H$20,"https://centrodecapacitaciondelsur.com/iami-",IF(A124=$H$22,"https://centrodecapacitaciondelsur.com/violencia-de-genero-",IF(A124=$H$23,"https://centrodecapacitaciondelsur.com/igualdad-de-genero-",IF(A124=$H$16,"https://centrodecapacitaciondelsur.com/pai-",IF(A124=$H$31,"https://centrodecapacitaciondelsur.com/manipulacion-de-alimentos-",IF(A124=$H$32,"https://centrodecapacitaciondelsur.com/atencion-a-personas-con-discapacidad-",IF(A124=$H$33,"https://centrodecapacitaciondelsur.com/atencion-al-adulto-mayor-",IF(A124=$H$34,"https://centrodecapacitaciondelsur.com/manejo-defensivo-",IF(A124=$H$35,"https://centrodecapacitaciondelsur.com/soporte-basico-neonatal-",IF(A124=$H$36,"https://centrodecapacitaciondelsur.com/seguridad-del-paciente-",IF(A124=$H$37,"https://centrodecapacitaciondelsur.com/manejo-de-residuos-hospitalarios-",IF(A124=$H$10,"https://centrodecapacitaciondelsur.com/toma-de-citologia-",IF(A124=$H$29,"https://centrodecapacitaciondelsur.com/primeros-aux-psicologicos-"))))))))))))))))))))))))))))))))</f>
        <v>https://centrodecapacitaciondelsur.com/aiepi-</v>
      </c>
      <c r="C124" s="10">
        <f>INSCRITOS!B87</f>
        <v>1088735247</v>
      </c>
      <c r="D124" t="str">
        <f t="shared" ref="D124:D187" si="5">CONCATENATE(B124,C124,"/")</f>
        <v>https://centrodecapacitaciondelsur.com/aiepi-1088735247/</v>
      </c>
    </row>
    <row r="125" spans="1:4" ht="122.25" customHeight="1" x14ac:dyDescent="0.25">
      <c r="A125" s="19" t="str">
        <f>INSCRITOS!P88</f>
        <v>TRIAGE</v>
      </c>
      <c r="B125" s="8" t="b">
        <f t="shared" si="4"/>
        <v>0</v>
      </c>
      <c r="C125" s="10">
        <f>INSCRITOS!B88</f>
        <v>1088735247</v>
      </c>
      <c r="D125" t="str">
        <f t="shared" si="5"/>
        <v>FALSO1088735247/</v>
      </c>
    </row>
    <row r="126" spans="1:4" ht="122.25" customHeight="1" x14ac:dyDescent="0.25">
      <c r="A126" s="19" t="str">
        <f>INSCRITOS!P89</f>
        <v>IAMI</v>
      </c>
      <c r="B126" s="8" t="str">
        <f t="shared" si="4"/>
        <v>https://centrodecapacitaciondelsur.com/iami-</v>
      </c>
      <c r="C126" s="10">
        <f>INSCRITOS!B89</f>
        <v>1088735247</v>
      </c>
      <c r="D126" t="str">
        <f t="shared" si="5"/>
        <v>https://centrodecapacitaciondelsur.com/iami-1088735247/</v>
      </c>
    </row>
    <row r="127" spans="1:4" ht="122.25" customHeight="1" x14ac:dyDescent="0.25">
      <c r="A127" s="19" t="str">
        <f>INSCRITOS!P90</f>
        <v>BLS</v>
      </c>
      <c r="B127" s="8" t="str">
        <f t="shared" si="4"/>
        <v>https://centrodecapacitaciondelsur.com/soporte-basico-de-vida-</v>
      </c>
      <c r="C127" s="10">
        <f>INSCRITOS!B90</f>
        <v>52056087</v>
      </c>
      <c r="D127" t="str">
        <f t="shared" si="5"/>
        <v>https://centrodecapacitaciondelsur.com/soporte-basico-de-vida-52056087/</v>
      </c>
    </row>
    <row r="128" spans="1:4" ht="122.25" customHeight="1" x14ac:dyDescent="0.25">
      <c r="A128" s="19" t="str">
        <f>INSCRITOS!P91</f>
        <v>HUMANIZACION</v>
      </c>
      <c r="B128" s="8" t="str">
        <f t="shared" si="4"/>
        <v>https://centrodecapacitaciondelsur.com/humanizacion-</v>
      </c>
      <c r="C128" s="10">
        <f>INSCRITOS!B91</f>
        <v>52056087</v>
      </c>
      <c r="D128" t="str">
        <f t="shared" si="5"/>
        <v>https://centrodecapacitaciondelsur.com/humanizacion-52056087/</v>
      </c>
    </row>
    <row r="129" spans="1:5" ht="122.25" customHeight="1" x14ac:dyDescent="0.25">
      <c r="A129" s="19" t="str">
        <f>INSCRITOS!P92</f>
        <v>BLS</v>
      </c>
      <c r="B129" s="8" t="str">
        <f t="shared" si="4"/>
        <v>https://centrodecapacitaciondelsur.com/soporte-basico-de-vida-</v>
      </c>
      <c r="C129" s="10">
        <f>INSCRITOS!B92</f>
        <v>9872812</v>
      </c>
      <c r="D129" t="str">
        <f t="shared" si="5"/>
        <v>https://centrodecapacitaciondelsur.com/soporte-basico-de-vida-9872812/</v>
      </c>
      <c r="E129" t="str" cm="1">
        <f t="array" ref="E129">CodigoQr(D129)</f>
        <v/>
      </c>
    </row>
    <row r="130" spans="1:5" ht="122.25" customHeight="1" x14ac:dyDescent="0.25">
      <c r="A130" s="19" t="str">
        <f>INSCRITOS!P93</f>
        <v>IAMI</v>
      </c>
      <c r="B130" s="8" t="str">
        <f t="shared" si="4"/>
        <v>https://centrodecapacitaciondelsur.com/iami-</v>
      </c>
      <c r="C130" s="10">
        <f>INSCRITOS!B93</f>
        <v>1085284980</v>
      </c>
      <c r="D130" t="str">
        <f t="shared" si="5"/>
        <v>https://centrodecapacitaciondelsur.com/iami-1085284980/</v>
      </c>
    </row>
    <row r="131" spans="1:5" ht="122.25" customHeight="1" x14ac:dyDescent="0.25">
      <c r="A131" s="19" t="str">
        <f>INSCRITOS!P94</f>
        <v>PRIMEROS AUXILIOS</v>
      </c>
      <c r="B131" s="8" t="str">
        <f t="shared" si="4"/>
        <v>https://centrodecapacitaciondelsur.com/primeros-auxilios-</v>
      </c>
      <c r="C131" s="10">
        <f>INSCRITOS!B94</f>
        <v>1087426699</v>
      </c>
      <c r="D131" t="str">
        <f t="shared" si="5"/>
        <v>https://centrodecapacitaciondelsur.com/primeros-auxilios-1087426699/</v>
      </c>
    </row>
    <row r="132" spans="1:5" ht="122.25" customHeight="1" x14ac:dyDescent="0.25">
      <c r="A132" s="19" t="str">
        <f>INSCRITOS!P95</f>
        <v>IAMI</v>
      </c>
      <c r="B132" s="8" t="str">
        <f t="shared" si="4"/>
        <v>https://centrodecapacitaciondelsur.com/iami-</v>
      </c>
      <c r="C132" s="10">
        <f>INSCRITOS!B95</f>
        <v>1085265257</v>
      </c>
      <c r="D132" t="str">
        <f t="shared" si="5"/>
        <v>https://centrodecapacitaciondelsur.com/iami-1085265257/</v>
      </c>
    </row>
    <row r="133" spans="1:5" ht="122.25" customHeight="1" x14ac:dyDescent="0.25">
      <c r="A133" s="19" t="str">
        <f>INSCRITOS!P96</f>
        <v>IAMI</v>
      </c>
      <c r="B133" s="8" t="str">
        <f t="shared" si="4"/>
        <v>https://centrodecapacitaciondelsur.com/iami-</v>
      </c>
      <c r="C133" s="10">
        <f>INSCRITOS!B96</f>
        <v>27090086</v>
      </c>
      <c r="D133" t="str">
        <f t="shared" si="5"/>
        <v>https://centrodecapacitaciondelsur.com/iami-27090086/</v>
      </c>
    </row>
    <row r="134" spans="1:5" ht="122.25" customHeight="1" x14ac:dyDescent="0.25">
      <c r="A134" s="19" t="str">
        <f>INSCRITOS!P97</f>
        <v>BLS</v>
      </c>
      <c r="B134" s="8" t="str">
        <f t="shared" si="4"/>
        <v>https://centrodecapacitaciondelsur.com/soporte-basico-de-vida-</v>
      </c>
      <c r="C134" s="10">
        <f>INSCRITOS!B97</f>
        <v>12752047</v>
      </c>
      <c r="D134" t="str">
        <f t="shared" si="5"/>
        <v>https://centrodecapacitaciondelsur.com/soporte-basico-de-vida-12752047/</v>
      </c>
    </row>
    <row r="135" spans="1:5" ht="122.25" customHeight="1" x14ac:dyDescent="0.25">
      <c r="A135" s="19" t="str">
        <f>INSCRITOS!P98</f>
        <v>QUIMICOS</v>
      </c>
      <c r="B135" s="8" t="str">
        <f t="shared" si="4"/>
        <v>https://centrodecapacitaciondelsur.com/victimas-por-agentes-quimicos-</v>
      </c>
      <c r="C135" s="10">
        <f>INSCRITOS!B98</f>
        <v>1080046139</v>
      </c>
      <c r="D135" t="str">
        <f t="shared" si="5"/>
        <v>https://centrodecapacitaciondelsur.com/victimas-por-agentes-quimicos-1080046139/</v>
      </c>
    </row>
    <row r="136" spans="1:5" ht="122.25" customHeight="1" x14ac:dyDescent="0.25">
      <c r="A136" s="19" t="str">
        <f>INSCRITOS!P99</f>
        <v>VIOLENCIA SEXUAL</v>
      </c>
      <c r="B136" s="8" t="str">
        <f t="shared" si="4"/>
        <v>https://centrodecapacitaciondelsur.com/violencia-sexual-</v>
      </c>
      <c r="C136" s="10">
        <f>INSCRITOS!B99</f>
        <v>1080046139</v>
      </c>
      <c r="D136" t="str">
        <f t="shared" si="5"/>
        <v>https://centrodecapacitaciondelsur.com/violencia-sexual-1080046139/</v>
      </c>
    </row>
    <row r="137" spans="1:5" ht="122.25" customHeight="1" x14ac:dyDescent="0.25">
      <c r="A137" s="19" t="str">
        <f>INSCRITOS!P100</f>
        <v>HUMANIZACION</v>
      </c>
      <c r="B137" s="8" t="str">
        <f t="shared" si="4"/>
        <v>https://centrodecapacitaciondelsur.com/humanizacion-</v>
      </c>
      <c r="C137" s="10">
        <f>INSCRITOS!B100</f>
        <v>1085282089</v>
      </c>
      <c r="D137" t="str">
        <f t="shared" si="5"/>
        <v>https://centrodecapacitaciondelsur.com/humanizacion-1085282089/</v>
      </c>
    </row>
    <row r="138" spans="1:5" ht="122.25" customHeight="1" x14ac:dyDescent="0.25">
      <c r="A138" s="19" t="str">
        <f>INSCRITOS!P101</f>
        <v>ACLS</v>
      </c>
      <c r="B138" s="8" t="str">
        <f t="shared" si="4"/>
        <v>https://centrodecapacitaciondelsur.com/soporte-cardiovascular-avanzado-</v>
      </c>
      <c r="C138" s="10">
        <f>INSCRITOS!B101</f>
        <v>1087617873</v>
      </c>
      <c r="D138" t="str">
        <f t="shared" si="5"/>
        <v>https://centrodecapacitaciondelsur.com/soporte-cardiovascular-avanzado-1087617873/</v>
      </c>
    </row>
    <row r="139" spans="1:5" ht="122.25" customHeight="1" x14ac:dyDescent="0.25">
      <c r="A139" s="19" t="str">
        <f>INSCRITOS!P102</f>
        <v>TOMA DE MUESTRAS</v>
      </c>
      <c r="B139" s="8" t="str">
        <f t="shared" si="4"/>
        <v>https://centrodecapacitaciondelsur.com/toma-de-muestras-y-lab-clinico-</v>
      </c>
      <c r="C139" s="10">
        <f>INSCRITOS!B102</f>
        <v>1087617873</v>
      </c>
      <c r="D139" t="str">
        <f t="shared" si="5"/>
        <v>https://centrodecapacitaciondelsur.com/toma-de-muestras-y-lab-clinico-1087617873/</v>
      </c>
    </row>
    <row r="140" spans="1:5" ht="122.25" customHeight="1" x14ac:dyDescent="0.25">
      <c r="A140" s="19" t="str">
        <f>INSCRITOS!P103</f>
        <v>PALIATIVOS</v>
      </c>
      <c r="B140" s="8" t="str">
        <f t="shared" si="4"/>
        <v>https://centrodecapacitaciondelsur.com/manejo-del-dolor-y-cuidados-paliativos-</v>
      </c>
      <c r="C140" s="10">
        <f>INSCRITOS!B103</f>
        <v>1087617873</v>
      </c>
      <c r="D140" t="str">
        <f t="shared" si="5"/>
        <v>https://centrodecapacitaciondelsur.com/manejo-del-dolor-y-cuidados-paliativos-1087617873/</v>
      </c>
    </row>
    <row r="141" spans="1:5" ht="122.25" customHeight="1" x14ac:dyDescent="0.25">
      <c r="A141" s="19" t="str">
        <f>INSCRITOS!P104</f>
        <v>VIOLENCIA SEXUAL</v>
      </c>
      <c r="B141" s="8" t="str">
        <f t="shared" si="4"/>
        <v>https://centrodecapacitaciondelsur.com/violencia-sexual-</v>
      </c>
      <c r="C141" s="10">
        <f>INSCRITOS!B104</f>
        <v>1087617873</v>
      </c>
      <c r="D141" t="str">
        <f t="shared" si="5"/>
        <v>https://centrodecapacitaciondelsur.com/violencia-sexual-1087617873/</v>
      </c>
    </row>
    <row r="142" spans="1:5" ht="122.25" customHeight="1" x14ac:dyDescent="0.25">
      <c r="A142" s="19" t="str">
        <f>INSCRITOS!P105</f>
        <v>QUIMICOS</v>
      </c>
      <c r="B142" s="8" t="str">
        <f t="shared" si="4"/>
        <v>https://centrodecapacitaciondelsur.com/victimas-por-agentes-quimicos-</v>
      </c>
      <c r="C142" s="10">
        <f>INSCRITOS!B105</f>
        <v>1087617873</v>
      </c>
      <c r="D142" t="str">
        <f t="shared" si="5"/>
        <v>https://centrodecapacitaciondelsur.com/victimas-por-agentes-quimicos-1087617873/</v>
      </c>
    </row>
    <row r="143" spans="1:5" ht="122.25" customHeight="1" x14ac:dyDescent="0.25">
      <c r="A143" s="19" t="str">
        <f>INSCRITOS!P106</f>
        <v>IAMI</v>
      </c>
      <c r="B143" s="8" t="str">
        <f t="shared" si="4"/>
        <v>https://centrodecapacitaciondelsur.com/iami-</v>
      </c>
      <c r="C143" s="10">
        <f>INSCRITOS!B106</f>
        <v>36756919</v>
      </c>
      <c r="D143" t="str">
        <f t="shared" si="5"/>
        <v>https://centrodecapacitaciondelsur.com/iami-36756919/</v>
      </c>
    </row>
    <row r="144" spans="1:5" ht="122.25" customHeight="1" x14ac:dyDescent="0.25">
      <c r="A144" s="19" t="str">
        <f>INSCRITOS!P107</f>
        <v>BLS</v>
      </c>
      <c r="B144" s="8" t="str">
        <f t="shared" si="4"/>
        <v>https://centrodecapacitaciondelsur.com/soporte-basico-de-vida-</v>
      </c>
      <c r="C144" s="10">
        <f>INSCRITOS!B107</f>
        <v>1087419325</v>
      </c>
      <c r="D144" t="str">
        <f t="shared" si="5"/>
        <v>https://centrodecapacitaciondelsur.com/soporte-basico-de-vida-1087419325/</v>
      </c>
    </row>
    <row r="145" spans="1:4" ht="122.25" customHeight="1" x14ac:dyDescent="0.25">
      <c r="A145" s="19" t="str">
        <f>INSCRITOS!P108</f>
        <v>ACLS</v>
      </c>
      <c r="B145" s="8" t="str">
        <f t="shared" si="4"/>
        <v>https://centrodecapacitaciondelsur.com/soporte-cardiovascular-avanzado-</v>
      </c>
      <c r="C145" s="10">
        <f>INSCRITOS!B108</f>
        <v>1022370824</v>
      </c>
      <c r="D145" t="str">
        <f t="shared" si="5"/>
        <v>https://centrodecapacitaciondelsur.com/soporte-cardiovascular-avanzado-1022370824/</v>
      </c>
    </row>
    <row r="146" spans="1:4" ht="122.25" customHeight="1" x14ac:dyDescent="0.25">
      <c r="A146" s="19" t="str">
        <f>INSCRITOS!P109</f>
        <v>ACLS</v>
      </c>
      <c r="B146" s="8" t="str">
        <f t="shared" si="4"/>
        <v>https://centrodecapacitaciondelsur.com/soporte-cardiovascular-avanzado-</v>
      </c>
      <c r="C146" s="10">
        <f>INSCRITOS!B109</f>
        <v>1032441992</v>
      </c>
      <c r="D146" t="str">
        <f t="shared" si="5"/>
        <v>https://centrodecapacitaciondelsur.com/soporte-cardiovascular-avanzado-1032441992/</v>
      </c>
    </row>
    <row r="147" spans="1:4" ht="122.25" customHeight="1" x14ac:dyDescent="0.25">
      <c r="A147" s="19" t="str">
        <f>INSCRITOS!P110</f>
        <v>HUMANIZACION</v>
      </c>
      <c r="B147" s="8" t="str">
        <f t="shared" si="4"/>
        <v>https://centrodecapacitaciondelsur.com/humanizacion-</v>
      </c>
      <c r="C147" s="10">
        <f>INSCRITOS!B110</f>
        <v>1088972827</v>
      </c>
      <c r="D147" t="str">
        <f t="shared" si="5"/>
        <v>https://centrodecapacitaciondelsur.com/humanizacion-1088972827/</v>
      </c>
    </row>
    <row r="148" spans="1:4" ht="122.25" customHeight="1" x14ac:dyDescent="0.25">
      <c r="A148" s="19" t="str">
        <f>INSCRITOS!P111</f>
        <v>VIOLENCIA DE GENERO</v>
      </c>
      <c r="B148" s="8" t="str">
        <f t="shared" si="4"/>
        <v>https://centrodecapacitaciondelsur.com/violencia-de-genero-</v>
      </c>
      <c r="C148" s="10">
        <f>INSCRITOS!B111</f>
        <v>1127075119</v>
      </c>
      <c r="D148" t="str">
        <f t="shared" si="5"/>
        <v>https://centrodecapacitaciondelsur.com/violencia-de-genero-1127075119/</v>
      </c>
    </row>
    <row r="149" spans="1:4" ht="122.25" customHeight="1" x14ac:dyDescent="0.25">
      <c r="A149" s="19" t="str">
        <f>INSCRITOS!P112</f>
        <v>DUELO</v>
      </c>
      <c r="B149" s="8" t="str">
        <f t="shared" si="4"/>
        <v>https://centrodecapacitaciondelsur.com/manejo-del-duelo-</v>
      </c>
      <c r="C149" s="10">
        <f>INSCRITOS!B112</f>
        <v>1127075119</v>
      </c>
      <c r="D149" t="str">
        <f t="shared" si="5"/>
        <v>https://centrodecapacitaciondelsur.com/manejo-del-duelo-1127075119/</v>
      </c>
    </row>
    <row r="150" spans="1:4" ht="122.25" customHeight="1" x14ac:dyDescent="0.25">
      <c r="A150" s="19" t="str">
        <f>INSCRITOS!P113</f>
        <v>VIOLENCIA SEXUAL</v>
      </c>
      <c r="B150" s="8" t="str">
        <f t="shared" si="4"/>
        <v>https://centrodecapacitaciondelsur.com/violencia-sexual-</v>
      </c>
      <c r="C150" s="10">
        <f>INSCRITOS!B113</f>
        <v>27389058</v>
      </c>
      <c r="D150" t="str">
        <f t="shared" si="5"/>
        <v>https://centrodecapacitaciondelsur.com/violencia-sexual-27389058/</v>
      </c>
    </row>
    <row r="151" spans="1:4" ht="122.25" customHeight="1" x14ac:dyDescent="0.25">
      <c r="A151" s="19" t="str">
        <f>INSCRITOS!P114</f>
        <v>BLS</v>
      </c>
      <c r="B151" s="8" t="str">
        <f t="shared" si="4"/>
        <v>https://centrodecapacitaciondelsur.com/soporte-basico-de-vida-</v>
      </c>
      <c r="C151" s="10">
        <f>INSCRITOS!B114</f>
        <v>27389058</v>
      </c>
      <c r="D151" t="str">
        <f t="shared" si="5"/>
        <v>https://centrodecapacitaciondelsur.com/soporte-basico-de-vida-27389058/</v>
      </c>
    </row>
    <row r="152" spans="1:4" ht="122.25" customHeight="1" x14ac:dyDescent="0.25">
      <c r="A152" s="19" t="str">
        <f>INSCRITOS!P115</f>
        <v>DUELO</v>
      </c>
      <c r="B152" s="8" t="str">
        <f t="shared" si="4"/>
        <v>https://centrodecapacitaciondelsur.com/manejo-del-duelo-</v>
      </c>
      <c r="C152" s="10">
        <f>INSCRITOS!B115</f>
        <v>27389058</v>
      </c>
      <c r="D152" t="str">
        <f t="shared" si="5"/>
        <v>https://centrodecapacitaciondelsur.com/manejo-del-duelo-27389058/</v>
      </c>
    </row>
    <row r="153" spans="1:4" ht="122.25" customHeight="1" x14ac:dyDescent="0.25">
      <c r="A153" s="19" t="str">
        <f>INSCRITOS!P116</f>
        <v>VIOLENCIA DE GENERO</v>
      </c>
      <c r="B153" s="8" t="str">
        <f t="shared" si="4"/>
        <v>https://centrodecapacitaciondelsur.com/violencia-de-genero-</v>
      </c>
      <c r="C153" s="10">
        <f>INSCRITOS!B116</f>
        <v>1004575583</v>
      </c>
      <c r="D153" t="str">
        <f t="shared" si="5"/>
        <v>https://centrodecapacitaciondelsur.com/violencia-de-genero-1004575583/</v>
      </c>
    </row>
    <row r="154" spans="1:4" ht="122.25" customHeight="1" x14ac:dyDescent="0.25">
      <c r="A154" s="19" t="str">
        <f>INSCRITOS!P117</f>
        <v>VIOLENCIA DE GENERO</v>
      </c>
      <c r="B154" s="8" t="str">
        <f t="shared" si="4"/>
        <v>https://centrodecapacitaciondelsur.com/violencia-de-genero-</v>
      </c>
      <c r="C154" s="10">
        <f>INSCRITOS!B117</f>
        <v>1087188471</v>
      </c>
      <c r="D154" t="str">
        <f t="shared" si="5"/>
        <v>https://centrodecapacitaciondelsur.com/violencia-de-genero-1087188471/</v>
      </c>
    </row>
    <row r="155" spans="1:4" ht="122.25" customHeight="1" x14ac:dyDescent="0.25">
      <c r="A155" s="19" t="str">
        <f>INSCRITOS!P118</f>
        <v>VIOLENCIA DE GENERO</v>
      </c>
      <c r="B155" s="8" t="str">
        <f t="shared" si="4"/>
        <v>https://centrodecapacitaciondelsur.com/violencia-de-genero-</v>
      </c>
      <c r="C155" s="10">
        <f>INSCRITOS!B118</f>
        <v>1004574826</v>
      </c>
      <c r="D155" t="str">
        <f t="shared" si="5"/>
        <v>https://centrodecapacitaciondelsur.com/violencia-de-genero-1004574826/</v>
      </c>
    </row>
    <row r="156" spans="1:4" ht="122.25" customHeight="1" x14ac:dyDescent="0.25">
      <c r="A156" s="19" t="str">
        <f>INSCRITOS!P119</f>
        <v>VIOLENCIA DE GENERO</v>
      </c>
      <c r="B156" s="8" t="str">
        <f t="shared" si="4"/>
        <v>https://centrodecapacitaciondelsur.com/violencia-de-genero-</v>
      </c>
      <c r="C156" s="10">
        <f>INSCRITOS!B119</f>
        <v>36835366</v>
      </c>
      <c r="D156" t="str">
        <f t="shared" si="5"/>
        <v>https://centrodecapacitaciondelsur.com/violencia-de-genero-36835366/</v>
      </c>
    </row>
    <row r="157" spans="1:4" ht="122.25" customHeight="1" x14ac:dyDescent="0.25">
      <c r="A157" s="19" t="str">
        <f>INSCRITOS!P120</f>
        <v>SALUD MENTAL</v>
      </c>
      <c r="B157" s="8" t="b">
        <f t="shared" si="4"/>
        <v>0</v>
      </c>
      <c r="C157" s="10">
        <f>INSCRITOS!B120</f>
        <v>1127075119</v>
      </c>
      <c r="D157" t="str">
        <f t="shared" si="5"/>
        <v>FALSO1127075119/</v>
      </c>
    </row>
    <row r="158" spans="1:4" ht="122.25" customHeight="1" x14ac:dyDescent="0.25">
      <c r="A158" s="19" t="str">
        <f>INSCRITOS!P121</f>
        <v>VIOLENCIA SEXUAL</v>
      </c>
      <c r="B158" s="8" t="str">
        <f t="shared" si="4"/>
        <v>https://centrodecapacitaciondelsur.com/violencia-sexual-</v>
      </c>
      <c r="C158" s="10">
        <f>INSCRITOS!B121</f>
        <v>1127075119</v>
      </c>
      <c r="D158" t="str">
        <f t="shared" si="5"/>
        <v>https://centrodecapacitaciondelsur.com/violencia-sexual-1127075119/</v>
      </c>
    </row>
    <row r="159" spans="1:4" ht="122.25" customHeight="1" x14ac:dyDescent="0.25">
      <c r="A159" s="19" t="str">
        <f>INSCRITOS!P122</f>
        <v>HUMANIZACION</v>
      </c>
      <c r="B159" s="8" t="str">
        <f t="shared" si="4"/>
        <v>https://centrodecapacitaciondelsur.com/humanizacion-</v>
      </c>
      <c r="C159" s="10">
        <f>INSCRITOS!B122</f>
        <v>1127075119</v>
      </c>
      <c r="D159" t="str">
        <f t="shared" si="5"/>
        <v>https://centrodecapacitaciondelsur.com/humanizacion-1127075119/</v>
      </c>
    </row>
    <row r="160" spans="1:4" ht="122.25" customHeight="1" x14ac:dyDescent="0.25">
      <c r="A160" s="19" t="str">
        <f>INSCRITOS!P123</f>
        <v>CONFLICTO ARMADO</v>
      </c>
      <c r="B160" s="8" t="str">
        <f t="shared" si="4"/>
        <v>https://centrodecapacitaciondelsur.com/atencion-a-victimas-del-conflicto-armado-</v>
      </c>
      <c r="C160" s="10">
        <f>INSCRITOS!B123</f>
        <v>1127075119</v>
      </c>
      <c r="D160" t="str">
        <f t="shared" si="5"/>
        <v>https://centrodecapacitaciondelsur.com/atencion-a-victimas-del-conflicto-armado-1127075119/</v>
      </c>
    </row>
    <row r="161" spans="1:4" ht="122.25" customHeight="1" x14ac:dyDescent="0.25">
      <c r="A161" s="19" t="str">
        <f>INSCRITOS!P124</f>
        <v>ACLS</v>
      </c>
      <c r="B161" s="8" t="str">
        <f t="shared" si="4"/>
        <v>https://centrodecapacitaciondelsur.com/soporte-cardiovascular-avanzado-</v>
      </c>
      <c r="C161" s="10">
        <f>INSCRITOS!B124</f>
        <v>1085339035</v>
      </c>
      <c r="D161" t="str">
        <f t="shared" si="5"/>
        <v>https://centrodecapacitaciondelsur.com/soporte-cardiovascular-avanzado-1085339035/</v>
      </c>
    </row>
    <row r="162" spans="1:4" ht="122.25" customHeight="1" x14ac:dyDescent="0.25">
      <c r="A162" s="19" t="str">
        <f>INSCRITOS!P125</f>
        <v>VIOLENCIA SEXUAL</v>
      </c>
      <c r="B162" s="8" t="str">
        <f t="shared" si="4"/>
        <v>https://centrodecapacitaciondelsur.com/violencia-sexual-</v>
      </c>
      <c r="C162" s="10">
        <f>INSCRITOS!B125</f>
        <v>27314992</v>
      </c>
      <c r="D162" t="str">
        <f t="shared" si="5"/>
        <v>https://centrodecapacitaciondelsur.com/violencia-sexual-27314992/</v>
      </c>
    </row>
    <row r="163" spans="1:4" ht="122.25" customHeight="1" x14ac:dyDescent="0.25">
      <c r="A163" s="19" t="str">
        <f>INSCRITOS!P126</f>
        <v>QUIMICOS</v>
      </c>
      <c r="B163" s="8" t="str">
        <f t="shared" si="4"/>
        <v>https://centrodecapacitaciondelsur.com/victimas-por-agentes-quimicos-</v>
      </c>
      <c r="C163" s="10">
        <f>INSCRITOS!B126</f>
        <v>27314992</v>
      </c>
      <c r="D163" t="str">
        <f t="shared" si="5"/>
        <v>https://centrodecapacitaciondelsur.com/victimas-por-agentes-quimicos-27314992/</v>
      </c>
    </row>
    <row r="164" spans="1:4" ht="122.25" customHeight="1" x14ac:dyDescent="0.25">
      <c r="A164" s="19" t="str">
        <f>INSCRITOS!P127</f>
        <v>BLS</v>
      </c>
      <c r="B164" s="8" t="str">
        <f t="shared" si="4"/>
        <v>https://centrodecapacitaciondelsur.com/soporte-basico-de-vida-</v>
      </c>
      <c r="C164" s="10">
        <f>INSCRITOS!B127</f>
        <v>27081932</v>
      </c>
      <c r="D164" t="str">
        <f t="shared" si="5"/>
        <v>https://centrodecapacitaciondelsur.com/soporte-basico-de-vida-27081932/</v>
      </c>
    </row>
    <row r="165" spans="1:4" ht="122.25" customHeight="1" x14ac:dyDescent="0.25">
      <c r="A165" s="19" t="str">
        <f>INSCRITOS!P128</f>
        <v>DUELO</v>
      </c>
      <c r="B165" s="8" t="str">
        <f t="shared" si="4"/>
        <v>https://centrodecapacitaciondelsur.com/manejo-del-duelo-</v>
      </c>
      <c r="C165" s="10">
        <f>INSCRITOS!B128</f>
        <v>27081932</v>
      </c>
      <c r="D165" t="str">
        <f t="shared" si="5"/>
        <v>https://centrodecapacitaciondelsur.com/manejo-del-duelo-27081932/</v>
      </c>
    </row>
    <row r="166" spans="1:4" ht="122.25" customHeight="1" x14ac:dyDescent="0.25">
      <c r="A166" s="19" t="str">
        <f>INSCRITOS!P129</f>
        <v>VIOLENCIA SEXUAL</v>
      </c>
      <c r="B166" s="8" t="str">
        <f t="shared" si="4"/>
        <v>https://centrodecapacitaciondelsur.com/violencia-sexual-</v>
      </c>
      <c r="C166" s="10">
        <f>INSCRITOS!B129</f>
        <v>1004508285</v>
      </c>
      <c r="D166" t="str">
        <f t="shared" si="5"/>
        <v>https://centrodecapacitaciondelsur.com/violencia-sexual-1004508285/</v>
      </c>
    </row>
    <row r="167" spans="1:4" ht="122.25" customHeight="1" x14ac:dyDescent="0.25">
      <c r="A167" s="19" t="str">
        <f>INSCRITOS!P130</f>
        <v>CONFLICTO ARMADO</v>
      </c>
      <c r="B167" s="8" t="str">
        <f t="shared" si="4"/>
        <v>https://centrodecapacitaciondelsur.com/atencion-a-victimas-del-conflicto-armado-</v>
      </c>
      <c r="C167" s="10">
        <f>INSCRITOS!B130</f>
        <v>27081932</v>
      </c>
      <c r="D167" t="str">
        <f t="shared" si="5"/>
        <v>https://centrodecapacitaciondelsur.com/atencion-a-victimas-del-conflicto-armado-27081932/</v>
      </c>
    </row>
    <row r="168" spans="1:4" ht="122.25" customHeight="1" x14ac:dyDescent="0.25">
      <c r="A168" s="19" t="str">
        <f>INSCRITOS!P131</f>
        <v>VIOLENCIA SEXUAL</v>
      </c>
      <c r="B168" s="8" t="str">
        <f t="shared" si="4"/>
        <v>https://centrodecapacitaciondelsur.com/violencia-sexual-</v>
      </c>
      <c r="C168" s="10">
        <f>INSCRITOS!B131</f>
        <v>1004623899</v>
      </c>
      <c r="D168" t="str">
        <f t="shared" si="5"/>
        <v>https://centrodecapacitaciondelsur.com/violencia-sexual-1004623899/</v>
      </c>
    </row>
    <row r="169" spans="1:4" ht="122.25" customHeight="1" x14ac:dyDescent="0.25">
      <c r="A169" s="19" t="str">
        <f>INSCRITOS!P132</f>
        <v>CONFLICTO ARMADO</v>
      </c>
      <c r="B169" s="8" t="str">
        <f t="shared" si="4"/>
        <v>https://centrodecapacitaciondelsur.com/atencion-a-victimas-del-conflicto-armado-</v>
      </c>
      <c r="C169" s="10">
        <f>INSCRITOS!B132</f>
        <v>1085262542</v>
      </c>
      <c r="D169" t="str">
        <f t="shared" si="5"/>
        <v>https://centrodecapacitaciondelsur.com/atencion-a-victimas-del-conflicto-armado-1085262542/</v>
      </c>
    </row>
    <row r="170" spans="1:4" ht="122.25" customHeight="1" x14ac:dyDescent="0.25">
      <c r="A170" s="19" t="str">
        <f>INSCRITOS!P133</f>
        <v>CONFLICTO ARMADO</v>
      </c>
      <c r="B170" s="8" t="str">
        <f t="shared" si="4"/>
        <v>https://centrodecapacitaciondelsur.com/atencion-a-victimas-del-conflicto-armado-</v>
      </c>
      <c r="C170" s="10">
        <f>INSCRITOS!B133</f>
        <v>1085322474</v>
      </c>
      <c r="D170" t="str">
        <f t="shared" si="5"/>
        <v>https://centrodecapacitaciondelsur.com/atencion-a-victimas-del-conflicto-armado-1085322474/</v>
      </c>
    </row>
    <row r="171" spans="1:4" ht="122.25" customHeight="1" x14ac:dyDescent="0.25">
      <c r="A171" s="19" t="str">
        <f>INSCRITOS!P134</f>
        <v>CONFLICTO ARMADO</v>
      </c>
      <c r="B171" s="8" t="str">
        <f t="shared" si="4"/>
        <v>https://centrodecapacitaciondelsur.com/atencion-a-victimas-del-conflicto-armado-</v>
      </c>
      <c r="C171" s="10">
        <f>INSCRITOS!B134</f>
        <v>1085347409</v>
      </c>
      <c r="D171" t="str">
        <f t="shared" si="5"/>
        <v>https://centrodecapacitaciondelsur.com/atencion-a-victimas-del-conflicto-armado-1085347409/</v>
      </c>
    </row>
    <row r="172" spans="1:4" ht="122.25" customHeight="1" x14ac:dyDescent="0.25">
      <c r="A172" s="19" t="str">
        <f>INSCRITOS!P135</f>
        <v>AIEPI</v>
      </c>
      <c r="B172" s="8" t="str">
        <f t="shared" si="4"/>
        <v>https://centrodecapacitaciondelsur.com/aiepi-</v>
      </c>
      <c r="C172" s="10">
        <f>INSCRITOS!B135</f>
        <v>1053784604</v>
      </c>
      <c r="D172" t="str">
        <f t="shared" si="5"/>
        <v>https://centrodecapacitaciondelsur.com/aiepi-1053784604/</v>
      </c>
    </row>
    <row r="173" spans="1:4" ht="122.25" customHeight="1" x14ac:dyDescent="0.25">
      <c r="A173" s="19" t="str">
        <f>INSCRITOS!P136</f>
        <v>IAMI</v>
      </c>
      <c r="B173" s="8" t="str">
        <f t="shared" si="4"/>
        <v>https://centrodecapacitaciondelsur.com/iami-</v>
      </c>
      <c r="C173" s="10">
        <f>INSCRITOS!B136</f>
        <v>1053784604</v>
      </c>
      <c r="D173" t="str">
        <f t="shared" si="5"/>
        <v>https://centrodecapacitaciondelsur.com/iami-1053784604/</v>
      </c>
    </row>
    <row r="174" spans="1:4" ht="122.25" customHeight="1" x14ac:dyDescent="0.25">
      <c r="A174" s="19" t="str">
        <f>INSCRITOS!P137</f>
        <v>ACLS</v>
      </c>
      <c r="B174" s="8" t="str">
        <f t="shared" si="4"/>
        <v>https://centrodecapacitaciondelsur.com/soporte-cardiovascular-avanzado-</v>
      </c>
      <c r="C174" s="10">
        <f>INSCRITOS!B137</f>
        <v>1085344728</v>
      </c>
      <c r="D174" t="str">
        <f t="shared" si="5"/>
        <v>https://centrodecapacitaciondelsur.com/soporte-cardiovascular-avanzado-1085344728/</v>
      </c>
    </row>
    <row r="175" spans="1:4" ht="122.25" customHeight="1" x14ac:dyDescent="0.25">
      <c r="A175" s="19" t="str">
        <f>INSCRITOS!P138</f>
        <v>BLS</v>
      </c>
      <c r="B175" s="8" t="str">
        <f t="shared" si="4"/>
        <v>https://centrodecapacitaciondelsur.com/soporte-basico-de-vida-</v>
      </c>
      <c r="C175" s="10">
        <f>INSCRITOS!B138</f>
        <v>1085344728</v>
      </c>
      <c r="D175" t="str">
        <f t="shared" si="5"/>
        <v>https://centrodecapacitaciondelsur.com/soporte-basico-de-vida-1085344728/</v>
      </c>
    </row>
    <row r="176" spans="1:4" ht="122.25" customHeight="1" x14ac:dyDescent="0.25">
      <c r="A176" s="19" t="str">
        <f>INSCRITOS!P139</f>
        <v>QUIMICOS</v>
      </c>
      <c r="B176" s="8" t="str">
        <f t="shared" si="4"/>
        <v>https://centrodecapacitaciondelsur.com/victimas-por-agentes-quimicos-</v>
      </c>
      <c r="C176" s="10">
        <f>INSCRITOS!B139</f>
        <v>1085344728</v>
      </c>
      <c r="D176" t="str">
        <f t="shared" si="5"/>
        <v>https://centrodecapacitaciondelsur.com/victimas-por-agentes-quimicos-1085344728/</v>
      </c>
    </row>
    <row r="177" spans="1:4" ht="122.25" customHeight="1" x14ac:dyDescent="0.25">
      <c r="A177" s="19" t="str">
        <f>INSCRITOS!P140</f>
        <v>VIOLENCIA SEXUAL</v>
      </c>
      <c r="B177" s="8" t="str">
        <f t="shared" si="4"/>
        <v>https://centrodecapacitaciondelsur.com/violencia-sexual-</v>
      </c>
      <c r="C177" s="10">
        <f>INSCRITOS!B140</f>
        <v>1085344728</v>
      </c>
      <c r="D177" t="str">
        <f t="shared" si="5"/>
        <v>https://centrodecapacitaciondelsur.com/violencia-sexual-1085344728/</v>
      </c>
    </row>
    <row r="178" spans="1:4" ht="122.25" customHeight="1" x14ac:dyDescent="0.25">
      <c r="A178" s="19" t="str">
        <f>INSCRITOS!P141</f>
        <v>HUMANIZACION</v>
      </c>
      <c r="B178" s="8" t="str">
        <f t="shared" si="4"/>
        <v>https://centrodecapacitaciondelsur.com/humanizacion-</v>
      </c>
      <c r="C178" s="10">
        <f>INSCRITOS!B141</f>
        <v>1089484199</v>
      </c>
      <c r="D178" t="str">
        <f t="shared" si="5"/>
        <v>https://centrodecapacitaciondelsur.com/humanizacion-1089484199/</v>
      </c>
    </row>
    <row r="179" spans="1:4" ht="122.25" customHeight="1" x14ac:dyDescent="0.25">
      <c r="A179" s="19" t="str">
        <f>INSCRITOS!P142</f>
        <v>HUMANIZACION</v>
      </c>
      <c r="B179" s="8" t="str">
        <f t="shared" si="4"/>
        <v>https://centrodecapacitaciondelsur.com/humanizacion-</v>
      </c>
      <c r="C179" s="10">
        <f>INSCRITOS!B142</f>
        <v>59705774</v>
      </c>
      <c r="D179" t="str">
        <f t="shared" si="5"/>
        <v>https://centrodecapacitaciondelsur.com/humanizacion-59705774/</v>
      </c>
    </row>
    <row r="180" spans="1:4" ht="122.25" customHeight="1" x14ac:dyDescent="0.25">
      <c r="A180" s="19" t="str">
        <f>INSCRITOS!P143</f>
        <v>VIOLENCIA SEXUAL</v>
      </c>
      <c r="B180" s="8" t="str">
        <f t="shared" si="4"/>
        <v>https://centrodecapacitaciondelsur.com/violencia-sexual-</v>
      </c>
      <c r="C180" s="10">
        <f>INSCRITOS!B143</f>
        <v>1152708839</v>
      </c>
      <c r="D180" t="str">
        <f t="shared" si="5"/>
        <v>https://centrodecapacitaciondelsur.com/violencia-sexual-1152708839/</v>
      </c>
    </row>
    <row r="181" spans="1:4" ht="122.25" customHeight="1" x14ac:dyDescent="0.25">
      <c r="A181" s="19" t="str">
        <f>INSCRITOS!P144</f>
        <v>BLS</v>
      </c>
      <c r="B181" s="8" t="str">
        <f t="shared" si="4"/>
        <v>https://centrodecapacitaciondelsur.com/soporte-basico-de-vida-</v>
      </c>
      <c r="C181" s="10">
        <f>INSCRITOS!B144</f>
        <v>1085260780</v>
      </c>
      <c r="D181" t="str">
        <f t="shared" si="5"/>
        <v>https://centrodecapacitaciondelsur.com/soporte-basico-de-vida-1085260780/</v>
      </c>
    </row>
    <row r="182" spans="1:4" ht="122.25" customHeight="1" x14ac:dyDescent="0.25">
      <c r="A182" s="19" t="str">
        <f>INSCRITOS!P145</f>
        <v>RADIOPROTECCION</v>
      </c>
      <c r="B182" s="8" t="s">
        <v>531</v>
      </c>
      <c r="C182" s="10">
        <f>INSCRITOS!B145</f>
        <v>59396292</v>
      </c>
      <c r="D182" t="str">
        <f t="shared" si="5"/>
        <v>https://centrodecapacitaciondelsur.com/radioproteccion-59396292/</v>
      </c>
    </row>
    <row r="183" spans="1:4" ht="122.25" customHeight="1" x14ac:dyDescent="0.25">
      <c r="A183" s="19" t="str">
        <f>INSCRITOS!P146</f>
        <v>AIEPI</v>
      </c>
      <c r="B183" s="8" t="str">
        <f t="shared" si="4"/>
        <v>https://centrodecapacitaciondelsur.com/aiepi-</v>
      </c>
      <c r="C183" s="10">
        <f>INSCRITOS!B146</f>
        <v>1085282460</v>
      </c>
      <c r="D183" t="str">
        <f t="shared" si="5"/>
        <v>https://centrodecapacitaciondelsur.com/aiepi-1085282460/</v>
      </c>
    </row>
    <row r="184" spans="1:4" ht="122.25" customHeight="1" x14ac:dyDescent="0.25">
      <c r="A184" s="19" t="str">
        <f>INSCRITOS!P147</f>
        <v>IAMI</v>
      </c>
      <c r="B184" s="8" t="str">
        <f t="shared" si="4"/>
        <v>https://centrodecapacitaciondelsur.com/iami-</v>
      </c>
      <c r="C184" s="10">
        <f>INSCRITOS!B147</f>
        <v>1085282460</v>
      </c>
      <c r="D184" t="str">
        <f t="shared" si="5"/>
        <v>https://centrodecapacitaciondelsur.com/iami-1085282460/</v>
      </c>
    </row>
    <row r="185" spans="1:4" ht="122.25" customHeight="1" x14ac:dyDescent="0.25">
      <c r="A185" s="19" t="str">
        <f>INSCRITOS!P148</f>
        <v>IAMI</v>
      </c>
      <c r="B185" s="8" t="str">
        <f t="shared" si="4"/>
        <v>https://centrodecapacitaciondelsur.com/iami-</v>
      </c>
      <c r="C185" s="10">
        <f>INSCRITOS!B148</f>
        <v>1085252538</v>
      </c>
      <c r="D185" t="str">
        <f t="shared" si="5"/>
        <v>https://centrodecapacitaciondelsur.com/iami-1085252538/</v>
      </c>
    </row>
    <row r="186" spans="1:4" ht="122.25" customHeight="1" x14ac:dyDescent="0.25">
      <c r="A186" s="19" t="str">
        <f>INSCRITOS!P149</f>
        <v>DUELO</v>
      </c>
      <c r="B186" s="8" t="str">
        <f t="shared" si="4"/>
        <v>https://centrodecapacitaciondelsur.com/manejo-del-duelo-</v>
      </c>
      <c r="C186" s="10">
        <f>INSCRITOS!B149</f>
        <v>1085291360</v>
      </c>
      <c r="D186" t="str">
        <f t="shared" si="5"/>
        <v>https://centrodecapacitaciondelsur.com/manejo-del-duelo-1085291360/</v>
      </c>
    </row>
    <row r="187" spans="1:4" ht="122.25" customHeight="1" x14ac:dyDescent="0.25">
      <c r="A187" s="19" t="str">
        <f>INSCRITOS!P150</f>
        <v>AIEPI</v>
      </c>
      <c r="B187" s="8" t="str">
        <f t="shared" si="4"/>
        <v>https://centrodecapacitaciondelsur.com/aiepi-</v>
      </c>
      <c r="C187" s="10">
        <f>INSCRITOS!B150</f>
        <v>1086361131</v>
      </c>
      <c r="D187" t="str">
        <f t="shared" si="5"/>
        <v>https://centrodecapacitaciondelsur.com/aiepi-1086361131/</v>
      </c>
    </row>
    <row r="188" spans="1:4" ht="122.25" customHeight="1" x14ac:dyDescent="0.25">
      <c r="A188" s="19" t="str">
        <f>INSCRITOS!P151</f>
        <v>IAMI</v>
      </c>
      <c r="B188" s="8" t="str">
        <f t="shared" ref="B188:B251" si="6">IF(A188=$H$19,"https://centrodecapacitaciondelsur.com/o-v-e-",IF(A188=$H$2,"https://centrodecapacitaciondelsur.com/aph-",IF(A188=$H$3,"https://centrodecapacitaciondelsur.com/manejo-del-duelo-",IF(A188=$H$4,"https://centrodecapacitaciondelsur.com/victimas-por-agentes-quimicos-",IF(A188=$H$5,"https://centrodecapacitaciondelsur.com/primeros-auxilios-",IF(A188=$H$6,"https://centrodecapacitaciondelsur.com/uci-",IF(A188=$H$8,"https://centrodecapacitaciondelsur.com/humanizacion-",IF(A188=$H$11,"https://centrodecapacitaciondelsur.com/soporte-cardiovascular-avanzado-",IF(A188=$H$12,"https://centrodecapacitaciondelsur.com/camillero-",IF(A188=$H$13,"https://centrodecapacitaciondelsur.com/toma-de-muestras-y-lab-clinico-",IF(A188=$H$14,"https://centrodecapacitaciondelsur.com/soporte-basico-de-vida-",IF(A188=$H$15,"https://centrodecapacitaciondelsur.com/violencia-sexual-",IF(A188=$H$17,"https://centrodecapacitaciondelsur.com/aiepi-",IF(A188=$H$18,"https://centrodecapacitaciondelsur.com/adm-medicamentos-canalizacion-inyectologia-",IF(A188=$H$25,"https://centrodecapacitaciondelsur.com/manejo-del-dolor-y-cuidados-paliativos-",IF(A188=$H$26,"https://centrodecapacitaciondelsur.com/toma-de-muestras-y-lab-clinico-poct-",IF(A188=$H$27,"https://centrodecapacitaciondelsur.com/implante-subdermico-",IF(A188=$H$21,"https://centrodecapacitaciondelsur.com/donante-de-organos-",IF(A188=$H$30,"https://centrodecapacitaciondelsur.com/atencion-a-victimas-del-conflicto-armado-",IF(A188=$H$20,"https://centrodecapacitaciondelsur.com/iami-",IF(A188=$H$22,"https://centrodecapacitaciondelsur.com/violencia-de-genero-",IF(A188=$H$23,"https://centrodecapacitaciondelsur.com/igualdad-de-genero-",IF(A188=$H$16,"https://centrodecapacitaciondelsur.com/pai-",IF(A188=$H$31,"https://centrodecapacitaciondelsur.com/manipulacion-de-alimentos-",IF(A188=$H$32,"https://centrodecapacitaciondelsur.com/atencion-a-personas-con-discapacidad-",IF(A188=$H$33,"https://centrodecapacitaciondelsur.com/atencion-al-adulto-mayor-",IF(A188=$H$34,"https://centrodecapacitaciondelsur.com/manejo-defensivo-",IF(A188=$H$35,"https://centrodecapacitaciondelsur.com/soporte-basico-neonatal-",IF(A188=$H$36,"https://centrodecapacitaciondelsur.com/seguridad-del-paciente-",IF(A188=$H$37,"https://centrodecapacitaciondelsur.com/manejo-de-residuos-hospitalarios-",IF(A188=$H$10,"https://centrodecapacitaciondelsur.com/toma-de-citologia-",IF(A188=$H$29,"https://centrodecapacitaciondelsur.com/primeros-aux-psicologicos-"))))))))))))))))))))))))))))))))</f>
        <v>https://centrodecapacitaciondelsur.com/iami-</v>
      </c>
      <c r="C188" s="10">
        <f>INSCRITOS!B151</f>
        <v>1086361131</v>
      </c>
      <c r="D188" t="str">
        <f t="shared" ref="D188:D251" si="7">CONCATENATE(B188,C188,"/")</f>
        <v>https://centrodecapacitaciondelsur.com/iami-1086361131/</v>
      </c>
    </row>
    <row r="189" spans="1:4" ht="122.25" customHeight="1" x14ac:dyDescent="0.25">
      <c r="A189" s="19" t="str">
        <f>INSCRITOS!P152</f>
        <v>POCT</v>
      </c>
      <c r="B189" s="8" t="str">
        <f t="shared" si="6"/>
        <v>https://centrodecapacitaciondelsur.com/toma-de-muestras-y-lab-clinico-poct-</v>
      </c>
      <c r="C189" s="10">
        <f>INSCRITOS!B152</f>
        <v>36934650</v>
      </c>
      <c r="D189" t="str">
        <f t="shared" si="7"/>
        <v>https://centrodecapacitaciondelsur.com/toma-de-muestras-y-lab-clinico-poct-36934650/</v>
      </c>
    </row>
    <row r="190" spans="1:4" ht="122.25" customHeight="1" x14ac:dyDescent="0.25">
      <c r="A190" s="19" t="str">
        <f>INSCRITOS!P153</f>
        <v>BLS</v>
      </c>
      <c r="B190" s="8" t="str">
        <f t="shared" si="6"/>
        <v>https://centrodecapacitaciondelsur.com/soporte-basico-de-vida-</v>
      </c>
      <c r="C190" s="10">
        <f>INSCRITOS!B153</f>
        <v>1088738809</v>
      </c>
      <c r="D190" t="str">
        <f t="shared" si="7"/>
        <v>https://centrodecapacitaciondelsur.com/soporte-basico-de-vida-1088738809/</v>
      </c>
    </row>
    <row r="191" spans="1:4" ht="122.25" customHeight="1" x14ac:dyDescent="0.25">
      <c r="A191" s="19" t="str">
        <f>INSCRITOS!P154</f>
        <v>ACLS</v>
      </c>
      <c r="B191" s="8" t="str">
        <f t="shared" si="6"/>
        <v>https://centrodecapacitaciondelsur.com/soporte-cardiovascular-avanzado-</v>
      </c>
      <c r="C191" s="10">
        <f>INSCRITOS!B154</f>
        <v>1033707269</v>
      </c>
      <c r="D191" t="str">
        <f t="shared" si="7"/>
        <v>https://centrodecapacitaciondelsur.com/soporte-cardiovascular-avanzado-1033707269/</v>
      </c>
    </row>
    <row r="192" spans="1:4" ht="122.25" customHeight="1" x14ac:dyDescent="0.25">
      <c r="A192" s="19" t="str">
        <f>INSCRITOS!P155</f>
        <v>VIOLENCIA SEXUAL</v>
      </c>
      <c r="B192" s="8" t="str">
        <f t="shared" si="6"/>
        <v>https://centrodecapacitaciondelsur.com/violencia-sexual-</v>
      </c>
      <c r="C192" s="10">
        <f>INSCRITOS!B155</f>
        <v>1033707269</v>
      </c>
      <c r="D192" t="str">
        <f t="shared" si="7"/>
        <v>https://centrodecapacitaciondelsur.com/violencia-sexual-1033707269/</v>
      </c>
    </row>
    <row r="193" spans="1:4" ht="122.25" customHeight="1" x14ac:dyDescent="0.25">
      <c r="A193" s="19" t="str">
        <f>INSCRITOS!P156</f>
        <v>QUIMICOS</v>
      </c>
      <c r="B193" s="8" t="str">
        <f t="shared" si="6"/>
        <v>https://centrodecapacitaciondelsur.com/victimas-por-agentes-quimicos-</v>
      </c>
      <c r="C193" s="10">
        <f>INSCRITOS!B156</f>
        <v>1033707269</v>
      </c>
      <c r="D193" t="str">
        <f t="shared" si="7"/>
        <v>https://centrodecapacitaciondelsur.com/victimas-por-agentes-quimicos-1033707269/</v>
      </c>
    </row>
    <row r="194" spans="1:4" ht="122.25" customHeight="1" x14ac:dyDescent="0.25">
      <c r="A194" s="19" t="str">
        <f>INSCRITOS!P157</f>
        <v>DUELO</v>
      </c>
      <c r="B194" s="8" t="str">
        <f t="shared" si="6"/>
        <v>https://centrodecapacitaciondelsur.com/manejo-del-duelo-</v>
      </c>
      <c r="C194" s="10">
        <f>INSCRITOS!B157</f>
        <v>1033707269</v>
      </c>
      <c r="D194" t="str">
        <f t="shared" si="7"/>
        <v>https://centrodecapacitaciondelsur.com/manejo-del-duelo-1033707269/</v>
      </c>
    </row>
    <row r="195" spans="1:4" ht="122.25" customHeight="1" x14ac:dyDescent="0.25">
      <c r="A195" s="19" t="str">
        <f>INSCRITOS!P158</f>
        <v>BLS</v>
      </c>
      <c r="B195" s="8" t="str">
        <f t="shared" si="6"/>
        <v>https://centrodecapacitaciondelsur.com/soporte-basico-de-vida-</v>
      </c>
      <c r="C195" s="10">
        <f>INSCRITOS!B158</f>
        <v>1033707269</v>
      </c>
      <c r="D195" t="str">
        <f t="shared" si="7"/>
        <v>https://centrodecapacitaciondelsur.com/soporte-basico-de-vida-1033707269/</v>
      </c>
    </row>
    <row r="196" spans="1:4" ht="122.25" customHeight="1" x14ac:dyDescent="0.25">
      <c r="A196" s="19" t="str">
        <f>INSCRITOS!P159</f>
        <v>ACLS</v>
      </c>
      <c r="B196" s="8" t="str">
        <f t="shared" si="6"/>
        <v>https://centrodecapacitaciondelsur.com/soporte-cardiovascular-avanzado-</v>
      </c>
      <c r="C196" s="10">
        <f>INSCRITOS!B159</f>
        <v>1193272985</v>
      </c>
      <c r="D196" t="str">
        <f t="shared" si="7"/>
        <v>https://centrodecapacitaciondelsur.com/soporte-cardiovascular-avanzado-1193272985/</v>
      </c>
    </row>
    <row r="197" spans="1:4" ht="122.25" customHeight="1" x14ac:dyDescent="0.25">
      <c r="A197" s="19" t="str">
        <f>INSCRITOS!P160</f>
        <v>VIOLENCIA SEXUAL</v>
      </c>
      <c r="B197" s="8" t="str">
        <f t="shared" si="6"/>
        <v>https://centrodecapacitaciondelsur.com/violencia-sexual-</v>
      </c>
      <c r="C197" s="10">
        <f>INSCRITOS!B160</f>
        <v>1085254225</v>
      </c>
      <c r="D197" t="str">
        <f t="shared" si="7"/>
        <v>https://centrodecapacitaciondelsur.com/violencia-sexual-1085254225/</v>
      </c>
    </row>
    <row r="198" spans="1:4" ht="122.25" customHeight="1" x14ac:dyDescent="0.25">
      <c r="A198" s="19">
        <f>INSCRITOS!P161</f>
        <v>0</v>
      </c>
      <c r="B198" s="8" t="b">
        <f t="shared" si="6"/>
        <v>0</v>
      </c>
      <c r="C198" s="10">
        <f>INSCRITOS!B161</f>
        <v>0</v>
      </c>
      <c r="D198" t="str">
        <f t="shared" si="7"/>
        <v>FALSO0/</v>
      </c>
    </row>
    <row r="199" spans="1:4" ht="122.25" customHeight="1" x14ac:dyDescent="0.25">
      <c r="A199" s="19">
        <f>INSCRITOS!P162</f>
        <v>0</v>
      </c>
      <c r="B199" s="8" t="b">
        <f t="shared" si="6"/>
        <v>0</v>
      </c>
      <c r="C199" s="10">
        <f>INSCRITOS!B162</f>
        <v>0</v>
      </c>
      <c r="D199" t="str">
        <f t="shared" si="7"/>
        <v>FALSO0/</v>
      </c>
    </row>
    <row r="200" spans="1:4" ht="122.25" customHeight="1" x14ac:dyDescent="0.25">
      <c r="A200" s="19">
        <f>INSCRITOS!P163</f>
        <v>0</v>
      </c>
      <c r="B200" s="8" t="b">
        <f t="shared" si="6"/>
        <v>0</v>
      </c>
      <c r="C200" s="10">
        <f>INSCRITOS!B163</f>
        <v>0</v>
      </c>
      <c r="D200" t="str">
        <f t="shared" si="7"/>
        <v>FALSO0/</v>
      </c>
    </row>
    <row r="201" spans="1:4" ht="122.25" customHeight="1" x14ac:dyDescent="0.25">
      <c r="A201" s="19">
        <f>INSCRITOS!P164</f>
        <v>0</v>
      </c>
      <c r="B201" s="8" t="b">
        <f t="shared" si="6"/>
        <v>0</v>
      </c>
      <c r="C201" s="10">
        <f>INSCRITOS!B164</f>
        <v>0</v>
      </c>
      <c r="D201" t="str">
        <f t="shared" si="7"/>
        <v>FALSO0/</v>
      </c>
    </row>
    <row r="202" spans="1:4" ht="122.25" customHeight="1" x14ac:dyDescent="0.25">
      <c r="A202" s="19">
        <f>INSCRITOS!P165</f>
        <v>0</v>
      </c>
      <c r="B202" s="8" t="b">
        <f t="shared" si="6"/>
        <v>0</v>
      </c>
      <c r="C202" s="10">
        <f>INSCRITOS!B165</f>
        <v>0</v>
      </c>
      <c r="D202" t="str">
        <f t="shared" si="7"/>
        <v>FALSO0/</v>
      </c>
    </row>
    <row r="203" spans="1:4" ht="122.25" customHeight="1" x14ac:dyDescent="0.25">
      <c r="A203" s="19">
        <f>INSCRITOS!P166</f>
        <v>0</v>
      </c>
      <c r="B203" s="8" t="b">
        <f t="shared" si="6"/>
        <v>0</v>
      </c>
      <c r="C203" s="10">
        <f>INSCRITOS!B166</f>
        <v>0</v>
      </c>
      <c r="D203" t="str">
        <f t="shared" si="7"/>
        <v>FALSO0/</v>
      </c>
    </row>
    <row r="204" spans="1:4" ht="122.25" customHeight="1" x14ac:dyDescent="0.25">
      <c r="A204" s="19">
        <f>INSCRITOS!P167</f>
        <v>0</v>
      </c>
      <c r="B204" s="8" t="b">
        <f t="shared" si="6"/>
        <v>0</v>
      </c>
      <c r="C204" s="10">
        <f>INSCRITOS!B167</f>
        <v>0</v>
      </c>
      <c r="D204" t="str">
        <f t="shared" si="7"/>
        <v>FALSO0/</v>
      </c>
    </row>
    <row r="205" spans="1:4" ht="122.25" customHeight="1" x14ac:dyDescent="0.25">
      <c r="A205" s="19">
        <f>INSCRITOS!P168</f>
        <v>0</v>
      </c>
      <c r="B205" s="8" t="b">
        <f t="shared" si="6"/>
        <v>0</v>
      </c>
      <c r="C205" s="10">
        <f>INSCRITOS!B168</f>
        <v>0</v>
      </c>
      <c r="D205" t="str">
        <f t="shared" si="7"/>
        <v>FALSO0/</v>
      </c>
    </row>
    <row r="206" spans="1:4" ht="122.25" customHeight="1" x14ac:dyDescent="0.25">
      <c r="A206" s="19">
        <f>INSCRITOS!P169</f>
        <v>0</v>
      </c>
      <c r="B206" s="8" t="b">
        <f t="shared" si="6"/>
        <v>0</v>
      </c>
      <c r="C206" s="10">
        <f>INSCRITOS!B169</f>
        <v>0</v>
      </c>
      <c r="D206" t="str">
        <f t="shared" si="7"/>
        <v>FALSO0/</v>
      </c>
    </row>
    <row r="207" spans="1:4" ht="122.25" customHeight="1" x14ac:dyDescent="0.25">
      <c r="A207" s="19">
        <f>INSCRITOS!P170</f>
        <v>0</v>
      </c>
      <c r="B207" s="8" t="b">
        <f t="shared" si="6"/>
        <v>0</v>
      </c>
      <c r="C207" s="10">
        <f>INSCRITOS!B170</f>
        <v>0</v>
      </c>
      <c r="D207" t="str">
        <f t="shared" si="7"/>
        <v>FALSO0/</v>
      </c>
    </row>
    <row r="208" spans="1:4" ht="122.25" customHeight="1" x14ac:dyDescent="0.25">
      <c r="A208" s="19">
        <f>INSCRITOS!P171</f>
        <v>0</v>
      </c>
      <c r="B208" s="8" t="b">
        <f t="shared" si="6"/>
        <v>0</v>
      </c>
      <c r="C208" s="10">
        <f>INSCRITOS!B171</f>
        <v>0</v>
      </c>
      <c r="D208" t="str">
        <f t="shared" si="7"/>
        <v>FALSO0/</v>
      </c>
    </row>
    <row r="209" spans="1:4" ht="122.25" customHeight="1" x14ac:dyDescent="0.25">
      <c r="A209" s="19">
        <f>INSCRITOS!P172</f>
        <v>0</v>
      </c>
      <c r="B209" s="8" t="b">
        <f t="shared" si="6"/>
        <v>0</v>
      </c>
      <c r="C209" s="10">
        <f>INSCRITOS!B172</f>
        <v>0</v>
      </c>
      <c r="D209" t="str">
        <f t="shared" si="7"/>
        <v>FALSO0/</v>
      </c>
    </row>
    <row r="210" spans="1:4" ht="122.25" customHeight="1" x14ac:dyDescent="0.25">
      <c r="A210" s="19">
        <f>INSCRITOS!P173</f>
        <v>0</v>
      </c>
      <c r="B210" s="8" t="b">
        <f t="shared" si="6"/>
        <v>0</v>
      </c>
      <c r="C210" s="10">
        <f>INSCRITOS!B173</f>
        <v>0</v>
      </c>
      <c r="D210" t="str">
        <f t="shared" si="7"/>
        <v>FALSO0/</v>
      </c>
    </row>
    <row r="211" spans="1:4" ht="122.25" customHeight="1" x14ac:dyDescent="0.25">
      <c r="A211" s="19">
        <f>INSCRITOS!P174</f>
        <v>0</v>
      </c>
      <c r="B211" s="8" t="b">
        <f t="shared" si="6"/>
        <v>0</v>
      </c>
      <c r="C211" s="10">
        <f>INSCRITOS!B174</f>
        <v>0</v>
      </c>
      <c r="D211" t="str">
        <f t="shared" si="7"/>
        <v>FALSO0/</v>
      </c>
    </row>
    <row r="212" spans="1:4" ht="122.25" customHeight="1" x14ac:dyDescent="0.25">
      <c r="A212" s="19">
        <f>INSCRITOS!P175</f>
        <v>0</v>
      </c>
      <c r="B212" s="8" t="b">
        <f t="shared" si="6"/>
        <v>0</v>
      </c>
      <c r="C212" s="10">
        <f>INSCRITOS!B175</f>
        <v>0</v>
      </c>
      <c r="D212" t="str">
        <f t="shared" si="7"/>
        <v>FALSO0/</v>
      </c>
    </row>
    <row r="213" spans="1:4" ht="122.25" customHeight="1" x14ac:dyDescent="0.25">
      <c r="A213" s="19">
        <f>INSCRITOS!P176</f>
        <v>0</v>
      </c>
      <c r="B213" s="8" t="b">
        <f t="shared" si="6"/>
        <v>0</v>
      </c>
      <c r="C213" s="10">
        <f>INSCRITOS!B176</f>
        <v>0</v>
      </c>
      <c r="D213" t="str">
        <f t="shared" si="7"/>
        <v>FALSO0/</v>
      </c>
    </row>
    <row r="214" spans="1:4" ht="122.25" customHeight="1" x14ac:dyDescent="0.25">
      <c r="A214" s="19">
        <f>INSCRITOS!P177</f>
        <v>0</v>
      </c>
      <c r="B214" s="8" t="b">
        <f t="shared" si="6"/>
        <v>0</v>
      </c>
      <c r="C214" s="10">
        <f>INSCRITOS!B177</f>
        <v>0</v>
      </c>
      <c r="D214" t="str">
        <f t="shared" si="7"/>
        <v>FALSO0/</v>
      </c>
    </row>
    <row r="215" spans="1:4" ht="122.25" customHeight="1" x14ac:dyDescent="0.25">
      <c r="A215" s="19">
        <f>INSCRITOS!P178</f>
        <v>0</v>
      </c>
      <c r="B215" s="8" t="b">
        <f t="shared" si="6"/>
        <v>0</v>
      </c>
      <c r="C215" s="10">
        <f>INSCRITOS!B178</f>
        <v>0</v>
      </c>
      <c r="D215" t="str">
        <f t="shared" si="7"/>
        <v>FALSO0/</v>
      </c>
    </row>
    <row r="216" spans="1:4" ht="122.25" customHeight="1" x14ac:dyDescent="0.25">
      <c r="A216" s="19">
        <f>INSCRITOS!P179</f>
        <v>0</v>
      </c>
      <c r="B216" s="8" t="b">
        <f t="shared" si="6"/>
        <v>0</v>
      </c>
      <c r="C216" s="10">
        <f>INSCRITOS!B179</f>
        <v>0</v>
      </c>
      <c r="D216" t="str">
        <f t="shared" si="7"/>
        <v>FALSO0/</v>
      </c>
    </row>
    <row r="217" spans="1:4" ht="122.25" customHeight="1" x14ac:dyDescent="0.25">
      <c r="A217" s="19">
        <f>INSCRITOS!P180</f>
        <v>0</v>
      </c>
      <c r="B217" s="8" t="b">
        <f t="shared" si="6"/>
        <v>0</v>
      </c>
      <c r="C217" s="10">
        <f>INSCRITOS!B180</f>
        <v>0</v>
      </c>
      <c r="D217" t="str">
        <f t="shared" si="7"/>
        <v>FALSO0/</v>
      </c>
    </row>
    <row r="218" spans="1:4" ht="122.25" customHeight="1" x14ac:dyDescent="0.25">
      <c r="A218" s="19">
        <f>INSCRITOS!P181</f>
        <v>0</v>
      </c>
      <c r="B218" s="8" t="b">
        <f t="shared" si="6"/>
        <v>0</v>
      </c>
      <c r="C218" s="10">
        <f>INSCRITOS!B181</f>
        <v>0</v>
      </c>
      <c r="D218" t="str">
        <f t="shared" si="7"/>
        <v>FALSO0/</v>
      </c>
    </row>
    <row r="219" spans="1:4" ht="122.25" customHeight="1" x14ac:dyDescent="0.25">
      <c r="A219" s="19">
        <f>INSCRITOS!P182</f>
        <v>0</v>
      </c>
      <c r="B219" s="8" t="b">
        <f t="shared" si="6"/>
        <v>0</v>
      </c>
      <c r="C219" s="10">
        <f>INSCRITOS!B182</f>
        <v>0</v>
      </c>
      <c r="D219" t="str">
        <f t="shared" si="7"/>
        <v>FALSO0/</v>
      </c>
    </row>
    <row r="220" spans="1:4" ht="122.25" customHeight="1" x14ac:dyDescent="0.25">
      <c r="A220" s="19">
        <f>INSCRITOS!P183</f>
        <v>0</v>
      </c>
      <c r="B220" s="8" t="b">
        <f t="shared" si="6"/>
        <v>0</v>
      </c>
      <c r="C220" s="10">
        <f>INSCRITOS!B183</f>
        <v>0</v>
      </c>
      <c r="D220" t="str">
        <f t="shared" si="7"/>
        <v>FALSO0/</v>
      </c>
    </row>
    <row r="221" spans="1:4" ht="122.25" customHeight="1" x14ac:dyDescent="0.25">
      <c r="A221" s="19">
        <f>INSCRITOS!P184</f>
        <v>0</v>
      </c>
      <c r="B221" s="8" t="b">
        <f t="shared" si="6"/>
        <v>0</v>
      </c>
      <c r="C221" s="10">
        <f>INSCRITOS!B184</f>
        <v>0</v>
      </c>
      <c r="D221" t="str">
        <f t="shared" si="7"/>
        <v>FALSO0/</v>
      </c>
    </row>
    <row r="222" spans="1:4" ht="122.25" customHeight="1" x14ac:dyDescent="0.25">
      <c r="A222" s="19">
        <f>INSCRITOS!P185</f>
        <v>0</v>
      </c>
      <c r="B222" s="8" t="b">
        <f t="shared" si="6"/>
        <v>0</v>
      </c>
      <c r="C222" s="10">
        <f>INSCRITOS!B185</f>
        <v>0</v>
      </c>
      <c r="D222" t="str">
        <f t="shared" si="7"/>
        <v>FALSO0/</v>
      </c>
    </row>
    <row r="223" spans="1:4" ht="122.25" customHeight="1" x14ac:dyDescent="0.25">
      <c r="A223" s="19">
        <f>INSCRITOS!P186</f>
        <v>0</v>
      </c>
      <c r="B223" s="8" t="b">
        <f t="shared" si="6"/>
        <v>0</v>
      </c>
      <c r="C223" s="10">
        <f>INSCRITOS!B186</f>
        <v>0</v>
      </c>
      <c r="D223" t="str">
        <f t="shared" si="7"/>
        <v>FALSO0/</v>
      </c>
    </row>
    <row r="224" spans="1:4" ht="122.25" customHeight="1" x14ac:dyDescent="0.25">
      <c r="A224" s="19">
        <f>INSCRITOS!P187</f>
        <v>0</v>
      </c>
      <c r="B224" s="8" t="b">
        <f t="shared" si="6"/>
        <v>0</v>
      </c>
      <c r="C224" s="10">
        <f>INSCRITOS!B187</f>
        <v>0</v>
      </c>
      <c r="D224" t="str">
        <f t="shared" si="7"/>
        <v>FALSO0/</v>
      </c>
    </row>
    <row r="225" spans="1:4" ht="122.25" customHeight="1" x14ac:dyDescent="0.25">
      <c r="A225" s="19">
        <f>INSCRITOS!P188</f>
        <v>0</v>
      </c>
      <c r="B225" s="8" t="b">
        <f t="shared" si="6"/>
        <v>0</v>
      </c>
      <c r="C225" s="10">
        <f>INSCRITOS!B188</f>
        <v>0</v>
      </c>
      <c r="D225" t="str">
        <f t="shared" si="7"/>
        <v>FALSO0/</v>
      </c>
    </row>
    <row r="226" spans="1:4" ht="122.25" customHeight="1" x14ac:dyDescent="0.25">
      <c r="A226" s="19">
        <f>INSCRITOS!P189</f>
        <v>0</v>
      </c>
      <c r="B226" s="8" t="b">
        <f t="shared" si="6"/>
        <v>0</v>
      </c>
      <c r="C226" s="10">
        <f>INSCRITOS!B189</f>
        <v>0</v>
      </c>
      <c r="D226" t="str">
        <f t="shared" si="7"/>
        <v>FALSO0/</v>
      </c>
    </row>
    <row r="227" spans="1:4" ht="122.25" customHeight="1" x14ac:dyDescent="0.25">
      <c r="A227" s="19">
        <f>INSCRITOS!P190</f>
        <v>0</v>
      </c>
      <c r="B227" s="8" t="b">
        <f t="shared" si="6"/>
        <v>0</v>
      </c>
      <c r="C227" s="10">
        <f>INSCRITOS!B190</f>
        <v>0</v>
      </c>
      <c r="D227" t="str">
        <f t="shared" si="7"/>
        <v>FALSO0/</v>
      </c>
    </row>
    <row r="228" spans="1:4" ht="122.25" customHeight="1" x14ac:dyDescent="0.25">
      <c r="A228" s="19">
        <f>INSCRITOS!P191</f>
        <v>0</v>
      </c>
      <c r="B228" s="8" t="b">
        <f t="shared" si="6"/>
        <v>0</v>
      </c>
      <c r="C228" s="10">
        <f>INSCRITOS!B191</f>
        <v>0</v>
      </c>
      <c r="D228" t="str">
        <f t="shared" si="7"/>
        <v>FALSO0/</v>
      </c>
    </row>
    <row r="229" spans="1:4" ht="122.25" customHeight="1" x14ac:dyDescent="0.25">
      <c r="A229" s="19">
        <f>INSCRITOS!P192</f>
        <v>0</v>
      </c>
      <c r="B229" s="8" t="b">
        <f t="shared" si="6"/>
        <v>0</v>
      </c>
      <c r="C229" s="10">
        <f>INSCRITOS!B192</f>
        <v>0</v>
      </c>
      <c r="D229" t="str">
        <f t="shared" si="7"/>
        <v>FALSO0/</v>
      </c>
    </row>
    <row r="230" spans="1:4" ht="122.25" customHeight="1" x14ac:dyDescent="0.25">
      <c r="A230" s="19">
        <f>INSCRITOS!P193</f>
        <v>0</v>
      </c>
      <c r="B230" s="8" t="b">
        <f t="shared" si="6"/>
        <v>0</v>
      </c>
      <c r="C230" s="10">
        <f>INSCRITOS!B193</f>
        <v>0</v>
      </c>
      <c r="D230" t="str">
        <f t="shared" si="7"/>
        <v>FALSO0/</v>
      </c>
    </row>
    <row r="231" spans="1:4" ht="122.25" customHeight="1" x14ac:dyDescent="0.25">
      <c r="A231" s="19">
        <f>INSCRITOS!P194</f>
        <v>0</v>
      </c>
      <c r="B231" s="8" t="b">
        <f t="shared" si="6"/>
        <v>0</v>
      </c>
      <c r="C231" s="10">
        <f>INSCRITOS!B194</f>
        <v>0</v>
      </c>
      <c r="D231" t="str">
        <f t="shared" si="7"/>
        <v>FALSO0/</v>
      </c>
    </row>
    <row r="232" spans="1:4" ht="122.25" customHeight="1" x14ac:dyDescent="0.25">
      <c r="A232" s="19">
        <f>INSCRITOS!P195</f>
        <v>0</v>
      </c>
      <c r="B232" s="8" t="b">
        <f t="shared" si="6"/>
        <v>0</v>
      </c>
      <c r="C232" s="10">
        <f>INSCRITOS!B195</f>
        <v>0</v>
      </c>
      <c r="D232" t="str">
        <f t="shared" si="7"/>
        <v>FALSO0/</v>
      </c>
    </row>
    <row r="233" spans="1:4" ht="122.25" customHeight="1" x14ac:dyDescent="0.25">
      <c r="A233" s="19">
        <f>INSCRITOS!P196</f>
        <v>0</v>
      </c>
      <c r="B233" s="8" t="b">
        <f t="shared" si="6"/>
        <v>0</v>
      </c>
      <c r="C233" s="10">
        <f>INSCRITOS!B196</f>
        <v>0</v>
      </c>
      <c r="D233" t="str">
        <f t="shared" si="7"/>
        <v>FALSO0/</v>
      </c>
    </row>
    <row r="234" spans="1:4" ht="122.25" customHeight="1" x14ac:dyDescent="0.25">
      <c r="A234" s="19">
        <f>INSCRITOS!P197</f>
        <v>0</v>
      </c>
      <c r="B234" s="8" t="b">
        <f t="shared" si="6"/>
        <v>0</v>
      </c>
      <c r="C234" s="10">
        <f>INSCRITOS!B197</f>
        <v>0</v>
      </c>
      <c r="D234" t="str">
        <f t="shared" si="7"/>
        <v>FALSO0/</v>
      </c>
    </row>
    <row r="235" spans="1:4" ht="122.25" customHeight="1" x14ac:dyDescent="0.25">
      <c r="A235" s="19">
        <f>INSCRITOS!P198</f>
        <v>0</v>
      </c>
      <c r="B235" s="8" t="b">
        <f t="shared" si="6"/>
        <v>0</v>
      </c>
      <c r="C235" s="10">
        <f>INSCRITOS!B198</f>
        <v>0</v>
      </c>
      <c r="D235" t="str">
        <f t="shared" si="7"/>
        <v>FALSO0/</v>
      </c>
    </row>
    <row r="236" spans="1:4" ht="122.25" customHeight="1" x14ac:dyDescent="0.25">
      <c r="A236" s="19">
        <f>INSCRITOS!P199</f>
        <v>0</v>
      </c>
      <c r="B236" s="8" t="b">
        <f t="shared" si="6"/>
        <v>0</v>
      </c>
      <c r="C236" s="10">
        <f>INSCRITOS!B199</f>
        <v>0</v>
      </c>
      <c r="D236" t="str">
        <f t="shared" si="7"/>
        <v>FALSO0/</v>
      </c>
    </row>
    <row r="237" spans="1:4" ht="122.25" customHeight="1" x14ac:dyDescent="0.25">
      <c r="A237" s="19">
        <f>INSCRITOS!P200</f>
        <v>0</v>
      </c>
      <c r="B237" s="8" t="b">
        <f t="shared" si="6"/>
        <v>0</v>
      </c>
      <c r="C237" s="10">
        <f>INSCRITOS!B200</f>
        <v>0</v>
      </c>
      <c r="D237" t="str">
        <f t="shared" si="7"/>
        <v>FALSO0/</v>
      </c>
    </row>
    <row r="238" spans="1:4" ht="122.25" customHeight="1" x14ac:dyDescent="0.25">
      <c r="A238" s="19">
        <f>INSCRITOS!P201</f>
        <v>0</v>
      </c>
      <c r="B238" s="8" t="b">
        <f t="shared" si="6"/>
        <v>0</v>
      </c>
      <c r="C238" s="10">
        <f>INSCRITOS!B201</f>
        <v>0</v>
      </c>
      <c r="D238" t="str">
        <f t="shared" si="7"/>
        <v>FALSO0/</v>
      </c>
    </row>
    <row r="239" spans="1:4" ht="122.25" customHeight="1" x14ac:dyDescent="0.25">
      <c r="A239" s="19">
        <f>INSCRITOS!P202</f>
        <v>0</v>
      </c>
      <c r="B239" s="8" t="b">
        <f t="shared" si="6"/>
        <v>0</v>
      </c>
      <c r="C239" s="10">
        <f>INSCRITOS!B202</f>
        <v>0</v>
      </c>
      <c r="D239" t="str">
        <f t="shared" si="7"/>
        <v>FALSO0/</v>
      </c>
    </row>
    <row r="240" spans="1:4" ht="122.25" customHeight="1" x14ac:dyDescent="0.25">
      <c r="A240" s="19">
        <f>INSCRITOS!P203</f>
        <v>0</v>
      </c>
      <c r="B240" s="8" t="b">
        <f t="shared" si="6"/>
        <v>0</v>
      </c>
      <c r="C240" s="10">
        <f>INSCRITOS!B203</f>
        <v>0</v>
      </c>
      <c r="D240" t="str">
        <f t="shared" si="7"/>
        <v>FALSO0/</v>
      </c>
    </row>
    <row r="241" spans="1:4" ht="122.25" customHeight="1" x14ac:dyDescent="0.25">
      <c r="A241" s="19">
        <f>INSCRITOS!P204</f>
        <v>0</v>
      </c>
      <c r="B241" s="8" t="b">
        <f t="shared" si="6"/>
        <v>0</v>
      </c>
      <c r="C241" s="10">
        <f>INSCRITOS!B204</f>
        <v>0</v>
      </c>
      <c r="D241" t="str">
        <f t="shared" si="7"/>
        <v>FALSO0/</v>
      </c>
    </row>
    <row r="242" spans="1:4" ht="122.25" customHeight="1" x14ac:dyDescent="0.25">
      <c r="A242" s="19">
        <f>INSCRITOS!P205</f>
        <v>0</v>
      </c>
      <c r="B242" s="8" t="b">
        <f t="shared" si="6"/>
        <v>0</v>
      </c>
      <c r="C242" s="10">
        <f>INSCRITOS!B205</f>
        <v>0</v>
      </c>
      <c r="D242" t="str">
        <f t="shared" si="7"/>
        <v>FALSO0/</v>
      </c>
    </row>
    <row r="243" spans="1:4" ht="122.25" customHeight="1" x14ac:dyDescent="0.25">
      <c r="A243" s="19">
        <f>INSCRITOS!P206</f>
        <v>0</v>
      </c>
      <c r="B243" s="8" t="b">
        <f t="shared" si="6"/>
        <v>0</v>
      </c>
      <c r="C243" s="10">
        <f>INSCRITOS!B206</f>
        <v>0</v>
      </c>
      <c r="D243" t="str">
        <f t="shared" si="7"/>
        <v>FALSO0/</v>
      </c>
    </row>
    <row r="244" spans="1:4" ht="122.25" customHeight="1" x14ac:dyDescent="0.25">
      <c r="A244" s="19">
        <f>INSCRITOS!P207</f>
        <v>0</v>
      </c>
      <c r="B244" s="8" t="b">
        <f t="shared" si="6"/>
        <v>0</v>
      </c>
      <c r="C244" s="10">
        <f>INSCRITOS!B207</f>
        <v>0</v>
      </c>
      <c r="D244" t="str">
        <f t="shared" si="7"/>
        <v>FALSO0/</v>
      </c>
    </row>
    <row r="245" spans="1:4" ht="122.25" customHeight="1" x14ac:dyDescent="0.25">
      <c r="A245" s="19">
        <f>INSCRITOS!P208</f>
        <v>0</v>
      </c>
      <c r="B245" s="8" t="b">
        <f t="shared" si="6"/>
        <v>0</v>
      </c>
      <c r="C245" s="10">
        <f>INSCRITOS!B208</f>
        <v>0</v>
      </c>
      <c r="D245" t="str">
        <f t="shared" si="7"/>
        <v>FALSO0/</v>
      </c>
    </row>
    <row r="246" spans="1:4" ht="122.25" customHeight="1" x14ac:dyDescent="0.25">
      <c r="A246" s="19">
        <f>INSCRITOS!P209</f>
        <v>0</v>
      </c>
      <c r="B246" s="8" t="b">
        <f t="shared" si="6"/>
        <v>0</v>
      </c>
      <c r="C246" s="10">
        <f>INSCRITOS!B209</f>
        <v>0</v>
      </c>
      <c r="D246" t="str">
        <f t="shared" si="7"/>
        <v>FALSO0/</v>
      </c>
    </row>
    <row r="247" spans="1:4" ht="122.25" customHeight="1" x14ac:dyDescent="0.25">
      <c r="A247" s="19">
        <f>INSCRITOS!P210</f>
        <v>0</v>
      </c>
      <c r="B247" s="8" t="b">
        <f t="shared" si="6"/>
        <v>0</v>
      </c>
      <c r="C247" s="10">
        <f>INSCRITOS!B210</f>
        <v>0</v>
      </c>
      <c r="D247" t="str">
        <f t="shared" si="7"/>
        <v>FALSO0/</v>
      </c>
    </row>
    <row r="248" spans="1:4" ht="122.25" customHeight="1" x14ac:dyDescent="0.25">
      <c r="A248" s="19">
        <f>INSCRITOS!P211</f>
        <v>0</v>
      </c>
      <c r="B248" s="8" t="b">
        <f t="shared" si="6"/>
        <v>0</v>
      </c>
      <c r="C248" s="10">
        <f>INSCRITOS!B211</f>
        <v>0</v>
      </c>
      <c r="D248" t="str">
        <f t="shared" si="7"/>
        <v>FALSO0/</v>
      </c>
    </row>
    <row r="249" spans="1:4" ht="122.25" customHeight="1" x14ac:dyDescent="0.25">
      <c r="A249" s="19">
        <f>INSCRITOS!P212</f>
        <v>0</v>
      </c>
      <c r="B249" s="8" t="b">
        <f t="shared" si="6"/>
        <v>0</v>
      </c>
      <c r="C249" s="10">
        <f>INSCRITOS!B212</f>
        <v>0</v>
      </c>
      <c r="D249" t="str">
        <f t="shared" si="7"/>
        <v>FALSO0/</v>
      </c>
    </row>
    <row r="250" spans="1:4" ht="122.25" customHeight="1" x14ac:dyDescent="0.25">
      <c r="A250" s="19">
        <f>INSCRITOS!P213</f>
        <v>0</v>
      </c>
      <c r="B250" s="8" t="b">
        <f t="shared" si="6"/>
        <v>0</v>
      </c>
      <c r="C250" s="10">
        <f>INSCRITOS!B213</f>
        <v>0</v>
      </c>
      <c r="D250" t="str">
        <f t="shared" si="7"/>
        <v>FALSO0/</v>
      </c>
    </row>
    <row r="251" spans="1:4" ht="122.25" customHeight="1" x14ac:dyDescent="0.25">
      <c r="A251" s="19">
        <f>INSCRITOS!P214</f>
        <v>0</v>
      </c>
      <c r="B251" s="8" t="b">
        <f t="shared" si="6"/>
        <v>0</v>
      </c>
      <c r="C251" s="10">
        <f>INSCRITOS!B214</f>
        <v>0</v>
      </c>
      <c r="D251" t="str">
        <f t="shared" si="7"/>
        <v>FALSO0/</v>
      </c>
    </row>
    <row r="252" spans="1:4" ht="122.25" customHeight="1" x14ac:dyDescent="0.25">
      <c r="A252" s="19">
        <f>INSCRITOS!P215</f>
        <v>0</v>
      </c>
      <c r="B252" s="8" t="b">
        <f t="shared" ref="B252:B315" si="8">IF(A252=$H$19,"https://centrodecapacitaciondelsur.com/o-v-e-",IF(A252=$H$2,"https://centrodecapacitaciondelsur.com/aph-",IF(A252=$H$3,"https://centrodecapacitaciondelsur.com/manejo-del-duelo-",IF(A252=$H$4,"https://centrodecapacitaciondelsur.com/victimas-por-agentes-quimicos-",IF(A252=$H$5,"https://centrodecapacitaciondelsur.com/primeros-auxilios-",IF(A252=$H$6,"https://centrodecapacitaciondelsur.com/uci-",IF(A252=$H$8,"https://centrodecapacitaciondelsur.com/humanizacion-",IF(A252=$H$11,"https://centrodecapacitaciondelsur.com/soporte-cardiovascular-avanzado-",IF(A252=$H$12,"https://centrodecapacitaciondelsur.com/camillero-",IF(A252=$H$13,"https://centrodecapacitaciondelsur.com/toma-de-muestras-y-lab-clinico-",IF(A252=$H$14,"https://centrodecapacitaciondelsur.com/soporte-basico-de-vida-",IF(A252=$H$15,"https://centrodecapacitaciondelsur.com/violencia-sexual-",IF(A252=$H$17,"https://centrodecapacitaciondelsur.com/aiepi-",IF(A252=$H$18,"https://centrodecapacitaciondelsur.com/adm-medicamentos-canalizacion-inyectologia-",IF(A252=$H$25,"https://centrodecapacitaciondelsur.com/manejo-del-dolor-y-cuidados-paliativos-",IF(A252=$H$26,"https://centrodecapacitaciondelsur.com/toma-de-muestras-y-lab-clinico-poct-",IF(A252=$H$27,"https://centrodecapacitaciondelsur.com/implante-subdermico-",IF(A252=$H$21,"https://centrodecapacitaciondelsur.com/donante-de-organos-",IF(A252=$H$30,"https://centrodecapacitaciondelsur.com/atencion-a-victimas-del-conflicto-armado-",IF(A252=$H$20,"https://centrodecapacitaciondelsur.com/iami-",IF(A252=$H$22,"https://centrodecapacitaciondelsur.com/violencia-de-genero-",IF(A252=$H$23,"https://centrodecapacitaciondelsur.com/igualdad-de-genero-",IF(A252=$H$16,"https://centrodecapacitaciondelsur.com/pai-",IF(A252=$H$31,"https://centrodecapacitaciondelsur.com/manipulacion-de-alimentos-",IF(A252=$H$32,"https://centrodecapacitaciondelsur.com/atencion-a-personas-con-discapacidad-",IF(A252=$H$33,"https://centrodecapacitaciondelsur.com/atencion-al-adulto-mayor-",IF(A252=$H$34,"https://centrodecapacitaciondelsur.com/manejo-defensivo-",IF(A252=$H$35,"https://centrodecapacitaciondelsur.com/soporte-basico-neonatal-",IF(A252=$H$36,"https://centrodecapacitaciondelsur.com/seguridad-del-paciente-",IF(A252=$H$37,"https://centrodecapacitaciondelsur.com/manejo-de-residuos-hospitalarios-",IF(A252=$H$10,"https://centrodecapacitaciondelsur.com/toma-de-citologia-",IF(A252=$H$29,"https://centrodecapacitaciondelsur.com/primeros-aux-psicologicos-"))))))))))))))))))))))))))))))))</f>
        <v>0</v>
      </c>
      <c r="C252" s="10">
        <f>INSCRITOS!B215</f>
        <v>0</v>
      </c>
      <c r="D252" t="str">
        <f t="shared" ref="D252:D315" si="9">CONCATENATE(B252,C252,"/")</f>
        <v>FALSO0/</v>
      </c>
    </row>
    <row r="253" spans="1:4" ht="122.25" customHeight="1" x14ac:dyDescent="0.25">
      <c r="A253" s="19">
        <f>INSCRITOS!P216</f>
        <v>0</v>
      </c>
      <c r="B253" s="8" t="b">
        <f t="shared" si="8"/>
        <v>0</v>
      </c>
      <c r="C253" s="10">
        <f>INSCRITOS!B216</f>
        <v>0</v>
      </c>
      <c r="D253" t="str">
        <f t="shared" si="9"/>
        <v>FALSO0/</v>
      </c>
    </row>
    <row r="254" spans="1:4" ht="122.25" customHeight="1" x14ac:dyDescent="0.25">
      <c r="A254" s="19">
        <f>INSCRITOS!P217</f>
        <v>0</v>
      </c>
      <c r="B254" s="8" t="b">
        <f t="shared" si="8"/>
        <v>0</v>
      </c>
      <c r="C254" s="10">
        <f>INSCRITOS!B217</f>
        <v>0</v>
      </c>
      <c r="D254" t="str">
        <f t="shared" si="9"/>
        <v>FALSO0/</v>
      </c>
    </row>
    <row r="255" spans="1:4" ht="122.25" customHeight="1" x14ac:dyDescent="0.25">
      <c r="A255" s="19">
        <f>INSCRITOS!P218</f>
        <v>0</v>
      </c>
      <c r="B255" s="8" t="b">
        <f t="shared" si="8"/>
        <v>0</v>
      </c>
      <c r="C255" s="10">
        <f>INSCRITOS!B218</f>
        <v>0</v>
      </c>
      <c r="D255" t="str">
        <f t="shared" si="9"/>
        <v>FALSO0/</v>
      </c>
    </row>
    <row r="256" spans="1:4" ht="122.25" customHeight="1" x14ac:dyDescent="0.25">
      <c r="A256" s="19">
        <f>INSCRITOS!P219</f>
        <v>0</v>
      </c>
      <c r="B256" s="8" t="b">
        <f t="shared" si="8"/>
        <v>0</v>
      </c>
      <c r="C256" s="10">
        <f>INSCRITOS!B219</f>
        <v>0</v>
      </c>
      <c r="D256" t="str">
        <f t="shared" si="9"/>
        <v>FALSO0/</v>
      </c>
    </row>
    <row r="257" spans="1:4" ht="122.25" customHeight="1" x14ac:dyDescent="0.25">
      <c r="A257" s="19">
        <f>INSCRITOS!P220</f>
        <v>0</v>
      </c>
      <c r="B257" s="8" t="b">
        <f t="shared" si="8"/>
        <v>0</v>
      </c>
      <c r="C257" s="10">
        <f>INSCRITOS!B220</f>
        <v>0</v>
      </c>
      <c r="D257" t="str">
        <f t="shared" si="9"/>
        <v>FALSO0/</v>
      </c>
    </row>
    <row r="258" spans="1:4" ht="122.25" customHeight="1" x14ac:dyDescent="0.25">
      <c r="A258" s="19">
        <f>INSCRITOS!P221</f>
        <v>0</v>
      </c>
      <c r="B258" s="8" t="b">
        <f t="shared" si="8"/>
        <v>0</v>
      </c>
      <c r="C258" s="10">
        <f>INSCRITOS!B221</f>
        <v>0</v>
      </c>
      <c r="D258" t="str">
        <f t="shared" si="9"/>
        <v>FALSO0/</v>
      </c>
    </row>
    <row r="259" spans="1:4" ht="122.25" customHeight="1" x14ac:dyDescent="0.25">
      <c r="A259" s="19">
        <f>INSCRITOS!P222</f>
        <v>0</v>
      </c>
      <c r="B259" s="8" t="b">
        <f t="shared" si="8"/>
        <v>0</v>
      </c>
      <c r="C259" s="10">
        <f>INSCRITOS!B222</f>
        <v>0</v>
      </c>
      <c r="D259" t="str">
        <f t="shared" si="9"/>
        <v>FALSO0/</v>
      </c>
    </row>
    <row r="260" spans="1:4" ht="122.25" customHeight="1" x14ac:dyDescent="0.25">
      <c r="A260" s="19">
        <f>INSCRITOS!P223</f>
        <v>0</v>
      </c>
      <c r="B260" s="8" t="b">
        <f t="shared" si="8"/>
        <v>0</v>
      </c>
      <c r="C260" s="10">
        <f>INSCRITOS!B223</f>
        <v>0</v>
      </c>
      <c r="D260" t="str">
        <f t="shared" si="9"/>
        <v>FALSO0/</v>
      </c>
    </row>
    <row r="261" spans="1:4" ht="122.25" customHeight="1" x14ac:dyDescent="0.25">
      <c r="A261" s="19">
        <f>INSCRITOS!P224</f>
        <v>0</v>
      </c>
      <c r="B261" s="8" t="b">
        <f t="shared" si="8"/>
        <v>0</v>
      </c>
      <c r="C261" s="10">
        <f>INSCRITOS!B224</f>
        <v>0</v>
      </c>
      <c r="D261" t="str">
        <f t="shared" si="9"/>
        <v>FALSO0/</v>
      </c>
    </row>
    <row r="262" spans="1:4" ht="122.25" customHeight="1" x14ac:dyDescent="0.25">
      <c r="A262" s="19">
        <f>INSCRITOS!P225</f>
        <v>0</v>
      </c>
      <c r="B262" s="8" t="b">
        <f t="shared" si="8"/>
        <v>0</v>
      </c>
      <c r="C262" s="10">
        <f>INSCRITOS!B225</f>
        <v>0</v>
      </c>
      <c r="D262" t="str">
        <f t="shared" si="9"/>
        <v>FALSO0/</v>
      </c>
    </row>
    <row r="263" spans="1:4" ht="122.25" customHeight="1" x14ac:dyDescent="0.25">
      <c r="A263" s="19">
        <f>INSCRITOS!P226</f>
        <v>0</v>
      </c>
      <c r="B263" s="8" t="b">
        <f t="shared" si="8"/>
        <v>0</v>
      </c>
      <c r="C263" s="10">
        <f>INSCRITOS!B226</f>
        <v>0</v>
      </c>
      <c r="D263" t="str">
        <f t="shared" si="9"/>
        <v>FALSO0/</v>
      </c>
    </row>
    <row r="264" spans="1:4" ht="122.25" customHeight="1" x14ac:dyDescent="0.25">
      <c r="A264" s="19">
        <f>INSCRITOS!P227</f>
        <v>0</v>
      </c>
      <c r="B264" s="8" t="b">
        <f t="shared" si="8"/>
        <v>0</v>
      </c>
      <c r="C264" s="10">
        <f>INSCRITOS!B227</f>
        <v>0</v>
      </c>
      <c r="D264" t="str">
        <f t="shared" si="9"/>
        <v>FALSO0/</v>
      </c>
    </row>
    <row r="265" spans="1:4" ht="122.25" customHeight="1" x14ac:dyDescent="0.25">
      <c r="A265" s="19">
        <f>INSCRITOS!P228</f>
        <v>0</v>
      </c>
      <c r="B265" s="8" t="b">
        <f t="shared" si="8"/>
        <v>0</v>
      </c>
      <c r="C265" s="10">
        <f>INSCRITOS!B228</f>
        <v>0</v>
      </c>
      <c r="D265" t="str">
        <f t="shared" si="9"/>
        <v>FALSO0/</v>
      </c>
    </row>
    <row r="266" spans="1:4" ht="122.25" customHeight="1" x14ac:dyDescent="0.25">
      <c r="A266" s="19">
        <f>INSCRITOS!P229</f>
        <v>0</v>
      </c>
      <c r="B266" s="8" t="b">
        <f t="shared" si="8"/>
        <v>0</v>
      </c>
      <c r="C266" s="10">
        <f>INSCRITOS!B229</f>
        <v>0</v>
      </c>
      <c r="D266" t="str">
        <f t="shared" si="9"/>
        <v>FALSO0/</v>
      </c>
    </row>
    <row r="267" spans="1:4" ht="122.25" customHeight="1" x14ac:dyDescent="0.25">
      <c r="A267" s="19">
        <f>INSCRITOS!P230</f>
        <v>0</v>
      </c>
      <c r="B267" s="8" t="b">
        <f t="shared" si="8"/>
        <v>0</v>
      </c>
      <c r="C267" s="10">
        <f>INSCRITOS!B230</f>
        <v>0</v>
      </c>
      <c r="D267" t="str">
        <f t="shared" si="9"/>
        <v>FALSO0/</v>
      </c>
    </row>
    <row r="268" spans="1:4" ht="122.25" customHeight="1" x14ac:dyDescent="0.25">
      <c r="A268" s="19">
        <f>INSCRITOS!P231</f>
        <v>0</v>
      </c>
      <c r="B268" s="8" t="b">
        <f t="shared" si="8"/>
        <v>0</v>
      </c>
      <c r="C268" s="10">
        <f>INSCRITOS!B231</f>
        <v>0</v>
      </c>
      <c r="D268" t="str">
        <f t="shared" si="9"/>
        <v>FALSO0/</v>
      </c>
    </row>
    <row r="269" spans="1:4" ht="122.25" customHeight="1" x14ac:dyDescent="0.25">
      <c r="A269" s="19">
        <f>INSCRITOS!P232</f>
        <v>0</v>
      </c>
      <c r="B269" s="8" t="b">
        <f t="shared" si="8"/>
        <v>0</v>
      </c>
      <c r="C269" s="10">
        <f>INSCRITOS!B232</f>
        <v>0</v>
      </c>
      <c r="D269" t="str">
        <f t="shared" si="9"/>
        <v>FALSO0/</v>
      </c>
    </row>
    <row r="270" spans="1:4" ht="122.25" customHeight="1" x14ac:dyDescent="0.25">
      <c r="A270" s="19">
        <f>INSCRITOS!P233</f>
        <v>0</v>
      </c>
      <c r="B270" s="8" t="b">
        <f t="shared" si="8"/>
        <v>0</v>
      </c>
      <c r="C270" s="10">
        <f>INSCRITOS!B233</f>
        <v>0</v>
      </c>
      <c r="D270" t="str">
        <f t="shared" si="9"/>
        <v>FALSO0/</v>
      </c>
    </row>
    <row r="271" spans="1:4" ht="122.25" customHeight="1" x14ac:dyDescent="0.25">
      <c r="A271" s="19">
        <f>INSCRITOS!P234</f>
        <v>0</v>
      </c>
      <c r="B271" s="8" t="b">
        <f t="shared" si="8"/>
        <v>0</v>
      </c>
      <c r="C271" s="10">
        <f>INSCRITOS!B234</f>
        <v>0</v>
      </c>
      <c r="D271" t="str">
        <f t="shared" si="9"/>
        <v>FALSO0/</v>
      </c>
    </row>
    <row r="272" spans="1:4" ht="122.25" customHeight="1" x14ac:dyDescent="0.25">
      <c r="A272" s="19">
        <f>INSCRITOS!P235</f>
        <v>0</v>
      </c>
      <c r="B272" s="8" t="b">
        <f t="shared" si="8"/>
        <v>0</v>
      </c>
      <c r="C272" s="10">
        <f>INSCRITOS!B235</f>
        <v>0</v>
      </c>
      <c r="D272" t="str">
        <f t="shared" si="9"/>
        <v>FALSO0/</v>
      </c>
    </row>
    <row r="273" spans="1:4" ht="122.25" customHeight="1" x14ac:dyDescent="0.25">
      <c r="A273" s="19">
        <f>INSCRITOS!P236</f>
        <v>0</v>
      </c>
      <c r="B273" s="8" t="b">
        <f t="shared" si="8"/>
        <v>0</v>
      </c>
      <c r="C273" s="10">
        <f>INSCRITOS!B236</f>
        <v>0</v>
      </c>
      <c r="D273" t="str">
        <f t="shared" si="9"/>
        <v>FALSO0/</v>
      </c>
    </row>
    <row r="274" spans="1:4" ht="122.25" customHeight="1" x14ac:dyDescent="0.25">
      <c r="A274" s="19">
        <f>INSCRITOS!P237</f>
        <v>0</v>
      </c>
      <c r="B274" s="8" t="b">
        <f t="shared" si="8"/>
        <v>0</v>
      </c>
      <c r="C274" s="10">
        <f>INSCRITOS!B237</f>
        <v>0</v>
      </c>
      <c r="D274" t="str">
        <f t="shared" si="9"/>
        <v>FALSO0/</v>
      </c>
    </row>
    <row r="275" spans="1:4" ht="122.25" customHeight="1" x14ac:dyDescent="0.25">
      <c r="A275" s="19">
        <f>INSCRITOS!P238</f>
        <v>0</v>
      </c>
      <c r="B275" s="8" t="b">
        <f t="shared" si="8"/>
        <v>0</v>
      </c>
      <c r="C275" s="10">
        <f>INSCRITOS!B238</f>
        <v>0</v>
      </c>
      <c r="D275" t="str">
        <f t="shared" si="9"/>
        <v>FALSO0/</v>
      </c>
    </row>
    <row r="276" spans="1:4" ht="122.25" customHeight="1" x14ac:dyDescent="0.25">
      <c r="A276" s="19">
        <f>INSCRITOS!P239</f>
        <v>0</v>
      </c>
      <c r="B276" s="8" t="b">
        <f t="shared" si="8"/>
        <v>0</v>
      </c>
      <c r="C276" s="10">
        <f>INSCRITOS!B239</f>
        <v>0</v>
      </c>
      <c r="D276" t="str">
        <f t="shared" si="9"/>
        <v>FALSO0/</v>
      </c>
    </row>
    <row r="277" spans="1:4" ht="122.25" customHeight="1" x14ac:dyDescent="0.25">
      <c r="A277" s="19">
        <f>INSCRITOS!P240</f>
        <v>0</v>
      </c>
      <c r="B277" s="8" t="b">
        <f t="shared" si="8"/>
        <v>0</v>
      </c>
      <c r="C277" s="10">
        <f>INSCRITOS!B240</f>
        <v>0</v>
      </c>
      <c r="D277" t="str">
        <f t="shared" si="9"/>
        <v>FALSO0/</v>
      </c>
    </row>
    <row r="278" spans="1:4" ht="122.25" customHeight="1" x14ac:dyDescent="0.25">
      <c r="A278" s="19">
        <f>INSCRITOS!P241</f>
        <v>0</v>
      </c>
      <c r="B278" s="8" t="b">
        <f t="shared" si="8"/>
        <v>0</v>
      </c>
      <c r="C278" s="10">
        <f>INSCRITOS!B241</f>
        <v>0</v>
      </c>
      <c r="D278" t="str">
        <f t="shared" si="9"/>
        <v>FALSO0/</v>
      </c>
    </row>
    <row r="279" spans="1:4" ht="122.25" customHeight="1" x14ac:dyDescent="0.25">
      <c r="A279" s="19">
        <f>INSCRITOS!P242</f>
        <v>0</v>
      </c>
      <c r="B279" s="8" t="b">
        <f t="shared" si="8"/>
        <v>0</v>
      </c>
      <c r="C279" s="10">
        <f>INSCRITOS!B242</f>
        <v>0</v>
      </c>
      <c r="D279" t="str">
        <f t="shared" si="9"/>
        <v>FALSO0/</v>
      </c>
    </row>
    <row r="280" spans="1:4" ht="122.25" customHeight="1" x14ac:dyDescent="0.25">
      <c r="A280" s="19">
        <f>INSCRITOS!P243</f>
        <v>0</v>
      </c>
      <c r="B280" s="8" t="b">
        <f t="shared" si="8"/>
        <v>0</v>
      </c>
      <c r="C280" s="10">
        <f>INSCRITOS!B243</f>
        <v>0</v>
      </c>
      <c r="D280" t="str">
        <f t="shared" si="9"/>
        <v>FALSO0/</v>
      </c>
    </row>
    <row r="281" spans="1:4" ht="122.25" customHeight="1" x14ac:dyDescent="0.25">
      <c r="A281" s="19">
        <f>INSCRITOS!P244</f>
        <v>0</v>
      </c>
      <c r="B281" s="8" t="b">
        <f t="shared" si="8"/>
        <v>0</v>
      </c>
      <c r="C281" s="10">
        <f>INSCRITOS!B244</f>
        <v>0</v>
      </c>
      <c r="D281" t="str">
        <f t="shared" si="9"/>
        <v>FALSO0/</v>
      </c>
    </row>
    <row r="282" spans="1:4" ht="122.25" customHeight="1" x14ac:dyDescent="0.25">
      <c r="A282" s="19">
        <f>INSCRITOS!P245</f>
        <v>0</v>
      </c>
      <c r="B282" s="8" t="b">
        <f t="shared" si="8"/>
        <v>0</v>
      </c>
      <c r="C282" s="10">
        <f>INSCRITOS!B245</f>
        <v>0</v>
      </c>
      <c r="D282" t="str">
        <f t="shared" si="9"/>
        <v>FALSO0/</v>
      </c>
    </row>
    <row r="283" spans="1:4" ht="122.25" customHeight="1" x14ac:dyDescent="0.25">
      <c r="A283" s="19">
        <f>INSCRITOS!P246</f>
        <v>0</v>
      </c>
      <c r="B283" s="8" t="b">
        <f t="shared" si="8"/>
        <v>0</v>
      </c>
      <c r="C283" s="10">
        <f>INSCRITOS!B246</f>
        <v>0</v>
      </c>
      <c r="D283" t="str">
        <f t="shared" si="9"/>
        <v>FALSO0/</v>
      </c>
    </row>
    <row r="284" spans="1:4" ht="122.25" customHeight="1" x14ac:dyDescent="0.25">
      <c r="A284" s="19">
        <f>INSCRITOS!P247</f>
        <v>0</v>
      </c>
      <c r="B284" s="8" t="b">
        <f t="shared" si="8"/>
        <v>0</v>
      </c>
      <c r="C284" s="10">
        <f>INSCRITOS!B247</f>
        <v>0</v>
      </c>
      <c r="D284" t="str">
        <f t="shared" si="9"/>
        <v>FALSO0/</v>
      </c>
    </row>
    <row r="285" spans="1:4" ht="122.25" customHeight="1" x14ac:dyDescent="0.25">
      <c r="A285" s="19">
        <f>INSCRITOS!P248</f>
        <v>0</v>
      </c>
      <c r="B285" s="8" t="b">
        <f t="shared" si="8"/>
        <v>0</v>
      </c>
      <c r="C285" s="10">
        <f>INSCRITOS!B248</f>
        <v>0</v>
      </c>
      <c r="D285" t="str">
        <f t="shared" si="9"/>
        <v>FALSO0/</v>
      </c>
    </row>
    <row r="286" spans="1:4" ht="122.25" customHeight="1" x14ac:dyDescent="0.25">
      <c r="A286" s="19">
        <f>INSCRITOS!P249</f>
        <v>0</v>
      </c>
      <c r="B286" s="8" t="b">
        <f t="shared" si="8"/>
        <v>0</v>
      </c>
      <c r="C286" s="10">
        <f>INSCRITOS!B249</f>
        <v>0</v>
      </c>
      <c r="D286" t="str">
        <f t="shared" si="9"/>
        <v>FALSO0/</v>
      </c>
    </row>
    <row r="287" spans="1:4" ht="122.25" customHeight="1" x14ac:dyDescent="0.25">
      <c r="A287" s="19">
        <f>INSCRITOS!P250</f>
        <v>0</v>
      </c>
      <c r="B287" s="8" t="b">
        <f t="shared" si="8"/>
        <v>0</v>
      </c>
      <c r="C287" s="10">
        <f>INSCRITOS!B250</f>
        <v>0</v>
      </c>
      <c r="D287" t="str">
        <f t="shared" si="9"/>
        <v>FALSO0/</v>
      </c>
    </row>
    <row r="288" spans="1:4" ht="122.25" customHeight="1" x14ac:dyDescent="0.25">
      <c r="A288" s="19">
        <f>INSCRITOS!P251</f>
        <v>0</v>
      </c>
      <c r="B288" s="8" t="b">
        <f t="shared" si="8"/>
        <v>0</v>
      </c>
      <c r="C288" s="10">
        <f>INSCRITOS!B251</f>
        <v>0</v>
      </c>
      <c r="D288" t="str">
        <f t="shared" si="9"/>
        <v>FALSO0/</v>
      </c>
    </row>
    <row r="289" spans="1:4" ht="122.25" customHeight="1" x14ac:dyDescent="0.25">
      <c r="A289" s="19">
        <f>INSCRITOS!P252</f>
        <v>0</v>
      </c>
      <c r="B289" s="8" t="b">
        <f t="shared" si="8"/>
        <v>0</v>
      </c>
      <c r="C289" s="10">
        <f>INSCRITOS!B252</f>
        <v>0</v>
      </c>
      <c r="D289" t="str">
        <f t="shared" si="9"/>
        <v>FALSO0/</v>
      </c>
    </row>
    <row r="290" spans="1:4" ht="122.25" customHeight="1" x14ac:dyDescent="0.25">
      <c r="A290" s="19">
        <f>INSCRITOS!P253</f>
        <v>0</v>
      </c>
      <c r="B290" s="8" t="b">
        <f t="shared" si="8"/>
        <v>0</v>
      </c>
      <c r="C290" s="10">
        <f>INSCRITOS!B253</f>
        <v>0</v>
      </c>
      <c r="D290" t="str">
        <f t="shared" si="9"/>
        <v>FALSO0/</v>
      </c>
    </row>
    <row r="291" spans="1:4" ht="122.25" customHeight="1" x14ac:dyDescent="0.25">
      <c r="A291" s="19">
        <f>INSCRITOS!P254</f>
        <v>0</v>
      </c>
      <c r="B291" s="8" t="b">
        <f t="shared" si="8"/>
        <v>0</v>
      </c>
      <c r="C291" s="10">
        <f>INSCRITOS!B254</f>
        <v>0</v>
      </c>
      <c r="D291" t="str">
        <f t="shared" si="9"/>
        <v>FALSO0/</v>
      </c>
    </row>
    <row r="292" spans="1:4" ht="122.25" customHeight="1" x14ac:dyDescent="0.25">
      <c r="A292" s="19">
        <f>INSCRITOS!P255</f>
        <v>0</v>
      </c>
      <c r="B292" s="8" t="b">
        <f t="shared" si="8"/>
        <v>0</v>
      </c>
      <c r="C292" s="10">
        <f>INSCRITOS!B255</f>
        <v>0</v>
      </c>
      <c r="D292" t="str">
        <f t="shared" si="9"/>
        <v>FALSO0/</v>
      </c>
    </row>
    <row r="293" spans="1:4" ht="122.25" customHeight="1" x14ac:dyDescent="0.25">
      <c r="A293" s="19">
        <f>INSCRITOS!P256</f>
        <v>0</v>
      </c>
      <c r="B293" s="8" t="b">
        <f t="shared" si="8"/>
        <v>0</v>
      </c>
      <c r="C293" s="10">
        <f>INSCRITOS!B256</f>
        <v>0</v>
      </c>
      <c r="D293" t="str">
        <f t="shared" si="9"/>
        <v>FALSO0/</v>
      </c>
    </row>
    <row r="294" spans="1:4" ht="122.25" customHeight="1" x14ac:dyDescent="0.25">
      <c r="A294" s="19">
        <f>INSCRITOS!P257</f>
        <v>0</v>
      </c>
      <c r="B294" s="8" t="b">
        <f t="shared" si="8"/>
        <v>0</v>
      </c>
      <c r="C294" s="10">
        <f>INSCRITOS!B257</f>
        <v>0</v>
      </c>
      <c r="D294" t="str">
        <f t="shared" si="9"/>
        <v>FALSO0/</v>
      </c>
    </row>
    <row r="295" spans="1:4" ht="122.25" customHeight="1" x14ac:dyDescent="0.25">
      <c r="A295" s="19">
        <f>INSCRITOS!P258</f>
        <v>0</v>
      </c>
      <c r="B295" s="8" t="b">
        <f t="shared" si="8"/>
        <v>0</v>
      </c>
      <c r="C295" s="10">
        <f>INSCRITOS!B258</f>
        <v>0</v>
      </c>
      <c r="D295" t="str">
        <f t="shared" si="9"/>
        <v>FALSO0/</v>
      </c>
    </row>
    <row r="296" spans="1:4" ht="122.25" customHeight="1" x14ac:dyDescent="0.25">
      <c r="A296" s="19">
        <f>INSCRITOS!P259</f>
        <v>0</v>
      </c>
      <c r="B296" s="8" t="b">
        <f t="shared" si="8"/>
        <v>0</v>
      </c>
      <c r="C296" s="10">
        <f>INSCRITOS!B259</f>
        <v>0</v>
      </c>
      <c r="D296" t="str">
        <f t="shared" si="9"/>
        <v>FALSO0/</v>
      </c>
    </row>
    <row r="297" spans="1:4" ht="122.25" customHeight="1" x14ac:dyDescent="0.25">
      <c r="A297" s="19">
        <f>INSCRITOS!P260</f>
        <v>0</v>
      </c>
      <c r="B297" s="8" t="b">
        <f t="shared" si="8"/>
        <v>0</v>
      </c>
      <c r="C297" s="10">
        <f>INSCRITOS!B260</f>
        <v>0</v>
      </c>
      <c r="D297" t="str">
        <f t="shared" si="9"/>
        <v>FALSO0/</v>
      </c>
    </row>
    <row r="298" spans="1:4" ht="122.25" customHeight="1" x14ac:dyDescent="0.25">
      <c r="A298" s="19">
        <f>INSCRITOS!P261</f>
        <v>0</v>
      </c>
      <c r="B298" s="8" t="b">
        <f t="shared" si="8"/>
        <v>0</v>
      </c>
      <c r="C298" s="10">
        <f>INSCRITOS!B261</f>
        <v>0</v>
      </c>
      <c r="D298" t="str">
        <f t="shared" si="9"/>
        <v>FALSO0/</v>
      </c>
    </row>
    <row r="299" spans="1:4" ht="122.25" customHeight="1" x14ac:dyDescent="0.25">
      <c r="A299" s="19">
        <f>INSCRITOS!P262</f>
        <v>0</v>
      </c>
      <c r="B299" s="8" t="b">
        <f t="shared" si="8"/>
        <v>0</v>
      </c>
      <c r="C299" s="10">
        <f>INSCRITOS!B262</f>
        <v>0</v>
      </c>
      <c r="D299" t="str">
        <f t="shared" si="9"/>
        <v>FALSO0/</v>
      </c>
    </row>
    <row r="300" spans="1:4" ht="122.25" customHeight="1" x14ac:dyDescent="0.25">
      <c r="A300" s="19">
        <f>INSCRITOS!P263</f>
        <v>0</v>
      </c>
      <c r="B300" s="8" t="b">
        <f t="shared" si="8"/>
        <v>0</v>
      </c>
      <c r="C300" s="10">
        <f>INSCRITOS!B263</f>
        <v>0</v>
      </c>
      <c r="D300" t="str">
        <f t="shared" si="9"/>
        <v>FALSO0/</v>
      </c>
    </row>
    <row r="301" spans="1:4" ht="122.25" customHeight="1" x14ac:dyDescent="0.25">
      <c r="A301" s="19">
        <f>INSCRITOS!P264</f>
        <v>0</v>
      </c>
      <c r="B301" s="8" t="b">
        <f t="shared" si="8"/>
        <v>0</v>
      </c>
      <c r="C301" s="10">
        <f>INSCRITOS!B264</f>
        <v>0</v>
      </c>
      <c r="D301" t="str">
        <f t="shared" si="9"/>
        <v>FALSO0/</v>
      </c>
    </row>
    <row r="302" spans="1:4" ht="122.25" customHeight="1" x14ac:dyDescent="0.25">
      <c r="A302" s="19">
        <f>INSCRITOS!P265</f>
        <v>0</v>
      </c>
      <c r="B302" s="8" t="b">
        <f t="shared" si="8"/>
        <v>0</v>
      </c>
      <c r="C302" s="10">
        <f>INSCRITOS!B265</f>
        <v>0</v>
      </c>
      <c r="D302" t="str">
        <f t="shared" si="9"/>
        <v>FALSO0/</v>
      </c>
    </row>
    <row r="303" spans="1:4" ht="122.25" customHeight="1" x14ac:dyDescent="0.25">
      <c r="A303" s="19">
        <f>INSCRITOS!P266</f>
        <v>0</v>
      </c>
      <c r="B303" s="8" t="b">
        <f t="shared" si="8"/>
        <v>0</v>
      </c>
      <c r="C303" s="10">
        <f>INSCRITOS!B266</f>
        <v>0</v>
      </c>
      <c r="D303" t="str">
        <f t="shared" si="9"/>
        <v>FALSO0/</v>
      </c>
    </row>
    <row r="304" spans="1:4" ht="122.25" customHeight="1" x14ac:dyDescent="0.25">
      <c r="A304" s="19">
        <f>INSCRITOS!P267</f>
        <v>0</v>
      </c>
      <c r="B304" s="8" t="b">
        <f t="shared" si="8"/>
        <v>0</v>
      </c>
      <c r="C304" s="10">
        <f>INSCRITOS!B267</f>
        <v>0</v>
      </c>
      <c r="D304" t="str">
        <f t="shared" si="9"/>
        <v>FALSO0/</v>
      </c>
    </row>
    <row r="305" spans="1:4" ht="122.25" customHeight="1" x14ac:dyDescent="0.25">
      <c r="A305" s="19">
        <f>INSCRITOS!P268</f>
        <v>0</v>
      </c>
      <c r="B305" s="8" t="b">
        <f t="shared" si="8"/>
        <v>0</v>
      </c>
      <c r="C305" s="10">
        <f>INSCRITOS!B268</f>
        <v>0</v>
      </c>
      <c r="D305" t="str">
        <f t="shared" si="9"/>
        <v>FALSO0/</v>
      </c>
    </row>
    <row r="306" spans="1:4" ht="122.25" customHeight="1" x14ac:dyDescent="0.25">
      <c r="A306" s="19">
        <f>INSCRITOS!P269</f>
        <v>0</v>
      </c>
      <c r="B306" s="8" t="b">
        <f t="shared" si="8"/>
        <v>0</v>
      </c>
      <c r="C306" s="10">
        <f>INSCRITOS!B269</f>
        <v>0</v>
      </c>
      <c r="D306" t="str">
        <f t="shared" si="9"/>
        <v>FALSO0/</v>
      </c>
    </row>
    <row r="307" spans="1:4" ht="122.25" customHeight="1" x14ac:dyDescent="0.25">
      <c r="A307" s="19">
        <f>INSCRITOS!P270</f>
        <v>0</v>
      </c>
      <c r="B307" s="8" t="b">
        <f t="shared" si="8"/>
        <v>0</v>
      </c>
      <c r="C307" s="10">
        <f>INSCRITOS!B270</f>
        <v>0</v>
      </c>
      <c r="D307" t="str">
        <f t="shared" si="9"/>
        <v>FALSO0/</v>
      </c>
    </row>
    <row r="308" spans="1:4" ht="122.25" customHeight="1" x14ac:dyDescent="0.25">
      <c r="A308" s="19">
        <f>INSCRITOS!P271</f>
        <v>0</v>
      </c>
      <c r="B308" s="8" t="b">
        <f t="shared" si="8"/>
        <v>0</v>
      </c>
      <c r="C308" s="10">
        <f>INSCRITOS!B271</f>
        <v>0</v>
      </c>
      <c r="D308" t="str">
        <f t="shared" si="9"/>
        <v>FALSO0/</v>
      </c>
    </row>
    <row r="309" spans="1:4" ht="122.25" customHeight="1" x14ac:dyDescent="0.25">
      <c r="A309" s="19">
        <f>INSCRITOS!P272</f>
        <v>0</v>
      </c>
      <c r="B309" s="8" t="b">
        <f t="shared" si="8"/>
        <v>0</v>
      </c>
      <c r="C309" s="10">
        <f>INSCRITOS!B272</f>
        <v>0</v>
      </c>
      <c r="D309" t="str">
        <f t="shared" si="9"/>
        <v>FALSO0/</v>
      </c>
    </row>
    <row r="310" spans="1:4" ht="122.25" customHeight="1" x14ac:dyDescent="0.25">
      <c r="A310" s="19">
        <f>INSCRITOS!P273</f>
        <v>0</v>
      </c>
      <c r="B310" s="8" t="b">
        <f t="shared" si="8"/>
        <v>0</v>
      </c>
      <c r="C310" s="10">
        <f>INSCRITOS!B273</f>
        <v>0</v>
      </c>
      <c r="D310" t="str">
        <f t="shared" si="9"/>
        <v>FALSO0/</v>
      </c>
    </row>
    <row r="311" spans="1:4" ht="122.25" customHeight="1" x14ac:dyDescent="0.25">
      <c r="A311" s="19">
        <f>INSCRITOS!P274</f>
        <v>0</v>
      </c>
      <c r="B311" s="8" t="b">
        <f t="shared" si="8"/>
        <v>0</v>
      </c>
      <c r="C311" s="10">
        <f>INSCRITOS!B274</f>
        <v>0</v>
      </c>
      <c r="D311" t="str">
        <f t="shared" si="9"/>
        <v>FALSO0/</v>
      </c>
    </row>
    <row r="312" spans="1:4" ht="122.25" customHeight="1" x14ac:dyDescent="0.25">
      <c r="A312" s="19">
        <f>INSCRITOS!P275</f>
        <v>0</v>
      </c>
      <c r="B312" s="8" t="b">
        <f t="shared" si="8"/>
        <v>0</v>
      </c>
      <c r="C312" s="10">
        <f>INSCRITOS!B275</f>
        <v>0</v>
      </c>
      <c r="D312" t="str">
        <f t="shared" si="9"/>
        <v>FALSO0/</v>
      </c>
    </row>
    <row r="313" spans="1:4" ht="122.25" customHeight="1" x14ac:dyDescent="0.25">
      <c r="A313" s="19">
        <f>INSCRITOS!P276</f>
        <v>0</v>
      </c>
      <c r="B313" s="8" t="b">
        <f t="shared" si="8"/>
        <v>0</v>
      </c>
      <c r="C313" s="10">
        <f>INSCRITOS!B276</f>
        <v>0</v>
      </c>
      <c r="D313" t="str">
        <f t="shared" si="9"/>
        <v>FALSO0/</v>
      </c>
    </row>
    <row r="314" spans="1:4" ht="122.25" customHeight="1" x14ac:dyDescent="0.25">
      <c r="A314" s="19">
        <f>INSCRITOS!P277</f>
        <v>0</v>
      </c>
      <c r="B314" s="8" t="b">
        <f t="shared" si="8"/>
        <v>0</v>
      </c>
      <c r="C314" s="10">
        <f>INSCRITOS!B277</f>
        <v>0</v>
      </c>
      <c r="D314" t="str">
        <f t="shared" si="9"/>
        <v>FALSO0/</v>
      </c>
    </row>
    <row r="315" spans="1:4" ht="122.25" customHeight="1" x14ac:dyDescent="0.25">
      <c r="A315" s="19">
        <f>INSCRITOS!P278</f>
        <v>0</v>
      </c>
      <c r="B315" s="8" t="b">
        <f t="shared" si="8"/>
        <v>0</v>
      </c>
      <c r="C315" s="10">
        <f>INSCRITOS!B278</f>
        <v>0</v>
      </c>
      <c r="D315" t="str">
        <f t="shared" si="9"/>
        <v>FALSO0/</v>
      </c>
    </row>
    <row r="316" spans="1:4" ht="122.25" customHeight="1" x14ac:dyDescent="0.25">
      <c r="A316" s="19">
        <f>INSCRITOS!P279</f>
        <v>0</v>
      </c>
      <c r="B316" s="8" t="b">
        <f t="shared" ref="B316:B355" si="10">IF(A316=$H$19,"https://centrodecapacitaciondelsur.com/o-v-e-",IF(A316=$H$2,"https://centrodecapacitaciondelsur.com/aph-",IF(A316=$H$3,"https://centrodecapacitaciondelsur.com/manejo-del-duelo-",IF(A316=$H$4,"https://centrodecapacitaciondelsur.com/victimas-por-agentes-quimicos-",IF(A316=$H$5,"https://centrodecapacitaciondelsur.com/primeros-auxilios-",IF(A316=$H$6,"https://centrodecapacitaciondelsur.com/uci-",IF(A316=$H$8,"https://centrodecapacitaciondelsur.com/humanizacion-",IF(A316=$H$11,"https://centrodecapacitaciondelsur.com/soporte-cardiovascular-avanzado-",IF(A316=$H$12,"https://centrodecapacitaciondelsur.com/camillero-",IF(A316=$H$13,"https://centrodecapacitaciondelsur.com/toma-de-muestras-y-lab-clinico-",IF(A316=$H$14,"https://centrodecapacitaciondelsur.com/soporte-basico-de-vida-",IF(A316=$H$15,"https://centrodecapacitaciondelsur.com/violencia-sexual-",IF(A316=$H$17,"https://centrodecapacitaciondelsur.com/aiepi-",IF(A316=$H$18,"https://centrodecapacitaciondelsur.com/adm-medicamentos-canalizacion-inyectologia-",IF(A316=$H$25,"https://centrodecapacitaciondelsur.com/manejo-del-dolor-y-cuidados-paliativos-",IF(A316=$H$26,"https://centrodecapacitaciondelsur.com/toma-de-muestras-y-lab-clinico-poct-",IF(A316=$H$27,"https://centrodecapacitaciondelsur.com/implante-subdermico-",IF(A316=$H$21,"https://centrodecapacitaciondelsur.com/donante-de-organos-",IF(A316=$H$30,"https://centrodecapacitaciondelsur.com/atencion-a-victimas-del-conflicto-armado-",IF(A316=$H$20,"https://centrodecapacitaciondelsur.com/iami-",IF(A316=$H$22,"https://centrodecapacitaciondelsur.com/violencia-de-genero-",IF(A316=$H$23,"https://centrodecapacitaciondelsur.com/igualdad-de-genero-",IF(A316=$H$16,"https://centrodecapacitaciondelsur.com/pai-",IF(A316=$H$31,"https://centrodecapacitaciondelsur.com/manipulacion-de-alimentos-",IF(A316=$H$32,"https://centrodecapacitaciondelsur.com/atencion-a-personas-con-discapacidad-",IF(A316=$H$33,"https://centrodecapacitaciondelsur.com/atencion-al-adulto-mayor-",IF(A316=$H$34,"https://centrodecapacitaciondelsur.com/manejo-defensivo-",IF(A316=$H$35,"https://centrodecapacitaciondelsur.com/soporte-basico-neonatal-",IF(A316=$H$36,"https://centrodecapacitaciondelsur.com/seguridad-del-paciente-",IF(A316=$H$37,"https://centrodecapacitaciondelsur.com/manejo-de-residuos-hospitalarios-",IF(A316=$H$10,"https://centrodecapacitaciondelsur.com/toma-de-citologia-",IF(A316=$H$29,"https://centrodecapacitaciondelsur.com/primeros-aux-psicologicos-"))))))))))))))))))))))))))))))))</f>
        <v>0</v>
      </c>
      <c r="C316" s="10">
        <f>INSCRITOS!B279</f>
        <v>0</v>
      </c>
      <c r="D316" t="str">
        <f t="shared" ref="D316:D355" si="11">CONCATENATE(B316,C316,"/")</f>
        <v>FALSO0/</v>
      </c>
    </row>
    <row r="317" spans="1:4" ht="122.25" customHeight="1" x14ac:dyDescent="0.25">
      <c r="A317" s="19">
        <f>INSCRITOS!P280</f>
        <v>0</v>
      </c>
      <c r="B317" s="8" t="b">
        <f t="shared" si="10"/>
        <v>0</v>
      </c>
      <c r="C317" s="10">
        <f>INSCRITOS!B280</f>
        <v>0</v>
      </c>
      <c r="D317" t="str">
        <f t="shared" si="11"/>
        <v>FALSO0/</v>
      </c>
    </row>
    <row r="318" spans="1:4" ht="122.25" customHeight="1" x14ac:dyDescent="0.25">
      <c r="A318" s="19">
        <f>INSCRITOS!P281</f>
        <v>0</v>
      </c>
      <c r="B318" s="8" t="b">
        <f t="shared" si="10"/>
        <v>0</v>
      </c>
      <c r="C318" s="10">
        <f>INSCRITOS!B281</f>
        <v>0</v>
      </c>
      <c r="D318" t="str">
        <f t="shared" si="11"/>
        <v>FALSO0/</v>
      </c>
    </row>
    <row r="319" spans="1:4" ht="122.25" customHeight="1" x14ac:dyDescent="0.25">
      <c r="A319" s="19">
        <f>INSCRITOS!P282</f>
        <v>0</v>
      </c>
      <c r="B319" s="8" t="b">
        <f t="shared" si="10"/>
        <v>0</v>
      </c>
      <c r="C319" s="10">
        <f>INSCRITOS!B282</f>
        <v>0</v>
      </c>
      <c r="D319" t="str">
        <f t="shared" si="11"/>
        <v>FALSO0/</v>
      </c>
    </row>
    <row r="320" spans="1:4" ht="122.25" customHeight="1" x14ac:dyDescent="0.25">
      <c r="A320" s="19">
        <f>INSCRITOS!P283</f>
        <v>0</v>
      </c>
      <c r="B320" s="8" t="b">
        <f t="shared" si="10"/>
        <v>0</v>
      </c>
      <c r="C320" s="10">
        <f>INSCRITOS!B283</f>
        <v>0</v>
      </c>
      <c r="D320" t="str">
        <f t="shared" si="11"/>
        <v>FALSO0/</v>
      </c>
    </row>
    <row r="321" spans="1:4" ht="122.25" customHeight="1" x14ac:dyDescent="0.25">
      <c r="A321" s="19">
        <f>INSCRITOS!P284</f>
        <v>0</v>
      </c>
      <c r="B321" s="8" t="b">
        <f t="shared" si="10"/>
        <v>0</v>
      </c>
      <c r="C321" s="10">
        <f>INSCRITOS!B284</f>
        <v>0</v>
      </c>
      <c r="D321" t="str">
        <f t="shared" si="11"/>
        <v>FALSO0/</v>
      </c>
    </row>
    <row r="322" spans="1:4" ht="122.25" customHeight="1" x14ac:dyDescent="0.25">
      <c r="A322" s="19">
        <f>INSCRITOS!P285</f>
        <v>0</v>
      </c>
      <c r="B322" s="8" t="b">
        <f t="shared" si="10"/>
        <v>0</v>
      </c>
      <c r="C322" s="10">
        <f>INSCRITOS!B285</f>
        <v>0</v>
      </c>
      <c r="D322" t="str">
        <f t="shared" si="11"/>
        <v>FALSO0/</v>
      </c>
    </row>
    <row r="323" spans="1:4" ht="122.25" customHeight="1" x14ac:dyDescent="0.25">
      <c r="A323" s="19">
        <f>INSCRITOS!P286</f>
        <v>0</v>
      </c>
      <c r="B323" s="8" t="b">
        <f t="shared" si="10"/>
        <v>0</v>
      </c>
      <c r="C323" s="10">
        <f>INSCRITOS!B286</f>
        <v>0</v>
      </c>
      <c r="D323" t="str">
        <f t="shared" si="11"/>
        <v>FALSO0/</v>
      </c>
    </row>
    <row r="324" spans="1:4" ht="122.25" customHeight="1" x14ac:dyDescent="0.25">
      <c r="A324" s="19">
        <f>INSCRITOS!P287</f>
        <v>0</v>
      </c>
      <c r="B324" s="8" t="b">
        <f t="shared" si="10"/>
        <v>0</v>
      </c>
      <c r="C324" s="10">
        <f>INSCRITOS!B287</f>
        <v>0</v>
      </c>
      <c r="D324" t="str">
        <f t="shared" si="11"/>
        <v>FALSO0/</v>
      </c>
    </row>
    <row r="325" spans="1:4" ht="122.25" customHeight="1" x14ac:dyDescent="0.25">
      <c r="A325" s="19">
        <f>INSCRITOS!P288</f>
        <v>0</v>
      </c>
      <c r="B325" s="8" t="b">
        <f t="shared" si="10"/>
        <v>0</v>
      </c>
      <c r="C325" s="10">
        <f>INSCRITOS!B288</f>
        <v>0</v>
      </c>
      <c r="D325" t="str">
        <f t="shared" si="11"/>
        <v>FALSO0/</v>
      </c>
    </row>
    <row r="326" spans="1:4" ht="122.25" customHeight="1" x14ac:dyDescent="0.25">
      <c r="A326" s="19">
        <f>INSCRITOS!P289</f>
        <v>0</v>
      </c>
      <c r="B326" s="8" t="b">
        <f t="shared" si="10"/>
        <v>0</v>
      </c>
      <c r="C326" s="10">
        <f>INSCRITOS!B289</f>
        <v>0</v>
      </c>
      <c r="D326" t="str">
        <f t="shared" si="11"/>
        <v>FALSO0/</v>
      </c>
    </row>
    <row r="327" spans="1:4" ht="122.25" customHeight="1" x14ac:dyDescent="0.25">
      <c r="A327" s="19">
        <f>INSCRITOS!P290</f>
        <v>0</v>
      </c>
      <c r="B327" s="8" t="b">
        <f t="shared" si="10"/>
        <v>0</v>
      </c>
      <c r="C327" s="10">
        <f>INSCRITOS!B290</f>
        <v>0</v>
      </c>
      <c r="D327" t="str">
        <f t="shared" si="11"/>
        <v>FALSO0/</v>
      </c>
    </row>
    <row r="328" spans="1:4" ht="122.25" customHeight="1" x14ac:dyDescent="0.25">
      <c r="A328" s="19">
        <f>INSCRITOS!P291</f>
        <v>0</v>
      </c>
      <c r="B328" s="8" t="b">
        <f t="shared" si="10"/>
        <v>0</v>
      </c>
      <c r="C328" s="10">
        <f>INSCRITOS!B291</f>
        <v>0</v>
      </c>
      <c r="D328" t="str">
        <f t="shared" si="11"/>
        <v>FALSO0/</v>
      </c>
    </row>
    <row r="329" spans="1:4" ht="122.25" customHeight="1" x14ac:dyDescent="0.25">
      <c r="A329" s="19">
        <f>INSCRITOS!P292</f>
        <v>0</v>
      </c>
      <c r="B329" s="8" t="b">
        <f t="shared" si="10"/>
        <v>0</v>
      </c>
      <c r="C329" s="10">
        <f>INSCRITOS!B292</f>
        <v>0</v>
      </c>
      <c r="D329" t="str">
        <f t="shared" si="11"/>
        <v>FALSO0/</v>
      </c>
    </row>
    <row r="330" spans="1:4" ht="122.25" customHeight="1" x14ac:dyDescent="0.25">
      <c r="A330" s="19">
        <f>INSCRITOS!P293</f>
        <v>0</v>
      </c>
      <c r="B330" s="8" t="b">
        <f t="shared" si="10"/>
        <v>0</v>
      </c>
      <c r="C330" s="10">
        <f>INSCRITOS!B293</f>
        <v>0</v>
      </c>
      <c r="D330" t="str">
        <f t="shared" si="11"/>
        <v>FALSO0/</v>
      </c>
    </row>
    <row r="331" spans="1:4" ht="122.25" customHeight="1" x14ac:dyDescent="0.25">
      <c r="A331" s="19">
        <f>INSCRITOS!P294</f>
        <v>0</v>
      </c>
      <c r="B331" s="8" t="b">
        <f t="shared" si="10"/>
        <v>0</v>
      </c>
      <c r="C331" s="10">
        <f>INSCRITOS!B294</f>
        <v>0</v>
      </c>
      <c r="D331" t="str">
        <f t="shared" si="11"/>
        <v>FALSO0/</v>
      </c>
    </row>
    <row r="332" spans="1:4" ht="122.25" customHeight="1" x14ac:dyDescent="0.25">
      <c r="A332" s="19">
        <f>INSCRITOS!P295</f>
        <v>0</v>
      </c>
      <c r="B332" s="8" t="b">
        <f t="shared" si="10"/>
        <v>0</v>
      </c>
      <c r="C332" s="10">
        <f>INSCRITOS!B295</f>
        <v>0</v>
      </c>
      <c r="D332" t="str">
        <f t="shared" si="11"/>
        <v>FALSO0/</v>
      </c>
    </row>
    <row r="333" spans="1:4" ht="122.25" customHeight="1" x14ac:dyDescent="0.25">
      <c r="A333" s="19">
        <f>INSCRITOS!P296</f>
        <v>0</v>
      </c>
      <c r="B333" s="8" t="b">
        <f t="shared" si="10"/>
        <v>0</v>
      </c>
      <c r="C333" s="10">
        <f>INSCRITOS!B296</f>
        <v>0</v>
      </c>
      <c r="D333" t="str">
        <f t="shared" si="11"/>
        <v>FALSO0/</v>
      </c>
    </row>
    <row r="334" spans="1:4" ht="122.25" customHeight="1" x14ac:dyDescent="0.25">
      <c r="A334" s="19">
        <f>INSCRITOS!P297</f>
        <v>0</v>
      </c>
      <c r="B334" s="8" t="b">
        <f t="shared" si="10"/>
        <v>0</v>
      </c>
      <c r="C334" s="10">
        <f>INSCRITOS!B297</f>
        <v>0</v>
      </c>
      <c r="D334" t="str">
        <f t="shared" si="11"/>
        <v>FALSO0/</v>
      </c>
    </row>
    <row r="335" spans="1:4" ht="122.25" customHeight="1" x14ac:dyDescent="0.25">
      <c r="A335" s="19">
        <f>INSCRITOS!P298</f>
        <v>0</v>
      </c>
      <c r="B335" s="8" t="b">
        <f t="shared" si="10"/>
        <v>0</v>
      </c>
      <c r="C335" s="10">
        <f>INSCRITOS!B298</f>
        <v>0</v>
      </c>
      <c r="D335" t="str">
        <f t="shared" si="11"/>
        <v>FALSO0/</v>
      </c>
    </row>
    <row r="336" spans="1:4" ht="122.25" customHeight="1" x14ac:dyDescent="0.25">
      <c r="A336" s="19">
        <f>INSCRITOS!P299</f>
        <v>0</v>
      </c>
      <c r="B336" s="8" t="b">
        <f t="shared" si="10"/>
        <v>0</v>
      </c>
      <c r="C336" s="10">
        <f>INSCRITOS!B299</f>
        <v>0</v>
      </c>
      <c r="D336" t="str">
        <f t="shared" si="11"/>
        <v>FALSO0/</v>
      </c>
    </row>
    <row r="337" spans="1:4" ht="122.25" customHeight="1" x14ac:dyDescent="0.25">
      <c r="A337" s="19">
        <f>INSCRITOS!P300</f>
        <v>0</v>
      </c>
      <c r="B337" s="8" t="b">
        <f t="shared" si="10"/>
        <v>0</v>
      </c>
      <c r="C337" s="10">
        <f>INSCRITOS!B300</f>
        <v>0</v>
      </c>
      <c r="D337" t="str">
        <f t="shared" si="11"/>
        <v>FALSO0/</v>
      </c>
    </row>
    <row r="338" spans="1:4" ht="122.25" customHeight="1" x14ac:dyDescent="0.25">
      <c r="A338" s="19">
        <f>INSCRITOS!P301</f>
        <v>0</v>
      </c>
      <c r="B338" s="8" t="b">
        <f t="shared" si="10"/>
        <v>0</v>
      </c>
      <c r="C338" s="10">
        <f>INSCRITOS!B301</f>
        <v>0</v>
      </c>
      <c r="D338" t="str">
        <f t="shared" si="11"/>
        <v>FALSO0/</v>
      </c>
    </row>
    <row r="339" spans="1:4" ht="122.25" customHeight="1" x14ac:dyDescent="0.25">
      <c r="A339" s="19">
        <f>INSCRITOS!P302</f>
        <v>0</v>
      </c>
      <c r="B339" s="8" t="b">
        <f t="shared" si="10"/>
        <v>0</v>
      </c>
      <c r="C339" s="10">
        <f>INSCRITOS!B302</f>
        <v>0</v>
      </c>
      <c r="D339" t="str">
        <f t="shared" si="11"/>
        <v>FALSO0/</v>
      </c>
    </row>
    <row r="340" spans="1:4" ht="122.25" customHeight="1" x14ac:dyDescent="0.25">
      <c r="A340" s="19">
        <f>INSCRITOS!P303</f>
        <v>0</v>
      </c>
      <c r="B340" s="8" t="b">
        <f t="shared" si="10"/>
        <v>0</v>
      </c>
      <c r="C340" s="10">
        <f>INSCRITOS!B303</f>
        <v>0</v>
      </c>
      <c r="D340" t="str">
        <f t="shared" si="11"/>
        <v>FALSO0/</v>
      </c>
    </row>
    <row r="341" spans="1:4" ht="122.25" customHeight="1" x14ac:dyDescent="0.25">
      <c r="A341" s="19">
        <f>INSCRITOS!P304</f>
        <v>0</v>
      </c>
      <c r="B341" s="8" t="b">
        <f t="shared" si="10"/>
        <v>0</v>
      </c>
      <c r="C341" s="10">
        <f>INSCRITOS!B304</f>
        <v>0</v>
      </c>
      <c r="D341" t="str">
        <f t="shared" si="11"/>
        <v>FALSO0/</v>
      </c>
    </row>
    <row r="342" spans="1:4" ht="122.25" customHeight="1" x14ac:dyDescent="0.25">
      <c r="A342" s="19">
        <f>INSCRITOS!P305</f>
        <v>0</v>
      </c>
      <c r="B342" s="8" t="b">
        <f t="shared" si="10"/>
        <v>0</v>
      </c>
      <c r="C342" s="10">
        <f>INSCRITOS!B305</f>
        <v>0</v>
      </c>
      <c r="D342" t="str">
        <f t="shared" si="11"/>
        <v>FALSO0/</v>
      </c>
    </row>
    <row r="343" spans="1:4" ht="122.25" customHeight="1" x14ac:dyDescent="0.25">
      <c r="A343" s="19">
        <f>INSCRITOS!P306</f>
        <v>0</v>
      </c>
      <c r="B343" s="8" t="b">
        <f t="shared" si="10"/>
        <v>0</v>
      </c>
      <c r="C343" s="10">
        <f>INSCRITOS!B306</f>
        <v>0</v>
      </c>
      <c r="D343" t="str">
        <f t="shared" si="11"/>
        <v>FALSO0/</v>
      </c>
    </row>
    <row r="344" spans="1:4" ht="122.25" customHeight="1" x14ac:dyDescent="0.25">
      <c r="A344" s="19">
        <f>INSCRITOS!P307</f>
        <v>0</v>
      </c>
      <c r="B344" s="8" t="b">
        <f t="shared" si="10"/>
        <v>0</v>
      </c>
      <c r="C344" s="10">
        <f>INSCRITOS!B307</f>
        <v>0</v>
      </c>
      <c r="D344" t="str">
        <f t="shared" si="11"/>
        <v>FALSO0/</v>
      </c>
    </row>
    <row r="345" spans="1:4" ht="122.25" customHeight="1" x14ac:dyDescent="0.25">
      <c r="A345" s="19">
        <f>INSCRITOS!P308</f>
        <v>0</v>
      </c>
      <c r="B345" s="8" t="b">
        <f t="shared" si="10"/>
        <v>0</v>
      </c>
      <c r="C345" s="10">
        <f>INSCRITOS!B308</f>
        <v>0</v>
      </c>
      <c r="D345" t="str">
        <f t="shared" si="11"/>
        <v>FALSO0/</v>
      </c>
    </row>
    <row r="346" spans="1:4" ht="122.25" customHeight="1" x14ac:dyDescent="0.25">
      <c r="A346" s="19">
        <f>INSCRITOS!P309</f>
        <v>0</v>
      </c>
      <c r="B346" s="8" t="b">
        <f t="shared" si="10"/>
        <v>0</v>
      </c>
      <c r="C346" s="10">
        <f>INSCRITOS!B309</f>
        <v>0</v>
      </c>
      <c r="D346" t="str">
        <f t="shared" si="11"/>
        <v>FALSO0/</v>
      </c>
    </row>
    <row r="347" spans="1:4" ht="122.25" customHeight="1" x14ac:dyDescent="0.25">
      <c r="A347" s="19">
        <f>INSCRITOS!P310</f>
        <v>0</v>
      </c>
      <c r="B347" s="8" t="b">
        <f t="shared" si="10"/>
        <v>0</v>
      </c>
      <c r="C347" s="10">
        <f>INSCRITOS!B310</f>
        <v>0</v>
      </c>
      <c r="D347" t="str">
        <f t="shared" si="11"/>
        <v>FALSO0/</v>
      </c>
    </row>
    <row r="348" spans="1:4" ht="122.25" customHeight="1" x14ac:dyDescent="0.25">
      <c r="A348" s="19">
        <f>INSCRITOS!P311</f>
        <v>0</v>
      </c>
      <c r="B348" s="8" t="b">
        <f t="shared" si="10"/>
        <v>0</v>
      </c>
      <c r="C348" s="10">
        <f>INSCRITOS!B311</f>
        <v>0</v>
      </c>
      <c r="D348" t="str">
        <f t="shared" si="11"/>
        <v>FALSO0/</v>
      </c>
    </row>
    <row r="349" spans="1:4" ht="122.25" customHeight="1" x14ac:dyDescent="0.25">
      <c r="A349" s="19">
        <f>INSCRITOS!P312</f>
        <v>0</v>
      </c>
      <c r="B349" s="8" t="b">
        <f t="shared" si="10"/>
        <v>0</v>
      </c>
      <c r="C349" s="10">
        <f>INSCRITOS!B312</f>
        <v>0</v>
      </c>
      <c r="D349" t="str">
        <f t="shared" si="11"/>
        <v>FALSO0/</v>
      </c>
    </row>
    <row r="350" spans="1:4" ht="122.25" customHeight="1" x14ac:dyDescent="0.25">
      <c r="A350" s="19">
        <f>INSCRITOS!P313</f>
        <v>0</v>
      </c>
      <c r="B350" s="8" t="b">
        <f t="shared" si="10"/>
        <v>0</v>
      </c>
      <c r="C350" s="10">
        <f>INSCRITOS!B313</f>
        <v>0</v>
      </c>
      <c r="D350" t="str">
        <f t="shared" si="11"/>
        <v>FALSO0/</v>
      </c>
    </row>
    <row r="351" spans="1:4" ht="122.25" customHeight="1" x14ac:dyDescent="0.25">
      <c r="A351" s="19">
        <f>INSCRITOS!P314</f>
        <v>0</v>
      </c>
      <c r="B351" s="8" t="b">
        <f t="shared" si="10"/>
        <v>0</v>
      </c>
      <c r="C351" s="10">
        <f>INSCRITOS!B314</f>
        <v>0</v>
      </c>
      <c r="D351" t="str">
        <f t="shared" si="11"/>
        <v>FALSO0/</v>
      </c>
    </row>
    <row r="352" spans="1:4" ht="122.25" customHeight="1" x14ac:dyDescent="0.25">
      <c r="A352" s="19">
        <f>INSCRITOS!P315</f>
        <v>0</v>
      </c>
      <c r="B352" s="8" t="b">
        <f t="shared" si="10"/>
        <v>0</v>
      </c>
      <c r="C352" s="10">
        <f>INSCRITOS!B315</f>
        <v>0</v>
      </c>
      <c r="D352" t="str">
        <f t="shared" si="11"/>
        <v>FALSO0/</v>
      </c>
    </row>
    <row r="353" spans="1:4" ht="122.25" customHeight="1" x14ac:dyDescent="0.25">
      <c r="A353" s="19">
        <f>INSCRITOS!P316</f>
        <v>0</v>
      </c>
      <c r="B353" s="8" t="b">
        <f t="shared" si="10"/>
        <v>0</v>
      </c>
      <c r="C353" s="10">
        <f>INSCRITOS!B316</f>
        <v>0</v>
      </c>
      <c r="D353" t="str">
        <f t="shared" si="11"/>
        <v>FALSO0/</v>
      </c>
    </row>
    <row r="354" spans="1:4" ht="122.25" customHeight="1" x14ac:dyDescent="0.25">
      <c r="A354" s="19">
        <f>INSCRITOS!P317</f>
        <v>0</v>
      </c>
      <c r="B354" s="8" t="b">
        <f t="shared" si="10"/>
        <v>0</v>
      </c>
      <c r="C354" s="10">
        <f>INSCRITOS!B317</f>
        <v>0</v>
      </c>
      <c r="D354" t="str">
        <f t="shared" si="11"/>
        <v>FALSO0/</v>
      </c>
    </row>
    <row r="355" spans="1:4" ht="122.25" customHeight="1" x14ac:dyDescent="0.25">
      <c r="A355" s="19">
        <f>INSCRITOS!P318</f>
        <v>0</v>
      </c>
      <c r="B355" s="8" t="b">
        <f t="shared" si="10"/>
        <v>0</v>
      </c>
      <c r="C355" s="10">
        <f>INSCRITOS!B318</f>
        <v>0</v>
      </c>
      <c r="D355" t="str">
        <f t="shared" si="11"/>
        <v>FALSO0/</v>
      </c>
    </row>
  </sheetData>
  <hyperlinks>
    <hyperlink ref="B39" r:id="rId1" display="https://centrodecapacitaciondelsur.com/soporte-basico-de-vida-" xr:uid="{00000000-0004-0000-0400-000000000000}"/>
    <hyperlink ref="D32" r:id="rId2" xr:uid="{00000000-0004-0000-0400-000001000000}"/>
    <hyperlink ref="B40" r:id="rId3" display="https://centrodecapacitaciondelsur.com/soporte-basico-de-vida-" xr:uid="{00000000-0004-0000-0400-000002000000}"/>
    <hyperlink ref="B41" r:id="rId4" display="https://centrodecapacitaciondelsur.com/soporte-basico-de-vida-" xr:uid="{00000000-0004-0000-0400-000003000000}"/>
    <hyperlink ref="B42" r:id="rId5" display="https://centrodecapacitaciondelsur.com/soporte-basico-de-vida-" xr:uid="{00000000-0004-0000-0400-000004000000}"/>
    <hyperlink ref="B43" r:id="rId6" display="https://centrodecapacitaciondelsur.com/soporte-basico-de-vida-" xr:uid="{00000000-0004-0000-0400-000005000000}"/>
    <hyperlink ref="B44" r:id="rId7" display="https://centrodecapacitaciondelsur.com/soporte-basico-de-vida-" xr:uid="{00000000-0004-0000-0400-000006000000}"/>
    <hyperlink ref="B45" r:id="rId8" display="https://centrodecapacitaciondelsur.com/soporte-basico-de-vida-" xr:uid="{00000000-0004-0000-0400-000007000000}"/>
    <hyperlink ref="B46" r:id="rId9" display="https://centrodecapacitaciondelsur.com/soporte-basico-de-vida-" xr:uid="{00000000-0004-0000-0400-000008000000}"/>
    <hyperlink ref="B47" r:id="rId10" display="https://centrodecapacitaciondelsur.com/soporte-basico-de-vida-" xr:uid="{00000000-0004-0000-0400-000009000000}"/>
    <hyperlink ref="B48" r:id="rId11" display="https://centrodecapacitaciondelsur.com/soporte-basico-de-vida-" xr:uid="{00000000-0004-0000-0400-00000A000000}"/>
    <hyperlink ref="B49" r:id="rId12" display="https://centrodecapacitaciondelsur.com/soporte-basico-de-vida-" xr:uid="{00000000-0004-0000-0400-00000B000000}"/>
    <hyperlink ref="B50" r:id="rId13" display="https://centrodecapacitaciondelsur.com/soporte-basico-de-vida-" xr:uid="{00000000-0004-0000-0400-00000C000000}"/>
    <hyperlink ref="B51" r:id="rId14" display="https://centrodecapacitaciondelsur.com/soporte-basico-de-vida-" xr:uid="{00000000-0004-0000-0400-00000D000000}"/>
    <hyperlink ref="B52" r:id="rId15" display="https://centrodecapacitaciondelsur.com/soporte-basico-de-vida-" xr:uid="{00000000-0004-0000-0400-00000E000000}"/>
    <hyperlink ref="B53" r:id="rId16" display="https://centrodecapacitaciondelsur.com/soporte-basico-de-vida-" xr:uid="{00000000-0004-0000-0400-00000F000000}"/>
    <hyperlink ref="B54" r:id="rId17" display="https://centrodecapacitaciondelsur.com/soporte-basico-de-vida-" xr:uid="{00000000-0004-0000-0400-000010000000}"/>
    <hyperlink ref="B55" r:id="rId18" display="https://centrodecapacitaciondelsur.com/soporte-basico-de-vida-" xr:uid="{00000000-0004-0000-0400-000011000000}"/>
    <hyperlink ref="B56" r:id="rId19" display="https://centrodecapacitaciondelsur.com/soporte-basico-de-vida-" xr:uid="{00000000-0004-0000-0400-000012000000}"/>
    <hyperlink ref="B57" r:id="rId20" display="https://centrodecapacitaciondelsur.com/soporte-basico-de-vida-" xr:uid="{00000000-0004-0000-0400-000013000000}"/>
    <hyperlink ref="B58" r:id="rId21" display="https://centrodecapacitaciondelsur.com/soporte-basico-de-vida-" xr:uid="{00000000-0004-0000-0400-000014000000}"/>
    <hyperlink ref="B59" r:id="rId22" display="https://centrodecapacitaciondelsur.com/soporte-basico-de-vida-" xr:uid="{00000000-0004-0000-0400-000015000000}"/>
    <hyperlink ref="B60" r:id="rId23" display="https://centrodecapacitaciondelsur.com/soporte-basico-de-vida-" xr:uid="{5D02621D-7A96-4118-BA30-69D8487751E5}"/>
    <hyperlink ref="B61" r:id="rId24" display="https://centrodecapacitaciondelsur.com/soporte-basico-de-vida-" xr:uid="{A9E57A96-1124-44B8-B79B-1FFF717796D7}"/>
    <hyperlink ref="B62" r:id="rId25" display="https://centrodecapacitaciondelsur.com/soporte-basico-de-vida-" xr:uid="{B1DF4BB9-01A4-4DC0-95EB-9D276EAF75F6}"/>
    <hyperlink ref="B63" r:id="rId26" display="https://centrodecapacitaciondelsur.com/soporte-basico-de-vida-" xr:uid="{20FD1917-FB28-440F-B709-36F41585059B}"/>
    <hyperlink ref="B64" r:id="rId27" display="https://centrodecapacitaciondelsur.com/soporte-basico-de-vida-" xr:uid="{92D5A32E-6424-4D6F-B466-3AAD69013AE0}"/>
    <hyperlink ref="B65" r:id="rId28" display="https://centrodecapacitaciondelsur.com/soporte-basico-de-vida-" xr:uid="{9627B234-5F91-45B4-9C43-5B0A596F95D9}"/>
    <hyperlink ref="B66" r:id="rId29" display="https://centrodecapacitaciondelsur.com/soporte-basico-de-vida-" xr:uid="{049DFB26-4D55-41EA-9E22-29C1D2CC76A0}"/>
    <hyperlink ref="B67" r:id="rId30" display="https://centrodecapacitaciondelsur.com/soporte-basico-de-vida-" xr:uid="{92416D79-3C08-4EC2-A36A-6C1ADBCC8280}"/>
    <hyperlink ref="B68" r:id="rId31" display="https://centrodecapacitaciondelsur.com/soporte-basico-de-vida-" xr:uid="{031800A6-6B90-4B66-9D2B-B33EB8428FB0}"/>
    <hyperlink ref="B69" r:id="rId32" display="https://centrodecapacitaciondelsur.com/soporte-basico-de-vida-" xr:uid="{D1A45308-4DCB-4EC7-9B77-698F95DBE7D2}"/>
    <hyperlink ref="B70" r:id="rId33" display="https://centrodecapacitaciondelsur.com/soporte-basico-de-vida-" xr:uid="{5A2E9027-E79F-4617-A98B-7E14014B0FC7}"/>
    <hyperlink ref="B71" r:id="rId34" display="https://centrodecapacitaciondelsur.com/soporte-basico-de-vida-" xr:uid="{C44EF2E8-F286-45E9-BB87-A102C0838B97}"/>
    <hyperlink ref="B72" r:id="rId35" display="https://centrodecapacitaciondelsur.com/soporte-basico-de-vida-" xr:uid="{6C9CC549-67EF-4331-B78E-663A7BABEEA2}"/>
    <hyperlink ref="B73" r:id="rId36" display="https://centrodecapacitaciondelsur.com/soporte-basico-de-vida-" xr:uid="{A14DD312-4E8A-4A25-9F34-AD770A5DA2C0}"/>
    <hyperlink ref="B74" r:id="rId37" display="https://centrodecapacitaciondelsur.com/soporte-basico-de-vida-" xr:uid="{A60045F2-C20E-4687-914A-3AE38A272793}"/>
    <hyperlink ref="B75" r:id="rId38" display="https://centrodecapacitaciondelsur.com/soporte-basico-de-vida-" xr:uid="{375E56CB-10C7-4D81-B8F5-9004AB716C16}"/>
    <hyperlink ref="B76" r:id="rId39" display="https://centrodecapacitaciondelsur.com/soporte-basico-de-vida-" xr:uid="{263A8157-39B0-4CBE-8FD5-E0925F84DF53}"/>
    <hyperlink ref="B77" r:id="rId40" display="https://centrodecapacitaciondelsur.com/soporte-basico-de-vida-" xr:uid="{56FC64B6-3285-4195-9B58-EEF45A7F3E96}"/>
    <hyperlink ref="B78" r:id="rId41" display="https://centrodecapacitaciondelsur.com/soporte-basico-de-vida-" xr:uid="{F61E8332-54EC-40EC-BD17-14B5E1E10A1B}"/>
    <hyperlink ref="B79" r:id="rId42" display="https://centrodecapacitaciondelsur.com/soporte-basico-de-vida-" xr:uid="{1EA4F3C1-0E96-4856-88F0-C23A0830B43E}"/>
    <hyperlink ref="B80" r:id="rId43" display="https://centrodecapacitaciondelsur.com/soporte-basico-de-vida-" xr:uid="{D818DFCF-D432-4C66-BD23-C605D056A1E4}"/>
    <hyperlink ref="B81" r:id="rId44" display="https://centrodecapacitaciondelsur.com/soporte-basico-de-vida-" xr:uid="{977F3AEA-B9D7-423E-B37A-727EB4CF2B91}"/>
    <hyperlink ref="B82" r:id="rId45" display="https://centrodecapacitaciondelsur.com/soporte-basico-de-vida-" xr:uid="{76912D4F-7572-414A-8148-C6B88DC1D94C}"/>
    <hyperlink ref="B83" r:id="rId46" display="https://centrodecapacitaciondelsur.com/soporte-basico-de-vida-" xr:uid="{8369CF8A-7AD4-4A96-BD5E-2BEEAF62FAA6}"/>
    <hyperlink ref="B84" r:id="rId47" display="https://centrodecapacitaciondelsur.com/soporte-basico-de-vida-" xr:uid="{64526399-C9FC-4A28-8D4C-DDF7D7A1C347}"/>
    <hyperlink ref="B85" r:id="rId48" display="https://centrodecapacitaciondelsur.com/soporte-basico-de-vida-" xr:uid="{DF438A07-72C7-445A-A84D-4C2287CFF1DE}"/>
    <hyperlink ref="B86" r:id="rId49" display="https://centrodecapacitaciondelsur.com/soporte-basico-de-vida-" xr:uid="{38DCE2CE-25D3-4825-A798-0B1198B6FD0B}"/>
    <hyperlink ref="B87" r:id="rId50" display="https://centrodecapacitaciondelsur.com/soporte-basico-de-vida-" xr:uid="{04AD8688-702B-4794-BF08-B83E491CAB8C}"/>
    <hyperlink ref="B88" r:id="rId51" display="https://centrodecapacitaciondelsur.com/soporte-basico-de-vida-" xr:uid="{C87A6DBF-F25F-4C40-BE3A-54BE69E38A18}"/>
    <hyperlink ref="B89" r:id="rId52" display="https://centrodecapacitaciondelsur.com/soporte-basico-de-vida-" xr:uid="{11BAD492-93DA-4424-8C57-2CA6A0A5D1B8}"/>
    <hyperlink ref="B90" r:id="rId53" display="https://centrodecapacitaciondelsur.com/soporte-basico-de-vida-" xr:uid="{0C951FDF-6FDA-49AB-90C5-65C852297437}"/>
    <hyperlink ref="B91" r:id="rId54" display="https://centrodecapacitaciondelsur.com/soporte-basico-de-vida-" xr:uid="{9BB66EF5-A28F-4088-B162-D503A67139CC}"/>
    <hyperlink ref="B92" r:id="rId55" display="https://centrodecapacitaciondelsur.com/soporte-basico-de-vida-" xr:uid="{86451B6F-851B-4FE5-BEB4-2AE37C5158D8}"/>
    <hyperlink ref="B93" r:id="rId56" display="https://centrodecapacitaciondelsur.com/soporte-basico-de-vida-" xr:uid="{2572A24D-5CE2-4B5D-9760-1CD387EF19B9}"/>
    <hyperlink ref="B94" r:id="rId57" display="https://centrodecapacitaciondelsur.com/soporte-basico-de-vida-" xr:uid="{33421697-335D-47CA-B7D4-21503087816A}"/>
    <hyperlink ref="B95" r:id="rId58" display="https://centrodecapacitaciondelsur.com/soporte-basico-de-vida-" xr:uid="{58223FCB-3DF5-430C-B1CC-3B7B5AFA2E1A}"/>
    <hyperlink ref="B96" r:id="rId59" display="https://centrodecapacitaciondelsur.com/soporte-basico-de-vida-" xr:uid="{AFAC48C2-D0B6-49CC-80EE-083F8A28D258}"/>
    <hyperlink ref="B97" r:id="rId60" display="https://centrodecapacitaciondelsur.com/soporte-basico-de-vida-" xr:uid="{81D7241B-C01C-4BAF-B735-851DF7CE2DBC}"/>
    <hyperlink ref="B98" r:id="rId61" display="https://centrodecapacitaciondelsur.com/soporte-basico-de-vida-" xr:uid="{75E2D2D5-A130-44C4-A461-1ABE56FF152E}"/>
    <hyperlink ref="B99" r:id="rId62" display="https://centrodecapacitaciondelsur.com/soporte-basico-de-vida-" xr:uid="{DCECA319-13A1-43A0-9123-B9A1D2CBBA4C}"/>
    <hyperlink ref="B100" r:id="rId63" display="https://centrodecapacitaciondelsur.com/soporte-basico-de-vida-" xr:uid="{FCD78EA0-EF0F-4C65-83A5-9B26F756184A}"/>
    <hyperlink ref="B101" r:id="rId64" display="https://centrodecapacitaciondelsur.com/soporte-basico-de-vida-" xr:uid="{B089494E-BF5B-47FC-9A68-92D58EE44423}"/>
    <hyperlink ref="B102" r:id="rId65" display="https://centrodecapacitaciondelsur.com/soporte-basico-de-vida-" xr:uid="{E41F8808-3EB8-402B-B3F6-F15A03911F9B}"/>
    <hyperlink ref="B103" r:id="rId66" display="https://centrodecapacitaciondelsur.com/soporte-basico-de-vida-" xr:uid="{22EC4E99-3962-4348-A04D-65784199D0CE}"/>
    <hyperlink ref="B104" r:id="rId67" display="https://centrodecapacitaciondelsur.com/soporte-basico-de-vida-" xr:uid="{9D4A5015-25B2-4412-B181-22AC1DB275A4}"/>
    <hyperlink ref="B105" r:id="rId68" display="https://centrodecapacitaciondelsur.com/soporte-basico-de-vida-" xr:uid="{07122107-1146-4A87-9830-F2D511D41B5B}"/>
    <hyperlink ref="B106" r:id="rId69" display="https://centrodecapacitaciondelsur.com/soporte-basico-de-vida-" xr:uid="{FA7934F5-54FE-419A-91E6-A9EAC68CD0A9}"/>
    <hyperlink ref="B107" r:id="rId70" display="https://centrodecapacitaciondelsur.com/soporte-basico-de-vida-" xr:uid="{0DF66062-798F-4CD6-B183-DBD9D1654B79}"/>
    <hyperlink ref="B108" r:id="rId71" display="https://centrodecapacitaciondelsur.com/soporte-basico-de-vida-" xr:uid="{6BACFEC3-C6A9-4665-958A-11BAE2A39997}"/>
    <hyperlink ref="B109" r:id="rId72" display="https://centrodecapacitaciondelsur.com/soporte-basico-de-vida-" xr:uid="{F92692AC-8654-4888-A756-51CB5081E65D}"/>
    <hyperlink ref="B110" r:id="rId73" display="https://centrodecapacitaciondelsur.com/soporte-basico-de-vida-" xr:uid="{0E2F4E8E-64F6-43F1-9EC9-4423CDE39219}"/>
    <hyperlink ref="B111" r:id="rId74" display="https://centrodecapacitaciondelsur.com/soporte-basico-de-vida-" xr:uid="{48CF3863-AA87-4DBB-8590-4739DC52DE31}"/>
    <hyperlink ref="B112" r:id="rId75" display="https://centrodecapacitaciondelsur.com/soporte-basico-de-vida-" xr:uid="{D24DEC87-DB6C-44E2-BEFA-E7C8C4C94A67}"/>
    <hyperlink ref="B113" r:id="rId76" display="https://centrodecapacitaciondelsur.com/soporte-basico-de-vida-" xr:uid="{C306AA13-D647-4099-A9DE-29E2A8D68EBB}"/>
    <hyperlink ref="B114" r:id="rId77" display="https://centrodecapacitaciondelsur.com/soporte-basico-de-vida-" xr:uid="{D59B5196-C0BD-4EC5-B425-FAD24FAEF92B}"/>
    <hyperlink ref="B115" r:id="rId78" display="https://centrodecapacitaciondelsur.com/soporte-basico-de-vida-" xr:uid="{93E21555-8DD4-4840-AF5A-A043F9BDCB73}"/>
    <hyperlink ref="B116" r:id="rId79" display="https://centrodecapacitaciondelsur.com/soporte-basico-de-vida-" xr:uid="{4DFB147E-51DC-4D5A-A334-99DC3E7DFBBC}"/>
    <hyperlink ref="B117" r:id="rId80" display="https://centrodecapacitaciondelsur.com/soporte-basico-de-vida-" xr:uid="{67C9232D-EBB5-42AD-90D6-8E88542789B5}"/>
    <hyperlink ref="B118" r:id="rId81" display="https://centrodecapacitaciondelsur.com/soporte-basico-de-vida-" xr:uid="{53E2CB15-B8DE-4F8E-960C-BBA33CDBA9B6}"/>
    <hyperlink ref="B119" r:id="rId82" display="https://centrodecapacitaciondelsur.com/soporte-basico-de-vida-" xr:uid="{869674BD-5647-47EC-B8F8-424CC0B1A39E}"/>
    <hyperlink ref="B120" r:id="rId83" display="https://centrodecapacitaciondelsur.com/soporte-basico-de-vida-" xr:uid="{D074BC45-7F36-4B4B-BDE4-E1B969EF0B80}"/>
    <hyperlink ref="B121" r:id="rId84" display="https://centrodecapacitaciondelsur.com/soporte-basico-de-vida-" xr:uid="{05F5AFF1-1019-48FD-9F45-7001319111E6}"/>
    <hyperlink ref="B122" r:id="rId85" display="https://centrodecapacitaciondelsur.com/soporte-basico-de-vida-" xr:uid="{1238054A-BE51-4780-8189-34BB7FC75DF6}"/>
    <hyperlink ref="B123" r:id="rId86" display="https://centrodecapacitaciondelsur.com/soporte-basico-de-vida-" xr:uid="{2D9B25E7-4B33-4A0E-823A-380BFC2CAC80}"/>
    <hyperlink ref="B124" r:id="rId87" display="https://centrodecapacitaciondelsur.com/soporte-basico-de-vida-" xr:uid="{15C02A1F-4624-4AA3-B518-3EFD5A5958C6}"/>
    <hyperlink ref="B125" r:id="rId88" display="https://centrodecapacitaciondelsur.com/soporte-basico-de-vida-" xr:uid="{4504DEFB-EA96-49A0-AB37-5F4BABAD1104}"/>
    <hyperlink ref="B126" r:id="rId89" display="https://centrodecapacitaciondelsur.com/soporte-basico-de-vida-" xr:uid="{1F16C64A-38E2-4499-AB5C-6170A4668ED8}"/>
    <hyperlink ref="B127" r:id="rId90" display="https://centrodecapacitaciondelsur.com/soporte-basico-de-vida-" xr:uid="{6476951C-74C9-4073-8FA1-32C4E51071DB}"/>
    <hyperlink ref="B128" r:id="rId91" display="https://centrodecapacitaciondelsur.com/soporte-basico-de-vida-" xr:uid="{53914541-9B69-43A2-AFCF-127E686B26A5}"/>
    <hyperlink ref="B129" r:id="rId92" display="https://centrodecapacitaciondelsur.com/soporte-basico-de-vida-" xr:uid="{CA498E98-D93E-48C4-A3C5-85BBC0951740}"/>
    <hyperlink ref="B130" r:id="rId93" display="https://centrodecapacitaciondelsur.com/soporte-basico-de-vida-" xr:uid="{C1685147-7F7F-4FC8-81D8-E47F809F35F0}"/>
    <hyperlink ref="B131" r:id="rId94" display="https://centrodecapacitaciondelsur.com/soporte-basico-de-vida-" xr:uid="{F55677BB-FA8F-4DA9-B4C6-730B46A65C0C}"/>
    <hyperlink ref="B132" r:id="rId95" display="https://centrodecapacitaciondelsur.com/soporte-basico-de-vida-" xr:uid="{CFB0B7F6-1272-46DB-92E5-A4F018C4F371}"/>
    <hyperlink ref="B133" r:id="rId96" display="https://centrodecapacitaciondelsur.com/soporte-basico-de-vida-" xr:uid="{2E616C49-5E37-4997-B97A-0FB82811F974}"/>
    <hyperlink ref="B134" r:id="rId97" display="https://centrodecapacitaciondelsur.com/soporte-basico-de-vida-" xr:uid="{DDE90F13-0C69-4AA0-93A0-1200B25C034C}"/>
    <hyperlink ref="B135" r:id="rId98" display="https://centrodecapacitaciondelsur.com/soporte-basico-de-vida-" xr:uid="{7498414C-FA03-4572-A862-14736D9B1241}"/>
    <hyperlink ref="B136" r:id="rId99" display="https://centrodecapacitaciondelsur.com/soporte-basico-de-vida-" xr:uid="{70FFE7F8-9C44-4984-AF4D-C3F1C6135559}"/>
    <hyperlink ref="B137" r:id="rId100" display="https://centrodecapacitaciondelsur.com/soporte-basico-de-vida-" xr:uid="{D2DF6725-DEA0-411B-BA01-719612E420CF}"/>
    <hyperlink ref="B138" r:id="rId101" display="https://centrodecapacitaciondelsur.com/soporte-basico-de-vida-" xr:uid="{86F3D0FD-B5FC-47D8-BB81-037EDCCC3826}"/>
    <hyperlink ref="B139" r:id="rId102" display="https://centrodecapacitaciondelsur.com/soporte-basico-de-vida-" xr:uid="{4FE4DDF4-7A49-4D95-A5EF-FD15A776D36D}"/>
    <hyperlink ref="B140" r:id="rId103" display="https://centrodecapacitaciondelsur.com/soporte-basico-de-vida-" xr:uid="{903D7D29-9A8F-4E36-9E02-3A544EF97F2F}"/>
    <hyperlink ref="B141" r:id="rId104" display="https://centrodecapacitaciondelsur.com/soporte-basico-de-vida-" xr:uid="{A5421F22-9F03-4ABA-BC01-5B974F0D0025}"/>
    <hyperlink ref="B142" r:id="rId105" display="https://centrodecapacitaciondelsur.com/soporte-basico-de-vida-" xr:uid="{E3A46BA9-11CB-4A5B-8810-3770A09F44B7}"/>
    <hyperlink ref="B143" r:id="rId106" display="https://centrodecapacitaciondelsur.com/soporte-basico-de-vida-" xr:uid="{3CBAA0F5-2575-4235-BBD0-501430FFE5FB}"/>
    <hyperlink ref="B144" r:id="rId107" display="https://centrodecapacitaciondelsur.com/soporte-basico-de-vida-" xr:uid="{8BED835C-0017-4776-B11F-8D32F0BE6DA9}"/>
    <hyperlink ref="B145" r:id="rId108" display="https://centrodecapacitaciondelsur.com/soporte-basico-de-vida-" xr:uid="{0EF014B9-783A-473E-A375-75E6FB92CFE6}"/>
    <hyperlink ref="B146" r:id="rId109" display="https://centrodecapacitaciondelsur.com/soporte-basico-de-vida-" xr:uid="{DADE1FEE-0A39-4725-B228-B7A652EE057C}"/>
    <hyperlink ref="B147" r:id="rId110" display="https://centrodecapacitaciondelsur.com/soporte-basico-de-vida-" xr:uid="{B0B22154-CADE-4F58-A206-D3CB6EEDA60A}"/>
    <hyperlink ref="B148" r:id="rId111" display="https://centrodecapacitaciondelsur.com/soporte-basico-de-vida-" xr:uid="{02F236A6-304A-4B4E-9A2E-825677CF7F49}"/>
    <hyperlink ref="B149" r:id="rId112" display="https://centrodecapacitaciondelsur.com/soporte-basico-de-vida-" xr:uid="{C730EDC8-425B-409F-81AC-EE9553F8979E}"/>
    <hyperlink ref="B150" r:id="rId113" display="https://centrodecapacitaciondelsur.com/soporte-basico-de-vida-" xr:uid="{73DDA7D6-7134-49C5-8D04-C43CF84D543B}"/>
    <hyperlink ref="B151" r:id="rId114" display="https://centrodecapacitaciondelsur.com/soporte-basico-de-vida-" xr:uid="{84D5C8A1-704B-4A6B-A289-5D2832089012}"/>
    <hyperlink ref="B152" r:id="rId115" display="https://centrodecapacitaciondelsur.com/soporte-basico-de-vida-" xr:uid="{79A8654C-13D9-4173-BE21-5D73DFBE1CBB}"/>
    <hyperlink ref="B153" r:id="rId116" display="https://centrodecapacitaciondelsur.com/soporte-basico-de-vida-" xr:uid="{1E94430F-1D20-4ACF-AA3B-B013F08622A4}"/>
    <hyperlink ref="B154" r:id="rId117" display="https://centrodecapacitaciondelsur.com/soporte-basico-de-vida-" xr:uid="{DD315F29-5994-4FF6-B8E1-86BCD8011DA6}"/>
    <hyperlink ref="B155" r:id="rId118" display="https://centrodecapacitaciondelsur.com/soporte-basico-de-vida-" xr:uid="{6D210DDC-5576-407F-90B7-012195CA5E20}"/>
    <hyperlink ref="B156" r:id="rId119" display="https://centrodecapacitaciondelsur.com/soporte-basico-de-vida-" xr:uid="{765D5FA7-2C28-45F0-ABEE-68B17A488225}"/>
    <hyperlink ref="B157" r:id="rId120" display="https://centrodecapacitaciondelsur.com/soporte-basico-de-vida-" xr:uid="{5E0F96D2-1DA8-429F-9C7E-93832364F145}"/>
    <hyperlink ref="B158" r:id="rId121" display="https://centrodecapacitaciondelsur.com/soporte-basico-de-vida-" xr:uid="{FAE2C1AA-C7F7-444F-B593-98009B7E657A}"/>
    <hyperlink ref="B159" r:id="rId122" display="https://centrodecapacitaciondelsur.com/soporte-basico-de-vida-" xr:uid="{7F064F7E-C362-44BA-8260-AE41CFD7774D}"/>
    <hyperlink ref="B160" r:id="rId123" display="https://centrodecapacitaciondelsur.com/soporte-basico-de-vida-" xr:uid="{D267EC8F-8BAC-4E65-BD16-886CF54F920F}"/>
    <hyperlink ref="B161" r:id="rId124" display="https://centrodecapacitaciondelsur.com/soporte-basico-de-vida-" xr:uid="{3FCABCC7-5795-44A0-9A64-8C873358673F}"/>
    <hyperlink ref="B162" r:id="rId125" display="https://centrodecapacitaciondelsur.com/soporte-basico-de-vida-" xr:uid="{AEA0159E-4873-47B4-B1BE-826F066C0562}"/>
    <hyperlink ref="B163" r:id="rId126" display="https://centrodecapacitaciondelsur.com/soporte-basico-de-vida-" xr:uid="{A51828F5-BB8D-4162-B3A4-55D298B8C15F}"/>
    <hyperlink ref="B164" r:id="rId127" display="https://centrodecapacitaciondelsur.com/soporte-basico-de-vida-" xr:uid="{BF73BED8-1F80-4EB0-90CB-FD132E17D4B8}"/>
    <hyperlink ref="B165" r:id="rId128" display="https://centrodecapacitaciondelsur.com/soporte-basico-de-vida-" xr:uid="{6A6DF692-5C89-4866-A61C-2EB9C34A37F7}"/>
    <hyperlink ref="B166" r:id="rId129" display="https://centrodecapacitaciondelsur.com/soporte-basico-de-vida-" xr:uid="{B76D19D3-6FC9-41E6-93BC-79DBD119CC40}"/>
    <hyperlink ref="B167" r:id="rId130" display="https://centrodecapacitaciondelsur.com/soporte-basico-de-vida-" xr:uid="{8D75CAAA-F576-44DF-A156-4E740EF618AE}"/>
    <hyperlink ref="B168" r:id="rId131" display="https://centrodecapacitaciondelsur.com/soporte-basico-de-vida-" xr:uid="{7B5203B8-7A2D-48B3-B330-1250215EECDC}"/>
    <hyperlink ref="B169" r:id="rId132" display="https://centrodecapacitaciondelsur.com/soporte-basico-de-vida-" xr:uid="{4743304B-708F-42E9-87A9-4821123C3E86}"/>
    <hyperlink ref="B170" r:id="rId133" display="https://centrodecapacitaciondelsur.com/soporte-basico-de-vida-" xr:uid="{F5927149-182C-4DC5-97C6-4C5E4A110AB6}"/>
    <hyperlink ref="B171" r:id="rId134" display="https://centrodecapacitaciondelsur.com/soporte-basico-de-vida-" xr:uid="{6D396DCC-1826-435F-8C5A-51170D8BA610}"/>
    <hyperlink ref="B172" r:id="rId135" display="https://centrodecapacitaciondelsur.com/soporte-basico-de-vida-" xr:uid="{40D902CC-D2AD-4298-94B7-60174D34270D}"/>
    <hyperlink ref="B173" r:id="rId136" display="https://centrodecapacitaciondelsur.com/soporte-basico-de-vida-" xr:uid="{459E5E1E-8D2B-42DC-A572-4DF88BE09CF3}"/>
    <hyperlink ref="B174" r:id="rId137" display="https://centrodecapacitaciondelsur.com/soporte-basico-de-vida-" xr:uid="{08A98136-70C5-4D9F-8FBF-113EDCBD9013}"/>
    <hyperlink ref="B175" r:id="rId138" display="https://centrodecapacitaciondelsur.com/soporte-basico-de-vida-" xr:uid="{387361F4-615C-421F-BB59-D9DAA8F41DE9}"/>
    <hyperlink ref="B176" r:id="rId139" display="https://centrodecapacitaciondelsur.com/soporte-basico-de-vida-" xr:uid="{AA39E9CA-AD09-4788-A512-43ADCC6BA9F9}"/>
    <hyperlink ref="B177" r:id="rId140" display="https://centrodecapacitaciondelsur.com/soporte-basico-de-vida-" xr:uid="{30FCB3D9-35DD-49DF-B544-F2FA2B37707C}"/>
    <hyperlink ref="B178" r:id="rId141" display="https://centrodecapacitaciondelsur.com/soporte-basico-de-vida-" xr:uid="{9605D386-023E-487E-9EBC-3D15BFD97E24}"/>
    <hyperlink ref="B179" r:id="rId142" display="https://centrodecapacitaciondelsur.com/soporte-basico-de-vida-" xr:uid="{25047717-54C6-47CD-BAE9-55641AE945CB}"/>
    <hyperlink ref="B180" r:id="rId143" display="https://centrodecapacitaciondelsur.com/soporte-basico-de-vida-" xr:uid="{DFF8B7CC-EFA5-4A02-8A1F-CC6E9884299F}"/>
    <hyperlink ref="B181" r:id="rId144" display="https://centrodecapacitaciondelsur.com/soporte-basico-de-vida-" xr:uid="{F338798A-6201-4813-91C3-5139B85358DE}"/>
    <hyperlink ref="B183" r:id="rId145" display="https://centrodecapacitaciondelsur.com/soporte-basico-de-vida-" xr:uid="{A40200E5-C7F6-49B0-8315-C53B34864EB1}"/>
    <hyperlink ref="B184" r:id="rId146" display="https://centrodecapacitaciondelsur.com/soporte-basico-de-vida-" xr:uid="{2D9AA5EF-EA05-43B9-B926-2DDDF8F88E7A}"/>
    <hyperlink ref="B185" r:id="rId147" display="https://centrodecapacitaciondelsur.com/soporte-basico-de-vida-" xr:uid="{912AE360-1A14-45FE-9E74-37A90F44D611}"/>
    <hyperlink ref="B186" r:id="rId148" display="https://centrodecapacitaciondelsur.com/soporte-basico-de-vida-" xr:uid="{7AF4BF3E-8C50-4663-9304-6F7B79A2A987}"/>
    <hyperlink ref="B187" r:id="rId149" display="https://centrodecapacitaciondelsur.com/soporte-basico-de-vida-" xr:uid="{C2542F70-092A-4644-BB22-F1C8C90477F2}"/>
    <hyperlink ref="B188" r:id="rId150" display="https://centrodecapacitaciondelsur.com/soporte-basico-de-vida-" xr:uid="{8470774E-A38F-45D4-AE56-DCE1FF28C6C7}"/>
    <hyperlink ref="B189" r:id="rId151" display="https://centrodecapacitaciondelsur.com/soporte-basico-de-vida-" xr:uid="{6583F42F-4521-46E4-BB60-085E39FA89EE}"/>
    <hyperlink ref="B190" r:id="rId152" display="https://centrodecapacitaciondelsur.com/soporte-basico-de-vida-" xr:uid="{10619A85-AA14-4BEF-909C-19DBC3C7385B}"/>
    <hyperlink ref="B191" r:id="rId153" display="https://centrodecapacitaciondelsur.com/soporte-basico-de-vida-" xr:uid="{03C58C92-1FE9-414D-A35F-37208E2DDC35}"/>
    <hyperlink ref="B192" r:id="rId154" display="https://centrodecapacitaciondelsur.com/soporte-basico-de-vida-" xr:uid="{4D3E492A-BF49-4C45-8D2C-60B3A17A6527}"/>
    <hyperlink ref="B193" r:id="rId155" display="https://centrodecapacitaciondelsur.com/soporte-basico-de-vida-" xr:uid="{7337A36D-CD37-4A64-9FA2-7C0CEBF87E39}"/>
    <hyperlink ref="B194" r:id="rId156" display="https://centrodecapacitaciondelsur.com/soporte-basico-de-vida-" xr:uid="{9691653F-ACC1-4C7E-A99F-70E7F0C70299}"/>
    <hyperlink ref="B195" r:id="rId157" display="https://centrodecapacitaciondelsur.com/soporte-basico-de-vida-" xr:uid="{43A76254-939C-4747-9B46-B0BC679A88DD}"/>
    <hyperlink ref="B196" r:id="rId158" display="https://centrodecapacitaciondelsur.com/soporte-basico-de-vida-" xr:uid="{8808B3DD-E2AB-4158-8F93-0B61E9AF1F72}"/>
    <hyperlink ref="B197" r:id="rId159" display="https://centrodecapacitaciondelsur.com/soporte-basico-de-vida-" xr:uid="{6768377B-BB7D-42EB-BE8C-ED2ADD8DE669}"/>
    <hyperlink ref="B198" r:id="rId160" display="https://centrodecapacitaciondelsur.com/soporte-basico-de-vida-" xr:uid="{A656CCCD-25CD-40F9-80E7-A88C32F53ACE}"/>
    <hyperlink ref="B199" r:id="rId161" display="https://centrodecapacitaciondelsur.com/soporte-basico-de-vida-" xr:uid="{D64922C4-DC7D-486B-B0C1-0E27BBF77452}"/>
    <hyperlink ref="B200" r:id="rId162" display="https://centrodecapacitaciondelsur.com/soporte-basico-de-vida-" xr:uid="{0351DA22-152E-400C-9AEA-2B01CA8945E7}"/>
    <hyperlink ref="B201" r:id="rId163" display="https://centrodecapacitaciondelsur.com/soporte-basico-de-vida-" xr:uid="{64142439-7B17-42B2-AF1A-2B37BB7DD4B6}"/>
    <hyperlink ref="B202" r:id="rId164" display="https://centrodecapacitaciondelsur.com/soporte-basico-de-vida-" xr:uid="{36A5E1D7-6A66-45E5-AD27-619AB8E0D6B7}"/>
    <hyperlink ref="B203" r:id="rId165" display="https://centrodecapacitaciondelsur.com/soporte-basico-de-vida-" xr:uid="{B57F278B-E659-40C0-90ED-A7EC555E818E}"/>
    <hyperlink ref="B204" r:id="rId166" display="https://centrodecapacitaciondelsur.com/soporte-basico-de-vida-" xr:uid="{E6172B86-FDE8-4154-9F64-6938A7B3ECFD}"/>
    <hyperlink ref="B205" r:id="rId167" display="https://centrodecapacitaciondelsur.com/soporte-basico-de-vida-" xr:uid="{AA9615CF-599C-440C-AD53-1E448E1E8195}"/>
    <hyperlink ref="B206" r:id="rId168" display="https://centrodecapacitaciondelsur.com/soporte-basico-de-vida-" xr:uid="{F11F3A5D-6564-4650-B468-14488CAA742D}"/>
    <hyperlink ref="B207" r:id="rId169" display="https://centrodecapacitaciondelsur.com/soporte-basico-de-vida-" xr:uid="{6E0F41EB-3ECF-4146-A360-B799287E5A5C}"/>
    <hyperlink ref="B208" r:id="rId170" display="https://centrodecapacitaciondelsur.com/soporte-basico-de-vida-" xr:uid="{12A76B50-7001-4963-9D1B-0A0126039756}"/>
    <hyperlink ref="B209" r:id="rId171" display="https://centrodecapacitaciondelsur.com/soporte-basico-de-vida-" xr:uid="{CCD3E664-D907-4E15-9F1D-8A137898884E}"/>
    <hyperlink ref="B210" r:id="rId172" display="https://centrodecapacitaciondelsur.com/soporte-basico-de-vida-" xr:uid="{A0DFBAC7-7FFF-49E5-8381-9282F25B5378}"/>
    <hyperlink ref="B211" r:id="rId173" display="https://centrodecapacitaciondelsur.com/soporte-basico-de-vida-" xr:uid="{79DF3AC3-3712-4885-9EE6-A446D0DB566C}"/>
    <hyperlink ref="B212" r:id="rId174" display="https://centrodecapacitaciondelsur.com/soporte-basico-de-vida-" xr:uid="{2190C3D9-C026-4DF0-99DE-605F68CBE225}"/>
    <hyperlink ref="B213" r:id="rId175" display="https://centrodecapacitaciondelsur.com/soporte-basico-de-vida-" xr:uid="{554EAB1B-921A-4AB8-A506-553882DAA5DB}"/>
    <hyperlink ref="B214" r:id="rId176" display="https://centrodecapacitaciondelsur.com/soporte-basico-de-vida-" xr:uid="{4A1F8634-44DC-456C-A779-B8881F393A85}"/>
    <hyperlink ref="B215" r:id="rId177" display="https://centrodecapacitaciondelsur.com/soporte-basico-de-vida-" xr:uid="{FE809F50-6B8D-49DD-93BC-69516F4B3477}"/>
    <hyperlink ref="B216" r:id="rId178" display="https://centrodecapacitaciondelsur.com/soporte-basico-de-vida-" xr:uid="{2A32D35E-BC9A-4092-8A8F-EC4728309651}"/>
    <hyperlink ref="B217" r:id="rId179" display="https://centrodecapacitaciondelsur.com/soporte-basico-de-vida-" xr:uid="{2B1A0F4B-AD15-444E-89C9-16EC44435E3B}"/>
    <hyperlink ref="B218" r:id="rId180" display="https://centrodecapacitaciondelsur.com/soporte-basico-de-vida-" xr:uid="{28DCB534-CC91-4221-A3C1-29318A763FE4}"/>
    <hyperlink ref="B219" r:id="rId181" display="https://centrodecapacitaciondelsur.com/soporte-basico-de-vida-" xr:uid="{CC52FD02-9895-462C-AFBE-5F91AC11A331}"/>
    <hyperlink ref="B220" r:id="rId182" display="https://centrodecapacitaciondelsur.com/soporte-basico-de-vida-" xr:uid="{E11DCF7A-18A2-4A8F-A308-56DEF4A3D4D6}"/>
    <hyperlink ref="B221" r:id="rId183" display="https://centrodecapacitaciondelsur.com/soporte-basico-de-vida-" xr:uid="{09146578-6893-4F19-BAFF-9E2176FBFDD8}"/>
    <hyperlink ref="B222" r:id="rId184" display="https://centrodecapacitaciondelsur.com/soporte-basico-de-vida-" xr:uid="{181A49BB-3027-4744-B08D-5B8E1E53C9CE}"/>
    <hyperlink ref="B223" r:id="rId185" display="https://centrodecapacitaciondelsur.com/soporte-basico-de-vida-" xr:uid="{91EA9DF5-F756-44BA-A738-BF9776253543}"/>
    <hyperlink ref="B224" r:id="rId186" display="https://centrodecapacitaciondelsur.com/soporte-basico-de-vida-" xr:uid="{DDDD8BD9-1C86-43F1-91E5-8AA6CA08FD9D}"/>
    <hyperlink ref="B225" r:id="rId187" display="https://centrodecapacitaciondelsur.com/soporte-basico-de-vida-" xr:uid="{7502A05A-DB13-42F0-A02D-47C38E9878B6}"/>
    <hyperlink ref="B226" r:id="rId188" display="https://centrodecapacitaciondelsur.com/soporte-basico-de-vida-" xr:uid="{E3A44936-F66A-4ACC-A82F-AD07ABC0B93E}"/>
    <hyperlink ref="B227" r:id="rId189" display="https://centrodecapacitaciondelsur.com/soporte-basico-de-vida-" xr:uid="{5B5C7EEB-DD19-42D8-A167-9F3BAF0D41D4}"/>
    <hyperlink ref="B228" r:id="rId190" display="https://centrodecapacitaciondelsur.com/soporte-basico-de-vida-" xr:uid="{246EA16D-E8FC-4017-9008-3D9E34D468E4}"/>
    <hyperlink ref="B229" r:id="rId191" display="https://centrodecapacitaciondelsur.com/soporte-basico-de-vida-" xr:uid="{82C52F64-D35E-4347-AC4D-E84CFBB08A99}"/>
    <hyperlink ref="B230" r:id="rId192" display="https://centrodecapacitaciondelsur.com/soporte-basico-de-vida-" xr:uid="{11CFF021-0AD8-4B81-B0E8-812FFF5FA5A9}"/>
    <hyperlink ref="B231" r:id="rId193" display="https://centrodecapacitaciondelsur.com/soporte-basico-de-vida-" xr:uid="{D3C7A18D-7653-45CB-867D-2214B789DD66}"/>
    <hyperlink ref="B232" r:id="rId194" display="https://centrodecapacitaciondelsur.com/soporte-basico-de-vida-" xr:uid="{36538035-8D83-4394-8FB0-8F741E448B97}"/>
    <hyperlink ref="B233" r:id="rId195" display="https://centrodecapacitaciondelsur.com/soporte-basico-de-vida-" xr:uid="{DB7768F0-87B6-401D-B287-1567080FEC8A}"/>
    <hyperlink ref="B234" r:id="rId196" display="https://centrodecapacitaciondelsur.com/soporte-basico-de-vida-" xr:uid="{0DA1A0FA-7CD7-4511-ADF1-E6708BCA6CD9}"/>
    <hyperlink ref="B235" r:id="rId197" display="https://centrodecapacitaciondelsur.com/soporte-basico-de-vida-" xr:uid="{A7D80C76-CE95-4C34-9F30-5ABF5C57CEB9}"/>
    <hyperlink ref="B236" r:id="rId198" display="https://centrodecapacitaciondelsur.com/soporte-basico-de-vida-" xr:uid="{9F64A002-DC3D-47A9-BF7A-48CB7EFBD55D}"/>
    <hyperlink ref="B237" r:id="rId199" display="https://centrodecapacitaciondelsur.com/soporte-basico-de-vida-" xr:uid="{637C12AA-26CC-4B79-BCC0-48336A39E37E}"/>
    <hyperlink ref="B238" r:id="rId200" display="https://centrodecapacitaciondelsur.com/soporte-basico-de-vida-" xr:uid="{658C4E9A-88E5-4E7F-847C-5F3EA3F23090}"/>
    <hyperlink ref="B239" r:id="rId201" display="https://centrodecapacitaciondelsur.com/soporte-basico-de-vida-" xr:uid="{E84BC47B-44F4-4380-97B0-E973E4F5E689}"/>
    <hyperlink ref="B240" r:id="rId202" display="https://centrodecapacitaciondelsur.com/soporte-basico-de-vida-" xr:uid="{7E2B23EA-60E8-4C83-B9CD-90C4D4D08A4D}"/>
    <hyperlink ref="B241" r:id="rId203" display="https://centrodecapacitaciondelsur.com/soporte-basico-de-vida-" xr:uid="{67B517D2-4317-42F0-87DA-D2DAD4C469E0}"/>
    <hyperlink ref="B242" r:id="rId204" display="https://centrodecapacitaciondelsur.com/soporte-basico-de-vida-" xr:uid="{033AF7A9-02D4-410C-ADA3-2063E7FFA799}"/>
    <hyperlink ref="B243" r:id="rId205" display="https://centrodecapacitaciondelsur.com/soporte-basico-de-vida-" xr:uid="{AD82C12A-E1D7-4086-B73C-22C6BE73664B}"/>
    <hyperlink ref="B244" r:id="rId206" display="https://centrodecapacitaciondelsur.com/soporte-basico-de-vida-" xr:uid="{B068D5BD-03B7-4ABA-A149-022D1D4C8149}"/>
    <hyperlink ref="B245" r:id="rId207" display="https://centrodecapacitaciondelsur.com/soporte-basico-de-vida-" xr:uid="{267817BB-74A3-48C4-8A81-FC32DBC66C89}"/>
    <hyperlink ref="B246" r:id="rId208" display="https://centrodecapacitaciondelsur.com/soporte-basico-de-vida-" xr:uid="{B7803925-C853-449B-B356-126CCAD93E69}"/>
    <hyperlink ref="B247" r:id="rId209" display="https://centrodecapacitaciondelsur.com/soporte-basico-de-vida-" xr:uid="{B14D0C31-5E11-4F5D-A2E9-2C2131A46B24}"/>
    <hyperlink ref="B248" r:id="rId210" display="https://centrodecapacitaciondelsur.com/soporte-basico-de-vida-" xr:uid="{0AC25169-1328-4534-8ADB-387CAFD6603D}"/>
    <hyperlink ref="B249" r:id="rId211" display="https://centrodecapacitaciondelsur.com/soporte-basico-de-vida-" xr:uid="{200CF0AC-5CCA-473E-89ED-582DEF53DDE5}"/>
    <hyperlink ref="B250" r:id="rId212" display="https://centrodecapacitaciondelsur.com/soporte-basico-de-vida-" xr:uid="{0275B3F5-E7CA-44E7-B662-FE918C512370}"/>
    <hyperlink ref="B251" r:id="rId213" display="https://centrodecapacitaciondelsur.com/soporte-basico-de-vida-" xr:uid="{610E49B3-A808-46B1-B1D7-DDFBC5DEC591}"/>
    <hyperlink ref="B252" r:id="rId214" display="https://centrodecapacitaciondelsur.com/soporte-basico-de-vida-" xr:uid="{671EEDC9-31BA-4CB5-9E87-ACD4DDB802AF}"/>
    <hyperlink ref="B253" r:id="rId215" display="https://centrodecapacitaciondelsur.com/soporte-basico-de-vida-" xr:uid="{D74497D6-1C35-4304-AF62-9A59A4A4CF75}"/>
    <hyperlink ref="B254" r:id="rId216" display="https://centrodecapacitaciondelsur.com/soporte-basico-de-vida-" xr:uid="{71D3DCBC-DE6D-4D40-AA37-61D55FEAECB2}"/>
    <hyperlink ref="B255" r:id="rId217" display="https://centrodecapacitaciondelsur.com/soporte-basico-de-vida-" xr:uid="{90879F15-9DE8-4FC1-8A64-1A8E5C82E306}"/>
    <hyperlink ref="B256" r:id="rId218" display="https://centrodecapacitaciondelsur.com/soporte-basico-de-vida-" xr:uid="{FF57C6A9-4019-45F8-9949-380F2753FCB3}"/>
    <hyperlink ref="B257" r:id="rId219" display="https://centrodecapacitaciondelsur.com/soporte-basico-de-vida-" xr:uid="{0827B54A-E45D-4E6C-8B54-B62A72450B44}"/>
    <hyperlink ref="B258" r:id="rId220" display="https://centrodecapacitaciondelsur.com/soporte-basico-de-vida-" xr:uid="{42574248-B4B9-4B7A-8DB2-FAADABBAF606}"/>
    <hyperlink ref="B259" r:id="rId221" display="https://centrodecapacitaciondelsur.com/soporte-basico-de-vida-" xr:uid="{331DC1D6-5FFA-4BA9-B024-7A06869FA173}"/>
    <hyperlink ref="B260" r:id="rId222" display="https://centrodecapacitaciondelsur.com/soporte-basico-de-vida-" xr:uid="{15B2F654-4E35-4B2D-8A2E-EFA8C0E75508}"/>
    <hyperlink ref="B261" r:id="rId223" display="https://centrodecapacitaciondelsur.com/soporte-basico-de-vida-" xr:uid="{FF35DB67-4342-45B7-8ACC-2DB5A6869F55}"/>
    <hyperlink ref="B262" r:id="rId224" display="https://centrodecapacitaciondelsur.com/soporte-basico-de-vida-" xr:uid="{F07AE72B-8C40-4C5B-975A-C0F5B37B686D}"/>
    <hyperlink ref="B263" r:id="rId225" display="https://centrodecapacitaciondelsur.com/soporte-basico-de-vida-" xr:uid="{77B700AF-66AE-41AC-9084-347783A4D5A8}"/>
    <hyperlink ref="B264" r:id="rId226" display="https://centrodecapacitaciondelsur.com/soporte-basico-de-vida-" xr:uid="{8CC6D1D7-0AC8-43B5-A790-6450587C60F7}"/>
    <hyperlink ref="B265" r:id="rId227" display="https://centrodecapacitaciondelsur.com/soporte-basico-de-vida-" xr:uid="{55F066B1-A90F-40A8-961A-69AEEFE2A74F}"/>
    <hyperlink ref="B266" r:id="rId228" display="https://centrodecapacitaciondelsur.com/soporte-basico-de-vida-" xr:uid="{88E96B90-95E2-462B-8A69-7D277E4495A7}"/>
    <hyperlink ref="B267" r:id="rId229" display="https://centrodecapacitaciondelsur.com/soporte-basico-de-vida-" xr:uid="{2BC52F7C-7DB3-44EB-A29A-6A6E1C8C91D1}"/>
    <hyperlink ref="B268" r:id="rId230" display="https://centrodecapacitaciondelsur.com/soporte-basico-de-vida-" xr:uid="{6A729AD0-EF6A-4C17-9A80-06652D740DE0}"/>
    <hyperlink ref="B269" r:id="rId231" display="https://centrodecapacitaciondelsur.com/soporte-basico-de-vida-" xr:uid="{A5F4F335-1301-476E-A178-B932CE85C53E}"/>
    <hyperlink ref="B270" r:id="rId232" display="https://centrodecapacitaciondelsur.com/soporte-basico-de-vida-" xr:uid="{FC684F0E-3E98-4F8D-B735-8172B807AAFA}"/>
    <hyperlink ref="B271" r:id="rId233" display="https://centrodecapacitaciondelsur.com/soporte-basico-de-vida-" xr:uid="{9F5524E6-8837-44C1-8C9C-47A5207A2D25}"/>
    <hyperlink ref="B272" r:id="rId234" display="https://centrodecapacitaciondelsur.com/soporte-basico-de-vida-" xr:uid="{E54DDB0E-5424-48CB-802E-6E198EDA4576}"/>
    <hyperlink ref="B273" r:id="rId235" display="https://centrodecapacitaciondelsur.com/soporte-basico-de-vida-" xr:uid="{E1A4261D-7C68-4095-89DD-65505C124BF9}"/>
    <hyperlink ref="B274" r:id="rId236" display="https://centrodecapacitaciondelsur.com/soporte-basico-de-vida-" xr:uid="{1F74586B-DB2B-43AC-AF0E-ACADFE3CF79D}"/>
    <hyperlink ref="B275" r:id="rId237" display="https://centrodecapacitaciondelsur.com/soporte-basico-de-vida-" xr:uid="{278D6559-29D5-4AA9-AAEB-766BC35E3DF6}"/>
    <hyperlink ref="B276" r:id="rId238" display="https://centrodecapacitaciondelsur.com/soporte-basico-de-vida-" xr:uid="{68CA9625-BF83-42D4-8168-D4CDD83A40F5}"/>
    <hyperlink ref="B277" r:id="rId239" display="https://centrodecapacitaciondelsur.com/soporte-basico-de-vida-" xr:uid="{FFB81F9B-CF38-4558-BB5F-803A4AEB7022}"/>
    <hyperlink ref="B278" r:id="rId240" display="https://centrodecapacitaciondelsur.com/soporte-basico-de-vida-" xr:uid="{2EE73621-3555-4E26-B9A5-050991E8844F}"/>
    <hyperlink ref="B279" r:id="rId241" display="https://centrodecapacitaciondelsur.com/soporte-basico-de-vida-" xr:uid="{0069E8CA-09E3-4CB9-AECA-9C951E36367D}"/>
    <hyperlink ref="B280" r:id="rId242" display="https://centrodecapacitaciondelsur.com/soporte-basico-de-vida-" xr:uid="{FFF07958-A7C4-4536-8F0C-6F20F221E12D}"/>
    <hyperlink ref="B281" r:id="rId243" display="https://centrodecapacitaciondelsur.com/soporte-basico-de-vida-" xr:uid="{3B0D81DB-D5FB-4F3C-9B79-51A5CB181F14}"/>
    <hyperlink ref="B282" r:id="rId244" display="https://centrodecapacitaciondelsur.com/soporte-basico-de-vida-" xr:uid="{CAE718CC-3BF5-48C9-B9C8-4FB0BDF0F3CF}"/>
    <hyperlink ref="B283" r:id="rId245" display="https://centrodecapacitaciondelsur.com/soporte-basico-de-vida-" xr:uid="{674E1EB4-667C-4A14-BF56-88244F86A41C}"/>
    <hyperlink ref="B284" r:id="rId246" display="https://centrodecapacitaciondelsur.com/soporte-basico-de-vida-" xr:uid="{F04EC4E6-1F6D-4B6A-BEA6-3DA02FE74142}"/>
    <hyperlink ref="B285" r:id="rId247" display="https://centrodecapacitaciondelsur.com/soporte-basico-de-vida-" xr:uid="{27B7449D-6F1F-41C3-84BC-B344E0A6CEE6}"/>
    <hyperlink ref="B286" r:id="rId248" display="https://centrodecapacitaciondelsur.com/soporte-basico-de-vida-" xr:uid="{F8C60F0F-4780-459D-B05E-924308AE0B35}"/>
    <hyperlink ref="B287" r:id="rId249" display="https://centrodecapacitaciondelsur.com/soporte-basico-de-vida-" xr:uid="{311C4A39-61B8-4A4E-84E0-F0A1173672BC}"/>
    <hyperlink ref="B288" r:id="rId250" display="https://centrodecapacitaciondelsur.com/soporte-basico-de-vida-" xr:uid="{460B8070-FA5C-4D46-B5B6-686240BA03AD}"/>
    <hyperlink ref="B289" r:id="rId251" display="https://centrodecapacitaciondelsur.com/soporte-basico-de-vida-" xr:uid="{203E6E39-2183-4011-A844-871AACC24DF4}"/>
    <hyperlink ref="B290" r:id="rId252" display="https://centrodecapacitaciondelsur.com/soporte-basico-de-vida-" xr:uid="{B6FE598C-6EDA-436B-B4A5-0F500061BBAA}"/>
    <hyperlink ref="B291" r:id="rId253" display="https://centrodecapacitaciondelsur.com/soporte-basico-de-vida-" xr:uid="{F072DE86-38A9-4804-931E-D1D011741479}"/>
    <hyperlink ref="B292" r:id="rId254" display="https://centrodecapacitaciondelsur.com/soporte-basico-de-vida-" xr:uid="{3D7DEB88-EEE1-4585-94AE-9A353C38CDA9}"/>
    <hyperlink ref="B293" r:id="rId255" display="https://centrodecapacitaciondelsur.com/soporte-basico-de-vida-" xr:uid="{6AF52D6B-C172-46E0-8586-9D421CB21BAB}"/>
    <hyperlink ref="B294" r:id="rId256" display="https://centrodecapacitaciondelsur.com/soporte-basico-de-vida-" xr:uid="{476B02A4-8A41-464B-81F1-C70FFCE5FE0C}"/>
    <hyperlink ref="B295" r:id="rId257" display="https://centrodecapacitaciondelsur.com/soporte-basico-de-vida-" xr:uid="{AAFCF91D-8D76-467B-A582-610A0D9FC535}"/>
    <hyperlink ref="B296" r:id="rId258" display="https://centrodecapacitaciondelsur.com/soporte-basico-de-vida-" xr:uid="{F39199F5-A512-4D78-B8FC-6DB1C6F09DFA}"/>
    <hyperlink ref="B297" r:id="rId259" display="https://centrodecapacitaciondelsur.com/soporte-basico-de-vida-" xr:uid="{CA7C420D-5CC2-43F8-8E84-B619B5175F64}"/>
    <hyperlink ref="B298" r:id="rId260" display="https://centrodecapacitaciondelsur.com/soporte-basico-de-vida-" xr:uid="{5E3B5000-4B2E-4EAA-8352-39487FDD8D06}"/>
    <hyperlink ref="B299" r:id="rId261" display="https://centrodecapacitaciondelsur.com/soporte-basico-de-vida-" xr:uid="{339BB891-E829-4635-AD87-435DB8DFDAAB}"/>
    <hyperlink ref="B300" r:id="rId262" display="https://centrodecapacitaciondelsur.com/soporte-basico-de-vida-" xr:uid="{7F0B2DF4-269B-4EF8-9DCA-1C7E3185423A}"/>
    <hyperlink ref="B301" r:id="rId263" display="https://centrodecapacitaciondelsur.com/soporte-basico-de-vida-" xr:uid="{076BBC1D-502B-4967-8A5B-CE8A60DB2DE8}"/>
    <hyperlink ref="B302" r:id="rId264" display="https://centrodecapacitaciondelsur.com/soporte-basico-de-vida-" xr:uid="{BE3EB95C-BACA-48E7-878F-A190912E66EA}"/>
    <hyperlink ref="B303" r:id="rId265" display="https://centrodecapacitaciondelsur.com/soporte-basico-de-vida-" xr:uid="{79731987-5029-4F23-9CB2-C582F874882C}"/>
    <hyperlink ref="B304" r:id="rId266" display="https://centrodecapacitaciondelsur.com/soporte-basico-de-vida-" xr:uid="{F5D57922-108F-41F3-860A-ACEB5CC511DC}"/>
    <hyperlink ref="B305" r:id="rId267" display="https://centrodecapacitaciondelsur.com/soporte-basico-de-vida-" xr:uid="{8AC25920-6BB4-4463-8A42-6247E5FDA1A9}"/>
    <hyperlink ref="B306" r:id="rId268" display="https://centrodecapacitaciondelsur.com/soporte-basico-de-vida-" xr:uid="{706F0DB0-F122-42D9-AF52-F0E626055D61}"/>
    <hyperlink ref="B307" r:id="rId269" display="https://centrodecapacitaciondelsur.com/soporte-basico-de-vida-" xr:uid="{E85DF547-94DC-4B61-BF5D-34D115382690}"/>
    <hyperlink ref="B308" r:id="rId270" display="https://centrodecapacitaciondelsur.com/soporte-basico-de-vida-" xr:uid="{52A07026-B3CE-43F8-B96B-DCEAAAABDCA7}"/>
    <hyperlink ref="B309" r:id="rId271" display="https://centrodecapacitaciondelsur.com/soporte-basico-de-vida-" xr:uid="{B45D961E-25C5-4A92-ACE8-5CFFCB7E696A}"/>
    <hyperlink ref="B310" r:id="rId272" display="https://centrodecapacitaciondelsur.com/soporte-basico-de-vida-" xr:uid="{6B63000A-B2B8-4973-9DED-E037A0D77685}"/>
    <hyperlink ref="B311" r:id="rId273" display="https://centrodecapacitaciondelsur.com/soporte-basico-de-vida-" xr:uid="{3D417B09-C983-4880-BDFF-514547FA0EC1}"/>
    <hyperlink ref="B312" r:id="rId274" display="https://centrodecapacitaciondelsur.com/soporte-basico-de-vida-" xr:uid="{E7035340-771D-418F-ACED-A80DAE4D1B00}"/>
    <hyperlink ref="B313" r:id="rId275" display="https://centrodecapacitaciondelsur.com/soporte-basico-de-vida-" xr:uid="{8CF5815A-1AEA-4697-94C8-D3F566DCE5A3}"/>
    <hyperlink ref="B314" r:id="rId276" display="https://centrodecapacitaciondelsur.com/soporte-basico-de-vida-" xr:uid="{5F650EB2-623C-42E8-B205-CF4CB27FA7FA}"/>
    <hyperlink ref="B315" r:id="rId277" display="https://centrodecapacitaciondelsur.com/soporte-basico-de-vida-" xr:uid="{5471C88C-4032-499A-B569-1028CC6A23AB}"/>
    <hyperlink ref="B316" r:id="rId278" display="https://centrodecapacitaciondelsur.com/soporte-basico-de-vida-" xr:uid="{8FEBE4B0-FBF8-4732-BACE-F1870313F2E3}"/>
    <hyperlink ref="B317" r:id="rId279" display="https://centrodecapacitaciondelsur.com/soporte-basico-de-vida-" xr:uid="{E889CA9D-DB34-4AA8-A6FD-3E34D0C5B9DA}"/>
    <hyperlink ref="B318" r:id="rId280" display="https://centrodecapacitaciondelsur.com/soporte-basico-de-vida-" xr:uid="{B094AD68-66FD-48E8-8D70-D3BF2CDEFBE6}"/>
    <hyperlink ref="B319" r:id="rId281" display="https://centrodecapacitaciondelsur.com/soporte-basico-de-vida-" xr:uid="{40C92489-B19B-4154-B3C9-8C01F78A3C04}"/>
    <hyperlink ref="B320" r:id="rId282" display="https://centrodecapacitaciondelsur.com/soporte-basico-de-vida-" xr:uid="{CE428E67-2879-4ED1-9446-1F9CD28B0D2E}"/>
    <hyperlink ref="B321" r:id="rId283" display="https://centrodecapacitaciondelsur.com/soporte-basico-de-vida-" xr:uid="{75EDA6A8-BF5F-4398-A107-0C9407061AEF}"/>
    <hyperlink ref="B322" r:id="rId284" display="https://centrodecapacitaciondelsur.com/soporte-basico-de-vida-" xr:uid="{300BFE56-34B2-43DF-8C94-699841914689}"/>
    <hyperlink ref="B323" r:id="rId285" display="https://centrodecapacitaciondelsur.com/soporte-basico-de-vida-" xr:uid="{FD511BF5-7C22-4C3B-8880-BCB418DF0CEA}"/>
    <hyperlink ref="B324" r:id="rId286" display="https://centrodecapacitaciondelsur.com/soporte-basico-de-vida-" xr:uid="{E473C554-69B4-4689-9694-24D6014A32D3}"/>
    <hyperlink ref="B325" r:id="rId287" display="https://centrodecapacitaciondelsur.com/soporte-basico-de-vida-" xr:uid="{23AA1091-5F12-4F50-A74B-4EDB8109C34A}"/>
    <hyperlink ref="B326" r:id="rId288" display="https://centrodecapacitaciondelsur.com/soporte-basico-de-vida-" xr:uid="{E4E22D3A-321A-4F97-8C8B-9CCAFF4EA5DE}"/>
    <hyperlink ref="B327" r:id="rId289" display="https://centrodecapacitaciondelsur.com/soporte-basico-de-vida-" xr:uid="{4B0A8F74-1110-4B76-8E7B-E708CD359146}"/>
    <hyperlink ref="B328" r:id="rId290" display="https://centrodecapacitaciondelsur.com/soporte-basico-de-vida-" xr:uid="{96818433-B48A-408A-8F26-6C1BF7DE2EDF}"/>
    <hyperlink ref="B329" r:id="rId291" display="https://centrodecapacitaciondelsur.com/soporte-basico-de-vida-" xr:uid="{6446DFAC-34AD-4EA7-BB80-7164CAB93A24}"/>
    <hyperlink ref="B330" r:id="rId292" display="https://centrodecapacitaciondelsur.com/soporte-basico-de-vida-" xr:uid="{92DF06A3-752C-4136-A6D3-11A2920FFADA}"/>
    <hyperlink ref="B331" r:id="rId293" display="https://centrodecapacitaciondelsur.com/soporte-basico-de-vida-" xr:uid="{5D5E97B4-9E2A-45AA-A885-1DC169DC6860}"/>
    <hyperlink ref="B332" r:id="rId294" display="https://centrodecapacitaciondelsur.com/soporte-basico-de-vida-" xr:uid="{FE01F94F-9187-4C5A-92DC-B149CD298E6B}"/>
    <hyperlink ref="B333" r:id="rId295" display="https://centrodecapacitaciondelsur.com/soporte-basico-de-vida-" xr:uid="{4827FBB7-096F-473B-AFD2-7360649DB3F6}"/>
    <hyperlink ref="B334" r:id="rId296" display="https://centrodecapacitaciondelsur.com/soporte-basico-de-vida-" xr:uid="{E350D20A-85BF-4A18-9E60-241CA06376CC}"/>
    <hyperlink ref="B335" r:id="rId297" display="https://centrodecapacitaciondelsur.com/soporte-basico-de-vida-" xr:uid="{3E21B4B5-88FB-482D-8941-C3975A444CDE}"/>
    <hyperlink ref="B336" r:id="rId298" display="https://centrodecapacitaciondelsur.com/soporte-basico-de-vida-" xr:uid="{F910B36D-58FC-438B-A133-32642B527ECB}"/>
    <hyperlink ref="B337" r:id="rId299" display="https://centrodecapacitaciondelsur.com/soporte-basico-de-vida-" xr:uid="{A85C704B-CE70-4223-8D3F-F68471385865}"/>
    <hyperlink ref="B338" r:id="rId300" display="https://centrodecapacitaciondelsur.com/soporte-basico-de-vida-" xr:uid="{BEB973D4-14C2-4391-8FE3-46A339BDD396}"/>
    <hyperlink ref="B339" r:id="rId301" display="https://centrodecapacitaciondelsur.com/soporte-basico-de-vida-" xr:uid="{B861BC02-1E13-4685-9027-9089FC440992}"/>
    <hyperlink ref="B340" r:id="rId302" display="https://centrodecapacitaciondelsur.com/soporte-basico-de-vida-" xr:uid="{5DDDD8EF-2CC5-4901-8F42-2526210E232D}"/>
    <hyperlink ref="B341" r:id="rId303" display="https://centrodecapacitaciondelsur.com/soporte-basico-de-vida-" xr:uid="{A8BBF952-2923-4E83-99AB-E10AF4EBF064}"/>
    <hyperlink ref="B342" r:id="rId304" display="https://centrodecapacitaciondelsur.com/soporte-basico-de-vida-" xr:uid="{DC408AD0-6154-4405-96F7-091094B3963B}"/>
    <hyperlink ref="B343" r:id="rId305" display="https://centrodecapacitaciondelsur.com/soporte-basico-de-vida-" xr:uid="{83D6A01E-AE81-446F-8726-58767824CA2C}"/>
    <hyperlink ref="B344" r:id="rId306" display="https://centrodecapacitaciondelsur.com/soporte-basico-de-vida-" xr:uid="{A091373A-0F46-41DD-85AD-5CD3A2325FD2}"/>
    <hyperlink ref="B345" r:id="rId307" display="https://centrodecapacitaciondelsur.com/soporte-basico-de-vida-" xr:uid="{45E44383-D68C-403A-9F60-2F2B9B5C51D2}"/>
    <hyperlink ref="B346" r:id="rId308" display="https://centrodecapacitaciondelsur.com/soporte-basico-de-vida-" xr:uid="{C32863A3-F55D-4A81-9B42-7386904BAE8F}"/>
    <hyperlink ref="B347" r:id="rId309" display="https://centrodecapacitaciondelsur.com/soporte-basico-de-vida-" xr:uid="{545A034B-3BD0-4C19-834B-A2ECA4B37657}"/>
    <hyperlink ref="B348" r:id="rId310" display="https://centrodecapacitaciondelsur.com/soporte-basico-de-vida-" xr:uid="{365ECFA8-D715-43B0-8E71-9B3974F97A26}"/>
    <hyperlink ref="B349" r:id="rId311" display="https://centrodecapacitaciondelsur.com/soporte-basico-de-vida-" xr:uid="{C2B7B763-D358-4CF0-80ED-EBD19295F384}"/>
    <hyperlink ref="B350" r:id="rId312" display="https://centrodecapacitaciondelsur.com/soporte-basico-de-vida-" xr:uid="{E9C6D002-2AF1-4279-B371-1BD30F1B1A2D}"/>
    <hyperlink ref="B351" r:id="rId313" display="https://centrodecapacitaciondelsur.com/soporte-basico-de-vida-" xr:uid="{7B6E149E-2088-4344-83F0-CBCEDB68B9A2}"/>
    <hyperlink ref="B352" r:id="rId314" display="https://centrodecapacitaciondelsur.com/soporte-basico-de-vida-" xr:uid="{E62FC16C-F859-449B-97BE-0736B02BE334}"/>
    <hyperlink ref="B353" r:id="rId315" display="https://centrodecapacitaciondelsur.com/soporte-basico-de-vida-" xr:uid="{E5FB4253-32D4-40C1-876B-A19182D8E82E}"/>
    <hyperlink ref="B354" r:id="rId316" display="https://centrodecapacitaciondelsur.com/soporte-basico-de-vida-" xr:uid="{21B56221-CB61-45AB-A4D0-7F9E43A03E2B}"/>
    <hyperlink ref="B355" r:id="rId317" display="https://centrodecapacitaciondelsur.com/soporte-basico-de-vida-" xr:uid="{4E84289B-EDA1-436B-BD68-7F0F3418713D}"/>
  </hyperlinks>
  <pageMargins left="0.7" right="0.7" top="0.75" bottom="0.75" header="0.3" footer="0.3"/>
  <pageSetup orientation="portrait" r:id="rId318"/>
  <drawing r:id="rId31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INSCRITOS</vt:lpstr>
      <vt:lpstr>RETIRADOS</vt:lpstr>
      <vt:lpstr>IPS FONOCENTER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CCS-Pc</cp:lastModifiedBy>
  <cp:lastPrinted>2025-05-09T22:31:52Z</cp:lastPrinted>
  <dcterms:created xsi:type="dcterms:W3CDTF">2023-09-02T16:45:54Z</dcterms:created>
  <dcterms:modified xsi:type="dcterms:W3CDTF">2025-06-18T15:41:35Z</dcterms:modified>
</cp:coreProperties>
</file>