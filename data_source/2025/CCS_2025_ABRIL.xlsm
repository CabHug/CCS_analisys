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CCS\CCS\2.Certificado\2025\4.ABRIL\"/>
    </mc:Choice>
  </mc:AlternateContent>
  <xr:revisionPtr revIDLastSave="0" documentId="13_ncr:1_{2BC7362F-5307-43CB-BE6B-2DD6021C6840}" xr6:coauthVersionLast="47" xr6:coauthVersionMax="47" xr10:uidLastSave="{00000000-0000-0000-0000-000000000000}"/>
  <bookViews>
    <workbookView xWindow="-120" yWindow="-120" windowWidth="29040" windowHeight="15840" tabRatio="574" xr2:uid="{00000000-000D-0000-FFFF-FFFF00000000}"/>
  </bookViews>
  <sheets>
    <sheet name="INSCRITOS" sheetId="1" r:id="rId1"/>
    <sheet name="CURSOS" sheetId="2" r:id="rId2"/>
    <sheet name="LINK" sheetId="7" r:id="rId3"/>
  </sheets>
  <functionGroups builtInGroupCount="19"/>
  <definedNames>
    <definedName name="_xlnm._FilterDatabase" localSheetId="0" hidden="1">INSCRITOS!$A$1:$Y$248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1" l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A40" i="7"/>
  <c r="B40" i="7" s="1"/>
  <c r="C40" i="7"/>
  <c r="A41" i="7"/>
  <c r="B41" i="7" s="1"/>
  <c r="D41" i="7" s="1"/>
  <c r="C41" i="7"/>
  <c r="A42" i="7"/>
  <c r="B42" i="7" s="1"/>
  <c r="C42" i="7"/>
  <c r="A43" i="7"/>
  <c r="B43" i="7" s="1"/>
  <c r="D43" i="7" s="1"/>
  <c r="C43" i="7"/>
  <c r="A44" i="7"/>
  <c r="B44" i="7" s="1"/>
  <c r="C44" i="7"/>
  <c r="A45" i="7"/>
  <c r="B45" i="7" s="1"/>
  <c r="D45" i="7" s="1"/>
  <c r="C45" i="7"/>
  <c r="A46" i="7"/>
  <c r="B46" i="7" s="1"/>
  <c r="C46" i="7"/>
  <c r="A47" i="7"/>
  <c r="B47" i="7" s="1"/>
  <c r="C47" i="7"/>
  <c r="A48" i="7"/>
  <c r="B48" i="7" s="1"/>
  <c r="C48" i="7"/>
  <c r="A49" i="7"/>
  <c r="B49" i="7" s="1"/>
  <c r="C49" i="7"/>
  <c r="A50" i="7"/>
  <c r="B50" i="7" s="1"/>
  <c r="C50" i="7"/>
  <c r="A51" i="7"/>
  <c r="B51" i="7" s="1"/>
  <c r="C51" i="7"/>
  <c r="A52" i="7"/>
  <c r="B52" i="7" s="1"/>
  <c r="C52" i="7"/>
  <c r="A53" i="7"/>
  <c r="B53" i="7" s="1"/>
  <c r="C53" i="7"/>
  <c r="A54" i="7"/>
  <c r="B54" i="7" s="1"/>
  <c r="C54" i="7"/>
  <c r="A55" i="7"/>
  <c r="B55" i="7" s="1"/>
  <c r="C55" i="7"/>
  <c r="A56" i="7"/>
  <c r="B56" i="7" s="1"/>
  <c r="C56" i="7"/>
  <c r="A57" i="7"/>
  <c r="B57" i="7" s="1"/>
  <c r="C57" i="7"/>
  <c r="A58" i="7"/>
  <c r="B58" i="7" s="1"/>
  <c r="C58" i="7"/>
  <c r="A59" i="7"/>
  <c r="B59" i="7" s="1"/>
  <c r="C59" i="7"/>
  <c r="A60" i="7"/>
  <c r="B60" i="7" s="1"/>
  <c r="C60" i="7"/>
  <c r="A61" i="7"/>
  <c r="B61" i="7" s="1"/>
  <c r="D61" i="7" s="1"/>
  <c r="C61" i="7"/>
  <c r="A62" i="7"/>
  <c r="B62" i="7" s="1"/>
  <c r="C62" i="7"/>
  <c r="A63" i="7"/>
  <c r="B63" i="7" s="1"/>
  <c r="C63" i="7"/>
  <c r="A64" i="7"/>
  <c r="B64" i="7" s="1"/>
  <c r="C64" i="7"/>
  <c r="A65" i="7"/>
  <c r="B65" i="7" s="1"/>
  <c r="C65" i="7"/>
  <c r="A66" i="7"/>
  <c r="B66" i="7" s="1"/>
  <c r="C66" i="7"/>
  <c r="A67" i="7"/>
  <c r="B67" i="7" s="1"/>
  <c r="C67" i="7"/>
  <c r="A68" i="7"/>
  <c r="B68" i="7" s="1"/>
  <c r="C68" i="7"/>
  <c r="A69" i="7"/>
  <c r="B69" i="7" s="1"/>
  <c r="C69" i="7"/>
  <c r="A70" i="7"/>
  <c r="B70" i="7" s="1"/>
  <c r="C70" i="7"/>
  <c r="A71" i="7"/>
  <c r="B71" i="7" s="1"/>
  <c r="C71" i="7"/>
  <c r="A72" i="7"/>
  <c r="B72" i="7" s="1"/>
  <c r="C72" i="7"/>
  <c r="A73" i="7"/>
  <c r="B73" i="7" s="1"/>
  <c r="C73" i="7"/>
  <c r="A74" i="7"/>
  <c r="B74" i="7" s="1"/>
  <c r="C74" i="7"/>
  <c r="A75" i="7"/>
  <c r="B75" i="7" s="1"/>
  <c r="C75" i="7"/>
  <c r="A76" i="7"/>
  <c r="B76" i="7" s="1"/>
  <c r="C76" i="7"/>
  <c r="A77" i="7"/>
  <c r="B77" i="7" s="1"/>
  <c r="C77" i="7"/>
  <c r="A78" i="7"/>
  <c r="B78" i="7" s="1"/>
  <c r="C78" i="7"/>
  <c r="A79" i="7"/>
  <c r="B79" i="7" s="1"/>
  <c r="C79" i="7"/>
  <c r="A80" i="7"/>
  <c r="B80" i="7" s="1"/>
  <c r="C80" i="7"/>
  <c r="A81" i="7"/>
  <c r="B81" i="7" s="1"/>
  <c r="C81" i="7"/>
  <c r="A82" i="7"/>
  <c r="B82" i="7" s="1"/>
  <c r="C82" i="7"/>
  <c r="A83" i="7"/>
  <c r="B83" i="7" s="1"/>
  <c r="C83" i="7"/>
  <c r="A84" i="7"/>
  <c r="B84" i="7" s="1"/>
  <c r="C84" i="7"/>
  <c r="A85" i="7"/>
  <c r="B85" i="7" s="1"/>
  <c r="D85" i="7" s="1"/>
  <c r="C85" i="7"/>
  <c r="A86" i="7"/>
  <c r="B86" i="7" s="1"/>
  <c r="C86" i="7"/>
  <c r="A87" i="7"/>
  <c r="B87" i="7" s="1"/>
  <c r="C87" i="7"/>
  <c r="A88" i="7"/>
  <c r="B88" i="7" s="1"/>
  <c r="C88" i="7"/>
  <c r="A89" i="7"/>
  <c r="B89" i="7" s="1"/>
  <c r="C89" i="7"/>
  <c r="A90" i="7"/>
  <c r="B90" i="7" s="1"/>
  <c r="C90" i="7"/>
  <c r="A91" i="7"/>
  <c r="B91" i="7" s="1"/>
  <c r="C91" i="7"/>
  <c r="A92" i="7"/>
  <c r="B92" i="7" s="1"/>
  <c r="C92" i="7"/>
  <c r="A93" i="7"/>
  <c r="B93" i="7" s="1"/>
  <c r="C93" i="7"/>
  <c r="A94" i="7"/>
  <c r="B94" i="7" s="1"/>
  <c r="C94" i="7"/>
  <c r="A95" i="7"/>
  <c r="B95" i="7" s="1"/>
  <c r="C95" i="7"/>
  <c r="A96" i="7"/>
  <c r="B96" i="7" s="1"/>
  <c r="C96" i="7"/>
  <c r="A97" i="7"/>
  <c r="B97" i="7" s="1"/>
  <c r="C97" i="7"/>
  <c r="A98" i="7"/>
  <c r="B98" i="7" s="1"/>
  <c r="C98" i="7"/>
  <c r="A99" i="7"/>
  <c r="B99" i="7" s="1"/>
  <c r="C99" i="7"/>
  <c r="A100" i="7"/>
  <c r="B100" i="7" s="1"/>
  <c r="C100" i="7"/>
  <c r="A101" i="7"/>
  <c r="B101" i="7" s="1"/>
  <c r="C101" i="7"/>
  <c r="A102" i="7"/>
  <c r="B102" i="7" s="1"/>
  <c r="C102" i="7"/>
  <c r="A103" i="7"/>
  <c r="B103" i="7" s="1"/>
  <c r="C103" i="7"/>
  <c r="A104" i="7"/>
  <c r="B104" i="7" s="1"/>
  <c r="C104" i="7"/>
  <c r="A105" i="7"/>
  <c r="B105" i="7" s="1"/>
  <c r="C105" i="7"/>
  <c r="A106" i="7"/>
  <c r="B106" i="7" s="1"/>
  <c r="C106" i="7"/>
  <c r="A107" i="7"/>
  <c r="B107" i="7" s="1"/>
  <c r="C107" i="7"/>
  <c r="A108" i="7"/>
  <c r="B108" i="7" s="1"/>
  <c r="C108" i="7"/>
  <c r="A109" i="7"/>
  <c r="B109" i="7" s="1"/>
  <c r="C109" i="7"/>
  <c r="A110" i="7"/>
  <c r="B110" i="7" s="1"/>
  <c r="C110" i="7"/>
  <c r="A111" i="7"/>
  <c r="B111" i="7" s="1"/>
  <c r="C111" i="7"/>
  <c r="A112" i="7"/>
  <c r="B112" i="7" s="1"/>
  <c r="C112" i="7"/>
  <c r="A113" i="7"/>
  <c r="B113" i="7" s="1"/>
  <c r="C113" i="7"/>
  <c r="A114" i="7"/>
  <c r="B114" i="7" s="1"/>
  <c r="C114" i="7"/>
  <c r="A115" i="7"/>
  <c r="B115" i="7" s="1"/>
  <c r="C115" i="7"/>
  <c r="A116" i="7"/>
  <c r="B116" i="7" s="1"/>
  <c r="C116" i="7"/>
  <c r="A117" i="7"/>
  <c r="B117" i="7" s="1"/>
  <c r="D117" i="7" s="1"/>
  <c r="C117" i="7"/>
  <c r="A118" i="7"/>
  <c r="B118" i="7" s="1"/>
  <c r="C118" i="7"/>
  <c r="A119" i="7"/>
  <c r="B119" i="7" s="1"/>
  <c r="D119" i="7" s="1"/>
  <c r="C119" i="7"/>
  <c r="A120" i="7"/>
  <c r="B120" i="7" s="1"/>
  <c r="C120" i="7"/>
  <c r="A121" i="7"/>
  <c r="B121" i="7" s="1"/>
  <c r="C121" i="7"/>
  <c r="A122" i="7"/>
  <c r="B122" i="7" s="1"/>
  <c r="C122" i="7"/>
  <c r="A123" i="7"/>
  <c r="B123" i="7" s="1"/>
  <c r="D123" i="7" s="1"/>
  <c r="C123" i="7"/>
  <c r="A124" i="7"/>
  <c r="B124" i="7" s="1"/>
  <c r="C124" i="7"/>
  <c r="A125" i="7"/>
  <c r="B125" i="7" s="1"/>
  <c r="C125" i="7"/>
  <c r="A126" i="7"/>
  <c r="B126" i="7" s="1"/>
  <c r="C126" i="7"/>
  <c r="A127" i="7"/>
  <c r="B127" i="7" s="1"/>
  <c r="C127" i="7"/>
  <c r="A128" i="7"/>
  <c r="B128" i="7" s="1"/>
  <c r="C128" i="7"/>
  <c r="A129" i="7"/>
  <c r="B129" i="7" s="1"/>
  <c r="C129" i="7"/>
  <c r="A130" i="7"/>
  <c r="B130" i="7" s="1"/>
  <c r="C130" i="7"/>
  <c r="A131" i="7"/>
  <c r="B131" i="7" s="1"/>
  <c r="C131" i="7"/>
  <c r="A132" i="7"/>
  <c r="B132" i="7" s="1"/>
  <c r="C132" i="7"/>
  <c r="A133" i="7"/>
  <c r="B133" i="7" s="1"/>
  <c r="C133" i="7"/>
  <c r="A134" i="7"/>
  <c r="B134" i="7" s="1"/>
  <c r="C134" i="7"/>
  <c r="A135" i="7"/>
  <c r="B135" i="7" s="1"/>
  <c r="C135" i="7"/>
  <c r="A136" i="7"/>
  <c r="B136" i="7" s="1"/>
  <c r="C136" i="7"/>
  <c r="A137" i="7"/>
  <c r="B137" i="7" s="1"/>
  <c r="C137" i="7"/>
  <c r="A138" i="7"/>
  <c r="B138" i="7" s="1"/>
  <c r="C138" i="7"/>
  <c r="A139" i="7"/>
  <c r="B139" i="7" s="1"/>
  <c r="C139" i="7"/>
  <c r="A140" i="7"/>
  <c r="B140" i="7" s="1"/>
  <c r="C140" i="7"/>
  <c r="A141" i="7"/>
  <c r="B141" i="7" s="1"/>
  <c r="C141" i="7"/>
  <c r="A142" i="7"/>
  <c r="B142" i="7" s="1"/>
  <c r="C142" i="7"/>
  <c r="A143" i="7"/>
  <c r="B143" i="7" s="1"/>
  <c r="C143" i="7"/>
  <c r="A144" i="7"/>
  <c r="B144" i="7" s="1"/>
  <c r="C144" i="7"/>
  <c r="A145" i="7"/>
  <c r="B145" i="7" s="1"/>
  <c r="C145" i="7"/>
  <c r="A146" i="7"/>
  <c r="B146" i="7" s="1"/>
  <c r="C146" i="7"/>
  <c r="A147" i="7"/>
  <c r="B147" i="7" s="1"/>
  <c r="C147" i="7"/>
  <c r="A148" i="7"/>
  <c r="B148" i="7" s="1"/>
  <c r="C148" i="7"/>
  <c r="A149" i="7"/>
  <c r="B149" i="7" s="1"/>
  <c r="C149" i="7"/>
  <c r="A150" i="7"/>
  <c r="B150" i="7" s="1"/>
  <c r="C150" i="7"/>
  <c r="A151" i="7"/>
  <c r="B151" i="7" s="1"/>
  <c r="C151" i="7"/>
  <c r="A152" i="7"/>
  <c r="B152" i="7" s="1"/>
  <c r="C152" i="7"/>
  <c r="A153" i="7"/>
  <c r="B153" i="7" s="1"/>
  <c r="C153" i="7"/>
  <c r="A154" i="7"/>
  <c r="B154" i="7" s="1"/>
  <c r="C154" i="7"/>
  <c r="A155" i="7"/>
  <c r="B155" i="7" s="1"/>
  <c r="C155" i="7"/>
  <c r="A156" i="7"/>
  <c r="B156" i="7" s="1"/>
  <c r="C156" i="7"/>
  <c r="A157" i="7"/>
  <c r="B157" i="7" s="1"/>
  <c r="C157" i="7"/>
  <c r="A158" i="7"/>
  <c r="B158" i="7" s="1"/>
  <c r="C158" i="7"/>
  <c r="A159" i="7"/>
  <c r="B159" i="7" s="1"/>
  <c r="C159" i="7"/>
  <c r="A160" i="7"/>
  <c r="B160" i="7" s="1"/>
  <c r="C160" i="7"/>
  <c r="A161" i="7"/>
  <c r="B161" i="7" s="1"/>
  <c r="C161" i="7"/>
  <c r="A162" i="7"/>
  <c r="B162" i="7" s="1"/>
  <c r="C162" i="7"/>
  <c r="A163" i="7"/>
  <c r="B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B170" i="7" s="1"/>
  <c r="C170" i="7"/>
  <c r="A171" i="7"/>
  <c r="B171" i="7" s="1"/>
  <c r="C171" i="7"/>
  <c r="A172" i="7"/>
  <c r="B172" i="7" s="1"/>
  <c r="C172" i="7"/>
  <c r="A173" i="7"/>
  <c r="B173" i="7" s="1"/>
  <c r="C173" i="7"/>
  <c r="A174" i="7"/>
  <c r="B174" i="7" s="1"/>
  <c r="C174" i="7"/>
  <c r="A175" i="7"/>
  <c r="B175" i="7" s="1"/>
  <c r="C175" i="7"/>
  <c r="A176" i="7"/>
  <c r="B176" i="7" s="1"/>
  <c r="C176" i="7"/>
  <c r="A177" i="7"/>
  <c r="B177" i="7" s="1"/>
  <c r="C177" i="7"/>
  <c r="A178" i="7"/>
  <c r="B178" i="7" s="1"/>
  <c r="C178" i="7"/>
  <c r="A179" i="7"/>
  <c r="B179" i="7" s="1"/>
  <c r="C179" i="7"/>
  <c r="A180" i="7"/>
  <c r="B180" i="7" s="1"/>
  <c r="C180" i="7"/>
  <c r="A181" i="7"/>
  <c r="B181" i="7" s="1"/>
  <c r="C181" i="7"/>
  <c r="A182" i="7"/>
  <c r="B182" i="7" s="1"/>
  <c r="C182" i="7"/>
  <c r="A183" i="7"/>
  <c r="B183" i="7" s="1"/>
  <c r="D183" i="7" s="1"/>
  <c r="C183" i="7"/>
  <c r="A184" i="7"/>
  <c r="B184" i="7" s="1"/>
  <c r="C184" i="7"/>
  <c r="A185" i="7"/>
  <c r="B185" i="7" s="1"/>
  <c r="C185" i="7"/>
  <c r="A186" i="7"/>
  <c r="B186" i="7" s="1"/>
  <c r="C186" i="7"/>
  <c r="A187" i="7"/>
  <c r="B187" i="7" s="1"/>
  <c r="C187" i="7"/>
  <c r="A188" i="7"/>
  <c r="B188" i="7" s="1"/>
  <c r="C188" i="7"/>
  <c r="A189" i="7"/>
  <c r="B189" i="7" s="1"/>
  <c r="C189" i="7"/>
  <c r="A190" i="7"/>
  <c r="B190" i="7" s="1"/>
  <c r="C190" i="7"/>
  <c r="A191" i="7"/>
  <c r="B191" i="7" s="1"/>
  <c r="C191" i="7"/>
  <c r="A192" i="7"/>
  <c r="B192" i="7" s="1"/>
  <c r="C192" i="7"/>
  <c r="A193" i="7"/>
  <c r="B193" i="7" s="1"/>
  <c r="C193" i="7"/>
  <c r="A194" i="7"/>
  <c r="B194" i="7" s="1"/>
  <c r="C194" i="7"/>
  <c r="A195" i="7"/>
  <c r="B195" i="7" s="1"/>
  <c r="C195" i="7"/>
  <c r="A196" i="7"/>
  <c r="B196" i="7" s="1"/>
  <c r="C196" i="7"/>
  <c r="A197" i="7"/>
  <c r="B197" i="7" s="1"/>
  <c r="C197" i="7"/>
  <c r="A198" i="7"/>
  <c r="B198" i="7" s="1"/>
  <c r="C198" i="7"/>
  <c r="A199" i="7"/>
  <c r="B199" i="7" s="1"/>
  <c r="C199" i="7"/>
  <c r="A200" i="7"/>
  <c r="B200" i="7" s="1"/>
  <c r="C200" i="7"/>
  <c r="A201" i="7"/>
  <c r="B201" i="7" s="1"/>
  <c r="C201" i="7"/>
  <c r="A202" i="7"/>
  <c r="B202" i="7" s="1"/>
  <c r="C202" i="7"/>
  <c r="A203" i="7"/>
  <c r="B203" i="7" s="1"/>
  <c r="C203" i="7"/>
  <c r="A204" i="7"/>
  <c r="B204" i="7" s="1"/>
  <c r="C204" i="7"/>
  <c r="A205" i="7"/>
  <c r="B205" i="7" s="1"/>
  <c r="C205" i="7"/>
  <c r="A206" i="7"/>
  <c r="B206" i="7" s="1"/>
  <c r="C206" i="7"/>
  <c r="A207" i="7"/>
  <c r="B207" i="7" s="1"/>
  <c r="C207" i="7"/>
  <c r="A208" i="7"/>
  <c r="B208" i="7" s="1"/>
  <c r="C208" i="7"/>
  <c r="A209" i="7"/>
  <c r="B209" i="7" s="1"/>
  <c r="C209" i="7"/>
  <c r="A210" i="7"/>
  <c r="B210" i="7" s="1"/>
  <c r="C210" i="7"/>
  <c r="A211" i="7"/>
  <c r="B211" i="7" s="1"/>
  <c r="C211" i="7"/>
  <c r="A212" i="7"/>
  <c r="B212" i="7" s="1"/>
  <c r="C212" i="7"/>
  <c r="A213" i="7"/>
  <c r="B213" i="7" s="1"/>
  <c r="C213" i="7"/>
  <c r="A214" i="7"/>
  <c r="B214" i="7" s="1"/>
  <c r="C214" i="7"/>
  <c r="A215" i="7"/>
  <c r="B215" i="7" s="1"/>
  <c r="C215" i="7"/>
  <c r="A216" i="7"/>
  <c r="B216" i="7" s="1"/>
  <c r="C216" i="7"/>
  <c r="A217" i="7"/>
  <c r="B217" i="7" s="1"/>
  <c r="C217" i="7"/>
  <c r="A218" i="7"/>
  <c r="B218" i="7" s="1"/>
  <c r="C218" i="7"/>
  <c r="A219" i="7"/>
  <c r="B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A224" i="7"/>
  <c r="B224" i="7" s="1"/>
  <c r="C224" i="7"/>
  <c r="A225" i="7"/>
  <c r="B225" i="7" s="1"/>
  <c r="C225" i="7"/>
  <c r="A226" i="7"/>
  <c r="B226" i="7" s="1"/>
  <c r="C226" i="7"/>
  <c r="A227" i="7"/>
  <c r="B227" i="7" s="1"/>
  <c r="C227" i="7"/>
  <c r="A228" i="7"/>
  <c r="B228" i="7" s="1"/>
  <c r="C228" i="7"/>
  <c r="A229" i="7"/>
  <c r="B229" i="7" s="1"/>
  <c r="C229" i="7"/>
  <c r="A230" i="7"/>
  <c r="B230" i="7" s="1"/>
  <c r="C230" i="7"/>
  <c r="A231" i="7"/>
  <c r="B231" i="7" s="1"/>
  <c r="C231" i="7"/>
  <c r="A232" i="7"/>
  <c r="B232" i="7" s="1"/>
  <c r="C232" i="7"/>
  <c r="A233" i="7"/>
  <c r="B233" i="7" s="1"/>
  <c r="C233" i="7"/>
  <c r="A234" i="7"/>
  <c r="B234" i="7" s="1"/>
  <c r="C234" i="7"/>
  <c r="A235" i="7"/>
  <c r="B235" i="7" s="1"/>
  <c r="C235" i="7"/>
  <c r="A236" i="7"/>
  <c r="B236" i="7" s="1"/>
  <c r="C236" i="7"/>
  <c r="A237" i="7"/>
  <c r="B237" i="7" s="1"/>
  <c r="C237" i="7"/>
  <c r="A238" i="7"/>
  <c r="B238" i="7" s="1"/>
  <c r="C238" i="7"/>
  <c r="A239" i="7"/>
  <c r="B239" i="7" s="1"/>
  <c r="C239" i="7"/>
  <c r="A240" i="7"/>
  <c r="B240" i="7" s="1"/>
  <c r="C240" i="7"/>
  <c r="A241" i="7"/>
  <c r="B241" i="7" s="1"/>
  <c r="C241" i="7"/>
  <c r="A242" i="7"/>
  <c r="B242" i="7" s="1"/>
  <c r="C242" i="7"/>
  <c r="A243" i="7"/>
  <c r="B243" i="7" s="1"/>
  <c r="C243" i="7"/>
  <c r="A244" i="7"/>
  <c r="B244" i="7" s="1"/>
  <c r="C244" i="7"/>
  <c r="A245" i="7"/>
  <c r="B245" i="7" s="1"/>
  <c r="C245" i="7"/>
  <c r="A246" i="7"/>
  <c r="B246" i="7" s="1"/>
  <c r="C246" i="7"/>
  <c r="A247" i="7"/>
  <c r="B247" i="7" s="1"/>
  <c r="C247" i="7"/>
  <c r="A248" i="7"/>
  <c r="B248" i="7" s="1"/>
  <c r="C248" i="7"/>
  <c r="A249" i="7"/>
  <c r="B249" i="7" s="1"/>
  <c r="C249" i="7"/>
  <c r="A250" i="7"/>
  <c r="B250" i="7" s="1"/>
  <c r="C250" i="7"/>
  <c r="A251" i="7"/>
  <c r="B251" i="7" s="1"/>
  <c r="C251" i="7"/>
  <c r="A252" i="7"/>
  <c r="B252" i="7" s="1"/>
  <c r="C252" i="7"/>
  <c r="A253" i="7"/>
  <c r="B253" i="7" s="1"/>
  <c r="C253" i="7"/>
  <c r="A254" i="7"/>
  <c r="B254" i="7" s="1"/>
  <c r="C254" i="7"/>
  <c r="A255" i="7"/>
  <c r="B255" i="7" s="1"/>
  <c r="C255" i="7"/>
  <c r="A256" i="7"/>
  <c r="B256" i="7" s="1"/>
  <c r="C256" i="7"/>
  <c r="A257" i="7"/>
  <c r="B257" i="7" s="1"/>
  <c r="C257" i="7"/>
  <c r="A258" i="7"/>
  <c r="B258" i="7" s="1"/>
  <c r="C258" i="7"/>
  <c r="A259" i="7"/>
  <c r="B259" i="7" s="1"/>
  <c r="C259" i="7"/>
  <c r="A260" i="7"/>
  <c r="B260" i="7" s="1"/>
  <c r="C260" i="7"/>
  <c r="A261" i="7"/>
  <c r="B261" i="7" s="1"/>
  <c r="C261" i="7"/>
  <c r="A262" i="7"/>
  <c r="B262" i="7" s="1"/>
  <c r="C262" i="7"/>
  <c r="A263" i="7"/>
  <c r="B263" i="7" s="1"/>
  <c r="C263" i="7"/>
  <c r="A264" i="7"/>
  <c r="B264" i="7" s="1"/>
  <c r="C264" i="7"/>
  <c r="A265" i="7"/>
  <c r="B265" i="7" s="1"/>
  <c r="C265" i="7"/>
  <c r="A266" i="7"/>
  <c r="B266" i="7" s="1"/>
  <c r="C266" i="7"/>
  <c r="A267" i="7"/>
  <c r="B267" i="7" s="1"/>
  <c r="C267" i="7"/>
  <c r="A268" i="7"/>
  <c r="B268" i="7" s="1"/>
  <c r="C268" i="7"/>
  <c r="A269" i="7"/>
  <c r="B269" i="7" s="1"/>
  <c r="C269" i="7"/>
  <c r="A270" i="7"/>
  <c r="B270" i="7" s="1"/>
  <c r="C270" i="7"/>
  <c r="A271" i="7"/>
  <c r="B271" i="7" s="1"/>
  <c r="C271" i="7"/>
  <c r="A272" i="7"/>
  <c r="B272" i="7" s="1"/>
  <c r="C272" i="7"/>
  <c r="A273" i="7"/>
  <c r="B273" i="7" s="1"/>
  <c r="C273" i="7"/>
  <c r="A274" i="7"/>
  <c r="B274" i="7" s="1"/>
  <c r="C274" i="7"/>
  <c r="A275" i="7"/>
  <c r="B275" i="7" s="1"/>
  <c r="C275" i="7"/>
  <c r="A276" i="7"/>
  <c r="B276" i="7" s="1"/>
  <c r="C276" i="7"/>
  <c r="A277" i="7"/>
  <c r="B277" i="7" s="1"/>
  <c r="C277" i="7"/>
  <c r="A278" i="7"/>
  <c r="B278" i="7" s="1"/>
  <c r="C278" i="7"/>
  <c r="A279" i="7"/>
  <c r="B279" i="7" s="1"/>
  <c r="C279" i="7"/>
  <c r="A280" i="7"/>
  <c r="B280" i="7" s="1"/>
  <c r="C280" i="7"/>
  <c r="A281" i="7"/>
  <c r="B281" i="7" s="1"/>
  <c r="C281" i="7"/>
  <c r="A282" i="7"/>
  <c r="B282" i="7" s="1"/>
  <c r="C282" i="7"/>
  <c r="A283" i="7"/>
  <c r="B283" i="7" s="1"/>
  <c r="C283" i="7"/>
  <c r="A284" i="7"/>
  <c r="B284" i="7" s="1"/>
  <c r="C284" i="7"/>
  <c r="A285" i="7"/>
  <c r="B285" i="7" s="1"/>
  <c r="C285" i="7"/>
  <c r="A286" i="7"/>
  <c r="B286" i="7" s="1"/>
  <c r="C286" i="7"/>
  <c r="A287" i="7"/>
  <c r="B287" i="7" s="1"/>
  <c r="C287" i="7"/>
  <c r="A288" i="7"/>
  <c r="B288" i="7" s="1"/>
  <c r="C288" i="7"/>
  <c r="A289" i="7"/>
  <c r="B289" i="7" s="1"/>
  <c r="C289" i="7"/>
  <c r="A290" i="7"/>
  <c r="B290" i="7" s="1"/>
  <c r="C290" i="7"/>
  <c r="A291" i="7"/>
  <c r="B291" i="7" s="1"/>
  <c r="C291" i="7"/>
  <c r="A292" i="7"/>
  <c r="B292" i="7" s="1"/>
  <c r="C292" i="7"/>
  <c r="A293" i="7"/>
  <c r="B293" i="7" s="1"/>
  <c r="C293" i="7"/>
  <c r="A294" i="7"/>
  <c r="B294" i="7" s="1"/>
  <c r="C294" i="7"/>
  <c r="A295" i="7"/>
  <c r="B295" i="7" s="1"/>
  <c r="C295" i="7"/>
  <c r="A296" i="7"/>
  <c r="B296" i="7" s="1"/>
  <c r="C296" i="7"/>
  <c r="A297" i="7"/>
  <c r="B297" i="7" s="1"/>
  <c r="C297" i="7"/>
  <c r="A298" i="7"/>
  <c r="B298" i="7" s="1"/>
  <c r="C298" i="7"/>
  <c r="A299" i="7"/>
  <c r="B299" i="7" s="1"/>
  <c r="C299" i="7"/>
  <c r="A300" i="7"/>
  <c r="B300" i="7" s="1"/>
  <c r="C300" i="7"/>
  <c r="A301" i="7"/>
  <c r="B301" i="7" s="1"/>
  <c r="C301" i="7"/>
  <c r="A302" i="7"/>
  <c r="B302" i="7" s="1"/>
  <c r="C302" i="7"/>
  <c r="A303" i="7"/>
  <c r="B303" i="7" s="1"/>
  <c r="C303" i="7"/>
  <c r="A304" i="7"/>
  <c r="B304" i="7" s="1"/>
  <c r="C304" i="7"/>
  <c r="A305" i="7"/>
  <c r="B305" i="7" s="1"/>
  <c r="C305" i="7"/>
  <c r="A306" i="7"/>
  <c r="B306" i="7" s="1"/>
  <c r="C306" i="7"/>
  <c r="A307" i="7"/>
  <c r="B307" i="7" s="1"/>
  <c r="C307" i="7"/>
  <c r="A308" i="7"/>
  <c r="B308" i="7" s="1"/>
  <c r="C308" i="7"/>
  <c r="A309" i="7"/>
  <c r="B309" i="7" s="1"/>
  <c r="C309" i="7"/>
  <c r="A310" i="7"/>
  <c r="B310" i="7" s="1"/>
  <c r="C310" i="7"/>
  <c r="A311" i="7"/>
  <c r="B311" i="7" s="1"/>
  <c r="C311" i="7"/>
  <c r="A312" i="7"/>
  <c r="B312" i="7" s="1"/>
  <c r="C312" i="7"/>
  <c r="A313" i="7"/>
  <c r="B313" i="7" s="1"/>
  <c r="C313" i="7"/>
  <c r="A314" i="7"/>
  <c r="B314" i="7" s="1"/>
  <c r="C314" i="7"/>
  <c r="A315" i="7"/>
  <c r="B315" i="7" s="1"/>
  <c r="C315" i="7"/>
  <c r="A316" i="7"/>
  <c r="B316" i="7" s="1"/>
  <c r="C316" i="7"/>
  <c r="A317" i="7"/>
  <c r="B317" i="7" s="1"/>
  <c r="C317" i="7"/>
  <c r="A318" i="7"/>
  <c r="B318" i="7" s="1"/>
  <c r="C318" i="7"/>
  <c r="A319" i="7"/>
  <c r="B319" i="7" s="1"/>
  <c r="C319" i="7"/>
  <c r="A320" i="7"/>
  <c r="B320" i="7" s="1"/>
  <c r="C320" i="7"/>
  <c r="A321" i="7"/>
  <c r="B321" i="7" s="1"/>
  <c r="C321" i="7"/>
  <c r="A322" i="7"/>
  <c r="B322" i="7" s="1"/>
  <c r="C322" i="7"/>
  <c r="A323" i="7"/>
  <c r="B323" i="7" s="1"/>
  <c r="C323" i="7"/>
  <c r="A324" i="7"/>
  <c r="B324" i="7" s="1"/>
  <c r="C324" i="7"/>
  <c r="A325" i="7"/>
  <c r="B325" i="7" s="1"/>
  <c r="C325" i="7"/>
  <c r="A326" i="7"/>
  <c r="B326" i="7" s="1"/>
  <c r="C326" i="7"/>
  <c r="A327" i="7"/>
  <c r="B327" i="7" s="1"/>
  <c r="C327" i="7"/>
  <c r="A328" i="7"/>
  <c r="B328" i="7" s="1"/>
  <c r="C328" i="7"/>
  <c r="A329" i="7"/>
  <c r="B329" i="7" s="1"/>
  <c r="C329" i="7"/>
  <c r="A330" i="7"/>
  <c r="B330" i="7" s="1"/>
  <c r="C330" i="7"/>
  <c r="A331" i="7"/>
  <c r="B331" i="7" s="1"/>
  <c r="C331" i="7"/>
  <c r="A332" i="7"/>
  <c r="B332" i="7" s="1"/>
  <c r="C332" i="7"/>
  <c r="A333" i="7"/>
  <c r="B333" i="7" s="1"/>
  <c r="C333" i="7"/>
  <c r="A334" i="7"/>
  <c r="B334" i="7" s="1"/>
  <c r="C334" i="7"/>
  <c r="A335" i="7"/>
  <c r="B335" i="7" s="1"/>
  <c r="C335" i="7"/>
  <c r="A336" i="7"/>
  <c r="B336" i="7" s="1"/>
  <c r="C336" i="7"/>
  <c r="A337" i="7"/>
  <c r="B337" i="7" s="1"/>
  <c r="C337" i="7"/>
  <c r="A338" i="7"/>
  <c r="B338" i="7" s="1"/>
  <c r="C338" i="7"/>
  <c r="A339" i="7"/>
  <c r="B339" i="7" s="1"/>
  <c r="C339" i="7"/>
  <c r="A340" i="7"/>
  <c r="B340" i="7" s="1"/>
  <c r="C340" i="7"/>
  <c r="A341" i="7"/>
  <c r="B341" i="7" s="1"/>
  <c r="C341" i="7"/>
  <c r="A342" i="7"/>
  <c r="B342" i="7" s="1"/>
  <c r="C342" i="7"/>
  <c r="A343" i="7"/>
  <c r="B343" i="7" s="1"/>
  <c r="C343" i="7"/>
  <c r="A344" i="7"/>
  <c r="B344" i="7" s="1"/>
  <c r="C344" i="7"/>
  <c r="A345" i="7"/>
  <c r="B345" i="7" s="1"/>
  <c r="C345" i="7"/>
  <c r="A346" i="7"/>
  <c r="B346" i="7" s="1"/>
  <c r="C346" i="7"/>
  <c r="A347" i="7"/>
  <c r="B347" i="7" s="1"/>
  <c r="C347" i="7"/>
  <c r="A348" i="7"/>
  <c r="B348" i="7" s="1"/>
  <c r="C348" i="7"/>
  <c r="A349" i="7"/>
  <c r="B349" i="7" s="1"/>
  <c r="C349" i="7"/>
  <c r="A350" i="7"/>
  <c r="B350" i="7" s="1"/>
  <c r="C350" i="7"/>
  <c r="A351" i="7"/>
  <c r="B351" i="7" s="1"/>
  <c r="C351" i="7"/>
  <c r="A352" i="7"/>
  <c r="B352" i="7" s="1"/>
  <c r="C352" i="7"/>
  <c r="A353" i="7"/>
  <c r="B353" i="7" s="1"/>
  <c r="C353" i="7"/>
  <c r="A354" i="7"/>
  <c r="B354" i="7" s="1"/>
  <c r="C354" i="7"/>
  <c r="A355" i="7"/>
  <c r="B355" i="7" s="1"/>
  <c r="C355" i="7"/>
  <c r="W3" i="1"/>
  <c r="X3" i="1" s="1"/>
  <c r="W4" i="1"/>
  <c r="X4" i="1" s="1"/>
  <c r="W5" i="1"/>
  <c r="X5" i="1" s="1"/>
  <c r="W6" i="1"/>
  <c r="X6" i="1" s="1"/>
  <c r="W7" i="1"/>
  <c r="X7" i="1" s="1"/>
  <c r="W8" i="1"/>
  <c r="X8" i="1" s="1"/>
  <c r="W9" i="1"/>
  <c r="X9" i="1" s="1"/>
  <c r="W10" i="1"/>
  <c r="X10" i="1" s="1"/>
  <c r="W11" i="1"/>
  <c r="X11" i="1" s="1"/>
  <c r="W12" i="1"/>
  <c r="X12" i="1" s="1"/>
  <c r="W13" i="1"/>
  <c r="X13" i="1" s="1"/>
  <c r="W14" i="1"/>
  <c r="X14" i="1" s="1"/>
  <c r="W15" i="1"/>
  <c r="X15" i="1" s="1"/>
  <c r="W16" i="1"/>
  <c r="X16" i="1" s="1"/>
  <c r="W17" i="1"/>
  <c r="X17" i="1" s="1"/>
  <c r="W18" i="1"/>
  <c r="X18" i="1" s="1"/>
  <c r="W19" i="1"/>
  <c r="X19" i="1" s="1"/>
  <c r="W20" i="1"/>
  <c r="X20" i="1" s="1"/>
  <c r="W21" i="1"/>
  <c r="X21" i="1" s="1"/>
  <c r="W22" i="1"/>
  <c r="X22" i="1" s="1"/>
  <c r="W23" i="1"/>
  <c r="X23" i="1" s="1"/>
  <c r="W24" i="1"/>
  <c r="X24" i="1" s="1"/>
  <c r="V25" i="1"/>
  <c r="W25" i="1"/>
  <c r="X25" i="1" s="1"/>
  <c r="V26" i="1"/>
  <c r="W26" i="1"/>
  <c r="X26" i="1" s="1"/>
  <c r="V27" i="1"/>
  <c r="W27" i="1"/>
  <c r="X27" i="1" s="1"/>
  <c r="V28" i="1"/>
  <c r="W28" i="1"/>
  <c r="X28" i="1" s="1"/>
  <c r="V29" i="1"/>
  <c r="W29" i="1"/>
  <c r="X29" i="1" s="1"/>
  <c r="V30" i="1"/>
  <c r="W30" i="1"/>
  <c r="X30" i="1" s="1"/>
  <c r="V31" i="1"/>
  <c r="W31" i="1"/>
  <c r="X31" i="1" s="1"/>
  <c r="V32" i="1"/>
  <c r="W32" i="1"/>
  <c r="X32" i="1" s="1"/>
  <c r="V33" i="1"/>
  <c r="W33" i="1"/>
  <c r="X33" i="1" s="1"/>
  <c r="V34" i="1"/>
  <c r="W34" i="1"/>
  <c r="X34" i="1" s="1"/>
  <c r="V35" i="1"/>
  <c r="W35" i="1"/>
  <c r="X35" i="1" s="1"/>
  <c r="V36" i="1"/>
  <c r="W36" i="1"/>
  <c r="X36" i="1" s="1"/>
  <c r="V37" i="1"/>
  <c r="W37" i="1"/>
  <c r="X37" i="1" s="1"/>
  <c r="V38" i="1"/>
  <c r="W38" i="1"/>
  <c r="X38" i="1" s="1"/>
  <c r="V39" i="1"/>
  <c r="W39" i="1"/>
  <c r="X39" i="1" s="1"/>
  <c r="V40" i="1"/>
  <c r="W40" i="1"/>
  <c r="V41" i="1"/>
  <c r="W41" i="1"/>
  <c r="X41" i="1" s="1"/>
  <c r="V42" i="1"/>
  <c r="W42" i="1"/>
  <c r="X42" i="1" s="1"/>
  <c r="V43" i="1"/>
  <c r="W43" i="1"/>
  <c r="V44" i="1"/>
  <c r="W44" i="1"/>
  <c r="X44" i="1" s="1"/>
  <c r="V45" i="1"/>
  <c r="W45" i="1"/>
  <c r="V46" i="1"/>
  <c r="W46" i="1"/>
  <c r="X46" i="1" s="1"/>
  <c r="V47" i="1"/>
  <c r="W47" i="1"/>
  <c r="V48" i="1"/>
  <c r="W48" i="1"/>
  <c r="X48" i="1" s="1"/>
  <c r="V49" i="1"/>
  <c r="W49" i="1"/>
  <c r="V50" i="1"/>
  <c r="W50" i="1"/>
  <c r="X50" i="1" s="1"/>
  <c r="V51" i="1"/>
  <c r="W51" i="1"/>
  <c r="V52" i="1"/>
  <c r="W52" i="1"/>
  <c r="X52" i="1" s="1"/>
  <c r="V53" i="1"/>
  <c r="W53" i="1"/>
  <c r="V54" i="1"/>
  <c r="W54" i="1"/>
  <c r="X54" i="1" s="1"/>
  <c r="V55" i="1"/>
  <c r="W55" i="1"/>
  <c r="V56" i="1"/>
  <c r="W56" i="1"/>
  <c r="X56" i="1" s="1"/>
  <c r="V57" i="1"/>
  <c r="W57" i="1"/>
  <c r="V58" i="1"/>
  <c r="W58" i="1"/>
  <c r="X58" i="1" s="1"/>
  <c r="V59" i="1"/>
  <c r="W59" i="1"/>
  <c r="V60" i="1"/>
  <c r="W60" i="1"/>
  <c r="X60" i="1" s="1"/>
  <c r="V61" i="1"/>
  <c r="W61" i="1"/>
  <c r="V62" i="1"/>
  <c r="W62" i="1"/>
  <c r="X62" i="1" s="1"/>
  <c r="V63" i="1"/>
  <c r="W63" i="1"/>
  <c r="V64" i="1"/>
  <c r="W64" i="1"/>
  <c r="X64" i="1" s="1"/>
  <c r="V65" i="1"/>
  <c r="W65" i="1"/>
  <c r="V66" i="1"/>
  <c r="W66" i="1"/>
  <c r="X66" i="1" s="1"/>
  <c r="V67" i="1"/>
  <c r="W67" i="1"/>
  <c r="V68" i="1"/>
  <c r="W68" i="1"/>
  <c r="X68" i="1" s="1"/>
  <c r="V69" i="1"/>
  <c r="W69" i="1"/>
  <c r="V70" i="1"/>
  <c r="W70" i="1"/>
  <c r="X70" i="1" s="1"/>
  <c r="V71" i="1"/>
  <c r="W71" i="1"/>
  <c r="V72" i="1"/>
  <c r="W72" i="1"/>
  <c r="X72" i="1" s="1"/>
  <c r="V73" i="1"/>
  <c r="W73" i="1"/>
  <c r="V74" i="1"/>
  <c r="W74" i="1"/>
  <c r="X74" i="1" s="1"/>
  <c r="V75" i="1"/>
  <c r="W75" i="1"/>
  <c r="V76" i="1"/>
  <c r="W76" i="1"/>
  <c r="X76" i="1" s="1"/>
  <c r="V77" i="1"/>
  <c r="W77" i="1"/>
  <c r="V78" i="1"/>
  <c r="W78" i="1"/>
  <c r="X78" i="1" s="1"/>
  <c r="V79" i="1"/>
  <c r="W79" i="1"/>
  <c r="V80" i="1"/>
  <c r="W80" i="1"/>
  <c r="X80" i="1" s="1"/>
  <c r="V81" i="1"/>
  <c r="W81" i="1"/>
  <c r="V82" i="1"/>
  <c r="W82" i="1"/>
  <c r="X82" i="1" s="1"/>
  <c r="V83" i="1"/>
  <c r="W83" i="1"/>
  <c r="V84" i="1"/>
  <c r="W84" i="1"/>
  <c r="X84" i="1" s="1"/>
  <c r="V85" i="1"/>
  <c r="W85" i="1"/>
  <c r="V86" i="1"/>
  <c r="W86" i="1"/>
  <c r="X86" i="1" s="1"/>
  <c r="V87" i="1"/>
  <c r="W87" i="1"/>
  <c r="V88" i="1"/>
  <c r="W88" i="1"/>
  <c r="X88" i="1" s="1"/>
  <c r="V89" i="1"/>
  <c r="W89" i="1"/>
  <c r="V90" i="1"/>
  <c r="W90" i="1"/>
  <c r="X90" i="1" s="1"/>
  <c r="V91" i="1"/>
  <c r="W91" i="1"/>
  <c r="V92" i="1"/>
  <c r="W92" i="1"/>
  <c r="X92" i="1" s="1"/>
  <c r="V93" i="1"/>
  <c r="W93" i="1"/>
  <c r="V94" i="1"/>
  <c r="W94" i="1"/>
  <c r="X94" i="1" s="1"/>
  <c r="V95" i="1"/>
  <c r="W95" i="1"/>
  <c r="V96" i="1"/>
  <c r="W96" i="1"/>
  <c r="X96" i="1" s="1"/>
  <c r="V97" i="1"/>
  <c r="W97" i="1"/>
  <c r="V98" i="1"/>
  <c r="W98" i="1"/>
  <c r="X98" i="1" s="1"/>
  <c r="V99" i="1"/>
  <c r="W99" i="1"/>
  <c r="V100" i="1"/>
  <c r="W100" i="1"/>
  <c r="X100" i="1" s="1"/>
  <c r="V101" i="1"/>
  <c r="W101" i="1"/>
  <c r="V102" i="1"/>
  <c r="W102" i="1"/>
  <c r="X102" i="1" s="1"/>
  <c r="V103" i="1"/>
  <c r="W103" i="1"/>
  <c r="V104" i="1"/>
  <c r="W104" i="1"/>
  <c r="X104" i="1" s="1"/>
  <c r="V105" i="1"/>
  <c r="W105" i="1"/>
  <c r="V106" i="1"/>
  <c r="W106" i="1"/>
  <c r="X106" i="1" s="1"/>
  <c r="V107" i="1"/>
  <c r="W107" i="1"/>
  <c r="V108" i="1"/>
  <c r="W108" i="1"/>
  <c r="X108" i="1" s="1"/>
  <c r="V109" i="1"/>
  <c r="W109" i="1"/>
  <c r="V110" i="1"/>
  <c r="W110" i="1"/>
  <c r="X110" i="1" s="1"/>
  <c r="V111" i="1"/>
  <c r="W111" i="1"/>
  <c r="V112" i="1"/>
  <c r="W112" i="1"/>
  <c r="X112" i="1" s="1"/>
  <c r="V113" i="1"/>
  <c r="W113" i="1"/>
  <c r="V114" i="1"/>
  <c r="W114" i="1"/>
  <c r="X114" i="1" s="1"/>
  <c r="V115" i="1"/>
  <c r="W115" i="1"/>
  <c r="V116" i="1"/>
  <c r="W116" i="1"/>
  <c r="X116" i="1" s="1"/>
  <c r="V117" i="1"/>
  <c r="W117" i="1"/>
  <c r="V118" i="1"/>
  <c r="W118" i="1"/>
  <c r="X118" i="1" s="1"/>
  <c r="V119" i="1"/>
  <c r="W119" i="1"/>
  <c r="V120" i="1"/>
  <c r="W120" i="1"/>
  <c r="X120" i="1" s="1"/>
  <c r="V121" i="1"/>
  <c r="W121" i="1"/>
  <c r="V122" i="1"/>
  <c r="W122" i="1"/>
  <c r="X122" i="1" s="1"/>
  <c r="V123" i="1"/>
  <c r="W123" i="1"/>
  <c r="V124" i="1"/>
  <c r="W124" i="1"/>
  <c r="X124" i="1" s="1"/>
  <c r="V125" i="1"/>
  <c r="W125" i="1"/>
  <c r="V126" i="1"/>
  <c r="W126" i="1"/>
  <c r="X126" i="1" s="1"/>
  <c r="V127" i="1"/>
  <c r="W127" i="1"/>
  <c r="V128" i="1"/>
  <c r="W128" i="1"/>
  <c r="X128" i="1" s="1"/>
  <c r="V129" i="1"/>
  <c r="W129" i="1"/>
  <c r="V130" i="1"/>
  <c r="W130" i="1"/>
  <c r="X130" i="1" s="1"/>
  <c r="V131" i="1"/>
  <c r="W131" i="1"/>
  <c r="V132" i="1"/>
  <c r="W132" i="1"/>
  <c r="X132" i="1" s="1"/>
  <c r="V133" i="1"/>
  <c r="W133" i="1"/>
  <c r="V134" i="1"/>
  <c r="W134" i="1"/>
  <c r="X134" i="1" s="1"/>
  <c r="V135" i="1"/>
  <c r="W135" i="1"/>
  <c r="V136" i="1"/>
  <c r="W136" i="1"/>
  <c r="X136" i="1" s="1"/>
  <c r="V137" i="1"/>
  <c r="W137" i="1"/>
  <c r="V138" i="1"/>
  <c r="W138" i="1"/>
  <c r="X138" i="1" s="1"/>
  <c r="V139" i="1"/>
  <c r="W139" i="1"/>
  <c r="V140" i="1"/>
  <c r="W140" i="1"/>
  <c r="X140" i="1" s="1"/>
  <c r="V141" i="1"/>
  <c r="W141" i="1"/>
  <c r="V142" i="1"/>
  <c r="W142" i="1"/>
  <c r="X142" i="1" s="1"/>
  <c r="V143" i="1"/>
  <c r="W143" i="1"/>
  <c r="V144" i="1"/>
  <c r="W144" i="1"/>
  <c r="X144" i="1" s="1"/>
  <c r="V145" i="1"/>
  <c r="W145" i="1"/>
  <c r="V146" i="1"/>
  <c r="W146" i="1"/>
  <c r="X146" i="1" s="1"/>
  <c r="V147" i="1"/>
  <c r="W147" i="1"/>
  <c r="V148" i="1"/>
  <c r="W148" i="1"/>
  <c r="X148" i="1" s="1"/>
  <c r="V149" i="1"/>
  <c r="W149" i="1"/>
  <c r="V150" i="1"/>
  <c r="W150" i="1"/>
  <c r="X150" i="1" s="1"/>
  <c r="V151" i="1"/>
  <c r="W151" i="1"/>
  <c r="V152" i="1"/>
  <c r="W152" i="1"/>
  <c r="X152" i="1" s="1"/>
  <c r="V153" i="1"/>
  <c r="W153" i="1"/>
  <c r="V154" i="1"/>
  <c r="W154" i="1"/>
  <c r="X154" i="1" s="1"/>
  <c r="V155" i="1"/>
  <c r="W155" i="1"/>
  <c r="V156" i="1"/>
  <c r="W156" i="1"/>
  <c r="X156" i="1" s="1"/>
  <c r="V157" i="1"/>
  <c r="W157" i="1"/>
  <c r="V158" i="1"/>
  <c r="W158" i="1"/>
  <c r="X158" i="1" s="1"/>
  <c r="V159" i="1"/>
  <c r="W159" i="1"/>
  <c r="V160" i="1"/>
  <c r="W160" i="1"/>
  <c r="X160" i="1" s="1"/>
  <c r="V161" i="1"/>
  <c r="W161" i="1"/>
  <c r="V162" i="1"/>
  <c r="W162" i="1"/>
  <c r="X162" i="1" s="1"/>
  <c r="V163" i="1"/>
  <c r="W163" i="1"/>
  <c r="V164" i="1"/>
  <c r="W164" i="1"/>
  <c r="X164" i="1" s="1"/>
  <c r="V165" i="1"/>
  <c r="W165" i="1"/>
  <c r="V166" i="1"/>
  <c r="W166" i="1"/>
  <c r="X166" i="1" s="1"/>
  <c r="V167" i="1"/>
  <c r="W167" i="1"/>
  <c r="V168" i="1"/>
  <c r="W168" i="1"/>
  <c r="X168" i="1" s="1"/>
  <c r="V169" i="1"/>
  <c r="W169" i="1"/>
  <c r="V170" i="1"/>
  <c r="W170" i="1"/>
  <c r="X170" i="1" s="1"/>
  <c r="V171" i="1"/>
  <c r="W171" i="1"/>
  <c r="W172" i="1"/>
  <c r="X172" i="1" s="1"/>
  <c r="V173" i="1"/>
  <c r="W173" i="1"/>
  <c r="X173" i="1" s="1"/>
  <c r="V174" i="1"/>
  <c r="W174" i="1"/>
  <c r="Y174" i="1" s="1"/>
  <c r="V175" i="1"/>
  <c r="W175" i="1"/>
  <c r="Y175" i="1" s="1"/>
  <c r="V176" i="1"/>
  <c r="W176" i="1"/>
  <c r="Y176" i="1" s="1"/>
  <c r="V177" i="1"/>
  <c r="W177" i="1"/>
  <c r="X177" i="1" s="1"/>
  <c r="V178" i="1"/>
  <c r="W178" i="1"/>
  <c r="Y178" i="1" s="1"/>
  <c r="V179" i="1"/>
  <c r="W179" i="1"/>
  <c r="Y179" i="1" s="1"/>
  <c r="V180" i="1"/>
  <c r="W180" i="1"/>
  <c r="Y180" i="1" s="1"/>
  <c r="V181" i="1"/>
  <c r="W181" i="1"/>
  <c r="X181" i="1" s="1"/>
  <c r="V182" i="1"/>
  <c r="W182" i="1"/>
  <c r="Y182" i="1" s="1"/>
  <c r="V183" i="1"/>
  <c r="W183" i="1"/>
  <c r="Y183" i="1" s="1"/>
  <c r="V184" i="1"/>
  <c r="W184" i="1"/>
  <c r="Y184" i="1" s="1"/>
  <c r="V185" i="1"/>
  <c r="W185" i="1"/>
  <c r="X185" i="1" s="1"/>
  <c r="V186" i="1"/>
  <c r="W186" i="1"/>
  <c r="Y186" i="1" s="1"/>
  <c r="V187" i="1"/>
  <c r="W187" i="1"/>
  <c r="Y187" i="1" s="1"/>
  <c r="V188" i="1"/>
  <c r="W188" i="1"/>
  <c r="Y188" i="1" s="1"/>
  <c r="V189" i="1"/>
  <c r="W189" i="1"/>
  <c r="X189" i="1" s="1"/>
  <c r="V190" i="1"/>
  <c r="W190" i="1"/>
  <c r="Y190" i="1" s="1"/>
  <c r="V191" i="1"/>
  <c r="W191" i="1"/>
  <c r="Y191" i="1" s="1"/>
  <c r="V192" i="1"/>
  <c r="W192" i="1"/>
  <c r="Y192" i="1" s="1"/>
  <c r="V193" i="1"/>
  <c r="W193" i="1"/>
  <c r="X193" i="1" s="1"/>
  <c r="V194" i="1"/>
  <c r="W194" i="1"/>
  <c r="Y194" i="1" s="1"/>
  <c r="V195" i="1"/>
  <c r="W195" i="1"/>
  <c r="Y195" i="1" s="1"/>
  <c r="V196" i="1"/>
  <c r="W196" i="1"/>
  <c r="Y196" i="1" s="1"/>
  <c r="V197" i="1"/>
  <c r="W197" i="1"/>
  <c r="X197" i="1" s="1"/>
  <c r="V198" i="1"/>
  <c r="W198" i="1"/>
  <c r="Y198" i="1" s="1"/>
  <c r="V199" i="1"/>
  <c r="W199" i="1"/>
  <c r="Y199" i="1" s="1"/>
  <c r="V200" i="1"/>
  <c r="W200" i="1"/>
  <c r="Y200" i="1" s="1"/>
  <c r="V201" i="1"/>
  <c r="W201" i="1"/>
  <c r="X201" i="1" s="1"/>
  <c r="V202" i="1"/>
  <c r="W202" i="1"/>
  <c r="Y202" i="1" s="1"/>
  <c r="V203" i="1"/>
  <c r="W203" i="1"/>
  <c r="Y203" i="1" s="1"/>
  <c r="V204" i="1"/>
  <c r="W204" i="1"/>
  <c r="Y204" i="1" s="1"/>
  <c r="V205" i="1"/>
  <c r="W205" i="1"/>
  <c r="X205" i="1" s="1"/>
  <c r="V206" i="1"/>
  <c r="W206" i="1"/>
  <c r="Y206" i="1" s="1"/>
  <c r="V207" i="1"/>
  <c r="W207" i="1"/>
  <c r="X207" i="1" s="1"/>
  <c r="V208" i="1"/>
  <c r="W208" i="1"/>
  <c r="Y208" i="1" s="1"/>
  <c r="V209" i="1"/>
  <c r="W209" i="1"/>
  <c r="X209" i="1" s="1"/>
  <c r="V210" i="1"/>
  <c r="W210" i="1"/>
  <c r="Y210" i="1" s="1"/>
  <c r="V211" i="1"/>
  <c r="W211" i="1"/>
  <c r="Y211" i="1" s="1"/>
  <c r="V212" i="1"/>
  <c r="W212" i="1"/>
  <c r="Y212" i="1" s="1"/>
  <c r="V213" i="1"/>
  <c r="W213" i="1"/>
  <c r="Y213" i="1" s="1"/>
  <c r="V214" i="1"/>
  <c r="W214" i="1"/>
  <c r="Y214" i="1" s="1"/>
  <c r="V215" i="1"/>
  <c r="W215" i="1"/>
  <c r="Y215" i="1" s="1"/>
  <c r="V216" i="1"/>
  <c r="W216" i="1"/>
  <c r="Y216" i="1" s="1"/>
  <c r="V217" i="1"/>
  <c r="W217" i="1"/>
  <c r="Y217" i="1" s="1"/>
  <c r="V218" i="1"/>
  <c r="W218" i="1"/>
  <c r="Y218" i="1" s="1"/>
  <c r="V219" i="1"/>
  <c r="W219" i="1"/>
  <c r="Y219" i="1" s="1"/>
  <c r="V220" i="1"/>
  <c r="W220" i="1"/>
  <c r="Y220" i="1" s="1"/>
  <c r="V221" i="1"/>
  <c r="W221" i="1"/>
  <c r="Y221" i="1" s="1"/>
  <c r="V222" i="1"/>
  <c r="W222" i="1"/>
  <c r="Y222" i="1" s="1"/>
  <c r="V223" i="1"/>
  <c r="W223" i="1"/>
  <c r="Y223" i="1" s="1"/>
  <c r="V224" i="1"/>
  <c r="W224" i="1"/>
  <c r="Y224" i="1" s="1"/>
  <c r="V225" i="1"/>
  <c r="W225" i="1"/>
  <c r="Y225" i="1" s="1"/>
  <c r="V226" i="1"/>
  <c r="W226" i="1"/>
  <c r="Y226" i="1" s="1"/>
  <c r="V227" i="1"/>
  <c r="W227" i="1"/>
  <c r="Y227" i="1" s="1"/>
  <c r="V228" i="1"/>
  <c r="W228" i="1"/>
  <c r="Y228" i="1" s="1"/>
  <c r="V229" i="1"/>
  <c r="W229" i="1"/>
  <c r="Y229" i="1" s="1"/>
  <c r="V230" i="1"/>
  <c r="W230" i="1"/>
  <c r="Y230" i="1" s="1"/>
  <c r="V231" i="1"/>
  <c r="W231" i="1"/>
  <c r="Y231" i="1" s="1"/>
  <c r="V232" i="1"/>
  <c r="W232" i="1"/>
  <c r="Y232" i="1" s="1"/>
  <c r="V233" i="1"/>
  <c r="W233" i="1"/>
  <c r="Y233" i="1" s="1"/>
  <c r="V234" i="1"/>
  <c r="W234" i="1"/>
  <c r="Y234" i="1" s="1"/>
  <c r="V235" i="1"/>
  <c r="W235" i="1"/>
  <c r="Y235" i="1" s="1"/>
  <c r="V236" i="1"/>
  <c r="W236" i="1"/>
  <c r="Y236" i="1" s="1"/>
  <c r="V237" i="1"/>
  <c r="W237" i="1"/>
  <c r="Y237" i="1" s="1"/>
  <c r="V238" i="1"/>
  <c r="W238" i="1"/>
  <c r="Y238" i="1" s="1"/>
  <c r="V239" i="1"/>
  <c r="W239" i="1"/>
  <c r="Y239" i="1" s="1"/>
  <c r="V240" i="1"/>
  <c r="W240" i="1"/>
  <c r="Y240" i="1" s="1"/>
  <c r="V241" i="1"/>
  <c r="W241" i="1"/>
  <c r="Y241" i="1" s="1"/>
  <c r="V242" i="1"/>
  <c r="W242" i="1"/>
  <c r="Y242" i="1" s="1"/>
  <c r="V243" i="1"/>
  <c r="W243" i="1"/>
  <c r="Y243" i="1" s="1"/>
  <c r="V244" i="1"/>
  <c r="W244" i="1"/>
  <c r="Y244" i="1" s="1"/>
  <c r="D188" i="7" l="1"/>
  <c r="D252" i="7"/>
  <c r="D216" i="7"/>
  <c r="D184" i="7"/>
  <c r="X199" i="1"/>
  <c r="D210" i="7"/>
  <c r="D206" i="7"/>
  <c r="X225" i="1"/>
  <c r="D88" i="7"/>
  <c r="D44" i="7"/>
  <c r="D40" i="7"/>
  <c r="X211" i="1"/>
  <c r="D343" i="7"/>
  <c r="Y154" i="1"/>
  <c r="D329" i="7"/>
  <c r="X239" i="1"/>
  <c r="D353" i="7"/>
  <c r="D349" i="7"/>
  <c r="X215" i="1"/>
  <c r="D309" i="7"/>
  <c r="D305" i="7"/>
  <c r="D289" i="7"/>
  <c r="X203" i="1"/>
  <c r="D355" i="7"/>
  <c r="D296" i="7"/>
  <c r="D288" i="7"/>
  <c r="D280" i="7"/>
  <c r="D276" i="7"/>
  <c r="D272" i="7"/>
  <c r="D268" i="7"/>
  <c r="D260" i="7"/>
  <c r="D339" i="7"/>
  <c r="D335" i="7"/>
  <c r="D285" i="7"/>
  <c r="D269" i="7"/>
  <c r="D242" i="7"/>
  <c r="D230" i="7"/>
  <c r="X40" i="1"/>
  <c r="Y40" i="1"/>
  <c r="Y114" i="1"/>
  <c r="D323" i="7"/>
  <c r="D315" i="7"/>
  <c r="D241" i="7"/>
  <c r="D229" i="7"/>
  <c r="D341" i="7"/>
  <c r="D322" i="7"/>
  <c r="X213" i="1"/>
  <c r="X175" i="1"/>
  <c r="D340" i="7"/>
  <c r="D325" i="7"/>
  <c r="D133" i="7"/>
  <c r="Y94" i="1"/>
  <c r="D125" i="7"/>
  <c r="D121" i="7"/>
  <c r="D122" i="7"/>
  <c r="D120" i="7"/>
  <c r="D118" i="7"/>
  <c r="D101" i="7"/>
  <c r="D90" i="7"/>
  <c r="D91" i="7"/>
  <c r="D93" i="7"/>
  <c r="D89" i="7"/>
  <c r="Y50" i="1"/>
  <c r="D87" i="7"/>
  <c r="D86" i="7"/>
  <c r="D69" i="7"/>
  <c r="Y30" i="1"/>
  <c r="D345" i="7"/>
  <c r="D327" i="7"/>
  <c r="D324" i="7"/>
  <c r="D320" i="7"/>
  <c r="D316" i="7"/>
  <c r="D248" i="7"/>
  <c r="D244" i="7"/>
  <c r="D236" i="7"/>
  <c r="D141" i="7"/>
  <c r="D137" i="7"/>
  <c r="D106" i="7"/>
  <c r="D102" i="7"/>
  <c r="D75" i="7"/>
  <c r="D71" i="7"/>
  <c r="Y207" i="1"/>
  <c r="X231" i="1"/>
  <c r="X200" i="1"/>
  <c r="Y62" i="1"/>
  <c r="D352" i="7"/>
  <c r="D348" i="7"/>
  <c r="D338" i="7"/>
  <c r="D312" i="7"/>
  <c r="D308" i="7"/>
  <c r="D294" i="7"/>
  <c r="D283" i="7"/>
  <c r="D220" i="7"/>
  <c r="D136" i="7"/>
  <c r="D109" i="7"/>
  <c r="D105" i="7"/>
  <c r="D74" i="7"/>
  <c r="D70" i="7"/>
  <c r="X241" i="1"/>
  <c r="X227" i="1"/>
  <c r="Y162" i="1"/>
  <c r="Y38" i="1"/>
  <c r="Y22" i="1"/>
  <c r="D351" i="7"/>
  <c r="D337" i="7"/>
  <c r="D333" i="7"/>
  <c r="D270" i="7"/>
  <c r="D262" i="7"/>
  <c r="D139" i="7"/>
  <c r="D135" i="7"/>
  <c r="D104" i="7"/>
  <c r="D77" i="7"/>
  <c r="D73" i="7"/>
  <c r="X191" i="1"/>
  <c r="X176" i="1"/>
  <c r="Y138" i="1"/>
  <c r="D354" i="7"/>
  <c r="D336" i="7"/>
  <c r="D332" i="7"/>
  <c r="D310" i="7"/>
  <c r="D281" i="7"/>
  <c r="D273" i="7"/>
  <c r="X243" i="1"/>
  <c r="X229" i="1"/>
  <c r="X183" i="1"/>
  <c r="Y130" i="1"/>
  <c r="Y4" i="1"/>
  <c r="D138" i="7"/>
  <c r="D134" i="7"/>
  <c r="D107" i="7"/>
  <c r="D103" i="7"/>
  <c r="D72" i="7"/>
  <c r="D347" i="7"/>
  <c r="D344" i="7"/>
  <c r="D331" i="7"/>
  <c r="D328" i="7"/>
  <c r="D318" i="7"/>
  <c r="D307" i="7"/>
  <c r="D304" i="7"/>
  <c r="D297" i="7"/>
  <c r="D254" i="7"/>
  <c r="D232" i="7"/>
  <c r="D228" i="7"/>
  <c r="D217" i="7"/>
  <c r="D186" i="7"/>
  <c r="D170" i="7"/>
  <c r="D142" i="7"/>
  <c r="D131" i="7"/>
  <c r="D127" i="7"/>
  <c r="D112" i="7"/>
  <c r="D97" i="7"/>
  <c r="D82" i="7"/>
  <c r="D78" i="7"/>
  <c r="D67" i="7"/>
  <c r="D63" i="7"/>
  <c r="X237" i="1"/>
  <c r="X221" i="1"/>
  <c r="X208" i="1"/>
  <c r="X196" i="1"/>
  <c r="X187" i="1"/>
  <c r="X184" i="1"/>
  <c r="Y122" i="1"/>
  <c r="Y42" i="1"/>
  <c r="D350" i="7"/>
  <c r="D334" i="7"/>
  <c r="D321" i="7"/>
  <c r="D317" i="7"/>
  <c r="D300" i="7"/>
  <c r="D293" i="7"/>
  <c r="D286" i="7"/>
  <c r="D275" i="7"/>
  <c r="D261" i="7"/>
  <c r="D209" i="7"/>
  <c r="D173" i="7"/>
  <c r="D153" i="7"/>
  <c r="D149" i="7"/>
  <c r="D145" i="7"/>
  <c r="D130" i="7"/>
  <c r="D126" i="7"/>
  <c r="D115" i="7"/>
  <c r="D111" i="7"/>
  <c r="D96" i="7"/>
  <c r="D81" i="7"/>
  <c r="D66" i="7"/>
  <c r="D62" i="7"/>
  <c r="X233" i="1"/>
  <c r="X217" i="1"/>
  <c r="X192" i="1"/>
  <c r="X180" i="1"/>
  <c r="Y170" i="1"/>
  <c r="Y106" i="1"/>
  <c r="Y34" i="1"/>
  <c r="Y16" i="1"/>
  <c r="D346" i="7"/>
  <c r="D330" i="7"/>
  <c r="D313" i="7"/>
  <c r="D299" i="7"/>
  <c r="D292" i="7"/>
  <c r="D278" i="7"/>
  <c r="D264" i="7"/>
  <c r="D249" i="7"/>
  <c r="D212" i="7"/>
  <c r="D208" i="7"/>
  <c r="X223" i="1"/>
  <c r="X204" i="1"/>
  <c r="Y201" i="1"/>
  <c r="X195" i="1"/>
  <c r="D172" i="7"/>
  <c r="D168" i="7"/>
  <c r="D156" i="7"/>
  <c r="D152" i="7"/>
  <c r="D148" i="7"/>
  <c r="D144" i="7"/>
  <c r="D129" i="7"/>
  <c r="D114" i="7"/>
  <c r="D110" i="7"/>
  <c r="D99" i="7"/>
  <c r="D95" i="7"/>
  <c r="D80" i="7"/>
  <c r="D65" i="7"/>
  <c r="Y82" i="1"/>
  <c r="Y26" i="1"/>
  <c r="D342" i="7"/>
  <c r="D326" i="7"/>
  <c r="D302" i="7"/>
  <c r="D291" i="7"/>
  <c r="D284" i="7"/>
  <c r="D277" i="7"/>
  <c r="D222" i="7"/>
  <c r="D207" i="7"/>
  <c r="D199" i="7"/>
  <c r="X235" i="1"/>
  <c r="X219" i="1"/>
  <c r="X188" i="1"/>
  <c r="Y185" i="1"/>
  <c r="X179" i="1"/>
  <c r="Y146" i="1"/>
  <c r="Y74" i="1"/>
  <c r="D301" i="7"/>
  <c r="D167" i="7"/>
  <c r="D155" i="7"/>
  <c r="D151" i="7"/>
  <c r="D147" i="7"/>
  <c r="D143" i="7"/>
  <c r="D128" i="7"/>
  <c r="D113" i="7"/>
  <c r="D98" i="7"/>
  <c r="D94" i="7"/>
  <c r="D83" i="7"/>
  <c r="D79" i="7"/>
  <c r="D64" i="7"/>
  <c r="X242" i="1"/>
  <c r="X234" i="1"/>
  <c r="X226" i="1"/>
  <c r="X218" i="1"/>
  <c r="X210" i="1"/>
  <c r="X194" i="1"/>
  <c r="X178" i="1"/>
  <c r="Y142" i="1"/>
  <c r="Y110" i="1"/>
  <c r="Y66" i="1"/>
  <c r="Y28" i="1"/>
  <c r="Y20" i="1"/>
  <c r="D311" i="7"/>
  <c r="D279" i="7"/>
  <c r="D257" i="7"/>
  <c r="D233" i="7"/>
  <c r="D226" i="7"/>
  <c r="D197" i="7"/>
  <c r="D193" i="7"/>
  <c r="D182" i="7"/>
  <c r="D174" i="7"/>
  <c r="D163" i="7"/>
  <c r="D159" i="7"/>
  <c r="D132" i="7"/>
  <c r="D100" i="7"/>
  <c r="D68" i="7"/>
  <c r="D59" i="7"/>
  <c r="D55" i="7"/>
  <c r="Y173" i="1"/>
  <c r="Y205" i="1"/>
  <c r="Y189" i="1"/>
  <c r="X244" i="1"/>
  <c r="X236" i="1"/>
  <c r="X228" i="1"/>
  <c r="X220" i="1"/>
  <c r="X212" i="1"/>
  <c r="X198" i="1"/>
  <c r="X182" i="1"/>
  <c r="Y166" i="1"/>
  <c r="Y134" i="1"/>
  <c r="Y98" i="1"/>
  <c r="Y58" i="1"/>
  <c r="Y24" i="1"/>
  <c r="D319" i="7"/>
  <c r="D287" i="7"/>
  <c r="D246" i="7"/>
  <c r="D225" i="7"/>
  <c r="D204" i="7"/>
  <c r="D200" i="7"/>
  <c r="D196" i="7"/>
  <c r="D192" i="7"/>
  <c r="D181" i="7"/>
  <c r="D177" i="7"/>
  <c r="D166" i="7"/>
  <c r="D158" i="7"/>
  <c r="D108" i="7"/>
  <c r="D76" i="7"/>
  <c r="D58" i="7"/>
  <c r="D54" i="7"/>
  <c r="Y209" i="1"/>
  <c r="Y193" i="1"/>
  <c r="Y177" i="1"/>
  <c r="X238" i="1"/>
  <c r="X230" i="1"/>
  <c r="X222" i="1"/>
  <c r="X214" i="1"/>
  <c r="X202" i="1"/>
  <c r="X186" i="1"/>
  <c r="Y158" i="1"/>
  <c r="Y126" i="1"/>
  <c r="Y90" i="1"/>
  <c r="Y46" i="1"/>
  <c r="Y36" i="1"/>
  <c r="D295" i="7"/>
  <c r="D245" i="7"/>
  <c r="D238" i="7"/>
  <c r="D214" i="7"/>
  <c r="D203" i="7"/>
  <c r="D195" i="7"/>
  <c r="D191" i="7"/>
  <c r="D180" i="7"/>
  <c r="D176" i="7"/>
  <c r="D165" i="7"/>
  <c r="D161" i="7"/>
  <c r="D150" i="7"/>
  <c r="D116" i="7"/>
  <c r="D84" i="7"/>
  <c r="D57" i="7"/>
  <c r="Y197" i="1"/>
  <c r="Y181" i="1"/>
  <c r="X240" i="1"/>
  <c r="X232" i="1"/>
  <c r="X224" i="1"/>
  <c r="X216" i="1"/>
  <c r="X206" i="1"/>
  <c r="X190" i="1"/>
  <c r="X174" i="1"/>
  <c r="Y150" i="1"/>
  <c r="Y118" i="1"/>
  <c r="Y78" i="1"/>
  <c r="Y32" i="1"/>
  <c r="Y8" i="1"/>
  <c r="D303" i="7"/>
  <c r="D271" i="7"/>
  <c r="D265" i="7"/>
  <c r="D258" i="7"/>
  <c r="D213" i="7"/>
  <c r="D202" i="7"/>
  <c r="D198" i="7"/>
  <c r="D190" i="7"/>
  <c r="D179" i="7"/>
  <c r="D175" i="7"/>
  <c r="D164" i="7"/>
  <c r="D160" i="7"/>
  <c r="D124" i="7"/>
  <c r="D92" i="7"/>
  <c r="D51" i="7"/>
  <c r="D47" i="7"/>
  <c r="D46" i="7"/>
  <c r="D49" i="7"/>
  <c r="Y6" i="1"/>
  <c r="D48" i="7"/>
  <c r="D56" i="7"/>
  <c r="D53" i="7"/>
  <c r="D50" i="7"/>
  <c r="D42" i="7"/>
  <c r="Y10" i="1"/>
  <c r="Y14" i="1"/>
  <c r="D52" i="7"/>
  <c r="Y18" i="1"/>
  <c r="D60" i="7"/>
  <c r="Y12" i="1"/>
  <c r="D314" i="7"/>
  <c r="D306" i="7"/>
  <c r="D298" i="7"/>
  <c r="D290" i="7"/>
  <c r="D282" i="7"/>
  <c r="D274" i="7"/>
  <c r="D256" i="7"/>
  <c r="D253" i="7"/>
  <c r="D240" i="7"/>
  <c r="D237" i="7"/>
  <c r="D224" i="7"/>
  <c r="D221" i="7"/>
  <c r="D201" i="7"/>
  <c r="D194" i="7"/>
  <c r="D187" i="7"/>
  <c r="D169" i="7"/>
  <c r="D162" i="7"/>
  <c r="D259" i="7"/>
  <c r="D243" i="7"/>
  <c r="D227" i="7"/>
  <c r="D211" i="7"/>
  <c r="D255" i="7"/>
  <c r="D239" i="7"/>
  <c r="D223" i="7"/>
  <c r="D189" i="7"/>
  <c r="D157" i="7"/>
  <c r="D185" i="7"/>
  <c r="D178" i="7"/>
  <c r="D171" i="7"/>
  <c r="D267" i="7"/>
  <c r="D251" i="7"/>
  <c r="D235" i="7"/>
  <c r="D219" i="7"/>
  <c r="D266" i="7"/>
  <c r="D263" i="7"/>
  <c r="D250" i="7"/>
  <c r="D247" i="7"/>
  <c r="D234" i="7"/>
  <c r="D231" i="7"/>
  <c r="D218" i="7"/>
  <c r="D215" i="7"/>
  <c r="D205" i="7"/>
  <c r="D154" i="7"/>
  <c r="D146" i="7"/>
  <c r="D140" i="7"/>
  <c r="X159" i="1"/>
  <c r="Y159" i="1"/>
  <c r="Y168" i="1"/>
  <c r="X165" i="1"/>
  <c r="Y165" i="1"/>
  <c r="Y152" i="1"/>
  <c r="X149" i="1"/>
  <c r="Y149" i="1"/>
  <c r="Y136" i="1"/>
  <c r="X133" i="1"/>
  <c r="Y133" i="1"/>
  <c r="Y120" i="1"/>
  <c r="X117" i="1"/>
  <c r="Y117" i="1"/>
  <c r="Y104" i="1"/>
  <c r="X101" i="1"/>
  <c r="Y101" i="1"/>
  <c r="Y88" i="1"/>
  <c r="X85" i="1"/>
  <c r="Y85" i="1"/>
  <c r="Y72" i="1"/>
  <c r="X69" i="1"/>
  <c r="Y69" i="1"/>
  <c r="Y56" i="1"/>
  <c r="X53" i="1"/>
  <c r="Y53" i="1"/>
  <c r="X47" i="1"/>
  <c r="Y47" i="1"/>
  <c r="X171" i="1"/>
  <c r="Y171" i="1"/>
  <c r="X155" i="1"/>
  <c r="Y155" i="1"/>
  <c r="X139" i="1"/>
  <c r="Y139" i="1"/>
  <c r="X123" i="1"/>
  <c r="Y123" i="1"/>
  <c r="X107" i="1"/>
  <c r="Y107" i="1"/>
  <c r="X91" i="1"/>
  <c r="Y91" i="1"/>
  <c r="X75" i="1"/>
  <c r="Y75" i="1"/>
  <c r="X59" i="1"/>
  <c r="Y59" i="1"/>
  <c r="X43" i="1"/>
  <c r="Y43" i="1"/>
  <c r="X127" i="1"/>
  <c r="Y127" i="1"/>
  <c r="X95" i="1"/>
  <c r="Y95" i="1"/>
  <c r="Y164" i="1"/>
  <c r="X161" i="1"/>
  <c r="Y161" i="1"/>
  <c r="Y148" i="1"/>
  <c r="X145" i="1"/>
  <c r="Y145" i="1"/>
  <c r="Y132" i="1"/>
  <c r="X129" i="1"/>
  <c r="Y129" i="1"/>
  <c r="Y116" i="1"/>
  <c r="X113" i="1"/>
  <c r="Y113" i="1"/>
  <c r="Y100" i="1"/>
  <c r="X97" i="1"/>
  <c r="Y97" i="1"/>
  <c r="Y84" i="1"/>
  <c r="X81" i="1"/>
  <c r="Y81" i="1"/>
  <c r="Y68" i="1"/>
  <c r="X65" i="1"/>
  <c r="Y65" i="1"/>
  <c r="Y52" i="1"/>
  <c r="X49" i="1"/>
  <c r="Y49" i="1"/>
  <c r="X143" i="1"/>
  <c r="Y143" i="1"/>
  <c r="X111" i="1"/>
  <c r="Y111" i="1"/>
  <c r="X79" i="1"/>
  <c r="Y79" i="1"/>
  <c r="X167" i="1"/>
  <c r="Y167" i="1"/>
  <c r="X151" i="1"/>
  <c r="Y151" i="1"/>
  <c r="X135" i="1"/>
  <c r="Y135" i="1"/>
  <c r="X119" i="1"/>
  <c r="Y119" i="1"/>
  <c r="X103" i="1"/>
  <c r="Y103" i="1"/>
  <c r="X87" i="1"/>
  <c r="Y87" i="1"/>
  <c r="X71" i="1"/>
  <c r="Y71" i="1"/>
  <c r="X55" i="1"/>
  <c r="Y55" i="1"/>
  <c r="X63" i="1"/>
  <c r="Y63" i="1"/>
  <c r="Y160" i="1"/>
  <c r="X157" i="1"/>
  <c r="Y157" i="1"/>
  <c r="Y144" i="1"/>
  <c r="X141" i="1"/>
  <c r="Y141" i="1"/>
  <c r="Y128" i="1"/>
  <c r="X125" i="1"/>
  <c r="Y125" i="1"/>
  <c r="Y112" i="1"/>
  <c r="X109" i="1"/>
  <c r="Y109" i="1"/>
  <c r="Y96" i="1"/>
  <c r="X93" i="1"/>
  <c r="Y93" i="1"/>
  <c r="Y80" i="1"/>
  <c r="X77" i="1"/>
  <c r="Y77" i="1"/>
  <c r="Y64" i="1"/>
  <c r="X61" i="1"/>
  <c r="Y61" i="1"/>
  <c r="Y48" i="1"/>
  <c r="X45" i="1"/>
  <c r="Y45" i="1"/>
  <c r="X163" i="1"/>
  <c r="Y163" i="1"/>
  <c r="X131" i="1"/>
  <c r="Y131" i="1"/>
  <c r="X115" i="1"/>
  <c r="Y115" i="1"/>
  <c r="Y102" i="1"/>
  <c r="X99" i="1"/>
  <c r="Y99" i="1"/>
  <c r="Y86" i="1"/>
  <c r="X83" i="1"/>
  <c r="Y83" i="1"/>
  <c r="Y70" i="1"/>
  <c r="X67" i="1"/>
  <c r="Y67" i="1"/>
  <c r="Y54" i="1"/>
  <c r="X51" i="1"/>
  <c r="Y51" i="1"/>
  <c r="X147" i="1"/>
  <c r="Y147" i="1"/>
  <c r="Y172" i="1"/>
  <c r="X169" i="1"/>
  <c r="Y169" i="1"/>
  <c r="Y156" i="1"/>
  <c r="X153" i="1"/>
  <c r="Y153" i="1"/>
  <c r="Y140" i="1"/>
  <c r="X137" i="1"/>
  <c r="Y137" i="1"/>
  <c r="Y124" i="1"/>
  <c r="X121" i="1"/>
  <c r="Y121" i="1"/>
  <c r="Y108" i="1"/>
  <c r="X105" i="1"/>
  <c r="Y105" i="1"/>
  <c r="Y92" i="1"/>
  <c r="X89" i="1"/>
  <c r="Y89" i="1"/>
  <c r="Y76" i="1"/>
  <c r="X73" i="1"/>
  <c r="Y73" i="1"/>
  <c r="Y60" i="1"/>
  <c r="X57" i="1"/>
  <c r="Y57" i="1"/>
  <c r="Y44" i="1"/>
  <c r="Y41" i="1"/>
  <c r="Y39" i="1"/>
  <c r="Y37" i="1"/>
  <c r="Y35" i="1"/>
  <c r="Y33" i="1"/>
  <c r="Y31" i="1"/>
  <c r="Y29" i="1"/>
  <c r="Y27" i="1"/>
  <c r="Y25" i="1"/>
  <c r="Y23" i="1"/>
  <c r="Y21" i="1"/>
  <c r="Y19" i="1"/>
  <c r="Y17" i="1"/>
  <c r="Y15" i="1"/>
  <c r="Y13" i="1"/>
  <c r="Y11" i="1"/>
  <c r="Y9" i="1"/>
  <c r="Y7" i="1"/>
  <c r="Y5" i="1"/>
  <c r="Y3" i="1"/>
  <c r="E115" i="7" a="1"/>
  <c r="E114" i="7" a="1"/>
  <c r="E115" i="7" l="1"/>
  <c r="E114" i="7"/>
  <c r="W2" i="1"/>
  <c r="Y2" i="1" s="1"/>
  <c r="C39" i="7"/>
  <c r="A39" i="7" l="1"/>
  <c r="B39" i="7" s="1"/>
  <c r="X2" i="1" l="1"/>
  <c r="D39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<sst xmlns="http://schemas.openxmlformats.org/spreadsheetml/2006/main" count="2538" uniqueCount="548">
  <si>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</si>
  <si>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</si>
  <si>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</si>
  <si>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</si>
  <si>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</si>
  <si>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</si>
  <si>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</si>
  <si>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</si>
  <si>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</si>
  <si>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</si>
  <si>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</si>
  <si>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</si>
  <si>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</si>
  <si>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</si>
  <si>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</si>
  <si>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</si>
  <si>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</si>
  <si>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</si>
  <si>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</si>
  <si>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</si>
  <si>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</si>
  <si>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</si>
  <si>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</si>
  <si>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</si>
  <si>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</si>
  <si>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</si>
  <si>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</si>
  <si>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</si>
  <si>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</si>
  <si>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</si>
  <si>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</si>
  <si>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</si>
  <si>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</si>
  <si>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</si>
  <si>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</si>
  <si>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</si>
  <si>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</si>
  <si>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</si>
  <si>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</si>
  <si>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</si>
  <si>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</si>
  <si>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</si>
  <si>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</si>
  <si>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>PROGRAMADO AMPLIADO DE INMUNIZACION (PAI - COVID 19)</t>
  </si>
  <si>
    <t>AIEPI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</si>
  <si>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</si>
  <si>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</si>
  <si>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</si>
  <si>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</si>
  <si>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</si>
  <si>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</si>
  <si>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</si>
  <si>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</si>
  <si>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</si>
  <si>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</si>
  <si>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</si>
  <si>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</si>
  <si>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</si>
  <si>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</si>
  <si>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</si>
  <si>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</si>
  <si>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</si>
  <si>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</si>
  <si>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</si>
  <si>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</si>
  <si>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</si>
  <si>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</si>
  <si>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</si>
  <si>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</si>
  <si>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</si>
  <si>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</si>
  <si>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</si>
  <si>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</si>
  <si>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</si>
  <si>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</si>
  <si>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</si>
  <si>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>ATENCION A PERSONAS CON DISCAPACIDAD</t>
  </si>
  <si>
    <t>DISCAPACIDAD</t>
  </si>
  <si>
    <t>ADULTO MAYOR</t>
  </si>
  <si>
    <t>CUIDADO INTEGRAL DEL PACIENTE ADULTO</t>
  </si>
  <si>
    <t>MANEJO DEFENSIVO</t>
  </si>
  <si>
    <t>ACLSN</t>
  </si>
  <si>
    <t>SOPORTE CARDIOVASCULAR AVANZADO NEONATAL</t>
  </si>
  <si>
    <t>SOPORTE CARDIOVASCULAR AVANZADO (ACLS)</t>
  </si>
  <si>
    <t>TOMA DE MUESTRAS Y LABORATORIO POCT</t>
  </si>
  <si>
    <t>IMPLANTE SUBDERMICO DE DISPOSITIVO INTRAUTERINO</t>
  </si>
  <si>
    <t>SEGURIDAD DEL PACIENTE</t>
  </si>
  <si>
    <t>PACIENTE</t>
  </si>
  <si>
    <t>MODALIDAD</t>
  </si>
  <si>
    <t>TOMA DE MUESTRAS Y LABORATORIO CLINICO</t>
  </si>
  <si>
    <t>RESIDUOS</t>
  </si>
  <si>
    <t>MANEJO DE RESIDUOS HOSPITALARIOS</t>
  </si>
  <si>
    <t>https://centrodecapacitaciondelsur.com/manejo-de-residuos-hospitalarios-</t>
  </si>
  <si>
    <t xml:space="preserve">ATENCIÓN A VÍCTIMAS DE ATAQUE CON AGENTES QUIMICOS </t>
  </si>
  <si>
    <t xml:space="preserve">HUMANIZACIÓN EN EL SERVICIO DE LA SALUD Y BUENAS PRACTICAS EN PACIENTE </t>
  </si>
  <si>
    <t xml:space="preserve">ATENCIÓN A VÍCTIMAS DE VIOLENCIA SEXUAL </t>
  </si>
  <si>
    <t>ATENCIÓN INTEGRAL EN ENFERMEDADES PREVALENTES EN PRIMERA INFANCIA (AIEPI)</t>
  </si>
  <si>
    <t xml:space="preserve">ADMINISTRACIÓN DE MEDICAMENTOS, INYECTOLOGIA  Y CANALIZACION </t>
  </si>
  <si>
    <t>ATENCIÓN A VICTIMAS POR VIOLENCIA DE GENERO</t>
  </si>
  <si>
    <t>Trejo</t>
  </si>
  <si>
    <t>Yama</t>
  </si>
  <si>
    <t>Amanda</t>
  </si>
  <si>
    <t>Sofia</t>
  </si>
  <si>
    <t>316 6231937</t>
  </si>
  <si>
    <t>laboratorioclinico@hci.gov.co</t>
  </si>
  <si>
    <t>BACTERIOLOGA</t>
  </si>
  <si>
    <t>317 6046771</t>
  </si>
  <si>
    <t>316 3425140</t>
  </si>
  <si>
    <t>316 8650779</t>
  </si>
  <si>
    <t>310 3538147</t>
  </si>
  <si>
    <t>300 4346488</t>
  </si>
  <si>
    <t>314 7638413</t>
  </si>
  <si>
    <t>316 2854974</t>
  </si>
  <si>
    <t>315 6723005</t>
  </si>
  <si>
    <t>301 4026181</t>
  </si>
  <si>
    <t>318 4702290</t>
  </si>
  <si>
    <t>316 2951747</t>
  </si>
  <si>
    <t>311 3815263</t>
  </si>
  <si>
    <t>317 6795960</t>
  </si>
  <si>
    <t>316 0410882</t>
  </si>
  <si>
    <t>315 2854626</t>
  </si>
  <si>
    <t>318 3417419</t>
  </si>
  <si>
    <t>315 6662694</t>
  </si>
  <si>
    <t>320 7010723</t>
  </si>
  <si>
    <t>315 3874812</t>
  </si>
  <si>
    <t>314 6153400</t>
  </si>
  <si>
    <t>FUENTE</t>
  </si>
  <si>
    <t>Abril</t>
  </si>
  <si>
    <t>CAPACITACION</t>
  </si>
  <si>
    <t>HOSPITAL IPIALES</t>
  </si>
  <si>
    <t>IPIALES</t>
  </si>
  <si>
    <t>CAMILO</t>
  </si>
  <si>
    <t>Benavides</t>
  </si>
  <si>
    <t>Aldaz</t>
  </si>
  <si>
    <t>Ana</t>
  </si>
  <si>
    <t>Cristina</t>
  </si>
  <si>
    <t>Tenganan</t>
  </si>
  <si>
    <t>Guerra</t>
  </si>
  <si>
    <t>Florez</t>
  </si>
  <si>
    <t>Lidia</t>
  </si>
  <si>
    <t>Ceballos</t>
  </si>
  <si>
    <t>Pantoja</t>
  </si>
  <si>
    <t>Angela</t>
  </si>
  <si>
    <t>Ines</t>
  </si>
  <si>
    <t>Murillo</t>
  </si>
  <si>
    <t>Patiño</t>
  </si>
  <si>
    <t>Diana</t>
  </si>
  <si>
    <t>Elizabeth</t>
  </si>
  <si>
    <t>Ibarra</t>
  </si>
  <si>
    <t>Tobar</t>
  </si>
  <si>
    <t>Maria</t>
  </si>
  <si>
    <t>Chinguad</t>
  </si>
  <si>
    <t>Irua</t>
  </si>
  <si>
    <t>Elvia</t>
  </si>
  <si>
    <t>Mercedes</t>
  </si>
  <si>
    <t>Parra</t>
  </si>
  <si>
    <t>Ortega</t>
  </si>
  <si>
    <t>Greis</t>
  </si>
  <si>
    <t>Estefani</t>
  </si>
  <si>
    <t>Erazo</t>
  </si>
  <si>
    <t>Idalba</t>
  </si>
  <si>
    <t>Andrea</t>
  </si>
  <si>
    <t>Bernal</t>
  </si>
  <si>
    <t>Johana</t>
  </si>
  <si>
    <t>Getial</t>
  </si>
  <si>
    <t>Rodas</t>
  </si>
  <si>
    <t>Luis</t>
  </si>
  <si>
    <t>Carlos</t>
  </si>
  <si>
    <t>Atis</t>
  </si>
  <si>
    <t>Mallama</t>
  </si>
  <si>
    <t>Maria Ines</t>
  </si>
  <si>
    <t>Del carmen</t>
  </si>
  <si>
    <t>Pabon</t>
  </si>
  <si>
    <t>Vasquez</t>
  </si>
  <si>
    <t>Carmela</t>
  </si>
  <si>
    <t>Maura</t>
  </si>
  <si>
    <t>Miranda</t>
  </si>
  <si>
    <t>Recalde</t>
  </si>
  <si>
    <t>Mery</t>
  </si>
  <si>
    <t>Patricia</t>
  </si>
  <si>
    <t>Figueroa</t>
  </si>
  <si>
    <t>Ceron</t>
  </si>
  <si>
    <t>Paola</t>
  </si>
  <si>
    <t>Ramirez</t>
  </si>
  <si>
    <t>Pinchao</t>
  </si>
  <si>
    <t>Ricardo</t>
  </si>
  <si>
    <t>Andres</t>
  </si>
  <si>
    <t>Portilla</t>
  </si>
  <si>
    <t>Astur</t>
  </si>
  <si>
    <t>Rodrigo</t>
  </si>
  <si>
    <t>Yamid</t>
  </si>
  <si>
    <t>Tello</t>
  </si>
  <si>
    <t>Sindy</t>
  </si>
  <si>
    <t>Yolud</t>
  </si>
  <si>
    <t>Chacon</t>
  </si>
  <si>
    <t>Yasmin</t>
  </si>
  <si>
    <t>Angelica</t>
  </si>
  <si>
    <t>Chaves</t>
  </si>
  <si>
    <t>Hernandez</t>
  </si>
  <si>
    <t>Yessica</t>
  </si>
  <si>
    <t>Fernanda</t>
  </si>
  <si>
    <t>Solarte</t>
  </si>
  <si>
    <t>Rosales</t>
  </si>
  <si>
    <t>Yolanda</t>
  </si>
  <si>
    <t>Ximena</t>
  </si>
  <si>
    <t>Cabezas</t>
  </si>
  <si>
    <t>Obando</t>
  </si>
  <si>
    <t>Eugenia</t>
  </si>
  <si>
    <t>F</t>
  </si>
  <si>
    <t>M</t>
  </si>
  <si>
    <t>Ruiz</t>
  </si>
  <si>
    <t>Monica</t>
  </si>
  <si>
    <t>Alexandra</t>
  </si>
  <si>
    <t>INSTRUMENTADORA</t>
  </si>
  <si>
    <t xml:space="preserve">moalexandra06@gmail.com </t>
  </si>
  <si>
    <t>Angulo</t>
  </si>
  <si>
    <t>Rosero</t>
  </si>
  <si>
    <t>Marisol</t>
  </si>
  <si>
    <t>Del Rosario</t>
  </si>
  <si>
    <t>mariasol0610@gmail.com</t>
  </si>
  <si>
    <t>NEQUI</t>
  </si>
  <si>
    <t>CAJA</t>
  </si>
  <si>
    <t>Burgos</t>
  </si>
  <si>
    <t>Ruano</t>
  </si>
  <si>
    <t>Yurany</t>
  </si>
  <si>
    <t>Alejandra</t>
  </si>
  <si>
    <t>RENOVACION</t>
  </si>
  <si>
    <t>SAN PEDRO</t>
  </si>
  <si>
    <t>alejitaburgosdp@gmail.com</t>
  </si>
  <si>
    <t>Narvaez</t>
  </si>
  <si>
    <t>Elisabeth</t>
  </si>
  <si>
    <t>Yamile</t>
  </si>
  <si>
    <t>COLABORADOR</t>
  </si>
  <si>
    <t>YURANI</t>
  </si>
  <si>
    <t>elizabethhpantoja@gmail.com</t>
  </si>
  <si>
    <t>Marzo</t>
  </si>
  <si>
    <t>Cabrera</t>
  </si>
  <si>
    <t>Ortiz</t>
  </si>
  <si>
    <t>John</t>
  </si>
  <si>
    <t>Henry</t>
  </si>
  <si>
    <t>PALERMO IMAGEN</t>
  </si>
  <si>
    <t>David</t>
  </si>
  <si>
    <t>Alejandro</t>
  </si>
  <si>
    <t>Marquez</t>
  </si>
  <si>
    <t>Aurelio</t>
  </si>
  <si>
    <t>Montero</t>
  </si>
  <si>
    <t>Castro</t>
  </si>
  <si>
    <t>Bastidas</t>
  </si>
  <si>
    <t>Daniela</t>
  </si>
  <si>
    <t>Natalia</t>
  </si>
  <si>
    <t>FRANCISCO</t>
  </si>
  <si>
    <t xml:space="preserve">Danielacastrobastidas26@gmail.com </t>
  </si>
  <si>
    <t>Yela</t>
  </si>
  <si>
    <t>Estefany</t>
  </si>
  <si>
    <t>Stefhaconde@hotmail.com</t>
  </si>
  <si>
    <t>Bucheli</t>
  </si>
  <si>
    <t>Luna</t>
  </si>
  <si>
    <t>CCS</t>
  </si>
  <si>
    <t>ENFERMERA</t>
  </si>
  <si>
    <t xml:space="preserve">angelicamariabucheli@gmail.com </t>
  </si>
  <si>
    <t>Santacruz</t>
  </si>
  <si>
    <t>Tania</t>
  </si>
  <si>
    <t>Carolina</t>
  </si>
  <si>
    <t>WHATSAPP</t>
  </si>
  <si>
    <t>MEDIC@</t>
  </si>
  <si>
    <t>taniacarolina2014@outlook.es</t>
  </si>
  <si>
    <t>DAVIPLATA</t>
  </si>
  <si>
    <t>BANCOLOMBIA</t>
  </si>
  <si>
    <t>Popayan</t>
  </si>
  <si>
    <t>Cordoba</t>
  </si>
  <si>
    <t>Jose</t>
  </si>
  <si>
    <t>Luban</t>
  </si>
  <si>
    <t>joseluban1985@gmail.com</t>
  </si>
  <si>
    <t>Timaran</t>
  </si>
  <si>
    <t>Torres</t>
  </si>
  <si>
    <t>Alex</t>
  </si>
  <si>
    <t>Mauricio</t>
  </si>
  <si>
    <t>alexmauriciotimaran@gmail.com</t>
  </si>
  <si>
    <t>Perez</t>
  </si>
  <si>
    <t>Guerrero</t>
  </si>
  <si>
    <t>Sandra</t>
  </si>
  <si>
    <t xml:space="preserve">sandraperezguerrero12345@gmail.com </t>
  </si>
  <si>
    <t>Chalacan</t>
  </si>
  <si>
    <t>Zamudio</t>
  </si>
  <si>
    <t>Esmith</t>
  </si>
  <si>
    <t xml:space="preserve">Ingridesmith2003@gmail.com </t>
  </si>
  <si>
    <t>Ingrid</t>
  </si>
  <si>
    <t>1/4/2025-3/4/2025</t>
  </si>
  <si>
    <t>Cadena</t>
  </si>
  <si>
    <t>Luz</t>
  </si>
  <si>
    <t>Alba</t>
  </si>
  <si>
    <t>PUPIALES</t>
  </si>
  <si>
    <t>Enriquez</t>
  </si>
  <si>
    <t>Mueses</t>
  </si>
  <si>
    <t>Lucia</t>
  </si>
  <si>
    <t>Chitan</t>
  </si>
  <si>
    <t>Nidia</t>
  </si>
  <si>
    <t>Rubiela</t>
  </si>
  <si>
    <t>Diaz</t>
  </si>
  <si>
    <t>Doris</t>
  </si>
  <si>
    <t>Victoria</t>
  </si>
  <si>
    <t>Quiroz</t>
  </si>
  <si>
    <t>Moran</t>
  </si>
  <si>
    <t>Miryam</t>
  </si>
  <si>
    <t>Del Carmen</t>
  </si>
  <si>
    <t>Lucero</t>
  </si>
  <si>
    <t>Nancy</t>
  </si>
  <si>
    <t>Yanet</t>
  </si>
  <si>
    <t>Bravo</t>
  </si>
  <si>
    <t>Yady</t>
  </si>
  <si>
    <t>Emilcen</t>
  </si>
  <si>
    <t>Morillo</t>
  </si>
  <si>
    <t>Rodriguez</t>
  </si>
  <si>
    <t>Claudia</t>
  </si>
  <si>
    <t>Beronica</t>
  </si>
  <si>
    <t>Cuaical</t>
  </si>
  <si>
    <t>Elena</t>
  </si>
  <si>
    <t>edwin0374@hotmail.com</t>
  </si>
  <si>
    <t>Huertas</t>
  </si>
  <si>
    <t>Velazco</t>
  </si>
  <si>
    <t>Contreras</t>
  </si>
  <si>
    <t>De Rosero</t>
  </si>
  <si>
    <t>Ninfa</t>
  </si>
  <si>
    <t>Jansasoy</t>
  </si>
  <si>
    <t>Chicaiza</t>
  </si>
  <si>
    <t>Fidelia</t>
  </si>
  <si>
    <t>Tapia</t>
  </si>
  <si>
    <t>Chamorro</t>
  </si>
  <si>
    <t>Nubia</t>
  </si>
  <si>
    <t>Margarita</t>
  </si>
  <si>
    <t>CAJA/NEQUI</t>
  </si>
  <si>
    <t>TANGUA</t>
  </si>
  <si>
    <t>AUX DE ENFERMERIA</t>
  </si>
  <si>
    <t xml:space="preserve">mariafernandatrejo25@outlook.com </t>
  </si>
  <si>
    <t>RECOMENDACIÓN</t>
  </si>
  <si>
    <t>Soto</t>
  </si>
  <si>
    <t>Montenegro</t>
  </si>
  <si>
    <t>PSICOLOG@</t>
  </si>
  <si>
    <t>ansomon25@gmail.com</t>
  </si>
  <si>
    <t>Rojas</t>
  </si>
  <si>
    <t>Rivera</t>
  </si>
  <si>
    <t>Mayra</t>
  </si>
  <si>
    <t xml:space="preserve">alejagem86@hotmail.com </t>
  </si>
  <si>
    <t>1/4/2025-5/4/2025</t>
  </si>
  <si>
    <t>DEBE 55</t>
  </si>
  <si>
    <t>Romero</t>
  </si>
  <si>
    <t>Morales</t>
  </si>
  <si>
    <t>Melissa</t>
  </si>
  <si>
    <t>Dancell</t>
  </si>
  <si>
    <t>danmorals1604@outlook.com</t>
  </si>
  <si>
    <t>Arellano</t>
  </si>
  <si>
    <t>Jessica</t>
  </si>
  <si>
    <t>jesicaale-66@hotmail.com</t>
  </si>
  <si>
    <t>3/4/2025-7/4/2025</t>
  </si>
  <si>
    <t>AUXILIAR ADMINISTRATIVO</t>
  </si>
  <si>
    <t>Angie</t>
  </si>
  <si>
    <t>Nathaly</t>
  </si>
  <si>
    <t>Angelalulemo@gmail.com</t>
  </si>
  <si>
    <t>Mancuso</t>
  </si>
  <si>
    <t>Eduardo</t>
  </si>
  <si>
    <t>GINECOLOGO</t>
  </si>
  <si>
    <t>josemancuso@gmail.com</t>
  </si>
  <si>
    <t>José</t>
  </si>
  <si>
    <t>Ordoñez</t>
  </si>
  <si>
    <t>Muñoz</t>
  </si>
  <si>
    <t>Betti</t>
  </si>
  <si>
    <t>geminis.or8@hotmail.com</t>
  </si>
  <si>
    <t>Meneses</t>
  </si>
  <si>
    <t>Steven</t>
  </si>
  <si>
    <t>Destiven97@gmail.com</t>
  </si>
  <si>
    <t>Burbano</t>
  </si>
  <si>
    <t>Manuel</t>
  </si>
  <si>
    <t xml:space="preserve">andresceron13@yahoo.es </t>
  </si>
  <si>
    <t>Cuastumal</t>
  </si>
  <si>
    <t>Jair</t>
  </si>
  <si>
    <t>Fernando</t>
  </si>
  <si>
    <t>TECNICO EN SISTEMAS</t>
  </si>
  <si>
    <t>jairfernandomuesescuastumal@gmail.com</t>
  </si>
  <si>
    <t>Nasner</t>
  </si>
  <si>
    <t>Natib</t>
  </si>
  <si>
    <t>Silvia</t>
  </si>
  <si>
    <t xml:space="preserve">yurany2002nasner@gmail.com </t>
  </si>
  <si>
    <t>Serrano</t>
  </si>
  <si>
    <t>Delgado</t>
  </si>
  <si>
    <t>Valeria</t>
  </si>
  <si>
    <t>TRABAJO SOCIAL</t>
  </si>
  <si>
    <t>Valeriaserranodelgado@gmail.com</t>
  </si>
  <si>
    <t>Adriana</t>
  </si>
  <si>
    <t>Del Pilar</t>
  </si>
  <si>
    <t>ESTETICISTA</t>
  </si>
  <si>
    <t>Delgadoperezadrianadelpilar@gmail.com</t>
  </si>
  <si>
    <t>SALDO 40</t>
  </si>
  <si>
    <t>8/4/2025-9/4/2025</t>
  </si>
  <si>
    <t>SALDO 50</t>
  </si>
  <si>
    <t>cparedes064@gmail.com</t>
  </si>
  <si>
    <t>Paredes</t>
  </si>
  <si>
    <t>Villota</t>
  </si>
  <si>
    <t>Orlando</t>
  </si>
  <si>
    <t>Portillo</t>
  </si>
  <si>
    <t>Fanny</t>
  </si>
  <si>
    <t>Dory</t>
  </si>
  <si>
    <t>REDES SOCIALES</t>
  </si>
  <si>
    <t>fannyvillota.portillo@gmail.com</t>
  </si>
  <si>
    <t>Paz</t>
  </si>
  <si>
    <t>Eliana</t>
  </si>
  <si>
    <t>Marcela</t>
  </si>
  <si>
    <t>marceeli88@hotmail.com</t>
  </si>
  <si>
    <t>Apraez</t>
  </si>
  <si>
    <t>Erica</t>
  </si>
  <si>
    <t>Normalia</t>
  </si>
  <si>
    <t>normac2328@gmail.com</t>
  </si>
  <si>
    <t>Riascos</t>
  </si>
  <si>
    <t>Gabriel</t>
  </si>
  <si>
    <t>Efectivo</t>
  </si>
  <si>
    <t>gabrielperezr@hotmail.com</t>
  </si>
  <si>
    <t>Luisa</t>
  </si>
  <si>
    <t>Quiñones</t>
  </si>
  <si>
    <t>quinonesluisa705@gmail.com</t>
  </si>
  <si>
    <t>Javier</t>
  </si>
  <si>
    <t>Alexander</t>
  </si>
  <si>
    <t>jalexenriquez@hotmail.com</t>
  </si>
  <si>
    <t>Betsy</t>
  </si>
  <si>
    <t>LUIS PINTA</t>
  </si>
  <si>
    <t xml:space="preserve">bpaoguerrerort@hotmail.com </t>
  </si>
  <si>
    <t>Eraso</t>
  </si>
  <si>
    <t>Mario</t>
  </si>
  <si>
    <t>Escobar</t>
  </si>
  <si>
    <t>Liliana</t>
  </si>
  <si>
    <t>Raquel</t>
  </si>
  <si>
    <t>lilianaescobar1973@hotmail.com</t>
  </si>
  <si>
    <t>EFECTY</t>
  </si>
  <si>
    <t>Jurado</t>
  </si>
  <si>
    <t>Esperanza</t>
  </si>
  <si>
    <t>SEBAS</t>
  </si>
  <si>
    <t>claudiaortegajurado@gmail.com</t>
  </si>
  <si>
    <t>Mora</t>
  </si>
  <si>
    <t>14/4/2025-16/4/2025</t>
  </si>
  <si>
    <t>OBSEQUIO</t>
  </si>
  <si>
    <t>ADMINISTRADORA EN SS-T</t>
  </si>
  <si>
    <t xml:space="preserve">almoris42@gmail.com </t>
  </si>
  <si>
    <t>Otaya</t>
  </si>
  <si>
    <t>Yarpaz</t>
  </si>
  <si>
    <t>Johan</t>
  </si>
  <si>
    <t>Sebastian</t>
  </si>
  <si>
    <t>sebasyarpaz.123@gmail.com</t>
  </si>
  <si>
    <t>Oviedo</t>
  </si>
  <si>
    <t>Nayely</t>
  </si>
  <si>
    <t>Katerine</t>
  </si>
  <si>
    <t>nkrodriguez135@gmail.com</t>
  </si>
  <si>
    <t>BIOMEDICO</t>
  </si>
  <si>
    <t>dannyferneyaullon@gmail.com</t>
  </si>
  <si>
    <t>Aullon</t>
  </si>
  <si>
    <t>Dany</t>
  </si>
  <si>
    <t>Ferney</t>
  </si>
  <si>
    <t>15/4/2025-16/4/2025</t>
  </si>
  <si>
    <t xml:space="preserve">sandramilenapaz2014@hotmail.com </t>
  </si>
  <si>
    <t>Inguilan</t>
  </si>
  <si>
    <t>Milena</t>
  </si>
  <si>
    <t>Ayala</t>
  </si>
  <si>
    <t xml:space="preserve">yamileayala1104@gmail.com </t>
  </si>
  <si>
    <t>Martinez</t>
  </si>
  <si>
    <t>Rocio</t>
  </si>
  <si>
    <t>rocioma03@hotmail.com</t>
  </si>
  <si>
    <t>Cruz</t>
  </si>
  <si>
    <t>Camilo</t>
  </si>
  <si>
    <t xml:space="preserve">camilorosero108@gmail.com </t>
  </si>
  <si>
    <t>Gomez</t>
  </si>
  <si>
    <t>CONDUCTOR</t>
  </si>
  <si>
    <t>madelina110359@gmail.co</t>
  </si>
  <si>
    <t xml:space="preserve">a.daniela95burbano@gmail.com </t>
  </si>
  <si>
    <t>Botina</t>
  </si>
  <si>
    <t>AUXILIAR EN SALUD ORAL</t>
  </si>
  <si>
    <t>alejandrameneses087@gmail.com</t>
  </si>
  <si>
    <t>21/4/2025-24/4/2025</t>
  </si>
  <si>
    <t>Carlosama</t>
  </si>
  <si>
    <t>REGENTE DE FARMACIA</t>
  </si>
  <si>
    <t xml:space="preserve">delgadocarlosaman@gmail.com </t>
  </si>
  <si>
    <t>INGENIERA ELECTRONICA</t>
  </si>
  <si>
    <t>odnatalia676@gmail.com</t>
  </si>
  <si>
    <t>23/4/2025/24/4/2025</t>
  </si>
  <si>
    <t>Cifuentes</t>
  </si>
  <si>
    <t>Yuli</t>
  </si>
  <si>
    <t xml:space="preserve">y-mc92@hotmail.com </t>
  </si>
  <si>
    <t>ESTUDIANTE</t>
  </si>
  <si>
    <t>25/4/2025-26/4/2025</t>
  </si>
  <si>
    <t>Dorado</t>
  </si>
  <si>
    <t>Lizeth</t>
  </si>
  <si>
    <t>Bairon</t>
  </si>
  <si>
    <t xml:space="preserve">byrux706@hotmail.com </t>
  </si>
  <si>
    <t>Lara</t>
  </si>
  <si>
    <t>Pérez</t>
  </si>
  <si>
    <t>Yeili</t>
  </si>
  <si>
    <t>MEDICO</t>
  </si>
  <si>
    <t>yeililaraperez@gmail.com</t>
  </si>
  <si>
    <t>Pinza</t>
  </si>
  <si>
    <t>Jojoa</t>
  </si>
  <si>
    <t>Miguel</t>
  </si>
  <si>
    <t>Josemiguelpinza@gmail.com</t>
  </si>
  <si>
    <t>Alvarado</t>
  </si>
  <si>
    <t>Barahona</t>
  </si>
  <si>
    <t>Gabriela</t>
  </si>
  <si>
    <t>ODONTOLOGA</t>
  </si>
  <si>
    <t>angela.alvarado92@hotmail.com</t>
  </si>
  <si>
    <t>Cardenas</t>
  </si>
  <si>
    <t>Maritus3280@gmail.com</t>
  </si>
  <si>
    <t>Salas</t>
  </si>
  <si>
    <t>paoladoc2204@gmail.com</t>
  </si>
  <si>
    <t>Olga</t>
  </si>
  <si>
    <t>Iveth</t>
  </si>
  <si>
    <t>Odontomedfam@gmail.com</t>
  </si>
  <si>
    <t>Dominguez</t>
  </si>
  <si>
    <t>Deicy</t>
  </si>
  <si>
    <t xml:space="preserve">dmbd0909@gmail.com </t>
  </si>
  <si>
    <t>Mendivelso</t>
  </si>
  <si>
    <t>Betancourt</t>
  </si>
  <si>
    <t xml:space="preserve">mayramendivelso75@gmail.com </t>
  </si>
  <si>
    <t>Martín</t>
  </si>
  <si>
    <t xml:space="preserve">salas5840@gmail.com </t>
  </si>
  <si>
    <t>Rey</t>
  </si>
  <si>
    <t>Andrade</t>
  </si>
  <si>
    <t xml:space="preserve">mariaj.rey97@gmail.com </t>
  </si>
  <si>
    <t>Vera</t>
  </si>
  <si>
    <t>PALS</t>
  </si>
  <si>
    <t>alejandrabastidasvera@gmail.com</t>
  </si>
  <si>
    <t>Duby</t>
  </si>
  <si>
    <t>Jacqueline</t>
  </si>
  <si>
    <t>AUXILIAR DE ODONTOLOGIA</t>
  </si>
  <si>
    <t xml:space="preserve">mihovallejo2906@hotmail.com </t>
  </si>
  <si>
    <t>Vallejos</t>
  </si>
  <si>
    <t>Melo</t>
  </si>
  <si>
    <t>Geiny</t>
  </si>
  <si>
    <t>Carola</t>
  </si>
  <si>
    <t xml:space="preserve">geini97@gmail.com </t>
  </si>
  <si>
    <t>Nastacuas</t>
  </si>
  <si>
    <t>Taicus</t>
  </si>
  <si>
    <t xml:space="preserve">taicusalexandra3@gmail.com </t>
  </si>
  <si>
    <t>Mainguez</t>
  </si>
  <si>
    <t>Alvear</t>
  </si>
  <si>
    <t>Isabel</t>
  </si>
  <si>
    <t>TOMA DE MUESTRAS Y LABORATORIO DE CAMPO</t>
  </si>
  <si>
    <t>lilimainguez@gmail.com</t>
  </si>
  <si>
    <t>Lopez</t>
  </si>
  <si>
    <t>Leonor</t>
  </si>
  <si>
    <t>fannilin09@gmail.com</t>
  </si>
  <si>
    <t>Vega</t>
  </si>
  <si>
    <t>Dario</t>
  </si>
  <si>
    <t>darivega.dfav@gmail.com</t>
  </si>
  <si>
    <t>ODONTOLOGo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</si>
</sst>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</numFmts>
  <fonts count="12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2" fillId="0" borderId="9" xfId="0" applyFont="1" applyBorder="1" applyAlignment="1">
      <alignment horizontal="center"/>
    </xf>
    <xf numFmtId="0" fontId="4" fillId="2" borderId="8" xfId="0" applyFont="1" applyFill="1" applyBorder="1"/>
    <xf numFmtId="0" fontId="2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5" fillId="0" borderId="14" xfId="0" applyFont="1" applyBorder="1" applyAlignment="1">
      <alignment horizontal="center"/>
    </xf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5" fillId="0" borderId="16" xfId="0" applyFont="1" applyBorder="1"/>
    <xf numFmtId="14" fontId="4" fillId="2" borderId="8" xfId="0" applyNumberFormat="1" applyFont="1" applyFill="1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/>
    <xf numFmtId="0" fontId="9" fillId="0" borderId="6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4" fillId="0" borderId="7" xfId="0" applyFont="1" applyBorder="1"/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9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/>
    <xf numFmtId="0" fontId="4" fillId="0" borderId="16" xfId="0" applyFont="1" applyBorder="1"/>
    <xf numFmtId="0" fontId="10" fillId="0" borderId="2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2" borderId="0" xfId="1" applyNumberFormat="1" applyFont="1" applyFill="1" applyBorder="1" applyAlignment="1">
      <alignment horizontal="center" vertical="center"/>
    </xf>
    <xf numFmtId="44" fontId="9" fillId="2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" fontId="9" fillId="2" borderId="0" xfId="0" applyNumberFormat="1" applyFont="1" applyFill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3" applyFont="1" applyFill="1" applyBorder="1" applyAlignment="1">
      <alignment horizontal="center" vertical="center"/>
    </xf>
    <xf numFmtId="0" fontId="9" fillId="2" borderId="0" xfId="3" applyNumberFormat="1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 wrapText="1"/>
    </xf>
    <xf numFmtId="0" fontId="8" fillId="2" borderId="0" xfId="3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2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2" applyNumberFormat="1" applyFont="1" applyFill="1" applyBorder="1" applyAlignment="1" applyProtection="1">
      <alignment horizontal="center" vertical="center"/>
      <protection locked="0"/>
    </xf>
    <xf numFmtId="44" fontId="3" fillId="2" borderId="1" xfId="1" applyNumberFormat="1" applyFont="1" applyFill="1" applyBorder="1" applyAlignment="1" applyProtection="1">
      <alignment horizontal="center" vertical="center"/>
      <protection locked="0"/>
    </xf>
    <xf numFmtId="14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  <xf numFmtId="44" fontId="9" fillId="2" borderId="1" xfId="1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2" borderId="1" xfId="3" applyNumberFormat="1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4" fontId="9" fillId="2" borderId="17" xfId="0" applyNumberFormat="1" applyFont="1" applyFill="1" applyBorder="1" applyAlignment="1">
      <alignment horizontal="center" vertical="center"/>
    </xf>
    <xf numFmtId="14" fontId="9" fillId="2" borderId="17" xfId="1" applyNumberFormat="1" applyFont="1" applyFill="1" applyBorder="1" applyAlignment="1">
      <alignment horizontal="center" vertical="center"/>
    </xf>
    <xf numFmtId="44" fontId="9" fillId="2" borderId="17" xfId="1" applyNumberFormat="1" applyFont="1" applyFill="1" applyBorder="1" applyAlignment="1">
      <alignment horizontal="center" vertical="center"/>
    </xf>
    <xf numFmtId="0" fontId="9" fillId="2" borderId="17" xfId="3" applyNumberFormat="1" applyFont="1" applyFill="1" applyBorder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14" fontId="11" fillId="2" borderId="1" xfId="0" applyNumberFormat="1" applyFont="1" applyFill="1" applyBorder="1" applyAlignment="1">
      <alignment horizontal="center" vertical="center"/>
    </xf>
    <xf numFmtId="14" fontId="11" fillId="2" borderId="1" xfId="1" applyNumberFormat="1" applyFont="1" applyFill="1" applyBorder="1" applyAlignment="1">
      <alignment horizontal="center" vertical="center"/>
    </xf>
    <xf numFmtId="44" fontId="11" fillId="2" borderId="1" xfId="1" applyNumberFormat="1" applyFont="1" applyFill="1" applyBorder="1" applyAlignment="1">
      <alignment horizontal="center" vertical="center"/>
    </xf>
    <xf numFmtId="0" fontId="11" fillId="2" borderId="1" xfId="3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8" fillId="2" borderId="1" xfId="3" applyFill="1" applyBorder="1" applyAlignment="1">
      <alignment horizontal="center" vertical="center"/>
    </xf>
    <xf numFmtId="44" fontId="9" fillId="2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2" borderId="1" xfId="0" applyNumberFormat="1" applyFont="1" applyFill="1" applyBorder="1" applyAlignment="1">
      <alignment horizontal="center" vertical="center"/>
    </xf>
    <xf numFmtId="0" fontId="9" fillId="5" borderId="1" xfId="3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4" fontId="9" fillId="2" borderId="1" xfId="0" applyNumberFormat="1" applyFont="1" applyFill="1" applyBorder="1" applyAlignment="1">
      <alignment horizontal="center" vertical="center" wrapText="1"/>
    </xf>
    <xf numFmtId="0" fontId="8" fillId="2" borderId="1" xfId="3" applyFill="1" applyBorder="1" applyAlignment="1">
      <alignment horizontal="center" vertical="center" wrapText="1"/>
    </xf>
    <xf numFmtId="0" fontId="9" fillId="2" borderId="1" xfId="3" applyFont="1" applyFill="1" applyBorder="1" applyAlignment="1">
      <alignment horizontal="center" vertical="center" wrapText="1"/>
    </xf>
    <xf numFmtId="14" fontId="9" fillId="2" borderId="1" xfId="1" applyNumberFormat="1" applyFont="1" applyFill="1" applyBorder="1" applyAlignment="1">
      <alignment horizontal="center" vertical="center" wrapText="1"/>
    </xf>
    <xf numFmtId="44" fontId="9" fillId="2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/>
    </xf>
    <xf numFmtId="0" fontId="8" fillId="2" borderId="1" xfId="3" applyNumberForma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1" xfId="3" applyFont="1" applyFill="1" applyBorder="1" applyAlignment="1">
      <alignment horizontal="center" vertical="center"/>
    </xf>
    <xf numFmtId="0" fontId="0" fillId="2" borderId="1" xfId="3" applyNumberFormat="1" applyFont="1" applyFill="1" applyBorder="1" applyAlignment="1">
      <alignment horizontal="center" vertical="center"/>
    </xf>
    <xf numFmtId="0" fontId="0" fillId="5" borderId="1" xfId="3" applyFont="1" applyFill="1" applyBorder="1" applyAlignment="1">
      <alignment horizontal="center" vertical="center"/>
    </xf>
    <xf numFmtId="0" fontId="0" fillId="2" borderId="1" xfId="3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2" borderId="0" xfId="3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2" borderId="0" xfId="3" applyFont="1" applyFill="1" applyBorder="1" applyAlignment="1">
      <alignment horizontal="center" vertical="center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9" fillId="0" borderId="18" xfId="0" applyFont="1" applyBorder="1" applyAlignment="1">
      <alignment horizontal="center" vertical="center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98244</xdr:colOff>
      <xdr:row>113</xdr:row>
      <xdr:rowOff>45851</xdr:rowOff>
    </xdr:from>
    <xdr:to>
      <xdr:col>4</xdr:col>
      <xdr:colOff>1559107</xdr:colOff>
      <xdr:row>113</xdr:row>
      <xdr:rowOff>1506714</xdr:rowOff>
    </xdr:to>
    <xdr:grpSp>
      <xdr:nvGrpSpPr>
        <xdr:cNvPr id="2091" name="$E$114" descr="QuickResponse barcode, level L, version 4, mode binary, 33x33 cells" title="https://centrodecapacitaciondelsur.com/violencia-sexual-1085334227/">
          <a:extLst>
            <a:ext uri="{FF2B5EF4-FFF2-40B4-BE49-F238E27FC236}">
              <a16:creationId xmlns:a16="http://schemas.microsoft.com/office/drawing/2014/main" id="{9D212F70-14F5-422C-A255-12EE28593788}"/>
            </a:ext>
          </a:extLst>
        </xdr:cNvPr>
        <xdr:cNvGrpSpPr>
          <a:grpSpLocks noChangeAspect="1"/>
        </xdr:cNvGrpSpPr>
      </xdr:nvGrpSpPr>
      <xdr:grpSpPr>
        <a:xfrm>
          <a:off x="20672244" y="125128151"/>
          <a:ext cx="1460863" cy="1460863"/>
          <a:chOff x="0" y="0"/>
          <a:chExt cx="419100" cy="419100"/>
        </a:xfrm>
      </xdr:grpSpPr>
      <xdr:sp macro="" textlink="">
        <xdr:nvSpPr>
          <xdr:cNvPr id="1540" name="$E$114">
            <a:extLst>
              <a:ext uri="{FF2B5EF4-FFF2-40B4-BE49-F238E27FC236}">
                <a16:creationId xmlns:a16="http://schemas.microsoft.com/office/drawing/2014/main" id="{72BECD4E-D32E-48ED-9B7F-E3D7794276F8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1" name="$E$114">
            <a:extLst>
              <a:ext uri="{FF2B5EF4-FFF2-40B4-BE49-F238E27FC236}">
                <a16:creationId xmlns:a16="http://schemas.microsoft.com/office/drawing/2014/main" id="{12DBFDB0-B737-4B06-AE64-F0F761A023C5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2" name="$E$114">
            <a:extLst>
              <a:ext uri="{FF2B5EF4-FFF2-40B4-BE49-F238E27FC236}">
                <a16:creationId xmlns:a16="http://schemas.microsoft.com/office/drawing/2014/main" id="{D32F9254-B9BA-470C-8769-CE78B897FAF3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3" name="$E$114">
            <a:extLst>
              <a:ext uri="{FF2B5EF4-FFF2-40B4-BE49-F238E27FC236}">
                <a16:creationId xmlns:a16="http://schemas.microsoft.com/office/drawing/2014/main" id="{26CD389A-FB22-43EC-A2E2-49DBC363C406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4" name="$E$114">
            <a:extLst>
              <a:ext uri="{FF2B5EF4-FFF2-40B4-BE49-F238E27FC236}">
                <a16:creationId xmlns:a16="http://schemas.microsoft.com/office/drawing/2014/main" id="{329E6566-92CF-4560-8E3E-85BA2572DDFB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5" name="$E$114">
            <a:extLst>
              <a:ext uri="{FF2B5EF4-FFF2-40B4-BE49-F238E27FC236}">
                <a16:creationId xmlns:a16="http://schemas.microsoft.com/office/drawing/2014/main" id="{5EE1B834-1F9D-4638-AA5B-E7B8EFEBF9FD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6" name="$E$114">
            <a:extLst>
              <a:ext uri="{FF2B5EF4-FFF2-40B4-BE49-F238E27FC236}">
                <a16:creationId xmlns:a16="http://schemas.microsoft.com/office/drawing/2014/main" id="{6BBD9336-B983-451B-98EA-84035D770414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7" name="$E$114">
            <a:extLst>
              <a:ext uri="{FF2B5EF4-FFF2-40B4-BE49-F238E27FC236}">
                <a16:creationId xmlns:a16="http://schemas.microsoft.com/office/drawing/2014/main" id="{5CE4DEC2-4E05-442A-B2D9-F943C31AB373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8" name="$E$114">
            <a:extLst>
              <a:ext uri="{FF2B5EF4-FFF2-40B4-BE49-F238E27FC236}">
                <a16:creationId xmlns:a16="http://schemas.microsoft.com/office/drawing/2014/main" id="{6710833C-26D3-4B75-89A6-3CF63F39C505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49" name="$E$114">
            <a:extLst>
              <a:ext uri="{FF2B5EF4-FFF2-40B4-BE49-F238E27FC236}">
                <a16:creationId xmlns:a16="http://schemas.microsoft.com/office/drawing/2014/main" id="{29F842B4-A933-4340-83ED-07B280AF45E2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0" name="$E$114">
            <a:extLst>
              <a:ext uri="{FF2B5EF4-FFF2-40B4-BE49-F238E27FC236}">
                <a16:creationId xmlns:a16="http://schemas.microsoft.com/office/drawing/2014/main" id="{83D527E0-FF74-4465-BFE0-B409571C8192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1" name="$E$114">
            <a:extLst>
              <a:ext uri="{FF2B5EF4-FFF2-40B4-BE49-F238E27FC236}">
                <a16:creationId xmlns:a16="http://schemas.microsoft.com/office/drawing/2014/main" id="{5698FE42-1662-4641-888D-AE9C9EF92D2B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2" name="$E$114">
            <a:extLst>
              <a:ext uri="{FF2B5EF4-FFF2-40B4-BE49-F238E27FC236}">
                <a16:creationId xmlns:a16="http://schemas.microsoft.com/office/drawing/2014/main" id="{FA1A8F61-99B5-4385-B72E-BB8735ADD797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3" name="$E$114">
            <a:extLst>
              <a:ext uri="{FF2B5EF4-FFF2-40B4-BE49-F238E27FC236}">
                <a16:creationId xmlns:a16="http://schemas.microsoft.com/office/drawing/2014/main" id="{2D28C708-F646-4A95-BE60-D545C151DF57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4" name="$E$114">
            <a:extLst>
              <a:ext uri="{FF2B5EF4-FFF2-40B4-BE49-F238E27FC236}">
                <a16:creationId xmlns:a16="http://schemas.microsoft.com/office/drawing/2014/main" id="{6755E326-E368-438B-B648-079646C40B2D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5" name="$E$114">
            <a:extLst>
              <a:ext uri="{FF2B5EF4-FFF2-40B4-BE49-F238E27FC236}">
                <a16:creationId xmlns:a16="http://schemas.microsoft.com/office/drawing/2014/main" id="{D7827DF3-8669-42B6-AF47-54E2C9284F76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6" name="$E$114">
            <a:extLst>
              <a:ext uri="{FF2B5EF4-FFF2-40B4-BE49-F238E27FC236}">
                <a16:creationId xmlns:a16="http://schemas.microsoft.com/office/drawing/2014/main" id="{DEC5CB90-8F40-4E88-BD46-EC84E927565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7" name="$E$114">
            <a:extLst>
              <a:ext uri="{FF2B5EF4-FFF2-40B4-BE49-F238E27FC236}">
                <a16:creationId xmlns:a16="http://schemas.microsoft.com/office/drawing/2014/main" id="{7104EB3B-3CAA-4885-B768-B3AEEE1D4B6F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8" name="$E$114">
            <a:extLst>
              <a:ext uri="{FF2B5EF4-FFF2-40B4-BE49-F238E27FC236}">
                <a16:creationId xmlns:a16="http://schemas.microsoft.com/office/drawing/2014/main" id="{7A098B88-BEE9-4DA1-AE91-0B3E3196282D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59" name="$E$114">
            <a:extLst>
              <a:ext uri="{FF2B5EF4-FFF2-40B4-BE49-F238E27FC236}">
                <a16:creationId xmlns:a16="http://schemas.microsoft.com/office/drawing/2014/main" id="{3FDE7C0C-B215-4660-B161-472F4DEE95DC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0" name="$E$114">
            <a:extLst>
              <a:ext uri="{FF2B5EF4-FFF2-40B4-BE49-F238E27FC236}">
                <a16:creationId xmlns:a16="http://schemas.microsoft.com/office/drawing/2014/main" id="{01E4A759-2D30-443F-A817-AEB6BB993C6A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1" name="$E$114">
            <a:extLst>
              <a:ext uri="{FF2B5EF4-FFF2-40B4-BE49-F238E27FC236}">
                <a16:creationId xmlns:a16="http://schemas.microsoft.com/office/drawing/2014/main" id="{71C9B4EF-7764-4DA1-ABD2-0E75404F734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2" name="$E$114">
            <a:extLst>
              <a:ext uri="{FF2B5EF4-FFF2-40B4-BE49-F238E27FC236}">
                <a16:creationId xmlns:a16="http://schemas.microsoft.com/office/drawing/2014/main" id="{A529C998-66D7-4B5F-9449-8A9234653183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3" name="$E$114">
            <a:extLst>
              <a:ext uri="{FF2B5EF4-FFF2-40B4-BE49-F238E27FC236}">
                <a16:creationId xmlns:a16="http://schemas.microsoft.com/office/drawing/2014/main" id="{CED8B7AC-FB4F-41C5-B391-72CAD7304AF9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4" name="$E$114">
            <a:extLst>
              <a:ext uri="{FF2B5EF4-FFF2-40B4-BE49-F238E27FC236}">
                <a16:creationId xmlns:a16="http://schemas.microsoft.com/office/drawing/2014/main" id="{8A6B6533-811A-49CA-BF15-855FC49EF594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5" name="$E$114">
            <a:extLst>
              <a:ext uri="{FF2B5EF4-FFF2-40B4-BE49-F238E27FC236}">
                <a16:creationId xmlns:a16="http://schemas.microsoft.com/office/drawing/2014/main" id="{70141E7A-A634-40B8-BDCF-7F02551D52AC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6" name="$E$114">
            <a:extLst>
              <a:ext uri="{FF2B5EF4-FFF2-40B4-BE49-F238E27FC236}">
                <a16:creationId xmlns:a16="http://schemas.microsoft.com/office/drawing/2014/main" id="{95036721-DA6B-41FE-947F-69DC2357BCF8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7" name="$E$114">
            <a:extLst>
              <a:ext uri="{FF2B5EF4-FFF2-40B4-BE49-F238E27FC236}">
                <a16:creationId xmlns:a16="http://schemas.microsoft.com/office/drawing/2014/main" id="{4E1BE562-4646-444E-80CC-58BCA699C49C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8" name="$E$114">
            <a:extLst>
              <a:ext uri="{FF2B5EF4-FFF2-40B4-BE49-F238E27FC236}">
                <a16:creationId xmlns:a16="http://schemas.microsoft.com/office/drawing/2014/main" id="{F951C08B-431D-455B-A264-A6E26CC5984D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69" name="$E$114">
            <a:extLst>
              <a:ext uri="{FF2B5EF4-FFF2-40B4-BE49-F238E27FC236}">
                <a16:creationId xmlns:a16="http://schemas.microsoft.com/office/drawing/2014/main" id="{CCB11729-33DF-48C1-A04F-28FB46CC291C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0" name="$E$114">
            <a:extLst>
              <a:ext uri="{FF2B5EF4-FFF2-40B4-BE49-F238E27FC236}">
                <a16:creationId xmlns:a16="http://schemas.microsoft.com/office/drawing/2014/main" id="{B38AF15E-4465-4CF4-BA2D-8B4782EE2103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1" name="$E$114">
            <a:extLst>
              <a:ext uri="{FF2B5EF4-FFF2-40B4-BE49-F238E27FC236}">
                <a16:creationId xmlns:a16="http://schemas.microsoft.com/office/drawing/2014/main" id="{D9CDA6A7-A5DA-4855-BBE9-EF9E032CC97C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2" name="$E$114">
            <a:extLst>
              <a:ext uri="{FF2B5EF4-FFF2-40B4-BE49-F238E27FC236}">
                <a16:creationId xmlns:a16="http://schemas.microsoft.com/office/drawing/2014/main" id="{E43A12B0-A51C-48D1-8040-9B582F4DB343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3" name="$E$114">
            <a:extLst>
              <a:ext uri="{FF2B5EF4-FFF2-40B4-BE49-F238E27FC236}">
                <a16:creationId xmlns:a16="http://schemas.microsoft.com/office/drawing/2014/main" id="{A0A99F27-C199-400E-8814-9720BCF1DA12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4" name="$E$114">
            <a:extLst>
              <a:ext uri="{FF2B5EF4-FFF2-40B4-BE49-F238E27FC236}">
                <a16:creationId xmlns:a16="http://schemas.microsoft.com/office/drawing/2014/main" id="{3C5625EA-F946-4E22-AD2B-F0A368D6D547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5" name="$E$114">
            <a:extLst>
              <a:ext uri="{FF2B5EF4-FFF2-40B4-BE49-F238E27FC236}">
                <a16:creationId xmlns:a16="http://schemas.microsoft.com/office/drawing/2014/main" id="{0CDAE326-C7D0-41C9-A04F-7A2484924A84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6" name="$E$114">
            <a:extLst>
              <a:ext uri="{FF2B5EF4-FFF2-40B4-BE49-F238E27FC236}">
                <a16:creationId xmlns:a16="http://schemas.microsoft.com/office/drawing/2014/main" id="{9FA01264-7089-4039-B9F5-DB5AC480D2DC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7" name="$E$114">
            <a:extLst>
              <a:ext uri="{FF2B5EF4-FFF2-40B4-BE49-F238E27FC236}">
                <a16:creationId xmlns:a16="http://schemas.microsoft.com/office/drawing/2014/main" id="{16DBAAB1-0FE9-428C-8220-7201AFAC1955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8" name="$E$114">
            <a:extLst>
              <a:ext uri="{FF2B5EF4-FFF2-40B4-BE49-F238E27FC236}">
                <a16:creationId xmlns:a16="http://schemas.microsoft.com/office/drawing/2014/main" id="{CF3E0B02-3E50-4318-BA09-76E5DB3B20BB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79" name="$E$114">
            <a:extLst>
              <a:ext uri="{FF2B5EF4-FFF2-40B4-BE49-F238E27FC236}">
                <a16:creationId xmlns:a16="http://schemas.microsoft.com/office/drawing/2014/main" id="{BA6AA490-3B20-40EE-8880-477940E43792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0" name="$E$114">
            <a:extLst>
              <a:ext uri="{FF2B5EF4-FFF2-40B4-BE49-F238E27FC236}">
                <a16:creationId xmlns:a16="http://schemas.microsoft.com/office/drawing/2014/main" id="{EEE604B1-B7D5-4D8D-BA13-4CC35ECE2541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1" name="$E$114">
            <a:extLst>
              <a:ext uri="{FF2B5EF4-FFF2-40B4-BE49-F238E27FC236}">
                <a16:creationId xmlns:a16="http://schemas.microsoft.com/office/drawing/2014/main" id="{E5678493-1773-477E-ADB2-FD9299E6E65B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2" name="$E$114">
            <a:extLst>
              <a:ext uri="{FF2B5EF4-FFF2-40B4-BE49-F238E27FC236}">
                <a16:creationId xmlns:a16="http://schemas.microsoft.com/office/drawing/2014/main" id="{2349A2A8-8892-4768-A6EA-879EC2641927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3" name="$E$114">
            <a:extLst>
              <a:ext uri="{FF2B5EF4-FFF2-40B4-BE49-F238E27FC236}">
                <a16:creationId xmlns:a16="http://schemas.microsoft.com/office/drawing/2014/main" id="{E63F3A19-548E-4080-8A09-5FE19FF6EBFA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4" name="$E$114">
            <a:extLst>
              <a:ext uri="{FF2B5EF4-FFF2-40B4-BE49-F238E27FC236}">
                <a16:creationId xmlns:a16="http://schemas.microsoft.com/office/drawing/2014/main" id="{4414D81A-5ADD-4919-87B5-8129530FF1DD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5" name="$E$114">
            <a:extLst>
              <a:ext uri="{FF2B5EF4-FFF2-40B4-BE49-F238E27FC236}">
                <a16:creationId xmlns:a16="http://schemas.microsoft.com/office/drawing/2014/main" id="{F2EC753A-22FA-4BBB-A34A-1C6659C1338C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6" name="$E$114">
            <a:extLst>
              <a:ext uri="{FF2B5EF4-FFF2-40B4-BE49-F238E27FC236}">
                <a16:creationId xmlns:a16="http://schemas.microsoft.com/office/drawing/2014/main" id="{19983215-FCD1-4E82-95A9-B3823F17FE5D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7" name="$E$114">
            <a:extLst>
              <a:ext uri="{FF2B5EF4-FFF2-40B4-BE49-F238E27FC236}">
                <a16:creationId xmlns:a16="http://schemas.microsoft.com/office/drawing/2014/main" id="{585DECFC-F446-4A4A-A34D-313B57DB6B6A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8" name="$E$114">
            <a:extLst>
              <a:ext uri="{FF2B5EF4-FFF2-40B4-BE49-F238E27FC236}">
                <a16:creationId xmlns:a16="http://schemas.microsoft.com/office/drawing/2014/main" id="{16428BFB-C602-4A36-8F49-D5FC9D26F06E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89" name="$E$114">
            <a:extLst>
              <a:ext uri="{FF2B5EF4-FFF2-40B4-BE49-F238E27FC236}">
                <a16:creationId xmlns:a16="http://schemas.microsoft.com/office/drawing/2014/main" id="{FA87A42D-9791-4727-A8D7-88CDA80C1BE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0" name="$E$114">
            <a:extLst>
              <a:ext uri="{FF2B5EF4-FFF2-40B4-BE49-F238E27FC236}">
                <a16:creationId xmlns:a16="http://schemas.microsoft.com/office/drawing/2014/main" id="{9FE8180C-3CC0-4A16-8409-83567972686F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1" name="$E$114">
            <a:extLst>
              <a:ext uri="{FF2B5EF4-FFF2-40B4-BE49-F238E27FC236}">
                <a16:creationId xmlns:a16="http://schemas.microsoft.com/office/drawing/2014/main" id="{B9325575-C225-48E1-B9C7-287E30A1F855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2" name="$E$114">
            <a:extLst>
              <a:ext uri="{FF2B5EF4-FFF2-40B4-BE49-F238E27FC236}">
                <a16:creationId xmlns:a16="http://schemas.microsoft.com/office/drawing/2014/main" id="{1AE1973C-5201-4B74-9264-3AAE6563DE96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3" name="$E$114">
            <a:extLst>
              <a:ext uri="{FF2B5EF4-FFF2-40B4-BE49-F238E27FC236}">
                <a16:creationId xmlns:a16="http://schemas.microsoft.com/office/drawing/2014/main" id="{B4358534-BFA7-4605-80D0-2779ABF59885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4" name="$E$114">
            <a:extLst>
              <a:ext uri="{FF2B5EF4-FFF2-40B4-BE49-F238E27FC236}">
                <a16:creationId xmlns:a16="http://schemas.microsoft.com/office/drawing/2014/main" id="{989A9F90-81E4-4697-9988-759D12020A53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5" name="$E$114">
            <a:extLst>
              <a:ext uri="{FF2B5EF4-FFF2-40B4-BE49-F238E27FC236}">
                <a16:creationId xmlns:a16="http://schemas.microsoft.com/office/drawing/2014/main" id="{05F32651-0F09-494C-A7DB-56F23E3A1F36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6" name="$E$114">
            <a:extLst>
              <a:ext uri="{FF2B5EF4-FFF2-40B4-BE49-F238E27FC236}">
                <a16:creationId xmlns:a16="http://schemas.microsoft.com/office/drawing/2014/main" id="{3018FCD2-6F41-4AD0-8530-2765A53C35DA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7" name="$E$114">
            <a:extLst>
              <a:ext uri="{FF2B5EF4-FFF2-40B4-BE49-F238E27FC236}">
                <a16:creationId xmlns:a16="http://schemas.microsoft.com/office/drawing/2014/main" id="{14EF4834-238F-4FC8-A4EB-797072188F1D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8" name="$E$114">
            <a:extLst>
              <a:ext uri="{FF2B5EF4-FFF2-40B4-BE49-F238E27FC236}">
                <a16:creationId xmlns:a16="http://schemas.microsoft.com/office/drawing/2014/main" id="{B56E06FA-4B2D-4A5B-AD08-04D26473BA67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599" name="$E$114">
            <a:extLst>
              <a:ext uri="{FF2B5EF4-FFF2-40B4-BE49-F238E27FC236}">
                <a16:creationId xmlns:a16="http://schemas.microsoft.com/office/drawing/2014/main" id="{6F993997-6CF0-4C00-A873-B3A8C0A9B59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0" name="$E$114">
            <a:extLst>
              <a:ext uri="{FF2B5EF4-FFF2-40B4-BE49-F238E27FC236}">
                <a16:creationId xmlns:a16="http://schemas.microsoft.com/office/drawing/2014/main" id="{011CA181-D851-4949-A19B-0316FEEE485F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1" name="$E$114">
            <a:extLst>
              <a:ext uri="{FF2B5EF4-FFF2-40B4-BE49-F238E27FC236}">
                <a16:creationId xmlns:a16="http://schemas.microsoft.com/office/drawing/2014/main" id="{5F160D81-74B7-4828-B07A-C118A97A0C81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2" name="$E$114">
            <a:extLst>
              <a:ext uri="{FF2B5EF4-FFF2-40B4-BE49-F238E27FC236}">
                <a16:creationId xmlns:a16="http://schemas.microsoft.com/office/drawing/2014/main" id="{FB2E70D9-A7FD-4146-BA4B-1583ACE45CEC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3" name="$E$114">
            <a:extLst>
              <a:ext uri="{FF2B5EF4-FFF2-40B4-BE49-F238E27FC236}">
                <a16:creationId xmlns:a16="http://schemas.microsoft.com/office/drawing/2014/main" id="{DED3D2E3-F93A-41B3-B3DE-A224D0461059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4" name="$E$114">
            <a:extLst>
              <a:ext uri="{FF2B5EF4-FFF2-40B4-BE49-F238E27FC236}">
                <a16:creationId xmlns:a16="http://schemas.microsoft.com/office/drawing/2014/main" id="{1B7FCD64-E27A-424C-8279-2122B0CB800C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5" name="$E$114">
            <a:extLst>
              <a:ext uri="{FF2B5EF4-FFF2-40B4-BE49-F238E27FC236}">
                <a16:creationId xmlns:a16="http://schemas.microsoft.com/office/drawing/2014/main" id="{82B4599F-10B9-455E-B90D-7773D5DE791C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6" name="$E$114">
            <a:extLst>
              <a:ext uri="{FF2B5EF4-FFF2-40B4-BE49-F238E27FC236}">
                <a16:creationId xmlns:a16="http://schemas.microsoft.com/office/drawing/2014/main" id="{513DAD75-CE47-4A82-BE18-C2E00E32C062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7" name="$E$114">
            <a:extLst>
              <a:ext uri="{FF2B5EF4-FFF2-40B4-BE49-F238E27FC236}">
                <a16:creationId xmlns:a16="http://schemas.microsoft.com/office/drawing/2014/main" id="{0F37D8C8-33CB-4B66-8044-3994AF821AB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8" name="$E$114">
            <a:extLst>
              <a:ext uri="{FF2B5EF4-FFF2-40B4-BE49-F238E27FC236}">
                <a16:creationId xmlns:a16="http://schemas.microsoft.com/office/drawing/2014/main" id="{2AAA88C0-C439-473D-B7DE-5C93797FD5DE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09" name="$E$114">
            <a:extLst>
              <a:ext uri="{FF2B5EF4-FFF2-40B4-BE49-F238E27FC236}">
                <a16:creationId xmlns:a16="http://schemas.microsoft.com/office/drawing/2014/main" id="{81430488-2CC9-4EBE-B0DC-DF05AA75E042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0" name="$E$114">
            <a:extLst>
              <a:ext uri="{FF2B5EF4-FFF2-40B4-BE49-F238E27FC236}">
                <a16:creationId xmlns:a16="http://schemas.microsoft.com/office/drawing/2014/main" id="{FB9EFB97-CD8F-422E-825F-8E74061187AB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1" name="$E$114">
            <a:extLst>
              <a:ext uri="{FF2B5EF4-FFF2-40B4-BE49-F238E27FC236}">
                <a16:creationId xmlns:a16="http://schemas.microsoft.com/office/drawing/2014/main" id="{7A33C9B8-E7C6-498C-B6CA-B6C540697384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2" name="$E$114">
            <a:extLst>
              <a:ext uri="{FF2B5EF4-FFF2-40B4-BE49-F238E27FC236}">
                <a16:creationId xmlns:a16="http://schemas.microsoft.com/office/drawing/2014/main" id="{582B6F8E-DA50-4637-B293-5C38DFF2D4BC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3" name="$E$114">
            <a:extLst>
              <a:ext uri="{FF2B5EF4-FFF2-40B4-BE49-F238E27FC236}">
                <a16:creationId xmlns:a16="http://schemas.microsoft.com/office/drawing/2014/main" id="{8F2A358F-FC41-4D66-BAB5-AC5D66495EE4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4" name="$E$114">
            <a:extLst>
              <a:ext uri="{FF2B5EF4-FFF2-40B4-BE49-F238E27FC236}">
                <a16:creationId xmlns:a16="http://schemas.microsoft.com/office/drawing/2014/main" id="{AB0678AF-D23B-4115-B996-369F41D9BB42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5" name="$E$114">
            <a:extLst>
              <a:ext uri="{FF2B5EF4-FFF2-40B4-BE49-F238E27FC236}">
                <a16:creationId xmlns:a16="http://schemas.microsoft.com/office/drawing/2014/main" id="{60A8FC53-6636-4252-B6BA-376F6658E0DD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6" name="$E$114">
            <a:extLst>
              <a:ext uri="{FF2B5EF4-FFF2-40B4-BE49-F238E27FC236}">
                <a16:creationId xmlns:a16="http://schemas.microsoft.com/office/drawing/2014/main" id="{97AA384F-644F-4F78-AA76-25AA999CDC16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7" name="$E$114">
            <a:extLst>
              <a:ext uri="{FF2B5EF4-FFF2-40B4-BE49-F238E27FC236}">
                <a16:creationId xmlns:a16="http://schemas.microsoft.com/office/drawing/2014/main" id="{1509D4B1-59CD-4536-8725-8ADD98E3963A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8" name="$E$114">
            <a:extLst>
              <a:ext uri="{FF2B5EF4-FFF2-40B4-BE49-F238E27FC236}">
                <a16:creationId xmlns:a16="http://schemas.microsoft.com/office/drawing/2014/main" id="{2A3687A5-792E-41CC-91EE-05B370D08EE6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19" name="$E$114">
            <a:extLst>
              <a:ext uri="{FF2B5EF4-FFF2-40B4-BE49-F238E27FC236}">
                <a16:creationId xmlns:a16="http://schemas.microsoft.com/office/drawing/2014/main" id="{FF6D4353-044F-4E3A-8C99-01CE5A2D84D3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0" name="$E$114">
            <a:extLst>
              <a:ext uri="{FF2B5EF4-FFF2-40B4-BE49-F238E27FC236}">
                <a16:creationId xmlns:a16="http://schemas.microsoft.com/office/drawing/2014/main" id="{E54C2802-49B0-419A-BCED-257E3A599D55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1" name="$E$114">
            <a:extLst>
              <a:ext uri="{FF2B5EF4-FFF2-40B4-BE49-F238E27FC236}">
                <a16:creationId xmlns:a16="http://schemas.microsoft.com/office/drawing/2014/main" id="{348729BB-3FEF-491B-99B5-B51811DBE523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2" name="$E$114">
            <a:extLst>
              <a:ext uri="{FF2B5EF4-FFF2-40B4-BE49-F238E27FC236}">
                <a16:creationId xmlns:a16="http://schemas.microsoft.com/office/drawing/2014/main" id="{B1ABC04B-3CEE-4FCB-BCC9-EF0FAE6272CA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3" name="$E$114">
            <a:extLst>
              <a:ext uri="{FF2B5EF4-FFF2-40B4-BE49-F238E27FC236}">
                <a16:creationId xmlns:a16="http://schemas.microsoft.com/office/drawing/2014/main" id="{B419A59F-07BA-4B63-899F-5FBD34FC187D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4" name="$E$114">
            <a:extLst>
              <a:ext uri="{FF2B5EF4-FFF2-40B4-BE49-F238E27FC236}">
                <a16:creationId xmlns:a16="http://schemas.microsoft.com/office/drawing/2014/main" id="{3E98FAC7-699C-436F-BD3D-23A6F7CC9D63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5" name="$E$114">
            <a:extLst>
              <a:ext uri="{FF2B5EF4-FFF2-40B4-BE49-F238E27FC236}">
                <a16:creationId xmlns:a16="http://schemas.microsoft.com/office/drawing/2014/main" id="{7117B996-EE12-47E2-84C7-22A4F053EA4C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6" name="$E$114">
            <a:extLst>
              <a:ext uri="{FF2B5EF4-FFF2-40B4-BE49-F238E27FC236}">
                <a16:creationId xmlns:a16="http://schemas.microsoft.com/office/drawing/2014/main" id="{92E9F0BA-F58B-4A47-AA3D-B75412BDA30F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7" name="$E$114">
            <a:extLst>
              <a:ext uri="{FF2B5EF4-FFF2-40B4-BE49-F238E27FC236}">
                <a16:creationId xmlns:a16="http://schemas.microsoft.com/office/drawing/2014/main" id="{7CC1A335-FC9B-43ED-BADA-BFAF3E70BE42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8" name="$E$114">
            <a:extLst>
              <a:ext uri="{FF2B5EF4-FFF2-40B4-BE49-F238E27FC236}">
                <a16:creationId xmlns:a16="http://schemas.microsoft.com/office/drawing/2014/main" id="{15325E01-CBE1-4305-A6A7-3E85F40C5FF5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29" name="$E$114">
            <a:extLst>
              <a:ext uri="{FF2B5EF4-FFF2-40B4-BE49-F238E27FC236}">
                <a16:creationId xmlns:a16="http://schemas.microsoft.com/office/drawing/2014/main" id="{A7A9F6DB-372F-48E6-8905-DB91B502B55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0" name="$E$114">
            <a:extLst>
              <a:ext uri="{FF2B5EF4-FFF2-40B4-BE49-F238E27FC236}">
                <a16:creationId xmlns:a16="http://schemas.microsoft.com/office/drawing/2014/main" id="{A39DE076-96F4-4A9A-BC41-650B4C861398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1" name="$E$114">
            <a:extLst>
              <a:ext uri="{FF2B5EF4-FFF2-40B4-BE49-F238E27FC236}">
                <a16:creationId xmlns:a16="http://schemas.microsoft.com/office/drawing/2014/main" id="{F2D6DE9A-4555-4431-B9D4-81E04E4E413F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2" name="$E$114">
            <a:extLst>
              <a:ext uri="{FF2B5EF4-FFF2-40B4-BE49-F238E27FC236}">
                <a16:creationId xmlns:a16="http://schemas.microsoft.com/office/drawing/2014/main" id="{863EA6B5-03D4-46FB-B285-4AEA8E5FF075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3" name="$E$114">
            <a:extLst>
              <a:ext uri="{FF2B5EF4-FFF2-40B4-BE49-F238E27FC236}">
                <a16:creationId xmlns:a16="http://schemas.microsoft.com/office/drawing/2014/main" id="{73DD2B35-CB77-4A80-A72C-A26796D53DE9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4" name="$E$114">
            <a:extLst>
              <a:ext uri="{FF2B5EF4-FFF2-40B4-BE49-F238E27FC236}">
                <a16:creationId xmlns:a16="http://schemas.microsoft.com/office/drawing/2014/main" id="{E453363E-3298-4CAE-9D61-94A7E03FEACA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5" name="$E$114">
            <a:extLst>
              <a:ext uri="{FF2B5EF4-FFF2-40B4-BE49-F238E27FC236}">
                <a16:creationId xmlns:a16="http://schemas.microsoft.com/office/drawing/2014/main" id="{29C38459-84F0-47F5-9A6D-3D06CDA773DC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6" name="$E$114">
            <a:extLst>
              <a:ext uri="{FF2B5EF4-FFF2-40B4-BE49-F238E27FC236}">
                <a16:creationId xmlns:a16="http://schemas.microsoft.com/office/drawing/2014/main" id="{62A93E3C-67B7-46DF-94AB-BEE75843BEC1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7" name="$E$114">
            <a:extLst>
              <a:ext uri="{FF2B5EF4-FFF2-40B4-BE49-F238E27FC236}">
                <a16:creationId xmlns:a16="http://schemas.microsoft.com/office/drawing/2014/main" id="{326C6EFB-71D4-45BA-81DB-DF2CB439666C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8" name="$E$114">
            <a:extLst>
              <a:ext uri="{FF2B5EF4-FFF2-40B4-BE49-F238E27FC236}">
                <a16:creationId xmlns:a16="http://schemas.microsoft.com/office/drawing/2014/main" id="{FFCFB71B-2944-4747-8E7F-C8F867B24003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39" name="$E$114">
            <a:extLst>
              <a:ext uri="{FF2B5EF4-FFF2-40B4-BE49-F238E27FC236}">
                <a16:creationId xmlns:a16="http://schemas.microsoft.com/office/drawing/2014/main" id="{AE95DC5D-F031-4B4E-9F0B-8501E5DD112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0" name="$E$114">
            <a:extLst>
              <a:ext uri="{FF2B5EF4-FFF2-40B4-BE49-F238E27FC236}">
                <a16:creationId xmlns:a16="http://schemas.microsoft.com/office/drawing/2014/main" id="{5BB3ED1A-9344-4D9E-BDF4-D57AC40505CE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1" name="$E$114">
            <a:extLst>
              <a:ext uri="{FF2B5EF4-FFF2-40B4-BE49-F238E27FC236}">
                <a16:creationId xmlns:a16="http://schemas.microsoft.com/office/drawing/2014/main" id="{899FF46F-7326-4953-88E5-C1094B4CC3D5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2" name="$E$114">
            <a:extLst>
              <a:ext uri="{FF2B5EF4-FFF2-40B4-BE49-F238E27FC236}">
                <a16:creationId xmlns:a16="http://schemas.microsoft.com/office/drawing/2014/main" id="{7569EE30-F44A-41D3-AB9D-298ACE2469CE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3" name="$E$114">
            <a:extLst>
              <a:ext uri="{FF2B5EF4-FFF2-40B4-BE49-F238E27FC236}">
                <a16:creationId xmlns:a16="http://schemas.microsoft.com/office/drawing/2014/main" id="{D15C274A-7DAA-4E6D-81EF-91F9D6BB4247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4" name="$E$114">
            <a:extLst>
              <a:ext uri="{FF2B5EF4-FFF2-40B4-BE49-F238E27FC236}">
                <a16:creationId xmlns:a16="http://schemas.microsoft.com/office/drawing/2014/main" id="{DFE09C7E-BB89-4688-8970-2D0D3C6CFF9C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5" name="$E$114">
            <a:extLst>
              <a:ext uri="{FF2B5EF4-FFF2-40B4-BE49-F238E27FC236}">
                <a16:creationId xmlns:a16="http://schemas.microsoft.com/office/drawing/2014/main" id="{3086DB22-CD0B-459E-B261-0C63800D0F4E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6" name="$E$114">
            <a:extLst>
              <a:ext uri="{FF2B5EF4-FFF2-40B4-BE49-F238E27FC236}">
                <a16:creationId xmlns:a16="http://schemas.microsoft.com/office/drawing/2014/main" id="{2693AE04-3235-4E2E-83BC-D04844D505F3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7" name="$E$114">
            <a:extLst>
              <a:ext uri="{FF2B5EF4-FFF2-40B4-BE49-F238E27FC236}">
                <a16:creationId xmlns:a16="http://schemas.microsoft.com/office/drawing/2014/main" id="{8ACCF898-C931-4A16-B872-2B842C828DCD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8" name="$E$114">
            <a:extLst>
              <a:ext uri="{FF2B5EF4-FFF2-40B4-BE49-F238E27FC236}">
                <a16:creationId xmlns:a16="http://schemas.microsoft.com/office/drawing/2014/main" id="{605D24B1-9231-4F81-8E46-1558A6A8BD6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49" name="$E$114">
            <a:extLst>
              <a:ext uri="{FF2B5EF4-FFF2-40B4-BE49-F238E27FC236}">
                <a16:creationId xmlns:a16="http://schemas.microsoft.com/office/drawing/2014/main" id="{D30F67CF-A3EB-44AA-894B-588F8DAFCAE6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0" name="$E$114">
            <a:extLst>
              <a:ext uri="{FF2B5EF4-FFF2-40B4-BE49-F238E27FC236}">
                <a16:creationId xmlns:a16="http://schemas.microsoft.com/office/drawing/2014/main" id="{5B0613D1-08D7-4FE2-8823-78498469FF91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1" name="$E$114">
            <a:extLst>
              <a:ext uri="{FF2B5EF4-FFF2-40B4-BE49-F238E27FC236}">
                <a16:creationId xmlns:a16="http://schemas.microsoft.com/office/drawing/2014/main" id="{6C960785-4741-4B65-8AEA-504C167C4356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2" name="$E$114">
            <a:extLst>
              <a:ext uri="{FF2B5EF4-FFF2-40B4-BE49-F238E27FC236}">
                <a16:creationId xmlns:a16="http://schemas.microsoft.com/office/drawing/2014/main" id="{B9A198EE-81A5-434D-94FA-6A3A30DA4838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3" name="$E$114">
            <a:extLst>
              <a:ext uri="{FF2B5EF4-FFF2-40B4-BE49-F238E27FC236}">
                <a16:creationId xmlns:a16="http://schemas.microsoft.com/office/drawing/2014/main" id="{D71AEDAE-D585-4902-B666-319CC10B670C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4" name="$E$114">
            <a:extLst>
              <a:ext uri="{FF2B5EF4-FFF2-40B4-BE49-F238E27FC236}">
                <a16:creationId xmlns:a16="http://schemas.microsoft.com/office/drawing/2014/main" id="{FEE8AFF8-565E-42A8-9D37-3AF83D5EA90D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5" name="$E$114">
            <a:extLst>
              <a:ext uri="{FF2B5EF4-FFF2-40B4-BE49-F238E27FC236}">
                <a16:creationId xmlns:a16="http://schemas.microsoft.com/office/drawing/2014/main" id="{F982DC3B-E2CC-4218-9478-4B6B65D63FC8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6" name="$E$114">
            <a:extLst>
              <a:ext uri="{FF2B5EF4-FFF2-40B4-BE49-F238E27FC236}">
                <a16:creationId xmlns:a16="http://schemas.microsoft.com/office/drawing/2014/main" id="{B388D86F-AFB9-44A3-93EB-7A92207BD148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7" name="$E$114">
            <a:extLst>
              <a:ext uri="{FF2B5EF4-FFF2-40B4-BE49-F238E27FC236}">
                <a16:creationId xmlns:a16="http://schemas.microsoft.com/office/drawing/2014/main" id="{2921EC5B-B154-45AB-814C-A599A91CC411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8" name="$E$114">
            <a:extLst>
              <a:ext uri="{FF2B5EF4-FFF2-40B4-BE49-F238E27FC236}">
                <a16:creationId xmlns:a16="http://schemas.microsoft.com/office/drawing/2014/main" id="{F1C1CD48-CBAA-47FB-9CA6-966020726773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59" name="$E$114">
            <a:extLst>
              <a:ext uri="{FF2B5EF4-FFF2-40B4-BE49-F238E27FC236}">
                <a16:creationId xmlns:a16="http://schemas.microsoft.com/office/drawing/2014/main" id="{3014A028-2DC7-4E7D-99A0-8ADD28E8CA09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0" name="$E$114">
            <a:extLst>
              <a:ext uri="{FF2B5EF4-FFF2-40B4-BE49-F238E27FC236}">
                <a16:creationId xmlns:a16="http://schemas.microsoft.com/office/drawing/2014/main" id="{FF2C2FE5-C128-45DF-B0B8-C04A41BA26FE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1" name="$E$114">
            <a:extLst>
              <a:ext uri="{FF2B5EF4-FFF2-40B4-BE49-F238E27FC236}">
                <a16:creationId xmlns:a16="http://schemas.microsoft.com/office/drawing/2014/main" id="{B37A0AA4-94B3-4B5D-9DDD-969A51E03BB4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2" name="$E$114">
            <a:extLst>
              <a:ext uri="{FF2B5EF4-FFF2-40B4-BE49-F238E27FC236}">
                <a16:creationId xmlns:a16="http://schemas.microsoft.com/office/drawing/2014/main" id="{FFBF1ACB-87EA-4E8F-9B41-0C93BDC9B71D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3" name="$E$114">
            <a:extLst>
              <a:ext uri="{FF2B5EF4-FFF2-40B4-BE49-F238E27FC236}">
                <a16:creationId xmlns:a16="http://schemas.microsoft.com/office/drawing/2014/main" id="{6AED8821-5B06-4DB2-B283-F1D2352318FD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4" name="$E$114">
            <a:extLst>
              <a:ext uri="{FF2B5EF4-FFF2-40B4-BE49-F238E27FC236}">
                <a16:creationId xmlns:a16="http://schemas.microsoft.com/office/drawing/2014/main" id="{334DDC98-1EBA-4F9A-9DBC-DF3638D702F9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5" name="$E$114">
            <a:extLst>
              <a:ext uri="{FF2B5EF4-FFF2-40B4-BE49-F238E27FC236}">
                <a16:creationId xmlns:a16="http://schemas.microsoft.com/office/drawing/2014/main" id="{0263ABC7-EE79-499D-9E7B-CCFA6B2E764F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6" name="$E$114">
            <a:extLst>
              <a:ext uri="{FF2B5EF4-FFF2-40B4-BE49-F238E27FC236}">
                <a16:creationId xmlns:a16="http://schemas.microsoft.com/office/drawing/2014/main" id="{61E4EDDA-C176-48D5-B534-1DA7A474649A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7" name="$E$114">
            <a:extLst>
              <a:ext uri="{FF2B5EF4-FFF2-40B4-BE49-F238E27FC236}">
                <a16:creationId xmlns:a16="http://schemas.microsoft.com/office/drawing/2014/main" id="{12A878F9-3CBA-4EA0-8F0C-4E3951EE760B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8" name="$E$114">
            <a:extLst>
              <a:ext uri="{FF2B5EF4-FFF2-40B4-BE49-F238E27FC236}">
                <a16:creationId xmlns:a16="http://schemas.microsoft.com/office/drawing/2014/main" id="{F61A1867-5EAB-48D3-8511-76C61000CB7B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69" name="$E$114">
            <a:extLst>
              <a:ext uri="{FF2B5EF4-FFF2-40B4-BE49-F238E27FC236}">
                <a16:creationId xmlns:a16="http://schemas.microsoft.com/office/drawing/2014/main" id="{11BCC77F-201E-4F71-970F-0430E9A60C5D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0" name="$E$114">
            <a:extLst>
              <a:ext uri="{FF2B5EF4-FFF2-40B4-BE49-F238E27FC236}">
                <a16:creationId xmlns:a16="http://schemas.microsoft.com/office/drawing/2014/main" id="{C5C49325-6ABE-4353-B95E-E21C45D9EFE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1" name="$E$114">
            <a:extLst>
              <a:ext uri="{FF2B5EF4-FFF2-40B4-BE49-F238E27FC236}">
                <a16:creationId xmlns:a16="http://schemas.microsoft.com/office/drawing/2014/main" id="{8041ADD0-5088-43E8-B25B-DF13FD96A506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2" name="$E$114">
            <a:extLst>
              <a:ext uri="{FF2B5EF4-FFF2-40B4-BE49-F238E27FC236}">
                <a16:creationId xmlns:a16="http://schemas.microsoft.com/office/drawing/2014/main" id="{42A8E702-81E7-45C3-BCEB-33664D1A28AD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3" name="$E$114">
            <a:extLst>
              <a:ext uri="{FF2B5EF4-FFF2-40B4-BE49-F238E27FC236}">
                <a16:creationId xmlns:a16="http://schemas.microsoft.com/office/drawing/2014/main" id="{62ABF8DE-AA68-4B28-B35C-10FA46C8FAF5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4" name="$E$114">
            <a:extLst>
              <a:ext uri="{FF2B5EF4-FFF2-40B4-BE49-F238E27FC236}">
                <a16:creationId xmlns:a16="http://schemas.microsoft.com/office/drawing/2014/main" id="{81FC9A11-B3B5-4B13-8ACC-C22578E5D07A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5" name="$E$114">
            <a:extLst>
              <a:ext uri="{FF2B5EF4-FFF2-40B4-BE49-F238E27FC236}">
                <a16:creationId xmlns:a16="http://schemas.microsoft.com/office/drawing/2014/main" id="{13F0F634-562A-4989-AFBF-BEA69D165B14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6" name="$E$114">
            <a:extLst>
              <a:ext uri="{FF2B5EF4-FFF2-40B4-BE49-F238E27FC236}">
                <a16:creationId xmlns:a16="http://schemas.microsoft.com/office/drawing/2014/main" id="{CA466E19-B810-4F1B-A6B7-975A58F77244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7" name="$E$114">
            <a:extLst>
              <a:ext uri="{FF2B5EF4-FFF2-40B4-BE49-F238E27FC236}">
                <a16:creationId xmlns:a16="http://schemas.microsoft.com/office/drawing/2014/main" id="{E629E4FF-ED9B-494A-BE61-368F79B764BF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8" name="$E$114">
            <a:extLst>
              <a:ext uri="{FF2B5EF4-FFF2-40B4-BE49-F238E27FC236}">
                <a16:creationId xmlns:a16="http://schemas.microsoft.com/office/drawing/2014/main" id="{03FFD1C5-1DAD-4756-BAD8-9C22DA2B06BD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79" name="$E$114">
            <a:extLst>
              <a:ext uri="{FF2B5EF4-FFF2-40B4-BE49-F238E27FC236}">
                <a16:creationId xmlns:a16="http://schemas.microsoft.com/office/drawing/2014/main" id="{8BD7AE3E-8FB8-4932-8E81-D3CAAF1A0C62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0" name="$E$114">
            <a:extLst>
              <a:ext uri="{FF2B5EF4-FFF2-40B4-BE49-F238E27FC236}">
                <a16:creationId xmlns:a16="http://schemas.microsoft.com/office/drawing/2014/main" id="{F67E0D0C-EFD5-4EC5-9673-65917085DF5E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1" name="$E$114">
            <a:extLst>
              <a:ext uri="{FF2B5EF4-FFF2-40B4-BE49-F238E27FC236}">
                <a16:creationId xmlns:a16="http://schemas.microsoft.com/office/drawing/2014/main" id="{531CF7F7-7D7E-4850-8769-27AD8008F2E9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2" name="$E$114">
            <a:extLst>
              <a:ext uri="{FF2B5EF4-FFF2-40B4-BE49-F238E27FC236}">
                <a16:creationId xmlns:a16="http://schemas.microsoft.com/office/drawing/2014/main" id="{173319CD-8643-42E6-B95C-080F38E0C596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3" name="$E$114">
            <a:extLst>
              <a:ext uri="{FF2B5EF4-FFF2-40B4-BE49-F238E27FC236}">
                <a16:creationId xmlns:a16="http://schemas.microsoft.com/office/drawing/2014/main" id="{3026FC0C-F6F1-4343-9FB1-4BE096DBEB61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4" name="$E$114">
            <a:extLst>
              <a:ext uri="{FF2B5EF4-FFF2-40B4-BE49-F238E27FC236}">
                <a16:creationId xmlns:a16="http://schemas.microsoft.com/office/drawing/2014/main" id="{472559F5-D76E-4FED-A9BD-90732B29004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5" name="$E$114">
            <a:extLst>
              <a:ext uri="{FF2B5EF4-FFF2-40B4-BE49-F238E27FC236}">
                <a16:creationId xmlns:a16="http://schemas.microsoft.com/office/drawing/2014/main" id="{DDDEC05A-42CE-4D11-B950-113482D46D51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6" name="$E$114">
            <a:extLst>
              <a:ext uri="{FF2B5EF4-FFF2-40B4-BE49-F238E27FC236}">
                <a16:creationId xmlns:a16="http://schemas.microsoft.com/office/drawing/2014/main" id="{F98EE9BD-F4F2-41DB-9CC0-2899088DEB7E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7" name="$E$114">
            <a:extLst>
              <a:ext uri="{FF2B5EF4-FFF2-40B4-BE49-F238E27FC236}">
                <a16:creationId xmlns:a16="http://schemas.microsoft.com/office/drawing/2014/main" id="{385757A7-1B6E-42D3-B826-F838B6C5A2DA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8" name="$E$114">
            <a:extLst>
              <a:ext uri="{FF2B5EF4-FFF2-40B4-BE49-F238E27FC236}">
                <a16:creationId xmlns:a16="http://schemas.microsoft.com/office/drawing/2014/main" id="{FCCFBEF9-58E1-4141-B1E1-5AF2059B1B29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89" name="$E$114">
            <a:extLst>
              <a:ext uri="{FF2B5EF4-FFF2-40B4-BE49-F238E27FC236}">
                <a16:creationId xmlns:a16="http://schemas.microsoft.com/office/drawing/2014/main" id="{8D16738F-2DFD-4B79-B5BF-CEF534DE841F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0" name="$E$114">
            <a:extLst>
              <a:ext uri="{FF2B5EF4-FFF2-40B4-BE49-F238E27FC236}">
                <a16:creationId xmlns:a16="http://schemas.microsoft.com/office/drawing/2014/main" id="{1ED7A3DB-0BB3-4DE7-9B1A-C94834A009A7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1" name="$E$114">
            <a:extLst>
              <a:ext uri="{FF2B5EF4-FFF2-40B4-BE49-F238E27FC236}">
                <a16:creationId xmlns:a16="http://schemas.microsoft.com/office/drawing/2014/main" id="{7131E748-87EF-428A-B17F-8BC4FBA68F37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2" name="$E$114">
            <a:extLst>
              <a:ext uri="{FF2B5EF4-FFF2-40B4-BE49-F238E27FC236}">
                <a16:creationId xmlns:a16="http://schemas.microsoft.com/office/drawing/2014/main" id="{4F567C5E-DFD7-4022-982E-12D1D120DF74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3" name="$E$114">
            <a:extLst>
              <a:ext uri="{FF2B5EF4-FFF2-40B4-BE49-F238E27FC236}">
                <a16:creationId xmlns:a16="http://schemas.microsoft.com/office/drawing/2014/main" id="{51E22C4D-AC2F-4640-A373-CF2039A449EA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4" name="$E$114">
            <a:extLst>
              <a:ext uri="{FF2B5EF4-FFF2-40B4-BE49-F238E27FC236}">
                <a16:creationId xmlns:a16="http://schemas.microsoft.com/office/drawing/2014/main" id="{5AAA74B2-CABD-45BD-95EB-1AF644F93DC8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5" name="$E$114">
            <a:extLst>
              <a:ext uri="{FF2B5EF4-FFF2-40B4-BE49-F238E27FC236}">
                <a16:creationId xmlns:a16="http://schemas.microsoft.com/office/drawing/2014/main" id="{EF8A1DE2-3ED6-4819-8254-A2F6C0AAECB4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6" name="$E$114">
            <a:extLst>
              <a:ext uri="{FF2B5EF4-FFF2-40B4-BE49-F238E27FC236}">
                <a16:creationId xmlns:a16="http://schemas.microsoft.com/office/drawing/2014/main" id="{AD7F8DE1-F9CE-42E7-AD6D-34766A36A421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7" name="$E$114">
            <a:extLst>
              <a:ext uri="{FF2B5EF4-FFF2-40B4-BE49-F238E27FC236}">
                <a16:creationId xmlns:a16="http://schemas.microsoft.com/office/drawing/2014/main" id="{021C9D6F-A5F6-40F0-AB2E-7D2FB9A9CA2D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8" name="$E$114">
            <a:extLst>
              <a:ext uri="{FF2B5EF4-FFF2-40B4-BE49-F238E27FC236}">
                <a16:creationId xmlns:a16="http://schemas.microsoft.com/office/drawing/2014/main" id="{B5476FD7-892A-4271-9FA3-16A77ED267D9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99" name="$E$114">
            <a:extLst>
              <a:ext uri="{FF2B5EF4-FFF2-40B4-BE49-F238E27FC236}">
                <a16:creationId xmlns:a16="http://schemas.microsoft.com/office/drawing/2014/main" id="{2C4DD05A-EAF0-4D7E-879B-33D560C92635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0" name="$E$114">
            <a:extLst>
              <a:ext uri="{FF2B5EF4-FFF2-40B4-BE49-F238E27FC236}">
                <a16:creationId xmlns:a16="http://schemas.microsoft.com/office/drawing/2014/main" id="{2FB7E9FD-8A68-4120-9845-45F28D8502B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1" name="$E$114">
            <a:extLst>
              <a:ext uri="{FF2B5EF4-FFF2-40B4-BE49-F238E27FC236}">
                <a16:creationId xmlns:a16="http://schemas.microsoft.com/office/drawing/2014/main" id="{D4779D83-ADD5-43A4-B7F2-37E3EFCE7D7E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2" name="$E$114">
            <a:extLst>
              <a:ext uri="{FF2B5EF4-FFF2-40B4-BE49-F238E27FC236}">
                <a16:creationId xmlns:a16="http://schemas.microsoft.com/office/drawing/2014/main" id="{A50749AD-71AD-4F87-AB7D-F42A074B1F84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3" name="$E$114">
            <a:extLst>
              <a:ext uri="{FF2B5EF4-FFF2-40B4-BE49-F238E27FC236}">
                <a16:creationId xmlns:a16="http://schemas.microsoft.com/office/drawing/2014/main" id="{F0E40C7B-08DC-4FEA-AE28-E5437357AD49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4" name="$E$114">
            <a:extLst>
              <a:ext uri="{FF2B5EF4-FFF2-40B4-BE49-F238E27FC236}">
                <a16:creationId xmlns:a16="http://schemas.microsoft.com/office/drawing/2014/main" id="{8E10CC4A-F785-4064-8336-A82448103AA6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5" name="$E$114">
            <a:extLst>
              <a:ext uri="{FF2B5EF4-FFF2-40B4-BE49-F238E27FC236}">
                <a16:creationId xmlns:a16="http://schemas.microsoft.com/office/drawing/2014/main" id="{97CDFA5D-206C-4639-B303-138868D64629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6" name="$E$114">
            <a:extLst>
              <a:ext uri="{FF2B5EF4-FFF2-40B4-BE49-F238E27FC236}">
                <a16:creationId xmlns:a16="http://schemas.microsoft.com/office/drawing/2014/main" id="{B1E01651-48EF-4F5B-B12F-2CC26644D5F2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7" name="$E$114">
            <a:extLst>
              <a:ext uri="{FF2B5EF4-FFF2-40B4-BE49-F238E27FC236}">
                <a16:creationId xmlns:a16="http://schemas.microsoft.com/office/drawing/2014/main" id="{DA95DCD3-7CC6-4E73-87BC-649959FF2D5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8" name="$E$114">
            <a:extLst>
              <a:ext uri="{FF2B5EF4-FFF2-40B4-BE49-F238E27FC236}">
                <a16:creationId xmlns:a16="http://schemas.microsoft.com/office/drawing/2014/main" id="{D039254F-420B-4655-B336-F16B0F633B32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09" name="$E$114">
            <a:extLst>
              <a:ext uri="{FF2B5EF4-FFF2-40B4-BE49-F238E27FC236}">
                <a16:creationId xmlns:a16="http://schemas.microsoft.com/office/drawing/2014/main" id="{480FC501-ED05-42EE-B352-E43E22CE34E4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0" name="$E$114">
            <a:extLst>
              <a:ext uri="{FF2B5EF4-FFF2-40B4-BE49-F238E27FC236}">
                <a16:creationId xmlns:a16="http://schemas.microsoft.com/office/drawing/2014/main" id="{75C8B943-EE80-427A-A0DB-ECEC89DFF01C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1" name="$E$114">
            <a:extLst>
              <a:ext uri="{FF2B5EF4-FFF2-40B4-BE49-F238E27FC236}">
                <a16:creationId xmlns:a16="http://schemas.microsoft.com/office/drawing/2014/main" id="{820FACA2-68AA-41B8-AF8A-C01423710FB6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2" name="$E$114">
            <a:extLst>
              <a:ext uri="{FF2B5EF4-FFF2-40B4-BE49-F238E27FC236}">
                <a16:creationId xmlns:a16="http://schemas.microsoft.com/office/drawing/2014/main" id="{03D42BA4-BE6D-4D0E-B58F-710427C19A69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3" name="$E$114">
            <a:extLst>
              <a:ext uri="{FF2B5EF4-FFF2-40B4-BE49-F238E27FC236}">
                <a16:creationId xmlns:a16="http://schemas.microsoft.com/office/drawing/2014/main" id="{41D63817-F359-4990-8BC7-844FECB5B089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4" name="$E$114">
            <a:extLst>
              <a:ext uri="{FF2B5EF4-FFF2-40B4-BE49-F238E27FC236}">
                <a16:creationId xmlns:a16="http://schemas.microsoft.com/office/drawing/2014/main" id="{84E4D73D-29CD-44F0-9DFD-BAD4C28BE3D4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5" name="$E$114">
            <a:extLst>
              <a:ext uri="{FF2B5EF4-FFF2-40B4-BE49-F238E27FC236}">
                <a16:creationId xmlns:a16="http://schemas.microsoft.com/office/drawing/2014/main" id="{C335825F-5AB2-47CE-B47D-EB99214CDBC5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6" name="$E$114">
            <a:extLst>
              <a:ext uri="{FF2B5EF4-FFF2-40B4-BE49-F238E27FC236}">
                <a16:creationId xmlns:a16="http://schemas.microsoft.com/office/drawing/2014/main" id="{B6858894-FA92-405B-8296-78E72DC2526E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7" name="$E$114">
            <a:extLst>
              <a:ext uri="{FF2B5EF4-FFF2-40B4-BE49-F238E27FC236}">
                <a16:creationId xmlns:a16="http://schemas.microsoft.com/office/drawing/2014/main" id="{7B5AE585-54A1-4205-9C8D-95A7CAC0AFCF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8" name="$E$114">
            <a:extLst>
              <a:ext uri="{FF2B5EF4-FFF2-40B4-BE49-F238E27FC236}">
                <a16:creationId xmlns:a16="http://schemas.microsoft.com/office/drawing/2014/main" id="{0150400A-4B6A-4542-AF15-F8F906F7844F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19" name="$E$114">
            <a:extLst>
              <a:ext uri="{FF2B5EF4-FFF2-40B4-BE49-F238E27FC236}">
                <a16:creationId xmlns:a16="http://schemas.microsoft.com/office/drawing/2014/main" id="{AAC767A0-FA6D-4815-90A8-7968BF7C0277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0" name="$E$114">
            <a:extLst>
              <a:ext uri="{FF2B5EF4-FFF2-40B4-BE49-F238E27FC236}">
                <a16:creationId xmlns:a16="http://schemas.microsoft.com/office/drawing/2014/main" id="{62459742-3D68-4A71-ABD3-9631C3E574C3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1" name="$E$114">
            <a:extLst>
              <a:ext uri="{FF2B5EF4-FFF2-40B4-BE49-F238E27FC236}">
                <a16:creationId xmlns:a16="http://schemas.microsoft.com/office/drawing/2014/main" id="{5011DAA8-3687-43CF-8154-D93A3AE57609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2" name="$E$114">
            <a:extLst>
              <a:ext uri="{FF2B5EF4-FFF2-40B4-BE49-F238E27FC236}">
                <a16:creationId xmlns:a16="http://schemas.microsoft.com/office/drawing/2014/main" id="{E00EB46A-2CC7-4BEC-B937-81556698821D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3" name="$E$114">
            <a:extLst>
              <a:ext uri="{FF2B5EF4-FFF2-40B4-BE49-F238E27FC236}">
                <a16:creationId xmlns:a16="http://schemas.microsoft.com/office/drawing/2014/main" id="{99DF993E-AE51-47CE-9FBA-698733B5D217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4" name="$E$114">
            <a:extLst>
              <a:ext uri="{FF2B5EF4-FFF2-40B4-BE49-F238E27FC236}">
                <a16:creationId xmlns:a16="http://schemas.microsoft.com/office/drawing/2014/main" id="{58EBE826-31B7-4480-A27C-03CEFC5F5FB2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5" name="$E$114">
            <a:extLst>
              <a:ext uri="{FF2B5EF4-FFF2-40B4-BE49-F238E27FC236}">
                <a16:creationId xmlns:a16="http://schemas.microsoft.com/office/drawing/2014/main" id="{AA1C1A94-A07D-4FB2-997E-32E8DF08F86F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6" name="$E$114">
            <a:extLst>
              <a:ext uri="{FF2B5EF4-FFF2-40B4-BE49-F238E27FC236}">
                <a16:creationId xmlns:a16="http://schemas.microsoft.com/office/drawing/2014/main" id="{84060663-9857-4652-B057-B9C63C54825E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7" name="$E$114">
            <a:extLst>
              <a:ext uri="{FF2B5EF4-FFF2-40B4-BE49-F238E27FC236}">
                <a16:creationId xmlns:a16="http://schemas.microsoft.com/office/drawing/2014/main" id="{C7702B65-ED54-4250-A02E-6C38D0866B98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8" name="$E$114">
            <a:extLst>
              <a:ext uri="{FF2B5EF4-FFF2-40B4-BE49-F238E27FC236}">
                <a16:creationId xmlns:a16="http://schemas.microsoft.com/office/drawing/2014/main" id="{69879156-54F4-46E5-A635-B372DE03D005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29" name="$E$114">
            <a:extLst>
              <a:ext uri="{FF2B5EF4-FFF2-40B4-BE49-F238E27FC236}">
                <a16:creationId xmlns:a16="http://schemas.microsoft.com/office/drawing/2014/main" id="{3D177601-0C58-4FF3-9AAD-70648F5DE617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0" name="$E$114">
            <a:extLst>
              <a:ext uri="{FF2B5EF4-FFF2-40B4-BE49-F238E27FC236}">
                <a16:creationId xmlns:a16="http://schemas.microsoft.com/office/drawing/2014/main" id="{A28AB980-A809-447F-8238-A5736FF04CCD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1" name="$E$114">
            <a:extLst>
              <a:ext uri="{FF2B5EF4-FFF2-40B4-BE49-F238E27FC236}">
                <a16:creationId xmlns:a16="http://schemas.microsoft.com/office/drawing/2014/main" id="{588BE640-B98D-4343-BA9D-4B6B149E7897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2" name="$E$114">
            <a:extLst>
              <a:ext uri="{FF2B5EF4-FFF2-40B4-BE49-F238E27FC236}">
                <a16:creationId xmlns:a16="http://schemas.microsoft.com/office/drawing/2014/main" id="{9115C3F7-9D2D-48F0-96F4-2C6515105508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3" name="$E$114">
            <a:extLst>
              <a:ext uri="{FF2B5EF4-FFF2-40B4-BE49-F238E27FC236}">
                <a16:creationId xmlns:a16="http://schemas.microsoft.com/office/drawing/2014/main" id="{728396D8-B2EA-4895-AABE-A891900B389D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4" name="$E$114">
            <a:extLst>
              <a:ext uri="{FF2B5EF4-FFF2-40B4-BE49-F238E27FC236}">
                <a16:creationId xmlns:a16="http://schemas.microsoft.com/office/drawing/2014/main" id="{35B757F8-20F7-413C-9252-B39F1033C947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5" name="$E$114">
            <a:extLst>
              <a:ext uri="{FF2B5EF4-FFF2-40B4-BE49-F238E27FC236}">
                <a16:creationId xmlns:a16="http://schemas.microsoft.com/office/drawing/2014/main" id="{D022C216-9944-47BF-BD8C-8F6FB0056B48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6" name="$E$114">
            <a:extLst>
              <a:ext uri="{FF2B5EF4-FFF2-40B4-BE49-F238E27FC236}">
                <a16:creationId xmlns:a16="http://schemas.microsoft.com/office/drawing/2014/main" id="{52B0EE5C-FAF8-4E1E-B22A-DE9B2D436FF6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7" name="$E$114">
            <a:extLst>
              <a:ext uri="{FF2B5EF4-FFF2-40B4-BE49-F238E27FC236}">
                <a16:creationId xmlns:a16="http://schemas.microsoft.com/office/drawing/2014/main" id="{A47F96BD-61E6-4284-BC50-497A1A534337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8" name="$E$114">
            <a:extLst>
              <a:ext uri="{FF2B5EF4-FFF2-40B4-BE49-F238E27FC236}">
                <a16:creationId xmlns:a16="http://schemas.microsoft.com/office/drawing/2014/main" id="{B82D7D6E-C44F-4194-8151-F88AE436F9F4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39" name="$E$114">
            <a:extLst>
              <a:ext uri="{FF2B5EF4-FFF2-40B4-BE49-F238E27FC236}">
                <a16:creationId xmlns:a16="http://schemas.microsoft.com/office/drawing/2014/main" id="{2766D4CF-F2AA-4E42-99C2-9365E2875E8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0" name="$E$114">
            <a:extLst>
              <a:ext uri="{FF2B5EF4-FFF2-40B4-BE49-F238E27FC236}">
                <a16:creationId xmlns:a16="http://schemas.microsoft.com/office/drawing/2014/main" id="{E1A07600-4222-4C24-B85E-CBEEA8E3A43B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1" name="$E$114">
            <a:extLst>
              <a:ext uri="{FF2B5EF4-FFF2-40B4-BE49-F238E27FC236}">
                <a16:creationId xmlns:a16="http://schemas.microsoft.com/office/drawing/2014/main" id="{38E181D4-9834-4DA7-8CD3-BB07C67D56F3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2" name="$E$114">
            <a:extLst>
              <a:ext uri="{FF2B5EF4-FFF2-40B4-BE49-F238E27FC236}">
                <a16:creationId xmlns:a16="http://schemas.microsoft.com/office/drawing/2014/main" id="{2C66E2FA-4064-4BD2-B7D3-6A783C92991D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3" name="$E$114">
            <a:extLst>
              <a:ext uri="{FF2B5EF4-FFF2-40B4-BE49-F238E27FC236}">
                <a16:creationId xmlns:a16="http://schemas.microsoft.com/office/drawing/2014/main" id="{E33D9FB6-CB1A-45FE-9326-635C321F7D7D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4" name="$E$114">
            <a:extLst>
              <a:ext uri="{FF2B5EF4-FFF2-40B4-BE49-F238E27FC236}">
                <a16:creationId xmlns:a16="http://schemas.microsoft.com/office/drawing/2014/main" id="{BE0C62A4-43CE-4518-A128-C991657CD4D1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5" name="$E$114">
            <a:extLst>
              <a:ext uri="{FF2B5EF4-FFF2-40B4-BE49-F238E27FC236}">
                <a16:creationId xmlns:a16="http://schemas.microsoft.com/office/drawing/2014/main" id="{B4909A5B-24F7-4A29-B770-7832E03096FB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6" name="$E$114">
            <a:extLst>
              <a:ext uri="{FF2B5EF4-FFF2-40B4-BE49-F238E27FC236}">
                <a16:creationId xmlns:a16="http://schemas.microsoft.com/office/drawing/2014/main" id="{CC257F90-2C2B-4F85-B775-04CE2AD4CF41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7" name="$E$114">
            <a:extLst>
              <a:ext uri="{FF2B5EF4-FFF2-40B4-BE49-F238E27FC236}">
                <a16:creationId xmlns:a16="http://schemas.microsoft.com/office/drawing/2014/main" id="{39126E32-3A01-4AC3-8C65-43689F3681DB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8" name="$E$114">
            <a:extLst>
              <a:ext uri="{FF2B5EF4-FFF2-40B4-BE49-F238E27FC236}">
                <a16:creationId xmlns:a16="http://schemas.microsoft.com/office/drawing/2014/main" id="{D32DE190-AC2F-4AD7-8610-8CE9E05A981A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49" name="$E$114">
            <a:extLst>
              <a:ext uri="{FF2B5EF4-FFF2-40B4-BE49-F238E27FC236}">
                <a16:creationId xmlns:a16="http://schemas.microsoft.com/office/drawing/2014/main" id="{6CFAB65D-F836-4B66-8702-AD96DB7B6F33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0" name="$E$114">
            <a:extLst>
              <a:ext uri="{FF2B5EF4-FFF2-40B4-BE49-F238E27FC236}">
                <a16:creationId xmlns:a16="http://schemas.microsoft.com/office/drawing/2014/main" id="{40414D6D-C636-45B3-A7B6-159FB828D32C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1" name="$E$114">
            <a:extLst>
              <a:ext uri="{FF2B5EF4-FFF2-40B4-BE49-F238E27FC236}">
                <a16:creationId xmlns:a16="http://schemas.microsoft.com/office/drawing/2014/main" id="{169F5EBF-9C67-465A-A380-1404254022D1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2" name="$E$114">
            <a:extLst>
              <a:ext uri="{FF2B5EF4-FFF2-40B4-BE49-F238E27FC236}">
                <a16:creationId xmlns:a16="http://schemas.microsoft.com/office/drawing/2014/main" id="{53D585EA-0FFD-4CF0-986E-4D06123BE5CD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3" name="$E$114">
            <a:extLst>
              <a:ext uri="{FF2B5EF4-FFF2-40B4-BE49-F238E27FC236}">
                <a16:creationId xmlns:a16="http://schemas.microsoft.com/office/drawing/2014/main" id="{7DC922B8-2BB9-4977-8D74-9D1272886510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4" name="$E$114">
            <a:extLst>
              <a:ext uri="{FF2B5EF4-FFF2-40B4-BE49-F238E27FC236}">
                <a16:creationId xmlns:a16="http://schemas.microsoft.com/office/drawing/2014/main" id="{16FB37BF-2879-435B-8F33-F13ACB0B3C18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5" name="$E$114">
            <a:extLst>
              <a:ext uri="{FF2B5EF4-FFF2-40B4-BE49-F238E27FC236}">
                <a16:creationId xmlns:a16="http://schemas.microsoft.com/office/drawing/2014/main" id="{0175C9C7-F9BA-46B4-BFC1-9E1FA01938AA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6" name="$E$114">
            <a:extLst>
              <a:ext uri="{FF2B5EF4-FFF2-40B4-BE49-F238E27FC236}">
                <a16:creationId xmlns:a16="http://schemas.microsoft.com/office/drawing/2014/main" id="{A9C41AC3-0569-463A-8202-8EB0A8A98361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7" name="$E$114">
            <a:extLst>
              <a:ext uri="{FF2B5EF4-FFF2-40B4-BE49-F238E27FC236}">
                <a16:creationId xmlns:a16="http://schemas.microsoft.com/office/drawing/2014/main" id="{E2A8E99A-37F3-40CC-8967-76656088EBD9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8" name="$E$114">
            <a:extLst>
              <a:ext uri="{FF2B5EF4-FFF2-40B4-BE49-F238E27FC236}">
                <a16:creationId xmlns:a16="http://schemas.microsoft.com/office/drawing/2014/main" id="{F8C2C9F8-152D-4692-808D-5749A1B8C71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59" name="$E$114">
            <a:extLst>
              <a:ext uri="{FF2B5EF4-FFF2-40B4-BE49-F238E27FC236}">
                <a16:creationId xmlns:a16="http://schemas.microsoft.com/office/drawing/2014/main" id="{5076DF6B-19FC-4244-822B-70A829D340DC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0" name="$E$114">
            <a:extLst>
              <a:ext uri="{FF2B5EF4-FFF2-40B4-BE49-F238E27FC236}">
                <a16:creationId xmlns:a16="http://schemas.microsoft.com/office/drawing/2014/main" id="{EAF86DE8-797B-4886-A298-09D2D3A03926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1" name="$E$114">
            <a:extLst>
              <a:ext uri="{FF2B5EF4-FFF2-40B4-BE49-F238E27FC236}">
                <a16:creationId xmlns:a16="http://schemas.microsoft.com/office/drawing/2014/main" id="{EFB7D97D-0B33-46C0-A9EB-3B960BBFC6EB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2" name="$E$114">
            <a:extLst>
              <a:ext uri="{FF2B5EF4-FFF2-40B4-BE49-F238E27FC236}">
                <a16:creationId xmlns:a16="http://schemas.microsoft.com/office/drawing/2014/main" id="{507A16BC-EE84-4F19-B800-0A862E8E536F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3" name="$E$114">
            <a:extLst>
              <a:ext uri="{FF2B5EF4-FFF2-40B4-BE49-F238E27FC236}">
                <a16:creationId xmlns:a16="http://schemas.microsoft.com/office/drawing/2014/main" id="{48FE3D67-7047-4E37-99B4-591787B1B553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4" name="$E$114">
            <a:extLst>
              <a:ext uri="{FF2B5EF4-FFF2-40B4-BE49-F238E27FC236}">
                <a16:creationId xmlns:a16="http://schemas.microsoft.com/office/drawing/2014/main" id="{C10A1007-D582-4526-92A3-03BE34481376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5" name="$E$114">
            <a:extLst>
              <a:ext uri="{FF2B5EF4-FFF2-40B4-BE49-F238E27FC236}">
                <a16:creationId xmlns:a16="http://schemas.microsoft.com/office/drawing/2014/main" id="{7F56B339-E618-452F-8095-31D8788A5445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6" name="$E$114">
            <a:extLst>
              <a:ext uri="{FF2B5EF4-FFF2-40B4-BE49-F238E27FC236}">
                <a16:creationId xmlns:a16="http://schemas.microsoft.com/office/drawing/2014/main" id="{7E8932EF-5C5D-4F39-8E32-1DF44B306BE4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7" name="$E$114">
            <a:extLst>
              <a:ext uri="{FF2B5EF4-FFF2-40B4-BE49-F238E27FC236}">
                <a16:creationId xmlns:a16="http://schemas.microsoft.com/office/drawing/2014/main" id="{2D9BBB11-CBE9-4CBD-9361-4CDB12EB7C5D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8" name="$E$114">
            <a:extLst>
              <a:ext uri="{FF2B5EF4-FFF2-40B4-BE49-F238E27FC236}">
                <a16:creationId xmlns:a16="http://schemas.microsoft.com/office/drawing/2014/main" id="{F26CA1D8-3F66-4FC5-B6A4-14C4F573FB3B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69" name="$E$114">
            <a:extLst>
              <a:ext uri="{FF2B5EF4-FFF2-40B4-BE49-F238E27FC236}">
                <a16:creationId xmlns:a16="http://schemas.microsoft.com/office/drawing/2014/main" id="{B2DC3C31-0971-4D62-8B5C-BC420A004672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0" name="$E$114">
            <a:extLst>
              <a:ext uri="{FF2B5EF4-FFF2-40B4-BE49-F238E27FC236}">
                <a16:creationId xmlns:a16="http://schemas.microsoft.com/office/drawing/2014/main" id="{4A481773-E55B-4E55-94F5-2F90699CBD67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1" name="$E$114">
            <a:extLst>
              <a:ext uri="{FF2B5EF4-FFF2-40B4-BE49-F238E27FC236}">
                <a16:creationId xmlns:a16="http://schemas.microsoft.com/office/drawing/2014/main" id="{67E6BE04-0FBE-4FB1-9ED9-630B11B818E5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2" name="$E$114">
            <a:extLst>
              <a:ext uri="{FF2B5EF4-FFF2-40B4-BE49-F238E27FC236}">
                <a16:creationId xmlns:a16="http://schemas.microsoft.com/office/drawing/2014/main" id="{C64EE331-B205-4699-B5FF-018EC309F70D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3" name="$E$114">
            <a:extLst>
              <a:ext uri="{FF2B5EF4-FFF2-40B4-BE49-F238E27FC236}">
                <a16:creationId xmlns:a16="http://schemas.microsoft.com/office/drawing/2014/main" id="{3E6F565F-C20B-46AF-AD89-9F79F8BB81F7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4" name="$E$114">
            <a:extLst>
              <a:ext uri="{FF2B5EF4-FFF2-40B4-BE49-F238E27FC236}">
                <a16:creationId xmlns:a16="http://schemas.microsoft.com/office/drawing/2014/main" id="{1C8C3DAC-6F20-4406-96C8-3D0C31E49C52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5" name="$E$114">
            <a:extLst>
              <a:ext uri="{FF2B5EF4-FFF2-40B4-BE49-F238E27FC236}">
                <a16:creationId xmlns:a16="http://schemas.microsoft.com/office/drawing/2014/main" id="{4A38B78F-89E6-4D61-9C44-62B3597E231A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6" name="$E$114">
            <a:extLst>
              <a:ext uri="{FF2B5EF4-FFF2-40B4-BE49-F238E27FC236}">
                <a16:creationId xmlns:a16="http://schemas.microsoft.com/office/drawing/2014/main" id="{C4C462F1-06B4-4665-AA88-0F9EF45884C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7" name="$E$114">
            <a:extLst>
              <a:ext uri="{FF2B5EF4-FFF2-40B4-BE49-F238E27FC236}">
                <a16:creationId xmlns:a16="http://schemas.microsoft.com/office/drawing/2014/main" id="{C9382568-EC01-44B0-8F14-1BF6A3581378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8" name="$E$114">
            <a:extLst>
              <a:ext uri="{FF2B5EF4-FFF2-40B4-BE49-F238E27FC236}">
                <a16:creationId xmlns:a16="http://schemas.microsoft.com/office/drawing/2014/main" id="{FFED98CB-98B5-45A7-B515-DC0B050649DD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79" name="$E$114">
            <a:extLst>
              <a:ext uri="{FF2B5EF4-FFF2-40B4-BE49-F238E27FC236}">
                <a16:creationId xmlns:a16="http://schemas.microsoft.com/office/drawing/2014/main" id="{A59CD502-B74E-42F8-92AA-22B403F9A635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0" name="$E$114">
            <a:extLst>
              <a:ext uri="{FF2B5EF4-FFF2-40B4-BE49-F238E27FC236}">
                <a16:creationId xmlns:a16="http://schemas.microsoft.com/office/drawing/2014/main" id="{5C76FBEB-1001-43AF-94E2-83AA52B43B9C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1" name="$E$114">
            <a:extLst>
              <a:ext uri="{FF2B5EF4-FFF2-40B4-BE49-F238E27FC236}">
                <a16:creationId xmlns:a16="http://schemas.microsoft.com/office/drawing/2014/main" id="{D4A5F339-9648-4912-AEB4-200110D24810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2" name="$E$114">
            <a:extLst>
              <a:ext uri="{FF2B5EF4-FFF2-40B4-BE49-F238E27FC236}">
                <a16:creationId xmlns:a16="http://schemas.microsoft.com/office/drawing/2014/main" id="{38BBB660-2760-4953-AAFB-7A064DF51A02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3" name="$E$114">
            <a:extLst>
              <a:ext uri="{FF2B5EF4-FFF2-40B4-BE49-F238E27FC236}">
                <a16:creationId xmlns:a16="http://schemas.microsoft.com/office/drawing/2014/main" id="{11622E9F-C995-4EB5-8476-6D4D4E8EB70D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4" name="$E$114">
            <a:extLst>
              <a:ext uri="{FF2B5EF4-FFF2-40B4-BE49-F238E27FC236}">
                <a16:creationId xmlns:a16="http://schemas.microsoft.com/office/drawing/2014/main" id="{4464B1FA-8FD2-41B7-87B0-7F4D7B1D2A1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5" name="$E$114">
            <a:extLst>
              <a:ext uri="{FF2B5EF4-FFF2-40B4-BE49-F238E27FC236}">
                <a16:creationId xmlns:a16="http://schemas.microsoft.com/office/drawing/2014/main" id="{B2A21EBA-1DBB-4E62-AA5B-288DE8CF1911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6" name="$E$114">
            <a:extLst>
              <a:ext uri="{FF2B5EF4-FFF2-40B4-BE49-F238E27FC236}">
                <a16:creationId xmlns:a16="http://schemas.microsoft.com/office/drawing/2014/main" id="{688144B4-0497-424F-92ED-CCBB7E595643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7" name="$E$114">
            <a:extLst>
              <a:ext uri="{FF2B5EF4-FFF2-40B4-BE49-F238E27FC236}">
                <a16:creationId xmlns:a16="http://schemas.microsoft.com/office/drawing/2014/main" id="{206C30E5-3463-4D80-97C1-D451B3A31F95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8" name="$E$114">
            <a:extLst>
              <a:ext uri="{FF2B5EF4-FFF2-40B4-BE49-F238E27FC236}">
                <a16:creationId xmlns:a16="http://schemas.microsoft.com/office/drawing/2014/main" id="{B87C9411-86A0-4750-A637-9B4B1C1BFD2E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89" name="$E$114">
            <a:extLst>
              <a:ext uri="{FF2B5EF4-FFF2-40B4-BE49-F238E27FC236}">
                <a16:creationId xmlns:a16="http://schemas.microsoft.com/office/drawing/2014/main" id="{43E828C4-DCBA-498D-A573-F97F589A487B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0" name="$E$114">
            <a:extLst>
              <a:ext uri="{FF2B5EF4-FFF2-40B4-BE49-F238E27FC236}">
                <a16:creationId xmlns:a16="http://schemas.microsoft.com/office/drawing/2014/main" id="{4E18E2F9-B3C2-4D60-B08D-620F8CB78ED4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1" name="$E$114">
            <a:extLst>
              <a:ext uri="{FF2B5EF4-FFF2-40B4-BE49-F238E27FC236}">
                <a16:creationId xmlns:a16="http://schemas.microsoft.com/office/drawing/2014/main" id="{75A0FE6D-C664-4101-B18C-4EC4236B548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2" name="$E$114">
            <a:extLst>
              <a:ext uri="{FF2B5EF4-FFF2-40B4-BE49-F238E27FC236}">
                <a16:creationId xmlns:a16="http://schemas.microsoft.com/office/drawing/2014/main" id="{72687FF7-6DC9-4038-BFC7-4C3ED8B6381B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3" name="$E$114">
            <a:extLst>
              <a:ext uri="{FF2B5EF4-FFF2-40B4-BE49-F238E27FC236}">
                <a16:creationId xmlns:a16="http://schemas.microsoft.com/office/drawing/2014/main" id="{4857686B-3A05-482E-B449-043DA50E7EB1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4" name="$E$114">
            <a:extLst>
              <a:ext uri="{FF2B5EF4-FFF2-40B4-BE49-F238E27FC236}">
                <a16:creationId xmlns:a16="http://schemas.microsoft.com/office/drawing/2014/main" id="{D127155B-0919-42FF-826C-CCDB5D56B63D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5" name="$E$114">
            <a:extLst>
              <a:ext uri="{FF2B5EF4-FFF2-40B4-BE49-F238E27FC236}">
                <a16:creationId xmlns:a16="http://schemas.microsoft.com/office/drawing/2014/main" id="{CD655D73-52E9-4D47-BC5C-64616F482FB1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6" name="$E$114">
            <a:extLst>
              <a:ext uri="{FF2B5EF4-FFF2-40B4-BE49-F238E27FC236}">
                <a16:creationId xmlns:a16="http://schemas.microsoft.com/office/drawing/2014/main" id="{88A57F3A-49B2-458E-8202-717E5DBCC44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7" name="$E$114">
            <a:extLst>
              <a:ext uri="{FF2B5EF4-FFF2-40B4-BE49-F238E27FC236}">
                <a16:creationId xmlns:a16="http://schemas.microsoft.com/office/drawing/2014/main" id="{C7415DB5-F8A6-45B5-92C4-7FC7AA7410A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8" name="$E$114">
            <a:extLst>
              <a:ext uri="{FF2B5EF4-FFF2-40B4-BE49-F238E27FC236}">
                <a16:creationId xmlns:a16="http://schemas.microsoft.com/office/drawing/2014/main" id="{193C4636-9FAF-42AA-981D-F461A4A13159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799" name="$E$114">
            <a:extLst>
              <a:ext uri="{FF2B5EF4-FFF2-40B4-BE49-F238E27FC236}">
                <a16:creationId xmlns:a16="http://schemas.microsoft.com/office/drawing/2014/main" id="{DB0FAB39-6832-44E3-9BC4-FD6069744C9A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0" name="$E$114">
            <a:extLst>
              <a:ext uri="{FF2B5EF4-FFF2-40B4-BE49-F238E27FC236}">
                <a16:creationId xmlns:a16="http://schemas.microsoft.com/office/drawing/2014/main" id="{F8B3FEC4-12B1-4624-AA6D-0FC411D74E17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1" name="$E$114">
            <a:extLst>
              <a:ext uri="{FF2B5EF4-FFF2-40B4-BE49-F238E27FC236}">
                <a16:creationId xmlns:a16="http://schemas.microsoft.com/office/drawing/2014/main" id="{EDAE3F46-8905-4CEB-A02B-7EB14BBBE29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2" name="$E$114">
            <a:extLst>
              <a:ext uri="{FF2B5EF4-FFF2-40B4-BE49-F238E27FC236}">
                <a16:creationId xmlns:a16="http://schemas.microsoft.com/office/drawing/2014/main" id="{7649AF71-8A8A-412C-A2BD-288325DE0F84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3" name="$E$114">
            <a:extLst>
              <a:ext uri="{FF2B5EF4-FFF2-40B4-BE49-F238E27FC236}">
                <a16:creationId xmlns:a16="http://schemas.microsoft.com/office/drawing/2014/main" id="{2453E8AA-8EDC-4D79-ACEE-50799B4B19F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4" name="$E$114">
            <a:extLst>
              <a:ext uri="{FF2B5EF4-FFF2-40B4-BE49-F238E27FC236}">
                <a16:creationId xmlns:a16="http://schemas.microsoft.com/office/drawing/2014/main" id="{C8A46F4D-6D0C-4C61-B0E6-A7F9254F588F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5" name="$E$114">
            <a:extLst>
              <a:ext uri="{FF2B5EF4-FFF2-40B4-BE49-F238E27FC236}">
                <a16:creationId xmlns:a16="http://schemas.microsoft.com/office/drawing/2014/main" id="{767DA2BE-0B26-4BE7-857F-0E6616538D8A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6" name="$E$114">
            <a:extLst>
              <a:ext uri="{FF2B5EF4-FFF2-40B4-BE49-F238E27FC236}">
                <a16:creationId xmlns:a16="http://schemas.microsoft.com/office/drawing/2014/main" id="{D01CEB73-50CF-49F7-A571-C9AB1F73B887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7" name="$E$114">
            <a:extLst>
              <a:ext uri="{FF2B5EF4-FFF2-40B4-BE49-F238E27FC236}">
                <a16:creationId xmlns:a16="http://schemas.microsoft.com/office/drawing/2014/main" id="{207E5ABB-181B-4881-913A-55B5C716817A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8" name="$E$114">
            <a:extLst>
              <a:ext uri="{FF2B5EF4-FFF2-40B4-BE49-F238E27FC236}">
                <a16:creationId xmlns:a16="http://schemas.microsoft.com/office/drawing/2014/main" id="{B795D684-40EE-4EF1-A236-627A05DB649D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09" name="$E$114">
            <a:extLst>
              <a:ext uri="{FF2B5EF4-FFF2-40B4-BE49-F238E27FC236}">
                <a16:creationId xmlns:a16="http://schemas.microsoft.com/office/drawing/2014/main" id="{AA65DB69-B952-4FC5-A4C6-5E671ADCCD02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0" name="$E$114">
            <a:extLst>
              <a:ext uri="{FF2B5EF4-FFF2-40B4-BE49-F238E27FC236}">
                <a16:creationId xmlns:a16="http://schemas.microsoft.com/office/drawing/2014/main" id="{82299D54-C4C4-4430-B005-F9DBDD58F09D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1" name="$E$114">
            <a:extLst>
              <a:ext uri="{FF2B5EF4-FFF2-40B4-BE49-F238E27FC236}">
                <a16:creationId xmlns:a16="http://schemas.microsoft.com/office/drawing/2014/main" id="{BF738CA9-56C5-4CB6-B8CD-7FE38BD5AB4E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2" name="$E$114">
            <a:extLst>
              <a:ext uri="{FF2B5EF4-FFF2-40B4-BE49-F238E27FC236}">
                <a16:creationId xmlns:a16="http://schemas.microsoft.com/office/drawing/2014/main" id="{C5AC4EC4-7EFB-4D57-9E14-DB90967E6E9C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3" name="$E$114">
            <a:extLst>
              <a:ext uri="{FF2B5EF4-FFF2-40B4-BE49-F238E27FC236}">
                <a16:creationId xmlns:a16="http://schemas.microsoft.com/office/drawing/2014/main" id="{E9947AA1-59CE-4F28-80BF-9B0DBA8B438A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4" name="$E$114">
            <a:extLst>
              <a:ext uri="{FF2B5EF4-FFF2-40B4-BE49-F238E27FC236}">
                <a16:creationId xmlns:a16="http://schemas.microsoft.com/office/drawing/2014/main" id="{4252A341-A92B-4254-89B6-B02EAB2853BF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5" name="$E$114">
            <a:extLst>
              <a:ext uri="{FF2B5EF4-FFF2-40B4-BE49-F238E27FC236}">
                <a16:creationId xmlns:a16="http://schemas.microsoft.com/office/drawing/2014/main" id="{1C22E5A6-F697-4BB3-8127-A50D93370D54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6" name="$E$114">
            <a:extLst>
              <a:ext uri="{FF2B5EF4-FFF2-40B4-BE49-F238E27FC236}">
                <a16:creationId xmlns:a16="http://schemas.microsoft.com/office/drawing/2014/main" id="{93710DDF-A573-4E26-A559-B0644E117174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7" name="$E$114">
            <a:extLst>
              <a:ext uri="{FF2B5EF4-FFF2-40B4-BE49-F238E27FC236}">
                <a16:creationId xmlns:a16="http://schemas.microsoft.com/office/drawing/2014/main" id="{C1AD249C-D439-448F-BAAC-25AF583EAA21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8" name="$E$114">
            <a:extLst>
              <a:ext uri="{FF2B5EF4-FFF2-40B4-BE49-F238E27FC236}">
                <a16:creationId xmlns:a16="http://schemas.microsoft.com/office/drawing/2014/main" id="{0BEA663A-A646-4175-89F8-102960340986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19" name="$E$114">
            <a:extLst>
              <a:ext uri="{FF2B5EF4-FFF2-40B4-BE49-F238E27FC236}">
                <a16:creationId xmlns:a16="http://schemas.microsoft.com/office/drawing/2014/main" id="{0413E81D-2D8D-4D70-A75C-611831AB5F99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0" name="$E$114">
            <a:extLst>
              <a:ext uri="{FF2B5EF4-FFF2-40B4-BE49-F238E27FC236}">
                <a16:creationId xmlns:a16="http://schemas.microsoft.com/office/drawing/2014/main" id="{59D00FA3-DA5A-434D-B528-7A58668DAFA4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1" name="$E$114">
            <a:extLst>
              <a:ext uri="{FF2B5EF4-FFF2-40B4-BE49-F238E27FC236}">
                <a16:creationId xmlns:a16="http://schemas.microsoft.com/office/drawing/2014/main" id="{120E4213-2CD1-4BF2-A2FE-276A5AC87115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2" name="$E$114">
            <a:extLst>
              <a:ext uri="{FF2B5EF4-FFF2-40B4-BE49-F238E27FC236}">
                <a16:creationId xmlns:a16="http://schemas.microsoft.com/office/drawing/2014/main" id="{98B1B5E9-43F9-42EC-805C-F50FAD071269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3" name="$E$114">
            <a:extLst>
              <a:ext uri="{FF2B5EF4-FFF2-40B4-BE49-F238E27FC236}">
                <a16:creationId xmlns:a16="http://schemas.microsoft.com/office/drawing/2014/main" id="{8BE36376-D68B-4368-B439-006EDEAC77E6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4" name="$E$114">
            <a:extLst>
              <a:ext uri="{FF2B5EF4-FFF2-40B4-BE49-F238E27FC236}">
                <a16:creationId xmlns:a16="http://schemas.microsoft.com/office/drawing/2014/main" id="{C73B5987-AF0D-4E3A-8CAB-F96A349614F8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5" name="$E$114">
            <a:extLst>
              <a:ext uri="{FF2B5EF4-FFF2-40B4-BE49-F238E27FC236}">
                <a16:creationId xmlns:a16="http://schemas.microsoft.com/office/drawing/2014/main" id="{63A43D4E-AA87-423A-866E-DFED11D1DA8A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6" name="$E$114">
            <a:extLst>
              <a:ext uri="{FF2B5EF4-FFF2-40B4-BE49-F238E27FC236}">
                <a16:creationId xmlns:a16="http://schemas.microsoft.com/office/drawing/2014/main" id="{1B040D2B-277D-4206-B611-671E1468F3D2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7" name="$E$114">
            <a:extLst>
              <a:ext uri="{FF2B5EF4-FFF2-40B4-BE49-F238E27FC236}">
                <a16:creationId xmlns:a16="http://schemas.microsoft.com/office/drawing/2014/main" id="{344DFEAE-A6AB-42A9-AD66-87FE9B1B6001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8" name="$E$114">
            <a:extLst>
              <a:ext uri="{FF2B5EF4-FFF2-40B4-BE49-F238E27FC236}">
                <a16:creationId xmlns:a16="http://schemas.microsoft.com/office/drawing/2014/main" id="{C263A33A-CE51-4D73-B7D9-298D89539E17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29" name="$E$114">
            <a:extLst>
              <a:ext uri="{FF2B5EF4-FFF2-40B4-BE49-F238E27FC236}">
                <a16:creationId xmlns:a16="http://schemas.microsoft.com/office/drawing/2014/main" id="{312E1FDD-D169-4DF2-B3D1-CCC121D44E64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0" name="$E$114">
            <a:extLst>
              <a:ext uri="{FF2B5EF4-FFF2-40B4-BE49-F238E27FC236}">
                <a16:creationId xmlns:a16="http://schemas.microsoft.com/office/drawing/2014/main" id="{80C2168E-3C8E-4C74-A9DE-E398CE48A631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1" name="$E$114">
            <a:extLst>
              <a:ext uri="{FF2B5EF4-FFF2-40B4-BE49-F238E27FC236}">
                <a16:creationId xmlns:a16="http://schemas.microsoft.com/office/drawing/2014/main" id="{7CCB4C40-0A96-4CAD-B0FB-DC6C3CACFDD8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2" name="$E$114">
            <a:extLst>
              <a:ext uri="{FF2B5EF4-FFF2-40B4-BE49-F238E27FC236}">
                <a16:creationId xmlns:a16="http://schemas.microsoft.com/office/drawing/2014/main" id="{270CC3DC-305A-458E-AB75-82E78E374707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3" name="$E$114">
            <a:extLst>
              <a:ext uri="{FF2B5EF4-FFF2-40B4-BE49-F238E27FC236}">
                <a16:creationId xmlns:a16="http://schemas.microsoft.com/office/drawing/2014/main" id="{B354298B-67C7-4010-B579-2A0643E4BEF1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4" name="$E$114">
            <a:extLst>
              <a:ext uri="{FF2B5EF4-FFF2-40B4-BE49-F238E27FC236}">
                <a16:creationId xmlns:a16="http://schemas.microsoft.com/office/drawing/2014/main" id="{7B2BA0DF-CFA9-4339-B957-9DA6E99AEBC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5" name="$E$114">
            <a:extLst>
              <a:ext uri="{FF2B5EF4-FFF2-40B4-BE49-F238E27FC236}">
                <a16:creationId xmlns:a16="http://schemas.microsoft.com/office/drawing/2014/main" id="{C2DA1C2B-03AB-4C1B-BED9-DD35ABACDE6B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6" name="$E$114">
            <a:extLst>
              <a:ext uri="{FF2B5EF4-FFF2-40B4-BE49-F238E27FC236}">
                <a16:creationId xmlns:a16="http://schemas.microsoft.com/office/drawing/2014/main" id="{3C1BC4CC-A78F-4E7A-BBBF-67052744D073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7" name="$E$114">
            <a:extLst>
              <a:ext uri="{FF2B5EF4-FFF2-40B4-BE49-F238E27FC236}">
                <a16:creationId xmlns:a16="http://schemas.microsoft.com/office/drawing/2014/main" id="{DA4CA524-4F77-4C13-A573-5D9E7646E90E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8" name="$E$114">
            <a:extLst>
              <a:ext uri="{FF2B5EF4-FFF2-40B4-BE49-F238E27FC236}">
                <a16:creationId xmlns:a16="http://schemas.microsoft.com/office/drawing/2014/main" id="{DB59F768-884A-45B9-B22A-37B2FC5CD25B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39" name="$E$114">
            <a:extLst>
              <a:ext uri="{FF2B5EF4-FFF2-40B4-BE49-F238E27FC236}">
                <a16:creationId xmlns:a16="http://schemas.microsoft.com/office/drawing/2014/main" id="{DD436AE6-A57A-4984-832F-F706E252A9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0" name="$E$114">
            <a:extLst>
              <a:ext uri="{FF2B5EF4-FFF2-40B4-BE49-F238E27FC236}">
                <a16:creationId xmlns:a16="http://schemas.microsoft.com/office/drawing/2014/main" id="{D82C2067-CA6A-42C8-8919-EC9878613B4B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1" name="$E$114">
            <a:extLst>
              <a:ext uri="{FF2B5EF4-FFF2-40B4-BE49-F238E27FC236}">
                <a16:creationId xmlns:a16="http://schemas.microsoft.com/office/drawing/2014/main" id="{6730F5D1-1CEA-435E-956D-DB8E3AB3C53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2" name="$E$114">
            <a:extLst>
              <a:ext uri="{FF2B5EF4-FFF2-40B4-BE49-F238E27FC236}">
                <a16:creationId xmlns:a16="http://schemas.microsoft.com/office/drawing/2014/main" id="{04EC7076-73FC-4DE3-88F7-C8506908680C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3" name="$E$114">
            <a:extLst>
              <a:ext uri="{FF2B5EF4-FFF2-40B4-BE49-F238E27FC236}">
                <a16:creationId xmlns:a16="http://schemas.microsoft.com/office/drawing/2014/main" id="{995620F6-BC41-47FC-A5E9-694A2970F9B8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4" name="$E$114">
            <a:extLst>
              <a:ext uri="{FF2B5EF4-FFF2-40B4-BE49-F238E27FC236}">
                <a16:creationId xmlns:a16="http://schemas.microsoft.com/office/drawing/2014/main" id="{FA64A7BC-2DE2-4BF6-9B5C-076A11C52197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5" name="$E$114">
            <a:extLst>
              <a:ext uri="{FF2B5EF4-FFF2-40B4-BE49-F238E27FC236}">
                <a16:creationId xmlns:a16="http://schemas.microsoft.com/office/drawing/2014/main" id="{88CD7D85-92F4-4E8A-8B0F-FDD00DC1F8F1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6" name="$E$114">
            <a:extLst>
              <a:ext uri="{FF2B5EF4-FFF2-40B4-BE49-F238E27FC236}">
                <a16:creationId xmlns:a16="http://schemas.microsoft.com/office/drawing/2014/main" id="{2B60E158-59C9-45F9-9103-B65D13BEFAAD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7" name="$E$114">
            <a:extLst>
              <a:ext uri="{FF2B5EF4-FFF2-40B4-BE49-F238E27FC236}">
                <a16:creationId xmlns:a16="http://schemas.microsoft.com/office/drawing/2014/main" id="{7EBDA0FD-430D-45E4-89D8-1CD73BDDFE49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8" name="$E$114">
            <a:extLst>
              <a:ext uri="{FF2B5EF4-FFF2-40B4-BE49-F238E27FC236}">
                <a16:creationId xmlns:a16="http://schemas.microsoft.com/office/drawing/2014/main" id="{A81C3D7A-0282-4B18-9249-2B64C16D4AA0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49" name="$E$114">
            <a:extLst>
              <a:ext uri="{FF2B5EF4-FFF2-40B4-BE49-F238E27FC236}">
                <a16:creationId xmlns:a16="http://schemas.microsoft.com/office/drawing/2014/main" id="{486D803C-275B-496E-97CB-C1F195A7C909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0" name="$E$114">
            <a:extLst>
              <a:ext uri="{FF2B5EF4-FFF2-40B4-BE49-F238E27FC236}">
                <a16:creationId xmlns:a16="http://schemas.microsoft.com/office/drawing/2014/main" id="{D7597D2F-3A5C-459E-AD97-6B6FE8B91076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1" name="$E$114">
            <a:extLst>
              <a:ext uri="{FF2B5EF4-FFF2-40B4-BE49-F238E27FC236}">
                <a16:creationId xmlns:a16="http://schemas.microsoft.com/office/drawing/2014/main" id="{4BE6D78D-5D99-40E4-9101-89CD4757A774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2" name="$E$114">
            <a:extLst>
              <a:ext uri="{FF2B5EF4-FFF2-40B4-BE49-F238E27FC236}">
                <a16:creationId xmlns:a16="http://schemas.microsoft.com/office/drawing/2014/main" id="{3100E741-A32F-439A-AB3B-100A2722B513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3" name="$E$114">
            <a:extLst>
              <a:ext uri="{FF2B5EF4-FFF2-40B4-BE49-F238E27FC236}">
                <a16:creationId xmlns:a16="http://schemas.microsoft.com/office/drawing/2014/main" id="{AE845414-393F-4496-9F9B-161BCBD6607A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4" name="$E$114">
            <a:extLst>
              <a:ext uri="{FF2B5EF4-FFF2-40B4-BE49-F238E27FC236}">
                <a16:creationId xmlns:a16="http://schemas.microsoft.com/office/drawing/2014/main" id="{E6EA74DF-A764-4AE2-8BC6-0A50C75DC6A8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5" name="$E$114">
            <a:extLst>
              <a:ext uri="{FF2B5EF4-FFF2-40B4-BE49-F238E27FC236}">
                <a16:creationId xmlns:a16="http://schemas.microsoft.com/office/drawing/2014/main" id="{DCDCBF95-6934-41E7-A860-F10EFD6C67C9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6" name="$E$114">
            <a:extLst>
              <a:ext uri="{FF2B5EF4-FFF2-40B4-BE49-F238E27FC236}">
                <a16:creationId xmlns:a16="http://schemas.microsoft.com/office/drawing/2014/main" id="{0B559483-D837-4578-9069-03C861B016F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7" name="$E$114">
            <a:extLst>
              <a:ext uri="{FF2B5EF4-FFF2-40B4-BE49-F238E27FC236}">
                <a16:creationId xmlns:a16="http://schemas.microsoft.com/office/drawing/2014/main" id="{E0741108-BFA8-4B18-A54C-2A81A8C4FB91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8" name="$E$114">
            <a:extLst>
              <a:ext uri="{FF2B5EF4-FFF2-40B4-BE49-F238E27FC236}">
                <a16:creationId xmlns:a16="http://schemas.microsoft.com/office/drawing/2014/main" id="{3815795F-3E25-4FE7-B035-A38095EDA1DF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59" name="$E$114">
            <a:extLst>
              <a:ext uri="{FF2B5EF4-FFF2-40B4-BE49-F238E27FC236}">
                <a16:creationId xmlns:a16="http://schemas.microsoft.com/office/drawing/2014/main" id="{96E57D21-55A5-4DB7-9181-AA53FB1E2451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0" name="$E$114">
            <a:extLst>
              <a:ext uri="{FF2B5EF4-FFF2-40B4-BE49-F238E27FC236}">
                <a16:creationId xmlns:a16="http://schemas.microsoft.com/office/drawing/2014/main" id="{3E6C4D73-DE19-4F9B-ACC4-B84BC5E9AC68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1" name="$E$114">
            <a:extLst>
              <a:ext uri="{FF2B5EF4-FFF2-40B4-BE49-F238E27FC236}">
                <a16:creationId xmlns:a16="http://schemas.microsoft.com/office/drawing/2014/main" id="{483CBCB8-FAA4-4851-9362-25BF6317907A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2" name="$E$114">
            <a:extLst>
              <a:ext uri="{FF2B5EF4-FFF2-40B4-BE49-F238E27FC236}">
                <a16:creationId xmlns:a16="http://schemas.microsoft.com/office/drawing/2014/main" id="{C1865C20-D5A3-4B9E-8A1D-9262A5A523C1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3" name="$E$114">
            <a:extLst>
              <a:ext uri="{FF2B5EF4-FFF2-40B4-BE49-F238E27FC236}">
                <a16:creationId xmlns:a16="http://schemas.microsoft.com/office/drawing/2014/main" id="{58446ADF-85A1-4257-AAE9-E6F6DE76EA17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4" name="$E$114">
            <a:extLst>
              <a:ext uri="{FF2B5EF4-FFF2-40B4-BE49-F238E27FC236}">
                <a16:creationId xmlns:a16="http://schemas.microsoft.com/office/drawing/2014/main" id="{79A15038-A3FD-4D6E-83A3-B1D9BDCF2D84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5" name="$E$114">
            <a:extLst>
              <a:ext uri="{FF2B5EF4-FFF2-40B4-BE49-F238E27FC236}">
                <a16:creationId xmlns:a16="http://schemas.microsoft.com/office/drawing/2014/main" id="{48977576-EED4-4E4C-8D86-36107ACAFA1E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6" name="$E$114">
            <a:extLst>
              <a:ext uri="{FF2B5EF4-FFF2-40B4-BE49-F238E27FC236}">
                <a16:creationId xmlns:a16="http://schemas.microsoft.com/office/drawing/2014/main" id="{C0028603-66BD-46C3-BD74-BE10671D1668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7" name="$E$114">
            <a:extLst>
              <a:ext uri="{FF2B5EF4-FFF2-40B4-BE49-F238E27FC236}">
                <a16:creationId xmlns:a16="http://schemas.microsoft.com/office/drawing/2014/main" id="{6DEC5093-11FE-4F70-A2A1-FBC552C9EF65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8" name="$E$114">
            <a:extLst>
              <a:ext uri="{FF2B5EF4-FFF2-40B4-BE49-F238E27FC236}">
                <a16:creationId xmlns:a16="http://schemas.microsoft.com/office/drawing/2014/main" id="{B962C151-A918-4B54-83B8-054BE67D3502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69" name="$E$114">
            <a:extLst>
              <a:ext uri="{FF2B5EF4-FFF2-40B4-BE49-F238E27FC236}">
                <a16:creationId xmlns:a16="http://schemas.microsoft.com/office/drawing/2014/main" id="{EB183D0B-7667-461D-BE25-1781CF74A62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0" name="$E$114">
            <a:extLst>
              <a:ext uri="{FF2B5EF4-FFF2-40B4-BE49-F238E27FC236}">
                <a16:creationId xmlns:a16="http://schemas.microsoft.com/office/drawing/2014/main" id="{944D1F06-6945-4FCD-8860-04EEB451F83B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1" name="$E$114">
            <a:extLst>
              <a:ext uri="{FF2B5EF4-FFF2-40B4-BE49-F238E27FC236}">
                <a16:creationId xmlns:a16="http://schemas.microsoft.com/office/drawing/2014/main" id="{2D5D3A0D-36BC-4178-A266-9E370D048FBE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2" name="$E$114">
            <a:extLst>
              <a:ext uri="{FF2B5EF4-FFF2-40B4-BE49-F238E27FC236}">
                <a16:creationId xmlns:a16="http://schemas.microsoft.com/office/drawing/2014/main" id="{58102E47-59ED-4C6B-BBDC-4370C7348383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3" name="$E$114">
            <a:extLst>
              <a:ext uri="{FF2B5EF4-FFF2-40B4-BE49-F238E27FC236}">
                <a16:creationId xmlns:a16="http://schemas.microsoft.com/office/drawing/2014/main" id="{11060A86-8C99-42F7-9CBC-3CBC28E4E384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4" name="$E$114">
            <a:extLst>
              <a:ext uri="{FF2B5EF4-FFF2-40B4-BE49-F238E27FC236}">
                <a16:creationId xmlns:a16="http://schemas.microsoft.com/office/drawing/2014/main" id="{DF27778B-8ED5-400E-8E1B-D7AE1575EACF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5" name="$E$114">
            <a:extLst>
              <a:ext uri="{FF2B5EF4-FFF2-40B4-BE49-F238E27FC236}">
                <a16:creationId xmlns:a16="http://schemas.microsoft.com/office/drawing/2014/main" id="{8374BA5F-3296-4CBF-ABB7-B54A5E0DEDFD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6" name="$E$114">
            <a:extLst>
              <a:ext uri="{FF2B5EF4-FFF2-40B4-BE49-F238E27FC236}">
                <a16:creationId xmlns:a16="http://schemas.microsoft.com/office/drawing/2014/main" id="{A3BC3CE8-EAF1-4253-8D0A-093B104E6884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7" name="$E$114">
            <a:extLst>
              <a:ext uri="{FF2B5EF4-FFF2-40B4-BE49-F238E27FC236}">
                <a16:creationId xmlns:a16="http://schemas.microsoft.com/office/drawing/2014/main" id="{BF951BF6-4B5F-471F-A9DB-7292FE61CA37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8" name="$E$114">
            <a:extLst>
              <a:ext uri="{FF2B5EF4-FFF2-40B4-BE49-F238E27FC236}">
                <a16:creationId xmlns:a16="http://schemas.microsoft.com/office/drawing/2014/main" id="{81B90756-D88D-403C-9DFF-83C9138CF29C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79" name="$E$114">
            <a:extLst>
              <a:ext uri="{FF2B5EF4-FFF2-40B4-BE49-F238E27FC236}">
                <a16:creationId xmlns:a16="http://schemas.microsoft.com/office/drawing/2014/main" id="{ED39B0C5-ED95-4F70-8807-296A751BA264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0" name="$E$114">
            <a:extLst>
              <a:ext uri="{FF2B5EF4-FFF2-40B4-BE49-F238E27FC236}">
                <a16:creationId xmlns:a16="http://schemas.microsoft.com/office/drawing/2014/main" id="{E15A1C70-1C9F-4B06-96D6-E40A9936A0CB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1" name="$E$114">
            <a:extLst>
              <a:ext uri="{FF2B5EF4-FFF2-40B4-BE49-F238E27FC236}">
                <a16:creationId xmlns:a16="http://schemas.microsoft.com/office/drawing/2014/main" id="{45CB403F-1E03-4364-BA39-048A95DDC35B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2" name="$E$114">
            <a:extLst>
              <a:ext uri="{FF2B5EF4-FFF2-40B4-BE49-F238E27FC236}">
                <a16:creationId xmlns:a16="http://schemas.microsoft.com/office/drawing/2014/main" id="{C2D61746-BC3D-4A00-9995-27FD0932DD76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3" name="$E$114">
            <a:extLst>
              <a:ext uri="{FF2B5EF4-FFF2-40B4-BE49-F238E27FC236}">
                <a16:creationId xmlns:a16="http://schemas.microsoft.com/office/drawing/2014/main" id="{3BC788AD-4779-48A1-8FF7-5A1FB2D51F72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4" name="$E$114">
            <a:extLst>
              <a:ext uri="{FF2B5EF4-FFF2-40B4-BE49-F238E27FC236}">
                <a16:creationId xmlns:a16="http://schemas.microsoft.com/office/drawing/2014/main" id="{8F4BF053-F7E5-4277-87D3-769DEE7F7001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5" name="$E$114">
            <a:extLst>
              <a:ext uri="{FF2B5EF4-FFF2-40B4-BE49-F238E27FC236}">
                <a16:creationId xmlns:a16="http://schemas.microsoft.com/office/drawing/2014/main" id="{DD4A66DB-391C-4E9F-B331-DBAC70DF67DA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6" name="$E$114">
            <a:extLst>
              <a:ext uri="{FF2B5EF4-FFF2-40B4-BE49-F238E27FC236}">
                <a16:creationId xmlns:a16="http://schemas.microsoft.com/office/drawing/2014/main" id="{400D956D-CCC8-46E3-8938-6CB35B4FA836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7" name="$E$114">
            <a:extLst>
              <a:ext uri="{FF2B5EF4-FFF2-40B4-BE49-F238E27FC236}">
                <a16:creationId xmlns:a16="http://schemas.microsoft.com/office/drawing/2014/main" id="{733FA475-B8B0-4499-8E34-1B31314BC963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8" name="$E$114">
            <a:extLst>
              <a:ext uri="{FF2B5EF4-FFF2-40B4-BE49-F238E27FC236}">
                <a16:creationId xmlns:a16="http://schemas.microsoft.com/office/drawing/2014/main" id="{8565CA60-2C53-4B13-84A7-B5F2FA4D75EC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89" name="$E$114">
            <a:extLst>
              <a:ext uri="{FF2B5EF4-FFF2-40B4-BE49-F238E27FC236}">
                <a16:creationId xmlns:a16="http://schemas.microsoft.com/office/drawing/2014/main" id="{A0C4B0DB-8274-48B8-AD56-4A317BEEABAC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0" name="$E$114">
            <a:extLst>
              <a:ext uri="{FF2B5EF4-FFF2-40B4-BE49-F238E27FC236}">
                <a16:creationId xmlns:a16="http://schemas.microsoft.com/office/drawing/2014/main" id="{E65D1F6A-5A76-49AE-BF97-FA94FF399F16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1" name="$E$114">
            <a:extLst>
              <a:ext uri="{FF2B5EF4-FFF2-40B4-BE49-F238E27FC236}">
                <a16:creationId xmlns:a16="http://schemas.microsoft.com/office/drawing/2014/main" id="{BCCADC03-52FE-4C25-ABA9-48CED2EB32D7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2" name="$E$114">
            <a:extLst>
              <a:ext uri="{FF2B5EF4-FFF2-40B4-BE49-F238E27FC236}">
                <a16:creationId xmlns:a16="http://schemas.microsoft.com/office/drawing/2014/main" id="{BB18BF5A-4A86-46BC-9A48-8FA89FD0DC79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3" name="$E$114">
            <a:extLst>
              <a:ext uri="{FF2B5EF4-FFF2-40B4-BE49-F238E27FC236}">
                <a16:creationId xmlns:a16="http://schemas.microsoft.com/office/drawing/2014/main" id="{D43027DB-DB8B-4CE0-8436-7A127EE550E6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4" name="$E$114">
            <a:extLst>
              <a:ext uri="{FF2B5EF4-FFF2-40B4-BE49-F238E27FC236}">
                <a16:creationId xmlns:a16="http://schemas.microsoft.com/office/drawing/2014/main" id="{AA11EA50-2066-4652-833D-8C2FCBE7363F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5" name="$E$114">
            <a:extLst>
              <a:ext uri="{FF2B5EF4-FFF2-40B4-BE49-F238E27FC236}">
                <a16:creationId xmlns:a16="http://schemas.microsoft.com/office/drawing/2014/main" id="{F10DEAAA-0E14-4703-BCB4-3BA4A172C4B5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6" name="$E$114">
            <a:extLst>
              <a:ext uri="{FF2B5EF4-FFF2-40B4-BE49-F238E27FC236}">
                <a16:creationId xmlns:a16="http://schemas.microsoft.com/office/drawing/2014/main" id="{CB32DFE3-DA3D-4B09-BF44-6D22B0D717B8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7" name="$E$114">
            <a:extLst>
              <a:ext uri="{FF2B5EF4-FFF2-40B4-BE49-F238E27FC236}">
                <a16:creationId xmlns:a16="http://schemas.microsoft.com/office/drawing/2014/main" id="{6ED9AB92-1367-4529-9FA6-699B8ED6A681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8" name="$E$114">
            <a:extLst>
              <a:ext uri="{FF2B5EF4-FFF2-40B4-BE49-F238E27FC236}">
                <a16:creationId xmlns:a16="http://schemas.microsoft.com/office/drawing/2014/main" id="{D5C1E54E-1C52-4B4B-98CF-FDFE2F6AA00D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899" name="$E$114">
            <a:extLst>
              <a:ext uri="{FF2B5EF4-FFF2-40B4-BE49-F238E27FC236}">
                <a16:creationId xmlns:a16="http://schemas.microsoft.com/office/drawing/2014/main" id="{CF3463CC-FDB2-4866-9D06-8A59E71973DF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0" name="$E$114">
            <a:extLst>
              <a:ext uri="{FF2B5EF4-FFF2-40B4-BE49-F238E27FC236}">
                <a16:creationId xmlns:a16="http://schemas.microsoft.com/office/drawing/2014/main" id="{DCA8B1DC-2DF9-4DBE-A6D9-3B862CDC050D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1" name="$E$114">
            <a:extLst>
              <a:ext uri="{FF2B5EF4-FFF2-40B4-BE49-F238E27FC236}">
                <a16:creationId xmlns:a16="http://schemas.microsoft.com/office/drawing/2014/main" id="{CD8FB51D-A03A-477D-83EE-D5B582099FA5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2" name="$E$114">
            <a:extLst>
              <a:ext uri="{FF2B5EF4-FFF2-40B4-BE49-F238E27FC236}">
                <a16:creationId xmlns:a16="http://schemas.microsoft.com/office/drawing/2014/main" id="{607D644F-74E2-4ABE-A32D-4421A0FD23C8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3" name="$E$114">
            <a:extLst>
              <a:ext uri="{FF2B5EF4-FFF2-40B4-BE49-F238E27FC236}">
                <a16:creationId xmlns:a16="http://schemas.microsoft.com/office/drawing/2014/main" id="{EEDA8598-52C9-4B9E-8513-4A74C39F3EB6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4" name="$E$114">
            <a:extLst>
              <a:ext uri="{FF2B5EF4-FFF2-40B4-BE49-F238E27FC236}">
                <a16:creationId xmlns:a16="http://schemas.microsoft.com/office/drawing/2014/main" id="{7409C2C8-8558-409E-A6C4-834351C43DC5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5" name="$E$114">
            <a:extLst>
              <a:ext uri="{FF2B5EF4-FFF2-40B4-BE49-F238E27FC236}">
                <a16:creationId xmlns:a16="http://schemas.microsoft.com/office/drawing/2014/main" id="{6BC76883-45F0-434E-9938-28F0FA93E41A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6" name="$E$114">
            <a:extLst>
              <a:ext uri="{FF2B5EF4-FFF2-40B4-BE49-F238E27FC236}">
                <a16:creationId xmlns:a16="http://schemas.microsoft.com/office/drawing/2014/main" id="{1FA42BC4-51EC-4331-83D4-1628E338DC8C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7" name="$E$114">
            <a:extLst>
              <a:ext uri="{FF2B5EF4-FFF2-40B4-BE49-F238E27FC236}">
                <a16:creationId xmlns:a16="http://schemas.microsoft.com/office/drawing/2014/main" id="{C5DA9348-F1EF-45EE-9760-E7D393CE13BB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8" name="$E$114">
            <a:extLst>
              <a:ext uri="{FF2B5EF4-FFF2-40B4-BE49-F238E27FC236}">
                <a16:creationId xmlns:a16="http://schemas.microsoft.com/office/drawing/2014/main" id="{41360480-B957-4BBA-9C44-93969E10A002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09" name="$E$114">
            <a:extLst>
              <a:ext uri="{FF2B5EF4-FFF2-40B4-BE49-F238E27FC236}">
                <a16:creationId xmlns:a16="http://schemas.microsoft.com/office/drawing/2014/main" id="{BFBAB4CC-7F84-4913-95B0-898FFCAC3E02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0" name="$E$114">
            <a:extLst>
              <a:ext uri="{FF2B5EF4-FFF2-40B4-BE49-F238E27FC236}">
                <a16:creationId xmlns:a16="http://schemas.microsoft.com/office/drawing/2014/main" id="{3E6C2A8B-83B4-4337-8A8D-F1577CE2B50F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1" name="$E$114">
            <a:extLst>
              <a:ext uri="{FF2B5EF4-FFF2-40B4-BE49-F238E27FC236}">
                <a16:creationId xmlns:a16="http://schemas.microsoft.com/office/drawing/2014/main" id="{62DB8B3B-D539-43D9-A366-8DDCC36CEAA7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2" name="$E$114">
            <a:extLst>
              <a:ext uri="{FF2B5EF4-FFF2-40B4-BE49-F238E27FC236}">
                <a16:creationId xmlns:a16="http://schemas.microsoft.com/office/drawing/2014/main" id="{6F583357-0286-4291-BBA1-8FFD2A0FE42E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3" name="$E$114">
            <a:extLst>
              <a:ext uri="{FF2B5EF4-FFF2-40B4-BE49-F238E27FC236}">
                <a16:creationId xmlns:a16="http://schemas.microsoft.com/office/drawing/2014/main" id="{7794E499-F3BA-46C5-AF64-A1FAD9431F04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4" name="$E$114">
            <a:extLst>
              <a:ext uri="{FF2B5EF4-FFF2-40B4-BE49-F238E27FC236}">
                <a16:creationId xmlns:a16="http://schemas.microsoft.com/office/drawing/2014/main" id="{8BFA4692-D55A-405F-9FC9-3551618F7C4E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5" name="$E$114">
            <a:extLst>
              <a:ext uri="{FF2B5EF4-FFF2-40B4-BE49-F238E27FC236}">
                <a16:creationId xmlns:a16="http://schemas.microsoft.com/office/drawing/2014/main" id="{619E0F8B-A238-4EC4-89D1-E0C2B21259BA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6" name="$E$114">
            <a:extLst>
              <a:ext uri="{FF2B5EF4-FFF2-40B4-BE49-F238E27FC236}">
                <a16:creationId xmlns:a16="http://schemas.microsoft.com/office/drawing/2014/main" id="{6046552D-DC71-4584-BC97-C0D79F56110C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7" name="$E$114">
            <a:extLst>
              <a:ext uri="{FF2B5EF4-FFF2-40B4-BE49-F238E27FC236}">
                <a16:creationId xmlns:a16="http://schemas.microsoft.com/office/drawing/2014/main" id="{C00E9F93-DB83-491C-AFA0-5AF64CEE777B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8" name="$E$114">
            <a:extLst>
              <a:ext uri="{FF2B5EF4-FFF2-40B4-BE49-F238E27FC236}">
                <a16:creationId xmlns:a16="http://schemas.microsoft.com/office/drawing/2014/main" id="{CFFA0307-416E-4CE7-B491-1657779B3B3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19" name="$E$114">
            <a:extLst>
              <a:ext uri="{FF2B5EF4-FFF2-40B4-BE49-F238E27FC236}">
                <a16:creationId xmlns:a16="http://schemas.microsoft.com/office/drawing/2014/main" id="{9523B2D7-00BC-44A4-94A2-22AA7C264248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0" name="$E$114">
            <a:extLst>
              <a:ext uri="{FF2B5EF4-FFF2-40B4-BE49-F238E27FC236}">
                <a16:creationId xmlns:a16="http://schemas.microsoft.com/office/drawing/2014/main" id="{0505086A-8C15-4392-B87C-A8DACBA2339F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1" name="$E$114">
            <a:extLst>
              <a:ext uri="{FF2B5EF4-FFF2-40B4-BE49-F238E27FC236}">
                <a16:creationId xmlns:a16="http://schemas.microsoft.com/office/drawing/2014/main" id="{A1723A41-FB2D-41F4-986C-A9134A51FB20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2" name="$E$114">
            <a:extLst>
              <a:ext uri="{FF2B5EF4-FFF2-40B4-BE49-F238E27FC236}">
                <a16:creationId xmlns:a16="http://schemas.microsoft.com/office/drawing/2014/main" id="{734CC9C4-89FB-4D48-824B-89FC4F2D4908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3" name="$E$114">
            <a:extLst>
              <a:ext uri="{FF2B5EF4-FFF2-40B4-BE49-F238E27FC236}">
                <a16:creationId xmlns:a16="http://schemas.microsoft.com/office/drawing/2014/main" id="{85C23E24-719B-4368-A68A-136027C4D75A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4" name="$E$114">
            <a:extLst>
              <a:ext uri="{FF2B5EF4-FFF2-40B4-BE49-F238E27FC236}">
                <a16:creationId xmlns:a16="http://schemas.microsoft.com/office/drawing/2014/main" id="{12A5CACF-D8D5-4442-8462-579B8DD58A9B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5" name="$E$114">
            <a:extLst>
              <a:ext uri="{FF2B5EF4-FFF2-40B4-BE49-F238E27FC236}">
                <a16:creationId xmlns:a16="http://schemas.microsoft.com/office/drawing/2014/main" id="{AE76E5B9-BF57-4C8F-8BFE-705F899EF6C2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6" name="$E$114">
            <a:extLst>
              <a:ext uri="{FF2B5EF4-FFF2-40B4-BE49-F238E27FC236}">
                <a16:creationId xmlns:a16="http://schemas.microsoft.com/office/drawing/2014/main" id="{EC6181D3-E217-4889-9A7A-417088CF8BE3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7" name="$E$114">
            <a:extLst>
              <a:ext uri="{FF2B5EF4-FFF2-40B4-BE49-F238E27FC236}">
                <a16:creationId xmlns:a16="http://schemas.microsoft.com/office/drawing/2014/main" id="{9F187E0D-72CD-4A1E-A0C9-8C3A0D6A4147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8" name="$E$114">
            <a:extLst>
              <a:ext uri="{FF2B5EF4-FFF2-40B4-BE49-F238E27FC236}">
                <a16:creationId xmlns:a16="http://schemas.microsoft.com/office/drawing/2014/main" id="{E49F3B78-A79F-4966-B66C-48B4691B8D4C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29" name="$E$114">
            <a:extLst>
              <a:ext uri="{FF2B5EF4-FFF2-40B4-BE49-F238E27FC236}">
                <a16:creationId xmlns:a16="http://schemas.microsoft.com/office/drawing/2014/main" id="{64E30BF1-AB12-4332-95F8-DF8982E53ECE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0" name="$E$114">
            <a:extLst>
              <a:ext uri="{FF2B5EF4-FFF2-40B4-BE49-F238E27FC236}">
                <a16:creationId xmlns:a16="http://schemas.microsoft.com/office/drawing/2014/main" id="{E26B5652-51A3-4293-BEAF-188913D06E25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1" name="$E$114">
            <a:extLst>
              <a:ext uri="{FF2B5EF4-FFF2-40B4-BE49-F238E27FC236}">
                <a16:creationId xmlns:a16="http://schemas.microsoft.com/office/drawing/2014/main" id="{72856F81-0650-4812-8400-81B58F102C9B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2" name="$E$114">
            <a:extLst>
              <a:ext uri="{FF2B5EF4-FFF2-40B4-BE49-F238E27FC236}">
                <a16:creationId xmlns:a16="http://schemas.microsoft.com/office/drawing/2014/main" id="{91F75FAB-E6B3-4926-BA90-6828DE27DB8E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3" name="$E$114">
            <a:extLst>
              <a:ext uri="{FF2B5EF4-FFF2-40B4-BE49-F238E27FC236}">
                <a16:creationId xmlns:a16="http://schemas.microsoft.com/office/drawing/2014/main" id="{FD726E10-C30B-44DE-8FEE-39642BCAF9B8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4" name="$E$114">
            <a:extLst>
              <a:ext uri="{FF2B5EF4-FFF2-40B4-BE49-F238E27FC236}">
                <a16:creationId xmlns:a16="http://schemas.microsoft.com/office/drawing/2014/main" id="{90C39F18-7944-435A-91A9-8949054A2D5F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5" name="$E$114">
            <a:extLst>
              <a:ext uri="{FF2B5EF4-FFF2-40B4-BE49-F238E27FC236}">
                <a16:creationId xmlns:a16="http://schemas.microsoft.com/office/drawing/2014/main" id="{2A21C0E5-D7C5-41B1-8B36-2869D2A85DCC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6" name="$E$114">
            <a:extLst>
              <a:ext uri="{FF2B5EF4-FFF2-40B4-BE49-F238E27FC236}">
                <a16:creationId xmlns:a16="http://schemas.microsoft.com/office/drawing/2014/main" id="{E19EF7E4-E0AE-4EF3-99E8-6E23627FCBF5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7" name="$E$114">
            <a:extLst>
              <a:ext uri="{FF2B5EF4-FFF2-40B4-BE49-F238E27FC236}">
                <a16:creationId xmlns:a16="http://schemas.microsoft.com/office/drawing/2014/main" id="{C531C32E-C82E-4476-B10A-2993D9D28C64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8" name="$E$114">
            <a:extLst>
              <a:ext uri="{FF2B5EF4-FFF2-40B4-BE49-F238E27FC236}">
                <a16:creationId xmlns:a16="http://schemas.microsoft.com/office/drawing/2014/main" id="{37C8551A-3722-4730-AD37-E6366143322E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39" name="$E$114">
            <a:extLst>
              <a:ext uri="{FF2B5EF4-FFF2-40B4-BE49-F238E27FC236}">
                <a16:creationId xmlns:a16="http://schemas.microsoft.com/office/drawing/2014/main" id="{93DBD666-775E-43E0-AE43-1D72B030931C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0" name="$E$114">
            <a:extLst>
              <a:ext uri="{FF2B5EF4-FFF2-40B4-BE49-F238E27FC236}">
                <a16:creationId xmlns:a16="http://schemas.microsoft.com/office/drawing/2014/main" id="{5219ACFE-B2E8-4549-B7C5-6832F2FD80A8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1" name="$E$114">
            <a:extLst>
              <a:ext uri="{FF2B5EF4-FFF2-40B4-BE49-F238E27FC236}">
                <a16:creationId xmlns:a16="http://schemas.microsoft.com/office/drawing/2014/main" id="{401F467E-EB49-40B8-9D17-4121876AF668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2" name="$E$114">
            <a:extLst>
              <a:ext uri="{FF2B5EF4-FFF2-40B4-BE49-F238E27FC236}">
                <a16:creationId xmlns:a16="http://schemas.microsoft.com/office/drawing/2014/main" id="{36F103C5-34F7-468F-8763-6684E6E92A2D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3" name="$E$114">
            <a:extLst>
              <a:ext uri="{FF2B5EF4-FFF2-40B4-BE49-F238E27FC236}">
                <a16:creationId xmlns:a16="http://schemas.microsoft.com/office/drawing/2014/main" id="{BCDB7360-9C0C-4A8D-B4EF-4C0DE3ABC9D9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4" name="$E$114">
            <a:extLst>
              <a:ext uri="{FF2B5EF4-FFF2-40B4-BE49-F238E27FC236}">
                <a16:creationId xmlns:a16="http://schemas.microsoft.com/office/drawing/2014/main" id="{C4937624-2D1A-440B-8DD1-4DCC5CB0DE72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5" name="$E$114">
            <a:extLst>
              <a:ext uri="{FF2B5EF4-FFF2-40B4-BE49-F238E27FC236}">
                <a16:creationId xmlns:a16="http://schemas.microsoft.com/office/drawing/2014/main" id="{9EC3A012-A2DE-473F-A9D0-72B6F0F805A8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6" name="$E$114">
            <a:extLst>
              <a:ext uri="{FF2B5EF4-FFF2-40B4-BE49-F238E27FC236}">
                <a16:creationId xmlns:a16="http://schemas.microsoft.com/office/drawing/2014/main" id="{31337748-6D40-42E1-BD5E-8C71AA72CBD5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7" name="$E$114">
            <a:extLst>
              <a:ext uri="{FF2B5EF4-FFF2-40B4-BE49-F238E27FC236}">
                <a16:creationId xmlns:a16="http://schemas.microsoft.com/office/drawing/2014/main" id="{F6519EBF-D18F-4E56-B870-D0F9E324DE45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8" name="$E$114">
            <a:extLst>
              <a:ext uri="{FF2B5EF4-FFF2-40B4-BE49-F238E27FC236}">
                <a16:creationId xmlns:a16="http://schemas.microsoft.com/office/drawing/2014/main" id="{616AAACC-DA44-484C-998C-E4D93B9C8CA3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49" name="$E$114">
            <a:extLst>
              <a:ext uri="{FF2B5EF4-FFF2-40B4-BE49-F238E27FC236}">
                <a16:creationId xmlns:a16="http://schemas.microsoft.com/office/drawing/2014/main" id="{D3DE8321-E27E-490B-820B-D1376389100B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0" name="$E$114">
            <a:extLst>
              <a:ext uri="{FF2B5EF4-FFF2-40B4-BE49-F238E27FC236}">
                <a16:creationId xmlns:a16="http://schemas.microsoft.com/office/drawing/2014/main" id="{7C21AFB1-1564-45C1-980B-CF7D6270BAD9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1" name="$E$114">
            <a:extLst>
              <a:ext uri="{FF2B5EF4-FFF2-40B4-BE49-F238E27FC236}">
                <a16:creationId xmlns:a16="http://schemas.microsoft.com/office/drawing/2014/main" id="{FDB01462-E7EC-4A96-93DC-2A68541251BB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2" name="$E$114">
            <a:extLst>
              <a:ext uri="{FF2B5EF4-FFF2-40B4-BE49-F238E27FC236}">
                <a16:creationId xmlns:a16="http://schemas.microsoft.com/office/drawing/2014/main" id="{A44E7E45-029B-4C21-85A7-BD4AB360D723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3" name="$E$114">
            <a:extLst>
              <a:ext uri="{FF2B5EF4-FFF2-40B4-BE49-F238E27FC236}">
                <a16:creationId xmlns:a16="http://schemas.microsoft.com/office/drawing/2014/main" id="{AE0B046E-5FC7-4189-9971-E13A26EAE88A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4" name="$E$114">
            <a:extLst>
              <a:ext uri="{FF2B5EF4-FFF2-40B4-BE49-F238E27FC236}">
                <a16:creationId xmlns:a16="http://schemas.microsoft.com/office/drawing/2014/main" id="{2C7827E4-78F0-4D2D-8A83-29EC25DC0CFC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5" name="$E$114">
            <a:extLst>
              <a:ext uri="{FF2B5EF4-FFF2-40B4-BE49-F238E27FC236}">
                <a16:creationId xmlns:a16="http://schemas.microsoft.com/office/drawing/2014/main" id="{AAF28024-890F-40BC-86C2-D9D27A7CE834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6" name="$E$114">
            <a:extLst>
              <a:ext uri="{FF2B5EF4-FFF2-40B4-BE49-F238E27FC236}">
                <a16:creationId xmlns:a16="http://schemas.microsoft.com/office/drawing/2014/main" id="{910AE143-9AED-4967-B2E7-CC2BAED86E22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7" name="$E$114">
            <a:extLst>
              <a:ext uri="{FF2B5EF4-FFF2-40B4-BE49-F238E27FC236}">
                <a16:creationId xmlns:a16="http://schemas.microsoft.com/office/drawing/2014/main" id="{CAA68110-B1DB-468B-B46B-36C14DB7014E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8" name="$E$114">
            <a:extLst>
              <a:ext uri="{FF2B5EF4-FFF2-40B4-BE49-F238E27FC236}">
                <a16:creationId xmlns:a16="http://schemas.microsoft.com/office/drawing/2014/main" id="{B58E7BC7-9E0B-49EF-BCC0-C94DDEAF7F6F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59" name="$E$114">
            <a:extLst>
              <a:ext uri="{FF2B5EF4-FFF2-40B4-BE49-F238E27FC236}">
                <a16:creationId xmlns:a16="http://schemas.microsoft.com/office/drawing/2014/main" id="{5F2B543A-A7BF-461A-A530-799FAF0A57B1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0" name="$E$114">
            <a:extLst>
              <a:ext uri="{FF2B5EF4-FFF2-40B4-BE49-F238E27FC236}">
                <a16:creationId xmlns:a16="http://schemas.microsoft.com/office/drawing/2014/main" id="{79219DAF-048C-4F7D-8AC0-E9A8596C27D4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1" name="$E$114">
            <a:extLst>
              <a:ext uri="{FF2B5EF4-FFF2-40B4-BE49-F238E27FC236}">
                <a16:creationId xmlns:a16="http://schemas.microsoft.com/office/drawing/2014/main" id="{9B191899-68B0-4569-8E5C-2D1DBA979407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2" name="$E$114">
            <a:extLst>
              <a:ext uri="{FF2B5EF4-FFF2-40B4-BE49-F238E27FC236}">
                <a16:creationId xmlns:a16="http://schemas.microsoft.com/office/drawing/2014/main" id="{475B5A0A-256C-4A3C-B44C-52AD68C07742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3" name="$E$114">
            <a:extLst>
              <a:ext uri="{FF2B5EF4-FFF2-40B4-BE49-F238E27FC236}">
                <a16:creationId xmlns:a16="http://schemas.microsoft.com/office/drawing/2014/main" id="{2AC0A105-CF08-4A94-ADD5-E06F29556D1D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4" name="$E$114">
            <a:extLst>
              <a:ext uri="{FF2B5EF4-FFF2-40B4-BE49-F238E27FC236}">
                <a16:creationId xmlns:a16="http://schemas.microsoft.com/office/drawing/2014/main" id="{9E69CE04-8103-46E9-84AC-7A4D98C1BDDF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5" name="$E$114">
            <a:extLst>
              <a:ext uri="{FF2B5EF4-FFF2-40B4-BE49-F238E27FC236}">
                <a16:creationId xmlns:a16="http://schemas.microsoft.com/office/drawing/2014/main" id="{4EBE8BC4-7ED4-4501-A870-38BD9DB74F4E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6" name="$E$114">
            <a:extLst>
              <a:ext uri="{FF2B5EF4-FFF2-40B4-BE49-F238E27FC236}">
                <a16:creationId xmlns:a16="http://schemas.microsoft.com/office/drawing/2014/main" id="{447BF407-9435-4C20-870D-5F9AB7BA4E79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7" name="$E$114">
            <a:extLst>
              <a:ext uri="{FF2B5EF4-FFF2-40B4-BE49-F238E27FC236}">
                <a16:creationId xmlns:a16="http://schemas.microsoft.com/office/drawing/2014/main" id="{205BAAF2-B344-40B3-8C2C-07F8B9D0AAB8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8" name="$E$114">
            <a:extLst>
              <a:ext uri="{FF2B5EF4-FFF2-40B4-BE49-F238E27FC236}">
                <a16:creationId xmlns:a16="http://schemas.microsoft.com/office/drawing/2014/main" id="{87E95D05-53DB-4016-B2D6-4EDA8357EF23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69" name="$E$114">
            <a:extLst>
              <a:ext uri="{FF2B5EF4-FFF2-40B4-BE49-F238E27FC236}">
                <a16:creationId xmlns:a16="http://schemas.microsoft.com/office/drawing/2014/main" id="{88EB9650-C3E5-4B56-B18F-49A866F20DCA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0" name="$E$114">
            <a:extLst>
              <a:ext uri="{FF2B5EF4-FFF2-40B4-BE49-F238E27FC236}">
                <a16:creationId xmlns:a16="http://schemas.microsoft.com/office/drawing/2014/main" id="{576A5C09-20E8-4854-BECC-C2FACAE6629C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1" name="$E$114">
            <a:extLst>
              <a:ext uri="{FF2B5EF4-FFF2-40B4-BE49-F238E27FC236}">
                <a16:creationId xmlns:a16="http://schemas.microsoft.com/office/drawing/2014/main" id="{A49362F1-9AC3-4AF0-9C82-AED1F2863577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2" name="$E$114">
            <a:extLst>
              <a:ext uri="{FF2B5EF4-FFF2-40B4-BE49-F238E27FC236}">
                <a16:creationId xmlns:a16="http://schemas.microsoft.com/office/drawing/2014/main" id="{7E5894BC-96AC-46D6-A4D1-71E764E1F826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3" name="$E$114">
            <a:extLst>
              <a:ext uri="{FF2B5EF4-FFF2-40B4-BE49-F238E27FC236}">
                <a16:creationId xmlns:a16="http://schemas.microsoft.com/office/drawing/2014/main" id="{42BB8826-58F7-4AAA-9260-B39B5B686336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4" name="$E$114">
            <a:extLst>
              <a:ext uri="{FF2B5EF4-FFF2-40B4-BE49-F238E27FC236}">
                <a16:creationId xmlns:a16="http://schemas.microsoft.com/office/drawing/2014/main" id="{FA15C145-4E26-4EBC-AF4B-4F8C49C130FA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5" name="$E$114">
            <a:extLst>
              <a:ext uri="{FF2B5EF4-FFF2-40B4-BE49-F238E27FC236}">
                <a16:creationId xmlns:a16="http://schemas.microsoft.com/office/drawing/2014/main" id="{9C1BC979-7B98-4252-803A-1B0499DF0E6F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6" name="$E$114">
            <a:extLst>
              <a:ext uri="{FF2B5EF4-FFF2-40B4-BE49-F238E27FC236}">
                <a16:creationId xmlns:a16="http://schemas.microsoft.com/office/drawing/2014/main" id="{3DA17760-120C-4713-8CB7-9FBAA015C433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7" name="$E$114">
            <a:extLst>
              <a:ext uri="{FF2B5EF4-FFF2-40B4-BE49-F238E27FC236}">
                <a16:creationId xmlns:a16="http://schemas.microsoft.com/office/drawing/2014/main" id="{8DB97960-0ACF-4015-8A47-3EF749EC641E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8" name="$E$114">
            <a:extLst>
              <a:ext uri="{FF2B5EF4-FFF2-40B4-BE49-F238E27FC236}">
                <a16:creationId xmlns:a16="http://schemas.microsoft.com/office/drawing/2014/main" id="{FEEF43D2-8AAD-4728-A5C7-656E19600034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79" name="$E$114">
            <a:extLst>
              <a:ext uri="{FF2B5EF4-FFF2-40B4-BE49-F238E27FC236}">
                <a16:creationId xmlns:a16="http://schemas.microsoft.com/office/drawing/2014/main" id="{25466E84-4D35-4F5B-ACC6-8A4F0A04A619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0" name="$E$114">
            <a:extLst>
              <a:ext uri="{FF2B5EF4-FFF2-40B4-BE49-F238E27FC236}">
                <a16:creationId xmlns:a16="http://schemas.microsoft.com/office/drawing/2014/main" id="{486417A2-E70D-4210-A510-F5C4DD5EE5A9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1" name="$E$114">
            <a:extLst>
              <a:ext uri="{FF2B5EF4-FFF2-40B4-BE49-F238E27FC236}">
                <a16:creationId xmlns:a16="http://schemas.microsoft.com/office/drawing/2014/main" id="{D5E0FDED-F740-4D1B-83EF-823F657D07F1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2" name="$E$114">
            <a:extLst>
              <a:ext uri="{FF2B5EF4-FFF2-40B4-BE49-F238E27FC236}">
                <a16:creationId xmlns:a16="http://schemas.microsoft.com/office/drawing/2014/main" id="{78514E32-B4E4-4FA8-82C0-1F955D356C5E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3" name="$E$114">
            <a:extLst>
              <a:ext uri="{FF2B5EF4-FFF2-40B4-BE49-F238E27FC236}">
                <a16:creationId xmlns:a16="http://schemas.microsoft.com/office/drawing/2014/main" id="{D970B09C-F896-4D83-9C96-95ADB83DC5A5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4" name="$E$114">
            <a:extLst>
              <a:ext uri="{FF2B5EF4-FFF2-40B4-BE49-F238E27FC236}">
                <a16:creationId xmlns:a16="http://schemas.microsoft.com/office/drawing/2014/main" id="{19F92FFD-AF91-4EB3-B752-CA1FE61B677E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5" name="$E$114">
            <a:extLst>
              <a:ext uri="{FF2B5EF4-FFF2-40B4-BE49-F238E27FC236}">
                <a16:creationId xmlns:a16="http://schemas.microsoft.com/office/drawing/2014/main" id="{D9899C01-1577-44AF-A90B-436D8A715556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6" name="$E$114">
            <a:extLst>
              <a:ext uri="{FF2B5EF4-FFF2-40B4-BE49-F238E27FC236}">
                <a16:creationId xmlns:a16="http://schemas.microsoft.com/office/drawing/2014/main" id="{E35FEB22-8C95-4F0F-A99E-80C766711FBB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7" name="$E$114">
            <a:extLst>
              <a:ext uri="{FF2B5EF4-FFF2-40B4-BE49-F238E27FC236}">
                <a16:creationId xmlns:a16="http://schemas.microsoft.com/office/drawing/2014/main" id="{BAFB1839-EE51-495E-9B13-EF2C6E62FB54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8" name="$E$114">
            <a:extLst>
              <a:ext uri="{FF2B5EF4-FFF2-40B4-BE49-F238E27FC236}">
                <a16:creationId xmlns:a16="http://schemas.microsoft.com/office/drawing/2014/main" id="{BEAFFD35-97A2-4AD9-828F-876875E01970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89" name="$E$114">
            <a:extLst>
              <a:ext uri="{FF2B5EF4-FFF2-40B4-BE49-F238E27FC236}">
                <a16:creationId xmlns:a16="http://schemas.microsoft.com/office/drawing/2014/main" id="{0F583A1B-F55C-4EAC-A62A-4B6A02AC528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0" name="$E$114">
            <a:extLst>
              <a:ext uri="{FF2B5EF4-FFF2-40B4-BE49-F238E27FC236}">
                <a16:creationId xmlns:a16="http://schemas.microsoft.com/office/drawing/2014/main" id="{AB0822F7-B5C9-4DB9-91D3-09EB802A7C6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1" name="$E$114">
            <a:extLst>
              <a:ext uri="{FF2B5EF4-FFF2-40B4-BE49-F238E27FC236}">
                <a16:creationId xmlns:a16="http://schemas.microsoft.com/office/drawing/2014/main" id="{31DFC615-8F26-4CD9-A3B9-E1658C54BF0D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2" name="$E$114">
            <a:extLst>
              <a:ext uri="{FF2B5EF4-FFF2-40B4-BE49-F238E27FC236}">
                <a16:creationId xmlns:a16="http://schemas.microsoft.com/office/drawing/2014/main" id="{1F95C95A-2FD6-4B6D-AC3A-A3B408327F81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3" name="$E$114">
            <a:extLst>
              <a:ext uri="{FF2B5EF4-FFF2-40B4-BE49-F238E27FC236}">
                <a16:creationId xmlns:a16="http://schemas.microsoft.com/office/drawing/2014/main" id="{AE1E42C5-6C27-40B6-8005-DA8D12061BA2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4" name="$E$114">
            <a:extLst>
              <a:ext uri="{FF2B5EF4-FFF2-40B4-BE49-F238E27FC236}">
                <a16:creationId xmlns:a16="http://schemas.microsoft.com/office/drawing/2014/main" id="{A5438ACC-50E8-406E-8A91-79DDC58F5F24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5" name="$E$114">
            <a:extLst>
              <a:ext uri="{FF2B5EF4-FFF2-40B4-BE49-F238E27FC236}">
                <a16:creationId xmlns:a16="http://schemas.microsoft.com/office/drawing/2014/main" id="{2858614D-AA7B-429F-B591-0B56F8A6EF58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6" name="$E$114">
            <a:extLst>
              <a:ext uri="{FF2B5EF4-FFF2-40B4-BE49-F238E27FC236}">
                <a16:creationId xmlns:a16="http://schemas.microsoft.com/office/drawing/2014/main" id="{27C48635-182F-4E5E-A08F-EBC39F5EA165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7" name="$E$114">
            <a:extLst>
              <a:ext uri="{FF2B5EF4-FFF2-40B4-BE49-F238E27FC236}">
                <a16:creationId xmlns:a16="http://schemas.microsoft.com/office/drawing/2014/main" id="{79B9A614-0B91-4A94-85EE-363815DDB5A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8" name="$E$114">
            <a:extLst>
              <a:ext uri="{FF2B5EF4-FFF2-40B4-BE49-F238E27FC236}">
                <a16:creationId xmlns:a16="http://schemas.microsoft.com/office/drawing/2014/main" id="{68B16090-B13C-47FB-B9BC-F7F1844859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999" name="$E$114">
            <a:extLst>
              <a:ext uri="{FF2B5EF4-FFF2-40B4-BE49-F238E27FC236}">
                <a16:creationId xmlns:a16="http://schemas.microsoft.com/office/drawing/2014/main" id="{13275E97-56E1-4943-9862-25E483C9B81D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0" name="$E$114">
            <a:extLst>
              <a:ext uri="{FF2B5EF4-FFF2-40B4-BE49-F238E27FC236}">
                <a16:creationId xmlns:a16="http://schemas.microsoft.com/office/drawing/2014/main" id="{42E9C006-B67C-48A4-A054-FA3E79F39415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1" name="$E$114">
            <a:extLst>
              <a:ext uri="{FF2B5EF4-FFF2-40B4-BE49-F238E27FC236}">
                <a16:creationId xmlns:a16="http://schemas.microsoft.com/office/drawing/2014/main" id="{FD72DD56-E8F7-483A-95AA-3400FC6879B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2" name="$E$114">
            <a:extLst>
              <a:ext uri="{FF2B5EF4-FFF2-40B4-BE49-F238E27FC236}">
                <a16:creationId xmlns:a16="http://schemas.microsoft.com/office/drawing/2014/main" id="{7607145C-8FD0-4034-85FF-FA2FA8ADD81E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3" name="$E$114">
            <a:extLst>
              <a:ext uri="{FF2B5EF4-FFF2-40B4-BE49-F238E27FC236}">
                <a16:creationId xmlns:a16="http://schemas.microsoft.com/office/drawing/2014/main" id="{8F4BF586-3EC1-4C42-814E-4D21B11FAC6E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4" name="$E$114">
            <a:extLst>
              <a:ext uri="{FF2B5EF4-FFF2-40B4-BE49-F238E27FC236}">
                <a16:creationId xmlns:a16="http://schemas.microsoft.com/office/drawing/2014/main" id="{FBE34AFC-13F2-4023-95BE-7632310AC5FB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5" name="$E$114">
            <a:extLst>
              <a:ext uri="{FF2B5EF4-FFF2-40B4-BE49-F238E27FC236}">
                <a16:creationId xmlns:a16="http://schemas.microsoft.com/office/drawing/2014/main" id="{D7E3474D-851F-4BF2-B1EB-E398D281138F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6" name="$E$114">
            <a:extLst>
              <a:ext uri="{FF2B5EF4-FFF2-40B4-BE49-F238E27FC236}">
                <a16:creationId xmlns:a16="http://schemas.microsoft.com/office/drawing/2014/main" id="{03672E30-BF63-4701-B3E6-12B9845F4EE1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7" name="$E$114">
            <a:extLst>
              <a:ext uri="{FF2B5EF4-FFF2-40B4-BE49-F238E27FC236}">
                <a16:creationId xmlns:a16="http://schemas.microsoft.com/office/drawing/2014/main" id="{7456685E-754D-4292-8998-9A7BA9315289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8" name="$E$114">
            <a:extLst>
              <a:ext uri="{FF2B5EF4-FFF2-40B4-BE49-F238E27FC236}">
                <a16:creationId xmlns:a16="http://schemas.microsoft.com/office/drawing/2014/main" id="{ABBE4018-A300-4D14-9C7A-099FAB23BDF2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09" name="$E$114">
            <a:extLst>
              <a:ext uri="{FF2B5EF4-FFF2-40B4-BE49-F238E27FC236}">
                <a16:creationId xmlns:a16="http://schemas.microsoft.com/office/drawing/2014/main" id="{4FBC0C2F-AFA1-4C99-9FFD-AC2B17AE6DF5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0" name="$E$114">
            <a:extLst>
              <a:ext uri="{FF2B5EF4-FFF2-40B4-BE49-F238E27FC236}">
                <a16:creationId xmlns:a16="http://schemas.microsoft.com/office/drawing/2014/main" id="{81689D0E-0B40-4093-9109-A2C86315933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1" name="$E$114">
            <a:extLst>
              <a:ext uri="{FF2B5EF4-FFF2-40B4-BE49-F238E27FC236}">
                <a16:creationId xmlns:a16="http://schemas.microsoft.com/office/drawing/2014/main" id="{4871A570-6B2B-41B4-AFEF-90E480BE9BDA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2" name="$E$114">
            <a:extLst>
              <a:ext uri="{FF2B5EF4-FFF2-40B4-BE49-F238E27FC236}">
                <a16:creationId xmlns:a16="http://schemas.microsoft.com/office/drawing/2014/main" id="{9B73B5B8-CEF7-4833-BEC1-52F8B958CDFF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3" name="$E$114">
            <a:extLst>
              <a:ext uri="{FF2B5EF4-FFF2-40B4-BE49-F238E27FC236}">
                <a16:creationId xmlns:a16="http://schemas.microsoft.com/office/drawing/2014/main" id="{B93CC979-EDF1-4618-A86D-9DE6BF1D0CE2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4" name="$E$114">
            <a:extLst>
              <a:ext uri="{FF2B5EF4-FFF2-40B4-BE49-F238E27FC236}">
                <a16:creationId xmlns:a16="http://schemas.microsoft.com/office/drawing/2014/main" id="{EBA76E26-5030-4F21-A865-EA8B0B5E84DA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5" name="$E$114">
            <a:extLst>
              <a:ext uri="{FF2B5EF4-FFF2-40B4-BE49-F238E27FC236}">
                <a16:creationId xmlns:a16="http://schemas.microsoft.com/office/drawing/2014/main" id="{02C2C5DE-76F4-41EC-B729-F1A899DF9FDD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6" name="$E$114">
            <a:extLst>
              <a:ext uri="{FF2B5EF4-FFF2-40B4-BE49-F238E27FC236}">
                <a16:creationId xmlns:a16="http://schemas.microsoft.com/office/drawing/2014/main" id="{646FAC16-9897-48B1-BC8B-5B6CC2908081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7" name="$E$114">
            <a:extLst>
              <a:ext uri="{FF2B5EF4-FFF2-40B4-BE49-F238E27FC236}">
                <a16:creationId xmlns:a16="http://schemas.microsoft.com/office/drawing/2014/main" id="{7D032D49-D021-42A1-920D-784BE8625CDB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8" name="$E$114">
            <a:extLst>
              <a:ext uri="{FF2B5EF4-FFF2-40B4-BE49-F238E27FC236}">
                <a16:creationId xmlns:a16="http://schemas.microsoft.com/office/drawing/2014/main" id="{FBF4078C-C1C0-4E89-9741-D2FE4075F2D6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19" name="$E$114">
            <a:extLst>
              <a:ext uri="{FF2B5EF4-FFF2-40B4-BE49-F238E27FC236}">
                <a16:creationId xmlns:a16="http://schemas.microsoft.com/office/drawing/2014/main" id="{CA10F9AA-350F-4805-88BD-506E16C121B5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0" name="$E$114">
            <a:extLst>
              <a:ext uri="{FF2B5EF4-FFF2-40B4-BE49-F238E27FC236}">
                <a16:creationId xmlns:a16="http://schemas.microsoft.com/office/drawing/2014/main" id="{3174C79D-2424-4560-96D6-020609185E79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1" name="$E$114">
            <a:extLst>
              <a:ext uri="{FF2B5EF4-FFF2-40B4-BE49-F238E27FC236}">
                <a16:creationId xmlns:a16="http://schemas.microsoft.com/office/drawing/2014/main" id="{CCF6854F-BFF1-4255-8936-BF47DFD99B11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2" name="$E$114">
            <a:extLst>
              <a:ext uri="{FF2B5EF4-FFF2-40B4-BE49-F238E27FC236}">
                <a16:creationId xmlns:a16="http://schemas.microsoft.com/office/drawing/2014/main" id="{6C2F437A-CA43-454A-9ABB-C080681AF71E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3" name="$E$114">
            <a:extLst>
              <a:ext uri="{FF2B5EF4-FFF2-40B4-BE49-F238E27FC236}">
                <a16:creationId xmlns:a16="http://schemas.microsoft.com/office/drawing/2014/main" id="{56610A4A-D3D7-4487-A004-BBE1CBF794A7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4" name="$E$114">
            <a:extLst>
              <a:ext uri="{FF2B5EF4-FFF2-40B4-BE49-F238E27FC236}">
                <a16:creationId xmlns:a16="http://schemas.microsoft.com/office/drawing/2014/main" id="{608AAC1B-D25E-4B94-9B73-0DB635F151FE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5" name="$E$114">
            <a:extLst>
              <a:ext uri="{FF2B5EF4-FFF2-40B4-BE49-F238E27FC236}">
                <a16:creationId xmlns:a16="http://schemas.microsoft.com/office/drawing/2014/main" id="{B30F431D-3521-4CCA-8C0E-287D066BAE3C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6" name="$E$114">
            <a:extLst>
              <a:ext uri="{FF2B5EF4-FFF2-40B4-BE49-F238E27FC236}">
                <a16:creationId xmlns:a16="http://schemas.microsoft.com/office/drawing/2014/main" id="{F3FEB30F-7BE7-4737-BE1C-89CF00627375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7" name="$E$114">
            <a:extLst>
              <a:ext uri="{FF2B5EF4-FFF2-40B4-BE49-F238E27FC236}">
                <a16:creationId xmlns:a16="http://schemas.microsoft.com/office/drawing/2014/main" id="{29B9FF17-3C2A-417B-BD52-1C3F0C31BE92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8" name="$E$114">
            <a:extLst>
              <a:ext uri="{FF2B5EF4-FFF2-40B4-BE49-F238E27FC236}">
                <a16:creationId xmlns:a16="http://schemas.microsoft.com/office/drawing/2014/main" id="{82EFD3A9-D0AC-4DF3-85C6-2AA01585E0FA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29" name="$E$114">
            <a:extLst>
              <a:ext uri="{FF2B5EF4-FFF2-40B4-BE49-F238E27FC236}">
                <a16:creationId xmlns:a16="http://schemas.microsoft.com/office/drawing/2014/main" id="{667F80C1-CA32-421D-9798-7CAFBCFF7488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0" name="$E$114">
            <a:extLst>
              <a:ext uri="{FF2B5EF4-FFF2-40B4-BE49-F238E27FC236}">
                <a16:creationId xmlns:a16="http://schemas.microsoft.com/office/drawing/2014/main" id="{47F751A2-0BCF-4FD9-AD75-AB383E9C513C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1" name="$E$114">
            <a:extLst>
              <a:ext uri="{FF2B5EF4-FFF2-40B4-BE49-F238E27FC236}">
                <a16:creationId xmlns:a16="http://schemas.microsoft.com/office/drawing/2014/main" id="{B24B55AC-50FF-4006-B17F-5D4AC490CDA2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2" name="$E$114">
            <a:extLst>
              <a:ext uri="{FF2B5EF4-FFF2-40B4-BE49-F238E27FC236}">
                <a16:creationId xmlns:a16="http://schemas.microsoft.com/office/drawing/2014/main" id="{EF272A74-34E0-446A-9C8A-D574D9494E8E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3" name="$E$114">
            <a:extLst>
              <a:ext uri="{FF2B5EF4-FFF2-40B4-BE49-F238E27FC236}">
                <a16:creationId xmlns:a16="http://schemas.microsoft.com/office/drawing/2014/main" id="{9DA1FA1B-B7E1-4230-9775-1BB4DB83B264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4" name="$E$114">
            <a:extLst>
              <a:ext uri="{FF2B5EF4-FFF2-40B4-BE49-F238E27FC236}">
                <a16:creationId xmlns:a16="http://schemas.microsoft.com/office/drawing/2014/main" id="{08B977CC-A047-4E2F-BEC9-DE5475AAEDF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5" name="$E$114">
            <a:extLst>
              <a:ext uri="{FF2B5EF4-FFF2-40B4-BE49-F238E27FC236}">
                <a16:creationId xmlns:a16="http://schemas.microsoft.com/office/drawing/2014/main" id="{1B128797-D07A-4EA2-9385-6687B7C4CF4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6" name="$E$114">
            <a:extLst>
              <a:ext uri="{FF2B5EF4-FFF2-40B4-BE49-F238E27FC236}">
                <a16:creationId xmlns:a16="http://schemas.microsoft.com/office/drawing/2014/main" id="{85DF0075-6334-4E35-B1E1-F243D0E6BFF0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7" name="$E$114">
            <a:extLst>
              <a:ext uri="{FF2B5EF4-FFF2-40B4-BE49-F238E27FC236}">
                <a16:creationId xmlns:a16="http://schemas.microsoft.com/office/drawing/2014/main" id="{7AFC1D08-25FB-484E-9E4F-D54C9C56DB1C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8" name="$E$114">
            <a:extLst>
              <a:ext uri="{FF2B5EF4-FFF2-40B4-BE49-F238E27FC236}">
                <a16:creationId xmlns:a16="http://schemas.microsoft.com/office/drawing/2014/main" id="{05B1E1B2-BCA0-4ECF-83DA-C68F9AAE9537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39" name="$E$114">
            <a:extLst>
              <a:ext uri="{FF2B5EF4-FFF2-40B4-BE49-F238E27FC236}">
                <a16:creationId xmlns:a16="http://schemas.microsoft.com/office/drawing/2014/main" id="{56A552D0-2FCE-41CF-9F21-9C7BDD63DC19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0" name="$E$114">
            <a:extLst>
              <a:ext uri="{FF2B5EF4-FFF2-40B4-BE49-F238E27FC236}">
                <a16:creationId xmlns:a16="http://schemas.microsoft.com/office/drawing/2014/main" id="{73A58E42-2679-4E45-9CD8-E0B1807821FE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1" name="$E$114">
            <a:extLst>
              <a:ext uri="{FF2B5EF4-FFF2-40B4-BE49-F238E27FC236}">
                <a16:creationId xmlns:a16="http://schemas.microsoft.com/office/drawing/2014/main" id="{A9D05EEE-365A-474C-A303-C059C7C050D4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2" name="$E$114">
            <a:extLst>
              <a:ext uri="{FF2B5EF4-FFF2-40B4-BE49-F238E27FC236}">
                <a16:creationId xmlns:a16="http://schemas.microsoft.com/office/drawing/2014/main" id="{135F01FB-ED10-4E18-B0AA-7821204C022C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3" name="$E$114">
            <a:extLst>
              <a:ext uri="{FF2B5EF4-FFF2-40B4-BE49-F238E27FC236}">
                <a16:creationId xmlns:a16="http://schemas.microsoft.com/office/drawing/2014/main" id="{AECFD293-6E32-4661-B92D-7C3950292631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4" name="$E$114">
            <a:extLst>
              <a:ext uri="{FF2B5EF4-FFF2-40B4-BE49-F238E27FC236}">
                <a16:creationId xmlns:a16="http://schemas.microsoft.com/office/drawing/2014/main" id="{5AC5B9D2-5F3B-486E-A3B7-E3476F05DC13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5" name="$E$114">
            <a:extLst>
              <a:ext uri="{FF2B5EF4-FFF2-40B4-BE49-F238E27FC236}">
                <a16:creationId xmlns:a16="http://schemas.microsoft.com/office/drawing/2014/main" id="{E91DE7E9-0C11-4E26-8EFC-DB0752C967DE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6" name="$E$114">
            <a:extLst>
              <a:ext uri="{FF2B5EF4-FFF2-40B4-BE49-F238E27FC236}">
                <a16:creationId xmlns:a16="http://schemas.microsoft.com/office/drawing/2014/main" id="{156B5D55-E7AA-42C0-9156-DA51D45AA2A4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7" name="$E$114">
            <a:extLst>
              <a:ext uri="{FF2B5EF4-FFF2-40B4-BE49-F238E27FC236}">
                <a16:creationId xmlns:a16="http://schemas.microsoft.com/office/drawing/2014/main" id="{DC57ACCB-E8D2-4109-B70F-BDBC1DF5705F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8" name="$E$114">
            <a:extLst>
              <a:ext uri="{FF2B5EF4-FFF2-40B4-BE49-F238E27FC236}">
                <a16:creationId xmlns:a16="http://schemas.microsoft.com/office/drawing/2014/main" id="{C9765AD2-F3D7-4C32-9273-D1130755439A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49" name="$E$114">
            <a:extLst>
              <a:ext uri="{FF2B5EF4-FFF2-40B4-BE49-F238E27FC236}">
                <a16:creationId xmlns:a16="http://schemas.microsoft.com/office/drawing/2014/main" id="{C478E2AB-6C27-4A70-9735-A82AB5DEB16C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0" name="$E$114">
            <a:extLst>
              <a:ext uri="{FF2B5EF4-FFF2-40B4-BE49-F238E27FC236}">
                <a16:creationId xmlns:a16="http://schemas.microsoft.com/office/drawing/2014/main" id="{C77B2CE4-91F9-43CE-A886-E45534BD713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1" name="$E$114">
            <a:extLst>
              <a:ext uri="{FF2B5EF4-FFF2-40B4-BE49-F238E27FC236}">
                <a16:creationId xmlns:a16="http://schemas.microsoft.com/office/drawing/2014/main" id="{31941629-2860-43C5-BF44-3AB296953F22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2" name="$E$114">
            <a:extLst>
              <a:ext uri="{FF2B5EF4-FFF2-40B4-BE49-F238E27FC236}">
                <a16:creationId xmlns:a16="http://schemas.microsoft.com/office/drawing/2014/main" id="{C17BE2E4-F48A-445D-8537-89EE297BAAA8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3" name="$E$114">
            <a:extLst>
              <a:ext uri="{FF2B5EF4-FFF2-40B4-BE49-F238E27FC236}">
                <a16:creationId xmlns:a16="http://schemas.microsoft.com/office/drawing/2014/main" id="{24F069B7-FCE0-444E-91C3-6BADBFAB6159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4" name="$E$114">
            <a:extLst>
              <a:ext uri="{FF2B5EF4-FFF2-40B4-BE49-F238E27FC236}">
                <a16:creationId xmlns:a16="http://schemas.microsoft.com/office/drawing/2014/main" id="{7C8B24AB-3060-41C7-BDF4-69DF7A7A850E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5" name="$E$114">
            <a:extLst>
              <a:ext uri="{FF2B5EF4-FFF2-40B4-BE49-F238E27FC236}">
                <a16:creationId xmlns:a16="http://schemas.microsoft.com/office/drawing/2014/main" id="{EA645CA1-B099-4022-8BF5-92F17DB13519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6" name="$E$114">
            <a:extLst>
              <a:ext uri="{FF2B5EF4-FFF2-40B4-BE49-F238E27FC236}">
                <a16:creationId xmlns:a16="http://schemas.microsoft.com/office/drawing/2014/main" id="{5D12C094-93EE-4D76-80A3-D5C62A3A9F79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7" name="$E$114">
            <a:extLst>
              <a:ext uri="{FF2B5EF4-FFF2-40B4-BE49-F238E27FC236}">
                <a16:creationId xmlns:a16="http://schemas.microsoft.com/office/drawing/2014/main" id="{19857B49-45F5-48F0-96AC-5E8A27298177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8" name="$E$114">
            <a:extLst>
              <a:ext uri="{FF2B5EF4-FFF2-40B4-BE49-F238E27FC236}">
                <a16:creationId xmlns:a16="http://schemas.microsoft.com/office/drawing/2014/main" id="{9D687893-75F5-4434-82F5-96B7F3FDC12D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59" name="$E$114">
            <a:extLst>
              <a:ext uri="{FF2B5EF4-FFF2-40B4-BE49-F238E27FC236}">
                <a16:creationId xmlns:a16="http://schemas.microsoft.com/office/drawing/2014/main" id="{653D4918-CE14-476A-9B11-D48AC35FE33E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0" name="$E$114">
            <a:extLst>
              <a:ext uri="{FF2B5EF4-FFF2-40B4-BE49-F238E27FC236}">
                <a16:creationId xmlns:a16="http://schemas.microsoft.com/office/drawing/2014/main" id="{8A8C4A7B-08D8-47CF-82AE-B99F575D3AB5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1" name="$E$114">
            <a:extLst>
              <a:ext uri="{FF2B5EF4-FFF2-40B4-BE49-F238E27FC236}">
                <a16:creationId xmlns:a16="http://schemas.microsoft.com/office/drawing/2014/main" id="{ED1C0C4B-8EF3-4F29-B06B-6344EC1C6FDE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2" name="$E$114">
            <a:extLst>
              <a:ext uri="{FF2B5EF4-FFF2-40B4-BE49-F238E27FC236}">
                <a16:creationId xmlns:a16="http://schemas.microsoft.com/office/drawing/2014/main" id="{C8374489-E852-4C25-9658-E8313A743F7E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3" name="$E$114">
            <a:extLst>
              <a:ext uri="{FF2B5EF4-FFF2-40B4-BE49-F238E27FC236}">
                <a16:creationId xmlns:a16="http://schemas.microsoft.com/office/drawing/2014/main" id="{CF3ED019-6162-4340-A65B-0502E616E7DF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4" name="$E$114">
            <a:extLst>
              <a:ext uri="{FF2B5EF4-FFF2-40B4-BE49-F238E27FC236}">
                <a16:creationId xmlns:a16="http://schemas.microsoft.com/office/drawing/2014/main" id="{F47C44DD-5022-4497-B0BC-D16B06C44178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5" name="$E$114">
            <a:extLst>
              <a:ext uri="{FF2B5EF4-FFF2-40B4-BE49-F238E27FC236}">
                <a16:creationId xmlns:a16="http://schemas.microsoft.com/office/drawing/2014/main" id="{A3FA6BA1-25D0-417C-BC2C-813F565F1A74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6" name="$E$114">
            <a:extLst>
              <a:ext uri="{FF2B5EF4-FFF2-40B4-BE49-F238E27FC236}">
                <a16:creationId xmlns:a16="http://schemas.microsoft.com/office/drawing/2014/main" id="{9B459CD3-7AB3-4CC7-B9D8-221F7F2AB9F8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7" name="$E$114">
            <a:extLst>
              <a:ext uri="{FF2B5EF4-FFF2-40B4-BE49-F238E27FC236}">
                <a16:creationId xmlns:a16="http://schemas.microsoft.com/office/drawing/2014/main" id="{4F79E000-6C9B-413F-A367-87B6D446074D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8" name="$E$114">
            <a:extLst>
              <a:ext uri="{FF2B5EF4-FFF2-40B4-BE49-F238E27FC236}">
                <a16:creationId xmlns:a16="http://schemas.microsoft.com/office/drawing/2014/main" id="{8A9710E5-F849-45B4-A4D6-26725A3EF82B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69" name="$E$114">
            <a:extLst>
              <a:ext uri="{FF2B5EF4-FFF2-40B4-BE49-F238E27FC236}">
                <a16:creationId xmlns:a16="http://schemas.microsoft.com/office/drawing/2014/main" id="{EF4D401F-8121-43C7-8F56-6EF8993A8730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0" name="$E$114">
            <a:extLst>
              <a:ext uri="{FF2B5EF4-FFF2-40B4-BE49-F238E27FC236}">
                <a16:creationId xmlns:a16="http://schemas.microsoft.com/office/drawing/2014/main" id="{19791CDB-6131-437F-86D5-CFDEFA15B512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1" name="$E$114">
            <a:extLst>
              <a:ext uri="{FF2B5EF4-FFF2-40B4-BE49-F238E27FC236}">
                <a16:creationId xmlns:a16="http://schemas.microsoft.com/office/drawing/2014/main" id="{C29E1D41-9869-4127-A7BE-71398314C2DF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2" name="$E$114">
            <a:extLst>
              <a:ext uri="{FF2B5EF4-FFF2-40B4-BE49-F238E27FC236}">
                <a16:creationId xmlns:a16="http://schemas.microsoft.com/office/drawing/2014/main" id="{A7E79EEE-7D65-4867-B7AE-3111D48823DB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3" name="$E$114">
            <a:extLst>
              <a:ext uri="{FF2B5EF4-FFF2-40B4-BE49-F238E27FC236}">
                <a16:creationId xmlns:a16="http://schemas.microsoft.com/office/drawing/2014/main" id="{6D857C1C-F87E-4E7C-A267-72B8D9BF2E24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4" name="$E$114">
            <a:extLst>
              <a:ext uri="{FF2B5EF4-FFF2-40B4-BE49-F238E27FC236}">
                <a16:creationId xmlns:a16="http://schemas.microsoft.com/office/drawing/2014/main" id="{48AE75AB-333C-4B6E-BB1F-231E95420A8E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5" name="$E$114">
            <a:extLst>
              <a:ext uri="{FF2B5EF4-FFF2-40B4-BE49-F238E27FC236}">
                <a16:creationId xmlns:a16="http://schemas.microsoft.com/office/drawing/2014/main" id="{C99EAF5E-D9D0-4D84-AD97-10D6CA035497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6" name="$E$114">
            <a:extLst>
              <a:ext uri="{FF2B5EF4-FFF2-40B4-BE49-F238E27FC236}">
                <a16:creationId xmlns:a16="http://schemas.microsoft.com/office/drawing/2014/main" id="{51661035-4959-4849-9DAA-16AD4BB108FF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7" name="$E$114">
            <a:extLst>
              <a:ext uri="{FF2B5EF4-FFF2-40B4-BE49-F238E27FC236}">
                <a16:creationId xmlns:a16="http://schemas.microsoft.com/office/drawing/2014/main" id="{1BE5AD7C-0297-429A-9FED-35D879FE86A2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8" name="$E$114">
            <a:extLst>
              <a:ext uri="{FF2B5EF4-FFF2-40B4-BE49-F238E27FC236}">
                <a16:creationId xmlns:a16="http://schemas.microsoft.com/office/drawing/2014/main" id="{9DC76FFA-5BC5-4F44-A9B7-03E10AB10D5B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79" name="$E$114">
            <a:extLst>
              <a:ext uri="{FF2B5EF4-FFF2-40B4-BE49-F238E27FC236}">
                <a16:creationId xmlns:a16="http://schemas.microsoft.com/office/drawing/2014/main" id="{8A947B7D-878D-48DE-A224-EEB9E3A45C96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0" name="$E$114">
            <a:extLst>
              <a:ext uri="{FF2B5EF4-FFF2-40B4-BE49-F238E27FC236}">
                <a16:creationId xmlns:a16="http://schemas.microsoft.com/office/drawing/2014/main" id="{37DCD819-ACB7-43D6-8640-B15EE55EEB93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1" name="$E$114">
            <a:extLst>
              <a:ext uri="{FF2B5EF4-FFF2-40B4-BE49-F238E27FC236}">
                <a16:creationId xmlns:a16="http://schemas.microsoft.com/office/drawing/2014/main" id="{FFE790B3-013A-4A02-9F15-9C5A19A9D634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2" name="$E$114">
            <a:extLst>
              <a:ext uri="{FF2B5EF4-FFF2-40B4-BE49-F238E27FC236}">
                <a16:creationId xmlns:a16="http://schemas.microsoft.com/office/drawing/2014/main" id="{EC9809DE-2F39-45D6-9597-1DCFFC847CDD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3" name="$E$114">
            <a:extLst>
              <a:ext uri="{FF2B5EF4-FFF2-40B4-BE49-F238E27FC236}">
                <a16:creationId xmlns:a16="http://schemas.microsoft.com/office/drawing/2014/main" id="{13E6BFD2-AED1-4FBF-8BC2-E1C766D73F57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4" name="$E$114">
            <a:extLst>
              <a:ext uri="{FF2B5EF4-FFF2-40B4-BE49-F238E27FC236}">
                <a16:creationId xmlns:a16="http://schemas.microsoft.com/office/drawing/2014/main" id="{346DB134-9AAE-428D-9E37-812CFDEAA076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5" name="$E$114">
            <a:extLst>
              <a:ext uri="{FF2B5EF4-FFF2-40B4-BE49-F238E27FC236}">
                <a16:creationId xmlns:a16="http://schemas.microsoft.com/office/drawing/2014/main" id="{5CABB22E-A249-4956-AEF8-B479362107D7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6" name="$E$114">
            <a:extLst>
              <a:ext uri="{FF2B5EF4-FFF2-40B4-BE49-F238E27FC236}">
                <a16:creationId xmlns:a16="http://schemas.microsoft.com/office/drawing/2014/main" id="{2B2D1CFA-F1ED-4944-8886-F712BA7B8EA4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7" name="$E$114">
            <a:extLst>
              <a:ext uri="{FF2B5EF4-FFF2-40B4-BE49-F238E27FC236}">
                <a16:creationId xmlns:a16="http://schemas.microsoft.com/office/drawing/2014/main" id="{9087CCAE-139C-41B4-984B-3E66069BAC23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8" name="$E$114">
            <a:extLst>
              <a:ext uri="{FF2B5EF4-FFF2-40B4-BE49-F238E27FC236}">
                <a16:creationId xmlns:a16="http://schemas.microsoft.com/office/drawing/2014/main" id="{784CDD59-CC5C-46AE-8768-C5383F3645C1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89" name="$E$114">
            <a:extLst>
              <a:ext uri="{FF2B5EF4-FFF2-40B4-BE49-F238E27FC236}">
                <a16:creationId xmlns:a16="http://schemas.microsoft.com/office/drawing/2014/main" id="{0B2B98D8-871D-4683-9DDB-EC2C57BBEDB8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0" name="$E$114">
            <a:extLst>
              <a:ext uri="{FF2B5EF4-FFF2-40B4-BE49-F238E27FC236}">
                <a16:creationId xmlns:a16="http://schemas.microsoft.com/office/drawing/2014/main" id="{F98A99E9-9503-4E0A-8C3D-1BB4D38C10CC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98244</xdr:colOff>
      <xdr:row>114</xdr:row>
      <xdr:rowOff>45851</xdr:rowOff>
    </xdr:from>
    <xdr:to>
      <xdr:col>4</xdr:col>
      <xdr:colOff>1559107</xdr:colOff>
      <xdr:row>114</xdr:row>
      <xdr:rowOff>1506714</xdr:rowOff>
    </xdr:to>
    <xdr:grpSp>
      <xdr:nvGrpSpPr>
        <xdr:cNvPr id="2635" name="$E$115" descr="QuickResponse barcode, level L, version 4, mode binary, 33x33 cells" title="https://centrodecapacitaciondelsur.com/soporte-basico-de-vida-24336876/">
          <a:extLst>
            <a:ext uri="{FF2B5EF4-FFF2-40B4-BE49-F238E27FC236}">
              <a16:creationId xmlns:a16="http://schemas.microsoft.com/office/drawing/2014/main" id="{79FC217F-A3B8-4A23-AD72-3CBF573F9296}"/>
            </a:ext>
          </a:extLst>
        </xdr:cNvPr>
        <xdr:cNvGrpSpPr>
          <a:grpSpLocks noChangeAspect="1"/>
        </xdr:cNvGrpSpPr>
      </xdr:nvGrpSpPr>
      <xdr:grpSpPr>
        <a:xfrm>
          <a:off x="20672244" y="126690251"/>
          <a:ext cx="1460863" cy="1460863"/>
          <a:chOff x="0" y="0"/>
          <a:chExt cx="419100" cy="419100"/>
        </a:xfrm>
      </xdr:grpSpPr>
      <xdr:sp macro="" textlink="">
        <xdr:nvSpPr>
          <xdr:cNvPr id="2092" name="$E$115">
            <a:extLst>
              <a:ext uri="{FF2B5EF4-FFF2-40B4-BE49-F238E27FC236}">
                <a16:creationId xmlns:a16="http://schemas.microsoft.com/office/drawing/2014/main" id="{3C42859F-C02E-4D27-B82B-796A6DF8DE2B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3" name="$E$115">
            <a:extLst>
              <a:ext uri="{FF2B5EF4-FFF2-40B4-BE49-F238E27FC236}">
                <a16:creationId xmlns:a16="http://schemas.microsoft.com/office/drawing/2014/main" id="{A6AA3E02-372E-415F-841D-34CE0A0FEE14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4" name="$E$115">
            <a:extLst>
              <a:ext uri="{FF2B5EF4-FFF2-40B4-BE49-F238E27FC236}">
                <a16:creationId xmlns:a16="http://schemas.microsoft.com/office/drawing/2014/main" id="{33318145-C6BA-4BA4-820D-F232D641507F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5" name="$E$115">
            <a:extLst>
              <a:ext uri="{FF2B5EF4-FFF2-40B4-BE49-F238E27FC236}">
                <a16:creationId xmlns:a16="http://schemas.microsoft.com/office/drawing/2014/main" id="{F768D1E5-789F-4D23-8BE9-5ADFEEA23415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6" name="$E$115">
            <a:extLst>
              <a:ext uri="{FF2B5EF4-FFF2-40B4-BE49-F238E27FC236}">
                <a16:creationId xmlns:a16="http://schemas.microsoft.com/office/drawing/2014/main" id="{5A01A47D-54DE-46FF-9250-26547F5B9509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7" name="$E$115">
            <a:extLst>
              <a:ext uri="{FF2B5EF4-FFF2-40B4-BE49-F238E27FC236}">
                <a16:creationId xmlns:a16="http://schemas.microsoft.com/office/drawing/2014/main" id="{3342C39A-893E-4291-9804-FC4ABC55426B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8" name="$E$115">
            <a:extLst>
              <a:ext uri="{FF2B5EF4-FFF2-40B4-BE49-F238E27FC236}">
                <a16:creationId xmlns:a16="http://schemas.microsoft.com/office/drawing/2014/main" id="{6A1EB3DB-00FF-4BA1-B5AC-41417D81C293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9" name="$E$115">
            <a:extLst>
              <a:ext uri="{FF2B5EF4-FFF2-40B4-BE49-F238E27FC236}">
                <a16:creationId xmlns:a16="http://schemas.microsoft.com/office/drawing/2014/main" id="{08C13C79-EE82-405D-B163-8C6D41377189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0" name="$E$115">
            <a:extLst>
              <a:ext uri="{FF2B5EF4-FFF2-40B4-BE49-F238E27FC236}">
                <a16:creationId xmlns:a16="http://schemas.microsoft.com/office/drawing/2014/main" id="{C3C21B99-84BB-4B1C-B9D7-032E90EF4B5C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1" name="$E$115">
            <a:extLst>
              <a:ext uri="{FF2B5EF4-FFF2-40B4-BE49-F238E27FC236}">
                <a16:creationId xmlns:a16="http://schemas.microsoft.com/office/drawing/2014/main" id="{7A2FF83C-8980-4FE2-8EE1-B02AC0174EAC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2" name="$E$115">
            <a:extLst>
              <a:ext uri="{FF2B5EF4-FFF2-40B4-BE49-F238E27FC236}">
                <a16:creationId xmlns:a16="http://schemas.microsoft.com/office/drawing/2014/main" id="{39BF42C9-4FA6-4903-9C27-92A5F4FBE3A7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3" name="$E$115">
            <a:extLst>
              <a:ext uri="{FF2B5EF4-FFF2-40B4-BE49-F238E27FC236}">
                <a16:creationId xmlns:a16="http://schemas.microsoft.com/office/drawing/2014/main" id="{E3199D24-3339-4E6E-A5B8-FF9BB65B09E7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4" name="$E$115">
            <a:extLst>
              <a:ext uri="{FF2B5EF4-FFF2-40B4-BE49-F238E27FC236}">
                <a16:creationId xmlns:a16="http://schemas.microsoft.com/office/drawing/2014/main" id="{5F5C0AF8-E7CF-4B1E-AEF3-AE06F1155AF6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5" name="$E$115">
            <a:extLst>
              <a:ext uri="{FF2B5EF4-FFF2-40B4-BE49-F238E27FC236}">
                <a16:creationId xmlns:a16="http://schemas.microsoft.com/office/drawing/2014/main" id="{D5FC77D5-1563-41B6-92A1-4054B53742F9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6" name="$E$115">
            <a:extLst>
              <a:ext uri="{FF2B5EF4-FFF2-40B4-BE49-F238E27FC236}">
                <a16:creationId xmlns:a16="http://schemas.microsoft.com/office/drawing/2014/main" id="{35CBC367-DFDB-4B42-A73A-B76B68A5F78A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7" name="$E$115">
            <a:extLst>
              <a:ext uri="{FF2B5EF4-FFF2-40B4-BE49-F238E27FC236}">
                <a16:creationId xmlns:a16="http://schemas.microsoft.com/office/drawing/2014/main" id="{36086F8E-37C5-4549-83FC-42FCF4A3BE89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8" name="$E$115">
            <a:extLst>
              <a:ext uri="{FF2B5EF4-FFF2-40B4-BE49-F238E27FC236}">
                <a16:creationId xmlns:a16="http://schemas.microsoft.com/office/drawing/2014/main" id="{5BF38A26-24FD-4EDF-AEA4-667928C443D2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9" name="$E$115">
            <a:extLst>
              <a:ext uri="{FF2B5EF4-FFF2-40B4-BE49-F238E27FC236}">
                <a16:creationId xmlns:a16="http://schemas.microsoft.com/office/drawing/2014/main" id="{25E47EA5-6960-4673-B21E-F5E0F8D35DF9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0" name="$E$115">
            <a:extLst>
              <a:ext uri="{FF2B5EF4-FFF2-40B4-BE49-F238E27FC236}">
                <a16:creationId xmlns:a16="http://schemas.microsoft.com/office/drawing/2014/main" id="{66BB0CAF-8EE5-4762-A5DC-22DED73DE669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1" name="$E$115">
            <a:extLst>
              <a:ext uri="{FF2B5EF4-FFF2-40B4-BE49-F238E27FC236}">
                <a16:creationId xmlns:a16="http://schemas.microsoft.com/office/drawing/2014/main" id="{065CACDB-CC0B-4EAB-BA7C-AE669C00518B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2" name="$E$115">
            <a:extLst>
              <a:ext uri="{FF2B5EF4-FFF2-40B4-BE49-F238E27FC236}">
                <a16:creationId xmlns:a16="http://schemas.microsoft.com/office/drawing/2014/main" id="{30C21AD6-6500-4B58-968B-0A63A163545E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3" name="$E$115">
            <a:extLst>
              <a:ext uri="{FF2B5EF4-FFF2-40B4-BE49-F238E27FC236}">
                <a16:creationId xmlns:a16="http://schemas.microsoft.com/office/drawing/2014/main" id="{62FF7D0C-FB56-402E-A18E-2A186EE92895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4" name="$E$115">
            <a:extLst>
              <a:ext uri="{FF2B5EF4-FFF2-40B4-BE49-F238E27FC236}">
                <a16:creationId xmlns:a16="http://schemas.microsoft.com/office/drawing/2014/main" id="{654942EB-12C0-4FA9-9EDC-D84A965C6622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5" name="$E$115">
            <a:extLst>
              <a:ext uri="{FF2B5EF4-FFF2-40B4-BE49-F238E27FC236}">
                <a16:creationId xmlns:a16="http://schemas.microsoft.com/office/drawing/2014/main" id="{F3B97AFC-2781-4CA7-AF33-305905B27D2F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6" name="$E$115">
            <a:extLst>
              <a:ext uri="{FF2B5EF4-FFF2-40B4-BE49-F238E27FC236}">
                <a16:creationId xmlns:a16="http://schemas.microsoft.com/office/drawing/2014/main" id="{69213E36-E2D0-49AF-8836-D729B4D49F0D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7" name="$E$115">
            <a:extLst>
              <a:ext uri="{FF2B5EF4-FFF2-40B4-BE49-F238E27FC236}">
                <a16:creationId xmlns:a16="http://schemas.microsoft.com/office/drawing/2014/main" id="{B722BE76-1109-4FD9-87D2-A22BD9FF21A3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8" name="$E$115">
            <a:extLst>
              <a:ext uri="{FF2B5EF4-FFF2-40B4-BE49-F238E27FC236}">
                <a16:creationId xmlns:a16="http://schemas.microsoft.com/office/drawing/2014/main" id="{902F5DB8-4A66-4D91-A62E-2D32BBFF9B6F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19" name="$E$115">
            <a:extLst>
              <a:ext uri="{FF2B5EF4-FFF2-40B4-BE49-F238E27FC236}">
                <a16:creationId xmlns:a16="http://schemas.microsoft.com/office/drawing/2014/main" id="{AB733CFC-4858-4054-B482-0DDF15823286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0" name="$E$115">
            <a:extLst>
              <a:ext uri="{FF2B5EF4-FFF2-40B4-BE49-F238E27FC236}">
                <a16:creationId xmlns:a16="http://schemas.microsoft.com/office/drawing/2014/main" id="{9B4C4E10-1F09-42DD-B891-8F9C3CB2A091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1" name="$E$115">
            <a:extLst>
              <a:ext uri="{FF2B5EF4-FFF2-40B4-BE49-F238E27FC236}">
                <a16:creationId xmlns:a16="http://schemas.microsoft.com/office/drawing/2014/main" id="{5AF511F1-BF74-412B-8A3D-75871DD30BF5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2" name="$E$115">
            <a:extLst>
              <a:ext uri="{FF2B5EF4-FFF2-40B4-BE49-F238E27FC236}">
                <a16:creationId xmlns:a16="http://schemas.microsoft.com/office/drawing/2014/main" id="{4D023CA7-F5B3-4F60-9F30-05D14839A1AF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3" name="$E$115">
            <a:extLst>
              <a:ext uri="{FF2B5EF4-FFF2-40B4-BE49-F238E27FC236}">
                <a16:creationId xmlns:a16="http://schemas.microsoft.com/office/drawing/2014/main" id="{129EAC20-88C0-4110-9EDC-4756513BADA4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4" name="$E$115">
            <a:extLst>
              <a:ext uri="{FF2B5EF4-FFF2-40B4-BE49-F238E27FC236}">
                <a16:creationId xmlns:a16="http://schemas.microsoft.com/office/drawing/2014/main" id="{2742B6AA-2617-4269-A555-4B5B7BEE8DDE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5" name="$E$115">
            <a:extLst>
              <a:ext uri="{FF2B5EF4-FFF2-40B4-BE49-F238E27FC236}">
                <a16:creationId xmlns:a16="http://schemas.microsoft.com/office/drawing/2014/main" id="{A1532F28-FFA9-4060-A597-60C34F8B9F2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6" name="$E$115">
            <a:extLst>
              <a:ext uri="{FF2B5EF4-FFF2-40B4-BE49-F238E27FC236}">
                <a16:creationId xmlns:a16="http://schemas.microsoft.com/office/drawing/2014/main" id="{D1D14908-3215-4E51-9A7B-50E163628A92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7" name="$E$115">
            <a:extLst>
              <a:ext uri="{FF2B5EF4-FFF2-40B4-BE49-F238E27FC236}">
                <a16:creationId xmlns:a16="http://schemas.microsoft.com/office/drawing/2014/main" id="{BC735D52-27B5-4797-ABB7-97845FCDAB6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8" name="$E$115">
            <a:extLst>
              <a:ext uri="{FF2B5EF4-FFF2-40B4-BE49-F238E27FC236}">
                <a16:creationId xmlns:a16="http://schemas.microsoft.com/office/drawing/2014/main" id="{077DE7BA-25EC-4C5F-A6C0-31E5C9C00FE9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29" name="$E$115">
            <a:extLst>
              <a:ext uri="{FF2B5EF4-FFF2-40B4-BE49-F238E27FC236}">
                <a16:creationId xmlns:a16="http://schemas.microsoft.com/office/drawing/2014/main" id="{9A8452BB-5FDE-4602-9017-9C8D43010D88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0" name="$E$115">
            <a:extLst>
              <a:ext uri="{FF2B5EF4-FFF2-40B4-BE49-F238E27FC236}">
                <a16:creationId xmlns:a16="http://schemas.microsoft.com/office/drawing/2014/main" id="{759AE7E8-7C0E-4178-B6F4-F0E2768E42AD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1" name="$E$115">
            <a:extLst>
              <a:ext uri="{FF2B5EF4-FFF2-40B4-BE49-F238E27FC236}">
                <a16:creationId xmlns:a16="http://schemas.microsoft.com/office/drawing/2014/main" id="{813F1228-3779-426C-9DD4-42F0A12666DB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2" name="$E$115">
            <a:extLst>
              <a:ext uri="{FF2B5EF4-FFF2-40B4-BE49-F238E27FC236}">
                <a16:creationId xmlns:a16="http://schemas.microsoft.com/office/drawing/2014/main" id="{D396296B-00E1-44AD-B879-EB70834868DA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3" name="$E$115">
            <a:extLst>
              <a:ext uri="{FF2B5EF4-FFF2-40B4-BE49-F238E27FC236}">
                <a16:creationId xmlns:a16="http://schemas.microsoft.com/office/drawing/2014/main" id="{1415DF8C-AB56-4216-8BCA-E83CBF8EA013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4" name="$E$115">
            <a:extLst>
              <a:ext uri="{FF2B5EF4-FFF2-40B4-BE49-F238E27FC236}">
                <a16:creationId xmlns:a16="http://schemas.microsoft.com/office/drawing/2014/main" id="{2E40F4F9-0461-4355-8D60-D1D4A99897D9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5" name="$E$115">
            <a:extLst>
              <a:ext uri="{FF2B5EF4-FFF2-40B4-BE49-F238E27FC236}">
                <a16:creationId xmlns:a16="http://schemas.microsoft.com/office/drawing/2014/main" id="{FAB30E5F-6C8E-426B-BA3A-BEB5F374F448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6" name="$E$115">
            <a:extLst>
              <a:ext uri="{FF2B5EF4-FFF2-40B4-BE49-F238E27FC236}">
                <a16:creationId xmlns:a16="http://schemas.microsoft.com/office/drawing/2014/main" id="{FA38A1FE-C4E3-4E1A-B022-EA990CFE0FAF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7" name="$E$115">
            <a:extLst>
              <a:ext uri="{FF2B5EF4-FFF2-40B4-BE49-F238E27FC236}">
                <a16:creationId xmlns:a16="http://schemas.microsoft.com/office/drawing/2014/main" id="{500F4E2D-B71A-4AB9-9E3A-F17F05620BF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8" name="$E$115">
            <a:extLst>
              <a:ext uri="{FF2B5EF4-FFF2-40B4-BE49-F238E27FC236}">
                <a16:creationId xmlns:a16="http://schemas.microsoft.com/office/drawing/2014/main" id="{84FC34D1-019A-4874-927C-BD6BEC94E2B7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39" name="$E$115">
            <a:extLst>
              <a:ext uri="{FF2B5EF4-FFF2-40B4-BE49-F238E27FC236}">
                <a16:creationId xmlns:a16="http://schemas.microsoft.com/office/drawing/2014/main" id="{BBE0879A-7926-46FC-BB68-100DF77B09BD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0" name="$E$115">
            <a:extLst>
              <a:ext uri="{FF2B5EF4-FFF2-40B4-BE49-F238E27FC236}">
                <a16:creationId xmlns:a16="http://schemas.microsoft.com/office/drawing/2014/main" id="{CD6A9B2F-1019-4CB3-97DD-F45B91E3FC9A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1" name="$E$115">
            <a:extLst>
              <a:ext uri="{FF2B5EF4-FFF2-40B4-BE49-F238E27FC236}">
                <a16:creationId xmlns:a16="http://schemas.microsoft.com/office/drawing/2014/main" id="{2CE91A9E-A279-4E8D-80B6-36E416BE248B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2" name="$E$115">
            <a:extLst>
              <a:ext uri="{FF2B5EF4-FFF2-40B4-BE49-F238E27FC236}">
                <a16:creationId xmlns:a16="http://schemas.microsoft.com/office/drawing/2014/main" id="{213D6698-9F3A-487C-A104-B74D9B5F9854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3" name="$E$115">
            <a:extLst>
              <a:ext uri="{FF2B5EF4-FFF2-40B4-BE49-F238E27FC236}">
                <a16:creationId xmlns:a16="http://schemas.microsoft.com/office/drawing/2014/main" id="{7FA7386D-42A2-4CF9-9610-410C30E217E9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4" name="$E$115">
            <a:extLst>
              <a:ext uri="{FF2B5EF4-FFF2-40B4-BE49-F238E27FC236}">
                <a16:creationId xmlns:a16="http://schemas.microsoft.com/office/drawing/2014/main" id="{7E87A705-3759-4758-8598-47C021D95E1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5" name="$E$115">
            <a:extLst>
              <a:ext uri="{FF2B5EF4-FFF2-40B4-BE49-F238E27FC236}">
                <a16:creationId xmlns:a16="http://schemas.microsoft.com/office/drawing/2014/main" id="{E5AA5DAD-D95B-4C4D-99BE-E0B521E84BED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6" name="$E$115">
            <a:extLst>
              <a:ext uri="{FF2B5EF4-FFF2-40B4-BE49-F238E27FC236}">
                <a16:creationId xmlns:a16="http://schemas.microsoft.com/office/drawing/2014/main" id="{F6A3E2EC-0E3A-437E-B95D-FB38395114BE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7" name="$E$115">
            <a:extLst>
              <a:ext uri="{FF2B5EF4-FFF2-40B4-BE49-F238E27FC236}">
                <a16:creationId xmlns:a16="http://schemas.microsoft.com/office/drawing/2014/main" id="{21F2E4DB-7257-4B38-A23B-E958BF7187AC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8" name="$E$115">
            <a:extLst>
              <a:ext uri="{FF2B5EF4-FFF2-40B4-BE49-F238E27FC236}">
                <a16:creationId xmlns:a16="http://schemas.microsoft.com/office/drawing/2014/main" id="{9A4D9941-6441-4843-9DA2-E01F9636E88B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49" name="$E$115">
            <a:extLst>
              <a:ext uri="{FF2B5EF4-FFF2-40B4-BE49-F238E27FC236}">
                <a16:creationId xmlns:a16="http://schemas.microsoft.com/office/drawing/2014/main" id="{F3A57D3E-F133-4A60-8241-7FB3AF2C7FF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0" name="$E$115">
            <a:extLst>
              <a:ext uri="{FF2B5EF4-FFF2-40B4-BE49-F238E27FC236}">
                <a16:creationId xmlns:a16="http://schemas.microsoft.com/office/drawing/2014/main" id="{3EC85374-7B7E-4E5B-A7D9-57991FDEBBF5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1" name="$E$115">
            <a:extLst>
              <a:ext uri="{FF2B5EF4-FFF2-40B4-BE49-F238E27FC236}">
                <a16:creationId xmlns:a16="http://schemas.microsoft.com/office/drawing/2014/main" id="{17A531BB-952E-4970-B325-1F800F66579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2" name="$E$115">
            <a:extLst>
              <a:ext uri="{FF2B5EF4-FFF2-40B4-BE49-F238E27FC236}">
                <a16:creationId xmlns:a16="http://schemas.microsoft.com/office/drawing/2014/main" id="{F5102DFF-A7A1-43B0-9AA7-85042AC9B31F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3" name="$E$115">
            <a:extLst>
              <a:ext uri="{FF2B5EF4-FFF2-40B4-BE49-F238E27FC236}">
                <a16:creationId xmlns:a16="http://schemas.microsoft.com/office/drawing/2014/main" id="{E726D486-4D32-4216-B169-07CA7104E10D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4" name="$E$115">
            <a:extLst>
              <a:ext uri="{FF2B5EF4-FFF2-40B4-BE49-F238E27FC236}">
                <a16:creationId xmlns:a16="http://schemas.microsoft.com/office/drawing/2014/main" id="{46348ED5-C8E3-4028-B850-5BEDA30030BA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5" name="$E$115">
            <a:extLst>
              <a:ext uri="{FF2B5EF4-FFF2-40B4-BE49-F238E27FC236}">
                <a16:creationId xmlns:a16="http://schemas.microsoft.com/office/drawing/2014/main" id="{9BA0A336-AB91-470D-8AD2-84418DDFE264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6" name="$E$115">
            <a:extLst>
              <a:ext uri="{FF2B5EF4-FFF2-40B4-BE49-F238E27FC236}">
                <a16:creationId xmlns:a16="http://schemas.microsoft.com/office/drawing/2014/main" id="{5F7211D5-0A74-4D83-84FA-309016D083FE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7" name="$E$115">
            <a:extLst>
              <a:ext uri="{FF2B5EF4-FFF2-40B4-BE49-F238E27FC236}">
                <a16:creationId xmlns:a16="http://schemas.microsoft.com/office/drawing/2014/main" id="{F80F3922-002B-4481-B86E-11ED4811960C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8" name="$E$115">
            <a:extLst>
              <a:ext uri="{FF2B5EF4-FFF2-40B4-BE49-F238E27FC236}">
                <a16:creationId xmlns:a16="http://schemas.microsoft.com/office/drawing/2014/main" id="{40A0F363-AD96-4481-964D-D350B41D9AA1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59" name="$E$115">
            <a:extLst>
              <a:ext uri="{FF2B5EF4-FFF2-40B4-BE49-F238E27FC236}">
                <a16:creationId xmlns:a16="http://schemas.microsoft.com/office/drawing/2014/main" id="{AA57F46E-6958-49FC-8F86-0E3B5E9B668A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0" name="$E$115">
            <a:extLst>
              <a:ext uri="{FF2B5EF4-FFF2-40B4-BE49-F238E27FC236}">
                <a16:creationId xmlns:a16="http://schemas.microsoft.com/office/drawing/2014/main" id="{D3335E94-DBCA-4EB7-A28C-EFCEBE18EA89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1" name="$E$115">
            <a:extLst>
              <a:ext uri="{FF2B5EF4-FFF2-40B4-BE49-F238E27FC236}">
                <a16:creationId xmlns:a16="http://schemas.microsoft.com/office/drawing/2014/main" id="{74E93162-8D88-48F4-8544-C5D71CD25B2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2" name="$E$115">
            <a:extLst>
              <a:ext uri="{FF2B5EF4-FFF2-40B4-BE49-F238E27FC236}">
                <a16:creationId xmlns:a16="http://schemas.microsoft.com/office/drawing/2014/main" id="{812A22B0-CB96-479E-B34E-D3603FC57E07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3" name="$E$115">
            <a:extLst>
              <a:ext uri="{FF2B5EF4-FFF2-40B4-BE49-F238E27FC236}">
                <a16:creationId xmlns:a16="http://schemas.microsoft.com/office/drawing/2014/main" id="{D22EF341-69C6-40D9-BA83-B85B1D67349E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4" name="$E$115">
            <a:extLst>
              <a:ext uri="{FF2B5EF4-FFF2-40B4-BE49-F238E27FC236}">
                <a16:creationId xmlns:a16="http://schemas.microsoft.com/office/drawing/2014/main" id="{F2135453-53EB-4DAB-AEC1-F3FEC9848E73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5" name="$E$115">
            <a:extLst>
              <a:ext uri="{FF2B5EF4-FFF2-40B4-BE49-F238E27FC236}">
                <a16:creationId xmlns:a16="http://schemas.microsoft.com/office/drawing/2014/main" id="{F3E0E4BB-0B52-4704-A464-84BB4551FA09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6" name="$E$115">
            <a:extLst>
              <a:ext uri="{FF2B5EF4-FFF2-40B4-BE49-F238E27FC236}">
                <a16:creationId xmlns:a16="http://schemas.microsoft.com/office/drawing/2014/main" id="{CEAB39D2-1D38-43F7-8606-98E4D5CC5B63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7" name="$E$115">
            <a:extLst>
              <a:ext uri="{FF2B5EF4-FFF2-40B4-BE49-F238E27FC236}">
                <a16:creationId xmlns:a16="http://schemas.microsoft.com/office/drawing/2014/main" id="{4F99E46C-F78E-46F7-983C-34453D1634FD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8" name="$E$115">
            <a:extLst>
              <a:ext uri="{FF2B5EF4-FFF2-40B4-BE49-F238E27FC236}">
                <a16:creationId xmlns:a16="http://schemas.microsoft.com/office/drawing/2014/main" id="{3CBE6884-50E0-47A0-9A69-F35DF140C155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69" name="$E$115">
            <a:extLst>
              <a:ext uri="{FF2B5EF4-FFF2-40B4-BE49-F238E27FC236}">
                <a16:creationId xmlns:a16="http://schemas.microsoft.com/office/drawing/2014/main" id="{927C9A11-78F2-4117-B4EB-F1E608DF68C6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0" name="$E$115">
            <a:extLst>
              <a:ext uri="{FF2B5EF4-FFF2-40B4-BE49-F238E27FC236}">
                <a16:creationId xmlns:a16="http://schemas.microsoft.com/office/drawing/2014/main" id="{5F31F06E-725F-49F7-89D0-EB40C6029945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1" name="$E$115">
            <a:extLst>
              <a:ext uri="{FF2B5EF4-FFF2-40B4-BE49-F238E27FC236}">
                <a16:creationId xmlns:a16="http://schemas.microsoft.com/office/drawing/2014/main" id="{00023BC2-3B67-4665-84BC-0E5D590F0E51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2" name="$E$115">
            <a:extLst>
              <a:ext uri="{FF2B5EF4-FFF2-40B4-BE49-F238E27FC236}">
                <a16:creationId xmlns:a16="http://schemas.microsoft.com/office/drawing/2014/main" id="{7AF9ACFE-2195-4791-B717-C73F07BDF2BA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3" name="$E$115">
            <a:extLst>
              <a:ext uri="{FF2B5EF4-FFF2-40B4-BE49-F238E27FC236}">
                <a16:creationId xmlns:a16="http://schemas.microsoft.com/office/drawing/2014/main" id="{78C8D1CA-CE9B-402B-A729-53E2A187494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4" name="$E$115">
            <a:extLst>
              <a:ext uri="{FF2B5EF4-FFF2-40B4-BE49-F238E27FC236}">
                <a16:creationId xmlns:a16="http://schemas.microsoft.com/office/drawing/2014/main" id="{18F056A0-6FB8-439E-B8EB-01DB0FEBFE61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5" name="$E$115">
            <a:extLst>
              <a:ext uri="{FF2B5EF4-FFF2-40B4-BE49-F238E27FC236}">
                <a16:creationId xmlns:a16="http://schemas.microsoft.com/office/drawing/2014/main" id="{CD826C1B-0DD3-47AD-B013-DA989D66D39E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6" name="$E$115">
            <a:extLst>
              <a:ext uri="{FF2B5EF4-FFF2-40B4-BE49-F238E27FC236}">
                <a16:creationId xmlns:a16="http://schemas.microsoft.com/office/drawing/2014/main" id="{8AFDC2AC-9EB7-4D2D-9D52-5D29505FDB70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7" name="$E$115">
            <a:extLst>
              <a:ext uri="{FF2B5EF4-FFF2-40B4-BE49-F238E27FC236}">
                <a16:creationId xmlns:a16="http://schemas.microsoft.com/office/drawing/2014/main" id="{CA276370-41B1-4A94-BA7F-56AAA0E855D5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8" name="$E$115">
            <a:extLst>
              <a:ext uri="{FF2B5EF4-FFF2-40B4-BE49-F238E27FC236}">
                <a16:creationId xmlns:a16="http://schemas.microsoft.com/office/drawing/2014/main" id="{1B4DBB38-11C0-4142-8E9B-53FA5F905ABE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79" name="$E$115">
            <a:extLst>
              <a:ext uri="{FF2B5EF4-FFF2-40B4-BE49-F238E27FC236}">
                <a16:creationId xmlns:a16="http://schemas.microsoft.com/office/drawing/2014/main" id="{FA43EDC6-1492-499F-B70C-307F80D6AD53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0" name="$E$115">
            <a:extLst>
              <a:ext uri="{FF2B5EF4-FFF2-40B4-BE49-F238E27FC236}">
                <a16:creationId xmlns:a16="http://schemas.microsoft.com/office/drawing/2014/main" id="{B09171E4-5DFC-4120-AC29-9BBDA30C015E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1" name="$E$115">
            <a:extLst>
              <a:ext uri="{FF2B5EF4-FFF2-40B4-BE49-F238E27FC236}">
                <a16:creationId xmlns:a16="http://schemas.microsoft.com/office/drawing/2014/main" id="{D39D2726-E938-4A84-967D-9818143716C4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2" name="$E$115">
            <a:extLst>
              <a:ext uri="{FF2B5EF4-FFF2-40B4-BE49-F238E27FC236}">
                <a16:creationId xmlns:a16="http://schemas.microsoft.com/office/drawing/2014/main" id="{41ABBB13-A128-4A67-8F50-DBA3E01A397A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3" name="$E$115">
            <a:extLst>
              <a:ext uri="{FF2B5EF4-FFF2-40B4-BE49-F238E27FC236}">
                <a16:creationId xmlns:a16="http://schemas.microsoft.com/office/drawing/2014/main" id="{101CBF8A-6110-4928-8423-BB61EA90F6FE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4" name="$E$115">
            <a:extLst>
              <a:ext uri="{FF2B5EF4-FFF2-40B4-BE49-F238E27FC236}">
                <a16:creationId xmlns:a16="http://schemas.microsoft.com/office/drawing/2014/main" id="{DFF61F4F-FF97-4264-A008-493D54A19683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5" name="$E$115">
            <a:extLst>
              <a:ext uri="{FF2B5EF4-FFF2-40B4-BE49-F238E27FC236}">
                <a16:creationId xmlns:a16="http://schemas.microsoft.com/office/drawing/2014/main" id="{19BB7CD8-04A8-40D6-B8AB-FD7EF907998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6" name="$E$115">
            <a:extLst>
              <a:ext uri="{FF2B5EF4-FFF2-40B4-BE49-F238E27FC236}">
                <a16:creationId xmlns:a16="http://schemas.microsoft.com/office/drawing/2014/main" id="{B8575364-A2E5-443C-969B-F67AD0CEB7E1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7" name="$E$115">
            <a:extLst>
              <a:ext uri="{FF2B5EF4-FFF2-40B4-BE49-F238E27FC236}">
                <a16:creationId xmlns:a16="http://schemas.microsoft.com/office/drawing/2014/main" id="{08682C23-92D9-4F97-8D3A-8910C86496D7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8" name="$E$115">
            <a:extLst>
              <a:ext uri="{FF2B5EF4-FFF2-40B4-BE49-F238E27FC236}">
                <a16:creationId xmlns:a16="http://schemas.microsoft.com/office/drawing/2014/main" id="{7007B7F1-DAA7-41EF-8ED4-DD5DB502AF70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89" name="$E$115">
            <a:extLst>
              <a:ext uri="{FF2B5EF4-FFF2-40B4-BE49-F238E27FC236}">
                <a16:creationId xmlns:a16="http://schemas.microsoft.com/office/drawing/2014/main" id="{727BC639-4E5B-4367-8B5C-4E310346F30A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0" name="$E$115">
            <a:extLst>
              <a:ext uri="{FF2B5EF4-FFF2-40B4-BE49-F238E27FC236}">
                <a16:creationId xmlns:a16="http://schemas.microsoft.com/office/drawing/2014/main" id="{927636CF-A239-4388-A4ED-627D462613BD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1" name="$E$115">
            <a:extLst>
              <a:ext uri="{FF2B5EF4-FFF2-40B4-BE49-F238E27FC236}">
                <a16:creationId xmlns:a16="http://schemas.microsoft.com/office/drawing/2014/main" id="{2CD89500-4DF5-4397-8FF8-E18519B68B32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2" name="$E$115">
            <a:extLst>
              <a:ext uri="{FF2B5EF4-FFF2-40B4-BE49-F238E27FC236}">
                <a16:creationId xmlns:a16="http://schemas.microsoft.com/office/drawing/2014/main" id="{75F9C8DD-BCA9-4B53-8AD5-9784E2F8C547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3" name="$E$115">
            <a:extLst>
              <a:ext uri="{FF2B5EF4-FFF2-40B4-BE49-F238E27FC236}">
                <a16:creationId xmlns:a16="http://schemas.microsoft.com/office/drawing/2014/main" id="{DE5796E1-85AA-421B-8115-D2068874DCD1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4" name="$E$115">
            <a:extLst>
              <a:ext uri="{FF2B5EF4-FFF2-40B4-BE49-F238E27FC236}">
                <a16:creationId xmlns:a16="http://schemas.microsoft.com/office/drawing/2014/main" id="{22A10A08-1416-47DD-9324-9DBF37BA3256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5" name="$E$115">
            <a:extLst>
              <a:ext uri="{FF2B5EF4-FFF2-40B4-BE49-F238E27FC236}">
                <a16:creationId xmlns:a16="http://schemas.microsoft.com/office/drawing/2014/main" id="{F2048EF7-4E72-4E0B-9BA6-E50816D254E1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6" name="$E$115">
            <a:extLst>
              <a:ext uri="{FF2B5EF4-FFF2-40B4-BE49-F238E27FC236}">
                <a16:creationId xmlns:a16="http://schemas.microsoft.com/office/drawing/2014/main" id="{E587BE98-7A2E-4C86-AB93-64090B27A301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7" name="$E$115">
            <a:extLst>
              <a:ext uri="{FF2B5EF4-FFF2-40B4-BE49-F238E27FC236}">
                <a16:creationId xmlns:a16="http://schemas.microsoft.com/office/drawing/2014/main" id="{FD95858E-7D9B-40DC-B9F2-85E6B373DAD4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8" name="$E$115">
            <a:extLst>
              <a:ext uri="{FF2B5EF4-FFF2-40B4-BE49-F238E27FC236}">
                <a16:creationId xmlns:a16="http://schemas.microsoft.com/office/drawing/2014/main" id="{5B25929C-89B4-4C79-8367-B0C2E4AE6CD1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99" name="$E$115">
            <a:extLst>
              <a:ext uri="{FF2B5EF4-FFF2-40B4-BE49-F238E27FC236}">
                <a16:creationId xmlns:a16="http://schemas.microsoft.com/office/drawing/2014/main" id="{EDE35783-CD3E-4614-96C1-5A48487D3E52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0" name="$E$115">
            <a:extLst>
              <a:ext uri="{FF2B5EF4-FFF2-40B4-BE49-F238E27FC236}">
                <a16:creationId xmlns:a16="http://schemas.microsoft.com/office/drawing/2014/main" id="{1880364A-D454-475B-B0DF-1842F7A18911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1" name="$E$115">
            <a:extLst>
              <a:ext uri="{FF2B5EF4-FFF2-40B4-BE49-F238E27FC236}">
                <a16:creationId xmlns:a16="http://schemas.microsoft.com/office/drawing/2014/main" id="{0146FA9D-AA9F-48A1-954B-27AD45389EC8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2" name="$E$115">
            <a:extLst>
              <a:ext uri="{FF2B5EF4-FFF2-40B4-BE49-F238E27FC236}">
                <a16:creationId xmlns:a16="http://schemas.microsoft.com/office/drawing/2014/main" id="{F6932364-C6B6-4575-A196-9073D0AFA9BA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3" name="$E$115">
            <a:extLst>
              <a:ext uri="{FF2B5EF4-FFF2-40B4-BE49-F238E27FC236}">
                <a16:creationId xmlns:a16="http://schemas.microsoft.com/office/drawing/2014/main" id="{5977CDD3-C8CE-4FB1-A32B-2253911E5FA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4" name="$E$115">
            <a:extLst>
              <a:ext uri="{FF2B5EF4-FFF2-40B4-BE49-F238E27FC236}">
                <a16:creationId xmlns:a16="http://schemas.microsoft.com/office/drawing/2014/main" id="{B5BB2343-2817-4618-9EB7-B44A33F3FCD8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5" name="$E$115">
            <a:extLst>
              <a:ext uri="{FF2B5EF4-FFF2-40B4-BE49-F238E27FC236}">
                <a16:creationId xmlns:a16="http://schemas.microsoft.com/office/drawing/2014/main" id="{DB08E7FC-180E-43A0-B3B7-E6C2E1F2E59C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6" name="$E$115">
            <a:extLst>
              <a:ext uri="{FF2B5EF4-FFF2-40B4-BE49-F238E27FC236}">
                <a16:creationId xmlns:a16="http://schemas.microsoft.com/office/drawing/2014/main" id="{4291E0F7-AAE3-4EF8-9C37-EFDFC47944D9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7" name="$E$115">
            <a:extLst>
              <a:ext uri="{FF2B5EF4-FFF2-40B4-BE49-F238E27FC236}">
                <a16:creationId xmlns:a16="http://schemas.microsoft.com/office/drawing/2014/main" id="{A038F4A9-2A6B-4514-8BC0-14278D3BF5E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8" name="$E$115">
            <a:extLst>
              <a:ext uri="{FF2B5EF4-FFF2-40B4-BE49-F238E27FC236}">
                <a16:creationId xmlns:a16="http://schemas.microsoft.com/office/drawing/2014/main" id="{598FAF59-BB93-4CF6-8C15-41688BA758F3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09" name="$E$115">
            <a:extLst>
              <a:ext uri="{FF2B5EF4-FFF2-40B4-BE49-F238E27FC236}">
                <a16:creationId xmlns:a16="http://schemas.microsoft.com/office/drawing/2014/main" id="{1562491B-F4AD-40B3-A718-AD2F4EAB60EA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0" name="$E$115">
            <a:extLst>
              <a:ext uri="{FF2B5EF4-FFF2-40B4-BE49-F238E27FC236}">
                <a16:creationId xmlns:a16="http://schemas.microsoft.com/office/drawing/2014/main" id="{A7420F14-8A06-4205-A8CA-E67D8F19C64D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1" name="$E$115">
            <a:extLst>
              <a:ext uri="{FF2B5EF4-FFF2-40B4-BE49-F238E27FC236}">
                <a16:creationId xmlns:a16="http://schemas.microsoft.com/office/drawing/2014/main" id="{B5C8E033-9CFB-4CAD-BDCB-94D592C1D10D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2" name="$E$115">
            <a:extLst>
              <a:ext uri="{FF2B5EF4-FFF2-40B4-BE49-F238E27FC236}">
                <a16:creationId xmlns:a16="http://schemas.microsoft.com/office/drawing/2014/main" id="{41AE78CF-03CA-43DB-9B4C-751313411DC9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3" name="$E$115">
            <a:extLst>
              <a:ext uri="{FF2B5EF4-FFF2-40B4-BE49-F238E27FC236}">
                <a16:creationId xmlns:a16="http://schemas.microsoft.com/office/drawing/2014/main" id="{B40474CC-E8EB-4F9C-A4F2-CD127640EE3A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4" name="$E$115">
            <a:extLst>
              <a:ext uri="{FF2B5EF4-FFF2-40B4-BE49-F238E27FC236}">
                <a16:creationId xmlns:a16="http://schemas.microsoft.com/office/drawing/2014/main" id="{357BAFAF-BCD8-48E8-BABA-09B882E1E40A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5" name="$E$115">
            <a:extLst>
              <a:ext uri="{FF2B5EF4-FFF2-40B4-BE49-F238E27FC236}">
                <a16:creationId xmlns:a16="http://schemas.microsoft.com/office/drawing/2014/main" id="{31595ECF-D0BC-43CA-939A-731ADB499B75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6" name="$E$115">
            <a:extLst>
              <a:ext uri="{FF2B5EF4-FFF2-40B4-BE49-F238E27FC236}">
                <a16:creationId xmlns:a16="http://schemas.microsoft.com/office/drawing/2014/main" id="{1EC5C849-2A52-46E2-8942-61972C8A0404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7" name="$E$115">
            <a:extLst>
              <a:ext uri="{FF2B5EF4-FFF2-40B4-BE49-F238E27FC236}">
                <a16:creationId xmlns:a16="http://schemas.microsoft.com/office/drawing/2014/main" id="{AEFF81B9-A9E3-4A7C-938A-7CE4F82D23D2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8" name="$E$115">
            <a:extLst>
              <a:ext uri="{FF2B5EF4-FFF2-40B4-BE49-F238E27FC236}">
                <a16:creationId xmlns:a16="http://schemas.microsoft.com/office/drawing/2014/main" id="{9260D85D-F957-4DA1-B2D2-BE0A60E0AB7E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19" name="$E$115">
            <a:extLst>
              <a:ext uri="{FF2B5EF4-FFF2-40B4-BE49-F238E27FC236}">
                <a16:creationId xmlns:a16="http://schemas.microsoft.com/office/drawing/2014/main" id="{762BBF88-B7D8-4CD0-8A49-9151109F840A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0" name="$E$115">
            <a:extLst>
              <a:ext uri="{FF2B5EF4-FFF2-40B4-BE49-F238E27FC236}">
                <a16:creationId xmlns:a16="http://schemas.microsoft.com/office/drawing/2014/main" id="{DCD0F02B-F350-48B0-9902-CACB1A2A3169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1" name="$E$115">
            <a:extLst>
              <a:ext uri="{FF2B5EF4-FFF2-40B4-BE49-F238E27FC236}">
                <a16:creationId xmlns:a16="http://schemas.microsoft.com/office/drawing/2014/main" id="{9062BD38-86B0-404D-A9D3-D8C867012FF4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2" name="$E$115">
            <a:extLst>
              <a:ext uri="{FF2B5EF4-FFF2-40B4-BE49-F238E27FC236}">
                <a16:creationId xmlns:a16="http://schemas.microsoft.com/office/drawing/2014/main" id="{594A1B06-E9B1-4DC7-BCAC-4F3DB5142BE2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3" name="$E$115">
            <a:extLst>
              <a:ext uri="{FF2B5EF4-FFF2-40B4-BE49-F238E27FC236}">
                <a16:creationId xmlns:a16="http://schemas.microsoft.com/office/drawing/2014/main" id="{86ED3126-AE97-471C-9A87-8DD147ECBC2C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4" name="$E$115">
            <a:extLst>
              <a:ext uri="{FF2B5EF4-FFF2-40B4-BE49-F238E27FC236}">
                <a16:creationId xmlns:a16="http://schemas.microsoft.com/office/drawing/2014/main" id="{7B28A00E-6A6F-4E9B-AAEE-80F5F88D1573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5" name="$E$115">
            <a:extLst>
              <a:ext uri="{FF2B5EF4-FFF2-40B4-BE49-F238E27FC236}">
                <a16:creationId xmlns:a16="http://schemas.microsoft.com/office/drawing/2014/main" id="{AF3C8AE5-3BF9-4894-A171-25ED1138ABB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6" name="$E$115">
            <a:extLst>
              <a:ext uri="{FF2B5EF4-FFF2-40B4-BE49-F238E27FC236}">
                <a16:creationId xmlns:a16="http://schemas.microsoft.com/office/drawing/2014/main" id="{98816D09-B9F4-47A8-A40F-49D74C65B784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7" name="$E$115">
            <a:extLst>
              <a:ext uri="{FF2B5EF4-FFF2-40B4-BE49-F238E27FC236}">
                <a16:creationId xmlns:a16="http://schemas.microsoft.com/office/drawing/2014/main" id="{D0303D6D-F4D2-4C80-9BF6-21E4E2B77DC8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8" name="$E$115">
            <a:extLst>
              <a:ext uri="{FF2B5EF4-FFF2-40B4-BE49-F238E27FC236}">
                <a16:creationId xmlns:a16="http://schemas.microsoft.com/office/drawing/2014/main" id="{0A3EB9A1-8DED-4027-AC35-F0BE96798F14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29" name="$E$115">
            <a:extLst>
              <a:ext uri="{FF2B5EF4-FFF2-40B4-BE49-F238E27FC236}">
                <a16:creationId xmlns:a16="http://schemas.microsoft.com/office/drawing/2014/main" id="{33AEB8DC-DD00-45F9-88E1-6D69248F6F92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0" name="$E$115">
            <a:extLst>
              <a:ext uri="{FF2B5EF4-FFF2-40B4-BE49-F238E27FC236}">
                <a16:creationId xmlns:a16="http://schemas.microsoft.com/office/drawing/2014/main" id="{D7751043-6C9B-47E8-A064-BC8B09FE06BD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1" name="$E$115">
            <a:extLst>
              <a:ext uri="{FF2B5EF4-FFF2-40B4-BE49-F238E27FC236}">
                <a16:creationId xmlns:a16="http://schemas.microsoft.com/office/drawing/2014/main" id="{EB311D8D-4604-452D-BC73-DB6B25860484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2" name="$E$115">
            <a:extLst>
              <a:ext uri="{FF2B5EF4-FFF2-40B4-BE49-F238E27FC236}">
                <a16:creationId xmlns:a16="http://schemas.microsoft.com/office/drawing/2014/main" id="{2AA367F2-010D-448F-822F-704DD112A797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3" name="$E$115">
            <a:extLst>
              <a:ext uri="{FF2B5EF4-FFF2-40B4-BE49-F238E27FC236}">
                <a16:creationId xmlns:a16="http://schemas.microsoft.com/office/drawing/2014/main" id="{9250E2BB-EF49-4387-BD76-807B04471D56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4" name="$E$115">
            <a:extLst>
              <a:ext uri="{FF2B5EF4-FFF2-40B4-BE49-F238E27FC236}">
                <a16:creationId xmlns:a16="http://schemas.microsoft.com/office/drawing/2014/main" id="{C6CB6301-8FD8-41C8-88D5-6481B04A9115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5" name="$E$115">
            <a:extLst>
              <a:ext uri="{FF2B5EF4-FFF2-40B4-BE49-F238E27FC236}">
                <a16:creationId xmlns:a16="http://schemas.microsoft.com/office/drawing/2014/main" id="{435EF49D-33B6-48E6-8551-DD951B4B84AA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6" name="$E$115">
            <a:extLst>
              <a:ext uri="{FF2B5EF4-FFF2-40B4-BE49-F238E27FC236}">
                <a16:creationId xmlns:a16="http://schemas.microsoft.com/office/drawing/2014/main" id="{2CF3EE03-3991-4C4D-97AB-6CC004C3B32E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7" name="$E$115">
            <a:extLst>
              <a:ext uri="{FF2B5EF4-FFF2-40B4-BE49-F238E27FC236}">
                <a16:creationId xmlns:a16="http://schemas.microsoft.com/office/drawing/2014/main" id="{DBF827EB-1D30-4EFD-AB1B-719495B7D704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8" name="$E$115">
            <a:extLst>
              <a:ext uri="{FF2B5EF4-FFF2-40B4-BE49-F238E27FC236}">
                <a16:creationId xmlns:a16="http://schemas.microsoft.com/office/drawing/2014/main" id="{F844BD53-807C-4FFA-BC61-318110FE5842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39" name="$E$115">
            <a:extLst>
              <a:ext uri="{FF2B5EF4-FFF2-40B4-BE49-F238E27FC236}">
                <a16:creationId xmlns:a16="http://schemas.microsoft.com/office/drawing/2014/main" id="{7AA7E41A-6DF0-4FA4-803B-F1C479E3CDB7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0" name="$E$115">
            <a:extLst>
              <a:ext uri="{FF2B5EF4-FFF2-40B4-BE49-F238E27FC236}">
                <a16:creationId xmlns:a16="http://schemas.microsoft.com/office/drawing/2014/main" id="{9B41A4DC-9228-4E7E-91CF-D3EBBFC09677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1" name="$E$115">
            <a:extLst>
              <a:ext uri="{FF2B5EF4-FFF2-40B4-BE49-F238E27FC236}">
                <a16:creationId xmlns:a16="http://schemas.microsoft.com/office/drawing/2014/main" id="{9079FC8B-5A14-441C-B5E0-02AB1E8EF1BE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2" name="$E$115">
            <a:extLst>
              <a:ext uri="{FF2B5EF4-FFF2-40B4-BE49-F238E27FC236}">
                <a16:creationId xmlns:a16="http://schemas.microsoft.com/office/drawing/2014/main" id="{D0A1B9C6-D721-46A6-B6C7-70AAC65C227F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3" name="$E$115">
            <a:extLst>
              <a:ext uri="{FF2B5EF4-FFF2-40B4-BE49-F238E27FC236}">
                <a16:creationId xmlns:a16="http://schemas.microsoft.com/office/drawing/2014/main" id="{2CFA2591-153C-4309-8A95-E4A90F347F85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4" name="$E$115">
            <a:extLst>
              <a:ext uri="{FF2B5EF4-FFF2-40B4-BE49-F238E27FC236}">
                <a16:creationId xmlns:a16="http://schemas.microsoft.com/office/drawing/2014/main" id="{50DAC8EF-0B92-44BA-A6CB-0E777435B323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5" name="$E$115">
            <a:extLst>
              <a:ext uri="{FF2B5EF4-FFF2-40B4-BE49-F238E27FC236}">
                <a16:creationId xmlns:a16="http://schemas.microsoft.com/office/drawing/2014/main" id="{E1B7668C-805A-4BD4-B6B7-48015E1FA6F5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6" name="$E$115">
            <a:extLst>
              <a:ext uri="{FF2B5EF4-FFF2-40B4-BE49-F238E27FC236}">
                <a16:creationId xmlns:a16="http://schemas.microsoft.com/office/drawing/2014/main" id="{7C792641-DB4A-4AF6-8175-8EFEBCB4159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7" name="$E$115">
            <a:extLst>
              <a:ext uri="{FF2B5EF4-FFF2-40B4-BE49-F238E27FC236}">
                <a16:creationId xmlns:a16="http://schemas.microsoft.com/office/drawing/2014/main" id="{5602A77A-454E-4E0E-9AFC-5447F36D9FDD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8" name="$E$115">
            <a:extLst>
              <a:ext uri="{FF2B5EF4-FFF2-40B4-BE49-F238E27FC236}">
                <a16:creationId xmlns:a16="http://schemas.microsoft.com/office/drawing/2014/main" id="{383DEC75-955F-48A3-BB49-DA5C0AE44201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49" name="$E$115">
            <a:extLst>
              <a:ext uri="{FF2B5EF4-FFF2-40B4-BE49-F238E27FC236}">
                <a16:creationId xmlns:a16="http://schemas.microsoft.com/office/drawing/2014/main" id="{47D4A0E4-417B-4ACA-BB18-DD20CAE377E6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0" name="$E$115">
            <a:extLst>
              <a:ext uri="{FF2B5EF4-FFF2-40B4-BE49-F238E27FC236}">
                <a16:creationId xmlns:a16="http://schemas.microsoft.com/office/drawing/2014/main" id="{9733E04B-8AA0-4B9E-B8EF-C80D5DA5B9D3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1" name="$E$115">
            <a:extLst>
              <a:ext uri="{FF2B5EF4-FFF2-40B4-BE49-F238E27FC236}">
                <a16:creationId xmlns:a16="http://schemas.microsoft.com/office/drawing/2014/main" id="{437B080B-7719-4C43-8628-ED53E7320C1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2" name="$E$115">
            <a:extLst>
              <a:ext uri="{FF2B5EF4-FFF2-40B4-BE49-F238E27FC236}">
                <a16:creationId xmlns:a16="http://schemas.microsoft.com/office/drawing/2014/main" id="{901C8B70-DDAC-4D1D-A85F-72BECB6BA2E4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3" name="$E$115">
            <a:extLst>
              <a:ext uri="{FF2B5EF4-FFF2-40B4-BE49-F238E27FC236}">
                <a16:creationId xmlns:a16="http://schemas.microsoft.com/office/drawing/2014/main" id="{39BFADA7-FABC-4686-85EE-6D121FD00ECE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4" name="$E$115">
            <a:extLst>
              <a:ext uri="{FF2B5EF4-FFF2-40B4-BE49-F238E27FC236}">
                <a16:creationId xmlns:a16="http://schemas.microsoft.com/office/drawing/2014/main" id="{F8AF29CD-68B8-446E-B04A-87F01750C15C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5" name="$E$115">
            <a:extLst>
              <a:ext uri="{FF2B5EF4-FFF2-40B4-BE49-F238E27FC236}">
                <a16:creationId xmlns:a16="http://schemas.microsoft.com/office/drawing/2014/main" id="{E0FCC9C4-32AB-42B9-9738-1130D3840149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6" name="$E$115">
            <a:extLst>
              <a:ext uri="{FF2B5EF4-FFF2-40B4-BE49-F238E27FC236}">
                <a16:creationId xmlns:a16="http://schemas.microsoft.com/office/drawing/2014/main" id="{013C0CCA-851C-4305-8930-62E20D11E8E6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7" name="$E$115">
            <a:extLst>
              <a:ext uri="{FF2B5EF4-FFF2-40B4-BE49-F238E27FC236}">
                <a16:creationId xmlns:a16="http://schemas.microsoft.com/office/drawing/2014/main" id="{158A0820-BB81-4BC8-84F4-E4EBDE60AEA8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8" name="$E$115">
            <a:extLst>
              <a:ext uri="{FF2B5EF4-FFF2-40B4-BE49-F238E27FC236}">
                <a16:creationId xmlns:a16="http://schemas.microsoft.com/office/drawing/2014/main" id="{5BED08DD-A721-4D3B-BC2C-2FAB213F2823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59" name="$E$115">
            <a:extLst>
              <a:ext uri="{FF2B5EF4-FFF2-40B4-BE49-F238E27FC236}">
                <a16:creationId xmlns:a16="http://schemas.microsoft.com/office/drawing/2014/main" id="{06DB1B5B-CC87-404D-9F92-2A69C3A1FD18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0" name="$E$115">
            <a:extLst>
              <a:ext uri="{FF2B5EF4-FFF2-40B4-BE49-F238E27FC236}">
                <a16:creationId xmlns:a16="http://schemas.microsoft.com/office/drawing/2014/main" id="{7EF9294C-46D3-4F36-AA7F-41F8A40E40DA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1" name="$E$115">
            <a:extLst>
              <a:ext uri="{FF2B5EF4-FFF2-40B4-BE49-F238E27FC236}">
                <a16:creationId xmlns:a16="http://schemas.microsoft.com/office/drawing/2014/main" id="{7CE3A701-5736-46BC-A827-585976C9467B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2" name="$E$115">
            <a:extLst>
              <a:ext uri="{FF2B5EF4-FFF2-40B4-BE49-F238E27FC236}">
                <a16:creationId xmlns:a16="http://schemas.microsoft.com/office/drawing/2014/main" id="{B9D59163-E724-4693-82FE-3A79FFA0439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3" name="$E$115">
            <a:extLst>
              <a:ext uri="{FF2B5EF4-FFF2-40B4-BE49-F238E27FC236}">
                <a16:creationId xmlns:a16="http://schemas.microsoft.com/office/drawing/2014/main" id="{54604135-1D36-46EF-9A69-173C86AC3F0D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4" name="$E$115">
            <a:extLst>
              <a:ext uri="{FF2B5EF4-FFF2-40B4-BE49-F238E27FC236}">
                <a16:creationId xmlns:a16="http://schemas.microsoft.com/office/drawing/2014/main" id="{C5AE41D7-F5CD-4AB0-86DC-A4E1428F191A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5" name="$E$115">
            <a:extLst>
              <a:ext uri="{FF2B5EF4-FFF2-40B4-BE49-F238E27FC236}">
                <a16:creationId xmlns:a16="http://schemas.microsoft.com/office/drawing/2014/main" id="{AA233033-E22B-438A-85F2-ED593FEEC0A2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6" name="$E$115">
            <a:extLst>
              <a:ext uri="{FF2B5EF4-FFF2-40B4-BE49-F238E27FC236}">
                <a16:creationId xmlns:a16="http://schemas.microsoft.com/office/drawing/2014/main" id="{0F52F504-E8DB-4E55-A085-E6EED1B7764C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7" name="$E$115">
            <a:extLst>
              <a:ext uri="{FF2B5EF4-FFF2-40B4-BE49-F238E27FC236}">
                <a16:creationId xmlns:a16="http://schemas.microsoft.com/office/drawing/2014/main" id="{3BE082AF-4D0E-4136-A237-C8F4020CE0D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8" name="$E$115">
            <a:extLst>
              <a:ext uri="{FF2B5EF4-FFF2-40B4-BE49-F238E27FC236}">
                <a16:creationId xmlns:a16="http://schemas.microsoft.com/office/drawing/2014/main" id="{E2E7EF32-DBF5-4239-AE39-A710915621DE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69" name="$E$115">
            <a:extLst>
              <a:ext uri="{FF2B5EF4-FFF2-40B4-BE49-F238E27FC236}">
                <a16:creationId xmlns:a16="http://schemas.microsoft.com/office/drawing/2014/main" id="{75F80288-D372-4931-AEC3-B922902AD5AF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0" name="$E$115">
            <a:extLst>
              <a:ext uri="{FF2B5EF4-FFF2-40B4-BE49-F238E27FC236}">
                <a16:creationId xmlns:a16="http://schemas.microsoft.com/office/drawing/2014/main" id="{5D714FA3-95B0-4A1C-A7F0-ADCB204E3A8B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1" name="$E$115">
            <a:extLst>
              <a:ext uri="{FF2B5EF4-FFF2-40B4-BE49-F238E27FC236}">
                <a16:creationId xmlns:a16="http://schemas.microsoft.com/office/drawing/2014/main" id="{48901419-DCC4-45FB-AFBF-90BBAC069A36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2" name="$E$115">
            <a:extLst>
              <a:ext uri="{FF2B5EF4-FFF2-40B4-BE49-F238E27FC236}">
                <a16:creationId xmlns:a16="http://schemas.microsoft.com/office/drawing/2014/main" id="{F594E20E-0C8D-4837-AE3D-29FCEDA9A54C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3" name="$E$115">
            <a:extLst>
              <a:ext uri="{FF2B5EF4-FFF2-40B4-BE49-F238E27FC236}">
                <a16:creationId xmlns:a16="http://schemas.microsoft.com/office/drawing/2014/main" id="{AEF7904D-AF36-47A0-AE62-C831B6A6E21E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4" name="$E$115">
            <a:extLst>
              <a:ext uri="{FF2B5EF4-FFF2-40B4-BE49-F238E27FC236}">
                <a16:creationId xmlns:a16="http://schemas.microsoft.com/office/drawing/2014/main" id="{A415D472-6858-4334-A932-84859C3A5191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5" name="$E$115">
            <a:extLst>
              <a:ext uri="{FF2B5EF4-FFF2-40B4-BE49-F238E27FC236}">
                <a16:creationId xmlns:a16="http://schemas.microsoft.com/office/drawing/2014/main" id="{2ADC26C2-0F23-441E-8DA4-F0FFD3B200B2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6" name="$E$115">
            <a:extLst>
              <a:ext uri="{FF2B5EF4-FFF2-40B4-BE49-F238E27FC236}">
                <a16:creationId xmlns:a16="http://schemas.microsoft.com/office/drawing/2014/main" id="{FB0AE2B3-3935-422B-AFE0-C779F46930BC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7" name="$E$115">
            <a:extLst>
              <a:ext uri="{FF2B5EF4-FFF2-40B4-BE49-F238E27FC236}">
                <a16:creationId xmlns:a16="http://schemas.microsoft.com/office/drawing/2014/main" id="{E07ACE57-84A0-4B28-B125-18F6528CCCD5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8" name="$E$115">
            <a:extLst>
              <a:ext uri="{FF2B5EF4-FFF2-40B4-BE49-F238E27FC236}">
                <a16:creationId xmlns:a16="http://schemas.microsoft.com/office/drawing/2014/main" id="{3D4A974C-D6F9-43FD-9C3A-ECC3730C5267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79" name="$E$115">
            <a:extLst>
              <a:ext uri="{FF2B5EF4-FFF2-40B4-BE49-F238E27FC236}">
                <a16:creationId xmlns:a16="http://schemas.microsoft.com/office/drawing/2014/main" id="{FF316717-9BFE-4E15-B563-38FA05ADC1E6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0" name="$E$115">
            <a:extLst>
              <a:ext uri="{FF2B5EF4-FFF2-40B4-BE49-F238E27FC236}">
                <a16:creationId xmlns:a16="http://schemas.microsoft.com/office/drawing/2014/main" id="{B4D63E03-1C11-4DFD-9E0B-D2B30DC0411F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1" name="$E$115">
            <a:extLst>
              <a:ext uri="{FF2B5EF4-FFF2-40B4-BE49-F238E27FC236}">
                <a16:creationId xmlns:a16="http://schemas.microsoft.com/office/drawing/2014/main" id="{536BF981-A820-4C9B-90C0-94D4CB9A3E86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2" name="$E$115">
            <a:extLst>
              <a:ext uri="{FF2B5EF4-FFF2-40B4-BE49-F238E27FC236}">
                <a16:creationId xmlns:a16="http://schemas.microsoft.com/office/drawing/2014/main" id="{D55FD7A4-36C3-4550-BE81-D67367633DFE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3" name="$E$115">
            <a:extLst>
              <a:ext uri="{FF2B5EF4-FFF2-40B4-BE49-F238E27FC236}">
                <a16:creationId xmlns:a16="http://schemas.microsoft.com/office/drawing/2014/main" id="{8A60FCD2-89BC-425A-9AAD-8AA956F66D68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4" name="$E$115">
            <a:extLst>
              <a:ext uri="{FF2B5EF4-FFF2-40B4-BE49-F238E27FC236}">
                <a16:creationId xmlns:a16="http://schemas.microsoft.com/office/drawing/2014/main" id="{81A09CD5-B6F8-49FC-BF10-EA8A0540A915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5" name="$E$115">
            <a:extLst>
              <a:ext uri="{FF2B5EF4-FFF2-40B4-BE49-F238E27FC236}">
                <a16:creationId xmlns:a16="http://schemas.microsoft.com/office/drawing/2014/main" id="{99C62CCA-6C33-460B-8CDD-EBC292B750A6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6" name="$E$115">
            <a:extLst>
              <a:ext uri="{FF2B5EF4-FFF2-40B4-BE49-F238E27FC236}">
                <a16:creationId xmlns:a16="http://schemas.microsoft.com/office/drawing/2014/main" id="{C8C2F1A4-B2AA-45C2-BC13-92A440BC03ED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7" name="$E$115">
            <a:extLst>
              <a:ext uri="{FF2B5EF4-FFF2-40B4-BE49-F238E27FC236}">
                <a16:creationId xmlns:a16="http://schemas.microsoft.com/office/drawing/2014/main" id="{BF02D05D-A294-4E8A-B6E2-B043F07FBC46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8" name="$E$115">
            <a:extLst>
              <a:ext uri="{FF2B5EF4-FFF2-40B4-BE49-F238E27FC236}">
                <a16:creationId xmlns:a16="http://schemas.microsoft.com/office/drawing/2014/main" id="{0CC8D1CE-9517-4973-8AE6-E6B73DADB599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89" name="$E$115">
            <a:extLst>
              <a:ext uri="{FF2B5EF4-FFF2-40B4-BE49-F238E27FC236}">
                <a16:creationId xmlns:a16="http://schemas.microsoft.com/office/drawing/2014/main" id="{3DD468CF-C100-4EC6-AB52-49DA252D7E64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0" name="$E$115">
            <a:extLst>
              <a:ext uri="{FF2B5EF4-FFF2-40B4-BE49-F238E27FC236}">
                <a16:creationId xmlns:a16="http://schemas.microsoft.com/office/drawing/2014/main" id="{0F45DD2E-2931-48E2-AA47-1C65B01262FC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1" name="$E$115">
            <a:extLst>
              <a:ext uri="{FF2B5EF4-FFF2-40B4-BE49-F238E27FC236}">
                <a16:creationId xmlns:a16="http://schemas.microsoft.com/office/drawing/2014/main" id="{9E1E1497-9ABB-4CC3-9A5F-AA7A15C671F5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2" name="$E$115">
            <a:extLst>
              <a:ext uri="{FF2B5EF4-FFF2-40B4-BE49-F238E27FC236}">
                <a16:creationId xmlns:a16="http://schemas.microsoft.com/office/drawing/2014/main" id="{7CC60857-A7F0-4430-BABB-8159B41C97C7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3" name="$E$115">
            <a:extLst>
              <a:ext uri="{FF2B5EF4-FFF2-40B4-BE49-F238E27FC236}">
                <a16:creationId xmlns:a16="http://schemas.microsoft.com/office/drawing/2014/main" id="{95BEF76A-D24D-4991-B399-E16693DDA226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4" name="$E$115">
            <a:extLst>
              <a:ext uri="{FF2B5EF4-FFF2-40B4-BE49-F238E27FC236}">
                <a16:creationId xmlns:a16="http://schemas.microsoft.com/office/drawing/2014/main" id="{A0B0D88D-F022-46EB-A77E-E93B189FC27D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5" name="$E$115">
            <a:extLst>
              <a:ext uri="{FF2B5EF4-FFF2-40B4-BE49-F238E27FC236}">
                <a16:creationId xmlns:a16="http://schemas.microsoft.com/office/drawing/2014/main" id="{3FB3701F-2947-45BF-97A8-A981288BB237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6" name="$E$115">
            <a:extLst>
              <a:ext uri="{FF2B5EF4-FFF2-40B4-BE49-F238E27FC236}">
                <a16:creationId xmlns:a16="http://schemas.microsoft.com/office/drawing/2014/main" id="{97876723-89E0-4DFC-99CF-5611A5D3AA4F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7" name="$E$115">
            <a:extLst>
              <a:ext uri="{FF2B5EF4-FFF2-40B4-BE49-F238E27FC236}">
                <a16:creationId xmlns:a16="http://schemas.microsoft.com/office/drawing/2014/main" id="{8B759C17-259B-4CFC-92E8-6BE2843F979F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8" name="$E$115">
            <a:extLst>
              <a:ext uri="{FF2B5EF4-FFF2-40B4-BE49-F238E27FC236}">
                <a16:creationId xmlns:a16="http://schemas.microsoft.com/office/drawing/2014/main" id="{2149C4AE-3889-44B7-AEF7-B0367D77853F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99" name="$E$115">
            <a:extLst>
              <a:ext uri="{FF2B5EF4-FFF2-40B4-BE49-F238E27FC236}">
                <a16:creationId xmlns:a16="http://schemas.microsoft.com/office/drawing/2014/main" id="{77201E30-6357-4151-9BC7-268AB4CC013A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0" name="$E$115">
            <a:extLst>
              <a:ext uri="{FF2B5EF4-FFF2-40B4-BE49-F238E27FC236}">
                <a16:creationId xmlns:a16="http://schemas.microsoft.com/office/drawing/2014/main" id="{12F0F1D2-DE2B-4580-9C9C-B9466421C564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1" name="$E$115">
            <a:extLst>
              <a:ext uri="{FF2B5EF4-FFF2-40B4-BE49-F238E27FC236}">
                <a16:creationId xmlns:a16="http://schemas.microsoft.com/office/drawing/2014/main" id="{C873ADAA-BDAF-4054-A3DA-79A2198F905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2" name="$E$115">
            <a:extLst>
              <a:ext uri="{FF2B5EF4-FFF2-40B4-BE49-F238E27FC236}">
                <a16:creationId xmlns:a16="http://schemas.microsoft.com/office/drawing/2014/main" id="{79A1F47A-64E2-4686-B3C0-6730EBD24EA1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3" name="$E$115">
            <a:extLst>
              <a:ext uri="{FF2B5EF4-FFF2-40B4-BE49-F238E27FC236}">
                <a16:creationId xmlns:a16="http://schemas.microsoft.com/office/drawing/2014/main" id="{2D344B8A-17F1-44B6-A4E0-25879B762D0E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4" name="$E$115">
            <a:extLst>
              <a:ext uri="{FF2B5EF4-FFF2-40B4-BE49-F238E27FC236}">
                <a16:creationId xmlns:a16="http://schemas.microsoft.com/office/drawing/2014/main" id="{8E1CC657-7313-42C1-96FE-49B80CF3E1DB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5" name="$E$115">
            <a:extLst>
              <a:ext uri="{FF2B5EF4-FFF2-40B4-BE49-F238E27FC236}">
                <a16:creationId xmlns:a16="http://schemas.microsoft.com/office/drawing/2014/main" id="{BA661E25-1659-43E9-B7B4-2EFCB0495466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6" name="$E$115">
            <a:extLst>
              <a:ext uri="{FF2B5EF4-FFF2-40B4-BE49-F238E27FC236}">
                <a16:creationId xmlns:a16="http://schemas.microsoft.com/office/drawing/2014/main" id="{A89B30FC-942B-4030-8F8B-77D0E1AEB1B2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7" name="$E$115">
            <a:extLst>
              <a:ext uri="{FF2B5EF4-FFF2-40B4-BE49-F238E27FC236}">
                <a16:creationId xmlns:a16="http://schemas.microsoft.com/office/drawing/2014/main" id="{995A607F-AC8E-4E15-8E55-6D71741BD9AC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8" name="$E$115">
            <a:extLst>
              <a:ext uri="{FF2B5EF4-FFF2-40B4-BE49-F238E27FC236}">
                <a16:creationId xmlns:a16="http://schemas.microsoft.com/office/drawing/2014/main" id="{144C1DCC-C764-41CE-AA75-E9E43A79B444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09" name="$E$115">
            <a:extLst>
              <a:ext uri="{FF2B5EF4-FFF2-40B4-BE49-F238E27FC236}">
                <a16:creationId xmlns:a16="http://schemas.microsoft.com/office/drawing/2014/main" id="{2BE0942E-6ED3-4764-9E91-30C940A75C05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0" name="$E$115">
            <a:extLst>
              <a:ext uri="{FF2B5EF4-FFF2-40B4-BE49-F238E27FC236}">
                <a16:creationId xmlns:a16="http://schemas.microsoft.com/office/drawing/2014/main" id="{4BEBFFE0-7177-4605-89D0-0396EB9E3829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1" name="$E$115">
            <a:extLst>
              <a:ext uri="{FF2B5EF4-FFF2-40B4-BE49-F238E27FC236}">
                <a16:creationId xmlns:a16="http://schemas.microsoft.com/office/drawing/2014/main" id="{42D0C52A-4EFF-4BD3-A8A6-23C33EF92FF8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2" name="$E$115">
            <a:extLst>
              <a:ext uri="{FF2B5EF4-FFF2-40B4-BE49-F238E27FC236}">
                <a16:creationId xmlns:a16="http://schemas.microsoft.com/office/drawing/2014/main" id="{1412D484-E2F1-4D7A-ACF9-6F4D2CB2F50D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3" name="$E$115">
            <a:extLst>
              <a:ext uri="{FF2B5EF4-FFF2-40B4-BE49-F238E27FC236}">
                <a16:creationId xmlns:a16="http://schemas.microsoft.com/office/drawing/2014/main" id="{86A78970-09AB-4609-B5DF-A7DB1CF42EFB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4" name="$E$115">
            <a:extLst>
              <a:ext uri="{FF2B5EF4-FFF2-40B4-BE49-F238E27FC236}">
                <a16:creationId xmlns:a16="http://schemas.microsoft.com/office/drawing/2014/main" id="{36D585DF-9704-4985-9886-F02A86C48CFC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5" name="$E$115">
            <a:extLst>
              <a:ext uri="{FF2B5EF4-FFF2-40B4-BE49-F238E27FC236}">
                <a16:creationId xmlns:a16="http://schemas.microsoft.com/office/drawing/2014/main" id="{8339205A-D143-45EB-A01A-13A2774B38A9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6" name="$E$115">
            <a:extLst>
              <a:ext uri="{FF2B5EF4-FFF2-40B4-BE49-F238E27FC236}">
                <a16:creationId xmlns:a16="http://schemas.microsoft.com/office/drawing/2014/main" id="{6766A62D-3AD7-4A79-BA66-034D5A958ECD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7" name="$E$115">
            <a:extLst>
              <a:ext uri="{FF2B5EF4-FFF2-40B4-BE49-F238E27FC236}">
                <a16:creationId xmlns:a16="http://schemas.microsoft.com/office/drawing/2014/main" id="{5F3123D6-6D51-4F87-9E58-D9C153C235DE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8" name="$E$115">
            <a:extLst>
              <a:ext uri="{FF2B5EF4-FFF2-40B4-BE49-F238E27FC236}">
                <a16:creationId xmlns:a16="http://schemas.microsoft.com/office/drawing/2014/main" id="{77F4695B-4C99-4FC5-9EB1-4FC151D6AEFA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19" name="$E$115">
            <a:extLst>
              <a:ext uri="{FF2B5EF4-FFF2-40B4-BE49-F238E27FC236}">
                <a16:creationId xmlns:a16="http://schemas.microsoft.com/office/drawing/2014/main" id="{E5F7310B-888D-42EA-B488-0951FCCB14BB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0" name="$E$115">
            <a:extLst>
              <a:ext uri="{FF2B5EF4-FFF2-40B4-BE49-F238E27FC236}">
                <a16:creationId xmlns:a16="http://schemas.microsoft.com/office/drawing/2014/main" id="{D84BAAF9-08D1-4F3C-9EF0-650498934F7F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1" name="$E$115">
            <a:extLst>
              <a:ext uri="{FF2B5EF4-FFF2-40B4-BE49-F238E27FC236}">
                <a16:creationId xmlns:a16="http://schemas.microsoft.com/office/drawing/2014/main" id="{EEF0C188-5936-4B04-8892-D29F377FB971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2" name="$E$115">
            <a:extLst>
              <a:ext uri="{FF2B5EF4-FFF2-40B4-BE49-F238E27FC236}">
                <a16:creationId xmlns:a16="http://schemas.microsoft.com/office/drawing/2014/main" id="{8324EBF2-D0E0-4D21-A9B9-33B05A1DED89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3" name="$E$115">
            <a:extLst>
              <a:ext uri="{FF2B5EF4-FFF2-40B4-BE49-F238E27FC236}">
                <a16:creationId xmlns:a16="http://schemas.microsoft.com/office/drawing/2014/main" id="{BEE6911C-F360-443B-9F1B-EA310D24F8D8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4" name="$E$115">
            <a:extLst>
              <a:ext uri="{FF2B5EF4-FFF2-40B4-BE49-F238E27FC236}">
                <a16:creationId xmlns:a16="http://schemas.microsoft.com/office/drawing/2014/main" id="{E3D4CC55-1C11-46F0-8E87-BD759ED6B02B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5" name="$E$115">
            <a:extLst>
              <a:ext uri="{FF2B5EF4-FFF2-40B4-BE49-F238E27FC236}">
                <a16:creationId xmlns:a16="http://schemas.microsoft.com/office/drawing/2014/main" id="{9DAF3797-0177-4CD2-B90E-5390651EDC4D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6" name="$E$115">
            <a:extLst>
              <a:ext uri="{FF2B5EF4-FFF2-40B4-BE49-F238E27FC236}">
                <a16:creationId xmlns:a16="http://schemas.microsoft.com/office/drawing/2014/main" id="{9DBB1548-263B-42F3-AECF-CDB5F8D9CE83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7" name="$E$115">
            <a:extLst>
              <a:ext uri="{FF2B5EF4-FFF2-40B4-BE49-F238E27FC236}">
                <a16:creationId xmlns:a16="http://schemas.microsoft.com/office/drawing/2014/main" id="{30BB81CA-B3C0-4896-9902-65F70CB0870D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8" name="$E$115">
            <a:extLst>
              <a:ext uri="{FF2B5EF4-FFF2-40B4-BE49-F238E27FC236}">
                <a16:creationId xmlns:a16="http://schemas.microsoft.com/office/drawing/2014/main" id="{34821A42-346B-48E2-B576-5153C5270E94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29" name="$E$115">
            <a:extLst>
              <a:ext uri="{FF2B5EF4-FFF2-40B4-BE49-F238E27FC236}">
                <a16:creationId xmlns:a16="http://schemas.microsoft.com/office/drawing/2014/main" id="{7D93CD0E-B751-450C-A881-3F9BD5092AFA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0" name="$E$115">
            <a:extLst>
              <a:ext uri="{FF2B5EF4-FFF2-40B4-BE49-F238E27FC236}">
                <a16:creationId xmlns:a16="http://schemas.microsoft.com/office/drawing/2014/main" id="{02B957E3-0221-4C05-9135-7A22E71CB6F4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1" name="$E$115">
            <a:extLst>
              <a:ext uri="{FF2B5EF4-FFF2-40B4-BE49-F238E27FC236}">
                <a16:creationId xmlns:a16="http://schemas.microsoft.com/office/drawing/2014/main" id="{3621E597-1CB9-4239-BB20-77CB11EA3996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2" name="$E$115">
            <a:extLst>
              <a:ext uri="{FF2B5EF4-FFF2-40B4-BE49-F238E27FC236}">
                <a16:creationId xmlns:a16="http://schemas.microsoft.com/office/drawing/2014/main" id="{326F3869-01BE-43E0-8408-FF07230B8093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3" name="$E$115">
            <a:extLst>
              <a:ext uri="{FF2B5EF4-FFF2-40B4-BE49-F238E27FC236}">
                <a16:creationId xmlns:a16="http://schemas.microsoft.com/office/drawing/2014/main" id="{19FFDAD4-54EF-4F5D-9F6F-FA8A062C07D6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4" name="$E$115">
            <a:extLst>
              <a:ext uri="{FF2B5EF4-FFF2-40B4-BE49-F238E27FC236}">
                <a16:creationId xmlns:a16="http://schemas.microsoft.com/office/drawing/2014/main" id="{4A280942-9233-41A3-80A8-EEFF77E68D78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5" name="$E$115">
            <a:extLst>
              <a:ext uri="{FF2B5EF4-FFF2-40B4-BE49-F238E27FC236}">
                <a16:creationId xmlns:a16="http://schemas.microsoft.com/office/drawing/2014/main" id="{705067DD-CE4E-44B6-A4F1-5A0A26FBAC2E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6" name="$E$115">
            <a:extLst>
              <a:ext uri="{FF2B5EF4-FFF2-40B4-BE49-F238E27FC236}">
                <a16:creationId xmlns:a16="http://schemas.microsoft.com/office/drawing/2014/main" id="{5D0C2260-234F-49CB-A34C-77D728587C36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7" name="$E$115">
            <a:extLst>
              <a:ext uri="{FF2B5EF4-FFF2-40B4-BE49-F238E27FC236}">
                <a16:creationId xmlns:a16="http://schemas.microsoft.com/office/drawing/2014/main" id="{42AC9F27-E9A8-4AE9-8354-005F85F7D1B7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8" name="$E$115">
            <a:extLst>
              <a:ext uri="{FF2B5EF4-FFF2-40B4-BE49-F238E27FC236}">
                <a16:creationId xmlns:a16="http://schemas.microsoft.com/office/drawing/2014/main" id="{E7DA3221-AC7F-40E6-8043-B32156DAC416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39" name="$E$115">
            <a:extLst>
              <a:ext uri="{FF2B5EF4-FFF2-40B4-BE49-F238E27FC236}">
                <a16:creationId xmlns:a16="http://schemas.microsoft.com/office/drawing/2014/main" id="{A62FA9F8-7FD2-4DE3-9F6B-91C9E5F9EFF3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0" name="$E$115">
            <a:extLst>
              <a:ext uri="{FF2B5EF4-FFF2-40B4-BE49-F238E27FC236}">
                <a16:creationId xmlns:a16="http://schemas.microsoft.com/office/drawing/2014/main" id="{A3990DF2-8B74-4BFC-9468-60368052398B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1" name="$E$115">
            <a:extLst>
              <a:ext uri="{FF2B5EF4-FFF2-40B4-BE49-F238E27FC236}">
                <a16:creationId xmlns:a16="http://schemas.microsoft.com/office/drawing/2014/main" id="{3B4544E3-D99A-4849-AF32-9C3B604D25E8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2" name="$E$115">
            <a:extLst>
              <a:ext uri="{FF2B5EF4-FFF2-40B4-BE49-F238E27FC236}">
                <a16:creationId xmlns:a16="http://schemas.microsoft.com/office/drawing/2014/main" id="{E1D580FB-CADF-465C-957D-FEDB3F27738A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3" name="$E$115">
            <a:extLst>
              <a:ext uri="{FF2B5EF4-FFF2-40B4-BE49-F238E27FC236}">
                <a16:creationId xmlns:a16="http://schemas.microsoft.com/office/drawing/2014/main" id="{A37F2D7E-E8C2-4737-B5AB-EE9A92D6BBE1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4" name="$E$115">
            <a:extLst>
              <a:ext uri="{FF2B5EF4-FFF2-40B4-BE49-F238E27FC236}">
                <a16:creationId xmlns:a16="http://schemas.microsoft.com/office/drawing/2014/main" id="{E28342B2-B3F9-4693-8376-07138A1B9F49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5" name="$E$115">
            <a:extLst>
              <a:ext uri="{FF2B5EF4-FFF2-40B4-BE49-F238E27FC236}">
                <a16:creationId xmlns:a16="http://schemas.microsoft.com/office/drawing/2014/main" id="{D8D04304-256B-4FE3-8F51-54CD09119EC5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6" name="$E$115">
            <a:extLst>
              <a:ext uri="{FF2B5EF4-FFF2-40B4-BE49-F238E27FC236}">
                <a16:creationId xmlns:a16="http://schemas.microsoft.com/office/drawing/2014/main" id="{57D3255E-2F7E-4342-8074-A9257109123B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7" name="$E$115">
            <a:extLst>
              <a:ext uri="{FF2B5EF4-FFF2-40B4-BE49-F238E27FC236}">
                <a16:creationId xmlns:a16="http://schemas.microsoft.com/office/drawing/2014/main" id="{92715A45-1E59-4239-80CF-518CADBA26CF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8" name="$E$115">
            <a:extLst>
              <a:ext uri="{FF2B5EF4-FFF2-40B4-BE49-F238E27FC236}">
                <a16:creationId xmlns:a16="http://schemas.microsoft.com/office/drawing/2014/main" id="{5A2AF79B-F101-4534-B4C1-55E02D0FD1AD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49" name="$E$115">
            <a:extLst>
              <a:ext uri="{FF2B5EF4-FFF2-40B4-BE49-F238E27FC236}">
                <a16:creationId xmlns:a16="http://schemas.microsoft.com/office/drawing/2014/main" id="{27470A26-6213-4EB6-9466-0FBD3AC98DB5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0" name="$E$115">
            <a:extLst>
              <a:ext uri="{FF2B5EF4-FFF2-40B4-BE49-F238E27FC236}">
                <a16:creationId xmlns:a16="http://schemas.microsoft.com/office/drawing/2014/main" id="{12BC2420-86B5-4258-82F8-4CAE21E0FC28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1" name="$E$115">
            <a:extLst>
              <a:ext uri="{FF2B5EF4-FFF2-40B4-BE49-F238E27FC236}">
                <a16:creationId xmlns:a16="http://schemas.microsoft.com/office/drawing/2014/main" id="{71E0F829-352D-4B28-A1A8-619193B976F3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2" name="$E$115">
            <a:extLst>
              <a:ext uri="{FF2B5EF4-FFF2-40B4-BE49-F238E27FC236}">
                <a16:creationId xmlns:a16="http://schemas.microsoft.com/office/drawing/2014/main" id="{501F384C-4C1E-4A5B-98AF-4F4CEFF7FF1F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3" name="$E$115">
            <a:extLst>
              <a:ext uri="{FF2B5EF4-FFF2-40B4-BE49-F238E27FC236}">
                <a16:creationId xmlns:a16="http://schemas.microsoft.com/office/drawing/2014/main" id="{CC2865B3-54FD-4497-AC85-9B1275F1A029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4" name="$E$115">
            <a:extLst>
              <a:ext uri="{FF2B5EF4-FFF2-40B4-BE49-F238E27FC236}">
                <a16:creationId xmlns:a16="http://schemas.microsoft.com/office/drawing/2014/main" id="{2BD4FA39-F29E-4846-9F90-CF0C25BD6B7A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5" name="$E$115">
            <a:extLst>
              <a:ext uri="{FF2B5EF4-FFF2-40B4-BE49-F238E27FC236}">
                <a16:creationId xmlns:a16="http://schemas.microsoft.com/office/drawing/2014/main" id="{58621B79-23BB-42AA-82C3-E5A2155BB3E6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6" name="$E$115">
            <a:extLst>
              <a:ext uri="{FF2B5EF4-FFF2-40B4-BE49-F238E27FC236}">
                <a16:creationId xmlns:a16="http://schemas.microsoft.com/office/drawing/2014/main" id="{E499E646-B45E-4D13-BC06-0326E6ECAEA9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7" name="$E$115">
            <a:extLst>
              <a:ext uri="{FF2B5EF4-FFF2-40B4-BE49-F238E27FC236}">
                <a16:creationId xmlns:a16="http://schemas.microsoft.com/office/drawing/2014/main" id="{B8C4DFDD-A944-41AF-BF82-E9C120EDC592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8" name="$E$115">
            <a:extLst>
              <a:ext uri="{FF2B5EF4-FFF2-40B4-BE49-F238E27FC236}">
                <a16:creationId xmlns:a16="http://schemas.microsoft.com/office/drawing/2014/main" id="{94DDB162-0BDE-43E6-AAF1-3C27C594EB81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59" name="$E$115">
            <a:extLst>
              <a:ext uri="{FF2B5EF4-FFF2-40B4-BE49-F238E27FC236}">
                <a16:creationId xmlns:a16="http://schemas.microsoft.com/office/drawing/2014/main" id="{021C8EAD-8224-4B38-89DC-1E24C4105C3D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0" name="$E$115">
            <a:extLst>
              <a:ext uri="{FF2B5EF4-FFF2-40B4-BE49-F238E27FC236}">
                <a16:creationId xmlns:a16="http://schemas.microsoft.com/office/drawing/2014/main" id="{2B4E4E19-00C4-43C5-B273-D5AB007471D7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1" name="$E$115">
            <a:extLst>
              <a:ext uri="{FF2B5EF4-FFF2-40B4-BE49-F238E27FC236}">
                <a16:creationId xmlns:a16="http://schemas.microsoft.com/office/drawing/2014/main" id="{4342D122-889A-4601-8130-F242D734D5C4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2" name="$E$115">
            <a:extLst>
              <a:ext uri="{FF2B5EF4-FFF2-40B4-BE49-F238E27FC236}">
                <a16:creationId xmlns:a16="http://schemas.microsoft.com/office/drawing/2014/main" id="{5138B161-060F-4994-9EC0-FC728244B63B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3" name="$E$115">
            <a:extLst>
              <a:ext uri="{FF2B5EF4-FFF2-40B4-BE49-F238E27FC236}">
                <a16:creationId xmlns:a16="http://schemas.microsoft.com/office/drawing/2014/main" id="{A70A9AD8-8BBE-4D48-B241-BD608C1DD6D1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4" name="$E$115">
            <a:extLst>
              <a:ext uri="{FF2B5EF4-FFF2-40B4-BE49-F238E27FC236}">
                <a16:creationId xmlns:a16="http://schemas.microsoft.com/office/drawing/2014/main" id="{AFD59B9B-FE39-4422-B928-E37A45381138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5" name="$E$115">
            <a:extLst>
              <a:ext uri="{FF2B5EF4-FFF2-40B4-BE49-F238E27FC236}">
                <a16:creationId xmlns:a16="http://schemas.microsoft.com/office/drawing/2014/main" id="{756B5EBC-0EA5-4BB0-8B60-176E9DFFBC9A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6" name="$E$115">
            <a:extLst>
              <a:ext uri="{FF2B5EF4-FFF2-40B4-BE49-F238E27FC236}">
                <a16:creationId xmlns:a16="http://schemas.microsoft.com/office/drawing/2014/main" id="{3BBD848E-C0EF-4AC2-B4E6-86EB4C4E4075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7" name="$E$115">
            <a:extLst>
              <a:ext uri="{FF2B5EF4-FFF2-40B4-BE49-F238E27FC236}">
                <a16:creationId xmlns:a16="http://schemas.microsoft.com/office/drawing/2014/main" id="{D3BC095A-5E2C-46FD-A48D-3BD559B6467E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8" name="$E$115">
            <a:extLst>
              <a:ext uri="{FF2B5EF4-FFF2-40B4-BE49-F238E27FC236}">
                <a16:creationId xmlns:a16="http://schemas.microsoft.com/office/drawing/2014/main" id="{1FA8C402-03B6-4CC5-9AE9-57D5DEA0D00C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69" name="$E$115">
            <a:extLst>
              <a:ext uri="{FF2B5EF4-FFF2-40B4-BE49-F238E27FC236}">
                <a16:creationId xmlns:a16="http://schemas.microsoft.com/office/drawing/2014/main" id="{954C5A54-2A02-47E4-BADD-33CB2BAD8446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0" name="$E$115">
            <a:extLst>
              <a:ext uri="{FF2B5EF4-FFF2-40B4-BE49-F238E27FC236}">
                <a16:creationId xmlns:a16="http://schemas.microsoft.com/office/drawing/2014/main" id="{10DD03A6-C4A9-4AFD-A9D7-E0F736C82E76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1" name="$E$115">
            <a:extLst>
              <a:ext uri="{FF2B5EF4-FFF2-40B4-BE49-F238E27FC236}">
                <a16:creationId xmlns:a16="http://schemas.microsoft.com/office/drawing/2014/main" id="{59C571DF-57A4-449D-9ACB-68EE8DF2E5D2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2" name="$E$115">
            <a:extLst>
              <a:ext uri="{FF2B5EF4-FFF2-40B4-BE49-F238E27FC236}">
                <a16:creationId xmlns:a16="http://schemas.microsoft.com/office/drawing/2014/main" id="{B45AB942-184A-4700-87CE-C873ACF8225E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3" name="$E$115">
            <a:extLst>
              <a:ext uri="{FF2B5EF4-FFF2-40B4-BE49-F238E27FC236}">
                <a16:creationId xmlns:a16="http://schemas.microsoft.com/office/drawing/2014/main" id="{33D08921-1B72-434E-9DC7-FCB49D9CBCF3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4" name="$E$115">
            <a:extLst>
              <a:ext uri="{FF2B5EF4-FFF2-40B4-BE49-F238E27FC236}">
                <a16:creationId xmlns:a16="http://schemas.microsoft.com/office/drawing/2014/main" id="{C6D5D903-EC04-464D-AF9E-9E53FF7C7D4B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5" name="$E$115">
            <a:extLst>
              <a:ext uri="{FF2B5EF4-FFF2-40B4-BE49-F238E27FC236}">
                <a16:creationId xmlns:a16="http://schemas.microsoft.com/office/drawing/2014/main" id="{F133E9AB-BCD0-4AA5-B872-8F8852D89C57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6" name="$E$115">
            <a:extLst>
              <a:ext uri="{FF2B5EF4-FFF2-40B4-BE49-F238E27FC236}">
                <a16:creationId xmlns:a16="http://schemas.microsoft.com/office/drawing/2014/main" id="{41DBDF26-903F-401F-952C-80D4571BCAE1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7" name="$E$115">
            <a:extLst>
              <a:ext uri="{FF2B5EF4-FFF2-40B4-BE49-F238E27FC236}">
                <a16:creationId xmlns:a16="http://schemas.microsoft.com/office/drawing/2014/main" id="{DAB98B10-656B-4CDE-A1C3-44BBF8AFC933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8" name="$E$115">
            <a:extLst>
              <a:ext uri="{FF2B5EF4-FFF2-40B4-BE49-F238E27FC236}">
                <a16:creationId xmlns:a16="http://schemas.microsoft.com/office/drawing/2014/main" id="{899352EA-A987-4DFF-A50C-2634439A046C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79" name="$E$115">
            <a:extLst>
              <a:ext uri="{FF2B5EF4-FFF2-40B4-BE49-F238E27FC236}">
                <a16:creationId xmlns:a16="http://schemas.microsoft.com/office/drawing/2014/main" id="{7D124063-17AB-4AE6-AEB0-1BCE076A2A89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0" name="$E$115">
            <a:extLst>
              <a:ext uri="{FF2B5EF4-FFF2-40B4-BE49-F238E27FC236}">
                <a16:creationId xmlns:a16="http://schemas.microsoft.com/office/drawing/2014/main" id="{7F1CBCEE-2BC8-427C-BCBC-53A9A8D28ABD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1" name="$E$115">
            <a:extLst>
              <a:ext uri="{FF2B5EF4-FFF2-40B4-BE49-F238E27FC236}">
                <a16:creationId xmlns:a16="http://schemas.microsoft.com/office/drawing/2014/main" id="{23BBC528-F79E-4D22-B90F-E3FECB8E5A54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2" name="$E$115">
            <a:extLst>
              <a:ext uri="{FF2B5EF4-FFF2-40B4-BE49-F238E27FC236}">
                <a16:creationId xmlns:a16="http://schemas.microsoft.com/office/drawing/2014/main" id="{4F478404-AFC5-4CEC-9801-CF9BE8B87774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3" name="$E$115">
            <a:extLst>
              <a:ext uri="{FF2B5EF4-FFF2-40B4-BE49-F238E27FC236}">
                <a16:creationId xmlns:a16="http://schemas.microsoft.com/office/drawing/2014/main" id="{77EECA84-2CC1-413A-8F69-20079AC37CA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4" name="$E$115">
            <a:extLst>
              <a:ext uri="{FF2B5EF4-FFF2-40B4-BE49-F238E27FC236}">
                <a16:creationId xmlns:a16="http://schemas.microsoft.com/office/drawing/2014/main" id="{53D66073-83C0-422E-BE6C-202F202BD6F9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5" name="$E$115">
            <a:extLst>
              <a:ext uri="{FF2B5EF4-FFF2-40B4-BE49-F238E27FC236}">
                <a16:creationId xmlns:a16="http://schemas.microsoft.com/office/drawing/2014/main" id="{DE79D9CF-ED2F-4A0C-AF5B-7E71C2CB1037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6" name="$E$115">
            <a:extLst>
              <a:ext uri="{FF2B5EF4-FFF2-40B4-BE49-F238E27FC236}">
                <a16:creationId xmlns:a16="http://schemas.microsoft.com/office/drawing/2014/main" id="{75E634A7-F8BC-4C3B-B95F-30A1AD9AEDE2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7" name="$E$115">
            <a:extLst>
              <a:ext uri="{FF2B5EF4-FFF2-40B4-BE49-F238E27FC236}">
                <a16:creationId xmlns:a16="http://schemas.microsoft.com/office/drawing/2014/main" id="{031CED92-187A-4A2A-8B32-A79C541742C1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8" name="$E$115">
            <a:extLst>
              <a:ext uri="{FF2B5EF4-FFF2-40B4-BE49-F238E27FC236}">
                <a16:creationId xmlns:a16="http://schemas.microsoft.com/office/drawing/2014/main" id="{5670BA8A-6935-4365-9EBB-C810588E9783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89" name="$E$115">
            <a:extLst>
              <a:ext uri="{FF2B5EF4-FFF2-40B4-BE49-F238E27FC236}">
                <a16:creationId xmlns:a16="http://schemas.microsoft.com/office/drawing/2014/main" id="{3872483A-7AF1-4026-B820-704FA389CC4F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0" name="$E$115">
            <a:extLst>
              <a:ext uri="{FF2B5EF4-FFF2-40B4-BE49-F238E27FC236}">
                <a16:creationId xmlns:a16="http://schemas.microsoft.com/office/drawing/2014/main" id="{B8312FDC-3A4F-48CE-8FBF-E5B48557923E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1" name="$E$115">
            <a:extLst>
              <a:ext uri="{FF2B5EF4-FFF2-40B4-BE49-F238E27FC236}">
                <a16:creationId xmlns:a16="http://schemas.microsoft.com/office/drawing/2014/main" id="{91BA6862-3E15-486E-B685-2C01A5C7C7B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2" name="$E$115">
            <a:extLst>
              <a:ext uri="{FF2B5EF4-FFF2-40B4-BE49-F238E27FC236}">
                <a16:creationId xmlns:a16="http://schemas.microsoft.com/office/drawing/2014/main" id="{23A7C58D-8EB1-45C8-B479-3E7ABDDA7397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3" name="$E$115">
            <a:extLst>
              <a:ext uri="{FF2B5EF4-FFF2-40B4-BE49-F238E27FC236}">
                <a16:creationId xmlns:a16="http://schemas.microsoft.com/office/drawing/2014/main" id="{1B82BAED-4C48-444A-9235-720C9848D92F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4" name="$E$115">
            <a:extLst>
              <a:ext uri="{FF2B5EF4-FFF2-40B4-BE49-F238E27FC236}">
                <a16:creationId xmlns:a16="http://schemas.microsoft.com/office/drawing/2014/main" id="{B02D3C2D-3C85-4E49-9CD5-4A4C1859D6E8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5" name="$E$115">
            <a:extLst>
              <a:ext uri="{FF2B5EF4-FFF2-40B4-BE49-F238E27FC236}">
                <a16:creationId xmlns:a16="http://schemas.microsoft.com/office/drawing/2014/main" id="{2E3456F8-092E-4E8E-84BE-D83888C06A4C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6" name="$E$115">
            <a:extLst>
              <a:ext uri="{FF2B5EF4-FFF2-40B4-BE49-F238E27FC236}">
                <a16:creationId xmlns:a16="http://schemas.microsoft.com/office/drawing/2014/main" id="{0978BA46-4349-406B-BD83-0A31C39150B2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7" name="$E$115">
            <a:extLst>
              <a:ext uri="{FF2B5EF4-FFF2-40B4-BE49-F238E27FC236}">
                <a16:creationId xmlns:a16="http://schemas.microsoft.com/office/drawing/2014/main" id="{DA76F295-5D0C-4814-BD23-0B78365488A2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8" name="$E$115">
            <a:extLst>
              <a:ext uri="{FF2B5EF4-FFF2-40B4-BE49-F238E27FC236}">
                <a16:creationId xmlns:a16="http://schemas.microsoft.com/office/drawing/2014/main" id="{69BEF32A-AF02-47F6-828F-4865DD3BB373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99" name="$E$115">
            <a:extLst>
              <a:ext uri="{FF2B5EF4-FFF2-40B4-BE49-F238E27FC236}">
                <a16:creationId xmlns:a16="http://schemas.microsoft.com/office/drawing/2014/main" id="{71E18482-8997-42C2-87DD-6F1097A0EC98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0" name="$E$115">
            <a:extLst>
              <a:ext uri="{FF2B5EF4-FFF2-40B4-BE49-F238E27FC236}">
                <a16:creationId xmlns:a16="http://schemas.microsoft.com/office/drawing/2014/main" id="{400406E6-5312-4464-8B8A-08E0274E3B4B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1" name="$E$115">
            <a:extLst>
              <a:ext uri="{FF2B5EF4-FFF2-40B4-BE49-F238E27FC236}">
                <a16:creationId xmlns:a16="http://schemas.microsoft.com/office/drawing/2014/main" id="{09ACE343-07CD-4CAD-A41F-2AA4ADB8AAC4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2" name="$E$115">
            <a:extLst>
              <a:ext uri="{FF2B5EF4-FFF2-40B4-BE49-F238E27FC236}">
                <a16:creationId xmlns:a16="http://schemas.microsoft.com/office/drawing/2014/main" id="{E024FC85-580A-450E-BE44-CA5C5BA41315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3" name="$E$115">
            <a:extLst>
              <a:ext uri="{FF2B5EF4-FFF2-40B4-BE49-F238E27FC236}">
                <a16:creationId xmlns:a16="http://schemas.microsoft.com/office/drawing/2014/main" id="{DDF81E4D-227F-441B-AFA4-0580608C338B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4" name="$E$115">
            <a:extLst>
              <a:ext uri="{FF2B5EF4-FFF2-40B4-BE49-F238E27FC236}">
                <a16:creationId xmlns:a16="http://schemas.microsoft.com/office/drawing/2014/main" id="{5C5365C1-82B2-431D-9F3D-17566175F75E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5" name="$E$115">
            <a:extLst>
              <a:ext uri="{FF2B5EF4-FFF2-40B4-BE49-F238E27FC236}">
                <a16:creationId xmlns:a16="http://schemas.microsoft.com/office/drawing/2014/main" id="{2A9EFDAC-9E9C-4B40-84D6-1646465EACDD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6" name="$E$115">
            <a:extLst>
              <a:ext uri="{FF2B5EF4-FFF2-40B4-BE49-F238E27FC236}">
                <a16:creationId xmlns:a16="http://schemas.microsoft.com/office/drawing/2014/main" id="{75B05E23-A980-46FB-9B45-7AF287ABACC8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7" name="$E$115">
            <a:extLst>
              <a:ext uri="{FF2B5EF4-FFF2-40B4-BE49-F238E27FC236}">
                <a16:creationId xmlns:a16="http://schemas.microsoft.com/office/drawing/2014/main" id="{4E8E3909-DA4E-483F-BB39-70D046E410C7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8" name="$E$115">
            <a:extLst>
              <a:ext uri="{FF2B5EF4-FFF2-40B4-BE49-F238E27FC236}">
                <a16:creationId xmlns:a16="http://schemas.microsoft.com/office/drawing/2014/main" id="{500B3DC6-B29B-48DA-9D0B-24DCB98F007F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09" name="$E$115">
            <a:extLst>
              <a:ext uri="{FF2B5EF4-FFF2-40B4-BE49-F238E27FC236}">
                <a16:creationId xmlns:a16="http://schemas.microsoft.com/office/drawing/2014/main" id="{D7B39C23-2765-445B-85B8-E51E2F0FFE9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0" name="$E$115">
            <a:extLst>
              <a:ext uri="{FF2B5EF4-FFF2-40B4-BE49-F238E27FC236}">
                <a16:creationId xmlns:a16="http://schemas.microsoft.com/office/drawing/2014/main" id="{DB9C9200-CE0A-408B-8B8B-E851EA226AB4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1" name="$E$115">
            <a:extLst>
              <a:ext uri="{FF2B5EF4-FFF2-40B4-BE49-F238E27FC236}">
                <a16:creationId xmlns:a16="http://schemas.microsoft.com/office/drawing/2014/main" id="{C97FDB40-8EEC-4896-BB0D-9A36C81F9FC9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2" name="$E$115">
            <a:extLst>
              <a:ext uri="{FF2B5EF4-FFF2-40B4-BE49-F238E27FC236}">
                <a16:creationId xmlns:a16="http://schemas.microsoft.com/office/drawing/2014/main" id="{4EC86193-5FE2-466E-9BFC-FE04414A4353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3" name="$E$115">
            <a:extLst>
              <a:ext uri="{FF2B5EF4-FFF2-40B4-BE49-F238E27FC236}">
                <a16:creationId xmlns:a16="http://schemas.microsoft.com/office/drawing/2014/main" id="{378F3D28-06AF-422E-891F-190F584E34A4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4" name="$E$115">
            <a:extLst>
              <a:ext uri="{FF2B5EF4-FFF2-40B4-BE49-F238E27FC236}">
                <a16:creationId xmlns:a16="http://schemas.microsoft.com/office/drawing/2014/main" id="{07A1F005-ADA6-4FBB-A9A1-D0388F4E8BE3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5" name="$E$115">
            <a:extLst>
              <a:ext uri="{FF2B5EF4-FFF2-40B4-BE49-F238E27FC236}">
                <a16:creationId xmlns:a16="http://schemas.microsoft.com/office/drawing/2014/main" id="{724A1365-CD65-4E0A-81E1-99F7A2CC954A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6" name="$E$115">
            <a:extLst>
              <a:ext uri="{FF2B5EF4-FFF2-40B4-BE49-F238E27FC236}">
                <a16:creationId xmlns:a16="http://schemas.microsoft.com/office/drawing/2014/main" id="{5F0BBAAF-D2BA-4A3E-9601-F15F2C185B25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7" name="$E$115">
            <a:extLst>
              <a:ext uri="{FF2B5EF4-FFF2-40B4-BE49-F238E27FC236}">
                <a16:creationId xmlns:a16="http://schemas.microsoft.com/office/drawing/2014/main" id="{4A629D61-F344-4285-95EC-9C568AE72575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8" name="$E$115">
            <a:extLst>
              <a:ext uri="{FF2B5EF4-FFF2-40B4-BE49-F238E27FC236}">
                <a16:creationId xmlns:a16="http://schemas.microsoft.com/office/drawing/2014/main" id="{5AFFA6A4-2283-462F-990E-F190A5F27921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19" name="$E$115">
            <a:extLst>
              <a:ext uri="{FF2B5EF4-FFF2-40B4-BE49-F238E27FC236}">
                <a16:creationId xmlns:a16="http://schemas.microsoft.com/office/drawing/2014/main" id="{C24D412C-EB68-4EB0-927A-20788EA33BBB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0" name="$E$115">
            <a:extLst>
              <a:ext uri="{FF2B5EF4-FFF2-40B4-BE49-F238E27FC236}">
                <a16:creationId xmlns:a16="http://schemas.microsoft.com/office/drawing/2014/main" id="{90A5F82E-D76B-45FD-BF27-9F8ED9832988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1" name="$E$115">
            <a:extLst>
              <a:ext uri="{FF2B5EF4-FFF2-40B4-BE49-F238E27FC236}">
                <a16:creationId xmlns:a16="http://schemas.microsoft.com/office/drawing/2014/main" id="{5A8495A5-2D6E-4CDD-B163-4C03F4F58315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2" name="$E$115">
            <a:extLst>
              <a:ext uri="{FF2B5EF4-FFF2-40B4-BE49-F238E27FC236}">
                <a16:creationId xmlns:a16="http://schemas.microsoft.com/office/drawing/2014/main" id="{B026E26E-107C-4353-B54E-EE5B9E28C22C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3" name="$E$115">
            <a:extLst>
              <a:ext uri="{FF2B5EF4-FFF2-40B4-BE49-F238E27FC236}">
                <a16:creationId xmlns:a16="http://schemas.microsoft.com/office/drawing/2014/main" id="{A1E73059-8737-44B2-990B-041E5754EF5D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4" name="$E$115">
            <a:extLst>
              <a:ext uri="{FF2B5EF4-FFF2-40B4-BE49-F238E27FC236}">
                <a16:creationId xmlns:a16="http://schemas.microsoft.com/office/drawing/2014/main" id="{99BA13F6-1694-4C2E-A573-1D3D089172BB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5" name="$E$115">
            <a:extLst>
              <a:ext uri="{FF2B5EF4-FFF2-40B4-BE49-F238E27FC236}">
                <a16:creationId xmlns:a16="http://schemas.microsoft.com/office/drawing/2014/main" id="{9EAAC35B-39C7-4EAC-99FB-0F4E5EA23516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6" name="$E$115">
            <a:extLst>
              <a:ext uri="{FF2B5EF4-FFF2-40B4-BE49-F238E27FC236}">
                <a16:creationId xmlns:a16="http://schemas.microsoft.com/office/drawing/2014/main" id="{4919030A-4AE2-4D22-817F-AC65D006B8ED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7" name="$E$115">
            <a:extLst>
              <a:ext uri="{FF2B5EF4-FFF2-40B4-BE49-F238E27FC236}">
                <a16:creationId xmlns:a16="http://schemas.microsoft.com/office/drawing/2014/main" id="{579E610B-E90B-43DA-A012-E93C0A49B0C8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8" name="$E$115">
            <a:extLst>
              <a:ext uri="{FF2B5EF4-FFF2-40B4-BE49-F238E27FC236}">
                <a16:creationId xmlns:a16="http://schemas.microsoft.com/office/drawing/2014/main" id="{835B65D7-A066-44D0-B670-6B264B6A50B5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29" name="$E$115">
            <a:extLst>
              <a:ext uri="{FF2B5EF4-FFF2-40B4-BE49-F238E27FC236}">
                <a16:creationId xmlns:a16="http://schemas.microsoft.com/office/drawing/2014/main" id="{344567BB-C873-485A-BDB1-923E38FACAC2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0" name="$E$115">
            <a:extLst>
              <a:ext uri="{FF2B5EF4-FFF2-40B4-BE49-F238E27FC236}">
                <a16:creationId xmlns:a16="http://schemas.microsoft.com/office/drawing/2014/main" id="{0EA49BDC-A29C-41B6-A1BF-1181A70DE6BE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1" name="$E$115">
            <a:extLst>
              <a:ext uri="{FF2B5EF4-FFF2-40B4-BE49-F238E27FC236}">
                <a16:creationId xmlns:a16="http://schemas.microsoft.com/office/drawing/2014/main" id="{AFACDC68-EC10-41D5-B291-A1E3FCE5F88F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2" name="$E$115">
            <a:extLst>
              <a:ext uri="{FF2B5EF4-FFF2-40B4-BE49-F238E27FC236}">
                <a16:creationId xmlns:a16="http://schemas.microsoft.com/office/drawing/2014/main" id="{75D158B9-BAC6-459D-9A98-A9DC3CBC8249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3" name="$E$115">
            <a:extLst>
              <a:ext uri="{FF2B5EF4-FFF2-40B4-BE49-F238E27FC236}">
                <a16:creationId xmlns:a16="http://schemas.microsoft.com/office/drawing/2014/main" id="{64E422FC-F802-4BE3-9D61-7FB034AE53B7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4" name="$E$115">
            <a:extLst>
              <a:ext uri="{FF2B5EF4-FFF2-40B4-BE49-F238E27FC236}">
                <a16:creationId xmlns:a16="http://schemas.microsoft.com/office/drawing/2014/main" id="{191024AE-8923-4066-826C-AC9887671A79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5" name="$E$115">
            <a:extLst>
              <a:ext uri="{FF2B5EF4-FFF2-40B4-BE49-F238E27FC236}">
                <a16:creationId xmlns:a16="http://schemas.microsoft.com/office/drawing/2014/main" id="{66F8E573-F3D2-4E0A-B3AD-679FE6D3CE6A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6" name="$E$115">
            <a:extLst>
              <a:ext uri="{FF2B5EF4-FFF2-40B4-BE49-F238E27FC236}">
                <a16:creationId xmlns:a16="http://schemas.microsoft.com/office/drawing/2014/main" id="{37C3C2C5-016C-473C-8144-5630D4D27D3D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7" name="$E$115">
            <a:extLst>
              <a:ext uri="{FF2B5EF4-FFF2-40B4-BE49-F238E27FC236}">
                <a16:creationId xmlns:a16="http://schemas.microsoft.com/office/drawing/2014/main" id="{B8D70C14-8DF5-4E6A-AAE4-6F73A0BCE854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8" name="$E$115">
            <a:extLst>
              <a:ext uri="{FF2B5EF4-FFF2-40B4-BE49-F238E27FC236}">
                <a16:creationId xmlns:a16="http://schemas.microsoft.com/office/drawing/2014/main" id="{78AB07DA-8FDA-4853-85DE-8B658A9DBA84}"/>
              </a:ext>
            </a:extLst>
          </xdr:cNvPr>
          <xdr:cNvSpPr/>
        </xdr:nvSpPr>
        <xdr:spPr>
          <a:xfrm>
            <a:off x="139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39" name="$E$115">
            <a:extLst>
              <a:ext uri="{FF2B5EF4-FFF2-40B4-BE49-F238E27FC236}">
                <a16:creationId xmlns:a16="http://schemas.microsoft.com/office/drawing/2014/main" id="{6ECA334D-2DDD-4374-922E-64BCCCFB4CC7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0" name="$E$115">
            <a:extLst>
              <a:ext uri="{FF2B5EF4-FFF2-40B4-BE49-F238E27FC236}">
                <a16:creationId xmlns:a16="http://schemas.microsoft.com/office/drawing/2014/main" id="{947B0BB4-D197-4339-8480-FAC7B57F44D4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1" name="$E$115">
            <a:extLst>
              <a:ext uri="{FF2B5EF4-FFF2-40B4-BE49-F238E27FC236}">
                <a16:creationId xmlns:a16="http://schemas.microsoft.com/office/drawing/2014/main" id="{2BD9CDD9-6D36-4F88-8B07-BAA1473576FC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2" name="$E$115">
            <a:extLst>
              <a:ext uri="{FF2B5EF4-FFF2-40B4-BE49-F238E27FC236}">
                <a16:creationId xmlns:a16="http://schemas.microsoft.com/office/drawing/2014/main" id="{51A456F3-2E57-43F0-9B60-BC732926596E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3" name="$E$115">
            <a:extLst>
              <a:ext uri="{FF2B5EF4-FFF2-40B4-BE49-F238E27FC236}">
                <a16:creationId xmlns:a16="http://schemas.microsoft.com/office/drawing/2014/main" id="{B6BE344A-14F1-4DEF-ABD5-BE366F7B4E1D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4" name="$E$115">
            <a:extLst>
              <a:ext uri="{FF2B5EF4-FFF2-40B4-BE49-F238E27FC236}">
                <a16:creationId xmlns:a16="http://schemas.microsoft.com/office/drawing/2014/main" id="{D0CC48E5-4594-4E71-B2FA-AA5A13609EED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5" name="$E$115">
            <a:extLst>
              <a:ext uri="{FF2B5EF4-FFF2-40B4-BE49-F238E27FC236}">
                <a16:creationId xmlns:a16="http://schemas.microsoft.com/office/drawing/2014/main" id="{ED54732C-59C0-4DE1-AF98-54BC0F630FD6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6" name="$E$115">
            <a:extLst>
              <a:ext uri="{FF2B5EF4-FFF2-40B4-BE49-F238E27FC236}">
                <a16:creationId xmlns:a16="http://schemas.microsoft.com/office/drawing/2014/main" id="{FAF83483-6EB2-4A98-99B4-97B11B8483A5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7" name="$E$115">
            <a:extLst>
              <a:ext uri="{FF2B5EF4-FFF2-40B4-BE49-F238E27FC236}">
                <a16:creationId xmlns:a16="http://schemas.microsoft.com/office/drawing/2014/main" id="{02BDD336-A479-48EF-A968-FC6B6B5D0688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8" name="$E$115">
            <a:extLst>
              <a:ext uri="{FF2B5EF4-FFF2-40B4-BE49-F238E27FC236}">
                <a16:creationId xmlns:a16="http://schemas.microsoft.com/office/drawing/2014/main" id="{288DA48E-CD8C-478B-98DC-A83F67EA890C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49" name="$E$115">
            <a:extLst>
              <a:ext uri="{FF2B5EF4-FFF2-40B4-BE49-F238E27FC236}">
                <a16:creationId xmlns:a16="http://schemas.microsoft.com/office/drawing/2014/main" id="{ECBCF412-AF53-4216-94A3-C7509120DC10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0" name="$E$115">
            <a:extLst>
              <a:ext uri="{FF2B5EF4-FFF2-40B4-BE49-F238E27FC236}">
                <a16:creationId xmlns:a16="http://schemas.microsoft.com/office/drawing/2014/main" id="{C9F68FE3-69EC-4CB7-A8D0-318FE6BA9DC9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1" name="$E$115">
            <a:extLst>
              <a:ext uri="{FF2B5EF4-FFF2-40B4-BE49-F238E27FC236}">
                <a16:creationId xmlns:a16="http://schemas.microsoft.com/office/drawing/2014/main" id="{91C02EE1-4805-4B77-9790-209D10A4161A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2" name="$E$115">
            <a:extLst>
              <a:ext uri="{FF2B5EF4-FFF2-40B4-BE49-F238E27FC236}">
                <a16:creationId xmlns:a16="http://schemas.microsoft.com/office/drawing/2014/main" id="{C557AD96-88EC-455D-BBE5-0743646845DE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3" name="$E$115">
            <a:extLst>
              <a:ext uri="{FF2B5EF4-FFF2-40B4-BE49-F238E27FC236}">
                <a16:creationId xmlns:a16="http://schemas.microsoft.com/office/drawing/2014/main" id="{BCD0B483-A706-4D65-A643-9850F399433D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4" name="$E$115">
            <a:extLst>
              <a:ext uri="{FF2B5EF4-FFF2-40B4-BE49-F238E27FC236}">
                <a16:creationId xmlns:a16="http://schemas.microsoft.com/office/drawing/2014/main" id="{BCDCE6C5-6FC7-4B44-B382-D980C09014F1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5" name="$E$115">
            <a:extLst>
              <a:ext uri="{FF2B5EF4-FFF2-40B4-BE49-F238E27FC236}">
                <a16:creationId xmlns:a16="http://schemas.microsoft.com/office/drawing/2014/main" id="{129C88ED-5273-4B16-8F02-5DB1BD2F47C9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6" name="$E$115">
            <a:extLst>
              <a:ext uri="{FF2B5EF4-FFF2-40B4-BE49-F238E27FC236}">
                <a16:creationId xmlns:a16="http://schemas.microsoft.com/office/drawing/2014/main" id="{30B6E6F5-3E5E-40DD-97A3-579F3CD68070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7" name="$E$115">
            <a:extLst>
              <a:ext uri="{FF2B5EF4-FFF2-40B4-BE49-F238E27FC236}">
                <a16:creationId xmlns:a16="http://schemas.microsoft.com/office/drawing/2014/main" id="{7666F3B3-8809-4D68-AA57-162FAE4E414E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8" name="$E$115">
            <a:extLst>
              <a:ext uri="{FF2B5EF4-FFF2-40B4-BE49-F238E27FC236}">
                <a16:creationId xmlns:a16="http://schemas.microsoft.com/office/drawing/2014/main" id="{C66A1B00-EBF4-4510-AE39-5884D8B4C8C6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59" name="$E$115">
            <a:extLst>
              <a:ext uri="{FF2B5EF4-FFF2-40B4-BE49-F238E27FC236}">
                <a16:creationId xmlns:a16="http://schemas.microsoft.com/office/drawing/2014/main" id="{8AFEE8C5-6CD2-4C3B-B776-8D6255660365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0" name="$E$115">
            <a:extLst>
              <a:ext uri="{FF2B5EF4-FFF2-40B4-BE49-F238E27FC236}">
                <a16:creationId xmlns:a16="http://schemas.microsoft.com/office/drawing/2014/main" id="{8DFC32FA-C8FB-47D0-BC42-F2460CFA7938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1" name="$E$115">
            <a:extLst>
              <a:ext uri="{FF2B5EF4-FFF2-40B4-BE49-F238E27FC236}">
                <a16:creationId xmlns:a16="http://schemas.microsoft.com/office/drawing/2014/main" id="{9F1B79C3-1060-4EC6-A6B4-F4016C542BD7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2" name="$E$115">
            <a:extLst>
              <a:ext uri="{FF2B5EF4-FFF2-40B4-BE49-F238E27FC236}">
                <a16:creationId xmlns:a16="http://schemas.microsoft.com/office/drawing/2014/main" id="{AA12CAEC-AEE6-45AE-A36E-4408377FD8D1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3" name="$E$115">
            <a:extLst>
              <a:ext uri="{FF2B5EF4-FFF2-40B4-BE49-F238E27FC236}">
                <a16:creationId xmlns:a16="http://schemas.microsoft.com/office/drawing/2014/main" id="{D7888190-69A5-4FAA-912A-E956B439FDB9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4" name="$E$115">
            <a:extLst>
              <a:ext uri="{FF2B5EF4-FFF2-40B4-BE49-F238E27FC236}">
                <a16:creationId xmlns:a16="http://schemas.microsoft.com/office/drawing/2014/main" id="{D6FE144E-888C-46E5-89B4-70FE6D78F7B3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5" name="$E$115">
            <a:extLst>
              <a:ext uri="{FF2B5EF4-FFF2-40B4-BE49-F238E27FC236}">
                <a16:creationId xmlns:a16="http://schemas.microsoft.com/office/drawing/2014/main" id="{A09F2492-973C-43F3-8BB2-55FFC858C0EA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6" name="$E$115">
            <a:extLst>
              <a:ext uri="{FF2B5EF4-FFF2-40B4-BE49-F238E27FC236}">
                <a16:creationId xmlns:a16="http://schemas.microsoft.com/office/drawing/2014/main" id="{03014D1F-FE27-4D95-94DC-DECEB9EBBD19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7" name="$E$115">
            <a:extLst>
              <a:ext uri="{FF2B5EF4-FFF2-40B4-BE49-F238E27FC236}">
                <a16:creationId xmlns:a16="http://schemas.microsoft.com/office/drawing/2014/main" id="{6DC6F79E-ABA8-47AF-9855-6B329D64E352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8" name="$E$115">
            <a:extLst>
              <a:ext uri="{FF2B5EF4-FFF2-40B4-BE49-F238E27FC236}">
                <a16:creationId xmlns:a16="http://schemas.microsoft.com/office/drawing/2014/main" id="{0326BA4B-BB35-4935-8363-BE2D2E83A9E2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69" name="$E$115">
            <a:extLst>
              <a:ext uri="{FF2B5EF4-FFF2-40B4-BE49-F238E27FC236}">
                <a16:creationId xmlns:a16="http://schemas.microsoft.com/office/drawing/2014/main" id="{61D72870-009A-4EDE-AF62-049730B209CD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0" name="$E$115">
            <a:extLst>
              <a:ext uri="{FF2B5EF4-FFF2-40B4-BE49-F238E27FC236}">
                <a16:creationId xmlns:a16="http://schemas.microsoft.com/office/drawing/2014/main" id="{AE339C0E-5C6F-4497-B89D-2344B0AA6603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1" name="$E$115">
            <a:extLst>
              <a:ext uri="{FF2B5EF4-FFF2-40B4-BE49-F238E27FC236}">
                <a16:creationId xmlns:a16="http://schemas.microsoft.com/office/drawing/2014/main" id="{5D1D77F7-548D-41DD-8D4F-61C4FFB454A1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2" name="$E$115">
            <a:extLst>
              <a:ext uri="{FF2B5EF4-FFF2-40B4-BE49-F238E27FC236}">
                <a16:creationId xmlns:a16="http://schemas.microsoft.com/office/drawing/2014/main" id="{04DAC5FC-859F-41C9-AF8E-7E4451716E0E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3" name="$E$115">
            <a:extLst>
              <a:ext uri="{FF2B5EF4-FFF2-40B4-BE49-F238E27FC236}">
                <a16:creationId xmlns:a16="http://schemas.microsoft.com/office/drawing/2014/main" id="{BB5FDB94-34E1-43D7-82F5-CC37B7776C54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4" name="$E$115">
            <a:extLst>
              <a:ext uri="{FF2B5EF4-FFF2-40B4-BE49-F238E27FC236}">
                <a16:creationId xmlns:a16="http://schemas.microsoft.com/office/drawing/2014/main" id="{A8553F3E-CAA6-456A-9842-865856E79744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5" name="$E$115">
            <a:extLst>
              <a:ext uri="{FF2B5EF4-FFF2-40B4-BE49-F238E27FC236}">
                <a16:creationId xmlns:a16="http://schemas.microsoft.com/office/drawing/2014/main" id="{2CDBBEE6-4F70-403E-8611-CFF5492A2B32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6" name="$E$115">
            <a:extLst>
              <a:ext uri="{FF2B5EF4-FFF2-40B4-BE49-F238E27FC236}">
                <a16:creationId xmlns:a16="http://schemas.microsoft.com/office/drawing/2014/main" id="{019FAD23-BD3F-4685-9D0B-C171F1F6C5D2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7" name="$E$115">
            <a:extLst>
              <a:ext uri="{FF2B5EF4-FFF2-40B4-BE49-F238E27FC236}">
                <a16:creationId xmlns:a16="http://schemas.microsoft.com/office/drawing/2014/main" id="{874C781A-3A46-44F1-8E2C-E03D07F6ADD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8" name="$E$115">
            <a:extLst>
              <a:ext uri="{FF2B5EF4-FFF2-40B4-BE49-F238E27FC236}">
                <a16:creationId xmlns:a16="http://schemas.microsoft.com/office/drawing/2014/main" id="{0E0A1104-98E0-4EC3-9F42-F00D035A812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79" name="$E$115">
            <a:extLst>
              <a:ext uri="{FF2B5EF4-FFF2-40B4-BE49-F238E27FC236}">
                <a16:creationId xmlns:a16="http://schemas.microsoft.com/office/drawing/2014/main" id="{A06D5622-CD59-4A10-A7ED-8D7A597FE0D8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0" name="$E$115">
            <a:extLst>
              <a:ext uri="{FF2B5EF4-FFF2-40B4-BE49-F238E27FC236}">
                <a16:creationId xmlns:a16="http://schemas.microsoft.com/office/drawing/2014/main" id="{D3793297-E1D5-47B5-9077-48A085E3F5DE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1" name="$E$115">
            <a:extLst>
              <a:ext uri="{FF2B5EF4-FFF2-40B4-BE49-F238E27FC236}">
                <a16:creationId xmlns:a16="http://schemas.microsoft.com/office/drawing/2014/main" id="{DB08D28E-17C9-46DF-BE86-EA6F13C42FC2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2" name="$E$115">
            <a:extLst>
              <a:ext uri="{FF2B5EF4-FFF2-40B4-BE49-F238E27FC236}">
                <a16:creationId xmlns:a16="http://schemas.microsoft.com/office/drawing/2014/main" id="{13C28200-409A-49AD-8589-6C6540F3990D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3" name="$E$115">
            <a:extLst>
              <a:ext uri="{FF2B5EF4-FFF2-40B4-BE49-F238E27FC236}">
                <a16:creationId xmlns:a16="http://schemas.microsoft.com/office/drawing/2014/main" id="{CC8A0B80-5A88-4FDA-92C6-3159525373A4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4" name="$E$115">
            <a:extLst>
              <a:ext uri="{FF2B5EF4-FFF2-40B4-BE49-F238E27FC236}">
                <a16:creationId xmlns:a16="http://schemas.microsoft.com/office/drawing/2014/main" id="{568FB946-8772-4944-A639-D88D67153163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5" name="$E$115">
            <a:extLst>
              <a:ext uri="{FF2B5EF4-FFF2-40B4-BE49-F238E27FC236}">
                <a16:creationId xmlns:a16="http://schemas.microsoft.com/office/drawing/2014/main" id="{14EF4E25-584F-4993-AE31-81218270DDFD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6" name="$E$115">
            <a:extLst>
              <a:ext uri="{FF2B5EF4-FFF2-40B4-BE49-F238E27FC236}">
                <a16:creationId xmlns:a16="http://schemas.microsoft.com/office/drawing/2014/main" id="{152D186F-0D16-4267-836B-41BE87D9B908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7" name="$E$115">
            <a:extLst>
              <a:ext uri="{FF2B5EF4-FFF2-40B4-BE49-F238E27FC236}">
                <a16:creationId xmlns:a16="http://schemas.microsoft.com/office/drawing/2014/main" id="{7B037921-4017-4B8D-83D4-44F64532B047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8" name="$E$115">
            <a:extLst>
              <a:ext uri="{FF2B5EF4-FFF2-40B4-BE49-F238E27FC236}">
                <a16:creationId xmlns:a16="http://schemas.microsoft.com/office/drawing/2014/main" id="{7C039A40-5DDC-413A-8D58-85A1C070D302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89" name="$E$115">
            <a:extLst>
              <a:ext uri="{FF2B5EF4-FFF2-40B4-BE49-F238E27FC236}">
                <a16:creationId xmlns:a16="http://schemas.microsoft.com/office/drawing/2014/main" id="{2F9AE663-DA23-4B23-ACB2-C10908DB66C3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0" name="$E$115">
            <a:extLst>
              <a:ext uri="{FF2B5EF4-FFF2-40B4-BE49-F238E27FC236}">
                <a16:creationId xmlns:a16="http://schemas.microsoft.com/office/drawing/2014/main" id="{F2156B55-967C-4ACE-B14F-7FE76CF05F24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1" name="$E$115">
            <a:extLst>
              <a:ext uri="{FF2B5EF4-FFF2-40B4-BE49-F238E27FC236}">
                <a16:creationId xmlns:a16="http://schemas.microsoft.com/office/drawing/2014/main" id="{22AC0819-0415-49A3-AE9E-81E6D2FD219F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2" name="$E$115">
            <a:extLst>
              <a:ext uri="{FF2B5EF4-FFF2-40B4-BE49-F238E27FC236}">
                <a16:creationId xmlns:a16="http://schemas.microsoft.com/office/drawing/2014/main" id="{A035E12D-2025-4483-94AD-B412F433B838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3" name="$E$115">
            <a:extLst>
              <a:ext uri="{FF2B5EF4-FFF2-40B4-BE49-F238E27FC236}">
                <a16:creationId xmlns:a16="http://schemas.microsoft.com/office/drawing/2014/main" id="{D126F984-3337-4F87-A59A-082ACCD09FC3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4" name="$E$115">
            <a:extLst>
              <a:ext uri="{FF2B5EF4-FFF2-40B4-BE49-F238E27FC236}">
                <a16:creationId xmlns:a16="http://schemas.microsoft.com/office/drawing/2014/main" id="{F4A4257F-C30C-4E06-BE89-BA9017CACBFE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5" name="$E$115">
            <a:extLst>
              <a:ext uri="{FF2B5EF4-FFF2-40B4-BE49-F238E27FC236}">
                <a16:creationId xmlns:a16="http://schemas.microsoft.com/office/drawing/2014/main" id="{2E4E1A3E-E473-44DF-8882-94514E0171A5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6" name="$E$115">
            <a:extLst>
              <a:ext uri="{FF2B5EF4-FFF2-40B4-BE49-F238E27FC236}">
                <a16:creationId xmlns:a16="http://schemas.microsoft.com/office/drawing/2014/main" id="{2F0F2525-E58A-43A9-968B-18D0D59D6089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7" name="$E$115">
            <a:extLst>
              <a:ext uri="{FF2B5EF4-FFF2-40B4-BE49-F238E27FC236}">
                <a16:creationId xmlns:a16="http://schemas.microsoft.com/office/drawing/2014/main" id="{F84E15BC-BAA5-4373-AE90-9115681AE1C8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8" name="$E$115">
            <a:extLst>
              <a:ext uri="{FF2B5EF4-FFF2-40B4-BE49-F238E27FC236}">
                <a16:creationId xmlns:a16="http://schemas.microsoft.com/office/drawing/2014/main" id="{D93DA5A3-2CFB-413D-8697-6FA93BBDCBF8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499" name="$E$115">
            <a:extLst>
              <a:ext uri="{FF2B5EF4-FFF2-40B4-BE49-F238E27FC236}">
                <a16:creationId xmlns:a16="http://schemas.microsoft.com/office/drawing/2014/main" id="{7516152C-EE16-4064-825F-88F77829318C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0" name="$E$115">
            <a:extLst>
              <a:ext uri="{FF2B5EF4-FFF2-40B4-BE49-F238E27FC236}">
                <a16:creationId xmlns:a16="http://schemas.microsoft.com/office/drawing/2014/main" id="{C99288CF-59B3-4252-B3CF-C3F6A1E009D7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1" name="$E$115">
            <a:extLst>
              <a:ext uri="{FF2B5EF4-FFF2-40B4-BE49-F238E27FC236}">
                <a16:creationId xmlns:a16="http://schemas.microsoft.com/office/drawing/2014/main" id="{7B51CF6E-6DF7-47D5-BDF9-532B1C17563F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2" name="$E$115">
            <a:extLst>
              <a:ext uri="{FF2B5EF4-FFF2-40B4-BE49-F238E27FC236}">
                <a16:creationId xmlns:a16="http://schemas.microsoft.com/office/drawing/2014/main" id="{98229F5C-665E-4048-A979-F26A9D23CA7C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3" name="$E$115">
            <a:extLst>
              <a:ext uri="{FF2B5EF4-FFF2-40B4-BE49-F238E27FC236}">
                <a16:creationId xmlns:a16="http://schemas.microsoft.com/office/drawing/2014/main" id="{95359D15-0E10-4ABB-96D4-A55D3579CA41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4" name="$E$115">
            <a:extLst>
              <a:ext uri="{FF2B5EF4-FFF2-40B4-BE49-F238E27FC236}">
                <a16:creationId xmlns:a16="http://schemas.microsoft.com/office/drawing/2014/main" id="{90C2CF4B-CAFA-4DE4-8603-33549FBC808A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5" name="$E$115">
            <a:extLst>
              <a:ext uri="{FF2B5EF4-FFF2-40B4-BE49-F238E27FC236}">
                <a16:creationId xmlns:a16="http://schemas.microsoft.com/office/drawing/2014/main" id="{87D3BB10-41F5-4855-B103-DC950188A125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6" name="$E$115">
            <a:extLst>
              <a:ext uri="{FF2B5EF4-FFF2-40B4-BE49-F238E27FC236}">
                <a16:creationId xmlns:a16="http://schemas.microsoft.com/office/drawing/2014/main" id="{DEDB9FB5-3CD1-4CB5-9322-F0961E35D872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7" name="$E$115">
            <a:extLst>
              <a:ext uri="{FF2B5EF4-FFF2-40B4-BE49-F238E27FC236}">
                <a16:creationId xmlns:a16="http://schemas.microsoft.com/office/drawing/2014/main" id="{9F919F5D-D3EC-4154-B9CC-7D2EE3B28891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8" name="$E$115">
            <a:extLst>
              <a:ext uri="{FF2B5EF4-FFF2-40B4-BE49-F238E27FC236}">
                <a16:creationId xmlns:a16="http://schemas.microsoft.com/office/drawing/2014/main" id="{A4D3F6C9-A74E-4E1B-A3B8-0830F6139847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09" name="$E$115">
            <a:extLst>
              <a:ext uri="{FF2B5EF4-FFF2-40B4-BE49-F238E27FC236}">
                <a16:creationId xmlns:a16="http://schemas.microsoft.com/office/drawing/2014/main" id="{98A6FF6E-7829-4853-8F2A-2D409C5B4962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0" name="$E$115">
            <a:extLst>
              <a:ext uri="{FF2B5EF4-FFF2-40B4-BE49-F238E27FC236}">
                <a16:creationId xmlns:a16="http://schemas.microsoft.com/office/drawing/2014/main" id="{1C32BC00-7D08-4E7C-AFE7-E6F6CCE98A5D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1" name="$E$115">
            <a:extLst>
              <a:ext uri="{FF2B5EF4-FFF2-40B4-BE49-F238E27FC236}">
                <a16:creationId xmlns:a16="http://schemas.microsoft.com/office/drawing/2014/main" id="{1358287A-ACC2-4A83-8497-FAB2ADB866F7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2" name="$E$115">
            <a:extLst>
              <a:ext uri="{FF2B5EF4-FFF2-40B4-BE49-F238E27FC236}">
                <a16:creationId xmlns:a16="http://schemas.microsoft.com/office/drawing/2014/main" id="{52D789EF-3F3D-442B-943E-126BA2BFEEAA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3" name="$E$115">
            <a:extLst>
              <a:ext uri="{FF2B5EF4-FFF2-40B4-BE49-F238E27FC236}">
                <a16:creationId xmlns:a16="http://schemas.microsoft.com/office/drawing/2014/main" id="{895297A7-EF52-4174-B132-F41B412B6C81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4" name="$E$115">
            <a:extLst>
              <a:ext uri="{FF2B5EF4-FFF2-40B4-BE49-F238E27FC236}">
                <a16:creationId xmlns:a16="http://schemas.microsoft.com/office/drawing/2014/main" id="{0BDC5238-88B7-4908-AD09-DD2E574529CD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5" name="$E$115">
            <a:extLst>
              <a:ext uri="{FF2B5EF4-FFF2-40B4-BE49-F238E27FC236}">
                <a16:creationId xmlns:a16="http://schemas.microsoft.com/office/drawing/2014/main" id="{AA6335C7-FA8F-4399-BF5F-A4B068E180D3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6" name="$E$115">
            <a:extLst>
              <a:ext uri="{FF2B5EF4-FFF2-40B4-BE49-F238E27FC236}">
                <a16:creationId xmlns:a16="http://schemas.microsoft.com/office/drawing/2014/main" id="{E7DE5DE3-973C-4180-A8C5-EE5B18F2F471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7" name="$E$115">
            <a:extLst>
              <a:ext uri="{FF2B5EF4-FFF2-40B4-BE49-F238E27FC236}">
                <a16:creationId xmlns:a16="http://schemas.microsoft.com/office/drawing/2014/main" id="{673E852C-5C4D-485C-8463-0C471BBEAD6F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8" name="$E$115">
            <a:extLst>
              <a:ext uri="{FF2B5EF4-FFF2-40B4-BE49-F238E27FC236}">
                <a16:creationId xmlns:a16="http://schemas.microsoft.com/office/drawing/2014/main" id="{C6E5CDCB-3474-479C-B249-5C0B3F24ACAB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19" name="$E$115">
            <a:extLst>
              <a:ext uri="{FF2B5EF4-FFF2-40B4-BE49-F238E27FC236}">
                <a16:creationId xmlns:a16="http://schemas.microsoft.com/office/drawing/2014/main" id="{578824E3-5C66-4A83-9EC7-FBB676B553B2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0" name="$E$115">
            <a:extLst>
              <a:ext uri="{FF2B5EF4-FFF2-40B4-BE49-F238E27FC236}">
                <a16:creationId xmlns:a16="http://schemas.microsoft.com/office/drawing/2014/main" id="{64F17D2B-4867-4F14-9C62-AF0A09973D95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1" name="$E$115">
            <a:extLst>
              <a:ext uri="{FF2B5EF4-FFF2-40B4-BE49-F238E27FC236}">
                <a16:creationId xmlns:a16="http://schemas.microsoft.com/office/drawing/2014/main" id="{B21099EE-182D-458F-878A-D7F586CBA9B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2" name="$E$115">
            <a:extLst>
              <a:ext uri="{FF2B5EF4-FFF2-40B4-BE49-F238E27FC236}">
                <a16:creationId xmlns:a16="http://schemas.microsoft.com/office/drawing/2014/main" id="{AC3D22FA-E327-4DB8-9CD5-FF5B7D954B1F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3" name="$E$115">
            <a:extLst>
              <a:ext uri="{FF2B5EF4-FFF2-40B4-BE49-F238E27FC236}">
                <a16:creationId xmlns:a16="http://schemas.microsoft.com/office/drawing/2014/main" id="{26A796E3-C7D6-4C9A-947F-AD17EA98E948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4" name="$E$115">
            <a:extLst>
              <a:ext uri="{FF2B5EF4-FFF2-40B4-BE49-F238E27FC236}">
                <a16:creationId xmlns:a16="http://schemas.microsoft.com/office/drawing/2014/main" id="{9783147A-83ED-41B8-B34A-37BE448FA154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5" name="$E$115">
            <a:extLst>
              <a:ext uri="{FF2B5EF4-FFF2-40B4-BE49-F238E27FC236}">
                <a16:creationId xmlns:a16="http://schemas.microsoft.com/office/drawing/2014/main" id="{EDA76AE5-173E-4F19-BE96-19691C14AB0A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6" name="$E$115">
            <a:extLst>
              <a:ext uri="{FF2B5EF4-FFF2-40B4-BE49-F238E27FC236}">
                <a16:creationId xmlns:a16="http://schemas.microsoft.com/office/drawing/2014/main" id="{3A4A03CE-EF78-40EA-B581-502623865D75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7" name="$E$115">
            <a:extLst>
              <a:ext uri="{FF2B5EF4-FFF2-40B4-BE49-F238E27FC236}">
                <a16:creationId xmlns:a16="http://schemas.microsoft.com/office/drawing/2014/main" id="{530D7336-8357-4E28-8219-6C8A5586FD8D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8" name="$E$115">
            <a:extLst>
              <a:ext uri="{FF2B5EF4-FFF2-40B4-BE49-F238E27FC236}">
                <a16:creationId xmlns:a16="http://schemas.microsoft.com/office/drawing/2014/main" id="{250C081B-972E-4254-A79C-29B4191A30A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29" name="$E$115">
            <a:extLst>
              <a:ext uri="{FF2B5EF4-FFF2-40B4-BE49-F238E27FC236}">
                <a16:creationId xmlns:a16="http://schemas.microsoft.com/office/drawing/2014/main" id="{54EB15B1-8C4A-4C43-9054-DC342D0AE4FA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0" name="$E$115">
            <a:extLst>
              <a:ext uri="{FF2B5EF4-FFF2-40B4-BE49-F238E27FC236}">
                <a16:creationId xmlns:a16="http://schemas.microsoft.com/office/drawing/2014/main" id="{D34E711F-B400-4F16-8585-713F7A498681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1" name="$E$115">
            <a:extLst>
              <a:ext uri="{FF2B5EF4-FFF2-40B4-BE49-F238E27FC236}">
                <a16:creationId xmlns:a16="http://schemas.microsoft.com/office/drawing/2014/main" id="{F73561D3-C053-4ADB-9B5D-EBA194BA6FDE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2" name="$E$115">
            <a:extLst>
              <a:ext uri="{FF2B5EF4-FFF2-40B4-BE49-F238E27FC236}">
                <a16:creationId xmlns:a16="http://schemas.microsoft.com/office/drawing/2014/main" id="{47564E03-637B-4452-AE55-177C7E093DD6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3" name="$E$115">
            <a:extLst>
              <a:ext uri="{FF2B5EF4-FFF2-40B4-BE49-F238E27FC236}">
                <a16:creationId xmlns:a16="http://schemas.microsoft.com/office/drawing/2014/main" id="{AD3B90D6-E8BA-4525-857A-F70EBAE43AF5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4" name="$E$115">
            <a:extLst>
              <a:ext uri="{FF2B5EF4-FFF2-40B4-BE49-F238E27FC236}">
                <a16:creationId xmlns:a16="http://schemas.microsoft.com/office/drawing/2014/main" id="{FA63789C-CA34-4A77-955D-EB19AA26C938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5" name="$E$115">
            <a:extLst>
              <a:ext uri="{FF2B5EF4-FFF2-40B4-BE49-F238E27FC236}">
                <a16:creationId xmlns:a16="http://schemas.microsoft.com/office/drawing/2014/main" id="{EE159092-E808-46B6-8DD4-8D1B11356F3F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6" name="$E$115">
            <a:extLst>
              <a:ext uri="{FF2B5EF4-FFF2-40B4-BE49-F238E27FC236}">
                <a16:creationId xmlns:a16="http://schemas.microsoft.com/office/drawing/2014/main" id="{324DEFCA-3716-47A4-BDD9-40A032ACC5C0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7" name="$E$115">
            <a:extLst>
              <a:ext uri="{FF2B5EF4-FFF2-40B4-BE49-F238E27FC236}">
                <a16:creationId xmlns:a16="http://schemas.microsoft.com/office/drawing/2014/main" id="{E155A4FE-EB9E-41D4-BFB7-2A71D6738536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8" name="$E$115">
            <a:extLst>
              <a:ext uri="{FF2B5EF4-FFF2-40B4-BE49-F238E27FC236}">
                <a16:creationId xmlns:a16="http://schemas.microsoft.com/office/drawing/2014/main" id="{D53C97F9-7DBE-4A2B-B951-81F3BA34EDC6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9" name="$E$115">
            <a:extLst>
              <a:ext uri="{FF2B5EF4-FFF2-40B4-BE49-F238E27FC236}">
                <a16:creationId xmlns:a16="http://schemas.microsoft.com/office/drawing/2014/main" id="{E2DB04A4-0434-4BF9-BD8D-532CB8F71D6B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0" name="$E$115">
            <a:extLst>
              <a:ext uri="{FF2B5EF4-FFF2-40B4-BE49-F238E27FC236}">
                <a16:creationId xmlns:a16="http://schemas.microsoft.com/office/drawing/2014/main" id="{684CF373-DE9D-45A7-A24E-6BA6FA2A331E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1" name="$E$115">
            <a:extLst>
              <a:ext uri="{FF2B5EF4-FFF2-40B4-BE49-F238E27FC236}">
                <a16:creationId xmlns:a16="http://schemas.microsoft.com/office/drawing/2014/main" id="{54AE4627-F71F-4FD6-9264-3AF248908FBD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2" name="$E$115">
            <a:extLst>
              <a:ext uri="{FF2B5EF4-FFF2-40B4-BE49-F238E27FC236}">
                <a16:creationId xmlns:a16="http://schemas.microsoft.com/office/drawing/2014/main" id="{694C8F80-7DFB-43B6-B323-B05A09F74A05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3" name="$E$115">
            <a:extLst>
              <a:ext uri="{FF2B5EF4-FFF2-40B4-BE49-F238E27FC236}">
                <a16:creationId xmlns:a16="http://schemas.microsoft.com/office/drawing/2014/main" id="{09B8D1EF-D1B1-43F0-9C33-70C5B43D0E4D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4" name="$E$115">
            <a:extLst>
              <a:ext uri="{FF2B5EF4-FFF2-40B4-BE49-F238E27FC236}">
                <a16:creationId xmlns:a16="http://schemas.microsoft.com/office/drawing/2014/main" id="{459A5093-312D-4336-8B8D-2759466AF9DE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5" name="$E$115">
            <a:extLst>
              <a:ext uri="{FF2B5EF4-FFF2-40B4-BE49-F238E27FC236}">
                <a16:creationId xmlns:a16="http://schemas.microsoft.com/office/drawing/2014/main" id="{897AB5D2-789B-4892-80E2-B55BC6D1E6CD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6" name="$E$115">
            <a:extLst>
              <a:ext uri="{FF2B5EF4-FFF2-40B4-BE49-F238E27FC236}">
                <a16:creationId xmlns:a16="http://schemas.microsoft.com/office/drawing/2014/main" id="{56B5D306-41E7-4B39-A842-02ABDC90BB82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7" name="$E$115">
            <a:extLst>
              <a:ext uri="{FF2B5EF4-FFF2-40B4-BE49-F238E27FC236}">
                <a16:creationId xmlns:a16="http://schemas.microsoft.com/office/drawing/2014/main" id="{E9A8C97A-07AB-4C69-AA84-6F2457A0BE2E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8" name="$E$115">
            <a:extLst>
              <a:ext uri="{FF2B5EF4-FFF2-40B4-BE49-F238E27FC236}">
                <a16:creationId xmlns:a16="http://schemas.microsoft.com/office/drawing/2014/main" id="{52D86DB2-5F06-438E-97F8-060FF27F2FAD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9" name="$E$115">
            <a:extLst>
              <a:ext uri="{FF2B5EF4-FFF2-40B4-BE49-F238E27FC236}">
                <a16:creationId xmlns:a16="http://schemas.microsoft.com/office/drawing/2014/main" id="{B0D27EC0-0426-4285-ADB8-F0E10947FC11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0" name="$E$115">
            <a:extLst>
              <a:ext uri="{FF2B5EF4-FFF2-40B4-BE49-F238E27FC236}">
                <a16:creationId xmlns:a16="http://schemas.microsoft.com/office/drawing/2014/main" id="{F790092A-2608-4398-99D0-0B98DF5C7A15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1" name="$E$115">
            <a:extLst>
              <a:ext uri="{FF2B5EF4-FFF2-40B4-BE49-F238E27FC236}">
                <a16:creationId xmlns:a16="http://schemas.microsoft.com/office/drawing/2014/main" id="{071D33AE-518E-4ABC-AA6D-9B0A79CEB03D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2" name="$E$115">
            <a:extLst>
              <a:ext uri="{FF2B5EF4-FFF2-40B4-BE49-F238E27FC236}">
                <a16:creationId xmlns:a16="http://schemas.microsoft.com/office/drawing/2014/main" id="{1EAC824F-9C7A-4925-AA25-542BB6C725C3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3" name="$E$115">
            <a:extLst>
              <a:ext uri="{FF2B5EF4-FFF2-40B4-BE49-F238E27FC236}">
                <a16:creationId xmlns:a16="http://schemas.microsoft.com/office/drawing/2014/main" id="{3AB9E745-8AFB-45AA-BF94-6B7919DDB045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4" name="$E$115">
            <a:extLst>
              <a:ext uri="{FF2B5EF4-FFF2-40B4-BE49-F238E27FC236}">
                <a16:creationId xmlns:a16="http://schemas.microsoft.com/office/drawing/2014/main" id="{641E3635-6FFC-4023-A021-DD33FC6F25D7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5" name="$E$115">
            <a:extLst>
              <a:ext uri="{FF2B5EF4-FFF2-40B4-BE49-F238E27FC236}">
                <a16:creationId xmlns:a16="http://schemas.microsoft.com/office/drawing/2014/main" id="{533D84D7-C18D-4DDE-9DC4-266AFCB7BCE2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6" name="$E$115">
            <a:extLst>
              <a:ext uri="{FF2B5EF4-FFF2-40B4-BE49-F238E27FC236}">
                <a16:creationId xmlns:a16="http://schemas.microsoft.com/office/drawing/2014/main" id="{0FD49382-3629-4DE2-BF28-A965D83818AB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7" name="$E$115">
            <a:extLst>
              <a:ext uri="{FF2B5EF4-FFF2-40B4-BE49-F238E27FC236}">
                <a16:creationId xmlns:a16="http://schemas.microsoft.com/office/drawing/2014/main" id="{71BC4FD3-CBAB-412F-80B9-2F3B0071E8BA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8" name="$E$115">
            <a:extLst>
              <a:ext uri="{FF2B5EF4-FFF2-40B4-BE49-F238E27FC236}">
                <a16:creationId xmlns:a16="http://schemas.microsoft.com/office/drawing/2014/main" id="{250257FF-48CC-4851-833F-E084B39DD331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9" name="$E$115">
            <a:extLst>
              <a:ext uri="{FF2B5EF4-FFF2-40B4-BE49-F238E27FC236}">
                <a16:creationId xmlns:a16="http://schemas.microsoft.com/office/drawing/2014/main" id="{40C2F633-89D2-4643-9435-4D2D5D7EBF14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0" name="$E$115">
            <a:extLst>
              <a:ext uri="{FF2B5EF4-FFF2-40B4-BE49-F238E27FC236}">
                <a16:creationId xmlns:a16="http://schemas.microsoft.com/office/drawing/2014/main" id="{E4B87777-82C9-44A9-AA5B-28976DF37129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1" name="$E$115">
            <a:extLst>
              <a:ext uri="{FF2B5EF4-FFF2-40B4-BE49-F238E27FC236}">
                <a16:creationId xmlns:a16="http://schemas.microsoft.com/office/drawing/2014/main" id="{F942EFE6-9C9C-42F3-BFDC-7BC2EF810597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2" name="$E$115">
            <a:extLst>
              <a:ext uri="{FF2B5EF4-FFF2-40B4-BE49-F238E27FC236}">
                <a16:creationId xmlns:a16="http://schemas.microsoft.com/office/drawing/2014/main" id="{A487AE1F-D517-4F7E-AA15-237C0458044C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3" name="$E$115">
            <a:extLst>
              <a:ext uri="{FF2B5EF4-FFF2-40B4-BE49-F238E27FC236}">
                <a16:creationId xmlns:a16="http://schemas.microsoft.com/office/drawing/2014/main" id="{E2D3AD0D-F5F9-4E86-A03C-8518D725C35E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4" name="$E$115">
            <a:extLst>
              <a:ext uri="{FF2B5EF4-FFF2-40B4-BE49-F238E27FC236}">
                <a16:creationId xmlns:a16="http://schemas.microsoft.com/office/drawing/2014/main" id="{DDD8699C-1F6A-485F-B724-8755DC14E7F2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5" name="$E$115">
            <a:extLst>
              <a:ext uri="{FF2B5EF4-FFF2-40B4-BE49-F238E27FC236}">
                <a16:creationId xmlns:a16="http://schemas.microsoft.com/office/drawing/2014/main" id="{D9605FCC-48DF-48DF-BAEC-09011041E4DF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6" name="$E$115">
            <a:extLst>
              <a:ext uri="{FF2B5EF4-FFF2-40B4-BE49-F238E27FC236}">
                <a16:creationId xmlns:a16="http://schemas.microsoft.com/office/drawing/2014/main" id="{AC17D449-DC57-4ACB-869E-4820B064E24B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7" name="$E$115">
            <a:extLst>
              <a:ext uri="{FF2B5EF4-FFF2-40B4-BE49-F238E27FC236}">
                <a16:creationId xmlns:a16="http://schemas.microsoft.com/office/drawing/2014/main" id="{84BE4D78-80E3-482A-B625-2A6D751CBAAA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8" name="$E$115">
            <a:extLst>
              <a:ext uri="{FF2B5EF4-FFF2-40B4-BE49-F238E27FC236}">
                <a16:creationId xmlns:a16="http://schemas.microsoft.com/office/drawing/2014/main" id="{82D9F791-6237-4B6F-A1F1-57FFCBB52653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9" name="$E$115">
            <a:extLst>
              <a:ext uri="{FF2B5EF4-FFF2-40B4-BE49-F238E27FC236}">
                <a16:creationId xmlns:a16="http://schemas.microsoft.com/office/drawing/2014/main" id="{B23AD329-19A9-4C2F-9EE1-436C0465B7D6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0" name="$E$115">
            <a:extLst>
              <a:ext uri="{FF2B5EF4-FFF2-40B4-BE49-F238E27FC236}">
                <a16:creationId xmlns:a16="http://schemas.microsoft.com/office/drawing/2014/main" id="{A995F167-6A55-43D7-9B42-0886B8B67FDF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1" name="$E$115">
            <a:extLst>
              <a:ext uri="{FF2B5EF4-FFF2-40B4-BE49-F238E27FC236}">
                <a16:creationId xmlns:a16="http://schemas.microsoft.com/office/drawing/2014/main" id="{ED7B6275-EB24-48D5-99E8-E9BB79C2BDC1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2" name="$E$115">
            <a:extLst>
              <a:ext uri="{FF2B5EF4-FFF2-40B4-BE49-F238E27FC236}">
                <a16:creationId xmlns:a16="http://schemas.microsoft.com/office/drawing/2014/main" id="{66CB4AB3-F27B-455E-85EF-E7B7AF1AA92B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3" name="$E$115">
            <a:extLst>
              <a:ext uri="{FF2B5EF4-FFF2-40B4-BE49-F238E27FC236}">
                <a16:creationId xmlns:a16="http://schemas.microsoft.com/office/drawing/2014/main" id="{C5E524DD-97AA-4E16-9177-CB16F8281BBF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4" name="$E$115">
            <a:extLst>
              <a:ext uri="{FF2B5EF4-FFF2-40B4-BE49-F238E27FC236}">
                <a16:creationId xmlns:a16="http://schemas.microsoft.com/office/drawing/2014/main" id="{F67B74BD-738B-419A-AA80-E0A9AF1B80AD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5" name="$E$115">
            <a:extLst>
              <a:ext uri="{FF2B5EF4-FFF2-40B4-BE49-F238E27FC236}">
                <a16:creationId xmlns:a16="http://schemas.microsoft.com/office/drawing/2014/main" id="{250288A8-A639-4247-9A3B-432CEA4190CF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6" name="$E$115">
            <a:extLst>
              <a:ext uri="{FF2B5EF4-FFF2-40B4-BE49-F238E27FC236}">
                <a16:creationId xmlns:a16="http://schemas.microsoft.com/office/drawing/2014/main" id="{90D45950-1E30-4FB1-9724-6040568FBFA8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7" name="$E$115">
            <a:extLst>
              <a:ext uri="{FF2B5EF4-FFF2-40B4-BE49-F238E27FC236}">
                <a16:creationId xmlns:a16="http://schemas.microsoft.com/office/drawing/2014/main" id="{7A2A1D5B-1C70-43F2-B264-15E606D7BF8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8" name="$E$115">
            <a:extLst>
              <a:ext uri="{FF2B5EF4-FFF2-40B4-BE49-F238E27FC236}">
                <a16:creationId xmlns:a16="http://schemas.microsoft.com/office/drawing/2014/main" id="{34054268-0E7F-4B21-A4A3-C00DD2F6A119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9" name="$E$115">
            <a:extLst>
              <a:ext uri="{FF2B5EF4-FFF2-40B4-BE49-F238E27FC236}">
                <a16:creationId xmlns:a16="http://schemas.microsoft.com/office/drawing/2014/main" id="{F5B865A2-2F36-407B-8DF8-E1334AA452C3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0" name="$E$115">
            <a:extLst>
              <a:ext uri="{FF2B5EF4-FFF2-40B4-BE49-F238E27FC236}">
                <a16:creationId xmlns:a16="http://schemas.microsoft.com/office/drawing/2014/main" id="{291945D3-6275-4914-AB9B-5FB393E2B8C5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1" name="$E$115">
            <a:extLst>
              <a:ext uri="{FF2B5EF4-FFF2-40B4-BE49-F238E27FC236}">
                <a16:creationId xmlns:a16="http://schemas.microsoft.com/office/drawing/2014/main" id="{B5A97D29-4D27-4314-9915-DA3946557155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2" name="$E$115">
            <a:extLst>
              <a:ext uri="{FF2B5EF4-FFF2-40B4-BE49-F238E27FC236}">
                <a16:creationId xmlns:a16="http://schemas.microsoft.com/office/drawing/2014/main" id="{F00DB055-5089-4C84-9BDD-CA4E5FDED4B2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3" name="$E$115">
            <a:extLst>
              <a:ext uri="{FF2B5EF4-FFF2-40B4-BE49-F238E27FC236}">
                <a16:creationId xmlns:a16="http://schemas.microsoft.com/office/drawing/2014/main" id="{B09DDABE-E814-4719-9829-8190F44D4A95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4" name="$E$115">
            <a:extLst>
              <a:ext uri="{FF2B5EF4-FFF2-40B4-BE49-F238E27FC236}">
                <a16:creationId xmlns:a16="http://schemas.microsoft.com/office/drawing/2014/main" id="{D1301164-E88C-4CFF-91DF-8AA377DA6996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5" name="$E$115">
            <a:extLst>
              <a:ext uri="{FF2B5EF4-FFF2-40B4-BE49-F238E27FC236}">
                <a16:creationId xmlns:a16="http://schemas.microsoft.com/office/drawing/2014/main" id="{B1572CC1-E052-4297-A266-D6E9E43466E3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6" name="$E$115">
            <a:extLst>
              <a:ext uri="{FF2B5EF4-FFF2-40B4-BE49-F238E27FC236}">
                <a16:creationId xmlns:a16="http://schemas.microsoft.com/office/drawing/2014/main" id="{EFBD52D0-FA31-4755-9DAE-E889F4BD510D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7" name="$E$115">
            <a:extLst>
              <a:ext uri="{FF2B5EF4-FFF2-40B4-BE49-F238E27FC236}">
                <a16:creationId xmlns:a16="http://schemas.microsoft.com/office/drawing/2014/main" id="{B8C0F21C-8901-432A-BC98-E6DC7B8B1047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8" name="$E$115">
            <a:extLst>
              <a:ext uri="{FF2B5EF4-FFF2-40B4-BE49-F238E27FC236}">
                <a16:creationId xmlns:a16="http://schemas.microsoft.com/office/drawing/2014/main" id="{BEC264D4-24B7-496F-A9A6-F999DCD3CAA3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9" name="$E$115">
            <a:extLst>
              <a:ext uri="{FF2B5EF4-FFF2-40B4-BE49-F238E27FC236}">
                <a16:creationId xmlns:a16="http://schemas.microsoft.com/office/drawing/2014/main" id="{38874EE0-BB03-4FD8-83B7-B32ED9C0E124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0" name="$E$115">
            <a:extLst>
              <a:ext uri="{FF2B5EF4-FFF2-40B4-BE49-F238E27FC236}">
                <a16:creationId xmlns:a16="http://schemas.microsoft.com/office/drawing/2014/main" id="{A4DDF6B1-F462-47E1-863A-FE8FD9C41FFE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1" name="$E$115">
            <a:extLst>
              <a:ext uri="{FF2B5EF4-FFF2-40B4-BE49-F238E27FC236}">
                <a16:creationId xmlns:a16="http://schemas.microsoft.com/office/drawing/2014/main" id="{8DD571BC-07A0-44DA-AB21-B235BCC6F0DF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2" name="$E$115">
            <a:extLst>
              <a:ext uri="{FF2B5EF4-FFF2-40B4-BE49-F238E27FC236}">
                <a16:creationId xmlns:a16="http://schemas.microsoft.com/office/drawing/2014/main" id="{35AC38ED-6306-47A1-9A06-B3E1FB23A559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3" name="$E$115">
            <a:extLst>
              <a:ext uri="{FF2B5EF4-FFF2-40B4-BE49-F238E27FC236}">
                <a16:creationId xmlns:a16="http://schemas.microsoft.com/office/drawing/2014/main" id="{84EA2BDB-34C1-48C2-ADCC-7267A25C8A97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4" name="$E$115">
            <a:extLst>
              <a:ext uri="{FF2B5EF4-FFF2-40B4-BE49-F238E27FC236}">
                <a16:creationId xmlns:a16="http://schemas.microsoft.com/office/drawing/2014/main" id="{BA679B33-A33C-4FE8-99AF-BA3607DFC69F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5" name="$E$115">
            <a:extLst>
              <a:ext uri="{FF2B5EF4-FFF2-40B4-BE49-F238E27FC236}">
                <a16:creationId xmlns:a16="http://schemas.microsoft.com/office/drawing/2014/main" id="{B1520327-0F61-42D1-9FB2-2BEAE153B236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6" name="$E$115">
            <a:extLst>
              <a:ext uri="{FF2B5EF4-FFF2-40B4-BE49-F238E27FC236}">
                <a16:creationId xmlns:a16="http://schemas.microsoft.com/office/drawing/2014/main" id="{0C5A8A4F-BCBC-44CE-A5D0-2656FA3C662F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7" name="$E$115">
            <a:extLst>
              <a:ext uri="{FF2B5EF4-FFF2-40B4-BE49-F238E27FC236}">
                <a16:creationId xmlns:a16="http://schemas.microsoft.com/office/drawing/2014/main" id="{CAB71382-1FEA-475B-89E2-449C63AF3CC5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8" name="$E$115">
            <a:extLst>
              <a:ext uri="{FF2B5EF4-FFF2-40B4-BE49-F238E27FC236}">
                <a16:creationId xmlns:a16="http://schemas.microsoft.com/office/drawing/2014/main" id="{56DBB8BC-D61A-4F83-8F9E-B16C7D707688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9" name="$E$115">
            <a:extLst>
              <a:ext uri="{FF2B5EF4-FFF2-40B4-BE49-F238E27FC236}">
                <a16:creationId xmlns:a16="http://schemas.microsoft.com/office/drawing/2014/main" id="{72456DC8-D644-4713-9B2A-C5153A465F46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0" name="$E$115">
            <a:extLst>
              <a:ext uri="{FF2B5EF4-FFF2-40B4-BE49-F238E27FC236}">
                <a16:creationId xmlns:a16="http://schemas.microsoft.com/office/drawing/2014/main" id="{3E5055D5-C1A1-4561-8CB0-23B189D5CE63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1" name="$E$115">
            <a:extLst>
              <a:ext uri="{FF2B5EF4-FFF2-40B4-BE49-F238E27FC236}">
                <a16:creationId xmlns:a16="http://schemas.microsoft.com/office/drawing/2014/main" id="{BEBE642A-E65D-42C1-B09C-47EBAD889D1B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2" name="$E$115">
            <a:extLst>
              <a:ext uri="{FF2B5EF4-FFF2-40B4-BE49-F238E27FC236}">
                <a16:creationId xmlns:a16="http://schemas.microsoft.com/office/drawing/2014/main" id="{F8262E0C-4E69-4654-8D69-06C6CBCEB668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3" name="$E$115">
            <a:extLst>
              <a:ext uri="{FF2B5EF4-FFF2-40B4-BE49-F238E27FC236}">
                <a16:creationId xmlns:a16="http://schemas.microsoft.com/office/drawing/2014/main" id="{23EFD462-96E4-4AA5-814A-B9E508FF2F77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4" name="$E$115">
            <a:extLst>
              <a:ext uri="{FF2B5EF4-FFF2-40B4-BE49-F238E27FC236}">
                <a16:creationId xmlns:a16="http://schemas.microsoft.com/office/drawing/2014/main" id="{63A3A68F-8F93-4AA1-8DC3-D93273BE0BE7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5" name="$E$115">
            <a:extLst>
              <a:ext uri="{FF2B5EF4-FFF2-40B4-BE49-F238E27FC236}">
                <a16:creationId xmlns:a16="http://schemas.microsoft.com/office/drawing/2014/main" id="{5F1EB9EE-DCFD-4350-AA01-6C401A16B9CC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6" name="$E$115">
            <a:extLst>
              <a:ext uri="{FF2B5EF4-FFF2-40B4-BE49-F238E27FC236}">
                <a16:creationId xmlns:a16="http://schemas.microsoft.com/office/drawing/2014/main" id="{97258048-B220-4FCD-92BB-D0B42094D10F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7" name="$E$115">
            <a:extLst>
              <a:ext uri="{FF2B5EF4-FFF2-40B4-BE49-F238E27FC236}">
                <a16:creationId xmlns:a16="http://schemas.microsoft.com/office/drawing/2014/main" id="{68A2C760-C977-4598-934C-289287A8A5AE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8" name="$E$115">
            <a:extLst>
              <a:ext uri="{FF2B5EF4-FFF2-40B4-BE49-F238E27FC236}">
                <a16:creationId xmlns:a16="http://schemas.microsoft.com/office/drawing/2014/main" id="{BEADE6DA-FC54-4E34-98F8-AD94716EE277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9" name="$E$115">
            <a:extLst>
              <a:ext uri="{FF2B5EF4-FFF2-40B4-BE49-F238E27FC236}">
                <a16:creationId xmlns:a16="http://schemas.microsoft.com/office/drawing/2014/main" id="{00167E04-8520-4EA1-AE10-F4EF684ACA96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0" name="$E$115">
            <a:extLst>
              <a:ext uri="{FF2B5EF4-FFF2-40B4-BE49-F238E27FC236}">
                <a16:creationId xmlns:a16="http://schemas.microsoft.com/office/drawing/2014/main" id="{9770D3FF-9DC7-4AC2-873F-2C8C87B0D9F6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1" name="$E$115">
            <a:extLst>
              <a:ext uri="{FF2B5EF4-FFF2-40B4-BE49-F238E27FC236}">
                <a16:creationId xmlns:a16="http://schemas.microsoft.com/office/drawing/2014/main" id="{2108B59F-CA26-4FC3-88AD-D7FC2DA733B2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2" name="$E$115">
            <a:extLst>
              <a:ext uri="{FF2B5EF4-FFF2-40B4-BE49-F238E27FC236}">
                <a16:creationId xmlns:a16="http://schemas.microsoft.com/office/drawing/2014/main" id="{A54919B6-AF90-47B5-916D-0A76674377F3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3" name="$E$115">
            <a:extLst>
              <a:ext uri="{FF2B5EF4-FFF2-40B4-BE49-F238E27FC236}">
                <a16:creationId xmlns:a16="http://schemas.microsoft.com/office/drawing/2014/main" id="{ABB32A39-24BA-4A8E-B3E6-368363A41964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4" name="$E$115">
            <a:extLst>
              <a:ext uri="{FF2B5EF4-FFF2-40B4-BE49-F238E27FC236}">
                <a16:creationId xmlns:a16="http://schemas.microsoft.com/office/drawing/2014/main" id="{1056CCE1-5471-42D4-A557-F9E068C89787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5" name="$E$115">
            <a:extLst>
              <a:ext uri="{FF2B5EF4-FFF2-40B4-BE49-F238E27FC236}">
                <a16:creationId xmlns:a16="http://schemas.microsoft.com/office/drawing/2014/main" id="{8C960DA2-28D9-4D9F-8125-C0DEE94BBA64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6" name="$E$115">
            <a:extLst>
              <a:ext uri="{FF2B5EF4-FFF2-40B4-BE49-F238E27FC236}">
                <a16:creationId xmlns:a16="http://schemas.microsoft.com/office/drawing/2014/main" id="{2D1FD36B-7B94-419F-85D4-2B0B58916607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7" name="$E$115">
            <a:extLst>
              <a:ext uri="{FF2B5EF4-FFF2-40B4-BE49-F238E27FC236}">
                <a16:creationId xmlns:a16="http://schemas.microsoft.com/office/drawing/2014/main" id="{452313E5-EEAC-4106-A276-0C68317812E7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8" name="$E$115">
            <a:extLst>
              <a:ext uri="{FF2B5EF4-FFF2-40B4-BE49-F238E27FC236}">
                <a16:creationId xmlns:a16="http://schemas.microsoft.com/office/drawing/2014/main" id="{A8CED3C6-FBAD-4348-A147-D64AD1FC1C06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9" name="$E$115">
            <a:extLst>
              <a:ext uri="{FF2B5EF4-FFF2-40B4-BE49-F238E27FC236}">
                <a16:creationId xmlns:a16="http://schemas.microsoft.com/office/drawing/2014/main" id="{7E528326-E8F7-437A-BAE3-24DCEA2B7806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0" name="$E$115">
            <a:extLst>
              <a:ext uri="{FF2B5EF4-FFF2-40B4-BE49-F238E27FC236}">
                <a16:creationId xmlns:a16="http://schemas.microsoft.com/office/drawing/2014/main" id="{492E7F2C-2195-4674-8FCF-57E384A91E86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1" name="$E$115">
            <a:extLst>
              <a:ext uri="{FF2B5EF4-FFF2-40B4-BE49-F238E27FC236}">
                <a16:creationId xmlns:a16="http://schemas.microsoft.com/office/drawing/2014/main" id="{C6E39C4C-C406-4E65-B497-410BD4157D83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2" name="$E$115">
            <a:extLst>
              <a:ext uri="{FF2B5EF4-FFF2-40B4-BE49-F238E27FC236}">
                <a16:creationId xmlns:a16="http://schemas.microsoft.com/office/drawing/2014/main" id="{20918207-DBBF-4809-BB9E-C277D5DA1C6F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3" name="$E$115">
            <a:extLst>
              <a:ext uri="{FF2B5EF4-FFF2-40B4-BE49-F238E27FC236}">
                <a16:creationId xmlns:a16="http://schemas.microsoft.com/office/drawing/2014/main" id="{93014997-52F0-4BAA-A87F-48E29048536C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4" name="$E$115">
            <a:extLst>
              <a:ext uri="{FF2B5EF4-FFF2-40B4-BE49-F238E27FC236}">
                <a16:creationId xmlns:a16="http://schemas.microsoft.com/office/drawing/2014/main" id="{9E6715A5-4EA2-4427-8FCC-9B33EBD66619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5" name="$E$115">
            <a:extLst>
              <a:ext uri="{FF2B5EF4-FFF2-40B4-BE49-F238E27FC236}">
                <a16:creationId xmlns:a16="http://schemas.microsoft.com/office/drawing/2014/main" id="{C1DE28B8-A8D9-415A-A9A7-AFD50771638B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6" name="$E$115">
            <a:extLst>
              <a:ext uri="{FF2B5EF4-FFF2-40B4-BE49-F238E27FC236}">
                <a16:creationId xmlns:a16="http://schemas.microsoft.com/office/drawing/2014/main" id="{A4BBFC6F-ECBA-4ECB-8469-EDE3E8266843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7" name="$E$115">
            <a:extLst>
              <a:ext uri="{FF2B5EF4-FFF2-40B4-BE49-F238E27FC236}">
                <a16:creationId xmlns:a16="http://schemas.microsoft.com/office/drawing/2014/main" id="{8DAD0FAF-2655-4AD6-A4FE-4252E8163A2C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8" name="$E$115">
            <a:extLst>
              <a:ext uri="{FF2B5EF4-FFF2-40B4-BE49-F238E27FC236}">
                <a16:creationId xmlns:a16="http://schemas.microsoft.com/office/drawing/2014/main" id="{1A522242-3E53-43E8-92D2-6D1C07434455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9" name="$E$115">
            <a:extLst>
              <a:ext uri="{FF2B5EF4-FFF2-40B4-BE49-F238E27FC236}">
                <a16:creationId xmlns:a16="http://schemas.microsoft.com/office/drawing/2014/main" id="{3E13234E-7743-42E3-A584-8D84763C2F94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0" name="$E$115">
            <a:extLst>
              <a:ext uri="{FF2B5EF4-FFF2-40B4-BE49-F238E27FC236}">
                <a16:creationId xmlns:a16="http://schemas.microsoft.com/office/drawing/2014/main" id="{0992CC66-25E6-411E-8D00-44D02068F4DE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1" name="$E$115">
            <a:extLst>
              <a:ext uri="{FF2B5EF4-FFF2-40B4-BE49-F238E27FC236}">
                <a16:creationId xmlns:a16="http://schemas.microsoft.com/office/drawing/2014/main" id="{D3BBD09E-1AA2-476D-91FE-EA8B189C835B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2" name="$E$115">
            <a:extLst>
              <a:ext uri="{FF2B5EF4-FFF2-40B4-BE49-F238E27FC236}">
                <a16:creationId xmlns:a16="http://schemas.microsoft.com/office/drawing/2014/main" id="{C518FEBD-3A33-4438-AA12-55ADC1E079BD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3" name="$E$115">
            <a:extLst>
              <a:ext uri="{FF2B5EF4-FFF2-40B4-BE49-F238E27FC236}">
                <a16:creationId xmlns:a16="http://schemas.microsoft.com/office/drawing/2014/main" id="{5AAA8E72-11B9-4D28-B13E-240B0C6D5CF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4" name="$E$115">
            <a:extLst>
              <a:ext uri="{FF2B5EF4-FFF2-40B4-BE49-F238E27FC236}">
                <a16:creationId xmlns:a16="http://schemas.microsoft.com/office/drawing/2014/main" id="{8D17CC65-E4FE-463E-9F76-E0A319D36A89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MEDIC@" TargetMode="External"/><Relationship Id="rId18" Type="http://schemas.openxmlformats.org/officeDocument/2006/relationships/hyperlink" Target="mailto:MEDIC@" TargetMode="External"/><Relationship Id="rId26" Type="http://schemas.openxmlformats.org/officeDocument/2006/relationships/hyperlink" Target="mailto:jalexenriquez@hotmail.com" TargetMode="External"/><Relationship Id="rId3" Type="http://schemas.openxmlformats.org/officeDocument/2006/relationships/hyperlink" Target="mailto:mariafernandatrejo25@outlook.com" TargetMode="External"/><Relationship Id="rId21" Type="http://schemas.openxmlformats.org/officeDocument/2006/relationships/hyperlink" Target="mailto:MEDIC@" TargetMode="External"/><Relationship Id="rId34" Type="http://schemas.openxmlformats.org/officeDocument/2006/relationships/hyperlink" Target="mailto:MEDIC@" TargetMode="External"/><Relationship Id="rId7" Type="http://schemas.openxmlformats.org/officeDocument/2006/relationships/hyperlink" Target="mailto:PSICOLOG@" TargetMode="External"/><Relationship Id="rId12" Type="http://schemas.openxmlformats.org/officeDocument/2006/relationships/hyperlink" Target="mailto:MEDIC@" TargetMode="External"/><Relationship Id="rId17" Type="http://schemas.openxmlformats.org/officeDocument/2006/relationships/hyperlink" Target="mailto:MEDIC@" TargetMode="External"/><Relationship Id="rId25" Type="http://schemas.openxmlformats.org/officeDocument/2006/relationships/hyperlink" Target="mailto:MEDIC@" TargetMode="External"/><Relationship Id="rId33" Type="http://schemas.openxmlformats.org/officeDocument/2006/relationships/hyperlink" Target="mailto:MEDIC@" TargetMode="External"/><Relationship Id="rId2" Type="http://schemas.openxmlformats.org/officeDocument/2006/relationships/hyperlink" Target="mailto:joseluban1985@gmail.com" TargetMode="External"/><Relationship Id="rId16" Type="http://schemas.openxmlformats.org/officeDocument/2006/relationships/hyperlink" Target="mailto:Delgadoperezadrianadelpilar@gmail.com" TargetMode="External"/><Relationship Id="rId20" Type="http://schemas.openxmlformats.org/officeDocument/2006/relationships/hyperlink" Target="mailto:MEDIC@" TargetMode="External"/><Relationship Id="rId29" Type="http://schemas.openxmlformats.org/officeDocument/2006/relationships/hyperlink" Target="mailto:MEDIC@" TargetMode="External"/><Relationship Id="rId1" Type="http://schemas.openxmlformats.org/officeDocument/2006/relationships/hyperlink" Target="mailto:MEDIC@" TargetMode="External"/><Relationship Id="rId6" Type="http://schemas.openxmlformats.org/officeDocument/2006/relationships/hyperlink" Target="mailto:PSICOLOG@" TargetMode="External"/><Relationship Id="rId11" Type="http://schemas.openxmlformats.org/officeDocument/2006/relationships/hyperlink" Target="mailto:Destiven97@gmail.com" TargetMode="External"/><Relationship Id="rId24" Type="http://schemas.openxmlformats.org/officeDocument/2006/relationships/hyperlink" Target="mailto:gabrielperezr@hotmail.com" TargetMode="External"/><Relationship Id="rId32" Type="http://schemas.openxmlformats.org/officeDocument/2006/relationships/hyperlink" Target="mailto:MEDIC@" TargetMode="External"/><Relationship Id="rId5" Type="http://schemas.openxmlformats.org/officeDocument/2006/relationships/hyperlink" Target="mailto:PSICOLOG@" TargetMode="External"/><Relationship Id="rId15" Type="http://schemas.openxmlformats.org/officeDocument/2006/relationships/hyperlink" Target="mailto:PSICOLOG@" TargetMode="External"/><Relationship Id="rId23" Type="http://schemas.openxmlformats.org/officeDocument/2006/relationships/hyperlink" Target="mailto:MEDIC@" TargetMode="External"/><Relationship Id="rId28" Type="http://schemas.openxmlformats.org/officeDocument/2006/relationships/hyperlink" Target="mailto:PSICOLOG@" TargetMode="External"/><Relationship Id="rId36" Type="http://schemas.openxmlformats.org/officeDocument/2006/relationships/printerSettings" Target="../printerSettings/printerSettings1.bin"/><Relationship Id="rId10" Type="http://schemas.openxmlformats.org/officeDocument/2006/relationships/hyperlink" Target="mailto:PSICOLOG@" TargetMode="External"/><Relationship Id="rId19" Type="http://schemas.openxmlformats.org/officeDocument/2006/relationships/hyperlink" Target="mailto:MEDIC@" TargetMode="External"/><Relationship Id="rId31" Type="http://schemas.openxmlformats.org/officeDocument/2006/relationships/hyperlink" Target="mailto:PSICOLOG@" TargetMode="External"/><Relationship Id="rId4" Type="http://schemas.openxmlformats.org/officeDocument/2006/relationships/hyperlink" Target="mailto:PSICOLOG@" TargetMode="External"/><Relationship Id="rId9" Type="http://schemas.openxmlformats.org/officeDocument/2006/relationships/hyperlink" Target="mailto:PSICOLOG@" TargetMode="External"/><Relationship Id="rId14" Type="http://schemas.openxmlformats.org/officeDocument/2006/relationships/hyperlink" Target="mailto:PSICOLOG@" TargetMode="External"/><Relationship Id="rId22" Type="http://schemas.openxmlformats.org/officeDocument/2006/relationships/hyperlink" Target="mailto:MEDIC@" TargetMode="External"/><Relationship Id="rId27" Type="http://schemas.openxmlformats.org/officeDocument/2006/relationships/hyperlink" Target="mailto:PSICOLOG@" TargetMode="External"/><Relationship Id="rId30" Type="http://schemas.openxmlformats.org/officeDocument/2006/relationships/hyperlink" Target="mailto:MEDIC@" TargetMode="External"/><Relationship Id="rId35" Type="http://schemas.openxmlformats.org/officeDocument/2006/relationships/hyperlink" Target="mailto:MEDIC@" TargetMode="External"/><Relationship Id="rId8" Type="http://schemas.openxmlformats.org/officeDocument/2006/relationships/hyperlink" Target="mailto:PSICOLOG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centrodecapacitaciondelsur.com/soporte-basico-de-vida-" TargetMode="External"/><Relationship Id="rId299" Type="http://schemas.openxmlformats.org/officeDocument/2006/relationships/hyperlink" Target="https://centrodecapacitaciondelsur.com/soporte-basico-de-vida-" TargetMode="External"/><Relationship Id="rId21" Type="http://schemas.openxmlformats.org/officeDocument/2006/relationships/hyperlink" Target="https://centrodecapacitaciondelsur.com/soporte-basico-de-vida-" TargetMode="External"/><Relationship Id="rId63" Type="http://schemas.openxmlformats.org/officeDocument/2006/relationships/hyperlink" Target="https://centrodecapacitaciondelsur.com/soporte-basico-de-vida-" TargetMode="External"/><Relationship Id="rId159" Type="http://schemas.openxmlformats.org/officeDocument/2006/relationships/hyperlink" Target="https://centrodecapacitaciondelsur.com/soporte-basico-de-vida-" TargetMode="External"/><Relationship Id="rId170" Type="http://schemas.openxmlformats.org/officeDocument/2006/relationships/hyperlink" Target="https://centrodecapacitaciondelsur.com/soporte-basico-de-vida-" TargetMode="External"/><Relationship Id="rId226" Type="http://schemas.openxmlformats.org/officeDocument/2006/relationships/hyperlink" Target="https://centrodecapacitaciondelsur.com/soporte-basico-de-vida-" TargetMode="External"/><Relationship Id="rId268" Type="http://schemas.openxmlformats.org/officeDocument/2006/relationships/hyperlink" Target="https://centrodecapacitaciondelsur.com/soporte-basico-de-vida-" TargetMode="External"/><Relationship Id="rId32" Type="http://schemas.openxmlformats.org/officeDocument/2006/relationships/hyperlink" Target="https://centrodecapacitaciondelsur.com/soporte-basico-de-vida-" TargetMode="External"/><Relationship Id="rId74" Type="http://schemas.openxmlformats.org/officeDocument/2006/relationships/hyperlink" Target="https://centrodecapacitaciondelsur.com/soporte-basico-de-vida-" TargetMode="External"/><Relationship Id="rId128" Type="http://schemas.openxmlformats.org/officeDocument/2006/relationships/hyperlink" Target="https://centrodecapacitaciondelsur.com/soporte-basico-de-vida-" TargetMode="External"/><Relationship Id="rId5" Type="http://schemas.openxmlformats.org/officeDocument/2006/relationships/hyperlink" Target="https://centrodecapacitaciondelsur.com/soporte-basico-de-vida-" TargetMode="External"/><Relationship Id="rId181" Type="http://schemas.openxmlformats.org/officeDocument/2006/relationships/hyperlink" Target="https://centrodecapacitaciondelsur.com/soporte-basico-de-vida-" TargetMode="External"/><Relationship Id="rId237" Type="http://schemas.openxmlformats.org/officeDocument/2006/relationships/hyperlink" Target="https://centrodecapacitaciondelsur.com/soporte-basico-de-vida-" TargetMode="External"/><Relationship Id="rId279" Type="http://schemas.openxmlformats.org/officeDocument/2006/relationships/hyperlink" Target="https://centrodecapacitaciondelsur.com/soporte-basico-de-vida-" TargetMode="External"/><Relationship Id="rId43" Type="http://schemas.openxmlformats.org/officeDocument/2006/relationships/hyperlink" Target="https://centrodecapacitaciondelsur.com/soporte-basico-de-vida-" TargetMode="External"/><Relationship Id="rId139" Type="http://schemas.openxmlformats.org/officeDocument/2006/relationships/hyperlink" Target="https://centrodecapacitaciondelsur.com/soporte-basico-de-vida-" TargetMode="External"/><Relationship Id="rId290" Type="http://schemas.openxmlformats.org/officeDocument/2006/relationships/hyperlink" Target="https://centrodecapacitaciondelsur.com/soporte-basico-de-vida-" TargetMode="External"/><Relationship Id="rId304" Type="http://schemas.openxmlformats.org/officeDocument/2006/relationships/hyperlink" Target="https://centrodecapacitaciondelsur.com/soporte-basico-de-vida-" TargetMode="External"/><Relationship Id="rId85" Type="http://schemas.openxmlformats.org/officeDocument/2006/relationships/hyperlink" Target="https://centrodecapacitaciondelsur.com/soporte-basico-de-vida-" TargetMode="External"/><Relationship Id="rId150" Type="http://schemas.openxmlformats.org/officeDocument/2006/relationships/hyperlink" Target="https://centrodecapacitaciondelsur.com/soporte-basico-de-vida-" TargetMode="External"/><Relationship Id="rId192" Type="http://schemas.openxmlformats.org/officeDocument/2006/relationships/hyperlink" Target="https://centrodecapacitaciondelsur.com/soporte-basico-de-vida-" TargetMode="External"/><Relationship Id="rId206" Type="http://schemas.openxmlformats.org/officeDocument/2006/relationships/hyperlink" Target="https://centrodecapacitaciondelsur.com/soporte-basico-de-vida-" TargetMode="External"/><Relationship Id="rId248" Type="http://schemas.openxmlformats.org/officeDocument/2006/relationships/hyperlink" Target="https://centrodecapacitaciondelsur.com/soporte-basico-de-vida-" TargetMode="External"/><Relationship Id="rId12" Type="http://schemas.openxmlformats.org/officeDocument/2006/relationships/hyperlink" Target="https://centrodecapacitaciondelsur.com/soporte-basico-de-vida-" TargetMode="External"/><Relationship Id="rId108" Type="http://schemas.openxmlformats.org/officeDocument/2006/relationships/hyperlink" Target="https://centrodecapacitaciondelsur.com/soporte-basico-de-vida-" TargetMode="External"/><Relationship Id="rId315" Type="http://schemas.openxmlformats.org/officeDocument/2006/relationships/hyperlink" Target="https://centrodecapacitaciondelsur.com/soporte-basico-de-vida-" TargetMode="External"/><Relationship Id="rId54" Type="http://schemas.openxmlformats.org/officeDocument/2006/relationships/hyperlink" Target="https://centrodecapacitaciondelsur.com/soporte-basico-de-vida-" TargetMode="External"/><Relationship Id="rId96" Type="http://schemas.openxmlformats.org/officeDocument/2006/relationships/hyperlink" Target="https://centrodecapacitaciondelsur.com/soporte-basico-de-vida-" TargetMode="External"/><Relationship Id="rId161" Type="http://schemas.openxmlformats.org/officeDocument/2006/relationships/hyperlink" Target="https://centrodecapacitaciondelsur.com/soporte-basico-de-vida-" TargetMode="External"/><Relationship Id="rId217" Type="http://schemas.openxmlformats.org/officeDocument/2006/relationships/hyperlink" Target="https://centrodecapacitaciondelsur.com/soporte-basico-de-vida-" TargetMode="External"/><Relationship Id="rId259" Type="http://schemas.openxmlformats.org/officeDocument/2006/relationships/hyperlink" Target="https://centrodecapacitaciondelsur.com/soporte-basico-de-vida-" TargetMode="External"/><Relationship Id="rId23" Type="http://schemas.openxmlformats.org/officeDocument/2006/relationships/hyperlink" Target="https://centrodecapacitaciondelsur.com/soporte-basico-de-vida-" TargetMode="External"/><Relationship Id="rId119" Type="http://schemas.openxmlformats.org/officeDocument/2006/relationships/hyperlink" Target="https://centrodecapacitaciondelsur.com/soporte-basico-de-vida-" TargetMode="External"/><Relationship Id="rId270" Type="http://schemas.openxmlformats.org/officeDocument/2006/relationships/hyperlink" Target="https://centrodecapacitaciondelsur.com/soporte-basico-de-vida-" TargetMode="External"/><Relationship Id="rId65" Type="http://schemas.openxmlformats.org/officeDocument/2006/relationships/hyperlink" Target="https://centrodecapacitaciondelsur.com/soporte-basico-de-vida-" TargetMode="External"/><Relationship Id="rId130" Type="http://schemas.openxmlformats.org/officeDocument/2006/relationships/hyperlink" Target="https://centrodecapacitaciondelsur.com/soporte-basico-de-vida-" TargetMode="External"/><Relationship Id="rId172" Type="http://schemas.openxmlformats.org/officeDocument/2006/relationships/hyperlink" Target="https://centrodecapacitaciondelsur.com/soporte-basico-de-vida-" TargetMode="External"/><Relationship Id="rId228" Type="http://schemas.openxmlformats.org/officeDocument/2006/relationships/hyperlink" Target="https://centrodecapacitaciondelsur.com/soporte-basico-de-vida-" TargetMode="External"/><Relationship Id="rId13" Type="http://schemas.openxmlformats.org/officeDocument/2006/relationships/hyperlink" Target="https://centrodecapacitaciondelsur.com/soporte-basico-de-vida-" TargetMode="External"/><Relationship Id="rId109" Type="http://schemas.openxmlformats.org/officeDocument/2006/relationships/hyperlink" Target="https://centrodecapacitaciondelsur.com/soporte-basico-de-vida-" TargetMode="External"/><Relationship Id="rId260" Type="http://schemas.openxmlformats.org/officeDocument/2006/relationships/hyperlink" Target="https://centrodecapacitaciondelsur.com/soporte-basico-de-vida-" TargetMode="External"/><Relationship Id="rId281" Type="http://schemas.openxmlformats.org/officeDocument/2006/relationships/hyperlink" Target="https://centrodecapacitaciondelsur.com/soporte-basico-de-vida-" TargetMode="External"/><Relationship Id="rId316" Type="http://schemas.openxmlformats.org/officeDocument/2006/relationships/hyperlink" Target="https://centrodecapacitaciondelsur.com/soporte-basico-de-vida-" TargetMode="External"/><Relationship Id="rId34" Type="http://schemas.openxmlformats.org/officeDocument/2006/relationships/hyperlink" Target="https://centrodecapacitaciondelsur.com/soporte-basico-de-vida-" TargetMode="External"/><Relationship Id="rId55" Type="http://schemas.openxmlformats.org/officeDocument/2006/relationships/hyperlink" Target="https://centrodecapacitaciondelsur.com/soporte-basico-de-vida-" TargetMode="External"/><Relationship Id="rId76" Type="http://schemas.openxmlformats.org/officeDocument/2006/relationships/hyperlink" Target="https://centrodecapacitaciondelsur.com/soporte-basico-de-vida-" TargetMode="External"/><Relationship Id="rId97" Type="http://schemas.openxmlformats.org/officeDocument/2006/relationships/hyperlink" Target="https://centrodecapacitaciondelsur.com/soporte-basico-de-vida-" TargetMode="External"/><Relationship Id="rId120" Type="http://schemas.openxmlformats.org/officeDocument/2006/relationships/hyperlink" Target="https://centrodecapacitaciondelsur.com/soporte-basico-de-vida-" TargetMode="External"/><Relationship Id="rId141" Type="http://schemas.openxmlformats.org/officeDocument/2006/relationships/hyperlink" Target="https://centrodecapacitaciondelsur.com/soporte-basico-de-vida-" TargetMode="External"/><Relationship Id="rId7" Type="http://schemas.openxmlformats.org/officeDocument/2006/relationships/hyperlink" Target="https://centrodecapacitaciondelsur.com/soporte-basico-de-vida-" TargetMode="External"/><Relationship Id="rId162" Type="http://schemas.openxmlformats.org/officeDocument/2006/relationships/hyperlink" Target="https://centrodecapacitaciondelsur.com/soporte-basico-de-vida-" TargetMode="External"/><Relationship Id="rId183" Type="http://schemas.openxmlformats.org/officeDocument/2006/relationships/hyperlink" Target="https://centrodecapacitaciondelsur.com/soporte-basico-de-vida-" TargetMode="External"/><Relationship Id="rId218" Type="http://schemas.openxmlformats.org/officeDocument/2006/relationships/hyperlink" Target="https://centrodecapacitaciondelsur.com/soporte-basico-de-vida-" TargetMode="External"/><Relationship Id="rId239" Type="http://schemas.openxmlformats.org/officeDocument/2006/relationships/hyperlink" Target="https://centrodecapacitaciondelsur.com/soporte-basico-de-vida-" TargetMode="External"/><Relationship Id="rId250" Type="http://schemas.openxmlformats.org/officeDocument/2006/relationships/hyperlink" Target="https://centrodecapacitaciondelsur.com/soporte-basico-de-vida-" TargetMode="External"/><Relationship Id="rId271" Type="http://schemas.openxmlformats.org/officeDocument/2006/relationships/hyperlink" Target="https://centrodecapacitaciondelsur.com/soporte-basico-de-vida-" TargetMode="External"/><Relationship Id="rId292" Type="http://schemas.openxmlformats.org/officeDocument/2006/relationships/hyperlink" Target="https://centrodecapacitaciondelsur.com/soporte-basico-de-vida-" TargetMode="External"/><Relationship Id="rId306" Type="http://schemas.openxmlformats.org/officeDocument/2006/relationships/hyperlink" Target="https://centrodecapacitaciondelsur.com/soporte-basico-de-vida-" TargetMode="External"/><Relationship Id="rId24" Type="http://schemas.openxmlformats.org/officeDocument/2006/relationships/hyperlink" Target="https://centrodecapacitaciondelsur.com/soporte-basico-de-vida-" TargetMode="External"/><Relationship Id="rId45" Type="http://schemas.openxmlformats.org/officeDocument/2006/relationships/hyperlink" Target="https://centrodecapacitaciondelsur.com/soporte-basico-de-vida-" TargetMode="External"/><Relationship Id="rId66" Type="http://schemas.openxmlformats.org/officeDocument/2006/relationships/hyperlink" Target="https://centrodecapacitaciondelsur.com/soporte-basico-de-vida-" TargetMode="External"/><Relationship Id="rId87" Type="http://schemas.openxmlformats.org/officeDocument/2006/relationships/hyperlink" Target="https://centrodecapacitaciondelsur.com/soporte-basico-de-vida-" TargetMode="External"/><Relationship Id="rId110" Type="http://schemas.openxmlformats.org/officeDocument/2006/relationships/hyperlink" Target="https://centrodecapacitaciondelsur.com/soporte-basico-de-vida-" TargetMode="External"/><Relationship Id="rId131" Type="http://schemas.openxmlformats.org/officeDocument/2006/relationships/hyperlink" Target="https://centrodecapacitaciondelsur.com/soporte-basico-de-vida-" TargetMode="External"/><Relationship Id="rId152" Type="http://schemas.openxmlformats.org/officeDocument/2006/relationships/hyperlink" Target="https://centrodecapacitaciondelsur.com/soporte-basico-de-vida-" TargetMode="External"/><Relationship Id="rId173" Type="http://schemas.openxmlformats.org/officeDocument/2006/relationships/hyperlink" Target="https://centrodecapacitaciondelsur.com/soporte-basico-de-vida-" TargetMode="External"/><Relationship Id="rId194" Type="http://schemas.openxmlformats.org/officeDocument/2006/relationships/hyperlink" Target="https://centrodecapacitaciondelsur.com/soporte-basico-de-vida-" TargetMode="External"/><Relationship Id="rId208" Type="http://schemas.openxmlformats.org/officeDocument/2006/relationships/hyperlink" Target="https://centrodecapacitaciondelsur.com/soporte-basico-de-vida-" TargetMode="External"/><Relationship Id="rId229" Type="http://schemas.openxmlformats.org/officeDocument/2006/relationships/hyperlink" Target="https://centrodecapacitaciondelsur.com/soporte-basico-de-vida-" TargetMode="External"/><Relationship Id="rId240" Type="http://schemas.openxmlformats.org/officeDocument/2006/relationships/hyperlink" Target="https://centrodecapacitaciondelsur.com/soporte-basico-de-vida-" TargetMode="External"/><Relationship Id="rId261" Type="http://schemas.openxmlformats.org/officeDocument/2006/relationships/hyperlink" Target="https://centrodecapacitaciondelsur.com/soporte-basico-de-vida-" TargetMode="External"/><Relationship Id="rId14" Type="http://schemas.openxmlformats.org/officeDocument/2006/relationships/hyperlink" Target="https://centrodecapacitaciondelsur.com/soporte-basico-de-vida-" TargetMode="External"/><Relationship Id="rId35" Type="http://schemas.openxmlformats.org/officeDocument/2006/relationships/hyperlink" Target="https://centrodecapacitaciondelsur.com/soporte-basico-de-vida-" TargetMode="External"/><Relationship Id="rId56" Type="http://schemas.openxmlformats.org/officeDocument/2006/relationships/hyperlink" Target="https://centrodecapacitaciondelsur.com/soporte-basico-de-vida-" TargetMode="External"/><Relationship Id="rId77" Type="http://schemas.openxmlformats.org/officeDocument/2006/relationships/hyperlink" Target="https://centrodecapacitaciondelsur.com/soporte-basico-de-vida-" TargetMode="External"/><Relationship Id="rId100" Type="http://schemas.openxmlformats.org/officeDocument/2006/relationships/hyperlink" Target="https://centrodecapacitaciondelsur.com/soporte-basico-de-vida-" TargetMode="External"/><Relationship Id="rId282" Type="http://schemas.openxmlformats.org/officeDocument/2006/relationships/hyperlink" Target="https://centrodecapacitaciondelsur.com/soporte-basico-de-vida-" TargetMode="External"/><Relationship Id="rId317" Type="http://schemas.openxmlformats.org/officeDocument/2006/relationships/hyperlink" Target="https://centrodecapacitaciondelsur.com/soporte-basico-de-vida-" TargetMode="External"/><Relationship Id="rId8" Type="http://schemas.openxmlformats.org/officeDocument/2006/relationships/hyperlink" Target="https://centrodecapacitaciondelsur.com/soporte-basico-de-vida-" TargetMode="External"/><Relationship Id="rId98" Type="http://schemas.openxmlformats.org/officeDocument/2006/relationships/hyperlink" Target="https://centrodecapacitaciondelsur.com/soporte-basico-de-vida-" TargetMode="External"/><Relationship Id="rId121" Type="http://schemas.openxmlformats.org/officeDocument/2006/relationships/hyperlink" Target="https://centrodecapacitaciondelsur.com/soporte-basico-de-vida-" TargetMode="External"/><Relationship Id="rId142" Type="http://schemas.openxmlformats.org/officeDocument/2006/relationships/hyperlink" Target="https://centrodecapacitaciondelsur.com/soporte-basico-de-vida-" TargetMode="External"/><Relationship Id="rId163" Type="http://schemas.openxmlformats.org/officeDocument/2006/relationships/hyperlink" Target="https://centrodecapacitaciondelsur.com/soporte-basico-de-vida-" TargetMode="External"/><Relationship Id="rId184" Type="http://schemas.openxmlformats.org/officeDocument/2006/relationships/hyperlink" Target="https://centrodecapacitaciondelsur.com/soporte-basico-de-vida-" TargetMode="External"/><Relationship Id="rId219" Type="http://schemas.openxmlformats.org/officeDocument/2006/relationships/hyperlink" Target="https://centrodecapacitaciondelsur.com/soporte-basico-de-vida-" TargetMode="External"/><Relationship Id="rId230" Type="http://schemas.openxmlformats.org/officeDocument/2006/relationships/hyperlink" Target="https://centrodecapacitaciondelsur.com/soporte-basico-de-vida-" TargetMode="External"/><Relationship Id="rId251" Type="http://schemas.openxmlformats.org/officeDocument/2006/relationships/hyperlink" Target="https://centrodecapacitaciondelsur.com/soporte-basico-de-vida-" TargetMode="External"/><Relationship Id="rId25" Type="http://schemas.openxmlformats.org/officeDocument/2006/relationships/hyperlink" Target="https://centrodecapacitaciondelsur.com/soporte-basico-de-vida-" TargetMode="External"/><Relationship Id="rId46" Type="http://schemas.openxmlformats.org/officeDocument/2006/relationships/hyperlink" Target="https://centrodecapacitaciondelsur.com/soporte-basico-de-vida-" TargetMode="External"/><Relationship Id="rId67" Type="http://schemas.openxmlformats.org/officeDocument/2006/relationships/hyperlink" Target="https://centrodecapacitaciondelsur.com/soporte-basico-de-vida-" TargetMode="External"/><Relationship Id="rId272" Type="http://schemas.openxmlformats.org/officeDocument/2006/relationships/hyperlink" Target="https://centrodecapacitaciondelsur.com/soporte-basico-de-vida-" TargetMode="External"/><Relationship Id="rId293" Type="http://schemas.openxmlformats.org/officeDocument/2006/relationships/hyperlink" Target="https://centrodecapacitaciondelsur.com/soporte-basico-de-vida-" TargetMode="External"/><Relationship Id="rId307" Type="http://schemas.openxmlformats.org/officeDocument/2006/relationships/hyperlink" Target="https://centrodecapacitaciondelsur.com/soporte-basico-de-vida-" TargetMode="External"/><Relationship Id="rId88" Type="http://schemas.openxmlformats.org/officeDocument/2006/relationships/hyperlink" Target="https://centrodecapacitaciondelsur.com/soporte-basico-de-vida-" TargetMode="External"/><Relationship Id="rId111" Type="http://schemas.openxmlformats.org/officeDocument/2006/relationships/hyperlink" Target="https://centrodecapacitaciondelsur.com/soporte-basico-de-vida-" TargetMode="External"/><Relationship Id="rId132" Type="http://schemas.openxmlformats.org/officeDocument/2006/relationships/hyperlink" Target="https://centrodecapacitaciondelsur.com/soporte-basico-de-vida-" TargetMode="External"/><Relationship Id="rId153" Type="http://schemas.openxmlformats.org/officeDocument/2006/relationships/hyperlink" Target="https://centrodecapacitaciondelsur.com/soporte-basico-de-vida-" TargetMode="External"/><Relationship Id="rId174" Type="http://schemas.openxmlformats.org/officeDocument/2006/relationships/hyperlink" Target="https://centrodecapacitaciondelsur.com/soporte-basico-de-vida-" TargetMode="External"/><Relationship Id="rId195" Type="http://schemas.openxmlformats.org/officeDocument/2006/relationships/hyperlink" Target="https://centrodecapacitaciondelsur.com/soporte-basico-de-vida-" TargetMode="External"/><Relationship Id="rId209" Type="http://schemas.openxmlformats.org/officeDocument/2006/relationships/hyperlink" Target="https://centrodecapacitaciondelsur.com/soporte-basico-de-vida-" TargetMode="External"/><Relationship Id="rId220" Type="http://schemas.openxmlformats.org/officeDocument/2006/relationships/hyperlink" Target="https://centrodecapacitaciondelsur.com/soporte-basico-de-vida-" TargetMode="External"/><Relationship Id="rId241" Type="http://schemas.openxmlformats.org/officeDocument/2006/relationships/hyperlink" Target="https://centrodecapacitaciondelsur.com/soporte-basico-de-vida-" TargetMode="External"/><Relationship Id="rId15" Type="http://schemas.openxmlformats.org/officeDocument/2006/relationships/hyperlink" Target="https://centrodecapacitaciondelsur.com/soporte-basico-de-vida-" TargetMode="External"/><Relationship Id="rId36" Type="http://schemas.openxmlformats.org/officeDocument/2006/relationships/hyperlink" Target="https://centrodecapacitaciondelsur.com/soporte-basico-de-vida-" TargetMode="External"/><Relationship Id="rId57" Type="http://schemas.openxmlformats.org/officeDocument/2006/relationships/hyperlink" Target="https://centrodecapacitaciondelsur.com/soporte-basico-de-vida-" TargetMode="External"/><Relationship Id="rId262" Type="http://schemas.openxmlformats.org/officeDocument/2006/relationships/hyperlink" Target="https://centrodecapacitaciondelsur.com/soporte-basico-de-vida-" TargetMode="External"/><Relationship Id="rId283" Type="http://schemas.openxmlformats.org/officeDocument/2006/relationships/hyperlink" Target="https://centrodecapacitaciondelsur.com/soporte-basico-de-vida-" TargetMode="External"/><Relationship Id="rId318" Type="http://schemas.openxmlformats.org/officeDocument/2006/relationships/hyperlink" Target="https://centrodecapacitaciondelsur.com/soporte-basico-de-vida-" TargetMode="External"/><Relationship Id="rId78" Type="http://schemas.openxmlformats.org/officeDocument/2006/relationships/hyperlink" Target="https://centrodecapacitaciondelsur.com/soporte-basico-de-vida-" TargetMode="External"/><Relationship Id="rId99" Type="http://schemas.openxmlformats.org/officeDocument/2006/relationships/hyperlink" Target="https://centrodecapacitaciondelsur.com/soporte-basico-de-vida-" TargetMode="External"/><Relationship Id="rId101" Type="http://schemas.openxmlformats.org/officeDocument/2006/relationships/hyperlink" Target="https://centrodecapacitaciondelsur.com/soporte-basico-de-vida-" TargetMode="External"/><Relationship Id="rId122" Type="http://schemas.openxmlformats.org/officeDocument/2006/relationships/hyperlink" Target="https://centrodecapacitaciondelsur.com/soporte-basico-de-vida-" TargetMode="External"/><Relationship Id="rId143" Type="http://schemas.openxmlformats.org/officeDocument/2006/relationships/hyperlink" Target="https://centrodecapacitaciondelsur.com/soporte-basico-de-vida-" TargetMode="External"/><Relationship Id="rId164" Type="http://schemas.openxmlformats.org/officeDocument/2006/relationships/hyperlink" Target="https://centrodecapacitaciondelsur.com/soporte-basico-de-vida-" TargetMode="External"/><Relationship Id="rId185" Type="http://schemas.openxmlformats.org/officeDocument/2006/relationships/hyperlink" Target="https://centrodecapacitaciondelsur.com/soporte-basico-de-vida-" TargetMode="External"/><Relationship Id="rId9" Type="http://schemas.openxmlformats.org/officeDocument/2006/relationships/hyperlink" Target="https://centrodecapacitaciondelsur.com/soporte-basico-de-vida-" TargetMode="External"/><Relationship Id="rId210" Type="http://schemas.openxmlformats.org/officeDocument/2006/relationships/hyperlink" Target="https://centrodecapacitaciondelsur.com/soporte-basico-de-vida-" TargetMode="External"/><Relationship Id="rId26" Type="http://schemas.openxmlformats.org/officeDocument/2006/relationships/hyperlink" Target="https://centrodecapacitaciondelsur.com/soporte-basico-de-vida-" TargetMode="External"/><Relationship Id="rId231" Type="http://schemas.openxmlformats.org/officeDocument/2006/relationships/hyperlink" Target="https://centrodecapacitaciondelsur.com/soporte-basico-de-vida-" TargetMode="External"/><Relationship Id="rId252" Type="http://schemas.openxmlformats.org/officeDocument/2006/relationships/hyperlink" Target="https://centrodecapacitaciondelsur.com/soporte-basico-de-vida-" TargetMode="External"/><Relationship Id="rId273" Type="http://schemas.openxmlformats.org/officeDocument/2006/relationships/hyperlink" Target="https://centrodecapacitaciondelsur.com/soporte-basico-de-vida-" TargetMode="External"/><Relationship Id="rId294" Type="http://schemas.openxmlformats.org/officeDocument/2006/relationships/hyperlink" Target="https://centrodecapacitaciondelsur.com/soporte-basico-de-vida-" TargetMode="External"/><Relationship Id="rId308" Type="http://schemas.openxmlformats.org/officeDocument/2006/relationships/hyperlink" Target="https://centrodecapacitaciondelsur.com/soporte-basico-de-vida-" TargetMode="External"/><Relationship Id="rId47" Type="http://schemas.openxmlformats.org/officeDocument/2006/relationships/hyperlink" Target="https://centrodecapacitaciondelsur.com/soporte-basico-de-vida-" TargetMode="External"/><Relationship Id="rId68" Type="http://schemas.openxmlformats.org/officeDocument/2006/relationships/hyperlink" Target="https://centrodecapacitaciondelsur.com/soporte-basico-de-vida-" TargetMode="External"/><Relationship Id="rId89" Type="http://schemas.openxmlformats.org/officeDocument/2006/relationships/hyperlink" Target="https://centrodecapacitaciondelsur.com/soporte-basico-de-vida-" TargetMode="External"/><Relationship Id="rId112" Type="http://schemas.openxmlformats.org/officeDocument/2006/relationships/hyperlink" Target="https://centrodecapacitaciondelsur.com/soporte-basico-de-vida-" TargetMode="External"/><Relationship Id="rId133" Type="http://schemas.openxmlformats.org/officeDocument/2006/relationships/hyperlink" Target="https://centrodecapacitaciondelsur.com/soporte-basico-de-vida-" TargetMode="External"/><Relationship Id="rId154" Type="http://schemas.openxmlformats.org/officeDocument/2006/relationships/hyperlink" Target="https://centrodecapacitaciondelsur.com/soporte-basico-de-vida-" TargetMode="External"/><Relationship Id="rId175" Type="http://schemas.openxmlformats.org/officeDocument/2006/relationships/hyperlink" Target="https://centrodecapacitaciondelsur.com/soporte-basico-de-vida-" TargetMode="External"/><Relationship Id="rId196" Type="http://schemas.openxmlformats.org/officeDocument/2006/relationships/hyperlink" Target="https://centrodecapacitaciondelsur.com/soporte-basico-de-vida-" TargetMode="External"/><Relationship Id="rId200" Type="http://schemas.openxmlformats.org/officeDocument/2006/relationships/hyperlink" Target="https://centrodecapacitaciondelsur.com/soporte-basico-de-vida-" TargetMode="External"/><Relationship Id="rId16" Type="http://schemas.openxmlformats.org/officeDocument/2006/relationships/hyperlink" Target="https://centrodecapacitaciondelsur.com/soporte-basico-de-vida-" TargetMode="External"/><Relationship Id="rId221" Type="http://schemas.openxmlformats.org/officeDocument/2006/relationships/hyperlink" Target="https://centrodecapacitaciondelsur.com/soporte-basico-de-vida-" TargetMode="External"/><Relationship Id="rId242" Type="http://schemas.openxmlformats.org/officeDocument/2006/relationships/hyperlink" Target="https://centrodecapacitaciondelsur.com/soporte-basico-de-vida-" TargetMode="External"/><Relationship Id="rId263" Type="http://schemas.openxmlformats.org/officeDocument/2006/relationships/hyperlink" Target="https://centrodecapacitaciondelsur.com/soporte-basico-de-vida-" TargetMode="External"/><Relationship Id="rId284" Type="http://schemas.openxmlformats.org/officeDocument/2006/relationships/hyperlink" Target="https://centrodecapacitaciondelsur.com/soporte-basico-de-vida-" TargetMode="External"/><Relationship Id="rId319" Type="http://schemas.openxmlformats.org/officeDocument/2006/relationships/printerSettings" Target="../printerSettings/printerSettings3.bin"/><Relationship Id="rId37" Type="http://schemas.openxmlformats.org/officeDocument/2006/relationships/hyperlink" Target="https://centrodecapacitaciondelsur.com/soporte-basico-de-vida-" TargetMode="External"/><Relationship Id="rId58" Type="http://schemas.openxmlformats.org/officeDocument/2006/relationships/hyperlink" Target="https://centrodecapacitaciondelsur.com/soporte-basico-de-vida-" TargetMode="External"/><Relationship Id="rId79" Type="http://schemas.openxmlformats.org/officeDocument/2006/relationships/hyperlink" Target="https://centrodecapacitaciondelsur.com/soporte-basico-de-vida-" TargetMode="External"/><Relationship Id="rId102" Type="http://schemas.openxmlformats.org/officeDocument/2006/relationships/hyperlink" Target="https://centrodecapacitaciondelsur.com/soporte-basico-de-vida-" TargetMode="External"/><Relationship Id="rId123" Type="http://schemas.openxmlformats.org/officeDocument/2006/relationships/hyperlink" Target="https://centrodecapacitaciondelsur.com/soporte-basico-de-vida-" TargetMode="External"/><Relationship Id="rId144" Type="http://schemas.openxmlformats.org/officeDocument/2006/relationships/hyperlink" Target="https://centrodecapacitaciondelsur.com/soporte-basico-de-vida-" TargetMode="External"/><Relationship Id="rId90" Type="http://schemas.openxmlformats.org/officeDocument/2006/relationships/hyperlink" Target="https://centrodecapacitaciondelsur.com/soporte-basico-de-vida-" TargetMode="External"/><Relationship Id="rId165" Type="http://schemas.openxmlformats.org/officeDocument/2006/relationships/hyperlink" Target="https://centrodecapacitaciondelsur.com/soporte-basico-de-vida-" TargetMode="External"/><Relationship Id="rId186" Type="http://schemas.openxmlformats.org/officeDocument/2006/relationships/hyperlink" Target="https://centrodecapacitaciondelsur.com/soporte-basico-de-vida-" TargetMode="External"/><Relationship Id="rId211" Type="http://schemas.openxmlformats.org/officeDocument/2006/relationships/hyperlink" Target="https://centrodecapacitaciondelsur.com/soporte-basico-de-vida-" TargetMode="External"/><Relationship Id="rId232" Type="http://schemas.openxmlformats.org/officeDocument/2006/relationships/hyperlink" Target="https://centrodecapacitaciondelsur.com/soporte-basico-de-vida-" TargetMode="External"/><Relationship Id="rId253" Type="http://schemas.openxmlformats.org/officeDocument/2006/relationships/hyperlink" Target="https://centrodecapacitaciondelsur.com/soporte-basico-de-vida-" TargetMode="External"/><Relationship Id="rId274" Type="http://schemas.openxmlformats.org/officeDocument/2006/relationships/hyperlink" Target="https://centrodecapacitaciondelsur.com/soporte-basico-de-vida-" TargetMode="External"/><Relationship Id="rId295" Type="http://schemas.openxmlformats.org/officeDocument/2006/relationships/hyperlink" Target="https://centrodecapacitaciondelsur.com/soporte-basico-de-vida-" TargetMode="External"/><Relationship Id="rId309" Type="http://schemas.openxmlformats.org/officeDocument/2006/relationships/hyperlink" Target="https://centrodecapacitaciondelsur.com/soporte-basico-de-vida-" TargetMode="External"/><Relationship Id="rId27" Type="http://schemas.openxmlformats.org/officeDocument/2006/relationships/hyperlink" Target="https://centrodecapacitaciondelsur.com/soporte-basico-de-vida-" TargetMode="External"/><Relationship Id="rId48" Type="http://schemas.openxmlformats.org/officeDocument/2006/relationships/hyperlink" Target="https://centrodecapacitaciondelsur.com/soporte-basico-de-vida-" TargetMode="External"/><Relationship Id="rId69" Type="http://schemas.openxmlformats.org/officeDocument/2006/relationships/hyperlink" Target="https://centrodecapacitaciondelsur.com/soporte-basico-de-vida-" TargetMode="External"/><Relationship Id="rId113" Type="http://schemas.openxmlformats.org/officeDocument/2006/relationships/hyperlink" Target="https://centrodecapacitaciondelsur.com/soporte-basico-de-vida-" TargetMode="External"/><Relationship Id="rId134" Type="http://schemas.openxmlformats.org/officeDocument/2006/relationships/hyperlink" Target="https://centrodecapacitaciondelsur.com/soporte-basico-de-vida-" TargetMode="External"/><Relationship Id="rId320" Type="http://schemas.openxmlformats.org/officeDocument/2006/relationships/drawing" Target="../drawings/drawing1.xml"/><Relationship Id="rId80" Type="http://schemas.openxmlformats.org/officeDocument/2006/relationships/hyperlink" Target="https://centrodecapacitaciondelsur.com/soporte-basico-de-vida-" TargetMode="External"/><Relationship Id="rId155" Type="http://schemas.openxmlformats.org/officeDocument/2006/relationships/hyperlink" Target="https://centrodecapacitaciondelsur.com/soporte-basico-de-vida-" TargetMode="External"/><Relationship Id="rId176" Type="http://schemas.openxmlformats.org/officeDocument/2006/relationships/hyperlink" Target="https://centrodecapacitaciondelsur.com/soporte-basico-de-vida-" TargetMode="External"/><Relationship Id="rId197" Type="http://schemas.openxmlformats.org/officeDocument/2006/relationships/hyperlink" Target="https://centrodecapacitaciondelsur.com/soporte-basico-de-vida-" TargetMode="External"/><Relationship Id="rId201" Type="http://schemas.openxmlformats.org/officeDocument/2006/relationships/hyperlink" Target="https://centrodecapacitaciondelsur.com/soporte-basico-de-vida-" TargetMode="External"/><Relationship Id="rId222" Type="http://schemas.openxmlformats.org/officeDocument/2006/relationships/hyperlink" Target="https://centrodecapacitaciondelsur.com/soporte-basico-de-vida-" TargetMode="External"/><Relationship Id="rId243" Type="http://schemas.openxmlformats.org/officeDocument/2006/relationships/hyperlink" Target="https://centrodecapacitaciondelsur.com/soporte-basico-de-vida-" TargetMode="External"/><Relationship Id="rId264" Type="http://schemas.openxmlformats.org/officeDocument/2006/relationships/hyperlink" Target="https://centrodecapacitaciondelsur.com/soporte-basico-de-vida-" TargetMode="External"/><Relationship Id="rId285" Type="http://schemas.openxmlformats.org/officeDocument/2006/relationships/hyperlink" Target="https://centrodecapacitaciondelsur.com/soporte-basico-de-vida-" TargetMode="External"/><Relationship Id="rId17" Type="http://schemas.openxmlformats.org/officeDocument/2006/relationships/hyperlink" Target="https://centrodecapacitaciondelsur.com/soporte-basico-de-vida-" TargetMode="External"/><Relationship Id="rId38" Type="http://schemas.openxmlformats.org/officeDocument/2006/relationships/hyperlink" Target="https://centrodecapacitaciondelsur.com/soporte-basico-de-vida-" TargetMode="External"/><Relationship Id="rId59" Type="http://schemas.openxmlformats.org/officeDocument/2006/relationships/hyperlink" Target="https://centrodecapacitaciondelsur.com/soporte-basico-de-vida-" TargetMode="External"/><Relationship Id="rId103" Type="http://schemas.openxmlformats.org/officeDocument/2006/relationships/hyperlink" Target="https://centrodecapacitaciondelsur.com/soporte-basico-de-vida-" TargetMode="External"/><Relationship Id="rId124" Type="http://schemas.openxmlformats.org/officeDocument/2006/relationships/hyperlink" Target="https://centrodecapacitaciondelsur.com/soporte-basico-de-vida-" TargetMode="External"/><Relationship Id="rId310" Type="http://schemas.openxmlformats.org/officeDocument/2006/relationships/hyperlink" Target="https://centrodecapacitaciondelsur.com/soporte-basico-de-vida-" TargetMode="External"/><Relationship Id="rId70" Type="http://schemas.openxmlformats.org/officeDocument/2006/relationships/hyperlink" Target="https://centrodecapacitaciondelsur.com/soporte-basico-de-vida-" TargetMode="External"/><Relationship Id="rId91" Type="http://schemas.openxmlformats.org/officeDocument/2006/relationships/hyperlink" Target="https://centrodecapacitaciondelsur.com/soporte-basico-de-vida-" TargetMode="External"/><Relationship Id="rId145" Type="http://schemas.openxmlformats.org/officeDocument/2006/relationships/hyperlink" Target="https://centrodecapacitaciondelsur.com/soporte-basico-de-vida-" TargetMode="External"/><Relationship Id="rId166" Type="http://schemas.openxmlformats.org/officeDocument/2006/relationships/hyperlink" Target="https://centrodecapacitaciondelsur.com/soporte-basico-de-vida-" TargetMode="External"/><Relationship Id="rId187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Relationship Id="rId212" Type="http://schemas.openxmlformats.org/officeDocument/2006/relationships/hyperlink" Target="https://centrodecapacitaciondelsur.com/soporte-basico-de-vida-" TargetMode="External"/><Relationship Id="rId233" Type="http://schemas.openxmlformats.org/officeDocument/2006/relationships/hyperlink" Target="https://centrodecapacitaciondelsur.com/soporte-basico-de-vida-" TargetMode="External"/><Relationship Id="rId254" Type="http://schemas.openxmlformats.org/officeDocument/2006/relationships/hyperlink" Target="https://centrodecapacitaciondelsur.com/soporte-basico-de-vida-" TargetMode="External"/><Relationship Id="rId28" Type="http://schemas.openxmlformats.org/officeDocument/2006/relationships/hyperlink" Target="https://centrodecapacitaciondelsur.com/soporte-basico-de-vida-" TargetMode="External"/><Relationship Id="rId49" Type="http://schemas.openxmlformats.org/officeDocument/2006/relationships/hyperlink" Target="https://centrodecapacitaciondelsur.com/soporte-basico-de-vida-" TargetMode="External"/><Relationship Id="rId114" Type="http://schemas.openxmlformats.org/officeDocument/2006/relationships/hyperlink" Target="https://centrodecapacitaciondelsur.com/soporte-basico-de-vida-" TargetMode="External"/><Relationship Id="rId275" Type="http://schemas.openxmlformats.org/officeDocument/2006/relationships/hyperlink" Target="https://centrodecapacitaciondelsur.com/soporte-basico-de-vida-" TargetMode="External"/><Relationship Id="rId296" Type="http://schemas.openxmlformats.org/officeDocument/2006/relationships/hyperlink" Target="https://centrodecapacitaciondelsur.com/soporte-basico-de-vida-" TargetMode="External"/><Relationship Id="rId300" Type="http://schemas.openxmlformats.org/officeDocument/2006/relationships/hyperlink" Target="https://centrodecapacitaciondelsur.com/soporte-basico-de-vida-" TargetMode="External"/><Relationship Id="rId60" Type="http://schemas.openxmlformats.org/officeDocument/2006/relationships/hyperlink" Target="https://centrodecapacitaciondelsur.com/soporte-basico-de-vida-" TargetMode="External"/><Relationship Id="rId81" Type="http://schemas.openxmlformats.org/officeDocument/2006/relationships/hyperlink" Target="https://centrodecapacitaciondelsur.com/soporte-basico-de-vida-" TargetMode="External"/><Relationship Id="rId135" Type="http://schemas.openxmlformats.org/officeDocument/2006/relationships/hyperlink" Target="https://centrodecapacitaciondelsur.com/soporte-basico-de-vida-" TargetMode="External"/><Relationship Id="rId156" Type="http://schemas.openxmlformats.org/officeDocument/2006/relationships/hyperlink" Target="https://centrodecapacitaciondelsur.com/soporte-basico-de-vida-" TargetMode="External"/><Relationship Id="rId177" Type="http://schemas.openxmlformats.org/officeDocument/2006/relationships/hyperlink" Target="https://centrodecapacitaciondelsur.com/soporte-basico-de-vida-" TargetMode="External"/><Relationship Id="rId198" Type="http://schemas.openxmlformats.org/officeDocument/2006/relationships/hyperlink" Target="https://centrodecapacitaciondelsur.com/soporte-basico-de-vida-" TargetMode="External"/><Relationship Id="rId202" Type="http://schemas.openxmlformats.org/officeDocument/2006/relationships/hyperlink" Target="https://centrodecapacitaciondelsur.com/soporte-basico-de-vida-" TargetMode="External"/><Relationship Id="rId223" Type="http://schemas.openxmlformats.org/officeDocument/2006/relationships/hyperlink" Target="https://centrodecapacitaciondelsur.com/soporte-basico-de-vida-" TargetMode="External"/><Relationship Id="rId244" Type="http://schemas.openxmlformats.org/officeDocument/2006/relationships/hyperlink" Target="https://centrodecapacitaciondelsur.com/soporte-basico-de-vida-" TargetMode="External"/><Relationship Id="rId18" Type="http://schemas.openxmlformats.org/officeDocument/2006/relationships/hyperlink" Target="https://centrodecapacitaciondelsur.com/soporte-basico-de-vida-" TargetMode="External"/><Relationship Id="rId39" Type="http://schemas.openxmlformats.org/officeDocument/2006/relationships/hyperlink" Target="https://centrodecapacitaciondelsur.com/soporte-basico-de-vida-" TargetMode="External"/><Relationship Id="rId265" Type="http://schemas.openxmlformats.org/officeDocument/2006/relationships/hyperlink" Target="https://centrodecapacitaciondelsur.com/soporte-basico-de-vida-" TargetMode="External"/><Relationship Id="rId286" Type="http://schemas.openxmlformats.org/officeDocument/2006/relationships/hyperlink" Target="https://centrodecapacitaciondelsur.com/soporte-basico-de-vida-" TargetMode="External"/><Relationship Id="rId50" Type="http://schemas.openxmlformats.org/officeDocument/2006/relationships/hyperlink" Target="https://centrodecapacitaciondelsur.com/soporte-basico-de-vida-" TargetMode="External"/><Relationship Id="rId104" Type="http://schemas.openxmlformats.org/officeDocument/2006/relationships/hyperlink" Target="https://centrodecapacitaciondelsur.com/soporte-basico-de-vida-" TargetMode="External"/><Relationship Id="rId125" Type="http://schemas.openxmlformats.org/officeDocument/2006/relationships/hyperlink" Target="https://centrodecapacitaciondelsur.com/soporte-basico-de-vida-" TargetMode="External"/><Relationship Id="rId146" Type="http://schemas.openxmlformats.org/officeDocument/2006/relationships/hyperlink" Target="https://centrodecapacitaciondelsur.com/soporte-basico-de-vida-" TargetMode="External"/><Relationship Id="rId167" Type="http://schemas.openxmlformats.org/officeDocument/2006/relationships/hyperlink" Target="https://centrodecapacitaciondelsur.com/soporte-basico-de-vida-" TargetMode="External"/><Relationship Id="rId188" Type="http://schemas.openxmlformats.org/officeDocument/2006/relationships/hyperlink" Target="https://centrodecapacitaciondelsur.com/soporte-basico-de-vida-" TargetMode="External"/><Relationship Id="rId311" Type="http://schemas.openxmlformats.org/officeDocument/2006/relationships/hyperlink" Target="https://centrodecapacitaciondelsur.com/soporte-basico-de-vida-" TargetMode="External"/><Relationship Id="rId71" Type="http://schemas.openxmlformats.org/officeDocument/2006/relationships/hyperlink" Target="https://centrodecapacitaciondelsur.com/soporte-basico-de-vida-" TargetMode="External"/><Relationship Id="rId92" Type="http://schemas.openxmlformats.org/officeDocument/2006/relationships/hyperlink" Target="https://centrodecapacitaciondelsur.com/soporte-basico-de-vida-" TargetMode="External"/><Relationship Id="rId213" Type="http://schemas.openxmlformats.org/officeDocument/2006/relationships/hyperlink" Target="https://centrodecapacitaciondelsur.com/soporte-basico-de-vida-" TargetMode="External"/><Relationship Id="rId234" Type="http://schemas.openxmlformats.org/officeDocument/2006/relationships/hyperlink" Target="https://centrodecapacitaciondelsur.com/soporte-basico-de-vida-" TargetMode="External"/><Relationship Id="rId2" Type="http://schemas.openxmlformats.org/officeDocument/2006/relationships/hyperlink" Target="https://centrodecapacitaciondelsur.com/manejo-de-residuos-hospitalarios-" TargetMode="External"/><Relationship Id="rId29" Type="http://schemas.openxmlformats.org/officeDocument/2006/relationships/hyperlink" Target="https://centrodecapacitaciondelsur.com/soporte-basico-de-vida-" TargetMode="External"/><Relationship Id="rId255" Type="http://schemas.openxmlformats.org/officeDocument/2006/relationships/hyperlink" Target="https://centrodecapacitaciondelsur.com/soporte-basico-de-vida-" TargetMode="External"/><Relationship Id="rId276" Type="http://schemas.openxmlformats.org/officeDocument/2006/relationships/hyperlink" Target="https://centrodecapacitaciondelsur.com/soporte-basico-de-vida-" TargetMode="External"/><Relationship Id="rId297" Type="http://schemas.openxmlformats.org/officeDocument/2006/relationships/hyperlink" Target="https://centrodecapacitaciondelsur.com/soporte-basico-de-vida-" TargetMode="External"/><Relationship Id="rId40" Type="http://schemas.openxmlformats.org/officeDocument/2006/relationships/hyperlink" Target="https://centrodecapacitaciondelsur.com/soporte-basico-de-vida-" TargetMode="External"/><Relationship Id="rId115" Type="http://schemas.openxmlformats.org/officeDocument/2006/relationships/hyperlink" Target="https://centrodecapacitaciondelsur.com/soporte-basico-de-vida-" TargetMode="External"/><Relationship Id="rId136" Type="http://schemas.openxmlformats.org/officeDocument/2006/relationships/hyperlink" Target="https://centrodecapacitaciondelsur.com/soporte-basico-de-vida-" TargetMode="External"/><Relationship Id="rId157" Type="http://schemas.openxmlformats.org/officeDocument/2006/relationships/hyperlink" Target="https://centrodecapacitaciondelsur.com/soporte-basico-de-vida-" TargetMode="External"/><Relationship Id="rId178" Type="http://schemas.openxmlformats.org/officeDocument/2006/relationships/hyperlink" Target="https://centrodecapacitaciondelsur.com/soporte-basico-de-vida-" TargetMode="External"/><Relationship Id="rId301" Type="http://schemas.openxmlformats.org/officeDocument/2006/relationships/hyperlink" Target="https://centrodecapacitaciondelsur.com/soporte-basico-de-vida-" TargetMode="External"/><Relationship Id="rId61" Type="http://schemas.openxmlformats.org/officeDocument/2006/relationships/hyperlink" Target="https://centrodecapacitaciondelsur.com/soporte-basico-de-vida-" TargetMode="External"/><Relationship Id="rId82" Type="http://schemas.openxmlformats.org/officeDocument/2006/relationships/hyperlink" Target="https://centrodecapacitaciondelsur.com/soporte-basico-de-vida-" TargetMode="External"/><Relationship Id="rId199" Type="http://schemas.openxmlformats.org/officeDocument/2006/relationships/hyperlink" Target="https://centrodecapacitaciondelsur.com/soporte-basico-de-vida-" TargetMode="External"/><Relationship Id="rId203" Type="http://schemas.openxmlformats.org/officeDocument/2006/relationships/hyperlink" Target="https://centrodecapacitaciondelsur.com/soporte-basico-de-vida-" TargetMode="External"/><Relationship Id="rId19" Type="http://schemas.openxmlformats.org/officeDocument/2006/relationships/hyperlink" Target="https://centrodecapacitaciondelsur.com/soporte-basico-de-vida-" TargetMode="External"/><Relationship Id="rId224" Type="http://schemas.openxmlformats.org/officeDocument/2006/relationships/hyperlink" Target="https://centrodecapacitaciondelsur.com/soporte-basico-de-vida-" TargetMode="External"/><Relationship Id="rId245" Type="http://schemas.openxmlformats.org/officeDocument/2006/relationships/hyperlink" Target="https://centrodecapacitaciondelsur.com/soporte-basico-de-vida-" TargetMode="External"/><Relationship Id="rId266" Type="http://schemas.openxmlformats.org/officeDocument/2006/relationships/hyperlink" Target="https://centrodecapacitaciondelsur.com/soporte-basico-de-vida-" TargetMode="External"/><Relationship Id="rId287" Type="http://schemas.openxmlformats.org/officeDocument/2006/relationships/hyperlink" Target="https://centrodecapacitaciondelsur.com/soporte-basico-de-vida-" TargetMode="External"/><Relationship Id="rId30" Type="http://schemas.openxmlformats.org/officeDocument/2006/relationships/hyperlink" Target="https://centrodecapacitaciondelsur.com/soporte-basico-de-vida-" TargetMode="External"/><Relationship Id="rId105" Type="http://schemas.openxmlformats.org/officeDocument/2006/relationships/hyperlink" Target="https://centrodecapacitaciondelsur.com/soporte-basico-de-vida-" TargetMode="External"/><Relationship Id="rId126" Type="http://schemas.openxmlformats.org/officeDocument/2006/relationships/hyperlink" Target="https://centrodecapacitaciondelsur.com/soporte-basico-de-vida-" TargetMode="External"/><Relationship Id="rId147" Type="http://schemas.openxmlformats.org/officeDocument/2006/relationships/hyperlink" Target="https://centrodecapacitaciondelsur.com/soporte-basico-de-vida-" TargetMode="External"/><Relationship Id="rId168" Type="http://schemas.openxmlformats.org/officeDocument/2006/relationships/hyperlink" Target="https://centrodecapacitaciondelsur.com/soporte-basico-de-vida-" TargetMode="External"/><Relationship Id="rId312" Type="http://schemas.openxmlformats.org/officeDocument/2006/relationships/hyperlink" Target="https://centrodecapacitaciondelsur.com/soporte-basico-de-vida-" TargetMode="External"/><Relationship Id="rId51" Type="http://schemas.openxmlformats.org/officeDocument/2006/relationships/hyperlink" Target="https://centrodecapacitaciondelsur.com/soporte-basico-de-vida-" TargetMode="External"/><Relationship Id="rId72" Type="http://schemas.openxmlformats.org/officeDocument/2006/relationships/hyperlink" Target="https://centrodecapacitaciondelsur.com/soporte-basico-de-vida-" TargetMode="External"/><Relationship Id="rId93" Type="http://schemas.openxmlformats.org/officeDocument/2006/relationships/hyperlink" Target="https://centrodecapacitaciondelsur.com/soporte-basico-de-vida-" TargetMode="External"/><Relationship Id="rId189" Type="http://schemas.openxmlformats.org/officeDocument/2006/relationships/hyperlink" Target="https://centrodecapacitaciondelsur.com/soporte-basico-de-vida-" TargetMode="External"/><Relationship Id="rId3" Type="http://schemas.openxmlformats.org/officeDocument/2006/relationships/hyperlink" Target="https://centrodecapacitaciondelsur.com/soporte-basico-de-vida-" TargetMode="External"/><Relationship Id="rId214" Type="http://schemas.openxmlformats.org/officeDocument/2006/relationships/hyperlink" Target="https://centrodecapacitaciondelsur.com/soporte-basico-de-vida-" TargetMode="External"/><Relationship Id="rId235" Type="http://schemas.openxmlformats.org/officeDocument/2006/relationships/hyperlink" Target="https://centrodecapacitaciondelsur.com/soporte-basico-de-vida-" TargetMode="External"/><Relationship Id="rId256" Type="http://schemas.openxmlformats.org/officeDocument/2006/relationships/hyperlink" Target="https://centrodecapacitaciondelsur.com/soporte-basico-de-vida-" TargetMode="External"/><Relationship Id="rId277" Type="http://schemas.openxmlformats.org/officeDocument/2006/relationships/hyperlink" Target="https://centrodecapacitaciondelsur.com/soporte-basico-de-vida-" TargetMode="External"/><Relationship Id="rId298" Type="http://schemas.openxmlformats.org/officeDocument/2006/relationships/hyperlink" Target="https://centrodecapacitaciondelsur.com/soporte-basico-de-vida-" TargetMode="External"/><Relationship Id="rId116" Type="http://schemas.openxmlformats.org/officeDocument/2006/relationships/hyperlink" Target="https://centrodecapacitaciondelsur.com/soporte-basico-de-vida-" TargetMode="External"/><Relationship Id="rId137" Type="http://schemas.openxmlformats.org/officeDocument/2006/relationships/hyperlink" Target="https://centrodecapacitaciondelsur.com/soporte-basico-de-vida-" TargetMode="External"/><Relationship Id="rId158" Type="http://schemas.openxmlformats.org/officeDocument/2006/relationships/hyperlink" Target="https://centrodecapacitaciondelsur.com/soporte-basico-de-vida-" TargetMode="External"/><Relationship Id="rId302" Type="http://schemas.openxmlformats.org/officeDocument/2006/relationships/hyperlink" Target="https://centrodecapacitaciondelsur.com/soporte-basico-de-vida-" TargetMode="External"/><Relationship Id="rId20" Type="http://schemas.openxmlformats.org/officeDocument/2006/relationships/hyperlink" Target="https://centrodecapacitaciondelsur.com/soporte-basico-de-vida-" TargetMode="External"/><Relationship Id="rId41" Type="http://schemas.openxmlformats.org/officeDocument/2006/relationships/hyperlink" Target="https://centrodecapacitaciondelsur.com/soporte-basico-de-vida-" TargetMode="External"/><Relationship Id="rId62" Type="http://schemas.openxmlformats.org/officeDocument/2006/relationships/hyperlink" Target="https://centrodecapacitaciondelsur.com/soporte-basico-de-vida-" TargetMode="External"/><Relationship Id="rId83" Type="http://schemas.openxmlformats.org/officeDocument/2006/relationships/hyperlink" Target="https://centrodecapacitaciondelsur.com/soporte-basico-de-vida-" TargetMode="External"/><Relationship Id="rId179" Type="http://schemas.openxmlformats.org/officeDocument/2006/relationships/hyperlink" Target="https://centrodecapacitaciondelsur.com/soporte-basico-de-vida-" TargetMode="External"/><Relationship Id="rId190" Type="http://schemas.openxmlformats.org/officeDocument/2006/relationships/hyperlink" Target="https://centrodecapacitaciondelsur.com/soporte-basico-de-vida-" TargetMode="External"/><Relationship Id="rId204" Type="http://schemas.openxmlformats.org/officeDocument/2006/relationships/hyperlink" Target="https://centrodecapacitaciondelsur.com/soporte-basico-de-vida-" TargetMode="External"/><Relationship Id="rId225" Type="http://schemas.openxmlformats.org/officeDocument/2006/relationships/hyperlink" Target="https://centrodecapacitaciondelsur.com/soporte-basico-de-vida-" TargetMode="External"/><Relationship Id="rId246" Type="http://schemas.openxmlformats.org/officeDocument/2006/relationships/hyperlink" Target="https://centrodecapacitaciondelsur.com/soporte-basico-de-vida-" TargetMode="External"/><Relationship Id="rId267" Type="http://schemas.openxmlformats.org/officeDocument/2006/relationships/hyperlink" Target="https://centrodecapacitaciondelsur.com/soporte-basico-de-vida-" TargetMode="External"/><Relationship Id="rId288" Type="http://schemas.openxmlformats.org/officeDocument/2006/relationships/hyperlink" Target="https://centrodecapacitaciondelsur.com/soporte-basico-de-vida-" TargetMode="External"/><Relationship Id="rId106" Type="http://schemas.openxmlformats.org/officeDocument/2006/relationships/hyperlink" Target="https://centrodecapacitaciondelsur.com/soporte-basico-de-vida-" TargetMode="External"/><Relationship Id="rId127" Type="http://schemas.openxmlformats.org/officeDocument/2006/relationships/hyperlink" Target="https://centrodecapacitaciondelsur.com/soporte-basico-de-vida-" TargetMode="External"/><Relationship Id="rId313" Type="http://schemas.openxmlformats.org/officeDocument/2006/relationships/hyperlink" Target="https://centrodecapacitaciondelsur.com/soporte-basico-de-vida-" TargetMode="External"/><Relationship Id="rId10" Type="http://schemas.openxmlformats.org/officeDocument/2006/relationships/hyperlink" Target="https://centrodecapacitaciondelsur.com/soporte-basico-de-vida-" TargetMode="External"/><Relationship Id="rId31" Type="http://schemas.openxmlformats.org/officeDocument/2006/relationships/hyperlink" Target="https://centrodecapacitaciondelsur.com/soporte-basico-de-vida-" TargetMode="External"/><Relationship Id="rId52" Type="http://schemas.openxmlformats.org/officeDocument/2006/relationships/hyperlink" Target="https://centrodecapacitaciondelsur.com/soporte-basico-de-vida-" TargetMode="External"/><Relationship Id="rId73" Type="http://schemas.openxmlformats.org/officeDocument/2006/relationships/hyperlink" Target="https://centrodecapacitaciondelsur.com/soporte-basico-de-vida-" TargetMode="External"/><Relationship Id="rId94" Type="http://schemas.openxmlformats.org/officeDocument/2006/relationships/hyperlink" Target="https://centrodecapacitaciondelsur.com/soporte-basico-de-vida-" TargetMode="External"/><Relationship Id="rId148" Type="http://schemas.openxmlformats.org/officeDocument/2006/relationships/hyperlink" Target="https://centrodecapacitaciondelsur.com/soporte-basico-de-vida-" TargetMode="External"/><Relationship Id="rId169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hyperlink" Target="https://centrodecapacitaciondelsur.com/soporte-basico-de-vida-" TargetMode="External"/><Relationship Id="rId180" Type="http://schemas.openxmlformats.org/officeDocument/2006/relationships/hyperlink" Target="https://centrodecapacitaciondelsur.com/soporte-basico-de-vida-" TargetMode="External"/><Relationship Id="rId215" Type="http://schemas.openxmlformats.org/officeDocument/2006/relationships/hyperlink" Target="https://centrodecapacitaciondelsur.com/soporte-basico-de-vida-" TargetMode="External"/><Relationship Id="rId236" Type="http://schemas.openxmlformats.org/officeDocument/2006/relationships/hyperlink" Target="https://centrodecapacitaciondelsur.com/soporte-basico-de-vida-" TargetMode="External"/><Relationship Id="rId257" Type="http://schemas.openxmlformats.org/officeDocument/2006/relationships/hyperlink" Target="https://centrodecapacitaciondelsur.com/soporte-basico-de-vida-" TargetMode="External"/><Relationship Id="rId278" Type="http://schemas.openxmlformats.org/officeDocument/2006/relationships/hyperlink" Target="https://centrodecapacitaciondelsur.com/soporte-basico-de-vida-" TargetMode="External"/><Relationship Id="rId303" Type="http://schemas.openxmlformats.org/officeDocument/2006/relationships/hyperlink" Target="https://centrodecapacitaciondelsur.com/soporte-basico-de-vida-" TargetMode="External"/><Relationship Id="rId42" Type="http://schemas.openxmlformats.org/officeDocument/2006/relationships/hyperlink" Target="https://centrodecapacitaciondelsur.com/soporte-basico-de-vida-" TargetMode="External"/><Relationship Id="rId84" Type="http://schemas.openxmlformats.org/officeDocument/2006/relationships/hyperlink" Target="https://centrodecapacitaciondelsur.com/soporte-basico-de-vida-" TargetMode="External"/><Relationship Id="rId138" Type="http://schemas.openxmlformats.org/officeDocument/2006/relationships/hyperlink" Target="https://centrodecapacitaciondelsur.com/soporte-basico-de-vida-" TargetMode="External"/><Relationship Id="rId191" Type="http://schemas.openxmlformats.org/officeDocument/2006/relationships/hyperlink" Target="https://centrodecapacitaciondelsur.com/soporte-basico-de-vida-" TargetMode="External"/><Relationship Id="rId205" Type="http://schemas.openxmlformats.org/officeDocument/2006/relationships/hyperlink" Target="https://centrodecapacitaciondelsur.com/soporte-basico-de-vida-" TargetMode="External"/><Relationship Id="rId247" Type="http://schemas.openxmlformats.org/officeDocument/2006/relationships/hyperlink" Target="https://centrodecapacitaciondelsur.com/soporte-basico-de-vida-" TargetMode="External"/><Relationship Id="rId107" Type="http://schemas.openxmlformats.org/officeDocument/2006/relationships/hyperlink" Target="https://centrodecapacitaciondelsur.com/soporte-basico-de-vida-" TargetMode="External"/><Relationship Id="rId289" Type="http://schemas.openxmlformats.org/officeDocument/2006/relationships/hyperlink" Target="https://centrodecapacitaciondelsur.com/soporte-basico-de-vida-" TargetMode="External"/><Relationship Id="rId11" Type="http://schemas.openxmlformats.org/officeDocument/2006/relationships/hyperlink" Target="https://centrodecapacitaciondelsur.com/soporte-basico-de-vida-" TargetMode="External"/><Relationship Id="rId53" Type="http://schemas.openxmlformats.org/officeDocument/2006/relationships/hyperlink" Target="https://centrodecapacitaciondelsur.com/soporte-basico-de-vida-" TargetMode="External"/><Relationship Id="rId149" Type="http://schemas.openxmlformats.org/officeDocument/2006/relationships/hyperlink" Target="https://centrodecapacitaciondelsur.com/soporte-basico-de-vida-" TargetMode="External"/><Relationship Id="rId314" Type="http://schemas.openxmlformats.org/officeDocument/2006/relationships/hyperlink" Target="https://centrodecapacitaciondelsur.com/soporte-basico-de-vida-" TargetMode="External"/><Relationship Id="rId95" Type="http://schemas.openxmlformats.org/officeDocument/2006/relationships/hyperlink" Target="https://centrodecapacitaciondelsur.com/soporte-basico-de-vida-" TargetMode="External"/><Relationship Id="rId160" Type="http://schemas.openxmlformats.org/officeDocument/2006/relationships/hyperlink" Target="https://centrodecapacitaciondelsur.com/soporte-basico-de-vida-" TargetMode="External"/><Relationship Id="rId216" Type="http://schemas.openxmlformats.org/officeDocument/2006/relationships/hyperlink" Target="https://centrodecapacitaciondelsur.com/soporte-basico-de-vida-" TargetMode="External"/><Relationship Id="rId258" Type="http://schemas.openxmlformats.org/officeDocument/2006/relationships/hyperlink" Target="https://centrodecapacitaciondelsur.com/soporte-basico-de-vida-" TargetMode="External"/><Relationship Id="rId22" Type="http://schemas.openxmlformats.org/officeDocument/2006/relationships/hyperlink" Target="https://centrodecapacitaciondelsur.com/soporte-basico-de-vida-" TargetMode="External"/><Relationship Id="rId64" Type="http://schemas.openxmlformats.org/officeDocument/2006/relationships/hyperlink" Target="https://centrodecapacitaciondelsur.com/soporte-basico-de-vida-" TargetMode="External"/><Relationship Id="rId118" Type="http://schemas.openxmlformats.org/officeDocument/2006/relationships/hyperlink" Target="https://centrodecapacitaciondelsur.com/soporte-basico-de-vida-" TargetMode="External"/><Relationship Id="rId171" Type="http://schemas.openxmlformats.org/officeDocument/2006/relationships/hyperlink" Target="https://centrodecapacitaciondelsur.com/soporte-basico-de-vida-" TargetMode="External"/><Relationship Id="rId227" Type="http://schemas.openxmlformats.org/officeDocument/2006/relationships/hyperlink" Target="https://centrodecapacitaciondelsur.com/soporte-basico-de-vida-" TargetMode="External"/><Relationship Id="rId269" Type="http://schemas.openxmlformats.org/officeDocument/2006/relationships/hyperlink" Target="https://centrodecapacitaciondelsur.com/soporte-basico-de-vida-" TargetMode="External"/><Relationship Id="rId33" Type="http://schemas.openxmlformats.org/officeDocument/2006/relationships/hyperlink" Target="https://centrodecapacitaciondelsur.com/soporte-basico-de-vida-" TargetMode="External"/><Relationship Id="rId129" Type="http://schemas.openxmlformats.org/officeDocument/2006/relationships/hyperlink" Target="https://centrodecapacitaciondelsur.com/soporte-basico-de-vida-" TargetMode="External"/><Relationship Id="rId280" Type="http://schemas.openxmlformats.org/officeDocument/2006/relationships/hyperlink" Target="https://centrodecapacitaciondelsur.com/soporte-basico-de-vida-" TargetMode="External"/><Relationship Id="rId75" Type="http://schemas.openxmlformats.org/officeDocument/2006/relationships/hyperlink" Target="https://centrodecapacitaciondelsur.com/soporte-basico-de-vida-" TargetMode="External"/><Relationship Id="rId140" Type="http://schemas.openxmlformats.org/officeDocument/2006/relationships/hyperlink" Target="https://centrodecapacitaciondelsur.com/soporte-basico-de-vida-" TargetMode="External"/><Relationship Id="rId182" Type="http://schemas.openxmlformats.org/officeDocument/2006/relationships/hyperlink" Target="https://centrodecapacitaciondelsur.com/soporte-basico-de-vida-" TargetMode="External"/><Relationship Id="rId6" Type="http://schemas.openxmlformats.org/officeDocument/2006/relationships/hyperlink" Target="https://centrodecapacitaciondelsur.com/soporte-basico-de-vida-" TargetMode="External"/><Relationship Id="rId238" Type="http://schemas.openxmlformats.org/officeDocument/2006/relationships/hyperlink" Target="https://centrodecapacitaciondelsur.com/soporte-basico-de-vida-" TargetMode="External"/><Relationship Id="rId291" Type="http://schemas.openxmlformats.org/officeDocument/2006/relationships/hyperlink" Target="https://centrodecapacitaciondelsur.com/soporte-basico-de-vida-" TargetMode="External"/><Relationship Id="rId305" Type="http://schemas.openxmlformats.org/officeDocument/2006/relationships/hyperlink" Target="https://centrodecapacitaciondelsur.com/soporte-basico-de-vida-" TargetMode="External"/><Relationship Id="rId44" Type="http://schemas.openxmlformats.org/officeDocument/2006/relationships/hyperlink" Target="https://centrodecapacitaciondelsur.com/soporte-basico-de-vida-" TargetMode="External"/><Relationship Id="rId86" Type="http://schemas.openxmlformats.org/officeDocument/2006/relationships/hyperlink" Target="https://centrodecapacitaciondelsur.com/soporte-basico-de-vida-" TargetMode="External"/><Relationship Id="rId151" Type="http://schemas.openxmlformats.org/officeDocument/2006/relationships/hyperlink" Target="https://centrodecapacitaciondelsur.com/soporte-basico-de-vida-" TargetMode="External"/><Relationship Id="rId193" Type="http://schemas.openxmlformats.org/officeDocument/2006/relationships/hyperlink" Target="https://centrodecapacitaciondelsur.com/soporte-basico-de-vida-" TargetMode="External"/><Relationship Id="rId207" Type="http://schemas.openxmlformats.org/officeDocument/2006/relationships/hyperlink" Target="https://centrodecapacitaciondelsur.com/soporte-basico-de-vida-" TargetMode="External"/><Relationship Id="rId249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48557"/>
  <sheetViews>
    <sheetView tabSelected="1" zoomScale="50" zoomScaleNormal="50" workbookViewId="0">
      <pane xSplit="1" ySplit="1" topLeftCell="B137" activePane="bottomRight" state="frozen"/>
      <selection pane="topRight"/>
      <selection pane="bottomLeft"/>
      <selection pane="bottomRight" activeCell="K172" sqref="K172:M172"/>
    </sheetView>
  </sheetViews>
  <sheetFormatPr baseColWidth="10" defaultRowHeight="15" x14ac:dyDescent="0.2"/>
  <cols>
    <col min="1" max="1" width="4.77734375" style="40" customWidth="1"/>
    <col min="2" max="2" width="34.5546875" style="40" bestFit="1" customWidth="1"/>
    <col min="3" max="3" width="21.44140625" style="40" bestFit="1" customWidth="1"/>
    <col min="4" max="4" width="23.44140625" style="40" bestFit="1" customWidth="1"/>
    <col min="5" max="5" width="20.77734375" style="40" bestFit="1" customWidth="1"/>
    <col min="6" max="6" width="22.77734375" style="40" bestFit="1" customWidth="1"/>
    <col min="7" max="7" width="5.6640625" style="40" bestFit="1" customWidth="1"/>
    <col min="8" max="8" width="6.77734375" style="40" bestFit="1" customWidth="1"/>
    <col min="9" max="9" width="15.21875" style="40" bestFit="1" customWidth="1"/>
    <col min="10" max="10" width="18.33203125" style="40" bestFit="1" customWidth="1"/>
    <col min="11" max="11" width="19.44140625" style="42" bestFit="1" customWidth="1"/>
    <col min="12" max="12" width="22.33203125" style="43" bestFit="1" customWidth="1"/>
    <col min="13" max="13" width="19.44140625" style="40" bestFit="1" customWidth="1"/>
    <col min="14" max="14" width="12.109375" style="40" bestFit="1" customWidth="1"/>
    <col min="15" max="15" width="18.33203125" style="40" bestFit="1" customWidth="1"/>
    <col min="16" max="17" width="27.44140625" style="40" bestFit="1" customWidth="1"/>
    <col min="18" max="18" width="10.77734375" style="40" bestFit="1" customWidth="1"/>
    <col min="19" max="19" width="30.109375" style="103" customWidth="1"/>
    <col min="20" max="20" width="13" style="40" customWidth="1"/>
    <col min="21" max="21" width="33.88671875" style="44" bestFit="1" customWidth="1"/>
    <col min="22" max="22" width="77.6640625" style="44" bestFit="1" customWidth="1"/>
    <col min="23" max="24" width="31" style="44" bestFit="1" customWidth="1"/>
    <col min="25" max="25" width="64.77734375" style="41" bestFit="1" customWidth="1"/>
    <col min="26" max="16384" width="11.5546875" style="41"/>
  </cols>
  <sheetData>
    <row r="1" spans="1:25" s="60" customFormat="1" ht="15.75" x14ac:dyDescent="0.2">
      <c r="A1" s="51" t="s">
        <v>67</v>
      </c>
      <c r="B1" s="52" t="s">
        <v>0</v>
      </c>
      <c r="C1" s="53" t="s">
        <v>1</v>
      </c>
      <c r="D1" s="53" t="s">
        <v>2</v>
      </c>
      <c r="E1" s="53" t="s">
        <v>3</v>
      </c>
      <c r="F1" s="53" t="s">
        <v>4</v>
      </c>
      <c r="G1" s="54" t="s">
        <v>5</v>
      </c>
      <c r="H1" s="54" t="s">
        <v>6</v>
      </c>
      <c r="I1" s="54" t="s">
        <v>88</v>
      </c>
      <c r="J1" s="55" t="s">
        <v>126</v>
      </c>
      <c r="K1" s="56" t="s">
        <v>7</v>
      </c>
      <c r="L1" s="57" t="s">
        <v>8</v>
      </c>
      <c r="M1" s="53" t="s">
        <v>9</v>
      </c>
      <c r="N1" s="53" t="s">
        <v>68</v>
      </c>
      <c r="O1" s="53" t="s">
        <v>10</v>
      </c>
      <c r="P1" s="53" t="s">
        <v>11</v>
      </c>
      <c r="Q1" s="58" t="s">
        <v>66</v>
      </c>
      <c r="R1" s="53" t="s">
        <v>12</v>
      </c>
      <c r="S1" s="105" t="s">
        <v>13</v>
      </c>
      <c r="T1" s="53" t="s">
        <v>14</v>
      </c>
      <c r="U1" s="53" t="s">
        <v>69</v>
      </c>
      <c r="V1" s="59" t="s">
        <v>15</v>
      </c>
      <c r="W1" s="59" t="s">
        <v>16</v>
      </c>
      <c r="X1" s="59" t="s">
        <v>17</v>
      </c>
      <c r="Y1" s="59" t="s">
        <v>18</v>
      </c>
    </row>
    <row r="2" spans="1:25" s="60" customFormat="1" x14ac:dyDescent="0.2">
      <c r="A2" s="61">
        <v>1</v>
      </c>
      <c r="B2" s="62">
        <v>59365172</v>
      </c>
      <c r="C2" s="62" t="s">
        <v>99</v>
      </c>
      <c r="D2" s="62" t="s">
        <v>100</v>
      </c>
      <c r="E2" s="62" t="s">
        <v>101</v>
      </c>
      <c r="F2" s="62" t="s">
        <v>102</v>
      </c>
      <c r="G2" s="62">
        <v>1</v>
      </c>
      <c r="H2" s="62" t="s">
        <v>127</v>
      </c>
      <c r="I2" s="63" t="s">
        <v>128</v>
      </c>
      <c r="J2" s="63" t="s">
        <v>129</v>
      </c>
      <c r="K2" s="64">
        <v>45748</v>
      </c>
      <c r="L2" s="65">
        <v>40000</v>
      </c>
      <c r="M2" s="62" t="s">
        <v>221</v>
      </c>
      <c r="N2" s="62" t="s">
        <v>131</v>
      </c>
      <c r="O2" s="62" t="s">
        <v>130</v>
      </c>
      <c r="P2" s="62" t="s">
        <v>19</v>
      </c>
      <c r="Q2" s="63">
        <v>30898</v>
      </c>
      <c r="R2" s="62" t="s">
        <v>208</v>
      </c>
      <c r="S2" s="62" t="s">
        <v>332</v>
      </c>
      <c r="T2" s="62" t="s">
        <v>103</v>
      </c>
      <c r="U2" s="62" t="s">
        <v>104</v>
      </c>
      <c r="V2" s="66" t="str">
        <f>IF(P2=CURSOS!$D$3,"DIPLOMADO EN ATENCION PRE-HOSPITALARIA",IF(P2=CURSOS!$D$4,"ACOMPAÑAMIENTO Y MANEJO DEL DUELO",IF(P2=CURSOS!$D$5,"ATENCION A VICTIMAS DE ATAQUE CON AGENTES QUIMICOS ",IF(P2=CURSOS!$D$6,"PRIMEROS AUXILIOS ",IF(P2=CURSOS!$D$7,"DIPLOMADO DE UNIDAD DE CUIDADOS INTENSIVOS (UCI)",IF(P2=CURSOS!$D$8,"MODELO DE ATENCION PARA EVENTOS EMERGENTES EN SALUD MENTAL (CODIGO VERDE)",IF(P2=CURSOS!$D$9,"HUMANIZACION EN EL SERVICIO DE LA SALUD Y BUENAS PRACTICAS EN PACIENTE ",IF(P2=CURSOS!$D$10,"CLINICA DE HERIDAS ",IF(P2=CURSOS!$D$11,"TOMA DE CITOLOGIA CERVICO VAGINAL ",IF(P2=CURSOS!$D$12,"SOPORTE CARDIOVASCULAR AVANZADO (ACLS) ",IF(P2=CURSOS!$D$13,"CAMILLERO ",IF(P2=CURSOS!$D$14,"TOMA DE MUESTRAS Y LABORATORIO ",IF(P2=CURSOS!$D$15,"SOPORTE VITAL BASICO (BLS)",IF(P2=CURSOS!$D$16,"ATENCION A VICTIMAS DE VIOLENCIA SEXUAL ",IF(P2=CURSOS!$D$17,"PROGRAMADO AMPLIADO DE INMUNIZACION (PAI - COVID 19)",IF(P2=CURSOS!$D$18,"ATENCION INTEGRAL EN ENFERMEDADES PREVALENTES EN PRIMERA INFANCIA (AIEPI)",IF(P2=CURSOS!$D$19,"ADMINISTRACION DE MEDICAMENTOS, INYECTOLOGIA  Y CANALIZACION ",IF(P2=CURSOS!$D$20,"OPERADOR DE VEHICULOS DE EMERGENCIA (OVE)",IF(P2=CURSOS!$D$21,"INSTITUCIONES AMIGAS DE LA MUJER Y LA INFANCIA (IAMI)",IF(P2=CURSOS!$D$22,"CUIDADO DEL DONANTE DE ORGANOS",IF(P2=CURSOS!$D$23,"ATENCION A VICTIMAS POR VIOLENCIA DE GENERO",IF(P2=CURSOS!$D$24,"IGUALDAD DE GENERO EN LA SALUD",IF(P2=CURSOS!$D$25,"BRIGADA DE EMERGENCIA",IF(P2=CURSOS!$D$26,"MANEJO DEL DOLOR Y CUIDADOS PALIATIVOS",IF(P2=CURSOS!$D$27,"TOMA DE MUESTRAS Y LABORATORIO POCT",IF(P2=CURSOS!$D$28,"IMPLANTE SUBDERMICO DE DISPOSITIVO INTRAUTERINO",IF(P2=CURSOS!$D$29,"SALUD MENTAL",IF(P2=CURSOS!$D$30,"PRIMEROS AUXILIOS PSICOLOGICOS",IF(P2=CURSOS!$D$31,"ATENCION A VICTIMAS POR CONFLICTO ARMADO",IF(P2=CURSOS!$D$32,"MANIPULACION DE ALIMENTOS Y BPM",IF(P2=CURSOS!$D$33,"ATENCION A PERSONAS CON DISCAPACIDAD",IF(P2=CURSOS!$D$34,"CUIDADO INTEGRAL DEL PACIENTE ADULTO",IF(P2=CURSOS!$D$35,"MANEJO DEFENSIVO",IF(P2=CURSOS!$D$36,"SOPORTE CARDIOVASCULAR AVANZADO NEONATAL",IF(P2=CURSOS!$D$37,"SEGURIDAD DEL PACIENTE",IF(P2=CURSOS!$D$38,"MANEJO DE RESIDUOS HOSPITALARIOS"))))))))))))))))))))))))))))))))))))</f>
        <v>SOPORTE VITAL BASICO (BLS)</v>
      </c>
      <c r="W2" s="66" t="str">
        <f t="shared" ref="W2:W23" si="0">CONCATENATE(E2," ",F2," ",C2," ",D2)</f>
        <v>Amanda Sofia Trejo Yama</v>
      </c>
      <c r="X2" s="66" t="str">
        <f>PROPER(W2)</f>
        <v>Amanda Sofia Trejo Yama</v>
      </c>
      <c r="Y2" s="66" t="str">
        <f t="shared" ref="Y2:Y23" si="1">CONCATENATE(W2,"-",B2,"-",P2)</f>
        <v>Amanda Sofia Trejo Yama-59365172-BLS</v>
      </c>
    </row>
    <row r="3" spans="1:25" s="60" customFormat="1" x14ac:dyDescent="0.2">
      <c r="A3" s="61">
        <v>2</v>
      </c>
      <c r="B3" s="62">
        <v>1085916716</v>
      </c>
      <c r="C3" s="62" t="s">
        <v>132</v>
      </c>
      <c r="D3" s="62" t="s">
        <v>133</v>
      </c>
      <c r="E3" s="62" t="s">
        <v>134</v>
      </c>
      <c r="F3" s="62" t="s">
        <v>135</v>
      </c>
      <c r="G3" s="62">
        <v>1</v>
      </c>
      <c r="H3" s="62" t="s">
        <v>127</v>
      </c>
      <c r="I3" s="63" t="s">
        <v>128</v>
      </c>
      <c r="J3" s="63" t="s">
        <v>129</v>
      </c>
      <c r="K3" s="64">
        <v>45748</v>
      </c>
      <c r="L3" s="65">
        <v>40000</v>
      </c>
      <c r="M3" s="62" t="s">
        <v>221</v>
      </c>
      <c r="N3" s="62" t="s">
        <v>131</v>
      </c>
      <c r="O3" s="62" t="s">
        <v>130</v>
      </c>
      <c r="P3" s="62" t="s">
        <v>19</v>
      </c>
      <c r="Q3" s="63">
        <v>30734</v>
      </c>
      <c r="R3" s="62" t="s">
        <v>208</v>
      </c>
      <c r="S3" s="67" t="s">
        <v>105</v>
      </c>
      <c r="T3" s="62" t="s">
        <v>106</v>
      </c>
      <c r="U3" s="62" t="s">
        <v>104</v>
      </c>
      <c r="V3" s="66" t="str">
        <f>IF(P3=CURSOS!$D$3,"DIPLOMADO EN ATENCION PRE-HOSPITALARIA",IF(P3=CURSOS!$D$4,"ACOMPAÑAMIENTO Y MANEJO DEL DUELO",IF(P3=CURSOS!$D$5,"ATENCION A VICTIMAS DE ATAQUE CON AGENTES QUIMICOS ",IF(P3=CURSOS!$D$6,"PRIMEROS AUXILIOS ",IF(P3=CURSOS!$D$7,"DIPLOMADO DE UNIDAD DE CUIDADOS INTENSIVOS (UCI)",IF(P3=CURSOS!$D$8,"MODELO DE ATENCION PARA EVENTOS EMERGENTES EN SALUD MENTAL (CODIGO VERDE)",IF(P3=CURSOS!$D$9,"HUMANIZACION EN EL SERVICIO DE LA SALUD Y BUENAS PRACTICAS EN PACIENTE ",IF(P3=CURSOS!$D$10,"CLINICA DE HERIDAS ",IF(P3=CURSOS!$D$11,"TOMA DE CITOLOGIA CERVICO VAGINAL ",IF(P3=CURSOS!$D$12,"SOPORTE CARDIOVASCULAR AVANZADO (ACLS) ",IF(P3=CURSOS!$D$13,"CAMILLERO ",IF(P3=CURSOS!$D$14,"TOMA DE MUESTRAS Y LABORATORIO ",IF(P3=CURSOS!$D$15,"SOPORTE VITAL BASICO (BLS)",IF(P3=CURSOS!$D$16,"ATENCION A VICTIMAS DE VIOLENCIA SEXUAL ",IF(P3=CURSOS!$D$17,"PROGRAMADO AMPLIADO DE INMUNIZACION (PAI - COVID 19)",IF(P3=CURSOS!$D$18,"ATENCION INTEGRAL EN ENFERMEDADES PREVALENTES EN PRIMERA INFANCIA (AIEPI)",IF(P3=CURSOS!$D$19,"ADMINISTRACION DE MEDICAMENTOS, INYECTOLOGIA  Y CANALIZACION ",IF(P3=CURSOS!$D$20,"OPERADOR DE VEHICULOS DE EMERGENCIA (OVE)",IF(P3=CURSOS!$D$21,"INSTITUCIONES AMIGAS DE LA MUJER Y LA INFANCIA (IAMI)",IF(P3=CURSOS!$D$22,"CUIDADO DEL DONANTE DE ORGANOS",IF(P3=CURSOS!$D$23,"ATENCION A VICTIMAS POR VIOLENCIA DE GENERO",IF(P3=CURSOS!$D$24,"IGUALDAD DE GENERO EN LA SALUD",IF(P3=CURSOS!$D$25,"BRIGADA DE EMERGENCIA",IF(P3=CURSOS!$D$26,"MANEJO DEL DOLOR Y CUIDADOS PALIATIVOS",IF(P3=CURSOS!$D$27,"TOMA DE MUESTRAS Y LABORATORIO POCT",IF(P3=CURSOS!$D$28,"IMPLANTE SUBDERMICO DE DISPOSITIVO INTRAUTERINO",IF(P3=CURSOS!$D$29,"SALUD MENTAL",IF(P3=CURSOS!$D$30,"PRIMEROS AUXILIOS PSICOLOGICOS",IF(P3=CURSOS!$D$31,"ATENCION A VICTIMAS POR CONFLICTO ARMADO",IF(P3=CURSOS!$D$32,"MANIPULACION DE ALIMENTOS Y BPM",IF(P3=CURSOS!$D$33,"ATENCION A PERSONAS CON DISCAPACIDAD",IF(P3=CURSOS!$D$34,"CUIDADO INTEGRAL DEL PACIENTE ADULTO",IF(P3=CURSOS!$D$35,"MANEJO DEFENSIVO",IF(P3=CURSOS!$D$36,"SOPORTE CARDIOVASCULAR AVANZADO NEONATAL",IF(P3=CURSOS!$D$37,"SEGURIDAD DEL PACIENTE",IF(P3=CURSOS!$D$38,"MANEJO DE RESIDUOS HOSPITALARIOS"))))))))))))))))))))))))))))))))))))</f>
        <v>SOPORTE VITAL BASICO (BLS)</v>
      </c>
      <c r="W3" s="66" t="str">
        <f t="shared" si="0"/>
        <v>Ana Cristina Benavides Aldaz</v>
      </c>
      <c r="X3" s="66" t="str">
        <f t="shared" ref="X3:X66" si="2">PROPER(W3)</f>
        <v>Ana Cristina Benavides Aldaz</v>
      </c>
      <c r="Y3" s="66" t="str">
        <f t="shared" si="1"/>
        <v>Ana Cristina Benavides Aldaz-1085916716-BLS</v>
      </c>
    </row>
    <row r="4" spans="1:25" s="60" customFormat="1" x14ac:dyDescent="0.2">
      <c r="A4" s="61">
        <v>3</v>
      </c>
      <c r="B4" s="62">
        <v>37122611</v>
      </c>
      <c r="C4" s="62" t="s">
        <v>136</v>
      </c>
      <c r="D4" s="62"/>
      <c r="E4" s="62" t="s">
        <v>134</v>
      </c>
      <c r="F4" s="62" t="s">
        <v>135</v>
      </c>
      <c r="G4" s="62">
        <v>1</v>
      </c>
      <c r="H4" s="62" t="s">
        <v>127</v>
      </c>
      <c r="I4" s="63" t="s">
        <v>128</v>
      </c>
      <c r="J4" s="63" t="s">
        <v>129</v>
      </c>
      <c r="K4" s="64">
        <v>45748</v>
      </c>
      <c r="L4" s="65">
        <v>40000</v>
      </c>
      <c r="M4" s="62" t="s">
        <v>221</v>
      </c>
      <c r="N4" s="62" t="s">
        <v>131</v>
      </c>
      <c r="O4" s="62" t="s">
        <v>130</v>
      </c>
      <c r="P4" s="62" t="s">
        <v>19</v>
      </c>
      <c r="Q4" s="63">
        <v>29409</v>
      </c>
      <c r="R4" s="62" t="s">
        <v>208</v>
      </c>
      <c r="S4" s="67" t="s">
        <v>332</v>
      </c>
      <c r="T4" s="62">
        <v>3053670358</v>
      </c>
      <c r="U4" s="62" t="s">
        <v>104</v>
      </c>
      <c r="V4" s="66" t="str">
        <f>IF(P4=CURSOS!$D$3,"DIPLOMADO EN ATENCION PRE-HOSPITALARIA",IF(P4=CURSOS!$D$4,"ACOMPAÑAMIENTO Y MANEJO DEL DUELO",IF(P4=CURSOS!$D$5,"ATENCION A VICTIMAS DE ATAQUE CON AGENTES QUIMICOS ",IF(P4=CURSOS!$D$6,"PRIMEROS AUXILIOS ",IF(P4=CURSOS!$D$7,"DIPLOMADO DE UNIDAD DE CUIDADOS INTENSIVOS (UCI)",IF(P4=CURSOS!$D$8,"MODELO DE ATENCION PARA EVENTOS EMERGENTES EN SALUD MENTAL (CODIGO VERDE)",IF(P4=CURSOS!$D$9,"HUMANIZACION EN EL SERVICIO DE LA SALUD Y BUENAS PRACTICAS EN PACIENTE ",IF(P4=CURSOS!$D$10,"CLINICA DE HERIDAS ",IF(P4=CURSOS!$D$11,"TOMA DE CITOLOGIA CERVICO VAGINAL ",IF(P4=CURSOS!$D$12,"SOPORTE CARDIOVASCULAR AVANZADO (ACLS) ",IF(P4=CURSOS!$D$13,"CAMILLERO ",IF(P4=CURSOS!$D$14,"TOMA DE MUESTRAS Y LABORATORIO ",IF(P4=CURSOS!$D$15,"SOPORTE VITAL BASICO (BLS)",IF(P4=CURSOS!$D$16,"ATENCION A VICTIMAS DE VIOLENCIA SEXUAL ",IF(P4=CURSOS!$D$17,"PROGRAMADO AMPLIADO DE INMUNIZACION (PAI - COVID 19)",IF(P4=CURSOS!$D$18,"ATENCION INTEGRAL EN ENFERMEDADES PREVALENTES EN PRIMERA INFANCIA (AIEPI)",IF(P4=CURSOS!$D$19,"ADMINISTRACION DE MEDICAMENTOS, INYECTOLOGIA  Y CANALIZACION ",IF(P4=CURSOS!$D$20,"OPERADOR DE VEHICULOS DE EMERGENCIA (OVE)",IF(P4=CURSOS!$D$21,"INSTITUCIONES AMIGAS DE LA MUJER Y LA INFANCIA (IAMI)",IF(P4=CURSOS!$D$22,"CUIDADO DEL DONANTE DE ORGANOS",IF(P4=CURSOS!$D$23,"ATENCION A VICTIMAS POR VIOLENCIA DE GENERO",IF(P4=CURSOS!$D$24,"IGUALDAD DE GENERO EN LA SALUD",IF(P4=CURSOS!$D$25,"BRIGADA DE EMERGENCIA",IF(P4=CURSOS!$D$26,"MANEJO DEL DOLOR Y CUIDADOS PALIATIVOS",IF(P4=CURSOS!$D$27,"TOMA DE MUESTRAS Y LABORATORIO POCT",IF(P4=CURSOS!$D$28,"IMPLANTE SUBDERMICO DE DISPOSITIVO INTRAUTERINO",IF(P4=CURSOS!$D$29,"SALUD MENTAL",IF(P4=CURSOS!$D$30,"PRIMEROS AUXILIOS PSICOLOGICOS",IF(P4=CURSOS!$D$31,"ATENCION A VICTIMAS POR CONFLICTO ARMADO",IF(P4=CURSOS!$D$32,"MANIPULACION DE ALIMENTOS Y BPM",IF(P4=CURSOS!$D$33,"ATENCION A PERSONAS CON DISCAPACIDAD",IF(P4=CURSOS!$D$34,"CUIDADO INTEGRAL DEL PACIENTE ADULTO",IF(P4=CURSOS!$D$35,"MANEJO DEFENSIVO",IF(P4=CURSOS!$D$36,"SOPORTE CARDIOVASCULAR AVANZADO NEONATAL",IF(P4=CURSOS!$D$37,"SEGURIDAD DEL PACIENTE",IF(P4=CURSOS!$D$38,"MANEJO DE RESIDUOS HOSPITALARIOS"))))))))))))))))))))))))))))))))))))</f>
        <v>SOPORTE VITAL BASICO (BLS)</v>
      </c>
      <c r="W4" s="66" t="str">
        <f t="shared" si="0"/>
        <v xml:space="preserve">Ana Cristina Tenganan </v>
      </c>
      <c r="X4" s="66" t="str">
        <f t="shared" si="2"/>
        <v xml:space="preserve">Ana Cristina Tenganan </v>
      </c>
      <c r="Y4" s="66" t="str">
        <f t="shared" si="1"/>
        <v>Ana Cristina Tenganan -37122611-BLS</v>
      </c>
    </row>
    <row r="5" spans="1:25" s="60" customFormat="1" x14ac:dyDescent="0.2">
      <c r="A5" s="61">
        <v>4</v>
      </c>
      <c r="B5" s="62">
        <v>66862664</v>
      </c>
      <c r="C5" s="62" t="s">
        <v>137</v>
      </c>
      <c r="D5" s="62" t="s">
        <v>138</v>
      </c>
      <c r="E5" s="62" t="s">
        <v>134</v>
      </c>
      <c r="F5" s="62" t="s">
        <v>139</v>
      </c>
      <c r="G5" s="62">
        <v>1</v>
      </c>
      <c r="H5" s="62" t="s">
        <v>127</v>
      </c>
      <c r="I5" s="63" t="s">
        <v>128</v>
      </c>
      <c r="J5" s="63" t="s">
        <v>129</v>
      </c>
      <c r="K5" s="64">
        <v>45748</v>
      </c>
      <c r="L5" s="65">
        <v>40000</v>
      </c>
      <c r="M5" s="62" t="s">
        <v>221</v>
      </c>
      <c r="N5" s="62" t="s">
        <v>131</v>
      </c>
      <c r="O5" s="62" t="s">
        <v>130</v>
      </c>
      <c r="P5" s="62" t="s">
        <v>19</v>
      </c>
      <c r="Q5" s="63">
        <v>26890</v>
      </c>
      <c r="R5" s="62" t="s">
        <v>208</v>
      </c>
      <c r="S5" s="62" t="s">
        <v>105</v>
      </c>
      <c r="T5" s="62" t="s">
        <v>107</v>
      </c>
      <c r="U5" s="62" t="s">
        <v>104</v>
      </c>
      <c r="V5" s="66" t="str">
        <f>IF(P5=CURSOS!$D$3,"DIPLOMADO EN ATENCION PRE-HOSPITALARIA",IF(P5=CURSOS!$D$4,"ACOMPAÑAMIENTO Y MANEJO DEL DUELO",IF(P5=CURSOS!$D$5,"ATENCION A VICTIMAS DE ATAQUE CON AGENTES QUIMICOS ",IF(P5=CURSOS!$D$6,"PRIMEROS AUXILIOS ",IF(P5=CURSOS!$D$7,"DIPLOMADO DE UNIDAD DE CUIDADOS INTENSIVOS (UCI)",IF(P5=CURSOS!$D$8,"MODELO DE ATENCION PARA EVENTOS EMERGENTES EN SALUD MENTAL (CODIGO VERDE)",IF(P5=CURSOS!$D$9,"HUMANIZACION EN EL SERVICIO DE LA SALUD Y BUENAS PRACTICAS EN PACIENTE ",IF(P5=CURSOS!$D$10,"CLINICA DE HERIDAS ",IF(P5=CURSOS!$D$11,"TOMA DE CITOLOGIA CERVICO VAGINAL ",IF(P5=CURSOS!$D$12,"SOPORTE CARDIOVASCULAR AVANZADO (ACLS) ",IF(P5=CURSOS!$D$13,"CAMILLERO ",IF(P5=CURSOS!$D$14,"TOMA DE MUESTRAS Y LABORATORIO ",IF(P5=CURSOS!$D$15,"SOPORTE VITAL BASICO (BLS)",IF(P5=CURSOS!$D$16,"ATENCION A VICTIMAS DE VIOLENCIA SEXUAL ",IF(P5=CURSOS!$D$17,"PROGRAMADO AMPLIADO DE INMUNIZACION (PAI - COVID 19)",IF(P5=CURSOS!$D$18,"ATENCION INTEGRAL EN ENFERMEDADES PREVALENTES EN PRIMERA INFANCIA (AIEPI)",IF(P5=CURSOS!$D$19,"ADMINISTRACION DE MEDICAMENTOS, INYECTOLOGIA  Y CANALIZACION ",IF(P5=CURSOS!$D$20,"OPERADOR DE VEHICULOS DE EMERGENCIA (OVE)",IF(P5=CURSOS!$D$21,"INSTITUCIONES AMIGAS DE LA MUJER Y LA INFANCIA (IAMI)",IF(P5=CURSOS!$D$22,"CUIDADO DEL DONANTE DE ORGANOS",IF(P5=CURSOS!$D$23,"ATENCION A VICTIMAS POR VIOLENCIA DE GENERO",IF(P5=CURSOS!$D$24,"IGUALDAD DE GENERO EN LA SALUD",IF(P5=CURSOS!$D$25,"BRIGADA DE EMERGENCIA",IF(P5=CURSOS!$D$26,"MANEJO DEL DOLOR Y CUIDADOS PALIATIVOS",IF(P5=CURSOS!$D$27,"TOMA DE MUESTRAS Y LABORATORIO POCT",IF(P5=CURSOS!$D$28,"IMPLANTE SUBDERMICO DE DISPOSITIVO INTRAUTERINO",IF(P5=CURSOS!$D$29,"SALUD MENTAL",IF(P5=CURSOS!$D$30,"PRIMEROS AUXILIOS PSICOLOGICOS",IF(P5=CURSOS!$D$31,"ATENCION A VICTIMAS POR CONFLICTO ARMADO",IF(P5=CURSOS!$D$32,"MANIPULACION DE ALIMENTOS Y BPM",IF(P5=CURSOS!$D$33,"ATENCION A PERSONAS CON DISCAPACIDAD",IF(P5=CURSOS!$D$34,"CUIDADO INTEGRAL DEL PACIENTE ADULTO",IF(P5=CURSOS!$D$35,"MANEJO DEFENSIVO",IF(P5=CURSOS!$D$36,"SOPORTE CARDIOVASCULAR AVANZADO NEONATAL",IF(P5=CURSOS!$D$37,"SEGURIDAD DEL PACIENTE",IF(P5=CURSOS!$D$38,"MANEJO DE RESIDUOS HOSPITALARIOS"))))))))))))))))))))))))))))))))))))</f>
        <v>SOPORTE VITAL BASICO (BLS)</v>
      </c>
      <c r="W5" s="66" t="str">
        <f t="shared" si="0"/>
        <v>Ana Lidia Guerra Florez</v>
      </c>
      <c r="X5" s="66" t="str">
        <f t="shared" si="2"/>
        <v>Ana Lidia Guerra Florez</v>
      </c>
      <c r="Y5" s="66" t="str">
        <f t="shared" si="1"/>
        <v>Ana Lidia Guerra Florez-66862664-BLS</v>
      </c>
    </row>
    <row r="6" spans="1:25" s="60" customFormat="1" x14ac:dyDescent="0.2">
      <c r="A6" s="61">
        <v>5</v>
      </c>
      <c r="B6" s="62">
        <v>24336876</v>
      </c>
      <c r="C6" s="62" t="s">
        <v>140</v>
      </c>
      <c r="D6" s="62" t="s">
        <v>141</v>
      </c>
      <c r="E6" s="62" t="s">
        <v>142</v>
      </c>
      <c r="F6" s="62" t="s">
        <v>143</v>
      </c>
      <c r="G6" s="62">
        <v>1</v>
      </c>
      <c r="H6" s="62" t="s">
        <v>127</v>
      </c>
      <c r="I6" s="63" t="s">
        <v>128</v>
      </c>
      <c r="J6" s="63" t="s">
        <v>129</v>
      </c>
      <c r="K6" s="64">
        <v>45748</v>
      </c>
      <c r="L6" s="65">
        <v>40000</v>
      </c>
      <c r="M6" s="62" t="s">
        <v>221</v>
      </c>
      <c r="N6" s="62" t="s">
        <v>131</v>
      </c>
      <c r="O6" s="62" t="s">
        <v>130</v>
      </c>
      <c r="P6" s="62" t="s">
        <v>19</v>
      </c>
      <c r="Q6" s="63">
        <v>31028</v>
      </c>
      <c r="R6" s="62" t="s">
        <v>208</v>
      </c>
      <c r="S6" s="62" t="s">
        <v>105</v>
      </c>
      <c r="T6" s="62" t="s">
        <v>108</v>
      </c>
      <c r="U6" s="62" t="s">
        <v>104</v>
      </c>
      <c r="V6" s="66" t="str">
        <f>IF(P6=CURSOS!$D$3,"DIPLOMADO EN ATENCION PRE-HOSPITALARIA",IF(P6=CURSOS!$D$4,"ACOMPAÑAMIENTO Y MANEJO DEL DUELO",IF(P6=CURSOS!$D$5,"ATENCION A VICTIMAS DE ATAQUE CON AGENTES QUIMICOS ",IF(P6=CURSOS!$D$6,"PRIMEROS AUXILIOS ",IF(P6=CURSOS!$D$7,"DIPLOMADO DE UNIDAD DE CUIDADOS INTENSIVOS (UCI)",IF(P6=CURSOS!$D$8,"MODELO DE ATENCION PARA EVENTOS EMERGENTES EN SALUD MENTAL (CODIGO VERDE)",IF(P6=CURSOS!$D$9,"HUMANIZACION EN EL SERVICIO DE LA SALUD Y BUENAS PRACTICAS EN PACIENTE ",IF(P6=CURSOS!$D$10,"CLINICA DE HERIDAS ",IF(P6=CURSOS!$D$11,"TOMA DE CITOLOGIA CERVICO VAGINAL ",IF(P6=CURSOS!$D$12,"SOPORTE CARDIOVASCULAR AVANZADO (ACLS) ",IF(P6=CURSOS!$D$13,"CAMILLERO ",IF(P6=CURSOS!$D$14,"TOMA DE MUESTRAS Y LABORATORIO ",IF(P6=CURSOS!$D$15,"SOPORTE VITAL BASICO (BLS)",IF(P6=CURSOS!$D$16,"ATENCION A VICTIMAS DE VIOLENCIA SEXUAL ",IF(P6=CURSOS!$D$17,"PROGRAMADO AMPLIADO DE INMUNIZACION (PAI - COVID 19)",IF(P6=CURSOS!$D$18,"ATENCION INTEGRAL EN ENFERMEDADES PREVALENTES EN PRIMERA INFANCIA (AIEPI)",IF(P6=CURSOS!$D$19,"ADMINISTRACION DE MEDICAMENTOS, INYECTOLOGIA  Y CANALIZACION ",IF(P6=CURSOS!$D$20,"OPERADOR DE VEHICULOS DE EMERGENCIA (OVE)",IF(P6=CURSOS!$D$21,"INSTITUCIONES AMIGAS DE LA MUJER Y LA INFANCIA (IAMI)",IF(P6=CURSOS!$D$22,"CUIDADO DEL DONANTE DE ORGANOS",IF(P6=CURSOS!$D$23,"ATENCION A VICTIMAS POR VIOLENCIA DE GENERO",IF(P6=CURSOS!$D$24,"IGUALDAD DE GENERO EN LA SALUD",IF(P6=CURSOS!$D$25,"BRIGADA DE EMERGENCIA",IF(P6=CURSOS!$D$26,"MANEJO DEL DOLOR Y CUIDADOS PALIATIVOS",IF(P6=CURSOS!$D$27,"TOMA DE MUESTRAS Y LABORATORIO POCT",IF(P6=CURSOS!$D$28,"IMPLANTE SUBDERMICO DE DISPOSITIVO INTRAUTERINO",IF(P6=CURSOS!$D$29,"SALUD MENTAL",IF(P6=CURSOS!$D$30,"PRIMEROS AUXILIOS PSICOLOGICOS",IF(P6=CURSOS!$D$31,"ATENCION A VICTIMAS POR CONFLICTO ARMADO",IF(P6=CURSOS!$D$32,"MANIPULACION DE ALIMENTOS Y BPM",IF(P6=CURSOS!$D$33,"ATENCION A PERSONAS CON DISCAPACIDAD",IF(P6=CURSOS!$D$34,"CUIDADO INTEGRAL DEL PACIENTE ADULTO",IF(P6=CURSOS!$D$35,"MANEJO DEFENSIVO",IF(P6=CURSOS!$D$36,"SOPORTE CARDIOVASCULAR AVANZADO NEONATAL",IF(P6=CURSOS!$D$37,"SEGURIDAD DEL PACIENTE",IF(P6=CURSOS!$D$38,"MANEJO DE RESIDUOS HOSPITALARIOS"))))))))))))))))))))))))))))))))))))</f>
        <v>SOPORTE VITAL BASICO (BLS)</v>
      </c>
      <c r="W6" s="66" t="str">
        <f t="shared" si="0"/>
        <v>Angela Ines Ceballos Pantoja</v>
      </c>
      <c r="X6" s="66" t="str">
        <f t="shared" si="2"/>
        <v>Angela Ines Ceballos Pantoja</v>
      </c>
      <c r="Y6" s="66" t="str">
        <f t="shared" si="1"/>
        <v>Angela Ines Ceballos Pantoja-24336876-BLS</v>
      </c>
    </row>
    <row r="7" spans="1:25" s="60" customFormat="1" x14ac:dyDescent="0.2">
      <c r="A7" s="61">
        <v>6</v>
      </c>
      <c r="B7" s="62">
        <v>1085906212</v>
      </c>
      <c r="C7" s="62" t="s">
        <v>144</v>
      </c>
      <c r="D7" s="62" t="s">
        <v>145</v>
      </c>
      <c r="E7" s="62" t="s">
        <v>146</v>
      </c>
      <c r="F7" s="62" t="s">
        <v>147</v>
      </c>
      <c r="G7" s="62">
        <v>1</v>
      </c>
      <c r="H7" s="62" t="s">
        <v>127</v>
      </c>
      <c r="I7" s="63" t="s">
        <v>128</v>
      </c>
      <c r="J7" s="63" t="s">
        <v>129</v>
      </c>
      <c r="K7" s="64">
        <v>45748</v>
      </c>
      <c r="L7" s="65">
        <v>40000</v>
      </c>
      <c r="M7" s="62" t="s">
        <v>221</v>
      </c>
      <c r="N7" s="62" t="s">
        <v>131</v>
      </c>
      <c r="O7" s="62" t="s">
        <v>130</v>
      </c>
      <c r="P7" s="62" t="s">
        <v>19</v>
      </c>
      <c r="Q7" s="63">
        <v>32072</v>
      </c>
      <c r="R7" s="62" t="s">
        <v>208</v>
      </c>
      <c r="S7" s="62" t="s">
        <v>332</v>
      </c>
      <c r="T7" s="62" t="s">
        <v>109</v>
      </c>
      <c r="U7" s="62" t="s">
        <v>104</v>
      </c>
      <c r="V7" s="66" t="str">
        <f>IF(P7=CURSOS!$D$3,"DIPLOMADO EN ATENCION PRE-HOSPITALARIA",IF(P7=CURSOS!$D$4,"ACOMPAÑAMIENTO Y MANEJO DEL DUELO",IF(P7=CURSOS!$D$5,"ATENCION A VICTIMAS DE ATAQUE CON AGENTES QUIMICOS ",IF(P7=CURSOS!$D$6,"PRIMEROS AUXILIOS ",IF(P7=CURSOS!$D$7,"DIPLOMADO DE UNIDAD DE CUIDADOS INTENSIVOS (UCI)",IF(P7=CURSOS!$D$8,"MODELO DE ATENCION PARA EVENTOS EMERGENTES EN SALUD MENTAL (CODIGO VERDE)",IF(P7=CURSOS!$D$9,"HUMANIZACION EN EL SERVICIO DE LA SALUD Y BUENAS PRACTICAS EN PACIENTE ",IF(P7=CURSOS!$D$10,"CLINICA DE HERIDAS ",IF(P7=CURSOS!$D$11,"TOMA DE CITOLOGIA CERVICO VAGINAL ",IF(P7=CURSOS!$D$12,"SOPORTE CARDIOVASCULAR AVANZADO (ACLS) ",IF(P7=CURSOS!$D$13,"CAMILLERO ",IF(P7=CURSOS!$D$14,"TOMA DE MUESTRAS Y LABORATORIO ",IF(P7=CURSOS!$D$15,"SOPORTE VITAL BASICO (BLS)",IF(P7=CURSOS!$D$16,"ATENCION A VICTIMAS DE VIOLENCIA SEXUAL ",IF(P7=CURSOS!$D$17,"PROGRAMADO AMPLIADO DE INMUNIZACION (PAI - COVID 19)",IF(P7=CURSOS!$D$18,"ATENCION INTEGRAL EN ENFERMEDADES PREVALENTES EN PRIMERA INFANCIA (AIEPI)",IF(P7=CURSOS!$D$19,"ADMINISTRACION DE MEDICAMENTOS, INYECTOLOGIA  Y CANALIZACION ",IF(P7=CURSOS!$D$20,"OPERADOR DE VEHICULOS DE EMERGENCIA (OVE)",IF(P7=CURSOS!$D$21,"INSTITUCIONES AMIGAS DE LA MUJER Y LA INFANCIA (IAMI)",IF(P7=CURSOS!$D$22,"CUIDADO DEL DONANTE DE ORGANOS",IF(P7=CURSOS!$D$23,"ATENCION A VICTIMAS POR VIOLENCIA DE GENERO",IF(P7=CURSOS!$D$24,"IGUALDAD DE GENERO EN LA SALUD",IF(P7=CURSOS!$D$25,"BRIGADA DE EMERGENCIA",IF(P7=CURSOS!$D$26,"MANEJO DEL DOLOR Y CUIDADOS PALIATIVOS",IF(P7=CURSOS!$D$27,"TOMA DE MUESTRAS Y LABORATORIO POCT",IF(P7=CURSOS!$D$28,"IMPLANTE SUBDERMICO DE DISPOSITIVO INTRAUTERINO",IF(P7=CURSOS!$D$29,"SALUD MENTAL",IF(P7=CURSOS!$D$30,"PRIMEROS AUXILIOS PSICOLOGICOS",IF(P7=CURSOS!$D$31,"ATENCION A VICTIMAS POR CONFLICTO ARMADO",IF(P7=CURSOS!$D$32,"MANIPULACION DE ALIMENTOS Y BPM",IF(P7=CURSOS!$D$33,"ATENCION A PERSONAS CON DISCAPACIDAD",IF(P7=CURSOS!$D$34,"CUIDADO INTEGRAL DEL PACIENTE ADULTO",IF(P7=CURSOS!$D$35,"MANEJO DEFENSIVO",IF(P7=CURSOS!$D$36,"SOPORTE CARDIOVASCULAR AVANZADO NEONATAL",IF(P7=CURSOS!$D$37,"SEGURIDAD DEL PACIENTE",IF(P7=CURSOS!$D$38,"MANEJO DE RESIDUOS HOSPITALARIOS"))))))))))))))))))))))))))))))))))))</f>
        <v>SOPORTE VITAL BASICO (BLS)</v>
      </c>
      <c r="W7" s="66" t="str">
        <f t="shared" si="0"/>
        <v>Diana Elizabeth Murillo Patiño</v>
      </c>
      <c r="X7" s="66" t="str">
        <f t="shared" si="2"/>
        <v>Diana Elizabeth Murillo Patiño</v>
      </c>
      <c r="Y7" s="66" t="str">
        <f t="shared" si="1"/>
        <v>Diana Elizabeth Murillo Patiño-1085906212-BLS</v>
      </c>
    </row>
    <row r="8" spans="1:25" s="60" customFormat="1" x14ac:dyDescent="0.2">
      <c r="A8" s="61">
        <v>7</v>
      </c>
      <c r="B8" s="62">
        <v>1085902742</v>
      </c>
      <c r="C8" s="62" t="s">
        <v>148</v>
      </c>
      <c r="D8" s="62" t="s">
        <v>149</v>
      </c>
      <c r="E8" s="62" t="s">
        <v>146</v>
      </c>
      <c r="F8" s="62" t="s">
        <v>150</v>
      </c>
      <c r="G8" s="62">
        <v>1</v>
      </c>
      <c r="H8" s="62" t="s">
        <v>127</v>
      </c>
      <c r="I8" s="63" t="s">
        <v>128</v>
      </c>
      <c r="J8" s="63" t="s">
        <v>129</v>
      </c>
      <c r="K8" s="64">
        <v>45748</v>
      </c>
      <c r="L8" s="65">
        <v>40000</v>
      </c>
      <c r="M8" s="62" t="s">
        <v>221</v>
      </c>
      <c r="N8" s="62" t="s">
        <v>131</v>
      </c>
      <c r="O8" s="62" t="s">
        <v>130</v>
      </c>
      <c r="P8" s="62" t="s">
        <v>19</v>
      </c>
      <c r="Q8" s="63">
        <v>31894</v>
      </c>
      <c r="R8" s="62" t="s">
        <v>208</v>
      </c>
      <c r="S8" s="62" t="s">
        <v>105</v>
      </c>
      <c r="T8" s="62" t="s">
        <v>110</v>
      </c>
      <c r="U8" s="68" t="s">
        <v>104</v>
      </c>
      <c r="V8" s="66" t="str">
        <f>IF(P8=CURSOS!$D$3,"DIPLOMADO EN ATENCION PRE-HOSPITALARIA",IF(P8=CURSOS!$D$4,"ACOMPAÑAMIENTO Y MANEJO DEL DUELO",IF(P8=CURSOS!$D$5,"ATENCION A VICTIMAS DE ATAQUE CON AGENTES QUIMICOS ",IF(P8=CURSOS!$D$6,"PRIMEROS AUXILIOS ",IF(P8=CURSOS!$D$7,"DIPLOMADO DE UNIDAD DE CUIDADOS INTENSIVOS (UCI)",IF(P8=CURSOS!$D$8,"MODELO DE ATENCION PARA EVENTOS EMERGENTES EN SALUD MENTAL (CODIGO VERDE)",IF(P8=CURSOS!$D$9,"HUMANIZACION EN EL SERVICIO DE LA SALUD Y BUENAS PRACTICAS EN PACIENTE ",IF(P8=CURSOS!$D$10,"CLINICA DE HERIDAS ",IF(P8=CURSOS!$D$11,"TOMA DE CITOLOGIA CERVICO VAGINAL ",IF(P8=CURSOS!$D$12,"SOPORTE CARDIOVASCULAR AVANZADO (ACLS) ",IF(P8=CURSOS!$D$13,"CAMILLERO ",IF(P8=CURSOS!$D$14,"TOMA DE MUESTRAS Y LABORATORIO ",IF(P8=CURSOS!$D$15,"SOPORTE VITAL BASICO (BLS)",IF(P8=CURSOS!$D$16,"ATENCION A VICTIMAS DE VIOLENCIA SEXUAL ",IF(P8=CURSOS!$D$17,"PROGRAMADO AMPLIADO DE INMUNIZACION (PAI - COVID 19)",IF(P8=CURSOS!$D$18,"ATENCION INTEGRAL EN ENFERMEDADES PREVALENTES EN PRIMERA INFANCIA (AIEPI)",IF(P8=CURSOS!$D$19,"ADMINISTRACION DE MEDICAMENTOS, INYECTOLOGIA  Y CANALIZACION ",IF(P8=CURSOS!$D$20,"OPERADOR DE VEHICULOS DE EMERGENCIA (OVE)",IF(P8=CURSOS!$D$21,"INSTITUCIONES AMIGAS DE LA MUJER Y LA INFANCIA (IAMI)",IF(P8=CURSOS!$D$22,"CUIDADO DEL DONANTE DE ORGANOS",IF(P8=CURSOS!$D$23,"ATENCION A VICTIMAS POR VIOLENCIA DE GENERO",IF(P8=CURSOS!$D$24,"IGUALDAD DE GENERO EN LA SALUD",IF(P8=CURSOS!$D$25,"BRIGADA DE EMERGENCIA",IF(P8=CURSOS!$D$26,"MANEJO DEL DOLOR Y CUIDADOS PALIATIVOS",IF(P8=CURSOS!$D$27,"TOMA DE MUESTRAS Y LABORATORIO POCT",IF(P8=CURSOS!$D$28,"IMPLANTE SUBDERMICO DE DISPOSITIVO INTRAUTERINO",IF(P8=CURSOS!$D$29,"SALUD MENTAL",IF(P8=CURSOS!$D$30,"PRIMEROS AUXILIOS PSICOLOGICOS",IF(P8=CURSOS!$D$31,"ATENCION A VICTIMAS POR CONFLICTO ARMADO",IF(P8=CURSOS!$D$32,"MANIPULACION DE ALIMENTOS Y BPM",IF(P8=CURSOS!$D$33,"ATENCION A PERSONAS CON DISCAPACIDAD",IF(P8=CURSOS!$D$34,"CUIDADO INTEGRAL DEL PACIENTE ADULTO",IF(P8=CURSOS!$D$35,"MANEJO DEFENSIVO",IF(P8=CURSOS!$D$36,"SOPORTE CARDIOVASCULAR AVANZADO NEONATAL",IF(P8=CURSOS!$D$37,"SEGURIDAD DEL PACIENTE",IF(P8=CURSOS!$D$38,"MANEJO DE RESIDUOS HOSPITALARIOS"))))))))))))))))))))))))))))))))))))</f>
        <v>SOPORTE VITAL BASICO (BLS)</v>
      </c>
      <c r="W8" s="66" t="str">
        <f t="shared" si="0"/>
        <v>Diana Maria Ibarra Tobar</v>
      </c>
      <c r="X8" s="66" t="str">
        <f t="shared" si="2"/>
        <v>Diana Maria Ibarra Tobar</v>
      </c>
      <c r="Y8" s="66" t="str">
        <f t="shared" si="1"/>
        <v>Diana Maria Ibarra Tobar-1085902742-BLS</v>
      </c>
    </row>
    <row r="9" spans="1:25" s="60" customFormat="1" x14ac:dyDescent="0.2">
      <c r="A9" s="61">
        <v>8</v>
      </c>
      <c r="B9" s="62">
        <v>59178566</v>
      </c>
      <c r="C9" s="62" t="s">
        <v>151</v>
      </c>
      <c r="D9" s="62" t="s">
        <v>152</v>
      </c>
      <c r="E9" s="62" t="s">
        <v>153</v>
      </c>
      <c r="F9" s="62" t="s">
        <v>154</v>
      </c>
      <c r="G9" s="62">
        <v>1</v>
      </c>
      <c r="H9" s="62" t="s">
        <v>127</v>
      </c>
      <c r="I9" s="63" t="s">
        <v>128</v>
      </c>
      <c r="J9" s="63" t="s">
        <v>129</v>
      </c>
      <c r="K9" s="64">
        <v>45748</v>
      </c>
      <c r="L9" s="65">
        <v>40000</v>
      </c>
      <c r="M9" s="62" t="s">
        <v>221</v>
      </c>
      <c r="N9" s="62" t="s">
        <v>131</v>
      </c>
      <c r="O9" s="62" t="s">
        <v>130</v>
      </c>
      <c r="P9" s="62" t="s">
        <v>19</v>
      </c>
      <c r="Q9" s="63">
        <v>27401</v>
      </c>
      <c r="R9" s="62" t="s">
        <v>208</v>
      </c>
      <c r="S9" s="62" t="s">
        <v>332</v>
      </c>
      <c r="T9" s="62" t="s">
        <v>111</v>
      </c>
      <c r="U9" s="68" t="s">
        <v>104</v>
      </c>
      <c r="V9" s="66" t="str">
        <f>IF(P9=CURSOS!$D$3,"DIPLOMADO EN ATENCION PRE-HOSPITALARIA",IF(P9=CURSOS!$D$4,"ACOMPAÑAMIENTO Y MANEJO DEL DUELO",IF(P9=CURSOS!$D$5,"ATENCION A VICTIMAS DE ATAQUE CON AGENTES QUIMICOS ",IF(P9=CURSOS!$D$6,"PRIMEROS AUXILIOS ",IF(P9=CURSOS!$D$7,"DIPLOMADO DE UNIDAD DE CUIDADOS INTENSIVOS (UCI)",IF(P9=CURSOS!$D$8,"MODELO DE ATENCION PARA EVENTOS EMERGENTES EN SALUD MENTAL (CODIGO VERDE)",IF(P9=CURSOS!$D$9,"HUMANIZACION EN EL SERVICIO DE LA SALUD Y BUENAS PRACTICAS EN PACIENTE ",IF(P9=CURSOS!$D$10,"CLINICA DE HERIDAS ",IF(P9=CURSOS!$D$11,"TOMA DE CITOLOGIA CERVICO VAGINAL ",IF(P9=CURSOS!$D$12,"SOPORTE CARDIOVASCULAR AVANZADO (ACLS) ",IF(P9=CURSOS!$D$13,"CAMILLERO ",IF(P9=CURSOS!$D$14,"TOMA DE MUESTRAS Y LABORATORIO ",IF(P9=CURSOS!$D$15,"SOPORTE VITAL BASICO (BLS)",IF(P9=CURSOS!$D$16,"ATENCION A VICTIMAS DE VIOLENCIA SEXUAL ",IF(P9=CURSOS!$D$17,"PROGRAMADO AMPLIADO DE INMUNIZACION (PAI - COVID 19)",IF(P9=CURSOS!$D$18,"ATENCION INTEGRAL EN ENFERMEDADES PREVALENTES EN PRIMERA INFANCIA (AIEPI)",IF(P9=CURSOS!$D$19,"ADMINISTRACION DE MEDICAMENTOS, INYECTOLOGIA  Y CANALIZACION ",IF(P9=CURSOS!$D$20,"OPERADOR DE VEHICULOS DE EMERGENCIA (OVE)",IF(P9=CURSOS!$D$21,"INSTITUCIONES AMIGAS DE LA MUJER Y LA INFANCIA (IAMI)",IF(P9=CURSOS!$D$22,"CUIDADO DEL DONANTE DE ORGANOS",IF(P9=CURSOS!$D$23,"ATENCION A VICTIMAS POR VIOLENCIA DE GENERO",IF(P9=CURSOS!$D$24,"IGUALDAD DE GENERO EN LA SALUD",IF(P9=CURSOS!$D$25,"BRIGADA DE EMERGENCIA",IF(P9=CURSOS!$D$26,"MANEJO DEL DOLOR Y CUIDADOS PALIATIVOS",IF(P9=CURSOS!$D$27,"TOMA DE MUESTRAS Y LABORATORIO POCT",IF(P9=CURSOS!$D$28,"IMPLANTE SUBDERMICO DE DISPOSITIVO INTRAUTERINO",IF(P9=CURSOS!$D$29,"SALUD MENTAL",IF(P9=CURSOS!$D$30,"PRIMEROS AUXILIOS PSICOLOGICOS",IF(P9=CURSOS!$D$31,"ATENCION A VICTIMAS POR CONFLICTO ARMADO",IF(P9=CURSOS!$D$32,"MANIPULACION DE ALIMENTOS Y BPM",IF(P9=CURSOS!$D$33,"ATENCION A PERSONAS CON DISCAPACIDAD",IF(P9=CURSOS!$D$34,"CUIDADO INTEGRAL DEL PACIENTE ADULTO",IF(P9=CURSOS!$D$35,"MANEJO DEFENSIVO",IF(P9=CURSOS!$D$36,"SOPORTE CARDIOVASCULAR AVANZADO NEONATAL",IF(P9=CURSOS!$D$37,"SEGURIDAD DEL PACIENTE",IF(P9=CURSOS!$D$38,"MANEJO DE RESIDUOS HOSPITALARIOS"))))))))))))))))))))))))))))))))))))</f>
        <v>SOPORTE VITAL BASICO (BLS)</v>
      </c>
      <c r="W9" s="66" t="str">
        <f t="shared" si="0"/>
        <v>Elvia Mercedes Chinguad Irua</v>
      </c>
      <c r="X9" s="66" t="str">
        <f t="shared" si="2"/>
        <v>Elvia Mercedes Chinguad Irua</v>
      </c>
      <c r="Y9" s="66" t="str">
        <f t="shared" si="1"/>
        <v>Elvia Mercedes Chinguad Irua-59178566-BLS</v>
      </c>
    </row>
    <row r="10" spans="1:25" s="60" customFormat="1" x14ac:dyDescent="0.2">
      <c r="A10" s="61">
        <v>9</v>
      </c>
      <c r="B10" s="62">
        <v>1085272196</v>
      </c>
      <c r="C10" s="62" t="s">
        <v>155</v>
      </c>
      <c r="D10" s="62" t="s">
        <v>156</v>
      </c>
      <c r="E10" s="62" t="s">
        <v>157</v>
      </c>
      <c r="F10" s="62" t="s">
        <v>158</v>
      </c>
      <c r="G10" s="62">
        <v>1</v>
      </c>
      <c r="H10" s="62" t="s">
        <v>127</v>
      </c>
      <c r="I10" s="63" t="s">
        <v>128</v>
      </c>
      <c r="J10" s="63" t="s">
        <v>129</v>
      </c>
      <c r="K10" s="64">
        <v>45748</v>
      </c>
      <c r="L10" s="65">
        <v>40000</v>
      </c>
      <c r="M10" s="62" t="s">
        <v>221</v>
      </c>
      <c r="N10" s="62" t="s">
        <v>131</v>
      </c>
      <c r="O10" s="62" t="s">
        <v>130</v>
      </c>
      <c r="P10" s="62" t="s">
        <v>19</v>
      </c>
      <c r="Q10" s="63">
        <v>32173</v>
      </c>
      <c r="R10" s="62" t="s">
        <v>208</v>
      </c>
      <c r="S10" s="62" t="s">
        <v>105</v>
      </c>
      <c r="T10" s="62" t="s">
        <v>112</v>
      </c>
      <c r="U10" s="62" t="s">
        <v>104</v>
      </c>
      <c r="V10" s="66" t="str">
        <f>IF(P10=CURSOS!$D$3,"DIPLOMADO EN ATENCION PRE-HOSPITALARIA",IF(P10=CURSOS!$D$4,"ACOMPAÑAMIENTO Y MANEJO DEL DUELO",IF(P10=CURSOS!$D$5,"ATENCION A VICTIMAS DE ATAQUE CON AGENTES QUIMICOS ",IF(P10=CURSOS!$D$6,"PRIMEROS AUXILIOS ",IF(P10=CURSOS!$D$7,"DIPLOMADO DE UNIDAD DE CUIDADOS INTENSIVOS (UCI)",IF(P10=CURSOS!$D$8,"MODELO DE ATENCION PARA EVENTOS EMERGENTES EN SALUD MENTAL (CODIGO VERDE)",IF(P10=CURSOS!$D$9,"HUMANIZACION EN EL SERVICIO DE LA SALUD Y BUENAS PRACTICAS EN PACIENTE ",IF(P10=CURSOS!$D$10,"CLINICA DE HERIDAS ",IF(P10=CURSOS!$D$11,"TOMA DE CITOLOGIA CERVICO VAGINAL ",IF(P10=CURSOS!$D$12,"SOPORTE CARDIOVASCULAR AVANZADO (ACLS) ",IF(P10=CURSOS!$D$13,"CAMILLERO ",IF(P10=CURSOS!$D$14,"TOMA DE MUESTRAS Y LABORATORIO ",IF(P10=CURSOS!$D$15,"SOPORTE VITAL BASICO (BLS)",IF(P10=CURSOS!$D$16,"ATENCION A VICTIMAS DE VIOLENCIA SEXUAL ",IF(P10=CURSOS!$D$17,"PROGRAMADO AMPLIADO DE INMUNIZACION (PAI - COVID 19)",IF(P10=CURSOS!$D$18,"ATENCION INTEGRAL EN ENFERMEDADES PREVALENTES EN PRIMERA INFANCIA (AIEPI)",IF(P10=CURSOS!$D$19,"ADMINISTRACION DE MEDICAMENTOS, INYECTOLOGIA  Y CANALIZACION ",IF(P10=CURSOS!$D$20,"OPERADOR DE VEHICULOS DE EMERGENCIA (OVE)",IF(P10=CURSOS!$D$21,"INSTITUCIONES AMIGAS DE LA MUJER Y LA INFANCIA (IAMI)",IF(P10=CURSOS!$D$22,"CUIDADO DEL DONANTE DE ORGANOS",IF(P10=CURSOS!$D$23,"ATENCION A VICTIMAS POR VIOLENCIA DE GENERO",IF(P10=CURSOS!$D$24,"IGUALDAD DE GENERO EN LA SALUD",IF(P10=CURSOS!$D$25,"BRIGADA DE EMERGENCIA",IF(P10=CURSOS!$D$26,"MANEJO DEL DOLOR Y CUIDADOS PALIATIVOS",IF(P10=CURSOS!$D$27,"TOMA DE MUESTRAS Y LABORATORIO POCT",IF(P10=CURSOS!$D$28,"IMPLANTE SUBDERMICO DE DISPOSITIVO INTRAUTERINO",IF(P10=CURSOS!$D$29,"SALUD MENTAL",IF(P10=CURSOS!$D$30,"PRIMEROS AUXILIOS PSICOLOGICOS",IF(P10=CURSOS!$D$31,"ATENCION A VICTIMAS POR CONFLICTO ARMADO",IF(P10=CURSOS!$D$32,"MANIPULACION DE ALIMENTOS Y BPM",IF(P10=CURSOS!$D$33,"ATENCION A PERSONAS CON DISCAPACIDAD",IF(P10=CURSOS!$D$34,"CUIDADO INTEGRAL DEL PACIENTE ADULTO",IF(P10=CURSOS!$D$35,"MANEJO DEFENSIVO",IF(P10=CURSOS!$D$36,"SOPORTE CARDIOVASCULAR AVANZADO NEONATAL",IF(P10=CURSOS!$D$37,"SEGURIDAD DEL PACIENTE",IF(P10=CURSOS!$D$38,"MANEJO DE RESIDUOS HOSPITALARIOS"))))))))))))))))))))))))))))))))))))</f>
        <v>SOPORTE VITAL BASICO (BLS)</v>
      </c>
      <c r="W10" s="66" t="str">
        <f t="shared" si="0"/>
        <v>Greis Estefani Parra Ortega</v>
      </c>
      <c r="X10" s="66" t="str">
        <f t="shared" si="2"/>
        <v>Greis Estefani Parra Ortega</v>
      </c>
      <c r="Y10" s="66" t="str">
        <f t="shared" si="1"/>
        <v>Greis Estefani Parra Ortega-1085272196-BLS</v>
      </c>
    </row>
    <row r="11" spans="1:25" s="60" customFormat="1" x14ac:dyDescent="0.2">
      <c r="A11" s="61">
        <v>10</v>
      </c>
      <c r="B11" s="62">
        <v>24337493</v>
      </c>
      <c r="C11" s="62" t="s">
        <v>132</v>
      </c>
      <c r="D11" s="62" t="s">
        <v>159</v>
      </c>
      <c r="E11" s="62" t="s">
        <v>160</v>
      </c>
      <c r="F11" s="62" t="s">
        <v>161</v>
      </c>
      <c r="G11" s="62">
        <v>1</v>
      </c>
      <c r="H11" s="62" t="s">
        <v>127</v>
      </c>
      <c r="I11" s="63" t="s">
        <v>128</v>
      </c>
      <c r="J11" s="63" t="s">
        <v>129</v>
      </c>
      <c r="K11" s="64">
        <v>45748</v>
      </c>
      <c r="L11" s="65">
        <v>40000</v>
      </c>
      <c r="M11" s="62" t="s">
        <v>221</v>
      </c>
      <c r="N11" s="62" t="s">
        <v>131</v>
      </c>
      <c r="O11" s="62" t="s">
        <v>130</v>
      </c>
      <c r="P11" s="62" t="s">
        <v>19</v>
      </c>
      <c r="Q11" s="63">
        <v>30996</v>
      </c>
      <c r="R11" s="62" t="s">
        <v>208</v>
      </c>
      <c r="S11" s="62" t="s">
        <v>105</v>
      </c>
      <c r="T11" s="62" t="s">
        <v>113</v>
      </c>
      <c r="U11" s="62" t="s">
        <v>104</v>
      </c>
      <c r="V11" s="66" t="str">
        <f>IF(P11=CURSOS!$D$3,"DIPLOMADO EN ATENCION PRE-HOSPITALARIA",IF(P11=CURSOS!$D$4,"ACOMPAÑAMIENTO Y MANEJO DEL DUELO",IF(P11=CURSOS!$D$5,"ATENCION A VICTIMAS DE ATAQUE CON AGENTES QUIMICOS ",IF(P11=CURSOS!$D$6,"PRIMEROS AUXILIOS ",IF(P11=CURSOS!$D$7,"DIPLOMADO DE UNIDAD DE CUIDADOS INTENSIVOS (UCI)",IF(P11=CURSOS!$D$8,"MODELO DE ATENCION PARA EVENTOS EMERGENTES EN SALUD MENTAL (CODIGO VERDE)",IF(P11=CURSOS!$D$9,"HUMANIZACION EN EL SERVICIO DE LA SALUD Y BUENAS PRACTICAS EN PACIENTE ",IF(P11=CURSOS!$D$10,"CLINICA DE HERIDAS ",IF(P11=CURSOS!$D$11,"TOMA DE CITOLOGIA CERVICO VAGINAL ",IF(P11=CURSOS!$D$12,"SOPORTE CARDIOVASCULAR AVANZADO (ACLS) ",IF(P11=CURSOS!$D$13,"CAMILLERO ",IF(P11=CURSOS!$D$14,"TOMA DE MUESTRAS Y LABORATORIO ",IF(P11=CURSOS!$D$15,"SOPORTE VITAL BASICO (BLS)",IF(P11=CURSOS!$D$16,"ATENCION A VICTIMAS DE VIOLENCIA SEXUAL ",IF(P11=CURSOS!$D$17,"PROGRAMADO AMPLIADO DE INMUNIZACION (PAI - COVID 19)",IF(P11=CURSOS!$D$18,"ATENCION INTEGRAL EN ENFERMEDADES PREVALENTES EN PRIMERA INFANCIA (AIEPI)",IF(P11=CURSOS!$D$19,"ADMINISTRACION DE MEDICAMENTOS, INYECTOLOGIA  Y CANALIZACION ",IF(P11=CURSOS!$D$20,"OPERADOR DE VEHICULOS DE EMERGENCIA (OVE)",IF(P11=CURSOS!$D$21,"INSTITUCIONES AMIGAS DE LA MUJER Y LA INFANCIA (IAMI)",IF(P11=CURSOS!$D$22,"CUIDADO DEL DONANTE DE ORGANOS",IF(P11=CURSOS!$D$23,"ATENCION A VICTIMAS POR VIOLENCIA DE GENERO",IF(P11=CURSOS!$D$24,"IGUALDAD DE GENERO EN LA SALUD",IF(P11=CURSOS!$D$25,"BRIGADA DE EMERGENCIA",IF(P11=CURSOS!$D$26,"MANEJO DEL DOLOR Y CUIDADOS PALIATIVOS",IF(P11=CURSOS!$D$27,"TOMA DE MUESTRAS Y LABORATORIO POCT",IF(P11=CURSOS!$D$28,"IMPLANTE SUBDERMICO DE DISPOSITIVO INTRAUTERINO",IF(P11=CURSOS!$D$29,"SALUD MENTAL",IF(P11=CURSOS!$D$30,"PRIMEROS AUXILIOS PSICOLOGICOS",IF(P11=CURSOS!$D$31,"ATENCION A VICTIMAS POR CONFLICTO ARMADO",IF(P11=CURSOS!$D$32,"MANIPULACION DE ALIMENTOS Y BPM",IF(P11=CURSOS!$D$33,"ATENCION A PERSONAS CON DISCAPACIDAD",IF(P11=CURSOS!$D$34,"CUIDADO INTEGRAL DEL PACIENTE ADULTO",IF(P11=CURSOS!$D$35,"MANEJO DEFENSIVO",IF(P11=CURSOS!$D$36,"SOPORTE CARDIOVASCULAR AVANZADO NEONATAL",IF(P11=CURSOS!$D$37,"SEGURIDAD DEL PACIENTE",IF(P11=CURSOS!$D$38,"MANEJO DE RESIDUOS HOSPITALARIOS"))))))))))))))))))))))))))))))))))))</f>
        <v>SOPORTE VITAL BASICO (BLS)</v>
      </c>
      <c r="W11" s="66" t="str">
        <f t="shared" si="0"/>
        <v>Idalba Andrea Benavides Erazo</v>
      </c>
      <c r="X11" s="66" t="str">
        <f t="shared" si="2"/>
        <v>Idalba Andrea Benavides Erazo</v>
      </c>
      <c r="Y11" s="66" t="str">
        <f t="shared" si="1"/>
        <v>Idalba Andrea Benavides Erazo-24337493-BLS</v>
      </c>
    </row>
    <row r="12" spans="1:25" s="60" customFormat="1" x14ac:dyDescent="0.2">
      <c r="A12" s="61">
        <v>11</v>
      </c>
      <c r="B12" s="62">
        <v>52524162</v>
      </c>
      <c r="C12" s="62" t="s">
        <v>162</v>
      </c>
      <c r="D12" s="62" t="s">
        <v>162</v>
      </c>
      <c r="E12" s="62" t="s">
        <v>163</v>
      </c>
      <c r="F12" s="62" t="s">
        <v>147</v>
      </c>
      <c r="G12" s="62">
        <v>1</v>
      </c>
      <c r="H12" s="62" t="s">
        <v>127</v>
      </c>
      <c r="I12" s="63" t="s">
        <v>128</v>
      </c>
      <c r="J12" s="63" t="s">
        <v>129</v>
      </c>
      <c r="K12" s="64">
        <v>45748</v>
      </c>
      <c r="L12" s="65">
        <v>40000</v>
      </c>
      <c r="M12" s="62" t="s">
        <v>221</v>
      </c>
      <c r="N12" s="62" t="s">
        <v>131</v>
      </c>
      <c r="O12" s="62" t="s">
        <v>130</v>
      </c>
      <c r="P12" s="62" t="s">
        <v>19</v>
      </c>
      <c r="Q12" s="63">
        <v>28783</v>
      </c>
      <c r="R12" s="62" t="s">
        <v>208</v>
      </c>
      <c r="S12" s="62" t="s">
        <v>105</v>
      </c>
      <c r="T12" s="62" t="s">
        <v>114</v>
      </c>
      <c r="U12" s="62" t="s">
        <v>104</v>
      </c>
      <c r="V12" s="66" t="str">
        <f>IF(P12=CURSOS!$D$3,"DIPLOMADO EN ATENCION PRE-HOSPITALARIA",IF(P12=CURSOS!$D$4,"ACOMPAÑAMIENTO Y MANEJO DEL DUELO",IF(P12=CURSOS!$D$5,"ATENCION A VICTIMAS DE ATAQUE CON AGENTES QUIMICOS ",IF(P12=CURSOS!$D$6,"PRIMEROS AUXILIOS ",IF(P12=CURSOS!$D$7,"DIPLOMADO DE UNIDAD DE CUIDADOS INTENSIVOS (UCI)",IF(P12=CURSOS!$D$8,"MODELO DE ATENCION PARA EVENTOS EMERGENTES EN SALUD MENTAL (CODIGO VERDE)",IF(P12=CURSOS!$D$9,"HUMANIZACION EN EL SERVICIO DE LA SALUD Y BUENAS PRACTICAS EN PACIENTE ",IF(P12=CURSOS!$D$10,"CLINICA DE HERIDAS ",IF(P12=CURSOS!$D$11,"TOMA DE CITOLOGIA CERVICO VAGINAL ",IF(P12=CURSOS!$D$12,"SOPORTE CARDIOVASCULAR AVANZADO (ACLS) ",IF(P12=CURSOS!$D$13,"CAMILLERO ",IF(P12=CURSOS!$D$14,"TOMA DE MUESTRAS Y LABORATORIO ",IF(P12=CURSOS!$D$15,"SOPORTE VITAL BASICO (BLS)",IF(P12=CURSOS!$D$16,"ATENCION A VICTIMAS DE VIOLENCIA SEXUAL ",IF(P12=CURSOS!$D$17,"PROGRAMADO AMPLIADO DE INMUNIZACION (PAI - COVID 19)",IF(P12=CURSOS!$D$18,"ATENCION INTEGRAL EN ENFERMEDADES PREVALENTES EN PRIMERA INFANCIA (AIEPI)",IF(P12=CURSOS!$D$19,"ADMINISTRACION DE MEDICAMENTOS, INYECTOLOGIA  Y CANALIZACION ",IF(P12=CURSOS!$D$20,"OPERADOR DE VEHICULOS DE EMERGENCIA (OVE)",IF(P12=CURSOS!$D$21,"INSTITUCIONES AMIGAS DE LA MUJER Y LA INFANCIA (IAMI)",IF(P12=CURSOS!$D$22,"CUIDADO DEL DONANTE DE ORGANOS",IF(P12=CURSOS!$D$23,"ATENCION A VICTIMAS POR VIOLENCIA DE GENERO",IF(P12=CURSOS!$D$24,"IGUALDAD DE GENERO EN LA SALUD",IF(P12=CURSOS!$D$25,"BRIGADA DE EMERGENCIA",IF(P12=CURSOS!$D$26,"MANEJO DEL DOLOR Y CUIDADOS PALIATIVOS",IF(P12=CURSOS!$D$27,"TOMA DE MUESTRAS Y LABORATORIO POCT",IF(P12=CURSOS!$D$28,"IMPLANTE SUBDERMICO DE DISPOSITIVO INTRAUTERINO",IF(P12=CURSOS!$D$29,"SALUD MENTAL",IF(P12=CURSOS!$D$30,"PRIMEROS AUXILIOS PSICOLOGICOS",IF(P12=CURSOS!$D$31,"ATENCION A VICTIMAS POR CONFLICTO ARMADO",IF(P12=CURSOS!$D$32,"MANIPULACION DE ALIMENTOS Y BPM",IF(P12=CURSOS!$D$33,"ATENCION A PERSONAS CON DISCAPACIDAD",IF(P12=CURSOS!$D$34,"CUIDADO INTEGRAL DEL PACIENTE ADULTO",IF(P12=CURSOS!$D$35,"MANEJO DEFENSIVO",IF(P12=CURSOS!$D$36,"SOPORTE CARDIOVASCULAR AVANZADO NEONATAL",IF(P12=CURSOS!$D$37,"SEGURIDAD DEL PACIENTE",IF(P12=CURSOS!$D$38,"MANEJO DE RESIDUOS HOSPITALARIOS"))))))))))))))))))))))))))))))))))))</f>
        <v>SOPORTE VITAL BASICO (BLS)</v>
      </c>
      <c r="W12" s="66" t="str">
        <f t="shared" si="0"/>
        <v>Johana Elizabeth Bernal Bernal</v>
      </c>
      <c r="X12" s="66" t="str">
        <f t="shared" si="2"/>
        <v>Johana Elizabeth Bernal Bernal</v>
      </c>
      <c r="Y12" s="66" t="str">
        <f t="shared" si="1"/>
        <v>Johana Elizabeth Bernal Bernal-52524162-BLS</v>
      </c>
    </row>
    <row r="13" spans="1:25" s="60" customFormat="1" x14ac:dyDescent="0.2">
      <c r="A13" s="61">
        <v>12</v>
      </c>
      <c r="B13" s="62">
        <v>1085933449</v>
      </c>
      <c r="C13" s="62" t="s">
        <v>164</v>
      </c>
      <c r="D13" s="62" t="s">
        <v>165</v>
      </c>
      <c r="E13" s="62" t="s">
        <v>166</v>
      </c>
      <c r="F13" s="62" t="s">
        <v>167</v>
      </c>
      <c r="G13" s="62">
        <v>1</v>
      </c>
      <c r="H13" s="62" t="s">
        <v>127</v>
      </c>
      <c r="I13" s="63" t="s">
        <v>128</v>
      </c>
      <c r="J13" s="63" t="s">
        <v>129</v>
      </c>
      <c r="K13" s="64">
        <v>45748</v>
      </c>
      <c r="L13" s="65">
        <v>40000</v>
      </c>
      <c r="M13" s="62" t="s">
        <v>221</v>
      </c>
      <c r="N13" s="62" t="s">
        <v>131</v>
      </c>
      <c r="O13" s="62" t="s">
        <v>130</v>
      </c>
      <c r="P13" s="62" t="s">
        <v>19</v>
      </c>
      <c r="Q13" s="63">
        <v>34295</v>
      </c>
      <c r="R13" s="62" t="s">
        <v>209</v>
      </c>
      <c r="S13" s="62" t="s">
        <v>332</v>
      </c>
      <c r="T13" s="67" t="s">
        <v>115</v>
      </c>
      <c r="U13" s="62" t="s">
        <v>104</v>
      </c>
      <c r="V13" s="66" t="str">
        <f>IF(P13=CURSOS!$D$3,"DIPLOMADO EN ATENCION PRE-HOSPITALARIA",IF(P13=CURSOS!$D$4,"ACOMPAÑAMIENTO Y MANEJO DEL DUELO",IF(P13=CURSOS!$D$5,"ATENCION A VICTIMAS DE ATAQUE CON AGENTES QUIMICOS ",IF(P13=CURSOS!$D$6,"PRIMEROS AUXILIOS ",IF(P13=CURSOS!$D$7,"DIPLOMADO DE UNIDAD DE CUIDADOS INTENSIVOS (UCI)",IF(P13=CURSOS!$D$8,"MODELO DE ATENCION PARA EVENTOS EMERGENTES EN SALUD MENTAL (CODIGO VERDE)",IF(P13=CURSOS!$D$9,"HUMANIZACION EN EL SERVICIO DE LA SALUD Y BUENAS PRACTICAS EN PACIENTE ",IF(P13=CURSOS!$D$10,"CLINICA DE HERIDAS ",IF(P13=CURSOS!$D$11,"TOMA DE CITOLOGIA CERVICO VAGINAL ",IF(P13=CURSOS!$D$12,"SOPORTE CARDIOVASCULAR AVANZADO (ACLS) ",IF(P13=CURSOS!$D$13,"CAMILLERO ",IF(P13=CURSOS!$D$14,"TOMA DE MUESTRAS Y LABORATORIO ",IF(P13=CURSOS!$D$15,"SOPORTE VITAL BASICO (BLS)",IF(P13=CURSOS!$D$16,"ATENCION A VICTIMAS DE VIOLENCIA SEXUAL ",IF(P13=CURSOS!$D$17,"PROGRAMADO AMPLIADO DE INMUNIZACION (PAI - COVID 19)",IF(P13=CURSOS!$D$18,"ATENCION INTEGRAL EN ENFERMEDADES PREVALENTES EN PRIMERA INFANCIA (AIEPI)",IF(P13=CURSOS!$D$19,"ADMINISTRACION DE MEDICAMENTOS, INYECTOLOGIA  Y CANALIZACION ",IF(P13=CURSOS!$D$20,"OPERADOR DE VEHICULOS DE EMERGENCIA (OVE)",IF(P13=CURSOS!$D$21,"INSTITUCIONES AMIGAS DE LA MUJER Y LA INFANCIA (IAMI)",IF(P13=CURSOS!$D$22,"CUIDADO DEL DONANTE DE ORGANOS",IF(P13=CURSOS!$D$23,"ATENCION A VICTIMAS POR VIOLENCIA DE GENERO",IF(P13=CURSOS!$D$24,"IGUALDAD DE GENERO EN LA SALUD",IF(P13=CURSOS!$D$25,"BRIGADA DE EMERGENCIA",IF(P13=CURSOS!$D$26,"MANEJO DEL DOLOR Y CUIDADOS PALIATIVOS",IF(P13=CURSOS!$D$27,"TOMA DE MUESTRAS Y LABORATORIO POCT",IF(P13=CURSOS!$D$28,"IMPLANTE SUBDERMICO DE DISPOSITIVO INTRAUTERINO",IF(P13=CURSOS!$D$29,"SALUD MENTAL",IF(P13=CURSOS!$D$30,"PRIMEROS AUXILIOS PSICOLOGICOS",IF(P13=CURSOS!$D$31,"ATENCION A VICTIMAS POR CONFLICTO ARMADO",IF(P13=CURSOS!$D$32,"MANIPULACION DE ALIMENTOS Y BPM",IF(P13=CURSOS!$D$33,"ATENCION A PERSONAS CON DISCAPACIDAD",IF(P13=CURSOS!$D$34,"CUIDADO INTEGRAL DEL PACIENTE ADULTO",IF(P13=CURSOS!$D$35,"MANEJO DEFENSIVO",IF(P13=CURSOS!$D$36,"SOPORTE CARDIOVASCULAR AVANZADO NEONATAL",IF(P13=CURSOS!$D$37,"SEGURIDAD DEL PACIENTE",IF(P13=CURSOS!$D$38,"MANEJO DE RESIDUOS HOSPITALARIOS"))))))))))))))))))))))))))))))))))))</f>
        <v>SOPORTE VITAL BASICO (BLS)</v>
      </c>
      <c r="W13" s="66" t="str">
        <f t="shared" si="0"/>
        <v>Luis Carlos Getial Rodas</v>
      </c>
      <c r="X13" s="66" t="str">
        <f t="shared" si="2"/>
        <v>Luis Carlos Getial Rodas</v>
      </c>
      <c r="Y13" s="66" t="str">
        <f t="shared" si="1"/>
        <v>Luis Carlos Getial Rodas-1085933449-BLS</v>
      </c>
    </row>
    <row r="14" spans="1:25" s="60" customFormat="1" x14ac:dyDescent="0.2">
      <c r="A14" s="61">
        <v>13</v>
      </c>
      <c r="B14" s="62">
        <v>1085899498</v>
      </c>
      <c r="C14" s="62" t="s">
        <v>168</v>
      </c>
      <c r="D14" s="62" t="s">
        <v>169</v>
      </c>
      <c r="E14" s="62" t="s">
        <v>170</v>
      </c>
      <c r="F14" s="62" t="s">
        <v>171</v>
      </c>
      <c r="G14" s="62">
        <v>1</v>
      </c>
      <c r="H14" s="62" t="s">
        <v>127</v>
      </c>
      <c r="I14" s="63" t="s">
        <v>128</v>
      </c>
      <c r="J14" s="63" t="s">
        <v>129</v>
      </c>
      <c r="K14" s="64">
        <v>45748</v>
      </c>
      <c r="L14" s="65">
        <v>40000</v>
      </c>
      <c r="M14" s="62" t="s">
        <v>221</v>
      </c>
      <c r="N14" s="62" t="s">
        <v>131</v>
      </c>
      <c r="O14" s="62" t="s">
        <v>130</v>
      </c>
      <c r="P14" s="62" t="s">
        <v>19</v>
      </c>
      <c r="Q14" s="63">
        <v>31302</v>
      </c>
      <c r="R14" s="62" t="s">
        <v>208</v>
      </c>
      <c r="S14" s="62" t="s">
        <v>332</v>
      </c>
      <c r="T14" s="67" t="s">
        <v>116</v>
      </c>
      <c r="U14" s="62" t="s">
        <v>104</v>
      </c>
      <c r="V14" s="66" t="str">
        <f>IF(P14=CURSOS!$D$3,"DIPLOMADO EN ATENCION PRE-HOSPITALARIA",IF(P14=CURSOS!$D$4,"ACOMPAÑAMIENTO Y MANEJO DEL DUELO",IF(P14=CURSOS!$D$5,"ATENCION A VICTIMAS DE ATAQUE CON AGENTES QUIMICOS ",IF(P14=CURSOS!$D$6,"PRIMEROS AUXILIOS ",IF(P14=CURSOS!$D$7,"DIPLOMADO DE UNIDAD DE CUIDADOS INTENSIVOS (UCI)",IF(P14=CURSOS!$D$8,"MODELO DE ATENCION PARA EVENTOS EMERGENTES EN SALUD MENTAL (CODIGO VERDE)",IF(P14=CURSOS!$D$9,"HUMANIZACION EN EL SERVICIO DE LA SALUD Y BUENAS PRACTICAS EN PACIENTE ",IF(P14=CURSOS!$D$10,"CLINICA DE HERIDAS ",IF(P14=CURSOS!$D$11,"TOMA DE CITOLOGIA CERVICO VAGINAL ",IF(P14=CURSOS!$D$12,"SOPORTE CARDIOVASCULAR AVANZADO (ACLS) ",IF(P14=CURSOS!$D$13,"CAMILLERO ",IF(P14=CURSOS!$D$14,"TOMA DE MUESTRAS Y LABORATORIO ",IF(P14=CURSOS!$D$15,"SOPORTE VITAL BASICO (BLS)",IF(P14=CURSOS!$D$16,"ATENCION A VICTIMAS DE VIOLENCIA SEXUAL ",IF(P14=CURSOS!$D$17,"PROGRAMADO AMPLIADO DE INMUNIZACION (PAI - COVID 19)",IF(P14=CURSOS!$D$18,"ATENCION INTEGRAL EN ENFERMEDADES PREVALENTES EN PRIMERA INFANCIA (AIEPI)",IF(P14=CURSOS!$D$19,"ADMINISTRACION DE MEDICAMENTOS, INYECTOLOGIA  Y CANALIZACION ",IF(P14=CURSOS!$D$20,"OPERADOR DE VEHICULOS DE EMERGENCIA (OVE)",IF(P14=CURSOS!$D$21,"INSTITUCIONES AMIGAS DE LA MUJER Y LA INFANCIA (IAMI)",IF(P14=CURSOS!$D$22,"CUIDADO DEL DONANTE DE ORGANOS",IF(P14=CURSOS!$D$23,"ATENCION A VICTIMAS POR VIOLENCIA DE GENERO",IF(P14=CURSOS!$D$24,"IGUALDAD DE GENERO EN LA SALUD",IF(P14=CURSOS!$D$25,"BRIGADA DE EMERGENCIA",IF(P14=CURSOS!$D$26,"MANEJO DEL DOLOR Y CUIDADOS PALIATIVOS",IF(P14=CURSOS!$D$27,"TOMA DE MUESTRAS Y LABORATORIO POCT",IF(P14=CURSOS!$D$28,"IMPLANTE SUBDERMICO DE DISPOSITIVO INTRAUTERINO",IF(P14=CURSOS!$D$29,"SALUD MENTAL",IF(P14=CURSOS!$D$30,"PRIMEROS AUXILIOS PSICOLOGICOS",IF(P14=CURSOS!$D$31,"ATENCION A VICTIMAS POR CONFLICTO ARMADO",IF(P14=CURSOS!$D$32,"MANIPULACION DE ALIMENTOS Y BPM",IF(P14=CURSOS!$D$33,"ATENCION A PERSONAS CON DISCAPACIDAD",IF(P14=CURSOS!$D$34,"CUIDADO INTEGRAL DEL PACIENTE ADULTO",IF(P14=CURSOS!$D$35,"MANEJO DEFENSIVO",IF(P14=CURSOS!$D$36,"SOPORTE CARDIOVASCULAR AVANZADO NEONATAL",IF(P14=CURSOS!$D$37,"SEGURIDAD DEL PACIENTE",IF(P14=CURSOS!$D$38,"MANEJO DE RESIDUOS HOSPITALARIOS"))))))))))))))))))))))))))))))))))))</f>
        <v>SOPORTE VITAL BASICO (BLS)</v>
      </c>
      <c r="W14" s="66" t="str">
        <f t="shared" si="0"/>
        <v>Maria Ines Del carmen Atis Mallama</v>
      </c>
      <c r="X14" s="66" t="str">
        <f t="shared" si="2"/>
        <v>Maria Ines Del Carmen Atis Mallama</v>
      </c>
      <c r="Y14" s="66" t="str">
        <f t="shared" si="1"/>
        <v>Maria Ines Del carmen Atis Mallama-1085899498-BLS</v>
      </c>
    </row>
    <row r="15" spans="1:25" s="60" customFormat="1" x14ac:dyDescent="0.2">
      <c r="A15" s="61">
        <v>14</v>
      </c>
      <c r="B15" s="62">
        <v>27395277</v>
      </c>
      <c r="C15" s="62" t="s">
        <v>172</v>
      </c>
      <c r="D15" s="62" t="s">
        <v>173</v>
      </c>
      <c r="E15" s="62" t="s">
        <v>175</v>
      </c>
      <c r="F15" s="62" t="s">
        <v>174</v>
      </c>
      <c r="G15" s="62">
        <v>1</v>
      </c>
      <c r="H15" s="62" t="s">
        <v>127</v>
      </c>
      <c r="I15" s="63" t="s">
        <v>128</v>
      </c>
      <c r="J15" s="63" t="s">
        <v>129</v>
      </c>
      <c r="K15" s="64">
        <v>45748</v>
      </c>
      <c r="L15" s="65">
        <v>40000</v>
      </c>
      <c r="M15" s="62" t="s">
        <v>221</v>
      </c>
      <c r="N15" s="62" t="s">
        <v>131</v>
      </c>
      <c r="O15" s="62" t="s">
        <v>130</v>
      </c>
      <c r="P15" s="62" t="s">
        <v>19</v>
      </c>
      <c r="Q15" s="63">
        <v>23941</v>
      </c>
      <c r="R15" s="62" t="s">
        <v>208</v>
      </c>
      <c r="S15" s="62" t="s">
        <v>332</v>
      </c>
      <c r="T15" s="67" t="s">
        <v>117</v>
      </c>
      <c r="U15" s="62" t="s">
        <v>104</v>
      </c>
      <c r="V15" s="66" t="str">
        <f>IF(P15=CURSOS!$D$3,"DIPLOMADO EN ATENCION PRE-HOSPITALARIA",IF(P15=CURSOS!$D$4,"ACOMPAÑAMIENTO Y MANEJO DEL DUELO",IF(P15=CURSOS!$D$5,"ATENCION A VICTIMAS DE ATAQUE CON AGENTES QUIMICOS ",IF(P15=CURSOS!$D$6,"PRIMEROS AUXILIOS ",IF(P15=CURSOS!$D$7,"DIPLOMADO DE UNIDAD DE CUIDADOS INTENSIVOS (UCI)",IF(P15=CURSOS!$D$8,"MODELO DE ATENCION PARA EVENTOS EMERGENTES EN SALUD MENTAL (CODIGO VERDE)",IF(P15=CURSOS!$D$9,"HUMANIZACION EN EL SERVICIO DE LA SALUD Y BUENAS PRACTICAS EN PACIENTE ",IF(P15=CURSOS!$D$10,"CLINICA DE HERIDAS ",IF(P15=CURSOS!$D$11,"TOMA DE CITOLOGIA CERVICO VAGINAL ",IF(P15=CURSOS!$D$12,"SOPORTE CARDIOVASCULAR AVANZADO (ACLS) ",IF(P15=CURSOS!$D$13,"CAMILLERO ",IF(P15=CURSOS!$D$14,"TOMA DE MUESTRAS Y LABORATORIO ",IF(P15=CURSOS!$D$15,"SOPORTE VITAL BASICO (BLS)",IF(P15=CURSOS!$D$16,"ATENCION A VICTIMAS DE VIOLENCIA SEXUAL ",IF(P15=CURSOS!$D$17,"PROGRAMADO AMPLIADO DE INMUNIZACION (PAI - COVID 19)",IF(P15=CURSOS!$D$18,"ATENCION INTEGRAL EN ENFERMEDADES PREVALENTES EN PRIMERA INFANCIA (AIEPI)",IF(P15=CURSOS!$D$19,"ADMINISTRACION DE MEDICAMENTOS, INYECTOLOGIA  Y CANALIZACION ",IF(P15=CURSOS!$D$20,"OPERADOR DE VEHICULOS DE EMERGENCIA (OVE)",IF(P15=CURSOS!$D$21,"INSTITUCIONES AMIGAS DE LA MUJER Y LA INFANCIA (IAMI)",IF(P15=CURSOS!$D$22,"CUIDADO DEL DONANTE DE ORGANOS",IF(P15=CURSOS!$D$23,"ATENCION A VICTIMAS POR VIOLENCIA DE GENERO",IF(P15=CURSOS!$D$24,"IGUALDAD DE GENERO EN LA SALUD",IF(P15=CURSOS!$D$25,"BRIGADA DE EMERGENCIA",IF(P15=CURSOS!$D$26,"MANEJO DEL DOLOR Y CUIDADOS PALIATIVOS",IF(P15=CURSOS!$D$27,"TOMA DE MUESTRAS Y LABORATORIO POCT",IF(P15=CURSOS!$D$28,"IMPLANTE SUBDERMICO DE DISPOSITIVO INTRAUTERINO",IF(P15=CURSOS!$D$29,"SALUD MENTAL",IF(P15=CURSOS!$D$30,"PRIMEROS AUXILIOS PSICOLOGICOS",IF(P15=CURSOS!$D$31,"ATENCION A VICTIMAS POR CONFLICTO ARMADO",IF(P15=CURSOS!$D$32,"MANIPULACION DE ALIMENTOS Y BPM",IF(P15=CURSOS!$D$33,"ATENCION A PERSONAS CON DISCAPACIDAD",IF(P15=CURSOS!$D$34,"CUIDADO INTEGRAL DEL PACIENTE ADULTO",IF(P15=CURSOS!$D$35,"MANEJO DEFENSIVO",IF(P15=CURSOS!$D$36,"SOPORTE CARDIOVASCULAR AVANZADO NEONATAL",IF(P15=CURSOS!$D$37,"SEGURIDAD DEL PACIENTE",IF(P15=CURSOS!$D$38,"MANEJO DE RESIDUOS HOSPITALARIOS"))))))))))))))))))))))))))))))))))))</f>
        <v>SOPORTE VITAL BASICO (BLS)</v>
      </c>
      <c r="W15" s="66" t="str">
        <f t="shared" si="0"/>
        <v>Maura Carmela Pabon Vasquez</v>
      </c>
      <c r="X15" s="66" t="str">
        <f t="shared" si="2"/>
        <v>Maura Carmela Pabon Vasquez</v>
      </c>
      <c r="Y15" s="66" t="str">
        <f t="shared" si="1"/>
        <v>Maura Carmela Pabon Vasquez-27395277-BLS</v>
      </c>
    </row>
    <row r="16" spans="1:25" s="60" customFormat="1" x14ac:dyDescent="0.2">
      <c r="A16" s="61">
        <v>15</v>
      </c>
      <c r="B16" s="62">
        <v>37000446</v>
      </c>
      <c r="C16" s="62" t="s">
        <v>176</v>
      </c>
      <c r="D16" s="62" t="s">
        <v>177</v>
      </c>
      <c r="E16" s="62" t="s">
        <v>178</v>
      </c>
      <c r="F16" s="62" t="s">
        <v>179</v>
      </c>
      <c r="G16" s="62">
        <v>1</v>
      </c>
      <c r="H16" s="62" t="s">
        <v>127</v>
      </c>
      <c r="I16" s="63" t="s">
        <v>128</v>
      </c>
      <c r="J16" s="63" t="s">
        <v>129</v>
      </c>
      <c r="K16" s="64">
        <v>45748</v>
      </c>
      <c r="L16" s="65">
        <v>40000</v>
      </c>
      <c r="M16" s="62" t="s">
        <v>221</v>
      </c>
      <c r="N16" s="62" t="s">
        <v>131</v>
      </c>
      <c r="O16" s="62" t="s">
        <v>130</v>
      </c>
      <c r="P16" s="62" t="s">
        <v>19</v>
      </c>
      <c r="Q16" s="63">
        <v>24077</v>
      </c>
      <c r="R16" s="62" t="s">
        <v>208</v>
      </c>
      <c r="S16" s="67" t="s">
        <v>332</v>
      </c>
      <c r="T16" s="67" t="s">
        <v>118</v>
      </c>
      <c r="U16" s="62" t="s">
        <v>104</v>
      </c>
      <c r="V16" s="66" t="str">
        <f>IF(P16=CURSOS!$D$3,"DIPLOMADO EN ATENCION PRE-HOSPITALARIA",IF(P16=CURSOS!$D$4,"ACOMPAÑAMIENTO Y MANEJO DEL DUELO",IF(P16=CURSOS!$D$5,"ATENCION A VICTIMAS DE ATAQUE CON AGENTES QUIMICOS ",IF(P16=CURSOS!$D$6,"PRIMEROS AUXILIOS ",IF(P16=CURSOS!$D$7,"DIPLOMADO DE UNIDAD DE CUIDADOS INTENSIVOS (UCI)",IF(P16=CURSOS!$D$8,"MODELO DE ATENCION PARA EVENTOS EMERGENTES EN SALUD MENTAL (CODIGO VERDE)",IF(P16=CURSOS!$D$9,"HUMANIZACION EN EL SERVICIO DE LA SALUD Y BUENAS PRACTICAS EN PACIENTE ",IF(P16=CURSOS!$D$10,"CLINICA DE HERIDAS ",IF(P16=CURSOS!$D$11,"TOMA DE CITOLOGIA CERVICO VAGINAL ",IF(P16=CURSOS!$D$12,"SOPORTE CARDIOVASCULAR AVANZADO (ACLS) ",IF(P16=CURSOS!$D$13,"CAMILLERO ",IF(P16=CURSOS!$D$14,"TOMA DE MUESTRAS Y LABORATORIO ",IF(P16=CURSOS!$D$15,"SOPORTE VITAL BASICO (BLS)",IF(P16=CURSOS!$D$16,"ATENCION A VICTIMAS DE VIOLENCIA SEXUAL ",IF(P16=CURSOS!$D$17,"PROGRAMADO AMPLIADO DE INMUNIZACION (PAI - COVID 19)",IF(P16=CURSOS!$D$18,"ATENCION INTEGRAL EN ENFERMEDADES PREVALENTES EN PRIMERA INFANCIA (AIEPI)",IF(P16=CURSOS!$D$19,"ADMINISTRACION DE MEDICAMENTOS, INYECTOLOGIA  Y CANALIZACION ",IF(P16=CURSOS!$D$20,"OPERADOR DE VEHICULOS DE EMERGENCIA (OVE)",IF(P16=CURSOS!$D$21,"INSTITUCIONES AMIGAS DE LA MUJER Y LA INFANCIA (IAMI)",IF(P16=CURSOS!$D$22,"CUIDADO DEL DONANTE DE ORGANOS",IF(P16=CURSOS!$D$23,"ATENCION A VICTIMAS POR VIOLENCIA DE GENERO",IF(P16=CURSOS!$D$24,"IGUALDAD DE GENERO EN LA SALUD",IF(P16=CURSOS!$D$25,"BRIGADA DE EMERGENCIA",IF(P16=CURSOS!$D$26,"MANEJO DEL DOLOR Y CUIDADOS PALIATIVOS",IF(P16=CURSOS!$D$27,"TOMA DE MUESTRAS Y LABORATORIO POCT",IF(P16=CURSOS!$D$28,"IMPLANTE SUBDERMICO DE DISPOSITIVO INTRAUTERINO",IF(P16=CURSOS!$D$29,"SALUD MENTAL",IF(P16=CURSOS!$D$30,"PRIMEROS AUXILIOS PSICOLOGICOS",IF(P16=CURSOS!$D$31,"ATENCION A VICTIMAS POR CONFLICTO ARMADO",IF(P16=CURSOS!$D$32,"MANIPULACION DE ALIMENTOS Y BPM",IF(P16=CURSOS!$D$33,"ATENCION A PERSONAS CON DISCAPACIDAD",IF(P16=CURSOS!$D$34,"CUIDADO INTEGRAL DEL PACIENTE ADULTO",IF(P16=CURSOS!$D$35,"MANEJO DEFENSIVO",IF(P16=CURSOS!$D$36,"SOPORTE CARDIOVASCULAR AVANZADO NEONATAL",IF(P16=CURSOS!$D$37,"SEGURIDAD DEL PACIENTE",IF(P16=CURSOS!$D$38,"MANEJO DE RESIDUOS HOSPITALARIOS"))))))))))))))))))))))))))))))))))))</f>
        <v>SOPORTE VITAL BASICO (BLS)</v>
      </c>
      <c r="W16" s="66" t="str">
        <f t="shared" si="0"/>
        <v>Mery Patricia Miranda Recalde</v>
      </c>
      <c r="X16" s="66" t="str">
        <f t="shared" si="2"/>
        <v>Mery Patricia Miranda Recalde</v>
      </c>
      <c r="Y16" s="66" t="str">
        <f t="shared" si="1"/>
        <v>Mery Patricia Miranda Recalde-37000446-BLS</v>
      </c>
    </row>
    <row r="17" spans="1:25" s="60" customFormat="1" x14ac:dyDescent="0.2">
      <c r="A17" s="61">
        <v>16</v>
      </c>
      <c r="B17" s="62">
        <v>1085939480</v>
      </c>
      <c r="C17" s="62" t="s">
        <v>180</v>
      </c>
      <c r="D17" s="62" t="s">
        <v>181</v>
      </c>
      <c r="E17" s="62" t="s">
        <v>182</v>
      </c>
      <c r="F17" s="62" t="s">
        <v>161</v>
      </c>
      <c r="G17" s="62">
        <v>1</v>
      </c>
      <c r="H17" s="62" t="s">
        <v>127</v>
      </c>
      <c r="I17" s="63" t="s">
        <v>128</v>
      </c>
      <c r="J17" s="63" t="s">
        <v>129</v>
      </c>
      <c r="K17" s="64">
        <v>45748</v>
      </c>
      <c r="L17" s="65">
        <v>40000</v>
      </c>
      <c r="M17" s="62" t="s">
        <v>221</v>
      </c>
      <c r="N17" s="62" t="s">
        <v>131</v>
      </c>
      <c r="O17" s="62" t="s">
        <v>130</v>
      </c>
      <c r="P17" s="62" t="s">
        <v>19</v>
      </c>
      <c r="Q17" s="63">
        <v>34826</v>
      </c>
      <c r="R17" s="62" t="s">
        <v>208</v>
      </c>
      <c r="S17" s="67" t="s">
        <v>332</v>
      </c>
      <c r="T17" s="67" t="s">
        <v>119</v>
      </c>
      <c r="U17" s="62" t="s">
        <v>104</v>
      </c>
      <c r="V17" s="66" t="str">
        <f>IF(P17=CURSOS!$D$3,"DIPLOMADO EN ATENCION PRE-HOSPITALARIA",IF(P17=CURSOS!$D$4,"ACOMPAÑAMIENTO Y MANEJO DEL DUELO",IF(P17=CURSOS!$D$5,"ATENCION A VICTIMAS DE ATAQUE CON AGENTES QUIMICOS ",IF(P17=CURSOS!$D$6,"PRIMEROS AUXILIOS ",IF(P17=CURSOS!$D$7,"DIPLOMADO DE UNIDAD DE CUIDADOS INTENSIVOS (UCI)",IF(P17=CURSOS!$D$8,"MODELO DE ATENCION PARA EVENTOS EMERGENTES EN SALUD MENTAL (CODIGO VERDE)",IF(P17=CURSOS!$D$9,"HUMANIZACION EN EL SERVICIO DE LA SALUD Y BUENAS PRACTICAS EN PACIENTE ",IF(P17=CURSOS!$D$10,"CLINICA DE HERIDAS ",IF(P17=CURSOS!$D$11,"TOMA DE CITOLOGIA CERVICO VAGINAL ",IF(P17=CURSOS!$D$12,"SOPORTE CARDIOVASCULAR AVANZADO (ACLS) ",IF(P17=CURSOS!$D$13,"CAMILLERO ",IF(P17=CURSOS!$D$14,"TOMA DE MUESTRAS Y LABORATORIO ",IF(P17=CURSOS!$D$15,"SOPORTE VITAL BASICO (BLS)",IF(P17=CURSOS!$D$16,"ATENCION A VICTIMAS DE VIOLENCIA SEXUAL ",IF(P17=CURSOS!$D$17,"PROGRAMADO AMPLIADO DE INMUNIZACION (PAI - COVID 19)",IF(P17=CURSOS!$D$18,"ATENCION INTEGRAL EN ENFERMEDADES PREVALENTES EN PRIMERA INFANCIA (AIEPI)",IF(P17=CURSOS!$D$19,"ADMINISTRACION DE MEDICAMENTOS, INYECTOLOGIA  Y CANALIZACION ",IF(P17=CURSOS!$D$20,"OPERADOR DE VEHICULOS DE EMERGENCIA (OVE)",IF(P17=CURSOS!$D$21,"INSTITUCIONES AMIGAS DE LA MUJER Y LA INFANCIA (IAMI)",IF(P17=CURSOS!$D$22,"CUIDADO DEL DONANTE DE ORGANOS",IF(P17=CURSOS!$D$23,"ATENCION A VICTIMAS POR VIOLENCIA DE GENERO",IF(P17=CURSOS!$D$24,"IGUALDAD DE GENERO EN LA SALUD",IF(P17=CURSOS!$D$25,"BRIGADA DE EMERGENCIA",IF(P17=CURSOS!$D$26,"MANEJO DEL DOLOR Y CUIDADOS PALIATIVOS",IF(P17=CURSOS!$D$27,"TOMA DE MUESTRAS Y LABORATORIO POCT",IF(P17=CURSOS!$D$28,"IMPLANTE SUBDERMICO DE DISPOSITIVO INTRAUTERINO",IF(P17=CURSOS!$D$29,"SALUD MENTAL",IF(P17=CURSOS!$D$30,"PRIMEROS AUXILIOS PSICOLOGICOS",IF(P17=CURSOS!$D$31,"ATENCION A VICTIMAS POR CONFLICTO ARMADO",IF(P17=CURSOS!$D$32,"MANIPULACION DE ALIMENTOS Y BPM",IF(P17=CURSOS!$D$33,"ATENCION A PERSONAS CON DISCAPACIDAD",IF(P17=CURSOS!$D$34,"CUIDADO INTEGRAL DEL PACIENTE ADULTO",IF(P17=CURSOS!$D$35,"MANEJO DEFENSIVO",IF(P17=CURSOS!$D$36,"SOPORTE CARDIOVASCULAR AVANZADO NEONATAL",IF(P17=CURSOS!$D$37,"SEGURIDAD DEL PACIENTE",IF(P17=CURSOS!$D$38,"MANEJO DE RESIDUOS HOSPITALARIOS"))))))))))))))))))))))))))))))))))))</f>
        <v>SOPORTE VITAL BASICO (BLS)</v>
      </c>
      <c r="W17" s="66" t="str">
        <f t="shared" si="0"/>
        <v>Paola Andrea Figueroa Ceron</v>
      </c>
      <c r="X17" s="66" t="str">
        <f t="shared" si="2"/>
        <v>Paola Andrea Figueroa Ceron</v>
      </c>
      <c r="Y17" s="66" t="str">
        <f t="shared" si="1"/>
        <v>Paola Andrea Figueroa Ceron-1085939480-BLS</v>
      </c>
    </row>
    <row r="18" spans="1:25" s="60" customFormat="1" x14ac:dyDescent="0.2">
      <c r="A18" s="61">
        <v>17</v>
      </c>
      <c r="B18" s="62">
        <v>1004579723</v>
      </c>
      <c r="C18" s="62" t="s">
        <v>183</v>
      </c>
      <c r="D18" s="62" t="s">
        <v>184</v>
      </c>
      <c r="E18" s="62" t="s">
        <v>185</v>
      </c>
      <c r="F18" s="62" t="s">
        <v>186</v>
      </c>
      <c r="G18" s="62">
        <v>1</v>
      </c>
      <c r="H18" s="62" t="s">
        <v>127</v>
      </c>
      <c r="I18" s="63" t="s">
        <v>128</v>
      </c>
      <c r="J18" s="63" t="s">
        <v>129</v>
      </c>
      <c r="K18" s="64">
        <v>45748</v>
      </c>
      <c r="L18" s="65">
        <v>40000</v>
      </c>
      <c r="M18" s="62" t="s">
        <v>220</v>
      </c>
      <c r="N18" s="62" t="s">
        <v>131</v>
      </c>
      <c r="O18" s="62" t="s">
        <v>130</v>
      </c>
      <c r="P18" s="62" t="s">
        <v>19</v>
      </c>
      <c r="Q18" s="63">
        <v>37221</v>
      </c>
      <c r="R18" s="62" t="s">
        <v>209</v>
      </c>
      <c r="S18" s="67" t="s">
        <v>332</v>
      </c>
      <c r="T18" s="67">
        <v>3232988050</v>
      </c>
      <c r="U18" s="62" t="s">
        <v>104</v>
      </c>
      <c r="V18" s="66" t="str">
        <f>IF(P18=CURSOS!$D$3,"DIPLOMADO EN ATENCION PRE-HOSPITALARIA",IF(P18=CURSOS!$D$4,"ACOMPAÑAMIENTO Y MANEJO DEL DUELO",IF(P18=CURSOS!$D$5,"ATENCION A VICTIMAS DE ATAQUE CON AGENTES QUIMICOS ",IF(P18=CURSOS!$D$6,"PRIMEROS AUXILIOS ",IF(P18=CURSOS!$D$7,"DIPLOMADO DE UNIDAD DE CUIDADOS INTENSIVOS (UCI)",IF(P18=CURSOS!$D$8,"MODELO DE ATENCION PARA EVENTOS EMERGENTES EN SALUD MENTAL (CODIGO VERDE)",IF(P18=CURSOS!$D$9,"HUMANIZACION EN EL SERVICIO DE LA SALUD Y BUENAS PRACTICAS EN PACIENTE ",IF(P18=CURSOS!$D$10,"CLINICA DE HERIDAS ",IF(P18=CURSOS!$D$11,"TOMA DE CITOLOGIA CERVICO VAGINAL ",IF(P18=CURSOS!$D$12,"SOPORTE CARDIOVASCULAR AVANZADO (ACLS) ",IF(P18=CURSOS!$D$13,"CAMILLERO ",IF(P18=CURSOS!$D$14,"TOMA DE MUESTRAS Y LABORATORIO ",IF(P18=CURSOS!$D$15,"SOPORTE VITAL BASICO (BLS)",IF(P18=CURSOS!$D$16,"ATENCION A VICTIMAS DE VIOLENCIA SEXUAL ",IF(P18=CURSOS!$D$17,"PROGRAMADO AMPLIADO DE INMUNIZACION (PAI - COVID 19)",IF(P18=CURSOS!$D$18,"ATENCION INTEGRAL EN ENFERMEDADES PREVALENTES EN PRIMERA INFANCIA (AIEPI)",IF(P18=CURSOS!$D$19,"ADMINISTRACION DE MEDICAMENTOS, INYECTOLOGIA  Y CANALIZACION ",IF(P18=CURSOS!$D$20,"OPERADOR DE VEHICULOS DE EMERGENCIA (OVE)",IF(P18=CURSOS!$D$21,"INSTITUCIONES AMIGAS DE LA MUJER Y LA INFANCIA (IAMI)",IF(P18=CURSOS!$D$22,"CUIDADO DEL DONANTE DE ORGANOS",IF(P18=CURSOS!$D$23,"ATENCION A VICTIMAS POR VIOLENCIA DE GENERO",IF(P18=CURSOS!$D$24,"IGUALDAD DE GENERO EN LA SALUD",IF(P18=CURSOS!$D$25,"BRIGADA DE EMERGENCIA",IF(P18=CURSOS!$D$26,"MANEJO DEL DOLOR Y CUIDADOS PALIATIVOS",IF(P18=CURSOS!$D$27,"TOMA DE MUESTRAS Y LABORATORIO POCT",IF(P18=CURSOS!$D$28,"IMPLANTE SUBDERMICO DE DISPOSITIVO INTRAUTERINO",IF(P18=CURSOS!$D$29,"SALUD MENTAL",IF(P18=CURSOS!$D$30,"PRIMEROS AUXILIOS PSICOLOGICOS",IF(P18=CURSOS!$D$31,"ATENCION A VICTIMAS POR CONFLICTO ARMADO",IF(P18=CURSOS!$D$32,"MANIPULACION DE ALIMENTOS Y BPM",IF(P18=CURSOS!$D$33,"ATENCION A PERSONAS CON DISCAPACIDAD",IF(P18=CURSOS!$D$34,"CUIDADO INTEGRAL DEL PACIENTE ADULTO",IF(P18=CURSOS!$D$35,"MANEJO DEFENSIVO",IF(P18=CURSOS!$D$36,"SOPORTE CARDIOVASCULAR AVANZADO NEONATAL",IF(P18=CURSOS!$D$37,"SEGURIDAD DEL PACIENTE",IF(P18=CURSOS!$D$38,"MANEJO DE RESIDUOS HOSPITALARIOS"))))))))))))))))))))))))))))))))))))</f>
        <v>SOPORTE VITAL BASICO (BLS)</v>
      </c>
      <c r="W18" s="66" t="str">
        <f t="shared" si="0"/>
        <v>Ricardo Andres Ramirez Pinchao</v>
      </c>
      <c r="X18" s="66" t="str">
        <f t="shared" si="2"/>
        <v>Ricardo Andres Ramirez Pinchao</v>
      </c>
      <c r="Y18" s="66" t="str">
        <f t="shared" si="1"/>
        <v>Ricardo Andres Ramirez Pinchao-1004579723-BLS</v>
      </c>
    </row>
    <row r="19" spans="1:25" s="60" customFormat="1" x14ac:dyDescent="0.2">
      <c r="A19" s="61">
        <v>18</v>
      </c>
      <c r="B19" s="62">
        <v>98357587</v>
      </c>
      <c r="C19" s="62" t="s">
        <v>187</v>
      </c>
      <c r="D19" s="62" t="s">
        <v>188</v>
      </c>
      <c r="E19" s="62" t="s">
        <v>189</v>
      </c>
      <c r="F19" s="62" t="s">
        <v>190</v>
      </c>
      <c r="G19" s="62">
        <v>1</v>
      </c>
      <c r="H19" s="62" t="s">
        <v>127</v>
      </c>
      <c r="I19" s="63" t="s">
        <v>128</v>
      </c>
      <c r="J19" s="63" t="s">
        <v>129</v>
      </c>
      <c r="K19" s="64">
        <v>45748</v>
      </c>
      <c r="L19" s="65">
        <v>40000</v>
      </c>
      <c r="M19" s="62" t="s">
        <v>221</v>
      </c>
      <c r="N19" s="62" t="s">
        <v>131</v>
      </c>
      <c r="O19" s="62" t="s">
        <v>130</v>
      </c>
      <c r="P19" s="62" t="s">
        <v>19</v>
      </c>
      <c r="Q19" s="63">
        <v>29223</v>
      </c>
      <c r="R19" s="62" t="s">
        <v>209</v>
      </c>
      <c r="S19" s="67" t="s">
        <v>332</v>
      </c>
      <c r="T19" s="62" t="s">
        <v>120</v>
      </c>
      <c r="U19" s="62" t="s">
        <v>104</v>
      </c>
      <c r="V19" s="66" t="str">
        <f>IF(P19=CURSOS!$D$3,"DIPLOMADO EN ATENCION PRE-HOSPITALARIA",IF(P19=CURSOS!$D$4,"ACOMPAÑAMIENTO Y MANEJO DEL DUELO",IF(P19=CURSOS!$D$5,"ATENCION A VICTIMAS DE ATAQUE CON AGENTES QUIMICOS ",IF(P19=CURSOS!$D$6,"PRIMEROS AUXILIOS ",IF(P19=CURSOS!$D$7,"DIPLOMADO DE UNIDAD DE CUIDADOS INTENSIVOS (UCI)",IF(P19=CURSOS!$D$8,"MODELO DE ATENCION PARA EVENTOS EMERGENTES EN SALUD MENTAL (CODIGO VERDE)",IF(P19=CURSOS!$D$9,"HUMANIZACION EN EL SERVICIO DE LA SALUD Y BUENAS PRACTICAS EN PACIENTE ",IF(P19=CURSOS!$D$10,"CLINICA DE HERIDAS ",IF(P19=CURSOS!$D$11,"TOMA DE CITOLOGIA CERVICO VAGINAL ",IF(P19=CURSOS!$D$12,"SOPORTE CARDIOVASCULAR AVANZADO (ACLS) ",IF(P19=CURSOS!$D$13,"CAMILLERO ",IF(P19=CURSOS!$D$14,"TOMA DE MUESTRAS Y LABORATORIO ",IF(P19=CURSOS!$D$15,"SOPORTE VITAL BASICO (BLS)",IF(P19=CURSOS!$D$16,"ATENCION A VICTIMAS DE VIOLENCIA SEXUAL ",IF(P19=CURSOS!$D$17,"PROGRAMADO AMPLIADO DE INMUNIZACION (PAI - COVID 19)",IF(P19=CURSOS!$D$18,"ATENCION INTEGRAL EN ENFERMEDADES PREVALENTES EN PRIMERA INFANCIA (AIEPI)",IF(P19=CURSOS!$D$19,"ADMINISTRACION DE MEDICAMENTOS, INYECTOLOGIA  Y CANALIZACION ",IF(P19=CURSOS!$D$20,"OPERADOR DE VEHICULOS DE EMERGENCIA (OVE)",IF(P19=CURSOS!$D$21,"INSTITUCIONES AMIGAS DE LA MUJER Y LA INFANCIA (IAMI)",IF(P19=CURSOS!$D$22,"CUIDADO DEL DONANTE DE ORGANOS",IF(P19=CURSOS!$D$23,"ATENCION A VICTIMAS POR VIOLENCIA DE GENERO",IF(P19=CURSOS!$D$24,"IGUALDAD DE GENERO EN LA SALUD",IF(P19=CURSOS!$D$25,"BRIGADA DE EMERGENCIA",IF(P19=CURSOS!$D$26,"MANEJO DEL DOLOR Y CUIDADOS PALIATIVOS",IF(P19=CURSOS!$D$27,"TOMA DE MUESTRAS Y LABORATORIO POCT",IF(P19=CURSOS!$D$28,"IMPLANTE SUBDERMICO DE DISPOSITIVO INTRAUTERINO",IF(P19=CURSOS!$D$29,"SALUD MENTAL",IF(P19=CURSOS!$D$30,"PRIMEROS AUXILIOS PSICOLOGICOS",IF(P19=CURSOS!$D$31,"ATENCION A VICTIMAS POR CONFLICTO ARMADO",IF(P19=CURSOS!$D$32,"MANIPULACION DE ALIMENTOS Y BPM",IF(P19=CURSOS!$D$33,"ATENCION A PERSONAS CON DISCAPACIDAD",IF(P19=CURSOS!$D$34,"CUIDADO INTEGRAL DEL PACIENTE ADULTO",IF(P19=CURSOS!$D$35,"MANEJO DEFENSIVO",IF(P19=CURSOS!$D$36,"SOPORTE CARDIOVASCULAR AVANZADO NEONATAL",IF(P19=CURSOS!$D$37,"SEGURIDAD DEL PACIENTE",IF(P19=CURSOS!$D$38,"MANEJO DE RESIDUOS HOSPITALARIOS"))))))))))))))))))))))))))))))))))))</f>
        <v>SOPORTE VITAL BASICO (BLS)</v>
      </c>
      <c r="W19" s="66" t="str">
        <f t="shared" si="0"/>
        <v>Rodrigo Yamid Portilla Astur</v>
      </c>
      <c r="X19" s="66" t="str">
        <f t="shared" si="2"/>
        <v>Rodrigo Yamid Portilla Astur</v>
      </c>
      <c r="Y19" s="66" t="str">
        <f t="shared" si="1"/>
        <v>Rodrigo Yamid Portilla Astur-98357587-BLS</v>
      </c>
    </row>
    <row r="20" spans="1:25" s="60" customFormat="1" x14ac:dyDescent="0.2">
      <c r="A20" s="61">
        <v>19</v>
      </c>
      <c r="B20" s="62">
        <v>1085911472</v>
      </c>
      <c r="C20" s="62" t="s">
        <v>191</v>
      </c>
      <c r="D20" s="62" t="s">
        <v>187</v>
      </c>
      <c r="E20" s="62" t="s">
        <v>192</v>
      </c>
      <c r="F20" s="62" t="s">
        <v>193</v>
      </c>
      <c r="G20" s="62">
        <v>1</v>
      </c>
      <c r="H20" s="62" t="s">
        <v>127</v>
      </c>
      <c r="I20" s="63" t="s">
        <v>128</v>
      </c>
      <c r="J20" s="63" t="s">
        <v>129</v>
      </c>
      <c r="K20" s="64">
        <v>45748</v>
      </c>
      <c r="L20" s="65">
        <v>40000</v>
      </c>
      <c r="M20" s="62" t="s">
        <v>221</v>
      </c>
      <c r="N20" s="62" t="s">
        <v>131</v>
      </c>
      <c r="O20" s="62" t="s">
        <v>130</v>
      </c>
      <c r="P20" s="62" t="s">
        <v>19</v>
      </c>
      <c r="Q20" s="63">
        <v>32408</v>
      </c>
      <c r="R20" s="62" t="s">
        <v>208</v>
      </c>
      <c r="S20" s="67" t="s">
        <v>105</v>
      </c>
      <c r="T20" s="62" t="s">
        <v>121</v>
      </c>
      <c r="U20" s="62" t="s">
        <v>104</v>
      </c>
      <c r="V20" s="66" t="str">
        <f>IF(P20=CURSOS!$D$3,"DIPLOMADO EN ATENCION PRE-HOSPITALARIA",IF(P20=CURSOS!$D$4,"ACOMPAÑAMIENTO Y MANEJO DEL DUELO",IF(P20=CURSOS!$D$5,"ATENCION A VICTIMAS DE ATAQUE CON AGENTES QUIMICOS ",IF(P20=CURSOS!$D$6,"PRIMEROS AUXILIOS ",IF(P20=CURSOS!$D$7,"DIPLOMADO DE UNIDAD DE CUIDADOS INTENSIVOS (UCI)",IF(P20=CURSOS!$D$8,"MODELO DE ATENCION PARA EVENTOS EMERGENTES EN SALUD MENTAL (CODIGO VERDE)",IF(P20=CURSOS!$D$9,"HUMANIZACION EN EL SERVICIO DE LA SALUD Y BUENAS PRACTICAS EN PACIENTE ",IF(P20=CURSOS!$D$10,"CLINICA DE HERIDAS ",IF(P20=CURSOS!$D$11,"TOMA DE CITOLOGIA CERVICO VAGINAL ",IF(P20=CURSOS!$D$12,"SOPORTE CARDIOVASCULAR AVANZADO (ACLS) ",IF(P20=CURSOS!$D$13,"CAMILLERO ",IF(P20=CURSOS!$D$14,"TOMA DE MUESTRAS Y LABORATORIO ",IF(P20=CURSOS!$D$15,"SOPORTE VITAL BASICO (BLS)",IF(P20=CURSOS!$D$16,"ATENCION A VICTIMAS DE VIOLENCIA SEXUAL ",IF(P20=CURSOS!$D$17,"PROGRAMADO AMPLIADO DE INMUNIZACION (PAI - COVID 19)",IF(P20=CURSOS!$D$18,"ATENCION INTEGRAL EN ENFERMEDADES PREVALENTES EN PRIMERA INFANCIA (AIEPI)",IF(P20=CURSOS!$D$19,"ADMINISTRACION DE MEDICAMENTOS, INYECTOLOGIA  Y CANALIZACION ",IF(P20=CURSOS!$D$20,"OPERADOR DE VEHICULOS DE EMERGENCIA (OVE)",IF(P20=CURSOS!$D$21,"INSTITUCIONES AMIGAS DE LA MUJER Y LA INFANCIA (IAMI)",IF(P20=CURSOS!$D$22,"CUIDADO DEL DONANTE DE ORGANOS",IF(P20=CURSOS!$D$23,"ATENCION A VICTIMAS POR VIOLENCIA DE GENERO",IF(P20=CURSOS!$D$24,"IGUALDAD DE GENERO EN LA SALUD",IF(P20=CURSOS!$D$25,"BRIGADA DE EMERGENCIA",IF(P20=CURSOS!$D$26,"MANEJO DEL DOLOR Y CUIDADOS PALIATIVOS",IF(P20=CURSOS!$D$27,"TOMA DE MUESTRAS Y LABORATORIO POCT",IF(P20=CURSOS!$D$28,"IMPLANTE SUBDERMICO DE DISPOSITIVO INTRAUTERINO",IF(P20=CURSOS!$D$29,"SALUD MENTAL",IF(P20=CURSOS!$D$30,"PRIMEROS AUXILIOS PSICOLOGICOS",IF(P20=CURSOS!$D$31,"ATENCION A VICTIMAS POR CONFLICTO ARMADO",IF(P20=CURSOS!$D$32,"MANIPULACION DE ALIMENTOS Y BPM",IF(P20=CURSOS!$D$33,"ATENCION A PERSONAS CON DISCAPACIDAD",IF(P20=CURSOS!$D$34,"CUIDADO INTEGRAL DEL PACIENTE ADULTO",IF(P20=CURSOS!$D$35,"MANEJO DEFENSIVO",IF(P20=CURSOS!$D$36,"SOPORTE CARDIOVASCULAR AVANZADO NEONATAL",IF(P20=CURSOS!$D$37,"SEGURIDAD DEL PACIENTE",IF(P20=CURSOS!$D$38,"MANEJO DE RESIDUOS HOSPITALARIOS"))))))))))))))))))))))))))))))))))))</f>
        <v>SOPORTE VITAL BASICO (BLS)</v>
      </c>
      <c r="W20" s="66" t="str">
        <f t="shared" si="0"/>
        <v>Sindy Yolud Tello Portilla</v>
      </c>
      <c r="X20" s="66" t="str">
        <f t="shared" si="2"/>
        <v>Sindy Yolud Tello Portilla</v>
      </c>
      <c r="Y20" s="66" t="str">
        <f t="shared" si="1"/>
        <v>Sindy Yolud Tello Portilla-1085911472-BLS</v>
      </c>
    </row>
    <row r="21" spans="1:25" s="60" customFormat="1" x14ac:dyDescent="0.2">
      <c r="A21" s="61">
        <v>20</v>
      </c>
      <c r="B21" s="62">
        <v>1085940434</v>
      </c>
      <c r="C21" s="62" t="s">
        <v>194</v>
      </c>
      <c r="D21" s="62" t="s">
        <v>156</v>
      </c>
      <c r="E21" s="62" t="s">
        <v>195</v>
      </c>
      <c r="F21" s="62" t="s">
        <v>196</v>
      </c>
      <c r="G21" s="62">
        <v>1</v>
      </c>
      <c r="H21" s="62" t="s">
        <v>127</v>
      </c>
      <c r="I21" s="63" t="s">
        <v>128</v>
      </c>
      <c r="J21" s="63" t="s">
        <v>129</v>
      </c>
      <c r="K21" s="64">
        <v>45748</v>
      </c>
      <c r="L21" s="65">
        <v>40000</v>
      </c>
      <c r="M21" s="62" t="s">
        <v>221</v>
      </c>
      <c r="N21" s="62" t="s">
        <v>131</v>
      </c>
      <c r="O21" s="62" t="s">
        <v>130</v>
      </c>
      <c r="P21" s="62" t="s">
        <v>19</v>
      </c>
      <c r="Q21" s="63">
        <v>34864</v>
      </c>
      <c r="R21" s="62" t="s">
        <v>208</v>
      </c>
      <c r="S21" s="62" t="s">
        <v>332</v>
      </c>
      <c r="T21" s="62" t="s">
        <v>122</v>
      </c>
      <c r="U21" s="62" t="s">
        <v>104</v>
      </c>
      <c r="V21" s="66" t="str">
        <f>IF(P21=CURSOS!$D$3,"DIPLOMADO EN ATENCION PRE-HOSPITALARIA",IF(P21=CURSOS!$D$4,"ACOMPAÑAMIENTO Y MANEJO DEL DUELO",IF(P21=CURSOS!$D$5,"ATENCION A VICTIMAS DE ATAQUE CON AGENTES QUIMICOS ",IF(P21=CURSOS!$D$6,"PRIMEROS AUXILIOS ",IF(P21=CURSOS!$D$7,"DIPLOMADO DE UNIDAD DE CUIDADOS INTENSIVOS (UCI)",IF(P21=CURSOS!$D$8,"MODELO DE ATENCION PARA EVENTOS EMERGENTES EN SALUD MENTAL (CODIGO VERDE)",IF(P21=CURSOS!$D$9,"HUMANIZACION EN EL SERVICIO DE LA SALUD Y BUENAS PRACTICAS EN PACIENTE ",IF(P21=CURSOS!$D$10,"CLINICA DE HERIDAS ",IF(P21=CURSOS!$D$11,"TOMA DE CITOLOGIA CERVICO VAGINAL ",IF(P21=CURSOS!$D$12,"SOPORTE CARDIOVASCULAR AVANZADO (ACLS) ",IF(P21=CURSOS!$D$13,"CAMILLERO ",IF(P21=CURSOS!$D$14,"TOMA DE MUESTRAS Y LABORATORIO ",IF(P21=CURSOS!$D$15,"SOPORTE VITAL BASICO (BLS)",IF(P21=CURSOS!$D$16,"ATENCION A VICTIMAS DE VIOLENCIA SEXUAL ",IF(P21=CURSOS!$D$17,"PROGRAMADO AMPLIADO DE INMUNIZACION (PAI - COVID 19)",IF(P21=CURSOS!$D$18,"ATENCION INTEGRAL EN ENFERMEDADES PREVALENTES EN PRIMERA INFANCIA (AIEPI)",IF(P21=CURSOS!$D$19,"ADMINISTRACION DE MEDICAMENTOS, INYECTOLOGIA  Y CANALIZACION ",IF(P21=CURSOS!$D$20,"OPERADOR DE VEHICULOS DE EMERGENCIA (OVE)",IF(P21=CURSOS!$D$21,"INSTITUCIONES AMIGAS DE LA MUJER Y LA INFANCIA (IAMI)",IF(P21=CURSOS!$D$22,"CUIDADO DEL DONANTE DE ORGANOS",IF(P21=CURSOS!$D$23,"ATENCION A VICTIMAS POR VIOLENCIA DE GENERO",IF(P21=CURSOS!$D$24,"IGUALDAD DE GENERO EN LA SALUD",IF(P21=CURSOS!$D$25,"BRIGADA DE EMERGENCIA",IF(P21=CURSOS!$D$26,"MANEJO DEL DOLOR Y CUIDADOS PALIATIVOS",IF(P21=CURSOS!$D$27,"TOMA DE MUESTRAS Y LABORATORIO POCT",IF(P21=CURSOS!$D$28,"IMPLANTE SUBDERMICO DE DISPOSITIVO INTRAUTERINO",IF(P21=CURSOS!$D$29,"SALUD MENTAL",IF(P21=CURSOS!$D$30,"PRIMEROS AUXILIOS PSICOLOGICOS",IF(P21=CURSOS!$D$31,"ATENCION A VICTIMAS POR CONFLICTO ARMADO",IF(P21=CURSOS!$D$32,"MANIPULACION DE ALIMENTOS Y BPM",IF(P21=CURSOS!$D$33,"ATENCION A PERSONAS CON DISCAPACIDAD",IF(P21=CURSOS!$D$34,"CUIDADO INTEGRAL DEL PACIENTE ADULTO",IF(P21=CURSOS!$D$35,"MANEJO DEFENSIVO",IF(P21=CURSOS!$D$36,"SOPORTE CARDIOVASCULAR AVANZADO NEONATAL",IF(P21=CURSOS!$D$37,"SEGURIDAD DEL PACIENTE",IF(P21=CURSOS!$D$38,"MANEJO DE RESIDUOS HOSPITALARIOS"))))))))))))))))))))))))))))))))))))</f>
        <v>SOPORTE VITAL BASICO (BLS)</v>
      </c>
      <c r="W21" s="66" t="str">
        <f t="shared" si="0"/>
        <v>Yasmin Angelica Chacon Ortega</v>
      </c>
      <c r="X21" s="66" t="str">
        <f t="shared" si="2"/>
        <v>Yasmin Angelica Chacon Ortega</v>
      </c>
      <c r="Y21" s="66" t="str">
        <f t="shared" si="1"/>
        <v>Yasmin Angelica Chacon Ortega-1085940434-BLS</v>
      </c>
    </row>
    <row r="22" spans="1:25" s="60" customFormat="1" x14ac:dyDescent="0.2">
      <c r="A22" s="61">
        <v>21</v>
      </c>
      <c r="B22" s="62">
        <v>1086302150</v>
      </c>
      <c r="C22" s="62" t="s">
        <v>197</v>
      </c>
      <c r="D22" s="62" t="s">
        <v>198</v>
      </c>
      <c r="E22" s="62" t="s">
        <v>199</v>
      </c>
      <c r="F22" s="62" t="s">
        <v>200</v>
      </c>
      <c r="G22" s="62">
        <v>1</v>
      </c>
      <c r="H22" s="62" t="s">
        <v>127</v>
      </c>
      <c r="I22" s="63" t="s">
        <v>128</v>
      </c>
      <c r="J22" s="63" t="s">
        <v>129</v>
      </c>
      <c r="K22" s="64">
        <v>45748</v>
      </c>
      <c r="L22" s="65">
        <v>40000</v>
      </c>
      <c r="M22" s="62" t="s">
        <v>221</v>
      </c>
      <c r="N22" s="62" t="s">
        <v>131</v>
      </c>
      <c r="O22" s="62" t="s">
        <v>130</v>
      </c>
      <c r="P22" s="62" t="s">
        <v>19</v>
      </c>
      <c r="Q22" s="63">
        <v>34811</v>
      </c>
      <c r="R22" s="62" t="s">
        <v>208</v>
      </c>
      <c r="S22" s="62" t="s">
        <v>105</v>
      </c>
      <c r="T22" s="62" t="s">
        <v>123</v>
      </c>
      <c r="U22" s="62" t="s">
        <v>104</v>
      </c>
      <c r="V22" s="66" t="str">
        <f>IF(P22=CURSOS!$D$3,"DIPLOMADO EN ATENCION PRE-HOSPITALARIA",IF(P22=CURSOS!$D$4,"ACOMPAÑAMIENTO Y MANEJO DEL DUELO",IF(P22=CURSOS!$D$5,"ATENCION A VICTIMAS DE ATAQUE CON AGENTES QUIMICOS ",IF(P22=CURSOS!$D$6,"PRIMEROS AUXILIOS ",IF(P22=CURSOS!$D$7,"DIPLOMADO DE UNIDAD DE CUIDADOS INTENSIVOS (UCI)",IF(P22=CURSOS!$D$8,"MODELO DE ATENCION PARA EVENTOS EMERGENTES EN SALUD MENTAL (CODIGO VERDE)",IF(P22=CURSOS!$D$9,"HUMANIZACION EN EL SERVICIO DE LA SALUD Y BUENAS PRACTICAS EN PACIENTE ",IF(P22=CURSOS!$D$10,"CLINICA DE HERIDAS ",IF(P22=CURSOS!$D$11,"TOMA DE CITOLOGIA CERVICO VAGINAL ",IF(P22=CURSOS!$D$12,"SOPORTE CARDIOVASCULAR AVANZADO (ACLS) ",IF(P22=CURSOS!$D$13,"CAMILLERO ",IF(P22=CURSOS!$D$14,"TOMA DE MUESTRAS Y LABORATORIO ",IF(P22=CURSOS!$D$15,"SOPORTE VITAL BASICO (BLS)",IF(P22=CURSOS!$D$16,"ATENCION A VICTIMAS DE VIOLENCIA SEXUAL ",IF(P22=CURSOS!$D$17,"PROGRAMADO AMPLIADO DE INMUNIZACION (PAI - COVID 19)",IF(P22=CURSOS!$D$18,"ATENCION INTEGRAL EN ENFERMEDADES PREVALENTES EN PRIMERA INFANCIA (AIEPI)",IF(P22=CURSOS!$D$19,"ADMINISTRACION DE MEDICAMENTOS, INYECTOLOGIA  Y CANALIZACION ",IF(P22=CURSOS!$D$20,"OPERADOR DE VEHICULOS DE EMERGENCIA (OVE)",IF(P22=CURSOS!$D$21,"INSTITUCIONES AMIGAS DE LA MUJER Y LA INFANCIA (IAMI)",IF(P22=CURSOS!$D$22,"CUIDADO DEL DONANTE DE ORGANOS",IF(P22=CURSOS!$D$23,"ATENCION A VICTIMAS POR VIOLENCIA DE GENERO",IF(P22=CURSOS!$D$24,"IGUALDAD DE GENERO EN LA SALUD",IF(P22=CURSOS!$D$25,"BRIGADA DE EMERGENCIA",IF(P22=CURSOS!$D$26,"MANEJO DEL DOLOR Y CUIDADOS PALIATIVOS",IF(P22=CURSOS!$D$27,"TOMA DE MUESTRAS Y LABORATORIO POCT",IF(P22=CURSOS!$D$28,"IMPLANTE SUBDERMICO DE DISPOSITIVO INTRAUTERINO",IF(P22=CURSOS!$D$29,"SALUD MENTAL",IF(P22=CURSOS!$D$30,"PRIMEROS AUXILIOS PSICOLOGICOS",IF(P22=CURSOS!$D$31,"ATENCION A VICTIMAS POR CONFLICTO ARMADO",IF(P22=CURSOS!$D$32,"MANIPULACION DE ALIMENTOS Y BPM",IF(P22=CURSOS!$D$33,"ATENCION A PERSONAS CON DISCAPACIDAD",IF(P22=CURSOS!$D$34,"CUIDADO INTEGRAL DEL PACIENTE ADULTO",IF(P22=CURSOS!$D$35,"MANEJO DEFENSIVO",IF(P22=CURSOS!$D$36,"SOPORTE CARDIOVASCULAR AVANZADO NEONATAL",IF(P22=CURSOS!$D$37,"SEGURIDAD DEL PACIENTE",IF(P22=CURSOS!$D$38,"MANEJO DE RESIDUOS HOSPITALARIOS"))))))))))))))))))))))))))))))))))))</f>
        <v>SOPORTE VITAL BASICO (BLS)</v>
      </c>
      <c r="W22" s="66" t="str">
        <f t="shared" si="0"/>
        <v>Yessica Fernanda Chaves Hernandez</v>
      </c>
      <c r="X22" s="66" t="str">
        <f t="shared" si="2"/>
        <v>Yessica Fernanda Chaves Hernandez</v>
      </c>
      <c r="Y22" s="66" t="str">
        <f t="shared" si="1"/>
        <v>Yessica Fernanda Chaves Hernandez-1086302150-BLS</v>
      </c>
    </row>
    <row r="23" spans="1:25" s="60" customFormat="1" x14ac:dyDescent="0.2">
      <c r="A23" s="61">
        <v>22</v>
      </c>
      <c r="B23" s="62">
        <v>1085925210</v>
      </c>
      <c r="C23" s="62" t="s">
        <v>201</v>
      </c>
      <c r="D23" s="62" t="s">
        <v>202</v>
      </c>
      <c r="E23" s="62" t="s">
        <v>203</v>
      </c>
      <c r="F23" s="62" t="s">
        <v>204</v>
      </c>
      <c r="G23" s="62">
        <v>1</v>
      </c>
      <c r="H23" s="62" t="s">
        <v>127</v>
      </c>
      <c r="I23" s="63" t="s">
        <v>128</v>
      </c>
      <c r="J23" s="63" t="s">
        <v>129</v>
      </c>
      <c r="K23" s="64">
        <v>45748</v>
      </c>
      <c r="L23" s="65">
        <v>40000</v>
      </c>
      <c r="M23" s="62" t="s">
        <v>221</v>
      </c>
      <c r="N23" s="62" t="s">
        <v>131</v>
      </c>
      <c r="O23" s="62" t="s">
        <v>130</v>
      </c>
      <c r="P23" s="62" t="s">
        <v>19</v>
      </c>
      <c r="Q23" s="63">
        <v>33556</v>
      </c>
      <c r="R23" s="62" t="s">
        <v>208</v>
      </c>
      <c r="S23" s="62" t="s">
        <v>332</v>
      </c>
      <c r="T23" s="62" t="s">
        <v>124</v>
      </c>
      <c r="U23" s="62" t="s">
        <v>104</v>
      </c>
      <c r="V23" s="66" t="str">
        <f>IF(P23=CURSOS!$D$3,"DIPLOMADO EN ATENCION PRE-HOSPITALARIA",IF(P23=CURSOS!$D$4,"ACOMPAÑAMIENTO Y MANEJO DEL DUELO",IF(P23=CURSOS!$D$5,"ATENCION A VICTIMAS DE ATAQUE CON AGENTES QUIMICOS ",IF(P23=CURSOS!$D$6,"PRIMEROS AUXILIOS ",IF(P23=CURSOS!$D$7,"DIPLOMADO DE UNIDAD DE CUIDADOS INTENSIVOS (UCI)",IF(P23=CURSOS!$D$8,"MODELO DE ATENCION PARA EVENTOS EMERGENTES EN SALUD MENTAL (CODIGO VERDE)",IF(P23=CURSOS!$D$9,"HUMANIZACION EN EL SERVICIO DE LA SALUD Y BUENAS PRACTICAS EN PACIENTE ",IF(P23=CURSOS!$D$10,"CLINICA DE HERIDAS ",IF(P23=CURSOS!$D$11,"TOMA DE CITOLOGIA CERVICO VAGINAL ",IF(P23=CURSOS!$D$12,"SOPORTE CARDIOVASCULAR AVANZADO (ACLS) ",IF(P23=CURSOS!$D$13,"CAMILLERO ",IF(P23=CURSOS!$D$14,"TOMA DE MUESTRAS Y LABORATORIO ",IF(P23=CURSOS!$D$15,"SOPORTE VITAL BASICO (BLS)",IF(P23=CURSOS!$D$16,"ATENCION A VICTIMAS DE VIOLENCIA SEXUAL ",IF(P23=CURSOS!$D$17,"PROGRAMADO AMPLIADO DE INMUNIZACION (PAI - COVID 19)",IF(P23=CURSOS!$D$18,"ATENCION INTEGRAL EN ENFERMEDADES PREVALENTES EN PRIMERA INFANCIA (AIEPI)",IF(P23=CURSOS!$D$19,"ADMINISTRACION DE MEDICAMENTOS, INYECTOLOGIA  Y CANALIZACION ",IF(P23=CURSOS!$D$20,"OPERADOR DE VEHICULOS DE EMERGENCIA (OVE)",IF(P23=CURSOS!$D$21,"INSTITUCIONES AMIGAS DE LA MUJER Y LA INFANCIA (IAMI)",IF(P23=CURSOS!$D$22,"CUIDADO DEL DONANTE DE ORGANOS",IF(P23=CURSOS!$D$23,"ATENCION A VICTIMAS POR VIOLENCIA DE GENERO",IF(P23=CURSOS!$D$24,"IGUALDAD DE GENERO EN LA SALUD",IF(P23=CURSOS!$D$25,"BRIGADA DE EMERGENCIA",IF(P23=CURSOS!$D$26,"MANEJO DEL DOLOR Y CUIDADOS PALIATIVOS",IF(P23=CURSOS!$D$27,"TOMA DE MUESTRAS Y LABORATORIO POCT",IF(P23=CURSOS!$D$28,"IMPLANTE SUBDERMICO DE DISPOSITIVO INTRAUTERINO",IF(P23=CURSOS!$D$29,"SALUD MENTAL",IF(P23=CURSOS!$D$30,"PRIMEROS AUXILIOS PSICOLOGICOS",IF(P23=CURSOS!$D$31,"ATENCION A VICTIMAS POR CONFLICTO ARMADO",IF(P23=CURSOS!$D$32,"MANIPULACION DE ALIMENTOS Y BPM",IF(P23=CURSOS!$D$33,"ATENCION A PERSONAS CON DISCAPACIDAD",IF(P23=CURSOS!$D$34,"CUIDADO INTEGRAL DEL PACIENTE ADULTO",IF(P23=CURSOS!$D$35,"MANEJO DEFENSIVO",IF(P23=CURSOS!$D$36,"SOPORTE CARDIOVASCULAR AVANZADO NEONATAL",IF(P23=CURSOS!$D$37,"SEGURIDAD DEL PACIENTE",IF(P23=CURSOS!$D$38,"MANEJO DE RESIDUOS HOSPITALARIOS"))))))))))))))))))))))))))))))))))))</f>
        <v>SOPORTE VITAL BASICO (BLS)</v>
      </c>
      <c r="W23" s="66" t="str">
        <f t="shared" si="0"/>
        <v>Yolanda Ximena Solarte Rosales</v>
      </c>
      <c r="X23" s="66" t="str">
        <f t="shared" si="2"/>
        <v>Yolanda Ximena Solarte Rosales</v>
      </c>
      <c r="Y23" s="66" t="str">
        <f t="shared" si="1"/>
        <v>Yolanda Ximena Solarte Rosales-1085925210-BLS</v>
      </c>
    </row>
    <row r="24" spans="1:25" s="60" customFormat="1" x14ac:dyDescent="0.2">
      <c r="A24" s="61">
        <v>23</v>
      </c>
      <c r="B24" s="62">
        <v>37001724</v>
      </c>
      <c r="C24" s="62" t="s">
        <v>205</v>
      </c>
      <c r="D24" s="62" t="s">
        <v>206</v>
      </c>
      <c r="E24" s="62" t="s">
        <v>150</v>
      </c>
      <c r="F24" s="62" t="s">
        <v>207</v>
      </c>
      <c r="G24" s="62">
        <v>1</v>
      </c>
      <c r="H24" s="62" t="s">
        <v>127</v>
      </c>
      <c r="I24" s="63" t="s">
        <v>128</v>
      </c>
      <c r="J24" s="63" t="s">
        <v>129</v>
      </c>
      <c r="K24" s="64">
        <v>45748</v>
      </c>
      <c r="L24" s="65">
        <v>40000</v>
      </c>
      <c r="M24" s="62" t="s">
        <v>221</v>
      </c>
      <c r="N24" s="62" t="s">
        <v>131</v>
      </c>
      <c r="O24" s="62" t="s">
        <v>130</v>
      </c>
      <c r="P24" s="62" t="s">
        <v>19</v>
      </c>
      <c r="Q24" s="63">
        <v>24723</v>
      </c>
      <c r="R24" s="62" t="s">
        <v>208</v>
      </c>
      <c r="S24" s="62" t="s">
        <v>105</v>
      </c>
      <c r="T24" s="62" t="s">
        <v>125</v>
      </c>
      <c r="U24" s="62" t="s">
        <v>104</v>
      </c>
      <c r="V24" s="66" t="str">
        <f>IF(P24=CURSOS!$D$3,"DIPLOMADO EN ATENCION PRE-HOSPITALARIA",IF(P24=CURSOS!$D$4,"ACOMPAÑAMIENTO Y MANEJO DEL DUELO",IF(P24=CURSOS!$D$5,"ATENCION A VICTIMAS DE ATAQUE CON AGENTES QUIMICOS ",IF(P24=CURSOS!$D$6,"PRIMEROS AUXILIOS ",IF(P24=CURSOS!$D$7,"DIPLOMADO DE UNIDAD DE CUIDADOS INTENSIVOS (UCI)",IF(P24=CURSOS!$D$8,"MODELO DE ATENCION PARA EVENTOS EMERGENTES EN SALUD MENTAL (CODIGO VERDE)",IF(P24=CURSOS!$D$9,"HUMANIZACION EN EL SERVICIO DE LA SALUD Y BUENAS PRACTICAS EN PACIENTE ",IF(P24=CURSOS!$D$10,"CLINICA DE HERIDAS ",IF(P24=CURSOS!$D$11,"TOMA DE CITOLOGIA CERVICO VAGINAL ",IF(P24=CURSOS!$D$12,"SOPORTE CARDIOVASCULAR AVANZADO (ACLS) ",IF(P24=CURSOS!$D$13,"CAMILLERO ",IF(P24=CURSOS!$D$14,"TOMA DE MUESTRAS Y LABORATORIO ",IF(P24=CURSOS!$D$15,"SOPORTE VITAL BASICO (BLS)",IF(P24=CURSOS!$D$16,"ATENCION A VICTIMAS DE VIOLENCIA SEXUAL ",IF(P24=CURSOS!$D$17,"PROGRAMADO AMPLIADO DE INMUNIZACION (PAI - COVID 19)",IF(P24=CURSOS!$D$18,"ATENCION INTEGRAL EN ENFERMEDADES PREVALENTES EN PRIMERA INFANCIA (AIEPI)",IF(P24=CURSOS!$D$19,"ADMINISTRACION DE MEDICAMENTOS, INYECTOLOGIA  Y CANALIZACION ",IF(P24=CURSOS!$D$20,"OPERADOR DE VEHICULOS DE EMERGENCIA (OVE)",IF(P24=CURSOS!$D$21,"INSTITUCIONES AMIGAS DE LA MUJER Y LA INFANCIA (IAMI)",IF(P24=CURSOS!$D$22,"CUIDADO DEL DONANTE DE ORGANOS",IF(P24=CURSOS!$D$23,"ATENCION A VICTIMAS POR VIOLENCIA DE GENERO",IF(P24=CURSOS!$D$24,"IGUALDAD DE GENERO EN LA SALUD",IF(P24=CURSOS!$D$25,"BRIGADA DE EMERGENCIA",IF(P24=CURSOS!$D$26,"MANEJO DEL DOLOR Y CUIDADOS PALIATIVOS",IF(P24=CURSOS!$D$27,"TOMA DE MUESTRAS Y LABORATORIO POCT",IF(P24=CURSOS!$D$28,"IMPLANTE SUBDERMICO DE DISPOSITIVO INTRAUTERINO",IF(P24=CURSOS!$D$29,"SALUD MENTAL",IF(P24=CURSOS!$D$30,"PRIMEROS AUXILIOS PSICOLOGICOS",IF(P24=CURSOS!$D$31,"ATENCION A VICTIMAS POR CONFLICTO ARMADO",IF(P24=CURSOS!$D$32,"MANIPULACION DE ALIMENTOS Y BPM",IF(P24=CURSOS!$D$33,"ATENCION A PERSONAS CON DISCAPACIDAD",IF(P24=CURSOS!$D$34,"CUIDADO INTEGRAL DEL PACIENTE ADULTO",IF(P24=CURSOS!$D$35,"MANEJO DEFENSIVO",IF(P24=CURSOS!$D$36,"SOPORTE CARDIOVASCULAR AVANZADO NEONATAL",IF(P24=CURSOS!$D$37,"SEGURIDAD DEL PACIENTE",IF(P24=CURSOS!$D$38,"MANEJO DE RESIDUOS HOSPITALARIOS"))))))))))))))))))))))))))))))))))))</f>
        <v>SOPORTE VITAL BASICO (BLS)</v>
      </c>
      <c r="W24" s="66" t="str">
        <f t="shared" ref="W24:W66" si="3">CONCATENATE(E24," ",F24," ",C24," ",D24)</f>
        <v>Maria Eugenia Cabezas Obando</v>
      </c>
      <c r="X24" s="66" t="str">
        <f t="shared" si="2"/>
        <v>Maria Eugenia Cabezas Obando</v>
      </c>
      <c r="Y24" s="66" t="str">
        <f t="shared" ref="Y24:Y66" si="4">CONCATENATE(W24,"-",B24,"-",P24)</f>
        <v>Maria Eugenia Cabezas Obando-37001724-BLS</v>
      </c>
    </row>
    <row r="25" spans="1:25" s="60" customFormat="1" x14ac:dyDescent="0.2">
      <c r="A25" s="61">
        <v>24</v>
      </c>
      <c r="B25" s="62">
        <v>1085942921</v>
      </c>
      <c r="C25" s="62" t="s">
        <v>210</v>
      </c>
      <c r="D25" s="62" t="s">
        <v>177</v>
      </c>
      <c r="E25" s="62" t="s">
        <v>211</v>
      </c>
      <c r="F25" s="62" t="s">
        <v>212</v>
      </c>
      <c r="G25" s="62">
        <v>1</v>
      </c>
      <c r="H25" s="62" t="s">
        <v>127</v>
      </c>
      <c r="I25" s="62" t="s">
        <v>128</v>
      </c>
      <c r="J25" s="63" t="s">
        <v>129</v>
      </c>
      <c r="K25" s="64">
        <v>45748</v>
      </c>
      <c r="L25" s="65">
        <v>40000</v>
      </c>
      <c r="M25" s="62" t="s">
        <v>221</v>
      </c>
      <c r="N25" s="62" t="s">
        <v>131</v>
      </c>
      <c r="O25" s="62" t="s">
        <v>130</v>
      </c>
      <c r="P25" s="62" t="s">
        <v>19</v>
      </c>
      <c r="Q25" s="63">
        <v>35238</v>
      </c>
      <c r="R25" s="62" t="s">
        <v>208</v>
      </c>
      <c r="S25" s="68" t="s">
        <v>213</v>
      </c>
      <c r="T25" s="62">
        <v>3107318083</v>
      </c>
      <c r="U25" s="62" t="s">
        <v>214</v>
      </c>
      <c r="V25" s="66" t="str">
        <f>IF(P25=CURSOS!$D$3,"DIPLOMADO EN ATENCION PRE-HOSPITALARIA",IF(P25=CURSOS!$D$4,"ACOMPAÑAMIENTO Y MANEJO DEL DUELO",IF(P25=CURSOS!$D$5,"ATENCION A VICTIMAS DE ATAQUE CON AGENTES QUIMICOS ",IF(P25=CURSOS!$D$6,"PRIMEROS AUXILIOS ",IF(P25=CURSOS!$D$7,"DIPLOMADO DE UNIDAD DE CUIDADOS INTENSIVOS (UCI)",IF(P25=CURSOS!$D$8,"MODELO DE ATENCION PARA EVENTOS EMERGENTES EN SALUD MENTAL (CODIGO VERDE)",IF(P25=CURSOS!$D$9,"HUMANIZACION EN EL SERVICIO DE LA SALUD Y BUENAS PRACTICAS EN PACIENTE ",IF(P25=CURSOS!$D$10,"CLINICA DE HERIDAS ",IF(P25=CURSOS!$D$11,"TOMA DE CITOLOGIA CERVICO VAGINAL ",IF(P25=CURSOS!$D$12,"SOPORTE CARDIOVASCULAR AVANZADO (ACLS) ",IF(P25=CURSOS!$D$13,"CAMILLERO ",IF(P25=CURSOS!$D$14,"TOMA DE MUESTRAS Y LABORATORIO ",IF(P25=CURSOS!$D$15,"SOPORTE VITAL BASICO (BLS)",IF(P25=CURSOS!$D$16,"ATENCION A VICTIMAS DE VIOLENCIA SEXUAL ",IF(P25=CURSOS!$D$17,"PROGRAMADO AMPLIADO DE INMUNIZACION (PAI - COVID 19)",IF(P25=CURSOS!$D$18,"ATENCION INTEGRAL EN ENFERMEDADES PREVALENTES EN PRIMERA INFANCIA (AIEPI)",IF(P25=CURSOS!$D$19,"ADMINISTRACION DE MEDICAMENTOS, INYECTOLOGIA  Y CANALIZACION ",IF(P25=CURSOS!$D$20,"OPERADOR DE VEHICULOS DE EMERGENCIA (OVE)",IF(P25=CURSOS!$D$21,"INSTITUCIONES AMIGAS DE LA MUJER Y LA INFANCIA (IAMI)",IF(P25=CURSOS!$D$22,"CUIDADO DEL DONANTE DE ORGANOS",IF(P25=CURSOS!$D$23,"ATENCION A VICTIMAS POR VIOLENCIA DE GENERO",IF(P25=CURSOS!$D$24,"IGUALDAD DE GENERO EN LA SALUD",IF(P25=CURSOS!$D$25,"BRIGADA DE EMERGENCIA",IF(P25=CURSOS!$D$26,"MANEJO DEL DOLOR Y CUIDADOS PALIATIVOS",IF(P25=CURSOS!$D$27,"TOMA DE MUESTRAS Y LABORATORIO POCT",IF(P25=CURSOS!$D$28,"IMPLANTE SUBDERMICO DE DISPOSITIVO INTRAUTERINO",IF(P25=CURSOS!$D$29,"SALUD MENTAL",IF(P25=CURSOS!$D$30,"PRIMEROS AUXILIOS PSICOLOGICOS",IF(P25=CURSOS!$D$31,"ATENCION A VICTIMAS POR CONFLICTO ARMADO",IF(P25=CURSOS!$D$32,"MANIPULACION DE ALIMENTOS Y BPM",IF(P25=CURSOS!$D$33,"ATENCION A PERSONAS CON DISCAPACIDAD",IF(P25=CURSOS!$D$34,"CUIDADO INTEGRAL DEL PACIENTE ADULTO",IF(P25=CURSOS!$D$35,"MANEJO DEFENSIVO",IF(P25=CURSOS!$D$36,"SOPORTE CARDIOVASCULAR AVANZADO NEONATAL",IF(P25=CURSOS!$D$37,"SEGURIDAD DEL PACIENTE",IF(P25=CURSOS!$D$38,"MANEJO DE RESIDUOS HOSPITALARIOS"))))))))))))))))))))))))))))))))))))</f>
        <v>SOPORTE VITAL BASICO (BLS)</v>
      </c>
      <c r="W25" s="66" t="str">
        <f t="shared" si="3"/>
        <v>Monica Alexandra Ruiz Recalde</v>
      </c>
      <c r="X25" s="66" t="str">
        <f t="shared" si="2"/>
        <v>Monica Alexandra Ruiz Recalde</v>
      </c>
      <c r="Y25" s="66" t="str">
        <f t="shared" si="4"/>
        <v>Monica Alexandra Ruiz Recalde-1085942921-BLS</v>
      </c>
    </row>
    <row r="26" spans="1:25" s="60" customFormat="1" x14ac:dyDescent="0.2">
      <c r="A26" s="61">
        <v>25</v>
      </c>
      <c r="B26" s="62">
        <v>36862781</v>
      </c>
      <c r="C26" s="62" t="s">
        <v>215</v>
      </c>
      <c r="D26" s="62" t="s">
        <v>216</v>
      </c>
      <c r="E26" s="62" t="s">
        <v>217</v>
      </c>
      <c r="F26" s="62" t="s">
        <v>218</v>
      </c>
      <c r="G26" s="62">
        <v>1</v>
      </c>
      <c r="H26" s="62" t="s">
        <v>127</v>
      </c>
      <c r="I26" s="62" t="s">
        <v>128</v>
      </c>
      <c r="J26" s="63" t="s">
        <v>129</v>
      </c>
      <c r="K26" s="64">
        <v>45748</v>
      </c>
      <c r="L26" s="65">
        <v>40000</v>
      </c>
      <c r="M26" s="62" t="s">
        <v>221</v>
      </c>
      <c r="N26" s="62" t="s">
        <v>131</v>
      </c>
      <c r="O26" s="62" t="s">
        <v>130</v>
      </c>
      <c r="P26" s="62" t="s">
        <v>19</v>
      </c>
      <c r="Q26" s="64">
        <v>31326</v>
      </c>
      <c r="R26" s="62" t="s">
        <v>208</v>
      </c>
      <c r="S26" s="62" t="s">
        <v>213</v>
      </c>
      <c r="T26" s="62">
        <v>3043919190</v>
      </c>
      <c r="U26" s="62" t="s">
        <v>219</v>
      </c>
      <c r="V26" s="66" t="str">
        <f>IF(P26=CURSOS!$D$3,"DIPLOMADO EN ATENCION PRE-HOSPITALARIA",IF(P26=CURSOS!$D$4,"ACOMPAÑAMIENTO Y MANEJO DEL DUELO",IF(P26=CURSOS!$D$5,"ATENCION A VICTIMAS DE ATAQUE CON AGENTES QUIMICOS ",IF(P26=CURSOS!$D$6,"PRIMEROS AUXILIOS ",IF(P26=CURSOS!$D$7,"DIPLOMADO DE UNIDAD DE CUIDADOS INTENSIVOS (UCI)",IF(P26=CURSOS!$D$8,"MODELO DE ATENCION PARA EVENTOS EMERGENTES EN SALUD MENTAL (CODIGO VERDE)",IF(P26=CURSOS!$D$9,"HUMANIZACION EN EL SERVICIO DE LA SALUD Y BUENAS PRACTICAS EN PACIENTE ",IF(P26=CURSOS!$D$10,"CLINICA DE HERIDAS ",IF(P26=CURSOS!$D$11,"TOMA DE CITOLOGIA CERVICO VAGINAL ",IF(P26=CURSOS!$D$12,"SOPORTE CARDIOVASCULAR AVANZADO (ACLS) ",IF(P26=CURSOS!$D$13,"CAMILLERO ",IF(P26=CURSOS!$D$14,"TOMA DE MUESTRAS Y LABORATORIO ",IF(P26=CURSOS!$D$15,"SOPORTE VITAL BASICO (BLS)",IF(P26=CURSOS!$D$16,"ATENCION A VICTIMAS DE VIOLENCIA SEXUAL ",IF(P26=CURSOS!$D$17,"PROGRAMADO AMPLIADO DE INMUNIZACION (PAI - COVID 19)",IF(P26=CURSOS!$D$18,"ATENCION INTEGRAL EN ENFERMEDADES PREVALENTES EN PRIMERA INFANCIA (AIEPI)",IF(P26=CURSOS!$D$19,"ADMINISTRACION DE MEDICAMENTOS, INYECTOLOGIA  Y CANALIZACION ",IF(P26=CURSOS!$D$20,"OPERADOR DE VEHICULOS DE EMERGENCIA (OVE)",IF(P26=CURSOS!$D$21,"INSTITUCIONES AMIGAS DE LA MUJER Y LA INFANCIA (IAMI)",IF(P26=CURSOS!$D$22,"CUIDADO DEL DONANTE DE ORGANOS",IF(P26=CURSOS!$D$23,"ATENCION A VICTIMAS POR VIOLENCIA DE GENERO",IF(P26=CURSOS!$D$24,"IGUALDAD DE GENERO EN LA SALUD",IF(P26=CURSOS!$D$25,"BRIGADA DE EMERGENCIA",IF(P26=CURSOS!$D$26,"MANEJO DEL DOLOR Y CUIDADOS PALIATIVOS",IF(P26=CURSOS!$D$27,"TOMA DE MUESTRAS Y LABORATORIO POCT",IF(P26=CURSOS!$D$28,"IMPLANTE SUBDERMICO DE DISPOSITIVO INTRAUTERINO",IF(P26=CURSOS!$D$29,"SALUD MENTAL",IF(P26=CURSOS!$D$30,"PRIMEROS AUXILIOS PSICOLOGICOS",IF(P26=CURSOS!$D$31,"ATENCION A VICTIMAS POR CONFLICTO ARMADO",IF(P26=CURSOS!$D$32,"MANIPULACION DE ALIMENTOS Y BPM",IF(P26=CURSOS!$D$33,"ATENCION A PERSONAS CON DISCAPACIDAD",IF(P26=CURSOS!$D$34,"CUIDADO INTEGRAL DEL PACIENTE ADULTO",IF(P26=CURSOS!$D$35,"MANEJO DEFENSIVO",IF(P26=CURSOS!$D$36,"SOPORTE CARDIOVASCULAR AVANZADO NEONATAL",IF(P26=CURSOS!$D$37,"SEGURIDAD DEL PACIENTE",IF(P26=CURSOS!$D$38,"MANEJO DE RESIDUOS HOSPITALARIOS"))))))))))))))))))))))))))))))))))))</f>
        <v>SOPORTE VITAL BASICO (BLS)</v>
      </c>
      <c r="W26" s="66" t="str">
        <f t="shared" si="3"/>
        <v>Marisol Del Rosario Angulo Rosero</v>
      </c>
      <c r="X26" s="66" t="str">
        <f t="shared" si="2"/>
        <v>Marisol Del Rosario Angulo Rosero</v>
      </c>
      <c r="Y26" s="66" t="str">
        <f t="shared" si="4"/>
        <v>Marisol Del Rosario Angulo Rosero-36862781-BLS</v>
      </c>
    </row>
    <row r="27" spans="1:25" x14ac:dyDescent="0.2">
      <c r="A27" s="45">
        <v>26</v>
      </c>
      <c r="B27" s="69">
        <v>37122611</v>
      </c>
      <c r="C27" s="69" t="s">
        <v>136</v>
      </c>
      <c r="D27" s="69"/>
      <c r="E27" s="69" t="s">
        <v>134</v>
      </c>
      <c r="F27" s="69" t="s">
        <v>135</v>
      </c>
      <c r="G27" s="69">
        <v>1</v>
      </c>
      <c r="H27" s="69" t="s">
        <v>127</v>
      </c>
      <c r="I27" s="70" t="s">
        <v>128</v>
      </c>
      <c r="J27" s="70" t="s">
        <v>129</v>
      </c>
      <c r="K27" s="71">
        <v>45748</v>
      </c>
      <c r="L27" s="72">
        <v>30000</v>
      </c>
      <c r="M27" s="69" t="s">
        <v>221</v>
      </c>
      <c r="N27" s="69" t="s">
        <v>131</v>
      </c>
      <c r="O27" s="69" t="s">
        <v>130</v>
      </c>
      <c r="P27" s="69" t="s">
        <v>42</v>
      </c>
      <c r="Q27" s="70">
        <v>29409</v>
      </c>
      <c r="R27" s="69" t="s">
        <v>208</v>
      </c>
      <c r="S27" s="73" t="s">
        <v>332</v>
      </c>
      <c r="T27" s="69">
        <v>3053670358</v>
      </c>
      <c r="U27" s="69" t="s">
        <v>104</v>
      </c>
      <c r="V27" s="44" t="str">
        <f>IF(P27=CURSOS!$D$3,"DIPLOMADO EN ATENCION PRE-HOSPITALARIA",IF(P27=CURSOS!$D$4,"ACOMPAÑAMIENTO Y MANEJO DEL DUELO",IF(P27=CURSOS!$D$5,"ATENCION A VICTIMAS DE ATAQUE CON AGENTES QUIMICOS ",IF(P27=CURSOS!$D$6,"PRIMEROS AUXILIOS ",IF(P27=CURSOS!$D$7,"DIPLOMADO DE UNIDAD DE CUIDADOS INTENSIVOS (UCI)",IF(P27=CURSOS!$D$8,"MODELO DE ATENCION PARA EVENTOS EMERGENTES EN SALUD MENTAL (CODIGO VERDE)",IF(P27=CURSOS!$D$9,"HUMANIZACION EN EL SERVICIO DE LA SALUD Y BUENAS PRACTICAS EN PACIENTE ",IF(P27=CURSOS!$D$10,"CLINICA DE HERIDAS ",IF(P27=CURSOS!$D$11,"TOMA DE CITOLOGIA CERVICO VAGINAL ",IF(P27=CURSOS!$D$12,"SOPORTE CARDIOVASCULAR AVANZADO (ACLS) ",IF(P27=CURSOS!$D$13,"CAMILLERO ",IF(P27=CURSOS!$D$14,"TOMA DE MUESTRAS Y LABORATORIO ",IF(P27=CURSOS!$D$15,"SOPORTE VITAL BASICO (BLS)",IF(P27=CURSOS!$D$16,"ATENCION A VICTIMAS DE VIOLENCIA SEXUAL ",IF(P27=CURSOS!$D$17,"PROGRAMADO AMPLIADO DE INMUNIZACION (PAI - COVID 19)",IF(P27=CURSOS!$D$18,"ATENCION INTEGRAL EN ENFERMEDADES PREVALENTES EN PRIMERA INFANCIA (AIEPI)",IF(P27=CURSOS!$D$19,"ADMINISTRACION DE MEDICAMENTOS, INYECTOLOGIA  Y CANALIZACION ",IF(P27=CURSOS!$D$20,"OPERADOR DE VEHICULOS DE EMERGENCIA (OVE)",IF(P27=CURSOS!$D$21,"INSTITUCIONES AMIGAS DE LA MUJER Y LA INFANCIA (IAMI)",IF(P27=CURSOS!$D$22,"CUIDADO DEL DONANTE DE ORGANOS",IF(P27=CURSOS!$D$23,"ATENCION A VICTIMAS POR VIOLENCIA DE GENERO",IF(P27=CURSOS!$D$24,"IGUALDAD DE GENERO EN LA SALUD",IF(P27=CURSOS!$D$25,"BRIGADA DE EMERGENCIA",IF(P27=CURSOS!$D$26,"MANEJO DEL DOLOR Y CUIDADOS PALIATIVOS",IF(P27=CURSOS!$D$27,"TOMA DE MUESTRAS Y LABORATORIO POCT",IF(P27=CURSOS!$D$28,"IMPLANTE SUBDERMICO DE DISPOSITIVO INTRAUTERINO",IF(P27=CURSOS!$D$29,"SALUD MENTAL",IF(P27=CURSOS!$D$30,"PRIMEROS AUXILIOS PSICOLOGICOS",IF(P27=CURSOS!$D$31,"ATENCION A VICTIMAS POR CONFLICTO ARMADO",IF(P27=CURSOS!$D$32,"MANIPULACION DE ALIMENTOS Y BPM",IF(P27=CURSOS!$D$33,"ATENCION A PERSONAS CON DISCAPACIDAD",IF(P27=CURSOS!$D$34,"CUIDADO INTEGRAL DEL PACIENTE ADULTO",IF(P27=CURSOS!$D$35,"MANEJO DEFENSIVO",IF(P27=CURSOS!$D$36,"SOPORTE CARDIOVASCULAR AVANZADO NEONATAL",IF(P27=CURSOS!$D$37,"SEGURIDAD DEL PACIENTE",IF(P27=CURSOS!$D$38,"MANEJO DE RESIDUOS HOSPITALARIOS"))))))))))))))))))))))))))))))))))))</f>
        <v xml:space="preserve">ATENCION A VICTIMAS DE VIOLENCIA SEXUAL </v>
      </c>
      <c r="W27" s="44" t="str">
        <f t="shared" si="3"/>
        <v xml:space="preserve">Ana Cristina Tenganan </v>
      </c>
      <c r="X27" s="44" t="str">
        <f t="shared" si="2"/>
        <v xml:space="preserve">Ana Cristina Tenganan </v>
      </c>
      <c r="Y27" s="44" t="str">
        <f t="shared" si="4"/>
        <v>Ana Cristina Tenganan -37122611-VIOLENCIA SEXUAL</v>
      </c>
    </row>
    <row r="28" spans="1:25" s="81" customFormat="1" x14ac:dyDescent="0.2">
      <c r="A28" s="74">
        <v>27</v>
      </c>
      <c r="B28" s="75">
        <v>1085335251</v>
      </c>
      <c r="C28" s="75" t="s">
        <v>222</v>
      </c>
      <c r="D28" s="75" t="s">
        <v>223</v>
      </c>
      <c r="E28" s="75" t="s">
        <v>224</v>
      </c>
      <c r="F28" s="75" t="s">
        <v>225</v>
      </c>
      <c r="G28" s="75">
        <v>1</v>
      </c>
      <c r="H28" s="75" t="s">
        <v>127</v>
      </c>
      <c r="I28" s="75" t="s">
        <v>226</v>
      </c>
      <c r="J28" s="76" t="s">
        <v>227</v>
      </c>
      <c r="K28" s="77"/>
      <c r="L28" s="78"/>
      <c r="M28" s="75"/>
      <c r="N28" s="75" t="s">
        <v>131</v>
      </c>
      <c r="O28" s="75" t="s">
        <v>227</v>
      </c>
      <c r="P28" s="75" t="s">
        <v>48</v>
      </c>
      <c r="Q28" s="76">
        <v>35593</v>
      </c>
      <c r="R28" s="75" t="s">
        <v>208</v>
      </c>
      <c r="S28" s="75" t="s">
        <v>332</v>
      </c>
      <c r="T28" s="79">
        <v>3174702162</v>
      </c>
      <c r="U28" s="75" t="s">
        <v>228</v>
      </c>
      <c r="V28" s="80" t="str">
        <f>IF(P28=CURSOS!$D$3,"DIPLOMADO EN ATENCION PRE-HOSPITALARIA",IF(P28=CURSOS!$D$4,"ACOMPAÑAMIENTO Y MANEJO DEL DUELO",IF(P28=CURSOS!$D$5,"ATENCION A VICTIMAS DE ATAQUE CON AGENTES QUIMICOS ",IF(P28=CURSOS!$D$6,"PRIMEROS AUXILIOS ",IF(P28=CURSOS!$D$7,"DIPLOMADO DE UNIDAD DE CUIDADOS INTENSIVOS (UCI)",IF(P28=CURSOS!$D$8,"MODELO DE ATENCION PARA EVENTOS EMERGENTES EN SALUD MENTAL (CODIGO VERDE)",IF(P28=CURSOS!$D$9,"HUMANIZACION EN EL SERVICIO DE LA SALUD Y BUENAS PRACTICAS EN PACIENTE ",IF(P28=CURSOS!$D$10,"CLINICA DE HERIDAS ",IF(P28=CURSOS!$D$11,"TOMA DE CITOLOGIA CERVICO VAGINAL ",IF(P28=CURSOS!$D$12,"SOPORTE CARDIOVASCULAR AVANZADO (ACLS) ",IF(P28=CURSOS!$D$13,"CAMILLERO ",IF(P28=CURSOS!$D$14,"TOMA DE MUESTRAS Y LABORATORIO ",IF(P28=CURSOS!$D$15,"SOPORTE VITAL BASICO (BLS)",IF(P28=CURSOS!$D$16,"ATENCION A VICTIMAS DE VIOLENCIA SEXUAL ",IF(P28=CURSOS!$D$17,"PROGRAMADO AMPLIADO DE INMUNIZACION (PAI - COVID 19)",IF(P28=CURSOS!$D$18,"ATENCION INTEGRAL EN ENFERMEDADES PREVALENTES EN PRIMERA INFANCIA (AIEPI)",IF(P28=CURSOS!$D$19,"ADMINISTRACION DE MEDICAMENTOS, INYECTOLOGIA  Y CANALIZACION ",IF(P28=CURSOS!$D$20,"OPERADOR DE VEHICULOS DE EMERGENCIA (OVE)",IF(P28=CURSOS!$D$21,"INSTITUCIONES AMIGAS DE LA MUJER Y LA INFANCIA (IAMI)",IF(P28=CURSOS!$D$22,"CUIDADO DEL DONANTE DE ORGANOS",IF(P28=CURSOS!$D$23,"ATENCION A VICTIMAS POR VIOLENCIA DE GENERO",IF(P28=CURSOS!$D$24,"IGUALDAD DE GENERO EN LA SALUD",IF(P28=CURSOS!$D$25,"BRIGADA DE EMERGENCIA",IF(P28=CURSOS!$D$26,"MANEJO DEL DOLOR Y CUIDADOS PALIATIVOS",IF(P28=CURSOS!$D$27,"TOMA DE MUESTRAS Y LABORATORIO POCT",IF(P28=CURSOS!$D$28,"IMPLANTE SUBDERMICO DE DISPOSITIVO INTRAUTERINO",IF(P28=CURSOS!$D$29,"SALUD MENTAL",IF(P28=CURSOS!$D$30,"PRIMEROS AUXILIOS PSICOLOGICOS",IF(P28=CURSOS!$D$31,"ATENCION A VICTIMAS POR CONFLICTO ARMADO",IF(P28=CURSOS!$D$32,"MANIPULACION DE ALIMENTOS Y BPM",IF(P28=CURSOS!$D$33,"ATENCION A PERSONAS CON DISCAPACIDAD",IF(P28=CURSOS!$D$34,"CUIDADO INTEGRAL DEL PACIENTE ADULTO",IF(P28=CURSOS!$D$35,"MANEJO DEFENSIVO",IF(P28=CURSOS!$D$36,"SOPORTE CARDIOVASCULAR AVANZADO NEONATAL",IF(P28=CURSOS!$D$37,"SEGURIDAD DEL PACIENTE",IF(P28=CURSOS!$D$38,"MANEJO DE RESIDUOS HOSPITALARIOS"))))))))))))))))))))))))))))))))))))</f>
        <v>INSTITUCIONES AMIGAS DE LA MUJER Y LA INFANCIA (IAMI)</v>
      </c>
      <c r="W28" s="80" t="str">
        <f t="shared" si="3"/>
        <v>Yurany Alejandra Burgos Ruano</v>
      </c>
      <c r="X28" s="80" t="str">
        <f t="shared" si="2"/>
        <v>Yurany Alejandra Burgos Ruano</v>
      </c>
      <c r="Y28" s="80" t="str">
        <f t="shared" si="4"/>
        <v>Yurany Alejandra Burgos Ruano-1085335251-IAMI</v>
      </c>
    </row>
    <row r="29" spans="1:25" s="81" customFormat="1" x14ac:dyDescent="0.2">
      <c r="A29" s="74">
        <v>28</v>
      </c>
      <c r="B29" s="75">
        <v>1085335251</v>
      </c>
      <c r="C29" s="75" t="s">
        <v>222</v>
      </c>
      <c r="D29" s="75" t="s">
        <v>223</v>
      </c>
      <c r="E29" s="75" t="s">
        <v>224</v>
      </c>
      <c r="F29" s="75" t="s">
        <v>225</v>
      </c>
      <c r="G29" s="75">
        <v>1</v>
      </c>
      <c r="H29" s="75" t="s">
        <v>127</v>
      </c>
      <c r="I29" s="75" t="s">
        <v>226</v>
      </c>
      <c r="J29" s="76" t="s">
        <v>227</v>
      </c>
      <c r="K29" s="77"/>
      <c r="L29" s="78"/>
      <c r="M29" s="75"/>
      <c r="N29" s="75" t="s">
        <v>131</v>
      </c>
      <c r="O29" s="75" t="s">
        <v>227</v>
      </c>
      <c r="P29" s="75" t="s">
        <v>73</v>
      </c>
      <c r="Q29" s="76">
        <v>35593</v>
      </c>
      <c r="R29" s="75" t="s">
        <v>208</v>
      </c>
      <c r="S29" s="75" t="s">
        <v>332</v>
      </c>
      <c r="T29" s="79">
        <v>3174702162</v>
      </c>
      <c r="U29" s="75" t="s">
        <v>228</v>
      </c>
      <c r="V29" s="80" t="str">
        <f>IF(P29=CURSOS!$D$3,"DIPLOMADO EN ATENCION PRE-HOSPITALARIA",IF(P29=CURSOS!$D$4,"ACOMPAÑAMIENTO Y MANEJO DEL DUELO",IF(P29=CURSOS!$D$5,"ATENCION A VICTIMAS DE ATAQUE CON AGENTES QUIMICOS ",IF(P29=CURSOS!$D$6,"PRIMEROS AUXILIOS ",IF(P29=CURSOS!$D$7,"DIPLOMADO DE UNIDAD DE CUIDADOS INTENSIVOS (UCI)",IF(P29=CURSOS!$D$8,"MODELO DE ATENCION PARA EVENTOS EMERGENTES EN SALUD MENTAL (CODIGO VERDE)",IF(P29=CURSOS!$D$9,"HUMANIZACION EN EL SERVICIO DE LA SALUD Y BUENAS PRACTICAS EN PACIENTE ",IF(P29=CURSOS!$D$10,"CLINICA DE HERIDAS ",IF(P29=CURSOS!$D$11,"TOMA DE CITOLOGIA CERVICO VAGINAL ",IF(P29=CURSOS!$D$12,"SOPORTE CARDIOVASCULAR AVANZADO (ACLS) ",IF(P29=CURSOS!$D$13,"CAMILLERO ",IF(P29=CURSOS!$D$14,"TOMA DE MUESTRAS Y LABORATORIO ",IF(P29=CURSOS!$D$15,"SOPORTE VITAL BASICO (BLS)",IF(P29=CURSOS!$D$16,"ATENCION A VICTIMAS DE VIOLENCIA SEXUAL ",IF(P29=CURSOS!$D$17,"PROGRAMADO AMPLIADO DE INMUNIZACION (PAI - COVID 19)",IF(P29=CURSOS!$D$18,"ATENCION INTEGRAL EN ENFERMEDADES PREVALENTES EN PRIMERA INFANCIA (AIEPI)",IF(P29=CURSOS!$D$19,"ADMINISTRACION DE MEDICAMENTOS, INYECTOLOGIA  Y CANALIZACION ",IF(P29=CURSOS!$D$20,"OPERADOR DE VEHICULOS DE EMERGENCIA (OVE)",IF(P29=CURSOS!$D$21,"INSTITUCIONES AMIGAS DE LA MUJER Y LA INFANCIA (IAMI)",IF(P29=CURSOS!$D$22,"CUIDADO DEL DONANTE DE ORGANOS",IF(P29=CURSOS!$D$23,"ATENCION A VICTIMAS POR VIOLENCIA DE GENERO",IF(P29=CURSOS!$D$24,"IGUALDAD DE GENERO EN LA SALUD",IF(P29=CURSOS!$D$25,"BRIGADA DE EMERGENCIA",IF(P29=CURSOS!$D$26,"MANEJO DEL DOLOR Y CUIDADOS PALIATIVOS",IF(P29=CURSOS!$D$27,"TOMA DE MUESTRAS Y LABORATORIO POCT",IF(P29=CURSOS!$D$28,"IMPLANTE SUBDERMICO DE DISPOSITIVO INTRAUTERINO",IF(P29=CURSOS!$D$29,"SALUD MENTAL",IF(P29=CURSOS!$D$30,"PRIMEROS AUXILIOS PSICOLOGICOS",IF(P29=CURSOS!$D$31,"ATENCION A VICTIMAS POR CONFLICTO ARMADO",IF(P29=CURSOS!$D$32,"MANIPULACION DE ALIMENTOS Y BPM",IF(P29=CURSOS!$D$33,"ATENCION A PERSONAS CON DISCAPACIDAD",IF(P29=CURSOS!$D$34,"CUIDADO INTEGRAL DEL PACIENTE ADULTO",IF(P29=CURSOS!$D$35,"MANEJO DEFENSIVO",IF(P29=CURSOS!$D$36,"SOPORTE CARDIOVASCULAR AVANZADO NEONATAL",IF(P29=CURSOS!$D$37,"SEGURIDAD DEL PACIENTE",IF(P29=CURSOS!$D$38,"MANEJO DE RESIDUOS HOSPITALARIOS"))))))))))))))))))))))))))))))))))))</f>
        <v>PROGRAMADO AMPLIADO DE INMUNIZACION (PAI - COVID 19)</v>
      </c>
      <c r="W29" s="80" t="str">
        <f t="shared" si="3"/>
        <v>Yurany Alejandra Burgos Ruano</v>
      </c>
      <c r="X29" s="80" t="str">
        <f t="shared" si="2"/>
        <v>Yurany Alejandra Burgos Ruano</v>
      </c>
      <c r="Y29" s="80" t="str">
        <f t="shared" si="4"/>
        <v>Yurany Alejandra Burgos Ruano-1085335251-PAI</v>
      </c>
    </row>
    <row r="30" spans="1:25" s="60" customFormat="1" x14ac:dyDescent="0.2">
      <c r="A30" s="61">
        <v>29</v>
      </c>
      <c r="B30" s="62">
        <v>1088737698</v>
      </c>
      <c r="C30" s="62" t="s">
        <v>141</v>
      </c>
      <c r="D30" s="62" t="s">
        <v>229</v>
      </c>
      <c r="E30" s="62" t="s">
        <v>230</v>
      </c>
      <c r="F30" s="62" t="s">
        <v>231</v>
      </c>
      <c r="G30" s="62">
        <v>1</v>
      </c>
      <c r="H30" s="62" t="s">
        <v>127</v>
      </c>
      <c r="I30" s="62" t="s">
        <v>226</v>
      </c>
      <c r="J30" s="63" t="s">
        <v>232</v>
      </c>
      <c r="K30" s="64">
        <v>45748</v>
      </c>
      <c r="L30" s="65">
        <v>32000</v>
      </c>
      <c r="M30" s="62" t="s">
        <v>267</v>
      </c>
      <c r="N30" s="62" t="s">
        <v>131</v>
      </c>
      <c r="O30" s="62" t="s">
        <v>233</v>
      </c>
      <c r="P30" s="62" t="s">
        <v>42</v>
      </c>
      <c r="Q30" s="63">
        <v>45802</v>
      </c>
      <c r="R30" s="62" t="s">
        <v>208</v>
      </c>
      <c r="S30" s="62" t="s">
        <v>332</v>
      </c>
      <c r="T30" s="68">
        <v>3103338848</v>
      </c>
      <c r="U30" s="62" t="s">
        <v>234</v>
      </c>
      <c r="V30" s="66" t="str">
        <f>IF(P30=CURSOS!$D$3,"DIPLOMADO EN ATENCION PRE-HOSPITALARIA",IF(P30=CURSOS!$D$4,"ACOMPAÑAMIENTO Y MANEJO DEL DUELO",IF(P30=CURSOS!$D$5,"ATENCION A VICTIMAS DE ATAQUE CON AGENTES QUIMICOS ",IF(P30=CURSOS!$D$6,"PRIMEROS AUXILIOS ",IF(P30=CURSOS!$D$7,"DIPLOMADO DE UNIDAD DE CUIDADOS INTENSIVOS (UCI)",IF(P30=CURSOS!$D$8,"MODELO DE ATENCION PARA EVENTOS EMERGENTES EN SALUD MENTAL (CODIGO VERDE)",IF(P30=CURSOS!$D$9,"HUMANIZACION EN EL SERVICIO DE LA SALUD Y BUENAS PRACTICAS EN PACIENTE ",IF(P30=CURSOS!$D$10,"CLINICA DE HERIDAS ",IF(P30=CURSOS!$D$11,"TOMA DE CITOLOGIA CERVICO VAGINAL ",IF(P30=CURSOS!$D$12,"SOPORTE CARDIOVASCULAR AVANZADO (ACLS) ",IF(P30=CURSOS!$D$13,"CAMILLERO ",IF(P30=CURSOS!$D$14,"TOMA DE MUESTRAS Y LABORATORIO ",IF(P30=CURSOS!$D$15,"SOPORTE VITAL BASICO (BLS)",IF(P30=CURSOS!$D$16,"ATENCION A VICTIMAS DE VIOLENCIA SEXUAL ",IF(P30=CURSOS!$D$17,"PROGRAMADO AMPLIADO DE INMUNIZACION (PAI - COVID 19)",IF(P30=CURSOS!$D$18,"ATENCION INTEGRAL EN ENFERMEDADES PREVALENTES EN PRIMERA INFANCIA (AIEPI)",IF(P30=CURSOS!$D$19,"ADMINISTRACION DE MEDICAMENTOS, INYECTOLOGIA  Y CANALIZACION ",IF(P30=CURSOS!$D$20,"OPERADOR DE VEHICULOS DE EMERGENCIA (OVE)",IF(P30=CURSOS!$D$21,"INSTITUCIONES AMIGAS DE LA MUJER Y LA INFANCIA (IAMI)",IF(P30=CURSOS!$D$22,"CUIDADO DEL DONANTE DE ORGANOS",IF(P30=CURSOS!$D$23,"ATENCION A VICTIMAS POR VIOLENCIA DE GENERO",IF(P30=CURSOS!$D$24,"IGUALDAD DE GENERO EN LA SALUD",IF(P30=CURSOS!$D$25,"BRIGADA DE EMERGENCIA",IF(P30=CURSOS!$D$26,"MANEJO DEL DOLOR Y CUIDADOS PALIATIVOS",IF(P30=CURSOS!$D$27,"TOMA DE MUESTRAS Y LABORATORIO POCT",IF(P30=CURSOS!$D$28,"IMPLANTE SUBDERMICO DE DISPOSITIVO INTRAUTERINO",IF(P30=CURSOS!$D$29,"SALUD MENTAL",IF(P30=CURSOS!$D$30,"PRIMEROS AUXILIOS PSICOLOGICOS",IF(P30=CURSOS!$D$31,"ATENCION A VICTIMAS POR CONFLICTO ARMADO",IF(P30=CURSOS!$D$32,"MANIPULACION DE ALIMENTOS Y BPM",IF(P30=CURSOS!$D$33,"ATENCION A PERSONAS CON DISCAPACIDAD",IF(P30=CURSOS!$D$34,"CUIDADO INTEGRAL DEL PACIENTE ADULTO",IF(P30=CURSOS!$D$35,"MANEJO DEFENSIVO",IF(P30=CURSOS!$D$36,"SOPORTE CARDIOVASCULAR AVANZADO NEONATAL",IF(P30=CURSOS!$D$37,"SEGURIDAD DEL PACIENTE",IF(P30=CURSOS!$D$38,"MANEJO DE RESIDUOS HOSPITALARIOS"))))))))))))))))))))))))))))))))))))</f>
        <v xml:space="preserve">ATENCION A VICTIMAS DE VIOLENCIA SEXUAL </v>
      </c>
      <c r="W30" s="66" t="str">
        <f t="shared" si="3"/>
        <v>Elisabeth Yamile Pantoja Narvaez</v>
      </c>
      <c r="X30" s="66" t="str">
        <f t="shared" si="2"/>
        <v>Elisabeth Yamile Pantoja Narvaez</v>
      </c>
      <c r="Y30" s="66" t="str">
        <f t="shared" si="4"/>
        <v>Elisabeth Yamile Pantoja Narvaez-1088737698-VIOLENCIA SEXUAL</v>
      </c>
    </row>
    <row r="31" spans="1:25" s="60" customFormat="1" x14ac:dyDescent="0.2">
      <c r="A31" s="61">
        <v>30</v>
      </c>
      <c r="B31" s="62">
        <v>1020842662</v>
      </c>
      <c r="C31" s="62" t="s">
        <v>236</v>
      </c>
      <c r="D31" s="62" t="s">
        <v>237</v>
      </c>
      <c r="E31" s="62" t="s">
        <v>238</v>
      </c>
      <c r="F31" s="62" t="s">
        <v>239</v>
      </c>
      <c r="G31" s="62">
        <v>2</v>
      </c>
      <c r="H31" s="62" t="s">
        <v>127</v>
      </c>
      <c r="I31" s="62" t="s">
        <v>128</v>
      </c>
      <c r="J31" s="63" t="s">
        <v>240</v>
      </c>
      <c r="K31" s="64">
        <v>45762</v>
      </c>
      <c r="L31" s="65">
        <v>161115</v>
      </c>
      <c r="M31" s="62" t="s">
        <v>267</v>
      </c>
      <c r="N31" s="62" t="s">
        <v>131</v>
      </c>
      <c r="O31" s="62" t="s">
        <v>240</v>
      </c>
      <c r="P31" s="62" t="s">
        <v>37</v>
      </c>
      <c r="Q31" s="63"/>
      <c r="R31" s="62" t="s">
        <v>209</v>
      </c>
      <c r="S31" s="96"/>
      <c r="T31" s="67"/>
      <c r="U31" s="62"/>
      <c r="V31" s="66" t="str">
        <f>IF(P31=CURSOS!$D$3,"DIPLOMADO EN ATENCION PRE-HOSPITALARIA",IF(P31=CURSOS!$D$4,"ACOMPAÑAMIENTO Y MANEJO DEL DUELO",IF(P31=CURSOS!$D$5,"ATENCION A VICTIMAS DE ATAQUE CON AGENTES QUIMICOS ",IF(P31=CURSOS!$D$6,"PRIMEROS AUXILIOS ",IF(P31=CURSOS!$D$7,"DIPLOMADO DE UNIDAD DE CUIDADOS INTENSIVOS (UCI)",IF(P31=CURSOS!$D$8,"MODELO DE ATENCION PARA EVENTOS EMERGENTES EN SALUD MENTAL (CODIGO VERDE)",IF(P31=CURSOS!$D$9,"HUMANIZACION EN EL SERVICIO DE LA SALUD Y BUENAS PRACTICAS EN PACIENTE ",IF(P31=CURSOS!$D$10,"CLINICA DE HERIDAS ",IF(P31=CURSOS!$D$11,"TOMA DE CITOLOGIA CERVICO VAGINAL ",IF(P31=CURSOS!$D$12,"SOPORTE CARDIOVASCULAR AVANZADO (ACLS) ",IF(P31=CURSOS!$D$13,"CAMILLERO ",IF(P31=CURSOS!$D$14,"TOMA DE MUESTRAS Y LABORATORIO ",IF(P31=CURSOS!$D$15,"SOPORTE VITAL BASICO (BLS)",IF(P31=CURSOS!$D$16,"ATENCION A VICTIMAS DE VIOLENCIA SEXUAL ",IF(P31=CURSOS!$D$17,"PROGRAMADO AMPLIADO DE INMUNIZACION (PAI - COVID 19)",IF(P31=CURSOS!$D$18,"ATENCION INTEGRAL EN ENFERMEDADES PREVALENTES EN PRIMERA INFANCIA (AIEPI)",IF(P31=CURSOS!$D$19,"ADMINISTRACION DE MEDICAMENTOS, INYECTOLOGIA  Y CANALIZACION ",IF(P31=CURSOS!$D$20,"OPERADOR DE VEHICULOS DE EMERGENCIA (OVE)",IF(P31=CURSOS!$D$21,"INSTITUCIONES AMIGAS DE LA MUJER Y LA INFANCIA (IAMI)",IF(P31=CURSOS!$D$22,"CUIDADO DEL DONANTE DE ORGANOS",IF(P31=CURSOS!$D$23,"ATENCION A VICTIMAS POR VIOLENCIA DE GENERO",IF(P31=CURSOS!$D$24,"IGUALDAD DE GENERO EN LA SALUD",IF(P31=CURSOS!$D$25,"BRIGADA DE EMERGENCIA",IF(P31=CURSOS!$D$26,"MANEJO DEL DOLOR Y CUIDADOS PALIATIVOS",IF(P31=CURSOS!$D$27,"TOMA DE MUESTRAS Y LABORATORIO POCT",IF(P31=CURSOS!$D$28,"IMPLANTE SUBDERMICO DE DISPOSITIVO INTRAUTERINO",IF(P31=CURSOS!$D$29,"SALUD MENTAL",IF(P31=CURSOS!$D$30,"PRIMEROS AUXILIOS PSICOLOGICOS",IF(P31=CURSOS!$D$31,"ATENCION A VICTIMAS POR CONFLICTO ARMADO",IF(P31=CURSOS!$D$32,"MANIPULACION DE ALIMENTOS Y BPM",IF(P31=CURSOS!$D$33,"ATENCION A PERSONAS CON DISCAPACIDAD",IF(P31=CURSOS!$D$34,"CUIDADO INTEGRAL DEL PACIENTE ADULTO",IF(P31=CURSOS!$D$35,"MANEJO DEFENSIVO",IF(P31=CURSOS!$D$36,"SOPORTE CARDIOVASCULAR AVANZADO NEONATAL",IF(P31=CURSOS!$D$37,"SEGURIDAD DEL PACIENTE",IF(P31=CURSOS!$D$38,"MANEJO DE RESIDUOS HOSPITALARIOS"))))))))))))))))))))))))))))))))))))</f>
        <v xml:space="preserve">SOPORTE CARDIOVASCULAR AVANZADO (ACLS) </v>
      </c>
      <c r="W31" s="66" t="str">
        <f t="shared" si="3"/>
        <v>John Henry Cabrera Ortiz</v>
      </c>
      <c r="X31" s="66" t="str">
        <f t="shared" si="2"/>
        <v>John Henry Cabrera Ortiz</v>
      </c>
      <c r="Y31" s="66" t="str">
        <f t="shared" si="4"/>
        <v>John Henry Cabrera Ortiz-1020842662-ACLS</v>
      </c>
    </row>
    <row r="32" spans="1:25" s="60" customFormat="1" x14ac:dyDescent="0.2">
      <c r="A32" s="61">
        <v>31</v>
      </c>
      <c r="B32" s="62">
        <v>1020767042</v>
      </c>
      <c r="C32" s="62" t="s">
        <v>236</v>
      </c>
      <c r="D32" s="62" t="s">
        <v>237</v>
      </c>
      <c r="E32" s="62" t="s">
        <v>241</v>
      </c>
      <c r="F32" s="62" t="s">
        <v>242</v>
      </c>
      <c r="G32" s="62">
        <v>2</v>
      </c>
      <c r="H32" s="62" t="s">
        <v>127</v>
      </c>
      <c r="I32" s="62" t="s">
        <v>128</v>
      </c>
      <c r="J32" s="63" t="s">
        <v>240</v>
      </c>
      <c r="K32" s="64">
        <v>45762</v>
      </c>
      <c r="L32" s="65">
        <v>161115</v>
      </c>
      <c r="M32" s="62" t="s">
        <v>267</v>
      </c>
      <c r="N32" s="62" t="s">
        <v>131</v>
      </c>
      <c r="O32" s="62" t="s">
        <v>240</v>
      </c>
      <c r="P32" s="62" t="s">
        <v>37</v>
      </c>
      <c r="Q32" s="63"/>
      <c r="R32" s="62" t="s">
        <v>209</v>
      </c>
      <c r="S32" s="96"/>
      <c r="T32" s="62"/>
      <c r="U32" s="62"/>
      <c r="V32" s="66" t="str">
        <f>IF(P32=CURSOS!$D$3,"DIPLOMADO EN ATENCION PRE-HOSPITALARIA",IF(P32=CURSOS!$D$4,"ACOMPAÑAMIENTO Y MANEJO DEL DUELO",IF(P32=CURSOS!$D$5,"ATENCION A VICTIMAS DE ATAQUE CON AGENTES QUIMICOS ",IF(P32=CURSOS!$D$6,"PRIMEROS AUXILIOS ",IF(P32=CURSOS!$D$7,"DIPLOMADO DE UNIDAD DE CUIDADOS INTENSIVOS (UCI)",IF(P32=CURSOS!$D$8,"MODELO DE ATENCION PARA EVENTOS EMERGENTES EN SALUD MENTAL (CODIGO VERDE)",IF(P32=CURSOS!$D$9,"HUMANIZACION EN EL SERVICIO DE LA SALUD Y BUENAS PRACTICAS EN PACIENTE ",IF(P32=CURSOS!$D$10,"CLINICA DE HERIDAS ",IF(P32=CURSOS!$D$11,"TOMA DE CITOLOGIA CERVICO VAGINAL ",IF(P32=CURSOS!$D$12,"SOPORTE CARDIOVASCULAR AVANZADO (ACLS) ",IF(P32=CURSOS!$D$13,"CAMILLERO ",IF(P32=CURSOS!$D$14,"TOMA DE MUESTRAS Y LABORATORIO ",IF(P32=CURSOS!$D$15,"SOPORTE VITAL BASICO (BLS)",IF(P32=CURSOS!$D$16,"ATENCION A VICTIMAS DE VIOLENCIA SEXUAL ",IF(P32=CURSOS!$D$17,"PROGRAMADO AMPLIADO DE INMUNIZACION (PAI - COVID 19)",IF(P32=CURSOS!$D$18,"ATENCION INTEGRAL EN ENFERMEDADES PREVALENTES EN PRIMERA INFANCIA (AIEPI)",IF(P32=CURSOS!$D$19,"ADMINISTRACION DE MEDICAMENTOS, INYECTOLOGIA  Y CANALIZACION ",IF(P32=CURSOS!$D$20,"OPERADOR DE VEHICULOS DE EMERGENCIA (OVE)",IF(P32=CURSOS!$D$21,"INSTITUCIONES AMIGAS DE LA MUJER Y LA INFANCIA (IAMI)",IF(P32=CURSOS!$D$22,"CUIDADO DEL DONANTE DE ORGANOS",IF(P32=CURSOS!$D$23,"ATENCION A VICTIMAS POR VIOLENCIA DE GENERO",IF(P32=CURSOS!$D$24,"IGUALDAD DE GENERO EN LA SALUD",IF(P32=CURSOS!$D$25,"BRIGADA DE EMERGENCIA",IF(P32=CURSOS!$D$26,"MANEJO DEL DOLOR Y CUIDADOS PALIATIVOS",IF(P32=CURSOS!$D$27,"TOMA DE MUESTRAS Y LABORATORIO POCT",IF(P32=CURSOS!$D$28,"IMPLANTE SUBDERMICO DE DISPOSITIVO INTRAUTERINO",IF(P32=CURSOS!$D$29,"SALUD MENTAL",IF(P32=CURSOS!$D$30,"PRIMEROS AUXILIOS PSICOLOGICOS",IF(P32=CURSOS!$D$31,"ATENCION A VICTIMAS POR CONFLICTO ARMADO",IF(P32=CURSOS!$D$32,"MANIPULACION DE ALIMENTOS Y BPM",IF(P32=CURSOS!$D$33,"ATENCION A PERSONAS CON DISCAPACIDAD",IF(P32=CURSOS!$D$34,"CUIDADO INTEGRAL DEL PACIENTE ADULTO",IF(P32=CURSOS!$D$35,"MANEJO DEFENSIVO",IF(P32=CURSOS!$D$36,"SOPORTE CARDIOVASCULAR AVANZADO NEONATAL",IF(P32=CURSOS!$D$37,"SEGURIDAD DEL PACIENTE",IF(P32=CURSOS!$D$38,"MANEJO DE RESIDUOS HOSPITALARIOS"))))))))))))))))))))))))))))))))))))</f>
        <v xml:space="preserve">SOPORTE CARDIOVASCULAR AVANZADO (ACLS) </v>
      </c>
      <c r="W32" s="66" t="str">
        <f t="shared" si="3"/>
        <v>David Alejandro Cabrera Ortiz</v>
      </c>
      <c r="X32" s="66" t="str">
        <f t="shared" si="2"/>
        <v>David Alejandro Cabrera Ortiz</v>
      </c>
      <c r="Y32" s="66" t="str">
        <f t="shared" si="4"/>
        <v>David Alejandro Cabrera Ortiz-1020767042-ACLS</v>
      </c>
    </row>
    <row r="33" spans="1:25" s="60" customFormat="1" x14ac:dyDescent="0.2">
      <c r="A33" s="61">
        <v>32</v>
      </c>
      <c r="B33" s="62">
        <v>12957794</v>
      </c>
      <c r="C33" s="62" t="s">
        <v>236</v>
      </c>
      <c r="D33" s="62" t="s">
        <v>243</v>
      </c>
      <c r="E33" s="62" t="s">
        <v>239</v>
      </c>
      <c r="F33" s="62" t="s">
        <v>244</v>
      </c>
      <c r="G33" s="62">
        <v>2</v>
      </c>
      <c r="H33" s="62" t="s">
        <v>127</v>
      </c>
      <c r="I33" s="62" t="s">
        <v>128</v>
      </c>
      <c r="J33" s="63" t="s">
        <v>240</v>
      </c>
      <c r="K33" s="64">
        <v>45762</v>
      </c>
      <c r="L33" s="65">
        <v>161115</v>
      </c>
      <c r="M33" s="62" t="s">
        <v>267</v>
      </c>
      <c r="N33" s="62" t="s">
        <v>131</v>
      </c>
      <c r="O33" s="62" t="s">
        <v>240</v>
      </c>
      <c r="P33" s="62" t="s">
        <v>37</v>
      </c>
      <c r="Q33" s="63"/>
      <c r="R33" s="62" t="s">
        <v>209</v>
      </c>
      <c r="S33" s="96"/>
      <c r="T33" s="62"/>
      <c r="U33" s="62"/>
      <c r="V33" s="66" t="str">
        <f>IF(P33=CURSOS!$D$3,"DIPLOMADO EN ATENCION PRE-HOSPITALARIA",IF(P33=CURSOS!$D$4,"ACOMPAÑAMIENTO Y MANEJO DEL DUELO",IF(P33=CURSOS!$D$5,"ATENCION A VICTIMAS DE ATAQUE CON AGENTES QUIMICOS ",IF(P33=CURSOS!$D$6,"PRIMEROS AUXILIOS ",IF(P33=CURSOS!$D$7,"DIPLOMADO DE UNIDAD DE CUIDADOS INTENSIVOS (UCI)",IF(P33=CURSOS!$D$8,"MODELO DE ATENCION PARA EVENTOS EMERGENTES EN SALUD MENTAL (CODIGO VERDE)",IF(P33=CURSOS!$D$9,"HUMANIZACION EN EL SERVICIO DE LA SALUD Y BUENAS PRACTICAS EN PACIENTE ",IF(P33=CURSOS!$D$10,"CLINICA DE HERIDAS ",IF(P33=CURSOS!$D$11,"TOMA DE CITOLOGIA CERVICO VAGINAL ",IF(P33=CURSOS!$D$12,"SOPORTE CARDIOVASCULAR AVANZADO (ACLS) ",IF(P33=CURSOS!$D$13,"CAMILLERO ",IF(P33=CURSOS!$D$14,"TOMA DE MUESTRAS Y LABORATORIO ",IF(P33=CURSOS!$D$15,"SOPORTE VITAL BASICO (BLS)",IF(P33=CURSOS!$D$16,"ATENCION A VICTIMAS DE VIOLENCIA SEXUAL ",IF(P33=CURSOS!$D$17,"PROGRAMADO AMPLIADO DE INMUNIZACION (PAI - COVID 19)",IF(P33=CURSOS!$D$18,"ATENCION INTEGRAL EN ENFERMEDADES PREVALENTES EN PRIMERA INFANCIA (AIEPI)",IF(P33=CURSOS!$D$19,"ADMINISTRACION DE MEDICAMENTOS, INYECTOLOGIA  Y CANALIZACION ",IF(P33=CURSOS!$D$20,"OPERADOR DE VEHICULOS DE EMERGENCIA (OVE)",IF(P33=CURSOS!$D$21,"INSTITUCIONES AMIGAS DE LA MUJER Y LA INFANCIA (IAMI)",IF(P33=CURSOS!$D$22,"CUIDADO DEL DONANTE DE ORGANOS",IF(P33=CURSOS!$D$23,"ATENCION A VICTIMAS POR VIOLENCIA DE GENERO",IF(P33=CURSOS!$D$24,"IGUALDAD DE GENERO EN LA SALUD",IF(P33=CURSOS!$D$25,"BRIGADA DE EMERGENCIA",IF(P33=CURSOS!$D$26,"MANEJO DEL DOLOR Y CUIDADOS PALIATIVOS",IF(P33=CURSOS!$D$27,"TOMA DE MUESTRAS Y LABORATORIO POCT",IF(P33=CURSOS!$D$28,"IMPLANTE SUBDERMICO DE DISPOSITIVO INTRAUTERINO",IF(P33=CURSOS!$D$29,"SALUD MENTAL",IF(P33=CURSOS!$D$30,"PRIMEROS AUXILIOS PSICOLOGICOS",IF(P33=CURSOS!$D$31,"ATENCION A VICTIMAS POR CONFLICTO ARMADO",IF(P33=CURSOS!$D$32,"MANIPULACION DE ALIMENTOS Y BPM",IF(P33=CURSOS!$D$33,"ATENCION A PERSONAS CON DISCAPACIDAD",IF(P33=CURSOS!$D$34,"CUIDADO INTEGRAL DEL PACIENTE ADULTO",IF(P33=CURSOS!$D$35,"MANEJO DEFENSIVO",IF(P33=CURSOS!$D$36,"SOPORTE CARDIOVASCULAR AVANZADO NEONATAL",IF(P33=CURSOS!$D$37,"SEGURIDAD DEL PACIENTE",IF(P33=CURSOS!$D$38,"MANEJO DE RESIDUOS HOSPITALARIOS"))))))))))))))))))))))))))))))))))))</f>
        <v xml:space="preserve">SOPORTE CARDIOVASCULAR AVANZADO (ACLS) </v>
      </c>
      <c r="W33" s="66" t="str">
        <f t="shared" si="3"/>
        <v>Henry Aurelio Cabrera Marquez</v>
      </c>
      <c r="X33" s="66" t="str">
        <f t="shared" si="2"/>
        <v>Henry Aurelio Cabrera Marquez</v>
      </c>
      <c r="Y33" s="66" t="str">
        <f t="shared" si="4"/>
        <v>Henry Aurelio Cabrera Marquez-12957794-ACLS</v>
      </c>
    </row>
    <row r="34" spans="1:25" s="60" customFormat="1" x14ac:dyDescent="0.2">
      <c r="A34" s="61">
        <v>33</v>
      </c>
      <c r="B34" s="62">
        <v>1085328963</v>
      </c>
      <c r="C34" s="62" t="s">
        <v>216</v>
      </c>
      <c r="D34" s="62" t="s">
        <v>245</v>
      </c>
      <c r="E34" s="62" t="s">
        <v>150</v>
      </c>
      <c r="F34" s="62" t="s">
        <v>200</v>
      </c>
      <c r="G34" s="62">
        <v>2</v>
      </c>
      <c r="H34" s="62" t="s">
        <v>127</v>
      </c>
      <c r="I34" s="62" t="s">
        <v>128</v>
      </c>
      <c r="J34" s="63" t="s">
        <v>240</v>
      </c>
      <c r="K34" s="64">
        <v>45762</v>
      </c>
      <c r="L34" s="65">
        <v>161115</v>
      </c>
      <c r="M34" s="62" t="s">
        <v>267</v>
      </c>
      <c r="N34" s="62" t="s">
        <v>131</v>
      </c>
      <c r="O34" s="62" t="s">
        <v>240</v>
      </c>
      <c r="P34" s="62" t="s">
        <v>37</v>
      </c>
      <c r="Q34" s="63"/>
      <c r="R34" s="62" t="s">
        <v>208</v>
      </c>
      <c r="S34" s="96"/>
      <c r="T34" s="62"/>
      <c r="U34" s="62"/>
      <c r="V34" s="66" t="str">
        <f>IF(P34=CURSOS!$D$3,"DIPLOMADO EN ATENCION PRE-HOSPITALARIA",IF(P34=CURSOS!$D$4,"ACOMPAÑAMIENTO Y MANEJO DEL DUELO",IF(P34=CURSOS!$D$5,"ATENCION A VICTIMAS DE ATAQUE CON AGENTES QUIMICOS ",IF(P34=CURSOS!$D$6,"PRIMEROS AUXILIOS ",IF(P34=CURSOS!$D$7,"DIPLOMADO DE UNIDAD DE CUIDADOS INTENSIVOS (UCI)",IF(P34=CURSOS!$D$8,"MODELO DE ATENCION PARA EVENTOS EMERGENTES EN SALUD MENTAL (CODIGO VERDE)",IF(P34=CURSOS!$D$9,"HUMANIZACION EN EL SERVICIO DE LA SALUD Y BUENAS PRACTICAS EN PACIENTE ",IF(P34=CURSOS!$D$10,"CLINICA DE HERIDAS ",IF(P34=CURSOS!$D$11,"TOMA DE CITOLOGIA CERVICO VAGINAL ",IF(P34=CURSOS!$D$12,"SOPORTE CARDIOVASCULAR AVANZADO (ACLS) ",IF(P34=CURSOS!$D$13,"CAMILLERO ",IF(P34=CURSOS!$D$14,"TOMA DE MUESTRAS Y LABORATORIO ",IF(P34=CURSOS!$D$15,"SOPORTE VITAL BASICO (BLS)",IF(P34=CURSOS!$D$16,"ATENCION A VICTIMAS DE VIOLENCIA SEXUAL ",IF(P34=CURSOS!$D$17,"PROGRAMADO AMPLIADO DE INMUNIZACION (PAI - COVID 19)",IF(P34=CURSOS!$D$18,"ATENCION INTEGRAL EN ENFERMEDADES PREVALENTES EN PRIMERA INFANCIA (AIEPI)",IF(P34=CURSOS!$D$19,"ADMINISTRACION DE MEDICAMENTOS, INYECTOLOGIA  Y CANALIZACION ",IF(P34=CURSOS!$D$20,"OPERADOR DE VEHICULOS DE EMERGENCIA (OVE)",IF(P34=CURSOS!$D$21,"INSTITUCIONES AMIGAS DE LA MUJER Y LA INFANCIA (IAMI)",IF(P34=CURSOS!$D$22,"CUIDADO DEL DONANTE DE ORGANOS",IF(P34=CURSOS!$D$23,"ATENCION A VICTIMAS POR VIOLENCIA DE GENERO",IF(P34=CURSOS!$D$24,"IGUALDAD DE GENERO EN LA SALUD",IF(P34=CURSOS!$D$25,"BRIGADA DE EMERGENCIA",IF(P34=CURSOS!$D$26,"MANEJO DEL DOLOR Y CUIDADOS PALIATIVOS",IF(P34=CURSOS!$D$27,"TOMA DE MUESTRAS Y LABORATORIO POCT",IF(P34=CURSOS!$D$28,"IMPLANTE SUBDERMICO DE DISPOSITIVO INTRAUTERINO",IF(P34=CURSOS!$D$29,"SALUD MENTAL",IF(P34=CURSOS!$D$30,"PRIMEROS AUXILIOS PSICOLOGICOS",IF(P34=CURSOS!$D$31,"ATENCION A VICTIMAS POR CONFLICTO ARMADO",IF(P34=CURSOS!$D$32,"MANIPULACION DE ALIMENTOS Y BPM",IF(P34=CURSOS!$D$33,"ATENCION A PERSONAS CON DISCAPACIDAD",IF(P34=CURSOS!$D$34,"CUIDADO INTEGRAL DEL PACIENTE ADULTO",IF(P34=CURSOS!$D$35,"MANEJO DEFENSIVO",IF(P34=CURSOS!$D$36,"SOPORTE CARDIOVASCULAR AVANZADO NEONATAL",IF(P34=CURSOS!$D$37,"SEGURIDAD DEL PACIENTE",IF(P34=CURSOS!$D$38,"MANEJO DE RESIDUOS HOSPITALARIOS"))))))))))))))))))))))))))))))))))))</f>
        <v xml:space="preserve">SOPORTE CARDIOVASCULAR AVANZADO (ACLS) </v>
      </c>
      <c r="W34" s="66" t="str">
        <f t="shared" si="3"/>
        <v>Maria Fernanda Rosero Montero</v>
      </c>
      <c r="X34" s="66" t="str">
        <f t="shared" si="2"/>
        <v>Maria Fernanda Rosero Montero</v>
      </c>
      <c r="Y34" s="66" t="str">
        <f t="shared" si="4"/>
        <v>Maria Fernanda Rosero Montero-1085328963-ACLS</v>
      </c>
    </row>
    <row r="35" spans="1:25" s="60" customFormat="1" x14ac:dyDescent="0.2">
      <c r="A35" s="61">
        <v>34</v>
      </c>
      <c r="B35" s="62">
        <v>1085338285</v>
      </c>
      <c r="C35" s="62" t="s">
        <v>246</v>
      </c>
      <c r="D35" s="62" t="s">
        <v>247</v>
      </c>
      <c r="E35" s="62" t="s">
        <v>248</v>
      </c>
      <c r="F35" s="62" t="s">
        <v>249</v>
      </c>
      <c r="G35" s="62">
        <v>2</v>
      </c>
      <c r="H35" s="62" t="s">
        <v>127</v>
      </c>
      <c r="I35" s="62" t="s">
        <v>226</v>
      </c>
      <c r="J35" s="63" t="s">
        <v>232</v>
      </c>
      <c r="K35" s="64">
        <v>45749</v>
      </c>
      <c r="L35" s="65">
        <v>22500</v>
      </c>
      <c r="M35" s="62" t="s">
        <v>220</v>
      </c>
      <c r="N35" s="62" t="s">
        <v>131</v>
      </c>
      <c r="O35" s="62" t="s">
        <v>250</v>
      </c>
      <c r="P35" s="62" t="s">
        <v>42</v>
      </c>
      <c r="Q35" s="63"/>
      <c r="R35" s="62" t="s">
        <v>208</v>
      </c>
      <c r="S35" s="62" t="s">
        <v>332</v>
      </c>
      <c r="T35" s="62">
        <v>3156551378</v>
      </c>
      <c r="U35" s="62" t="s">
        <v>251</v>
      </c>
      <c r="V35" s="66" t="str">
        <f>IF(P35=CURSOS!$D$3,"DIPLOMADO EN ATENCION PRE-HOSPITALARIA",IF(P35=CURSOS!$D$4,"ACOMPAÑAMIENTO Y MANEJO DEL DUELO",IF(P35=CURSOS!$D$5,"ATENCION A VICTIMAS DE ATAQUE CON AGENTES QUIMICOS ",IF(P35=CURSOS!$D$6,"PRIMEROS AUXILIOS ",IF(P35=CURSOS!$D$7,"DIPLOMADO DE UNIDAD DE CUIDADOS INTENSIVOS (UCI)",IF(P35=CURSOS!$D$8,"MODELO DE ATENCION PARA EVENTOS EMERGENTES EN SALUD MENTAL (CODIGO VERDE)",IF(P35=CURSOS!$D$9,"HUMANIZACION EN EL SERVICIO DE LA SALUD Y BUENAS PRACTICAS EN PACIENTE ",IF(P35=CURSOS!$D$10,"CLINICA DE HERIDAS ",IF(P35=CURSOS!$D$11,"TOMA DE CITOLOGIA CERVICO VAGINAL ",IF(P35=CURSOS!$D$12,"SOPORTE CARDIOVASCULAR AVANZADO (ACLS) ",IF(P35=CURSOS!$D$13,"CAMILLERO ",IF(P35=CURSOS!$D$14,"TOMA DE MUESTRAS Y LABORATORIO ",IF(P35=CURSOS!$D$15,"SOPORTE VITAL BASICO (BLS)",IF(P35=CURSOS!$D$16,"ATENCION A VICTIMAS DE VIOLENCIA SEXUAL ",IF(P35=CURSOS!$D$17,"PROGRAMADO AMPLIADO DE INMUNIZACION (PAI - COVID 19)",IF(P35=CURSOS!$D$18,"ATENCION INTEGRAL EN ENFERMEDADES PREVALENTES EN PRIMERA INFANCIA (AIEPI)",IF(P35=CURSOS!$D$19,"ADMINISTRACION DE MEDICAMENTOS, INYECTOLOGIA  Y CANALIZACION ",IF(P35=CURSOS!$D$20,"OPERADOR DE VEHICULOS DE EMERGENCIA (OVE)",IF(P35=CURSOS!$D$21,"INSTITUCIONES AMIGAS DE LA MUJER Y LA INFANCIA (IAMI)",IF(P35=CURSOS!$D$22,"CUIDADO DEL DONANTE DE ORGANOS",IF(P35=CURSOS!$D$23,"ATENCION A VICTIMAS POR VIOLENCIA DE GENERO",IF(P35=CURSOS!$D$24,"IGUALDAD DE GENERO EN LA SALUD",IF(P35=CURSOS!$D$25,"BRIGADA DE EMERGENCIA",IF(P35=CURSOS!$D$26,"MANEJO DEL DOLOR Y CUIDADOS PALIATIVOS",IF(P35=CURSOS!$D$27,"TOMA DE MUESTRAS Y LABORATORIO POCT",IF(P35=CURSOS!$D$28,"IMPLANTE SUBDERMICO DE DISPOSITIVO INTRAUTERINO",IF(P35=CURSOS!$D$29,"SALUD MENTAL",IF(P35=CURSOS!$D$30,"PRIMEROS AUXILIOS PSICOLOGICOS",IF(P35=CURSOS!$D$31,"ATENCION A VICTIMAS POR CONFLICTO ARMADO",IF(P35=CURSOS!$D$32,"MANIPULACION DE ALIMENTOS Y BPM",IF(P35=CURSOS!$D$33,"ATENCION A PERSONAS CON DISCAPACIDAD",IF(P35=CURSOS!$D$34,"CUIDADO INTEGRAL DEL PACIENTE ADULTO",IF(P35=CURSOS!$D$35,"MANEJO DEFENSIVO",IF(P35=CURSOS!$D$36,"SOPORTE CARDIOVASCULAR AVANZADO NEONATAL",IF(P35=CURSOS!$D$37,"SEGURIDAD DEL PACIENTE",IF(P35=CURSOS!$D$38,"MANEJO DE RESIDUOS HOSPITALARIOS"))))))))))))))))))))))))))))))))))))</f>
        <v xml:space="preserve">ATENCION A VICTIMAS DE VIOLENCIA SEXUAL </v>
      </c>
      <c r="W35" s="66" t="str">
        <f t="shared" si="3"/>
        <v>Daniela Natalia Castro Bastidas</v>
      </c>
      <c r="X35" s="66" t="str">
        <f t="shared" si="2"/>
        <v>Daniela Natalia Castro Bastidas</v>
      </c>
      <c r="Y35" s="66" t="str">
        <f t="shared" si="4"/>
        <v>Daniela Natalia Castro Bastidas-1085338285-VIOLENCIA SEXUAL</v>
      </c>
    </row>
    <row r="36" spans="1:25" s="60" customFormat="1" x14ac:dyDescent="0.2">
      <c r="A36" s="61">
        <v>35</v>
      </c>
      <c r="B36" s="62">
        <v>1085338285</v>
      </c>
      <c r="C36" s="62" t="s">
        <v>246</v>
      </c>
      <c r="D36" s="62" t="s">
        <v>247</v>
      </c>
      <c r="E36" s="62" t="s">
        <v>248</v>
      </c>
      <c r="F36" s="62" t="s">
        <v>249</v>
      </c>
      <c r="G36" s="62">
        <v>1</v>
      </c>
      <c r="H36" s="62" t="s">
        <v>127</v>
      </c>
      <c r="I36" s="62" t="s">
        <v>226</v>
      </c>
      <c r="J36" s="63" t="s">
        <v>232</v>
      </c>
      <c r="K36" s="64">
        <v>45749</v>
      </c>
      <c r="L36" s="65">
        <v>22500</v>
      </c>
      <c r="M36" s="62" t="s">
        <v>220</v>
      </c>
      <c r="N36" s="62" t="s">
        <v>131</v>
      </c>
      <c r="O36" s="62" t="s">
        <v>250</v>
      </c>
      <c r="P36" s="62" t="s">
        <v>23</v>
      </c>
      <c r="Q36" s="63"/>
      <c r="R36" s="62" t="s">
        <v>208</v>
      </c>
      <c r="S36" s="62" t="s">
        <v>332</v>
      </c>
      <c r="T36" s="62">
        <v>3156551378</v>
      </c>
      <c r="U36" s="62" t="s">
        <v>251</v>
      </c>
      <c r="V36" s="66" t="str">
        <f>IF(P36=CURSOS!$D$3,"DIPLOMADO EN ATENCION PRE-HOSPITALARIA",IF(P36=CURSOS!$D$4,"ACOMPAÑAMIENTO Y MANEJO DEL DUELO",IF(P36=CURSOS!$D$5,"ATENCION A VICTIMAS DE ATAQUE CON AGENTES QUIMICOS ",IF(P36=CURSOS!$D$6,"PRIMEROS AUXILIOS ",IF(P36=CURSOS!$D$7,"DIPLOMADO DE UNIDAD DE CUIDADOS INTENSIVOS (UCI)",IF(P36=CURSOS!$D$8,"MODELO DE ATENCION PARA EVENTOS EMERGENTES EN SALUD MENTAL (CODIGO VERDE)",IF(P36=CURSOS!$D$9,"HUMANIZACION EN EL SERVICIO DE LA SALUD Y BUENAS PRACTICAS EN PACIENTE ",IF(P36=CURSOS!$D$10,"CLINICA DE HERIDAS ",IF(P36=CURSOS!$D$11,"TOMA DE CITOLOGIA CERVICO VAGINAL ",IF(P36=CURSOS!$D$12,"SOPORTE CARDIOVASCULAR AVANZADO (ACLS) ",IF(P36=CURSOS!$D$13,"CAMILLERO ",IF(P36=CURSOS!$D$14,"TOMA DE MUESTRAS Y LABORATORIO ",IF(P36=CURSOS!$D$15,"SOPORTE VITAL BASICO (BLS)",IF(P36=CURSOS!$D$16,"ATENCION A VICTIMAS DE VIOLENCIA SEXUAL ",IF(P36=CURSOS!$D$17,"PROGRAMADO AMPLIADO DE INMUNIZACION (PAI - COVID 19)",IF(P36=CURSOS!$D$18,"ATENCION INTEGRAL EN ENFERMEDADES PREVALENTES EN PRIMERA INFANCIA (AIEPI)",IF(P36=CURSOS!$D$19,"ADMINISTRACION DE MEDICAMENTOS, INYECTOLOGIA  Y CANALIZACION ",IF(P36=CURSOS!$D$20,"OPERADOR DE VEHICULOS DE EMERGENCIA (OVE)",IF(P36=CURSOS!$D$21,"INSTITUCIONES AMIGAS DE LA MUJER Y LA INFANCIA (IAMI)",IF(P36=CURSOS!$D$22,"CUIDADO DEL DONANTE DE ORGANOS",IF(P36=CURSOS!$D$23,"ATENCION A VICTIMAS POR VIOLENCIA DE GENERO",IF(P36=CURSOS!$D$24,"IGUALDAD DE GENERO EN LA SALUD",IF(P36=CURSOS!$D$25,"BRIGADA DE EMERGENCIA",IF(P36=CURSOS!$D$26,"MANEJO DEL DOLOR Y CUIDADOS PALIATIVOS",IF(P36=CURSOS!$D$27,"TOMA DE MUESTRAS Y LABORATORIO POCT",IF(P36=CURSOS!$D$28,"IMPLANTE SUBDERMICO DE DISPOSITIVO INTRAUTERINO",IF(P36=CURSOS!$D$29,"SALUD MENTAL",IF(P36=CURSOS!$D$30,"PRIMEROS AUXILIOS PSICOLOGICOS",IF(P36=CURSOS!$D$31,"ATENCION A VICTIMAS POR CONFLICTO ARMADO",IF(P36=CURSOS!$D$32,"MANIPULACION DE ALIMENTOS Y BPM",IF(P36=CURSOS!$D$33,"ATENCION A PERSONAS CON DISCAPACIDAD",IF(P36=CURSOS!$D$34,"CUIDADO INTEGRAL DEL PACIENTE ADULTO",IF(P36=CURSOS!$D$35,"MANEJO DEFENSIVO",IF(P36=CURSOS!$D$36,"SOPORTE CARDIOVASCULAR AVANZADO NEONATAL",IF(P36=CURSOS!$D$37,"SEGURIDAD DEL PACIENTE",IF(P36=CURSOS!$D$38,"MANEJO DE RESIDUOS HOSPITALARIOS"))))))))))))))))))))))))))))))))))))</f>
        <v>ACOMPAÑAMIENTO Y MANEJO DEL DUELO</v>
      </c>
      <c r="W36" s="66" t="str">
        <f t="shared" si="3"/>
        <v>Daniela Natalia Castro Bastidas</v>
      </c>
      <c r="X36" s="66" t="str">
        <f t="shared" si="2"/>
        <v>Daniela Natalia Castro Bastidas</v>
      </c>
      <c r="Y36" s="66" t="str">
        <f t="shared" si="4"/>
        <v>Daniela Natalia Castro Bastidas-1085338285-DUELO</v>
      </c>
    </row>
    <row r="37" spans="1:25" s="60" customFormat="1" x14ac:dyDescent="0.2">
      <c r="A37" s="61">
        <v>36</v>
      </c>
      <c r="B37" s="62">
        <v>1085338285</v>
      </c>
      <c r="C37" s="62" t="s">
        <v>246</v>
      </c>
      <c r="D37" s="62" t="s">
        <v>247</v>
      </c>
      <c r="E37" s="62" t="s">
        <v>248</v>
      </c>
      <c r="F37" s="62" t="s">
        <v>249</v>
      </c>
      <c r="G37" s="62">
        <v>2</v>
      </c>
      <c r="H37" s="62" t="s">
        <v>127</v>
      </c>
      <c r="I37" s="62" t="s">
        <v>226</v>
      </c>
      <c r="J37" s="63" t="s">
        <v>232</v>
      </c>
      <c r="K37" s="64">
        <v>45749</v>
      </c>
      <c r="L37" s="65">
        <v>22500</v>
      </c>
      <c r="M37" s="62" t="s">
        <v>220</v>
      </c>
      <c r="N37" s="62" t="s">
        <v>131</v>
      </c>
      <c r="O37" s="62" t="s">
        <v>250</v>
      </c>
      <c r="P37" s="62" t="s">
        <v>25</v>
      </c>
      <c r="Q37" s="63"/>
      <c r="R37" s="62" t="s">
        <v>208</v>
      </c>
      <c r="S37" s="62" t="s">
        <v>332</v>
      </c>
      <c r="T37" s="62">
        <v>3156551378</v>
      </c>
      <c r="U37" s="62" t="s">
        <v>251</v>
      </c>
      <c r="V37" s="66" t="str">
        <f>IF(P37=CURSOS!$D$3,"DIPLOMADO EN ATENCION PRE-HOSPITALARIA",IF(P37=CURSOS!$D$4,"ACOMPAÑAMIENTO Y MANEJO DEL DUELO",IF(P37=CURSOS!$D$5,"ATENCION A VICTIMAS DE ATAQUE CON AGENTES QUIMICOS ",IF(P37=CURSOS!$D$6,"PRIMEROS AUXILIOS ",IF(P37=CURSOS!$D$7,"DIPLOMADO DE UNIDAD DE CUIDADOS INTENSIVOS (UCI)",IF(P37=CURSOS!$D$8,"MODELO DE ATENCION PARA EVENTOS EMERGENTES EN SALUD MENTAL (CODIGO VERDE)",IF(P37=CURSOS!$D$9,"HUMANIZACION EN EL SERVICIO DE LA SALUD Y BUENAS PRACTICAS EN PACIENTE ",IF(P37=CURSOS!$D$10,"CLINICA DE HERIDAS ",IF(P37=CURSOS!$D$11,"TOMA DE CITOLOGIA CERVICO VAGINAL ",IF(P37=CURSOS!$D$12,"SOPORTE CARDIOVASCULAR AVANZADO (ACLS) ",IF(P37=CURSOS!$D$13,"CAMILLERO ",IF(P37=CURSOS!$D$14,"TOMA DE MUESTRAS Y LABORATORIO ",IF(P37=CURSOS!$D$15,"SOPORTE VITAL BASICO (BLS)",IF(P37=CURSOS!$D$16,"ATENCION A VICTIMAS DE VIOLENCIA SEXUAL ",IF(P37=CURSOS!$D$17,"PROGRAMADO AMPLIADO DE INMUNIZACION (PAI - COVID 19)",IF(P37=CURSOS!$D$18,"ATENCION INTEGRAL EN ENFERMEDADES PREVALENTES EN PRIMERA INFANCIA (AIEPI)",IF(P37=CURSOS!$D$19,"ADMINISTRACION DE MEDICAMENTOS, INYECTOLOGIA  Y CANALIZACION ",IF(P37=CURSOS!$D$20,"OPERADOR DE VEHICULOS DE EMERGENCIA (OVE)",IF(P37=CURSOS!$D$21,"INSTITUCIONES AMIGAS DE LA MUJER Y LA INFANCIA (IAMI)",IF(P37=CURSOS!$D$22,"CUIDADO DEL DONANTE DE ORGANOS",IF(P37=CURSOS!$D$23,"ATENCION A VICTIMAS POR VIOLENCIA DE GENERO",IF(P37=CURSOS!$D$24,"IGUALDAD DE GENERO EN LA SALUD",IF(P37=CURSOS!$D$25,"BRIGADA DE EMERGENCIA",IF(P37=CURSOS!$D$26,"MANEJO DEL DOLOR Y CUIDADOS PALIATIVOS",IF(P37=CURSOS!$D$27,"TOMA DE MUESTRAS Y LABORATORIO POCT",IF(P37=CURSOS!$D$28,"IMPLANTE SUBDERMICO DE DISPOSITIVO INTRAUTERINO",IF(P37=CURSOS!$D$29,"SALUD MENTAL",IF(P37=CURSOS!$D$30,"PRIMEROS AUXILIOS PSICOLOGICOS",IF(P37=CURSOS!$D$31,"ATENCION A VICTIMAS POR CONFLICTO ARMADO",IF(P37=CURSOS!$D$32,"MANIPULACION DE ALIMENTOS Y BPM",IF(P37=CURSOS!$D$33,"ATENCION A PERSONAS CON DISCAPACIDAD",IF(P37=CURSOS!$D$34,"CUIDADO INTEGRAL DEL PACIENTE ADULTO",IF(P37=CURSOS!$D$35,"MANEJO DEFENSIVO",IF(P37=CURSOS!$D$36,"SOPORTE CARDIOVASCULAR AVANZADO NEONATAL",IF(P37=CURSOS!$D$37,"SEGURIDAD DEL PACIENTE",IF(P37=CURSOS!$D$38,"MANEJO DE RESIDUOS HOSPITALARIOS"))))))))))))))))))))))))))))))))))))</f>
        <v xml:space="preserve">ATENCION A VICTIMAS DE ATAQUE CON AGENTES QUIMICOS </v>
      </c>
      <c r="W37" s="66" t="str">
        <f t="shared" si="3"/>
        <v>Daniela Natalia Castro Bastidas</v>
      </c>
      <c r="X37" s="66" t="str">
        <f t="shared" si="2"/>
        <v>Daniela Natalia Castro Bastidas</v>
      </c>
      <c r="Y37" s="66" t="str">
        <f t="shared" si="4"/>
        <v>Daniela Natalia Castro Bastidas-1085338285-QUIMICOS</v>
      </c>
    </row>
    <row r="38" spans="1:25" s="60" customFormat="1" x14ac:dyDescent="0.2">
      <c r="A38" s="61">
        <v>37</v>
      </c>
      <c r="B38" s="62">
        <v>1085338285</v>
      </c>
      <c r="C38" s="62" t="s">
        <v>246</v>
      </c>
      <c r="D38" s="62" t="s">
        <v>247</v>
      </c>
      <c r="E38" s="62" t="s">
        <v>248</v>
      </c>
      <c r="F38" s="62" t="s">
        <v>249</v>
      </c>
      <c r="G38" s="62">
        <v>31</v>
      </c>
      <c r="H38" s="62" t="s">
        <v>235</v>
      </c>
      <c r="I38" s="62" t="s">
        <v>226</v>
      </c>
      <c r="J38" s="63" t="s">
        <v>232</v>
      </c>
      <c r="K38" s="64">
        <v>45749</v>
      </c>
      <c r="L38" s="65">
        <v>22500</v>
      </c>
      <c r="M38" s="62" t="s">
        <v>220</v>
      </c>
      <c r="N38" s="62" t="s">
        <v>131</v>
      </c>
      <c r="O38" s="62" t="s">
        <v>250</v>
      </c>
      <c r="P38" s="62" t="s">
        <v>19</v>
      </c>
      <c r="Q38" s="63"/>
      <c r="R38" s="62" t="s">
        <v>208</v>
      </c>
      <c r="S38" s="62" t="s">
        <v>332</v>
      </c>
      <c r="T38" s="62">
        <v>3156551378</v>
      </c>
      <c r="U38" s="62" t="s">
        <v>251</v>
      </c>
      <c r="V38" s="66" t="str">
        <f>IF(P38=CURSOS!$D$3,"DIPLOMADO EN ATENCION PRE-HOSPITALARIA",IF(P38=CURSOS!$D$4,"ACOMPAÑAMIENTO Y MANEJO DEL DUELO",IF(P38=CURSOS!$D$5,"ATENCION A VICTIMAS DE ATAQUE CON AGENTES QUIMICOS ",IF(P38=CURSOS!$D$6,"PRIMEROS AUXILIOS ",IF(P38=CURSOS!$D$7,"DIPLOMADO DE UNIDAD DE CUIDADOS INTENSIVOS (UCI)",IF(P38=CURSOS!$D$8,"MODELO DE ATENCION PARA EVENTOS EMERGENTES EN SALUD MENTAL (CODIGO VERDE)",IF(P38=CURSOS!$D$9,"HUMANIZACION EN EL SERVICIO DE LA SALUD Y BUENAS PRACTICAS EN PACIENTE ",IF(P38=CURSOS!$D$10,"CLINICA DE HERIDAS ",IF(P38=CURSOS!$D$11,"TOMA DE CITOLOGIA CERVICO VAGINAL ",IF(P38=CURSOS!$D$12,"SOPORTE CARDIOVASCULAR AVANZADO (ACLS) ",IF(P38=CURSOS!$D$13,"CAMILLERO ",IF(P38=CURSOS!$D$14,"TOMA DE MUESTRAS Y LABORATORIO ",IF(P38=CURSOS!$D$15,"SOPORTE VITAL BASICO (BLS)",IF(P38=CURSOS!$D$16,"ATENCION A VICTIMAS DE VIOLENCIA SEXUAL ",IF(P38=CURSOS!$D$17,"PROGRAMADO AMPLIADO DE INMUNIZACION (PAI - COVID 19)",IF(P38=CURSOS!$D$18,"ATENCION INTEGRAL EN ENFERMEDADES PREVALENTES EN PRIMERA INFANCIA (AIEPI)",IF(P38=CURSOS!$D$19,"ADMINISTRACION DE MEDICAMENTOS, INYECTOLOGIA  Y CANALIZACION ",IF(P38=CURSOS!$D$20,"OPERADOR DE VEHICULOS DE EMERGENCIA (OVE)",IF(P38=CURSOS!$D$21,"INSTITUCIONES AMIGAS DE LA MUJER Y LA INFANCIA (IAMI)",IF(P38=CURSOS!$D$22,"CUIDADO DEL DONANTE DE ORGANOS",IF(P38=CURSOS!$D$23,"ATENCION A VICTIMAS POR VIOLENCIA DE GENERO",IF(P38=CURSOS!$D$24,"IGUALDAD DE GENERO EN LA SALUD",IF(P38=CURSOS!$D$25,"BRIGADA DE EMERGENCIA",IF(P38=CURSOS!$D$26,"MANEJO DEL DOLOR Y CUIDADOS PALIATIVOS",IF(P38=CURSOS!$D$27,"TOMA DE MUESTRAS Y LABORATORIO POCT",IF(P38=CURSOS!$D$28,"IMPLANTE SUBDERMICO DE DISPOSITIVO INTRAUTERINO",IF(P38=CURSOS!$D$29,"SALUD MENTAL",IF(P38=CURSOS!$D$30,"PRIMEROS AUXILIOS PSICOLOGICOS",IF(P38=CURSOS!$D$31,"ATENCION A VICTIMAS POR CONFLICTO ARMADO",IF(P38=CURSOS!$D$32,"MANIPULACION DE ALIMENTOS Y BPM",IF(P38=CURSOS!$D$33,"ATENCION A PERSONAS CON DISCAPACIDAD",IF(P38=CURSOS!$D$34,"CUIDADO INTEGRAL DEL PACIENTE ADULTO",IF(P38=CURSOS!$D$35,"MANEJO DEFENSIVO",IF(P38=CURSOS!$D$36,"SOPORTE CARDIOVASCULAR AVANZADO NEONATAL",IF(P38=CURSOS!$D$37,"SEGURIDAD DEL PACIENTE",IF(P38=CURSOS!$D$38,"MANEJO DE RESIDUOS HOSPITALARIOS"))))))))))))))))))))))))))))))))))))</f>
        <v>SOPORTE VITAL BASICO (BLS)</v>
      </c>
      <c r="W38" s="66" t="str">
        <f t="shared" si="3"/>
        <v>Daniela Natalia Castro Bastidas</v>
      </c>
      <c r="X38" s="66" t="str">
        <f t="shared" si="2"/>
        <v>Daniela Natalia Castro Bastidas</v>
      </c>
      <c r="Y38" s="66" t="str">
        <f t="shared" si="4"/>
        <v>Daniela Natalia Castro Bastidas-1085338285-BLS</v>
      </c>
    </row>
    <row r="39" spans="1:25" s="60" customFormat="1" x14ac:dyDescent="0.2">
      <c r="A39" s="61">
        <v>38</v>
      </c>
      <c r="B39" s="62">
        <v>1088733594</v>
      </c>
      <c r="C39" s="62" t="s">
        <v>252</v>
      </c>
      <c r="D39" s="62" t="s">
        <v>141</v>
      </c>
      <c r="E39" s="62" t="s">
        <v>253</v>
      </c>
      <c r="F39" s="62" t="s">
        <v>225</v>
      </c>
      <c r="G39" s="62">
        <v>31</v>
      </c>
      <c r="H39" s="62" t="s">
        <v>235</v>
      </c>
      <c r="I39" s="62" t="s">
        <v>226</v>
      </c>
      <c r="J39" s="63" t="s">
        <v>232</v>
      </c>
      <c r="K39" s="64">
        <v>45750</v>
      </c>
      <c r="L39" s="65">
        <v>32000</v>
      </c>
      <c r="M39" s="62" t="s">
        <v>267</v>
      </c>
      <c r="N39" s="62" t="s">
        <v>131</v>
      </c>
      <c r="O39" s="62" t="s">
        <v>233</v>
      </c>
      <c r="P39" s="62" t="s">
        <v>19</v>
      </c>
      <c r="Q39" s="63">
        <v>33121</v>
      </c>
      <c r="R39" s="62" t="s">
        <v>208</v>
      </c>
      <c r="S39" s="62" t="s">
        <v>332</v>
      </c>
      <c r="T39" s="62">
        <v>3188545492</v>
      </c>
      <c r="U39" s="62" t="s">
        <v>254</v>
      </c>
      <c r="V39" s="66" t="str">
        <f>IF(P39=CURSOS!$D$3,"DIPLOMADO EN ATENCION PRE-HOSPITALARIA",IF(P39=CURSOS!$D$4,"ACOMPAÑAMIENTO Y MANEJO DEL DUELO",IF(P39=CURSOS!$D$5,"ATENCION A VICTIMAS DE ATAQUE CON AGENTES QUIMICOS ",IF(P39=CURSOS!$D$6,"PRIMEROS AUXILIOS ",IF(P39=CURSOS!$D$7,"DIPLOMADO DE UNIDAD DE CUIDADOS INTENSIVOS (UCI)",IF(P39=CURSOS!$D$8,"MODELO DE ATENCION PARA EVENTOS EMERGENTES EN SALUD MENTAL (CODIGO VERDE)",IF(P39=CURSOS!$D$9,"HUMANIZACION EN EL SERVICIO DE LA SALUD Y BUENAS PRACTICAS EN PACIENTE ",IF(P39=CURSOS!$D$10,"CLINICA DE HERIDAS ",IF(P39=CURSOS!$D$11,"TOMA DE CITOLOGIA CERVICO VAGINAL ",IF(P39=CURSOS!$D$12,"SOPORTE CARDIOVASCULAR AVANZADO (ACLS) ",IF(P39=CURSOS!$D$13,"CAMILLERO ",IF(P39=CURSOS!$D$14,"TOMA DE MUESTRAS Y LABORATORIO ",IF(P39=CURSOS!$D$15,"SOPORTE VITAL BASICO (BLS)",IF(P39=CURSOS!$D$16,"ATENCION A VICTIMAS DE VIOLENCIA SEXUAL ",IF(P39=CURSOS!$D$17,"PROGRAMADO AMPLIADO DE INMUNIZACION (PAI - COVID 19)",IF(P39=CURSOS!$D$18,"ATENCION INTEGRAL EN ENFERMEDADES PREVALENTES EN PRIMERA INFANCIA (AIEPI)",IF(P39=CURSOS!$D$19,"ADMINISTRACION DE MEDICAMENTOS, INYECTOLOGIA  Y CANALIZACION ",IF(P39=CURSOS!$D$20,"OPERADOR DE VEHICULOS DE EMERGENCIA (OVE)",IF(P39=CURSOS!$D$21,"INSTITUCIONES AMIGAS DE LA MUJER Y LA INFANCIA (IAMI)",IF(P39=CURSOS!$D$22,"CUIDADO DEL DONANTE DE ORGANOS",IF(P39=CURSOS!$D$23,"ATENCION A VICTIMAS POR VIOLENCIA DE GENERO",IF(P39=CURSOS!$D$24,"IGUALDAD DE GENERO EN LA SALUD",IF(P39=CURSOS!$D$25,"BRIGADA DE EMERGENCIA",IF(P39=CURSOS!$D$26,"MANEJO DEL DOLOR Y CUIDADOS PALIATIVOS",IF(P39=CURSOS!$D$27,"TOMA DE MUESTRAS Y LABORATORIO POCT",IF(P39=CURSOS!$D$28,"IMPLANTE SUBDERMICO DE DISPOSITIVO INTRAUTERINO",IF(P39=CURSOS!$D$29,"SALUD MENTAL",IF(P39=CURSOS!$D$30,"PRIMEROS AUXILIOS PSICOLOGICOS",IF(P39=CURSOS!$D$31,"ATENCION A VICTIMAS POR CONFLICTO ARMADO",IF(P39=CURSOS!$D$32,"MANIPULACION DE ALIMENTOS Y BPM",IF(P39=CURSOS!$D$33,"ATENCION A PERSONAS CON DISCAPACIDAD",IF(P39=CURSOS!$D$34,"CUIDADO INTEGRAL DEL PACIENTE ADULTO",IF(P39=CURSOS!$D$35,"MANEJO DEFENSIVO",IF(P39=CURSOS!$D$36,"SOPORTE CARDIOVASCULAR AVANZADO NEONATAL",IF(P39=CURSOS!$D$37,"SEGURIDAD DEL PACIENTE",IF(P39=CURSOS!$D$38,"MANEJO DE RESIDUOS HOSPITALARIOS"))))))))))))))))))))))))))))))))))))</f>
        <v>SOPORTE VITAL BASICO (BLS)</v>
      </c>
      <c r="W39" s="66" t="str">
        <f t="shared" si="3"/>
        <v>Estefany Alejandra Yela Pantoja</v>
      </c>
      <c r="X39" s="66" t="str">
        <f t="shared" si="2"/>
        <v>Estefany Alejandra Yela Pantoja</v>
      </c>
      <c r="Y39" s="66" t="str">
        <f t="shared" si="4"/>
        <v>Estefany Alejandra Yela Pantoja-1088733594-BLS</v>
      </c>
    </row>
    <row r="40" spans="1:25" s="60" customFormat="1" x14ac:dyDescent="0.2">
      <c r="A40" s="61">
        <v>39</v>
      </c>
      <c r="B40" s="62">
        <v>1088733594</v>
      </c>
      <c r="C40" s="62" t="s">
        <v>252</v>
      </c>
      <c r="D40" s="62" t="s">
        <v>141</v>
      </c>
      <c r="E40" s="62" t="s">
        <v>253</v>
      </c>
      <c r="F40" s="62" t="s">
        <v>225</v>
      </c>
      <c r="G40" s="62">
        <v>2</v>
      </c>
      <c r="H40" s="62" t="s">
        <v>127</v>
      </c>
      <c r="I40" s="62" t="s">
        <v>226</v>
      </c>
      <c r="J40" s="63" t="s">
        <v>232</v>
      </c>
      <c r="K40" s="64">
        <v>45750</v>
      </c>
      <c r="L40" s="65">
        <v>32000</v>
      </c>
      <c r="M40" s="62" t="s">
        <v>267</v>
      </c>
      <c r="N40" s="62" t="s">
        <v>131</v>
      </c>
      <c r="O40" s="62" t="s">
        <v>233</v>
      </c>
      <c r="P40" s="62" t="s">
        <v>42</v>
      </c>
      <c r="Q40" s="63">
        <v>33121</v>
      </c>
      <c r="R40" s="62" t="s">
        <v>208</v>
      </c>
      <c r="S40" s="62" t="s">
        <v>332</v>
      </c>
      <c r="T40" s="62">
        <v>3188545492</v>
      </c>
      <c r="U40" s="62" t="s">
        <v>254</v>
      </c>
      <c r="V40" s="66" t="str">
        <f>IF(P40=CURSOS!$D$3,"DIPLOMADO EN ATENCION PRE-HOSPITALARIA",IF(P40=CURSOS!$D$4,"ACOMPAÑAMIENTO Y MANEJO DEL DUELO",IF(P40=CURSOS!$D$5,"ATENCION A VICTIMAS DE ATAQUE CON AGENTES QUIMICOS ",IF(P40=CURSOS!$D$6,"PRIMEROS AUXILIOS ",IF(P40=CURSOS!$D$7,"DIPLOMADO DE UNIDAD DE CUIDADOS INTENSIVOS (UCI)",IF(P40=CURSOS!$D$8,"MODELO DE ATENCION PARA EVENTOS EMERGENTES EN SALUD MENTAL (CODIGO VERDE)",IF(P40=CURSOS!$D$9,"HUMANIZACION EN EL SERVICIO DE LA SALUD Y BUENAS PRACTICAS EN PACIENTE ",IF(P40=CURSOS!$D$10,"CLINICA DE HERIDAS ",IF(P40=CURSOS!$D$11,"TOMA DE CITOLOGIA CERVICO VAGINAL ",IF(P40=CURSOS!$D$12,"SOPORTE CARDIOVASCULAR AVANZADO (ACLS) ",IF(P40=CURSOS!$D$13,"CAMILLERO ",IF(P40=CURSOS!$D$14,"TOMA DE MUESTRAS Y LABORATORIO ",IF(P40=CURSOS!$D$15,"SOPORTE VITAL BASICO (BLS)",IF(P40=CURSOS!$D$16,"ATENCION A VICTIMAS DE VIOLENCIA SEXUAL ",IF(P40=CURSOS!$D$17,"PROGRAMADO AMPLIADO DE INMUNIZACION (PAI - COVID 19)",IF(P40=CURSOS!$D$18,"ATENCION INTEGRAL EN ENFERMEDADES PREVALENTES EN PRIMERA INFANCIA (AIEPI)",IF(P40=CURSOS!$D$19,"ADMINISTRACION DE MEDICAMENTOS, INYECTOLOGIA  Y CANALIZACION ",IF(P40=CURSOS!$D$20,"OPERADOR DE VEHICULOS DE EMERGENCIA (OVE)",IF(P40=CURSOS!$D$21,"INSTITUCIONES AMIGAS DE LA MUJER Y LA INFANCIA (IAMI)",IF(P40=CURSOS!$D$22,"CUIDADO DEL DONANTE DE ORGANOS",IF(P40=CURSOS!$D$23,"ATENCION A VICTIMAS POR VIOLENCIA DE GENERO",IF(P40=CURSOS!$D$24,"IGUALDAD DE GENERO EN LA SALUD",IF(P40=CURSOS!$D$25,"BRIGADA DE EMERGENCIA",IF(P40=CURSOS!$D$26,"MANEJO DEL DOLOR Y CUIDADOS PALIATIVOS",IF(P40=CURSOS!$D$27,"TOMA DE MUESTRAS Y LABORATORIO POCT",IF(P40=CURSOS!$D$28,"IMPLANTE SUBDERMICO DE DISPOSITIVO INTRAUTERINO",IF(P40=CURSOS!$D$29,"SALUD MENTAL",IF(P40=CURSOS!$D$30,"PRIMEROS AUXILIOS PSICOLOGICOS",IF(P40=CURSOS!$D$31,"ATENCION A VICTIMAS POR CONFLICTO ARMADO",IF(P40=CURSOS!$D$32,"MANIPULACION DE ALIMENTOS Y BPM",IF(P40=CURSOS!$D$33,"ATENCION A PERSONAS CON DISCAPACIDAD",IF(P40=CURSOS!$D$34,"CUIDADO INTEGRAL DEL PACIENTE ADULTO",IF(P40=CURSOS!$D$35,"MANEJO DEFENSIVO",IF(P40=CURSOS!$D$36,"SOPORTE CARDIOVASCULAR AVANZADO NEONATAL",IF(P40=CURSOS!$D$37,"SEGURIDAD DEL PACIENTE",IF(P40=CURSOS!$D$38,"MANEJO DE RESIDUOS HOSPITALARIOS"))))))))))))))))))))))))))))))))))))</f>
        <v xml:space="preserve">ATENCION A VICTIMAS DE VIOLENCIA SEXUAL </v>
      </c>
      <c r="W40" s="66" t="str">
        <f t="shared" si="3"/>
        <v>Estefany Alejandra Yela Pantoja</v>
      </c>
      <c r="X40" s="66" t="str">
        <f t="shared" si="2"/>
        <v>Estefany Alejandra Yela Pantoja</v>
      </c>
      <c r="Y40" s="66" t="str">
        <f t="shared" si="4"/>
        <v>Estefany Alejandra Yela Pantoja-1088733594-VIOLENCIA SEXUAL</v>
      </c>
    </row>
    <row r="41" spans="1:25" s="60" customFormat="1" x14ac:dyDescent="0.2">
      <c r="A41" s="61">
        <v>40</v>
      </c>
      <c r="B41" s="62">
        <v>1088733594</v>
      </c>
      <c r="C41" s="62" t="s">
        <v>252</v>
      </c>
      <c r="D41" s="62" t="s">
        <v>141</v>
      </c>
      <c r="E41" s="62" t="s">
        <v>253</v>
      </c>
      <c r="F41" s="62" t="s">
        <v>225</v>
      </c>
      <c r="G41" s="62">
        <v>2</v>
      </c>
      <c r="H41" s="62" t="s">
        <v>127</v>
      </c>
      <c r="I41" s="62" t="s">
        <v>226</v>
      </c>
      <c r="J41" s="63" t="s">
        <v>232</v>
      </c>
      <c r="K41" s="64">
        <v>45750</v>
      </c>
      <c r="L41" s="65">
        <v>32000</v>
      </c>
      <c r="M41" s="62" t="s">
        <v>267</v>
      </c>
      <c r="N41" s="62" t="s">
        <v>131</v>
      </c>
      <c r="O41" s="62" t="s">
        <v>233</v>
      </c>
      <c r="P41" s="62" t="s">
        <v>25</v>
      </c>
      <c r="Q41" s="63">
        <v>33121</v>
      </c>
      <c r="R41" s="62" t="s">
        <v>208</v>
      </c>
      <c r="S41" s="62" t="s">
        <v>332</v>
      </c>
      <c r="T41" s="62">
        <v>3188545492</v>
      </c>
      <c r="U41" s="62" t="s">
        <v>254</v>
      </c>
      <c r="V41" s="66" t="str">
        <f>IF(P41=CURSOS!$D$3,"DIPLOMADO EN ATENCION PRE-HOSPITALARIA",IF(P41=CURSOS!$D$4,"ACOMPAÑAMIENTO Y MANEJO DEL DUELO",IF(P41=CURSOS!$D$5,"ATENCION A VICTIMAS DE ATAQUE CON AGENTES QUIMICOS ",IF(P41=CURSOS!$D$6,"PRIMEROS AUXILIOS ",IF(P41=CURSOS!$D$7,"DIPLOMADO DE UNIDAD DE CUIDADOS INTENSIVOS (UCI)",IF(P41=CURSOS!$D$8,"MODELO DE ATENCION PARA EVENTOS EMERGENTES EN SALUD MENTAL (CODIGO VERDE)",IF(P41=CURSOS!$D$9,"HUMANIZACION EN EL SERVICIO DE LA SALUD Y BUENAS PRACTICAS EN PACIENTE ",IF(P41=CURSOS!$D$10,"CLINICA DE HERIDAS ",IF(P41=CURSOS!$D$11,"TOMA DE CITOLOGIA CERVICO VAGINAL ",IF(P41=CURSOS!$D$12,"SOPORTE CARDIOVASCULAR AVANZADO (ACLS) ",IF(P41=CURSOS!$D$13,"CAMILLERO ",IF(P41=CURSOS!$D$14,"TOMA DE MUESTRAS Y LABORATORIO ",IF(P41=CURSOS!$D$15,"SOPORTE VITAL BASICO (BLS)",IF(P41=CURSOS!$D$16,"ATENCION A VICTIMAS DE VIOLENCIA SEXUAL ",IF(P41=CURSOS!$D$17,"PROGRAMADO AMPLIADO DE INMUNIZACION (PAI - COVID 19)",IF(P41=CURSOS!$D$18,"ATENCION INTEGRAL EN ENFERMEDADES PREVALENTES EN PRIMERA INFANCIA (AIEPI)",IF(P41=CURSOS!$D$19,"ADMINISTRACION DE MEDICAMENTOS, INYECTOLOGIA  Y CANALIZACION ",IF(P41=CURSOS!$D$20,"OPERADOR DE VEHICULOS DE EMERGENCIA (OVE)",IF(P41=CURSOS!$D$21,"INSTITUCIONES AMIGAS DE LA MUJER Y LA INFANCIA (IAMI)",IF(P41=CURSOS!$D$22,"CUIDADO DEL DONANTE DE ORGANOS",IF(P41=CURSOS!$D$23,"ATENCION A VICTIMAS POR VIOLENCIA DE GENERO",IF(P41=CURSOS!$D$24,"IGUALDAD DE GENERO EN LA SALUD",IF(P41=CURSOS!$D$25,"BRIGADA DE EMERGENCIA",IF(P41=CURSOS!$D$26,"MANEJO DEL DOLOR Y CUIDADOS PALIATIVOS",IF(P41=CURSOS!$D$27,"TOMA DE MUESTRAS Y LABORATORIO POCT",IF(P41=CURSOS!$D$28,"IMPLANTE SUBDERMICO DE DISPOSITIVO INTRAUTERINO",IF(P41=CURSOS!$D$29,"SALUD MENTAL",IF(P41=CURSOS!$D$30,"PRIMEROS AUXILIOS PSICOLOGICOS",IF(P41=CURSOS!$D$31,"ATENCION A VICTIMAS POR CONFLICTO ARMADO",IF(P41=CURSOS!$D$32,"MANIPULACION DE ALIMENTOS Y BPM",IF(P41=CURSOS!$D$33,"ATENCION A PERSONAS CON DISCAPACIDAD",IF(P41=CURSOS!$D$34,"CUIDADO INTEGRAL DEL PACIENTE ADULTO",IF(P41=CURSOS!$D$35,"MANEJO DEFENSIVO",IF(P41=CURSOS!$D$36,"SOPORTE CARDIOVASCULAR AVANZADO NEONATAL",IF(P41=CURSOS!$D$37,"SEGURIDAD DEL PACIENTE",IF(P41=CURSOS!$D$38,"MANEJO DE RESIDUOS HOSPITALARIOS"))))))))))))))))))))))))))))))))))))</f>
        <v xml:space="preserve">ATENCION A VICTIMAS DE ATAQUE CON AGENTES QUIMICOS </v>
      </c>
      <c r="W41" s="66" t="str">
        <f t="shared" si="3"/>
        <v>Estefany Alejandra Yela Pantoja</v>
      </c>
      <c r="X41" s="66" t="str">
        <f t="shared" si="2"/>
        <v>Estefany Alejandra Yela Pantoja</v>
      </c>
      <c r="Y41" s="66" t="str">
        <f t="shared" si="4"/>
        <v>Estefany Alejandra Yela Pantoja-1088733594-QUIMICOS</v>
      </c>
    </row>
    <row r="42" spans="1:25" s="60" customFormat="1" x14ac:dyDescent="0.2">
      <c r="A42" s="61">
        <v>41</v>
      </c>
      <c r="B42" s="62">
        <v>1088733594</v>
      </c>
      <c r="C42" s="62" t="s">
        <v>252</v>
      </c>
      <c r="D42" s="62" t="s">
        <v>141</v>
      </c>
      <c r="E42" s="62" t="s">
        <v>253</v>
      </c>
      <c r="F42" s="62" t="s">
        <v>225</v>
      </c>
      <c r="G42" s="62">
        <v>1</v>
      </c>
      <c r="H42" s="62" t="s">
        <v>127</v>
      </c>
      <c r="I42" s="62" t="s">
        <v>226</v>
      </c>
      <c r="J42" s="63" t="s">
        <v>232</v>
      </c>
      <c r="K42" s="64">
        <v>45750</v>
      </c>
      <c r="L42" s="65">
        <v>32000</v>
      </c>
      <c r="M42" s="62" t="s">
        <v>267</v>
      </c>
      <c r="N42" s="62" t="s">
        <v>131</v>
      </c>
      <c r="O42" s="62" t="s">
        <v>233</v>
      </c>
      <c r="P42" s="62" t="s">
        <v>23</v>
      </c>
      <c r="Q42" s="63">
        <v>33121</v>
      </c>
      <c r="R42" s="62" t="s">
        <v>208</v>
      </c>
      <c r="S42" s="62" t="s">
        <v>332</v>
      </c>
      <c r="T42" s="62">
        <v>3188545492</v>
      </c>
      <c r="U42" s="62" t="s">
        <v>254</v>
      </c>
      <c r="V42" s="66" t="str">
        <f>IF(P42=CURSOS!$D$3,"DIPLOMADO EN ATENCION PRE-HOSPITALARIA",IF(P42=CURSOS!$D$4,"ACOMPAÑAMIENTO Y MANEJO DEL DUELO",IF(P42=CURSOS!$D$5,"ATENCION A VICTIMAS DE ATAQUE CON AGENTES QUIMICOS ",IF(P42=CURSOS!$D$6,"PRIMEROS AUXILIOS ",IF(P42=CURSOS!$D$7,"DIPLOMADO DE UNIDAD DE CUIDADOS INTENSIVOS (UCI)",IF(P42=CURSOS!$D$8,"MODELO DE ATENCION PARA EVENTOS EMERGENTES EN SALUD MENTAL (CODIGO VERDE)",IF(P42=CURSOS!$D$9,"HUMANIZACION EN EL SERVICIO DE LA SALUD Y BUENAS PRACTICAS EN PACIENTE ",IF(P42=CURSOS!$D$10,"CLINICA DE HERIDAS ",IF(P42=CURSOS!$D$11,"TOMA DE CITOLOGIA CERVICO VAGINAL ",IF(P42=CURSOS!$D$12,"SOPORTE CARDIOVASCULAR AVANZADO (ACLS) ",IF(P42=CURSOS!$D$13,"CAMILLERO ",IF(P42=CURSOS!$D$14,"TOMA DE MUESTRAS Y LABORATORIO ",IF(P42=CURSOS!$D$15,"SOPORTE VITAL BASICO (BLS)",IF(P42=CURSOS!$D$16,"ATENCION A VICTIMAS DE VIOLENCIA SEXUAL ",IF(P42=CURSOS!$D$17,"PROGRAMADO AMPLIADO DE INMUNIZACION (PAI - COVID 19)",IF(P42=CURSOS!$D$18,"ATENCION INTEGRAL EN ENFERMEDADES PREVALENTES EN PRIMERA INFANCIA (AIEPI)",IF(P42=CURSOS!$D$19,"ADMINISTRACION DE MEDICAMENTOS, INYECTOLOGIA  Y CANALIZACION ",IF(P42=CURSOS!$D$20,"OPERADOR DE VEHICULOS DE EMERGENCIA (OVE)",IF(P42=CURSOS!$D$21,"INSTITUCIONES AMIGAS DE LA MUJER Y LA INFANCIA (IAMI)",IF(P42=CURSOS!$D$22,"CUIDADO DEL DONANTE DE ORGANOS",IF(P42=CURSOS!$D$23,"ATENCION A VICTIMAS POR VIOLENCIA DE GENERO",IF(P42=CURSOS!$D$24,"IGUALDAD DE GENERO EN LA SALUD",IF(P42=CURSOS!$D$25,"BRIGADA DE EMERGENCIA",IF(P42=CURSOS!$D$26,"MANEJO DEL DOLOR Y CUIDADOS PALIATIVOS",IF(P42=CURSOS!$D$27,"TOMA DE MUESTRAS Y LABORATORIO POCT",IF(P42=CURSOS!$D$28,"IMPLANTE SUBDERMICO DE DISPOSITIVO INTRAUTERINO",IF(P42=CURSOS!$D$29,"SALUD MENTAL",IF(P42=CURSOS!$D$30,"PRIMEROS AUXILIOS PSICOLOGICOS",IF(P42=CURSOS!$D$31,"ATENCION A VICTIMAS POR CONFLICTO ARMADO",IF(P42=CURSOS!$D$32,"MANIPULACION DE ALIMENTOS Y BPM",IF(P42=CURSOS!$D$33,"ATENCION A PERSONAS CON DISCAPACIDAD",IF(P42=CURSOS!$D$34,"CUIDADO INTEGRAL DEL PACIENTE ADULTO",IF(P42=CURSOS!$D$35,"MANEJO DEFENSIVO",IF(P42=CURSOS!$D$36,"SOPORTE CARDIOVASCULAR AVANZADO NEONATAL",IF(P42=CURSOS!$D$37,"SEGURIDAD DEL PACIENTE",IF(P42=CURSOS!$D$38,"MANEJO DE RESIDUOS HOSPITALARIOS"))))))))))))))))))))))))))))))))))))</f>
        <v>ACOMPAÑAMIENTO Y MANEJO DEL DUELO</v>
      </c>
      <c r="W42" s="66" t="str">
        <f t="shared" si="3"/>
        <v>Estefany Alejandra Yela Pantoja</v>
      </c>
      <c r="X42" s="66" t="str">
        <f t="shared" si="2"/>
        <v>Estefany Alejandra Yela Pantoja</v>
      </c>
      <c r="Y42" s="66" t="str">
        <f t="shared" si="4"/>
        <v>Estefany Alejandra Yela Pantoja-1088733594-DUELO</v>
      </c>
    </row>
    <row r="43" spans="1:25" s="60" customFormat="1" x14ac:dyDescent="0.2">
      <c r="A43" s="61">
        <v>42</v>
      </c>
      <c r="B43" s="62">
        <v>1085338961</v>
      </c>
      <c r="C43" s="62" t="s">
        <v>255</v>
      </c>
      <c r="D43" s="62" t="s">
        <v>256</v>
      </c>
      <c r="E43" s="62" t="s">
        <v>196</v>
      </c>
      <c r="F43" s="62" t="s">
        <v>150</v>
      </c>
      <c r="G43" s="62">
        <v>3</v>
      </c>
      <c r="H43" s="62" t="s">
        <v>127</v>
      </c>
      <c r="I43" s="62" t="s">
        <v>226</v>
      </c>
      <c r="J43" s="63" t="s">
        <v>227</v>
      </c>
      <c r="K43" s="64">
        <v>45750</v>
      </c>
      <c r="L43" s="65">
        <v>100000</v>
      </c>
      <c r="M43" s="62" t="s">
        <v>220</v>
      </c>
      <c r="N43" s="62" t="s">
        <v>131</v>
      </c>
      <c r="O43" s="62" t="s">
        <v>227</v>
      </c>
      <c r="P43" s="62" t="s">
        <v>37</v>
      </c>
      <c r="Q43" s="63">
        <v>35830</v>
      </c>
      <c r="R43" s="62" t="s">
        <v>208</v>
      </c>
      <c r="S43" s="68" t="s">
        <v>258</v>
      </c>
      <c r="T43" s="62">
        <v>3187832028</v>
      </c>
      <c r="U43" s="62" t="s">
        <v>259</v>
      </c>
      <c r="V43" s="66" t="str">
        <f>IF(P43=CURSOS!$D$3,"DIPLOMADO EN ATENCION PRE-HOSPITALARIA",IF(P43=CURSOS!$D$4,"ACOMPAÑAMIENTO Y MANEJO DEL DUELO",IF(P43=CURSOS!$D$5,"ATENCION A VICTIMAS DE ATAQUE CON AGENTES QUIMICOS ",IF(P43=CURSOS!$D$6,"PRIMEROS AUXILIOS ",IF(P43=CURSOS!$D$7,"DIPLOMADO DE UNIDAD DE CUIDADOS INTENSIVOS (UCI)",IF(P43=CURSOS!$D$8,"MODELO DE ATENCION PARA EVENTOS EMERGENTES EN SALUD MENTAL (CODIGO VERDE)",IF(P43=CURSOS!$D$9,"HUMANIZACION EN EL SERVICIO DE LA SALUD Y BUENAS PRACTICAS EN PACIENTE ",IF(P43=CURSOS!$D$10,"CLINICA DE HERIDAS ",IF(P43=CURSOS!$D$11,"TOMA DE CITOLOGIA CERVICO VAGINAL ",IF(P43=CURSOS!$D$12,"SOPORTE CARDIOVASCULAR AVANZADO (ACLS) ",IF(P43=CURSOS!$D$13,"CAMILLERO ",IF(P43=CURSOS!$D$14,"TOMA DE MUESTRAS Y LABORATORIO ",IF(P43=CURSOS!$D$15,"SOPORTE VITAL BASICO (BLS)",IF(P43=CURSOS!$D$16,"ATENCION A VICTIMAS DE VIOLENCIA SEXUAL ",IF(P43=CURSOS!$D$17,"PROGRAMADO AMPLIADO DE INMUNIZACION (PAI - COVID 19)",IF(P43=CURSOS!$D$18,"ATENCION INTEGRAL EN ENFERMEDADES PREVALENTES EN PRIMERA INFANCIA (AIEPI)",IF(P43=CURSOS!$D$19,"ADMINISTRACION DE MEDICAMENTOS, INYECTOLOGIA  Y CANALIZACION ",IF(P43=CURSOS!$D$20,"OPERADOR DE VEHICULOS DE EMERGENCIA (OVE)",IF(P43=CURSOS!$D$21,"INSTITUCIONES AMIGAS DE LA MUJER Y LA INFANCIA (IAMI)",IF(P43=CURSOS!$D$22,"CUIDADO DEL DONANTE DE ORGANOS",IF(P43=CURSOS!$D$23,"ATENCION A VICTIMAS POR VIOLENCIA DE GENERO",IF(P43=CURSOS!$D$24,"IGUALDAD DE GENERO EN LA SALUD",IF(P43=CURSOS!$D$25,"BRIGADA DE EMERGENCIA",IF(P43=CURSOS!$D$26,"MANEJO DEL DOLOR Y CUIDADOS PALIATIVOS",IF(P43=CURSOS!$D$27,"TOMA DE MUESTRAS Y LABORATORIO POCT",IF(P43=CURSOS!$D$28,"IMPLANTE SUBDERMICO DE DISPOSITIVO INTRAUTERINO",IF(P43=CURSOS!$D$29,"SALUD MENTAL",IF(P43=CURSOS!$D$30,"PRIMEROS AUXILIOS PSICOLOGICOS",IF(P43=CURSOS!$D$31,"ATENCION A VICTIMAS POR CONFLICTO ARMADO",IF(P43=CURSOS!$D$32,"MANIPULACION DE ALIMENTOS Y BPM",IF(P43=CURSOS!$D$33,"ATENCION A PERSONAS CON DISCAPACIDAD",IF(P43=CURSOS!$D$34,"CUIDADO INTEGRAL DEL PACIENTE ADULTO",IF(P43=CURSOS!$D$35,"MANEJO DEFENSIVO",IF(P43=CURSOS!$D$36,"SOPORTE CARDIOVASCULAR AVANZADO NEONATAL",IF(P43=CURSOS!$D$37,"SEGURIDAD DEL PACIENTE",IF(P43=CURSOS!$D$38,"MANEJO DE RESIDUOS HOSPITALARIOS"))))))))))))))))))))))))))))))))))))</f>
        <v xml:space="preserve">SOPORTE CARDIOVASCULAR AVANZADO (ACLS) </v>
      </c>
      <c r="W43" s="66" t="str">
        <f t="shared" si="3"/>
        <v>Angelica Maria Bucheli Luna</v>
      </c>
      <c r="X43" s="66" t="str">
        <f t="shared" si="2"/>
        <v>Angelica Maria Bucheli Luna</v>
      </c>
      <c r="Y43" s="66" t="str">
        <f t="shared" si="4"/>
        <v>Angelica Maria Bucheli Luna-1085338961-ACLS</v>
      </c>
    </row>
    <row r="44" spans="1:25" s="60" customFormat="1" x14ac:dyDescent="0.2">
      <c r="A44" s="61">
        <v>43</v>
      </c>
      <c r="B44" s="62">
        <v>1085338961</v>
      </c>
      <c r="C44" s="62" t="s">
        <v>255</v>
      </c>
      <c r="D44" s="62" t="s">
        <v>256</v>
      </c>
      <c r="E44" s="62" t="s">
        <v>196</v>
      </c>
      <c r="F44" s="62" t="s">
        <v>150</v>
      </c>
      <c r="G44" s="62">
        <v>3</v>
      </c>
      <c r="H44" s="62" t="s">
        <v>127</v>
      </c>
      <c r="I44" s="62" t="s">
        <v>226</v>
      </c>
      <c r="J44" s="63" t="s">
        <v>227</v>
      </c>
      <c r="K44" s="64">
        <v>45750</v>
      </c>
      <c r="L44" s="65">
        <v>25000</v>
      </c>
      <c r="M44" s="62" t="s">
        <v>220</v>
      </c>
      <c r="N44" s="62" t="s">
        <v>131</v>
      </c>
      <c r="O44" s="62" t="s">
        <v>227</v>
      </c>
      <c r="P44" s="62" t="s">
        <v>19</v>
      </c>
      <c r="Q44" s="63">
        <v>35830</v>
      </c>
      <c r="R44" s="62" t="s">
        <v>208</v>
      </c>
      <c r="S44" s="68" t="s">
        <v>258</v>
      </c>
      <c r="T44" s="62">
        <v>3187832028</v>
      </c>
      <c r="U44" s="62" t="s">
        <v>259</v>
      </c>
      <c r="V44" s="66" t="str">
        <f>IF(P44=CURSOS!$D$3,"DIPLOMADO EN ATENCION PRE-HOSPITALARIA",IF(P44=CURSOS!$D$4,"ACOMPAÑAMIENTO Y MANEJO DEL DUELO",IF(P44=CURSOS!$D$5,"ATENCION A VICTIMAS DE ATAQUE CON AGENTES QUIMICOS ",IF(P44=CURSOS!$D$6,"PRIMEROS AUXILIOS ",IF(P44=CURSOS!$D$7,"DIPLOMADO DE UNIDAD DE CUIDADOS INTENSIVOS (UCI)",IF(P44=CURSOS!$D$8,"MODELO DE ATENCION PARA EVENTOS EMERGENTES EN SALUD MENTAL (CODIGO VERDE)",IF(P44=CURSOS!$D$9,"HUMANIZACION EN EL SERVICIO DE LA SALUD Y BUENAS PRACTICAS EN PACIENTE ",IF(P44=CURSOS!$D$10,"CLINICA DE HERIDAS ",IF(P44=CURSOS!$D$11,"TOMA DE CITOLOGIA CERVICO VAGINAL ",IF(P44=CURSOS!$D$12,"SOPORTE CARDIOVASCULAR AVANZADO (ACLS) ",IF(P44=CURSOS!$D$13,"CAMILLERO ",IF(P44=CURSOS!$D$14,"TOMA DE MUESTRAS Y LABORATORIO ",IF(P44=CURSOS!$D$15,"SOPORTE VITAL BASICO (BLS)",IF(P44=CURSOS!$D$16,"ATENCION A VICTIMAS DE VIOLENCIA SEXUAL ",IF(P44=CURSOS!$D$17,"PROGRAMADO AMPLIADO DE INMUNIZACION (PAI - COVID 19)",IF(P44=CURSOS!$D$18,"ATENCION INTEGRAL EN ENFERMEDADES PREVALENTES EN PRIMERA INFANCIA (AIEPI)",IF(P44=CURSOS!$D$19,"ADMINISTRACION DE MEDICAMENTOS, INYECTOLOGIA  Y CANALIZACION ",IF(P44=CURSOS!$D$20,"OPERADOR DE VEHICULOS DE EMERGENCIA (OVE)",IF(P44=CURSOS!$D$21,"INSTITUCIONES AMIGAS DE LA MUJER Y LA INFANCIA (IAMI)",IF(P44=CURSOS!$D$22,"CUIDADO DEL DONANTE DE ORGANOS",IF(P44=CURSOS!$D$23,"ATENCION A VICTIMAS POR VIOLENCIA DE GENERO",IF(P44=CURSOS!$D$24,"IGUALDAD DE GENERO EN LA SALUD",IF(P44=CURSOS!$D$25,"BRIGADA DE EMERGENCIA",IF(P44=CURSOS!$D$26,"MANEJO DEL DOLOR Y CUIDADOS PALIATIVOS",IF(P44=CURSOS!$D$27,"TOMA DE MUESTRAS Y LABORATORIO POCT",IF(P44=CURSOS!$D$28,"IMPLANTE SUBDERMICO DE DISPOSITIVO INTRAUTERINO",IF(P44=CURSOS!$D$29,"SALUD MENTAL",IF(P44=CURSOS!$D$30,"PRIMEROS AUXILIOS PSICOLOGICOS",IF(P44=CURSOS!$D$31,"ATENCION A VICTIMAS POR CONFLICTO ARMADO",IF(P44=CURSOS!$D$32,"MANIPULACION DE ALIMENTOS Y BPM",IF(P44=CURSOS!$D$33,"ATENCION A PERSONAS CON DISCAPACIDAD",IF(P44=CURSOS!$D$34,"CUIDADO INTEGRAL DEL PACIENTE ADULTO",IF(P44=CURSOS!$D$35,"MANEJO DEFENSIVO",IF(P44=CURSOS!$D$36,"SOPORTE CARDIOVASCULAR AVANZADO NEONATAL",IF(P44=CURSOS!$D$37,"SEGURIDAD DEL PACIENTE",IF(P44=CURSOS!$D$38,"MANEJO DE RESIDUOS HOSPITALARIOS"))))))))))))))))))))))))))))))))))))</f>
        <v>SOPORTE VITAL BASICO (BLS)</v>
      </c>
      <c r="W44" s="66" t="str">
        <f t="shared" si="3"/>
        <v>Angelica Maria Bucheli Luna</v>
      </c>
      <c r="X44" s="66" t="str">
        <f t="shared" si="2"/>
        <v>Angelica Maria Bucheli Luna</v>
      </c>
      <c r="Y44" s="66" t="str">
        <f t="shared" si="4"/>
        <v>Angelica Maria Bucheli Luna-1085338961-BLS</v>
      </c>
    </row>
    <row r="45" spans="1:25" s="60" customFormat="1" x14ac:dyDescent="0.2">
      <c r="A45" s="61">
        <v>44</v>
      </c>
      <c r="B45" s="62">
        <v>1085338961</v>
      </c>
      <c r="C45" s="62" t="s">
        <v>255</v>
      </c>
      <c r="D45" s="62" t="s">
        <v>256</v>
      </c>
      <c r="E45" s="62" t="s">
        <v>196</v>
      </c>
      <c r="F45" s="62" t="s">
        <v>150</v>
      </c>
      <c r="G45" s="62">
        <v>2</v>
      </c>
      <c r="H45" s="62" t="s">
        <v>127</v>
      </c>
      <c r="I45" s="62" t="s">
        <v>226</v>
      </c>
      <c r="J45" s="63" t="s">
        <v>227</v>
      </c>
      <c r="K45" s="64">
        <v>45750</v>
      </c>
      <c r="L45" s="65">
        <v>35000</v>
      </c>
      <c r="M45" s="62" t="s">
        <v>220</v>
      </c>
      <c r="N45" s="62" t="s">
        <v>131</v>
      </c>
      <c r="O45" s="62" t="s">
        <v>227</v>
      </c>
      <c r="P45" s="62" t="s">
        <v>57</v>
      </c>
      <c r="Q45" s="63">
        <v>35830</v>
      </c>
      <c r="R45" s="62" t="s">
        <v>208</v>
      </c>
      <c r="S45" s="68" t="s">
        <v>258</v>
      </c>
      <c r="T45" s="62">
        <v>3187832028</v>
      </c>
      <c r="U45" s="62" t="s">
        <v>259</v>
      </c>
      <c r="V45" s="66" t="str">
        <f>IF(P45=CURSOS!$D$3,"DIPLOMADO EN ATENCION PRE-HOSPITALARIA",IF(P45=CURSOS!$D$4,"ACOMPAÑAMIENTO Y MANEJO DEL DUELO",IF(P45=CURSOS!$D$5,"ATENCION A VICTIMAS DE ATAQUE CON AGENTES QUIMICOS ",IF(P45=CURSOS!$D$6,"PRIMEROS AUXILIOS ",IF(P45=CURSOS!$D$7,"DIPLOMADO DE UNIDAD DE CUIDADOS INTENSIVOS (UCI)",IF(P45=CURSOS!$D$8,"MODELO DE ATENCION PARA EVENTOS EMERGENTES EN SALUD MENTAL (CODIGO VERDE)",IF(P45=CURSOS!$D$9,"HUMANIZACION EN EL SERVICIO DE LA SALUD Y BUENAS PRACTICAS EN PACIENTE ",IF(P45=CURSOS!$D$10,"CLINICA DE HERIDAS ",IF(P45=CURSOS!$D$11,"TOMA DE CITOLOGIA CERVICO VAGINAL ",IF(P45=CURSOS!$D$12,"SOPORTE CARDIOVASCULAR AVANZADO (ACLS) ",IF(P45=CURSOS!$D$13,"CAMILLERO ",IF(P45=CURSOS!$D$14,"TOMA DE MUESTRAS Y LABORATORIO ",IF(P45=CURSOS!$D$15,"SOPORTE VITAL BASICO (BLS)",IF(P45=CURSOS!$D$16,"ATENCION A VICTIMAS DE VIOLENCIA SEXUAL ",IF(P45=CURSOS!$D$17,"PROGRAMADO AMPLIADO DE INMUNIZACION (PAI - COVID 19)",IF(P45=CURSOS!$D$18,"ATENCION INTEGRAL EN ENFERMEDADES PREVALENTES EN PRIMERA INFANCIA (AIEPI)",IF(P45=CURSOS!$D$19,"ADMINISTRACION DE MEDICAMENTOS, INYECTOLOGIA  Y CANALIZACION ",IF(P45=CURSOS!$D$20,"OPERADOR DE VEHICULOS DE EMERGENCIA (OVE)",IF(P45=CURSOS!$D$21,"INSTITUCIONES AMIGAS DE LA MUJER Y LA INFANCIA (IAMI)",IF(P45=CURSOS!$D$22,"CUIDADO DEL DONANTE DE ORGANOS",IF(P45=CURSOS!$D$23,"ATENCION A VICTIMAS POR VIOLENCIA DE GENERO",IF(P45=CURSOS!$D$24,"IGUALDAD DE GENERO EN LA SALUD",IF(P45=CURSOS!$D$25,"BRIGADA DE EMERGENCIA",IF(P45=CURSOS!$D$26,"MANEJO DEL DOLOR Y CUIDADOS PALIATIVOS",IF(P45=CURSOS!$D$27,"TOMA DE MUESTRAS Y LABORATORIO POCT",IF(P45=CURSOS!$D$28,"IMPLANTE SUBDERMICO DE DISPOSITIVO INTRAUTERINO",IF(P45=CURSOS!$D$29,"SALUD MENTAL",IF(P45=CURSOS!$D$30,"PRIMEROS AUXILIOS PSICOLOGICOS",IF(P45=CURSOS!$D$31,"ATENCION A VICTIMAS POR CONFLICTO ARMADO",IF(P45=CURSOS!$D$32,"MANIPULACION DE ALIMENTOS Y BPM",IF(P45=CURSOS!$D$33,"ATENCION A PERSONAS CON DISCAPACIDAD",IF(P45=CURSOS!$D$34,"CUIDADO INTEGRAL DEL PACIENTE ADULTO",IF(P45=CURSOS!$D$35,"MANEJO DEFENSIVO",IF(P45=CURSOS!$D$36,"SOPORTE CARDIOVASCULAR AVANZADO NEONATAL",IF(P45=CURSOS!$D$37,"SEGURIDAD DEL PACIENTE",IF(P45=CURSOS!$D$38,"MANEJO DE RESIDUOS HOSPITALARIOS"))))))))))))))))))))))))))))))))))))</f>
        <v>MANEJO DEL DOLOR Y CUIDADOS PALIATIVOS</v>
      </c>
      <c r="W45" s="66" t="str">
        <f t="shared" si="3"/>
        <v>Angelica Maria Bucheli Luna</v>
      </c>
      <c r="X45" s="66" t="str">
        <f t="shared" si="2"/>
        <v>Angelica Maria Bucheli Luna</v>
      </c>
      <c r="Y45" s="66" t="str">
        <f t="shared" si="4"/>
        <v>Angelica Maria Bucheli Luna-1085338961-PALIATIVOS</v>
      </c>
    </row>
    <row r="46" spans="1:25" s="60" customFormat="1" x14ac:dyDescent="0.2">
      <c r="A46" s="61">
        <v>45</v>
      </c>
      <c r="B46" s="62">
        <v>1085338961</v>
      </c>
      <c r="C46" s="62" t="s">
        <v>255</v>
      </c>
      <c r="D46" s="62" t="s">
        <v>256</v>
      </c>
      <c r="E46" s="62" t="s">
        <v>196</v>
      </c>
      <c r="F46" s="62" t="s">
        <v>150</v>
      </c>
      <c r="G46" s="62">
        <v>1</v>
      </c>
      <c r="H46" s="62" t="s">
        <v>127</v>
      </c>
      <c r="I46" s="62" t="s">
        <v>226</v>
      </c>
      <c r="J46" s="63" t="s">
        <v>227</v>
      </c>
      <c r="K46" s="64">
        <v>45750</v>
      </c>
      <c r="L46" s="65">
        <v>80000</v>
      </c>
      <c r="M46" s="62" t="s">
        <v>220</v>
      </c>
      <c r="N46" s="62" t="s">
        <v>131</v>
      </c>
      <c r="O46" s="62" t="s">
        <v>227</v>
      </c>
      <c r="P46" s="62" t="s">
        <v>59</v>
      </c>
      <c r="Q46" s="63">
        <v>35830</v>
      </c>
      <c r="R46" s="62" t="s">
        <v>208</v>
      </c>
      <c r="S46" s="68" t="s">
        <v>258</v>
      </c>
      <c r="T46" s="62">
        <v>3187832028</v>
      </c>
      <c r="U46" s="62" t="s">
        <v>259</v>
      </c>
      <c r="V46" s="66" t="str">
        <f>IF(P46=CURSOS!$D$3,"DIPLOMADO EN ATENCION PRE-HOSPITALARIA",IF(P46=CURSOS!$D$4,"ACOMPAÑAMIENTO Y MANEJO DEL DUELO",IF(P46=CURSOS!$D$5,"ATENCION A VICTIMAS DE ATAQUE CON AGENTES QUIMICOS ",IF(P46=CURSOS!$D$6,"PRIMEROS AUXILIOS ",IF(P46=CURSOS!$D$7,"DIPLOMADO DE UNIDAD DE CUIDADOS INTENSIVOS (UCI)",IF(P46=CURSOS!$D$8,"MODELO DE ATENCION PARA EVENTOS EMERGENTES EN SALUD MENTAL (CODIGO VERDE)",IF(P46=CURSOS!$D$9,"HUMANIZACION EN EL SERVICIO DE LA SALUD Y BUENAS PRACTICAS EN PACIENTE ",IF(P46=CURSOS!$D$10,"CLINICA DE HERIDAS ",IF(P46=CURSOS!$D$11,"TOMA DE CITOLOGIA CERVICO VAGINAL ",IF(P46=CURSOS!$D$12,"SOPORTE CARDIOVASCULAR AVANZADO (ACLS) ",IF(P46=CURSOS!$D$13,"CAMILLERO ",IF(P46=CURSOS!$D$14,"TOMA DE MUESTRAS Y LABORATORIO ",IF(P46=CURSOS!$D$15,"SOPORTE VITAL BASICO (BLS)",IF(P46=CURSOS!$D$16,"ATENCION A VICTIMAS DE VIOLENCIA SEXUAL ",IF(P46=CURSOS!$D$17,"PROGRAMADO AMPLIADO DE INMUNIZACION (PAI - COVID 19)",IF(P46=CURSOS!$D$18,"ATENCION INTEGRAL EN ENFERMEDADES PREVALENTES EN PRIMERA INFANCIA (AIEPI)",IF(P46=CURSOS!$D$19,"ADMINISTRACION DE MEDICAMENTOS, INYECTOLOGIA  Y CANALIZACION ",IF(P46=CURSOS!$D$20,"OPERADOR DE VEHICULOS DE EMERGENCIA (OVE)",IF(P46=CURSOS!$D$21,"INSTITUCIONES AMIGAS DE LA MUJER Y LA INFANCIA (IAMI)",IF(P46=CURSOS!$D$22,"CUIDADO DEL DONANTE DE ORGANOS",IF(P46=CURSOS!$D$23,"ATENCION A VICTIMAS POR VIOLENCIA DE GENERO",IF(P46=CURSOS!$D$24,"IGUALDAD DE GENERO EN LA SALUD",IF(P46=CURSOS!$D$25,"BRIGADA DE EMERGENCIA",IF(P46=CURSOS!$D$26,"MANEJO DEL DOLOR Y CUIDADOS PALIATIVOS",IF(P46=CURSOS!$D$27,"TOMA DE MUESTRAS Y LABORATORIO POCT",IF(P46=CURSOS!$D$28,"IMPLANTE SUBDERMICO DE DISPOSITIVO INTRAUTERINO",IF(P46=CURSOS!$D$29,"SALUD MENTAL",IF(P46=CURSOS!$D$30,"PRIMEROS AUXILIOS PSICOLOGICOS",IF(P46=CURSOS!$D$31,"ATENCION A VICTIMAS POR CONFLICTO ARMADO",IF(P46=CURSOS!$D$32,"MANIPULACION DE ALIMENTOS Y BPM",IF(P46=CURSOS!$D$33,"ATENCION A PERSONAS CON DISCAPACIDAD",IF(P46=CURSOS!$D$34,"CUIDADO INTEGRAL DEL PACIENTE ADULTO",IF(P46=CURSOS!$D$35,"MANEJO DEFENSIVO",IF(P46=CURSOS!$D$36,"SOPORTE CARDIOVASCULAR AVANZADO NEONATAL",IF(P46=CURSOS!$D$37,"SEGURIDAD DEL PACIENTE",IF(P46=CURSOS!$D$38,"MANEJO DE RESIDUOS HOSPITALARIOS"))))))))))))))))))))))))))))))))))))</f>
        <v>TOMA DE MUESTRAS Y LABORATORIO POCT</v>
      </c>
      <c r="W46" s="66" t="str">
        <f t="shared" si="3"/>
        <v>Angelica Maria Bucheli Luna</v>
      </c>
      <c r="X46" s="66" t="str">
        <f t="shared" si="2"/>
        <v>Angelica Maria Bucheli Luna</v>
      </c>
      <c r="Y46" s="66" t="str">
        <f t="shared" si="4"/>
        <v>Angelica Maria Bucheli Luna-1085338961-POCT</v>
      </c>
    </row>
    <row r="47" spans="1:25" s="60" customFormat="1" x14ac:dyDescent="0.2">
      <c r="A47" s="61">
        <v>46</v>
      </c>
      <c r="B47" s="62">
        <v>1126567107</v>
      </c>
      <c r="C47" s="62" t="s">
        <v>247</v>
      </c>
      <c r="D47" s="62" t="s">
        <v>260</v>
      </c>
      <c r="E47" s="62" t="s">
        <v>261</v>
      </c>
      <c r="F47" s="62" t="s">
        <v>262</v>
      </c>
      <c r="G47" s="62">
        <v>3</v>
      </c>
      <c r="H47" s="62" t="s">
        <v>127</v>
      </c>
      <c r="I47" s="63" t="s">
        <v>226</v>
      </c>
      <c r="J47" s="63" t="s">
        <v>263</v>
      </c>
      <c r="K47" s="64">
        <v>45734</v>
      </c>
      <c r="L47" s="65">
        <v>30000</v>
      </c>
      <c r="M47" s="62" t="s">
        <v>266</v>
      </c>
      <c r="N47" s="62" t="s">
        <v>131</v>
      </c>
      <c r="O47" s="62" t="s">
        <v>257</v>
      </c>
      <c r="P47" s="62" t="s">
        <v>87</v>
      </c>
      <c r="Q47" s="63">
        <v>35191</v>
      </c>
      <c r="R47" s="62" t="s">
        <v>208</v>
      </c>
      <c r="S47" s="97" t="s">
        <v>264</v>
      </c>
      <c r="T47" s="68">
        <v>3245636224</v>
      </c>
      <c r="U47" s="62" t="s">
        <v>265</v>
      </c>
      <c r="V47" s="66" t="str">
        <f>IF(P47=CURSOS!$D$3,"DIPLOMADO EN ATENCION PRE-HOSPITALARIA",IF(P47=CURSOS!$D$4,"ACOMPAÑAMIENTO Y MANEJO DEL DUELO",IF(P47=CURSOS!$D$5,"ATENCION A VICTIMAS DE ATAQUE CON AGENTES QUIMICOS ",IF(P47=CURSOS!$D$6,"PRIMEROS AUXILIOS ",IF(P47=CURSOS!$D$7,"DIPLOMADO DE UNIDAD DE CUIDADOS INTENSIVOS (UCI)",IF(P47=CURSOS!$D$8,"MODELO DE ATENCION PARA EVENTOS EMERGENTES EN SALUD MENTAL (CODIGO VERDE)",IF(P47=CURSOS!$D$9,"HUMANIZACION EN EL SERVICIO DE LA SALUD Y BUENAS PRACTICAS EN PACIENTE ",IF(P47=CURSOS!$D$10,"CLINICA DE HERIDAS ",IF(P47=CURSOS!$D$11,"TOMA DE CITOLOGIA CERVICO VAGINAL ",IF(P47=CURSOS!$D$12,"SOPORTE CARDIOVASCULAR AVANZADO (ACLS) ",IF(P47=CURSOS!$D$13,"CAMILLERO ",IF(P47=CURSOS!$D$14,"TOMA DE MUESTRAS Y LABORATORIO ",IF(P47=CURSOS!$D$15,"SOPORTE VITAL BASICO (BLS)",IF(P47=CURSOS!$D$16,"ATENCION A VICTIMAS DE VIOLENCIA SEXUAL ",IF(P47=CURSOS!$D$17,"PROGRAMADO AMPLIADO DE INMUNIZACION (PAI - COVID 19)",IF(P47=CURSOS!$D$18,"ATENCION INTEGRAL EN ENFERMEDADES PREVALENTES EN PRIMERA INFANCIA (AIEPI)",IF(P47=CURSOS!$D$19,"ADMINISTRACION DE MEDICAMENTOS, INYECTOLOGIA  Y CANALIZACION ",IF(P47=CURSOS!$D$20,"OPERADOR DE VEHICULOS DE EMERGENCIA (OVE)",IF(P47=CURSOS!$D$21,"INSTITUCIONES AMIGAS DE LA MUJER Y LA INFANCIA (IAMI)",IF(P47=CURSOS!$D$22,"CUIDADO DEL DONANTE DE ORGANOS",IF(P47=CURSOS!$D$23,"ATENCION A VICTIMAS POR VIOLENCIA DE GENERO",IF(P47=CURSOS!$D$24,"IGUALDAD DE GENERO EN LA SALUD",IF(P47=CURSOS!$D$25,"BRIGADA DE EMERGENCIA",IF(P47=CURSOS!$D$26,"MANEJO DEL DOLOR Y CUIDADOS PALIATIVOS",IF(P47=CURSOS!$D$27,"TOMA DE MUESTRAS Y LABORATORIO POCT",IF(P47=CURSOS!$D$28,"IMPLANTE SUBDERMICO DE DISPOSITIVO INTRAUTERINO",IF(P47=CURSOS!$D$29,"SALUD MENTAL",IF(P47=CURSOS!$D$30,"PRIMEROS AUXILIOS PSICOLOGICOS",IF(P47=CURSOS!$D$31,"ATENCION A VICTIMAS POR CONFLICTO ARMADO",IF(P47=CURSOS!$D$32,"MANIPULACION DE ALIMENTOS Y BPM",IF(P47=CURSOS!$D$33,"ATENCION A PERSONAS CON DISCAPACIDAD",IF(P47=CURSOS!$D$34,"CUIDADO INTEGRAL DEL PACIENTE ADULTO",IF(P47=CURSOS!$D$35,"MANEJO DEFENSIVO",IF(P47=CURSOS!$D$36,"SOPORTE CARDIOVASCULAR AVANZADO NEONATAL",IF(P47=CURSOS!$D$37,"SEGURIDAD DEL PACIENTE",IF(P47=CURSOS!$D$38,"MANEJO DE RESIDUOS HOSPITALARIOS"))))))))))))))))))))))))))))))))))))</f>
        <v>SEGURIDAD DEL PACIENTE</v>
      </c>
      <c r="W47" s="66" t="str">
        <f t="shared" si="3"/>
        <v>Tania Carolina Bastidas Santacruz</v>
      </c>
      <c r="X47" s="66" t="str">
        <f t="shared" si="2"/>
        <v>Tania Carolina Bastidas Santacruz</v>
      </c>
      <c r="Y47" s="66" t="str">
        <f t="shared" si="4"/>
        <v>Tania Carolina Bastidas Santacruz-1126567107-PACIENTE</v>
      </c>
    </row>
    <row r="48" spans="1:25" s="60" customFormat="1" x14ac:dyDescent="0.2">
      <c r="A48" s="61">
        <v>47</v>
      </c>
      <c r="B48" s="62">
        <v>12845773</v>
      </c>
      <c r="C48" s="62" t="s">
        <v>268</v>
      </c>
      <c r="D48" s="62" t="s">
        <v>269</v>
      </c>
      <c r="E48" s="62" t="s">
        <v>270</v>
      </c>
      <c r="F48" s="62" t="s">
        <v>271</v>
      </c>
      <c r="G48" s="62">
        <v>3</v>
      </c>
      <c r="H48" s="62" t="s">
        <v>127</v>
      </c>
      <c r="I48" s="62" t="s">
        <v>226</v>
      </c>
      <c r="J48" s="63"/>
      <c r="K48" s="64">
        <v>45751</v>
      </c>
      <c r="L48" s="65">
        <v>32000</v>
      </c>
      <c r="M48" s="62" t="s">
        <v>220</v>
      </c>
      <c r="N48" s="62" t="s">
        <v>131</v>
      </c>
      <c r="O48" s="62" t="s">
        <v>257</v>
      </c>
      <c r="P48" s="62" t="s">
        <v>42</v>
      </c>
      <c r="Q48" s="63">
        <v>31309</v>
      </c>
      <c r="R48" s="62" t="s">
        <v>209</v>
      </c>
      <c r="S48" s="98" t="s">
        <v>332</v>
      </c>
      <c r="T48" s="62">
        <v>3126390978</v>
      </c>
      <c r="U48" s="62" t="s">
        <v>272</v>
      </c>
      <c r="V48" s="66" t="str">
        <f>IF(P48=CURSOS!$D$3,"DIPLOMADO EN ATENCION PRE-HOSPITALARIA",IF(P48=CURSOS!$D$4,"ACOMPAÑAMIENTO Y MANEJO DEL DUELO",IF(P48=CURSOS!$D$5,"ATENCION A VICTIMAS DE ATAQUE CON AGENTES QUIMICOS ",IF(P48=CURSOS!$D$6,"PRIMEROS AUXILIOS ",IF(P48=CURSOS!$D$7,"DIPLOMADO DE UNIDAD DE CUIDADOS INTENSIVOS (UCI)",IF(P48=CURSOS!$D$8,"MODELO DE ATENCION PARA EVENTOS EMERGENTES EN SALUD MENTAL (CODIGO VERDE)",IF(P48=CURSOS!$D$9,"HUMANIZACION EN EL SERVICIO DE LA SALUD Y BUENAS PRACTICAS EN PACIENTE ",IF(P48=CURSOS!$D$10,"CLINICA DE HERIDAS ",IF(P48=CURSOS!$D$11,"TOMA DE CITOLOGIA CERVICO VAGINAL ",IF(P48=CURSOS!$D$12,"SOPORTE CARDIOVASCULAR AVANZADO (ACLS) ",IF(P48=CURSOS!$D$13,"CAMILLERO ",IF(P48=CURSOS!$D$14,"TOMA DE MUESTRAS Y LABORATORIO ",IF(P48=CURSOS!$D$15,"SOPORTE VITAL BASICO (BLS)",IF(P48=CURSOS!$D$16,"ATENCION A VICTIMAS DE VIOLENCIA SEXUAL ",IF(P48=CURSOS!$D$17,"PROGRAMADO AMPLIADO DE INMUNIZACION (PAI - COVID 19)",IF(P48=CURSOS!$D$18,"ATENCION INTEGRAL EN ENFERMEDADES PREVALENTES EN PRIMERA INFANCIA (AIEPI)",IF(P48=CURSOS!$D$19,"ADMINISTRACION DE MEDICAMENTOS, INYECTOLOGIA  Y CANALIZACION ",IF(P48=CURSOS!$D$20,"OPERADOR DE VEHICULOS DE EMERGENCIA (OVE)",IF(P48=CURSOS!$D$21,"INSTITUCIONES AMIGAS DE LA MUJER Y LA INFANCIA (IAMI)",IF(P48=CURSOS!$D$22,"CUIDADO DEL DONANTE DE ORGANOS",IF(P48=CURSOS!$D$23,"ATENCION A VICTIMAS POR VIOLENCIA DE GENERO",IF(P48=CURSOS!$D$24,"IGUALDAD DE GENERO EN LA SALUD",IF(P48=CURSOS!$D$25,"BRIGADA DE EMERGENCIA",IF(P48=CURSOS!$D$26,"MANEJO DEL DOLOR Y CUIDADOS PALIATIVOS",IF(P48=CURSOS!$D$27,"TOMA DE MUESTRAS Y LABORATORIO POCT",IF(P48=CURSOS!$D$28,"IMPLANTE SUBDERMICO DE DISPOSITIVO INTRAUTERINO",IF(P48=CURSOS!$D$29,"SALUD MENTAL",IF(P48=CURSOS!$D$30,"PRIMEROS AUXILIOS PSICOLOGICOS",IF(P48=CURSOS!$D$31,"ATENCION A VICTIMAS POR CONFLICTO ARMADO",IF(P48=CURSOS!$D$32,"MANIPULACION DE ALIMENTOS Y BPM",IF(P48=CURSOS!$D$33,"ATENCION A PERSONAS CON DISCAPACIDAD",IF(P48=CURSOS!$D$34,"CUIDADO INTEGRAL DEL PACIENTE ADULTO",IF(P48=CURSOS!$D$35,"MANEJO DEFENSIVO",IF(P48=CURSOS!$D$36,"SOPORTE CARDIOVASCULAR AVANZADO NEONATAL",IF(P48=CURSOS!$D$37,"SEGURIDAD DEL PACIENTE",IF(P48=CURSOS!$D$38,"MANEJO DE RESIDUOS HOSPITALARIOS"))))))))))))))))))))))))))))))))))))</f>
        <v xml:space="preserve">ATENCION A VICTIMAS DE VIOLENCIA SEXUAL </v>
      </c>
      <c r="W48" s="66" t="str">
        <f t="shared" si="3"/>
        <v>Jose Luban Popayan Cordoba</v>
      </c>
      <c r="X48" s="66" t="str">
        <f t="shared" si="2"/>
        <v>Jose Luban Popayan Cordoba</v>
      </c>
      <c r="Y48" s="66" t="str">
        <f t="shared" si="4"/>
        <v>Jose Luban Popayan Cordoba-12845773-VIOLENCIA SEXUAL</v>
      </c>
    </row>
    <row r="49" spans="1:25" s="60" customFormat="1" x14ac:dyDescent="0.2">
      <c r="A49" s="61">
        <v>48</v>
      </c>
      <c r="B49" s="62">
        <v>12845773</v>
      </c>
      <c r="C49" s="62" t="s">
        <v>268</v>
      </c>
      <c r="D49" s="62" t="s">
        <v>269</v>
      </c>
      <c r="E49" s="62" t="s">
        <v>270</v>
      </c>
      <c r="F49" s="62" t="s">
        <v>271</v>
      </c>
      <c r="G49" s="62">
        <v>3</v>
      </c>
      <c r="H49" s="62" t="s">
        <v>127</v>
      </c>
      <c r="I49" s="62" t="s">
        <v>226</v>
      </c>
      <c r="J49" s="63"/>
      <c r="K49" s="64">
        <v>45751</v>
      </c>
      <c r="L49" s="65">
        <v>32000</v>
      </c>
      <c r="M49" s="62" t="s">
        <v>220</v>
      </c>
      <c r="N49" s="62" t="s">
        <v>131</v>
      </c>
      <c r="O49" s="62" t="s">
        <v>257</v>
      </c>
      <c r="P49" s="62" t="s">
        <v>25</v>
      </c>
      <c r="Q49" s="63">
        <v>31309</v>
      </c>
      <c r="R49" s="62" t="s">
        <v>209</v>
      </c>
      <c r="S49" s="98" t="s">
        <v>332</v>
      </c>
      <c r="T49" s="62">
        <v>3126390978</v>
      </c>
      <c r="U49" s="82" t="s">
        <v>272</v>
      </c>
      <c r="V49" s="66" t="str">
        <f>IF(P49=CURSOS!$D$3,"DIPLOMADO EN ATENCION PRE-HOSPITALARIA",IF(P49=CURSOS!$D$4,"ACOMPAÑAMIENTO Y MANEJO DEL DUELO",IF(P49=CURSOS!$D$5,"ATENCION A VICTIMAS DE ATAQUE CON AGENTES QUIMICOS ",IF(P49=CURSOS!$D$6,"PRIMEROS AUXILIOS ",IF(P49=CURSOS!$D$7,"DIPLOMADO DE UNIDAD DE CUIDADOS INTENSIVOS (UCI)",IF(P49=CURSOS!$D$8,"MODELO DE ATENCION PARA EVENTOS EMERGENTES EN SALUD MENTAL (CODIGO VERDE)",IF(P49=CURSOS!$D$9,"HUMANIZACION EN EL SERVICIO DE LA SALUD Y BUENAS PRACTICAS EN PACIENTE ",IF(P49=CURSOS!$D$10,"CLINICA DE HERIDAS ",IF(P49=CURSOS!$D$11,"TOMA DE CITOLOGIA CERVICO VAGINAL ",IF(P49=CURSOS!$D$12,"SOPORTE CARDIOVASCULAR AVANZADO (ACLS) ",IF(P49=CURSOS!$D$13,"CAMILLERO ",IF(P49=CURSOS!$D$14,"TOMA DE MUESTRAS Y LABORATORIO ",IF(P49=CURSOS!$D$15,"SOPORTE VITAL BASICO (BLS)",IF(P49=CURSOS!$D$16,"ATENCION A VICTIMAS DE VIOLENCIA SEXUAL ",IF(P49=CURSOS!$D$17,"PROGRAMADO AMPLIADO DE INMUNIZACION (PAI - COVID 19)",IF(P49=CURSOS!$D$18,"ATENCION INTEGRAL EN ENFERMEDADES PREVALENTES EN PRIMERA INFANCIA (AIEPI)",IF(P49=CURSOS!$D$19,"ADMINISTRACION DE MEDICAMENTOS, INYECTOLOGIA  Y CANALIZACION ",IF(P49=CURSOS!$D$20,"OPERADOR DE VEHICULOS DE EMERGENCIA (OVE)",IF(P49=CURSOS!$D$21,"INSTITUCIONES AMIGAS DE LA MUJER Y LA INFANCIA (IAMI)",IF(P49=CURSOS!$D$22,"CUIDADO DEL DONANTE DE ORGANOS",IF(P49=CURSOS!$D$23,"ATENCION A VICTIMAS POR VIOLENCIA DE GENERO",IF(P49=CURSOS!$D$24,"IGUALDAD DE GENERO EN LA SALUD",IF(P49=CURSOS!$D$25,"BRIGADA DE EMERGENCIA",IF(P49=CURSOS!$D$26,"MANEJO DEL DOLOR Y CUIDADOS PALIATIVOS",IF(P49=CURSOS!$D$27,"TOMA DE MUESTRAS Y LABORATORIO POCT",IF(P49=CURSOS!$D$28,"IMPLANTE SUBDERMICO DE DISPOSITIVO INTRAUTERINO",IF(P49=CURSOS!$D$29,"SALUD MENTAL",IF(P49=CURSOS!$D$30,"PRIMEROS AUXILIOS PSICOLOGICOS",IF(P49=CURSOS!$D$31,"ATENCION A VICTIMAS POR CONFLICTO ARMADO",IF(P49=CURSOS!$D$32,"MANIPULACION DE ALIMENTOS Y BPM",IF(P49=CURSOS!$D$33,"ATENCION A PERSONAS CON DISCAPACIDAD",IF(P49=CURSOS!$D$34,"CUIDADO INTEGRAL DEL PACIENTE ADULTO",IF(P49=CURSOS!$D$35,"MANEJO DEFENSIVO",IF(P49=CURSOS!$D$36,"SOPORTE CARDIOVASCULAR AVANZADO NEONATAL",IF(P49=CURSOS!$D$37,"SEGURIDAD DEL PACIENTE",IF(P49=CURSOS!$D$38,"MANEJO DE RESIDUOS HOSPITALARIOS"))))))))))))))))))))))))))))))))))))</f>
        <v xml:space="preserve">ATENCION A VICTIMAS DE ATAQUE CON AGENTES QUIMICOS </v>
      </c>
      <c r="W49" s="66" t="str">
        <f t="shared" si="3"/>
        <v>Jose Luban Popayan Cordoba</v>
      </c>
      <c r="X49" s="66" t="str">
        <f t="shared" si="2"/>
        <v>Jose Luban Popayan Cordoba</v>
      </c>
      <c r="Y49" s="66" t="str">
        <f t="shared" si="4"/>
        <v>Jose Luban Popayan Cordoba-12845773-QUIMICOS</v>
      </c>
    </row>
    <row r="50" spans="1:25" s="60" customFormat="1" x14ac:dyDescent="0.2">
      <c r="A50" s="61">
        <v>49</v>
      </c>
      <c r="B50" s="62">
        <v>1004192394</v>
      </c>
      <c r="C50" s="62" t="s">
        <v>273</v>
      </c>
      <c r="D50" s="62" t="s">
        <v>274</v>
      </c>
      <c r="E50" s="62" t="s">
        <v>275</v>
      </c>
      <c r="F50" s="62" t="s">
        <v>276</v>
      </c>
      <c r="G50" s="62">
        <v>3</v>
      </c>
      <c r="H50" s="62" t="s">
        <v>127</v>
      </c>
      <c r="I50" s="62" t="s">
        <v>226</v>
      </c>
      <c r="J50" s="63"/>
      <c r="K50" s="64">
        <v>45750</v>
      </c>
      <c r="L50" s="65">
        <v>40000</v>
      </c>
      <c r="M50" s="62" t="s">
        <v>266</v>
      </c>
      <c r="N50" s="62" t="s">
        <v>131</v>
      </c>
      <c r="O50" s="62" t="s">
        <v>257</v>
      </c>
      <c r="P50" s="62" t="s">
        <v>19</v>
      </c>
      <c r="Q50" s="63">
        <v>37703</v>
      </c>
      <c r="R50" s="62" t="s">
        <v>209</v>
      </c>
      <c r="S50" s="98" t="s">
        <v>332</v>
      </c>
      <c r="T50" s="62">
        <v>3167502518</v>
      </c>
      <c r="U50" s="62" t="s">
        <v>277</v>
      </c>
      <c r="V50" s="66" t="str">
        <f>IF(P50=CURSOS!$D$3,"DIPLOMADO EN ATENCION PRE-HOSPITALARIA",IF(P50=CURSOS!$D$4,"ACOMPAÑAMIENTO Y MANEJO DEL DUELO",IF(P50=CURSOS!$D$5,"ATENCION A VICTIMAS DE ATAQUE CON AGENTES QUIMICOS ",IF(P50=CURSOS!$D$6,"PRIMEROS AUXILIOS ",IF(P50=CURSOS!$D$7,"DIPLOMADO DE UNIDAD DE CUIDADOS INTENSIVOS (UCI)",IF(P50=CURSOS!$D$8,"MODELO DE ATENCION PARA EVENTOS EMERGENTES EN SALUD MENTAL (CODIGO VERDE)",IF(P50=CURSOS!$D$9,"HUMANIZACION EN EL SERVICIO DE LA SALUD Y BUENAS PRACTICAS EN PACIENTE ",IF(P50=CURSOS!$D$10,"CLINICA DE HERIDAS ",IF(P50=CURSOS!$D$11,"TOMA DE CITOLOGIA CERVICO VAGINAL ",IF(P50=CURSOS!$D$12,"SOPORTE CARDIOVASCULAR AVANZADO (ACLS) ",IF(P50=CURSOS!$D$13,"CAMILLERO ",IF(P50=CURSOS!$D$14,"TOMA DE MUESTRAS Y LABORATORIO ",IF(P50=CURSOS!$D$15,"SOPORTE VITAL BASICO (BLS)",IF(P50=CURSOS!$D$16,"ATENCION A VICTIMAS DE VIOLENCIA SEXUAL ",IF(P50=CURSOS!$D$17,"PROGRAMADO AMPLIADO DE INMUNIZACION (PAI - COVID 19)",IF(P50=CURSOS!$D$18,"ATENCION INTEGRAL EN ENFERMEDADES PREVALENTES EN PRIMERA INFANCIA (AIEPI)",IF(P50=CURSOS!$D$19,"ADMINISTRACION DE MEDICAMENTOS, INYECTOLOGIA  Y CANALIZACION ",IF(P50=CURSOS!$D$20,"OPERADOR DE VEHICULOS DE EMERGENCIA (OVE)",IF(P50=CURSOS!$D$21,"INSTITUCIONES AMIGAS DE LA MUJER Y LA INFANCIA (IAMI)",IF(P50=CURSOS!$D$22,"CUIDADO DEL DONANTE DE ORGANOS",IF(P50=CURSOS!$D$23,"ATENCION A VICTIMAS POR VIOLENCIA DE GENERO",IF(P50=CURSOS!$D$24,"IGUALDAD DE GENERO EN LA SALUD",IF(P50=CURSOS!$D$25,"BRIGADA DE EMERGENCIA",IF(P50=CURSOS!$D$26,"MANEJO DEL DOLOR Y CUIDADOS PALIATIVOS",IF(P50=CURSOS!$D$27,"TOMA DE MUESTRAS Y LABORATORIO POCT",IF(P50=CURSOS!$D$28,"IMPLANTE SUBDERMICO DE DISPOSITIVO INTRAUTERINO",IF(P50=CURSOS!$D$29,"SALUD MENTAL",IF(P50=CURSOS!$D$30,"PRIMEROS AUXILIOS PSICOLOGICOS",IF(P50=CURSOS!$D$31,"ATENCION A VICTIMAS POR CONFLICTO ARMADO",IF(P50=CURSOS!$D$32,"MANIPULACION DE ALIMENTOS Y BPM",IF(P50=CURSOS!$D$33,"ATENCION A PERSONAS CON DISCAPACIDAD",IF(P50=CURSOS!$D$34,"CUIDADO INTEGRAL DEL PACIENTE ADULTO",IF(P50=CURSOS!$D$35,"MANEJO DEFENSIVO",IF(P50=CURSOS!$D$36,"SOPORTE CARDIOVASCULAR AVANZADO NEONATAL",IF(P50=CURSOS!$D$37,"SEGURIDAD DEL PACIENTE",IF(P50=CURSOS!$D$38,"MANEJO DE RESIDUOS HOSPITALARIOS"))))))))))))))))))))))))))))))))))))</f>
        <v>SOPORTE VITAL BASICO (BLS)</v>
      </c>
      <c r="W50" s="66" t="str">
        <f t="shared" si="3"/>
        <v>Alex Mauricio Timaran Torres</v>
      </c>
      <c r="X50" s="66" t="str">
        <f t="shared" si="2"/>
        <v>Alex Mauricio Timaran Torres</v>
      </c>
      <c r="Y50" s="66" t="str">
        <f t="shared" si="4"/>
        <v>Alex Mauricio Timaran Torres-1004192394-BLS</v>
      </c>
    </row>
    <row r="51" spans="1:25" s="60" customFormat="1" x14ac:dyDescent="0.2">
      <c r="A51" s="61">
        <v>50</v>
      </c>
      <c r="B51" s="62">
        <v>1085295508</v>
      </c>
      <c r="C51" s="62" t="s">
        <v>278</v>
      </c>
      <c r="D51" s="62" t="s">
        <v>279</v>
      </c>
      <c r="E51" s="62" t="s">
        <v>280</v>
      </c>
      <c r="F51" s="62" t="s">
        <v>179</v>
      </c>
      <c r="G51" s="62">
        <v>3</v>
      </c>
      <c r="H51" s="62" t="s">
        <v>127</v>
      </c>
      <c r="I51" s="62" t="s">
        <v>128</v>
      </c>
      <c r="J51" s="63"/>
      <c r="K51" s="64" t="s">
        <v>287</v>
      </c>
      <c r="L51" s="65">
        <v>75000</v>
      </c>
      <c r="M51" s="62" t="s">
        <v>330</v>
      </c>
      <c r="N51" s="62" t="s">
        <v>131</v>
      </c>
      <c r="O51" s="62" t="s">
        <v>257</v>
      </c>
      <c r="P51" s="62" t="s">
        <v>45</v>
      </c>
      <c r="Q51" s="63">
        <v>33665</v>
      </c>
      <c r="R51" s="62" t="s">
        <v>208</v>
      </c>
      <c r="S51" s="98" t="s">
        <v>332</v>
      </c>
      <c r="T51" s="62">
        <v>3172955145</v>
      </c>
      <c r="U51" s="62" t="s">
        <v>281</v>
      </c>
      <c r="V51" s="66" t="str">
        <f>IF(P51=CURSOS!$D$3,"DIPLOMADO EN ATENCION PRE-HOSPITALARIA",IF(P51=CURSOS!$D$4,"ACOMPAÑAMIENTO Y MANEJO DEL DUELO",IF(P51=CURSOS!$D$5,"ATENCION A VICTIMAS DE ATAQUE CON AGENTES QUIMICOS ",IF(P51=CURSOS!$D$6,"PRIMEROS AUXILIOS ",IF(P51=CURSOS!$D$7,"DIPLOMADO DE UNIDAD DE CUIDADOS INTENSIVOS (UCI)",IF(P51=CURSOS!$D$8,"MODELO DE ATENCION PARA EVENTOS EMERGENTES EN SALUD MENTAL (CODIGO VERDE)",IF(P51=CURSOS!$D$9,"HUMANIZACION EN EL SERVICIO DE LA SALUD Y BUENAS PRACTICAS EN PACIENTE ",IF(P51=CURSOS!$D$10,"CLINICA DE HERIDAS ",IF(P51=CURSOS!$D$11,"TOMA DE CITOLOGIA CERVICO VAGINAL ",IF(P51=CURSOS!$D$12,"SOPORTE CARDIOVASCULAR AVANZADO (ACLS) ",IF(P51=CURSOS!$D$13,"CAMILLERO ",IF(P51=CURSOS!$D$14,"TOMA DE MUESTRAS Y LABORATORIO ",IF(P51=CURSOS!$D$15,"SOPORTE VITAL BASICO (BLS)",IF(P51=CURSOS!$D$16,"ATENCION A VICTIMAS DE VIOLENCIA SEXUAL ",IF(P51=CURSOS!$D$17,"PROGRAMADO AMPLIADO DE INMUNIZACION (PAI - COVID 19)",IF(P51=CURSOS!$D$18,"ATENCION INTEGRAL EN ENFERMEDADES PREVALENTES EN PRIMERA INFANCIA (AIEPI)",IF(P51=CURSOS!$D$19,"ADMINISTRACION DE MEDICAMENTOS, INYECTOLOGIA  Y CANALIZACION ",IF(P51=CURSOS!$D$20,"OPERADOR DE VEHICULOS DE EMERGENCIA (OVE)",IF(P51=CURSOS!$D$21,"INSTITUCIONES AMIGAS DE LA MUJER Y LA INFANCIA (IAMI)",IF(P51=CURSOS!$D$22,"CUIDADO DEL DONANTE DE ORGANOS",IF(P51=CURSOS!$D$23,"ATENCION A VICTIMAS POR VIOLENCIA DE GENERO",IF(P51=CURSOS!$D$24,"IGUALDAD DE GENERO EN LA SALUD",IF(P51=CURSOS!$D$25,"BRIGADA DE EMERGENCIA",IF(P51=CURSOS!$D$26,"MANEJO DEL DOLOR Y CUIDADOS PALIATIVOS",IF(P51=CURSOS!$D$27,"TOMA DE MUESTRAS Y LABORATORIO POCT",IF(P51=CURSOS!$D$28,"IMPLANTE SUBDERMICO DE DISPOSITIVO INTRAUTERINO",IF(P51=CURSOS!$D$29,"SALUD MENTAL",IF(P51=CURSOS!$D$30,"PRIMEROS AUXILIOS PSICOLOGICOS",IF(P51=CURSOS!$D$31,"ATENCION A VICTIMAS POR CONFLICTO ARMADO",IF(P51=CURSOS!$D$32,"MANIPULACION DE ALIMENTOS Y BPM",IF(P51=CURSOS!$D$33,"ATENCION A PERSONAS CON DISCAPACIDAD",IF(P51=CURSOS!$D$34,"CUIDADO INTEGRAL DEL PACIENTE ADULTO",IF(P51=CURSOS!$D$35,"MANEJO DEFENSIVO",IF(P51=CURSOS!$D$36,"SOPORTE CARDIOVASCULAR AVANZADO NEONATAL",IF(P51=CURSOS!$D$37,"SEGURIDAD DEL PACIENTE",IF(P51=CURSOS!$D$38,"MANEJO DE RESIDUOS HOSPITALARIOS"))))))))))))))))))))))))))))))))))))</f>
        <v xml:space="preserve">ADMINISTRACION DE MEDICAMENTOS, INYECTOLOGIA  Y CANALIZACION </v>
      </c>
      <c r="W51" s="66" t="str">
        <f t="shared" si="3"/>
        <v>Sandra Patricia Perez Guerrero</v>
      </c>
      <c r="X51" s="66" t="str">
        <f t="shared" si="2"/>
        <v>Sandra Patricia Perez Guerrero</v>
      </c>
      <c r="Y51" s="66" t="str">
        <f t="shared" si="4"/>
        <v>Sandra Patricia Perez Guerrero-1085295508-ADMON DE MEDICAMENTOS</v>
      </c>
    </row>
    <row r="52" spans="1:25" s="60" customFormat="1" x14ac:dyDescent="0.2">
      <c r="A52" s="61">
        <v>51</v>
      </c>
      <c r="B52" s="62">
        <v>1004771155</v>
      </c>
      <c r="C52" s="62" t="s">
        <v>282</v>
      </c>
      <c r="D52" s="62" t="s">
        <v>283</v>
      </c>
      <c r="E52" s="62" t="s">
        <v>286</v>
      </c>
      <c r="F52" s="62" t="s">
        <v>284</v>
      </c>
      <c r="G52" s="62">
        <v>3</v>
      </c>
      <c r="H52" s="62" t="s">
        <v>127</v>
      </c>
      <c r="I52" s="62" t="s">
        <v>128</v>
      </c>
      <c r="J52" s="63"/>
      <c r="K52" s="64" t="s">
        <v>287</v>
      </c>
      <c r="L52" s="65">
        <v>80000</v>
      </c>
      <c r="M52" s="62" t="s">
        <v>220</v>
      </c>
      <c r="N52" s="62" t="s">
        <v>131</v>
      </c>
      <c r="O52" s="62" t="s">
        <v>257</v>
      </c>
      <c r="P52" s="62" t="s">
        <v>45</v>
      </c>
      <c r="Q52" s="63">
        <v>37678</v>
      </c>
      <c r="R52" s="62" t="s">
        <v>208</v>
      </c>
      <c r="S52" s="96" t="s">
        <v>332</v>
      </c>
      <c r="T52" s="62">
        <v>3166343845</v>
      </c>
      <c r="U52" s="62" t="s">
        <v>285</v>
      </c>
      <c r="V52" s="66" t="str">
        <f>IF(P52=CURSOS!$D$3,"DIPLOMADO EN ATENCION PRE-HOSPITALARIA",IF(P52=CURSOS!$D$4,"ACOMPAÑAMIENTO Y MANEJO DEL DUELO",IF(P52=CURSOS!$D$5,"ATENCION A VICTIMAS DE ATAQUE CON AGENTES QUIMICOS ",IF(P52=CURSOS!$D$6,"PRIMEROS AUXILIOS ",IF(P52=CURSOS!$D$7,"DIPLOMADO DE UNIDAD DE CUIDADOS INTENSIVOS (UCI)",IF(P52=CURSOS!$D$8,"MODELO DE ATENCION PARA EVENTOS EMERGENTES EN SALUD MENTAL (CODIGO VERDE)",IF(P52=CURSOS!$D$9,"HUMANIZACION EN EL SERVICIO DE LA SALUD Y BUENAS PRACTICAS EN PACIENTE ",IF(P52=CURSOS!$D$10,"CLINICA DE HERIDAS ",IF(P52=CURSOS!$D$11,"TOMA DE CITOLOGIA CERVICO VAGINAL ",IF(P52=CURSOS!$D$12,"SOPORTE CARDIOVASCULAR AVANZADO (ACLS) ",IF(P52=CURSOS!$D$13,"CAMILLERO ",IF(P52=CURSOS!$D$14,"TOMA DE MUESTRAS Y LABORATORIO ",IF(P52=CURSOS!$D$15,"SOPORTE VITAL BASICO (BLS)",IF(P52=CURSOS!$D$16,"ATENCION A VICTIMAS DE VIOLENCIA SEXUAL ",IF(P52=CURSOS!$D$17,"PROGRAMADO AMPLIADO DE INMUNIZACION (PAI - COVID 19)",IF(P52=CURSOS!$D$18,"ATENCION INTEGRAL EN ENFERMEDADES PREVALENTES EN PRIMERA INFANCIA (AIEPI)",IF(P52=CURSOS!$D$19,"ADMINISTRACION DE MEDICAMENTOS, INYECTOLOGIA  Y CANALIZACION ",IF(P52=CURSOS!$D$20,"OPERADOR DE VEHICULOS DE EMERGENCIA (OVE)",IF(P52=CURSOS!$D$21,"INSTITUCIONES AMIGAS DE LA MUJER Y LA INFANCIA (IAMI)",IF(P52=CURSOS!$D$22,"CUIDADO DEL DONANTE DE ORGANOS",IF(P52=CURSOS!$D$23,"ATENCION A VICTIMAS POR VIOLENCIA DE GENERO",IF(P52=CURSOS!$D$24,"IGUALDAD DE GENERO EN LA SALUD",IF(P52=CURSOS!$D$25,"BRIGADA DE EMERGENCIA",IF(P52=CURSOS!$D$26,"MANEJO DEL DOLOR Y CUIDADOS PALIATIVOS",IF(P52=CURSOS!$D$27,"TOMA DE MUESTRAS Y LABORATORIO POCT",IF(P52=CURSOS!$D$28,"IMPLANTE SUBDERMICO DE DISPOSITIVO INTRAUTERINO",IF(P52=CURSOS!$D$29,"SALUD MENTAL",IF(P52=CURSOS!$D$30,"PRIMEROS AUXILIOS PSICOLOGICOS",IF(P52=CURSOS!$D$31,"ATENCION A VICTIMAS POR CONFLICTO ARMADO",IF(P52=CURSOS!$D$32,"MANIPULACION DE ALIMENTOS Y BPM",IF(P52=CURSOS!$D$33,"ATENCION A PERSONAS CON DISCAPACIDAD",IF(P52=CURSOS!$D$34,"CUIDADO INTEGRAL DEL PACIENTE ADULTO",IF(P52=CURSOS!$D$35,"MANEJO DEFENSIVO",IF(P52=CURSOS!$D$36,"SOPORTE CARDIOVASCULAR AVANZADO NEONATAL",IF(P52=CURSOS!$D$37,"SEGURIDAD DEL PACIENTE",IF(P52=CURSOS!$D$38,"MANEJO DE RESIDUOS HOSPITALARIOS"))))))))))))))))))))))))))))))))))))</f>
        <v xml:space="preserve">ADMINISTRACION DE MEDICAMENTOS, INYECTOLOGIA  Y CANALIZACION </v>
      </c>
      <c r="W52" s="66" t="str">
        <f t="shared" si="3"/>
        <v>Ingrid Esmith Chalacan Zamudio</v>
      </c>
      <c r="X52" s="66" t="str">
        <f t="shared" si="2"/>
        <v>Ingrid Esmith Chalacan Zamudio</v>
      </c>
      <c r="Y52" s="66" t="str">
        <f t="shared" si="4"/>
        <v>Ingrid Esmith Chalacan Zamudio-1004771155-ADMON DE MEDICAMENTOS</v>
      </c>
    </row>
    <row r="53" spans="1:25" s="60" customFormat="1" x14ac:dyDescent="0.2">
      <c r="A53" s="61">
        <v>52</v>
      </c>
      <c r="B53" s="62">
        <v>59802146</v>
      </c>
      <c r="C53" s="62" t="s">
        <v>148</v>
      </c>
      <c r="D53" s="62" t="s">
        <v>288</v>
      </c>
      <c r="E53" s="62" t="s">
        <v>289</v>
      </c>
      <c r="F53" s="62" t="s">
        <v>290</v>
      </c>
      <c r="G53" s="62">
        <v>4</v>
      </c>
      <c r="H53" s="62" t="s">
        <v>127</v>
      </c>
      <c r="I53" s="62" t="s">
        <v>128</v>
      </c>
      <c r="J53" s="63" t="s">
        <v>232</v>
      </c>
      <c r="K53" s="64">
        <v>45754</v>
      </c>
      <c r="L53" s="65">
        <v>15385</v>
      </c>
      <c r="M53" s="62" t="s">
        <v>220</v>
      </c>
      <c r="N53" s="62" t="s">
        <v>131</v>
      </c>
      <c r="O53" s="62" t="s">
        <v>291</v>
      </c>
      <c r="P53" s="62" t="s">
        <v>26</v>
      </c>
      <c r="Q53" s="63"/>
      <c r="R53" s="62" t="s">
        <v>208</v>
      </c>
      <c r="S53" s="62"/>
      <c r="T53" s="62"/>
      <c r="U53" s="62"/>
      <c r="V53" s="66" t="str">
        <f>IF(P53=CURSOS!$D$3,"DIPLOMADO EN ATENCION PRE-HOSPITALARIA",IF(P53=CURSOS!$D$4,"ACOMPAÑAMIENTO Y MANEJO DEL DUELO",IF(P53=CURSOS!$D$5,"ATENCION A VICTIMAS DE ATAQUE CON AGENTES QUIMICOS ",IF(P53=CURSOS!$D$6,"PRIMEROS AUXILIOS ",IF(P53=CURSOS!$D$7,"DIPLOMADO DE UNIDAD DE CUIDADOS INTENSIVOS (UCI)",IF(P53=CURSOS!$D$8,"MODELO DE ATENCION PARA EVENTOS EMERGENTES EN SALUD MENTAL (CODIGO VERDE)",IF(P53=CURSOS!$D$9,"HUMANIZACION EN EL SERVICIO DE LA SALUD Y BUENAS PRACTICAS EN PACIENTE ",IF(P53=CURSOS!$D$10,"CLINICA DE HERIDAS ",IF(P53=CURSOS!$D$11,"TOMA DE CITOLOGIA CERVICO VAGINAL ",IF(P53=CURSOS!$D$12,"SOPORTE CARDIOVASCULAR AVANZADO (ACLS) ",IF(P53=CURSOS!$D$13,"CAMILLERO ",IF(P53=CURSOS!$D$14,"TOMA DE MUESTRAS Y LABORATORIO ",IF(P53=CURSOS!$D$15,"SOPORTE VITAL BASICO (BLS)",IF(P53=CURSOS!$D$16,"ATENCION A VICTIMAS DE VIOLENCIA SEXUAL ",IF(P53=CURSOS!$D$17,"PROGRAMADO AMPLIADO DE INMUNIZACION (PAI - COVID 19)",IF(P53=CURSOS!$D$18,"ATENCION INTEGRAL EN ENFERMEDADES PREVALENTES EN PRIMERA INFANCIA (AIEPI)",IF(P53=CURSOS!$D$19,"ADMINISTRACION DE MEDICAMENTOS, INYECTOLOGIA  Y CANALIZACION ",IF(P53=CURSOS!$D$20,"OPERADOR DE VEHICULOS DE EMERGENCIA (OVE)",IF(P53=CURSOS!$D$21,"INSTITUCIONES AMIGAS DE LA MUJER Y LA INFANCIA (IAMI)",IF(P53=CURSOS!$D$22,"CUIDADO DEL DONANTE DE ORGANOS",IF(P53=CURSOS!$D$23,"ATENCION A VICTIMAS POR VIOLENCIA DE GENERO",IF(P53=CURSOS!$D$24,"IGUALDAD DE GENERO EN LA SALUD",IF(P53=CURSOS!$D$25,"BRIGADA DE EMERGENCIA",IF(P53=CURSOS!$D$26,"MANEJO DEL DOLOR Y CUIDADOS PALIATIVOS",IF(P53=CURSOS!$D$27,"TOMA DE MUESTRAS Y LABORATORIO POCT",IF(P53=CURSOS!$D$28,"IMPLANTE SUBDERMICO DE DISPOSITIVO INTRAUTERINO",IF(P53=CURSOS!$D$29,"SALUD MENTAL",IF(P53=CURSOS!$D$30,"PRIMEROS AUXILIOS PSICOLOGICOS",IF(P53=CURSOS!$D$31,"ATENCION A VICTIMAS POR CONFLICTO ARMADO",IF(P53=CURSOS!$D$32,"MANIPULACION DE ALIMENTOS Y BPM",IF(P53=CURSOS!$D$33,"ATENCION A PERSONAS CON DISCAPACIDAD",IF(P53=CURSOS!$D$34,"CUIDADO INTEGRAL DEL PACIENTE ADULTO",IF(P53=CURSOS!$D$35,"MANEJO DEFENSIVO",IF(P53=CURSOS!$D$36,"SOPORTE CARDIOVASCULAR AVANZADO NEONATAL",IF(P53=CURSOS!$D$37,"SEGURIDAD DEL PACIENTE",IF(P53=CURSOS!$D$38,"MANEJO DE RESIDUOS HOSPITALARIOS"))))))))))))))))))))))))))))))))))))</f>
        <v xml:space="preserve">PRIMEROS AUXILIOS </v>
      </c>
      <c r="W53" s="66" t="str">
        <f t="shared" si="3"/>
        <v>Luz Alba Ibarra Cadena</v>
      </c>
      <c r="X53" s="66" t="str">
        <f t="shared" si="2"/>
        <v>Luz Alba Ibarra Cadena</v>
      </c>
      <c r="Y53" s="66" t="str">
        <f t="shared" si="4"/>
        <v>Luz Alba Ibarra Cadena-59802146-PRIMEROS AUXILIOS</v>
      </c>
    </row>
    <row r="54" spans="1:25" s="60" customFormat="1" x14ac:dyDescent="0.2">
      <c r="A54" s="61">
        <v>53</v>
      </c>
      <c r="B54" s="62">
        <v>27225269</v>
      </c>
      <c r="C54" s="62" t="s">
        <v>292</v>
      </c>
      <c r="D54" s="62" t="s">
        <v>293</v>
      </c>
      <c r="E54" s="62" t="s">
        <v>134</v>
      </c>
      <c r="F54" s="62" t="s">
        <v>294</v>
      </c>
      <c r="G54" s="62">
        <v>4</v>
      </c>
      <c r="H54" s="62" t="s">
        <v>127</v>
      </c>
      <c r="I54" s="62" t="s">
        <v>128</v>
      </c>
      <c r="J54" s="63" t="s">
        <v>232</v>
      </c>
      <c r="K54" s="64">
        <v>45754</v>
      </c>
      <c r="L54" s="65">
        <v>15385</v>
      </c>
      <c r="M54" s="62" t="s">
        <v>220</v>
      </c>
      <c r="N54" s="62" t="s">
        <v>131</v>
      </c>
      <c r="O54" s="62" t="s">
        <v>291</v>
      </c>
      <c r="P54" s="62" t="s">
        <v>26</v>
      </c>
      <c r="Q54" s="63"/>
      <c r="R54" s="62" t="s">
        <v>208</v>
      </c>
      <c r="S54" s="62"/>
      <c r="T54" s="62"/>
      <c r="U54" s="62"/>
      <c r="V54" s="66" t="str">
        <f>IF(P54=CURSOS!$D$3,"DIPLOMADO EN ATENCION PRE-HOSPITALARIA",IF(P54=CURSOS!$D$4,"ACOMPAÑAMIENTO Y MANEJO DEL DUELO",IF(P54=CURSOS!$D$5,"ATENCION A VICTIMAS DE ATAQUE CON AGENTES QUIMICOS ",IF(P54=CURSOS!$D$6,"PRIMEROS AUXILIOS ",IF(P54=CURSOS!$D$7,"DIPLOMADO DE UNIDAD DE CUIDADOS INTENSIVOS (UCI)",IF(P54=CURSOS!$D$8,"MODELO DE ATENCION PARA EVENTOS EMERGENTES EN SALUD MENTAL (CODIGO VERDE)",IF(P54=CURSOS!$D$9,"HUMANIZACION EN EL SERVICIO DE LA SALUD Y BUENAS PRACTICAS EN PACIENTE ",IF(P54=CURSOS!$D$10,"CLINICA DE HERIDAS ",IF(P54=CURSOS!$D$11,"TOMA DE CITOLOGIA CERVICO VAGINAL ",IF(P54=CURSOS!$D$12,"SOPORTE CARDIOVASCULAR AVANZADO (ACLS) ",IF(P54=CURSOS!$D$13,"CAMILLERO ",IF(P54=CURSOS!$D$14,"TOMA DE MUESTRAS Y LABORATORIO ",IF(P54=CURSOS!$D$15,"SOPORTE VITAL BASICO (BLS)",IF(P54=CURSOS!$D$16,"ATENCION A VICTIMAS DE VIOLENCIA SEXUAL ",IF(P54=CURSOS!$D$17,"PROGRAMADO AMPLIADO DE INMUNIZACION (PAI - COVID 19)",IF(P54=CURSOS!$D$18,"ATENCION INTEGRAL EN ENFERMEDADES PREVALENTES EN PRIMERA INFANCIA (AIEPI)",IF(P54=CURSOS!$D$19,"ADMINISTRACION DE MEDICAMENTOS, INYECTOLOGIA  Y CANALIZACION ",IF(P54=CURSOS!$D$20,"OPERADOR DE VEHICULOS DE EMERGENCIA (OVE)",IF(P54=CURSOS!$D$21,"INSTITUCIONES AMIGAS DE LA MUJER Y LA INFANCIA (IAMI)",IF(P54=CURSOS!$D$22,"CUIDADO DEL DONANTE DE ORGANOS",IF(P54=CURSOS!$D$23,"ATENCION A VICTIMAS POR VIOLENCIA DE GENERO",IF(P54=CURSOS!$D$24,"IGUALDAD DE GENERO EN LA SALUD",IF(P54=CURSOS!$D$25,"BRIGADA DE EMERGENCIA",IF(P54=CURSOS!$D$26,"MANEJO DEL DOLOR Y CUIDADOS PALIATIVOS",IF(P54=CURSOS!$D$27,"TOMA DE MUESTRAS Y LABORATORIO POCT",IF(P54=CURSOS!$D$28,"IMPLANTE SUBDERMICO DE DISPOSITIVO INTRAUTERINO",IF(P54=CURSOS!$D$29,"SALUD MENTAL",IF(P54=CURSOS!$D$30,"PRIMEROS AUXILIOS PSICOLOGICOS",IF(P54=CURSOS!$D$31,"ATENCION A VICTIMAS POR CONFLICTO ARMADO",IF(P54=CURSOS!$D$32,"MANIPULACION DE ALIMENTOS Y BPM",IF(P54=CURSOS!$D$33,"ATENCION A PERSONAS CON DISCAPACIDAD",IF(P54=CURSOS!$D$34,"CUIDADO INTEGRAL DEL PACIENTE ADULTO",IF(P54=CURSOS!$D$35,"MANEJO DEFENSIVO",IF(P54=CURSOS!$D$36,"SOPORTE CARDIOVASCULAR AVANZADO NEONATAL",IF(P54=CURSOS!$D$37,"SEGURIDAD DEL PACIENTE",IF(P54=CURSOS!$D$38,"MANEJO DE RESIDUOS HOSPITALARIOS"))))))))))))))))))))))))))))))))))))</f>
        <v xml:space="preserve">PRIMEROS AUXILIOS </v>
      </c>
      <c r="W54" s="66" t="str">
        <f t="shared" si="3"/>
        <v>Ana Lucia Enriquez Mueses</v>
      </c>
      <c r="X54" s="66" t="str">
        <f t="shared" si="2"/>
        <v>Ana Lucia Enriquez Mueses</v>
      </c>
      <c r="Y54" s="66" t="str">
        <f t="shared" si="4"/>
        <v>Ana Lucia Enriquez Mueses-27225269-PRIMEROS AUXILIOS</v>
      </c>
    </row>
    <row r="55" spans="1:25" s="60" customFormat="1" x14ac:dyDescent="0.2">
      <c r="A55" s="61">
        <v>54</v>
      </c>
      <c r="B55" s="62">
        <v>27395407</v>
      </c>
      <c r="C55" s="62" t="s">
        <v>295</v>
      </c>
      <c r="D55" s="62"/>
      <c r="E55" s="62" t="s">
        <v>296</v>
      </c>
      <c r="F55" s="62" t="s">
        <v>297</v>
      </c>
      <c r="G55" s="62">
        <v>4</v>
      </c>
      <c r="H55" s="62" t="s">
        <v>127</v>
      </c>
      <c r="I55" s="62" t="s">
        <v>128</v>
      </c>
      <c r="J55" s="63" t="s">
        <v>232</v>
      </c>
      <c r="K55" s="64">
        <v>45754</v>
      </c>
      <c r="L55" s="65">
        <v>15385</v>
      </c>
      <c r="M55" s="62" t="s">
        <v>220</v>
      </c>
      <c r="N55" s="62" t="s">
        <v>131</v>
      </c>
      <c r="O55" s="62" t="s">
        <v>291</v>
      </c>
      <c r="P55" s="62" t="s">
        <v>26</v>
      </c>
      <c r="Q55" s="63"/>
      <c r="R55" s="62" t="s">
        <v>208</v>
      </c>
      <c r="S55" s="62"/>
      <c r="T55" s="62"/>
      <c r="U55" s="62"/>
      <c r="V55" s="66" t="str">
        <f>IF(P55=CURSOS!$D$3,"DIPLOMADO EN ATENCION PRE-HOSPITALARIA",IF(P55=CURSOS!$D$4,"ACOMPAÑAMIENTO Y MANEJO DEL DUELO",IF(P55=CURSOS!$D$5,"ATENCION A VICTIMAS DE ATAQUE CON AGENTES QUIMICOS ",IF(P55=CURSOS!$D$6,"PRIMEROS AUXILIOS ",IF(P55=CURSOS!$D$7,"DIPLOMADO DE UNIDAD DE CUIDADOS INTENSIVOS (UCI)",IF(P55=CURSOS!$D$8,"MODELO DE ATENCION PARA EVENTOS EMERGENTES EN SALUD MENTAL (CODIGO VERDE)",IF(P55=CURSOS!$D$9,"HUMANIZACION EN EL SERVICIO DE LA SALUD Y BUENAS PRACTICAS EN PACIENTE ",IF(P55=CURSOS!$D$10,"CLINICA DE HERIDAS ",IF(P55=CURSOS!$D$11,"TOMA DE CITOLOGIA CERVICO VAGINAL ",IF(P55=CURSOS!$D$12,"SOPORTE CARDIOVASCULAR AVANZADO (ACLS) ",IF(P55=CURSOS!$D$13,"CAMILLERO ",IF(P55=CURSOS!$D$14,"TOMA DE MUESTRAS Y LABORATORIO ",IF(P55=CURSOS!$D$15,"SOPORTE VITAL BASICO (BLS)",IF(P55=CURSOS!$D$16,"ATENCION A VICTIMAS DE VIOLENCIA SEXUAL ",IF(P55=CURSOS!$D$17,"PROGRAMADO AMPLIADO DE INMUNIZACION (PAI - COVID 19)",IF(P55=CURSOS!$D$18,"ATENCION INTEGRAL EN ENFERMEDADES PREVALENTES EN PRIMERA INFANCIA (AIEPI)",IF(P55=CURSOS!$D$19,"ADMINISTRACION DE MEDICAMENTOS, INYECTOLOGIA  Y CANALIZACION ",IF(P55=CURSOS!$D$20,"OPERADOR DE VEHICULOS DE EMERGENCIA (OVE)",IF(P55=CURSOS!$D$21,"INSTITUCIONES AMIGAS DE LA MUJER Y LA INFANCIA (IAMI)",IF(P55=CURSOS!$D$22,"CUIDADO DEL DONANTE DE ORGANOS",IF(P55=CURSOS!$D$23,"ATENCION A VICTIMAS POR VIOLENCIA DE GENERO",IF(P55=CURSOS!$D$24,"IGUALDAD DE GENERO EN LA SALUD",IF(P55=CURSOS!$D$25,"BRIGADA DE EMERGENCIA",IF(P55=CURSOS!$D$26,"MANEJO DEL DOLOR Y CUIDADOS PALIATIVOS",IF(P55=CURSOS!$D$27,"TOMA DE MUESTRAS Y LABORATORIO POCT",IF(P55=CURSOS!$D$28,"IMPLANTE SUBDERMICO DE DISPOSITIVO INTRAUTERINO",IF(P55=CURSOS!$D$29,"SALUD MENTAL",IF(P55=CURSOS!$D$30,"PRIMEROS AUXILIOS PSICOLOGICOS",IF(P55=CURSOS!$D$31,"ATENCION A VICTIMAS POR CONFLICTO ARMADO",IF(P55=CURSOS!$D$32,"MANIPULACION DE ALIMENTOS Y BPM",IF(P55=CURSOS!$D$33,"ATENCION A PERSONAS CON DISCAPACIDAD",IF(P55=CURSOS!$D$34,"CUIDADO INTEGRAL DEL PACIENTE ADULTO",IF(P55=CURSOS!$D$35,"MANEJO DEFENSIVO",IF(P55=CURSOS!$D$36,"SOPORTE CARDIOVASCULAR AVANZADO NEONATAL",IF(P55=CURSOS!$D$37,"SEGURIDAD DEL PACIENTE",IF(P55=CURSOS!$D$38,"MANEJO DE RESIDUOS HOSPITALARIOS"))))))))))))))))))))))))))))))))))))</f>
        <v xml:space="preserve">PRIMEROS AUXILIOS </v>
      </c>
      <c r="W55" s="66" t="str">
        <f t="shared" si="3"/>
        <v xml:space="preserve">Nidia Rubiela Chitan </v>
      </c>
      <c r="X55" s="66" t="str">
        <f t="shared" si="2"/>
        <v xml:space="preserve">Nidia Rubiela Chitan </v>
      </c>
      <c r="Y55" s="66" t="str">
        <f t="shared" si="4"/>
        <v>Nidia Rubiela Chitan -27395407-PRIMEROS AUXILIOS</v>
      </c>
    </row>
    <row r="56" spans="1:25" s="60" customFormat="1" x14ac:dyDescent="0.2">
      <c r="A56" s="61">
        <v>55</v>
      </c>
      <c r="B56" s="62">
        <v>27397352</v>
      </c>
      <c r="C56" s="62" t="s">
        <v>298</v>
      </c>
      <c r="D56" s="62"/>
      <c r="E56" s="62" t="s">
        <v>299</v>
      </c>
      <c r="F56" s="62" t="s">
        <v>300</v>
      </c>
      <c r="G56" s="62">
        <v>4</v>
      </c>
      <c r="H56" s="62" t="s">
        <v>127</v>
      </c>
      <c r="I56" s="62" t="s">
        <v>128</v>
      </c>
      <c r="J56" s="63" t="s">
        <v>232</v>
      </c>
      <c r="K56" s="64">
        <v>45754</v>
      </c>
      <c r="L56" s="65">
        <v>15385</v>
      </c>
      <c r="M56" s="62" t="s">
        <v>220</v>
      </c>
      <c r="N56" s="62" t="s">
        <v>131</v>
      </c>
      <c r="O56" s="62" t="s">
        <v>291</v>
      </c>
      <c r="P56" s="62" t="s">
        <v>26</v>
      </c>
      <c r="Q56" s="63"/>
      <c r="R56" s="62" t="s">
        <v>208</v>
      </c>
      <c r="S56" s="62"/>
      <c r="T56" s="62"/>
      <c r="U56" s="62"/>
      <c r="V56" s="66" t="str">
        <f>IF(P56=CURSOS!$D$3,"DIPLOMADO EN ATENCION PRE-HOSPITALARIA",IF(P56=CURSOS!$D$4,"ACOMPAÑAMIENTO Y MANEJO DEL DUELO",IF(P56=CURSOS!$D$5,"ATENCION A VICTIMAS DE ATAQUE CON AGENTES QUIMICOS ",IF(P56=CURSOS!$D$6,"PRIMEROS AUXILIOS ",IF(P56=CURSOS!$D$7,"DIPLOMADO DE UNIDAD DE CUIDADOS INTENSIVOS (UCI)",IF(P56=CURSOS!$D$8,"MODELO DE ATENCION PARA EVENTOS EMERGENTES EN SALUD MENTAL (CODIGO VERDE)",IF(P56=CURSOS!$D$9,"HUMANIZACION EN EL SERVICIO DE LA SALUD Y BUENAS PRACTICAS EN PACIENTE ",IF(P56=CURSOS!$D$10,"CLINICA DE HERIDAS ",IF(P56=CURSOS!$D$11,"TOMA DE CITOLOGIA CERVICO VAGINAL ",IF(P56=CURSOS!$D$12,"SOPORTE CARDIOVASCULAR AVANZADO (ACLS) ",IF(P56=CURSOS!$D$13,"CAMILLERO ",IF(P56=CURSOS!$D$14,"TOMA DE MUESTRAS Y LABORATORIO ",IF(P56=CURSOS!$D$15,"SOPORTE VITAL BASICO (BLS)",IF(P56=CURSOS!$D$16,"ATENCION A VICTIMAS DE VIOLENCIA SEXUAL ",IF(P56=CURSOS!$D$17,"PROGRAMADO AMPLIADO DE INMUNIZACION (PAI - COVID 19)",IF(P56=CURSOS!$D$18,"ATENCION INTEGRAL EN ENFERMEDADES PREVALENTES EN PRIMERA INFANCIA (AIEPI)",IF(P56=CURSOS!$D$19,"ADMINISTRACION DE MEDICAMENTOS, INYECTOLOGIA  Y CANALIZACION ",IF(P56=CURSOS!$D$20,"OPERADOR DE VEHICULOS DE EMERGENCIA (OVE)",IF(P56=CURSOS!$D$21,"INSTITUCIONES AMIGAS DE LA MUJER Y LA INFANCIA (IAMI)",IF(P56=CURSOS!$D$22,"CUIDADO DEL DONANTE DE ORGANOS",IF(P56=CURSOS!$D$23,"ATENCION A VICTIMAS POR VIOLENCIA DE GENERO",IF(P56=CURSOS!$D$24,"IGUALDAD DE GENERO EN LA SALUD",IF(P56=CURSOS!$D$25,"BRIGADA DE EMERGENCIA",IF(P56=CURSOS!$D$26,"MANEJO DEL DOLOR Y CUIDADOS PALIATIVOS",IF(P56=CURSOS!$D$27,"TOMA DE MUESTRAS Y LABORATORIO POCT",IF(P56=CURSOS!$D$28,"IMPLANTE SUBDERMICO DE DISPOSITIVO INTRAUTERINO",IF(P56=CURSOS!$D$29,"SALUD MENTAL",IF(P56=CURSOS!$D$30,"PRIMEROS AUXILIOS PSICOLOGICOS",IF(P56=CURSOS!$D$31,"ATENCION A VICTIMAS POR CONFLICTO ARMADO",IF(P56=CURSOS!$D$32,"MANIPULACION DE ALIMENTOS Y BPM",IF(P56=CURSOS!$D$33,"ATENCION A PERSONAS CON DISCAPACIDAD",IF(P56=CURSOS!$D$34,"CUIDADO INTEGRAL DEL PACIENTE ADULTO",IF(P56=CURSOS!$D$35,"MANEJO DEFENSIVO",IF(P56=CURSOS!$D$36,"SOPORTE CARDIOVASCULAR AVANZADO NEONATAL",IF(P56=CURSOS!$D$37,"SEGURIDAD DEL PACIENTE",IF(P56=CURSOS!$D$38,"MANEJO DE RESIDUOS HOSPITALARIOS"))))))))))))))))))))))))))))))))))))</f>
        <v xml:space="preserve">PRIMEROS AUXILIOS </v>
      </c>
      <c r="W56" s="66" t="str">
        <f t="shared" si="3"/>
        <v xml:space="preserve">Doris Victoria Diaz </v>
      </c>
      <c r="X56" s="66" t="str">
        <f t="shared" si="2"/>
        <v xml:space="preserve">Doris Victoria Diaz </v>
      </c>
      <c r="Y56" s="66" t="str">
        <f t="shared" si="4"/>
        <v>Doris Victoria Diaz -27397352-PRIMEROS AUXILIOS</v>
      </c>
    </row>
    <row r="57" spans="1:25" s="60" customFormat="1" x14ac:dyDescent="0.2">
      <c r="A57" s="61">
        <v>56</v>
      </c>
      <c r="B57" s="62">
        <v>59802583</v>
      </c>
      <c r="C57" s="62" t="s">
        <v>301</v>
      </c>
      <c r="D57" s="62" t="s">
        <v>302</v>
      </c>
      <c r="E57" s="62" t="s">
        <v>303</v>
      </c>
      <c r="F57" s="62" t="s">
        <v>304</v>
      </c>
      <c r="G57" s="62">
        <v>4</v>
      </c>
      <c r="H57" s="62" t="s">
        <v>127</v>
      </c>
      <c r="I57" s="62" t="s">
        <v>128</v>
      </c>
      <c r="J57" s="63" t="s">
        <v>232</v>
      </c>
      <c r="K57" s="64">
        <v>45754</v>
      </c>
      <c r="L57" s="65">
        <v>15385</v>
      </c>
      <c r="M57" s="62" t="s">
        <v>220</v>
      </c>
      <c r="N57" s="62" t="s">
        <v>131</v>
      </c>
      <c r="O57" s="62" t="s">
        <v>291</v>
      </c>
      <c r="P57" s="62" t="s">
        <v>26</v>
      </c>
      <c r="Q57" s="63"/>
      <c r="R57" s="62" t="s">
        <v>208</v>
      </c>
      <c r="S57" s="62"/>
      <c r="T57" s="62"/>
      <c r="U57" s="62"/>
      <c r="V57" s="66" t="str">
        <f>IF(P57=CURSOS!$D$3,"DIPLOMADO EN ATENCION PRE-HOSPITALARIA",IF(P57=CURSOS!$D$4,"ACOMPAÑAMIENTO Y MANEJO DEL DUELO",IF(P57=CURSOS!$D$5,"ATENCION A VICTIMAS DE ATAQUE CON AGENTES QUIMICOS ",IF(P57=CURSOS!$D$6,"PRIMEROS AUXILIOS ",IF(P57=CURSOS!$D$7,"DIPLOMADO DE UNIDAD DE CUIDADOS INTENSIVOS (UCI)",IF(P57=CURSOS!$D$8,"MODELO DE ATENCION PARA EVENTOS EMERGENTES EN SALUD MENTAL (CODIGO VERDE)",IF(P57=CURSOS!$D$9,"HUMANIZACION EN EL SERVICIO DE LA SALUD Y BUENAS PRACTICAS EN PACIENTE ",IF(P57=CURSOS!$D$10,"CLINICA DE HERIDAS ",IF(P57=CURSOS!$D$11,"TOMA DE CITOLOGIA CERVICO VAGINAL ",IF(P57=CURSOS!$D$12,"SOPORTE CARDIOVASCULAR AVANZADO (ACLS) ",IF(P57=CURSOS!$D$13,"CAMILLERO ",IF(P57=CURSOS!$D$14,"TOMA DE MUESTRAS Y LABORATORIO ",IF(P57=CURSOS!$D$15,"SOPORTE VITAL BASICO (BLS)",IF(P57=CURSOS!$D$16,"ATENCION A VICTIMAS DE VIOLENCIA SEXUAL ",IF(P57=CURSOS!$D$17,"PROGRAMADO AMPLIADO DE INMUNIZACION (PAI - COVID 19)",IF(P57=CURSOS!$D$18,"ATENCION INTEGRAL EN ENFERMEDADES PREVALENTES EN PRIMERA INFANCIA (AIEPI)",IF(P57=CURSOS!$D$19,"ADMINISTRACION DE MEDICAMENTOS, INYECTOLOGIA  Y CANALIZACION ",IF(P57=CURSOS!$D$20,"OPERADOR DE VEHICULOS DE EMERGENCIA (OVE)",IF(P57=CURSOS!$D$21,"INSTITUCIONES AMIGAS DE LA MUJER Y LA INFANCIA (IAMI)",IF(P57=CURSOS!$D$22,"CUIDADO DEL DONANTE DE ORGANOS",IF(P57=CURSOS!$D$23,"ATENCION A VICTIMAS POR VIOLENCIA DE GENERO",IF(P57=CURSOS!$D$24,"IGUALDAD DE GENERO EN LA SALUD",IF(P57=CURSOS!$D$25,"BRIGADA DE EMERGENCIA",IF(P57=CURSOS!$D$26,"MANEJO DEL DOLOR Y CUIDADOS PALIATIVOS",IF(P57=CURSOS!$D$27,"TOMA DE MUESTRAS Y LABORATORIO POCT",IF(P57=CURSOS!$D$28,"IMPLANTE SUBDERMICO DE DISPOSITIVO INTRAUTERINO",IF(P57=CURSOS!$D$29,"SALUD MENTAL",IF(P57=CURSOS!$D$30,"PRIMEROS AUXILIOS PSICOLOGICOS",IF(P57=CURSOS!$D$31,"ATENCION A VICTIMAS POR CONFLICTO ARMADO",IF(P57=CURSOS!$D$32,"MANIPULACION DE ALIMENTOS Y BPM",IF(P57=CURSOS!$D$33,"ATENCION A PERSONAS CON DISCAPACIDAD",IF(P57=CURSOS!$D$34,"CUIDADO INTEGRAL DEL PACIENTE ADULTO",IF(P57=CURSOS!$D$35,"MANEJO DEFENSIVO",IF(P57=CURSOS!$D$36,"SOPORTE CARDIOVASCULAR AVANZADO NEONATAL",IF(P57=CURSOS!$D$37,"SEGURIDAD DEL PACIENTE",IF(P57=CURSOS!$D$38,"MANEJO DE RESIDUOS HOSPITALARIOS"))))))))))))))))))))))))))))))))))))</f>
        <v xml:space="preserve">PRIMEROS AUXILIOS </v>
      </c>
      <c r="W57" s="66" t="str">
        <f t="shared" si="3"/>
        <v>Miryam Del Carmen Quiroz Moran</v>
      </c>
      <c r="X57" s="66" t="str">
        <f t="shared" si="2"/>
        <v>Miryam Del Carmen Quiroz Moran</v>
      </c>
      <c r="Y57" s="66" t="str">
        <f t="shared" si="4"/>
        <v>Miryam Del Carmen Quiroz Moran-59802583-PRIMEROS AUXILIOS</v>
      </c>
    </row>
    <row r="58" spans="1:25" s="60" customFormat="1" x14ac:dyDescent="0.2">
      <c r="A58" s="61">
        <v>57</v>
      </c>
      <c r="B58" s="62">
        <v>27397222</v>
      </c>
      <c r="C58" s="62" t="s">
        <v>222</v>
      </c>
      <c r="D58" s="62" t="s">
        <v>305</v>
      </c>
      <c r="E58" s="62" t="s">
        <v>306</v>
      </c>
      <c r="F58" s="62" t="s">
        <v>307</v>
      </c>
      <c r="G58" s="62">
        <v>4</v>
      </c>
      <c r="H58" s="62" t="s">
        <v>127</v>
      </c>
      <c r="I58" s="62" t="s">
        <v>128</v>
      </c>
      <c r="J58" s="63" t="s">
        <v>232</v>
      </c>
      <c r="K58" s="64">
        <v>45754</v>
      </c>
      <c r="L58" s="65">
        <v>15385</v>
      </c>
      <c r="M58" s="62" t="s">
        <v>220</v>
      </c>
      <c r="N58" s="62" t="s">
        <v>131</v>
      </c>
      <c r="O58" s="62" t="s">
        <v>291</v>
      </c>
      <c r="P58" s="62" t="s">
        <v>26</v>
      </c>
      <c r="Q58" s="63"/>
      <c r="R58" s="62" t="s">
        <v>208</v>
      </c>
      <c r="S58" s="62"/>
      <c r="T58" s="62"/>
      <c r="U58" s="62"/>
      <c r="V58" s="66" t="str">
        <f>IF(P58=CURSOS!$D$3,"DIPLOMADO EN ATENCION PRE-HOSPITALARIA",IF(P58=CURSOS!$D$4,"ACOMPAÑAMIENTO Y MANEJO DEL DUELO",IF(P58=CURSOS!$D$5,"ATENCION A VICTIMAS DE ATAQUE CON AGENTES QUIMICOS ",IF(P58=CURSOS!$D$6,"PRIMEROS AUXILIOS ",IF(P58=CURSOS!$D$7,"DIPLOMADO DE UNIDAD DE CUIDADOS INTENSIVOS (UCI)",IF(P58=CURSOS!$D$8,"MODELO DE ATENCION PARA EVENTOS EMERGENTES EN SALUD MENTAL (CODIGO VERDE)",IF(P58=CURSOS!$D$9,"HUMANIZACION EN EL SERVICIO DE LA SALUD Y BUENAS PRACTICAS EN PACIENTE ",IF(P58=CURSOS!$D$10,"CLINICA DE HERIDAS ",IF(P58=CURSOS!$D$11,"TOMA DE CITOLOGIA CERVICO VAGINAL ",IF(P58=CURSOS!$D$12,"SOPORTE CARDIOVASCULAR AVANZADO (ACLS) ",IF(P58=CURSOS!$D$13,"CAMILLERO ",IF(P58=CURSOS!$D$14,"TOMA DE MUESTRAS Y LABORATORIO ",IF(P58=CURSOS!$D$15,"SOPORTE VITAL BASICO (BLS)",IF(P58=CURSOS!$D$16,"ATENCION A VICTIMAS DE VIOLENCIA SEXUAL ",IF(P58=CURSOS!$D$17,"PROGRAMADO AMPLIADO DE INMUNIZACION (PAI - COVID 19)",IF(P58=CURSOS!$D$18,"ATENCION INTEGRAL EN ENFERMEDADES PREVALENTES EN PRIMERA INFANCIA (AIEPI)",IF(P58=CURSOS!$D$19,"ADMINISTRACION DE MEDICAMENTOS, INYECTOLOGIA  Y CANALIZACION ",IF(P58=CURSOS!$D$20,"OPERADOR DE VEHICULOS DE EMERGENCIA (OVE)",IF(P58=CURSOS!$D$21,"INSTITUCIONES AMIGAS DE LA MUJER Y LA INFANCIA (IAMI)",IF(P58=CURSOS!$D$22,"CUIDADO DEL DONANTE DE ORGANOS",IF(P58=CURSOS!$D$23,"ATENCION A VICTIMAS POR VIOLENCIA DE GENERO",IF(P58=CURSOS!$D$24,"IGUALDAD DE GENERO EN LA SALUD",IF(P58=CURSOS!$D$25,"BRIGADA DE EMERGENCIA",IF(P58=CURSOS!$D$26,"MANEJO DEL DOLOR Y CUIDADOS PALIATIVOS",IF(P58=CURSOS!$D$27,"TOMA DE MUESTRAS Y LABORATORIO POCT",IF(P58=CURSOS!$D$28,"IMPLANTE SUBDERMICO DE DISPOSITIVO INTRAUTERINO",IF(P58=CURSOS!$D$29,"SALUD MENTAL",IF(P58=CURSOS!$D$30,"PRIMEROS AUXILIOS PSICOLOGICOS",IF(P58=CURSOS!$D$31,"ATENCION A VICTIMAS POR CONFLICTO ARMADO",IF(P58=CURSOS!$D$32,"MANIPULACION DE ALIMENTOS Y BPM",IF(P58=CURSOS!$D$33,"ATENCION A PERSONAS CON DISCAPACIDAD",IF(P58=CURSOS!$D$34,"CUIDADO INTEGRAL DEL PACIENTE ADULTO",IF(P58=CURSOS!$D$35,"MANEJO DEFENSIVO",IF(P58=CURSOS!$D$36,"SOPORTE CARDIOVASCULAR AVANZADO NEONATAL",IF(P58=CURSOS!$D$37,"SEGURIDAD DEL PACIENTE",IF(P58=CURSOS!$D$38,"MANEJO DE RESIDUOS HOSPITALARIOS"))))))))))))))))))))))))))))))))))))</f>
        <v xml:space="preserve">PRIMEROS AUXILIOS </v>
      </c>
      <c r="W58" s="66" t="str">
        <f t="shared" si="3"/>
        <v>Nancy Yanet Burgos Lucero</v>
      </c>
      <c r="X58" s="66" t="str">
        <f t="shared" si="2"/>
        <v>Nancy Yanet Burgos Lucero</v>
      </c>
      <c r="Y58" s="66" t="str">
        <f t="shared" si="4"/>
        <v>Nancy Yanet Burgos Lucero-27397222-PRIMEROS AUXILIOS</v>
      </c>
    </row>
    <row r="59" spans="1:25" s="60" customFormat="1" x14ac:dyDescent="0.2">
      <c r="A59" s="61">
        <v>58</v>
      </c>
      <c r="B59" s="62">
        <v>1086102898</v>
      </c>
      <c r="C59" s="62" t="s">
        <v>216</v>
      </c>
      <c r="D59" s="62" t="s">
        <v>308</v>
      </c>
      <c r="E59" s="62" t="s">
        <v>309</v>
      </c>
      <c r="F59" s="62" t="s">
        <v>310</v>
      </c>
      <c r="G59" s="62">
        <v>4</v>
      </c>
      <c r="H59" s="62" t="s">
        <v>127</v>
      </c>
      <c r="I59" s="62" t="s">
        <v>128</v>
      </c>
      <c r="J59" s="63" t="s">
        <v>232</v>
      </c>
      <c r="K59" s="64">
        <v>45754</v>
      </c>
      <c r="L59" s="65">
        <v>15385</v>
      </c>
      <c r="M59" s="62" t="s">
        <v>220</v>
      </c>
      <c r="N59" s="62" t="s">
        <v>131</v>
      </c>
      <c r="O59" s="62" t="s">
        <v>291</v>
      </c>
      <c r="P59" s="62" t="s">
        <v>26</v>
      </c>
      <c r="Q59" s="63"/>
      <c r="R59" s="62" t="s">
        <v>208</v>
      </c>
      <c r="S59" s="62"/>
      <c r="T59" s="68"/>
      <c r="U59" s="62"/>
      <c r="V59" s="66" t="str">
        <f>IF(P59=CURSOS!$D$3,"DIPLOMADO EN ATENCION PRE-HOSPITALARIA",IF(P59=CURSOS!$D$4,"ACOMPAÑAMIENTO Y MANEJO DEL DUELO",IF(P59=CURSOS!$D$5,"ATENCION A VICTIMAS DE ATAQUE CON AGENTES QUIMICOS ",IF(P59=CURSOS!$D$6,"PRIMEROS AUXILIOS ",IF(P59=CURSOS!$D$7,"DIPLOMADO DE UNIDAD DE CUIDADOS INTENSIVOS (UCI)",IF(P59=CURSOS!$D$8,"MODELO DE ATENCION PARA EVENTOS EMERGENTES EN SALUD MENTAL (CODIGO VERDE)",IF(P59=CURSOS!$D$9,"HUMANIZACION EN EL SERVICIO DE LA SALUD Y BUENAS PRACTICAS EN PACIENTE ",IF(P59=CURSOS!$D$10,"CLINICA DE HERIDAS ",IF(P59=CURSOS!$D$11,"TOMA DE CITOLOGIA CERVICO VAGINAL ",IF(P59=CURSOS!$D$12,"SOPORTE CARDIOVASCULAR AVANZADO (ACLS) ",IF(P59=CURSOS!$D$13,"CAMILLERO ",IF(P59=CURSOS!$D$14,"TOMA DE MUESTRAS Y LABORATORIO ",IF(P59=CURSOS!$D$15,"SOPORTE VITAL BASICO (BLS)",IF(P59=CURSOS!$D$16,"ATENCION A VICTIMAS DE VIOLENCIA SEXUAL ",IF(P59=CURSOS!$D$17,"PROGRAMADO AMPLIADO DE INMUNIZACION (PAI - COVID 19)",IF(P59=CURSOS!$D$18,"ATENCION INTEGRAL EN ENFERMEDADES PREVALENTES EN PRIMERA INFANCIA (AIEPI)",IF(P59=CURSOS!$D$19,"ADMINISTRACION DE MEDICAMENTOS, INYECTOLOGIA  Y CANALIZACION ",IF(P59=CURSOS!$D$20,"OPERADOR DE VEHICULOS DE EMERGENCIA (OVE)",IF(P59=CURSOS!$D$21,"INSTITUCIONES AMIGAS DE LA MUJER Y LA INFANCIA (IAMI)",IF(P59=CURSOS!$D$22,"CUIDADO DEL DONANTE DE ORGANOS",IF(P59=CURSOS!$D$23,"ATENCION A VICTIMAS POR VIOLENCIA DE GENERO",IF(P59=CURSOS!$D$24,"IGUALDAD DE GENERO EN LA SALUD",IF(P59=CURSOS!$D$25,"BRIGADA DE EMERGENCIA",IF(P59=CURSOS!$D$26,"MANEJO DEL DOLOR Y CUIDADOS PALIATIVOS",IF(P59=CURSOS!$D$27,"TOMA DE MUESTRAS Y LABORATORIO POCT",IF(P59=CURSOS!$D$28,"IMPLANTE SUBDERMICO DE DISPOSITIVO INTRAUTERINO",IF(P59=CURSOS!$D$29,"SALUD MENTAL",IF(P59=CURSOS!$D$30,"PRIMEROS AUXILIOS PSICOLOGICOS",IF(P59=CURSOS!$D$31,"ATENCION A VICTIMAS POR CONFLICTO ARMADO",IF(P59=CURSOS!$D$32,"MANIPULACION DE ALIMENTOS Y BPM",IF(P59=CURSOS!$D$33,"ATENCION A PERSONAS CON DISCAPACIDAD",IF(P59=CURSOS!$D$34,"CUIDADO INTEGRAL DEL PACIENTE ADULTO",IF(P59=CURSOS!$D$35,"MANEJO DEFENSIVO",IF(P59=CURSOS!$D$36,"SOPORTE CARDIOVASCULAR AVANZADO NEONATAL",IF(P59=CURSOS!$D$37,"SEGURIDAD DEL PACIENTE",IF(P59=CURSOS!$D$38,"MANEJO DE RESIDUOS HOSPITALARIOS"))))))))))))))))))))))))))))))))))))</f>
        <v xml:space="preserve">PRIMEROS AUXILIOS </v>
      </c>
      <c r="W59" s="66" t="str">
        <f t="shared" si="3"/>
        <v>Yady Emilcen Rosero Bravo</v>
      </c>
      <c r="X59" s="66" t="str">
        <f t="shared" si="2"/>
        <v>Yady Emilcen Rosero Bravo</v>
      </c>
      <c r="Y59" s="66" t="str">
        <f t="shared" si="4"/>
        <v>Yady Emilcen Rosero Bravo-1086102898-PRIMEROS AUXILIOS</v>
      </c>
    </row>
    <row r="60" spans="1:25" s="60" customFormat="1" x14ac:dyDescent="0.2">
      <c r="A60" s="61">
        <v>59</v>
      </c>
      <c r="B60" s="62">
        <v>59802455</v>
      </c>
      <c r="C60" s="62" t="s">
        <v>311</v>
      </c>
      <c r="D60" s="62" t="s">
        <v>312</v>
      </c>
      <c r="E60" s="62" t="s">
        <v>313</v>
      </c>
      <c r="F60" s="62" t="s">
        <v>314</v>
      </c>
      <c r="G60" s="62">
        <v>4</v>
      </c>
      <c r="H60" s="62" t="s">
        <v>127</v>
      </c>
      <c r="I60" s="62" t="s">
        <v>128</v>
      </c>
      <c r="J60" s="63" t="s">
        <v>232</v>
      </c>
      <c r="K60" s="64">
        <v>45754</v>
      </c>
      <c r="L60" s="65">
        <v>15385</v>
      </c>
      <c r="M60" s="62" t="s">
        <v>220</v>
      </c>
      <c r="N60" s="62" t="s">
        <v>131</v>
      </c>
      <c r="O60" s="62" t="s">
        <v>291</v>
      </c>
      <c r="P60" s="62" t="s">
        <v>26</v>
      </c>
      <c r="Q60" s="63"/>
      <c r="R60" s="62" t="s">
        <v>208</v>
      </c>
      <c r="S60" s="68"/>
      <c r="T60" s="62"/>
      <c r="U60" s="62"/>
      <c r="V60" s="66" t="str">
        <f>IF(P60=CURSOS!$D$3,"DIPLOMADO EN ATENCION PRE-HOSPITALARIA",IF(P60=CURSOS!$D$4,"ACOMPAÑAMIENTO Y MANEJO DEL DUELO",IF(P60=CURSOS!$D$5,"ATENCION A VICTIMAS DE ATAQUE CON AGENTES QUIMICOS ",IF(P60=CURSOS!$D$6,"PRIMEROS AUXILIOS ",IF(P60=CURSOS!$D$7,"DIPLOMADO DE UNIDAD DE CUIDADOS INTENSIVOS (UCI)",IF(P60=CURSOS!$D$8,"MODELO DE ATENCION PARA EVENTOS EMERGENTES EN SALUD MENTAL (CODIGO VERDE)",IF(P60=CURSOS!$D$9,"HUMANIZACION EN EL SERVICIO DE LA SALUD Y BUENAS PRACTICAS EN PACIENTE ",IF(P60=CURSOS!$D$10,"CLINICA DE HERIDAS ",IF(P60=CURSOS!$D$11,"TOMA DE CITOLOGIA CERVICO VAGINAL ",IF(P60=CURSOS!$D$12,"SOPORTE CARDIOVASCULAR AVANZADO (ACLS) ",IF(P60=CURSOS!$D$13,"CAMILLERO ",IF(P60=CURSOS!$D$14,"TOMA DE MUESTRAS Y LABORATORIO ",IF(P60=CURSOS!$D$15,"SOPORTE VITAL BASICO (BLS)",IF(P60=CURSOS!$D$16,"ATENCION A VICTIMAS DE VIOLENCIA SEXUAL ",IF(P60=CURSOS!$D$17,"PROGRAMADO AMPLIADO DE INMUNIZACION (PAI - COVID 19)",IF(P60=CURSOS!$D$18,"ATENCION INTEGRAL EN ENFERMEDADES PREVALENTES EN PRIMERA INFANCIA (AIEPI)",IF(P60=CURSOS!$D$19,"ADMINISTRACION DE MEDICAMENTOS, INYECTOLOGIA  Y CANALIZACION ",IF(P60=CURSOS!$D$20,"OPERADOR DE VEHICULOS DE EMERGENCIA (OVE)",IF(P60=CURSOS!$D$21,"INSTITUCIONES AMIGAS DE LA MUJER Y LA INFANCIA (IAMI)",IF(P60=CURSOS!$D$22,"CUIDADO DEL DONANTE DE ORGANOS",IF(P60=CURSOS!$D$23,"ATENCION A VICTIMAS POR VIOLENCIA DE GENERO",IF(P60=CURSOS!$D$24,"IGUALDAD DE GENERO EN LA SALUD",IF(P60=CURSOS!$D$25,"BRIGADA DE EMERGENCIA",IF(P60=CURSOS!$D$26,"MANEJO DEL DOLOR Y CUIDADOS PALIATIVOS",IF(P60=CURSOS!$D$27,"TOMA DE MUESTRAS Y LABORATORIO POCT",IF(P60=CURSOS!$D$28,"IMPLANTE SUBDERMICO DE DISPOSITIVO INTRAUTERINO",IF(P60=CURSOS!$D$29,"SALUD MENTAL",IF(P60=CURSOS!$D$30,"PRIMEROS AUXILIOS PSICOLOGICOS",IF(P60=CURSOS!$D$31,"ATENCION A VICTIMAS POR CONFLICTO ARMADO",IF(P60=CURSOS!$D$32,"MANIPULACION DE ALIMENTOS Y BPM",IF(P60=CURSOS!$D$33,"ATENCION A PERSONAS CON DISCAPACIDAD",IF(P60=CURSOS!$D$34,"CUIDADO INTEGRAL DEL PACIENTE ADULTO",IF(P60=CURSOS!$D$35,"MANEJO DEFENSIVO",IF(P60=CURSOS!$D$36,"SOPORTE CARDIOVASCULAR AVANZADO NEONATAL",IF(P60=CURSOS!$D$37,"SEGURIDAD DEL PACIENTE",IF(P60=CURSOS!$D$38,"MANEJO DE RESIDUOS HOSPITALARIOS"))))))))))))))))))))))))))))))))))))</f>
        <v xml:space="preserve">PRIMEROS AUXILIOS </v>
      </c>
      <c r="W60" s="66" t="str">
        <f t="shared" si="3"/>
        <v>Claudia Beronica Morillo Rodriguez</v>
      </c>
      <c r="X60" s="66" t="str">
        <f t="shared" si="2"/>
        <v>Claudia Beronica Morillo Rodriguez</v>
      </c>
      <c r="Y60" s="66" t="str">
        <f t="shared" si="4"/>
        <v>Claudia Beronica Morillo Rodriguez-59802455-PRIMEROS AUXILIOS</v>
      </c>
    </row>
    <row r="61" spans="1:25" s="60" customFormat="1" x14ac:dyDescent="0.2">
      <c r="A61" s="61">
        <v>60</v>
      </c>
      <c r="B61" s="62">
        <v>1088594435</v>
      </c>
      <c r="C61" s="62" t="s">
        <v>159</v>
      </c>
      <c r="D61" s="62" t="s">
        <v>315</v>
      </c>
      <c r="E61" s="62" t="s">
        <v>150</v>
      </c>
      <c r="F61" s="62" t="s">
        <v>316</v>
      </c>
      <c r="G61" s="62">
        <v>14</v>
      </c>
      <c r="H61" s="62" t="s">
        <v>235</v>
      </c>
      <c r="I61" s="62" t="s">
        <v>226</v>
      </c>
      <c r="J61" s="63" t="s">
        <v>232</v>
      </c>
      <c r="K61" s="64">
        <v>45750</v>
      </c>
      <c r="L61" s="65">
        <v>40000</v>
      </c>
      <c r="M61" s="62" t="s">
        <v>220</v>
      </c>
      <c r="N61" s="62" t="s">
        <v>131</v>
      </c>
      <c r="O61" s="62" t="s">
        <v>250</v>
      </c>
      <c r="P61" s="62" t="s">
        <v>32</v>
      </c>
      <c r="Q61" s="63"/>
      <c r="R61" s="62" t="s">
        <v>208</v>
      </c>
      <c r="S61" s="62" t="s">
        <v>332</v>
      </c>
      <c r="T61" s="68"/>
      <c r="U61" s="62" t="s">
        <v>317</v>
      </c>
      <c r="V61" s="66" t="str">
        <f>IF(P61=CURSOS!$D$3,"DIPLOMADO EN ATENCION PRE-HOSPITALARIA",IF(P61=CURSOS!$D$4,"ACOMPAÑAMIENTO Y MANEJO DEL DUELO",IF(P61=CURSOS!$D$5,"ATENCION A VICTIMAS DE ATAQUE CON AGENTES QUIMICOS ",IF(P61=CURSOS!$D$6,"PRIMEROS AUXILIOS ",IF(P61=CURSOS!$D$7,"DIPLOMADO DE UNIDAD DE CUIDADOS INTENSIVOS (UCI)",IF(P61=CURSOS!$D$8,"MODELO DE ATENCION PARA EVENTOS EMERGENTES EN SALUD MENTAL (CODIGO VERDE)",IF(P61=CURSOS!$D$9,"HUMANIZACION EN EL SERVICIO DE LA SALUD Y BUENAS PRACTICAS EN PACIENTE ",IF(P61=CURSOS!$D$10,"CLINICA DE HERIDAS ",IF(P61=CURSOS!$D$11,"TOMA DE CITOLOGIA CERVICO VAGINAL ",IF(P61=CURSOS!$D$12,"SOPORTE CARDIOVASCULAR AVANZADO (ACLS) ",IF(P61=CURSOS!$D$13,"CAMILLERO ",IF(P61=CURSOS!$D$14,"TOMA DE MUESTRAS Y LABORATORIO ",IF(P61=CURSOS!$D$15,"SOPORTE VITAL BASICO (BLS)",IF(P61=CURSOS!$D$16,"ATENCION A VICTIMAS DE VIOLENCIA SEXUAL ",IF(P61=CURSOS!$D$17,"PROGRAMADO AMPLIADO DE INMUNIZACION (PAI - COVID 19)",IF(P61=CURSOS!$D$18,"ATENCION INTEGRAL EN ENFERMEDADES PREVALENTES EN PRIMERA INFANCIA (AIEPI)",IF(P61=CURSOS!$D$19,"ADMINISTRACION DE MEDICAMENTOS, INYECTOLOGIA  Y CANALIZACION ",IF(P61=CURSOS!$D$20,"OPERADOR DE VEHICULOS DE EMERGENCIA (OVE)",IF(P61=CURSOS!$D$21,"INSTITUCIONES AMIGAS DE LA MUJER Y LA INFANCIA (IAMI)",IF(P61=CURSOS!$D$22,"CUIDADO DEL DONANTE DE ORGANOS",IF(P61=CURSOS!$D$23,"ATENCION A VICTIMAS POR VIOLENCIA DE GENERO",IF(P61=CURSOS!$D$24,"IGUALDAD DE GENERO EN LA SALUD",IF(P61=CURSOS!$D$25,"BRIGADA DE EMERGENCIA",IF(P61=CURSOS!$D$26,"MANEJO DEL DOLOR Y CUIDADOS PALIATIVOS",IF(P61=CURSOS!$D$27,"TOMA DE MUESTRAS Y LABORATORIO POCT",IF(P61=CURSOS!$D$28,"IMPLANTE SUBDERMICO DE DISPOSITIVO INTRAUTERINO",IF(P61=CURSOS!$D$29,"SALUD MENTAL",IF(P61=CURSOS!$D$30,"PRIMEROS AUXILIOS PSICOLOGICOS",IF(P61=CURSOS!$D$31,"ATENCION A VICTIMAS POR CONFLICTO ARMADO",IF(P61=CURSOS!$D$32,"MANIPULACION DE ALIMENTOS Y BPM",IF(P61=CURSOS!$D$33,"ATENCION A PERSONAS CON DISCAPACIDAD",IF(P61=CURSOS!$D$34,"CUIDADO INTEGRAL DEL PACIENTE ADULTO",IF(P61=CURSOS!$D$35,"MANEJO DEFENSIVO",IF(P61=CURSOS!$D$36,"SOPORTE CARDIOVASCULAR AVANZADO NEONATAL",IF(P61=CURSOS!$D$37,"SEGURIDAD DEL PACIENTE",IF(P61=CURSOS!$D$38,"MANEJO DE RESIDUOS HOSPITALARIOS"))))))))))))))))))))))))))))))))))))</f>
        <v xml:space="preserve">HUMANIZACION EN EL SERVICIO DE LA SALUD Y BUENAS PRACTICAS EN PACIENTE </v>
      </c>
      <c r="W61" s="66" t="str">
        <f t="shared" si="3"/>
        <v>Maria Elena Erazo Cuaical</v>
      </c>
      <c r="X61" s="66" t="str">
        <f t="shared" si="2"/>
        <v>Maria Elena Erazo Cuaical</v>
      </c>
      <c r="Y61" s="66" t="str">
        <f t="shared" si="4"/>
        <v>Maria Elena Erazo Cuaical-1088594435-HUMANIZACION</v>
      </c>
    </row>
    <row r="62" spans="1:25" s="60" customFormat="1" x14ac:dyDescent="0.2">
      <c r="A62" s="61">
        <v>61</v>
      </c>
      <c r="B62" s="62">
        <v>59305053</v>
      </c>
      <c r="C62" s="62" t="s">
        <v>318</v>
      </c>
      <c r="D62" s="62" t="s">
        <v>319</v>
      </c>
      <c r="E62" s="62" t="s">
        <v>179</v>
      </c>
      <c r="F62" s="62" t="s">
        <v>297</v>
      </c>
      <c r="G62" s="62">
        <v>4</v>
      </c>
      <c r="H62" s="62" t="s">
        <v>127</v>
      </c>
      <c r="I62" s="62" t="s">
        <v>128</v>
      </c>
      <c r="J62" s="63" t="s">
        <v>232</v>
      </c>
      <c r="K62" s="64">
        <v>45754</v>
      </c>
      <c r="L62" s="65">
        <v>15385</v>
      </c>
      <c r="M62" s="62" t="s">
        <v>220</v>
      </c>
      <c r="N62" s="62" t="s">
        <v>131</v>
      </c>
      <c r="O62" s="62" t="s">
        <v>291</v>
      </c>
      <c r="P62" s="62" t="s">
        <v>26</v>
      </c>
      <c r="Q62" s="63"/>
      <c r="R62" s="62" t="s">
        <v>208</v>
      </c>
      <c r="S62" s="62"/>
      <c r="T62" s="68"/>
      <c r="U62" s="62"/>
      <c r="V62" s="66" t="str">
        <f>IF(P62=CURSOS!$D$3,"DIPLOMADO EN ATENCION PRE-HOSPITALARIA",IF(P62=CURSOS!$D$4,"ACOMPAÑAMIENTO Y MANEJO DEL DUELO",IF(P62=CURSOS!$D$5,"ATENCION A VICTIMAS DE ATAQUE CON AGENTES QUIMICOS ",IF(P62=CURSOS!$D$6,"PRIMEROS AUXILIOS ",IF(P62=CURSOS!$D$7,"DIPLOMADO DE UNIDAD DE CUIDADOS INTENSIVOS (UCI)",IF(P62=CURSOS!$D$8,"MODELO DE ATENCION PARA EVENTOS EMERGENTES EN SALUD MENTAL (CODIGO VERDE)",IF(P62=CURSOS!$D$9,"HUMANIZACION EN EL SERVICIO DE LA SALUD Y BUENAS PRACTICAS EN PACIENTE ",IF(P62=CURSOS!$D$10,"CLINICA DE HERIDAS ",IF(P62=CURSOS!$D$11,"TOMA DE CITOLOGIA CERVICO VAGINAL ",IF(P62=CURSOS!$D$12,"SOPORTE CARDIOVASCULAR AVANZADO (ACLS) ",IF(P62=CURSOS!$D$13,"CAMILLERO ",IF(P62=CURSOS!$D$14,"TOMA DE MUESTRAS Y LABORATORIO ",IF(P62=CURSOS!$D$15,"SOPORTE VITAL BASICO (BLS)",IF(P62=CURSOS!$D$16,"ATENCION A VICTIMAS DE VIOLENCIA SEXUAL ",IF(P62=CURSOS!$D$17,"PROGRAMADO AMPLIADO DE INMUNIZACION (PAI - COVID 19)",IF(P62=CURSOS!$D$18,"ATENCION INTEGRAL EN ENFERMEDADES PREVALENTES EN PRIMERA INFANCIA (AIEPI)",IF(P62=CURSOS!$D$19,"ADMINISTRACION DE MEDICAMENTOS, INYECTOLOGIA  Y CANALIZACION ",IF(P62=CURSOS!$D$20,"OPERADOR DE VEHICULOS DE EMERGENCIA (OVE)",IF(P62=CURSOS!$D$21,"INSTITUCIONES AMIGAS DE LA MUJER Y LA INFANCIA (IAMI)",IF(P62=CURSOS!$D$22,"CUIDADO DEL DONANTE DE ORGANOS",IF(P62=CURSOS!$D$23,"ATENCION A VICTIMAS POR VIOLENCIA DE GENERO",IF(P62=CURSOS!$D$24,"IGUALDAD DE GENERO EN LA SALUD",IF(P62=CURSOS!$D$25,"BRIGADA DE EMERGENCIA",IF(P62=CURSOS!$D$26,"MANEJO DEL DOLOR Y CUIDADOS PALIATIVOS",IF(P62=CURSOS!$D$27,"TOMA DE MUESTRAS Y LABORATORIO POCT",IF(P62=CURSOS!$D$28,"IMPLANTE SUBDERMICO DE DISPOSITIVO INTRAUTERINO",IF(P62=CURSOS!$D$29,"SALUD MENTAL",IF(P62=CURSOS!$D$30,"PRIMEROS AUXILIOS PSICOLOGICOS",IF(P62=CURSOS!$D$31,"ATENCION A VICTIMAS POR CONFLICTO ARMADO",IF(P62=CURSOS!$D$32,"MANIPULACION DE ALIMENTOS Y BPM",IF(P62=CURSOS!$D$33,"ATENCION A PERSONAS CON DISCAPACIDAD",IF(P62=CURSOS!$D$34,"CUIDADO INTEGRAL DEL PACIENTE ADULTO",IF(P62=CURSOS!$D$35,"MANEJO DEFENSIVO",IF(P62=CURSOS!$D$36,"SOPORTE CARDIOVASCULAR AVANZADO NEONATAL",IF(P62=CURSOS!$D$37,"SEGURIDAD DEL PACIENTE",IF(P62=CURSOS!$D$38,"MANEJO DE RESIDUOS HOSPITALARIOS"))))))))))))))))))))))))))))))))))))</f>
        <v xml:space="preserve">PRIMEROS AUXILIOS </v>
      </c>
      <c r="W62" s="66" t="str">
        <f t="shared" si="3"/>
        <v>Patricia Rubiela Huertas Velazco</v>
      </c>
      <c r="X62" s="66" t="str">
        <f t="shared" si="2"/>
        <v>Patricia Rubiela Huertas Velazco</v>
      </c>
      <c r="Y62" s="66" t="str">
        <f t="shared" si="4"/>
        <v>Patricia Rubiela Huertas Velazco-59305053-PRIMEROS AUXILIOS</v>
      </c>
    </row>
    <row r="63" spans="1:25" s="60" customFormat="1" x14ac:dyDescent="0.2">
      <c r="A63" s="61">
        <v>62</v>
      </c>
      <c r="B63" s="62">
        <v>27394110</v>
      </c>
      <c r="C63" s="62" t="s">
        <v>320</v>
      </c>
      <c r="D63" s="62" t="s">
        <v>321</v>
      </c>
      <c r="E63" s="62" t="s">
        <v>322</v>
      </c>
      <c r="F63" s="62"/>
      <c r="G63" s="62">
        <v>4</v>
      </c>
      <c r="H63" s="62" t="s">
        <v>127</v>
      </c>
      <c r="I63" s="62" t="s">
        <v>128</v>
      </c>
      <c r="J63" s="63" t="s">
        <v>232</v>
      </c>
      <c r="K63" s="64">
        <v>45754</v>
      </c>
      <c r="L63" s="65">
        <v>15385</v>
      </c>
      <c r="M63" s="62" t="s">
        <v>220</v>
      </c>
      <c r="N63" s="62" t="s">
        <v>131</v>
      </c>
      <c r="O63" s="62" t="s">
        <v>291</v>
      </c>
      <c r="P63" s="62" t="s">
        <v>26</v>
      </c>
      <c r="Q63" s="63"/>
      <c r="R63" s="62" t="s">
        <v>208</v>
      </c>
      <c r="S63" s="62"/>
      <c r="T63" s="68"/>
      <c r="U63" s="62"/>
      <c r="V63" s="66" t="str">
        <f>IF(P63=CURSOS!$D$3,"DIPLOMADO EN ATENCION PRE-HOSPITALARIA",IF(P63=CURSOS!$D$4,"ACOMPAÑAMIENTO Y MANEJO DEL DUELO",IF(P63=CURSOS!$D$5,"ATENCION A VICTIMAS DE ATAQUE CON AGENTES QUIMICOS ",IF(P63=CURSOS!$D$6,"PRIMEROS AUXILIOS ",IF(P63=CURSOS!$D$7,"DIPLOMADO DE UNIDAD DE CUIDADOS INTENSIVOS (UCI)",IF(P63=CURSOS!$D$8,"MODELO DE ATENCION PARA EVENTOS EMERGENTES EN SALUD MENTAL (CODIGO VERDE)",IF(P63=CURSOS!$D$9,"HUMANIZACION EN EL SERVICIO DE LA SALUD Y BUENAS PRACTICAS EN PACIENTE ",IF(P63=CURSOS!$D$10,"CLINICA DE HERIDAS ",IF(P63=CURSOS!$D$11,"TOMA DE CITOLOGIA CERVICO VAGINAL ",IF(P63=CURSOS!$D$12,"SOPORTE CARDIOVASCULAR AVANZADO (ACLS) ",IF(P63=CURSOS!$D$13,"CAMILLERO ",IF(P63=CURSOS!$D$14,"TOMA DE MUESTRAS Y LABORATORIO ",IF(P63=CURSOS!$D$15,"SOPORTE VITAL BASICO (BLS)",IF(P63=CURSOS!$D$16,"ATENCION A VICTIMAS DE VIOLENCIA SEXUAL ",IF(P63=CURSOS!$D$17,"PROGRAMADO AMPLIADO DE INMUNIZACION (PAI - COVID 19)",IF(P63=CURSOS!$D$18,"ATENCION INTEGRAL EN ENFERMEDADES PREVALENTES EN PRIMERA INFANCIA (AIEPI)",IF(P63=CURSOS!$D$19,"ADMINISTRACION DE MEDICAMENTOS, INYECTOLOGIA  Y CANALIZACION ",IF(P63=CURSOS!$D$20,"OPERADOR DE VEHICULOS DE EMERGENCIA (OVE)",IF(P63=CURSOS!$D$21,"INSTITUCIONES AMIGAS DE LA MUJER Y LA INFANCIA (IAMI)",IF(P63=CURSOS!$D$22,"CUIDADO DEL DONANTE DE ORGANOS",IF(P63=CURSOS!$D$23,"ATENCION A VICTIMAS POR VIOLENCIA DE GENERO",IF(P63=CURSOS!$D$24,"IGUALDAD DE GENERO EN LA SALUD",IF(P63=CURSOS!$D$25,"BRIGADA DE EMERGENCIA",IF(P63=CURSOS!$D$26,"MANEJO DEL DOLOR Y CUIDADOS PALIATIVOS",IF(P63=CURSOS!$D$27,"TOMA DE MUESTRAS Y LABORATORIO POCT",IF(P63=CURSOS!$D$28,"IMPLANTE SUBDERMICO DE DISPOSITIVO INTRAUTERINO",IF(P63=CURSOS!$D$29,"SALUD MENTAL",IF(P63=CURSOS!$D$30,"PRIMEROS AUXILIOS PSICOLOGICOS",IF(P63=CURSOS!$D$31,"ATENCION A VICTIMAS POR CONFLICTO ARMADO",IF(P63=CURSOS!$D$32,"MANIPULACION DE ALIMENTOS Y BPM",IF(P63=CURSOS!$D$33,"ATENCION A PERSONAS CON DISCAPACIDAD",IF(P63=CURSOS!$D$34,"CUIDADO INTEGRAL DEL PACIENTE ADULTO",IF(P63=CURSOS!$D$35,"MANEJO DEFENSIVO",IF(P63=CURSOS!$D$36,"SOPORTE CARDIOVASCULAR AVANZADO NEONATAL",IF(P63=CURSOS!$D$37,"SEGURIDAD DEL PACIENTE",IF(P63=CURSOS!$D$38,"MANEJO DE RESIDUOS HOSPITALARIOS"))))))))))))))))))))))))))))))))))))</f>
        <v xml:space="preserve">PRIMEROS AUXILIOS </v>
      </c>
      <c r="W63" s="66" t="str">
        <f t="shared" si="3"/>
        <v>Ninfa  Contreras De Rosero</v>
      </c>
      <c r="X63" s="66" t="str">
        <f t="shared" si="2"/>
        <v>Ninfa  Contreras De Rosero</v>
      </c>
      <c r="Y63" s="66" t="str">
        <f t="shared" si="4"/>
        <v>Ninfa  Contreras De Rosero-27394110-PRIMEROS AUXILIOS</v>
      </c>
    </row>
    <row r="64" spans="1:25" s="60" customFormat="1" x14ac:dyDescent="0.2">
      <c r="A64" s="61">
        <v>63</v>
      </c>
      <c r="B64" s="62">
        <v>27395657</v>
      </c>
      <c r="C64" s="62" t="s">
        <v>323</v>
      </c>
      <c r="D64" s="62" t="s">
        <v>324</v>
      </c>
      <c r="E64" s="62" t="s">
        <v>290</v>
      </c>
      <c r="F64" s="62" t="s">
        <v>325</v>
      </c>
      <c r="G64" s="62">
        <v>4</v>
      </c>
      <c r="H64" s="62" t="s">
        <v>127</v>
      </c>
      <c r="I64" s="62" t="s">
        <v>128</v>
      </c>
      <c r="J64" s="63" t="s">
        <v>232</v>
      </c>
      <c r="K64" s="64">
        <v>45754</v>
      </c>
      <c r="L64" s="65">
        <v>15385</v>
      </c>
      <c r="M64" s="62" t="s">
        <v>220</v>
      </c>
      <c r="N64" s="62" t="s">
        <v>131</v>
      </c>
      <c r="O64" s="62" t="s">
        <v>291</v>
      </c>
      <c r="P64" s="62" t="s">
        <v>26</v>
      </c>
      <c r="Q64" s="63"/>
      <c r="R64" s="62" t="s">
        <v>208</v>
      </c>
      <c r="S64" s="68"/>
      <c r="T64" s="62"/>
      <c r="U64" s="62"/>
      <c r="V64" s="66" t="str">
        <f>IF(P64=CURSOS!$D$3,"DIPLOMADO EN ATENCION PRE-HOSPITALARIA",IF(P64=CURSOS!$D$4,"ACOMPAÑAMIENTO Y MANEJO DEL DUELO",IF(P64=CURSOS!$D$5,"ATENCION A VICTIMAS DE ATAQUE CON AGENTES QUIMICOS ",IF(P64=CURSOS!$D$6,"PRIMEROS AUXILIOS ",IF(P64=CURSOS!$D$7,"DIPLOMADO DE UNIDAD DE CUIDADOS INTENSIVOS (UCI)",IF(P64=CURSOS!$D$8,"MODELO DE ATENCION PARA EVENTOS EMERGENTES EN SALUD MENTAL (CODIGO VERDE)",IF(P64=CURSOS!$D$9,"HUMANIZACION EN EL SERVICIO DE LA SALUD Y BUENAS PRACTICAS EN PACIENTE ",IF(P64=CURSOS!$D$10,"CLINICA DE HERIDAS ",IF(P64=CURSOS!$D$11,"TOMA DE CITOLOGIA CERVICO VAGINAL ",IF(P64=CURSOS!$D$12,"SOPORTE CARDIOVASCULAR AVANZADO (ACLS) ",IF(P64=CURSOS!$D$13,"CAMILLERO ",IF(P64=CURSOS!$D$14,"TOMA DE MUESTRAS Y LABORATORIO ",IF(P64=CURSOS!$D$15,"SOPORTE VITAL BASICO (BLS)",IF(P64=CURSOS!$D$16,"ATENCION A VICTIMAS DE VIOLENCIA SEXUAL ",IF(P64=CURSOS!$D$17,"PROGRAMADO AMPLIADO DE INMUNIZACION (PAI - COVID 19)",IF(P64=CURSOS!$D$18,"ATENCION INTEGRAL EN ENFERMEDADES PREVALENTES EN PRIMERA INFANCIA (AIEPI)",IF(P64=CURSOS!$D$19,"ADMINISTRACION DE MEDICAMENTOS, INYECTOLOGIA  Y CANALIZACION ",IF(P64=CURSOS!$D$20,"OPERADOR DE VEHICULOS DE EMERGENCIA (OVE)",IF(P64=CURSOS!$D$21,"INSTITUCIONES AMIGAS DE LA MUJER Y LA INFANCIA (IAMI)",IF(P64=CURSOS!$D$22,"CUIDADO DEL DONANTE DE ORGANOS",IF(P64=CURSOS!$D$23,"ATENCION A VICTIMAS POR VIOLENCIA DE GENERO",IF(P64=CURSOS!$D$24,"IGUALDAD DE GENERO EN LA SALUD",IF(P64=CURSOS!$D$25,"BRIGADA DE EMERGENCIA",IF(P64=CURSOS!$D$26,"MANEJO DEL DOLOR Y CUIDADOS PALIATIVOS",IF(P64=CURSOS!$D$27,"TOMA DE MUESTRAS Y LABORATORIO POCT",IF(P64=CURSOS!$D$28,"IMPLANTE SUBDERMICO DE DISPOSITIVO INTRAUTERINO",IF(P64=CURSOS!$D$29,"SALUD MENTAL",IF(P64=CURSOS!$D$30,"PRIMEROS AUXILIOS PSICOLOGICOS",IF(P64=CURSOS!$D$31,"ATENCION A VICTIMAS POR CONFLICTO ARMADO",IF(P64=CURSOS!$D$32,"MANIPULACION DE ALIMENTOS Y BPM",IF(P64=CURSOS!$D$33,"ATENCION A PERSONAS CON DISCAPACIDAD",IF(P64=CURSOS!$D$34,"CUIDADO INTEGRAL DEL PACIENTE ADULTO",IF(P64=CURSOS!$D$35,"MANEJO DEFENSIVO",IF(P64=CURSOS!$D$36,"SOPORTE CARDIOVASCULAR AVANZADO NEONATAL",IF(P64=CURSOS!$D$37,"SEGURIDAD DEL PACIENTE",IF(P64=CURSOS!$D$38,"MANEJO DE RESIDUOS HOSPITALARIOS"))))))))))))))))))))))))))))))))))))</f>
        <v xml:space="preserve">PRIMEROS AUXILIOS </v>
      </c>
      <c r="W64" s="66" t="str">
        <f t="shared" si="3"/>
        <v>Alba Fidelia Jansasoy Chicaiza</v>
      </c>
      <c r="X64" s="66" t="str">
        <f t="shared" si="2"/>
        <v>Alba Fidelia Jansasoy Chicaiza</v>
      </c>
      <c r="Y64" s="66" t="str">
        <f t="shared" si="4"/>
        <v>Alba Fidelia Jansasoy Chicaiza-27395657-PRIMEROS AUXILIOS</v>
      </c>
    </row>
    <row r="65" spans="1:25" s="60" customFormat="1" x14ac:dyDescent="0.2">
      <c r="A65" s="61">
        <v>64</v>
      </c>
      <c r="B65" s="62">
        <v>27396120</v>
      </c>
      <c r="C65" s="62" t="s">
        <v>326</v>
      </c>
      <c r="D65" s="62" t="s">
        <v>327</v>
      </c>
      <c r="E65" s="62" t="s">
        <v>328</v>
      </c>
      <c r="F65" s="62" t="s">
        <v>329</v>
      </c>
      <c r="G65" s="62">
        <v>4</v>
      </c>
      <c r="H65" s="62" t="s">
        <v>127</v>
      </c>
      <c r="I65" s="62" t="s">
        <v>128</v>
      </c>
      <c r="J65" s="63" t="s">
        <v>232</v>
      </c>
      <c r="K65" s="64">
        <v>45754</v>
      </c>
      <c r="L65" s="65">
        <v>15385</v>
      </c>
      <c r="M65" s="62" t="s">
        <v>220</v>
      </c>
      <c r="N65" s="62" t="s">
        <v>131</v>
      </c>
      <c r="O65" s="62" t="s">
        <v>291</v>
      </c>
      <c r="P65" s="62" t="s">
        <v>26</v>
      </c>
      <c r="Q65" s="63"/>
      <c r="R65" s="62" t="s">
        <v>208</v>
      </c>
      <c r="S65" s="68"/>
      <c r="T65" s="62"/>
      <c r="U65" s="62"/>
      <c r="V65" s="66" t="str">
        <f>IF(P65=CURSOS!$D$3,"DIPLOMADO EN ATENCION PRE-HOSPITALARIA",IF(P65=CURSOS!$D$4,"ACOMPAÑAMIENTO Y MANEJO DEL DUELO",IF(P65=CURSOS!$D$5,"ATENCION A VICTIMAS DE ATAQUE CON AGENTES QUIMICOS ",IF(P65=CURSOS!$D$6,"PRIMEROS AUXILIOS ",IF(P65=CURSOS!$D$7,"DIPLOMADO DE UNIDAD DE CUIDADOS INTENSIVOS (UCI)",IF(P65=CURSOS!$D$8,"MODELO DE ATENCION PARA EVENTOS EMERGENTES EN SALUD MENTAL (CODIGO VERDE)",IF(P65=CURSOS!$D$9,"HUMANIZACION EN EL SERVICIO DE LA SALUD Y BUENAS PRACTICAS EN PACIENTE ",IF(P65=CURSOS!$D$10,"CLINICA DE HERIDAS ",IF(P65=CURSOS!$D$11,"TOMA DE CITOLOGIA CERVICO VAGINAL ",IF(P65=CURSOS!$D$12,"SOPORTE CARDIOVASCULAR AVANZADO (ACLS) ",IF(P65=CURSOS!$D$13,"CAMILLERO ",IF(P65=CURSOS!$D$14,"TOMA DE MUESTRAS Y LABORATORIO ",IF(P65=CURSOS!$D$15,"SOPORTE VITAL BASICO (BLS)",IF(P65=CURSOS!$D$16,"ATENCION A VICTIMAS DE VIOLENCIA SEXUAL ",IF(P65=CURSOS!$D$17,"PROGRAMADO AMPLIADO DE INMUNIZACION (PAI - COVID 19)",IF(P65=CURSOS!$D$18,"ATENCION INTEGRAL EN ENFERMEDADES PREVALENTES EN PRIMERA INFANCIA (AIEPI)",IF(P65=CURSOS!$D$19,"ADMINISTRACION DE MEDICAMENTOS, INYECTOLOGIA  Y CANALIZACION ",IF(P65=CURSOS!$D$20,"OPERADOR DE VEHICULOS DE EMERGENCIA (OVE)",IF(P65=CURSOS!$D$21,"INSTITUCIONES AMIGAS DE LA MUJER Y LA INFANCIA (IAMI)",IF(P65=CURSOS!$D$22,"CUIDADO DEL DONANTE DE ORGANOS",IF(P65=CURSOS!$D$23,"ATENCION A VICTIMAS POR VIOLENCIA DE GENERO",IF(P65=CURSOS!$D$24,"IGUALDAD DE GENERO EN LA SALUD",IF(P65=CURSOS!$D$25,"BRIGADA DE EMERGENCIA",IF(P65=CURSOS!$D$26,"MANEJO DEL DOLOR Y CUIDADOS PALIATIVOS",IF(P65=CURSOS!$D$27,"TOMA DE MUESTRAS Y LABORATORIO POCT",IF(P65=CURSOS!$D$28,"IMPLANTE SUBDERMICO DE DISPOSITIVO INTRAUTERINO",IF(P65=CURSOS!$D$29,"SALUD MENTAL",IF(P65=CURSOS!$D$30,"PRIMEROS AUXILIOS PSICOLOGICOS",IF(P65=CURSOS!$D$31,"ATENCION A VICTIMAS POR CONFLICTO ARMADO",IF(P65=CURSOS!$D$32,"MANIPULACION DE ALIMENTOS Y BPM",IF(P65=CURSOS!$D$33,"ATENCION A PERSONAS CON DISCAPACIDAD",IF(P65=CURSOS!$D$34,"CUIDADO INTEGRAL DEL PACIENTE ADULTO",IF(P65=CURSOS!$D$35,"MANEJO DEFENSIVO",IF(P65=CURSOS!$D$36,"SOPORTE CARDIOVASCULAR AVANZADO NEONATAL",IF(P65=CURSOS!$D$37,"SEGURIDAD DEL PACIENTE",IF(P65=CURSOS!$D$38,"MANEJO DE RESIDUOS HOSPITALARIOS"))))))))))))))))))))))))))))))))))))</f>
        <v xml:space="preserve">PRIMEROS AUXILIOS </v>
      </c>
      <c r="W65" s="66" t="str">
        <f t="shared" si="3"/>
        <v>Nubia Margarita Tapia Chamorro</v>
      </c>
      <c r="X65" s="66" t="str">
        <f t="shared" si="2"/>
        <v>Nubia Margarita Tapia Chamorro</v>
      </c>
      <c r="Y65" s="66" t="str">
        <f t="shared" si="4"/>
        <v>Nubia Margarita Tapia Chamorro-27396120-PRIMEROS AUXILIOS</v>
      </c>
    </row>
    <row r="66" spans="1:25" s="60" customFormat="1" x14ac:dyDescent="0.2">
      <c r="A66" s="61">
        <v>65</v>
      </c>
      <c r="B66" s="62">
        <v>27396430</v>
      </c>
      <c r="C66" s="62" t="s">
        <v>327</v>
      </c>
      <c r="D66" s="62" t="s">
        <v>198</v>
      </c>
      <c r="E66" s="62" t="s">
        <v>134</v>
      </c>
      <c r="F66" s="62" t="s">
        <v>179</v>
      </c>
      <c r="G66" s="62">
        <v>4</v>
      </c>
      <c r="H66" s="62" t="s">
        <v>127</v>
      </c>
      <c r="I66" s="62" t="s">
        <v>128</v>
      </c>
      <c r="J66" s="63" t="s">
        <v>232</v>
      </c>
      <c r="K66" s="64">
        <v>45754</v>
      </c>
      <c r="L66" s="65">
        <v>15385</v>
      </c>
      <c r="M66" s="62" t="s">
        <v>220</v>
      </c>
      <c r="N66" s="62" t="s">
        <v>131</v>
      </c>
      <c r="O66" s="62" t="s">
        <v>291</v>
      </c>
      <c r="P66" s="62" t="s">
        <v>26</v>
      </c>
      <c r="Q66" s="63"/>
      <c r="R66" s="62" t="s">
        <v>208</v>
      </c>
      <c r="S66" s="68"/>
      <c r="T66" s="62"/>
      <c r="U66" s="62"/>
      <c r="V66" s="66" t="str">
        <f>IF(P66=CURSOS!$D$3,"DIPLOMADO EN ATENCION PRE-HOSPITALARIA",IF(P66=CURSOS!$D$4,"ACOMPAÑAMIENTO Y MANEJO DEL DUELO",IF(P66=CURSOS!$D$5,"ATENCION A VICTIMAS DE ATAQUE CON AGENTES QUIMICOS ",IF(P66=CURSOS!$D$6,"PRIMEROS AUXILIOS ",IF(P66=CURSOS!$D$7,"DIPLOMADO DE UNIDAD DE CUIDADOS INTENSIVOS (UCI)",IF(P66=CURSOS!$D$8,"MODELO DE ATENCION PARA EVENTOS EMERGENTES EN SALUD MENTAL (CODIGO VERDE)",IF(P66=CURSOS!$D$9,"HUMANIZACION EN EL SERVICIO DE LA SALUD Y BUENAS PRACTICAS EN PACIENTE ",IF(P66=CURSOS!$D$10,"CLINICA DE HERIDAS ",IF(P66=CURSOS!$D$11,"TOMA DE CITOLOGIA CERVICO VAGINAL ",IF(P66=CURSOS!$D$12,"SOPORTE CARDIOVASCULAR AVANZADO (ACLS) ",IF(P66=CURSOS!$D$13,"CAMILLERO ",IF(P66=CURSOS!$D$14,"TOMA DE MUESTRAS Y LABORATORIO ",IF(P66=CURSOS!$D$15,"SOPORTE VITAL BASICO (BLS)",IF(P66=CURSOS!$D$16,"ATENCION A VICTIMAS DE VIOLENCIA SEXUAL ",IF(P66=CURSOS!$D$17,"PROGRAMADO AMPLIADO DE INMUNIZACION (PAI - COVID 19)",IF(P66=CURSOS!$D$18,"ATENCION INTEGRAL EN ENFERMEDADES PREVALENTES EN PRIMERA INFANCIA (AIEPI)",IF(P66=CURSOS!$D$19,"ADMINISTRACION DE MEDICAMENTOS, INYECTOLOGIA  Y CANALIZACION ",IF(P66=CURSOS!$D$20,"OPERADOR DE VEHICULOS DE EMERGENCIA (OVE)",IF(P66=CURSOS!$D$21,"INSTITUCIONES AMIGAS DE LA MUJER Y LA INFANCIA (IAMI)",IF(P66=CURSOS!$D$22,"CUIDADO DEL DONANTE DE ORGANOS",IF(P66=CURSOS!$D$23,"ATENCION A VICTIMAS POR VIOLENCIA DE GENERO",IF(P66=CURSOS!$D$24,"IGUALDAD DE GENERO EN LA SALUD",IF(P66=CURSOS!$D$25,"BRIGADA DE EMERGENCIA",IF(P66=CURSOS!$D$26,"MANEJO DEL DOLOR Y CUIDADOS PALIATIVOS",IF(P66=CURSOS!$D$27,"TOMA DE MUESTRAS Y LABORATORIO POCT",IF(P66=CURSOS!$D$28,"IMPLANTE SUBDERMICO DE DISPOSITIVO INTRAUTERINO",IF(P66=CURSOS!$D$29,"SALUD MENTAL",IF(P66=CURSOS!$D$30,"PRIMEROS AUXILIOS PSICOLOGICOS",IF(P66=CURSOS!$D$31,"ATENCION A VICTIMAS POR CONFLICTO ARMADO",IF(P66=CURSOS!$D$32,"MANIPULACION DE ALIMENTOS Y BPM",IF(P66=CURSOS!$D$33,"ATENCION A PERSONAS CON DISCAPACIDAD",IF(P66=CURSOS!$D$34,"CUIDADO INTEGRAL DEL PACIENTE ADULTO",IF(P66=CURSOS!$D$35,"MANEJO DEFENSIVO",IF(P66=CURSOS!$D$36,"SOPORTE CARDIOVASCULAR AVANZADO NEONATAL",IF(P66=CURSOS!$D$37,"SEGURIDAD DEL PACIENTE",IF(P66=CURSOS!$D$38,"MANEJO DE RESIDUOS HOSPITALARIOS"))))))))))))))))))))))))))))))))))))</f>
        <v xml:space="preserve">PRIMEROS AUXILIOS </v>
      </c>
      <c r="W66" s="66" t="str">
        <f t="shared" si="3"/>
        <v>Ana Patricia Chamorro Hernandez</v>
      </c>
      <c r="X66" s="66" t="str">
        <f t="shared" si="2"/>
        <v>Ana Patricia Chamorro Hernandez</v>
      </c>
      <c r="Y66" s="66" t="str">
        <f t="shared" si="4"/>
        <v>Ana Patricia Chamorro Hernandez-27396430-PRIMEROS AUXILIOS</v>
      </c>
    </row>
    <row r="67" spans="1:25" s="60" customFormat="1" x14ac:dyDescent="0.2">
      <c r="A67" s="61">
        <v>66</v>
      </c>
      <c r="B67" s="62">
        <v>1004666550</v>
      </c>
      <c r="C67" s="62" t="s">
        <v>99</v>
      </c>
      <c r="D67" s="62" t="s">
        <v>279</v>
      </c>
      <c r="E67" s="62" t="s">
        <v>150</v>
      </c>
      <c r="F67" s="62" t="s">
        <v>200</v>
      </c>
      <c r="G67" s="62">
        <v>4</v>
      </c>
      <c r="H67" s="62" t="s">
        <v>127</v>
      </c>
      <c r="I67" s="63" t="s">
        <v>128</v>
      </c>
      <c r="J67" s="63" t="s">
        <v>334</v>
      </c>
      <c r="K67" s="64">
        <v>45751</v>
      </c>
      <c r="L67" s="65">
        <v>25000</v>
      </c>
      <c r="M67" s="62" t="s">
        <v>220</v>
      </c>
      <c r="N67" s="62" t="s">
        <v>131</v>
      </c>
      <c r="O67" s="62" t="s">
        <v>331</v>
      </c>
      <c r="P67" s="62" t="s">
        <v>19</v>
      </c>
      <c r="Q67" s="63">
        <v>37643</v>
      </c>
      <c r="R67" s="62" t="s">
        <v>208</v>
      </c>
      <c r="S67" s="97" t="s">
        <v>332</v>
      </c>
      <c r="T67" s="68">
        <v>3197421995</v>
      </c>
      <c r="U67" s="82" t="s">
        <v>333</v>
      </c>
      <c r="V67" s="66" t="str">
        <f>IF(P67=CURSOS!$D$3,"DIPLOMADO EN ATENCION PRE-HOSPITALARIA",IF(P67=CURSOS!$D$4,"ACOMPAÑAMIENTO Y MANEJO DEL DUELO",IF(P67=CURSOS!$D$5,"ATENCION A VICTIMAS DE ATAQUE CON AGENTES QUIMICOS ",IF(P67=CURSOS!$D$6,"PRIMEROS AUXILIOS ",IF(P67=CURSOS!$D$7,"DIPLOMADO DE UNIDAD DE CUIDADOS INTENSIVOS (UCI)",IF(P67=CURSOS!$D$8,"MODELO DE ATENCION PARA EVENTOS EMERGENTES EN SALUD MENTAL (CODIGO VERDE)",IF(P67=CURSOS!$D$9,"HUMANIZACION EN EL SERVICIO DE LA SALUD Y BUENAS PRACTICAS EN PACIENTE ",IF(P67=CURSOS!$D$10,"CLINICA DE HERIDAS ",IF(P67=CURSOS!$D$11,"TOMA DE CITOLOGIA CERVICO VAGINAL ",IF(P67=CURSOS!$D$12,"SOPORTE CARDIOVASCULAR AVANZADO (ACLS) ",IF(P67=CURSOS!$D$13,"CAMILLERO ",IF(P67=CURSOS!$D$14,"TOMA DE MUESTRAS Y LABORATORIO ",IF(P67=CURSOS!$D$15,"SOPORTE VITAL BASICO (BLS)",IF(P67=CURSOS!$D$16,"ATENCION A VICTIMAS DE VIOLENCIA SEXUAL ",IF(P67=CURSOS!$D$17,"PROGRAMADO AMPLIADO DE INMUNIZACION (PAI - COVID 19)",IF(P67=CURSOS!$D$18,"ATENCION INTEGRAL EN ENFERMEDADES PREVALENTES EN PRIMERA INFANCIA (AIEPI)",IF(P67=CURSOS!$D$19,"ADMINISTRACION DE MEDICAMENTOS, INYECTOLOGIA  Y CANALIZACION ",IF(P67=CURSOS!$D$20,"OPERADOR DE VEHICULOS DE EMERGENCIA (OVE)",IF(P67=CURSOS!$D$21,"INSTITUCIONES AMIGAS DE LA MUJER Y LA INFANCIA (IAMI)",IF(P67=CURSOS!$D$22,"CUIDADO DEL DONANTE DE ORGANOS",IF(P67=CURSOS!$D$23,"ATENCION A VICTIMAS POR VIOLENCIA DE GENERO",IF(P67=CURSOS!$D$24,"IGUALDAD DE GENERO EN LA SALUD",IF(P67=CURSOS!$D$25,"BRIGADA DE EMERGENCIA",IF(P67=CURSOS!$D$26,"MANEJO DEL DOLOR Y CUIDADOS PALIATIVOS",IF(P67=CURSOS!$D$27,"TOMA DE MUESTRAS Y LABORATORIO POCT",IF(P67=CURSOS!$D$28,"IMPLANTE SUBDERMICO DE DISPOSITIVO INTRAUTERINO",IF(P67=CURSOS!$D$29,"SALUD MENTAL",IF(P67=CURSOS!$D$30,"PRIMEROS AUXILIOS PSICOLOGICOS",IF(P67=CURSOS!$D$31,"ATENCION A VICTIMAS POR CONFLICTO ARMADO",IF(P67=CURSOS!$D$32,"MANIPULACION DE ALIMENTOS Y BPM",IF(P67=CURSOS!$D$33,"ATENCION A PERSONAS CON DISCAPACIDAD",IF(P67=CURSOS!$D$34,"CUIDADO INTEGRAL DEL PACIENTE ADULTO",IF(P67=CURSOS!$D$35,"MANEJO DEFENSIVO",IF(P67=CURSOS!$D$36,"SOPORTE CARDIOVASCULAR AVANZADO NEONATAL",IF(P67=CURSOS!$D$37,"SEGURIDAD DEL PACIENTE",IF(P67=CURSOS!$D$38,"MANEJO DE RESIDUOS HOSPITALARIOS"))))))))))))))))))))))))))))))))))))</f>
        <v>SOPORTE VITAL BASICO (BLS)</v>
      </c>
      <c r="W67" s="66" t="str">
        <f t="shared" ref="W67:W130" si="5">CONCATENATE(E67," ",F67," ",C67," ",D67)</f>
        <v>Maria Fernanda Trejo Guerrero</v>
      </c>
      <c r="X67" s="66" t="str">
        <f t="shared" ref="X67:X130" si="6">PROPER(W67)</f>
        <v>Maria Fernanda Trejo Guerrero</v>
      </c>
      <c r="Y67" s="66" t="str">
        <f t="shared" ref="Y67:Y130" si="7">CONCATENATE(W67,"-",B67,"-",P67)</f>
        <v>Maria Fernanda Trejo Guerrero-1004666550-BLS</v>
      </c>
    </row>
    <row r="68" spans="1:25" s="60" customFormat="1" x14ac:dyDescent="0.2">
      <c r="A68" s="61">
        <v>67</v>
      </c>
      <c r="B68" s="62">
        <v>1085907263</v>
      </c>
      <c r="C68" s="62" t="s">
        <v>335</v>
      </c>
      <c r="D68" s="62" t="s">
        <v>336</v>
      </c>
      <c r="E68" s="62" t="s">
        <v>142</v>
      </c>
      <c r="F68" s="62" t="s">
        <v>179</v>
      </c>
      <c r="G68" s="62">
        <v>4</v>
      </c>
      <c r="H68" s="62" t="s">
        <v>127</v>
      </c>
      <c r="I68" s="62" t="s">
        <v>226</v>
      </c>
      <c r="J68" s="63" t="s">
        <v>334</v>
      </c>
      <c r="K68" s="64">
        <v>45751</v>
      </c>
      <c r="L68" s="83">
        <v>35000</v>
      </c>
      <c r="M68" s="62" t="s">
        <v>220</v>
      </c>
      <c r="N68" s="62" t="s">
        <v>131</v>
      </c>
      <c r="O68" s="62" t="s">
        <v>257</v>
      </c>
      <c r="P68" s="62" t="s">
        <v>19</v>
      </c>
      <c r="Q68" s="63">
        <v>32190</v>
      </c>
      <c r="R68" s="62" t="s">
        <v>208</v>
      </c>
      <c r="S68" s="97" t="s">
        <v>337</v>
      </c>
      <c r="T68" s="62">
        <v>3234830817</v>
      </c>
      <c r="U68" s="62" t="s">
        <v>338</v>
      </c>
      <c r="V68" s="66" t="str">
        <f>IF(P68=CURSOS!$D$3,"DIPLOMADO EN ATENCION PRE-HOSPITALARIA",IF(P68=CURSOS!$D$4,"ACOMPAÑAMIENTO Y MANEJO DEL DUELO",IF(P68=CURSOS!$D$5,"ATENCION A VICTIMAS DE ATAQUE CON AGENTES QUIMICOS ",IF(P68=CURSOS!$D$6,"PRIMEROS AUXILIOS ",IF(P68=CURSOS!$D$7,"DIPLOMADO DE UNIDAD DE CUIDADOS INTENSIVOS (UCI)",IF(P68=CURSOS!$D$8,"MODELO DE ATENCION PARA EVENTOS EMERGENTES EN SALUD MENTAL (CODIGO VERDE)",IF(P68=CURSOS!$D$9,"HUMANIZACION EN EL SERVICIO DE LA SALUD Y BUENAS PRACTICAS EN PACIENTE ",IF(P68=CURSOS!$D$10,"CLINICA DE HERIDAS ",IF(P68=CURSOS!$D$11,"TOMA DE CITOLOGIA CERVICO VAGINAL ",IF(P68=CURSOS!$D$12,"SOPORTE CARDIOVASCULAR AVANZADO (ACLS) ",IF(P68=CURSOS!$D$13,"CAMILLERO ",IF(P68=CURSOS!$D$14,"TOMA DE MUESTRAS Y LABORATORIO ",IF(P68=CURSOS!$D$15,"SOPORTE VITAL BASICO (BLS)",IF(P68=CURSOS!$D$16,"ATENCION A VICTIMAS DE VIOLENCIA SEXUAL ",IF(P68=CURSOS!$D$17,"PROGRAMADO AMPLIADO DE INMUNIZACION (PAI - COVID 19)",IF(P68=CURSOS!$D$18,"ATENCION INTEGRAL EN ENFERMEDADES PREVALENTES EN PRIMERA INFANCIA (AIEPI)",IF(P68=CURSOS!$D$19,"ADMINISTRACION DE MEDICAMENTOS, INYECTOLOGIA  Y CANALIZACION ",IF(P68=CURSOS!$D$20,"OPERADOR DE VEHICULOS DE EMERGENCIA (OVE)",IF(P68=CURSOS!$D$21,"INSTITUCIONES AMIGAS DE LA MUJER Y LA INFANCIA (IAMI)",IF(P68=CURSOS!$D$22,"CUIDADO DEL DONANTE DE ORGANOS",IF(P68=CURSOS!$D$23,"ATENCION A VICTIMAS POR VIOLENCIA DE GENERO",IF(P68=CURSOS!$D$24,"IGUALDAD DE GENERO EN LA SALUD",IF(P68=CURSOS!$D$25,"BRIGADA DE EMERGENCIA",IF(P68=CURSOS!$D$26,"MANEJO DEL DOLOR Y CUIDADOS PALIATIVOS",IF(P68=CURSOS!$D$27,"TOMA DE MUESTRAS Y LABORATORIO POCT",IF(P68=CURSOS!$D$28,"IMPLANTE SUBDERMICO DE DISPOSITIVO INTRAUTERINO",IF(P68=CURSOS!$D$29,"SALUD MENTAL",IF(P68=CURSOS!$D$30,"PRIMEROS AUXILIOS PSICOLOGICOS",IF(P68=CURSOS!$D$31,"ATENCION A VICTIMAS POR CONFLICTO ARMADO",IF(P68=CURSOS!$D$32,"MANIPULACION DE ALIMENTOS Y BPM",IF(P68=CURSOS!$D$33,"ATENCION A PERSONAS CON DISCAPACIDAD",IF(P68=CURSOS!$D$34,"CUIDADO INTEGRAL DEL PACIENTE ADULTO",IF(P68=CURSOS!$D$35,"MANEJO DEFENSIVO",IF(P68=CURSOS!$D$36,"SOPORTE CARDIOVASCULAR AVANZADO NEONATAL",IF(P68=CURSOS!$D$37,"SEGURIDAD DEL PACIENTE",IF(P68=CURSOS!$D$38,"MANEJO DE RESIDUOS HOSPITALARIOS"))))))))))))))))))))))))))))))))))))</f>
        <v>SOPORTE VITAL BASICO (BLS)</v>
      </c>
      <c r="W68" s="66" t="str">
        <f t="shared" si="5"/>
        <v>Angela Patricia Soto Montenegro</v>
      </c>
      <c r="X68" s="66" t="str">
        <f t="shared" si="6"/>
        <v>Angela Patricia Soto Montenegro</v>
      </c>
      <c r="Y68" s="66" t="str">
        <f t="shared" si="7"/>
        <v>Angela Patricia Soto Montenegro-1085907263-BLS</v>
      </c>
    </row>
    <row r="69" spans="1:25" s="60" customFormat="1" x14ac:dyDescent="0.2">
      <c r="A69" s="61">
        <v>68</v>
      </c>
      <c r="B69" s="62">
        <v>1085907263</v>
      </c>
      <c r="C69" s="62" t="s">
        <v>335</v>
      </c>
      <c r="D69" s="62" t="s">
        <v>336</v>
      </c>
      <c r="E69" s="62" t="s">
        <v>142</v>
      </c>
      <c r="F69" s="62" t="s">
        <v>179</v>
      </c>
      <c r="G69" s="62">
        <v>3</v>
      </c>
      <c r="H69" s="62" t="s">
        <v>127</v>
      </c>
      <c r="I69" s="62" t="s">
        <v>226</v>
      </c>
      <c r="J69" s="63" t="s">
        <v>334</v>
      </c>
      <c r="K69" s="64">
        <v>45751</v>
      </c>
      <c r="L69" s="83">
        <v>35000</v>
      </c>
      <c r="M69" s="62" t="s">
        <v>220</v>
      </c>
      <c r="N69" s="62" t="s">
        <v>131</v>
      </c>
      <c r="O69" s="62" t="s">
        <v>257</v>
      </c>
      <c r="P69" s="62" t="s">
        <v>23</v>
      </c>
      <c r="Q69" s="63">
        <v>32190</v>
      </c>
      <c r="R69" s="62" t="s">
        <v>208</v>
      </c>
      <c r="S69" s="97" t="s">
        <v>337</v>
      </c>
      <c r="T69" s="62">
        <v>3234830817</v>
      </c>
      <c r="U69" s="62" t="s">
        <v>338</v>
      </c>
      <c r="V69" s="66" t="str">
        <f>IF(P69=CURSOS!$D$3,"DIPLOMADO EN ATENCION PRE-HOSPITALARIA",IF(P69=CURSOS!$D$4,"ACOMPAÑAMIENTO Y MANEJO DEL DUELO",IF(P69=CURSOS!$D$5,"ATENCION A VICTIMAS DE ATAQUE CON AGENTES QUIMICOS ",IF(P69=CURSOS!$D$6,"PRIMEROS AUXILIOS ",IF(P69=CURSOS!$D$7,"DIPLOMADO DE UNIDAD DE CUIDADOS INTENSIVOS (UCI)",IF(P69=CURSOS!$D$8,"MODELO DE ATENCION PARA EVENTOS EMERGENTES EN SALUD MENTAL (CODIGO VERDE)",IF(P69=CURSOS!$D$9,"HUMANIZACION EN EL SERVICIO DE LA SALUD Y BUENAS PRACTICAS EN PACIENTE ",IF(P69=CURSOS!$D$10,"CLINICA DE HERIDAS ",IF(P69=CURSOS!$D$11,"TOMA DE CITOLOGIA CERVICO VAGINAL ",IF(P69=CURSOS!$D$12,"SOPORTE CARDIOVASCULAR AVANZADO (ACLS) ",IF(P69=CURSOS!$D$13,"CAMILLERO ",IF(P69=CURSOS!$D$14,"TOMA DE MUESTRAS Y LABORATORIO ",IF(P69=CURSOS!$D$15,"SOPORTE VITAL BASICO (BLS)",IF(P69=CURSOS!$D$16,"ATENCION A VICTIMAS DE VIOLENCIA SEXUAL ",IF(P69=CURSOS!$D$17,"PROGRAMADO AMPLIADO DE INMUNIZACION (PAI - COVID 19)",IF(P69=CURSOS!$D$18,"ATENCION INTEGRAL EN ENFERMEDADES PREVALENTES EN PRIMERA INFANCIA (AIEPI)",IF(P69=CURSOS!$D$19,"ADMINISTRACION DE MEDICAMENTOS, INYECTOLOGIA  Y CANALIZACION ",IF(P69=CURSOS!$D$20,"OPERADOR DE VEHICULOS DE EMERGENCIA (OVE)",IF(P69=CURSOS!$D$21,"INSTITUCIONES AMIGAS DE LA MUJER Y LA INFANCIA (IAMI)",IF(P69=CURSOS!$D$22,"CUIDADO DEL DONANTE DE ORGANOS",IF(P69=CURSOS!$D$23,"ATENCION A VICTIMAS POR VIOLENCIA DE GENERO",IF(P69=CURSOS!$D$24,"IGUALDAD DE GENERO EN LA SALUD",IF(P69=CURSOS!$D$25,"BRIGADA DE EMERGENCIA",IF(P69=CURSOS!$D$26,"MANEJO DEL DOLOR Y CUIDADOS PALIATIVOS",IF(P69=CURSOS!$D$27,"TOMA DE MUESTRAS Y LABORATORIO POCT",IF(P69=CURSOS!$D$28,"IMPLANTE SUBDERMICO DE DISPOSITIVO INTRAUTERINO",IF(P69=CURSOS!$D$29,"SALUD MENTAL",IF(P69=CURSOS!$D$30,"PRIMEROS AUXILIOS PSICOLOGICOS",IF(P69=CURSOS!$D$31,"ATENCION A VICTIMAS POR CONFLICTO ARMADO",IF(P69=CURSOS!$D$32,"MANIPULACION DE ALIMENTOS Y BPM",IF(P69=CURSOS!$D$33,"ATENCION A PERSONAS CON DISCAPACIDAD",IF(P69=CURSOS!$D$34,"CUIDADO INTEGRAL DEL PACIENTE ADULTO",IF(P69=CURSOS!$D$35,"MANEJO DEFENSIVO",IF(P69=CURSOS!$D$36,"SOPORTE CARDIOVASCULAR AVANZADO NEONATAL",IF(P69=CURSOS!$D$37,"SEGURIDAD DEL PACIENTE",IF(P69=CURSOS!$D$38,"MANEJO DE RESIDUOS HOSPITALARIOS"))))))))))))))))))))))))))))))))))))</f>
        <v>ACOMPAÑAMIENTO Y MANEJO DEL DUELO</v>
      </c>
      <c r="W69" s="66" t="str">
        <f t="shared" si="5"/>
        <v>Angela Patricia Soto Montenegro</v>
      </c>
      <c r="X69" s="66" t="str">
        <f t="shared" si="6"/>
        <v>Angela Patricia Soto Montenegro</v>
      </c>
      <c r="Y69" s="66" t="str">
        <f t="shared" si="7"/>
        <v>Angela Patricia Soto Montenegro-1085907263-DUELO</v>
      </c>
    </row>
    <row r="70" spans="1:25" s="60" customFormat="1" x14ac:dyDescent="0.2">
      <c r="A70" s="61">
        <v>69</v>
      </c>
      <c r="B70" s="62">
        <v>1085907263</v>
      </c>
      <c r="C70" s="62" t="s">
        <v>335</v>
      </c>
      <c r="D70" s="62" t="s">
        <v>336</v>
      </c>
      <c r="E70" s="62" t="s">
        <v>142</v>
      </c>
      <c r="F70" s="62" t="s">
        <v>179</v>
      </c>
      <c r="G70" s="62">
        <v>2</v>
      </c>
      <c r="H70" s="62" t="s">
        <v>127</v>
      </c>
      <c r="I70" s="62" t="s">
        <v>226</v>
      </c>
      <c r="J70" s="63" t="s">
        <v>334</v>
      </c>
      <c r="K70" s="64">
        <v>45751</v>
      </c>
      <c r="L70" s="83">
        <v>35000</v>
      </c>
      <c r="M70" s="62" t="s">
        <v>220</v>
      </c>
      <c r="N70" s="62" t="s">
        <v>131</v>
      </c>
      <c r="O70" s="62" t="s">
        <v>257</v>
      </c>
      <c r="P70" s="62" t="s">
        <v>57</v>
      </c>
      <c r="Q70" s="63">
        <v>32190</v>
      </c>
      <c r="R70" s="62" t="s">
        <v>208</v>
      </c>
      <c r="S70" s="97" t="s">
        <v>337</v>
      </c>
      <c r="T70" s="62">
        <v>3234830817</v>
      </c>
      <c r="U70" s="62" t="s">
        <v>338</v>
      </c>
      <c r="V70" s="66" t="str">
        <f>IF(P70=CURSOS!$D$3,"DIPLOMADO EN ATENCION PRE-HOSPITALARIA",IF(P70=CURSOS!$D$4,"ACOMPAÑAMIENTO Y MANEJO DEL DUELO",IF(P70=CURSOS!$D$5,"ATENCION A VICTIMAS DE ATAQUE CON AGENTES QUIMICOS ",IF(P70=CURSOS!$D$6,"PRIMEROS AUXILIOS ",IF(P70=CURSOS!$D$7,"DIPLOMADO DE UNIDAD DE CUIDADOS INTENSIVOS (UCI)",IF(P70=CURSOS!$D$8,"MODELO DE ATENCION PARA EVENTOS EMERGENTES EN SALUD MENTAL (CODIGO VERDE)",IF(P70=CURSOS!$D$9,"HUMANIZACION EN EL SERVICIO DE LA SALUD Y BUENAS PRACTICAS EN PACIENTE ",IF(P70=CURSOS!$D$10,"CLINICA DE HERIDAS ",IF(P70=CURSOS!$D$11,"TOMA DE CITOLOGIA CERVICO VAGINAL ",IF(P70=CURSOS!$D$12,"SOPORTE CARDIOVASCULAR AVANZADO (ACLS) ",IF(P70=CURSOS!$D$13,"CAMILLERO ",IF(P70=CURSOS!$D$14,"TOMA DE MUESTRAS Y LABORATORIO ",IF(P70=CURSOS!$D$15,"SOPORTE VITAL BASICO (BLS)",IF(P70=CURSOS!$D$16,"ATENCION A VICTIMAS DE VIOLENCIA SEXUAL ",IF(P70=CURSOS!$D$17,"PROGRAMADO AMPLIADO DE INMUNIZACION (PAI - COVID 19)",IF(P70=CURSOS!$D$18,"ATENCION INTEGRAL EN ENFERMEDADES PREVALENTES EN PRIMERA INFANCIA (AIEPI)",IF(P70=CURSOS!$D$19,"ADMINISTRACION DE MEDICAMENTOS, INYECTOLOGIA  Y CANALIZACION ",IF(P70=CURSOS!$D$20,"OPERADOR DE VEHICULOS DE EMERGENCIA (OVE)",IF(P70=CURSOS!$D$21,"INSTITUCIONES AMIGAS DE LA MUJER Y LA INFANCIA (IAMI)",IF(P70=CURSOS!$D$22,"CUIDADO DEL DONANTE DE ORGANOS",IF(P70=CURSOS!$D$23,"ATENCION A VICTIMAS POR VIOLENCIA DE GENERO",IF(P70=CURSOS!$D$24,"IGUALDAD DE GENERO EN LA SALUD",IF(P70=CURSOS!$D$25,"BRIGADA DE EMERGENCIA",IF(P70=CURSOS!$D$26,"MANEJO DEL DOLOR Y CUIDADOS PALIATIVOS",IF(P70=CURSOS!$D$27,"TOMA DE MUESTRAS Y LABORATORIO POCT",IF(P70=CURSOS!$D$28,"IMPLANTE SUBDERMICO DE DISPOSITIVO INTRAUTERINO",IF(P70=CURSOS!$D$29,"SALUD MENTAL",IF(P70=CURSOS!$D$30,"PRIMEROS AUXILIOS PSICOLOGICOS",IF(P70=CURSOS!$D$31,"ATENCION A VICTIMAS POR CONFLICTO ARMADO",IF(P70=CURSOS!$D$32,"MANIPULACION DE ALIMENTOS Y BPM",IF(P70=CURSOS!$D$33,"ATENCION A PERSONAS CON DISCAPACIDAD",IF(P70=CURSOS!$D$34,"CUIDADO INTEGRAL DEL PACIENTE ADULTO",IF(P70=CURSOS!$D$35,"MANEJO DEFENSIVO",IF(P70=CURSOS!$D$36,"SOPORTE CARDIOVASCULAR AVANZADO NEONATAL",IF(P70=CURSOS!$D$37,"SEGURIDAD DEL PACIENTE",IF(P70=CURSOS!$D$38,"MANEJO DE RESIDUOS HOSPITALARIOS"))))))))))))))))))))))))))))))))))))</f>
        <v>MANEJO DEL DOLOR Y CUIDADOS PALIATIVOS</v>
      </c>
      <c r="W70" s="66" t="str">
        <f t="shared" si="5"/>
        <v>Angela Patricia Soto Montenegro</v>
      </c>
      <c r="X70" s="66" t="str">
        <f t="shared" si="6"/>
        <v>Angela Patricia Soto Montenegro</v>
      </c>
      <c r="Y70" s="66" t="str">
        <f t="shared" si="7"/>
        <v>Angela Patricia Soto Montenegro-1085907263-PALIATIVOS</v>
      </c>
    </row>
    <row r="71" spans="1:25" s="60" customFormat="1" x14ac:dyDescent="0.2">
      <c r="A71" s="61">
        <v>70</v>
      </c>
      <c r="B71" s="62">
        <v>1085898476</v>
      </c>
      <c r="C71" s="62" t="s">
        <v>339</v>
      </c>
      <c r="D71" s="62" t="s">
        <v>340</v>
      </c>
      <c r="E71" s="62" t="s">
        <v>341</v>
      </c>
      <c r="F71" s="62" t="s">
        <v>225</v>
      </c>
      <c r="G71" s="62">
        <v>4</v>
      </c>
      <c r="H71" s="62" t="s">
        <v>127</v>
      </c>
      <c r="I71" s="62" t="s">
        <v>226</v>
      </c>
      <c r="J71" s="63" t="s">
        <v>334</v>
      </c>
      <c r="K71" s="64">
        <v>45751</v>
      </c>
      <c r="L71" s="83">
        <v>40000</v>
      </c>
      <c r="M71" s="62" t="s">
        <v>220</v>
      </c>
      <c r="N71" s="62" t="s">
        <v>131</v>
      </c>
      <c r="O71" s="62" t="s">
        <v>257</v>
      </c>
      <c r="P71" s="62" t="s">
        <v>19</v>
      </c>
      <c r="Q71" s="63">
        <v>31565</v>
      </c>
      <c r="R71" s="62" t="s">
        <v>208</v>
      </c>
      <c r="S71" s="97" t="s">
        <v>337</v>
      </c>
      <c r="T71" s="62">
        <v>3128714848</v>
      </c>
      <c r="U71" s="62" t="s">
        <v>342</v>
      </c>
      <c r="V71" s="66" t="str">
        <f>IF(P71=CURSOS!$D$3,"DIPLOMADO EN ATENCION PRE-HOSPITALARIA",IF(P71=CURSOS!$D$4,"ACOMPAÑAMIENTO Y MANEJO DEL DUELO",IF(P71=CURSOS!$D$5,"ATENCION A VICTIMAS DE ATAQUE CON AGENTES QUIMICOS ",IF(P71=CURSOS!$D$6,"PRIMEROS AUXILIOS ",IF(P71=CURSOS!$D$7,"DIPLOMADO DE UNIDAD DE CUIDADOS INTENSIVOS (UCI)",IF(P71=CURSOS!$D$8,"MODELO DE ATENCION PARA EVENTOS EMERGENTES EN SALUD MENTAL (CODIGO VERDE)",IF(P71=CURSOS!$D$9,"HUMANIZACION EN EL SERVICIO DE LA SALUD Y BUENAS PRACTICAS EN PACIENTE ",IF(P71=CURSOS!$D$10,"CLINICA DE HERIDAS ",IF(P71=CURSOS!$D$11,"TOMA DE CITOLOGIA CERVICO VAGINAL ",IF(P71=CURSOS!$D$12,"SOPORTE CARDIOVASCULAR AVANZADO (ACLS) ",IF(P71=CURSOS!$D$13,"CAMILLERO ",IF(P71=CURSOS!$D$14,"TOMA DE MUESTRAS Y LABORATORIO ",IF(P71=CURSOS!$D$15,"SOPORTE VITAL BASICO (BLS)",IF(P71=CURSOS!$D$16,"ATENCION A VICTIMAS DE VIOLENCIA SEXUAL ",IF(P71=CURSOS!$D$17,"PROGRAMADO AMPLIADO DE INMUNIZACION (PAI - COVID 19)",IF(P71=CURSOS!$D$18,"ATENCION INTEGRAL EN ENFERMEDADES PREVALENTES EN PRIMERA INFANCIA (AIEPI)",IF(P71=CURSOS!$D$19,"ADMINISTRACION DE MEDICAMENTOS, INYECTOLOGIA  Y CANALIZACION ",IF(P71=CURSOS!$D$20,"OPERADOR DE VEHICULOS DE EMERGENCIA (OVE)",IF(P71=CURSOS!$D$21,"INSTITUCIONES AMIGAS DE LA MUJER Y LA INFANCIA (IAMI)",IF(P71=CURSOS!$D$22,"CUIDADO DEL DONANTE DE ORGANOS",IF(P71=CURSOS!$D$23,"ATENCION A VICTIMAS POR VIOLENCIA DE GENERO",IF(P71=CURSOS!$D$24,"IGUALDAD DE GENERO EN LA SALUD",IF(P71=CURSOS!$D$25,"BRIGADA DE EMERGENCIA",IF(P71=CURSOS!$D$26,"MANEJO DEL DOLOR Y CUIDADOS PALIATIVOS",IF(P71=CURSOS!$D$27,"TOMA DE MUESTRAS Y LABORATORIO POCT",IF(P71=CURSOS!$D$28,"IMPLANTE SUBDERMICO DE DISPOSITIVO INTRAUTERINO",IF(P71=CURSOS!$D$29,"SALUD MENTAL",IF(P71=CURSOS!$D$30,"PRIMEROS AUXILIOS PSICOLOGICOS",IF(P71=CURSOS!$D$31,"ATENCION A VICTIMAS POR CONFLICTO ARMADO",IF(P71=CURSOS!$D$32,"MANIPULACION DE ALIMENTOS Y BPM",IF(P71=CURSOS!$D$33,"ATENCION A PERSONAS CON DISCAPACIDAD",IF(P71=CURSOS!$D$34,"CUIDADO INTEGRAL DEL PACIENTE ADULTO",IF(P71=CURSOS!$D$35,"MANEJO DEFENSIVO",IF(P71=CURSOS!$D$36,"SOPORTE CARDIOVASCULAR AVANZADO NEONATAL",IF(P71=CURSOS!$D$37,"SEGURIDAD DEL PACIENTE",IF(P71=CURSOS!$D$38,"MANEJO DE RESIDUOS HOSPITALARIOS"))))))))))))))))))))))))))))))))))))</f>
        <v>SOPORTE VITAL BASICO (BLS)</v>
      </c>
      <c r="W71" s="66" t="str">
        <f t="shared" si="5"/>
        <v>Mayra Alejandra Rojas Rivera</v>
      </c>
      <c r="X71" s="66" t="str">
        <f t="shared" si="6"/>
        <v>Mayra Alejandra Rojas Rivera</v>
      </c>
      <c r="Y71" s="66" t="str">
        <f t="shared" si="7"/>
        <v>Mayra Alejandra Rojas Rivera-1085898476-BLS</v>
      </c>
    </row>
    <row r="72" spans="1:25" s="60" customFormat="1" x14ac:dyDescent="0.2">
      <c r="A72" s="61">
        <v>71</v>
      </c>
      <c r="B72" s="62">
        <v>1085295508</v>
      </c>
      <c r="C72" s="62" t="s">
        <v>278</v>
      </c>
      <c r="D72" s="62" t="s">
        <v>279</v>
      </c>
      <c r="E72" s="62" t="s">
        <v>280</v>
      </c>
      <c r="F72" s="62" t="s">
        <v>179</v>
      </c>
      <c r="G72" s="62">
        <v>5</v>
      </c>
      <c r="H72" s="62" t="s">
        <v>127</v>
      </c>
      <c r="I72" s="62" t="s">
        <v>128</v>
      </c>
      <c r="J72" s="63"/>
      <c r="K72" s="64" t="s">
        <v>343</v>
      </c>
      <c r="L72" s="65">
        <v>75000</v>
      </c>
      <c r="M72" s="62" t="s">
        <v>344</v>
      </c>
      <c r="N72" s="62" t="s">
        <v>131</v>
      </c>
      <c r="O72" s="62" t="s">
        <v>257</v>
      </c>
      <c r="P72" s="62" t="s">
        <v>40</v>
      </c>
      <c r="Q72" s="63">
        <v>33665</v>
      </c>
      <c r="R72" s="62" t="s">
        <v>208</v>
      </c>
      <c r="S72" s="98" t="s">
        <v>332</v>
      </c>
      <c r="T72" s="62">
        <v>3172955145</v>
      </c>
      <c r="U72" s="62" t="s">
        <v>281</v>
      </c>
      <c r="V72" s="66" t="str">
        <f>IF(P72=CURSOS!$D$3,"DIPLOMADO EN ATENCION PRE-HOSPITALARIA",IF(P72=CURSOS!$D$4,"ACOMPAÑAMIENTO Y MANEJO DEL DUELO",IF(P72=CURSOS!$D$5,"ATENCION A VICTIMAS DE ATAQUE CON AGENTES QUIMICOS ",IF(P72=CURSOS!$D$6,"PRIMEROS AUXILIOS ",IF(P72=CURSOS!$D$7,"DIPLOMADO DE UNIDAD DE CUIDADOS INTENSIVOS (UCI)",IF(P72=CURSOS!$D$8,"MODELO DE ATENCION PARA EVENTOS EMERGENTES EN SALUD MENTAL (CODIGO VERDE)",IF(P72=CURSOS!$D$9,"HUMANIZACION EN EL SERVICIO DE LA SALUD Y BUENAS PRACTICAS EN PACIENTE ",IF(P72=CURSOS!$D$10,"CLINICA DE HERIDAS ",IF(P72=CURSOS!$D$11,"TOMA DE CITOLOGIA CERVICO VAGINAL ",IF(P72=CURSOS!$D$12,"SOPORTE CARDIOVASCULAR AVANZADO (ACLS) ",IF(P72=CURSOS!$D$13,"CAMILLERO ",IF(P72=CURSOS!$D$14,"TOMA DE MUESTRAS Y LABORATORIO ",IF(P72=CURSOS!$D$15,"SOPORTE VITAL BASICO (BLS)",IF(P72=CURSOS!$D$16,"ATENCION A VICTIMAS DE VIOLENCIA SEXUAL ",IF(P72=CURSOS!$D$17,"PROGRAMADO AMPLIADO DE INMUNIZACION (PAI - COVID 19)",IF(P72=CURSOS!$D$18,"ATENCION INTEGRAL EN ENFERMEDADES PREVALENTES EN PRIMERA INFANCIA (AIEPI)",IF(P72=CURSOS!$D$19,"ADMINISTRACION DE MEDICAMENTOS, INYECTOLOGIA  Y CANALIZACION ",IF(P72=CURSOS!$D$20,"OPERADOR DE VEHICULOS DE EMERGENCIA (OVE)",IF(P72=CURSOS!$D$21,"INSTITUCIONES AMIGAS DE LA MUJER Y LA INFANCIA (IAMI)",IF(P72=CURSOS!$D$22,"CUIDADO DEL DONANTE DE ORGANOS",IF(P72=CURSOS!$D$23,"ATENCION A VICTIMAS POR VIOLENCIA DE GENERO",IF(P72=CURSOS!$D$24,"IGUALDAD DE GENERO EN LA SALUD",IF(P72=CURSOS!$D$25,"BRIGADA DE EMERGENCIA",IF(P72=CURSOS!$D$26,"MANEJO DEL DOLOR Y CUIDADOS PALIATIVOS",IF(P72=CURSOS!$D$27,"TOMA DE MUESTRAS Y LABORATORIO POCT",IF(P72=CURSOS!$D$28,"IMPLANTE SUBDERMICO DE DISPOSITIVO INTRAUTERINO",IF(P72=CURSOS!$D$29,"SALUD MENTAL",IF(P72=CURSOS!$D$30,"PRIMEROS AUXILIOS PSICOLOGICOS",IF(P72=CURSOS!$D$31,"ATENCION A VICTIMAS POR CONFLICTO ARMADO",IF(P72=CURSOS!$D$32,"MANIPULACION DE ALIMENTOS Y BPM",IF(P72=CURSOS!$D$33,"ATENCION A PERSONAS CON DISCAPACIDAD",IF(P72=CURSOS!$D$34,"CUIDADO INTEGRAL DEL PACIENTE ADULTO",IF(P72=CURSOS!$D$35,"MANEJO DEFENSIVO",IF(P72=CURSOS!$D$36,"SOPORTE CARDIOVASCULAR AVANZADO NEONATAL",IF(P72=CURSOS!$D$37,"SEGURIDAD DEL PACIENTE",IF(P72=CURSOS!$D$38,"MANEJO DE RESIDUOS HOSPITALARIOS"))))))))))))))))))))))))))))))))))))</f>
        <v xml:space="preserve">TOMA DE MUESTRAS Y LABORATORIO </v>
      </c>
      <c r="W72" s="66" t="str">
        <f t="shared" si="5"/>
        <v>Sandra Patricia Perez Guerrero</v>
      </c>
      <c r="X72" s="66" t="str">
        <f t="shared" si="6"/>
        <v>Sandra Patricia Perez Guerrero</v>
      </c>
      <c r="Y72" s="66" t="str">
        <f t="shared" si="7"/>
        <v>Sandra Patricia Perez Guerrero-1085295508-TOMA DE MUESTRAS</v>
      </c>
    </row>
    <row r="73" spans="1:25" s="60" customFormat="1" x14ac:dyDescent="0.2">
      <c r="A73" s="61">
        <v>72</v>
      </c>
      <c r="B73" s="62">
        <v>1088734943</v>
      </c>
      <c r="C73" s="62" t="s">
        <v>345</v>
      </c>
      <c r="D73" s="62" t="s">
        <v>346</v>
      </c>
      <c r="E73" s="62" t="s">
        <v>347</v>
      </c>
      <c r="F73" s="62" t="s">
        <v>348</v>
      </c>
      <c r="G73" s="62">
        <v>5</v>
      </c>
      <c r="H73" s="62" t="s">
        <v>127</v>
      </c>
      <c r="I73" s="62" t="s">
        <v>226</v>
      </c>
      <c r="J73" s="63" t="s">
        <v>232</v>
      </c>
      <c r="K73" s="64">
        <v>45752</v>
      </c>
      <c r="L73" s="83">
        <v>32000</v>
      </c>
      <c r="M73" s="62" t="s">
        <v>267</v>
      </c>
      <c r="N73" s="62" t="s">
        <v>131</v>
      </c>
      <c r="O73" s="62" t="s">
        <v>233</v>
      </c>
      <c r="P73" s="62" t="s">
        <v>19</v>
      </c>
      <c r="Q73" s="63">
        <v>33602</v>
      </c>
      <c r="R73" s="62" t="s">
        <v>208</v>
      </c>
      <c r="S73" s="68" t="s">
        <v>332</v>
      </c>
      <c r="T73" s="68">
        <v>3157075105</v>
      </c>
      <c r="U73" s="62" t="s">
        <v>349</v>
      </c>
      <c r="V73" s="66" t="str">
        <f>IF(P73=CURSOS!$D$3,"DIPLOMADO EN ATENCION PRE-HOSPITALARIA",IF(P73=CURSOS!$D$4,"ACOMPAÑAMIENTO Y MANEJO DEL DUELO",IF(P73=CURSOS!$D$5,"ATENCION A VICTIMAS DE ATAQUE CON AGENTES QUIMICOS ",IF(P73=CURSOS!$D$6,"PRIMEROS AUXILIOS ",IF(P73=CURSOS!$D$7,"DIPLOMADO DE UNIDAD DE CUIDADOS INTENSIVOS (UCI)",IF(P73=CURSOS!$D$8,"MODELO DE ATENCION PARA EVENTOS EMERGENTES EN SALUD MENTAL (CODIGO VERDE)",IF(P73=CURSOS!$D$9,"HUMANIZACION EN EL SERVICIO DE LA SALUD Y BUENAS PRACTICAS EN PACIENTE ",IF(P73=CURSOS!$D$10,"CLINICA DE HERIDAS ",IF(P73=CURSOS!$D$11,"TOMA DE CITOLOGIA CERVICO VAGINAL ",IF(P73=CURSOS!$D$12,"SOPORTE CARDIOVASCULAR AVANZADO (ACLS) ",IF(P73=CURSOS!$D$13,"CAMILLERO ",IF(P73=CURSOS!$D$14,"TOMA DE MUESTRAS Y LABORATORIO ",IF(P73=CURSOS!$D$15,"SOPORTE VITAL BASICO (BLS)",IF(P73=CURSOS!$D$16,"ATENCION A VICTIMAS DE VIOLENCIA SEXUAL ",IF(P73=CURSOS!$D$17,"PROGRAMADO AMPLIADO DE INMUNIZACION (PAI - COVID 19)",IF(P73=CURSOS!$D$18,"ATENCION INTEGRAL EN ENFERMEDADES PREVALENTES EN PRIMERA INFANCIA (AIEPI)",IF(P73=CURSOS!$D$19,"ADMINISTRACION DE MEDICAMENTOS, INYECTOLOGIA  Y CANALIZACION ",IF(P73=CURSOS!$D$20,"OPERADOR DE VEHICULOS DE EMERGENCIA (OVE)",IF(P73=CURSOS!$D$21,"INSTITUCIONES AMIGAS DE LA MUJER Y LA INFANCIA (IAMI)",IF(P73=CURSOS!$D$22,"CUIDADO DEL DONANTE DE ORGANOS",IF(P73=CURSOS!$D$23,"ATENCION A VICTIMAS POR VIOLENCIA DE GENERO",IF(P73=CURSOS!$D$24,"IGUALDAD DE GENERO EN LA SALUD",IF(P73=CURSOS!$D$25,"BRIGADA DE EMERGENCIA",IF(P73=CURSOS!$D$26,"MANEJO DEL DOLOR Y CUIDADOS PALIATIVOS",IF(P73=CURSOS!$D$27,"TOMA DE MUESTRAS Y LABORATORIO POCT",IF(P73=CURSOS!$D$28,"IMPLANTE SUBDERMICO DE DISPOSITIVO INTRAUTERINO",IF(P73=CURSOS!$D$29,"SALUD MENTAL",IF(P73=CURSOS!$D$30,"PRIMEROS AUXILIOS PSICOLOGICOS",IF(P73=CURSOS!$D$31,"ATENCION A VICTIMAS POR CONFLICTO ARMADO",IF(P73=CURSOS!$D$32,"MANIPULACION DE ALIMENTOS Y BPM",IF(P73=CURSOS!$D$33,"ATENCION A PERSONAS CON DISCAPACIDAD",IF(P73=CURSOS!$D$34,"CUIDADO INTEGRAL DEL PACIENTE ADULTO",IF(P73=CURSOS!$D$35,"MANEJO DEFENSIVO",IF(P73=CURSOS!$D$36,"SOPORTE CARDIOVASCULAR AVANZADO NEONATAL",IF(P73=CURSOS!$D$37,"SEGURIDAD DEL PACIENTE",IF(P73=CURSOS!$D$38,"MANEJO DE RESIDUOS HOSPITALARIOS"))))))))))))))))))))))))))))))))))))</f>
        <v>SOPORTE VITAL BASICO (BLS)</v>
      </c>
      <c r="W73" s="66" t="str">
        <f t="shared" si="5"/>
        <v>Melissa Dancell Romero Morales</v>
      </c>
      <c r="X73" s="66" t="str">
        <f t="shared" si="6"/>
        <v>Melissa Dancell Romero Morales</v>
      </c>
      <c r="Y73" s="66" t="str">
        <f t="shared" si="7"/>
        <v>Melissa Dancell Romero Morales-1088734943-BLS</v>
      </c>
    </row>
    <row r="74" spans="1:25" s="60" customFormat="1" x14ac:dyDescent="0.2">
      <c r="A74" s="61">
        <v>73</v>
      </c>
      <c r="B74" s="62">
        <v>1085904872</v>
      </c>
      <c r="C74" s="62" t="s">
        <v>350</v>
      </c>
      <c r="D74" s="62" t="s">
        <v>187</v>
      </c>
      <c r="E74" s="62" t="s">
        <v>351</v>
      </c>
      <c r="F74" s="62" t="s">
        <v>225</v>
      </c>
      <c r="G74" s="62">
        <v>4</v>
      </c>
      <c r="H74" s="62" t="s">
        <v>127</v>
      </c>
      <c r="I74" s="62" t="s">
        <v>226</v>
      </c>
      <c r="J74" s="63" t="s">
        <v>334</v>
      </c>
      <c r="K74" s="64">
        <v>45751</v>
      </c>
      <c r="L74" s="83">
        <v>35000</v>
      </c>
      <c r="M74" s="62" t="s">
        <v>220</v>
      </c>
      <c r="N74" s="62" t="s">
        <v>131</v>
      </c>
      <c r="O74" s="62" t="s">
        <v>257</v>
      </c>
      <c r="P74" s="84" t="s">
        <v>19</v>
      </c>
      <c r="Q74" s="63">
        <v>32054</v>
      </c>
      <c r="R74" s="62" t="s">
        <v>208</v>
      </c>
      <c r="S74" s="97" t="s">
        <v>337</v>
      </c>
      <c r="T74" s="68">
        <v>3166269443</v>
      </c>
      <c r="U74" s="62" t="s">
        <v>352</v>
      </c>
      <c r="V74" s="66" t="str">
        <f>IF(P74=CURSOS!$D$3,"DIPLOMADO EN ATENCION PRE-HOSPITALARIA",IF(P74=CURSOS!$D$4,"ACOMPAÑAMIENTO Y MANEJO DEL DUELO",IF(P74=CURSOS!$D$5,"ATENCION A VICTIMAS DE ATAQUE CON AGENTES QUIMICOS ",IF(P74=CURSOS!$D$6,"PRIMEROS AUXILIOS ",IF(P74=CURSOS!$D$7,"DIPLOMADO DE UNIDAD DE CUIDADOS INTENSIVOS (UCI)",IF(P74=CURSOS!$D$8,"MODELO DE ATENCION PARA EVENTOS EMERGENTES EN SALUD MENTAL (CODIGO VERDE)",IF(P74=CURSOS!$D$9,"HUMANIZACION EN EL SERVICIO DE LA SALUD Y BUENAS PRACTICAS EN PACIENTE ",IF(P74=CURSOS!$D$10,"CLINICA DE HERIDAS ",IF(P74=CURSOS!$D$11,"TOMA DE CITOLOGIA CERVICO VAGINAL ",IF(P74=CURSOS!$D$12,"SOPORTE CARDIOVASCULAR AVANZADO (ACLS) ",IF(P74=CURSOS!$D$13,"CAMILLERO ",IF(P74=CURSOS!$D$14,"TOMA DE MUESTRAS Y LABORATORIO ",IF(P74=CURSOS!$D$15,"SOPORTE VITAL BASICO (BLS)",IF(P74=CURSOS!$D$16,"ATENCION A VICTIMAS DE VIOLENCIA SEXUAL ",IF(P74=CURSOS!$D$17,"PROGRAMADO AMPLIADO DE INMUNIZACION (PAI - COVID 19)",IF(P74=CURSOS!$D$18,"ATENCION INTEGRAL EN ENFERMEDADES PREVALENTES EN PRIMERA INFANCIA (AIEPI)",IF(P74=CURSOS!$D$19,"ADMINISTRACION DE MEDICAMENTOS, INYECTOLOGIA  Y CANALIZACION ",IF(P74=CURSOS!$D$20,"OPERADOR DE VEHICULOS DE EMERGENCIA (OVE)",IF(P74=CURSOS!$D$21,"INSTITUCIONES AMIGAS DE LA MUJER Y LA INFANCIA (IAMI)",IF(P74=CURSOS!$D$22,"CUIDADO DEL DONANTE DE ORGANOS",IF(P74=CURSOS!$D$23,"ATENCION A VICTIMAS POR VIOLENCIA DE GENERO",IF(P74=CURSOS!$D$24,"IGUALDAD DE GENERO EN LA SALUD",IF(P74=CURSOS!$D$25,"BRIGADA DE EMERGENCIA",IF(P74=CURSOS!$D$26,"MANEJO DEL DOLOR Y CUIDADOS PALIATIVOS",IF(P74=CURSOS!$D$27,"TOMA DE MUESTRAS Y LABORATORIO POCT",IF(P74=CURSOS!$D$28,"IMPLANTE SUBDERMICO DE DISPOSITIVO INTRAUTERINO",IF(P74=CURSOS!$D$29,"SALUD MENTAL",IF(P74=CURSOS!$D$30,"PRIMEROS AUXILIOS PSICOLOGICOS",IF(P74=CURSOS!$D$31,"ATENCION A VICTIMAS POR CONFLICTO ARMADO",IF(P74=CURSOS!$D$32,"MANIPULACION DE ALIMENTOS Y BPM",IF(P74=CURSOS!$D$33,"ATENCION A PERSONAS CON DISCAPACIDAD",IF(P74=CURSOS!$D$34,"CUIDADO INTEGRAL DEL PACIENTE ADULTO",IF(P74=CURSOS!$D$35,"MANEJO DEFENSIVO",IF(P74=CURSOS!$D$36,"SOPORTE CARDIOVASCULAR AVANZADO NEONATAL",IF(P74=CURSOS!$D$37,"SEGURIDAD DEL PACIENTE",IF(P74=CURSOS!$D$38,"MANEJO DE RESIDUOS HOSPITALARIOS"))))))))))))))))))))))))))))))))))))</f>
        <v>SOPORTE VITAL BASICO (BLS)</v>
      </c>
      <c r="W74" s="66" t="str">
        <f t="shared" si="5"/>
        <v>Jessica Alejandra Arellano Portilla</v>
      </c>
      <c r="X74" s="66" t="str">
        <f t="shared" si="6"/>
        <v>Jessica Alejandra Arellano Portilla</v>
      </c>
      <c r="Y74" s="66" t="str">
        <f t="shared" si="7"/>
        <v>Jessica Alejandra Arellano Portilla-1085904872-BLS</v>
      </c>
    </row>
    <row r="75" spans="1:25" s="60" customFormat="1" x14ac:dyDescent="0.2">
      <c r="A75" s="61">
        <v>74</v>
      </c>
      <c r="B75" s="62">
        <v>1085904872</v>
      </c>
      <c r="C75" s="62" t="s">
        <v>350</v>
      </c>
      <c r="D75" s="62" t="s">
        <v>187</v>
      </c>
      <c r="E75" s="62" t="s">
        <v>351</v>
      </c>
      <c r="F75" s="62" t="s">
        <v>225</v>
      </c>
      <c r="G75" s="62">
        <v>5</v>
      </c>
      <c r="H75" s="62" t="s">
        <v>127</v>
      </c>
      <c r="I75" s="62" t="s">
        <v>226</v>
      </c>
      <c r="J75" s="63" t="s">
        <v>334</v>
      </c>
      <c r="K75" s="64">
        <v>45751</v>
      </c>
      <c r="L75" s="83">
        <v>35000</v>
      </c>
      <c r="M75" s="62" t="s">
        <v>220</v>
      </c>
      <c r="N75" s="62" t="s">
        <v>131</v>
      </c>
      <c r="O75" s="62" t="s">
        <v>257</v>
      </c>
      <c r="P75" s="62" t="s">
        <v>57</v>
      </c>
      <c r="Q75" s="63">
        <v>32054</v>
      </c>
      <c r="R75" s="62" t="s">
        <v>208</v>
      </c>
      <c r="S75" s="97" t="s">
        <v>337</v>
      </c>
      <c r="T75" s="68">
        <v>3166269443</v>
      </c>
      <c r="U75" s="62" t="s">
        <v>352</v>
      </c>
      <c r="V75" s="66" t="str">
        <f>IF(P75=CURSOS!$D$3,"DIPLOMADO EN ATENCION PRE-HOSPITALARIA",IF(P75=CURSOS!$D$4,"ACOMPAÑAMIENTO Y MANEJO DEL DUELO",IF(P75=CURSOS!$D$5,"ATENCION A VICTIMAS DE ATAQUE CON AGENTES QUIMICOS ",IF(P75=CURSOS!$D$6,"PRIMEROS AUXILIOS ",IF(P75=CURSOS!$D$7,"DIPLOMADO DE UNIDAD DE CUIDADOS INTENSIVOS (UCI)",IF(P75=CURSOS!$D$8,"MODELO DE ATENCION PARA EVENTOS EMERGENTES EN SALUD MENTAL (CODIGO VERDE)",IF(P75=CURSOS!$D$9,"HUMANIZACION EN EL SERVICIO DE LA SALUD Y BUENAS PRACTICAS EN PACIENTE ",IF(P75=CURSOS!$D$10,"CLINICA DE HERIDAS ",IF(P75=CURSOS!$D$11,"TOMA DE CITOLOGIA CERVICO VAGINAL ",IF(P75=CURSOS!$D$12,"SOPORTE CARDIOVASCULAR AVANZADO (ACLS) ",IF(P75=CURSOS!$D$13,"CAMILLERO ",IF(P75=CURSOS!$D$14,"TOMA DE MUESTRAS Y LABORATORIO ",IF(P75=CURSOS!$D$15,"SOPORTE VITAL BASICO (BLS)",IF(P75=CURSOS!$D$16,"ATENCION A VICTIMAS DE VIOLENCIA SEXUAL ",IF(P75=CURSOS!$D$17,"PROGRAMADO AMPLIADO DE INMUNIZACION (PAI - COVID 19)",IF(P75=CURSOS!$D$18,"ATENCION INTEGRAL EN ENFERMEDADES PREVALENTES EN PRIMERA INFANCIA (AIEPI)",IF(P75=CURSOS!$D$19,"ADMINISTRACION DE MEDICAMENTOS, INYECTOLOGIA  Y CANALIZACION ",IF(P75=CURSOS!$D$20,"OPERADOR DE VEHICULOS DE EMERGENCIA (OVE)",IF(P75=CURSOS!$D$21,"INSTITUCIONES AMIGAS DE LA MUJER Y LA INFANCIA (IAMI)",IF(P75=CURSOS!$D$22,"CUIDADO DEL DONANTE DE ORGANOS",IF(P75=CURSOS!$D$23,"ATENCION A VICTIMAS POR VIOLENCIA DE GENERO",IF(P75=CURSOS!$D$24,"IGUALDAD DE GENERO EN LA SALUD",IF(P75=CURSOS!$D$25,"BRIGADA DE EMERGENCIA",IF(P75=CURSOS!$D$26,"MANEJO DEL DOLOR Y CUIDADOS PALIATIVOS",IF(P75=CURSOS!$D$27,"TOMA DE MUESTRAS Y LABORATORIO POCT",IF(P75=CURSOS!$D$28,"IMPLANTE SUBDERMICO DE DISPOSITIVO INTRAUTERINO",IF(P75=CURSOS!$D$29,"SALUD MENTAL",IF(P75=CURSOS!$D$30,"PRIMEROS AUXILIOS PSICOLOGICOS",IF(P75=CURSOS!$D$31,"ATENCION A VICTIMAS POR CONFLICTO ARMADO",IF(P75=CURSOS!$D$32,"MANIPULACION DE ALIMENTOS Y BPM",IF(P75=CURSOS!$D$33,"ATENCION A PERSONAS CON DISCAPACIDAD",IF(P75=CURSOS!$D$34,"CUIDADO INTEGRAL DEL PACIENTE ADULTO",IF(P75=CURSOS!$D$35,"MANEJO DEFENSIVO",IF(P75=CURSOS!$D$36,"SOPORTE CARDIOVASCULAR AVANZADO NEONATAL",IF(P75=CURSOS!$D$37,"SEGURIDAD DEL PACIENTE",IF(P75=CURSOS!$D$38,"MANEJO DE RESIDUOS HOSPITALARIOS"))))))))))))))))))))))))))))))))))))</f>
        <v>MANEJO DEL DOLOR Y CUIDADOS PALIATIVOS</v>
      </c>
      <c r="W75" s="66" t="str">
        <f t="shared" si="5"/>
        <v>Jessica Alejandra Arellano Portilla</v>
      </c>
      <c r="X75" s="66" t="str">
        <f t="shared" si="6"/>
        <v>Jessica Alejandra Arellano Portilla</v>
      </c>
      <c r="Y75" s="66" t="str">
        <f t="shared" si="7"/>
        <v>Jessica Alejandra Arellano Portilla-1085904872-PALIATIVOS</v>
      </c>
    </row>
    <row r="76" spans="1:25" s="60" customFormat="1" x14ac:dyDescent="0.2">
      <c r="A76" s="61">
        <v>75</v>
      </c>
      <c r="B76" s="62">
        <v>1085904872</v>
      </c>
      <c r="C76" s="62" t="s">
        <v>350</v>
      </c>
      <c r="D76" s="62" t="s">
        <v>187</v>
      </c>
      <c r="E76" s="62" t="s">
        <v>351</v>
      </c>
      <c r="F76" s="62" t="s">
        <v>225</v>
      </c>
      <c r="G76" s="62">
        <v>3</v>
      </c>
      <c r="H76" s="62" t="s">
        <v>127</v>
      </c>
      <c r="I76" s="62" t="s">
        <v>226</v>
      </c>
      <c r="J76" s="63" t="s">
        <v>334</v>
      </c>
      <c r="K76" s="64">
        <v>45751</v>
      </c>
      <c r="L76" s="83">
        <v>35000</v>
      </c>
      <c r="M76" s="62" t="s">
        <v>220</v>
      </c>
      <c r="N76" s="62" t="s">
        <v>131</v>
      </c>
      <c r="O76" s="62" t="s">
        <v>257</v>
      </c>
      <c r="P76" s="62" t="s">
        <v>23</v>
      </c>
      <c r="Q76" s="63">
        <v>32054</v>
      </c>
      <c r="R76" s="62" t="s">
        <v>208</v>
      </c>
      <c r="S76" s="97" t="s">
        <v>337</v>
      </c>
      <c r="T76" s="68">
        <v>3166269443</v>
      </c>
      <c r="U76" s="62" t="s">
        <v>352</v>
      </c>
      <c r="V76" s="66" t="str">
        <f>IF(P76=CURSOS!$D$3,"DIPLOMADO EN ATENCION PRE-HOSPITALARIA",IF(P76=CURSOS!$D$4,"ACOMPAÑAMIENTO Y MANEJO DEL DUELO",IF(P76=CURSOS!$D$5,"ATENCION A VICTIMAS DE ATAQUE CON AGENTES QUIMICOS ",IF(P76=CURSOS!$D$6,"PRIMEROS AUXILIOS ",IF(P76=CURSOS!$D$7,"DIPLOMADO DE UNIDAD DE CUIDADOS INTENSIVOS (UCI)",IF(P76=CURSOS!$D$8,"MODELO DE ATENCION PARA EVENTOS EMERGENTES EN SALUD MENTAL (CODIGO VERDE)",IF(P76=CURSOS!$D$9,"HUMANIZACION EN EL SERVICIO DE LA SALUD Y BUENAS PRACTICAS EN PACIENTE ",IF(P76=CURSOS!$D$10,"CLINICA DE HERIDAS ",IF(P76=CURSOS!$D$11,"TOMA DE CITOLOGIA CERVICO VAGINAL ",IF(P76=CURSOS!$D$12,"SOPORTE CARDIOVASCULAR AVANZADO (ACLS) ",IF(P76=CURSOS!$D$13,"CAMILLERO ",IF(P76=CURSOS!$D$14,"TOMA DE MUESTRAS Y LABORATORIO ",IF(P76=CURSOS!$D$15,"SOPORTE VITAL BASICO (BLS)",IF(P76=CURSOS!$D$16,"ATENCION A VICTIMAS DE VIOLENCIA SEXUAL ",IF(P76=CURSOS!$D$17,"PROGRAMADO AMPLIADO DE INMUNIZACION (PAI - COVID 19)",IF(P76=CURSOS!$D$18,"ATENCION INTEGRAL EN ENFERMEDADES PREVALENTES EN PRIMERA INFANCIA (AIEPI)",IF(P76=CURSOS!$D$19,"ADMINISTRACION DE MEDICAMENTOS, INYECTOLOGIA  Y CANALIZACION ",IF(P76=CURSOS!$D$20,"OPERADOR DE VEHICULOS DE EMERGENCIA (OVE)",IF(P76=CURSOS!$D$21,"INSTITUCIONES AMIGAS DE LA MUJER Y LA INFANCIA (IAMI)",IF(P76=CURSOS!$D$22,"CUIDADO DEL DONANTE DE ORGANOS",IF(P76=CURSOS!$D$23,"ATENCION A VICTIMAS POR VIOLENCIA DE GENERO",IF(P76=CURSOS!$D$24,"IGUALDAD DE GENERO EN LA SALUD",IF(P76=CURSOS!$D$25,"BRIGADA DE EMERGENCIA",IF(P76=CURSOS!$D$26,"MANEJO DEL DOLOR Y CUIDADOS PALIATIVOS",IF(P76=CURSOS!$D$27,"TOMA DE MUESTRAS Y LABORATORIO POCT",IF(P76=CURSOS!$D$28,"IMPLANTE SUBDERMICO DE DISPOSITIVO INTRAUTERINO",IF(P76=CURSOS!$D$29,"SALUD MENTAL",IF(P76=CURSOS!$D$30,"PRIMEROS AUXILIOS PSICOLOGICOS",IF(P76=CURSOS!$D$31,"ATENCION A VICTIMAS POR CONFLICTO ARMADO",IF(P76=CURSOS!$D$32,"MANIPULACION DE ALIMENTOS Y BPM",IF(P76=CURSOS!$D$33,"ATENCION A PERSONAS CON DISCAPACIDAD",IF(P76=CURSOS!$D$34,"CUIDADO INTEGRAL DEL PACIENTE ADULTO",IF(P76=CURSOS!$D$35,"MANEJO DEFENSIVO",IF(P76=CURSOS!$D$36,"SOPORTE CARDIOVASCULAR AVANZADO NEONATAL",IF(P76=CURSOS!$D$37,"SEGURIDAD DEL PACIENTE",IF(P76=CURSOS!$D$38,"MANEJO DE RESIDUOS HOSPITALARIOS"))))))))))))))))))))))))))))))))))))</f>
        <v>ACOMPAÑAMIENTO Y MANEJO DEL DUELO</v>
      </c>
      <c r="W76" s="66" t="str">
        <f t="shared" si="5"/>
        <v>Jessica Alejandra Arellano Portilla</v>
      </c>
      <c r="X76" s="66" t="str">
        <f t="shared" si="6"/>
        <v>Jessica Alejandra Arellano Portilla</v>
      </c>
      <c r="Y76" s="66" t="str">
        <f t="shared" si="7"/>
        <v>Jessica Alejandra Arellano Portilla-1085904872-DUELO</v>
      </c>
    </row>
    <row r="77" spans="1:25" s="60" customFormat="1" x14ac:dyDescent="0.2">
      <c r="A77" s="61">
        <v>76</v>
      </c>
      <c r="B77" s="62">
        <v>1085334227</v>
      </c>
      <c r="C77" s="62" t="s">
        <v>229</v>
      </c>
      <c r="D77" s="62" t="s">
        <v>292</v>
      </c>
      <c r="E77" s="62" t="s">
        <v>355</v>
      </c>
      <c r="F77" s="62" t="s">
        <v>356</v>
      </c>
      <c r="G77" s="62">
        <v>4</v>
      </c>
      <c r="H77" s="62" t="s">
        <v>127</v>
      </c>
      <c r="I77" s="62" t="s">
        <v>128</v>
      </c>
      <c r="J77" s="63"/>
      <c r="K77" s="64" t="s">
        <v>353</v>
      </c>
      <c r="L77" s="83">
        <v>64000</v>
      </c>
      <c r="M77" s="62" t="s">
        <v>267</v>
      </c>
      <c r="N77" s="62" t="s">
        <v>131</v>
      </c>
      <c r="O77" s="62" t="s">
        <v>257</v>
      </c>
      <c r="P77" s="62" t="s">
        <v>42</v>
      </c>
      <c r="Q77" s="63">
        <v>35492</v>
      </c>
      <c r="R77" s="62" t="s">
        <v>208</v>
      </c>
      <c r="S77" s="97" t="s">
        <v>354</v>
      </c>
      <c r="T77" s="68">
        <v>3246261631</v>
      </c>
      <c r="U77" s="62"/>
      <c r="V77" s="66" t="str">
        <f>IF(P77=CURSOS!$D$3,"DIPLOMADO EN ATENCION PRE-HOSPITALARIA",IF(P77=CURSOS!$D$4,"ACOMPAÑAMIENTO Y MANEJO DEL DUELO",IF(P77=CURSOS!$D$5,"ATENCION A VICTIMAS DE ATAQUE CON AGENTES QUIMICOS ",IF(P77=CURSOS!$D$6,"PRIMEROS AUXILIOS ",IF(P77=CURSOS!$D$7,"DIPLOMADO DE UNIDAD DE CUIDADOS INTENSIVOS (UCI)",IF(P77=CURSOS!$D$8,"MODELO DE ATENCION PARA EVENTOS EMERGENTES EN SALUD MENTAL (CODIGO VERDE)",IF(P77=CURSOS!$D$9,"HUMANIZACION EN EL SERVICIO DE LA SALUD Y BUENAS PRACTICAS EN PACIENTE ",IF(P77=CURSOS!$D$10,"CLINICA DE HERIDAS ",IF(P77=CURSOS!$D$11,"TOMA DE CITOLOGIA CERVICO VAGINAL ",IF(P77=CURSOS!$D$12,"SOPORTE CARDIOVASCULAR AVANZADO (ACLS) ",IF(P77=CURSOS!$D$13,"CAMILLERO ",IF(P77=CURSOS!$D$14,"TOMA DE MUESTRAS Y LABORATORIO ",IF(P77=CURSOS!$D$15,"SOPORTE VITAL BASICO (BLS)",IF(P77=CURSOS!$D$16,"ATENCION A VICTIMAS DE VIOLENCIA SEXUAL ",IF(P77=CURSOS!$D$17,"PROGRAMADO AMPLIADO DE INMUNIZACION (PAI - COVID 19)",IF(P77=CURSOS!$D$18,"ATENCION INTEGRAL EN ENFERMEDADES PREVALENTES EN PRIMERA INFANCIA (AIEPI)",IF(P77=CURSOS!$D$19,"ADMINISTRACION DE MEDICAMENTOS, INYECTOLOGIA  Y CANALIZACION ",IF(P77=CURSOS!$D$20,"OPERADOR DE VEHICULOS DE EMERGENCIA (OVE)",IF(P77=CURSOS!$D$21,"INSTITUCIONES AMIGAS DE LA MUJER Y LA INFANCIA (IAMI)",IF(P77=CURSOS!$D$22,"CUIDADO DEL DONANTE DE ORGANOS",IF(P77=CURSOS!$D$23,"ATENCION A VICTIMAS POR VIOLENCIA DE GENERO",IF(P77=CURSOS!$D$24,"IGUALDAD DE GENERO EN LA SALUD",IF(P77=CURSOS!$D$25,"BRIGADA DE EMERGENCIA",IF(P77=CURSOS!$D$26,"MANEJO DEL DOLOR Y CUIDADOS PALIATIVOS",IF(P77=CURSOS!$D$27,"TOMA DE MUESTRAS Y LABORATORIO POCT",IF(P77=CURSOS!$D$28,"IMPLANTE SUBDERMICO DE DISPOSITIVO INTRAUTERINO",IF(P77=CURSOS!$D$29,"SALUD MENTAL",IF(P77=CURSOS!$D$30,"PRIMEROS AUXILIOS PSICOLOGICOS",IF(P77=CURSOS!$D$31,"ATENCION A VICTIMAS POR CONFLICTO ARMADO",IF(P77=CURSOS!$D$32,"MANIPULACION DE ALIMENTOS Y BPM",IF(P77=CURSOS!$D$33,"ATENCION A PERSONAS CON DISCAPACIDAD",IF(P77=CURSOS!$D$34,"CUIDADO INTEGRAL DEL PACIENTE ADULTO",IF(P77=CURSOS!$D$35,"MANEJO DEFENSIVO",IF(P77=CURSOS!$D$36,"SOPORTE CARDIOVASCULAR AVANZADO NEONATAL",IF(P77=CURSOS!$D$37,"SEGURIDAD DEL PACIENTE",IF(P77=CURSOS!$D$38,"MANEJO DE RESIDUOS HOSPITALARIOS"))))))))))))))))))))))))))))))))))))</f>
        <v xml:space="preserve">ATENCION A VICTIMAS DE VIOLENCIA SEXUAL </v>
      </c>
      <c r="W77" s="66" t="str">
        <f t="shared" si="5"/>
        <v>Angie Nathaly Narvaez Enriquez</v>
      </c>
      <c r="X77" s="66" t="str">
        <f t="shared" si="6"/>
        <v>Angie Nathaly Narvaez Enriquez</v>
      </c>
      <c r="Y77" s="66" t="str">
        <f t="shared" si="7"/>
        <v>Angie Nathaly Narvaez Enriquez-1085334227-VIOLENCIA SEXUAL</v>
      </c>
    </row>
    <row r="78" spans="1:25" s="60" customFormat="1" x14ac:dyDescent="0.2">
      <c r="A78" s="61">
        <v>77</v>
      </c>
      <c r="B78" s="62">
        <v>24336876</v>
      </c>
      <c r="C78" s="62" t="s">
        <v>140</v>
      </c>
      <c r="D78" s="62" t="s">
        <v>141</v>
      </c>
      <c r="E78" s="62" t="s">
        <v>142</v>
      </c>
      <c r="F78" s="62" t="s">
        <v>143</v>
      </c>
      <c r="G78" s="62">
        <v>7</v>
      </c>
      <c r="H78" s="62" t="s">
        <v>127</v>
      </c>
      <c r="I78" s="62" t="s">
        <v>226</v>
      </c>
      <c r="J78" s="63"/>
      <c r="K78" s="64">
        <v>45754</v>
      </c>
      <c r="L78" s="83">
        <v>40000</v>
      </c>
      <c r="M78" s="62" t="s">
        <v>266</v>
      </c>
      <c r="N78" s="62" t="s">
        <v>131</v>
      </c>
      <c r="O78" s="62" t="s">
        <v>257</v>
      </c>
      <c r="P78" s="62" t="s">
        <v>19</v>
      </c>
      <c r="Q78" s="63">
        <v>31028</v>
      </c>
      <c r="R78" s="62" t="s">
        <v>208</v>
      </c>
      <c r="S78" s="97" t="s">
        <v>105</v>
      </c>
      <c r="T78" s="68">
        <v>3168650779</v>
      </c>
      <c r="U78" s="62" t="s">
        <v>357</v>
      </c>
      <c r="V78" s="66" t="str">
        <f>IF(P78=CURSOS!$D$3,"DIPLOMADO EN ATENCION PRE-HOSPITALARIA",IF(P78=CURSOS!$D$4,"ACOMPAÑAMIENTO Y MANEJO DEL DUELO",IF(P78=CURSOS!$D$5,"ATENCION A VICTIMAS DE ATAQUE CON AGENTES QUIMICOS ",IF(P78=CURSOS!$D$6,"PRIMEROS AUXILIOS ",IF(P78=CURSOS!$D$7,"DIPLOMADO DE UNIDAD DE CUIDADOS INTENSIVOS (UCI)",IF(P78=CURSOS!$D$8,"MODELO DE ATENCION PARA EVENTOS EMERGENTES EN SALUD MENTAL (CODIGO VERDE)",IF(P78=CURSOS!$D$9,"HUMANIZACION EN EL SERVICIO DE LA SALUD Y BUENAS PRACTICAS EN PACIENTE ",IF(P78=CURSOS!$D$10,"CLINICA DE HERIDAS ",IF(P78=CURSOS!$D$11,"TOMA DE CITOLOGIA CERVICO VAGINAL ",IF(P78=CURSOS!$D$12,"SOPORTE CARDIOVASCULAR AVANZADO (ACLS) ",IF(P78=CURSOS!$D$13,"CAMILLERO ",IF(P78=CURSOS!$D$14,"TOMA DE MUESTRAS Y LABORATORIO ",IF(P78=CURSOS!$D$15,"SOPORTE VITAL BASICO (BLS)",IF(P78=CURSOS!$D$16,"ATENCION A VICTIMAS DE VIOLENCIA SEXUAL ",IF(P78=CURSOS!$D$17,"PROGRAMADO AMPLIADO DE INMUNIZACION (PAI - COVID 19)",IF(P78=CURSOS!$D$18,"ATENCION INTEGRAL EN ENFERMEDADES PREVALENTES EN PRIMERA INFANCIA (AIEPI)",IF(P78=CURSOS!$D$19,"ADMINISTRACION DE MEDICAMENTOS, INYECTOLOGIA  Y CANALIZACION ",IF(P78=CURSOS!$D$20,"OPERADOR DE VEHICULOS DE EMERGENCIA (OVE)",IF(P78=CURSOS!$D$21,"INSTITUCIONES AMIGAS DE LA MUJER Y LA INFANCIA (IAMI)",IF(P78=CURSOS!$D$22,"CUIDADO DEL DONANTE DE ORGANOS",IF(P78=CURSOS!$D$23,"ATENCION A VICTIMAS POR VIOLENCIA DE GENERO",IF(P78=CURSOS!$D$24,"IGUALDAD DE GENERO EN LA SALUD",IF(P78=CURSOS!$D$25,"BRIGADA DE EMERGENCIA",IF(P78=CURSOS!$D$26,"MANEJO DEL DOLOR Y CUIDADOS PALIATIVOS",IF(P78=CURSOS!$D$27,"TOMA DE MUESTRAS Y LABORATORIO POCT",IF(P78=CURSOS!$D$28,"IMPLANTE SUBDERMICO DE DISPOSITIVO INTRAUTERINO",IF(P78=CURSOS!$D$29,"SALUD MENTAL",IF(P78=CURSOS!$D$30,"PRIMEROS AUXILIOS PSICOLOGICOS",IF(P78=CURSOS!$D$31,"ATENCION A VICTIMAS POR CONFLICTO ARMADO",IF(P78=CURSOS!$D$32,"MANIPULACION DE ALIMENTOS Y BPM",IF(P78=CURSOS!$D$33,"ATENCION A PERSONAS CON DISCAPACIDAD",IF(P78=CURSOS!$D$34,"CUIDADO INTEGRAL DEL PACIENTE ADULTO",IF(P78=CURSOS!$D$35,"MANEJO DEFENSIVO",IF(P78=CURSOS!$D$36,"SOPORTE CARDIOVASCULAR AVANZADO NEONATAL",IF(P78=CURSOS!$D$37,"SEGURIDAD DEL PACIENTE",IF(P78=CURSOS!$D$38,"MANEJO DE RESIDUOS HOSPITALARIOS"))))))))))))))))))))))))))))))))))))</f>
        <v>SOPORTE VITAL BASICO (BLS)</v>
      </c>
      <c r="W78" s="66" t="str">
        <f t="shared" si="5"/>
        <v>Angela Ines Ceballos Pantoja</v>
      </c>
      <c r="X78" s="66" t="str">
        <f t="shared" si="6"/>
        <v>Angela Ines Ceballos Pantoja</v>
      </c>
      <c r="Y78" s="66" t="str">
        <f t="shared" si="7"/>
        <v>Angela Ines Ceballos Pantoja-24336876-BLS</v>
      </c>
    </row>
    <row r="79" spans="1:25" s="60" customFormat="1" x14ac:dyDescent="0.2">
      <c r="A79" s="61">
        <v>78</v>
      </c>
      <c r="B79" s="62">
        <v>1085345750</v>
      </c>
      <c r="C79" s="62" t="s">
        <v>358</v>
      </c>
      <c r="D79" s="62" t="s">
        <v>237</v>
      </c>
      <c r="E79" s="62" t="s">
        <v>362</v>
      </c>
      <c r="F79" s="62" t="s">
        <v>359</v>
      </c>
      <c r="G79" s="62">
        <v>8</v>
      </c>
      <c r="H79" s="62" t="s">
        <v>127</v>
      </c>
      <c r="I79" s="62" t="s">
        <v>226</v>
      </c>
      <c r="J79" s="63"/>
      <c r="K79" s="64">
        <v>45755</v>
      </c>
      <c r="L79" s="83">
        <v>40000</v>
      </c>
      <c r="M79" s="62" t="s">
        <v>266</v>
      </c>
      <c r="N79" s="62" t="s">
        <v>131</v>
      </c>
      <c r="O79" s="62" t="s">
        <v>257</v>
      </c>
      <c r="P79" s="62" t="s">
        <v>25</v>
      </c>
      <c r="Q79" s="63">
        <v>27496</v>
      </c>
      <c r="R79" s="62" t="s">
        <v>208</v>
      </c>
      <c r="S79" s="97" t="s">
        <v>360</v>
      </c>
      <c r="T79" s="68">
        <v>3164830463</v>
      </c>
      <c r="U79" s="62" t="s">
        <v>361</v>
      </c>
      <c r="V79" s="66" t="str">
        <f>IF(P79=CURSOS!$D$3,"DIPLOMADO EN ATENCION PRE-HOSPITALARIA",IF(P79=CURSOS!$D$4,"ACOMPAÑAMIENTO Y MANEJO DEL DUELO",IF(P79=CURSOS!$D$5,"ATENCION A VICTIMAS DE ATAQUE CON AGENTES QUIMICOS ",IF(P79=CURSOS!$D$6,"PRIMEROS AUXILIOS ",IF(P79=CURSOS!$D$7,"DIPLOMADO DE UNIDAD DE CUIDADOS INTENSIVOS (UCI)",IF(P79=CURSOS!$D$8,"MODELO DE ATENCION PARA EVENTOS EMERGENTES EN SALUD MENTAL (CODIGO VERDE)",IF(P79=CURSOS!$D$9,"HUMANIZACION EN EL SERVICIO DE LA SALUD Y BUENAS PRACTICAS EN PACIENTE ",IF(P79=CURSOS!$D$10,"CLINICA DE HERIDAS ",IF(P79=CURSOS!$D$11,"TOMA DE CITOLOGIA CERVICO VAGINAL ",IF(P79=CURSOS!$D$12,"SOPORTE CARDIOVASCULAR AVANZADO (ACLS) ",IF(P79=CURSOS!$D$13,"CAMILLERO ",IF(P79=CURSOS!$D$14,"TOMA DE MUESTRAS Y LABORATORIO ",IF(P79=CURSOS!$D$15,"SOPORTE VITAL BASICO (BLS)",IF(P79=CURSOS!$D$16,"ATENCION A VICTIMAS DE VIOLENCIA SEXUAL ",IF(P79=CURSOS!$D$17,"PROGRAMADO AMPLIADO DE INMUNIZACION (PAI - COVID 19)",IF(P79=CURSOS!$D$18,"ATENCION INTEGRAL EN ENFERMEDADES PREVALENTES EN PRIMERA INFANCIA (AIEPI)",IF(P79=CURSOS!$D$19,"ADMINISTRACION DE MEDICAMENTOS, INYECTOLOGIA  Y CANALIZACION ",IF(P79=CURSOS!$D$20,"OPERADOR DE VEHICULOS DE EMERGENCIA (OVE)",IF(P79=CURSOS!$D$21,"INSTITUCIONES AMIGAS DE LA MUJER Y LA INFANCIA (IAMI)",IF(P79=CURSOS!$D$22,"CUIDADO DEL DONANTE DE ORGANOS",IF(P79=CURSOS!$D$23,"ATENCION A VICTIMAS POR VIOLENCIA DE GENERO",IF(P79=CURSOS!$D$24,"IGUALDAD DE GENERO EN LA SALUD",IF(P79=CURSOS!$D$25,"BRIGADA DE EMERGENCIA",IF(P79=CURSOS!$D$26,"MANEJO DEL DOLOR Y CUIDADOS PALIATIVOS",IF(P79=CURSOS!$D$27,"TOMA DE MUESTRAS Y LABORATORIO POCT",IF(P79=CURSOS!$D$28,"IMPLANTE SUBDERMICO DE DISPOSITIVO INTRAUTERINO",IF(P79=CURSOS!$D$29,"SALUD MENTAL",IF(P79=CURSOS!$D$30,"PRIMEROS AUXILIOS PSICOLOGICOS",IF(P79=CURSOS!$D$31,"ATENCION A VICTIMAS POR CONFLICTO ARMADO",IF(P79=CURSOS!$D$32,"MANIPULACION DE ALIMENTOS Y BPM",IF(P79=CURSOS!$D$33,"ATENCION A PERSONAS CON DISCAPACIDAD",IF(P79=CURSOS!$D$34,"CUIDADO INTEGRAL DEL PACIENTE ADULTO",IF(P79=CURSOS!$D$35,"MANEJO DEFENSIVO",IF(P79=CURSOS!$D$36,"SOPORTE CARDIOVASCULAR AVANZADO NEONATAL",IF(P79=CURSOS!$D$37,"SEGURIDAD DEL PACIENTE",IF(P79=CURSOS!$D$38,"MANEJO DE RESIDUOS HOSPITALARIOS"))))))))))))))))))))))))))))))))))))</f>
        <v xml:space="preserve">ATENCION A VICTIMAS DE ATAQUE CON AGENTES QUIMICOS </v>
      </c>
      <c r="W79" s="66" t="str">
        <f t="shared" si="5"/>
        <v>José Eduardo Mancuso Ortiz</v>
      </c>
      <c r="X79" s="66" t="str">
        <f t="shared" si="6"/>
        <v>José Eduardo Mancuso Ortiz</v>
      </c>
      <c r="Y79" s="66" t="str">
        <f t="shared" si="7"/>
        <v>José Eduardo Mancuso Ortiz-1085345750-QUIMICOS</v>
      </c>
    </row>
    <row r="80" spans="1:25" s="60" customFormat="1" x14ac:dyDescent="0.2">
      <c r="A80" s="61">
        <v>79</v>
      </c>
      <c r="B80" s="62">
        <v>1054988223</v>
      </c>
      <c r="C80" s="62" t="s">
        <v>363</v>
      </c>
      <c r="D80" s="62" t="s">
        <v>364</v>
      </c>
      <c r="E80" s="62" t="s">
        <v>365</v>
      </c>
      <c r="F80" s="62" t="s">
        <v>305</v>
      </c>
      <c r="G80" s="62">
        <v>8</v>
      </c>
      <c r="H80" s="62" t="s">
        <v>127</v>
      </c>
      <c r="I80" s="62" t="s">
        <v>226</v>
      </c>
      <c r="J80" s="63" t="s">
        <v>227</v>
      </c>
      <c r="K80" s="64">
        <v>45754</v>
      </c>
      <c r="L80" s="83">
        <v>40000</v>
      </c>
      <c r="M80" s="62" t="s">
        <v>220</v>
      </c>
      <c r="N80" s="62" t="s">
        <v>131</v>
      </c>
      <c r="O80" s="62" t="s">
        <v>227</v>
      </c>
      <c r="P80" s="62" t="s">
        <v>59</v>
      </c>
      <c r="Q80" s="63">
        <v>32138</v>
      </c>
      <c r="R80" s="62" t="s">
        <v>208</v>
      </c>
      <c r="S80" s="68" t="s">
        <v>332</v>
      </c>
      <c r="T80" s="68">
        <v>3158920305</v>
      </c>
      <c r="U80" s="62" t="s">
        <v>366</v>
      </c>
      <c r="V80" s="66" t="str">
        <f>IF(P80=CURSOS!$D$3,"DIPLOMADO EN ATENCION PRE-HOSPITALARIA",IF(P80=CURSOS!$D$4,"ACOMPAÑAMIENTO Y MANEJO DEL DUELO",IF(P80=CURSOS!$D$5,"ATENCION A VICTIMAS DE ATAQUE CON AGENTES QUIMICOS ",IF(P80=CURSOS!$D$6,"PRIMEROS AUXILIOS ",IF(P80=CURSOS!$D$7,"DIPLOMADO DE UNIDAD DE CUIDADOS INTENSIVOS (UCI)",IF(P80=CURSOS!$D$8,"MODELO DE ATENCION PARA EVENTOS EMERGENTES EN SALUD MENTAL (CODIGO VERDE)",IF(P80=CURSOS!$D$9,"HUMANIZACION EN EL SERVICIO DE LA SALUD Y BUENAS PRACTICAS EN PACIENTE ",IF(P80=CURSOS!$D$10,"CLINICA DE HERIDAS ",IF(P80=CURSOS!$D$11,"TOMA DE CITOLOGIA CERVICO VAGINAL ",IF(P80=CURSOS!$D$12,"SOPORTE CARDIOVASCULAR AVANZADO (ACLS) ",IF(P80=CURSOS!$D$13,"CAMILLERO ",IF(P80=CURSOS!$D$14,"TOMA DE MUESTRAS Y LABORATORIO ",IF(P80=CURSOS!$D$15,"SOPORTE VITAL BASICO (BLS)",IF(P80=CURSOS!$D$16,"ATENCION A VICTIMAS DE VIOLENCIA SEXUAL ",IF(P80=CURSOS!$D$17,"PROGRAMADO AMPLIADO DE INMUNIZACION (PAI - COVID 19)",IF(P80=CURSOS!$D$18,"ATENCION INTEGRAL EN ENFERMEDADES PREVALENTES EN PRIMERA INFANCIA (AIEPI)",IF(P80=CURSOS!$D$19,"ADMINISTRACION DE MEDICAMENTOS, INYECTOLOGIA  Y CANALIZACION ",IF(P80=CURSOS!$D$20,"OPERADOR DE VEHICULOS DE EMERGENCIA (OVE)",IF(P80=CURSOS!$D$21,"INSTITUCIONES AMIGAS DE LA MUJER Y LA INFANCIA (IAMI)",IF(P80=CURSOS!$D$22,"CUIDADO DEL DONANTE DE ORGANOS",IF(P80=CURSOS!$D$23,"ATENCION A VICTIMAS POR VIOLENCIA DE GENERO",IF(P80=CURSOS!$D$24,"IGUALDAD DE GENERO EN LA SALUD",IF(P80=CURSOS!$D$25,"BRIGADA DE EMERGENCIA",IF(P80=CURSOS!$D$26,"MANEJO DEL DOLOR Y CUIDADOS PALIATIVOS",IF(P80=CURSOS!$D$27,"TOMA DE MUESTRAS Y LABORATORIO POCT",IF(P80=CURSOS!$D$28,"IMPLANTE SUBDERMICO DE DISPOSITIVO INTRAUTERINO",IF(P80=CURSOS!$D$29,"SALUD MENTAL",IF(P80=CURSOS!$D$30,"PRIMEROS AUXILIOS PSICOLOGICOS",IF(P80=CURSOS!$D$31,"ATENCION A VICTIMAS POR CONFLICTO ARMADO",IF(P80=CURSOS!$D$32,"MANIPULACION DE ALIMENTOS Y BPM",IF(P80=CURSOS!$D$33,"ATENCION A PERSONAS CON DISCAPACIDAD",IF(P80=CURSOS!$D$34,"CUIDADO INTEGRAL DEL PACIENTE ADULTO",IF(P80=CURSOS!$D$35,"MANEJO DEFENSIVO",IF(P80=CURSOS!$D$36,"SOPORTE CARDIOVASCULAR AVANZADO NEONATAL",IF(P80=CURSOS!$D$37,"SEGURIDAD DEL PACIENTE",IF(P80=CURSOS!$D$38,"MANEJO DE RESIDUOS HOSPITALARIOS"))))))))))))))))))))))))))))))))))))</f>
        <v>TOMA DE MUESTRAS Y LABORATORIO POCT</v>
      </c>
      <c r="W80" s="66" t="str">
        <f t="shared" si="5"/>
        <v>Betti Lucero Ordoñez Muñoz</v>
      </c>
      <c r="X80" s="66" t="str">
        <f t="shared" si="6"/>
        <v>Betti Lucero Ordoñez Muñoz</v>
      </c>
      <c r="Y80" s="66" t="str">
        <f t="shared" si="7"/>
        <v>Betti Lucero Ordoñez Muñoz-1054988223-POCT</v>
      </c>
    </row>
    <row r="81" spans="1:25" s="60" customFormat="1" x14ac:dyDescent="0.2">
      <c r="A81" s="61">
        <v>80</v>
      </c>
      <c r="B81" s="62">
        <v>1085338527</v>
      </c>
      <c r="C81" s="62" t="s">
        <v>237</v>
      </c>
      <c r="D81" s="62" t="s">
        <v>367</v>
      </c>
      <c r="E81" s="62" t="s">
        <v>368</v>
      </c>
      <c r="F81" s="62" t="s">
        <v>189</v>
      </c>
      <c r="G81" s="62">
        <v>9</v>
      </c>
      <c r="H81" s="62" t="s">
        <v>127</v>
      </c>
      <c r="I81" s="62" t="s">
        <v>226</v>
      </c>
      <c r="J81" s="63" t="s">
        <v>227</v>
      </c>
      <c r="K81" s="64">
        <v>45756</v>
      </c>
      <c r="L81" s="83">
        <v>35000</v>
      </c>
      <c r="M81" s="62" t="s">
        <v>220</v>
      </c>
      <c r="N81" s="62" t="s">
        <v>131</v>
      </c>
      <c r="O81" s="62" t="s">
        <v>227</v>
      </c>
      <c r="P81" s="62" t="s">
        <v>25</v>
      </c>
      <c r="Q81" s="63">
        <v>35795</v>
      </c>
      <c r="R81" s="62" t="s">
        <v>209</v>
      </c>
      <c r="S81" s="68" t="s">
        <v>332</v>
      </c>
      <c r="T81" s="68">
        <v>3146417883</v>
      </c>
      <c r="U81" s="62" t="s">
        <v>369</v>
      </c>
      <c r="V81" s="66" t="str">
        <f>IF(P81=CURSOS!$D$3,"DIPLOMADO EN ATENCION PRE-HOSPITALARIA",IF(P81=CURSOS!$D$4,"ACOMPAÑAMIENTO Y MANEJO DEL DUELO",IF(P81=CURSOS!$D$5,"ATENCION A VICTIMAS DE ATAQUE CON AGENTES QUIMICOS ",IF(P81=CURSOS!$D$6,"PRIMEROS AUXILIOS ",IF(P81=CURSOS!$D$7,"DIPLOMADO DE UNIDAD DE CUIDADOS INTENSIVOS (UCI)",IF(P81=CURSOS!$D$8,"MODELO DE ATENCION PARA EVENTOS EMERGENTES EN SALUD MENTAL (CODIGO VERDE)",IF(P81=CURSOS!$D$9,"HUMANIZACION EN EL SERVICIO DE LA SALUD Y BUENAS PRACTICAS EN PACIENTE ",IF(P81=CURSOS!$D$10,"CLINICA DE HERIDAS ",IF(P81=CURSOS!$D$11,"TOMA DE CITOLOGIA CERVICO VAGINAL ",IF(P81=CURSOS!$D$12,"SOPORTE CARDIOVASCULAR AVANZADO (ACLS) ",IF(P81=CURSOS!$D$13,"CAMILLERO ",IF(P81=CURSOS!$D$14,"TOMA DE MUESTRAS Y LABORATORIO ",IF(P81=CURSOS!$D$15,"SOPORTE VITAL BASICO (BLS)",IF(P81=CURSOS!$D$16,"ATENCION A VICTIMAS DE VIOLENCIA SEXUAL ",IF(P81=CURSOS!$D$17,"PROGRAMADO AMPLIADO DE INMUNIZACION (PAI - COVID 19)",IF(P81=CURSOS!$D$18,"ATENCION INTEGRAL EN ENFERMEDADES PREVALENTES EN PRIMERA INFANCIA (AIEPI)",IF(P81=CURSOS!$D$19,"ADMINISTRACION DE MEDICAMENTOS, INYECTOLOGIA  Y CANALIZACION ",IF(P81=CURSOS!$D$20,"OPERADOR DE VEHICULOS DE EMERGENCIA (OVE)",IF(P81=CURSOS!$D$21,"INSTITUCIONES AMIGAS DE LA MUJER Y LA INFANCIA (IAMI)",IF(P81=CURSOS!$D$22,"CUIDADO DEL DONANTE DE ORGANOS",IF(P81=CURSOS!$D$23,"ATENCION A VICTIMAS POR VIOLENCIA DE GENERO",IF(P81=CURSOS!$D$24,"IGUALDAD DE GENERO EN LA SALUD",IF(P81=CURSOS!$D$25,"BRIGADA DE EMERGENCIA",IF(P81=CURSOS!$D$26,"MANEJO DEL DOLOR Y CUIDADOS PALIATIVOS",IF(P81=CURSOS!$D$27,"TOMA DE MUESTRAS Y LABORATORIO POCT",IF(P81=CURSOS!$D$28,"IMPLANTE SUBDERMICO DE DISPOSITIVO INTRAUTERINO",IF(P81=CURSOS!$D$29,"SALUD MENTAL",IF(P81=CURSOS!$D$30,"PRIMEROS AUXILIOS PSICOLOGICOS",IF(P81=CURSOS!$D$31,"ATENCION A VICTIMAS POR CONFLICTO ARMADO",IF(P81=CURSOS!$D$32,"MANIPULACION DE ALIMENTOS Y BPM",IF(P81=CURSOS!$D$33,"ATENCION A PERSONAS CON DISCAPACIDAD",IF(P81=CURSOS!$D$34,"CUIDADO INTEGRAL DEL PACIENTE ADULTO",IF(P81=CURSOS!$D$35,"MANEJO DEFENSIVO",IF(P81=CURSOS!$D$36,"SOPORTE CARDIOVASCULAR AVANZADO NEONATAL",IF(P81=CURSOS!$D$37,"SEGURIDAD DEL PACIENTE",IF(P81=CURSOS!$D$38,"MANEJO DE RESIDUOS HOSPITALARIOS"))))))))))))))))))))))))))))))))))))</f>
        <v xml:space="preserve">ATENCION A VICTIMAS DE ATAQUE CON AGENTES QUIMICOS </v>
      </c>
      <c r="W81" s="66" t="str">
        <f t="shared" si="5"/>
        <v>Steven Rodrigo Ortiz Meneses</v>
      </c>
      <c r="X81" s="66" t="str">
        <f t="shared" si="6"/>
        <v>Steven Rodrigo Ortiz Meneses</v>
      </c>
      <c r="Y81" s="66" t="str">
        <f t="shared" si="7"/>
        <v>Steven Rodrigo Ortiz Meneses-1085338527-QUIMICOS</v>
      </c>
    </row>
    <row r="82" spans="1:25" s="60" customFormat="1" x14ac:dyDescent="0.2">
      <c r="A82" s="61">
        <v>81</v>
      </c>
      <c r="B82" s="62">
        <v>1085338527</v>
      </c>
      <c r="C82" s="62" t="s">
        <v>237</v>
      </c>
      <c r="D82" s="62" t="s">
        <v>367</v>
      </c>
      <c r="E82" s="62" t="s">
        <v>368</v>
      </c>
      <c r="F82" s="62" t="s">
        <v>189</v>
      </c>
      <c r="G82" s="62">
        <v>8</v>
      </c>
      <c r="H82" s="62" t="s">
        <v>127</v>
      </c>
      <c r="I82" s="62" t="s">
        <v>226</v>
      </c>
      <c r="J82" s="63" t="s">
        <v>227</v>
      </c>
      <c r="K82" s="64">
        <v>45756</v>
      </c>
      <c r="L82" s="83">
        <v>35000</v>
      </c>
      <c r="M82" s="62" t="s">
        <v>220</v>
      </c>
      <c r="N82" s="62" t="s">
        <v>131</v>
      </c>
      <c r="O82" s="62" t="s">
        <v>227</v>
      </c>
      <c r="P82" s="62" t="s">
        <v>42</v>
      </c>
      <c r="Q82" s="63">
        <v>35795</v>
      </c>
      <c r="R82" s="62" t="s">
        <v>209</v>
      </c>
      <c r="S82" s="68" t="s">
        <v>332</v>
      </c>
      <c r="T82" s="68">
        <v>3146417883</v>
      </c>
      <c r="U82" s="82" t="s">
        <v>369</v>
      </c>
      <c r="V82" s="66" t="str">
        <f>IF(P82=CURSOS!$D$3,"DIPLOMADO EN ATENCION PRE-HOSPITALARIA",IF(P82=CURSOS!$D$4,"ACOMPAÑAMIENTO Y MANEJO DEL DUELO",IF(P82=CURSOS!$D$5,"ATENCION A VICTIMAS DE ATAQUE CON AGENTES QUIMICOS ",IF(P82=CURSOS!$D$6,"PRIMEROS AUXILIOS ",IF(P82=CURSOS!$D$7,"DIPLOMADO DE UNIDAD DE CUIDADOS INTENSIVOS (UCI)",IF(P82=CURSOS!$D$8,"MODELO DE ATENCION PARA EVENTOS EMERGENTES EN SALUD MENTAL (CODIGO VERDE)",IF(P82=CURSOS!$D$9,"HUMANIZACION EN EL SERVICIO DE LA SALUD Y BUENAS PRACTICAS EN PACIENTE ",IF(P82=CURSOS!$D$10,"CLINICA DE HERIDAS ",IF(P82=CURSOS!$D$11,"TOMA DE CITOLOGIA CERVICO VAGINAL ",IF(P82=CURSOS!$D$12,"SOPORTE CARDIOVASCULAR AVANZADO (ACLS) ",IF(P82=CURSOS!$D$13,"CAMILLERO ",IF(P82=CURSOS!$D$14,"TOMA DE MUESTRAS Y LABORATORIO ",IF(P82=CURSOS!$D$15,"SOPORTE VITAL BASICO (BLS)",IF(P82=CURSOS!$D$16,"ATENCION A VICTIMAS DE VIOLENCIA SEXUAL ",IF(P82=CURSOS!$D$17,"PROGRAMADO AMPLIADO DE INMUNIZACION (PAI - COVID 19)",IF(P82=CURSOS!$D$18,"ATENCION INTEGRAL EN ENFERMEDADES PREVALENTES EN PRIMERA INFANCIA (AIEPI)",IF(P82=CURSOS!$D$19,"ADMINISTRACION DE MEDICAMENTOS, INYECTOLOGIA  Y CANALIZACION ",IF(P82=CURSOS!$D$20,"OPERADOR DE VEHICULOS DE EMERGENCIA (OVE)",IF(P82=CURSOS!$D$21,"INSTITUCIONES AMIGAS DE LA MUJER Y LA INFANCIA (IAMI)",IF(P82=CURSOS!$D$22,"CUIDADO DEL DONANTE DE ORGANOS",IF(P82=CURSOS!$D$23,"ATENCION A VICTIMAS POR VIOLENCIA DE GENERO",IF(P82=CURSOS!$D$24,"IGUALDAD DE GENERO EN LA SALUD",IF(P82=CURSOS!$D$25,"BRIGADA DE EMERGENCIA",IF(P82=CURSOS!$D$26,"MANEJO DEL DOLOR Y CUIDADOS PALIATIVOS",IF(P82=CURSOS!$D$27,"TOMA DE MUESTRAS Y LABORATORIO POCT",IF(P82=CURSOS!$D$28,"IMPLANTE SUBDERMICO DE DISPOSITIVO INTRAUTERINO",IF(P82=CURSOS!$D$29,"SALUD MENTAL",IF(P82=CURSOS!$D$30,"PRIMEROS AUXILIOS PSICOLOGICOS",IF(P82=CURSOS!$D$31,"ATENCION A VICTIMAS POR CONFLICTO ARMADO",IF(P82=CURSOS!$D$32,"MANIPULACION DE ALIMENTOS Y BPM",IF(P82=CURSOS!$D$33,"ATENCION A PERSONAS CON DISCAPACIDAD",IF(P82=CURSOS!$D$34,"CUIDADO INTEGRAL DEL PACIENTE ADULTO",IF(P82=CURSOS!$D$35,"MANEJO DEFENSIVO",IF(P82=CURSOS!$D$36,"SOPORTE CARDIOVASCULAR AVANZADO NEONATAL",IF(P82=CURSOS!$D$37,"SEGURIDAD DEL PACIENTE",IF(P82=CURSOS!$D$38,"MANEJO DE RESIDUOS HOSPITALARIOS"))))))))))))))))))))))))))))))))))))</f>
        <v xml:space="preserve">ATENCION A VICTIMAS DE VIOLENCIA SEXUAL </v>
      </c>
      <c r="W82" s="66" t="str">
        <f t="shared" si="5"/>
        <v>Steven Rodrigo Ortiz Meneses</v>
      </c>
      <c r="X82" s="66" t="str">
        <f t="shared" si="6"/>
        <v>Steven Rodrigo Ortiz Meneses</v>
      </c>
      <c r="Y82" s="66" t="str">
        <f t="shared" si="7"/>
        <v>Steven Rodrigo Ortiz Meneses-1085338527-VIOLENCIA SEXUAL</v>
      </c>
    </row>
    <row r="83" spans="1:25" s="60" customFormat="1" x14ac:dyDescent="0.2">
      <c r="A83" s="61">
        <v>82</v>
      </c>
      <c r="B83" s="85">
        <v>98387547</v>
      </c>
      <c r="C83" s="62" t="s">
        <v>181</v>
      </c>
      <c r="D83" s="62" t="s">
        <v>370</v>
      </c>
      <c r="E83" s="62" t="s">
        <v>186</v>
      </c>
      <c r="F83" s="62" t="s">
        <v>371</v>
      </c>
      <c r="G83" s="62">
        <v>9</v>
      </c>
      <c r="H83" s="62" t="s">
        <v>127</v>
      </c>
      <c r="I83" s="62" t="s">
        <v>226</v>
      </c>
      <c r="J83" s="63" t="s">
        <v>334</v>
      </c>
      <c r="K83" s="64">
        <v>45756</v>
      </c>
      <c r="L83" s="83">
        <v>70000</v>
      </c>
      <c r="M83" s="62" t="s">
        <v>220</v>
      </c>
      <c r="N83" s="62" t="s">
        <v>131</v>
      </c>
      <c r="O83" s="62" t="s">
        <v>257</v>
      </c>
      <c r="P83" s="84" t="s">
        <v>25</v>
      </c>
      <c r="Q83" s="63">
        <v>27129</v>
      </c>
      <c r="R83" s="62" t="s">
        <v>209</v>
      </c>
      <c r="S83" s="97" t="s">
        <v>264</v>
      </c>
      <c r="T83" s="68">
        <v>3004814579</v>
      </c>
      <c r="U83" s="62" t="s">
        <v>372</v>
      </c>
      <c r="V83" s="66" t="str">
        <f>IF(P83=CURSOS!$D$3,"DIPLOMADO EN ATENCION PRE-HOSPITALARIA",IF(P83=CURSOS!$D$4,"ACOMPAÑAMIENTO Y MANEJO DEL DUELO",IF(P83=CURSOS!$D$5,"ATENCION A VICTIMAS DE ATAQUE CON AGENTES QUIMICOS ",IF(P83=CURSOS!$D$6,"PRIMEROS AUXILIOS ",IF(P83=CURSOS!$D$7,"DIPLOMADO DE UNIDAD DE CUIDADOS INTENSIVOS (UCI)",IF(P83=CURSOS!$D$8,"MODELO DE ATENCION PARA EVENTOS EMERGENTES EN SALUD MENTAL (CODIGO VERDE)",IF(P83=CURSOS!$D$9,"HUMANIZACION EN EL SERVICIO DE LA SALUD Y BUENAS PRACTICAS EN PACIENTE ",IF(P83=CURSOS!$D$10,"CLINICA DE HERIDAS ",IF(P83=CURSOS!$D$11,"TOMA DE CITOLOGIA CERVICO VAGINAL ",IF(P83=CURSOS!$D$12,"SOPORTE CARDIOVASCULAR AVANZADO (ACLS) ",IF(P83=CURSOS!$D$13,"CAMILLERO ",IF(P83=CURSOS!$D$14,"TOMA DE MUESTRAS Y LABORATORIO ",IF(P83=CURSOS!$D$15,"SOPORTE VITAL BASICO (BLS)",IF(P83=CURSOS!$D$16,"ATENCION A VICTIMAS DE VIOLENCIA SEXUAL ",IF(P83=CURSOS!$D$17,"PROGRAMADO AMPLIADO DE INMUNIZACION (PAI - COVID 19)",IF(P83=CURSOS!$D$18,"ATENCION INTEGRAL EN ENFERMEDADES PREVALENTES EN PRIMERA INFANCIA (AIEPI)",IF(P83=CURSOS!$D$19,"ADMINISTRACION DE MEDICAMENTOS, INYECTOLOGIA  Y CANALIZACION ",IF(P83=CURSOS!$D$20,"OPERADOR DE VEHICULOS DE EMERGENCIA (OVE)",IF(P83=CURSOS!$D$21,"INSTITUCIONES AMIGAS DE LA MUJER Y LA INFANCIA (IAMI)",IF(P83=CURSOS!$D$22,"CUIDADO DEL DONANTE DE ORGANOS",IF(P83=CURSOS!$D$23,"ATENCION A VICTIMAS POR VIOLENCIA DE GENERO",IF(P83=CURSOS!$D$24,"IGUALDAD DE GENERO EN LA SALUD",IF(P83=CURSOS!$D$25,"BRIGADA DE EMERGENCIA",IF(P83=CURSOS!$D$26,"MANEJO DEL DOLOR Y CUIDADOS PALIATIVOS",IF(P83=CURSOS!$D$27,"TOMA DE MUESTRAS Y LABORATORIO POCT",IF(P83=CURSOS!$D$28,"IMPLANTE SUBDERMICO DE DISPOSITIVO INTRAUTERINO",IF(P83=CURSOS!$D$29,"SALUD MENTAL",IF(P83=CURSOS!$D$30,"PRIMEROS AUXILIOS PSICOLOGICOS",IF(P83=CURSOS!$D$31,"ATENCION A VICTIMAS POR CONFLICTO ARMADO",IF(P83=CURSOS!$D$32,"MANIPULACION DE ALIMENTOS Y BPM",IF(P83=CURSOS!$D$33,"ATENCION A PERSONAS CON DISCAPACIDAD",IF(P83=CURSOS!$D$34,"CUIDADO INTEGRAL DEL PACIENTE ADULTO",IF(P83=CURSOS!$D$35,"MANEJO DEFENSIVO",IF(P83=CURSOS!$D$36,"SOPORTE CARDIOVASCULAR AVANZADO NEONATAL",IF(P83=CURSOS!$D$37,"SEGURIDAD DEL PACIENTE",IF(P83=CURSOS!$D$38,"MANEJO DE RESIDUOS HOSPITALARIOS"))))))))))))))))))))))))))))))))))))</f>
        <v xml:space="preserve">ATENCION A VICTIMAS DE ATAQUE CON AGENTES QUIMICOS </v>
      </c>
      <c r="W83" s="66" t="str">
        <f t="shared" si="5"/>
        <v>Andres Manuel Ceron Burbano</v>
      </c>
      <c r="X83" s="66" t="str">
        <f t="shared" si="6"/>
        <v>Andres Manuel Ceron Burbano</v>
      </c>
      <c r="Y83" s="66" t="str">
        <f t="shared" si="7"/>
        <v>Andres Manuel Ceron Burbano-98387547-QUIMICOS</v>
      </c>
    </row>
    <row r="84" spans="1:25" s="60" customFormat="1" x14ac:dyDescent="0.2">
      <c r="A84" s="61">
        <v>83</v>
      </c>
      <c r="B84" s="85">
        <v>98387547</v>
      </c>
      <c r="C84" s="62" t="s">
        <v>181</v>
      </c>
      <c r="D84" s="62" t="s">
        <v>370</v>
      </c>
      <c r="E84" s="62" t="s">
        <v>186</v>
      </c>
      <c r="F84" s="62" t="s">
        <v>371</v>
      </c>
      <c r="G84" s="62">
        <v>8</v>
      </c>
      <c r="H84" s="62" t="s">
        <v>127</v>
      </c>
      <c r="I84" s="62" t="s">
        <v>226</v>
      </c>
      <c r="J84" s="63" t="s">
        <v>334</v>
      </c>
      <c r="K84" s="64">
        <v>45756</v>
      </c>
      <c r="L84" s="83">
        <v>70000</v>
      </c>
      <c r="M84" s="62" t="s">
        <v>220</v>
      </c>
      <c r="N84" s="62" t="s">
        <v>131</v>
      </c>
      <c r="O84" s="62" t="s">
        <v>257</v>
      </c>
      <c r="P84" s="84" t="s">
        <v>42</v>
      </c>
      <c r="Q84" s="63">
        <v>27129</v>
      </c>
      <c r="R84" s="62" t="s">
        <v>209</v>
      </c>
      <c r="S84" s="97" t="s">
        <v>264</v>
      </c>
      <c r="T84" s="68">
        <v>3004814579</v>
      </c>
      <c r="U84" s="62" t="s">
        <v>372</v>
      </c>
      <c r="V84" s="66" t="str">
        <f>IF(P84=CURSOS!$D$3,"DIPLOMADO EN ATENCION PRE-HOSPITALARIA",IF(P84=CURSOS!$D$4,"ACOMPAÑAMIENTO Y MANEJO DEL DUELO",IF(P84=CURSOS!$D$5,"ATENCION A VICTIMAS DE ATAQUE CON AGENTES QUIMICOS ",IF(P84=CURSOS!$D$6,"PRIMEROS AUXILIOS ",IF(P84=CURSOS!$D$7,"DIPLOMADO DE UNIDAD DE CUIDADOS INTENSIVOS (UCI)",IF(P84=CURSOS!$D$8,"MODELO DE ATENCION PARA EVENTOS EMERGENTES EN SALUD MENTAL (CODIGO VERDE)",IF(P84=CURSOS!$D$9,"HUMANIZACION EN EL SERVICIO DE LA SALUD Y BUENAS PRACTICAS EN PACIENTE ",IF(P84=CURSOS!$D$10,"CLINICA DE HERIDAS ",IF(P84=CURSOS!$D$11,"TOMA DE CITOLOGIA CERVICO VAGINAL ",IF(P84=CURSOS!$D$12,"SOPORTE CARDIOVASCULAR AVANZADO (ACLS) ",IF(P84=CURSOS!$D$13,"CAMILLERO ",IF(P84=CURSOS!$D$14,"TOMA DE MUESTRAS Y LABORATORIO ",IF(P84=CURSOS!$D$15,"SOPORTE VITAL BASICO (BLS)",IF(P84=CURSOS!$D$16,"ATENCION A VICTIMAS DE VIOLENCIA SEXUAL ",IF(P84=CURSOS!$D$17,"PROGRAMADO AMPLIADO DE INMUNIZACION (PAI - COVID 19)",IF(P84=CURSOS!$D$18,"ATENCION INTEGRAL EN ENFERMEDADES PREVALENTES EN PRIMERA INFANCIA (AIEPI)",IF(P84=CURSOS!$D$19,"ADMINISTRACION DE MEDICAMENTOS, INYECTOLOGIA  Y CANALIZACION ",IF(P84=CURSOS!$D$20,"OPERADOR DE VEHICULOS DE EMERGENCIA (OVE)",IF(P84=CURSOS!$D$21,"INSTITUCIONES AMIGAS DE LA MUJER Y LA INFANCIA (IAMI)",IF(P84=CURSOS!$D$22,"CUIDADO DEL DONANTE DE ORGANOS",IF(P84=CURSOS!$D$23,"ATENCION A VICTIMAS POR VIOLENCIA DE GENERO",IF(P84=CURSOS!$D$24,"IGUALDAD DE GENERO EN LA SALUD",IF(P84=CURSOS!$D$25,"BRIGADA DE EMERGENCIA",IF(P84=CURSOS!$D$26,"MANEJO DEL DOLOR Y CUIDADOS PALIATIVOS",IF(P84=CURSOS!$D$27,"TOMA DE MUESTRAS Y LABORATORIO POCT",IF(P84=CURSOS!$D$28,"IMPLANTE SUBDERMICO DE DISPOSITIVO INTRAUTERINO",IF(P84=CURSOS!$D$29,"SALUD MENTAL",IF(P84=CURSOS!$D$30,"PRIMEROS AUXILIOS PSICOLOGICOS",IF(P84=CURSOS!$D$31,"ATENCION A VICTIMAS POR CONFLICTO ARMADO",IF(P84=CURSOS!$D$32,"MANIPULACION DE ALIMENTOS Y BPM",IF(P84=CURSOS!$D$33,"ATENCION A PERSONAS CON DISCAPACIDAD",IF(P84=CURSOS!$D$34,"CUIDADO INTEGRAL DEL PACIENTE ADULTO",IF(P84=CURSOS!$D$35,"MANEJO DEFENSIVO",IF(P84=CURSOS!$D$36,"SOPORTE CARDIOVASCULAR AVANZADO NEONATAL",IF(P84=CURSOS!$D$37,"SEGURIDAD DEL PACIENTE",IF(P84=CURSOS!$D$38,"MANEJO DE RESIDUOS HOSPITALARIOS"))))))))))))))))))))))))))))))))))))</f>
        <v xml:space="preserve">ATENCION A VICTIMAS DE VIOLENCIA SEXUAL </v>
      </c>
      <c r="W84" s="66" t="str">
        <f t="shared" si="5"/>
        <v>Andres Manuel Ceron Burbano</v>
      </c>
      <c r="X84" s="66" t="str">
        <f t="shared" si="6"/>
        <v>Andres Manuel Ceron Burbano</v>
      </c>
      <c r="Y84" s="66" t="str">
        <f t="shared" si="7"/>
        <v>Andres Manuel Ceron Burbano-98387547-VIOLENCIA SEXUAL</v>
      </c>
    </row>
    <row r="85" spans="1:25" s="60" customFormat="1" x14ac:dyDescent="0.2">
      <c r="A85" s="61">
        <v>84</v>
      </c>
      <c r="B85" s="62">
        <v>1004691955</v>
      </c>
      <c r="C85" s="62" t="s">
        <v>293</v>
      </c>
      <c r="D85" s="62" t="s">
        <v>373</v>
      </c>
      <c r="E85" s="62" t="s">
        <v>374</v>
      </c>
      <c r="F85" s="62" t="s">
        <v>375</v>
      </c>
      <c r="G85" s="62">
        <v>8</v>
      </c>
      <c r="H85" s="62" t="s">
        <v>127</v>
      </c>
      <c r="I85" s="62" t="s">
        <v>226</v>
      </c>
      <c r="J85" s="63" t="s">
        <v>334</v>
      </c>
      <c r="K85" s="64">
        <v>45755</v>
      </c>
      <c r="L85" s="83">
        <v>35000</v>
      </c>
      <c r="M85" s="62" t="s">
        <v>220</v>
      </c>
      <c r="N85" s="62" t="s">
        <v>131</v>
      </c>
      <c r="O85" s="62" t="s">
        <v>257</v>
      </c>
      <c r="P85" s="84" t="s">
        <v>42</v>
      </c>
      <c r="Q85" s="63">
        <v>37675</v>
      </c>
      <c r="R85" s="63" t="s">
        <v>209</v>
      </c>
      <c r="S85" s="99" t="s">
        <v>376</v>
      </c>
      <c r="T85" s="68">
        <v>3219924278</v>
      </c>
      <c r="U85" s="62" t="s">
        <v>377</v>
      </c>
      <c r="V85" s="66" t="str">
        <f>IF(P85=CURSOS!$D$3,"DIPLOMADO EN ATENCION PRE-HOSPITALARIA",IF(P85=CURSOS!$D$4,"ACOMPAÑAMIENTO Y MANEJO DEL DUELO",IF(P85=CURSOS!$D$5,"ATENCION A VICTIMAS DE ATAQUE CON AGENTES QUIMICOS ",IF(P85=CURSOS!$D$6,"PRIMEROS AUXILIOS ",IF(P85=CURSOS!$D$7,"DIPLOMADO DE UNIDAD DE CUIDADOS INTENSIVOS (UCI)",IF(P85=CURSOS!$D$8,"MODELO DE ATENCION PARA EVENTOS EMERGENTES EN SALUD MENTAL (CODIGO VERDE)",IF(P85=CURSOS!$D$9,"HUMANIZACION EN EL SERVICIO DE LA SALUD Y BUENAS PRACTICAS EN PACIENTE ",IF(P85=CURSOS!$D$10,"CLINICA DE HERIDAS ",IF(P85=CURSOS!$D$11,"TOMA DE CITOLOGIA CERVICO VAGINAL ",IF(P85=CURSOS!$D$12,"SOPORTE CARDIOVASCULAR AVANZADO (ACLS) ",IF(P85=CURSOS!$D$13,"CAMILLERO ",IF(P85=CURSOS!$D$14,"TOMA DE MUESTRAS Y LABORATORIO ",IF(P85=CURSOS!$D$15,"SOPORTE VITAL BASICO (BLS)",IF(P85=CURSOS!$D$16,"ATENCION A VICTIMAS DE VIOLENCIA SEXUAL ",IF(P85=CURSOS!$D$17,"PROGRAMADO AMPLIADO DE INMUNIZACION (PAI - COVID 19)",IF(P85=CURSOS!$D$18,"ATENCION INTEGRAL EN ENFERMEDADES PREVALENTES EN PRIMERA INFANCIA (AIEPI)",IF(P85=CURSOS!$D$19,"ADMINISTRACION DE MEDICAMENTOS, INYECTOLOGIA  Y CANALIZACION ",IF(P85=CURSOS!$D$20,"OPERADOR DE VEHICULOS DE EMERGENCIA (OVE)",IF(P85=CURSOS!$D$21,"INSTITUCIONES AMIGAS DE LA MUJER Y LA INFANCIA (IAMI)",IF(P85=CURSOS!$D$22,"CUIDADO DEL DONANTE DE ORGANOS",IF(P85=CURSOS!$D$23,"ATENCION A VICTIMAS POR VIOLENCIA DE GENERO",IF(P85=CURSOS!$D$24,"IGUALDAD DE GENERO EN LA SALUD",IF(P85=CURSOS!$D$25,"BRIGADA DE EMERGENCIA",IF(P85=CURSOS!$D$26,"MANEJO DEL DOLOR Y CUIDADOS PALIATIVOS",IF(P85=CURSOS!$D$27,"TOMA DE MUESTRAS Y LABORATORIO POCT",IF(P85=CURSOS!$D$28,"IMPLANTE SUBDERMICO DE DISPOSITIVO INTRAUTERINO",IF(P85=CURSOS!$D$29,"SALUD MENTAL",IF(P85=CURSOS!$D$30,"PRIMEROS AUXILIOS PSICOLOGICOS",IF(P85=CURSOS!$D$31,"ATENCION A VICTIMAS POR CONFLICTO ARMADO",IF(P85=CURSOS!$D$32,"MANIPULACION DE ALIMENTOS Y BPM",IF(P85=CURSOS!$D$33,"ATENCION A PERSONAS CON DISCAPACIDAD",IF(P85=CURSOS!$D$34,"CUIDADO INTEGRAL DEL PACIENTE ADULTO",IF(P85=CURSOS!$D$35,"MANEJO DEFENSIVO",IF(P85=CURSOS!$D$36,"SOPORTE CARDIOVASCULAR AVANZADO NEONATAL",IF(P85=CURSOS!$D$37,"SEGURIDAD DEL PACIENTE",IF(P85=CURSOS!$D$38,"MANEJO DE RESIDUOS HOSPITALARIOS"))))))))))))))))))))))))))))))))))))</f>
        <v xml:space="preserve">ATENCION A VICTIMAS DE VIOLENCIA SEXUAL </v>
      </c>
      <c r="W85" s="66" t="str">
        <f t="shared" si="5"/>
        <v>Jair Fernando Mueses Cuastumal</v>
      </c>
      <c r="X85" s="66" t="str">
        <f t="shared" si="6"/>
        <v>Jair Fernando Mueses Cuastumal</v>
      </c>
      <c r="Y85" s="66" t="str">
        <f t="shared" si="7"/>
        <v>Jair Fernando Mueses Cuastumal-1004691955-VIOLENCIA SEXUAL</v>
      </c>
    </row>
    <row r="86" spans="1:25" s="60" customFormat="1" x14ac:dyDescent="0.2">
      <c r="A86" s="61">
        <v>85</v>
      </c>
      <c r="B86" s="62">
        <v>1004691955</v>
      </c>
      <c r="C86" s="62" t="s">
        <v>293</v>
      </c>
      <c r="D86" s="62" t="s">
        <v>373</v>
      </c>
      <c r="E86" s="62" t="s">
        <v>374</v>
      </c>
      <c r="F86" s="62" t="s">
        <v>375</v>
      </c>
      <c r="G86" s="62">
        <v>9</v>
      </c>
      <c r="H86" s="62" t="s">
        <v>127</v>
      </c>
      <c r="I86" s="62" t="s">
        <v>226</v>
      </c>
      <c r="J86" s="63" t="s">
        <v>334</v>
      </c>
      <c r="K86" s="64">
        <v>45755</v>
      </c>
      <c r="L86" s="83">
        <v>35000</v>
      </c>
      <c r="M86" s="62" t="s">
        <v>220</v>
      </c>
      <c r="N86" s="62" t="s">
        <v>131</v>
      </c>
      <c r="O86" s="62" t="s">
        <v>257</v>
      </c>
      <c r="P86" s="84" t="s">
        <v>25</v>
      </c>
      <c r="Q86" s="63">
        <v>37675</v>
      </c>
      <c r="R86" s="63" t="s">
        <v>209</v>
      </c>
      <c r="S86" s="99" t="s">
        <v>376</v>
      </c>
      <c r="T86" s="68">
        <v>3219924278</v>
      </c>
      <c r="U86" s="62" t="s">
        <v>377</v>
      </c>
      <c r="V86" s="66" t="str">
        <f>IF(P86=CURSOS!$D$3,"DIPLOMADO EN ATENCION PRE-HOSPITALARIA",IF(P86=CURSOS!$D$4,"ACOMPAÑAMIENTO Y MANEJO DEL DUELO",IF(P86=CURSOS!$D$5,"ATENCION A VICTIMAS DE ATAQUE CON AGENTES QUIMICOS ",IF(P86=CURSOS!$D$6,"PRIMEROS AUXILIOS ",IF(P86=CURSOS!$D$7,"DIPLOMADO DE UNIDAD DE CUIDADOS INTENSIVOS (UCI)",IF(P86=CURSOS!$D$8,"MODELO DE ATENCION PARA EVENTOS EMERGENTES EN SALUD MENTAL (CODIGO VERDE)",IF(P86=CURSOS!$D$9,"HUMANIZACION EN EL SERVICIO DE LA SALUD Y BUENAS PRACTICAS EN PACIENTE ",IF(P86=CURSOS!$D$10,"CLINICA DE HERIDAS ",IF(P86=CURSOS!$D$11,"TOMA DE CITOLOGIA CERVICO VAGINAL ",IF(P86=CURSOS!$D$12,"SOPORTE CARDIOVASCULAR AVANZADO (ACLS) ",IF(P86=CURSOS!$D$13,"CAMILLERO ",IF(P86=CURSOS!$D$14,"TOMA DE MUESTRAS Y LABORATORIO ",IF(P86=CURSOS!$D$15,"SOPORTE VITAL BASICO (BLS)",IF(P86=CURSOS!$D$16,"ATENCION A VICTIMAS DE VIOLENCIA SEXUAL ",IF(P86=CURSOS!$D$17,"PROGRAMADO AMPLIADO DE INMUNIZACION (PAI - COVID 19)",IF(P86=CURSOS!$D$18,"ATENCION INTEGRAL EN ENFERMEDADES PREVALENTES EN PRIMERA INFANCIA (AIEPI)",IF(P86=CURSOS!$D$19,"ADMINISTRACION DE MEDICAMENTOS, INYECTOLOGIA  Y CANALIZACION ",IF(P86=CURSOS!$D$20,"OPERADOR DE VEHICULOS DE EMERGENCIA (OVE)",IF(P86=CURSOS!$D$21,"INSTITUCIONES AMIGAS DE LA MUJER Y LA INFANCIA (IAMI)",IF(P86=CURSOS!$D$22,"CUIDADO DEL DONANTE DE ORGANOS",IF(P86=CURSOS!$D$23,"ATENCION A VICTIMAS POR VIOLENCIA DE GENERO",IF(P86=CURSOS!$D$24,"IGUALDAD DE GENERO EN LA SALUD",IF(P86=CURSOS!$D$25,"BRIGADA DE EMERGENCIA",IF(P86=CURSOS!$D$26,"MANEJO DEL DOLOR Y CUIDADOS PALIATIVOS",IF(P86=CURSOS!$D$27,"TOMA DE MUESTRAS Y LABORATORIO POCT",IF(P86=CURSOS!$D$28,"IMPLANTE SUBDERMICO DE DISPOSITIVO INTRAUTERINO",IF(P86=CURSOS!$D$29,"SALUD MENTAL",IF(P86=CURSOS!$D$30,"PRIMEROS AUXILIOS PSICOLOGICOS",IF(P86=CURSOS!$D$31,"ATENCION A VICTIMAS POR CONFLICTO ARMADO",IF(P86=CURSOS!$D$32,"MANIPULACION DE ALIMENTOS Y BPM",IF(P86=CURSOS!$D$33,"ATENCION A PERSONAS CON DISCAPACIDAD",IF(P86=CURSOS!$D$34,"CUIDADO INTEGRAL DEL PACIENTE ADULTO",IF(P86=CURSOS!$D$35,"MANEJO DEFENSIVO",IF(P86=CURSOS!$D$36,"SOPORTE CARDIOVASCULAR AVANZADO NEONATAL",IF(P86=CURSOS!$D$37,"SEGURIDAD DEL PACIENTE",IF(P86=CURSOS!$D$38,"MANEJO DE RESIDUOS HOSPITALARIOS"))))))))))))))))))))))))))))))))))))</f>
        <v xml:space="preserve">ATENCION A VICTIMAS DE ATAQUE CON AGENTES QUIMICOS </v>
      </c>
      <c r="W86" s="66" t="str">
        <f t="shared" si="5"/>
        <v>Jair Fernando Mueses Cuastumal</v>
      </c>
      <c r="X86" s="66" t="str">
        <f t="shared" si="6"/>
        <v>Jair Fernando Mueses Cuastumal</v>
      </c>
      <c r="Y86" s="66" t="str">
        <f t="shared" si="7"/>
        <v>Jair Fernando Mueses Cuastumal-1004691955-QUIMICOS</v>
      </c>
    </row>
    <row r="87" spans="1:25" s="60" customFormat="1" x14ac:dyDescent="0.2">
      <c r="A87" s="61">
        <v>86</v>
      </c>
      <c r="B87" s="62">
        <v>1004691955</v>
      </c>
      <c r="C87" s="62" t="s">
        <v>293</v>
      </c>
      <c r="D87" s="62" t="s">
        <v>373</v>
      </c>
      <c r="E87" s="62" t="s">
        <v>374</v>
      </c>
      <c r="F87" s="62" t="s">
        <v>375</v>
      </c>
      <c r="G87" s="62">
        <v>7</v>
      </c>
      <c r="H87" s="62" t="s">
        <v>127</v>
      </c>
      <c r="I87" s="62" t="s">
        <v>226</v>
      </c>
      <c r="J87" s="63" t="s">
        <v>334</v>
      </c>
      <c r="K87" s="64">
        <v>45755</v>
      </c>
      <c r="L87" s="83">
        <v>35000</v>
      </c>
      <c r="M87" s="62" t="s">
        <v>220</v>
      </c>
      <c r="N87" s="62" t="s">
        <v>131</v>
      </c>
      <c r="O87" s="62" t="s">
        <v>257</v>
      </c>
      <c r="P87" s="84" t="s">
        <v>19</v>
      </c>
      <c r="Q87" s="63">
        <v>37675</v>
      </c>
      <c r="R87" s="63" t="s">
        <v>209</v>
      </c>
      <c r="S87" s="99" t="s">
        <v>376</v>
      </c>
      <c r="T87" s="68">
        <v>3219924278</v>
      </c>
      <c r="U87" s="62" t="s">
        <v>377</v>
      </c>
      <c r="V87" s="66" t="str">
        <f>IF(P87=CURSOS!$D$3,"DIPLOMADO EN ATENCION PRE-HOSPITALARIA",IF(P87=CURSOS!$D$4,"ACOMPAÑAMIENTO Y MANEJO DEL DUELO",IF(P87=CURSOS!$D$5,"ATENCION A VICTIMAS DE ATAQUE CON AGENTES QUIMICOS ",IF(P87=CURSOS!$D$6,"PRIMEROS AUXILIOS ",IF(P87=CURSOS!$D$7,"DIPLOMADO DE UNIDAD DE CUIDADOS INTENSIVOS (UCI)",IF(P87=CURSOS!$D$8,"MODELO DE ATENCION PARA EVENTOS EMERGENTES EN SALUD MENTAL (CODIGO VERDE)",IF(P87=CURSOS!$D$9,"HUMANIZACION EN EL SERVICIO DE LA SALUD Y BUENAS PRACTICAS EN PACIENTE ",IF(P87=CURSOS!$D$10,"CLINICA DE HERIDAS ",IF(P87=CURSOS!$D$11,"TOMA DE CITOLOGIA CERVICO VAGINAL ",IF(P87=CURSOS!$D$12,"SOPORTE CARDIOVASCULAR AVANZADO (ACLS) ",IF(P87=CURSOS!$D$13,"CAMILLERO ",IF(P87=CURSOS!$D$14,"TOMA DE MUESTRAS Y LABORATORIO ",IF(P87=CURSOS!$D$15,"SOPORTE VITAL BASICO (BLS)",IF(P87=CURSOS!$D$16,"ATENCION A VICTIMAS DE VIOLENCIA SEXUAL ",IF(P87=CURSOS!$D$17,"PROGRAMADO AMPLIADO DE INMUNIZACION (PAI - COVID 19)",IF(P87=CURSOS!$D$18,"ATENCION INTEGRAL EN ENFERMEDADES PREVALENTES EN PRIMERA INFANCIA (AIEPI)",IF(P87=CURSOS!$D$19,"ADMINISTRACION DE MEDICAMENTOS, INYECTOLOGIA  Y CANALIZACION ",IF(P87=CURSOS!$D$20,"OPERADOR DE VEHICULOS DE EMERGENCIA (OVE)",IF(P87=CURSOS!$D$21,"INSTITUCIONES AMIGAS DE LA MUJER Y LA INFANCIA (IAMI)",IF(P87=CURSOS!$D$22,"CUIDADO DEL DONANTE DE ORGANOS",IF(P87=CURSOS!$D$23,"ATENCION A VICTIMAS POR VIOLENCIA DE GENERO",IF(P87=CURSOS!$D$24,"IGUALDAD DE GENERO EN LA SALUD",IF(P87=CURSOS!$D$25,"BRIGADA DE EMERGENCIA",IF(P87=CURSOS!$D$26,"MANEJO DEL DOLOR Y CUIDADOS PALIATIVOS",IF(P87=CURSOS!$D$27,"TOMA DE MUESTRAS Y LABORATORIO POCT",IF(P87=CURSOS!$D$28,"IMPLANTE SUBDERMICO DE DISPOSITIVO INTRAUTERINO",IF(P87=CURSOS!$D$29,"SALUD MENTAL",IF(P87=CURSOS!$D$30,"PRIMEROS AUXILIOS PSICOLOGICOS",IF(P87=CURSOS!$D$31,"ATENCION A VICTIMAS POR CONFLICTO ARMADO",IF(P87=CURSOS!$D$32,"MANIPULACION DE ALIMENTOS Y BPM",IF(P87=CURSOS!$D$33,"ATENCION A PERSONAS CON DISCAPACIDAD",IF(P87=CURSOS!$D$34,"CUIDADO INTEGRAL DEL PACIENTE ADULTO",IF(P87=CURSOS!$D$35,"MANEJO DEFENSIVO",IF(P87=CURSOS!$D$36,"SOPORTE CARDIOVASCULAR AVANZADO NEONATAL",IF(P87=CURSOS!$D$37,"SEGURIDAD DEL PACIENTE",IF(P87=CURSOS!$D$38,"MANEJO DE RESIDUOS HOSPITALARIOS"))))))))))))))))))))))))))))))))))))</f>
        <v>SOPORTE VITAL BASICO (BLS)</v>
      </c>
      <c r="W87" s="66" t="str">
        <f t="shared" si="5"/>
        <v>Jair Fernando Mueses Cuastumal</v>
      </c>
      <c r="X87" s="66" t="str">
        <f t="shared" si="6"/>
        <v>Jair Fernando Mueses Cuastumal</v>
      </c>
      <c r="Y87" s="66" t="str">
        <f t="shared" si="7"/>
        <v>Jair Fernando Mueses Cuastumal-1004691955-BLS</v>
      </c>
    </row>
    <row r="88" spans="1:25" s="60" customFormat="1" x14ac:dyDescent="0.2">
      <c r="A88" s="61">
        <v>87</v>
      </c>
      <c r="B88" s="62">
        <v>1004564459</v>
      </c>
      <c r="C88" s="62" t="s">
        <v>378</v>
      </c>
      <c r="D88" s="62" t="s">
        <v>379</v>
      </c>
      <c r="E88" s="62" t="s">
        <v>380</v>
      </c>
      <c r="F88" s="62" t="s">
        <v>224</v>
      </c>
      <c r="G88" s="62">
        <v>9</v>
      </c>
      <c r="H88" s="62" t="s">
        <v>127</v>
      </c>
      <c r="I88" s="62" t="s">
        <v>226</v>
      </c>
      <c r="J88" s="63" t="s">
        <v>334</v>
      </c>
      <c r="K88" s="64">
        <v>45756</v>
      </c>
      <c r="L88" s="83">
        <v>35000</v>
      </c>
      <c r="M88" s="62" t="s">
        <v>220</v>
      </c>
      <c r="N88" s="62" t="s">
        <v>131</v>
      </c>
      <c r="O88" s="87" t="s">
        <v>257</v>
      </c>
      <c r="P88" s="84" t="s">
        <v>64</v>
      </c>
      <c r="Q88" s="63">
        <v>37458</v>
      </c>
      <c r="R88" s="63" t="s">
        <v>208</v>
      </c>
      <c r="S88" s="97" t="s">
        <v>337</v>
      </c>
      <c r="T88" s="68">
        <v>3182500981</v>
      </c>
      <c r="U88" s="86" t="s">
        <v>381</v>
      </c>
      <c r="V88" s="66" t="str">
        <f>IF(P88=CURSOS!$D$3,"DIPLOMADO EN ATENCION PRE-HOSPITALARIA",IF(P88=CURSOS!$D$4,"ACOMPAÑAMIENTO Y MANEJO DEL DUELO",IF(P88=CURSOS!$D$5,"ATENCION A VICTIMAS DE ATAQUE CON AGENTES QUIMICOS ",IF(P88=CURSOS!$D$6,"PRIMEROS AUXILIOS ",IF(P88=CURSOS!$D$7,"DIPLOMADO DE UNIDAD DE CUIDADOS INTENSIVOS (UCI)",IF(P88=CURSOS!$D$8,"MODELO DE ATENCION PARA EVENTOS EMERGENTES EN SALUD MENTAL (CODIGO VERDE)",IF(P88=CURSOS!$D$9,"HUMANIZACION EN EL SERVICIO DE LA SALUD Y BUENAS PRACTICAS EN PACIENTE ",IF(P88=CURSOS!$D$10,"CLINICA DE HERIDAS ",IF(P88=CURSOS!$D$11,"TOMA DE CITOLOGIA CERVICO VAGINAL ",IF(P88=CURSOS!$D$12,"SOPORTE CARDIOVASCULAR AVANZADO (ACLS) ",IF(P88=CURSOS!$D$13,"CAMILLERO ",IF(P88=CURSOS!$D$14,"TOMA DE MUESTRAS Y LABORATORIO ",IF(P88=CURSOS!$D$15,"SOPORTE VITAL BASICO (BLS)",IF(P88=CURSOS!$D$16,"ATENCION A VICTIMAS DE VIOLENCIA SEXUAL ",IF(P88=CURSOS!$D$17,"PROGRAMADO AMPLIADO DE INMUNIZACION (PAI - COVID 19)",IF(P88=CURSOS!$D$18,"ATENCION INTEGRAL EN ENFERMEDADES PREVALENTES EN PRIMERA INFANCIA (AIEPI)",IF(P88=CURSOS!$D$19,"ADMINISTRACION DE MEDICAMENTOS, INYECTOLOGIA  Y CANALIZACION ",IF(P88=CURSOS!$D$20,"OPERADOR DE VEHICULOS DE EMERGENCIA (OVE)",IF(P88=CURSOS!$D$21,"INSTITUCIONES AMIGAS DE LA MUJER Y LA INFANCIA (IAMI)",IF(P88=CURSOS!$D$22,"CUIDADO DEL DONANTE DE ORGANOS",IF(P88=CURSOS!$D$23,"ATENCION A VICTIMAS POR VIOLENCIA DE GENERO",IF(P88=CURSOS!$D$24,"IGUALDAD DE GENERO EN LA SALUD",IF(P88=CURSOS!$D$25,"BRIGADA DE EMERGENCIA",IF(P88=CURSOS!$D$26,"MANEJO DEL DOLOR Y CUIDADOS PALIATIVOS",IF(P88=CURSOS!$D$27,"TOMA DE MUESTRAS Y LABORATORIO POCT",IF(P88=CURSOS!$D$28,"IMPLANTE SUBDERMICO DE DISPOSITIVO INTRAUTERINO",IF(P88=CURSOS!$D$29,"SALUD MENTAL",IF(P88=CURSOS!$D$30,"PRIMEROS AUXILIOS PSICOLOGICOS",IF(P88=CURSOS!$D$31,"ATENCION A VICTIMAS POR CONFLICTO ARMADO",IF(P88=CURSOS!$D$32,"MANIPULACION DE ALIMENTOS Y BPM",IF(P88=CURSOS!$D$33,"ATENCION A PERSONAS CON DISCAPACIDAD",IF(P88=CURSOS!$D$34,"CUIDADO INTEGRAL DEL PACIENTE ADULTO",IF(P88=CURSOS!$D$35,"MANEJO DEFENSIVO",IF(P88=CURSOS!$D$36,"SOPORTE CARDIOVASCULAR AVANZADO NEONATAL",IF(P88=CURSOS!$D$37,"SEGURIDAD DEL PACIENTE",IF(P88=CURSOS!$D$38,"MANEJO DE RESIDUOS HOSPITALARIOS"))))))))))))))))))))))))))))))))))))</f>
        <v>ATENCION A VICTIMAS POR CONFLICTO ARMADO</v>
      </c>
      <c r="W88" s="66" t="str">
        <f t="shared" si="5"/>
        <v>Silvia Yurany Nasner Natib</v>
      </c>
      <c r="X88" s="66" t="str">
        <f t="shared" si="6"/>
        <v>Silvia Yurany Nasner Natib</v>
      </c>
      <c r="Y88" s="66" t="str">
        <f t="shared" si="7"/>
        <v>Silvia Yurany Nasner Natib-1004564459-CONFLICTO ARMADO</v>
      </c>
    </row>
    <row r="89" spans="1:25" s="60" customFormat="1" x14ac:dyDescent="0.2">
      <c r="A89" s="61">
        <v>88</v>
      </c>
      <c r="B89" s="62">
        <v>1004564459</v>
      </c>
      <c r="C89" s="62" t="s">
        <v>378</v>
      </c>
      <c r="D89" s="62" t="s">
        <v>379</v>
      </c>
      <c r="E89" s="62" t="s">
        <v>380</v>
      </c>
      <c r="F89" s="62" t="s">
        <v>224</v>
      </c>
      <c r="G89" s="62">
        <v>8</v>
      </c>
      <c r="H89" s="62" t="s">
        <v>127</v>
      </c>
      <c r="I89" s="62" t="s">
        <v>226</v>
      </c>
      <c r="J89" s="63" t="s">
        <v>334</v>
      </c>
      <c r="K89" s="64">
        <v>45756</v>
      </c>
      <c r="L89" s="83">
        <v>35000</v>
      </c>
      <c r="M89" s="62" t="s">
        <v>220</v>
      </c>
      <c r="N89" s="62" t="s">
        <v>131</v>
      </c>
      <c r="O89" s="87" t="s">
        <v>257</v>
      </c>
      <c r="P89" s="62" t="s">
        <v>42</v>
      </c>
      <c r="Q89" s="63">
        <v>37458</v>
      </c>
      <c r="R89" s="63" t="s">
        <v>208</v>
      </c>
      <c r="S89" s="97" t="s">
        <v>337</v>
      </c>
      <c r="T89" s="68">
        <v>3182500981</v>
      </c>
      <c r="U89" s="86" t="s">
        <v>381</v>
      </c>
      <c r="V89" s="66" t="str">
        <f>IF(P89=CURSOS!$D$3,"DIPLOMADO EN ATENCION PRE-HOSPITALARIA",IF(P89=CURSOS!$D$4,"ACOMPAÑAMIENTO Y MANEJO DEL DUELO",IF(P89=CURSOS!$D$5,"ATENCION A VICTIMAS DE ATAQUE CON AGENTES QUIMICOS ",IF(P89=CURSOS!$D$6,"PRIMEROS AUXILIOS ",IF(P89=CURSOS!$D$7,"DIPLOMADO DE UNIDAD DE CUIDADOS INTENSIVOS (UCI)",IF(P89=CURSOS!$D$8,"MODELO DE ATENCION PARA EVENTOS EMERGENTES EN SALUD MENTAL (CODIGO VERDE)",IF(P89=CURSOS!$D$9,"HUMANIZACION EN EL SERVICIO DE LA SALUD Y BUENAS PRACTICAS EN PACIENTE ",IF(P89=CURSOS!$D$10,"CLINICA DE HERIDAS ",IF(P89=CURSOS!$D$11,"TOMA DE CITOLOGIA CERVICO VAGINAL ",IF(P89=CURSOS!$D$12,"SOPORTE CARDIOVASCULAR AVANZADO (ACLS) ",IF(P89=CURSOS!$D$13,"CAMILLERO ",IF(P89=CURSOS!$D$14,"TOMA DE MUESTRAS Y LABORATORIO ",IF(P89=CURSOS!$D$15,"SOPORTE VITAL BASICO (BLS)",IF(P89=CURSOS!$D$16,"ATENCION A VICTIMAS DE VIOLENCIA SEXUAL ",IF(P89=CURSOS!$D$17,"PROGRAMADO AMPLIADO DE INMUNIZACION (PAI - COVID 19)",IF(P89=CURSOS!$D$18,"ATENCION INTEGRAL EN ENFERMEDADES PREVALENTES EN PRIMERA INFANCIA (AIEPI)",IF(P89=CURSOS!$D$19,"ADMINISTRACION DE MEDICAMENTOS, INYECTOLOGIA  Y CANALIZACION ",IF(P89=CURSOS!$D$20,"OPERADOR DE VEHICULOS DE EMERGENCIA (OVE)",IF(P89=CURSOS!$D$21,"INSTITUCIONES AMIGAS DE LA MUJER Y LA INFANCIA (IAMI)",IF(P89=CURSOS!$D$22,"CUIDADO DEL DONANTE DE ORGANOS",IF(P89=CURSOS!$D$23,"ATENCION A VICTIMAS POR VIOLENCIA DE GENERO",IF(P89=CURSOS!$D$24,"IGUALDAD DE GENERO EN LA SALUD",IF(P89=CURSOS!$D$25,"BRIGADA DE EMERGENCIA",IF(P89=CURSOS!$D$26,"MANEJO DEL DOLOR Y CUIDADOS PALIATIVOS",IF(P89=CURSOS!$D$27,"TOMA DE MUESTRAS Y LABORATORIO POCT",IF(P89=CURSOS!$D$28,"IMPLANTE SUBDERMICO DE DISPOSITIVO INTRAUTERINO",IF(P89=CURSOS!$D$29,"SALUD MENTAL",IF(P89=CURSOS!$D$30,"PRIMEROS AUXILIOS PSICOLOGICOS",IF(P89=CURSOS!$D$31,"ATENCION A VICTIMAS POR CONFLICTO ARMADO",IF(P89=CURSOS!$D$32,"MANIPULACION DE ALIMENTOS Y BPM",IF(P89=CURSOS!$D$33,"ATENCION A PERSONAS CON DISCAPACIDAD",IF(P89=CURSOS!$D$34,"CUIDADO INTEGRAL DEL PACIENTE ADULTO",IF(P89=CURSOS!$D$35,"MANEJO DEFENSIVO",IF(P89=CURSOS!$D$36,"SOPORTE CARDIOVASCULAR AVANZADO NEONATAL",IF(P89=CURSOS!$D$37,"SEGURIDAD DEL PACIENTE",IF(P89=CURSOS!$D$38,"MANEJO DE RESIDUOS HOSPITALARIOS"))))))))))))))))))))))))))))))))))))</f>
        <v xml:space="preserve">ATENCION A VICTIMAS DE VIOLENCIA SEXUAL </v>
      </c>
      <c r="W89" s="66" t="str">
        <f t="shared" si="5"/>
        <v>Silvia Yurany Nasner Natib</v>
      </c>
      <c r="X89" s="66" t="str">
        <f t="shared" si="6"/>
        <v>Silvia Yurany Nasner Natib</v>
      </c>
      <c r="Y89" s="66" t="str">
        <f t="shared" si="7"/>
        <v>Silvia Yurany Nasner Natib-1004564459-VIOLENCIA SEXUAL</v>
      </c>
    </row>
    <row r="90" spans="1:25" s="60" customFormat="1" x14ac:dyDescent="0.2">
      <c r="A90" s="61">
        <v>89</v>
      </c>
      <c r="B90" s="62">
        <v>1193276041</v>
      </c>
      <c r="C90" s="62" t="s">
        <v>382</v>
      </c>
      <c r="D90" s="62" t="s">
        <v>383</v>
      </c>
      <c r="E90" s="62" t="s">
        <v>384</v>
      </c>
      <c r="F90" s="62" t="s">
        <v>102</v>
      </c>
      <c r="G90" s="62">
        <v>9</v>
      </c>
      <c r="H90" s="62" t="s">
        <v>127</v>
      </c>
      <c r="I90" s="62" t="s">
        <v>128</v>
      </c>
      <c r="J90" s="63" t="s">
        <v>401</v>
      </c>
      <c r="K90" s="64" t="s">
        <v>392</v>
      </c>
      <c r="L90" s="83">
        <v>70000</v>
      </c>
      <c r="M90" s="62" t="s">
        <v>393</v>
      </c>
      <c r="N90" s="62" t="s">
        <v>131</v>
      </c>
      <c r="O90" s="87" t="s">
        <v>257</v>
      </c>
      <c r="P90" s="62" t="s">
        <v>45</v>
      </c>
      <c r="Q90" s="63">
        <v>36924</v>
      </c>
      <c r="R90" s="63" t="s">
        <v>208</v>
      </c>
      <c r="S90" s="96" t="s">
        <v>385</v>
      </c>
      <c r="T90" s="68">
        <v>3234054255</v>
      </c>
      <c r="U90" s="86" t="s">
        <v>386</v>
      </c>
      <c r="V90" s="66" t="str">
        <f>IF(P90=CURSOS!$D$3,"DIPLOMADO EN ATENCION PRE-HOSPITALARIA",IF(P90=CURSOS!$D$4,"ACOMPAÑAMIENTO Y MANEJO DEL DUELO",IF(P90=CURSOS!$D$5,"ATENCION A VICTIMAS DE ATAQUE CON AGENTES QUIMICOS ",IF(P90=CURSOS!$D$6,"PRIMEROS AUXILIOS ",IF(P90=CURSOS!$D$7,"DIPLOMADO DE UNIDAD DE CUIDADOS INTENSIVOS (UCI)",IF(P90=CURSOS!$D$8,"MODELO DE ATENCION PARA EVENTOS EMERGENTES EN SALUD MENTAL (CODIGO VERDE)",IF(P90=CURSOS!$D$9,"HUMANIZACION EN EL SERVICIO DE LA SALUD Y BUENAS PRACTICAS EN PACIENTE ",IF(P90=CURSOS!$D$10,"CLINICA DE HERIDAS ",IF(P90=CURSOS!$D$11,"TOMA DE CITOLOGIA CERVICO VAGINAL ",IF(P90=CURSOS!$D$12,"SOPORTE CARDIOVASCULAR AVANZADO (ACLS) ",IF(P90=CURSOS!$D$13,"CAMILLERO ",IF(P90=CURSOS!$D$14,"TOMA DE MUESTRAS Y LABORATORIO ",IF(P90=CURSOS!$D$15,"SOPORTE VITAL BASICO (BLS)",IF(P90=CURSOS!$D$16,"ATENCION A VICTIMAS DE VIOLENCIA SEXUAL ",IF(P90=CURSOS!$D$17,"PROGRAMADO AMPLIADO DE INMUNIZACION (PAI - COVID 19)",IF(P90=CURSOS!$D$18,"ATENCION INTEGRAL EN ENFERMEDADES PREVALENTES EN PRIMERA INFANCIA (AIEPI)",IF(P90=CURSOS!$D$19,"ADMINISTRACION DE MEDICAMENTOS, INYECTOLOGIA  Y CANALIZACION ",IF(P90=CURSOS!$D$20,"OPERADOR DE VEHICULOS DE EMERGENCIA (OVE)",IF(P90=CURSOS!$D$21,"INSTITUCIONES AMIGAS DE LA MUJER Y LA INFANCIA (IAMI)",IF(P90=CURSOS!$D$22,"CUIDADO DEL DONANTE DE ORGANOS",IF(P90=CURSOS!$D$23,"ATENCION A VICTIMAS POR VIOLENCIA DE GENERO",IF(P90=CURSOS!$D$24,"IGUALDAD DE GENERO EN LA SALUD",IF(P90=CURSOS!$D$25,"BRIGADA DE EMERGENCIA",IF(P90=CURSOS!$D$26,"MANEJO DEL DOLOR Y CUIDADOS PALIATIVOS",IF(P90=CURSOS!$D$27,"TOMA DE MUESTRAS Y LABORATORIO POCT",IF(P90=CURSOS!$D$28,"IMPLANTE SUBDERMICO DE DISPOSITIVO INTRAUTERINO",IF(P90=CURSOS!$D$29,"SALUD MENTAL",IF(P90=CURSOS!$D$30,"PRIMEROS AUXILIOS PSICOLOGICOS",IF(P90=CURSOS!$D$31,"ATENCION A VICTIMAS POR CONFLICTO ARMADO",IF(P90=CURSOS!$D$32,"MANIPULACION DE ALIMENTOS Y BPM",IF(P90=CURSOS!$D$33,"ATENCION A PERSONAS CON DISCAPACIDAD",IF(P90=CURSOS!$D$34,"CUIDADO INTEGRAL DEL PACIENTE ADULTO",IF(P90=CURSOS!$D$35,"MANEJO DEFENSIVO",IF(P90=CURSOS!$D$36,"SOPORTE CARDIOVASCULAR AVANZADO NEONATAL",IF(P90=CURSOS!$D$37,"SEGURIDAD DEL PACIENTE",IF(P90=CURSOS!$D$38,"MANEJO DE RESIDUOS HOSPITALARIOS"))))))))))))))))))))))))))))))))))))</f>
        <v xml:space="preserve">ADMINISTRACION DE MEDICAMENTOS, INYECTOLOGIA  Y CANALIZACION </v>
      </c>
      <c r="W90" s="66" t="str">
        <f t="shared" si="5"/>
        <v>Valeria Sofia Serrano Delgado</v>
      </c>
      <c r="X90" s="66" t="str">
        <f t="shared" si="6"/>
        <v>Valeria Sofia Serrano Delgado</v>
      </c>
      <c r="Y90" s="66" t="str">
        <f t="shared" si="7"/>
        <v>Valeria Sofia Serrano Delgado-1193276041-ADMON DE MEDICAMENTOS</v>
      </c>
    </row>
    <row r="91" spans="1:25" s="88" customFormat="1" x14ac:dyDescent="0.2">
      <c r="A91" s="61">
        <v>90</v>
      </c>
      <c r="B91" s="62">
        <v>59833676</v>
      </c>
      <c r="C91" s="62" t="s">
        <v>383</v>
      </c>
      <c r="D91" s="62" t="s">
        <v>278</v>
      </c>
      <c r="E91" s="62" t="s">
        <v>387</v>
      </c>
      <c r="F91" s="62" t="s">
        <v>388</v>
      </c>
      <c r="G91" s="62">
        <v>9</v>
      </c>
      <c r="H91" s="62" t="s">
        <v>127</v>
      </c>
      <c r="I91" s="62" t="s">
        <v>128</v>
      </c>
      <c r="J91" s="63" t="s">
        <v>401</v>
      </c>
      <c r="K91" s="64">
        <v>45756</v>
      </c>
      <c r="L91" s="83">
        <v>70000</v>
      </c>
      <c r="M91" s="62" t="s">
        <v>391</v>
      </c>
      <c r="N91" s="62" t="s">
        <v>131</v>
      </c>
      <c r="O91" s="87" t="s">
        <v>257</v>
      </c>
      <c r="P91" s="62" t="s">
        <v>45</v>
      </c>
      <c r="Q91" s="63">
        <v>27810</v>
      </c>
      <c r="R91" s="62" t="s">
        <v>208</v>
      </c>
      <c r="S91" s="96" t="s">
        <v>389</v>
      </c>
      <c r="T91" s="62">
        <v>3157333424</v>
      </c>
      <c r="U91" s="82" t="s">
        <v>390</v>
      </c>
      <c r="V91" s="66" t="str">
        <f>IF(P91=CURSOS!$D$3,"DIPLOMADO EN ATENCION PRE-HOSPITALARIA",IF(P91=CURSOS!$D$4,"ACOMPAÑAMIENTO Y MANEJO DEL DUELO",IF(P91=CURSOS!$D$5,"ATENCION A VICTIMAS DE ATAQUE CON AGENTES QUIMICOS ",IF(P91=CURSOS!$D$6,"PRIMEROS AUXILIOS ",IF(P91=CURSOS!$D$7,"DIPLOMADO DE UNIDAD DE CUIDADOS INTENSIVOS (UCI)",IF(P91=CURSOS!$D$8,"MODELO DE ATENCION PARA EVENTOS EMERGENTES EN SALUD MENTAL (CODIGO VERDE)",IF(P91=CURSOS!$D$9,"HUMANIZACION EN EL SERVICIO DE LA SALUD Y BUENAS PRACTICAS EN PACIENTE ",IF(P91=CURSOS!$D$10,"CLINICA DE HERIDAS ",IF(P91=CURSOS!$D$11,"TOMA DE CITOLOGIA CERVICO VAGINAL ",IF(P91=CURSOS!$D$12,"SOPORTE CARDIOVASCULAR AVANZADO (ACLS) ",IF(P91=CURSOS!$D$13,"CAMILLERO ",IF(P91=CURSOS!$D$14,"TOMA DE MUESTRAS Y LABORATORIO ",IF(P91=CURSOS!$D$15,"SOPORTE VITAL BASICO (BLS)",IF(P91=CURSOS!$D$16,"ATENCION A VICTIMAS DE VIOLENCIA SEXUAL ",IF(P91=CURSOS!$D$17,"PROGRAMADO AMPLIADO DE INMUNIZACION (PAI - COVID 19)",IF(P91=CURSOS!$D$18,"ATENCION INTEGRAL EN ENFERMEDADES PREVALENTES EN PRIMERA INFANCIA (AIEPI)",IF(P91=CURSOS!$D$19,"ADMINISTRACION DE MEDICAMENTOS, INYECTOLOGIA  Y CANALIZACION ",IF(P91=CURSOS!$D$20,"OPERADOR DE VEHICULOS DE EMERGENCIA (OVE)",IF(P91=CURSOS!$D$21,"INSTITUCIONES AMIGAS DE LA MUJER Y LA INFANCIA (IAMI)",IF(P91=CURSOS!$D$22,"CUIDADO DEL DONANTE DE ORGANOS",IF(P91=CURSOS!$D$23,"ATENCION A VICTIMAS POR VIOLENCIA DE GENERO",IF(P91=CURSOS!$D$24,"IGUALDAD DE GENERO EN LA SALUD",IF(P91=CURSOS!$D$25,"BRIGADA DE EMERGENCIA",IF(P91=CURSOS!$D$26,"MANEJO DEL DOLOR Y CUIDADOS PALIATIVOS",IF(P91=CURSOS!$D$27,"TOMA DE MUESTRAS Y LABORATORIO POCT",IF(P91=CURSOS!$D$28,"IMPLANTE SUBDERMICO DE DISPOSITIVO INTRAUTERINO",IF(P91=CURSOS!$D$29,"SALUD MENTAL",IF(P91=CURSOS!$D$30,"PRIMEROS AUXILIOS PSICOLOGICOS",IF(P91=CURSOS!$D$31,"ATENCION A VICTIMAS POR CONFLICTO ARMADO",IF(P91=CURSOS!$D$32,"MANIPULACION DE ALIMENTOS Y BPM",IF(P91=CURSOS!$D$33,"ATENCION A PERSONAS CON DISCAPACIDAD",IF(P91=CURSOS!$D$34,"CUIDADO INTEGRAL DEL PACIENTE ADULTO",IF(P91=CURSOS!$D$35,"MANEJO DEFENSIVO",IF(P91=CURSOS!$D$36,"SOPORTE CARDIOVASCULAR AVANZADO NEONATAL",IF(P91=CURSOS!$D$37,"SEGURIDAD DEL PACIENTE",IF(P91=CURSOS!$D$38,"MANEJO DE RESIDUOS HOSPITALARIOS"))))))))))))))))))))))))))))))))))))</f>
        <v xml:space="preserve">ADMINISTRACION DE MEDICAMENTOS, INYECTOLOGIA  Y CANALIZACION </v>
      </c>
      <c r="W91" s="66" t="str">
        <f t="shared" si="5"/>
        <v>Adriana Del Pilar Delgado Perez</v>
      </c>
      <c r="X91" s="66" t="str">
        <f t="shared" si="6"/>
        <v>Adriana Del Pilar Delgado Perez</v>
      </c>
      <c r="Y91" s="66" t="str">
        <f t="shared" si="7"/>
        <v>Adriana Del Pilar Delgado Perez-59833676-ADMON DE MEDICAMENTOS</v>
      </c>
    </row>
    <row r="92" spans="1:25" s="88" customFormat="1" x14ac:dyDescent="0.2">
      <c r="A92" s="61">
        <v>91</v>
      </c>
      <c r="B92" s="62">
        <v>87712579</v>
      </c>
      <c r="C92" s="62" t="s">
        <v>395</v>
      </c>
      <c r="D92" s="62" t="s">
        <v>396</v>
      </c>
      <c r="E92" s="62" t="s">
        <v>167</v>
      </c>
      <c r="F92" s="62" t="s">
        <v>397</v>
      </c>
      <c r="G92" s="62">
        <v>11</v>
      </c>
      <c r="H92" s="62" t="s">
        <v>127</v>
      </c>
      <c r="I92" s="62" t="s">
        <v>226</v>
      </c>
      <c r="J92" s="63" t="s">
        <v>401</v>
      </c>
      <c r="K92" s="64">
        <v>45758</v>
      </c>
      <c r="L92" s="83">
        <v>100000</v>
      </c>
      <c r="M92" s="62" t="s">
        <v>221</v>
      </c>
      <c r="N92" s="62" t="s">
        <v>131</v>
      </c>
      <c r="O92" s="87" t="s">
        <v>257</v>
      </c>
      <c r="P92" s="62" t="s">
        <v>37</v>
      </c>
      <c r="Q92" s="63">
        <v>26096</v>
      </c>
      <c r="R92" s="62" t="s">
        <v>208</v>
      </c>
      <c r="S92" s="97" t="s">
        <v>264</v>
      </c>
      <c r="T92" s="62">
        <v>3012526472</v>
      </c>
      <c r="U92" s="62" t="s">
        <v>394</v>
      </c>
      <c r="V92" s="66" t="str">
        <f>IF(P92=CURSOS!$D$3,"DIPLOMADO EN ATENCION PRE-HOSPITALARIA",IF(P92=CURSOS!$D$4,"ACOMPAÑAMIENTO Y MANEJO DEL DUELO",IF(P92=CURSOS!$D$5,"ATENCION A VICTIMAS DE ATAQUE CON AGENTES QUIMICOS ",IF(P92=CURSOS!$D$6,"PRIMEROS AUXILIOS ",IF(P92=CURSOS!$D$7,"DIPLOMADO DE UNIDAD DE CUIDADOS INTENSIVOS (UCI)",IF(P92=CURSOS!$D$8,"MODELO DE ATENCION PARA EVENTOS EMERGENTES EN SALUD MENTAL (CODIGO VERDE)",IF(P92=CURSOS!$D$9,"HUMANIZACION EN EL SERVICIO DE LA SALUD Y BUENAS PRACTICAS EN PACIENTE ",IF(P92=CURSOS!$D$10,"CLINICA DE HERIDAS ",IF(P92=CURSOS!$D$11,"TOMA DE CITOLOGIA CERVICO VAGINAL ",IF(P92=CURSOS!$D$12,"SOPORTE CARDIOVASCULAR AVANZADO (ACLS) ",IF(P92=CURSOS!$D$13,"CAMILLERO ",IF(P92=CURSOS!$D$14,"TOMA DE MUESTRAS Y LABORATORIO ",IF(P92=CURSOS!$D$15,"SOPORTE VITAL BASICO (BLS)",IF(P92=CURSOS!$D$16,"ATENCION A VICTIMAS DE VIOLENCIA SEXUAL ",IF(P92=CURSOS!$D$17,"PROGRAMADO AMPLIADO DE INMUNIZACION (PAI - COVID 19)",IF(P92=CURSOS!$D$18,"ATENCION INTEGRAL EN ENFERMEDADES PREVALENTES EN PRIMERA INFANCIA (AIEPI)",IF(P92=CURSOS!$D$19,"ADMINISTRACION DE MEDICAMENTOS, INYECTOLOGIA  Y CANALIZACION ",IF(P92=CURSOS!$D$20,"OPERADOR DE VEHICULOS DE EMERGENCIA (OVE)",IF(P92=CURSOS!$D$21,"INSTITUCIONES AMIGAS DE LA MUJER Y LA INFANCIA (IAMI)",IF(P92=CURSOS!$D$22,"CUIDADO DEL DONANTE DE ORGANOS",IF(P92=CURSOS!$D$23,"ATENCION A VICTIMAS POR VIOLENCIA DE GENERO",IF(P92=CURSOS!$D$24,"IGUALDAD DE GENERO EN LA SALUD",IF(P92=CURSOS!$D$25,"BRIGADA DE EMERGENCIA",IF(P92=CURSOS!$D$26,"MANEJO DEL DOLOR Y CUIDADOS PALIATIVOS",IF(P92=CURSOS!$D$27,"TOMA DE MUESTRAS Y LABORATORIO POCT",IF(P92=CURSOS!$D$28,"IMPLANTE SUBDERMICO DE DISPOSITIVO INTRAUTERINO",IF(P92=CURSOS!$D$29,"SALUD MENTAL",IF(P92=CURSOS!$D$30,"PRIMEROS AUXILIOS PSICOLOGICOS",IF(P92=CURSOS!$D$31,"ATENCION A VICTIMAS POR CONFLICTO ARMADO",IF(P92=CURSOS!$D$32,"MANIPULACION DE ALIMENTOS Y BPM",IF(P92=CURSOS!$D$33,"ATENCION A PERSONAS CON DISCAPACIDAD",IF(P92=CURSOS!$D$34,"CUIDADO INTEGRAL DEL PACIENTE ADULTO",IF(P92=CURSOS!$D$35,"MANEJO DEFENSIVO",IF(P92=CURSOS!$D$36,"SOPORTE CARDIOVASCULAR AVANZADO NEONATAL",IF(P92=CURSOS!$D$37,"SEGURIDAD DEL PACIENTE",IF(P92=CURSOS!$D$38,"MANEJO DE RESIDUOS HOSPITALARIOS"))))))))))))))))))))))))))))))))))))</f>
        <v xml:space="preserve">SOPORTE CARDIOVASCULAR AVANZADO (ACLS) </v>
      </c>
      <c r="W92" s="66" t="str">
        <f t="shared" si="5"/>
        <v>Carlos Orlando Paredes Villota</v>
      </c>
      <c r="X92" s="66" t="str">
        <f t="shared" si="6"/>
        <v>Carlos Orlando Paredes Villota</v>
      </c>
      <c r="Y92" s="66" t="str">
        <f t="shared" si="7"/>
        <v>Carlos Orlando Paredes Villota-87712579-ACLS</v>
      </c>
    </row>
    <row r="93" spans="1:25" s="88" customFormat="1" x14ac:dyDescent="0.2">
      <c r="A93" s="61">
        <v>92</v>
      </c>
      <c r="B93" s="62">
        <v>87712579</v>
      </c>
      <c r="C93" s="62" t="s">
        <v>395</v>
      </c>
      <c r="D93" s="62" t="s">
        <v>396</v>
      </c>
      <c r="E93" s="62" t="s">
        <v>167</v>
      </c>
      <c r="F93" s="62" t="s">
        <v>397</v>
      </c>
      <c r="G93" s="62">
        <v>11</v>
      </c>
      <c r="H93" s="62" t="s">
        <v>127</v>
      </c>
      <c r="I93" s="62" t="s">
        <v>226</v>
      </c>
      <c r="J93" s="63" t="s">
        <v>401</v>
      </c>
      <c r="K93" s="64">
        <v>45758</v>
      </c>
      <c r="L93" s="83">
        <v>20000</v>
      </c>
      <c r="M93" s="62" t="s">
        <v>221</v>
      </c>
      <c r="N93" s="62" t="s">
        <v>131</v>
      </c>
      <c r="O93" s="87" t="s">
        <v>257</v>
      </c>
      <c r="P93" s="62" t="s">
        <v>19</v>
      </c>
      <c r="Q93" s="63">
        <v>26096</v>
      </c>
      <c r="R93" s="62" t="s">
        <v>208</v>
      </c>
      <c r="S93" s="97" t="s">
        <v>264</v>
      </c>
      <c r="T93" s="62">
        <v>3012526472</v>
      </c>
      <c r="U93" s="62" t="s">
        <v>394</v>
      </c>
      <c r="V93" s="66" t="str">
        <f>IF(P93=CURSOS!$D$3,"DIPLOMADO EN ATENCION PRE-HOSPITALARIA",IF(P93=CURSOS!$D$4,"ACOMPAÑAMIENTO Y MANEJO DEL DUELO",IF(P93=CURSOS!$D$5,"ATENCION A VICTIMAS DE ATAQUE CON AGENTES QUIMICOS ",IF(P93=CURSOS!$D$6,"PRIMEROS AUXILIOS ",IF(P93=CURSOS!$D$7,"DIPLOMADO DE UNIDAD DE CUIDADOS INTENSIVOS (UCI)",IF(P93=CURSOS!$D$8,"MODELO DE ATENCION PARA EVENTOS EMERGENTES EN SALUD MENTAL (CODIGO VERDE)",IF(P93=CURSOS!$D$9,"HUMANIZACION EN EL SERVICIO DE LA SALUD Y BUENAS PRACTICAS EN PACIENTE ",IF(P93=CURSOS!$D$10,"CLINICA DE HERIDAS ",IF(P93=CURSOS!$D$11,"TOMA DE CITOLOGIA CERVICO VAGINAL ",IF(P93=CURSOS!$D$12,"SOPORTE CARDIOVASCULAR AVANZADO (ACLS) ",IF(P93=CURSOS!$D$13,"CAMILLERO ",IF(P93=CURSOS!$D$14,"TOMA DE MUESTRAS Y LABORATORIO ",IF(P93=CURSOS!$D$15,"SOPORTE VITAL BASICO (BLS)",IF(P93=CURSOS!$D$16,"ATENCION A VICTIMAS DE VIOLENCIA SEXUAL ",IF(P93=CURSOS!$D$17,"PROGRAMADO AMPLIADO DE INMUNIZACION (PAI - COVID 19)",IF(P93=CURSOS!$D$18,"ATENCION INTEGRAL EN ENFERMEDADES PREVALENTES EN PRIMERA INFANCIA (AIEPI)",IF(P93=CURSOS!$D$19,"ADMINISTRACION DE MEDICAMENTOS, INYECTOLOGIA  Y CANALIZACION ",IF(P93=CURSOS!$D$20,"OPERADOR DE VEHICULOS DE EMERGENCIA (OVE)",IF(P93=CURSOS!$D$21,"INSTITUCIONES AMIGAS DE LA MUJER Y LA INFANCIA (IAMI)",IF(P93=CURSOS!$D$22,"CUIDADO DEL DONANTE DE ORGANOS",IF(P93=CURSOS!$D$23,"ATENCION A VICTIMAS POR VIOLENCIA DE GENERO",IF(P93=CURSOS!$D$24,"IGUALDAD DE GENERO EN LA SALUD",IF(P93=CURSOS!$D$25,"BRIGADA DE EMERGENCIA",IF(P93=CURSOS!$D$26,"MANEJO DEL DOLOR Y CUIDADOS PALIATIVOS",IF(P93=CURSOS!$D$27,"TOMA DE MUESTRAS Y LABORATORIO POCT",IF(P93=CURSOS!$D$28,"IMPLANTE SUBDERMICO DE DISPOSITIVO INTRAUTERINO",IF(P93=CURSOS!$D$29,"SALUD MENTAL",IF(P93=CURSOS!$D$30,"PRIMEROS AUXILIOS PSICOLOGICOS",IF(P93=CURSOS!$D$31,"ATENCION A VICTIMAS POR CONFLICTO ARMADO",IF(P93=CURSOS!$D$32,"MANIPULACION DE ALIMENTOS Y BPM",IF(P93=CURSOS!$D$33,"ATENCION A PERSONAS CON DISCAPACIDAD",IF(P93=CURSOS!$D$34,"CUIDADO INTEGRAL DEL PACIENTE ADULTO",IF(P93=CURSOS!$D$35,"MANEJO DEFENSIVO",IF(P93=CURSOS!$D$36,"SOPORTE CARDIOVASCULAR AVANZADO NEONATAL",IF(P93=CURSOS!$D$37,"SEGURIDAD DEL PACIENTE",IF(P93=CURSOS!$D$38,"MANEJO DE RESIDUOS HOSPITALARIOS"))))))))))))))))))))))))))))))))))))</f>
        <v>SOPORTE VITAL BASICO (BLS)</v>
      </c>
      <c r="W93" s="66" t="str">
        <f t="shared" si="5"/>
        <v>Carlos Orlando Paredes Villota</v>
      </c>
      <c r="X93" s="66" t="str">
        <f t="shared" si="6"/>
        <v>Carlos Orlando Paredes Villota</v>
      </c>
      <c r="Y93" s="66" t="str">
        <f t="shared" si="7"/>
        <v>Carlos Orlando Paredes Villota-87712579-BLS</v>
      </c>
    </row>
    <row r="94" spans="1:25" s="88" customFormat="1" x14ac:dyDescent="0.2">
      <c r="A94" s="61">
        <v>93</v>
      </c>
      <c r="B94" s="62">
        <v>87712579</v>
      </c>
      <c r="C94" s="62" t="s">
        <v>395</v>
      </c>
      <c r="D94" s="62" t="s">
        <v>396</v>
      </c>
      <c r="E94" s="62" t="s">
        <v>167</v>
      </c>
      <c r="F94" s="62" t="s">
        <v>397</v>
      </c>
      <c r="G94" s="62">
        <v>10</v>
      </c>
      <c r="H94" s="62" t="s">
        <v>127</v>
      </c>
      <c r="I94" s="62" t="s">
        <v>226</v>
      </c>
      <c r="J94" s="63" t="s">
        <v>401</v>
      </c>
      <c r="K94" s="64">
        <v>45758</v>
      </c>
      <c r="L94" s="65">
        <v>20000</v>
      </c>
      <c r="M94" s="62" t="s">
        <v>221</v>
      </c>
      <c r="N94" s="62" t="s">
        <v>131</v>
      </c>
      <c r="O94" s="87" t="s">
        <v>257</v>
      </c>
      <c r="P94" s="62" t="s">
        <v>23</v>
      </c>
      <c r="Q94" s="63">
        <v>26096</v>
      </c>
      <c r="R94" s="62" t="s">
        <v>208</v>
      </c>
      <c r="S94" s="97" t="s">
        <v>264</v>
      </c>
      <c r="T94" s="62">
        <v>3012526472</v>
      </c>
      <c r="U94" s="62" t="s">
        <v>394</v>
      </c>
      <c r="V94" s="66" t="str">
        <f>IF(P94=CURSOS!$D$3,"DIPLOMADO EN ATENCION PRE-HOSPITALARIA",IF(P94=CURSOS!$D$4,"ACOMPAÑAMIENTO Y MANEJO DEL DUELO",IF(P94=CURSOS!$D$5,"ATENCION A VICTIMAS DE ATAQUE CON AGENTES QUIMICOS ",IF(P94=CURSOS!$D$6,"PRIMEROS AUXILIOS ",IF(P94=CURSOS!$D$7,"DIPLOMADO DE UNIDAD DE CUIDADOS INTENSIVOS (UCI)",IF(P94=CURSOS!$D$8,"MODELO DE ATENCION PARA EVENTOS EMERGENTES EN SALUD MENTAL (CODIGO VERDE)",IF(P94=CURSOS!$D$9,"HUMANIZACION EN EL SERVICIO DE LA SALUD Y BUENAS PRACTICAS EN PACIENTE ",IF(P94=CURSOS!$D$10,"CLINICA DE HERIDAS ",IF(P94=CURSOS!$D$11,"TOMA DE CITOLOGIA CERVICO VAGINAL ",IF(P94=CURSOS!$D$12,"SOPORTE CARDIOVASCULAR AVANZADO (ACLS) ",IF(P94=CURSOS!$D$13,"CAMILLERO ",IF(P94=CURSOS!$D$14,"TOMA DE MUESTRAS Y LABORATORIO ",IF(P94=CURSOS!$D$15,"SOPORTE VITAL BASICO (BLS)",IF(P94=CURSOS!$D$16,"ATENCION A VICTIMAS DE VIOLENCIA SEXUAL ",IF(P94=CURSOS!$D$17,"PROGRAMADO AMPLIADO DE INMUNIZACION (PAI - COVID 19)",IF(P94=CURSOS!$D$18,"ATENCION INTEGRAL EN ENFERMEDADES PREVALENTES EN PRIMERA INFANCIA (AIEPI)",IF(P94=CURSOS!$D$19,"ADMINISTRACION DE MEDICAMENTOS, INYECTOLOGIA  Y CANALIZACION ",IF(P94=CURSOS!$D$20,"OPERADOR DE VEHICULOS DE EMERGENCIA (OVE)",IF(P94=CURSOS!$D$21,"INSTITUCIONES AMIGAS DE LA MUJER Y LA INFANCIA (IAMI)",IF(P94=CURSOS!$D$22,"CUIDADO DEL DONANTE DE ORGANOS",IF(P94=CURSOS!$D$23,"ATENCION A VICTIMAS POR VIOLENCIA DE GENERO",IF(P94=CURSOS!$D$24,"IGUALDAD DE GENERO EN LA SALUD",IF(P94=CURSOS!$D$25,"BRIGADA DE EMERGENCIA",IF(P94=CURSOS!$D$26,"MANEJO DEL DOLOR Y CUIDADOS PALIATIVOS",IF(P94=CURSOS!$D$27,"TOMA DE MUESTRAS Y LABORATORIO POCT",IF(P94=CURSOS!$D$28,"IMPLANTE SUBDERMICO DE DISPOSITIVO INTRAUTERINO",IF(P94=CURSOS!$D$29,"SALUD MENTAL",IF(P94=CURSOS!$D$30,"PRIMEROS AUXILIOS PSICOLOGICOS",IF(P94=CURSOS!$D$31,"ATENCION A VICTIMAS POR CONFLICTO ARMADO",IF(P94=CURSOS!$D$32,"MANIPULACION DE ALIMENTOS Y BPM",IF(P94=CURSOS!$D$33,"ATENCION A PERSONAS CON DISCAPACIDAD",IF(P94=CURSOS!$D$34,"CUIDADO INTEGRAL DEL PACIENTE ADULTO",IF(P94=CURSOS!$D$35,"MANEJO DEFENSIVO",IF(P94=CURSOS!$D$36,"SOPORTE CARDIOVASCULAR AVANZADO NEONATAL",IF(P94=CURSOS!$D$37,"SEGURIDAD DEL PACIENTE",IF(P94=CURSOS!$D$38,"MANEJO DE RESIDUOS HOSPITALARIOS"))))))))))))))))))))))))))))))))))))</f>
        <v>ACOMPAÑAMIENTO Y MANEJO DEL DUELO</v>
      </c>
      <c r="W94" s="66" t="str">
        <f t="shared" si="5"/>
        <v>Carlos Orlando Paredes Villota</v>
      </c>
      <c r="X94" s="66" t="str">
        <f t="shared" si="6"/>
        <v>Carlos Orlando Paredes Villota</v>
      </c>
      <c r="Y94" s="66" t="str">
        <f t="shared" si="7"/>
        <v>Carlos Orlando Paredes Villota-87712579-DUELO</v>
      </c>
    </row>
    <row r="95" spans="1:25" s="88" customFormat="1" x14ac:dyDescent="0.2">
      <c r="A95" s="61">
        <v>94</v>
      </c>
      <c r="B95" s="62">
        <v>87712579</v>
      </c>
      <c r="C95" s="62" t="s">
        <v>395</v>
      </c>
      <c r="D95" s="62" t="s">
        <v>396</v>
      </c>
      <c r="E95" s="62" t="s">
        <v>167</v>
      </c>
      <c r="F95" s="62" t="s">
        <v>397</v>
      </c>
      <c r="G95" s="62">
        <v>9</v>
      </c>
      <c r="H95" s="62" t="s">
        <v>127</v>
      </c>
      <c r="I95" s="62" t="s">
        <v>226</v>
      </c>
      <c r="J95" s="63" t="s">
        <v>401</v>
      </c>
      <c r="K95" s="64">
        <v>45758</v>
      </c>
      <c r="L95" s="65">
        <v>20000</v>
      </c>
      <c r="M95" s="62" t="s">
        <v>221</v>
      </c>
      <c r="N95" s="62" t="s">
        <v>131</v>
      </c>
      <c r="O95" s="87" t="s">
        <v>257</v>
      </c>
      <c r="P95" s="62" t="s">
        <v>25</v>
      </c>
      <c r="Q95" s="63">
        <v>26096</v>
      </c>
      <c r="R95" s="62" t="s">
        <v>208</v>
      </c>
      <c r="S95" s="97" t="s">
        <v>264</v>
      </c>
      <c r="T95" s="62">
        <v>3012526472</v>
      </c>
      <c r="U95" s="62" t="s">
        <v>394</v>
      </c>
      <c r="V95" s="66" t="str">
        <f>IF(P95=CURSOS!$D$3,"DIPLOMADO EN ATENCION PRE-HOSPITALARIA",IF(P95=CURSOS!$D$4,"ACOMPAÑAMIENTO Y MANEJO DEL DUELO",IF(P95=CURSOS!$D$5,"ATENCION A VICTIMAS DE ATAQUE CON AGENTES QUIMICOS ",IF(P95=CURSOS!$D$6,"PRIMEROS AUXILIOS ",IF(P95=CURSOS!$D$7,"DIPLOMADO DE UNIDAD DE CUIDADOS INTENSIVOS (UCI)",IF(P95=CURSOS!$D$8,"MODELO DE ATENCION PARA EVENTOS EMERGENTES EN SALUD MENTAL (CODIGO VERDE)",IF(P95=CURSOS!$D$9,"HUMANIZACION EN EL SERVICIO DE LA SALUD Y BUENAS PRACTICAS EN PACIENTE ",IF(P95=CURSOS!$D$10,"CLINICA DE HERIDAS ",IF(P95=CURSOS!$D$11,"TOMA DE CITOLOGIA CERVICO VAGINAL ",IF(P95=CURSOS!$D$12,"SOPORTE CARDIOVASCULAR AVANZADO (ACLS) ",IF(P95=CURSOS!$D$13,"CAMILLERO ",IF(P95=CURSOS!$D$14,"TOMA DE MUESTRAS Y LABORATORIO ",IF(P95=CURSOS!$D$15,"SOPORTE VITAL BASICO (BLS)",IF(P95=CURSOS!$D$16,"ATENCION A VICTIMAS DE VIOLENCIA SEXUAL ",IF(P95=CURSOS!$D$17,"PROGRAMADO AMPLIADO DE INMUNIZACION (PAI - COVID 19)",IF(P95=CURSOS!$D$18,"ATENCION INTEGRAL EN ENFERMEDADES PREVALENTES EN PRIMERA INFANCIA (AIEPI)",IF(P95=CURSOS!$D$19,"ADMINISTRACION DE MEDICAMENTOS, INYECTOLOGIA  Y CANALIZACION ",IF(P95=CURSOS!$D$20,"OPERADOR DE VEHICULOS DE EMERGENCIA (OVE)",IF(P95=CURSOS!$D$21,"INSTITUCIONES AMIGAS DE LA MUJER Y LA INFANCIA (IAMI)",IF(P95=CURSOS!$D$22,"CUIDADO DEL DONANTE DE ORGANOS",IF(P95=CURSOS!$D$23,"ATENCION A VICTIMAS POR VIOLENCIA DE GENERO",IF(P95=CURSOS!$D$24,"IGUALDAD DE GENERO EN LA SALUD",IF(P95=CURSOS!$D$25,"BRIGADA DE EMERGENCIA",IF(P95=CURSOS!$D$26,"MANEJO DEL DOLOR Y CUIDADOS PALIATIVOS",IF(P95=CURSOS!$D$27,"TOMA DE MUESTRAS Y LABORATORIO POCT",IF(P95=CURSOS!$D$28,"IMPLANTE SUBDERMICO DE DISPOSITIVO INTRAUTERINO",IF(P95=CURSOS!$D$29,"SALUD MENTAL",IF(P95=CURSOS!$D$30,"PRIMEROS AUXILIOS PSICOLOGICOS",IF(P95=CURSOS!$D$31,"ATENCION A VICTIMAS POR CONFLICTO ARMADO",IF(P95=CURSOS!$D$32,"MANIPULACION DE ALIMENTOS Y BPM",IF(P95=CURSOS!$D$33,"ATENCION A PERSONAS CON DISCAPACIDAD",IF(P95=CURSOS!$D$34,"CUIDADO INTEGRAL DEL PACIENTE ADULTO",IF(P95=CURSOS!$D$35,"MANEJO DEFENSIVO",IF(P95=CURSOS!$D$36,"SOPORTE CARDIOVASCULAR AVANZADO NEONATAL",IF(P95=CURSOS!$D$37,"SEGURIDAD DEL PACIENTE",IF(P95=CURSOS!$D$38,"MANEJO DE RESIDUOS HOSPITALARIOS"))))))))))))))))))))))))))))))))))))</f>
        <v xml:space="preserve">ATENCION A VICTIMAS DE ATAQUE CON AGENTES QUIMICOS </v>
      </c>
      <c r="W95" s="66" t="str">
        <f t="shared" si="5"/>
        <v>Carlos Orlando Paredes Villota</v>
      </c>
      <c r="X95" s="66" t="str">
        <f t="shared" si="6"/>
        <v>Carlos Orlando Paredes Villota</v>
      </c>
      <c r="Y95" s="66" t="str">
        <f t="shared" si="7"/>
        <v>Carlos Orlando Paredes Villota-87712579-QUIMICOS</v>
      </c>
    </row>
    <row r="96" spans="1:25" s="88" customFormat="1" x14ac:dyDescent="0.2">
      <c r="A96" s="61">
        <v>95</v>
      </c>
      <c r="B96" s="62">
        <v>87712579</v>
      </c>
      <c r="C96" s="62" t="s">
        <v>395</v>
      </c>
      <c r="D96" s="62" t="s">
        <v>396</v>
      </c>
      <c r="E96" s="62" t="s">
        <v>167</v>
      </c>
      <c r="F96" s="62" t="s">
        <v>397</v>
      </c>
      <c r="G96" s="62">
        <v>8</v>
      </c>
      <c r="H96" s="62" t="s">
        <v>127</v>
      </c>
      <c r="I96" s="62" t="s">
        <v>226</v>
      </c>
      <c r="J96" s="63" t="s">
        <v>401</v>
      </c>
      <c r="K96" s="64">
        <v>45758</v>
      </c>
      <c r="L96" s="65">
        <v>20000</v>
      </c>
      <c r="M96" s="62" t="s">
        <v>221</v>
      </c>
      <c r="N96" s="62" t="s">
        <v>131</v>
      </c>
      <c r="O96" s="87" t="s">
        <v>257</v>
      </c>
      <c r="P96" s="62" t="s">
        <v>57</v>
      </c>
      <c r="Q96" s="63">
        <v>26096</v>
      </c>
      <c r="R96" s="62" t="s">
        <v>208</v>
      </c>
      <c r="S96" s="97" t="s">
        <v>264</v>
      </c>
      <c r="T96" s="62">
        <v>3012526472</v>
      </c>
      <c r="U96" s="62" t="s">
        <v>394</v>
      </c>
      <c r="V96" s="66" t="str">
        <f>IF(P96=CURSOS!$D$3,"DIPLOMADO EN ATENCION PRE-HOSPITALARIA",IF(P96=CURSOS!$D$4,"ACOMPAÑAMIENTO Y MANEJO DEL DUELO",IF(P96=CURSOS!$D$5,"ATENCION A VICTIMAS DE ATAQUE CON AGENTES QUIMICOS ",IF(P96=CURSOS!$D$6,"PRIMEROS AUXILIOS ",IF(P96=CURSOS!$D$7,"DIPLOMADO DE UNIDAD DE CUIDADOS INTENSIVOS (UCI)",IF(P96=CURSOS!$D$8,"MODELO DE ATENCION PARA EVENTOS EMERGENTES EN SALUD MENTAL (CODIGO VERDE)",IF(P96=CURSOS!$D$9,"HUMANIZACION EN EL SERVICIO DE LA SALUD Y BUENAS PRACTICAS EN PACIENTE ",IF(P96=CURSOS!$D$10,"CLINICA DE HERIDAS ",IF(P96=CURSOS!$D$11,"TOMA DE CITOLOGIA CERVICO VAGINAL ",IF(P96=CURSOS!$D$12,"SOPORTE CARDIOVASCULAR AVANZADO (ACLS) ",IF(P96=CURSOS!$D$13,"CAMILLERO ",IF(P96=CURSOS!$D$14,"TOMA DE MUESTRAS Y LABORATORIO ",IF(P96=CURSOS!$D$15,"SOPORTE VITAL BASICO (BLS)",IF(P96=CURSOS!$D$16,"ATENCION A VICTIMAS DE VIOLENCIA SEXUAL ",IF(P96=CURSOS!$D$17,"PROGRAMADO AMPLIADO DE INMUNIZACION (PAI - COVID 19)",IF(P96=CURSOS!$D$18,"ATENCION INTEGRAL EN ENFERMEDADES PREVALENTES EN PRIMERA INFANCIA (AIEPI)",IF(P96=CURSOS!$D$19,"ADMINISTRACION DE MEDICAMENTOS, INYECTOLOGIA  Y CANALIZACION ",IF(P96=CURSOS!$D$20,"OPERADOR DE VEHICULOS DE EMERGENCIA (OVE)",IF(P96=CURSOS!$D$21,"INSTITUCIONES AMIGAS DE LA MUJER Y LA INFANCIA (IAMI)",IF(P96=CURSOS!$D$22,"CUIDADO DEL DONANTE DE ORGANOS",IF(P96=CURSOS!$D$23,"ATENCION A VICTIMAS POR VIOLENCIA DE GENERO",IF(P96=CURSOS!$D$24,"IGUALDAD DE GENERO EN LA SALUD",IF(P96=CURSOS!$D$25,"BRIGADA DE EMERGENCIA",IF(P96=CURSOS!$D$26,"MANEJO DEL DOLOR Y CUIDADOS PALIATIVOS",IF(P96=CURSOS!$D$27,"TOMA DE MUESTRAS Y LABORATORIO POCT",IF(P96=CURSOS!$D$28,"IMPLANTE SUBDERMICO DE DISPOSITIVO INTRAUTERINO",IF(P96=CURSOS!$D$29,"SALUD MENTAL",IF(P96=CURSOS!$D$30,"PRIMEROS AUXILIOS PSICOLOGICOS",IF(P96=CURSOS!$D$31,"ATENCION A VICTIMAS POR CONFLICTO ARMADO",IF(P96=CURSOS!$D$32,"MANIPULACION DE ALIMENTOS Y BPM",IF(P96=CURSOS!$D$33,"ATENCION A PERSONAS CON DISCAPACIDAD",IF(P96=CURSOS!$D$34,"CUIDADO INTEGRAL DEL PACIENTE ADULTO",IF(P96=CURSOS!$D$35,"MANEJO DEFENSIVO",IF(P96=CURSOS!$D$36,"SOPORTE CARDIOVASCULAR AVANZADO NEONATAL",IF(P96=CURSOS!$D$37,"SEGURIDAD DEL PACIENTE",IF(P96=CURSOS!$D$38,"MANEJO DE RESIDUOS HOSPITALARIOS"))))))))))))))))))))))))))))))))))))</f>
        <v>MANEJO DEL DOLOR Y CUIDADOS PALIATIVOS</v>
      </c>
      <c r="W96" s="66" t="str">
        <f t="shared" si="5"/>
        <v>Carlos Orlando Paredes Villota</v>
      </c>
      <c r="X96" s="66" t="str">
        <f t="shared" si="6"/>
        <v>Carlos Orlando Paredes Villota</v>
      </c>
      <c r="Y96" s="66" t="str">
        <f t="shared" si="7"/>
        <v>Carlos Orlando Paredes Villota-87712579-PALIATIVOS</v>
      </c>
    </row>
    <row r="97" spans="1:25" s="88" customFormat="1" x14ac:dyDescent="0.2">
      <c r="A97" s="61">
        <v>96</v>
      </c>
      <c r="B97" s="62">
        <v>87712579</v>
      </c>
      <c r="C97" s="62" t="s">
        <v>395</v>
      </c>
      <c r="D97" s="62" t="s">
        <v>396</v>
      </c>
      <c r="E97" s="62" t="s">
        <v>167</v>
      </c>
      <c r="F97" s="62" t="s">
        <v>397</v>
      </c>
      <c r="G97" s="62">
        <v>7</v>
      </c>
      <c r="H97" s="62" t="s">
        <v>127</v>
      </c>
      <c r="I97" s="62" t="s">
        <v>226</v>
      </c>
      <c r="J97" s="63" t="s">
        <v>401</v>
      </c>
      <c r="K97" s="64">
        <v>45758</v>
      </c>
      <c r="L97" s="65">
        <v>20000</v>
      </c>
      <c r="M97" s="62" t="s">
        <v>221</v>
      </c>
      <c r="N97" s="62" t="s">
        <v>131</v>
      </c>
      <c r="O97" s="87" t="s">
        <v>257</v>
      </c>
      <c r="P97" s="62" t="s">
        <v>42</v>
      </c>
      <c r="Q97" s="63">
        <v>26096</v>
      </c>
      <c r="R97" s="62" t="s">
        <v>208</v>
      </c>
      <c r="S97" s="97" t="s">
        <v>264</v>
      </c>
      <c r="T97" s="62">
        <v>3012526472</v>
      </c>
      <c r="U97" s="62" t="s">
        <v>394</v>
      </c>
      <c r="V97" s="66" t="str">
        <f>IF(P97=CURSOS!$D$3,"DIPLOMADO EN ATENCION PRE-HOSPITALARIA",IF(P97=CURSOS!$D$4,"ACOMPAÑAMIENTO Y MANEJO DEL DUELO",IF(P97=CURSOS!$D$5,"ATENCION A VICTIMAS DE ATAQUE CON AGENTES QUIMICOS ",IF(P97=CURSOS!$D$6,"PRIMEROS AUXILIOS ",IF(P97=CURSOS!$D$7,"DIPLOMADO DE UNIDAD DE CUIDADOS INTENSIVOS (UCI)",IF(P97=CURSOS!$D$8,"MODELO DE ATENCION PARA EVENTOS EMERGENTES EN SALUD MENTAL (CODIGO VERDE)",IF(P97=CURSOS!$D$9,"HUMANIZACION EN EL SERVICIO DE LA SALUD Y BUENAS PRACTICAS EN PACIENTE ",IF(P97=CURSOS!$D$10,"CLINICA DE HERIDAS ",IF(P97=CURSOS!$D$11,"TOMA DE CITOLOGIA CERVICO VAGINAL ",IF(P97=CURSOS!$D$12,"SOPORTE CARDIOVASCULAR AVANZADO (ACLS) ",IF(P97=CURSOS!$D$13,"CAMILLERO ",IF(P97=CURSOS!$D$14,"TOMA DE MUESTRAS Y LABORATORIO ",IF(P97=CURSOS!$D$15,"SOPORTE VITAL BASICO (BLS)",IF(P97=CURSOS!$D$16,"ATENCION A VICTIMAS DE VIOLENCIA SEXUAL ",IF(P97=CURSOS!$D$17,"PROGRAMADO AMPLIADO DE INMUNIZACION (PAI - COVID 19)",IF(P97=CURSOS!$D$18,"ATENCION INTEGRAL EN ENFERMEDADES PREVALENTES EN PRIMERA INFANCIA (AIEPI)",IF(P97=CURSOS!$D$19,"ADMINISTRACION DE MEDICAMENTOS, INYECTOLOGIA  Y CANALIZACION ",IF(P97=CURSOS!$D$20,"OPERADOR DE VEHICULOS DE EMERGENCIA (OVE)",IF(P97=CURSOS!$D$21,"INSTITUCIONES AMIGAS DE LA MUJER Y LA INFANCIA (IAMI)",IF(P97=CURSOS!$D$22,"CUIDADO DEL DONANTE DE ORGANOS",IF(P97=CURSOS!$D$23,"ATENCION A VICTIMAS POR VIOLENCIA DE GENERO",IF(P97=CURSOS!$D$24,"IGUALDAD DE GENERO EN LA SALUD",IF(P97=CURSOS!$D$25,"BRIGADA DE EMERGENCIA",IF(P97=CURSOS!$D$26,"MANEJO DEL DOLOR Y CUIDADOS PALIATIVOS",IF(P97=CURSOS!$D$27,"TOMA DE MUESTRAS Y LABORATORIO POCT",IF(P97=CURSOS!$D$28,"IMPLANTE SUBDERMICO DE DISPOSITIVO INTRAUTERINO",IF(P97=CURSOS!$D$29,"SALUD MENTAL",IF(P97=CURSOS!$D$30,"PRIMEROS AUXILIOS PSICOLOGICOS",IF(P97=CURSOS!$D$31,"ATENCION A VICTIMAS POR CONFLICTO ARMADO",IF(P97=CURSOS!$D$32,"MANIPULACION DE ALIMENTOS Y BPM",IF(P97=CURSOS!$D$33,"ATENCION A PERSONAS CON DISCAPACIDAD",IF(P97=CURSOS!$D$34,"CUIDADO INTEGRAL DEL PACIENTE ADULTO",IF(P97=CURSOS!$D$35,"MANEJO DEFENSIVO",IF(P97=CURSOS!$D$36,"SOPORTE CARDIOVASCULAR AVANZADO NEONATAL",IF(P97=CURSOS!$D$37,"SEGURIDAD DEL PACIENTE",IF(P97=CURSOS!$D$38,"MANEJO DE RESIDUOS HOSPITALARIOS"))))))))))))))))))))))))))))))))))))</f>
        <v xml:space="preserve">ATENCION A VICTIMAS DE VIOLENCIA SEXUAL </v>
      </c>
      <c r="W97" s="66" t="str">
        <f t="shared" si="5"/>
        <v>Carlos Orlando Paredes Villota</v>
      </c>
      <c r="X97" s="66" t="str">
        <f t="shared" si="6"/>
        <v>Carlos Orlando Paredes Villota</v>
      </c>
      <c r="Y97" s="66" t="str">
        <f t="shared" si="7"/>
        <v>Carlos Orlando Paredes Villota-87712579-VIOLENCIA SEXUAL</v>
      </c>
    </row>
    <row r="98" spans="1:25" s="88" customFormat="1" x14ac:dyDescent="0.2">
      <c r="A98" s="61">
        <v>97</v>
      </c>
      <c r="B98" s="62">
        <v>36756310</v>
      </c>
      <c r="C98" s="62" t="s">
        <v>398</v>
      </c>
      <c r="D98" s="62" t="s">
        <v>396</v>
      </c>
      <c r="E98" s="62" t="s">
        <v>399</v>
      </c>
      <c r="F98" s="62" t="s">
        <v>400</v>
      </c>
      <c r="G98" s="62">
        <v>11</v>
      </c>
      <c r="H98" s="62" t="s">
        <v>127</v>
      </c>
      <c r="I98" s="62" t="s">
        <v>226</v>
      </c>
      <c r="J98" s="63" t="s">
        <v>227</v>
      </c>
      <c r="K98" s="64">
        <v>45758</v>
      </c>
      <c r="L98" s="83">
        <v>40000</v>
      </c>
      <c r="M98" s="62" t="s">
        <v>220</v>
      </c>
      <c r="N98" s="62" t="s">
        <v>131</v>
      </c>
      <c r="O98" s="62" t="s">
        <v>227</v>
      </c>
      <c r="P98" s="62" t="s">
        <v>59</v>
      </c>
      <c r="Q98" s="63">
        <v>29412</v>
      </c>
      <c r="R98" s="62" t="s">
        <v>208</v>
      </c>
      <c r="S98" s="62" t="s">
        <v>332</v>
      </c>
      <c r="T98" s="68">
        <v>3215890202</v>
      </c>
      <c r="U98" s="62" t="s">
        <v>402</v>
      </c>
      <c r="V98" s="66" t="str">
        <f>IF(P98=CURSOS!$D$3,"DIPLOMADO EN ATENCION PRE-HOSPITALARIA",IF(P98=CURSOS!$D$4,"ACOMPAÑAMIENTO Y MANEJO DEL DUELO",IF(P98=CURSOS!$D$5,"ATENCION A VICTIMAS DE ATAQUE CON AGENTES QUIMICOS ",IF(P98=CURSOS!$D$6,"PRIMEROS AUXILIOS ",IF(P98=CURSOS!$D$7,"DIPLOMADO DE UNIDAD DE CUIDADOS INTENSIVOS (UCI)",IF(P98=CURSOS!$D$8,"MODELO DE ATENCION PARA EVENTOS EMERGENTES EN SALUD MENTAL (CODIGO VERDE)",IF(P98=CURSOS!$D$9,"HUMANIZACION EN EL SERVICIO DE LA SALUD Y BUENAS PRACTICAS EN PACIENTE ",IF(P98=CURSOS!$D$10,"CLINICA DE HERIDAS ",IF(P98=CURSOS!$D$11,"TOMA DE CITOLOGIA CERVICO VAGINAL ",IF(P98=CURSOS!$D$12,"SOPORTE CARDIOVASCULAR AVANZADO (ACLS) ",IF(P98=CURSOS!$D$13,"CAMILLERO ",IF(P98=CURSOS!$D$14,"TOMA DE MUESTRAS Y LABORATORIO ",IF(P98=CURSOS!$D$15,"SOPORTE VITAL BASICO (BLS)",IF(P98=CURSOS!$D$16,"ATENCION A VICTIMAS DE VIOLENCIA SEXUAL ",IF(P98=CURSOS!$D$17,"PROGRAMADO AMPLIADO DE INMUNIZACION (PAI - COVID 19)",IF(P98=CURSOS!$D$18,"ATENCION INTEGRAL EN ENFERMEDADES PREVALENTES EN PRIMERA INFANCIA (AIEPI)",IF(P98=CURSOS!$D$19,"ADMINISTRACION DE MEDICAMENTOS, INYECTOLOGIA  Y CANALIZACION ",IF(P98=CURSOS!$D$20,"OPERADOR DE VEHICULOS DE EMERGENCIA (OVE)",IF(P98=CURSOS!$D$21,"INSTITUCIONES AMIGAS DE LA MUJER Y LA INFANCIA (IAMI)",IF(P98=CURSOS!$D$22,"CUIDADO DEL DONANTE DE ORGANOS",IF(P98=CURSOS!$D$23,"ATENCION A VICTIMAS POR VIOLENCIA DE GENERO",IF(P98=CURSOS!$D$24,"IGUALDAD DE GENERO EN LA SALUD",IF(P98=CURSOS!$D$25,"BRIGADA DE EMERGENCIA",IF(P98=CURSOS!$D$26,"MANEJO DEL DOLOR Y CUIDADOS PALIATIVOS",IF(P98=CURSOS!$D$27,"TOMA DE MUESTRAS Y LABORATORIO POCT",IF(P98=CURSOS!$D$28,"IMPLANTE SUBDERMICO DE DISPOSITIVO INTRAUTERINO",IF(P98=CURSOS!$D$29,"SALUD MENTAL",IF(P98=CURSOS!$D$30,"PRIMEROS AUXILIOS PSICOLOGICOS",IF(P98=CURSOS!$D$31,"ATENCION A VICTIMAS POR CONFLICTO ARMADO",IF(P98=CURSOS!$D$32,"MANIPULACION DE ALIMENTOS Y BPM",IF(P98=CURSOS!$D$33,"ATENCION A PERSONAS CON DISCAPACIDAD",IF(P98=CURSOS!$D$34,"CUIDADO INTEGRAL DEL PACIENTE ADULTO",IF(P98=CURSOS!$D$35,"MANEJO DEFENSIVO",IF(P98=CURSOS!$D$36,"SOPORTE CARDIOVASCULAR AVANZADO NEONATAL",IF(P98=CURSOS!$D$37,"SEGURIDAD DEL PACIENTE",IF(P98=CURSOS!$D$38,"MANEJO DE RESIDUOS HOSPITALARIOS"))))))))))))))))))))))))))))))))))))</f>
        <v>TOMA DE MUESTRAS Y LABORATORIO POCT</v>
      </c>
      <c r="W98" s="66" t="str">
        <f t="shared" si="5"/>
        <v>Fanny Dory Portillo Villota</v>
      </c>
      <c r="X98" s="66" t="str">
        <f t="shared" si="6"/>
        <v>Fanny Dory Portillo Villota</v>
      </c>
      <c r="Y98" s="66" t="str">
        <f t="shared" si="7"/>
        <v>Fanny Dory Portillo Villota-36756310-POCT</v>
      </c>
    </row>
    <row r="99" spans="1:25" s="88" customFormat="1" x14ac:dyDescent="0.2">
      <c r="A99" s="61">
        <v>98</v>
      </c>
      <c r="B99" s="62">
        <v>1085269843</v>
      </c>
      <c r="C99" s="62" t="s">
        <v>141</v>
      </c>
      <c r="D99" s="62" t="s">
        <v>403</v>
      </c>
      <c r="E99" s="62" t="s">
        <v>404</v>
      </c>
      <c r="F99" s="62" t="s">
        <v>405</v>
      </c>
      <c r="G99" s="62">
        <v>11</v>
      </c>
      <c r="H99" s="62" t="s">
        <v>127</v>
      </c>
      <c r="I99" s="62" t="s">
        <v>226</v>
      </c>
      <c r="J99" s="63" t="s">
        <v>227</v>
      </c>
      <c r="K99" s="64">
        <v>45758</v>
      </c>
      <c r="L99" s="83">
        <v>40000</v>
      </c>
      <c r="M99" s="62" t="s">
        <v>220</v>
      </c>
      <c r="N99" s="62" t="s">
        <v>131</v>
      </c>
      <c r="O99" s="87" t="s">
        <v>227</v>
      </c>
      <c r="P99" s="62" t="s">
        <v>59</v>
      </c>
      <c r="Q99" s="63">
        <v>32468</v>
      </c>
      <c r="R99" s="62" t="s">
        <v>208</v>
      </c>
      <c r="S99" s="62" t="s">
        <v>332</v>
      </c>
      <c r="T99" s="62">
        <v>3175093561</v>
      </c>
      <c r="U99" s="62" t="s">
        <v>406</v>
      </c>
      <c r="V99" s="66" t="str">
        <f>IF(P99=CURSOS!$D$3,"DIPLOMADO EN ATENCION PRE-HOSPITALARIA",IF(P99=CURSOS!$D$4,"ACOMPAÑAMIENTO Y MANEJO DEL DUELO",IF(P99=CURSOS!$D$5,"ATENCION A VICTIMAS DE ATAQUE CON AGENTES QUIMICOS ",IF(P99=CURSOS!$D$6,"PRIMEROS AUXILIOS ",IF(P99=CURSOS!$D$7,"DIPLOMADO DE UNIDAD DE CUIDADOS INTENSIVOS (UCI)",IF(P99=CURSOS!$D$8,"MODELO DE ATENCION PARA EVENTOS EMERGENTES EN SALUD MENTAL (CODIGO VERDE)",IF(P99=CURSOS!$D$9,"HUMANIZACION EN EL SERVICIO DE LA SALUD Y BUENAS PRACTICAS EN PACIENTE ",IF(P99=CURSOS!$D$10,"CLINICA DE HERIDAS ",IF(P99=CURSOS!$D$11,"TOMA DE CITOLOGIA CERVICO VAGINAL ",IF(P99=CURSOS!$D$12,"SOPORTE CARDIOVASCULAR AVANZADO (ACLS) ",IF(P99=CURSOS!$D$13,"CAMILLERO ",IF(P99=CURSOS!$D$14,"TOMA DE MUESTRAS Y LABORATORIO ",IF(P99=CURSOS!$D$15,"SOPORTE VITAL BASICO (BLS)",IF(P99=CURSOS!$D$16,"ATENCION A VICTIMAS DE VIOLENCIA SEXUAL ",IF(P99=CURSOS!$D$17,"PROGRAMADO AMPLIADO DE INMUNIZACION (PAI - COVID 19)",IF(P99=CURSOS!$D$18,"ATENCION INTEGRAL EN ENFERMEDADES PREVALENTES EN PRIMERA INFANCIA (AIEPI)",IF(P99=CURSOS!$D$19,"ADMINISTRACION DE MEDICAMENTOS, INYECTOLOGIA  Y CANALIZACION ",IF(P99=CURSOS!$D$20,"OPERADOR DE VEHICULOS DE EMERGENCIA (OVE)",IF(P99=CURSOS!$D$21,"INSTITUCIONES AMIGAS DE LA MUJER Y LA INFANCIA (IAMI)",IF(P99=CURSOS!$D$22,"CUIDADO DEL DONANTE DE ORGANOS",IF(P99=CURSOS!$D$23,"ATENCION A VICTIMAS POR VIOLENCIA DE GENERO",IF(P99=CURSOS!$D$24,"IGUALDAD DE GENERO EN LA SALUD",IF(P99=CURSOS!$D$25,"BRIGADA DE EMERGENCIA",IF(P99=CURSOS!$D$26,"MANEJO DEL DOLOR Y CUIDADOS PALIATIVOS",IF(P99=CURSOS!$D$27,"TOMA DE MUESTRAS Y LABORATORIO POCT",IF(P99=CURSOS!$D$28,"IMPLANTE SUBDERMICO DE DISPOSITIVO INTRAUTERINO",IF(P99=CURSOS!$D$29,"SALUD MENTAL",IF(P99=CURSOS!$D$30,"PRIMEROS AUXILIOS PSICOLOGICOS",IF(P99=CURSOS!$D$31,"ATENCION A VICTIMAS POR CONFLICTO ARMADO",IF(P99=CURSOS!$D$32,"MANIPULACION DE ALIMENTOS Y BPM",IF(P99=CURSOS!$D$33,"ATENCION A PERSONAS CON DISCAPACIDAD",IF(P99=CURSOS!$D$34,"CUIDADO INTEGRAL DEL PACIENTE ADULTO",IF(P99=CURSOS!$D$35,"MANEJO DEFENSIVO",IF(P99=CURSOS!$D$36,"SOPORTE CARDIOVASCULAR AVANZADO NEONATAL",IF(P99=CURSOS!$D$37,"SEGURIDAD DEL PACIENTE",IF(P99=CURSOS!$D$38,"MANEJO DE RESIDUOS HOSPITALARIOS"))))))))))))))))))))))))))))))))))))</f>
        <v>TOMA DE MUESTRAS Y LABORATORIO POCT</v>
      </c>
      <c r="W99" s="66" t="str">
        <f t="shared" si="5"/>
        <v>Eliana Marcela Pantoja Paz</v>
      </c>
      <c r="X99" s="66" t="str">
        <f t="shared" si="6"/>
        <v>Eliana Marcela Pantoja Paz</v>
      </c>
      <c r="Y99" s="66" t="str">
        <f t="shared" si="7"/>
        <v>Eliana Marcela Pantoja Paz-1085269843-POCT</v>
      </c>
    </row>
    <row r="100" spans="1:25" s="88" customFormat="1" x14ac:dyDescent="0.2">
      <c r="A100" s="61">
        <v>99</v>
      </c>
      <c r="B100" s="62">
        <v>1085269843</v>
      </c>
      <c r="C100" s="62" t="s">
        <v>141</v>
      </c>
      <c r="D100" s="62" t="s">
        <v>403</v>
      </c>
      <c r="E100" s="62" t="s">
        <v>404</v>
      </c>
      <c r="F100" s="62" t="s">
        <v>405</v>
      </c>
      <c r="G100" s="62">
        <v>10</v>
      </c>
      <c r="H100" s="62" t="s">
        <v>127</v>
      </c>
      <c r="I100" s="62" t="s">
        <v>226</v>
      </c>
      <c r="J100" s="63" t="s">
        <v>227</v>
      </c>
      <c r="K100" s="64">
        <v>45758</v>
      </c>
      <c r="L100" s="83">
        <v>40000</v>
      </c>
      <c r="M100" s="62" t="s">
        <v>220</v>
      </c>
      <c r="N100" s="62" t="s">
        <v>131</v>
      </c>
      <c r="O100" s="87" t="s">
        <v>227</v>
      </c>
      <c r="P100" s="62" t="s">
        <v>19</v>
      </c>
      <c r="Q100" s="63">
        <v>32468</v>
      </c>
      <c r="R100" s="62" t="s">
        <v>208</v>
      </c>
      <c r="S100" s="62" t="s">
        <v>332</v>
      </c>
      <c r="T100" s="62">
        <v>3175093561</v>
      </c>
      <c r="U100" s="62" t="s">
        <v>406</v>
      </c>
      <c r="V100" s="66" t="str">
        <f>IF(P100=CURSOS!$D$3,"DIPLOMADO EN ATENCION PRE-HOSPITALARIA",IF(P100=CURSOS!$D$4,"ACOMPAÑAMIENTO Y MANEJO DEL DUELO",IF(P100=CURSOS!$D$5,"ATENCION A VICTIMAS DE ATAQUE CON AGENTES QUIMICOS ",IF(P100=CURSOS!$D$6,"PRIMEROS AUXILIOS ",IF(P100=CURSOS!$D$7,"DIPLOMADO DE UNIDAD DE CUIDADOS INTENSIVOS (UCI)",IF(P100=CURSOS!$D$8,"MODELO DE ATENCION PARA EVENTOS EMERGENTES EN SALUD MENTAL (CODIGO VERDE)",IF(P100=CURSOS!$D$9,"HUMANIZACION EN EL SERVICIO DE LA SALUD Y BUENAS PRACTICAS EN PACIENTE ",IF(P100=CURSOS!$D$10,"CLINICA DE HERIDAS ",IF(P100=CURSOS!$D$11,"TOMA DE CITOLOGIA CERVICO VAGINAL ",IF(P100=CURSOS!$D$12,"SOPORTE CARDIOVASCULAR AVANZADO (ACLS) ",IF(P100=CURSOS!$D$13,"CAMILLERO ",IF(P100=CURSOS!$D$14,"TOMA DE MUESTRAS Y LABORATORIO ",IF(P100=CURSOS!$D$15,"SOPORTE VITAL BASICO (BLS)",IF(P100=CURSOS!$D$16,"ATENCION A VICTIMAS DE VIOLENCIA SEXUAL ",IF(P100=CURSOS!$D$17,"PROGRAMADO AMPLIADO DE INMUNIZACION (PAI - COVID 19)",IF(P100=CURSOS!$D$18,"ATENCION INTEGRAL EN ENFERMEDADES PREVALENTES EN PRIMERA INFANCIA (AIEPI)",IF(P100=CURSOS!$D$19,"ADMINISTRACION DE MEDICAMENTOS, INYECTOLOGIA  Y CANALIZACION ",IF(P100=CURSOS!$D$20,"OPERADOR DE VEHICULOS DE EMERGENCIA (OVE)",IF(P100=CURSOS!$D$21,"INSTITUCIONES AMIGAS DE LA MUJER Y LA INFANCIA (IAMI)",IF(P100=CURSOS!$D$22,"CUIDADO DEL DONANTE DE ORGANOS",IF(P100=CURSOS!$D$23,"ATENCION A VICTIMAS POR VIOLENCIA DE GENERO",IF(P100=CURSOS!$D$24,"IGUALDAD DE GENERO EN LA SALUD",IF(P100=CURSOS!$D$25,"BRIGADA DE EMERGENCIA",IF(P100=CURSOS!$D$26,"MANEJO DEL DOLOR Y CUIDADOS PALIATIVOS",IF(P100=CURSOS!$D$27,"TOMA DE MUESTRAS Y LABORATORIO POCT",IF(P100=CURSOS!$D$28,"IMPLANTE SUBDERMICO DE DISPOSITIVO INTRAUTERINO",IF(P100=CURSOS!$D$29,"SALUD MENTAL",IF(P100=CURSOS!$D$30,"PRIMEROS AUXILIOS PSICOLOGICOS",IF(P100=CURSOS!$D$31,"ATENCION A VICTIMAS POR CONFLICTO ARMADO",IF(P100=CURSOS!$D$32,"MANIPULACION DE ALIMENTOS Y BPM",IF(P100=CURSOS!$D$33,"ATENCION A PERSONAS CON DISCAPACIDAD",IF(P100=CURSOS!$D$34,"CUIDADO INTEGRAL DEL PACIENTE ADULTO",IF(P100=CURSOS!$D$35,"MANEJO DEFENSIVO",IF(P100=CURSOS!$D$36,"SOPORTE CARDIOVASCULAR AVANZADO NEONATAL",IF(P100=CURSOS!$D$37,"SEGURIDAD DEL PACIENTE",IF(P100=CURSOS!$D$38,"MANEJO DE RESIDUOS HOSPITALARIOS"))))))))))))))))))))))))))))))))))))</f>
        <v>SOPORTE VITAL BASICO (BLS)</v>
      </c>
      <c r="W100" s="66" t="str">
        <f t="shared" si="5"/>
        <v>Eliana Marcela Pantoja Paz</v>
      </c>
      <c r="X100" s="66" t="str">
        <f t="shared" si="6"/>
        <v>Eliana Marcela Pantoja Paz</v>
      </c>
      <c r="Y100" s="66" t="str">
        <f t="shared" si="7"/>
        <v>Eliana Marcela Pantoja Paz-1085269843-BLS</v>
      </c>
    </row>
    <row r="101" spans="1:25" s="88" customFormat="1" x14ac:dyDescent="0.2">
      <c r="A101" s="61">
        <v>100</v>
      </c>
      <c r="B101" s="85">
        <v>1086359222</v>
      </c>
      <c r="C101" s="62" t="s">
        <v>236</v>
      </c>
      <c r="D101" s="62" t="s">
        <v>407</v>
      </c>
      <c r="E101" s="62" t="s">
        <v>408</v>
      </c>
      <c r="F101" s="62" t="s">
        <v>409</v>
      </c>
      <c r="G101" s="62">
        <v>11</v>
      </c>
      <c r="H101" s="62" t="s">
        <v>127</v>
      </c>
      <c r="I101" s="62" t="s">
        <v>226</v>
      </c>
      <c r="J101" s="63" t="s">
        <v>334</v>
      </c>
      <c r="K101" s="64">
        <v>45758</v>
      </c>
      <c r="L101" s="65">
        <v>100000</v>
      </c>
      <c r="M101" s="62" t="s">
        <v>220</v>
      </c>
      <c r="N101" s="62" t="s">
        <v>131</v>
      </c>
      <c r="O101" s="62" t="s">
        <v>257</v>
      </c>
      <c r="P101" s="62" t="s">
        <v>37</v>
      </c>
      <c r="Q101" s="63">
        <v>31992</v>
      </c>
      <c r="R101" s="62" t="s">
        <v>208</v>
      </c>
      <c r="S101" s="96" t="s">
        <v>258</v>
      </c>
      <c r="T101" s="62">
        <v>3128852019</v>
      </c>
      <c r="U101" s="68" t="s">
        <v>410</v>
      </c>
      <c r="V101" s="66" t="str">
        <f>IF(P101=CURSOS!$D$3,"DIPLOMADO EN ATENCION PRE-HOSPITALARIA",IF(P101=CURSOS!$D$4,"ACOMPAÑAMIENTO Y MANEJO DEL DUELO",IF(P101=CURSOS!$D$5,"ATENCION A VICTIMAS DE ATAQUE CON AGENTES QUIMICOS ",IF(P101=CURSOS!$D$6,"PRIMEROS AUXILIOS ",IF(P101=CURSOS!$D$7,"DIPLOMADO DE UNIDAD DE CUIDADOS INTENSIVOS (UCI)",IF(P101=CURSOS!$D$8,"MODELO DE ATENCION PARA EVENTOS EMERGENTES EN SALUD MENTAL (CODIGO VERDE)",IF(P101=CURSOS!$D$9,"HUMANIZACION EN EL SERVICIO DE LA SALUD Y BUENAS PRACTICAS EN PACIENTE ",IF(P101=CURSOS!$D$10,"CLINICA DE HERIDAS ",IF(P101=CURSOS!$D$11,"TOMA DE CITOLOGIA CERVICO VAGINAL ",IF(P101=CURSOS!$D$12,"SOPORTE CARDIOVASCULAR AVANZADO (ACLS) ",IF(P101=CURSOS!$D$13,"CAMILLERO ",IF(P101=CURSOS!$D$14,"TOMA DE MUESTRAS Y LABORATORIO ",IF(P101=CURSOS!$D$15,"SOPORTE VITAL BASICO (BLS)",IF(P101=CURSOS!$D$16,"ATENCION A VICTIMAS DE VIOLENCIA SEXUAL ",IF(P101=CURSOS!$D$17,"PROGRAMADO AMPLIADO DE INMUNIZACION (PAI - COVID 19)",IF(P101=CURSOS!$D$18,"ATENCION INTEGRAL EN ENFERMEDADES PREVALENTES EN PRIMERA INFANCIA (AIEPI)",IF(P101=CURSOS!$D$19,"ADMINISTRACION DE MEDICAMENTOS, INYECTOLOGIA  Y CANALIZACION ",IF(P101=CURSOS!$D$20,"OPERADOR DE VEHICULOS DE EMERGENCIA (OVE)",IF(P101=CURSOS!$D$21,"INSTITUCIONES AMIGAS DE LA MUJER Y LA INFANCIA (IAMI)",IF(P101=CURSOS!$D$22,"CUIDADO DEL DONANTE DE ORGANOS",IF(P101=CURSOS!$D$23,"ATENCION A VICTIMAS POR VIOLENCIA DE GENERO",IF(P101=CURSOS!$D$24,"IGUALDAD DE GENERO EN LA SALUD",IF(P101=CURSOS!$D$25,"BRIGADA DE EMERGENCIA",IF(P101=CURSOS!$D$26,"MANEJO DEL DOLOR Y CUIDADOS PALIATIVOS",IF(P101=CURSOS!$D$27,"TOMA DE MUESTRAS Y LABORATORIO POCT",IF(P101=CURSOS!$D$28,"IMPLANTE SUBDERMICO DE DISPOSITIVO INTRAUTERINO",IF(P101=CURSOS!$D$29,"SALUD MENTAL",IF(P101=CURSOS!$D$30,"PRIMEROS AUXILIOS PSICOLOGICOS",IF(P101=CURSOS!$D$31,"ATENCION A VICTIMAS POR CONFLICTO ARMADO",IF(P101=CURSOS!$D$32,"MANIPULACION DE ALIMENTOS Y BPM",IF(P101=CURSOS!$D$33,"ATENCION A PERSONAS CON DISCAPACIDAD",IF(P101=CURSOS!$D$34,"CUIDADO INTEGRAL DEL PACIENTE ADULTO",IF(P101=CURSOS!$D$35,"MANEJO DEFENSIVO",IF(P101=CURSOS!$D$36,"SOPORTE CARDIOVASCULAR AVANZADO NEONATAL",IF(P101=CURSOS!$D$37,"SEGURIDAD DEL PACIENTE",IF(P101=CURSOS!$D$38,"MANEJO DE RESIDUOS HOSPITALARIOS"))))))))))))))))))))))))))))))))))))</f>
        <v xml:space="preserve">SOPORTE CARDIOVASCULAR AVANZADO (ACLS) </v>
      </c>
      <c r="W101" s="66" t="str">
        <f t="shared" si="5"/>
        <v>Erica Normalia Cabrera Apraez</v>
      </c>
      <c r="X101" s="66" t="str">
        <f t="shared" si="6"/>
        <v>Erica Normalia Cabrera Apraez</v>
      </c>
      <c r="Y101" s="66" t="str">
        <f t="shared" si="7"/>
        <v>Erica Normalia Cabrera Apraez-1086359222-ACLS</v>
      </c>
    </row>
    <row r="102" spans="1:25" s="88" customFormat="1" x14ac:dyDescent="0.2">
      <c r="A102" s="61">
        <v>101</v>
      </c>
      <c r="B102" s="85">
        <v>1086359222</v>
      </c>
      <c r="C102" s="62" t="s">
        <v>236</v>
      </c>
      <c r="D102" s="62" t="s">
        <v>407</v>
      </c>
      <c r="E102" s="62" t="s">
        <v>408</v>
      </c>
      <c r="F102" s="62" t="s">
        <v>409</v>
      </c>
      <c r="G102" s="62">
        <v>11</v>
      </c>
      <c r="H102" s="62" t="s">
        <v>127</v>
      </c>
      <c r="I102" s="62" t="s">
        <v>226</v>
      </c>
      <c r="J102" s="63" t="s">
        <v>334</v>
      </c>
      <c r="K102" s="64">
        <v>45758</v>
      </c>
      <c r="L102" s="65">
        <v>30000</v>
      </c>
      <c r="M102" s="62" t="s">
        <v>220</v>
      </c>
      <c r="N102" s="62" t="s">
        <v>131</v>
      </c>
      <c r="O102" s="62" t="s">
        <v>257</v>
      </c>
      <c r="P102" s="87" t="s">
        <v>19</v>
      </c>
      <c r="Q102" s="63">
        <v>31992</v>
      </c>
      <c r="R102" s="62" t="s">
        <v>208</v>
      </c>
      <c r="S102" s="96" t="s">
        <v>258</v>
      </c>
      <c r="T102" s="62">
        <v>3128852019</v>
      </c>
      <c r="U102" s="68" t="s">
        <v>410</v>
      </c>
      <c r="V102" s="66" t="str">
        <f>IF(P102=CURSOS!$D$3,"DIPLOMADO EN ATENCION PRE-HOSPITALARIA",IF(P102=CURSOS!$D$4,"ACOMPAÑAMIENTO Y MANEJO DEL DUELO",IF(P102=CURSOS!$D$5,"ATENCION A VICTIMAS DE ATAQUE CON AGENTES QUIMICOS ",IF(P102=CURSOS!$D$6,"PRIMEROS AUXILIOS ",IF(P102=CURSOS!$D$7,"DIPLOMADO DE UNIDAD DE CUIDADOS INTENSIVOS (UCI)",IF(P102=CURSOS!$D$8,"MODELO DE ATENCION PARA EVENTOS EMERGENTES EN SALUD MENTAL (CODIGO VERDE)",IF(P102=CURSOS!$D$9,"HUMANIZACION EN EL SERVICIO DE LA SALUD Y BUENAS PRACTICAS EN PACIENTE ",IF(P102=CURSOS!$D$10,"CLINICA DE HERIDAS ",IF(P102=CURSOS!$D$11,"TOMA DE CITOLOGIA CERVICO VAGINAL ",IF(P102=CURSOS!$D$12,"SOPORTE CARDIOVASCULAR AVANZADO (ACLS) ",IF(P102=CURSOS!$D$13,"CAMILLERO ",IF(P102=CURSOS!$D$14,"TOMA DE MUESTRAS Y LABORATORIO ",IF(P102=CURSOS!$D$15,"SOPORTE VITAL BASICO (BLS)",IF(P102=CURSOS!$D$16,"ATENCION A VICTIMAS DE VIOLENCIA SEXUAL ",IF(P102=CURSOS!$D$17,"PROGRAMADO AMPLIADO DE INMUNIZACION (PAI - COVID 19)",IF(P102=CURSOS!$D$18,"ATENCION INTEGRAL EN ENFERMEDADES PREVALENTES EN PRIMERA INFANCIA (AIEPI)",IF(P102=CURSOS!$D$19,"ADMINISTRACION DE MEDICAMENTOS, INYECTOLOGIA  Y CANALIZACION ",IF(P102=CURSOS!$D$20,"OPERADOR DE VEHICULOS DE EMERGENCIA (OVE)",IF(P102=CURSOS!$D$21,"INSTITUCIONES AMIGAS DE LA MUJER Y LA INFANCIA (IAMI)",IF(P102=CURSOS!$D$22,"CUIDADO DEL DONANTE DE ORGANOS",IF(P102=CURSOS!$D$23,"ATENCION A VICTIMAS POR VIOLENCIA DE GENERO",IF(P102=CURSOS!$D$24,"IGUALDAD DE GENERO EN LA SALUD",IF(P102=CURSOS!$D$25,"BRIGADA DE EMERGENCIA",IF(P102=CURSOS!$D$26,"MANEJO DEL DOLOR Y CUIDADOS PALIATIVOS",IF(P102=CURSOS!$D$27,"TOMA DE MUESTRAS Y LABORATORIO POCT",IF(P102=CURSOS!$D$28,"IMPLANTE SUBDERMICO DE DISPOSITIVO INTRAUTERINO",IF(P102=CURSOS!$D$29,"SALUD MENTAL",IF(P102=CURSOS!$D$30,"PRIMEROS AUXILIOS PSICOLOGICOS",IF(P102=CURSOS!$D$31,"ATENCION A VICTIMAS POR CONFLICTO ARMADO",IF(P102=CURSOS!$D$32,"MANIPULACION DE ALIMENTOS Y BPM",IF(P102=CURSOS!$D$33,"ATENCION A PERSONAS CON DISCAPACIDAD",IF(P102=CURSOS!$D$34,"CUIDADO INTEGRAL DEL PACIENTE ADULTO",IF(P102=CURSOS!$D$35,"MANEJO DEFENSIVO",IF(P102=CURSOS!$D$36,"SOPORTE CARDIOVASCULAR AVANZADO NEONATAL",IF(P102=CURSOS!$D$37,"SEGURIDAD DEL PACIENTE",IF(P102=CURSOS!$D$38,"MANEJO DE RESIDUOS HOSPITALARIOS"))))))))))))))))))))))))))))))))))))</f>
        <v>SOPORTE VITAL BASICO (BLS)</v>
      </c>
      <c r="W102" s="66" t="str">
        <f t="shared" si="5"/>
        <v>Erica Normalia Cabrera Apraez</v>
      </c>
      <c r="X102" s="66" t="str">
        <f t="shared" si="6"/>
        <v>Erica Normalia Cabrera Apraez</v>
      </c>
      <c r="Y102" s="66" t="str">
        <f t="shared" si="7"/>
        <v>Erica Normalia Cabrera Apraez-1086359222-BLS</v>
      </c>
    </row>
    <row r="103" spans="1:25" s="88" customFormat="1" x14ac:dyDescent="0.2">
      <c r="A103" s="61">
        <v>102</v>
      </c>
      <c r="B103" s="62">
        <v>87065225</v>
      </c>
      <c r="C103" s="87" t="s">
        <v>278</v>
      </c>
      <c r="D103" s="87" t="s">
        <v>411</v>
      </c>
      <c r="E103" s="87" t="s">
        <v>412</v>
      </c>
      <c r="F103" s="87"/>
      <c r="G103" s="87">
        <v>14</v>
      </c>
      <c r="H103" s="62" t="s">
        <v>127</v>
      </c>
      <c r="I103" s="62" t="s">
        <v>226</v>
      </c>
      <c r="J103" s="63" t="s">
        <v>334</v>
      </c>
      <c r="K103" s="64">
        <v>45761</v>
      </c>
      <c r="L103" s="65">
        <v>120000</v>
      </c>
      <c r="M103" s="62" t="s">
        <v>413</v>
      </c>
      <c r="N103" s="62" t="s">
        <v>131</v>
      </c>
      <c r="O103" s="87" t="s">
        <v>257</v>
      </c>
      <c r="P103" s="87" t="s">
        <v>37</v>
      </c>
      <c r="Q103" s="89">
        <v>30739</v>
      </c>
      <c r="R103" s="87" t="s">
        <v>209</v>
      </c>
      <c r="S103" s="100" t="s">
        <v>264</v>
      </c>
      <c r="T103" s="91">
        <v>3202941380</v>
      </c>
      <c r="U103" s="82" t="s">
        <v>414</v>
      </c>
      <c r="V103" s="66" t="str">
        <f>IF(P103=CURSOS!$D$3,"DIPLOMADO EN ATENCION PRE-HOSPITALARIA",IF(P103=CURSOS!$D$4,"ACOMPAÑAMIENTO Y MANEJO DEL DUELO",IF(P103=CURSOS!$D$5,"ATENCION A VICTIMAS DE ATAQUE CON AGENTES QUIMICOS ",IF(P103=CURSOS!$D$6,"PRIMEROS AUXILIOS ",IF(P103=CURSOS!$D$7,"DIPLOMADO DE UNIDAD DE CUIDADOS INTENSIVOS (UCI)",IF(P103=CURSOS!$D$8,"MODELO DE ATENCION PARA EVENTOS EMERGENTES EN SALUD MENTAL (CODIGO VERDE)",IF(P103=CURSOS!$D$9,"HUMANIZACION EN EL SERVICIO DE LA SALUD Y BUENAS PRACTICAS EN PACIENTE ",IF(P103=CURSOS!$D$10,"CLINICA DE HERIDAS ",IF(P103=CURSOS!$D$11,"TOMA DE CITOLOGIA CERVICO VAGINAL ",IF(P103=CURSOS!$D$12,"SOPORTE CARDIOVASCULAR AVANZADO (ACLS) ",IF(P103=CURSOS!$D$13,"CAMILLERO ",IF(P103=CURSOS!$D$14,"TOMA DE MUESTRAS Y LABORATORIO ",IF(P103=CURSOS!$D$15,"SOPORTE VITAL BASICO (BLS)",IF(P103=CURSOS!$D$16,"ATENCION A VICTIMAS DE VIOLENCIA SEXUAL ",IF(P103=CURSOS!$D$17,"PROGRAMADO AMPLIADO DE INMUNIZACION (PAI - COVID 19)",IF(P103=CURSOS!$D$18,"ATENCION INTEGRAL EN ENFERMEDADES PREVALENTES EN PRIMERA INFANCIA (AIEPI)",IF(P103=CURSOS!$D$19,"ADMINISTRACION DE MEDICAMENTOS, INYECTOLOGIA  Y CANALIZACION ",IF(P103=CURSOS!$D$20,"OPERADOR DE VEHICULOS DE EMERGENCIA (OVE)",IF(P103=CURSOS!$D$21,"INSTITUCIONES AMIGAS DE LA MUJER Y LA INFANCIA (IAMI)",IF(P103=CURSOS!$D$22,"CUIDADO DEL DONANTE DE ORGANOS",IF(P103=CURSOS!$D$23,"ATENCION A VICTIMAS POR VIOLENCIA DE GENERO",IF(P103=CURSOS!$D$24,"IGUALDAD DE GENERO EN LA SALUD",IF(P103=CURSOS!$D$25,"BRIGADA DE EMERGENCIA",IF(P103=CURSOS!$D$26,"MANEJO DEL DOLOR Y CUIDADOS PALIATIVOS",IF(P103=CURSOS!$D$27,"TOMA DE MUESTRAS Y LABORATORIO POCT",IF(P103=CURSOS!$D$28,"IMPLANTE SUBDERMICO DE DISPOSITIVO INTRAUTERINO",IF(P103=CURSOS!$D$29,"SALUD MENTAL",IF(P103=CURSOS!$D$30,"PRIMEROS AUXILIOS PSICOLOGICOS",IF(P103=CURSOS!$D$31,"ATENCION A VICTIMAS POR CONFLICTO ARMADO",IF(P103=CURSOS!$D$32,"MANIPULACION DE ALIMENTOS Y BPM",IF(P103=CURSOS!$D$33,"ATENCION A PERSONAS CON DISCAPACIDAD",IF(P103=CURSOS!$D$34,"CUIDADO INTEGRAL DEL PACIENTE ADULTO",IF(P103=CURSOS!$D$35,"MANEJO DEFENSIVO",IF(P103=CURSOS!$D$36,"SOPORTE CARDIOVASCULAR AVANZADO NEONATAL",IF(P103=CURSOS!$D$37,"SEGURIDAD DEL PACIENTE",IF(P103=CURSOS!$D$38,"MANEJO DE RESIDUOS HOSPITALARIOS"))))))))))))))))))))))))))))))))))))</f>
        <v xml:space="preserve">SOPORTE CARDIOVASCULAR AVANZADO (ACLS) </v>
      </c>
      <c r="W103" s="66" t="str">
        <f t="shared" si="5"/>
        <v>Gabriel  Perez Riascos</v>
      </c>
      <c r="X103" s="66" t="str">
        <f t="shared" si="6"/>
        <v>Gabriel  Perez Riascos</v>
      </c>
      <c r="Y103" s="66" t="str">
        <f t="shared" si="7"/>
        <v>Gabriel  Perez Riascos-87065225-ACLS</v>
      </c>
    </row>
    <row r="104" spans="1:25" s="88" customFormat="1" x14ac:dyDescent="0.2">
      <c r="A104" s="61">
        <v>103</v>
      </c>
      <c r="B104" s="62">
        <v>1085316938</v>
      </c>
      <c r="C104" s="87" t="s">
        <v>416</v>
      </c>
      <c r="D104" s="87" t="s">
        <v>312</v>
      </c>
      <c r="E104" s="87" t="s">
        <v>415</v>
      </c>
      <c r="F104" s="87" t="s">
        <v>200</v>
      </c>
      <c r="G104" s="87">
        <v>14</v>
      </c>
      <c r="H104" s="62" t="s">
        <v>127</v>
      </c>
      <c r="I104" s="62" t="s">
        <v>226</v>
      </c>
      <c r="J104" s="63" t="s">
        <v>334</v>
      </c>
      <c r="K104" s="64">
        <v>45761</v>
      </c>
      <c r="L104" s="65">
        <v>130000</v>
      </c>
      <c r="M104" s="62" t="s">
        <v>220</v>
      </c>
      <c r="N104" s="62" t="s">
        <v>131</v>
      </c>
      <c r="O104" s="87" t="s">
        <v>257</v>
      </c>
      <c r="P104" s="87" t="s">
        <v>37</v>
      </c>
      <c r="Q104" s="89">
        <v>34570</v>
      </c>
      <c r="R104" s="87" t="s">
        <v>208</v>
      </c>
      <c r="S104" s="100" t="s">
        <v>264</v>
      </c>
      <c r="T104" s="91">
        <v>3162740045</v>
      </c>
      <c r="U104" s="62" t="s">
        <v>417</v>
      </c>
      <c r="V104" s="66" t="str">
        <f>IF(P104=CURSOS!$D$3,"DIPLOMADO EN ATENCION PRE-HOSPITALARIA",IF(P104=CURSOS!$D$4,"ACOMPAÑAMIENTO Y MANEJO DEL DUELO",IF(P104=CURSOS!$D$5,"ATENCION A VICTIMAS DE ATAQUE CON AGENTES QUIMICOS ",IF(P104=CURSOS!$D$6,"PRIMEROS AUXILIOS ",IF(P104=CURSOS!$D$7,"DIPLOMADO DE UNIDAD DE CUIDADOS INTENSIVOS (UCI)",IF(P104=CURSOS!$D$8,"MODELO DE ATENCION PARA EVENTOS EMERGENTES EN SALUD MENTAL (CODIGO VERDE)",IF(P104=CURSOS!$D$9,"HUMANIZACION EN EL SERVICIO DE LA SALUD Y BUENAS PRACTICAS EN PACIENTE ",IF(P104=CURSOS!$D$10,"CLINICA DE HERIDAS ",IF(P104=CURSOS!$D$11,"TOMA DE CITOLOGIA CERVICO VAGINAL ",IF(P104=CURSOS!$D$12,"SOPORTE CARDIOVASCULAR AVANZADO (ACLS) ",IF(P104=CURSOS!$D$13,"CAMILLERO ",IF(P104=CURSOS!$D$14,"TOMA DE MUESTRAS Y LABORATORIO ",IF(P104=CURSOS!$D$15,"SOPORTE VITAL BASICO (BLS)",IF(P104=CURSOS!$D$16,"ATENCION A VICTIMAS DE VIOLENCIA SEXUAL ",IF(P104=CURSOS!$D$17,"PROGRAMADO AMPLIADO DE INMUNIZACION (PAI - COVID 19)",IF(P104=CURSOS!$D$18,"ATENCION INTEGRAL EN ENFERMEDADES PREVALENTES EN PRIMERA INFANCIA (AIEPI)",IF(P104=CURSOS!$D$19,"ADMINISTRACION DE MEDICAMENTOS, INYECTOLOGIA  Y CANALIZACION ",IF(P104=CURSOS!$D$20,"OPERADOR DE VEHICULOS DE EMERGENCIA (OVE)",IF(P104=CURSOS!$D$21,"INSTITUCIONES AMIGAS DE LA MUJER Y LA INFANCIA (IAMI)",IF(P104=CURSOS!$D$22,"CUIDADO DEL DONANTE DE ORGANOS",IF(P104=CURSOS!$D$23,"ATENCION A VICTIMAS POR VIOLENCIA DE GENERO",IF(P104=CURSOS!$D$24,"IGUALDAD DE GENERO EN LA SALUD",IF(P104=CURSOS!$D$25,"BRIGADA DE EMERGENCIA",IF(P104=CURSOS!$D$26,"MANEJO DEL DOLOR Y CUIDADOS PALIATIVOS",IF(P104=CURSOS!$D$27,"TOMA DE MUESTRAS Y LABORATORIO POCT",IF(P104=CURSOS!$D$28,"IMPLANTE SUBDERMICO DE DISPOSITIVO INTRAUTERINO",IF(P104=CURSOS!$D$29,"SALUD MENTAL",IF(P104=CURSOS!$D$30,"PRIMEROS AUXILIOS PSICOLOGICOS",IF(P104=CURSOS!$D$31,"ATENCION A VICTIMAS POR CONFLICTO ARMADO",IF(P104=CURSOS!$D$32,"MANIPULACION DE ALIMENTOS Y BPM",IF(P104=CURSOS!$D$33,"ATENCION A PERSONAS CON DISCAPACIDAD",IF(P104=CURSOS!$D$34,"CUIDADO INTEGRAL DEL PACIENTE ADULTO",IF(P104=CURSOS!$D$35,"MANEJO DEFENSIVO",IF(P104=CURSOS!$D$36,"SOPORTE CARDIOVASCULAR AVANZADO NEONATAL",IF(P104=CURSOS!$D$37,"SEGURIDAD DEL PACIENTE",IF(P104=CURSOS!$D$38,"MANEJO DE RESIDUOS HOSPITALARIOS"))))))))))))))))))))))))))))))))))))</f>
        <v xml:space="preserve">SOPORTE CARDIOVASCULAR AVANZADO (ACLS) </v>
      </c>
      <c r="W104" s="66" t="str">
        <f t="shared" si="5"/>
        <v>Luisa Fernanda Quiñones Rodriguez</v>
      </c>
      <c r="X104" s="66" t="str">
        <f t="shared" si="6"/>
        <v>Luisa Fernanda Quiñones Rodriguez</v>
      </c>
      <c r="Y104" s="66" t="str">
        <f t="shared" si="7"/>
        <v>Luisa Fernanda Quiñones Rodriguez-1085316938-ACLS</v>
      </c>
    </row>
    <row r="105" spans="1:25" s="88" customFormat="1" x14ac:dyDescent="0.2">
      <c r="A105" s="61">
        <v>104</v>
      </c>
      <c r="B105" s="62">
        <v>1085291360</v>
      </c>
      <c r="C105" s="87" t="s">
        <v>292</v>
      </c>
      <c r="D105" s="87" t="s">
        <v>236</v>
      </c>
      <c r="E105" s="87" t="s">
        <v>418</v>
      </c>
      <c r="F105" s="87" t="s">
        <v>419</v>
      </c>
      <c r="G105" s="87">
        <v>14</v>
      </c>
      <c r="H105" s="62" t="s">
        <v>127</v>
      </c>
      <c r="I105" s="62" t="s">
        <v>226</v>
      </c>
      <c r="J105" s="63" t="s">
        <v>334</v>
      </c>
      <c r="K105" s="64">
        <v>45761</v>
      </c>
      <c r="L105" s="65">
        <v>40000</v>
      </c>
      <c r="M105" s="62" t="s">
        <v>220</v>
      </c>
      <c r="N105" s="62" t="s">
        <v>131</v>
      </c>
      <c r="O105" s="87" t="s">
        <v>257</v>
      </c>
      <c r="P105" s="87" t="s">
        <v>57</v>
      </c>
      <c r="Q105" s="89">
        <v>33493</v>
      </c>
      <c r="R105" s="87" t="s">
        <v>209</v>
      </c>
      <c r="S105" s="101" t="s">
        <v>258</v>
      </c>
      <c r="T105" s="91">
        <v>3147012903</v>
      </c>
      <c r="U105" s="82" t="s">
        <v>420</v>
      </c>
      <c r="V105" s="66" t="str">
        <f>IF(P105=CURSOS!$D$3,"DIPLOMADO EN ATENCION PRE-HOSPITALARIA",IF(P105=CURSOS!$D$4,"ACOMPAÑAMIENTO Y MANEJO DEL DUELO",IF(P105=CURSOS!$D$5,"ATENCION A VICTIMAS DE ATAQUE CON AGENTES QUIMICOS ",IF(P105=CURSOS!$D$6,"PRIMEROS AUXILIOS ",IF(P105=CURSOS!$D$7,"DIPLOMADO DE UNIDAD DE CUIDADOS INTENSIVOS (UCI)",IF(P105=CURSOS!$D$8,"MODELO DE ATENCION PARA EVENTOS EMERGENTES EN SALUD MENTAL (CODIGO VERDE)",IF(P105=CURSOS!$D$9,"HUMANIZACION EN EL SERVICIO DE LA SALUD Y BUENAS PRACTICAS EN PACIENTE ",IF(P105=CURSOS!$D$10,"CLINICA DE HERIDAS ",IF(P105=CURSOS!$D$11,"TOMA DE CITOLOGIA CERVICO VAGINAL ",IF(P105=CURSOS!$D$12,"SOPORTE CARDIOVASCULAR AVANZADO (ACLS) ",IF(P105=CURSOS!$D$13,"CAMILLERO ",IF(P105=CURSOS!$D$14,"TOMA DE MUESTRAS Y LABORATORIO ",IF(P105=CURSOS!$D$15,"SOPORTE VITAL BASICO (BLS)",IF(P105=CURSOS!$D$16,"ATENCION A VICTIMAS DE VIOLENCIA SEXUAL ",IF(P105=CURSOS!$D$17,"PROGRAMADO AMPLIADO DE INMUNIZACION (PAI - COVID 19)",IF(P105=CURSOS!$D$18,"ATENCION INTEGRAL EN ENFERMEDADES PREVALENTES EN PRIMERA INFANCIA (AIEPI)",IF(P105=CURSOS!$D$19,"ADMINISTRACION DE MEDICAMENTOS, INYECTOLOGIA  Y CANALIZACION ",IF(P105=CURSOS!$D$20,"OPERADOR DE VEHICULOS DE EMERGENCIA (OVE)",IF(P105=CURSOS!$D$21,"INSTITUCIONES AMIGAS DE LA MUJER Y LA INFANCIA (IAMI)",IF(P105=CURSOS!$D$22,"CUIDADO DEL DONANTE DE ORGANOS",IF(P105=CURSOS!$D$23,"ATENCION A VICTIMAS POR VIOLENCIA DE GENERO",IF(P105=CURSOS!$D$24,"IGUALDAD DE GENERO EN LA SALUD",IF(P105=CURSOS!$D$25,"BRIGADA DE EMERGENCIA",IF(P105=CURSOS!$D$26,"MANEJO DEL DOLOR Y CUIDADOS PALIATIVOS",IF(P105=CURSOS!$D$27,"TOMA DE MUESTRAS Y LABORATORIO POCT",IF(P105=CURSOS!$D$28,"IMPLANTE SUBDERMICO DE DISPOSITIVO INTRAUTERINO",IF(P105=CURSOS!$D$29,"SALUD MENTAL",IF(P105=CURSOS!$D$30,"PRIMEROS AUXILIOS PSICOLOGICOS",IF(P105=CURSOS!$D$31,"ATENCION A VICTIMAS POR CONFLICTO ARMADO",IF(P105=CURSOS!$D$32,"MANIPULACION DE ALIMENTOS Y BPM",IF(P105=CURSOS!$D$33,"ATENCION A PERSONAS CON DISCAPACIDAD",IF(P105=CURSOS!$D$34,"CUIDADO INTEGRAL DEL PACIENTE ADULTO",IF(P105=CURSOS!$D$35,"MANEJO DEFENSIVO",IF(P105=CURSOS!$D$36,"SOPORTE CARDIOVASCULAR AVANZADO NEONATAL",IF(P105=CURSOS!$D$37,"SEGURIDAD DEL PACIENTE",IF(P105=CURSOS!$D$38,"MANEJO DE RESIDUOS HOSPITALARIOS"))))))))))))))))))))))))))))))))))))</f>
        <v>MANEJO DEL DOLOR Y CUIDADOS PALIATIVOS</v>
      </c>
      <c r="W105" s="66" t="str">
        <f t="shared" si="5"/>
        <v>Javier Alexander Enriquez Cabrera</v>
      </c>
      <c r="X105" s="66" t="str">
        <f t="shared" si="6"/>
        <v>Javier Alexander Enriquez Cabrera</v>
      </c>
      <c r="Y105" s="66" t="str">
        <f t="shared" si="7"/>
        <v>Javier Alexander Enriquez Cabrera-1085291360-PALIATIVOS</v>
      </c>
    </row>
    <row r="106" spans="1:25" s="88" customFormat="1" x14ac:dyDescent="0.2">
      <c r="A106" s="61">
        <v>105</v>
      </c>
      <c r="B106" s="87">
        <v>1085253726</v>
      </c>
      <c r="C106" s="87" t="s">
        <v>279</v>
      </c>
      <c r="D106" s="87" t="s">
        <v>156</v>
      </c>
      <c r="E106" s="87" t="s">
        <v>421</v>
      </c>
      <c r="F106" s="87" t="s">
        <v>182</v>
      </c>
      <c r="G106" s="87">
        <v>14</v>
      </c>
      <c r="H106" s="62" t="s">
        <v>127</v>
      </c>
      <c r="I106" s="62" t="s">
        <v>226</v>
      </c>
      <c r="J106" s="89" t="s">
        <v>232</v>
      </c>
      <c r="K106" s="92">
        <v>45769</v>
      </c>
      <c r="L106" s="93">
        <v>30000</v>
      </c>
      <c r="M106" s="87" t="s">
        <v>220</v>
      </c>
      <c r="N106" s="62" t="s">
        <v>131</v>
      </c>
      <c r="O106" s="87" t="s">
        <v>422</v>
      </c>
      <c r="P106" s="87" t="s">
        <v>42</v>
      </c>
      <c r="Q106" s="89">
        <v>31172</v>
      </c>
      <c r="R106" s="87" t="s">
        <v>208</v>
      </c>
      <c r="S106" s="90" t="s">
        <v>332</v>
      </c>
      <c r="T106" s="87">
        <v>3155311389</v>
      </c>
      <c r="U106" s="62" t="s">
        <v>423</v>
      </c>
      <c r="V106" s="66" t="str">
        <f>IF(P106=CURSOS!$D$3,"DIPLOMADO EN ATENCION PRE-HOSPITALARIA",IF(P106=CURSOS!$D$4,"ACOMPAÑAMIENTO Y MANEJO DEL DUELO",IF(P106=CURSOS!$D$5,"ATENCION A VICTIMAS DE ATAQUE CON AGENTES QUIMICOS ",IF(P106=CURSOS!$D$6,"PRIMEROS AUXILIOS ",IF(P106=CURSOS!$D$7,"DIPLOMADO DE UNIDAD DE CUIDADOS INTENSIVOS (UCI)",IF(P106=CURSOS!$D$8,"MODELO DE ATENCION PARA EVENTOS EMERGENTES EN SALUD MENTAL (CODIGO VERDE)",IF(P106=CURSOS!$D$9,"HUMANIZACION EN EL SERVICIO DE LA SALUD Y BUENAS PRACTICAS EN PACIENTE ",IF(P106=CURSOS!$D$10,"CLINICA DE HERIDAS ",IF(P106=CURSOS!$D$11,"TOMA DE CITOLOGIA CERVICO VAGINAL ",IF(P106=CURSOS!$D$12,"SOPORTE CARDIOVASCULAR AVANZADO (ACLS) ",IF(P106=CURSOS!$D$13,"CAMILLERO ",IF(P106=CURSOS!$D$14,"TOMA DE MUESTRAS Y LABORATORIO ",IF(P106=CURSOS!$D$15,"SOPORTE VITAL BASICO (BLS)",IF(P106=CURSOS!$D$16,"ATENCION A VICTIMAS DE VIOLENCIA SEXUAL ",IF(P106=CURSOS!$D$17,"PROGRAMADO AMPLIADO DE INMUNIZACION (PAI - COVID 19)",IF(P106=CURSOS!$D$18,"ATENCION INTEGRAL EN ENFERMEDADES PREVALENTES EN PRIMERA INFANCIA (AIEPI)",IF(P106=CURSOS!$D$19,"ADMINISTRACION DE MEDICAMENTOS, INYECTOLOGIA  Y CANALIZACION ",IF(P106=CURSOS!$D$20,"OPERADOR DE VEHICULOS DE EMERGENCIA (OVE)",IF(P106=CURSOS!$D$21,"INSTITUCIONES AMIGAS DE LA MUJER Y LA INFANCIA (IAMI)",IF(P106=CURSOS!$D$22,"CUIDADO DEL DONANTE DE ORGANOS",IF(P106=CURSOS!$D$23,"ATENCION A VICTIMAS POR VIOLENCIA DE GENERO",IF(P106=CURSOS!$D$24,"IGUALDAD DE GENERO EN LA SALUD",IF(P106=CURSOS!$D$25,"BRIGADA DE EMERGENCIA",IF(P106=CURSOS!$D$26,"MANEJO DEL DOLOR Y CUIDADOS PALIATIVOS",IF(P106=CURSOS!$D$27,"TOMA DE MUESTRAS Y LABORATORIO POCT",IF(P106=CURSOS!$D$28,"IMPLANTE SUBDERMICO DE DISPOSITIVO INTRAUTERINO",IF(P106=CURSOS!$D$29,"SALUD MENTAL",IF(P106=CURSOS!$D$30,"PRIMEROS AUXILIOS PSICOLOGICOS",IF(P106=CURSOS!$D$31,"ATENCION A VICTIMAS POR CONFLICTO ARMADO",IF(P106=CURSOS!$D$32,"MANIPULACION DE ALIMENTOS Y BPM",IF(P106=CURSOS!$D$33,"ATENCION A PERSONAS CON DISCAPACIDAD",IF(P106=CURSOS!$D$34,"CUIDADO INTEGRAL DEL PACIENTE ADULTO",IF(P106=CURSOS!$D$35,"MANEJO DEFENSIVO",IF(P106=CURSOS!$D$36,"SOPORTE CARDIOVASCULAR AVANZADO NEONATAL",IF(P106=CURSOS!$D$37,"SEGURIDAD DEL PACIENTE",IF(P106=CURSOS!$D$38,"MANEJO DE RESIDUOS HOSPITALARIOS"))))))))))))))))))))))))))))))))))))</f>
        <v xml:space="preserve">ATENCION A VICTIMAS DE VIOLENCIA SEXUAL </v>
      </c>
      <c r="W106" s="66" t="str">
        <f t="shared" si="5"/>
        <v>Betsy Paola Guerrero Ortega</v>
      </c>
      <c r="X106" s="66" t="str">
        <f t="shared" si="6"/>
        <v>Betsy Paola Guerrero Ortega</v>
      </c>
      <c r="Y106" s="66" t="str">
        <f t="shared" si="7"/>
        <v>Betsy Paola Guerrero Ortega-1085253726-VIOLENCIA SEXUAL</v>
      </c>
    </row>
    <row r="107" spans="1:25" s="88" customFormat="1" x14ac:dyDescent="0.2">
      <c r="A107" s="61">
        <v>106</v>
      </c>
      <c r="B107" s="87">
        <v>1085253726</v>
      </c>
      <c r="C107" s="87" t="s">
        <v>279</v>
      </c>
      <c r="D107" s="87" t="s">
        <v>156</v>
      </c>
      <c r="E107" s="87" t="s">
        <v>421</v>
      </c>
      <c r="F107" s="87" t="s">
        <v>182</v>
      </c>
      <c r="G107" s="87">
        <v>14</v>
      </c>
      <c r="H107" s="62" t="s">
        <v>127</v>
      </c>
      <c r="I107" s="62" t="s">
        <v>226</v>
      </c>
      <c r="J107" s="89" t="s">
        <v>232</v>
      </c>
      <c r="K107" s="92">
        <v>45769</v>
      </c>
      <c r="L107" s="93">
        <v>30000</v>
      </c>
      <c r="M107" s="87" t="s">
        <v>220</v>
      </c>
      <c r="N107" s="62" t="s">
        <v>131</v>
      </c>
      <c r="O107" s="87" t="s">
        <v>422</v>
      </c>
      <c r="P107" s="87" t="s">
        <v>25</v>
      </c>
      <c r="Q107" s="89">
        <v>31172</v>
      </c>
      <c r="R107" s="87" t="s">
        <v>208</v>
      </c>
      <c r="S107" s="90" t="s">
        <v>332</v>
      </c>
      <c r="T107" s="87">
        <v>3155311389</v>
      </c>
      <c r="U107" s="62" t="s">
        <v>423</v>
      </c>
      <c r="V107" s="66" t="str">
        <f>IF(P107=CURSOS!$D$3,"DIPLOMADO EN ATENCION PRE-HOSPITALARIA",IF(P107=CURSOS!$D$4,"ACOMPAÑAMIENTO Y MANEJO DEL DUELO",IF(P107=CURSOS!$D$5,"ATENCION A VICTIMAS DE ATAQUE CON AGENTES QUIMICOS ",IF(P107=CURSOS!$D$6,"PRIMEROS AUXILIOS ",IF(P107=CURSOS!$D$7,"DIPLOMADO DE UNIDAD DE CUIDADOS INTENSIVOS (UCI)",IF(P107=CURSOS!$D$8,"MODELO DE ATENCION PARA EVENTOS EMERGENTES EN SALUD MENTAL (CODIGO VERDE)",IF(P107=CURSOS!$D$9,"HUMANIZACION EN EL SERVICIO DE LA SALUD Y BUENAS PRACTICAS EN PACIENTE ",IF(P107=CURSOS!$D$10,"CLINICA DE HERIDAS ",IF(P107=CURSOS!$D$11,"TOMA DE CITOLOGIA CERVICO VAGINAL ",IF(P107=CURSOS!$D$12,"SOPORTE CARDIOVASCULAR AVANZADO (ACLS) ",IF(P107=CURSOS!$D$13,"CAMILLERO ",IF(P107=CURSOS!$D$14,"TOMA DE MUESTRAS Y LABORATORIO ",IF(P107=CURSOS!$D$15,"SOPORTE VITAL BASICO (BLS)",IF(P107=CURSOS!$D$16,"ATENCION A VICTIMAS DE VIOLENCIA SEXUAL ",IF(P107=CURSOS!$D$17,"PROGRAMADO AMPLIADO DE INMUNIZACION (PAI - COVID 19)",IF(P107=CURSOS!$D$18,"ATENCION INTEGRAL EN ENFERMEDADES PREVALENTES EN PRIMERA INFANCIA (AIEPI)",IF(P107=CURSOS!$D$19,"ADMINISTRACION DE MEDICAMENTOS, INYECTOLOGIA  Y CANALIZACION ",IF(P107=CURSOS!$D$20,"OPERADOR DE VEHICULOS DE EMERGENCIA (OVE)",IF(P107=CURSOS!$D$21,"INSTITUCIONES AMIGAS DE LA MUJER Y LA INFANCIA (IAMI)",IF(P107=CURSOS!$D$22,"CUIDADO DEL DONANTE DE ORGANOS",IF(P107=CURSOS!$D$23,"ATENCION A VICTIMAS POR VIOLENCIA DE GENERO",IF(P107=CURSOS!$D$24,"IGUALDAD DE GENERO EN LA SALUD",IF(P107=CURSOS!$D$25,"BRIGADA DE EMERGENCIA",IF(P107=CURSOS!$D$26,"MANEJO DEL DOLOR Y CUIDADOS PALIATIVOS",IF(P107=CURSOS!$D$27,"TOMA DE MUESTRAS Y LABORATORIO POCT",IF(P107=CURSOS!$D$28,"IMPLANTE SUBDERMICO DE DISPOSITIVO INTRAUTERINO",IF(P107=CURSOS!$D$29,"SALUD MENTAL",IF(P107=CURSOS!$D$30,"PRIMEROS AUXILIOS PSICOLOGICOS",IF(P107=CURSOS!$D$31,"ATENCION A VICTIMAS POR CONFLICTO ARMADO",IF(P107=CURSOS!$D$32,"MANIPULACION DE ALIMENTOS Y BPM",IF(P107=CURSOS!$D$33,"ATENCION A PERSONAS CON DISCAPACIDAD",IF(P107=CURSOS!$D$34,"CUIDADO INTEGRAL DEL PACIENTE ADULTO",IF(P107=CURSOS!$D$35,"MANEJO DEFENSIVO",IF(P107=CURSOS!$D$36,"SOPORTE CARDIOVASCULAR AVANZADO NEONATAL",IF(P107=CURSOS!$D$37,"SEGURIDAD DEL PACIENTE",IF(P107=CURSOS!$D$38,"MANEJO DE RESIDUOS HOSPITALARIOS"))))))))))))))))))))))))))))))))))))</f>
        <v xml:space="preserve">ATENCION A VICTIMAS DE ATAQUE CON AGENTES QUIMICOS </v>
      </c>
      <c r="W107" s="66" t="str">
        <f t="shared" si="5"/>
        <v>Betsy Paola Guerrero Ortega</v>
      </c>
      <c r="X107" s="66" t="str">
        <f t="shared" si="6"/>
        <v>Betsy Paola Guerrero Ortega</v>
      </c>
      <c r="Y107" s="66" t="str">
        <f t="shared" si="7"/>
        <v>Betsy Paola Guerrero Ortega-1085253726-QUIMICOS</v>
      </c>
    </row>
    <row r="108" spans="1:25" s="88" customFormat="1" x14ac:dyDescent="0.2">
      <c r="A108" s="61">
        <v>107</v>
      </c>
      <c r="B108" s="87">
        <v>98400045</v>
      </c>
      <c r="C108" s="87" t="s">
        <v>398</v>
      </c>
      <c r="D108" s="87" t="s">
        <v>424</v>
      </c>
      <c r="E108" s="87" t="s">
        <v>425</v>
      </c>
      <c r="F108" s="87" t="s">
        <v>189</v>
      </c>
      <c r="G108" s="87">
        <v>14</v>
      </c>
      <c r="H108" s="62" t="s">
        <v>127</v>
      </c>
      <c r="I108" s="62" t="s">
        <v>226</v>
      </c>
      <c r="J108" s="89" t="s">
        <v>232</v>
      </c>
      <c r="K108" s="92">
        <v>45769</v>
      </c>
      <c r="L108" s="93">
        <v>30000</v>
      </c>
      <c r="M108" s="87" t="s">
        <v>220</v>
      </c>
      <c r="N108" s="62" t="s">
        <v>131</v>
      </c>
      <c r="O108" s="87" t="s">
        <v>422</v>
      </c>
      <c r="P108" s="87" t="s">
        <v>25</v>
      </c>
      <c r="Q108" s="89">
        <v>28250</v>
      </c>
      <c r="R108" s="87" t="s">
        <v>209</v>
      </c>
      <c r="S108" s="87" t="s">
        <v>332</v>
      </c>
      <c r="T108" s="91">
        <v>3022044411</v>
      </c>
      <c r="U108" s="62"/>
      <c r="V108" s="66" t="str">
        <f>IF(P108=CURSOS!$D$3,"DIPLOMADO EN ATENCION PRE-HOSPITALARIA",IF(P108=CURSOS!$D$4,"ACOMPAÑAMIENTO Y MANEJO DEL DUELO",IF(P108=CURSOS!$D$5,"ATENCION A VICTIMAS DE ATAQUE CON AGENTES QUIMICOS ",IF(P108=CURSOS!$D$6,"PRIMEROS AUXILIOS ",IF(P108=CURSOS!$D$7,"DIPLOMADO DE UNIDAD DE CUIDADOS INTENSIVOS (UCI)",IF(P108=CURSOS!$D$8,"MODELO DE ATENCION PARA EVENTOS EMERGENTES EN SALUD MENTAL (CODIGO VERDE)",IF(P108=CURSOS!$D$9,"HUMANIZACION EN EL SERVICIO DE LA SALUD Y BUENAS PRACTICAS EN PACIENTE ",IF(P108=CURSOS!$D$10,"CLINICA DE HERIDAS ",IF(P108=CURSOS!$D$11,"TOMA DE CITOLOGIA CERVICO VAGINAL ",IF(P108=CURSOS!$D$12,"SOPORTE CARDIOVASCULAR AVANZADO (ACLS) ",IF(P108=CURSOS!$D$13,"CAMILLERO ",IF(P108=CURSOS!$D$14,"TOMA DE MUESTRAS Y LABORATORIO ",IF(P108=CURSOS!$D$15,"SOPORTE VITAL BASICO (BLS)",IF(P108=CURSOS!$D$16,"ATENCION A VICTIMAS DE VIOLENCIA SEXUAL ",IF(P108=CURSOS!$D$17,"PROGRAMADO AMPLIADO DE INMUNIZACION (PAI - COVID 19)",IF(P108=CURSOS!$D$18,"ATENCION INTEGRAL EN ENFERMEDADES PREVALENTES EN PRIMERA INFANCIA (AIEPI)",IF(P108=CURSOS!$D$19,"ADMINISTRACION DE MEDICAMENTOS, INYECTOLOGIA  Y CANALIZACION ",IF(P108=CURSOS!$D$20,"OPERADOR DE VEHICULOS DE EMERGENCIA (OVE)",IF(P108=CURSOS!$D$21,"INSTITUCIONES AMIGAS DE LA MUJER Y LA INFANCIA (IAMI)",IF(P108=CURSOS!$D$22,"CUIDADO DEL DONANTE DE ORGANOS",IF(P108=CURSOS!$D$23,"ATENCION A VICTIMAS POR VIOLENCIA DE GENERO",IF(P108=CURSOS!$D$24,"IGUALDAD DE GENERO EN LA SALUD",IF(P108=CURSOS!$D$25,"BRIGADA DE EMERGENCIA",IF(P108=CURSOS!$D$26,"MANEJO DEL DOLOR Y CUIDADOS PALIATIVOS",IF(P108=CURSOS!$D$27,"TOMA DE MUESTRAS Y LABORATORIO POCT",IF(P108=CURSOS!$D$28,"IMPLANTE SUBDERMICO DE DISPOSITIVO INTRAUTERINO",IF(P108=CURSOS!$D$29,"SALUD MENTAL",IF(P108=CURSOS!$D$30,"PRIMEROS AUXILIOS PSICOLOGICOS",IF(P108=CURSOS!$D$31,"ATENCION A VICTIMAS POR CONFLICTO ARMADO",IF(P108=CURSOS!$D$32,"MANIPULACION DE ALIMENTOS Y BPM",IF(P108=CURSOS!$D$33,"ATENCION A PERSONAS CON DISCAPACIDAD",IF(P108=CURSOS!$D$34,"CUIDADO INTEGRAL DEL PACIENTE ADULTO",IF(P108=CURSOS!$D$35,"MANEJO DEFENSIVO",IF(P108=CURSOS!$D$36,"SOPORTE CARDIOVASCULAR AVANZADO NEONATAL",IF(P108=CURSOS!$D$37,"SEGURIDAD DEL PACIENTE",IF(P108=CURSOS!$D$38,"MANEJO DE RESIDUOS HOSPITALARIOS"))))))))))))))))))))))))))))))))))))</f>
        <v xml:space="preserve">ATENCION A VICTIMAS DE ATAQUE CON AGENTES QUIMICOS </v>
      </c>
      <c r="W108" s="66" t="str">
        <f t="shared" si="5"/>
        <v>Mario Rodrigo Portillo Eraso</v>
      </c>
      <c r="X108" s="66" t="str">
        <f t="shared" si="6"/>
        <v>Mario Rodrigo Portillo Eraso</v>
      </c>
      <c r="Y108" s="66" t="str">
        <f t="shared" si="7"/>
        <v>Mario Rodrigo Portillo Eraso-98400045-QUIMICOS</v>
      </c>
    </row>
    <row r="109" spans="1:25" s="88" customFormat="1" x14ac:dyDescent="0.2">
      <c r="A109" s="61">
        <v>108</v>
      </c>
      <c r="B109" s="87">
        <v>59824060</v>
      </c>
      <c r="C109" s="87" t="s">
        <v>426</v>
      </c>
      <c r="D109" s="87" t="s">
        <v>132</v>
      </c>
      <c r="E109" s="87" t="s">
        <v>427</v>
      </c>
      <c r="F109" s="87" t="s">
        <v>428</v>
      </c>
      <c r="G109" s="87">
        <v>14</v>
      </c>
      <c r="H109" s="62" t="s">
        <v>127</v>
      </c>
      <c r="I109" s="62" t="s">
        <v>226</v>
      </c>
      <c r="J109" s="63" t="s">
        <v>334</v>
      </c>
      <c r="K109" s="64">
        <v>45761</v>
      </c>
      <c r="L109" s="65">
        <v>35000</v>
      </c>
      <c r="M109" s="62" t="s">
        <v>430</v>
      </c>
      <c r="N109" s="62" t="s">
        <v>131</v>
      </c>
      <c r="O109" s="87" t="s">
        <v>257</v>
      </c>
      <c r="P109" s="87" t="s">
        <v>57</v>
      </c>
      <c r="Q109" s="89">
        <v>26805</v>
      </c>
      <c r="R109" s="87" t="s">
        <v>208</v>
      </c>
      <c r="S109" s="101" t="s">
        <v>258</v>
      </c>
      <c r="T109" s="91">
        <v>3176707301</v>
      </c>
      <c r="U109" s="62" t="s">
        <v>429</v>
      </c>
      <c r="V109" s="66" t="str">
        <f>IF(P109=CURSOS!$D$3,"DIPLOMADO EN ATENCION PRE-HOSPITALARIA",IF(P109=CURSOS!$D$4,"ACOMPAÑAMIENTO Y MANEJO DEL DUELO",IF(P109=CURSOS!$D$5,"ATENCION A VICTIMAS DE ATAQUE CON AGENTES QUIMICOS ",IF(P109=CURSOS!$D$6,"PRIMEROS AUXILIOS ",IF(P109=CURSOS!$D$7,"DIPLOMADO DE UNIDAD DE CUIDADOS INTENSIVOS (UCI)",IF(P109=CURSOS!$D$8,"MODELO DE ATENCION PARA EVENTOS EMERGENTES EN SALUD MENTAL (CODIGO VERDE)",IF(P109=CURSOS!$D$9,"HUMANIZACION EN EL SERVICIO DE LA SALUD Y BUENAS PRACTICAS EN PACIENTE ",IF(P109=CURSOS!$D$10,"CLINICA DE HERIDAS ",IF(P109=CURSOS!$D$11,"TOMA DE CITOLOGIA CERVICO VAGINAL ",IF(P109=CURSOS!$D$12,"SOPORTE CARDIOVASCULAR AVANZADO (ACLS) ",IF(P109=CURSOS!$D$13,"CAMILLERO ",IF(P109=CURSOS!$D$14,"TOMA DE MUESTRAS Y LABORATORIO ",IF(P109=CURSOS!$D$15,"SOPORTE VITAL BASICO (BLS)",IF(P109=CURSOS!$D$16,"ATENCION A VICTIMAS DE VIOLENCIA SEXUAL ",IF(P109=CURSOS!$D$17,"PROGRAMADO AMPLIADO DE INMUNIZACION (PAI - COVID 19)",IF(P109=CURSOS!$D$18,"ATENCION INTEGRAL EN ENFERMEDADES PREVALENTES EN PRIMERA INFANCIA (AIEPI)",IF(P109=CURSOS!$D$19,"ADMINISTRACION DE MEDICAMENTOS, INYECTOLOGIA  Y CANALIZACION ",IF(P109=CURSOS!$D$20,"OPERADOR DE VEHICULOS DE EMERGENCIA (OVE)",IF(P109=CURSOS!$D$21,"INSTITUCIONES AMIGAS DE LA MUJER Y LA INFANCIA (IAMI)",IF(P109=CURSOS!$D$22,"CUIDADO DEL DONANTE DE ORGANOS",IF(P109=CURSOS!$D$23,"ATENCION A VICTIMAS POR VIOLENCIA DE GENERO",IF(P109=CURSOS!$D$24,"IGUALDAD DE GENERO EN LA SALUD",IF(P109=CURSOS!$D$25,"BRIGADA DE EMERGENCIA",IF(P109=CURSOS!$D$26,"MANEJO DEL DOLOR Y CUIDADOS PALIATIVOS",IF(P109=CURSOS!$D$27,"TOMA DE MUESTRAS Y LABORATORIO POCT",IF(P109=CURSOS!$D$28,"IMPLANTE SUBDERMICO DE DISPOSITIVO INTRAUTERINO",IF(P109=CURSOS!$D$29,"SALUD MENTAL",IF(P109=CURSOS!$D$30,"PRIMEROS AUXILIOS PSICOLOGICOS",IF(P109=CURSOS!$D$31,"ATENCION A VICTIMAS POR CONFLICTO ARMADO",IF(P109=CURSOS!$D$32,"MANIPULACION DE ALIMENTOS Y BPM",IF(P109=CURSOS!$D$33,"ATENCION A PERSONAS CON DISCAPACIDAD",IF(P109=CURSOS!$D$34,"CUIDADO INTEGRAL DEL PACIENTE ADULTO",IF(P109=CURSOS!$D$35,"MANEJO DEFENSIVO",IF(P109=CURSOS!$D$36,"SOPORTE CARDIOVASCULAR AVANZADO NEONATAL",IF(P109=CURSOS!$D$37,"SEGURIDAD DEL PACIENTE",IF(P109=CURSOS!$D$38,"MANEJO DE RESIDUOS HOSPITALARIOS"))))))))))))))))))))))))))))))))))))</f>
        <v>MANEJO DEL DOLOR Y CUIDADOS PALIATIVOS</v>
      </c>
      <c r="W109" s="66" t="str">
        <f t="shared" si="5"/>
        <v>Liliana Raquel Escobar Benavides</v>
      </c>
      <c r="X109" s="66" t="str">
        <f t="shared" si="6"/>
        <v>Liliana Raquel Escobar Benavides</v>
      </c>
      <c r="Y109" s="66" t="str">
        <f t="shared" si="7"/>
        <v>Liliana Raquel Escobar Benavides-59824060-PALIATIVOS</v>
      </c>
    </row>
    <row r="110" spans="1:25" s="88" customFormat="1" x14ac:dyDescent="0.2">
      <c r="A110" s="61">
        <v>109</v>
      </c>
      <c r="B110" s="87">
        <v>59824060</v>
      </c>
      <c r="C110" s="87" t="s">
        <v>426</v>
      </c>
      <c r="D110" s="87" t="s">
        <v>132</v>
      </c>
      <c r="E110" s="87" t="s">
        <v>427</v>
      </c>
      <c r="F110" s="87" t="s">
        <v>428</v>
      </c>
      <c r="G110" s="87">
        <v>11</v>
      </c>
      <c r="H110" s="62" t="s">
        <v>127</v>
      </c>
      <c r="I110" s="62" t="s">
        <v>226</v>
      </c>
      <c r="J110" s="63" t="s">
        <v>334</v>
      </c>
      <c r="K110" s="64">
        <v>45761</v>
      </c>
      <c r="L110" s="65">
        <v>35000</v>
      </c>
      <c r="M110" s="62" t="s">
        <v>430</v>
      </c>
      <c r="N110" s="62" t="s">
        <v>131</v>
      </c>
      <c r="O110" s="87" t="s">
        <v>257</v>
      </c>
      <c r="P110" s="62" t="s">
        <v>32</v>
      </c>
      <c r="Q110" s="89">
        <v>26805</v>
      </c>
      <c r="R110" s="87" t="s">
        <v>208</v>
      </c>
      <c r="S110" s="101" t="s">
        <v>258</v>
      </c>
      <c r="T110" s="91">
        <v>3176707301</v>
      </c>
      <c r="U110" s="62" t="s">
        <v>429</v>
      </c>
      <c r="V110" s="66" t="str">
        <f>IF(P110=CURSOS!$D$3,"DIPLOMADO EN ATENCION PRE-HOSPITALARIA",IF(P110=CURSOS!$D$4,"ACOMPAÑAMIENTO Y MANEJO DEL DUELO",IF(P110=CURSOS!$D$5,"ATENCION A VICTIMAS DE ATAQUE CON AGENTES QUIMICOS ",IF(P110=CURSOS!$D$6,"PRIMEROS AUXILIOS ",IF(P110=CURSOS!$D$7,"DIPLOMADO DE UNIDAD DE CUIDADOS INTENSIVOS (UCI)",IF(P110=CURSOS!$D$8,"MODELO DE ATENCION PARA EVENTOS EMERGENTES EN SALUD MENTAL (CODIGO VERDE)",IF(P110=CURSOS!$D$9,"HUMANIZACION EN EL SERVICIO DE LA SALUD Y BUENAS PRACTICAS EN PACIENTE ",IF(P110=CURSOS!$D$10,"CLINICA DE HERIDAS ",IF(P110=CURSOS!$D$11,"TOMA DE CITOLOGIA CERVICO VAGINAL ",IF(P110=CURSOS!$D$12,"SOPORTE CARDIOVASCULAR AVANZADO (ACLS) ",IF(P110=CURSOS!$D$13,"CAMILLERO ",IF(P110=CURSOS!$D$14,"TOMA DE MUESTRAS Y LABORATORIO ",IF(P110=CURSOS!$D$15,"SOPORTE VITAL BASICO (BLS)",IF(P110=CURSOS!$D$16,"ATENCION A VICTIMAS DE VIOLENCIA SEXUAL ",IF(P110=CURSOS!$D$17,"PROGRAMADO AMPLIADO DE INMUNIZACION (PAI - COVID 19)",IF(P110=CURSOS!$D$18,"ATENCION INTEGRAL EN ENFERMEDADES PREVALENTES EN PRIMERA INFANCIA (AIEPI)",IF(P110=CURSOS!$D$19,"ADMINISTRACION DE MEDICAMENTOS, INYECTOLOGIA  Y CANALIZACION ",IF(P110=CURSOS!$D$20,"OPERADOR DE VEHICULOS DE EMERGENCIA (OVE)",IF(P110=CURSOS!$D$21,"INSTITUCIONES AMIGAS DE LA MUJER Y LA INFANCIA (IAMI)",IF(P110=CURSOS!$D$22,"CUIDADO DEL DONANTE DE ORGANOS",IF(P110=CURSOS!$D$23,"ATENCION A VICTIMAS POR VIOLENCIA DE GENERO",IF(P110=CURSOS!$D$24,"IGUALDAD DE GENERO EN LA SALUD",IF(P110=CURSOS!$D$25,"BRIGADA DE EMERGENCIA",IF(P110=CURSOS!$D$26,"MANEJO DEL DOLOR Y CUIDADOS PALIATIVOS",IF(P110=CURSOS!$D$27,"TOMA DE MUESTRAS Y LABORATORIO POCT",IF(P110=CURSOS!$D$28,"IMPLANTE SUBDERMICO DE DISPOSITIVO INTRAUTERINO",IF(P110=CURSOS!$D$29,"SALUD MENTAL",IF(P110=CURSOS!$D$30,"PRIMEROS AUXILIOS PSICOLOGICOS",IF(P110=CURSOS!$D$31,"ATENCION A VICTIMAS POR CONFLICTO ARMADO",IF(P110=CURSOS!$D$32,"MANIPULACION DE ALIMENTOS Y BPM",IF(P110=CURSOS!$D$33,"ATENCION A PERSONAS CON DISCAPACIDAD",IF(P110=CURSOS!$D$34,"CUIDADO INTEGRAL DEL PACIENTE ADULTO",IF(P110=CURSOS!$D$35,"MANEJO DEFENSIVO",IF(P110=CURSOS!$D$36,"SOPORTE CARDIOVASCULAR AVANZADO NEONATAL",IF(P110=CURSOS!$D$37,"SEGURIDAD DEL PACIENTE",IF(P110=CURSOS!$D$38,"MANEJO DE RESIDUOS HOSPITALARIOS"))))))))))))))))))))))))))))))))))))</f>
        <v xml:space="preserve">HUMANIZACION EN EL SERVICIO DE LA SALUD Y BUENAS PRACTICAS EN PACIENTE </v>
      </c>
      <c r="W110" s="66" t="str">
        <f t="shared" si="5"/>
        <v>Liliana Raquel Escobar Benavides</v>
      </c>
      <c r="X110" s="66" t="str">
        <f t="shared" si="6"/>
        <v>Liliana Raquel Escobar Benavides</v>
      </c>
      <c r="Y110" s="66" t="str">
        <f t="shared" si="7"/>
        <v>Liliana Raquel Escobar Benavides-59824060-HUMANIZACION</v>
      </c>
    </row>
    <row r="111" spans="1:25" s="88" customFormat="1" x14ac:dyDescent="0.2">
      <c r="A111" s="61">
        <v>110</v>
      </c>
      <c r="B111" s="87">
        <v>59824060</v>
      </c>
      <c r="C111" s="87" t="s">
        <v>426</v>
      </c>
      <c r="D111" s="87" t="s">
        <v>132</v>
      </c>
      <c r="E111" s="87" t="s">
        <v>427</v>
      </c>
      <c r="F111" s="87" t="s">
        <v>428</v>
      </c>
      <c r="G111" s="87">
        <v>11</v>
      </c>
      <c r="H111" s="62" t="s">
        <v>127</v>
      </c>
      <c r="I111" s="62" t="s">
        <v>226</v>
      </c>
      <c r="J111" s="63" t="s">
        <v>334</v>
      </c>
      <c r="K111" s="64">
        <v>45761</v>
      </c>
      <c r="L111" s="65">
        <v>80000</v>
      </c>
      <c r="M111" s="62" t="s">
        <v>430</v>
      </c>
      <c r="N111" s="62" t="s">
        <v>131</v>
      </c>
      <c r="O111" s="87" t="s">
        <v>257</v>
      </c>
      <c r="P111" s="62" t="s">
        <v>64</v>
      </c>
      <c r="Q111" s="89">
        <v>26805</v>
      </c>
      <c r="R111" s="87" t="s">
        <v>208</v>
      </c>
      <c r="S111" s="101" t="s">
        <v>258</v>
      </c>
      <c r="T111" s="91">
        <v>3176707301</v>
      </c>
      <c r="U111" s="62" t="s">
        <v>429</v>
      </c>
      <c r="V111" s="66" t="str">
        <f>IF(P111=CURSOS!$D$3,"DIPLOMADO EN ATENCION PRE-HOSPITALARIA",IF(P111=CURSOS!$D$4,"ACOMPAÑAMIENTO Y MANEJO DEL DUELO",IF(P111=CURSOS!$D$5,"ATENCION A VICTIMAS DE ATAQUE CON AGENTES QUIMICOS ",IF(P111=CURSOS!$D$6,"PRIMEROS AUXILIOS ",IF(P111=CURSOS!$D$7,"DIPLOMADO DE UNIDAD DE CUIDADOS INTENSIVOS (UCI)",IF(P111=CURSOS!$D$8,"MODELO DE ATENCION PARA EVENTOS EMERGENTES EN SALUD MENTAL (CODIGO VERDE)",IF(P111=CURSOS!$D$9,"HUMANIZACION EN EL SERVICIO DE LA SALUD Y BUENAS PRACTICAS EN PACIENTE ",IF(P111=CURSOS!$D$10,"CLINICA DE HERIDAS ",IF(P111=CURSOS!$D$11,"TOMA DE CITOLOGIA CERVICO VAGINAL ",IF(P111=CURSOS!$D$12,"SOPORTE CARDIOVASCULAR AVANZADO (ACLS) ",IF(P111=CURSOS!$D$13,"CAMILLERO ",IF(P111=CURSOS!$D$14,"TOMA DE MUESTRAS Y LABORATORIO ",IF(P111=CURSOS!$D$15,"SOPORTE VITAL BASICO (BLS)",IF(P111=CURSOS!$D$16,"ATENCION A VICTIMAS DE VIOLENCIA SEXUAL ",IF(P111=CURSOS!$D$17,"PROGRAMADO AMPLIADO DE INMUNIZACION (PAI - COVID 19)",IF(P111=CURSOS!$D$18,"ATENCION INTEGRAL EN ENFERMEDADES PREVALENTES EN PRIMERA INFANCIA (AIEPI)",IF(P111=CURSOS!$D$19,"ADMINISTRACION DE MEDICAMENTOS, INYECTOLOGIA  Y CANALIZACION ",IF(P111=CURSOS!$D$20,"OPERADOR DE VEHICULOS DE EMERGENCIA (OVE)",IF(P111=CURSOS!$D$21,"INSTITUCIONES AMIGAS DE LA MUJER Y LA INFANCIA (IAMI)",IF(P111=CURSOS!$D$22,"CUIDADO DEL DONANTE DE ORGANOS",IF(P111=CURSOS!$D$23,"ATENCION A VICTIMAS POR VIOLENCIA DE GENERO",IF(P111=CURSOS!$D$24,"IGUALDAD DE GENERO EN LA SALUD",IF(P111=CURSOS!$D$25,"BRIGADA DE EMERGENCIA",IF(P111=CURSOS!$D$26,"MANEJO DEL DOLOR Y CUIDADOS PALIATIVOS",IF(P111=CURSOS!$D$27,"TOMA DE MUESTRAS Y LABORATORIO POCT",IF(P111=CURSOS!$D$28,"IMPLANTE SUBDERMICO DE DISPOSITIVO INTRAUTERINO",IF(P111=CURSOS!$D$29,"SALUD MENTAL",IF(P111=CURSOS!$D$30,"PRIMEROS AUXILIOS PSICOLOGICOS",IF(P111=CURSOS!$D$31,"ATENCION A VICTIMAS POR CONFLICTO ARMADO",IF(P111=CURSOS!$D$32,"MANIPULACION DE ALIMENTOS Y BPM",IF(P111=CURSOS!$D$33,"ATENCION A PERSONAS CON DISCAPACIDAD",IF(P111=CURSOS!$D$34,"CUIDADO INTEGRAL DEL PACIENTE ADULTO",IF(P111=CURSOS!$D$35,"MANEJO DEFENSIVO",IF(P111=CURSOS!$D$36,"SOPORTE CARDIOVASCULAR AVANZADO NEONATAL",IF(P111=CURSOS!$D$37,"SEGURIDAD DEL PACIENTE",IF(P111=CURSOS!$D$38,"MANEJO DE RESIDUOS HOSPITALARIOS"))))))))))))))))))))))))))))))))))))</f>
        <v>ATENCION A VICTIMAS POR CONFLICTO ARMADO</v>
      </c>
      <c r="W111" s="66" t="str">
        <f t="shared" si="5"/>
        <v>Liliana Raquel Escobar Benavides</v>
      </c>
      <c r="X111" s="66" t="str">
        <f t="shared" si="6"/>
        <v>Liliana Raquel Escobar Benavides</v>
      </c>
      <c r="Y111" s="66" t="str">
        <f t="shared" si="7"/>
        <v>Liliana Raquel Escobar Benavides-59824060-CONFLICTO ARMADO</v>
      </c>
    </row>
    <row r="112" spans="1:25" s="60" customFormat="1" x14ac:dyDescent="0.2">
      <c r="A112" s="61">
        <v>111</v>
      </c>
      <c r="B112" s="87">
        <v>36759785</v>
      </c>
      <c r="C112" s="87" t="s">
        <v>156</v>
      </c>
      <c r="D112" s="87" t="s">
        <v>431</v>
      </c>
      <c r="E112" s="87" t="s">
        <v>313</v>
      </c>
      <c r="F112" s="87" t="s">
        <v>432</v>
      </c>
      <c r="G112" s="87">
        <v>14</v>
      </c>
      <c r="H112" s="62" t="s">
        <v>127</v>
      </c>
      <c r="I112" s="62" t="s">
        <v>226</v>
      </c>
      <c r="J112" s="63" t="s">
        <v>334</v>
      </c>
      <c r="K112" s="64">
        <v>45762</v>
      </c>
      <c r="L112" s="65">
        <v>110000</v>
      </c>
      <c r="M112" s="62" t="s">
        <v>220</v>
      </c>
      <c r="N112" s="62" t="s">
        <v>433</v>
      </c>
      <c r="O112" s="87" t="s">
        <v>257</v>
      </c>
      <c r="P112" s="62" t="s">
        <v>37</v>
      </c>
      <c r="Q112" s="63">
        <v>30277</v>
      </c>
      <c r="R112" s="87" t="s">
        <v>208</v>
      </c>
      <c r="S112" s="101" t="s">
        <v>258</v>
      </c>
      <c r="T112" s="91">
        <v>3207211598</v>
      </c>
      <c r="U112" s="62" t="s">
        <v>434</v>
      </c>
      <c r="V112" s="66" t="str">
        <f>IF(P112=CURSOS!$D$3,"DIPLOMADO EN ATENCION PRE-HOSPITALARIA",IF(P112=CURSOS!$D$4,"ACOMPAÑAMIENTO Y MANEJO DEL DUELO",IF(P112=CURSOS!$D$5,"ATENCION A VICTIMAS DE ATAQUE CON AGENTES QUIMICOS ",IF(P112=CURSOS!$D$6,"PRIMEROS AUXILIOS ",IF(P112=CURSOS!$D$7,"DIPLOMADO DE UNIDAD DE CUIDADOS INTENSIVOS (UCI)",IF(P112=CURSOS!$D$8,"MODELO DE ATENCION PARA EVENTOS EMERGENTES EN SALUD MENTAL (CODIGO VERDE)",IF(P112=CURSOS!$D$9,"HUMANIZACION EN EL SERVICIO DE LA SALUD Y BUENAS PRACTICAS EN PACIENTE ",IF(P112=CURSOS!$D$10,"CLINICA DE HERIDAS ",IF(P112=CURSOS!$D$11,"TOMA DE CITOLOGIA CERVICO VAGINAL ",IF(P112=CURSOS!$D$12,"SOPORTE CARDIOVASCULAR AVANZADO (ACLS) ",IF(P112=CURSOS!$D$13,"CAMILLERO ",IF(P112=CURSOS!$D$14,"TOMA DE MUESTRAS Y LABORATORIO ",IF(P112=CURSOS!$D$15,"SOPORTE VITAL BASICO (BLS)",IF(P112=CURSOS!$D$16,"ATENCION A VICTIMAS DE VIOLENCIA SEXUAL ",IF(P112=CURSOS!$D$17,"PROGRAMADO AMPLIADO DE INMUNIZACION (PAI - COVID 19)",IF(P112=CURSOS!$D$18,"ATENCION INTEGRAL EN ENFERMEDADES PREVALENTES EN PRIMERA INFANCIA (AIEPI)",IF(P112=CURSOS!$D$19,"ADMINISTRACION DE MEDICAMENTOS, INYECTOLOGIA  Y CANALIZACION ",IF(P112=CURSOS!$D$20,"OPERADOR DE VEHICULOS DE EMERGENCIA (OVE)",IF(P112=CURSOS!$D$21,"INSTITUCIONES AMIGAS DE LA MUJER Y LA INFANCIA (IAMI)",IF(P112=CURSOS!$D$22,"CUIDADO DEL DONANTE DE ORGANOS",IF(P112=CURSOS!$D$23,"ATENCION A VICTIMAS POR VIOLENCIA DE GENERO",IF(P112=CURSOS!$D$24,"IGUALDAD DE GENERO EN LA SALUD",IF(P112=CURSOS!$D$25,"BRIGADA DE EMERGENCIA",IF(P112=CURSOS!$D$26,"MANEJO DEL DOLOR Y CUIDADOS PALIATIVOS",IF(P112=CURSOS!$D$27,"TOMA DE MUESTRAS Y LABORATORIO POCT",IF(P112=CURSOS!$D$28,"IMPLANTE SUBDERMICO DE DISPOSITIVO INTRAUTERINO",IF(P112=CURSOS!$D$29,"SALUD MENTAL",IF(P112=CURSOS!$D$30,"PRIMEROS AUXILIOS PSICOLOGICOS",IF(P112=CURSOS!$D$31,"ATENCION A VICTIMAS POR CONFLICTO ARMADO",IF(P112=CURSOS!$D$32,"MANIPULACION DE ALIMENTOS Y BPM",IF(P112=CURSOS!$D$33,"ATENCION A PERSONAS CON DISCAPACIDAD",IF(P112=CURSOS!$D$34,"CUIDADO INTEGRAL DEL PACIENTE ADULTO",IF(P112=CURSOS!$D$35,"MANEJO DEFENSIVO",IF(P112=CURSOS!$D$36,"SOPORTE CARDIOVASCULAR AVANZADO NEONATAL",IF(P112=CURSOS!$D$37,"SEGURIDAD DEL PACIENTE",IF(P112=CURSOS!$D$38,"MANEJO DE RESIDUOS HOSPITALARIOS"))))))))))))))))))))))))))))))))))))</f>
        <v xml:space="preserve">SOPORTE CARDIOVASCULAR AVANZADO (ACLS) </v>
      </c>
      <c r="W112" s="66" t="str">
        <f t="shared" si="5"/>
        <v>Claudia Esperanza Ortega Jurado</v>
      </c>
      <c r="X112" s="66" t="str">
        <f t="shared" si="6"/>
        <v>Claudia Esperanza Ortega Jurado</v>
      </c>
      <c r="Y112" s="66" t="str">
        <f t="shared" si="7"/>
        <v>Claudia Esperanza Ortega Jurado-36759785-ACLS</v>
      </c>
    </row>
    <row r="113" spans="1:25" s="60" customFormat="1" x14ac:dyDescent="0.2">
      <c r="A113" s="61">
        <v>112</v>
      </c>
      <c r="B113" s="87">
        <v>36759785</v>
      </c>
      <c r="C113" s="87" t="s">
        <v>156</v>
      </c>
      <c r="D113" s="87" t="s">
        <v>431</v>
      </c>
      <c r="E113" s="87" t="s">
        <v>313</v>
      </c>
      <c r="F113" s="87" t="s">
        <v>432</v>
      </c>
      <c r="G113" s="87">
        <v>14</v>
      </c>
      <c r="H113" s="62" t="s">
        <v>127</v>
      </c>
      <c r="I113" s="62" t="s">
        <v>226</v>
      </c>
      <c r="J113" s="63" t="s">
        <v>334</v>
      </c>
      <c r="K113" s="63">
        <v>45761</v>
      </c>
      <c r="L113" s="62">
        <v>0</v>
      </c>
      <c r="M113" s="62" t="s">
        <v>437</v>
      </c>
      <c r="N113" s="62" t="s">
        <v>433</v>
      </c>
      <c r="O113" s="87" t="s">
        <v>257</v>
      </c>
      <c r="P113" s="62" t="s">
        <v>19</v>
      </c>
      <c r="Q113" s="63">
        <v>30278</v>
      </c>
      <c r="R113" s="87" t="s">
        <v>208</v>
      </c>
      <c r="S113" s="101" t="s">
        <v>258</v>
      </c>
      <c r="T113" s="91">
        <v>3207211599</v>
      </c>
      <c r="U113" s="62" t="s">
        <v>434</v>
      </c>
      <c r="V113" s="66" t="str">
        <f>IF(P113=CURSOS!$D$3,"DIPLOMADO EN ATENCION PRE-HOSPITALARIA",IF(P113=CURSOS!$D$4,"ACOMPAÑAMIENTO Y MANEJO DEL DUELO",IF(P113=CURSOS!$D$5,"ATENCION A VICTIMAS DE ATAQUE CON AGENTES QUIMICOS ",IF(P113=CURSOS!$D$6,"PRIMEROS AUXILIOS ",IF(P113=CURSOS!$D$7,"DIPLOMADO DE UNIDAD DE CUIDADOS INTENSIVOS (UCI)",IF(P113=CURSOS!$D$8,"MODELO DE ATENCION PARA EVENTOS EMERGENTES EN SALUD MENTAL (CODIGO VERDE)",IF(P113=CURSOS!$D$9,"HUMANIZACION EN EL SERVICIO DE LA SALUD Y BUENAS PRACTICAS EN PACIENTE ",IF(P113=CURSOS!$D$10,"CLINICA DE HERIDAS ",IF(P113=CURSOS!$D$11,"TOMA DE CITOLOGIA CERVICO VAGINAL ",IF(P113=CURSOS!$D$12,"SOPORTE CARDIOVASCULAR AVANZADO (ACLS) ",IF(P113=CURSOS!$D$13,"CAMILLERO ",IF(P113=CURSOS!$D$14,"TOMA DE MUESTRAS Y LABORATORIO ",IF(P113=CURSOS!$D$15,"SOPORTE VITAL BASICO (BLS)",IF(P113=CURSOS!$D$16,"ATENCION A VICTIMAS DE VIOLENCIA SEXUAL ",IF(P113=CURSOS!$D$17,"PROGRAMADO AMPLIADO DE INMUNIZACION (PAI - COVID 19)",IF(P113=CURSOS!$D$18,"ATENCION INTEGRAL EN ENFERMEDADES PREVALENTES EN PRIMERA INFANCIA (AIEPI)",IF(P113=CURSOS!$D$19,"ADMINISTRACION DE MEDICAMENTOS, INYECTOLOGIA  Y CANALIZACION ",IF(P113=CURSOS!$D$20,"OPERADOR DE VEHICULOS DE EMERGENCIA (OVE)",IF(P113=CURSOS!$D$21,"INSTITUCIONES AMIGAS DE LA MUJER Y LA INFANCIA (IAMI)",IF(P113=CURSOS!$D$22,"CUIDADO DEL DONANTE DE ORGANOS",IF(P113=CURSOS!$D$23,"ATENCION A VICTIMAS POR VIOLENCIA DE GENERO",IF(P113=CURSOS!$D$24,"IGUALDAD DE GENERO EN LA SALUD",IF(P113=CURSOS!$D$25,"BRIGADA DE EMERGENCIA",IF(P113=CURSOS!$D$26,"MANEJO DEL DOLOR Y CUIDADOS PALIATIVOS",IF(P113=CURSOS!$D$27,"TOMA DE MUESTRAS Y LABORATORIO POCT",IF(P113=CURSOS!$D$28,"IMPLANTE SUBDERMICO DE DISPOSITIVO INTRAUTERINO",IF(P113=CURSOS!$D$29,"SALUD MENTAL",IF(P113=CURSOS!$D$30,"PRIMEROS AUXILIOS PSICOLOGICOS",IF(P113=CURSOS!$D$31,"ATENCION A VICTIMAS POR CONFLICTO ARMADO",IF(P113=CURSOS!$D$32,"MANIPULACION DE ALIMENTOS Y BPM",IF(P113=CURSOS!$D$33,"ATENCION A PERSONAS CON DISCAPACIDAD",IF(P113=CURSOS!$D$34,"CUIDADO INTEGRAL DEL PACIENTE ADULTO",IF(P113=CURSOS!$D$35,"MANEJO DEFENSIVO",IF(P113=CURSOS!$D$36,"SOPORTE CARDIOVASCULAR AVANZADO NEONATAL",IF(P113=CURSOS!$D$37,"SEGURIDAD DEL PACIENTE",IF(P113=CURSOS!$D$38,"MANEJO DE RESIDUOS HOSPITALARIOS"))))))))))))))))))))))))))))))))))))</f>
        <v>SOPORTE VITAL BASICO (BLS)</v>
      </c>
      <c r="W113" s="66" t="str">
        <f t="shared" si="5"/>
        <v>Claudia Esperanza Ortega Jurado</v>
      </c>
      <c r="X113" s="66" t="str">
        <f t="shared" si="6"/>
        <v>Claudia Esperanza Ortega Jurado</v>
      </c>
      <c r="Y113" s="66" t="str">
        <f t="shared" si="7"/>
        <v>Claudia Esperanza Ortega Jurado-36759785-BLS</v>
      </c>
    </row>
    <row r="114" spans="1:25" s="60" customFormat="1" x14ac:dyDescent="0.2">
      <c r="A114" s="61">
        <v>113</v>
      </c>
      <c r="B114" s="87">
        <v>36759785</v>
      </c>
      <c r="C114" s="87" t="s">
        <v>156</v>
      </c>
      <c r="D114" s="87" t="s">
        <v>431</v>
      </c>
      <c r="E114" s="87" t="s">
        <v>313</v>
      </c>
      <c r="F114" s="87" t="s">
        <v>432</v>
      </c>
      <c r="G114" s="87">
        <v>14</v>
      </c>
      <c r="H114" s="62" t="s">
        <v>127</v>
      </c>
      <c r="I114" s="62" t="s">
        <v>226</v>
      </c>
      <c r="J114" s="63" t="s">
        <v>334</v>
      </c>
      <c r="K114" s="64">
        <v>45762</v>
      </c>
      <c r="L114" s="65">
        <v>30000</v>
      </c>
      <c r="M114" s="62" t="s">
        <v>220</v>
      </c>
      <c r="N114" s="62" t="s">
        <v>433</v>
      </c>
      <c r="O114" s="87" t="s">
        <v>257</v>
      </c>
      <c r="P114" s="62" t="s">
        <v>25</v>
      </c>
      <c r="Q114" s="63">
        <v>30279</v>
      </c>
      <c r="R114" s="87" t="s">
        <v>208</v>
      </c>
      <c r="S114" s="101" t="s">
        <v>258</v>
      </c>
      <c r="T114" s="91">
        <v>3207211600</v>
      </c>
      <c r="U114" s="62" t="s">
        <v>434</v>
      </c>
      <c r="V114" s="66" t="str">
        <f>IF(P114=CURSOS!$D$3,"DIPLOMADO EN ATENCION PRE-HOSPITALARIA",IF(P114=CURSOS!$D$4,"ACOMPAÑAMIENTO Y MANEJO DEL DUELO",IF(P114=CURSOS!$D$5,"ATENCION A VICTIMAS DE ATAQUE CON AGENTES QUIMICOS ",IF(P114=CURSOS!$D$6,"PRIMEROS AUXILIOS ",IF(P114=CURSOS!$D$7,"DIPLOMADO DE UNIDAD DE CUIDADOS INTENSIVOS (UCI)",IF(P114=CURSOS!$D$8,"MODELO DE ATENCION PARA EVENTOS EMERGENTES EN SALUD MENTAL (CODIGO VERDE)",IF(P114=CURSOS!$D$9,"HUMANIZACION EN EL SERVICIO DE LA SALUD Y BUENAS PRACTICAS EN PACIENTE ",IF(P114=CURSOS!$D$10,"CLINICA DE HERIDAS ",IF(P114=CURSOS!$D$11,"TOMA DE CITOLOGIA CERVICO VAGINAL ",IF(P114=CURSOS!$D$12,"SOPORTE CARDIOVASCULAR AVANZADO (ACLS) ",IF(P114=CURSOS!$D$13,"CAMILLERO ",IF(P114=CURSOS!$D$14,"TOMA DE MUESTRAS Y LABORATORIO ",IF(P114=CURSOS!$D$15,"SOPORTE VITAL BASICO (BLS)",IF(P114=CURSOS!$D$16,"ATENCION A VICTIMAS DE VIOLENCIA SEXUAL ",IF(P114=CURSOS!$D$17,"PROGRAMADO AMPLIADO DE INMUNIZACION (PAI - COVID 19)",IF(P114=CURSOS!$D$18,"ATENCION INTEGRAL EN ENFERMEDADES PREVALENTES EN PRIMERA INFANCIA (AIEPI)",IF(P114=CURSOS!$D$19,"ADMINISTRACION DE MEDICAMENTOS, INYECTOLOGIA  Y CANALIZACION ",IF(P114=CURSOS!$D$20,"OPERADOR DE VEHICULOS DE EMERGENCIA (OVE)",IF(P114=CURSOS!$D$21,"INSTITUCIONES AMIGAS DE LA MUJER Y LA INFANCIA (IAMI)",IF(P114=CURSOS!$D$22,"CUIDADO DEL DONANTE DE ORGANOS",IF(P114=CURSOS!$D$23,"ATENCION A VICTIMAS POR VIOLENCIA DE GENERO",IF(P114=CURSOS!$D$24,"IGUALDAD DE GENERO EN LA SALUD",IF(P114=CURSOS!$D$25,"BRIGADA DE EMERGENCIA",IF(P114=CURSOS!$D$26,"MANEJO DEL DOLOR Y CUIDADOS PALIATIVOS",IF(P114=CURSOS!$D$27,"TOMA DE MUESTRAS Y LABORATORIO POCT",IF(P114=CURSOS!$D$28,"IMPLANTE SUBDERMICO DE DISPOSITIVO INTRAUTERINO",IF(P114=CURSOS!$D$29,"SALUD MENTAL",IF(P114=CURSOS!$D$30,"PRIMEROS AUXILIOS PSICOLOGICOS",IF(P114=CURSOS!$D$31,"ATENCION A VICTIMAS POR CONFLICTO ARMADO",IF(P114=CURSOS!$D$32,"MANIPULACION DE ALIMENTOS Y BPM",IF(P114=CURSOS!$D$33,"ATENCION A PERSONAS CON DISCAPACIDAD",IF(P114=CURSOS!$D$34,"CUIDADO INTEGRAL DEL PACIENTE ADULTO",IF(P114=CURSOS!$D$35,"MANEJO DEFENSIVO",IF(P114=CURSOS!$D$36,"SOPORTE CARDIOVASCULAR AVANZADO NEONATAL",IF(P114=CURSOS!$D$37,"SEGURIDAD DEL PACIENTE",IF(P114=CURSOS!$D$38,"MANEJO DE RESIDUOS HOSPITALARIOS"))))))))))))))))))))))))))))))))))))</f>
        <v xml:space="preserve">ATENCION A VICTIMAS DE ATAQUE CON AGENTES QUIMICOS </v>
      </c>
      <c r="W114" s="66" t="str">
        <f t="shared" si="5"/>
        <v>Claudia Esperanza Ortega Jurado</v>
      </c>
      <c r="X114" s="66" t="str">
        <f t="shared" si="6"/>
        <v>Claudia Esperanza Ortega Jurado</v>
      </c>
      <c r="Y114" s="66" t="str">
        <f t="shared" si="7"/>
        <v>Claudia Esperanza Ortega Jurado-36759785-QUIMICOS</v>
      </c>
    </row>
    <row r="115" spans="1:25" s="60" customFormat="1" x14ac:dyDescent="0.2">
      <c r="A115" s="61">
        <v>114</v>
      </c>
      <c r="B115" s="87">
        <v>36759785</v>
      </c>
      <c r="C115" s="87" t="s">
        <v>156</v>
      </c>
      <c r="D115" s="87" t="s">
        <v>431</v>
      </c>
      <c r="E115" s="87" t="s">
        <v>313</v>
      </c>
      <c r="F115" s="87" t="s">
        <v>432</v>
      </c>
      <c r="G115" s="87">
        <v>14</v>
      </c>
      <c r="H115" s="62" t="s">
        <v>127</v>
      </c>
      <c r="I115" s="62" t="s">
        <v>226</v>
      </c>
      <c r="J115" s="63" t="s">
        <v>334</v>
      </c>
      <c r="K115" s="64">
        <v>45762</v>
      </c>
      <c r="L115" s="65">
        <v>30000</v>
      </c>
      <c r="M115" s="62" t="s">
        <v>220</v>
      </c>
      <c r="N115" s="62" t="s">
        <v>433</v>
      </c>
      <c r="O115" s="87" t="s">
        <v>257</v>
      </c>
      <c r="P115" s="62" t="s">
        <v>42</v>
      </c>
      <c r="Q115" s="63">
        <v>30280</v>
      </c>
      <c r="R115" s="87" t="s">
        <v>208</v>
      </c>
      <c r="S115" s="101" t="s">
        <v>258</v>
      </c>
      <c r="T115" s="91">
        <v>3207211601</v>
      </c>
      <c r="U115" s="62" t="s">
        <v>434</v>
      </c>
      <c r="V115" s="66" t="str">
        <f>IF(P115=CURSOS!$D$3,"DIPLOMADO EN ATENCION PRE-HOSPITALARIA",IF(P115=CURSOS!$D$4,"ACOMPAÑAMIENTO Y MANEJO DEL DUELO",IF(P115=CURSOS!$D$5,"ATENCION A VICTIMAS DE ATAQUE CON AGENTES QUIMICOS ",IF(P115=CURSOS!$D$6,"PRIMEROS AUXILIOS ",IF(P115=CURSOS!$D$7,"DIPLOMADO DE UNIDAD DE CUIDADOS INTENSIVOS (UCI)",IF(P115=CURSOS!$D$8,"MODELO DE ATENCION PARA EVENTOS EMERGENTES EN SALUD MENTAL (CODIGO VERDE)",IF(P115=CURSOS!$D$9,"HUMANIZACION EN EL SERVICIO DE LA SALUD Y BUENAS PRACTICAS EN PACIENTE ",IF(P115=CURSOS!$D$10,"CLINICA DE HERIDAS ",IF(P115=CURSOS!$D$11,"TOMA DE CITOLOGIA CERVICO VAGINAL ",IF(P115=CURSOS!$D$12,"SOPORTE CARDIOVASCULAR AVANZADO (ACLS) ",IF(P115=CURSOS!$D$13,"CAMILLERO ",IF(P115=CURSOS!$D$14,"TOMA DE MUESTRAS Y LABORATORIO ",IF(P115=CURSOS!$D$15,"SOPORTE VITAL BASICO (BLS)",IF(P115=CURSOS!$D$16,"ATENCION A VICTIMAS DE VIOLENCIA SEXUAL ",IF(P115=CURSOS!$D$17,"PROGRAMADO AMPLIADO DE INMUNIZACION (PAI - COVID 19)",IF(P115=CURSOS!$D$18,"ATENCION INTEGRAL EN ENFERMEDADES PREVALENTES EN PRIMERA INFANCIA (AIEPI)",IF(P115=CURSOS!$D$19,"ADMINISTRACION DE MEDICAMENTOS, INYECTOLOGIA  Y CANALIZACION ",IF(P115=CURSOS!$D$20,"OPERADOR DE VEHICULOS DE EMERGENCIA (OVE)",IF(P115=CURSOS!$D$21,"INSTITUCIONES AMIGAS DE LA MUJER Y LA INFANCIA (IAMI)",IF(P115=CURSOS!$D$22,"CUIDADO DEL DONANTE DE ORGANOS",IF(P115=CURSOS!$D$23,"ATENCION A VICTIMAS POR VIOLENCIA DE GENERO",IF(P115=CURSOS!$D$24,"IGUALDAD DE GENERO EN LA SALUD",IF(P115=CURSOS!$D$25,"BRIGADA DE EMERGENCIA",IF(P115=CURSOS!$D$26,"MANEJO DEL DOLOR Y CUIDADOS PALIATIVOS",IF(P115=CURSOS!$D$27,"TOMA DE MUESTRAS Y LABORATORIO POCT",IF(P115=CURSOS!$D$28,"IMPLANTE SUBDERMICO DE DISPOSITIVO INTRAUTERINO",IF(P115=CURSOS!$D$29,"SALUD MENTAL",IF(P115=CURSOS!$D$30,"PRIMEROS AUXILIOS PSICOLOGICOS",IF(P115=CURSOS!$D$31,"ATENCION A VICTIMAS POR CONFLICTO ARMADO",IF(P115=CURSOS!$D$32,"MANIPULACION DE ALIMENTOS Y BPM",IF(P115=CURSOS!$D$33,"ATENCION A PERSONAS CON DISCAPACIDAD",IF(P115=CURSOS!$D$34,"CUIDADO INTEGRAL DEL PACIENTE ADULTO",IF(P115=CURSOS!$D$35,"MANEJO DEFENSIVO",IF(P115=CURSOS!$D$36,"SOPORTE CARDIOVASCULAR AVANZADO NEONATAL",IF(P115=CURSOS!$D$37,"SEGURIDAD DEL PACIENTE",IF(P115=CURSOS!$D$38,"MANEJO DE RESIDUOS HOSPITALARIOS"))))))))))))))))))))))))))))))))))))</f>
        <v xml:space="preserve">ATENCION A VICTIMAS DE VIOLENCIA SEXUAL </v>
      </c>
      <c r="W115" s="66" t="str">
        <f t="shared" si="5"/>
        <v>Claudia Esperanza Ortega Jurado</v>
      </c>
      <c r="X115" s="66" t="str">
        <f t="shared" si="6"/>
        <v>Claudia Esperanza Ortega Jurado</v>
      </c>
      <c r="Y115" s="66" t="str">
        <f t="shared" si="7"/>
        <v>Claudia Esperanza Ortega Jurado-36759785-VIOLENCIA SEXUAL</v>
      </c>
    </row>
    <row r="116" spans="1:25" s="60" customFormat="1" x14ac:dyDescent="0.2">
      <c r="A116" s="61">
        <v>115</v>
      </c>
      <c r="B116" s="87">
        <v>36759785</v>
      </c>
      <c r="C116" s="87" t="s">
        <v>156</v>
      </c>
      <c r="D116" s="87" t="s">
        <v>431</v>
      </c>
      <c r="E116" s="87" t="s">
        <v>313</v>
      </c>
      <c r="F116" s="87" t="s">
        <v>432</v>
      </c>
      <c r="G116" s="87">
        <v>14</v>
      </c>
      <c r="H116" s="62" t="s">
        <v>127</v>
      </c>
      <c r="I116" s="62" t="s">
        <v>226</v>
      </c>
      <c r="J116" s="63" t="s">
        <v>334</v>
      </c>
      <c r="K116" s="64">
        <v>45762</v>
      </c>
      <c r="L116" s="65">
        <v>30000</v>
      </c>
      <c r="M116" s="62" t="s">
        <v>220</v>
      </c>
      <c r="N116" s="62" t="s">
        <v>433</v>
      </c>
      <c r="O116" s="87" t="s">
        <v>257</v>
      </c>
      <c r="P116" s="62" t="s">
        <v>59</v>
      </c>
      <c r="Q116" s="63">
        <v>30281</v>
      </c>
      <c r="R116" s="87" t="s">
        <v>208</v>
      </c>
      <c r="S116" s="101" t="s">
        <v>258</v>
      </c>
      <c r="T116" s="91">
        <v>3207211602</v>
      </c>
      <c r="U116" s="62" t="s">
        <v>434</v>
      </c>
      <c r="V116" s="66" t="str">
        <f>IF(P116=CURSOS!$D$3,"DIPLOMADO EN ATENCION PRE-HOSPITALARIA",IF(P116=CURSOS!$D$4,"ACOMPAÑAMIENTO Y MANEJO DEL DUELO",IF(P116=CURSOS!$D$5,"ATENCION A VICTIMAS DE ATAQUE CON AGENTES QUIMICOS ",IF(P116=CURSOS!$D$6,"PRIMEROS AUXILIOS ",IF(P116=CURSOS!$D$7,"DIPLOMADO DE UNIDAD DE CUIDADOS INTENSIVOS (UCI)",IF(P116=CURSOS!$D$8,"MODELO DE ATENCION PARA EVENTOS EMERGENTES EN SALUD MENTAL (CODIGO VERDE)",IF(P116=CURSOS!$D$9,"HUMANIZACION EN EL SERVICIO DE LA SALUD Y BUENAS PRACTICAS EN PACIENTE ",IF(P116=CURSOS!$D$10,"CLINICA DE HERIDAS ",IF(P116=CURSOS!$D$11,"TOMA DE CITOLOGIA CERVICO VAGINAL ",IF(P116=CURSOS!$D$12,"SOPORTE CARDIOVASCULAR AVANZADO (ACLS) ",IF(P116=CURSOS!$D$13,"CAMILLERO ",IF(P116=CURSOS!$D$14,"TOMA DE MUESTRAS Y LABORATORIO ",IF(P116=CURSOS!$D$15,"SOPORTE VITAL BASICO (BLS)",IF(P116=CURSOS!$D$16,"ATENCION A VICTIMAS DE VIOLENCIA SEXUAL ",IF(P116=CURSOS!$D$17,"PROGRAMADO AMPLIADO DE INMUNIZACION (PAI - COVID 19)",IF(P116=CURSOS!$D$18,"ATENCION INTEGRAL EN ENFERMEDADES PREVALENTES EN PRIMERA INFANCIA (AIEPI)",IF(P116=CURSOS!$D$19,"ADMINISTRACION DE MEDICAMENTOS, INYECTOLOGIA  Y CANALIZACION ",IF(P116=CURSOS!$D$20,"OPERADOR DE VEHICULOS DE EMERGENCIA (OVE)",IF(P116=CURSOS!$D$21,"INSTITUCIONES AMIGAS DE LA MUJER Y LA INFANCIA (IAMI)",IF(P116=CURSOS!$D$22,"CUIDADO DEL DONANTE DE ORGANOS",IF(P116=CURSOS!$D$23,"ATENCION A VICTIMAS POR VIOLENCIA DE GENERO",IF(P116=CURSOS!$D$24,"IGUALDAD DE GENERO EN LA SALUD",IF(P116=CURSOS!$D$25,"BRIGADA DE EMERGENCIA",IF(P116=CURSOS!$D$26,"MANEJO DEL DOLOR Y CUIDADOS PALIATIVOS",IF(P116=CURSOS!$D$27,"TOMA DE MUESTRAS Y LABORATORIO POCT",IF(P116=CURSOS!$D$28,"IMPLANTE SUBDERMICO DE DISPOSITIVO INTRAUTERINO",IF(P116=CURSOS!$D$29,"SALUD MENTAL",IF(P116=CURSOS!$D$30,"PRIMEROS AUXILIOS PSICOLOGICOS",IF(P116=CURSOS!$D$31,"ATENCION A VICTIMAS POR CONFLICTO ARMADO",IF(P116=CURSOS!$D$32,"MANIPULACION DE ALIMENTOS Y BPM",IF(P116=CURSOS!$D$33,"ATENCION A PERSONAS CON DISCAPACIDAD",IF(P116=CURSOS!$D$34,"CUIDADO INTEGRAL DEL PACIENTE ADULTO",IF(P116=CURSOS!$D$35,"MANEJO DEFENSIVO",IF(P116=CURSOS!$D$36,"SOPORTE CARDIOVASCULAR AVANZADO NEONATAL",IF(P116=CURSOS!$D$37,"SEGURIDAD DEL PACIENTE",IF(P116=CURSOS!$D$38,"MANEJO DE RESIDUOS HOSPITALARIOS"))))))))))))))))))))))))))))))))))))</f>
        <v>TOMA DE MUESTRAS Y LABORATORIO POCT</v>
      </c>
      <c r="W116" s="66" t="str">
        <f t="shared" si="5"/>
        <v>Claudia Esperanza Ortega Jurado</v>
      </c>
      <c r="X116" s="66" t="str">
        <f t="shared" si="6"/>
        <v>Claudia Esperanza Ortega Jurado</v>
      </c>
      <c r="Y116" s="66" t="str">
        <f t="shared" si="7"/>
        <v>Claudia Esperanza Ortega Jurado-36759785-POCT</v>
      </c>
    </row>
    <row r="117" spans="1:25" s="60" customFormat="1" x14ac:dyDescent="0.2">
      <c r="A117" s="61">
        <v>116</v>
      </c>
      <c r="B117" s="87">
        <v>1085340125</v>
      </c>
      <c r="C117" s="87" t="s">
        <v>435</v>
      </c>
      <c r="D117" s="87" t="s">
        <v>216</v>
      </c>
      <c r="E117" s="87" t="s">
        <v>415</v>
      </c>
      <c r="F117" s="87" t="s">
        <v>225</v>
      </c>
      <c r="G117" s="87">
        <v>16</v>
      </c>
      <c r="H117" s="62" t="s">
        <v>127</v>
      </c>
      <c r="I117" s="62" t="s">
        <v>128</v>
      </c>
      <c r="J117" s="63" t="s">
        <v>334</v>
      </c>
      <c r="K117" s="64" t="s">
        <v>436</v>
      </c>
      <c r="L117" s="65">
        <v>80000</v>
      </c>
      <c r="M117" s="62"/>
      <c r="N117" s="62" t="s">
        <v>433</v>
      </c>
      <c r="O117" s="87" t="s">
        <v>257</v>
      </c>
      <c r="P117" s="62" t="s">
        <v>26</v>
      </c>
      <c r="Q117" s="63">
        <v>35895</v>
      </c>
      <c r="R117" s="87" t="s">
        <v>208</v>
      </c>
      <c r="S117" s="101" t="s">
        <v>438</v>
      </c>
      <c r="T117" s="91">
        <v>3106769632</v>
      </c>
      <c r="U117" s="62" t="s">
        <v>439</v>
      </c>
      <c r="V117" s="66" t="str">
        <f>IF(P117=CURSOS!$D$3,"DIPLOMADO EN ATENCION PRE-HOSPITALARIA",IF(P117=CURSOS!$D$4,"ACOMPAÑAMIENTO Y MANEJO DEL DUELO",IF(P117=CURSOS!$D$5,"ATENCION A VICTIMAS DE ATAQUE CON AGENTES QUIMICOS ",IF(P117=CURSOS!$D$6,"PRIMEROS AUXILIOS ",IF(P117=CURSOS!$D$7,"DIPLOMADO DE UNIDAD DE CUIDADOS INTENSIVOS (UCI)",IF(P117=CURSOS!$D$8,"MODELO DE ATENCION PARA EVENTOS EMERGENTES EN SALUD MENTAL (CODIGO VERDE)",IF(P117=CURSOS!$D$9,"HUMANIZACION EN EL SERVICIO DE LA SALUD Y BUENAS PRACTICAS EN PACIENTE ",IF(P117=CURSOS!$D$10,"CLINICA DE HERIDAS ",IF(P117=CURSOS!$D$11,"TOMA DE CITOLOGIA CERVICO VAGINAL ",IF(P117=CURSOS!$D$12,"SOPORTE CARDIOVASCULAR AVANZADO (ACLS) ",IF(P117=CURSOS!$D$13,"CAMILLERO ",IF(P117=CURSOS!$D$14,"TOMA DE MUESTRAS Y LABORATORIO ",IF(P117=CURSOS!$D$15,"SOPORTE VITAL BASICO (BLS)",IF(P117=CURSOS!$D$16,"ATENCION A VICTIMAS DE VIOLENCIA SEXUAL ",IF(P117=CURSOS!$D$17,"PROGRAMADO AMPLIADO DE INMUNIZACION (PAI - COVID 19)",IF(P117=CURSOS!$D$18,"ATENCION INTEGRAL EN ENFERMEDADES PREVALENTES EN PRIMERA INFANCIA (AIEPI)",IF(P117=CURSOS!$D$19,"ADMINISTRACION DE MEDICAMENTOS, INYECTOLOGIA  Y CANALIZACION ",IF(P117=CURSOS!$D$20,"OPERADOR DE VEHICULOS DE EMERGENCIA (OVE)",IF(P117=CURSOS!$D$21,"INSTITUCIONES AMIGAS DE LA MUJER Y LA INFANCIA (IAMI)",IF(P117=CURSOS!$D$22,"CUIDADO DEL DONANTE DE ORGANOS",IF(P117=CURSOS!$D$23,"ATENCION A VICTIMAS POR VIOLENCIA DE GENERO",IF(P117=CURSOS!$D$24,"IGUALDAD DE GENERO EN LA SALUD",IF(P117=CURSOS!$D$25,"BRIGADA DE EMERGENCIA",IF(P117=CURSOS!$D$26,"MANEJO DEL DOLOR Y CUIDADOS PALIATIVOS",IF(P117=CURSOS!$D$27,"TOMA DE MUESTRAS Y LABORATORIO POCT",IF(P117=CURSOS!$D$28,"IMPLANTE SUBDERMICO DE DISPOSITIVO INTRAUTERINO",IF(P117=CURSOS!$D$29,"SALUD MENTAL",IF(P117=CURSOS!$D$30,"PRIMEROS AUXILIOS PSICOLOGICOS",IF(P117=CURSOS!$D$31,"ATENCION A VICTIMAS POR CONFLICTO ARMADO",IF(P117=CURSOS!$D$32,"MANIPULACION DE ALIMENTOS Y BPM",IF(P117=CURSOS!$D$33,"ATENCION A PERSONAS CON DISCAPACIDAD",IF(P117=CURSOS!$D$34,"CUIDADO INTEGRAL DEL PACIENTE ADULTO",IF(P117=CURSOS!$D$35,"MANEJO DEFENSIVO",IF(P117=CURSOS!$D$36,"SOPORTE CARDIOVASCULAR AVANZADO NEONATAL",IF(P117=CURSOS!$D$37,"SEGURIDAD DEL PACIENTE",IF(P117=CURSOS!$D$38,"MANEJO DE RESIDUOS HOSPITALARIOS"))))))))))))))))))))))))))))))))))))</f>
        <v xml:space="preserve">PRIMEROS AUXILIOS </v>
      </c>
      <c r="W117" s="66" t="str">
        <f t="shared" si="5"/>
        <v>Luisa Alejandra Mora Rosero</v>
      </c>
      <c r="X117" s="66" t="str">
        <f t="shared" si="6"/>
        <v>Luisa Alejandra Mora Rosero</v>
      </c>
      <c r="Y117" s="66" t="str">
        <f t="shared" si="7"/>
        <v>Luisa Alejandra Mora Rosero-1085340125-PRIMEROS AUXILIOS</v>
      </c>
    </row>
    <row r="118" spans="1:25" s="60" customFormat="1" x14ac:dyDescent="0.2">
      <c r="A118" s="61">
        <v>117</v>
      </c>
      <c r="B118" s="62">
        <v>1233191246</v>
      </c>
      <c r="C118" s="87" t="s">
        <v>440</v>
      </c>
      <c r="D118" s="87" t="s">
        <v>441</v>
      </c>
      <c r="E118" s="87" t="s">
        <v>442</v>
      </c>
      <c r="F118" s="87" t="s">
        <v>443</v>
      </c>
      <c r="G118" s="87">
        <v>16</v>
      </c>
      <c r="H118" s="62" t="s">
        <v>127</v>
      </c>
      <c r="I118" s="62" t="s">
        <v>226</v>
      </c>
      <c r="J118" s="63" t="s">
        <v>334</v>
      </c>
      <c r="K118" s="64">
        <v>45763</v>
      </c>
      <c r="L118" s="65">
        <v>40000</v>
      </c>
      <c r="M118" s="62" t="s">
        <v>220</v>
      </c>
      <c r="N118" s="62" t="s">
        <v>131</v>
      </c>
      <c r="O118" s="62" t="s">
        <v>257</v>
      </c>
      <c r="P118" s="62" t="s">
        <v>59</v>
      </c>
      <c r="Q118" s="63">
        <v>35870</v>
      </c>
      <c r="R118" s="87" t="s">
        <v>209</v>
      </c>
      <c r="S118" s="96" t="s">
        <v>332</v>
      </c>
      <c r="T118" s="62">
        <v>3159411314</v>
      </c>
      <c r="U118" s="62" t="s">
        <v>444</v>
      </c>
      <c r="V118" s="66" t="str">
        <f>IF(P118=CURSOS!$D$3,"DIPLOMADO EN ATENCION PRE-HOSPITALARIA",IF(P118=CURSOS!$D$4,"ACOMPAÑAMIENTO Y MANEJO DEL DUELO",IF(P118=CURSOS!$D$5,"ATENCION A VICTIMAS DE ATAQUE CON AGENTES QUIMICOS ",IF(P118=CURSOS!$D$6,"PRIMEROS AUXILIOS ",IF(P118=CURSOS!$D$7,"DIPLOMADO DE UNIDAD DE CUIDADOS INTENSIVOS (UCI)",IF(P118=CURSOS!$D$8,"MODELO DE ATENCION PARA EVENTOS EMERGENTES EN SALUD MENTAL (CODIGO VERDE)",IF(P118=CURSOS!$D$9,"HUMANIZACION EN EL SERVICIO DE LA SALUD Y BUENAS PRACTICAS EN PACIENTE ",IF(P118=CURSOS!$D$10,"CLINICA DE HERIDAS ",IF(P118=CURSOS!$D$11,"TOMA DE CITOLOGIA CERVICO VAGINAL ",IF(P118=CURSOS!$D$12,"SOPORTE CARDIOVASCULAR AVANZADO (ACLS) ",IF(P118=CURSOS!$D$13,"CAMILLERO ",IF(P118=CURSOS!$D$14,"TOMA DE MUESTRAS Y LABORATORIO ",IF(P118=CURSOS!$D$15,"SOPORTE VITAL BASICO (BLS)",IF(P118=CURSOS!$D$16,"ATENCION A VICTIMAS DE VIOLENCIA SEXUAL ",IF(P118=CURSOS!$D$17,"PROGRAMADO AMPLIADO DE INMUNIZACION (PAI - COVID 19)",IF(P118=CURSOS!$D$18,"ATENCION INTEGRAL EN ENFERMEDADES PREVALENTES EN PRIMERA INFANCIA (AIEPI)",IF(P118=CURSOS!$D$19,"ADMINISTRACION DE MEDICAMENTOS, INYECTOLOGIA  Y CANALIZACION ",IF(P118=CURSOS!$D$20,"OPERADOR DE VEHICULOS DE EMERGENCIA (OVE)",IF(P118=CURSOS!$D$21,"INSTITUCIONES AMIGAS DE LA MUJER Y LA INFANCIA (IAMI)",IF(P118=CURSOS!$D$22,"CUIDADO DEL DONANTE DE ORGANOS",IF(P118=CURSOS!$D$23,"ATENCION A VICTIMAS POR VIOLENCIA DE GENERO",IF(P118=CURSOS!$D$24,"IGUALDAD DE GENERO EN LA SALUD",IF(P118=CURSOS!$D$25,"BRIGADA DE EMERGENCIA",IF(P118=CURSOS!$D$26,"MANEJO DEL DOLOR Y CUIDADOS PALIATIVOS",IF(P118=CURSOS!$D$27,"TOMA DE MUESTRAS Y LABORATORIO POCT",IF(P118=CURSOS!$D$28,"IMPLANTE SUBDERMICO DE DISPOSITIVO INTRAUTERINO",IF(P118=CURSOS!$D$29,"SALUD MENTAL",IF(P118=CURSOS!$D$30,"PRIMEROS AUXILIOS PSICOLOGICOS",IF(P118=CURSOS!$D$31,"ATENCION A VICTIMAS POR CONFLICTO ARMADO",IF(P118=CURSOS!$D$32,"MANIPULACION DE ALIMENTOS Y BPM",IF(P118=CURSOS!$D$33,"ATENCION A PERSONAS CON DISCAPACIDAD",IF(P118=CURSOS!$D$34,"CUIDADO INTEGRAL DEL PACIENTE ADULTO",IF(P118=CURSOS!$D$35,"MANEJO DEFENSIVO",IF(P118=CURSOS!$D$36,"SOPORTE CARDIOVASCULAR AVANZADO NEONATAL",IF(P118=CURSOS!$D$37,"SEGURIDAD DEL PACIENTE",IF(P118=CURSOS!$D$38,"MANEJO DE RESIDUOS HOSPITALARIOS"))))))))))))))))))))))))))))))))))))</f>
        <v>TOMA DE MUESTRAS Y LABORATORIO POCT</v>
      </c>
      <c r="W118" s="66" t="str">
        <f t="shared" si="5"/>
        <v>Johan Sebastian Otaya Yarpaz</v>
      </c>
      <c r="X118" s="66" t="str">
        <f t="shared" si="6"/>
        <v>Johan Sebastian Otaya Yarpaz</v>
      </c>
      <c r="Y118" s="66" t="str">
        <f t="shared" si="7"/>
        <v>Johan Sebastian Otaya Yarpaz-1233191246-POCT</v>
      </c>
    </row>
    <row r="119" spans="1:25" s="60" customFormat="1" x14ac:dyDescent="0.2">
      <c r="A119" s="61">
        <v>118</v>
      </c>
      <c r="B119" s="94">
        <v>1004623864</v>
      </c>
      <c r="C119" s="87" t="s">
        <v>312</v>
      </c>
      <c r="D119" s="87" t="s">
        <v>445</v>
      </c>
      <c r="E119" s="87" t="s">
        <v>446</v>
      </c>
      <c r="F119" s="87" t="s">
        <v>447</v>
      </c>
      <c r="G119" s="87">
        <v>16</v>
      </c>
      <c r="H119" s="62" t="s">
        <v>127</v>
      </c>
      <c r="I119" s="62" t="s">
        <v>226</v>
      </c>
      <c r="J119" s="89" t="s">
        <v>232</v>
      </c>
      <c r="K119" s="64">
        <v>45763</v>
      </c>
      <c r="L119" s="65">
        <v>32000</v>
      </c>
      <c r="M119" s="62" t="s">
        <v>220</v>
      </c>
      <c r="N119" s="62" t="s">
        <v>131</v>
      </c>
      <c r="O119" s="62" t="s">
        <v>233</v>
      </c>
      <c r="P119" s="62" t="s">
        <v>26</v>
      </c>
      <c r="Q119" s="63">
        <v>37158</v>
      </c>
      <c r="R119" s="87" t="s">
        <v>208</v>
      </c>
      <c r="S119" s="82" t="s">
        <v>332</v>
      </c>
      <c r="T119" s="62">
        <v>3223718335</v>
      </c>
      <c r="U119" s="62" t="s">
        <v>448</v>
      </c>
      <c r="V119" s="66" t="str">
        <f>IF(P119=CURSOS!$D$3,"DIPLOMADO EN ATENCION PRE-HOSPITALARIA",IF(P119=CURSOS!$D$4,"ACOMPAÑAMIENTO Y MANEJO DEL DUELO",IF(P119=CURSOS!$D$5,"ATENCION A VICTIMAS DE ATAQUE CON AGENTES QUIMICOS ",IF(P119=CURSOS!$D$6,"PRIMEROS AUXILIOS ",IF(P119=CURSOS!$D$7,"DIPLOMADO DE UNIDAD DE CUIDADOS INTENSIVOS (UCI)",IF(P119=CURSOS!$D$8,"MODELO DE ATENCION PARA EVENTOS EMERGENTES EN SALUD MENTAL (CODIGO VERDE)",IF(P119=CURSOS!$D$9,"HUMANIZACION EN EL SERVICIO DE LA SALUD Y BUENAS PRACTICAS EN PACIENTE ",IF(P119=CURSOS!$D$10,"CLINICA DE HERIDAS ",IF(P119=CURSOS!$D$11,"TOMA DE CITOLOGIA CERVICO VAGINAL ",IF(P119=CURSOS!$D$12,"SOPORTE CARDIOVASCULAR AVANZADO (ACLS) ",IF(P119=CURSOS!$D$13,"CAMILLERO ",IF(P119=CURSOS!$D$14,"TOMA DE MUESTRAS Y LABORATORIO ",IF(P119=CURSOS!$D$15,"SOPORTE VITAL BASICO (BLS)",IF(P119=CURSOS!$D$16,"ATENCION A VICTIMAS DE VIOLENCIA SEXUAL ",IF(P119=CURSOS!$D$17,"PROGRAMADO AMPLIADO DE INMUNIZACION (PAI - COVID 19)",IF(P119=CURSOS!$D$18,"ATENCION INTEGRAL EN ENFERMEDADES PREVALENTES EN PRIMERA INFANCIA (AIEPI)",IF(P119=CURSOS!$D$19,"ADMINISTRACION DE MEDICAMENTOS, INYECTOLOGIA  Y CANALIZACION ",IF(P119=CURSOS!$D$20,"OPERADOR DE VEHICULOS DE EMERGENCIA (OVE)",IF(P119=CURSOS!$D$21,"INSTITUCIONES AMIGAS DE LA MUJER Y LA INFANCIA (IAMI)",IF(P119=CURSOS!$D$22,"CUIDADO DEL DONANTE DE ORGANOS",IF(P119=CURSOS!$D$23,"ATENCION A VICTIMAS POR VIOLENCIA DE GENERO",IF(P119=CURSOS!$D$24,"IGUALDAD DE GENERO EN LA SALUD",IF(P119=CURSOS!$D$25,"BRIGADA DE EMERGENCIA",IF(P119=CURSOS!$D$26,"MANEJO DEL DOLOR Y CUIDADOS PALIATIVOS",IF(P119=CURSOS!$D$27,"TOMA DE MUESTRAS Y LABORATORIO POCT",IF(P119=CURSOS!$D$28,"IMPLANTE SUBDERMICO DE DISPOSITIVO INTRAUTERINO",IF(P119=CURSOS!$D$29,"SALUD MENTAL",IF(P119=CURSOS!$D$30,"PRIMEROS AUXILIOS PSICOLOGICOS",IF(P119=CURSOS!$D$31,"ATENCION A VICTIMAS POR CONFLICTO ARMADO",IF(P119=CURSOS!$D$32,"MANIPULACION DE ALIMENTOS Y BPM",IF(P119=CURSOS!$D$33,"ATENCION A PERSONAS CON DISCAPACIDAD",IF(P119=CURSOS!$D$34,"CUIDADO INTEGRAL DEL PACIENTE ADULTO",IF(P119=CURSOS!$D$35,"MANEJO DEFENSIVO",IF(P119=CURSOS!$D$36,"SOPORTE CARDIOVASCULAR AVANZADO NEONATAL",IF(P119=CURSOS!$D$37,"SEGURIDAD DEL PACIENTE",IF(P119=CURSOS!$D$38,"MANEJO DE RESIDUOS HOSPITALARIOS"))))))))))))))))))))))))))))))))))))</f>
        <v xml:space="preserve">PRIMEROS AUXILIOS </v>
      </c>
      <c r="W119" s="66" t="str">
        <f t="shared" si="5"/>
        <v>Nayely Katerine Rodriguez Oviedo</v>
      </c>
      <c r="X119" s="66" t="str">
        <f t="shared" si="6"/>
        <v>Nayely Katerine Rodriguez Oviedo</v>
      </c>
      <c r="Y119" s="66" t="str">
        <f t="shared" si="7"/>
        <v>Nayely Katerine Rodriguez Oviedo-1004623864-PRIMEROS AUXILIOS</v>
      </c>
    </row>
    <row r="120" spans="1:25" s="60" customFormat="1" x14ac:dyDescent="0.2">
      <c r="A120" s="61">
        <v>119</v>
      </c>
      <c r="B120" s="87">
        <v>1088976815</v>
      </c>
      <c r="C120" s="87" t="s">
        <v>451</v>
      </c>
      <c r="D120" s="87" t="s">
        <v>181</v>
      </c>
      <c r="E120" s="87" t="s">
        <v>452</v>
      </c>
      <c r="F120" s="87" t="s">
        <v>453</v>
      </c>
      <c r="G120" s="87">
        <v>16</v>
      </c>
      <c r="H120" s="62" t="s">
        <v>127</v>
      </c>
      <c r="I120" s="62" t="s">
        <v>128</v>
      </c>
      <c r="J120" s="89" t="s">
        <v>334</v>
      </c>
      <c r="K120" s="64" t="s">
        <v>454</v>
      </c>
      <c r="L120" s="65">
        <v>80000</v>
      </c>
      <c r="M120" s="62" t="s">
        <v>220</v>
      </c>
      <c r="N120" s="62" t="s">
        <v>131</v>
      </c>
      <c r="O120" s="62" t="s">
        <v>257</v>
      </c>
      <c r="P120" s="62" t="s">
        <v>32</v>
      </c>
      <c r="Q120" s="63">
        <v>36362</v>
      </c>
      <c r="R120" s="62" t="s">
        <v>209</v>
      </c>
      <c r="S120" s="96" t="s">
        <v>449</v>
      </c>
      <c r="T120" s="68">
        <v>3185423647</v>
      </c>
      <c r="U120" s="62" t="s">
        <v>450</v>
      </c>
      <c r="V120" s="66" t="str">
        <f>IF(P120=CURSOS!$D$3,"DIPLOMADO EN ATENCION PRE-HOSPITALARIA",IF(P120=CURSOS!$D$4,"ACOMPAÑAMIENTO Y MANEJO DEL DUELO",IF(P120=CURSOS!$D$5,"ATENCION A VICTIMAS DE ATAQUE CON AGENTES QUIMICOS ",IF(P120=CURSOS!$D$6,"PRIMEROS AUXILIOS ",IF(P120=CURSOS!$D$7,"DIPLOMADO DE UNIDAD DE CUIDADOS INTENSIVOS (UCI)",IF(P120=CURSOS!$D$8,"MODELO DE ATENCION PARA EVENTOS EMERGENTES EN SALUD MENTAL (CODIGO VERDE)",IF(P120=CURSOS!$D$9,"HUMANIZACION EN EL SERVICIO DE LA SALUD Y BUENAS PRACTICAS EN PACIENTE ",IF(P120=CURSOS!$D$10,"CLINICA DE HERIDAS ",IF(P120=CURSOS!$D$11,"TOMA DE CITOLOGIA CERVICO VAGINAL ",IF(P120=CURSOS!$D$12,"SOPORTE CARDIOVASCULAR AVANZADO (ACLS) ",IF(P120=CURSOS!$D$13,"CAMILLERO ",IF(P120=CURSOS!$D$14,"TOMA DE MUESTRAS Y LABORATORIO ",IF(P120=CURSOS!$D$15,"SOPORTE VITAL BASICO (BLS)",IF(P120=CURSOS!$D$16,"ATENCION A VICTIMAS DE VIOLENCIA SEXUAL ",IF(P120=CURSOS!$D$17,"PROGRAMADO AMPLIADO DE INMUNIZACION (PAI - COVID 19)",IF(P120=CURSOS!$D$18,"ATENCION INTEGRAL EN ENFERMEDADES PREVALENTES EN PRIMERA INFANCIA (AIEPI)",IF(P120=CURSOS!$D$19,"ADMINISTRACION DE MEDICAMENTOS, INYECTOLOGIA  Y CANALIZACION ",IF(P120=CURSOS!$D$20,"OPERADOR DE VEHICULOS DE EMERGENCIA (OVE)",IF(P120=CURSOS!$D$21,"INSTITUCIONES AMIGAS DE LA MUJER Y LA INFANCIA (IAMI)",IF(P120=CURSOS!$D$22,"CUIDADO DEL DONANTE DE ORGANOS",IF(P120=CURSOS!$D$23,"ATENCION A VICTIMAS POR VIOLENCIA DE GENERO",IF(P120=CURSOS!$D$24,"IGUALDAD DE GENERO EN LA SALUD",IF(P120=CURSOS!$D$25,"BRIGADA DE EMERGENCIA",IF(P120=CURSOS!$D$26,"MANEJO DEL DOLOR Y CUIDADOS PALIATIVOS",IF(P120=CURSOS!$D$27,"TOMA DE MUESTRAS Y LABORATORIO POCT",IF(P120=CURSOS!$D$28,"IMPLANTE SUBDERMICO DE DISPOSITIVO INTRAUTERINO",IF(P120=CURSOS!$D$29,"SALUD MENTAL",IF(P120=CURSOS!$D$30,"PRIMEROS AUXILIOS PSICOLOGICOS",IF(P120=CURSOS!$D$31,"ATENCION A VICTIMAS POR CONFLICTO ARMADO",IF(P120=CURSOS!$D$32,"MANIPULACION DE ALIMENTOS Y BPM",IF(P120=CURSOS!$D$33,"ATENCION A PERSONAS CON DISCAPACIDAD",IF(P120=CURSOS!$D$34,"CUIDADO INTEGRAL DEL PACIENTE ADULTO",IF(P120=CURSOS!$D$35,"MANEJO DEFENSIVO",IF(P120=CURSOS!$D$36,"SOPORTE CARDIOVASCULAR AVANZADO NEONATAL",IF(P120=CURSOS!$D$37,"SEGURIDAD DEL PACIENTE",IF(P120=CURSOS!$D$38,"MANEJO DE RESIDUOS HOSPITALARIOS"))))))))))))))))))))))))))))))))))))</f>
        <v xml:space="preserve">HUMANIZACION EN EL SERVICIO DE LA SALUD Y BUENAS PRACTICAS EN PACIENTE </v>
      </c>
      <c r="W120" s="66" t="str">
        <f t="shared" si="5"/>
        <v>Dany Ferney Aullon Ceron</v>
      </c>
      <c r="X120" s="66" t="str">
        <f t="shared" si="6"/>
        <v>Dany Ferney Aullon Ceron</v>
      </c>
      <c r="Y120" s="66" t="str">
        <f t="shared" si="7"/>
        <v>Dany Ferney Aullon Ceron-1088976815-HUMANIZACION</v>
      </c>
    </row>
    <row r="121" spans="1:25" s="60" customFormat="1" x14ac:dyDescent="0.2">
      <c r="A121" s="61">
        <v>120</v>
      </c>
      <c r="B121" s="85">
        <v>1085246914</v>
      </c>
      <c r="C121" s="87" t="s">
        <v>403</v>
      </c>
      <c r="D121" s="87" t="s">
        <v>456</v>
      </c>
      <c r="E121" s="87" t="s">
        <v>280</v>
      </c>
      <c r="F121" s="87" t="s">
        <v>457</v>
      </c>
      <c r="G121" s="87">
        <v>16</v>
      </c>
      <c r="H121" s="62" t="s">
        <v>127</v>
      </c>
      <c r="I121" s="62" t="s">
        <v>226</v>
      </c>
      <c r="J121" s="89" t="s">
        <v>232</v>
      </c>
      <c r="K121" s="64">
        <v>45763</v>
      </c>
      <c r="L121" s="65">
        <v>25000</v>
      </c>
      <c r="M121" s="62" t="s">
        <v>220</v>
      </c>
      <c r="N121" s="62" t="s">
        <v>131</v>
      </c>
      <c r="O121" s="62" t="s">
        <v>257</v>
      </c>
      <c r="P121" s="62" t="s">
        <v>19</v>
      </c>
      <c r="Q121" s="63">
        <v>31453</v>
      </c>
      <c r="R121" s="87" t="s">
        <v>208</v>
      </c>
      <c r="S121" s="97" t="s">
        <v>332</v>
      </c>
      <c r="T121" s="68"/>
      <c r="U121" s="62" t="s">
        <v>455</v>
      </c>
      <c r="V121" s="66" t="str">
        <f>IF(P121=CURSOS!$D$3,"DIPLOMADO EN ATENCION PRE-HOSPITALARIA",IF(P121=CURSOS!$D$4,"ACOMPAÑAMIENTO Y MANEJO DEL DUELO",IF(P121=CURSOS!$D$5,"ATENCION A VICTIMAS DE ATAQUE CON AGENTES QUIMICOS ",IF(P121=CURSOS!$D$6,"PRIMEROS AUXILIOS ",IF(P121=CURSOS!$D$7,"DIPLOMADO DE UNIDAD DE CUIDADOS INTENSIVOS (UCI)",IF(P121=CURSOS!$D$8,"MODELO DE ATENCION PARA EVENTOS EMERGENTES EN SALUD MENTAL (CODIGO VERDE)",IF(P121=CURSOS!$D$9,"HUMANIZACION EN EL SERVICIO DE LA SALUD Y BUENAS PRACTICAS EN PACIENTE ",IF(P121=CURSOS!$D$10,"CLINICA DE HERIDAS ",IF(P121=CURSOS!$D$11,"TOMA DE CITOLOGIA CERVICO VAGINAL ",IF(P121=CURSOS!$D$12,"SOPORTE CARDIOVASCULAR AVANZADO (ACLS) ",IF(P121=CURSOS!$D$13,"CAMILLERO ",IF(P121=CURSOS!$D$14,"TOMA DE MUESTRAS Y LABORATORIO ",IF(P121=CURSOS!$D$15,"SOPORTE VITAL BASICO (BLS)",IF(P121=CURSOS!$D$16,"ATENCION A VICTIMAS DE VIOLENCIA SEXUAL ",IF(P121=CURSOS!$D$17,"PROGRAMADO AMPLIADO DE INMUNIZACION (PAI - COVID 19)",IF(P121=CURSOS!$D$18,"ATENCION INTEGRAL EN ENFERMEDADES PREVALENTES EN PRIMERA INFANCIA (AIEPI)",IF(P121=CURSOS!$D$19,"ADMINISTRACION DE MEDICAMENTOS, INYECTOLOGIA  Y CANALIZACION ",IF(P121=CURSOS!$D$20,"OPERADOR DE VEHICULOS DE EMERGENCIA (OVE)",IF(P121=CURSOS!$D$21,"INSTITUCIONES AMIGAS DE LA MUJER Y LA INFANCIA (IAMI)",IF(P121=CURSOS!$D$22,"CUIDADO DEL DONANTE DE ORGANOS",IF(P121=CURSOS!$D$23,"ATENCION A VICTIMAS POR VIOLENCIA DE GENERO",IF(P121=CURSOS!$D$24,"IGUALDAD DE GENERO EN LA SALUD",IF(P121=CURSOS!$D$25,"BRIGADA DE EMERGENCIA",IF(P121=CURSOS!$D$26,"MANEJO DEL DOLOR Y CUIDADOS PALIATIVOS",IF(P121=CURSOS!$D$27,"TOMA DE MUESTRAS Y LABORATORIO POCT",IF(P121=CURSOS!$D$28,"IMPLANTE SUBDERMICO DE DISPOSITIVO INTRAUTERINO",IF(P121=CURSOS!$D$29,"SALUD MENTAL",IF(P121=CURSOS!$D$30,"PRIMEROS AUXILIOS PSICOLOGICOS",IF(P121=CURSOS!$D$31,"ATENCION A VICTIMAS POR CONFLICTO ARMADO",IF(P121=CURSOS!$D$32,"MANIPULACION DE ALIMENTOS Y BPM",IF(P121=CURSOS!$D$33,"ATENCION A PERSONAS CON DISCAPACIDAD",IF(P121=CURSOS!$D$34,"CUIDADO INTEGRAL DEL PACIENTE ADULTO",IF(P121=CURSOS!$D$35,"MANEJO DEFENSIVO",IF(P121=CURSOS!$D$36,"SOPORTE CARDIOVASCULAR AVANZADO NEONATAL",IF(P121=CURSOS!$D$37,"SEGURIDAD DEL PACIENTE",IF(P121=CURSOS!$D$38,"MANEJO DE RESIDUOS HOSPITALARIOS"))))))))))))))))))))))))))))))))))))</f>
        <v>SOPORTE VITAL BASICO (BLS)</v>
      </c>
      <c r="W121" s="66" t="str">
        <f t="shared" si="5"/>
        <v>Sandra Milena Paz Inguilan</v>
      </c>
      <c r="X121" s="66" t="str">
        <f t="shared" si="6"/>
        <v>Sandra Milena Paz Inguilan</v>
      </c>
      <c r="Y121" s="66" t="str">
        <f t="shared" si="7"/>
        <v>Sandra Milena Paz Inguilan-1085246914-BLS</v>
      </c>
    </row>
    <row r="122" spans="1:25" s="60" customFormat="1" x14ac:dyDescent="0.2">
      <c r="A122" s="61">
        <v>121</v>
      </c>
      <c r="B122" s="85">
        <v>1085246914</v>
      </c>
      <c r="C122" s="87" t="s">
        <v>403</v>
      </c>
      <c r="D122" s="87" t="s">
        <v>456</v>
      </c>
      <c r="E122" s="87" t="s">
        <v>280</v>
      </c>
      <c r="F122" s="87" t="s">
        <v>457</v>
      </c>
      <c r="G122" s="87">
        <v>15</v>
      </c>
      <c r="H122" s="62" t="s">
        <v>127</v>
      </c>
      <c r="I122" s="62" t="s">
        <v>226</v>
      </c>
      <c r="J122" s="89" t="s">
        <v>334</v>
      </c>
      <c r="K122" s="64">
        <v>45763</v>
      </c>
      <c r="L122" s="65">
        <v>25000</v>
      </c>
      <c r="M122" s="62" t="s">
        <v>220</v>
      </c>
      <c r="N122" s="62" t="s">
        <v>131</v>
      </c>
      <c r="O122" s="62" t="s">
        <v>257</v>
      </c>
      <c r="P122" s="62" t="s">
        <v>42</v>
      </c>
      <c r="Q122" s="63">
        <v>31453</v>
      </c>
      <c r="R122" s="87" t="s">
        <v>208</v>
      </c>
      <c r="S122" s="97" t="s">
        <v>332</v>
      </c>
      <c r="T122" s="68"/>
      <c r="U122" s="62" t="s">
        <v>455</v>
      </c>
      <c r="V122" s="66" t="str">
        <f>IF(P122=CURSOS!$D$3,"DIPLOMADO EN ATENCION PRE-HOSPITALARIA",IF(P122=CURSOS!$D$4,"ACOMPAÑAMIENTO Y MANEJO DEL DUELO",IF(P122=CURSOS!$D$5,"ATENCION A VICTIMAS DE ATAQUE CON AGENTES QUIMICOS ",IF(P122=CURSOS!$D$6,"PRIMEROS AUXILIOS ",IF(P122=CURSOS!$D$7,"DIPLOMADO DE UNIDAD DE CUIDADOS INTENSIVOS (UCI)",IF(P122=CURSOS!$D$8,"MODELO DE ATENCION PARA EVENTOS EMERGENTES EN SALUD MENTAL (CODIGO VERDE)",IF(P122=CURSOS!$D$9,"HUMANIZACION EN EL SERVICIO DE LA SALUD Y BUENAS PRACTICAS EN PACIENTE ",IF(P122=CURSOS!$D$10,"CLINICA DE HERIDAS ",IF(P122=CURSOS!$D$11,"TOMA DE CITOLOGIA CERVICO VAGINAL ",IF(P122=CURSOS!$D$12,"SOPORTE CARDIOVASCULAR AVANZADO (ACLS) ",IF(P122=CURSOS!$D$13,"CAMILLERO ",IF(P122=CURSOS!$D$14,"TOMA DE MUESTRAS Y LABORATORIO ",IF(P122=CURSOS!$D$15,"SOPORTE VITAL BASICO (BLS)",IF(P122=CURSOS!$D$16,"ATENCION A VICTIMAS DE VIOLENCIA SEXUAL ",IF(P122=CURSOS!$D$17,"PROGRAMADO AMPLIADO DE INMUNIZACION (PAI - COVID 19)",IF(P122=CURSOS!$D$18,"ATENCION INTEGRAL EN ENFERMEDADES PREVALENTES EN PRIMERA INFANCIA (AIEPI)",IF(P122=CURSOS!$D$19,"ADMINISTRACION DE MEDICAMENTOS, INYECTOLOGIA  Y CANALIZACION ",IF(P122=CURSOS!$D$20,"OPERADOR DE VEHICULOS DE EMERGENCIA (OVE)",IF(P122=CURSOS!$D$21,"INSTITUCIONES AMIGAS DE LA MUJER Y LA INFANCIA (IAMI)",IF(P122=CURSOS!$D$22,"CUIDADO DEL DONANTE DE ORGANOS",IF(P122=CURSOS!$D$23,"ATENCION A VICTIMAS POR VIOLENCIA DE GENERO",IF(P122=CURSOS!$D$24,"IGUALDAD DE GENERO EN LA SALUD",IF(P122=CURSOS!$D$25,"BRIGADA DE EMERGENCIA",IF(P122=CURSOS!$D$26,"MANEJO DEL DOLOR Y CUIDADOS PALIATIVOS",IF(P122=CURSOS!$D$27,"TOMA DE MUESTRAS Y LABORATORIO POCT",IF(P122=CURSOS!$D$28,"IMPLANTE SUBDERMICO DE DISPOSITIVO INTRAUTERINO",IF(P122=CURSOS!$D$29,"SALUD MENTAL",IF(P122=CURSOS!$D$30,"PRIMEROS AUXILIOS PSICOLOGICOS",IF(P122=CURSOS!$D$31,"ATENCION A VICTIMAS POR CONFLICTO ARMADO",IF(P122=CURSOS!$D$32,"MANIPULACION DE ALIMENTOS Y BPM",IF(P122=CURSOS!$D$33,"ATENCION A PERSONAS CON DISCAPACIDAD",IF(P122=CURSOS!$D$34,"CUIDADO INTEGRAL DEL PACIENTE ADULTO",IF(P122=CURSOS!$D$35,"MANEJO DEFENSIVO",IF(P122=CURSOS!$D$36,"SOPORTE CARDIOVASCULAR AVANZADO NEONATAL",IF(P122=CURSOS!$D$37,"SEGURIDAD DEL PACIENTE",IF(P122=CURSOS!$D$38,"MANEJO DE RESIDUOS HOSPITALARIOS"))))))))))))))))))))))))))))))))))))</f>
        <v xml:space="preserve">ATENCION A VICTIMAS DE VIOLENCIA SEXUAL </v>
      </c>
      <c r="W122" s="66" t="str">
        <f t="shared" si="5"/>
        <v>Sandra Milena Paz Inguilan</v>
      </c>
      <c r="X122" s="66" t="str">
        <f t="shared" si="6"/>
        <v>Sandra Milena Paz Inguilan</v>
      </c>
      <c r="Y122" s="66" t="str">
        <f t="shared" si="7"/>
        <v>Sandra Milena Paz Inguilan-1085246914-VIOLENCIA SEXUAL</v>
      </c>
    </row>
    <row r="123" spans="1:25" s="60" customFormat="1" x14ac:dyDescent="0.2">
      <c r="A123" s="61">
        <v>122</v>
      </c>
      <c r="B123" s="62">
        <v>1087426721</v>
      </c>
      <c r="C123" s="87" t="s">
        <v>458</v>
      </c>
      <c r="D123" s="87" t="s">
        <v>164</v>
      </c>
      <c r="E123" s="87" t="s">
        <v>146</v>
      </c>
      <c r="F123" s="87" t="s">
        <v>231</v>
      </c>
      <c r="G123" s="87">
        <v>21</v>
      </c>
      <c r="H123" s="62" t="s">
        <v>127</v>
      </c>
      <c r="I123" s="62" t="s">
        <v>226</v>
      </c>
      <c r="J123" s="89" t="s">
        <v>232</v>
      </c>
      <c r="K123" s="64">
        <v>45768</v>
      </c>
      <c r="L123" s="65">
        <v>25000</v>
      </c>
      <c r="M123" s="62" t="s">
        <v>220</v>
      </c>
      <c r="N123" s="62" t="s">
        <v>433</v>
      </c>
      <c r="O123" s="62" t="s">
        <v>233</v>
      </c>
      <c r="P123" s="62" t="s">
        <v>64</v>
      </c>
      <c r="Q123" s="63">
        <v>36261</v>
      </c>
      <c r="R123" s="87" t="s">
        <v>208</v>
      </c>
      <c r="S123" s="62" t="s">
        <v>332</v>
      </c>
      <c r="T123" s="68">
        <v>3225247446</v>
      </c>
      <c r="U123" s="62" t="s">
        <v>459</v>
      </c>
      <c r="V123" s="66" t="str">
        <f>IF(P123=CURSOS!$D$3,"DIPLOMADO EN ATENCION PRE-HOSPITALARIA",IF(P123=CURSOS!$D$4,"ACOMPAÑAMIENTO Y MANEJO DEL DUELO",IF(P123=CURSOS!$D$5,"ATENCION A VICTIMAS DE ATAQUE CON AGENTES QUIMICOS ",IF(P123=CURSOS!$D$6,"PRIMEROS AUXILIOS ",IF(P123=CURSOS!$D$7,"DIPLOMADO DE UNIDAD DE CUIDADOS INTENSIVOS (UCI)",IF(P123=CURSOS!$D$8,"MODELO DE ATENCION PARA EVENTOS EMERGENTES EN SALUD MENTAL (CODIGO VERDE)",IF(P123=CURSOS!$D$9,"HUMANIZACION EN EL SERVICIO DE LA SALUD Y BUENAS PRACTICAS EN PACIENTE ",IF(P123=CURSOS!$D$10,"CLINICA DE HERIDAS ",IF(P123=CURSOS!$D$11,"TOMA DE CITOLOGIA CERVICO VAGINAL ",IF(P123=CURSOS!$D$12,"SOPORTE CARDIOVASCULAR AVANZADO (ACLS) ",IF(P123=CURSOS!$D$13,"CAMILLERO ",IF(P123=CURSOS!$D$14,"TOMA DE MUESTRAS Y LABORATORIO ",IF(P123=CURSOS!$D$15,"SOPORTE VITAL BASICO (BLS)",IF(P123=CURSOS!$D$16,"ATENCION A VICTIMAS DE VIOLENCIA SEXUAL ",IF(P123=CURSOS!$D$17,"PROGRAMADO AMPLIADO DE INMUNIZACION (PAI - COVID 19)",IF(P123=CURSOS!$D$18,"ATENCION INTEGRAL EN ENFERMEDADES PREVALENTES EN PRIMERA INFANCIA (AIEPI)",IF(P123=CURSOS!$D$19,"ADMINISTRACION DE MEDICAMENTOS, INYECTOLOGIA  Y CANALIZACION ",IF(P123=CURSOS!$D$20,"OPERADOR DE VEHICULOS DE EMERGENCIA (OVE)",IF(P123=CURSOS!$D$21,"INSTITUCIONES AMIGAS DE LA MUJER Y LA INFANCIA (IAMI)",IF(P123=CURSOS!$D$22,"CUIDADO DEL DONANTE DE ORGANOS",IF(P123=CURSOS!$D$23,"ATENCION A VICTIMAS POR VIOLENCIA DE GENERO",IF(P123=CURSOS!$D$24,"IGUALDAD DE GENERO EN LA SALUD",IF(P123=CURSOS!$D$25,"BRIGADA DE EMERGENCIA",IF(P123=CURSOS!$D$26,"MANEJO DEL DOLOR Y CUIDADOS PALIATIVOS",IF(P123=CURSOS!$D$27,"TOMA DE MUESTRAS Y LABORATORIO POCT",IF(P123=CURSOS!$D$28,"IMPLANTE SUBDERMICO DE DISPOSITIVO INTRAUTERINO",IF(P123=CURSOS!$D$29,"SALUD MENTAL",IF(P123=CURSOS!$D$30,"PRIMEROS AUXILIOS PSICOLOGICOS",IF(P123=CURSOS!$D$31,"ATENCION A VICTIMAS POR CONFLICTO ARMADO",IF(P123=CURSOS!$D$32,"MANIPULACION DE ALIMENTOS Y BPM",IF(P123=CURSOS!$D$33,"ATENCION A PERSONAS CON DISCAPACIDAD",IF(P123=CURSOS!$D$34,"CUIDADO INTEGRAL DEL PACIENTE ADULTO",IF(P123=CURSOS!$D$35,"MANEJO DEFENSIVO",IF(P123=CURSOS!$D$36,"SOPORTE CARDIOVASCULAR AVANZADO NEONATAL",IF(P123=CURSOS!$D$37,"SEGURIDAD DEL PACIENTE",IF(P123=CURSOS!$D$38,"MANEJO DE RESIDUOS HOSPITALARIOS"))))))))))))))))))))))))))))))))))))</f>
        <v>ATENCION A VICTIMAS POR CONFLICTO ARMADO</v>
      </c>
      <c r="W123" s="66" t="str">
        <f t="shared" si="5"/>
        <v>Diana Yamile Ayala Getial</v>
      </c>
      <c r="X123" s="66" t="str">
        <f t="shared" si="6"/>
        <v>Diana Yamile Ayala Getial</v>
      </c>
      <c r="Y123" s="66" t="str">
        <f t="shared" si="7"/>
        <v>Diana Yamile Ayala Getial-1087426721-CONFLICTO ARMADO</v>
      </c>
    </row>
    <row r="124" spans="1:25" s="60" customFormat="1" x14ac:dyDescent="0.2">
      <c r="A124" s="61">
        <v>123</v>
      </c>
      <c r="B124" s="62">
        <v>1087426721</v>
      </c>
      <c r="C124" s="87" t="s">
        <v>458</v>
      </c>
      <c r="D124" s="87" t="s">
        <v>164</v>
      </c>
      <c r="E124" s="87" t="s">
        <v>146</v>
      </c>
      <c r="F124" s="87" t="s">
        <v>231</v>
      </c>
      <c r="G124" s="87">
        <v>21</v>
      </c>
      <c r="H124" s="62" t="s">
        <v>127</v>
      </c>
      <c r="I124" s="62" t="s">
        <v>226</v>
      </c>
      <c r="J124" s="89" t="s">
        <v>232</v>
      </c>
      <c r="K124" s="64">
        <v>45768</v>
      </c>
      <c r="L124" s="65">
        <v>25000</v>
      </c>
      <c r="M124" s="62" t="s">
        <v>220</v>
      </c>
      <c r="N124" s="62" t="s">
        <v>433</v>
      </c>
      <c r="O124" s="62" t="s">
        <v>233</v>
      </c>
      <c r="P124" s="87" t="s">
        <v>23</v>
      </c>
      <c r="Q124" s="63">
        <v>36261</v>
      </c>
      <c r="R124" s="87" t="s">
        <v>208</v>
      </c>
      <c r="S124" s="62" t="s">
        <v>332</v>
      </c>
      <c r="T124" s="68">
        <v>3225247446</v>
      </c>
      <c r="U124" s="62" t="s">
        <v>459</v>
      </c>
      <c r="V124" s="66" t="str">
        <f>IF(P124=CURSOS!$D$3,"DIPLOMADO EN ATENCION PRE-HOSPITALARIA",IF(P124=CURSOS!$D$4,"ACOMPAÑAMIENTO Y MANEJO DEL DUELO",IF(P124=CURSOS!$D$5,"ATENCION A VICTIMAS DE ATAQUE CON AGENTES QUIMICOS ",IF(P124=CURSOS!$D$6,"PRIMEROS AUXILIOS ",IF(P124=CURSOS!$D$7,"DIPLOMADO DE UNIDAD DE CUIDADOS INTENSIVOS (UCI)",IF(P124=CURSOS!$D$8,"MODELO DE ATENCION PARA EVENTOS EMERGENTES EN SALUD MENTAL (CODIGO VERDE)",IF(P124=CURSOS!$D$9,"HUMANIZACION EN EL SERVICIO DE LA SALUD Y BUENAS PRACTICAS EN PACIENTE ",IF(P124=CURSOS!$D$10,"CLINICA DE HERIDAS ",IF(P124=CURSOS!$D$11,"TOMA DE CITOLOGIA CERVICO VAGINAL ",IF(P124=CURSOS!$D$12,"SOPORTE CARDIOVASCULAR AVANZADO (ACLS) ",IF(P124=CURSOS!$D$13,"CAMILLERO ",IF(P124=CURSOS!$D$14,"TOMA DE MUESTRAS Y LABORATORIO ",IF(P124=CURSOS!$D$15,"SOPORTE VITAL BASICO (BLS)",IF(P124=CURSOS!$D$16,"ATENCION A VICTIMAS DE VIOLENCIA SEXUAL ",IF(P124=CURSOS!$D$17,"PROGRAMADO AMPLIADO DE INMUNIZACION (PAI - COVID 19)",IF(P124=CURSOS!$D$18,"ATENCION INTEGRAL EN ENFERMEDADES PREVALENTES EN PRIMERA INFANCIA (AIEPI)",IF(P124=CURSOS!$D$19,"ADMINISTRACION DE MEDICAMENTOS, INYECTOLOGIA  Y CANALIZACION ",IF(P124=CURSOS!$D$20,"OPERADOR DE VEHICULOS DE EMERGENCIA (OVE)",IF(P124=CURSOS!$D$21,"INSTITUCIONES AMIGAS DE LA MUJER Y LA INFANCIA (IAMI)",IF(P124=CURSOS!$D$22,"CUIDADO DEL DONANTE DE ORGANOS",IF(P124=CURSOS!$D$23,"ATENCION A VICTIMAS POR VIOLENCIA DE GENERO",IF(P124=CURSOS!$D$24,"IGUALDAD DE GENERO EN LA SALUD",IF(P124=CURSOS!$D$25,"BRIGADA DE EMERGENCIA",IF(P124=CURSOS!$D$26,"MANEJO DEL DOLOR Y CUIDADOS PALIATIVOS",IF(P124=CURSOS!$D$27,"TOMA DE MUESTRAS Y LABORATORIO POCT",IF(P124=CURSOS!$D$28,"IMPLANTE SUBDERMICO DE DISPOSITIVO INTRAUTERINO",IF(P124=CURSOS!$D$29,"SALUD MENTAL",IF(P124=CURSOS!$D$30,"PRIMEROS AUXILIOS PSICOLOGICOS",IF(P124=CURSOS!$D$31,"ATENCION A VICTIMAS POR CONFLICTO ARMADO",IF(P124=CURSOS!$D$32,"MANIPULACION DE ALIMENTOS Y BPM",IF(P124=CURSOS!$D$33,"ATENCION A PERSONAS CON DISCAPACIDAD",IF(P124=CURSOS!$D$34,"CUIDADO INTEGRAL DEL PACIENTE ADULTO",IF(P124=CURSOS!$D$35,"MANEJO DEFENSIVO",IF(P124=CURSOS!$D$36,"SOPORTE CARDIOVASCULAR AVANZADO NEONATAL",IF(P124=CURSOS!$D$37,"SEGURIDAD DEL PACIENTE",IF(P124=CURSOS!$D$38,"MANEJO DE RESIDUOS HOSPITALARIOS"))))))))))))))))))))))))))))))))))))</f>
        <v>ACOMPAÑAMIENTO Y MANEJO DEL DUELO</v>
      </c>
      <c r="W124" s="66" t="str">
        <f t="shared" si="5"/>
        <v>Diana Yamile Ayala Getial</v>
      </c>
      <c r="X124" s="66" t="str">
        <f t="shared" si="6"/>
        <v>Diana Yamile Ayala Getial</v>
      </c>
      <c r="Y124" s="66" t="str">
        <f t="shared" si="7"/>
        <v>Diana Yamile Ayala Getial-1087426721-DUELO</v>
      </c>
    </row>
    <row r="125" spans="1:25" s="60" customFormat="1" x14ac:dyDescent="0.2">
      <c r="A125" s="61">
        <v>124</v>
      </c>
      <c r="B125" s="62">
        <v>1087426721</v>
      </c>
      <c r="C125" s="87" t="s">
        <v>458</v>
      </c>
      <c r="D125" s="87" t="s">
        <v>164</v>
      </c>
      <c r="E125" s="87" t="s">
        <v>146</v>
      </c>
      <c r="F125" s="87" t="s">
        <v>231</v>
      </c>
      <c r="G125" s="87">
        <v>21</v>
      </c>
      <c r="H125" s="62" t="s">
        <v>127</v>
      </c>
      <c r="I125" s="62" t="s">
        <v>226</v>
      </c>
      <c r="J125" s="89" t="s">
        <v>232</v>
      </c>
      <c r="K125" s="64">
        <v>45768</v>
      </c>
      <c r="L125" s="65">
        <v>25000</v>
      </c>
      <c r="M125" s="62" t="s">
        <v>220</v>
      </c>
      <c r="N125" s="62" t="s">
        <v>433</v>
      </c>
      <c r="O125" s="62" t="s">
        <v>233</v>
      </c>
      <c r="P125" s="87" t="s">
        <v>42</v>
      </c>
      <c r="Q125" s="63">
        <v>36261</v>
      </c>
      <c r="R125" s="87" t="s">
        <v>208</v>
      </c>
      <c r="S125" s="62" t="s">
        <v>332</v>
      </c>
      <c r="T125" s="68">
        <v>3225247446</v>
      </c>
      <c r="U125" s="62" t="s">
        <v>459</v>
      </c>
      <c r="V125" s="66" t="str">
        <f>IF(P125=CURSOS!$D$3,"DIPLOMADO EN ATENCION PRE-HOSPITALARIA",IF(P125=CURSOS!$D$4,"ACOMPAÑAMIENTO Y MANEJO DEL DUELO",IF(P125=CURSOS!$D$5,"ATENCION A VICTIMAS DE ATAQUE CON AGENTES QUIMICOS ",IF(P125=CURSOS!$D$6,"PRIMEROS AUXILIOS ",IF(P125=CURSOS!$D$7,"DIPLOMADO DE UNIDAD DE CUIDADOS INTENSIVOS (UCI)",IF(P125=CURSOS!$D$8,"MODELO DE ATENCION PARA EVENTOS EMERGENTES EN SALUD MENTAL (CODIGO VERDE)",IF(P125=CURSOS!$D$9,"HUMANIZACION EN EL SERVICIO DE LA SALUD Y BUENAS PRACTICAS EN PACIENTE ",IF(P125=CURSOS!$D$10,"CLINICA DE HERIDAS ",IF(P125=CURSOS!$D$11,"TOMA DE CITOLOGIA CERVICO VAGINAL ",IF(P125=CURSOS!$D$12,"SOPORTE CARDIOVASCULAR AVANZADO (ACLS) ",IF(P125=CURSOS!$D$13,"CAMILLERO ",IF(P125=CURSOS!$D$14,"TOMA DE MUESTRAS Y LABORATORIO ",IF(P125=CURSOS!$D$15,"SOPORTE VITAL BASICO (BLS)",IF(P125=CURSOS!$D$16,"ATENCION A VICTIMAS DE VIOLENCIA SEXUAL ",IF(P125=CURSOS!$D$17,"PROGRAMADO AMPLIADO DE INMUNIZACION (PAI - COVID 19)",IF(P125=CURSOS!$D$18,"ATENCION INTEGRAL EN ENFERMEDADES PREVALENTES EN PRIMERA INFANCIA (AIEPI)",IF(P125=CURSOS!$D$19,"ADMINISTRACION DE MEDICAMENTOS, INYECTOLOGIA  Y CANALIZACION ",IF(P125=CURSOS!$D$20,"OPERADOR DE VEHICULOS DE EMERGENCIA (OVE)",IF(P125=CURSOS!$D$21,"INSTITUCIONES AMIGAS DE LA MUJER Y LA INFANCIA (IAMI)",IF(P125=CURSOS!$D$22,"CUIDADO DEL DONANTE DE ORGANOS",IF(P125=CURSOS!$D$23,"ATENCION A VICTIMAS POR VIOLENCIA DE GENERO",IF(P125=CURSOS!$D$24,"IGUALDAD DE GENERO EN LA SALUD",IF(P125=CURSOS!$D$25,"BRIGADA DE EMERGENCIA",IF(P125=CURSOS!$D$26,"MANEJO DEL DOLOR Y CUIDADOS PALIATIVOS",IF(P125=CURSOS!$D$27,"TOMA DE MUESTRAS Y LABORATORIO POCT",IF(P125=CURSOS!$D$28,"IMPLANTE SUBDERMICO DE DISPOSITIVO INTRAUTERINO",IF(P125=CURSOS!$D$29,"SALUD MENTAL",IF(P125=CURSOS!$D$30,"PRIMEROS AUXILIOS PSICOLOGICOS",IF(P125=CURSOS!$D$31,"ATENCION A VICTIMAS POR CONFLICTO ARMADO",IF(P125=CURSOS!$D$32,"MANIPULACION DE ALIMENTOS Y BPM",IF(P125=CURSOS!$D$33,"ATENCION A PERSONAS CON DISCAPACIDAD",IF(P125=CURSOS!$D$34,"CUIDADO INTEGRAL DEL PACIENTE ADULTO",IF(P125=CURSOS!$D$35,"MANEJO DEFENSIVO",IF(P125=CURSOS!$D$36,"SOPORTE CARDIOVASCULAR AVANZADO NEONATAL",IF(P125=CURSOS!$D$37,"SEGURIDAD DEL PACIENTE",IF(P125=CURSOS!$D$38,"MANEJO DE RESIDUOS HOSPITALARIOS"))))))))))))))))))))))))))))))))))))</f>
        <v xml:space="preserve">ATENCION A VICTIMAS DE VIOLENCIA SEXUAL </v>
      </c>
      <c r="W125" s="66" t="str">
        <f t="shared" si="5"/>
        <v>Diana Yamile Ayala Getial</v>
      </c>
      <c r="X125" s="66" t="str">
        <f t="shared" si="6"/>
        <v>Diana Yamile Ayala Getial</v>
      </c>
      <c r="Y125" s="66" t="str">
        <f t="shared" si="7"/>
        <v>Diana Yamile Ayala Getial-1087426721-VIOLENCIA SEXUAL</v>
      </c>
    </row>
    <row r="126" spans="1:25" s="60" customFormat="1" x14ac:dyDescent="0.2">
      <c r="A126" s="61">
        <v>125</v>
      </c>
      <c r="B126" s="62">
        <v>1087426721</v>
      </c>
      <c r="C126" s="87" t="s">
        <v>458</v>
      </c>
      <c r="D126" s="87" t="s">
        <v>164</v>
      </c>
      <c r="E126" s="87" t="s">
        <v>146</v>
      </c>
      <c r="F126" s="87" t="s">
        <v>231</v>
      </c>
      <c r="G126" s="87">
        <v>21</v>
      </c>
      <c r="H126" s="62" t="s">
        <v>127</v>
      </c>
      <c r="I126" s="62" t="s">
        <v>226</v>
      </c>
      <c r="J126" s="89" t="s">
        <v>232</v>
      </c>
      <c r="K126" s="64">
        <v>45768</v>
      </c>
      <c r="L126" s="65">
        <v>25000</v>
      </c>
      <c r="M126" s="62" t="s">
        <v>220</v>
      </c>
      <c r="N126" s="62" t="s">
        <v>433</v>
      </c>
      <c r="O126" s="62" t="s">
        <v>233</v>
      </c>
      <c r="P126" s="87" t="s">
        <v>25</v>
      </c>
      <c r="Q126" s="63">
        <v>36261</v>
      </c>
      <c r="R126" s="87" t="s">
        <v>208</v>
      </c>
      <c r="S126" s="62" t="s">
        <v>332</v>
      </c>
      <c r="T126" s="68">
        <v>3225247446</v>
      </c>
      <c r="U126" s="62" t="s">
        <v>459</v>
      </c>
      <c r="V126" s="66" t="str">
        <f>IF(P126=CURSOS!$D$3,"DIPLOMADO EN ATENCION PRE-HOSPITALARIA",IF(P126=CURSOS!$D$4,"ACOMPAÑAMIENTO Y MANEJO DEL DUELO",IF(P126=CURSOS!$D$5,"ATENCION A VICTIMAS DE ATAQUE CON AGENTES QUIMICOS ",IF(P126=CURSOS!$D$6,"PRIMEROS AUXILIOS ",IF(P126=CURSOS!$D$7,"DIPLOMADO DE UNIDAD DE CUIDADOS INTENSIVOS (UCI)",IF(P126=CURSOS!$D$8,"MODELO DE ATENCION PARA EVENTOS EMERGENTES EN SALUD MENTAL (CODIGO VERDE)",IF(P126=CURSOS!$D$9,"HUMANIZACION EN EL SERVICIO DE LA SALUD Y BUENAS PRACTICAS EN PACIENTE ",IF(P126=CURSOS!$D$10,"CLINICA DE HERIDAS ",IF(P126=CURSOS!$D$11,"TOMA DE CITOLOGIA CERVICO VAGINAL ",IF(P126=CURSOS!$D$12,"SOPORTE CARDIOVASCULAR AVANZADO (ACLS) ",IF(P126=CURSOS!$D$13,"CAMILLERO ",IF(P126=CURSOS!$D$14,"TOMA DE MUESTRAS Y LABORATORIO ",IF(P126=CURSOS!$D$15,"SOPORTE VITAL BASICO (BLS)",IF(P126=CURSOS!$D$16,"ATENCION A VICTIMAS DE VIOLENCIA SEXUAL ",IF(P126=CURSOS!$D$17,"PROGRAMADO AMPLIADO DE INMUNIZACION (PAI - COVID 19)",IF(P126=CURSOS!$D$18,"ATENCION INTEGRAL EN ENFERMEDADES PREVALENTES EN PRIMERA INFANCIA (AIEPI)",IF(P126=CURSOS!$D$19,"ADMINISTRACION DE MEDICAMENTOS, INYECTOLOGIA  Y CANALIZACION ",IF(P126=CURSOS!$D$20,"OPERADOR DE VEHICULOS DE EMERGENCIA (OVE)",IF(P126=CURSOS!$D$21,"INSTITUCIONES AMIGAS DE LA MUJER Y LA INFANCIA (IAMI)",IF(P126=CURSOS!$D$22,"CUIDADO DEL DONANTE DE ORGANOS",IF(P126=CURSOS!$D$23,"ATENCION A VICTIMAS POR VIOLENCIA DE GENERO",IF(P126=CURSOS!$D$24,"IGUALDAD DE GENERO EN LA SALUD",IF(P126=CURSOS!$D$25,"BRIGADA DE EMERGENCIA",IF(P126=CURSOS!$D$26,"MANEJO DEL DOLOR Y CUIDADOS PALIATIVOS",IF(P126=CURSOS!$D$27,"TOMA DE MUESTRAS Y LABORATORIO POCT",IF(P126=CURSOS!$D$28,"IMPLANTE SUBDERMICO DE DISPOSITIVO INTRAUTERINO",IF(P126=CURSOS!$D$29,"SALUD MENTAL",IF(P126=CURSOS!$D$30,"PRIMEROS AUXILIOS PSICOLOGICOS",IF(P126=CURSOS!$D$31,"ATENCION A VICTIMAS POR CONFLICTO ARMADO",IF(P126=CURSOS!$D$32,"MANIPULACION DE ALIMENTOS Y BPM",IF(P126=CURSOS!$D$33,"ATENCION A PERSONAS CON DISCAPACIDAD",IF(P126=CURSOS!$D$34,"CUIDADO INTEGRAL DEL PACIENTE ADULTO",IF(P126=CURSOS!$D$35,"MANEJO DEFENSIVO",IF(P126=CURSOS!$D$36,"SOPORTE CARDIOVASCULAR AVANZADO NEONATAL",IF(P126=CURSOS!$D$37,"SEGURIDAD DEL PACIENTE",IF(P126=CURSOS!$D$38,"MANEJO DE RESIDUOS HOSPITALARIOS"))))))))))))))))))))))))))))))))))))</f>
        <v xml:space="preserve">ATENCION A VICTIMAS DE ATAQUE CON AGENTES QUIMICOS </v>
      </c>
      <c r="W126" s="66" t="str">
        <f t="shared" si="5"/>
        <v>Diana Yamile Ayala Getial</v>
      </c>
      <c r="X126" s="66" t="str">
        <f t="shared" si="6"/>
        <v>Diana Yamile Ayala Getial</v>
      </c>
      <c r="Y126" s="66" t="str">
        <f t="shared" si="7"/>
        <v>Diana Yamile Ayala Getial-1087426721-QUIMICOS</v>
      </c>
    </row>
    <row r="127" spans="1:25" s="60" customFormat="1" x14ac:dyDescent="0.2">
      <c r="A127" s="61">
        <v>126</v>
      </c>
      <c r="B127" s="62">
        <v>1087426721</v>
      </c>
      <c r="C127" s="87" t="s">
        <v>458</v>
      </c>
      <c r="D127" s="87" t="s">
        <v>164</v>
      </c>
      <c r="E127" s="87" t="s">
        <v>146</v>
      </c>
      <c r="F127" s="87" t="s">
        <v>231</v>
      </c>
      <c r="G127" s="87">
        <v>21</v>
      </c>
      <c r="H127" s="62" t="s">
        <v>127</v>
      </c>
      <c r="I127" s="62" t="s">
        <v>226</v>
      </c>
      <c r="J127" s="89" t="s">
        <v>232</v>
      </c>
      <c r="K127" s="64">
        <v>45768</v>
      </c>
      <c r="L127" s="65">
        <v>25000</v>
      </c>
      <c r="M127" s="62" t="s">
        <v>220</v>
      </c>
      <c r="N127" s="62" t="s">
        <v>433</v>
      </c>
      <c r="O127" s="62" t="s">
        <v>233</v>
      </c>
      <c r="P127" s="62" t="s">
        <v>26</v>
      </c>
      <c r="Q127" s="63">
        <v>36261</v>
      </c>
      <c r="R127" s="87" t="s">
        <v>208</v>
      </c>
      <c r="S127" s="62" t="s">
        <v>332</v>
      </c>
      <c r="T127" s="68">
        <v>3225247446</v>
      </c>
      <c r="U127" s="62" t="s">
        <v>459</v>
      </c>
      <c r="V127" s="66" t="str">
        <f>IF(P127=CURSOS!$D$3,"DIPLOMADO EN ATENCION PRE-HOSPITALARIA",IF(P127=CURSOS!$D$4,"ACOMPAÑAMIENTO Y MANEJO DEL DUELO",IF(P127=CURSOS!$D$5,"ATENCION A VICTIMAS DE ATAQUE CON AGENTES QUIMICOS ",IF(P127=CURSOS!$D$6,"PRIMEROS AUXILIOS ",IF(P127=CURSOS!$D$7,"DIPLOMADO DE UNIDAD DE CUIDADOS INTENSIVOS (UCI)",IF(P127=CURSOS!$D$8,"MODELO DE ATENCION PARA EVENTOS EMERGENTES EN SALUD MENTAL (CODIGO VERDE)",IF(P127=CURSOS!$D$9,"HUMANIZACION EN EL SERVICIO DE LA SALUD Y BUENAS PRACTICAS EN PACIENTE ",IF(P127=CURSOS!$D$10,"CLINICA DE HERIDAS ",IF(P127=CURSOS!$D$11,"TOMA DE CITOLOGIA CERVICO VAGINAL ",IF(P127=CURSOS!$D$12,"SOPORTE CARDIOVASCULAR AVANZADO (ACLS) ",IF(P127=CURSOS!$D$13,"CAMILLERO ",IF(P127=CURSOS!$D$14,"TOMA DE MUESTRAS Y LABORATORIO ",IF(P127=CURSOS!$D$15,"SOPORTE VITAL BASICO (BLS)",IF(P127=CURSOS!$D$16,"ATENCION A VICTIMAS DE VIOLENCIA SEXUAL ",IF(P127=CURSOS!$D$17,"PROGRAMADO AMPLIADO DE INMUNIZACION (PAI - COVID 19)",IF(P127=CURSOS!$D$18,"ATENCION INTEGRAL EN ENFERMEDADES PREVALENTES EN PRIMERA INFANCIA (AIEPI)",IF(P127=CURSOS!$D$19,"ADMINISTRACION DE MEDICAMENTOS, INYECTOLOGIA  Y CANALIZACION ",IF(P127=CURSOS!$D$20,"OPERADOR DE VEHICULOS DE EMERGENCIA (OVE)",IF(P127=CURSOS!$D$21,"INSTITUCIONES AMIGAS DE LA MUJER Y LA INFANCIA (IAMI)",IF(P127=CURSOS!$D$22,"CUIDADO DEL DONANTE DE ORGANOS",IF(P127=CURSOS!$D$23,"ATENCION A VICTIMAS POR VIOLENCIA DE GENERO",IF(P127=CURSOS!$D$24,"IGUALDAD DE GENERO EN LA SALUD",IF(P127=CURSOS!$D$25,"BRIGADA DE EMERGENCIA",IF(P127=CURSOS!$D$26,"MANEJO DEL DOLOR Y CUIDADOS PALIATIVOS",IF(P127=CURSOS!$D$27,"TOMA DE MUESTRAS Y LABORATORIO POCT",IF(P127=CURSOS!$D$28,"IMPLANTE SUBDERMICO DE DISPOSITIVO INTRAUTERINO",IF(P127=CURSOS!$D$29,"SALUD MENTAL",IF(P127=CURSOS!$D$30,"PRIMEROS AUXILIOS PSICOLOGICOS",IF(P127=CURSOS!$D$31,"ATENCION A VICTIMAS POR CONFLICTO ARMADO",IF(P127=CURSOS!$D$32,"MANIPULACION DE ALIMENTOS Y BPM",IF(P127=CURSOS!$D$33,"ATENCION A PERSONAS CON DISCAPACIDAD",IF(P127=CURSOS!$D$34,"CUIDADO INTEGRAL DEL PACIENTE ADULTO",IF(P127=CURSOS!$D$35,"MANEJO DEFENSIVO",IF(P127=CURSOS!$D$36,"SOPORTE CARDIOVASCULAR AVANZADO NEONATAL",IF(P127=CURSOS!$D$37,"SEGURIDAD DEL PACIENTE",IF(P127=CURSOS!$D$38,"MANEJO DE RESIDUOS HOSPITALARIOS"))))))))))))))))))))))))))))))))))))</f>
        <v xml:space="preserve">PRIMEROS AUXILIOS </v>
      </c>
      <c r="W127" s="66" t="str">
        <f t="shared" si="5"/>
        <v>Diana Yamile Ayala Getial</v>
      </c>
      <c r="X127" s="66" t="str">
        <f t="shared" si="6"/>
        <v>Diana Yamile Ayala Getial</v>
      </c>
      <c r="Y127" s="66" t="str">
        <f t="shared" si="7"/>
        <v>Diana Yamile Ayala Getial-1087426721-PRIMEROS AUXILIOS</v>
      </c>
    </row>
    <row r="128" spans="1:25" s="60" customFormat="1" x14ac:dyDescent="0.2">
      <c r="A128" s="61">
        <v>127</v>
      </c>
      <c r="B128" s="62">
        <v>1087426721</v>
      </c>
      <c r="C128" s="87" t="s">
        <v>458</v>
      </c>
      <c r="D128" s="87" t="s">
        <v>164</v>
      </c>
      <c r="E128" s="87" t="s">
        <v>146</v>
      </c>
      <c r="F128" s="87" t="s">
        <v>231</v>
      </c>
      <c r="G128" s="87">
        <v>21</v>
      </c>
      <c r="H128" s="62" t="s">
        <v>127</v>
      </c>
      <c r="I128" s="62" t="s">
        <v>226</v>
      </c>
      <c r="J128" s="89" t="s">
        <v>232</v>
      </c>
      <c r="K128" s="64">
        <v>45768</v>
      </c>
      <c r="L128" s="65">
        <v>25000</v>
      </c>
      <c r="M128" s="62" t="s">
        <v>220</v>
      </c>
      <c r="N128" s="62" t="s">
        <v>433</v>
      </c>
      <c r="O128" s="62" t="s">
        <v>233</v>
      </c>
      <c r="P128" s="62" t="s">
        <v>32</v>
      </c>
      <c r="Q128" s="63">
        <v>36261</v>
      </c>
      <c r="R128" s="87" t="s">
        <v>208</v>
      </c>
      <c r="S128" s="62" t="s">
        <v>332</v>
      </c>
      <c r="T128" s="68">
        <v>3225247446</v>
      </c>
      <c r="U128" s="62" t="s">
        <v>459</v>
      </c>
      <c r="V128" s="66" t="str">
        <f>IF(P128=CURSOS!$D$3,"DIPLOMADO EN ATENCION PRE-HOSPITALARIA",IF(P128=CURSOS!$D$4,"ACOMPAÑAMIENTO Y MANEJO DEL DUELO",IF(P128=CURSOS!$D$5,"ATENCION A VICTIMAS DE ATAQUE CON AGENTES QUIMICOS ",IF(P128=CURSOS!$D$6,"PRIMEROS AUXILIOS ",IF(P128=CURSOS!$D$7,"DIPLOMADO DE UNIDAD DE CUIDADOS INTENSIVOS (UCI)",IF(P128=CURSOS!$D$8,"MODELO DE ATENCION PARA EVENTOS EMERGENTES EN SALUD MENTAL (CODIGO VERDE)",IF(P128=CURSOS!$D$9,"HUMANIZACION EN EL SERVICIO DE LA SALUD Y BUENAS PRACTICAS EN PACIENTE ",IF(P128=CURSOS!$D$10,"CLINICA DE HERIDAS ",IF(P128=CURSOS!$D$11,"TOMA DE CITOLOGIA CERVICO VAGINAL ",IF(P128=CURSOS!$D$12,"SOPORTE CARDIOVASCULAR AVANZADO (ACLS) ",IF(P128=CURSOS!$D$13,"CAMILLERO ",IF(P128=CURSOS!$D$14,"TOMA DE MUESTRAS Y LABORATORIO ",IF(P128=CURSOS!$D$15,"SOPORTE VITAL BASICO (BLS)",IF(P128=CURSOS!$D$16,"ATENCION A VICTIMAS DE VIOLENCIA SEXUAL ",IF(P128=CURSOS!$D$17,"PROGRAMADO AMPLIADO DE INMUNIZACION (PAI - COVID 19)",IF(P128=CURSOS!$D$18,"ATENCION INTEGRAL EN ENFERMEDADES PREVALENTES EN PRIMERA INFANCIA (AIEPI)",IF(P128=CURSOS!$D$19,"ADMINISTRACION DE MEDICAMENTOS, INYECTOLOGIA  Y CANALIZACION ",IF(P128=CURSOS!$D$20,"OPERADOR DE VEHICULOS DE EMERGENCIA (OVE)",IF(P128=CURSOS!$D$21,"INSTITUCIONES AMIGAS DE LA MUJER Y LA INFANCIA (IAMI)",IF(P128=CURSOS!$D$22,"CUIDADO DEL DONANTE DE ORGANOS",IF(P128=CURSOS!$D$23,"ATENCION A VICTIMAS POR VIOLENCIA DE GENERO",IF(P128=CURSOS!$D$24,"IGUALDAD DE GENERO EN LA SALUD",IF(P128=CURSOS!$D$25,"BRIGADA DE EMERGENCIA",IF(P128=CURSOS!$D$26,"MANEJO DEL DOLOR Y CUIDADOS PALIATIVOS",IF(P128=CURSOS!$D$27,"TOMA DE MUESTRAS Y LABORATORIO POCT",IF(P128=CURSOS!$D$28,"IMPLANTE SUBDERMICO DE DISPOSITIVO INTRAUTERINO",IF(P128=CURSOS!$D$29,"SALUD MENTAL",IF(P128=CURSOS!$D$30,"PRIMEROS AUXILIOS PSICOLOGICOS",IF(P128=CURSOS!$D$31,"ATENCION A VICTIMAS POR CONFLICTO ARMADO",IF(P128=CURSOS!$D$32,"MANIPULACION DE ALIMENTOS Y BPM",IF(P128=CURSOS!$D$33,"ATENCION A PERSONAS CON DISCAPACIDAD",IF(P128=CURSOS!$D$34,"CUIDADO INTEGRAL DEL PACIENTE ADULTO",IF(P128=CURSOS!$D$35,"MANEJO DEFENSIVO",IF(P128=CURSOS!$D$36,"SOPORTE CARDIOVASCULAR AVANZADO NEONATAL",IF(P128=CURSOS!$D$37,"SEGURIDAD DEL PACIENTE",IF(P128=CURSOS!$D$38,"MANEJO DE RESIDUOS HOSPITALARIOS"))))))))))))))))))))))))))))))))))))</f>
        <v xml:space="preserve">HUMANIZACION EN EL SERVICIO DE LA SALUD Y BUENAS PRACTICAS EN PACIENTE </v>
      </c>
      <c r="W128" s="66" t="str">
        <f t="shared" si="5"/>
        <v>Diana Yamile Ayala Getial</v>
      </c>
      <c r="X128" s="66" t="str">
        <f t="shared" si="6"/>
        <v>Diana Yamile Ayala Getial</v>
      </c>
      <c r="Y128" s="66" t="str">
        <f t="shared" si="7"/>
        <v>Diana Yamile Ayala Getial-1087426721-HUMANIZACION</v>
      </c>
    </row>
    <row r="129" spans="1:25" s="60" customFormat="1" x14ac:dyDescent="0.2">
      <c r="A129" s="61">
        <v>128</v>
      </c>
      <c r="B129" s="62">
        <v>1087426721</v>
      </c>
      <c r="C129" s="87" t="s">
        <v>458</v>
      </c>
      <c r="D129" s="87" t="s">
        <v>164</v>
      </c>
      <c r="E129" s="87" t="s">
        <v>146</v>
      </c>
      <c r="F129" s="87" t="s">
        <v>231</v>
      </c>
      <c r="G129" s="87">
        <v>21</v>
      </c>
      <c r="H129" s="62" t="s">
        <v>127</v>
      </c>
      <c r="I129" s="62" t="s">
        <v>226</v>
      </c>
      <c r="J129" s="89" t="s">
        <v>232</v>
      </c>
      <c r="K129" s="64">
        <v>45768</v>
      </c>
      <c r="L129" s="65">
        <v>25000</v>
      </c>
      <c r="M129" s="62" t="s">
        <v>220</v>
      </c>
      <c r="N129" s="62" t="s">
        <v>433</v>
      </c>
      <c r="O129" s="62" t="s">
        <v>233</v>
      </c>
      <c r="P129" s="62" t="s">
        <v>19</v>
      </c>
      <c r="Q129" s="63">
        <v>36261</v>
      </c>
      <c r="R129" s="87" t="s">
        <v>208</v>
      </c>
      <c r="S129" s="62" t="s">
        <v>332</v>
      </c>
      <c r="T129" s="68">
        <v>3225247446</v>
      </c>
      <c r="U129" s="62" t="s">
        <v>459</v>
      </c>
      <c r="V129" s="66" t="str">
        <f>IF(P129=CURSOS!$D$3,"DIPLOMADO EN ATENCION PRE-HOSPITALARIA",IF(P129=CURSOS!$D$4,"ACOMPAÑAMIENTO Y MANEJO DEL DUELO",IF(P129=CURSOS!$D$5,"ATENCION A VICTIMAS DE ATAQUE CON AGENTES QUIMICOS ",IF(P129=CURSOS!$D$6,"PRIMEROS AUXILIOS ",IF(P129=CURSOS!$D$7,"DIPLOMADO DE UNIDAD DE CUIDADOS INTENSIVOS (UCI)",IF(P129=CURSOS!$D$8,"MODELO DE ATENCION PARA EVENTOS EMERGENTES EN SALUD MENTAL (CODIGO VERDE)",IF(P129=CURSOS!$D$9,"HUMANIZACION EN EL SERVICIO DE LA SALUD Y BUENAS PRACTICAS EN PACIENTE ",IF(P129=CURSOS!$D$10,"CLINICA DE HERIDAS ",IF(P129=CURSOS!$D$11,"TOMA DE CITOLOGIA CERVICO VAGINAL ",IF(P129=CURSOS!$D$12,"SOPORTE CARDIOVASCULAR AVANZADO (ACLS) ",IF(P129=CURSOS!$D$13,"CAMILLERO ",IF(P129=CURSOS!$D$14,"TOMA DE MUESTRAS Y LABORATORIO ",IF(P129=CURSOS!$D$15,"SOPORTE VITAL BASICO (BLS)",IF(P129=CURSOS!$D$16,"ATENCION A VICTIMAS DE VIOLENCIA SEXUAL ",IF(P129=CURSOS!$D$17,"PROGRAMADO AMPLIADO DE INMUNIZACION (PAI - COVID 19)",IF(P129=CURSOS!$D$18,"ATENCION INTEGRAL EN ENFERMEDADES PREVALENTES EN PRIMERA INFANCIA (AIEPI)",IF(P129=CURSOS!$D$19,"ADMINISTRACION DE MEDICAMENTOS, INYECTOLOGIA  Y CANALIZACION ",IF(P129=CURSOS!$D$20,"OPERADOR DE VEHICULOS DE EMERGENCIA (OVE)",IF(P129=CURSOS!$D$21,"INSTITUCIONES AMIGAS DE LA MUJER Y LA INFANCIA (IAMI)",IF(P129=CURSOS!$D$22,"CUIDADO DEL DONANTE DE ORGANOS",IF(P129=CURSOS!$D$23,"ATENCION A VICTIMAS POR VIOLENCIA DE GENERO",IF(P129=CURSOS!$D$24,"IGUALDAD DE GENERO EN LA SALUD",IF(P129=CURSOS!$D$25,"BRIGADA DE EMERGENCIA",IF(P129=CURSOS!$D$26,"MANEJO DEL DOLOR Y CUIDADOS PALIATIVOS",IF(P129=CURSOS!$D$27,"TOMA DE MUESTRAS Y LABORATORIO POCT",IF(P129=CURSOS!$D$28,"IMPLANTE SUBDERMICO DE DISPOSITIVO INTRAUTERINO",IF(P129=CURSOS!$D$29,"SALUD MENTAL",IF(P129=CURSOS!$D$30,"PRIMEROS AUXILIOS PSICOLOGICOS",IF(P129=CURSOS!$D$31,"ATENCION A VICTIMAS POR CONFLICTO ARMADO",IF(P129=CURSOS!$D$32,"MANIPULACION DE ALIMENTOS Y BPM",IF(P129=CURSOS!$D$33,"ATENCION A PERSONAS CON DISCAPACIDAD",IF(P129=CURSOS!$D$34,"CUIDADO INTEGRAL DEL PACIENTE ADULTO",IF(P129=CURSOS!$D$35,"MANEJO DEFENSIVO",IF(P129=CURSOS!$D$36,"SOPORTE CARDIOVASCULAR AVANZADO NEONATAL",IF(P129=CURSOS!$D$37,"SEGURIDAD DEL PACIENTE",IF(P129=CURSOS!$D$38,"MANEJO DE RESIDUOS HOSPITALARIOS"))))))))))))))))))))))))))))))))))))</f>
        <v>SOPORTE VITAL BASICO (BLS)</v>
      </c>
      <c r="W129" s="66" t="str">
        <f t="shared" si="5"/>
        <v>Diana Yamile Ayala Getial</v>
      </c>
      <c r="X129" s="66" t="str">
        <f t="shared" si="6"/>
        <v>Diana Yamile Ayala Getial</v>
      </c>
      <c r="Y129" s="66" t="str">
        <f t="shared" si="7"/>
        <v>Diana Yamile Ayala Getial-1087426721-BLS</v>
      </c>
    </row>
    <row r="130" spans="1:25" s="60" customFormat="1" x14ac:dyDescent="0.2">
      <c r="A130" s="61">
        <v>129</v>
      </c>
      <c r="B130" s="62">
        <v>1004623864</v>
      </c>
      <c r="C130" s="87" t="s">
        <v>312</v>
      </c>
      <c r="D130" s="87" t="s">
        <v>445</v>
      </c>
      <c r="E130" s="87" t="s">
        <v>446</v>
      </c>
      <c r="F130" s="87" t="s">
        <v>447</v>
      </c>
      <c r="G130" s="87">
        <v>14</v>
      </c>
      <c r="H130" s="62" t="s">
        <v>127</v>
      </c>
      <c r="I130" s="62" t="s">
        <v>226</v>
      </c>
      <c r="J130" s="89" t="s">
        <v>232</v>
      </c>
      <c r="K130" s="64">
        <v>45768</v>
      </c>
      <c r="L130" s="65">
        <v>25000</v>
      </c>
      <c r="M130" s="62" t="s">
        <v>220</v>
      </c>
      <c r="N130" s="62" t="s">
        <v>131</v>
      </c>
      <c r="O130" s="62" t="s">
        <v>233</v>
      </c>
      <c r="P130" s="62" t="s">
        <v>19</v>
      </c>
      <c r="Q130" s="63">
        <v>37158</v>
      </c>
      <c r="R130" s="87" t="s">
        <v>208</v>
      </c>
      <c r="S130" s="62" t="s">
        <v>332</v>
      </c>
      <c r="T130" s="62">
        <v>3223718335</v>
      </c>
      <c r="U130" s="62" t="s">
        <v>448</v>
      </c>
      <c r="V130" s="66" t="str">
        <f>IF(P130=CURSOS!$D$3,"DIPLOMADO EN ATENCION PRE-HOSPITALARIA",IF(P130=CURSOS!$D$4,"ACOMPAÑAMIENTO Y MANEJO DEL DUELO",IF(P130=CURSOS!$D$5,"ATENCION A VICTIMAS DE ATAQUE CON AGENTES QUIMICOS ",IF(P130=CURSOS!$D$6,"PRIMEROS AUXILIOS ",IF(P130=CURSOS!$D$7,"DIPLOMADO DE UNIDAD DE CUIDADOS INTENSIVOS (UCI)",IF(P130=CURSOS!$D$8,"MODELO DE ATENCION PARA EVENTOS EMERGENTES EN SALUD MENTAL (CODIGO VERDE)",IF(P130=CURSOS!$D$9,"HUMANIZACION EN EL SERVICIO DE LA SALUD Y BUENAS PRACTICAS EN PACIENTE ",IF(P130=CURSOS!$D$10,"CLINICA DE HERIDAS ",IF(P130=CURSOS!$D$11,"TOMA DE CITOLOGIA CERVICO VAGINAL ",IF(P130=CURSOS!$D$12,"SOPORTE CARDIOVASCULAR AVANZADO (ACLS) ",IF(P130=CURSOS!$D$13,"CAMILLERO ",IF(P130=CURSOS!$D$14,"TOMA DE MUESTRAS Y LABORATORIO ",IF(P130=CURSOS!$D$15,"SOPORTE VITAL BASICO (BLS)",IF(P130=CURSOS!$D$16,"ATENCION A VICTIMAS DE VIOLENCIA SEXUAL ",IF(P130=CURSOS!$D$17,"PROGRAMADO AMPLIADO DE INMUNIZACION (PAI - COVID 19)",IF(P130=CURSOS!$D$18,"ATENCION INTEGRAL EN ENFERMEDADES PREVALENTES EN PRIMERA INFANCIA (AIEPI)",IF(P130=CURSOS!$D$19,"ADMINISTRACION DE MEDICAMENTOS, INYECTOLOGIA  Y CANALIZACION ",IF(P130=CURSOS!$D$20,"OPERADOR DE VEHICULOS DE EMERGENCIA (OVE)",IF(P130=CURSOS!$D$21,"INSTITUCIONES AMIGAS DE LA MUJER Y LA INFANCIA (IAMI)",IF(P130=CURSOS!$D$22,"CUIDADO DEL DONANTE DE ORGANOS",IF(P130=CURSOS!$D$23,"ATENCION A VICTIMAS POR VIOLENCIA DE GENERO",IF(P130=CURSOS!$D$24,"IGUALDAD DE GENERO EN LA SALUD",IF(P130=CURSOS!$D$25,"BRIGADA DE EMERGENCIA",IF(P130=CURSOS!$D$26,"MANEJO DEL DOLOR Y CUIDADOS PALIATIVOS",IF(P130=CURSOS!$D$27,"TOMA DE MUESTRAS Y LABORATORIO POCT",IF(P130=CURSOS!$D$28,"IMPLANTE SUBDERMICO DE DISPOSITIVO INTRAUTERINO",IF(P130=CURSOS!$D$29,"SALUD MENTAL",IF(P130=CURSOS!$D$30,"PRIMEROS AUXILIOS PSICOLOGICOS",IF(P130=CURSOS!$D$31,"ATENCION A VICTIMAS POR CONFLICTO ARMADO",IF(P130=CURSOS!$D$32,"MANIPULACION DE ALIMENTOS Y BPM",IF(P130=CURSOS!$D$33,"ATENCION A PERSONAS CON DISCAPACIDAD",IF(P130=CURSOS!$D$34,"CUIDADO INTEGRAL DEL PACIENTE ADULTO",IF(P130=CURSOS!$D$35,"MANEJO DEFENSIVO",IF(P130=CURSOS!$D$36,"SOPORTE CARDIOVASCULAR AVANZADO NEONATAL",IF(P130=CURSOS!$D$37,"SEGURIDAD DEL PACIENTE",IF(P130=CURSOS!$D$38,"MANEJO DE RESIDUOS HOSPITALARIOS"))))))))))))))))))))))))))))))))))))</f>
        <v>SOPORTE VITAL BASICO (BLS)</v>
      </c>
      <c r="W130" s="66" t="str">
        <f t="shared" si="5"/>
        <v>Nayely Katerine Rodriguez Oviedo</v>
      </c>
      <c r="X130" s="66" t="str">
        <f t="shared" si="6"/>
        <v>Nayely Katerine Rodriguez Oviedo</v>
      </c>
      <c r="Y130" s="66" t="str">
        <f t="shared" si="7"/>
        <v>Nayely Katerine Rodriguez Oviedo-1004623864-BLS</v>
      </c>
    </row>
    <row r="131" spans="1:25" s="60" customFormat="1" x14ac:dyDescent="0.2">
      <c r="A131" s="61">
        <v>130</v>
      </c>
      <c r="B131" s="62">
        <v>1004623864</v>
      </c>
      <c r="C131" s="87" t="s">
        <v>312</v>
      </c>
      <c r="D131" s="87" t="s">
        <v>445</v>
      </c>
      <c r="E131" s="87" t="s">
        <v>446</v>
      </c>
      <c r="F131" s="87" t="s">
        <v>447</v>
      </c>
      <c r="G131" s="87">
        <v>15</v>
      </c>
      <c r="H131" s="62" t="s">
        <v>127</v>
      </c>
      <c r="I131" s="62" t="s">
        <v>226</v>
      </c>
      <c r="J131" s="89" t="s">
        <v>232</v>
      </c>
      <c r="K131" s="64">
        <v>45768</v>
      </c>
      <c r="L131" s="65">
        <v>25000</v>
      </c>
      <c r="M131" s="62" t="s">
        <v>220</v>
      </c>
      <c r="N131" s="62" t="s">
        <v>131</v>
      </c>
      <c r="O131" s="62" t="s">
        <v>233</v>
      </c>
      <c r="P131" s="62" t="s">
        <v>25</v>
      </c>
      <c r="Q131" s="63">
        <v>37158</v>
      </c>
      <c r="R131" s="87" t="s">
        <v>208</v>
      </c>
      <c r="S131" s="62" t="s">
        <v>332</v>
      </c>
      <c r="T131" s="62">
        <v>3223718335</v>
      </c>
      <c r="U131" s="62" t="s">
        <v>448</v>
      </c>
      <c r="V131" s="66" t="str">
        <f>IF(P131=CURSOS!$D$3,"DIPLOMADO EN ATENCION PRE-HOSPITALARIA",IF(P131=CURSOS!$D$4,"ACOMPAÑAMIENTO Y MANEJO DEL DUELO",IF(P131=CURSOS!$D$5,"ATENCION A VICTIMAS DE ATAQUE CON AGENTES QUIMICOS ",IF(P131=CURSOS!$D$6,"PRIMEROS AUXILIOS ",IF(P131=CURSOS!$D$7,"DIPLOMADO DE UNIDAD DE CUIDADOS INTENSIVOS (UCI)",IF(P131=CURSOS!$D$8,"MODELO DE ATENCION PARA EVENTOS EMERGENTES EN SALUD MENTAL (CODIGO VERDE)",IF(P131=CURSOS!$D$9,"HUMANIZACION EN EL SERVICIO DE LA SALUD Y BUENAS PRACTICAS EN PACIENTE ",IF(P131=CURSOS!$D$10,"CLINICA DE HERIDAS ",IF(P131=CURSOS!$D$11,"TOMA DE CITOLOGIA CERVICO VAGINAL ",IF(P131=CURSOS!$D$12,"SOPORTE CARDIOVASCULAR AVANZADO (ACLS) ",IF(P131=CURSOS!$D$13,"CAMILLERO ",IF(P131=CURSOS!$D$14,"TOMA DE MUESTRAS Y LABORATORIO ",IF(P131=CURSOS!$D$15,"SOPORTE VITAL BASICO (BLS)",IF(P131=CURSOS!$D$16,"ATENCION A VICTIMAS DE VIOLENCIA SEXUAL ",IF(P131=CURSOS!$D$17,"PROGRAMADO AMPLIADO DE INMUNIZACION (PAI - COVID 19)",IF(P131=CURSOS!$D$18,"ATENCION INTEGRAL EN ENFERMEDADES PREVALENTES EN PRIMERA INFANCIA (AIEPI)",IF(P131=CURSOS!$D$19,"ADMINISTRACION DE MEDICAMENTOS, INYECTOLOGIA  Y CANALIZACION ",IF(P131=CURSOS!$D$20,"OPERADOR DE VEHICULOS DE EMERGENCIA (OVE)",IF(P131=CURSOS!$D$21,"INSTITUCIONES AMIGAS DE LA MUJER Y LA INFANCIA (IAMI)",IF(P131=CURSOS!$D$22,"CUIDADO DEL DONANTE DE ORGANOS",IF(P131=CURSOS!$D$23,"ATENCION A VICTIMAS POR VIOLENCIA DE GENERO",IF(P131=CURSOS!$D$24,"IGUALDAD DE GENERO EN LA SALUD",IF(P131=CURSOS!$D$25,"BRIGADA DE EMERGENCIA",IF(P131=CURSOS!$D$26,"MANEJO DEL DOLOR Y CUIDADOS PALIATIVOS",IF(P131=CURSOS!$D$27,"TOMA DE MUESTRAS Y LABORATORIO POCT",IF(P131=CURSOS!$D$28,"IMPLANTE SUBDERMICO DE DISPOSITIVO INTRAUTERINO",IF(P131=CURSOS!$D$29,"SALUD MENTAL",IF(P131=CURSOS!$D$30,"PRIMEROS AUXILIOS PSICOLOGICOS",IF(P131=CURSOS!$D$31,"ATENCION A VICTIMAS POR CONFLICTO ARMADO",IF(P131=CURSOS!$D$32,"MANIPULACION DE ALIMENTOS Y BPM",IF(P131=CURSOS!$D$33,"ATENCION A PERSONAS CON DISCAPACIDAD",IF(P131=CURSOS!$D$34,"CUIDADO INTEGRAL DEL PACIENTE ADULTO",IF(P131=CURSOS!$D$35,"MANEJO DEFENSIVO",IF(P131=CURSOS!$D$36,"SOPORTE CARDIOVASCULAR AVANZADO NEONATAL",IF(P131=CURSOS!$D$37,"SEGURIDAD DEL PACIENTE",IF(P131=CURSOS!$D$38,"MANEJO DE RESIDUOS HOSPITALARIOS"))))))))))))))))))))))))))))))))))))</f>
        <v xml:space="preserve">ATENCION A VICTIMAS DE ATAQUE CON AGENTES QUIMICOS </v>
      </c>
      <c r="W131" s="66" t="str">
        <f t="shared" ref="W131:W194" si="8">CONCATENATE(E131," ",F131," ",C131," ",D131)</f>
        <v>Nayely Katerine Rodriguez Oviedo</v>
      </c>
      <c r="X131" s="66" t="str">
        <f t="shared" ref="X131:X194" si="9">PROPER(W131)</f>
        <v>Nayely Katerine Rodriguez Oviedo</v>
      </c>
      <c r="Y131" s="66" t="str">
        <f t="shared" ref="Y131:Y194" si="10">CONCATENATE(W131,"-",B131,"-",P131)</f>
        <v>Nayely Katerine Rodriguez Oviedo-1004623864-QUIMICOS</v>
      </c>
    </row>
    <row r="132" spans="1:25" s="60" customFormat="1" x14ac:dyDescent="0.2">
      <c r="A132" s="61">
        <v>131</v>
      </c>
      <c r="B132" s="62">
        <v>1004623864</v>
      </c>
      <c r="C132" s="87" t="s">
        <v>312</v>
      </c>
      <c r="D132" s="87" t="s">
        <v>445</v>
      </c>
      <c r="E132" s="87" t="s">
        <v>446</v>
      </c>
      <c r="F132" s="87" t="s">
        <v>447</v>
      </c>
      <c r="G132" s="87">
        <v>16</v>
      </c>
      <c r="H132" s="62" t="s">
        <v>127</v>
      </c>
      <c r="I132" s="62" t="s">
        <v>226</v>
      </c>
      <c r="J132" s="89" t="s">
        <v>232</v>
      </c>
      <c r="K132" s="64">
        <v>45768</v>
      </c>
      <c r="L132" s="65">
        <v>25000</v>
      </c>
      <c r="M132" s="62" t="s">
        <v>220</v>
      </c>
      <c r="N132" s="62" t="s">
        <v>131</v>
      </c>
      <c r="O132" s="62" t="s">
        <v>233</v>
      </c>
      <c r="P132" s="62" t="s">
        <v>32</v>
      </c>
      <c r="Q132" s="63">
        <v>37158</v>
      </c>
      <c r="R132" s="87" t="s">
        <v>208</v>
      </c>
      <c r="S132" s="62" t="s">
        <v>332</v>
      </c>
      <c r="T132" s="62">
        <v>3223718335</v>
      </c>
      <c r="U132" s="62" t="s">
        <v>448</v>
      </c>
      <c r="V132" s="66" t="str">
        <f>IF(P132=CURSOS!$D$3,"DIPLOMADO EN ATENCION PRE-HOSPITALARIA",IF(P132=CURSOS!$D$4,"ACOMPAÑAMIENTO Y MANEJO DEL DUELO",IF(P132=CURSOS!$D$5,"ATENCION A VICTIMAS DE ATAQUE CON AGENTES QUIMICOS ",IF(P132=CURSOS!$D$6,"PRIMEROS AUXILIOS ",IF(P132=CURSOS!$D$7,"DIPLOMADO DE UNIDAD DE CUIDADOS INTENSIVOS (UCI)",IF(P132=CURSOS!$D$8,"MODELO DE ATENCION PARA EVENTOS EMERGENTES EN SALUD MENTAL (CODIGO VERDE)",IF(P132=CURSOS!$D$9,"HUMANIZACION EN EL SERVICIO DE LA SALUD Y BUENAS PRACTICAS EN PACIENTE ",IF(P132=CURSOS!$D$10,"CLINICA DE HERIDAS ",IF(P132=CURSOS!$D$11,"TOMA DE CITOLOGIA CERVICO VAGINAL ",IF(P132=CURSOS!$D$12,"SOPORTE CARDIOVASCULAR AVANZADO (ACLS) ",IF(P132=CURSOS!$D$13,"CAMILLERO ",IF(P132=CURSOS!$D$14,"TOMA DE MUESTRAS Y LABORATORIO ",IF(P132=CURSOS!$D$15,"SOPORTE VITAL BASICO (BLS)",IF(P132=CURSOS!$D$16,"ATENCION A VICTIMAS DE VIOLENCIA SEXUAL ",IF(P132=CURSOS!$D$17,"PROGRAMADO AMPLIADO DE INMUNIZACION (PAI - COVID 19)",IF(P132=CURSOS!$D$18,"ATENCION INTEGRAL EN ENFERMEDADES PREVALENTES EN PRIMERA INFANCIA (AIEPI)",IF(P132=CURSOS!$D$19,"ADMINISTRACION DE MEDICAMENTOS, INYECTOLOGIA  Y CANALIZACION ",IF(P132=CURSOS!$D$20,"OPERADOR DE VEHICULOS DE EMERGENCIA (OVE)",IF(P132=CURSOS!$D$21,"INSTITUCIONES AMIGAS DE LA MUJER Y LA INFANCIA (IAMI)",IF(P132=CURSOS!$D$22,"CUIDADO DEL DONANTE DE ORGANOS",IF(P132=CURSOS!$D$23,"ATENCION A VICTIMAS POR VIOLENCIA DE GENERO",IF(P132=CURSOS!$D$24,"IGUALDAD DE GENERO EN LA SALUD",IF(P132=CURSOS!$D$25,"BRIGADA DE EMERGENCIA",IF(P132=CURSOS!$D$26,"MANEJO DEL DOLOR Y CUIDADOS PALIATIVOS",IF(P132=CURSOS!$D$27,"TOMA DE MUESTRAS Y LABORATORIO POCT",IF(P132=CURSOS!$D$28,"IMPLANTE SUBDERMICO DE DISPOSITIVO INTRAUTERINO",IF(P132=CURSOS!$D$29,"SALUD MENTAL",IF(P132=CURSOS!$D$30,"PRIMEROS AUXILIOS PSICOLOGICOS",IF(P132=CURSOS!$D$31,"ATENCION A VICTIMAS POR CONFLICTO ARMADO",IF(P132=CURSOS!$D$32,"MANIPULACION DE ALIMENTOS Y BPM",IF(P132=CURSOS!$D$33,"ATENCION A PERSONAS CON DISCAPACIDAD",IF(P132=CURSOS!$D$34,"CUIDADO INTEGRAL DEL PACIENTE ADULTO",IF(P132=CURSOS!$D$35,"MANEJO DEFENSIVO",IF(P132=CURSOS!$D$36,"SOPORTE CARDIOVASCULAR AVANZADO NEONATAL",IF(P132=CURSOS!$D$37,"SEGURIDAD DEL PACIENTE",IF(P132=CURSOS!$D$38,"MANEJO DE RESIDUOS HOSPITALARIOS"))))))))))))))))))))))))))))))))))))</f>
        <v xml:space="preserve">HUMANIZACION EN EL SERVICIO DE LA SALUD Y BUENAS PRACTICAS EN PACIENTE </v>
      </c>
      <c r="W132" s="66" t="str">
        <f t="shared" si="8"/>
        <v>Nayely Katerine Rodriguez Oviedo</v>
      </c>
      <c r="X132" s="66" t="str">
        <f t="shared" si="9"/>
        <v>Nayely Katerine Rodriguez Oviedo</v>
      </c>
      <c r="Y132" s="66" t="str">
        <f t="shared" si="10"/>
        <v>Nayely Katerine Rodriguez Oviedo-1004623864-HUMANIZACION</v>
      </c>
    </row>
    <row r="133" spans="1:25" s="60" customFormat="1" x14ac:dyDescent="0.2">
      <c r="A133" s="61">
        <v>132</v>
      </c>
      <c r="B133" s="62">
        <v>1004623864</v>
      </c>
      <c r="C133" s="87" t="s">
        <v>312</v>
      </c>
      <c r="D133" s="87" t="s">
        <v>445</v>
      </c>
      <c r="E133" s="87" t="s">
        <v>446</v>
      </c>
      <c r="F133" s="87" t="s">
        <v>447</v>
      </c>
      <c r="G133" s="87">
        <v>15</v>
      </c>
      <c r="H133" s="62" t="s">
        <v>127</v>
      </c>
      <c r="I133" s="62" t="s">
        <v>226</v>
      </c>
      <c r="J133" s="89" t="s">
        <v>232</v>
      </c>
      <c r="K133" s="64">
        <v>45768</v>
      </c>
      <c r="L133" s="65">
        <v>25000</v>
      </c>
      <c r="M133" s="62" t="s">
        <v>220</v>
      </c>
      <c r="N133" s="62" t="s">
        <v>131</v>
      </c>
      <c r="O133" s="62" t="s">
        <v>233</v>
      </c>
      <c r="P133" s="62" t="s">
        <v>42</v>
      </c>
      <c r="Q133" s="63">
        <v>37158</v>
      </c>
      <c r="R133" s="87" t="s">
        <v>208</v>
      </c>
      <c r="S133" s="62" t="s">
        <v>332</v>
      </c>
      <c r="T133" s="62">
        <v>3223718335</v>
      </c>
      <c r="U133" s="62" t="s">
        <v>448</v>
      </c>
      <c r="V133" s="66" t="str">
        <f>IF(P133=CURSOS!$D$3,"DIPLOMADO EN ATENCION PRE-HOSPITALARIA",IF(P133=CURSOS!$D$4,"ACOMPAÑAMIENTO Y MANEJO DEL DUELO",IF(P133=CURSOS!$D$5,"ATENCION A VICTIMAS DE ATAQUE CON AGENTES QUIMICOS ",IF(P133=CURSOS!$D$6,"PRIMEROS AUXILIOS ",IF(P133=CURSOS!$D$7,"DIPLOMADO DE UNIDAD DE CUIDADOS INTENSIVOS (UCI)",IF(P133=CURSOS!$D$8,"MODELO DE ATENCION PARA EVENTOS EMERGENTES EN SALUD MENTAL (CODIGO VERDE)",IF(P133=CURSOS!$D$9,"HUMANIZACION EN EL SERVICIO DE LA SALUD Y BUENAS PRACTICAS EN PACIENTE ",IF(P133=CURSOS!$D$10,"CLINICA DE HERIDAS ",IF(P133=CURSOS!$D$11,"TOMA DE CITOLOGIA CERVICO VAGINAL ",IF(P133=CURSOS!$D$12,"SOPORTE CARDIOVASCULAR AVANZADO (ACLS) ",IF(P133=CURSOS!$D$13,"CAMILLERO ",IF(P133=CURSOS!$D$14,"TOMA DE MUESTRAS Y LABORATORIO ",IF(P133=CURSOS!$D$15,"SOPORTE VITAL BASICO (BLS)",IF(P133=CURSOS!$D$16,"ATENCION A VICTIMAS DE VIOLENCIA SEXUAL ",IF(P133=CURSOS!$D$17,"PROGRAMADO AMPLIADO DE INMUNIZACION (PAI - COVID 19)",IF(P133=CURSOS!$D$18,"ATENCION INTEGRAL EN ENFERMEDADES PREVALENTES EN PRIMERA INFANCIA (AIEPI)",IF(P133=CURSOS!$D$19,"ADMINISTRACION DE MEDICAMENTOS, INYECTOLOGIA  Y CANALIZACION ",IF(P133=CURSOS!$D$20,"OPERADOR DE VEHICULOS DE EMERGENCIA (OVE)",IF(P133=CURSOS!$D$21,"INSTITUCIONES AMIGAS DE LA MUJER Y LA INFANCIA (IAMI)",IF(P133=CURSOS!$D$22,"CUIDADO DEL DONANTE DE ORGANOS",IF(P133=CURSOS!$D$23,"ATENCION A VICTIMAS POR VIOLENCIA DE GENERO",IF(P133=CURSOS!$D$24,"IGUALDAD DE GENERO EN LA SALUD",IF(P133=CURSOS!$D$25,"BRIGADA DE EMERGENCIA",IF(P133=CURSOS!$D$26,"MANEJO DEL DOLOR Y CUIDADOS PALIATIVOS",IF(P133=CURSOS!$D$27,"TOMA DE MUESTRAS Y LABORATORIO POCT",IF(P133=CURSOS!$D$28,"IMPLANTE SUBDERMICO DE DISPOSITIVO INTRAUTERINO",IF(P133=CURSOS!$D$29,"SALUD MENTAL",IF(P133=CURSOS!$D$30,"PRIMEROS AUXILIOS PSICOLOGICOS",IF(P133=CURSOS!$D$31,"ATENCION A VICTIMAS POR CONFLICTO ARMADO",IF(P133=CURSOS!$D$32,"MANIPULACION DE ALIMENTOS Y BPM",IF(P133=CURSOS!$D$33,"ATENCION A PERSONAS CON DISCAPACIDAD",IF(P133=CURSOS!$D$34,"CUIDADO INTEGRAL DEL PACIENTE ADULTO",IF(P133=CURSOS!$D$35,"MANEJO DEFENSIVO",IF(P133=CURSOS!$D$36,"SOPORTE CARDIOVASCULAR AVANZADO NEONATAL",IF(P133=CURSOS!$D$37,"SEGURIDAD DEL PACIENTE",IF(P133=CURSOS!$D$38,"MANEJO DE RESIDUOS HOSPITALARIOS"))))))))))))))))))))))))))))))))))))</f>
        <v xml:space="preserve">ATENCION A VICTIMAS DE VIOLENCIA SEXUAL </v>
      </c>
      <c r="W133" s="66" t="str">
        <f t="shared" si="8"/>
        <v>Nayely Katerine Rodriguez Oviedo</v>
      </c>
      <c r="X133" s="66" t="str">
        <f t="shared" si="9"/>
        <v>Nayely Katerine Rodriguez Oviedo</v>
      </c>
      <c r="Y133" s="66" t="str">
        <f t="shared" si="10"/>
        <v>Nayely Katerine Rodriguez Oviedo-1004623864-VIOLENCIA SEXUAL</v>
      </c>
    </row>
    <row r="134" spans="1:25" s="60" customFormat="1" x14ac:dyDescent="0.2">
      <c r="A134" s="61">
        <v>133</v>
      </c>
      <c r="B134" s="62">
        <v>1004623864</v>
      </c>
      <c r="C134" s="87" t="s">
        <v>312</v>
      </c>
      <c r="D134" s="87" t="s">
        <v>445</v>
      </c>
      <c r="E134" s="87" t="s">
        <v>446</v>
      </c>
      <c r="F134" s="87" t="s">
        <v>447</v>
      </c>
      <c r="G134" s="87">
        <v>21</v>
      </c>
      <c r="H134" s="62" t="s">
        <v>127</v>
      </c>
      <c r="I134" s="62" t="s">
        <v>226</v>
      </c>
      <c r="J134" s="89" t="s">
        <v>232</v>
      </c>
      <c r="K134" s="64">
        <v>45768</v>
      </c>
      <c r="L134" s="65">
        <v>25000</v>
      </c>
      <c r="M134" s="62" t="s">
        <v>220</v>
      </c>
      <c r="N134" s="62" t="s">
        <v>131</v>
      </c>
      <c r="O134" s="62" t="s">
        <v>233</v>
      </c>
      <c r="P134" s="62" t="s">
        <v>23</v>
      </c>
      <c r="Q134" s="63">
        <v>37158</v>
      </c>
      <c r="R134" s="87" t="s">
        <v>208</v>
      </c>
      <c r="S134" s="62" t="s">
        <v>332</v>
      </c>
      <c r="T134" s="62">
        <v>3223718335</v>
      </c>
      <c r="U134" s="62" t="s">
        <v>448</v>
      </c>
      <c r="V134" s="66" t="str">
        <f>IF(P134=CURSOS!$D$3,"DIPLOMADO EN ATENCION PRE-HOSPITALARIA",IF(P134=CURSOS!$D$4,"ACOMPAÑAMIENTO Y MANEJO DEL DUELO",IF(P134=CURSOS!$D$5,"ATENCION A VICTIMAS DE ATAQUE CON AGENTES QUIMICOS ",IF(P134=CURSOS!$D$6,"PRIMEROS AUXILIOS ",IF(P134=CURSOS!$D$7,"DIPLOMADO DE UNIDAD DE CUIDADOS INTENSIVOS (UCI)",IF(P134=CURSOS!$D$8,"MODELO DE ATENCION PARA EVENTOS EMERGENTES EN SALUD MENTAL (CODIGO VERDE)",IF(P134=CURSOS!$D$9,"HUMANIZACION EN EL SERVICIO DE LA SALUD Y BUENAS PRACTICAS EN PACIENTE ",IF(P134=CURSOS!$D$10,"CLINICA DE HERIDAS ",IF(P134=CURSOS!$D$11,"TOMA DE CITOLOGIA CERVICO VAGINAL ",IF(P134=CURSOS!$D$12,"SOPORTE CARDIOVASCULAR AVANZADO (ACLS) ",IF(P134=CURSOS!$D$13,"CAMILLERO ",IF(P134=CURSOS!$D$14,"TOMA DE MUESTRAS Y LABORATORIO ",IF(P134=CURSOS!$D$15,"SOPORTE VITAL BASICO (BLS)",IF(P134=CURSOS!$D$16,"ATENCION A VICTIMAS DE VIOLENCIA SEXUAL ",IF(P134=CURSOS!$D$17,"PROGRAMADO AMPLIADO DE INMUNIZACION (PAI - COVID 19)",IF(P134=CURSOS!$D$18,"ATENCION INTEGRAL EN ENFERMEDADES PREVALENTES EN PRIMERA INFANCIA (AIEPI)",IF(P134=CURSOS!$D$19,"ADMINISTRACION DE MEDICAMENTOS, INYECTOLOGIA  Y CANALIZACION ",IF(P134=CURSOS!$D$20,"OPERADOR DE VEHICULOS DE EMERGENCIA (OVE)",IF(P134=CURSOS!$D$21,"INSTITUCIONES AMIGAS DE LA MUJER Y LA INFANCIA (IAMI)",IF(P134=CURSOS!$D$22,"CUIDADO DEL DONANTE DE ORGANOS",IF(P134=CURSOS!$D$23,"ATENCION A VICTIMAS POR VIOLENCIA DE GENERO",IF(P134=CURSOS!$D$24,"IGUALDAD DE GENERO EN LA SALUD",IF(P134=CURSOS!$D$25,"BRIGADA DE EMERGENCIA",IF(P134=CURSOS!$D$26,"MANEJO DEL DOLOR Y CUIDADOS PALIATIVOS",IF(P134=CURSOS!$D$27,"TOMA DE MUESTRAS Y LABORATORIO POCT",IF(P134=CURSOS!$D$28,"IMPLANTE SUBDERMICO DE DISPOSITIVO INTRAUTERINO",IF(P134=CURSOS!$D$29,"SALUD MENTAL",IF(P134=CURSOS!$D$30,"PRIMEROS AUXILIOS PSICOLOGICOS",IF(P134=CURSOS!$D$31,"ATENCION A VICTIMAS POR CONFLICTO ARMADO",IF(P134=CURSOS!$D$32,"MANIPULACION DE ALIMENTOS Y BPM",IF(P134=CURSOS!$D$33,"ATENCION A PERSONAS CON DISCAPACIDAD",IF(P134=CURSOS!$D$34,"CUIDADO INTEGRAL DEL PACIENTE ADULTO",IF(P134=CURSOS!$D$35,"MANEJO DEFENSIVO",IF(P134=CURSOS!$D$36,"SOPORTE CARDIOVASCULAR AVANZADO NEONATAL",IF(P134=CURSOS!$D$37,"SEGURIDAD DEL PACIENTE",IF(P134=CURSOS!$D$38,"MANEJO DE RESIDUOS HOSPITALARIOS"))))))))))))))))))))))))))))))))))))</f>
        <v>ACOMPAÑAMIENTO Y MANEJO DEL DUELO</v>
      </c>
      <c r="W134" s="66" t="str">
        <f t="shared" si="8"/>
        <v>Nayely Katerine Rodriguez Oviedo</v>
      </c>
      <c r="X134" s="66" t="str">
        <f t="shared" si="9"/>
        <v>Nayely Katerine Rodriguez Oviedo</v>
      </c>
      <c r="Y134" s="66" t="str">
        <f t="shared" si="10"/>
        <v>Nayely Katerine Rodriguez Oviedo-1004623864-DUELO</v>
      </c>
    </row>
    <row r="135" spans="1:25" s="60" customFormat="1" x14ac:dyDescent="0.2">
      <c r="A135" s="61">
        <v>134</v>
      </c>
      <c r="B135" s="62">
        <v>59395290</v>
      </c>
      <c r="C135" s="62" t="s">
        <v>460</v>
      </c>
      <c r="D135" s="62" t="s">
        <v>269</v>
      </c>
      <c r="E135" s="87" t="s">
        <v>461</v>
      </c>
      <c r="F135" s="62" t="s">
        <v>225</v>
      </c>
      <c r="G135" s="62">
        <v>21</v>
      </c>
      <c r="H135" s="62" t="s">
        <v>127</v>
      </c>
      <c r="I135" s="62" t="s">
        <v>226</v>
      </c>
      <c r="J135" s="89" t="s">
        <v>232</v>
      </c>
      <c r="K135" s="64">
        <v>45768</v>
      </c>
      <c r="L135" s="65">
        <v>25000</v>
      </c>
      <c r="M135" s="62" t="s">
        <v>220</v>
      </c>
      <c r="N135" s="62" t="s">
        <v>131</v>
      </c>
      <c r="O135" s="62" t="s">
        <v>233</v>
      </c>
      <c r="P135" s="62" t="s">
        <v>23</v>
      </c>
      <c r="Q135" s="63">
        <v>29620</v>
      </c>
      <c r="R135" s="62" t="s">
        <v>208</v>
      </c>
      <c r="S135" s="82" t="s">
        <v>332</v>
      </c>
      <c r="T135" s="62">
        <v>3207986608</v>
      </c>
      <c r="U135" s="62" t="s">
        <v>462</v>
      </c>
      <c r="V135" s="66" t="str">
        <f>IF(P135=CURSOS!$D$3,"DIPLOMADO EN ATENCION PRE-HOSPITALARIA",IF(P135=CURSOS!$D$4,"ACOMPAÑAMIENTO Y MANEJO DEL DUELO",IF(P135=CURSOS!$D$5,"ATENCION A VICTIMAS DE ATAQUE CON AGENTES QUIMICOS ",IF(P135=CURSOS!$D$6,"PRIMEROS AUXILIOS ",IF(P135=CURSOS!$D$7,"DIPLOMADO DE UNIDAD DE CUIDADOS INTENSIVOS (UCI)",IF(P135=CURSOS!$D$8,"MODELO DE ATENCION PARA EVENTOS EMERGENTES EN SALUD MENTAL (CODIGO VERDE)",IF(P135=CURSOS!$D$9,"HUMANIZACION EN EL SERVICIO DE LA SALUD Y BUENAS PRACTICAS EN PACIENTE ",IF(P135=CURSOS!$D$10,"CLINICA DE HERIDAS ",IF(P135=CURSOS!$D$11,"TOMA DE CITOLOGIA CERVICO VAGINAL ",IF(P135=CURSOS!$D$12,"SOPORTE CARDIOVASCULAR AVANZADO (ACLS) ",IF(P135=CURSOS!$D$13,"CAMILLERO ",IF(P135=CURSOS!$D$14,"TOMA DE MUESTRAS Y LABORATORIO ",IF(P135=CURSOS!$D$15,"SOPORTE VITAL BASICO (BLS)",IF(P135=CURSOS!$D$16,"ATENCION A VICTIMAS DE VIOLENCIA SEXUAL ",IF(P135=CURSOS!$D$17,"PROGRAMADO AMPLIADO DE INMUNIZACION (PAI - COVID 19)",IF(P135=CURSOS!$D$18,"ATENCION INTEGRAL EN ENFERMEDADES PREVALENTES EN PRIMERA INFANCIA (AIEPI)",IF(P135=CURSOS!$D$19,"ADMINISTRACION DE MEDICAMENTOS, INYECTOLOGIA  Y CANALIZACION ",IF(P135=CURSOS!$D$20,"OPERADOR DE VEHICULOS DE EMERGENCIA (OVE)",IF(P135=CURSOS!$D$21,"INSTITUCIONES AMIGAS DE LA MUJER Y LA INFANCIA (IAMI)",IF(P135=CURSOS!$D$22,"CUIDADO DEL DONANTE DE ORGANOS",IF(P135=CURSOS!$D$23,"ATENCION A VICTIMAS POR VIOLENCIA DE GENERO",IF(P135=CURSOS!$D$24,"IGUALDAD DE GENERO EN LA SALUD",IF(P135=CURSOS!$D$25,"BRIGADA DE EMERGENCIA",IF(P135=CURSOS!$D$26,"MANEJO DEL DOLOR Y CUIDADOS PALIATIVOS",IF(P135=CURSOS!$D$27,"TOMA DE MUESTRAS Y LABORATORIO POCT",IF(P135=CURSOS!$D$28,"IMPLANTE SUBDERMICO DE DISPOSITIVO INTRAUTERINO",IF(P135=CURSOS!$D$29,"SALUD MENTAL",IF(P135=CURSOS!$D$30,"PRIMEROS AUXILIOS PSICOLOGICOS",IF(P135=CURSOS!$D$31,"ATENCION A VICTIMAS POR CONFLICTO ARMADO",IF(P135=CURSOS!$D$32,"MANIPULACION DE ALIMENTOS Y BPM",IF(P135=CURSOS!$D$33,"ATENCION A PERSONAS CON DISCAPACIDAD",IF(P135=CURSOS!$D$34,"CUIDADO INTEGRAL DEL PACIENTE ADULTO",IF(P135=CURSOS!$D$35,"MANEJO DEFENSIVO",IF(P135=CURSOS!$D$36,"SOPORTE CARDIOVASCULAR AVANZADO NEONATAL",IF(P135=CURSOS!$D$37,"SEGURIDAD DEL PACIENTE",IF(P135=CURSOS!$D$38,"MANEJO DE RESIDUOS HOSPITALARIOS"))))))))))))))))))))))))))))))))))))</f>
        <v>ACOMPAÑAMIENTO Y MANEJO DEL DUELO</v>
      </c>
      <c r="W135" s="66" t="str">
        <f t="shared" si="8"/>
        <v>Rocio Alejandra Martinez Cordoba</v>
      </c>
      <c r="X135" s="66" t="str">
        <f t="shared" si="9"/>
        <v>Rocio Alejandra Martinez Cordoba</v>
      </c>
      <c r="Y135" s="66" t="str">
        <f t="shared" si="10"/>
        <v>Rocio Alejandra Martinez Cordoba-59395290-DUELO</v>
      </c>
    </row>
    <row r="136" spans="1:25" s="60" customFormat="1" x14ac:dyDescent="0.2">
      <c r="A136" s="61">
        <v>135</v>
      </c>
      <c r="B136" s="62">
        <v>1085338506</v>
      </c>
      <c r="C136" s="87" t="s">
        <v>216</v>
      </c>
      <c r="D136" s="87" t="s">
        <v>463</v>
      </c>
      <c r="E136" s="87" t="s">
        <v>464</v>
      </c>
      <c r="F136" s="87" t="s">
        <v>186</v>
      </c>
      <c r="G136" s="87">
        <v>22</v>
      </c>
      <c r="H136" s="62" t="s">
        <v>127</v>
      </c>
      <c r="I136" s="62" t="s">
        <v>226</v>
      </c>
      <c r="J136" s="89" t="s">
        <v>227</v>
      </c>
      <c r="K136" s="64">
        <v>45769</v>
      </c>
      <c r="L136" s="65">
        <v>40000</v>
      </c>
      <c r="M136" s="62" t="s">
        <v>220</v>
      </c>
      <c r="N136" s="62" t="s">
        <v>131</v>
      </c>
      <c r="O136" s="62" t="s">
        <v>227</v>
      </c>
      <c r="P136" s="62" t="s">
        <v>59</v>
      </c>
      <c r="Q136" s="63">
        <v>35812</v>
      </c>
      <c r="R136" s="87" t="s">
        <v>209</v>
      </c>
      <c r="S136" s="62" t="s">
        <v>332</v>
      </c>
      <c r="T136" s="62">
        <v>3112292452</v>
      </c>
      <c r="U136" s="82" t="s">
        <v>465</v>
      </c>
      <c r="V136" s="66" t="str">
        <f>IF(P136=CURSOS!$D$3,"DIPLOMADO EN ATENCION PRE-HOSPITALARIA",IF(P136=CURSOS!$D$4,"ACOMPAÑAMIENTO Y MANEJO DEL DUELO",IF(P136=CURSOS!$D$5,"ATENCION A VICTIMAS DE ATAQUE CON AGENTES QUIMICOS ",IF(P136=CURSOS!$D$6,"PRIMEROS AUXILIOS ",IF(P136=CURSOS!$D$7,"DIPLOMADO DE UNIDAD DE CUIDADOS INTENSIVOS (UCI)",IF(P136=CURSOS!$D$8,"MODELO DE ATENCION PARA EVENTOS EMERGENTES EN SALUD MENTAL (CODIGO VERDE)",IF(P136=CURSOS!$D$9,"HUMANIZACION EN EL SERVICIO DE LA SALUD Y BUENAS PRACTICAS EN PACIENTE ",IF(P136=CURSOS!$D$10,"CLINICA DE HERIDAS ",IF(P136=CURSOS!$D$11,"TOMA DE CITOLOGIA CERVICO VAGINAL ",IF(P136=CURSOS!$D$12,"SOPORTE CARDIOVASCULAR AVANZADO (ACLS) ",IF(P136=CURSOS!$D$13,"CAMILLERO ",IF(P136=CURSOS!$D$14,"TOMA DE MUESTRAS Y LABORATORIO ",IF(P136=CURSOS!$D$15,"SOPORTE VITAL BASICO (BLS)",IF(P136=CURSOS!$D$16,"ATENCION A VICTIMAS DE VIOLENCIA SEXUAL ",IF(P136=CURSOS!$D$17,"PROGRAMADO AMPLIADO DE INMUNIZACION (PAI - COVID 19)",IF(P136=CURSOS!$D$18,"ATENCION INTEGRAL EN ENFERMEDADES PREVALENTES EN PRIMERA INFANCIA (AIEPI)",IF(P136=CURSOS!$D$19,"ADMINISTRACION DE MEDICAMENTOS, INYECTOLOGIA  Y CANALIZACION ",IF(P136=CURSOS!$D$20,"OPERADOR DE VEHICULOS DE EMERGENCIA (OVE)",IF(P136=CURSOS!$D$21,"INSTITUCIONES AMIGAS DE LA MUJER Y LA INFANCIA (IAMI)",IF(P136=CURSOS!$D$22,"CUIDADO DEL DONANTE DE ORGANOS",IF(P136=CURSOS!$D$23,"ATENCION A VICTIMAS POR VIOLENCIA DE GENERO",IF(P136=CURSOS!$D$24,"IGUALDAD DE GENERO EN LA SALUD",IF(P136=CURSOS!$D$25,"BRIGADA DE EMERGENCIA",IF(P136=CURSOS!$D$26,"MANEJO DEL DOLOR Y CUIDADOS PALIATIVOS",IF(P136=CURSOS!$D$27,"TOMA DE MUESTRAS Y LABORATORIO POCT",IF(P136=CURSOS!$D$28,"IMPLANTE SUBDERMICO DE DISPOSITIVO INTRAUTERINO",IF(P136=CURSOS!$D$29,"SALUD MENTAL",IF(P136=CURSOS!$D$30,"PRIMEROS AUXILIOS PSICOLOGICOS",IF(P136=CURSOS!$D$31,"ATENCION A VICTIMAS POR CONFLICTO ARMADO",IF(P136=CURSOS!$D$32,"MANIPULACION DE ALIMENTOS Y BPM",IF(P136=CURSOS!$D$33,"ATENCION A PERSONAS CON DISCAPACIDAD",IF(P136=CURSOS!$D$34,"CUIDADO INTEGRAL DEL PACIENTE ADULTO",IF(P136=CURSOS!$D$35,"MANEJO DEFENSIVO",IF(P136=CURSOS!$D$36,"SOPORTE CARDIOVASCULAR AVANZADO NEONATAL",IF(P136=CURSOS!$D$37,"SEGURIDAD DEL PACIENTE",IF(P136=CURSOS!$D$38,"MANEJO DE RESIDUOS HOSPITALARIOS"))))))))))))))))))))))))))))))))))))</f>
        <v>TOMA DE MUESTRAS Y LABORATORIO POCT</v>
      </c>
      <c r="W136" s="66" t="str">
        <f t="shared" si="8"/>
        <v>Camilo Andres Rosero Cruz</v>
      </c>
      <c r="X136" s="66" t="str">
        <f t="shared" si="9"/>
        <v>Camilo Andres Rosero Cruz</v>
      </c>
      <c r="Y136" s="66" t="str">
        <f t="shared" si="10"/>
        <v>Camilo Andres Rosero Cruz-1085338506-POCT</v>
      </c>
    </row>
    <row r="137" spans="1:25" s="60" customFormat="1" x14ac:dyDescent="0.2">
      <c r="A137" s="61">
        <v>136</v>
      </c>
      <c r="B137" s="62">
        <v>12748470</v>
      </c>
      <c r="C137" s="62" t="s">
        <v>466</v>
      </c>
      <c r="D137" s="62" t="s">
        <v>292</v>
      </c>
      <c r="E137" s="62" t="s">
        <v>167</v>
      </c>
      <c r="F137" s="62" t="s">
        <v>464</v>
      </c>
      <c r="G137" s="62">
        <v>23</v>
      </c>
      <c r="H137" s="62" t="s">
        <v>127</v>
      </c>
      <c r="I137" s="62" t="s">
        <v>226</v>
      </c>
      <c r="J137" s="89" t="s">
        <v>334</v>
      </c>
      <c r="K137" s="64">
        <v>45770</v>
      </c>
      <c r="L137" s="83">
        <v>40000</v>
      </c>
      <c r="M137" s="62" t="s">
        <v>220</v>
      </c>
      <c r="N137" s="62" t="s">
        <v>131</v>
      </c>
      <c r="O137" s="62" t="s">
        <v>257</v>
      </c>
      <c r="P137" s="62" t="s">
        <v>32</v>
      </c>
      <c r="Q137" s="63">
        <v>29236</v>
      </c>
      <c r="R137" s="62" t="s">
        <v>209</v>
      </c>
      <c r="S137" s="96" t="s">
        <v>467</v>
      </c>
      <c r="T137" s="62">
        <v>3152391350</v>
      </c>
      <c r="U137" s="82" t="s">
        <v>468</v>
      </c>
      <c r="V137" s="66" t="str">
        <f>IF(P137=CURSOS!$D$3,"DIPLOMADO EN ATENCION PRE-HOSPITALARIA",IF(P137=CURSOS!$D$4,"ACOMPAÑAMIENTO Y MANEJO DEL DUELO",IF(P137=CURSOS!$D$5,"ATENCION A VICTIMAS DE ATAQUE CON AGENTES QUIMICOS ",IF(P137=CURSOS!$D$6,"PRIMEROS AUXILIOS ",IF(P137=CURSOS!$D$7,"DIPLOMADO DE UNIDAD DE CUIDADOS INTENSIVOS (UCI)",IF(P137=CURSOS!$D$8,"MODELO DE ATENCION PARA EVENTOS EMERGENTES EN SALUD MENTAL (CODIGO VERDE)",IF(P137=CURSOS!$D$9,"HUMANIZACION EN EL SERVICIO DE LA SALUD Y BUENAS PRACTICAS EN PACIENTE ",IF(P137=CURSOS!$D$10,"CLINICA DE HERIDAS ",IF(P137=CURSOS!$D$11,"TOMA DE CITOLOGIA CERVICO VAGINAL ",IF(P137=CURSOS!$D$12,"SOPORTE CARDIOVASCULAR AVANZADO (ACLS) ",IF(P137=CURSOS!$D$13,"CAMILLERO ",IF(P137=CURSOS!$D$14,"TOMA DE MUESTRAS Y LABORATORIO ",IF(P137=CURSOS!$D$15,"SOPORTE VITAL BASICO (BLS)",IF(P137=CURSOS!$D$16,"ATENCION A VICTIMAS DE VIOLENCIA SEXUAL ",IF(P137=CURSOS!$D$17,"PROGRAMADO AMPLIADO DE INMUNIZACION (PAI - COVID 19)",IF(P137=CURSOS!$D$18,"ATENCION INTEGRAL EN ENFERMEDADES PREVALENTES EN PRIMERA INFANCIA (AIEPI)",IF(P137=CURSOS!$D$19,"ADMINISTRACION DE MEDICAMENTOS, INYECTOLOGIA  Y CANALIZACION ",IF(P137=CURSOS!$D$20,"OPERADOR DE VEHICULOS DE EMERGENCIA (OVE)",IF(P137=CURSOS!$D$21,"INSTITUCIONES AMIGAS DE LA MUJER Y LA INFANCIA (IAMI)",IF(P137=CURSOS!$D$22,"CUIDADO DEL DONANTE DE ORGANOS",IF(P137=CURSOS!$D$23,"ATENCION A VICTIMAS POR VIOLENCIA DE GENERO",IF(P137=CURSOS!$D$24,"IGUALDAD DE GENERO EN LA SALUD",IF(P137=CURSOS!$D$25,"BRIGADA DE EMERGENCIA",IF(P137=CURSOS!$D$26,"MANEJO DEL DOLOR Y CUIDADOS PALIATIVOS",IF(P137=CURSOS!$D$27,"TOMA DE MUESTRAS Y LABORATORIO POCT",IF(P137=CURSOS!$D$28,"IMPLANTE SUBDERMICO DE DISPOSITIVO INTRAUTERINO",IF(P137=CURSOS!$D$29,"SALUD MENTAL",IF(P137=CURSOS!$D$30,"PRIMEROS AUXILIOS PSICOLOGICOS",IF(P137=CURSOS!$D$31,"ATENCION A VICTIMAS POR CONFLICTO ARMADO",IF(P137=CURSOS!$D$32,"MANIPULACION DE ALIMENTOS Y BPM",IF(P137=CURSOS!$D$33,"ATENCION A PERSONAS CON DISCAPACIDAD",IF(P137=CURSOS!$D$34,"CUIDADO INTEGRAL DEL PACIENTE ADULTO",IF(P137=CURSOS!$D$35,"MANEJO DEFENSIVO",IF(P137=CURSOS!$D$36,"SOPORTE CARDIOVASCULAR AVANZADO NEONATAL",IF(P137=CURSOS!$D$37,"SEGURIDAD DEL PACIENTE",IF(P137=CURSOS!$D$38,"MANEJO DE RESIDUOS HOSPITALARIOS"))))))))))))))))))))))))))))))))))))</f>
        <v xml:space="preserve">HUMANIZACION EN EL SERVICIO DE LA SALUD Y BUENAS PRACTICAS EN PACIENTE </v>
      </c>
      <c r="W137" s="66" t="str">
        <f t="shared" si="8"/>
        <v>Carlos Camilo Gomez Enriquez</v>
      </c>
      <c r="X137" s="66" t="str">
        <f t="shared" si="9"/>
        <v>Carlos Camilo Gomez Enriquez</v>
      </c>
      <c r="Y137" s="66" t="str">
        <f t="shared" si="10"/>
        <v>Carlos Camilo Gomez Enriquez-12748470-HUMANIZACION</v>
      </c>
    </row>
    <row r="138" spans="1:25" s="60" customFormat="1" x14ac:dyDescent="0.2">
      <c r="A138" s="61">
        <v>137</v>
      </c>
      <c r="B138" s="62">
        <v>1085321536</v>
      </c>
      <c r="C138" s="62" t="s">
        <v>370</v>
      </c>
      <c r="D138" s="62" t="s">
        <v>370</v>
      </c>
      <c r="E138" s="87" t="s">
        <v>355</v>
      </c>
      <c r="F138" s="62" t="s">
        <v>248</v>
      </c>
      <c r="G138" s="62">
        <v>22</v>
      </c>
      <c r="H138" s="62" t="s">
        <v>127</v>
      </c>
      <c r="I138" s="62" t="s">
        <v>128</v>
      </c>
      <c r="J138" s="89" t="s">
        <v>334</v>
      </c>
      <c r="K138" s="64">
        <v>45770</v>
      </c>
      <c r="L138" s="65">
        <v>70000</v>
      </c>
      <c r="M138" s="62" t="s">
        <v>266</v>
      </c>
      <c r="N138" s="62" t="s">
        <v>131</v>
      </c>
      <c r="O138" s="62" t="s">
        <v>257</v>
      </c>
      <c r="P138" s="62" t="s">
        <v>25</v>
      </c>
      <c r="Q138" s="63">
        <v>34782</v>
      </c>
      <c r="R138" s="62" t="s">
        <v>208</v>
      </c>
      <c r="S138" s="97" t="s">
        <v>337</v>
      </c>
      <c r="T138" s="62">
        <v>3182809835</v>
      </c>
      <c r="U138" s="62" t="s">
        <v>469</v>
      </c>
      <c r="V138" s="66" t="str">
        <f>IF(P138=CURSOS!$D$3,"DIPLOMADO EN ATENCION PRE-HOSPITALARIA",IF(P138=CURSOS!$D$4,"ACOMPAÑAMIENTO Y MANEJO DEL DUELO",IF(P138=CURSOS!$D$5,"ATENCION A VICTIMAS DE ATAQUE CON AGENTES QUIMICOS ",IF(P138=CURSOS!$D$6,"PRIMEROS AUXILIOS ",IF(P138=CURSOS!$D$7,"DIPLOMADO DE UNIDAD DE CUIDADOS INTENSIVOS (UCI)",IF(P138=CURSOS!$D$8,"MODELO DE ATENCION PARA EVENTOS EMERGENTES EN SALUD MENTAL (CODIGO VERDE)",IF(P138=CURSOS!$D$9,"HUMANIZACION EN EL SERVICIO DE LA SALUD Y BUENAS PRACTICAS EN PACIENTE ",IF(P138=CURSOS!$D$10,"CLINICA DE HERIDAS ",IF(P138=CURSOS!$D$11,"TOMA DE CITOLOGIA CERVICO VAGINAL ",IF(P138=CURSOS!$D$12,"SOPORTE CARDIOVASCULAR AVANZADO (ACLS) ",IF(P138=CURSOS!$D$13,"CAMILLERO ",IF(P138=CURSOS!$D$14,"TOMA DE MUESTRAS Y LABORATORIO ",IF(P138=CURSOS!$D$15,"SOPORTE VITAL BASICO (BLS)",IF(P138=CURSOS!$D$16,"ATENCION A VICTIMAS DE VIOLENCIA SEXUAL ",IF(P138=CURSOS!$D$17,"PROGRAMADO AMPLIADO DE INMUNIZACION (PAI - COVID 19)",IF(P138=CURSOS!$D$18,"ATENCION INTEGRAL EN ENFERMEDADES PREVALENTES EN PRIMERA INFANCIA (AIEPI)",IF(P138=CURSOS!$D$19,"ADMINISTRACION DE MEDICAMENTOS, INYECTOLOGIA  Y CANALIZACION ",IF(P138=CURSOS!$D$20,"OPERADOR DE VEHICULOS DE EMERGENCIA (OVE)",IF(P138=CURSOS!$D$21,"INSTITUCIONES AMIGAS DE LA MUJER Y LA INFANCIA (IAMI)",IF(P138=CURSOS!$D$22,"CUIDADO DEL DONANTE DE ORGANOS",IF(P138=CURSOS!$D$23,"ATENCION A VICTIMAS POR VIOLENCIA DE GENERO",IF(P138=CURSOS!$D$24,"IGUALDAD DE GENERO EN LA SALUD",IF(P138=CURSOS!$D$25,"BRIGADA DE EMERGENCIA",IF(P138=CURSOS!$D$26,"MANEJO DEL DOLOR Y CUIDADOS PALIATIVOS",IF(P138=CURSOS!$D$27,"TOMA DE MUESTRAS Y LABORATORIO POCT",IF(P138=CURSOS!$D$28,"IMPLANTE SUBDERMICO DE DISPOSITIVO INTRAUTERINO",IF(P138=CURSOS!$D$29,"SALUD MENTAL",IF(P138=CURSOS!$D$30,"PRIMEROS AUXILIOS PSICOLOGICOS",IF(P138=CURSOS!$D$31,"ATENCION A VICTIMAS POR CONFLICTO ARMADO",IF(P138=CURSOS!$D$32,"MANIPULACION DE ALIMENTOS Y BPM",IF(P138=CURSOS!$D$33,"ATENCION A PERSONAS CON DISCAPACIDAD",IF(P138=CURSOS!$D$34,"CUIDADO INTEGRAL DEL PACIENTE ADULTO",IF(P138=CURSOS!$D$35,"MANEJO DEFENSIVO",IF(P138=CURSOS!$D$36,"SOPORTE CARDIOVASCULAR AVANZADO NEONATAL",IF(P138=CURSOS!$D$37,"SEGURIDAD DEL PACIENTE",IF(P138=CURSOS!$D$38,"MANEJO DE RESIDUOS HOSPITALARIOS"))))))))))))))))))))))))))))))))))))</f>
        <v xml:space="preserve">ATENCION A VICTIMAS DE ATAQUE CON AGENTES QUIMICOS </v>
      </c>
      <c r="W138" s="66" t="str">
        <f t="shared" si="8"/>
        <v>Angie Daniela Burbano Burbano</v>
      </c>
      <c r="X138" s="66" t="str">
        <f t="shared" si="9"/>
        <v>Angie Daniela Burbano Burbano</v>
      </c>
      <c r="Y138" s="66" t="str">
        <f t="shared" si="10"/>
        <v>Angie Daniela Burbano Burbano-1085321536-QUIMICOS</v>
      </c>
    </row>
    <row r="139" spans="1:25" s="60" customFormat="1" x14ac:dyDescent="0.2">
      <c r="A139" s="61">
        <v>138</v>
      </c>
      <c r="B139" s="62">
        <v>1085321536</v>
      </c>
      <c r="C139" s="62" t="s">
        <v>370</v>
      </c>
      <c r="D139" s="62" t="s">
        <v>370</v>
      </c>
      <c r="E139" s="87" t="s">
        <v>355</v>
      </c>
      <c r="F139" s="62" t="s">
        <v>248</v>
      </c>
      <c r="G139" s="62">
        <v>23</v>
      </c>
      <c r="H139" s="62" t="s">
        <v>127</v>
      </c>
      <c r="I139" s="62" t="s">
        <v>128</v>
      </c>
      <c r="J139" s="89" t="s">
        <v>334</v>
      </c>
      <c r="K139" s="64">
        <v>45770</v>
      </c>
      <c r="L139" s="65">
        <v>70000</v>
      </c>
      <c r="M139" s="62" t="s">
        <v>266</v>
      </c>
      <c r="N139" s="62" t="s">
        <v>131</v>
      </c>
      <c r="O139" s="62" t="s">
        <v>257</v>
      </c>
      <c r="P139" s="62" t="s">
        <v>42</v>
      </c>
      <c r="Q139" s="63">
        <v>34782</v>
      </c>
      <c r="R139" s="62" t="s">
        <v>208</v>
      </c>
      <c r="S139" s="97" t="s">
        <v>337</v>
      </c>
      <c r="T139" s="62">
        <v>3182809835</v>
      </c>
      <c r="U139" s="62" t="s">
        <v>469</v>
      </c>
      <c r="V139" s="66" t="str">
        <f>IF(P139=CURSOS!$D$3,"DIPLOMADO EN ATENCION PRE-HOSPITALARIA",IF(P139=CURSOS!$D$4,"ACOMPAÑAMIENTO Y MANEJO DEL DUELO",IF(P139=CURSOS!$D$5,"ATENCION A VICTIMAS DE ATAQUE CON AGENTES QUIMICOS ",IF(P139=CURSOS!$D$6,"PRIMEROS AUXILIOS ",IF(P139=CURSOS!$D$7,"DIPLOMADO DE UNIDAD DE CUIDADOS INTENSIVOS (UCI)",IF(P139=CURSOS!$D$8,"MODELO DE ATENCION PARA EVENTOS EMERGENTES EN SALUD MENTAL (CODIGO VERDE)",IF(P139=CURSOS!$D$9,"HUMANIZACION EN EL SERVICIO DE LA SALUD Y BUENAS PRACTICAS EN PACIENTE ",IF(P139=CURSOS!$D$10,"CLINICA DE HERIDAS ",IF(P139=CURSOS!$D$11,"TOMA DE CITOLOGIA CERVICO VAGINAL ",IF(P139=CURSOS!$D$12,"SOPORTE CARDIOVASCULAR AVANZADO (ACLS) ",IF(P139=CURSOS!$D$13,"CAMILLERO ",IF(P139=CURSOS!$D$14,"TOMA DE MUESTRAS Y LABORATORIO ",IF(P139=CURSOS!$D$15,"SOPORTE VITAL BASICO (BLS)",IF(P139=CURSOS!$D$16,"ATENCION A VICTIMAS DE VIOLENCIA SEXUAL ",IF(P139=CURSOS!$D$17,"PROGRAMADO AMPLIADO DE INMUNIZACION (PAI - COVID 19)",IF(P139=CURSOS!$D$18,"ATENCION INTEGRAL EN ENFERMEDADES PREVALENTES EN PRIMERA INFANCIA (AIEPI)",IF(P139=CURSOS!$D$19,"ADMINISTRACION DE MEDICAMENTOS, INYECTOLOGIA  Y CANALIZACION ",IF(P139=CURSOS!$D$20,"OPERADOR DE VEHICULOS DE EMERGENCIA (OVE)",IF(P139=CURSOS!$D$21,"INSTITUCIONES AMIGAS DE LA MUJER Y LA INFANCIA (IAMI)",IF(P139=CURSOS!$D$22,"CUIDADO DEL DONANTE DE ORGANOS",IF(P139=CURSOS!$D$23,"ATENCION A VICTIMAS POR VIOLENCIA DE GENERO",IF(P139=CURSOS!$D$24,"IGUALDAD DE GENERO EN LA SALUD",IF(P139=CURSOS!$D$25,"BRIGADA DE EMERGENCIA",IF(P139=CURSOS!$D$26,"MANEJO DEL DOLOR Y CUIDADOS PALIATIVOS",IF(P139=CURSOS!$D$27,"TOMA DE MUESTRAS Y LABORATORIO POCT",IF(P139=CURSOS!$D$28,"IMPLANTE SUBDERMICO DE DISPOSITIVO INTRAUTERINO",IF(P139=CURSOS!$D$29,"SALUD MENTAL",IF(P139=CURSOS!$D$30,"PRIMEROS AUXILIOS PSICOLOGICOS",IF(P139=CURSOS!$D$31,"ATENCION A VICTIMAS POR CONFLICTO ARMADO",IF(P139=CURSOS!$D$32,"MANIPULACION DE ALIMENTOS Y BPM",IF(P139=CURSOS!$D$33,"ATENCION A PERSONAS CON DISCAPACIDAD",IF(P139=CURSOS!$D$34,"CUIDADO INTEGRAL DEL PACIENTE ADULTO",IF(P139=CURSOS!$D$35,"MANEJO DEFENSIVO",IF(P139=CURSOS!$D$36,"SOPORTE CARDIOVASCULAR AVANZADO NEONATAL",IF(P139=CURSOS!$D$37,"SEGURIDAD DEL PACIENTE",IF(P139=CURSOS!$D$38,"MANEJO DE RESIDUOS HOSPITALARIOS"))))))))))))))))))))))))))))))))))))</f>
        <v xml:space="preserve">ATENCION A VICTIMAS DE VIOLENCIA SEXUAL </v>
      </c>
      <c r="W139" s="66" t="str">
        <f t="shared" si="8"/>
        <v>Angie Daniela Burbano Burbano</v>
      </c>
      <c r="X139" s="66" t="str">
        <f t="shared" si="9"/>
        <v>Angie Daniela Burbano Burbano</v>
      </c>
      <c r="Y139" s="66" t="str">
        <f t="shared" si="10"/>
        <v>Angie Daniela Burbano Burbano-1085321536-VIOLENCIA SEXUAL</v>
      </c>
    </row>
    <row r="140" spans="1:25" s="60" customFormat="1" x14ac:dyDescent="0.2">
      <c r="A140" s="61">
        <v>139</v>
      </c>
      <c r="B140" s="85">
        <v>1004190467</v>
      </c>
      <c r="C140" s="62" t="s">
        <v>367</v>
      </c>
      <c r="D140" s="62" t="s">
        <v>470</v>
      </c>
      <c r="E140" s="62" t="s">
        <v>158</v>
      </c>
      <c r="F140" s="62" t="s">
        <v>225</v>
      </c>
      <c r="G140" s="62">
        <v>24</v>
      </c>
      <c r="H140" s="62" t="s">
        <v>127</v>
      </c>
      <c r="I140" s="62" t="s">
        <v>128</v>
      </c>
      <c r="J140" s="63" t="s">
        <v>334</v>
      </c>
      <c r="K140" s="64" t="s">
        <v>473</v>
      </c>
      <c r="L140" s="65">
        <v>68000</v>
      </c>
      <c r="M140" s="62" t="s">
        <v>220</v>
      </c>
      <c r="N140" s="62" t="s">
        <v>131</v>
      </c>
      <c r="O140" s="62" t="s">
        <v>257</v>
      </c>
      <c r="P140" s="62" t="s">
        <v>44</v>
      </c>
      <c r="Q140" s="63">
        <v>37562</v>
      </c>
      <c r="R140" s="62" t="s">
        <v>208</v>
      </c>
      <c r="S140" s="96" t="s">
        <v>471</v>
      </c>
      <c r="T140" s="62">
        <v>3174571011</v>
      </c>
      <c r="U140" s="62" t="s">
        <v>472</v>
      </c>
      <c r="V140" s="66" t="str">
        <f>IF(P140=CURSOS!$D$3,"DIPLOMADO EN ATENCION PRE-HOSPITALARIA",IF(P140=CURSOS!$D$4,"ACOMPAÑAMIENTO Y MANEJO DEL DUELO",IF(P140=CURSOS!$D$5,"ATENCION A VICTIMAS DE ATAQUE CON AGENTES QUIMICOS ",IF(P140=CURSOS!$D$6,"PRIMEROS AUXILIOS ",IF(P140=CURSOS!$D$7,"DIPLOMADO DE UNIDAD DE CUIDADOS INTENSIVOS (UCI)",IF(P140=CURSOS!$D$8,"MODELO DE ATENCION PARA EVENTOS EMERGENTES EN SALUD MENTAL (CODIGO VERDE)",IF(P140=CURSOS!$D$9,"HUMANIZACION EN EL SERVICIO DE LA SALUD Y BUENAS PRACTICAS EN PACIENTE ",IF(P140=CURSOS!$D$10,"CLINICA DE HERIDAS ",IF(P140=CURSOS!$D$11,"TOMA DE CITOLOGIA CERVICO VAGINAL ",IF(P140=CURSOS!$D$12,"SOPORTE CARDIOVASCULAR AVANZADO (ACLS) ",IF(P140=CURSOS!$D$13,"CAMILLERO ",IF(P140=CURSOS!$D$14,"TOMA DE MUESTRAS Y LABORATORIO ",IF(P140=CURSOS!$D$15,"SOPORTE VITAL BASICO (BLS)",IF(P140=CURSOS!$D$16,"ATENCION A VICTIMAS DE VIOLENCIA SEXUAL ",IF(P140=CURSOS!$D$17,"PROGRAMADO AMPLIADO DE INMUNIZACION (PAI - COVID 19)",IF(P140=CURSOS!$D$18,"ATENCION INTEGRAL EN ENFERMEDADES PREVALENTES EN PRIMERA INFANCIA (AIEPI)",IF(P140=CURSOS!$D$19,"ADMINISTRACION DE MEDICAMENTOS, INYECTOLOGIA  Y CANALIZACION ",IF(P140=CURSOS!$D$20,"OPERADOR DE VEHICULOS DE EMERGENCIA (OVE)",IF(P140=CURSOS!$D$21,"INSTITUCIONES AMIGAS DE LA MUJER Y LA INFANCIA (IAMI)",IF(P140=CURSOS!$D$22,"CUIDADO DEL DONANTE DE ORGANOS",IF(P140=CURSOS!$D$23,"ATENCION A VICTIMAS POR VIOLENCIA DE GENERO",IF(P140=CURSOS!$D$24,"IGUALDAD DE GENERO EN LA SALUD",IF(P140=CURSOS!$D$25,"BRIGADA DE EMERGENCIA",IF(P140=CURSOS!$D$26,"MANEJO DEL DOLOR Y CUIDADOS PALIATIVOS",IF(P140=CURSOS!$D$27,"TOMA DE MUESTRAS Y LABORATORIO POCT",IF(P140=CURSOS!$D$28,"IMPLANTE SUBDERMICO DE DISPOSITIVO INTRAUTERINO",IF(P140=CURSOS!$D$29,"SALUD MENTAL",IF(P140=CURSOS!$D$30,"PRIMEROS AUXILIOS PSICOLOGICOS",IF(P140=CURSOS!$D$31,"ATENCION A VICTIMAS POR CONFLICTO ARMADO",IF(P140=CURSOS!$D$32,"MANIPULACION DE ALIMENTOS Y BPM",IF(P140=CURSOS!$D$33,"ATENCION A PERSONAS CON DISCAPACIDAD",IF(P140=CURSOS!$D$34,"CUIDADO INTEGRAL DEL PACIENTE ADULTO",IF(P140=CURSOS!$D$35,"MANEJO DEFENSIVO",IF(P140=CURSOS!$D$36,"SOPORTE CARDIOVASCULAR AVANZADO NEONATAL",IF(P140=CURSOS!$D$37,"SEGURIDAD DEL PACIENTE",IF(P140=CURSOS!$D$38,"MANEJO DE RESIDUOS HOSPITALARIOS"))))))))))))))))))))))))))))))))))))</f>
        <v>ATENCION INTEGRAL EN ENFERMEDADES PREVALENTES EN PRIMERA INFANCIA (AIEPI)</v>
      </c>
      <c r="W140" s="66" t="str">
        <f t="shared" si="8"/>
        <v>Estefani Alejandra Meneses Botina</v>
      </c>
      <c r="X140" s="66" t="str">
        <f t="shared" si="9"/>
        <v>Estefani Alejandra Meneses Botina</v>
      </c>
      <c r="Y140" s="66" t="str">
        <f t="shared" si="10"/>
        <v>Estefani Alejandra Meneses Botina-1004190467-AIEPI</v>
      </c>
    </row>
    <row r="141" spans="1:25" s="60" customFormat="1" x14ac:dyDescent="0.2">
      <c r="A141" s="61">
        <v>140</v>
      </c>
      <c r="B141" s="85">
        <v>1004190467</v>
      </c>
      <c r="C141" s="62" t="s">
        <v>367</v>
      </c>
      <c r="D141" s="62" t="s">
        <v>470</v>
      </c>
      <c r="E141" s="62" t="s">
        <v>158</v>
      </c>
      <c r="F141" s="62" t="s">
        <v>225</v>
      </c>
      <c r="G141" s="62">
        <v>21</v>
      </c>
      <c r="H141" s="62" t="s">
        <v>127</v>
      </c>
      <c r="I141" s="62" t="s">
        <v>128</v>
      </c>
      <c r="J141" s="63" t="s">
        <v>334</v>
      </c>
      <c r="K141" s="64" t="s">
        <v>473</v>
      </c>
      <c r="L141" s="65">
        <v>68000</v>
      </c>
      <c r="M141" s="62" t="s">
        <v>220</v>
      </c>
      <c r="N141" s="62" t="s">
        <v>131</v>
      </c>
      <c r="O141" s="62" t="s">
        <v>257</v>
      </c>
      <c r="P141" s="62" t="s">
        <v>42</v>
      </c>
      <c r="Q141" s="63">
        <v>37562</v>
      </c>
      <c r="R141" s="62" t="s">
        <v>208</v>
      </c>
      <c r="S141" s="96" t="s">
        <v>471</v>
      </c>
      <c r="T141" s="62">
        <v>3174571011</v>
      </c>
      <c r="U141" s="62" t="s">
        <v>472</v>
      </c>
      <c r="V141" s="66" t="str">
        <f>IF(P141=CURSOS!$D$3,"DIPLOMADO EN ATENCION PRE-HOSPITALARIA",IF(P141=CURSOS!$D$4,"ACOMPAÑAMIENTO Y MANEJO DEL DUELO",IF(P141=CURSOS!$D$5,"ATENCION A VICTIMAS DE ATAQUE CON AGENTES QUIMICOS ",IF(P141=CURSOS!$D$6,"PRIMEROS AUXILIOS ",IF(P141=CURSOS!$D$7,"DIPLOMADO DE UNIDAD DE CUIDADOS INTENSIVOS (UCI)",IF(P141=CURSOS!$D$8,"MODELO DE ATENCION PARA EVENTOS EMERGENTES EN SALUD MENTAL (CODIGO VERDE)",IF(P141=CURSOS!$D$9,"HUMANIZACION EN EL SERVICIO DE LA SALUD Y BUENAS PRACTICAS EN PACIENTE ",IF(P141=CURSOS!$D$10,"CLINICA DE HERIDAS ",IF(P141=CURSOS!$D$11,"TOMA DE CITOLOGIA CERVICO VAGINAL ",IF(P141=CURSOS!$D$12,"SOPORTE CARDIOVASCULAR AVANZADO (ACLS) ",IF(P141=CURSOS!$D$13,"CAMILLERO ",IF(P141=CURSOS!$D$14,"TOMA DE MUESTRAS Y LABORATORIO ",IF(P141=CURSOS!$D$15,"SOPORTE VITAL BASICO (BLS)",IF(P141=CURSOS!$D$16,"ATENCION A VICTIMAS DE VIOLENCIA SEXUAL ",IF(P141=CURSOS!$D$17,"PROGRAMADO AMPLIADO DE INMUNIZACION (PAI - COVID 19)",IF(P141=CURSOS!$D$18,"ATENCION INTEGRAL EN ENFERMEDADES PREVALENTES EN PRIMERA INFANCIA (AIEPI)",IF(P141=CURSOS!$D$19,"ADMINISTRACION DE MEDICAMENTOS, INYECTOLOGIA  Y CANALIZACION ",IF(P141=CURSOS!$D$20,"OPERADOR DE VEHICULOS DE EMERGENCIA (OVE)",IF(P141=CURSOS!$D$21,"INSTITUCIONES AMIGAS DE LA MUJER Y LA INFANCIA (IAMI)",IF(P141=CURSOS!$D$22,"CUIDADO DEL DONANTE DE ORGANOS",IF(P141=CURSOS!$D$23,"ATENCION A VICTIMAS POR VIOLENCIA DE GENERO",IF(P141=CURSOS!$D$24,"IGUALDAD DE GENERO EN LA SALUD",IF(P141=CURSOS!$D$25,"BRIGADA DE EMERGENCIA",IF(P141=CURSOS!$D$26,"MANEJO DEL DOLOR Y CUIDADOS PALIATIVOS",IF(P141=CURSOS!$D$27,"TOMA DE MUESTRAS Y LABORATORIO POCT",IF(P141=CURSOS!$D$28,"IMPLANTE SUBDERMICO DE DISPOSITIVO INTRAUTERINO",IF(P141=CURSOS!$D$29,"SALUD MENTAL",IF(P141=CURSOS!$D$30,"PRIMEROS AUXILIOS PSICOLOGICOS",IF(P141=CURSOS!$D$31,"ATENCION A VICTIMAS POR CONFLICTO ARMADO",IF(P141=CURSOS!$D$32,"MANIPULACION DE ALIMENTOS Y BPM",IF(P141=CURSOS!$D$33,"ATENCION A PERSONAS CON DISCAPACIDAD",IF(P141=CURSOS!$D$34,"CUIDADO INTEGRAL DEL PACIENTE ADULTO",IF(P141=CURSOS!$D$35,"MANEJO DEFENSIVO",IF(P141=CURSOS!$D$36,"SOPORTE CARDIOVASCULAR AVANZADO NEONATAL",IF(P141=CURSOS!$D$37,"SEGURIDAD DEL PACIENTE",IF(P141=CURSOS!$D$38,"MANEJO DE RESIDUOS HOSPITALARIOS"))))))))))))))))))))))))))))))))))))</f>
        <v xml:space="preserve">ATENCION A VICTIMAS DE VIOLENCIA SEXUAL </v>
      </c>
      <c r="W141" s="66" t="str">
        <f t="shared" si="8"/>
        <v>Estefani Alejandra Meneses Botina</v>
      </c>
      <c r="X141" s="66" t="str">
        <f t="shared" si="9"/>
        <v>Estefani Alejandra Meneses Botina</v>
      </c>
      <c r="Y141" s="66" t="str">
        <f t="shared" si="10"/>
        <v>Estefani Alejandra Meneses Botina-1004190467-VIOLENCIA SEXUAL</v>
      </c>
    </row>
    <row r="142" spans="1:25" s="60" customFormat="1" x14ac:dyDescent="0.2">
      <c r="A142" s="61">
        <v>141</v>
      </c>
      <c r="B142" s="62">
        <v>1082746309</v>
      </c>
      <c r="C142" s="62" t="s">
        <v>383</v>
      </c>
      <c r="D142" s="62" t="s">
        <v>474</v>
      </c>
      <c r="E142" s="62" t="s">
        <v>306</v>
      </c>
      <c r="F142" s="62" t="s">
        <v>150</v>
      </c>
      <c r="G142" s="62">
        <v>24</v>
      </c>
      <c r="H142" s="62" t="s">
        <v>127</v>
      </c>
      <c r="I142" s="62" t="s">
        <v>226</v>
      </c>
      <c r="J142" s="63" t="s">
        <v>232</v>
      </c>
      <c r="K142" s="64">
        <v>45771</v>
      </c>
      <c r="L142" s="65">
        <v>30000</v>
      </c>
      <c r="M142" s="62" t="s">
        <v>220</v>
      </c>
      <c r="N142" s="62" t="s">
        <v>131</v>
      </c>
      <c r="O142" s="62" t="s">
        <v>422</v>
      </c>
      <c r="P142" s="62" t="s">
        <v>45</v>
      </c>
      <c r="Q142" s="63">
        <v>31661</v>
      </c>
      <c r="R142" s="87" t="s">
        <v>208</v>
      </c>
      <c r="S142" s="62" t="s">
        <v>475</v>
      </c>
      <c r="T142" s="62">
        <v>3147317234</v>
      </c>
      <c r="U142" s="62" t="s">
        <v>476</v>
      </c>
      <c r="V142" s="66" t="str">
        <f>IF(P142=CURSOS!$D$3,"DIPLOMADO EN ATENCION PRE-HOSPITALARIA",IF(P142=CURSOS!$D$4,"ACOMPAÑAMIENTO Y MANEJO DEL DUELO",IF(P142=CURSOS!$D$5,"ATENCION A VICTIMAS DE ATAQUE CON AGENTES QUIMICOS ",IF(P142=CURSOS!$D$6,"PRIMEROS AUXILIOS ",IF(P142=CURSOS!$D$7,"DIPLOMADO DE UNIDAD DE CUIDADOS INTENSIVOS (UCI)",IF(P142=CURSOS!$D$8,"MODELO DE ATENCION PARA EVENTOS EMERGENTES EN SALUD MENTAL (CODIGO VERDE)",IF(P142=CURSOS!$D$9,"HUMANIZACION EN EL SERVICIO DE LA SALUD Y BUENAS PRACTICAS EN PACIENTE ",IF(P142=CURSOS!$D$10,"CLINICA DE HERIDAS ",IF(P142=CURSOS!$D$11,"TOMA DE CITOLOGIA CERVICO VAGINAL ",IF(P142=CURSOS!$D$12,"SOPORTE CARDIOVASCULAR AVANZADO (ACLS) ",IF(P142=CURSOS!$D$13,"CAMILLERO ",IF(P142=CURSOS!$D$14,"TOMA DE MUESTRAS Y LABORATORIO ",IF(P142=CURSOS!$D$15,"SOPORTE VITAL BASICO (BLS)",IF(P142=CURSOS!$D$16,"ATENCION A VICTIMAS DE VIOLENCIA SEXUAL ",IF(P142=CURSOS!$D$17,"PROGRAMADO AMPLIADO DE INMUNIZACION (PAI - COVID 19)",IF(P142=CURSOS!$D$18,"ATENCION INTEGRAL EN ENFERMEDADES PREVALENTES EN PRIMERA INFANCIA (AIEPI)",IF(P142=CURSOS!$D$19,"ADMINISTRACION DE MEDICAMENTOS, INYECTOLOGIA  Y CANALIZACION ",IF(P142=CURSOS!$D$20,"OPERADOR DE VEHICULOS DE EMERGENCIA (OVE)",IF(P142=CURSOS!$D$21,"INSTITUCIONES AMIGAS DE LA MUJER Y LA INFANCIA (IAMI)",IF(P142=CURSOS!$D$22,"CUIDADO DEL DONANTE DE ORGANOS",IF(P142=CURSOS!$D$23,"ATENCION A VICTIMAS POR VIOLENCIA DE GENERO",IF(P142=CURSOS!$D$24,"IGUALDAD DE GENERO EN LA SALUD",IF(P142=CURSOS!$D$25,"BRIGADA DE EMERGENCIA",IF(P142=CURSOS!$D$26,"MANEJO DEL DOLOR Y CUIDADOS PALIATIVOS",IF(P142=CURSOS!$D$27,"TOMA DE MUESTRAS Y LABORATORIO POCT",IF(P142=CURSOS!$D$28,"IMPLANTE SUBDERMICO DE DISPOSITIVO INTRAUTERINO",IF(P142=CURSOS!$D$29,"SALUD MENTAL",IF(P142=CURSOS!$D$30,"PRIMEROS AUXILIOS PSICOLOGICOS",IF(P142=CURSOS!$D$31,"ATENCION A VICTIMAS POR CONFLICTO ARMADO",IF(P142=CURSOS!$D$32,"MANIPULACION DE ALIMENTOS Y BPM",IF(P142=CURSOS!$D$33,"ATENCION A PERSONAS CON DISCAPACIDAD",IF(P142=CURSOS!$D$34,"CUIDADO INTEGRAL DEL PACIENTE ADULTO",IF(P142=CURSOS!$D$35,"MANEJO DEFENSIVO",IF(P142=CURSOS!$D$36,"SOPORTE CARDIOVASCULAR AVANZADO NEONATAL",IF(P142=CURSOS!$D$37,"SEGURIDAD DEL PACIENTE",IF(P142=CURSOS!$D$38,"MANEJO DE RESIDUOS HOSPITALARIOS"))))))))))))))))))))))))))))))))))))</f>
        <v xml:space="preserve">ADMINISTRACION DE MEDICAMENTOS, INYECTOLOGIA  Y CANALIZACION </v>
      </c>
      <c r="W142" s="66" t="str">
        <f t="shared" si="8"/>
        <v>Nancy Maria Delgado Carlosama</v>
      </c>
      <c r="X142" s="66" t="str">
        <f t="shared" si="9"/>
        <v>Nancy Maria Delgado Carlosama</v>
      </c>
      <c r="Y142" s="66" t="str">
        <f t="shared" si="10"/>
        <v>Nancy Maria Delgado Carlosama-1082746309-ADMON DE MEDICAMENTOS</v>
      </c>
    </row>
    <row r="143" spans="1:25" s="60" customFormat="1" x14ac:dyDescent="0.2">
      <c r="A143" s="61">
        <v>142</v>
      </c>
      <c r="B143" s="62">
        <v>1085339848</v>
      </c>
      <c r="C143" s="62" t="s">
        <v>237</v>
      </c>
      <c r="D143" s="62" t="s">
        <v>298</v>
      </c>
      <c r="E143" s="62" t="s">
        <v>249</v>
      </c>
      <c r="F143" s="62"/>
      <c r="G143" s="62">
        <v>24</v>
      </c>
      <c r="H143" s="62" t="s">
        <v>127</v>
      </c>
      <c r="I143" s="62" t="s">
        <v>226</v>
      </c>
      <c r="J143" s="63" t="s">
        <v>401</v>
      </c>
      <c r="K143" s="64" t="s">
        <v>479</v>
      </c>
      <c r="L143" s="65">
        <v>40000</v>
      </c>
      <c r="M143" s="62" t="s">
        <v>220</v>
      </c>
      <c r="N143" s="62" t="s">
        <v>131</v>
      </c>
      <c r="O143" s="62" t="s">
        <v>257</v>
      </c>
      <c r="P143" s="62" t="s">
        <v>32</v>
      </c>
      <c r="Q143" s="63">
        <v>35873</v>
      </c>
      <c r="R143" s="87" t="s">
        <v>208</v>
      </c>
      <c r="S143" s="96" t="s">
        <v>477</v>
      </c>
      <c r="T143" s="62">
        <v>3152239055</v>
      </c>
      <c r="U143" s="82" t="s">
        <v>478</v>
      </c>
      <c r="V143" s="66" t="str">
        <f>IF(P143=CURSOS!$D$3,"DIPLOMADO EN ATENCION PRE-HOSPITALARIA",IF(P143=CURSOS!$D$4,"ACOMPAÑAMIENTO Y MANEJO DEL DUELO",IF(P143=CURSOS!$D$5,"ATENCION A VICTIMAS DE ATAQUE CON AGENTES QUIMICOS ",IF(P143=CURSOS!$D$6,"PRIMEROS AUXILIOS ",IF(P143=CURSOS!$D$7,"DIPLOMADO DE UNIDAD DE CUIDADOS INTENSIVOS (UCI)",IF(P143=CURSOS!$D$8,"MODELO DE ATENCION PARA EVENTOS EMERGENTES EN SALUD MENTAL (CODIGO VERDE)",IF(P143=CURSOS!$D$9,"HUMANIZACION EN EL SERVICIO DE LA SALUD Y BUENAS PRACTICAS EN PACIENTE ",IF(P143=CURSOS!$D$10,"CLINICA DE HERIDAS ",IF(P143=CURSOS!$D$11,"TOMA DE CITOLOGIA CERVICO VAGINAL ",IF(P143=CURSOS!$D$12,"SOPORTE CARDIOVASCULAR AVANZADO (ACLS) ",IF(P143=CURSOS!$D$13,"CAMILLERO ",IF(P143=CURSOS!$D$14,"TOMA DE MUESTRAS Y LABORATORIO ",IF(P143=CURSOS!$D$15,"SOPORTE VITAL BASICO (BLS)",IF(P143=CURSOS!$D$16,"ATENCION A VICTIMAS DE VIOLENCIA SEXUAL ",IF(P143=CURSOS!$D$17,"PROGRAMADO AMPLIADO DE INMUNIZACION (PAI - COVID 19)",IF(P143=CURSOS!$D$18,"ATENCION INTEGRAL EN ENFERMEDADES PREVALENTES EN PRIMERA INFANCIA (AIEPI)",IF(P143=CURSOS!$D$19,"ADMINISTRACION DE MEDICAMENTOS, INYECTOLOGIA  Y CANALIZACION ",IF(P143=CURSOS!$D$20,"OPERADOR DE VEHICULOS DE EMERGENCIA (OVE)",IF(P143=CURSOS!$D$21,"INSTITUCIONES AMIGAS DE LA MUJER Y LA INFANCIA (IAMI)",IF(P143=CURSOS!$D$22,"CUIDADO DEL DONANTE DE ORGANOS",IF(P143=CURSOS!$D$23,"ATENCION A VICTIMAS POR VIOLENCIA DE GENERO",IF(P143=CURSOS!$D$24,"IGUALDAD DE GENERO EN LA SALUD",IF(P143=CURSOS!$D$25,"BRIGADA DE EMERGENCIA",IF(P143=CURSOS!$D$26,"MANEJO DEL DOLOR Y CUIDADOS PALIATIVOS",IF(P143=CURSOS!$D$27,"TOMA DE MUESTRAS Y LABORATORIO POCT",IF(P143=CURSOS!$D$28,"IMPLANTE SUBDERMICO DE DISPOSITIVO INTRAUTERINO",IF(P143=CURSOS!$D$29,"SALUD MENTAL",IF(P143=CURSOS!$D$30,"PRIMEROS AUXILIOS PSICOLOGICOS",IF(P143=CURSOS!$D$31,"ATENCION A VICTIMAS POR CONFLICTO ARMADO",IF(P143=CURSOS!$D$32,"MANIPULACION DE ALIMENTOS Y BPM",IF(P143=CURSOS!$D$33,"ATENCION A PERSONAS CON DISCAPACIDAD",IF(P143=CURSOS!$D$34,"CUIDADO INTEGRAL DEL PACIENTE ADULTO",IF(P143=CURSOS!$D$35,"MANEJO DEFENSIVO",IF(P143=CURSOS!$D$36,"SOPORTE CARDIOVASCULAR AVANZADO NEONATAL",IF(P143=CURSOS!$D$37,"SEGURIDAD DEL PACIENTE",IF(P143=CURSOS!$D$38,"MANEJO DE RESIDUOS HOSPITALARIOS"))))))))))))))))))))))))))))))))))))</f>
        <v xml:space="preserve">HUMANIZACION EN EL SERVICIO DE LA SALUD Y BUENAS PRACTICAS EN PACIENTE </v>
      </c>
      <c r="W143" s="66" t="str">
        <f t="shared" si="8"/>
        <v>Natalia  Ortiz Diaz</v>
      </c>
      <c r="X143" s="66" t="str">
        <f t="shared" si="9"/>
        <v>Natalia  Ortiz Diaz</v>
      </c>
      <c r="Y143" s="66" t="str">
        <f t="shared" si="10"/>
        <v>Natalia  Ortiz Diaz-1085339848-HUMANIZACION</v>
      </c>
    </row>
    <row r="144" spans="1:25" s="60" customFormat="1" x14ac:dyDescent="0.2">
      <c r="A144" s="61">
        <v>143</v>
      </c>
      <c r="B144" s="62">
        <v>1084224531</v>
      </c>
      <c r="C144" s="62" t="s">
        <v>480</v>
      </c>
      <c r="D144" s="62" t="s">
        <v>159</v>
      </c>
      <c r="E144" s="62" t="s">
        <v>481</v>
      </c>
      <c r="F144" s="62" t="s">
        <v>405</v>
      </c>
      <c r="G144" s="62">
        <v>23</v>
      </c>
      <c r="H144" s="62" t="s">
        <v>127</v>
      </c>
      <c r="I144" s="62" t="s">
        <v>128</v>
      </c>
      <c r="J144" s="63" t="s">
        <v>334</v>
      </c>
      <c r="K144" s="64">
        <v>45772</v>
      </c>
      <c r="L144" s="65">
        <v>70000</v>
      </c>
      <c r="M144" s="62" t="s">
        <v>267</v>
      </c>
      <c r="N144" s="62" t="s">
        <v>131</v>
      </c>
      <c r="O144" s="62" t="s">
        <v>257</v>
      </c>
      <c r="P144" s="62" t="s">
        <v>40</v>
      </c>
      <c r="Q144" s="63">
        <v>33642</v>
      </c>
      <c r="R144" s="87" t="s">
        <v>208</v>
      </c>
      <c r="S144" s="96" t="s">
        <v>332</v>
      </c>
      <c r="T144" s="62">
        <v>3117973894</v>
      </c>
      <c r="U144" s="82" t="s">
        <v>482</v>
      </c>
      <c r="V144" s="66" t="str">
        <f>IF(P144=CURSOS!$D$3,"DIPLOMADO EN ATENCION PRE-HOSPITALARIA",IF(P144=CURSOS!$D$4,"ACOMPAÑAMIENTO Y MANEJO DEL DUELO",IF(P144=CURSOS!$D$5,"ATENCION A VICTIMAS DE ATAQUE CON AGENTES QUIMICOS ",IF(P144=CURSOS!$D$6,"PRIMEROS AUXILIOS ",IF(P144=CURSOS!$D$7,"DIPLOMADO DE UNIDAD DE CUIDADOS INTENSIVOS (UCI)",IF(P144=CURSOS!$D$8,"MODELO DE ATENCION PARA EVENTOS EMERGENTES EN SALUD MENTAL (CODIGO VERDE)",IF(P144=CURSOS!$D$9,"HUMANIZACION EN EL SERVICIO DE LA SALUD Y BUENAS PRACTICAS EN PACIENTE ",IF(P144=CURSOS!$D$10,"CLINICA DE HERIDAS ",IF(P144=CURSOS!$D$11,"TOMA DE CITOLOGIA CERVICO VAGINAL ",IF(P144=CURSOS!$D$12,"SOPORTE CARDIOVASCULAR AVANZADO (ACLS) ",IF(P144=CURSOS!$D$13,"CAMILLERO ",IF(P144=CURSOS!$D$14,"TOMA DE MUESTRAS Y LABORATORIO ",IF(P144=CURSOS!$D$15,"SOPORTE VITAL BASICO (BLS)",IF(P144=CURSOS!$D$16,"ATENCION A VICTIMAS DE VIOLENCIA SEXUAL ",IF(P144=CURSOS!$D$17,"PROGRAMADO AMPLIADO DE INMUNIZACION (PAI - COVID 19)",IF(P144=CURSOS!$D$18,"ATENCION INTEGRAL EN ENFERMEDADES PREVALENTES EN PRIMERA INFANCIA (AIEPI)",IF(P144=CURSOS!$D$19,"ADMINISTRACION DE MEDICAMENTOS, INYECTOLOGIA  Y CANALIZACION ",IF(P144=CURSOS!$D$20,"OPERADOR DE VEHICULOS DE EMERGENCIA (OVE)",IF(P144=CURSOS!$D$21,"INSTITUCIONES AMIGAS DE LA MUJER Y LA INFANCIA (IAMI)",IF(P144=CURSOS!$D$22,"CUIDADO DEL DONANTE DE ORGANOS",IF(P144=CURSOS!$D$23,"ATENCION A VICTIMAS POR VIOLENCIA DE GENERO",IF(P144=CURSOS!$D$24,"IGUALDAD DE GENERO EN LA SALUD",IF(P144=CURSOS!$D$25,"BRIGADA DE EMERGENCIA",IF(P144=CURSOS!$D$26,"MANEJO DEL DOLOR Y CUIDADOS PALIATIVOS",IF(P144=CURSOS!$D$27,"TOMA DE MUESTRAS Y LABORATORIO POCT",IF(P144=CURSOS!$D$28,"IMPLANTE SUBDERMICO DE DISPOSITIVO INTRAUTERINO",IF(P144=CURSOS!$D$29,"SALUD MENTAL",IF(P144=CURSOS!$D$30,"PRIMEROS AUXILIOS PSICOLOGICOS",IF(P144=CURSOS!$D$31,"ATENCION A VICTIMAS POR CONFLICTO ARMADO",IF(P144=CURSOS!$D$32,"MANIPULACION DE ALIMENTOS Y BPM",IF(P144=CURSOS!$D$33,"ATENCION A PERSONAS CON DISCAPACIDAD",IF(P144=CURSOS!$D$34,"CUIDADO INTEGRAL DEL PACIENTE ADULTO",IF(P144=CURSOS!$D$35,"MANEJO DEFENSIVO",IF(P144=CURSOS!$D$36,"SOPORTE CARDIOVASCULAR AVANZADO NEONATAL",IF(P144=CURSOS!$D$37,"SEGURIDAD DEL PACIENTE",IF(P144=CURSOS!$D$38,"MANEJO DE RESIDUOS HOSPITALARIOS"))))))))))))))))))))))))))))))))))))</f>
        <v xml:space="preserve">TOMA DE MUESTRAS Y LABORATORIO </v>
      </c>
      <c r="W144" s="66" t="str">
        <f t="shared" si="8"/>
        <v>Yuli Marcela Cifuentes Erazo</v>
      </c>
      <c r="X144" s="66" t="str">
        <f t="shared" si="9"/>
        <v>Yuli Marcela Cifuentes Erazo</v>
      </c>
      <c r="Y144" s="66" t="str">
        <f t="shared" si="10"/>
        <v>Yuli Marcela Cifuentes Erazo-1084224531-TOMA DE MUESTRAS</v>
      </c>
    </row>
    <row r="145" spans="1:25" s="60" customFormat="1" x14ac:dyDescent="0.2">
      <c r="A145" s="61">
        <v>144</v>
      </c>
      <c r="B145" s="62">
        <v>1084224531</v>
      </c>
      <c r="C145" s="62" t="s">
        <v>480</v>
      </c>
      <c r="D145" s="62" t="s">
        <v>159</v>
      </c>
      <c r="E145" s="62" t="s">
        <v>481</v>
      </c>
      <c r="F145" s="62" t="s">
        <v>405</v>
      </c>
      <c r="G145" s="62">
        <v>24</v>
      </c>
      <c r="H145" s="62" t="s">
        <v>127</v>
      </c>
      <c r="I145" s="62" t="s">
        <v>128</v>
      </c>
      <c r="J145" s="63" t="s">
        <v>334</v>
      </c>
      <c r="K145" s="64">
        <v>45772</v>
      </c>
      <c r="L145" s="65">
        <v>70000</v>
      </c>
      <c r="M145" s="62" t="s">
        <v>267</v>
      </c>
      <c r="N145" s="62" t="s">
        <v>131</v>
      </c>
      <c r="O145" s="62" t="s">
        <v>257</v>
      </c>
      <c r="P145" s="62" t="s">
        <v>42</v>
      </c>
      <c r="Q145" s="63">
        <v>33642</v>
      </c>
      <c r="R145" s="87" t="s">
        <v>208</v>
      </c>
      <c r="S145" s="96" t="s">
        <v>332</v>
      </c>
      <c r="T145" s="62">
        <v>3117973894</v>
      </c>
      <c r="U145" s="82" t="s">
        <v>482</v>
      </c>
      <c r="V145" s="66" t="str">
        <f>IF(P145=CURSOS!$D$3,"DIPLOMADO EN ATENCION PRE-HOSPITALARIA",IF(P145=CURSOS!$D$4,"ACOMPAÑAMIENTO Y MANEJO DEL DUELO",IF(P145=CURSOS!$D$5,"ATENCION A VICTIMAS DE ATAQUE CON AGENTES QUIMICOS ",IF(P145=CURSOS!$D$6,"PRIMEROS AUXILIOS ",IF(P145=CURSOS!$D$7,"DIPLOMADO DE UNIDAD DE CUIDADOS INTENSIVOS (UCI)",IF(P145=CURSOS!$D$8,"MODELO DE ATENCION PARA EVENTOS EMERGENTES EN SALUD MENTAL (CODIGO VERDE)",IF(P145=CURSOS!$D$9,"HUMANIZACION EN EL SERVICIO DE LA SALUD Y BUENAS PRACTICAS EN PACIENTE ",IF(P145=CURSOS!$D$10,"CLINICA DE HERIDAS ",IF(P145=CURSOS!$D$11,"TOMA DE CITOLOGIA CERVICO VAGINAL ",IF(P145=CURSOS!$D$12,"SOPORTE CARDIOVASCULAR AVANZADO (ACLS) ",IF(P145=CURSOS!$D$13,"CAMILLERO ",IF(P145=CURSOS!$D$14,"TOMA DE MUESTRAS Y LABORATORIO ",IF(P145=CURSOS!$D$15,"SOPORTE VITAL BASICO (BLS)",IF(P145=CURSOS!$D$16,"ATENCION A VICTIMAS DE VIOLENCIA SEXUAL ",IF(P145=CURSOS!$D$17,"PROGRAMADO AMPLIADO DE INMUNIZACION (PAI - COVID 19)",IF(P145=CURSOS!$D$18,"ATENCION INTEGRAL EN ENFERMEDADES PREVALENTES EN PRIMERA INFANCIA (AIEPI)",IF(P145=CURSOS!$D$19,"ADMINISTRACION DE MEDICAMENTOS, INYECTOLOGIA  Y CANALIZACION ",IF(P145=CURSOS!$D$20,"OPERADOR DE VEHICULOS DE EMERGENCIA (OVE)",IF(P145=CURSOS!$D$21,"INSTITUCIONES AMIGAS DE LA MUJER Y LA INFANCIA (IAMI)",IF(P145=CURSOS!$D$22,"CUIDADO DEL DONANTE DE ORGANOS",IF(P145=CURSOS!$D$23,"ATENCION A VICTIMAS POR VIOLENCIA DE GENERO",IF(P145=CURSOS!$D$24,"IGUALDAD DE GENERO EN LA SALUD",IF(P145=CURSOS!$D$25,"BRIGADA DE EMERGENCIA",IF(P145=CURSOS!$D$26,"MANEJO DEL DOLOR Y CUIDADOS PALIATIVOS",IF(P145=CURSOS!$D$27,"TOMA DE MUESTRAS Y LABORATORIO POCT",IF(P145=CURSOS!$D$28,"IMPLANTE SUBDERMICO DE DISPOSITIVO INTRAUTERINO",IF(P145=CURSOS!$D$29,"SALUD MENTAL",IF(P145=CURSOS!$D$30,"PRIMEROS AUXILIOS PSICOLOGICOS",IF(P145=CURSOS!$D$31,"ATENCION A VICTIMAS POR CONFLICTO ARMADO",IF(P145=CURSOS!$D$32,"MANIPULACION DE ALIMENTOS Y BPM",IF(P145=CURSOS!$D$33,"ATENCION A PERSONAS CON DISCAPACIDAD",IF(P145=CURSOS!$D$34,"CUIDADO INTEGRAL DEL PACIENTE ADULTO",IF(P145=CURSOS!$D$35,"MANEJO DEFENSIVO",IF(P145=CURSOS!$D$36,"SOPORTE CARDIOVASCULAR AVANZADO NEONATAL",IF(P145=CURSOS!$D$37,"SEGURIDAD DEL PACIENTE",IF(P145=CURSOS!$D$38,"MANEJO DE RESIDUOS HOSPITALARIOS"))))))))))))))))))))))))))))))))))))</f>
        <v xml:space="preserve">ATENCION A VICTIMAS DE VIOLENCIA SEXUAL </v>
      </c>
      <c r="W145" s="66" t="str">
        <f t="shared" si="8"/>
        <v>Yuli Marcela Cifuentes Erazo</v>
      </c>
      <c r="X145" s="66" t="str">
        <f t="shared" si="9"/>
        <v>Yuli Marcela Cifuentes Erazo</v>
      </c>
      <c r="Y145" s="66" t="str">
        <f t="shared" si="10"/>
        <v>Yuli Marcela Cifuentes Erazo-1084224531-VIOLENCIA SEXUAL</v>
      </c>
    </row>
    <row r="146" spans="1:25" s="60" customFormat="1" x14ac:dyDescent="0.2">
      <c r="A146" s="61">
        <v>145</v>
      </c>
      <c r="B146" s="62">
        <v>1084224531</v>
      </c>
      <c r="C146" s="62" t="s">
        <v>480</v>
      </c>
      <c r="D146" s="62" t="s">
        <v>159</v>
      </c>
      <c r="E146" s="62" t="s">
        <v>481</v>
      </c>
      <c r="F146" s="62" t="s">
        <v>405</v>
      </c>
      <c r="G146" s="62">
        <v>25</v>
      </c>
      <c r="H146" s="62" t="s">
        <v>127</v>
      </c>
      <c r="I146" s="62" t="s">
        <v>128</v>
      </c>
      <c r="J146" s="63" t="s">
        <v>334</v>
      </c>
      <c r="K146" s="64">
        <v>45772</v>
      </c>
      <c r="L146" s="65">
        <v>70000</v>
      </c>
      <c r="M146" s="62" t="s">
        <v>267</v>
      </c>
      <c r="N146" s="62" t="s">
        <v>131</v>
      </c>
      <c r="O146" s="62" t="s">
        <v>257</v>
      </c>
      <c r="P146" s="62" t="s">
        <v>32</v>
      </c>
      <c r="Q146" s="63">
        <v>33642</v>
      </c>
      <c r="R146" s="87" t="s">
        <v>208</v>
      </c>
      <c r="S146" s="96" t="s">
        <v>332</v>
      </c>
      <c r="T146" s="62">
        <v>3117973894</v>
      </c>
      <c r="U146" s="82" t="s">
        <v>482</v>
      </c>
      <c r="V146" s="66" t="str">
        <f>IF(P146=CURSOS!$D$3,"DIPLOMADO EN ATENCION PRE-HOSPITALARIA",IF(P146=CURSOS!$D$4,"ACOMPAÑAMIENTO Y MANEJO DEL DUELO",IF(P146=CURSOS!$D$5,"ATENCION A VICTIMAS DE ATAQUE CON AGENTES QUIMICOS ",IF(P146=CURSOS!$D$6,"PRIMEROS AUXILIOS ",IF(P146=CURSOS!$D$7,"DIPLOMADO DE UNIDAD DE CUIDADOS INTENSIVOS (UCI)",IF(P146=CURSOS!$D$8,"MODELO DE ATENCION PARA EVENTOS EMERGENTES EN SALUD MENTAL (CODIGO VERDE)",IF(P146=CURSOS!$D$9,"HUMANIZACION EN EL SERVICIO DE LA SALUD Y BUENAS PRACTICAS EN PACIENTE ",IF(P146=CURSOS!$D$10,"CLINICA DE HERIDAS ",IF(P146=CURSOS!$D$11,"TOMA DE CITOLOGIA CERVICO VAGINAL ",IF(P146=CURSOS!$D$12,"SOPORTE CARDIOVASCULAR AVANZADO (ACLS) ",IF(P146=CURSOS!$D$13,"CAMILLERO ",IF(P146=CURSOS!$D$14,"TOMA DE MUESTRAS Y LABORATORIO ",IF(P146=CURSOS!$D$15,"SOPORTE VITAL BASICO (BLS)",IF(P146=CURSOS!$D$16,"ATENCION A VICTIMAS DE VIOLENCIA SEXUAL ",IF(P146=CURSOS!$D$17,"PROGRAMADO AMPLIADO DE INMUNIZACION (PAI - COVID 19)",IF(P146=CURSOS!$D$18,"ATENCION INTEGRAL EN ENFERMEDADES PREVALENTES EN PRIMERA INFANCIA (AIEPI)",IF(P146=CURSOS!$D$19,"ADMINISTRACION DE MEDICAMENTOS, INYECTOLOGIA  Y CANALIZACION ",IF(P146=CURSOS!$D$20,"OPERADOR DE VEHICULOS DE EMERGENCIA (OVE)",IF(P146=CURSOS!$D$21,"INSTITUCIONES AMIGAS DE LA MUJER Y LA INFANCIA (IAMI)",IF(P146=CURSOS!$D$22,"CUIDADO DEL DONANTE DE ORGANOS",IF(P146=CURSOS!$D$23,"ATENCION A VICTIMAS POR VIOLENCIA DE GENERO",IF(P146=CURSOS!$D$24,"IGUALDAD DE GENERO EN LA SALUD",IF(P146=CURSOS!$D$25,"BRIGADA DE EMERGENCIA",IF(P146=CURSOS!$D$26,"MANEJO DEL DOLOR Y CUIDADOS PALIATIVOS",IF(P146=CURSOS!$D$27,"TOMA DE MUESTRAS Y LABORATORIO POCT",IF(P146=CURSOS!$D$28,"IMPLANTE SUBDERMICO DE DISPOSITIVO INTRAUTERINO",IF(P146=CURSOS!$D$29,"SALUD MENTAL",IF(P146=CURSOS!$D$30,"PRIMEROS AUXILIOS PSICOLOGICOS",IF(P146=CURSOS!$D$31,"ATENCION A VICTIMAS POR CONFLICTO ARMADO",IF(P146=CURSOS!$D$32,"MANIPULACION DE ALIMENTOS Y BPM",IF(P146=CURSOS!$D$33,"ATENCION A PERSONAS CON DISCAPACIDAD",IF(P146=CURSOS!$D$34,"CUIDADO INTEGRAL DEL PACIENTE ADULTO",IF(P146=CURSOS!$D$35,"MANEJO DEFENSIVO",IF(P146=CURSOS!$D$36,"SOPORTE CARDIOVASCULAR AVANZADO NEONATAL",IF(P146=CURSOS!$D$37,"SEGURIDAD DEL PACIENTE",IF(P146=CURSOS!$D$38,"MANEJO DE RESIDUOS HOSPITALARIOS"))))))))))))))))))))))))))))))))))))</f>
        <v xml:space="preserve">HUMANIZACION EN EL SERVICIO DE LA SALUD Y BUENAS PRACTICAS EN PACIENTE </v>
      </c>
      <c r="W146" s="66" t="str">
        <f t="shared" si="8"/>
        <v>Yuli Marcela Cifuentes Erazo</v>
      </c>
      <c r="X146" s="66" t="str">
        <f t="shared" si="9"/>
        <v>Yuli Marcela Cifuentes Erazo</v>
      </c>
      <c r="Y146" s="66" t="str">
        <f t="shared" si="10"/>
        <v>Yuli Marcela Cifuentes Erazo-1084224531-HUMANIZACION</v>
      </c>
    </row>
    <row r="147" spans="1:25" s="60" customFormat="1" x14ac:dyDescent="0.2">
      <c r="A147" s="61">
        <v>146</v>
      </c>
      <c r="B147" s="62">
        <v>1081275853</v>
      </c>
      <c r="C147" s="87" t="s">
        <v>485</v>
      </c>
      <c r="D147" s="87" t="s">
        <v>364</v>
      </c>
      <c r="E147" s="87" t="s">
        <v>486</v>
      </c>
      <c r="F147" s="87" t="s">
        <v>384</v>
      </c>
      <c r="G147" s="87">
        <v>26</v>
      </c>
      <c r="H147" s="62" t="s">
        <v>127</v>
      </c>
      <c r="I147" s="62" t="s">
        <v>128</v>
      </c>
      <c r="J147" s="89" t="s">
        <v>334</v>
      </c>
      <c r="K147" s="92" t="s">
        <v>484</v>
      </c>
      <c r="L147" s="83">
        <v>80000</v>
      </c>
      <c r="M147" s="87" t="s">
        <v>220</v>
      </c>
      <c r="N147" s="62" t="s">
        <v>131</v>
      </c>
      <c r="O147" s="62" t="s">
        <v>257</v>
      </c>
      <c r="P147" s="62" t="s">
        <v>45</v>
      </c>
      <c r="Q147" s="63">
        <v>38986</v>
      </c>
      <c r="R147" s="87" t="s">
        <v>208</v>
      </c>
      <c r="S147" s="96" t="s">
        <v>483</v>
      </c>
      <c r="T147" s="68">
        <v>3012060940</v>
      </c>
      <c r="U147" s="62"/>
      <c r="V147" s="66" t="str">
        <f>IF(P147=CURSOS!$D$3,"DIPLOMADO EN ATENCION PRE-HOSPITALARIA",IF(P147=CURSOS!$D$4,"ACOMPAÑAMIENTO Y MANEJO DEL DUELO",IF(P147=CURSOS!$D$5,"ATENCION A VICTIMAS DE ATAQUE CON AGENTES QUIMICOS ",IF(P147=CURSOS!$D$6,"PRIMEROS AUXILIOS ",IF(P147=CURSOS!$D$7,"DIPLOMADO DE UNIDAD DE CUIDADOS INTENSIVOS (UCI)",IF(P147=CURSOS!$D$8,"MODELO DE ATENCION PARA EVENTOS EMERGENTES EN SALUD MENTAL (CODIGO VERDE)",IF(P147=CURSOS!$D$9,"HUMANIZACION EN EL SERVICIO DE LA SALUD Y BUENAS PRACTICAS EN PACIENTE ",IF(P147=CURSOS!$D$10,"CLINICA DE HERIDAS ",IF(P147=CURSOS!$D$11,"TOMA DE CITOLOGIA CERVICO VAGINAL ",IF(P147=CURSOS!$D$12,"SOPORTE CARDIOVASCULAR AVANZADO (ACLS) ",IF(P147=CURSOS!$D$13,"CAMILLERO ",IF(P147=CURSOS!$D$14,"TOMA DE MUESTRAS Y LABORATORIO ",IF(P147=CURSOS!$D$15,"SOPORTE VITAL BASICO (BLS)",IF(P147=CURSOS!$D$16,"ATENCION A VICTIMAS DE VIOLENCIA SEXUAL ",IF(P147=CURSOS!$D$17,"PROGRAMADO AMPLIADO DE INMUNIZACION (PAI - COVID 19)",IF(P147=CURSOS!$D$18,"ATENCION INTEGRAL EN ENFERMEDADES PREVALENTES EN PRIMERA INFANCIA (AIEPI)",IF(P147=CURSOS!$D$19,"ADMINISTRACION DE MEDICAMENTOS, INYECTOLOGIA  Y CANALIZACION ",IF(P147=CURSOS!$D$20,"OPERADOR DE VEHICULOS DE EMERGENCIA (OVE)",IF(P147=CURSOS!$D$21,"INSTITUCIONES AMIGAS DE LA MUJER Y LA INFANCIA (IAMI)",IF(P147=CURSOS!$D$22,"CUIDADO DEL DONANTE DE ORGANOS",IF(P147=CURSOS!$D$23,"ATENCION A VICTIMAS POR VIOLENCIA DE GENERO",IF(P147=CURSOS!$D$24,"IGUALDAD DE GENERO EN LA SALUD",IF(P147=CURSOS!$D$25,"BRIGADA DE EMERGENCIA",IF(P147=CURSOS!$D$26,"MANEJO DEL DOLOR Y CUIDADOS PALIATIVOS",IF(P147=CURSOS!$D$27,"TOMA DE MUESTRAS Y LABORATORIO POCT",IF(P147=CURSOS!$D$28,"IMPLANTE SUBDERMICO DE DISPOSITIVO INTRAUTERINO",IF(P147=CURSOS!$D$29,"SALUD MENTAL",IF(P147=CURSOS!$D$30,"PRIMEROS AUXILIOS PSICOLOGICOS",IF(P147=CURSOS!$D$31,"ATENCION A VICTIMAS POR CONFLICTO ARMADO",IF(P147=CURSOS!$D$32,"MANIPULACION DE ALIMENTOS Y BPM",IF(P147=CURSOS!$D$33,"ATENCION A PERSONAS CON DISCAPACIDAD",IF(P147=CURSOS!$D$34,"CUIDADO INTEGRAL DEL PACIENTE ADULTO",IF(P147=CURSOS!$D$35,"MANEJO DEFENSIVO",IF(P147=CURSOS!$D$36,"SOPORTE CARDIOVASCULAR AVANZADO NEONATAL",IF(P147=CURSOS!$D$37,"SEGURIDAD DEL PACIENTE",IF(P147=CURSOS!$D$38,"MANEJO DE RESIDUOS HOSPITALARIOS"))))))))))))))))))))))))))))))))))))</f>
        <v xml:space="preserve">ADMINISTRACION DE MEDICAMENTOS, INYECTOLOGIA  Y CANALIZACION </v>
      </c>
      <c r="W147" s="66" t="str">
        <f t="shared" si="8"/>
        <v>Lizeth Valeria Dorado Muñoz</v>
      </c>
      <c r="X147" s="66" t="str">
        <f t="shared" si="9"/>
        <v>Lizeth Valeria Dorado Muñoz</v>
      </c>
      <c r="Y147" s="66" t="str">
        <f t="shared" si="10"/>
        <v>Lizeth Valeria Dorado Muñoz-1081275853-ADMON DE MEDICAMENTOS</v>
      </c>
    </row>
    <row r="148" spans="1:25" s="60" customFormat="1" x14ac:dyDescent="0.2">
      <c r="A148" s="61">
        <v>147</v>
      </c>
      <c r="B148" s="62">
        <v>87455931</v>
      </c>
      <c r="C148" s="62" t="s">
        <v>383</v>
      </c>
      <c r="D148" s="62" t="s">
        <v>181</v>
      </c>
      <c r="E148" s="62" t="s">
        <v>487</v>
      </c>
      <c r="F148" s="62" t="s">
        <v>419</v>
      </c>
      <c r="G148" s="62">
        <v>28</v>
      </c>
      <c r="H148" s="62" t="s">
        <v>127</v>
      </c>
      <c r="I148" s="62" t="s">
        <v>226</v>
      </c>
      <c r="J148" s="63" t="s">
        <v>232</v>
      </c>
      <c r="K148" s="64">
        <v>45775</v>
      </c>
      <c r="L148" s="83">
        <v>32000</v>
      </c>
      <c r="M148" s="62" t="s">
        <v>220</v>
      </c>
      <c r="N148" s="62" t="s">
        <v>131</v>
      </c>
      <c r="O148" s="62" t="s">
        <v>257</v>
      </c>
      <c r="P148" s="62" t="s">
        <v>25</v>
      </c>
      <c r="Q148" s="63">
        <v>30763</v>
      </c>
      <c r="R148" s="62" t="s">
        <v>209</v>
      </c>
      <c r="S148" s="97" t="s">
        <v>264</v>
      </c>
      <c r="T148" s="68">
        <v>3148934653</v>
      </c>
      <c r="U148" s="62" t="s">
        <v>488</v>
      </c>
      <c r="V148" s="66" t="str">
        <f>IF(P148=CURSOS!$D$3,"DIPLOMADO EN ATENCION PRE-HOSPITALARIA",IF(P148=CURSOS!$D$4,"ACOMPAÑAMIENTO Y MANEJO DEL DUELO",IF(P148=CURSOS!$D$5,"ATENCION A VICTIMAS DE ATAQUE CON AGENTES QUIMICOS ",IF(P148=CURSOS!$D$6,"PRIMEROS AUXILIOS ",IF(P148=CURSOS!$D$7,"DIPLOMADO DE UNIDAD DE CUIDADOS INTENSIVOS (UCI)",IF(P148=CURSOS!$D$8,"MODELO DE ATENCION PARA EVENTOS EMERGENTES EN SALUD MENTAL (CODIGO VERDE)",IF(P148=CURSOS!$D$9,"HUMANIZACION EN EL SERVICIO DE LA SALUD Y BUENAS PRACTICAS EN PACIENTE ",IF(P148=CURSOS!$D$10,"CLINICA DE HERIDAS ",IF(P148=CURSOS!$D$11,"TOMA DE CITOLOGIA CERVICO VAGINAL ",IF(P148=CURSOS!$D$12,"SOPORTE CARDIOVASCULAR AVANZADO (ACLS) ",IF(P148=CURSOS!$D$13,"CAMILLERO ",IF(P148=CURSOS!$D$14,"TOMA DE MUESTRAS Y LABORATORIO ",IF(P148=CURSOS!$D$15,"SOPORTE VITAL BASICO (BLS)",IF(P148=CURSOS!$D$16,"ATENCION A VICTIMAS DE VIOLENCIA SEXUAL ",IF(P148=CURSOS!$D$17,"PROGRAMADO AMPLIADO DE INMUNIZACION (PAI - COVID 19)",IF(P148=CURSOS!$D$18,"ATENCION INTEGRAL EN ENFERMEDADES PREVALENTES EN PRIMERA INFANCIA (AIEPI)",IF(P148=CURSOS!$D$19,"ADMINISTRACION DE MEDICAMENTOS, INYECTOLOGIA  Y CANALIZACION ",IF(P148=CURSOS!$D$20,"OPERADOR DE VEHICULOS DE EMERGENCIA (OVE)",IF(P148=CURSOS!$D$21,"INSTITUCIONES AMIGAS DE LA MUJER Y LA INFANCIA (IAMI)",IF(P148=CURSOS!$D$22,"CUIDADO DEL DONANTE DE ORGANOS",IF(P148=CURSOS!$D$23,"ATENCION A VICTIMAS POR VIOLENCIA DE GENERO",IF(P148=CURSOS!$D$24,"IGUALDAD DE GENERO EN LA SALUD",IF(P148=CURSOS!$D$25,"BRIGADA DE EMERGENCIA",IF(P148=CURSOS!$D$26,"MANEJO DEL DOLOR Y CUIDADOS PALIATIVOS",IF(P148=CURSOS!$D$27,"TOMA DE MUESTRAS Y LABORATORIO POCT",IF(P148=CURSOS!$D$28,"IMPLANTE SUBDERMICO DE DISPOSITIVO INTRAUTERINO",IF(P148=CURSOS!$D$29,"SALUD MENTAL",IF(P148=CURSOS!$D$30,"PRIMEROS AUXILIOS PSICOLOGICOS",IF(P148=CURSOS!$D$31,"ATENCION A VICTIMAS POR CONFLICTO ARMADO",IF(P148=CURSOS!$D$32,"MANIPULACION DE ALIMENTOS Y BPM",IF(P148=CURSOS!$D$33,"ATENCION A PERSONAS CON DISCAPACIDAD",IF(P148=CURSOS!$D$34,"CUIDADO INTEGRAL DEL PACIENTE ADULTO",IF(P148=CURSOS!$D$35,"MANEJO DEFENSIVO",IF(P148=CURSOS!$D$36,"SOPORTE CARDIOVASCULAR AVANZADO NEONATAL",IF(P148=CURSOS!$D$37,"SEGURIDAD DEL PACIENTE",IF(P148=CURSOS!$D$38,"MANEJO DE RESIDUOS HOSPITALARIOS"))))))))))))))))))))))))))))))))))))</f>
        <v xml:space="preserve">ATENCION A VICTIMAS DE ATAQUE CON AGENTES QUIMICOS </v>
      </c>
      <c r="W148" s="66" t="str">
        <f t="shared" si="8"/>
        <v>Bairon Alexander Delgado Ceron</v>
      </c>
      <c r="X148" s="66" t="str">
        <f t="shared" si="9"/>
        <v>Bairon Alexander Delgado Ceron</v>
      </c>
      <c r="Y148" s="66" t="str">
        <f t="shared" si="10"/>
        <v>Bairon Alexander Delgado Ceron-87455931-QUIMICOS</v>
      </c>
    </row>
    <row r="149" spans="1:25" s="60" customFormat="1" x14ac:dyDescent="0.2">
      <c r="A149" s="61">
        <v>148</v>
      </c>
      <c r="B149" s="62">
        <v>87455931</v>
      </c>
      <c r="C149" s="62" t="s">
        <v>383</v>
      </c>
      <c r="D149" s="62" t="s">
        <v>181</v>
      </c>
      <c r="E149" s="62" t="s">
        <v>487</v>
      </c>
      <c r="F149" s="62" t="s">
        <v>419</v>
      </c>
      <c r="G149" s="62">
        <v>28</v>
      </c>
      <c r="H149" s="62" t="s">
        <v>127</v>
      </c>
      <c r="I149" s="62" t="s">
        <v>226</v>
      </c>
      <c r="J149" s="63" t="s">
        <v>232</v>
      </c>
      <c r="K149" s="64">
        <v>45775</v>
      </c>
      <c r="L149" s="83">
        <v>32000</v>
      </c>
      <c r="M149" s="62" t="s">
        <v>220</v>
      </c>
      <c r="N149" s="62" t="s">
        <v>131</v>
      </c>
      <c r="O149" s="62" t="s">
        <v>257</v>
      </c>
      <c r="P149" s="62" t="s">
        <v>42</v>
      </c>
      <c r="Q149" s="63">
        <v>30763</v>
      </c>
      <c r="R149" s="62" t="s">
        <v>209</v>
      </c>
      <c r="S149" s="97" t="s">
        <v>264</v>
      </c>
      <c r="T149" s="68">
        <v>3148934653</v>
      </c>
      <c r="U149" s="62" t="s">
        <v>488</v>
      </c>
      <c r="V149" s="66" t="str">
        <f>IF(P149=CURSOS!$D$3,"DIPLOMADO EN ATENCION PRE-HOSPITALARIA",IF(P149=CURSOS!$D$4,"ACOMPAÑAMIENTO Y MANEJO DEL DUELO",IF(P149=CURSOS!$D$5,"ATENCION A VICTIMAS DE ATAQUE CON AGENTES QUIMICOS ",IF(P149=CURSOS!$D$6,"PRIMEROS AUXILIOS ",IF(P149=CURSOS!$D$7,"DIPLOMADO DE UNIDAD DE CUIDADOS INTENSIVOS (UCI)",IF(P149=CURSOS!$D$8,"MODELO DE ATENCION PARA EVENTOS EMERGENTES EN SALUD MENTAL (CODIGO VERDE)",IF(P149=CURSOS!$D$9,"HUMANIZACION EN EL SERVICIO DE LA SALUD Y BUENAS PRACTICAS EN PACIENTE ",IF(P149=CURSOS!$D$10,"CLINICA DE HERIDAS ",IF(P149=CURSOS!$D$11,"TOMA DE CITOLOGIA CERVICO VAGINAL ",IF(P149=CURSOS!$D$12,"SOPORTE CARDIOVASCULAR AVANZADO (ACLS) ",IF(P149=CURSOS!$D$13,"CAMILLERO ",IF(P149=CURSOS!$D$14,"TOMA DE MUESTRAS Y LABORATORIO ",IF(P149=CURSOS!$D$15,"SOPORTE VITAL BASICO (BLS)",IF(P149=CURSOS!$D$16,"ATENCION A VICTIMAS DE VIOLENCIA SEXUAL ",IF(P149=CURSOS!$D$17,"PROGRAMADO AMPLIADO DE INMUNIZACION (PAI - COVID 19)",IF(P149=CURSOS!$D$18,"ATENCION INTEGRAL EN ENFERMEDADES PREVALENTES EN PRIMERA INFANCIA (AIEPI)",IF(P149=CURSOS!$D$19,"ADMINISTRACION DE MEDICAMENTOS, INYECTOLOGIA  Y CANALIZACION ",IF(P149=CURSOS!$D$20,"OPERADOR DE VEHICULOS DE EMERGENCIA (OVE)",IF(P149=CURSOS!$D$21,"INSTITUCIONES AMIGAS DE LA MUJER Y LA INFANCIA (IAMI)",IF(P149=CURSOS!$D$22,"CUIDADO DEL DONANTE DE ORGANOS",IF(P149=CURSOS!$D$23,"ATENCION A VICTIMAS POR VIOLENCIA DE GENERO",IF(P149=CURSOS!$D$24,"IGUALDAD DE GENERO EN LA SALUD",IF(P149=CURSOS!$D$25,"BRIGADA DE EMERGENCIA",IF(P149=CURSOS!$D$26,"MANEJO DEL DOLOR Y CUIDADOS PALIATIVOS",IF(P149=CURSOS!$D$27,"TOMA DE MUESTRAS Y LABORATORIO POCT",IF(P149=CURSOS!$D$28,"IMPLANTE SUBDERMICO DE DISPOSITIVO INTRAUTERINO",IF(P149=CURSOS!$D$29,"SALUD MENTAL",IF(P149=CURSOS!$D$30,"PRIMEROS AUXILIOS PSICOLOGICOS",IF(P149=CURSOS!$D$31,"ATENCION A VICTIMAS POR CONFLICTO ARMADO",IF(P149=CURSOS!$D$32,"MANIPULACION DE ALIMENTOS Y BPM",IF(P149=CURSOS!$D$33,"ATENCION A PERSONAS CON DISCAPACIDAD",IF(P149=CURSOS!$D$34,"CUIDADO INTEGRAL DEL PACIENTE ADULTO",IF(P149=CURSOS!$D$35,"MANEJO DEFENSIVO",IF(P149=CURSOS!$D$36,"SOPORTE CARDIOVASCULAR AVANZADO NEONATAL",IF(P149=CURSOS!$D$37,"SEGURIDAD DEL PACIENTE",IF(P149=CURSOS!$D$38,"MANEJO DE RESIDUOS HOSPITALARIOS"))))))))))))))))))))))))))))))))))))</f>
        <v xml:space="preserve">ATENCION A VICTIMAS DE VIOLENCIA SEXUAL </v>
      </c>
      <c r="W149" s="66" t="str">
        <f t="shared" si="8"/>
        <v>Bairon Alexander Delgado Ceron</v>
      </c>
      <c r="X149" s="66" t="str">
        <f t="shared" si="9"/>
        <v>Bairon Alexander Delgado Ceron</v>
      </c>
      <c r="Y149" s="66" t="str">
        <f t="shared" si="10"/>
        <v>Bairon Alexander Delgado Ceron-87455931-VIOLENCIA SEXUAL</v>
      </c>
    </row>
    <row r="150" spans="1:25" s="60" customFormat="1" x14ac:dyDescent="0.2">
      <c r="A150" s="61">
        <v>149</v>
      </c>
      <c r="B150" s="62">
        <v>849921</v>
      </c>
      <c r="C150" s="62" t="s">
        <v>489</v>
      </c>
      <c r="D150" s="62" t="s">
        <v>490</v>
      </c>
      <c r="E150" s="62" t="s">
        <v>491</v>
      </c>
      <c r="F150" s="62"/>
      <c r="G150" s="62">
        <v>28</v>
      </c>
      <c r="H150" s="62" t="s">
        <v>127</v>
      </c>
      <c r="I150" s="63" t="s">
        <v>226</v>
      </c>
      <c r="J150" s="63" t="s">
        <v>334</v>
      </c>
      <c r="K150" s="64">
        <v>45775</v>
      </c>
      <c r="L150" s="65">
        <v>100000</v>
      </c>
      <c r="M150" s="62" t="s">
        <v>220</v>
      </c>
      <c r="N150" s="62" t="s">
        <v>131</v>
      </c>
      <c r="O150" s="62" t="s">
        <v>257</v>
      </c>
      <c r="P150" s="62" t="s">
        <v>37</v>
      </c>
      <c r="Q150" s="63">
        <v>34055</v>
      </c>
      <c r="R150" s="62" t="s">
        <v>208</v>
      </c>
      <c r="S150" s="96" t="s">
        <v>492</v>
      </c>
      <c r="T150" s="62">
        <v>3166385291</v>
      </c>
      <c r="U150" s="62" t="s">
        <v>493</v>
      </c>
      <c r="V150" s="66" t="str">
        <f>IF(P150=CURSOS!$D$3,"DIPLOMADO EN ATENCION PRE-HOSPITALARIA",IF(P150=CURSOS!$D$4,"ACOMPAÑAMIENTO Y MANEJO DEL DUELO",IF(P150=CURSOS!$D$5,"ATENCION A VICTIMAS DE ATAQUE CON AGENTES QUIMICOS ",IF(P150=CURSOS!$D$6,"PRIMEROS AUXILIOS ",IF(P150=CURSOS!$D$7,"DIPLOMADO DE UNIDAD DE CUIDADOS INTENSIVOS (UCI)",IF(P150=CURSOS!$D$8,"MODELO DE ATENCION PARA EVENTOS EMERGENTES EN SALUD MENTAL (CODIGO VERDE)",IF(P150=CURSOS!$D$9,"HUMANIZACION EN EL SERVICIO DE LA SALUD Y BUENAS PRACTICAS EN PACIENTE ",IF(P150=CURSOS!$D$10,"CLINICA DE HERIDAS ",IF(P150=CURSOS!$D$11,"TOMA DE CITOLOGIA CERVICO VAGINAL ",IF(P150=CURSOS!$D$12,"SOPORTE CARDIOVASCULAR AVANZADO (ACLS) ",IF(P150=CURSOS!$D$13,"CAMILLERO ",IF(P150=CURSOS!$D$14,"TOMA DE MUESTRAS Y LABORATORIO ",IF(P150=CURSOS!$D$15,"SOPORTE VITAL BASICO (BLS)",IF(P150=CURSOS!$D$16,"ATENCION A VICTIMAS DE VIOLENCIA SEXUAL ",IF(P150=CURSOS!$D$17,"PROGRAMADO AMPLIADO DE INMUNIZACION (PAI - COVID 19)",IF(P150=CURSOS!$D$18,"ATENCION INTEGRAL EN ENFERMEDADES PREVALENTES EN PRIMERA INFANCIA (AIEPI)",IF(P150=CURSOS!$D$19,"ADMINISTRACION DE MEDICAMENTOS, INYECTOLOGIA  Y CANALIZACION ",IF(P150=CURSOS!$D$20,"OPERADOR DE VEHICULOS DE EMERGENCIA (OVE)",IF(P150=CURSOS!$D$21,"INSTITUCIONES AMIGAS DE LA MUJER Y LA INFANCIA (IAMI)",IF(P150=CURSOS!$D$22,"CUIDADO DEL DONANTE DE ORGANOS",IF(P150=CURSOS!$D$23,"ATENCION A VICTIMAS POR VIOLENCIA DE GENERO",IF(P150=CURSOS!$D$24,"IGUALDAD DE GENERO EN LA SALUD",IF(P150=CURSOS!$D$25,"BRIGADA DE EMERGENCIA",IF(P150=CURSOS!$D$26,"MANEJO DEL DOLOR Y CUIDADOS PALIATIVOS",IF(P150=CURSOS!$D$27,"TOMA DE MUESTRAS Y LABORATORIO POCT",IF(P150=CURSOS!$D$28,"IMPLANTE SUBDERMICO DE DISPOSITIVO INTRAUTERINO",IF(P150=CURSOS!$D$29,"SALUD MENTAL",IF(P150=CURSOS!$D$30,"PRIMEROS AUXILIOS PSICOLOGICOS",IF(P150=CURSOS!$D$31,"ATENCION A VICTIMAS POR CONFLICTO ARMADO",IF(P150=CURSOS!$D$32,"MANIPULACION DE ALIMENTOS Y BPM",IF(P150=CURSOS!$D$33,"ATENCION A PERSONAS CON DISCAPACIDAD",IF(P150=CURSOS!$D$34,"CUIDADO INTEGRAL DEL PACIENTE ADULTO",IF(P150=CURSOS!$D$35,"MANEJO DEFENSIVO",IF(P150=CURSOS!$D$36,"SOPORTE CARDIOVASCULAR AVANZADO NEONATAL",IF(P150=CURSOS!$D$37,"SEGURIDAD DEL PACIENTE",IF(P150=CURSOS!$D$38,"MANEJO DE RESIDUOS HOSPITALARIOS"))))))))))))))))))))))))))))))))))))</f>
        <v xml:space="preserve">SOPORTE CARDIOVASCULAR AVANZADO (ACLS) </v>
      </c>
      <c r="W150" s="66" t="str">
        <f t="shared" si="8"/>
        <v>Yeili  Lara Pérez</v>
      </c>
      <c r="X150" s="66" t="str">
        <f t="shared" si="9"/>
        <v>Yeili  Lara Pérez</v>
      </c>
      <c r="Y150" s="66" t="str">
        <f t="shared" si="10"/>
        <v>Yeili  Lara Pérez-849921-ACLS</v>
      </c>
    </row>
    <row r="151" spans="1:25" s="60" customFormat="1" x14ac:dyDescent="0.2">
      <c r="A151" s="61">
        <v>150</v>
      </c>
      <c r="B151" s="62">
        <v>849921</v>
      </c>
      <c r="C151" s="62" t="s">
        <v>489</v>
      </c>
      <c r="D151" s="62" t="s">
        <v>490</v>
      </c>
      <c r="E151" s="62" t="s">
        <v>491</v>
      </c>
      <c r="F151" s="62"/>
      <c r="G151" s="62">
        <v>26</v>
      </c>
      <c r="H151" s="62" t="s">
        <v>127</v>
      </c>
      <c r="I151" s="63" t="s">
        <v>226</v>
      </c>
      <c r="J151" s="63" t="s">
        <v>334</v>
      </c>
      <c r="K151" s="64">
        <v>45775</v>
      </c>
      <c r="L151" s="65">
        <v>25000</v>
      </c>
      <c r="M151" s="62" t="s">
        <v>220</v>
      </c>
      <c r="N151" s="62" t="s">
        <v>131</v>
      </c>
      <c r="O151" s="62" t="s">
        <v>257</v>
      </c>
      <c r="P151" s="62" t="s">
        <v>42</v>
      </c>
      <c r="Q151" s="63">
        <v>34055</v>
      </c>
      <c r="R151" s="62" t="s">
        <v>208</v>
      </c>
      <c r="S151" s="96" t="s">
        <v>492</v>
      </c>
      <c r="T151" s="62">
        <v>3166385291</v>
      </c>
      <c r="U151" s="62" t="s">
        <v>493</v>
      </c>
      <c r="V151" s="66" t="str">
        <f>IF(P151=CURSOS!$D$3,"DIPLOMADO EN ATENCION PRE-HOSPITALARIA",IF(P151=CURSOS!$D$4,"ACOMPAÑAMIENTO Y MANEJO DEL DUELO",IF(P151=CURSOS!$D$5,"ATENCION A VICTIMAS DE ATAQUE CON AGENTES QUIMICOS ",IF(P151=CURSOS!$D$6,"PRIMEROS AUXILIOS ",IF(P151=CURSOS!$D$7,"DIPLOMADO DE UNIDAD DE CUIDADOS INTENSIVOS (UCI)",IF(P151=CURSOS!$D$8,"MODELO DE ATENCION PARA EVENTOS EMERGENTES EN SALUD MENTAL (CODIGO VERDE)",IF(P151=CURSOS!$D$9,"HUMANIZACION EN EL SERVICIO DE LA SALUD Y BUENAS PRACTICAS EN PACIENTE ",IF(P151=CURSOS!$D$10,"CLINICA DE HERIDAS ",IF(P151=CURSOS!$D$11,"TOMA DE CITOLOGIA CERVICO VAGINAL ",IF(P151=CURSOS!$D$12,"SOPORTE CARDIOVASCULAR AVANZADO (ACLS) ",IF(P151=CURSOS!$D$13,"CAMILLERO ",IF(P151=CURSOS!$D$14,"TOMA DE MUESTRAS Y LABORATORIO ",IF(P151=CURSOS!$D$15,"SOPORTE VITAL BASICO (BLS)",IF(P151=CURSOS!$D$16,"ATENCION A VICTIMAS DE VIOLENCIA SEXUAL ",IF(P151=CURSOS!$D$17,"PROGRAMADO AMPLIADO DE INMUNIZACION (PAI - COVID 19)",IF(P151=CURSOS!$D$18,"ATENCION INTEGRAL EN ENFERMEDADES PREVALENTES EN PRIMERA INFANCIA (AIEPI)",IF(P151=CURSOS!$D$19,"ADMINISTRACION DE MEDICAMENTOS, INYECTOLOGIA  Y CANALIZACION ",IF(P151=CURSOS!$D$20,"OPERADOR DE VEHICULOS DE EMERGENCIA (OVE)",IF(P151=CURSOS!$D$21,"INSTITUCIONES AMIGAS DE LA MUJER Y LA INFANCIA (IAMI)",IF(P151=CURSOS!$D$22,"CUIDADO DEL DONANTE DE ORGANOS",IF(P151=CURSOS!$D$23,"ATENCION A VICTIMAS POR VIOLENCIA DE GENERO",IF(P151=CURSOS!$D$24,"IGUALDAD DE GENERO EN LA SALUD",IF(P151=CURSOS!$D$25,"BRIGADA DE EMERGENCIA",IF(P151=CURSOS!$D$26,"MANEJO DEL DOLOR Y CUIDADOS PALIATIVOS",IF(P151=CURSOS!$D$27,"TOMA DE MUESTRAS Y LABORATORIO POCT",IF(P151=CURSOS!$D$28,"IMPLANTE SUBDERMICO DE DISPOSITIVO INTRAUTERINO",IF(P151=CURSOS!$D$29,"SALUD MENTAL",IF(P151=CURSOS!$D$30,"PRIMEROS AUXILIOS PSICOLOGICOS",IF(P151=CURSOS!$D$31,"ATENCION A VICTIMAS POR CONFLICTO ARMADO",IF(P151=CURSOS!$D$32,"MANIPULACION DE ALIMENTOS Y BPM",IF(P151=CURSOS!$D$33,"ATENCION A PERSONAS CON DISCAPACIDAD",IF(P151=CURSOS!$D$34,"CUIDADO INTEGRAL DEL PACIENTE ADULTO",IF(P151=CURSOS!$D$35,"MANEJO DEFENSIVO",IF(P151=CURSOS!$D$36,"SOPORTE CARDIOVASCULAR AVANZADO NEONATAL",IF(P151=CURSOS!$D$37,"SEGURIDAD DEL PACIENTE",IF(P151=CURSOS!$D$38,"MANEJO DE RESIDUOS HOSPITALARIOS"))))))))))))))))))))))))))))))))))))</f>
        <v xml:space="preserve">ATENCION A VICTIMAS DE VIOLENCIA SEXUAL </v>
      </c>
      <c r="W151" s="66" t="str">
        <f t="shared" si="8"/>
        <v>Yeili  Lara Pérez</v>
      </c>
      <c r="X151" s="66" t="str">
        <f t="shared" si="9"/>
        <v>Yeili  Lara Pérez</v>
      </c>
      <c r="Y151" s="66" t="str">
        <f t="shared" si="10"/>
        <v>Yeili  Lara Pérez-849921-VIOLENCIA SEXUAL</v>
      </c>
    </row>
    <row r="152" spans="1:25" s="60" customFormat="1" x14ac:dyDescent="0.2">
      <c r="A152" s="61">
        <v>151</v>
      </c>
      <c r="B152" s="62">
        <v>849921</v>
      </c>
      <c r="C152" s="62" t="s">
        <v>489</v>
      </c>
      <c r="D152" s="62" t="s">
        <v>490</v>
      </c>
      <c r="E152" s="62" t="s">
        <v>491</v>
      </c>
      <c r="F152" s="62"/>
      <c r="G152" s="62">
        <v>25</v>
      </c>
      <c r="H152" s="62" t="s">
        <v>127</v>
      </c>
      <c r="I152" s="63" t="s">
        <v>226</v>
      </c>
      <c r="J152" s="63" t="s">
        <v>334</v>
      </c>
      <c r="K152" s="64">
        <v>45775</v>
      </c>
      <c r="L152" s="65">
        <v>25000</v>
      </c>
      <c r="M152" s="62" t="s">
        <v>220</v>
      </c>
      <c r="N152" s="62" t="s">
        <v>131</v>
      </c>
      <c r="O152" s="62" t="s">
        <v>257</v>
      </c>
      <c r="P152" s="62" t="s">
        <v>25</v>
      </c>
      <c r="Q152" s="63">
        <v>34055</v>
      </c>
      <c r="R152" s="62" t="s">
        <v>208</v>
      </c>
      <c r="S152" s="96" t="s">
        <v>492</v>
      </c>
      <c r="T152" s="62">
        <v>3166385291</v>
      </c>
      <c r="U152" s="62" t="s">
        <v>493</v>
      </c>
      <c r="V152" s="66" t="str">
        <f>IF(P152=CURSOS!$D$3,"DIPLOMADO EN ATENCION PRE-HOSPITALARIA",IF(P152=CURSOS!$D$4,"ACOMPAÑAMIENTO Y MANEJO DEL DUELO",IF(P152=CURSOS!$D$5,"ATENCION A VICTIMAS DE ATAQUE CON AGENTES QUIMICOS ",IF(P152=CURSOS!$D$6,"PRIMEROS AUXILIOS ",IF(P152=CURSOS!$D$7,"DIPLOMADO DE UNIDAD DE CUIDADOS INTENSIVOS (UCI)",IF(P152=CURSOS!$D$8,"MODELO DE ATENCION PARA EVENTOS EMERGENTES EN SALUD MENTAL (CODIGO VERDE)",IF(P152=CURSOS!$D$9,"HUMANIZACION EN EL SERVICIO DE LA SALUD Y BUENAS PRACTICAS EN PACIENTE ",IF(P152=CURSOS!$D$10,"CLINICA DE HERIDAS ",IF(P152=CURSOS!$D$11,"TOMA DE CITOLOGIA CERVICO VAGINAL ",IF(P152=CURSOS!$D$12,"SOPORTE CARDIOVASCULAR AVANZADO (ACLS) ",IF(P152=CURSOS!$D$13,"CAMILLERO ",IF(P152=CURSOS!$D$14,"TOMA DE MUESTRAS Y LABORATORIO ",IF(P152=CURSOS!$D$15,"SOPORTE VITAL BASICO (BLS)",IF(P152=CURSOS!$D$16,"ATENCION A VICTIMAS DE VIOLENCIA SEXUAL ",IF(P152=CURSOS!$D$17,"PROGRAMADO AMPLIADO DE INMUNIZACION (PAI - COVID 19)",IF(P152=CURSOS!$D$18,"ATENCION INTEGRAL EN ENFERMEDADES PREVALENTES EN PRIMERA INFANCIA (AIEPI)",IF(P152=CURSOS!$D$19,"ADMINISTRACION DE MEDICAMENTOS, INYECTOLOGIA  Y CANALIZACION ",IF(P152=CURSOS!$D$20,"OPERADOR DE VEHICULOS DE EMERGENCIA (OVE)",IF(P152=CURSOS!$D$21,"INSTITUCIONES AMIGAS DE LA MUJER Y LA INFANCIA (IAMI)",IF(P152=CURSOS!$D$22,"CUIDADO DEL DONANTE DE ORGANOS",IF(P152=CURSOS!$D$23,"ATENCION A VICTIMAS POR VIOLENCIA DE GENERO",IF(P152=CURSOS!$D$24,"IGUALDAD DE GENERO EN LA SALUD",IF(P152=CURSOS!$D$25,"BRIGADA DE EMERGENCIA",IF(P152=CURSOS!$D$26,"MANEJO DEL DOLOR Y CUIDADOS PALIATIVOS",IF(P152=CURSOS!$D$27,"TOMA DE MUESTRAS Y LABORATORIO POCT",IF(P152=CURSOS!$D$28,"IMPLANTE SUBDERMICO DE DISPOSITIVO INTRAUTERINO",IF(P152=CURSOS!$D$29,"SALUD MENTAL",IF(P152=CURSOS!$D$30,"PRIMEROS AUXILIOS PSICOLOGICOS",IF(P152=CURSOS!$D$31,"ATENCION A VICTIMAS POR CONFLICTO ARMADO",IF(P152=CURSOS!$D$32,"MANIPULACION DE ALIMENTOS Y BPM",IF(P152=CURSOS!$D$33,"ATENCION A PERSONAS CON DISCAPACIDAD",IF(P152=CURSOS!$D$34,"CUIDADO INTEGRAL DEL PACIENTE ADULTO",IF(P152=CURSOS!$D$35,"MANEJO DEFENSIVO",IF(P152=CURSOS!$D$36,"SOPORTE CARDIOVASCULAR AVANZADO NEONATAL",IF(P152=CURSOS!$D$37,"SEGURIDAD DEL PACIENTE",IF(P152=CURSOS!$D$38,"MANEJO DE RESIDUOS HOSPITALARIOS"))))))))))))))))))))))))))))))))))))</f>
        <v xml:space="preserve">ATENCION A VICTIMAS DE ATAQUE CON AGENTES QUIMICOS </v>
      </c>
      <c r="W152" s="66" t="str">
        <f t="shared" si="8"/>
        <v>Yeili  Lara Pérez</v>
      </c>
      <c r="X152" s="66" t="str">
        <f t="shared" si="9"/>
        <v>Yeili  Lara Pérez</v>
      </c>
      <c r="Y152" s="66" t="str">
        <f t="shared" si="10"/>
        <v>Yeili  Lara Pérez-849921-QUIMICOS</v>
      </c>
    </row>
    <row r="153" spans="1:25" s="60" customFormat="1" x14ac:dyDescent="0.2">
      <c r="A153" s="61">
        <v>152</v>
      </c>
      <c r="B153" s="62">
        <v>87064290</v>
      </c>
      <c r="C153" s="62" t="s">
        <v>494</v>
      </c>
      <c r="D153" s="62" t="s">
        <v>495</v>
      </c>
      <c r="E153" s="62" t="s">
        <v>270</v>
      </c>
      <c r="F153" s="62" t="s">
        <v>496</v>
      </c>
      <c r="G153" s="62">
        <v>28</v>
      </c>
      <c r="H153" s="62" t="s">
        <v>127</v>
      </c>
      <c r="I153" s="63" t="s">
        <v>226</v>
      </c>
      <c r="J153" s="63" t="s">
        <v>334</v>
      </c>
      <c r="K153" s="64">
        <v>45775</v>
      </c>
      <c r="L153" s="65">
        <v>100000</v>
      </c>
      <c r="M153" s="62" t="s">
        <v>220</v>
      </c>
      <c r="N153" s="62" t="s">
        <v>131</v>
      </c>
      <c r="O153" s="62" t="s">
        <v>257</v>
      </c>
      <c r="P153" s="62" t="s">
        <v>37</v>
      </c>
      <c r="Q153" s="63">
        <v>30696</v>
      </c>
      <c r="R153" s="62" t="s">
        <v>209</v>
      </c>
      <c r="S153" s="96" t="s">
        <v>492</v>
      </c>
      <c r="T153" s="62">
        <v>3163443264</v>
      </c>
      <c r="U153" s="62" t="s">
        <v>497</v>
      </c>
      <c r="V153" s="66" t="str">
        <f>IF(P153=CURSOS!$D$3,"DIPLOMADO EN ATENCION PRE-HOSPITALARIA",IF(P153=CURSOS!$D$4,"ACOMPAÑAMIENTO Y MANEJO DEL DUELO",IF(P153=CURSOS!$D$5,"ATENCION A VICTIMAS DE ATAQUE CON AGENTES QUIMICOS ",IF(P153=CURSOS!$D$6,"PRIMEROS AUXILIOS ",IF(P153=CURSOS!$D$7,"DIPLOMADO DE UNIDAD DE CUIDADOS INTENSIVOS (UCI)",IF(P153=CURSOS!$D$8,"MODELO DE ATENCION PARA EVENTOS EMERGENTES EN SALUD MENTAL (CODIGO VERDE)",IF(P153=CURSOS!$D$9,"HUMANIZACION EN EL SERVICIO DE LA SALUD Y BUENAS PRACTICAS EN PACIENTE ",IF(P153=CURSOS!$D$10,"CLINICA DE HERIDAS ",IF(P153=CURSOS!$D$11,"TOMA DE CITOLOGIA CERVICO VAGINAL ",IF(P153=CURSOS!$D$12,"SOPORTE CARDIOVASCULAR AVANZADO (ACLS) ",IF(P153=CURSOS!$D$13,"CAMILLERO ",IF(P153=CURSOS!$D$14,"TOMA DE MUESTRAS Y LABORATORIO ",IF(P153=CURSOS!$D$15,"SOPORTE VITAL BASICO (BLS)",IF(P153=CURSOS!$D$16,"ATENCION A VICTIMAS DE VIOLENCIA SEXUAL ",IF(P153=CURSOS!$D$17,"PROGRAMADO AMPLIADO DE INMUNIZACION (PAI - COVID 19)",IF(P153=CURSOS!$D$18,"ATENCION INTEGRAL EN ENFERMEDADES PREVALENTES EN PRIMERA INFANCIA (AIEPI)",IF(P153=CURSOS!$D$19,"ADMINISTRACION DE MEDICAMENTOS, INYECTOLOGIA  Y CANALIZACION ",IF(P153=CURSOS!$D$20,"OPERADOR DE VEHICULOS DE EMERGENCIA (OVE)",IF(P153=CURSOS!$D$21,"INSTITUCIONES AMIGAS DE LA MUJER Y LA INFANCIA (IAMI)",IF(P153=CURSOS!$D$22,"CUIDADO DEL DONANTE DE ORGANOS",IF(P153=CURSOS!$D$23,"ATENCION A VICTIMAS POR VIOLENCIA DE GENERO",IF(P153=CURSOS!$D$24,"IGUALDAD DE GENERO EN LA SALUD",IF(P153=CURSOS!$D$25,"BRIGADA DE EMERGENCIA",IF(P153=CURSOS!$D$26,"MANEJO DEL DOLOR Y CUIDADOS PALIATIVOS",IF(P153=CURSOS!$D$27,"TOMA DE MUESTRAS Y LABORATORIO POCT",IF(P153=CURSOS!$D$28,"IMPLANTE SUBDERMICO DE DISPOSITIVO INTRAUTERINO",IF(P153=CURSOS!$D$29,"SALUD MENTAL",IF(P153=CURSOS!$D$30,"PRIMEROS AUXILIOS PSICOLOGICOS",IF(P153=CURSOS!$D$31,"ATENCION A VICTIMAS POR CONFLICTO ARMADO",IF(P153=CURSOS!$D$32,"MANIPULACION DE ALIMENTOS Y BPM",IF(P153=CURSOS!$D$33,"ATENCION A PERSONAS CON DISCAPACIDAD",IF(P153=CURSOS!$D$34,"CUIDADO INTEGRAL DEL PACIENTE ADULTO",IF(P153=CURSOS!$D$35,"MANEJO DEFENSIVO",IF(P153=CURSOS!$D$36,"SOPORTE CARDIOVASCULAR AVANZADO NEONATAL",IF(P153=CURSOS!$D$37,"SEGURIDAD DEL PACIENTE",IF(P153=CURSOS!$D$38,"MANEJO DE RESIDUOS HOSPITALARIOS"))))))))))))))))))))))))))))))))))))</f>
        <v xml:space="preserve">SOPORTE CARDIOVASCULAR AVANZADO (ACLS) </v>
      </c>
      <c r="W153" s="66" t="str">
        <f t="shared" si="8"/>
        <v>Jose Miguel Pinza Jojoa</v>
      </c>
      <c r="X153" s="66" t="str">
        <f t="shared" si="9"/>
        <v>Jose Miguel Pinza Jojoa</v>
      </c>
      <c r="Y153" s="66" t="str">
        <f t="shared" si="10"/>
        <v>Jose Miguel Pinza Jojoa-87064290-ACLS</v>
      </c>
    </row>
    <row r="154" spans="1:25" s="60" customFormat="1" x14ac:dyDescent="0.2">
      <c r="A154" s="61">
        <v>153</v>
      </c>
      <c r="B154" s="62">
        <v>87064290</v>
      </c>
      <c r="C154" s="62" t="s">
        <v>494</v>
      </c>
      <c r="D154" s="62" t="s">
        <v>495</v>
      </c>
      <c r="E154" s="62" t="s">
        <v>270</v>
      </c>
      <c r="F154" s="62" t="s">
        <v>496</v>
      </c>
      <c r="G154" s="62">
        <v>26</v>
      </c>
      <c r="H154" s="62" t="s">
        <v>127</v>
      </c>
      <c r="I154" s="63" t="s">
        <v>226</v>
      </c>
      <c r="J154" s="63" t="s">
        <v>334</v>
      </c>
      <c r="K154" s="64">
        <v>45775</v>
      </c>
      <c r="L154" s="65">
        <v>25000</v>
      </c>
      <c r="M154" s="62" t="s">
        <v>220</v>
      </c>
      <c r="N154" s="62" t="s">
        <v>131</v>
      </c>
      <c r="O154" s="62" t="s">
        <v>257</v>
      </c>
      <c r="P154" s="62" t="s">
        <v>42</v>
      </c>
      <c r="Q154" s="63">
        <v>30696</v>
      </c>
      <c r="R154" s="62" t="s">
        <v>209</v>
      </c>
      <c r="S154" s="96" t="s">
        <v>492</v>
      </c>
      <c r="T154" s="62">
        <v>3163443264</v>
      </c>
      <c r="U154" s="62" t="s">
        <v>497</v>
      </c>
      <c r="V154" s="66" t="str">
        <f>IF(P154=CURSOS!$D$3,"DIPLOMADO EN ATENCION PRE-HOSPITALARIA",IF(P154=CURSOS!$D$4,"ACOMPAÑAMIENTO Y MANEJO DEL DUELO",IF(P154=CURSOS!$D$5,"ATENCION A VICTIMAS DE ATAQUE CON AGENTES QUIMICOS ",IF(P154=CURSOS!$D$6,"PRIMEROS AUXILIOS ",IF(P154=CURSOS!$D$7,"DIPLOMADO DE UNIDAD DE CUIDADOS INTENSIVOS (UCI)",IF(P154=CURSOS!$D$8,"MODELO DE ATENCION PARA EVENTOS EMERGENTES EN SALUD MENTAL (CODIGO VERDE)",IF(P154=CURSOS!$D$9,"HUMANIZACION EN EL SERVICIO DE LA SALUD Y BUENAS PRACTICAS EN PACIENTE ",IF(P154=CURSOS!$D$10,"CLINICA DE HERIDAS ",IF(P154=CURSOS!$D$11,"TOMA DE CITOLOGIA CERVICO VAGINAL ",IF(P154=CURSOS!$D$12,"SOPORTE CARDIOVASCULAR AVANZADO (ACLS) ",IF(P154=CURSOS!$D$13,"CAMILLERO ",IF(P154=CURSOS!$D$14,"TOMA DE MUESTRAS Y LABORATORIO ",IF(P154=CURSOS!$D$15,"SOPORTE VITAL BASICO (BLS)",IF(P154=CURSOS!$D$16,"ATENCION A VICTIMAS DE VIOLENCIA SEXUAL ",IF(P154=CURSOS!$D$17,"PROGRAMADO AMPLIADO DE INMUNIZACION (PAI - COVID 19)",IF(P154=CURSOS!$D$18,"ATENCION INTEGRAL EN ENFERMEDADES PREVALENTES EN PRIMERA INFANCIA (AIEPI)",IF(P154=CURSOS!$D$19,"ADMINISTRACION DE MEDICAMENTOS, INYECTOLOGIA  Y CANALIZACION ",IF(P154=CURSOS!$D$20,"OPERADOR DE VEHICULOS DE EMERGENCIA (OVE)",IF(P154=CURSOS!$D$21,"INSTITUCIONES AMIGAS DE LA MUJER Y LA INFANCIA (IAMI)",IF(P154=CURSOS!$D$22,"CUIDADO DEL DONANTE DE ORGANOS",IF(P154=CURSOS!$D$23,"ATENCION A VICTIMAS POR VIOLENCIA DE GENERO",IF(P154=CURSOS!$D$24,"IGUALDAD DE GENERO EN LA SALUD",IF(P154=CURSOS!$D$25,"BRIGADA DE EMERGENCIA",IF(P154=CURSOS!$D$26,"MANEJO DEL DOLOR Y CUIDADOS PALIATIVOS",IF(P154=CURSOS!$D$27,"TOMA DE MUESTRAS Y LABORATORIO POCT",IF(P154=CURSOS!$D$28,"IMPLANTE SUBDERMICO DE DISPOSITIVO INTRAUTERINO",IF(P154=CURSOS!$D$29,"SALUD MENTAL",IF(P154=CURSOS!$D$30,"PRIMEROS AUXILIOS PSICOLOGICOS",IF(P154=CURSOS!$D$31,"ATENCION A VICTIMAS POR CONFLICTO ARMADO",IF(P154=CURSOS!$D$32,"MANIPULACION DE ALIMENTOS Y BPM",IF(P154=CURSOS!$D$33,"ATENCION A PERSONAS CON DISCAPACIDAD",IF(P154=CURSOS!$D$34,"CUIDADO INTEGRAL DEL PACIENTE ADULTO",IF(P154=CURSOS!$D$35,"MANEJO DEFENSIVO",IF(P154=CURSOS!$D$36,"SOPORTE CARDIOVASCULAR AVANZADO NEONATAL",IF(P154=CURSOS!$D$37,"SEGURIDAD DEL PACIENTE",IF(P154=CURSOS!$D$38,"MANEJO DE RESIDUOS HOSPITALARIOS"))))))))))))))))))))))))))))))))))))</f>
        <v xml:space="preserve">ATENCION A VICTIMAS DE VIOLENCIA SEXUAL </v>
      </c>
      <c r="W154" s="66" t="str">
        <f t="shared" si="8"/>
        <v>Jose Miguel Pinza Jojoa</v>
      </c>
      <c r="X154" s="66" t="str">
        <f t="shared" si="9"/>
        <v>Jose Miguel Pinza Jojoa</v>
      </c>
      <c r="Y154" s="66" t="str">
        <f t="shared" si="10"/>
        <v>Jose Miguel Pinza Jojoa-87064290-VIOLENCIA SEXUAL</v>
      </c>
    </row>
    <row r="155" spans="1:25" s="60" customFormat="1" x14ac:dyDescent="0.2">
      <c r="A155" s="61">
        <v>154</v>
      </c>
      <c r="B155" s="62">
        <v>87064290</v>
      </c>
      <c r="C155" s="62" t="s">
        <v>494</v>
      </c>
      <c r="D155" s="62" t="s">
        <v>495</v>
      </c>
      <c r="E155" s="62" t="s">
        <v>270</v>
      </c>
      <c r="F155" s="62" t="s">
        <v>496</v>
      </c>
      <c r="G155" s="62">
        <v>25</v>
      </c>
      <c r="H155" s="62" t="s">
        <v>127</v>
      </c>
      <c r="I155" s="63" t="s">
        <v>226</v>
      </c>
      <c r="J155" s="63" t="s">
        <v>334</v>
      </c>
      <c r="K155" s="64">
        <v>45775</v>
      </c>
      <c r="L155" s="65">
        <v>25000</v>
      </c>
      <c r="M155" s="62" t="s">
        <v>220</v>
      </c>
      <c r="N155" s="62" t="s">
        <v>131</v>
      </c>
      <c r="O155" s="62" t="s">
        <v>257</v>
      </c>
      <c r="P155" s="62" t="s">
        <v>25</v>
      </c>
      <c r="Q155" s="63">
        <v>30696</v>
      </c>
      <c r="R155" s="62" t="s">
        <v>209</v>
      </c>
      <c r="S155" s="96" t="s">
        <v>492</v>
      </c>
      <c r="T155" s="62">
        <v>3163443264</v>
      </c>
      <c r="U155" s="62" t="s">
        <v>497</v>
      </c>
      <c r="V155" s="66" t="str">
        <f>IF(P155=CURSOS!$D$3,"DIPLOMADO EN ATENCION PRE-HOSPITALARIA",IF(P155=CURSOS!$D$4,"ACOMPAÑAMIENTO Y MANEJO DEL DUELO",IF(P155=CURSOS!$D$5,"ATENCION A VICTIMAS DE ATAQUE CON AGENTES QUIMICOS ",IF(P155=CURSOS!$D$6,"PRIMEROS AUXILIOS ",IF(P155=CURSOS!$D$7,"DIPLOMADO DE UNIDAD DE CUIDADOS INTENSIVOS (UCI)",IF(P155=CURSOS!$D$8,"MODELO DE ATENCION PARA EVENTOS EMERGENTES EN SALUD MENTAL (CODIGO VERDE)",IF(P155=CURSOS!$D$9,"HUMANIZACION EN EL SERVICIO DE LA SALUD Y BUENAS PRACTICAS EN PACIENTE ",IF(P155=CURSOS!$D$10,"CLINICA DE HERIDAS ",IF(P155=CURSOS!$D$11,"TOMA DE CITOLOGIA CERVICO VAGINAL ",IF(P155=CURSOS!$D$12,"SOPORTE CARDIOVASCULAR AVANZADO (ACLS) ",IF(P155=CURSOS!$D$13,"CAMILLERO ",IF(P155=CURSOS!$D$14,"TOMA DE MUESTRAS Y LABORATORIO ",IF(P155=CURSOS!$D$15,"SOPORTE VITAL BASICO (BLS)",IF(P155=CURSOS!$D$16,"ATENCION A VICTIMAS DE VIOLENCIA SEXUAL ",IF(P155=CURSOS!$D$17,"PROGRAMADO AMPLIADO DE INMUNIZACION (PAI - COVID 19)",IF(P155=CURSOS!$D$18,"ATENCION INTEGRAL EN ENFERMEDADES PREVALENTES EN PRIMERA INFANCIA (AIEPI)",IF(P155=CURSOS!$D$19,"ADMINISTRACION DE MEDICAMENTOS, INYECTOLOGIA  Y CANALIZACION ",IF(P155=CURSOS!$D$20,"OPERADOR DE VEHICULOS DE EMERGENCIA (OVE)",IF(P155=CURSOS!$D$21,"INSTITUCIONES AMIGAS DE LA MUJER Y LA INFANCIA (IAMI)",IF(P155=CURSOS!$D$22,"CUIDADO DEL DONANTE DE ORGANOS",IF(P155=CURSOS!$D$23,"ATENCION A VICTIMAS POR VIOLENCIA DE GENERO",IF(P155=CURSOS!$D$24,"IGUALDAD DE GENERO EN LA SALUD",IF(P155=CURSOS!$D$25,"BRIGADA DE EMERGENCIA",IF(P155=CURSOS!$D$26,"MANEJO DEL DOLOR Y CUIDADOS PALIATIVOS",IF(P155=CURSOS!$D$27,"TOMA DE MUESTRAS Y LABORATORIO POCT",IF(P155=CURSOS!$D$28,"IMPLANTE SUBDERMICO DE DISPOSITIVO INTRAUTERINO",IF(P155=CURSOS!$D$29,"SALUD MENTAL",IF(P155=CURSOS!$D$30,"PRIMEROS AUXILIOS PSICOLOGICOS",IF(P155=CURSOS!$D$31,"ATENCION A VICTIMAS POR CONFLICTO ARMADO",IF(P155=CURSOS!$D$32,"MANIPULACION DE ALIMENTOS Y BPM",IF(P155=CURSOS!$D$33,"ATENCION A PERSONAS CON DISCAPACIDAD",IF(P155=CURSOS!$D$34,"CUIDADO INTEGRAL DEL PACIENTE ADULTO",IF(P155=CURSOS!$D$35,"MANEJO DEFENSIVO",IF(P155=CURSOS!$D$36,"SOPORTE CARDIOVASCULAR AVANZADO NEONATAL",IF(P155=CURSOS!$D$37,"SEGURIDAD DEL PACIENTE",IF(P155=CURSOS!$D$38,"MANEJO DE RESIDUOS HOSPITALARIOS"))))))))))))))))))))))))))))))))))))</f>
        <v xml:space="preserve">ATENCION A VICTIMAS DE ATAQUE CON AGENTES QUIMICOS </v>
      </c>
      <c r="W155" s="66" t="str">
        <f t="shared" si="8"/>
        <v>Jose Miguel Pinza Jojoa</v>
      </c>
      <c r="X155" s="66" t="str">
        <f t="shared" si="9"/>
        <v>Jose Miguel Pinza Jojoa</v>
      </c>
      <c r="Y155" s="66" t="str">
        <f t="shared" si="10"/>
        <v>Jose Miguel Pinza Jojoa-87064290-QUIMICOS</v>
      </c>
    </row>
    <row r="156" spans="1:25" s="60" customFormat="1" x14ac:dyDescent="0.2">
      <c r="A156" s="61">
        <v>155</v>
      </c>
      <c r="B156" s="62">
        <v>1085295922</v>
      </c>
      <c r="C156" s="87" t="s">
        <v>498</v>
      </c>
      <c r="D156" s="87" t="s">
        <v>499</v>
      </c>
      <c r="E156" s="87" t="s">
        <v>142</v>
      </c>
      <c r="F156" s="87" t="s">
        <v>500</v>
      </c>
      <c r="G156" s="87">
        <v>29</v>
      </c>
      <c r="H156" s="62" t="s">
        <v>127</v>
      </c>
      <c r="I156" s="63" t="s">
        <v>226</v>
      </c>
      <c r="J156" s="63" t="s">
        <v>334</v>
      </c>
      <c r="K156" s="64">
        <v>45776</v>
      </c>
      <c r="L156" s="65">
        <v>40000</v>
      </c>
      <c r="M156" s="62" t="s">
        <v>266</v>
      </c>
      <c r="N156" s="62" t="s">
        <v>131</v>
      </c>
      <c r="O156" s="62" t="s">
        <v>257</v>
      </c>
      <c r="P156" s="62" t="s">
        <v>48</v>
      </c>
      <c r="Q156" s="63">
        <v>33637</v>
      </c>
      <c r="R156" s="63" t="s">
        <v>208</v>
      </c>
      <c r="S156" s="96" t="s">
        <v>501</v>
      </c>
      <c r="T156" s="68">
        <v>3007475433</v>
      </c>
      <c r="U156" s="86" t="s">
        <v>502</v>
      </c>
      <c r="V156" s="66" t="str">
        <f>IF(P156=CURSOS!$D$3,"DIPLOMADO EN ATENCION PRE-HOSPITALARIA",IF(P156=CURSOS!$D$4,"ACOMPAÑAMIENTO Y MANEJO DEL DUELO",IF(P156=CURSOS!$D$5,"ATENCION A VICTIMAS DE ATAQUE CON AGENTES QUIMICOS ",IF(P156=CURSOS!$D$6,"PRIMEROS AUXILIOS ",IF(P156=CURSOS!$D$7,"DIPLOMADO DE UNIDAD DE CUIDADOS INTENSIVOS (UCI)",IF(P156=CURSOS!$D$8,"MODELO DE ATENCION PARA EVENTOS EMERGENTES EN SALUD MENTAL (CODIGO VERDE)",IF(P156=CURSOS!$D$9,"HUMANIZACION EN EL SERVICIO DE LA SALUD Y BUENAS PRACTICAS EN PACIENTE ",IF(P156=CURSOS!$D$10,"CLINICA DE HERIDAS ",IF(P156=CURSOS!$D$11,"TOMA DE CITOLOGIA CERVICO VAGINAL ",IF(P156=CURSOS!$D$12,"SOPORTE CARDIOVASCULAR AVANZADO (ACLS) ",IF(P156=CURSOS!$D$13,"CAMILLERO ",IF(P156=CURSOS!$D$14,"TOMA DE MUESTRAS Y LABORATORIO ",IF(P156=CURSOS!$D$15,"SOPORTE VITAL BASICO (BLS)",IF(P156=CURSOS!$D$16,"ATENCION A VICTIMAS DE VIOLENCIA SEXUAL ",IF(P156=CURSOS!$D$17,"PROGRAMADO AMPLIADO DE INMUNIZACION (PAI - COVID 19)",IF(P156=CURSOS!$D$18,"ATENCION INTEGRAL EN ENFERMEDADES PREVALENTES EN PRIMERA INFANCIA (AIEPI)",IF(P156=CURSOS!$D$19,"ADMINISTRACION DE MEDICAMENTOS, INYECTOLOGIA  Y CANALIZACION ",IF(P156=CURSOS!$D$20,"OPERADOR DE VEHICULOS DE EMERGENCIA (OVE)",IF(P156=CURSOS!$D$21,"INSTITUCIONES AMIGAS DE LA MUJER Y LA INFANCIA (IAMI)",IF(P156=CURSOS!$D$22,"CUIDADO DEL DONANTE DE ORGANOS",IF(P156=CURSOS!$D$23,"ATENCION A VICTIMAS POR VIOLENCIA DE GENERO",IF(P156=CURSOS!$D$24,"IGUALDAD DE GENERO EN LA SALUD",IF(P156=CURSOS!$D$25,"BRIGADA DE EMERGENCIA",IF(P156=CURSOS!$D$26,"MANEJO DEL DOLOR Y CUIDADOS PALIATIVOS",IF(P156=CURSOS!$D$27,"TOMA DE MUESTRAS Y LABORATORIO POCT",IF(P156=CURSOS!$D$28,"IMPLANTE SUBDERMICO DE DISPOSITIVO INTRAUTERINO",IF(P156=CURSOS!$D$29,"SALUD MENTAL",IF(P156=CURSOS!$D$30,"PRIMEROS AUXILIOS PSICOLOGICOS",IF(P156=CURSOS!$D$31,"ATENCION A VICTIMAS POR CONFLICTO ARMADO",IF(P156=CURSOS!$D$32,"MANIPULACION DE ALIMENTOS Y BPM",IF(P156=CURSOS!$D$33,"ATENCION A PERSONAS CON DISCAPACIDAD",IF(P156=CURSOS!$D$34,"CUIDADO INTEGRAL DEL PACIENTE ADULTO",IF(P156=CURSOS!$D$35,"MANEJO DEFENSIVO",IF(P156=CURSOS!$D$36,"SOPORTE CARDIOVASCULAR AVANZADO NEONATAL",IF(P156=CURSOS!$D$37,"SEGURIDAD DEL PACIENTE",IF(P156=CURSOS!$D$38,"MANEJO DE RESIDUOS HOSPITALARIOS"))))))))))))))))))))))))))))))))))))</f>
        <v>INSTITUCIONES AMIGAS DE LA MUJER Y LA INFANCIA (IAMI)</v>
      </c>
      <c r="W156" s="66" t="str">
        <f t="shared" si="8"/>
        <v>Angela Gabriela Alvarado Barahona</v>
      </c>
      <c r="X156" s="66" t="str">
        <f t="shared" si="9"/>
        <v>Angela Gabriela Alvarado Barahona</v>
      </c>
      <c r="Y156" s="66" t="str">
        <f t="shared" si="10"/>
        <v>Angela Gabriela Alvarado Barahona-1085295922-IAMI</v>
      </c>
    </row>
    <row r="157" spans="1:25" s="60" customFormat="1" x14ac:dyDescent="0.2">
      <c r="A157" s="61">
        <v>156</v>
      </c>
      <c r="B157" s="62">
        <v>79808856</v>
      </c>
      <c r="C157" s="87" t="s">
        <v>431</v>
      </c>
      <c r="D157" s="87" t="s">
        <v>503</v>
      </c>
      <c r="E157" s="87" t="s">
        <v>425</v>
      </c>
      <c r="F157" s="87" t="s">
        <v>375</v>
      </c>
      <c r="G157" s="87">
        <v>29</v>
      </c>
      <c r="H157" s="62" t="s">
        <v>127</v>
      </c>
      <c r="I157" s="63" t="s">
        <v>226</v>
      </c>
      <c r="J157" s="63" t="s">
        <v>232</v>
      </c>
      <c r="K157" s="64">
        <v>45776</v>
      </c>
      <c r="L157" s="65">
        <v>0</v>
      </c>
      <c r="M157" s="62" t="s">
        <v>437</v>
      </c>
      <c r="N157" s="62" t="s">
        <v>131</v>
      </c>
      <c r="O157" s="62" t="s">
        <v>250</v>
      </c>
      <c r="P157" s="62" t="s">
        <v>42</v>
      </c>
      <c r="Q157" s="63">
        <v>25791</v>
      </c>
      <c r="R157" s="62" t="s">
        <v>209</v>
      </c>
      <c r="S157" s="68" t="s">
        <v>332</v>
      </c>
      <c r="T157" s="68">
        <v>3156160462</v>
      </c>
      <c r="U157" s="62" t="s">
        <v>504</v>
      </c>
      <c r="V157" s="66" t="str">
        <f>IF(P157=CURSOS!$D$3,"DIPLOMADO EN ATENCION PRE-HOSPITALARIA",IF(P157=CURSOS!$D$4,"ACOMPAÑAMIENTO Y MANEJO DEL DUELO",IF(P157=CURSOS!$D$5,"ATENCION A VICTIMAS DE ATAQUE CON AGENTES QUIMICOS ",IF(P157=CURSOS!$D$6,"PRIMEROS AUXILIOS ",IF(P157=CURSOS!$D$7,"DIPLOMADO DE UNIDAD DE CUIDADOS INTENSIVOS (UCI)",IF(P157=CURSOS!$D$8,"MODELO DE ATENCION PARA EVENTOS EMERGENTES EN SALUD MENTAL (CODIGO VERDE)",IF(P157=CURSOS!$D$9,"HUMANIZACION EN EL SERVICIO DE LA SALUD Y BUENAS PRACTICAS EN PACIENTE ",IF(P157=CURSOS!$D$10,"CLINICA DE HERIDAS ",IF(P157=CURSOS!$D$11,"TOMA DE CITOLOGIA CERVICO VAGINAL ",IF(P157=CURSOS!$D$12,"SOPORTE CARDIOVASCULAR AVANZADO (ACLS) ",IF(P157=CURSOS!$D$13,"CAMILLERO ",IF(P157=CURSOS!$D$14,"TOMA DE MUESTRAS Y LABORATORIO ",IF(P157=CURSOS!$D$15,"SOPORTE VITAL BASICO (BLS)",IF(P157=CURSOS!$D$16,"ATENCION A VICTIMAS DE VIOLENCIA SEXUAL ",IF(P157=CURSOS!$D$17,"PROGRAMADO AMPLIADO DE INMUNIZACION (PAI - COVID 19)",IF(P157=CURSOS!$D$18,"ATENCION INTEGRAL EN ENFERMEDADES PREVALENTES EN PRIMERA INFANCIA (AIEPI)",IF(P157=CURSOS!$D$19,"ADMINISTRACION DE MEDICAMENTOS, INYECTOLOGIA  Y CANALIZACION ",IF(P157=CURSOS!$D$20,"OPERADOR DE VEHICULOS DE EMERGENCIA (OVE)",IF(P157=CURSOS!$D$21,"INSTITUCIONES AMIGAS DE LA MUJER Y LA INFANCIA (IAMI)",IF(P157=CURSOS!$D$22,"CUIDADO DEL DONANTE DE ORGANOS",IF(P157=CURSOS!$D$23,"ATENCION A VICTIMAS POR VIOLENCIA DE GENERO",IF(P157=CURSOS!$D$24,"IGUALDAD DE GENERO EN LA SALUD",IF(P157=CURSOS!$D$25,"BRIGADA DE EMERGENCIA",IF(P157=CURSOS!$D$26,"MANEJO DEL DOLOR Y CUIDADOS PALIATIVOS",IF(P157=CURSOS!$D$27,"TOMA DE MUESTRAS Y LABORATORIO POCT",IF(P157=CURSOS!$D$28,"IMPLANTE SUBDERMICO DE DISPOSITIVO INTRAUTERINO",IF(P157=CURSOS!$D$29,"SALUD MENTAL",IF(P157=CURSOS!$D$30,"PRIMEROS AUXILIOS PSICOLOGICOS",IF(P157=CURSOS!$D$31,"ATENCION A VICTIMAS POR CONFLICTO ARMADO",IF(P157=CURSOS!$D$32,"MANIPULACION DE ALIMENTOS Y BPM",IF(P157=CURSOS!$D$33,"ATENCION A PERSONAS CON DISCAPACIDAD",IF(P157=CURSOS!$D$34,"CUIDADO INTEGRAL DEL PACIENTE ADULTO",IF(P157=CURSOS!$D$35,"MANEJO DEFENSIVO",IF(P157=CURSOS!$D$36,"SOPORTE CARDIOVASCULAR AVANZADO NEONATAL",IF(P157=CURSOS!$D$37,"SEGURIDAD DEL PACIENTE",IF(P157=CURSOS!$D$38,"MANEJO DE RESIDUOS HOSPITALARIOS"))))))))))))))))))))))))))))))))))))</f>
        <v xml:space="preserve">ATENCION A VICTIMAS DE VIOLENCIA SEXUAL </v>
      </c>
      <c r="W157" s="66" t="str">
        <f t="shared" si="8"/>
        <v>Mario Fernando Jurado Cardenas</v>
      </c>
      <c r="X157" s="66" t="str">
        <f t="shared" si="9"/>
        <v>Mario Fernando Jurado Cardenas</v>
      </c>
      <c r="Y157" s="66" t="str">
        <f t="shared" si="10"/>
        <v>Mario Fernando Jurado Cardenas-79808856-VIOLENCIA SEXUAL</v>
      </c>
    </row>
    <row r="158" spans="1:25" s="60" customFormat="1" x14ac:dyDescent="0.2">
      <c r="A158" s="61">
        <v>157</v>
      </c>
      <c r="B158" s="62">
        <v>79808856</v>
      </c>
      <c r="C158" s="87" t="s">
        <v>431</v>
      </c>
      <c r="D158" s="87" t="s">
        <v>503</v>
      </c>
      <c r="E158" s="87" t="s">
        <v>425</v>
      </c>
      <c r="F158" s="87" t="s">
        <v>375</v>
      </c>
      <c r="G158" s="87">
        <v>28</v>
      </c>
      <c r="H158" s="62" t="s">
        <v>127</v>
      </c>
      <c r="I158" s="63" t="s">
        <v>226</v>
      </c>
      <c r="J158" s="63" t="s">
        <v>232</v>
      </c>
      <c r="K158" s="64">
        <v>45776</v>
      </c>
      <c r="L158" s="65">
        <v>0</v>
      </c>
      <c r="M158" s="62" t="s">
        <v>437</v>
      </c>
      <c r="N158" s="62" t="s">
        <v>131</v>
      </c>
      <c r="O158" s="62" t="s">
        <v>250</v>
      </c>
      <c r="P158" s="62" t="s">
        <v>25</v>
      </c>
      <c r="Q158" s="63">
        <v>25791</v>
      </c>
      <c r="R158" s="62" t="s">
        <v>209</v>
      </c>
      <c r="S158" s="68" t="s">
        <v>332</v>
      </c>
      <c r="T158" s="68">
        <v>3156160462</v>
      </c>
      <c r="U158" s="62" t="s">
        <v>504</v>
      </c>
      <c r="V158" s="66" t="str">
        <f>IF(P158=CURSOS!$D$3,"DIPLOMADO EN ATENCION PRE-HOSPITALARIA",IF(P158=CURSOS!$D$4,"ACOMPAÑAMIENTO Y MANEJO DEL DUELO",IF(P158=CURSOS!$D$5,"ATENCION A VICTIMAS DE ATAQUE CON AGENTES QUIMICOS ",IF(P158=CURSOS!$D$6,"PRIMEROS AUXILIOS ",IF(P158=CURSOS!$D$7,"DIPLOMADO DE UNIDAD DE CUIDADOS INTENSIVOS (UCI)",IF(P158=CURSOS!$D$8,"MODELO DE ATENCION PARA EVENTOS EMERGENTES EN SALUD MENTAL (CODIGO VERDE)",IF(P158=CURSOS!$D$9,"HUMANIZACION EN EL SERVICIO DE LA SALUD Y BUENAS PRACTICAS EN PACIENTE ",IF(P158=CURSOS!$D$10,"CLINICA DE HERIDAS ",IF(P158=CURSOS!$D$11,"TOMA DE CITOLOGIA CERVICO VAGINAL ",IF(P158=CURSOS!$D$12,"SOPORTE CARDIOVASCULAR AVANZADO (ACLS) ",IF(P158=CURSOS!$D$13,"CAMILLERO ",IF(P158=CURSOS!$D$14,"TOMA DE MUESTRAS Y LABORATORIO ",IF(P158=CURSOS!$D$15,"SOPORTE VITAL BASICO (BLS)",IF(P158=CURSOS!$D$16,"ATENCION A VICTIMAS DE VIOLENCIA SEXUAL ",IF(P158=CURSOS!$D$17,"PROGRAMADO AMPLIADO DE INMUNIZACION (PAI - COVID 19)",IF(P158=CURSOS!$D$18,"ATENCION INTEGRAL EN ENFERMEDADES PREVALENTES EN PRIMERA INFANCIA (AIEPI)",IF(P158=CURSOS!$D$19,"ADMINISTRACION DE MEDICAMENTOS, INYECTOLOGIA  Y CANALIZACION ",IF(P158=CURSOS!$D$20,"OPERADOR DE VEHICULOS DE EMERGENCIA (OVE)",IF(P158=CURSOS!$D$21,"INSTITUCIONES AMIGAS DE LA MUJER Y LA INFANCIA (IAMI)",IF(P158=CURSOS!$D$22,"CUIDADO DEL DONANTE DE ORGANOS",IF(P158=CURSOS!$D$23,"ATENCION A VICTIMAS POR VIOLENCIA DE GENERO",IF(P158=CURSOS!$D$24,"IGUALDAD DE GENERO EN LA SALUD",IF(P158=CURSOS!$D$25,"BRIGADA DE EMERGENCIA",IF(P158=CURSOS!$D$26,"MANEJO DEL DOLOR Y CUIDADOS PALIATIVOS",IF(P158=CURSOS!$D$27,"TOMA DE MUESTRAS Y LABORATORIO POCT",IF(P158=CURSOS!$D$28,"IMPLANTE SUBDERMICO DE DISPOSITIVO INTRAUTERINO",IF(P158=CURSOS!$D$29,"SALUD MENTAL",IF(P158=CURSOS!$D$30,"PRIMEROS AUXILIOS PSICOLOGICOS",IF(P158=CURSOS!$D$31,"ATENCION A VICTIMAS POR CONFLICTO ARMADO",IF(P158=CURSOS!$D$32,"MANIPULACION DE ALIMENTOS Y BPM",IF(P158=CURSOS!$D$33,"ATENCION A PERSONAS CON DISCAPACIDAD",IF(P158=CURSOS!$D$34,"CUIDADO INTEGRAL DEL PACIENTE ADULTO",IF(P158=CURSOS!$D$35,"MANEJO DEFENSIVO",IF(P158=CURSOS!$D$36,"SOPORTE CARDIOVASCULAR AVANZADO NEONATAL",IF(P158=CURSOS!$D$37,"SEGURIDAD DEL PACIENTE",IF(P158=CURSOS!$D$38,"MANEJO DE RESIDUOS HOSPITALARIOS"))))))))))))))))))))))))))))))))))))</f>
        <v xml:space="preserve">ATENCION A VICTIMAS DE ATAQUE CON AGENTES QUIMICOS </v>
      </c>
      <c r="W158" s="66" t="str">
        <f t="shared" si="8"/>
        <v>Mario Fernando Jurado Cardenas</v>
      </c>
      <c r="X158" s="66" t="str">
        <f t="shared" si="9"/>
        <v>Mario Fernando Jurado Cardenas</v>
      </c>
      <c r="Y158" s="66" t="str">
        <f t="shared" si="10"/>
        <v>Mario Fernando Jurado Cardenas-79808856-QUIMICOS</v>
      </c>
    </row>
    <row r="159" spans="1:25" s="60" customFormat="1" x14ac:dyDescent="0.2">
      <c r="A159" s="61">
        <v>158</v>
      </c>
      <c r="B159" s="62">
        <v>36752711</v>
      </c>
      <c r="C159" s="62" t="s">
        <v>327</v>
      </c>
      <c r="D159" s="62" t="s">
        <v>505</v>
      </c>
      <c r="E159" s="87" t="s">
        <v>182</v>
      </c>
      <c r="F159" s="62" t="s">
        <v>161</v>
      </c>
      <c r="G159" s="62">
        <v>29</v>
      </c>
      <c r="H159" s="62" t="s">
        <v>127</v>
      </c>
      <c r="I159" s="63" t="s">
        <v>226</v>
      </c>
      <c r="J159" s="63" t="s">
        <v>334</v>
      </c>
      <c r="K159" s="64">
        <v>45776</v>
      </c>
      <c r="L159" s="65">
        <v>40000</v>
      </c>
      <c r="M159" s="62" t="s">
        <v>266</v>
      </c>
      <c r="N159" s="62" t="s">
        <v>131</v>
      </c>
      <c r="O159" s="62" t="s">
        <v>257</v>
      </c>
      <c r="P159" s="62" t="s">
        <v>48</v>
      </c>
      <c r="Q159" s="89">
        <v>28967</v>
      </c>
      <c r="R159" s="87" t="s">
        <v>208</v>
      </c>
      <c r="S159" s="101" t="s">
        <v>501</v>
      </c>
      <c r="T159" s="91">
        <v>3174048530</v>
      </c>
      <c r="U159" s="62" t="s">
        <v>506</v>
      </c>
      <c r="V159" s="66" t="str">
        <f>IF(P159=CURSOS!$D$3,"DIPLOMADO EN ATENCION PRE-HOSPITALARIA",IF(P159=CURSOS!$D$4,"ACOMPAÑAMIENTO Y MANEJO DEL DUELO",IF(P159=CURSOS!$D$5,"ATENCION A VICTIMAS DE ATAQUE CON AGENTES QUIMICOS ",IF(P159=CURSOS!$D$6,"PRIMEROS AUXILIOS ",IF(P159=CURSOS!$D$7,"DIPLOMADO DE UNIDAD DE CUIDADOS INTENSIVOS (UCI)",IF(P159=CURSOS!$D$8,"MODELO DE ATENCION PARA EVENTOS EMERGENTES EN SALUD MENTAL (CODIGO VERDE)",IF(P159=CURSOS!$D$9,"HUMANIZACION EN EL SERVICIO DE LA SALUD Y BUENAS PRACTICAS EN PACIENTE ",IF(P159=CURSOS!$D$10,"CLINICA DE HERIDAS ",IF(P159=CURSOS!$D$11,"TOMA DE CITOLOGIA CERVICO VAGINAL ",IF(P159=CURSOS!$D$12,"SOPORTE CARDIOVASCULAR AVANZADO (ACLS) ",IF(P159=CURSOS!$D$13,"CAMILLERO ",IF(P159=CURSOS!$D$14,"TOMA DE MUESTRAS Y LABORATORIO ",IF(P159=CURSOS!$D$15,"SOPORTE VITAL BASICO (BLS)",IF(P159=CURSOS!$D$16,"ATENCION A VICTIMAS DE VIOLENCIA SEXUAL ",IF(P159=CURSOS!$D$17,"PROGRAMADO AMPLIADO DE INMUNIZACION (PAI - COVID 19)",IF(P159=CURSOS!$D$18,"ATENCION INTEGRAL EN ENFERMEDADES PREVALENTES EN PRIMERA INFANCIA (AIEPI)",IF(P159=CURSOS!$D$19,"ADMINISTRACION DE MEDICAMENTOS, INYECTOLOGIA  Y CANALIZACION ",IF(P159=CURSOS!$D$20,"OPERADOR DE VEHICULOS DE EMERGENCIA (OVE)",IF(P159=CURSOS!$D$21,"INSTITUCIONES AMIGAS DE LA MUJER Y LA INFANCIA (IAMI)",IF(P159=CURSOS!$D$22,"CUIDADO DEL DONANTE DE ORGANOS",IF(P159=CURSOS!$D$23,"ATENCION A VICTIMAS POR VIOLENCIA DE GENERO",IF(P159=CURSOS!$D$24,"IGUALDAD DE GENERO EN LA SALUD",IF(P159=CURSOS!$D$25,"BRIGADA DE EMERGENCIA",IF(P159=CURSOS!$D$26,"MANEJO DEL DOLOR Y CUIDADOS PALIATIVOS",IF(P159=CURSOS!$D$27,"TOMA DE MUESTRAS Y LABORATORIO POCT",IF(P159=CURSOS!$D$28,"IMPLANTE SUBDERMICO DE DISPOSITIVO INTRAUTERINO",IF(P159=CURSOS!$D$29,"SALUD MENTAL",IF(P159=CURSOS!$D$30,"PRIMEROS AUXILIOS PSICOLOGICOS",IF(P159=CURSOS!$D$31,"ATENCION A VICTIMAS POR CONFLICTO ARMADO",IF(P159=CURSOS!$D$32,"MANIPULACION DE ALIMENTOS Y BPM",IF(P159=CURSOS!$D$33,"ATENCION A PERSONAS CON DISCAPACIDAD",IF(P159=CURSOS!$D$34,"CUIDADO INTEGRAL DEL PACIENTE ADULTO",IF(P159=CURSOS!$D$35,"MANEJO DEFENSIVO",IF(P159=CURSOS!$D$36,"SOPORTE CARDIOVASCULAR AVANZADO NEONATAL",IF(P159=CURSOS!$D$37,"SEGURIDAD DEL PACIENTE",IF(P159=CURSOS!$D$38,"MANEJO DE RESIDUOS HOSPITALARIOS"))))))))))))))))))))))))))))))))))))</f>
        <v>INSTITUCIONES AMIGAS DE LA MUJER Y LA INFANCIA (IAMI)</v>
      </c>
      <c r="W159" s="66" t="str">
        <f t="shared" si="8"/>
        <v>Paola Andrea Chamorro Salas</v>
      </c>
      <c r="X159" s="66" t="str">
        <f t="shared" si="9"/>
        <v>Paola Andrea Chamorro Salas</v>
      </c>
      <c r="Y159" s="66" t="str">
        <f t="shared" si="10"/>
        <v>Paola Andrea Chamorro Salas-36752711-IAMI</v>
      </c>
    </row>
    <row r="160" spans="1:25" s="60" customFormat="1" x14ac:dyDescent="0.2">
      <c r="A160" s="61">
        <v>159</v>
      </c>
      <c r="B160" s="62">
        <v>27081968</v>
      </c>
      <c r="C160" s="62" t="s">
        <v>156</v>
      </c>
      <c r="D160" s="62" t="s">
        <v>237</v>
      </c>
      <c r="E160" s="62" t="s">
        <v>507</v>
      </c>
      <c r="F160" s="62" t="s">
        <v>508</v>
      </c>
      <c r="G160" s="62">
        <v>29</v>
      </c>
      <c r="H160" s="62" t="s">
        <v>127</v>
      </c>
      <c r="I160" s="63" t="s">
        <v>226</v>
      </c>
      <c r="J160" s="63" t="s">
        <v>334</v>
      </c>
      <c r="K160" s="64">
        <v>45776</v>
      </c>
      <c r="L160" s="65">
        <v>40000</v>
      </c>
      <c r="M160" s="62" t="s">
        <v>220</v>
      </c>
      <c r="N160" s="62" t="s">
        <v>131</v>
      </c>
      <c r="O160" s="62" t="s">
        <v>257</v>
      </c>
      <c r="P160" s="62" t="s">
        <v>48</v>
      </c>
      <c r="Q160" s="63">
        <v>28207</v>
      </c>
      <c r="R160" s="62" t="s">
        <v>208</v>
      </c>
      <c r="S160" s="97" t="s">
        <v>501</v>
      </c>
      <c r="T160" s="62">
        <v>3003169091</v>
      </c>
      <c r="U160" s="62" t="s">
        <v>509</v>
      </c>
      <c r="V160" s="66" t="str">
        <f>IF(P160=CURSOS!$D$3,"DIPLOMADO EN ATENCION PRE-HOSPITALARIA",IF(P160=CURSOS!$D$4,"ACOMPAÑAMIENTO Y MANEJO DEL DUELO",IF(P160=CURSOS!$D$5,"ATENCION A VICTIMAS DE ATAQUE CON AGENTES QUIMICOS ",IF(P160=CURSOS!$D$6,"PRIMEROS AUXILIOS ",IF(P160=CURSOS!$D$7,"DIPLOMADO DE UNIDAD DE CUIDADOS INTENSIVOS (UCI)",IF(P160=CURSOS!$D$8,"MODELO DE ATENCION PARA EVENTOS EMERGENTES EN SALUD MENTAL (CODIGO VERDE)",IF(P160=CURSOS!$D$9,"HUMANIZACION EN EL SERVICIO DE LA SALUD Y BUENAS PRACTICAS EN PACIENTE ",IF(P160=CURSOS!$D$10,"CLINICA DE HERIDAS ",IF(P160=CURSOS!$D$11,"TOMA DE CITOLOGIA CERVICO VAGINAL ",IF(P160=CURSOS!$D$12,"SOPORTE CARDIOVASCULAR AVANZADO (ACLS) ",IF(P160=CURSOS!$D$13,"CAMILLERO ",IF(P160=CURSOS!$D$14,"TOMA DE MUESTRAS Y LABORATORIO ",IF(P160=CURSOS!$D$15,"SOPORTE VITAL BASICO (BLS)",IF(P160=CURSOS!$D$16,"ATENCION A VICTIMAS DE VIOLENCIA SEXUAL ",IF(P160=CURSOS!$D$17,"PROGRAMADO AMPLIADO DE INMUNIZACION (PAI - COVID 19)",IF(P160=CURSOS!$D$18,"ATENCION INTEGRAL EN ENFERMEDADES PREVALENTES EN PRIMERA INFANCIA (AIEPI)",IF(P160=CURSOS!$D$19,"ADMINISTRACION DE MEDICAMENTOS, INYECTOLOGIA  Y CANALIZACION ",IF(P160=CURSOS!$D$20,"OPERADOR DE VEHICULOS DE EMERGENCIA (OVE)",IF(P160=CURSOS!$D$21,"INSTITUCIONES AMIGAS DE LA MUJER Y LA INFANCIA (IAMI)",IF(P160=CURSOS!$D$22,"CUIDADO DEL DONANTE DE ORGANOS",IF(P160=CURSOS!$D$23,"ATENCION A VICTIMAS POR VIOLENCIA DE GENERO",IF(P160=CURSOS!$D$24,"IGUALDAD DE GENERO EN LA SALUD",IF(P160=CURSOS!$D$25,"BRIGADA DE EMERGENCIA",IF(P160=CURSOS!$D$26,"MANEJO DEL DOLOR Y CUIDADOS PALIATIVOS",IF(P160=CURSOS!$D$27,"TOMA DE MUESTRAS Y LABORATORIO POCT",IF(P160=CURSOS!$D$28,"IMPLANTE SUBDERMICO DE DISPOSITIVO INTRAUTERINO",IF(P160=CURSOS!$D$29,"SALUD MENTAL",IF(P160=CURSOS!$D$30,"PRIMEROS AUXILIOS PSICOLOGICOS",IF(P160=CURSOS!$D$31,"ATENCION A VICTIMAS POR CONFLICTO ARMADO",IF(P160=CURSOS!$D$32,"MANIPULACION DE ALIMENTOS Y BPM",IF(P160=CURSOS!$D$33,"ATENCION A PERSONAS CON DISCAPACIDAD",IF(P160=CURSOS!$D$34,"CUIDADO INTEGRAL DEL PACIENTE ADULTO",IF(P160=CURSOS!$D$35,"MANEJO DEFENSIVO",IF(P160=CURSOS!$D$36,"SOPORTE CARDIOVASCULAR AVANZADO NEONATAL",IF(P160=CURSOS!$D$37,"SEGURIDAD DEL PACIENTE",IF(P160=CURSOS!$D$38,"MANEJO DE RESIDUOS HOSPITALARIOS"))))))))))))))))))))))))))))))))))))</f>
        <v>INSTITUCIONES AMIGAS DE LA MUJER Y LA INFANCIA (IAMI)</v>
      </c>
      <c r="W160" s="66" t="str">
        <f t="shared" si="8"/>
        <v>Olga Iveth Ortega Ortiz</v>
      </c>
      <c r="X160" s="66" t="str">
        <f t="shared" si="9"/>
        <v>Olga Iveth Ortega Ortiz</v>
      </c>
      <c r="Y160" s="66" t="str">
        <f t="shared" si="10"/>
        <v>Olga Iveth Ortega Ortiz-27081968-IAMI</v>
      </c>
    </row>
    <row r="161" spans="1:26" s="60" customFormat="1" x14ac:dyDescent="0.2">
      <c r="A161" s="61">
        <v>160</v>
      </c>
      <c r="B161" s="62">
        <v>59314897</v>
      </c>
      <c r="C161" s="62" t="s">
        <v>370</v>
      </c>
      <c r="D161" s="62" t="s">
        <v>510</v>
      </c>
      <c r="E161" s="87" t="s">
        <v>511</v>
      </c>
      <c r="F161" s="62" t="s">
        <v>457</v>
      </c>
      <c r="G161" s="62">
        <v>29</v>
      </c>
      <c r="H161" s="62" t="s">
        <v>127</v>
      </c>
      <c r="I161" s="63" t="s">
        <v>226</v>
      </c>
      <c r="J161" s="63" t="s">
        <v>334</v>
      </c>
      <c r="K161" s="64">
        <v>45776</v>
      </c>
      <c r="L161" s="65">
        <v>40000</v>
      </c>
      <c r="M161" s="62" t="s">
        <v>220</v>
      </c>
      <c r="N161" s="62" t="s">
        <v>131</v>
      </c>
      <c r="O161" s="62" t="s">
        <v>257</v>
      </c>
      <c r="P161" s="62" t="s">
        <v>48</v>
      </c>
      <c r="Q161" s="89">
        <v>30876</v>
      </c>
      <c r="R161" s="87" t="s">
        <v>208</v>
      </c>
      <c r="S161" s="101" t="s">
        <v>501</v>
      </c>
      <c r="T161" s="91">
        <v>3137470353</v>
      </c>
      <c r="U161" s="62" t="s">
        <v>512</v>
      </c>
      <c r="V161" s="66" t="str">
        <f>IF(P161=CURSOS!$D$3,"DIPLOMADO EN ATENCION PRE-HOSPITALARIA",IF(P161=CURSOS!$D$4,"ACOMPAÑAMIENTO Y MANEJO DEL DUELO",IF(P161=CURSOS!$D$5,"ATENCION A VICTIMAS DE ATAQUE CON AGENTES QUIMICOS ",IF(P161=CURSOS!$D$6,"PRIMEROS AUXILIOS ",IF(P161=CURSOS!$D$7,"DIPLOMADO DE UNIDAD DE CUIDADOS INTENSIVOS (UCI)",IF(P161=CURSOS!$D$8,"MODELO DE ATENCION PARA EVENTOS EMERGENTES EN SALUD MENTAL (CODIGO VERDE)",IF(P161=CURSOS!$D$9,"HUMANIZACION EN EL SERVICIO DE LA SALUD Y BUENAS PRACTICAS EN PACIENTE ",IF(P161=CURSOS!$D$10,"CLINICA DE HERIDAS ",IF(P161=CURSOS!$D$11,"TOMA DE CITOLOGIA CERVICO VAGINAL ",IF(P161=CURSOS!$D$12,"SOPORTE CARDIOVASCULAR AVANZADO (ACLS) ",IF(P161=CURSOS!$D$13,"CAMILLERO ",IF(P161=CURSOS!$D$14,"TOMA DE MUESTRAS Y LABORATORIO ",IF(P161=CURSOS!$D$15,"SOPORTE VITAL BASICO (BLS)",IF(P161=CURSOS!$D$16,"ATENCION A VICTIMAS DE VIOLENCIA SEXUAL ",IF(P161=CURSOS!$D$17,"PROGRAMADO AMPLIADO DE INMUNIZACION (PAI - COVID 19)",IF(P161=CURSOS!$D$18,"ATENCION INTEGRAL EN ENFERMEDADES PREVALENTES EN PRIMERA INFANCIA (AIEPI)",IF(P161=CURSOS!$D$19,"ADMINISTRACION DE MEDICAMENTOS, INYECTOLOGIA  Y CANALIZACION ",IF(P161=CURSOS!$D$20,"OPERADOR DE VEHICULOS DE EMERGENCIA (OVE)",IF(P161=CURSOS!$D$21,"INSTITUCIONES AMIGAS DE LA MUJER Y LA INFANCIA (IAMI)",IF(P161=CURSOS!$D$22,"CUIDADO DEL DONANTE DE ORGANOS",IF(P161=CURSOS!$D$23,"ATENCION A VICTIMAS POR VIOLENCIA DE GENERO",IF(P161=CURSOS!$D$24,"IGUALDAD DE GENERO EN LA SALUD",IF(P161=CURSOS!$D$25,"BRIGADA DE EMERGENCIA",IF(P161=CURSOS!$D$26,"MANEJO DEL DOLOR Y CUIDADOS PALIATIVOS",IF(P161=CURSOS!$D$27,"TOMA DE MUESTRAS Y LABORATORIO POCT",IF(P161=CURSOS!$D$28,"IMPLANTE SUBDERMICO DE DISPOSITIVO INTRAUTERINO",IF(P161=CURSOS!$D$29,"SALUD MENTAL",IF(P161=CURSOS!$D$30,"PRIMEROS AUXILIOS PSICOLOGICOS",IF(P161=CURSOS!$D$31,"ATENCION A VICTIMAS POR CONFLICTO ARMADO",IF(P161=CURSOS!$D$32,"MANIPULACION DE ALIMENTOS Y BPM",IF(P161=CURSOS!$D$33,"ATENCION A PERSONAS CON DISCAPACIDAD",IF(P161=CURSOS!$D$34,"CUIDADO INTEGRAL DEL PACIENTE ADULTO",IF(P161=CURSOS!$D$35,"MANEJO DEFENSIVO",IF(P161=CURSOS!$D$36,"SOPORTE CARDIOVASCULAR AVANZADO NEONATAL",IF(P161=CURSOS!$D$37,"SEGURIDAD DEL PACIENTE",IF(P161=CURSOS!$D$38,"MANEJO DE RESIDUOS HOSPITALARIOS"))))))))))))))))))))))))))))))))))))</f>
        <v>INSTITUCIONES AMIGAS DE LA MUJER Y LA INFANCIA (IAMI)</v>
      </c>
      <c r="W161" s="66" t="str">
        <f t="shared" si="8"/>
        <v>Deicy Milena Burbano Dominguez</v>
      </c>
      <c r="X161" s="66" t="str">
        <f t="shared" si="9"/>
        <v>Deicy Milena Burbano Dominguez</v>
      </c>
      <c r="Y161" s="66" t="str">
        <f t="shared" si="10"/>
        <v>Deicy Milena Burbano Dominguez-59314897-IAMI</v>
      </c>
    </row>
    <row r="162" spans="1:26" s="60" customFormat="1" x14ac:dyDescent="0.2">
      <c r="A162" s="61">
        <v>161</v>
      </c>
      <c r="B162" s="62">
        <v>1085327252</v>
      </c>
      <c r="C162" s="62" t="s">
        <v>513</v>
      </c>
      <c r="D162" s="62" t="s">
        <v>514</v>
      </c>
      <c r="E162" s="62" t="s">
        <v>341</v>
      </c>
      <c r="F162" s="62" t="s">
        <v>225</v>
      </c>
      <c r="G162" s="62">
        <v>24</v>
      </c>
      <c r="H162" s="62" t="s">
        <v>127</v>
      </c>
      <c r="I162" s="62" t="s">
        <v>226</v>
      </c>
      <c r="J162" s="63" t="s">
        <v>232</v>
      </c>
      <c r="K162" s="64">
        <v>45772</v>
      </c>
      <c r="L162" s="83">
        <v>32000</v>
      </c>
      <c r="M162" s="62" t="s">
        <v>220</v>
      </c>
      <c r="N162" s="62" t="s">
        <v>131</v>
      </c>
      <c r="O162" s="62" t="s">
        <v>233</v>
      </c>
      <c r="P162" s="62" t="s">
        <v>32</v>
      </c>
      <c r="Q162" s="63">
        <v>35104</v>
      </c>
      <c r="R162" s="62" t="s">
        <v>208</v>
      </c>
      <c r="S162" s="62" t="s">
        <v>475</v>
      </c>
      <c r="T162" s="62">
        <v>3163522011</v>
      </c>
      <c r="U162" s="62" t="s">
        <v>515</v>
      </c>
      <c r="V162" s="66" t="str">
        <f>IF(P162=CURSOS!$D$3,"DIPLOMADO EN ATENCION PRE-HOSPITALARIA",IF(P162=CURSOS!$D$4,"ACOMPAÑAMIENTO Y MANEJO DEL DUELO",IF(P162=CURSOS!$D$5,"ATENCION A VICTIMAS DE ATAQUE CON AGENTES QUIMICOS ",IF(P162=CURSOS!$D$6,"PRIMEROS AUXILIOS ",IF(P162=CURSOS!$D$7,"DIPLOMADO DE UNIDAD DE CUIDADOS INTENSIVOS (UCI)",IF(P162=CURSOS!$D$8,"MODELO DE ATENCION PARA EVENTOS EMERGENTES EN SALUD MENTAL (CODIGO VERDE)",IF(P162=CURSOS!$D$9,"HUMANIZACION EN EL SERVICIO DE LA SALUD Y BUENAS PRACTICAS EN PACIENTE ",IF(P162=CURSOS!$D$10,"CLINICA DE HERIDAS ",IF(P162=CURSOS!$D$11,"TOMA DE CITOLOGIA CERVICO VAGINAL ",IF(P162=CURSOS!$D$12,"SOPORTE CARDIOVASCULAR AVANZADO (ACLS) ",IF(P162=CURSOS!$D$13,"CAMILLERO ",IF(P162=CURSOS!$D$14,"TOMA DE MUESTRAS Y LABORATORIO ",IF(P162=CURSOS!$D$15,"SOPORTE VITAL BASICO (BLS)",IF(P162=CURSOS!$D$16,"ATENCION A VICTIMAS DE VIOLENCIA SEXUAL ",IF(P162=CURSOS!$D$17,"PROGRAMADO AMPLIADO DE INMUNIZACION (PAI - COVID 19)",IF(P162=CURSOS!$D$18,"ATENCION INTEGRAL EN ENFERMEDADES PREVALENTES EN PRIMERA INFANCIA (AIEPI)",IF(P162=CURSOS!$D$19,"ADMINISTRACION DE MEDICAMENTOS, INYECTOLOGIA  Y CANALIZACION ",IF(P162=CURSOS!$D$20,"OPERADOR DE VEHICULOS DE EMERGENCIA (OVE)",IF(P162=CURSOS!$D$21,"INSTITUCIONES AMIGAS DE LA MUJER Y LA INFANCIA (IAMI)",IF(P162=CURSOS!$D$22,"CUIDADO DEL DONANTE DE ORGANOS",IF(P162=CURSOS!$D$23,"ATENCION A VICTIMAS POR VIOLENCIA DE GENERO",IF(P162=CURSOS!$D$24,"IGUALDAD DE GENERO EN LA SALUD",IF(P162=CURSOS!$D$25,"BRIGADA DE EMERGENCIA",IF(P162=CURSOS!$D$26,"MANEJO DEL DOLOR Y CUIDADOS PALIATIVOS",IF(P162=CURSOS!$D$27,"TOMA DE MUESTRAS Y LABORATORIO POCT",IF(P162=CURSOS!$D$28,"IMPLANTE SUBDERMICO DE DISPOSITIVO INTRAUTERINO",IF(P162=CURSOS!$D$29,"SALUD MENTAL",IF(P162=CURSOS!$D$30,"PRIMEROS AUXILIOS PSICOLOGICOS",IF(P162=CURSOS!$D$31,"ATENCION A VICTIMAS POR CONFLICTO ARMADO",IF(P162=CURSOS!$D$32,"MANIPULACION DE ALIMENTOS Y BPM",IF(P162=CURSOS!$D$33,"ATENCION A PERSONAS CON DISCAPACIDAD",IF(P162=CURSOS!$D$34,"CUIDADO INTEGRAL DEL PACIENTE ADULTO",IF(P162=CURSOS!$D$35,"MANEJO DEFENSIVO",IF(P162=CURSOS!$D$36,"SOPORTE CARDIOVASCULAR AVANZADO NEONATAL",IF(P162=CURSOS!$D$37,"SEGURIDAD DEL PACIENTE",IF(P162=CURSOS!$D$38,"MANEJO DE RESIDUOS HOSPITALARIOS"))))))))))))))))))))))))))))))))))))</f>
        <v xml:space="preserve">HUMANIZACION EN EL SERVICIO DE LA SALUD Y BUENAS PRACTICAS EN PACIENTE </v>
      </c>
      <c r="W162" s="66" t="str">
        <f t="shared" si="8"/>
        <v>Mayra Alejandra Mendivelso Betancourt</v>
      </c>
      <c r="X162" s="66" t="str">
        <f t="shared" si="9"/>
        <v>Mayra Alejandra Mendivelso Betancourt</v>
      </c>
      <c r="Y162" s="66" t="str">
        <f t="shared" si="10"/>
        <v>Mayra Alejandra Mendivelso Betancourt-1085327252-HUMANIZACION</v>
      </c>
    </row>
    <row r="163" spans="1:26" s="60" customFormat="1" x14ac:dyDescent="0.2">
      <c r="A163" s="61">
        <v>162</v>
      </c>
      <c r="B163" s="62">
        <v>1088731517</v>
      </c>
      <c r="C163" s="62" t="s">
        <v>505</v>
      </c>
      <c r="D163" s="62" t="s">
        <v>148</v>
      </c>
      <c r="E163" s="62" t="s">
        <v>516</v>
      </c>
      <c r="F163" s="62" t="s">
        <v>359</v>
      </c>
      <c r="G163" s="62">
        <v>3</v>
      </c>
      <c r="H163" s="62" t="s">
        <v>127</v>
      </c>
      <c r="I163" s="62" t="s">
        <v>226</v>
      </c>
      <c r="J163" s="63" t="s">
        <v>232</v>
      </c>
      <c r="K163" s="64">
        <v>45772</v>
      </c>
      <c r="L163" s="83">
        <v>32000</v>
      </c>
      <c r="M163" s="62" t="s">
        <v>220</v>
      </c>
      <c r="N163" s="62" t="s">
        <v>131</v>
      </c>
      <c r="O163" s="62" t="s">
        <v>233</v>
      </c>
      <c r="P163" s="62" t="s">
        <v>23</v>
      </c>
      <c r="Q163" s="63">
        <v>32140</v>
      </c>
      <c r="R163" s="62" t="s">
        <v>208</v>
      </c>
      <c r="S163" s="82" t="s">
        <v>337</v>
      </c>
      <c r="T163" s="62">
        <v>3154367055</v>
      </c>
      <c r="U163" s="62" t="s">
        <v>517</v>
      </c>
      <c r="V163" s="66" t="str">
        <f>IF(P163=CURSOS!$D$3,"DIPLOMADO EN ATENCION PRE-HOSPITALARIA",IF(P163=CURSOS!$D$4,"ACOMPAÑAMIENTO Y MANEJO DEL DUELO",IF(P163=CURSOS!$D$5,"ATENCION A VICTIMAS DE ATAQUE CON AGENTES QUIMICOS ",IF(P163=CURSOS!$D$6,"PRIMEROS AUXILIOS ",IF(P163=CURSOS!$D$7,"DIPLOMADO DE UNIDAD DE CUIDADOS INTENSIVOS (UCI)",IF(P163=CURSOS!$D$8,"MODELO DE ATENCION PARA EVENTOS EMERGENTES EN SALUD MENTAL (CODIGO VERDE)",IF(P163=CURSOS!$D$9,"HUMANIZACION EN EL SERVICIO DE LA SALUD Y BUENAS PRACTICAS EN PACIENTE ",IF(P163=CURSOS!$D$10,"CLINICA DE HERIDAS ",IF(P163=CURSOS!$D$11,"TOMA DE CITOLOGIA CERVICO VAGINAL ",IF(P163=CURSOS!$D$12,"SOPORTE CARDIOVASCULAR AVANZADO (ACLS) ",IF(P163=CURSOS!$D$13,"CAMILLERO ",IF(P163=CURSOS!$D$14,"TOMA DE MUESTRAS Y LABORATORIO ",IF(P163=CURSOS!$D$15,"SOPORTE VITAL BASICO (BLS)",IF(P163=CURSOS!$D$16,"ATENCION A VICTIMAS DE VIOLENCIA SEXUAL ",IF(P163=CURSOS!$D$17,"PROGRAMADO AMPLIADO DE INMUNIZACION (PAI - COVID 19)",IF(P163=CURSOS!$D$18,"ATENCION INTEGRAL EN ENFERMEDADES PREVALENTES EN PRIMERA INFANCIA (AIEPI)",IF(P163=CURSOS!$D$19,"ADMINISTRACION DE MEDICAMENTOS, INYECTOLOGIA  Y CANALIZACION ",IF(P163=CURSOS!$D$20,"OPERADOR DE VEHICULOS DE EMERGENCIA (OVE)",IF(P163=CURSOS!$D$21,"INSTITUCIONES AMIGAS DE LA MUJER Y LA INFANCIA (IAMI)",IF(P163=CURSOS!$D$22,"CUIDADO DEL DONANTE DE ORGANOS",IF(P163=CURSOS!$D$23,"ATENCION A VICTIMAS POR VIOLENCIA DE GENERO",IF(P163=CURSOS!$D$24,"IGUALDAD DE GENERO EN LA SALUD",IF(P163=CURSOS!$D$25,"BRIGADA DE EMERGENCIA",IF(P163=CURSOS!$D$26,"MANEJO DEL DOLOR Y CUIDADOS PALIATIVOS",IF(P163=CURSOS!$D$27,"TOMA DE MUESTRAS Y LABORATORIO POCT",IF(P163=CURSOS!$D$28,"IMPLANTE SUBDERMICO DE DISPOSITIVO INTRAUTERINO",IF(P163=CURSOS!$D$29,"SALUD MENTAL",IF(P163=CURSOS!$D$30,"PRIMEROS AUXILIOS PSICOLOGICOS",IF(P163=CURSOS!$D$31,"ATENCION A VICTIMAS POR CONFLICTO ARMADO",IF(P163=CURSOS!$D$32,"MANIPULACION DE ALIMENTOS Y BPM",IF(P163=CURSOS!$D$33,"ATENCION A PERSONAS CON DISCAPACIDAD",IF(P163=CURSOS!$D$34,"CUIDADO INTEGRAL DEL PACIENTE ADULTO",IF(P163=CURSOS!$D$35,"MANEJO DEFENSIVO",IF(P163=CURSOS!$D$36,"SOPORTE CARDIOVASCULAR AVANZADO NEONATAL",IF(P163=CURSOS!$D$37,"SEGURIDAD DEL PACIENTE",IF(P163=CURSOS!$D$38,"MANEJO DE RESIDUOS HOSPITALARIOS"))))))))))))))))))))))))))))))))))))</f>
        <v>ACOMPAÑAMIENTO Y MANEJO DEL DUELO</v>
      </c>
      <c r="W163" s="66" t="str">
        <f t="shared" si="8"/>
        <v>Martín Eduardo Salas Ibarra</v>
      </c>
      <c r="X163" s="66" t="str">
        <f t="shared" si="9"/>
        <v>Martín Eduardo Salas Ibarra</v>
      </c>
      <c r="Y163" s="66" t="str">
        <f t="shared" si="10"/>
        <v>Martín Eduardo Salas Ibarra-1088731517-DUELO</v>
      </c>
    </row>
    <row r="164" spans="1:26" s="60" customFormat="1" x14ac:dyDescent="0.2">
      <c r="A164" s="61">
        <v>163</v>
      </c>
      <c r="B164" s="62">
        <v>1233189484</v>
      </c>
      <c r="C164" s="62" t="s">
        <v>518</v>
      </c>
      <c r="D164" s="62" t="s">
        <v>519</v>
      </c>
      <c r="E164" s="62" t="s">
        <v>150</v>
      </c>
      <c r="F164" s="62" t="s">
        <v>270</v>
      </c>
      <c r="G164" s="62">
        <v>3</v>
      </c>
      <c r="H164" s="62" t="s">
        <v>127</v>
      </c>
      <c r="I164" s="62" t="s">
        <v>226</v>
      </c>
      <c r="J164" s="63" t="s">
        <v>232</v>
      </c>
      <c r="K164" s="64">
        <v>45772</v>
      </c>
      <c r="L164" s="83">
        <v>32000</v>
      </c>
      <c r="M164" s="62" t="s">
        <v>220</v>
      </c>
      <c r="N164" s="62" t="s">
        <v>131</v>
      </c>
      <c r="O164" s="62" t="s">
        <v>233</v>
      </c>
      <c r="P164" s="62" t="s">
        <v>44</v>
      </c>
      <c r="Q164" s="63">
        <v>35516</v>
      </c>
      <c r="R164" s="62" t="s">
        <v>208</v>
      </c>
      <c r="S164" s="82" t="s">
        <v>264</v>
      </c>
      <c r="T164" s="62">
        <v>3232427889</v>
      </c>
      <c r="U164" s="62" t="s">
        <v>520</v>
      </c>
      <c r="V164" s="66" t="str">
        <f>IF(P164=CURSOS!$D$3,"DIPLOMADO EN ATENCION PRE-HOSPITALARIA",IF(P164=CURSOS!$D$4,"ACOMPAÑAMIENTO Y MANEJO DEL DUELO",IF(P164=CURSOS!$D$5,"ATENCION A VICTIMAS DE ATAQUE CON AGENTES QUIMICOS ",IF(P164=CURSOS!$D$6,"PRIMEROS AUXILIOS ",IF(P164=CURSOS!$D$7,"DIPLOMADO DE UNIDAD DE CUIDADOS INTENSIVOS (UCI)",IF(P164=CURSOS!$D$8,"MODELO DE ATENCION PARA EVENTOS EMERGENTES EN SALUD MENTAL (CODIGO VERDE)",IF(P164=CURSOS!$D$9,"HUMANIZACION EN EL SERVICIO DE LA SALUD Y BUENAS PRACTICAS EN PACIENTE ",IF(P164=CURSOS!$D$10,"CLINICA DE HERIDAS ",IF(P164=CURSOS!$D$11,"TOMA DE CITOLOGIA CERVICO VAGINAL ",IF(P164=CURSOS!$D$12,"SOPORTE CARDIOVASCULAR AVANZADO (ACLS) ",IF(P164=CURSOS!$D$13,"CAMILLERO ",IF(P164=CURSOS!$D$14,"TOMA DE MUESTRAS Y LABORATORIO ",IF(P164=CURSOS!$D$15,"SOPORTE VITAL BASICO (BLS)",IF(P164=CURSOS!$D$16,"ATENCION A VICTIMAS DE VIOLENCIA SEXUAL ",IF(P164=CURSOS!$D$17,"PROGRAMADO AMPLIADO DE INMUNIZACION (PAI - COVID 19)",IF(P164=CURSOS!$D$18,"ATENCION INTEGRAL EN ENFERMEDADES PREVALENTES EN PRIMERA INFANCIA (AIEPI)",IF(P164=CURSOS!$D$19,"ADMINISTRACION DE MEDICAMENTOS, INYECTOLOGIA  Y CANALIZACION ",IF(P164=CURSOS!$D$20,"OPERADOR DE VEHICULOS DE EMERGENCIA (OVE)",IF(P164=CURSOS!$D$21,"INSTITUCIONES AMIGAS DE LA MUJER Y LA INFANCIA (IAMI)",IF(P164=CURSOS!$D$22,"CUIDADO DEL DONANTE DE ORGANOS",IF(P164=CURSOS!$D$23,"ATENCION A VICTIMAS POR VIOLENCIA DE GENERO",IF(P164=CURSOS!$D$24,"IGUALDAD DE GENERO EN LA SALUD",IF(P164=CURSOS!$D$25,"BRIGADA DE EMERGENCIA",IF(P164=CURSOS!$D$26,"MANEJO DEL DOLOR Y CUIDADOS PALIATIVOS",IF(P164=CURSOS!$D$27,"TOMA DE MUESTRAS Y LABORATORIO POCT",IF(P164=CURSOS!$D$28,"IMPLANTE SUBDERMICO DE DISPOSITIVO INTRAUTERINO",IF(P164=CURSOS!$D$29,"SALUD MENTAL",IF(P164=CURSOS!$D$30,"PRIMEROS AUXILIOS PSICOLOGICOS",IF(P164=CURSOS!$D$31,"ATENCION A VICTIMAS POR CONFLICTO ARMADO",IF(P164=CURSOS!$D$32,"MANIPULACION DE ALIMENTOS Y BPM",IF(P164=CURSOS!$D$33,"ATENCION A PERSONAS CON DISCAPACIDAD",IF(P164=CURSOS!$D$34,"CUIDADO INTEGRAL DEL PACIENTE ADULTO",IF(P164=CURSOS!$D$35,"MANEJO DEFENSIVO",IF(P164=CURSOS!$D$36,"SOPORTE CARDIOVASCULAR AVANZADO NEONATAL",IF(P164=CURSOS!$D$37,"SEGURIDAD DEL PACIENTE",IF(P164=CURSOS!$D$38,"MANEJO DE RESIDUOS HOSPITALARIOS"))))))))))))))))))))))))))))))))))))</f>
        <v>ATENCION INTEGRAL EN ENFERMEDADES PREVALENTES EN PRIMERA INFANCIA (AIEPI)</v>
      </c>
      <c r="W164" s="66" t="str">
        <f t="shared" si="8"/>
        <v>Maria Jose Rey Andrade</v>
      </c>
      <c r="X164" s="66" t="str">
        <f t="shared" si="9"/>
        <v>Maria Jose Rey Andrade</v>
      </c>
      <c r="Y164" s="66" t="str">
        <f t="shared" si="10"/>
        <v>Maria Jose Rey Andrade-1233189484-AIEPI</v>
      </c>
    </row>
    <row r="165" spans="1:26" s="60" customFormat="1" x14ac:dyDescent="0.2">
      <c r="A165" s="61">
        <v>164</v>
      </c>
      <c r="B165" s="62">
        <v>1233189484</v>
      </c>
      <c r="C165" s="62" t="s">
        <v>518</v>
      </c>
      <c r="D165" s="62" t="s">
        <v>519</v>
      </c>
      <c r="E165" s="62" t="s">
        <v>150</v>
      </c>
      <c r="F165" s="62" t="s">
        <v>270</v>
      </c>
      <c r="G165" s="62">
        <v>3</v>
      </c>
      <c r="H165" s="62" t="s">
        <v>127</v>
      </c>
      <c r="I165" s="62" t="s">
        <v>226</v>
      </c>
      <c r="J165" s="63" t="s">
        <v>232</v>
      </c>
      <c r="K165" s="64">
        <v>45772</v>
      </c>
      <c r="L165" s="83">
        <v>32000</v>
      </c>
      <c r="M165" s="62" t="s">
        <v>220</v>
      </c>
      <c r="N165" s="62" t="s">
        <v>131</v>
      </c>
      <c r="O165" s="62" t="s">
        <v>233</v>
      </c>
      <c r="P165" s="62" t="s">
        <v>23</v>
      </c>
      <c r="Q165" s="63">
        <v>35516</v>
      </c>
      <c r="R165" s="62" t="s">
        <v>208</v>
      </c>
      <c r="S165" s="82" t="s">
        <v>264</v>
      </c>
      <c r="T165" s="62">
        <v>3232427889</v>
      </c>
      <c r="U165" s="62" t="s">
        <v>520</v>
      </c>
      <c r="V165" s="66" t="str">
        <f>IF(P165=CURSOS!$D$3,"DIPLOMADO EN ATENCION PRE-HOSPITALARIA",IF(P165=CURSOS!$D$4,"ACOMPAÑAMIENTO Y MANEJO DEL DUELO",IF(P165=CURSOS!$D$5,"ATENCION A VICTIMAS DE ATAQUE CON AGENTES QUIMICOS ",IF(P165=CURSOS!$D$6,"PRIMEROS AUXILIOS ",IF(P165=CURSOS!$D$7,"DIPLOMADO DE UNIDAD DE CUIDADOS INTENSIVOS (UCI)",IF(P165=CURSOS!$D$8,"MODELO DE ATENCION PARA EVENTOS EMERGENTES EN SALUD MENTAL (CODIGO VERDE)",IF(P165=CURSOS!$D$9,"HUMANIZACION EN EL SERVICIO DE LA SALUD Y BUENAS PRACTICAS EN PACIENTE ",IF(P165=CURSOS!$D$10,"CLINICA DE HERIDAS ",IF(P165=CURSOS!$D$11,"TOMA DE CITOLOGIA CERVICO VAGINAL ",IF(P165=CURSOS!$D$12,"SOPORTE CARDIOVASCULAR AVANZADO (ACLS) ",IF(P165=CURSOS!$D$13,"CAMILLERO ",IF(P165=CURSOS!$D$14,"TOMA DE MUESTRAS Y LABORATORIO ",IF(P165=CURSOS!$D$15,"SOPORTE VITAL BASICO (BLS)",IF(P165=CURSOS!$D$16,"ATENCION A VICTIMAS DE VIOLENCIA SEXUAL ",IF(P165=CURSOS!$D$17,"PROGRAMADO AMPLIADO DE INMUNIZACION (PAI - COVID 19)",IF(P165=CURSOS!$D$18,"ATENCION INTEGRAL EN ENFERMEDADES PREVALENTES EN PRIMERA INFANCIA (AIEPI)",IF(P165=CURSOS!$D$19,"ADMINISTRACION DE MEDICAMENTOS, INYECTOLOGIA  Y CANALIZACION ",IF(P165=CURSOS!$D$20,"OPERADOR DE VEHICULOS DE EMERGENCIA (OVE)",IF(P165=CURSOS!$D$21,"INSTITUCIONES AMIGAS DE LA MUJER Y LA INFANCIA (IAMI)",IF(P165=CURSOS!$D$22,"CUIDADO DEL DONANTE DE ORGANOS",IF(P165=CURSOS!$D$23,"ATENCION A VICTIMAS POR VIOLENCIA DE GENERO",IF(P165=CURSOS!$D$24,"IGUALDAD DE GENERO EN LA SALUD",IF(P165=CURSOS!$D$25,"BRIGADA DE EMERGENCIA",IF(P165=CURSOS!$D$26,"MANEJO DEL DOLOR Y CUIDADOS PALIATIVOS",IF(P165=CURSOS!$D$27,"TOMA DE MUESTRAS Y LABORATORIO POCT",IF(P165=CURSOS!$D$28,"IMPLANTE SUBDERMICO DE DISPOSITIVO INTRAUTERINO",IF(P165=CURSOS!$D$29,"SALUD MENTAL",IF(P165=CURSOS!$D$30,"PRIMEROS AUXILIOS PSICOLOGICOS",IF(P165=CURSOS!$D$31,"ATENCION A VICTIMAS POR CONFLICTO ARMADO",IF(P165=CURSOS!$D$32,"MANIPULACION DE ALIMENTOS Y BPM",IF(P165=CURSOS!$D$33,"ATENCION A PERSONAS CON DISCAPACIDAD",IF(P165=CURSOS!$D$34,"CUIDADO INTEGRAL DEL PACIENTE ADULTO",IF(P165=CURSOS!$D$35,"MANEJO DEFENSIVO",IF(P165=CURSOS!$D$36,"SOPORTE CARDIOVASCULAR AVANZADO NEONATAL",IF(P165=CURSOS!$D$37,"SEGURIDAD DEL PACIENTE",IF(P165=CURSOS!$D$38,"MANEJO DE RESIDUOS HOSPITALARIOS"))))))))))))))))))))))))))))))))))))</f>
        <v>ACOMPAÑAMIENTO Y MANEJO DEL DUELO</v>
      </c>
      <c r="W165" s="66" t="str">
        <f t="shared" si="8"/>
        <v>Maria Jose Rey Andrade</v>
      </c>
      <c r="X165" s="66" t="str">
        <f t="shared" si="9"/>
        <v>Maria Jose Rey Andrade</v>
      </c>
      <c r="Y165" s="66" t="str">
        <f t="shared" si="10"/>
        <v>Maria Jose Rey Andrade-1233189484-DUELO</v>
      </c>
    </row>
    <row r="166" spans="1:26" s="60" customFormat="1" x14ac:dyDescent="0.2">
      <c r="A166" s="61">
        <v>165</v>
      </c>
      <c r="B166" s="62">
        <v>59796183</v>
      </c>
      <c r="C166" s="62" t="s">
        <v>236</v>
      </c>
      <c r="D166" s="62" t="s">
        <v>340</v>
      </c>
      <c r="E166" s="62" t="s">
        <v>182</v>
      </c>
      <c r="F166" s="62" t="s">
        <v>161</v>
      </c>
      <c r="G166" s="62">
        <v>29</v>
      </c>
      <c r="H166" s="62" t="s">
        <v>127</v>
      </c>
      <c r="I166" s="62" t="s">
        <v>226</v>
      </c>
      <c r="J166" s="63" t="s">
        <v>232</v>
      </c>
      <c r="K166" s="64">
        <v>45776</v>
      </c>
      <c r="L166" s="83">
        <v>32000</v>
      </c>
      <c r="M166" s="62" t="s">
        <v>220</v>
      </c>
      <c r="N166" s="62" t="s">
        <v>131</v>
      </c>
      <c r="O166" s="62" t="s">
        <v>233</v>
      </c>
      <c r="P166" s="62" t="s">
        <v>25</v>
      </c>
      <c r="Q166" s="63">
        <v>29062</v>
      </c>
      <c r="R166" s="62" t="s">
        <v>208</v>
      </c>
      <c r="S166" s="95" t="s">
        <v>332</v>
      </c>
      <c r="T166" s="62">
        <v>3226837603</v>
      </c>
      <c r="U166" s="62"/>
      <c r="V166" s="66" t="str">
        <f>IF(P166=CURSOS!$D$3,"DIPLOMADO EN ATENCION PRE-HOSPITALARIA",IF(P166=CURSOS!$D$4,"ACOMPAÑAMIENTO Y MANEJO DEL DUELO",IF(P166=CURSOS!$D$5,"ATENCION A VICTIMAS DE ATAQUE CON AGENTES QUIMICOS ",IF(P166=CURSOS!$D$6,"PRIMEROS AUXILIOS ",IF(P166=CURSOS!$D$7,"DIPLOMADO DE UNIDAD DE CUIDADOS INTENSIVOS (UCI)",IF(P166=CURSOS!$D$8,"MODELO DE ATENCION PARA EVENTOS EMERGENTES EN SALUD MENTAL (CODIGO VERDE)",IF(P166=CURSOS!$D$9,"HUMANIZACION EN EL SERVICIO DE LA SALUD Y BUENAS PRACTICAS EN PACIENTE ",IF(P166=CURSOS!$D$10,"CLINICA DE HERIDAS ",IF(P166=CURSOS!$D$11,"TOMA DE CITOLOGIA CERVICO VAGINAL ",IF(P166=CURSOS!$D$12,"SOPORTE CARDIOVASCULAR AVANZADO (ACLS) ",IF(P166=CURSOS!$D$13,"CAMILLERO ",IF(P166=CURSOS!$D$14,"TOMA DE MUESTRAS Y LABORATORIO ",IF(P166=CURSOS!$D$15,"SOPORTE VITAL BASICO (BLS)",IF(P166=CURSOS!$D$16,"ATENCION A VICTIMAS DE VIOLENCIA SEXUAL ",IF(P166=CURSOS!$D$17,"PROGRAMADO AMPLIADO DE INMUNIZACION (PAI - COVID 19)",IF(P166=CURSOS!$D$18,"ATENCION INTEGRAL EN ENFERMEDADES PREVALENTES EN PRIMERA INFANCIA (AIEPI)",IF(P166=CURSOS!$D$19,"ADMINISTRACION DE MEDICAMENTOS, INYECTOLOGIA  Y CANALIZACION ",IF(P166=CURSOS!$D$20,"OPERADOR DE VEHICULOS DE EMERGENCIA (OVE)",IF(P166=CURSOS!$D$21,"INSTITUCIONES AMIGAS DE LA MUJER Y LA INFANCIA (IAMI)",IF(P166=CURSOS!$D$22,"CUIDADO DEL DONANTE DE ORGANOS",IF(P166=CURSOS!$D$23,"ATENCION A VICTIMAS POR VIOLENCIA DE GENERO",IF(P166=CURSOS!$D$24,"IGUALDAD DE GENERO EN LA SALUD",IF(P166=CURSOS!$D$25,"BRIGADA DE EMERGENCIA",IF(P166=CURSOS!$D$26,"MANEJO DEL DOLOR Y CUIDADOS PALIATIVOS",IF(P166=CURSOS!$D$27,"TOMA DE MUESTRAS Y LABORATORIO POCT",IF(P166=CURSOS!$D$28,"IMPLANTE SUBDERMICO DE DISPOSITIVO INTRAUTERINO",IF(P166=CURSOS!$D$29,"SALUD MENTAL",IF(P166=CURSOS!$D$30,"PRIMEROS AUXILIOS PSICOLOGICOS",IF(P166=CURSOS!$D$31,"ATENCION A VICTIMAS POR CONFLICTO ARMADO",IF(P166=CURSOS!$D$32,"MANIPULACION DE ALIMENTOS Y BPM",IF(P166=CURSOS!$D$33,"ATENCION A PERSONAS CON DISCAPACIDAD",IF(P166=CURSOS!$D$34,"CUIDADO INTEGRAL DEL PACIENTE ADULTO",IF(P166=CURSOS!$D$35,"MANEJO DEFENSIVO",IF(P166=CURSOS!$D$36,"SOPORTE CARDIOVASCULAR AVANZADO NEONATAL",IF(P166=CURSOS!$D$37,"SEGURIDAD DEL PACIENTE",IF(P166=CURSOS!$D$38,"MANEJO DE RESIDUOS HOSPITALARIOS"))))))))))))))))))))))))))))))))))))</f>
        <v xml:space="preserve">ATENCION A VICTIMAS DE ATAQUE CON AGENTES QUIMICOS </v>
      </c>
      <c r="W166" s="66" t="str">
        <f t="shared" si="8"/>
        <v>Paola Andrea Cabrera Rivera</v>
      </c>
      <c r="X166" s="66" t="str">
        <f t="shared" si="9"/>
        <v>Paola Andrea Cabrera Rivera</v>
      </c>
      <c r="Y166" s="66" t="str">
        <f t="shared" si="10"/>
        <v>Paola Andrea Cabrera Rivera-59796183-QUIMICOS</v>
      </c>
    </row>
    <row r="167" spans="1:26" s="60" customFormat="1" x14ac:dyDescent="0.2">
      <c r="A167" s="61">
        <v>166</v>
      </c>
      <c r="B167" s="62">
        <v>1085327331</v>
      </c>
      <c r="C167" s="62" t="s">
        <v>247</v>
      </c>
      <c r="D167" s="62" t="s">
        <v>521</v>
      </c>
      <c r="E167" s="62" t="s">
        <v>150</v>
      </c>
      <c r="F167" s="62" t="s">
        <v>225</v>
      </c>
      <c r="G167" s="62">
        <v>26</v>
      </c>
      <c r="H167" s="62" t="s">
        <v>127</v>
      </c>
      <c r="I167" s="62" t="s">
        <v>226</v>
      </c>
      <c r="J167" s="63" t="s">
        <v>232</v>
      </c>
      <c r="K167" s="64">
        <v>45776</v>
      </c>
      <c r="L167" s="83">
        <v>100000</v>
      </c>
      <c r="M167" s="62" t="s">
        <v>220</v>
      </c>
      <c r="N167" s="62" t="s">
        <v>131</v>
      </c>
      <c r="O167" s="62" t="s">
        <v>233</v>
      </c>
      <c r="P167" s="62" t="s">
        <v>522</v>
      </c>
      <c r="Q167" s="63">
        <v>35136</v>
      </c>
      <c r="R167" s="62" t="s">
        <v>208</v>
      </c>
      <c r="S167" s="95" t="s">
        <v>264</v>
      </c>
      <c r="T167" s="62">
        <v>3216961913</v>
      </c>
      <c r="U167" s="62" t="s">
        <v>523</v>
      </c>
      <c r="V167" s="66" t="b">
        <f>IF(P167=CURSOS!$D$3,"DIPLOMADO EN ATENCION PRE-HOSPITALARIA",IF(P167=CURSOS!$D$4,"ACOMPAÑAMIENTO Y MANEJO DEL DUELO",IF(P167=CURSOS!$D$5,"ATENCION A VICTIMAS DE ATAQUE CON AGENTES QUIMICOS ",IF(P167=CURSOS!$D$6,"PRIMEROS AUXILIOS ",IF(P167=CURSOS!$D$7,"DIPLOMADO DE UNIDAD DE CUIDADOS INTENSIVOS (UCI)",IF(P167=CURSOS!$D$8,"MODELO DE ATENCION PARA EVENTOS EMERGENTES EN SALUD MENTAL (CODIGO VERDE)",IF(P167=CURSOS!$D$9,"HUMANIZACION EN EL SERVICIO DE LA SALUD Y BUENAS PRACTICAS EN PACIENTE ",IF(P167=CURSOS!$D$10,"CLINICA DE HERIDAS ",IF(P167=CURSOS!$D$11,"TOMA DE CITOLOGIA CERVICO VAGINAL ",IF(P167=CURSOS!$D$12,"SOPORTE CARDIOVASCULAR AVANZADO (ACLS) ",IF(P167=CURSOS!$D$13,"CAMILLERO ",IF(P167=CURSOS!$D$14,"TOMA DE MUESTRAS Y LABORATORIO ",IF(P167=CURSOS!$D$15,"SOPORTE VITAL BASICO (BLS)",IF(P167=CURSOS!$D$16,"ATENCION A VICTIMAS DE VIOLENCIA SEXUAL ",IF(P167=CURSOS!$D$17,"PROGRAMADO AMPLIADO DE INMUNIZACION (PAI - COVID 19)",IF(P167=CURSOS!$D$18,"ATENCION INTEGRAL EN ENFERMEDADES PREVALENTES EN PRIMERA INFANCIA (AIEPI)",IF(P167=CURSOS!$D$19,"ADMINISTRACION DE MEDICAMENTOS, INYECTOLOGIA  Y CANALIZACION ",IF(P167=CURSOS!$D$20,"OPERADOR DE VEHICULOS DE EMERGENCIA (OVE)",IF(P167=CURSOS!$D$21,"INSTITUCIONES AMIGAS DE LA MUJER Y LA INFANCIA (IAMI)",IF(P167=CURSOS!$D$22,"CUIDADO DEL DONANTE DE ORGANOS",IF(P167=CURSOS!$D$23,"ATENCION A VICTIMAS POR VIOLENCIA DE GENERO",IF(P167=CURSOS!$D$24,"IGUALDAD DE GENERO EN LA SALUD",IF(P167=CURSOS!$D$25,"BRIGADA DE EMERGENCIA",IF(P167=CURSOS!$D$26,"MANEJO DEL DOLOR Y CUIDADOS PALIATIVOS",IF(P167=CURSOS!$D$27,"TOMA DE MUESTRAS Y LABORATORIO POCT",IF(P167=CURSOS!$D$28,"IMPLANTE SUBDERMICO DE DISPOSITIVO INTRAUTERINO",IF(P167=CURSOS!$D$29,"SALUD MENTAL",IF(P167=CURSOS!$D$30,"PRIMEROS AUXILIOS PSICOLOGICOS",IF(P167=CURSOS!$D$31,"ATENCION A VICTIMAS POR CONFLICTO ARMADO",IF(P167=CURSOS!$D$32,"MANIPULACION DE ALIMENTOS Y BPM",IF(P167=CURSOS!$D$33,"ATENCION A PERSONAS CON DISCAPACIDAD",IF(P167=CURSOS!$D$34,"CUIDADO INTEGRAL DEL PACIENTE ADULTO",IF(P167=CURSOS!$D$35,"MANEJO DEFENSIVO",IF(P167=CURSOS!$D$36,"SOPORTE CARDIOVASCULAR AVANZADO NEONATAL",IF(P167=CURSOS!$D$37,"SEGURIDAD DEL PACIENTE",IF(P167=CURSOS!$D$38,"MANEJO DE RESIDUOS HOSPITALARIOS"))))))))))))))))))))))))))))))))))))</f>
        <v>0</v>
      </c>
      <c r="W167" s="66" t="str">
        <f t="shared" si="8"/>
        <v>Maria Alejandra Bastidas Vera</v>
      </c>
      <c r="X167" s="66" t="str">
        <f t="shared" si="9"/>
        <v>Maria Alejandra Bastidas Vera</v>
      </c>
      <c r="Y167" s="66" t="str">
        <f t="shared" si="10"/>
        <v>Maria Alejandra Bastidas Vera-1085327331-PALS</v>
      </c>
    </row>
    <row r="168" spans="1:26" s="60" customFormat="1" x14ac:dyDescent="0.2">
      <c r="A168" s="61">
        <v>167</v>
      </c>
      <c r="B168" s="62">
        <v>1085327331</v>
      </c>
      <c r="C168" s="62" t="s">
        <v>247</v>
      </c>
      <c r="D168" s="62" t="s">
        <v>521</v>
      </c>
      <c r="E168" s="62" t="s">
        <v>150</v>
      </c>
      <c r="F168" s="62" t="s">
        <v>225</v>
      </c>
      <c r="G168" s="62">
        <v>28</v>
      </c>
      <c r="H168" s="62" t="s">
        <v>127</v>
      </c>
      <c r="I168" s="62" t="s">
        <v>226</v>
      </c>
      <c r="J168" s="63" t="s">
        <v>232</v>
      </c>
      <c r="K168" s="64">
        <v>45776</v>
      </c>
      <c r="L168" s="83">
        <v>32000</v>
      </c>
      <c r="M168" s="62" t="s">
        <v>220</v>
      </c>
      <c r="N168" s="62" t="s">
        <v>131</v>
      </c>
      <c r="O168" s="62" t="s">
        <v>233</v>
      </c>
      <c r="P168" s="62" t="s">
        <v>32</v>
      </c>
      <c r="Q168" s="63">
        <v>35136</v>
      </c>
      <c r="R168" s="62" t="s">
        <v>208</v>
      </c>
      <c r="S168" s="95" t="s">
        <v>264</v>
      </c>
      <c r="T168" s="62">
        <v>3216961913</v>
      </c>
      <c r="U168" s="62" t="s">
        <v>523</v>
      </c>
      <c r="V168" s="66" t="str">
        <f>IF(P168=CURSOS!$D$3,"DIPLOMADO EN ATENCION PRE-HOSPITALARIA",IF(P168=CURSOS!$D$4,"ACOMPAÑAMIENTO Y MANEJO DEL DUELO",IF(P168=CURSOS!$D$5,"ATENCION A VICTIMAS DE ATAQUE CON AGENTES QUIMICOS ",IF(P168=CURSOS!$D$6,"PRIMEROS AUXILIOS ",IF(P168=CURSOS!$D$7,"DIPLOMADO DE UNIDAD DE CUIDADOS INTENSIVOS (UCI)",IF(P168=CURSOS!$D$8,"MODELO DE ATENCION PARA EVENTOS EMERGENTES EN SALUD MENTAL (CODIGO VERDE)",IF(P168=CURSOS!$D$9,"HUMANIZACION EN EL SERVICIO DE LA SALUD Y BUENAS PRACTICAS EN PACIENTE ",IF(P168=CURSOS!$D$10,"CLINICA DE HERIDAS ",IF(P168=CURSOS!$D$11,"TOMA DE CITOLOGIA CERVICO VAGINAL ",IF(P168=CURSOS!$D$12,"SOPORTE CARDIOVASCULAR AVANZADO (ACLS) ",IF(P168=CURSOS!$D$13,"CAMILLERO ",IF(P168=CURSOS!$D$14,"TOMA DE MUESTRAS Y LABORATORIO ",IF(P168=CURSOS!$D$15,"SOPORTE VITAL BASICO (BLS)",IF(P168=CURSOS!$D$16,"ATENCION A VICTIMAS DE VIOLENCIA SEXUAL ",IF(P168=CURSOS!$D$17,"PROGRAMADO AMPLIADO DE INMUNIZACION (PAI - COVID 19)",IF(P168=CURSOS!$D$18,"ATENCION INTEGRAL EN ENFERMEDADES PREVALENTES EN PRIMERA INFANCIA (AIEPI)",IF(P168=CURSOS!$D$19,"ADMINISTRACION DE MEDICAMENTOS, INYECTOLOGIA  Y CANALIZACION ",IF(P168=CURSOS!$D$20,"OPERADOR DE VEHICULOS DE EMERGENCIA (OVE)",IF(P168=CURSOS!$D$21,"INSTITUCIONES AMIGAS DE LA MUJER Y LA INFANCIA (IAMI)",IF(P168=CURSOS!$D$22,"CUIDADO DEL DONANTE DE ORGANOS",IF(P168=CURSOS!$D$23,"ATENCION A VICTIMAS POR VIOLENCIA DE GENERO",IF(P168=CURSOS!$D$24,"IGUALDAD DE GENERO EN LA SALUD",IF(P168=CURSOS!$D$25,"BRIGADA DE EMERGENCIA",IF(P168=CURSOS!$D$26,"MANEJO DEL DOLOR Y CUIDADOS PALIATIVOS",IF(P168=CURSOS!$D$27,"TOMA DE MUESTRAS Y LABORATORIO POCT",IF(P168=CURSOS!$D$28,"IMPLANTE SUBDERMICO DE DISPOSITIVO INTRAUTERINO",IF(P168=CURSOS!$D$29,"SALUD MENTAL",IF(P168=CURSOS!$D$30,"PRIMEROS AUXILIOS PSICOLOGICOS",IF(P168=CURSOS!$D$31,"ATENCION A VICTIMAS POR CONFLICTO ARMADO",IF(P168=CURSOS!$D$32,"MANIPULACION DE ALIMENTOS Y BPM",IF(P168=CURSOS!$D$33,"ATENCION A PERSONAS CON DISCAPACIDAD",IF(P168=CURSOS!$D$34,"CUIDADO INTEGRAL DEL PACIENTE ADULTO",IF(P168=CURSOS!$D$35,"MANEJO DEFENSIVO",IF(P168=CURSOS!$D$36,"SOPORTE CARDIOVASCULAR AVANZADO NEONATAL",IF(P168=CURSOS!$D$37,"SEGURIDAD DEL PACIENTE",IF(P168=CURSOS!$D$38,"MANEJO DE RESIDUOS HOSPITALARIOS"))))))))))))))))))))))))))))))))))))</f>
        <v xml:space="preserve">HUMANIZACION EN EL SERVICIO DE LA SALUD Y BUENAS PRACTICAS EN PACIENTE </v>
      </c>
      <c r="W168" s="66" t="str">
        <f t="shared" si="8"/>
        <v>Maria Alejandra Bastidas Vera</v>
      </c>
      <c r="X168" s="66" t="str">
        <f t="shared" si="9"/>
        <v>Maria Alejandra Bastidas Vera</v>
      </c>
      <c r="Y168" s="66" t="str">
        <f t="shared" si="10"/>
        <v>Maria Alejandra Bastidas Vera-1085327331-HUMANIZACION</v>
      </c>
    </row>
    <row r="169" spans="1:26" s="60" customFormat="1" x14ac:dyDescent="0.2">
      <c r="A169" s="61">
        <v>168</v>
      </c>
      <c r="B169" s="62">
        <v>59312730</v>
      </c>
      <c r="C169" s="62" t="s">
        <v>340</v>
      </c>
      <c r="D169" s="62" t="s">
        <v>460</v>
      </c>
      <c r="E169" s="62" t="s">
        <v>524</v>
      </c>
      <c r="F169" s="62" t="s">
        <v>525</v>
      </c>
      <c r="G169" s="62">
        <v>30</v>
      </c>
      <c r="H169" s="62" t="s">
        <v>127</v>
      </c>
      <c r="I169" s="62" t="s">
        <v>226</v>
      </c>
      <c r="J169" s="63" t="s">
        <v>334</v>
      </c>
      <c r="K169" s="64">
        <v>45777</v>
      </c>
      <c r="L169" s="83">
        <v>40000</v>
      </c>
      <c r="M169" s="62" t="s">
        <v>220</v>
      </c>
      <c r="N169" s="62" t="s">
        <v>131</v>
      </c>
      <c r="O169" s="62" t="s">
        <v>257</v>
      </c>
      <c r="P169" s="62" t="s">
        <v>48</v>
      </c>
      <c r="Q169" s="63">
        <v>30676</v>
      </c>
      <c r="R169" s="62" t="s">
        <v>208</v>
      </c>
      <c r="S169" s="98" t="s">
        <v>526</v>
      </c>
      <c r="T169" s="62">
        <v>3156721020</v>
      </c>
      <c r="U169" s="62" t="s">
        <v>527</v>
      </c>
      <c r="V169" s="66" t="str">
        <f>IF(P169=CURSOS!$D$3,"DIPLOMADO EN ATENCION PRE-HOSPITALARIA",IF(P169=CURSOS!$D$4,"ACOMPAÑAMIENTO Y MANEJO DEL DUELO",IF(P169=CURSOS!$D$5,"ATENCION A VICTIMAS DE ATAQUE CON AGENTES QUIMICOS ",IF(P169=CURSOS!$D$6,"PRIMEROS AUXILIOS ",IF(P169=CURSOS!$D$7,"DIPLOMADO DE UNIDAD DE CUIDADOS INTENSIVOS (UCI)",IF(P169=CURSOS!$D$8,"MODELO DE ATENCION PARA EVENTOS EMERGENTES EN SALUD MENTAL (CODIGO VERDE)",IF(P169=CURSOS!$D$9,"HUMANIZACION EN EL SERVICIO DE LA SALUD Y BUENAS PRACTICAS EN PACIENTE ",IF(P169=CURSOS!$D$10,"CLINICA DE HERIDAS ",IF(P169=CURSOS!$D$11,"TOMA DE CITOLOGIA CERVICO VAGINAL ",IF(P169=CURSOS!$D$12,"SOPORTE CARDIOVASCULAR AVANZADO (ACLS) ",IF(P169=CURSOS!$D$13,"CAMILLERO ",IF(P169=CURSOS!$D$14,"TOMA DE MUESTRAS Y LABORATORIO ",IF(P169=CURSOS!$D$15,"SOPORTE VITAL BASICO (BLS)",IF(P169=CURSOS!$D$16,"ATENCION A VICTIMAS DE VIOLENCIA SEXUAL ",IF(P169=CURSOS!$D$17,"PROGRAMADO AMPLIADO DE INMUNIZACION (PAI - COVID 19)",IF(P169=CURSOS!$D$18,"ATENCION INTEGRAL EN ENFERMEDADES PREVALENTES EN PRIMERA INFANCIA (AIEPI)",IF(P169=CURSOS!$D$19,"ADMINISTRACION DE MEDICAMENTOS, INYECTOLOGIA  Y CANALIZACION ",IF(P169=CURSOS!$D$20,"OPERADOR DE VEHICULOS DE EMERGENCIA (OVE)",IF(P169=CURSOS!$D$21,"INSTITUCIONES AMIGAS DE LA MUJER Y LA INFANCIA (IAMI)",IF(P169=CURSOS!$D$22,"CUIDADO DEL DONANTE DE ORGANOS",IF(P169=CURSOS!$D$23,"ATENCION A VICTIMAS POR VIOLENCIA DE GENERO",IF(P169=CURSOS!$D$24,"IGUALDAD DE GENERO EN LA SALUD",IF(P169=CURSOS!$D$25,"BRIGADA DE EMERGENCIA",IF(P169=CURSOS!$D$26,"MANEJO DEL DOLOR Y CUIDADOS PALIATIVOS",IF(P169=CURSOS!$D$27,"TOMA DE MUESTRAS Y LABORATORIO POCT",IF(P169=CURSOS!$D$28,"IMPLANTE SUBDERMICO DE DISPOSITIVO INTRAUTERINO",IF(P169=CURSOS!$D$29,"SALUD MENTAL",IF(P169=CURSOS!$D$30,"PRIMEROS AUXILIOS PSICOLOGICOS",IF(P169=CURSOS!$D$31,"ATENCION A VICTIMAS POR CONFLICTO ARMADO",IF(P169=CURSOS!$D$32,"MANIPULACION DE ALIMENTOS Y BPM",IF(P169=CURSOS!$D$33,"ATENCION A PERSONAS CON DISCAPACIDAD",IF(P169=CURSOS!$D$34,"CUIDADO INTEGRAL DEL PACIENTE ADULTO",IF(P169=CURSOS!$D$35,"MANEJO DEFENSIVO",IF(P169=CURSOS!$D$36,"SOPORTE CARDIOVASCULAR AVANZADO NEONATAL",IF(P169=CURSOS!$D$37,"SEGURIDAD DEL PACIENTE",IF(P169=CURSOS!$D$38,"MANEJO DE RESIDUOS HOSPITALARIOS"))))))))))))))))))))))))))))))))))))</f>
        <v>INSTITUCIONES AMIGAS DE LA MUJER Y LA INFANCIA (IAMI)</v>
      </c>
      <c r="W169" s="66" t="str">
        <f t="shared" si="8"/>
        <v>Duby Jacqueline Rivera Martinez</v>
      </c>
      <c r="X169" s="66" t="str">
        <f t="shared" si="9"/>
        <v>Duby Jacqueline Rivera Martinez</v>
      </c>
      <c r="Y169" s="66" t="str">
        <f t="shared" si="10"/>
        <v>Duby Jacqueline Rivera Martinez-59312730-IAMI</v>
      </c>
    </row>
    <row r="170" spans="1:26" s="60" customFormat="1" x14ac:dyDescent="0.2">
      <c r="A170" s="61">
        <v>169</v>
      </c>
      <c r="B170" s="62">
        <v>1088737926</v>
      </c>
      <c r="C170" s="62" t="s">
        <v>528</v>
      </c>
      <c r="D170" s="62" t="s">
        <v>529</v>
      </c>
      <c r="E170" s="62" t="s">
        <v>530</v>
      </c>
      <c r="F170" s="62" t="s">
        <v>531</v>
      </c>
      <c r="G170" s="62">
        <v>30</v>
      </c>
      <c r="H170" s="62" t="s">
        <v>127</v>
      </c>
      <c r="I170" s="62" t="s">
        <v>226</v>
      </c>
      <c r="J170" s="63" t="s">
        <v>334</v>
      </c>
      <c r="K170" s="64">
        <v>45777</v>
      </c>
      <c r="L170" s="83">
        <v>40000</v>
      </c>
      <c r="M170" s="62" t="s">
        <v>220</v>
      </c>
      <c r="N170" s="62" t="s">
        <v>131</v>
      </c>
      <c r="O170" s="62" t="s">
        <v>257</v>
      </c>
      <c r="P170" s="62" t="s">
        <v>48</v>
      </c>
      <c r="Q170" s="63">
        <v>35510</v>
      </c>
      <c r="R170" s="62" t="s">
        <v>208</v>
      </c>
      <c r="S170" s="98" t="s">
        <v>526</v>
      </c>
      <c r="T170" s="62">
        <v>3143309797</v>
      </c>
      <c r="U170" s="62" t="s">
        <v>532</v>
      </c>
      <c r="V170" s="66" t="str">
        <f>IF(P170=CURSOS!$D$3,"DIPLOMADO EN ATENCION PRE-HOSPITALARIA",IF(P170=CURSOS!$D$4,"ACOMPAÑAMIENTO Y MANEJO DEL DUELO",IF(P170=CURSOS!$D$5,"ATENCION A VICTIMAS DE ATAQUE CON AGENTES QUIMICOS ",IF(P170=CURSOS!$D$6,"PRIMEROS AUXILIOS ",IF(P170=CURSOS!$D$7,"DIPLOMADO DE UNIDAD DE CUIDADOS INTENSIVOS (UCI)",IF(P170=CURSOS!$D$8,"MODELO DE ATENCION PARA EVENTOS EMERGENTES EN SALUD MENTAL (CODIGO VERDE)",IF(P170=CURSOS!$D$9,"HUMANIZACION EN EL SERVICIO DE LA SALUD Y BUENAS PRACTICAS EN PACIENTE ",IF(P170=CURSOS!$D$10,"CLINICA DE HERIDAS ",IF(P170=CURSOS!$D$11,"TOMA DE CITOLOGIA CERVICO VAGINAL ",IF(P170=CURSOS!$D$12,"SOPORTE CARDIOVASCULAR AVANZADO (ACLS) ",IF(P170=CURSOS!$D$13,"CAMILLERO ",IF(P170=CURSOS!$D$14,"TOMA DE MUESTRAS Y LABORATORIO ",IF(P170=CURSOS!$D$15,"SOPORTE VITAL BASICO (BLS)",IF(P170=CURSOS!$D$16,"ATENCION A VICTIMAS DE VIOLENCIA SEXUAL ",IF(P170=CURSOS!$D$17,"PROGRAMADO AMPLIADO DE INMUNIZACION (PAI - COVID 19)",IF(P170=CURSOS!$D$18,"ATENCION INTEGRAL EN ENFERMEDADES PREVALENTES EN PRIMERA INFANCIA (AIEPI)",IF(P170=CURSOS!$D$19,"ADMINISTRACION DE MEDICAMENTOS, INYECTOLOGIA  Y CANALIZACION ",IF(P170=CURSOS!$D$20,"OPERADOR DE VEHICULOS DE EMERGENCIA (OVE)",IF(P170=CURSOS!$D$21,"INSTITUCIONES AMIGAS DE LA MUJER Y LA INFANCIA (IAMI)",IF(P170=CURSOS!$D$22,"CUIDADO DEL DONANTE DE ORGANOS",IF(P170=CURSOS!$D$23,"ATENCION A VICTIMAS POR VIOLENCIA DE GENERO",IF(P170=CURSOS!$D$24,"IGUALDAD DE GENERO EN LA SALUD",IF(P170=CURSOS!$D$25,"BRIGADA DE EMERGENCIA",IF(P170=CURSOS!$D$26,"MANEJO DEL DOLOR Y CUIDADOS PALIATIVOS",IF(P170=CURSOS!$D$27,"TOMA DE MUESTRAS Y LABORATORIO POCT",IF(P170=CURSOS!$D$28,"IMPLANTE SUBDERMICO DE DISPOSITIVO INTRAUTERINO",IF(P170=CURSOS!$D$29,"SALUD MENTAL",IF(P170=CURSOS!$D$30,"PRIMEROS AUXILIOS PSICOLOGICOS",IF(P170=CURSOS!$D$31,"ATENCION A VICTIMAS POR CONFLICTO ARMADO",IF(P170=CURSOS!$D$32,"MANIPULACION DE ALIMENTOS Y BPM",IF(P170=CURSOS!$D$33,"ATENCION A PERSONAS CON DISCAPACIDAD",IF(P170=CURSOS!$D$34,"CUIDADO INTEGRAL DEL PACIENTE ADULTO",IF(P170=CURSOS!$D$35,"MANEJO DEFENSIVO",IF(P170=CURSOS!$D$36,"SOPORTE CARDIOVASCULAR AVANZADO NEONATAL",IF(P170=CURSOS!$D$37,"SEGURIDAD DEL PACIENTE",IF(P170=CURSOS!$D$38,"MANEJO DE RESIDUOS HOSPITALARIOS"))))))))))))))))))))))))))))))))))))</f>
        <v>INSTITUCIONES AMIGAS DE LA MUJER Y LA INFANCIA (IAMI)</v>
      </c>
      <c r="W170" s="66" t="str">
        <f t="shared" si="8"/>
        <v>Geiny Carola Vallejos Melo</v>
      </c>
      <c r="X170" s="66" t="str">
        <f t="shared" si="9"/>
        <v>Geiny Carola Vallejos Melo</v>
      </c>
      <c r="Y170" s="66" t="str">
        <f t="shared" si="10"/>
        <v>Geiny Carola Vallejos Melo-1088737926-IAMI</v>
      </c>
    </row>
    <row r="171" spans="1:26" s="60" customFormat="1" x14ac:dyDescent="0.2">
      <c r="A171" s="61">
        <v>170</v>
      </c>
      <c r="B171" s="85">
        <v>1088735354</v>
      </c>
      <c r="C171" s="62" t="s">
        <v>533</v>
      </c>
      <c r="D171" s="62" t="s">
        <v>534</v>
      </c>
      <c r="E171" s="62" t="s">
        <v>150</v>
      </c>
      <c r="F171" s="62" t="s">
        <v>212</v>
      </c>
      <c r="G171" s="62">
        <v>30</v>
      </c>
      <c r="H171" s="62" t="s">
        <v>127</v>
      </c>
      <c r="I171" s="62" t="s">
        <v>226</v>
      </c>
      <c r="J171" s="63" t="s">
        <v>232</v>
      </c>
      <c r="K171" s="64">
        <v>45778</v>
      </c>
      <c r="L171" s="83">
        <v>32000</v>
      </c>
      <c r="M171" s="62" t="s">
        <v>220</v>
      </c>
      <c r="N171" s="62" t="s">
        <v>131</v>
      </c>
      <c r="O171" s="62" t="s">
        <v>233</v>
      </c>
      <c r="P171" s="62" t="s">
        <v>44</v>
      </c>
      <c r="Q171" s="63">
        <v>36800</v>
      </c>
      <c r="R171" s="62" t="s">
        <v>208</v>
      </c>
      <c r="S171" s="98" t="s">
        <v>332</v>
      </c>
      <c r="T171" s="62">
        <v>3176090444</v>
      </c>
      <c r="U171" s="62" t="s">
        <v>535</v>
      </c>
      <c r="V171" s="66" t="str">
        <f>IF(P171=CURSOS!$D$3,"DIPLOMADO EN ATENCION PRE-HOSPITALARIA",IF(P171=CURSOS!$D$4,"ACOMPAÑAMIENTO Y MANEJO DEL DUELO",IF(P171=CURSOS!$D$5,"ATENCION A VICTIMAS DE ATAQUE CON AGENTES QUIMICOS ",IF(P171=CURSOS!$D$6,"PRIMEROS AUXILIOS ",IF(P171=CURSOS!$D$7,"DIPLOMADO DE UNIDAD DE CUIDADOS INTENSIVOS (UCI)",IF(P171=CURSOS!$D$8,"MODELO DE ATENCION PARA EVENTOS EMERGENTES EN SALUD MENTAL (CODIGO VERDE)",IF(P171=CURSOS!$D$9,"HUMANIZACION EN EL SERVICIO DE LA SALUD Y BUENAS PRACTICAS EN PACIENTE ",IF(P171=CURSOS!$D$10,"CLINICA DE HERIDAS ",IF(P171=CURSOS!$D$11,"TOMA DE CITOLOGIA CERVICO VAGINAL ",IF(P171=CURSOS!$D$12,"SOPORTE CARDIOVASCULAR AVANZADO (ACLS) ",IF(P171=CURSOS!$D$13,"CAMILLERO ",IF(P171=CURSOS!$D$14,"TOMA DE MUESTRAS Y LABORATORIO ",IF(P171=CURSOS!$D$15,"SOPORTE VITAL BASICO (BLS)",IF(P171=CURSOS!$D$16,"ATENCION A VICTIMAS DE VIOLENCIA SEXUAL ",IF(P171=CURSOS!$D$17,"PROGRAMADO AMPLIADO DE INMUNIZACION (PAI - COVID 19)",IF(P171=CURSOS!$D$18,"ATENCION INTEGRAL EN ENFERMEDADES PREVALENTES EN PRIMERA INFANCIA (AIEPI)",IF(P171=CURSOS!$D$19,"ADMINISTRACION DE MEDICAMENTOS, INYECTOLOGIA  Y CANALIZACION ",IF(P171=CURSOS!$D$20,"OPERADOR DE VEHICULOS DE EMERGENCIA (OVE)",IF(P171=CURSOS!$D$21,"INSTITUCIONES AMIGAS DE LA MUJER Y LA INFANCIA (IAMI)",IF(P171=CURSOS!$D$22,"CUIDADO DEL DONANTE DE ORGANOS",IF(P171=CURSOS!$D$23,"ATENCION A VICTIMAS POR VIOLENCIA DE GENERO",IF(P171=CURSOS!$D$24,"IGUALDAD DE GENERO EN LA SALUD",IF(P171=CURSOS!$D$25,"BRIGADA DE EMERGENCIA",IF(P171=CURSOS!$D$26,"MANEJO DEL DOLOR Y CUIDADOS PALIATIVOS",IF(P171=CURSOS!$D$27,"TOMA DE MUESTRAS Y LABORATORIO POCT",IF(P171=CURSOS!$D$28,"IMPLANTE SUBDERMICO DE DISPOSITIVO INTRAUTERINO",IF(P171=CURSOS!$D$29,"SALUD MENTAL",IF(P171=CURSOS!$D$30,"PRIMEROS AUXILIOS PSICOLOGICOS",IF(P171=CURSOS!$D$31,"ATENCION A VICTIMAS POR CONFLICTO ARMADO",IF(P171=CURSOS!$D$32,"MANIPULACION DE ALIMENTOS Y BPM",IF(P171=CURSOS!$D$33,"ATENCION A PERSONAS CON DISCAPACIDAD",IF(P171=CURSOS!$D$34,"CUIDADO INTEGRAL DEL PACIENTE ADULTO",IF(P171=CURSOS!$D$35,"MANEJO DEFENSIVO",IF(P171=CURSOS!$D$36,"SOPORTE CARDIOVASCULAR AVANZADO NEONATAL",IF(P171=CURSOS!$D$37,"SEGURIDAD DEL PACIENTE",IF(P171=CURSOS!$D$38,"MANEJO DE RESIDUOS HOSPITALARIOS"))))))))))))))))))))))))))))))))))))</f>
        <v>ATENCION INTEGRAL EN ENFERMEDADES PREVALENTES EN PRIMERA INFANCIA (AIEPI)</v>
      </c>
      <c r="W171" s="66" t="str">
        <f t="shared" si="8"/>
        <v>Maria Alexandra Nastacuas Taicus</v>
      </c>
      <c r="X171" s="66" t="str">
        <f t="shared" si="9"/>
        <v>Maria Alexandra Nastacuas Taicus</v>
      </c>
      <c r="Y171" s="66" t="str">
        <f t="shared" si="10"/>
        <v>Maria Alexandra Nastacuas Taicus-1088735354-AIEPI</v>
      </c>
    </row>
    <row r="172" spans="1:26" s="60" customFormat="1" x14ac:dyDescent="0.2">
      <c r="A172" s="61">
        <v>171</v>
      </c>
      <c r="B172" s="62">
        <v>36931576</v>
      </c>
      <c r="C172" s="62" t="s">
        <v>536</v>
      </c>
      <c r="D172" s="62" t="s">
        <v>537</v>
      </c>
      <c r="E172" s="62" t="s">
        <v>427</v>
      </c>
      <c r="F172" s="62" t="s">
        <v>538</v>
      </c>
      <c r="G172" s="62">
        <v>30</v>
      </c>
      <c r="H172" s="62" t="s">
        <v>127</v>
      </c>
      <c r="I172" s="62" t="s">
        <v>226</v>
      </c>
      <c r="J172" s="63" t="s">
        <v>232</v>
      </c>
      <c r="K172" s="64">
        <v>45778</v>
      </c>
      <c r="L172" s="83">
        <v>32000</v>
      </c>
      <c r="M172" s="62" t="s">
        <v>220</v>
      </c>
      <c r="N172" s="62" t="s">
        <v>131</v>
      </c>
      <c r="O172" s="62" t="s">
        <v>233</v>
      </c>
      <c r="P172" s="62" t="s">
        <v>40</v>
      </c>
      <c r="Q172" s="63">
        <v>26743</v>
      </c>
      <c r="R172" s="62" t="s">
        <v>208</v>
      </c>
      <c r="S172" s="98" t="s">
        <v>332</v>
      </c>
      <c r="T172" s="62">
        <v>3165821468</v>
      </c>
      <c r="U172" s="62" t="s">
        <v>540</v>
      </c>
      <c r="V172" s="66" t="s">
        <v>539</v>
      </c>
      <c r="W172" s="66" t="str">
        <f t="shared" si="8"/>
        <v>Liliana Isabel Mainguez Alvear</v>
      </c>
      <c r="X172" s="66" t="str">
        <f t="shared" si="9"/>
        <v>Liliana Isabel Mainguez Alvear</v>
      </c>
      <c r="Y172" s="66" t="str">
        <f t="shared" si="10"/>
        <v>Liliana Isabel Mainguez Alvear-36931576-TOMA DE MUESTRAS</v>
      </c>
    </row>
    <row r="173" spans="1:26" s="60" customFormat="1" x14ac:dyDescent="0.2">
      <c r="A173" s="61">
        <v>172</v>
      </c>
      <c r="B173" s="62">
        <v>36754829</v>
      </c>
      <c r="C173" s="62" t="s">
        <v>541</v>
      </c>
      <c r="D173" s="62" t="s">
        <v>466</v>
      </c>
      <c r="E173" s="62" t="s">
        <v>399</v>
      </c>
      <c r="F173" s="62" t="s">
        <v>542</v>
      </c>
      <c r="G173" s="62">
        <v>29</v>
      </c>
      <c r="H173" s="62" t="s">
        <v>127</v>
      </c>
      <c r="I173" s="62" t="s">
        <v>226</v>
      </c>
      <c r="J173" s="63" t="s">
        <v>334</v>
      </c>
      <c r="K173" s="64">
        <v>45776</v>
      </c>
      <c r="L173" s="83">
        <v>40000</v>
      </c>
      <c r="M173" s="62" t="s">
        <v>266</v>
      </c>
      <c r="N173" s="62" t="s">
        <v>131</v>
      </c>
      <c r="O173" s="62" t="s">
        <v>257</v>
      </c>
      <c r="P173" s="62" t="s">
        <v>48</v>
      </c>
      <c r="Q173" s="63">
        <v>29107</v>
      </c>
      <c r="R173" s="62" t="s">
        <v>208</v>
      </c>
      <c r="S173" s="98" t="s">
        <v>501</v>
      </c>
      <c r="T173" s="62">
        <v>3007791855</v>
      </c>
      <c r="U173" s="82" t="s">
        <v>543</v>
      </c>
      <c r="V173" s="66" t="str">
        <f>IF(P173=CURSOS!$D$3,"DIPLOMADO EN ATENCION PRE-HOSPITALARIA",IF(P173=CURSOS!$D$4,"ACOMPAÑAMIENTO Y MANEJO DEL DUELO",IF(P173=CURSOS!$D$5,"ATENCION A VICTIMAS DE ATAQUE CON AGENTES QUIMICOS ",IF(P173=CURSOS!$D$6,"PRIMEROS AUXILIOS ",IF(P173=CURSOS!$D$7,"DIPLOMADO DE UNIDAD DE CUIDADOS INTENSIVOS (UCI)",IF(P173=CURSOS!$D$8,"MODELO DE ATENCION PARA EVENTOS EMERGENTES EN SALUD MENTAL (CODIGO VERDE)",IF(P173=CURSOS!$D$9,"HUMANIZACION EN EL SERVICIO DE LA SALUD Y BUENAS PRACTICAS EN PACIENTE ",IF(P173=CURSOS!$D$10,"CLINICA DE HERIDAS ",IF(P173=CURSOS!$D$11,"TOMA DE CITOLOGIA CERVICO VAGINAL ",IF(P173=CURSOS!$D$12,"SOPORTE CARDIOVASCULAR AVANZADO (ACLS) ",IF(P173=CURSOS!$D$13,"CAMILLERO ",IF(P173=CURSOS!$D$14,"TOMA DE MUESTRAS Y LABORATORIO ",IF(P173=CURSOS!$D$15,"SOPORTE VITAL BASICO (BLS)",IF(P173=CURSOS!$D$16,"ATENCION A VICTIMAS DE VIOLENCIA SEXUAL ",IF(P173=CURSOS!$D$17,"PROGRAMADO AMPLIADO DE INMUNIZACION (PAI - COVID 19)",IF(P173=CURSOS!$D$18,"ATENCION INTEGRAL EN ENFERMEDADES PREVALENTES EN PRIMERA INFANCIA (AIEPI)",IF(P173=CURSOS!$D$19,"ADMINISTRACION DE MEDICAMENTOS, INYECTOLOGIA  Y CANALIZACION ",IF(P173=CURSOS!$D$20,"OPERADOR DE VEHICULOS DE EMERGENCIA (OVE)",IF(P173=CURSOS!$D$21,"INSTITUCIONES AMIGAS DE LA MUJER Y LA INFANCIA (IAMI)",IF(P173=CURSOS!$D$22,"CUIDADO DEL DONANTE DE ORGANOS",IF(P173=CURSOS!$D$23,"ATENCION A VICTIMAS POR VIOLENCIA DE GENERO",IF(P173=CURSOS!$D$24,"IGUALDAD DE GENERO EN LA SALUD",IF(P173=CURSOS!$D$25,"BRIGADA DE EMERGENCIA",IF(P173=CURSOS!$D$26,"MANEJO DEL DOLOR Y CUIDADOS PALIATIVOS",IF(P173=CURSOS!$D$27,"TOMA DE MUESTRAS Y LABORATORIO POCT",IF(P173=CURSOS!$D$28,"IMPLANTE SUBDERMICO DE DISPOSITIVO INTRAUTERINO",IF(P173=CURSOS!$D$29,"SALUD MENTAL",IF(P173=CURSOS!$D$30,"PRIMEROS AUXILIOS PSICOLOGICOS",IF(P173=CURSOS!$D$31,"ATENCION A VICTIMAS POR CONFLICTO ARMADO",IF(P173=CURSOS!$D$32,"MANIPULACION DE ALIMENTOS Y BPM",IF(P173=CURSOS!$D$33,"ATENCION A PERSONAS CON DISCAPACIDAD",IF(P173=CURSOS!$D$34,"CUIDADO INTEGRAL DEL PACIENTE ADULTO",IF(P173=CURSOS!$D$35,"MANEJO DEFENSIVO",IF(P173=CURSOS!$D$36,"SOPORTE CARDIOVASCULAR AVANZADO NEONATAL",IF(P173=CURSOS!$D$37,"SEGURIDAD DEL PACIENTE",IF(P173=CURSOS!$D$38,"MANEJO DE RESIDUOS HOSPITALARIOS"))))))))))))))))))))))))))))))))))))</f>
        <v>INSTITUCIONES AMIGAS DE LA MUJER Y LA INFANCIA (IAMI)</v>
      </c>
      <c r="W173" s="66" t="str">
        <f t="shared" si="8"/>
        <v>Fanny Leonor Lopez Gomez</v>
      </c>
      <c r="X173" s="66" t="str">
        <f t="shared" si="9"/>
        <v>Fanny Leonor Lopez Gomez</v>
      </c>
      <c r="Y173" s="66" t="str">
        <f t="shared" si="10"/>
        <v>Fanny Leonor Lopez Gomez-36754829-IAMI</v>
      </c>
      <c r="Z173" s="106"/>
    </row>
    <row r="174" spans="1:26" x14ac:dyDescent="0.2">
      <c r="A174" s="61">
        <v>173</v>
      </c>
      <c r="B174" s="62">
        <v>98394128</v>
      </c>
      <c r="C174" s="62" t="s">
        <v>215</v>
      </c>
      <c r="D174" s="62" t="s">
        <v>544</v>
      </c>
      <c r="E174" s="62" t="s">
        <v>545</v>
      </c>
      <c r="F174" s="62" t="s">
        <v>375</v>
      </c>
      <c r="G174" s="62">
        <v>30</v>
      </c>
      <c r="H174" s="62" t="s">
        <v>127</v>
      </c>
      <c r="I174" s="62" t="s">
        <v>226</v>
      </c>
      <c r="J174" s="63" t="s">
        <v>334</v>
      </c>
      <c r="K174" s="64">
        <v>45777</v>
      </c>
      <c r="L174" s="83">
        <v>40000</v>
      </c>
      <c r="M174" s="62" t="s">
        <v>220</v>
      </c>
      <c r="N174" s="62" t="s">
        <v>433</v>
      </c>
      <c r="O174" s="62" t="s">
        <v>257</v>
      </c>
      <c r="P174" s="62" t="s">
        <v>48</v>
      </c>
      <c r="Q174" s="63">
        <v>27854</v>
      </c>
      <c r="R174" s="62" t="s">
        <v>209</v>
      </c>
      <c r="S174" s="98" t="s">
        <v>547</v>
      </c>
      <c r="T174" s="62">
        <v>3208568059</v>
      </c>
      <c r="U174" s="62" t="s">
        <v>546</v>
      </c>
      <c r="V174" s="66" t="str">
        <f>IF(P174=CURSOS!$D$3,"DIPLOMADO EN ATENCION PRE-HOSPITALARIA",IF(P174=CURSOS!$D$4,"ACOMPAÑAMIENTO Y MANEJO DEL DUELO",IF(P174=CURSOS!$D$5,"ATENCION A VICTIMAS DE ATAQUE CON AGENTES QUIMICOS ",IF(P174=CURSOS!$D$6,"PRIMEROS AUXILIOS ",IF(P174=CURSOS!$D$7,"DIPLOMADO DE UNIDAD DE CUIDADOS INTENSIVOS (UCI)",IF(P174=CURSOS!$D$8,"MODELO DE ATENCION PARA EVENTOS EMERGENTES EN SALUD MENTAL (CODIGO VERDE)",IF(P174=CURSOS!$D$9,"HUMANIZACION EN EL SERVICIO DE LA SALUD Y BUENAS PRACTICAS EN PACIENTE ",IF(P174=CURSOS!$D$10,"CLINICA DE HERIDAS ",IF(P174=CURSOS!$D$11,"TOMA DE CITOLOGIA CERVICO VAGINAL ",IF(P174=CURSOS!$D$12,"SOPORTE CARDIOVASCULAR AVANZADO (ACLS) ",IF(P174=CURSOS!$D$13,"CAMILLERO ",IF(P174=CURSOS!$D$14,"TOMA DE MUESTRAS Y LABORATORIO ",IF(P174=CURSOS!$D$15,"SOPORTE VITAL BASICO (BLS)",IF(P174=CURSOS!$D$16,"ATENCION A VICTIMAS DE VIOLENCIA SEXUAL ",IF(P174=CURSOS!$D$17,"PROGRAMADO AMPLIADO DE INMUNIZACION (PAI - COVID 19)",IF(P174=CURSOS!$D$18,"ATENCION INTEGRAL EN ENFERMEDADES PREVALENTES EN PRIMERA INFANCIA (AIEPI)",IF(P174=CURSOS!$D$19,"ADMINISTRACION DE MEDICAMENTOS, INYECTOLOGIA  Y CANALIZACION ",IF(P174=CURSOS!$D$20,"OPERADOR DE VEHICULOS DE EMERGENCIA (OVE)",IF(P174=CURSOS!$D$21,"INSTITUCIONES AMIGAS DE LA MUJER Y LA INFANCIA (IAMI)",IF(P174=CURSOS!$D$22,"CUIDADO DEL DONANTE DE ORGANOS",IF(P174=CURSOS!$D$23,"ATENCION A VICTIMAS POR VIOLENCIA DE GENERO",IF(P174=CURSOS!$D$24,"IGUALDAD DE GENERO EN LA SALUD",IF(P174=CURSOS!$D$25,"BRIGADA DE EMERGENCIA",IF(P174=CURSOS!$D$26,"MANEJO DEL DOLOR Y CUIDADOS PALIATIVOS",IF(P174=CURSOS!$D$27,"TOMA DE MUESTRAS Y LABORATORIO POCT",IF(P174=CURSOS!$D$28,"IMPLANTE SUBDERMICO DE DISPOSITIVO INTRAUTERINO",IF(P174=CURSOS!$D$29,"SALUD MENTAL",IF(P174=CURSOS!$D$30,"PRIMEROS AUXILIOS PSICOLOGICOS",IF(P174=CURSOS!$D$31,"ATENCION A VICTIMAS POR CONFLICTO ARMADO",IF(P174=CURSOS!$D$32,"MANIPULACION DE ALIMENTOS Y BPM",IF(P174=CURSOS!$D$33,"ATENCION A PERSONAS CON DISCAPACIDAD",IF(P174=CURSOS!$D$34,"CUIDADO INTEGRAL DEL PACIENTE ADULTO",IF(P174=CURSOS!$D$35,"MANEJO DEFENSIVO",IF(P174=CURSOS!$D$36,"SOPORTE CARDIOVASCULAR AVANZADO NEONATAL",IF(P174=CURSOS!$D$37,"SEGURIDAD DEL PACIENTE",IF(P174=CURSOS!$D$38,"MANEJO DE RESIDUOS HOSPITALARIOS"))))))))))))))))))))))))))))))))))))</f>
        <v>INSTITUCIONES AMIGAS DE LA MUJER Y LA INFANCIA (IAMI)</v>
      </c>
      <c r="W174" s="66" t="str">
        <f t="shared" si="8"/>
        <v>Dario Fernando Angulo Vega</v>
      </c>
      <c r="X174" s="66" t="str">
        <f t="shared" si="9"/>
        <v>Dario Fernando Angulo Vega</v>
      </c>
      <c r="Y174" s="66" t="str">
        <f t="shared" si="10"/>
        <v>Dario Fernando Angulo Vega-98394128-IAMI</v>
      </c>
    </row>
    <row r="175" spans="1:26" x14ac:dyDescent="0.2">
      <c r="A175" s="45">
        <v>174</v>
      </c>
      <c r="J175" s="46"/>
      <c r="Q175" s="46"/>
      <c r="U175" s="40"/>
      <c r="V175" s="44" t="b">
        <f>IF(P175=CURSOS!$D$3,"DIPLOMADO EN ATENCION PRE-HOSPITALARIA",IF(P175=CURSOS!$D$4,"ACOMPAÑAMIENTO Y MANEJO DEL DUELO",IF(P175=CURSOS!$D$5,"ATENCION A VICTIMAS DE ATAQUE CON AGENTES QUIMICOS ",IF(P175=CURSOS!$D$6,"PRIMEROS AUXILIOS ",IF(P175=CURSOS!$D$7,"DIPLOMADO DE UNIDAD DE CUIDADOS INTENSIVOS (UCI)",IF(P175=CURSOS!$D$8,"MODELO DE ATENCION PARA EVENTOS EMERGENTES EN SALUD MENTAL (CODIGO VERDE)",IF(P175=CURSOS!$D$9,"HUMANIZACION EN EL SERVICIO DE LA SALUD Y BUENAS PRACTICAS EN PACIENTE ",IF(P175=CURSOS!$D$10,"CLINICA DE HERIDAS ",IF(P175=CURSOS!$D$11,"TOMA DE CITOLOGIA CERVICO VAGINAL ",IF(P175=CURSOS!$D$12,"SOPORTE CARDIOVASCULAR AVANZADO (ACLS) ",IF(P175=CURSOS!$D$13,"CAMILLERO ",IF(P175=CURSOS!$D$14,"TOMA DE MUESTRAS Y LABORATORIO ",IF(P175=CURSOS!$D$15,"SOPORTE VITAL BASICO (BLS)",IF(P175=CURSOS!$D$16,"ATENCION A VICTIMAS DE VIOLENCIA SEXUAL ",IF(P175=CURSOS!$D$17,"PROGRAMADO AMPLIADO DE INMUNIZACION (PAI - COVID 19)",IF(P175=CURSOS!$D$18,"ATENCION INTEGRAL EN ENFERMEDADES PREVALENTES EN PRIMERA INFANCIA (AIEPI)",IF(P175=CURSOS!$D$19,"ADMINISTRACION DE MEDICAMENTOS, INYECTOLOGIA  Y CANALIZACION ",IF(P175=CURSOS!$D$20,"OPERADOR DE VEHICULOS DE EMERGENCIA (OVE)",IF(P175=CURSOS!$D$21,"INSTITUCIONES AMIGAS DE LA MUJER Y LA INFANCIA (IAMI)",IF(P175=CURSOS!$D$22,"CUIDADO DEL DONANTE DE ORGANOS",IF(P175=CURSOS!$D$23,"ATENCION A VICTIMAS POR VIOLENCIA DE GENERO",IF(P175=CURSOS!$D$24,"IGUALDAD DE GENERO EN LA SALUD",IF(P175=CURSOS!$D$25,"BRIGADA DE EMERGENCIA",IF(P175=CURSOS!$D$26,"MANEJO DEL DOLOR Y CUIDADOS PALIATIVOS",IF(P175=CURSOS!$D$27,"TOMA DE MUESTRAS Y LABORATORIO POCT",IF(P175=CURSOS!$D$28,"IMPLANTE SUBDERMICO DE DISPOSITIVO INTRAUTERINO",IF(P175=CURSOS!$D$29,"SALUD MENTAL",IF(P175=CURSOS!$D$30,"PRIMEROS AUXILIOS PSICOLOGICOS",IF(P175=CURSOS!$D$31,"ATENCION A VICTIMAS POR CONFLICTO ARMADO",IF(P175=CURSOS!$D$32,"MANIPULACION DE ALIMENTOS Y BPM",IF(P175=CURSOS!$D$33,"ATENCION A PERSONAS CON DISCAPACIDAD",IF(P175=CURSOS!$D$34,"CUIDADO INTEGRAL DEL PACIENTE ADULTO",IF(P175=CURSOS!$D$35,"MANEJO DEFENSIVO",IF(P175=CURSOS!$D$36,"SOPORTE CARDIOVASCULAR AVANZADO NEONATAL",IF(P175=CURSOS!$D$37,"SEGURIDAD DEL PACIENTE",IF(P175=CURSOS!$D$38,"MANEJO DE RESIDUOS HOSPITALARIOS"))))))))))))))))))))))))))))))))))))</f>
        <v>0</v>
      </c>
      <c r="W175" s="44" t="str">
        <f t="shared" si="8"/>
        <v xml:space="preserve">   </v>
      </c>
      <c r="X175" s="44" t="str">
        <f t="shared" si="9"/>
        <v xml:space="preserve">   </v>
      </c>
      <c r="Y175" s="44" t="str">
        <f t="shared" si="10"/>
        <v xml:space="preserve">   --</v>
      </c>
    </row>
    <row r="176" spans="1:26" x14ac:dyDescent="0.2">
      <c r="A176" s="45">
        <v>175</v>
      </c>
      <c r="J176" s="46"/>
      <c r="Q176" s="46"/>
      <c r="U176" s="40"/>
      <c r="V176" s="44" t="b">
        <f>IF(P176=CURSOS!$D$3,"DIPLOMADO EN ATENCION PRE-HOSPITALARIA",IF(P176=CURSOS!$D$4,"ACOMPAÑAMIENTO Y MANEJO DEL DUELO",IF(P176=CURSOS!$D$5,"ATENCION A VICTIMAS DE ATAQUE CON AGENTES QUIMICOS ",IF(P176=CURSOS!$D$6,"PRIMEROS AUXILIOS ",IF(P176=CURSOS!$D$7,"DIPLOMADO DE UNIDAD DE CUIDADOS INTENSIVOS (UCI)",IF(P176=CURSOS!$D$8,"MODELO DE ATENCION PARA EVENTOS EMERGENTES EN SALUD MENTAL (CODIGO VERDE)",IF(P176=CURSOS!$D$9,"HUMANIZACION EN EL SERVICIO DE LA SALUD Y BUENAS PRACTICAS EN PACIENTE ",IF(P176=CURSOS!$D$10,"CLINICA DE HERIDAS ",IF(P176=CURSOS!$D$11,"TOMA DE CITOLOGIA CERVICO VAGINAL ",IF(P176=CURSOS!$D$12,"SOPORTE CARDIOVASCULAR AVANZADO (ACLS) ",IF(P176=CURSOS!$D$13,"CAMILLERO ",IF(P176=CURSOS!$D$14,"TOMA DE MUESTRAS Y LABORATORIO ",IF(P176=CURSOS!$D$15,"SOPORTE VITAL BASICO (BLS)",IF(P176=CURSOS!$D$16,"ATENCION A VICTIMAS DE VIOLENCIA SEXUAL ",IF(P176=CURSOS!$D$17,"PROGRAMADO AMPLIADO DE INMUNIZACION (PAI - COVID 19)",IF(P176=CURSOS!$D$18,"ATENCION INTEGRAL EN ENFERMEDADES PREVALENTES EN PRIMERA INFANCIA (AIEPI)",IF(P176=CURSOS!$D$19,"ADMINISTRACION DE MEDICAMENTOS, INYECTOLOGIA  Y CANALIZACION ",IF(P176=CURSOS!$D$20,"OPERADOR DE VEHICULOS DE EMERGENCIA (OVE)",IF(P176=CURSOS!$D$21,"INSTITUCIONES AMIGAS DE LA MUJER Y LA INFANCIA (IAMI)",IF(P176=CURSOS!$D$22,"CUIDADO DEL DONANTE DE ORGANOS",IF(P176=CURSOS!$D$23,"ATENCION A VICTIMAS POR VIOLENCIA DE GENERO",IF(P176=CURSOS!$D$24,"IGUALDAD DE GENERO EN LA SALUD",IF(P176=CURSOS!$D$25,"BRIGADA DE EMERGENCIA",IF(P176=CURSOS!$D$26,"MANEJO DEL DOLOR Y CUIDADOS PALIATIVOS",IF(P176=CURSOS!$D$27,"TOMA DE MUESTRAS Y LABORATORIO POCT",IF(P176=CURSOS!$D$28,"IMPLANTE SUBDERMICO DE DISPOSITIVO INTRAUTERINO",IF(P176=CURSOS!$D$29,"SALUD MENTAL",IF(P176=CURSOS!$D$30,"PRIMEROS AUXILIOS PSICOLOGICOS",IF(P176=CURSOS!$D$31,"ATENCION A VICTIMAS POR CONFLICTO ARMADO",IF(P176=CURSOS!$D$32,"MANIPULACION DE ALIMENTOS Y BPM",IF(P176=CURSOS!$D$33,"ATENCION A PERSONAS CON DISCAPACIDAD",IF(P176=CURSOS!$D$34,"CUIDADO INTEGRAL DEL PACIENTE ADULTO",IF(P176=CURSOS!$D$35,"MANEJO DEFENSIVO",IF(P176=CURSOS!$D$36,"SOPORTE CARDIOVASCULAR AVANZADO NEONATAL",IF(P176=CURSOS!$D$37,"SEGURIDAD DEL PACIENTE",IF(P176=CURSOS!$D$38,"MANEJO DE RESIDUOS HOSPITALARIOS"))))))))))))))))))))))))))))))))))))</f>
        <v>0</v>
      </c>
      <c r="W176" s="44" t="str">
        <f t="shared" si="8"/>
        <v xml:space="preserve">   </v>
      </c>
      <c r="X176" s="44" t="str">
        <f t="shared" si="9"/>
        <v xml:space="preserve">   </v>
      </c>
      <c r="Y176" s="44" t="str">
        <f t="shared" si="10"/>
        <v xml:space="preserve">   --</v>
      </c>
    </row>
    <row r="177" spans="1:25" x14ac:dyDescent="0.2">
      <c r="A177" s="45">
        <v>176</v>
      </c>
      <c r="J177" s="46"/>
      <c r="Q177" s="46"/>
      <c r="S177" s="102"/>
      <c r="U177" s="40"/>
      <c r="V177" s="44" t="b">
        <f>IF(P177=CURSOS!$D$3,"DIPLOMADO EN ATENCION PRE-HOSPITALARIA",IF(P177=CURSOS!$D$4,"ACOMPAÑAMIENTO Y MANEJO DEL DUELO",IF(P177=CURSOS!$D$5,"ATENCION A VICTIMAS DE ATAQUE CON AGENTES QUIMICOS ",IF(P177=CURSOS!$D$6,"PRIMEROS AUXILIOS ",IF(P177=CURSOS!$D$7,"DIPLOMADO DE UNIDAD DE CUIDADOS INTENSIVOS (UCI)",IF(P177=CURSOS!$D$8,"MODELO DE ATENCION PARA EVENTOS EMERGENTES EN SALUD MENTAL (CODIGO VERDE)",IF(P177=CURSOS!$D$9,"HUMANIZACION EN EL SERVICIO DE LA SALUD Y BUENAS PRACTICAS EN PACIENTE ",IF(P177=CURSOS!$D$10,"CLINICA DE HERIDAS ",IF(P177=CURSOS!$D$11,"TOMA DE CITOLOGIA CERVICO VAGINAL ",IF(P177=CURSOS!$D$12,"SOPORTE CARDIOVASCULAR AVANZADO (ACLS) ",IF(P177=CURSOS!$D$13,"CAMILLERO ",IF(P177=CURSOS!$D$14,"TOMA DE MUESTRAS Y LABORATORIO ",IF(P177=CURSOS!$D$15,"SOPORTE VITAL BASICO (BLS)",IF(P177=CURSOS!$D$16,"ATENCION A VICTIMAS DE VIOLENCIA SEXUAL ",IF(P177=CURSOS!$D$17,"PROGRAMADO AMPLIADO DE INMUNIZACION (PAI - COVID 19)",IF(P177=CURSOS!$D$18,"ATENCION INTEGRAL EN ENFERMEDADES PREVALENTES EN PRIMERA INFANCIA (AIEPI)",IF(P177=CURSOS!$D$19,"ADMINISTRACION DE MEDICAMENTOS, INYECTOLOGIA  Y CANALIZACION ",IF(P177=CURSOS!$D$20,"OPERADOR DE VEHICULOS DE EMERGENCIA (OVE)",IF(P177=CURSOS!$D$21,"INSTITUCIONES AMIGAS DE LA MUJER Y LA INFANCIA (IAMI)",IF(P177=CURSOS!$D$22,"CUIDADO DEL DONANTE DE ORGANOS",IF(P177=CURSOS!$D$23,"ATENCION A VICTIMAS POR VIOLENCIA DE GENERO",IF(P177=CURSOS!$D$24,"IGUALDAD DE GENERO EN LA SALUD",IF(P177=CURSOS!$D$25,"BRIGADA DE EMERGENCIA",IF(P177=CURSOS!$D$26,"MANEJO DEL DOLOR Y CUIDADOS PALIATIVOS",IF(P177=CURSOS!$D$27,"TOMA DE MUESTRAS Y LABORATORIO POCT",IF(P177=CURSOS!$D$28,"IMPLANTE SUBDERMICO DE DISPOSITIVO INTRAUTERINO",IF(P177=CURSOS!$D$29,"SALUD MENTAL",IF(P177=CURSOS!$D$30,"PRIMEROS AUXILIOS PSICOLOGICOS",IF(P177=CURSOS!$D$31,"ATENCION A VICTIMAS POR CONFLICTO ARMADO",IF(P177=CURSOS!$D$32,"MANIPULACION DE ALIMENTOS Y BPM",IF(P177=CURSOS!$D$33,"ATENCION A PERSONAS CON DISCAPACIDAD",IF(P177=CURSOS!$D$34,"CUIDADO INTEGRAL DEL PACIENTE ADULTO",IF(P177=CURSOS!$D$35,"MANEJO DEFENSIVO",IF(P177=CURSOS!$D$36,"SOPORTE CARDIOVASCULAR AVANZADO NEONATAL",IF(P177=CURSOS!$D$37,"SEGURIDAD DEL PACIENTE",IF(P177=CURSOS!$D$38,"MANEJO DE RESIDUOS HOSPITALARIOS"))))))))))))))))))))))))))))))))))))</f>
        <v>0</v>
      </c>
      <c r="W177" s="44" t="str">
        <f t="shared" si="8"/>
        <v xml:space="preserve">   </v>
      </c>
      <c r="X177" s="44" t="str">
        <f t="shared" si="9"/>
        <v xml:space="preserve">   </v>
      </c>
      <c r="Y177" s="44" t="str">
        <f t="shared" si="10"/>
        <v xml:space="preserve">   --</v>
      </c>
    </row>
    <row r="178" spans="1:25" x14ac:dyDescent="0.2">
      <c r="A178" s="45">
        <v>177</v>
      </c>
      <c r="J178" s="46"/>
      <c r="Q178" s="46"/>
      <c r="S178" s="102"/>
      <c r="U178" s="40"/>
      <c r="V178" s="44" t="b">
        <f>IF(P178=CURSOS!$D$3,"DIPLOMADO EN ATENCION PRE-HOSPITALARIA",IF(P178=CURSOS!$D$4,"ACOMPAÑAMIENTO Y MANEJO DEL DUELO",IF(P178=CURSOS!$D$5,"ATENCION A VICTIMAS DE ATAQUE CON AGENTES QUIMICOS ",IF(P178=CURSOS!$D$6,"PRIMEROS AUXILIOS ",IF(P178=CURSOS!$D$7,"DIPLOMADO DE UNIDAD DE CUIDADOS INTENSIVOS (UCI)",IF(P178=CURSOS!$D$8,"MODELO DE ATENCION PARA EVENTOS EMERGENTES EN SALUD MENTAL (CODIGO VERDE)",IF(P178=CURSOS!$D$9,"HUMANIZACION EN EL SERVICIO DE LA SALUD Y BUENAS PRACTICAS EN PACIENTE ",IF(P178=CURSOS!$D$10,"CLINICA DE HERIDAS ",IF(P178=CURSOS!$D$11,"TOMA DE CITOLOGIA CERVICO VAGINAL ",IF(P178=CURSOS!$D$12,"SOPORTE CARDIOVASCULAR AVANZADO (ACLS) ",IF(P178=CURSOS!$D$13,"CAMILLERO ",IF(P178=CURSOS!$D$14,"TOMA DE MUESTRAS Y LABORATORIO ",IF(P178=CURSOS!$D$15,"SOPORTE VITAL BASICO (BLS)",IF(P178=CURSOS!$D$16,"ATENCION A VICTIMAS DE VIOLENCIA SEXUAL ",IF(P178=CURSOS!$D$17,"PROGRAMADO AMPLIADO DE INMUNIZACION (PAI - COVID 19)",IF(P178=CURSOS!$D$18,"ATENCION INTEGRAL EN ENFERMEDADES PREVALENTES EN PRIMERA INFANCIA (AIEPI)",IF(P178=CURSOS!$D$19,"ADMINISTRACION DE MEDICAMENTOS, INYECTOLOGIA  Y CANALIZACION ",IF(P178=CURSOS!$D$20,"OPERADOR DE VEHICULOS DE EMERGENCIA (OVE)",IF(P178=CURSOS!$D$21,"INSTITUCIONES AMIGAS DE LA MUJER Y LA INFANCIA (IAMI)",IF(P178=CURSOS!$D$22,"CUIDADO DEL DONANTE DE ORGANOS",IF(P178=CURSOS!$D$23,"ATENCION A VICTIMAS POR VIOLENCIA DE GENERO",IF(P178=CURSOS!$D$24,"IGUALDAD DE GENERO EN LA SALUD",IF(P178=CURSOS!$D$25,"BRIGADA DE EMERGENCIA",IF(P178=CURSOS!$D$26,"MANEJO DEL DOLOR Y CUIDADOS PALIATIVOS",IF(P178=CURSOS!$D$27,"TOMA DE MUESTRAS Y LABORATORIO POCT",IF(P178=CURSOS!$D$28,"IMPLANTE SUBDERMICO DE DISPOSITIVO INTRAUTERINO",IF(P178=CURSOS!$D$29,"SALUD MENTAL",IF(P178=CURSOS!$D$30,"PRIMEROS AUXILIOS PSICOLOGICOS",IF(P178=CURSOS!$D$31,"ATENCION A VICTIMAS POR CONFLICTO ARMADO",IF(P178=CURSOS!$D$32,"MANIPULACION DE ALIMENTOS Y BPM",IF(P178=CURSOS!$D$33,"ATENCION A PERSONAS CON DISCAPACIDAD",IF(P178=CURSOS!$D$34,"CUIDADO INTEGRAL DEL PACIENTE ADULTO",IF(P178=CURSOS!$D$35,"MANEJO DEFENSIVO",IF(P178=CURSOS!$D$36,"SOPORTE CARDIOVASCULAR AVANZADO NEONATAL",IF(P178=CURSOS!$D$37,"SEGURIDAD DEL PACIENTE",IF(P178=CURSOS!$D$38,"MANEJO DE RESIDUOS HOSPITALARIOS"))))))))))))))))))))))))))))))))))))</f>
        <v>0</v>
      </c>
      <c r="W178" s="44" t="str">
        <f t="shared" si="8"/>
        <v xml:space="preserve">   </v>
      </c>
      <c r="X178" s="44" t="str">
        <f t="shared" si="9"/>
        <v xml:space="preserve">   </v>
      </c>
      <c r="Y178" s="44" t="str">
        <f t="shared" si="10"/>
        <v xml:space="preserve">   --</v>
      </c>
    </row>
    <row r="179" spans="1:25" x14ac:dyDescent="0.2">
      <c r="A179" s="45">
        <v>178</v>
      </c>
      <c r="J179" s="46"/>
      <c r="Q179" s="46"/>
      <c r="U179" s="40"/>
      <c r="V179" s="44" t="b">
        <f>IF(P179=CURSOS!$D$3,"DIPLOMADO EN ATENCION PRE-HOSPITALARIA",IF(P179=CURSOS!$D$4,"ACOMPAÑAMIENTO Y MANEJO DEL DUELO",IF(P179=CURSOS!$D$5,"ATENCION A VICTIMAS DE ATAQUE CON AGENTES QUIMICOS ",IF(P179=CURSOS!$D$6,"PRIMEROS AUXILIOS ",IF(P179=CURSOS!$D$7,"DIPLOMADO DE UNIDAD DE CUIDADOS INTENSIVOS (UCI)",IF(P179=CURSOS!$D$8,"MODELO DE ATENCION PARA EVENTOS EMERGENTES EN SALUD MENTAL (CODIGO VERDE)",IF(P179=CURSOS!$D$9,"HUMANIZACION EN EL SERVICIO DE LA SALUD Y BUENAS PRACTICAS EN PACIENTE ",IF(P179=CURSOS!$D$10,"CLINICA DE HERIDAS ",IF(P179=CURSOS!$D$11,"TOMA DE CITOLOGIA CERVICO VAGINAL ",IF(P179=CURSOS!$D$12,"SOPORTE CARDIOVASCULAR AVANZADO (ACLS) ",IF(P179=CURSOS!$D$13,"CAMILLERO ",IF(P179=CURSOS!$D$14,"TOMA DE MUESTRAS Y LABORATORIO ",IF(P179=CURSOS!$D$15,"SOPORTE VITAL BASICO (BLS)",IF(P179=CURSOS!$D$16,"ATENCION A VICTIMAS DE VIOLENCIA SEXUAL ",IF(P179=CURSOS!$D$17,"PROGRAMADO AMPLIADO DE INMUNIZACION (PAI - COVID 19)",IF(P179=CURSOS!$D$18,"ATENCION INTEGRAL EN ENFERMEDADES PREVALENTES EN PRIMERA INFANCIA (AIEPI)",IF(P179=CURSOS!$D$19,"ADMINISTRACION DE MEDICAMENTOS, INYECTOLOGIA  Y CANALIZACION ",IF(P179=CURSOS!$D$20,"OPERADOR DE VEHICULOS DE EMERGENCIA (OVE)",IF(P179=CURSOS!$D$21,"INSTITUCIONES AMIGAS DE LA MUJER Y LA INFANCIA (IAMI)",IF(P179=CURSOS!$D$22,"CUIDADO DEL DONANTE DE ORGANOS",IF(P179=CURSOS!$D$23,"ATENCION A VICTIMAS POR VIOLENCIA DE GENERO",IF(P179=CURSOS!$D$24,"IGUALDAD DE GENERO EN LA SALUD",IF(P179=CURSOS!$D$25,"BRIGADA DE EMERGENCIA",IF(P179=CURSOS!$D$26,"MANEJO DEL DOLOR Y CUIDADOS PALIATIVOS",IF(P179=CURSOS!$D$27,"TOMA DE MUESTRAS Y LABORATORIO POCT",IF(P179=CURSOS!$D$28,"IMPLANTE SUBDERMICO DE DISPOSITIVO INTRAUTERINO",IF(P179=CURSOS!$D$29,"SALUD MENTAL",IF(P179=CURSOS!$D$30,"PRIMEROS AUXILIOS PSICOLOGICOS",IF(P179=CURSOS!$D$31,"ATENCION A VICTIMAS POR CONFLICTO ARMADO",IF(P179=CURSOS!$D$32,"MANIPULACION DE ALIMENTOS Y BPM",IF(P179=CURSOS!$D$33,"ATENCION A PERSONAS CON DISCAPACIDAD",IF(P179=CURSOS!$D$34,"CUIDADO INTEGRAL DEL PACIENTE ADULTO",IF(P179=CURSOS!$D$35,"MANEJO DEFENSIVO",IF(P179=CURSOS!$D$36,"SOPORTE CARDIOVASCULAR AVANZADO NEONATAL",IF(P179=CURSOS!$D$37,"SEGURIDAD DEL PACIENTE",IF(P179=CURSOS!$D$38,"MANEJO DE RESIDUOS HOSPITALARIOS"))))))))))))))))))))))))))))))))))))</f>
        <v>0</v>
      </c>
      <c r="W179" s="44" t="str">
        <f t="shared" si="8"/>
        <v xml:space="preserve">   </v>
      </c>
      <c r="X179" s="44" t="str">
        <f t="shared" si="9"/>
        <v xml:space="preserve">   </v>
      </c>
      <c r="Y179" s="44" t="str">
        <f t="shared" si="10"/>
        <v xml:space="preserve">   --</v>
      </c>
    </row>
    <row r="180" spans="1:25" x14ac:dyDescent="0.2">
      <c r="A180" s="45">
        <v>179</v>
      </c>
      <c r="J180" s="46"/>
      <c r="Q180" s="46"/>
      <c r="U180" s="40"/>
      <c r="V180" s="44" t="b">
        <f>IF(P180=CURSOS!$D$3,"DIPLOMADO EN ATENCION PRE-HOSPITALARIA",IF(P180=CURSOS!$D$4,"ACOMPAÑAMIENTO Y MANEJO DEL DUELO",IF(P180=CURSOS!$D$5,"ATENCION A VICTIMAS DE ATAQUE CON AGENTES QUIMICOS ",IF(P180=CURSOS!$D$6,"PRIMEROS AUXILIOS ",IF(P180=CURSOS!$D$7,"DIPLOMADO DE UNIDAD DE CUIDADOS INTENSIVOS (UCI)",IF(P180=CURSOS!$D$8,"MODELO DE ATENCION PARA EVENTOS EMERGENTES EN SALUD MENTAL (CODIGO VERDE)",IF(P180=CURSOS!$D$9,"HUMANIZACION EN EL SERVICIO DE LA SALUD Y BUENAS PRACTICAS EN PACIENTE ",IF(P180=CURSOS!$D$10,"CLINICA DE HERIDAS ",IF(P180=CURSOS!$D$11,"TOMA DE CITOLOGIA CERVICO VAGINAL ",IF(P180=CURSOS!$D$12,"SOPORTE CARDIOVASCULAR AVANZADO (ACLS) ",IF(P180=CURSOS!$D$13,"CAMILLERO ",IF(P180=CURSOS!$D$14,"TOMA DE MUESTRAS Y LABORATORIO ",IF(P180=CURSOS!$D$15,"SOPORTE VITAL BASICO (BLS)",IF(P180=CURSOS!$D$16,"ATENCION A VICTIMAS DE VIOLENCIA SEXUAL ",IF(P180=CURSOS!$D$17,"PROGRAMADO AMPLIADO DE INMUNIZACION (PAI - COVID 19)",IF(P180=CURSOS!$D$18,"ATENCION INTEGRAL EN ENFERMEDADES PREVALENTES EN PRIMERA INFANCIA (AIEPI)",IF(P180=CURSOS!$D$19,"ADMINISTRACION DE MEDICAMENTOS, INYECTOLOGIA  Y CANALIZACION ",IF(P180=CURSOS!$D$20,"OPERADOR DE VEHICULOS DE EMERGENCIA (OVE)",IF(P180=CURSOS!$D$21,"INSTITUCIONES AMIGAS DE LA MUJER Y LA INFANCIA (IAMI)",IF(P180=CURSOS!$D$22,"CUIDADO DEL DONANTE DE ORGANOS",IF(P180=CURSOS!$D$23,"ATENCION A VICTIMAS POR VIOLENCIA DE GENERO",IF(P180=CURSOS!$D$24,"IGUALDAD DE GENERO EN LA SALUD",IF(P180=CURSOS!$D$25,"BRIGADA DE EMERGENCIA",IF(P180=CURSOS!$D$26,"MANEJO DEL DOLOR Y CUIDADOS PALIATIVOS",IF(P180=CURSOS!$D$27,"TOMA DE MUESTRAS Y LABORATORIO POCT",IF(P180=CURSOS!$D$28,"IMPLANTE SUBDERMICO DE DISPOSITIVO INTRAUTERINO",IF(P180=CURSOS!$D$29,"SALUD MENTAL",IF(P180=CURSOS!$D$30,"PRIMEROS AUXILIOS PSICOLOGICOS",IF(P180=CURSOS!$D$31,"ATENCION A VICTIMAS POR CONFLICTO ARMADO",IF(P180=CURSOS!$D$32,"MANIPULACION DE ALIMENTOS Y BPM",IF(P180=CURSOS!$D$33,"ATENCION A PERSONAS CON DISCAPACIDAD",IF(P180=CURSOS!$D$34,"CUIDADO INTEGRAL DEL PACIENTE ADULTO",IF(P180=CURSOS!$D$35,"MANEJO DEFENSIVO",IF(P180=CURSOS!$D$36,"SOPORTE CARDIOVASCULAR AVANZADO NEONATAL",IF(P180=CURSOS!$D$37,"SEGURIDAD DEL PACIENTE",IF(P180=CURSOS!$D$38,"MANEJO DE RESIDUOS HOSPITALARIOS"))))))))))))))))))))))))))))))))))))</f>
        <v>0</v>
      </c>
      <c r="W180" s="44" t="str">
        <f t="shared" si="8"/>
        <v xml:space="preserve">   </v>
      </c>
      <c r="X180" s="44" t="str">
        <f t="shared" si="9"/>
        <v xml:space="preserve">   </v>
      </c>
      <c r="Y180" s="44" t="str">
        <f t="shared" si="10"/>
        <v xml:space="preserve">   --</v>
      </c>
    </row>
    <row r="181" spans="1:25" x14ac:dyDescent="0.2">
      <c r="A181" s="45">
        <v>180</v>
      </c>
      <c r="J181" s="46"/>
      <c r="Q181" s="46"/>
      <c r="U181" s="40"/>
      <c r="V181" s="44" t="b">
        <f>IF(P181=CURSOS!$D$3,"DIPLOMADO EN ATENCION PRE-HOSPITALARIA",IF(P181=CURSOS!$D$4,"ACOMPAÑAMIENTO Y MANEJO DEL DUELO",IF(P181=CURSOS!$D$5,"ATENCION A VICTIMAS DE ATAQUE CON AGENTES QUIMICOS ",IF(P181=CURSOS!$D$6,"PRIMEROS AUXILIOS ",IF(P181=CURSOS!$D$7,"DIPLOMADO DE UNIDAD DE CUIDADOS INTENSIVOS (UCI)",IF(P181=CURSOS!$D$8,"MODELO DE ATENCION PARA EVENTOS EMERGENTES EN SALUD MENTAL (CODIGO VERDE)",IF(P181=CURSOS!$D$9,"HUMANIZACION EN EL SERVICIO DE LA SALUD Y BUENAS PRACTICAS EN PACIENTE ",IF(P181=CURSOS!$D$10,"CLINICA DE HERIDAS ",IF(P181=CURSOS!$D$11,"TOMA DE CITOLOGIA CERVICO VAGINAL ",IF(P181=CURSOS!$D$12,"SOPORTE CARDIOVASCULAR AVANZADO (ACLS) ",IF(P181=CURSOS!$D$13,"CAMILLERO ",IF(P181=CURSOS!$D$14,"TOMA DE MUESTRAS Y LABORATORIO ",IF(P181=CURSOS!$D$15,"SOPORTE VITAL BASICO (BLS)",IF(P181=CURSOS!$D$16,"ATENCION A VICTIMAS DE VIOLENCIA SEXUAL ",IF(P181=CURSOS!$D$17,"PROGRAMADO AMPLIADO DE INMUNIZACION (PAI - COVID 19)",IF(P181=CURSOS!$D$18,"ATENCION INTEGRAL EN ENFERMEDADES PREVALENTES EN PRIMERA INFANCIA (AIEPI)",IF(P181=CURSOS!$D$19,"ADMINISTRACION DE MEDICAMENTOS, INYECTOLOGIA  Y CANALIZACION ",IF(P181=CURSOS!$D$20,"OPERADOR DE VEHICULOS DE EMERGENCIA (OVE)",IF(P181=CURSOS!$D$21,"INSTITUCIONES AMIGAS DE LA MUJER Y LA INFANCIA (IAMI)",IF(P181=CURSOS!$D$22,"CUIDADO DEL DONANTE DE ORGANOS",IF(P181=CURSOS!$D$23,"ATENCION A VICTIMAS POR VIOLENCIA DE GENERO",IF(P181=CURSOS!$D$24,"IGUALDAD DE GENERO EN LA SALUD",IF(P181=CURSOS!$D$25,"BRIGADA DE EMERGENCIA",IF(P181=CURSOS!$D$26,"MANEJO DEL DOLOR Y CUIDADOS PALIATIVOS",IF(P181=CURSOS!$D$27,"TOMA DE MUESTRAS Y LABORATORIO POCT",IF(P181=CURSOS!$D$28,"IMPLANTE SUBDERMICO DE DISPOSITIVO INTRAUTERINO",IF(P181=CURSOS!$D$29,"SALUD MENTAL",IF(P181=CURSOS!$D$30,"PRIMEROS AUXILIOS PSICOLOGICOS",IF(P181=CURSOS!$D$31,"ATENCION A VICTIMAS POR CONFLICTO ARMADO",IF(P181=CURSOS!$D$32,"MANIPULACION DE ALIMENTOS Y BPM",IF(P181=CURSOS!$D$33,"ATENCION A PERSONAS CON DISCAPACIDAD",IF(P181=CURSOS!$D$34,"CUIDADO INTEGRAL DEL PACIENTE ADULTO",IF(P181=CURSOS!$D$35,"MANEJO DEFENSIVO",IF(P181=CURSOS!$D$36,"SOPORTE CARDIOVASCULAR AVANZADO NEONATAL",IF(P181=CURSOS!$D$37,"SEGURIDAD DEL PACIENTE",IF(P181=CURSOS!$D$38,"MANEJO DE RESIDUOS HOSPITALARIOS"))))))))))))))))))))))))))))))))))))</f>
        <v>0</v>
      </c>
      <c r="W181" s="44" t="str">
        <f t="shared" si="8"/>
        <v xml:space="preserve">   </v>
      </c>
      <c r="X181" s="44" t="str">
        <f t="shared" si="9"/>
        <v xml:space="preserve">   </v>
      </c>
      <c r="Y181" s="44" t="str">
        <f t="shared" si="10"/>
        <v xml:space="preserve">   --</v>
      </c>
    </row>
    <row r="182" spans="1:25" x14ac:dyDescent="0.2">
      <c r="A182" s="45">
        <v>181</v>
      </c>
      <c r="J182" s="46"/>
      <c r="Q182" s="46"/>
      <c r="U182" s="50"/>
      <c r="V182" s="44" t="b">
        <f>IF(P182=CURSOS!$D$3,"DIPLOMADO EN ATENCION PRE-HOSPITALARIA",IF(P182=CURSOS!$D$4,"ACOMPAÑAMIENTO Y MANEJO DEL DUELO",IF(P182=CURSOS!$D$5,"ATENCION A VICTIMAS DE ATAQUE CON AGENTES QUIMICOS ",IF(P182=CURSOS!$D$6,"PRIMEROS AUXILIOS ",IF(P182=CURSOS!$D$7,"DIPLOMADO DE UNIDAD DE CUIDADOS INTENSIVOS (UCI)",IF(P182=CURSOS!$D$8,"MODELO DE ATENCION PARA EVENTOS EMERGENTES EN SALUD MENTAL (CODIGO VERDE)",IF(P182=CURSOS!$D$9,"HUMANIZACION EN EL SERVICIO DE LA SALUD Y BUENAS PRACTICAS EN PACIENTE ",IF(P182=CURSOS!$D$10,"CLINICA DE HERIDAS ",IF(P182=CURSOS!$D$11,"TOMA DE CITOLOGIA CERVICO VAGINAL ",IF(P182=CURSOS!$D$12,"SOPORTE CARDIOVASCULAR AVANZADO (ACLS) ",IF(P182=CURSOS!$D$13,"CAMILLERO ",IF(P182=CURSOS!$D$14,"TOMA DE MUESTRAS Y LABORATORIO ",IF(P182=CURSOS!$D$15,"SOPORTE VITAL BASICO (BLS)",IF(P182=CURSOS!$D$16,"ATENCION A VICTIMAS DE VIOLENCIA SEXUAL ",IF(P182=CURSOS!$D$17,"PROGRAMADO AMPLIADO DE INMUNIZACION (PAI - COVID 19)",IF(P182=CURSOS!$D$18,"ATENCION INTEGRAL EN ENFERMEDADES PREVALENTES EN PRIMERA INFANCIA (AIEPI)",IF(P182=CURSOS!$D$19,"ADMINISTRACION DE MEDICAMENTOS, INYECTOLOGIA  Y CANALIZACION ",IF(P182=CURSOS!$D$20,"OPERADOR DE VEHICULOS DE EMERGENCIA (OVE)",IF(P182=CURSOS!$D$21,"INSTITUCIONES AMIGAS DE LA MUJER Y LA INFANCIA (IAMI)",IF(P182=CURSOS!$D$22,"CUIDADO DEL DONANTE DE ORGANOS",IF(P182=CURSOS!$D$23,"ATENCION A VICTIMAS POR VIOLENCIA DE GENERO",IF(P182=CURSOS!$D$24,"IGUALDAD DE GENERO EN LA SALUD",IF(P182=CURSOS!$D$25,"BRIGADA DE EMERGENCIA",IF(P182=CURSOS!$D$26,"MANEJO DEL DOLOR Y CUIDADOS PALIATIVOS",IF(P182=CURSOS!$D$27,"TOMA DE MUESTRAS Y LABORATORIO POCT",IF(P182=CURSOS!$D$28,"IMPLANTE SUBDERMICO DE DISPOSITIVO INTRAUTERINO",IF(P182=CURSOS!$D$29,"SALUD MENTAL",IF(P182=CURSOS!$D$30,"PRIMEROS AUXILIOS PSICOLOGICOS",IF(P182=CURSOS!$D$31,"ATENCION A VICTIMAS POR CONFLICTO ARMADO",IF(P182=CURSOS!$D$32,"MANIPULACION DE ALIMENTOS Y BPM",IF(P182=CURSOS!$D$33,"ATENCION A PERSONAS CON DISCAPACIDAD",IF(P182=CURSOS!$D$34,"CUIDADO INTEGRAL DEL PACIENTE ADULTO",IF(P182=CURSOS!$D$35,"MANEJO DEFENSIVO",IF(P182=CURSOS!$D$36,"SOPORTE CARDIOVASCULAR AVANZADO NEONATAL",IF(P182=CURSOS!$D$37,"SEGURIDAD DEL PACIENTE",IF(P182=CURSOS!$D$38,"MANEJO DE RESIDUOS HOSPITALARIOS"))))))))))))))))))))))))))))))))))))</f>
        <v>0</v>
      </c>
      <c r="W182" s="44" t="str">
        <f t="shared" si="8"/>
        <v xml:space="preserve">   </v>
      </c>
      <c r="X182" s="44" t="str">
        <f t="shared" si="9"/>
        <v xml:space="preserve">   </v>
      </c>
      <c r="Y182" s="44" t="str">
        <f t="shared" si="10"/>
        <v xml:space="preserve">   --</v>
      </c>
    </row>
    <row r="183" spans="1:25" x14ac:dyDescent="0.2">
      <c r="A183" s="45">
        <v>182</v>
      </c>
      <c r="J183" s="46"/>
      <c r="Q183" s="46"/>
      <c r="U183" s="50"/>
      <c r="V183" s="44" t="b">
        <f>IF(P183=CURSOS!$D$3,"DIPLOMADO EN ATENCION PRE-HOSPITALARIA",IF(P183=CURSOS!$D$4,"ACOMPAÑAMIENTO Y MANEJO DEL DUELO",IF(P183=CURSOS!$D$5,"ATENCION A VICTIMAS DE ATAQUE CON AGENTES QUIMICOS ",IF(P183=CURSOS!$D$6,"PRIMEROS AUXILIOS ",IF(P183=CURSOS!$D$7,"DIPLOMADO DE UNIDAD DE CUIDADOS INTENSIVOS (UCI)",IF(P183=CURSOS!$D$8,"MODELO DE ATENCION PARA EVENTOS EMERGENTES EN SALUD MENTAL (CODIGO VERDE)",IF(P183=CURSOS!$D$9,"HUMANIZACION EN EL SERVICIO DE LA SALUD Y BUENAS PRACTICAS EN PACIENTE ",IF(P183=CURSOS!$D$10,"CLINICA DE HERIDAS ",IF(P183=CURSOS!$D$11,"TOMA DE CITOLOGIA CERVICO VAGINAL ",IF(P183=CURSOS!$D$12,"SOPORTE CARDIOVASCULAR AVANZADO (ACLS) ",IF(P183=CURSOS!$D$13,"CAMILLERO ",IF(P183=CURSOS!$D$14,"TOMA DE MUESTRAS Y LABORATORIO ",IF(P183=CURSOS!$D$15,"SOPORTE VITAL BASICO (BLS)",IF(P183=CURSOS!$D$16,"ATENCION A VICTIMAS DE VIOLENCIA SEXUAL ",IF(P183=CURSOS!$D$17,"PROGRAMADO AMPLIADO DE INMUNIZACION (PAI - COVID 19)",IF(P183=CURSOS!$D$18,"ATENCION INTEGRAL EN ENFERMEDADES PREVALENTES EN PRIMERA INFANCIA (AIEPI)",IF(P183=CURSOS!$D$19,"ADMINISTRACION DE MEDICAMENTOS, INYECTOLOGIA  Y CANALIZACION ",IF(P183=CURSOS!$D$20,"OPERADOR DE VEHICULOS DE EMERGENCIA (OVE)",IF(P183=CURSOS!$D$21,"INSTITUCIONES AMIGAS DE LA MUJER Y LA INFANCIA (IAMI)",IF(P183=CURSOS!$D$22,"CUIDADO DEL DONANTE DE ORGANOS",IF(P183=CURSOS!$D$23,"ATENCION A VICTIMAS POR VIOLENCIA DE GENERO",IF(P183=CURSOS!$D$24,"IGUALDAD DE GENERO EN LA SALUD",IF(P183=CURSOS!$D$25,"BRIGADA DE EMERGENCIA",IF(P183=CURSOS!$D$26,"MANEJO DEL DOLOR Y CUIDADOS PALIATIVOS",IF(P183=CURSOS!$D$27,"TOMA DE MUESTRAS Y LABORATORIO POCT",IF(P183=CURSOS!$D$28,"IMPLANTE SUBDERMICO DE DISPOSITIVO INTRAUTERINO",IF(P183=CURSOS!$D$29,"SALUD MENTAL",IF(P183=CURSOS!$D$30,"PRIMEROS AUXILIOS PSICOLOGICOS",IF(P183=CURSOS!$D$31,"ATENCION A VICTIMAS POR CONFLICTO ARMADO",IF(P183=CURSOS!$D$32,"MANIPULACION DE ALIMENTOS Y BPM",IF(P183=CURSOS!$D$33,"ATENCION A PERSONAS CON DISCAPACIDAD",IF(P183=CURSOS!$D$34,"CUIDADO INTEGRAL DEL PACIENTE ADULTO",IF(P183=CURSOS!$D$35,"MANEJO DEFENSIVO",IF(P183=CURSOS!$D$36,"SOPORTE CARDIOVASCULAR AVANZADO NEONATAL",IF(P183=CURSOS!$D$37,"SEGURIDAD DEL PACIENTE",IF(P183=CURSOS!$D$38,"MANEJO DE RESIDUOS HOSPITALARIOS"))))))))))))))))))))))))))))))))))))</f>
        <v>0</v>
      </c>
      <c r="W183" s="44" t="str">
        <f t="shared" si="8"/>
        <v xml:space="preserve">   </v>
      </c>
      <c r="X183" s="44" t="str">
        <f t="shared" si="9"/>
        <v xml:space="preserve">   </v>
      </c>
      <c r="Y183" s="44" t="str">
        <f t="shared" si="10"/>
        <v xml:space="preserve">   --</v>
      </c>
    </row>
    <row r="184" spans="1:25" x14ac:dyDescent="0.2">
      <c r="A184" s="45">
        <v>183</v>
      </c>
      <c r="J184" s="46"/>
      <c r="Q184" s="46"/>
      <c r="U184" s="40"/>
      <c r="V184" s="44" t="b">
        <f>IF(P184=CURSOS!$D$3,"DIPLOMADO EN ATENCION PRE-HOSPITALARIA",IF(P184=CURSOS!$D$4,"ACOMPAÑAMIENTO Y MANEJO DEL DUELO",IF(P184=CURSOS!$D$5,"ATENCION A VICTIMAS DE ATAQUE CON AGENTES QUIMICOS ",IF(P184=CURSOS!$D$6,"PRIMEROS AUXILIOS ",IF(P184=CURSOS!$D$7,"DIPLOMADO DE UNIDAD DE CUIDADOS INTENSIVOS (UCI)",IF(P184=CURSOS!$D$8,"MODELO DE ATENCION PARA EVENTOS EMERGENTES EN SALUD MENTAL (CODIGO VERDE)",IF(P184=CURSOS!$D$9,"HUMANIZACION EN EL SERVICIO DE LA SALUD Y BUENAS PRACTICAS EN PACIENTE ",IF(P184=CURSOS!$D$10,"CLINICA DE HERIDAS ",IF(P184=CURSOS!$D$11,"TOMA DE CITOLOGIA CERVICO VAGINAL ",IF(P184=CURSOS!$D$12,"SOPORTE CARDIOVASCULAR AVANZADO (ACLS) ",IF(P184=CURSOS!$D$13,"CAMILLERO ",IF(P184=CURSOS!$D$14,"TOMA DE MUESTRAS Y LABORATORIO ",IF(P184=CURSOS!$D$15,"SOPORTE VITAL BASICO (BLS)",IF(P184=CURSOS!$D$16,"ATENCION A VICTIMAS DE VIOLENCIA SEXUAL ",IF(P184=CURSOS!$D$17,"PROGRAMADO AMPLIADO DE INMUNIZACION (PAI - COVID 19)",IF(P184=CURSOS!$D$18,"ATENCION INTEGRAL EN ENFERMEDADES PREVALENTES EN PRIMERA INFANCIA (AIEPI)",IF(P184=CURSOS!$D$19,"ADMINISTRACION DE MEDICAMENTOS, INYECTOLOGIA  Y CANALIZACION ",IF(P184=CURSOS!$D$20,"OPERADOR DE VEHICULOS DE EMERGENCIA (OVE)",IF(P184=CURSOS!$D$21,"INSTITUCIONES AMIGAS DE LA MUJER Y LA INFANCIA (IAMI)",IF(P184=CURSOS!$D$22,"CUIDADO DEL DONANTE DE ORGANOS",IF(P184=CURSOS!$D$23,"ATENCION A VICTIMAS POR VIOLENCIA DE GENERO",IF(P184=CURSOS!$D$24,"IGUALDAD DE GENERO EN LA SALUD",IF(P184=CURSOS!$D$25,"BRIGADA DE EMERGENCIA",IF(P184=CURSOS!$D$26,"MANEJO DEL DOLOR Y CUIDADOS PALIATIVOS",IF(P184=CURSOS!$D$27,"TOMA DE MUESTRAS Y LABORATORIO POCT",IF(P184=CURSOS!$D$28,"IMPLANTE SUBDERMICO DE DISPOSITIVO INTRAUTERINO",IF(P184=CURSOS!$D$29,"SALUD MENTAL",IF(P184=CURSOS!$D$30,"PRIMEROS AUXILIOS PSICOLOGICOS",IF(P184=CURSOS!$D$31,"ATENCION A VICTIMAS POR CONFLICTO ARMADO",IF(P184=CURSOS!$D$32,"MANIPULACION DE ALIMENTOS Y BPM",IF(P184=CURSOS!$D$33,"ATENCION A PERSONAS CON DISCAPACIDAD",IF(P184=CURSOS!$D$34,"CUIDADO INTEGRAL DEL PACIENTE ADULTO",IF(P184=CURSOS!$D$35,"MANEJO DEFENSIVO",IF(P184=CURSOS!$D$36,"SOPORTE CARDIOVASCULAR AVANZADO NEONATAL",IF(P184=CURSOS!$D$37,"SEGURIDAD DEL PACIENTE",IF(P184=CURSOS!$D$38,"MANEJO DE RESIDUOS HOSPITALARIOS"))))))))))))))))))))))))))))))))))))</f>
        <v>0</v>
      </c>
      <c r="W184" s="44" t="str">
        <f t="shared" si="8"/>
        <v xml:space="preserve">   </v>
      </c>
      <c r="X184" s="44" t="str">
        <f t="shared" si="9"/>
        <v xml:space="preserve">   </v>
      </c>
      <c r="Y184" s="44" t="str">
        <f t="shared" si="10"/>
        <v xml:space="preserve">   --</v>
      </c>
    </row>
    <row r="185" spans="1:25" x14ac:dyDescent="0.2">
      <c r="A185" s="45">
        <v>184</v>
      </c>
      <c r="J185" s="46"/>
      <c r="Q185" s="46"/>
      <c r="U185" s="40"/>
      <c r="V185" s="44" t="b">
        <f>IF(P185=CURSOS!$D$3,"DIPLOMADO EN ATENCION PRE-HOSPITALARIA",IF(P185=CURSOS!$D$4,"ACOMPAÑAMIENTO Y MANEJO DEL DUELO",IF(P185=CURSOS!$D$5,"ATENCION A VICTIMAS DE ATAQUE CON AGENTES QUIMICOS ",IF(P185=CURSOS!$D$6,"PRIMEROS AUXILIOS ",IF(P185=CURSOS!$D$7,"DIPLOMADO DE UNIDAD DE CUIDADOS INTENSIVOS (UCI)",IF(P185=CURSOS!$D$8,"MODELO DE ATENCION PARA EVENTOS EMERGENTES EN SALUD MENTAL (CODIGO VERDE)",IF(P185=CURSOS!$D$9,"HUMANIZACION EN EL SERVICIO DE LA SALUD Y BUENAS PRACTICAS EN PACIENTE ",IF(P185=CURSOS!$D$10,"CLINICA DE HERIDAS ",IF(P185=CURSOS!$D$11,"TOMA DE CITOLOGIA CERVICO VAGINAL ",IF(P185=CURSOS!$D$12,"SOPORTE CARDIOVASCULAR AVANZADO (ACLS) ",IF(P185=CURSOS!$D$13,"CAMILLERO ",IF(P185=CURSOS!$D$14,"TOMA DE MUESTRAS Y LABORATORIO ",IF(P185=CURSOS!$D$15,"SOPORTE VITAL BASICO (BLS)",IF(P185=CURSOS!$D$16,"ATENCION A VICTIMAS DE VIOLENCIA SEXUAL ",IF(P185=CURSOS!$D$17,"PROGRAMADO AMPLIADO DE INMUNIZACION (PAI - COVID 19)",IF(P185=CURSOS!$D$18,"ATENCION INTEGRAL EN ENFERMEDADES PREVALENTES EN PRIMERA INFANCIA (AIEPI)",IF(P185=CURSOS!$D$19,"ADMINISTRACION DE MEDICAMENTOS, INYECTOLOGIA  Y CANALIZACION ",IF(P185=CURSOS!$D$20,"OPERADOR DE VEHICULOS DE EMERGENCIA (OVE)",IF(P185=CURSOS!$D$21,"INSTITUCIONES AMIGAS DE LA MUJER Y LA INFANCIA (IAMI)",IF(P185=CURSOS!$D$22,"CUIDADO DEL DONANTE DE ORGANOS",IF(P185=CURSOS!$D$23,"ATENCION A VICTIMAS POR VIOLENCIA DE GENERO",IF(P185=CURSOS!$D$24,"IGUALDAD DE GENERO EN LA SALUD",IF(P185=CURSOS!$D$25,"BRIGADA DE EMERGENCIA",IF(P185=CURSOS!$D$26,"MANEJO DEL DOLOR Y CUIDADOS PALIATIVOS",IF(P185=CURSOS!$D$27,"TOMA DE MUESTRAS Y LABORATORIO POCT",IF(P185=CURSOS!$D$28,"IMPLANTE SUBDERMICO DE DISPOSITIVO INTRAUTERINO",IF(P185=CURSOS!$D$29,"SALUD MENTAL",IF(P185=CURSOS!$D$30,"PRIMEROS AUXILIOS PSICOLOGICOS",IF(P185=CURSOS!$D$31,"ATENCION A VICTIMAS POR CONFLICTO ARMADO",IF(P185=CURSOS!$D$32,"MANIPULACION DE ALIMENTOS Y BPM",IF(P185=CURSOS!$D$33,"ATENCION A PERSONAS CON DISCAPACIDAD",IF(P185=CURSOS!$D$34,"CUIDADO INTEGRAL DEL PACIENTE ADULTO",IF(P185=CURSOS!$D$35,"MANEJO DEFENSIVO",IF(P185=CURSOS!$D$36,"SOPORTE CARDIOVASCULAR AVANZADO NEONATAL",IF(P185=CURSOS!$D$37,"SEGURIDAD DEL PACIENTE",IF(P185=CURSOS!$D$38,"MANEJO DE RESIDUOS HOSPITALARIOS"))))))))))))))))))))))))))))))))))))</f>
        <v>0</v>
      </c>
      <c r="W185" s="44" t="str">
        <f t="shared" si="8"/>
        <v xml:space="preserve">   </v>
      </c>
      <c r="X185" s="44" t="str">
        <f t="shared" si="9"/>
        <v xml:space="preserve">   </v>
      </c>
      <c r="Y185" s="44" t="str">
        <f t="shared" si="10"/>
        <v xml:space="preserve">   --</v>
      </c>
    </row>
    <row r="186" spans="1:25" x14ac:dyDescent="0.2">
      <c r="A186" s="45">
        <v>185</v>
      </c>
      <c r="J186" s="46"/>
      <c r="Q186" s="46"/>
      <c r="U186" s="40"/>
      <c r="V186" s="44" t="b">
        <f>IF(P186=CURSOS!$D$3,"DIPLOMADO EN ATENCION PRE-HOSPITALARIA",IF(P186=CURSOS!$D$4,"ACOMPAÑAMIENTO Y MANEJO DEL DUELO",IF(P186=CURSOS!$D$5,"ATENCION A VICTIMAS DE ATAQUE CON AGENTES QUIMICOS ",IF(P186=CURSOS!$D$6,"PRIMEROS AUXILIOS ",IF(P186=CURSOS!$D$7,"DIPLOMADO DE UNIDAD DE CUIDADOS INTENSIVOS (UCI)",IF(P186=CURSOS!$D$8,"MODELO DE ATENCION PARA EVENTOS EMERGENTES EN SALUD MENTAL (CODIGO VERDE)",IF(P186=CURSOS!$D$9,"HUMANIZACION EN EL SERVICIO DE LA SALUD Y BUENAS PRACTICAS EN PACIENTE ",IF(P186=CURSOS!$D$10,"CLINICA DE HERIDAS ",IF(P186=CURSOS!$D$11,"TOMA DE CITOLOGIA CERVICO VAGINAL ",IF(P186=CURSOS!$D$12,"SOPORTE CARDIOVASCULAR AVANZADO (ACLS) ",IF(P186=CURSOS!$D$13,"CAMILLERO ",IF(P186=CURSOS!$D$14,"TOMA DE MUESTRAS Y LABORATORIO ",IF(P186=CURSOS!$D$15,"SOPORTE VITAL BASICO (BLS)",IF(P186=CURSOS!$D$16,"ATENCION A VICTIMAS DE VIOLENCIA SEXUAL ",IF(P186=CURSOS!$D$17,"PROGRAMADO AMPLIADO DE INMUNIZACION (PAI - COVID 19)",IF(P186=CURSOS!$D$18,"ATENCION INTEGRAL EN ENFERMEDADES PREVALENTES EN PRIMERA INFANCIA (AIEPI)",IF(P186=CURSOS!$D$19,"ADMINISTRACION DE MEDICAMENTOS, INYECTOLOGIA  Y CANALIZACION ",IF(P186=CURSOS!$D$20,"OPERADOR DE VEHICULOS DE EMERGENCIA (OVE)",IF(P186=CURSOS!$D$21,"INSTITUCIONES AMIGAS DE LA MUJER Y LA INFANCIA (IAMI)",IF(P186=CURSOS!$D$22,"CUIDADO DEL DONANTE DE ORGANOS",IF(P186=CURSOS!$D$23,"ATENCION A VICTIMAS POR VIOLENCIA DE GENERO",IF(P186=CURSOS!$D$24,"IGUALDAD DE GENERO EN LA SALUD",IF(P186=CURSOS!$D$25,"BRIGADA DE EMERGENCIA",IF(P186=CURSOS!$D$26,"MANEJO DEL DOLOR Y CUIDADOS PALIATIVOS",IF(P186=CURSOS!$D$27,"TOMA DE MUESTRAS Y LABORATORIO POCT",IF(P186=CURSOS!$D$28,"IMPLANTE SUBDERMICO DE DISPOSITIVO INTRAUTERINO",IF(P186=CURSOS!$D$29,"SALUD MENTAL",IF(P186=CURSOS!$D$30,"PRIMEROS AUXILIOS PSICOLOGICOS",IF(P186=CURSOS!$D$31,"ATENCION A VICTIMAS POR CONFLICTO ARMADO",IF(P186=CURSOS!$D$32,"MANIPULACION DE ALIMENTOS Y BPM",IF(P186=CURSOS!$D$33,"ATENCION A PERSONAS CON DISCAPACIDAD",IF(P186=CURSOS!$D$34,"CUIDADO INTEGRAL DEL PACIENTE ADULTO",IF(P186=CURSOS!$D$35,"MANEJO DEFENSIVO",IF(P186=CURSOS!$D$36,"SOPORTE CARDIOVASCULAR AVANZADO NEONATAL",IF(P186=CURSOS!$D$37,"SEGURIDAD DEL PACIENTE",IF(P186=CURSOS!$D$38,"MANEJO DE RESIDUOS HOSPITALARIOS"))))))))))))))))))))))))))))))))))))</f>
        <v>0</v>
      </c>
      <c r="W186" s="44" t="str">
        <f t="shared" si="8"/>
        <v xml:space="preserve">   </v>
      </c>
      <c r="X186" s="44" t="str">
        <f t="shared" si="9"/>
        <v xml:space="preserve">   </v>
      </c>
      <c r="Y186" s="44" t="str">
        <f t="shared" si="10"/>
        <v xml:space="preserve">   --</v>
      </c>
    </row>
    <row r="187" spans="1:25" x14ac:dyDescent="0.2">
      <c r="A187" s="45">
        <v>186</v>
      </c>
      <c r="J187" s="46"/>
      <c r="Q187" s="46"/>
      <c r="T187" s="48"/>
      <c r="U187" s="40"/>
      <c r="V187" s="44" t="b">
        <f>IF(P187=CURSOS!$D$3,"DIPLOMADO EN ATENCION PRE-HOSPITALARIA",IF(P187=CURSOS!$D$4,"ACOMPAÑAMIENTO Y MANEJO DEL DUELO",IF(P187=CURSOS!$D$5,"ATENCION A VICTIMAS DE ATAQUE CON AGENTES QUIMICOS ",IF(P187=CURSOS!$D$6,"PRIMEROS AUXILIOS ",IF(P187=CURSOS!$D$7,"DIPLOMADO DE UNIDAD DE CUIDADOS INTENSIVOS (UCI)",IF(P187=CURSOS!$D$8,"MODELO DE ATENCION PARA EVENTOS EMERGENTES EN SALUD MENTAL (CODIGO VERDE)",IF(P187=CURSOS!$D$9,"HUMANIZACION EN EL SERVICIO DE LA SALUD Y BUENAS PRACTICAS EN PACIENTE ",IF(P187=CURSOS!$D$10,"CLINICA DE HERIDAS ",IF(P187=CURSOS!$D$11,"TOMA DE CITOLOGIA CERVICO VAGINAL ",IF(P187=CURSOS!$D$12,"SOPORTE CARDIOVASCULAR AVANZADO (ACLS) ",IF(P187=CURSOS!$D$13,"CAMILLERO ",IF(P187=CURSOS!$D$14,"TOMA DE MUESTRAS Y LABORATORIO ",IF(P187=CURSOS!$D$15,"SOPORTE VITAL BASICO (BLS)",IF(P187=CURSOS!$D$16,"ATENCION A VICTIMAS DE VIOLENCIA SEXUAL ",IF(P187=CURSOS!$D$17,"PROGRAMADO AMPLIADO DE INMUNIZACION (PAI - COVID 19)",IF(P187=CURSOS!$D$18,"ATENCION INTEGRAL EN ENFERMEDADES PREVALENTES EN PRIMERA INFANCIA (AIEPI)",IF(P187=CURSOS!$D$19,"ADMINISTRACION DE MEDICAMENTOS, INYECTOLOGIA  Y CANALIZACION ",IF(P187=CURSOS!$D$20,"OPERADOR DE VEHICULOS DE EMERGENCIA (OVE)",IF(P187=CURSOS!$D$21,"INSTITUCIONES AMIGAS DE LA MUJER Y LA INFANCIA (IAMI)",IF(P187=CURSOS!$D$22,"CUIDADO DEL DONANTE DE ORGANOS",IF(P187=CURSOS!$D$23,"ATENCION A VICTIMAS POR VIOLENCIA DE GENERO",IF(P187=CURSOS!$D$24,"IGUALDAD DE GENERO EN LA SALUD",IF(P187=CURSOS!$D$25,"BRIGADA DE EMERGENCIA",IF(P187=CURSOS!$D$26,"MANEJO DEL DOLOR Y CUIDADOS PALIATIVOS",IF(P187=CURSOS!$D$27,"TOMA DE MUESTRAS Y LABORATORIO POCT",IF(P187=CURSOS!$D$28,"IMPLANTE SUBDERMICO DE DISPOSITIVO INTRAUTERINO",IF(P187=CURSOS!$D$29,"SALUD MENTAL",IF(P187=CURSOS!$D$30,"PRIMEROS AUXILIOS PSICOLOGICOS",IF(P187=CURSOS!$D$31,"ATENCION A VICTIMAS POR CONFLICTO ARMADO",IF(P187=CURSOS!$D$32,"MANIPULACION DE ALIMENTOS Y BPM",IF(P187=CURSOS!$D$33,"ATENCION A PERSONAS CON DISCAPACIDAD",IF(P187=CURSOS!$D$34,"CUIDADO INTEGRAL DEL PACIENTE ADULTO",IF(P187=CURSOS!$D$35,"MANEJO DEFENSIVO",IF(P187=CURSOS!$D$36,"SOPORTE CARDIOVASCULAR AVANZADO NEONATAL",IF(P187=CURSOS!$D$37,"SEGURIDAD DEL PACIENTE",IF(P187=CURSOS!$D$38,"MANEJO DE RESIDUOS HOSPITALARIOS"))))))))))))))))))))))))))))))))))))</f>
        <v>0</v>
      </c>
      <c r="W187" s="44" t="str">
        <f t="shared" si="8"/>
        <v xml:space="preserve">   </v>
      </c>
      <c r="X187" s="44" t="str">
        <f t="shared" si="9"/>
        <v xml:space="preserve">   </v>
      </c>
      <c r="Y187" s="44" t="str">
        <f t="shared" si="10"/>
        <v xml:space="preserve">   --</v>
      </c>
    </row>
    <row r="188" spans="1:25" x14ac:dyDescent="0.2">
      <c r="A188" s="45">
        <v>187</v>
      </c>
      <c r="J188" s="46"/>
      <c r="Q188" s="46"/>
      <c r="T188" s="48"/>
      <c r="U188" s="40"/>
      <c r="V188" s="44" t="b">
        <f>IF(P188=CURSOS!$D$3,"DIPLOMADO EN ATENCION PRE-HOSPITALARIA",IF(P188=CURSOS!$D$4,"ACOMPAÑAMIENTO Y MANEJO DEL DUELO",IF(P188=CURSOS!$D$5,"ATENCION A VICTIMAS DE ATAQUE CON AGENTES QUIMICOS ",IF(P188=CURSOS!$D$6,"PRIMEROS AUXILIOS ",IF(P188=CURSOS!$D$7,"DIPLOMADO DE UNIDAD DE CUIDADOS INTENSIVOS (UCI)",IF(P188=CURSOS!$D$8,"MODELO DE ATENCION PARA EVENTOS EMERGENTES EN SALUD MENTAL (CODIGO VERDE)",IF(P188=CURSOS!$D$9,"HUMANIZACION EN EL SERVICIO DE LA SALUD Y BUENAS PRACTICAS EN PACIENTE ",IF(P188=CURSOS!$D$10,"CLINICA DE HERIDAS ",IF(P188=CURSOS!$D$11,"TOMA DE CITOLOGIA CERVICO VAGINAL ",IF(P188=CURSOS!$D$12,"SOPORTE CARDIOVASCULAR AVANZADO (ACLS) ",IF(P188=CURSOS!$D$13,"CAMILLERO ",IF(P188=CURSOS!$D$14,"TOMA DE MUESTRAS Y LABORATORIO ",IF(P188=CURSOS!$D$15,"SOPORTE VITAL BASICO (BLS)",IF(P188=CURSOS!$D$16,"ATENCION A VICTIMAS DE VIOLENCIA SEXUAL ",IF(P188=CURSOS!$D$17,"PROGRAMADO AMPLIADO DE INMUNIZACION (PAI - COVID 19)",IF(P188=CURSOS!$D$18,"ATENCION INTEGRAL EN ENFERMEDADES PREVALENTES EN PRIMERA INFANCIA (AIEPI)",IF(P188=CURSOS!$D$19,"ADMINISTRACION DE MEDICAMENTOS, INYECTOLOGIA  Y CANALIZACION ",IF(P188=CURSOS!$D$20,"OPERADOR DE VEHICULOS DE EMERGENCIA (OVE)",IF(P188=CURSOS!$D$21,"INSTITUCIONES AMIGAS DE LA MUJER Y LA INFANCIA (IAMI)",IF(P188=CURSOS!$D$22,"CUIDADO DEL DONANTE DE ORGANOS",IF(P188=CURSOS!$D$23,"ATENCION A VICTIMAS POR VIOLENCIA DE GENERO",IF(P188=CURSOS!$D$24,"IGUALDAD DE GENERO EN LA SALUD",IF(P188=CURSOS!$D$25,"BRIGADA DE EMERGENCIA",IF(P188=CURSOS!$D$26,"MANEJO DEL DOLOR Y CUIDADOS PALIATIVOS",IF(P188=CURSOS!$D$27,"TOMA DE MUESTRAS Y LABORATORIO POCT",IF(P188=CURSOS!$D$28,"IMPLANTE SUBDERMICO DE DISPOSITIVO INTRAUTERINO",IF(P188=CURSOS!$D$29,"SALUD MENTAL",IF(P188=CURSOS!$D$30,"PRIMEROS AUXILIOS PSICOLOGICOS",IF(P188=CURSOS!$D$31,"ATENCION A VICTIMAS POR CONFLICTO ARMADO",IF(P188=CURSOS!$D$32,"MANIPULACION DE ALIMENTOS Y BPM",IF(P188=CURSOS!$D$33,"ATENCION A PERSONAS CON DISCAPACIDAD",IF(P188=CURSOS!$D$34,"CUIDADO INTEGRAL DEL PACIENTE ADULTO",IF(P188=CURSOS!$D$35,"MANEJO DEFENSIVO",IF(P188=CURSOS!$D$36,"SOPORTE CARDIOVASCULAR AVANZADO NEONATAL",IF(P188=CURSOS!$D$37,"SEGURIDAD DEL PACIENTE",IF(P188=CURSOS!$D$38,"MANEJO DE RESIDUOS HOSPITALARIOS"))))))))))))))))))))))))))))))))))))</f>
        <v>0</v>
      </c>
      <c r="W188" s="44" t="str">
        <f t="shared" si="8"/>
        <v xml:space="preserve">   </v>
      </c>
      <c r="X188" s="44" t="str">
        <f t="shared" si="9"/>
        <v xml:space="preserve">   </v>
      </c>
      <c r="Y188" s="44" t="str">
        <f t="shared" si="10"/>
        <v xml:space="preserve">   --</v>
      </c>
    </row>
    <row r="189" spans="1:25" x14ac:dyDescent="0.2">
      <c r="A189" s="45">
        <v>188</v>
      </c>
      <c r="J189" s="46"/>
      <c r="Q189" s="46"/>
      <c r="T189" s="48"/>
      <c r="U189" s="40"/>
      <c r="V189" s="44" t="b">
        <f>IF(P189=CURSOS!$D$3,"DIPLOMADO EN ATENCION PRE-HOSPITALARIA",IF(P189=CURSOS!$D$4,"ACOMPAÑAMIENTO Y MANEJO DEL DUELO",IF(P189=CURSOS!$D$5,"ATENCION A VICTIMAS DE ATAQUE CON AGENTES QUIMICOS ",IF(P189=CURSOS!$D$6,"PRIMEROS AUXILIOS ",IF(P189=CURSOS!$D$7,"DIPLOMADO DE UNIDAD DE CUIDADOS INTENSIVOS (UCI)",IF(P189=CURSOS!$D$8,"MODELO DE ATENCION PARA EVENTOS EMERGENTES EN SALUD MENTAL (CODIGO VERDE)",IF(P189=CURSOS!$D$9,"HUMANIZACION EN EL SERVICIO DE LA SALUD Y BUENAS PRACTICAS EN PACIENTE ",IF(P189=CURSOS!$D$10,"CLINICA DE HERIDAS ",IF(P189=CURSOS!$D$11,"TOMA DE CITOLOGIA CERVICO VAGINAL ",IF(P189=CURSOS!$D$12,"SOPORTE CARDIOVASCULAR AVANZADO (ACLS) ",IF(P189=CURSOS!$D$13,"CAMILLERO ",IF(P189=CURSOS!$D$14,"TOMA DE MUESTRAS Y LABORATORIO ",IF(P189=CURSOS!$D$15,"SOPORTE VITAL BASICO (BLS)",IF(P189=CURSOS!$D$16,"ATENCION A VICTIMAS DE VIOLENCIA SEXUAL ",IF(P189=CURSOS!$D$17,"PROGRAMADO AMPLIADO DE INMUNIZACION (PAI - COVID 19)",IF(P189=CURSOS!$D$18,"ATENCION INTEGRAL EN ENFERMEDADES PREVALENTES EN PRIMERA INFANCIA (AIEPI)",IF(P189=CURSOS!$D$19,"ADMINISTRACION DE MEDICAMENTOS, INYECTOLOGIA  Y CANALIZACION ",IF(P189=CURSOS!$D$20,"OPERADOR DE VEHICULOS DE EMERGENCIA (OVE)",IF(P189=CURSOS!$D$21,"INSTITUCIONES AMIGAS DE LA MUJER Y LA INFANCIA (IAMI)",IF(P189=CURSOS!$D$22,"CUIDADO DEL DONANTE DE ORGANOS",IF(P189=CURSOS!$D$23,"ATENCION A VICTIMAS POR VIOLENCIA DE GENERO",IF(P189=CURSOS!$D$24,"IGUALDAD DE GENERO EN LA SALUD",IF(P189=CURSOS!$D$25,"BRIGADA DE EMERGENCIA",IF(P189=CURSOS!$D$26,"MANEJO DEL DOLOR Y CUIDADOS PALIATIVOS",IF(P189=CURSOS!$D$27,"TOMA DE MUESTRAS Y LABORATORIO POCT",IF(P189=CURSOS!$D$28,"IMPLANTE SUBDERMICO DE DISPOSITIVO INTRAUTERINO",IF(P189=CURSOS!$D$29,"SALUD MENTAL",IF(P189=CURSOS!$D$30,"PRIMEROS AUXILIOS PSICOLOGICOS",IF(P189=CURSOS!$D$31,"ATENCION A VICTIMAS POR CONFLICTO ARMADO",IF(P189=CURSOS!$D$32,"MANIPULACION DE ALIMENTOS Y BPM",IF(P189=CURSOS!$D$33,"ATENCION A PERSONAS CON DISCAPACIDAD",IF(P189=CURSOS!$D$34,"CUIDADO INTEGRAL DEL PACIENTE ADULTO",IF(P189=CURSOS!$D$35,"MANEJO DEFENSIVO",IF(P189=CURSOS!$D$36,"SOPORTE CARDIOVASCULAR AVANZADO NEONATAL",IF(P189=CURSOS!$D$37,"SEGURIDAD DEL PACIENTE",IF(P189=CURSOS!$D$38,"MANEJO DE RESIDUOS HOSPITALARIOS"))))))))))))))))))))))))))))))))))))</f>
        <v>0</v>
      </c>
      <c r="W189" s="44" t="str">
        <f t="shared" si="8"/>
        <v xml:space="preserve">   </v>
      </c>
      <c r="X189" s="44" t="str">
        <f t="shared" si="9"/>
        <v xml:space="preserve">   </v>
      </c>
      <c r="Y189" s="44" t="str">
        <f t="shared" si="10"/>
        <v xml:space="preserve">   --</v>
      </c>
    </row>
    <row r="190" spans="1:25" x14ac:dyDescent="0.2">
      <c r="A190" s="45">
        <v>189</v>
      </c>
      <c r="J190" s="46"/>
      <c r="Q190" s="46"/>
      <c r="S190" s="102"/>
      <c r="T190" s="48"/>
      <c r="U190" s="40"/>
      <c r="V190" s="44" t="b">
        <f>IF(P190=CURSOS!$D$3,"DIPLOMADO EN ATENCION PRE-HOSPITALARIA",IF(P190=CURSOS!$D$4,"ACOMPAÑAMIENTO Y MANEJO DEL DUELO",IF(P190=CURSOS!$D$5,"ATENCION A VICTIMAS DE ATAQUE CON AGENTES QUIMICOS ",IF(P190=CURSOS!$D$6,"PRIMEROS AUXILIOS ",IF(P190=CURSOS!$D$7,"DIPLOMADO DE UNIDAD DE CUIDADOS INTENSIVOS (UCI)",IF(P190=CURSOS!$D$8,"MODELO DE ATENCION PARA EVENTOS EMERGENTES EN SALUD MENTAL (CODIGO VERDE)",IF(P190=CURSOS!$D$9,"HUMANIZACION EN EL SERVICIO DE LA SALUD Y BUENAS PRACTICAS EN PACIENTE ",IF(P190=CURSOS!$D$10,"CLINICA DE HERIDAS ",IF(P190=CURSOS!$D$11,"TOMA DE CITOLOGIA CERVICO VAGINAL ",IF(P190=CURSOS!$D$12,"SOPORTE CARDIOVASCULAR AVANZADO (ACLS) ",IF(P190=CURSOS!$D$13,"CAMILLERO ",IF(P190=CURSOS!$D$14,"TOMA DE MUESTRAS Y LABORATORIO ",IF(P190=CURSOS!$D$15,"SOPORTE VITAL BASICO (BLS)",IF(P190=CURSOS!$D$16,"ATENCION A VICTIMAS DE VIOLENCIA SEXUAL ",IF(P190=CURSOS!$D$17,"PROGRAMADO AMPLIADO DE INMUNIZACION (PAI - COVID 19)",IF(P190=CURSOS!$D$18,"ATENCION INTEGRAL EN ENFERMEDADES PREVALENTES EN PRIMERA INFANCIA (AIEPI)",IF(P190=CURSOS!$D$19,"ADMINISTRACION DE MEDICAMENTOS, INYECTOLOGIA  Y CANALIZACION ",IF(P190=CURSOS!$D$20,"OPERADOR DE VEHICULOS DE EMERGENCIA (OVE)",IF(P190=CURSOS!$D$21,"INSTITUCIONES AMIGAS DE LA MUJER Y LA INFANCIA (IAMI)",IF(P190=CURSOS!$D$22,"CUIDADO DEL DONANTE DE ORGANOS",IF(P190=CURSOS!$D$23,"ATENCION A VICTIMAS POR VIOLENCIA DE GENERO",IF(P190=CURSOS!$D$24,"IGUALDAD DE GENERO EN LA SALUD",IF(P190=CURSOS!$D$25,"BRIGADA DE EMERGENCIA",IF(P190=CURSOS!$D$26,"MANEJO DEL DOLOR Y CUIDADOS PALIATIVOS",IF(P190=CURSOS!$D$27,"TOMA DE MUESTRAS Y LABORATORIO POCT",IF(P190=CURSOS!$D$28,"IMPLANTE SUBDERMICO DE DISPOSITIVO INTRAUTERINO",IF(P190=CURSOS!$D$29,"SALUD MENTAL",IF(P190=CURSOS!$D$30,"PRIMEROS AUXILIOS PSICOLOGICOS",IF(P190=CURSOS!$D$31,"ATENCION A VICTIMAS POR CONFLICTO ARMADO",IF(P190=CURSOS!$D$32,"MANIPULACION DE ALIMENTOS Y BPM",IF(P190=CURSOS!$D$33,"ATENCION A PERSONAS CON DISCAPACIDAD",IF(P190=CURSOS!$D$34,"CUIDADO INTEGRAL DEL PACIENTE ADULTO",IF(P190=CURSOS!$D$35,"MANEJO DEFENSIVO",IF(P190=CURSOS!$D$36,"SOPORTE CARDIOVASCULAR AVANZADO NEONATAL",IF(P190=CURSOS!$D$37,"SEGURIDAD DEL PACIENTE",IF(P190=CURSOS!$D$38,"MANEJO DE RESIDUOS HOSPITALARIOS"))))))))))))))))))))))))))))))))))))</f>
        <v>0</v>
      </c>
      <c r="W190" s="44" t="str">
        <f t="shared" si="8"/>
        <v xml:space="preserve">   </v>
      </c>
      <c r="X190" s="44" t="str">
        <f t="shared" si="9"/>
        <v xml:space="preserve">   </v>
      </c>
      <c r="Y190" s="44" t="str">
        <f t="shared" si="10"/>
        <v xml:space="preserve">   --</v>
      </c>
    </row>
    <row r="191" spans="1:25" x14ac:dyDescent="0.2">
      <c r="A191" s="45">
        <v>190</v>
      </c>
      <c r="J191" s="46"/>
      <c r="Q191" s="46"/>
      <c r="S191" s="102"/>
      <c r="T191" s="48"/>
      <c r="U191" s="40"/>
      <c r="V191" s="44" t="b">
        <f>IF(P191=CURSOS!$D$3,"DIPLOMADO EN ATENCION PRE-HOSPITALARIA",IF(P191=CURSOS!$D$4,"ACOMPAÑAMIENTO Y MANEJO DEL DUELO",IF(P191=CURSOS!$D$5,"ATENCION A VICTIMAS DE ATAQUE CON AGENTES QUIMICOS ",IF(P191=CURSOS!$D$6,"PRIMEROS AUXILIOS ",IF(P191=CURSOS!$D$7,"DIPLOMADO DE UNIDAD DE CUIDADOS INTENSIVOS (UCI)",IF(P191=CURSOS!$D$8,"MODELO DE ATENCION PARA EVENTOS EMERGENTES EN SALUD MENTAL (CODIGO VERDE)",IF(P191=CURSOS!$D$9,"HUMANIZACION EN EL SERVICIO DE LA SALUD Y BUENAS PRACTICAS EN PACIENTE ",IF(P191=CURSOS!$D$10,"CLINICA DE HERIDAS ",IF(P191=CURSOS!$D$11,"TOMA DE CITOLOGIA CERVICO VAGINAL ",IF(P191=CURSOS!$D$12,"SOPORTE CARDIOVASCULAR AVANZADO (ACLS) ",IF(P191=CURSOS!$D$13,"CAMILLERO ",IF(P191=CURSOS!$D$14,"TOMA DE MUESTRAS Y LABORATORIO ",IF(P191=CURSOS!$D$15,"SOPORTE VITAL BASICO (BLS)",IF(P191=CURSOS!$D$16,"ATENCION A VICTIMAS DE VIOLENCIA SEXUAL ",IF(P191=CURSOS!$D$17,"PROGRAMADO AMPLIADO DE INMUNIZACION (PAI - COVID 19)",IF(P191=CURSOS!$D$18,"ATENCION INTEGRAL EN ENFERMEDADES PREVALENTES EN PRIMERA INFANCIA (AIEPI)",IF(P191=CURSOS!$D$19,"ADMINISTRACION DE MEDICAMENTOS, INYECTOLOGIA  Y CANALIZACION ",IF(P191=CURSOS!$D$20,"OPERADOR DE VEHICULOS DE EMERGENCIA (OVE)",IF(P191=CURSOS!$D$21,"INSTITUCIONES AMIGAS DE LA MUJER Y LA INFANCIA (IAMI)",IF(P191=CURSOS!$D$22,"CUIDADO DEL DONANTE DE ORGANOS",IF(P191=CURSOS!$D$23,"ATENCION A VICTIMAS POR VIOLENCIA DE GENERO",IF(P191=CURSOS!$D$24,"IGUALDAD DE GENERO EN LA SALUD",IF(P191=CURSOS!$D$25,"BRIGADA DE EMERGENCIA",IF(P191=CURSOS!$D$26,"MANEJO DEL DOLOR Y CUIDADOS PALIATIVOS",IF(P191=CURSOS!$D$27,"TOMA DE MUESTRAS Y LABORATORIO POCT",IF(P191=CURSOS!$D$28,"IMPLANTE SUBDERMICO DE DISPOSITIVO INTRAUTERINO",IF(P191=CURSOS!$D$29,"SALUD MENTAL",IF(P191=CURSOS!$D$30,"PRIMEROS AUXILIOS PSICOLOGICOS",IF(P191=CURSOS!$D$31,"ATENCION A VICTIMAS POR CONFLICTO ARMADO",IF(P191=CURSOS!$D$32,"MANIPULACION DE ALIMENTOS Y BPM",IF(P191=CURSOS!$D$33,"ATENCION A PERSONAS CON DISCAPACIDAD",IF(P191=CURSOS!$D$34,"CUIDADO INTEGRAL DEL PACIENTE ADULTO",IF(P191=CURSOS!$D$35,"MANEJO DEFENSIVO",IF(P191=CURSOS!$D$36,"SOPORTE CARDIOVASCULAR AVANZADO NEONATAL",IF(P191=CURSOS!$D$37,"SEGURIDAD DEL PACIENTE",IF(P191=CURSOS!$D$38,"MANEJO DE RESIDUOS HOSPITALARIOS"))))))))))))))))))))))))))))))))))))</f>
        <v>0</v>
      </c>
      <c r="W191" s="44" t="str">
        <f t="shared" si="8"/>
        <v xml:space="preserve">   </v>
      </c>
      <c r="X191" s="44" t="str">
        <f t="shared" si="9"/>
        <v xml:space="preserve">   </v>
      </c>
      <c r="Y191" s="44" t="str">
        <f t="shared" si="10"/>
        <v xml:space="preserve">   --</v>
      </c>
    </row>
    <row r="192" spans="1:25" x14ac:dyDescent="0.2">
      <c r="A192" s="45">
        <v>191</v>
      </c>
      <c r="J192" s="46"/>
      <c r="Q192" s="46"/>
      <c r="S192" s="102"/>
      <c r="T192" s="48"/>
      <c r="U192" s="40"/>
      <c r="V192" s="44" t="b">
        <f>IF(P192=CURSOS!$D$3,"DIPLOMADO EN ATENCION PRE-HOSPITALARIA",IF(P192=CURSOS!$D$4,"ACOMPAÑAMIENTO Y MANEJO DEL DUELO",IF(P192=CURSOS!$D$5,"ATENCION A VICTIMAS DE ATAQUE CON AGENTES QUIMICOS ",IF(P192=CURSOS!$D$6,"PRIMEROS AUXILIOS ",IF(P192=CURSOS!$D$7,"DIPLOMADO DE UNIDAD DE CUIDADOS INTENSIVOS (UCI)",IF(P192=CURSOS!$D$8,"MODELO DE ATENCION PARA EVENTOS EMERGENTES EN SALUD MENTAL (CODIGO VERDE)",IF(P192=CURSOS!$D$9,"HUMANIZACION EN EL SERVICIO DE LA SALUD Y BUENAS PRACTICAS EN PACIENTE ",IF(P192=CURSOS!$D$10,"CLINICA DE HERIDAS ",IF(P192=CURSOS!$D$11,"TOMA DE CITOLOGIA CERVICO VAGINAL ",IF(P192=CURSOS!$D$12,"SOPORTE CARDIOVASCULAR AVANZADO (ACLS) ",IF(P192=CURSOS!$D$13,"CAMILLERO ",IF(P192=CURSOS!$D$14,"TOMA DE MUESTRAS Y LABORATORIO ",IF(P192=CURSOS!$D$15,"SOPORTE VITAL BASICO (BLS)",IF(P192=CURSOS!$D$16,"ATENCION A VICTIMAS DE VIOLENCIA SEXUAL ",IF(P192=CURSOS!$D$17,"PROGRAMADO AMPLIADO DE INMUNIZACION (PAI - COVID 19)",IF(P192=CURSOS!$D$18,"ATENCION INTEGRAL EN ENFERMEDADES PREVALENTES EN PRIMERA INFANCIA (AIEPI)",IF(P192=CURSOS!$D$19,"ADMINISTRACION DE MEDICAMENTOS, INYECTOLOGIA  Y CANALIZACION ",IF(P192=CURSOS!$D$20,"OPERADOR DE VEHICULOS DE EMERGENCIA (OVE)",IF(P192=CURSOS!$D$21,"INSTITUCIONES AMIGAS DE LA MUJER Y LA INFANCIA (IAMI)",IF(P192=CURSOS!$D$22,"CUIDADO DEL DONANTE DE ORGANOS",IF(P192=CURSOS!$D$23,"ATENCION A VICTIMAS POR VIOLENCIA DE GENERO",IF(P192=CURSOS!$D$24,"IGUALDAD DE GENERO EN LA SALUD",IF(P192=CURSOS!$D$25,"BRIGADA DE EMERGENCIA",IF(P192=CURSOS!$D$26,"MANEJO DEL DOLOR Y CUIDADOS PALIATIVOS",IF(P192=CURSOS!$D$27,"TOMA DE MUESTRAS Y LABORATORIO POCT",IF(P192=CURSOS!$D$28,"IMPLANTE SUBDERMICO DE DISPOSITIVO INTRAUTERINO",IF(P192=CURSOS!$D$29,"SALUD MENTAL",IF(P192=CURSOS!$D$30,"PRIMEROS AUXILIOS PSICOLOGICOS",IF(P192=CURSOS!$D$31,"ATENCION A VICTIMAS POR CONFLICTO ARMADO",IF(P192=CURSOS!$D$32,"MANIPULACION DE ALIMENTOS Y BPM",IF(P192=CURSOS!$D$33,"ATENCION A PERSONAS CON DISCAPACIDAD",IF(P192=CURSOS!$D$34,"CUIDADO INTEGRAL DEL PACIENTE ADULTO",IF(P192=CURSOS!$D$35,"MANEJO DEFENSIVO",IF(P192=CURSOS!$D$36,"SOPORTE CARDIOVASCULAR AVANZADO NEONATAL",IF(P192=CURSOS!$D$37,"SEGURIDAD DEL PACIENTE",IF(P192=CURSOS!$D$38,"MANEJO DE RESIDUOS HOSPITALARIOS"))))))))))))))))))))))))))))))))))))</f>
        <v>0</v>
      </c>
      <c r="W192" s="44" t="str">
        <f t="shared" si="8"/>
        <v xml:space="preserve">   </v>
      </c>
      <c r="X192" s="44" t="str">
        <f t="shared" si="9"/>
        <v xml:space="preserve">   </v>
      </c>
      <c r="Y192" s="44" t="str">
        <f t="shared" si="10"/>
        <v xml:space="preserve">   --</v>
      </c>
    </row>
    <row r="193" spans="1:25" x14ac:dyDescent="0.2">
      <c r="A193" s="45">
        <v>192</v>
      </c>
      <c r="J193" s="46"/>
      <c r="Q193" s="46"/>
      <c r="S193" s="102"/>
      <c r="U193" s="40"/>
      <c r="V193" s="44" t="b">
        <f>IF(P193=CURSOS!$D$3,"DIPLOMADO EN ATENCION PRE-HOSPITALARIA",IF(P193=CURSOS!$D$4,"ACOMPAÑAMIENTO Y MANEJO DEL DUELO",IF(P193=CURSOS!$D$5,"ATENCION A VICTIMAS DE ATAQUE CON AGENTES QUIMICOS ",IF(P193=CURSOS!$D$6,"PRIMEROS AUXILIOS ",IF(P193=CURSOS!$D$7,"DIPLOMADO DE UNIDAD DE CUIDADOS INTENSIVOS (UCI)",IF(P193=CURSOS!$D$8,"MODELO DE ATENCION PARA EVENTOS EMERGENTES EN SALUD MENTAL (CODIGO VERDE)",IF(P193=CURSOS!$D$9,"HUMANIZACION EN EL SERVICIO DE LA SALUD Y BUENAS PRACTICAS EN PACIENTE ",IF(P193=CURSOS!$D$10,"CLINICA DE HERIDAS ",IF(P193=CURSOS!$D$11,"TOMA DE CITOLOGIA CERVICO VAGINAL ",IF(P193=CURSOS!$D$12,"SOPORTE CARDIOVASCULAR AVANZADO (ACLS) ",IF(P193=CURSOS!$D$13,"CAMILLERO ",IF(P193=CURSOS!$D$14,"TOMA DE MUESTRAS Y LABORATORIO ",IF(P193=CURSOS!$D$15,"SOPORTE VITAL BASICO (BLS)",IF(P193=CURSOS!$D$16,"ATENCION A VICTIMAS DE VIOLENCIA SEXUAL ",IF(P193=CURSOS!$D$17,"PROGRAMADO AMPLIADO DE INMUNIZACION (PAI - COVID 19)",IF(P193=CURSOS!$D$18,"ATENCION INTEGRAL EN ENFERMEDADES PREVALENTES EN PRIMERA INFANCIA (AIEPI)",IF(P193=CURSOS!$D$19,"ADMINISTRACION DE MEDICAMENTOS, INYECTOLOGIA  Y CANALIZACION ",IF(P193=CURSOS!$D$20,"OPERADOR DE VEHICULOS DE EMERGENCIA (OVE)",IF(P193=CURSOS!$D$21,"INSTITUCIONES AMIGAS DE LA MUJER Y LA INFANCIA (IAMI)",IF(P193=CURSOS!$D$22,"CUIDADO DEL DONANTE DE ORGANOS",IF(P193=CURSOS!$D$23,"ATENCION A VICTIMAS POR VIOLENCIA DE GENERO",IF(P193=CURSOS!$D$24,"IGUALDAD DE GENERO EN LA SALUD",IF(P193=CURSOS!$D$25,"BRIGADA DE EMERGENCIA",IF(P193=CURSOS!$D$26,"MANEJO DEL DOLOR Y CUIDADOS PALIATIVOS",IF(P193=CURSOS!$D$27,"TOMA DE MUESTRAS Y LABORATORIO POCT",IF(P193=CURSOS!$D$28,"IMPLANTE SUBDERMICO DE DISPOSITIVO INTRAUTERINO",IF(P193=CURSOS!$D$29,"SALUD MENTAL",IF(P193=CURSOS!$D$30,"PRIMEROS AUXILIOS PSICOLOGICOS",IF(P193=CURSOS!$D$31,"ATENCION A VICTIMAS POR CONFLICTO ARMADO",IF(P193=CURSOS!$D$32,"MANIPULACION DE ALIMENTOS Y BPM",IF(P193=CURSOS!$D$33,"ATENCION A PERSONAS CON DISCAPACIDAD",IF(P193=CURSOS!$D$34,"CUIDADO INTEGRAL DEL PACIENTE ADULTO",IF(P193=CURSOS!$D$35,"MANEJO DEFENSIVO",IF(P193=CURSOS!$D$36,"SOPORTE CARDIOVASCULAR AVANZADO NEONATAL",IF(P193=CURSOS!$D$37,"SEGURIDAD DEL PACIENTE",IF(P193=CURSOS!$D$38,"MANEJO DE RESIDUOS HOSPITALARIOS"))))))))))))))))))))))))))))))))))))</f>
        <v>0</v>
      </c>
      <c r="W193" s="44" t="str">
        <f t="shared" si="8"/>
        <v xml:space="preserve">   </v>
      </c>
      <c r="X193" s="44" t="str">
        <f t="shared" si="9"/>
        <v xml:space="preserve">   </v>
      </c>
      <c r="Y193" s="44" t="str">
        <f t="shared" si="10"/>
        <v xml:space="preserve">   --</v>
      </c>
    </row>
    <row r="194" spans="1:25" x14ac:dyDescent="0.2">
      <c r="A194" s="45">
        <v>193</v>
      </c>
      <c r="J194" s="46"/>
      <c r="Q194" s="46"/>
      <c r="S194" s="102"/>
      <c r="U194" s="40"/>
      <c r="V194" s="44" t="b">
        <f>IF(P194=CURSOS!$D$3,"DIPLOMADO EN ATENCION PRE-HOSPITALARIA",IF(P194=CURSOS!$D$4,"ACOMPAÑAMIENTO Y MANEJO DEL DUELO",IF(P194=CURSOS!$D$5,"ATENCION A VICTIMAS DE ATAQUE CON AGENTES QUIMICOS ",IF(P194=CURSOS!$D$6,"PRIMEROS AUXILIOS ",IF(P194=CURSOS!$D$7,"DIPLOMADO DE UNIDAD DE CUIDADOS INTENSIVOS (UCI)",IF(P194=CURSOS!$D$8,"MODELO DE ATENCION PARA EVENTOS EMERGENTES EN SALUD MENTAL (CODIGO VERDE)",IF(P194=CURSOS!$D$9,"HUMANIZACION EN EL SERVICIO DE LA SALUD Y BUENAS PRACTICAS EN PACIENTE ",IF(P194=CURSOS!$D$10,"CLINICA DE HERIDAS ",IF(P194=CURSOS!$D$11,"TOMA DE CITOLOGIA CERVICO VAGINAL ",IF(P194=CURSOS!$D$12,"SOPORTE CARDIOVASCULAR AVANZADO (ACLS) ",IF(P194=CURSOS!$D$13,"CAMILLERO ",IF(P194=CURSOS!$D$14,"TOMA DE MUESTRAS Y LABORATORIO ",IF(P194=CURSOS!$D$15,"SOPORTE VITAL BASICO (BLS)",IF(P194=CURSOS!$D$16,"ATENCION A VICTIMAS DE VIOLENCIA SEXUAL ",IF(P194=CURSOS!$D$17,"PROGRAMADO AMPLIADO DE INMUNIZACION (PAI - COVID 19)",IF(P194=CURSOS!$D$18,"ATENCION INTEGRAL EN ENFERMEDADES PREVALENTES EN PRIMERA INFANCIA (AIEPI)",IF(P194=CURSOS!$D$19,"ADMINISTRACION DE MEDICAMENTOS, INYECTOLOGIA  Y CANALIZACION ",IF(P194=CURSOS!$D$20,"OPERADOR DE VEHICULOS DE EMERGENCIA (OVE)",IF(P194=CURSOS!$D$21,"INSTITUCIONES AMIGAS DE LA MUJER Y LA INFANCIA (IAMI)",IF(P194=CURSOS!$D$22,"CUIDADO DEL DONANTE DE ORGANOS",IF(P194=CURSOS!$D$23,"ATENCION A VICTIMAS POR VIOLENCIA DE GENERO",IF(P194=CURSOS!$D$24,"IGUALDAD DE GENERO EN LA SALUD",IF(P194=CURSOS!$D$25,"BRIGADA DE EMERGENCIA",IF(P194=CURSOS!$D$26,"MANEJO DEL DOLOR Y CUIDADOS PALIATIVOS",IF(P194=CURSOS!$D$27,"TOMA DE MUESTRAS Y LABORATORIO POCT",IF(P194=CURSOS!$D$28,"IMPLANTE SUBDERMICO DE DISPOSITIVO INTRAUTERINO",IF(P194=CURSOS!$D$29,"SALUD MENTAL",IF(P194=CURSOS!$D$30,"PRIMEROS AUXILIOS PSICOLOGICOS",IF(P194=CURSOS!$D$31,"ATENCION A VICTIMAS POR CONFLICTO ARMADO",IF(P194=CURSOS!$D$32,"MANIPULACION DE ALIMENTOS Y BPM",IF(P194=CURSOS!$D$33,"ATENCION A PERSONAS CON DISCAPACIDAD",IF(P194=CURSOS!$D$34,"CUIDADO INTEGRAL DEL PACIENTE ADULTO",IF(P194=CURSOS!$D$35,"MANEJO DEFENSIVO",IF(P194=CURSOS!$D$36,"SOPORTE CARDIOVASCULAR AVANZADO NEONATAL",IF(P194=CURSOS!$D$37,"SEGURIDAD DEL PACIENTE",IF(P194=CURSOS!$D$38,"MANEJO DE RESIDUOS HOSPITALARIOS"))))))))))))))))))))))))))))))))))))</f>
        <v>0</v>
      </c>
      <c r="W194" s="44" t="str">
        <f t="shared" si="8"/>
        <v xml:space="preserve">   </v>
      </c>
      <c r="X194" s="44" t="str">
        <f t="shared" si="9"/>
        <v xml:space="preserve">   </v>
      </c>
      <c r="Y194" s="44" t="str">
        <f t="shared" si="10"/>
        <v xml:space="preserve">   --</v>
      </c>
    </row>
    <row r="195" spans="1:25" x14ac:dyDescent="0.2">
      <c r="A195" s="45">
        <v>194</v>
      </c>
      <c r="J195" s="46"/>
      <c r="Q195" s="46"/>
      <c r="U195" s="40"/>
      <c r="V195" s="44" t="b">
        <f>IF(P195=CURSOS!$D$3,"DIPLOMADO EN ATENCION PRE-HOSPITALARIA",IF(P195=CURSOS!$D$4,"ACOMPAÑAMIENTO Y MANEJO DEL DUELO",IF(P195=CURSOS!$D$5,"ATENCION A VICTIMAS DE ATAQUE CON AGENTES QUIMICOS ",IF(P195=CURSOS!$D$6,"PRIMEROS AUXILIOS ",IF(P195=CURSOS!$D$7,"DIPLOMADO DE UNIDAD DE CUIDADOS INTENSIVOS (UCI)",IF(P195=CURSOS!$D$8,"MODELO DE ATENCION PARA EVENTOS EMERGENTES EN SALUD MENTAL (CODIGO VERDE)",IF(P195=CURSOS!$D$9,"HUMANIZACION EN EL SERVICIO DE LA SALUD Y BUENAS PRACTICAS EN PACIENTE ",IF(P195=CURSOS!$D$10,"CLINICA DE HERIDAS ",IF(P195=CURSOS!$D$11,"TOMA DE CITOLOGIA CERVICO VAGINAL ",IF(P195=CURSOS!$D$12,"SOPORTE CARDIOVASCULAR AVANZADO (ACLS) ",IF(P195=CURSOS!$D$13,"CAMILLERO ",IF(P195=CURSOS!$D$14,"TOMA DE MUESTRAS Y LABORATORIO ",IF(P195=CURSOS!$D$15,"SOPORTE VITAL BASICO (BLS)",IF(P195=CURSOS!$D$16,"ATENCION A VICTIMAS DE VIOLENCIA SEXUAL ",IF(P195=CURSOS!$D$17,"PROGRAMADO AMPLIADO DE INMUNIZACION (PAI - COVID 19)",IF(P195=CURSOS!$D$18,"ATENCION INTEGRAL EN ENFERMEDADES PREVALENTES EN PRIMERA INFANCIA (AIEPI)",IF(P195=CURSOS!$D$19,"ADMINISTRACION DE MEDICAMENTOS, INYECTOLOGIA  Y CANALIZACION ",IF(P195=CURSOS!$D$20,"OPERADOR DE VEHICULOS DE EMERGENCIA (OVE)",IF(P195=CURSOS!$D$21,"INSTITUCIONES AMIGAS DE LA MUJER Y LA INFANCIA (IAMI)",IF(P195=CURSOS!$D$22,"CUIDADO DEL DONANTE DE ORGANOS",IF(P195=CURSOS!$D$23,"ATENCION A VICTIMAS POR VIOLENCIA DE GENERO",IF(P195=CURSOS!$D$24,"IGUALDAD DE GENERO EN LA SALUD",IF(P195=CURSOS!$D$25,"BRIGADA DE EMERGENCIA",IF(P195=CURSOS!$D$26,"MANEJO DEL DOLOR Y CUIDADOS PALIATIVOS",IF(P195=CURSOS!$D$27,"TOMA DE MUESTRAS Y LABORATORIO POCT",IF(P195=CURSOS!$D$28,"IMPLANTE SUBDERMICO DE DISPOSITIVO INTRAUTERINO",IF(P195=CURSOS!$D$29,"SALUD MENTAL",IF(P195=CURSOS!$D$30,"PRIMEROS AUXILIOS PSICOLOGICOS",IF(P195=CURSOS!$D$31,"ATENCION A VICTIMAS POR CONFLICTO ARMADO",IF(P195=CURSOS!$D$32,"MANIPULACION DE ALIMENTOS Y BPM",IF(P195=CURSOS!$D$33,"ATENCION A PERSONAS CON DISCAPACIDAD",IF(P195=CURSOS!$D$34,"CUIDADO INTEGRAL DEL PACIENTE ADULTO",IF(P195=CURSOS!$D$35,"MANEJO DEFENSIVO",IF(P195=CURSOS!$D$36,"SOPORTE CARDIOVASCULAR AVANZADO NEONATAL",IF(P195=CURSOS!$D$37,"SEGURIDAD DEL PACIENTE",IF(P195=CURSOS!$D$38,"MANEJO DE RESIDUOS HOSPITALARIOS"))))))))))))))))))))))))))))))))))))</f>
        <v>0</v>
      </c>
      <c r="W195" s="44" t="str">
        <f t="shared" ref="W195:W244" si="11">CONCATENATE(E195," ",F195," ",C195," ",D195)</f>
        <v xml:space="preserve">   </v>
      </c>
      <c r="X195" s="44" t="str">
        <f t="shared" ref="X195:X244" si="12">PROPER(W195)</f>
        <v xml:space="preserve">   </v>
      </c>
      <c r="Y195" s="44" t="str">
        <f t="shared" ref="Y195:Y244" si="13">CONCATENATE(W195,"-",B195,"-",P195)</f>
        <v xml:space="preserve">   --</v>
      </c>
    </row>
    <row r="196" spans="1:25" x14ac:dyDescent="0.2">
      <c r="A196" s="45">
        <v>195</v>
      </c>
      <c r="J196" s="46"/>
      <c r="Q196" s="46"/>
      <c r="U196" s="40"/>
      <c r="V196" s="44" t="b">
        <f>IF(P196=CURSOS!$D$3,"DIPLOMADO EN ATENCION PRE-HOSPITALARIA",IF(P196=CURSOS!$D$4,"ACOMPAÑAMIENTO Y MANEJO DEL DUELO",IF(P196=CURSOS!$D$5,"ATENCION A VICTIMAS DE ATAQUE CON AGENTES QUIMICOS ",IF(P196=CURSOS!$D$6,"PRIMEROS AUXILIOS ",IF(P196=CURSOS!$D$7,"DIPLOMADO DE UNIDAD DE CUIDADOS INTENSIVOS (UCI)",IF(P196=CURSOS!$D$8,"MODELO DE ATENCION PARA EVENTOS EMERGENTES EN SALUD MENTAL (CODIGO VERDE)",IF(P196=CURSOS!$D$9,"HUMANIZACION EN EL SERVICIO DE LA SALUD Y BUENAS PRACTICAS EN PACIENTE ",IF(P196=CURSOS!$D$10,"CLINICA DE HERIDAS ",IF(P196=CURSOS!$D$11,"TOMA DE CITOLOGIA CERVICO VAGINAL ",IF(P196=CURSOS!$D$12,"SOPORTE CARDIOVASCULAR AVANZADO (ACLS) ",IF(P196=CURSOS!$D$13,"CAMILLERO ",IF(P196=CURSOS!$D$14,"TOMA DE MUESTRAS Y LABORATORIO ",IF(P196=CURSOS!$D$15,"SOPORTE VITAL BASICO (BLS)",IF(P196=CURSOS!$D$16,"ATENCION A VICTIMAS DE VIOLENCIA SEXUAL ",IF(P196=CURSOS!$D$17,"PROGRAMADO AMPLIADO DE INMUNIZACION (PAI - COVID 19)",IF(P196=CURSOS!$D$18,"ATENCION INTEGRAL EN ENFERMEDADES PREVALENTES EN PRIMERA INFANCIA (AIEPI)",IF(P196=CURSOS!$D$19,"ADMINISTRACION DE MEDICAMENTOS, INYECTOLOGIA  Y CANALIZACION ",IF(P196=CURSOS!$D$20,"OPERADOR DE VEHICULOS DE EMERGENCIA (OVE)",IF(P196=CURSOS!$D$21,"INSTITUCIONES AMIGAS DE LA MUJER Y LA INFANCIA (IAMI)",IF(P196=CURSOS!$D$22,"CUIDADO DEL DONANTE DE ORGANOS",IF(P196=CURSOS!$D$23,"ATENCION A VICTIMAS POR VIOLENCIA DE GENERO",IF(P196=CURSOS!$D$24,"IGUALDAD DE GENERO EN LA SALUD",IF(P196=CURSOS!$D$25,"BRIGADA DE EMERGENCIA",IF(P196=CURSOS!$D$26,"MANEJO DEL DOLOR Y CUIDADOS PALIATIVOS",IF(P196=CURSOS!$D$27,"TOMA DE MUESTRAS Y LABORATORIO POCT",IF(P196=CURSOS!$D$28,"IMPLANTE SUBDERMICO DE DISPOSITIVO INTRAUTERINO",IF(P196=CURSOS!$D$29,"SALUD MENTAL",IF(P196=CURSOS!$D$30,"PRIMEROS AUXILIOS PSICOLOGICOS",IF(P196=CURSOS!$D$31,"ATENCION A VICTIMAS POR CONFLICTO ARMADO",IF(P196=CURSOS!$D$32,"MANIPULACION DE ALIMENTOS Y BPM",IF(P196=CURSOS!$D$33,"ATENCION A PERSONAS CON DISCAPACIDAD",IF(P196=CURSOS!$D$34,"CUIDADO INTEGRAL DEL PACIENTE ADULTO",IF(P196=CURSOS!$D$35,"MANEJO DEFENSIVO",IF(P196=CURSOS!$D$36,"SOPORTE CARDIOVASCULAR AVANZADO NEONATAL",IF(P196=CURSOS!$D$37,"SEGURIDAD DEL PACIENTE",IF(P196=CURSOS!$D$38,"MANEJO DE RESIDUOS HOSPITALARIOS"))))))))))))))))))))))))))))))))))))</f>
        <v>0</v>
      </c>
      <c r="W196" s="44" t="str">
        <f t="shared" si="11"/>
        <v xml:space="preserve">   </v>
      </c>
      <c r="X196" s="44" t="str">
        <f t="shared" si="12"/>
        <v xml:space="preserve">   </v>
      </c>
      <c r="Y196" s="44" t="str">
        <f t="shared" si="13"/>
        <v xml:space="preserve">   --</v>
      </c>
    </row>
    <row r="197" spans="1:25" x14ac:dyDescent="0.2">
      <c r="A197" s="45">
        <v>196</v>
      </c>
      <c r="J197" s="46"/>
      <c r="Q197" s="46"/>
      <c r="U197" s="40"/>
      <c r="V197" s="44" t="b">
        <f>IF(P197=CURSOS!$D$3,"DIPLOMADO EN ATENCION PRE-HOSPITALARIA",IF(P197=CURSOS!$D$4,"ACOMPAÑAMIENTO Y MANEJO DEL DUELO",IF(P197=CURSOS!$D$5,"ATENCION A VICTIMAS DE ATAQUE CON AGENTES QUIMICOS ",IF(P197=CURSOS!$D$6,"PRIMEROS AUXILIOS ",IF(P197=CURSOS!$D$7,"DIPLOMADO DE UNIDAD DE CUIDADOS INTENSIVOS (UCI)",IF(P197=CURSOS!$D$8,"MODELO DE ATENCION PARA EVENTOS EMERGENTES EN SALUD MENTAL (CODIGO VERDE)",IF(P197=CURSOS!$D$9,"HUMANIZACION EN EL SERVICIO DE LA SALUD Y BUENAS PRACTICAS EN PACIENTE ",IF(P197=CURSOS!$D$10,"CLINICA DE HERIDAS ",IF(P197=CURSOS!$D$11,"TOMA DE CITOLOGIA CERVICO VAGINAL ",IF(P197=CURSOS!$D$12,"SOPORTE CARDIOVASCULAR AVANZADO (ACLS) ",IF(P197=CURSOS!$D$13,"CAMILLERO ",IF(P197=CURSOS!$D$14,"TOMA DE MUESTRAS Y LABORATORIO ",IF(P197=CURSOS!$D$15,"SOPORTE VITAL BASICO (BLS)",IF(P197=CURSOS!$D$16,"ATENCION A VICTIMAS DE VIOLENCIA SEXUAL ",IF(P197=CURSOS!$D$17,"PROGRAMADO AMPLIADO DE INMUNIZACION (PAI - COVID 19)",IF(P197=CURSOS!$D$18,"ATENCION INTEGRAL EN ENFERMEDADES PREVALENTES EN PRIMERA INFANCIA (AIEPI)",IF(P197=CURSOS!$D$19,"ADMINISTRACION DE MEDICAMENTOS, INYECTOLOGIA  Y CANALIZACION ",IF(P197=CURSOS!$D$20,"OPERADOR DE VEHICULOS DE EMERGENCIA (OVE)",IF(P197=CURSOS!$D$21,"INSTITUCIONES AMIGAS DE LA MUJER Y LA INFANCIA (IAMI)",IF(P197=CURSOS!$D$22,"CUIDADO DEL DONANTE DE ORGANOS",IF(P197=CURSOS!$D$23,"ATENCION A VICTIMAS POR VIOLENCIA DE GENERO",IF(P197=CURSOS!$D$24,"IGUALDAD DE GENERO EN LA SALUD",IF(P197=CURSOS!$D$25,"BRIGADA DE EMERGENCIA",IF(P197=CURSOS!$D$26,"MANEJO DEL DOLOR Y CUIDADOS PALIATIVOS",IF(P197=CURSOS!$D$27,"TOMA DE MUESTRAS Y LABORATORIO POCT",IF(P197=CURSOS!$D$28,"IMPLANTE SUBDERMICO DE DISPOSITIVO INTRAUTERINO",IF(P197=CURSOS!$D$29,"SALUD MENTAL",IF(P197=CURSOS!$D$30,"PRIMEROS AUXILIOS PSICOLOGICOS",IF(P197=CURSOS!$D$31,"ATENCION A VICTIMAS POR CONFLICTO ARMADO",IF(P197=CURSOS!$D$32,"MANIPULACION DE ALIMENTOS Y BPM",IF(P197=CURSOS!$D$33,"ATENCION A PERSONAS CON DISCAPACIDAD",IF(P197=CURSOS!$D$34,"CUIDADO INTEGRAL DEL PACIENTE ADULTO",IF(P197=CURSOS!$D$35,"MANEJO DEFENSIVO",IF(P197=CURSOS!$D$36,"SOPORTE CARDIOVASCULAR AVANZADO NEONATAL",IF(P197=CURSOS!$D$37,"SEGURIDAD DEL PACIENTE",IF(P197=CURSOS!$D$38,"MANEJO DE RESIDUOS HOSPITALARIOS"))))))))))))))))))))))))))))))))))))</f>
        <v>0</v>
      </c>
      <c r="W197" s="44" t="str">
        <f t="shared" si="11"/>
        <v xml:space="preserve">   </v>
      </c>
      <c r="X197" s="44" t="str">
        <f t="shared" si="12"/>
        <v xml:space="preserve">   </v>
      </c>
      <c r="Y197" s="44" t="str">
        <f t="shared" si="13"/>
        <v xml:space="preserve">   --</v>
      </c>
    </row>
    <row r="198" spans="1:25" x14ac:dyDescent="0.2">
      <c r="A198" s="45">
        <v>197</v>
      </c>
      <c r="J198" s="46"/>
      <c r="Q198" s="46"/>
      <c r="U198" s="40"/>
      <c r="V198" s="44" t="b">
        <f>IF(P198=CURSOS!$D$3,"DIPLOMADO EN ATENCION PRE-HOSPITALARIA",IF(P198=CURSOS!$D$4,"ACOMPAÑAMIENTO Y MANEJO DEL DUELO",IF(P198=CURSOS!$D$5,"ATENCION A VICTIMAS DE ATAQUE CON AGENTES QUIMICOS ",IF(P198=CURSOS!$D$6,"PRIMEROS AUXILIOS ",IF(P198=CURSOS!$D$7,"DIPLOMADO DE UNIDAD DE CUIDADOS INTENSIVOS (UCI)",IF(P198=CURSOS!$D$8,"MODELO DE ATENCION PARA EVENTOS EMERGENTES EN SALUD MENTAL (CODIGO VERDE)",IF(P198=CURSOS!$D$9,"HUMANIZACION EN EL SERVICIO DE LA SALUD Y BUENAS PRACTICAS EN PACIENTE ",IF(P198=CURSOS!$D$10,"CLINICA DE HERIDAS ",IF(P198=CURSOS!$D$11,"TOMA DE CITOLOGIA CERVICO VAGINAL ",IF(P198=CURSOS!$D$12,"SOPORTE CARDIOVASCULAR AVANZADO (ACLS) ",IF(P198=CURSOS!$D$13,"CAMILLERO ",IF(P198=CURSOS!$D$14,"TOMA DE MUESTRAS Y LABORATORIO ",IF(P198=CURSOS!$D$15,"SOPORTE VITAL BASICO (BLS)",IF(P198=CURSOS!$D$16,"ATENCION A VICTIMAS DE VIOLENCIA SEXUAL ",IF(P198=CURSOS!$D$17,"PROGRAMADO AMPLIADO DE INMUNIZACION (PAI - COVID 19)",IF(P198=CURSOS!$D$18,"ATENCION INTEGRAL EN ENFERMEDADES PREVALENTES EN PRIMERA INFANCIA (AIEPI)",IF(P198=CURSOS!$D$19,"ADMINISTRACION DE MEDICAMENTOS, INYECTOLOGIA  Y CANALIZACION ",IF(P198=CURSOS!$D$20,"OPERADOR DE VEHICULOS DE EMERGENCIA (OVE)",IF(P198=CURSOS!$D$21,"INSTITUCIONES AMIGAS DE LA MUJER Y LA INFANCIA (IAMI)",IF(P198=CURSOS!$D$22,"CUIDADO DEL DONANTE DE ORGANOS",IF(P198=CURSOS!$D$23,"ATENCION A VICTIMAS POR VIOLENCIA DE GENERO",IF(P198=CURSOS!$D$24,"IGUALDAD DE GENERO EN LA SALUD",IF(P198=CURSOS!$D$25,"BRIGADA DE EMERGENCIA",IF(P198=CURSOS!$D$26,"MANEJO DEL DOLOR Y CUIDADOS PALIATIVOS",IF(P198=CURSOS!$D$27,"TOMA DE MUESTRAS Y LABORATORIO POCT",IF(P198=CURSOS!$D$28,"IMPLANTE SUBDERMICO DE DISPOSITIVO INTRAUTERINO",IF(P198=CURSOS!$D$29,"SALUD MENTAL",IF(P198=CURSOS!$D$30,"PRIMEROS AUXILIOS PSICOLOGICOS",IF(P198=CURSOS!$D$31,"ATENCION A VICTIMAS POR CONFLICTO ARMADO",IF(P198=CURSOS!$D$32,"MANIPULACION DE ALIMENTOS Y BPM",IF(P198=CURSOS!$D$33,"ATENCION A PERSONAS CON DISCAPACIDAD",IF(P198=CURSOS!$D$34,"CUIDADO INTEGRAL DEL PACIENTE ADULTO",IF(P198=CURSOS!$D$35,"MANEJO DEFENSIVO",IF(P198=CURSOS!$D$36,"SOPORTE CARDIOVASCULAR AVANZADO NEONATAL",IF(P198=CURSOS!$D$37,"SEGURIDAD DEL PACIENTE",IF(P198=CURSOS!$D$38,"MANEJO DE RESIDUOS HOSPITALARIOS"))))))))))))))))))))))))))))))))))))</f>
        <v>0</v>
      </c>
      <c r="W198" s="44" t="str">
        <f t="shared" si="11"/>
        <v xml:space="preserve">   </v>
      </c>
      <c r="X198" s="44" t="str">
        <f t="shared" si="12"/>
        <v xml:space="preserve">   </v>
      </c>
      <c r="Y198" s="44" t="str">
        <f t="shared" si="13"/>
        <v xml:space="preserve">   --</v>
      </c>
    </row>
    <row r="199" spans="1:25" x14ac:dyDescent="0.2">
      <c r="A199" s="45">
        <v>198</v>
      </c>
      <c r="J199" s="46"/>
      <c r="Q199" s="46"/>
      <c r="U199" s="40"/>
      <c r="V199" s="44" t="b">
        <f>IF(P199=CURSOS!$D$3,"DIPLOMADO EN ATENCION PRE-HOSPITALARIA",IF(P199=CURSOS!$D$4,"ACOMPAÑAMIENTO Y MANEJO DEL DUELO",IF(P199=CURSOS!$D$5,"ATENCION A VICTIMAS DE ATAQUE CON AGENTES QUIMICOS ",IF(P199=CURSOS!$D$6,"PRIMEROS AUXILIOS ",IF(P199=CURSOS!$D$7,"DIPLOMADO DE UNIDAD DE CUIDADOS INTENSIVOS (UCI)",IF(P199=CURSOS!$D$8,"MODELO DE ATENCION PARA EVENTOS EMERGENTES EN SALUD MENTAL (CODIGO VERDE)",IF(P199=CURSOS!$D$9,"HUMANIZACION EN EL SERVICIO DE LA SALUD Y BUENAS PRACTICAS EN PACIENTE ",IF(P199=CURSOS!$D$10,"CLINICA DE HERIDAS ",IF(P199=CURSOS!$D$11,"TOMA DE CITOLOGIA CERVICO VAGINAL ",IF(P199=CURSOS!$D$12,"SOPORTE CARDIOVASCULAR AVANZADO (ACLS) ",IF(P199=CURSOS!$D$13,"CAMILLERO ",IF(P199=CURSOS!$D$14,"TOMA DE MUESTRAS Y LABORATORIO ",IF(P199=CURSOS!$D$15,"SOPORTE VITAL BASICO (BLS)",IF(P199=CURSOS!$D$16,"ATENCION A VICTIMAS DE VIOLENCIA SEXUAL ",IF(P199=CURSOS!$D$17,"PROGRAMADO AMPLIADO DE INMUNIZACION (PAI - COVID 19)",IF(P199=CURSOS!$D$18,"ATENCION INTEGRAL EN ENFERMEDADES PREVALENTES EN PRIMERA INFANCIA (AIEPI)",IF(P199=CURSOS!$D$19,"ADMINISTRACION DE MEDICAMENTOS, INYECTOLOGIA  Y CANALIZACION ",IF(P199=CURSOS!$D$20,"OPERADOR DE VEHICULOS DE EMERGENCIA (OVE)",IF(P199=CURSOS!$D$21,"INSTITUCIONES AMIGAS DE LA MUJER Y LA INFANCIA (IAMI)",IF(P199=CURSOS!$D$22,"CUIDADO DEL DONANTE DE ORGANOS",IF(P199=CURSOS!$D$23,"ATENCION A VICTIMAS POR VIOLENCIA DE GENERO",IF(P199=CURSOS!$D$24,"IGUALDAD DE GENERO EN LA SALUD",IF(P199=CURSOS!$D$25,"BRIGADA DE EMERGENCIA",IF(P199=CURSOS!$D$26,"MANEJO DEL DOLOR Y CUIDADOS PALIATIVOS",IF(P199=CURSOS!$D$27,"TOMA DE MUESTRAS Y LABORATORIO POCT",IF(P199=CURSOS!$D$28,"IMPLANTE SUBDERMICO DE DISPOSITIVO INTRAUTERINO",IF(P199=CURSOS!$D$29,"SALUD MENTAL",IF(P199=CURSOS!$D$30,"PRIMEROS AUXILIOS PSICOLOGICOS",IF(P199=CURSOS!$D$31,"ATENCION A VICTIMAS POR CONFLICTO ARMADO",IF(P199=CURSOS!$D$32,"MANIPULACION DE ALIMENTOS Y BPM",IF(P199=CURSOS!$D$33,"ATENCION A PERSONAS CON DISCAPACIDAD",IF(P199=CURSOS!$D$34,"CUIDADO INTEGRAL DEL PACIENTE ADULTO",IF(P199=CURSOS!$D$35,"MANEJO DEFENSIVO",IF(P199=CURSOS!$D$36,"SOPORTE CARDIOVASCULAR AVANZADO NEONATAL",IF(P199=CURSOS!$D$37,"SEGURIDAD DEL PACIENTE",IF(P199=CURSOS!$D$38,"MANEJO DE RESIDUOS HOSPITALARIOS"))))))))))))))))))))))))))))))))))))</f>
        <v>0</v>
      </c>
      <c r="W199" s="44" t="str">
        <f t="shared" si="11"/>
        <v xml:space="preserve">   </v>
      </c>
      <c r="X199" s="44" t="str">
        <f t="shared" si="12"/>
        <v xml:space="preserve">   </v>
      </c>
      <c r="Y199" s="44" t="str">
        <f t="shared" si="13"/>
        <v xml:space="preserve">   --</v>
      </c>
    </row>
    <row r="200" spans="1:25" x14ac:dyDescent="0.2">
      <c r="A200" s="45">
        <v>199</v>
      </c>
      <c r="J200" s="46"/>
      <c r="Q200" s="46"/>
      <c r="U200" s="40"/>
      <c r="V200" s="44" t="b">
        <f>IF(P200=CURSOS!$D$3,"DIPLOMADO EN ATENCION PRE-HOSPITALARIA",IF(P200=CURSOS!$D$4,"ACOMPAÑAMIENTO Y MANEJO DEL DUELO",IF(P200=CURSOS!$D$5,"ATENCION A VICTIMAS DE ATAQUE CON AGENTES QUIMICOS ",IF(P200=CURSOS!$D$6,"PRIMEROS AUXILIOS ",IF(P200=CURSOS!$D$7,"DIPLOMADO DE UNIDAD DE CUIDADOS INTENSIVOS (UCI)",IF(P200=CURSOS!$D$8,"MODELO DE ATENCION PARA EVENTOS EMERGENTES EN SALUD MENTAL (CODIGO VERDE)",IF(P200=CURSOS!$D$9,"HUMANIZACION EN EL SERVICIO DE LA SALUD Y BUENAS PRACTICAS EN PACIENTE ",IF(P200=CURSOS!$D$10,"CLINICA DE HERIDAS ",IF(P200=CURSOS!$D$11,"TOMA DE CITOLOGIA CERVICO VAGINAL ",IF(P200=CURSOS!$D$12,"SOPORTE CARDIOVASCULAR AVANZADO (ACLS) ",IF(P200=CURSOS!$D$13,"CAMILLERO ",IF(P200=CURSOS!$D$14,"TOMA DE MUESTRAS Y LABORATORIO ",IF(P200=CURSOS!$D$15,"SOPORTE VITAL BASICO (BLS)",IF(P200=CURSOS!$D$16,"ATENCION A VICTIMAS DE VIOLENCIA SEXUAL ",IF(P200=CURSOS!$D$17,"PROGRAMADO AMPLIADO DE INMUNIZACION (PAI - COVID 19)",IF(P200=CURSOS!$D$18,"ATENCION INTEGRAL EN ENFERMEDADES PREVALENTES EN PRIMERA INFANCIA (AIEPI)",IF(P200=CURSOS!$D$19,"ADMINISTRACION DE MEDICAMENTOS, INYECTOLOGIA  Y CANALIZACION ",IF(P200=CURSOS!$D$20,"OPERADOR DE VEHICULOS DE EMERGENCIA (OVE)",IF(P200=CURSOS!$D$21,"INSTITUCIONES AMIGAS DE LA MUJER Y LA INFANCIA (IAMI)",IF(P200=CURSOS!$D$22,"CUIDADO DEL DONANTE DE ORGANOS",IF(P200=CURSOS!$D$23,"ATENCION A VICTIMAS POR VIOLENCIA DE GENERO",IF(P200=CURSOS!$D$24,"IGUALDAD DE GENERO EN LA SALUD",IF(P200=CURSOS!$D$25,"BRIGADA DE EMERGENCIA",IF(P200=CURSOS!$D$26,"MANEJO DEL DOLOR Y CUIDADOS PALIATIVOS",IF(P200=CURSOS!$D$27,"TOMA DE MUESTRAS Y LABORATORIO POCT",IF(P200=CURSOS!$D$28,"IMPLANTE SUBDERMICO DE DISPOSITIVO INTRAUTERINO",IF(P200=CURSOS!$D$29,"SALUD MENTAL",IF(P200=CURSOS!$D$30,"PRIMEROS AUXILIOS PSICOLOGICOS",IF(P200=CURSOS!$D$31,"ATENCION A VICTIMAS POR CONFLICTO ARMADO",IF(P200=CURSOS!$D$32,"MANIPULACION DE ALIMENTOS Y BPM",IF(P200=CURSOS!$D$33,"ATENCION A PERSONAS CON DISCAPACIDAD",IF(P200=CURSOS!$D$34,"CUIDADO INTEGRAL DEL PACIENTE ADULTO",IF(P200=CURSOS!$D$35,"MANEJO DEFENSIVO",IF(P200=CURSOS!$D$36,"SOPORTE CARDIOVASCULAR AVANZADO NEONATAL",IF(P200=CURSOS!$D$37,"SEGURIDAD DEL PACIENTE",IF(P200=CURSOS!$D$38,"MANEJO DE RESIDUOS HOSPITALARIOS"))))))))))))))))))))))))))))))))))))</f>
        <v>0</v>
      </c>
      <c r="W200" s="44" t="str">
        <f t="shared" si="11"/>
        <v xml:space="preserve">   </v>
      </c>
      <c r="X200" s="44" t="str">
        <f t="shared" si="12"/>
        <v xml:space="preserve">   </v>
      </c>
      <c r="Y200" s="44" t="str">
        <f t="shared" si="13"/>
        <v xml:space="preserve">   --</v>
      </c>
    </row>
    <row r="201" spans="1:25" x14ac:dyDescent="0.2">
      <c r="A201" s="45">
        <v>200</v>
      </c>
      <c r="J201" s="46"/>
      <c r="Q201" s="46"/>
      <c r="U201" s="40"/>
      <c r="V201" s="44" t="b">
        <f>IF(P201=CURSOS!$D$3,"DIPLOMADO EN ATENCION PRE-HOSPITALARIA",IF(P201=CURSOS!$D$4,"ACOMPAÑAMIENTO Y MANEJO DEL DUELO",IF(P201=CURSOS!$D$5,"ATENCION A VICTIMAS DE ATAQUE CON AGENTES QUIMICOS ",IF(P201=CURSOS!$D$6,"PRIMEROS AUXILIOS ",IF(P201=CURSOS!$D$7,"DIPLOMADO DE UNIDAD DE CUIDADOS INTENSIVOS (UCI)",IF(P201=CURSOS!$D$8,"MODELO DE ATENCION PARA EVENTOS EMERGENTES EN SALUD MENTAL (CODIGO VERDE)",IF(P201=CURSOS!$D$9,"HUMANIZACION EN EL SERVICIO DE LA SALUD Y BUENAS PRACTICAS EN PACIENTE ",IF(P201=CURSOS!$D$10,"CLINICA DE HERIDAS ",IF(P201=CURSOS!$D$11,"TOMA DE CITOLOGIA CERVICO VAGINAL ",IF(P201=CURSOS!$D$12,"SOPORTE CARDIOVASCULAR AVANZADO (ACLS) ",IF(P201=CURSOS!$D$13,"CAMILLERO ",IF(P201=CURSOS!$D$14,"TOMA DE MUESTRAS Y LABORATORIO ",IF(P201=CURSOS!$D$15,"SOPORTE VITAL BASICO (BLS)",IF(P201=CURSOS!$D$16,"ATENCION A VICTIMAS DE VIOLENCIA SEXUAL ",IF(P201=CURSOS!$D$17,"PROGRAMADO AMPLIADO DE INMUNIZACION (PAI - COVID 19)",IF(P201=CURSOS!$D$18,"ATENCION INTEGRAL EN ENFERMEDADES PREVALENTES EN PRIMERA INFANCIA (AIEPI)",IF(P201=CURSOS!$D$19,"ADMINISTRACION DE MEDICAMENTOS, INYECTOLOGIA  Y CANALIZACION ",IF(P201=CURSOS!$D$20,"OPERADOR DE VEHICULOS DE EMERGENCIA (OVE)",IF(P201=CURSOS!$D$21,"INSTITUCIONES AMIGAS DE LA MUJER Y LA INFANCIA (IAMI)",IF(P201=CURSOS!$D$22,"CUIDADO DEL DONANTE DE ORGANOS",IF(P201=CURSOS!$D$23,"ATENCION A VICTIMAS POR VIOLENCIA DE GENERO",IF(P201=CURSOS!$D$24,"IGUALDAD DE GENERO EN LA SALUD",IF(P201=CURSOS!$D$25,"BRIGADA DE EMERGENCIA",IF(P201=CURSOS!$D$26,"MANEJO DEL DOLOR Y CUIDADOS PALIATIVOS",IF(P201=CURSOS!$D$27,"TOMA DE MUESTRAS Y LABORATORIO POCT",IF(P201=CURSOS!$D$28,"IMPLANTE SUBDERMICO DE DISPOSITIVO INTRAUTERINO",IF(P201=CURSOS!$D$29,"SALUD MENTAL",IF(P201=CURSOS!$D$30,"PRIMEROS AUXILIOS PSICOLOGICOS",IF(P201=CURSOS!$D$31,"ATENCION A VICTIMAS POR CONFLICTO ARMADO",IF(P201=CURSOS!$D$32,"MANIPULACION DE ALIMENTOS Y BPM",IF(P201=CURSOS!$D$33,"ATENCION A PERSONAS CON DISCAPACIDAD",IF(P201=CURSOS!$D$34,"CUIDADO INTEGRAL DEL PACIENTE ADULTO",IF(P201=CURSOS!$D$35,"MANEJO DEFENSIVO",IF(P201=CURSOS!$D$36,"SOPORTE CARDIOVASCULAR AVANZADO NEONATAL",IF(P201=CURSOS!$D$37,"SEGURIDAD DEL PACIENTE",IF(P201=CURSOS!$D$38,"MANEJO DE RESIDUOS HOSPITALARIOS"))))))))))))))))))))))))))))))))))))</f>
        <v>0</v>
      </c>
      <c r="W201" s="44" t="str">
        <f t="shared" si="11"/>
        <v xml:space="preserve">   </v>
      </c>
      <c r="X201" s="44" t="str">
        <f t="shared" si="12"/>
        <v xml:space="preserve">   </v>
      </c>
      <c r="Y201" s="44" t="str">
        <f t="shared" si="13"/>
        <v xml:space="preserve">   --</v>
      </c>
    </row>
    <row r="202" spans="1:25" x14ac:dyDescent="0.2">
      <c r="A202" s="45">
        <v>201</v>
      </c>
      <c r="J202" s="46"/>
      <c r="Q202" s="46"/>
      <c r="U202" s="40"/>
      <c r="V202" s="44" t="b">
        <f>IF(P202=CURSOS!$D$3,"DIPLOMADO EN ATENCION PRE-HOSPITALARIA",IF(P202=CURSOS!$D$4,"ACOMPAÑAMIENTO Y MANEJO DEL DUELO",IF(P202=CURSOS!$D$5,"ATENCION A VICTIMAS DE ATAQUE CON AGENTES QUIMICOS ",IF(P202=CURSOS!$D$6,"PRIMEROS AUXILIOS ",IF(P202=CURSOS!$D$7,"DIPLOMADO DE UNIDAD DE CUIDADOS INTENSIVOS (UCI)",IF(P202=CURSOS!$D$8,"MODELO DE ATENCION PARA EVENTOS EMERGENTES EN SALUD MENTAL (CODIGO VERDE)",IF(P202=CURSOS!$D$9,"HUMANIZACION EN EL SERVICIO DE LA SALUD Y BUENAS PRACTICAS EN PACIENTE ",IF(P202=CURSOS!$D$10,"CLINICA DE HERIDAS ",IF(P202=CURSOS!$D$11,"TOMA DE CITOLOGIA CERVICO VAGINAL ",IF(P202=CURSOS!$D$12,"SOPORTE CARDIOVASCULAR AVANZADO (ACLS) ",IF(P202=CURSOS!$D$13,"CAMILLERO ",IF(P202=CURSOS!$D$14,"TOMA DE MUESTRAS Y LABORATORIO ",IF(P202=CURSOS!$D$15,"SOPORTE VITAL BASICO (BLS)",IF(P202=CURSOS!$D$16,"ATENCION A VICTIMAS DE VIOLENCIA SEXUAL ",IF(P202=CURSOS!$D$17,"PROGRAMADO AMPLIADO DE INMUNIZACION (PAI - COVID 19)",IF(P202=CURSOS!$D$18,"ATENCION INTEGRAL EN ENFERMEDADES PREVALENTES EN PRIMERA INFANCIA (AIEPI)",IF(P202=CURSOS!$D$19,"ADMINISTRACION DE MEDICAMENTOS, INYECTOLOGIA  Y CANALIZACION ",IF(P202=CURSOS!$D$20,"OPERADOR DE VEHICULOS DE EMERGENCIA (OVE)",IF(P202=CURSOS!$D$21,"INSTITUCIONES AMIGAS DE LA MUJER Y LA INFANCIA (IAMI)",IF(P202=CURSOS!$D$22,"CUIDADO DEL DONANTE DE ORGANOS",IF(P202=CURSOS!$D$23,"ATENCION A VICTIMAS POR VIOLENCIA DE GENERO",IF(P202=CURSOS!$D$24,"IGUALDAD DE GENERO EN LA SALUD",IF(P202=CURSOS!$D$25,"BRIGADA DE EMERGENCIA",IF(P202=CURSOS!$D$26,"MANEJO DEL DOLOR Y CUIDADOS PALIATIVOS",IF(P202=CURSOS!$D$27,"TOMA DE MUESTRAS Y LABORATORIO POCT",IF(P202=CURSOS!$D$28,"IMPLANTE SUBDERMICO DE DISPOSITIVO INTRAUTERINO",IF(P202=CURSOS!$D$29,"SALUD MENTAL",IF(P202=CURSOS!$D$30,"PRIMEROS AUXILIOS PSICOLOGICOS",IF(P202=CURSOS!$D$31,"ATENCION A VICTIMAS POR CONFLICTO ARMADO",IF(P202=CURSOS!$D$32,"MANIPULACION DE ALIMENTOS Y BPM",IF(P202=CURSOS!$D$33,"ATENCION A PERSONAS CON DISCAPACIDAD",IF(P202=CURSOS!$D$34,"CUIDADO INTEGRAL DEL PACIENTE ADULTO",IF(P202=CURSOS!$D$35,"MANEJO DEFENSIVO",IF(P202=CURSOS!$D$36,"SOPORTE CARDIOVASCULAR AVANZADO NEONATAL",IF(P202=CURSOS!$D$37,"SEGURIDAD DEL PACIENTE",IF(P202=CURSOS!$D$38,"MANEJO DE RESIDUOS HOSPITALARIOS"))))))))))))))))))))))))))))))))))))</f>
        <v>0</v>
      </c>
      <c r="W202" s="44" t="str">
        <f t="shared" si="11"/>
        <v xml:space="preserve">   </v>
      </c>
      <c r="X202" s="44" t="str">
        <f t="shared" si="12"/>
        <v xml:space="preserve">   </v>
      </c>
      <c r="Y202" s="44" t="str">
        <f t="shared" si="13"/>
        <v xml:space="preserve">   --</v>
      </c>
    </row>
    <row r="203" spans="1:25" x14ac:dyDescent="0.2">
      <c r="A203" s="45">
        <v>202</v>
      </c>
      <c r="J203" s="46"/>
      <c r="Q203" s="46"/>
      <c r="U203" s="40"/>
      <c r="V203" s="44" t="b">
        <f>IF(P203=CURSOS!$D$3,"DIPLOMADO EN ATENCION PRE-HOSPITALARIA",IF(P203=CURSOS!$D$4,"ACOMPAÑAMIENTO Y MANEJO DEL DUELO",IF(P203=CURSOS!$D$5,"ATENCION A VICTIMAS DE ATAQUE CON AGENTES QUIMICOS ",IF(P203=CURSOS!$D$6,"PRIMEROS AUXILIOS ",IF(P203=CURSOS!$D$7,"DIPLOMADO DE UNIDAD DE CUIDADOS INTENSIVOS (UCI)",IF(P203=CURSOS!$D$8,"MODELO DE ATENCION PARA EVENTOS EMERGENTES EN SALUD MENTAL (CODIGO VERDE)",IF(P203=CURSOS!$D$9,"HUMANIZACION EN EL SERVICIO DE LA SALUD Y BUENAS PRACTICAS EN PACIENTE ",IF(P203=CURSOS!$D$10,"CLINICA DE HERIDAS ",IF(P203=CURSOS!$D$11,"TOMA DE CITOLOGIA CERVICO VAGINAL ",IF(P203=CURSOS!$D$12,"SOPORTE CARDIOVASCULAR AVANZADO (ACLS) ",IF(P203=CURSOS!$D$13,"CAMILLERO ",IF(P203=CURSOS!$D$14,"TOMA DE MUESTRAS Y LABORATORIO ",IF(P203=CURSOS!$D$15,"SOPORTE VITAL BASICO (BLS)",IF(P203=CURSOS!$D$16,"ATENCION A VICTIMAS DE VIOLENCIA SEXUAL ",IF(P203=CURSOS!$D$17,"PROGRAMADO AMPLIADO DE INMUNIZACION (PAI - COVID 19)",IF(P203=CURSOS!$D$18,"ATENCION INTEGRAL EN ENFERMEDADES PREVALENTES EN PRIMERA INFANCIA (AIEPI)",IF(P203=CURSOS!$D$19,"ADMINISTRACION DE MEDICAMENTOS, INYECTOLOGIA  Y CANALIZACION ",IF(P203=CURSOS!$D$20,"OPERADOR DE VEHICULOS DE EMERGENCIA (OVE)",IF(P203=CURSOS!$D$21,"INSTITUCIONES AMIGAS DE LA MUJER Y LA INFANCIA (IAMI)",IF(P203=CURSOS!$D$22,"CUIDADO DEL DONANTE DE ORGANOS",IF(P203=CURSOS!$D$23,"ATENCION A VICTIMAS POR VIOLENCIA DE GENERO",IF(P203=CURSOS!$D$24,"IGUALDAD DE GENERO EN LA SALUD",IF(P203=CURSOS!$D$25,"BRIGADA DE EMERGENCIA",IF(P203=CURSOS!$D$26,"MANEJO DEL DOLOR Y CUIDADOS PALIATIVOS",IF(P203=CURSOS!$D$27,"TOMA DE MUESTRAS Y LABORATORIO POCT",IF(P203=CURSOS!$D$28,"IMPLANTE SUBDERMICO DE DISPOSITIVO INTRAUTERINO",IF(P203=CURSOS!$D$29,"SALUD MENTAL",IF(P203=CURSOS!$D$30,"PRIMEROS AUXILIOS PSICOLOGICOS",IF(P203=CURSOS!$D$31,"ATENCION A VICTIMAS POR CONFLICTO ARMADO",IF(P203=CURSOS!$D$32,"MANIPULACION DE ALIMENTOS Y BPM",IF(P203=CURSOS!$D$33,"ATENCION A PERSONAS CON DISCAPACIDAD",IF(P203=CURSOS!$D$34,"CUIDADO INTEGRAL DEL PACIENTE ADULTO",IF(P203=CURSOS!$D$35,"MANEJO DEFENSIVO",IF(P203=CURSOS!$D$36,"SOPORTE CARDIOVASCULAR AVANZADO NEONATAL",IF(P203=CURSOS!$D$37,"SEGURIDAD DEL PACIENTE",IF(P203=CURSOS!$D$38,"MANEJO DE RESIDUOS HOSPITALARIOS"))))))))))))))))))))))))))))))))))))</f>
        <v>0</v>
      </c>
      <c r="W203" s="44" t="str">
        <f t="shared" si="11"/>
        <v xml:space="preserve">   </v>
      </c>
      <c r="X203" s="44" t="str">
        <f t="shared" si="12"/>
        <v xml:space="preserve">   </v>
      </c>
      <c r="Y203" s="44" t="str">
        <f t="shared" si="13"/>
        <v xml:space="preserve">   --</v>
      </c>
    </row>
    <row r="204" spans="1:25" x14ac:dyDescent="0.2">
      <c r="A204" s="45">
        <v>203</v>
      </c>
      <c r="J204" s="46"/>
      <c r="Q204" s="46"/>
      <c r="T204" s="47"/>
      <c r="U204" s="40"/>
      <c r="V204" s="44" t="b">
        <f>IF(P204=CURSOS!$D$3,"DIPLOMADO EN ATENCION PRE-HOSPITALARIA",IF(P204=CURSOS!$D$4,"ACOMPAÑAMIENTO Y MANEJO DEL DUELO",IF(P204=CURSOS!$D$5,"ATENCION A VICTIMAS DE ATAQUE CON AGENTES QUIMICOS ",IF(P204=CURSOS!$D$6,"PRIMEROS AUXILIOS ",IF(P204=CURSOS!$D$7,"DIPLOMADO DE UNIDAD DE CUIDADOS INTENSIVOS (UCI)",IF(P204=CURSOS!$D$8,"MODELO DE ATENCION PARA EVENTOS EMERGENTES EN SALUD MENTAL (CODIGO VERDE)",IF(P204=CURSOS!$D$9,"HUMANIZACION EN EL SERVICIO DE LA SALUD Y BUENAS PRACTICAS EN PACIENTE ",IF(P204=CURSOS!$D$10,"CLINICA DE HERIDAS ",IF(P204=CURSOS!$D$11,"TOMA DE CITOLOGIA CERVICO VAGINAL ",IF(P204=CURSOS!$D$12,"SOPORTE CARDIOVASCULAR AVANZADO (ACLS) ",IF(P204=CURSOS!$D$13,"CAMILLERO ",IF(P204=CURSOS!$D$14,"TOMA DE MUESTRAS Y LABORATORIO ",IF(P204=CURSOS!$D$15,"SOPORTE VITAL BASICO (BLS)",IF(P204=CURSOS!$D$16,"ATENCION A VICTIMAS DE VIOLENCIA SEXUAL ",IF(P204=CURSOS!$D$17,"PROGRAMADO AMPLIADO DE INMUNIZACION (PAI - COVID 19)",IF(P204=CURSOS!$D$18,"ATENCION INTEGRAL EN ENFERMEDADES PREVALENTES EN PRIMERA INFANCIA (AIEPI)",IF(P204=CURSOS!$D$19,"ADMINISTRACION DE MEDICAMENTOS, INYECTOLOGIA  Y CANALIZACION ",IF(P204=CURSOS!$D$20,"OPERADOR DE VEHICULOS DE EMERGENCIA (OVE)",IF(P204=CURSOS!$D$21,"INSTITUCIONES AMIGAS DE LA MUJER Y LA INFANCIA (IAMI)",IF(P204=CURSOS!$D$22,"CUIDADO DEL DONANTE DE ORGANOS",IF(P204=CURSOS!$D$23,"ATENCION A VICTIMAS POR VIOLENCIA DE GENERO",IF(P204=CURSOS!$D$24,"IGUALDAD DE GENERO EN LA SALUD",IF(P204=CURSOS!$D$25,"BRIGADA DE EMERGENCIA",IF(P204=CURSOS!$D$26,"MANEJO DEL DOLOR Y CUIDADOS PALIATIVOS",IF(P204=CURSOS!$D$27,"TOMA DE MUESTRAS Y LABORATORIO POCT",IF(P204=CURSOS!$D$28,"IMPLANTE SUBDERMICO DE DISPOSITIVO INTRAUTERINO",IF(P204=CURSOS!$D$29,"SALUD MENTAL",IF(P204=CURSOS!$D$30,"PRIMEROS AUXILIOS PSICOLOGICOS",IF(P204=CURSOS!$D$31,"ATENCION A VICTIMAS POR CONFLICTO ARMADO",IF(P204=CURSOS!$D$32,"MANIPULACION DE ALIMENTOS Y BPM",IF(P204=CURSOS!$D$33,"ATENCION A PERSONAS CON DISCAPACIDAD",IF(P204=CURSOS!$D$34,"CUIDADO INTEGRAL DEL PACIENTE ADULTO",IF(P204=CURSOS!$D$35,"MANEJO DEFENSIVO",IF(P204=CURSOS!$D$36,"SOPORTE CARDIOVASCULAR AVANZADO NEONATAL",IF(P204=CURSOS!$D$37,"SEGURIDAD DEL PACIENTE",IF(P204=CURSOS!$D$38,"MANEJO DE RESIDUOS HOSPITALARIOS"))))))))))))))))))))))))))))))))))))</f>
        <v>0</v>
      </c>
      <c r="W204" s="44" t="str">
        <f t="shared" si="11"/>
        <v xml:space="preserve">   </v>
      </c>
      <c r="X204" s="44" t="str">
        <f t="shared" si="12"/>
        <v xml:space="preserve">   </v>
      </c>
      <c r="Y204" s="44" t="str">
        <f t="shared" si="13"/>
        <v xml:space="preserve">   --</v>
      </c>
    </row>
    <row r="205" spans="1:25" x14ac:dyDescent="0.2">
      <c r="A205" s="45">
        <v>204</v>
      </c>
      <c r="J205" s="46"/>
      <c r="Q205" s="46"/>
      <c r="T205" s="47"/>
      <c r="U205" s="40"/>
      <c r="V205" s="44" t="b">
        <f>IF(P205=CURSOS!$D$3,"DIPLOMADO EN ATENCION PRE-HOSPITALARIA",IF(P205=CURSOS!$D$4,"ACOMPAÑAMIENTO Y MANEJO DEL DUELO",IF(P205=CURSOS!$D$5,"ATENCION A VICTIMAS DE ATAQUE CON AGENTES QUIMICOS ",IF(P205=CURSOS!$D$6,"PRIMEROS AUXILIOS ",IF(P205=CURSOS!$D$7,"DIPLOMADO DE UNIDAD DE CUIDADOS INTENSIVOS (UCI)",IF(P205=CURSOS!$D$8,"MODELO DE ATENCION PARA EVENTOS EMERGENTES EN SALUD MENTAL (CODIGO VERDE)",IF(P205=CURSOS!$D$9,"HUMANIZACION EN EL SERVICIO DE LA SALUD Y BUENAS PRACTICAS EN PACIENTE ",IF(P205=CURSOS!$D$10,"CLINICA DE HERIDAS ",IF(P205=CURSOS!$D$11,"TOMA DE CITOLOGIA CERVICO VAGINAL ",IF(P205=CURSOS!$D$12,"SOPORTE CARDIOVASCULAR AVANZADO (ACLS) ",IF(P205=CURSOS!$D$13,"CAMILLERO ",IF(P205=CURSOS!$D$14,"TOMA DE MUESTRAS Y LABORATORIO ",IF(P205=CURSOS!$D$15,"SOPORTE VITAL BASICO (BLS)",IF(P205=CURSOS!$D$16,"ATENCION A VICTIMAS DE VIOLENCIA SEXUAL ",IF(P205=CURSOS!$D$17,"PROGRAMADO AMPLIADO DE INMUNIZACION (PAI - COVID 19)",IF(P205=CURSOS!$D$18,"ATENCION INTEGRAL EN ENFERMEDADES PREVALENTES EN PRIMERA INFANCIA (AIEPI)",IF(P205=CURSOS!$D$19,"ADMINISTRACION DE MEDICAMENTOS, INYECTOLOGIA  Y CANALIZACION ",IF(P205=CURSOS!$D$20,"OPERADOR DE VEHICULOS DE EMERGENCIA (OVE)",IF(P205=CURSOS!$D$21,"INSTITUCIONES AMIGAS DE LA MUJER Y LA INFANCIA (IAMI)",IF(P205=CURSOS!$D$22,"CUIDADO DEL DONANTE DE ORGANOS",IF(P205=CURSOS!$D$23,"ATENCION A VICTIMAS POR VIOLENCIA DE GENERO",IF(P205=CURSOS!$D$24,"IGUALDAD DE GENERO EN LA SALUD",IF(P205=CURSOS!$D$25,"BRIGADA DE EMERGENCIA",IF(P205=CURSOS!$D$26,"MANEJO DEL DOLOR Y CUIDADOS PALIATIVOS",IF(P205=CURSOS!$D$27,"TOMA DE MUESTRAS Y LABORATORIO POCT",IF(P205=CURSOS!$D$28,"IMPLANTE SUBDERMICO DE DISPOSITIVO INTRAUTERINO",IF(P205=CURSOS!$D$29,"SALUD MENTAL",IF(P205=CURSOS!$D$30,"PRIMEROS AUXILIOS PSICOLOGICOS",IF(P205=CURSOS!$D$31,"ATENCION A VICTIMAS POR CONFLICTO ARMADO",IF(P205=CURSOS!$D$32,"MANIPULACION DE ALIMENTOS Y BPM",IF(P205=CURSOS!$D$33,"ATENCION A PERSONAS CON DISCAPACIDAD",IF(P205=CURSOS!$D$34,"CUIDADO INTEGRAL DEL PACIENTE ADULTO",IF(P205=CURSOS!$D$35,"MANEJO DEFENSIVO",IF(P205=CURSOS!$D$36,"SOPORTE CARDIOVASCULAR AVANZADO NEONATAL",IF(P205=CURSOS!$D$37,"SEGURIDAD DEL PACIENTE",IF(P205=CURSOS!$D$38,"MANEJO DE RESIDUOS HOSPITALARIOS"))))))))))))))))))))))))))))))))))))</f>
        <v>0</v>
      </c>
      <c r="W205" s="44" t="str">
        <f t="shared" si="11"/>
        <v xml:space="preserve">   </v>
      </c>
      <c r="X205" s="44" t="str">
        <f t="shared" si="12"/>
        <v xml:space="preserve">   </v>
      </c>
      <c r="Y205" s="44" t="str">
        <f t="shared" si="13"/>
        <v xml:space="preserve">   --</v>
      </c>
    </row>
    <row r="206" spans="1:25" x14ac:dyDescent="0.2">
      <c r="A206" s="45">
        <v>205</v>
      </c>
      <c r="J206" s="49"/>
      <c r="Q206" s="46"/>
      <c r="U206" s="40"/>
      <c r="V206" s="44" t="b">
        <f>IF(P206=CURSOS!$D$3,"DIPLOMADO EN ATENCION PRE-HOSPITALARIA",IF(P206=CURSOS!$D$4,"ACOMPAÑAMIENTO Y MANEJO DEL DUELO",IF(P206=CURSOS!$D$5,"ATENCION A VICTIMAS DE ATAQUE CON AGENTES QUIMICOS ",IF(P206=CURSOS!$D$6,"PRIMEROS AUXILIOS ",IF(P206=CURSOS!$D$7,"DIPLOMADO DE UNIDAD DE CUIDADOS INTENSIVOS (UCI)",IF(P206=CURSOS!$D$8,"MODELO DE ATENCION PARA EVENTOS EMERGENTES EN SALUD MENTAL (CODIGO VERDE)",IF(P206=CURSOS!$D$9,"HUMANIZACION EN EL SERVICIO DE LA SALUD Y BUENAS PRACTICAS EN PACIENTE ",IF(P206=CURSOS!$D$10,"CLINICA DE HERIDAS ",IF(P206=CURSOS!$D$11,"TOMA DE CITOLOGIA CERVICO VAGINAL ",IF(P206=CURSOS!$D$12,"SOPORTE CARDIOVASCULAR AVANZADO (ACLS) ",IF(P206=CURSOS!$D$13,"CAMILLERO ",IF(P206=CURSOS!$D$14,"TOMA DE MUESTRAS Y LABORATORIO ",IF(P206=CURSOS!$D$15,"SOPORTE VITAL BASICO (BLS)",IF(P206=CURSOS!$D$16,"ATENCION A VICTIMAS DE VIOLENCIA SEXUAL ",IF(P206=CURSOS!$D$17,"PROGRAMADO AMPLIADO DE INMUNIZACION (PAI - COVID 19)",IF(P206=CURSOS!$D$18,"ATENCION INTEGRAL EN ENFERMEDADES PREVALENTES EN PRIMERA INFANCIA (AIEPI)",IF(P206=CURSOS!$D$19,"ADMINISTRACION DE MEDICAMENTOS, INYECTOLOGIA  Y CANALIZACION ",IF(P206=CURSOS!$D$20,"OPERADOR DE VEHICULOS DE EMERGENCIA (OVE)",IF(P206=CURSOS!$D$21,"INSTITUCIONES AMIGAS DE LA MUJER Y LA INFANCIA (IAMI)",IF(P206=CURSOS!$D$22,"CUIDADO DEL DONANTE DE ORGANOS",IF(P206=CURSOS!$D$23,"ATENCION A VICTIMAS POR VIOLENCIA DE GENERO",IF(P206=CURSOS!$D$24,"IGUALDAD DE GENERO EN LA SALUD",IF(P206=CURSOS!$D$25,"BRIGADA DE EMERGENCIA",IF(P206=CURSOS!$D$26,"MANEJO DEL DOLOR Y CUIDADOS PALIATIVOS",IF(P206=CURSOS!$D$27,"TOMA DE MUESTRAS Y LABORATORIO POCT",IF(P206=CURSOS!$D$28,"IMPLANTE SUBDERMICO DE DISPOSITIVO INTRAUTERINO",IF(P206=CURSOS!$D$29,"SALUD MENTAL",IF(P206=CURSOS!$D$30,"PRIMEROS AUXILIOS PSICOLOGICOS",IF(P206=CURSOS!$D$31,"ATENCION A VICTIMAS POR CONFLICTO ARMADO",IF(P206=CURSOS!$D$32,"MANIPULACION DE ALIMENTOS Y BPM",IF(P206=CURSOS!$D$33,"ATENCION A PERSONAS CON DISCAPACIDAD",IF(P206=CURSOS!$D$34,"CUIDADO INTEGRAL DEL PACIENTE ADULTO",IF(P206=CURSOS!$D$35,"MANEJO DEFENSIVO",IF(P206=CURSOS!$D$36,"SOPORTE CARDIOVASCULAR AVANZADO NEONATAL",IF(P206=CURSOS!$D$37,"SEGURIDAD DEL PACIENTE",IF(P206=CURSOS!$D$38,"MANEJO DE RESIDUOS HOSPITALARIOS"))))))))))))))))))))))))))))))))))))</f>
        <v>0</v>
      </c>
      <c r="W206" s="44" t="str">
        <f t="shared" si="11"/>
        <v xml:space="preserve">   </v>
      </c>
      <c r="X206" s="44" t="str">
        <f t="shared" si="12"/>
        <v xml:space="preserve">   </v>
      </c>
      <c r="Y206" s="44" t="str">
        <f t="shared" si="13"/>
        <v xml:space="preserve">   --</v>
      </c>
    </row>
    <row r="207" spans="1:25" x14ac:dyDescent="0.2">
      <c r="A207" s="45">
        <v>206</v>
      </c>
      <c r="J207" s="49"/>
      <c r="Q207" s="46"/>
      <c r="U207" s="40"/>
      <c r="V207" s="44" t="b">
        <f>IF(P207=CURSOS!$D$3,"DIPLOMADO EN ATENCION PRE-HOSPITALARIA",IF(P207=CURSOS!$D$4,"ACOMPAÑAMIENTO Y MANEJO DEL DUELO",IF(P207=CURSOS!$D$5,"ATENCION A VICTIMAS DE ATAQUE CON AGENTES QUIMICOS ",IF(P207=CURSOS!$D$6,"PRIMEROS AUXILIOS ",IF(P207=CURSOS!$D$7,"DIPLOMADO DE UNIDAD DE CUIDADOS INTENSIVOS (UCI)",IF(P207=CURSOS!$D$8,"MODELO DE ATENCION PARA EVENTOS EMERGENTES EN SALUD MENTAL (CODIGO VERDE)",IF(P207=CURSOS!$D$9,"HUMANIZACION EN EL SERVICIO DE LA SALUD Y BUENAS PRACTICAS EN PACIENTE ",IF(P207=CURSOS!$D$10,"CLINICA DE HERIDAS ",IF(P207=CURSOS!$D$11,"TOMA DE CITOLOGIA CERVICO VAGINAL ",IF(P207=CURSOS!$D$12,"SOPORTE CARDIOVASCULAR AVANZADO (ACLS) ",IF(P207=CURSOS!$D$13,"CAMILLERO ",IF(P207=CURSOS!$D$14,"TOMA DE MUESTRAS Y LABORATORIO ",IF(P207=CURSOS!$D$15,"SOPORTE VITAL BASICO (BLS)",IF(P207=CURSOS!$D$16,"ATENCION A VICTIMAS DE VIOLENCIA SEXUAL ",IF(P207=CURSOS!$D$17,"PROGRAMADO AMPLIADO DE INMUNIZACION (PAI - COVID 19)",IF(P207=CURSOS!$D$18,"ATENCION INTEGRAL EN ENFERMEDADES PREVALENTES EN PRIMERA INFANCIA (AIEPI)",IF(P207=CURSOS!$D$19,"ADMINISTRACION DE MEDICAMENTOS, INYECTOLOGIA  Y CANALIZACION ",IF(P207=CURSOS!$D$20,"OPERADOR DE VEHICULOS DE EMERGENCIA (OVE)",IF(P207=CURSOS!$D$21,"INSTITUCIONES AMIGAS DE LA MUJER Y LA INFANCIA (IAMI)",IF(P207=CURSOS!$D$22,"CUIDADO DEL DONANTE DE ORGANOS",IF(P207=CURSOS!$D$23,"ATENCION A VICTIMAS POR VIOLENCIA DE GENERO",IF(P207=CURSOS!$D$24,"IGUALDAD DE GENERO EN LA SALUD",IF(P207=CURSOS!$D$25,"BRIGADA DE EMERGENCIA",IF(P207=CURSOS!$D$26,"MANEJO DEL DOLOR Y CUIDADOS PALIATIVOS",IF(P207=CURSOS!$D$27,"TOMA DE MUESTRAS Y LABORATORIO POCT",IF(P207=CURSOS!$D$28,"IMPLANTE SUBDERMICO DE DISPOSITIVO INTRAUTERINO",IF(P207=CURSOS!$D$29,"SALUD MENTAL",IF(P207=CURSOS!$D$30,"PRIMEROS AUXILIOS PSICOLOGICOS",IF(P207=CURSOS!$D$31,"ATENCION A VICTIMAS POR CONFLICTO ARMADO",IF(P207=CURSOS!$D$32,"MANIPULACION DE ALIMENTOS Y BPM",IF(P207=CURSOS!$D$33,"ATENCION A PERSONAS CON DISCAPACIDAD",IF(P207=CURSOS!$D$34,"CUIDADO INTEGRAL DEL PACIENTE ADULTO",IF(P207=CURSOS!$D$35,"MANEJO DEFENSIVO",IF(P207=CURSOS!$D$36,"SOPORTE CARDIOVASCULAR AVANZADO NEONATAL",IF(P207=CURSOS!$D$37,"SEGURIDAD DEL PACIENTE",IF(P207=CURSOS!$D$38,"MANEJO DE RESIDUOS HOSPITALARIOS"))))))))))))))))))))))))))))))))))))</f>
        <v>0</v>
      </c>
      <c r="W207" s="44" t="str">
        <f t="shared" si="11"/>
        <v xml:space="preserve">   </v>
      </c>
      <c r="X207" s="44" t="str">
        <f t="shared" si="12"/>
        <v xml:space="preserve">   </v>
      </c>
      <c r="Y207" s="44" t="str">
        <f t="shared" si="13"/>
        <v xml:space="preserve">   --</v>
      </c>
    </row>
    <row r="208" spans="1:25" x14ac:dyDescent="0.2">
      <c r="A208" s="45">
        <v>207</v>
      </c>
      <c r="J208" s="49"/>
      <c r="Q208" s="46"/>
      <c r="U208" s="40"/>
      <c r="V208" s="44" t="b">
        <f>IF(P208=CURSOS!$D$3,"DIPLOMADO EN ATENCION PRE-HOSPITALARIA",IF(P208=CURSOS!$D$4,"ACOMPAÑAMIENTO Y MANEJO DEL DUELO",IF(P208=CURSOS!$D$5,"ATENCION A VICTIMAS DE ATAQUE CON AGENTES QUIMICOS ",IF(P208=CURSOS!$D$6,"PRIMEROS AUXILIOS ",IF(P208=CURSOS!$D$7,"DIPLOMADO DE UNIDAD DE CUIDADOS INTENSIVOS (UCI)",IF(P208=CURSOS!$D$8,"MODELO DE ATENCION PARA EVENTOS EMERGENTES EN SALUD MENTAL (CODIGO VERDE)",IF(P208=CURSOS!$D$9,"HUMANIZACION EN EL SERVICIO DE LA SALUD Y BUENAS PRACTICAS EN PACIENTE ",IF(P208=CURSOS!$D$10,"CLINICA DE HERIDAS ",IF(P208=CURSOS!$D$11,"TOMA DE CITOLOGIA CERVICO VAGINAL ",IF(P208=CURSOS!$D$12,"SOPORTE CARDIOVASCULAR AVANZADO (ACLS) ",IF(P208=CURSOS!$D$13,"CAMILLERO ",IF(P208=CURSOS!$D$14,"TOMA DE MUESTRAS Y LABORATORIO ",IF(P208=CURSOS!$D$15,"SOPORTE VITAL BASICO (BLS)",IF(P208=CURSOS!$D$16,"ATENCION A VICTIMAS DE VIOLENCIA SEXUAL ",IF(P208=CURSOS!$D$17,"PROGRAMADO AMPLIADO DE INMUNIZACION (PAI - COVID 19)",IF(P208=CURSOS!$D$18,"ATENCION INTEGRAL EN ENFERMEDADES PREVALENTES EN PRIMERA INFANCIA (AIEPI)",IF(P208=CURSOS!$D$19,"ADMINISTRACION DE MEDICAMENTOS, INYECTOLOGIA  Y CANALIZACION ",IF(P208=CURSOS!$D$20,"OPERADOR DE VEHICULOS DE EMERGENCIA (OVE)",IF(P208=CURSOS!$D$21,"INSTITUCIONES AMIGAS DE LA MUJER Y LA INFANCIA (IAMI)",IF(P208=CURSOS!$D$22,"CUIDADO DEL DONANTE DE ORGANOS",IF(P208=CURSOS!$D$23,"ATENCION A VICTIMAS POR VIOLENCIA DE GENERO",IF(P208=CURSOS!$D$24,"IGUALDAD DE GENERO EN LA SALUD",IF(P208=CURSOS!$D$25,"BRIGADA DE EMERGENCIA",IF(P208=CURSOS!$D$26,"MANEJO DEL DOLOR Y CUIDADOS PALIATIVOS",IF(P208=CURSOS!$D$27,"TOMA DE MUESTRAS Y LABORATORIO POCT",IF(P208=CURSOS!$D$28,"IMPLANTE SUBDERMICO DE DISPOSITIVO INTRAUTERINO",IF(P208=CURSOS!$D$29,"SALUD MENTAL",IF(P208=CURSOS!$D$30,"PRIMEROS AUXILIOS PSICOLOGICOS",IF(P208=CURSOS!$D$31,"ATENCION A VICTIMAS POR CONFLICTO ARMADO",IF(P208=CURSOS!$D$32,"MANIPULACION DE ALIMENTOS Y BPM",IF(P208=CURSOS!$D$33,"ATENCION A PERSONAS CON DISCAPACIDAD",IF(P208=CURSOS!$D$34,"CUIDADO INTEGRAL DEL PACIENTE ADULTO",IF(P208=CURSOS!$D$35,"MANEJO DEFENSIVO",IF(P208=CURSOS!$D$36,"SOPORTE CARDIOVASCULAR AVANZADO NEONATAL",IF(P208=CURSOS!$D$37,"SEGURIDAD DEL PACIENTE",IF(P208=CURSOS!$D$38,"MANEJO DE RESIDUOS HOSPITALARIOS"))))))))))))))))))))))))))))))))))))</f>
        <v>0</v>
      </c>
      <c r="W208" s="44" t="str">
        <f t="shared" si="11"/>
        <v xml:space="preserve">   </v>
      </c>
      <c r="X208" s="44" t="str">
        <f t="shared" si="12"/>
        <v xml:space="preserve">   </v>
      </c>
      <c r="Y208" s="44" t="str">
        <f t="shared" si="13"/>
        <v xml:space="preserve">   --</v>
      </c>
    </row>
    <row r="209" spans="1:25" x14ac:dyDescent="0.2">
      <c r="A209" s="45">
        <v>208</v>
      </c>
      <c r="J209" s="46"/>
      <c r="Q209" s="46"/>
      <c r="U209" s="40"/>
      <c r="V209" s="44" t="b">
        <f>IF(P209=CURSOS!$D$3,"DIPLOMADO EN ATENCION PRE-HOSPITALARIA",IF(P209=CURSOS!$D$4,"ACOMPAÑAMIENTO Y MANEJO DEL DUELO",IF(P209=CURSOS!$D$5,"ATENCION A VICTIMAS DE ATAQUE CON AGENTES QUIMICOS ",IF(P209=CURSOS!$D$6,"PRIMEROS AUXILIOS ",IF(P209=CURSOS!$D$7,"DIPLOMADO DE UNIDAD DE CUIDADOS INTENSIVOS (UCI)",IF(P209=CURSOS!$D$8,"MODELO DE ATENCION PARA EVENTOS EMERGENTES EN SALUD MENTAL (CODIGO VERDE)",IF(P209=CURSOS!$D$9,"HUMANIZACION EN EL SERVICIO DE LA SALUD Y BUENAS PRACTICAS EN PACIENTE ",IF(P209=CURSOS!$D$10,"CLINICA DE HERIDAS ",IF(P209=CURSOS!$D$11,"TOMA DE CITOLOGIA CERVICO VAGINAL ",IF(P209=CURSOS!$D$12,"SOPORTE CARDIOVASCULAR AVANZADO (ACLS) ",IF(P209=CURSOS!$D$13,"CAMILLERO ",IF(P209=CURSOS!$D$14,"TOMA DE MUESTRAS Y LABORATORIO ",IF(P209=CURSOS!$D$15,"SOPORTE VITAL BASICO (BLS)",IF(P209=CURSOS!$D$16,"ATENCION A VICTIMAS DE VIOLENCIA SEXUAL ",IF(P209=CURSOS!$D$17,"PROGRAMADO AMPLIADO DE INMUNIZACION (PAI - COVID 19)",IF(P209=CURSOS!$D$18,"ATENCION INTEGRAL EN ENFERMEDADES PREVALENTES EN PRIMERA INFANCIA (AIEPI)",IF(P209=CURSOS!$D$19,"ADMINISTRACION DE MEDICAMENTOS, INYECTOLOGIA  Y CANALIZACION ",IF(P209=CURSOS!$D$20,"OPERADOR DE VEHICULOS DE EMERGENCIA (OVE)",IF(P209=CURSOS!$D$21,"INSTITUCIONES AMIGAS DE LA MUJER Y LA INFANCIA (IAMI)",IF(P209=CURSOS!$D$22,"CUIDADO DEL DONANTE DE ORGANOS",IF(P209=CURSOS!$D$23,"ATENCION A VICTIMAS POR VIOLENCIA DE GENERO",IF(P209=CURSOS!$D$24,"IGUALDAD DE GENERO EN LA SALUD",IF(P209=CURSOS!$D$25,"BRIGADA DE EMERGENCIA",IF(P209=CURSOS!$D$26,"MANEJO DEL DOLOR Y CUIDADOS PALIATIVOS",IF(P209=CURSOS!$D$27,"TOMA DE MUESTRAS Y LABORATORIO POCT",IF(P209=CURSOS!$D$28,"IMPLANTE SUBDERMICO DE DISPOSITIVO INTRAUTERINO",IF(P209=CURSOS!$D$29,"SALUD MENTAL",IF(P209=CURSOS!$D$30,"PRIMEROS AUXILIOS PSICOLOGICOS",IF(P209=CURSOS!$D$31,"ATENCION A VICTIMAS POR CONFLICTO ARMADO",IF(P209=CURSOS!$D$32,"MANIPULACION DE ALIMENTOS Y BPM",IF(P209=CURSOS!$D$33,"ATENCION A PERSONAS CON DISCAPACIDAD",IF(P209=CURSOS!$D$34,"CUIDADO INTEGRAL DEL PACIENTE ADULTO",IF(P209=CURSOS!$D$35,"MANEJO DEFENSIVO",IF(P209=CURSOS!$D$36,"SOPORTE CARDIOVASCULAR AVANZADO NEONATAL",IF(P209=CURSOS!$D$37,"SEGURIDAD DEL PACIENTE",IF(P209=CURSOS!$D$38,"MANEJO DE RESIDUOS HOSPITALARIOS"))))))))))))))))))))))))))))))))))))</f>
        <v>0</v>
      </c>
      <c r="W209" s="44" t="str">
        <f t="shared" si="11"/>
        <v xml:space="preserve">   </v>
      </c>
      <c r="X209" s="44" t="str">
        <f t="shared" si="12"/>
        <v xml:space="preserve">   </v>
      </c>
      <c r="Y209" s="44" t="str">
        <f t="shared" si="13"/>
        <v xml:space="preserve">   --</v>
      </c>
    </row>
    <row r="210" spans="1:25" x14ac:dyDescent="0.2">
      <c r="A210" s="45">
        <v>209</v>
      </c>
      <c r="J210" s="46"/>
      <c r="Q210" s="46"/>
      <c r="U210" s="40"/>
      <c r="V210" s="44" t="b">
        <f>IF(P210=CURSOS!$D$3,"DIPLOMADO EN ATENCION PRE-HOSPITALARIA",IF(P210=CURSOS!$D$4,"ACOMPAÑAMIENTO Y MANEJO DEL DUELO",IF(P210=CURSOS!$D$5,"ATENCION A VICTIMAS DE ATAQUE CON AGENTES QUIMICOS ",IF(P210=CURSOS!$D$6,"PRIMEROS AUXILIOS ",IF(P210=CURSOS!$D$7,"DIPLOMADO DE UNIDAD DE CUIDADOS INTENSIVOS (UCI)",IF(P210=CURSOS!$D$8,"MODELO DE ATENCION PARA EVENTOS EMERGENTES EN SALUD MENTAL (CODIGO VERDE)",IF(P210=CURSOS!$D$9,"HUMANIZACION EN EL SERVICIO DE LA SALUD Y BUENAS PRACTICAS EN PACIENTE ",IF(P210=CURSOS!$D$10,"CLINICA DE HERIDAS ",IF(P210=CURSOS!$D$11,"TOMA DE CITOLOGIA CERVICO VAGINAL ",IF(P210=CURSOS!$D$12,"SOPORTE CARDIOVASCULAR AVANZADO (ACLS) ",IF(P210=CURSOS!$D$13,"CAMILLERO ",IF(P210=CURSOS!$D$14,"TOMA DE MUESTRAS Y LABORATORIO ",IF(P210=CURSOS!$D$15,"SOPORTE VITAL BASICO (BLS)",IF(P210=CURSOS!$D$16,"ATENCION A VICTIMAS DE VIOLENCIA SEXUAL ",IF(P210=CURSOS!$D$17,"PROGRAMADO AMPLIADO DE INMUNIZACION (PAI - COVID 19)",IF(P210=CURSOS!$D$18,"ATENCION INTEGRAL EN ENFERMEDADES PREVALENTES EN PRIMERA INFANCIA (AIEPI)",IF(P210=CURSOS!$D$19,"ADMINISTRACION DE MEDICAMENTOS, INYECTOLOGIA  Y CANALIZACION ",IF(P210=CURSOS!$D$20,"OPERADOR DE VEHICULOS DE EMERGENCIA (OVE)",IF(P210=CURSOS!$D$21,"INSTITUCIONES AMIGAS DE LA MUJER Y LA INFANCIA (IAMI)",IF(P210=CURSOS!$D$22,"CUIDADO DEL DONANTE DE ORGANOS",IF(P210=CURSOS!$D$23,"ATENCION A VICTIMAS POR VIOLENCIA DE GENERO",IF(P210=CURSOS!$D$24,"IGUALDAD DE GENERO EN LA SALUD",IF(P210=CURSOS!$D$25,"BRIGADA DE EMERGENCIA",IF(P210=CURSOS!$D$26,"MANEJO DEL DOLOR Y CUIDADOS PALIATIVOS",IF(P210=CURSOS!$D$27,"TOMA DE MUESTRAS Y LABORATORIO POCT",IF(P210=CURSOS!$D$28,"IMPLANTE SUBDERMICO DE DISPOSITIVO INTRAUTERINO",IF(P210=CURSOS!$D$29,"SALUD MENTAL",IF(P210=CURSOS!$D$30,"PRIMEROS AUXILIOS PSICOLOGICOS",IF(P210=CURSOS!$D$31,"ATENCION A VICTIMAS POR CONFLICTO ARMADO",IF(P210=CURSOS!$D$32,"MANIPULACION DE ALIMENTOS Y BPM",IF(P210=CURSOS!$D$33,"ATENCION A PERSONAS CON DISCAPACIDAD",IF(P210=CURSOS!$D$34,"CUIDADO INTEGRAL DEL PACIENTE ADULTO",IF(P210=CURSOS!$D$35,"MANEJO DEFENSIVO",IF(P210=CURSOS!$D$36,"SOPORTE CARDIOVASCULAR AVANZADO NEONATAL",IF(P210=CURSOS!$D$37,"SEGURIDAD DEL PACIENTE",IF(P210=CURSOS!$D$38,"MANEJO DE RESIDUOS HOSPITALARIOS"))))))))))))))))))))))))))))))))))))</f>
        <v>0</v>
      </c>
      <c r="W210" s="44" t="str">
        <f t="shared" si="11"/>
        <v xml:space="preserve">   </v>
      </c>
      <c r="X210" s="44" t="str">
        <f t="shared" si="12"/>
        <v xml:space="preserve">   </v>
      </c>
      <c r="Y210" s="44" t="str">
        <f t="shared" si="13"/>
        <v xml:space="preserve">   --</v>
      </c>
    </row>
    <row r="211" spans="1:25" x14ac:dyDescent="0.2">
      <c r="A211" s="45">
        <v>210</v>
      </c>
      <c r="J211" s="46"/>
      <c r="Q211" s="46"/>
      <c r="U211" s="40"/>
      <c r="V211" s="44" t="b">
        <f>IF(P211=CURSOS!$D$3,"DIPLOMADO EN ATENCION PRE-HOSPITALARIA",IF(P211=CURSOS!$D$4,"ACOMPAÑAMIENTO Y MANEJO DEL DUELO",IF(P211=CURSOS!$D$5,"ATENCION A VICTIMAS DE ATAQUE CON AGENTES QUIMICOS ",IF(P211=CURSOS!$D$6,"PRIMEROS AUXILIOS ",IF(P211=CURSOS!$D$7,"DIPLOMADO DE UNIDAD DE CUIDADOS INTENSIVOS (UCI)",IF(P211=CURSOS!$D$8,"MODELO DE ATENCION PARA EVENTOS EMERGENTES EN SALUD MENTAL (CODIGO VERDE)",IF(P211=CURSOS!$D$9,"HUMANIZACION EN EL SERVICIO DE LA SALUD Y BUENAS PRACTICAS EN PACIENTE ",IF(P211=CURSOS!$D$10,"CLINICA DE HERIDAS ",IF(P211=CURSOS!$D$11,"TOMA DE CITOLOGIA CERVICO VAGINAL ",IF(P211=CURSOS!$D$12,"SOPORTE CARDIOVASCULAR AVANZADO (ACLS) ",IF(P211=CURSOS!$D$13,"CAMILLERO ",IF(P211=CURSOS!$D$14,"TOMA DE MUESTRAS Y LABORATORIO ",IF(P211=CURSOS!$D$15,"SOPORTE VITAL BASICO (BLS)",IF(P211=CURSOS!$D$16,"ATENCION A VICTIMAS DE VIOLENCIA SEXUAL ",IF(P211=CURSOS!$D$17,"PROGRAMADO AMPLIADO DE INMUNIZACION (PAI - COVID 19)",IF(P211=CURSOS!$D$18,"ATENCION INTEGRAL EN ENFERMEDADES PREVALENTES EN PRIMERA INFANCIA (AIEPI)",IF(P211=CURSOS!$D$19,"ADMINISTRACION DE MEDICAMENTOS, INYECTOLOGIA  Y CANALIZACION ",IF(P211=CURSOS!$D$20,"OPERADOR DE VEHICULOS DE EMERGENCIA (OVE)",IF(P211=CURSOS!$D$21,"INSTITUCIONES AMIGAS DE LA MUJER Y LA INFANCIA (IAMI)",IF(P211=CURSOS!$D$22,"CUIDADO DEL DONANTE DE ORGANOS",IF(P211=CURSOS!$D$23,"ATENCION A VICTIMAS POR VIOLENCIA DE GENERO",IF(P211=CURSOS!$D$24,"IGUALDAD DE GENERO EN LA SALUD",IF(P211=CURSOS!$D$25,"BRIGADA DE EMERGENCIA",IF(P211=CURSOS!$D$26,"MANEJO DEL DOLOR Y CUIDADOS PALIATIVOS",IF(P211=CURSOS!$D$27,"TOMA DE MUESTRAS Y LABORATORIO POCT",IF(P211=CURSOS!$D$28,"IMPLANTE SUBDERMICO DE DISPOSITIVO INTRAUTERINO",IF(P211=CURSOS!$D$29,"SALUD MENTAL",IF(P211=CURSOS!$D$30,"PRIMEROS AUXILIOS PSICOLOGICOS",IF(P211=CURSOS!$D$31,"ATENCION A VICTIMAS POR CONFLICTO ARMADO",IF(P211=CURSOS!$D$32,"MANIPULACION DE ALIMENTOS Y BPM",IF(P211=CURSOS!$D$33,"ATENCION A PERSONAS CON DISCAPACIDAD",IF(P211=CURSOS!$D$34,"CUIDADO INTEGRAL DEL PACIENTE ADULTO",IF(P211=CURSOS!$D$35,"MANEJO DEFENSIVO",IF(P211=CURSOS!$D$36,"SOPORTE CARDIOVASCULAR AVANZADO NEONATAL",IF(P211=CURSOS!$D$37,"SEGURIDAD DEL PACIENTE",IF(P211=CURSOS!$D$38,"MANEJO DE RESIDUOS HOSPITALARIOS"))))))))))))))))))))))))))))))))))))</f>
        <v>0</v>
      </c>
      <c r="W211" s="44" t="str">
        <f t="shared" si="11"/>
        <v xml:space="preserve">   </v>
      </c>
      <c r="X211" s="44" t="str">
        <f t="shared" si="12"/>
        <v xml:space="preserve">   </v>
      </c>
      <c r="Y211" s="44" t="str">
        <f t="shared" si="13"/>
        <v xml:space="preserve">   --</v>
      </c>
    </row>
    <row r="212" spans="1:25" x14ac:dyDescent="0.2">
      <c r="A212" s="45">
        <v>211</v>
      </c>
      <c r="J212" s="46"/>
      <c r="Q212" s="46"/>
      <c r="U212" s="40"/>
      <c r="V212" s="44" t="b">
        <f>IF(P212=CURSOS!$D$3,"DIPLOMADO EN ATENCION PRE-HOSPITALARIA",IF(P212=CURSOS!$D$4,"ACOMPAÑAMIENTO Y MANEJO DEL DUELO",IF(P212=CURSOS!$D$5,"ATENCION A VICTIMAS DE ATAQUE CON AGENTES QUIMICOS ",IF(P212=CURSOS!$D$6,"PRIMEROS AUXILIOS ",IF(P212=CURSOS!$D$7,"DIPLOMADO DE UNIDAD DE CUIDADOS INTENSIVOS (UCI)",IF(P212=CURSOS!$D$8,"MODELO DE ATENCION PARA EVENTOS EMERGENTES EN SALUD MENTAL (CODIGO VERDE)",IF(P212=CURSOS!$D$9,"HUMANIZACION EN EL SERVICIO DE LA SALUD Y BUENAS PRACTICAS EN PACIENTE ",IF(P212=CURSOS!$D$10,"CLINICA DE HERIDAS ",IF(P212=CURSOS!$D$11,"TOMA DE CITOLOGIA CERVICO VAGINAL ",IF(P212=CURSOS!$D$12,"SOPORTE CARDIOVASCULAR AVANZADO (ACLS) ",IF(P212=CURSOS!$D$13,"CAMILLERO ",IF(P212=CURSOS!$D$14,"TOMA DE MUESTRAS Y LABORATORIO ",IF(P212=CURSOS!$D$15,"SOPORTE VITAL BASICO (BLS)",IF(P212=CURSOS!$D$16,"ATENCION A VICTIMAS DE VIOLENCIA SEXUAL ",IF(P212=CURSOS!$D$17,"PROGRAMADO AMPLIADO DE INMUNIZACION (PAI - COVID 19)",IF(P212=CURSOS!$D$18,"ATENCION INTEGRAL EN ENFERMEDADES PREVALENTES EN PRIMERA INFANCIA (AIEPI)",IF(P212=CURSOS!$D$19,"ADMINISTRACION DE MEDICAMENTOS, INYECTOLOGIA  Y CANALIZACION ",IF(P212=CURSOS!$D$20,"OPERADOR DE VEHICULOS DE EMERGENCIA (OVE)",IF(P212=CURSOS!$D$21,"INSTITUCIONES AMIGAS DE LA MUJER Y LA INFANCIA (IAMI)",IF(P212=CURSOS!$D$22,"CUIDADO DEL DONANTE DE ORGANOS",IF(P212=CURSOS!$D$23,"ATENCION A VICTIMAS POR VIOLENCIA DE GENERO",IF(P212=CURSOS!$D$24,"IGUALDAD DE GENERO EN LA SALUD",IF(P212=CURSOS!$D$25,"BRIGADA DE EMERGENCIA",IF(P212=CURSOS!$D$26,"MANEJO DEL DOLOR Y CUIDADOS PALIATIVOS",IF(P212=CURSOS!$D$27,"TOMA DE MUESTRAS Y LABORATORIO POCT",IF(P212=CURSOS!$D$28,"IMPLANTE SUBDERMICO DE DISPOSITIVO INTRAUTERINO",IF(P212=CURSOS!$D$29,"SALUD MENTAL",IF(P212=CURSOS!$D$30,"PRIMEROS AUXILIOS PSICOLOGICOS",IF(P212=CURSOS!$D$31,"ATENCION A VICTIMAS POR CONFLICTO ARMADO",IF(P212=CURSOS!$D$32,"MANIPULACION DE ALIMENTOS Y BPM",IF(P212=CURSOS!$D$33,"ATENCION A PERSONAS CON DISCAPACIDAD",IF(P212=CURSOS!$D$34,"CUIDADO INTEGRAL DEL PACIENTE ADULTO",IF(P212=CURSOS!$D$35,"MANEJO DEFENSIVO",IF(P212=CURSOS!$D$36,"SOPORTE CARDIOVASCULAR AVANZADO NEONATAL",IF(P212=CURSOS!$D$37,"SEGURIDAD DEL PACIENTE",IF(P212=CURSOS!$D$38,"MANEJO DE RESIDUOS HOSPITALARIOS"))))))))))))))))))))))))))))))))))))</f>
        <v>0</v>
      </c>
      <c r="W212" s="44" t="str">
        <f t="shared" si="11"/>
        <v xml:space="preserve">   </v>
      </c>
      <c r="X212" s="44" t="str">
        <f t="shared" si="12"/>
        <v xml:space="preserve">   </v>
      </c>
      <c r="Y212" s="44" t="str">
        <f t="shared" si="13"/>
        <v xml:space="preserve">   --</v>
      </c>
    </row>
    <row r="213" spans="1:25" x14ac:dyDescent="0.2">
      <c r="A213" s="45">
        <v>212</v>
      </c>
      <c r="J213" s="46"/>
      <c r="Q213" s="46"/>
      <c r="U213" s="40"/>
      <c r="V213" s="44" t="b">
        <f>IF(P213=CURSOS!$D$3,"DIPLOMADO EN ATENCION PRE-HOSPITALARIA",IF(P213=CURSOS!$D$4,"ACOMPAÑAMIENTO Y MANEJO DEL DUELO",IF(P213=CURSOS!$D$5,"ATENCION A VICTIMAS DE ATAQUE CON AGENTES QUIMICOS ",IF(P213=CURSOS!$D$6,"PRIMEROS AUXILIOS ",IF(P213=CURSOS!$D$7,"DIPLOMADO DE UNIDAD DE CUIDADOS INTENSIVOS (UCI)",IF(P213=CURSOS!$D$8,"MODELO DE ATENCION PARA EVENTOS EMERGENTES EN SALUD MENTAL (CODIGO VERDE)",IF(P213=CURSOS!$D$9,"HUMANIZACION EN EL SERVICIO DE LA SALUD Y BUENAS PRACTICAS EN PACIENTE ",IF(P213=CURSOS!$D$10,"CLINICA DE HERIDAS ",IF(P213=CURSOS!$D$11,"TOMA DE CITOLOGIA CERVICO VAGINAL ",IF(P213=CURSOS!$D$12,"SOPORTE CARDIOVASCULAR AVANZADO (ACLS) ",IF(P213=CURSOS!$D$13,"CAMILLERO ",IF(P213=CURSOS!$D$14,"TOMA DE MUESTRAS Y LABORATORIO ",IF(P213=CURSOS!$D$15,"SOPORTE VITAL BASICO (BLS)",IF(P213=CURSOS!$D$16,"ATENCION A VICTIMAS DE VIOLENCIA SEXUAL ",IF(P213=CURSOS!$D$17,"PROGRAMADO AMPLIADO DE INMUNIZACION (PAI - COVID 19)",IF(P213=CURSOS!$D$18,"ATENCION INTEGRAL EN ENFERMEDADES PREVALENTES EN PRIMERA INFANCIA (AIEPI)",IF(P213=CURSOS!$D$19,"ADMINISTRACION DE MEDICAMENTOS, INYECTOLOGIA  Y CANALIZACION ",IF(P213=CURSOS!$D$20,"OPERADOR DE VEHICULOS DE EMERGENCIA (OVE)",IF(P213=CURSOS!$D$21,"INSTITUCIONES AMIGAS DE LA MUJER Y LA INFANCIA (IAMI)",IF(P213=CURSOS!$D$22,"CUIDADO DEL DONANTE DE ORGANOS",IF(P213=CURSOS!$D$23,"ATENCION A VICTIMAS POR VIOLENCIA DE GENERO",IF(P213=CURSOS!$D$24,"IGUALDAD DE GENERO EN LA SALUD",IF(P213=CURSOS!$D$25,"BRIGADA DE EMERGENCIA",IF(P213=CURSOS!$D$26,"MANEJO DEL DOLOR Y CUIDADOS PALIATIVOS",IF(P213=CURSOS!$D$27,"TOMA DE MUESTRAS Y LABORATORIO POCT",IF(P213=CURSOS!$D$28,"IMPLANTE SUBDERMICO DE DISPOSITIVO INTRAUTERINO",IF(P213=CURSOS!$D$29,"SALUD MENTAL",IF(P213=CURSOS!$D$30,"PRIMEROS AUXILIOS PSICOLOGICOS",IF(P213=CURSOS!$D$31,"ATENCION A VICTIMAS POR CONFLICTO ARMADO",IF(P213=CURSOS!$D$32,"MANIPULACION DE ALIMENTOS Y BPM",IF(P213=CURSOS!$D$33,"ATENCION A PERSONAS CON DISCAPACIDAD",IF(P213=CURSOS!$D$34,"CUIDADO INTEGRAL DEL PACIENTE ADULTO",IF(P213=CURSOS!$D$35,"MANEJO DEFENSIVO",IF(P213=CURSOS!$D$36,"SOPORTE CARDIOVASCULAR AVANZADO NEONATAL",IF(P213=CURSOS!$D$37,"SEGURIDAD DEL PACIENTE",IF(P213=CURSOS!$D$38,"MANEJO DE RESIDUOS HOSPITALARIOS"))))))))))))))))))))))))))))))))))))</f>
        <v>0</v>
      </c>
      <c r="W213" s="44" t="str">
        <f t="shared" si="11"/>
        <v xml:space="preserve">   </v>
      </c>
      <c r="X213" s="44" t="str">
        <f t="shared" si="12"/>
        <v xml:space="preserve">   </v>
      </c>
      <c r="Y213" s="44" t="str">
        <f t="shared" si="13"/>
        <v xml:space="preserve">   --</v>
      </c>
    </row>
    <row r="214" spans="1:25" x14ac:dyDescent="0.2">
      <c r="A214" s="45">
        <v>213</v>
      </c>
      <c r="Q214" s="46"/>
      <c r="S214" s="102"/>
      <c r="U214" s="40"/>
      <c r="V214" s="44" t="b">
        <f>IF(P214=CURSOS!$D$3,"DIPLOMADO EN ATENCION PRE-HOSPITALARIA",IF(P214=CURSOS!$D$4,"ACOMPAÑAMIENTO Y MANEJO DEL DUELO",IF(P214=CURSOS!$D$5,"ATENCION A VICTIMAS DE ATAQUE CON AGENTES QUIMICOS ",IF(P214=CURSOS!$D$6,"PRIMEROS AUXILIOS ",IF(P214=CURSOS!$D$7,"DIPLOMADO DE UNIDAD DE CUIDADOS INTENSIVOS (UCI)",IF(P214=CURSOS!$D$8,"MODELO DE ATENCION PARA EVENTOS EMERGENTES EN SALUD MENTAL (CODIGO VERDE)",IF(P214=CURSOS!$D$9,"HUMANIZACION EN EL SERVICIO DE LA SALUD Y BUENAS PRACTICAS EN PACIENTE ",IF(P214=CURSOS!$D$10,"CLINICA DE HERIDAS ",IF(P214=CURSOS!$D$11,"TOMA DE CITOLOGIA CERVICO VAGINAL ",IF(P214=CURSOS!$D$12,"SOPORTE CARDIOVASCULAR AVANZADO (ACLS) ",IF(P214=CURSOS!$D$13,"CAMILLERO ",IF(P214=CURSOS!$D$14,"TOMA DE MUESTRAS Y LABORATORIO ",IF(P214=CURSOS!$D$15,"SOPORTE VITAL BASICO (BLS)",IF(P214=CURSOS!$D$16,"ATENCION A VICTIMAS DE VIOLENCIA SEXUAL ",IF(P214=CURSOS!$D$17,"PROGRAMADO AMPLIADO DE INMUNIZACION (PAI - COVID 19)",IF(P214=CURSOS!$D$18,"ATENCION INTEGRAL EN ENFERMEDADES PREVALENTES EN PRIMERA INFANCIA (AIEPI)",IF(P214=CURSOS!$D$19,"ADMINISTRACION DE MEDICAMENTOS, INYECTOLOGIA  Y CANALIZACION ",IF(P214=CURSOS!$D$20,"OPERADOR DE VEHICULOS DE EMERGENCIA (OVE)",IF(P214=CURSOS!$D$21,"INSTITUCIONES AMIGAS DE LA MUJER Y LA INFANCIA (IAMI)",IF(P214=CURSOS!$D$22,"CUIDADO DEL DONANTE DE ORGANOS",IF(P214=CURSOS!$D$23,"ATENCION A VICTIMAS POR VIOLENCIA DE GENERO",IF(P214=CURSOS!$D$24,"IGUALDAD DE GENERO EN LA SALUD",IF(P214=CURSOS!$D$25,"BRIGADA DE EMERGENCIA",IF(P214=CURSOS!$D$26,"MANEJO DEL DOLOR Y CUIDADOS PALIATIVOS",IF(P214=CURSOS!$D$27,"TOMA DE MUESTRAS Y LABORATORIO POCT",IF(P214=CURSOS!$D$28,"IMPLANTE SUBDERMICO DE DISPOSITIVO INTRAUTERINO",IF(P214=CURSOS!$D$29,"SALUD MENTAL",IF(P214=CURSOS!$D$30,"PRIMEROS AUXILIOS PSICOLOGICOS",IF(P214=CURSOS!$D$31,"ATENCION A VICTIMAS POR CONFLICTO ARMADO",IF(P214=CURSOS!$D$32,"MANIPULACION DE ALIMENTOS Y BPM",IF(P214=CURSOS!$D$33,"ATENCION A PERSONAS CON DISCAPACIDAD",IF(P214=CURSOS!$D$34,"CUIDADO INTEGRAL DEL PACIENTE ADULTO",IF(P214=CURSOS!$D$35,"MANEJO DEFENSIVO",IF(P214=CURSOS!$D$36,"SOPORTE CARDIOVASCULAR AVANZADO NEONATAL",IF(P214=CURSOS!$D$37,"SEGURIDAD DEL PACIENTE",IF(P214=CURSOS!$D$38,"MANEJO DE RESIDUOS HOSPITALARIOS"))))))))))))))))))))))))))))))))))))</f>
        <v>0</v>
      </c>
      <c r="W214" s="44" t="str">
        <f t="shared" si="11"/>
        <v xml:space="preserve">   </v>
      </c>
      <c r="X214" s="44" t="str">
        <f t="shared" si="12"/>
        <v xml:space="preserve">   </v>
      </c>
      <c r="Y214" s="44" t="str">
        <f t="shared" si="13"/>
        <v xml:space="preserve">   --</v>
      </c>
    </row>
    <row r="215" spans="1:25" x14ac:dyDescent="0.2">
      <c r="A215" s="45">
        <v>214</v>
      </c>
      <c r="Q215" s="46"/>
      <c r="S215" s="102"/>
      <c r="U215" s="40"/>
      <c r="V215" s="44" t="b">
        <f>IF(P215=CURSOS!$D$3,"DIPLOMADO EN ATENCION PRE-HOSPITALARIA",IF(P215=CURSOS!$D$4,"ACOMPAÑAMIENTO Y MANEJO DEL DUELO",IF(P215=CURSOS!$D$5,"ATENCION A VICTIMAS DE ATAQUE CON AGENTES QUIMICOS ",IF(P215=CURSOS!$D$6,"PRIMEROS AUXILIOS ",IF(P215=CURSOS!$D$7,"DIPLOMADO DE UNIDAD DE CUIDADOS INTENSIVOS (UCI)",IF(P215=CURSOS!$D$8,"MODELO DE ATENCION PARA EVENTOS EMERGENTES EN SALUD MENTAL (CODIGO VERDE)",IF(P215=CURSOS!$D$9,"HUMANIZACION EN EL SERVICIO DE LA SALUD Y BUENAS PRACTICAS EN PACIENTE ",IF(P215=CURSOS!$D$10,"CLINICA DE HERIDAS ",IF(P215=CURSOS!$D$11,"TOMA DE CITOLOGIA CERVICO VAGINAL ",IF(P215=CURSOS!$D$12,"SOPORTE CARDIOVASCULAR AVANZADO (ACLS) ",IF(P215=CURSOS!$D$13,"CAMILLERO ",IF(P215=CURSOS!$D$14,"TOMA DE MUESTRAS Y LABORATORIO ",IF(P215=CURSOS!$D$15,"SOPORTE VITAL BASICO (BLS)",IF(P215=CURSOS!$D$16,"ATENCION A VICTIMAS DE VIOLENCIA SEXUAL ",IF(P215=CURSOS!$D$17,"PROGRAMADO AMPLIADO DE INMUNIZACION (PAI - COVID 19)",IF(P215=CURSOS!$D$18,"ATENCION INTEGRAL EN ENFERMEDADES PREVALENTES EN PRIMERA INFANCIA (AIEPI)",IF(P215=CURSOS!$D$19,"ADMINISTRACION DE MEDICAMENTOS, INYECTOLOGIA  Y CANALIZACION ",IF(P215=CURSOS!$D$20,"OPERADOR DE VEHICULOS DE EMERGENCIA (OVE)",IF(P215=CURSOS!$D$21,"INSTITUCIONES AMIGAS DE LA MUJER Y LA INFANCIA (IAMI)",IF(P215=CURSOS!$D$22,"CUIDADO DEL DONANTE DE ORGANOS",IF(P215=CURSOS!$D$23,"ATENCION A VICTIMAS POR VIOLENCIA DE GENERO",IF(P215=CURSOS!$D$24,"IGUALDAD DE GENERO EN LA SALUD",IF(P215=CURSOS!$D$25,"BRIGADA DE EMERGENCIA",IF(P215=CURSOS!$D$26,"MANEJO DEL DOLOR Y CUIDADOS PALIATIVOS",IF(P215=CURSOS!$D$27,"TOMA DE MUESTRAS Y LABORATORIO POCT",IF(P215=CURSOS!$D$28,"IMPLANTE SUBDERMICO DE DISPOSITIVO INTRAUTERINO",IF(P215=CURSOS!$D$29,"SALUD MENTAL",IF(P215=CURSOS!$D$30,"PRIMEROS AUXILIOS PSICOLOGICOS",IF(P215=CURSOS!$D$31,"ATENCION A VICTIMAS POR CONFLICTO ARMADO",IF(P215=CURSOS!$D$32,"MANIPULACION DE ALIMENTOS Y BPM",IF(P215=CURSOS!$D$33,"ATENCION A PERSONAS CON DISCAPACIDAD",IF(P215=CURSOS!$D$34,"CUIDADO INTEGRAL DEL PACIENTE ADULTO",IF(P215=CURSOS!$D$35,"MANEJO DEFENSIVO",IF(P215=CURSOS!$D$36,"SOPORTE CARDIOVASCULAR AVANZADO NEONATAL",IF(P215=CURSOS!$D$37,"SEGURIDAD DEL PACIENTE",IF(P215=CURSOS!$D$38,"MANEJO DE RESIDUOS HOSPITALARIOS"))))))))))))))))))))))))))))))))))))</f>
        <v>0</v>
      </c>
      <c r="W215" s="44" t="str">
        <f t="shared" si="11"/>
        <v xml:space="preserve">   </v>
      </c>
      <c r="X215" s="44" t="str">
        <f t="shared" si="12"/>
        <v xml:space="preserve">   </v>
      </c>
      <c r="Y215" s="44" t="str">
        <f t="shared" si="13"/>
        <v xml:space="preserve">   --</v>
      </c>
    </row>
    <row r="216" spans="1:25" x14ac:dyDescent="0.2">
      <c r="A216" s="45">
        <v>215</v>
      </c>
      <c r="Q216" s="46"/>
      <c r="S216" s="102"/>
      <c r="U216" s="40"/>
      <c r="V216" s="44" t="b">
        <f>IF(P216=CURSOS!$D$3,"DIPLOMADO EN ATENCION PRE-HOSPITALARIA",IF(P216=CURSOS!$D$4,"ACOMPAÑAMIENTO Y MANEJO DEL DUELO",IF(P216=CURSOS!$D$5,"ATENCION A VICTIMAS DE ATAQUE CON AGENTES QUIMICOS ",IF(P216=CURSOS!$D$6,"PRIMEROS AUXILIOS ",IF(P216=CURSOS!$D$7,"DIPLOMADO DE UNIDAD DE CUIDADOS INTENSIVOS (UCI)",IF(P216=CURSOS!$D$8,"MODELO DE ATENCION PARA EVENTOS EMERGENTES EN SALUD MENTAL (CODIGO VERDE)",IF(P216=CURSOS!$D$9,"HUMANIZACION EN EL SERVICIO DE LA SALUD Y BUENAS PRACTICAS EN PACIENTE ",IF(P216=CURSOS!$D$10,"CLINICA DE HERIDAS ",IF(P216=CURSOS!$D$11,"TOMA DE CITOLOGIA CERVICO VAGINAL ",IF(P216=CURSOS!$D$12,"SOPORTE CARDIOVASCULAR AVANZADO (ACLS) ",IF(P216=CURSOS!$D$13,"CAMILLERO ",IF(P216=CURSOS!$D$14,"TOMA DE MUESTRAS Y LABORATORIO ",IF(P216=CURSOS!$D$15,"SOPORTE VITAL BASICO (BLS)",IF(P216=CURSOS!$D$16,"ATENCION A VICTIMAS DE VIOLENCIA SEXUAL ",IF(P216=CURSOS!$D$17,"PROGRAMADO AMPLIADO DE INMUNIZACION (PAI - COVID 19)",IF(P216=CURSOS!$D$18,"ATENCION INTEGRAL EN ENFERMEDADES PREVALENTES EN PRIMERA INFANCIA (AIEPI)",IF(P216=CURSOS!$D$19,"ADMINISTRACION DE MEDICAMENTOS, INYECTOLOGIA  Y CANALIZACION ",IF(P216=CURSOS!$D$20,"OPERADOR DE VEHICULOS DE EMERGENCIA (OVE)",IF(P216=CURSOS!$D$21,"INSTITUCIONES AMIGAS DE LA MUJER Y LA INFANCIA (IAMI)",IF(P216=CURSOS!$D$22,"CUIDADO DEL DONANTE DE ORGANOS",IF(P216=CURSOS!$D$23,"ATENCION A VICTIMAS POR VIOLENCIA DE GENERO",IF(P216=CURSOS!$D$24,"IGUALDAD DE GENERO EN LA SALUD",IF(P216=CURSOS!$D$25,"BRIGADA DE EMERGENCIA",IF(P216=CURSOS!$D$26,"MANEJO DEL DOLOR Y CUIDADOS PALIATIVOS",IF(P216=CURSOS!$D$27,"TOMA DE MUESTRAS Y LABORATORIO POCT",IF(P216=CURSOS!$D$28,"IMPLANTE SUBDERMICO DE DISPOSITIVO INTRAUTERINO",IF(P216=CURSOS!$D$29,"SALUD MENTAL",IF(P216=CURSOS!$D$30,"PRIMEROS AUXILIOS PSICOLOGICOS",IF(P216=CURSOS!$D$31,"ATENCION A VICTIMAS POR CONFLICTO ARMADO",IF(P216=CURSOS!$D$32,"MANIPULACION DE ALIMENTOS Y BPM",IF(P216=CURSOS!$D$33,"ATENCION A PERSONAS CON DISCAPACIDAD",IF(P216=CURSOS!$D$34,"CUIDADO INTEGRAL DEL PACIENTE ADULTO",IF(P216=CURSOS!$D$35,"MANEJO DEFENSIVO",IF(P216=CURSOS!$D$36,"SOPORTE CARDIOVASCULAR AVANZADO NEONATAL",IF(P216=CURSOS!$D$37,"SEGURIDAD DEL PACIENTE",IF(P216=CURSOS!$D$38,"MANEJO DE RESIDUOS HOSPITALARIOS"))))))))))))))))))))))))))))))))))))</f>
        <v>0</v>
      </c>
      <c r="W216" s="44" t="str">
        <f t="shared" si="11"/>
        <v xml:space="preserve">   </v>
      </c>
      <c r="X216" s="44" t="str">
        <f t="shared" si="12"/>
        <v xml:space="preserve">   </v>
      </c>
      <c r="Y216" s="44" t="str">
        <f t="shared" si="13"/>
        <v xml:space="preserve">   --</v>
      </c>
    </row>
    <row r="217" spans="1:25" x14ac:dyDescent="0.2">
      <c r="A217" s="45">
        <v>216</v>
      </c>
      <c r="Q217" s="46"/>
      <c r="U217" s="50"/>
      <c r="V217" s="44" t="b">
        <f>IF(P217=CURSOS!$D$3,"DIPLOMADO EN ATENCION PRE-HOSPITALARIA",IF(P217=CURSOS!$D$4,"ACOMPAÑAMIENTO Y MANEJO DEL DUELO",IF(P217=CURSOS!$D$5,"ATENCION A VICTIMAS DE ATAQUE CON AGENTES QUIMICOS ",IF(P217=CURSOS!$D$6,"PRIMEROS AUXILIOS ",IF(P217=CURSOS!$D$7,"DIPLOMADO DE UNIDAD DE CUIDADOS INTENSIVOS (UCI)",IF(P217=CURSOS!$D$8,"MODELO DE ATENCION PARA EVENTOS EMERGENTES EN SALUD MENTAL (CODIGO VERDE)",IF(P217=CURSOS!$D$9,"HUMANIZACION EN EL SERVICIO DE LA SALUD Y BUENAS PRACTICAS EN PACIENTE ",IF(P217=CURSOS!$D$10,"CLINICA DE HERIDAS ",IF(P217=CURSOS!$D$11,"TOMA DE CITOLOGIA CERVICO VAGINAL ",IF(P217=CURSOS!$D$12,"SOPORTE CARDIOVASCULAR AVANZADO (ACLS) ",IF(P217=CURSOS!$D$13,"CAMILLERO ",IF(P217=CURSOS!$D$14,"TOMA DE MUESTRAS Y LABORATORIO ",IF(P217=CURSOS!$D$15,"SOPORTE VITAL BASICO (BLS)",IF(P217=CURSOS!$D$16,"ATENCION A VICTIMAS DE VIOLENCIA SEXUAL ",IF(P217=CURSOS!$D$17,"PROGRAMADO AMPLIADO DE INMUNIZACION (PAI - COVID 19)",IF(P217=CURSOS!$D$18,"ATENCION INTEGRAL EN ENFERMEDADES PREVALENTES EN PRIMERA INFANCIA (AIEPI)",IF(P217=CURSOS!$D$19,"ADMINISTRACION DE MEDICAMENTOS, INYECTOLOGIA  Y CANALIZACION ",IF(P217=CURSOS!$D$20,"OPERADOR DE VEHICULOS DE EMERGENCIA (OVE)",IF(P217=CURSOS!$D$21,"INSTITUCIONES AMIGAS DE LA MUJER Y LA INFANCIA (IAMI)",IF(P217=CURSOS!$D$22,"CUIDADO DEL DONANTE DE ORGANOS",IF(P217=CURSOS!$D$23,"ATENCION A VICTIMAS POR VIOLENCIA DE GENERO",IF(P217=CURSOS!$D$24,"IGUALDAD DE GENERO EN LA SALUD",IF(P217=CURSOS!$D$25,"BRIGADA DE EMERGENCIA",IF(P217=CURSOS!$D$26,"MANEJO DEL DOLOR Y CUIDADOS PALIATIVOS",IF(P217=CURSOS!$D$27,"TOMA DE MUESTRAS Y LABORATORIO POCT",IF(P217=CURSOS!$D$28,"IMPLANTE SUBDERMICO DE DISPOSITIVO INTRAUTERINO",IF(P217=CURSOS!$D$29,"SALUD MENTAL",IF(P217=CURSOS!$D$30,"PRIMEROS AUXILIOS PSICOLOGICOS",IF(P217=CURSOS!$D$31,"ATENCION A VICTIMAS POR CONFLICTO ARMADO",IF(P217=CURSOS!$D$32,"MANIPULACION DE ALIMENTOS Y BPM",IF(P217=CURSOS!$D$33,"ATENCION A PERSONAS CON DISCAPACIDAD",IF(P217=CURSOS!$D$34,"CUIDADO INTEGRAL DEL PACIENTE ADULTO",IF(P217=CURSOS!$D$35,"MANEJO DEFENSIVO",IF(P217=CURSOS!$D$36,"SOPORTE CARDIOVASCULAR AVANZADO NEONATAL",IF(P217=CURSOS!$D$37,"SEGURIDAD DEL PACIENTE",IF(P217=CURSOS!$D$38,"MANEJO DE RESIDUOS HOSPITALARIOS"))))))))))))))))))))))))))))))))))))</f>
        <v>0</v>
      </c>
      <c r="W217" s="44" t="str">
        <f t="shared" si="11"/>
        <v xml:space="preserve">   </v>
      </c>
      <c r="X217" s="44" t="str">
        <f t="shared" si="12"/>
        <v xml:space="preserve">   </v>
      </c>
      <c r="Y217" s="44" t="str">
        <f t="shared" si="13"/>
        <v xml:space="preserve">   --</v>
      </c>
    </row>
    <row r="218" spans="1:25" x14ac:dyDescent="0.2">
      <c r="A218" s="45">
        <v>217</v>
      </c>
      <c r="Q218" s="46"/>
      <c r="U218" s="50"/>
      <c r="V218" s="44" t="b">
        <f>IF(P218=CURSOS!$D$3,"DIPLOMADO EN ATENCION PRE-HOSPITALARIA",IF(P218=CURSOS!$D$4,"ACOMPAÑAMIENTO Y MANEJO DEL DUELO",IF(P218=CURSOS!$D$5,"ATENCION A VICTIMAS DE ATAQUE CON AGENTES QUIMICOS ",IF(P218=CURSOS!$D$6,"PRIMEROS AUXILIOS ",IF(P218=CURSOS!$D$7,"DIPLOMADO DE UNIDAD DE CUIDADOS INTENSIVOS (UCI)",IF(P218=CURSOS!$D$8,"MODELO DE ATENCION PARA EVENTOS EMERGENTES EN SALUD MENTAL (CODIGO VERDE)",IF(P218=CURSOS!$D$9,"HUMANIZACION EN EL SERVICIO DE LA SALUD Y BUENAS PRACTICAS EN PACIENTE ",IF(P218=CURSOS!$D$10,"CLINICA DE HERIDAS ",IF(P218=CURSOS!$D$11,"TOMA DE CITOLOGIA CERVICO VAGINAL ",IF(P218=CURSOS!$D$12,"SOPORTE CARDIOVASCULAR AVANZADO (ACLS) ",IF(P218=CURSOS!$D$13,"CAMILLERO ",IF(P218=CURSOS!$D$14,"TOMA DE MUESTRAS Y LABORATORIO ",IF(P218=CURSOS!$D$15,"SOPORTE VITAL BASICO (BLS)",IF(P218=CURSOS!$D$16,"ATENCION A VICTIMAS DE VIOLENCIA SEXUAL ",IF(P218=CURSOS!$D$17,"PROGRAMADO AMPLIADO DE INMUNIZACION (PAI - COVID 19)",IF(P218=CURSOS!$D$18,"ATENCION INTEGRAL EN ENFERMEDADES PREVALENTES EN PRIMERA INFANCIA (AIEPI)",IF(P218=CURSOS!$D$19,"ADMINISTRACION DE MEDICAMENTOS, INYECTOLOGIA  Y CANALIZACION ",IF(P218=CURSOS!$D$20,"OPERADOR DE VEHICULOS DE EMERGENCIA (OVE)",IF(P218=CURSOS!$D$21,"INSTITUCIONES AMIGAS DE LA MUJER Y LA INFANCIA (IAMI)",IF(P218=CURSOS!$D$22,"CUIDADO DEL DONANTE DE ORGANOS",IF(P218=CURSOS!$D$23,"ATENCION A VICTIMAS POR VIOLENCIA DE GENERO",IF(P218=CURSOS!$D$24,"IGUALDAD DE GENERO EN LA SALUD",IF(P218=CURSOS!$D$25,"BRIGADA DE EMERGENCIA",IF(P218=CURSOS!$D$26,"MANEJO DEL DOLOR Y CUIDADOS PALIATIVOS",IF(P218=CURSOS!$D$27,"TOMA DE MUESTRAS Y LABORATORIO POCT",IF(P218=CURSOS!$D$28,"IMPLANTE SUBDERMICO DE DISPOSITIVO INTRAUTERINO",IF(P218=CURSOS!$D$29,"SALUD MENTAL",IF(P218=CURSOS!$D$30,"PRIMEROS AUXILIOS PSICOLOGICOS",IF(P218=CURSOS!$D$31,"ATENCION A VICTIMAS POR CONFLICTO ARMADO",IF(P218=CURSOS!$D$32,"MANIPULACION DE ALIMENTOS Y BPM",IF(P218=CURSOS!$D$33,"ATENCION A PERSONAS CON DISCAPACIDAD",IF(P218=CURSOS!$D$34,"CUIDADO INTEGRAL DEL PACIENTE ADULTO",IF(P218=CURSOS!$D$35,"MANEJO DEFENSIVO",IF(P218=CURSOS!$D$36,"SOPORTE CARDIOVASCULAR AVANZADO NEONATAL",IF(P218=CURSOS!$D$37,"SEGURIDAD DEL PACIENTE",IF(P218=CURSOS!$D$38,"MANEJO DE RESIDUOS HOSPITALARIOS"))))))))))))))))))))))))))))))))))))</f>
        <v>0</v>
      </c>
      <c r="W218" s="44" t="str">
        <f t="shared" si="11"/>
        <v xml:space="preserve">   </v>
      </c>
      <c r="X218" s="44" t="str">
        <f t="shared" si="12"/>
        <v xml:space="preserve">   </v>
      </c>
      <c r="Y218" s="44" t="str">
        <f t="shared" si="13"/>
        <v xml:space="preserve">   --</v>
      </c>
    </row>
    <row r="219" spans="1:25" x14ac:dyDescent="0.2">
      <c r="A219" s="45">
        <v>218</v>
      </c>
      <c r="J219" s="46"/>
      <c r="Q219" s="46"/>
      <c r="U219" s="40"/>
      <c r="V219" s="44" t="b">
        <f>IF(P219=CURSOS!$D$3,"DIPLOMADO EN ATENCION PRE-HOSPITALARIA",IF(P219=CURSOS!$D$4,"ACOMPAÑAMIENTO Y MANEJO DEL DUELO",IF(P219=CURSOS!$D$5,"ATENCION A VICTIMAS DE ATAQUE CON AGENTES QUIMICOS ",IF(P219=CURSOS!$D$6,"PRIMEROS AUXILIOS ",IF(P219=CURSOS!$D$7,"DIPLOMADO DE UNIDAD DE CUIDADOS INTENSIVOS (UCI)",IF(P219=CURSOS!$D$8,"MODELO DE ATENCION PARA EVENTOS EMERGENTES EN SALUD MENTAL (CODIGO VERDE)",IF(P219=CURSOS!$D$9,"HUMANIZACION EN EL SERVICIO DE LA SALUD Y BUENAS PRACTICAS EN PACIENTE ",IF(P219=CURSOS!$D$10,"CLINICA DE HERIDAS ",IF(P219=CURSOS!$D$11,"TOMA DE CITOLOGIA CERVICO VAGINAL ",IF(P219=CURSOS!$D$12,"SOPORTE CARDIOVASCULAR AVANZADO (ACLS) ",IF(P219=CURSOS!$D$13,"CAMILLERO ",IF(P219=CURSOS!$D$14,"TOMA DE MUESTRAS Y LABORATORIO ",IF(P219=CURSOS!$D$15,"SOPORTE VITAL BASICO (BLS)",IF(P219=CURSOS!$D$16,"ATENCION A VICTIMAS DE VIOLENCIA SEXUAL ",IF(P219=CURSOS!$D$17,"PROGRAMADO AMPLIADO DE INMUNIZACION (PAI - COVID 19)",IF(P219=CURSOS!$D$18,"ATENCION INTEGRAL EN ENFERMEDADES PREVALENTES EN PRIMERA INFANCIA (AIEPI)",IF(P219=CURSOS!$D$19,"ADMINISTRACION DE MEDICAMENTOS, INYECTOLOGIA  Y CANALIZACION ",IF(P219=CURSOS!$D$20,"OPERADOR DE VEHICULOS DE EMERGENCIA (OVE)",IF(P219=CURSOS!$D$21,"INSTITUCIONES AMIGAS DE LA MUJER Y LA INFANCIA (IAMI)",IF(P219=CURSOS!$D$22,"CUIDADO DEL DONANTE DE ORGANOS",IF(P219=CURSOS!$D$23,"ATENCION A VICTIMAS POR VIOLENCIA DE GENERO",IF(P219=CURSOS!$D$24,"IGUALDAD DE GENERO EN LA SALUD",IF(P219=CURSOS!$D$25,"BRIGADA DE EMERGENCIA",IF(P219=CURSOS!$D$26,"MANEJO DEL DOLOR Y CUIDADOS PALIATIVOS",IF(P219=CURSOS!$D$27,"TOMA DE MUESTRAS Y LABORATORIO POCT",IF(P219=CURSOS!$D$28,"IMPLANTE SUBDERMICO DE DISPOSITIVO INTRAUTERINO",IF(P219=CURSOS!$D$29,"SALUD MENTAL",IF(P219=CURSOS!$D$30,"PRIMEROS AUXILIOS PSICOLOGICOS",IF(P219=CURSOS!$D$31,"ATENCION A VICTIMAS POR CONFLICTO ARMADO",IF(P219=CURSOS!$D$32,"MANIPULACION DE ALIMENTOS Y BPM",IF(P219=CURSOS!$D$33,"ATENCION A PERSONAS CON DISCAPACIDAD",IF(P219=CURSOS!$D$34,"CUIDADO INTEGRAL DEL PACIENTE ADULTO",IF(P219=CURSOS!$D$35,"MANEJO DEFENSIVO",IF(P219=CURSOS!$D$36,"SOPORTE CARDIOVASCULAR AVANZADO NEONATAL",IF(P219=CURSOS!$D$37,"SEGURIDAD DEL PACIENTE",IF(P219=CURSOS!$D$38,"MANEJO DE RESIDUOS HOSPITALARIOS"))))))))))))))))))))))))))))))))))))</f>
        <v>0</v>
      </c>
      <c r="W219" s="44" t="str">
        <f t="shared" si="11"/>
        <v xml:space="preserve">   </v>
      </c>
      <c r="X219" s="44" t="str">
        <f t="shared" si="12"/>
        <v xml:space="preserve">   </v>
      </c>
      <c r="Y219" s="44" t="str">
        <f t="shared" si="13"/>
        <v xml:space="preserve">   --</v>
      </c>
    </row>
    <row r="220" spans="1:25" x14ac:dyDescent="0.2">
      <c r="A220" s="45">
        <v>219</v>
      </c>
      <c r="J220" s="46"/>
      <c r="Q220" s="46"/>
      <c r="U220" s="40"/>
      <c r="V220" s="44" t="b">
        <f>IF(P220=CURSOS!$D$3,"DIPLOMADO EN ATENCION PRE-HOSPITALARIA",IF(P220=CURSOS!$D$4,"ACOMPAÑAMIENTO Y MANEJO DEL DUELO",IF(P220=CURSOS!$D$5,"ATENCION A VICTIMAS DE ATAQUE CON AGENTES QUIMICOS ",IF(P220=CURSOS!$D$6,"PRIMEROS AUXILIOS ",IF(P220=CURSOS!$D$7,"DIPLOMADO DE UNIDAD DE CUIDADOS INTENSIVOS (UCI)",IF(P220=CURSOS!$D$8,"MODELO DE ATENCION PARA EVENTOS EMERGENTES EN SALUD MENTAL (CODIGO VERDE)",IF(P220=CURSOS!$D$9,"HUMANIZACION EN EL SERVICIO DE LA SALUD Y BUENAS PRACTICAS EN PACIENTE ",IF(P220=CURSOS!$D$10,"CLINICA DE HERIDAS ",IF(P220=CURSOS!$D$11,"TOMA DE CITOLOGIA CERVICO VAGINAL ",IF(P220=CURSOS!$D$12,"SOPORTE CARDIOVASCULAR AVANZADO (ACLS) ",IF(P220=CURSOS!$D$13,"CAMILLERO ",IF(P220=CURSOS!$D$14,"TOMA DE MUESTRAS Y LABORATORIO ",IF(P220=CURSOS!$D$15,"SOPORTE VITAL BASICO (BLS)",IF(P220=CURSOS!$D$16,"ATENCION A VICTIMAS DE VIOLENCIA SEXUAL ",IF(P220=CURSOS!$D$17,"PROGRAMADO AMPLIADO DE INMUNIZACION (PAI - COVID 19)",IF(P220=CURSOS!$D$18,"ATENCION INTEGRAL EN ENFERMEDADES PREVALENTES EN PRIMERA INFANCIA (AIEPI)",IF(P220=CURSOS!$D$19,"ADMINISTRACION DE MEDICAMENTOS, INYECTOLOGIA  Y CANALIZACION ",IF(P220=CURSOS!$D$20,"OPERADOR DE VEHICULOS DE EMERGENCIA (OVE)",IF(P220=CURSOS!$D$21,"INSTITUCIONES AMIGAS DE LA MUJER Y LA INFANCIA (IAMI)",IF(P220=CURSOS!$D$22,"CUIDADO DEL DONANTE DE ORGANOS",IF(P220=CURSOS!$D$23,"ATENCION A VICTIMAS POR VIOLENCIA DE GENERO",IF(P220=CURSOS!$D$24,"IGUALDAD DE GENERO EN LA SALUD",IF(P220=CURSOS!$D$25,"BRIGADA DE EMERGENCIA",IF(P220=CURSOS!$D$26,"MANEJO DEL DOLOR Y CUIDADOS PALIATIVOS",IF(P220=CURSOS!$D$27,"TOMA DE MUESTRAS Y LABORATORIO POCT",IF(P220=CURSOS!$D$28,"IMPLANTE SUBDERMICO DE DISPOSITIVO INTRAUTERINO",IF(P220=CURSOS!$D$29,"SALUD MENTAL",IF(P220=CURSOS!$D$30,"PRIMEROS AUXILIOS PSICOLOGICOS",IF(P220=CURSOS!$D$31,"ATENCION A VICTIMAS POR CONFLICTO ARMADO",IF(P220=CURSOS!$D$32,"MANIPULACION DE ALIMENTOS Y BPM",IF(P220=CURSOS!$D$33,"ATENCION A PERSONAS CON DISCAPACIDAD",IF(P220=CURSOS!$D$34,"CUIDADO INTEGRAL DEL PACIENTE ADULTO",IF(P220=CURSOS!$D$35,"MANEJO DEFENSIVO",IF(P220=CURSOS!$D$36,"SOPORTE CARDIOVASCULAR AVANZADO NEONATAL",IF(P220=CURSOS!$D$37,"SEGURIDAD DEL PACIENTE",IF(P220=CURSOS!$D$38,"MANEJO DE RESIDUOS HOSPITALARIOS"))))))))))))))))))))))))))))))))))))</f>
        <v>0</v>
      </c>
      <c r="W220" s="44" t="str">
        <f t="shared" si="11"/>
        <v xml:space="preserve">   </v>
      </c>
      <c r="X220" s="44" t="str">
        <f t="shared" si="12"/>
        <v xml:space="preserve">   </v>
      </c>
      <c r="Y220" s="44" t="str">
        <f t="shared" si="13"/>
        <v xml:space="preserve">   --</v>
      </c>
    </row>
    <row r="221" spans="1:25" x14ac:dyDescent="0.2">
      <c r="A221" s="45">
        <v>220</v>
      </c>
      <c r="J221" s="46"/>
      <c r="Q221" s="46"/>
      <c r="U221" s="40"/>
      <c r="V221" s="44" t="b">
        <f>IF(P221=CURSOS!$D$3,"DIPLOMADO EN ATENCION PRE-HOSPITALARIA",IF(P221=CURSOS!$D$4,"ACOMPAÑAMIENTO Y MANEJO DEL DUELO",IF(P221=CURSOS!$D$5,"ATENCION A VICTIMAS DE ATAQUE CON AGENTES QUIMICOS ",IF(P221=CURSOS!$D$6,"PRIMEROS AUXILIOS ",IF(P221=CURSOS!$D$7,"DIPLOMADO DE UNIDAD DE CUIDADOS INTENSIVOS (UCI)",IF(P221=CURSOS!$D$8,"MODELO DE ATENCION PARA EVENTOS EMERGENTES EN SALUD MENTAL (CODIGO VERDE)",IF(P221=CURSOS!$D$9,"HUMANIZACION EN EL SERVICIO DE LA SALUD Y BUENAS PRACTICAS EN PACIENTE ",IF(P221=CURSOS!$D$10,"CLINICA DE HERIDAS ",IF(P221=CURSOS!$D$11,"TOMA DE CITOLOGIA CERVICO VAGINAL ",IF(P221=CURSOS!$D$12,"SOPORTE CARDIOVASCULAR AVANZADO (ACLS) ",IF(P221=CURSOS!$D$13,"CAMILLERO ",IF(P221=CURSOS!$D$14,"TOMA DE MUESTRAS Y LABORATORIO ",IF(P221=CURSOS!$D$15,"SOPORTE VITAL BASICO (BLS)",IF(P221=CURSOS!$D$16,"ATENCION A VICTIMAS DE VIOLENCIA SEXUAL ",IF(P221=CURSOS!$D$17,"PROGRAMADO AMPLIADO DE INMUNIZACION (PAI - COVID 19)",IF(P221=CURSOS!$D$18,"ATENCION INTEGRAL EN ENFERMEDADES PREVALENTES EN PRIMERA INFANCIA (AIEPI)",IF(P221=CURSOS!$D$19,"ADMINISTRACION DE MEDICAMENTOS, INYECTOLOGIA  Y CANALIZACION ",IF(P221=CURSOS!$D$20,"OPERADOR DE VEHICULOS DE EMERGENCIA (OVE)",IF(P221=CURSOS!$D$21,"INSTITUCIONES AMIGAS DE LA MUJER Y LA INFANCIA (IAMI)",IF(P221=CURSOS!$D$22,"CUIDADO DEL DONANTE DE ORGANOS",IF(P221=CURSOS!$D$23,"ATENCION A VICTIMAS POR VIOLENCIA DE GENERO",IF(P221=CURSOS!$D$24,"IGUALDAD DE GENERO EN LA SALUD",IF(P221=CURSOS!$D$25,"BRIGADA DE EMERGENCIA",IF(P221=CURSOS!$D$26,"MANEJO DEL DOLOR Y CUIDADOS PALIATIVOS",IF(P221=CURSOS!$D$27,"TOMA DE MUESTRAS Y LABORATORIO POCT",IF(P221=CURSOS!$D$28,"IMPLANTE SUBDERMICO DE DISPOSITIVO INTRAUTERINO",IF(P221=CURSOS!$D$29,"SALUD MENTAL",IF(P221=CURSOS!$D$30,"PRIMEROS AUXILIOS PSICOLOGICOS",IF(P221=CURSOS!$D$31,"ATENCION A VICTIMAS POR CONFLICTO ARMADO",IF(P221=CURSOS!$D$32,"MANIPULACION DE ALIMENTOS Y BPM",IF(P221=CURSOS!$D$33,"ATENCION A PERSONAS CON DISCAPACIDAD",IF(P221=CURSOS!$D$34,"CUIDADO INTEGRAL DEL PACIENTE ADULTO",IF(P221=CURSOS!$D$35,"MANEJO DEFENSIVO",IF(P221=CURSOS!$D$36,"SOPORTE CARDIOVASCULAR AVANZADO NEONATAL",IF(P221=CURSOS!$D$37,"SEGURIDAD DEL PACIENTE",IF(P221=CURSOS!$D$38,"MANEJO DE RESIDUOS HOSPITALARIOS"))))))))))))))))))))))))))))))))))))</f>
        <v>0</v>
      </c>
      <c r="W221" s="44" t="str">
        <f t="shared" si="11"/>
        <v xml:space="preserve">   </v>
      </c>
      <c r="X221" s="44" t="str">
        <f t="shared" si="12"/>
        <v xml:space="preserve">   </v>
      </c>
      <c r="Y221" s="44" t="str">
        <f t="shared" si="13"/>
        <v xml:space="preserve">   --</v>
      </c>
    </row>
    <row r="222" spans="1:25" x14ac:dyDescent="0.2">
      <c r="A222" s="45">
        <v>221</v>
      </c>
      <c r="J222" s="46"/>
      <c r="Q222" s="46"/>
      <c r="U222" s="40"/>
      <c r="V222" s="44" t="b">
        <f>IF(P222=CURSOS!$D$3,"DIPLOMADO EN ATENCION PRE-HOSPITALARIA",IF(P222=CURSOS!$D$4,"ACOMPAÑAMIENTO Y MANEJO DEL DUELO",IF(P222=CURSOS!$D$5,"ATENCION A VICTIMAS DE ATAQUE CON AGENTES QUIMICOS ",IF(P222=CURSOS!$D$6,"PRIMEROS AUXILIOS ",IF(P222=CURSOS!$D$7,"DIPLOMADO DE UNIDAD DE CUIDADOS INTENSIVOS (UCI)",IF(P222=CURSOS!$D$8,"MODELO DE ATENCION PARA EVENTOS EMERGENTES EN SALUD MENTAL (CODIGO VERDE)",IF(P222=CURSOS!$D$9,"HUMANIZACION EN EL SERVICIO DE LA SALUD Y BUENAS PRACTICAS EN PACIENTE ",IF(P222=CURSOS!$D$10,"CLINICA DE HERIDAS ",IF(P222=CURSOS!$D$11,"TOMA DE CITOLOGIA CERVICO VAGINAL ",IF(P222=CURSOS!$D$12,"SOPORTE CARDIOVASCULAR AVANZADO (ACLS) ",IF(P222=CURSOS!$D$13,"CAMILLERO ",IF(P222=CURSOS!$D$14,"TOMA DE MUESTRAS Y LABORATORIO ",IF(P222=CURSOS!$D$15,"SOPORTE VITAL BASICO (BLS)",IF(P222=CURSOS!$D$16,"ATENCION A VICTIMAS DE VIOLENCIA SEXUAL ",IF(P222=CURSOS!$D$17,"PROGRAMADO AMPLIADO DE INMUNIZACION (PAI - COVID 19)",IF(P222=CURSOS!$D$18,"ATENCION INTEGRAL EN ENFERMEDADES PREVALENTES EN PRIMERA INFANCIA (AIEPI)",IF(P222=CURSOS!$D$19,"ADMINISTRACION DE MEDICAMENTOS, INYECTOLOGIA  Y CANALIZACION ",IF(P222=CURSOS!$D$20,"OPERADOR DE VEHICULOS DE EMERGENCIA (OVE)",IF(P222=CURSOS!$D$21,"INSTITUCIONES AMIGAS DE LA MUJER Y LA INFANCIA (IAMI)",IF(P222=CURSOS!$D$22,"CUIDADO DEL DONANTE DE ORGANOS",IF(P222=CURSOS!$D$23,"ATENCION A VICTIMAS POR VIOLENCIA DE GENERO",IF(P222=CURSOS!$D$24,"IGUALDAD DE GENERO EN LA SALUD",IF(P222=CURSOS!$D$25,"BRIGADA DE EMERGENCIA",IF(P222=CURSOS!$D$26,"MANEJO DEL DOLOR Y CUIDADOS PALIATIVOS",IF(P222=CURSOS!$D$27,"TOMA DE MUESTRAS Y LABORATORIO POCT",IF(P222=CURSOS!$D$28,"IMPLANTE SUBDERMICO DE DISPOSITIVO INTRAUTERINO",IF(P222=CURSOS!$D$29,"SALUD MENTAL",IF(P222=CURSOS!$D$30,"PRIMEROS AUXILIOS PSICOLOGICOS",IF(P222=CURSOS!$D$31,"ATENCION A VICTIMAS POR CONFLICTO ARMADO",IF(P222=CURSOS!$D$32,"MANIPULACION DE ALIMENTOS Y BPM",IF(P222=CURSOS!$D$33,"ATENCION A PERSONAS CON DISCAPACIDAD",IF(P222=CURSOS!$D$34,"CUIDADO INTEGRAL DEL PACIENTE ADULTO",IF(P222=CURSOS!$D$35,"MANEJO DEFENSIVO",IF(P222=CURSOS!$D$36,"SOPORTE CARDIOVASCULAR AVANZADO NEONATAL",IF(P222=CURSOS!$D$37,"SEGURIDAD DEL PACIENTE",IF(P222=CURSOS!$D$38,"MANEJO DE RESIDUOS HOSPITALARIOS"))))))))))))))))))))))))))))))))))))</f>
        <v>0</v>
      </c>
      <c r="W222" s="44" t="str">
        <f t="shared" si="11"/>
        <v xml:space="preserve">   </v>
      </c>
      <c r="X222" s="44" t="str">
        <f t="shared" si="12"/>
        <v xml:space="preserve">   </v>
      </c>
      <c r="Y222" s="44" t="str">
        <f t="shared" si="13"/>
        <v xml:space="preserve">   --</v>
      </c>
    </row>
    <row r="223" spans="1:25" x14ac:dyDescent="0.2">
      <c r="A223" s="45">
        <v>222</v>
      </c>
      <c r="J223" s="46"/>
      <c r="Q223" s="46"/>
      <c r="U223" s="40"/>
      <c r="V223" s="44" t="b">
        <f>IF(P223=CURSOS!$D$3,"DIPLOMADO EN ATENCION PRE-HOSPITALARIA",IF(P223=CURSOS!$D$4,"ACOMPAÑAMIENTO Y MANEJO DEL DUELO",IF(P223=CURSOS!$D$5,"ATENCION A VICTIMAS DE ATAQUE CON AGENTES QUIMICOS ",IF(P223=CURSOS!$D$6,"PRIMEROS AUXILIOS ",IF(P223=CURSOS!$D$7,"DIPLOMADO DE UNIDAD DE CUIDADOS INTENSIVOS (UCI)",IF(P223=CURSOS!$D$8,"MODELO DE ATENCION PARA EVENTOS EMERGENTES EN SALUD MENTAL (CODIGO VERDE)",IF(P223=CURSOS!$D$9,"HUMANIZACION EN EL SERVICIO DE LA SALUD Y BUENAS PRACTICAS EN PACIENTE ",IF(P223=CURSOS!$D$10,"CLINICA DE HERIDAS ",IF(P223=CURSOS!$D$11,"TOMA DE CITOLOGIA CERVICO VAGINAL ",IF(P223=CURSOS!$D$12,"SOPORTE CARDIOVASCULAR AVANZADO (ACLS) ",IF(P223=CURSOS!$D$13,"CAMILLERO ",IF(P223=CURSOS!$D$14,"TOMA DE MUESTRAS Y LABORATORIO ",IF(P223=CURSOS!$D$15,"SOPORTE VITAL BASICO (BLS)",IF(P223=CURSOS!$D$16,"ATENCION A VICTIMAS DE VIOLENCIA SEXUAL ",IF(P223=CURSOS!$D$17,"PROGRAMADO AMPLIADO DE INMUNIZACION (PAI - COVID 19)",IF(P223=CURSOS!$D$18,"ATENCION INTEGRAL EN ENFERMEDADES PREVALENTES EN PRIMERA INFANCIA (AIEPI)",IF(P223=CURSOS!$D$19,"ADMINISTRACION DE MEDICAMENTOS, INYECTOLOGIA  Y CANALIZACION ",IF(P223=CURSOS!$D$20,"OPERADOR DE VEHICULOS DE EMERGENCIA (OVE)",IF(P223=CURSOS!$D$21,"INSTITUCIONES AMIGAS DE LA MUJER Y LA INFANCIA (IAMI)",IF(P223=CURSOS!$D$22,"CUIDADO DEL DONANTE DE ORGANOS",IF(P223=CURSOS!$D$23,"ATENCION A VICTIMAS POR VIOLENCIA DE GENERO",IF(P223=CURSOS!$D$24,"IGUALDAD DE GENERO EN LA SALUD",IF(P223=CURSOS!$D$25,"BRIGADA DE EMERGENCIA",IF(P223=CURSOS!$D$26,"MANEJO DEL DOLOR Y CUIDADOS PALIATIVOS",IF(P223=CURSOS!$D$27,"TOMA DE MUESTRAS Y LABORATORIO POCT",IF(P223=CURSOS!$D$28,"IMPLANTE SUBDERMICO DE DISPOSITIVO INTRAUTERINO",IF(P223=CURSOS!$D$29,"SALUD MENTAL",IF(P223=CURSOS!$D$30,"PRIMEROS AUXILIOS PSICOLOGICOS",IF(P223=CURSOS!$D$31,"ATENCION A VICTIMAS POR CONFLICTO ARMADO",IF(P223=CURSOS!$D$32,"MANIPULACION DE ALIMENTOS Y BPM",IF(P223=CURSOS!$D$33,"ATENCION A PERSONAS CON DISCAPACIDAD",IF(P223=CURSOS!$D$34,"CUIDADO INTEGRAL DEL PACIENTE ADULTO",IF(P223=CURSOS!$D$35,"MANEJO DEFENSIVO",IF(P223=CURSOS!$D$36,"SOPORTE CARDIOVASCULAR AVANZADO NEONATAL",IF(P223=CURSOS!$D$37,"SEGURIDAD DEL PACIENTE",IF(P223=CURSOS!$D$38,"MANEJO DE RESIDUOS HOSPITALARIOS"))))))))))))))))))))))))))))))))))))</f>
        <v>0</v>
      </c>
      <c r="W223" s="44" t="str">
        <f t="shared" si="11"/>
        <v xml:space="preserve">   </v>
      </c>
      <c r="X223" s="44" t="str">
        <f t="shared" si="12"/>
        <v xml:space="preserve">   </v>
      </c>
      <c r="Y223" s="44" t="str">
        <f t="shared" si="13"/>
        <v xml:space="preserve">   --</v>
      </c>
    </row>
    <row r="224" spans="1:25" x14ac:dyDescent="0.2">
      <c r="A224" s="45">
        <v>223</v>
      </c>
      <c r="J224" s="46"/>
      <c r="Q224" s="46"/>
      <c r="U224" s="40"/>
      <c r="V224" s="44" t="b">
        <f>IF(P224=CURSOS!$D$3,"DIPLOMADO EN ATENCION PRE-HOSPITALARIA",IF(P224=CURSOS!$D$4,"ACOMPAÑAMIENTO Y MANEJO DEL DUELO",IF(P224=CURSOS!$D$5,"ATENCION A VICTIMAS DE ATAQUE CON AGENTES QUIMICOS ",IF(P224=CURSOS!$D$6,"PRIMEROS AUXILIOS ",IF(P224=CURSOS!$D$7,"DIPLOMADO DE UNIDAD DE CUIDADOS INTENSIVOS (UCI)",IF(P224=CURSOS!$D$8,"MODELO DE ATENCION PARA EVENTOS EMERGENTES EN SALUD MENTAL (CODIGO VERDE)",IF(P224=CURSOS!$D$9,"HUMANIZACION EN EL SERVICIO DE LA SALUD Y BUENAS PRACTICAS EN PACIENTE ",IF(P224=CURSOS!$D$10,"CLINICA DE HERIDAS ",IF(P224=CURSOS!$D$11,"TOMA DE CITOLOGIA CERVICO VAGINAL ",IF(P224=CURSOS!$D$12,"SOPORTE CARDIOVASCULAR AVANZADO (ACLS) ",IF(P224=CURSOS!$D$13,"CAMILLERO ",IF(P224=CURSOS!$D$14,"TOMA DE MUESTRAS Y LABORATORIO ",IF(P224=CURSOS!$D$15,"SOPORTE VITAL BASICO (BLS)",IF(P224=CURSOS!$D$16,"ATENCION A VICTIMAS DE VIOLENCIA SEXUAL ",IF(P224=CURSOS!$D$17,"PROGRAMADO AMPLIADO DE INMUNIZACION (PAI - COVID 19)",IF(P224=CURSOS!$D$18,"ATENCION INTEGRAL EN ENFERMEDADES PREVALENTES EN PRIMERA INFANCIA (AIEPI)",IF(P224=CURSOS!$D$19,"ADMINISTRACION DE MEDICAMENTOS, INYECTOLOGIA  Y CANALIZACION ",IF(P224=CURSOS!$D$20,"OPERADOR DE VEHICULOS DE EMERGENCIA (OVE)",IF(P224=CURSOS!$D$21,"INSTITUCIONES AMIGAS DE LA MUJER Y LA INFANCIA (IAMI)",IF(P224=CURSOS!$D$22,"CUIDADO DEL DONANTE DE ORGANOS",IF(P224=CURSOS!$D$23,"ATENCION A VICTIMAS POR VIOLENCIA DE GENERO",IF(P224=CURSOS!$D$24,"IGUALDAD DE GENERO EN LA SALUD",IF(P224=CURSOS!$D$25,"BRIGADA DE EMERGENCIA",IF(P224=CURSOS!$D$26,"MANEJO DEL DOLOR Y CUIDADOS PALIATIVOS",IF(P224=CURSOS!$D$27,"TOMA DE MUESTRAS Y LABORATORIO POCT",IF(P224=CURSOS!$D$28,"IMPLANTE SUBDERMICO DE DISPOSITIVO INTRAUTERINO",IF(P224=CURSOS!$D$29,"SALUD MENTAL",IF(P224=CURSOS!$D$30,"PRIMEROS AUXILIOS PSICOLOGICOS",IF(P224=CURSOS!$D$31,"ATENCION A VICTIMAS POR CONFLICTO ARMADO",IF(P224=CURSOS!$D$32,"MANIPULACION DE ALIMENTOS Y BPM",IF(P224=CURSOS!$D$33,"ATENCION A PERSONAS CON DISCAPACIDAD",IF(P224=CURSOS!$D$34,"CUIDADO INTEGRAL DEL PACIENTE ADULTO",IF(P224=CURSOS!$D$35,"MANEJO DEFENSIVO",IF(P224=CURSOS!$D$36,"SOPORTE CARDIOVASCULAR AVANZADO NEONATAL",IF(P224=CURSOS!$D$37,"SEGURIDAD DEL PACIENTE",IF(P224=CURSOS!$D$38,"MANEJO DE RESIDUOS HOSPITALARIOS"))))))))))))))))))))))))))))))))))))</f>
        <v>0</v>
      </c>
      <c r="W224" s="44" t="str">
        <f t="shared" si="11"/>
        <v xml:space="preserve">   </v>
      </c>
      <c r="X224" s="44" t="str">
        <f t="shared" si="12"/>
        <v xml:space="preserve">   </v>
      </c>
      <c r="Y224" s="44" t="str">
        <f t="shared" si="13"/>
        <v xml:space="preserve">   --</v>
      </c>
    </row>
    <row r="225" spans="1:25" x14ac:dyDescent="0.2">
      <c r="A225" s="45">
        <v>224</v>
      </c>
      <c r="J225" s="46"/>
      <c r="Q225" s="46"/>
      <c r="U225" s="40"/>
      <c r="V225" s="44" t="b">
        <f>IF(P225=CURSOS!$D$3,"DIPLOMADO EN ATENCION PRE-HOSPITALARIA",IF(P225=CURSOS!$D$4,"ACOMPAÑAMIENTO Y MANEJO DEL DUELO",IF(P225=CURSOS!$D$5,"ATENCION A VICTIMAS DE ATAQUE CON AGENTES QUIMICOS ",IF(P225=CURSOS!$D$6,"PRIMEROS AUXILIOS ",IF(P225=CURSOS!$D$7,"DIPLOMADO DE UNIDAD DE CUIDADOS INTENSIVOS (UCI)",IF(P225=CURSOS!$D$8,"MODELO DE ATENCION PARA EVENTOS EMERGENTES EN SALUD MENTAL (CODIGO VERDE)",IF(P225=CURSOS!$D$9,"HUMANIZACION EN EL SERVICIO DE LA SALUD Y BUENAS PRACTICAS EN PACIENTE ",IF(P225=CURSOS!$D$10,"CLINICA DE HERIDAS ",IF(P225=CURSOS!$D$11,"TOMA DE CITOLOGIA CERVICO VAGINAL ",IF(P225=CURSOS!$D$12,"SOPORTE CARDIOVASCULAR AVANZADO (ACLS) ",IF(P225=CURSOS!$D$13,"CAMILLERO ",IF(P225=CURSOS!$D$14,"TOMA DE MUESTRAS Y LABORATORIO ",IF(P225=CURSOS!$D$15,"SOPORTE VITAL BASICO (BLS)",IF(P225=CURSOS!$D$16,"ATENCION A VICTIMAS DE VIOLENCIA SEXUAL ",IF(P225=CURSOS!$D$17,"PROGRAMADO AMPLIADO DE INMUNIZACION (PAI - COVID 19)",IF(P225=CURSOS!$D$18,"ATENCION INTEGRAL EN ENFERMEDADES PREVALENTES EN PRIMERA INFANCIA (AIEPI)",IF(P225=CURSOS!$D$19,"ADMINISTRACION DE MEDICAMENTOS, INYECTOLOGIA  Y CANALIZACION ",IF(P225=CURSOS!$D$20,"OPERADOR DE VEHICULOS DE EMERGENCIA (OVE)",IF(P225=CURSOS!$D$21,"INSTITUCIONES AMIGAS DE LA MUJER Y LA INFANCIA (IAMI)",IF(P225=CURSOS!$D$22,"CUIDADO DEL DONANTE DE ORGANOS",IF(P225=CURSOS!$D$23,"ATENCION A VICTIMAS POR VIOLENCIA DE GENERO",IF(P225=CURSOS!$D$24,"IGUALDAD DE GENERO EN LA SALUD",IF(P225=CURSOS!$D$25,"BRIGADA DE EMERGENCIA",IF(P225=CURSOS!$D$26,"MANEJO DEL DOLOR Y CUIDADOS PALIATIVOS",IF(P225=CURSOS!$D$27,"TOMA DE MUESTRAS Y LABORATORIO POCT",IF(P225=CURSOS!$D$28,"IMPLANTE SUBDERMICO DE DISPOSITIVO INTRAUTERINO",IF(P225=CURSOS!$D$29,"SALUD MENTAL",IF(P225=CURSOS!$D$30,"PRIMEROS AUXILIOS PSICOLOGICOS",IF(P225=CURSOS!$D$31,"ATENCION A VICTIMAS POR CONFLICTO ARMADO",IF(P225=CURSOS!$D$32,"MANIPULACION DE ALIMENTOS Y BPM",IF(P225=CURSOS!$D$33,"ATENCION A PERSONAS CON DISCAPACIDAD",IF(P225=CURSOS!$D$34,"CUIDADO INTEGRAL DEL PACIENTE ADULTO",IF(P225=CURSOS!$D$35,"MANEJO DEFENSIVO",IF(P225=CURSOS!$D$36,"SOPORTE CARDIOVASCULAR AVANZADO NEONATAL",IF(P225=CURSOS!$D$37,"SEGURIDAD DEL PACIENTE",IF(P225=CURSOS!$D$38,"MANEJO DE RESIDUOS HOSPITALARIOS"))))))))))))))))))))))))))))))))))))</f>
        <v>0</v>
      </c>
      <c r="W225" s="44" t="str">
        <f t="shared" si="11"/>
        <v xml:space="preserve">   </v>
      </c>
      <c r="X225" s="44" t="str">
        <f t="shared" si="12"/>
        <v xml:space="preserve">   </v>
      </c>
      <c r="Y225" s="44" t="str">
        <f t="shared" si="13"/>
        <v xml:space="preserve">   --</v>
      </c>
    </row>
    <row r="226" spans="1:25" x14ac:dyDescent="0.2">
      <c r="A226" s="45">
        <v>225</v>
      </c>
      <c r="J226" s="46"/>
      <c r="Q226" s="46"/>
      <c r="U226" s="40"/>
      <c r="V226" s="44" t="b">
        <f>IF(P226=CURSOS!$D$3,"DIPLOMADO EN ATENCION PRE-HOSPITALARIA",IF(P226=CURSOS!$D$4,"ACOMPAÑAMIENTO Y MANEJO DEL DUELO",IF(P226=CURSOS!$D$5,"ATENCION A VICTIMAS DE ATAQUE CON AGENTES QUIMICOS ",IF(P226=CURSOS!$D$6,"PRIMEROS AUXILIOS ",IF(P226=CURSOS!$D$7,"DIPLOMADO DE UNIDAD DE CUIDADOS INTENSIVOS (UCI)",IF(P226=CURSOS!$D$8,"MODELO DE ATENCION PARA EVENTOS EMERGENTES EN SALUD MENTAL (CODIGO VERDE)",IF(P226=CURSOS!$D$9,"HUMANIZACION EN EL SERVICIO DE LA SALUD Y BUENAS PRACTICAS EN PACIENTE ",IF(P226=CURSOS!$D$10,"CLINICA DE HERIDAS ",IF(P226=CURSOS!$D$11,"TOMA DE CITOLOGIA CERVICO VAGINAL ",IF(P226=CURSOS!$D$12,"SOPORTE CARDIOVASCULAR AVANZADO (ACLS) ",IF(P226=CURSOS!$D$13,"CAMILLERO ",IF(P226=CURSOS!$D$14,"TOMA DE MUESTRAS Y LABORATORIO ",IF(P226=CURSOS!$D$15,"SOPORTE VITAL BASICO (BLS)",IF(P226=CURSOS!$D$16,"ATENCION A VICTIMAS DE VIOLENCIA SEXUAL ",IF(P226=CURSOS!$D$17,"PROGRAMADO AMPLIADO DE INMUNIZACION (PAI - COVID 19)",IF(P226=CURSOS!$D$18,"ATENCION INTEGRAL EN ENFERMEDADES PREVALENTES EN PRIMERA INFANCIA (AIEPI)",IF(P226=CURSOS!$D$19,"ADMINISTRACION DE MEDICAMENTOS, INYECTOLOGIA  Y CANALIZACION ",IF(P226=CURSOS!$D$20,"OPERADOR DE VEHICULOS DE EMERGENCIA (OVE)",IF(P226=CURSOS!$D$21,"INSTITUCIONES AMIGAS DE LA MUJER Y LA INFANCIA (IAMI)",IF(P226=CURSOS!$D$22,"CUIDADO DEL DONANTE DE ORGANOS",IF(P226=CURSOS!$D$23,"ATENCION A VICTIMAS POR VIOLENCIA DE GENERO",IF(P226=CURSOS!$D$24,"IGUALDAD DE GENERO EN LA SALUD",IF(P226=CURSOS!$D$25,"BRIGADA DE EMERGENCIA",IF(P226=CURSOS!$D$26,"MANEJO DEL DOLOR Y CUIDADOS PALIATIVOS",IF(P226=CURSOS!$D$27,"TOMA DE MUESTRAS Y LABORATORIO POCT",IF(P226=CURSOS!$D$28,"IMPLANTE SUBDERMICO DE DISPOSITIVO INTRAUTERINO",IF(P226=CURSOS!$D$29,"SALUD MENTAL",IF(P226=CURSOS!$D$30,"PRIMEROS AUXILIOS PSICOLOGICOS",IF(P226=CURSOS!$D$31,"ATENCION A VICTIMAS POR CONFLICTO ARMADO",IF(P226=CURSOS!$D$32,"MANIPULACION DE ALIMENTOS Y BPM",IF(P226=CURSOS!$D$33,"ATENCION A PERSONAS CON DISCAPACIDAD",IF(P226=CURSOS!$D$34,"CUIDADO INTEGRAL DEL PACIENTE ADULTO",IF(P226=CURSOS!$D$35,"MANEJO DEFENSIVO",IF(P226=CURSOS!$D$36,"SOPORTE CARDIOVASCULAR AVANZADO NEONATAL",IF(P226=CURSOS!$D$37,"SEGURIDAD DEL PACIENTE",IF(P226=CURSOS!$D$38,"MANEJO DE RESIDUOS HOSPITALARIOS"))))))))))))))))))))))))))))))))))))</f>
        <v>0</v>
      </c>
      <c r="W226" s="44" t="str">
        <f t="shared" si="11"/>
        <v xml:space="preserve">   </v>
      </c>
      <c r="X226" s="44" t="str">
        <f t="shared" si="12"/>
        <v xml:space="preserve">   </v>
      </c>
      <c r="Y226" s="44" t="str">
        <f t="shared" si="13"/>
        <v xml:space="preserve">   --</v>
      </c>
    </row>
    <row r="227" spans="1:25" x14ac:dyDescent="0.2">
      <c r="A227" s="45">
        <v>226</v>
      </c>
      <c r="J227" s="46"/>
      <c r="Q227" s="46"/>
      <c r="U227" s="40"/>
      <c r="V227" s="44" t="b">
        <f>IF(P227=CURSOS!$D$3,"DIPLOMADO EN ATENCION PRE-HOSPITALARIA",IF(P227=CURSOS!$D$4,"ACOMPAÑAMIENTO Y MANEJO DEL DUELO",IF(P227=CURSOS!$D$5,"ATENCION A VICTIMAS DE ATAQUE CON AGENTES QUIMICOS ",IF(P227=CURSOS!$D$6,"PRIMEROS AUXILIOS ",IF(P227=CURSOS!$D$7,"DIPLOMADO DE UNIDAD DE CUIDADOS INTENSIVOS (UCI)",IF(P227=CURSOS!$D$8,"MODELO DE ATENCION PARA EVENTOS EMERGENTES EN SALUD MENTAL (CODIGO VERDE)",IF(P227=CURSOS!$D$9,"HUMANIZACION EN EL SERVICIO DE LA SALUD Y BUENAS PRACTICAS EN PACIENTE ",IF(P227=CURSOS!$D$10,"CLINICA DE HERIDAS ",IF(P227=CURSOS!$D$11,"TOMA DE CITOLOGIA CERVICO VAGINAL ",IF(P227=CURSOS!$D$12,"SOPORTE CARDIOVASCULAR AVANZADO (ACLS) ",IF(P227=CURSOS!$D$13,"CAMILLERO ",IF(P227=CURSOS!$D$14,"TOMA DE MUESTRAS Y LABORATORIO ",IF(P227=CURSOS!$D$15,"SOPORTE VITAL BASICO (BLS)",IF(P227=CURSOS!$D$16,"ATENCION A VICTIMAS DE VIOLENCIA SEXUAL ",IF(P227=CURSOS!$D$17,"PROGRAMADO AMPLIADO DE INMUNIZACION (PAI - COVID 19)",IF(P227=CURSOS!$D$18,"ATENCION INTEGRAL EN ENFERMEDADES PREVALENTES EN PRIMERA INFANCIA (AIEPI)",IF(P227=CURSOS!$D$19,"ADMINISTRACION DE MEDICAMENTOS, INYECTOLOGIA  Y CANALIZACION ",IF(P227=CURSOS!$D$20,"OPERADOR DE VEHICULOS DE EMERGENCIA (OVE)",IF(P227=CURSOS!$D$21,"INSTITUCIONES AMIGAS DE LA MUJER Y LA INFANCIA (IAMI)",IF(P227=CURSOS!$D$22,"CUIDADO DEL DONANTE DE ORGANOS",IF(P227=CURSOS!$D$23,"ATENCION A VICTIMAS POR VIOLENCIA DE GENERO",IF(P227=CURSOS!$D$24,"IGUALDAD DE GENERO EN LA SALUD",IF(P227=CURSOS!$D$25,"BRIGADA DE EMERGENCIA",IF(P227=CURSOS!$D$26,"MANEJO DEL DOLOR Y CUIDADOS PALIATIVOS",IF(P227=CURSOS!$D$27,"TOMA DE MUESTRAS Y LABORATORIO POCT",IF(P227=CURSOS!$D$28,"IMPLANTE SUBDERMICO DE DISPOSITIVO INTRAUTERINO",IF(P227=CURSOS!$D$29,"SALUD MENTAL",IF(P227=CURSOS!$D$30,"PRIMEROS AUXILIOS PSICOLOGICOS",IF(P227=CURSOS!$D$31,"ATENCION A VICTIMAS POR CONFLICTO ARMADO",IF(P227=CURSOS!$D$32,"MANIPULACION DE ALIMENTOS Y BPM",IF(P227=CURSOS!$D$33,"ATENCION A PERSONAS CON DISCAPACIDAD",IF(P227=CURSOS!$D$34,"CUIDADO INTEGRAL DEL PACIENTE ADULTO",IF(P227=CURSOS!$D$35,"MANEJO DEFENSIVO",IF(P227=CURSOS!$D$36,"SOPORTE CARDIOVASCULAR AVANZADO NEONATAL",IF(P227=CURSOS!$D$37,"SEGURIDAD DEL PACIENTE",IF(P227=CURSOS!$D$38,"MANEJO DE RESIDUOS HOSPITALARIOS"))))))))))))))))))))))))))))))))))))</f>
        <v>0</v>
      </c>
      <c r="W227" s="44" t="str">
        <f t="shared" si="11"/>
        <v xml:space="preserve">   </v>
      </c>
      <c r="X227" s="44" t="str">
        <f t="shared" si="12"/>
        <v xml:space="preserve">   </v>
      </c>
      <c r="Y227" s="44" t="str">
        <f t="shared" si="13"/>
        <v xml:space="preserve">   --</v>
      </c>
    </row>
    <row r="228" spans="1:25" x14ac:dyDescent="0.2">
      <c r="A228" s="45">
        <v>227</v>
      </c>
      <c r="J228" s="46"/>
      <c r="Q228" s="46"/>
      <c r="U228" s="40"/>
      <c r="V228" s="44" t="b">
        <f>IF(P228=CURSOS!$D$3,"DIPLOMADO EN ATENCION PRE-HOSPITALARIA",IF(P228=CURSOS!$D$4,"ACOMPAÑAMIENTO Y MANEJO DEL DUELO",IF(P228=CURSOS!$D$5,"ATENCION A VICTIMAS DE ATAQUE CON AGENTES QUIMICOS ",IF(P228=CURSOS!$D$6,"PRIMEROS AUXILIOS ",IF(P228=CURSOS!$D$7,"DIPLOMADO DE UNIDAD DE CUIDADOS INTENSIVOS (UCI)",IF(P228=CURSOS!$D$8,"MODELO DE ATENCION PARA EVENTOS EMERGENTES EN SALUD MENTAL (CODIGO VERDE)",IF(P228=CURSOS!$D$9,"HUMANIZACION EN EL SERVICIO DE LA SALUD Y BUENAS PRACTICAS EN PACIENTE ",IF(P228=CURSOS!$D$10,"CLINICA DE HERIDAS ",IF(P228=CURSOS!$D$11,"TOMA DE CITOLOGIA CERVICO VAGINAL ",IF(P228=CURSOS!$D$12,"SOPORTE CARDIOVASCULAR AVANZADO (ACLS) ",IF(P228=CURSOS!$D$13,"CAMILLERO ",IF(P228=CURSOS!$D$14,"TOMA DE MUESTRAS Y LABORATORIO ",IF(P228=CURSOS!$D$15,"SOPORTE VITAL BASICO (BLS)",IF(P228=CURSOS!$D$16,"ATENCION A VICTIMAS DE VIOLENCIA SEXUAL ",IF(P228=CURSOS!$D$17,"PROGRAMADO AMPLIADO DE INMUNIZACION (PAI - COVID 19)",IF(P228=CURSOS!$D$18,"ATENCION INTEGRAL EN ENFERMEDADES PREVALENTES EN PRIMERA INFANCIA (AIEPI)",IF(P228=CURSOS!$D$19,"ADMINISTRACION DE MEDICAMENTOS, INYECTOLOGIA  Y CANALIZACION ",IF(P228=CURSOS!$D$20,"OPERADOR DE VEHICULOS DE EMERGENCIA (OVE)",IF(P228=CURSOS!$D$21,"INSTITUCIONES AMIGAS DE LA MUJER Y LA INFANCIA (IAMI)",IF(P228=CURSOS!$D$22,"CUIDADO DEL DONANTE DE ORGANOS",IF(P228=CURSOS!$D$23,"ATENCION A VICTIMAS POR VIOLENCIA DE GENERO",IF(P228=CURSOS!$D$24,"IGUALDAD DE GENERO EN LA SALUD",IF(P228=CURSOS!$D$25,"BRIGADA DE EMERGENCIA",IF(P228=CURSOS!$D$26,"MANEJO DEL DOLOR Y CUIDADOS PALIATIVOS",IF(P228=CURSOS!$D$27,"TOMA DE MUESTRAS Y LABORATORIO POCT",IF(P228=CURSOS!$D$28,"IMPLANTE SUBDERMICO DE DISPOSITIVO INTRAUTERINO",IF(P228=CURSOS!$D$29,"SALUD MENTAL",IF(P228=CURSOS!$D$30,"PRIMEROS AUXILIOS PSICOLOGICOS",IF(P228=CURSOS!$D$31,"ATENCION A VICTIMAS POR CONFLICTO ARMADO",IF(P228=CURSOS!$D$32,"MANIPULACION DE ALIMENTOS Y BPM",IF(P228=CURSOS!$D$33,"ATENCION A PERSONAS CON DISCAPACIDAD",IF(P228=CURSOS!$D$34,"CUIDADO INTEGRAL DEL PACIENTE ADULTO",IF(P228=CURSOS!$D$35,"MANEJO DEFENSIVO",IF(P228=CURSOS!$D$36,"SOPORTE CARDIOVASCULAR AVANZADO NEONATAL",IF(P228=CURSOS!$D$37,"SEGURIDAD DEL PACIENTE",IF(P228=CURSOS!$D$38,"MANEJO DE RESIDUOS HOSPITALARIOS"))))))))))))))))))))))))))))))))))))</f>
        <v>0</v>
      </c>
      <c r="W228" s="44" t="str">
        <f t="shared" si="11"/>
        <v xml:space="preserve">   </v>
      </c>
      <c r="X228" s="44" t="str">
        <f t="shared" si="12"/>
        <v xml:space="preserve">   </v>
      </c>
      <c r="Y228" s="44" t="str">
        <f t="shared" si="13"/>
        <v xml:space="preserve">   --</v>
      </c>
    </row>
    <row r="229" spans="1:25" x14ac:dyDescent="0.2">
      <c r="A229" s="45">
        <v>228</v>
      </c>
      <c r="J229" s="46"/>
      <c r="Q229" s="46"/>
      <c r="S229" s="102"/>
      <c r="U229" s="40"/>
      <c r="V229" s="44" t="b">
        <f>IF(P229=CURSOS!$D$3,"DIPLOMADO EN ATENCION PRE-HOSPITALARIA",IF(P229=CURSOS!$D$4,"ACOMPAÑAMIENTO Y MANEJO DEL DUELO",IF(P229=CURSOS!$D$5,"ATENCION A VICTIMAS DE ATAQUE CON AGENTES QUIMICOS ",IF(P229=CURSOS!$D$6,"PRIMEROS AUXILIOS ",IF(P229=CURSOS!$D$7,"DIPLOMADO DE UNIDAD DE CUIDADOS INTENSIVOS (UCI)",IF(P229=CURSOS!$D$8,"MODELO DE ATENCION PARA EVENTOS EMERGENTES EN SALUD MENTAL (CODIGO VERDE)",IF(P229=CURSOS!$D$9,"HUMANIZACION EN EL SERVICIO DE LA SALUD Y BUENAS PRACTICAS EN PACIENTE ",IF(P229=CURSOS!$D$10,"CLINICA DE HERIDAS ",IF(P229=CURSOS!$D$11,"TOMA DE CITOLOGIA CERVICO VAGINAL ",IF(P229=CURSOS!$D$12,"SOPORTE CARDIOVASCULAR AVANZADO (ACLS) ",IF(P229=CURSOS!$D$13,"CAMILLERO ",IF(P229=CURSOS!$D$14,"TOMA DE MUESTRAS Y LABORATORIO ",IF(P229=CURSOS!$D$15,"SOPORTE VITAL BASICO (BLS)",IF(P229=CURSOS!$D$16,"ATENCION A VICTIMAS DE VIOLENCIA SEXUAL ",IF(P229=CURSOS!$D$17,"PROGRAMADO AMPLIADO DE INMUNIZACION (PAI - COVID 19)",IF(P229=CURSOS!$D$18,"ATENCION INTEGRAL EN ENFERMEDADES PREVALENTES EN PRIMERA INFANCIA (AIEPI)",IF(P229=CURSOS!$D$19,"ADMINISTRACION DE MEDICAMENTOS, INYECTOLOGIA  Y CANALIZACION ",IF(P229=CURSOS!$D$20,"OPERADOR DE VEHICULOS DE EMERGENCIA (OVE)",IF(P229=CURSOS!$D$21,"INSTITUCIONES AMIGAS DE LA MUJER Y LA INFANCIA (IAMI)",IF(P229=CURSOS!$D$22,"CUIDADO DEL DONANTE DE ORGANOS",IF(P229=CURSOS!$D$23,"ATENCION A VICTIMAS POR VIOLENCIA DE GENERO",IF(P229=CURSOS!$D$24,"IGUALDAD DE GENERO EN LA SALUD",IF(P229=CURSOS!$D$25,"BRIGADA DE EMERGENCIA",IF(P229=CURSOS!$D$26,"MANEJO DEL DOLOR Y CUIDADOS PALIATIVOS",IF(P229=CURSOS!$D$27,"TOMA DE MUESTRAS Y LABORATORIO POCT",IF(P229=CURSOS!$D$28,"IMPLANTE SUBDERMICO DE DISPOSITIVO INTRAUTERINO",IF(P229=CURSOS!$D$29,"SALUD MENTAL",IF(P229=CURSOS!$D$30,"PRIMEROS AUXILIOS PSICOLOGICOS",IF(P229=CURSOS!$D$31,"ATENCION A VICTIMAS POR CONFLICTO ARMADO",IF(P229=CURSOS!$D$32,"MANIPULACION DE ALIMENTOS Y BPM",IF(P229=CURSOS!$D$33,"ATENCION A PERSONAS CON DISCAPACIDAD",IF(P229=CURSOS!$D$34,"CUIDADO INTEGRAL DEL PACIENTE ADULTO",IF(P229=CURSOS!$D$35,"MANEJO DEFENSIVO",IF(P229=CURSOS!$D$36,"SOPORTE CARDIOVASCULAR AVANZADO NEONATAL",IF(P229=CURSOS!$D$37,"SEGURIDAD DEL PACIENTE",IF(P229=CURSOS!$D$38,"MANEJO DE RESIDUOS HOSPITALARIOS"))))))))))))))))))))))))))))))))))))</f>
        <v>0</v>
      </c>
      <c r="W229" s="44" t="str">
        <f t="shared" si="11"/>
        <v xml:space="preserve">   </v>
      </c>
      <c r="X229" s="44" t="str">
        <f t="shared" si="12"/>
        <v xml:space="preserve">   </v>
      </c>
      <c r="Y229" s="44" t="str">
        <f t="shared" si="13"/>
        <v xml:space="preserve">   --</v>
      </c>
    </row>
    <row r="230" spans="1:25" x14ac:dyDescent="0.2">
      <c r="A230" s="45">
        <v>229</v>
      </c>
      <c r="J230" s="46"/>
      <c r="Q230" s="46"/>
      <c r="S230" s="104"/>
      <c r="U230" s="40"/>
      <c r="V230" s="44" t="b">
        <f>IF(P230=CURSOS!$D$3,"DIPLOMADO EN ATENCION PRE-HOSPITALARIA",IF(P230=CURSOS!$D$4,"ACOMPAÑAMIENTO Y MANEJO DEL DUELO",IF(P230=CURSOS!$D$5,"ATENCION A VICTIMAS DE ATAQUE CON AGENTES QUIMICOS ",IF(P230=CURSOS!$D$6,"PRIMEROS AUXILIOS ",IF(P230=CURSOS!$D$7,"DIPLOMADO DE UNIDAD DE CUIDADOS INTENSIVOS (UCI)",IF(P230=CURSOS!$D$8,"MODELO DE ATENCION PARA EVENTOS EMERGENTES EN SALUD MENTAL (CODIGO VERDE)",IF(P230=CURSOS!$D$9,"HUMANIZACION EN EL SERVICIO DE LA SALUD Y BUENAS PRACTICAS EN PACIENTE ",IF(P230=CURSOS!$D$10,"CLINICA DE HERIDAS ",IF(P230=CURSOS!$D$11,"TOMA DE CITOLOGIA CERVICO VAGINAL ",IF(P230=CURSOS!$D$12,"SOPORTE CARDIOVASCULAR AVANZADO (ACLS) ",IF(P230=CURSOS!$D$13,"CAMILLERO ",IF(P230=CURSOS!$D$14,"TOMA DE MUESTRAS Y LABORATORIO ",IF(P230=CURSOS!$D$15,"SOPORTE VITAL BASICO (BLS)",IF(P230=CURSOS!$D$16,"ATENCION A VICTIMAS DE VIOLENCIA SEXUAL ",IF(P230=CURSOS!$D$17,"PROGRAMADO AMPLIADO DE INMUNIZACION (PAI - COVID 19)",IF(P230=CURSOS!$D$18,"ATENCION INTEGRAL EN ENFERMEDADES PREVALENTES EN PRIMERA INFANCIA (AIEPI)",IF(P230=CURSOS!$D$19,"ADMINISTRACION DE MEDICAMENTOS, INYECTOLOGIA  Y CANALIZACION ",IF(P230=CURSOS!$D$20,"OPERADOR DE VEHICULOS DE EMERGENCIA (OVE)",IF(P230=CURSOS!$D$21,"INSTITUCIONES AMIGAS DE LA MUJER Y LA INFANCIA (IAMI)",IF(P230=CURSOS!$D$22,"CUIDADO DEL DONANTE DE ORGANOS",IF(P230=CURSOS!$D$23,"ATENCION A VICTIMAS POR VIOLENCIA DE GENERO",IF(P230=CURSOS!$D$24,"IGUALDAD DE GENERO EN LA SALUD",IF(P230=CURSOS!$D$25,"BRIGADA DE EMERGENCIA",IF(P230=CURSOS!$D$26,"MANEJO DEL DOLOR Y CUIDADOS PALIATIVOS",IF(P230=CURSOS!$D$27,"TOMA DE MUESTRAS Y LABORATORIO POCT",IF(P230=CURSOS!$D$28,"IMPLANTE SUBDERMICO DE DISPOSITIVO INTRAUTERINO",IF(P230=CURSOS!$D$29,"SALUD MENTAL",IF(P230=CURSOS!$D$30,"PRIMEROS AUXILIOS PSICOLOGICOS",IF(P230=CURSOS!$D$31,"ATENCION A VICTIMAS POR CONFLICTO ARMADO",IF(P230=CURSOS!$D$32,"MANIPULACION DE ALIMENTOS Y BPM",IF(P230=CURSOS!$D$33,"ATENCION A PERSONAS CON DISCAPACIDAD",IF(P230=CURSOS!$D$34,"CUIDADO INTEGRAL DEL PACIENTE ADULTO",IF(P230=CURSOS!$D$35,"MANEJO DEFENSIVO",IF(P230=CURSOS!$D$36,"SOPORTE CARDIOVASCULAR AVANZADO NEONATAL",IF(P230=CURSOS!$D$37,"SEGURIDAD DEL PACIENTE",IF(P230=CURSOS!$D$38,"MANEJO DE RESIDUOS HOSPITALARIOS"))))))))))))))))))))))))))))))))))))</f>
        <v>0</v>
      </c>
      <c r="W230" s="44" t="str">
        <f t="shared" si="11"/>
        <v xml:space="preserve">   </v>
      </c>
      <c r="X230" s="44" t="str">
        <f t="shared" si="12"/>
        <v xml:space="preserve">   </v>
      </c>
      <c r="Y230" s="44" t="str">
        <f t="shared" si="13"/>
        <v xml:space="preserve">   --</v>
      </c>
    </row>
    <row r="231" spans="1:25" x14ac:dyDescent="0.2">
      <c r="A231" s="45">
        <v>230</v>
      </c>
      <c r="J231" s="46"/>
      <c r="Q231" s="46"/>
      <c r="S231" s="104"/>
      <c r="U231" s="40"/>
      <c r="V231" s="44" t="b">
        <f>IF(P231=CURSOS!$D$3,"DIPLOMADO EN ATENCION PRE-HOSPITALARIA",IF(P231=CURSOS!$D$4,"ACOMPAÑAMIENTO Y MANEJO DEL DUELO",IF(P231=CURSOS!$D$5,"ATENCION A VICTIMAS DE ATAQUE CON AGENTES QUIMICOS ",IF(P231=CURSOS!$D$6,"PRIMEROS AUXILIOS ",IF(P231=CURSOS!$D$7,"DIPLOMADO DE UNIDAD DE CUIDADOS INTENSIVOS (UCI)",IF(P231=CURSOS!$D$8,"MODELO DE ATENCION PARA EVENTOS EMERGENTES EN SALUD MENTAL (CODIGO VERDE)",IF(P231=CURSOS!$D$9,"HUMANIZACION EN EL SERVICIO DE LA SALUD Y BUENAS PRACTICAS EN PACIENTE ",IF(P231=CURSOS!$D$10,"CLINICA DE HERIDAS ",IF(P231=CURSOS!$D$11,"TOMA DE CITOLOGIA CERVICO VAGINAL ",IF(P231=CURSOS!$D$12,"SOPORTE CARDIOVASCULAR AVANZADO (ACLS) ",IF(P231=CURSOS!$D$13,"CAMILLERO ",IF(P231=CURSOS!$D$14,"TOMA DE MUESTRAS Y LABORATORIO ",IF(P231=CURSOS!$D$15,"SOPORTE VITAL BASICO (BLS)",IF(P231=CURSOS!$D$16,"ATENCION A VICTIMAS DE VIOLENCIA SEXUAL ",IF(P231=CURSOS!$D$17,"PROGRAMADO AMPLIADO DE INMUNIZACION (PAI - COVID 19)",IF(P231=CURSOS!$D$18,"ATENCION INTEGRAL EN ENFERMEDADES PREVALENTES EN PRIMERA INFANCIA (AIEPI)",IF(P231=CURSOS!$D$19,"ADMINISTRACION DE MEDICAMENTOS, INYECTOLOGIA  Y CANALIZACION ",IF(P231=CURSOS!$D$20,"OPERADOR DE VEHICULOS DE EMERGENCIA (OVE)",IF(P231=CURSOS!$D$21,"INSTITUCIONES AMIGAS DE LA MUJER Y LA INFANCIA (IAMI)",IF(P231=CURSOS!$D$22,"CUIDADO DEL DONANTE DE ORGANOS",IF(P231=CURSOS!$D$23,"ATENCION A VICTIMAS POR VIOLENCIA DE GENERO",IF(P231=CURSOS!$D$24,"IGUALDAD DE GENERO EN LA SALUD",IF(P231=CURSOS!$D$25,"BRIGADA DE EMERGENCIA",IF(P231=CURSOS!$D$26,"MANEJO DEL DOLOR Y CUIDADOS PALIATIVOS",IF(P231=CURSOS!$D$27,"TOMA DE MUESTRAS Y LABORATORIO POCT",IF(P231=CURSOS!$D$28,"IMPLANTE SUBDERMICO DE DISPOSITIVO INTRAUTERINO",IF(P231=CURSOS!$D$29,"SALUD MENTAL",IF(P231=CURSOS!$D$30,"PRIMEROS AUXILIOS PSICOLOGICOS",IF(P231=CURSOS!$D$31,"ATENCION A VICTIMAS POR CONFLICTO ARMADO",IF(P231=CURSOS!$D$32,"MANIPULACION DE ALIMENTOS Y BPM",IF(P231=CURSOS!$D$33,"ATENCION A PERSONAS CON DISCAPACIDAD",IF(P231=CURSOS!$D$34,"CUIDADO INTEGRAL DEL PACIENTE ADULTO",IF(P231=CURSOS!$D$35,"MANEJO DEFENSIVO",IF(P231=CURSOS!$D$36,"SOPORTE CARDIOVASCULAR AVANZADO NEONATAL",IF(P231=CURSOS!$D$37,"SEGURIDAD DEL PACIENTE",IF(P231=CURSOS!$D$38,"MANEJO DE RESIDUOS HOSPITALARIOS"))))))))))))))))))))))))))))))))))))</f>
        <v>0</v>
      </c>
      <c r="W231" s="44" t="str">
        <f t="shared" si="11"/>
        <v xml:space="preserve">   </v>
      </c>
      <c r="X231" s="44" t="str">
        <f t="shared" si="12"/>
        <v xml:space="preserve">   </v>
      </c>
      <c r="Y231" s="44" t="str">
        <f t="shared" si="13"/>
        <v xml:space="preserve">   --</v>
      </c>
    </row>
    <row r="232" spans="1:25" x14ac:dyDescent="0.2">
      <c r="A232" s="45">
        <v>231</v>
      </c>
      <c r="Q232" s="46"/>
      <c r="V232" s="44" t="b">
        <f>IF(P232=CURSOS!$D$3,"DIPLOMADO EN ATENCION PRE-HOSPITALARIA",IF(P232=CURSOS!$D$4,"ACOMPAÑAMIENTO Y MANEJO DEL DUELO",IF(P232=CURSOS!$D$5,"ATENCION A VICTIMAS DE ATAQUE CON AGENTES QUIMICOS ",IF(P232=CURSOS!$D$6,"PRIMEROS AUXILIOS ",IF(P232=CURSOS!$D$7,"DIPLOMADO DE UNIDAD DE CUIDADOS INTENSIVOS (UCI)",IF(P232=CURSOS!$D$8,"MODELO DE ATENCION PARA EVENTOS EMERGENTES EN SALUD MENTAL (CODIGO VERDE)",IF(P232=CURSOS!$D$9,"HUMANIZACION EN EL SERVICIO DE LA SALUD Y BUENAS PRACTICAS EN PACIENTE ",IF(P232=CURSOS!$D$10,"CLINICA DE HERIDAS ",IF(P232=CURSOS!$D$11,"TOMA DE CITOLOGIA CERVICO VAGINAL ",IF(P232=CURSOS!$D$12,"SOPORTE CARDIOVASCULAR AVANZADO (ACLS) ",IF(P232=CURSOS!$D$13,"CAMILLERO ",IF(P232=CURSOS!$D$14,"TOMA DE MUESTRAS Y LABORATORIO ",IF(P232=CURSOS!$D$15,"SOPORTE VITAL BASICO (BLS)",IF(P232=CURSOS!$D$16,"ATENCION A VICTIMAS DE VIOLENCIA SEXUAL ",IF(P232=CURSOS!$D$17,"PROGRAMADO AMPLIADO DE INMUNIZACION (PAI - COVID 19)",IF(P232=CURSOS!$D$18,"ATENCION INTEGRAL EN ENFERMEDADES PREVALENTES EN PRIMERA INFANCIA (AIEPI)",IF(P232=CURSOS!$D$19,"ADMINISTRACION DE MEDICAMENTOS, INYECTOLOGIA  Y CANALIZACION ",IF(P232=CURSOS!$D$20,"OPERADOR DE VEHICULOS DE EMERGENCIA (OVE)",IF(P232=CURSOS!$D$21,"INSTITUCIONES AMIGAS DE LA MUJER Y LA INFANCIA (IAMI)",IF(P232=CURSOS!$D$22,"CUIDADO DEL DONANTE DE ORGANOS",IF(P232=CURSOS!$D$23,"ATENCION A VICTIMAS POR VIOLENCIA DE GENERO",IF(P232=CURSOS!$D$24,"IGUALDAD DE GENERO EN LA SALUD",IF(P232=CURSOS!$D$25,"BRIGADA DE EMERGENCIA",IF(P232=CURSOS!$D$26,"MANEJO DEL DOLOR Y CUIDADOS PALIATIVOS",IF(P232=CURSOS!$D$27,"TOMA DE MUESTRAS Y LABORATORIO POCT",IF(P232=CURSOS!$D$28,"IMPLANTE SUBDERMICO DE DISPOSITIVO INTRAUTERINO",IF(P232=CURSOS!$D$29,"SALUD MENTAL",IF(P232=CURSOS!$D$30,"PRIMEROS AUXILIOS PSICOLOGICOS",IF(P232=CURSOS!$D$31,"ATENCION A VICTIMAS POR CONFLICTO ARMADO",IF(P232=CURSOS!$D$32,"MANIPULACION DE ALIMENTOS Y BPM",IF(P232=CURSOS!$D$33,"ATENCION A PERSONAS CON DISCAPACIDAD",IF(P232=CURSOS!$D$34,"CUIDADO INTEGRAL DEL PACIENTE ADULTO",IF(P232=CURSOS!$D$35,"MANEJO DEFENSIVO",IF(P232=CURSOS!$D$36,"SOPORTE CARDIOVASCULAR AVANZADO NEONATAL",IF(P232=CURSOS!$D$37,"SEGURIDAD DEL PACIENTE",IF(P232=CURSOS!$D$38,"MANEJO DE RESIDUOS HOSPITALARIOS"))))))))))))))))))))))))))))))))))))</f>
        <v>0</v>
      </c>
      <c r="W232" s="44" t="str">
        <f t="shared" si="11"/>
        <v xml:space="preserve">   </v>
      </c>
      <c r="X232" s="44" t="str">
        <f t="shared" si="12"/>
        <v xml:space="preserve">   </v>
      </c>
      <c r="Y232" s="44" t="str">
        <f t="shared" si="13"/>
        <v xml:space="preserve">   --</v>
      </c>
    </row>
    <row r="233" spans="1:25" x14ac:dyDescent="0.2">
      <c r="A233" s="45">
        <v>232</v>
      </c>
      <c r="Q233" s="46"/>
      <c r="V233" s="44" t="b">
        <f>IF(P233=CURSOS!$D$3,"DIPLOMADO EN ATENCION PRE-HOSPITALARIA",IF(P233=CURSOS!$D$4,"ACOMPAÑAMIENTO Y MANEJO DEL DUELO",IF(P233=CURSOS!$D$5,"ATENCION A VICTIMAS DE ATAQUE CON AGENTES QUIMICOS ",IF(P233=CURSOS!$D$6,"PRIMEROS AUXILIOS ",IF(P233=CURSOS!$D$7,"DIPLOMADO DE UNIDAD DE CUIDADOS INTENSIVOS (UCI)",IF(P233=CURSOS!$D$8,"MODELO DE ATENCION PARA EVENTOS EMERGENTES EN SALUD MENTAL (CODIGO VERDE)",IF(P233=CURSOS!$D$9,"HUMANIZACION EN EL SERVICIO DE LA SALUD Y BUENAS PRACTICAS EN PACIENTE ",IF(P233=CURSOS!$D$10,"CLINICA DE HERIDAS ",IF(P233=CURSOS!$D$11,"TOMA DE CITOLOGIA CERVICO VAGINAL ",IF(P233=CURSOS!$D$12,"SOPORTE CARDIOVASCULAR AVANZADO (ACLS) ",IF(P233=CURSOS!$D$13,"CAMILLERO ",IF(P233=CURSOS!$D$14,"TOMA DE MUESTRAS Y LABORATORIO ",IF(P233=CURSOS!$D$15,"SOPORTE VITAL BASICO (BLS)",IF(P233=CURSOS!$D$16,"ATENCION A VICTIMAS DE VIOLENCIA SEXUAL ",IF(P233=CURSOS!$D$17,"PROGRAMADO AMPLIADO DE INMUNIZACION (PAI - COVID 19)",IF(P233=CURSOS!$D$18,"ATENCION INTEGRAL EN ENFERMEDADES PREVALENTES EN PRIMERA INFANCIA (AIEPI)",IF(P233=CURSOS!$D$19,"ADMINISTRACION DE MEDICAMENTOS, INYECTOLOGIA  Y CANALIZACION ",IF(P233=CURSOS!$D$20,"OPERADOR DE VEHICULOS DE EMERGENCIA (OVE)",IF(P233=CURSOS!$D$21,"INSTITUCIONES AMIGAS DE LA MUJER Y LA INFANCIA (IAMI)",IF(P233=CURSOS!$D$22,"CUIDADO DEL DONANTE DE ORGANOS",IF(P233=CURSOS!$D$23,"ATENCION A VICTIMAS POR VIOLENCIA DE GENERO",IF(P233=CURSOS!$D$24,"IGUALDAD DE GENERO EN LA SALUD",IF(P233=CURSOS!$D$25,"BRIGADA DE EMERGENCIA",IF(P233=CURSOS!$D$26,"MANEJO DEL DOLOR Y CUIDADOS PALIATIVOS",IF(P233=CURSOS!$D$27,"TOMA DE MUESTRAS Y LABORATORIO POCT",IF(P233=CURSOS!$D$28,"IMPLANTE SUBDERMICO DE DISPOSITIVO INTRAUTERINO",IF(P233=CURSOS!$D$29,"SALUD MENTAL",IF(P233=CURSOS!$D$30,"PRIMEROS AUXILIOS PSICOLOGICOS",IF(P233=CURSOS!$D$31,"ATENCION A VICTIMAS POR CONFLICTO ARMADO",IF(P233=CURSOS!$D$32,"MANIPULACION DE ALIMENTOS Y BPM",IF(P233=CURSOS!$D$33,"ATENCION A PERSONAS CON DISCAPACIDAD",IF(P233=CURSOS!$D$34,"CUIDADO INTEGRAL DEL PACIENTE ADULTO",IF(P233=CURSOS!$D$35,"MANEJO DEFENSIVO",IF(P233=CURSOS!$D$36,"SOPORTE CARDIOVASCULAR AVANZADO NEONATAL",IF(P233=CURSOS!$D$37,"SEGURIDAD DEL PACIENTE",IF(P233=CURSOS!$D$38,"MANEJO DE RESIDUOS HOSPITALARIOS"))))))))))))))))))))))))))))))))))))</f>
        <v>0</v>
      </c>
      <c r="W233" s="44" t="str">
        <f t="shared" si="11"/>
        <v xml:space="preserve">   </v>
      </c>
      <c r="X233" s="44" t="str">
        <f t="shared" si="12"/>
        <v xml:space="preserve">   </v>
      </c>
      <c r="Y233" s="44" t="str">
        <f t="shared" si="13"/>
        <v xml:space="preserve">   --</v>
      </c>
    </row>
    <row r="234" spans="1:25" x14ac:dyDescent="0.2">
      <c r="A234" s="45">
        <v>233</v>
      </c>
      <c r="Q234" s="46"/>
      <c r="V234" s="44" t="b">
        <f>IF(P234=CURSOS!$D$3,"DIPLOMADO EN ATENCION PRE-HOSPITALARIA",IF(P234=CURSOS!$D$4,"ACOMPAÑAMIENTO Y MANEJO DEL DUELO",IF(P234=CURSOS!$D$5,"ATENCION A VICTIMAS DE ATAQUE CON AGENTES QUIMICOS ",IF(P234=CURSOS!$D$6,"PRIMEROS AUXILIOS ",IF(P234=CURSOS!$D$7,"DIPLOMADO DE UNIDAD DE CUIDADOS INTENSIVOS (UCI)",IF(P234=CURSOS!$D$8,"MODELO DE ATENCION PARA EVENTOS EMERGENTES EN SALUD MENTAL (CODIGO VERDE)",IF(P234=CURSOS!$D$9,"HUMANIZACION EN EL SERVICIO DE LA SALUD Y BUENAS PRACTICAS EN PACIENTE ",IF(P234=CURSOS!$D$10,"CLINICA DE HERIDAS ",IF(P234=CURSOS!$D$11,"TOMA DE CITOLOGIA CERVICO VAGINAL ",IF(P234=CURSOS!$D$12,"SOPORTE CARDIOVASCULAR AVANZADO (ACLS) ",IF(P234=CURSOS!$D$13,"CAMILLERO ",IF(P234=CURSOS!$D$14,"TOMA DE MUESTRAS Y LABORATORIO ",IF(P234=CURSOS!$D$15,"SOPORTE VITAL BASICO (BLS)",IF(P234=CURSOS!$D$16,"ATENCION A VICTIMAS DE VIOLENCIA SEXUAL ",IF(P234=CURSOS!$D$17,"PROGRAMADO AMPLIADO DE INMUNIZACION (PAI - COVID 19)",IF(P234=CURSOS!$D$18,"ATENCION INTEGRAL EN ENFERMEDADES PREVALENTES EN PRIMERA INFANCIA (AIEPI)",IF(P234=CURSOS!$D$19,"ADMINISTRACION DE MEDICAMENTOS, INYECTOLOGIA  Y CANALIZACION ",IF(P234=CURSOS!$D$20,"OPERADOR DE VEHICULOS DE EMERGENCIA (OVE)",IF(P234=CURSOS!$D$21,"INSTITUCIONES AMIGAS DE LA MUJER Y LA INFANCIA (IAMI)",IF(P234=CURSOS!$D$22,"CUIDADO DEL DONANTE DE ORGANOS",IF(P234=CURSOS!$D$23,"ATENCION A VICTIMAS POR VIOLENCIA DE GENERO",IF(P234=CURSOS!$D$24,"IGUALDAD DE GENERO EN LA SALUD",IF(P234=CURSOS!$D$25,"BRIGADA DE EMERGENCIA",IF(P234=CURSOS!$D$26,"MANEJO DEL DOLOR Y CUIDADOS PALIATIVOS",IF(P234=CURSOS!$D$27,"TOMA DE MUESTRAS Y LABORATORIO POCT",IF(P234=CURSOS!$D$28,"IMPLANTE SUBDERMICO DE DISPOSITIVO INTRAUTERINO",IF(P234=CURSOS!$D$29,"SALUD MENTAL",IF(P234=CURSOS!$D$30,"PRIMEROS AUXILIOS PSICOLOGICOS",IF(P234=CURSOS!$D$31,"ATENCION A VICTIMAS POR CONFLICTO ARMADO",IF(P234=CURSOS!$D$32,"MANIPULACION DE ALIMENTOS Y BPM",IF(P234=CURSOS!$D$33,"ATENCION A PERSONAS CON DISCAPACIDAD",IF(P234=CURSOS!$D$34,"CUIDADO INTEGRAL DEL PACIENTE ADULTO",IF(P234=CURSOS!$D$35,"MANEJO DEFENSIVO",IF(P234=CURSOS!$D$36,"SOPORTE CARDIOVASCULAR AVANZADO NEONATAL",IF(P234=CURSOS!$D$37,"SEGURIDAD DEL PACIENTE",IF(P234=CURSOS!$D$38,"MANEJO DE RESIDUOS HOSPITALARIOS"))))))))))))))))))))))))))))))))))))</f>
        <v>0</v>
      </c>
      <c r="W234" s="44" t="str">
        <f t="shared" si="11"/>
        <v xml:space="preserve">   </v>
      </c>
      <c r="X234" s="44" t="str">
        <f t="shared" si="12"/>
        <v xml:space="preserve">   </v>
      </c>
      <c r="Y234" s="44" t="str">
        <f t="shared" si="13"/>
        <v xml:space="preserve">   --</v>
      </c>
    </row>
    <row r="235" spans="1:25" x14ac:dyDescent="0.2">
      <c r="A235" s="45">
        <v>234</v>
      </c>
      <c r="Q235" s="46"/>
      <c r="V235" s="44" t="b">
        <f>IF(P235=CURSOS!$D$3,"DIPLOMADO EN ATENCION PRE-HOSPITALARIA",IF(P235=CURSOS!$D$4,"ACOMPAÑAMIENTO Y MANEJO DEL DUELO",IF(P235=CURSOS!$D$5,"ATENCION A VICTIMAS DE ATAQUE CON AGENTES QUIMICOS ",IF(P235=CURSOS!$D$6,"PRIMEROS AUXILIOS ",IF(P235=CURSOS!$D$7,"DIPLOMADO DE UNIDAD DE CUIDADOS INTENSIVOS (UCI)",IF(P235=CURSOS!$D$8,"MODELO DE ATENCION PARA EVENTOS EMERGENTES EN SALUD MENTAL (CODIGO VERDE)",IF(P235=CURSOS!$D$9,"HUMANIZACION EN EL SERVICIO DE LA SALUD Y BUENAS PRACTICAS EN PACIENTE ",IF(P235=CURSOS!$D$10,"CLINICA DE HERIDAS ",IF(P235=CURSOS!$D$11,"TOMA DE CITOLOGIA CERVICO VAGINAL ",IF(P235=CURSOS!$D$12,"SOPORTE CARDIOVASCULAR AVANZADO (ACLS) ",IF(P235=CURSOS!$D$13,"CAMILLERO ",IF(P235=CURSOS!$D$14,"TOMA DE MUESTRAS Y LABORATORIO ",IF(P235=CURSOS!$D$15,"SOPORTE VITAL BASICO (BLS)",IF(P235=CURSOS!$D$16,"ATENCION A VICTIMAS DE VIOLENCIA SEXUAL ",IF(P235=CURSOS!$D$17,"PROGRAMADO AMPLIADO DE INMUNIZACION (PAI - COVID 19)",IF(P235=CURSOS!$D$18,"ATENCION INTEGRAL EN ENFERMEDADES PREVALENTES EN PRIMERA INFANCIA (AIEPI)",IF(P235=CURSOS!$D$19,"ADMINISTRACION DE MEDICAMENTOS, INYECTOLOGIA  Y CANALIZACION ",IF(P235=CURSOS!$D$20,"OPERADOR DE VEHICULOS DE EMERGENCIA (OVE)",IF(P235=CURSOS!$D$21,"INSTITUCIONES AMIGAS DE LA MUJER Y LA INFANCIA (IAMI)",IF(P235=CURSOS!$D$22,"CUIDADO DEL DONANTE DE ORGANOS",IF(P235=CURSOS!$D$23,"ATENCION A VICTIMAS POR VIOLENCIA DE GENERO",IF(P235=CURSOS!$D$24,"IGUALDAD DE GENERO EN LA SALUD",IF(P235=CURSOS!$D$25,"BRIGADA DE EMERGENCIA",IF(P235=CURSOS!$D$26,"MANEJO DEL DOLOR Y CUIDADOS PALIATIVOS",IF(P235=CURSOS!$D$27,"TOMA DE MUESTRAS Y LABORATORIO POCT",IF(P235=CURSOS!$D$28,"IMPLANTE SUBDERMICO DE DISPOSITIVO INTRAUTERINO",IF(P235=CURSOS!$D$29,"SALUD MENTAL",IF(P235=CURSOS!$D$30,"PRIMEROS AUXILIOS PSICOLOGICOS",IF(P235=CURSOS!$D$31,"ATENCION A VICTIMAS POR CONFLICTO ARMADO",IF(P235=CURSOS!$D$32,"MANIPULACION DE ALIMENTOS Y BPM",IF(P235=CURSOS!$D$33,"ATENCION A PERSONAS CON DISCAPACIDAD",IF(P235=CURSOS!$D$34,"CUIDADO INTEGRAL DEL PACIENTE ADULTO",IF(P235=CURSOS!$D$35,"MANEJO DEFENSIVO",IF(P235=CURSOS!$D$36,"SOPORTE CARDIOVASCULAR AVANZADO NEONATAL",IF(P235=CURSOS!$D$37,"SEGURIDAD DEL PACIENTE",IF(P235=CURSOS!$D$38,"MANEJO DE RESIDUOS HOSPITALARIOS"))))))))))))))))))))))))))))))))))))</f>
        <v>0</v>
      </c>
      <c r="W235" s="44" t="str">
        <f t="shared" si="11"/>
        <v xml:space="preserve">   </v>
      </c>
      <c r="X235" s="44" t="str">
        <f t="shared" si="12"/>
        <v xml:space="preserve">   </v>
      </c>
      <c r="Y235" s="44" t="str">
        <f t="shared" si="13"/>
        <v xml:space="preserve">   --</v>
      </c>
    </row>
    <row r="236" spans="1:25" x14ac:dyDescent="0.2">
      <c r="A236" s="45">
        <v>235</v>
      </c>
      <c r="Q236" s="46"/>
      <c r="V236" s="44" t="b">
        <f>IF(P236=CURSOS!$D$3,"DIPLOMADO EN ATENCION PRE-HOSPITALARIA",IF(P236=CURSOS!$D$4,"ACOMPAÑAMIENTO Y MANEJO DEL DUELO",IF(P236=CURSOS!$D$5,"ATENCION A VICTIMAS DE ATAQUE CON AGENTES QUIMICOS ",IF(P236=CURSOS!$D$6,"PRIMEROS AUXILIOS ",IF(P236=CURSOS!$D$7,"DIPLOMADO DE UNIDAD DE CUIDADOS INTENSIVOS (UCI)",IF(P236=CURSOS!$D$8,"MODELO DE ATENCION PARA EVENTOS EMERGENTES EN SALUD MENTAL (CODIGO VERDE)",IF(P236=CURSOS!$D$9,"HUMANIZACION EN EL SERVICIO DE LA SALUD Y BUENAS PRACTICAS EN PACIENTE ",IF(P236=CURSOS!$D$10,"CLINICA DE HERIDAS ",IF(P236=CURSOS!$D$11,"TOMA DE CITOLOGIA CERVICO VAGINAL ",IF(P236=CURSOS!$D$12,"SOPORTE CARDIOVASCULAR AVANZADO (ACLS) ",IF(P236=CURSOS!$D$13,"CAMILLERO ",IF(P236=CURSOS!$D$14,"TOMA DE MUESTRAS Y LABORATORIO ",IF(P236=CURSOS!$D$15,"SOPORTE VITAL BASICO (BLS)",IF(P236=CURSOS!$D$16,"ATENCION A VICTIMAS DE VIOLENCIA SEXUAL ",IF(P236=CURSOS!$D$17,"PROGRAMADO AMPLIADO DE INMUNIZACION (PAI - COVID 19)",IF(P236=CURSOS!$D$18,"ATENCION INTEGRAL EN ENFERMEDADES PREVALENTES EN PRIMERA INFANCIA (AIEPI)",IF(P236=CURSOS!$D$19,"ADMINISTRACION DE MEDICAMENTOS, INYECTOLOGIA  Y CANALIZACION ",IF(P236=CURSOS!$D$20,"OPERADOR DE VEHICULOS DE EMERGENCIA (OVE)",IF(P236=CURSOS!$D$21,"INSTITUCIONES AMIGAS DE LA MUJER Y LA INFANCIA (IAMI)",IF(P236=CURSOS!$D$22,"CUIDADO DEL DONANTE DE ORGANOS",IF(P236=CURSOS!$D$23,"ATENCION A VICTIMAS POR VIOLENCIA DE GENERO",IF(P236=CURSOS!$D$24,"IGUALDAD DE GENERO EN LA SALUD",IF(P236=CURSOS!$D$25,"BRIGADA DE EMERGENCIA",IF(P236=CURSOS!$D$26,"MANEJO DEL DOLOR Y CUIDADOS PALIATIVOS",IF(P236=CURSOS!$D$27,"TOMA DE MUESTRAS Y LABORATORIO POCT",IF(P236=CURSOS!$D$28,"IMPLANTE SUBDERMICO DE DISPOSITIVO INTRAUTERINO",IF(P236=CURSOS!$D$29,"SALUD MENTAL",IF(P236=CURSOS!$D$30,"PRIMEROS AUXILIOS PSICOLOGICOS",IF(P236=CURSOS!$D$31,"ATENCION A VICTIMAS POR CONFLICTO ARMADO",IF(P236=CURSOS!$D$32,"MANIPULACION DE ALIMENTOS Y BPM",IF(P236=CURSOS!$D$33,"ATENCION A PERSONAS CON DISCAPACIDAD",IF(P236=CURSOS!$D$34,"CUIDADO INTEGRAL DEL PACIENTE ADULTO",IF(P236=CURSOS!$D$35,"MANEJO DEFENSIVO",IF(P236=CURSOS!$D$36,"SOPORTE CARDIOVASCULAR AVANZADO NEONATAL",IF(P236=CURSOS!$D$37,"SEGURIDAD DEL PACIENTE",IF(P236=CURSOS!$D$38,"MANEJO DE RESIDUOS HOSPITALARIOS"))))))))))))))))))))))))))))))))))))</f>
        <v>0</v>
      </c>
      <c r="W236" s="44" t="str">
        <f t="shared" si="11"/>
        <v xml:space="preserve">   </v>
      </c>
      <c r="X236" s="44" t="str">
        <f t="shared" si="12"/>
        <v xml:space="preserve">   </v>
      </c>
      <c r="Y236" s="44" t="str">
        <f t="shared" si="13"/>
        <v xml:space="preserve">   --</v>
      </c>
    </row>
    <row r="237" spans="1:25" x14ac:dyDescent="0.2">
      <c r="A237" s="45">
        <v>236</v>
      </c>
      <c r="Q237" s="46"/>
      <c r="V237" s="44" t="b">
        <f>IF(P237=CURSOS!$D$3,"DIPLOMADO EN ATENCION PRE-HOSPITALARIA",IF(P237=CURSOS!$D$4,"ACOMPAÑAMIENTO Y MANEJO DEL DUELO",IF(P237=CURSOS!$D$5,"ATENCION A VICTIMAS DE ATAQUE CON AGENTES QUIMICOS ",IF(P237=CURSOS!$D$6,"PRIMEROS AUXILIOS ",IF(P237=CURSOS!$D$7,"DIPLOMADO DE UNIDAD DE CUIDADOS INTENSIVOS (UCI)",IF(P237=CURSOS!$D$8,"MODELO DE ATENCION PARA EVENTOS EMERGENTES EN SALUD MENTAL (CODIGO VERDE)",IF(P237=CURSOS!$D$9,"HUMANIZACION EN EL SERVICIO DE LA SALUD Y BUENAS PRACTICAS EN PACIENTE ",IF(P237=CURSOS!$D$10,"CLINICA DE HERIDAS ",IF(P237=CURSOS!$D$11,"TOMA DE CITOLOGIA CERVICO VAGINAL ",IF(P237=CURSOS!$D$12,"SOPORTE CARDIOVASCULAR AVANZADO (ACLS) ",IF(P237=CURSOS!$D$13,"CAMILLERO ",IF(P237=CURSOS!$D$14,"TOMA DE MUESTRAS Y LABORATORIO ",IF(P237=CURSOS!$D$15,"SOPORTE VITAL BASICO (BLS)",IF(P237=CURSOS!$D$16,"ATENCION A VICTIMAS DE VIOLENCIA SEXUAL ",IF(P237=CURSOS!$D$17,"PROGRAMADO AMPLIADO DE INMUNIZACION (PAI - COVID 19)",IF(P237=CURSOS!$D$18,"ATENCION INTEGRAL EN ENFERMEDADES PREVALENTES EN PRIMERA INFANCIA (AIEPI)",IF(P237=CURSOS!$D$19,"ADMINISTRACION DE MEDICAMENTOS, INYECTOLOGIA  Y CANALIZACION ",IF(P237=CURSOS!$D$20,"OPERADOR DE VEHICULOS DE EMERGENCIA (OVE)",IF(P237=CURSOS!$D$21,"INSTITUCIONES AMIGAS DE LA MUJER Y LA INFANCIA (IAMI)",IF(P237=CURSOS!$D$22,"CUIDADO DEL DONANTE DE ORGANOS",IF(P237=CURSOS!$D$23,"ATENCION A VICTIMAS POR VIOLENCIA DE GENERO",IF(P237=CURSOS!$D$24,"IGUALDAD DE GENERO EN LA SALUD",IF(P237=CURSOS!$D$25,"BRIGADA DE EMERGENCIA",IF(P237=CURSOS!$D$26,"MANEJO DEL DOLOR Y CUIDADOS PALIATIVOS",IF(P237=CURSOS!$D$27,"TOMA DE MUESTRAS Y LABORATORIO POCT",IF(P237=CURSOS!$D$28,"IMPLANTE SUBDERMICO DE DISPOSITIVO INTRAUTERINO",IF(P237=CURSOS!$D$29,"SALUD MENTAL",IF(P237=CURSOS!$D$30,"PRIMEROS AUXILIOS PSICOLOGICOS",IF(P237=CURSOS!$D$31,"ATENCION A VICTIMAS POR CONFLICTO ARMADO",IF(P237=CURSOS!$D$32,"MANIPULACION DE ALIMENTOS Y BPM",IF(P237=CURSOS!$D$33,"ATENCION A PERSONAS CON DISCAPACIDAD",IF(P237=CURSOS!$D$34,"CUIDADO INTEGRAL DEL PACIENTE ADULTO",IF(P237=CURSOS!$D$35,"MANEJO DEFENSIVO",IF(P237=CURSOS!$D$36,"SOPORTE CARDIOVASCULAR AVANZADO NEONATAL",IF(P237=CURSOS!$D$37,"SEGURIDAD DEL PACIENTE",IF(P237=CURSOS!$D$38,"MANEJO DE RESIDUOS HOSPITALARIOS"))))))))))))))))))))))))))))))))))))</f>
        <v>0</v>
      </c>
      <c r="W237" s="44" t="str">
        <f t="shared" si="11"/>
        <v xml:space="preserve">   </v>
      </c>
      <c r="X237" s="44" t="str">
        <f t="shared" si="12"/>
        <v xml:space="preserve">   </v>
      </c>
      <c r="Y237" s="44" t="str">
        <f t="shared" si="13"/>
        <v xml:space="preserve">   --</v>
      </c>
    </row>
    <row r="238" spans="1:25" x14ac:dyDescent="0.2">
      <c r="A238" s="45">
        <v>236</v>
      </c>
      <c r="Q238" s="46"/>
      <c r="V238" s="44" t="b">
        <f>IF(P238=CURSOS!$D$3,"DIPLOMADO EN ATENCION PRE-HOSPITALARIA",IF(P238=CURSOS!$D$4,"ACOMPAÑAMIENTO Y MANEJO DEL DUELO",IF(P238=CURSOS!$D$5,"ATENCION A VICTIMAS DE ATAQUE CON AGENTES QUIMICOS ",IF(P238=CURSOS!$D$6,"PRIMEROS AUXILIOS ",IF(P238=CURSOS!$D$7,"DIPLOMADO DE UNIDAD DE CUIDADOS INTENSIVOS (UCI)",IF(P238=CURSOS!$D$8,"MODELO DE ATENCION PARA EVENTOS EMERGENTES EN SALUD MENTAL (CODIGO VERDE)",IF(P238=CURSOS!$D$9,"HUMANIZACION EN EL SERVICIO DE LA SALUD Y BUENAS PRACTICAS EN PACIENTE ",IF(P238=CURSOS!$D$10,"CLINICA DE HERIDAS ",IF(P238=CURSOS!$D$11,"TOMA DE CITOLOGIA CERVICO VAGINAL ",IF(P238=CURSOS!$D$12,"SOPORTE CARDIOVASCULAR AVANZADO (ACLS) ",IF(P238=CURSOS!$D$13,"CAMILLERO ",IF(P238=CURSOS!$D$14,"TOMA DE MUESTRAS Y LABORATORIO ",IF(P238=CURSOS!$D$15,"SOPORTE VITAL BASICO (BLS)",IF(P238=CURSOS!$D$16,"ATENCION A VICTIMAS DE VIOLENCIA SEXUAL ",IF(P238=CURSOS!$D$17,"PROGRAMADO AMPLIADO DE INMUNIZACION (PAI - COVID 19)",IF(P238=CURSOS!$D$18,"ATENCION INTEGRAL EN ENFERMEDADES PREVALENTES EN PRIMERA INFANCIA (AIEPI)",IF(P238=CURSOS!$D$19,"ADMINISTRACION DE MEDICAMENTOS, INYECTOLOGIA  Y CANALIZACION ",IF(P238=CURSOS!$D$20,"OPERADOR DE VEHICULOS DE EMERGENCIA (OVE)",IF(P238=CURSOS!$D$21,"INSTITUCIONES AMIGAS DE LA MUJER Y LA INFANCIA (IAMI)",IF(P238=CURSOS!$D$22,"CUIDADO DEL DONANTE DE ORGANOS",IF(P238=CURSOS!$D$23,"ATENCION A VICTIMAS POR VIOLENCIA DE GENERO",IF(P238=CURSOS!$D$24,"IGUALDAD DE GENERO EN LA SALUD",IF(P238=CURSOS!$D$25,"BRIGADA DE EMERGENCIA",IF(P238=CURSOS!$D$26,"MANEJO DEL DOLOR Y CUIDADOS PALIATIVOS",IF(P238=CURSOS!$D$27,"TOMA DE MUESTRAS Y LABORATORIO POCT",IF(P238=CURSOS!$D$28,"IMPLANTE SUBDERMICO DE DISPOSITIVO INTRAUTERINO",IF(P238=CURSOS!$D$29,"SALUD MENTAL",IF(P238=CURSOS!$D$30,"PRIMEROS AUXILIOS PSICOLOGICOS",IF(P238=CURSOS!$D$31,"ATENCION A VICTIMAS POR CONFLICTO ARMADO",IF(P238=CURSOS!$D$32,"MANIPULACION DE ALIMENTOS Y BPM",IF(P238=CURSOS!$D$33,"ATENCION A PERSONAS CON DISCAPACIDAD",IF(P238=CURSOS!$D$34,"CUIDADO INTEGRAL DEL PACIENTE ADULTO",IF(P238=CURSOS!$D$35,"MANEJO DEFENSIVO",IF(P238=CURSOS!$D$36,"SOPORTE CARDIOVASCULAR AVANZADO NEONATAL",IF(P238=CURSOS!$D$37,"SEGURIDAD DEL PACIENTE",IF(P238=CURSOS!$D$38,"MANEJO DE RESIDUOS HOSPITALARIOS"))))))))))))))))))))))))))))))))))))</f>
        <v>0</v>
      </c>
      <c r="W238" s="44" t="str">
        <f t="shared" si="11"/>
        <v xml:space="preserve">   </v>
      </c>
      <c r="X238" s="44" t="str">
        <f t="shared" si="12"/>
        <v xml:space="preserve">   </v>
      </c>
      <c r="Y238" s="44" t="str">
        <f t="shared" si="13"/>
        <v xml:space="preserve">   --</v>
      </c>
    </row>
    <row r="239" spans="1:25" x14ac:dyDescent="0.2">
      <c r="A239" s="45">
        <v>236</v>
      </c>
      <c r="Q239" s="46"/>
      <c r="V239" s="44" t="b">
        <f>IF(P239=CURSOS!$D$3,"DIPLOMADO EN ATENCION PRE-HOSPITALARIA",IF(P239=CURSOS!$D$4,"ACOMPAÑAMIENTO Y MANEJO DEL DUELO",IF(P239=CURSOS!$D$5,"ATENCION A VICTIMAS DE ATAQUE CON AGENTES QUIMICOS ",IF(P239=CURSOS!$D$6,"PRIMEROS AUXILIOS ",IF(P239=CURSOS!$D$7,"DIPLOMADO DE UNIDAD DE CUIDADOS INTENSIVOS (UCI)",IF(P239=CURSOS!$D$8,"MODELO DE ATENCION PARA EVENTOS EMERGENTES EN SALUD MENTAL (CODIGO VERDE)",IF(P239=CURSOS!$D$9,"HUMANIZACION EN EL SERVICIO DE LA SALUD Y BUENAS PRACTICAS EN PACIENTE ",IF(P239=CURSOS!$D$10,"CLINICA DE HERIDAS ",IF(P239=CURSOS!$D$11,"TOMA DE CITOLOGIA CERVICO VAGINAL ",IF(P239=CURSOS!$D$12,"SOPORTE CARDIOVASCULAR AVANZADO (ACLS) ",IF(P239=CURSOS!$D$13,"CAMILLERO ",IF(P239=CURSOS!$D$14,"TOMA DE MUESTRAS Y LABORATORIO ",IF(P239=CURSOS!$D$15,"SOPORTE VITAL BASICO (BLS)",IF(P239=CURSOS!$D$16,"ATENCION A VICTIMAS DE VIOLENCIA SEXUAL ",IF(P239=CURSOS!$D$17,"PROGRAMADO AMPLIADO DE INMUNIZACION (PAI - COVID 19)",IF(P239=CURSOS!$D$18,"ATENCION INTEGRAL EN ENFERMEDADES PREVALENTES EN PRIMERA INFANCIA (AIEPI)",IF(P239=CURSOS!$D$19,"ADMINISTRACION DE MEDICAMENTOS, INYECTOLOGIA  Y CANALIZACION ",IF(P239=CURSOS!$D$20,"OPERADOR DE VEHICULOS DE EMERGENCIA (OVE)",IF(P239=CURSOS!$D$21,"INSTITUCIONES AMIGAS DE LA MUJER Y LA INFANCIA (IAMI)",IF(P239=CURSOS!$D$22,"CUIDADO DEL DONANTE DE ORGANOS",IF(P239=CURSOS!$D$23,"ATENCION A VICTIMAS POR VIOLENCIA DE GENERO",IF(P239=CURSOS!$D$24,"IGUALDAD DE GENERO EN LA SALUD",IF(P239=CURSOS!$D$25,"BRIGADA DE EMERGENCIA",IF(P239=CURSOS!$D$26,"MANEJO DEL DOLOR Y CUIDADOS PALIATIVOS",IF(P239=CURSOS!$D$27,"TOMA DE MUESTRAS Y LABORATORIO POCT",IF(P239=CURSOS!$D$28,"IMPLANTE SUBDERMICO DE DISPOSITIVO INTRAUTERINO",IF(P239=CURSOS!$D$29,"SALUD MENTAL",IF(P239=CURSOS!$D$30,"PRIMEROS AUXILIOS PSICOLOGICOS",IF(P239=CURSOS!$D$31,"ATENCION A VICTIMAS POR CONFLICTO ARMADO",IF(P239=CURSOS!$D$32,"MANIPULACION DE ALIMENTOS Y BPM",IF(P239=CURSOS!$D$33,"ATENCION A PERSONAS CON DISCAPACIDAD",IF(P239=CURSOS!$D$34,"CUIDADO INTEGRAL DEL PACIENTE ADULTO",IF(P239=CURSOS!$D$35,"MANEJO DEFENSIVO",IF(P239=CURSOS!$D$36,"SOPORTE CARDIOVASCULAR AVANZADO NEONATAL",IF(P239=CURSOS!$D$37,"SEGURIDAD DEL PACIENTE",IF(P239=CURSOS!$D$38,"MANEJO DE RESIDUOS HOSPITALARIOS"))))))))))))))))))))))))))))))))))))</f>
        <v>0</v>
      </c>
      <c r="W239" s="44" t="str">
        <f t="shared" si="11"/>
        <v xml:space="preserve">   </v>
      </c>
      <c r="X239" s="44" t="str">
        <f t="shared" si="12"/>
        <v xml:space="preserve">   </v>
      </c>
      <c r="Y239" s="44" t="str">
        <f t="shared" si="13"/>
        <v xml:space="preserve">   --</v>
      </c>
    </row>
    <row r="240" spans="1:25" x14ac:dyDescent="0.2">
      <c r="A240" s="45">
        <v>239</v>
      </c>
      <c r="V240" s="44" t="b">
        <f>IF(P240=CURSOS!$D$3,"DIPLOMADO EN ATENCION PRE-HOSPITALARIA",IF(P240=CURSOS!$D$4,"ACOMPAÑAMIENTO Y MANEJO DEL DUELO",IF(P240=CURSOS!$D$5,"ATENCION A VICTIMAS DE ATAQUE CON AGENTES QUIMICOS ",IF(P240=CURSOS!$D$6,"PRIMEROS AUXILIOS ",IF(P240=CURSOS!$D$7,"DIPLOMADO DE UNIDAD DE CUIDADOS INTENSIVOS (UCI)",IF(P240=CURSOS!$D$8,"MODELO DE ATENCION PARA EVENTOS EMERGENTES EN SALUD MENTAL (CODIGO VERDE)",IF(P240=CURSOS!$D$9,"HUMANIZACION EN EL SERVICIO DE LA SALUD Y BUENAS PRACTICAS EN PACIENTE ",IF(P240=CURSOS!$D$10,"CLINICA DE HERIDAS ",IF(P240=CURSOS!$D$11,"TOMA DE CITOLOGIA CERVICO VAGINAL ",IF(P240=CURSOS!$D$12,"SOPORTE CARDIOVASCULAR AVANZADO (ACLS) ",IF(P240=CURSOS!$D$13,"CAMILLERO ",IF(P240=CURSOS!$D$14,"TOMA DE MUESTRAS Y LABORATORIO ",IF(P240=CURSOS!$D$15,"SOPORTE VITAL BASICO (BLS)",IF(P240=CURSOS!$D$16,"ATENCION A VICTIMAS DE VIOLENCIA SEXUAL ",IF(P240=CURSOS!$D$17,"PROGRAMADO AMPLIADO DE INMUNIZACION (PAI - COVID 19)",IF(P240=CURSOS!$D$18,"ATENCION INTEGRAL EN ENFERMEDADES PREVALENTES EN PRIMERA INFANCIA (AIEPI)",IF(P240=CURSOS!$D$19,"ADMINISTRACION DE MEDICAMENTOS, INYECTOLOGIA  Y CANALIZACION ",IF(P240=CURSOS!$D$20,"OPERADOR DE VEHICULOS DE EMERGENCIA (OVE)",IF(P240=CURSOS!$D$21,"INSTITUCIONES AMIGAS DE LA MUJER Y LA INFANCIA (IAMI)",IF(P240=CURSOS!$D$22,"CUIDADO DEL DONANTE DE ORGANOS",IF(P240=CURSOS!$D$23,"ATENCION A VICTIMAS POR VIOLENCIA DE GENERO",IF(P240=CURSOS!$D$24,"IGUALDAD DE GENERO EN LA SALUD",IF(P240=CURSOS!$D$25,"BRIGADA DE EMERGENCIA",IF(P240=CURSOS!$D$26,"MANEJO DEL DOLOR Y CUIDADOS PALIATIVOS",IF(P240=CURSOS!$D$27,"TOMA DE MUESTRAS Y LABORATORIO POCT",IF(P240=CURSOS!$D$28,"IMPLANTE SUBDERMICO DE DISPOSITIVO INTRAUTERINO",IF(P240=CURSOS!$D$29,"SALUD MENTAL",IF(P240=CURSOS!$D$30,"PRIMEROS AUXILIOS PSICOLOGICOS",IF(P240=CURSOS!$D$31,"ATENCION A VICTIMAS POR CONFLICTO ARMADO",IF(P240=CURSOS!$D$32,"MANIPULACION DE ALIMENTOS Y BPM",IF(P240=CURSOS!$D$33,"ATENCION A PERSONAS CON DISCAPACIDAD",IF(P240=CURSOS!$D$34,"CUIDADO INTEGRAL DEL PACIENTE ADULTO",IF(P240=CURSOS!$D$35,"MANEJO DEFENSIVO",IF(P240=CURSOS!$D$36,"SOPORTE CARDIOVASCULAR AVANZADO NEONATAL",IF(P240=CURSOS!$D$37,"SEGURIDAD DEL PACIENTE",IF(P240=CURSOS!$D$38,"MANEJO DE RESIDUOS HOSPITALARIOS"))))))))))))))))))))))))))))))))))))</f>
        <v>0</v>
      </c>
      <c r="W240" s="44" t="str">
        <f t="shared" si="11"/>
        <v xml:space="preserve">   </v>
      </c>
      <c r="X240" s="44" t="str">
        <f t="shared" si="12"/>
        <v xml:space="preserve">   </v>
      </c>
      <c r="Y240" s="44" t="str">
        <f t="shared" si="13"/>
        <v xml:space="preserve">   --</v>
      </c>
    </row>
    <row r="241" spans="1:25" x14ac:dyDescent="0.2">
      <c r="A241" s="45">
        <v>240</v>
      </c>
      <c r="V241" s="44" t="b">
        <f>IF(P241=CURSOS!$D$3,"DIPLOMADO EN ATENCION PRE-HOSPITALARIA",IF(P241=CURSOS!$D$4,"ACOMPAÑAMIENTO Y MANEJO DEL DUELO",IF(P241=CURSOS!$D$5,"ATENCION A VICTIMAS DE ATAQUE CON AGENTES QUIMICOS ",IF(P241=CURSOS!$D$6,"PRIMEROS AUXILIOS ",IF(P241=CURSOS!$D$7,"DIPLOMADO DE UNIDAD DE CUIDADOS INTENSIVOS (UCI)",IF(P241=CURSOS!$D$8,"MODELO DE ATENCION PARA EVENTOS EMERGENTES EN SALUD MENTAL (CODIGO VERDE)",IF(P241=CURSOS!$D$9,"HUMANIZACION EN EL SERVICIO DE LA SALUD Y BUENAS PRACTICAS EN PACIENTE ",IF(P241=CURSOS!$D$10,"CLINICA DE HERIDAS ",IF(P241=CURSOS!$D$11,"TOMA DE CITOLOGIA CERVICO VAGINAL ",IF(P241=CURSOS!$D$12,"SOPORTE CARDIOVASCULAR AVANZADO (ACLS) ",IF(P241=CURSOS!$D$13,"CAMILLERO ",IF(P241=CURSOS!$D$14,"TOMA DE MUESTRAS Y LABORATORIO ",IF(P241=CURSOS!$D$15,"SOPORTE VITAL BASICO (BLS)",IF(P241=CURSOS!$D$16,"ATENCION A VICTIMAS DE VIOLENCIA SEXUAL ",IF(P241=CURSOS!$D$17,"PROGRAMADO AMPLIADO DE INMUNIZACION (PAI - COVID 19)",IF(P241=CURSOS!$D$18,"ATENCION INTEGRAL EN ENFERMEDADES PREVALENTES EN PRIMERA INFANCIA (AIEPI)",IF(P241=CURSOS!$D$19,"ADMINISTRACION DE MEDICAMENTOS, INYECTOLOGIA  Y CANALIZACION ",IF(P241=CURSOS!$D$20,"OPERADOR DE VEHICULOS DE EMERGENCIA (OVE)",IF(P241=CURSOS!$D$21,"INSTITUCIONES AMIGAS DE LA MUJER Y LA INFANCIA (IAMI)",IF(P241=CURSOS!$D$22,"CUIDADO DEL DONANTE DE ORGANOS",IF(P241=CURSOS!$D$23,"ATENCION A VICTIMAS POR VIOLENCIA DE GENERO",IF(P241=CURSOS!$D$24,"IGUALDAD DE GENERO EN LA SALUD",IF(P241=CURSOS!$D$25,"BRIGADA DE EMERGENCIA",IF(P241=CURSOS!$D$26,"MANEJO DEL DOLOR Y CUIDADOS PALIATIVOS",IF(P241=CURSOS!$D$27,"TOMA DE MUESTRAS Y LABORATORIO POCT",IF(P241=CURSOS!$D$28,"IMPLANTE SUBDERMICO DE DISPOSITIVO INTRAUTERINO",IF(P241=CURSOS!$D$29,"SALUD MENTAL",IF(P241=CURSOS!$D$30,"PRIMEROS AUXILIOS PSICOLOGICOS",IF(P241=CURSOS!$D$31,"ATENCION A VICTIMAS POR CONFLICTO ARMADO",IF(P241=CURSOS!$D$32,"MANIPULACION DE ALIMENTOS Y BPM",IF(P241=CURSOS!$D$33,"ATENCION A PERSONAS CON DISCAPACIDAD",IF(P241=CURSOS!$D$34,"CUIDADO INTEGRAL DEL PACIENTE ADULTO",IF(P241=CURSOS!$D$35,"MANEJO DEFENSIVO",IF(P241=CURSOS!$D$36,"SOPORTE CARDIOVASCULAR AVANZADO NEONATAL",IF(P241=CURSOS!$D$37,"SEGURIDAD DEL PACIENTE",IF(P241=CURSOS!$D$38,"MANEJO DE RESIDUOS HOSPITALARIOS"))))))))))))))))))))))))))))))))))))</f>
        <v>0</v>
      </c>
      <c r="W241" s="44" t="str">
        <f t="shared" si="11"/>
        <v xml:space="preserve">   </v>
      </c>
      <c r="X241" s="44" t="str">
        <f t="shared" si="12"/>
        <v xml:space="preserve">   </v>
      </c>
      <c r="Y241" s="44" t="str">
        <f t="shared" si="13"/>
        <v xml:space="preserve">   --</v>
      </c>
    </row>
    <row r="242" spans="1:25" x14ac:dyDescent="0.2">
      <c r="A242" s="45">
        <v>241</v>
      </c>
      <c r="V242" s="44" t="b">
        <f>IF(P242=CURSOS!$D$3,"DIPLOMADO EN ATENCION PRE-HOSPITALARIA",IF(P242=CURSOS!$D$4,"ACOMPAÑAMIENTO Y MANEJO DEL DUELO",IF(P242=CURSOS!$D$5,"ATENCION A VICTIMAS DE ATAQUE CON AGENTES QUIMICOS ",IF(P242=CURSOS!$D$6,"PRIMEROS AUXILIOS ",IF(P242=CURSOS!$D$7,"DIPLOMADO DE UNIDAD DE CUIDADOS INTENSIVOS (UCI)",IF(P242=CURSOS!$D$8,"MODELO DE ATENCION PARA EVENTOS EMERGENTES EN SALUD MENTAL (CODIGO VERDE)",IF(P242=CURSOS!$D$9,"HUMANIZACION EN EL SERVICIO DE LA SALUD Y BUENAS PRACTICAS EN PACIENTE ",IF(P242=CURSOS!$D$10,"CLINICA DE HERIDAS ",IF(P242=CURSOS!$D$11,"TOMA DE CITOLOGIA CERVICO VAGINAL ",IF(P242=CURSOS!$D$12,"SOPORTE CARDIOVASCULAR AVANZADO (ACLS) ",IF(P242=CURSOS!$D$13,"CAMILLERO ",IF(P242=CURSOS!$D$14,"TOMA DE MUESTRAS Y LABORATORIO ",IF(P242=CURSOS!$D$15,"SOPORTE VITAL BASICO (BLS)",IF(P242=CURSOS!$D$16,"ATENCION A VICTIMAS DE VIOLENCIA SEXUAL ",IF(P242=CURSOS!$D$17,"PROGRAMADO AMPLIADO DE INMUNIZACION (PAI - COVID 19)",IF(P242=CURSOS!$D$18,"ATENCION INTEGRAL EN ENFERMEDADES PREVALENTES EN PRIMERA INFANCIA (AIEPI)",IF(P242=CURSOS!$D$19,"ADMINISTRACION DE MEDICAMENTOS, INYECTOLOGIA  Y CANALIZACION ",IF(P242=CURSOS!$D$20,"OPERADOR DE VEHICULOS DE EMERGENCIA (OVE)",IF(P242=CURSOS!$D$21,"INSTITUCIONES AMIGAS DE LA MUJER Y LA INFANCIA (IAMI)",IF(P242=CURSOS!$D$22,"CUIDADO DEL DONANTE DE ORGANOS",IF(P242=CURSOS!$D$23,"ATENCION A VICTIMAS POR VIOLENCIA DE GENERO",IF(P242=CURSOS!$D$24,"IGUALDAD DE GENERO EN LA SALUD",IF(P242=CURSOS!$D$25,"BRIGADA DE EMERGENCIA",IF(P242=CURSOS!$D$26,"MANEJO DEL DOLOR Y CUIDADOS PALIATIVOS",IF(P242=CURSOS!$D$27,"TOMA DE MUESTRAS Y LABORATORIO POCT",IF(P242=CURSOS!$D$28,"IMPLANTE SUBDERMICO DE DISPOSITIVO INTRAUTERINO",IF(P242=CURSOS!$D$29,"SALUD MENTAL",IF(P242=CURSOS!$D$30,"PRIMEROS AUXILIOS PSICOLOGICOS",IF(P242=CURSOS!$D$31,"ATENCION A VICTIMAS POR CONFLICTO ARMADO",IF(P242=CURSOS!$D$32,"MANIPULACION DE ALIMENTOS Y BPM",IF(P242=CURSOS!$D$33,"ATENCION A PERSONAS CON DISCAPACIDAD",IF(P242=CURSOS!$D$34,"CUIDADO INTEGRAL DEL PACIENTE ADULTO",IF(P242=CURSOS!$D$35,"MANEJO DEFENSIVO",IF(P242=CURSOS!$D$36,"SOPORTE CARDIOVASCULAR AVANZADO NEONATAL",IF(P242=CURSOS!$D$37,"SEGURIDAD DEL PACIENTE",IF(P242=CURSOS!$D$38,"MANEJO DE RESIDUOS HOSPITALARIOS"))))))))))))))))))))))))))))))))))))</f>
        <v>0</v>
      </c>
      <c r="W242" s="44" t="str">
        <f t="shared" si="11"/>
        <v xml:space="preserve">   </v>
      </c>
      <c r="X242" s="44" t="str">
        <f t="shared" si="12"/>
        <v xml:space="preserve">   </v>
      </c>
      <c r="Y242" s="44" t="str">
        <f t="shared" si="13"/>
        <v xml:space="preserve">   --</v>
      </c>
    </row>
    <row r="243" spans="1:25" x14ac:dyDescent="0.2">
      <c r="A243" s="45">
        <v>242</v>
      </c>
      <c r="V243" s="44" t="b">
        <f>IF(P243=CURSOS!$D$3,"DIPLOMADO EN ATENCION PRE-HOSPITALARIA",IF(P243=CURSOS!$D$4,"ACOMPAÑAMIENTO Y MANEJO DEL DUELO",IF(P243=CURSOS!$D$5,"ATENCION A VICTIMAS DE ATAQUE CON AGENTES QUIMICOS ",IF(P243=CURSOS!$D$6,"PRIMEROS AUXILIOS ",IF(P243=CURSOS!$D$7,"DIPLOMADO DE UNIDAD DE CUIDADOS INTENSIVOS (UCI)",IF(P243=CURSOS!$D$8,"MODELO DE ATENCION PARA EVENTOS EMERGENTES EN SALUD MENTAL (CODIGO VERDE)",IF(P243=CURSOS!$D$9,"HUMANIZACION EN EL SERVICIO DE LA SALUD Y BUENAS PRACTICAS EN PACIENTE ",IF(P243=CURSOS!$D$10,"CLINICA DE HERIDAS ",IF(P243=CURSOS!$D$11,"TOMA DE CITOLOGIA CERVICO VAGINAL ",IF(P243=CURSOS!$D$12,"SOPORTE CARDIOVASCULAR AVANZADO (ACLS) ",IF(P243=CURSOS!$D$13,"CAMILLERO ",IF(P243=CURSOS!$D$14,"TOMA DE MUESTRAS Y LABORATORIO ",IF(P243=CURSOS!$D$15,"SOPORTE VITAL BASICO (BLS)",IF(P243=CURSOS!$D$16,"ATENCION A VICTIMAS DE VIOLENCIA SEXUAL ",IF(P243=CURSOS!$D$17,"PROGRAMADO AMPLIADO DE INMUNIZACION (PAI - COVID 19)",IF(P243=CURSOS!$D$18,"ATENCION INTEGRAL EN ENFERMEDADES PREVALENTES EN PRIMERA INFANCIA (AIEPI)",IF(P243=CURSOS!$D$19,"ADMINISTRACION DE MEDICAMENTOS, INYECTOLOGIA  Y CANALIZACION ",IF(P243=CURSOS!$D$20,"OPERADOR DE VEHICULOS DE EMERGENCIA (OVE)",IF(P243=CURSOS!$D$21,"INSTITUCIONES AMIGAS DE LA MUJER Y LA INFANCIA (IAMI)",IF(P243=CURSOS!$D$22,"CUIDADO DEL DONANTE DE ORGANOS",IF(P243=CURSOS!$D$23,"ATENCION A VICTIMAS POR VIOLENCIA DE GENERO",IF(P243=CURSOS!$D$24,"IGUALDAD DE GENERO EN LA SALUD",IF(P243=CURSOS!$D$25,"BRIGADA DE EMERGENCIA",IF(P243=CURSOS!$D$26,"MANEJO DEL DOLOR Y CUIDADOS PALIATIVOS",IF(P243=CURSOS!$D$27,"TOMA DE MUESTRAS Y LABORATORIO POCT",IF(P243=CURSOS!$D$28,"IMPLANTE SUBDERMICO DE DISPOSITIVO INTRAUTERINO",IF(P243=CURSOS!$D$29,"SALUD MENTAL",IF(P243=CURSOS!$D$30,"PRIMEROS AUXILIOS PSICOLOGICOS",IF(P243=CURSOS!$D$31,"ATENCION A VICTIMAS POR CONFLICTO ARMADO",IF(P243=CURSOS!$D$32,"MANIPULACION DE ALIMENTOS Y BPM",IF(P243=CURSOS!$D$33,"ATENCION A PERSONAS CON DISCAPACIDAD",IF(P243=CURSOS!$D$34,"CUIDADO INTEGRAL DEL PACIENTE ADULTO",IF(P243=CURSOS!$D$35,"MANEJO DEFENSIVO",IF(P243=CURSOS!$D$36,"SOPORTE CARDIOVASCULAR AVANZADO NEONATAL",IF(P243=CURSOS!$D$37,"SEGURIDAD DEL PACIENTE",IF(P243=CURSOS!$D$38,"MANEJO DE RESIDUOS HOSPITALARIOS"))))))))))))))))))))))))))))))))))))</f>
        <v>0</v>
      </c>
      <c r="W243" s="44" t="str">
        <f t="shared" si="11"/>
        <v xml:space="preserve">   </v>
      </c>
      <c r="X243" s="44" t="str">
        <f t="shared" si="12"/>
        <v xml:space="preserve">   </v>
      </c>
      <c r="Y243" s="44" t="str">
        <f t="shared" si="13"/>
        <v xml:space="preserve">   --</v>
      </c>
    </row>
    <row r="244" spans="1:25" x14ac:dyDescent="0.2">
      <c r="A244" s="45">
        <v>243</v>
      </c>
      <c r="V244" s="44" t="b">
        <f>IF(P244=CURSOS!$D$3,"DIPLOMADO EN ATENCION PRE-HOSPITALARIA",IF(P244=CURSOS!$D$4,"ACOMPAÑAMIENTO Y MANEJO DEL DUELO",IF(P244=CURSOS!$D$5,"ATENCION A VICTIMAS DE ATAQUE CON AGENTES QUIMICOS ",IF(P244=CURSOS!$D$6,"PRIMEROS AUXILIOS ",IF(P244=CURSOS!$D$7,"DIPLOMADO DE UNIDAD DE CUIDADOS INTENSIVOS (UCI)",IF(P244=CURSOS!$D$8,"MODELO DE ATENCION PARA EVENTOS EMERGENTES EN SALUD MENTAL (CODIGO VERDE)",IF(P244=CURSOS!$D$9,"HUMANIZACION EN EL SERVICIO DE LA SALUD Y BUENAS PRACTICAS EN PACIENTE ",IF(P244=CURSOS!$D$10,"CLINICA DE HERIDAS ",IF(P244=CURSOS!$D$11,"TOMA DE CITOLOGIA CERVICO VAGINAL ",IF(P244=CURSOS!$D$12,"SOPORTE CARDIOVASCULAR AVANZADO (ACLS) ",IF(P244=CURSOS!$D$13,"CAMILLERO ",IF(P244=CURSOS!$D$14,"TOMA DE MUESTRAS Y LABORATORIO ",IF(P244=CURSOS!$D$15,"SOPORTE VITAL BASICO (BLS)",IF(P244=CURSOS!$D$16,"ATENCION A VICTIMAS DE VIOLENCIA SEXUAL ",IF(P244=CURSOS!$D$17,"PROGRAMADO AMPLIADO DE INMUNIZACION (PAI - COVID 19)",IF(P244=CURSOS!$D$18,"ATENCION INTEGRAL EN ENFERMEDADES PREVALENTES EN PRIMERA INFANCIA (AIEPI)",IF(P244=CURSOS!$D$19,"ADMINISTRACION DE MEDICAMENTOS, INYECTOLOGIA  Y CANALIZACION ",IF(P244=CURSOS!$D$20,"OPERADOR DE VEHICULOS DE EMERGENCIA (OVE)",IF(P244=CURSOS!$D$21,"INSTITUCIONES AMIGAS DE LA MUJER Y LA INFANCIA (IAMI)",IF(P244=CURSOS!$D$22,"CUIDADO DEL DONANTE DE ORGANOS",IF(P244=CURSOS!$D$23,"ATENCION A VICTIMAS POR VIOLENCIA DE GENERO",IF(P244=CURSOS!$D$24,"IGUALDAD DE GENERO EN LA SALUD",IF(P244=CURSOS!$D$25,"BRIGADA DE EMERGENCIA",IF(P244=CURSOS!$D$26,"MANEJO DEL DOLOR Y CUIDADOS PALIATIVOS",IF(P244=CURSOS!$D$27,"TOMA DE MUESTRAS Y LABORATORIO POCT",IF(P244=CURSOS!$D$28,"IMPLANTE SUBDERMICO DE DISPOSITIVO INTRAUTERINO",IF(P244=CURSOS!$D$29,"SALUD MENTAL",IF(P244=CURSOS!$D$30,"PRIMEROS AUXILIOS PSICOLOGICOS",IF(P244=CURSOS!$D$31,"ATENCION A VICTIMAS POR CONFLICTO ARMADO",IF(P244=CURSOS!$D$32,"MANIPULACION DE ALIMENTOS Y BPM",IF(P244=CURSOS!$D$33,"ATENCION A PERSONAS CON DISCAPACIDAD",IF(P244=CURSOS!$D$34,"CUIDADO INTEGRAL DEL PACIENTE ADULTO",IF(P244=CURSOS!$D$35,"MANEJO DEFENSIVO",IF(P244=CURSOS!$D$36,"SOPORTE CARDIOVASCULAR AVANZADO NEONATAL",IF(P244=CURSOS!$D$37,"SEGURIDAD DEL PACIENTE",IF(P244=CURSOS!$D$38,"MANEJO DE RESIDUOS HOSPITALARIOS"))))))))))))))))))))))))))))))))))))</f>
        <v>0</v>
      </c>
      <c r="W244" s="44" t="str">
        <f t="shared" si="11"/>
        <v xml:space="preserve">   </v>
      </c>
      <c r="X244" s="44" t="str">
        <f t="shared" si="12"/>
        <v xml:space="preserve">   </v>
      </c>
      <c r="Y244" s="44" t="str">
        <f t="shared" si="13"/>
        <v xml:space="preserve">   --</v>
      </c>
    </row>
    <row r="245" spans="1:25" x14ac:dyDescent="0.2">
      <c r="A245" s="45">
        <v>244</v>
      </c>
    </row>
    <row r="246" spans="1:25" x14ac:dyDescent="0.2">
      <c r="A246" s="45">
        <v>245</v>
      </c>
    </row>
    <row r="247" spans="1:25" x14ac:dyDescent="0.2">
      <c r="A247" s="45">
        <v>246</v>
      </c>
    </row>
    <row r="248" spans="1:25" x14ac:dyDescent="0.2">
      <c r="A248" s="45">
        <v>247</v>
      </c>
    </row>
    <row r="1048557" spans="2:7" x14ac:dyDescent="0.2">
      <c r="B1048557" s="39"/>
      <c r="C1048557" s="39"/>
      <c r="D1048557" s="39"/>
      <c r="E1048557" s="39"/>
      <c r="F1048557" s="39"/>
      <c r="G1048557" s="39"/>
    </row>
  </sheetData>
  <autoFilter ref="A1:Y248" xr:uid="{00000000-0009-0000-0000-000000000000}"/>
  <phoneticPr fontId="7" type="noConversion"/>
  <hyperlinks>
    <hyperlink ref="S47" r:id="rId1" xr:uid="{00000000-0004-0000-0000-000000000000}"/>
    <hyperlink ref="U49" r:id="rId2" xr:uid="{00000000-0004-0000-0000-000001000000}"/>
    <hyperlink ref="U67" r:id="rId3" xr:uid="{00000000-0004-0000-0000-000002000000}"/>
    <hyperlink ref="S68" r:id="rId4" xr:uid="{00000000-0004-0000-0000-000003000000}"/>
    <hyperlink ref="S69" r:id="rId5" xr:uid="{00000000-0004-0000-0000-000004000000}"/>
    <hyperlink ref="S70" r:id="rId6" xr:uid="{00000000-0004-0000-0000-000005000000}"/>
    <hyperlink ref="S71" r:id="rId7" xr:uid="{00000000-0004-0000-0000-000006000000}"/>
    <hyperlink ref="S74" r:id="rId8" xr:uid="{00000000-0004-0000-0000-000007000000}"/>
    <hyperlink ref="S75" r:id="rId9" xr:uid="{00000000-0004-0000-0000-000008000000}"/>
    <hyperlink ref="S76" r:id="rId10" xr:uid="{00000000-0004-0000-0000-000009000000}"/>
    <hyperlink ref="U82" r:id="rId11" xr:uid="{00000000-0004-0000-0000-00000A000000}"/>
    <hyperlink ref="S83" r:id="rId12" xr:uid="{00000000-0004-0000-0000-00000B000000}"/>
    <hyperlink ref="S84" r:id="rId13" xr:uid="{00000000-0004-0000-0000-00000C000000}"/>
    <hyperlink ref="S88" r:id="rId14" xr:uid="{00000000-0004-0000-0000-00000D000000}"/>
    <hyperlink ref="S89" r:id="rId15" xr:uid="{00000000-0004-0000-0000-00000E000000}"/>
    <hyperlink ref="U91" r:id="rId16" xr:uid="{00000000-0004-0000-0000-00000F000000}"/>
    <hyperlink ref="S92" r:id="rId17" xr:uid="{00000000-0004-0000-0000-000010000000}"/>
    <hyperlink ref="S93" r:id="rId18" xr:uid="{00000000-0004-0000-0000-000011000000}"/>
    <hyperlink ref="S94" r:id="rId19" xr:uid="{00000000-0004-0000-0000-000012000000}"/>
    <hyperlink ref="S96" r:id="rId20" xr:uid="{00000000-0004-0000-0000-000013000000}"/>
    <hyperlink ref="S95" r:id="rId21" xr:uid="{00000000-0004-0000-0000-000014000000}"/>
    <hyperlink ref="S97" r:id="rId22" xr:uid="{00000000-0004-0000-0000-000015000000}"/>
    <hyperlink ref="S103" r:id="rId23" xr:uid="{00000000-0004-0000-0000-000016000000}"/>
    <hyperlink ref="U103" r:id="rId24" xr:uid="{00000000-0004-0000-0000-000017000000}"/>
    <hyperlink ref="S104" r:id="rId25" xr:uid="{00000000-0004-0000-0000-000018000000}"/>
    <hyperlink ref="U105" r:id="rId26" xr:uid="{00000000-0004-0000-0000-000019000000}"/>
    <hyperlink ref="S138" r:id="rId27" xr:uid="{00000000-0004-0000-0000-00001A000000}"/>
    <hyperlink ref="S139" r:id="rId28" xr:uid="{00000000-0004-0000-0000-00001B000000}"/>
    <hyperlink ref="S148" r:id="rId29" xr:uid="{00000000-0004-0000-0000-00001C000000}"/>
    <hyperlink ref="S149" r:id="rId30" xr:uid="{00000000-0004-0000-0000-00001D000000}"/>
    <hyperlink ref="S163" r:id="rId31" xr:uid="{00000000-0004-0000-0000-00001E000000}"/>
    <hyperlink ref="S164" r:id="rId32" xr:uid="{00000000-0004-0000-0000-00001F000000}"/>
    <hyperlink ref="S165" r:id="rId33" xr:uid="{00000000-0004-0000-0000-000020000000}"/>
    <hyperlink ref="S167" r:id="rId34" xr:uid="{00000000-0004-0000-0000-000021000000}"/>
    <hyperlink ref="S168" r:id="rId35" xr:uid="{00000000-0004-0000-0000-000022000000}"/>
  </hyperlinks>
  <pageMargins left="0.7" right="0.7" top="0.75" bottom="0.75" header="0.3" footer="0.3"/>
  <pageSetup paperSize="9" scale="12" orientation="portrait" r:id="rId3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C1:E38"/>
  <sheetViews>
    <sheetView topLeftCell="B1" zoomScale="85" zoomScaleNormal="85" workbookViewId="0">
      <selection activeCell="E23" sqref="E23"/>
    </sheetView>
  </sheetViews>
  <sheetFormatPr baseColWidth="10" defaultRowHeight="15" x14ac:dyDescent="0.2"/>
  <cols>
    <col min="3" max="3" width="10.77734375" style="1" customWidth="1"/>
    <col min="4" max="4" width="36.33203125" customWidth="1"/>
    <col min="5" max="5" width="107.77734375" customWidth="1"/>
  </cols>
  <sheetData>
    <row r="1" spans="3:5" ht="15.75" thickBot="1" x14ac:dyDescent="0.25"/>
    <row r="2" spans="3:5" ht="16.5" thickBot="1" x14ac:dyDescent="0.3">
      <c r="C2" s="35" t="s">
        <v>20</v>
      </c>
      <c r="D2" s="35" t="s">
        <v>11</v>
      </c>
      <c r="E2" s="36" t="s">
        <v>15</v>
      </c>
    </row>
    <row r="3" spans="3:5" x14ac:dyDescent="0.2">
      <c r="C3" s="20">
        <v>1</v>
      </c>
      <c r="D3" s="21" t="s">
        <v>21</v>
      </c>
      <c r="E3" s="22" t="s">
        <v>22</v>
      </c>
    </row>
    <row r="4" spans="3:5" x14ac:dyDescent="0.2">
      <c r="C4" s="23">
        <v>2</v>
      </c>
      <c r="D4" s="24" t="s">
        <v>23</v>
      </c>
      <c r="E4" s="25" t="s">
        <v>24</v>
      </c>
    </row>
    <row r="5" spans="3:5" x14ac:dyDescent="0.2">
      <c r="C5" s="26">
        <v>3</v>
      </c>
      <c r="D5" s="24" t="s">
        <v>25</v>
      </c>
      <c r="E5" s="25" t="s">
        <v>93</v>
      </c>
    </row>
    <row r="6" spans="3:5" x14ac:dyDescent="0.2">
      <c r="C6" s="23">
        <v>4</v>
      </c>
      <c r="D6" s="24" t="s">
        <v>26</v>
      </c>
      <c r="E6" s="25" t="s">
        <v>27</v>
      </c>
    </row>
    <row r="7" spans="3:5" x14ac:dyDescent="0.2">
      <c r="C7" s="26">
        <v>5</v>
      </c>
      <c r="D7" s="24" t="s">
        <v>28</v>
      </c>
      <c r="E7" s="25" t="s">
        <v>29</v>
      </c>
    </row>
    <row r="8" spans="3:5" x14ac:dyDescent="0.2">
      <c r="C8" s="23">
        <v>6</v>
      </c>
      <c r="D8" s="24" t="s">
        <v>30</v>
      </c>
      <c r="E8" s="25" t="s">
        <v>31</v>
      </c>
    </row>
    <row r="9" spans="3:5" x14ac:dyDescent="0.2">
      <c r="C9" s="26">
        <v>7</v>
      </c>
      <c r="D9" s="24" t="s">
        <v>32</v>
      </c>
      <c r="E9" s="25" t="s">
        <v>94</v>
      </c>
    </row>
    <row r="10" spans="3:5" x14ac:dyDescent="0.2">
      <c r="C10" s="23">
        <v>8</v>
      </c>
      <c r="D10" s="24" t="s">
        <v>33</v>
      </c>
      <c r="E10" s="25" t="s">
        <v>34</v>
      </c>
    </row>
    <row r="11" spans="3:5" x14ac:dyDescent="0.2">
      <c r="C11" s="26">
        <v>9</v>
      </c>
      <c r="D11" s="27" t="s">
        <v>35</v>
      </c>
      <c r="E11" s="25" t="s">
        <v>36</v>
      </c>
    </row>
    <row r="12" spans="3:5" x14ac:dyDescent="0.2">
      <c r="C12" s="23">
        <v>10</v>
      </c>
      <c r="D12" s="28" t="s">
        <v>37</v>
      </c>
      <c r="E12" s="25" t="s">
        <v>83</v>
      </c>
    </row>
    <row r="13" spans="3:5" x14ac:dyDescent="0.2">
      <c r="C13" s="26">
        <v>11</v>
      </c>
      <c r="D13" s="28" t="s">
        <v>38</v>
      </c>
      <c r="E13" s="25" t="s">
        <v>39</v>
      </c>
    </row>
    <row r="14" spans="3:5" x14ac:dyDescent="0.2">
      <c r="C14" s="23">
        <v>12</v>
      </c>
      <c r="D14" s="28" t="s">
        <v>40</v>
      </c>
      <c r="E14" s="25" t="s">
        <v>89</v>
      </c>
    </row>
    <row r="15" spans="3:5" x14ac:dyDescent="0.2">
      <c r="C15" s="26">
        <v>13</v>
      </c>
      <c r="D15" s="28" t="s">
        <v>19</v>
      </c>
      <c r="E15" s="25" t="s">
        <v>41</v>
      </c>
    </row>
    <row r="16" spans="3:5" x14ac:dyDescent="0.2">
      <c r="C16" s="23">
        <v>14</v>
      </c>
      <c r="D16" s="28" t="s">
        <v>42</v>
      </c>
      <c r="E16" s="25" t="s">
        <v>95</v>
      </c>
    </row>
    <row r="17" spans="3:5" x14ac:dyDescent="0.2">
      <c r="C17" s="26">
        <v>15</v>
      </c>
      <c r="D17" s="28" t="s">
        <v>73</v>
      </c>
      <c r="E17" s="25" t="s">
        <v>43</v>
      </c>
    </row>
    <row r="18" spans="3:5" x14ac:dyDescent="0.2">
      <c r="C18" s="23">
        <v>16</v>
      </c>
      <c r="D18" s="28" t="s">
        <v>44</v>
      </c>
      <c r="E18" s="25" t="s">
        <v>96</v>
      </c>
    </row>
    <row r="19" spans="3:5" x14ac:dyDescent="0.2">
      <c r="C19" s="26">
        <v>17</v>
      </c>
      <c r="D19" s="28" t="s">
        <v>45</v>
      </c>
      <c r="E19" s="25" t="s">
        <v>97</v>
      </c>
    </row>
    <row r="20" spans="3:5" x14ac:dyDescent="0.2">
      <c r="C20" s="23">
        <v>18</v>
      </c>
      <c r="D20" s="28" t="s">
        <v>46</v>
      </c>
      <c r="E20" s="25" t="s">
        <v>47</v>
      </c>
    </row>
    <row r="21" spans="3:5" x14ac:dyDescent="0.2">
      <c r="C21" s="26">
        <v>19</v>
      </c>
      <c r="D21" s="28" t="s">
        <v>48</v>
      </c>
      <c r="E21" s="29" t="s">
        <v>49</v>
      </c>
    </row>
    <row r="22" spans="3:5" x14ac:dyDescent="0.2">
      <c r="C22" s="23">
        <v>20</v>
      </c>
      <c r="D22" s="28" t="s">
        <v>50</v>
      </c>
      <c r="E22" s="29" t="s">
        <v>51</v>
      </c>
    </row>
    <row r="23" spans="3:5" x14ac:dyDescent="0.2">
      <c r="C23" s="26">
        <v>21</v>
      </c>
      <c r="D23" s="28" t="s">
        <v>52</v>
      </c>
      <c r="E23" s="29" t="s">
        <v>98</v>
      </c>
    </row>
    <row r="24" spans="3:5" x14ac:dyDescent="0.2">
      <c r="C24" s="23">
        <v>22</v>
      </c>
      <c r="D24" s="28" t="s">
        <v>53</v>
      </c>
      <c r="E24" s="30" t="s">
        <v>54</v>
      </c>
    </row>
    <row r="25" spans="3:5" x14ac:dyDescent="0.2">
      <c r="C25" s="31">
        <v>23</v>
      </c>
      <c r="D25" s="28" t="s">
        <v>55</v>
      </c>
      <c r="E25" s="25" t="s">
        <v>56</v>
      </c>
    </row>
    <row r="26" spans="3:5" x14ac:dyDescent="0.2">
      <c r="C26" s="31">
        <v>24</v>
      </c>
      <c r="D26" s="28" t="s">
        <v>57</v>
      </c>
      <c r="E26" s="29" t="s">
        <v>58</v>
      </c>
    </row>
    <row r="27" spans="3:5" x14ac:dyDescent="0.2">
      <c r="C27" s="31">
        <v>25</v>
      </c>
      <c r="D27" s="28" t="s">
        <v>59</v>
      </c>
      <c r="E27" s="25" t="s">
        <v>84</v>
      </c>
    </row>
    <row r="28" spans="3:5" x14ac:dyDescent="0.2">
      <c r="C28" s="31">
        <v>26</v>
      </c>
      <c r="D28" s="28" t="s">
        <v>60</v>
      </c>
      <c r="E28" s="25" t="s">
        <v>85</v>
      </c>
    </row>
    <row r="29" spans="3:5" x14ac:dyDescent="0.2">
      <c r="C29" s="31">
        <v>27</v>
      </c>
      <c r="D29" s="28" t="s">
        <v>61</v>
      </c>
      <c r="E29" s="25" t="s">
        <v>61</v>
      </c>
    </row>
    <row r="30" spans="3:5" x14ac:dyDescent="0.2">
      <c r="C30" s="31">
        <v>28</v>
      </c>
      <c r="D30" s="28" t="s">
        <v>62</v>
      </c>
      <c r="E30" s="25" t="s">
        <v>63</v>
      </c>
    </row>
    <row r="31" spans="3:5" x14ac:dyDescent="0.2">
      <c r="C31" s="31">
        <v>29</v>
      </c>
      <c r="D31" s="28" t="s">
        <v>64</v>
      </c>
      <c r="E31" s="25" t="s">
        <v>65</v>
      </c>
    </row>
    <row r="32" spans="3:5" x14ac:dyDescent="0.2">
      <c r="C32" s="31">
        <v>30</v>
      </c>
      <c r="D32" s="28" t="s">
        <v>74</v>
      </c>
      <c r="E32" s="25" t="s">
        <v>75</v>
      </c>
    </row>
    <row r="33" spans="3:5" x14ac:dyDescent="0.2">
      <c r="C33" s="31">
        <v>31</v>
      </c>
      <c r="D33" s="28" t="s">
        <v>77</v>
      </c>
      <c r="E33" s="25" t="s">
        <v>76</v>
      </c>
    </row>
    <row r="34" spans="3:5" x14ac:dyDescent="0.2">
      <c r="C34" s="31">
        <v>32</v>
      </c>
      <c r="D34" s="28" t="s">
        <v>78</v>
      </c>
      <c r="E34" s="25" t="s">
        <v>79</v>
      </c>
    </row>
    <row r="35" spans="3:5" x14ac:dyDescent="0.2">
      <c r="C35" s="31">
        <v>33</v>
      </c>
      <c r="D35" s="28" t="s">
        <v>80</v>
      </c>
      <c r="E35" s="25" t="s">
        <v>80</v>
      </c>
    </row>
    <row r="36" spans="3:5" x14ac:dyDescent="0.2">
      <c r="C36" s="31">
        <v>34</v>
      </c>
      <c r="D36" s="28" t="s">
        <v>81</v>
      </c>
      <c r="E36" s="25" t="s">
        <v>82</v>
      </c>
    </row>
    <row r="37" spans="3:5" x14ac:dyDescent="0.2">
      <c r="C37" s="31">
        <v>35</v>
      </c>
      <c r="D37" s="28" t="s">
        <v>87</v>
      </c>
      <c r="E37" s="25" t="s">
        <v>86</v>
      </c>
    </row>
    <row r="38" spans="3:5" ht="15.75" thickBot="1" x14ac:dyDescent="0.25">
      <c r="C38" s="32">
        <v>36</v>
      </c>
      <c r="D38" s="33" t="s">
        <v>90</v>
      </c>
      <c r="E38" s="34" t="s">
        <v>91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H355"/>
  <sheetViews>
    <sheetView topLeftCell="A203" zoomScale="50" zoomScaleNormal="50" workbookViewId="0">
      <selection activeCell="E211" sqref="E211"/>
    </sheetView>
  </sheetViews>
  <sheetFormatPr baseColWidth="10" defaultRowHeight="15" customHeight="1" x14ac:dyDescent="0.2"/>
  <cols>
    <col min="1" max="1" width="39.33203125" customWidth="1"/>
    <col min="2" max="2" width="84.21875" customWidth="1"/>
    <col min="3" max="3" width="16.21875" customWidth="1"/>
    <col min="4" max="4" width="100.21875" customWidth="1"/>
    <col min="5" max="5" width="19.33203125" customWidth="1"/>
    <col min="6" max="6" width="38.21875" customWidth="1"/>
    <col min="7" max="7" width="11.21875" customWidth="1"/>
    <col min="8" max="8" width="35.109375" customWidth="1"/>
  </cols>
  <sheetData>
    <row r="1" spans="6:8" ht="16.5" thickBot="1" x14ac:dyDescent="0.3">
      <c r="F1" s="8"/>
      <c r="G1" s="11" t="s">
        <v>20</v>
      </c>
      <c r="H1" s="9" t="s">
        <v>11</v>
      </c>
    </row>
    <row r="2" spans="6:8" x14ac:dyDescent="0.2">
      <c r="G2" s="2">
        <v>1</v>
      </c>
      <c r="H2" s="16" t="s">
        <v>21</v>
      </c>
    </row>
    <row r="3" spans="6:8" ht="15" customHeight="1" x14ac:dyDescent="0.2">
      <c r="G3" s="3">
        <v>2</v>
      </c>
      <c r="H3" s="6" t="s">
        <v>23</v>
      </c>
    </row>
    <row r="4" spans="6:8" ht="15" customHeight="1" x14ac:dyDescent="0.2">
      <c r="G4" s="5">
        <v>3</v>
      </c>
      <c r="H4" s="6" t="s">
        <v>25</v>
      </c>
    </row>
    <row r="5" spans="6:8" ht="15" customHeight="1" x14ac:dyDescent="0.2">
      <c r="G5" s="3">
        <v>4</v>
      </c>
      <c r="H5" s="6" t="s">
        <v>26</v>
      </c>
    </row>
    <row r="6" spans="6:8" ht="15" customHeight="1" x14ac:dyDescent="0.2">
      <c r="G6" s="5">
        <v>5</v>
      </c>
      <c r="H6" s="6" t="s">
        <v>28</v>
      </c>
    </row>
    <row r="7" spans="6:8" ht="15" customHeight="1" x14ac:dyDescent="0.2">
      <c r="G7" s="3">
        <v>6</v>
      </c>
      <c r="H7" s="6" t="s">
        <v>30</v>
      </c>
    </row>
    <row r="8" spans="6:8" ht="15" customHeight="1" x14ac:dyDescent="0.2">
      <c r="G8" s="5">
        <v>7</v>
      </c>
      <c r="H8" s="6" t="s">
        <v>32</v>
      </c>
    </row>
    <row r="9" spans="6:8" ht="15" customHeight="1" x14ac:dyDescent="0.2">
      <c r="G9" s="3">
        <v>8</v>
      </c>
      <c r="H9" s="6" t="s">
        <v>33</v>
      </c>
    </row>
    <row r="10" spans="6:8" ht="15" customHeight="1" x14ac:dyDescent="0.2">
      <c r="G10" s="5">
        <v>9</v>
      </c>
      <c r="H10" s="7" t="s">
        <v>35</v>
      </c>
    </row>
    <row r="11" spans="6:8" ht="15" customHeight="1" x14ac:dyDescent="0.2">
      <c r="G11" s="3">
        <v>10</v>
      </c>
      <c r="H11" s="4" t="s">
        <v>37</v>
      </c>
    </row>
    <row r="12" spans="6:8" ht="15" customHeight="1" x14ac:dyDescent="0.2">
      <c r="G12" s="5">
        <v>11</v>
      </c>
      <c r="H12" s="4" t="s">
        <v>38</v>
      </c>
    </row>
    <row r="13" spans="6:8" ht="15" customHeight="1" x14ac:dyDescent="0.2">
      <c r="G13" s="3">
        <v>12</v>
      </c>
      <c r="H13" s="4" t="s">
        <v>40</v>
      </c>
    </row>
    <row r="14" spans="6:8" ht="15" customHeight="1" x14ac:dyDescent="0.2">
      <c r="G14" s="5">
        <v>13</v>
      </c>
      <c r="H14" s="4" t="s">
        <v>19</v>
      </c>
    </row>
    <row r="15" spans="6:8" ht="15" customHeight="1" x14ac:dyDescent="0.2">
      <c r="G15" s="3">
        <v>14</v>
      </c>
      <c r="H15" s="4" t="s">
        <v>42</v>
      </c>
    </row>
    <row r="16" spans="6:8" ht="15" customHeight="1" x14ac:dyDescent="0.2">
      <c r="G16" s="5">
        <v>15</v>
      </c>
      <c r="H16" s="4" t="s">
        <v>73</v>
      </c>
    </row>
    <row r="17" spans="4:8" ht="15" customHeight="1" x14ac:dyDescent="0.2">
      <c r="G17" s="3">
        <v>16</v>
      </c>
      <c r="H17" s="4" t="s">
        <v>44</v>
      </c>
    </row>
    <row r="18" spans="4:8" ht="15" customHeight="1" x14ac:dyDescent="0.2">
      <c r="G18" s="5">
        <v>17</v>
      </c>
      <c r="H18" s="4" t="s">
        <v>45</v>
      </c>
    </row>
    <row r="19" spans="4:8" ht="15" customHeight="1" x14ac:dyDescent="0.2">
      <c r="G19" s="3">
        <v>18</v>
      </c>
      <c r="H19" s="4" t="s">
        <v>46</v>
      </c>
    </row>
    <row r="20" spans="4:8" ht="15" customHeight="1" x14ac:dyDescent="0.2">
      <c r="G20" s="5">
        <v>19</v>
      </c>
      <c r="H20" s="4" t="s">
        <v>48</v>
      </c>
    </row>
    <row r="21" spans="4:8" ht="15" customHeight="1" x14ac:dyDescent="0.2">
      <c r="G21" s="3">
        <v>20</v>
      </c>
      <c r="H21" s="4" t="s">
        <v>50</v>
      </c>
    </row>
    <row r="22" spans="4:8" ht="15" customHeight="1" x14ac:dyDescent="0.2">
      <c r="G22" s="5">
        <v>21</v>
      </c>
      <c r="H22" s="4" t="s">
        <v>52</v>
      </c>
    </row>
    <row r="23" spans="4:8" ht="15" customHeight="1" x14ac:dyDescent="0.2">
      <c r="G23" s="3">
        <v>22</v>
      </c>
      <c r="H23" s="4" t="s">
        <v>53</v>
      </c>
    </row>
    <row r="24" spans="4:8" ht="15" customHeight="1" x14ac:dyDescent="0.2">
      <c r="G24" s="17">
        <v>23</v>
      </c>
      <c r="H24" s="4" t="s">
        <v>55</v>
      </c>
    </row>
    <row r="25" spans="4:8" ht="15" customHeight="1" x14ac:dyDescent="0.2">
      <c r="G25" s="17">
        <v>24</v>
      </c>
      <c r="H25" s="4" t="s">
        <v>57</v>
      </c>
    </row>
    <row r="26" spans="4:8" ht="15" customHeight="1" x14ac:dyDescent="0.2">
      <c r="G26" s="17">
        <v>25</v>
      </c>
      <c r="H26" s="4" t="s">
        <v>59</v>
      </c>
    </row>
    <row r="27" spans="4:8" ht="15" customHeight="1" x14ac:dyDescent="0.2">
      <c r="G27" s="17">
        <v>26</v>
      </c>
      <c r="H27" s="4" t="s">
        <v>60</v>
      </c>
    </row>
    <row r="28" spans="4:8" ht="15" customHeight="1" x14ac:dyDescent="0.2">
      <c r="G28" s="17">
        <v>27</v>
      </c>
      <c r="H28" s="4" t="s">
        <v>61</v>
      </c>
    </row>
    <row r="29" spans="4:8" ht="15" customHeight="1" x14ac:dyDescent="0.2">
      <c r="G29" s="17">
        <v>28</v>
      </c>
      <c r="H29" s="4" t="s">
        <v>62</v>
      </c>
    </row>
    <row r="30" spans="4:8" ht="15" customHeight="1" x14ac:dyDescent="0.2">
      <c r="G30" s="17">
        <v>29</v>
      </c>
      <c r="H30" s="4" t="s">
        <v>64</v>
      </c>
    </row>
    <row r="31" spans="4:8" ht="15" customHeight="1" x14ac:dyDescent="0.2">
      <c r="G31" s="17">
        <v>30</v>
      </c>
      <c r="H31" s="4" t="s">
        <v>74</v>
      </c>
    </row>
    <row r="32" spans="4:8" ht="15" customHeight="1" x14ac:dyDescent="0.25">
      <c r="D32" s="8" t="s">
        <v>92</v>
      </c>
      <c r="G32" s="17">
        <v>31</v>
      </c>
      <c r="H32" s="4" t="s">
        <v>77</v>
      </c>
    </row>
    <row r="33" spans="1:8" x14ac:dyDescent="0.2">
      <c r="G33" s="17">
        <v>32</v>
      </c>
      <c r="H33" s="4" t="s">
        <v>78</v>
      </c>
    </row>
    <row r="34" spans="1:8" x14ac:dyDescent="0.2">
      <c r="G34" s="17">
        <v>33</v>
      </c>
      <c r="H34" s="4" t="s">
        <v>80</v>
      </c>
    </row>
    <row r="35" spans="1:8" x14ac:dyDescent="0.2">
      <c r="G35" s="17">
        <v>34</v>
      </c>
      <c r="H35" s="4" t="s">
        <v>81</v>
      </c>
    </row>
    <row r="36" spans="1:8" ht="15.75" thickBot="1" x14ac:dyDescent="0.25">
      <c r="G36" s="15">
        <v>35</v>
      </c>
      <c r="H36" s="18" t="s">
        <v>87</v>
      </c>
    </row>
    <row r="37" spans="1:8" ht="15.75" thickBot="1" x14ac:dyDescent="0.25">
      <c r="G37" s="37">
        <v>36</v>
      </c>
      <c r="H37" s="38" t="s">
        <v>90</v>
      </c>
    </row>
    <row r="38" spans="1:8" ht="59.25" customHeight="1" thickBot="1" x14ac:dyDescent="0.25">
      <c r="A38" s="12" t="s">
        <v>11</v>
      </c>
      <c r="B38" s="13" t="s">
        <v>70</v>
      </c>
      <c r="C38" s="13" t="s">
        <v>71</v>
      </c>
      <c r="D38" s="13" t="s">
        <v>72</v>
      </c>
      <c r="E38" s="14"/>
    </row>
    <row r="39" spans="1:8" ht="122.25" customHeight="1" x14ac:dyDescent="0.25">
      <c r="A39" s="19" t="str">
        <f>INSCRITOS!P2</f>
        <v>BLS</v>
      </c>
      <c r="B39" s="8" t="str">
        <f>IF(A39=$H$19,"https://centrodecapacitaciondelsur.com/o-v-e-",IF(A39=$H$2,"https://centrodecapacitaciondelsur.com/aph-",IF(A39=$H$3,"https://centrodecapacitaciondelsur.com/manejo-del-duelo-",IF(A39=$H$4,"https://centrodecapacitaciondelsur.com/victimas-por-agentes-quimicos-",IF(A39=$H$5,"https://centrodecapacitaciondelsur.com/primeros-auxilios-",IF(A39=$H$6,"https://centrodecapacitaciondelsur.com/uci-",IF(A39=$H$8,"https://centrodecapacitaciondelsur.com/humanizacion-",IF(A39=$H$11,"https://centrodecapacitaciondelsur.com/soporte-cardiovascular-avanzado-",IF(A39=$H$12,"https://centrodecapacitaciondelsur.com/camillero-",IF(A39=$H$13,"https://centrodecapacitaciondelsur.com/toma-de-muestras-y-lab-clinico-",IF(A39=$H$14,"https://centrodecapacitaciondelsur.com/soporte-basico-de-vida-",IF(A39=$H$15,"https://centrodecapacitaciondelsur.com/violencia-sexual-",IF(A39=$H$17,"https://centrodecapacitaciondelsur.com/aiepi-",IF(A39=$H$18,"https://centrodecapacitaciondelsur.com/adm-medicamentos-canalizacion-inyectologia-",IF(A39=$H$25,"https://centrodecapacitaciondelsur.com/manejo-del-dolor-y-cuidados-paliativos-",IF(A39=$H$26,"https://centrodecapacitaciondelsur.com/toma-de-muestras-y-lab-clinico-poct-",IF(A39=$H$27,"https://centrodecapacitaciondelsur.com/implante-subdermico-",IF(A39=$H$21,"https://centrodecapacitaciondelsur.com/donante-de-organos-",IF(A39=$H$30,"https://centrodecapacitaciondelsur.com/atencion-a-victimas-del-conflicto-armado-",IF(A39=$H$20,"https://centrodecapacitaciondelsur.com/iami-",IF(A39=$H$22,"https://centrodecapacitaciondelsur.com/violencia-de-genero-",IF(A39=$H$23,"https://centrodecapacitaciondelsur.com/igualdad-de-genero-",IF(A39=$H$16,"https://centrodecapacitaciondelsur.com/pai-",IF(A39=$H$31,"https://centrodecapacitaciondelsur.com/manipulacion-de-alimentos-",IF(A39=$H$32,"https://centrodecapacitaciondelsur.com/atencion-a-personas-con-discapacidad-",IF(A39=$H$33,"https://centrodecapacitaciondelsur.com/atencion-al-adulto-mayor-",IF(A39=$H$34,"https://centrodecapacitaciondelsur.com/manejo-defensivo-",IF(A39=$H$35,"https://centrodecapacitaciondelsur.com/soporte-basico-neonatal-",IF(A39=$H$36,"https://centrodecapacitaciondelsur.com/seguridad-del-paciente-",IF(A39=$H$37,"https://centrodecapacitaciondelsur.com/manejo-de-residuos-hospitalarios-",IF(A39=$H$10,"https://centrodecapacitaciondelsur.com/toma-de-citologia-",IF(A39=$H$29,"https://centrodecapacitaciondelsur.com/primeros-aux-psicologicos-"))))))))))))))))))))))))))))))))</f>
        <v>https://centrodecapacitaciondelsur.com/soporte-basico-de-vida-</v>
      </c>
      <c r="C39" s="10">
        <f>INSCRITOS!B2</f>
        <v>59365172</v>
      </c>
      <c r="D39" t="str">
        <f>CONCATENATE(B39,C39,"/")</f>
        <v>https://centrodecapacitaciondelsur.com/soporte-basico-de-vida-59365172/</v>
      </c>
    </row>
    <row r="40" spans="1:8" ht="127.5" customHeight="1" x14ac:dyDescent="0.25">
      <c r="A40" s="19" t="str">
        <f>INSCRITOS!P3</f>
        <v>BLS</v>
      </c>
      <c r="B40" s="8" t="str">
        <f t="shared" ref="B40:B103" si="0">IF(A40=$H$19,"https://centrodecapacitaciondelsur.com/o-v-e-",IF(A40=$H$2,"https://centrodecapacitaciondelsur.com/aph-",IF(A40=$H$3,"https://centrodecapacitaciondelsur.com/manejo-del-duelo-",IF(A40=$H$4,"https://centrodecapacitaciondelsur.com/victimas-por-agentes-quimicos-",IF(A40=$H$5,"https://centrodecapacitaciondelsur.com/primeros-auxilios-",IF(A40=$H$6,"https://centrodecapacitaciondelsur.com/uci-",IF(A40=$H$8,"https://centrodecapacitaciondelsur.com/humanizacion-",IF(A40=$H$11,"https://centrodecapacitaciondelsur.com/soporte-cardiovascular-avanzado-",IF(A40=$H$12,"https://centrodecapacitaciondelsur.com/camillero-",IF(A40=$H$13,"https://centrodecapacitaciondelsur.com/toma-de-muestras-y-lab-clinico-",IF(A40=$H$14,"https://centrodecapacitaciondelsur.com/soporte-basico-de-vida-",IF(A40=$H$15,"https://centrodecapacitaciondelsur.com/violencia-sexual-",IF(A40=$H$17,"https://centrodecapacitaciondelsur.com/aiepi-",IF(A40=$H$18,"https://centrodecapacitaciondelsur.com/adm-medicamentos-canalizacion-inyectologia-",IF(A40=$H$25,"https://centrodecapacitaciondelsur.com/manejo-del-dolor-y-cuidados-paliativos-",IF(A40=$H$26,"https://centrodecapacitaciondelsur.com/toma-de-muestras-y-lab-clinico-poct-",IF(A40=$H$27,"https://centrodecapacitaciondelsur.com/implante-subdermico-",IF(A40=$H$21,"https://centrodecapacitaciondelsur.com/donante-de-organos-",IF(A40=$H$30,"https://centrodecapacitaciondelsur.com/atencion-a-victimas-del-conflicto-armado-",IF(A40=$H$20,"https://centrodecapacitaciondelsur.com/iami-",IF(A40=$H$22,"https://centrodecapacitaciondelsur.com/violencia-de-genero-",IF(A40=$H$23,"https://centrodecapacitaciondelsur.com/igualdad-de-genero-",IF(A40=$H$16,"https://centrodecapacitaciondelsur.com/pai-",IF(A40=$H$31,"https://centrodecapacitaciondelsur.com/manipulacion-de-alimentos-",IF(A40=$H$32,"https://centrodecapacitaciondelsur.com/atencion-a-personas-con-discapacidad-",IF(A40=$H$33,"https://centrodecapacitaciondelsur.com/atencion-al-adulto-mayor-",IF(A40=$H$34,"https://centrodecapacitaciondelsur.com/manejo-defensivo-",IF(A40=$H$35,"https://centrodecapacitaciondelsur.com/soporte-basico-neonatal-",IF(A40=$H$36,"https://centrodecapacitaciondelsur.com/seguridad-del-paciente-",IF(A40=$H$37,"https://centrodecapacitaciondelsur.com/manejo-de-residuos-hospitalarios-",IF(A40=$H$10,"https://centrodecapacitaciondelsur.com/toma-de-citologia-",IF(A40=$H$29,"https://centrodecapacitaciondelsur.com/primeros-aux-psicologicos-"))))))))))))))))))))))))))))))))</f>
        <v>https://centrodecapacitaciondelsur.com/soporte-basico-de-vida-</v>
      </c>
      <c r="C40" s="10">
        <f>INSCRITOS!B3</f>
        <v>1085916716</v>
      </c>
      <c r="D40" t="str">
        <f t="shared" ref="D40:D103" si="1">CONCATENATE(B40,C40,"/")</f>
        <v>https://centrodecapacitaciondelsur.com/soporte-basico-de-vida-1085916716/</v>
      </c>
    </row>
    <row r="41" spans="1:8" ht="122.25" customHeight="1" x14ac:dyDescent="0.25">
      <c r="A41" s="19" t="str">
        <f>INSCRITOS!P4</f>
        <v>BLS</v>
      </c>
      <c r="B41" s="8" t="str">
        <f t="shared" si="0"/>
        <v>https://centrodecapacitaciondelsur.com/soporte-basico-de-vida-</v>
      </c>
      <c r="C41" s="10">
        <f>INSCRITOS!B4</f>
        <v>37122611</v>
      </c>
      <c r="D41" t="str">
        <f t="shared" si="1"/>
        <v>https://centrodecapacitaciondelsur.com/soporte-basico-de-vida-37122611/</v>
      </c>
    </row>
    <row r="42" spans="1:8" ht="122.25" customHeight="1" x14ac:dyDescent="0.25">
      <c r="A42" s="19" t="str">
        <f>INSCRITOS!P5</f>
        <v>BLS</v>
      </c>
      <c r="B42" s="8" t="str">
        <f t="shared" si="0"/>
        <v>https://centrodecapacitaciondelsur.com/soporte-basico-de-vida-</v>
      </c>
      <c r="C42" s="10">
        <f>INSCRITOS!B5</f>
        <v>66862664</v>
      </c>
      <c r="D42" t="str">
        <f t="shared" si="1"/>
        <v>https://centrodecapacitaciondelsur.com/soporte-basico-de-vida-66862664/</v>
      </c>
    </row>
    <row r="43" spans="1:8" ht="122.25" customHeight="1" x14ac:dyDescent="0.25">
      <c r="A43" s="19" t="str">
        <f>INSCRITOS!P6</f>
        <v>BLS</v>
      </c>
      <c r="B43" s="8" t="str">
        <f t="shared" si="0"/>
        <v>https://centrodecapacitaciondelsur.com/soporte-basico-de-vida-</v>
      </c>
      <c r="C43" s="10">
        <f>INSCRITOS!B6</f>
        <v>24336876</v>
      </c>
      <c r="D43" t="str">
        <f t="shared" si="1"/>
        <v>https://centrodecapacitaciondelsur.com/soporte-basico-de-vida-24336876/</v>
      </c>
    </row>
    <row r="44" spans="1:8" ht="122.25" customHeight="1" x14ac:dyDescent="0.25">
      <c r="A44" s="19" t="str">
        <f>INSCRITOS!P7</f>
        <v>BLS</v>
      </c>
      <c r="B44" s="8" t="str">
        <f t="shared" si="0"/>
        <v>https://centrodecapacitaciondelsur.com/soporte-basico-de-vida-</v>
      </c>
      <c r="C44" s="10">
        <f>INSCRITOS!B7</f>
        <v>1085906212</v>
      </c>
      <c r="D44" t="str">
        <f t="shared" si="1"/>
        <v>https://centrodecapacitaciondelsur.com/soporte-basico-de-vida-1085906212/</v>
      </c>
    </row>
    <row r="45" spans="1:8" ht="122.25" customHeight="1" x14ac:dyDescent="0.25">
      <c r="A45" s="19" t="str">
        <f>INSCRITOS!P8</f>
        <v>BLS</v>
      </c>
      <c r="B45" s="8" t="str">
        <f t="shared" si="0"/>
        <v>https://centrodecapacitaciondelsur.com/soporte-basico-de-vida-</v>
      </c>
      <c r="C45" s="10">
        <f>INSCRITOS!B8</f>
        <v>1085902742</v>
      </c>
      <c r="D45" t="str">
        <f t="shared" si="1"/>
        <v>https://centrodecapacitaciondelsur.com/soporte-basico-de-vida-1085902742/</v>
      </c>
    </row>
    <row r="46" spans="1:8" ht="122.25" customHeight="1" x14ac:dyDescent="0.25">
      <c r="A46" s="19" t="str">
        <f>INSCRITOS!P9</f>
        <v>BLS</v>
      </c>
      <c r="B46" s="8" t="str">
        <f t="shared" si="0"/>
        <v>https://centrodecapacitaciondelsur.com/soporte-basico-de-vida-</v>
      </c>
      <c r="C46" s="10">
        <f>INSCRITOS!B9</f>
        <v>59178566</v>
      </c>
      <c r="D46" t="str">
        <f t="shared" si="1"/>
        <v>https://centrodecapacitaciondelsur.com/soporte-basico-de-vida-59178566/</v>
      </c>
    </row>
    <row r="47" spans="1:8" ht="122.25" customHeight="1" x14ac:dyDescent="0.25">
      <c r="A47" s="19" t="str">
        <f>INSCRITOS!P10</f>
        <v>BLS</v>
      </c>
      <c r="B47" s="8" t="str">
        <f t="shared" si="0"/>
        <v>https://centrodecapacitaciondelsur.com/soporte-basico-de-vida-</v>
      </c>
      <c r="C47" s="10">
        <f>INSCRITOS!B10</f>
        <v>1085272196</v>
      </c>
      <c r="D47" t="str">
        <f t="shared" si="1"/>
        <v>https://centrodecapacitaciondelsur.com/soporte-basico-de-vida-1085272196/</v>
      </c>
    </row>
    <row r="48" spans="1:8" ht="122.25" customHeight="1" x14ac:dyDescent="0.25">
      <c r="A48" s="19" t="str">
        <f>INSCRITOS!P11</f>
        <v>BLS</v>
      </c>
      <c r="B48" s="8" t="str">
        <f t="shared" si="0"/>
        <v>https://centrodecapacitaciondelsur.com/soporte-basico-de-vida-</v>
      </c>
      <c r="C48" s="10">
        <f>INSCRITOS!B11</f>
        <v>24337493</v>
      </c>
      <c r="D48" t="str">
        <f t="shared" si="1"/>
        <v>https://centrodecapacitaciondelsur.com/soporte-basico-de-vida-24337493/</v>
      </c>
    </row>
    <row r="49" spans="1:4" ht="122.25" customHeight="1" x14ac:dyDescent="0.25">
      <c r="A49" s="19" t="str">
        <f>INSCRITOS!P12</f>
        <v>BLS</v>
      </c>
      <c r="B49" s="8" t="str">
        <f t="shared" si="0"/>
        <v>https://centrodecapacitaciondelsur.com/soporte-basico-de-vida-</v>
      </c>
      <c r="C49" s="10">
        <f>INSCRITOS!B12</f>
        <v>52524162</v>
      </c>
      <c r="D49" t="str">
        <f t="shared" si="1"/>
        <v>https://centrodecapacitaciondelsur.com/soporte-basico-de-vida-52524162/</v>
      </c>
    </row>
    <row r="50" spans="1:4" ht="122.25" customHeight="1" x14ac:dyDescent="0.25">
      <c r="A50" s="19" t="str">
        <f>INSCRITOS!P13</f>
        <v>BLS</v>
      </c>
      <c r="B50" s="8" t="str">
        <f t="shared" si="0"/>
        <v>https://centrodecapacitaciondelsur.com/soporte-basico-de-vida-</v>
      </c>
      <c r="C50" s="10">
        <f>INSCRITOS!B13</f>
        <v>1085933449</v>
      </c>
      <c r="D50" t="str">
        <f t="shared" si="1"/>
        <v>https://centrodecapacitaciondelsur.com/soporte-basico-de-vida-1085933449/</v>
      </c>
    </row>
    <row r="51" spans="1:4" ht="122.25" customHeight="1" x14ac:dyDescent="0.25">
      <c r="A51" s="19" t="str">
        <f>INSCRITOS!P14</f>
        <v>BLS</v>
      </c>
      <c r="B51" s="8" t="str">
        <f t="shared" si="0"/>
        <v>https://centrodecapacitaciondelsur.com/soporte-basico-de-vida-</v>
      </c>
      <c r="C51" s="10">
        <f>INSCRITOS!B14</f>
        <v>1085899498</v>
      </c>
      <c r="D51" t="str">
        <f t="shared" si="1"/>
        <v>https://centrodecapacitaciondelsur.com/soporte-basico-de-vida-1085899498/</v>
      </c>
    </row>
    <row r="52" spans="1:4" ht="122.25" customHeight="1" x14ac:dyDescent="0.25">
      <c r="A52" s="19" t="str">
        <f>INSCRITOS!P15</f>
        <v>BLS</v>
      </c>
      <c r="B52" s="8" t="str">
        <f t="shared" si="0"/>
        <v>https://centrodecapacitaciondelsur.com/soporte-basico-de-vida-</v>
      </c>
      <c r="C52" s="10">
        <f>INSCRITOS!B15</f>
        <v>27395277</v>
      </c>
      <c r="D52" t="str">
        <f t="shared" si="1"/>
        <v>https://centrodecapacitaciondelsur.com/soporte-basico-de-vida-27395277/</v>
      </c>
    </row>
    <row r="53" spans="1:4" ht="122.25" customHeight="1" x14ac:dyDescent="0.25">
      <c r="A53" s="19" t="str">
        <f>INSCRITOS!P16</f>
        <v>BLS</v>
      </c>
      <c r="B53" s="8" t="str">
        <f t="shared" si="0"/>
        <v>https://centrodecapacitaciondelsur.com/soporte-basico-de-vida-</v>
      </c>
      <c r="C53" s="10">
        <f>INSCRITOS!B16</f>
        <v>37000446</v>
      </c>
      <c r="D53" t="str">
        <f t="shared" si="1"/>
        <v>https://centrodecapacitaciondelsur.com/soporte-basico-de-vida-37000446/</v>
      </c>
    </row>
    <row r="54" spans="1:4" ht="122.25" customHeight="1" x14ac:dyDescent="0.25">
      <c r="A54" s="19" t="str">
        <f>INSCRITOS!P17</f>
        <v>BLS</v>
      </c>
      <c r="B54" s="8" t="str">
        <f t="shared" si="0"/>
        <v>https://centrodecapacitaciondelsur.com/soporte-basico-de-vida-</v>
      </c>
      <c r="C54" s="10">
        <f>INSCRITOS!B17</f>
        <v>1085939480</v>
      </c>
      <c r="D54" t="str">
        <f t="shared" si="1"/>
        <v>https://centrodecapacitaciondelsur.com/soporte-basico-de-vida-1085939480/</v>
      </c>
    </row>
    <row r="55" spans="1:4" ht="122.25" customHeight="1" x14ac:dyDescent="0.25">
      <c r="A55" s="19" t="str">
        <f>INSCRITOS!P18</f>
        <v>BLS</v>
      </c>
      <c r="B55" s="8" t="str">
        <f t="shared" si="0"/>
        <v>https://centrodecapacitaciondelsur.com/soporte-basico-de-vida-</v>
      </c>
      <c r="C55" s="10">
        <f>INSCRITOS!B18</f>
        <v>1004579723</v>
      </c>
      <c r="D55" t="str">
        <f t="shared" si="1"/>
        <v>https://centrodecapacitaciondelsur.com/soporte-basico-de-vida-1004579723/</v>
      </c>
    </row>
    <row r="56" spans="1:4" ht="122.25" customHeight="1" x14ac:dyDescent="0.25">
      <c r="A56" s="19" t="str">
        <f>INSCRITOS!P19</f>
        <v>BLS</v>
      </c>
      <c r="B56" s="8" t="str">
        <f t="shared" si="0"/>
        <v>https://centrodecapacitaciondelsur.com/soporte-basico-de-vida-</v>
      </c>
      <c r="C56" s="10">
        <f>INSCRITOS!B19</f>
        <v>98357587</v>
      </c>
      <c r="D56" t="str">
        <f t="shared" si="1"/>
        <v>https://centrodecapacitaciondelsur.com/soporte-basico-de-vida-98357587/</v>
      </c>
    </row>
    <row r="57" spans="1:4" ht="122.25" customHeight="1" x14ac:dyDescent="0.25">
      <c r="A57" s="19" t="str">
        <f>INSCRITOS!P20</f>
        <v>BLS</v>
      </c>
      <c r="B57" s="8" t="str">
        <f t="shared" si="0"/>
        <v>https://centrodecapacitaciondelsur.com/soporte-basico-de-vida-</v>
      </c>
      <c r="C57" s="10">
        <f>INSCRITOS!B20</f>
        <v>1085911472</v>
      </c>
      <c r="D57" t="str">
        <f t="shared" si="1"/>
        <v>https://centrodecapacitaciondelsur.com/soporte-basico-de-vida-1085911472/</v>
      </c>
    </row>
    <row r="58" spans="1:4" ht="122.25" customHeight="1" x14ac:dyDescent="0.25">
      <c r="A58" s="19" t="str">
        <f>INSCRITOS!P21</f>
        <v>BLS</v>
      </c>
      <c r="B58" s="8" t="str">
        <f t="shared" si="0"/>
        <v>https://centrodecapacitaciondelsur.com/soporte-basico-de-vida-</v>
      </c>
      <c r="C58" s="10">
        <f>INSCRITOS!B21</f>
        <v>1085940434</v>
      </c>
      <c r="D58" t="str">
        <f t="shared" si="1"/>
        <v>https://centrodecapacitaciondelsur.com/soporte-basico-de-vida-1085940434/</v>
      </c>
    </row>
    <row r="59" spans="1:4" ht="122.25" customHeight="1" x14ac:dyDescent="0.25">
      <c r="A59" s="19" t="str">
        <f>INSCRITOS!P22</f>
        <v>BLS</v>
      </c>
      <c r="B59" s="8" t="str">
        <f t="shared" si="0"/>
        <v>https://centrodecapacitaciondelsur.com/soporte-basico-de-vida-</v>
      </c>
      <c r="C59" s="10">
        <f>INSCRITOS!B22</f>
        <v>1086302150</v>
      </c>
      <c r="D59" t="str">
        <f t="shared" si="1"/>
        <v>https://centrodecapacitaciondelsur.com/soporte-basico-de-vida-1086302150/</v>
      </c>
    </row>
    <row r="60" spans="1:4" ht="122.25" customHeight="1" x14ac:dyDescent="0.25">
      <c r="A60" s="19" t="str">
        <f>INSCRITOS!P23</f>
        <v>BLS</v>
      </c>
      <c r="B60" s="8" t="str">
        <f t="shared" si="0"/>
        <v>https://centrodecapacitaciondelsur.com/soporte-basico-de-vida-</v>
      </c>
      <c r="C60" s="10">
        <f>INSCRITOS!B23</f>
        <v>1085925210</v>
      </c>
      <c r="D60" t="str">
        <f t="shared" si="1"/>
        <v>https://centrodecapacitaciondelsur.com/soporte-basico-de-vida-1085925210/</v>
      </c>
    </row>
    <row r="61" spans="1:4" ht="122.25" customHeight="1" x14ac:dyDescent="0.25">
      <c r="A61" s="19" t="str">
        <f>INSCRITOS!P24</f>
        <v>BLS</v>
      </c>
      <c r="B61" s="8" t="str">
        <f t="shared" si="0"/>
        <v>https://centrodecapacitaciondelsur.com/soporte-basico-de-vida-</v>
      </c>
      <c r="C61" s="10">
        <f>INSCRITOS!B24</f>
        <v>37001724</v>
      </c>
      <c r="D61" t="str">
        <f t="shared" si="1"/>
        <v>https://centrodecapacitaciondelsur.com/soporte-basico-de-vida-37001724/</v>
      </c>
    </row>
    <row r="62" spans="1:4" ht="122.25" customHeight="1" x14ac:dyDescent="0.25">
      <c r="A62" s="19" t="str">
        <f>INSCRITOS!P25</f>
        <v>BLS</v>
      </c>
      <c r="B62" s="8" t="str">
        <f t="shared" si="0"/>
        <v>https://centrodecapacitaciondelsur.com/soporte-basico-de-vida-</v>
      </c>
      <c r="C62" s="10">
        <f>INSCRITOS!B25</f>
        <v>1085942921</v>
      </c>
      <c r="D62" t="str">
        <f t="shared" si="1"/>
        <v>https://centrodecapacitaciondelsur.com/soporte-basico-de-vida-1085942921/</v>
      </c>
    </row>
    <row r="63" spans="1:4" ht="122.25" customHeight="1" x14ac:dyDescent="0.25">
      <c r="A63" s="19" t="str">
        <f>INSCRITOS!P26</f>
        <v>BLS</v>
      </c>
      <c r="B63" s="8" t="str">
        <f t="shared" si="0"/>
        <v>https://centrodecapacitaciondelsur.com/soporte-basico-de-vida-</v>
      </c>
      <c r="C63" s="10">
        <f>INSCRITOS!B26</f>
        <v>36862781</v>
      </c>
      <c r="D63" t="str">
        <f t="shared" si="1"/>
        <v>https://centrodecapacitaciondelsur.com/soporte-basico-de-vida-36862781/</v>
      </c>
    </row>
    <row r="64" spans="1:4" ht="122.25" customHeight="1" x14ac:dyDescent="0.25">
      <c r="A64" s="19" t="str">
        <f>INSCRITOS!P27</f>
        <v>VIOLENCIA SEXUAL</v>
      </c>
      <c r="B64" s="8" t="str">
        <f t="shared" si="0"/>
        <v>https://centrodecapacitaciondelsur.com/violencia-sexual-</v>
      </c>
      <c r="C64" s="10">
        <f>INSCRITOS!B27</f>
        <v>37122611</v>
      </c>
      <c r="D64" t="str">
        <f t="shared" si="1"/>
        <v>https://centrodecapacitaciondelsur.com/violencia-sexual-37122611/</v>
      </c>
    </row>
    <row r="65" spans="1:4" ht="122.25" customHeight="1" x14ac:dyDescent="0.25">
      <c r="A65" s="19" t="str">
        <f>INSCRITOS!P28</f>
        <v>IAMI</v>
      </c>
      <c r="B65" s="8" t="str">
        <f t="shared" si="0"/>
        <v>https://centrodecapacitaciondelsur.com/iami-</v>
      </c>
      <c r="C65" s="10">
        <f>INSCRITOS!B28</f>
        <v>1085335251</v>
      </c>
      <c r="D65" t="str">
        <f t="shared" si="1"/>
        <v>https://centrodecapacitaciondelsur.com/iami-1085335251/</v>
      </c>
    </row>
    <row r="66" spans="1:4" ht="122.25" customHeight="1" x14ac:dyDescent="0.25">
      <c r="A66" s="19" t="str">
        <f>INSCRITOS!P29</f>
        <v>PAI</v>
      </c>
      <c r="B66" s="8" t="str">
        <f t="shared" si="0"/>
        <v>https://centrodecapacitaciondelsur.com/pai-</v>
      </c>
      <c r="C66" s="10">
        <f>INSCRITOS!B29</f>
        <v>1085335251</v>
      </c>
      <c r="D66" t="str">
        <f t="shared" si="1"/>
        <v>https://centrodecapacitaciondelsur.com/pai-1085335251/</v>
      </c>
    </row>
    <row r="67" spans="1:4" ht="122.25" customHeight="1" x14ac:dyDescent="0.25">
      <c r="A67" s="19" t="str">
        <f>INSCRITOS!P30</f>
        <v>VIOLENCIA SEXUAL</v>
      </c>
      <c r="B67" s="8" t="str">
        <f t="shared" si="0"/>
        <v>https://centrodecapacitaciondelsur.com/violencia-sexual-</v>
      </c>
      <c r="C67" s="10">
        <f>INSCRITOS!B30</f>
        <v>1088737698</v>
      </c>
      <c r="D67" t="str">
        <f t="shared" si="1"/>
        <v>https://centrodecapacitaciondelsur.com/violencia-sexual-1088737698/</v>
      </c>
    </row>
    <row r="68" spans="1:4" ht="122.25" customHeight="1" x14ac:dyDescent="0.25">
      <c r="A68" s="19" t="str">
        <f>INSCRITOS!P31</f>
        <v>ACLS</v>
      </c>
      <c r="B68" s="8" t="str">
        <f t="shared" si="0"/>
        <v>https://centrodecapacitaciondelsur.com/soporte-cardiovascular-avanzado-</v>
      </c>
      <c r="C68" s="10">
        <f>INSCRITOS!B31</f>
        <v>1020842662</v>
      </c>
      <c r="D68" t="str">
        <f t="shared" si="1"/>
        <v>https://centrodecapacitaciondelsur.com/soporte-cardiovascular-avanzado-1020842662/</v>
      </c>
    </row>
    <row r="69" spans="1:4" ht="122.25" customHeight="1" x14ac:dyDescent="0.25">
      <c r="A69" s="19" t="str">
        <f>INSCRITOS!P32</f>
        <v>ACLS</v>
      </c>
      <c r="B69" s="8" t="str">
        <f t="shared" si="0"/>
        <v>https://centrodecapacitaciondelsur.com/soporte-cardiovascular-avanzado-</v>
      </c>
      <c r="C69" s="10">
        <f>INSCRITOS!B32</f>
        <v>1020767042</v>
      </c>
      <c r="D69" t="str">
        <f t="shared" si="1"/>
        <v>https://centrodecapacitaciondelsur.com/soporte-cardiovascular-avanzado-1020767042/</v>
      </c>
    </row>
    <row r="70" spans="1:4" ht="122.25" customHeight="1" x14ac:dyDescent="0.25">
      <c r="A70" s="19" t="str">
        <f>INSCRITOS!P33</f>
        <v>ACLS</v>
      </c>
      <c r="B70" s="8" t="str">
        <f t="shared" si="0"/>
        <v>https://centrodecapacitaciondelsur.com/soporte-cardiovascular-avanzado-</v>
      </c>
      <c r="C70" s="10">
        <f>INSCRITOS!B33</f>
        <v>12957794</v>
      </c>
      <c r="D70" t="str">
        <f t="shared" si="1"/>
        <v>https://centrodecapacitaciondelsur.com/soporte-cardiovascular-avanzado-12957794/</v>
      </c>
    </row>
    <row r="71" spans="1:4" ht="122.25" customHeight="1" x14ac:dyDescent="0.25">
      <c r="A71" s="19" t="str">
        <f>INSCRITOS!P34</f>
        <v>ACLS</v>
      </c>
      <c r="B71" s="8" t="str">
        <f t="shared" si="0"/>
        <v>https://centrodecapacitaciondelsur.com/soporte-cardiovascular-avanzado-</v>
      </c>
      <c r="C71" s="10">
        <f>INSCRITOS!B34</f>
        <v>1085328963</v>
      </c>
      <c r="D71" t="str">
        <f t="shared" si="1"/>
        <v>https://centrodecapacitaciondelsur.com/soporte-cardiovascular-avanzado-1085328963/</v>
      </c>
    </row>
    <row r="72" spans="1:4" ht="122.25" customHeight="1" x14ac:dyDescent="0.25">
      <c r="A72" s="19" t="str">
        <f>INSCRITOS!P35</f>
        <v>VIOLENCIA SEXUAL</v>
      </c>
      <c r="B72" s="8" t="str">
        <f t="shared" si="0"/>
        <v>https://centrodecapacitaciondelsur.com/violencia-sexual-</v>
      </c>
      <c r="C72" s="10">
        <f>INSCRITOS!B35</f>
        <v>1085338285</v>
      </c>
      <c r="D72" t="str">
        <f t="shared" si="1"/>
        <v>https://centrodecapacitaciondelsur.com/violencia-sexual-1085338285/</v>
      </c>
    </row>
    <row r="73" spans="1:4" ht="122.25" customHeight="1" x14ac:dyDescent="0.25">
      <c r="A73" s="19" t="str">
        <f>INSCRITOS!P36</f>
        <v>DUELO</v>
      </c>
      <c r="B73" s="8" t="str">
        <f t="shared" si="0"/>
        <v>https://centrodecapacitaciondelsur.com/manejo-del-duelo-</v>
      </c>
      <c r="C73" s="10">
        <f>INSCRITOS!B36</f>
        <v>1085338285</v>
      </c>
      <c r="D73" t="str">
        <f t="shared" si="1"/>
        <v>https://centrodecapacitaciondelsur.com/manejo-del-duelo-1085338285/</v>
      </c>
    </row>
    <row r="74" spans="1:4" ht="122.25" customHeight="1" x14ac:dyDescent="0.25">
      <c r="A74" s="19" t="str">
        <f>INSCRITOS!P37</f>
        <v>QUIMICOS</v>
      </c>
      <c r="B74" s="8" t="str">
        <f t="shared" si="0"/>
        <v>https://centrodecapacitaciondelsur.com/victimas-por-agentes-quimicos-</v>
      </c>
      <c r="C74" s="10">
        <f>INSCRITOS!B37</f>
        <v>1085338285</v>
      </c>
      <c r="D74" t="str">
        <f t="shared" si="1"/>
        <v>https://centrodecapacitaciondelsur.com/victimas-por-agentes-quimicos-1085338285/</v>
      </c>
    </row>
    <row r="75" spans="1:4" ht="122.25" customHeight="1" x14ac:dyDescent="0.25">
      <c r="A75" s="19" t="str">
        <f>INSCRITOS!P38</f>
        <v>BLS</v>
      </c>
      <c r="B75" s="8" t="str">
        <f t="shared" si="0"/>
        <v>https://centrodecapacitaciondelsur.com/soporte-basico-de-vida-</v>
      </c>
      <c r="C75" s="10">
        <f>INSCRITOS!B38</f>
        <v>1085338285</v>
      </c>
      <c r="D75" t="str">
        <f t="shared" si="1"/>
        <v>https://centrodecapacitaciondelsur.com/soporte-basico-de-vida-1085338285/</v>
      </c>
    </row>
    <row r="76" spans="1:4" ht="122.25" customHeight="1" x14ac:dyDescent="0.25">
      <c r="A76" s="19" t="str">
        <f>INSCRITOS!P39</f>
        <v>BLS</v>
      </c>
      <c r="B76" s="8" t="str">
        <f t="shared" si="0"/>
        <v>https://centrodecapacitaciondelsur.com/soporte-basico-de-vida-</v>
      </c>
      <c r="C76" s="10">
        <f>INSCRITOS!B39</f>
        <v>1088733594</v>
      </c>
      <c r="D76" t="str">
        <f t="shared" si="1"/>
        <v>https://centrodecapacitaciondelsur.com/soporte-basico-de-vida-1088733594/</v>
      </c>
    </row>
    <row r="77" spans="1:4" ht="122.25" customHeight="1" x14ac:dyDescent="0.25">
      <c r="A77" s="19" t="str">
        <f>INSCRITOS!P40</f>
        <v>VIOLENCIA SEXUAL</v>
      </c>
      <c r="B77" s="8" t="str">
        <f t="shared" si="0"/>
        <v>https://centrodecapacitaciondelsur.com/violencia-sexual-</v>
      </c>
      <c r="C77" s="10">
        <f>INSCRITOS!B40</f>
        <v>1088733594</v>
      </c>
      <c r="D77" t="str">
        <f t="shared" si="1"/>
        <v>https://centrodecapacitaciondelsur.com/violencia-sexual-1088733594/</v>
      </c>
    </row>
    <row r="78" spans="1:4" ht="122.25" customHeight="1" x14ac:dyDescent="0.25">
      <c r="A78" s="19" t="str">
        <f>INSCRITOS!P41</f>
        <v>QUIMICOS</v>
      </c>
      <c r="B78" s="8" t="str">
        <f t="shared" si="0"/>
        <v>https://centrodecapacitaciondelsur.com/victimas-por-agentes-quimicos-</v>
      </c>
      <c r="C78" s="10">
        <f>INSCRITOS!B41</f>
        <v>1088733594</v>
      </c>
      <c r="D78" t="str">
        <f t="shared" si="1"/>
        <v>https://centrodecapacitaciondelsur.com/victimas-por-agentes-quimicos-1088733594/</v>
      </c>
    </row>
    <row r="79" spans="1:4" ht="122.25" customHeight="1" x14ac:dyDescent="0.25">
      <c r="A79" s="19" t="str">
        <f>INSCRITOS!P42</f>
        <v>DUELO</v>
      </c>
      <c r="B79" s="8" t="str">
        <f t="shared" si="0"/>
        <v>https://centrodecapacitaciondelsur.com/manejo-del-duelo-</v>
      </c>
      <c r="C79" s="10">
        <f>INSCRITOS!B42</f>
        <v>1088733594</v>
      </c>
      <c r="D79" t="str">
        <f t="shared" si="1"/>
        <v>https://centrodecapacitaciondelsur.com/manejo-del-duelo-1088733594/</v>
      </c>
    </row>
    <row r="80" spans="1:4" ht="122.25" customHeight="1" x14ac:dyDescent="0.25">
      <c r="A80" s="19" t="str">
        <f>INSCRITOS!P43</f>
        <v>ACLS</v>
      </c>
      <c r="B80" s="8" t="str">
        <f t="shared" si="0"/>
        <v>https://centrodecapacitaciondelsur.com/soporte-cardiovascular-avanzado-</v>
      </c>
      <c r="C80" s="10">
        <f>INSCRITOS!B43</f>
        <v>1085338961</v>
      </c>
      <c r="D80" t="str">
        <f t="shared" si="1"/>
        <v>https://centrodecapacitaciondelsur.com/soporte-cardiovascular-avanzado-1085338961/</v>
      </c>
    </row>
    <row r="81" spans="1:4" ht="122.25" customHeight="1" x14ac:dyDescent="0.25">
      <c r="A81" s="19" t="str">
        <f>INSCRITOS!P44</f>
        <v>BLS</v>
      </c>
      <c r="B81" s="8" t="str">
        <f t="shared" si="0"/>
        <v>https://centrodecapacitaciondelsur.com/soporte-basico-de-vida-</v>
      </c>
      <c r="C81" s="10">
        <f>INSCRITOS!B44</f>
        <v>1085338961</v>
      </c>
      <c r="D81" t="str">
        <f t="shared" si="1"/>
        <v>https://centrodecapacitaciondelsur.com/soporte-basico-de-vida-1085338961/</v>
      </c>
    </row>
    <row r="82" spans="1:4" ht="122.25" customHeight="1" x14ac:dyDescent="0.25">
      <c r="A82" s="19" t="str">
        <f>INSCRITOS!P45</f>
        <v>PALIATIVOS</v>
      </c>
      <c r="B82" s="8" t="str">
        <f t="shared" si="0"/>
        <v>https://centrodecapacitaciondelsur.com/manejo-del-dolor-y-cuidados-paliativos-</v>
      </c>
      <c r="C82" s="10">
        <f>INSCRITOS!B45</f>
        <v>1085338961</v>
      </c>
      <c r="D82" t="str">
        <f t="shared" si="1"/>
        <v>https://centrodecapacitaciondelsur.com/manejo-del-dolor-y-cuidados-paliativos-1085338961/</v>
      </c>
    </row>
    <row r="83" spans="1:4" ht="122.25" customHeight="1" x14ac:dyDescent="0.25">
      <c r="A83" s="19" t="str">
        <f>INSCRITOS!P46</f>
        <v>POCT</v>
      </c>
      <c r="B83" s="8" t="str">
        <f t="shared" si="0"/>
        <v>https://centrodecapacitaciondelsur.com/toma-de-muestras-y-lab-clinico-poct-</v>
      </c>
      <c r="C83" s="10">
        <f>INSCRITOS!B46</f>
        <v>1085338961</v>
      </c>
      <c r="D83" t="str">
        <f t="shared" si="1"/>
        <v>https://centrodecapacitaciondelsur.com/toma-de-muestras-y-lab-clinico-poct-1085338961/</v>
      </c>
    </row>
    <row r="84" spans="1:4" ht="122.25" customHeight="1" x14ac:dyDescent="0.25">
      <c r="A84" s="19" t="str">
        <f>INSCRITOS!P47</f>
        <v>PACIENTE</v>
      </c>
      <c r="B84" s="8" t="str">
        <f t="shared" si="0"/>
        <v>https://centrodecapacitaciondelsur.com/seguridad-del-paciente-</v>
      </c>
      <c r="C84" s="10">
        <f>INSCRITOS!B47</f>
        <v>1126567107</v>
      </c>
      <c r="D84" t="str">
        <f t="shared" si="1"/>
        <v>https://centrodecapacitaciondelsur.com/seguridad-del-paciente-1126567107/</v>
      </c>
    </row>
    <row r="85" spans="1:4" ht="122.25" customHeight="1" x14ac:dyDescent="0.25">
      <c r="A85" s="19" t="str">
        <f>INSCRITOS!P48</f>
        <v>VIOLENCIA SEXUAL</v>
      </c>
      <c r="B85" s="8" t="str">
        <f t="shared" si="0"/>
        <v>https://centrodecapacitaciondelsur.com/violencia-sexual-</v>
      </c>
      <c r="C85" s="10">
        <f>INSCRITOS!B48</f>
        <v>12845773</v>
      </c>
      <c r="D85" t="str">
        <f t="shared" si="1"/>
        <v>https://centrodecapacitaciondelsur.com/violencia-sexual-12845773/</v>
      </c>
    </row>
    <row r="86" spans="1:4" ht="122.25" customHeight="1" x14ac:dyDescent="0.25">
      <c r="A86" s="19" t="str">
        <f>INSCRITOS!P49</f>
        <v>QUIMICOS</v>
      </c>
      <c r="B86" s="8" t="str">
        <f t="shared" si="0"/>
        <v>https://centrodecapacitaciondelsur.com/victimas-por-agentes-quimicos-</v>
      </c>
      <c r="C86" s="10">
        <f>INSCRITOS!B49</f>
        <v>12845773</v>
      </c>
      <c r="D86" t="str">
        <f t="shared" si="1"/>
        <v>https://centrodecapacitaciondelsur.com/victimas-por-agentes-quimicos-12845773/</v>
      </c>
    </row>
    <row r="87" spans="1:4" ht="122.25" customHeight="1" x14ac:dyDescent="0.25">
      <c r="A87" s="19" t="str">
        <f>INSCRITOS!P50</f>
        <v>BLS</v>
      </c>
      <c r="B87" s="8" t="str">
        <f t="shared" si="0"/>
        <v>https://centrodecapacitaciondelsur.com/soporte-basico-de-vida-</v>
      </c>
      <c r="C87" s="10">
        <f>INSCRITOS!B50</f>
        <v>1004192394</v>
      </c>
      <c r="D87" t="str">
        <f t="shared" si="1"/>
        <v>https://centrodecapacitaciondelsur.com/soporte-basico-de-vida-1004192394/</v>
      </c>
    </row>
    <row r="88" spans="1:4" ht="122.25" customHeight="1" x14ac:dyDescent="0.25">
      <c r="A88" s="19" t="str">
        <f>INSCRITOS!P51</f>
        <v>ADMON DE MEDICAMENTOS</v>
      </c>
      <c r="B88" s="8" t="str">
        <f t="shared" si="0"/>
        <v>https://centrodecapacitaciondelsur.com/adm-medicamentos-canalizacion-inyectologia-</v>
      </c>
      <c r="C88" s="10">
        <f>INSCRITOS!B51</f>
        <v>1085295508</v>
      </c>
      <c r="D88" t="str">
        <f t="shared" si="1"/>
        <v>https://centrodecapacitaciondelsur.com/adm-medicamentos-canalizacion-inyectologia-1085295508/</v>
      </c>
    </row>
    <row r="89" spans="1:4" ht="122.25" customHeight="1" x14ac:dyDescent="0.25">
      <c r="A89" s="19" t="str">
        <f>INSCRITOS!P52</f>
        <v>ADMON DE MEDICAMENTOS</v>
      </c>
      <c r="B89" s="8" t="str">
        <f t="shared" si="0"/>
        <v>https://centrodecapacitaciondelsur.com/adm-medicamentos-canalizacion-inyectologia-</v>
      </c>
      <c r="C89" s="10">
        <f>INSCRITOS!B52</f>
        <v>1004771155</v>
      </c>
      <c r="D89" t="str">
        <f t="shared" si="1"/>
        <v>https://centrodecapacitaciondelsur.com/adm-medicamentos-canalizacion-inyectologia-1004771155/</v>
      </c>
    </row>
    <row r="90" spans="1:4" ht="122.25" customHeight="1" x14ac:dyDescent="0.25">
      <c r="A90" s="19" t="str">
        <f>INSCRITOS!P53</f>
        <v>PRIMEROS AUXILIOS</v>
      </c>
      <c r="B90" s="8" t="str">
        <f t="shared" si="0"/>
        <v>https://centrodecapacitaciondelsur.com/primeros-auxilios-</v>
      </c>
      <c r="C90" s="10">
        <f>INSCRITOS!B53</f>
        <v>59802146</v>
      </c>
      <c r="D90" t="str">
        <f t="shared" si="1"/>
        <v>https://centrodecapacitaciondelsur.com/primeros-auxilios-59802146/</v>
      </c>
    </row>
    <row r="91" spans="1:4" ht="122.25" customHeight="1" x14ac:dyDescent="0.25">
      <c r="A91" s="19" t="str">
        <f>INSCRITOS!P54</f>
        <v>PRIMEROS AUXILIOS</v>
      </c>
      <c r="B91" s="8" t="str">
        <f t="shared" si="0"/>
        <v>https://centrodecapacitaciondelsur.com/primeros-auxilios-</v>
      </c>
      <c r="C91" s="10">
        <f>INSCRITOS!B54</f>
        <v>27225269</v>
      </c>
      <c r="D91" t="str">
        <f t="shared" si="1"/>
        <v>https://centrodecapacitaciondelsur.com/primeros-auxilios-27225269/</v>
      </c>
    </row>
    <row r="92" spans="1:4" ht="122.25" customHeight="1" x14ac:dyDescent="0.25">
      <c r="A92" s="19" t="str">
        <f>INSCRITOS!P55</f>
        <v>PRIMEROS AUXILIOS</v>
      </c>
      <c r="B92" s="8" t="str">
        <f t="shared" si="0"/>
        <v>https://centrodecapacitaciondelsur.com/primeros-auxilios-</v>
      </c>
      <c r="C92" s="10">
        <f>INSCRITOS!B55</f>
        <v>27395407</v>
      </c>
      <c r="D92" t="str">
        <f t="shared" si="1"/>
        <v>https://centrodecapacitaciondelsur.com/primeros-auxilios-27395407/</v>
      </c>
    </row>
    <row r="93" spans="1:4" ht="122.25" customHeight="1" x14ac:dyDescent="0.25">
      <c r="A93" s="19" t="str">
        <f>INSCRITOS!P56</f>
        <v>PRIMEROS AUXILIOS</v>
      </c>
      <c r="B93" s="8" t="str">
        <f t="shared" si="0"/>
        <v>https://centrodecapacitaciondelsur.com/primeros-auxilios-</v>
      </c>
      <c r="C93" s="10">
        <f>INSCRITOS!B56</f>
        <v>27397352</v>
      </c>
      <c r="D93" t="str">
        <f t="shared" si="1"/>
        <v>https://centrodecapacitaciondelsur.com/primeros-auxilios-27397352/</v>
      </c>
    </row>
    <row r="94" spans="1:4" ht="122.25" customHeight="1" x14ac:dyDescent="0.25">
      <c r="A94" s="19" t="str">
        <f>INSCRITOS!P57</f>
        <v>PRIMEROS AUXILIOS</v>
      </c>
      <c r="B94" s="8" t="str">
        <f t="shared" si="0"/>
        <v>https://centrodecapacitaciondelsur.com/primeros-auxilios-</v>
      </c>
      <c r="C94" s="10">
        <f>INSCRITOS!B57</f>
        <v>59802583</v>
      </c>
      <c r="D94" t="str">
        <f t="shared" si="1"/>
        <v>https://centrodecapacitaciondelsur.com/primeros-auxilios-59802583/</v>
      </c>
    </row>
    <row r="95" spans="1:4" ht="122.25" customHeight="1" x14ac:dyDescent="0.25">
      <c r="A95" s="19" t="str">
        <f>INSCRITOS!P58</f>
        <v>PRIMEROS AUXILIOS</v>
      </c>
      <c r="B95" s="8" t="str">
        <f t="shared" si="0"/>
        <v>https://centrodecapacitaciondelsur.com/primeros-auxilios-</v>
      </c>
      <c r="C95" s="10">
        <f>INSCRITOS!B58</f>
        <v>27397222</v>
      </c>
      <c r="D95" t="str">
        <f t="shared" si="1"/>
        <v>https://centrodecapacitaciondelsur.com/primeros-auxilios-27397222/</v>
      </c>
    </row>
    <row r="96" spans="1:4" ht="122.25" customHeight="1" x14ac:dyDescent="0.25">
      <c r="A96" s="19" t="str">
        <f>INSCRITOS!P59</f>
        <v>PRIMEROS AUXILIOS</v>
      </c>
      <c r="B96" s="8" t="str">
        <f t="shared" si="0"/>
        <v>https://centrodecapacitaciondelsur.com/primeros-auxilios-</v>
      </c>
      <c r="C96" s="10">
        <f>INSCRITOS!B59</f>
        <v>1086102898</v>
      </c>
      <c r="D96" t="str">
        <f t="shared" si="1"/>
        <v>https://centrodecapacitaciondelsur.com/primeros-auxilios-1086102898/</v>
      </c>
    </row>
    <row r="97" spans="1:4" ht="122.25" customHeight="1" x14ac:dyDescent="0.25">
      <c r="A97" s="19" t="str">
        <f>INSCRITOS!P60</f>
        <v>PRIMEROS AUXILIOS</v>
      </c>
      <c r="B97" s="8" t="str">
        <f t="shared" si="0"/>
        <v>https://centrodecapacitaciondelsur.com/primeros-auxilios-</v>
      </c>
      <c r="C97" s="10">
        <f>INSCRITOS!B60</f>
        <v>59802455</v>
      </c>
      <c r="D97" t="str">
        <f t="shared" si="1"/>
        <v>https://centrodecapacitaciondelsur.com/primeros-auxilios-59802455/</v>
      </c>
    </row>
    <row r="98" spans="1:4" ht="122.25" customHeight="1" x14ac:dyDescent="0.25">
      <c r="A98" s="19" t="str">
        <f>INSCRITOS!P61</f>
        <v>HUMANIZACION</v>
      </c>
      <c r="B98" s="8" t="str">
        <f t="shared" si="0"/>
        <v>https://centrodecapacitaciondelsur.com/humanizacion-</v>
      </c>
      <c r="C98" s="10">
        <f>INSCRITOS!B61</f>
        <v>1088594435</v>
      </c>
      <c r="D98" t="str">
        <f t="shared" si="1"/>
        <v>https://centrodecapacitaciondelsur.com/humanizacion-1088594435/</v>
      </c>
    </row>
    <row r="99" spans="1:4" ht="122.25" customHeight="1" x14ac:dyDescent="0.25">
      <c r="A99" s="19" t="str">
        <f>INSCRITOS!P62</f>
        <v>PRIMEROS AUXILIOS</v>
      </c>
      <c r="B99" s="8" t="str">
        <f t="shared" si="0"/>
        <v>https://centrodecapacitaciondelsur.com/primeros-auxilios-</v>
      </c>
      <c r="C99" s="10">
        <f>INSCRITOS!B62</f>
        <v>59305053</v>
      </c>
      <c r="D99" t="str">
        <f t="shared" si="1"/>
        <v>https://centrodecapacitaciondelsur.com/primeros-auxilios-59305053/</v>
      </c>
    </row>
    <row r="100" spans="1:4" ht="122.25" customHeight="1" x14ac:dyDescent="0.25">
      <c r="A100" s="19" t="str">
        <f>INSCRITOS!P63</f>
        <v>PRIMEROS AUXILIOS</v>
      </c>
      <c r="B100" s="8" t="str">
        <f t="shared" si="0"/>
        <v>https://centrodecapacitaciondelsur.com/primeros-auxilios-</v>
      </c>
      <c r="C100" s="10">
        <f>INSCRITOS!B63</f>
        <v>27394110</v>
      </c>
      <c r="D100" t="str">
        <f t="shared" si="1"/>
        <v>https://centrodecapacitaciondelsur.com/primeros-auxilios-27394110/</v>
      </c>
    </row>
    <row r="101" spans="1:4" ht="122.25" customHeight="1" x14ac:dyDescent="0.25">
      <c r="A101" s="19" t="str">
        <f>INSCRITOS!P64</f>
        <v>PRIMEROS AUXILIOS</v>
      </c>
      <c r="B101" s="8" t="str">
        <f t="shared" si="0"/>
        <v>https://centrodecapacitaciondelsur.com/primeros-auxilios-</v>
      </c>
      <c r="C101" s="10">
        <f>INSCRITOS!B64</f>
        <v>27395657</v>
      </c>
      <c r="D101" t="str">
        <f t="shared" si="1"/>
        <v>https://centrodecapacitaciondelsur.com/primeros-auxilios-27395657/</v>
      </c>
    </row>
    <row r="102" spans="1:4" ht="122.25" customHeight="1" x14ac:dyDescent="0.25">
      <c r="A102" s="19" t="str">
        <f>INSCRITOS!P65</f>
        <v>PRIMEROS AUXILIOS</v>
      </c>
      <c r="B102" s="8" t="str">
        <f t="shared" si="0"/>
        <v>https://centrodecapacitaciondelsur.com/primeros-auxilios-</v>
      </c>
      <c r="C102" s="10">
        <f>INSCRITOS!B65</f>
        <v>27396120</v>
      </c>
      <c r="D102" t="str">
        <f t="shared" si="1"/>
        <v>https://centrodecapacitaciondelsur.com/primeros-auxilios-27396120/</v>
      </c>
    </row>
    <row r="103" spans="1:4" ht="122.25" customHeight="1" x14ac:dyDescent="0.25">
      <c r="A103" s="19" t="str">
        <f>INSCRITOS!P66</f>
        <v>PRIMEROS AUXILIOS</v>
      </c>
      <c r="B103" s="8" t="str">
        <f t="shared" si="0"/>
        <v>https://centrodecapacitaciondelsur.com/primeros-auxilios-</v>
      </c>
      <c r="C103" s="10">
        <f>INSCRITOS!B66</f>
        <v>27396430</v>
      </c>
      <c r="D103" t="str">
        <f t="shared" si="1"/>
        <v>https://centrodecapacitaciondelsur.com/primeros-auxilios-27396430/</v>
      </c>
    </row>
    <row r="104" spans="1:4" ht="122.25" customHeight="1" x14ac:dyDescent="0.25">
      <c r="A104" s="19" t="str">
        <f>INSCRITOS!P67</f>
        <v>BLS</v>
      </c>
      <c r="B104" s="8" t="str">
        <f t="shared" ref="B104:B167" si="2">IF(A104=$H$19,"https://centrodecapacitaciondelsur.com/o-v-e-",IF(A104=$H$2,"https://centrodecapacitaciondelsur.com/aph-",IF(A104=$H$3,"https://centrodecapacitaciondelsur.com/manejo-del-duelo-",IF(A104=$H$4,"https://centrodecapacitaciondelsur.com/victimas-por-agentes-quimicos-",IF(A104=$H$5,"https://centrodecapacitaciondelsur.com/primeros-auxilios-",IF(A104=$H$6,"https://centrodecapacitaciondelsur.com/uci-",IF(A104=$H$8,"https://centrodecapacitaciondelsur.com/humanizacion-",IF(A104=$H$11,"https://centrodecapacitaciondelsur.com/soporte-cardiovascular-avanzado-",IF(A104=$H$12,"https://centrodecapacitaciondelsur.com/camillero-",IF(A104=$H$13,"https://centrodecapacitaciondelsur.com/toma-de-muestras-y-lab-clinico-",IF(A104=$H$14,"https://centrodecapacitaciondelsur.com/soporte-basico-de-vida-",IF(A104=$H$15,"https://centrodecapacitaciondelsur.com/violencia-sexual-",IF(A104=$H$17,"https://centrodecapacitaciondelsur.com/aiepi-",IF(A104=$H$18,"https://centrodecapacitaciondelsur.com/adm-medicamentos-canalizacion-inyectologia-",IF(A104=$H$25,"https://centrodecapacitaciondelsur.com/manejo-del-dolor-y-cuidados-paliativos-",IF(A104=$H$26,"https://centrodecapacitaciondelsur.com/toma-de-muestras-y-lab-clinico-poct-",IF(A104=$H$27,"https://centrodecapacitaciondelsur.com/implante-subdermico-",IF(A104=$H$21,"https://centrodecapacitaciondelsur.com/donante-de-organos-",IF(A104=$H$30,"https://centrodecapacitaciondelsur.com/atencion-a-victimas-del-conflicto-armado-",IF(A104=$H$20,"https://centrodecapacitaciondelsur.com/iami-",IF(A104=$H$22,"https://centrodecapacitaciondelsur.com/violencia-de-genero-",IF(A104=$H$23,"https://centrodecapacitaciondelsur.com/igualdad-de-genero-",IF(A104=$H$16,"https://centrodecapacitaciondelsur.com/pai-",IF(A104=$H$31,"https://centrodecapacitaciondelsur.com/manipulacion-de-alimentos-",IF(A104=$H$32,"https://centrodecapacitaciondelsur.com/atencion-a-personas-con-discapacidad-",IF(A104=$H$33,"https://centrodecapacitaciondelsur.com/atencion-al-adulto-mayor-",IF(A104=$H$34,"https://centrodecapacitaciondelsur.com/manejo-defensivo-",IF(A104=$H$35,"https://centrodecapacitaciondelsur.com/soporte-basico-neonatal-",IF(A104=$H$36,"https://centrodecapacitaciondelsur.com/seguridad-del-paciente-",IF(A104=$H$37,"https://centrodecapacitaciondelsur.com/manejo-de-residuos-hospitalarios-",IF(A104=$H$10,"https://centrodecapacitaciondelsur.com/toma-de-citologia-",IF(A104=$H$29,"https://centrodecapacitaciondelsur.com/primeros-aux-psicologicos-"))))))))))))))))))))))))))))))))</f>
        <v>https://centrodecapacitaciondelsur.com/soporte-basico-de-vida-</v>
      </c>
      <c r="C104" s="10">
        <f>INSCRITOS!B67</f>
        <v>1004666550</v>
      </c>
      <c r="D104" t="str">
        <f t="shared" ref="D104:D167" si="3">CONCATENATE(B104,C104,"/")</f>
        <v>https://centrodecapacitaciondelsur.com/soporte-basico-de-vida-1004666550/</v>
      </c>
    </row>
    <row r="105" spans="1:4" ht="122.25" customHeight="1" x14ac:dyDescent="0.25">
      <c r="A105" s="19" t="str">
        <f>INSCRITOS!P68</f>
        <v>BLS</v>
      </c>
      <c r="B105" s="8" t="str">
        <f t="shared" si="2"/>
        <v>https://centrodecapacitaciondelsur.com/soporte-basico-de-vida-</v>
      </c>
      <c r="C105" s="10">
        <f>INSCRITOS!B68</f>
        <v>1085907263</v>
      </c>
      <c r="D105" t="str">
        <f t="shared" si="3"/>
        <v>https://centrodecapacitaciondelsur.com/soporte-basico-de-vida-1085907263/</v>
      </c>
    </row>
    <row r="106" spans="1:4" ht="122.25" customHeight="1" x14ac:dyDescent="0.25">
      <c r="A106" s="19" t="str">
        <f>INSCRITOS!P69</f>
        <v>DUELO</v>
      </c>
      <c r="B106" s="8" t="str">
        <f t="shared" si="2"/>
        <v>https://centrodecapacitaciondelsur.com/manejo-del-duelo-</v>
      </c>
      <c r="C106" s="10">
        <f>INSCRITOS!B69</f>
        <v>1085907263</v>
      </c>
      <c r="D106" t="str">
        <f t="shared" si="3"/>
        <v>https://centrodecapacitaciondelsur.com/manejo-del-duelo-1085907263/</v>
      </c>
    </row>
    <row r="107" spans="1:4" ht="122.25" customHeight="1" x14ac:dyDescent="0.25">
      <c r="A107" s="19" t="str">
        <f>INSCRITOS!P70</f>
        <v>PALIATIVOS</v>
      </c>
      <c r="B107" s="8" t="str">
        <f t="shared" si="2"/>
        <v>https://centrodecapacitaciondelsur.com/manejo-del-dolor-y-cuidados-paliativos-</v>
      </c>
      <c r="C107" s="10">
        <f>INSCRITOS!B70</f>
        <v>1085907263</v>
      </c>
      <c r="D107" t="str">
        <f t="shared" si="3"/>
        <v>https://centrodecapacitaciondelsur.com/manejo-del-dolor-y-cuidados-paliativos-1085907263/</v>
      </c>
    </row>
    <row r="108" spans="1:4" ht="122.25" customHeight="1" x14ac:dyDescent="0.25">
      <c r="A108" s="19" t="str">
        <f>INSCRITOS!P71</f>
        <v>BLS</v>
      </c>
      <c r="B108" s="8" t="str">
        <f t="shared" si="2"/>
        <v>https://centrodecapacitaciondelsur.com/soporte-basico-de-vida-</v>
      </c>
      <c r="C108" s="10">
        <f>INSCRITOS!B71</f>
        <v>1085898476</v>
      </c>
      <c r="D108" t="str">
        <f t="shared" si="3"/>
        <v>https://centrodecapacitaciondelsur.com/soporte-basico-de-vida-1085898476/</v>
      </c>
    </row>
    <row r="109" spans="1:4" ht="122.25" customHeight="1" x14ac:dyDescent="0.25">
      <c r="A109" s="19" t="str">
        <f>INSCRITOS!P72</f>
        <v>TOMA DE MUESTRAS</v>
      </c>
      <c r="B109" s="8" t="str">
        <f t="shared" si="2"/>
        <v>https://centrodecapacitaciondelsur.com/toma-de-muestras-y-lab-clinico-</v>
      </c>
      <c r="C109" s="10">
        <f>INSCRITOS!B72</f>
        <v>1085295508</v>
      </c>
      <c r="D109" t="str">
        <f t="shared" si="3"/>
        <v>https://centrodecapacitaciondelsur.com/toma-de-muestras-y-lab-clinico-1085295508/</v>
      </c>
    </row>
    <row r="110" spans="1:4" ht="122.25" customHeight="1" x14ac:dyDescent="0.25">
      <c r="A110" s="19" t="str">
        <f>INSCRITOS!P73</f>
        <v>BLS</v>
      </c>
      <c r="B110" s="8" t="str">
        <f t="shared" si="2"/>
        <v>https://centrodecapacitaciondelsur.com/soporte-basico-de-vida-</v>
      </c>
      <c r="C110" s="10">
        <f>INSCRITOS!B73</f>
        <v>1088734943</v>
      </c>
      <c r="D110" t="str">
        <f t="shared" si="3"/>
        <v>https://centrodecapacitaciondelsur.com/soporte-basico-de-vida-1088734943/</v>
      </c>
    </row>
    <row r="111" spans="1:4" ht="122.25" customHeight="1" x14ac:dyDescent="0.25">
      <c r="A111" s="19" t="str">
        <f>INSCRITOS!P74</f>
        <v>BLS</v>
      </c>
      <c r="B111" s="8" t="str">
        <f t="shared" si="2"/>
        <v>https://centrodecapacitaciondelsur.com/soporte-basico-de-vida-</v>
      </c>
      <c r="C111" s="10">
        <f>INSCRITOS!B74</f>
        <v>1085904872</v>
      </c>
      <c r="D111" t="str">
        <f t="shared" si="3"/>
        <v>https://centrodecapacitaciondelsur.com/soporte-basico-de-vida-1085904872/</v>
      </c>
    </row>
    <row r="112" spans="1:4" ht="122.25" customHeight="1" x14ac:dyDescent="0.25">
      <c r="A112" s="19" t="str">
        <f>INSCRITOS!P75</f>
        <v>PALIATIVOS</v>
      </c>
      <c r="B112" s="8" t="str">
        <f t="shared" si="2"/>
        <v>https://centrodecapacitaciondelsur.com/manejo-del-dolor-y-cuidados-paliativos-</v>
      </c>
      <c r="C112" s="10">
        <f>INSCRITOS!B75</f>
        <v>1085904872</v>
      </c>
      <c r="D112" t="str">
        <f t="shared" si="3"/>
        <v>https://centrodecapacitaciondelsur.com/manejo-del-dolor-y-cuidados-paliativos-1085904872/</v>
      </c>
    </row>
    <row r="113" spans="1:5" ht="122.25" customHeight="1" x14ac:dyDescent="0.25">
      <c r="A113" s="19" t="str">
        <f>INSCRITOS!P76</f>
        <v>DUELO</v>
      </c>
      <c r="B113" s="8" t="str">
        <f t="shared" si="2"/>
        <v>https://centrodecapacitaciondelsur.com/manejo-del-duelo-</v>
      </c>
      <c r="C113" s="10">
        <f>INSCRITOS!B76</f>
        <v>1085904872</v>
      </c>
      <c r="D113" t="str">
        <f t="shared" si="3"/>
        <v>https://centrodecapacitaciondelsur.com/manejo-del-duelo-1085904872/</v>
      </c>
    </row>
    <row r="114" spans="1:5" ht="122.25" customHeight="1" x14ac:dyDescent="0.25">
      <c r="A114" s="19" t="str">
        <f>INSCRITOS!P77</f>
        <v>VIOLENCIA SEXUAL</v>
      </c>
      <c r="B114" s="8" t="str">
        <f t="shared" si="2"/>
        <v>https://centrodecapacitaciondelsur.com/violencia-sexual-</v>
      </c>
      <c r="C114" s="10">
        <f>INSCRITOS!B77</f>
        <v>1085334227</v>
      </c>
      <c r="D114" t="str">
        <f t="shared" si="3"/>
        <v>https://centrodecapacitaciondelsur.com/violencia-sexual-1085334227/</v>
      </c>
      <c r="E114" t="str" cm="1">
        <f t="array" ref="E114">CodigoQr(D114)</f>
        <v/>
      </c>
    </row>
    <row r="115" spans="1:5" ht="122.25" customHeight="1" x14ac:dyDescent="0.25">
      <c r="A115" s="19" t="str">
        <f>INSCRITOS!P78</f>
        <v>BLS</v>
      </c>
      <c r="B115" s="8" t="str">
        <f t="shared" si="2"/>
        <v>https://centrodecapacitaciondelsur.com/soporte-basico-de-vida-</v>
      </c>
      <c r="C115" s="10">
        <f>INSCRITOS!B78</f>
        <v>24336876</v>
      </c>
      <c r="D115" t="str">
        <f t="shared" si="3"/>
        <v>https://centrodecapacitaciondelsur.com/soporte-basico-de-vida-24336876/</v>
      </c>
      <c r="E115" t="str" cm="1">
        <f t="array" ref="E115">CodigoQr(D115)</f>
        <v/>
      </c>
    </row>
    <row r="116" spans="1:5" ht="122.25" customHeight="1" x14ac:dyDescent="0.25">
      <c r="A116" s="19" t="str">
        <f>INSCRITOS!P79</f>
        <v>QUIMICOS</v>
      </c>
      <c r="B116" s="8" t="str">
        <f t="shared" si="2"/>
        <v>https://centrodecapacitaciondelsur.com/victimas-por-agentes-quimicos-</v>
      </c>
      <c r="C116" s="10">
        <f>INSCRITOS!B79</f>
        <v>1085345750</v>
      </c>
      <c r="D116" t="str">
        <f t="shared" si="3"/>
        <v>https://centrodecapacitaciondelsur.com/victimas-por-agentes-quimicos-1085345750/</v>
      </c>
    </row>
    <row r="117" spans="1:5" ht="122.25" customHeight="1" x14ac:dyDescent="0.25">
      <c r="A117" s="19" t="str">
        <f>INSCRITOS!P80</f>
        <v>POCT</v>
      </c>
      <c r="B117" s="8" t="str">
        <f t="shared" si="2"/>
        <v>https://centrodecapacitaciondelsur.com/toma-de-muestras-y-lab-clinico-poct-</v>
      </c>
      <c r="C117" s="10">
        <f>INSCRITOS!B80</f>
        <v>1054988223</v>
      </c>
      <c r="D117" t="str">
        <f t="shared" si="3"/>
        <v>https://centrodecapacitaciondelsur.com/toma-de-muestras-y-lab-clinico-poct-1054988223/</v>
      </c>
    </row>
    <row r="118" spans="1:5" ht="122.25" customHeight="1" x14ac:dyDescent="0.25">
      <c r="A118" s="19" t="str">
        <f>INSCRITOS!P81</f>
        <v>QUIMICOS</v>
      </c>
      <c r="B118" s="8" t="str">
        <f t="shared" si="2"/>
        <v>https://centrodecapacitaciondelsur.com/victimas-por-agentes-quimicos-</v>
      </c>
      <c r="C118" s="10">
        <f>INSCRITOS!B81</f>
        <v>1085338527</v>
      </c>
      <c r="D118" t="str">
        <f t="shared" si="3"/>
        <v>https://centrodecapacitaciondelsur.com/victimas-por-agentes-quimicos-1085338527/</v>
      </c>
    </row>
    <row r="119" spans="1:5" ht="122.25" customHeight="1" x14ac:dyDescent="0.25">
      <c r="A119" s="19" t="str">
        <f>INSCRITOS!P82</f>
        <v>VIOLENCIA SEXUAL</v>
      </c>
      <c r="B119" s="8" t="str">
        <f t="shared" si="2"/>
        <v>https://centrodecapacitaciondelsur.com/violencia-sexual-</v>
      </c>
      <c r="C119" s="10">
        <f>INSCRITOS!B82</f>
        <v>1085338527</v>
      </c>
      <c r="D119" t="str">
        <f t="shared" si="3"/>
        <v>https://centrodecapacitaciondelsur.com/violencia-sexual-1085338527/</v>
      </c>
    </row>
    <row r="120" spans="1:5" ht="122.25" customHeight="1" x14ac:dyDescent="0.25">
      <c r="A120" s="19" t="str">
        <f>INSCRITOS!P83</f>
        <v>QUIMICOS</v>
      </c>
      <c r="B120" s="8" t="str">
        <f t="shared" si="2"/>
        <v>https://centrodecapacitaciondelsur.com/victimas-por-agentes-quimicos-</v>
      </c>
      <c r="C120" s="10">
        <f>INSCRITOS!B83</f>
        <v>98387547</v>
      </c>
      <c r="D120" t="str">
        <f t="shared" si="3"/>
        <v>https://centrodecapacitaciondelsur.com/victimas-por-agentes-quimicos-98387547/</v>
      </c>
    </row>
    <row r="121" spans="1:5" ht="122.25" customHeight="1" x14ac:dyDescent="0.25">
      <c r="A121" s="19" t="str">
        <f>INSCRITOS!P84</f>
        <v>VIOLENCIA SEXUAL</v>
      </c>
      <c r="B121" s="8" t="str">
        <f t="shared" si="2"/>
        <v>https://centrodecapacitaciondelsur.com/violencia-sexual-</v>
      </c>
      <c r="C121" s="10">
        <f>INSCRITOS!B84</f>
        <v>98387547</v>
      </c>
      <c r="D121" t="str">
        <f t="shared" si="3"/>
        <v>https://centrodecapacitaciondelsur.com/violencia-sexual-98387547/</v>
      </c>
    </row>
    <row r="122" spans="1:5" ht="122.25" customHeight="1" x14ac:dyDescent="0.25">
      <c r="A122" s="19" t="str">
        <f>INSCRITOS!P85</f>
        <v>VIOLENCIA SEXUAL</v>
      </c>
      <c r="B122" s="8" t="str">
        <f t="shared" si="2"/>
        <v>https://centrodecapacitaciondelsur.com/violencia-sexual-</v>
      </c>
      <c r="C122" s="10">
        <f>INSCRITOS!B85</f>
        <v>1004691955</v>
      </c>
      <c r="D122" t="str">
        <f t="shared" si="3"/>
        <v>https://centrodecapacitaciondelsur.com/violencia-sexual-1004691955/</v>
      </c>
    </row>
    <row r="123" spans="1:5" ht="122.25" customHeight="1" x14ac:dyDescent="0.25">
      <c r="A123" s="19" t="str">
        <f>INSCRITOS!P86</f>
        <v>QUIMICOS</v>
      </c>
      <c r="B123" s="8" t="str">
        <f t="shared" si="2"/>
        <v>https://centrodecapacitaciondelsur.com/victimas-por-agentes-quimicos-</v>
      </c>
      <c r="C123" s="10">
        <f>INSCRITOS!B86</f>
        <v>1004691955</v>
      </c>
      <c r="D123" t="str">
        <f t="shared" si="3"/>
        <v>https://centrodecapacitaciondelsur.com/victimas-por-agentes-quimicos-1004691955/</v>
      </c>
    </row>
    <row r="124" spans="1:5" ht="122.25" customHeight="1" x14ac:dyDescent="0.25">
      <c r="A124" s="19" t="str">
        <f>INSCRITOS!P87</f>
        <v>BLS</v>
      </c>
      <c r="B124" s="8" t="str">
        <f t="shared" si="2"/>
        <v>https://centrodecapacitaciondelsur.com/soporte-basico-de-vida-</v>
      </c>
      <c r="C124" s="10">
        <f>INSCRITOS!B87</f>
        <v>1004691955</v>
      </c>
      <c r="D124" t="str">
        <f t="shared" si="3"/>
        <v>https://centrodecapacitaciondelsur.com/soporte-basico-de-vida-1004691955/</v>
      </c>
    </row>
    <row r="125" spans="1:5" ht="122.25" customHeight="1" x14ac:dyDescent="0.25">
      <c r="A125" s="19" t="str">
        <f>INSCRITOS!P88</f>
        <v>CONFLICTO ARMADO</v>
      </c>
      <c r="B125" s="8" t="str">
        <f t="shared" si="2"/>
        <v>https://centrodecapacitaciondelsur.com/atencion-a-victimas-del-conflicto-armado-</v>
      </c>
      <c r="C125" s="10">
        <f>INSCRITOS!B88</f>
        <v>1004564459</v>
      </c>
      <c r="D125" t="str">
        <f t="shared" si="3"/>
        <v>https://centrodecapacitaciondelsur.com/atencion-a-victimas-del-conflicto-armado-1004564459/</v>
      </c>
    </row>
    <row r="126" spans="1:5" ht="122.25" customHeight="1" x14ac:dyDescent="0.25">
      <c r="A126" s="19" t="str">
        <f>INSCRITOS!P89</f>
        <v>VIOLENCIA SEXUAL</v>
      </c>
      <c r="B126" s="8" t="str">
        <f t="shared" si="2"/>
        <v>https://centrodecapacitaciondelsur.com/violencia-sexual-</v>
      </c>
      <c r="C126" s="10">
        <f>INSCRITOS!B89</f>
        <v>1004564459</v>
      </c>
      <c r="D126" t="str">
        <f t="shared" si="3"/>
        <v>https://centrodecapacitaciondelsur.com/violencia-sexual-1004564459/</v>
      </c>
    </row>
    <row r="127" spans="1:5" ht="122.25" customHeight="1" x14ac:dyDescent="0.25">
      <c r="A127" s="19" t="str">
        <f>INSCRITOS!P90</f>
        <v>ADMON DE MEDICAMENTOS</v>
      </c>
      <c r="B127" s="8" t="str">
        <f t="shared" si="2"/>
        <v>https://centrodecapacitaciondelsur.com/adm-medicamentos-canalizacion-inyectologia-</v>
      </c>
      <c r="C127" s="10">
        <f>INSCRITOS!B90</f>
        <v>1193276041</v>
      </c>
      <c r="D127" t="str">
        <f t="shared" si="3"/>
        <v>https://centrodecapacitaciondelsur.com/adm-medicamentos-canalizacion-inyectologia-1193276041/</v>
      </c>
    </row>
    <row r="128" spans="1:5" ht="122.25" customHeight="1" x14ac:dyDescent="0.25">
      <c r="A128" s="19" t="str">
        <f>INSCRITOS!P91</f>
        <v>ADMON DE MEDICAMENTOS</v>
      </c>
      <c r="B128" s="8" t="str">
        <f t="shared" si="2"/>
        <v>https://centrodecapacitaciondelsur.com/adm-medicamentos-canalizacion-inyectologia-</v>
      </c>
      <c r="C128" s="10">
        <f>INSCRITOS!B91</f>
        <v>59833676</v>
      </c>
      <c r="D128" t="str">
        <f t="shared" si="3"/>
        <v>https://centrodecapacitaciondelsur.com/adm-medicamentos-canalizacion-inyectologia-59833676/</v>
      </c>
    </row>
    <row r="129" spans="1:4" ht="122.25" customHeight="1" x14ac:dyDescent="0.25">
      <c r="A129" s="19" t="str">
        <f>INSCRITOS!P92</f>
        <v>ACLS</v>
      </c>
      <c r="B129" s="8" t="str">
        <f t="shared" si="2"/>
        <v>https://centrodecapacitaciondelsur.com/soporte-cardiovascular-avanzado-</v>
      </c>
      <c r="C129" s="10">
        <f>INSCRITOS!B92</f>
        <v>87712579</v>
      </c>
      <c r="D129" t="str">
        <f t="shared" si="3"/>
        <v>https://centrodecapacitaciondelsur.com/soporte-cardiovascular-avanzado-87712579/</v>
      </c>
    </row>
    <row r="130" spans="1:4" ht="122.25" customHeight="1" x14ac:dyDescent="0.25">
      <c r="A130" s="19" t="str">
        <f>INSCRITOS!P93</f>
        <v>BLS</v>
      </c>
      <c r="B130" s="8" t="str">
        <f t="shared" si="2"/>
        <v>https://centrodecapacitaciondelsur.com/soporte-basico-de-vida-</v>
      </c>
      <c r="C130" s="10">
        <f>INSCRITOS!B93</f>
        <v>87712579</v>
      </c>
      <c r="D130" t="str">
        <f t="shared" si="3"/>
        <v>https://centrodecapacitaciondelsur.com/soporte-basico-de-vida-87712579/</v>
      </c>
    </row>
    <row r="131" spans="1:4" ht="122.25" customHeight="1" x14ac:dyDescent="0.25">
      <c r="A131" s="19" t="str">
        <f>INSCRITOS!P94</f>
        <v>DUELO</v>
      </c>
      <c r="B131" s="8" t="str">
        <f t="shared" si="2"/>
        <v>https://centrodecapacitaciondelsur.com/manejo-del-duelo-</v>
      </c>
      <c r="C131" s="10">
        <f>INSCRITOS!B94</f>
        <v>87712579</v>
      </c>
      <c r="D131" t="str">
        <f t="shared" si="3"/>
        <v>https://centrodecapacitaciondelsur.com/manejo-del-duelo-87712579/</v>
      </c>
    </row>
    <row r="132" spans="1:4" ht="122.25" customHeight="1" x14ac:dyDescent="0.25">
      <c r="A132" s="19" t="str">
        <f>INSCRITOS!P95</f>
        <v>QUIMICOS</v>
      </c>
      <c r="B132" s="8" t="str">
        <f t="shared" si="2"/>
        <v>https://centrodecapacitaciondelsur.com/victimas-por-agentes-quimicos-</v>
      </c>
      <c r="C132" s="10">
        <f>INSCRITOS!B95</f>
        <v>87712579</v>
      </c>
      <c r="D132" t="str">
        <f t="shared" si="3"/>
        <v>https://centrodecapacitaciondelsur.com/victimas-por-agentes-quimicos-87712579/</v>
      </c>
    </row>
    <row r="133" spans="1:4" ht="122.25" customHeight="1" x14ac:dyDescent="0.25">
      <c r="A133" s="19" t="str">
        <f>INSCRITOS!P96</f>
        <v>PALIATIVOS</v>
      </c>
      <c r="B133" s="8" t="str">
        <f t="shared" si="2"/>
        <v>https://centrodecapacitaciondelsur.com/manejo-del-dolor-y-cuidados-paliativos-</v>
      </c>
      <c r="C133" s="10">
        <f>INSCRITOS!B96</f>
        <v>87712579</v>
      </c>
      <c r="D133" t="str">
        <f t="shared" si="3"/>
        <v>https://centrodecapacitaciondelsur.com/manejo-del-dolor-y-cuidados-paliativos-87712579/</v>
      </c>
    </row>
    <row r="134" spans="1:4" ht="122.25" customHeight="1" x14ac:dyDescent="0.25">
      <c r="A134" s="19" t="str">
        <f>INSCRITOS!P97</f>
        <v>VIOLENCIA SEXUAL</v>
      </c>
      <c r="B134" s="8" t="str">
        <f t="shared" si="2"/>
        <v>https://centrodecapacitaciondelsur.com/violencia-sexual-</v>
      </c>
      <c r="C134" s="10">
        <f>INSCRITOS!B97</f>
        <v>87712579</v>
      </c>
      <c r="D134" t="str">
        <f t="shared" si="3"/>
        <v>https://centrodecapacitaciondelsur.com/violencia-sexual-87712579/</v>
      </c>
    </row>
    <row r="135" spans="1:4" ht="122.25" customHeight="1" x14ac:dyDescent="0.25">
      <c r="A135" s="19" t="str">
        <f>INSCRITOS!P98</f>
        <v>POCT</v>
      </c>
      <c r="B135" s="8" t="str">
        <f t="shared" si="2"/>
        <v>https://centrodecapacitaciondelsur.com/toma-de-muestras-y-lab-clinico-poct-</v>
      </c>
      <c r="C135" s="10">
        <f>INSCRITOS!B98</f>
        <v>36756310</v>
      </c>
      <c r="D135" t="str">
        <f t="shared" si="3"/>
        <v>https://centrodecapacitaciondelsur.com/toma-de-muestras-y-lab-clinico-poct-36756310/</v>
      </c>
    </row>
    <row r="136" spans="1:4" ht="122.25" customHeight="1" x14ac:dyDescent="0.25">
      <c r="A136" s="19" t="str">
        <f>INSCRITOS!P99</f>
        <v>POCT</v>
      </c>
      <c r="B136" s="8" t="str">
        <f t="shared" si="2"/>
        <v>https://centrodecapacitaciondelsur.com/toma-de-muestras-y-lab-clinico-poct-</v>
      </c>
      <c r="C136" s="10">
        <f>INSCRITOS!B99</f>
        <v>1085269843</v>
      </c>
      <c r="D136" t="str">
        <f t="shared" si="3"/>
        <v>https://centrodecapacitaciondelsur.com/toma-de-muestras-y-lab-clinico-poct-1085269843/</v>
      </c>
    </row>
    <row r="137" spans="1:4" ht="122.25" customHeight="1" x14ac:dyDescent="0.25">
      <c r="A137" s="19" t="str">
        <f>INSCRITOS!P100</f>
        <v>BLS</v>
      </c>
      <c r="B137" s="8" t="str">
        <f t="shared" si="2"/>
        <v>https://centrodecapacitaciondelsur.com/soporte-basico-de-vida-</v>
      </c>
      <c r="C137" s="10">
        <f>INSCRITOS!B100</f>
        <v>1085269843</v>
      </c>
      <c r="D137" t="str">
        <f t="shared" si="3"/>
        <v>https://centrodecapacitaciondelsur.com/soporte-basico-de-vida-1085269843/</v>
      </c>
    </row>
    <row r="138" spans="1:4" ht="122.25" customHeight="1" x14ac:dyDescent="0.25">
      <c r="A138" s="19" t="str">
        <f>INSCRITOS!P101</f>
        <v>ACLS</v>
      </c>
      <c r="B138" s="8" t="str">
        <f t="shared" si="2"/>
        <v>https://centrodecapacitaciondelsur.com/soporte-cardiovascular-avanzado-</v>
      </c>
      <c r="C138" s="10">
        <f>INSCRITOS!B101</f>
        <v>1086359222</v>
      </c>
      <c r="D138" t="str">
        <f t="shared" si="3"/>
        <v>https://centrodecapacitaciondelsur.com/soporte-cardiovascular-avanzado-1086359222/</v>
      </c>
    </row>
    <row r="139" spans="1:4" ht="122.25" customHeight="1" x14ac:dyDescent="0.25">
      <c r="A139" s="19" t="str">
        <f>INSCRITOS!P102</f>
        <v>BLS</v>
      </c>
      <c r="B139" s="8" t="str">
        <f t="shared" si="2"/>
        <v>https://centrodecapacitaciondelsur.com/soporte-basico-de-vida-</v>
      </c>
      <c r="C139" s="10">
        <f>INSCRITOS!B102</f>
        <v>1086359222</v>
      </c>
      <c r="D139" t="str">
        <f t="shared" si="3"/>
        <v>https://centrodecapacitaciondelsur.com/soporte-basico-de-vida-1086359222/</v>
      </c>
    </row>
    <row r="140" spans="1:4" ht="122.25" customHeight="1" x14ac:dyDescent="0.25">
      <c r="A140" s="19" t="str">
        <f>INSCRITOS!P103</f>
        <v>ACLS</v>
      </c>
      <c r="B140" s="8" t="str">
        <f t="shared" si="2"/>
        <v>https://centrodecapacitaciondelsur.com/soporte-cardiovascular-avanzado-</v>
      </c>
      <c r="C140" s="10">
        <f>INSCRITOS!B103</f>
        <v>87065225</v>
      </c>
      <c r="D140" t="str">
        <f t="shared" si="3"/>
        <v>https://centrodecapacitaciondelsur.com/soporte-cardiovascular-avanzado-87065225/</v>
      </c>
    </row>
    <row r="141" spans="1:4" ht="122.25" customHeight="1" x14ac:dyDescent="0.25">
      <c r="A141" s="19" t="str">
        <f>INSCRITOS!P104</f>
        <v>ACLS</v>
      </c>
      <c r="B141" s="8" t="str">
        <f t="shared" si="2"/>
        <v>https://centrodecapacitaciondelsur.com/soporte-cardiovascular-avanzado-</v>
      </c>
      <c r="C141" s="10">
        <f>INSCRITOS!B104</f>
        <v>1085316938</v>
      </c>
      <c r="D141" t="str">
        <f t="shared" si="3"/>
        <v>https://centrodecapacitaciondelsur.com/soporte-cardiovascular-avanzado-1085316938/</v>
      </c>
    </row>
    <row r="142" spans="1:4" ht="122.25" customHeight="1" x14ac:dyDescent="0.25">
      <c r="A142" s="19" t="str">
        <f>INSCRITOS!P105</f>
        <v>PALIATIVOS</v>
      </c>
      <c r="B142" s="8" t="str">
        <f t="shared" si="2"/>
        <v>https://centrodecapacitaciondelsur.com/manejo-del-dolor-y-cuidados-paliativos-</v>
      </c>
      <c r="C142" s="10">
        <f>INSCRITOS!B105</f>
        <v>1085291360</v>
      </c>
      <c r="D142" t="str">
        <f t="shared" si="3"/>
        <v>https://centrodecapacitaciondelsur.com/manejo-del-dolor-y-cuidados-paliativos-1085291360/</v>
      </c>
    </row>
    <row r="143" spans="1:4" ht="122.25" customHeight="1" x14ac:dyDescent="0.25">
      <c r="A143" s="19" t="str">
        <f>INSCRITOS!P106</f>
        <v>VIOLENCIA SEXUAL</v>
      </c>
      <c r="B143" s="8" t="str">
        <f t="shared" si="2"/>
        <v>https://centrodecapacitaciondelsur.com/violencia-sexual-</v>
      </c>
      <c r="C143" s="10">
        <f>INSCRITOS!B106</f>
        <v>1085253726</v>
      </c>
      <c r="D143" t="str">
        <f t="shared" si="3"/>
        <v>https://centrodecapacitaciondelsur.com/violencia-sexual-1085253726/</v>
      </c>
    </row>
    <row r="144" spans="1:4" ht="122.25" customHeight="1" x14ac:dyDescent="0.25">
      <c r="A144" s="19" t="str">
        <f>INSCRITOS!P107</f>
        <v>QUIMICOS</v>
      </c>
      <c r="B144" s="8" t="str">
        <f t="shared" si="2"/>
        <v>https://centrodecapacitaciondelsur.com/victimas-por-agentes-quimicos-</v>
      </c>
      <c r="C144" s="10">
        <f>INSCRITOS!B107</f>
        <v>1085253726</v>
      </c>
      <c r="D144" t="str">
        <f t="shared" si="3"/>
        <v>https://centrodecapacitaciondelsur.com/victimas-por-agentes-quimicos-1085253726/</v>
      </c>
    </row>
    <row r="145" spans="1:4" ht="122.25" customHeight="1" x14ac:dyDescent="0.25">
      <c r="A145" s="19" t="str">
        <f>INSCRITOS!P108</f>
        <v>QUIMICOS</v>
      </c>
      <c r="B145" s="8" t="str">
        <f t="shared" si="2"/>
        <v>https://centrodecapacitaciondelsur.com/victimas-por-agentes-quimicos-</v>
      </c>
      <c r="C145" s="10">
        <f>INSCRITOS!B108</f>
        <v>98400045</v>
      </c>
      <c r="D145" t="str">
        <f t="shared" si="3"/>
        <v>https://centrodecapacitaciondelsur.com/victimas-por-agentes-quimicos-98400045/</v>
      </c>
    </row>
    <row r="146" spans="1:4" ht="122.25" customHeight="1" x14ac:dyDescent="0.25">
      <c r="A146" s="19" t="str">
        <f>INSCRITOS!P109</f>
        <v>PALIATIVOS</v>
      </c>
      <c r="B146" s="8" t="str">
        <f t="shared" si="2"/>
        <v>https://centrodecapacitaciondelsur.com/manejo-del-dolor-y-cuidados-paliativos-</v>
      </c>
      <c r="C146" s="10">
        <f>INSCRITOS!B109</f>
        <v>59824060</v>
      </c>
      <c r="D146" t="str">
        <f t="shared" si="3"/>
        <v>https://centrodecapacitaciondelsur.com/manejo-del-dolor-y-cuidados-paliativos-59824060/</v>
      </c>
    </row>
    <row r="147" spans="1:4" ht="122.25" customHeight="1" x14ac:dyDescent="0.25">
      <c r="A147" s="19" t="str">
        <f>INSCRITOS!P110</f>
        <v>HUMANIZACION</v>
      </c>
      <c r="B147" s="8" t="str">
        <f t="shared" si="2"/>
        <v>https://centrodecapacitaciondelsur.com/humanizacion-</v>
      </c>
      <c r="C147" s="10">
        <f>INSCRITOS!B110</f>
        <v>59824060</v>
      </c>
      <c r="D147" t="str">
        <f t="shared" si="3"/>
        <v>https://centrodecapacitaciondelsur.com/humanizacion-59824060/</v>
      </c>
    </row>
    <row r="148" spans="1:4" ht="122.25" customHeight="1" x14ac:dyDescent="0.25">
      <c r="A148" s="19" t="str">
        <f>INSCRITOS!P111</f>
        <v>CONFLICTO ARMADO</v>
      </c>
      <c r="B148" s="8" t="str">
        <f t="shared" si="2"/>
        <v>https://centrodecapacitaciondelsur.com/atencion-a-victimas-del-conflicto-armado-</v>
      </c>
      <c r="C148" s="10">
        <f>INSCRITOS!B111</f>
        <v>59824060</v>
      </c>
      <c r="D148" t="str">
        <f t="shared" si="3"/>
        <v>https://centrodecapacitaciondelsur.com/atencion-a-victimas-del-conflicto-armado-59824060/</v>
      </c>
    </row>
    <row r="149" spans="1:4" ht="122.25" customHeight="1" x14ac:dyDescent="0.25">
      <c r="A149" s="19" t="str">
        <f>INSCRITOS!P112</f>
        <v>ACLS</v>
      </c>
      <c r="B149" s="8" t="str">
        <f t="shared" si="2"/>
        <v>https://centrodecapacitaciondelsur.com/soporte-cardiovascular-avanzado-</v>
      </c>
      <c r="C149" s="10">
        <f>INSCRITOS!B112</f>
        <v>36759785</v>
      </c>
      <c r="D149" t="str">
        <f t="shared" si="3"/>
        <v>https://centrodecapacitaciondelsur.com/soporte-cardiovascular-avanzado-36759785/</v>
      </c>
    </row>
    <row r="150" spans="1:4" ht="122.25" customHeight="1" x14ac:dyDescent="0.25">
      <c r="A150" s="19" t="str">
        <f>INSCRITOS!P113</f>
        <v>BLS</v>
      </c>
      <c r="B150" s="8" t="str">
        <f t="shared" si="2"/>
        <v>https://centrodecapacitaciondelsur.com/soporte-basico-de-vida-</v>
      </c>
      <c r="C150" s="10">
        <f>INSCRITOS!B113</f>
        <v>36759785</v>
      </c>
      <c r="D150" t="str">
        <f t="shared" si="3"/>
        <v>https://centrodecapacitaciondelsur.com/soporte-basico-de-vida-36759785/</v>
      </c>
    </row>
    <row r="151" spans="1:4" ht="122.25" customHeight="1" x14ac:dyDescent="0.25">
      <c r="A151" s="19" t="str">
        <f>INSCRITOS!P114</f>
        <v>QUIMICOS</v>
      </c>
      <c r="B151" s="8" t="str">
        <f t="shared" si="2"/>
        <v>https://centrodecapacitaciondelsur.com/victimas-por-agentes-quimicos-</v>
      </c>
      <c r="C151" s="10">
        <f>INSCRITOS!B114</f>
        <v>36759785</v>
      </c>
      <c r="D151" t="str">
        <f t="shared" si="3"/>
        <v>https://centrodecapacitaciondelsur.com/victimas-por-agentes-quimicos-36759785/</v>
      </c>
    </row>
    <row r="152" spans="1:4" ht="122.25" customHeight="1" x14ac:dyDescent="0.25">
      <c r="A152" s="19" t="str">
        <f>INSCRITOS!P115</f>
        <v>VIOLENCIA SEXUAL</v>
      </c>
      <c r="B152" s="8" t="str">
        <f t="shared" si="2"/>
        <v>https://centrodecapacitaciondelsur.com/violencia-sexual-</v>
      </c>
      <c r="C152" s="10">
        <f>INSCRITOS!B115</f>
        <v>36759785</v>
      </c>
      <c r="D152" t="str">
        <f t="shared" si="3"/>
        <v>https://centrodecapacitaciondelsur.com/violencia-sexual-36759785/</v>
      </c>
    </row>
    <row r="153" spans="1:4" ht="122.25" customHeight="1" x14ac:dyDescent="0.25">
      <c r="A153" s="19" t="str">
        <f>INSCRITOS!P116</f>
        <v>POCT</v>
      </c>
      <c r="B153" s="8" t="str">
        <f t="shared" si="2"/>
        <v>https://centrodecapacitaciondelsur.com/toma-de-muestras-y-lab-clinico-poct-</v>
      </c>
      <c r="C153" s="10">
        <f>INSCRITOS!B116</f>
        <v>36759785</v>
      </c>
      <c r="D153" t="str">
        <f t="shared" si="3"/>
        <v>https://centrodecapacitaciondelsur.com/toma-de-muestras-y-lab-clinico-poct-36759785/</v>
      </c>
    </row>
    <row r="154" spans="1:4" ht="122.25" customHeight="1" x14ac:dyDescent="0.25">
      <c r="A154" s="19" t="str">
        <f>INSCRITOS!P117</f>
        <v>PRIMEROS AUXILIOS</v>
      </c>
      <c r="B154" s="8" t="str">
        <f t="shared" si="2"/>
        <v>https://centrodecapacitaciondelsur.com/primeros-auxilios-</v>
      </c>
      <c r="C154" s="10">
        <f>INSCRITOS!B117</f>
        <v>1085340125</v>
      </c>
      <c r="D154" t="str">
        <f t="shared" si="3"/>
        <v>https://centrodecapacitaciondelsur.com/primeros-auxilios-1085340125/</v>
      </c>
    </row>
    <row r="155" spans="1:4" ht="122.25" customHeight="1" x14ac:dyDescent="0.25">
      <c r="A155" s="19" t="str">
        <f>INSCRITOS!P118</f>
        <v>POCT</v>
      </c>
      <c r="B155" s="8" t="str">
        <f t="shared" si="2"/>
        <v>https://centrodecapacitaciondelsur.com/toma-de-muestras-y-lab-clinico-poct-</v>
      </c>
      <c r="C155" s="10">
        <f>INSCRITOS!B118</f>
        <v>1233191246</v>
      </c>
      <c r="D155" t="str">
        <f t="shared" si="3"/>
        <v>https://centrodecapacitaciondelsur.com/toma-de-muestras-y-lab-clinico-poct-1233191246/</v>
      </c>
    </row>
    <row r="156" spans="1:4" ht="122.25" customHeight="1" x14ac:dyDescent="0.25">
      <c r="A156" s="19" t="str">
        <f>INSCRITOS!P119</f>
        <v>PRIMEROS AUXILIOS</v>
      </c>
      <c r="B156" s="8" t="str">
        <f t="shared" si="2"/>
        <v>https://centrodecapacitaciondelsur.com/primeros-auxilios-</v>
      </c>
      <c r="C156" s="10">
        <f>INSCRITOS!B119</f>
        <v>1004623864</v>
      </c>
      <c r="D156" t="str">
        <f t="shared" si="3"/>
        <v>https://centrodecapacitaciondelsur.com/primeros-auxilios-1004623864/</v>
      </c>
    </row>
    <row r="157" spans="1:4" ht="122.25" customHeight="1" x14ac:dyDescent="0.25">
      <c r="A157" s="19" t="str">
        <f>INSCRITOS!P120</f>
        <v>HUMANIZACION</v>
      </c>
      <c r="B157" s="8" t="str">
        <f t="shared" si="2"/>
        <v>https://centrodecapacitaciondelsur.com/humanizacion-</v>
      </c>
      <c r="C157" s="10">
        <f>INSCRITOS!B120</f>
        <v>1088976815</v>
      </c>
      <c r="D157" t="str">
        <f t="shared" si="3"/>
        <v>https://centrodecapacitaciondelsur.com/humanizacion-1088976815/</v>
      </c>
    </row>
    <row r="158" spans="1:4" ht="122.25" customHeight="1" x14ac:dyDescent="0.25">
      <c r="A158" s="19" t="str">
        <f>INSCRITOS!P121</f>
        <v>BLS</v>
      </c>
      <c r="B158" s="8" t="str">
        <f t="shared" si="2"/>
        <v>https://centrodecapacitaciondelsur.com/soporte-basico-de-vida-</v>
      </c>
      <c r="C158" s="10">
        <f>INSCRITOS!B121</f>
        <v>1085246914</v>
      </c>
      <c r="D158" t="str">
        <f t="shared" si="3"/>
        <v>https://centrodecapacitaciondelsur.com/soporte-basico-de-vida-1085246914/</v>
      </c>
    </row>
    <row r="159" spans="1:4" ht="122.25" customHeight="1" x14ac:dyDescent="0.25">
      <c r="A159" s="19" t="str">
        <f>INSCRITOS!P122</f>
        <v>VIOLENCIA SEXUAL</v>
      </c>
      <c r="B159" s="8" t="str">
        <f t="shared" si="2"/>
        <v>https://centrodecapacitaciondelsur.com/violencia-sexual-</v>
      </c>
      <c r="C159" s="10">
        <f>INSCRITOS!B122</f>
        <v>1085246914</v>
      </c>
      <c r="D159" t="str">
        <f t="shared" si="3"/>
        <v>https://centrodecapacitaciondelsur.com/violencia-sexual-1085246914/</v>
      </c>
    </row>
    <row r="160" spans="1:4" ht="122.25" customHeight="1" x14ac:dyDescent="0.25">
      <c r="A160" s="19" t="str">
        <f>INSCRITOS!P123</f>
        <v>CONFLICTO ARMADO</v>
      </c>
      <c r="B160" s="8" t="str">
        <f t="shared" si="2"/>
        <v>https://centrodecapacitaciondelsur.com/atencion-a-victimas-del-conflicto-armado-</v>
      </c>
      <c r="C160" s="10">
        <f>INSCRITOS!B123</f>
        <v>1087426721</v>
      </c>
      <c r="D160" t="str">
        <f t="shared" si="3"/>
        <v>https://centrodecapacitaciondelsur.com/atencion-a-victimas-del-conflicto-armado-1087426721/</v>
      </c>
    </row>
    <row r="161" spans="1:4" ht="122.25" customHeight="1" x14ac:dyDescent="0.25">
      <c r="A161" s="19" t="str">
        <f>INSCRITOS!P124</f>
        <v>DUELO</v>
      </c>
      <c r="B161" s="8" t="str">
        <f t="shared" si="2"/>
        <v>https://centrodecapacitaciondelsur.com/manejo-del-duelo-</v>
      </c>
      <c r="C161" s="10">
        <f>INSCRITOS!B124</f>
        <v>1087426721</v>
      </c>
      <c r="D161" t="str">
        <f t="shared" si="3"/>
        <v>https://centrodecapacitaciondelsur.com/manejo-del-duelo-1087426721/</v>
      </c>
    </row>
    <row r="162" spans="1:4" ht="122.25" customHeight="1" x14ac:dyDescent="0.25">
      <c r="A162" s="19" t="str">
        <f>INSCRITOS!P125</f>
        <v>VIOLENCIA SEXUAL</v>
      </c>
      <c r="B162" s="8" t="str">
        <f t="shared" si="2"/>
        <v>https://centrodecapacitaciondelsur.com/violencia-sexual-</v>
      </c>
      <c r="C162" s="10">
        <f>INSCRITOS!B125</f>
        <v>1087426721</v>
      </c>
      <c r="D162" t="str">
        <f t="shared" si="3"/>
        <v>https://centrodecapacitaciondelsur.com/violencia-sexual-1087426721/</v>
      </c>
    </row>
    <row r="163" spans="1:4" ht="122.25" customHeight="1" x14ac:dyDescent="0.25">
      <c r="A163" s="19" t="str">
        <f>INSCRITOS!P126</f>
        <v>QUIMICOS</v>
      </c>
      <c r="B163" s="8" t="str">
        <f t="shared" si="2"/>
        <v>https://centrodecapacitaciondelsur.com/victimas-por-agentes-quimicos-</v>
      </c>
      <c r="C163" s="10">
        <f>INSCRITOS!B126</f>
        <v>1087426721</v>
      </c>
      <c r="D163" t="str">
        <f t="shared" si="3"/>
        <v>https://centrodecapacitaciondelsur.com/victimas-por-agentes-quimicos-1087426721/</v>
      </c>
    </row>
    <row r="164" spans="1:4" ht="122.25" customHeight="1" x14ac:dyDescent="0.25">
      <c r="A164" s="19" t="str">
        <f>INSCRITOS!P127</f>
        <v>PRIMEROS AUXILIOS</v>
      </c>
      <c r="B164" s="8" t="str">
        <f t="shared" si="2"/>
        <v>https://centrodecapacitaciondelsur.com/primeros-auxilios-</v>
      </c>
      <c r="C164" s="10">
        <f>INSCRITOS!B127</f>
        <v>1087426721</v>
      </c>
      <c r="D164" t="str">
        <f t="shared" si="3"/>
        <v>https://centrodecapacitaciondelsur.com/primeros-auxilios-1087426721/</v>
      </c>
    </row>
    <row r="165" spans="1:4" ht="122.25" customHeight="1" x14ac:dyDescent="0.25">
      <c r="A165" s="19" t="str">
        <f>INSCRITOS!P128</f>
        <v>HUMANIZACION</v>
      </c>
      <c r="B165" s="8" t="str">
        <f t="shared" si="2"/>
        <v>https://centrodecapacitaciondelsur.com/humanizacion-</v>
      </c>
      <c r="C165" s="10">
        <f>INSCRITOS!B128</f>
        <v>1087426721</v>
      </c>
      <c r="D165" t="str">
        <f t="shared" si="3"/>
        <v>https://centrodecapacitaciondelsur.com/humanizacion-1087426721/</v>
      </c>
    </row>
    <row r="166" spans="1:4" ht="122.25" customHeight="1" x14ac:dyDescent="0.25">
      <c r="A166" s="19" t="str">
        <f>INSCRITOS!P129</f>
        <v>BLS</v>
      </c>
      <c r="B166" s="8" t="str">
        <f t="shared" si="2"/>
        <v>https://centrodecapacitaciondelsur.com/soporte-basico-de-vida-</v>
      </c>
      <c r="C166" s="10">
        <f>INSCRITOS!B129</f>
        <v>1087426721</v>
      </c>
      <c r="D166" t="str">
        <f t="shared" si="3"/>
        <v>https://centrodecapacitaciondelsur.com/soporte-basico-de-vida-1087426721/</v>
      </c>
    </row>
    <row r="167" spans="1:4" ht="122.25" customHeight="1" x14ac:dyDescent="0.25">
      <c r="A167" s="19" t="str">
        <f>INSCRITOS!P130</f>
        <v>BLS</v>
      </c>
      <c r="B167" s="8" t="str">
        <f t="shared" si="2"/>
        <v>https://centrodecapacitaciondelsur.com/soporte-basico-de-vida-</v>
      </c>
      <c r="C167" s="10">
        <f>INSCRITOS!B130</f>
        <v>1004623864</v>
      </c>
      <c r="D167" t="str">
        <f t="shared" si="3"/>
        <v>https://centrodecapacitaciondelsur.com/soporte-basico-de-vida-1004623864/</v>
      </c>
    </row>
    <row r="168" spans="1:4" ht="122.25" customHeight="1" x14ac:dyDescent="0.25">
      <c r="A168" s="19" t="str">
        <f>INSCRITOS!P131</f>
        <v>QUIMICOS</v>
      </c>
      <c r="B168" s="8" t="str">
        <f t="shared" ref="B168:B231" si="4">IF(A168=$H$19,"https://centrodecapacitaciondelsur.com/o-v-e-",IF(A168=$H$2,"https://centrodecapacitaciondelsur.com/aph-",IF(A168=$H$3,"https://centrodecapacitaciondelsur.com/manejo-del-duelo-",IF(A168=$H$4,"https://centrodecapacitaciondelsur.com/victimas-por-agentes-quimicos-",IF(A168=$H$5,"https://centrodecapacitaciondelsur.com/primeros-auxilios-",IF(A168=$H$6,"https://centrodecapacitaciondelsur.com/uci-",IF(A168=$H$8,"https://centrodecapacitaciondelsur.com/humanizacion-",IF(A168=$H$11,"https://centrodecapacitaciondelsur.com/soporte-cardiovascular-avanzado-",IF(A168=$H$12,"https://centrodecapacitaciondelsur.com/camillero-",IF(A168=$H$13,"https://centrodecapacitaciondelsur.com/toma-de-muestras-y-lab-clinico-",IF(A168=$H$14,"https://centrodecapacitaciondelsur.com/soporte-basico-de-vida-",IF(A168=$H$15,"https://centrodecapacitaciondelsur.com/violencia-sexual-",IF(A168=$H$17,"https://centrodecapacitaciondelsur.com/aiepi-",IF(A168=$H$18,"https://centrodecapacitaciondelsur.com/adm-medicamentos-canalizacion-inyectologia-",IF(A168=$H$25,"https://centrodecapacitaciondelsur.com/manejo-del-dolor-y-cuidados-paliativos-",IF(A168=$H$26,"https://centrodecapacitaciondelsur.com/toma-de-muestras-y-lab-clinico-poct-",IF(A168=$H$27,"https://centrodecapacitaciondelsur.com/implante-subdermico-",IF(A168=$H$21,"https://centrodecapacitaciondelsur.com/donante-de-organos-",IF(A168=$H$30,"https://centrodecapacitaciondelsur.com/atencion-a-victimas-del-conflicto-armado-",IF(A168=$H$20,"https://centrodecapacitaciondelsur.com/iami-",IF(A168=$H$22,"https://centrodecapacitaciondelsur.com/violencia-de-genero-",IF(A168=$H$23,"https://centrodecapacitaciondelsur.com/igualdad-de-genero-",IF(A168=$H$16,"https://centrodecapacitaciondelsur.com/pai-",IF(A168=$H$31,"https://centrodecapacitaciondelsur.com/manipulacion-de-alimentos-",IF(A168=$H$32,"https://centrodecapacitaciondelsur.com/atencion-a-personas-con-discapacidad-",IF(A168=$H$33,"https://centrodecapacitaciondelsur.com/atencion-al-adulto-mayor-",IF(A168=$H$34,"https://centrodecapacitaciondelsur.com/manejo-defensivo-",IF(A168=$H$35,"https://centrodecapacitaciondelsur.com/soporte-basico-neonatal-",IF(A168=$H$36,"https://centrodecapacitaciondelsur.com/seguridad-del-paciente-",IF(A168=$H$37,"https://centrodecapacitaciondelsur.com/manejo-de-residuos-hospitalarios-",IF(A168=$H$10,"https://centrodecapacitaciondelsur.com/toma-de-citologia-",IF(A168=$H$29,"https://centrodecapacitaciondelsur.com/primeros-aux-psicologicos-"))))))))))))))))))))))))))))))))</f>
        <v>https://centrodecapacitaciondelsur.com/victimas-por-agentes-quimicos-</v>
      </c>
      <c r="C168" s="10">
        <f>INSCRITOS!B131</f>
        <v>1004623864</v>
      </c>
      <c r="D168" t="str">
        <f t="shared" ref="D168:D231" si="5">CONCATENATE(B168,C168,"/")</f>
        <v>https://centrodecapacitaciondelsur.com/victimas-por-agentes-quimicos-1004623864/</v>
      </c>
    </row>
    <row r="169" spans="1:4" ht="122.25" customHeight="1" x14ac:dyDescent="0.25">
      <c r="A169" s="19" t="str">
        <f>INSCRITOS!P132</f>
        <v>HUMANIZACION</v>
      </c>
      <c r="B169" s="8" t="str">
        <f t="shared" si="4"/>
        <v>https://centrodecapacitaciondelsur.com/humanizacion-</v>
      </c>
      <c r="C169" s="10">
        <f>INSCRITOS!B132</f>
        <v>1004623864</v>
      </c>
      <c r="D169" t="str">
        <f t="shared" si="5"/>
        <v>https://centrodecapacitaciondelsur.com/humanizacion-1004623864/</v>
      </c>
    </row>
    <row r="170" spans="1:4" ht="122.25" customHeight="1" x14ac:dyDescent="0.25">
      <c r="A170" s="19" t="str">
        <f>INSCRITOS!P133</f>
        <v>VIOLENCIA SEXUAL</v>
      </c>
      <c r="B170" s="8" t="str">
        <f t="shared" si="4"/>
        <v>https://centrodecapacitaciondelsur.com/violencia-sexual-</v>
      </c>
      <c r="C170" s="10">
        <f>INSCRITOS!B133</f>
        <v>1004623864</v>
      </c>
      <c r="D170" t="str">
        <f t="shared" si="5"/>
        <v>https://centrodecapacitaciondelsur.com/violencia-sexual-1004623864/</v>
      </c>
    </row>
    <row r="171" spans="1:4" ht="122.25" customHeight="1" x14ac:dyDescent="0.25">
      <c r="A171" s="19" t="str">
        <f>INSCRITOS!P134</f>
        <v>DUELO</v>
      </c>
      <c r="B171" s="8" t="str">
        <f t="shared" si="4"/>
        <v>https://centrodecapacitaciondelsur.com/manejo-del-duelo-</v>
      </c>
      <c r="C171" s="10">
        <f>INSCRITOS!B134</f>
        <v>1004623864</v>
      </c>
      <c r="D171" t="str">
        <f t="shared" si="5"/>
        <v>https://centrodecapacitaciondelsur.com/manejo-del-duelo-1004623864/</v>
      </c>
    </row>
    <row r="172" spans="1:4" ht="122.25" customHeight="1" x14ac:dyDescent="0.25">
      <c r="A172" s="19" t="str">
        <f>INSCRITOS!P135</f>
        <v>DUELO</v>
      </c>
      <c r="B172" s="8" t="str">
        <f t="shared" si="4"/>
        <v>https://centrodecapacitaciondelsur.com/manejo-del-duelo-</v>
      </c>
      <c r="C172" s="10">
        <f>INSCRITOS!B135</f>
        <v>59395290</v>
      </c>
      <c r="D172" t="str">
        <f t="shared" si="5"/>
        <v>https://centrodecapacitaciondelsur.com/manejo-del-duelo-59395290/</v>
      </c>
    </row>
    <row r="173" spans="1:4" ht="122.25" customHeight="1" x14ac:dyDescent="0.25">
      <c r="A173" s="19" t="str">
        <f>INSCRITOS!P136</f>
        <v>POCT</v>
      </c>
      <c r="B173" s="8" t="str">
        <f t="shared" si="4"/>
        <v>https://centrodecapacitaciondelsur.com/toma-de-muestras-y-lab-clinico-poct-</v>
      </c>
      <c r="C173" s="10">
        <f>INSCRITOS!B136</f>
        <v>1085338506</v>
      </c>
      <c r="D173" t="str">
        <f t="shared" si="5"/>
        <v>https://centrodecapacitaciondelsur.com/toma-de-muestras-y-lab-clinico-poct-1085338506/</v>
      </c>
    </row>
    <row r="174" spans="1:4" ht="122.25" customHeight="1" x14ac:dyDescent="0.25">
      <c r="A174" s="19" t="str">
        <f>INSCRITOS!P137</f>
        <v>HUMANIZACION</v>
      </c>
      <c r="B174" s="8" t="str">
        <f t="shared" si="4"/>
        <v>https://centrodecapacitaciondelsur.com/humanizacion-</v>
      </c>
      <c r="C174" s="10">
        <f>INSCRITOS!B137</f>
        <v>12748470</v>
      </c>
      <c r="D174" t="str">
        <f t="shared" si="5"/>
        <v>https://centrodecapacitaciondelsur.com/humanizacion-12748470/</v>
      </c>
    </row>
    <row r="175" spans="1:4" ht="122.25" customHeight="1" x14ac:dyDescent="0.25">
      <c r="A175" s="19" t="str">
        <f>INSCRITOS!P138</f>
        <v>QUIMICOS</v>
      </c>
      <c r="B175" s="8" t="str">
        <f t="shared" si="4"/>
        <v>https://centrodecapacitaciondelsur.com/victimas-por-agentes-quimicos-</v>
      </c>
      <c r="C175" s="10">
        <f>INSCRITOS!B138</f>
        <v>1085321536</v>
      </c>
      <c r="D175" t="str">
        <f t="shared" si="5"/>
        <v>https://centrodecapacitaciondelsur.com/victimas-por-agentes-quimicos-1085321536/</v>
      </c>
    </row>
    <row r="176" spans="1:4" ht="122.25" customHeight="1" x14ac:dyDescent="0.25">
      <c r="A176" s="19" t="str">
        <f>INSCRITOS!P139</f>
        <v>VIOLENCIA SEXUAL</v>
      </c>
      <c r="B176" s="8" t="str">
        <f t="shared" si="4"/>
        <v>https://centrodecapacitaciondelsur.com/violencia-sexual-</v>
      </c>
      <c r="C176" s="10">
        <f>INSCRITOS!B139</f>
        <v>1085321536</v>
      </c>
      <c r="D176" t="str">
        <f t="shared" si="5"/>
        <v>https://centrodecapacitaciondelsur.com/violencia-sexual-1085321536/</v>
      </c>
    </row>
    <row r="177" spans="1:4" ht="122.25" customHeight="1" x14ac:dyDescent="0.25">
      <c r="A177" s="19" t="str">
        <f>INSCRITOS!P140</f>
        <v>AIEPI</v>
      </c>
      <c r="B177" s="8" t="str">
        <f t="shared" si="4"/>
        <v>https://centrodecapacitaciondelsur.com/aiepi-</v>
      </c>
      <c r="C177" s="10">
        <f>INSCRITOS!B140</f>
        <v>1004190467</v>
      </c>
      <c r="D177" t="str">
        <f t="shared" si="5"/>
        <v>https://centrodecapacitaciondelsur.com/aiepi-1004190467/</v>
      </c>
    </row>
    <row r="178" spans="1:4" ht="122.25" customHeight="1" x14ac:dyDescent="0.25">
      <c r="A178" s="19" t="str">
        <f>INSCRITOS!P141</f>
        <v>VIOLENCIA SEXUAL</v>
      </c>
      <c r="B178" s="8" t="str">
        <f t="shared" si="4"/>
        <v>https://centrodecapacitaciondelsur.com/violencia-sexual-</v>
      </c>
      <c r="C178" s="10">
        <f>INSCRITOS!B141</f>
        <v>1004190467</v>
      </c>
      <c r="D178" t="str">
        <f t="shared" si="5"/>
        <v>https://centrodecapacitaciondelsur.com/violencia-sexual-1004190467/</v>
      </c>
    </row>
    <row r="179" spans="1:4" ht="122.25" customHeight="1" x14ac:dyDescent="0.25">
      <c r="A179" s="19" t="str">
        <f>INSCRITOS!P142</f>
        <v>ADMON DE MEDICAMENTOS</v>
      </c>
      <c r="B179" s="8" t="str">
        <f t="shared" si="4"/>
        <v>https://centrodecapacitaciondelsur.com/adm-medicamentos-canalizacion-inyectologia-</v>
      </c>
      <c r="C179" s="10">
        <f>INSCRITOS!B142</f>
        <v>1082746309</v>
      </c>
      <c r="D179" t="str">
        <f t="shared" si="5"/>
        <v>https://centrodecapacitaciondelsur.com/adm-medicamentos-canalizacion-inyectologia-1082746309/</v>
      </c>
    </row>
    <row r="180" spans="1:4" ht="122.25" customHeight="1" x14ac:dyDescent="0.25">
      <c r="A180" s="19" t="str">
        <f>INSCRITOS!P143</f>
        <v>HUMANIZACION</v>
      </c>
      <c r="B180" s="8" t="str">
        <f t="shared" si="4"/>
        <v>https://centrodecapacitaciondelsur.com/humanizacion-</v>
      </c>
      <c r="C180" s="10">
        <f>INSCRITOS!B143</f>
        <v>1085339848</v>
      </c>
      <c r="D180" t="str">
        <f t="shared" si="5"/>
        <v>https://centrodecapacitaciondelsur.com/humanizacion-1085339848/</v>
      </c>
    </row>
    <row r="181" spans="1:4" ht="122.25" customHeight="1" x14ac:dyDescent="0.25">
      <c r="A181" s="19" t="str">
        <f>INSCRITOS!P144</f>
        <v>TOMA DE MUESTRAS</v>
      </c>
      <c r="B181" s="8" t="str">
        <f t="shared" si="4"/>
        <v>https://centrodecapacitaciondelsur.com/toma-de-muestras-y-lab-clinico-</v>
      </c>
      <c r="C181" s="10">
        <f>INSCRITOS!B144</f>
        <v>1084224531</v>
      </c>
      <c r="D181" t="str">
        <f t="shared" si="5"/>
        <v>https://centrodecapacitaciondelsur.com/toma-de-muestras-y-lab-clinico-1084224531/</v>
      </c>
    </row>
    <row r="182" spans="1:4" ht="122.25" customHeight="1" x14ac:dyDescent="0.25">
      <c r="A182" s="19" t="str">
        <f>INSCRITOS!P145</f>
        <v>VIOLENCIA SEXUAL</v>
      </c>
      <c r="B182" s="8" t="str">
        <f t="shared" si="4"/>
        <v>https://centrodecapacitaciondelsur.com/violencia-sexual-</v>
      </c>
      <c r="C182" s="10">
        <f>INSCRITOS!B145</f>
        <v>1084224531</v>
      </c>
      <c r="D182" t="str">
        <f t="shared" si="5"/>
        <v>https://centrodecapacitaciondelsur.com/violencia-sexual-1084224531/</v>
      </c>
    </row>
    <row r="183" spans="1:4" ht="122.25" customHeight="1" x14ac:dyDescent="0.25">
      <c r="A183" s="19" t="str">
        <f>INSCRITOS!P146</f>
        <v>HUMANIZACION</v>
      </c>
      <c r="B183" s="8" t="str">
        <f t="shared" si="4"/>
        <v>https://centrodecapacitaciondelsur.com/humanizacion-</v>
      </c>
      <c r="C183" s="10">
        <f>INSCRITOS!B146</f>
        <v>1084224531</v>
      </c>
      <c r="D183" t="str">
        <f t="shared" si="5"/>
        <v>https://centrodecapacitaciondelsur.com/humanizacion-1084224531/</v>
      </c>
    </row>
    <row r="184" spans="1:4" ht="122.25" customHeight="1" x14ac:dyDescent="0.25">
      <c r="A184" s="19" t="str">
        <f>INSCRITOS!P147</f>
        <v>ADMON DE MEDICAMENTOS</v>
      </c>
      <c r="B184" s="8" t="str">
        <f t="shared" si="4"/>
        <v>https://centrodecapacitaciondelsur.com/adm-medicamentos-canalizacion-inyectologia-</v>
      </c>
      <c r="C184" s="10">
        <f>INSCRITOS!B147</f>
        <v>1081275853</v>
      </c>
      <c r="D184" t="str">
        <f t="shared" si="5"/>
        <v>https://centrodecapacitaciondelsur.com/adm-medicamentos-canalizacion-inyectologia-1081275853/</v>
      </c>
    </row>
    <row r="185" spans="1:4" ht="122.25" customHeight="1" x14ac:dyDescent="0.25">
      <c r="A185" s="19" t="str">
        <f>INSCRITOS!P148</f>
        <v>QUIMICOS</v>
      </c>
      <c r="B185" s="8" t="str">
        <f t="shared" si="4"/>
        <v>https://centrodecapacitaciondelsur.com/victimas-por-agentes-quimicos-</v>
      </c>
      <c r="C185" s="10">
        <f>INSCRITOS!B148</f>
        <v>87455931</v>
      </c>
      <c r="D185" t="str">
        <f t="shared" si="5"/>
        <v>https://centrodecapacitaciondelsur.com/victimas-por-agentes-quimicos-87455931/</v>
      </c>
    </row>
    <row r="186" spans="1:4" ht="122.25" customHeight="1" x14ac:dyDescent="0.25">
      <c r="A186" s="19" t="str">
        <f>INSCRITOS!P149</f>
        <v>VIOLENCIA SEXUAL</v>
      </c>
      <c r="B186" s="8" t="str">
        <f t="shared" si="4"/>
        <v>https://centrodecapacitaciondelsur.com/violencia-sexual-</v>
      </c>
      <c r="C186" s="10">
        <f>INSCRITOS!B149</f>
        <v>87455931</v>
      </c>
      <c r="D186" t="str">
        <f t="shared" si="5"/>
        <v>https://centrodecapacitaciondelsur.com/violencia-sexual-87455931/</v>
      </c>
    </row>
    <row r="187" spans="1:4" ht="122.25" customHeight="1" x14ac:dyDescent="0.25">
      <c r="A187" s="19" t="str">
        <f>INSCRITOS!P150</f>
        <v>ACLS</v>
      </c>
      <c r="B187" s="8" t="str">
        <f t="shared" si="4"/>
        <v>https://centrodecapacitaciondelsur.com/soporte-cardiovascular-avanzado-</v>
      </c>
      <c r="C187" s="10">
        <f>INSCRITOS!B150</f>
        <v>849921</v>
      </c>
      <c r="D187" t="str">
        <f t="shared" si="5"/>
        <v>https://centrodecapacitaciondelsur.com/soporte-cardiovascular-avanzado-849921/</v>
      </c>
    </row>
    <row r="188" spans="1:4" ht="122.25" customHeight="1" x14ac:dyDescent="0.25">
      <c r="A188" s="19" t="str">
        <f>INSCRITOS!P151</f>
        <v>VIOLENCIA SEXUAL</v>
      </c>
      <c r="B188" s="8" t="str">
        <f t="shared" si="4"/>
        <v>https://centrodecapacitaciondelsur.com/violencia-sexual-</v>
      </c>
      <c r="C188" s="10">
        <f>INSCRITOS!B151</f>
        <v>849921</v>
      </c>
      <c r="D188" t="str">
        <f t="shared" si="5"/>
        <v>https://centrodecapacitaciondelsur.com/violencia-sexual-849921/</v>
      </c>
    </row>
    <row r="189" spans="1:4" ht="122.25" customHeight="1" x14ac:dyDescent="0.25">
      <c r="A189" s="19" t="str">
        <f>INSCRITOS!P152</f>
        <v>QUIMICOS</v>
      </c>
      <c r="B189" s="8" t="str">
        <f t="shared" si="4"/>
        <v>https://centrodecapacitaciondelsur.com/victimas-por-agentes-quimicos-</v>
      </c>
      <c r="C189" s="10">
        <f>INSCRITOS!B152</f>
        <v>849921</v>
      </c>
      <c r="D189" t="str">
        <f t="shared" si="5"/>
        <v>https://centrodecapacitaciondelsur.com/victimas-por-agentes-quimicos-849921/</v>
      </c>
    </row>
    <row r="190" spans="1:4" ht="122.25" customHeight="1" x14ac:dyDescent="0.25">
      <c r="A190" s="19" t="str">
        <f>INSCRITOS!P153</f>
        <v>ACLS</v>
      </c>
      <c r="B190" s="8" t="str">
        <f t="shared" si="4"/>
        <v>https://centrodecapacitaciondelsur.com/soporte-cardiovascular-avanzado-</v>
      </c>
      <c r="C190" s="10">
        <f>INSCRITOS!B153</f>
        <v>87064290</v>
      </c>
      <c r="D190" t="str">
        <f t="shared" si="5"/>
        <v>https://centrodecapacitaciondelsur.com/soporte-cardiovascular-avanzado-87064290/</v>
      </c>
    </row>
    <row r="191" spans="1:4" ht="122.25" customHeight="1" x14ac:dyDescent="0.25">
      <c r="A191" s="19" t="str">
        <f>INSCRITOS!P154</f>
        <v>VIOLENCIA SEXUAL</v>
      </c>
      <c r="B191" s="8" t="str">
        <f t="shared" si="4"/>
        <v>https://centrodecapacitaciondelsur.com/violencia-sexual-</v>
      </c>
      <c r="C191" s="10">
        <f>INSCRITOS!B154</f>
        <v>87064290</v>
      </c>
      <c r="D191" t="str">
        <f t="shared" si="5"/>
        <v>https://centrodecapacitaciondelsur.com/violencia-sexual-87064290/</v>
      </c>
    </row>
    <row r="192" spans="1:4" ht="122.25" customHeight="1" x14ac:dyDescent="0.25">
      <c r="A192" s="19" t="str">
        <f>INSCRITOS!P155</f>
        <v>QUIMICOS</v>
      </c>
      <c r="B192" s="8" t="str">
        <f t="shared" si="4"/>
        <v>https://centrodecapacitaciondelsur.com/victimas-por-agentes-quimicos-</v>
      </c>
      <c r="C192" s="10">
        <f>INSCRITOS!B155</f>
        <v>87064290</v>
      </c>
      <c r="D192" t="str">
        <f t="shared" si="5"/>
        <v>https://centrodecapacitaciondelsur.com/victimas-por-agentes-quimicos-87064290/</v>
      </c>
    </row>
    <row r="193" spans="1:4" ht="122.25" customHeight="1" x14ac:dyDescent="0.25">
      <c r="A193" s="19" t="str">
        <f>INSCRITOS!P156</f>
        <v>IAMI</v>
      </c>
      <c r="B193" s="8" t="str">
        <f t="shared" si="4"/>
        <v>https://centrodecapacitaciondelsur.com/iami-</v>
      </c>
      <c r="C193" s="10">
        <f>INSCRITOS!B156</f>
        <v>1085295922</v>
      </c>
      <c r="D193" t="str">
        <f t="shared" si="5"/>
        <v>https://centrodecapacitaciondelsur.com/iami-1085295922/</v>
      </c>
    </row>
    <row r="194" spans="1:4" ht="122.25" customHeight="1" x14ac:dyDescent="0.25">
      <c r="A194" s="19" t="str">
        <f>INSCRITOS!P157</f>
        <v>VIOLENCIA SEXUAL</v>
      </c>
      <c r="B194" s="8" t="str">
        <f t="shared" si="4"/>
        <v>https://centrodecapacitaciondelsur.com/violencia-sexual-</v>
      </c>
      <c r="C194" s="10">
        <f>INSCRITOS!B157</f>
        <v>79808856</v>
      </c>
      <c r="D194" t="str">
        <f t="shared" si="5"/>
        <v>https://centrodecapacitaciondelsur.com/violencia-sexual-79808856/</v>
      </c>
    </row>
    <row r="195" spans="1:4" ht="122.25" customHeight="1" x14ac:dyDescent="0.25">
      <c r="A195" s="19" t="str">
        <f>INSCRITOS!P158</f>
        <v>QUIMICOS</v>
      </c>
      <c r="B195" s="8" t="str">
        <f t="shared" si="4"/>
        <v>https://centrodecapacitaciondelsur.com/victimas-por-agentes-quimicos-</v>
      </c>
      <c r="C195" s="10">
        <f>INSCRITOS!B158</f>
        <v>79808856</v>
      </c>
      <c r="D195" t="str">
        <f t="shared" si="5"/>
        <v>https://centrodecapacitaciondelsur.com/victimas-por-agentes-quimicos-79808856/</v>
      </c>
    </row>
    <row r="196" spans="1:4" ht="122.25" customHeight="1" x14ac:dyDescent="0.25">
      <c r="A196" s="19" t="str">
        <f>INSCRITOS!P159</f>
        <v>IAMI</v>
      </c>
      <c r="B196" s="8" t="str">
        <f t="shared" si="4"/>
        <v>https://centrodecapacitaciondelsur.com/iami-</v>
      </c>
      <c r="C196" s="10">
        <f>INSCRITOS!B159</f>
        <v>36752711</v>
      </c>
      <c r="D196" t="str">
        <f t="shared" si="5"/>
        <v>https://centrodecapacitaciondelsur.com/iami-36752711/</v>
      </c>
    </row>
    <row r="197" spans="1:4" ht="122.25" customHeight="1" x14ac:dyDescent="0.25">
      <c r="A197" s="19" t="str">
        <f>INSCRITOS!P160</f>
        <v>IAMI</v>
      </c>
      <c r="B197" s="8" t="str">
        <f t="shared" si="4"/>
        <v>https://centrodecapacitaciondelsur.com/iami-</v>
      </c>
      <c r="C197" s="10">
        <f>INSCRITOS!B160</f>
        <v>27081968</v>
      </c>
      <c r="D197" t="str">
        <f t="shared" si="5"/>
        <v>https://centrodecapacitaciondelsur.com/iami-27081968/</v>
      </c>
    </row>
    <row r="198" spans="1:4" ht="122.25" customHeight="1" x14ac:dyDescent="0.25">
      <c r="A198" s="19" t="str">
        <f>INSCRITOS!P161</f>
        <v>IAMI</v>
      </c>
      <c r="B198" s="8" t="str">
        <f t="shared" si="4"/>
        <v>https://centrodecapacitaciondelsur.com/iami-</v>
      </c>
      <c r="C198" s="10">
        <f>INSCRITOS!B161</f>
        <v>59314897</v>
      </c>
      <c r="D198" t="str">
        <f t="shared" si="5"/>
        <v>https://centrodecapacitaciondelsur.com/iami-59314897/</v>
      </c>
    </row>
    <row r="199" spans="1:4" ht="122.25" customHeight="1" x14ac:dyDescent="0.25">
      <c r="A199" s="19" t="str">
        <f>INSCRITOS!P162</f>
        <v>HUMANIZACION</v>
      </c>
      <c r="B199" s="8" t="str">
        <f t="shared" si="4"/>
        <v>https://centrodecapacitaciondelsur.com/humanizacion-</v>
      </c>
      <c r="C199" s="10">
        <f>INSCRITOS!B162</f>
        <v>1085327252</v>
      </c>
      <c r="D199" t="str">
        <f t="shared" si="5"/>
        <v>https://centrodecapacitaciondelsur.com/humanizacion-1085327252/</v>
      </c>
    </row>
    <row r="200" spans="1:4" ht="122.25" customHeight="1" x14ac:dyDescent="0.25">
      <c r="A200" s="19" t="str">
        <f>INSCRITOS!P163</f>
        <v>DUELO</v>
      </c>
      <c r="B200" s="8" t="str">
        <f t="shared" si="4"/>
        <v>https://centrodecapacitaciondelsur.com/manejo-del-duelo-</v>
      </c>
      <c r="C200" s="10">
        <f>INSCRITOS!B163</f>
        <v>1088731517</v>
      </c>
      <c r="D200" t="str">
        <f t="shared" si="5"/>
        <v>https://centrodecapacitaciondelsur.com/manejo-del-duelo-1088731517/</v>
      </c>
    </row>
    <row r="201" spans="1:4" ht="122.25" customHeight="1" x14ac:dyDescent="0.25">
      <c r="A201" s="19" t="str">
        <f>INSCRITOS!P164</f>
        <v>AIEPI</v>
      </c>
      <c r="B201" s="8" t="str">
        <f t="shared" si="4"/>
        <v>https://centrodecapacitaciondelsur.com/aiepi-</v>
      </c>
      <c r="C201" s="10">
        <f>INSCRITOS!B164</f>
        <v>1233189484</v>
      </c>
      <c r="D201" t="str">
        <f t="shared" si="5"/>
        <v>https://centrodecapacitaciondelsur.com/aiepi-1233189484/</v>
      </c>
    </row>
    <row r="202" spans="1:4" ht="122.25" customHeight="1" x14ac:dyDescent="0.25">
      <c r="A202" s="19" t="str">
        <f>INSCRITOS!P165</f>
        <v>DUELO</v>
      </c>
      <c r="B202" s="8" t="str">
        <f t="shared" si="4"/>
        <v>https://centrodecapacitaciondelsur.com/manejo-del-duelo-</v>
      </c>
      <c r="C202" s="10">
        <f>INSCRITOS!B165</f>
        <v>1233189484</v>
      </c>
      <c r="D202" t="str">
        <f t="shared" si="5"/>
        <v>https://centrodecapacitaciondelsur.com/manejo-del-duelo-1233189484/</v>
      </c>
    </row>
    <row r="203" spans="1:4" ht="122.25" customHeight="1" x14ac:dyDescent="0.25">
      <c r="A203" s="19" t="str">
        <f>INSCRITOS!P166</f>
        <v>QUIMICOS</v>
      </c>
      <c r="B203" s="8" t="str">
        <f t="shared" si="4"/>
        <v>https://centrodecapacitaciondelsur.com/victimas-por-agentes-quimicos-</v>
      </c>
      <c r="C203" s="10">
        <f>INSCRITOS!B166</f>
        <v>59796183</v>
      </c>
      <c r="D203" t="str">
        <f t="shared" si="5"/>
        <v>https://centrodecapacitaciondelsur.com/victimas-por-agentes-quimicos-59796183/</v>
      </c>
    </row>
    <row r="204" spans="1:4" ht="122.25" customHeight="1" x14ac:dyDescent="0.25">
      <c r="A204" s="19" t="str">
        <f>INSCRITOS!P167</f>
        <v>PALS</v>
      </c>
      <c r="B204" s="8" t="b">
        <f t="shared" si="4"/>
        <v>0</v>
      </c>
      <c r="C204" s="10">
        <f>INSCRITOS!B167</f>
        <v>1085327331</v>
      </c>
      <c r="D204" t="str">
        <f t="shared" si="5"/>
        <v>FALSO1085327331/</v>
      </c>
    </row>
    <row r="205" spans="1:4" ht="122.25" customHeight="1" x14ac:dyDescent="0.25">
      <c r="A205" s="19" t="str">
        <f>INSCRITOS!P168</f>
        <v>HUMANIZACION</v>
      </c>
      <c r="B205" s="8" t="str">
        <f t="shared" si="4"/>
        <v>https://centrodecapacitaciondelsur.com/humanizacion-</v>
      </c>
      <c r="C205" s="10">
        <f>INSCRITOS!B168</f>
        <v>1085327331</v>
      </c>
      <c r="D205" t="str">
        <f t="shared" si="5"/>
        <v>https://centrodecapacitaciondelsur.com/humanizacion-1085327331/</v>
      </c>
    </row>
    <row r="206" spans="1:4" ht="122.25" customHeight="1" x14ac:dyDescent="0.25">
      <c r="A206" s="19" t="str">
        <f>INSCRITOS!P169</f>
        <v>IAMI</v>
      </c>
      <c r="B206" s="8" t="str">
        <f t="shared" si="4"/>
        <v>https://centrodecapacitaciondelsur.com/iami-</v>
      </c>
      <c r="C206" s="10">
        <f>INSCRITOS!B169</f>
        <v>59312730</v>
      </c>
      <c r="D206" t="str">
        <f t="shared" si="5"/>
        <v>https://centrodecapacitaciondelsur.com/iami-59312730/</v>
      </c>
    </row>
    <row r="207" spans="1:4" ht="122.25" customHeight="1" x14ac:dyDescent="0.25">
      <c r="A207" s="19" t="str">
        <f>INSCRITOS!P170</f>
        <v>IAMI</v>
      </c>
      <c r="B207" s="8" t="str">
        <f t="shared" si="4"/>
        <v>https://centrodecapacitaciondelsur.com/iami-</v>
      </c>
      <c r="C207" s="10">
        <f>INSCRITOS!B170</f>
        <v>1088737926</v>
      </c>
      <c r="D207" t="str">
        <f t="shared" si="5"/>
        <v>https://centrodecapacitaciondelsur.com/iami-1088737926/</v>
      </c>
    </row>
    <row r="208" spans="1:4" ht="122.25" customHeight="1" x14ac:dyDescent="0.25">
      <c r="A208" s="19" t="str">
        <f>INSCRITOS!P171</f>
        <v>AIEPI</v>
      </c>
      <c r="B208" s="8" t="str">
        <f t="shared" si="4"/>
        <v>https://centrodecapacitaciondelsur.com/aiepi-</v>
      </c>
      <c r="C208" s="10">
        <f>INSCRITOS!B171</f>
        <v>1088735354</v>
      </c>
      <c r="D208" t="str">
        <f t="shared" si="5"/>
        <v>https://centrodecapacitaciondelsur.com/aiepi-1088735354/</v>
      </c>
    </row>
    <row r="209" spans="1:4" ht="122.25" customHeight="1" x14ac:dyDescent="0.25">
      <c r="A209" s="19" t="str">
        <f>INSCRITOS!P172</f>
        <v>TOMA DE MUESTRAS</v>
      </c>
      <c r="B209" s="8" t="str">
        <f t="shared" si="4"/>
        <v>https://centrodecapacitaciondelsur.com/toma-de-muestras-y-lab-clinico-</v>
      </c>
      <c r="C209" s="10">
        <f>INSCRITOS!B172</f>
        <v>36931576</v>
      </c>
      <c r="D209" t="str">
        <f t="shared" si="5"/>
        <v>https://centrodecapacitaciondelsur.com/toma-de-muestras-y-lab-clinico-36931576/</v>
      </c>
    </row>
    <row r="210" spans="1:4" ht="122.25" customHeight="1" x14ac:dyDescent="0.25">
      <c r="A210" s="19" t="str">
        <f>INSCRITOS!P173</f>
        <v>IAMI</v>
      </c>
      <c r="B210" s="8" t="str">
        <f t="shared" si="4"/>
        <v>https://centrodecapacitaciondelsur.com/iami-</v>
      </c>
      <c r="C210" s="10">
        <f>INSCRITOS!B173</f>
        <v>36754829</v>
      </c>
      <c r="D210" t="str">
        <f t="shared" si="5"/>
        <v>https://centrodecapacitaciondelsur.com/iami-36754829/</v>
      </c>
    </row>
    <row r="211" spans="1:4" ht="122.25" customHeight="1" x14ac:dyDescent="0.25">
      <c r="A211" s="19" t="str">
        <f>INSCRITOS!P174</f>
        <v>IAMI</v>
      </c>
      <c r="B211" s="8" t="str">
        <f t="shared" si="4"/>
        <v>https://centrodecapacitaciondelsur.com/iami-</v>
      </c>
      <c r="C211" s="10">
        <f>INSCRITOS!B174</f>
        <v>98394128</v>
      </c>
      <c r="D211" t="str">
        <f t="shared" si="5"/>
        <v>https://centrodecapacitaciondelsur.com/iami-98394128/</v>
      </c>
    </row>
    <row r="212" spans="1:4" ht="122.25" customHeight="1" x14ac:dyDescent="0.25">
      <c r="A212" s="19">
        <f>INSCRITOS!P175</f>
        <v>0</v>
      </c>
      <c r="B212" s="8" t="b">
        <f t="shared" si="4"/>
        <v>0</v>
      </c>
      <c r="C212" s="10">
        <f>INSCRITOS!B175</f>
        <v>0</v>
      </c>
      <c r="D212" t="str">
        <f t="shared" si="5"/>
        <v>FALSO0/</v>
      </c>
    </row>
    <row r="213" spans="1:4" ht="122.25" customHeight="1" x14ac:dyDescent="0.25">
      <c r="A213" s="19">
        <f>INSCRITOS!P176</f>
        <v>0</v>
      </c>
      <c r="B213" s="8" t="b">
        <f t="shared" si="4"/>
        <v>0</v>
      </c>
      <c r="C213" s="10">
        <f>INSCRITOS!B176</f>
        <v>0</v>
      </c>
      <c r="D213" t="str">
        <f t="shared" si="5"/>
        <v>FALSO0/</v>
      </c>
    </row>
    <row r="214" spans="1:4" ht="122.25" customHeight="1" x14ac:dyDescent="0.25">
      <c r="A214" s="19">
        <f>INSCRITOS!P177</f>
        <v>0</v>
      </c>
      <c r="B214" s="8" t="b">
        <f t="shared" si="4"/>
        <v>0</v>
      </c>
      <c r="C214" s="10">
        <f>INSCRITOS!B177</f>
        <v>0</v>
      </c>
      <c r="D214" t="str">
        <f t="shared" si="5"/>
        <v>FALSO0/</v>
      </c>
    </row>
    <row r="215" spans="1:4" ht="122.25" customHeight="1" x14ac:dyDescent="0.25">
      <c r="A215" s="19">
        <f>INSCRITOS!P178</f>
        <v>0</v>
      </c>
      <c r="B215" s="8" t="b">
        <f t="shared" si="4"/>
        <v>0</v>
      </c>
      <c r="C215" s="10">
        <f>INSCRITOS!B178</f>
        <v>0</v>
      </c>
      <c r="D215" t="str">
        <f t="shared" si="5"/>
        <v>FALSO0/</v>
      </c>
    </row>
    <row r="216" spans="1:4" ht="122.25" customHeight="1" x14ac:dyDescent="0.25">
      <c r="A216" s="19">
        <f>INSCRITOS!P179</f>
        <v>0</v>
      </c>
      <c r="B216" s="8" t="b">
        <f t="shared" si="4"/>
        <v>0</v>
      </c>
      <c r="C216" s="10">
        <f>INSCRITOS!B179</f>
        <v>0</v>
      </c>
      <c r="D216" t="str">
        <f t="shared" si="5"/>
        <v>FALSO0/</v>
      </c>
    </row>
    <row r="217" spans="1:4" ht="122.25" customHeight="1" x14ac:dyDescent="0.25">
      <c r="A217" s="19">
        <f>INSCRITOS!P180</f>
        <v>0</v>
      </c>
      <c r="B217" s="8" t="b">
        <f t="shared" si="4"/>
        <v>0</v>
      </c>
      <c r="C217" s="10">
        <f>INSCRITOS!B180</f>
        <v>0</v>
      </c>
      <c r="D217" t="str">
        <f t="shared" si="5"/>
        <v>FALSO0/</v>
      </c>
    </row>
    <row r="218" spans="1:4" ht="122.25" customHeight="1" x14ac:dyDescent="0.25">
      <c r="A218" s="19">
        <f>INSCRITOS!P181</f>
        <v>0</v>
      </c>
      <c r="B218" s="8" t="b">
        <f t="shared" si="4"/>
        <v>0</v>
      </c>
      <c r="C218" s="10">
        <f>INSCRITOS!B181</f>
        <v>0</v>
      </c>
      <c r="D218" t="str">
        <f t="shared" si="5"/>
        <v>FALSO0/</v>
      </c>
    </row>
    <row r="219" spans="1:4" ht="122.25" customHeight="1" x14ac:dyDescent="0.25">
      <c r="A219" s="19">
        <f>INSCRITOS!P182</f>
        <v>0</v>
      </c>
      <c r="B219" s="8" t="b">
        <f t="shared" si="4"/>
        <v>0</v>
      </c>
      <c r="C219" s="10">
        <f>INSCRITOS!B182</f>
        <v>0</v>
      </c>
      <c r="D219" t="str">
        <f t="shared" si="5"/>
        <v>FALSO0/</v>
      </c>
    </row>
    <row r="220" spans="1:4" ht="122.25" customHeight="1" x14ac:dyDescent="0.25">
      <c r="A220" s="19">
        <f>INSCRITOS!P183</f>
        <v>0</v>
      </c>
      <c r="B220" s="8" t="b">
        <f t="shared" si="4"/>
        <v>0</v>
      </c>
      <c r="C220" s="10">
        <f>INSCRITOS!B183</f>
        <v>0</v>
      </c>
      <c r="D220" t="str">
        <f t="shared" si="5"/>
        <v>FALSO0/</v>
      </c>
    </row>
    <row r="221" spans="1:4" ht="122.25" customHeight="1" x14ac:dyDescent="0.25">
      <c r="A221" s="19">
        <f>INSCRITOS!P184</f>
        <v>0</v>
      </c>
      <c r="B221" s="8" t="b">
        <f t="shared" si="4"/>
        <v>0</v>
      </c>
      <c r="C221" s="10">
        <f>INSCRITOS!B184</f>
        <v>0</v>
      </c>
      <c r="D221" t="str">
        <f t="shared" si="5"/>
        <v>FALSO0/</v>
      </c>
    </row>
    <row r="222" spans="1:4" ht="122.25" customHeight="1" x14ac:dyDescent="0.25">
      <c r="A222" s="19">
        <f>INSCRITOS!P185</f>
        <v>0</v>
      </c>
      <c r="B222" s="8" t="b">
        <f t="shared" si="4"/>
        <v>0</v>
      </c>
      <c r="C222" s="10">
        <f>INSCRITOS!B185</f>
        <v>0</v>
      </c>
      <c r="D222" t="str">
        <f t="shared" si="5"/>
        <v>FALSO0/</v>
      </c>
    </row>
    <row r="223" spans="1:4" ht="122.25" customHeight="1" x14ac:dyDescent="0.25">
      <c r="A223" s="19">
        <f>INSCRITOS!P186</f>
        <v>0</v>
      </c>
      <c r="B223" s="8" t="b">
        <f t="shared" si="4"/>
        <v>0</v>
      </c>
      <c r="C223" s="10">
        <f>INSCRITOS!B186</f>
        <v>0</v>
      </c>
      <c r="D223" t="str">
        <f t="shared" si="5"/>
        <v>FALSO0/</v>
      </c>
    </row>
    <row r="224" spans="1:4" ht="122.25" customHeight="1" x14ac:dyDescent="0.25">
      <c r="A224" s="19">
        <f>INSCRITOS!P187</f>
        <v>0</v>
      </c>
      <c r="B224" s="8" t="b">
        <f t="shared" si="4"/>
        <v>0</v>
      </c>
      <c r="C224" s="10">
        <f>INSCRITOS!B187</f>
        <v>0</v>
      </c>
      <c r="D224" t="str">
        <f t="shared" si="5"/>
        <v>FALSO0/</v>
      </c>
    </row>
    <row r="225" spans="1:4" ht="122.25" customHeight="1" x14ac:dyDescent="0.25">
      <c r="A225" s="19">
        <f>INSCRITOS!P188</f>
        <v>0</v>
      </c>
      <c r="B225" s="8" t="b">
        <f t="shared" si="4"/>
        <v>0</v>
      </c>
      <c r="C225" s="10">
        <f>INSCRITOS!B188</f>
        <v>0</v>
      </c>
      <c r="D225" t="str">
        <f t="shared" si="5"/>
        <v>FALSO0/</v>
      </c>
    </row>
    <row r="226" spans="1:4" ht="122.25" customHeight="1" x14ac:dyDescent="0.25">
      <c r="A226" s="19">
        <f>INSCRITOS!P189</f>
        <v>0</v>
      </c>
      <c r="B226" s="8" t="b">
        <f t="shared" si="4"/>
        <v>0</v>
      </c>
      <c r="C226" s="10">
        <f>INSCRITOS!B189</f>
        <v>0</v>
      </c>
      <c r="D226" t="str">
        <f t="shared" si="5"/>
        <v>FALSO0/</v>
      </c>
    </row>
    <row r="227" spans="1:4" ht="122.25" customHeight="1" x14ac:dyDescent="0.25">
      <c r="A227" s="19">
        <f>INSCRITOS!P190</f>
        <v>0</v>
      </c>
      <c r="B227" s="8" t="b">
        <f t="shared" si="4"/>
        <v>0</v>
      </c>
      <c r="C227" s="10">
        <f>INSCRITOS!B190</f>
        <v>0</v>
      </c>
      <c r="D227" t="str">
        <f t="shared" si="5"/>
        <v>FALSO0/</v>
      </c>
    </row>
    <row r="228" spans="1:4" ht="122.25" customHeight="1" x14ac:dyDescent="0.25">
      <c r="A228" s="19">
        <f>INSCRITOS!P191</f>
        <v>0</v>
      </c>
      <c r="B228" s="8" t="b">
        <f t="shared" si="4"/>
        <v>0</v>
      </c>
      <c r="C228" s="10">
        <f>INSCRITOS!B191</f>
        <v>0</v>
      </c>
      <c r="D228" t="str">
        <f t="shared" si="5"/>
        <v>FALSO0/</v>
      </c>
    </row>
    <row r="229" spans="1:4" ht="122.25" customHeight="1" x14ac:dyDescent="0.25">
      <c r="A229" s="19">
        <f>INSCRITOS!P192</f>
        <v>0</v>
      </c>
      <c r="B229" s="8" t="b">
        <f t="shared" si="4"/>
        <v>0</v>
      </c>
      <c r="C229" s="10">
        <f>INSCRITOS!B192</f>
        <v>0</v>
      </c>
      <c r="D229" t="str">
        <f t="shared" si="5"/>
        <v>FALSO0/</v>
      </c>
    </row>
    <row r="230" spans="1:4" ht="122.25" customHeight="1" x14ac:dyDescent="0.25">
      <c r="A230" s="19">
        <f>INSCRITOS!P193</f>
        <v>0</v>
      </c>
      <c r="B230" s="8" t="b">
        <f t="shared" si="4"/>
        <v>0</v>
      </c>
      <c r="C230" s="10">
        <f>INSCRITOS!B193</f>
        <v>0</v>
      </c>
      <c r="D230" t="str">
        <f t="shared" si="5"/>
        <v>FALSO0/</v>
      </c>
    </row>
    <row r="231" spans="1:4" ht="122.25" customHeight="1" x14ac:dyDescent="0.25">
      <c r="A231" s="19">
        <f>INSCRITOS!P194</f>
        <v>0</v>
      </c>
      <c r="B231" s="8" t="b">
        <f t="shared" si="4"/>
        <v>0</v>
      </c>
      <c r="C231" s="10">
        <f>INSCRITOS!B194</f>
        <v>0</v>
      </c>
      <c r="D231" t="str">
        <f t="shared" si="5"/>
        <v>FALSO0/</v>
      </c>
    </row>
    <row r="232" spans="1:4" ht="122.25" customHeight="1" x14ac:dyDescent="0.25">
      <c r="A232" s="19">
        <f>INSCRITOS!P195</f>
        <v>0</v>
      </c>
      <c r="B232" s="8" t="b">
        <f t="shared" ref="B232:B295" si="6">IF(A232=$H$19,"https://centrodecapacitaciondelsur.com/o-v-e-",IF(A232=$H$2,"https://centrodecapacitaciondelsur.com/aph-",IF(A232=$H$3,"https://centrodecapacitaciondelsur.com/manejo-del-duelo-",IF(A232=$H$4,"https://centrodecapacitaciondelsur.com/victimas-por-agentes-quimicos-",IF(A232=$H$5,"https://centrodecapacitaciondelsur.com/primeros-auxilios-",IF(A232=$H$6,"https://centrodecapacitaciondelsur.com/uci-",IF(A232=$H$8,"https://centrodecapacitaciondelsur.com/humanizacion-",IF(A232=$H$11,"https://centrodecapacitaciondelsur.com/soporte-cardiovascular-avanzado-",IF(A232=$H$12,"https://centrodecapacitaciondelsur.com/camillero-",IF(A232=$H$13,"https://centrodecapacitaciondelsur.com/toma-de-muestras-y-lab-clinico-",IF(A232=$H$14,"https://centrodecapacitaciondelsur.com/soporte-basico-de-vida-",IF(A232=$H$15,"https://centrodecapacitaciondelsur.com/violencia-sexual-",IF(A232=$H$17,"https://centrodecapacitaciondelsur.com/aiepi-",IF(A232=$H$18,"https://centrodecapacitaciondelsur.com/adm-medicamentos-canalizacion-inyectologia-",IF(A232=$H$25,"https://centrodecapacitaciondelsur.com/manejo-del-dolor-y-cuidados-paliativos-",IF(A232=$H$26,"https://centrodecapacitaciondelsur.com/toma-de-muestras-y-lab-clinico-poct-",IF(A232=$H$27,"https://centrodecapacitaciondelsur.com/implante-subdermico-",IF(A232=$H$21,"https://centrodecapacitaciondelsur.com/donante-de-organos-",IF(A232=$H$30,"https://centrodecapacitaciondelsur.com/atencion-a-victimas-del-conflicto-armado-",IF(A232=$H$20,"https://centrodecapacitaciondelsur.com/iami-",IF(A232=$H$22,"https://centrodecapacitaciondelsur.com/violencia-de-genero-",IF(A232=$H$23,"https://centrodecapacitaciondelsur.com/igualdad-de-genero-",IF(A232=$H$16,"https://centrodecapacitaciondelsur.com/pai-",IF(A232=$H$31,"https://centrodecapacitaciondelsur.com/manipulacion-de-alimentos-",IF(A232=$H$32,"https://centrodecapacitaciondelsur.com/atencion-a-personas-con-discapacidad-",IF(A232=$H$33,"https://centrodecapacitaciondelsur.com/atencion-al-adulto-mayor-",IF(A232=$H$34,"https://centrodecapacitaciondelsur.com/manejo-defensivo-",IF(A232=$H$35,"https://centrodecapacitaciondelsur.com/soporte-basico-neonatal-",IF(A232=$H$36,"https://centrodecapacitaciondelsur.com/seguridad-del-paciente-",IF(A232=$H$37,"https://centrodecapacitaciondelsur.com/manejo-de-residuos-hospitalarios-",IF(A232=$H$10,"https://centrodecapacitaciondelsur.com/toma-de-citologia-",IF(A232=$H$29,"https://centrodecapacitaciondelsur.com/primeros-aux-psicologicos-"))))))))))))))))))))))))))))))))</f>
        <v>0</v>
      </c>
      <c r="C232" s="10">
        <f>INSCRITOS!B195</f>
        <v>0</v>
      </c>
      <c r="D232" t="str">
        <f t="shared" ref="D232:D295" si="7">CONCATENATE(B232,C232,"/")</f>
        <v>FALSO0/</v>
      </c>
    </row>
    <row r="233" spans="1:4" ht="122.25" customHeight="1" x14ac:dyDescent="0.25">
      <c r="A233" s="19">
        <f>INSCRITOS!P196</f>
        <v>0</v>
      </c>
      <c r="B233" s="8" t="b">
        <f t="shared" si="6"/>
        <v>0</v>
      </c>
      <c r="C233" s="10">
        <f>INSCRITOS!B196</f>
        <v>0</v>
      </c>
      <c r="D233" t="str">
        <f t="shared" si="7"/>
        <v>FALSO0/</v>
      </c>
    </row>
    <row r="234" spans="1:4" ht="122.25" customHeight="1" x14ac:dyDescent="0.25">
      <c r="A234" s="19">
        <f>INSCRITOS!P197</f>
        <v>0</v>
      </c>
      <c r="B234" s="8" t="b">
        <f t="shared" si="6"/>
        <v>0</v>
      </c>
      <c r="C234" s="10">
        <f>INSCRITOS!B197</f>
        <v>0</v>
      </c>
      <c r="D234" t="str">
        <f t="shared" si="7"/>
        <v>FALSO0/</v>
      </c>
    </row>
    <row r="235" spans="1:4" ht="122.25" customHeight="1" x14ac:dyDescent="0.25">
      <c r="A235" s="19">
        <f>INSCRITOS!P198</f>
        <v>0</v>
      </c>
      <c r="B235" s="8" t="b">
        <f t="shared" si="6"/>
        <v>0</v>
      </c>
      <c r="C235" s="10">
        <f>INSCRITOS!B198</f>
        <v>0</v>
      </c>
      <c r="D235" t="str">
        <f t="shared" si="7"/>
        <v>FALSO0/</v>
      </c>
    </row>
    <row r="236" spans="1:4" ht="122.25" customHeight="1" x14ac:dyDescent="0.25">
      <c r="A236" s="19">
        <f>INSCRITOS!P199</f>
        <v>0</v>
      </c>
      <c r="B236" s="8" t="b">
        <f t="shared" si="6"/>
        <v>0</v>
      </c>
      <c r="C236" s="10">
        <f>INSCRITOS!B199</f>
        <v>0</v>
      </c>
      <c r="D236" t="str">
        <f t="shared" si="7"/>
        <v>FALSO0/</v>
      </c>
    </row>
    <row r="237" spans="1:4" ht="122.25" customHeight="1" x14ac:dyDescent="0.25">
      <c r="A237" s="19">
        <f>INSCRITOS!P200</f>
        <v>0</v>
      </c>
      <c r="B237" s="8" t="b">
        <f t="shared" si="6"/>
        <v>0</v>
      </c>
      <c r="C237" s="10">
        <f>INSCRITOS!B200</f>
        <v>0</v>
      </c>
      <c r="D237" t="str">
        <f t="shared" si="7"/>
        <v>FALSO0/</v>
      </c>
    </row>
    <row r="238" spans="1:4" ht="122.25" customHeight="1" x14ac:dyDescent="0.25">
      <c r="A238" s="19">
        <f>INSCRITOS!P201</f>
        <v>0</v>
      </c>
      <c r="B238" s="8" t="b">
        <f t="shared" si="6"/>
        <v>0</v>
      </c>
      <c r="C238" s="10">
        <f>INSCRITOS!B201</f>
        <v>0</v>
      </c>
      <c r="D238" t="str">
        <f t="shared" si="7"/>
        <v>FALSO0/</v>
      </c>
    </row>
    <row r="239" spans="1:4" ht="122.25" customHeight="1" x14ac:dyDescent="0.25">
      <c r="A239" s="19">
        <f>INSCRITOS!P202</f>
        <v>0</v>
      </c>
      <c r="B239" s="8" t="b">
        <f t="shared" si="6"/>
        <v>0</v>
      </c>
      <c r="C239" s="10">
        <f>INSCRITOS!B202</f>
        <v>0</v>
      </c>
      <c r="D239" t="str">
        <f t="shared" si="7"/>
        <v>FALSO0/</v>
      </c>
    </row>
    <row r="240" spans="1:4" ht="122.25" customHeight="1" x14ac:dyDescent="0.25">
      <c r="A240" s="19">
        <f>INSCRITOS!P203</f>
        <v>0</v>
      </c>
      <c r="B240" s="8" t="b">
        <f t="shared" si="6"/>
        <v>0</v>
      </c>
      <c r="C240" s="10">
        <f>INSCRITOS!B203</f>
        <v>0</v>
      </c>
      <c r="D240" t="str">
        <f t="shared" si="7"/>
        <v>FALSO0/</v>
      </c>
    </row>
    <row r="241" spans="1:4" ht="122.25" customHeight="1" x14ac:dyDescent="0.25">
      <c r="A241" s="19">
        <f>INSCRITOS!P204</f>
        <v>0</v>
      </c>
      <c r="B241" s="8" t="b">
        <f t="shared" si="6"/>
        <v>0</v>
      </c>
      <c r="C241" s="10">
        <f>INSCRITOS!B204</f>
        <v>0</v>
      </c>
      <c r="D241" t="str">
        <f t="shared" si="7"/>
        <v>FALSO0/</v>
      </c>
    </row>
    <row r="242" spans="1:4" ht="122.25" customHeight="1" x14ac:dyDescent="0.25">
      <c r="A242" s="19">
        <f>INSCRITOS!P205</f>
        <v>0</v>
      </c>
      <c r="B242" s="8" t="b">
        <f t="shared" si="6"/>
        <v>0</v>
      </c>
      <c r="C242" s="10">
        <f>INSCRITOS!B205</f>
        <v>0</v>
      </c>
      <c r="D242" t="str">
        <f t="shared" si="7"/>
        <v>FALSO0/</v>
      </c>
    </row>
    <row r="243" spans="1:4" ht="122.25" customHeight="1" x14ac:dyDescent="0.25">
      <c r="A243" s="19">
        <f>INSCRITOS!P206</f>
        <v>0</v>
      </c>
      <c r="B243" s="8" t="b">
        <f t="shared" si="6"/>
        <v>0</v>
      </c>
      <c r="C243" s="10">
        <f>INSCRITOS!B206</f>
        <v>0</v>
      </c>
      <c r="D243" t="str">
        <f t="shared" si="7"/>
        <v>FALSO0/</v>
      </c>
    </row>
    <row r="244" spans="1:4" ht="122.25" customHeight="1" x14ac:dyDescent="0.25">
      <c r="A244" s="19">
        <f>INSCRITOS!P207</f>
        <v>0</v>
      </c>
      <c r="B244" s="8" t="b">
        <f t="shared" si="6"/>
        <v>0</v>
      </c>
      <c r="C244" s="10">
        <f>INSCRITOS!B207</f>
        <v>0</v>
      </c>
      <c r="D244" t="str">
        <f t="shared" si="7"/>
        <v>FALSO0/</v>
      </c>
    </row>
    <row r="245" spans="1:4" ht="122.25" customHeight="1" x14ac:dyDescent="0.25">
      <c r="A245" s="19">
        <f>INSCRITOS!P208</f>
        <v>0</v>
      </c>
      <c r="B245" s="8" t="b">
        <f t="shared" si="6"/>
        <v>0</v>
      </c>
      <c r="C245" s="10">
        <f>INSCRITOS!B208</f>
        <v>0</v>
      </c>
      <c r="D245" t="str">
        <f t="shared" si="7"/>
        <v>FALSO0/</v>
      </c>
    </row>
    <row r="246" spans="1:4" ht="122.25" customHeight="1" x14ac:dyDescent="0.25">
      <c r="A246" s="19">
        <f>INSCRITOS!P209</f>
        <v>0</v>
      </c>
      <c r="B246" s="8" t="b">
        <f t="shared" si="6"/>
        <v>0</v>
      </c>
      <c r="C246" s="10">
        <f>INSCRITOS!B209</f>
        <v>0</v>
      </c>
      <c r="D246" t="str">
        <f t="shared" si="7"/>
        <v>FALSO0/</v>
      </c>
    </row>
    <row r="247" spans="1:4" ht="122.25" customHeight="1" x14ac:dyDescent="0.25">
      <c r="A247" s="19">
        <f>INSCRITOS!P210</f>
        <v>0</v>
      </c>
      <c r="B247" s="8" t="b">
        <f t="shared" si="6"/>
        <v>0</v>
      </c>
      <c r="C247" s="10">
        <f>INSCRITOS!B210</f>
        <v>0</v>
      </c>
      <c r="D247" t="str">
        <f t="shared" si="7"/>
        <v>FALSO0/</v>
      </c>
    </row>
    <row r="248" spans="1:4" ht="122.25" customHeight="1" x14ac:dyDescent="0.25">
      <c r="A248" s="19">
        <f>INSCRITOS!P211</f>
        <v>0</v>
      </c>
      <c r="B248" s="8" t="b">
        <f t="shared" si="6"/>
        <v>0</v>
      </c>
      <c r="C248" s="10">
        <f>INSCRITOS!B211</f>
        <v>0</v>
      </c>
      <c r="D248" t="str">
        <f t="shared" si="7"/>
        <v>FALSO0/</v>
      </c>
    </row>
    <row r="249" spans="1:4" ht="122.25" customHeight="1" x14ac:dyDescent="0.25">
      <c r="A249" s="19">
        <f>INSCRITOS!P212</f>
        <v>0</v>
      </c>
      <c r="B249" s="8" t="b">
        <f t="shared" si="6"/>
        <v>0</v>
      </c>
      <c r="C249" s="10">
        <f>INSCRITOS!B212</f>
        <v>0</v>
      </c>
      <c r="D249" t="str">
        <f t="shared" si="7"/>
        <v>FALSO0/</v>
      </c>
    </row>
    <row r="250" spans="1:4" ht="122.25" customHeight="1" x14ac:dyDescent="0.25">
      <c r="A250" s="19">
        <f>INSCRITOS!P213</f>
        <v>0</v>
      </c>
      <c r="B250" s="8" t="b">
        <f t="shared" si="6"/>
        <v>0</v>
      </c>
      <c r="C250" s="10">
        <f>INSCRITOS!B213</f>
        <v>0</v>
      </c>
      <c r="D250" t="str">
        <f t="shared" si="7"/>
        <v>FALSO0/</v>
      </c>
    </row>
    <row r="251" spans="1:4" ht="122.25" customHeight="1" x14ac:dyDescent="0.25">
      <c r="A251" s="19">
        <f>INSCRITOS!P214</f>
        <v>0</v>
      </c>
      <c r="B251" s="8" t="b">
        <f t="shared" si="6"/>
        <v>0</v>
      </c>
      <c r="C251" s="10">
        <f>INSCRITOS!B214</f>
        <v>0</v>
      </c>
      <c r="D251" t="str">
        <f t="shared" si="7"/>
        <v>FALSO0/</v>
      </c>
    </row>
    <row r="252" spans="1:4" ht="122.25" customHeight="1" x14ac:dyDescent="0.25">
      <c r="A252" s="19">
        <f>INSCRITOS!P215</f>
        <v>0</v>
      </c>
      <c r="B252" s="8" t="b">
        <f t="shared" si="6"/>
        <v>0</v>
      </c>
      <c r="C252" s="10">
        <f>INSCRITOS!B215</f>
        <v>0</v>
      </c>
      <c r="D252" t="str">
        <f t="shared" si="7"/>
        <v>FALSO0/</v>
      </c>
    </row>
    <row r="253" spans="1:4" ht="122.25" customHeight="1" x14ac:dyDescent="0.25">
      <c r="A253" s="19">
        <f>INSCRITOS!P216</f>
        <v>0</v>
      </c>
      <c r="B253" s="8" t="b">
        <f t="shared" si="6"/>
        <v>0</v>
      </c>
      <c r="C253" s="10">
        <f>INSCRITOS!B216</f>
        <v>0</v>
      </c>
      <c r="D253" t="str">
        <f t="shared" si="7"/>
        <v>FALSO0/</v>
      </c>
    </row>
    <row r="254" spans="1:4" ht="122.25" customHeight="1" x14ac:dyDescent="0.25">
      <c r="A254" s="19">
        <f>INSCRITOS!P217</f>
        <v>0</v>
      </c>
      <c r="B254" s="8" t="b">
        <f t="shared" si="6"/>
        <v>0</v>
      </c>
      <c r="C254" s="10">
        <f>INSCRITOS!B217</f>
        <v>0</v>
      </c>
      <c r="D254" t="str">
        <f t="shared" si="7"/>
        <v>FALSO0/</v>
      </c>
    </row>
    <row r="255" spans="1:4" ht="122.25" customHeight="1" x14ac:dyDescent="0.25">
      <c r="A255" s="19">
        <f>INSCRITOS!P218</f>
        <v>0</v>
      </c>
      <c r="B255" s="8" t="b">
        <f t="shared" si="6"/>
        <v>0</v>
      </c>
      <c r="C255" s="10">
        <f>INSCRITOS!B218</f>
        <v>0</v>
      </c>
      <c r="D255" t="str">
        <f t="shared" si="7"/>
        <v>FALSO0/</v>
      </c>
    </row>
    <row r="256" spans="1:4" ht="122.25" customHeight="1" x14ac:dyDescent="0.25">
      <c r="A256" s="19">
        <f>INSCRITOS!P219</f>
        <v>0</v>
      </c>
      <c r="B256" s="8" t="b">
        <f t="shared" si="6"/>
        <v>0</v>
      </c>
      <c r="C256" s="10">
        <f>INSCRITOS!B219</f>
        <v>0</v>
      </c>
      <c r="D256" t="str">
        <f t="shared" si="7"/>
        <v>FALSO0/</v>
      </c>
    </row>
    <row r="257" spans="1:4" ht="122.25" customHeight="1" x14ac:dyDescent="0.25">
      <c r="A257" s="19">
        <f>INSCRITOS!P220</f>
        <v>0</v>
      </c>
      <c r="B257" s="8" t="b">
        <f t="shared" si="6"/>
        <v>0</v>
      </c>
      <c r="C257" s="10">
        <f>INSCRITOS!B220</f>
        <v>0</v>
      </c>
      <c r="D257" t="str">
        <f t="shared" si="7"/>
        <v>FALSO0/</v>
      </c>
    </row>
    <row r="258" spans="1:4" ht="122.25" customHeight="1" x14ac:dyDescent="0.25">
      <c r="A258" s="19">
        <f>INSCRITOS!P221</f>
        <v>0</v>
      </c>
      <c r="B258" s="8" t="b">
        <f t="shared" si="6"/>
        <v>0</v>
      </c>
      <c r="C258" s="10">
        <f>INSCRITOS!B221</f>
        <v>0</v>
      </c>
      <c r="D258" t="str">
        <f t="shared" si="7"/>
        <v>FALSO0/</v>
      </c>
    </row>
    <row r="259" spans="1:4" ht="122.25" customHeight="1" x14ac:dyDescent="0.25">
      <c r="A259" s="19">
        <f>INSCRITOS!P222</f>
        <v>0</v>
      </c>
      <c r="B259" s="8" t="b">
        <f t="shared" si="6"/>
        <v>0</v>
      </c>
      <c r="C259" s="10">
        <f>INSCRITOS!B222</f>
        <v>0</v>
      </c>
      <c r="D259" t="str">
        <f t="shared" si="7"/>
        <v>FALSO0/</v>
      </c>
    </row>
    <row r="260" spans="1:4" ht="122.25" customHeight="1" x14ac:dyDescent="0.25">
      <c r="A260" s="19">
        <f>INSCRITOS!P223</f>
        <v>0</v>
      </c>
      <c r="B260" s="8" t="b">
        <f t="shared" si="6"/>
        <v>0</v>
      </c>
      <c r="C260" s="10">
        <f>INSCRITOS!B223</f>
        <v>0</v>
      </c>
      <c r="D260" t="str">
        <f t="shared" si="7"/>
        <v>FALSO0/</v>
      </c>
    </row>
    <row r="261" spans="1:4" ht="122.25" customHeight="1" x14ac:dyDescent="0.25">
      <c r="A261" s="19">
        <f>INSCRITOS!P224</f>
        <v>0</v>
      </c>
      <c r="B261" s="8" t="b">
        <f t="shared" si="6"/>
        <v>0</v>
      </c>
      <c r="C261" s="10">
        <f>INSCRITOS!B224</f>
        <v>0</v>
      </c>
      <c r="D261" t="str">
        <f t="shared" si="7"/>
        <v>FALSO0/</v>
      </c>
    </row>
    <row r="262" spans="1:4" ht="122.25" customHeight="1" x14ac:dyDescent="0.25">
      <c r="A262" s="19">
        <f>INSCRITOS!P225</f>
        <v>0</v>
      </c>
      <c r="B262" s="8" t="b">
        <f t="shared" si="6"/>
        <v>0</v>
      </c>
      <c r="C262" s="10">
        <f>INSCRITOS!B225</f>
        <v>0</v>
      </c>
      <c r="D262" t="str">
        <f t="shared" si="7"/>
        <v>FALSO0/</v>
      </c>
    </row>
    <row r="263" spans="1:4" ht="122.25" customHeight="1" x14ac:dyDescent="0.25">
      <c r="A263" s="19">
        <f>INSCRITOS!P226</f>
        <v>0</v>
      </c>
      <c r="B263" s="8" t="b">
        <f t="shared" si="6"/>
        <v>0</v>
      </c>
      <c r="C263" s="10">
        <f>INSCRITOS!B226</f>
        <v>0</v>
      </c>
      <c r="D263" t="str">
        <f t="shared" si="7"/>
        <v>FALSO0/</v>
      </c>
    </row>
    <row r="264" spans="1:4" ht="122.25" customHeight="1" x14ac:dyDescent="0.25">
      <c r="A264" s="19">
        <f>INSCRITOS!P227</f>
        <v>0</v>
      </c>
      <c r="B264" s="8" t="b">
        <f t="shared" si="6"/>
        <v>0</v>
      </c>
      <c r="C264" s="10">
        <f>INSCRITOS!B227</f>
        <v>0</v>
      </c>
      <c r="D264" t="str">
        <f t="shared" si="7"/>
        <v>FALSO0/</v>
      </c>
    </row>
    <row r="265" spans="1:4" ht="122.25" customHeight="1" x14ac:dyDescent="0.25">
      <c r="A265" s="19">
        <f>INSCRITOS!P228</f>
        <v>0</v>
      </c>
      <c r="B265" s="8" t="b">
        <f t="shared" si="6"/>
        <v>0</v>
      </c>
      <c r="C265" s="10">
        <f>INSCRITOS!B228</f>
        <v>0</v>
      </c>
      <c r="D265" t="str">
        <f t="shared" si="7"/>
        <v>FALSO0/</v>
      </c>
    </row>
    <row r="266" spans="1:4" ht="122.25" customHeight="1" x14ac:dyDescent="0.25">
      <c r="A266" s="19">
        <f>INSCRITOS!P229</f>
        <v>0</v>
      </c>
      <c r="B266" s="8" t="b">
        <f t="shared" si="6"/>
        <v>0</v>
      </c>
      <c r="C266" s="10">
        <f>INSCRITOS!B229</f>
        <v>0</v>
      </c>
      <c r="D266" t="str">
        <f t="shared" si="7"/>
        <v>FALSO0/</v>
      </c>
    </row>
    <row r="267" spans="1:4" ht="122.25" customHeight="1" x14ac:dyDescent="0.25">
      <c r="A267" s="19">
        <f>INSCRITOS!P230</f>
        <v>0</v>
      </c>
      <c r="B267" s="8" t="b">
        <f t="shared" si="6"/>
        <v>0</v>
      </c>
      <c r="C267" s="10">
        <f>INSCRITOS!B230</f>
        <v>0</v>
      </c>
      <c r="D267" t="str">
        <f t="shared" si="7"/>
        <v>FALSO0/</v>
      </c>
    </row>
    <row r="268" spans="1:4" ht="122.25" customHeight="1" x14ac:dyDescent="0.25">
      <c r="A268" s="19">
        <f>INSCRITOS!P231</f>
        <v>0</v>
      </c>
      <c r="B268" s="8" t="b">
        <f t="shared" si="6"/>
        <v>0</v>
      </c>
      <c r="C268" s="10">
        <f>INSCRITOS!B231</f>
        <v>0</v>
      </c>
      <c r="D268" t="str">
        <f t="shared" si="7"/>
        <v>FALSO0/</v>
      </c>
    </row>
    <row r="269" spans="1:4" ht="122.25" customHeight="1" x14ac:dyDescent="0.25">
      <c r="A269" s="19">
        <f>INSCRITOS!P232</f>
        <v>0</v>
      </c>
      <c r="B269" s="8" t="b">
        <f t="shared" si="6"/>
        <v>0</v>
      </c>
      <c r="C269" s="10">
        <f>INSCRITOS!B232</f>
        <v>0</v>
      </c>
      <c r="D269" t="str">
        <f t="shared" si="7"/>
        <v>FALSO0/</v>
      </c>
    </row>
    <row r="270" spans="1:4" ht="122.25" customHeight="1" x14ac:dyDescent="0.25">
      <c r="A270" s="19">
        <f>INSCRITOS!P233</f>
        <v>0</v>
      </c>
      <c r="B270" s="8" t="b">
        <f t="shared" si="6"/>
        <v>0</v>
      </c>
      <c r="C270" s="10">
        <f>INSCRITOS!B233</f>
        <v>0</v>
      </c>
      <c r="D270" t="str">
        <f t="shared" si="7"/>
        <v>FALSO0/</v>
      </c>
    </row>
    <row r="271" spans="1:4" ht="122.25" customHeight="1" x14ac:dyDescent="0.25">
      <c r="A271" s="19">
        <f>INSCRITOS!P234</f>
        <v>0</v>
      </c>
      <c r="B271" s="8" t="b">
        <f t="shared" si="6"/>
        <v>0</v>
      </c>
      <c r="C271" s="10">
        <f>INSCRITOS!B234</f>
        <v>0</v>
      </c>
      <c r="D271" t="str">
        <f t="shared" si="7"/>
        <v>FALSO0/</v>
      </c>
    </row>
    <row r="272" spans="1:4" ht="122.25" customHeight="1" x14ac:dyDescent="0.25">
      <c r="A272" s="19">
        <f>INSCRITOS!P235</f>
        <v>0</v>
      </c>
      <c r="B272" s="8" t="b">
        <f t="shared" si="6"/>
        <v>0</v>
      </c>
      <c r="C272" s="10">
        <f>INSCRITOS!B235</f>
        <v>0</v>
      </c>
      <c r="D272" t="str">
        <f t="shared" si="7"/>
        <v>FALSO0/</v>
      </c>
    </row>
    <row r="273" spans="1:4" ht="122.25" customHeight="1" x14ac:dyDescent="0.25">
      <c r="A273" s="19">
        <f>INSCRITOS!P236</f>
        <v>0</v>
      </c>
      <c r="B273" s="8" t="b">
        <f t="shared" si="6"/>
        <v>0</v>
      </c>
      <c r="C273" s="10">
        <f>INSCRITOS!B236</f>
        <v>0</v>
      </c>
      <c r="D273" t="str">
        <f t="shared" si="7"/>
        <v>FALSO0/</v>
      </c>
    </row>
    <row r="274" spans="1:4" ht="122.25" customHeight="1" x14ac:dyDescent="0.25">
      <c r="A274" s="19">
        <f>INSCRITOS!P237</f>
        <v>0</v>
      </c>
      <c r="B274" s="8" t="b">
        <f t="shared" si="6"/>
        <v>0</v>
      </c>
      <c r="C274" s="10">
        <f>INSCRITOS!B237</f>
        <v>0</v>
      </c>
      <c r="D274" t="str">
        <f t="shared" si="7"/>
        <v>FALSO0/</v>
      </c>
    </row>
    <row r="275" spans="1:4" ht="122.25" customHeight="1" x14ac:dyDescent="0.25">
      <c r="A275" s="19">
        <f>INSCRITOS!P238</f>
        <v>0</v>
      </c>
      <c r="B275" s="8" t="b">
        <f t="shared" si="6"/>
        <v>0</v>
      </c>
      <c r="C275" s="10">
        <f>INSCRITOS!B238</f>
        <v>0</v>
      </c>
      <c r="D275" t="str">
        <f t="shared" si="7"/>
        <v>FALSO0/</v>
      </c>
    </row>
    <row r="276" spans="1:4" ht="122.25" customHeight="1" x14ac:dyDescent="0.25">
      <c r="A276" s="19">
        <f>INSCRITOS!P239</f>
        <v>0</v>
      </c>
      <c r="B276" s="8" t="b">
        <f t="shared" si="6"/>
        <v>0</v>
      </c>
      <c r="C276" s="10">
        <f>INSCRITOS!B239</f>
        <v>0</v>
      </c>
      <c r="D276" t="str">
        <f t="shared" si="7"/>
        <v>FALSO0/</v>
      </c>
    </row>
    <row r="277" spans="1:4" ht="122.25" customHeight="1" x14ac:dyDescent="0.25">
      <c r="A277" s="19">
        <f>INSCRITOS!P240</f>
        <v>0</v>
      </c>
      <c r="B277" s="8" t="b">
        <f t="shared" si="6"/>
        <v>0</v>
      </c>
      <c r="C277" s="10">
        <f>INSCRITOS!B240</f>
        <v>0</v>
      </c>
      <c r="D277" t="str">
        <f t="shared" si="7"/>
        <v>FALSO0/</v>
      </c>
    </row>
    <row r="278" spans="1:4" ht="122.25" customHeight="1" x14ac:dyDescent="0.25">
      <c r="A278" s="19">
        <f>INSCRITOS!P241</f>
        <v>0</v>
      </c>
      <c r="B278" s="8" t="b">
        <f t="shared" si="6"/>
        <v>0</v>
      </c>
      <c r="C278" s="10">
        <f>INSCRITOS!B241</f>
        <v>0</v>
      </c>
      <c r="D278" t="str">
        <f t="shared" si="7"/>
        <v>FALSO0/</v>
      </c>
    </row>
    <row r="279" spans="1:4" ht="122.25" customHeight="1" x14ac:dyDescent="0.25">
      <c r="A279" s="19">
        <f>INSCRITOS!P242</f>
        <v>0</v>
      </c>
      <c r="B279" s="8" t="b">
        <f t="shared" si="6"/>
        <v>0</v>
      </c>
      <c r="C279" s="10">
        <f>INSCRITOS!B242</f>
        <v>0</v>
      </c>
      <c r="D279" t="str">
        <f t="shared" si="7"/>
        <v>FALSO0/</v>
      </c>
    </row>
    <row r="280" spans="1:4" ht="122.25" customHeight="1" x14ac:dyDescent="0.25">
      <c r="A280" s="19">
        <f>INSCRITOS!P243</f>
        <v>0</v>
      </c>
      <c r="B280" s="8" t="b">
        <f t="shared" si="6"/>
        <v>0</v>
      </c>
      <c r="C280" s="10">
        <f>INSCRITOS!B243</f>
        <v>0</v>
      </c>
      <c r="D280" t="str">
        <f t="shared" si="7"/>
        <v>FALSO0/</v>
      </c>
    </row>
    <row r="281" spans="1:4" ht="122.25" customHeight="1" x14ac:dyDescent="0.25">
      <c r="A281" s="19">
        <f>INSCRITOS!P244</f>
        <v>0</v>
      </c>
      <c r="B281" s="8" t="b">
        <f t="shared" si="6"/>
        <v>0</v>
      </c>
      <c r="C281" s="10">
        <f>INSCRITOS!B244</f>
        <v>0</v>
      </c>
      <c r="D281" t="str">
        <f t="shared" si="7"/>
        <v>FALSO0/</v>
      </c>
    </row>
    <row r="282" spans="1:4" ht="122.25" customHeight="1" x14ac:dyDescent="0.25">
      <c r="A282" s="19">
        <f>INSCRITOS!P245</f>
        <v>0</v>
      </c>
      <c r="B282" s="8" t="b">
        <f t="shared" si="6"/>
        <v>0</v>
      </c>
      <c r="C282" s="10">
        <f>INSCRITOS!B245</f>
        <v>0</v>
      </c>
      <c r="D282" t="str">
        <f t="shared" si="7"/>
        <v>FALSO0/</v>
      </c>
    </row>
    <row r="283" spans="1:4" ht="122.25" customHeight="1" x14ac:dyDescent="0.25">
      <c r="A283" s="19">
        <f>INSCRITOS!P246</f>
        <v>0</v>
      </c>
      <c r="B283" s="8" t="b">
        <f t="shared" si="6"/>
        <v>0</v>
      </c>
      <c r="C283" s="10">
        <f>INSCRITOS!B246</f>
        <v>0</v>
      </c>
      <c r="D283" t="str">
        <f t="shared" si="7"/>
        <v>FALSO0/</v>
      </c>
    </row>
    <row r="284" spans="1:4" ht="122.25" customHeight="1" x14ac:dyDescent="0.25">
      <c r="A284" s="19">
        <f>INSCRITOS!P247</f>
        <v>0</v>
      </c>
      <c r="B284" s="8" t="b">
        <f t="shared" si="6"/>
        <v>0</v>
      </c>
      <c r="C284" s="10">
        <f>INSCRITOS!B247</f>
        <v>0</v>
      </c>
      <c r="D284" t="str">
        <f t="shared" si="7"/>
        <v>FALSO0/</v>
      </c>
    </row>
    <row r="285" spans="1:4" ht="122.25" customHeight="1" x14ac:dyDescent="0.25">
      <c r="A285" s="19">
        <f>INSCRITOS!P248</f>
        <v>0</v>
      </c>
      <c r="B285" s="8" t="b">
        <f t="shared" si="6"/>
        <v>0</v>
      </c>
      <c r="C285" s="10">
        <f>INSCRITOS!B248</f>
        <v>0</v>
      </c>
      <c r="D285" t="str">
        <f t="shared" si="7"/>
        <v>FALSO0/</v>
      </c>
    </row>
    <row r="286" spans="1:4" ht="122.25" customHeight="1" x14ac:dyDescent="0.25">
      <c r="A286" s="19">
        <f>INSCRITOS!P249</f>
        <v>0</v>
      </c>
      <c r="B286" s="8" t="b">
        <f t="shared" si="6"/>
        <v>0</v>
      </c>
      <c r="C286" s="10">
        <f>INSCRITOS!B249</f>
        <v>0</v>
      </c>
      <c r="D286" t="str">
        <f t="shared" si="7"/>
        <v>FALSO0/</v>
      </c>
    </row>
    <row r="287" spans="1:4" ht="122.25" customHeight="1" x14ac:dyDescent="0.25">
      <c r="A287" s="19">
        <f>INSCRITOS!P250</f>
        <v>0</v>
      </c>
      <c r="B287" s="8" t="b">
        <f t="shared" si="6"/>
        <v>0</v>
      </c>
      <c r="C287" s="10">
        <f>INSCRITOS!B250</f>
        <v>0</v>
      </c>
      <c r="D287" t="str">
        <f t="shared" si="7"/>
        <v>FALSO0/</v>
      </c>
    </row>
    <row r="288" spans="1:4" ht="122.25" customHeight="1" x14ac:dyDescent="0.25">
      <c r="A288" s="19">
        <f>INSCRITOS!P251</f>
        <v>0</v>
      </c>
      <c r="B288" s="8" t="b">
        <f t="shared" si="6"/>
        <v>0</v>
      </c>
      <c r="C288" s="10">
        <f>INSCRITOS!B251</f>
        <v>0</v>
      </c>
      <c r="D288" t="str">
        <f t="shared" si="7"/>
        <v>FALSO0/</v>
      </c>
    </row>
    <row r="289" spans="1:4" ht="122.25" customHeight="1" x14ac:dyDescent="0.25">
      <c r="A289" s="19">
        <f>INSCRITOS!P252</f>
        <v>0</v>
      </c>
      <c r="B289" s="8" t="b">
        <f t="shared" si="6"/>
        <v>0</v>
      </c>
      <c r="C289" s="10">
        <f>INSCRITOS!B252</f>
        <v>0</v>
      </c>
      <c r="D289" t="str">
        <f t="shared" si="7"/>
        <v>FALSO0/</v>
      </c>
    </row>
    <row r="290" spans="1:4" ht="122.25" customHeight="1" x14ac:dyDescent="0.25">
      <c r="A290" s="19">
        <f>INSCRITOS!P253</f>
        <v>0</v>
      </c>
      <c r="B290" s="8" t="b">
        <f t="shared" si="6"/>
        <v>0</v>
      </c>
      <c r="C290" s="10">
        <f>INSCRITOS!B253</f>
        <v>0</v>
      </c>
      <c r="D290" t="str">
        <f t="shared" si="7"/>
        <v>FALSO0/</v>
      </c>
    </row>
    <row r="291" spans="1:4" ht="122.25" customHeight="1" x14ac:dyDescent="0.25">
      <c r="A291" s="19">
        <f>INSCRITOS!P254</f>
        <v>0</v>
      </c>
      <c r="B291" s="8" t="b">
        <f t="shared" si="6"/>
        <v>0</v>
      </c>
      <c r="C291" s="10">
        <f>INSCRITOS!B254</f>
        <v>0</v>
      </c>
      <c r="D291" t="str">
        <f t="shared" si="7"/>
        <v>FALSO0/</v>
      </c>
    </row>
    <row r="292" spans="1:4" ht="122.25" customHeight="1" x14ac:dyDescent="0.25">
      <c r="A292" s="19">
        <f>INSCRITOS!P255</f>
        <v>0</v>
      </c>
      <c r="B292" s="8" t="b">
        <f t="shared" si="6"/>
        <v>0</v>
      </c>
      <c r="C292" s="10">
        <f>INSCRITOS!B255</f>
        <v>0</v>
      </c>
      <c r="D292" t="str">
        <f t="shared" si="7"/>
        <v>FALSO0/</v>
      </c>
    </row>
    <row r="293" spans="1:4" ht="122.25" customHeight="1" x14ac:dyDescent="0.25">
      <c r="A293" s="19">
        <f>INSCRITOS!P256</f>
        <v>0</v>
      </c>
      <c r="B293" s="8" t="b">
        <f t="shared" si="6"/>
        <v>0</v>
      </c>
      <c r="C293" s="10">
        <f>INSCRITOS!B256</f>
        <v>0</v>
      </c>
      <c r="D293" t="str">
        <f t="shared" si="7"/>
        <v>FALSO0/</v>
      </c>
    </row>
    <row r="294" spans="1:4" ht="122.25" customHeight="1" x14ac:dyDescent="0.25">
      <c r="A294" s="19">
        <f>INSCRITOS!P257</f>
        <v>0</v>
      </c>
      <c r="B294" s="8" t="b">
        <f t="shared" si="6"/>
        <v>0</v>
      </c>
      <c r="C294" s="10">
        <f>INSCRITOS!B257</f>
        <v>0</v>
      </c>
      <c r="D294" t="str">
        <f t="shared" si="7"/>
        <v>FALSO0/</v>
      </c>
    </row>
    <row r="295" spans="1:4" ht="122.25" customHeight="1" x14ac:dyDescent="0.25">
      <c r="A295" s="19">
        <f>INSCRITOS!P258</f>
        <v>0</v>
      </c>
      <c r="B295" s="8" t="b">
        <f t="shared" si="6"/>
        <v>0</v>
      </c>
      <c r="C295" s="10">
        <f>INSCRITOS!B258</f>
        <v>0</v>
      </c>
      <c r="D295" t="str">
        <f t="shared" si="7"/>
        <v>FALSO0/</v>
      </c>
    </row>
    <row r="296" spans="1:4" ht="122.25" customHeight="1" x14ac:dyDescent="0.25">
      <c r="A296" s="19">
        <f>INSCRITOS!P259</f>
        <v>0</v>
      </c>
      <c r="B296" s="8" t="b">
        <f t="shared" ref="B296:B355" si="8">IF(A296=$H$19,"https://centrodecapacitaciondelsur.com/o-v-e-",IF(A296=$H$2,"https://centrodecapacitaciondelsur.com/aph-",IF(A296=$H$3,"https://centrodecapacitaciondelsur.com/manejo-del-duelo-",IF(A296=$H$4,"https://centrodecapacitaciondelsur.com/victimas-por-agentes-quimicos-",IF(A296=$H$5,"https://centrodecapacitaciondelsur.com/primeros-auxilios-",IF(A296=$H$6,"https://centrodecapacitaciondelsur.com/uci-",IF(A296=$H$8,"https://centrodecapacitaciondelsur.com/humanizacion-",IF(A296=$H$11,"https://centrodecapacitaciondelsur.com/soporte-cardiovascular-avanzado-",IF(A296=$H$12,"https://centrodecapacitaciondelsur.com/camillero-",IF(A296=$H$13,"https://centrodecapacitaciondelsur.com/toma-de-muestras-y-lab-clinico-",IF(A296=$H$14,"https://centrodecapacitaciondelsur.com/soporte-basico-de-vida-",IF(A296=$H$15,"https://centrodecapacitaciondelsur.com/violencia-sexual-",IF(A296=$H$17,"https://centrodecapacitaciondelsur.com/aiepi-",IF(A296=$H$18,"https://centrodecapacitaciondelsur.com/adm-medicamentos-canalizacion-inyectologia-",IF(A296=$H$25,"https://centrodecapacitaciondelsur.com/manejo-del-dolor-y-cuidados-paliativos-",IF(A296=$H$26,"https://centrodecapacitaciondelsur.com/toma-de-muestras-y-lab-clinico-poct-",IF(A296=$H$27,"https://centrodecapacitaciondelsur.com/implante-subdermico-",IF(A296=$H$21,"https://centrodecapacitaciondelsur.com/donante-de-organos-",IF(A296=$H$30,"https://centrodecapacitaciondelsur.com/atencion-a-victimas-del-conflicto-armado-",IF(A296=$H$20,"https://centrodecapacitaciondelsur.com/iami-",IF(A296=$H$22,"https://centrodecapacitaciondelsur.com/violencia-de-genero-",IF(A296=$H$23,"https://centrodecapacitaciondelsur.com/igualdad-de-genero-",IF(A296=$H$16,"https://centrodecapacitaciondelsur.com/pai-",IF(A296=$H$31,"https://centrodecapacitaciondelsur.com/manipulacion-de-alimentos-",IF(A296=$H$32,"https://centrodecapacitaciondelsur.com/atencion-a-personas-con-discapacidad-",IF(A296=$H$33,"https://centrodecapacitaciondelsur.com/atencion-al-adulto-mayor-",IF(A296=$H$34,"https://centrodecapacitaciondelsur.com/manejo-defensivo-",IF(A296=$H$35,"https://centrodecapacitaciondelsur.com/soporte-basico-neonatal-",IF(A296=$H$36,"https://centrodecapacitaciondelsur.com/seguridad-del-paciente-",IF(A296=$H$37,"https://centrodecapacitaciondelsur.com/manejo-de-residuos-hospitalarios-",IF(A296=$H$10,"https://centrodecapacitaciondelsur.com/toma-de-citologia-",IF(A296=$H$29,"https://centrodecapacitaciondelsur.com/primeros-aux-psicologicos-"))))))))))))))))))))))))))))))))</f>
        <v>0</v>
      </c>
      <c r="C296" s="10">
        <f>INSCRITOS!B259</f>
        <v>0</v>
      </c>
      <c r="D296" t="str">
        <f t="shared" ref="D296:D355" si="9">CONCATENATE(B296,C296,"/")</f>
        <v>FALSO0/</v>
      </c>
    </row>
    <row r="297" spans="1:4" ht="122.25" customHeight="1" x14ac:dyDescent="0.25">
      <c r="A297" s="19">
        <f>INSCRITOS!P260</f>
        <v>0</v>
      </c>
      <c r="B297" s="8" t="b">
        <f t="shared" si="8"/>
        <v>0</v>
      </c>
      <c r="C297" s="10">
        <f>INSCRITOS!B260</f>
        <v>0</v>
      </c>
      <c r="D297" t="str">
        <f t="shared" si="9"/>
        <v>FALSO0/</v>
      </c>
    </row>
    <row r="298" spans="1:4" ht="122.25" customHeight="1" x14ac:dyDescent="0.25">
      <c r="A298" s="19">
        <f>INSCRITOS!P261</f>
        <v>0</v>
      </c>
      <c r="B298" s="8" t="b">
        <f t="shared" si="8"/>
        <v>0</v>
      </c>
      <c r="C298" s="10">
        <f>INSCRITOS!B261</f>
        <v>0</v>
      </c>
      <c r="D298" t="str">
        <f t="shared" si="9"/>
        <v>FALSO0/</v>
      </c>
    </row>
    <row r="299" spans="1:4" ht="122.25" customHeight="1" x14ac:dyDescent="0.25">
      <c r="A299" s="19">
        <f>INSCRITOS!P262</f>
        <v>0</v>
      </c>
      <c r="B299" s="8" t="b">
        <f t="shared" si="8"/>
        <v>0</v>
      </c>
      <c r="C299" s="10">
        <f>INSCRITOS!B262</f>
        <v>0</v>
      </c>
      <c r="D299" t="str">
        <f t="shared" si="9"/>
        <v>FALSO0/</v>
      </c>
    </row>
    <row r="300" spans="1:4" ht="122.25" customHeight="1" x14ac:dyDescent="0.25">
      <c r="A300" s="19">
        <f>INSCRITOS!P263</f>
        <v>0</v>
      </c>
      <c r="B300" s="8" t="b">
        <f t="shared" si="8"/>
        <v>0</v>
      </c>
      <c r="C300" s="10">
        <f>INSCRITOS!B263</f>
        <v>0</v>
      </c>
      <c r="D300" t="str">
        <f t="shared" si="9"/>
        <v>FALSO0/</v>
      </c>
    </row>
    <row r="301" spans="1:4" ht="122.25" customHeight="1" x14ac:dyDescent="0.25">
      <c r="A301" s="19">
        <f>INSCRITOS!P264</f>
        <v>0</v>
      </c>
      <c r="B301" s="8" t="b">
        <f t="shared" si="8"/>
        <v>0</v>
      </c>
      <c r="C301" s="10">
        <f>INSCRITOS!B264</f>
        <v>0</v>
      </c>
      <c r="D301" t="str">
        <f t="shared" si="9"/>
        <v>FALSO0/</v>
      </c>
    </row>
    <row r="302" spans="1:4" ht="122.25" customHeight="1" x14ac:dyDescent="0.25">
      <c r="A302" s="19">
        <f>INSCRITOS!P265</f>
        <v>0</v>
      </c>
      <c r="B302" s="8" t="b">
        <f t="shared" si="8"/>
        <v>0</v>
      </c>
      <c r="C302" s="10">
        <f>INSCRITOS!B265</f>
        <v>0</v>
      </c>
      <c r="D302" t="str">
        <f t="shared" si="9"/>
        <v>FALSO0/</v>
      </c>
    </row>
    <row r="303" spans="1:4" ht="122.25" customHeight="1" x14ac:dyDescent="0.25">
      <c r="A303" s="19">
        <f>INSCRITOS!P266</f>
        <v>0</v>
      </c>
      <c r="B303" s="8" t="b">
        <f t="shared" si="8"/>
        <v>0</v>
      </c>
      <c r="C303" s="10">
        <f>INSCRITOS!B266</f>
        <v>0</v>
      </c>
      <c r="D303" t="str">
        <f t="shared" si="9"/>
        <v>FALSO0/</v>
      </c>
    </row>
    <row r="304" spans="1:4" ht="122.25" customHeight="1" x14ac:dyDescent="0.25">
      <c r="A304" s="19">
        <f>INSCRITOS!P267</f>
        <v>0</v>
      </c>
      <c r="B304" s="8" t="b">
        <f t="shared" si="8"/>
        <v>0</v>
      </c>
      <c r="C304" s="10">
        <f>INSCRITOS!B267</f>
        <v>0</v>
      </c>
      <c r="D304" t="str">
        <f t="shared" si="9"/>
        <v>FALSO0/</v>
      </c>
    </row>
    <row r="305" spans="1:4" ht="122.25" customHeight="1" x14ac:dyDescent="0.25">
      <c r="A305" s="19">
        <f>INSCRITOS!P268</f>
        <v>0</v>
      </c>
      <c r="B305" s="8" t="b">
        <f t="shared" si="8"/>
        <v>0</v>
      </c>
      <c r="C305" s="10">
        <f>INSCRITOS!B268</f>
        <v>0</v>
      </c>
      <c r="D305" t="str">
        <f t="shared" si="9"/>
        <v>FALSO0/</v>
      </c>
    </row>
    <row r="306" spans="1:4" ht="122.25" customHeight="1" x14ac:dyDescent="0.25">
      <c r="A306" s="19">
        <f>INSCRITOS!P269</f>
        <v>0</v>
      </c>
      <c r="B306" s="8" t="b">
        <f t="shared" si="8"/>
        <v>0</v>
      </c>
      <c r="C306" s="10">
        <f>INSCRITOS!B269</f>
        <v>0</v>
      </c>
      <c r="D306" t="str">
        <f t="shared" si="9"/>
        <v>FALSO0/</v>
      </c>
    </row>
    <row r="307" spans="1:4" ht="122.25" customHeight="1" x14ac:dyDescent="0.25">
      <c r="A307" s="19">
        <f>INSCRITOS!P270</f>
        <v>0</v>
      </c>
      <c r="B307" s="8" t="b">
        <f t="shared" si="8"/>
        <v>0</v>
      </c>
      <c r="C307" s="10">
        <f>INSCRITOS!B270</f>
        <v>0</v>
      </c>
      <c r="D307" t="str">
        <f t="shared" si="9"/>
        <v>FALSO0/</v>
      </c>
    </row>
    <row r="308" spans="1:4" ht="122.25" customHeight="1" x14ac:dyDescent="0.25">
      <c r="A308" s="19">
        <f>INSCRITOS!P271</f>
        <v>0</v>
      </c>
      <c r="B308" s="8" t="b">
        <f t="shared" si="8"/>
        <v>0</v>
      </c>
      <c r="C308" s="10">
        <f>INSCRITOS!B271</f>
        <v>0</v>
      </c>
      <c r="D308" t="str">
        <f t="shared" si="9"/>
        <v>FALSO0/</v>
      </c>
    </row>
    <row r="309" spans="1:4" ht="122.25" customHeight="1" x14ac:dyDescent="0.25">
      <c r="A309" s="19">
        <f>INSCRITOS!P272</f>
        <v>0</v>
      </c>
      <c r="B309" s="8" t="b">
        <f t="shared" si="8"/>
        <v>0</v>
      </c>
      <c r="C309" s="10">
        <f>INSCRITOS!B272</f>
        <v>0</v>
      </c>
      <c r="D309" t="str">
        <f t="shared" si="9"/>
        <v>FALSO0/</v>
      </c>
    </row>
    <row r="310" spans="1:4" ht="122.25" customHeight="1" x14ac:dyDescent="0.25">
      <c r="A310" s="19">
        <f>INSCRITOS!P273</f>
        <v>0</v>
      </c>
      <c r="B310" s="8" t="b">
        <f t="shared" si="8"/>
        <v>0</v>
      </c>
      <c r="C310" s="10">
        <f>INSCRITOS!B273</f>
        <v>0</v>
      </c>
      <c r="D310" t="str">
        <f t="shared" si="9"/>
        <v>FALSO0/</v>
      </c>
    </row>
    <row r="311" spans="1:4" ht="122.25" customHeight="1" x14ac:dyDescent="0.25">
      <c r="A311" s="19">
        <f>INSCRITOS!P274</f>
        <v>0</v>
      </c>
      <c r="B311" s="8" t="b">
        <f t="shared" si="8"/>
        <v>0</v>
      </c>
      <c r="C311" s="10">
        <f>INSCRITOS!B274</f>
        <v>0</v>
      </c>
      <c r="D311" t="str">
        <f t="shared" si="9"/>
        <v>FALSO0/</v>
      </c>
    </row>
    <row r="312" spans="1:4" ht="122.25" customHeight="1" x14ac:dyDescent="0.25">
      <c r="A312" s="19">
        <f>INSCRITOS!P275</f>
        <v>0</v>
      </c>
      <c r="B312" s="8" t="b">
        <f t="shared" si="8"/>
        <v>0</v>
      </c>
      <c r="C312" s="10">
        <f>INSCRITOS!B275</f>
        <v>0</v>
      </c>
      <c r="D312" t="str">
        <f t="shared" si="9"/>
        <v>FALSO0/</v>
      </c>
    </row>
    <row r="313" spans="1:4" ht="122.25" customHeight="1" x14ac:dyDescent="0.25">
      <c r="A313" s="19">
        <f>INSCRITOS!P276</f>
        <v>0</v>
      </c>
      <c r="B313" s="8" t="b">
        <f t="shared" si="8"/>
        <v>0</v>
      </c>
      <c r="C313" s="10">
        <f>INSCRITOS!B276</f>
        <v>0</v>
      </c>
      <c r="D313" t="str">
        <f t="shared" si="9"/>
        <v>FALSO0/</v>
      </c>
    </row>
    <row r="314" spans="1:4" ht="122.25" customHeight="1" x14ac:dyDescent="0.25">
      <c r="A314" s="19">
        <f>INSCRITOS!P277</f>
        <v>0</v>
      </c>
      <c r="B314" s="8" t="b">
        <f t="shared" si="8"/>
        <v>0</v>
      </c>
      <c r="C314" s="10">
        <f>INSCRITOS!B277</f>
        <v>0</v>
      </c>
      <c r="D314" t="str">
        <f t="shared" si="9"/>
        <v>FALSO0/</v>
      </c>
    </row>
    <row r="315" spans="1:4" ht="122.25" customHeight="1" x14ac:dyDescent="0.25">
      <c r="A315" s="19">
        <f>INSCRITOS!P278</f>
        <v>0</v>
      </c>
      <c r="B315" s="8" t="b">
        <f t="shared" si="8"/>
        <v>0</v>
      </c>
      <c r="C315" s="10">
        <f>INSCRITOS!B278</f>
        <v>0</v>
      </c>
      <c r="D315" t="str">
        <f t="shared" si="9"/>
        <v>FALSO0/</v>
      </c>
    </row>
    <row r="316" spans="1:4" ht="122.25" customHeight="1" x14ac:dyDescent="0.25">
      <c r="A316" s="19">
        <f>INSCRITOS!P279</f>
        <v>0</v>
      </c>
      <c r="B316" s="8" t="b">
        <f t="shared" si="8"/>
        <v>0</v>
      </c>
      <c r="C316" s="10">
        <f>INSCRITOS!B279</f>
        <v>0</v>
      </c>
      <c r="D316" t="str">
        <f t="shared" si="9"/>
        <v>FALSO0/</v>
      </c>
    </row>
    <row r="317" spans="1:4" ht="122.25" customHeight="1" x14ac:dyDescent="0.25">
      <c r="A317" s="19">
        <f>INSCRITOS!P280</f>
        <v>0</v>
      </c>
      <c r="B317" s="8" t="b">
        <f t="shared" si="8"/>
        <v>0</v>
      </c>
      <c r="C317" s="10">
        <f>INSCRITOS!B280</f>
        <v>0</v>
      </c>
      <c r="D317" t="str">
        <f t="shared" si="9"/>
        <v>FALSO0/</v>
      </c>
    </row>
    <row r="318" spans="1:4" ht="122.25" customHeight="1" x14ac:dyDescent="0.25">
      <c r="A318" s="19">
        <f>INSCRITOS!P281</f>
        <v>0</v>
      </c>
      <c r="B318" s="8" t="b">
        <f t="shared" si="8"/>
        <v>0</v>
      </c>
      <c r="C318" s="10">
        <f>INSCRITOS!B281</f>
        <v>0</v>
      </c>
      <c r="D318" t="str">
        <f t="shared" si="9"/>
        <v>FALSO0/</v>
      </c>
    </row>
    <row r="319" spans="1:4" ht="122.25" customHeight="1" x14ac:dyDescent="0.25">
      <c r="A319" s="19">
        <f>INSCRITOS!P282</f>
        <v>0</v>
      </c>
      <c r="B319" s="8" t="b">
        <f t="shared" si="8"/>
        <v>0</v>
      </c>
      <c r="C319" s="10">
        <f>INSCRITOS!B282</f>
        <v>0</v>
      </c>
      <c r="D319" t="str">
        <f t="shared" si="9"/>
        <v>FALSO0/</v>
      </c>
    </row>
    <row r="320" spans="1:4" ht="122.25" customHeight="1" x14ac:dyDescent="0.25">
      <c r="A320" s="19">
        <f>INSCRITOS!P283</f>
        <v>0</v>
      </c>
      <c r="B320" s="8" t="b">
        <f t="shared" si="8"/>
        <v>0</v>
      </c>
      <c r="C320" s="10">
        <f>INSCRITOS!B283</f>
        <v>0</v>
      </c>
      <c r="D320" t="str">
        <f t="shared" si="9"/>
        <v>FALSO0/</v>
      </c>
    </row>
    <row r="321" spans="1:4" ht="122.25" customHeight="1" x14ac:dyDescent="0.25">
      <c r="A321" s="19">
        <f>INSCRITOS!P284</f>
        <v>0</v>
      </c>
      <c r="B321" s="8" t="b">
        <f t="shared" si="8"/>
        <v>0</v>
      </c>
      <c r="C321" s="10">
        <f>INSCRITOS!B284</f>
        <v>0</v>
      </c>
      <c r="D321" t="str">
        <f t="shared" si="9"/>
        <v>FALSO0/</v>
      </c>
    </row>
    <row r="322" spans="1:4" ht="122.25" customHeight="1" x14ac:dyDescent="0.25">
      <c r="A322" s="19">
        <f>INSCRITOS!P285</f>
        <v>0</v>
      </c>
      <c r="B322" s="8" t="b">
        <f t="shared" si="8"/>
        <v>0</v>
      </c>
      <c r="C322" s="10">
        <f>INSCRITOS!B285</f>
        <v>0</v>
      </c>
      <c r="D322" t="str">
        <f t="shared" si="9"/>
        <v>FALSO0/</v>
      </c>
    </row>
    <row r="323" spans="1:4" ht="122.25" customHeight="1" x14ac:dyDescent="0.25">
      <c r="A323" s="19">
        <f>INSCRITOS!P286</f>
        <v>0</v>
      </c>
      <c r="B323" s="8" t="b">
        <f t="shared" si="8"/>
        <v>0</v>
      </c>
      <c r="C323" s="10">
        <f>INSCRITOS!B286</f>
        <v>0</v>
      </c>
      <c r="D323" t="str">
        <f t="shared" si="9"/>
        <v>FALSO0/</v>
      </c>
    </row>
    <row r="324" spans="1:4" ht="122.25" customHeight="1" x14ac:dyDescent="0.25">
      <c r="A324" s="19">
        <f>INSCRITOS!P287</f>
        <v>0</v>
      </c>
      <c r="B324" s="8" t="b">
        <f t="shared" si="8"/>
        <v>0</v>
      </c>
      <c r="C324" s="10">
        <f>INSCRITOS!B287</f>
        <v>0</v>
      </c>
      <c r="D324" t="str">
        <f t="shared" si="9"/>
        <v>FALSO0/</v>
      </c>
    </row>
    <row r="325" spans="1:4" ht="122.25" customHeight="1" x14ac:dyDescent="0.25">
      <c r="A325" s="19">
        <f>INSCRITOS!P288</f>
        <v>0</v>
      </c>
      <c r="B325" s="8" t="b">
        <f t="shared" si="8"/>
        <v>0</v>
      </c>
      <c r="C325" s="10">
        <f>INSCRITOS!B288</f>
        <v>0</v>
      </c>
      <c r="D325" t="str">
        <f t="shared" si="9"/>
        <v>FALSO0/</v>
      </c>
    </row>
    <row r="326" spans="1:4" ht="122.25" customHeight="1" x14ac:dyDescent="0.25">
      <c r="A326" s="19">
        <f>INSCRITOS!P289</f>
        <v>0</v>
      </c>
      <c r="B326" s="8" t="b">
        <f t="shared" si="8"/>
        <v>0</v>
      </c>
      <c r="C326" s="10">
        <f>INSCRITOS!B289</f>
        <v>0</v>
      </c>
      <c r="D326" t="str">
        <f t="shared" si="9"/>
        <v>FALSO0/</v>
      </c>
    </row>
    <row r="327" spans="1:4" ht="122.25" customHeight="1" x14ac:dyDescent="0.25">
      <c r="A327" s="19">
        <f>INSCRITOS!P290</f>
        <v>0</v>
      </c>
      <c r="B327" s="8" t="b">
        <f t="shared" si="8"/>
        <v>0</v>
      </c>
      <c r="C327" s="10">
        <f>INSCRITOS!B290</f>
        <v>0</v>
      </c>
      <c r="D327" t="str">
        <f t="shared" si="9"/>
        <v>FALSO0/</v>
      </c>
    </row>
    <row r="328" spans="1:4" ht="122.25" customHeight="1" x14ac:dyDescent="0.25">
      <c r="A328" s="19">
        <f>INSCRITOS!P291</f>
        <v>0</v>
      </c>
      <c r="B328" s="8" t="b">
        <f t="shared" si="8"/>
        <v>0</v>
      </c>
      <c r="C328" s="10">
        <f>INSCRITOS!B291</f>
        <v>0</v>
      </c>
      <c r="D328" t="str">
        <f t="shared" si="9"/>
        <v>FALSO0/</v>
      </c>
    </row>
    <row r="329" spans="1:4" ht="122.25" customHeight="1" x14ac:dyDescent="0.25">
      <c r="A329" s="19">
        <f>INSCRITOS!P292</f>
        <v>0</v>
      </c>
      <c r="B329" s="8" t="b">
        <f t="shared" si="8"/>
        <v>0</v>
      </c>
      <c r="C329" s="10">
        <f>INSCRITOS!B292</f>
        <v>0</v>
      </c>
      <c r="D329" t="str">
        <f t="shared" si="9"/>
        <v>FALSO0/</v>
      </c>
    </row>
    <row r="330" spans="1:4" ht="122.25" customHeight="1" x14ac:dyDescent="0.25">
      <c r="A330" s="19">
        <f>INSCRITOS!P293</f>
        <v>0</v>
      </c>
      <c r="B330" s="8" t="b">
        <f t="shared" si="8"/>
        <v>0</v>
      </c>
      <c r="C330" s="10">
        <f>INSCRITOS!B293</f>
        <v>0</v>
      </c>
      <c r="D330" t="str">
        <f t="shared" si="9"/>
        <v>FALSO0/</v>
      </c>
    </row>
    <row r="331" spans="1:4" ht="122.25" customHeight="1" x14ac:dyDescent="0.25">
      <c r="A331" s="19">
        <f>INSCRITOS!P294</f>
        <v>0</v>
      </c>
      <c r="B331" s="8" t="b">
        <f t="shared" si="8"/>
        <v>0</v>
      </c>
      <c r="C331" s="10">
        <f>INSCRITOS!B294</f>
        <v>0</v>
      </c>
      <c r="D331" t="str">
        <f t="shared" si="9"/>
        <v>FALSO0/</v>
      </c>
    </row>
    <row r="332" spans="1:4" ht="122.25" customHeight="1" x14ac:dyDescent="0.25">
      <c r="A332" s="19">
        <f>INSCRITOS!P295</f>
        <v>0</v>
      </c>
      <c r="B332" s="8" t="b">
        <f t="shared" si="8"/>
        <v>0</v>
      </c>
      <c r="C332" s="10">
        <f>INSCRITOS!B295</f>
        <v>0</v>
      </c>
      <c r="D332" t="str">
        <f t="shared" si="9"/>
        <v>FALSO0/</v>
      </c>
    </row>
    <row r="333" spans="1:4" ht="122.25" customHeight="1" x14ac:dyDescent="0.25">
      <c r="A333" s="19">
        <f>INSCRITOS!P296</f>
        <v>0</v>
      </c>
      <c r="B333" s="8" t="b">
        <f t="shared" si="8"/>
        <v>0</v>
      </c>
      <c r="C333" s="10">
        <f>INSCRITOS!B296</f>
        <v>0</v>
      </c>
      <c r="D333" t="str">
        <f t="shared" si="9"/>
        <v>FALSO0/</v>
      </c>
    </row>
    <row r="334" spans="1:4" ht="122.25" customHeight="1" x14ac:dyDescent="0.25">
      <c r="A334" s="19">
        <f>INSCRITOS!P297</f>
        <v>0</v>
      </c>
      <c r="B334" s="8" t="b">
        <f t="shared" si="8"/>
        <v>0</v>
      </c>
      <c r="C334" s="10">
        <f>INSCRITOS!B297</f>
        <v>0</v>
      </c>
      <c r="D334" t="str">
        <f t="shared" si="9"/>
        <v>FALSO0/</v>
      </c>
    </row>
    <row r="335" spans="1:4" ht="122.25" customHeight="1" x14ac:dyDescent="0.25">
      <c r="A335" s="19">
        <f>INSCRITOS!P298</f>
        <v>0</v>
      </c>
      <c r="B335" s="8" t="b">
        <f t="shared" si="8"/>
        <v>0</v>
      </c>
      <c r="C335" s="10">
        <f>INSCRITOS!B298</f>
        <v>0</v>
      </c>
      <c r="D335" t="str">
        <f t="shared" si="9"/>
        <v>FALSO0/</v>
      </c>
    </row>
    <row r="336" spans="1:4" ht="122.25" customHeight="1" x14ac:dyDescent="0.25">
      <c r="A336" s="19">
        <f>INSCRITOS!P299</f>
        <v>0</v>
      </c>
      <c r="B336" s="8" t="b">
        <f t="shared" si="8"/>
        <v>0</v>
      </c>
      <c r="C336" s="10">
        <f>INSCRITOS!B299</f>
        <v>0</v>
      </c>
      <c r="D336" t="str">
        <f t="shared" si="9"/>
        <v>FALSO0/</v>
      </c>
    </row>
    <row r="337" spans="1:4" ht="122.25" customHeight="1" x14ac:dyDescent="0.25">
      <c r="A337" s="19">
        <f>INSCRITOS!P300</f>
        <v>0</v>
      </c>
      <c r="B337" s="8" t="b">
        <f t="shared" si="8"/>
        <v>0</v>
      </c>
      <c r="C337" s="10">
        <f>INSCRITOS!B300</f>
        <v>0</v>
      </c>
      <c r="D337" t="str">
        <f t="shared" si="9"/>
        <v>FALSO0/</v>
      </c>
    </row>
    <row r="338" spans="1:4" ht="122.25" customHeight="1" x14ac:dyDescent="0.25">
      <c r="A338" s="19">
        <f>INSCRITOS!P301</f>
        <v>0</v>
      </c>
      <c r="B338" s="8" t="b">
        <f t="shared" si="8"/>
        <v>0</v>
      </c>
      <c r="C338" s="10">
        <f>INSCRITOS!B301</f>
        <v>0</v>
      </c>
      <c r="D338" t="str">
        <f t="shared" si="9"/>
        <v>FALSO0/</v>
      </c>
    </row>
    <row r="339" spans="1:4" ht="122.25" customHeight="1" x14ac:dyDescent="0.25">
      <c r="A339" s="19">
        <f>INSCRITOS!P302</f>
        <v>0</v>
      </c>
      <c r="B339" s="8" t="b">
        <f t="shared" si="8"/>
        <v>0</v>
      </c>
      <c r="C339" s="10">
        <f>INSCRITOS!B302</f>
        <v>0</v>
      </c>
      <c r="D339" t="str">
        <f t="shared" si="9"/>
        <v>FALSO0/</v>
      </c>
    </row>
    <row r="340" spans="1:4" ht="122.25" customHeight="1" x14ac:dyDescent="0.25">
      <c r="A340" s="19">
        <f>INSCRITOS!P303</f>
        <v>0</v>
      </c>
      <c r="B340" s="8" t="b">
        <f t="shared" si="8"/>
        <v>0</v>
      </c>
      <c r="C340" s="10">
        <f>INSCRITOS!B303</f>
        <v>0</v>
      </c>
      <c r="D340" t="str">
        <f t="shared" si="9"/>
        <v>FALSO0/</v>
      </c>
    </row>
    <row r="341" spans="1:4" ht="122.25" customHeight="1" x14ac:dyDescent="0.25">
      <c r="A341" s="19">
        <f>INSCRITOS!P304</f>
        <v>0</v>
      </c>
      <c r="B341" s="8" t="b">
        <f t="shared" si="8"/>
        <v>0</v>
      </c>
      <c r="C341" s="10">
        <f>INSCRITOS!B304</f>
        <v>0</v>
      </c>
      <c r="D341" t="str">
        <f t="shared" si="9"/>
        <v>FALSO0/</v>
      </c>
    </row>
    <row r="342" spans="1:4" ht="122.25" customHeight="1" x14ac:dyDescent="0.25">
      <c r="A342" s="19">
        <f>INSCRITOS!P305</f>
        <v>0</v>
      </c>
      <c r="B342" s="8" t="b">
        <f t="shared" si="8"/>
        <v>0</v>
      </c>
      <c r="C342" s="10">
        <f>INSCRITOS!B305</f>
        <v>0</v>
      </c>
      <c r="D342" t="str">
        <f t="shared" si="9"/>
        <v>FALSO0/</v>
      </c>
    </row>
    <row r="343" spans="1:4" ht="122.25" customHeight="1" x14ac:dyDescent="0.25">
      <c r="A343" s="19">
        <f>INSCRITOS!P306</f>
        <v>0</v>
      </c>
      <c r="B343" s="8" t="b">
        <f t="shared" si="8"/>
        <v>0</v>
      </c>
      <c r="C343" s="10">
        <f>INSCRITOS!B306</f>
        <v>0</v>
      </c>
      <c r="D343" t="str">
        <f t="shared" si="9"/>
        <v>FALSO0/</v>
      </c>
    </row>
    <row r="344" spans="1:4" ht="122.25" customHeight="1" x14ac:dyDescent="0.25">
      <c r="A344" s="19">
        <f>INSCRITOS!P307</f>
        <v>0</v>
      </c>
      <c r="B344" s="8" t="b">
        <f t="shared" si="8"/>
        <v>0</v>
      </c>
      <c r="C344" s="10">
        <f>INSCRITOS!B307</f>
        <v>0</v>
      </c>
      <c r="D344" t="str">
        <f t="shared" si="9"/>
        <v>FALSO0/</v>
      </c>
    </row>
    <row r="345" spans="1:4" ht="122.25" customHeight="1" x14ac:dyDescent="0.25">
      <c r="A345" s="19">
        <f>INSCRITOS!P308</f>
        <v>0</v>
      </c>
      <c r="B345" s="8" t="b">
        <f t="shared" si="8"/>
        <v>0</v>
      </c>
      <c r="C345" s="10">
        <f>INSCRITOS!B308</f>
        <v>0</v>
      </c>
      <c r="D345" t="str">
        <f t="shared" si="9"/>
        <v>FALSO0/</v>
      </c>
    </row>
    <row r="346" spans="1:4" ht="122.25" customHeight="1" x14ac:dyDescent="0.25">
      <c r="A346" s="19">
        <f>INSCRITOS!P309</f>
        <v>0</v>
      </c>
      <c r="B346" s="8" t="b">
        <f t="shared" si="8"/>
        <v>0</v>
      </c>
      <c r="C346" s="10">
        <f>INSCRITOS!B309</f>
        <v>0</v>
      </c>
      <c r="D346" t="str">
        <f t="shared" si="9"/>
        <v>FALSO0/</v>
      </c>
    </row>
    <row r="347" spans="1:4" ht="122.25" customHeight="1" x14ac:dyDescent="0.25">
      <c r="A347" s="19">
        <f>INSCRITOS!P310</f>
        <v>0</v>
      </c>
      <c r="B347" s="8" t="b">
        <f t="shared" si="8"/>
        <v>0</v>
      </c>
      <c r="C347" s="10">
        <f>INSCRITOS!B310</f>
        <v>0</v>
      </c>
      <c r="D347" t="str">
        <f t="shared" si="9"/>
        <v>FALSO0/</v>
      </c>
    </row>
    <row r="348" spans="1:4" ht="122.25" customHeight="1" x14ac:dyDescent="0.25">
      <c r="A348" s="19">
        <f>INSCRITOS!P311</f>
        <v>0</v>
      </c>
      <c r="B348" s="8" t="b">
        <f t="shared" si="8"/>
        <v>0</v>
      </c>
      <c r="C348" s="10">
        <f>INSCRITOS!B311</f>
        <v>0</v>
      </c>
      <c r="D348" t="str">
        <f t="shared" si="9"/>
        <v>FALSO0/</v>
      </c>
    </row>
    <row r="349" spans="1:4" ht="122.25" customHeight="1" x14ac:dyDescent="0.25">
      <c r="A349" s="19">
        <f>INSCRITOS!P312</f>
        <v>0</v>
      </c>
      <c r="B349" s="8" t="b">
        <f t="shared" si="8"/>
        <v>0</v>
      </c>
      <c r="C349" s="10">
        <f>INSCRITOS!B312</f>
        <v>0</v>
      </c>
      <c r="D349" t="str">
        <f t="shared" si="9"/>
        <v>FALSO0/</v>
      </c>
    </row>
    <row r="350" spans="1:4" ht="122.25" customHeight="1" x14ac:dyDescent="0.25">
      <c r="A350" s="19">
        <f>INSCRITOS!P313</f>
        <v>0</v>
      </c>
      <c r="B350" s="8" t="b">
        <f t="shared" si="8"/>
        <v>0</v>
      </c>
      <c r="C350" s="10">
        <f>INSCRITOS!B313</f>
        <v>0</v>
      </c>
      <c r="D350" t="str">
        <f t="shared" si="9"/>
        <v>FALSO0/</v>
      </c>
    </row>
    <row r="351" spans="1:4" ht="122.25" customHeight="1" x14ac:dyDescent="0.25">
      <c r="A351" s="19">
        <f>INSCRITOS!P314</f>
        <v>0</v>
      </c>
      <c r="B351" s="8" t="b">
        <f t="shared" si="8"/>
        <v>0</v>
      </c>
      <c r="C351" s="10">
        <f>INSCRITOS!B314</f>
        <v>0</v>
      </c>
      <c r="D351" t="str">
        <f t="shared" si="9"/>
        <v>FALSO0/</v>
      </c>
    </row>
    <row r="352" spans="1:4" ht="122.25" customHeight="1" x14ac:dyDescent="0.25">
      <c r="A352" s="19">
        <f>INSCRITOS!P315</f>
        <v>0</v>
      </c>
      <c r="B352" s="8" t="b">
        <f t="shared" si="8"/>
        <v>0</v>
      </c>
      <c r="C352" s="10">
        <f>INSCRITOS!B315</f>
        <v>0</v>
      </c>
      <c r="D352" t="str">
        <f t="shared" si="9"/>
        <v>FALSO0/</v>
      </c>
    </row>
    <row r="353" spans="1:4" ht="122.25" customHeight="1" x14ac:dyDescent="0.25">
      <c r="A353" s="19">
        <f>INSCRITOS!P316</f>
        <v>0</v>
      </c>
      <c r="B353" s="8" t="b">
        <f t="shared" si="8"/>
        <v>0</v>
      </c>
      <c r="C353" s="10">
        <f>INSCRITOS!B316</f>
        <v>0</v>
      </c>
      <c r="D353" t="str">
        <f t="shared" si="9"/>
        <v>FALSO0/</v>
      </c>
    </row>
    <row r="354" spans="1:4" ht="122.25" customHeight="1" x14ac:dyDescent="0.25">
      <c r="A354" s="19">
        <f>INSCRITOS!P317</f>
        <v>0</v>
      </c>
      <c r="B354" s="8" t="b">
        <f t="shared" si="8"/>
        <v>0</v>
      </c>
      <c r="C354" s="10">
        <f>INSCRITOS!B317</f>
        <v>0</v>
      </c>
      <c r="D354" t="str">
        <f t="shared" si="9"/>
        <v>FALSO0/</v>
      </c>
    </row>
    <row r="355" spans="1:4" ht="122.25" customHeight="1" x14ac:dyDescent="0.25">
      <c r="A355" s="19">
        <f>INSCRITOS!P318</f>
        <v>0</v>
      </c>
      <c r="B355" s="8" t="b">
        <f t="shared" si="8"/>
        <v>0</v>
      </c>
      <c r="C355" s="10">
        <f>INSCRITOS!B318</f>
        <v>0</v>
      </c>
      <c r="D355" t="str">
        <f t="shared" si="9"/>
        <v>FALSO0/</v>
      </c>
    </row>
  </sheetData>
  <hyperlinks>
    <hyperlink ref="B39" r:id="rId1" display="https://centrodecapacitaciondelsur.com/soporte-basico-de-vida-" xr:uid="{00000000-0004-0000-0200-000000000000}"/>
    <hyperlink ref="D32" r:id="rId2" xr:uid="{00000000-0004-0000-0200-000001000000}"/>
    <hyperlink ref="B40" r:id="rId3" display="https://centrodecapacitaciondelsur.com/soporte-basico-de-vida-" xr:uid="{00000000-0004-0000-0200-000002000000}"/>
    <hyperlink ref="B41" r:id="rId4" display="https://centrodecapacitaciondelsur.com/soporte-basico-de-vida-" xr:uid="{00000000-0004-0000-0200-000003000000}"/>
    <hyperlink ref="B42" r:id="rId5" display="https://centrodecapacitaciondelsur.com/soporte-basico-de-vida-" xr:uid="{00000000-0004-0000-0200-000004000000}"/>
    <hyperlink ref="B43" r:id="rId6" display="https://centrodecapacitaciondelsur.com/soporte-basico-de-vida-" xr:uid="{00000000-0004-0000-0200-000005000000}"/>
    <hyperlink ref="B44" r:id="rId7" display="https://centrodecapacitaciondelsur.com/soporte-basico-de-vida-" xr:uid="{00000000-0004-0000-0200-000006000000}"/>
    <hyperlink ref="B45" r:id="rId8" display="https://centrodecapacitaciondelsur.com/soporte-basico-de-vida-" xr:uid="{00000000-0004-0000-0200-000007000000}"/>
    <hyperlink ref="B46" r:id="rId9" display="https://centrodecapacitaciondelsur.com/soporte-basico-de-vida-" xr:uid="{00000000-0004-0000-0200-000008000000}"/>
    <hyperlink ref="B47" r:id="rId10" display="https://centrodecapacitaciondelsur.com/soporte-basico-de-vida-" xr:uid="{00000000-0004-0000-0200-000009000000}"/>
    <hyperlink ref="B48" r:id="rId11" display="https://centrodecapacitaciondelsur.com/soporte-basico-de-vida-" xr:uid="{00000000-0004-0000-0200-00000A000000}"/>
    <hyperlink ref="B49" r:id="rId12" display="https://centrodecapacitaciondelsur.com/soporte-basico-de-vida-" xr:uid="{00000000-0004-0000-0200-00000B000000}"/>
    <hyperlink ref="B50" r:id="rId13" display="https://centrodecapacitaciondelsur.com/soporte-basico-de-vida-" xr:uid="{00000000-0004-0000-0200-00000C000000}"/>
    <hyperlink ref="B51" r:id="rId14" display="https://centrodecapacitaciondelsur.com/soporte-basico-de-vida-" xr:uid="{00000000-0004-0000-0200-00000D000000}"/>
    <hyperlink ref="B52" r:id="rId15" display="https://centrodecapacitaciondelsur.com/soporte-basico-de-vida-" xr:uid="{00000000-0004-0000-0200-00000E000000}"/>
    <hyperlink ref="B53" r:id="rId16" display="https://centrodecapacitaciondelsur.com/soporte-basico-de-vida-" xr:uid="{00000000-0004-0000-0200-00000F000000}"/>
    <hyperlink ref="B54" r:id="rId17" display="https://centrodecapacitaciondelsur.com/soporte-basico-de-vida-" xr:uid="{00000000-0004-0000-0200-000010000000}"/>
    <hyperlink ref="B55" r:id="rId18" display="https://centrodecapacitaciondelsur.com/soporte-basico-de-vida-" xr:uid="{00000000-0004-0000-0200-000011000000}"/>
    <hyperlink ref="B56" r:id="rId19" display="https://centrodecapacitaciondelsur.com/soporte-basico-de-vida-" xr:uid="{00000000-0004-0000-0200-000012000000}"/>
    <hyperlink ref="B57" r:id="rId20" display="https://centrodecapacitaciondelsur.com/soporte-basico-de-vida-" xr:uid="{00000000-0004-0000-0200-000013000000}"/>
    <hyperlink ref="B58" r:id="rId21" display="https://centrodecapacitaciondelsur.com/soporte-basico-de-vida-" xr:uid="{00000000-0004-0000-0200-000014000000}"/>
    <hyperlink ref="B59" r:id="rId22" display="https://centrodecapacitaciondelsur.com/soporte-basico-de-vida-" xr:uid="{00000000-0004-0000-0200-000015000000}"/>
    <hyperlink ref="B60" r:id="rId23" display="https://centrodecapacitaciondelsur.com/soporte-basico-de-vida-" xr:uid="{00000000-0004-0000-0200-000016000000}"/>
    <hyperlink ref="B61" r:id="rId24" display="https://centrodecapacitaciondelsur.com/soporte-basico-de-vida-" xr:uid="{00000000-0004-0000-0200-000017000000}"/>
    <hyperlink ref="B62" r:id="rId25" display="https://centrodecapacitaciondelsur.com/soporte-basico-de-vida-" xr:uid="{00000000-0004-0000-0200-000018000000}"/>
    <hyperlink ref="B63" r:id="rId26" display="https://centrodecapacitaciondelsur.com/soporte-basico-de-vida-" xr:uid="{00000000-0004-0000-0200-000019000000}"/>
    <hyperlink ref="B64" r:id="rId27" display="https://centrodecapacitaciondelsur.com/soporte-basico-de-vida-" xr:uid="{00000000-0004-0000-0200-00001A000000}"/>
    <hyperlink ref="B65" r:id="rId28" display="https://centrodecapacitaciondelsur.com/soporte-basico-de-vida-" xr:uid="{00000000-0004-0000-0200-00001B000000}"/>
    <hyperlink ref="B66" r:id="rId29" display="https://centrodecapacitaciondelsur.com/soporte-basico-de-vida-" xr:uid="{00000000-0004-0000-0200-00001C000000}"/>
    <hyperlink ref="B67" r:id="rId30" display="https://centrodecapacitaciondelsur.com/soporte-basico-de-vida-" xr:uid="{00000000-0004-0000-0200-00001D000000}"/>
    <hyperlink ref="B68" r:id="rId31" display="https://centrodecapacitaciondelsur.com/soporte-basico-de-vida-" xr:uid="{00000000-0004-0000-0200-00001E000000}"/>
    <hyperlink ref="B69" r:id="rId32" display="https://centrodecapacitaciondelsur.com/soporte-basico-de-vida-" xr:uid="{00000000-0004-0000-0200-00001F000000}"/>
    <hyperlink ref="B70" r:id="rId33" display="https://centrodecapacitaciondelsur.com/soporte-basico-de-vida-" xr:uid="{00000000-0004-0000-0200-000020000000}"/>
    <hyperlink ref="B71" r:id="rId34" display="https://centrodecapacitaciondelsur.com/soporte-basico-de-vida-" xr:uid="{00000000-0004-0000-0200-000021000000}"/>
    <hyperlink ref="B72" r:id="rId35" display="https://centrodecapacitaciondelsur.com/soporte-basico-de-vida-" xr:uid="{00000000-0004-0000-0200-000022000000}"/>
    <hyperlink ref="B73" r:id="rId36" display="https://centrodecapacitaciondelsur.com/soporte-basico-de-vida-" xr:uid="{00000000-0004-0000-0200-000023000000}"/>
    <hyperlink ref="B74" r:id="rId37" display="https://centrodecapacitaciondelsur.com/soporte-basico-de-vida-" xr:uid="{00000000-0004-0000-0200-000024000000}"/>
    <hyperlink ref="B75" r:id="rId38" display="https://centrodecapacitaciondelsur.com/soporte-basico-de-vida-" xr:uid="{00000000-0004-0000-0200-000025000000}"/>
    <hyperlink ref="B76" r:id="rId39" display="https://centrodecapacitaciondelsur.com/soporte-basico-de-vida-" xr:uid="{00000000-0004-0000-0200-000026000000}"/>
    <hyperlink ref="B77" r:id="rId40" display="https://centrodecapacitaciondelsur.com/soporte-basico-de-vida-" xr:uid="{00000000-0004-0000-0200-000027000000}"/>
    <hyperlink ref="B78" r:id="rId41" display="https://centrodecapacitaciondelsur.com/soporte-basico-de-vida-" xr:uid="{00000000-0004-0000-0200-000028000000}"/>
    <hyperlink ref="B79" r:id="rId42" display="https://centrodecapacitaciondelsur.com/soporte-basico-de-vida-" xr:uid="{00000000-0004-0000-0200-000029000000}"/>
    <hyperlink ref="B80" r:id="rId43" display="https://centrodecapacitaciondelsur.com/soporte-basico-de-vida-" xr:uid="{00000000-0004-0000-0200-00002A000000}"/>
    <hyperlink ref="B81" r:id="rId44" display="https://centrodecapacitaciondelsur.com/soporte-basico-de-vida-" xr:uid="{00000000-0004-0000-0200-00002B000000}"/>
    <hyperlink ref="B82" r:id="rId45" display="https://centrodecapacitaciondelsur.com/soporte-basico-de-vida-" xr:uid="{00000000-0004-0000-0200-00002C000000}"/>
    <hyperlink ref="B83" r:id="rId46" display="https://centrodecapacitaciondelsur.com/soporte-basico-de-vida-" xr:uid="{00000000-0004-0000-0200-00002D000000}"/>
    <hyperlink ref="B84" r:id="rId47" display="https://centrodecapacitaciondelsur.com/soporte-basico-de-vida-" xr:uid="{00000000-0004-0000-0200-00002E000000}"/>
    <hyperlink ref="B85" r:id="rId48" display="https://centrodecapacitaciondelsur.com/soporte-basico-de-vida-" xr:uid="{00000000-0004-0000-0200-00002F000000}"/>
    <hyperlink ref="B86" r:id="rId49" display="https://centrodecapacitaciondelsur.com/soporte-basico-de-vida-" xr:uid="{00000000-0004-0000-0200-000030000000}"/>
    <hyperlink ref="B87" r:id="rId50" display="https://centrodecapacitaciondelsur.com/soporte-basico-de-vida-" xr:uid="{00000000-0004-0000-0200-000031000000}"/>
    <hyperlink ref="B88" r:id="rId51" display="https://centrodecapacitaciondelsur.com/soporte-basico-de-vida-" xr:uid="{00000000-0004-0000-0200-000032000000}"/>
    <hyperlink ref="B89" r:id="rId52" display="https://centrodecapacitaciondelsur.com/soporte-basico-de-vida-" xr:uid="{00000000-0004-0000-0200-000033000000}"/>
    <hyperlink ref="B90" r:id="rId53" display="https://centrodecapacitaciondelsur.com/soporte-basico-de-vida-" xr:uid="{00000000-0004-0000-0200-000034000000}"/>
    <hyperlink ref="B91" r:id="rId54" display="https://centrodecapacitaciondelsur.com/soporte-basico-de-vida-" xr:uid="{00000000-0004-0000-0200-000035000000}"/>
    <hyperlink ref="B92" r:id="rId55" display="https://centrodecapacitaciondelsur.com/soporte-basico-de-vida-" xr:uid="{00000000-0004-0000-0200-000036000000}"/>
    <hyperlink ref="B93" r:id="rId56" display="https://centrodecapacitaciondelsur.com/soporte-basico-de-vida-" xr:uid="{00000000-0004-0000-0200-000037000000}"/>
    <hyperlink ref="B94" r:id="rId57" display="https://centrodecapacitaciondelsur.com/soporte-basico-de-vida-" xr:uid="{00000000-0004-0000-0200-000038000000}"/>
    <hyperlink ref="B95" r:id="rId58" display="https://centrodecapacitaciondelsur.com/soporte-basico-de-vida-" xr:uid="{00000000-0004-0000-0200-000039000000}"/>
    <hyperlink ref="B96" r:id="rId59" display="https://centrodecapacitaciondelsur.com/soporte-basico-de-vida-" xr:uid="{00000000-0004-0000-0200-00003A000000}"/>
    <hyperlink ref="B97" r:id="rId60" display="https://centrodecapacitaciondelsur.com/soporte-basico-de-vida-" xr:uid="{00000000-0004-0000-0200-00003B000000}"/>
    <hyperlink ref="B98" r:id="rId61" display="https://centrodecapacitaciondelsur.com/soporte-basico-de-vida-" xr:uid="{00000000-0004-0000-0200-00003C000000}"/>
    <hyperlink ref="B99" r:id="rId62" display="https://centrodecapacitaciondelsur.com/soporte-basico-de-vida-" xr:uid="{00000000-0004-0000-0200-00003D000000}"/>
    <hyperlink ref="B100" r:id="rId63" display="https://centrodecapacitaciondelsur.com/soporte-basico-de-vida-" xr:uid="{00000000-0004-0000-0200-00003E000000}"/>
    <hyperlink ref="B101" r:id="rId64" display="https://centrodecapacitaciondelsur.com/soporte-basico-de-vida-" xr:uid="{00000000-0004-0000-0200-00003F000000}"/>
    <hyperlink ref="B102" r:id="rId65" display="https://centrodecapacitaciondelsur.com/soporte-basico-de-vida-" xr:uid="{00000000-0004-0000-0200-000040000000}"/>
    <hyperlink ref="B103" r:id="rId66" display="https://centrodecapacitaciondelsur.com/soporte-basico-de-vida-" xr:uid="{00000000-0004-0000-0200-000041000000}"/>
    <hyperlink ref="B104" r:id="rId67" display="https://centrodecapacitaciondelsur.com/soporte-basico-de-vida-" xr:uid="{00000000-0004-0000-0200-000042000000}"/>
    <hyperlink ref="B105" r:id="rId68" display="https://centrodecapacitaciondelsur.com/soporte-basico-de-vida-" xr:uid="{00000000-0004-0000-0200-000043000000}"/>
    <hyperlink ref="B106" r:id="rId69" display="https://centrodecapacitaciondelsur.com/soporte-basico-de-vida-" xr:uid="{00000000-0004-0000-0200-000044000000}"/>
    <hyperlink ref="B107" r:id="rId70" display="https://centrodecapacitaciondelsur.com/soporte-basico-de-vida-" xr:uid="{00000000-0004-0000-0200-000045000000}"/>
    <hyperlink ref="B108" r:id="rId71" display="https://centrodecapacitaciondelsur.com/soporte-basico-de-vida-" xr:uid="{00000000-0004-0000-0200-000046000000}"/>
    <hyperlink ref="B109" r:id="rId72" display="https://centrodecapacitaciondelsur.com/soporte-basico-de-vida-" xr:uid="{00000000-0004-0000-0200-000047000000}"/>
    <hyperlink ref="B110" r:id="rId73" display="https://centrodecapacitaciondelsur.com/soporte-basico-de-vida-" xr:uid="{00000000-0004-0000-0200-000048000000}"/>
    <hyperlink ref="B111" r:id="rId74" display="https://centrodecapacitaciondelsur.com/soporte-basico-de-vida-" xr:uid="{00000000-0004-0000-0200-000049000000}"/>
    <hyperlink ref="B112" r:id="rId75" display="https://centrodecapacitaciondelsur.com/soporte-basico-de-vida-" xr:uid="{00000000-0004-0000-0200-00004A000000}"/>
    <hyperlink ref="B113" r:id="rId76" display="https://centrodecapacitaciondelsur.com/soporte-basico-de-vida-" xr:uid="{00000000-0004-0000-0200-00004B000000}"/>
    <hyperlink ref="B114" r:id="rId77" display="https://centrodecapacitaciondelsur.com/soporte-basico-de-vida-" xr:uid="{00000000-0004-0000-0200-00004C000000}"/>
    <hyperlink ref="B115" r:id="rId78" display="https://centrodecapacitaciondelsur.com/soporte-basico-de-vida-" xr:uid="{00000000-0004-0000-0200-00004D000000}"/>
    <hyperlink ref="B116" r:id="rId79" display="https://centrodecapacitaciondelsur.com/soporte-basico-de-vida-" xr:uid="{00000000-0004-0000-0200-00004E000000}"/>
    <hyperlink ref="B117" r:id="rId80" display="https://centrodecapacitaciondelsur.com/soporte-basico-de-vida-" xr:uid="{00000000-0004-0000-0200-00004F000000}"/>
    <hyperlink ref="B118" r:id="rId81" display="https://centrodecapacitaciondelsur.com/soporte-basico-de-vida-" xr:uid="{00000000-0004-0000-0200-000050000000}"/>
    <hyperlink ref="B119" r:id="rId82" display="https://centrodecapacitaciondelsur.com/soporte-basico-de-vida-" xr:uid="{00000000-0004-0000-0200-000051000000}"/>
    <hyperlink ref="B120" r:id="rId83" display="https://centrodecapacitaciondelsur.com/soporte-basico-de-vida-" xr:uid="{00000000-0004-0000-0200-000052000000}"/>
    <hyperlink ref="B121" r:id="rId84" display="https://centrodecapacitaciondelsur.com/soporte-basico-de-vida-" xr:uid="{00000000-0004-0000-0200-000053000000}"/>
    <hyperlink ref="B122" r:id="rId85" display="https://centrodecapacitaciondelsur.com/soporte-basico-de-vida-" xr:uid="{00000000-0004-0000-0200-000054000000}"/>
    <hyperlink ref="B123" r:id="rId86" display="https://centrodecapacitaciondelsur.com/soporte-basico-de-vida-" xr:uid="{00000000-0004-0000-0200-000055000000}"/>
    <hyperlink ref="B124" r:id="rId87" display="https://centrodecapacitaciondelsur.com/soporte-basico-de-vida-" xr:uid="{00000000-0004-0000-0200-000056000000}"/>
    <hyperlink ref="B125" r:id="rId88" display="https://centrodecapacitaciondelsur.com/soporte-basico-de-vida-" xr:uid="{00000000-0004-0000-0200-000057000000}"/>
    <hyperlink ref="B126" r:id="rId89" display="https://centrodecapacitaciondelsur.com/soporte-basico-de-vida-" xr:uid="{00000000-0004-0000-0200-000058000000}"/>
    <hyperlink ref="B127" r:id="rId90" display="https://centrodecapacitaciondelsur.com/soporte-basico-de-vida-" xr:uid="{00000000-0004-0000-0200-000059000000}"/>
    <hyperlink ref="B128" r:id="rId91" display="https://centrodecapacitaciondelsur.com/soporte-basico-de-vida-" xr:uid="{00000000-0004-0000-0200-00005A000000}"/>
    <hyperlink ref="B129" r:id="rId92" display="https://centrodecapacitaciondelsur.com/soporte-basico-de-vida-" xr:uid="{00000000-0004-0000-0200-00005B000000}"/>
    <hyperlink ref="B130" r:id="rId93" display="https://centrodecapacitaciondelsur.com/soporte-basico-de-vida-" xr:uid="{00000000-0004-0000-0200-00005C000000}"/>
    <hyperlink ref="B131" r:id="rId94" display="https://centrodecapacitaciondelsur.com/soporte-basico-de-vida-" xr:uid="{00000000-0004-0000-0200-00005D000000}"/>
    <hyperlink ref="B132" r:id="rId95" display="https://centrodecapacitaciondelsur.com/soporte-basico-de-vida-" xr:uid="{00000000-0004-0000-0200-00005E000000}"/>
    <hyperlink ref="B133" r:id="rId96" display="https://centrodecapacitaciondelsur.com/soporte-basico-de-vida-" xr:uid="{00000000-0004-0000-0200-00005F000000}"/>
    <hyperlink ref="B134" r:id="rId97" display="https://centrodecapacitaciondelsur.com/soporte-basico-de-vida-" xr:uid="{00000000-0004-0000-0200-000060000000}"/>
    <hyperlink ref="B135" r:id="rId98" display="https://centrodecapacitaciondelsur.com/soporte-basico-de-vida-" xr:uid="{00000000-0004-0000-0200-000061000000}"/>
    <hyperlink ref="B136" r:id="rId99" display="https://centrodecapacitaciondelsur.com/soporte-basico-de-vida-" xr:uid="{00000000-0004-0000-0200-000062000000}"/>
    <hyperlink ref="B137" r:id="rId100" display="https://centrodecapacitaciondelsur.com/soporte-basico-de-vida-" xr:uid="{00000000-0004-0000-0200-000063000000}"/>
    <hyperlink ref="B138" r:id="rId101" display="https://centrodecapacitaciondelsur.com/soporte-basico-de-vida-" xr:uid="{00000000-0004-0000-0200-000064000000}"/>
    <hyperlink ref="B139" r:id="rId102" display="https://centrodecapacitaciondelsur.com/soporte-basico-de-vida-" xr:uid="{00000000-0004-0000-0200-000065000000}"/>
    <hyperlink ref="B140" r:id="rId103" display="https://centrodecapacitaciondelsur.com/soporte-basico-de-vida-" xr:uid="{00000000-0004-0000-0200-000066000000}"/>
    <hyperlink ref="B141" r:id="rId104" display="https://centrodecapacitaciondelsur.com/soporte-basico-de-vida-" xr:uid="{00000000-0004-0000-0200-000067000000}"/>
    <hyperlink ref="B142" r:id="rId105" display="https://centrodecapacitaciondelsur.com/soporte-basico-de-vida-" xr:uid="{00000000-0004-0000-0200-000068000000}"/>
    <hyperlink ref="B143" r:id="rId106" display="https://centrodecapacitaciondelsur.com/soporte-basico-de-vida-" xr:uid="{00000000-0004-0000-0200-000069000000}"/>
    <hyperlink ref="B144" r:id="rId107" display="https://centrodecapacitaciondelsur.com/soporte-basico-de-vida-" xr:uid="{00000000-0004-0000-0200-00006A000000}"/>
    <hyperlink ref="B145" r:id="rId108" display="https://centrodecapacitaciondelsur.com/soporte-basico-de-vida-" xr:uid="{00000000-0004-0000-0200-00006B000000}"/>
    <hyperlink ref="B146" r:id="rId109" display="https://centrodecapacitaciondelsur.com/soporte-basico-de-vida-" xr:uid="{00000000-0004-0000-0200-00006C000000}"/>
    <hyperlink ref="B147" r:id="rId110" display="https://centrodecapacitaciondelsur.com/soporte-basico-de-vida-" xr:uid="{00000000-0004-0000-0200-00006D000000}"/>
    <hyperlink ref="B148" r:id="rId111" display="https://centrodecapacitaciondelsur.com/soporte-basico-de-vida-" xr:uid="{00000000-0004-0000-0200-00006E000000}"/>
    <hyperlink ref="B149" r:id="rId112" display="https://centrodecapacitaciondelsur.com/soporte-basico-de-vida-" xr:uid="{00000000-0004-0000-0200-00006F000000}"/>
    <hyperlink ref="B150" r:id="rId113" display="https://centrodecapacitaciondelsur.com/soporte-basico-de-vida-" xr:uid="{00000000-0004-0000-0200-000070000000}"/>
    <hyperlink ref="B151" r:id="rId114" display="https://centrodecapacitaciondelsur.com/soporte-basico-de-vida-" xr:uid="{00000000-0004-0000-0200-000071000000}"/>
    <hyperlink ref="B152" r:id="rId115" display="https://centrodecapacitaciondelsur.com/soporte-basico-de-vida-" xr:uid="{00000000-0004-0000-0200-000072000000}"/>
    <hyperlink ref="B153" r:id="rId116" display="https://centrodecapacitaciondelsur.com/soporte-basico-de-vida-" xr:uid="{00000000-0004-0000-0200-000073000000}"/>
    <hyperlink ref="B154" r:id="rId117" display="https://centrodecapacitaciondelsur.com/soporte-basico-de-vida-" xr:uid="{00000000-0004-0000-0200-000074000000}"/>
    <hyperlink ref="B155" r:id="rId118" display="https://centrodecapacitaciondelsur.com/soporte-basico-de-vida-" xr:uid="{00000000-0004-0000-0200-000075000000}"/>
    <hyperlink ref="B156" r:id="rId119" display="https://centrodecapacitaciondelsur.com/soporte-basico-de-vida-" xr:uid="{00000000-0004-0000-0200-000076000000}"/>
    <hyperlink ref="B157" r:id="rId120" display="https://centrodecapacitaciondelsur.com/soporte-basico-de-vida-" xr:uid="{00000000-0004-0000-0200-000077000000}"/>
    <hyperlink ref="B158" r:id="rId121" display="https://centrodecapacitaciondelsur.com/soporte-basico-de-vida-" xr:uid="{00000000-0004-0000-0200-000078000000}"/>
    <hyperlink ref="B159" r:id="rId122" display="https://centrodecapacitaciondelsur.com/soporte-basico-de-vida-" xr:uid="{00000000-0004-0000-0200-000079000000}"/>
    <hyperlink ref="B160" r:id="rId123" display="https://centrodecapacitaciondelsur.com/soporte-basico-de-vida-" xr:uid="{00000000-0004-0000-0200-00007A000000}"/>
    <hyperlink ref="B161" r:id="rId124" display="https://centrodecapacitaciondelsur.com/soporte-basico-de-vida-" xr:uid="{00000000-0004-0000-0200-00007B000000}"/>
    <hyperlink ref="B162" r:id="rId125" display="https://centrodecapacitaciondelsur.com/soporte-basico-de-vida-" xr:uid="{00000000-0004-0000-0200-00007C000000}"/>
    <hyperlink ref="B163" r:id="rId126" display="https://centrodecapacitaciondelsur.com/soporte-basico-de-vida-" xr:uid="{00000000-0004-0000-0200-00007D000000}"/>
    <hyperlink ref="B164" r:id="rId127" display="https://centrodecapacitaciondelsur.com/soporte-basico-de-vida-" xr:uid="{00000000-0004-0000-0200-00007E000000}"/>
    <hyperlink ref="B165" r:id="rId128" display="https://centrodecapacitaciondelsur.com/soporte-basico-de-vida-" xr:uid="{00000000-0004-0000-0200-00007F000000}"/>
    <hyperlink ref="B166" r:id="rId129" display="https://centrodecapacitaciondelsur.com/soporte-basico-de-vida-" xr:uid="{00000000-0004-0000-0200-000080000000}"/>
    <hyperlink ref="B167" r:id="rId130" display="https://centrodecapacitaciondelsur.com/soporte-basico-de-vida-" xr:uid="{00000000-0004-0000-0200-000081000000}"/>
    <hyperlink ref="B168" r:id="rId131" display="https://centrodecapacitaciondelsur.com/soporte-basico-de-vida-" xr:uid="{00000000-0004-0000-0200-000082000000}"/>
    <hyperlink ref="B169" r:id="rId132" display="https://centrodecapacitaciondelsur.com/soporte-basico-de-vida-" xr:uid="{00000000-0004-0000-0200-000083000000}"/>
    <hyperlink ref="B170" r:id="rId133" display="https://centrodecapacitaciondelsur.com/soporte-basico-de-vida-" xr:uid="{00000000-0004-0000-0200-000084000000}"/>
    <hyperlink ref="B171" r:id="rId134" display="https://centrodecapacitaciondelsur.com/soporte-basico-de-vida-" xr:uid="{00000000-0004-0000-0200-000085000000}"/>
    <hyperlink ref="B172" r:id="rId135" display="https://centrodecapacitaciondelsur.com/soporte-basico-de-vida-" xr:uid="{00000000-0004-0000-0200-000086000000}"/>
    <hyperlink ref="B173" r:id="rId136" display="https://centrodecapacitaciondelsur.com/soporte-basico-de-vida-" xr:uid="{00000000-0004-0000-0200-000087000000}"/>
    <hyperlink ref="B174" r:id="rId137" display="https://centrodecapacitaciondelsur.com/soporte-basico-de-vida-" xr:uid="{00000000-0004-0000-0200-000088000000}"/>
    <hyperlink ref="B175" r:id="rId138" display="https://centrodecapacitaciondelsur.com/soporte-basico-de-vida-" xr:uid="{00000000-0004-0000-0200-000089000000}"/>
    <hyperlink ref="B176" r:id="rId139" display="https://centrodecapacitaciondelsur.com/soporte-basico-de-vida-" xr:uid="{00000000-0004-0000-0200-00008A000000}"/>
    <hyperlink ref="B177" r:id="rId140" display="https://centrodecapacitaciondelsur.com/soporte-basico-de-vida-" xr:uid="{00000000-0004-0000-0200-00008B000000}"/>
    <hyperlink ref="B178" r:id="rId141" display="https://centrodecapacitaciondelsur.com/soporte-basico-de-vida-" xr:uid="{00000000-0004-0000-0200-00008C000000}"/>
    <hyperlink ref="B179" r:id="rId142" display="https://centrodecapacitaciondelsur.com/soporte-basico-de-vida-" xr:uid="{00000000-0004-0000-0200-00008D000000}"/>
    <hyperlink ref="B180" r:id="rId143" display="https://centrodecapacitaciondelsur.com/soporte-basico-de-vida-" xr:uid="{00000000-0004-0000-0200-00008E000000}"/>
    <hyperlink ref="B181" r:id="rId144" display="https://centrodecapacitaciondelsur.com/soporte-basico-de-vida-" xr:uid="{00000000-0004-0000-0200-00008F000000}"/>
    <hyperlink ref="B182" r:id="rId145" display="https://centrodecapacitaciondelsur.com/soporte-basico-de-vida-" xr:uid="{00000000-0004-0000-0200-000090000000}"/>
    <hyperlink ref="B183" r:id="rId146" display="https://centrodecapacitaciondelsur.com/soporte-basico-de-vida-" xr:uid="{00000000-0004-0000-0200-000091000000}"/>
    <hyperlink ref="B184" r:id="rId147" display="https://centrodecapacitaciondelsur.com/soporte-basico-de-vida-" xr:uid="{00000000-0004-0000-0200-000092000000}"/>
    <hyperlink ref="B185" r:id="rId148" display="https://centrodecapacitaciondelsur.com/soporte-basico-de-vida-" xr:uid="{00000000-0004-0000-0200-000093000000}"/>
    <hyperlink ref="B186" r:id="rId149" display="https://centrodecapacitaciondelsur.com/soporte-basico-de-vida-" xr:uid="{00000000-0004-0000-0200-000094000000}"/>
    <hyperlink ref="B187" r:id="rId150" display="https://centrodecapacitaciondelsur.com/soporte-basico-de-vida-" xr:uid="{00000000-0004-0000-0200-000095000000}"/>
    <hyperlink ref="B188" r:id="rId151" display="https://centrodecapacitaciondelsur.com/soporte-basico-de-vida-" xr:uid="{00000000-0004-0000-0200-000096000000}"/>
    <hyperlink ref="B189" r:id="rId152" display="https://centrodecapacitaciondelsur.com/soporte-basico-de-vida-" xr:uid="{00000000-0004-0000-0200-000097000000}"/>
    <hyperlink ref="B190" r:id="rId153" display="https://centrodecapacitaciondelsur.com/soporte-basico-de-vida-" xr:uid="{00000000-0004-0000-0200-000098000000}"/>
    <hyperlink ref="B191" r:id="rId154" display="https://centrodecapacitaciondelsur.com/soporte-basico-de-vida-" xr:uid="{00000000-0004-0000-0200-000099000000}"/>
    <hyperlink ref="B192" r:id="rId155" display="https://centrodecapacitaciondelsur.com/soporte-basico-de-vida-" xr:uid="{00000000-0004-0000-0200-00009A000000}"/>
    <hyperlink ref="B193" r:id="rId156" display="https://centrodecapacitaciondelsur.com/soporte-basico-de-vida-" xr:uid="{00000000-0004-0000-0200-00009B000000}"/>
    <hyperlink ref="B194" r:id="rId157" display="https://centrodecapacitaciondelsur.com/soporte-basico-de-vida-" xr:uid="{00000000-0004-0000-0200-00009C000000}"/>
    <hyperlink ref="B195" r:id="rId158" display="https://centrodecapacitaciondelsur.com/soporte-basico-de-vida-" xr:uid="{00000000-0004-0000-0200-00009D000000}"/>
    <hyperlink ref="B196" r:id="rId159" display="https://centrodecapacitaciondelsur.com/soporte-basico-de-vida-" xr:uid="{00000000-0004-0000-0200-00009E000000}"/>
    <hyperlink ref="B197" r:id="rId160" display="https://centrodecapacitaciondelsur.com/soporte-basico-de-vida-" xr:uid="{00000000-0004-0000-0200-00009F000000}"/>
    <hyperlink ref="B198" r:id="rId161" display="https://centrodecapacitaciondelsur.com/soporte-basico-de-vida-" xr:uid="{00000000-0004-0000-0200-0000A0000000}"/>
    <hyperlink ref="B199" r:id="rId162" display="https://centrodecapacitaciondelsur.com/soporte-basico-de-vida-" xr:uid="{00000000-0004-0000-0200-0000A1000000}"/>
    <hyperlink ref="B200" r:id="rId163" display="https://centrodecapacitaciondelsur.com/soporte-basico-de-vida-" xr:uid="{00000000-0004-0000-0200-0000A2000000}"/>
    <hyperlink ref="B201" r:id="rId164" display="https://centrodecapacitaciondelsur.com/soporte-basico-de-vida-" xr:uid="{00000000-0004-0000-0200-0000A3000000}"/>
    <hyperlink ref="B202" r:id="rId165" display="https://centrodecapacitaciondelsur.com/soporte-basico-de-vida-" xr:uid="{00000000-0004-0000-0200-0000A4000000}"/>
    <hyperlink ref="B203" r:id="rId166" display="https://centrodecapacitaciondelsur.com/soporte-basico-de-vida-" xr:uid="{00000000-0004-0000-0200-0000A5000000}"/>
    <hyperlink ref="B204" r:id="rId167" display="https://centrodecapacitaciondelsur.com/soporte-basico-de-vida-" xr:uid="{00000000-0004-0000-0200-0000A6000000}"/>
    <hyperlink ref="B205" r:id="rId168" display="https://centrodecapacitaciondelsur.com/soporte-basico-de-vida-" xr:uid="{00000000-0004-0000-0200-0000A7000000}"/>
    <hyperlink ref="B206" r:id="rId169" display="https://centrodecapacitaciondelsur.com/soporte-basico-de-vida-" xr:uid="{00000000-0004-0000-0200-0000A8000000}"/>
    <hyperlink ref="B207" r:id="rId170" display="https://centrodecapacitaciondelsur.com/soporte-basico-de-vida-" xr:uid="{00000000-0004-0000-0200-0000A9000000}"/>
    <hyperlink ref="B208" r:id="rId171" display="https://centrodecapacitaciondelsur.com/soporte-basico-de-vida-" xr:uid="{00000000-0004-0000-0200-0000AA000000}"/>
    <hyperlink ref="B209" r:id="rId172" display="https://centrodecapacitaciondelsur.com/soporte-basico-de-vida-" xr:uid="{00000000-0004-0000-0200-0000AB000000}"/>
    <hyperlink ref="B210" r:id="rId173" display="https://centrodecapacitaciondelsur.com/soporte-basico-de-vida-" xr:uid="{00000000-0004-0000-0200-0000AC000000}"/>
    <hyperlink ref="B211" r:id="rId174" display="https://centrodecapacitaciondelsur.com/soporte-basico-de-vida-" xr:uid="{00000000-0004-0000-0200-0000AD000000}"/>
    <hyperlink ref="B212" r:id="rId175" display="https://centrodecapacitaciondelsur.com/soporte-basico-de-vida-" xr:uid="{00000000-0004-0000-0200-0000AE000000}"/>
    <hyperlink ref="B213" r:id="rId176" display="https://centrodecapacitaciondelsur.com/soporte-basico-de-vida-" xr:uid="{00000000-0004-0000-0200-0000AF000000}"/>
    <hyperlink ref="B214" r:id="rId177" display="https://centrodecapacitaciondelsur.com/soporte-basico-de-vida-" xr:uid="{00000000-0004-0000-0200-0000B0000000}"/>
    <hyperlink ref="B215" r:id="rId178" display="https://centrodecapacitaciondelsur.com/soporte-basico-de-vida-" xr:uid="{00000000-0004-0000-0200-0000B1000000}"/>
    <hyperlink ref="B216" r:id="rId179" display="https://centrodecapacitaciondelsur.com/soporte-basico-de-vida-" xr:uid="{00000000-0004-0000-0200-0000B2000000}"/>
    <hyperlink ref="B217" r:id="rId180" display="https://centrodecapacitaciondelsur.com/soporte-basico-de-vida-" xr:uid="{00000000-0004-0000-0200-0000B3000000}"/>
    <hyperlink ref="B218" r:id="rId181" display="https://centrodecapacitaciondelsur.com/soporte-basico-de-vida-" xr:uid="{00000000-0004-0000-0200-0000B4000000}"/>
    <hyperlink ref="B219" r:id="rId182" display="https://centrodecapacitaciondelsur.com/soporte-basico-de-vida-" xr:uid="{00000000-0004-0000-0200-0000B5000000}"/>
    <hyperlink ref="B220" r:id="rId183" display="https://centrodecapacitaciondelsur.com/soporte-basico-de-vida-" xr:uid="{00000000-0004-0000-0200-0000B6000000}"/>
    <hyperlink ref="B221" r:id="rId184" display="https://centrodecapacitaciondelsur.com/soporte-basico-de-vida-" xr:uid="{00000000-0004-0000-0200-0000B7000000}"/>
    <hyperlink ref="B222" r:id="rId185" display="https://centrodecapacitaciondelsur.com/soporte-basico-de-vida-" xr:uid="{00000000-0004-0000-0200-0000B8000000}"/>
    <hyperlink ref="B223" r:id="rId186" display="https://centrodecapacitaciondelsur.com/soporte-basico-de-vida-" xr:uid="{00000000-0004-0000-0200-0000B9000000}"/>
    <hyperlink ref="B224" r:id="rId187" display="https://centrodecapacitaciondelsur.com/soporte-basico-de-vida-" xr:uid="{00000000-0004-0000-0200-0000BA000000}"/>
    <hyperlink ref="B225" r:id="rId188" display="https://centrodecapacitaciondelsur.com/soporte-basico-de-vida-" xr:uid="{00000000-0004-0000-0200-0000BB000000}"/>
    <hyperlink ref="B226" r:id="rId189" display="https://centrodecapacitaciondelsur.com/soporte-basico-de-vida-" xr:uid="{00000000-0004-0000-0200-0000BC000000}"/>
    <hyperlink ref="B227" r:id="rId190" display="https://centrodecapacitaciondelsur.com/soporte-basico-de-vida-" xr:uid="{00000000-0004-0000-0200-0000BD000000}"/>
    <hyperlink ref="B228" r:id="rId191" display="https://centrodecapacitaciondelsur.com/soporte-basico-de-vida-" xr:uid="{00000000-0004-0000-0200-0000BE000000}"/>
    <hyperlink ref="B229" r:id="rId192" display="https://centrodecapacitaciondelsur.com/soporte-basico-de-vida-" xr:uid="{00000000-0004-0000-0200-0000BF000000}"/>
    <hyperlink ref="B230" r:id="rId193" display="https://centrodecapacitaciondelsur.com/soporte-basico-de-vida-" xr:uid="{00000000-0004-0000-0200-0000C0000000}"/>
    <hyperlink ref="B231" r:id="rId194" display="https://centrodecapacitaciondelsur.com/soporte-basico-de-vida-" xr:uid="{00000000-0004-0000-0200-0000C1000000}"/>
    <hyperlink ref="B232" r:id="rId195" display="https://centrodecapacitaciondelsur.com/soporte-basico-de-vida-" xr:uid="{00000000-0004-0000-0200-0000C2000000}"/>
    <hyperlink ref="B233" r:id="rId196" display="https://centrodecapacitaciondelsur.com/soporte-basico-de-vida-" xr:uid="{00000000-0004-0000-0200-0000C3000000}"/>
    <hyperlink ref="B234" r:id="rId197" display="https://centrodecapacitaciondelsur.com/soporte-basico-de-vida-" xr:uid="{00000000-0004-0000-0200-0000C4000000}"/>
    <hyperlink ref="B235" r:id="rId198" display="https://centrodecapacitaciondelsur.com/soporte-basico-de-vida-" xr:uid="{00000000-0004-0000-0200-0000C5000000}"/>
    <hyperlink ref="B236" r:id="rId199" display="https://centrodecapacitaciondelsur.com/soporte-basico-de-vida-" xr:uid="{00000000-0004-0000-0200-0000C6000000}"/>
    <hyperlink ref="B237" r:id="rId200" display="https://centrodecapacitaciondelsur.com/soporte-basico-de-vida-" xr:uid="{00000000-0004-0000-0200-0000C7000000}"/>
    <hyperlink ref="B238" r:id="rId201" display="https://centrodecapacitaciondelsur.com/soporte-basico-de-vida-" xr:uid="{00000000-0004-0000-0200-0000C8000000}"/>
    <hyperlink ref="B239" r:id="rId202" display="https://centrodecapacitaciondelsur.com/soporte-basico-de-vida-" xr:uid="{00000000-0004-0000-0200-0000C9000000}"/>
    <hyperlink ref="B240" r:id="rId203" display="https://centrodecapacitaciondelsur.com/soporte-basico-de-vida-" xr:uid="{00000000-0004-0000-0200-0000CA000000}"/>
    <hyperlink ref="B241" r:id="rId204" display="https://centrodecapacitaciondelsur.com/soporte-basico-de-vida-" xr:uid="{00000000-0004-0000-0200-0000CB000000}"/>
    <hyperlink ref="B242" r:id="rId205" display="https://centrodecapacitaciondelsur.com/soporte-basico-de-vida-" xr:uid="{00000000-0004-0000-0200-0000CC000000}"/>
    <hyperlink ref="B243" r:id="rId206" display="https://centrodecapacitaciondelsur.com/soporte-basico-de-vida-" xr:uid="{00000000-0004-0000-0200-0000CD000000}"/>
    <hyperlink ref="B244" r:id="rId207" display="https://centrodecapacitaciondelsur.com/soporte-basico-de-vida-" xr:uid="{00000000-0004-0000-0200-0000CE000000}"/>
    <hyperlink ref="B245" r:id="rId208" display="https://centrodecapacitaciondelsur.com/soporte-basico-de-vida-" xr:uid="{00000000-0004-0000-0200-0000CF000000}"/>
    <hyperlink ref="B246" r:id="rId209" display="https://centrodecapacitaciondelsur.com/soporte-basico-de-vida-" xr:uid="{00000000-0004-0000-0200-0000D0000000}"/>
    <hyperlink ref="B247" r:id="rId210" display="https://centrodecapacitaciondelsur.com/soporte-basico-de-vida-" xr:uid="{00000000-0004-0000-0200-0000D1000000}"/>
    <hyperlink ref="B248" r:id="rId211" display="https://centrodecapacitaciondelsur.com/soporte-basico-de-vida-" xr:uid="{00000000-0004-0000-0200-0000D2000000}"/>
    <hyperlink ref="B249" r:id="rId212" display="https://centrodecapacitaciondelsur.com/soporte-basico-de-vida-" xr:uid="{00000000-0004-0000-0200-0000D3000000}"/>
    <hyperlink ref="B250" r:id="rId213" display="https://centrodecapacitaciondelsur.com/soporte-basico-de-vida-" xr:uid="{00000000-0004-0000-0200-0000D4000000}"/>
    <hyperlink ref="B251" r:id="rId214" display="https://centrodecapacitaciondelsur.com/soporte-basico-de-vida-" xr:uid="{00000000-0004-0000-0200-0000D5000000}"/>
    <hyperlink ref="B252" r:id="rId215" display="https://centrodecapacitaciondelsur.com/soporte-basico-de-vida-" xr:uid="{00000000-0004-0000-0200-0000D6000000}"/>
    <hyperlink ref="B253" r:id="rId216" display="https://centrodecapacitaciondelsur.com/soporte-basico-de-vida-" xr:uid="{00000000-0004-0000-0200-0000D7000000}"/>
    <hyperlink ref="B254" r:id="rId217" display="https://centrodecapacitaciondelsur.com/soporte-basico-de-vida-" xr:uid="{00000000-0004-0000-0200-0000D8000000}"/>
    <hyperlink ref="B255" r:id="rId218" display="https://centrodecapacitaciondelsur.com/soporte-basico-de-vida-" xr:uid="{00000000-0004-0000-0200-0000D9000000}"/>
    <hyperlink ref="B256" r:id="rId219" display="https://centrodecapacitaciondelsur.com/soporte-basico-de-vida-" xr:uid="{00000000-0004-0000-0200-0000DA000000}"/>
    <hyperlink ref="B257" r:id="rId220" display="https://centrodecapacitaciondelsur.com/soporte-basico-de-vida-" xr:uid="{00000000-0004-0000-0200-0000DB000000}"/>
    <hyperlink ref="B258" r:id="rId221" display="https://centrodecapacitaciondelsur.com/soporte-basico-de-vida-" xr:uid="{00000000-0004-0000-0200-0000DC000000}"/>
    <hyperlink ref="B259" r:id="rId222" display="https://centrodecapacitaciondelsur.com/soporte-basico-de-vida-" xr:uid="{00000000-0004-0000-0200-0000DD000000}"/>
    <hyperlink ref="B260" r:id="rId223" display="https://centrodecapacitaciondelsur.com/soporte-basico-de-vida-" xr:uid="{00000000-0004-0000-0200-0000DE000000}"/>
    <hyperlink ref="B261" r:id="rId224" display="https://centrodecapacitaciondelsur.com/soporte-basico-de-vida-" xr:uid="{00000000-0004-0000-0200-0000DF000000}"/>
    <hyperlink ref="B262" r:id="rId225" display="https://centrodecapacitaciondelsur.com/soporte-basico-de-vida-" xr:uid="{00000000-0004-0000-0200-0000E0000000}"/>
    <hyperlink ref="B263" r:id="rId226" display="https://centrodecapacitaciondelsur.com/soporte-basico-de-vida-" xr:uid="{00000000-0004-0000-0200-0000E1000000}"/>
    <hyperlink ref="B264" r:id="rId227" display="https://centrodecapacitaciondelsur.com/soporte-basico-de-vida-" xr:uid="{00000000-0004-0000-0200-0000E2000000}"/>
    <hyperlink ref="B265" r:id="rId228" display="https://centrodecapacitaciondelsur.com/soporte-basico-de-vida-" xr:uid="{00000000-0004-0000-0200-0000E3000000}"/>
    <hyperlink ref="B266" r:id="rId229" display="https://centrodecapacitaciondelsur.com/soporte-basico-de-vida-" xr:uid="{00000000-0004-0000-0200-0000E4000000}"/>
    <hyperlink ref="B267" r:id="rId230" display="https://centrodecapacitaciondelsur.com/soporte-basico-de-vida-" xr:uid="{00000000-0004-0000-0200-0000E5000000}"/>
    <hyperlink ref="B268" r:id="rId231" display="https://centrodecapacitaciondelsur.com/soporte-basico-de-vida-" xr:uid="{00000000-0004-0000-0200-0000E6000000}"/>
    <hyperlink ref="B269" r:id="rId232" display="https://centrodecapacitaciondelsur.com/soporte-basico-de-vida-" xr:uid="{00000000-0004-0000-0200-0000E7000000}"/>
    <hyperlink ref="B270" r:id="rId233" display="https://centrodecapacitaciondelsur.com/soporte-basico-de-vida-" xr:uid="{00000000-0004-0000-0200-0000E8000000}"/>
    <hyperlink ref="B271" r:id="rId234" display="https://centrodecapacitaciondelsur.com/soporte-basico-de-vida-" xr:uid="{00000000-0004-0000-0200-0000E9000000}"/>
    <hyperlink ref="B272" r:id="rId235" display="https://centrodecapacitaciondelsur.com/soporte-basico-de-vida-" xr:uid="{00000000-0004-0000-0200-0000EA000000}"/>
    <hyperlink ref="B273" r:id="rId236" display="https://centrodecapacitaciondelsur.com/soporte-basico-de-vida-" xr:uid="{00000000-0004-0000-0200-0000EB000000}"/>
    <hyperlink ref="B274" r:id="rId237" display="https://centrodecapacitaciondelsur.com/soporte-basico-de-vida-" xr:uid="{00000000-0004-0000-0200-0000EC000000}"/>
    <hyperlink ref="B275" r:id="rId238" display="https://centrodecapacitaciondelsur.com/soporte-basico-de-vida-" xr:uid="{00000000-0004-0000-0200-0000ED000000}"/>
    <hyperlink ref="B276" r:id="rId239" display="https://centrodecapacitaciondelsur.com/soporte-basico-de-vida-" xr:uid="{00000000-0004-0000-0200-0000EE000000}"/>
    <hyperlink ref="B277" r:id="rId240" display="https://centrodecapacitaciondelsur.com/soporte-basico-de-vida-" xr:uid="{00000000-0004-0000-0200-0000EF000000}"/>
    <hyperlink ref="B278" r:id="rId241" display="https://centrodecapacitaciondelsur.com/soporte-basico-de-vida-" xr:uid="{00000000-0004-0000-0200-0000F0000000}"/>
    <hyperlink ref="B279" r:id="rId242" display="https://centrodecapacitaciondelsur.com/soporte-basico-de-vida-" xr:uid="{00000000-0004-0000-0200-0000F1000000}"/>
    <hyperlink ref="B280" r:id="rId243" display="https://centrodecapacitaciondelsur.com/soporte-basico-de-vida-" xr:uid="{00000000-0004-0000-0200-0000F2000000}"/>
    <hyperlink ref="B281" r:id="rId244" display="https://centrodecapacitaciondelsur.com/soporte-basico-de-vida-" xr:uid="{00000000-0004-0000-0200-0000F3000000}"/>
    <hyperlink ref="B282" r:id="rId245" display="https://centrodecapacitaciondelsur.com/soporte-basico-de-vida-" xr:uid="{00000000-0004-0000-0200-0000F4000000}"/>
    <hyperlink ref="B283" r:id="rId246" display="https://centrodecapacitaciondelsur.com/soporte-basico-de-vida-" xr:uid="{00000000-0004-0000-0200-0000F5000000}"/>
    <hyperlink ref="B284" r:id="rId247" display="https://centrodecapacitaciondelsur.com/soporte-basico-de-vida-" xr:uid="{00000000-0004-0000-0200-0000F6000000}"/>
    <hyperlink ref="B285" r:id="rId248" display="https://centrodecapacitaciondelsur.com/soporte-basico-de-vida-" xr:uid="{00000000-0004-0000-0200-0000F7000000}"/>
    <hyperlink ref="B286" r:id="rId249" display="https://centrodecapacitaciondelsur.com/soporte-basico-de-vida-" xr:uid="{00000000-0004-0000-0200-0000F8000000}"/>
    <hyperlink ref="B287" r:id="rId250" display="https://centrodecapacitaciondelsur.com/soporte-basico-de-vida-" xr:uid="{00000000-0004-0000-0200-0000F9000000}"/>
    <hyperlink ref="B288" r:id="rId251" display="https://centrodecapacitaciondelsur.com/soporte-basico-de-vida-" xr:uid="{00000000-0004-0000-0200-0000FA000000}"/>
    <hyperlink ref="B289" r:id="rId252" display="https://centrodecapacitaciondelsur.com/soporte-basico-de-vida-" xr:uid="{00000000-0004-0000-0200-0000FB000000}"/>
    <hyperlink ref="B290" r:id="rId253" display="https://centrodecapacitaciondelsur.com/soporte-basico-de-vida-" xr:uid="{00000000-0004-0000-0200-0000FC000000}"/>
    <hyperlink ref="B291" r:id="rId254" display="https://centrodecapacitaciondelsur.com/soporte-basico-de-vida-" xr:uid="{00000000-0004-0000-0200-0000FD000000}"/>
    <hyperlink ref="B292" r:id="rId255" display="https://centrodecapacitaciondelsur.com/soporte-basico-de-vida-" xr:uid="{00000000-0004-0000-0200-0000FE000000}"/>
    <hyperlink ref="B293" r:id="rId256" display="https://centrodecapacitaciondelsur.com/soporte-basico-de-vida-" xr:uid="{00000000-0004-0000-0200-0000FF000000}"/>
    <hyperlink ref="B294" r:id="rId257" display="https://centrodecapacitaciondelsur.com/soporte-basico-de-vida-" xr:uid="{00000000-0004-0000-0200-000000010000}"/>
    <hyperlink ref="B295" r:id="rId258" display="https://centrodecapacitaciondelsur.com/soporte-basico-de-vida-" xr:uid="{00000000-0004-0000-0200-000001010000}"/>
    <hyperlink ref="B296" r:id="rId259" display="https://centrodecapacitaciondelsur.com/soporte-basico-de-vida-" xr:uid="{00000000-0004-0000-0200-000002010000}"/>
    <hyperlink ref="B297" r:id="rId260" display="https://centrodecapacitaciondelsur.com/soporte-basico-de-vida-" xr:uid="{00000000-0004-0000-0200-000003010000}"/>
    <hyperlink ref="B298" r:id="rId261" display="https://centrodecapacitaciondelsur.com/soporte-basico-de-vida-" xr:uid="{00000000-0004-0000-0200-000004010000}"/>
    <hyperlink ref="B299" r:id="rId262" display="https://centrodecapacitaciondelsur.com/soporte-basico-de-vida-" xr:uid="{00000000-0004-0000-0200-000005010000}"/>
    <hyperlink ref="B300" r:id="rId263" display="https://centrodecapacitaciondelsur.com/soporte-basico-de-vida-" xr:uid="{00000000-0004-0000-0200-000006010000}"/>
    <hyperlink ref="B301" r:id="rId264" display="https://centrodecapacitaciondelsur.com/soporte-basico-de-vida-" xr:uid="{00000000-0004-0000-0200-000007010000}"/>
    <hyperlink ref="B302" r:id="rId265" display="https://centrodecapacitaciondelsur.com/soporte-basico-de-vida-" xr:uid="{00000000-0004-0000-0200-000008010000}"/>
    <hyperlink ref="B303" r:id="rId266" display="https://centrodecapacitaciondelsur.com/soporte-basico-de-vida-" xr:uid="{00000000-0004-0000-0200-000009010000}"/>
    <hyperlink ref="B304" r:id="rId267" display="https://centrodecapacitaciondelsur.com/soporte-basico-de-vida-" xr:uid="{00000000-0004-0000-0200-00000A010000}"/>
    <hyperlink ref="B305" r:id="rId268" display="https://centrodecapacitaciondelsur.com/soporte-basico-de-vida-" xr:uid="{00000000-0004-0000-0200-00000B010000}"/>
    <hyperlink ref="B306" r:id="rId269" display="https://centrodecapacitaciondelsur.com/soporte-basico-de-vida-" xr:uid="{00000000-0004-0000-0200-00000C010000}"/>
    <hyperlink ref="B307" r:id="rId270" display="https://centrodecapacitaciondelsur.com/soporte-basico-de-vida-" xr:uid="{00000000-0004-0000-0200-00000D010000}"/>
    <hyperlink ref="B308" r:id="rId271" display="https://centrodecapacitaciondelsur.com/soporte-basico-de-vida-" xr:uid="{00000000-0004-0000-0200-00000E010000}"/>
    <hyperlink ref="B309" r:id="rId272" display="https://centrodecapacitaciondelsur.com/soporte-basico-de-vida-" xr:uid="{00000000-0004-0000-0200-00000F010000}"/>
    <hyperlink ref="B310" r:id="rId273" display="https://centrodecapacitaciondelsur.com/soporte-basico-de-vida-" xr:uid="{00000000-0004-0000-0200-000010010000}"/>
    <hyperlink ref="B311" r:id="rId274" display="https://centrodecapacitaciondelsur.com/soporte-basico-de-vida-" xr:uid="{00000000-0004-0000-0200-000011010000}"/>
    <hyperlink ref="B312" r:id="rId275" display="https://centrodecapacitaciondelsur.com/soporte-basico-de-vida-" xr:uid="{00000000-0004-0000-0200-000012010000}"/>
    <hyperlink ref="B313" r:id="rId276" display="https://centrodecapacitaciondelsur.com/soporte-basico-de-vida-" xr:uid="{00000000-0004-0000-0200-000013010000}"/>
    <hyperlink ref="B314" r:id="rId277" display="https://centrodecapacitaciondelsur.com/soporte-basico-de-vida-" xr:uid="{00000000-0004-0000-0200-000014010000}"/>
    <hyperlink ref="B315" r:id="rId278" display="https://centrodecapacitaciondelsur.com/soporte-basico-de-vida-" xr:uid="{00000000-0004-0000-0200-000015010000}"/>
    <hyperlink ref="B316" r:id="rId279" display="https://centrodecapacitaciondelsur.com/soporte-basico-de-vida-" xr:uid="{00000000-0004-0000-0200-000016010000}"/>
    <hyperlink ref="B317" r:id="rId280" display="https://centrodecapacitaciondelsur.com/soporte-basico-de-vida-" xr:uid="{00000000-0004-0000-0200-000017010000}"/>
    <hyperlink ref="B318" r:id="rId281" display="https://centrodecapacitaciondelsur.com/soporte-basico-de-vida-" xr:uid="{00000000-0004-0000-0200-000018010000}"/>
    <hyperlink ref="B319" r:id="rId282" display="https://centrodecapacitaciondelsur.com/soporte-basico-de-vida-" xr:uid="{00000000-0004-0000-0200-000019010000}"/>
    <hyperlink ref="B320" r:id="rId283" display="https://centrodecapacitaciondelsur.com/soporte-basico-de-vida-" xr:uid="{00000000-0004-0000-0200-00001A010000}"/>
    <hyperlink ref="B321" r:id="rId284" display="https://centrodecapacitaciondelsur.com/soporte-basico-de-vida-" xr:uid="{00000000-0004-0000-0200-00001B010000}"/>
    <hyperlink ref="B322" r:id="rId285" display="https://centrodecapacitaciondelsur.com/soporte-basico-de-vida-" xr:uid="{00000000-0004-0000-0200-00001C010000}"/>
    <hyperlink ref="B323" r:id="rId286" display="https://centrodecapacitaciondelsur.com/soporte-basico-de-vida-" xr:uid="{00000000-0004-0000-0200-00001D010000}"/>
    <hyperlink ref="B324" r:id="rId287" display="https://centrodecapacitaciondelsur.com/soporte-basico-de-vida-" xr:uid="{00000000-0004-0000-0200-00001E010000}"/>
    <hyperlink ref="B325" r:id="rId288" display="https://centrodecapacitaciondelsur.com/soporte-basico-de-vida-" xr:uid="{00000000-0004-0000-0200-00001F010000}"/>
    <hyperlink ref="B326" r:id="rId289" display="https://centrodecapacitaciondelsur.com/soporte-basico-de-vida-" xr:uid="{00000000-0004-0000-0200-000020010000}"/>
    <hyperlink ref="B327" r:id="rId290" display="https://centrodecapacitaciondelsur.com/soporte-basico-de-vida-" xr:uid="{00000000-0004-0000-0200-000021010000}"/>
    <hyperlink ref="B328" r:id="rId291" display="https://centrodecapacitaciondelsur.com/soporte-basico-de-vida-" xr:uid="{00000000-0004-0000-0200-000022010000}"/>
    <hyperlink ref="B329" r:id="rId292" display="https://centrodecapacitaciondelsur.com/soporte-basico-de-vida-" xr:uid="{00000000-0004-0000-0200-000023010000}"/>
    <hyperlink ref="B330" r:id="rId293" display="https://centrodecapacitaciondelsur.com/soporte-basico-de-vida-" xr:uid="{00000000-0004-0000-0200-000024010000}"/>
    <hyperlink ref="B331" r:id="rId294" display="https://centrodecapacitaciondelsur.com/soporte-basico-de-vida-" xr:uid="{00000000-0004-0000-0200-000025010000}"/>
    <hyperlink ref="B332" r:id="rId295" display="https://centrodecapacitaciondelsur.com/soporte-basico-de-vida-" xr:uid="{00000000-0004-0000-0200-000026010000}"/>
    <hyperlink ref="B333" r:id="rId296" display="https://centrodecapacitaciondelsur.com/soporte-basico-de-vida-" xr:uid="{00000000-0004-0000-0200-000027010000}"/>
    <hyperlink ref="B334" r:id="rId297" display="https://centrodecapacitaciondelsur.com/soporte-basico-de-vida-" xr:uid="{00000000-0004-0000-0200-000028010000}"/>
    <hyperlink ref="B335" r:id="rId298" display="https://centrodecapacitaciondelsur.com/soporte-basico-de-vida-" xr:uid="{00000000-0004-0000-0200-000029010000}"/>
    <hyperlink ref="B336" r:id="rId299" display="https://centrodecapacitaciondelsur.com/soporte-basico-de-vida-" xr:uid="{00000000-0004-0000-0200-00002A010000}"/>
    <hyperlink ref="B337" r:id="rId300" display="https://centrodecapacitaciondelsur.com/soporte-basico-de-vida-" xr:uid="{00000000-0004-0000-0200-00002B010000}"/>
    <hyperlink ref="B338" r:id="rId301" display="https://centrodecapacitaciondelsur.com/soporte-basico-de-vida-" xr:uid="{00000000-0004-0000-0200-00002C010000}"/>
    <hyperlink ref="B339" r:id="rId302" display="https://centrodecapacitaciondelsur.com/soporte-basico-de-vida-" xr:uid="{00000000-0004-0000-0200-00002D010000}"/>
    <hyperlink ref="B340" r:id="rId303" display="https://centrodecapacitaciondelsur.com/soporte-basico-de-vida-" xr:uid="{00000000-0004-0000-0200-00002E010000}"/>
    <hyperlink ref="B341" r:id="rId304" display="https://centrodecapacitaciondelsur.com/soporte-basico-de-vida-" xr:uid="{00000000-0004-0000-0200-00002F010000}"/>
    <hyperlink ref="B342" r:id="rId305" display="https://centrodecapacitaciondelsur.com/soporte-basico-de-vida-" xr:uid="{00000000-0004-0000-0200-000030010000}"/>
    <hyperlink ref="B343" r:id="rId306" display="https://centrodecapacitaciondelsur.com/soporte-basico-de-vida-" xr:uid="{00000000-0004-0000-0200-000031010000}"/>
    <hyperlink ref="B344" r:id="rId307" display="https://centrodecapacitaciondelsur.com/soporte-basico-de-vida-" xr:uid="{00000000-0004-0000-0200-000032010000}"/>
    <hyperlink ref="B345" r:id="rId308" display="https://centrodecapacitaciondelsur.com/soporte-basico-de-vida-" xr:uid="{00000000-0004-0000-0200-000033010000}"/>
    <hyperlink ref="B346" r:id="rId309" display="https://centrodecapacitaciondelsur.com/soporte-basico-de-vida-" xr:uid="{00000000-0004-0000-0200-000034010000}"/>
    <hyperlink ref="B347" r:id="rId310" display="https://centrodecapacitaciondelsur.com/soporte-basico-de-vida-" xr:uid="{00000000-0004-0000-0200-000035010000}"/>
    <hyperlink ref="B348" r:id="rId311" display="https://centrodecapacitaciondelsur.com/soporte-basico-de-vida-" xr:uid="{00000000-0004-0000-0200-000036010000}"/>
    <hyperlink ref="B349" r:id="rId312" display="https://centrodecapacitaciondelsur.com/soporte-basico-de-vida-" xr:uid="{00000000-0004-0000-0200-000037010000}"/>
    <hyperlink ref="B350" r:id="rId313" display="https://centrodecapacitaciondelsur.com/soporte-basico-de-vida-" xr:uid="{00000000-0004-0000-0200-000038010000}"/>
    <hyperlink ref="B351" r:id="rId314" display="https://centrodecapacitaciondelsur.com/soporte-basico-de-vida-" xr:uid="{00000000-0004-0000-0200-000039010000}"/>
    <hyperlink ref="B352" r:id="rId315" display="https://centrodecapacitaciondelsur.com/soporte-basico-de-vida-" xr:uid="{00000000-0004-0000-0200-00003A010000}"/>
    <hyperlink ref="B353" r:id="rId316" display="https://centrodecapacitaciondelsur.com/soporte-basico-de-vida-" xr:uid="{00000000-0004-0000-0200-00003B010000}"/>
    <hyperlink ref="B354" r:id="rId317" display="https://centrodecapacitaciondelsur.com/soporte-basico-de-vida-" xr:uid="{00000000-0004-0000-0200-00003C010000}"/>
    <hyperlink ref="B355" r:id="rId318" display="https://centrodecapacitaciondelsur.com/soporte-basico-de-vida-" xr:uid="{00000000-0004-0000-0200-00003D010000}"/>
  </hyperlinks>
  <pageMargins left="0.7" right="0.7" top="0.75" bottom="0.75" header="0.3" footer="0.3"/>
  <pageSetup orientation="portrait" r:id="rId319"/>
  <drawing r:id="rId3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INSCRITOS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CCS-Pc</cp:lastModifiedBy>
  <cp:lastPrinted>2023-10-09T20:56:18Z</cp:lastPrinted>
  <dcterms:created xsi:type="dcterms:W3CDTF">2023-09-02T16:45:54Z</dcterms:created>
  <dcterms:modified xsi:type="dcterms:W3CDTF">2025-05-02T21:18:37Z</dcterms:modified>
</cp:coreProperties>
</file>