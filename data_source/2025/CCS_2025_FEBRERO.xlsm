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cuments\MEGA\PROYECTOS\CCS\Analisis CCS\Python-analisys\data_source\2025\"/>
    </mc:Choice>
  </mc:AlternateContent>
  <xr:revisionPtr revIDLastSave="0" documentId="13_ncr:1_{BC6F9AAA-1725-4EBB-B466-C3BCF3B5D7BE}" xr6:coauthVersionLast="47" xr6:coauthVersionMax="47" xr10:uidLastSave="{00000000-0000-0000-0000-000000000000}"/>
  <bookViews>
    <workbookView xWindow="-120" yWindow="-120" windowWidth="29040" windowHeight="15720" tabRatio="608" xr2:uid="{00000000-000D-0000-FFFF-FFFF00000000}"/>
  </bookViews>
  <sheets>
    <sheet name="INSCRITOS" sheetId="1" r:id="rId1"/>
  </sheets>
  <functionGroups builtInGroupCount="19"/>
  <definedNames>
    <definedName name="_xlnm._FilterDatabase" localSheetId="0" hidden="1">INSCRITOS!$A$1:$Y$329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1" l="1"/>
  <c r="L6" i="1"/>
  <c r="L5" i="1"/>
  <c r="L4" i="1"/>
  <c r="L3" i="1"/>
  <c r="V80" i="1"/>
  <c r="W80" i="1"/>
  <c r="X80" i="1" s="1"/>
  <c r="V81" i="1"/>
  <c r="W81" i="1"/>
  <c r="X81" i="1" s="1"/>
  <c r="V82" i="1"/>
  <c r="W82" i="1"/>
  <c r="X82" i="1" s="1"/>
  <c r="V83" i="1"/>
  <c r="W83" i="1"/>
  <c r="X83" i="1" s="1"/>
  <c r="V84" i="1"/>
  <c r="W84" i="1"/>
  <c r="Y84" i="1" s="1"/>
  <c r="V85" i="1"/>
  <c r="W85" i="1"/>
  <c r="X85" i="1" s="1"/>
  <c r="V86" i="1"/>
  <c r="W86" i="1"/>
  <c r="Y86" i="1" s="1"/>
  <c r="V87" i="1"/>
  <c r="W87" i="1"/>
  <c r="X87" i="1" s="1"/>
  <c r="V88" i="1"/>
  <c r="W88" i="1"/>
  <c r="X88" i="1" s="1"/>
  <c r="V89" i="1"/>
  <c r="W89" i="1"/>
  <c r="X89" i="1" s="1"/>
  <c r="V90" i="1"/>
  <c r="W90" i="1"/>
  <c r="X90" i="1" s="1"/>
  <c r="V91" i="1"/>
  <c r="W91" i="1"/>
  <c r="X91" i="1" s="1"/>
  <c r="V92" i="1"/>
  <c r="W92" i="1"/>
  <c r="X92" i="1" s="1"/>
  <c r="V93" i="1"/>
  <c r="W93" i="1"/>
  <c r="X93" i="1" s="1"/>
  <c r="V94" i="1"/>
  <c r="W94" i="1"/>
  <c r="X94" i="1" s="1"/>
  <c r="V95" i="1"/>
  <c r="W95" i="1"/>
  <c r="X95" i="1" s="1"/>
  <c r="V96" i="1"/>
  <c r="W96" i="1"/>
  <c r="Y96" i="1" s="1"/>
  <c r="V97" i="1"/>
  <c r="W97" i="1"/>
  <c r="X97" i="1" s="1"/>
  <c r="V98" i="1"/>
  <c r="W98" i="1"/>
  <c r="X98" i="1" s="1"/>
  <c r="V99" i="1"/>
  <c r="W99" i="1"/>
  <c r="X99" i="1" s="1"/>
  <c r="V100" i="1"/>
  <c r="W100" i="1"/>
  <c r="Y100" i="1" s="1"/>
  <c r="V101" i="1"/>
  <c r="W101" i="1"/>
  <c r="X101" i="1" s="1"/>
  <c r="V102" i="1"/>
  <c r="W102" i="1"/>
  <c r="X102" i="1" s="1"/>
  <c r="V103" i="1"/>
  <c r="W103" i="1"/>
  <c r="X103" i="1" s="1"/>
  <c r="V104" i="1"/>
  <c r="W104" i="1"/>
  <c r="X104" i="1" s="1"/>
  <c r="V105" i="1"/>
  <c r="W105" i="1"/>
  <c r="X105" i="1" s="1"/>
  <c r="V106" i="1"/>
  <c r="W106" i="1"/>
  <c r="X106" i="1" s="1"/>
  <c r="V107" i="1"/>
  <c r="W107" i="1"/>
  <c r="X107" i="1" s="1"/>
  <c r="V108" i="1"/>
  <c r="W108" i="1"/>
  <c r="X108" i="1" s="1"/>
  <c r="V109" i="1"/>
  <c r="W109" i="1"/>
  <c r="X109" i="1" s="1"/>
  <c r="V110" i="1"/>
  <c r="W110" i="1"/>
  <c r="Y110" i="1" s="1"/>
  <c r="V111" i="1"/>
  <c r="W111" i="1"/>
  <c r="X111" i="1" s="1"/>
  <c r="V112" i="1"/>
  <c r="W112" i="1"/>
  <c r="X112" i="1" s="1"/>
  <c r="V113" i="1"/>
  <c r="W113" i="1"/>
  <c r="X113" i="1" s="1"/>
  <c r="V114" i="1"/>
  <c r="W114" i="1"/>
  <c r="X114" i="1" s="1"/>
  <c r="V115" i="1"/>
  <c r="W115" i="1"/>
  <c r="X115" i="1" s="1"/>
  <c r="V116" i="1"/>
  <c r="W116" i="1"/>
  <c r="X116" i="1" s="1"/>
  <c r="V117" i="1"/>
  <c r="W117" i="1"/>
  <c r="X117" i="1" s="1"/>
  <c r="V118" i="1"/>
  <c r="W118" i="1"/>
  <c r="X118" i="1" s="1"/>
  <c r="V119" i="1"/>
  <c r="W119" i="1"/>
  <c r="X119" i="1" s="1"/>
  <c r="V120" i="1"/>
  <c r="W120" i="1"/>
  <c r="Y120" i="1" s="1"/>
  <c r="V121" i="1"/>
  <c r="W121" i="1"/>
  <c r="X121" i="1" s="1"/>
  <c r="V122" i="1"/>
  <c r="W122" i="1"/>
  <c r="X122" i="1" s="1"/>
  <c r="V123" i="1"/>
  <c r="W123" i="1"/>
  <c r="X123" i="1" s="1"/>
  <c r="V124" i="1"/>
  <c r="W124" i="1"/>
  <c r="X124" i="1" s="1"/>
  <c r="W125" i="1"/>
  <c r="X125" i="1" s="1"/>
  <c r="V126" i="1"/>
  <c r="W126" i="1"/>
  <c r="X126" i="1" s="1"/>
  <c r="V127" i="1"/>
  <c r="W127" i="1"/>
  <c r="X127" i="1" s="1"/>
  <c r="V128" i="1"/>
  <c r="W128" i="1"/>
  <c r="X128" i="1" s="1"/>
  <c r="V129" i="1"/>
  <c r="W129" i="1"/>
  <c r="X129" i="1" s="1"/>
  <c r="V130" i="1"/>
  <c r="W130" i="1"/>
  <c r="X130" i="1" s="1"/>
  <c r="V131" i="1"/>
  <c r="W131" i="1"/>
  <c r="X131" i="1" s="1"/>
  <c r="V132" i="1"/>
  <c r="W132" i="1"/>
  <c r="X132" i="1" s="1"/>
  <c r="V133" i="1"/>
  <c r="W133" i="1"/>
  <c r="X133" i="1" s="1"/>
  <c r="V134" i="1"/>
  <c r="W134" i="1"/>
  <c r="Y134" i="1" s="1"/>
  <c r="V135" i="1"/>
  <c r="W135" i="1"/>
  <c r="X135" i="1" s="1"/>
  <c r="V136" i="1"/>
  <c r="W136" i="1"/>
  <c r="X136" i="1" s="1"/>
  <c r="V137" i="1"/>
  <c r="W137" i="1"/>
  <c r="X137" i="1" s="1"/>
  <c r="V138" i="1"/>
  <c r="W138" i="1"/>
  <c r="X138" i="1" s="1"/>
  <c r="V139" i="1"/>
  <c r="W139" i="1"/>
  <c r="X139" i="1" s="1"/>
  <c r="V140" i="1"/>
  <c r="W140" i="1"/>
  <c r="Y140" i="1" s="1"/>
  <c r="V141" i="1"/>
  <c r="W141" i="1"/>
  <c r="X141" i="1" s="1"/>
  <c r="V142" i="1"/>
  <c r="W142" i="1"/>
  <c r="X142" i="1" s="1"/>
  <c r="V143" i="1"/>
  <c r="W143" i="1"/>
  <c r="X143" i="1" s="1"/>
  <c r="V144" i="1"/>
  <c r="W144" i="1"/>
  <c r="X144" i="1" s="1"/>
  <c r="V145" i="1"/>
  <c r="W145" i="1"/>
  <c r="X145" i="1" s="1"/>
  <c r="V146" i="1"/>
  <c r="W146" i="1"/>
  <c r="Y146" i="1" s="1"/>
  <c r="V147" i="1"/>
  <c r="W147" i="1"/>
  <c r="X147" i="1" s="1"/>
  <c r="V148" i="1"/>
  <c r="W148" i="1"/>
  <c r="X148" i="1" s="1"/>
  <c r="V149" i="1"/>
  <c r="W149" i="1"/>
  <c r="X149" i="1" s="1"/>
  <c r="V150" i="1"/>
  <c r="W150" i="1"/>
  <c r="X150" i="1" s="1"/>
  <c r="V151" i="1"/>
  <c r="W151" i="1"/>
  <c r="X151" i="1" s="1"/>
  <c r="V152" i="1"/>
  <c r="W152" i="1"/>
  <c r="X152" i="1" s="1"/>
  <c r="V153" i="1"/>
  <c r="W153" i="1"/>
  <c r="X153" i="1" s="1"/>
  <c r="V154" i="1"/>
  <c r="W154" i="1"/>
  <c r="X154" i="1" s="1"/>
  <c r="V155" i="1"/>
  <c r="W155" i="1"/>
  <c r="X155" i="1" s="1"/>
  <c r="V156" i="1"/>
  <c r="W156" i="1"/>
  <c r="Y156" i="1" s="1"/>
  <c r="V157" i="1"/>
  <c r="W157" i="1"/>
  <c r="X157" i="1" s="1"/>
  <c r="V158" i="1"/>
  <c r="W158" i="1"/>
  <c r="X158" i="1" s="1"/>
  <c r="V159" i="1"/>
  <c r="W159" i="1"/>
  <c r="X159" i="1" s="1"/>
  <c r="V160" i="1"/>
  <c r="W160" i="1"/>
  <c r="X160" i="1" s="1"/>
  <c r="V161" i="1"/>
  <c r="W161" i="1"/>
  <c r="X161" i="1" s="1"/>
  <c r="V162" i="1"/>
  <c r="W162" i="1"/>
  <c r="X162" i="1" s="1"/>
  <c r="V163" i="1"/>
  <c r="W163" i="1"/>
  <c r="X163" i="1" s="1"/>
  <c r="V164" i="1"/>
  <c r="W164" i="1"/>
  <c r="X164" i="1" s="1"/>
  <c r="V165" i="1"/>
  <c r="W165" i="1"/>
  <c r="X165" i="1" s="1"/>
  <c r="V166" i="1"/>
  <c r="W166" i="1"/>
  <c r="X166" i="1" s="1"/>
  <c r="V167" i="1"/>
  <c r="W167" i="1"/>
  <c r="X167" i="1" s="1"/>
  <c r="V168" i="1"/>
  <c r="W168" i="1"/>
  <c r="X168" i="1" s="1"/>
  <c r="V169" i="1"/>
  <c r="W169" i="1"/>
  <c r="X169" i="1" s="1"/>
  <c r="V170" i="1"/>
  <c r="W170" i="1"/>
  <c r="X170" i="1" s="1"/>
  <c r="V171" i="1"/>
  <c r="W171" i="1"/>
  <c r="X171" i="1" s="1"/>
  <c r="V172" i="1"/>
  <c r="W172" i="1"/>
  <c r="X172" i="1" s="1"/>
  <c r="V173" i="1"/>
  <c r="W173" i="1"/>
  <c r="X173" i="1" s="1"/>
  <c r="V174" i="1"/>
  <c r="W174" i="1"/>
  <c r="Y174" i="1" s="1"/>
  <c r="V175" i="1"/>
  <c r="W175" i="1"/>
  <c r="X175" i="1" s="1"/>
  <c r="V176" i="1"/>
  <c r="W176" i="1"/>
  <c r="X176" i="1" s="1"/>
  <c r="V177" i="1"/>
  <c r="W177" i="1"/>
  <c r="X177" i="1" s="1"/>
  <c r="V178" i="1"/>
  <c r="W178" i="1"/>
  <c r="Y178" i="1" s="1"/>
  <c r="V179" i="1"/>
  <c r="W179" i="1"/>
  <c r="X179" i="1" s="1"/>
  <c r="V180" i="1"/>
  <c r="W180" i="1"/>
  <c r="Y180" i="1" s="1"/>
  <c r="V181" i="1"/>
  <c r="W181" i="1"/>
  <c r="X181" i="1" s="1"/>
  <c r="V182" i="1"/>
  <c r="W182" i="1"/>
  <c r="X182" i="1" s="1"/>
  <c r="V183" i="1"/>
  <c r="W183" i="1"/>
  <c r="X183" i="1" s="1"/>
  <c r="V184" i="1"/>
  <c r="W184" i="1"/>
  <c r="X184" i="1" s="1"/>
  <c r="V185" i="1"/>
  <c r="W185" i="1"/>
  <c r="X185" i="1" s="1"/>
  <c r="V186" i="1"/>
  <c r="W186" i="1"/>
  <c r="Y186" i="1" s="1"/>
  <c r="V187" i="1"/>
  <c r="W187" i="1"/>
  <c r="X187" i="1" s="1"/>
  <c r="V188" i="1"/>
  <c r="W188" i="1"/>
  <c r="X188" i="1" s="1"/>
  <c r="V189" i="1"/>
  <c r="W189" i="1"/>
  <c r="X189" i="1" s="1"/>
  <c r="V190" i="1"/>
  <c r="W190" i="1"/>
  <c r="Y190" i="1" s="1"/>
  <c r="V191" i="1"/>
  <c r="W191" i="1"/>
  <c r="X191" i="1" s="1"/>
  <c r="V192" i="1"/>
  <c r="W192" i="1"/>
  <c r="X192" i="1" s="1"/>
  <c r="V193" i="1"/>
  <c r="W193" i="1"/>
  <c r="X193" i="1" s="1"/>
  <c r="V194" i="1"/>
  <c r="W194" i="1"/>
  <c r="X194" i="1" s="1"/>
  <c r="V195" i="1"/>
  <c r="W195" i="1"/>
  <c r="Y195" i="1" s="1"/>
  <c r="W196" i="1"/>
  <c r="X196" i="1" s="1"/>
  <c r="V197" i="1"/>
  <c r="W197" i="1"/>
  <c r="X197" i="1" s="1"/>
  <c r="V198" i="1"/>
  <c r="W198" i="1"/>
  <c r="X198" i="1" s="1"/>
  <c r="W199" i="1"/>
  <c r="X199" i="1" s="1"/>
  <c r="V200" i="1"/>
  <c r="W200" i="1"/>
  <c r="X200" i="1" s="1"/>
  <c r="V201" i="1"/>
  <c r="W201" i="1"/>
  <c r="X201" i="1" s="1"/>
  <c r="V202" i="1"/>
  <c r="W202" i="1"/>
  <c r="X202" i="1" s="1"/>
  <c r="V203" i="1"/>
  <c r="W203" i="1"/>
  <c r="Y203" i="1" s="1"/>
  <c r="V204" i="1"/>
  <c r="W204" i="1"/>
  <c r="X204" i="1" s="1"/>
  <c r="V205" i="1"/>
  <c r="W205" i="1"/>
  <c r="X205" i="1" s="1"/>
  <c r="V206" i="1"/>
  <c r="W206" i="1"/>
  <c r="X206" i="1" s="1"/>
  <c r="V207" i="1"/>
  <c r="W207" i="1"/>
  <c r="X207" i="1" s="1"/>
  <c r="V208" i="1"/>
  <c r="W208" i="1"/>
  <c r="X208" i="1" s="1"/>
  <c r="V209" i="1"/>
  <c r="W209" i="1"/>
  <c r="X209" i="1" s="1"/>
  <c r="V210" i="1"/>
  <c r="W210" i="1"/>
  <c r="X210" i="1" s="1"/>
  <c r="V211" i="1"/>
  <c r="W211" i="1"/>
  <c r="Y211" i="1" s="1"/>
  <c r="V212" i="1"/>
  <c r="W212" i="1"/>
  <c r="X212" i="1" s="1"/>
  <c r="V213" i="1"/>
  <c r="W213" i="1"/>
  <c r="Y213" i="1" s="1"/>
  <c r="V214" i="1"/>
  <c r="W214" i="1"/>
  <c r="X214" i="1" s="1"/>
  <c r="V215" i="1"/>
  <c r="W215" i="1"/>
  <c r="X215" i="1" s="1"/>
  <c r="V216" i="1"/>
  <c r="W216" i="1"/>
  <c r="X216" i="1" s="1"/>
  <c r="V217" i="1"/>
  <c r="W217" i="1"/>
  <c r="X217" i="1" s="1"/>
  <c r="V218" i="1"/>
  <c r="W218" i="1"/>
  <c r="X218" i="1" s="1"/>
  <c r="V219" i="1"/>
  <c r="W219" i="1"/>
  <c r="Y219" i="1" s="1"/>
  <c r="V220" i="1"/>
  <c r="W220" i="1"/>
  <c r="X220" i="1" s="1"/>
  <c r="V221" i="1"/>
  <c r="W221" i="1"/>
  <c r="Y221" i="1" s="1"/>
  <c r="V222" i="1"/>
  <c r="W222" i="1"/>
  <c r="X222" i="1" s="1"/>
  <c r="V223" i="1"/>
  <c r="W223" i="1"/>
  <c r="Y223" i="1" s="1"/>
  <c r="V224" i="1"/>
  <c r="W224" i="1"/>
  <c r="X224" i="1" s="1"/>
  <c r="V225" i="1"/>
  <c r="W225" i="1"/>
  <c r="X225" i="1" s="1"/>
  <c r="V226" i="1"/>
  <c r="W226" i="1"/>
  <c r="X226" i="1" s="1"/>
  <c r="V227" i="1"/>
  <c r="W227" i="1"/>
  <c r="Y227" i="1" s="1"/>
  <c r="V228" i="1"/>
  <c r="W228" i="1"/>
  <c r="X228" i="1" s="1"/>
  <c r="V229" i="1"/>
  <c r="W229" i="1"/>
  <c r="Y229" i="1" s="1"/>
  <c r="V230" i="1"/>
  <c r="W230" i="1"/>
  <c r="X230" i="1" s="1"/>
  <c r="V231" i="1"/>
  <c r="W231" i="1"/>
  <c r="Y231" i="1" s="1"/>
  <c r="V232" i="1"/>
  <c r="W232" i="1"/>
  <c r="X232" i="1" s="1"/>
  <c r="V233" i="1"/>
  <c r="W233" i="1"/>
  <c r="X233" i="1" s="1"/>
  <c r="V234" i="1"/>
  <c r="W234" i="1"/>
  <c r="X234" i="1" s="1"/>
  <c r="V235" i="1"/>
  <c r="W235" i="1"/>
  <c r="Y235" i="1" s="1"/>
  <c r="V236" i="1"/>
  <c r="W236" i="1"/>
  <c r="X236" i="1" s="1"/>
  <c r="V237" i="1"/>
  <c r="W237" i="1"/>
  <c r="Y237" i="1" s="1"/>
  <c r="V238" i="1"/>
  <c r="W238" i="1"/>
  <c r="X238" i="1" s="1"/>
  <c r="V239" i="1"/>
  <c r="W239" i="1"/>
  <c r="Y239" i="1" s="1"/>
  <c r="V240" i="1"/>
  <c r="W240" i="1"/>
  <c r="X240" i="1" s="1"/>
  <c r="V241" i="1"/>
  <c r="W241" i="1"/>
  <c r="Y241" i="1" s="1"/>
  <c r="V242" i="1"/>
  <c r="W242" i="1"/>
  <c r="X242" i="1" s="1"/>
  <c r="V243" i="1"/>
  <c r="W243" i="1"/>
  <c r="Y243" i="1" s="1"/>
  <c r="V28" i="1"/>
  <c r="W28" i="1"/>
  <c r="X28" i="1" s="1"/>
  <c r="V29" i="1"/>
  <c r="W29" i="1"/>
  <c r="X29" i="1" s="1"/>
  <c r="X84" i="1" l="1"/>
  <c r="X120" i="1"/>
  <c r="X239" i="1"/>
  <c r="X211" i="1"/>
  <c r="X146" i="1"/>
  <c r="Y233" i="1"/>
  <c r="X241" i="1"/>
  <c r="Y209" i="1"/>
  <c r="X219" i="1"/>
  <c r="Y225" i="1"/>
  <c r="Y108" i="1"/>
  <c r="X213" i="1"/>
  <c r="X203" i="1"/>
  <c r="Y217" i="1"/>
  <c r="X235" i="1"/>
  <c r="X229" i="1"/>
  <c r="X223" i="1"/>
  <c r="Y128" i="1"/>
  <c r="X86" i="1"/>
  <c r="X243" i="1"/>
  <c r="X237" i="1"/>
  <c r="X231" i="1"/>
  <c r="X134" i="1"/>
  <c r="Y88" i="1"/>
  <c r="Y82" i="1"/>
  <c r="X227" i="1"/>
  <c r="X221" i="1"/>
  <c r="Y201" i="1"/>
  <c r="X195" i="1"/>
  <c r="Y193" i="1"/>
  <c r="Y80" i="1"/>
  <c r="X186" i="1"/>
  <c r="X96" i="1"/>
  <c r="Y205" i="1"/>
  <c r="Y197" i="1"/>
  <c r="X178" i="1"/>
  <c r="X110" i="1"/>
  <c r="Y215" i="1"/>
  <c r="Y207" i="1"/>
  <c r="Y199" i="1"/>
  <c r="Y191" i="1"/>
  <c r="Y142" i="1"/>
  <c r="X180" i="1"/>
  <c r="Y116" i="1"/>
  <c r="X190" i="1"/>
  <c r="Y188" i="1"/>
  <c r="Y184" i="1"/>
  <c r="Y182" i="1"/>
  <c r="Y176" i="1"/>
  <c r="X174" i="1"/>
  <c r="Y172" i="1"/>
  <c r="Y170" i="1"/>
  <c r="Y168" i="1"/>
  <c r="Y166" i="1"/>
  <c r="Y164" i="1"/>
  <c r="Y162" i="1"/>
  <c r="Y160" i="1"/>
  <c r="Y158" i="1"/>
  <c r="X156" i="1"/>
  <c r="Y154" i="1"/>
  <c r="Y152" i="1"/>
  <c r="Y150" i="1"/>
  <c r="Y148" i="1"/>
  <c r="Y144" i="1"/>
  <c r="X140" i="1"/>
  <c r="Y138" i="1"/>
  <c r="Y136" i="1"/>
  <c r="Y132" i="1"/>
  <c r="Y130" i="1"/>
  <c r="Y126" i="1"/>
  <c r="Y124" i="1"/>
  <c r="Y122" i="1"/>
  <c r="Y118" i="1"/>
  <c r="Y114" i="1"/>
  <c r="Y112" i="1"/>
  <c r="Y106" i="1"/>
  <c r="Y104" i="1"/>
  <c r="Y102" i="1"/>
  <c r="X100" i="1"/>
  <c r="Y98" i="1"/>
  <c r="Y94" i="1"/>
  <c r="Y92" i="1"/>
  <c r="Y90" i="1"/>
  <c r="Y242" i="1"/>
  <c r="Y240" i="1"/>
  <c r="Y238" i="1"/>
  <c r="Y236" i="1"/>
  <c r="Y234" i="1"/>
  <c r="Y232" i="1"/>
  <c r="Y230" i="1"/>
  <c r="Y228" i="1"/>
  <c r="Y226" i="1"/>
  <c r="Y224" i="1"/>
  <c r="Y222" i="1"/>
  <c r="Y220" i="1"/>
  <c r="Y218" i="1"/>
  <c r="Y216" i="1"/>
  <c r="Y214" i="1"/>
  <c r="Y212" i="1"/>
  <c r="Y210" i="1"/>
  <c r="Y208" i="1"/>
  <c r="Y206" i="1"/>
  <c r="Y204" i="1"/>
  <c r="Y202" i="1"/>
  <c r="Y200" i="1"/>
  <c r="Y198" i="1"/>
  <c r="Y196" i="1"/>
  <c r="Y194" i="1"/>
  <c r="Y192" i="1"/>
  <c r="Y189" i="1"/>
  <c r="Y187" i="1"/>
  <c r="Y185" i="1"/>
  <c r="Y183" i="1"/>
  <c r="Y181" i="1"/>
  <c r="Y179" i="1"/>
  <c r="Y177" i="1"/>
  <c r="Y175" i="1"/>
  <c r="Y173" i="1"/>
  <c r="Y171" i="1"/>
  <c r="Y169" i="1"/>
  <c r="Y167" i="1"/>
  <c r="Y165" i="1"/>
  <c r="Y163" i="1"/>
  <c r="Y161" i="1"/>
  <c r="Y159" i="1"/>
  <c r="Y157" i="1"/>
  <c r="Y155" i="1"/>
  <c r="Y153" i="1"/>
  <c r="Y151" i="1"/>
  <c r="Y149" i="1"/>
  <c r="Y147" i="1"/>
  <c r="Y145" i="1"/>
  <c r="Y143" i="1"/>
  <c r="Y141" i="1"/>
  <c r="Y139" i="1"/>
  <c r="Y137" i="1"/>
  <c r="Y135" i="1"/>
  <c r="Y133" i="1"/>
  <c r="Y131" i="1"/>
  <c r="Y129" i="1"/>
  <c r="Y127" i="1"/>
  <c r="Y125" i="1"/>
  <c r="Y123" i="1"/>
  <c r="Y121" i="1"/>
  <c r="Y119" i="1"/>
  <c r="Y117" i="1"/>
  <c r="Y115" i="1"/>
  <c r="Y113" i="1"/>
  <c r="Y111" i="1"/>
  <c r="Y109" i="1"/>
  <c r="Y107" i="1"/>
  <c r="Y105" i="1"/>
  <c r="Y103" i="1"/>
  <c r="Y101" i="1"/>
  <c r="Y99" i="1"/>
  <c r="Y97" i="1"/>
  <c r="Y95" i="1"/>
  <c r="Y93" i="1"/>
  <c r="Y91" i="1"/>
  <c r="Y89" i="1"/>
  <c r="Y87" i="1"/>
  <c r="Y85" i="1"/>
  <c r="Y83" i="1"/>
  <c r="Y81" i="1"/>
  <c r="Y29" i="1"/>
  <c r="Y28" i="1"/>
  <c r="V4" i="1"/>
  <c r="W4" i="1"/>
  <c r="V5" i="1"/>
  <c r="W5" i="1"/>
  <c r="X5" i="1" s="1"/>
  <c r="V6" i="1"/>
  <c r="W6" i="1"/>
  <c r="V7" i="1"/>
  <c r="W7" i="1"/>
  <c r="X7" i="1" s="1"/>
  <c r="V8" i="1"/>
  <c r="W8" i="1"/>
  <c r="V9" i="1"/>
  <c r="W9" i="1"/>
  <c r="X9" i="1" s="1"/>
  <c r="V10" i="1"/>
  <c r="W10" i="1"/>
  <c r="V11" i="1"/>
  <c r="W11" i="1"/>
  <c r="X11" i="1" s="1"/>
  <c r="V12" i="1"/>
  <c r="W12" i="1"/>
  <c r="V13" i="1"/>
  <c r="W13" i="1"/>
  <c r="X13" i="1" s="1"/>
  <c r="V14" i="1"/>
  <c r="W14" i="1"/>
  <c r="V15" i="1"/>
  <c r="W15" i="1"/>
  <c r="X15" i="1" s="1"/>
  <c r="V16" i="1"/>
  <c r="W16" i="1"/>
  <c r="V17" i="1"/>
  <c r="W17" i="1"/>
  <c r="X17" i="1" s="1"/>
  <c r="V18" i="1"/>
  <c r="W18" i="1"/>
  <c r="V19" i="1"/>
  <c r="W19" i="1"/>
  <c r="X19" i="1" s="1"/>
  <c r="V20" i="1"/>
  <c r="W20" i="1"/>
  <c r="V21" i="1"/>
  <c r="W21" i="1"/>
  <c r="X21" i="1" s="1"/>
  <c r="V22" i="1"/>
  <c r="W22" i="1"/>
  <c r="V23" i="1"/>
  <c r="W23" i="1"/>
  <c r="X23" i="1" s="1"/>
  <c r="V24" i="1"/>
  <c r="W24" i="1"/>
  <c r="V25" i="1"/>
  <c r="W25" i="1"/>
  <c r="X25" i="1" s="1"/>
  <c r="V26" i="1"/>
  <c r="W26" i="1"/>
  <c r="V27" i="1"/>
  <c r="W27" i="1"/>
  <c r="X27" i="1" s="1"/>
  <c r="V30" i="1"/>
  <c r="W30" i="1"/>
  <c r="V31" i="1"/>
  <c r="W31" i="1"/>
  <c r="X31" i="1" s="1"/>
  <c r="V32" i="1"/>
  <c r="W32" i="1"/>
  <c r="V33" i="1"/>
  <c r="W33" i="1"/>
  <c r="X33" i="1" s="1"/>
  <c r="V34" i="1"/>
  <c r="W34" i="1"/>
  <c r="V35" i="1"/>
  <c r="W35" i="1"/>
  <c r="X35" i="1" s="1"/>
  <c r="V36" i="1"/>
  <c r="W36" i="1"/>
  <c r="V37" i="1"/>
  <c r="W37" i="1"/>
  <c r="X37" i="1" s="1"/>
  <c r="V38" i="1"/>
  <c r="W38" i="1"/>
  <c r="V39" i="1"/>
  <c r="W39" i="1"/>
  <c r="X39" i="1" s="1"/>
  <c r="V40" i="1"/>
  <c r="W40" i="1"/>
  <c r="V41" i="1"/>
  <c r="W41" i="1"/>
  <c r="X41" i="1" s="1"/>
  <c r="V42" i="1"/>
  <c r="W42" i="1"/>
  <c r="V43" i="1"/>
  <c r="W43" i="1"/>
  <c r="X43" i="1" s="1"/>
  <c r="V44" i="1"/>
  <c r="W44" i="1"/>
  <c r="V45" i="1"/>
  <c r="W45" i="1"/>
  <c r="X45" i="1" s="1"/>
  <c r="V46" i="1"/>
  <c r="W46" i="1"/>
  <c r="V47" i="1"/>
  <c r="W47" i="1"/>
  <c r="X47" i="1" s="1"/>
  <c r="V48" i="1"/>
  <c r="W48" i="1"/>
  <c r="V49" i="1"/>
  <c r="W49" i="1"/>
  <c r="X49" i="1" s="1"/>
  <c r="V50" i="1"/>
  <c r="W50" i="1"/>
  <c r="X50" i="1" s="1"/>
  <c r="V51" i="1"/>
  <c r="W51" i="1"/>
  <c r="X51" i="1" s="1"/>
  <c r="W52" i="1"/>
  <c r="X52" i="1" s="1"/>
  <c r="V53" i="1"/>
  <c r="W53" i="1"/>
  <c r="X53" i="1" s="1"/>
  <c r="V54" i="1"/>
  <c r="W54" i="1"/>
  <c r="X54" i="1" s="1"/>
  <c r="V55" i="1"/>
  <c r="W55" i="1"/>
  <c r="X55" i="1" s="1"/>
  <c r="V56" i="1"/>
  <c r="W56" i="1"/>
  <c r="X56" i="1" s="1"/>
  <c r="V57" i="1"/>
  <c r="W57" i="1"/>
  <c r="X57" i="1" s="1"/>
  <c r="V58" i="1"/>
  <c r="W58" i="1"/>
  <c r="X58" i="1" s="1"/>
  <c r="V59" i="1"/>
  <c r="W59" i="1"/>
  <c r="X59" i="1" s="1"/>
  <c r="V60" i="1"/>
  <c r="W60" i="1"/>
  <c r="X60" i="1" s="1"/>
  <c r="V61" i="1"/>
  <c r="W61" i="1"/>
  <c r="X61" i="1" s="1"/>
  <c r="V62" i="1"/>
  <c r="W62" i="1"/>
  <c r="X62" i="1" s="1"/>
  <c r="V63" i="1"/>
  <c r="W63" i="1"/>
  <c r="X63" i="1" s="1"/>
  <c r="V64" i="1"/>
  <c r="W64" i="1"/>
  <c r="X64" i="1" s="1"/>
  <c r="V65" i="1"/>
  <c r="W65" i="1"/>
  <c r="X65" i="1" s="1"/>
  <c r="V66" i="1"/>
  <c r="W66" i="1"/>
  <c r="X66" i="1" s="1"/>
  <c r="V67" i="1"/>
  <c r="W67" i="1"/>
  <c r="X67" i="1" s="1"/>
  <c r="V68" i="1"/>
  <c r="W68" i="1"/>
  <c r="X68" i="1" s="1"/>
  <c r="V69" i="1"/>
  <c r="W69" i="1"/>
  <c r="X69" i="1" s="1"/>
  <c r="V70" i="1"/>
  <c r="W70" i="1"/>
  <c r="X70" i="1" s="1"/>
  <c r="V71" i="1"/>
  <c r="W71" i="1"/>
  <c r="X71" i="1" s="1"/>
  <c r="V72" i="1"/>
  <c r="W72" i="1"/>
  <c r="X72" i="1" s="1"/>
  <c r="V73" i="1"/>
  <c r="W73" i="1"/>
  <c r="X73" i="1" s="1"/>
  <c r="V74" i="1"/>
  <c r="W74" i="1"/>
  <c r="X74" i="1" s="1"/>
  <c r="V75" i="1"/>
  <c r="W75" i="1"/>
  <c r="X75" i="1" s="1"/>
  <c r="V76" i="1"/>
  <c r="W76" i="1"/>
  <c r="X76" i="1" s="1"/>
  <c r="V77" i="1"/>
  <c r="W77" i="1"/>
  <c r="X77" i="1" s="1"/>
  <c r="V78" i="1"/>
  <c r="W78" i="1"/>
  <c r="X78" i="1" s="1"/>
  <c r="V79" i="1"/>
  <c r="W79" i="1"/>
  <c r="X79" i="1" s="1"/>
  <c r="L2" i="1"/>
  <c r="Y69" i="1" l="1"/>
  <c r="Y54" i="1"/>
  <c r="Y9" i="1"/>
  <c r="Y79" i="1"/>
  <c r="Y72" i="1"/>
  <c r="Y78" i="1"/>
  <c r="Y70" i="1"/>
  <c r="Y43" i="1"/>
  <c r="Y61" i="1"/>
  <c r="Y56" i="1"/>
  <c r="Y64" i="1"/>
  <c r="Y7" i="1"/>
  <c r="Y5" i="1"/>
  <c r="Y63" i="1"/>
  <c r="Y60" i="1"/>
  <c r="Y55" i="1"/>
  <c r="Y52" i="1"/>
  <c r="Y39" i="1"/>
  <c r="Y27" i="1"/>
  <c r="Y23" i="1"/>
  <c r="Y19" i="1"/>
  <c r="Y17" i="1"/>
  <c r="Y15" i="1"/>
  <c r="Y71" i="1"/>
  <c r="Y62" i="1"/>
  <c r="Y53" i="1"/>
  <c r="Y21" i="1"/>
  <c r="Y77" i="1"/>
  <c r="Y68" i="1"/>
  <c r="Y35" i="1"/>
  <c r="Y76" i="1"/>
  <c r="Y37" i="1"/>
  <c r="Y13" i="1"/>
  <c r="Y11" i="1"/>
  <c r="Y41" i="1"/>
  <c r="X38" i="1"/>
  <c r="Y38" i="1"/>
  <c r="Y25" i="1"/>
  <c r="X22" i="1"/>
  <c r="Y22" i="1"/>
  <c r="X6" i="1"/>
  <c r="Y6" i="1"/>
  <c r="X48" i="1"/>
  <c r="Y48" i="1"/>
  <c r="X32" i="1"/>
  <c r="Y32" i="1"/>
  <c r="X16" i="1"/>
  <c r="Y16" i="1"/>
  <c r="Y74" i="1"/>
  <c r="Y66" i="1"/>
  <c r="Y58" i="1"/>
  <c r="Y50" i="1"/>
  <c r="Y47" i="1"/>
  <c r="X44" i="1"/>
  <c r="Y44" i="1"/>
  <c r="Y31" i="1"/>
  <c r="X12" i="1"/>
  <c r="Y12" i="1"/>
  <c r="X34" i="1"/>
  <c r="Y34" i="1"/>
  <c r="X18" i="1"/>
  <c r="Y18" i="1"/>
  <c r="X40" i="1"/>
  <c r="Y40" i="1"/>
  <c r="X24" i="1"/>
  <c r="Y24" i="1"/>
  <c r="X8" i="1"/>
  <c r="Y8" i="1"/>
  <c r="Y73" i="1"/>
  <c r="Y65" i="1"/>
  <c r="Y57" i="1"/>
  <c r="Y49" i="1"/>
  <c r="X46" i="1"/>
  <c r="Y46" i="1"/>
  <c r="Y33" i="1"/>
  <c r="X30" i="1"/>
  <c r="Y30" i="1"/>
  <c r="X14" i="1"/>
  <c r="Y14" i="1"/>
  <c r="X36" i="1"/>
  <c r="Y36" i="1"/>
  <c r="X20" i="1"/>
  <c r="Y20" i="1"/>
  <c r="X4" i="1"/>
  <c r="Y4" i="1"/>
  <c r="Y75" i="1"/>
  <c r="Y67" i="1"/>
  <c r="Y59" i="1"/>
  <c r="Y51" i="1"/>
  <c r="Y45" i="1"/>
  <c r="X42" i="1"/>
  <c r="Y42" i="1"/>
  <c r="X26" i="1"/>
  <c r="Y26" i="1"/>
  <c r="X10" i="1"/>
  <c r="Y10" i="1"/>
  <c r="V3" i="1"/>
  <c r="W3" i="1"/>
  <c r="X3" i="1" s="1"/>
  <c r="Y3" i="1" l="1"/>
  <c r="W2" i="1" l="1"/>
  <c r="Y2" i="1" s="1"/>
  <c r="V2" i="1"/>
  <c r="X2" i="1" l="1"/>
</calcChain>
</file>

<file path=xl/sharedStrings.xml><?xml version="1.0" encoding="utf-8"?>
<sst xmlns="http://schemas.openxmlformats.org/spreadsheetml/2006/main" count="2946" uniqueCount="430">
  <si>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</si>
  <si>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</si>
  <si>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</si>
  <si>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</si>
  <si>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</si>
  <si>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</si>
  <si>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</si>
  <si>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</si>
  <si>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</si>
  <si>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</si>
  <si>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</si>
  <si>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</si>
  <si>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</si>
  <si>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</si>
  <si>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</si>
  <si>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</si>
  <si>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</si>
  <si>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</si>
  <si>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</si>
  <si>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</si>
  <si>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DUELO</t>
  </si>
  <si>
    <t>QUIMICOS</t>
  </si>
  <si>
    <t>PRIMEROS AUXILIOS</t>
  </si>
  <si>
    <t>HUMANIZACION</t>
  </si>
  <si>
    <t>ACLS</t>
  </si>
  <si>
    <t>CAMILLERO</t>
  </si>
  <si>
    <t>TOMA DE MUESTRAS</t>
  </si>
  <si>
    <t>VIOLENCIA SEXUAL</t>
  </si>
  <si>
    <t>AIEPI</t>
  </si>
  <si>
    <t>ADMON DE MEDICAMENTOS</t>
  </si>
  <si>
    <t>OVE</t>
  </si>
  <si>
    <t>IAMI</t>
  </si>
  <si>
    <t>DONANTE</t>
  </si>
  <si>
    <t>PALIATIVOS</t>
  </si>
  <si>
    <t>POCT</t>
  </si>
  <si>
    <t>CONFLICTO ARMADO</t>
  </si>
  <si>
    <t>FECHA DE NACIMIENTO</t>
  </si>
  <si>
    <t>X</t>
  </si>
  <si>
    <t>ELABORO</t>
  </si>
  <si>
    <t xml:space="preserve">CORREO </t>
  </si>
  <si>
    <t>PAI</t>
  </si>
  <si>
    <t>PACIENTE</t>
  </si>
  <si>
    <t>MODALIDAD</t>
  </si>
  <si>
    <t>Galindez</t>
  </si>
  <si>
    <t>Erazo</t>
  </si>
  <si>
    <t>Anyi</t>
  </si>
  <si>
    <t>Viviana</t>
  </si>
  <si>
    <t>CAPACITACION</t>
  </si>
  <si>
    <t>CCS</t>
  </si>
  <si>
    <t>F</t>
  </si>
  <si>
    <t>TERAPEUTA OCUPACIONAL</t>
  </si>
  <si>
    <t>anyigalindez01@gmail.com</t>
  </si>
  <si>
    <t>SEBASTIAN</t>
  </si>
  <si>
    <t>Cabrera</t>
  </si>
  <si>
    <t>Daneyi</t>
  </si>
  <si>
    <t>Banesa</t>
  </si>
  <si>
    <t>Febrero</t>
  </si>
  <si>
    <t>CAMILO</t>
  </si>
  <si>
    <t>FUENTE</t>
  </si>
  <si>
    <t>ESTUDIANTE</t>
  </si>
  <si>
    <t xml:space="preserve">daneyierazo@gmail.com </t>
  </si>
  <si>
    <t>NEQUI</t>
  </si>
  <si>
    <t>ESTETICISTA</t>
  </si>
  <si>
    <t>Katerinmadronero48@gmail.com</t>
  </si>
  <si>
    <t>Madroñero</t>
  </si>
  <si>
    <t>Zambrano</t>
  </si>
  <si>
    <t>Katerin</t>
  </si>
  <si>
    <t>Yulieth</t>
  </si>
  <si>
    <t>Rodriguez</t>
  </si>
  <si>
    <t>Andrade</t>
  </si>
  <si>
    <t>Mirta</t>
  </si>
  <si>
    <t>Elizabeth</t>
  </si>
  <si>
    <t>RENOVACION</t>
  </si>
  <si>
    <t>YURANI</t>
  </si>
  <si>
    <t>AUX DE ENFERMERIA</t>
  </si>
  <si>
    <t>Narvaez</t>
  </si>
  <si>
    <t>Tatiana</t>
  </si>
  <si>
    <t>Aracely</t>
  </si>
  <si>
    <t>REGENTE DE FARMACIA</t>
  </si>
  <si>
    <t xml:space="preserve">tnarvaez210588@gmail.com </t>
  </si>
  <si>
    <t>Enero</t>
  </si>
  <si>
    <t>Benavides</t>
  </si>
  <si>
    <t>Portillo</t>
  </si>
  <si>
    <t>Ignacio</t>
  </si>
  <si>
    <t>Alexander</t>
  </si>
  <si>
    <t>M</t>
  </si>
  <si>
    <t>MEDIC@</t>
  </si>
  <si>
    <t>Alexanderbenavidesportillo@outlook.com</t>
  </si>
  <si>
    <t>REDES SOCIALES</t>
  </si>
  <si>
    <t>PROINSALUD</t>
  </si>
  <si>
    <t>BANCOLOMBIA</t>
  </si>
  <si>
    <t>COLABORADOR</t>
  </si>
  <si>
    <t>Cristian</t>
  </si>
  <si>
    <t xml:space="preserve">Homero </t>
  </si>
  <si>
    <t>rodriguezambrano97@gmail.com</t>
  </si>
  <si>
    <t>PSICOLOG@</t>
  </si>
  <si>
    <t>Alegria</t>
  </si>
  <si>
    <t>Eraso</t>
  </si>
  <si>
    <t>Luisa</t>
  </si>
  <si>
    <t>Fernanda</t>
  </si>
  <si>
    <t xml:space="preserve">luisaalegria2002@gmail.com </t>
  </si>
  <si>
    <t>Hernandez</t>
  </si>
  <si>
    <t>Paja</t>
  </si>
  <si>
    <t>Sandra</t>
  </si>
  <si>
    <t>Patricia</t>
  </si>
  <si>
    <t xml:space="preserve">sandrahdzpaja@gmail.com </t>
  </si>
  <si>
    <t>Ronald</t>
  </si>
  <si>
    <t>Fernando</t>
  </si>
  <si>
    <t>SEBAS</t>
  </si>
  <si>
    <t>ferni0705@gmail.com</t>
  </si>
  <si>
    <t>Nastacuas</t>
  </si>
  <si>
    <t>Taicus</t>
  </si>
  <si>
    <t>Maria</t>
  </si>
  <si>
    <t>Alexandra</t>
  </si>
  <si>
    <t xml:space="preserve">taicusalexandra3@gmail.com </t>
  </si>
  <si>
    <t>CAJA/NEQUI</t>
  </si>
  <si>
    <t>Padilla</t>
  </si>
  <si>
    <t>Romo</t>
  </si>
  <si>
    <t>Laura</t>
  </si>
  <si>
    <t>Carolina</t>
  </si>
  <si>
    <t>FRANCISCO</t>
  </si>
  <si>
    <t>ambulancias.formedical@gmail.com</t>
  </si>
  <si>
    <t>Orbes</t>
  </si>
  <si>
    <t>Arteaga</t>
  </si>
  <si>
    <t>Javier</t>
  </si>
  <si>
    <t>COORDINADORA SST</t>
  </si>
  <si>
    <t xml:space="preserve">sgsst.formedical@gmail.com </t>
  </si>
  <si>
    <t>Pupiales</t>
  </si>
  <si>
    <t>Delgado</t>
  </si>
  <si>
    <t>Victoria</t>
  </si>
  <si>
    <t>Marcela</t>
  </si>
  <si>
    <t>FORMEDICAL</t>
  </si>
  <si>
    <t>Paz</t>
  </si>
  <si>
    <t>Saavedra</t>
  </si>
  <si>
    <t>Hermes</t>
  </si>
  <si>
    <t>Ariel</t>
  </si>
  <si>
    <t>hermespaz11@hotmail.com</t>
  </si>
  <si>
    <t>Trejo</t>
  </si>
  <si>
    <t>Monica</t>
  </si>
  <si>
    <t>Johanna</t>
  </si>
  <si>
    <t>1990johannacabrera@gmail.com</t>
  </si>
  <si>
    <t>CAJA</t>
  </si>
  <si>
    <t>Riascos</t>
  </si>
  <si>
    <t>Chamorro</t>
  </si>
  <si>
    <t>Lucerito</t>
  </si>
  <si>
    <t>Amalia</t>
  </si>
  <si>
    <t xml:space="preserve">luceritoamalia@gmail.com </t>
  </si>
  <si>
    <t>REFERIDO</t>
  </si>
  <si>
    <t>CLIENTE ANTIGUO</t>
  </si>
  <si>
    <t>Dulce</t>
  </si>
  <si>
    <t>Araujo</t>
  </si>
  <si>
    <t>Carlos</t>
  </si>
  <si>
    <t>Ernesto</t>
  </si>
  <si>
    <t>karlosda82@gmail.com</t>
  </si>
  <si>
    <t>Cuasquen</t>
  </si>
  <si>
    <t>Basante</t>
  </si>
  <si>
    <t>Jeimy</t>
  </si>
  <si>
    <t>Yadira</t>
  </si>
  <si>
    <t xml:space="preserve">yeimibasante94@gmail.com </t>
  </si>
  <si>
    <t>DAVIPLATA</t>
  </si>
  <si>
    <t>Collazos</t>
  </si>
  <si>
    <t>Portilla</t>
  </si>
  <si>
    <t>Jenifer</t>
  </si>
  <si>
    <t>Julieth</t>
  </si>
  <si>
    <t>Jjucollazos89@gmail.com</t>
  </si>
  <si>
    <t>Timana</t>
  </si>
  <si>
    <t>Ramos</t>
  </si>
  <si>
    <t>Daniel</t>
  </si>
  <si>
    <t>Mauricio</t>
  </si>
  <si>
    <t xml:space="preserve">danielmtramos21@hotmail.com </t>
  </si>
  <si>
    <t>Acosta</t>
  </si>
  <si>
    <t>Meneses</t>
  </si>
  <si>
    <t>Katherine</t>
  </si>
  <si>
    <t xml:space="preserve">yuliethacosta42@gmail.com </t>
  </si>
  <si>
    <t>Pinta</t>
  </si>
  <si>
    <t>Yaqueno</t>
  </si>
  <si>
    <t>Jose</t>
  </si>
  <si>
    <t>josejavierpinta@gmail.com</t>
  </si>
  <si>
    <t>Cuasquer</t>
  </si>
  <si>
    <t>Oviedo</t>
  </si>
  <si>
    <t>Anna</t>
  </si>
  <si>
    <t>Del Rocio</t>
  </si>
  <si>
    <t>ODONTOLOGA</t>
  </si>
  <si>
    <t xml:space="preserve">rocyany2017@gmail.com </t>
  </si>
  <si>
    <t>Montenegro</t>
  </si>
  <si>
    <t>Rubio</t>
  </si>
  <si>
    <t>Gabriel</t>
  </si>
  <si>
    <t>Andrés</t>
  </si>
  <si>
    <t xml:space="preserve">anaky70@hotmail.com </t>
  </si>
  <si>
    <t>Cevallos</t>
  </si>
  <si>
    <t>Mera</t>
  </si>
  <si>
    <t>Yuliana</t>
  </si>
  <si>
    <t>Lorena</t>
  </si>
  <si>
    <t>ENFERMERA</t>
  </si>
  <si>
    <t>Dennisbens@hotmail.com</t>
  </si>
  <si>
    <t>7/2/2025-11/02/2025</t>
  </si>
  <si>
    <t>I NEQUI/BANCOLOMBIA</t>
  </si>
  <si>
    <t>WHATSAPP</t>
  </si>
  <si>
    <t>Mueses</t>
  </si>
  <si>
    <t>Yandun</t>
  </si>
  <si>
    <t>Roman</t>
  </si>
  <si>
    <t>Roman.mueses@correounivalle.edu.co</t>
  </si>
  <si>
    <t>Valencia</t>
  </si>
  <si>
    <t>Ordoñez</t>
  </si>
  <si>
    <t>Ybi</t>
  </si>
  <si>
    <t>Cristina</t>
  </si>
  <si>
    <t>iviscristina2012@hotmal.com</t>
  </si>
  <si>
    <t>Angela</t>
  </si>
  <si>
    <t>discapacidad de riesgos para la localización y caracterización de las personas con discapacidad</t>
  </si>
  <si>
    <t>DISCAPACIDAD DE RIESGOS</t>
  </si>
  <si>
    <t>march94.mr@gmail.com</t>
  </si>
  <si>
    <t>Diaz</t>
  </si>
  <si>
    <t>Hector</t>
  </si>
  <si>
    <t xml:space="preserve">ferdiaz61@yahoo.es </t>
  </si>
  <si>
    <t>Criollo</t>
  </si>
  <si>
    <t>Angie</t>
  </si>
  <si>
    <t>VACUNACION</t>
  </si>
  <si>
    <t>angiecarolinayaquenocriollo@gmail.com</t>
  </si>
  <si>
    <t>Getial</t>
  </si>
  <si>
    <t>Mary</t>
  </si>
  <si>
    <t>Ofir</t>
  </si>
  <si>
    <t>marygetial19@gmail.com</t>
  </si>
  <si>
    <t>Kelly</t>
  </si>
  <si>
    <t xml:space="preserve">kellyfernanda2512@gmail.com </t>
  </si>
  <si>
    <t>Cuaspud</t>
  </si>
  <si>
    <t>Ana</t>
  </si>
  <si>
    <t xml:space="preserve">karolinacuaspud1999@gmail.com </t>
  </si>
  <si>
    <t>Mora</t>
  </si>
  <si>
    <t>Edilma</t>
  </si>
  <si>
    <t>edilmagetial@hotmail.com</t>
  </si>
  <si>
    <t>psic.dayana.t@gmail.com</t>
  </si>
  <si>
    <t>Gomez</t>
  </si>
  <si>
    <t>Dayana</t>
  </si>
  <si>
    <t>Stephanny</t>
  </si>
  <si>
    <t>Rosero</t>
  </si>
  <si>
    <t>Ruales</t>
  </si>
  <si>
    <t>John</t>
  </si>
  <si>
    <t>Jairo</t>
  </si>
  <si>
    <t>Correo.jjairoroseroruales@gmail.com</t>
  </si>
  <si>
    <t>Alfredo</t>
  </si>
  <si>
    <t>jose.ho240390@gmail.com</t>
  </si>
  <si>
    <t>Coral</t>
  </si>
  <si>
    <t>Diana</t>
  </si>
  <si>
    <t>AUXILIAR DE FARMACIA</t>
  </si>
  <si>
    <t xml:space="preserve">kpaz7623@gmail.com </t>
  </si>
  <si>
    <t>Toro</t>
  </si>
  <si>
    <t>Paola</t>
  </si>
  <si>
    <t>Estefania</t>
  </si>
  <si>
    <t>INDEPENDIENTE</t>
  </si>
  <si>
    <t>paomera2000@gmail.com</t>
  </si>
  <si>
    <t>Torres</t>
  </si>
  <si>
    <t>Lopez</t>
  </si>
  <si>
    <t>Jhosvan</t>
  </si>
  <si>
    <t>Danilo</t>
  </si>
  <si>
    <t>VENDEDOR FARMACIA</t>
  </si>
  <si>
    <t>jhosvanyjk@gmail.com</t>
  </si>
  <si>
    <t>Villota</t>
  </si>
  <si>
    <t>Juan</t>
  </si>
  <si>
    <t>David</t>
  </si>
  <si>
    <t>juandapaz123@gmail.com</t>
  </si>
  <si>
    <t>Ramirez</t>
  </si>
  <si>
    <t>Camila</t>
  </si>
  <si>
    <t>Andrea</t>
  </si>
  <si>
    <t>camiandrea471@gmail.com</t>
  </si>
  <si>
    <t>Pianda</t>
  </si>
  <si>
    <t>Kevin</t>
  </si>
  <si>
    <t>Chinchajoa</t>
  </si>
  <si>
    <t>Pusil</t>
  </si>
  <si>
    <t>Manchabajoy</t>
  </si>
  <si>
    <t>Yeimi</t>
  </si>
  <si>
    <t>Olivo</t>
  </si>
  <si>
    <t>Pastormanchabajoy1922@gmail.com</t>
  </si>
  <si>
    <t>Quenguan</t>
  </si>
  <si>
    <t>ferchoquenguan40@yahoo.com</t>
  </si>
  <si>
    <t>ENFERMERO</t>
  </si>
  <si>
    <t>7/2/2025-15/02/2025</t>
  </si>
  <si>
    <t>Guancha</t>
  </si>
  <si>
    <t>Jenny</t>
  </si>
  <si>
    <t>Jennyamor9332@gmail.com</t>
  </si>
  <si>
    <t>RECOMENDACIÓN</t>
  </si>
  <si>
    <t>Ibarra</t>
  </si>
  <si>
    <t>Milena</t>
  </si>
  <si>
    <t>LUIS PINTA</t>
  </si>
  <si>
    <t>Diciembre</t>
  </si>
  <si>
    <t xml:space="preserve">anittalucia@hotmail.com </t>
  </si>
  <si>
    <t>Revelo</t>
  </si>
  <si>
    <t>Cuaspa</t>
  </si>
  <si>
    <t>Adriana</t>
  </si>
  <si>
    <t>Mabel</t>
  </si>
  <si>
    <t>FISIOTERAPEUTA</t>
  </si>
  <si>
    <t>adrianarevelo96@hotmail.com</t>
  </si>
  <si>
    <t>Aguirre</t>
  </si>
  <si>
    <t>Fabio</t>
  </si>
  <si>
    <t>Andres</t>
  </si>
  <si>
    <t>fabioa683@gmail.com</t>
  </si>
  <si>
    <t>LAVADO DE MANOS</t>
  </si>
  <si>
    <t xml:space="preserve"> </t>
  </si>
  <si>
    <t>Florez</t>
  </si>
  <si>
    <t>Lizeth</t>
  </si>
  <si>
    <t>lizflo2808@hotmail.com</t>
  </si>
  <si>
    <t>Lagos</t>
  </si>
  <si>
    <t>Sanchez</t>
  </si>
  <si>
    <t>Yecid</t>
  </si>
  <si>
    <t>Nayive</t>
  </si>
  <si>
    <t>nayis020987@gmail.com</t>
  </si>
  <si>
    <t>Maldonado</t>
  </si>
  <si>
    <t>Ortiz</t>
  </si>
  <si>
    <t>Jessica</t>
  </si>
  <si>
    <t xml:space="preserve">paolamaldor05@gmail.com </t>
  </si>
  <si>
    <t>Castillo</t>
  </si>
  <si>
    <t>Anacastillo685@gmail.com</t>
  </si>
  <si>
    <t>Johana</t>
  </si>
  <si>
    <t xml:space="preserve">lorenanarvaezp1405@gmail.com </t>
  </si>
  <si>
    <t>Nandar</t>
  </si>
  <si>
    <t>Ivan</t>
  </si>
  <si>
    <t>Dario</t>
  </si>
  <si>
    <t>Ivanlopeznandar6@gmail.com</t>
  </si>
  <si>
    <t>Betancur</t>
  </si>
  <si>
    <t>Magaly</t>
  </si>
  <si>
    <t>Yohana</t>
  </si>
  <si>
    <t xml:space="preserve">yohanagomez918@gmail.com </t>
  </si>
  <si>
    <t>Ascuntar</t>
  </si>
  <si>
    <t>Daniela</t>
  </si>
  <si>
    <t>ENFERMER@</t>
  </si>
  <si>
    <t>Angieriascos89@gmail.com</t>
  </si>
  <si>
    <t>Cortes</t>
  </si>
  <si>
    <t>Igua</t>
  </si>
  <si>
    <t xml:space="preserve">alexandercortes606@gmail.com </t>
  </si>
  <si>
    <t>6/2/2025-7/2/2025</t>
  </si>
  <si>
    <t>31/1/2025-8/2/2025</t>
  </si>
  <si>
    <t>Manzano</t>
  </si>
  <si>
    <t>Alejandra</t>
  </si>
  <si>
    <t>alejita2909@hotmail.com</t>
  </si>
  <si>
    <t>TECNOLOGA EN RADIOLOGIA</t>
  </si>
  <si>
    <t xml:space="preserve">paolordonez@umariana.edu.co </t>
  </si>
  <si>
    <t>Enriquez</t>
  </si>
  <si>
    <t>Julian</t>
  </si>
  <si>
    <t>Esteban</t>
  </si>
  <si>
    <t>Julianrevelo2001@hotmail.com</t>
  </si>
  <si>
    <t>Barrero</t>
  </si>
  <si>
    <t>Perez</t>
  </si>
  <si>
    <t xml:space="preserve">barrerom28@gmail.com </t>
  </si>
  <si>
    <t>Cucas</t>
  </si>
  <si>
    <t>Asmaza</t>
  </si>
  <si>
    <t xml:space="preserve">dariofer501@gmail.com </t>
  </si>
  <si>
    <t>13/02/2025-21/2/2025</t>
  </si>
  <si>
    <t>Ortega</t>
  </si>
  <si>
    <t>Robinson</t>
  </si>
  <si>
    <t>segursaludayteramirez@gmail.com</t>
  </si>
  <si>
    <t>Daira</t>
  </si>
  <si>
    <t>Yisela</t>
  </si>
  <si>
    <t xml:space="preserve">daiiraportillo@gmail.com </t>
  </si>
  <si>
    <t>Aguilar</t>
  </si>
  <si>
    <t>Rangel</t>
  </si>
  <si>
    <t>Marinela</t>
  </si>
  <si>
    <t>AUXILIAR DE LABORATORIO</t>
  </si>
  <si>
    <t>marinela1812@gmail.com</t>
  </si>
  <si>
    <t>12/2/2025-24/2/2025</t>
  </si>
  <si>
    <t>Josa</t>
  </si>
  <si>
    <t>Potosi</t>
  </si>
  <si>
    <t>Luis</t>
  </si>
  <si>
    <t>Sebastian</t>
  </si>
  <si>
    <t xml:space="preserve">josasebastian0409@gmail.com </t>
  </si>
  <si>
    <t>U MARIANA</t>
  </si>
  <si>
    <t>Luz</t>
  </si>
  <si>
    <t>Elena</t>
  </si>
  <si>
    <t>luzcabreranarvaez@gmail.com</t>
  </si>
  <si>
    <t>Muñoz</t>
  </si>
  <si>
    <t>Lucia</t>
  </si>
  <si>
    <t xml:space="preserve">dm3998242@gmail.com </t>
  </si>
  <si>
    <t>Pantoja</t>
  </si>
  <si>
    <t>Gina</t>
  </si>
  <si>
    <t>Vanessa</t>
  </si>
  <si>
    <t xml:space="preserve">vanees2301@gmail.com </t>
  </si>
  <si>
    <t>Burbano</t>
  </si>
  <si>
    <t>Sotelo</t>
  </si>
  <si>
    <t>Hugo</t>
  </si>
  <si>
    <t>Hernan</t>
  </si>
  <si>
    <t>hburbanosotelo@gmail.com</t>
  </si>
  <si>
    <t xml:space="preserve">danielanar702@gmail.com </t>
  </si>
  <si>
    <t>Fajardo</t>
  </si>
  <si>
    <t>Lady</t>
  </si>
  <si>
    <t>llillyfaja@gmail.com</t>
  </si>
  <si>
    <t>Tulcanas</t>
  </si>
  <si>
    <t>roseroluis2122@gmail.com</t>
  </si>
  <si>
    <t>Urbano</t>
  </si>
  <si>
    <t>Jakeline</t>
  </si>
  <si>
    <t xml:space="preserve">Adrianaurbano127@gmail.com </t>
  </si>
  <si>
    <t xml:space="preserve">sandramoraoviedo1983@gmail.com </t>
  </si>
  <si>
    <t>Imbacuan</t>
  </si>
  <si>
    <t>Jativa</t>
  </si>
  <si>
    <t>Carmenza</t>
  </si>
  <si>
    <t>Gabriela</t>
  </si>
  <si>
    <t>gabnyko@gmail.com</t>
  </si>
  <si>
    <t>Salcedo</t>
  </si>
  <si>
    <t>Diego</t>
  </si>
  <si>
    <t>jsjuan896@gmail.com</t>
  </si>
  <si>
    <t>Melo</t>
  </si>
  <si>
    <t>Guerrero</t>
  </si>
  <si>
    <t>Francia</t>
  </si>
  <si>
    <t>Aide</t>
  </si>
  <si>
    <t>meloaide80@gmail.com</t>
  </si>
  <si>
    <t>Concha</t>
  </si>
  <si>
    <t>CONSUMO</t>
  </si>
  <si>
    <t>ATENCION A PACIENTES POR CONSUMO DE SUSTANCIAS PSICOACTIVAS</t>
  </si>
  <si>
    <t>dianashell@hotmail.com</t>
  </si>
  <si>
    <t>ATENCION PRIMARIA</t>
  </si>
  <si>
    <t>ATENCION PRIMARIA EN SALUD</t>
  </si>
  <si>
    <t>Mesias</t>
  </si>
  <si>
    <t>Achicanoy</t>
  </si>
  <si>
    <t>Julieta</t>
  </si>
  <si>
    <t>julietamesias5@gmail.com</t>
  </si>
  <si>
    <t>Dary</t>
  </si>
  <si>
    <t>luzdaryvillota14@gmail.com</t>
  </si>
  <si>
    <t>Puentes</t>
  </si>
  <si>
    <t>NUTRICIONISTA</t>
  </si>
  <si>
    <t>esteban.lopez0412@gmail.com</t>
  </si>
  <si>
    <t>19/2/2025-24/2/2025</t>
  </si>
  <si>
    <t>18/2/2025/20/02/2025</t>
  </si>
  <si>
    <t>Moreno</t>
  </si>
  <si>
    <t>Emilio</t>
  </si>
  <si>
    <t>Hipolito</t>
  </si>
  <si>
    <t>CIRUJANO</t>
  </si>
  <si>
    <t>sandralopeza1@hotmail.com</t>
  </si>
  <si>
    <t>Floribel</t>
  </si>
  <si>
    <t xml:space="preserve">sajecriss123@gmail.com </t>
  </si>
  <si>
    <t>Sofia</t>
  </si>
  <si>
    <t>22/2/2025-28/2/2025</t>
  </si>
  <si>
    <t>BACTERIOLOGA</t>
  </si>
  <si>
    <t>angela.ordonez@unipamplona.edu.co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</si>
</sst>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</numFmts>
  <fonts count="8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2" borderId="0" xfId="1" applyNumberFormat="1" applyFont="1" applyFill="1" applyBorder="1" applyAlignment="1">
      <alignment horizontal="center" vertical="center"/>
    </xf>
    <xf numFmtId="164" fontId="5" fillId="2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5" fillId="2" borderId="0" xfId="3" applyFont="1" applyFill="1" applyBorder="1" applyAlignment="1">
      <alignment horizontal="center" vertical="center"/>
    </xf>
    <xf numFmtId="0" fontId="5" fillId="2" borderId="0" xfId="3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2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2" borderId="1" xfId="2" applyNumberFormat="1" applyFont="1" applyFill="1" applyBorder="1" applyAlignment="1" applyProtection="1">
      <alignment horizontal="center" vertical="center"/>
      <protection locked="0"/>
    </xf>
    <xf numFmtId="164" fontId="2" fillId="2" borderId="1" xfId="1" applyNumberFormat="1" applyFont="1" applyFill="1" applyBorder="1" applyAlignment="1" applyProtection="1">
      <alignment horizontal="center" vertical="center"/>
      <protection locked="0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5" fillId="2" borderId="1" xfId="1" applyNumberFormat="1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4" fillId="2" borderId="1" xfId="3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5" fillId="2" borderId="3" xfId="1" applyNumberFormat="1" applyFont="1" applyFill="1" applyBorder="1" applyAlignment="1">
      <alignment horizontal="center" vertical="center"/>
    </xf>
    <xf numFmtId="164" fontId="5" fillId="2" borderId="3" xfId="1" applyNumberFormat="1" applyFont="1" applyFill="1" applyBorder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4" fontId="5" fillId="5" borderId="1" xfId="0" applyNumberFormat="1" applyFont="1" applyFill="1" applyBorder="1" applyAlignment="1">
      <alignment horizontal="center" vertical="center"/>
    </xf>
    <xf numFmtId="14" fontId="5" fillId="5" borderId="1" xfId="1" applyNumberFormat="1" applyFont="1" applyFill="1" applyBorder="1" applyAlignment="1">
      <alignment horizontal="center" vertical="center"/>
    </xf>
    <xf numFmtId="164" fontId="5" fillId="5" borderId="1" xfId="1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14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14" fontId="5" fillId="2" borderId="1" xfId="1" applyNumberFormat="1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3" xfId="3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14" fontId="5" fillId="2" borderId="3" xfId="0" applyNumberFormat="1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/>
    </xf>
    <xf numFmtId="0" fontId="4" fillId="2" borderId="1" xfId="3" applyFill="1" applyBorder="1" applyAlignment="1">
      <alignment horizontal="center" vertical="center" wrapText="1"/>
    </xf>
    <xf numFmtId="0" fontId="4" fillId="2" borderId="1" xfId="3" applyNumberForma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4" fontId="6" fillId="2" borderId="1" xfId="1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7" fillId="2" borderId="1" xfId="3" applyNumberFormat="1" applyFont="1" applyFill="1" applyBorder="1" applyAlignment="1">
      <alignment horizontal="center" vertical="center"/>
    </xf>
    <xf numFmtId="164" fontId="6" fillId="2" borderId="1" xfId="1" applyNumberFormat="1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5" fillId="2" borderId="3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2" borderId="4" xfId="0" applyNumberFormat="1" applyFont="1" applyFill="1" applyBorder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edilmagetial@hotmail.com" TargetMode="External"/><Relationship Id="rId21" Type="http://schemas.openxmlformats.org/officeDocument/2006/relationships/hyperlink" Target="mailto:edilmagetial@hotmail.com" TargetMode="External"/><Relationship Id="rId34" Type="http://schemas.openxmlformats.org/officeDocument/2006/relationships/hyperlink" Target="mailto:MEDIC@" TargetMode="External"/><Relationship Id="rId42" Type="http://schemas.openxmlformats.org/officeDocument/2006/relationships/hyperlink" Target="mailto:MEDIC@" TargetMode="External"/><Relationship Id="rId47" Type="http://schemas.openxmlformats.org/officeDocument/2006/relationships/hyperlink" Target="mailto:ENFERMER@" TargetMode="External"/><Relationship Id="rId50" Type="http://schemas.openxmlformats.org/officeDocument/2006/relationships/hyperlink" Target="mailto:ENFERMER@" TargetMode="External"/><Relationship Id="rId55" Type="http://schemas.openxmlformats.org/officeDocument/2006/relationships/hyperlink" Target="mailto:ENFERMER@" TargetMode="External"/><Relationship Id="rId63" Type="http://schemas.openxmlformats.org/officeDocument/2006/relationships/hyperlink" Target="mailto:ENFERMER@" TargetMode="External"/><Relationship Id="rId68" Type="http://schemas.openxmlformats.org/officeDocument/2006/relationships/printerSettings" Target="../printerSettings/printerSettings1.bin"/><Relationship Id="rId7" Type="http://schemas.openxmlformats.org/officeDocument/2006/relationships/hyperlink" Target="mailto:MEDIC@" TargetMode="External"/><Relationship Id="rId2" Type="http://schemas.openxmlformats.org/officeDocument/2006/relationships/hyperlink" Target="mailto:PSICOLOG@" TargetMode="External"/><Relationship Id="rId16" Type="http://schemas.openxmlformats.org/officeDocument/2006/relationships/hyperlink" Target="mailto:MEDIC@" TargetMode="External"/><Relationship Id="rId29" Type="http://schemas.openxmlformats.org/officeDocument/2006/relationships/hyperlink" Target="mailto:PSICOLOG@" TargetMode="External"/><Relationship Id="rId11" Type="http://schemas.openxmlformats.org/officeDocument/2006/relationships/hyperlink" Target="mailto:MEDIC@" TargetMode="External"/><Relationship Id="rId24" Type="http://schemas.openxmlformats.org/officeDocument/2006/relationships/hyperlink" Target="mailto:edilmagetial@hotmail.com" TargetMode="External"/><Relationship Id="rId32" Type="http://schemas.openxmlformats.org/officeDocument/2006/relationships/hyperlink" Target="mailto:PSICOLOG@" TargetMode="External"/><Relationship Id="rId37" Type="http://schemas.openxmlformats.org/officeDocument/2006/relationships/hyperlink" Target="mailto:adrianarevelo96@hotmail.com" TargetMode="External"/><Relationship Id="rId40" Type="http://schemas.openxmlformats.org/officeDocument/2006/relationships/hyperlink" Target="mailto:MEDIC@" TargetMode="External"/><Relationship Id="rId45" Type="http://schemas.openxmlformats.org/officeDocument/2006/relationships/hyperlink" Target="mailto:MEDIC@" TargetMode="External"/><Relationship Id="rId53" Type="http://schemas.openxmlformats.org/officeDocument/2006/relationships/hyperlink" Target="mailto:ENFERMER@" TargetMode="External"/><Relationship Id="rId58" Type="http://schemas.openxmlformats.org/officeDocument/2006/relationships/hyperlink" Target="mailto:ENFERMER@" TargetMode="External"/><Relationship Id="rId66" Type="http://schemas.openxmlformats.org/officeDocument/2006/relationships/hyperlink" Target="mailto:ENFERMER@" TargetMode="External"/><Relationship Id="rId5" Type="http://schemas.openxmlformats.org/officeDocument/2006/relationships/hyperlink" Target="mailto:MEDIC@" TargetMode="External"/><Relationship Id="rId61" Type="http://schemas.openxmlformats.org/officeDocument/2006/relationships/hyperlink" Target="mailto:ENFERMER@" TargetMode="External"/><Relationship Id="rId19" Type="http://schemas.openxmlformats.org/officeDocument/2006/relationships/hyperlink" Target="mailto:MEDIC@" TargetMode="External"/><Relationship Id="rId14" Type="http://schemas.openxmlformats.org/officeDocument/2006/relationships/hyperlink" Target="mailto:PSICOLOG@" TargetMode="External"/><Relationship Id="rId22" Type="http://schemas.openxmlformats.org/officeDocument/2006/relationships/hyperlink" Target="mailto:edilmagetial@hotmail.com" TargetMode="External"/><Relationship Id="rId27" Type="http://schemas.openxmlformats.org/officeDocument/2006/relationships/hyperlink" Target="mailto:PSICOLOG@" TargetMode="External"/><Relationship Id="rId30" Type="http://schemas.openxmlformats.org/officeDocument/2006/relationships/hyperlink" Target="mailto:PSICOLOG@" TargetMode="External"/><Relationship Id="rId35" Type="http://schemas.openxmlformats.org/officeDocument/2006/relationships/hyperlink" Target="mailto:MEDIC@" TargetMode="External"/><Relationship Id="rId43" Type="http://schemas.openxmlformats.org/officeDocument/2006/relationships/hyperlink" Target="mailto:MEDIC@" TargetMode="External"/><Relationship Id="rId48" Type="http://schemas.openxmlformats.org/officeDocument/2006/relationships/hyperlink" Target="mailto:MEDIC@" TargetMode="External"/><Relationship Id="rId56" Type="http://schemas.openxmlformats.org/officeDocument/2006/relationships/hyperlink" Target="mailto:ENFERMER@" TargetMode="External"/><Relationship Id="rId64" Type="http://schemas.openxmlformats.org/officeDocument/2006/relationships/hyperlink" Target="mailto:ENFERMER@" TargetMode="External"/><Relationship Id="rId8" Type="http://schemas.openxmlformats.org/officeDocument/2006/relationships/hyperlink" Target="mailto:MEDIC@" TargetMode="External"/><Relationship Id="rId51" Type="http://schemas.openxmlformats.org/officeDocument/2006/relationships/hyperlink" Target="mailto:ENFERMER@" TargetMode="External"/><Relationship Id="rId3" Type="http://schemas.openxmlformats.org/officeDocument/2006/relationships/hyperlink" Target="mailto:MEDIC@" TargetMode="External"/><Relationship Id="rId12" Type="http://schemas.openxmlformats.org/officeDocument/2006/relationships/hyperlink" Target="mailto:PSICOLOG@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hyperlink" Target="mailto:edilmagetial@hotmail.com" TargetMode="External"/><Relationship Id="rId33" Type="http://schemas.openxmlformats.org/officeDocument/2006/relationships/hyperlink" Target="mailto:MEDIC@" TargetMode="External"/><Relationship Id="rId38" Type="http://schemas.openxmlformats.org/officeDocument/2006/relationships/hyperlink" Target="mailto:MEDIC@" TargetMode="External"/><Relationship Id="rId46" Type="http://schemas.openxmlformats.org/officeDocument/2006/relationships/hyperlink" Target="mailto:adrianarevelo96@hotmail.com" TargetMode="External"/><Relationship Id="rId59" Type="http://schemas.openxmlformats.org/officeDocument/2006/relationships/hyperlink" Target="mailto:ENFERMER@" TargetMode="External"/><Relationship Id="rId67" Type="http://schemas.openxmlformats.org/officeDocument/2006/relationships/hyperlink" Target="mailto:ENFERMER@" TargetMode="External"/><Relationship Id="rId20" Type="http://schemas.openxmlformats.org/officeDocument/2006/relationships/hyperlink" Target="mailto:edilmagetial@hotmail.com" TargetMode="External"/><Relationship Id="rId41" Type="http://schemas.openxmlformats.org/officeDocument/2006/relationships/hyperlink" Target="mailto:MEDIC@" TargetMode="External"/><Relationship Id="rId54" Type="http://schemas.openxmlformats.org/officeDocument/2006/relationships/hyperlink" Target="mailto:ENFERMER@" TargetMode="External"/><Relationship Id="rId62" Type="http://schemas.openxmlformats.org/officeDocument/2006/relationships/hyperlink" Target="mailto:ENFERMER@" TargetMode="External"/><Relationship Id="rId1" Type="http://schemas.openxmlformats.org/officeDocument/2006/relationships/hyperlink" Target="mailto:MEDIC@" TargetMode="External"/><Relationship Id="rId6" Type="http://schemas.openxmlformats.org/officeDocument/2006/relationships/hyperlink" Target="mailto:1990johannacabrera@gmail.com" TargetMode="External"/><Relationship Id="rId15" Type="http://schemas.openxmlformats.org/officeDocument/2006/relationships/hyperlink" Target="mailto:PSICOLOG@" TargetMode="External"/><Relationship Id="rId23" Type="http://schemas.openxmlformats.org/officeDocument/2006/relationships/hyperlink" Target="mailto:edilmagetial@hotmail.com" TargetMode="External"/><Relationship Id="rId28" Type="http://schemas.openxmlformats.org/officeDocument/2006/relationships/hyperlink" Target="mailto:PSICOLOG@" TargetMode="External"/><Relationship Id="rId36" Type="http://schemas.openxmlformats.org/officeDocument/2006/relationships/hyperlink" Target="mailto:MEDIC@" TargetMode="External"/><Relationship Id="rId49" Type="http://schemas.openxmlformats.org/officeDocument/2006/relationships/hyperlink" Target="mailto:MEDIC@" TargetMode="External"/><Relationship Id="rId57" Type="http://schemas.openxmlformats.org/officeDocument/2006/relationships/hyperlink" Target="mailto:llillyfaja@gmail.com" TargetMode="External"/><Relationship Id="rId10" Type="http://schemas.openxmlformats.org/officeDocument/2006/relationships/hyperlink" Target="mailto:MEDIC@" TargetMode="External"/><Relationship Id="rId31" Type="http://schemas.openxmlformats.org/officeDocument/2006/relationships/hyperlink" Target="mailto:PSICOLOG@" TargetMode="External"/><Relationship Id="rId44" Type="http://schemas.openxmlformats.org/officeDocument/2006/relationships/hyperlink" Target="mailto:MEDIC@" TargetMode="External"/><Relationship Id="rId52" Type="http://schemas.openxmlformats.org/officeDocument/2006/relationships/hyperlink" Target="mailto:ENFERMER@" TargetMode="External"/><Relationship Id="rId60" Type="http://schemas.openxmlformats.org/officeDocument/2006/relationships/hyperlink" Target="mailto:gabnyko@gmail.com" TargetMode="External"/><Relationship Id="rId65" Type="http://schemas.openxmlformats.org/officeDocument/2006/relationships/hyperlink" Target="mailto:MEDIC@" TargetMode="External"/><Relationship Id="rId4" Type="http://schemas.openxmlformats.org/officeDocument/2006/relationships/hyperlink" Target="mailto:MEDIC@" TargetMode="External"/><Relationship Id="rId9" Type="http://schemas.openxmlformats.org/officeDocument/2006/relationships/hyperlink" Target="mailto:MEDIC@" TargetMode="External"/><Relationship Id="rId13" Type="http://schemas.openxmlformats.org/officeDocument/2006/relationships/hyperlink" Target="mailto:PSICOLOG@" TargetMode="External"/><Relationship Id="rId18" Type="http://schemas.openxmlformats.org/officeDocument/2006/relationships/hyperlink" Target="mailto:MEDIC@" TargetMode="External"/><Relationship Id="rId39" Type="http://schemas.openxmlformats.org/officeDocument/2006/relationships/hyperlink" Target="mailto:MEDIC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048556"/>
  <sheetViews>
    <sheetView tabSelected="1" zoomScale="55" zoomScaleNormal="55" workbookViewId="0">
      <pane xSplit="1" ySplit="1" topLeftCell="B2" activePane="bottomRight" state="frozen"/>
      <selection pane="topRight"/>
      <selection pane="bottomLeft"/>
      <selection pane="bottomRight" activeCell="L112" sqref="L112"/>
    </sheetView>
  </sheetViews>
  <sheetFormatPr baseColWidth="10" defaultRowHeight="15" x14ac:dyDescent="0.2"/>
  <cols>
    <col min="1" max="1" width="4.77734375" style="2" customWidth="1"/>
    <col min="2" max="2" width="34.5546875" style="2" bestFit="1" customWidth="1"/>
    <col min="3" max="3" width="21.44140625" style="2" bestFit="1" customWidth="1"/>
    <col min="4" max="4" width="23.44140625" style="2" bestFit="1" customWidth="1"/>
    <col min="5" max="5" width="20.77734375" style="2" bestFit="1" customWidth="1"/>
    <col min="6" max="6" width="22.77734375" style="2" bestFit="1" customWidth="1"/>
    <col min="7" max="7" width="5.6640625" style="2" bestFit="1" customWidth="1"/>
    <col min="8" max="8" width="10.5546875" style="2" bestFit="1" customWidth="1"/>
    <col min="9" max="9" width="15.21875" style="2" bestFit="1" customWidth="1"/>
    <col min="10" max="10" width="17.88671875" style="2" bestFit="1" customWidth="1"/>
    <col min="11" max="11" width="19.44140625" style="4" bestFit="1" customWidth="1"/>
    <col min="12" max="12" width="22.33203125" style="5" bestFit="1" customWidth="1"/>
    <col min="13" max="13" width="19.44140625" style="2" bestFit="1" customWidth="1"/>
    <col min="14" max="14" width="12.109375" style="2" bestFit="1" customWidth="1"/>
    <col min="15" max="15" width="17.44140625" style="2" bestFit="1" customWidth="1"/>
    <col min="16" max="16" width="29.44140625" style="2" bestFit="1" customWidth="1"/>
    <col min="17" max="17" width="27.44140625" style="2" bestFit="1" customWidth="1"/>
    <col min="18" max="18" width="10.77734375" style="2" bestFit="1" customWidth="1"/>
    <col min="19" max="19" width="39.44140625" style="2" bestFit="1" customWidth="1"/>
    <col min="20" max="20" width="13.6640625" style="2" bestFit="1" customWidth="1"/>
    <col min="21" max="21" width="36.109375" style="6" bestFit="1" customWidth="1"/>
    <col min="22" max="22" width="81.44140625" style="6" bestFit="1" customWidth="1"/>
    <col min="23" max="24" width="33.21875" style="6" bestFit="1" customWidth="1"/>
    <col min="25" max="25" width="65.6640625" style="3" bestFit="1" customWidth="1"/>
    <col min="26" max="16384" width="11.5546875" style="3"/>
  </cols>
  <sheetData>
    <row r="1" spans="1:25" ht="15.75" x14ac:dyDescent="0.2">
      <c r="A1" s="10" t="s">
        <v>37</v>
      </c>
      <c r="B1" s="11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3" t="s">
        <v>5</v>
      </c>
      <c r="H1" s="13" t="s">
        <v>6</v>
      </c>
      <c r="I1" s="14" t="s">
        <v>42</v>
      </c>
      <c r="J1" s="14" t="s">
        <v>58</v>
      </c>
      <c r="K1" s="15" t="s">
        <v>7</v>
      </c>
      <c r="L1" s="16" t="s">
        <v>8</v>
      </c>
      <c r="M1" s="12" t="s">
        <v>9</v>
      </c>
      <c r="N1" s="12" t="s">
        <v>38</v>
      </c>
      <c r="O1" s="12" t="s">
        <v>10</v>
      </c>
      <c r="P1" s="12" t="s">
        <v>11</v>
      </c>
      <c r="Q1" s="17" t="s">
        <v>36</v>
      </c>
      <c r="R1" s="12" t="s">
        <v>12</v>
      </c>
      <c r="S1" s="12" t="s">
        <v>13</v>
      </c>
      <c r="T1" s="12" t="s">
        <v>14</v>
      </c>
      <c r="U1" s="12" t="s">
        <v>39</v>
      </c>
      <c r="V1" s="18" t="s">
        <v>15</v>
      </c>
      <c r="W1" s="18" t="s">
        <v>16</v>
      </c>
      <c r="X1" s="18" t="s">
        <v>17</v>
      </c>
      <c r="Y1" s="68" t="s">
        <v>18</v>
      </c>
    </row>
    <row r="2" spans="1:25" x14ac:dyDescent="0.2">
      <c r="A2" s="19">
        <v>1</v>
      </c>
      <c r="B2" s="20">
        <v>1007164519</v>
      </c>
      <c r="C2" s="20" t="s">
        <v>43</v>
      </c>
      <c r="D2" s="20" t="s">
        <v>44</v>
      </c>
      <c r="E2" s="20" t="s">
        <v>45</v>
      </c>
      <c r="F2" s="20" t="s">
        <v>46</v>
      </c>
      <c r="G2" s="20">
        <v>3</v>
      </c>
      <c r="H2" s="20" t="s">
        <v>56</v>
      </c>
      <c r="I2" s="21" t="s">
        <v>47</v>
      </c>
      <c r="J2" s="21" t="s">
        <v>88</v>
      </c>
      <c r="K2" s="22">
        <v>45691</v>
      </c>
      <c r="L2" s="23">
        <f t="shared" ref="L2:L7" si="0">320000/6</f>
        <v>53333.333333333336</v>
      </c>
      <c r="M2" s="20" t="s">
        <v>141</v>
      </c>
      <c r="N2" s="20" t="s">
        <v>52</v>
      </c>
      <c r="O2" s="20" t="s">
        <v>48</v>
      </c>
      <c r="P2" s="20" t="s">
        <v>19</v>
      </c>
      <c r="Q2" s="21">
        <v>36942</v>
      </c>
      <c r="R2" s="20" t="s">
        <v>49</v>
      </c>
      <c r="S2" s="20" t="s">
        <v>50</v>
      </c>
      <c r="T2" s="24">
        <v>3146012830</v>
      </c>
      <c r="U2" s="39" t="s">
        <v>51</v>
      </c>
      <c r="V2" s="25" t="e">
        <f>IF(P2=#REF!,"DIPLOMADO EN ATENCION PRE-HOSPITALARIA",IF(P2=#REF!,"ACOMPAÑAMIENTO Y MANEJO DEL DUELO",IF(P2=#REF!,"ATENCION A VICTIMAS DE ATAQUE CON AGENTES QUIMICOS ",IF(P2=#REF!,"PRIMEROS AUXILIOS ",IF(P2=#REF!,"DIPLOMADO DE UNIDAD DE CUIDADOS INTENSIVOS (UCI)",IF(P2=#REF!,"MODELO DE ATENCION PARA EVENTOS EMERGENTES EN SALUD MENTAL (CODIGO VERDE)",IF(P2=#REF!,"HUMANIZACION EN EL SERVICIO DE LA SALUD Y BUENAS PRACTICAS EN PACIENTE ",IF(P2=#REF!,"CLINICA DE HERIDAS ",IF(P2=#REF!,"TOMA DE CITOLOGIA CERVICO VAGINAL ",IF(P2=#REF!,"SOPORTE CARDIOVASCULAR AVANZADO (ACLS) ",IF(P2=#REF!,"CAMILLERO ",IF(P2=#REF!,"TOMA DE MUESTRAS Y LABORATORIO ",IF(P2=#REF!,"SOPORTE VITAL BASICO (BLS)",IF(P2=#REF!,"ATENCION A VICTIMAS DE VIOLENCIA SEXUAL ",IF(P2=#REF!,"PROGRAMADO AMPLIADO DE INMUNIZACION (PAI - COVID 19)",IF(P2=#REF!,"ATENCION INTEGRAL EN ENFERMEDADES PREVALENTES EN PRIMERA INFANCIA (AIEPI)",IF(P2=#REF!,"ADMINISTRACION DE MEDICAMENTOS, INYECTOLOGIA  Y CANALIZACION ",IF(P2=#REF!,"OPERADOR DE VEHICULOS DE EMERGENCIA (OVE)",IF(P2=#REF!,"INSTITUCIONES AMIGAS DE LA MUJER Y LA INFANCIA (IAMI)",IF(P2=#REF!,"CUIDADO DEL DONANTE DE ORGANOS",IF(P2=#REF!,"ATENCION A VICTIMAS POR VIOLENCIA DE GENERO",IF(P2=#REF!,"IGUALDAD DE GENERO EN LA SALUD",IF(P2=#REF!,"BRIGADA DE EMERGENCIA",IF(P2=#REF!,"MANEJO DEL DOLOR Y CUIDADOS PALIATIVOS",IF(P2=#REF!,"TOMA DE MUESTRAS Y LABORATORIO POCT",IF(P2=#REF!,"IMPLANTE SUBDERMICO DE DISPOSITIVO INTRAUTERINO",IF(P2=#REF!,"SALUD MENTAL",IF(P2=#REF!,"PRIMEROS AUXILIOS PSICOLOGICOS",IF(P2=#REF!,"ATENCION A VICTIMAS POR CONFLICTO ARMADO",IF(P2=#REF!,"MANIPULACION DE ALIMENTOS Y BPM",IF(P2=#REF!,"ATENCION A PERSONAS CON DISCAPACIDAD",IF(P2=#REF!,"CUIDADO INTEGRAL DEL PACIENTE ADULTO",IF(P2=#REF!,"MANEJO DEFENSIVO",IF(P2=#REF!,"SOPORTE CARDIOVASCULAR AVANZADO NEONATAL",IF(P2=#REF!,"SEGURIDAD DEL PACIENTE",IF(P2=#REF!,"MANEJO DE RESIDUOS HOSPITALARIOS"))))))))))))))))))))))))))))))))))))</f>
        <v>#REF!</v>
      </c>
      <c r="W2" s="25" t="str">
        <f>CONCATENATE(E2," ",F2," ",C2," ",D2)</f>
        <v>Anyi Viviana Galindez Erazo</v>
      </c>
      <c r="X2" s="25" t="str">
        <f>PROPER(W2)</f>
        <v>Anyi Viviana Galindez Erazo</v>
      </c>
      <c r="Y2" s="69" t="str">
        <f>CONCATENATE(W2,"-",B2,"-",P2)</f>
        <v>Anyi Viviana Galindez Erazo-1007164519-BLS</v>
      </c>
    </row>
    <row r="3" spans="1:25" x14ac:dyDescent="0.2">
      <c r="A3" s="19">
        <v>2</v>
      </c>
      <c r="B3" s="20">
        <v>1007164519</v>
      </c>
      <c r="C3" s="20" t="s">
        <v>43</v>
      </c>
      <c r="D3" s="20" t="s">
        <v>44</v>
      </c>
      <c r="E3" s="20" t="s">
        <v>45</v>
      </c>
      <c r="F3" s="20" t="s">
        <v>46</v>
      </c>
      <c r="G3" s="20">
        <v>3</v>
      </c>
      <c r="H3" s="20" t="s">
        <v>56</v>
      </c>
      <c r="I3" s="21" t="s">
        <v>47</v>
      </c>
      <c r="J3" s="21" t="s">
        <v>88</v>
      </c>
      <c r="K3" s="22">
        <v>45691</v>
      </c>
      <c r="L3" s="23">
        <f t="shared" si="0"/>
        <v>53333.333333333336</v>
      </c>
      <c r="M3" s="20" t="s">
        <v>141</v>
      </c>
      <c r="N3" s="20" t="s">
        <v>52</v>
      </c>
      <c r="O3" s="20" t="s">
        <v>48</v>
      </c>
      <c r="P3" s="20" t="s">
        <v>22</v>
      </c>
      <c r="Q3" s="21">
        <v>36942</v>
      </c>
      <c r="R3" s="20" t="s">
        <v>49</v>
      </c>
      <c r="S3" s="20" t="s">
        <v>50</v>
      </c>
      <c r="T3" s="24">
        <v>3146012830</v>
      </c>
      <c r="U3" s="39" t="s">
        <v>51</v>
      </c>
      <c r="V3" s="25" t="e">
        <f>IF(P3=#REF!,"DIPLOMADO EN ATENCION PRE-HOSPITALARIA",IF(P3=#REF!,"ACOMPAÑAMIENTO Y MANEJO DEL DUELO",IF(P3=#REF!,"ATENCION A VICTIMAS DE ATAQUE CON AGENTES QUIMICOS ",IF(P3=#REF!,"PRIMEROS AUXILIOS ",IF(P3=#REF!,"DIPLOMADO DE UNIDAD DE CUIDADOS INTENSIVOS (UCI)",IF(P3=#REF!,"MODELO DE ATENCION PARA EVENTOS EMERGENTES EN SALUD MENTAL (CODIGO VERDE)",IF(P3=#REF!,"HUMANIZACION EN EL SERVICIO DE LA SALUD Y BUENAS PRACTICAS EN PACIENTE ",IF(P3=#REF!,"CLINICA DE HERIDAS ",IF(P3=#REF!,"TOMA DE CITOLOGIA CERVICO VAGINAL ",IF(P3=#REF!,"SOPORTE CARDIOVASCULAR AVANZADO (ACLS) ",IF(P3=#REF!,"CAMILLERO ",IF(P3=#REF!,"TOMA DE MUESTRAS Y LABORATORIO ",IF(P3=#REF!,"SOPORTE VITAL BASICO (BLS)",IF(P3=#REF!,"ATENCION A VICTIMAS DE VIOLENCIA SEXUAL ",IF(P3=#REF!,"PROGRAMADO AMPLIADO DE INMUNIZACION (PAI - COVID 19)",IF(P3=#REF!,"ATENCION INTEGRAL EN ENFERMEDADES PREVALENTES EN PRIMERA INFANCIA (AIEPI)",IF(P3=#REF!,"ADMINISTRACION DE MEDICAMENTOS, INYECTOLOGIA  Y CANALIZACION ",IF(P3=#REF!,"OPERADOR DE VEHICULOS DE EMERGENCIA (OVE)",IF(P3=#REF!,"INSTITUCIONES AMIGAS DE LA MUJER Y LA INFANCIA (IAMI)",IF(P3=#REF!,"CUIDADO DEL DONANTE DE ORGANOS",IF(P3=#REF!,"ATENCION A VICTIMAS POR VIOLENCIA DE GENERO",IF(P3=#REF!,"IGUALDAD DE GENERO EN LA SALUD",IF(P3=#REF!,"BRIGADA DE EMERGENCIA",IF(P3=#REF!,"MANEJO DEL DOLOR Y CUIDADOS PALIATIVOS",IF(P3=#REF!,"TOMA DE MUESTRAS Y LABORATORIO POCT",IF(P3=#REF!,"IMPLANTE SUBDERMICO DE DISPOSITIVO INTRAUTERINO",IF(P3=#REF!,"SALUD MENTAL",IF(P3=#REF!,"PRIMEROS AUXILIOS PSICOLOGICOS",IF(P3=#REF!,"ATENCION A VICTIMAS POR CONFLICTO ARMADO",IF(P3=#REF!,"MANIPULACION DE ALIMENTOS Y BPM",IF(P3=#REF!,"ATENCION A PERSONAS CON DISCAPACIDAD",IF(P3=#REF!,"CUIDADO INTEGRAL DEL PACIENTE ADULTO",IF(P3=#REF!,"MANEJO DEFENSIVO",IF(P3=#REF!,"SOPORTE CARDIOVASCULAR AVANZADO NEONATAL",IF(P3=#REF!,"SEGURIDAD DEL PACIENTE",IF(P3=#REF!,"MANEJO DE RESIDUOS HOSPITALARIOS"))))))))))))))))))))))))))))))))))))</f>
        <v>#REF!</v>
      </c>
      <c r="W3" s="25" t="str">
        <f>CONCATENATE(E3," ",F3," ",C3," ",D3)</f>
        <v>Anyi Viviana Galindez Erazo</v>
      </c>
      <c r="X3" s="25" t="str">
        <f t="shared" ref="X3" si="1">PROPER(W3)</f>
        <v>Anyi Viviana Galindez Erazo</v>
      </c>
      <c r="Y3" s="69" t="str">
        <f>CONCATENATE(W3,"-",B3,"-",P3)</f>
        <v>Anyi Viviana Galindez Erazo-1007164519-PRIMEROS AUXILIOS</v>
      </c>
    </row>
    <row r="4" spans="1:25" x14ac:dyDescent="0.2">
      <c r="A4" s="19">
        <v>3</v>
      </c>
      <c r="B4" s="20">
        <v>1007164519</v>
      </c>
      <c r="C4" s="20" t="s">
        <v>43</v>
      </c>
      <c r="D4" s="20" t="s">
        <v>44</v>
      </c>
      <c r="E4" s="20" t="s">
        <v>45</v>
      </c>
      <c r="F4" s="20" t="s">
        <v>46</v>
      </c>
      <c r="G4" s="20">
        <v>4</v>
      </c>
      <c r="H4" s="20" t="s">
        <v>56</v>
      </c>
      <c r="I4" s="21" t="s">
        <v>47</v>
      </c>
      <c r="J4" s="21" t="s">
        <v>88</v>
      </c>
      <c r="K4" s="22">
        <v>45691</v>
      </c>
      <c r="L4" s="23">
        <f t="shared" si="0"/>
        <v>53333.333333333336</v>
      </c>
      <c r="M4" s="20" t="s">
        <v>141</v>
      </c>
      <c r="N4" s="20" t="s">
        <v>52</v>
      </c>
      <c r="O4" s="20" t="s">
        <v>48</v>
      </c>
      <c r="P4" s="20" t="s">
        <v>23</v>
      </c>
      <c r="Q4" s="21">
        <v>36942</v>
      </c>
      <c r="R4" s="20" t="s">
        <v>49</v>
      </c>
      <c r="S4" s="20" t="s">
        <v>50</v>
      </c>
      <c r="T4" s="24">
        <v>3146012830</v>
      </c>
      <c r="U4" s="39" t="s">
        <v>51</v>
      </c>
      <c r="V4" s="25" t="e">
        <f>IF(P4=#REF!,"DIPLOMADO EN ATENCION PRE-HOSPITALARIA",IF(P4=#REF!,"ACOMPAÑAMIENTO Y MANEJO DEL DUELO",IF(P4=#REF!,"ATENCION A VICTIMAS DE ATAQUE CON AGENTES QUIMICOS ",IF(P4=#REF!,"PRIMEROS AUXILIOS ",IF(P4=#REF!,"DIPLOMADO DE UNIDAD DE CUIDADOS INTENSIVOS (UCI)",IF(P4=#REF!,"MODELO DE ATENCION PARA EVENTOS EMERGENTES EN SALUD MENTAL (CODIGO VERDE)",IF(P4=#REF!,"HUMANIZACION EN EL SERVICIO DE LA SALUD Y BUENAS PRACTICAS EN PACIENTE ",IF(P4=#REF!,"CLINICA DE HERIDAS ",IF(P4=#REF!,"TOMA DE CITOLOGIA CERVICO VAGINAL ",IF(P4=#REF!,"SOPORTE CARDIOVASCULAR AVANZADO (ACLS) ",IF(P4=#REF!,"CAMILLERO ",IF(P4=#REF!,"TOMA DE MUESTRAS Y LABORATORIO ",IF(P4=#REF!,"SOPORTE VITAL BASICO (BLS)",IF(P4=#REF!,"ATENCION A VICTIMAS DE VIOLENCIA SEXUAL ",IF(P4=#REF!,"PROGRAMADO AMPLIADO DE INMUNIZACION (PAI - COVID 19)",IF(P4=#REF!,"ATENCION INTEGRAL EN ENFERMEDADES PREVALENTES EN PRIMERA INFANCIA (AIEPI)",IF(P4=#REF!,"ADMINISTRACION DE MEDICAMENTOS, INYECTOLOGIA  Y CANALIZACION ",IF(P4=#REF!,"OPERADOR DE VEHICULOS DE EMERGENCIA (OVE)",IF(P4=#REF!,"INSTITUCIONES AMIGAS DE LA MUJER Y LA INFANCIA (IAMI)",IF(P4=#REF!,"CUIDADO DEL DONANTE DE ORGANOS",IF(P4=#REF!,"ATENCION A VICTIMAS POR VIOLENCIA DE GENERO",IF(P4=#REF!,"IGUALDAD DE GENERO EN LA SALUD",IF(P4=#REF!,"BRIGADA DE EMERGENCIA",IF(P4=#REF!,"MANEJO DEL DOLOR Y CUIDADOS PALIATIVOS",IF(P4=#REF!,"TOMA DE MUESTRAS Y LABORATORIO POCT",IF(P4=#REF!,"IMPLANTE SUBDERMICO DE DISPOSITIVO INTRAUTERINO",IF(P4=#REF!,"SALUD MENTAL",IF(P4=#REF!,"PRIMEROS AUXILIOS PSICOLOGICOS",IF(P4=#REF!,"ATENCION A VICTIMAS POR CONFLICTO ARMADO",IF(P4=#REF!,"MANIPULACION DE ALIMENTOS Y BPM",IF(P4=#REF!,"ATENCION A PERSONAS CON DISCAPACIDAD",IF(P4=#REF!,"CUIDADO INTEGRAL DEL PACIENTE ADULTO",IF(P4=#REF!,"MANEJO DEFENSIVO",IF(P4=#REF!,"SOPORTE CARDIOVASCULAR AVANZADO NEONATAL",IF(P4=#REF!,"SEGURIDAD DEL PACIENTE",IF(P4=#REF!,"MANEJO DE RESIDUOS HOSPITALARIOS"))))))))))))))))))))))))))))))))))))</f>
        <v>#REF!</v>
      </c>
      <c r="W4" s="25" t="str">
        <f t="shared" ref="W4:W67" si="2">CONCATENATE(E4," ",F4," ",C4," ",D4)</f>
        <v>Anyi Viviana Galindez Erazo</v>
      </c>
      <c r="X4" s="25" t="str">
        <f t="shared" ref="X4:X67" si="3">PROPER(W4)</f>
        <v>Anyi Viviana Galindez Erazo</v>
      </c>
      <c r="Y4" s="69" t="str">
        <f t="shared" ref="Y4:Y67" si="4">CONCATENATE(W4,"-",B4,"-",P4)</f>
        <v>Anyi Viviana Galindez Erazo-1007164519-HUMANIZACION</v>
      </c>
    </row>
    <row r="5" spans="1:25" x14ac:dyDescent="0.2">
      <c r="A5" s="19">
        <v>4</v>
      </c>
      <c r="B5" s="20">
        <v>1007164519</v>
      </c>
      <c r="C5" s="20" t="s">
        <v>43</v>
      </c>
      <c r="D5" s="20" t="s">
        <v>44</v>
      </c>
      <c r="E5" s="20" t="s">
        <v>45</v>
      </c>
      <c r="F5" s="20" t="s">
        <v>46</v>
      </c>
      <c r="G5" s="20">
        <v>3</v>
      </c>
      <c r="H5" s="20" t="s">
        <v>56</v>
      </c>
      <c r="I5" s="21" t="s">
        <v>47</v>
      </c>
      <c r="J5" s="21" t="s">
        <v>88</v>
      </c>
      <c r="K5" s="22">
        <v>45691</v>
      </c>
      <c r="L5" s="23">
        <f t="shared" si="0"/>
        <v>53333.333333333336</v>
      </c>
      <c r="M5" s="20" t="s">
        <v>141</v>
      </c>
      <c r="N5" s="20" t="s">
        <v>52</v>
      </c>
      <c r="O5" s="20" t="s">
        <v>48</v>
      </c>
      <c r="P5" s="20" t="s">
        <v>27</v>
      </c>
      <c r="Q5" s="21">
        <v>36942</v>
      </c>
      <c r="R5" s="20" t="s">
        <v>49</v>
      </c>
      <c r="S5" s="20" t="s">
        <v>50</v>
      </c>
      <c r="T5" s="24">
        <v>3146012830</v>
      </c>
      <c r="U5" s="39" t="s">
        <v>51</v>
      </c>
      <c r="V5" s="25" t="e">
        <f>IF(P5=#REF!,"DIPLOMADO EN ATENCION PRE-HOSPITALARIA",IF(P5=#REF!,"ACOMPAÑAMIENTO Y MANEJO DEL DUELO",IF(P5=#REF!,"ATENCION A VICTIMAS DE ATAQUE CON AGENTES QUIMICOS ",IF(P5=#REF!,"PRIMEROS AUXILIOS ",IF(P5=#REF!,"DIPLOMADO DE UNIDAD DE CUIDADOS INTENSIVOS (UCI)",IF(P5=#REF!,"MODELO DE ATENCION PARA EVENTOS EMERGENTES EN SALUD MENTAL (CODIGO VERDE)",IF(P5=#REF!,"HUMANIZACION EN EL SERVICIO DE LA SALUD Y BUENAS PRACTICAS EN PACIENTE ",IF(P5=#REF!,"CLINICA DE HERIDAS ",IF(P5=#REF!,"TOMA DE CITOLOGIA CERVICO VAGINAL ",IF(P5=#REF!,"SOPORTE CARDIOVASCULAR AVANZADO (ACLS) ",IF(P5=#REF!,"CAMILLERO ",IF(P5=#REF!,"TOMA DE MUESTRAS Y LABORATORIO ",IF(P5=#REF!,"SOPORTE VITAL BASICO (BLS)",IF(P5=#REF!,"ATENCION A VICTIMAS DE VIOLENCIA SEXUAL ",IF(P5=#REF!,"PROGRAMADO AMPLIADO DE INMUNIZACION (PAI - COVID 19)",IF(P5=#REF!,"ATENCION INTEGRAL EN ENFERMEDADES PREVALENTES EN PRIMERA INFANCIA (AIEPI)",IF(P5=#REF!,"ADMINISTRACION DE MEDICAMENTOS, INYECTOLOGIA  Y CANALIZACION ",IF(P5=#REF!,"OPERADOR DE VEHICULOS DE EMERGENCIA (OVE)",IF(P5=#REF!,"INSTITUCIONES AMIGAS DE LA MUJER Y LA INFANCIA (IAMI)",IF(P5=#REF!,"CUIDADO DEL DONANTE DE ORGANOS",IF(P5=#REF!,"ATENCION A VICTIMAS POR VIOLENCIA DE GENERO",IF(P5=#REF!,"IGUALDAD DE GENERO EN LA SALUD",IF(P5=#REF!,"BRIGADA DE EMERGENCIA",IF(P5=#REF!,"MANEJO DEL DOLOR Y CUIDADOS PALIATIVOS",IF(P5=#REF!,"TOMA DE MUESTRAS Y LABORATORIO POCT",IF(P5=#REF!,"IMPLANTE SUBDERMICO DE DISPOSITIVO INTRAUTERINO",IF(P5=#REF!,"SALUD MENTAL",IF(P5=#REF!,"PRIMEROS AUXILIOS PSICOLOGICOS",IF(P5=#REF!,"ATENCION A VICTIMAS POR CONFLICTO ARMADO",IF(P5=#REF!,"MANIPULACION DE ALIMENTOS Y BPM",IF(P5=#REF!,"ATENCION A PERSONAS CON DISCAPACIDAD",IF(P5=#REF!,"CUIDADO INTEGRAL DEL PACIENTE ADULTO",IF(P5=#REF!,"MANEJO DEFENSIVO",IF(P5=#REF!,"SOPORTE CARDIOVASCULAR AVANZADO NEONATAL",IF(P5=#REF!,"SEGURIDAD DEL PACIENTE",IF(P5=#REF!,"MANEJO DE RESIDUOS HOSPITALARIOS"))))))))))))))))))))))))))))))))))))</f>
        <v>#REF!</v>
      </c>
      <c r="W5" s="25" t="str">
        <f t="shared" si="2"/>
        <v>Anyi Viviana Galindez Erazo</v>
      </c>
      <c r="X5" s="25" t="str">
        <f t="shared" si="3"/>
        <v>Anyi Viviana Galindez Erazo</v>
      </c>
      <c r="Y5" s="69" t="str">
        <f t="shared" si="4"/>
        <v>Anyi Viviana Galindez Erazo-1007164519-VIOLENCIA SEXUAL</v>
      </c>
    </row>
    <row r="6" spans="1:25" x14ac:dyDescent="0.2">
      <c r="A6" s="28">
        <v>5</v>
      </c>
      <c r="B6" s="29">
        <v>1007164519</v>
      </c>
      <c r="C6" s="29" t="s">
        <v>43</v>
      </c>
      <c r="D6" s="29" t="s">
        <v>44</v>
      </c>
      <c r="E6" s="29" t="s">
        <v>45</v>
      </c>
      <c r="F6" s="29" t="s">
        <v>46</v>
      </c>
      <c r="G6" s="29">
        <v>3</v>
      </c>
      <c r="H6" s="29" t="s">
        <v>56</v>
      </c>
      <c r="I6" s="30" t="s">
        <v>47</v>
      </c>
      <c r="J6" s="30" t="s">
        <v>88</v>
      </c>
      <c r="K6" s="22">
        <v>45691</v>
      </c>
      <c r="L6" s="23">
        <f t="shared" si="0"/>
        <v>53333.333333333336</v>
      </c>
      <c r="M6" s="20" t="s">
        <v>141</v>
      </c>
      <c r="N6" s="29" t="s">
        <v>52</v>
      </c>
      <c r="O6" s="29" t="s">
        <v>48</v>
      </c>
      <c r="P6" s="29" t="s">
        <v>21</v>
      </c>
      <c r="Q6" s="30">
        <v>36942</v>
      </c>
      <c r="R6" s="29" t="s">
        <v>49</v>
      </c>
      <c r="S6" s="29" t="s">
        <v>50</v>
      </c>
      <c r="T6" s="33">
        <v>3146012830</v>
      </c>
      <c r="U6" s="49" t="s">
        <v>51</v>
      </c>
      <c r="V6" s="34" t="e">
        <f>IF(P6=#REF!,"DIPLOMADO EN ATENCION PRE-HOSPITALARIA",IF(P6=#REF!,"ACOMPAÑAMIENTO Y MANEJO DEL DUELO",IF(P6=#REF!,"ATENCION A VICTIMAS DE ATAQUE CON AGENTES QUIMICOS ",IF(P6=#REF!,"PRIMEROS AUXILIOS ",IF(P6=#REF!,"DIPLOMADO DE UNIDAD DE CUIDADOS INTENSIVOS (UCI)",IF(P6=#REF!,"MODELO DE ATENCION PARA EVENTOS EMERGENTES EN SALUD MENTAL (CODIGO VERDE)",IF(P6=#REF!,"HUMANIZACION EN EL SERVICIO DE LA SALUD Y BUENAS PRACTICAS EN PACIENTE ",IF(P6=#REF!,"CLINICA DE HERIDAS ",IF(P6=#REF!,"TOMA DE CITOLOGIA CERVICO VAGINAL ",IF(P6=#REF!,"SOPORTE CARDIOVASCULAR AVANZADO (ACLS) ",IF(P6=#REF!,"CAMILLERO ",IF(P6=#REF!,"TOMA DE MUESTRAS Y LABORATORIO ",IF(P6=#REF!,"SOPORTE VITAL BASICO (BLS)",IF(P6=#REF!,"ATENCION A VICTIMAS DE VIOLENCIA SEXUAL ",IF(P6=#REF!,"PROGRAMADO AMPLIADO DE INMUNIZACION (PAI - COVID 19)",IF(P6=#REF!,"ATENCION INTEGRAL EN ENFERMEDADES PREVALENTES EN PRIMERA INFANCIA (AIEPI)",IF(P6=#REF!,"ADMINISTRACION DE MEDICAMENTOS, INYECTOLOGIA  Y CANALIZACION ",IF(P6=#REF!,"OPERADOR DE VEHICULOS DE EMERGENCIA (OVE)",IF(P6=#REF!,"INSTITUCIONES AMIGAS DE LA MUJER Y LA INFANCIA (IAMI)",IF(P6=#REF!,"CUIDADO DEL DONANTE DE ORGANOS",IF(P6=#REF!,"ATENCION A VICTIMAS POR VIOLENCIA DE GENERO",IF(P6=#REF!,"IGUALDAD DE GENERO EN LA SALUD",IF(P6=#REF!,"BRIGADA DE EMERGENCIA",IF(P6=#REF!,"MANEJO DEL DOLOR Y CUIDADOS PALIATIVOS",IF(P6=#REF!,"TOMA DE MUESTRAS Y LABORATORIO POCT",IF(P6=#REF!,"IMPLANTE SUBDERMICO DE DISPOSITIVO INTRAUTERINO",IF(P6=#REF!,"SALUD MENTAL",IF(P6=#REF!,"PRIMEROS AUXILIOS PSICOLOGICOS",IF(P6=#REF!,"ATENCION A VICTIMAS POR CONFLICTO ARMADO",IF(P6=#REF!,"MANIPULACION DE ALIMENTOS Y BPM",IF(P6=#REF!,"ATENCION A PERSONAS CON DISCAPACIDAD",IF(P6=#REF!,"CUIDADO INTEGRAL DEL PACIENTE ADULTO",IF(P6=#REF!,"MANEJO DEFENSIVO",IF(P6=#REF!,"SOPORTE CARDIOVASCULAR AVANZADO NEONATAL",IF(P6=#REF!,"SEGURIDAD DEL PACIENTE",IF(P6=#REF!,"MANEJO DE RESIDUOS HOSPITALARIOS"))))))))))))))))))))))))))))))))))))</f>
        <v>#REF!</v>
      </c>
      <c r="W6" s="34" t="str">
        <f t="shared" si="2"/>
        <v>Anyi Viviana Galindez Erazo</v>
      </c>
      <c r="X6" s="34" t="str">
        <f t="shared" si="3"/>
        <v>Anyi Viviana Galindez Erazo</v>
      </c>
      <c r="Y6" s="70" t="str">
        <f t="shared" si="4"/>
        <v>Anyi Viviana Galindez Erazo-1007164519-QUIMICOS</v>
      </c>
    </row>
    <row r="7" spans="1:25" x14ac:dyDescent="0.2">
      <c r="A7" s="19">
        <v>6</v>
      </c>
      <c r="B7" s="20">
        <v>1007164519</v>
      </c>
      <c r="C7" s="20" t="s">
        <v>43</v>
      </c>
      <c r="D7" s="20" t="s">
        <v>44</v>
      </c>
      <c r="E7" s="20" t="s">
        <v>45</v>
      </c>
      <c r="F7" s="20" t="s">
        <v>46</v>
      </c>
      <c r="G7" s="20">
        <v>4</v>
      </c>
      <c r="H7" s="20" t="s">
        <v>56</v>
      </c>
      <c r="I7" s="21" t="s">
        <v>47</v>
      </c>
      <c r="J7" s="21" t="s">
        <v>88</v>
      </c>
      <c r="K7" s="22">
        <v>45691</v>
      </c>
      <c r="L7" s="23">
        <f t="shared" si="0"/>
        <v>53333.333333333336</v>
      </c>
      <c r="M7" s="20" t="s">
        <v>141</v>
      </c>
      <c r="N7" s="20" t="s">
        <v>52</v>
      </c>
      <c r="O7" s="20" t="s">
        <v>48</v>
      </c>
      <c r="P7" s="20" t="s">
        <v>20</v>
      </c>
      <c r="Q7" s="21">
        <v>36942</v>
      </c>
      <c r="R7" s="20" t="s">
        <v>49</v>
      </c>
      <c r="S7" s="20" t="s">
        <v>50</v>
      </c>
      <c r="T7" s="24">
        <v>3146012830</v>
      </c>
      <c r="U7" s="39" t="s">
        <v>51</v>
      </c>
      <c r="V7" s="25" t="e">
        <f>IF(P7=#REF!,"DIPLOMADO EN ATENCION PRE-HOSPITALARIA",IF(P7=#REF!,"ACOMPAÑAMIENTO Y MANEJO DEL DUELO",IF(P7=#REF!,"ATENCION A VICTIMAS DE ATAQUE CON AGENTES QUIMICOS ",IF(P7=#REF!,"PRIMEROS AUXILIOS ",IF(P7=#REF!,"DIPLOMADO DE UNIDAD DE CUIDADOS INTENSIVOS (UCI)",IF(P7=#REF!,"MODELO DE ATENCION PARA EVENTOS EMERGENTES EN SALUD MENTAL (CODIGO VERDE)",IF(P7=#REF!,"HUMANIZACION EN EL SERVICIO DE LA SALUD Y BUENAS PRACTICAS EN PACIENTE ",IF(P7=#REF!,"CLINICA DE HERIDAS ",IF(P7=#REF!,"TOMA DE CITOLOGIA CERVICO VAGINAL ",IF(P7=#REF!,"SOPORTE CARDIOVASCULAR AVANZADO (ACLS) ",IF(P7=#REF!,"CAMILLERO ",IF(P7=#REF!,"TOMA DE MUESTRAS Y LABORATORIO ",IF(P7=#REF!,"SOPORTE VITAL BASICO (BLS)",IF(P7=#REF!,"ATENCION A VICTIMAS DE VIOLENCIA SEXUAL ",IF(P7=#REF!,"PROGRAMADO AMPLIADO DE INMUNIZACION (PAI - COVID 19)",IF(P7=#REF!,"ATENCION INTEGRAL EN ENFERMEDADES PREVALENTES EN PRIMERA INFANCIA (AIEPI)",IF(P7=#REF!,"ADMINISTRACION DE MEDICAMENTOS, INYECTOLOGIA  Y CANALIZACION ",IF(P7=#REF!,"OPERADOR DE VEHICULOS DE EMERGENCIA (OVE)",IF(P7=#REF!,"INSTITUCIONES AMIGAS DE LA MUJER Y LA INFANCIA (IAMI)",IF(P7=#REF!,"CUIDADO DEL DONANTE DE ORGANOS",IF(P7=#REF!,"ATENCION A VICTIMAS POR VIOLENCIA DE GENERO",IF(P7=#REF!,"IGUALDAD DE GENERO EN LA SALUD",IF(P7=#REF!,"BRIGADA DE EMERGENCIA",IF(P7=#REF!,"MANEJO DEL DOLOR Y CUIDADOS PALIATIVOS",IF(P7=#REF!,"TOMA DE MUESTRAS Y LABORATORIO POCT",IF(P7=#REF!,"IMPLANTE SUBDERMICO DE DISPOSITIVO INTRAUTERINO",IF(P7=#REF!,"SALUD MENTAL",IF(P7=#REF!,"PRIMEROS AUXILIOS PSICOLOGICOS",IF(P7=#REF!,"ATENCION A VICTIMAS POR CONFLICTO ARMADO",IF(P7=#REF!,"MANIPULACION DE ALIMENTOS Y BPM",IF(P7=#REF!,"ATENCION A PERSONAS CON DISCAPACIDAD",IF(P7=#REF!,"CUIDADO INTEGRAL DEL PACIENTE ADULTO",IF(P7=#REF!,"MANEJO DEFENSIVO",IF(P7=#REF!,"SOPORTE CARDIOVASCULAR AVANZADO NEONATAL",IF(P7=#REF!,"SEGURIDAD DEL PACIENTE",IF(P7=#REF!,"MANEJO DE RESIDUOS HOSPITALARIOS"))))))))))))))))))))))))))))))))))))</f>
        <v>#REF!</v>
      </c>
      <c r="W7" s="25" t="str">
        <f t="shared" si="2"/>
        <v>Anyi Viviana Galindez Erazo</v>
      </c>
      <c r="X7" s="25" t="str">
        <f t="shared" si="3"/>
        <v>Anyi Viviana Galindez Erazo</v>
      </c>
      <c r="Y7" s="69" t="str">
        <f t="shared" si="4"/>
        <v>Anyi Viviana Galindez Erazo-1007164519-DUELO</v>
      </c>
    </row>
    <row r="8" spans="1:25" x14ac:dyDescent="0.2">
      <c r="A8" s="19">
        <v>7</v>
      </c>
      <c r="B8" s="20">
        <v>1086017064</v>
      </c>
      <c r="C8" s="20" t="s">
        <v>44</v>
      </c>
      <c r="D8" s="20" t="s">
        <v>53</v>
      </c>
      <c r="E8" s="20" t="s">
        <v>54</v>
      </c>
      <c r="F8" s="20" t="s">
        <v>55</v>
      </c>
      <c r="G8" s="20">
        <v>3</v>
      </c>
      <c r="H8" s="20" t="s">
        <v>56</v>
      </c>
      <c r="I8" s="21" t="s">
        <v>47</v>
      </c>
      <c r="J8" s="21" t="s">
        <v>88</v>
      </c>
      <c r="K8" s="22">
        <v>45684</v>
      </c>
      <c r="L8" s="23">
        <v>65000</v>
      </c>
      <c r="M8" s="20" t="s">
        <v>115</v>
      </c>
      <c r="N8" s="20" t="s">
        <v>57</v>
      </c>
      <c r="O8" s="20" t="s">
        <v>48</v>
      </c>
      <c r="P8" s="20" t="s">
        <v>29</v>
      </c>
      <c r="Q8" s="21">
        <v>38968</v>
      </c>
      <c r="R8" s="20" t="s">
        <v>49</v>
      </c>
      <c r="S8" s="20" t="s">
        <v>59</v>
      </c>
      <c r="T8" s="24">
        <v>3144503329</v>
      </c>
      <c r="U8" s="20" t="s">
        <v>60</v>
      </c>
      <c r="V8" s="25" t="e">
        <f>IF(P8=#REF!,"DIPLOMADO EN ATENCION PRE-HOSPITALARIA",IF(P8=#REF!,"ACOMPAÑAMIENTO Y MANEJO DEL DUELO",IF(P8=#REF!,"ATENCION A VICTIMAS DE ATAQUE CON AGENTES QUIMICOS ",IF(P8=#REF!,"PRIMEROS AUXILIOS ",IF(P8=#REF!,"DIPLOMADO DE UNIDAD DE CUIDADOS INTENSIVOS (UCI)",IF(P8=#REF!,"MODELO DE ATENCION PARA EVENTOS EMERGENTES EN SALUD MENTAL (CODIGO VERDE)",IF(P8=#REF!,"HUMANIZACION EN EL SERVICIO DE LA SALUD Y BUENAS PRACTICAS EN PACIENTE ",IF(P8=#REF!,"CLINICA DE HERIDAS ",IF(P8=#REF!,"TOMA DE CITOLOGIA CERVICO VAGINAL ",IF(P8=#REF!,"SOPORTE CARDIOVASCULAR AVANZADO (ACLS) ",IF(P8=#REF!,"CAMILLERO ",IF(P8=#REF!,"TOMA DE MUESTRAS Y LABORATORIO ",IF(P8=#REF!,"SOPORTE VITAL BASICO (BLS)",IF(P8=#REF!,"ATENCION A VICTIMAS DE VIOLENCIA SEXUAL ",IF(P8=#REF!,"PROGRAMADO AMPLIADO DE INMUNIZACION (PAI - COVID 19)",IF(P8=#REF!,"ATENCION INTEGRAL EN ENFERMEDADES PREVALENTES EN PRIMERA INFANCIA (AIEPI)",IF(P8=#REF!,"ADMINISTRACION DE MEDICAMENTOS, INYECTOLOGIA  Y CANALIZACION ",IF(P8=#REF!,"OPERADOR DE VEHICULOS DE EMERGENCIA (OVE)",IF(P8=#REF!,"INSTITUCIONES AMIGAS DE LA MUJER Y LA INFANCIA (IAMI)",IF(P8=#REF!,"CUIDADO DEL DONANTE DE ORGANOS",IF(P8=#REF!,"ATENCION A VICTIMAS POR VIOLENCIA DE GENERO",IF(P8=#REF!,"IGUALDAD DE GENERO EN LA SALUD",IF(P8=#REF!,"BRIGADA DE EMERGENCIA",IF(P8=#REF!,"MANEJO DEL DOLOR Y CUIDADOS PALIATIVOS",IF(P8=#REF!,"TOMA DE MUESTRAS Y LABORATORIO POCT",IF(P8=#REF!,"IMPLANTE SUBDERMICO DE DISPOSITIVO INTRAUTERINO",IF(P8=#REF!,"SALUD MENTAL",IF(P8=#REF!,"PRIMEROS AUXILIOS PSICOLOGICOS",IF(P8=#REF!,"ATENCION A VICTIMAS POR CONFLICTO ARMADO",IF(P8=#REF!,"MANIPULACION DE ALIMENTOS Y BPM",IF(P8=#REF!,"ATENCION A PERSONAS CON DISCAPACIDAD",IF(P8=#REF!,"CUIDADO INTEGRAL DEL PACIENTE ADULTO",IF(P8=#REF!,"MANEJO DEFENSIVO",IF(P8=#REF!,"SOPORTE CARDIOVASCULAR AVANZADO NEONATAL",IF(P8=#REF!,"SEGURIDAD DEL PACIENTE",IF(P8=#REF!,"MANEJO DE RESIDUOS HOSPITALARIOS"))))))))))))))))))))))))))))))))))))</f>
        <v>#REF!</v>
      </c>
      <c r="W8" s="25" t="str">
        <f t="shared" si="2"/>
        <v>Daneyi Banesa Erazo Cabrera</v>
      </c>
      <c r="X8" s="25" t="str">
        <f t="shared" si="3"/>
        <v>Daneyi Banesa Erazo Cabrera</v>
      </c>
      <c r="Y8" s="69" t="str">
        <f t="shared" si="4"/>
        <v>Daneyi Banesa Erazo Cabrera-1086017064-ADMON DE MEDICAMENTOS</v>
      </c>
    </row>
    <row r="9" spans="1:25" x14ac:dyDescent="0.2">
      <c r="A9" s="19">
        <v>8</v>
      </c>
      <c r="B9" s="20">
        <v>1120098626</v>
      </c>
      <c r="C9" s="20" t="s">
        <v>64</v>
      </c>
      <c r="D9" s="20" t="s">
        <v>65</v>
      </c>
      <c r="E9" s="20" t="s">
        <v>66</v>
      </c>
      <c r="F9" s="20" t="s">
        <v>67</v>
      </c>
      <c r="G9" s="20">
        <v>3</v>
      </c>
      <c r="H9" s="20" t="s">
        <v>56</v>
      </c>
      <c r="I9" s="21" t="s">
        <v>47</v>
      </c>
      <c r="J9" s="21" t="s">
        <v>88</v>
      </c>
      <c r="K9" s="22">
        <v>45691</v>
      </c>
      <c r="L9" s="23">
        <v>65000</v>
      </c>
      <c r="M9" s="20" t="s">
        <v>61</v>
      </c>
      <c r="N9" s="20" t="s">
        <v>57</v>
      </c>
      <c r="O9" s="20" t="s">
        <v>48</v>
      </c>
      <c r="P9" s="20" t="s">
        <v>29</v>
      </c>
      <c r="Q9" s="21">
        <v>39261</v>
      </c>
      <c r="R9" s="20" t="s">
        <v>49</v>
      </c>
      <c r="S9" s="24" t="s">
        <v>62</v>
      </c>
      <c r="T9" s="24">
        <v>3235535374</v>
      </c>
      <c r="U9" s="20" t="s">
        <v>63</v>
      </c>
      <c r="V9" s="25" t="e">
        <f>IF(P9=#REF!,"DIPLOMADO EN ATENCION PRE-HOSPITALARIA",IF(P9=#REF!,"ACOMPAÑAMIENTO Y MANEJO DEL DUELO",IF(P9=#REF!,"ATENCION A VICTIMAS DE ATAQUE CON AGENTES QUIMICOS ",IF(P9=#REF!,"PRIMEROS AUXILIOS ",IF(P9=#REF!,"DIPLOMADO DE UNIDAD DE CUIDADOS INTENSIVOS (UCI)",IF(P9=#REF!,"MODELO DE ATENCION PARA EVENTOS EMERGENTES EN SALUD MENTAL (CODIGO VERDE)",IF(P9=#REF!,"HUMANIZACION EN EL SERVICIO DE LA SALUD Y BUENAS PRACTICAS EN PACIENTE ",IF(P9=#REF!,"CLINICA DE HERIDAS ",IF(P9=#REF!,"TOMA DE CITOLOGIA CERVICO VAGINAL ",IF(P9=#REF!,"SOPORTE CARDIOVASCULAR AVANZADO (ACLS) ",IF(P9=#REF!,"CAMILLERO ",IF(P9=#REF!,"TOMA DE MUESTRAS Y LABORATORIO ",IF(P9=#REF!,"SOPORTE VITAL BASICO (BLS)",IF(P9=#REF!,"ATENCION A VICTIMAS DE VIOLENCIA SEXUAL ",IF(P9=#REF!,"PROGRAMADO AMPLIADO DE INMUNIZACION (PAI - COVID 19)",IF(P9=#REF!,"ATENCION INTEGRAL EN ENFERMEDADES PREVALENTES EN PRIMERA INFANCIA (AIEPI)",IF(P9=#REF!,"ADMINISTRACION DE MEDICAMENTOS, INYECTOLOGIA  Y CANALIZACION ",IF(P9=#REF!,"OPERADOR DE VEHICULOS DE EMERGENCIA (OVE)",IF(P9=#REF!,"INSTITUCIONES AMIGAS DE LA MUJER Y LA INFANCIA (IAMI)",IF(P9=#REF!,"CUIDADO DEL DONANTE DE ORGANOS",IF(P9=#REF!,"ATENCION A VICTIMAS POR VIOLENCIA DE GENERO",IF(P9=#REF!,"IGUALDAD DE GENERO EN LA SALUD",IF(P9=#REF!,"BRIGADA DE EMERGENCIA",IF(P9=#REF!,"MANEJO DEL DOLOR Y CUIDADOS PALIATIVOS",IF(P9=#REF!,"TOMA DE MUESTRAS Y LABORATORIO POCT",IF(P9=#REF!,"IMPLANTE SUBDERMICO DE DISPOSITIVO INTRAUTERINO",IF(P9=#REF!,"SALUD MENTAL",IF(P9=#REF!,"PRIMEROS AUXILIOS PSICOLOGICOS",IF(P9=#REF!,"ATENCION A VICTIMAS POR CONFLICTO ARMADO",IF(P9=#REF!,"MANIPULACION DE ALIMENTOS Y BPM",IF(P9=#REF!,"ATENCION A PERSONAS CON DISCAPACIDAD",IF(P9=#REF!,"CUIDADO INTEGRAL DEL PACIENTE ADULTO",IF(P9=#REF!,"MANEJO DEFENSIVO",IF(P9=#REF!,"SOPORTE CARDIOVASCULAR AVANZADO NEONATAL",IF(P9=#REF!,"SEGURIDAD DEL PACIENTE",IF(P9=#REF!,"MANEJO DE RESIDUOS HOSPITALARIOS"))))))))))))))))))))))))))))))))))))</f>
        <v>#REF!</v>
      </c>
      <c r="W9" s="25" t="str">
        <f t="shared" si="2"/>
        <v>Katerin Yulieth Madroñero Zambrano</v>
      </c>
      <c r="X9" s="25" t="str">
        <f t="shared" si="3"/>
        <v>Katerin Yulieth Madroñero Zambrano</v>
      </c>
      <c r="Y9" s="69" t="str">
        <f t="shared" si="4"/>
        <v>Katerin Yulieth Madroñero Zambrano-1120098626-ADMON DE MEDICAMENTOS</v>
      </c>
    </row>
    <row r="10" spans="1:25" x14ac:dyDescent="0.2">
      <c r="A10" s="19">
        <v>9</v>
      </c>
      <c r="B10" s="20">
        <v>59396138</v>
      </c>
      <c r="C10" s="20" t="s">
        <v>68</v>
      </c>
      <c r="D10" s="20" t="s">
        <v>69</v>
      </c>
      <c r="E10" s="20" t="s">
        <v>70</v>
      </c>
      <c r="F10" s="20" t="s">
        <v>71</v>
      </c>
      <c r="G10" s="20">
        <v>3</v>
      </c>
      <c r="H10" s="20" t="s">
        <v>56</v>
      </c>
      <c r="I10" s="21" t="s">
        <v>72</v>
      </c>
      <c r="J10" s="21" t="s">
        <v>91</v>
      </c>
      <c r="K10" s="22">
        <v>45691</v>
      </c>
      <c r="L10" s="23">
        <v>32000</v>
      </c>
      <c r="M10" s="20" t="s">
        <v>90</v>
      </c>
      <c r="N10" s="20" t="s">
        <v>57</v>
      </c>
      <c r="O10" s="20" t="s">
        <v>73</v>
      </c>
      <c r="P10" s="20" t="s">
        <v>23</v>
      </c>
      <c r="Q10" s="21">
        <v>30112</v>
      </c>
      <c r="R10" s="20" t="s">
        <v>49</v>
      </c>
      <c r="S10" s="20" t="s">
        <v>74</v>
      </c>
      <c r="T10" s="24">
        <v>3168902712</v>
      </c>
      <c r="U10" s="20"/>
      <c r="V10" s="25" t="e">
        <f>IF(P10=#REF!,"DIPLOMADO EN ATENCION PRE-HOSPITALARIA",IF(P10=#REF!,"ACOMPAÑAMIENTO Y MANEJO DEL DUELO",IF(P10=#REF!,"ATENCION A VICTIMAS DE ATAQUE CON AGENTES QUIMICOS ",IF(P10=#REF!,"PRIMEROS AUXILIOS ",IF(P10=#REF!,"DIPLOMADO DE UNIDAD DE CUIDADOS INTENSIVOS (UCI)",IF(P10=#REF!,"MODELO DE ATENCION PARA EVENTOS EMERGENTES EN SALUD MENTAL (CODIGO VERDE)",IF(P10=#REF!,"HUMANIZACION EN EL SERVICIO DE LA SALUD Y BUENAS PRACTICAS EN PACIENTE ",IF(P10=#REF!,"CLINICA DE HERIDAS ",IF(P10=#REF!,"TOMA DE CITOLOGIA CERVICO VAGINAL ",IF(P10=#REF!,"SOPORTE CARDIOVASCULAR AVANZADO (ACLS) ",IF(P10=#REF!,"CAMILLERO ",IF(P10=#REF!,"TOMA DE MUESTRAS Y LABORATORIO ",IF(P10=#REF!,"SOPORTE VITAL BASICO (BLS)",IF(P10=#REF!,"ATENCION A VICTIMAS DE VIOLENCIA SEXUAL ",IF(P10=#REF!,"PROGRAMADO AMPLIADO DE INMUNIZACION (PAI - COVID 19)",IF(P10=#REF!,"ATENCION INTEGRAL EN ENFERMEDADES PREVALENTES EN PRIMERA INFANCIA (AIEPI)",IF(P10=#REF!,"ADMINISTRACION DE MEDICAMENTOS, INYECTOLOGIA  Y CANALIZACION ",IF(P10=#REF!,"OPERADOR DE VEHICULOS DE EMERGENCIA (OVE)",IF(P10=#REF!,"INSTITUCIONES AMIGAS DE LA MUJER Y LA INFANCIA (IAMI)",IF(P10=#REF!,"CUIDADO DEL DONANTE DE ORGANOS",IF(P10=#REF!,"ATENCION A VICTIMAS POR VIOLENCIA DE GENERO",IF(P10=#REF!,"IGUALDAD DE GENERO EN LA SALUD",IF(P10=#REF!,"BRIGADA DE EMERGENCIA",IF(P10=#REF!,"MANEJO DEL DOLOR Y CUIDADOS PALIATIVOS",IF(P10=#REF!,"TOMA DE MUESTRAS Y LABORATORIO POCT",IF(P10=#REF!,"IMPLANTE SUBDERMICO DE DISPOSITIVO INTRAUTERINO",IF(P10=#REF!,"SALUD MENTAL",IF(P10=#REF!,"PRIMEROS AUXILIOS PSICOLOGICOS",IF(P10=#REF!,"ATENCION A VICTIMAS POR CONFLICTO ARMADO",IF(P10=#REF!,"MANIPULACION DE ALIMENTOS Y BPM",IF(P10=#REF!,"ATENCION A PERSONAS CON DISCAPACIDAD",IF(P10=#REF!,"CUIDADO INTEGRAL DEL PACIENTE ADULTO",IF(P10=#REF!,"MANEJO DEFENSIVO",IF(P10=#REF!,"SOPORTE CARDIOVASCULAR AVANZADO NEONATAL",IF(P10=#REF!,"SEGURIDAD DEL PACIENTE",IF(P10=#REF!,"MANEJO DE RESIDUOS HOSPITALARIOS"))))))))))))))))))))))))))))))))))))</f>
        <v>#REF!</v>
      </c>
      <c r="W10" s="25" t="str">
        <f t="shared" si="2"/>
        <v>Mirta Elizabeth Rodriguez Andrade</v>
      </c>
      <c r="X10" s="25" t="str">
        <f t="shared" si="3"/>
        <v>Mirta Elizabeth Rodriguez Andrade</v>
      </c>
      <c r="Y10" s="69" t="str">
        <f t="shared" si="4"/>
        <v>Mirta Elizabeth Rodriguez Andrade-59396138-HUMANIZACION</v>
      </c>
    </row>
    <row r="11" spans="1:25" x14ac:dyDescent="0.2">
      <c r="A11" s="19">
        <v>10</v>
      </c>
      <c r="B11" s="35">
        <v>1086894706</v>
      </c>
      <c r="C11" s="35" t="s">
        <v>75</v>
      </c>
      <c r="D11" s="35" t="s">
        <v>44</v>
      </c>
      <c r="E11" s="35" t="s">
        <v>76</v>
      </c>
      <c r="F11" s="35" t="s">
        <v>77</v>
      </c>
      <c r="G11" s="35">
        <v>1</v>
      </c>
      <c r="H11" s="35" t="s">
        <v>56</v>
      </c>
      <c r="I11" s="36" t="s">
        <v>47</v>
      </c>
      <c r="J11" s="36" t="s">
        <v>89</v>
      </c>
      <c r="K11" s="37"/>
      <c r="L11" s="38"/>
      <c r="M11" s="35"/>
      <c r="N11" s="20" t="s">
        <v>57</v>
      </c>
      <c r="O11" s="20" t="s">
        <v>48</v>
      </c>
      <c r="P11" s="20" t="s">
        <v>35</v>
      </c>
      <c r="Q11" s="21">
        <v>32284</v>
      </c>
      <c r="R11" s="20" t="s">
        <v>49</v>
      </c>
      <c r="S11" s="20" t="s">
        <v>78</v>
      </c>
      <c r="T11" s="24">
        <v>3108756769</v>
      </c>
      <c r="U11" s="20" t="s">
        <v>79</v>
      </c>
      <c r="V11" s="25" t="e">
        <f>IF(P11=#REF!,"DIPLOMADO EN ATENCION PRE-HOSPITALARIA",IF(P11=#REF!,"ACOMPAÑAMIENTO Y MANEJO DEL DUELO",IF(P11=#REF!,"ATENCION A VICTIMAS DE ATAQUE CON AGENTES QUIMICOS ",IF(P11=#REF!,"PRIMEROS AUXILIOS ",IF(P11=#REF!,"DIPLOMADO DE UNIDAD DE CUIDADOS INTENSIVOS (UCI)",IF(P11=#REF!,"MODELO DE ATENCION PARA EVENTOS EMERGENTES EN SALUD MENTAL (CODIGO VERDE)",IF(P11=#REF!,"HUMANIZACION EN EL SERVICIO DE LA SALUD Y BUENAS PRACTICAS EN PACIENTE ",IF(P11=#REF!,"CLINICA DE HERIDAS ",IF(P11=#REF!,"TOMA DE CITOLOGIA CERVICO VAGINAL ",IF(P11=#REF!,"SOPORTE CARDIOVASCULAR AVANZADO (ACLS) ",IF(P11=#REF!,"CAMILLERO ",IF(P11=#REF!,"TOMA DE MUESTRAS Y LABORATORIO ",IF(P11=#REF!,"SOPORTE VITAL BASICO (BLS)",IF(P11=#REF!,"ATENCION A VICTIMAS DE VIOLENCIA SEXUAL ",IF(P11=#REF!,"PROGRAMADO AMPLIADO DE INMUNIZACION (PAI - COVID 19)",IF(P11=#REF!,"ATENCION INTEGRAL EN ENFERMEDADES PREVALENTES EN PRIMERA INFANCIA (AIEPI)",IF(P11=#REF!,"ADMINISTRACION DE MEDICAMENTOS, INYECTOLOGIA  Y CANALIZACION ",IF(P11=#REF!,"OPERADOR DE VEHICULOS DE EMERGENCIA (OVE)",IF(P11=#REF!,"INSTITUCIONES AMIGAS DE LA MUJER Y LA INFANCIA (IAMI)",IF(P11=#REF!,"CUIDADO DEL DONANTE DE ORGANOS",IF(P11=#REF!,"ATENCION A VICTIMAS POR VIOLENCIA DE GENERO",IF(P11=#REF!,"IGUALDAD DE GENERO EN LA SALUD",IF(P11=#REF!,"BRIGADA DE EMERGENCIA",IF(P11=#REF!,"MANEJO DEL DOLOR Y CUIDADOS PALIATIVOS",IF(P11=#REF!,"TOMA DE MUESTRAS Y LABORATORIO POCT",IF(P11=#REF!,"IMPLANTE SUBDERMICO DE DISPOSITIVO INTRAUTERINO",IF(P11=#REF!,"SALUD MENTAL",IF(P11=#REF!,"PRIMEROS AUXILIOS PSICOLOGICOS",IF(P11=#REF!,"ATENCION A VICTIMAS POR CONFLICTO ARMADO",IF(P11=#REF!,"MANIPULACION DE ALIMENTOS Y BPM",IF(P11=#REF!,"ATENCION A PERSONAS CON DISCAPACIDAD",IF(P11=#REF!,"CUIDADO INTEGRAL DEL PACIENTE ADULTO",IF(P11=#REF!,"MANEJO DEFENSIVO",IF(P11=#REF!,"SOPORTE CARDIOVASCULAR AVANZADO NEONATAL",IF(P11=#REF!,"SEGURIDAD DEL PACIENTE",IF(P11=#REF!,"MANEJO DE RESIDUOS HOSPITALARIOS"))))))))))))))))))))))))))))))))))))</f>
        <v>#REF!</v>
      </c>
      <c r="W11" s="25" t="str">
        <f t="shared" si="2"/>
        <v>Tatiana Aracely Narvaez Erazo</v>
      </c>
      <c r="X11" s="25" t="str">
        <f t="shared" si="3"/>
        <v>Tatiana Aracely Narvaez Erazo</v>
      </c>
      <c r="Y11" s="69" t="str">
        <f t="shared" si="4"/>
        <v>Tatiana Aracely Narvaez Erazo-1086894706-CONFLICTO ARMADO</v>
      </c>
    </row>
    <row r="12" spans="1:25" x14ac:dyDescent="0.2">
      <c r="A12" s="19">
        <v>11</v>
      </c>
      <c r="B12" s="35">
        <v>1086894706</v>
      </c>
      <c r="C12" s="35" t="s">
        <v>75</v>
      </c>
      <c r="D12" s="35" t="s">
        <v>44</v>
      </c>
      <c r="E12" s="35" t="s">
        <v>76</v>
      </c>
      <c r="F12" s="35" t="s">
        <v>77</v>
      </c>
      <c r="G12" s="35">
        <v>3</v>
      </c>
      <c r="H12" s="35" t="s">
        <v>56</v>
      </c>
      <c r="I12" s="36" t="s">
        <v>47</v>
      </c>
      <c r="J12" s="36" t="s">
        <v>89</v>
      </c>
      <c r="K12" s="37"/>
      <c r="L12" s="38"/>
      <c r="M12" s="35"/>
      <c r="N12" s="20" t="s">
        <v>57</v>
      </c>
      <c r="O12" s="20" t="s">
        <v>48</v>
      </c>
      <c r="P12" s="20" t="s">
        <v>27</v>
      </c>
      <c r="Q12" s="21">
        <v>32284</v>
      </c>
      <c r="R12" s="20" t="s">
        <v>49</v>
      </c>
      <c r="S12" s="20" t="s">
        <v>78</v>
      </c>
      <c r="T12" s="24">
        <v>3108756769</v>
      </c>
      <c r="U12" s="20" t="s">
        <v>79</v>
      </c>
      <c r="V12" s="25" t="e">
        <f>IF(P12=#REF!,"DIPLOMADO EN ATENCION PRE-HOSPITALARIA",IF(P12=#REF!,"ACOMPAÑAMIENTO Y MANEJO DEL DUELO",IF(P12=#REF!,"ATENCION A VICTIMAS DE ATAQUE CON AGENTES QUIMICOS ",IF(P12=#REF!,"PRIMEROS AUXILIOS ",IF(P12=#REF!,"DIPLOMADO DE UNIDAD DE CUIDADOS INTENSIVOS (UCI)",IF(P12=#REF!,"MODELO DE ATENCION PARA EVENTOS EMERGENTES EN SALUD MENTAL (CODIGO VERDE)",IF(P12=#REF!,"HUMANIZACION EN EL SERVICIO DE LA SALUD Y BUENAS PRACTICAS EN PACIENTE ",IF(P12=#REF!,"CLINICA DE HERIDAS ",IF(P12=#REF!,"TOMA DE CITOLOGIA CERVICO VAGINAL ",IF(P12=#REF!,"SOPORTE CARDIOVASCULAR AVANZADO (ACLS) ",IF(P12=#REF!,"CAMILLERO ",IF(P12=#REF!,"TOMA DE MUESTRAS Y LABORATORIO ",IF(P12=#REF!,"SOPORTE VITAL BASICO (BLS)",IF(P12=#REF!,"ATENCION A VICTIMAS DE VIOLENCIA SEXUAL ",IF(P12=#REF!,"PROGRAMADO AMPLIADO DE INMUNIZACION (PAI - COVID 19)",IF(P12=#REF!,"ATENCION INTEGRAL EN ENFERMEDADES PREVALENTES EN PRIMERA INFANCIA (AIEPI)",IF(P12=#REF!,"ADMINISTRACION DE MEDICAMENTOS, INYECTOLOGIA  Y CANALIZACION ",IF(P12=#REF!,"OPERADOR DE VEHICULOS DE EMERGENCIA (OVE)",IF(P12=#REF!,"INSTITUCIONES AMIGAS DE LA MUJER Y LA INFANCIA (IAMI)",IF(P12=#REF!,"CUIDADO DEL DONANTE DE ORGANOS",IF(P12=#REF!,"ATENCION A VICTIMAS POR VIOLENCIA DE GENERO",IF(P12=#REF!,"IGUALDAD DE GENERO EN LA SALUD",IF(P12=#REF!,"BRIGADA DE EMERGENCIA",IF(P12=#REF!,"MANEJO DEL DOLOR Y CUIDADOS PALIATIVOS",IF(P12=#REF!,"TOMA DE MUESTRAS Y LABORATORIO POCT",IF(P12=#REF!,"IMPLANTE SUBDERMICO DE DISPOSITIVO INTRAUTERINO",IF(P12=#REF!,"SALUD MENTAL",IF(P12=#REF!,"PRIMEROS AUXILIOS PSICOLOGICOS",IF(P12=#REF!,"ATENCION A VICTIMAS POR CONFLICTO ARMADO",IF(P12=#REF!,"MANIPULACION DE ALIMENTOS Y BPM",IF(P12=#REF!,"ATENCION A PERSONAS CON DISCAPACIDAD",IF(P12=#REF!,"CUIDADO INTEGRAL DEL PACIENTE ADULTO",IF(P12=#REF!,"MANEJO DEFENSIVO",IF(P12=#REF!,"SOPORTE CARDIOVASCULAR AVANZADO NEONATAL",IF(P12=#REF!,"SEGURIDAD DEL PACIENTE",IF(P12=#REF!,"MANEJO DE RESIDUOS HOSPITALARIOS"))))))))))))))))))))))))))))))))))))</f>
        <v>#REF!</v>
      </c>
      <c r="W12" s="25" t="str">
        <f t="shared" si="2"/>
        <v>Tatiana Aracely Narvaez Erazo</v>
      </c>
      <c r="X12" s="25" t="str">
        <f t="shared" si="3"/>
        <v>Tatiana Aracely Narvaez Erazo</v>
      </c>
      <c r="Y12" s="69" t="str">
        <f t="shared" si="4"/>
        <v>Tatiana Aracely Narvaez Erazo-1086894706-VIOLENCIA SEXUAL</v>
      </c>
    </row>
    <row r="13" spans="1:25" x14ac:dyDescent="0.2">
      <c r="A13" s="19">
        <v>12</v>
      </c>
      <c r="B13" s="35">
        <v>1086894706</v>
      </c>
      <c r="C13" s="35" t="s">
        <v>75</v>
      </c>
      <c r="D13" s="35" t="s">
        <v>44</v>
      </c>
      <c r="E13" s="35" t="s">
        <v>76</v>
      </c>
      <c r="F13" s="35" t="s">
        <v>77</v>
      </c>
      <c r="G13" s="35">
        <v>31</v>
      </c>
      <c r="H13" s="35" t="s">
        <v>80</v>
      </c>
      <c r="I13" s="36" t="s">
        <v>47</v>
      </c>
      <c r="J13" s="36" t="s">
        <v>89</v>
      </c>
      <c r="K13" s="37"/>
      <c r="L13" s="38"/>
      <c r="M13" s="35"/>
      <c r="N13" s="20" t="s">
        <v>57</v>
      </c>
      <c r="O13" s="20" t="s">
        <v>48</v>
      </c>
      <c r="P13" s="20" t="s">
        <v>23</v>
      </c>
      <c r="Q13" s="21">
        <v>32284</v>
      </c>
      <c r="R13" s="20" t="s">
        <v>49</v>
      </c>
      <c r="S13" s="20" t="s">
        <v>78</v>
      </c>
      <c r="T13" s="24">
        <v>3108756769</v>
      </c>
      <c r="U13" s="20" t="s">
        <v>79</v>
      </c>
      <c r="V13" s="25" t="e">
        <f>IF(P13=#REF!,"DIPLOMADO EN ATENCION PRE-HOSPITALARIA",IF(P13=#REF!,"ACOMPAÑAMIENTO Y MANEJO DEL DUELO",IF(P13=#REF!,"ATENCION A VICTIMAS DE ATAQUE CON AGENTES QUIMICOS ",IF(P13=#REF!,"PRIMEROS AUXILIOS ",IF(P13=#REF!,"DIPLOMADO DE UNIDAD DE CUIDADOS INTENSIVOS (UCI)",IF(P13=#REF!,"MODELO DE ATENCION PARA EVENTOS EMERGENTES EN SALUD MENTAL (CODIGO VERDE)",IF(P13=#REF!,"HUMANIZACION EN EL SERVICIO DE LA SALUD Y BUENAS PRACTICAS EN PACIENTE ",IF(P13=#REF!,"CLINICA DE HERIDAS ",IF(P13=#REF!,"TOMA DE CITOLOGIA CERVICO VAGINAL ",IF(P13=#REF!,"SOPORTE CARDIOVASCULAR AVANZADO (ACLS) ",IF(P13=#REF!,"CAMILLERO ",IF(P13=#REF!,"TOMA DE MUESTRAS Y LABORATORIO ",IF(P13=#REF!,"SOPORTE VITAL BASICO (BLS)",IF(P13=#REF!,"ATENCION A VICTIMAS DE VIOLENCIA SEXUAL ",IF(P13=#REF!,"PROGRAMADO AMPLIADO DE INMUNIZACION (PAI - COVID 19)",IF(P13=#REF!,"ATENCION INTEGRAL EN ENFERMEDADES PREVALENTES EN PRIMERA INFANCIA (AIEPI)",IF(P13=#REF!,"ADMINISTRACION DE MEDICAMENTOS, INYECTOLOGIA  Y CANALIZACION ",IF(P13=#REF!,"OPERADOR DE VEHICULOS DE EMERGENCIA (OVE)",IF(P13=#REF!,"INSTITUCIONES AMIGAS DE LA MUJER Y LA INFANCIA (IAMI)",IF(P13=#REF!,"CUIDADO DEL DONANTE DE ORGANOS",IF(P13=#REF!,"ATENCION A VICTIMAS POR VIOLENCIA DE GENERO",IF(P13=#REF!,"IGUALDAD DE GENERO EN LA SALUD",IF(P13=#REF!,"BRIGADA DE EMERGENCIA",IF(P13=#REF!,"MANEJO DEL DOLOR Y CUIDADOS PALIATIVOS",IF(P13=#REF!,"TOMA DE MUESTRAS Y LABORATORIO POCT",IF(P13=#REF!,"IMPLANTE SUBDERMICO DE DISPOSITIVO INTRAUTERINO",IF(P13=#REF!,"SALUD MENTAL",IF(P13=#REF!,"PRIMEROS AUXILIOS PSICOLOGICOS",IF(P13=#REF!,"ATENCION A VICTIMAS POR CONFLICTO ARMADO",IF(P13=#REF!,"MANIPULACION DE ALIMENTOS Y BPM",IF(P13=#REF!,"ATENCION A PERSONAS CON DISCAPACIDAD",IF(P13=#REF!,"CUIDADO INTEGRAL DEL PACIENTE ADULTO",IF(P13=#REF!,"MANEJO DEFENSIVO",IF(P13=#REF!,"SOPORTE CARDIOVASCULAR AVANZADO NEONATAL",IF(P13=#REF!,"SEGURIDAD DEL PACIENTE",IF(P13=#REF!,"MANEJO DE RESIDUOS HOSPITALARIOS"))))))))))))))))))))))))))))))))))))</f>
        <v>#REF!</v>
      </c>
      <c r="W13" s="25" t="str">
        <f t="shared" si="2"/>
        <v>Tatiana Aracely Narvaez Erazo</v>
      </c>
      <c r="X13" s="25" t="str">
        <f t="shared" si="3"/>
        <v>Tatiana Aracely Narvaez Erazo</v>
      </c>
      <c r="Y13" s="69" t="str">
        <f t="shared" si="4"/>
        <v>Tatiana Aracely Narvaez Erazo-1086894706-HUMANIZACION</v>
      </c>
    </row>
    <row r="14" spans="1:25" x14ac:dyDescent="0.2">
      <c r="A14" s="19">
        <v>13</v>
      </c>
      <c r="B14" s="20">
        <v>1085299919</v>
      </c>
      <c r="C14" s="20" t="s">
        <v>81</v>
      </c>
      <c r="D14" s="20" t="s">
        <v>82</v>
      </c>
      <c r="E14" s="20" t="s">
        <v>83</v>
      </c>
      <c r="F14" s="20" t="s">
        <v>84</v>
      </c>
      <c r="G14" s="20">
        <v>3</v>
      </c>
      <c r="H14" s="20" t="s">
        <v>56</v>
      </c>
      <c r="I14" s="21" t="s">
        <v>47</v>
      </c>
      <c r="J14" s="21" t="s">
        <v>147</v>
      </c>
      <c r="K14" s="22">
        <v>45691</v>
      </c>
      <c r="L14" s="23">
        <v>60000</v>
      </c>
      <c r="M14" s="20" t="s">
        <v>61</v>
      </c>
      <c r="N14" s="20" t="s">
        <v>52</v>
      </c>
      <c r="O14" s="20" t="s">
        <v>48</v>
      </c>
      <c r="P14" s="20" t="s">
        <v>27</v>
      </c>
      <c r="Q14" s="21">
        <v>33891</v>
      </c>
      <c r="R14" s="20" t="s">
        <v>85</v>
      </c>
      <c r="S14" s="24" t="s">
        <v>86</v>
      </c>
      <c r="T14" s="24">
        <v>3126149772</v>
      </c>
      <c r="U14" s="20" t="s">
        <v>87</v>
      </c>
      <c r="V14" s="25" t="e">
        <f>IF(P14=#REF!,"DIPLOMADO EN ATENCION PRE-HOSPITALARIA",IF(P14=#REF!,"ACOMPAÑAMIENTO Y MANEJO DEL DUELO",IF(P14=#REF!,"ATENCION A VICTIMAS DE ATAQUE CON AGENTES QUIMICOS ",IF(P14=#REF!,"PRIMEROS AUXILIOS ",IF(P14=#REF!,"DIPLOMADO DE UNIDAD DE CUIDADOS INTENSIVOS (UCI)",IF(P14=#REF!,"MODELO DE ATENCION PARA EVENTOS EMERGENTES EN SALUD MENTAL (CODIGO VERDE)",IF(P14=#REF!,"HUMANIZACION EN EL SERVICIO DE LA SALUD Y BUENAS PRACTICAS EN PACIENTE ",IF(P14=#REF!,"CLINICA DE HERIDAS ",IF(P14=#REF!,"TOMA DE CITOLOGIA CERVICO VAGINAL ",IF(P14=#REF!,"SOPORTE CARDIOVASCULAR AVANZADO (ACLS) ",IF(P14=#REF!,"CAMILLERO ",IF(P14=#REF!,"TOMA DE MUESTRAS Y LABORATORIO ",IF(P14=#REF!,"SOPORTE VITAL BASICO (BLS)",IF(P14=#REF!,"ATENCION A VICTIMAS DE VIOLENCIA SEXUAL ",IF(P14=#REF!,"PROGRAMADO AMPLIADO DE INMUNIZACION (PAI - COVID 19)",IF(P14=#REF!,"ATENCION INTEGRAL EN ENFERMEDADES PREVALENTES EN PRIMERA INFANCIA (AIEPI)",IF(P14=#REF!,"ADMINISTRACION DE MEDICAMENTOS, INYECTOLOGIA  Y CANALIZACION ",IF(P14=#REF!,"OPERADOR DE VEHICULOS DE EMERGENCIA (OVE)",IF(P14=#REF!,"INSTITUCIONES AMIGAS DE LA MUJER Y LA INFANCIA (IAMI)",IF(P14=#REF!,"CUIDADO DEL DONANTE DE ORGANOS",IF(P14=#REF!,"ATENCION A VICTIMAS POR VIOLENCIA DE GENERO",IF(P14=#REF!,"IGUALDAD DE GENERO EN LA SALUD",IF(P14=#REF!,"BRIGADA DE EMERGENCIA",IF(P14=#REF!,"MANEJO DEL DOLOR Y CUIDADOS PALIATIVOS",IF(P14=#REF!,"TOMA DE MUESTRAS Y LABORATORIO POCT",IF(P14=#REF!,"IMPLANTE SUBDERMICO DE DISPOSITIVO INTRAUTERINO",IF(P14=#REF!,"SALUD MENTAL",IF(P14=#REF!,"PRIMEROS AUXILIOS PSICOLOGICOS",IF(P14=#REF!,"ATENCION A VICTIMAS POR CONFLICTO ARMADO",IF(P14=#REF!,"MANIPULACION DE ALIMENTOS Y BPM",IF(P14=#REF!,"ATENCION A PERSONAS CON DISCAPACIDAD",IF(P14=#REF!,"CUIDADO INTEGRAL DEL PACIENTE ADULTO",IF(P14=#REF!,"MANEJO DEFENSIVO",IF(P14=#REF!,"SOPORTE CARDIOVASCULAR AVANZADO NEONATAL",IF(P14=#REF!,"SEGURIDAD DEL PACIENTE",IF(P14=#REF!,"MANEJO DE RESIDUOS HOSPITALARIOS"))))))))))))))))))))))))))))))))))))</f>
        <v>#REF!</v>
      </c>
      <c r="W14" s="25" t="str">
        <f t="shared" si="2"/>
        <v>Ignacio Alexander Benavides Portillo</v>
      </c>
      <c r="X14" s="25" t="str">
        <f t="shared" si="3"/>
        <v>Ignacio Alexander Benavides Portillo</v>
      </c>
      <c r="Y14" s="69" t="str">
        <f t="shared" si="4"/>
        <v>Ignacio Alexander Benavides Portillo-1085299919-VIOLENCIA SEXUAL</v>
      </c>
    </row>
    <row r="15" spans="1:25" x14ac:dyDescent="0.2">
      <c r="A15" s="19">
        <v>14</v>
      </c>
      <c r="B15" s="20">
        <v>1088738252</v>
      </c>
      <c r="C15" s="20" t="s">
        <v>68</v>
      </c>
      <c r="D15" s="20" t="s">
        <v>65</v>
      </c>
      <c r="E15" s="20" t="s">
        <v>92</v>
      </c>
      <c r="F15" s="20" t="s">
        <v>93</v>
      </c>
      <c r="G15" s="20">
        <v>5</v>
      </c>
      <c r="H15" s="20" t="s">
        <v>56</v>
      </c>
      <c r="I15" s="21" t="s">
        <v>72</v>
      </c>
      <c r="J15" s="21" t="s">
        <v>91</v>
      </c>
      <c r="K15" s="22">
        <v>45694</v>
      </c>
      <c r="L15" s="23">
        <v>32000</v>
      </c>
      <c r="M15" s="20" t="s">
        <v>90</v>
      </c>
      <c r="N15" s="20" t="s">
        <v>57</v>
      </c>
      <c r="O15" s="20" t="s">
        <v>73</v>
      </c>
      <c r="P15" s="20" t="s">
        <v>19</v>
      </c>
      <c r="Q15" s="21">
        <v>35772</v>
      </c>
      <c r="R15" s="20" t="s">
        <v>85</v>
      </c>
      <c r="S15" s="24" t="s">
        <v>95</v>
      </c>
      <c r="T15" s="24">
        <v>3106949498</v>
      </c>
      <c r="U15" s="20" t="s">
        <v>94</v>
      </c>
      <c r="V15" s="25" t="e">
        <f>IF(P15=#REF!,"DIPLOMADO EN ATENCION PRE-HOSPITALARIA",IF(P15=#REF!,"ACOMPAÑAMIENTO Y MANEJO DEL DUELO",IF(P15=#REF!,"ATENCION A VICTIMAS DE ATAQUE CON AGENTES QUIMICOS ",IF(P15=#REF!,"PRIMEROS AUXILIOS ",IF(P15=#REF!,"DIPLOMADO DE UNIDAD DE CUIDADOS INTENSIVOS (UCI)",IF(P15=#REF!,"MODELO DE ATENCION PARA EVENTOS EMERGENTES EN SALUD MENTAL (CODIGO VERDE)",IF(P15=#REF!,"HUMANIZACION EN EL SERVICIO DE LA SALUD Y BUENAS PRACTICAS EN PACIENTE ",IF(P15=#REF!,"CLINICA DE HERIDAS ",IF(P15=#REF!,"TOMA DE CITOLOGIA CERVICO VAGINAL ",IF(P15=#REF!,"SOPORTE CARDIOVASCULAR AVANZADO (ACLS) ",IF(P15=#REF!,"CAMILLERO ",IF(P15=#REF!,"TOMA DE MUESTRAS Y LABORATORIO ",IF(P15=#REF!,"SOPORTE VITAL BASICO (BLS)",IF(P15=#REF!,"ATENCION A VICTIMAS DE VIOLENCIA SEXUAL ",IF(P15=#REF!,"PROGRAMADO AMPLIADO DE INMUNIZACION (PAI - COVID 19)",IF(P15=#REF!,"ATENCION INTEGRAL EN ENFERMEDADES PREVALENTES EN PRIMERA INFANCIA (AIEPI)",IF(P15=#REF!,"ADMINISTRACION DE MEDICAMENTOS, INYECTOLOGIA  Y CANALIZACION ",IF(P15=#REF!,"OPERADOR DE VEHICULOS DE EMERGENCIA (OVE)",IF(P15=#REF!,"INSTITUCIONES AMIGAS DE LA MUJER Y LA INFANCIA (IAMI)",IF(P15=#REF!,"CUIDADO DEL DONANTE DE ORGANOS",IF(P15=#REF!,"ATENCION A VICTIMAS POR VIOLENCIA DE GENERO",IF(P15=#REF!,"IGUALDAD DE GENERO EN LA SALUD",IF(P15=#REF!,"BRIGADA DE EMERGENCIA",IF(P15=#REF!,"MANEJO DEL DOLOR Y CUIDADOS PALIATIVOS",IF(P15=#REF!,"TOMA DE MUESTRAS Y LABORATORIO POCT",IF(P15=#REF!,"IMPLANTE SUBDERMICO DE DISPOSITIVO INTRAUTERINO",IF(P15=#REF!,"SALUD MENTAL",IF(P15=#REF!,"PRIMEROS AUXILIOS PSICOLOGICOS",IF(P15=#REF!,"ATENCION A VICTIMAS POR CONFLICTO ARMADO",IF(P15=#REF!,"MANIPULACION DE ALIMENTOS Y BPM",IF(P15=#REF!,"ATENCION A PERSONAS CON DISCAPACIDAD",IF(P15=#REF!,"CUIDADO INTEGRAL DEL PACIENTE ADULTO",IF(P15=#REF!,"MANEJO DEFENSIVO",IF(P15=#REF!,"SOPORTE CARDIOVASCULAR AVANZADO NEONATAL",IF(P15=#REF!,"SEGURIDAD DEL PACIENTE",IF(P15=#REF!,"MANEJO DE RESIDUOS HOSPITALARIOS"))))))))))))))))))))))))))))))))))))</f>
        <v>#REF!</v>
      </c>
      <c r="W15" s="25" t="str">
        <f t="shared" si="2"/>
        <v>Cristian Homero  Rodriguez Zambrano</v>
      </c>
      <c r="X15" s="25" t="str">
        <f t="shared" si="3"/>
        <v>Cristian Homero  Rodriguez Zambrano</v>
      </c>
      <c r="Y15" s="69" t="str">
        <f t="shared" si="4"/>
        <v>Cristian Homero  Rodriguez Zambrano-1088738252-BLS</v>
      </c>
    </row>
    <row r="16" spans="1:25" x14ac:dyDescent="0.2">
      <c r="A16" s="28">
        <v>15</v>
      </c>
      <c r="B16" s="20">
        <v>1006103533</v>
      </c>
      <c r="C16" s="20" t="s">
        <v>96</v>
      </c>
      <c r="D16" s="20" t="s">
        <v>97</v>
      </c>
      <c r="E16" s="20" t="s">
        <v>98</v>
      </c>
      <c r="F16" s="20" t="s">
        <v>99</v>
      </c>
      <c r="G16" s="20">
        <v>4</v>
      </c>
      <c r="H16" s="20" t="s">
        <v>56</v>
      </c>
      <c r="I16" s="21" t="s">
        <v>47</v>
      </c>
      <c r="J16" s="21" t="s">
        <v>147</v>
      </c>
      <c r="K16" s="22">
        <v>45691</v>
      </c>
      <c r="L16" s="23">
        <v>70000</v>
      </c>
      <c r="M16" s="20" t="s">
        <v>61</v>
      </c>
      <c r="N16" s="20" t="s">
        <v>57</v>
      </c>
      <c r="O16" s="20" t="s">
        <v>48</v>
      </c>
      <c r="P16" s="20" t="s">
        <v>23</v>
      </c>
      <c r="Q16" s="21">
        <v>37294</v>
      </c>
      <c r="R16" s="20" t="s">
        <v>49</v>
      </c>
      <c r="S16" s="20" t="s">
        <v>74</v>
      </c>
      <c r="T16" s="24">
        <v>3128250831</v>
      </c>
      <c r="U16" s="24" t="s">
        <v>100</v>
      </c>
      <c r="V16" s="25" t="e">
        <f>IF(P16=#REF!,"DIPLOMADO EN ATENCION PRE-HOSPITALARIA",IF(P16=#REF!,"ACOMPAÑAMIENTO Y MANEJO DEL DUELO",IF(P16=#REF!,"ATENCION A VICTIMAS DE ATAQUE CON AGENTES QUIMICOS ",IF(P16=#REF!,"PRIMEROS AUXILIOS ",IF(P16=#REF!,"DIPLOMADO DE UNIDAD DE CUIDADOS INTENSIVOS (UCI)",IF(P16=#REF!,"MODELO DE ATENCION PARA EVENTOS EMERGENTES EN SALUD MENTAL (CODIGO VERDE)",IF(P16=#REF!,"HUMANIZACION EN EL SERVICIO DE LA SALUD Y BUENAS PRACTICAS EN PACIENTE ",IF(P16=#REF!,"CLINICA DE HERIDAS ",IF(P16=#REF!,"TOMA DE CITOLOGIA CERVICO VAGINAL ",IF(P16=#REF!,"SOPORTE CARDIOVASCULAR AVANZADO (ACLS) ",IF(P16=#REF!,"CAMILLERO ",IF(P16=#REF!,"TOMA DE MUESTRAS Y LABORATORIO ",IF(P16=#REF!,"SOPORTE VITAL BASICO (BLS)",IF(P16=#REF!,"ATENCION A VICTIMAS DE VIOLENCIA SEXUAL ",IF(P16=#REF!,"PROGRAMADO AMPLIADO DE INMUNIZACION (PAI - COVID 19)",IF(P16=#REF!,"ATENCION INTEGRAL EN ENFERMEDADES PREVALENTES EN PRIMERA INFANCIA (AIEPI)",IF(P16=#REF!,"ADMINISTRACION DE MEDICAMENTOS, INYECTOLOGIA  Y CANALIZACION ",IF(P16=#REF!,"OPERADOR DE VEHICULOS DE EMERGENCIA (OVE)",IF(P16=#REF!,"INSTITUCIONES AMIGAS DE LA MUJER Y LA INFANCIA (IAMI)",IF(P16=#REF!,"CUIDADO DEL DONANTE DE ORGANOS",IF(P16=#REF!,"ATENCION A VICTIMAS POR VIOLENCIA DE GENERO",IF(P16=#REF!,"IGUALDAD DE GENERO EN LA SALUD",IF(P16=#REF!,"BRIGADA DE EMERGENCIA",IF(P16=#REF!,"MANEJO DEL DOLOR Y CUIDADOS PALIATIVOS",IF(P16=#REF!,"TOMA DE MUESTRAS Y LABORATORIO POCT",IF(P16=#REF!,"IMPLANTE SUBDERMICO DE DISPOSITIVO INTRAUTERINO",IF(P16=#REF!,"SALUD MENTAL",IF(P16=#REF!,"PRIMEROS AUXILIOS PSICOLOGICOS",IF(P16=#REF!,"ATENCION A VICTIMAS POR CONFLICTO ARMADO",IF(P16=#REF!,"MANIPULACION DE ALIMENTOS Y BPM",IF(P16=#REF!,"ATENCION A PERSONAS CON DISCAPACIDAD",IF(P16=#REF!,"CUIDADO INTEGRAL DEL PACIENTE ADULTO",IF(P16=#REF!,"MANEJO DEFENSIVO",IF(P16=#REF!,"SOPORTE CARDIOVASCULAR AVANZADO NEONATAL",IF(P16=#REF!,"SEGURIDAD DEL PACIENTE",IF(P16=#REF!,"MANEJO DE RESIDUOS HOSPITALARIOS"))))))))))))))))))))))))))))))))))))</f>
        <v>#REF!</v>
      </c>
      <c r="W16" s="25" t="str">
        <f t="shared" si="2"/>
        <v>Luisa Fernanda Alegria Eraso</v>
      </c>
      <c r="X16" s="25" t="str">
        <f t="shared" si="3"/>
        <v>Luisa Fernanda Alegria Eraso</v>
      </c>
      <c r="Y16" s="69" t="str">
        <f t="shared" si="4"/>
        <v>Luisa Fernanda Alegria Eraso-1006103533-HUMANIZACION</v>
      </c>
    </row>
    <row r="17" spans="1:25" x14ac:dyDescent="0.2">
      <c r="A17" s="19">
        <v>16</v>
      </c>
      <c r="B17" s="20">
        <v>48574680</v>
      </c>
      <c r="C17" s="20" t="s">
        <v>101</v>
      </c>
      <c r="D17" s="20" t="s">
        <v>102</v>
      </c>
      <c r="E17" s="20" t="s">
        <v>103</v>
      </c>
      <c r="F17" s="20" t="s">
        <v>104</v>
      </c>
      <c r="G17" s="20">
        <v>6</v>
      </c>
      <c r="H17" s="20" t="s">
        <v>56</v>
      </c>
      <c r="I17" s="21" t="s">
        <v>47</v>
      </c>
      <c r="J17" s="21" t="s">
        <v>147</v>
      </c>
      <c r="K17" s="22" t="s">
        <v>328</v>
      </c>
      <c r="L17" s="23">
        <v>70000</v>
      </c>
      <c r="M17" s="20" t="s">
        <v>61</v>
      </c>
      <c r="N17" s="20" t="s">
        <v>57</v>
      </c>
      <c r="O17" s="20" t="s">
        <v>48</v>
      </c>
      <c r="P17" s="20" t="s">
        <v>20</v>
      </c>
      <c r="Q17" s="21"/>
      <c r="R17" s="20" t="s">
        <v>49</v>
      </c>
      <c r="S17" s="20" t="s">
        <v>74</v>
      </c>
      <c r="T17" s="24">
        <v>3163603402</v>
      </c>
      <c r="U17" s="24" t="s">
        <v>105</v>
      </c>
      <c r="V17" s="25" t="e">
        <f>IF(P17=#REF!,"DIPLOMADO EN ATENCION PRE-HOSPITALARIA",IF(P17=#REF!,"ACOMPAÑAMIENTO Y MANEJO DEL DUELO",IF(P17=#REF!,"ATENCION A VICTIMAS DE ATAQUE CON AGENTES QUIMICOS ",IF(P17=#REF!,"PRIMEROS AUXILIOS ",IF(P17=#REF!,"DIPLOMADO DE UNIDAD DE CUIDADOS INTENSIVOS (UCI)",IF(P17=#REF!,"MODELO DE ATENCION PARA EVENTOS EMERGENTES EN SALUD MENTAL (CODIGO VERDE)",IF(P17=#REF!,"HUMANIZACION EN EL SERVICIO DE LA SALUD Y BUENAS PRACTICAS EN PACIENTE ",IF(P17=#REF!,"CLINICA DE HERIDAS ",IF(P17=#REF!,"TOMA DE CITOLOGIA CERVICO VAGINAL ",IF(P17=#REF!,"SOPORTE CARDIOVASCULAR AVANZADO (ACLS) ",IF(P17=#REF!,"CAMILLERO ",IF(P17=#REF!,"TOMA DE MUESTRAS Y LABORATORIO ",IF(P17=#REF!,"SOPORTE VITAL BASICO (BLS)",IF(P17=#REF!,"ATENCION A VICTIMAS DE VIOLENCIA SEXUAL ",IF(P17=#REF!,"PROGRAMADO AMPLIADO DE INMUNIZACION (PAI - COVID 19)",IF(P17=#REF!,"ATENCION INTEGRAL EN ENFERMEDADES PREVALENTES EN PRIMERA INFANCIA (AIEPI)",IF(P17=#REF!,"ADMINISTRACION DE MEDICAMENTOS, INYECTOLOGIA  Y CANALIZACION ",IF(P17=#REF!,"OPERADOR DE VEHICULOS DE EMERGENCIA (OVE)",IF(P17=#REF!,"INSTITUCIONES AMIGAS DE LA MUJER Y LA INFANCIA (IAMI)",IF(P17=#REF!,"CUIDADO DEL DONANTE DE ORGANOS",IF(P17=#REF!,"ATENCION A VICTIMAS POR VIOLENCIA DE GENERO",IF(P17=#REF!,"IGUALDAD DE GENERO EN LA SALUD",IF(P17=#REF!,"BRIGADA DE EMERGENCIA",IF(P17=#REF!,"MANEJO DEL DOLOR Y CUIDADOS PALIATIVOS",IF(P17=#REF!,"TOMA DE MUESTRAS Y LABORATORIO POCT",IF(P17=#REF!,"IMPLANTE SUBDERMICO DE DISPOSITIVO INTRAUTERINO",IF(P17=#REF!,"SALUD MENTAL",IF(P17=#REF!,"PRIMEROS AUXILIOS PSICOLOGICOS",IF(P17=#REF!,"ATENCION A VICTIMAS POR CONFLICTO ARMADO",IF(P17=#REF!,"MANIPULACION DE ALIMENTOS Y BPM",IF(P17=#REF!,"ATENCION A PERSONAS CON DISCAPACIDAD",IF(P17=#REF!,"CUIDADO INTEGRAL DEL PACIENTE ADULTO",IF(P17=#REF!,"MANEJO DEFENSIVO",IF(P17=#REF!,"SOPORTE CARDIOVASCULAR AVANZADO NEONATAL",IF(P17=#REF!,"SEGURIDAD DEL PACIENTE",IF(P17=#REF!,"MANEJO DE RESIDUOS HOSPITALARIOS"))))))))))))))))))))))))))))))))))))</f>
        <v>#REF!</v>
      </c>
      <c r="W17" s="25" t="str">
        <f t="shared" si="2"/>
        <v>Sandra Patricia Hernandez Paja</v>
      </c>
      <c r="X17" s="25" t="str">
        <f t="shared" si="3"/>
        <v>Sandra Patricia Hernandez Paja</v>
      </c>
      <c r="Y17" s="69" t="str">
        <f t="shared" si="4"/>
        <v>Sandra Patricia Hernandez Paja-48574680-DUELO</v>
      </c>
    </row>
    <row r="18" spans="1:25" x14ac:dyDescent="0.2">
      <c r="A18" s="19">
        <v>17</v>
      </c>
      <c r="B18" s="20">
        <v>48574680</v>
      </c>
      <c r="C18" s="20" t="s">
        <v>101</v>
      </c>
      <c r="D18" s="20" t="s">
        <v>102</v>
      </c>
      <c r="E18" s="20" t="s">
        <v>103</v>
      </c>
      <c r="F18" s="20" t="s">
        <v>104</v>
      </c>
      <c r="G18" s="20">
        <v>6</v>
      </c>
      <c r="H18" s="20" t="s">
        <v>56</v>
      </c>
      <c r="I18" s="21" t="s">
        <v>47</v>
      </c>
      <c r="J18" s="21" t="s">
        <v>147</v>
      </c>
      <c r="K18" s="22">
        <v>45695</v>
      </c>
      <c r="L18" s="23">
        <v>70000</v>
      </c>
      <c r="M18" s="20" t="s">
        <v>61</v>
      </c>
      <c r="N18" s="20" t="s">
        <v>57</v>
      </c>
      <c r="O18" s="20" t="s">
        <v>48</v>
      </c>
      <c r="P18" s="20" t="s">
        <v>21</v>
      </c>
      <c r="Q18" s="21"/>
      <c r="R18" s="20" t="s">
        <v>49</v>
      </c>
      <c r="S18" s="20" t="s">
        <v>74</v>
      </c>
      <c r="T18" s="24">
        <v>3163603402</v>
      </c>
      <c r="U18" s="24" t="s">
        <v>105</v>
      </c>
      <c r="V18" s="25" t="e">
        <f>IF(P18=#REF!,"DIPLOMADO EN ATENCION PRE-HOSPITALARIA",IF(P18=#REF!,"ACOMPAÑAMIENTO Y MANEJO DEL DUELO",IF(P18=#REF!,"ATENCION A VICTIMAS DE ATAQUE CON AGENTES QUIMICOS ",IF(P18=#REF!,"PRIMEROS AUXILIOS ",IF(P18=#REF!,"DIPLOMADO DE UNIDAD DE CUIDADOS INTENSIVOS (UCI)",IF(P18=#REF!,"MODELO DE ATENCION PARA EVENTOS EMERGENTES EN SALUD MENTAL (CODIGO VERDE)",IF(P18=#REF!,"HUMANIZACION EN EL SERVICIO DE LA SALUD Y BUENAS PRACTICAS EN PACIENTE ",IF(P18=#REF!,"CLINICA DE HERIDAS ",IF(P18=#REF!,"TOMA DE CITOLOGIA CERVICO VAGINAL ",IF(P18=#REF!,"SOPORTE CARDIOVASCULAR AVANZADO (ACLS) ",IF(P18=#REF!,"CAMILLERO ",IF(P18=#REF!,"TOMA DE MUESTRAS Y LABORATORIO ",IF(P18=#REF!,"SOPORTE VITAL BASICO (BLS)",IF(P18=#REF!,"ATENCION A VICTIMAS DE VIOLENCIA SEXUAL ",IF(P18=#REF!,"PROGRAMADO AMPLIADO DE INMUNIZACION (PAI - COVID 19)",IF(P18=#REF!,"ATENCION INTEGRAL EN ENFERMEDADES PREVALENTES EN PRIMERA INFANCIA (AIEPI)",IF(P18=#REF!,"ADMINISTRACION DE MEDICAMENTOS, INYECTOLOGIA  Y CANALIZACION ",IF(P18=#REF!,"OPERADOR DE VEHICULOS DE EMERGENCIA (OVE)",IF(P18=#REF!,"INSTITUCIONES AMIGAS DE LA MUJER Y LA INFANCIA (IAMI)",IF(P18=#REF!,"CUIDADO DEL DONANTE DE ORGANOS",IF(P18=#REF!,"ATENCION A VICTIMAS POR VIOLENCIA DE GENERO",IF(P18=#REF!,"IGUALDAD DE GENERO EN LA SALUD",IF(P18=#REF!,"BRIGADA DE EMERGENCIA",IF(P18=#REF!,"MANEJO DEL DOLOR Y CUIDADOS PALIATIVOS",IF(P18=#REF!,"TOMA DE MUESTRAS Y LABORATORIO POCT",IF(P18=#REF!,"IMPLANTE SUBDERMICO DE DISPOSITIVO INTRAUTERINO",IF(P18=#REF!,"SALUD MENTAL",IF(P18=#REF!,"PRIMEROS AUXILIOS PSICOLOGICOS",IF(P18=#REF!,"ATENCION A VICTIMAS POR CONFLICTO ARMADO",IF(P18=#REF!,"MANIPULACION DE ALIMENTOS Y BPM",IF(P18=#REF!,"ATENCION A PERSONAS CON DISCAPACIDAD",IF(P18=#REF!,"CUIDADO INTEGRAL DEL PACIENTE ADULTO",IF(P18=#REF!,"MANEJO DEFENSIVO",IF(P18=#REF!,"SOPORTE CARDIOVASCULAR AVANZADO NEONATAL",IF(P18=#REF!,"SEGURIDAD DEL PACIENTE",IF(P18=#REF!,"MANEJO DE RESIDUOS HOSPITALARIOS"))))))))))))))))))))))))))))))))))))</f>
        <v>#REF!</v>
      </c>
      <c r="W18" s="25" t="str">
        <f t="shared" si="2"/>
        <v>Sandra Patricia Hernandez Paja</v>
      </c>
      <c r="X18" s="25" t="str">
        <f t="shared" si="3"/>
        <v>Sandra Patricia Hernandez Paja</v>
      </c>
      <c r="Y18" s="69" t="str">
        <f t="shared" si="4"/>
        <v>Sandra Patricia Hernandez Paja-48574680-QUIMICOS</v>
      </c>
    </row>
    <row r="19" spans="1:25" x14ac:dyDescent="0.2">
      <c r="A19" s="19">
        <v>18</v>
      </c>
      <c r="B19" s="29">
        <v>87455395</v>
      </c>
      <c r="C19" s="29" t="s">
        <v>101</v>
      </c>
      <c r="D19" s="29" t="s">
        <v>101</v>
      </c>
      <c r="E19" s="29" t="s">
        <v>106</v>
      </c>
      <c r="F19" s="29" t="s">
        <v>107</v>
      </c>
      <c r="G19" s="29">
        <v>6</v>
      </c>
      <c r="H19" s="29" t="s">
        <v>56</v>
      </c>
      <c r="I19" s="30" t="s">
        <v>72</v>
      </c>
      <c r="J19" s="30" t="s">
        <v>148</v>
      </c>
      <c r="K19" s="31">
        <v>45694</v>
      </c>
      <c r="L19" s="32">
        <v>130000</v>
      </c>
      <c r="M19" s="29" t="s">
        <v>61</v>
      </c>
      <c r="N19" s="29" t="s">
        <v>57</v>
      </c>
      <c r="O19" s="29" t="s">
        <v>108</v>
      </c>
      <c r="P19" s="29" t="s">
        <v>24</v>
      </c>
      <c r="Q19" s="30">
        <v>30443</v>
      </c>
      <c r="R19" s="29" t="s">
        <v>85</v>
      </c>
      <c r="S19" s="33" t="s">
        <v>86</v>
      </c>
      <c r="T19" s="33">
        <v>3137927623</v>
      </c>
      <c r="U19" s="33" t="s">
        <v>109</v>
      </c>
      <c r="V19" s="34" t="e">
        <f>IF(P19=#REF!,"DIPLOMADO EN ATENCION PRE-HOSPITALARIA",IF(P19=#REF!,"ACOMPAÑAMIENTO Y MANEJO DEL DUELO",IF(P19=#REF!,"ATENCION A VICTIMAS DE ATAQUE CON AGENTES QUIMICOS ",IF(P19=#REF!,"PRIMEROS AUXILIOS ",IF(P19=#REF!,"DIPLOMADO DE UNIDAD DE CUIDADOS INTENSIVOS (UCI)",IF(P19=#REF!,"MODELO DE ATENCION PARA EVENTOS EMERGENTES EN SALUD MENTAL (CODIGO VERDE)",IF(P19=#REF!,"HUMANIZACION EN EL SERVICIO DE LA SALUD Y BUENAS PRACTICAS EN PACIENTE ",IF(P19=#REF!,"CLINICA DE HERIDAS ",IF(P19=#REF!,"TOMA DE CITOLOGIA CERVICO VAGINAL ",IF(P19=#REF!,"SOPORTE CARDIOVASCULAR AVANZADO (ACLS) ",IF(P19=#REF!,"CAMILLERO ",IF(P19=#REF!,"TOMA DE MUESTRAS Y LABORATORIO ",IF(P19=#REF!,"SOPORTE VITAL BASICO (BLS)",IF(P19=#REF!,"ATENCION A VICTIMAS DE VIOLENCIA SEXUAL ",IF(P19=#REF!,"PROGRAMADO AMPLIADO DE INMUNIZACION (PAI - COVID 19)",IF(P19=#REF!,"ATENCION INTEGRAL EN ENFERMEDADES PREVALENTES EN PRIMERA INFANCIA (AIEPI)",IF(P19=#REF!,"ADMINISTRACION DE MEDICAMENTOS, INYECTOLOGIA  Y CANALIZACION ",IF(P19=#REF!,"OPERADOR DE VEHICULOS DE EMERGENCIA (OVE)",IF(P19=#REF!,"INSTITUCIONES AMIGAS DE LA MUJER Y LA INFANCIA (IAMI)",IF(P19=#REF!,"CUIDADO DEL DONANTE DE ORGANOS",IF(P19=#REF!,"ATENCION A VICTIMAS POR VIOLENCIA DE GENERO",IF(P19=#REF!,"IGUALDAD DE GENERO EN LA SALUD",IF(P19=#REF!,"BRIGADA DE EMERGENCIA",IF(P19=#REF!,"MANEJO DEL DOLOR Y CUIDADOS PALIATIVOS",IF(P19=#REF!,"TOMA DE MUESTRAS Y LABORATORIO POCT",IF(P19=#REF!,"IMPLANTE SUBDERMICO DE DISPOSITIVO INTRAUTERINO",IF(P19=#REF!,"SALUD MENTAL",IF(P19=#REF!,"PRIMEROS AUXILIOS PSICOLOGICOS",IF(P19=#REF!,"ATENCION A VICTIMAS POR CONFLICTO ARMADO",IF(P19=#REF!,"MANIPULACION DE ALIMENTOS Y BPM",IF(P19=#REF!,"ATENCION A PERSONAS CON DISCAPACIDAD",IF(P19=#REF!,"CUIDADO INTEGRAL DEL PACIENTE ADULTO",IF(P19=#REF!,"MANEJO DEFENSIVO",IF(P19=#REF!,"SOPORTE CARDIOVASCULAR AVANZADO NEONATAL",IF(P19=#REF!,"SEGURIDAD DEL PACIENTE",IF(P19=#REF!,"MANEJO DE RESIDUOS HOSPITALARIOS"))))))))))))))))))))))))))))))))))))</f>
        <v>#REF!</v>
      </c>
      <c r="W19" s="34" t="str">
        <f t="shared" si="2"/>
        <v>Ronald Fernando Hernandez Hernandez</v>
      </c>
      <c r="X19" s="34" t="str">
        <f t="shared" si="3"/>
        <v>Ronald Fernando Hernandez Hernandez</v>
      </c>
      <c r="Y19" s="70" t="str">
        <f t="shared" si="4"/>
        <v>Ronald Fernando Hernandez Hernandez-87455395-ACLS</v>
      </c>
    </row>
    <row r="20" spans="1:25" x14ac:dyDescent="0.2">
      <c r="A20" s="19">
        <v>19</v>
      </c>
      <c r="B20" s="20">
        <v>1088735354</v>
      </c>
      <c r="C20" s="20" t="s">
        <v>110</v>
      </c>
      <c r="D20" s="20" t="s">
        <v>111</v>
      </c>
      <c r="E20" s="20" t="s">
        <v>112</v>
      </c>
      <c r="F20" s="20" t="s">
        <v>113</v>
      </c>
      <c r="G20" s="20">
        <v>5</v>
      </c>
      <c r="H20" s="20" t="s">
        <v>56</v>
      </c>
      <c r="I20" s="21" t="s">
        <v>72</v>
      </c>
      <c r="J20" s="21" t="s">
        <v>91</v>
      </c>
      <c r="K20" s="22">
        <v>45694</v>
      </c>
      <c r="L20" s="23">
        <v>32000</v>
      </c>
      <c r="M20" s="20" t="s">
        <v>90</v>
      </c>
      <c r="N20" s="20" t="s">
        <v>57</v>
      </c>
      <c r="O20" s="20" t="s">
        <v>73</v>
      </c>
      <c r="P20" s="20" t="s">
        <v>27</v>
      </c>
      <c r="Q20" s="21">
        <v>36800</v>
      </c>
      <c r="R20" s="20" t="s">
        <v>49</v>
      </c>
      <c r="S20" s="24" t="s">
        <v>74</v>
      </c>
      <c r="T20" s="24">
        <v>3176090444</v>
      </c>
      <c r="U20" s="20" t="s">
        <v>114</v>
      </c>
      <c r="V20" s="25" t="e">
        <f>IF(P20=#REF!,"DIPLOMADO EN ATENCION PRE-HOSPITALARIA",IF(P20=#REF!,"ACOMPAÑAMIENTO Y MANEJO DEL DUELO",IF(P20=#REF!,"ATENCION A VICTIMAS DE ATAQUE CON AGENTES QUIMICOS ",IF(P20=#REF!,"PRIMEROS AUXILIOS ",IF(P20=#REF!,"DIPLOMADO DE UNIDAD DE CUIDADOS INTENSIVOS (UCI)",IF(P20=#REF!,"MODELO DE ATENCION PARA EVENTOS EMERGENTES EN SALUD MENTAL (CODIGO VERDE)",IF(P20=#REF!,"HUMANIZACION EN EL SERVICIO DE LA SALUD Y BUENAS PRACTICAS EN PACIENTE ",IF(P20=#REF!,"CLINICA DE HERIDAS ",IF(P20=#REF!,"TOMA DE CITOLOGIA CERVICO VAGINAL ",IF(P20=#REF!,"SOPORTE CARDIOVASCULAR AVANZADO (ACLS) ",IF(P20=#REF!,"CAMILLERO ",IF(P20=#REF!,"TOMA DE MUESTRAS Y LABORATORIO ",IF(P20=#REF!,"SOPORTE VITAL BASICO (BLS)",IF(P20=#REF!,"ATENCION A VICTIMAS DE VIOLENCIA SEXUAL ",IF(P20=#REF!,"PROGRAMADO AMPLIADO DE INMUNIZACION (PAI - COVID 19)",IF(P20=#REF!,"ATENCION INTEGRAL EN ENFERMEDADES PREVALENTES EN PRIMERA INFANCIA (AIEPI)",IF(P20=#REF!,"ADMINISTRACION DE MEDICAMENTOS, INYECTOLOGIA  Y CANALIZACION ",IF(P20=#REF!,"OPERADOR DE VEHICULOS DE EMERGENCIA (OVE)",IF(P20=#REF!,"INSTITUCIONES AMIGAS DE LA MUJER Y LA INFANCIA (IAMI)",IF(P20=#REF!,"CUIDADO DEL DONANTE DE ORGANOS",IF(P20=#REF!,"ATENCION A VICTIMAS POR VIOLENCIA DE GENERO",IF(P20=#REF!,"IGUALDAD DE GENERO EN LA SALUD",IF(P20=#REF!,"BRIGADA DE EMERGENCIA",IF(P20=#REF!,"MANEJO DEL DOLOR Y CUIDADOS PALIATIVOS",IF(P20=#REF!,"TOMA DE MUESTRAS Y LABORATORIO POCT",IF(P20=#REF!,"IMPLANTE SUBDERMICO DE DISPOSITIVO INTRAUTERINO",IF(P20=#REF!,"SALUD MENTAL",IF(P20=#REF!,"PRIMEROS AUXILIOS PSICOLOGICOS",IF(P20=#REF!,"ATENCION A VICTIMAS POR CONFLICTO ARMADO",IF(P20=#REF!,"MANIPULACION DE ALIMENTOS Y BPM",IF(P20=#REF!,"ATENCION A PERSONAS CON DISCAPACIDAD",IF(P20=#REF!,"CUIDADO INTEGRAL DEL PACIENTE ADULTO",IF(P20=#REF!,"MANEJO DEFENSIVO",IF(P20=#REF!,"SOPORTE CARDIOVASCULAR AVANZADO NEONATAL",IF(P20=#REF!,"SEGURIDAD DEL PACIENTE",IF(P20=#REF!,"MANEJO DE RESIDUOS HOSPITALARIOS"))))))))))))))))))))))))))))))))))))</f>
        <v>#REF!</v>
      </c>
      <c r="W20" s="25" t="str">
        <f t="shared" si="2"/>
        <v>Maria Alexandra Nastacuas Taicus</v>
      </c>
      <c r="X20" s="25" t="str">
        <f t="shared" si="3"/>
        <v>Maria Alexandra Nastacuas Taicus</v>
      </c>
      <c r="Y20" s="69" t="str">
        <f t="shared" si="4"/>
        <v>Maria Alexandra Nastacuas Taicus-1088735354-VIOLENCIA SEXUAL</v>
      </c>
    </row>
    <row r="21" spans="1:25" x14ac:dyDescent="0.2">
      <c r="A21" s="19">
        <v>20</v>
      </c>
      <c r="B21" s="20">
        <v>1089289835</v>
      </c>
      <c r="C21" s="20" t="s">
        <v>116</v>
      </c>
      <c r="D21" s="20" t="s">
        <v>117</v>
      </c>
      <c r="E21" s="20" t="s">
        <v>118</v>
      </c>
      <c r="F21" s="20" t="s">
        <v>119</v>
      </c>
      <c r="G21" s="20">
        <v>6</v>
      </c>
      <c r="H21" s="20" t="s">
        <v>56</v>
      </c>
      <c r="I21" s="21" t="s">
        <v>72</v>
      </c>
      <c r="J21" s="21" t="s">
        <v>131</v>
      </c>
      <c r="K21" s="22">
        <v>45694</v>
      </c>
      <c r="L21" s="23">
        <v>35000</v>
      </c>
      <c r="M21" s="20" t="s">
        <v>61</v>
      </c>
      <c r="N21" s="20" t="s">
        <v>57</v>
      </c>
      <c r="O21" s="20" t="s">
        <v>120</v>
      </c>
      <c r="P21" s="20" t="s">
        <v>22</v>
      </c>
      <c r="Q21" s="21">
        <v>33076</v>
      </c>
      <c r="R21" s="20" t="s">
        <v>49</v>
      </c>
      <c r="S21" s="24"/>
      <c r="T21" s="24">
        <v>3153671095</v>
      </c>
      <c r="U21" s="20" t="s">
        <v>121</v>
      </c>
      <c r="V21" s="25" t="e">
        <f>IF(P21=#REF!,"DIPLOMADO EN ATENCION PRE-HOSPITALARIA",IF(P21=#REF!,"ACOMPAÑAMIENTO Y MANEJO DEL DUELO",IF(P21=#REF!,"ATENCION A VICTIMAS DE ATAQUE CON AGENTES QUIMICOS ",IF(P21=#REF!,"PRIMEROS AUXILIOS ",IF(P21=#REF!,"DIPLOMADO DE UNIDAD DE CUIDADOS INTENSIVOS (UCI)",IF(P21=#REF!,"MODELO DE ATENCION PARA EVENTOS EMERGENTES EN SALUD MENTAL (CODIGO VERDE)",IF(P21=#REF!,"HUMANIZACION EN EL SERVICIO DE LA SALUD Y BUENAS PRACTICAS EN PACIENTE ",IF(P21=#REF!,"CLINICA DE HERIDAS ",IF(P21=#REF!,"TOMA DE CITOLOGIA CERVICO VAGINAL ",IF(P21=#REF!,"SOPORTE CARDIOVASCULAR AVANZADO (ACLS) ",IF(P21=#REF!,"CAMILLERO ",IF(P21=#REF!,"TOMA DE MUESTRAS Y LABORATORIO ",IF(P21=#REF!,"SOPORTE VITAL BASICO (BLS)",IF(P21=#REF!,"ATENCION A VICTIMAS DE VIOLENCIA SEXUAL ",IF(P21=#REF!,"PROGRAMADO AMPLIADO DE INMUNIZACION (PAI - COVID 19)",IF(P21=#REF!,"ATENCION INTEGRAL EN ENFERMEDADES PREVALENTES EN PRIMERA INFANCIA (AIEPI)",IF(P21=#REF!,"ADMINISTRACION DE MEDICAMENTOS, INYECTOLOGIA  Y CANALIZACION ",IF(P21=#REF!,"OPERADOR DE VEHICULOS DE EMERGENCIA (OVE)",IF(P21=#REF!,"INSTITUCIONES AMIGAS DE LA MUJER Y LA INFANCIA (IAMI)",IF(P21=#REF!,"CUIDADO DEL DONANTE DE ORGANOS",IF(P21=#REF!,"ATENCION A VICTIMAS POR VIOLENCIA DE GENERO",IF(P21=#REF!,"IGUALDAD DE GENERO EN LA SALUD",IF(P21=#REF!,"BRIGADA DE EMERGENCIA",IF(P21=#REF!,"MANEJO DEL DOLOR Y CUIDADOS PALIATIVOS",IF(P21=#REF!,"TOMA DE MUESTRAS Y LABORATORIO POCT",IF(P21=#REF!,"IMPLANTE SUBDERMICO DE DISPOSITIVO INTRAUTERINO",IF(P21=#REF!,"SALUD MENTAL",IF(P21=#REF!,"PRIMEROS AUXILIOS PSICOLOGICOS",IF(P21=#REF!,"ATENCION A VICTIMAS POR CONFLICTO ARMADO",IF(P21=#REF!,"MANIPULACION DE ALIMENTOS Y BPM",IF(P21=#REF!,"ATENCION A PERSONAS CON DISCAPACIDAD",IF(P21=#REF!,"CUIDADO INTEGRAL DEL PACIENTE ADULTO",IF(P21=#REF!,"MANEJO DEFENSIVO",IF(P21=#REF!,"SOPORTE CARDIOVASCULAR AVANZADO NEONATAL",IF(P21=#REF!,"SEGURIDAD DEL PACIENTE",IF(P21=#REF!,"MANEJO DE RESIDUOS HOSPITALARIOS"))))))))))))))))))))))))))))))))))))</f>
        <v>#REF!</v>
      </c>
      <c r="W21" s="25" t="str">
        <f t="shared" si="2"/>
        <v>Laura Carolina Padilla Romo</v>
      </c>
      <c r="X21" s="25" t="str">
        <f t="shared" si="3"/>
        <v>Laura Carolina Padilla Romo</v>
      </c>
      <c r="Y21" s="69" t="str">
        <f t="shared" si="4"/>
        <v>Laura Carolina Padilla Romo-1089289835-PRIMEROS AUXILIOS</v>
      </c>
    </row>
    <row r="22" spans="1:25" x14ac:dyDescent="0.2">
      <c r="A22" s="19">
        <v>21</v>
      </c>
      <c r="B22" s="20">
        <v>87553421</v>
      </c>
      <c r="C22" s="20" t="s">
        <v>122</v>
      </c>
      <c r="D22" s="20" t="s">
        <v>123</v>
      </c>
      <c r="E22" s="20" t="s">
        <v>124</v>
      </c>
      <c r="F22" s="20" t="s">
        <v>107</v>
      </c>
      <c r="G22" s="20">
        <v>6</v>
      </c>
      <c r="H22" s="20" t="s">
        <v>56</v>
      </c>
      <c r="I22" s="21" t="s">
        <v>72</v>
      </c>
      <c r="J22" s="21" t="s">
        <v>131</v>
      </c>
      <c r="K22" s="22">
        <v>45694</v>
      </c>
      <c r="L22" s="23">
        <v>35000</v>
      </c>
      <c r="M22" s="20" t="s">
        <v>61</v>
      </c>
      <c r="N22" s="20" t="s">
        <v>57</v>
      </c>
      <c r="O22" s="20" t="s">
        <v>120</v>
      </c>
      <c r="P22" s="20" t="s">
        <v>22</v>
      </c>
      <c r="Q22" s="21">
        <v>31106</v>
      </c>
      <c r="R22" s="20" t="s">
        <v>85</v>
      </c>
      <c r="S22" s="24"/>
      <c r="T22" s="24">
        <v>3153671095</v>
      </c>
      <c r="U22" s="20" t="s">
        <v>121</v>
      </c>
      <c r="V22" s="25" t="e">
        <f>IF(P22=#REF!,"DIPLOMADO EN ATENCION PRE-HOSPITALARIA",IF(P22=#REF!,"ACOMPAÑAMIENTO Y MANEJO DEL DUELO",IF(P22=#REF!,"ATENCION A VICTIMAS DE ATAQUE CON AGENTES QUIMICOS ",IF(P22=#REF!,"PRIMEROS AUXILIOS ",IF(P22=#REF!,"DIPLOMADO DE UNIDAD DE CUIDADOS INTENSIVOS (UCI)",IF(P22=#REF!,"MODELO DE ATENCION PARA EVENTOS EMERGENTES EN SALUD MENTAL (CODIGO VERDE)",IF(P22=#REF!,"HUMANIZACION EN EL SERVICIO DE LA SALUD Y BUENAS PRACTICAS EN PACIENTE ",IF(P22=#REF!,"CLINICA DE HERIDAS ",IF(P22=#REF!,"TOMA DE CITOLOGIA CERVICO VAGINAL ",IF(P22=#REF!,"SOPORTE CARDIOVASCULAR AVANZADO (ACLS) ",IF(P22=#REF!,"CAMILLERO ",IF(P22=#REF!,"TOMA DE MUESTRAS Y LABORATORIO ",IF(P22=#REF!,"SOPORTE VITAL BASICO (BLS)",IF(P22=#REF!,"ATENCION A VICTIMAS DE VIOLENCIA SEXUAL ",IF(P22=#REF!,"PROGRAMADO AMPLIADO DE INMUNIZACION (PAI - COVID 19)",IF(P22=#REF!,"ATENCION INTEGRAL EN ENFERMEDADES PREVALENTES EN PRIMERA INFANCIA (AIEPI)",IF(P22=#REF!,"ADMINISTRACION DE MEDICAMENTOS, INYECTOLOGIA  Y CANALIZACION ",IF(P22=#REF!,"OPERADOR DE VEHICULOS DE EMERGENCIA (OVE)",IF(P22=#REF!,"INSTITUCIONES AMIGAS DE LA MUJER Y LA INFANCIA (IAMI)",IF(P22=#REF!,"CUIDADO DEL DONANTE DE ORGANOS",IF(P22=#REF!,"ATENCION A VICTIMAS POR VIOLENCIA DE GENERO",IF(P22=#REF!,"IGUALDAD DE GENERO EN LA SALUD",IF(P22=#REF!,"BRIGADA DE EMERGENCIA",IF(P22=#REF!,"MANEJO DEL DOLOR Y CUIDADOS PALIATIVOS",IF(P22=#REF!,"TOMA DE MUESTRAS Y LABORATORIO POCT",IF(P22=#REF!,"IMPLANTE SUBDERMICO DE DISPOSITIVO INTRAUTERINO",IF(P22=#REF!,"SALUD MENTAL",IF(P22=#REF!,"PRIMEROS AUXILIOS PSICOLOGICOS",IF(P22=#REF!,"ATENCION A VICTIMAS POR CONFLICTO ARMADO",IF(P22=#REF!,"MANIPULACION DE ALIMENTOS Y BPM",IF(P22=#REF!,"ATENCION A PERSONAS CON DISCAPACIDAD",IF(P22=#REF!,"CUIDADO INTEGRAL DEL PACIENTE ADULTO",IF(P22=#REF!,"MANEJO DEFENSIVO",IF(P22=#REF!,"SOPORTE CARDIOVASCULAR AVANZADO NEONATAL",IF(P22=#REF!,"SEGURIDAD DEL PACIENTE",IF(P22=#REF!,"MANEJO DE RESIDUOS HOSPITALARIOS"))))))))))))))))))))))))))))))))))))</f>
        <v>#REF!</v>
      </c>
      <c r="W22" s="25" t="str">
        <f t="shared" si="2"/>
        <v>Javier Fernando Orbes Arteaga</v>
      </c>
      <c r="X22" s="25" t="str">
        <f t="shared" si="3"/>
        <v>Javier Fernando Orbes Arteaga</v>
      </c>
      <c r="Y22" s="69" t="str">
        <f t="shared" si="4"/>
        <v>Javier Fernando Orbes Arteaga-87553421-PRIMEROS AUXILIOS</v>
      </c>
    </row>
    <row r="23" spans="1:25" x14ac:dyDescent="0.2">
      <c r="A23" s="19">
        <v>22</v>
      </c>
      <c r="B23" s="20">
        <v>1085930672</v>
      </c>
      <c r="C23" s="20" t="s">
        <v>127</v>
      </c>
      <c r="D23" s="20" t="s">
        <v>128</v>
      </c>
      <c r="E23" s="20" t="s">
        <v>129</v>
      </c>
      <c r="F23" s="20" t="s">
        <v>130</v>
      </c>
      <c r="G23" s="20">
        <v>6</v>
      </c>
      <c r="H23" s="20" t="s">
        <v>56</v>
      </c>
      <c r="I23" s="21" t="s">
        <v>72</v>
      </c>
      <c r="J23" s="21" t="s">
        <v>131</v>
      </c>
      <c r="K23" s="22">
        <v>45694</v>
      </c>
      <c r="L23" s="23">
        <v>35000</v>
      </c>
      <c r="M23" s="20" t="s">
        <v>61</v>
      </c>
      <c r="N23" s="20" t="s">
        <v>57</v>
      </c>
      <c r="O23" s="20" t="s">
        <v>120</v>
      </c>
      <c r="P23" s="20" t="s">
        <v>22</v>
      </c>
      <c r="Q23" s="21">
        <v>32617</v>
      </c>
      <c r="R23" s="20" t="s">
        <v>49</v>
      </c>
      <c r="S23" s="24" t="s">
        <v>125</v>
      </c>
      <c r="T23" s="20">
        <v>3173884899</v>
      </c>
      <c r="U23" s="20" t="s">
        <v>126</v>
      </c>
      <c r="V23" s="25" t="e">
        <f>IF(P23=#REF!,"DIPLOMADO EN ATENCION PRE-HOSPITALARIA",IF(P23=#REF!,"ACOMPAÑAMIENTO Y MANEJO DEL DUELO",IF(P23=#REF!,"ATENCION A VICTIMAS DE ATAQUE CON AGENTES QUIMICOS ",IF(P23=#REF!,"PRIMEROS AUXILIOS ",IF(P23=#REF!,"DIPLOMADO DE UNIDAD DE CUIDADOS INTENSIVOS (UCI)",IF(P23=#REF!,"MODELO DE ATENCION PARA EVENTOS EMERGENTES EN SALUD MENTAL (CODIGO VERDE)",IF(P23=#REF!,"HUMANIZACION EN EL SERVICIO DE LA SALUD Y BUENAS PRACTICAS EN PACIENTE ",IF(P23=#REF!,"CLINICA DE HERIDAS ",IF(P23=#REF!,"TOMA DE CITOLOGIA CERVICO VAGINAL ",IF(P23=#REF!,"SOPORTE CARDIOVASCULAR AVANZADO (ACLS) ",IF(P23=#REF!,"CAMILLERO ",IF(P23=#REF!,"TOMA DE MUESTRAS Y LABORATORIO ",IF(P23=#REF!,"SOPORTE VITAL BASICO (BLS)",IF(P23=#REF!,"ATENCION A VICTIMAS DE VIOLENCIA SEXUAL ",IF(P23=#REF!,"PROGRAMADO AMPLIADO DE INMUNIZACION (PAI - COVID 19)",IF(P23=#REF!,"ATENCION INTEGRAL EN ENFERMEDADES PREVALENTES EN PRIMERA INFANCIA (AIEPI)",IF(P23=#REF!,"ADMINISTRACION DE MEDICAMENTOS, INYECTOLOGIA  Y CANALIZACION ",IF(P23=#REF!,"OPERADOR DE VEHICULOS DE EMERGENCIA (OVE)",IF(P23=#REF!,"INSTITUCIONES AMIGAS DE LA MUJER Y LA INFANCIA (IAMI)",IF(P23=#REF!,"CUIDADO DEL DONANTE DE ORGANOS",IF(P23=#REF!,"ATENCION A VICTIMAS POR VIOLENCIA DE GENERO",IF(P23=#REF!,"IGUALDAD DE GENERO EN LA SALUD",IF(P23=#REF!,"BRIGADA DE EMERGENCIA",IF(P23=#REF!,"MANEJO DEL DOLOR Y CUIDADOS PALIATIVOS",IF(P23=#REF!,"TOMA DE MUESTRAS Y LABORATORIO POCT",IF(P23=#REF!,"IMPLANTE SUBDERMICO DE DISPOSITIVO INTRAUTERINO",IF(P23=#REF!,"SALUD MENTAL",IF(P23=#REF!,"PRIMEROS AUXILIOS PSICOLOGICOS",IF(P23=#REF!,"ATENCION A VICTIMAS POR CONFLICTO ARMADO",IF(P23=#REF!,"MANIPULACION DE ALIMENTOS Y BPM",IF(P23=#REF!,"ATENCION A PERSONAS CON DISCAPACIDAD",IF(P23=#REF!,"CUIDADO INTEGRAL DEL PACIENTE ADULTO",IF(P23=#REF!,"MANEJO DEFENSIVO",IF(P23=#REF!,"SOPORTE CARDIOVASCULAR AVANZADO NEONATAL",IF(P23=#REF!,"SEGURIDAD DEL PACIENTE",IF(P23=#REF!,"MANEJO DE RESIDUOS HOSPITALARIOS"))))))))))))))))))))))))))))))))))))</f>
        <v>#REF!</v>
      </c>
      <c r="W23" s="25" t="str">
        <f t="shared" si="2"/>
        <v>Victoria Marcela Pupiales Delgado</v>
      </c>
      <c r="X23" s="25" t="str">
        <f t="shared" si="3"/>
        <v>Victoria Marcela Pupiales Delgado</v>
      </c>
      <c r="Y23" s="69" t="str">
        <f t="shared" si="4"/>
        <v>Victoria Marcela Pupiales Delgado-1085930672-PRIMEROS AUXILIOS</v>
      </c>
    </row>
    <row r="24" spans="1:25" x14ac:dyDescent="0.2">
      <c r="A24" s="19">
        <v>23</v>
      </c>
      <c r="B24" s="20">
        <v>1006103533</v>
      </c>
      <c r="C24" s="20" t="s">
        <v>96</v>
      </c>
      <c r="D24" s="20" t="s">
        <v>97</v>
      </c>
      <c r="E24" s="20" t="s">
        <v>98</v>
      </c>
      <c r="F24" s="20" t="s">
        <v>99</v>
      </c>
      <c r="G24" s="20">
        <v>3</v>
      </c>
      <c r="H24" s="20" t="s">
        <v>56</v>
      </c>
      <c r="I24" s="21" t="s">
        <v>47</v>
      </c>
      <c r="J24" s="21" t="s">
        <v>147</v>
      </c>
      <c r="K24" s="22">
        <v>45691</v>
      </c>
      <c r="L24" s="23">
        <v>70000</v>
      </c>
      <c r="M24" s="20" t="s">
        <v>61</v>
      </c>
      <c r="N24" s="20" t="s">
        <v>57</v>
      </c>
      <c r="O24" s="20" t="s">
        <v>48</v>
      </c>
      <c r="P24" s="20" t="s">
        <v>22</v>
      </c>
      <c r="Q24" s="21">
        <v>37294</v>
      </c>
      <c r="R24" s="20" t="s">
        <v>49</v>
      </c>
      <c r="S24" s="20" t="s">
        <v>74</v>
      </c>
      <c r="T24" s="24">
        <v>3128250831</v>
      </c>
      <c r="U24" s="24" t="s">
        <v>100</v>
      </c>
      <c r="V24" s="25" t="e">
        <f>IF(P24=#REF!,"DIPLOMADO EN ATENCION PRE-HOSPITALARIA",IF(P24=#REF!,"ACOMPAÑAMIENTO Y MANEJO DEL DUELO",IF(P24=#REF!,"ATENCION A VICTIMAS DE ATAQUE CON AGENTES QUIMICOS ",IF(P24=#REF!,"PRIMEROS AUXILIOS ",IF(P24=#REF!,"DIPLOMADO DE UNIDAD DE CUIDADOS INTENSIVOS (UCI)",IF(P24=#REF!,"MODELO DE ATENCION PARA EVENTOS EMERGENTES EN SALUD MENTAL (CODIGO VERDE)",IF(P24=#REF!,"HUMANIZACION EN EL SERVICIO DE LA SALUD Y BUENAS PRACTICAS EN PACIENTE ",IF(P24=#REF!,"CLINICA DE HERIDAS ",IF(P24=#REF!,"TOMA DE CITOLOGIA CERVICO VAGINAL ",IF(P24=#REF!,"SOPORTE CARDIOVASCULAR AVANZADO (ACLS) ",IF(P24=#REF!,"CAMILLERO ",IF(P24=#REF!,"TOMA DE MUESTRAS Y LABORATORIO ",IF(P24=#REF!,"SOPORTE VITAL BASICO (BLS)",IF(P24=#REF!,"ATENCION A VICTIMAS DE VIOLENCIA SEXUAL ",IF(P24=#REF!,"PROGRAMADO AMPLIADO DE INMUNIZACION (PAI - COVID 19)",IF(P24=#REF!,"ATENCION INTEGRAL EN ENFERMEDADES PREVALENTES EN PRIMERA INFANCIA (AIEPI)",IF(P24=#REF!,"ADMINISTRACION DE MEDICAMENTOS, INYECTOLOGIA  Y CANALIZACION ",IF(P24=#REF!,"OPERADOR DE VEHICULOS DE EMERGENCIA (OVE)",IF(P24=#REF!,"INSTITUCIONES AMIGAS DE LA MUJER Y LA INFANCIA (IAMI)",IF(P24=#REF!,"CUIDADO DEL DONANTE DE ORGANOS",IF(P24=#REF!,"ATENCION A VICTIMAS POR VIOLENCIA DE GENERO",IF(P24=#REF!,"IGUALDAD DE GENERO EN LA SALUD",IF(P24=#REF!,"BRIGADA DE EMERGENCIA",IF(P24=#REF!,"MANEJO DEL DOLOR Y CUIDADOS PALIATIVOS",IF(P24=#REF!,"TOMA DE MUESTRAS Y LABORATORIO POCT",IF(P24=#REF!,"IMPLANTE SUBDERMICO DE DISPOSITIVO INTRAUTERINO",IF(P24=#REF!,"SALUD MENTAL",IF(P24=#REF!,"PRIMEROS AUXILIOS PSICOLOGICOS",IF(P24=#REF!,"ATENCION A VICTIMAS POR CONFLICTO ARMADO",IF(P24=#REF!,"MANIPULACION DE ALIMENTOS Y BPM",IF(P24=#REF!,"ATENCION A PERSONAS CON DISCAPACIDAD",IF(P24=#REF!,"CUIDADO INTEGRAL DEL PACIENTE ADULTO",IF(P24=#REF!,"MANEJO DEFENSIVO",IF(P24=#REF!,"SOPORTE CARDIOVASCULAR AVANZADO NEONATAL",IF(P24=#REF!,"SEGURIDAD DEL PACIENTE",IF(P24=#REF!,"MANEJO DE RESIDUOS HOSPITALARIOS"))))))))))))))))))))))))))))))))))))</f>
        <v>#REF!</v>
      </c>
      <c r="W24" s="25" t="str">
        <f t="shared" si="2"/>
        <v>Luisa Fernanda Alegria Eraso</v>
      </c>
      <c r="X24" s="25" t="str">
        <f t="shared" si="3"/>
        <v>Luisa Fernanda Alegria Eraso</v>
      </c>
      <c r="Y24" s="69" t="str">
        <f t="shared" si="4"/>
        <v>Luisa Fernanda Alegria Eraso-1006103533-PRIMEROS AUXILIOS</v>
      </c>
    </row>
    <row r="25" spans="1:25" x14ac:dyDescent="0.2">
      <c r="A25" s="19">
        <v>24</v>
      </c>
      <c r="B25" s="20">
        <v>1085260512</v>
      </c>
      <c r="C25" s="20" t="s">
        <v>132</v>
      </c>
      <c r="D25" s="20" t="s">
        <v>133</v>
      </c>
      <c r="E25" s="20" t="s">
        <v>134</v>
      </c>
      <c r="F25" s="20" t="s">
        <v>135</v>
      </c>
      <c r="G25" s="20">
        <v>6</v>
      </c>
      <c r="H25" s="20" t="s">
        <v>56</v>
      </c>
      <c r="I25" s="21" t="s">
        <v>72</v>
      </c>
      <c r="J25" s="21" t="s">
        <v>131</v>
      </c>
      <c r="K25" s="22">
        <v>45694</v>
      </c>
      <c r="L25" s="23">
        <v>35000</v>
      </c>
      <c r="M25" s="20" t="s">
        <v>61</v>
      </c>
      <c r="N25" s="20" t="s">
        <v>57</v>
      </c>
      <c r="O25" s="20" t="s">
        <v>48</v>
      </c>
      <c r="P25" s="20" t="s">
        <v>41</v>
      </c>
      <c r="Q25" s="21">
        <v>32000</v>
      </c>
      <c r="R25" s="20" t="s">
        <v>85</v>
      </c>
      <c r="S25" s="24" t="s">
        <v>86</v>
      </c>
      <c r="T25" s="20">
        <v>3154272134</v>
      </c>
      <c r="U25" s="20" t="s">
        <v>136</v>
      </c>
      <c r="V25" s="25" t="e">
        <f>IF(P25=#REF!,"DIPLOMADO EN ATENCION PRE-HOSPITALARIA",IF(P25=#REF!,"ACOMPAÑAMIENTO Y MANEJO DEL DUELO",IF(P25=#REF!,"ATENCION A VICTIMAS DE ATAQUE CON AGENTES QUIMICOS ",IF(P25=#REF!,"PRIMEROS AUXILIOS ",IF(P25=#REF!,"DIPLOMADO DE UNIDAD DE CUIDADOS INTENSIVOS (UCI)",IF(P25=#REF!,"MODELO DE ATENCION PARA EVENTOS EMERGENTES EN SALUD MENTAL (CODIGO VERDE)",IF(P25=#REF!,"HUMANIZACION EN EL SERVICIO DE LA SALUD Y BUENAS PRACTICAS EN PACIENTE ",IF(P25=#REF!,"CLINICA DE HERIDAS ",IF(P25=#REF!,"TOMA DE CITOLOGIA CERVICO VAGINAL ",IF(P25=#REF!,"SOPORTE CARDIOVASCULAR AVANZADO (ACLS) ",IF(P25=#REF!,"CAMILLERO ",IF(P25=#REF!,"TOMA DE MUESTRAS Y LABORATORIO ",IF(P25=#REF!,"SOPORTE VITAL BASICO (BLS)",IF(P25=#REF!,"ATENCION A VICTIMAS DE VIOLENCIA SEXUAL ",IF(P25=#REF!,"PROGRAMADO AMPLIADO DE INMUNIZACION (PAI - COVID 19)",IF(P25=#REF!,"ATENCION INTEGRAL EN ENFERMEDADES PREVALENTES EN PRIMERA INFANCIA (AIEPI)",IF(P25=#REF!,"ADMINISTRACION DE MEDICAMENTOS, INYECTOLOGIA  Y CANALIZACION ",IF(P25=#REF!,"OPERADOR DE VEHICULOS DE EMERGENCIA (OVE)",IF(P25=#REF!,"INSTITUCIONES AMIGAS DE LA MUJER Y LA INFANCIA (IAMI)",IF(P25=#REF!,"CUIDADO DEL DONANTE DE ORGANOS",IF(P25=#REF!,"ATENCION A VICTIMAS POR VIOLENCIA DE GENERO",IF(P25=#REF!,"IGUALDAD DE GENERO EN LA SALUD",IF(P25=#REF!,"BRIGADA DE EMERGENCIA",IF(P25=#REF!,"MANEJO DEL DOLOR Y CUIDADOS PALIATIVOS",IF(P25=#REF!,"TOMA DE MUESTRAS Y LABORATORIO POCT",IF(P25=#REF!,"IMPLANTE SUBDERMICO DE DISPOSITIVO INTRAUTERINO",IF(P25=#REF!,"SALUD MENTAL",IF(P25=#REF!,"PRIMEROS AUXILIOS PSICOLOGICOS",IF(P25=#REF!,"ATENCION A VICTIMAS POR CONFLICTO ARMADO",IF(P25=#REF!,"MANIPULACION DE ALIMENTOS Y BPM",IF(P25=#REF!,"ATENCION A PERSONAS CON DISCAPACIDAD",IF(P25=#REF!,"CUIDADO INTEGRAL DEL PACIENTE ADULTO",IF(P25=#REF!,"MANEJO DEFENSIVO",IF(P25=#REF!,"SOPORTE CARDIOVASCULAR AVANZADO NEONATAL",IF(P25=#REF!,"SEGURIDAD DEL PACIENTE",IF(P25=#REF!,"MANEJO DE RESIDUOS HOSPITALARIOS"))))))))))))))))))))))))))))))))))))</f>
        <v>#REF!</v>
      </c>
      <c r="W25" s="25" t="str">
        <f t="shared" si="2"/>
        <v>Hermes Ariel Paz Saavedra</v>
      </c>
      <c r="X25" s="25" t="str">
        <f t="shared" si="3"/>
        <v>Hermes Ariel Paz Saavedra</v>
      </c>
      <c r="Y25" s="69" t="str">
        <f t="shared" si="4"/>
        <v>Hermes Ariel Paz Saavedra-1085260512-PACIENTE</v>
      </c>
    </row>
    <row r="26" spans="1:25" x14ac:dyDescent="0.2">
      <c r="A26" s="28">
        <v>25</v>
      </c>
      <c r="B26" s="20">
        <v>1085260512</v>
      </c>
      <c r="C26" s="20" t="s">
        <v>132</v>
      </c>
      <c r="D26" s="20" t="s">
        <v>133</v>
      </c>
      <c r="E26" s="20" t="s">
        <v>134</v>
      </c>
      <c r="F26" s="20" t="s">
        <v>135</v>
      </c>
      <c r="G26" s="20">
        <v>6</v>
      </c>
      <c r="H26" s="20" t="s">
        <v>56</v>
      </c>
      <c r="I26" s="21" t="s">
        <v>72</v>
      </c>
      <c r="J26" s="21" t="s">
        <v>131</v>
      </c>
      <c r="K26" s="22">
        <v>45694</v>
      </c>
      <c r="L26" s="23">
        <v>35000</v>
      </c>
      <c r="M26" s="20" t="s">
        <v>61</v>
      </c>
      <c r="N26" s="20" t="s">
        <v>57</v>
      </c>
      <c r="O26" s="20" t="s">
        <v>48</v>
      </c>
      <c r="P26" s="20" t="s">
        <v>23</v>
      </c>
      <c r="Q26" s="21">
        <v>32000</v>
      </c>
      <c r="R26" s="20" t="s">
        <v>85</v>
      </c>
      <c r="S26" s="24" t="s">
        <v>86</v>
      </c>
      <c r="T26" s="20">
        <v>3154272134</v>
      </c>
      <c r="U26" s="20" t="s">
        <v>136</v>
      </c>
      <c r="V26" s="25" t="e">
        <f>IF(P26=#REF!,"DIPLOMADO EN ATENCION PRE-HOSPITALARIA",IF(P26=#REF!,"ACOMPAÑAMIENTO Y MANEJO DEL DUELO",IF(P26=#REF!,"ATENCION A VICTIMAS DE ATAQUE CON AGENTES QUIMICOS ",IF(P26=#REF!,"PRIMEROS AUXILIOS ",IF(P26=#REF!,"DIPLOMADO DE UNIDAD DE CUIDADOS INTENSIVOS (UCI)",IF(P26=#REF!,"MODELO DE ATENCION PARA EVENTOS EMERGENTES EN SALUD MENTAL (CODIGO VERDE)",IF(P26=#REF!,"HUMANIZACION EN EL SERVICIO DE LA SALUD Y BUENAS PRACTICAS EN PACIENTE ",IF(P26=#REF!,"CLINICA DE HERIDAS ",IF(P26=#REF!,"TOMA DE CITOLOGIA CERVICO VAGINAL ",IF(P26=#REF!,"SOPORTE CARDIOVASCULAR AVANZADO (ACLS) ",IF(P26=#REF!,"CAMILLERO ",IF(P26=#REF!,"TOMA DE MUESTRAS Y LABORATORIO ",IF(P26=#REF!,"SOPORTE VITAL BASICO (BLS)",IF(P26=#REF!,"ATENCION A VICTIMAS DE VIOLENCIA SEXUAL ",IF(P26=#REF!,"PROGRAMADO AMPLIADO DE INMUNIZACION (PAI - COVID 19)",IF(P26=#REF!,"ATENCION INTEGRAL EN ENFERMEDADES PREVALENTES EN PRIMERA INFANCIA (AIEPI)",IF(P26=#REF!,"ADMINISTRACION DE MEDICAMENTOS, INYECTOLOGIA  Y CANALIZACION ",IF(P26=#REF!,"OPERADOR DE VEHICULOS DE EMERGENCIA (OVE)",IF(P26=#REF!,"INSTITUCIONES AMIGAS DE LA MUJER Y LA INFANCIA (IAMI)",IF(P26=#REF!,"CUIDADO DEL DONANTE DE ORGANOS",IF(P26=#REF!,"ATENCION A VICTIMAS POR VIOLENCIA DE GENERO",IF(P26=#REF!,"IGUALDAD DE GENERO EN LA SALUD",IF(P26=#REF!,"BRIGADA DE EMERGENCIA",IF(P26=#REF!,"MANEJO DEL DOLOR Y CUIDADOS PALIATIVOS",IF(P26=#REF!,"TOMA DE MUESTRAS Y LABORATORIO POCT",IF(P26=#REF!,"IMPLANTE SUBDERMICO DE DISPOSITIVO INTRAUTERINO",IF(P26=#REF!,"SALUD MENTAL",IF(P26=#REF!,"PRIMEROS AUXILIOS PSICOLOGICOS",IF(P26=#REF!,"ATENCION A VICTIMAS POR CONFLICTO ARMADO",IF(P26=#REF!,"MANIPULACION DE ALIMENTOS Y BPM",IF(P26=#REF!,"ATENCION A PERSONAS CON DISCAPACIDAD",IF(P26=#REF!,"CUIDADO INTEGRAL DEL PACIENTE ADULTO",IF(P26=#REF!,"MANEJO DEFENSIVO",IF(P26=#REF!,"SOPORTE CARDIOVASCULAR AVANZADO NEONATAL",IF(P26=#REF!,"SEGURIDAD DEL PACIENTE",IF(P26=#REF!,"MANEJO DE RESIDUOS HOSPITALARIOS"))))))))))))))))))))))))))))))))))))</f>
        <v>#REF!</v>
      </c>
      <c r="W26" s="25" t="str">
        <f t="shared" si="2"/>
        <v>Hermes Ariel Paz Saavedra</v>
      </c>
      <c r="X26" s="25" t="str">
        <f t="shared" si="3"/>
        <v>Hermes Ariel Paz Saavedra</v>
      </c>
      <c r="Y26" s="69" t="str">
        <f t="shared" si="4"/>
        <v>Hermes Ariel Paz Saavedra-1085260512-HUMANIZACION</v>
      </c>
    </row>
    <row r="27" spans="1:25" x14ac:dyDescent="0.2">
      <c r="A27" s="19">
        <v>26</v>
      </c>
      <c r="B27" s="20">
        <v>1085279233</v>
      </c>
      <c r="C27" s="20" t="s">
        <v>53</v>
      </c>
      <c r="D27" s="20" t="s">
        <v>137</v>
      </c>
      <c r="E27" s="20" t="s">
        <v>138</v>
      </c>
      <c r="F27" s="20" t="s">
        <v>139</v>
      </c>
      <c r="G27" s="20">
        <v>8</v>
      </c>
      <c r="H27" s="20" t="s">
        <v>56</v>
      </c>
      <c r="I27" s="21" t="s">
        <v>47</v>
      </c>
      <c r="J27" s="21" t="s">
        <v>88</v>
      </c>
      <c r="K27" s="22">
        <v>45695</v>
      </c>
      <c r="L27" s="23">
        <v>65000</v>
      </c>
      <c r="M27" s="20" t="s">
        <v>141</v>
      </c>
      <c r="N27" s="20" t="s">
        <v>52</v>
      </c>
      <c r="O27" s="20" t="s">
        <v>48</v>
      </c>
      <c r="P27" s="20" t="s">
        <v>29</v>
      </c>
      <c r="Q27" s="21">
        <v>32877</v>
      </c>
      <c r="R27" s="20" t="s">
        <v>49</v>
      </c>
      <c r="S27" s="20" t="s">
        <v>74</v>
      </c>
      <c r="T27" s="24">
        <v>3113148070</v>
      </c>
      <c r="U27" s="24" t="s">
        <v>140</v>
      </c>
      <c r="V27" s="25" t="e">
        <f>IF(P27=#REF!,"DIPLOMADO EN ATENCION PRE-HOSPITALARIA",IF(P27=#REF!,"ACOMPAÑAMIENTO Y MANEJO DEL DUELO",IF(P27=#REF!,"ATENCION A VICTIMAS DE ATAQUE CON AGENTES QUIMICOS ",IF(P27=#REF!,"PRIMEROS AUXILIOS ",IF(P27=#REF!,"DIPLOMADO DE UNIDAD DE CUIDADOS INTENSIVOS (UCI)",IF(P27=#REF!,"MODELO DE ATENCION PARA EVENTOS EMERGENTES EN SALUD MENTAL (CODIGO VERDE)",IF(P27=#REF!,"HUMANIZACION EN EL SERVICIO DE LA SALUD Y BUENAS PRACTICAS EN PACIENTE ",IF(P27=#REF!,"CLINICA DE HERIDAS ",IF(P27=#REF!,"TOMA DE CITOLOGIA CERVICO VAGINAL ",IF(P27=#REF!,"SOPORTE CARDIOVASCULAR AVANZADO (ACLS) ",IF(P27=#REF!,"CAMILLERO ",IF(P27=#REF!,"TOMA DE MUESTRAS Y LABORATORIO ",IF(P27=#REF!,"SOPORTE VITAL BASICO (BLS)",IF(P27=#REF!,"ATENCION A VICTIMAS DE VIOLENCIA SEXUAL ",IF(P27=#REF!,"PROGRAMADO AMPLIADO DE INMUNIZACION (PAI - COVID 19)",IF(P27=#REF!,"ATENCION INTEGRAL EN ENFERMEDADES PREVALENTES EN PRIMERA INFANCIA (AIEPI)",IF(P27=#REF!,"ADMINISTRACION DE MEDICAMENTOS, INYECTOLOGIA  Y CANALIZACION ",IF(P27=#REF!,"OPERADOR DE VEHICULOS DE EMERGENCIA (OVE)",IF(P27=#REF!,"INSTITUCIONES AMIGAS DE LA MUJER Y LA INFANCIA (IAMI)",IF(P27=#REF!,"CUIDADO DEL DONANTE DE ORGANOS",IF(P27=#REF!,"ATENCION A VICTIMAS POR VIOLENCIA DE GENERO",IF(P27=#REF!,"IGUALDAD DE GENERO EN LA SALUD",IF(P27=#REF!,"BRIGADA DE EMERGENCIA",IF(P27=#REF!,"MANEJO DEL DOLOR Y CUIDADOS PALIATIVOS",IF(P27=#REF!,"TOMA DE MUESTRAS Y LABORATORIO POCT",IF(P27=#REF!,"IMPLANTE SUBDERMICO DE DISPOSITIVO INTRAUTERINO",IF(P27=#REF!,"SALUD MENTAL",IF(P27=#REF!,"PRIMEROS AUXILIOS PSICOLOGICOS",IF(P27=#REF!,"ATENCION A VICTIMAS POR CONFLICTO ARMADO",IF(P27=#REF!,"MANIPULACION DE ALIMENTOS Y BPM",IF(P27=#REF!,"ATENCION A PERSONAS CON DISCAPACIDAD",IF(P27=#REF!,"CUIDADO INTEGRAL DEL PACIENTE ADULTO",IF(P27=#REF!,"MANEJO DEFENSIVO",IF(P27=#REF!,"SOPORTE CARDIOVASCULAR AVANZADO NEONATAL",IF(P27=#REF!,"SEGURIDAD DEL PACIENTE",IF(P27=#REF!,"MANEJO DE RESIDUOS HOSPITALARIOS"))))))))))))))))))))))))))))))))))))</f>
        <v>#REF!</v>
      </c>
      <c r="W27" s="25" t="str">
        <f t="shared" si="2"/>
        <v>Monica Johanna Cabrera Trejo</v>
      </c>
      <c r="X27" s="25" t="str">
        <f t="shared" si="3"/>
        <v>Monica Johanna Cabrera Trejo</v>
      </c>
      <c r="Y27" s="69" t="str">
        <f t="shared" si="4"/>
        <v>Monica Johanna Cabrera Trejo-1085279233-ADMON DE MEDICAMENTOS</v>
      </c>
    </row>
    <row r="28" spans="1:25" x14ac:dyDescent="0.2">
      <c r="A28" s="19">
        <v>27</v>
      </c>
      <c r="B28" s="20">
        <v>1087674767</v>
      </c>
      <c r="C28" s="20" t="s">
        <v>142</v>
      </c>
      <c r="D28" s="20" t="s">
        <v>143</v>
      </c>
      <c r="E28" s="20" t="s">
        <v>144</v>
      </c>
      <c r="F28" s="20" t="s">
        <v>145</v>
      </c>
      <c r="G28" s="20">
        <v>8</v>
      </c>
      <c r="H28" s="20" t="s">
        <v>56</v>
      </c>
      <c r="I28" s="21" t="s">
        <v>47</v>
      </c>
      <c r="J28" s="21" t="s">
        <v>88</v>
      </c>
      <c r="K28" s="22" t="s">
        <v>329</v>
      </c>
      <c r="L28" s="23">
        <v>65000</v>
      </c>
      <c r="M28" s="20" t="s">
        <v>115</v>
      </c>
      <c r="N28" s="20" t="s">
        <v>52</v>
      </c>
      <c r="O28" s="20" t="s">
        <v>48</v>
      </c>
      <c r="P28" s="20" t="s">
        <v>29</v>
      </c>
      <c r="Q28" s="21">
        <v>35497</v>
      </c>
      <c r="R28" s="20" t="s">
        <v>49</v>
      </c>
      <c r="S28" s="20" t="s">
        <v>78</v>
      </c>
      <c r="T28" s="24">
        <v>3164152448</v>
      </c>
      <c r="U28" s="20" t="s">
        <v>146</v>
      </c>
      <c r="V28" s="25" t="e">
        <f>IF(P28=#REF!,"DIPLOMADO EN ATENCION PRE-HOSPITALARIA",IF(P28=#REF!,"ACOMPAÑAMIENTO Y MANEJO DEL DUELO",IF(P28=#REF!,"ATENCION A VICTIMAS DE ATAQUE CON AGENTES QUIMICOS ",IF(P28=#REF!,"PRIMEROS AUXILIOS ",IF(P28=#REF!,"DIPLOMADO DE UNIDAD DE CUIDADOS INTENSIVOS (UCI)",IF(P28=#REF!,"MODELO DE ATENCION PARA EVENTOS EMERGENTES EN SALUD MENTAL (CODIGO VERDE)",IF(P28=#REF!,"HUMANIZACION EN EL SERVICIO DE LA SALUD Y BUENAS PRACTICAS EN PACIENTE ",IF(P28=#REF!,"CLINICA DE HERIDAS ",IF(P28=#REF!,"TOMA DE CITOLOGIA CERVICO VAGINAL ",IF(P28=#REF!,"SOPORTE CARDIOVASCULAR AVANZADO (ACLS) ",IF(P28=#REF!,"CAMILLERO ",IF(P28=#REF!,"TOMA DE MUESTRAS Y LABORATORIO ",IF(P28=#REF!,"SOPORTE VITAL BASICO (BLS)",IF(P28=#REF!,"ATENCION A VICTIMAS DE VIOLENCIA SEXUAL ",IF(P28=#REF!,"PROGRAMADO AMPLIADO DE INMUNIZACION (PAI - COVID 19)",IF(P28=#REF!,"ATENCION INTEGRAL EN ENFERMEDADES PREVALENTES EN PRIMERA INFANCIA (AIEPI)",IF(P28=#REF!,"ADMINISTRACION DE MEDICAMENTOS, INYECTOLOGIA  Y CANALIZACION ",IF(P28=#REF!,"OPERADOR DE VEHICULOS DE EMERGENCIA (OVE)",IF(P28=#REF!,"INSTITUCIONES AMIGAS DE LA MUJER Y LA INFANCIA (IAMI)",IF(P28=#REF!,"CUIDADO DEL DONANTE DE ORGANOS",IF(P28=#REF!,"ATENCION A VICTIMAS POR VIOLENCIA DE GENERO",IF(P28=#REF!,"IGUALDAD DE GENERO EN LA SALUD",IF(P28=#REF!,"BRIGADA DE EMERGENCIA",IF(P28=#REF!,"MANEJO DEL DOLOR Y CUIDADOS PALIATIVOS",IF(P28=#REF!,"TOMA DE MUESTRAS Y LABORATORIO POCT",IF(P28=#REF!,"IMPLANTE SUBDERMICO DE DISPOSITIVO INTRAUTERINO",IF(P28=#REF!,"SALUD MENTAL",IF(P28=#REF!,"PRIMEROS AUXILIOS PSICOLOGICOS",IF(P28=#REF!,"ATENCION A VICTIMAS POR CONFLICTO ARMADO",IF(P28=#REF!,"MANIPULACION DE ALIMENTOS Y BPM",IF(P28=#REF!,"ATENCION A PERSONAS CON DISCAPACIDAD",IF(P28=#REF!,"CUIDADO INTEGRAL DEL PACIENTE ADULTO",IF(P28=#REF!,"MANEJO DEFENSIVO",IF(P28=#REF!,"SOPORTE CARDIOVASCULAR AVANZADO NEONATAL",IF(P28=#REF!,"SEGURIDAD DEL PACIENTE",IF(P28=#REF!,"MANEJO DE RESIDUOS HOSPITALARIOS"))))))))))))))))))))))))))))))))))))</f>
        <v>#REF!</v>
      </c>
      <c r="W28" s="25" t="str">
        <f t="shared" ref="W28:W29" si="5">CONCATENATE(E28," ",F28," ",C28," ",D28)</f>
        <v>Lucerito Amalia Riascos Chamorro</v>
      </c>
      <c r="X28" s="25" t="str">
        <f t="shared" ref="X28:X29" si="6">PROPER(W28)</f>
        <v>Lucerito Amalia Riascos Chamorro</v>
      </c>
      <c r="Y28" s="69" t="str">
        <f t="shared" ref="Y28:Y29" si="7">CONCATENATE(W28,"-",B28,"-",P28)</f>
        <v>Lucerito Amalia Riascos Chamorro-1087674767-ADMON DE MEDICAMENTOS</v>
      </c>
    </row>
    <row r="29" spans="1:25" x14ac:dyDescent="0.2">
      <c r="A29" s="19">
        <v>28</v>
      </c>
      <c r="B29" s="20">
        <v>12753489</v>
      </c>
      <c r="C29" s="20" t="s">
        <v>149</v>
      </c>
      <c r="D29" s="20" t="s">
        <v>150</v>
      </c>
      <c r="E29" s="20" t="s">
        <v>151</v>
      </c>
      <c r="F29" s="20" t="s">
        <v>152</v>
      </c>
      <c r="G29" s="20">
        <v>8</v>
      </c>
      <c r="H29" s="20" t="s">
        <v>56</v>
      </c>
      <c r="I29" s="21" t="s">
        <v>72</v>
      </c>
      <c r="J29" s="21" t="s">
        <v>91</v>
      </c>
      <c r="K29" s="22">
        <v>45694</v>
      </c>
      <c r="L29" s="23">
        <v>30000</v>
      </c>
      <c r="M29" s="20" t="s">
        <v>61</v>
      </c>
      <c r="N29" s="20" t="s">
        <v>57</v>
      </c>
      <c r="O29" s="20" t="s">
        <v>120</v>
      </c>
      <c r="P29" s="20" t="s">
        <v>19</v>
      </c>
      <c r="Q29" s="21"/>
      <c r="R29" s="20" t="s">
        <v>85</v>
      </c>
      <c r="S29" s="20" t="s">
        <v>74</v>
      </c>
      <c r="T29" s="24">
        <v>3104479621</v>
      </c>
      <c r="U29" s="20" t="s">
        <v>153</v>
      </c>
      <c r="V29" s="25" t="e">
        <f>IF(P29=#REF!,"DIPLOMADO EN ATENCION PRE-HOSPITALARIA",IF(P29=#REF!,"ACOMPAÑAMIENTO Y MANEJO DEL DUELO",IF(P29=#REF!,"ATENCION A VICTIMAS DE ATAQUE CON AGENTES QUIMICOS ",IF(P29=#REF!,"PRIMEROS AUXILIOS ",IF(P29=#REF!,"DIPLOMADO DE UNIDAD DE CUIDADOS INTENSIVOS (UCI)",IF(P29=#REF!,"MODELO DE ATENCION PARA EVENTOS EMERGENTES EN SALUD MENTAL (CODIGO VERDE)",IF(P29=#REF!,"HUMANIZACION EN EL SERVICIO DE LA SALUD Y BUENAS PRACTICAS EN PACIENTE ",IF(P29=#REF!,"CLINICA DE HERIDAS ",IF(P29=#REF!,"TOMA DE CITOLOGIA CERVICO VAGINAL ",IF(P29=#REF!,"SOPORTE CARDIOVASCULAR AVANZADO (ACLS) ",IF(P29=#REF!,"CAMILLERO ",IF(P29=#REF!,"TOMA DE MUESTRAS Y LABORATORIO ",IF(P29=#REF!,"SOPORTE VITAL BASICO (BLS)",IF(P29=#REF!,"ATENCION A VICTIMAS DE VIOLENCIA SEXUAL ",IF(P29=#REF!,"PROGRAMADO AMPLIADO DE INMUNIZACION (PAI - COVID 19)",IF(P29=#REF!,"ATENCION INTEGRAL EN ENFERMEDADES PREVALENTES EN PRIMERA INFANCIA (AIEPI)",IF(P29=#REF!,"ADMINISTRACION DE MEDICAMENTOS, INYECTOLOGIA  Y CANALIZACION ",IF(P29=#REF!,"OPERADOR DE VEHICULOS DE EMERGENCIA (OVE)",IF(P29=#REF!,"INSTITUCIONES AMIGAS DE LA MUJER Y LA INFANCIA (IAMI)",IF(P29=#REF!,"CUIDADO DEL DONANTE DE ORGANOS",IF(P29=#REF!,"ATENCION A VICTIMAS POR VIOLENCIA DE GENERO",IF(P29=#REF!,"IGUALDAD DE GENERO EN LA SALUD",IF(P29=#REF!,"BRIGADA DE EMERGENCIA",IF(P29=#REF!,"MANEJO DEL DOLOR Y CUIDADOS PALIATIVOS",IF(P29=#REF!,"TOMA DE MUESTRAS Y LABORATORIO POCT",IF(P29=#REF!,"IMPLANTE SUBDERMICO DE DISPOSITIVO INTRAUTERINO",IF(P29=#REF!,"SALUD MENTAL",IF(P29=#REF!,"PRIMEROS AUXILIOS PSICOLOGICOS",IF(P29=#REF!,"ATENCION A VICTIMAS POR CONFLICTO ARMADO",IF(P29=#REF!,"MANIPULACION DE ALIMENTOS Y BPM",IF(P29=#REF!,"ATENCION A PERSONAS CON DISCAPACIDAD",IF(P29=#REF!,"CUIDADO INTEGRAL DEL PACIENTE ADULTO",IF(P29=#REF!,"MANEJO DEFENSIVO",IF(P29=#REF!,"SOPORTE CARDIOVASCULAR AVANZADO NEONATAL",IF(P29=#REF!,"SEGURIDAD DEL PACIENTE",IF(P29=#REF!,"MANEJO DE RESIDUOS HOSPITALARIOS"))))))))))))))))))))))))))))))))))))</f>
        <v>#REF!</v>
      </c>
      <c r="W29" s="25" t="str">
        <f t="shared" si="5"/>
        <v>Carlos Ernesto Dulce Araujo</v>
      </c>
      <c r="X29" s="25" t="str">
        <f t="shared" si="6"/>
        <v>Carlos Ernesto Dulce Araujo</v>
      </c>
      <c r="Y29" s="69" t="str">
        <f t="shared" si="7"/>
        <v>Carlos Ernesto Dulce Araujo-12753489-BLS</v>
      </c>
    </row>
    <row r="30" spans="1:25" x14ac:dyDescent="0.2">
      <c r="A30" s="19">
        <v>29</v>
      </c>
      <c r="B30" s="20">
        <v>12753489</v>
      </c>
      <c r="C30" s="20" t="s">
        <v>149</v>
      </c>
      <c r="D30" s="20" t="s">
        <v>150</v>
      </c>
      <c r="E30" s="20" t="s">
        <v>151</v>
      </c>
      <c r="F30" s="20" t="s">
        <v>152</v>
      </c>
      <c r="G30" s="20">
        <v>8</v>
      </c>
      <c r="H30" s="20" t="s">
        <v>56</v>
      </c>
      <c r="I30" s="21" t="s">
        <v>72</v>
      </c>
      <c r="J30" s="21" t="s">
        <v>91</v>
      </c>
      <c r="K30" s="22">
        <v>45694</v>
      </c>
      <c r="L30" s="23">
        <v>30000</v>
      </c>
      <c r="M30" s="20" t="s">
        <v>61</v>
      </c>
      <c r="N30" s="20" t="s">
        <v>57</v>
      </c>
      <c r="O30" s="20" t="s">
        <v>120</v>
      </c>
      <c r="P30" s="20" t="s">
        <v>27</v>
      </c>
      <c r="Q30" s="21"/>
      <c r="R30" s="20" t="s">
        <v>85</v>
      </c>
      <c r="S30" s="20" t="s">
        <v>74</v>
      </c>
      <c r="T30" s="24">
        <v>3104479621</v>
      </c>
      <c r="U30" s="20" t="s">
        <v>153</v>
      </c>
      <c r="V30" s="25" t="e">
        <f>IF(P30=#REF!,"DIPLOMADO EN ATENCION PRE-HOSPITALARIA",IF(P30=#REF!,"ACOMPAÑAMIENTO Y MANEJO DEL DUELO",IF(P30=#REF!,"ATENCION A VICTIMAS DE ATAQUE CON AGENTES QUIMICOS ",IF(P30=#REF!,"PRIMEROS AUXILIOS ",IF(P30=#REF!,"DIPLOMADO DE UNIDAD DE CUIDADOS INTENSIVOS (UCI)",IF(P30=#REF!,"MODELO DE ATENCION PARA EVENTOS EMERGENTES EN SALUD MENTAL (CODIGO VERDE)",IF(P30=#REF!,"HUMANIZACION EN EL SERVICIO DE LA SALUD Y BUENAS PRACTICAS EN PACIENTE ",IF(P30=#REF!,"CLINICA DE HERIDAS ",IF(P30=#REF!,"TOMA DE CITOLOGIA CERVICO VAGINAL ",IF(P30=#REF!,"SOPORTE CARDIOVASCULAR AVANZADO (ACLS) ",IF(P30=#REF!,"CAMILLERO ",IF(P30=#REF!,"TOMA DE MUESTRAS Y LABORATORIO ",IF(P30=#REF!,"SOPORTE VITAL BASICO (BLS)",IF(P30=#REF!,"ATENCION A VICTIMAS DE VIOLENCIA SEXUAL ",IF(P30=#REF!,"PROGRAMADO AMPLIADO DE INMUNIZACION (PAI - COVID 19)",IF(P30=#REF!,"ATENCION INTEGRAL EN ENFERMEDADES PREVALENTES EN PRIMERA INFANCIA (AIEPI)",IF(P30=#REF!,"ADMINISTRACION DE MEDICAMENTOS, INYECTOLOGIA  Y CANALIZACION ",IF(P30=#REF!,"OPERADOR DE VEHICULOS DE EMERGENCIA (OVE)",IF(P30=#REF!,"INSTITUCIONES AMIGAS DE LA MUJER Y LA INFANCIA (IAMI)",IF(P30=#REF!,"CUIDADO DEL DONANTE DE ORGANOS",IF(P30=#REF!,"ATENCION A VICTIMAS POR VIOLENCIA DE GENERO",IF(P30=#REF!,"IGUALDAD DE GENERO EN LA SALUD",IF(P30=#REF!,"BRIGADA DE EMERGENCIA",IF(P30=#REF!,"MANEJO DEL DOLOR Y CUIDADOS PALIATIVOS",IF(P30=#REF!,"TOMA DE MUESTRAS Y LABORATORIO POCT",IF(P30=#REF!,"IMPLANTE SUBDERMICO DE DISPOSITIVO INTRAUTERINO",IF(P30=#REF!,"SALUD MENTAL",IF(P30=#REF!,"PRIMEROS AUXILIOS PSICOLOGICOS",IF(P30=#REF!,"ATENCION A VICTIMAS POR CONFLICTO ARMADO",IF(P30=#REF!,"MANIPULACION DE ALIMENTOS Y BPM",IF(P30=#REF!,"ATENCION A PERSONAS CON DISCAPACIDAD",IF(P30=#REF!,"CUIDADO INTEGRAL DEL PACIENTE ADULTO",IF(P30=#REF!,"MANEJO DEFENSIVO",IF(P30=#REF!,"SOPORTE CARDIOVASCULAR AVANZADO NEONATAL",IF(P30=#REF!,"SEGURIDAD DEL PACIENTE",IF(P30=#REF!,"MANEJO DE RESIDUOS HOSPITALARIOS"))))))))))))))))))))))))))))))))))))</f>
        <v>#REF!</v>
      </c>
      <c r="W30" s="25" t="str">
        <f t="shared" si="2"/>
        <v>Carlos Ernesto Dulce Araujo</v>
      </c>
      <c r="X30" s="25" t="str">
        <f t="shared" si="3"/>
        <v>Carlos Ernesto Dulce Araujo</v>
      </c>
      <c r="Y30" s="69" t="str">
        <f t="shared" si="4"/>
        <v>Carlos Ernesto Dulce Araujo-12753489-VIOLENCIA SEXUAL</v>
      </c>
    </row>
    <row r="31" spans="1:25" x14ac:dyDescent="0.2">
      <c r="A31" s="19">
        <v>30</v>
      </c>
      <c r="B31" s="20">
        <v>1004623584</v>
      </c>
      <c r="C31" s="20" t="s">
        <v>154</v>
      </c>
      <c r="D31" s="20" t="s">
        <v>155</v>
      </c>
      <c r="E31" s="20" t="s">
        <v>156</v>
      </c>
      <c r="F31" s="20" t="s">
        <v>157</v>
      </c>
      <c r="G31" s="20">
        <v>10</v>
      </c>
      <c r="H31" s="20" t="s">
        <v>56</v>
      </c>
      <c r="I31" s="21" t="s">
        <v>72</v>
      </c>
      <c r="J31" s="21" t="s">
        <v>147</v>
      </c>
      <c r="K31" s="22">
        <v>45698</v>
      </c>
      <c r="L31" s="23">
        <v>35000</v>
      </c>
      <c r="M31" s="20" t="s">
        <v>159</v>
      </c>
      <c r="N31" s="20" t="s">
        <v>57</v>
      </c>
      <c r="O31" s="20" t="s">
        <v>48</v>
      </c>
      <c r="P31" s="20" t="s">
        <v>19</v>
      </c>
      <c r="Q31" s="21">
        <v>36680</v>
      </c>
      <c r="R31" s="20" t="s">
        <v>49</v>
      </c>
      <c r="S31" s="20" t="s">
        <v>74</v>
      </c>
      <c r="T31" s="20">
        <v>3177483120</v>
      </c>
      <c r="U31" s="20" t="s">
        <v>158</v>
      </c>
      <c r="V31" s="25" t="e">
        <f>IF(P31=#REF!,"DIPLOMADO EN ATENCION PRE-HOSPITALARIA",IF(P31=#REF!,"ACOMPAÑAMIENTO Y MANEJO DEL DUELO",IF(P31=#REF!,"ATENCION A VICTIMAS DE ATAQUE CON AGENTES QUIMICOS ",IF(P31=#REF!,"PRIMEROS AUXILIOS ",IF(P31=#REF!,"DIPLOMADO DE UNIDAD DE CUIDADOS INTENSIVOS (UCI)",IF(P31=#REF!,"MODELO DE ATENCION PARA EVENTOS EMERGENTES EN SALUD MENTAL (CODIGO VERDE)",IF(P31=#REF!,"HUMANIZACION EN EL SERVICIO DE LA SALUD Y BUENAS PRACTICAS EN PACIENTE ",IF(P31=#REF!,"CLINICA DE HERIDAS ",IF(P31=#REF!,"TOMA DE CITOLOGIA CERVICO VAGINAL ",IF(P31=#REF!,"SOPORTE CARDIOVASCULAR AVANZADO (ACLS) ",IF(P31=#REF!,"CAMILLERO ",IF(P31=#REF!,"TOMA DE MUESTRAS Y LABORATORIO ",IF(P31=#REF!,"SOPORTE VITAL BASICO (BLS)",IF(P31=#REF!,"ATENCION A VICTIMAS DE VIOLENCIA SEXUAL ",IF(P31=#REF!,"PROGRAMADO AMPLIADO DE INMUNIZACION (PAI - COVID 19)",IF(P31=#REF!,"ATENCION INTEGRAL EN ENFERMEDADES PREVALENTES EN PRIMERA INFANCIA (AIEPI)",IF(P31=#REF!,"ADMINISTRACION DE MEDICAMENTOS, INYECTOLOGIA  Y CANALIZACION ",IF(P31=#REF!,"OPERADOR DE VEHICULOS DE EMERGENCIA (OVE)",IF(P31=#REF!,"INSTITUCIONES AMIGAS DE LA MUJER Y LA INFANCIA (IAMI)",IF(P31=#REF!,"CUIDADO DEL DONANTE DE ORGANOS",IF(P31=#REF!,"ATENCION A VICTIMAS POR VIOLENCIA DE GENERO",IF(P31=#REF!,"IGUALDAD DE GENERO EN LA SALUD",IF(P31=#REF!,"BRIGADA DE EMERGENCIA",IF(P31=#REF!,"MANEJO DEL DOLOR Y CUIDADOS PALIATIVOS",IF(P31=#REF!,"TOMA DE MUESTRAS Y LABORATORIO POCT",IF(P31=#REF!,"IMPLANTE SUBDERMICO DE DISPOSITIVO INTRAUTERINO",IF(P31=#REF!,"SALUD MENTAL",IF(P31=#REF!,"PRIMEROS AUXILIOS PSICOLOGICOS",IF(P31=#REF!,"ATENCION A VICTIMAS POR CONFLICTO ARMADO",IF(P31=#REF!,"MANIPULACION DE ALIMENTOS Y BPM",IF(P31=#REF!,"ATENCION A PERSONAS CON DISCAPACIDAD",IF(P31=#REF!,"CUIDADO INTEGRAL DEL PACIENTE ADULTO",IF(P31=#REF!,"MANEJO DEFENSIVO",IF(P31=#REF!,"SOPORTE CARDIOVASCULAR AVANZADO NEONATAL",IF(P31=#REF!,"SEGURIDAD DEL PACIENTE",IF(P31=#REF!,"MANEJO DE RESIDUOS HOSPITALARIOS"))))))))))))))))))))))))))))))))))))</f>
        <v>#REF!</v>
      </c>
      <c r="W31" s="25" t="str">
        <f t="shared" si="2"/>
        <v>Jeimy Yadira Cuasquen Basante</v>
      </c>
      <c r="X31" s="25" t="str">
        <f t="shared" si="3"/>
        <v>Jeimy Yadira Cuasquen Basante</v>
      </c>
      <c r="Y31" s="69" t="str">
        <f t="shared" si="4"/>
        <v>Jeimy Yadira Cuasquen Basante-1004623584-BLS</v>
      </c>
    </row>
    <row r="32" spans="1:25" x14ac:dyDescent="0.2">
      <c r="A32" s="19">
        <v>31</v>
      </c>
      <c r="B32" s="20">
        <v>1004623584</v>
      </c>
      <c r="C32" s="20" t="s">
        <v>154</v>
      </c>
      <c r="D32" s="20" t="s">
        <v>155</v>
      </c>
      <c r="E32" s="20" t="s">
        <v>156</v>
      </c>
      <c r="F32" s="20" t="s">
        <v>157</v>
      </c>
      <c r="G32" s="20">
        <v>7</v>
      </c>
      <c r="H32" s="20" t="s">
        <v>56</v>
      </c>
      <c r="I32" s="21" t="s">
        <v>72</v>
      </c>
      <c r="J32" s="21" t="s">
        <v>147</v>
      </c>
      <c r="K32" s="22">
        <v>45698</v>
      </c>
      <c r="L32" s="23">
        <v>35000</v>
      </c>
      <c r="M32" s="20" t="s">
        <v>159</v>
      </c>
      <c r="N32" s="20" t="s">
        <v>57</v>
      </c>
      <c r="O32" s="20" t="s">
        <v>48</v>
      </c>
      <c r="P32" s="20" t="s">
        <v>20</v>
      </c>
      <c r="Q32" s="21">
        <v>36680</v>
      </c>
      <c r="R32" s="20" t="s">
        <v>49</v>
      </c>
      <c r="S32" s="20" t="s">
        <v>74</v>
      </c>
      <c r="T32" s="20">
        <v>3177483120</v>
      </c>
      <c r="U32" s="20" t="s">
        <v>158</v>
      </c>
      <c r="V32" s="25" t="e">
        <f>IF(P32=#REF!,"DIPLOMADO EN ATENCION PRE-HOSPITALARIA",IF(P32=#REF!,"ACOMPAÑAMIENTO Y MANEJO DEL DUELO",IF(P32=#REF!,"ATENCION A VICTIMAS DE ATAQUE CON AGENTES QUIMICOS ",IF(P32=#REF!,"PRIMEROS AUXILIOS ",IF(P32=#REF!,"DIPLOMADO DE UNIDAD DE CUIDADOS INTENSIVOS (UCI)",IF(P32=#REF!,"MODELO DE ATENCION PARA EVENTOS EMERGENTES EN SALUD MENTAL (CODIGO VERDE)",IF(P32=#REF!,"HUMANIZACION EN EL SERVICIO DE LA SALUD Y BUENAS PRACTICAS EN PACIENTE ",IF(P32=#REF!,"CLINICA DE HERIDAS ",IF(P32=#REF!,"TOMA DE CITOLOGIA CERVICO VAGINAL ",IF(P32=#REF!,"SOPORTE CARDIOVASCULAR AVANZADO (ACLS) ",IF(P32=#REF!,"CAMILLERO ",IF(P32=#REF!,"TOMA DE MUESTRAS Y LABORATORIO ",IF(P32=#REF!,"SOPORTE VITAL BASICO (BLS)",IF(P32=#REF!,"ATENCION A VICTIMAS DE VIOLENCIA SEXUAL ",IF(P32=#REF!,"PROGRAMADO AMPLIADO DE INMUNIZACION (PAI - COVID 19)",IF(P32=#REF!,"ATENCION INTEGRAL EN ENFERMEDADES PREVALENTES EN PRIMERA INFANCIA (AIEPI)",IF(P32=#REF!,"ADMINISTRACION DE MEDICAMENTOS, INYECTOLOGIA  Y CANALIZACION ",IF(P32=#REF!,"OPERADOR DE VEHICULOS DE EMERGENCIA (OVE)",IF(P32=#REF!,"INSTITUCIONES AMIGAS DE LA MUJER Y LA INFANCIA (IAMI)",IF(P32=#REF!,"CUIDADO DEL DONANTE DE ORGANOS",IF(P32=#REF!,"ATENCION A VICTIMAS POR VIOLENCIA DE GENERO",IF(P32=#REF!,"IGUALDAD DE GENERO EN LA SALUD",IF(P32=#REF!,"BRIGADA DE EMERGENCIA",IF(P32=#REF!,"MANEJO DEL DOLOR Y CUIDADOS PALIATIVOS",IF(P32=#REF!,"TOMA DE MUESTRAS Y LABORATORIO POCT",IF(P32=#REF!,"IMPLANTE SUBDERMICO DE DISPOSITIVO INTRAUTERINO",IF(P32=#REF!,"SALUD MENTAL",IF(P32=#REF!,"PRIMEROS AUXILIOS PSICOLOGICOS",IF(P32=#REF!,"ATENCION A VICTIMAS POR CONFLICTO ARMADO",IF(P32=#REF!,"MANIPULACION DE ALIMENTOS Y BPM",IF(P32=#REF!,"ATENCION A PERSONAS CON DISCAPACIDAD",IF(P32=#REF!,"CUIDADO INTEGRAL DEL PACIENTE ADULTO",IF(P32=#REF!,"MANEJO DEFENSIVO",IF(P32=#REF!,"SOPORTE CARDIOVASCULAR AVANZADO NEONATAL",IF(P32=#REF!,"SEGURIDAD DEL PACIENTE",IF(P32=#REF!,"MANEJO DE RESIDUOS HOSPITALARIOS"))))))))))))))))))))))))))))))))))))</f>
        <v>#REF!</v>
      </c>
      <c r="W32" s="25" t="str">
        <f t="shared" si="2"/>
        <v>Jeimy Yadira Cuasquen Basante</v>
      </c>
      <c r="X32" s="25" t="str">
        <f t="shared" si="3"/>
        <v>Jeimy Yadira Cuasquen Basante</v>
      </c>
      <c r="Y32" s="69" t="str">
        <f t="shared" si="4"/>
        <v>Jeimy Yadira Cuasquen Basante-1004623584-DUELO</v>
      </c>
    </row>
    <row r="33" spans="1:25" x14ac:dyDescent="0.2">
      <c r="A33" s="19">
        <v>32</v>
      </c>
      <c r="B33" s="20">
        <v>1004623584</v>
      </c>
      <c r="C33" s="20" t="s">
        <v>154</v>
      </c>
      <c r="D33" s="20" t="s">
        <v>155</v>
      </c>
      <c r="E33" s="20" t="s">
        <v>156</v>
      </c>
      <c r="F33" s="20" t="s">
        <v>157</v>
      </c>
      <c r="G33" s="20">
        <v>8</v>
      </c>
      <c r="H33" s="20" t="s">
        <v>56</v>
      </c>
      <c r="I33" s="21" t="s">
        <v>72</v>
      </c>
      <c r="J33" s="21" t="s">
        <v>147</v>
      </c>
      <c r="K33" s="22">
        <v>45698</v>
      </c>
      <c r="L33" s="23">
        <v>35000</v>
      </c>
      <c r="M33" s="20" t="s">
        <v>159</v>
      </c>
      <c r="N33" s="20" t="s">
        <v>57</v>
      </c>
      <c r="O33" s="20" t="s">
        <v>48</v>
      </c>
      <c r="P33" s="20" t="s">
        <v>21</v>
      </c>
      <c r="Q33" s="21">
        <v>36680</v>
      </c>
      <c r="R33" s="20" t="s">
        <v>49</v>
      </c>
      <c r="S33" s="20" t="s">
        <v>74</v>
      </c>
      <c r="T33" s="20">
        <v>3177483120</v>
      </c>
      <c r="U33" s="20" t="s">
        <v>158</v>
      </c>
      <c r="V33" s="25" t="e">
        <f>IF(P33=#REF!,"DIPLOMADO EN ATENCION PRE-HOSPITALARIA",IF(P33=#REF!,"ACOMPAÑAMIENTO Y MANEJO DEL DUELO",IF(P33=#REF!,"ATENCION A VICTIMAS DE ATAQUE CON AGENTES QUIMICOS ",IF(P33=#REF!,"PRIMEROS AUXILIOS ",IF(P33=#REF!,"DIPLOMADO DE UNIDAD DE CUIDADOS INTENSIVOS (UCI)",IF(P33=#REF!,"MODELO DE ATENCION PARA EVENTOS EMERGENTES EN SALUD MENTAL (CODIGO VERDE)",IF(P33=#REF!,"HUMANIZACION EN EL SERVICIO DE LA SALUD Y BUENAS PRACTICAS EN PACIENTE ",IF(P33=#REF!,"CLINICA DE HERIDAS ",IF(P33=#REF!,"TOMA DE CITOLOGIA CERVICO VAGINAL ",IF(P33=#REF!,"SOPORTE CARDIOVASCULAR AVANZADO (ACLS) ",IF(P33=#REF!,"CAMILLERO ",IF(P33=#REF!,"TOMA DE MUESTRAS Y LABORATORIO ",IF(P33=#REF!,"SOPORTE VITAL BASICO (BLS)",IF(P33=#REF!,"ATENCION A VICTIMAS DE VIOLENCIA SEXUAL ",IF(P33=#REF!,"PROGRAMADO AMPLIADO DE INMUNIZACION (PAI - COVID 19)",IF(P33=#REF!,"ATENCION INTEGRAL EN ENFERMEDADES PREVALENTES EN PRIMERA INFANCIA (AIEPI)",IF(P33=#REF!,"ADMINISTRACION DE MEDICAMENTOS, INYECTOLOGIA  Y CANALIZACION ",IF(P33=#REF!,"OPERADOR DE VEHICULOS DE EMERGENCIA (OVE)",IF(P33=#REF!,"INSTITUCIONES AMIGAS DE LA MUJER Y LA INFANCIA (IAMI)",IF(P33=#REF!,"CUIDADO DEL DONANTE DE ORGANOS",IF(P33=#REF!,"ATENCION A VICTIMAS POR VIOLENCIA DE GENERO",IF(P33=#REF!,"IGUALDAD DE GENERO EN LA SALUD",IF(P33=#REF!,"BRIGADA DE EMERGENCIA",IF(P33=#REF!,"MANEJO DEL DOLOR Y CUIDADOS PALIATIVOS",IF(P33=#REF!,"TOMA DE MUESTRAS Y LABORATORIO POCT",IF(P33=#REF!,"IMPLANTE SUBDERMICO DE DISPOSITIVO INTRAUTERINO",IF(P33=#REF!,"SALUD MENTAL",IF(P33=#REF!,"PRIMEROS AUXILIOS PSICOLOGICOS",IF(P33=#REF!,"ATENCION A VICTIMAS POR CONFLICTO ARMADO",IF(P33=#REF!,"MANIPULACION DE ALIMENTOS Y BPM",IF(P33=#REF!,"ATENCION A PERSONAS CON DISCAPACIDAD",IF(P33=#REF!,"CUIDADO INTEGRAL DEL PACIENTE ADULTO",IF(P33=#REF!,"MANEJO DEFENSIVO",IF(P33=#REF!,"SOPORTE CARDIOVASCULAR AVANZADO NEONATAL",IF(P33=#REF!,"SEGURIDAD DEL PACIENTE",IF(P33=#REF!,"MANEJO DE RESIDUOS HOSPITALARIOS"))))))))))))))))))))))))))))))))))))</f>
        <v>#REF!</v>
      </c>
      <c r="W33" s="25" t="str">
        <f t="shared" si="2"/>
        <v>Jeimy Yadira Cuasquen Basante</v>
      </c>
      <c r="X33" s="25" t="str">
        <f t="shared" si="3"/>
        <v>Jeimy Yadira Cuasquen Basante</v>
      </c>
      <c r="Y33" s="69" t="str">
        <f t="shared" si="4"/>
        <v>Jeimy Yadira Cuasquen Basante-1004623584-QUIMICOS</v>
      </c>
    </row>
    <row r="34" spans="1:25" x14ac:dyDescent="0.2">
      <c r="A34" s="19">
        <v>33</v>
      </c>
      <c r="B34" s="20">
        <v>1004623584</v>
      </c>
      <c r="C34" s="20" t="s">
        <v>154</v>
      </c>
      <c r="D34" s="20" t="s">
        <v>155</v>
      </c>
      <c r="E34" s="20" t="s">
        <v>156</v>
      </c>
      <c r="F34" s="20" t="s">
        <v>157</v>
      </c>
      <c r="G34" s="20">
        <v>8</v>
      </c>
      <c r="H34" s="20" t="s">
        <v>56</v>
      </c>
      <c r="I34" s="21" t="s">
        <v>72</v>
      </c>
      <c r="J34" s="21" t="s">
        <v>147</v>
      </c>
      <c r="K34" s="22">
        <v>45698</v>
      </c>
      <c r="L34" s="23">
        <v>35000</v>
      </c>
      <c r="M34" s="20" t="s">
        <v>159</v>
      </c>
      <c r="N34" s="20" t="s">
        <v>57</v>
      </c>
      <c r="O34" s="20" t="s">
        <v>48</v>
      </c>
      <c r="P34" s="20" t="s">
        <v>27</v>
      </c>
      <c r="Q34" s="21">
        <v>36680</v>
      </c>
      <c r="R34" s="20" t="s">
        <v>49</v>
      </c>
      <c r="S34" s="20" t="s">
        <v>74</v>
      </c>
      <c r="T34" s="20">
        <v>3177483120</v>
      </c>
      <c r="U34" s="20" t="s">
        <v>158</v>
      </c>
      <c r="V34" s="25" t="e">
        <f>IF(P34=#REF!,"DIPLOMADO EN ATENCION PRE-HOSPITALARIA",IF(P34=#REF!,"ACOMPAÑAMIENTO Y MANEJO DEL DUELO",IF(P34=#REF!,"ATENCION A VICTIMAS DE ATAQUE CON AGENTES QUIMICOS ",IF(P34=#REF!,"PRIMEROS AUXILIOS ",IF(P34=#REF!,"DIPLOMADO DE UNIDAD DE CUIDADOS INTENSIVOS (UCI)",IF(P34=#REF!,"MODELO DE ATENCION PARA EVENTOS EMERGENTES EN SALUD MENTAL (CODIGO VERDE)",IF(P34=#REF!,"HUMANIZACION EN EL SERVICIO DE LA SALUD Y BUENAS PRACTICAS EN PACIENTE ",IF(P34=#REF!,"CLINICA DE HERIDAS ",IF(P34=#REF!,"TOMA DE CITOLOGIA CERVICO VAGINAL ",IF(P34=#REF!,"SOPORTE CARDIOVASCULAR AVANZADO (ACLS) ",IF(P34=#REF!,"CAMILLERO ",IF(P34=#REF!,"TOMA DE MUESTRAS Y LABORATORIO ",IF(P34=#REF!,"SOPORTE VITAL BASICO (BLS)",IF(P34=#REF!,"ATENCION A VICTIMAS DE VIOLENCIA SEXUAL ",IF(P34=#REF!,"PROGRAMADO AMPLIADO DE INMUNIZACION (PAI - COVID 19)",IF(P34=#REF!,"ATENCION INTEGRAL EN ENFERMEDADES PREVALENTES EN PRIMERA INFANCIA (AIEPI)",IF(P34=#REF!,"ADMINISTRACION DE MEDICAMENTOS, INYECTOLOGIA  Y CANALIZACION ",IF(P34=#REF!,"OPERADOR DE VEHICULOS DE EMERGENCIA (OVE)",IF(P34=#REF!,"INSTITUCIONES AMIGAS DE LA MUJER Y LA INFANCIA (IAMI)",IF(P34=#REF!,"CUIDADO DEL DONANTE DE ORGANOS",IF(P34=#REF!,"ATENCION A VICTIMAS POR VIOLENCIA DE GENERO",IF(P34=#REF!,"IGUALDAD DE GENERO EN LA SALUD",IF(P34=#REF!,"BRIGADA DE EMERGENCIA",IF(P34=#REF!,"MANEJO DEL DOLOR Y CUIDADOS PALIATIVOS",IF(P34=#REF!,"TOMA DE MUESTRAS Y LABORATORIO POCT",IF(P34=#REF!,"IMPLANTE SUBDERMICO DE DISPOSITIVO INTRAUTERINO",IF(P34=#REF!,"SALUD MENTAL",IF(P34=#REF!,"PRIMEROS AUXILIOS PSICOLOGICOS",IF(P34=#REF!,"ATENCION A VICTIMAS POR CONFLICTO ARMADO",IF(P34=#REF!,"MANIPULACION DE ALIMENTOS Y BPM",IF(P34=#REF!,"ATENCION A PERSONAS CON DISCAPACIDAD",IF(P34=#REF!,"CUIDADO INTEGRAL DEL PACIENTE ADULTO",IF(P34=#REF!,"MANEJO DEFENSIVO",IF(P34=#REF!,"SOPORTE CARDIOVASCULAR AVANZADO NEONATAL",IF(P34=#REF!,"SEGURIDAD DEL PACIENTE",IF(P34=#REF!,"MANEJO DE RESIDUOS HOSPITALARIOS"))))))))))))))))))))))))))))))))))))</f>
        <v>#REF!</v>
      </c>
      <c r="W34" s="25" t="str">
        <f t="shared" si="2"/>
        <v>Jeimy Yadira Cuasquen Basante</v>
      </c>
      <c r="X34" s="25" t="str">
        <f t="shared" si="3"/>
        <v>Jeimy Yadira Cuasquen Basante</v>
      </c>
      <c r="Y34" s="69" t="str">
        <f t="shared" si="4"/>
        <v>Jeimy Yadira Cuasquen Basante-1004623584-VIOLENCIA SEXUAL</v>
      </c>
    </row>
    <row r="35" spans="1:25" s="67" customFormat="1" x14ac:dyDescent="0.2">
      <c r="A35" s="55">
        <v>34</v>
      </c>
      <c r="B35" s="56">
        <v>1086299698</v>
      </c>
      <c r="C35" s="56" t="s">
        <v>160</v>
      </c>
      <c r="D35" s="56" t="s">
        <v>161</v>
      </c>
      <c r="E35" s="56" t="s">
        <v>162</v>
      </c>
      <c r="F35" s="56" t="s">
        <v>163</v>
      </c>
      <c r="G35" s="56">
        <v>10</v>
      </c>
      <c r="H35" s="56" t="s">
        <v>56</v>
      </c>
      <c r="I35" s="57" t="s">
        <v>72</v>
      </c>
      <c r="J35" s="57"/>
      <c r="K35" s="59"/>
      <c r="L35" s="63"/>
      <c r="M35" s="56"/>
      <c r="N35" s="56" t="s">
        <v>57</v>
      </c>
      <c r="O35" s="56" t="s">
        <v>48</v>
      </c>
      <c r="P35" s="56" t="s">
        <v>24</v>
      </c>
      <c r="Q35" s="57">
        <v>32654</v>
      </c>
      <c r="R35" s="56" t="s">
        <v>49</v>
      </c>
      <c r="S35" s="64" t="s">
        <v>86</v>
      </c>
      <c r="T35" s="56">
        <v>3104154315</v>
      </c>
      <c r="U35" s="56" t="s">
        <v>164</v>
      </c>
      <c r="V35" s="65" t="e">
        <f>IF(P35=#REF!,"DIPLOMADO EN ATENCION PRE-HOSPITALARIA",IF(P35=#REF!,"ACOMPAÑAMIENTO Y MANEJO DEL DUELO",IF(P35=#REF!,"ATENCION A VICTIMAS DE ATAQUE CON AGENTES QUIMICOS ",IF(P35=#REF!,"PRIMEROS AUXILIOS ",IF(P35=#REF!,"DIPLOMADO DE UNIDAD DE CUIDADOS INTENSIVOS (UCI)",IF(P35=#REF!,"MODELO DE ATENCION PARA EVENTOS EMERGENTES EN SALUD MENTAL (CODIGO VERDE)",IF(P35=#REF!,"HUMANIZACION EN EL SERVICIO DE LA SALUD Y BUENAS PRACTICAS EN PACIENTE ",IF(P35=#REF!,"CLINICA DE HERIDAS ",IF(P35=#REF!,"TOMA DE CITOLOGIA CERVICO VAGINAL ",IF(P35=#REF!,"SOPORTE CARDIOVASCULAR AVANZADO (ACLS) ",IF(P35=#REF!,"CAMILLERO ",IF(P35=#REF!,"TOMA DE MUESTRAS Y LABORATORIO ",IF(P35=#REF!,"SOPORTE VITAL BASICO (BLS)",IF(P35=#REF!,"ATENCION A VICTIMAS DE VIOLENCIA SEXUAL ",IF(P35=#REF!,"PROGRAMADO AMPLIADO DE INMUNIZACION (PAI - COVID 19)",IF(P35=#REF!,"ATENCION INTEGRAL EN ENFERMEDADES PREVALENTES EN PRIMERA INFANCIA (AIEPI)",IF(P35=#REF!,"ADMINISTRACION DE MEDICAMENTOS, INYECTOLOGIA  Y CANALIZACION ",IF(P35=#REF!,"OPERADOR DE VEHICULOS DE EMERGENCIA (OVE)",IF(P35=#REF!,"INSTITUCIONES AMIGAS DE LA MUJER Y LA INFANCIA (IAMI)",IF(P35=#REF!,"CUIDADO DEL DONANTE DE ORGANOS",IF(P35=#REF!,"ATENCION A VICTIMAS POR VIOLENCIA DE GENERO",IF(P35=#REF!,"IGUALDAD DE GENERO EN LA SALUD",IF(P35=#REF!,"BRIGADA DE EMERGENCIA",IF(P35=#REF!,"MANEJO DEL DOLOR Y CUIDADOS PALIATIVOS",IF(P35=#REF!,"TOMA DE MUESTRAS Y LABORATORIO POCT",IF(P35=#REF!,"IMPLANTE SUBDERMICO DE DISPOSITIVO INTRAUTERINO",IF(P35=#REF!,"SALUD MENTAL",IF(P35=#REF!,"PRIMEROS AUXILIOS PSICOLOGICOS",IF(P35=#REF!,"ATENCION A VICTIMAS POR CONFLICTO ARMADO",IF(P35=#REF!,"MANIPULACION DE ALIMENTOS Y BPM",IF(P35=#REF!,"ATENCION A PERSONAS CON DISCAPACIDAD",IF(P35=#REF!,"CUIDADO INTEGRAL DEL PACIENTE ADULTO",IF(P35=#REF!,"MANEJO DEFENSIVO",IF(P35=#REF!,"SOPORTE CARDIOVASCULAR AVANZADO NEONATAL",IF(P35=#REF!,"SEGURIDAD DEL PACIENTE",IF(P35=#REF!,"MANEJO DE RESIDUOS HOSPITALARIOS"))))))))))))))))))))))))))))))))))))</f>
        <v>#REF!</v>
      </c>
      <c r="W35" s="65" t="str">
        <f t="shared" si="2"/>
        <v>Jenifer Julieth Collazos Portilla</v>
      </c>
      <c r="X35" s="65" t="str">
        <f t="shared" si="3"/>
        <v>Jenifer Julieth Collazos Portilla</v>
      </c>
      <c r="Y35" s="71" t="str">
        <f t="shared" si="4"/>
        <v>Jenifer Julieth Collazos Portilla-1086299698-ACLS</v>
      </c>
    </row>
    <row r="36" spans="1:25" s="67" customFormat="1" x14ac:dyDescent="0.2">
      <c r="A36" s="55">
        <v>35</v>
      </c>
      <c r="B36" s="56">
        <v>1086299698</v>
      </c>
      <c r="C36" s="56" t="s">
        <v>160</v>
      </c>
      <c r="D36" s="56" t="s">
        <v>161</v>
      </c>
      <c r="E36" s="56" t="s">
        <v>162</v>
      </c>
      <c r="F36" s="56" t="s">
        <v>163</v>
      </c>
      <c r="G36" s="56">
        <v>10</v>
      </c>
      <c r="H36" s="56" t="s">
        <v>56</v>
      </c>
      <c r="I36" s="57" t="s">
        <v>72</v>
      </c>
      <c r="J36" s="57"/>
      <c r="K36" s="59"/>
      <c r="L36" s="63"/>
      <c r="M36" s="56"/>
      <c r="N36" s="56" t="s">
        <v>57</v>
      </c>
      <c r="O36" s="56" t="s">
        <v>48</v>
      </c>
      <c r="P36" s="56" t="s">
        <v>19</v>
      </c>
      <c r="Q36" s="57">
        <v>32654</v>
      </c>
      <c r="R36" s="56" t="s">
        <v>49</v>
      </c>
      <c r="S36" s="64" t="s">
        <v>86</v>
      </c>
      <c r="T36" s="56">
        <v>3104154315</v>
      </c>
      <c r="U36" s="56" t="s">
        <v>164</v>
      </c>
      <c r="V36" s="58" t="e">
        <f>IF(P36=#REF!,"DIPLOMADO EN ATENCION PRE-HOSPITALARIA",IF(P36=#REF!,"ACOMPAÑAMIENTO Y MANEJO DEL DUELO",IF(P36=#REF!,"ATENCION A VICTIMAS DE ATAQUE CON AGENTES QUIMICOS ",IF(P36=#REF!,"PRIMEROS AUXILIOS ",IF(P36=#REF!,"DIPLOMADO DE UNIDAD DE CUIDADOS INTENSIVOS (UCI)",IF(P36=#REF!,"MODELO DE ATENCION PARA EVENTOS EMERGENTES EN SALUD MENTAL (CODIGO VERDE)",IF(P36=#REF!,"HUMANIZACION EN EL SERVICIO DE LA SALUD Y BUENAS PRACTICAS EN PACIENTE ",IF(P36=#REF!,"CLINICA DE HERIDAS ",IF(P36=#REF!,"TOMA DE CITOLOGIA CERVICO VAGINAL ",IF(P36=#REF!,"SOPORTE CARDIOVASCULAR AVANZADO (ACLS) ",IF(P36=#REF!,"CAMILLERO ",IF(P36=#REF!,"TOMA DE MUESTRAS Y LABORATORIO ",IF(P36=#REF!,"SOPORTE VITAL BASICO (BLS)",IF(P36=#REF!,"ATENCION A VICTIMAS DE VIOLENCIA SEXUAL ",IF(P36=#REF!,"PROGRAMADO AMPLIADO DE INMUNIZACION (PAI - COVID 19)",IF(P36=#REF!,"ATENCION INTEGRAL EN ENFERMEDADES PREVALENTES EN PRIMERA INFANCIA (AIEPI)",IF(P36=#REF!,"ADMINISTRACION DE MEDICAMENTOS, INYECTOLOGIA  Y CANALIZACION ",IF(P36=#REF!,"OPERADOR DE VEHICULOS DE EMERGENCIA (OVE)",IF(P36=#REF!,"INSTITUCIONES AMIGAS DE LA MUJER Y LA INFANCIA (IAMI)",IF(P36=#REF!,"CUIDADO DEL DONANTE DE ORGANOS",IF(P36=#REF!,"ATENCION A VICTIMAS POR VIOLENCIA DE GENERO",IF(P36=#REF!,"IGUALDAD DE GENERO EN LA SALUD",IF(P36=#REF!,"BRIGADA DE EMERGENCIA",IF(P36=#REF!,"MANEJO DEL DOLOR Y CUIDADOS PALIATIVOS",IF(P36=#REF!,"TOMA DE MUESTRAS Y LABORATORIO POCT",IF(P36=#REF!,"IMPLANTE SUBDERMICO DE DISPOSITIVO INTRAUTERINO",IF(P36=#REF!,"SALUD MENTAL",IF(P36=#REF!,"PRIMEROS AUXILIOS PSICOLOGICOS",IF(P36=#REF!,"ATENCION A VICTIMAS POR CONFLICTO ARMADO",IF(P36=#REF!,"MANIPULACION DE ALIMENTOS Y BPM",IF(P36=#REF!,"ATENCION A PERSONAS CON DISCAPACIDAD",IF(P36=#REF!,"CUIDADO INTEGRAL DEL PACIENTE ADULTO",IF(P36=#REF!,"MANEJO DEFENSIVO",IF(P36=#REF!,"SOPORTE CARDIOVASCULAR AVANZADO NEONATAL",IF(P36=#REF!,"SEGURIDAD DEL PACIENTE",IF(P36=#REF!,"MANEJO DE RESIDUOS HOSPITALARIOS"))))))))))))))))))))))))))))))))))))</f>
        <v>#REF!</v>
      </c>
      <c r="W36" s="58" t="str">
        <f t="shared" si="2"/>
        <v>Jenifer Julieth Collazos Portilla</v>
      </c>
      <c r="X36" s="58" t="str">
        <f t="shared" si="3"/>
        <v>Jenifer Julieth Collazos Portilla</v>
      </c>
      <c r="Y36" s="72" t="str">
        <f t="shared" si="4"/>
        <v>Jenifer Julieth Collazos Portilla-1086299698-BLS</v>
      </c>
    </row>
    <row r="37" spans="1:25" s="67" customFormat="1" x14ac:dyDescent="0.2">
      <c r="A37" s="55">
        <v>36</v>
      </c>
      <c r="B37" s="56">
        <v>1086299698</v>
      </c>
      <c r="C37" s="56" t="s">
        <v>160</v>
      </c>
      <c r="D37" s="56" t="s">
        <v>161</v>
      </c>
      <c r="E37" s="56" t="s">
        <v>162</v>
      </c>
      <c r="F37" s="56" t="s">
        <v>163</v>
      </c>
      <c r="G37" s="56">
        <v>8</v>
      </c>
      <c r="H37" s="56" t="s">
        <v>56</v>
      </c>
      <c r="I37" s="57" t="s">
        <v>72</v>
      </c>
      <c r="J37" s="57"/>
      <c r="K37" s="59"/>
      <c r="L37" s="63"/>
      <c r="M37" s="56"/>
      <c r="N37" s="56" t="s">
        <v>57</v>
      </c>
      <c r="O37" s="56" t="s">
        <v>48</v>
      </c>
      <c r="P37" s="56" t="s">
        <v>28</v>
      </c>
      <c r="Q37" s="57">
        <v>32654</v>
      </c>
      <c r="R37" s="56" t="s">
        <v>49</v>
      </c>
      <c r="S37" s="64" t="s">
        <v>86</v>
      </c>
      <c r="T37" s="56">
        <v>3104154315</v>
      </c>
      <c r="U37" s="56" t="s">
        <v>164</v>
      </c>
      <c r="V37" s="58" t="e">
        <f>IF(P37=#REF!,"DIPLOMADO EN ATENCION PRE-HOSPITALARIA",IF(P37=#REF!,"ACOMPAÑAMIENTO Y MANEJO DEL DUELO",IF(P37=#REF!,"ATENCION A VICTIMAS DE ATAQUE CON AGENTES QUIMICOS ",IF(P37=#REF!,"PRIMEROS AUXILIOS ",IF(P37=#REF!,"DIPLOMADO DE UNIDAD DE CUIDADOS INTENSIVOS (UCI)",IF(P37=#REF!,"MODELO DE ATENCION PARA EVENTOS EMERGENTES EN SALUD MENTAL (CODIGO VERDE)",IF(P37=#REF!,"HUMANIZACION EN EL SERVICIO DE LA SALUD Y BUENAS PRACTICAS EN PACIENTE ",IF(P37=#REF!,"CLINICA DE HERIDAS ",IF(P37=#REF!,"TOMA DE CITOLOGIA CERVICO VAGINAL ",IF(P37=#REF!,"SOPORTE CARDIOVASCULAR AVANZADO (ACLS) ",IF(P37=#REF!,"CAMILLERO ",IF(P37=#REF!,"TOMA DE MUESTRAS Y LABORATORIO ",IF(P37=#REF!,"SOPORTE VITAL BASICO (BLS)",IF(P37=#REF!,"ATENCION A VICTIMAS DE VIOLENCIA SEXUAL ",IF(P37=#REF!,"PROGRAMADO AMPLIADO DE INMUNIZACION (PAI - COVID 19)",IF(P37=#REF!,"ATENCION INTEGRAL EN ENFERMEDADES PREVALENTES EN PRIMERA INFANCIA (AIEPI)",IF(P37=#REF!,"ADMINISTRACION DE MEDICAMENTOS, INYECTOLOGIA  Y CANALIZACION ",IF(P37=#REF!,"OPERADOR DE VEHICULOS DE EMERGENCIA (OVE)",IF(P37=#REF!,"INSTITUCIONES AMIGAS DE LA MUJER Y LA INFANCIA (IAMI)",IF(P37=#REF!,"CUIDADO DEL DONANTE DE ORGANOS",IF(P37=#REF!,"ATENCION A VICTIMAS POR VIOLENCIA DE GENERO",IF(P37=#REF!,"IGUALDAD DE GENERO EN LA SALUD",IF(P37=#REF!,"BRIGADA DE EMERGENCIA",IF(P37=#REF!,"MANEJO DEL DOLOR Y CUIDADOS PALIATIVOS",IF(P37=#REF!,"TOMA DE MUESTRAS Y LABORATORIO POCT",IF(P37=#REF!,"IMPLANTE SUBDERMICO DE DISPOSITIVO INTRAUTERINO",IF(P37=#REF!,"SALUD MENTAL",IF(P37=#REF!,"PRIMEROS AUXILIOS PSICOLOGICOS",IF(P37=#REF!,"ATENCION A VICTIMAS POR CONFLICTO ARMADO",IF(P37=#REF!,"MANIPULACION DE ALIMENTOS Y BPM",IF(P37=#REF!,"ATENCION A PERSONAS CON DISCAPACIDAD",IF(P37=#REF!,"CUIDADO INTEGRAL DEL PACIENTE ADULTO",IF(P37=#REF!,"MANEJO DEFENSIVO",IF(P37=#REF!,"SOPORTE CARDIOVASCULAR AVANZADO NEONATAL",IF(P37=#REF!,"SEGURIDAD DEL PACIENTE",IF(P37=#REF!,"MANEJO DE RESIDUOS HOSPITALARIOS"))))))))))))))))))))))))))))))))))))</f>
        <v>#REF!</v>
      </c>
      <c r="W37" s="58" t="str">
        <f t="shared" si="2"/>
        <v>Jenifer Julieth Collazos Portilla</v>
      </c>
      <c r="X37" s="58" t="str">
        <f t="shared" si="3"/>
        <v>Jenifer Julieth Collazos Portilla</v>
      </c>
      <c r="Y37" s="72" t="str">
        <f t="shared" si="4"/>
        <v>Jenifer Julieth Collazos Portilla-1086299698-AIEPI</v>
      </c>
    </row>
    <row r="38" spans="1:25" s="67" customFormat="1" x14ac:dyDescent="0.2">
      <c r="A38" s="55">
        <v>37</v>
      </c>
      <c r="B38" s="56">
        <v>1086299698</v>
      </c>
      <c r="C38" s="56" t="s">
        <v>160</v>
      </c>
      <c r="D38" s="56" t="s">
        <v>161</v>
      </c>
      <c r="E38" s="56" t="s">
        <v>162</v>
      </c>
      <c r="F38" s="56" t="s">
        <v>163</v>
      </c>
      <c r="G38" s="56">
        <v>7</v>
      </c>
      <c r="H38" s="56" t="s">
        <v>56</v>
      </c>
      <c r="I38" s="57" t="s">
        <v>72</v>
      </c>
      <c r="J38" s="57"/>
      <c r="K38" s="59"/>
      <c r="L38" s="63"/>
      <c r="M38" s="56"/>
      <c r="N38" s="56" t="s">
        <v>57</v>
      </c>
      <c r="O38" s="56" t="s">
        <v>48</v>
      </c>
      <c r="P38" s="56" t="s">
        <v>31</v>
      </c>
      <c r="Q38" s="57">
        <v>32654</v>
      </c>
      <c r="R38" s="56" t="s">
        <v>49</v>
      </c>
      <c r="S38" s="64" t="s">
        <v>86</v>
      </c>
      <c r="T38" s="56">
        <v>3104154315</v>
      </c>
      <c r="U38" s="56" t="s">
        <v>164</v>
      </c>
      <c r="V38" s="66" t="e">
        <f>IF(P38=#REF!,"DIPLOMADO EN ATENCION PRE-HOSPITALARIA",IF(P38=#REF!,"ACOMPAÑAMIENTO Y MANEJO DEL DUELO",IF(P38=#REF!,"ATENCION A VICTIMAS DE ATAQUE CON AGENTES QUIMICOS ",IF(P38=#REF!,"PRIMEROS AUXILIOS ",IF(P38=#REF!,"DIPLOMADO DE UNIDAD DE CUIDADOS INTENSIVOS (UCI)",IF(P38=#REF!,"MODELO DE ATENCION PARA EVENTOS EMERGENTES EN SALUD MENTAL (CODIGO VERDE)",IF(P38=#REF!,"HUMANIZACION EN EL SERVICIO DE LA SALUD Y BUENAS PRACTICAS EN PACIENTE ",IF(P38=#REF!,"CLINICA DE HERIDAS ",IF(P38=#REF!,"TOMA DE CITOLOGIA CERVICO VAGINAL ",IF(P38=#REF!,"SOPORTE CARDIOVASCULAR AVANZADO (ACLS) ",IF(P38=#REF!,"CAMILLERO ",IF(P38=#REF!,"TOMA DE MUESTRAS Y LABORATORIO ",IF(P38=#REF!,"SOPORTE VITAL BASICO (BLS)",IF(P38=#REF!,"ATENCION A VICTIMAS DE VIOLENCIA SEXUAL ",IF(P38=#REF!,"PROGRAMADO AMPLIADO DE INMUNIZACION (PAI - COVID 19)",IF(P38=#REF!,"ATENCION INTEGRAL EN ENFERMEDADES PREVALENTES EN PRIMERA INFANCIA (AIEPI)",IF(P38=#REF!,"ADMINISTRACION DE MEDICAMENTOS, INYECTOLOGIA  Y CANALIZACION ",IF(P38=#REF!,"OPERADOR DE VEHICULOS DE EMERGENCIA (OVE)",IF(P38=#REF!,"INSTITUCIONES AMIGAS DE LA MUJER Y LA INFANCIA (IAMI)",IF(P38=#REF!,"CUIDADO DEL DONANTE DE ORGANOS",IF(P38=#REF!,"ATENCION A VICTIMAS POR VIOLENCIA DE GENERO",IF(P38=#REF!,"IGUALDAD DE GENERO EN LA SALUD",IF(P38=#REF!,"BRIGADA DE EMERGENCIA",IF(P38=#REF!,"MANEJO DEL DOLOR Y CUIDADOS PALIATIVOS",IF(P38=#REF!,"TOMA DE MUESTRAS Y LABORATORIO POCT",IF(P38=#REF!,"IMPLANTE SUBDERMICO DE DISPOSITIVO INTRAUTERINO",IF(P38=#REF!,"SALUD MENTAL",IF(P38=#REF!,"PRIMEROS AUXILIOS PSICOLOGICOS",IF(P38=#REF!,"ATENCION A VICTIMAS POR CONFLICTO ARMADO",IF(P38=#REF!,"MANIPULACION DE ALIMENTOS Y BPM",IF(P38=#REF!,"ATENCION A PERSONAS CON DISCAPACIDAD",IF(P38=#REF!,"CUIDADO INTEGRAL DEL PACIENTE ADULTO",IF(P38=#REF!,"MANEJO DEFENSIVO",IF(P38=#REF!,"SOPORTE CARDIOVASCULAR AVANZADO NEONATAL",IF(P38=#REF!,"SEGURIDAD DEL PACIENTE",IF(P38=#REF!,"MANEJO DE RESIDUOS HOSPITALARIOS"))))))))))))))))))))))))))))))))))))</f>
        <v>#REF!</v>
      </c>
      <c r="W38" s="66" t="str">
        <f t="shared" si="2"/>
        <v>Jenifer Julieth Collazos Portilla</v>
      </c>
      <c r="X38" s="66" t="str">
        <f t="shared" si="3"/>
        <v>Jenifer Julieth Collazos Portilla</v>
      </c>
      <c r="Y38" s="73" t="str">
        <f t="shared" si="4"/>
        <v>Jenifer Julieth Collazos Portilla-1086299698-IAMI</v>
      </c>
    </row>
    <row r="39" spans="1:25" x14ac:dyDescent="0.2">
      <c r="A39" s="19">
        <v>38</v>
      </c>
      <c r="B39" s="20">
        <v>1085337562</v>
      </c>
      <c r="C39" s="20" t="s">
        <v>165</v>
      </c>
      <c r="D39" s="20" t="s">
        <v>166</v>
      </c>
      <c r="E39" s="20" t="s">
        <v>167</v>
      </c>
      <c r="F39" s="20" t="s">
        <v>168</v>
      </c>
      <c r="G39" s="20">
        <v>11</v>
      </c>
      <c r="H39" s="20" t="s">
        <v>56</v>
      </c>
      <c r="I39" s="21" t="s">
        <v>47</v>
      </c>
      <c r="J39" s="21" t="s">
        <v>88</v>
      </c>
      <c r="K39" s="22" t="s">
        <v>195</v>
      </c>
      <c r="L39" s="23">
        <v>80000</v>
      </c>
      <c r="M39" s="20" t="s">
        <v>196</v>
      </c>
      <c r="N39" s="20" t="s">
        <v>57</v>
      </c>
      <c r="O39" s="20" t="s">
        <v>48</v>
      </c>
      <c r="P39" s="20" t="s">
        <v>26</v>
      </c>
      <c r="Q39" s="21">
        <v>35755</v>
      </c>
      <c r="R39" s="20" t="s">
        <v>49</v>
      </c>
      <c r="S39" s="20" t="s">
        <v>74</v>
      </c>
      <c r="T39" s="24">
        <v>3178141710</v>
      </c>
      <c r="U39" s="20" t="s">
        <v>169</v>
      </c>
      <c r="V39" s="25" t="e">
        <f>IF(P39=#REF!,"DIPLOMADO EN ATENCION PRE-HOSPITALARIA",IF(P39=#REF!,"ACOMPAÑAMIENTO Y MANEJO DEL DUELO",IF(P39=#REF!,"ATENCION A VICTIMAS DE ATAQUE CON AGENTES QUIMICOS ",IF(P39=#REF!,"PRIMEROS AUXILIOS ",IF(P39=#REF!,"DIPLOMADO DE UNIDAD DE CUIDADOS INTENSIVOS (UCI)",IF(P39=#REF!,"MODELO DE ATENCION PARA EVENTOS EMERGENTES EN SALUD MENTAL (CODIGO VERDE)",IF(P39=#REF!,"HUMANIZACION EN EL SERVICIO DE LA SALUD Y BUENAS PRACTICAS EN PACIENTE ",IF(P39=#REF!,"CLINICA DE HERIDAS ",IF(P39=#REF!,"TOMA DE CITOLOGIA CERVICO VAGINAL ",IF(P39=#REF!,"SOPORTE CARDIOVASCULAR AVANZADO (ACLS) ",IF(P39=#REF!,"CAMILLERO ",IF(P39=#REF!,"TOMA DE MUESTRAS Y LABORATORIO ",IF(P39=#REF!,"SOPORTE VITAL BASICO (BLS)",IF(P39=#REF!,"ATENCION A VICTIMAS DE VIOLENCIA SEXUAL ",IF(P39=#REF!,"PROGRAMADO AMPLIADO DE INMUNIZACION (PAI - COVID 19)",IF(P39=#REF!,"ATENCION INTEGRAL EN ENFERMEDADES PREVALENTES EN PRIMERA INFANCIA (AIEPI)",IF(P39=#REF!,"ADMINISTRACION DE MEDICAMENTOS, INYECTOLOGIA  Y CANALIZACION ",IF(P39=#REF!,"OPERADOR DE VEHICULOS DE EMERGENCIA (OVE)",IF(P39=#REF!,"INSTITUCIONES AMIGAS DE LA MUJER Y LA INFANCIA (IAMI)",IF(P39=#REF!,"CUIDADO DEL DONANTE DE ORGANOS",IF(P39=#REF!,"ATENCION A VICTIMAS POR VIOLENCIA DE GENERO",IF(P39=#REF!,"IGUALDAD DE GENERO EN LA SALUD",IF(P39=#REF!,"BRIGADA DE EMERGENCIA",IF(P39=#REF!,"MANEJO DEL DOLOR Y CUIDADOS PALIATIVOS",IF(P39=#REF!,"TOMA DE MUESTRAS Y LABORATORIO POCT",IF(P39=#REF!,"IMPLANTE SUBDERMICO DE DISPOSITIVO INTRAUTERINO",IF(P39=#REF!,"SALUD MENTAL",IF(P39=#REF!,"PRIMEROS AUXILIOS PSICOLOGICOS",IF(P39=#REF!,"ATENCION A VICTIMAS POR CONFLICTO ARMADO",IF(P39=#REF!,"MANIPULACION DE ALIMENTOS Y BPM",IF(P39=#REF!,"ATENCION A PERSONAS CON DISCAPACIDAD",IF(P39=#REF!,"CUIDADO INTEGRAL DEL PACIENTE ADULTO",IF(P39=#REF!,"MANEJO DEFENSIVO",IF(P39=#REF!,"SOPORTE CARDIOVASCULAR AVANZADO NEONATAL",IF(P39=#REF!,"SEGURIDAD DEL PACIENTE",IF(P39=#REF!,"MANEJO DE RESIDUOS HOSPITALARIOS"))))))))))))))))))))))))))))))))))))</f>
        <v>#REF!</v>
      </c>
      <c r="W39" s="25" t="str">
        <f t="shared" si="2"/>
        <v>Daniel Mauricio Timana Ramos</v>
      </c>
      <c r="X39" s="25" t="str">
        <f t="shared" si="3"/>
        <v>Daniel Mauricio Timana Ramos</v>
      </c>
      <c r="Y39" s="69" t="str">
        <f t="shared" si="4"/>
        <v>Daniel Mauricio Timana Ramos-1085337562-TOMA DE MUESTRAS</v>
      </c>
    </row>
    <row r="40" spans="1:25" x14ac:dyDescent="0.2">
      <c r="A40" s="19">
        <v>39</v>
      </c>
      <c r="B40" s="20">
        <v>1083752182</v>
      </c>
      <c r="C40" s="20" t="s">
        <v>170</v>
      </c>
      <c r="D40" s="20" t="s">
        <v>171</v>
      </c>
      <c r="E40" s="20" t="s">
        <v>67</v>
      </c>
      <c r="F40" s="20" t="s">
        <v>172</v>
      </c>
      <c r="G40" s="20">
        <v>11</v>
      </c>
      <c r="H40" s="20" t="s">
        <v>56</v>
      </c>
      <c r="I40" s="21" t="s">
        <v>47</v>
      </c>
      <c r="J40" s="21" t="s">
        <v>88</v>
      </c>
      <c r="K40" s="22">
        <v>45699</v>
      </c>
      <c r="L40" s="23">
        <v>70000</v>
      </c>
      <c r="M40" s="20" t="s">
        <v>141</v>
      </c>
      <c r="N40" s="20" t="s">
        <v>57</v>
      </c>
      <c r="O40" s="20" t="s">
        <v>48</v>
      </c>
      <c r="P40" s="20" t="s">
        <v>26</v>
      </c>
      <c r="Q40" s="21">
        <v>38164</v>
      </c>
      <c r="R40" s="20" t="s">
        <v>49</v>
      </c>
      <c r="S40" s="20" t="s">
        <v>74</v>
      </c>
      <c r="T40" s="24">
        <v>3015666980</v>
      </c>
      <c r="U40" s="24" t="s">
        <v>173</v>
      </c>
      <c r="V40" s="25" t="e">
        <f>IF(P40=#REF!,"DIPLOMADO EN ATENCION PRE-HOSPITALARIA",IF(P40=#REF!,"ACOMPAÑAMIENTO Y MANEJO DEL DUELO",IF(P40=#REF!,"ATENCION A VICTIMAS DE ATAQUE CON AGENTES QUIMICOS ",IF(P40=#REF!,"PRIMEROS AUXILIOS ",IF(P40=#REF!,"DIPLOMADO DE UNIDAD DE CUIDADOS INTENSIVOS (UCI)",IF(P40=#REF!,"MODELO DE ATENCION PARA EVENTOS EMERGENTES EN SALUD MENTAL (CODIGO VERDE)",IF(P40=#REF!,"HUMANIZACION EN EL SERVICIO DE LA SALUD Y BUENAS PRACTICAS EN PACIENTE ",IF(P40=#REF!,"CLINICA DE HERIDAS ",IF(P40=#REF!,"TOMA DE CITOLOGIA CERVICO VAGINAL ",IF(P40=#REF!,"SOPORTE CARDIOVASCULAR AVANZADO (ACLS) ",IF(P40=#REF!,"CAMILLERO ",IF(P40=#REF!,"TOMA DE MUESTRAS Y LABORATORIO ",IF(P40=#REF!,"SOPORTE VITAL BASICO (BLS)",IF(P40=#REF!,"ATENCION A VICTIMAS DE VIOLENCIA SEXUAL ",IF(P40=#REF!,"PROGRAMADO AMPLIADO DE INMUNIZACION (PAI - COVID 19)",IF(P40=#REF!,"ATENCION INTEGRAL EN ENFERMEDADES PREVALENTES EN PRIMERA INFANCIA (AIEPI)",IF(P40=#REF!,"ADMINISTRACION DE MEDICAMENTOS, INYECTOLOGIA  Y CANALIZACION ",IF(P40=#REF!,"OPERADOR DE VEHICULOS DE EMERGENCIA (OVE)",IF(P40=#REF!,"INSTITUCIONES AMIGAS DE LA MUJER Y LA INFANCIA (IAMI)",IF(P40=#REF!,"CUIDADO DEL DONANTE DE ORGANOS",IF(P40=#REF!,"ATENCION A VICTIMAS POR VIOLENCIA DE GENERO",IF(P40=#REF!,"IGUALDAD DE GENERO EN LA SALUD",IF(P40=#REF!,"BRIGADA DE EMERGENCIA",IF(P40=#REF!,"MANEJO DEL DOLOR Y CUIDADOS PALIATIVOS",IF(P40=#REF!,"TOMA DE MUESTRAS Y LABORATORIO POCT",IF(P40=#REF!,"IMPLANTE SUBDERMICO DE DISPOSITIVO INTRAUTERINO",IF(P40=#REF!,"SALUD MENTAL",IF(P40=#REF!,"PRIMEROS AUXILIOS PSICOLOGICOS",IF(P40=#REF!,"ATENCION A VICTIMAS POR CONFLICTO ARMADO",IF(P40=#REF!,"MANIPULACION DE ALIMENTOS Y BPM",IF(P40=#REF!,"ATENCION A PERSONAS CON DISCAPACIDAD",IF(P40=#REF!,"CUIDADO INTEGRAL DEL PACIENTE ADULTO",IF(P40=#REF!,"MANEJO DEFENSIVO",IF(P40=#REF!,"SOPORTE CARDIOVASCULAR AVANZADO NEONATAL",IF(P40=#REF!,"SEGURIDAD DEL PACIENTE",IF(P40=#REF!,"MANEJO DE RESIDUOS HOSPITALARIOS"))))))))))))))))))))))))))))))))))))</f>
        <v>#REF!</v>
      </c>
      <c r="W40" s="25" t="str">
        <f t="shared" si="2"/>
        <v>Yulieth Katherine Acosta Meneses</v>
      </c>
      <c r="X40" s="25" t="str">
        <f t="shared" si="3"/>
        <v>Yulieth Katherine Acosta Meneses</v>
      </c>
      <c r="Y40" s="69" t="str">
        <f t="shared" si="4"/>
        <v>Yulieth Katherine Acosta Meneses-1083752182-TOMA DE MUESTRAS</v>
      </c>
    </row>
    <row r="41" spans="1:25" x14ac:dyDescent="0.2">
      <c r="A41" s="19">
        <v>40</v>
      </c>
      <c r="B41" s="20">
        <v>98382500</v>
      </c>
      <c r="C41" s="20" t="s">
        <v>174</v>
      </c>
      <c r="D41" s="20" t="s">
        <v>175</v>
      </c>
      <c r="E41" s="20" t="s">
        <v>176</v>
      </c>
      <c r="F41" s="20" t="s">
        <v>124</v>
      </c>
      <c r="G41" s="20">
        <v>11</v>
      </c>
      <c r="H41" s="20" t="s">
        <v>56</v>
      </c>
      <c r="I41" s="21" t="s">
        <v>47</v>
      </c>
      <c r="J41" s="21" t="s">
        <v>197</v>
      </c>
      <c r="K41" s="22">
        <v>45699</v>
      </c>
      <c r="L41" s="23">
        <v>70000</v>
      </c>
      <c r="M41" s="20" t="s">
        <v>141</v>
      </c>
      <c r="N41" s="20" t="s">
        <v>57</v>
      </c>
      <c r="O41" s="20" t="s">
        <v>48</v>
      </c>
      <c r="P41" s="20" t="s">
        <v>26</v>
      </c>
      <c r="Q41" s="21">
        <v>25986</v>
      </c>
      <c r="R41" s="20" t="s">
        <v>85</v>
      </c>
      <c r="S41" s="24" t="s">
        <v>74</v>
      </c>
      <c r="T41" s="20">
        <v>3154785288</v>
      </c>
      <c r="U41" s="20" t="s">
        <v>177</v>
      </c>
      <c r="V41" s="25" t="e">
        <f>IF(P41=#REF!,"DIPLOMADO EN ATENCION PRE-HOSPITALARIA",IF(P41=#REF!,"ACOMPAÑAMIENTO Y MANEJO DEL DUELO",IF(P41=#REF!,"ATENCION A VICTIMAS DE ATAQUE CON AGENTES QUIMICOS ",IF(P41=#REF!,"PRIMEROS AUXILIOS ",IF(P41=#REF!,"DIPLOMADO DE UNIDAD DE CUIDADOS INTENSIVOS (UCI)",IF(P41=#REF!,"MODELO DE ATENCION PARA EVENTOS EMERGENTES EN SALUD MENTAL (CODIGO VERDE)",IF(P41=#REF!,"HUMANIZACION EN EL SERVICIO DE LA SALUD Y BUENAS PRACTICAS EN PACIENTE ",IF(P41=#REF!,"CLINICA DE HERIDAS ",IF(P41=#REF!,"TOMA DE CITOLOGIA CERVICO VAGINAL ",IF(P41=#REF!,"SOPORTE CARDIOVASCULAR AVANZADO (ACLS) ",IF(P41=#REF!,"CAMILLERO ",IF(P41=#REF!,"TOMA DE MUESTRAS Y LABORATORIO ",IF(P41=#REF!,"SOPORTE VITAL BASICO (BLS)",IF(P41=#REF!,"ATENCION A VICTIMAS DE VIOLENCIA SEXUAL ",IF(P41=#REF!,"PROGRAMADO AMPLIADO DE INMUNIZACION (PAI - COVID 19)",IF(P41=#REF!,"ATENCION INTEGRAL EN ENFERMEDADES PREVALENTES EN PRIMERA INFANCIA (AIEPI)",IF(P41=#REF!,"ADMINISTRACION DE MEDICAMENTOS, INYECTOLOGIA  Y CANALIZACION ",IF(P41=#REF!,"OPERADOR DE VEHICULOS DE EMERGENCIA (OVE)",IF(P41=#REF!,"INSTITUCIONES AMIGAS DE LA MUJER Y LA INFANCIA (IAMI)",IF(P41=#REF!,"CUIDADO DEL DONANTE DE ORGANOS",IF(P41=#REF!,"ATENCION A VICTIMAS POR VIOLENCIA DE GENERO",IF(P41=#REF!,"IGUALDAD DE GENERO EN LA SALUD",IF(P41=#REF!,"BRIGADA DE EMERGENCIA",IF(P41=#REF!,"MANEJO DEL DOLOR Y CUIDADOS PALIATIVOS",IF(P41=#REF!,"TOMA DE MUESTRAS Y LABORATORIO POCT",IF(P41=#REF!,"IMPLANTE SUBDERMICO DE DISPOSITIVO INTRAUTERINO",IF(P41=#REF!,"SALUD MENTAL",IF(P41=#REF!,"PRIMEROS AUXILIOS PSICOLOGICOS",IF(P41=#REF!,"ATENCION A VICTIMAS POR CONFLICTO ARMADO",IF(P41=#REF!,"MANIPULACION DE ALIMENTOS Y BPM",IF(P41=#REF!,"ATENCION A PERSONAS CON DISCAPACIDAD",IF(P41=#REF!,"CUIDADO INTEGRAL DEL PACIENTE ADULTO",IF(P41=#REF!,"MANEJO DEFENSIVO",IF(P41=#REF!,"SOPORTE CARDIOVASCULAR AVANZADO NEONATAL",IF(P41=#REF!,"SEGURIDAD DEL PACIENTE",IF(P41=#REF!,"MANEJO DE RESIDUOS HOSPITALARIOS"))))))))))))))))))))))))))))))))))))</f>
        <v>#REF!</v>
      </c>
      <c r="W41" s="25" t="str">
        <f t="shared" si="2"/>
        <v>Jose Javier Pinta Yaqueno</v>
      </c>
      <c r="X41" s="25" t="str">
        <f t="shared" si="3"/>
        <v>Jose Javier Pinta Yaqueno</v>
      </c>
      <c r="Y41" s="69" t="str">
        <f t="shared" si="4"/>
        <v>Jose Javier Pinta Yaqueno-98382500-TOMA DE MUESTRAS</v>
      </c>
    </row>
    <row r="42" spans="1:25" x14ac:dyDescent="0.2">
      <c r="A42" s="19">
        <v>41</v>
      </c>
      <c r="B42" s="20">
        <v>37120661</v>
      </c>
      <c r="C42" s="20" t="s">
        <v>178</v>
      </c>
      <c r="D42" s="20" t="s">
        <v>179</v>
      </c>
      <c r="E42" s="20" t="s">
        <v>180</v>
      </c>
      <c r="F42" s="20" t="s">
        <v>181</v>
      </c>
      <c r="G42" s="20">
        <v>12</v>
      </c>
      <c r="H42" s="20" t="s">
        <v>56</v>
      </c>
      <c r="I42" s="21" t="s">
        <v>47</v>
      </c>
      <c r="J42" s="21" t="s">
        <v>147</v>
      </c>
      <c r="K42" s="22">
        <v>45700</v>
      </c>
      <c r="L42" s="23">
        <v>70000</v>
      </c>
      <c r="M42" s="20" t="s">
        <v>61</v>
      </c>
      <c r="N42" s="20" t="s">
        <v>57</v>
      </c>
      <c r="O42" s="20" t="s">
        <v>48</v>
      </c>
      <c r="P42" s="20" t="s">
        <v>21</v>
      </c>
      <c r="Q42" s="21">
        <v>28827</v>
      </c>
      <c r="R42" s="20" t="s">
        <v>49</v>
      </c>
      <c r="S42" s="24" t="s">
        <v>182</v>
      </c>
      <c r="T42" s="20">
        <v>3165186891</v>
      </c>
      <c r="U42" s="20" t="s">
        <v>183</v>
      </c>
      <c r="V42" s="25" t="e">
        <f>IF(P42=#REF!,"DIPLOMADO EN ATENCION PRE-HOSPITALARIA",IF(P42=#REF!,"ACOMPAÑAMIENTO Y MANEJO DEL DUELO",IF(P42=#REF!,"ATENCION A VICTIMAS DE ATAQUE CON AGENTES QUIMICOS ",IF(P42=#REF!,"PRIMEROS AUXILIOS ",IF(P42=#REF!,"DIPLOMADO DE UNIDAD DE CUIDADOS INTENSIVOS (UCI)",IF(P42=#REF!,"MODELO DE ATENCION PARA EVENTOS EMERGENTES EN SALUD MENTAL (CODIGO VERDE)",IF(P42=#REF!,"HUMANIZACION EN EL SERVICIO DE LA SALUD Y BUENAS PRACTICAS EN PACIENTE ",IF(P42=#REF!,"CLINICA DE HERIDAS ",IF(P42=#REF!,"TOMA DE CITOLOGIA CERVICO VAGINAL ",IF(P42=#REF!,"SOPORTE CARDIOVASCULAR AVANZADO (ACLS) ",IF(P42=#REF!,"CAMILLERO ",IF(P42=#REF!,"TOMA DE MUESTRAS Y LABORATORIO ",IF(P42=#REF!,"SOPORTE VITAL BASICO (BLS)",IF(P42=#REF!,"ATENCION A VICTIMAS DE VIOLENCIA SEXUAL ",IF(P42=#REF!,"PROGRAMADO AMPLIADO DE INMUNIZACION (PAI - COVID 19)",IF(P42=#REF!,"ATENCION INTEGRAL EN ENFERMEDADES PREVALENTES EN PRIMERA INFANCIA (AIEPI)",IF(P42=#REF!,"ADMINISTRACION DE MEDICAMENTOS, INYECTOLOGIA  Y CANALIZACION ",IF(P42=#REF!,"OPERADOR DE VEHICULOS DE EMERGENCIA (OVE)",IF(P42=#REF!,"INSTITUCIONES AMIGAS DE LA MUJER Y LA INFANCIA (IAMI)",IF(P42=#REF!,"CUIDADO DEL DONANTE DE ORGANOS",IF(P42=#REF!,"ATENCION A VICTIMAS POR VIOLENCIA DE GENERO",IF(P42=#REF!,"IGUALDAD DE GENERO EN LA SALUD",IF(P42=#REF!,"BRIGADA DE EMERGENCIA",IF(P42=#REF!,"MANEJO DEL DOLOR Y CUIDADOS PALIATIVOS",IF(P42=#REF!,"TOMA DE MUESTRAS Y LABORATORIO POCT",IF(P42=#REF!,"IMPLANTE SUBDERMICO DE DISPOSITIVO INTRAUTERINO",IF(P42=#REF!,"SALUD MENTAL",IF(P42=#REF!,"PRIMEROS AUXILIOS PSICOLOGICOS",IF(P42=#REF!,"ATENCION A VICTIMAS POR CONFLICTO ARMADO",IF(P42=#REF!,"MANIPULACION DE ALIMENTOS Y BPM",IF(P42=#REF!,"ATENCION A PERSONAS CON DISCAPACIDAD",IF(P42=#REF!,"CUIDADO INTEGRAL DEL PACIENTE ADULTO",IF(P42=#REF!,"MANEJO DEFENSIVO",IF(P42=#REF!,"SOPORTE CARDIOVASCULAR AVANZADO NEONATAL",IF(P42=#REF!,"SEGURIDAD DEL PACIENTE",IF(P42=#REF!,"MANEJO DE RESIDUOS HOSPITALARIOS"))))))))))))))))))))))))))))))))))))</f>
        <v>#REF!</v>
      </c>
      <c r="W42" s="25" t="str">
        <f t="shared" si="2"/>
        <v>Anna Del Rocio Cuasquer Oviedo</v>
      </c>
      <c r="X42" s="25" t="str">
        <f t="shared" si="3"/>
        <v>Anna Del Rocio Cuasquer Oviedo</v>
      </c>
      <c r="Y42" s="69" t="str">
        <f t="shared" si="4"/>
        <v>Anna Del Rocio Cuasquer Oviedo-37120661-QUIMICOS</v>
      </c>
    </row>
    <row r="43" spans="1:25" x14ac:dyDescent="0.2">
      <c r="A43" s="19">
        <v>42</v>
      </c>
      <c r="B43" s="20">
        <v>37120661</v>
      </c>
      <c r="C43" s="20" t="s">
        <v>178</v>
      </c>
      <c r="D43" s="20" t="s">
        <v>179</v>
      </c>
      <c r="E43" s="20" t="s">
        <v>180</v>
      </c>
      <c r="F43" s="20" t="s">
        <v>181</v>
      </c>
      <c r="G43" s="20">
        <v>12</v>
      </c>
      <c r="H43" s="20" t="s">
        <v>56</v>
      </c>
      <c r="I43" s="21" t="s">
        <v>72</v>
      </c>
      <c r="J43" s="21" t="s">
        <v>147</v>
      </c>
      <c r="K43" s="22">
        <v>45700</v>
      </c>
      <c r="L43" s="23">
        <v>30000</v>
      </c>
      <c r="M43" s="20" t="s">
        <v>61</v>
      </c>
      <c r="N43" s="20" t="s">
        <v>57</v>
      </c>
      <c r="O43" s="20" t="s">
        <v>48</v>
      </c>
      <c r="P43" s="20" t="s">
        <v>19</v>
      </c>
      <c r="Q43" s="21">
        <v>28827</v>
      </c>
      <c r="R43" s="20" t="s">
        <v>49</v>
      </c>
      <c r="S43" s="24" t="s">
        <v>182</v>
      </c>
      <c r="T43" s="20">
        <v>3165186891</v>
      </c>
      <c r="U43" s="20" t="s">
        <v>183</v>
      </c>
      <c r="V43" s="25" t="e">
        <f>IF(P43=#REF!,"DIPLOMADO EN ATENCION PRE-HOSPITALARIA",IF(P43=#REF!,"ACOMPAÑAMIENTO Y MANEJO DEL DUELO",IF(P43=#REF!,"ATENCION A VICTIMAS DE ATAQUE CON AGENTES QUIMICOS ",IF(P43=#REF!,"PRIMEROS AUXILIOS ",IF(P43=#REF!,"DIPLOMADO DE UNIDAD DE CUIDADOS INTENSIVOS (UCI)",IF(P43=#REF!,"MODELO DE ATENCION PARA EVENTOS EMERGENTES EN SALUD MENTAL (CODIGO VERDE)",IF(P43=#REF!,"HUMANIZACION EN EL SERVICIO DE LA SALUD Y BUENAS PRACTICAS EN PACIENTE ",IF(P43=#REF!,"CLINICA DE HERIDAS ",IF(P43=#REF!,"TOMA DE CITOLOGIA CERVICO VAGINAL ",IF(P43=#REF!,"SOPORTE CARDIOVASCULAR AVANZADO (ACLS) ",IF(P43=#REF!,"CAMILLERO ",IF(P43=#REF!,"TOMA DE MUESTRAS Y LABORATORIO ",IF(P43=#REF!,"SOPORTE VITAL BASICO (BLS)",IF(P43=#REF!,"ATENCION A VICTIMAS DE VIOLENCIA SEXUAL ",IF(P43=#REF!,"PROGRAMADO AMPLIADO DE INMUNIZACION (PAI - COVID 19)",IF(P43=#REF!,"ATENCION INTEGRAL EN ENFERMEDADES PREVALENTES EN PRIMERA INFANCIA (AIEPI)",IF(P43=#REF!,"ADMINISTRACION DE MEDICAMENTOS, INYECTOLOGIA  Y CANALIZACION ",IF(P43=#REF!,"OPERADOR DE VEHICULOS DE EMERGENCIA (OVE)",IF(P43=#REF!,"INSTITUCIONES AMIGAS DE LA MUJER Y LA INFANCIA (IAMI)",IF(P43=#REF!,"CUIDADO DEL DONANTE DE ORGANOS",IF(P43=#REF!,"ATENCION A VICTIMAS POR VIOLENCIA DE GENERO",IF(P43=#REF!,"IGUALDAD DE GENERO EN LA SALUD",IF(P43=#REF!,"BRIGADA DE EMERGENCIA",IF(P43=#REF!,"MANEJO DEL DOLOR Y CUIDADOS PALIATIVOS",IF(P43=#REF!,"TOMA DE MUESTRAS Y LABORATORIO POCT",IF(P43=#REF!,"IMPLANTE SUBDERMICO DE DISPOSITIVO INTRAUTERINO",IF(P43=#REF!,"SALUD MENTAL",IF(P43=#REF!,"PRIMEROS AUXILIOS PSICOLOGICOS",IF(P43=#REF!,"ATENCION A VICTIMAS POR CONFLICTO ARMADO",IF(P43=#REF!,"MANIPULACION DE ALIMENTOS Y BPM",IF(P43=#REF!,"ATENCION A PERSONAS CON DISCAPACIDAD",IF(P43=#REF!,"CUIDADO INTEGRAL DEL PACIENTE ADULTO",IF(P43=#REF!,"MANEJO DEFENSIVO",IF(P43=#REF!,"SOPORTE CARDIOVASCULAR AVANZADO NEONATAL",IF(P43=#REF!,"SEGURIDAD DEL PACIENTE",IF(P43=#REF!,"MANEJO DE RESIDUOS HOSPITALARIOS"))))))))))))))))))))))))))))))))))))</f>
        <v>#REF!</v>
      </c>
      <c r="W43" s="25" t="str">
        <f t="shared" si="2"/>
        <v>Anna Del Rocio Cuasquer Oviedo</v>
      </c>
      <c r="X43" s="25" t="str">
        <f t="shared" si="3"/>
        <v>Anna Del Rocio Cuasquer Oviedo</v>
      </c>
      <c r="Y43" s="69" t="str">
        <f t="shared" si="4"/>
        <v>Anna Del Rocio Cuasquer Oviedo-37120661-BLS</v>
      </c>
    </row>
    <row r="44" spans="1:25" x14ac:dyDescent="0.2">
      <c r="A44" s="19">
        <v>43</v>
      </c>
      <c r="B44" s="20">
        <v>37120661</v>
      </c>
      <c r="C44" s="20" t="s">
        <v>178</v>
      </c>
      <c r="D44" s="20" t="s">
        <v>179</v>
      </c>
      <c r="E44" s="20" t="s">
        <v>180</v>
      </c>
      <c r="F44" s="20" t="s">
        <v>181</v>
      </c>
      <c r="G44" s="20">
        <v>12</v>
      </c>
      <c r="H44" s="20" t="s">
        <v>56</v>
      </c>
      <c r="I44" s="21" t="s">
        <v>72</v>
      </c>
      <c r="J44" s="21" t="s">
        <v>147</v>
      </c>
      <c r="K44" s="22">
        <v>45700</v>
      </c>
      <c r="L44" s="23">
        <v>30000</v>
      </c>
      <c r="M44" s="20" t="s">
        <v>61</v>
      </c>
      <c r="N44" s="20" t="s">
        <v>57</v>
      </c>
      <c r="O44" s="20" t="s">
        <v>48</v>
      </c>
      <c r="P44" s="20" t="s">
        <v>27</v>
      </c>
      <c r="Q44" s="21">
        <v>28827</v>
      </c>
      <c r="R44" s="20" t="s">
        <v>49</v>
      </c>
      <c r="S44" s="24" t="s">
        <v>182</v>
      </c>
      <c r="T44" s="20">
        <v>3165186891</v>
      </c>
      <c r="U44" s="20" t="s">
        <v>183</v>
      </c>
      <c r="V44" s="25" t="e">
        <f>IF(P44=#REF!,"DIPLOMADO EN ATENCION PRE-HOSPITALARIA",IF(P44=#REF!,"ACOMPAÑAMIENTO Y MANEJO DEL DUELO",IF(P44=#REF!,"ATENCION A VICTIMAS DE ATAQUE CON AGENTES QUIMICOS ",IF(P44=#REF!,"PRIMEROS AUXILIOS ",IF(P44=#REF!,"DIPLOMADO DE UNIDAD DE CUIDADOS INTENSIVOS (UCI)",IF(P44=#REF!,"MODELO DE ATENCION PARA EVENTOS EMERGENTES EN SALUD MENTAL (CODIGO VERDE)",IF(P44=#REF!,"HUMANIZACION EN EL SERVICIO DE LA SALUD Y BUENAS PRACTICAS EN PACIENTE ",IF(P44=#REF!,"CLINICA DE HERIDAS ",IF(P44=#REF!,"TOMA DE CITOLOGIA CERVICO VAGINAL ",IF(P44=#REF!,"SOPORTE CARDIOVASCULAR AVANZADO (ACLS) ",IF(P44=#REF!,"CAMILLERO ",IF(P44=#REF!,"TOMA DE MUESTRAS Y LABORATORIO ",IF(P44=#REF!,"SOPORTE VITAL BASICO (BLS)",IF(P44=#REF!,"ATENCION A VICTIMAS DE VIOLENCIA SEXUAL ",IF(P44=#REF!,"PROGRAMADO AMPLIADO DE INMUNIZACION (PAI - COVID 19)",IF(P44=#REF!,"ATENCION INTEGRAL EN ENFERMEDADES PREVALENTES EN PRIMERA INFANCIA (AIEPI)",IF(P44=#REF!,"ADMINISTRACION DE MEDICAMENTOS, INYECTOLOGIA  Y CANALIZACION ",IF(P44=#REF!,"OPERADOR DE VEHICULOS DE EMERGENCIA (OVE)",IF(P44=#REF!,"INSTITUCIONES AMIGAS DE LA MUJER Y LA INFANCIA (IAMI)",IF(P44=#REF!,"CUIDADO DEL DONANTE DE ORGANOS",IF(P44=#REF!,"ATENCION A VICTIMAS POR VIOLENCIA DE GENERO",IF(P44=#REF!,"IGUALDAD DE GENERO EN LA SALUD",IF(P44=#REF!,"BRIGADA DE EMERGENCIA",IF(P44=#REF!,"MANEJO DEL DOLOR Y CUIDADOS PALIATIVOS",IF(P44=#REF!,"TOMA DE MUESTRAS Y LABORATORIO POCT",IF(P44=#REF!,"IMPLANTE SUBDERMICO DE DISPOSITIVO INTRAUTERINO",IF(P44=#REF!,"SALUD MENTAL",IF(P44=#REF!,"PRIMEROS AUXILIOS PSICOLOGICOS",IF(P44=#REF!,"ATENCION A VICTIMAS POR CONFLICTO ARMADO",IF(P44=#REF!,"MANIPULACION DE ALIMENTOS Y BPM",IF(P44=#REF!,"ATENCION A PERSONAS CON DISCAPACIDAD",IF(P44=#REF!,"CUIDADO INTEGRAL DEL PACIENTE ADULTO",IF(P44=#REF!,"MANEJO DEFENSIVO",IF(P44=#REF!,"SOPORTE CARDIOVASCULAR AVANZADO NEONATAL",IF(P44=#REF!,"SEGURIDAD DEL PACIENTE",IF(P44=#REF!,"MANEJO DE RESIDUOS HOSPITALARIOS"))))))))))))))))))))))))))))))))))))</f>
        <v>#REF!</v>
      </c>
      <c r="W44" s="25" t="str">
        <f t="shared" si="2"/>
        <v>Anna Del Rocio Cuasquer Oviedo</v>
      </c>
      <c r="X44" s="25" t="str">
        <f t="shared" si="3"/>
        <v>Anna Del Rocio Cuasquer Oviedo</v>
      </c>
      <c r="Y44" s="69" t="str">
        <f t="shared" si="4"/>
        <v>Anna Del Rocio Cuasquer Oviedo-37120661-VIOLENCIA SEXUAL</v>
      </c>
    </row>
    <row r="45" spans="1:25" x14ac:dyDescent="0.2">
      <c r="A45" s="19">
        <v>44</v>
      </c>
      <c r="B45" s="20">
        <v>86055735</v>
      </c>
      <c r="C45" s="20" t="s">
        <v>184</v>
      </c>
      <c r="D45" s="20" t="s">
        <v>185</v>
      </c>
      <c r="E45" s="20" t="s">
        <v>186</v>
      </c>
      <c r="F45" s="20" t="s">
        <v>187</v>
      </c>
      <c r="G45" s="20">
        <v>3</v>
      </c>
      <c r="H45" s="20" t="s">
        <v>56</v>
      </c>
      <c r="I45" s="21" t="s">
        <v>72</v>
      </c>
      <c r="J45" s="21"/>
      <c r="K45" s="22">
        <v>45700</v>
      </c>
      <c r="L45" s="23">
        <v>40000</v>
      </c>
      <c r="M45" s="20" t="s">
        <v>61</v>
      </c>
      <c r="N45" s="20" t="s">
        <v>57</v>
      </c>
      <c r="O45" s="20" t="s">
        <v>48</v>
      </c>
      <c r="P45" s="20" t="s">
        <v>33</v>
      </c>
      <c r="Q45" s="21">
        <v>28441</v>
      </c>
      <c r="R45" s="20" t="s">
        <v>85</v>
      </c>
      <c r="S45" s="24" t="s">
        <v>86</v>
      </c>
      <c r="T45" s="20">
        <v>3113354870</v>
      </c>
      <c r="U45" s="20" t="s">
        <v>188</v>
      </c>
      <c r="V45" s="25" t="e">
        <f>IF(P45=#REF!,"DIPLOMADO EN ATENCION PRE-HOSPITALARIA",IF(P45=#REF!,"ACOMPAÑAMIENTO Y MANEJO DEL DUELO",IF(P45=#REF!,"ATENCION A VICTIMAS DE ATAQUE CON AGENTES QUIMICOS ",IF(P45=#REF!,"PRIMEROS AUXILIOS ",IF(P45=#REF!,"DIPLOMADO DE UNIDAD DE CUIDADOS INTENSIVOS (UCI)",IF(P45=#REF!,"MODELO DE ATENCION PARA EVENTOS EMERGENTES EN SALUD MENTAL (CODIGO VERDE)",IF(P45=#REF!,"HUMANIZACION EN EL SERVICIO DE LA SALUD Y BUENAS PRACTICAS EN PACIENTE ",IF(P45=#REF!,"CLINICA DE HERIDAS ",IF(P45=#REF!,"TOMA DE CITOLOGIA CERVICO VAGINAL ",IF(P45=#REF!,"SOPORTE CARDIOVASCULAR AVANZADO (ACLS) ",IF(P45=#REF!,"CAMILLERO ",IF(P45=#REF!,"TOMA DE MUESTRAS Y LABORATORIO ",IF(P45=#REF!,"SOPORTE VITAL BASICO (BLS)",IF(P45=#REF!,"ATENCION A VICTIMAS DE VIOLENCIA SEXUAL ",IF(P45=#REF!,"PROGRAMADO AMPLIADO DE INMUNIZACION (PAI - COVID 19)",IF(P45=#REF!,"ATENCION INTEGRAL EN ENFERMEDADES PREVALENTES EN PRIMERA INFANCIA (AIEPI)",IF(P45=#REF!,"ADMINISTRACION DE MEDICAMENTOS, INYECTOLOGIA  Y CANALIZACION ",IF(P45=#REF!,"OPERADOR DE VEHICULOS DE EMERGENCIA (OVE)",IF(P45=#REF!,"INSTITUCIONES AMIGAS DE LA MUJER Y LA INFANCIA (IAMI)",IF(P45=#REF!,"CUIDADO DEL DONANTE DE ORGANOS",IF(P45=#REF!,"ATENCION A VICTIMAS POR VIOLENCIA DE GENERO",IF(P45=#REF!,"IGUALDAD DE GENERO EN LA SALUD",IF(P45=#REF!,"BRIGADA DE EMERGENCIA",IF(P45=#REF!,"MANEJO DEL DOLOR Y CUIDADOS PALIATIVOS",IF(P45=#REF!,"TOMA DE MUESTRAS Y LABORATORIO POCT",IF(P45=#REF!,"IMPLANTE SUBDERMICO DE DISPOSITIVO INTRAUTERINO",IF(P45=#REF!,"SALUD MENTAL",IF(P45=#REF!,"PRIMEROS AUXILIOS PSICOLOGICOS",IF(P45=#REF!,"ATENCION A VICTIMAS POR CONFLICTO ARMADO",IF(P45=#REF!,"MANIPULACION DE ALIMENTOS Y BPM",IF(P45=#REF!,"ATENCION A PERSONAS CON DISCAPACIDAD",IF(P45=#REF!,"CUIDADO INTEGRAL DEL PACIENTE ADULTO",IF(P45=#REF!,"MANEJO DEFENSIVO",IF(P45=#REF!,"SOPORTE CARDIOVASCULAR AVANZADO NEONATAL",IF(P45=#REF!,"SEGURIDAD DEL PACIENTE",IF(P45=#REF!,"MANEJO DE RESIDUOS HOSPITALARIOS"))))))))))))))))))))))))))))))))))))</f>
        <v>#REF!</v>
      </c>
      <c r="W45" s="25" t="str">
        <f t="shared" si="2"/>
        <v>Gabriel Andrés Montenegro Rubio</v>
      </c>
      <c r="X45" s="25" t="str">
        <f t="shared" si="3"/>
        <v>Gabriel Andrés Montenegro Rubio</v>
      </c>
      <c r="Y45" s="69" t="str">
        <f t="shared" si="4"/>
        <v>Gabriel Andrés Montenegro Rubio-86055735-PALIATIVOS</v>
      </c>
    </row>
    <row r="46" spans="1:25" x14ac:dyDescent="0.2">
      <c r="A46" s="28">
        <v>45</v>
      </c>
      <c r="B46" s="20">
        <v>1087406789</v>
      </c>
      <c r="C46" s="20" t="s">
        <v>189</v>
      </c>
      <c r="D46" s="20" t="s">
        <v>190</v>
      </c>
      <c r="E46" s="20" t="s">
        <v>191</v>
      </c>
      <c r="F46" s="20" t="s">
        <v>192</v>
      </c>
      <c r="G46" s="20">
        <v>12</v>
      </c>
      <c r="H46" s="20" t="s">
        <v>56</v>
      </c>
      <c r="I46" s="21" t="s">
        <v>72</v>
      </c>
      <c r="J46" s="21" t="s">
        <v>88</v>
      </c>
      <c r="K46" s="22">
        <v>45700</v>
      </c>
      <c r="L46" s="23">
        <v>40000</v>
      </c>
      <c r="M46" s="20" t="s">
        <v>90</v>
      </c>
      <c r="N46" s="20" t="s">
        <v>57</v>
      </c>
      <c r="O46" s="20" t="s">
        <v>48</v>
      </c>
      <c r="P46" s="20" t="s">
        <v>19</v>
      </c>
      <c r="Q46" s="21">
        <v>38092</v>
      </c>
      <c r="R46" s="20" t="s">
        <v>49</v>
      </c>
      <c r="S46" s="39" t="s">
        <v>193</v>
      </c>
      <c r="T46" s="20">
        <v>3165581716</v>
      </c>
      <c r="U46" s="20" t="s">
        <v>194</v>
      </c>
      <c r="V46" s="25" t="e">
        <f>IF(P46=#REF!,"DIPLOMADO EN ATENCION PRE-HOSPITALARIA",IF(P46=#REF!,"ACOMPAÑAMIENTO Y MANEJO DEL DUELO",IF(P46=#REF!,"ATENCION A VICTIMAS DE ATAQUE CON AGENTES QUIMICOS ",IF(P46=#REF!,"PRIMEROS AUXILIOS ",IF(P46=#REF!,"DIPLOMADO DE UNIDAD DE CUIDADOS INTENSIVOS (UCI)",IF(P46=#REF!,"MODELO DE ATENCION PARA EVENTOS EMERGENTES EN SALUD MENTAL (CODIGO VERDE)",IF(P46=#REF!,"HUMANIZACION EN EL SERVICIO DE LA SALUD Y BUENAS PRACTICAS EN PACIENTE ",IF(P46=#REF!,"CLINICA DE HERIDAS ",IF(P46=#REF!,"TOMA DE CITOLOGIA CERVICO VAGINAL ",IF(P46=#REF!,"SOPORTE CARDIOVASCULAR AVANZADO (ACLS) ",IF(P46=#REF!,"CAMILLERO ",IF(P46=#REF!,"TOMA DE MUESTRAS Y LABORATORIO ",IF(P46=#REF!,"SOPORTE VITAL BASICO (BLS)",IF(P46=#REF!,"ATENCION A VICTIMAS DE VIOLENCIA SEXUAL ",IF(P46=#REF!,"PROGRAMADO AMPLIADO DE INMUNIZACION (PAI - COVID 19)",IF(P46=#REF!,"ATENCION INTEGRAL EN ENFERMEDADES PREVALENTES EN PRIMERA INFANCIA (AIEPI)",IF(P46=#REF!,"ADMINISTRACION DE MEDICAMENTOS, INYECTOLOGIA  Y CANALIZACION ",IF(P46=#REF!,"OPERADOR DE VEHICULOS DE EMERGENCIA (OVE)",IF(P46=#REF!,"INSTITUCIONES AMIGAS DE LA MUJER Y LA INFANCIA (IAMI)",IF(P46=#REF!,"CUIDADO DEL DONANTE DE ORGANOS",IF(P46=#REF!,"ATENCION A VICTIMAS POR VIOLENCIA DE GENERO",IF(P46=#REF!,"IGUALDAD DE GENERO EN LA SALUD",IF(P46=#REF!,"BRIGADA DE EMERGENCIA",IF(P46=#REF!,"MANEJO DEL DOLOR Y CUIDADOS PALIATIVOS",IF(P46=#REF!,"TOMA DE MUESTRAS Y LABORATORIO POCT",IF(P46=#REF!,"IMPLANTE SUBDERMICO DE DISPOSITIVO INTRAUTERINO",IF(P46=#REF!,"SALUD MENTAL",IF(P46=#REF!,"PRIMEROS AUXILIOS PSICOLOGICOS",IF(P46=#REF!,"ATENCION A VICTIMAS POR CONFLICTO ARMADO",IF(P46=#REF!,"MANIPULACION DE ALIMENTOS Y BPM",IF(P46=#REF!,"ATENCION A PERSONAS CON DISCAPACIDAD",IF(P46=#REF!,"CUIDADO INTEGRAL DEL PACIENTE ADULTO",IF(P46=#REF!,"MANEJO DEFENSIVO",IF(P46=#REF!,"SOPORTE CARDIOVASCULAR AVANZADO NEONATAL",IF(P46=#REF!,"SEGURIDAD DEL PACIENTE",IF(P46=#REF!,"MANEJO DE RESIDUOS HOSPITALARIOS"))))))))))))))))))))))))))))))))))))</f>
        <v>#REF!</v>
      </c>
      <c r="W46" s="25" t="str">
        <f t="shared" si="2"/>
        <v>Yuliana Lorena Cevallos Mera</v>
      </c>
      <c r="X46" s="25" t="str">
        <f t="shared" si="3"/>
        <v>Yuliana Lorena Cevallos Mera</v>
      </c>
      <c r="Y46" s="69" t="str">
        <f t="shared" si="4"/>
        <v>Yuliana Lorena Cevallos Mera-1087406789-BLS</v>
      </c>
    </row>
    <row r="47" spans="1:25" x14ac:dyDescent="0.2">
      <c r="A47" s="19">
        <v>46</v>
      </c>
      <c r="B47" s="20">
        <v>1085950484</v>
      </c>
      <c r="C47" s="20" t="s">
        <v>198</v>
      </c>
      <c r="D47" s="20" t="s">
        <v>199</v>
      </c>
      <c r="E47" s="20" t="s">
        <v>200</v>
      </c>
      <c r="F47" s="20" t="s">
        <v>107</v>
      </c>
      <c r="G47" s="20">
        <v>12</v>
      </c>
      <c r="H47" s="20" t="s">
        <v>56</v>
      </c>
      <c r="I47" s="21" t="s">
        <v>47</v>
      </c>
      <c r="J47" s="21" t="s">
        <v>147</v>
      </c>
      <c r="K47" s="22">
        <v>45700</v>
      </c>
      <c r="L47" s="23">
        <v>65000</v>
      </c>
      <c r="M47" s="20" t="s">
        <v>61</v>
      </c>
      <c r="N47" s="20" t="s">
        <v>57</v>
      </c>
      <c r="O47" s="20" t="s">
        <v>48</v>
      </c>
      <c r="P47" s="20" t="s">
        <v>27</v>
      </c>
      <c r="Q47" s="21">
        <v>36168</v>
      </c>
      <c r="R47" s="20" t="s">
        <v>85</v>
      </c>
      <c r="S47" s="39" t="s">
        <v>182</v>
      </c>
      <c r="T47" s="20">
        <v>3003129942</v>
      </c>
      <c r="U47" s="20" t="s">
        <v>201</v>
      </c>
      <c r="V47" s="25" t="e">
        <f>IF(P47=#REF!,"DIPLOMADO EN ATENCION PRE-HOSPITALARIA",IF(P47=#REF!,"ACOMPAÑAMIENTO Y MANEJO DEL DUELO",IF(P47=#REF!,"ATENCION A VICTIMAS DE ATAQUE CON AGENTES QUIMICOS ",IF(P47=#REF!,"PRIMEROS AUXILIOS ",IF(P47=#REF!,"DIPLOMADO DE UNIDAD DE CUIDADOS INTENSIVOS (UCI)",IF(P47=#REF!,"MODELO DE ATENCION PARA EVENTOS EMERGENTES EN SALUD MENTAL (CODIGO VERDE)",IF(P47=#REF!,"HUMANIZACION EN EL SERVICIO DE LA SALUD Y BUENAS PRACTICAS EN PACIENTE ",IF(P47=#REF!,"CLINICA DE HERIDAS ",IF(P47=#REF!,"TOMA DE CITOLOGIA CERVICO VAGINAL ",IF(P47=#REF!,"SOPORTE CARDIOVASCULAR AVANZADO (ACLS) ",IF(P47=#REF!,"CAMILLERO ",IF(P47=#REF!,"TOMA DE MUESTRAS Y LABORATORIO ",IF(P47=#REF!,"SOPORTE VITAL BASICO (BLS)",IF(P47=#REF!,"ATENCION A VICTIMAS DE VIOLENCIA SEXUAL ",IF(P47=#REF!,"PROGRAMADO AMPLIADO DE INMUNIZACION (PAI - COVID 19)",IF(P47=#REF!,"ATENCION INTEGRAL EN ENFERMEDADES PREVALENTES EN PRIMERA INFANCIA (AIEPI)",IF(P47=#REF!,"ADMINISTRACION DE MEDICAMENTOS, INYECTOLOGIA  Y CANALIZACION ",IF(P47=#REF!,"OPERADOR DE VEHICULOS DE EMERGENCIA (OVE)",IF(P47=#REF!,"INSTITUCIONES AMIGAS DE LA MUJER Y LA INFANCIA (IAMI)",IF(P47=#REF!,"CUIDADO DEL DONANTE DE ORGANOS",IF(P47=#REF!,"ATENCION A VICTIMAS POR VIOLENCIA DE GENERO",IF(P47=#REF!,"IGUALDAD DE GENERO EN LA SALUD",IF(P47=#REF!,"BRIGADA DE EMERGENCIA",IF(P47=#REF!,"MANEJO DEL DOLOR Y CUIDADOS PALIATIVOS",IF(P47=#REF!,"TOMA DE MUESTRAS Y LABORATORIO POCT",IF(P47=#REF!,"IMPLANTE SUBDERMICO DE DISPOSITIVO INTRAUTERINO",IF(P47=#REF!,"SALUD MENTAL",IF(P47=#REF!,"PRIMEROS AUXILIOS PSICOLOGICOS",IF(P47=#REF!,"ATENCION A VICTIMAS POR CONFLICTO ARMADO",IF(P47=#REF!,"MANIPULACION DE ALIMENTOS Y BPM",IF(P47=#REF!,"ATENCION A PERSONAS CON DISCAPACIDAD",IF(P47=#REF!,"CUIDADO INTEGRAL DEL PACIENTE ADULTO",IF(P47=#REF!,"MANEJO DEFENSIVO",IF(P47=#REF!,"SOPORTE CARDIOVASCULAR AVANZADO NEONATAL",IF(P47=#REF!,"SEGURIDAD DEL PACIENTE",IF(P47=#REF!,"MANEJO DE RESIDUOS HOSPITALARIOS"))))))))))))))))))))))))))))))))))))</f>
        <v>#REF!</v>
      </c>
      <c r="W47" s="25" t="str">
        <f t="shared" si="2"/>
        <v>Roman Fernando Mueses Yandun</v>
      </c>
      <c r="X47" s="25" t="str">
        <f t="shared" si="3"/>
        <v>Roman Fernando Mueses Yandun</v>
      </c>
      <c r="Y47" s="69" t="str">
        <f t="shared" si="4"/>
        <v>Roman Fernando Mueses Yandun-1085950484-VIOLENCIA SEXUAL</v>
      </c>
    </row>
    <row r="48" spans="1:25" x14ac:dyDescent="0.2">
      <c r="A48" s="19">
        <v>47</v>
      </c>
      <c r="B48" s="20"/>
      <c r="C48" s="20" t="s">
        <v>202</v>
      </c>
      <c r="D48" s="20" t="s">
        <v>203</v>
      </c>
      <c r="E48" s="20" t="s">
        <v>204</v>
      </c>
      <c r="F48" s="20" t="s">
        <v>205</v>
      </c>
      <c r="G48" s="20">
        <v>13</v>
      </c>
      <c r="H48" s="20" t="s">
        <v>56</v>
      </c>
      <c r="I48" s="21" t="s">
        <v>47</v>
      </c>
      <c r="J48" s="21"/>
      <c r="K48" s="22">
        <v>45701</v>
      </c>
      <c r="L48" s="23">
        <v>70000</v>
      </c>
      <c r="M48" s="20" t="s">
        <v>61</v>
      </c>
      <c r="N48" s="20" t="s">
        <v>57</v>
      </c>
      <c r="O48" s="20" t="s">
        <v>48</v>
      </c>
      <c r="P48" s="20" t="s">
        <v>27</v>
      </c>
      <c r="Q48" s="21">
        <v>36017</v>
      </c>
      <c r="R48" s="20" t="s">
        <v>49</v>
      </c>
      <c r="S48" s="39" t="s">
        <v>95</v>
      </c>
      <c r="T48" s="20">
        <v>3216772438</v>
      </c>
      <c r="U48" s="20" t="s">
        <v>206</v>
      </c>
      <c r="V48" s="25" t="e">
        <f>IF(P48=#REF!,"DIPLOMADO EN ATENCION PRE-HOSPITALARIA",IF(P48=#REF!,"ACOMPAÑAMIENTO Y MANEJO DEL DUELO",IF(P48=#REF!,"ATENCION A VICTIMAS DE ATAQUE CON AGENTES QUIMICOS ",IF(P48=#REF!,"PRIMEROS AUXILIOS ",IF(P48=#REF!,"DIPLOMADO DE UNIDAD DE CUIDADOS INTENSIVOS (UCI)",IF(P48=#REF!,"MODELO DE ATENCION PARA EVENTOS EMERGENTES EN SALUD MENTAL (CODIGO VERDE)",IF(P48=#REF!,"HUMANIZACION EN EL SERVICIO DE LA SALUD Y BUENAS PRACTICAS EN PACIENTE ",IF(P48=#REF!,"CLINICA DE HERIDAS ",IF(P48=#REF!,"TOMA DE CITOLOGIA CERVICO VAGINAL ",IF(P48=#REF!,"SOPORTE CARDIOVASCULAR AVANZADO (ACLS) ",IF(P48=#REF!,"CAMILLERO ",IF(P48=#REF!,"TOMA DE MUESTRAS Y LABORATORIO ",IF(P48=#REF!,"SOPORTE VITAL BASICO (BLS)",IF(P48=#REF!,"ATENCION A VICTIMAS DE VIOLENCIA SEXUAL ",IF(P48=#REF!,"PROGRAMADO AMPLIADO DE INMUNIZACION (PAI - COVID 19)",IF(P48=#REF!,"ATENCION INTEGRAL EN ENFERMEDADES PREVALENTES EN PRIMERA INFANCIA (AIEPI)",IF(P48=#REF!,"ADMINISTRACION DE MEDICAMENTOS, INYECTOLOGIA  Y CANALIZACION ",IF(P48=#REF!,"OPERADOR DE VEHICULOS DE EMERGENCIA (OVE)",IF(P48=#REF!,"INSTITUCIONES AMIGAS DE LA MUJER Y LA INFANCIA (IAMI)",IF(P48=#REF!,"CUIDADO DEL DONANTE DE ORGANOS",IF(P48=#REF!,"ATENCION A VICTIMAS POR VIOLENCIA DE GENERO",IF(P48=#REF!,"IGUALDAD DE GENERO EN LA SALUD",IF(P48=#REF!,"BRIGADA DE EMERGENCIA",IF(P48=#REF!,"MANEJO DEL DOLOR Y CUIDADOS PALIATIVOS",IF(P48=#REF!,"TOMA DE MUESTRAS Y LABORATORIO POCT",IF(P48=#REF!,"IMPLANTE SUBDERMICO DE DISPOSITIVO INTRAUTERINO",IF(P48=#REF!,"SALUD MENTAL",IF(P48=#REF!,"PRIMEROS AUXILIOS PSICOLOGICOS",IF(P48=#REF!,"ATENCION A VICTIMAS POR CONFLICTO ARMADO",IF(P48=#REF!,"MANIPULACION DE ALIMENTOS Y BPM",IF(P48=#REF!,"ATENCION A PERSONAS CON DISCAPACIDAD",IF(P48=#REF!,"CUIDADO INTEGRAL DEL PACIENTE ADULTO",IF(P48=#REF!,"MANEJO DEFENSIVO",IF(P48=#REF!,"SOPORTE CARDIOVASCULAR AVANZADO NEONATAL",IF(P48=#REF!,"SEGURIDAD DEL PACIENTE",IF(P48=#REF!,"MANEJO DE RESIDUOS HOSPITALARIOS"))))))))))))))))))))))))))))))))))))</f>
        <v>#REF!</v>
      </c>
      <c r="W48" s="25" t="str">
        <f t="shared" si="2"/>
        <v>Ybi Cristina Valencia Ordoñez</v>
      </c>
      <c r="X48" s="25" t="str">
        <f t="shared" si="3"/>
        <v>Ybi Cristina Valencia Ordoñez</v>
      </c>
      <c r="Y48" s="69" t="str">
        <f t="shared" si="4"/>
        <v>Ybi Cristina Valencia Ordoñez--VIOLENCIA SEXUAL</v>
      </c>
    </row>
    <row r="49" spans="1:25" x14ac:dyDescent="0.2">
      <c r="A49" s="19">
        <v>48</v>
      </c>
      <c r="B49" s="20">
        <v>1061811566</v>
      </c>
      <c r="C49" s="20" t="s">
        <v>202</v>
      </c>
      <c r="D49" s="20" t="s">
        <v>203</v>
      </c>
      <c r="E49" s="20" t="s">
        <v>204</v>
      </c>
      <c r="F49" s="20" t="s">
        <v>205</v>
      </c>
      <c r="G49" s="20">
        <v>10</v>
      </c>
      <c r="H49" s="20" t="s">
        <v>56</v>
      </c>
      <c r="I49" s="21" t="s">
        <v>47</v>
      </c>
      <c r="J49" s="21"/>
      <c r="K49" s="22">
        <v>45701</v>
      </c>
      <c r="L49" s="23">
        <v>70000</v>
      </c>
      <c r="M49" s="20" t="s">
        <v>61</v>
      </c>
      <c r="N49" s="20" t="s">
        <v>57</v>
      </c>
      <c r="O49" s="20" t="s">
        <v>48</v>
      </c>
      <c r="P49" s="20" t="s">
        <v>19</v>
      </c>
      <c r="Q49" s="21">
        <v>36017</v>
      </c>
      <c r="R49" s="20" t="s">
        <v>49</v>
      </c>
      <c r="S49" s="39" t="s">
        <v>95</v>
      </c>
      <c r="T49" s="20">
        <v>3216772438</v>
      </c>
      <c r="U49" s="20" t="s">
        <v>206</v>
      </c>
      <c r="V49" s="25" t="e">
        <f>IF(P49=#REF!,"DIPLOMADO EN ATENCION PRE-HOSPITALARIA",IF(P49=#REF!,"ACOMPAÑAMIENTO Y MANEJO DEL DUELO",IF(P49=#REF!,"ATENCION A VICTIMAS DE ATAQUE CON AGENTES QUIMICOS ",IF(P49=#REF!,"PRIMEROS AUXILIOS ",IF(P49=#REF!,"DIPLOMADO DE UNIDAD DE CUIDADOS INTENSIVOS (UCI)",IF(P49=#REF!,"MODELO DE ATENCION PARA EVENTOS EMERGENTES EN SALUD MENTAL (CODIGO VERDE)",IF(P49=#REF!,"HUMANIZACION EN EL SERVICIO DE LA SALUD Y BUENAS PRACTICAS EN PACIENTE ",IF(P49=#REF!,"CLINICA DE HERIDAS ",IF(P49=#REF!,"TOMA DE CITOLOGIA CERVICO VAGINAL ",IF(P49=#REF!,"SOPORTE CARDIOVASCULAR AVANZADO (ACLS) ",IF(P49=#REF!,"CAMILLERO ",IF(P49=#REF!,"TOMA DE MUESTRAS Y LABORATORIO ",IF(P49=#REF!,"SOPORTE VITAL BASICO (BLS)",IF(P49=#REF!,"ATENCION A VICTIMAS DE VIOLENCIA SEXUAL ",IF(P49=#REF!,"PROGRAMADO AMPLIADO DE INMUNIZACION (PAI - COVID 19)",IF(P49=#REF!,"ATENCION INTEGRAL EN ENFERMEDADES PREVALENTES EN PRIMERA INFANCIA (AIEPI)",IF(P49=#REF!,"ADMINISTRACION DE MEDICAMENTOS, INYECTOLOGIA  Y CANALIZACION ",IF(P49=#REF!,"OPERADOR DE VEHICULOS DE EMERGENCIA (OVE)",IF(P49=#REF!,"INSTITUCIONES AMIGAS DE LA MUJER Y LA INFANCIA (IAMI)",IF(P49=#REF!,"CUIDADO DEL DONANTE DE ORGANOS",IF(P49=#REF!,"ATENCION A VICTIMAS POR VIOLENCIA DE GENERO",IF(P49=#REF!,"IGUALDAD DE GENERO EN LA SALUD",IF(P49=#REF!,"BRIGADA DE EMERGENCIA",IF(P49=#REF!,"MANEJO DEL DOLOR Y CUIDADOS PALIATIVOS",IF(P49=#REF!,"TOMA DE MUESTRAS Y LABORATORIO POCT",IF(P49=#REF!,"IMPLANTE SUBDERMICO DE DISPOSITIVO INTRAUTERINO",IF(P49=#REF!,"SALUD MENTAL",IF(P49=#REF!,"PRIMEROS AUXILIOS PSICOLOGICOS",IF(P49=#REF!,"ATENCION A VICTIMAS POR CONFLICTO ARMADO",IF(P49=#REF!,"MANIPULACION DE ALIMENTOS Y BPM",IF(P49=#REF!,"ATENCION A PERSONAS CON DISCAPACIDAD",IF(P49=#REF!,"CUIDADO INTEGRAL DEL PACIENTE ADULTO",IF(P49=#REF!,"MANEJO DEFENSIVO",IF(P49=#REF!,"SOPORTE CARDIOVASCULAR AVANZADO NEONATAL",IF(P49=#REF!,"SEGURIDAD DEL PACIENTE",IF(P49=#REF!,"MANEJO DE RESIDUOS HOSPITALARIOS"))))))))))))))))))))))))))))))))))))</f>
        <v>#REF!</v>
      </c>
      <c r="W49" s="25" t="str">
        <f t="shared" si="2"/>
        <v>Ybi Cristina Valencia Ordoñez</v>
      </c>
      <c r="X49" s="25" t="str">
        <f t="shared" si="3"/>
        <v>Ybi Cristina Valencia Ordoñez</v>
      </c>
      <c r="Y49" s="69" t="str">
        <f t="shared" si="4"/>
        <v>Ybi Cristina Valencia Ordoñez-1061811566-BLS</v>
      </c>
    </row>
    <row r="50" spans="1:25" x14ac:dyDescent="0.2">
      <c r="A50" s="19">
        <v>49</v>
      </c>
      <c r="B50" s="20">
        <v>1061811566</v>
      </c>
      <c r="C50" s="20" t="s">
        <v>202</v>
      </c>
      <c r="D50" s="20" t="s">
        <v>203</v>
      </c>
      <c r="E50" s="20" t="s">
        <v>204</v>
      </c>
      <c r="F50" s="20" t="s">
        <v>205</v>
      </c>
      <c r="G50" s="20">
        <v>11</v>
      </c>
      <c r="H50" s="20" t="s">
        <v>56</v>
      </c>
      <c r="I50" s="21" t="s">
        <v>47</v>
      </c>
      <c r="J50" s="21"/>
      <c r="K50" s="22">
        <v>45713</v>
      </c>
      <c r="L50" s="23">
        <v>70000</v>
      </c>
      <c r="M50" s="20" t="s">
        <v>61</v>
      </c>
      <c r="N50" s="20" t="s">
        <v>57</v>
      </c>
      <c r="O50" s="20" t="s">
        <v>48</v>
      </c>
      <c r="P50" s="20" t="s">
        <v>21</v>
      </c>
      <c r="Q50" s="21">
        <v>36017</v>
      </c>
      <c r="R50" s="20" t="s">
        <v>49</v>
      </c>
      <c r="S50" s="39" t="s">
        <v>95</v>
      </c>
      <c r="T50" s="20">
        <v>3216772438</v>
      </c>
      <c r="U50" s="20" t="s">
        <v>206</v>
      </c>
      <c r="V50" s="25" t="e">
        <f>IF(P50=#REF!,"DIPLOMADO EN ATENCION PRE-HOSPITALARIA",IF(P50=#REF!,"ACOMPAÑAMIENTO Y MANEJO DEL DUELO",IF(P50=#REF!,"ATENCION A VICTIMAS DE ATAQUE CON AGENTES QUIMICOS ",IF(P50=#REF!,"PRIMEROS AUXILIOS ",IF(P50=#REF!,"DIPLOMADO DE UNIDAD DE CUIDADOS INTENSIVOS (UCI)",IF(P50=#REF!,"MODELO DE ATENCION PARA EVENTOS EMERGENTES EN SALUD MENTAL (CODIGO VERDE)",IF(P50=#REF!,"HUMANIZACION EN EL SERVICIO DE LA SALUD Y BUENAS PRACTICAS EN PACIENTE ",IF(P50=#REF!,"CLINICA DE HERIDAS ",IF(P50=#REF!,"TOMA DE CITOLOGIA CERVICO VAGINAL ",IF(P50=#REF!,"SOPORTE CARDIOVASCULAR AVANZADO (ACLS) ",IF(P50=#REF!,"CAMILLERO ",IF(P50=#REF!,"TOMA DE MUESTRAS Y LABORATORIO ",IF(P50=#REF!,"SOPORTE VITAL BASICO (BLS)",IF(P50=#REF!,"ATENCION A VICTIMAS DE VIOLENCIA SEXUAL ",IF(P50=#REF!,"PROGRAMADO AMPLIADO DE INMUNIZACION (PAI - COVID 19)",IF(P50=#REF!,"ATENCION INTEGRAL EN ENFERMEDADES PREVALENTES EN PRIMERA INFANCIA (AIEPI)",IF(P50=#REF!,"ADMINISTRACION DE MEDICAMENTOS, INYECTOLOGIA  Y CANALIZACION ",IF(P50=#REF!,"OPERADOR DE VEHICULOS DE EMERGENCIA (OVE)",IF(P50=#REF!,"INSTITUCIONES AMIGAS DE LA MUJER Y LA INFANCIA (IAMI)",IF(P50=#REF!,"CUIDADO DEL DONANTE DE ORGANOS",IF(P50=#REF!,"ATENCION A VICTIMAS POR VIOLENCIA DE GENERO",IF(P50=#REF!,"IGUALDAD DE GENERO EN LA SALUD",IF(P50=#REF!,"BRIGADA DE EMERGENCIA",IF(P50=#REF!,"MANEJO DEL DOLOR Y CUIDADOS PALIATIVOS",IF(P50=#REF!,"TOMA DE MUESTRAS Y LABORATORIO POCT",IF(P50=#REF!,"IMPLANTE SUBDERMICO DE DISPOSITIVO INTRAUTERINO",IF(P50=#REF!,"SALUD MENTAL",IF(P50=#REF!,"PRIMEROS AUXILIOS PSICOLOGICOS",IF(P50=#REF!,"ATENCION A VICTIMAS POR CONFLICTO ARMADO",IF(P50=#REF!,"MANIPULACION DE ALIMENTOS Y BPM",IF(P50=#REF!,"ATENCION A PERSONAS CON DISCAPACIDAD",IF(P50=#REF!,"CUIDADO INTEGRAL DEL PACIENTE ADULTO",IF(P50=#REF!,"MANEJO DEFENSIVO",IF(P50=#REF!,"SOPORTE CARDIOVASCULAR AVANZADO NEONATAL",IF(P50=#REF!,"SEGURIDAD DEL PACIENTE",IF(P50=#REF!,"MANEJO DE RESIDUOS HOSPITALARIOS"))))))))))))))))))))))))))))))))))))</f>
        <v>#REF!</v>
      </c>
      <c r="W50" s="25" t="str">
        <f t="shared" si="2"/>
        <v>Ybi Cristina Valencia Ordoñez</v>
      </c>
      <c r="X50" s="25" t="str">
        <f t="shared" si="3"/>
        <v>Ybi Cristina Valencia Ordoñez</v>
      </c>
      <c r="Y50" s="69" t="str">
        <f t="shared" si="4"/>
        <v>Ybi Cristina Valencia Ordoñez-1061811566-QUIMICOS</v>
      </c>
    </row>
    <row r="51" spans="1:25" x14ac:dyDescent="0.2">
      <c r="A51" s="19">
        <v>50</v>
      </c>
      <c r="B51" s="20">
        <v>1061811566</v>
      </c>
      <c r="C51" s="20" t="s">
        <v>202</v>
      </c>
      <c r="D51" s="20" t="s">
        <v>203</v>
      </c>
      <c r="E51" s="20" t="s">
        <v>204</v>
      </c>
      <c r="F51" s="20" t="s">
        <v>205</v>
      </c>
      <c r="G51" s="20">
        <v>12</v>
      </c>
      <c r="H51" s="20" t="s">
        <v>56</v>
      </c>
      <c r="I51" s="21" t="s">
        <v>47</v>
      </c>
      <c r="J51" s="21"/>
      <c r="K51" s="22">
        <v>45713</v>
      </c>
      <c r="L51" s="23">
        <v>70000</v>
      </c>
      <c r="M51" s="20" t="s">
        <v>61</v>
      </c>
      <c r="N51" s="20" t="s">
        <v>57</v>
      </c>
      <c r="O51" s="20" t="s">
        <v>48</v>
      </c>
      <c r="P51" s="20" t="s">
        <v>23</v>
      </c>
      <c r="Q51" s="21">
        <v>36017</v>
      </c>
      <c r="R51" s="20" t="s">
        <v>49</v>
      </c>
      <c r="S51" s="39" t="s">
        <v>95</v>
      </c>
      <c r="T51" s="20">
        <v>3216772438</v>
      </c>
      <c r="U51" s="20" t="s">
        <v>206</v>
      </c>
      <c r="V51" s="25" t="e">
        <f>IF(P51=#REF!,"DIPLOMADO EN ATENCION PRE-HOSPITALARIA",IF(P51=#REF!,"ACOMPAÑAMIENTO Y MANEJO DEL DUELO",IF(P51=#REF!,"ATENCION A VICTIMAS DE ATAQUE CON AGENTES QUIMICOS ",IF(P51=#REF!,"PRIMEROS AUXILIOS ",IF(P51=#REF!,"DIPLOMADO DE UNIDAD DE CUIDADOS INTENSIVOS (UCI)",IF(P51=#REF!,"MODELO DE ATENCION PARA EVENTOS EMERGENTES EN SALUD MENTAL (CODIGO VERDE)",IF(P51=#REF!,"HUMANIZACION EN EL SERVICIO DE LA SALUD Y BUENAS PRACTICAS EN PACIENTE ",IF(P51=#REF!,"CLINICA DE HERIDAS ",IF(P51=#REF!,"TOMA DE CITOLOGIA CERVICO VAGINAL ",IF(P51=#REF!,"SOPORTE CARDIOVASCULAR AVANZADO (ACLS) ",IF(P51=#REF!,"CAMILLERO ",IF(P51=#REF!,"TOMA DE MUESTRAS Y LABORATORIO ",IF(P51=#REF!,"SOPORTE VITAL BASICO (BLS)",IF(P51=#REF!,"ATENCION A VICTIMAS DE VIOLENCIA SEXUAL ",IF(P51=#REF!,"PROGRAMADO AMPLIADO DE INMUNIZACION (PAI - COVID 19)",IF(P51=#REF!,"ATENCION INTEGRAL EN ENFERMEDADES PREVALENTES EN PRIMERA INFANCIA (AIEPI)",IF(P51=#REF!,"ADMINISTRACION DE MEDICAMENTOS, INYECTOLOGIA  Y CANALIZACION ",IF(P51=#REF!,"OPERADOR DE VEHICULOS DE EMERGENCIA (OVE)",IF(P51=#REF!,"INSTITUCIONES AMIGAS DE LA MUJER Y LA INFANCIA (IAMI)",IF(P51=#REF!,"CUIDADO DEL DONANTE DE ORGANOS",IF(P51=#REF!,"ATENCION A VICTIMAS POR VIOLENCIA DE GENERO",IF(P51=#REF!,"IGUALDAD DE GENERO EN LA SALUD",IF(P51=#REF!,"BRIGADA DE EMERGENCIA",IF(P51=#REF!,"MANEJO DEL DOLOR Y CUIDADOS PALIATIVOS",IF(P51=#REF!,"TOMA DE MUESTRAS Y LABORATORIO POCT",IF(P51=#REF!,"IMPLANTE SUBDERMICO DE DISPOSITIVO INTRAUTERINO",IF(P51=#REF!,"SALUD MENTAL",IF(P51=#REF!,"PRIMEROS AUXILIOS PSICOLOGICOS",IF(P51=#REF!,"ATENCION A VICTIMAS POR CONFLICTO ARMADO",IF(P51=#REF!,"MANIPULACION DE ALIMENTOS Y BPM",IF(P51=#REF!,"ATENCION A PERSONAS CON DISCAPACIDAD",IF(P51=#REF!,"CUIDADO INTEGRAL DEL PACIENTE ADULTO",IF(P51=#REF!,"MANEJO DEFENSIVO",IF(P51=#REF!,"SOPORTE CARDIOVASCULAR AVANZADO NEONATAL",IF(P51=#REF!,"SEGURIDAD DEL PACIENTE",IF(P51=#REF!,"MANEJO DE RESIDUOS HOSPITALARIOS"))))))))))))))))))))))))))))))))))))</f>
        <v>#REF!</v>
      </c>
      <c r="W51" s="25" t="str">
        <f t="shared" si="2"/>
        <v>Ybi Cristina Valencia Ordoñez</v>
      </c>
      <c r="X51" s="25" t="str">
        <f t="shared" si="3"/>
        <v>Ybi Cristina Valencia Ordoñez</v>
      </c>
      <c r="Y51" s="69" t="str">
        <f t="shared" si="4"/>
        <v>Ybi Cristina Valencia Ordoñez-1061811566-HUMANIZACION</v>
      </c>
    </row>
    <row r="52" spans="1:25" x14ac:dyDescent="0.2">
      <c r="A52" s="19">
        <v>51</v>
      </c>
      <c r="B52" s="20">
        <v>1085313043</v>
      </c>
      <c r="C52" s="20" t="s">
        <v>68</v>
      </c>
      <c r="D52" s="20" t="s">
        <v>65</v>
      </c>
      <c r="E52" s="20" t="s">
        <v>207</v>
      </c>
      <c r="F52" s="20" t="s">
        <v>130</v>
      </c>
      <c r="G52" s="20">
        <v>13</v>
      </c>
      <c r="H52" s="20" t="s">
        <v>56</v>
      </c>
      <c r="I52" s="21" t="s">
        <v>47</v>
      </c>
      <c r="J52" s="21" t="s">
        <v>197</v>
      </c>
      <c r="K52" s="22">
        <v>45701</v>
      </c>
      <c r="L52" s="23">
        <v>80000</v>
      </c>
      <c r="M52" s="20" t="s">
        <v>159</v>
      </c>
      <c r="N52" s="20" t="s">
        <v>57</v>
      </c>
      <c r="O52" s="20" t="s">
        <v>48</v>
      </c>
      <c r="P52" s="20" t="s">
        <v>209</v>
      </c>
      <c r="Q52" s="21">
        <v>34497</v>
      </c>
      <c r="R52" s="20" t="s">
        <v>49</v>
      </c>
      <c r="S52" s="24" t="s">
        <v>86</v>
      </c>
      <c r="T52" s="20">
        <v>3128399675</v>
      </c>
      <c r="U52" s="20" t="s">
        <v>210</v>
      </c>
      <c r="V52" s="25" t="s">
        <v>208</v>
      </c>
      <c r="W52" s="25" t="str">
        <f t="shared" si="2"/>
        <v>Angela Marcela Rodriguez Zambrano</v>
      </c>
      <c r="X52" s="25" t="str">
        <f t="shared" si="3"/>
        <v>Angela Marcela Rodriguez Zambrano</v>
      </c>
      <c r="Y52" s="69" t="str">
        <f t="shared" si="4"/>
        <v>Angela Marcela Rodriguez Zambrano-1085313043-DISCAPACIDAD DE RIESGOS</v>
      </c>
    </row>
    <row r="53" spans="1:25" x14ac:dyDescent="0.2">
      <c r="A53" s="19">
        <v>52</v>
      </c>
      <c r="B53" s="20">
        <v>10538539</v>
      </c>
      <c r="C53" s="20" t="s">
        <v>211</v>
      </c>
      <c r="D53" s="20"/>
      <c r="E53" s="20" t="s">
        <v>212</v>
      </c>
      <c r="F53" s="20" t="s">
        <v>107</v>
      </c>
      <c r="G53" s="20">
        <v>13</v>
      </c>
      <c r="H53" s="20" t="s">
        <v>56</v>
      </c>
      <c r="I53" s="21" t="s">
        <v>72</v>
      </c>
      <c r="J53" s="21"/>
      <c r="K53" s="22">
        <v>45701</v>
      </c>
      <c r="L53" s="23">
        <v>35000</v>
      </c>
      <c r="M53" s="20" t="s">
        <v>159</v>
      </c>
      <c r="N53" s="20" t="s">
        <v>57</v>
      </c>
      <c r="O53" s="20" t="s">
        <v>48</v>
      </c>
      <c r="P53" s="20" t="s">
        <v>27</v>
      </c>
      <c r="Q53" s="21"/>
      <c r="R53" s="20" t="s">
        <v>85</v>
      </c>
      <c r="S53" s="24" t="s">
        <v>86</v>
      </c>
      <c r="T53" s="20">
        <v>3155793141</v>
      </c>
      <c r="U53" s="20" t="s">
        <v>213</v>
      </c>
      <c r="V53" s="25" t="e">
        <f>IF(P53=#REF!,"DIPLOMADO EN ATENCION PRE-HOSPITALARIA",IF(P53=#REF!,"ACOMPAÑAMIENTO Y MANEJO DEL DUELO",IF(P53=#REF!,"ATENCION A VICTIMAS DE ATAQUE CON AGENTES QUIMICOS ",IF(P53=#REF!,"PRIMEROS AUXILIOS ",IF(P53=#REF!,"DIPLOMADO DE UNIDAD DE CUIDADOS INTENSIVOS (UCI)",IF(P53=#REF!,"MODELO DE ATENCION PARA EVENTOS EMERGENTES EN SALUD MENTAL (CODIGO VERDE)",IF(P53=#REF!,"HUMANIZACION EN EL SERVICIO DE LA SALUD Y BUENAS PRACTICAS EN PACIENTE ",IF(P53=#REF!,"CLINICA DE HERIDAS ",IF(P53=#REF!,"TOMA DE CITOLOGIA CERVICO VAGINAL ",IF(P53=#REF!,"SOPORTE CARDIOVASCULAR AVANZADO (ACLS) ",IF(P53=#REF!,"CAMILLERO ",IF(P53=#REF!,"TOMA DE MUESTRAS Y LABORATORIO ",IF(P53=#REF!,"SOPORTE VITAL BASICO (BLS)",IF(P53=#REF!,"ATENCION A VICTIMAS DE VIOLENCIA SEXUAL ",IF(P53=#REF!,"PROGRAMADO AMPLIADO DE INMUNIZACION (PAI - COVID 19)",IF(P53=#REF!,"ATENCION INTEGRAL EN ENFERMEDADES PREVALENTES EN PRIMERA INFANCIA (AIEPI)",IF(P53=#REF!,"ADMINISTRACION DE MEDICAMENTOS, INYECTOLOGIA  Y CANALIZACION ",IF(P53=#REF!,"OPERADOR DE VEHICULOS DE EMERGENCIA (OVE)",IF(P53=#REF!,"INSTITUCIONES AMIGAS DE LA MUJER Y LA INFANCIA (IAMI)",IF(P53=#REF!,"CUIDADO DEL DONANTE DE ORGANOS",IF(P53=#REF!,"ATENCION A VICTIMAS POR VIOLENCIA DE GENERO",IF(P53=#REF!,"IGUALDAD DE GENERO EN LA SALUD",IF(P53=#REF!,"BRIGADA DE EMERGENCIA",IF(P53=#REF!,"MANEJO DEL DOLOR Y CUIDADOS PALIATIVOS",IF(P53=#REF!,"TOMA DE MUESTRAS Y LABORATORIO POCT",IF(P53=#REF!,"IMPLANTE SUBDERMICO DE DISPOSITIVO INTRAUTERINO",IF(P53=#REF!,"SALUD MENTAL",IF(P53=#REF!,"PRIMEROS AUXILIOS PSICOLOGICOS",IF(P53=#REF!,"ATENCION A VICTIMAS POR CONFLICTO ARMADO",IF(P53=#REF!,"MANIPULACION DE ALIMENTOS Y BPM",IF(P53=#REF!,"ATENCION A PERSONAS CON DISCAPACIDAD",IF(P53=#REF!,"CUIDADO INTEGRAL DEL PACIENTE ADULTO",IF(P53=#REF!,"MANEJO DEFENSIVO",IF(P53=#REF!,"SOPORTE CARDIOVASCULAR AVANZADO NEONATAL",IF(P53=#REF!,"SEGURIDAD DEL PACIENTE",IF(P53=#REF!,"MANEJO DE RESIDUOS HOSPITALARIOS"))))))))))))))))))))))))))))))))))))</f>
        <v>#REF!</v>
      </c>
      <c r="W53" s="25" t="str">
        <f t="shared" si="2"/>
        <v xml:space="preserve">Hector Fernando Diaz </v>
      </c>
      <c r="X53" s="25" t="str">
        <f t="shared" si="3"/>
        <v xml:space="preserve">Hector Fernando Diaz </v>
      </c>
      <c r="Y53" s="69" t="str">
        <f t="shared" si="4"/>
        <v>Hector Fernando Diaz -10538539-VIOLENCIA SEXUAL</v>
      </c>
    </row>
    <row r="54" spans="1:25" x14ac:dyDescent="0.2">
      <c r="A54" s="19">
        <v>53</v>
      </c>
      <c r="B54" s="20">
        <v>10538539</v>
      </c>
      <c r="C54" s="20" t="s">
        <v>211</v>
      </c>
      <c r="D54" s="20"/>
      <c r="E54" s="20" t="s">
        <v>212</v>
      </c>
      <c r="F54" s="20" t="s">
        <v>107</v>
      </c>
      <c r="G54" s="20">
        <v>12</v>
      </c>
      <c r="H54" s="20" t="s">
        <v>56</v>
      </c>
      <c r="I54" s="21" t="s">
        <v>72</v>
      </c>
      <c r="J54" s="21"/>
      <c r="K54" s="22">
        <v>45701</v>
      </c>
      <c r="L54" s="23">
        <v>35000</v>
      </c>
      <c r="M54" s="20" t="s">
        <v>159</v>
      </c>
      <c r="N54" s="20" t="s">
        <v>57</v>
      </c>
      <c r="O54" s="20" t="s">
        <v>48</v>
      </c>
      <c r="P54" s="20" t="s">
        <v>19</v>
      </c>
      <c r="Q54" s="21"/>
      <c r="R54" s="20" t="s">
        <v>85</v>
      </c>
      <c r="S54" s="24" t="s">
        <v>86</v>
      </c>
      <c r="T54" s="20">
        <v>3155793141</v>
      </c>
      <c r="U54" s="20" t="s">
        <v>213</v>
      </c>
      <c r="V54" s="25" t="e">
        <f>IF(P54=#REF!,"DIPLOMADO EN ATENCION PRE-HOSPITALARIA",IF(P54=#REF!,"ACOMPAÑAMIENTO Y MANEJO DEL DUELO",IF(P54=#REF!,"ATENCION A VICTIMAS DE ATAQUE CON AGENTES QUIMICOS ",IF(P54=#REF!,"PRIMEROS AUXILIOS ",IF(P54=#REF!,"DIPLOMADO DE UNIDAD DE CUIDADOS INTENSIVOS (UCI)",IF(P54=#REF!,"MODELO DE ATENCION PARA EVENTOS EMERGENTES EN SALUD MENTAL (CODIGO VERDE)",IF(P54=#REF!,"HUMANIZACION EN EL SERVICIO DE LA SALUD Y BUENAS PRACTICAS EN PACIENTE ",IF(P54=#REF!,"CLINICA DE HERIDAS ",IF(P54=#REF!,"TOMA DE CITOLOGIA CERVICO VAGINAL ",IF(P54=#REF!,"SOPORTE CARDIOVASCULAR AVANZADO (ACLS) ",IF(P54=#REF!,"CAMILLERO ",IF(P54=#REF!,"TOMA DE MUESTRAS Y LABORATORIO ",IF(P54=#REF!,"SOPORTE VITAL BASICO (BLS)",IF(P54=#REF!,"ATENCION A VICTIMAS DE VIOLENCIA SEXUAL ",IF(P54=#REF!,"PROGRAMADO AMPLIADO DE INMUNIZACION (PAI - COVID 19)",IF(P54=#REF!,"ATENCION INTEGRAL EN ENFERMEDADES PREVALENTES EN PRIMERA INFANCIA (AIEPI)",IF(P54=#REF!,"ADMINISTRACION DE MEDICAMENTOS, INYECTOLOGIA  Y CANALIZACION ",IF(P54=#REF!,"OPERADOR DE VEHICULOS DE EMERGENCIA (OVE)",IF(P54=#REF!,"INSTITUCIONES AMIGAS DE LA MUJER Y LA INFANCIA (IAMI)",IF(P54=#REF!,"CUIDADO DEL DONANTE DE ORGANOS",IF(P54=#REF!,"ATENCION A VICTIMAS POR VIOLENCIA DE GENERO",IF(P54=#REF!,"IGUALDAD DE GENERO EN LA SALUD",IF(P54=#REF!,"BRIGADA DE EMERGENCIA",IF(P54=#REF!,"MANEJO DEL DOLOR Y CUIDADOS PALIATIVOS",IF(P54=#REF!,"TOMA DE MUESTRAS Y LABORATORIO POCT",IF(P54=#REF!,"IMPLANTE SUBDERMICO DE DISPOSITIVO INTRAUTERINO",IF(P54=#REF!,"SALUD MENTAL",IF(P54=#REF!,"PRIMEROS AUXILIOS PSICOLOGICOS",IF(P54=#REF!,"ATENCION A VICTIMAS POR CONFLICTO ARMADO",IF(P54=#REF!,"MANIPULACION DE ALIMENTOS Y BPM",IF(P54=#REF!,"ATENCION A PERSONAS CON DISCAPACIDAD",IF(P54=#REF!,"CUIDADO INTEGRAL DEL PACIENTE ADULTO",IF(P54=#REF!,"MANEJO DEFENSIVO",IF(P54=#REF!,"SOPORTE CARDIOVASCULAR AVANZADO NEONATAL",IF(P54=#REF!,"SEGURIDAD DEL PACIENTE",IF(P54=#REF!,"MANEJO DE RESIDUOS HOSPITALARIOS"))))))))))))))))))))))))))))))))))))</f>
        <v>#REF!</v>
      </c>
      <c r="W54" s="25" t="str">
        <f t="shared" si="2"/>
        <v xml:space="preserve">Hector Fernando Diaz </v>
      </c>
      <c r="X54" s="25" t="str">
        <f t="shared" si="3"/>
        <v xml:space="preserve">Hector Fernando Diaz </v>
      </c>
      <c r="Y54" s="69" t="str">
        <f t="shared" si="4"/>
        <v>Hector Fernando Diaz -10538539-BLS</v>
      </c>
    </row>
    <row r="55" spans="1:25" x14ac:dyDescent="0.2">
      <c r="A55" s="19">
        <v>54</v>
      </c>
      <c r="B55" s="20">
        <v>10538539</v>
      </c>
      <c r="C55" s="20" t="s">
        <v>211</v>
      </c>
      <c r="D55" s="20"/>
      <c r="E55" s="20" t="s">
        <v>212</v>
      </c>
      <c r="F55" s="20" t="s">
        <v>107</v>
      </c>
      <c r="G55" s="20">
        <v>11</v>
      </c>
      <c r="H55" s="20" t="s">
        <v>56</v>
      </c>
      <c r="I55" s="21" t="s">
        <v>72</v>
      </c>
      <c r="J55" s="21"/>
      <c r="K55" s="22">
        <v>45701</v>
      </c>
      <c r="L55" s="23">
        <v>35000</v>
      </c>
      <c r="M55" s="20" t="s">
        <v>159</v>
      </c>
      <c r="N55" s="20" t="s">
        <v>57</v>
      </c>
      <c r="O55" s="20" t="s">
        <v>48</v>
      </c>
      <c r="P55" s="20" t="s">
        <v>21</v>
      </c>
      <c r="Q55" s="21"/>
      <c r="R55" s="20" t="s">
        <v>85</v>
      </c>
      <c r="S55" s="24" t="s">
        <v>86</v>
      </c>
      <c r="T55" s="20">
        <v>3155793141</v>
      </c>
      <c r="U55" s="20" t="s">
        <v>213</v>
      </c>
      <c r="V55" s="25" t="e">
        <f>IF(P55=#REF!,"DIPLOMADO EN ATENCION PRE-HOSPITALARIA",IF(P55=#REF!,"ACOMPAÑAMIENTO Y MANEJO DEL DUELO",IF(P55=#REF!,"ATENCION A VICTIMAS DE ATAQUE CON AGENTES QUIMICOS ",IF(P55=#REF!,"PRIMEROS AUXILIOS ",IF(P55=#REF!,"DIPLOMADO DE UNIDAD DE CUIDADOS INTENSIVOS (UCI)",IF(P55=#REF!,"MODELO DE ATENCION PARA EVENTOS EMERGENTES EN SALUD MENTAL (CODIGO VERDE)",IF(P55=#REF!,"HUMANIZACION EN EL SERVICIO DE LA SALUD Y BUENAS PRACTICAS EN PACIENTE ",IF(P55=#REF!,"CLINICA DE HERIDAS ",IF(P55=#REF!,"TOMA DE CITOLOGIA CERVICO VAGINAL ",IF(P55=#REF!,"SOPORTE CARDIOVASCULAR AVANZADO (ACLS) ",IF(P55=#REF!,"CAMILLERO ",IF(P55=#REF!,"TOMA DE MUESTRAS Y LABORATORIO ",IF(P55=#REF!,"SOPORTE VITAL BASICO (BLS)",IF(P55=#REF!,"ATENCION A VICTIMAS DE VIOLENCIA SEXUAL ",IF(P55=#REF!,"PROGRAMADO AMPLIADO DE INMUNIZACION (PAI - COVID 19)",IF(P55=#REF!,"ATENCION INTEGRAL EN ENFERMEDADES PREVALENTES EN PRIMERA INFANCIA (AIEPI)",IF(P55=#REF!,"ADMINISTRACION DE MEDICAMENTOS, INYECTOLOGIA  Y CANALIZACION ",IF(P55=#REF!,"OPERADOR DE VEHICULOS DE EMERGENCIA (OVE)",IF(P55=#REF!,"INSTITUCIONES AMIGAS DE LA MUJER Y LA INFANCIA (IAMI)",IF(P55=#REF!,"CUIDADO DEL DONANTE DE ORGANOS",IF(P55=#REF!,"ATENCION A VICTIMAS POR VIOLENCIA DE GENERO",IF(P55=#REF!,"IGUALDAD DE GENERO EN LA SALUD",IF(P55=#REF!,"BRIGADA DE EMERGENCIA",IF(P55=#REF!,"MANEJO DEL DOLOR Y CUIDADOS PALIATIVOS",IF(P55=#REF!,"TOMA DE MUESTRAS Y LABORATORIO POCT",IF(P55=#REF!,"IMPLANTE SUBDERMICO DE DISPOSITIVO INTRAUTERINO",IF(P55=#REF!,"SALUD MENTAL",IF(P55=#REF!,"PRIMEROS AUXILIOS PSICOLOGICOS",IF(P55=#REF!,"ATENCION A VICTIMAS POR CONFLICTO ARMADO",IF(P55=#REF!,"MANIPULACION DE ALIMENTOS Y BPM",IF(P55=#REF!,"ATENCION A PERSONAS CON DISCAPACIDAD",IF(P55=#REF!,"CUIDADO INTEGRAL DEL PACIENTE ADULTO",IF(P55=#REF!,"MANEJO DEFENSIVO",IF(P55=#REF!,"SOPORTE CARDIOVASCULAR AVANZADO NEONATAL",IF(P55=#REF!,"SEGURIDAD DEL PACIENTE",IF(P55=#REF!,"MANEJO DE RESIDUOS HOSPITALARIOS"))))))))))))))))))))))))))))))))))))</f>
        <v>#REF!</v>
      </c>
      <c r="W55" s="25" t="str">
        <f t="shared" si="2"/>
        <v xml:space="preserve">Hector Fernando Diaz </v>
      </c>
      <c r="X55" s="25" t="str">
        <f t="shared" si="3"/>
        <v xml:space="preserve">Hector Fernando Diaz </v>
      </c>
      <c r="Y55" s="69" t="str">
        <f t="shared" si="4"/>
        <v>Hector Fernando Diaz -10538539-QUIMICOS</v>
      </c>
    </row>
    <row r="56" spans="1:25" x14ac:dyDescent="0.2">
      <c r="A56" s="28">
        <v>55</v>
      </c>
      <c r="B56" s="20">
        <v>1081572042</v>
      </c>
      <c r="C56" s="20" t="s">
        <v>175</v>
      </c>
      <c r="D56" s="20" t="s">
        <v>214</v>
      </c>
      <c r="E56" s="20" t="s">
        <v>215</v>
      </c>
      <c r="F56" s="20" t="s">
        <v>119</v>
      </c>
      <c r="G56" s="20">
        <v>13</v>
      </c>
      <c r="H56" s="20" t="s">
        <v>56</v>
      </c>
      <c r="I56" s="21" t="s">
        <v>72</v>
      </c>
      <c r="J56" s="21" t="s">
        <v>197</v>
      </c>
      <c r="K56" s="22">
        <v>45701</v>
      </c>
      <c r="L56" s="23">
        <v>35000</v>
      </c>
      <c r="M56" s="20" t="s">
        <v>61</v>
      </c>
      <c r="N56" s="20" t="s">
        <v>57</v>
      </c>
      <c r="O56" s="20" t="s">
        <v>48</v>
      </c>
      <c r="P56" s="20" t="s">
        <v>216</v>
      </c>
      <c r="Q56" s="21">
        <v>38336</v>
      </c>
      <c r="R56" s="20" t="s">
        <v>49</v>
      </c>
      <c r="S56" s="20" t="s">
        <v>74</v>
      </c>
      <c r="T56" s="20">
        <v>3043241025</v>
      </c>
      <c r="U56" s="20" t="s">
        <v>217</v>
      </c>
      <c r="V56" s="25" t="e">
        <f>IF(P56=#REF!,"DIPLOMADO EN ATENCION PRE-HOSPITALARIA",IF(P56=#REF!,"ACOMPAÑAMIENTO Y MANEJO DEL DUELO",IF(P56=#REF!,"ATENCION A VICTIMAS DE ATAQUE CON AGENTES QUIMICOS ",IF(P56=#REF!,"PRIMEROS AUXILIOS ",IF(P56=#REF!,"DIPLOMADO DE UNIDAD DE CUIDADOS INTENSIVOS (UCI)",IF(P56=#REF!,"MODELO DE ATENCION PARA EVENTOS EMERGENTES EN SALUD MENTAL (CODIGO VERDE)",IF(P56=#REF!,"HUMANIZACION EN EL SERVICIO DE LA SALUD Y BUENAS PRACTICAS EN PACIENTE ",IF(P56=#REF!,"CLINICA DE HERIDAS ",IF(P56=#REF!,"TOMA DE CITOLOGIA CERVICO VAGINAL ",IF(P56=#REF!,"SOPORTE CARDIOVASCULAR AVANZADO (ACLS) ",IF(P56=#REF!,"CAMILLERO ",IF(P56=#REF!,"TOMA DE MUESTRAS Y LABORATORIO ",IF(P56=#REF!,"SOPORTE VITAL BASICO (BLS)",IF(P56=#REF!,"ATENCION A VICTIMAS DE VIOLENCIA SEXUAL ",IF(P56=#REF!,"PROGRAMADO AMPLIADO DE INMUNIZACION (PAI - COVID 19)",IF(P56=#REF!,"ATENCION INTEGRAL EN ENFERMEDADES PREVALENTES EN PRIMERA INFANCIA (AIEPI)",IF(P56=#REF!,"ADMINISTRACION DE MEDICAMENTOS, INYECTOLOGIA  Y CANALIZACION ",IF(P56=#REF!,"OPERADOR DE VEHICULOS DE EMERGENCIA (OVE)",IF(P56=#REF!,"INSTITUCIONES AMIGAS DE LA MUJER Y LA INFANCIA (IAMI)",IF(P56=#REF!,"CUIDADO DEL DONANTE DE ORGANOS",IF(P56=#REF!,"ATENCION A VICTIMAS POR VIOLENCIA DE GENERO",IF(P56=#REF!,"IGUALDAD DE GENERO EN LA SALUD",IF(P56=#REF!,"BRIGADA DE EMERGENCIA",IF(P56=#REF!,"MANEJO DEL DOLOR Y CUIDADOS PALIATIVOS",IF(P56=#REF!,"TOMA DE MUESTRAS Y LABORATORIO POCT",IF(P56=#REF!,"IMPLANTE SUBDERMICO DE DISPOSITIVO INTRAUTERINO",IF(P56=#REF!,"SALUD MENTAL",IF(P56=#REF!,"PRIMEROS AUXILIOS PSICOLOGICOS",IF(P56=#REF!,"ATENCION A VICTIMAS POR CONFLICTO ARMADO",IF(P56=#REF!,"MANIPULACION DE ALIMENTOS Y BPM",IF(P56=#REF!,"ATENCION A PERSONAS CON DISCAPACIDAD",IF(P56=#REF!,"CUIDADO INTEGRAL DEL PACIENTE ADULTO",IF(P56=#REF!,"MANEJO DEFENSIVO",IF(P56=#REF!,"SOPORTE CARDIOVASCULAR AVANZADO NEONATAL",IF(P56=#REF!,"SEGURIDAD DEL PACIENTE",IF(P56=#REF!,"MANEJO DE RESIDUOS HOSPITALARIOS"))))))))))))))))))))))))))))))))))))</f>
        <v>#REF!</v>
      </c>
      <c r="W56" s="25" t="str">
        <f t="shared" si="2"/>
        <v>Angie Carolina Yaqueno Criollo</v>
      </c>
      <c r="X56" s="25" t="str">
        <f t="shared" si="3"/>
        <v>Angie Carolina Yaqueno Criollo</v>
      </c>
      <c r="Y56" s="69" t="str">
        <f t="shared" si="4"/>
        <v>Angie Carolina Yaqueno Criollo-1081572042-VACUNACION</v>
      </c>
    </row>
    <row r="57" spans="1:25" x14ac:dyDescent="0.2">
      <c r="A57" s="19">
        <v>56</v>
      </c>
      <c r="B57" s="20">
        <v>1081572042</v>
      </c>
      <c r="C57" s="20" t="s">
        <v>175</v>
      </c>
      <c r="D57" s="20" t="s">
        <v>214</v>
      </c>
      <c r="E57" s="20" t="s">
        <v>215</v>
      </c>
      <c r="F57" s="20" t="s">
        <v>119</v>
      </c>
      <c r="G57" s="20">
        <v>12</v>
      </c>
      <c r="H57" s="20" t="s">
        <v>56</v>
      </c>
      <c r="I57" s="21" t="s">
        <v>72</v>
      </c>
      <c r="J57" s="21" t="s">
        <v>197</v>
      </c>
      <c r="K57" s="22">
        <v>45701</v>
      </c>
      <c r="L57" s="23">
        <v>35000</v>
      </c>
      <c r="M57" s="20" t="s">
        <v>61</v>
      </c>
      <c r="N57" s="20" t="s">
        <v>57</v>
      </c>
      <c r="O57" s="20" t="s">
        <v>48</v>
      </c>
      <c r="P57" s="20" t="s">
        <v>23</v>
      </c>
      <c r="Q57" s="21">
        <v>38336</v>
      </c>
      <c r="R57" s="20" t="s">
        <v>49</v>
      </c>
      <c r="S57" s="20" t="s">
        <v>74</v>
      </c>
      <c r="T57" s="20">
        <v>3043241025</v>
      </c>
      <c r="U57" s="20" t="s">
        <v>217</v>
      </c>
      <c r="V57" s="25" t="e">
        <f>IF(P57=#REF!,"DIPLOMADO EN ATENCION PRE-HOSPITALARIA",IF(P57=#REF!,"ACOMPAÑAMIENTO Y MANEJO DEL DUELO",IF(P57=#REF!,"ATENCION A VICTIMAS DE ATAQUE CON AGENTES QUIMICOS ",IF(P57=#REF!,"PRIMEROS AUXILIOS ",IF(P57=#REF!,"DIPLOMADO DE UNIDAD DE CUIDADOS INTENSIVOS (UCI)",IF(P57=#REF!,"MODELO DE ATENCION PARA EVENTOS EMERGENTES EN SALUD MENTAL (CODIGO VERDE)",IF(P57=#REF!,"HUMANIZACION EN EL SERVICIO DE LA SALUD Y BUENAS PRACTICAS EN PACIENTE ",IF(P57=#REF!,"CLINICA DE HERIDAS ",IF(P57=#REF!,"TOMA DE CITOLOGIA CERVICO VAGINAL ",IF(P57=#REF!,"SOPORTE CARDIOVASCULAR AVANZADO (ACLS) ",IF(P57=#REF!,"CAMILLERO ",IF(P57=#REF!,"TOMA DE MUESTRAS Y LABORATORIO ",IF(P57=#REF!,"SOPORTE VITAL BASICO (BLS)",IF(P57=#REF!,"ATENCION A VICTIMAS DE VIOLENCIA SEXUAL ",IF(P57=#REF!,"PROGRAMADO AMPLIADO DE INMUNIZACION (PAI - COVID 19)",IF(P57=#REF!,"ATENCION INTEGRAL EN ENFERMEDADES PREVALENTES EN PRIMERA INFANCIA (AIEPI)",IF(P57=#REF!,"ADMINISTRACION DE MEDICAMENTOS, INYECTOLOGIA  Y CANALIZACION ",IF(P57=#REF!,"OPERADOR DE VEHICULOS DE EMERGENCIA (OVE)",IF(P57=#REF!,"INSTITUCIONES AMIGAS DE LA MUJER Y LA INFANCIA (IAMI)",IF(P57=#REF!,"CUIDADO DEL DONANTE DE ORGANOS",IF(P57=#REF!,"ATENCION A VICTIMAS POR VIOLENCIA DE GENERO",IF(P57=#REF!,"IGUALDAD DE GENERO EN LA SALUD",IF(P57=#REF!,"BRIGADA DE EMERGENCIA",IF(P57=#REF!,"MANEJO DEL DOLOR Y CUIDADOS PALIATIVOS",IF(P57=#REF!,"TOMA DE MUESTRAS Y LABORATORIO POCT",IF(P57=#REF!,"IMPLANTE SUBDERMICO DE DISPOSITIVO INTRAUTERINO",IF(P57=#REF!,"SALUD MENTAL",IF(P57=#REF!,"PRIMEROS AUXILIOS PSICOLOGICOS",IF(P57=#REF!,"ATENCION A VICTIMAS POR CONFLICTO ARMADO",IF(P57=#REF!,"MANIPULACION DE ALIMENTOS Y BPM",IF(P57=#REF!,"ATENCION A PERSONAS CON DISCAPACIDAD",IF(P57=#REF!,"CUIDADO INTEGRAL DEL PACIENTE ADULTO",IF(P57=#REF!,"MANEJO DEFENSIVO",IF(P57=#REF!,"SOPORTE CARDIOVASCULAR AVANZADO NEONATAL",IF(P57=#REF!,"SEGURIDAD DEL PACIENTE",IF(P57=#REF!,"MANEJO DE RESIDUOS HOSPITALARIOS"))))))))))))))))))))))))))))))))))))</f>
        <v>#REF!</v>
      </c>
      <c r="W57" s="25" t="str">
        <f t="shared" si="2"/>
        <v>Angie Carolina Yaqueno Criollo</v>
      </c>
      <c r="X57" s="25" t="str">
        <f t="shared" si="3"/>
        <v>Angie Carolina Yaqueno Criollo</v>
      </c>
      <c r="Y57" s="69" t="str">
        <f t="shared" si="4"/>
        <v>Angie Carolina Yaqueno Criollo-1081572042-HUMANIZACION</v>
      </c>
    </row>
    <row r="58" spans="1:25" x14ac:dyDescent="0.2">
      <c r="A58" s="19">
        <v>57</v>
      </c>
      <c r="B58" s="20">
        <v>1087416468</v>
      </c>
      <c r="C58" s="20" t="s">
        <v>218</v>
      </c>
      <c r="D58" s="20" t="s">
        <v>218</v>
      </c>
      <c r="E58" s="20" t="s">
        <v>219</v>
      </c>
      <c r="F58" s="20" t="s">
        <v>220</v>
      </c>
      <c r="G58" s="20">
        <v>10</v>
      </c>
      <c r="H58" s="20" t="s">
        <v>56</v>
      </c>
      <c r="I58" s="21" t="s">
        <v>72</v>
      </c>
      <c r="J58" s="21" t="s">
        <v>91</v>
      </c>
      <c r="K58" s="22">
        <v>45702</v>
      </c>
      <c r="L58" s="23">
        <v>25000</v>
      </c>
      <c r="M58" s="20" t="s">
        <v>90</v>
      </c>
      <c r="N58" s="20" t="s">
        <v>57</v>
      </c>
      <c r="O58" s="20" t="s">
        <v>73</v>
      </c>
      <c r="P58" s="20" t="s">
        <v>23</v>
      </c>
      <c r="Q58" s="21">
        <v>33347</v>
      </c>
      <c r="R58" s="20" t="s">
        <v>49</v>
      </c>
      <c r="S58" s="20" t="s">
        <v>74</v>
      </c>
      <c r="T58" s="20">
        <v>3135129848</v>
      </c>
      <c r="U58" s="20" t="s">
        <v>221</v>
      </c>
      <c r="V58" s="25" t="e">
        <f>IF(P58=#REF!,"DIPLOMADO EN ATENCION PRE-HOSPITALARIA",IF(P58=#REF!,"ACOMPAÑAMIENTO Y MANEJO DEL DUELO",IF(P58=#REF!,"ATENCION A VICTIMAS DE ATAQUE CON AGENTES QUIMICOS ",IF(P58=#REF!,"PRIMEROS AUXILIOS ",IF(P58=#REF!,"DIPLOMADO DE UNIDAD DE CUIDADOS INTENSIVOS (UCI)",IF(P58=#REF!,"MODELO DE ATENCION PARA EVENTOS EMERGENTES EN SALUD MENTAL (CODIGO VERDE)",IF(P58=#REF!,"HUMANIZACION EN EL SERVICIO DE LA SALUD Y BUENAS PRACTICAS EN PACIENTE ",IF(P58=#REF!,"CLINICA DE HERIDAS ",IF(P58=#REF!,"TOMA DE CITOLOGIA CERVICO VAGINAL ",IF(P58=#REF!,"SOPORTE CARDIOVASCULAR AVANZADO (ACLS) ",IF(P58=#REF!,"CAMILLERO ",IF(P58=#REF!,"TOMA DE MUESTRAS Y LABORATORIO ",IF(P58=#REF!,"SOPORTE VITAL BASICO (BLS)",IF(P58=#REF!,"ATENCION A VICTIMAS DE VIOLENCIA SEXUAL ",IF(P58=#REF!,"PROGRAMADO AMPLIADO DE INMUNIZACION (PAI - COVID 19)",IF(P58=#REF!,"ATENCION INTEGRAL EN ENFERMEDADES PREVALENTES EN PRIMERA INFANCIA (AIEPI)",IF(P58=#REF!,"ADMINISTRACION DE MEDICAMENTOS, INYECTOLOGIA  Y CANALIZACION ",IF(P58=#REF!,"OPERADOR DE VEHICULOS DE EMERGENCIA (OVE)",IF(P58=#REF!,"INSTITUCIONES AMIGAS DE LA MUJER Y LA INFANCIA (IAMI)",IF(P58=#REF!,"CUIDADO DEL DONANTE DE ORGANOS",IF(P58=#REF!,"ATENCION A VICTIMAS POR VIOLENCIA DE GENERO",IF(P58=#REF!,"IGUALDAD DE GENERO EN LA SALUD",IF(P58=#REF!,"BRIGADA DE EMERGENCIA",IF(P58=#REF!,"MANEJO DEL DOLOR Y CUIDADOS PALIATIVOS",IF(P58=#REF!,"TOMA DE MUESTRAS Y LABORATORIO POCT",IF(P58=#REF!,"IMPLANTE SUBDERMICO DE DISPOSITIVO INTRAUTERINO",IF(P58=#REF!,"SALUD MENTAL",IF(P58=#REF!,"PRIMEROS AUXILIOS PSICOLOGICOS",IF(P58=#REF!,"ATENCION A VICTIMAS POR CONFLICTO ARMADO",IF(P58=#REF!,"MANIPULACION DE ALIMENTOS Y BPM",IF(P58=#REF!,"ATENCION A PERSONAS CON DISCAPACIDAD",IF(P58=#REF!,"CUIDADO INTEGRAL DEL PACIENTE ADULTO",IF(P58=#REF!,"MANEJO DEFENSIVO",IF(P58=#REF!,"SOPORTE CARDIOVASCULAR AVANZADO NEONATAL",IF(P58=#REF!,"SEGURIDAD DEL PACIENTE",IF(P58=#REF!,"MANEJO DE RESIDUOS HOSPITALARIOS"))))))))))))))))))))))))))))))))))))</f>
        <v>#REF!</v>
      </c>
      <c r="W58" s="25" t="str">
        <f t="shared" si="2"/>
        <v>Mary Ofir Getial Getial</v>
      </c>
      <c r="X58" s="25" t="str">
        <f t="shared" si="3"/>
        <v>Mary Ofir Getial Getial</v>
      </c>
      <c r="Y58" s="69" t="str">
        <f t="shared" si="4"/>
        <v>Mary Ofir Getial Getial-1087416468-HUMANIZACION</v>
      </c>
    </row>
    <row r="59" spans="1:25" x14ac:dyDescent="0.2">
      <c r="A59" s="19">
        <v>58</v>
      </c>
      <c r="B59" s="20">
        <v>1087416468</v>
      </c>
      <c r="C59" s="20" t="s">
        <v>218</v>
      </c>
      <c r="D59" s="20" t="s">
        <v>218</v>
      </c>
      <c r="E59" s="20" t="s">
        <v>219</v>
      </c>
      <c r="F59" s="20" t="s">
        <v>220</v>
      </c>
      <c r="G59" s="20">
        <v>11</v>
      </c>
      <c r="H59" s="20" t="s">
        <v>56</v>
      </c>
      <c r="I59" s="21" t="s">
        <v>72</v>
      </c>
      <c r="J59" s="21" t="s">
        <v>91</v>
      </c>
      <c r="K59" s="22">
        <v>45702</v>
      </c>
      <c r="L59" s="23">
        <v>25000</v>
      </c>
      <c r="M59" s="20" t="s">
        <v>90</v>
      </c>
      <c r="N59" s="20" t="s">
        <v>57</v>
      </c>
      <c r="O59" s="20" t="s">
        <v>73</v>
      </c>
      <c r="P59" s="20" t="s">
        <v>35</v>
      </c>
      <c r="Q59" s="21">
        <v>33347</v>
      </c>
      <c r="R59" s="20" t="s">
        <v>49</v>
      </c>
      <c r="S59" s="20" t="s">
        <v>74</v>
      </c>
      <c r="T59" s="20">
        <v>3135129848</v>
      </c>
      <c r="U59" s="20" t="s">
        <v>221</v>
      </c>
      <c r="V59" s="25" t="e">
        <f>IF(P59=#REF!,"DIPLOMADO EN ATENCION PRE-HOSPITALARIA",IF(P59=#REF!,"ACOMPAÑAMIENTO Y MANEJO DEL DUELO",IF(P59=#REF!,"ATENCION A VICTIMAS DE ATAQUE CON AGENTES QUIMICOS ",IF(P59=#REF!,"PRIMEROS AUXILIOS ",IF(P59=#REF!,"DIPLOMADO DE UNIDAD DE CUIDADOS INTENSIVOS (UCI)",IF(P59=#REF!,"MODELO DE ATENCION PARA EVENTOS EMERGENTES EN SALUD MENTAL (CODIGO VERDE)",IF(P59=#REF!,"HUMANIZACION EN EL SERVICIO DE LA SALUD Y BUENAS PRACTICAS EN PACIENTE ",IF(P59=#REF!,"CLINICA DE HERIDAS ",IF(P59=#REF!,"TOMA DE CITOLOGIA CERVICO VAGINAL ",IF(P59=#REF!,"SOPORTE CARDIOVASCULAR AVANZADO (ACLS) ",IF(P59=#REF!,"CAMILLERO ",IF(P59=#REF!,"TOMA DE MUESTRAS Y LABORATORIO ",IF(P59=#REF!,"SOPORTE VITAL BASICO (BLS)",IF(P59=#REF!,"ATENCION A VICTIMAS DE VIOLENCIA SEXUAL ",IF(P59=#REF!,"PROGRAMADO AMPLIADO DE INMUNIZACION (PAI - COVID 19)",IF(P59=#REF!,"ATENCION INTEGRAL EN ENFERMEDADES PREVALENTES EN PRIMERA INFANCIA (AIEPI)",IF(P59=#REF!,"ADMINISTRACION DE MEDICAMENTOS, INYECTOLOGIA  Y CANALIZACION ",IF(P59=#REF!,"OPERADOR DE VEHICULOS DE EMERGENCIA (OVE)",IF(P59=#REF!,"INSTITUCIONES AMIGAS DE LA MUJER Y LA INFANCIA (IAMI)",IF(P59=#REF!,"CUIDADO DEL DONANTE DE ORGANOS",IF(P59=#REF!,"ATENCION A VICTIMAS POR VIOLENCIA DE GENERO",IF(P59=#REF!,"IGUALDAD DE GENERO EN LA SALUD",IF(P59=#REF!,"BRIGADA DE EMERGENCIA",IF(P59=#REF!,"MANEJO DEL DOLOR Y CUIDADOS PALIATIVOS",IF(P59=#REF!,"TOMA DE MUESTRAS Y LABORATORIO POCT",IF(P59=#REF!,"IMPLANTE SUBDERMICO DE DISPOSITIVO INTRAUTERINO",IF(P59=#REF!,"SALUD MENTAL",IF(P59=#REF!,"PRIMEROS AUXILIOS PSICOLOGICOS",IF(P59=#REF!,"ATENCION A VICTIMAS POR CONFLICTO ARMADO",IF(P59=#REF!,"MANIPULACION DE ALIMENTOS Y BPM",IF(P59=#REF!,"ATENCION A PERSONAS CON DISCAPACIDAD",IF(P59=#REF!,"CUIDADO INTEGRAL DEL PACIENTE ADULTO",IF(P59=#REF!,"MANEJO DEFENSIVO",IF(P59=#REF!,"SOPORTE CARDIOVASCULAR AVANZADO NEONATAL",IF(P59=#REF!,"SEGURIDAD DEL PACIENTE",IF(P59=#REF!,"MANEJO DE RESIDUOS HOSPITALARIOS"))))))))))))))))))))))))))))))))))))</f>
        <v>#REF!</v>
      </c>
      <c r="W59" s="25" t="str">
        <f t="shared" si="2"/>
        <v>Mary Ofir Getial Getial</v>
      </c>
      <c r="X59" s="25" t="str">
        <f t="shared" si="3"/>
        <v>Mary Ofir Getial Getial</v>
      </c>
      <c r="Y59" s="69" t="str">
        <f t="shared" si="4"/>
        <v>Mary Ofir Getial Getial-1087416468-CONFLICTO ARMADO</v>
      </c>
    </row>
    <row r="60" spans="1:25" x14ac:dyDescent="0.2">
      <c r="A60" s="19">
        <v>59</v>
      </c>
      <c r="B60" s="20">
        <v>1087416468</v>
      </c>
      <c r="C60" s="20" t="s">
        <v>218</v>
      </c>
      <c r="D60" s="20" t="s">
        <v>218</v>
      </c>
      <c r="E60" s="20" t="s">
        <v>219</v>
      </c>
      <c r="F60" s="20" t="s">
        <v>220</v>
      </c>
      <c r="G60" s="20">
        <v>13</v>
      </c>
      <c r="H60" s="20" t="s">
        <v>56</v>
      </c>
      <c r="I60" s="21" t="s">
        <v>72</v>
      </c>
      <c r="J60" s="21" t="s">
        <v>91</v>
      </c>
      <c r="K60" s="22">
        <v>45702</v>
      </c>
      <c r="L60" s="23">
        <v>25000</v>
      </c>
      <c r="M60" s="20" t="s">
        <v>90</v>
      </c>
      <c r="N60" s="20" t="s">
        <v>57</v>
      </c>
      <c r="O60" s="20" t="s">
        <v>73</v>
      </c>
      <c r="P60" s="20" t="s">
        <v>20</v>
      </c>
      <c r="Q60" s="21">
        <v>33347</v>
      </c>
      <c r="R60" s="20" t="s">
        <v>49</v>
      </c>
      <c r="S60" s="20" t="s">
        <v>74</v>
      </c>
      <c r="T60" s="20">
        <v>3135129848</v>
      </c>
      <c r="U60" s="20" t="s">
        <v>221</v>
      </c>
      <c r="V60" s="25" t="e">
        <f>IF(P60=#REF!,"DIPLOMADO EN ATENCION PRE-HOSPITALARIA",IF(P60=#REF!,"ACOMPAÑAMIENTO Y MANEJO DEL DUELO",IF(P60=#REF!,"ATENCION A VICTIMAS DE ATAQUE CON AGENTES QUIMICOS ",IF(P60=#REF!,"PRIMEROS AUXILIOS ",IF(P60=#REF!,"DIPLOMADO DE UNIDAD DE CUIDADOS INTENSIVOS (UCI)",IF(P60=#REF!,"MODELO DE ATENCION PARA EVENTOS EMERGENTES EN SALUD MENTAL (CODIGO VERDE)",IF(P60=#REF!,"HUMANIZACION EN EL SERVICIO DE LA SALUD Y BUENAS PRACTICAS EN PACIENTE ",IF(P60=#REF!,"CLINICA DE HERIDAS ",IF(P60=#REF!,"TOMA DE CITOLOGIA CERVICO VAGINAL ",IF(P60=#REF!,"SOPORTE CARDIOVASCULAR AVANZADO (ACLS) ",IF(P60=#REF!,"CAMILLERO ",IF(P60=#REF!,"TOMA DE MUESTRAS Y LABORATORIO ",IF(P60=#REF!,"SOPORTE VITAL BASICO (BLS)",IF(P60=#REF!,"ATENCION A VICTIMAS DE VIOLENCIA SEXUAL ",IF(P60=#REF!,"PROGRAMADO AMPLIADO DE INMUNIZACION (PAI - COVID 19)",IF(P60=#REF!,"ATENCION INTEGRAL EN ENFERMEDADES PREVALENTES EN PRIMERA INFANCIA (AIEPI)",IF(P60=#REF!,"ADMINISTRACION DE MEDICAMENTOS, INYECTOLOGIA  Y CANALIZACION ",IF(P60=#REF!,"OPERADOR DE VEHICULOS DE EMERGENCIA (OVE)",IF(P60=#REF!,"INSTITUCIONES AMIGAS DE LA MUJER Y LA INFANCIA (IAMI)",IF(P60=#REF!,"CUIDADO DEL DONANTE DE ORGANOS",IF(P60=#REF!,"ATENCION A VICTIMAS POR VIOLENCIA DE GENERO",IF(P60=#REF!,"IGUALDAD DE GENERO EN LA SALUD",IF(P60=#REF!,"BRIGADA DE EMERGENCIA",IF(P60=#REF!,"MANEJO DEL DOLOR Y CUIDADOS PALIATIVOS",IF(P60=#REF!,"TOMA DE MUESTRAS Y LABORATORIO POCT",IF(P60=#REF!,"IMPLANTE SUBDERMICO DE DISPOSITIVO INTRAUTERINO",IF(P60=#REF!,"SALUD MENTAL",IF(P60=#REF!,"PRIMEROS AUXILIOS PSICOLOGICOS",IF(P60=#REF!,"ATENCION A VICTIMAS POR CONFLICTO ARMADO",IF(P60=#REF!,"MANIPULACION DE ALIMENTOS Y BPM",IF(P60=#REF!,"ATENCION A PERSONAS CON DISCAPACIDAD",IF(P60=#REF!,"CUIDADO INTEGRAL DEL PACIENTE ADULTO",IF(P60=#REF!,"MANEJO DEFENSIVO",IF(P60=#REF!,"SOPORTE CARDIOVASCULAR AVANZADO NEONATAL",IF(P60=#REF!,"SEGURIDAD DEL PACIENTE",IF(P60=#REF!,"MANEJO DE RESIDUOS HOSPITALARIOS"))))))))))))))))))))))))))))))))))))</f>
        <v>#REF!</v>
      </c>
      <c r="W60" s="25" t="str">
        <f t="shared" si="2"/>
        <v>Mary Ofir Getial Getial</v>
      </c>
      <c r="X60" s="25" t="str">
        <f t="shared" si="3"/>
        <v>Mary Ofir Getial Getial</v>
      </c>
      <c r="Y60" s="69" t="str">
        <f t="shared" si="4"/>
        <v>Mary Ofir Getial Getial-1087416468-DUELO</v>
      </c>
    </row>
    <row r="61" spans="1:25" x14ac:dyDescent="0.2">
      <c r="A61" s="19">
        <v>60</v>
      </c>
      <c r="B61" s="20">
        <v>1087416468</v>
      </c>
      <c r="C61" s="20" t="s">
        <v>218</v>
      </c>
      <c r="D61" s="20" t="s">
        <v>218</v>
      </c>
      <c r="E61" s="20" t="s">
        <v>219</v>
      </c>
      <c r="F61" s="20" t="s">
        <v>220</v>
      </c>
      <c r="G61" s="20">
        <v>12</v>
      </c>
      <c r="H61" s="20" t="s">
        <v>56</v>
      </c>
      <c r="I61" s="21" t="s">
        <v>72</v>
      </c>
      <c r="J61" s="21" t="s">
        <v>91</v>
      </c>
      <c r="K61" s="22">
        <v>45702</v>
      </c>
      <c r="L61" s="23">
        <v>25000</v>
      </c>
      <c r="M61" s="20" t="s">
        <v>90</v>
      </c>
      <c r="N61" s="20" t="s">
        <v>57</v>
      </c>
      <c r="O61" s="20" t="s">
        <v>73</v>
      </c>
      <c r="P61" s="20" t="s">
        <v>27</v>
      </c>
      <c r="Q61" s="21">
        <v>33347</v>
      </c>
      <c r="R61" s="20" t="s">
        <v>49</v>
      </c>
      <c r="S61" s="20" t="s">
        <v>74</v>
      </c>
      <c r="T61" s="20">
        <v>3135129848</v>
      </c>
      <c r="U61" s="20" t="s">
        <v>221</v>
      </c>
      <c r="V61" s="25" t="e">
        <f>IF(P61=#REF!,"DIPLOMADO EN ATENCION PRE-HOSPITALARIA",IF(P61=#REF!,"ACOMPAÑAMIENTO Y MANEJO DEL DUELO",IF(P61=#REF!,"ATENCION A VICTIMAS DE ATAQUE CON AGENTES QUIMICOS ",IF(P61=#REF!,"PRIMEROS AUXILIOS ",IF(P61=#REF!,"DIPLOMADO DE UNIDAD DE CUIDADOS INTENSIVOS (UCI)",IF(P61=#REF!,"MODELO DE ATENCION PARA EVENTOS EMERGENTES EN SALUD MENTAL (CODIGO VERDE)",IF(P61=#REF!,"HUMANIZACION EN EL SERVICIO DE LA SALUD Y BUENAS PRACTICAS EN PACIENTE ",IF(P61=#REF!,"CLINICA DE HERIDAS ",IF(P61=#REF!,"TOMA DE CITOLOGIA CERVICO VAGINAL ",IF(P61=#REF!,"SOPORTE CARDIOVASCULAR AVANZADO (ACLS) ",IF(P61=#REF!,"CAMILLERO ",IF(P61=#REF!,"TOMA DE MUESTRAS Y LABORATORIO ",IF(P61=#REF!,"SOPORTE VITAL BASICO (BLS)",IF(P61=#REF!,"ATENCION A VICTIMAS DE VIOLENCIA SEXUAL ",IF(P61=#REF!,"PROGRAMADO AMPLIADO DE INMUNIZACION (PAI - COVID 19)",IF(P61=#REF!,"ATENCION INTEGRAL EN ENFERMEDADES PREVALENTES EN PRIMERA INFANCIA (AIEPI)",IF(P61=#REF!,"ADMINISTRACION DE MEDICAMENTOS, INYECTOLOGIA  Y CANALIZACION ",IF(P61=#REF!,"OPERADOR DE VEHICULOS DE EMERGENCIA (OVE)",IF(P61=#REF!,"INSTITUCIONES AMIGAS DE LA MUJER Y LA INFANCIA (IAMI)",IF(P61=#REF!,"CUIDADO DEL DONANTE DE ORGANOS",IF(P61=#REF!,"ATENCION A VICTIMAS POR VIOLENCIA DE GENERO",IF(P61=#REF!,"IGUALDAD DE GENERO EN LA SALUD",IF(P61=#REF!,"BRIGADA DE EMERGENCIA",IF(P61=#REF!,"MANEJO DEL DOLOR Y CUIDADOS PALIATIVOS",IF(P61=#REF!,"TOMA DE MUESTRAS Y LABORATORIO POCT",IF(P61=#REF!,"IMPLANTE SUBDERMICO DE DISPOSITIVO INTRAUTERINO",IF(P61=#REF!,"SALUD MENTAL",IF(P61=#REF!,"PRIMEROS AUXILIOS PSICOLOGICOS",IF(P61=#REF!,"ATENCION A VICTIMAS POR CONFLICTO ARMADO",IF(P61=#REF!,"MANIPULACION DE ALIMENTOS Y BPM",IF(P61=#REF!,"ATENCION A PERSONAS CON DISCAPACIDAD",IF(P61=#REF!,"CUIDADO INTEGRAL DEL PACIENTE ADULTO",IF(P61=#REF!,"MANEJO DEFENSIVO",IF(P61=#REF!,"SOPORTE CARDIOVASCULAR AVANZADO NEONATAL",IF(P61=#REF!,"SEGURIDAD DEL PACIENTE",IF(P61=#REF!,"MANEJO DE RESIDUOS HOSPITALARIOS"))))))))))))))))))))))))))))))))))))</f>
        <v>#REF!</v>
      </c>
      <c r="W61" s="25" t="str">
        <f t="shared" si="2"/>
        <v>Mary Ofir Getial Getial</v>
      </c>
      <c r="X61" s="25" t="str">
        <f t="shared" si="3"/>
        <v>Mary Ofir Getial Getial</v>
      </c>
      <c r="Y61" s="69" t="str">
        <f t="shared" si="4"/>
        <v>Mary Ofir Getial Getial-1087416468-VIOLENCIA SEXUAL</v>
      </c>
    </row>
    <row r="62" spans="1:25" x14ac:dyDescent="0.2">
      <c r="A62" s="19">
        <v>61</v>
      </c>
      <c r="B62" s="20">
        <v>1087416468</v>
      </c>
      <c r="C62" s="20" t="s">
        <v>218</v>
      </c>
      <c r="D62" s="20" t="s">
        <v>218</v>
      </c>
      <c r="E62" s="20" t="s">
        <v>219</v>
      </c>
      <c r="F62" s="20" t="s">
        <v>220</v>
      </c>
      <c r="G62" s="20">
        <v>12</v>
      </c>
      <c r="H62" s="20" t="s">
        <v>56</v>
      </c>
      <c r="I62" s="21" t="s">
        <v>72</v>
      </c>
      <c r="J62" s="21" t="s">
        <v>91</v>
      </c>
      <c r="K62" s="22">
        <v>45702</v>
      </c>
      <c r="L62" s="23">
        <v>25000</v>
      </c>
      <c r="M62" s="20" t="s">
        <v>90</v>
      </c>
      <c r="N62" s="20" t="s">
        <v>57</v>
      </c>
      <c r="O62" s="20" t="s">
        <v>73</v>
      </c>
      <c r="P62" s="20" t="s">
        <v>21</v>
      </c>
      <c r="Q62" s="21">
        <v>33347</v>
      </c>
      <c r="R62" s="20" t="s">
        <v>49</v>
      </c>
      <c r="S62" s="20" t="s">
        <v>74</v>
      </c>
      <c r="T62" s="20">
        <v>3135129848</v>
      </c>
      <c r="U62" s="20" t="s">
        <v>221</v>
      </c>
      <c r="V62" s="25" t="e">
        <f>IF(P62=#REF!,"DIPLOMADO EN ATENCION PRE-HOSPITALARIA",IF(P62=#REF!,"ACOMPAÑAMIENTO Y MANEJO DEL DUELO",IF(P62=#REF!,"ATENCION A VICTIMAS DE ATAQUE CON AGENTES QUIMICOS ",IF(P62=#REF!,"PRIMEROS AUXILIOS ",IF(P62=#REF!,"DIPLOMADO DE UNIDAD DE CUIDADOS INTENSIVOS (UCI)",IF(P62=#REF!,"MODELO DE ATENCION PARA EVENTOS EMERGENTES EN SALUD MENTAL (CODIGO VERDE)",IF(P62=#REF!,"HUMANIZACION EN EL SERVICIO DE LA SALUD Y BUENAS PRACTICAS EN PACIENTE ",IF(P62=#REF!,"CLINICA DE HERIDAS ",IF(P62=#REF!,"TOMA DE CITOLOGIA CERVICO VAGINAL ",IF(P62=#REF!,"SOPORTE CARDIOVASCULAR AVANZADO (ACLS) ",IF(P62=#REF!,"CAMILLERO ",IF(P62=#REF!,"TOMA DE MUESTRAS Y LABORATORIO ",IF(P62=#REF!,"SOPORTE VITAL BASICO (BLS)",IF(P62=#REF!,"ATENCION A VICTIMAS DE VIOLENCIA SEXUAL ",IF(P62=#REF!,"PROGRAMADO AMPLIADO DE INMUNIZACION (PAI - COVID 19)",IF(P62=#REF!,"ATENCION INTEGRAL EN ENFERMEDADES PREVALENTES EN PRIMERA INFANCIA (AIEPI)",IF(P62=#REF!,"ADMINISTRACION DE MEDICAMENTOS, INYECTOLOGIA  Y CANALIZACION ",IF(P62=#REF!,"OPERADOR DE VEHICULOS DE EMERGENCIA (OVE)",IF(P62=#REF!,"INSTITUCIONES AMIGAS DE LA MUJER Y LA INFANCIA (IAMI)",IF(P62=#REF!,"CUIDADO DEL DONANTE DE ORGANOS",IF(P62=#REF!,"ATENCION A VICTIMAS POR VIOLENCIA DE GENERO",IF(P62=#REF!,"IGUALDAD DE GENERO EN LA SALUD",IF(P62=#REF!,"BRIGADA DE EMERGENCIA",IF(P62=#REF!,"MANEJO DEL DOLOR Y CUIDADOS PALIATIVOS",IF(P62=#REF!,"TOMA DE MUESTRAS Y LABORATORIO POCT",IF(P62=#REF!,"IMPLANTE SUBDERMICO DE DISPOSITIVO INTRAUTERINO",IF(P62=#REF!,"SALUD MENTAL",IF(P62=#REF!,"PRIMEROS AUXILIOS PSICOLOGICOS",IF(P62=#REF!,"ATENCION A VICTIMAS POR CONFLICTO ARMADO",IF(P62=#REF!,"MANIPULACION DE ALIMENTOS Y BPM",IF(P62=#REF!,"ATENCION A PERSONAS CON DISCAPACIDAD",IF(P62=#REF!,"CUIDADO INTEGRAL DEL PACIENTE ADULTO",IF(P62=#REF!,"MANEJO DEFENSIVO",IF(P62=#REF!,"SOPORTE CARDIOVASCULAR AVANZADO NEONATAL",IF(P62=#REF!,"SEGURIDAD DEL PACIENTE",IF(P62=#REF!,"MANEJO DE RESIDUOS HOSPITALARIOS"))))))))))))))))))))))))))))))))))))</f>
        <v>#REF!</v>
      </c>
      <c r="W62" s="25" t="str">
        <f t="shared" si="2"/>
        <v>Mary Ofir Getial Getial</v>
      </c>
      <c r="X62" s="25" t="str">
        <f t="shared" si="3"/>
        <v>Mary Ofir Getial Getial</v>
      </c>
      <c r="Y62" s="69" t="str">
        <f t="shared" si="4"/>
        <v>Mary Ofir Getial Getial-1087416468-QUIMICOS</v>
      </c>
    </row>
    <row r="63" spans="1:25" x14ac:dyDescent="0.2">
      <c r="A63" s="19">
        <v>62</v>
      </c>
      <c r="B63" s="20">
        <v>1087416468</v>
      </c>
      <c r="C63" s="20" t="s">
        <v>218</v>
      </c>
      <c r="D63" s="20" t="s">
        <v>218</v>
      </c>
      <c r="E63" s="20" t="s">
        <v>219</v>
      </c>
      <c r="F63" s="20" t="s">
        <v>220</v>
      </c>
      <c r="G63" s="20">
        <v>14</v>
      </c>
      <c r="H63" s="20" t="s">
        <v>56</v>
      </c>
      <c r="I63" s="21" t="s">
        <v>72</v>
      </c>
      <c r="J63" s="21" t="s">
        <v>91</v>
      </c>
      <c r="K63" s="22">
        <v>45702</v>
      </c>
      <c r="L63" s="23">
        <v>25000</v>
      </c>
      <c r="M63" s="20" t="s">
        <v>90</v>
      </c>
      <c r="N63" s="20" t="s">
        <v>57</v>
      </c>
      <c r="O63" s="20" t="s">
        <v>73</v>
      </c>
      <c r="P63" s="20" t="s">
        <v>22</v>
      </c>
      <c r="Q63" s="21">
        <v>33347</v>
      </c>
      <c r="R63" s="20" t="s">
        <v>49</v>
      </c>
      <c r="S63" s="20" t="s">
        <v>74</v>
      </c>
      <c r="T63" s="20">
        <v>3135129848</v>
      </c>
      <c r="U63" s="20" t="s">
        <v>221</v>
      </c>
      <c r="V63" s="25" t="e">
        <f>IF(P63=#REF!,"DIPLOMADO EN ATENCION PRE-HOSPITALARIA",IF(P63=#REF!,"ACOMPAÑAMIENTO Y MANEJO DEL DUELO",IF(P63=#REF!,"ATENCION A VICTIMAS DE ATAQUE CON AGENTES QUIMICOS ",IF(P63=#REF!,"PRIMEROS AUXILIOS ",IF(P63=#REF!,"DIPLOMADO DE UNIDAD DE CUIDADOS INTENSIVOS (UCI)",IF(P63=#REF!,"MODELO DE ATENCION PARA EVENTOS EMERGENTES EN SALUD MENTAL (CODIGO VERDE)",IF(P63=#REF!,"HUMANIZACION EN EL SERVICIO DE LA SALUD Y BUENAS PRACTICAS EN PACIENTE ",IF(P63=#REF!,"CLINICA DE HERIDAS ",IF(P63=#REF!,"TOMA DE CITOLOGIA CERVICO VAGINAL ",IF(P63=#REF!,"SOPORTE CARDIOVASCULAR AVANZADO (ACLS) ",IF(P63=#REF!,"CAMILLERO ",IF(P63=#REF!,"TOMA DE MUESTRAS Y LABORATORIO ",IF(P63=#REF!,"SOPORTE VITAL BASICO (BLS)",IF(P63=#REF!,"ATENCION A VICTIMAS DE VIOLENCIA SEXUAL ",IF(P63=#REF!,"PROGRAMADO AMPLIADO DE INMUNIZACION (PAI - COVID 19)",IF(P63=#REF!,"ATENCION INTEGRAL EN ENFERMEDADES PREVALENTES EN PRIMERA INFANCIA (AIEPI)",IF(P63=#REF!,"ADMINISTRACION DE MEDICAMENTOS, INYECTOLOGIA  Y CANALIZACION ",IF(P63=#REF!,"OPERADOR DE VEHICULOS DE EMERGENCIA (OVE)",IF(P63=#REF!,"INSTITUCIONES AMIGAS DE LA MUJER Y LA INFANCIA (IAMI)",IF(P63=#REF!,"CUIDADO DEL DONANTE DE ORGANOS",IF(P63=#REF!,"ATENCION A VICTIMAS POR VIOLENCIA DE GENERO",IF(P63=#REF!,"IGUALDAD DE GENERO EN LA SALUD",IF(P63=#REF!,"BRIGADA DE EMERGENCIA",IF(P63=#REF!,"MANEJO DEL DOLOR Y CUIDADOS PALIATIVOS",IF(P63=#REF!,"TOMA DE MUESTRAS Y LABORATORIO POCT",IF(P63=#REF!,"IMPLANTE SUBDERMICO DE DISPOSITIVO INTRAUTERINO",IF(P63=#REF!,"SALUD MENTAL",IF(P63=#REF!,"PRIMEROS AUXILIOS PSICOLOGICOS",IF(P63=#REF!,"ATENCION A VICTIMAS POR CONFLICTO ARMADO",IF(P63=#REF!,"MANIPULACION DE ALIMENTOS Y BPM",IF(P63=#REF!,"ATENCION A PERSONAS CON DISCAPACIDAD",IF(P63=#REF!,"CUIDADO INTEGRAL DEL PACIENTE ADULTO",IF(P63=#REF!,"MANEJO DEFENSIVO",IF(P63=#REF!,"SOPORTE CARDIOVASCULAR AVANZADO NEONATAL",IF(P63=#REF!,"SEGURIDAD DEL PACIENTE",IF(P63=#REF!,"MANEJO DE RESIDUOS HOSPITALARIOS"))))))))))))))))))))))))))))))))))))</f>
        <v>#REF!</v>
      </c>
      <c r="W63" s="25" t="str">
        <f t="shared" si="2"/>
        <v>Mary Ofir Getial Getial</v>
      </c>
      <c r="X63" s="25" t="str">
        <f t="shared" si="3"/>
        <v>Mary Ofir Getial Getial</v>
      </c>
      <c r="Y63" s="69" t="str">
        <f t="shared" si="4"/>
        <v>Mary Ofir Getial Getial-1087416468-PRIMEROS AUXILIOS</v>
      </c>
    </row>
    <row r="64" spans="1:25" x14ac:dyDescent="0.2">
      <c r="A64" s="19">
        <v>63</v>
      </c>
      <c r="B64" s="20">
        <v>1087426205</v>
      </c>
      <c r="C64" s="20" t="s">
        <v>218</v>
      </c>
      <c r="D64" s="20" t="s">
        <v>165</v>
      </c>
      <c r="E64" s="20" t="s">
        <v>222</v>
      </c>
      <c r="F64" s="20" t="s">
        <v>99</v>
      </c>
      <c r="G64" s="20">
        <v>10</v>
      </c>
      <c r="H64" s="20" t="s">
        <v>56</v>
      </c>
      <c r="I64" s="21" t="s">
        <v>72</v>
      </c>
      <c r="J64" s="21" t="s">
        <v>91</v>
      </c>
      <c r="K64" s="22">
        <v>45702</v>
      </c>
      <c r="L64" s="23">
        <v>25000</v>
      </c>
      <c r="M64" s="20" t="s">
        <v>90</v>
      </c>
      <c r="N64" s="20" t="s">
        <v>57</v>
      </c>
      <c r="O64" s="20" t="s">
        <v>73</v>
      </c>
      <c r="P64" s="20" t="s">
        <v>23</v>
      </c>
      <c r="Q64" s="21">
        <v>36154</v>
      </c>
      <c r="R64" s="20" t="s">
        <v>49</v>
      </c>
      <c r="S64" s="24" t="s">
        <v>74</v>
      </c>
      <c r="T64" s="20">
        <v>3184472590</v>
      </c>
      <c r="U64" s="20" t="s">
        <v>223</v>
      </c>
      <c r="V64" s="25" t="e">
        <f>IF(P64=#REF!,"DIPLOMADO EN ATENCION PRE-HOSPITALARIA",IF(P64=#REF!,"ACOMPAÑAMIENTO Y MANEJO DEL DUELO",IF(P64=#REF!,"ATENCION A VICTIMAS DE ATAQUE CON AGENTES QUIMICOS ",IF(P64=#REF!,"PRIMEROS AUXILIOS ",IF(P64=#REF!,"DIPLOMADO DE UNIDAD DE CUIDADOS INTENSIVOS (UCI)",IF(P64=#REF!,"MODELO DE ATENCION PARA EVENTOS EMERGENTES EN SALUD MENTAL (CODIGO VERDE)",IF(P64=#REF!,"HUMANIZACION EN EL SERVICIO DE LA SALUD Y BUENAS PRACTICAS EN PACIENTE ",IF(P64=#REF!,"CLINICA DE HERIDAS ",IF(P64=#REF!,"TOMA DE CITOLOGIA CERVICO VAGINAL ",IF(P64=#REF!,"SOPORTE CARDIOVASCULAR AVANZADO (ACLS) ",IF(P64=#REF!,"CAMILLERO ",IF(P64=#REF!,"TOMA DE MUESTRAS Y LABORATORIO ",IF(P64=#REF!,"SOPORTE VITAL BASICO (BLS)",IF(P64=#REF!,"ATENCION A VICTIMAS DE VIOLENCIA SEXUAL ",IF(P64=#REF!,"PROGRAMADO AMPLIADO DE INMUNIZACION (PAI - COVID 19)",IF(P64=#REF!,"ATENCION INTEGRAL EN ENFERMEDADES PREVALENTES EN PRIMERA INFANCIA (AIEPI)",IF(P64=#REF!,"ADMINISTRACION DE MEDICAMENTOS, INYECTOLOGIA  Y CANALIZACION ",IF(P64=#REF!,"OPERADOR DE VEHICULOS DE EMERGENCIA (OVE)",IF(P64=#REF!,"INSTITUCIONES AMIGAS DE LA MUJER Y LA INFANCIA (IAMI)",IF(P64=#REF!,"CUIDADO DEL DONANTE DE ORGANOS",IF(P64=#REF!,"ATENCION A VICTIMAS POR VIOLENCIA DE GENERO",IF(P64=#REF!,"IGUALDAD DE GENERO EN LA SALUD",IF(P64=#REF!,"BRIGADA DE EMERGENCIA",IF(P64=#REF!,"MANEJO DEL DOLOR Y CUIDADOS PALIATIVOS",IF(P64=#REF!,"TOMA DE MUESTRAS Y LABORATORIO POCT",IF(P64=#REF!,"IMPLANTE SUBDERMICO DE DISPOSITIVO INTRAUTERINO",IF(P64=#REF!,"SALUD MENTAL",IF(P64=#REF!,"PRIMEROS AUXILIOS PSICOLOGICOS",IF(P64=#REF!,"ATENCION A VICTIMAS POR CONFLICTO ARMADO",IF(P64=#REF!,"MANIPULACION DE ALIMENTOS Y BPM",IF(P64=#REF!,"ATENCION A PERSONAS CON DISCAPACIDAD",IF(P64=#REF!,"CUIDADO INTEGRAL DEL PACIENTE ADULTO",IF(P64=#REF!,"MANEJO DEFENSIVO",IF(P64=#REF!,"SOPORTE CARDIOVASCULAR AVANZADO NEONATAL",IF(P64=#REF!,"SEGURIDAD DEL PACIENTE",IF(P64=#REF!,"MANEJO DE RESIDUOS HOSPITALARIOS"))))))))))))))))))))))))))))))))))))</f>
        <v>#REF!</v>
      </c>
      <c r="W64" s="25" t="str">
        <f t="shared" si="2"/>
        <v>Kelly Fernanda Getial Timana</v>
      </c>
      <c r="X64" s="25" t="str">
        <f t="shared" si="3"/>
        <v>Kelly Fernanda Getial Timana</v>
      </c>
      <c r="Y64" s="69" t="str">
        <f t="shared" si="4"/>
        <v>Kelly Fernanda Getial Timana-1087426205-HUMANIZACION</v>
      </c>
    </row>
    <row r="65" spans="1:25" x14ac:dyDescent="0.2">
      <c r="A65" s="19">
        <v>64</v>
      </c>
      <c r="B65" s="20">
        <v>1087426205</v>
      </c>
      <c r="C65" s="20" t="s">
        <v>218</v>
      </c>
      <c r="D65" s="20" t="s">
        <v>165</v>
      </c>
      <c r="E65" s="20" t="s">
        <v>222</v>
      </c>
      <c r="F65" s="20" t="s">
        <v>99</v>
      </c>
      <c r="G65" s="20">
        <v>11</v>
      </c>
      <c r="H65" s="20" t="s">
        <v>56</v>
      </c>
      <c r="I65" s="21" t="s">
        <v>72</v>
      </c>
      <c r="J65" s="21" t="s">
        <v>91</v>
      </c>
      <c r="K65" s="22">
        <v>45702</v>
      </c>
      <c r="L65" s="23">
        <v>25000</v>
      </c>
      <c r="M65" s="20" t="s">
        <v>90</v>
      </c>
      <c r="N65" s="20" t="s">
        <v>57</v>
      </c>
      <c r="O65" s="20" t="s">
        <v>73</v>
      </c>
      <c r="P65" s="20" t="s">
        <v>35</v>
      </c>
      <c r="Q65" s="21">
        <v>36154</v>
      </c>
      <c r="R65" s="20" t="s">
        <v>49</v>
      </c>
      <c r="S65" s="24" t="s">
        <v>74</v>
      </c>
      <c r="T65" s="20">
        <v>3184472590</v>
      </c>
      <c r="U65" s="20" t="s">
        <v>223</v>
      </c>
      <c r="V65" s="25" t="e">
        <f>IF(P65=#REF!,"DIPLOMADO EN ATENCION PRE-HOSPITALARIA",IF(P65=#REF!,"ACOMPAÑAMIENTO Y MANEJO DEL DUELO",IF(P65=#REF!,"ATENCION A VICTIMAS DE ATAQUE CON AGENTES QUIMICOS ",IF(P65=#REF!,"PRIMEROS AUXILIOS ",IF(P65=#REF!,"DIPLOMADO DE UNIDAD DE CUIDADOS INTENSIVOS (UCI)",IF(P65=#REF!,"MODELO DE ATENCION PARA EVENTOS EMERGENTES EN SALUD MENTAL (CODIGO VERDE)",IF(P65=#REF!,"HUMANIZACION EN EL SERVICIO DE LA SALUD Y BUENAS PRACTICAS EN PACIENTE ",IF(P65=#REF!,"CLINICA DE HERIDAS ",IF(P65=#REF!,"TOMA DE CITOLOGIA CERVICO VAGINAL ",IF(P65=#REF!,"SOPORTE CARDIOVASCULAR AVANZADO (ACLS) ",IF(P65=#REF!,"CAMILLERO ",IF(P65=#REF!,"TOMA DE MUESTRAS Y LABORATORIO ",IF(P65=#REF!,"SOPORTE VITAL BASICO (BLS)",IF(P65=#REF!,"ATENCION A VICTIMAS DE VIOLENCIA SEXUAL ",IF(P65=#REF!,"PROGRAMADO AMPLIADO DE INMUNIZACION (PAI - COVID 19)",IF(P65=#REF!,"ATENCION INTEGRAL EN ENFERMEDADES PREVALENTES EN PRIMERA INFANCIA (AIEPI)",IF(P65=#REF!,"ADMINISTRACION DE MEDICAMENTOS, INYECTOLOGIA  Y CANALIZACION ",IF(P65=#REF!,"OPERADOR DE VEHICULOS DE EMERGENCIA (OVE)",IF(P65=#REF!,"INSTITUCIONES AMIGAS DE LA MUJER Y LA INFANCIA (IAMI)",IF(P65=#REF!,"CUIDADO DEL DONANTE DE ORGANOS",IF(P65=#REF!,"ATENCION A VICTIMAS POR VIOLENCIA DE GENERO",IF(P65=#REF!,"IGUALDAD DE GENERO EN LA SALUD",IF(P65=#REF!,"BRIGADA DE EMERGENCIA",IF(P65=#REF!,"MANEJO DEL DOLOR Y CUIDADOS PALIATIVOS",IF(P65=#REF!,"TOMA DE MUESTRAS Y LABORATORIO POCT",IF(P65=#REF!,"IMPLANTE SUBDERMICO DE DISPOSITIVO INTRAUTERINO",IF(P65=#REF!,"SALUD MENTAL",IF(P65=#REF!,"PRIMEROS AUXILIOS PSICOLOGICOS",IF(P65=#REF!,"ATENCION A VICTIMAS POR CONFLICTO ARMADO",IF(P65=#REF!,"MANIPULACION DE ALIMENTOS Y BPM",IF(P65=#REF!,"ATENCION A PERSONAS CON DISCAPACIDAD",IF(P65=#REF!,"CUIDADO INTEGRAL DEL PACIENTE ADULTO",IF(P65=#REF!,"MANEJO DEFENSIVO",IF(P65=#REF!,"SOPORTE CARDIOVASCULAR AVANZADO NEONATAL",IF(P65=#REF!,"SEGURIDAD DEL PACIENTE",IF(P65=#REF!,"MANEJO DE RESIDUOS HOSPITALARIOS"))))))))))))))))))))))))))))))))))))</f>
        <v>#REF!</v>
      </c>
      <c r="W65" s="25" t="str">
        <f t="shared" si="2"/>
        <v>Kelly Fernanda Getial Timana</v>
      </c>
      <c r="X65" s="25" t="str">
        <f t="shared" si="3"/>
        <v>Kelly Fernanda Getial Timana</v>
      </c>
      <c r="Y65" s="69" t="str">
        <f t="shared" si="4"/>
        <v>Kelly Fernanda Getial Timana-1087426205-CONFLICTO ARMADO</v>
      </c>
    </row>
    <row r="66" spans="1:25" x14ac:dyDescent="0.2">
      <c r="A66" s="28">
        <v>65</v>
      </c>
      <c r="B66" s="20">
        <v>1087426205</v>
      </c>
      <c r="C66" s="20" t="s">
        <v>218</v>
      </c>
      <c r="D66" s="20" t="s">
        <v>165</v>
      </c>
      <c r="E66" s="20" t="s">
        <v>222</v>
      </c>
      <c r="F66" s="20" t="s">
        <v>99</v>
      </c>
      <c r="G66" s="20">
        <v>13</v>
      </c>
      <c r="H66" s="20" t="s">
        <v>56</v>
      </c>
      <c r="I66" s="21" t="s">
        <v>72</v>
      </c>
      <c r="J66" s="21" t="s">
        <v>91</v>
      </c>
      <c r="K66" s="22">
        <v>45702</v>
      </c>
      <c r="L66" s="23">
        <v>25000</v>
      </c>
      <c r="M66" s="20" t="s">
        <v>90</v>
      </c>
      <c r="N66" s="20" t="s">
        <v>57</v>
      </c>
      <c r="O66" s="20" t="s">
        <v>73</v>
      </c>
      <c r="P66" s="20" t="s">
        <v>20</v>
      </c>
      <c r="Q66" s="21">
        <v>36154</v>
      </c>
      <c r="R66" s="20" t="s">
        <v>49</v>
      </c>
      <c r="S66" s="24" t="s">
        <v>74</v>
      </c>
      <c r="T66" s="20">
        <v>3184472590</v>
      </c>
      <c r="U66" s="20" t="s">
        <v>223</v>
      </c>
      <c r="V66" s="25" t="e">
        <f>IF(P66=#REF!,"DIPLOMADO EN ATENCION PRE-HOSPITALARIA",IF(P66=#REF!,"ACOMPAÑAMIENTO Y MANEJO DEL DUELO",IF(P66=#REF!,"ATENCION A VICTIMAS DE ATAQUE CON AGENTES QUIMICOS ",IF(P66=#REF!,"PRIMEROS AUXILIOS ",IF(P66=#REF!,"DIPLOMADO DE UNIDAD DE CUIDADOS INTENSIVOS (UCI)",IF(P66=#REF!,"MODELO DE ATENCION PARA EVENTOS EMERGENTES EN SALUD MENTAL (CODIGO VERDE)",IF(P66=#REF!,"HUMANIZACION EN EL SERVICIO DE LA SALUD Y BUENAS PRACTICAS EN PACIENTE ",IF(P66=#REF!,"CLINICA DE HERIDAS ",IF(P66=#REF!,"TOMA DE CITOLOGIA CERVICO VAGINAL ",IF(P66=#REF!,"SOPORTE CARDIOVASCULAR AVANZADO (ACLS) ",IF(P66=#REF!,"CAMILLERO ",IF(P66=#REF!,"TOMA DE MUESTRAS Y LABORATORIO ",IF(P66=#REF!,"SOPORTE VITAL BASICO (BLS)",IF(P66=#REF!,"ATENCION A VICTIMAS DE VIOLENCIA SEXUAL ",IF(P66=#REF!,"PROGRAMADO AMPLIADO DE INMUNIZACION (PAI - COVID 19)",IF(P66=#REF!,"ATENCION INTEGRAL EN ENFERMEDADES PREVALENTES EN PRIMERA INFANCIA (AIEPI)",IF(P66=#REF!,"ADMINISTRACION DE MEDICAMENTOS, INYECTOLOGIA  Y CANALIZACION ",IF(P66=#REF!,"OPERADOR DE VEHICULOS DE EMERGENCIA (OVE)",IF(P66=#REF!,"INSTITUCIONES AMIGAS DE LA MUJER Y LA INFANCIA (IAMI)",IF(P66=#REF!,"CUIDADO DEL DONANTE DE ORGANOS",IF(P66=#REF!,"ATENCION A VICTIMAS POR VIOLENCIA DE GENERO",IF(P66=#REF!,"IGUALDAD DE GENERO EN LA SALUD",IF(P66=#REF!,"BRIGADA DE EMERGENCIA",IF(P66=#REF!,"MANEJO DEL DOLOR Y CUIDADOS PALIATIVOS",IF(P66=#REF!,"TOMA DE MUESTRAS Y LABORATORIO POCT",IF(P66=#REF!,"IMPLANTE SUBDERMICO DE DISPOSITIVO INTRAUTERINO",IF(P66=#REF!,"SALUD MENTAL",IF(P66=#REF!,"PRIMEROS AUXILIOS PSICOLOGICOS",IF(P66=#REF!,"ATENCION A VICTIMAS POR CONFLICTO ARMADO",IF(P66=#REF!,"MANIPULACION DE ALIMENTOS Y BPM",IF(P66=#REF!,"ATENCION A PERSONAS CON DISCAPACIDAD",IF(P66=#REF!,"CUIDADO INTEGRAL DEL PACIENTE ADULTO",IF(P66=#REF!,"MANEJO DEFENSIVO",IF(P66=#REF!,"SOPORTE CARDIOVASCULAR AVANZADO NEONATAL",IF(P66=#REF!,"SEGURIDAD DEL PACIENTE",IF(P66=#REF!,"MANEJO DE RESIDUOS HOSPITALARIOS"))))))))))))))))))))))))))))))))))))</f>
        <v>#REF!</v>
      </c>
      <c r="W66" s="25" t="str">
        <f t="shared" si="2"/>
        <v>Kelly Fernanda Getial Timana</v>
      </c>
      <c r="X66" s="25" t="str">
        <f t="shared" si="3"/>
        <v>Kelly Fernanda Getial Timana</v>
      </c>
      <c r="Y66" s="69" t="str">
        <f t="shared" si="4"/>
        <v>Kelly Fernanda Getial Timana-1087426205-DUELO</v>
      </c>
    </row>
    <row r="67" spans="1:25" x14ac:dyDescent="0.2">
      <c r="A67" s="19">
        <v>66</v>
      </c>
      <c r="B67" s="20">
        <v>1087426205</v>
      </c>
      <c r="C67" s="20" t="s">
        <v>218</v>
      </c>
      <c r="D67" s="20" t="s">
        <v>165</v>
      </c>
      <c r="E67" s="20" t="s">
        <v>222</v>
      </c>
      <c r="F67" s="20" t="s">
        <v>99</v>
      </c>
      <c r="G67" s="20">
        <v>12</v>
      </c>
      <c r="H67" s="20" t="s">
        <v>56</v>
      </c>
      <c r="I67" s="21" t="s">
        <v>72</v>
      </c>
      <c r="J67" s="21" t="s">
        <v>91</v>
      </c>
      <c r="K67" s="22">
        <v>45702</v>
      </c>
      <c r="L67" s="23">
        <v>25000</v>
      </c>
      <c r="M67" s="20" t="s">
        <v>90</v>
      </c>
      <c r="N67" s="20" t="s">
        <v>57</v>
      </c>
      <c r="O67" s="20" t="s">
        <v>73</v>
      </c>
      <c r="P67" s="20" t="s">
        <v>27</v>
      </c>
      <c r="Q67" s="21">
        <v>36154</v>
      </c>
      <c r="R67" s="20" t="s">
        <v>49</v>
      </c>
      <c r="S67" s="24" t="s">
        <v>74</v>
      </c>
      <c r="T67" s="20">
        <v>3184472590</v>
      </c>
      <c r="U67" s="20" t="s">
        <v>223</v>
      </c>
      <c r="V67" s="25" t="e">
        <f>IF(P67=#REF!,"DIPLOMADO EN ATENCION PRE-HOSPITALARIA",IF(P67=#REF!,"ACOMPAÑAMIENTO Y MANEJO DEL DUELO",IF(P67=#REF!,"ATENCION A VICTIMAS DE ATAQUE CON AGENTES QUIMICOS ",IF(P67=#REF!,"PRIMEROS AUXILIOS ",IF(P67=#REF!,"DIPLOMADO DE UNIDAD DE CUIDADOS INTENSIVOS (UCI)",IF(P67=#REF!,"MODELO DE ATENCION PARA EVENTOS EMERGENTES EN SALUD MENTAL (CODIGO VERDE)",IF(P67=#REF!,"HUMANIZACION EN EL SERVICIO DE LA SALUD Y BUENAS PRACTICAS EN PACIENTE ",IF(P67=#REF!,"CLINICA DE HERIDAS ",IF(P67=#REF!,"TOMA DE CITOLOGIA CERVICO VAGINAL ",IF(P67=#REF!,"SOPORTE CARDIOVASCULAR AVANZADO (ACLS) ",IF(P67=#REF!,"CAMILLERO ",IF(P67=#REF!,"TOMA DE MUESTRAS Y LABORATORIO ",IF(P67=#REF!,"SOPORTE VITAL BASICO (BLS)",IF(P67=#REF!,"ATENCION A VICTIMAS DE VIOLENCIA SEXUAL ",IF(P67=#REF!,"PROGRAMADO AMPLIADO DE INMUNIZACION (PAI - COVID 19)",IF(P67=#REF!,"ATENCION INTEGRAL EN ENFERMEDADES PREVALENTES EN PRIMERA INFANCIA (AIEPI)",IF(P67=#REF!,"ADMINISTRACION DE MEDICAMENTOS, INYECTOLOGIA  Y CANALIZACION ",IF(P67=#REF!,"OPERADOR DE VEHICULOS DE EMERGENCIA (OVE)",IF(P67=#REF!,"INSTITUCIONES AMIGAS DE LA MUJER Y LA INFANCIA (IAMI)",IF(P67=#REF!,"CUIDADO DEL DONANTE DE ORGANOS",IF(P67=#REF!,"ATENCION A VICTIMAS POR VIOLENCIA DE GENERO",IF(P67=#REF!,"IGUALDAD DE GENERO EN LA SALUD",IF(P67=#REF!,"BRIGADA DE EMERGENCIA",IF(P67=#REF!,"MANEJO DEL DOLOR Y CUIDADOS PALIATIVOS",IF(P67=#REF!,"TOMA DE MUESTRAS Y LABORATORIO POCT",IF(P67=#REF!,"IMPLANTE SUBDERMICO DE DISPOSITIVO INTRAUTERINO",IF(P67=#REF!,"SALUD MENTAL",IF(P67=#REF!,"PRIMEROS AUXILIOS PSICOLOGICOS",IF(P67=#REF!,"ATENCION A VICTIMAS POR CONFLICTO ARMADO",IF(P67=#REF!,"MANIPULACION DE ALIMENTOS Y BPM",IF(P67=#REF!,"ATENCION A PERSONAS CON DISCAPACIDAD",IF(P67=#REF!,"CUIDADO INTEGRAL DEL PACIENTE ADULTO",IF(P67=#REF!,"MANEJO DEFENSIVO",IF(P67=#REF!,"SOPORTE CARDIOVASCULAR AVANZADO NEONATAL",IF(P67=#REF!,"SEGURIDAD DEL PACIENTE",IF(P67=#REF!,"MANEJO DE RESIDUOS HOSPITALARIOS"))))))))))))))))))))))))))))))))))))</f>
        <v>#REF!</v>
      </c>
      <c r="W67" s="25" t="str">
        <f t="shared" si="2"/>
        <v>Kelly Fernanda Getial Timana</v>
      </c>
      <c r="X67" s="25" t="str">
        <f t="shared" si="3"/>
        <v>Kelly Fernanda Getial Timana</v>
      </c>
      <c r="Y67" s="69" t="str">
        <f t="shared" si="4"/>
        <v>Kelly Fernanda Getial Timana-1087426205-VIOLENCIA SEXUAL</v>
      </c>
    </row>
    <row r="68" spans="1:25" x14ac:dyDescent="0.2">
      <c r="A68" s="19">
        <v>67</v>
      </c>
      <c r="B68" s="20">
        <v>1087426205</v>
      </c>
      <c r="C68" s="20" t="s">
        <v>218</v>
      </c>
      <c r="D68" s="20" t="s">
        <v>165</v>
      </c>
      <c r="E68" s="20" t="s">
        <v>222</v>
      </c>
      <c r="F68" s="20" t="s">
        <v>99</v>
      </c>
      <c r="G68" s="20">
        <v>12</v>
      </c>
      <c r="H68" s="20" t="s">
        <v>56</v>
      </c>
      <c r="I68" s="21" t="s">
        <v>72</v>
      </c>
      <c r="J68" s="21" t="s">
        <v>91</v>
      </c>
      <c r="K68" s="22">
        <v>45702</v>
      </c>
      <c r="L68" s="23">
        <v>25000</v>
      </c>
      <c r="M68" s="20" t="s">
        <v>90</v>
      </c>
      <c r="N68" s="20" t="s">
        <v>57</v>
      </c>
      <c r="O68" s="20" t="s">
        <v>73</v>
      </c>
      <c r="P68" s="20" t="s">
        <v>21</v>
      </c>
      <c r="Q68" s="21">
        <v>36154</v>
      </c>
      <c r="R68" s="20" t="s">
        <v>49</v>
      </c>
      <c r="S68" s="24" t="s">
        <v>74</v>
      </c>
      <c r="T68" s="20">
        <v>3184472590</v>
      </c>
      <c r="U68" s="20" t="s">
        <v>223</v>
      </c>
      <c r="V68" s="25" t="e">
        <f>IF(P68=#REF!,"DIPLOMADO EN ATENCION PRE-HOSPITALARIA",IF(P68=#REF!,"ACOMPAÑAMIENTO Y MANEJO DEL DUELO",IF(P68=#REF!,"ATENCION A VICTIMAS DE ATAQUE CON AGENTES QUIMICOS ",IF(P68=#REF!,"PRIMEROS AUXILIOS ",IF(P68=#REF!,"DIPLOMADO DE UNIDAD DE CUIDADOS INTENSIVOS (UCI)",IF(P68=#REF!,"MODELO DE ATENCION PARA EVENTOS EMERGENTES EN SALUD MENTAL (CODIGO VERDE)",IF(P68=#REF!,"HUMANIZACION EN EL SERVICIO DE LA SALUD Y BUENAS PRACTICAS EN PACIENTE ",IF(P68=#REF!,"CLINICA DE HERIDAS ",IF(P68=#REF!,"TOMA DE CITOLOGIA CERVICO VAGINAL ",IF(P68=#REF!,"SOPORTE CARDIOVASCULAR AVANZADO (ACLS) ",IF(P68=#REF!,"CAMILLERO ",IF(P68=#REF!,"TOMA DE MUESTRAS Y LABORATORIO ",IF(P68=#REF!,"SOPORTE VITAL BASICO (BLS)",IF(P68=#REF!,"ATENCION A VICTIMAS DE VIOLENCIA SEXUAL ",IF(P68=#REF!,"PROGRAMADO AMPLIADO DE INMUNIZACION (PAI - COVID 19)",IF(P68=#REF!,"ATENCION INTEGRAL EN ENFERMEDADES PREVALENTES EN PRIMERA INFANCIA (AIEPI)",IF(P68=#REF!,"ADMINISTRACION DE MEDICAMENTOS, INYECTOLOGIA  Y CANALIZACION ",IF(P68=#REF!,"OPERADOR DE VEHICULOS DE EMERGENCIA (OVE)",IF(P68=#REF!,"INSTITUCIONES AMIGAS DE LA MUJER Y LA INFANCIA (IAMI)",IF(P68=#REF!,"CUIDADO DEL DONANTE DE ORGANOS",IF(P68=#REF!,"ATENCION A VICTIMAS POR VIOLENCIA DE GENERO",IF(P68=#REF!,"IGUALDAD DE GENERO EN LA SALUD",IF(P68=#REF!,"BRIGADA DE EMERGENCIA",IF(P68=#REF!,"MANEJO DEL DOLOR Y CUIDADOS PALIATIVOS",IF(P68=#REF!,"TOMA DE MUESTRAS Y LABORATORIO POCT",IF(P68=#REF!,"IMPLANTE SUBDERMICO DE DISPOSITIVO INTRAUTERINO",IF(P68=#REF!,"SALUD MENTAL",IF(P68=#REF!,"PRIMEROS AUXILIOS PSICOLOGICOS",IF(P68=#REF!,"ATENCION A VICTIMAS POR CONFLICTO ARMADO",IF(P68=#REF!,"MANIPULACION DE ALIMENTOS Y BPM",IF(P68=#REF!,"ATENCION A PERSONAS CON DISCAPACIDAD",IF(P68=#REF!,"CUIDADO INTEGRAL DEL PACIENTE ADULTO",IF(P68=#REF!,"MANEJO DEFENSIVO",IF(P68=#REF!,"SOPORTE CARDIOVASCULAR AVANZADO NEONATAL",IF(P68=#REF!,"SEGURIDAD DEL PACIENTE",IF(P68=#REF!,"MANEJO DE RESIDUOS HOSPITALARIOS"))))))))))))))))))))))))))))))))))))</f>
        <v>#REF!</v>
      </c>
      <c r="W68" s="25" t="str">
        <f t="shared" ref="W68:W79" si="8">CONCATENATE(E68," ",F68," ",C68," ",D68)</f>
        <v>Kelly Fernanda Getial Timana</v>
      </c>
      <c r="X68" s="25" t="str">
        <f t="shared" ref="X68:X79" si="9">PROPER(W68)</f>
        <v>Kelly Fernanda Getial Timana</v>
      </c>
      <c r="Y68" s="69" t="str">
        <f t="shared" ref="Y68:Y79" si="10">CONCATENATE(W68,"-",B68,"-",P68)</f>
        <v>Kelly Fernanda Getial Timana-1087426205-QUIMICOS</v>
      </c>
    </row>
    <row r="69" spans="1:25" x14ac:dyDescent="0.2">
      <c r="A69" s="19">
        <v>68</v>
      </c>
      <c r="B69" s="20">
        <v>1087426205</v>
      </c>
      <c r="C69" s="20" t="s">
        <v>218</v>
      </c>
      <c r="D69" s="20" t="s">
        <v>165</v>
      </c>
      <c r="E69" s="20" t="s">
        <v>222</v>
      </c>
      <c r="F69" s="20" t="s">
        <v>99</v>
      </c>
      <c r="G69" s="20">
        <v>14</v>
      </c>
      <c r="H69" s="20" t="s">
        <v>56</v>
      </c>
      <c r="I69" s="21" t="s">
        <v>72</v>
      </c>
      <c r="J69" s="21" t="s">
        <v>91</v>
      </c>
      <c r="K69" s="22">
        <v>45702</v>
      </c>
      <c r="L69" s="23">
        <v>25000</v>
      </c>
      <c r="M69" s="20" t="s">
        <v>90</v>
      </c>
      <c r="N69" s="20" t="s">
        <v>57</v>
      </c>
      <c r="O69" s="20" t="s">
        <v>73</v>
      </c>
      <c r="P69" s="20" t="s">
        <v>19</v>
      </c>
      <c r="Q69" s="21">
        <v>36154</v>
      </c>
      <c r="R69" s="20" t="s">
        <v>49</v>
      </c>
      <c r="S69" s="24" t="s">
        <v>74</v>
      </c>
      <c r="T69" s="20">
        <v>3184472590</v>
      </c>
      <c r="U69" s="20" t="s">
        <v>223</v>
      </c>
      <c r="V69" s="25" t="e">
        <f>IF(P69=#REF!,"DIPLOMADO EN ATENCION PRE-HOSPITALARIA",IF(P69=#REF!,"ACOMPAÑAMIENTO Y MANEJO DEL DUELO",IF(P69=#REF!,"ATENCION A VICTIMAS DE ATAQUE CON AGENTES QUIMICOS ",IF(P69=#REF!,"PRIMEROS AUXILIOS ",IF(P69=#REF!,"DIPLOMADO DE UNIDAD DE CUIDADOS INTENSIVOS (UCI)",IF(P69=#REF!,"MODELO DE ATENCION PARA EVENTOS EMERGENTES EN SALUD MENTAL (CODIGO VERDE)",IF(P69=#REF!,"HUMANIZACION EN EL SERVICIO DE LA SALUD Y BUENAS PRACTICAS EN PACIENTE ",IF(P69=#REF!,"CLINICA DE HERIDAS ",IF(P69=#REF!,"TOMA DE CITOLOGIA CERVICO VAGINAL ",IF(P69=#REF!,"SOPORTE CARDIOVASCULAR AVANZADO (ACLS) ",IF(P69=#REF!,"CAMILLERO ",IF(P69=#REF!,"TOMA DE MUESTRAS Y LABORATORIO ",IF(P69=#REF!,"SOPORTE VITAL BASICO (BLS)",IF(P69=#REF!,"ATENCION A VICTIMAS DE VIOLENCIA SEXUAL ",IF(P69=#REF!,"PROGRAMADO AMPLIADO DE INMUNIZACION (PAI - COVID 19)",IF(P69=#REF!,"ATENCION INTEGRAL EN ENFERMEDADES PREVALENTES EN PRIMERA INFANCIA (AIEPI)",IF(P69=#REF!,"ADMINISTRACION DE MEDICAMENTOS, INYECTOLOGIA  Y CANALIZACION ",IF(P69=#REF!,"OPERADOR DE VEHICULOS DE EMERGENCIA (OVE)",IF(P69=#REF!,"INSTITUCIONES AMIGAS DE LA MUJER Y LA INFANCIA (IAMI)",IF(P69=#REF!,"CUIDADO DEL DONANTE DE ORGANOS",IF(P69=#REF!,"ATENCION A VICTIMAS POR VIOLENCIA DE GENERO",IF(P69=#REF!,"IGUALDAD DE GENERO EN LA SALUD",IF(P69=#REF!,"BRIGADA DE EMERGENCIA",IF(P69=#REF!,"MANEJO DEL DOLOR Y CUIDADOS PALIATIVOS",IF(P69=#REF!,"TOMA DE MUESTRAS Y LABORATORIO POCT",IF(P69=#REF!,"IMPLANTE SUBDERMICO DE DISPOSITIVO INTRAUTERINO",IF(P69=#REF!,"SALUD MENTAL",IF(P69=#REF!,"PRIMEROS AUXILIOS PSICOLOGICOS",IF(P69=#REF!,"ATENCION A VICTIMAS POR CONFLICTO ARMADO",IF(P69=#REF!,"MANIPULACION DE ALIMENTOS Y BPM",IF(P69=#REF!,"ATENCION A PERSONAS CON DISCAPACIDAD",IF(P69=#REF!,"CUIDADO INTEGRAL DEL PACIENTE ADULTO",IF(P69=#REF!,"MANEJO DEFENSIVO",IF(P69=#REF!,"SOPORTE CARDIOVASCULAR AVANZADO NEONATAL",IF(P69=#REF!,"SEGURIDAD DEL PACIENTE",IF(P69=#REF!,"MANEJO DE RESIDUOS HOSPITALARIOS"))))))))))))))))))))))))))))))))))))</f>
        <v>#REF!</v>
      </c>
      <c r="W69" s="25" t="str">
        <f t="shared" si="8"/>
        <v>Kelly Fernanda Getial Timana</v>
      </c>
      <c r="X69" s="25" t="str">
        <f t="shared" si="9"/>
        <v>Kelly Fernanda Getial Timana</v>
      </c>
      <c r="Y69" s="69" t="str">
        <f t="shared" si="10"/>
        <v>Kelly Fernanda Getial Timana-1087426205-BLS</v>
      </c>
    </row>
    <row r="70" spans="1:25" x14ac:dyDescent="0.2">
      <c r="A70" s="19">
        <v>69</v>
      </c>
      <c r="B70" s="20">
        <v>1087426205</v>
      </c>
      <c r="C70" s="20" t="s">
        <v>218</v>
      </c>
      <c r="D70" s="20" t="s">
        <v>165</v>
      </c>
      <c r="E70" s="20" t="s">
        <v>222</v>
      </c>
      <c r="F70" s="20" t="s">
        <v>99</v>
      </c>
      <c r="G70" s="20">
        <v>14</v>
      </c>
      <c r="H70" s="20" t="s">
        <v>56</v>
      </c>
      <c r="I70" s="21" t="s">
        <v>72</v>
      </c>
      <c r="J70" s="21" t="s">
        <v>91</v>
      </c>
      <c r="K70" s="22">
        <v>45702</v>
      </c>
      <c r="L70" s="23">
        <v>25000</v>
      </c>
      <c r="M70" s="20" t="s">
        <v>90</v>
      </c>
      <c r="N70" s="20" t="s">
        <v>57</v>
      </c>
      <c r="O70" s="20" t="s">
        <v>73</v>
      </c>
      <c r="P70" s="20" t="s">
        <v>22</v>
      </c>
      <c r="Q70" s="21">
        <v>36154</v>
      </c>
      <c r="R70" s="20" t="s">
        <v>49</v>
      </c>
      <c r="S70" s="24" t="s">
        <v>74</v>
      </c>
      <c r="T70" s="20">
        <v>3184472590</v>
      </c>
      <c r="U70" s="20" t="s">
        <v>223</v>
      </c>
      <c r="V70" s="25" t="e">
        <f>IF(P70=#REF!,"DIPLOMADO EN ATENCION PRE-HOSPITALARIA",IF(P70=#REF!,"ACOMPAÑAMIENTO Y MANEJO DEL DUELO",IF(P70=#REF!,"ATENCION A VICTIMAS DE ATAQUE CON AGENTES QUIMICOS ",IF(P70=#REF!,"PRIMEROS AUXILIOS ",IF(P70=#REF!,"DIPLOMADO DE UNIDAD DE CUIDADOS INTENSIVOS (UCI)",IF(P70=#REF!,"MODELO DE ATENCION PARA EVENTOS EMERGENTES EN SALUD MENTAL (CODIGO VERDE)",IF(P70=#REF!,"HUMANIZACION EN EL SERVICIO DE LA SALUD Y BUENAS PRACTICAS EN PACIENTE ",IF(P70=#REF!,"CLINICA DE HERIDAS ",IF(P70=#REF!,"TOMA DE CITOLOGIA CERVICO VAGINAL ",IF(P70=#REF!,"SOPORTE CARDIOVASCULAR AVANZADO (ACLS) ",IF(P70=#REF!,"CAMILLERO ",IF(P70=#REF!,"TOMA DE MUESTRAS Y LABORATORIO ",IF(P70=#REF!,"SOPORTE VITAL BASICO (BLS)",IF(P70=#REF!,"ATENCION A VICTIMAS DE VIOLENCIA SEXUAL ",IF(P70=#REF!,"PROGRAMADO AMPLIADO DE INMUNIZACION (PAI - COVID 19)",IF(P70=#REF!,"ATENCION INTEGRAL EN ENFERMEDADES PREVALENTES EN PRIMERA INFANCIA (AIEPI)",IF(P70=#REF!,"ADMINISTRACION DE MEDICAMENTOS, INYECTOLOGIA  Y CANALIZACION ",IF(P70=#REF!,"OPERADOR DE VEHICULOS DE EMERGENCIA (OVE)",IF(P70=#REF!,"INSTITUCIONES AMIGAS DE LA MUJER Y LA INFANCIA (IAMI)",IF(P70=#REF!,"CUIDADO DEL DONANTE DE ORGANOS",IF(P70=#REF!,"ATENCION A VICTIMAS POR VIOLENCIA DE GENERO",IF(P70=#REF!,"IGUALDAD DE GENERO EN LA SALUD",IF(P70=#REF!,"BRIGADA DE EMERGENCIA",IF(P70=#REF!,"MANEJO DEL DOLOR Y CUIDADOS PALIATIVOS",IF(P70=#REF!,"TOMA DE MUESTRAS Y LABORATORIO POCT",IF(P70=#REF!,"IMPLANTE SUBDERMICO DE DISPOSITIVO INTRAUTERINO",IF(P70=#REF!,"SALUD MENTAL",IF(P70=#REF!,"PRIMEROS AUXILIOS PSICOLOGICOS",IF(P70=#REF!,"ATENCION A VICTIMAS POR CONFLICTO ARMADO",IF(P70=#REF!,"MANIPULACION DE ALIMENTOS Y BPM",IF(P70=#REF!,"ATENCION A PERSONAS CON DISCAPACIDAD",IF(P70=#REF!,"CUIDADO INTEGRAL DEL PACIENTE ADULTO",IF(P70=#REF!,"MANEJO DEFENSIVO",IF(P70=#REF!,"SOPORTE CARDIOVASCULAR AVANZADO NEONATAL",IF(P70=#REF!,"SEGURIDAD DEL PACIENTE",IF(P70=#REF!,"MANEJO DE RESIDUOS HOSPITALARIOS"))))))))))))))))))))))))))))))))))))</f>
        <v>#REF!</v>
      </c>
      <c r="W70" s="25" t="str">
        <f t="shared" si="8"/>
        <v>Kelly Fernanda Getial Timana</v>
      </c>
      <c r="X70" s="25" t="str">
        <f t="shared" si="9"/>
        <v>Kelly Fernanda Getial Timana</v>
      </c>
      <c r="Y70" s="69" t="str">
        <f t="shared" si="10"/>
        <v>Kelly Fernanda Getial Timana-1087426205-PRIMEROS AUXILIOS</v>
      </c>
    </row>
    <row r="71" spans="1:25" x14ac:dyDescent="0.2">
      <c r="A71" s="19">
        <v>70</v>
      </c>
      <c r="B71" s="20">
        <v>1004624337</v>
      </c>
      <c r="C71" s="20" t="s">
        <v>224</v>
      </c>
      <c r="D71" s="20" t="s">
        <v>218</v>
      </c>
      <c r="E71" s="20" t="s">
        <v>225</v>
      </c>
      <c r="F71" s="20" t="s">
        <v>119</v>
      </c>
      <c r="G71" s="20">
        <v>10</v>
      </c>
      <c r="H71" s="20" t="s">
        <v>56</v>
      </c>
      <c r="I71" s="21" t="s">
        <v>72</v>
      </c>
      <c r="J71" s="21" t="s">
        <v>91</v>
      </c>
      <c r="K71" s="22">
        <v>45702</v>
      </c>
      <c r="L71" s="23">
        <v>25000</v>
      </c>
      <c r="M71" s="20" t="s">
        <v>90</v>
      </c>
      <c r="N71" s="20" t="s">
        <v>57</v>
      </c>
      <c r="O71" s="20" t="s">
        <v>73</v>
      </c>
      <c r="P71" s="20" t="s">
        <v>23</v>
      </c>
      <c r="Q71" s="21">
        <v>36244</v>
      </c>
      <c r="R71" s="20" t="s">
        <v>49</v>
      </c>
      <c r="S71" s="24" t="s">
        <v>74</v>
      </c>
      <c r="T71" s="20">
        <v>3215643009</v>
      </c>
      <c r="U71" s="20" t="s">
        <v>226</v>
      </c>
      <c r="V71" s="25" t="e">
        <f>IF(P71=#REF!,"DIPLOMADO EN ATENCION PRE-HOSPITALARIA",IF(P71=#REF!,"ACOMPAÑAMIENTO Y MANEJO DEL DUELO",IF(P71=#REF!,"ATENCION A VICTIMAS DE ATAQUE CON AGENTES QUIMICOS ",IF(P71=#REF!,"PRIMEROS AUXILIOS ",IF(P71=#REF!,"DIPLOMADO DE UNIDAD DE CUIDADOS INTENSIVOS (UCI)",IF(P71=#REF!,"MODELO DE ATENCION PARA EVENTOS EMERGENTES EN SALUD MENTAL (CODIGO VERDE)",IF(P71=#REF!,"HUMANIZACION EN EL SERVICIO DE LA SALUD Y BUENAS PRACTICAS EN PACIENTE ",IF(P71=#REF!,"CLINICA DE HERIDAS ",IF(P71=#REF!,"TOMA DE CITOLOGIA CERVICO VAGINAL ",IF(P71=#REF!,"SOPORTE CARDIOVASCULAR AVANZADO (ACLS) ",IF(P71=#REF!,"CAMILLERO ",IF(P71=#REF!,"TOMA DE MUESTRAS Y LABORATORIO ",IF(P71=#REF!,"SOPORTE VITAL BASICO (BLS)",IF(P71=#REF!,"ATENCION A VICTIMAS DE VIOLENCIA SEXUAL ",IF(P71=#REF!,"PROGRAMADO AMPLIADO DE INMUNIZACION (PAI - COVID 19)",IF(P71=#REF!,"ATENCION INTEGRAL EN ENFERMEDADES PREVALENTES EN PRIMERA INFANCIA (AIEPI)",IF(P71=#REF!,"ADMINISTRACION DE MEDICAMENTOS, INYECTOLOGIA  Y CANALIZACION ",IF(P71=#REF!,"OPERADOR DE VEHICULOS DE EMERGENCIA (OVE)",IF(P71=#REF!,"INSTITUCIONES AMIGAS DE LA MUJER Y LA INFANCIA (IAMI)",IF(P71=#REF!,"CUIDADO DEL DONANTE DE ORGANOS",IF(P71=#REF!,"ATENCION A VICTIMAS POR VIOLENCIA DE GENERO",IF(P71=#REF!,"IGUALDAD DE GENERO EN LA SALUD",IF(P71=#REF!,"BRIGADA DE EMERGENCIA",IF(P71=#REF!,"MANEJO DEL DOLOR Y CUIDADOS PALIATIVOS",IF(P71=#REF!,"TOMA DE MUESTRAS Y LABORATORIO POCT",IF(P71=#REF!,"IMPLANTE SUBDERMICO DE DISPOSITIVO INTRAUTERINO",IF(P71=#REF!,"SALUD MENTAL",IF(P71=#REF!,"PRIMEROS AUXILIOS PSICOLOGICOS",IF(P71=#REF!,"ATENCION A VICTIMAS POR CONFLICTO ARMADO",IF(P71=#REF!,"MANIPULACION DE ALIMENTOS Y BPM",IF(P71=#REF!,"ATENCION A PERSONAS CON DISCAPACIDAD",IF(P71=#REF!,"CUIDADO INTEGRAL DEL PACIENTE ADULTO",IF(P71=#REF!,"MANEJO DEFENSIVO",IF(P71=#REF!,"SOPORTE CARDIOVASCULAR AVANZADO NEONATAL",IF(P71=#REF!,"SEGURIDAD DEL PACIENTE",IF(P71=#REF!,"MANEJO DE RESIDUOS HOSPITALARIOS"))))))))))))))))))))))))))))))))))))</f>
        <v>#REF!</v>
      </c>
      <c r="W71" s="25" t="str">
        <f t="shared" si="8"/>
        <v>Ana Carolina Cuaspud Getial</v>
      </c>
      <c r="X71" s="25" t="str">
        <f t="shared" si="9"/>
        <v>Ana Carolina Cuaspud Getial</v>
      </c>
      <c r="Y71" s="69" t="str">
        <f t="shared" si="10"/>
        <v>Ana Carolina Cuaspud Getial-1004624337-HUMANIZACION</v>
      </c>
    </row>
    <row r="72" spans="1:25" x14ac:dyDescent="0.2">
      <c r="A72" s="19">
        <v>71</v>
      </c>
      <c r="B72" s="20">
        <v>1004624337</v>
      </c>
      <c r="C72" s="20" t="s">
        <v>224</v>
      </c>
      <c r="D72" s="20" t="s">
        <v>218</v>
      </c>
      <c r="E72" s="20" t="s">
        <v>225</v>
      </c>
      <c r="F72" s="20" t="s">
        <v>119</v>
      </c>
      <c r="G72" s="20">
        <v>11</v>
      </c>
      <c r="H72" s="20" t="s">
        <v>56</v>
      </c>
      <c r="I72" s="21" t="s">
        <v>72</v>
      </c>
      <c r="J72" s="21" t="s">
        <v>91</v>
      </c>
      <c r="K72" s="22">
        <v>45702</v>
      </c>
      <c r="L72" s="23">
        <v>25000</v>
      </c>
      <c r="M72" s="20" t="s">
        <v>90</v>
      </c>
      <c r="N72" s="20" t="s">
        <v>57</v>
      </c>
      <c r="O72" s="20" t="s">
        <v>73</v>
      </c>
      <c r="P72" s="20" t="s">
        <v>35</v>
      </c>
      <c r="Q72" s="21">
        <v>36244</v>
      </c>
      <c r="R72" s="20" t="s">
        <v>49</v>
      </c>
      <c r="S72" s="24" t="s">
        <v>74</v>
      </c>
      <c r="T72" s="20">
        <v>3215643009</v>
      </c>
      <c r="U72" s="20" t="s">
        <v>226</v>
      </c>
      <c r="V72" s="25" t="e">
        <f>IF(P72=#REF!,"DIPLOMADO EN ATENCION PRE-HOSPITALARIA",IF(P72=#REF!,"ACOMPAÑAMIENTO Y MANEJO DEL DUELO",IF(P72=#REF!,"ATENCION A VICTIMAS DE ATAQUE CON AGENTES QUIMICOS ",IF(P72=#REF!,"PRIMEROS AUXILIOS ",IF(P72=#REF!,"DIPLOMADO DE UNIDAD DE CUIDADOS INTENSIVOS (UCI)",IF(P72=#REF!,"MODELO DE ATENCION PARA EVENTOS EMERGENTES EN SALUD MENTAL (CODIGO VERDE)",IF(P72=#REF!,"HUMANIZACION EN EL SERVICIO DE LA SALUD Y BUENAS PRACTICAS EN PACIENTE ",IF(P72=#REF!,"CLINICA DE HERIDAS ",IF(P72=#REF!,"TOMA DE CITOLOGIA CERVICO VAGINAL ",IF(P72=#REF!,"SOPORTE CARDIOVASCULAR AVANZADO (ACLS) ",IF(P72=#REF!,"CAMILLERO ",IF(P72=#REF!,"TOMA DE MUESTRAS Y LABORATORIO ",IF(P72=#REF!,"SOPORTE VITAL BASICO (BLS)",IF(P72=#REF!,"ATENCION A VICTIMAS DE VIOLENCIA SEXUAL ",IF(P72=#REF!,"PROGRAMADO AMPLIADO DE INMUNIZACION (PAI - COVID 19)",IF(P72=#REF!,"ATENCION INTEGRAL EN ENFERMEDADES PREVALENTES EN PRIMERA INFANCIA (AIEPI)",IF(P72=#REF!,"ADMINISTRACION DE MEDICAMENTOS, INYECTOLOGIA  Y CANALIZACION ",IF(P72=#REF!,"OPERADOR DE VEHICULOS DE EMERGENCIA (OVE)",IF(P72=#REF!,"INSTITUCIONES AMIGAS DE LA MUJER Y LA INFANCIA (IAMI)",IF(P72=#REF!,"CUIDADO DEL DONANTE DE ORGANOS",IF(P72=#REF!,"ATENCION A VICTIMAS POR VIOLENCIA DE GENERO",IF(P72=#REF!,"IGUALDAD DE GENERO EN LA SALUD",IF(P72=#REF!,"BRIGADA DE EMERGENCIA",IF(P72=#REF!,"MANEJO DEL DOLOR Y CUIDADOS PALIATIVOS",IF(P72=#REF!,"TOMA DE MUESTRAS Y LABORATORIO POCT",IF(P72=#REF!,"IMPLANTE SUBDERMICO DE DISPOSITIVO INTRAUTERINO",IF(P72=#REF!,"SALUD MENTAL",IF(P72=#REF!,"PRIMEROS AUXILIOS PSICOLOGICOS",IF(P72=#REF!,"ATENCION A VICTIMAS POR CONFLICTO ARMADO",IF(P72=#REF!,"MANIPULACION DE ALIMENTOS Y BPM",IF(P72=#REF!,"ATENCION A PERSONAS CON DISCAPACIDAD",IF(P72=#REF!,"CUIDADO INTEGRAL DEL PACIENTE ADULTO",IF(P72=#REF!,"MANEJO DEFENSIVO",IF(P72=#REF!,"SOPORTE CARDIOVASCULAR AVANZADO NEONATAL",IF(P72=#REF!,"SEGURIDAD DEL PACIENTE",IF(P72=#REF!,"MANEJO DE RESIDUOS HOSPITALARIOS"))))))))))))))))))))))))))))))))))))</f>
        <v>#REF!</v>
      </c>
      <c r="W72" s="25" t="str">
        <f t="shared" si="8"/>
        <v>Ana Carolina Cuaspud Getial</v>
      </c>
      <c r="X72" s="25" t="str">
        <f t="shared" si="9"/>
        <v>Ana Carolina Cuaspud Getial</v>
      </c>
      <c r="Y72" s="69" t="str">
        <f t="shared" si="10"/>
        <v>Ana Carolina Cuaspud Getial-1004624337-CONFLICTO ARMADO</v>
      </c>
    </row>
    <row r="73" spans="1:25" x14ac:dyDescent="0.2">
      <c r="A73" s="19">
        <v>72</v>
      </c>
      <c r="B73" s="20">
        <v>1004624337</v>
      </c>
      <c r="C73" s="20" t="s">
        <v>224</v>
      </c>
      <c r="D73" s="20" t="s">
        <v>218</v>
      </c>
      <c r="E73" s="20" t="s">
        <v>225</v>
      </c>
      <c r="F73" s="20" t="s">
        <v>119</v>
      </c>
      <c r="G73" s="20">
        <v>13</v>
      </c>
      <c r="H73" s="20" t="s">
        <v>56</v>
      </c>
      <c r="I73" s="21" t="s">
        <v>72</v>
      </c>
      <c r="J73" s="21" t="s">
        <v>91</v>
      </c>
      <c r="K73" s="22">
        <v>45702</v>
      </c>
      <c r="L73" s="23">
        <v>25000</v>
      </c>
      <c r="M73" s="20" t="s">
        <v>90</v>
      </c>
      <c r="N73" s="20" t="s">
        <v>57</v>
      </c>
      <c r="O73" s="20" t="s">
        <v>73</v>
      </c>
      <c r="P73" s="20" t="s">
        <v>20</v>
      </c>
      <c r="Q73" s="21">
        <v>36244</v>
      </c>
      <c r="R73" s="20" t="s">
        <v>49</v>
      </c>
      <c r="S73" s="24" t="s">
        <v>74</v>
      </c>
      <c r="T73" s="20">
        <v>3215643009</v>
      </c>
      <c r="U73" s="20" t="s">
        <v>226</v>
      </c>
      <c r="V73" s="25" t="e">
        <f>IF(P73=#REF!,"DIPLOMADO EN ATENCION PRE-HOSPITALARIA",IF(P73=#REF!,"ACOMPAÑAMIENTO Y MANEJO DEL DUELO",IF(P73=#REF!,"ATENCION A VICTIMAS DE ATAQUE CON AGENTES QUIMICOS ",IF(P73=#REF!,"PRIMEROS AUXILIOS ",IF(P73=#REF!,"DIPLOMADO DE UNIDAD DE CUIDADOS INTENSIVOS (UCI)",IF(P73=#REF!,"MODELO DE ATENCION PARA EVENTOS EMERGENTES EN SALUD MENTAL (CODIGO VERDE)",IF(P73=#REF!,"HUMANIZACION EN EL SERVICIO DE LA SALUD Y BUENAS PRACTICAS EN PACIENTE ",IF(P73=#REF!,"CLINICA DE HERIDAS ",IF(P73=#REF!,"TOMA DE CITOLOGIA CERVICO VAGINAL ",IF(P73=#REF!,"SOPORTE CARDIOVASCULAR AVANZADO (ACLS) ",IF(P73=#REF!,"CAMILLERO ",IF(P73=#REF!,"TOMA DE MUESTRAS Y LABORATORIO ",IF(P73=#REF!,"SOPORTE VITAL BASICO (BLS)",IF(P73=#REF!,"ATENCION A VICTIMAS DE VIOLENCIA SEXUAL ",IF(P73=#REF!,"PROGRAMADO AMPLIADO DE INMUNIZACION (PAI - COVID 19)",IF(P73=#REF!,"ATENCION INTEGRAL EN ENFERMEDADES PREVALENTES EN PRIMERA INFANCIA (AIEPI)",IF(P73=#REF!,"ADMINISTRACION DE MEDICAMENTOS, INYECTOLOGIA  Y CANALIZACION ",IF(P73=#REF!,"OPERADOR DE VEHICULOS DE EMERGENCIA (OVE)",IF(P73=#REF!,"INSTITUCIONES AMIGAS DE LA MUJER Y LA INFANCIA (IAMI)",IF(P73=#REF!,"CUIDADO DEL DONANTE DE ORGANOS",IF(P73=#REF!,"ATENCION A VICTIMAS POR VIOLENCIA DE GENERO",IF(P73=#REF!,"IGUALDAD DE GENERO EN LA SALUD",IF(P73=#REF!,"BRIGADA DE EMERGENCIA",IF(P73=#REF!,"MANEJO DEL DOLOR Y CUIDADOS PALIATIVOS",IF(P73=#REF!,"TOMA DE MUESTRAS Y LABORATORIO POCT",IF(P73=#REF!,"IMPLANTE SUBDERMICO DE DISPOSITIVO INTRAUTERINO",IF(P73=#REF!,"SALUD MENTAL",IF(P73=#REF!,"PRIMEROS AUXILIOS PSICOLOGICOS",IF(P73=#REF!,"ATENCION A VICTIMAS POR CONFLICTO ARMADO",IF(P73=#REF!,"MANIPULACION DE ALIMENTOS Y BPM",IF(P73=#REF!,"ATENCION A PERSONAS CON DISCAPACIDAD",IF(P73=#REF!,"CUIDADO INTEGRAL DEL PACIENTE ADULTO",IF(P73=#REF!,"MANEJO DEFENSIVO",IF(P73=#REF!,"SOPORTE CARDIOVASCULAR AVANZADO NEONATAL",IF(P73=#REF!,"SEGURIDAD DEL PACIENTE",IF(P73=#REF!,"MANEJO DE RESIDUOS HOSPITALARIOS"))))))))))))))))))))))))))))))))))))</f>
        <v>#REF!</v>
      </c>
      <c r="W73" s="25" t="str">
        <f t="shared" si="8"/>
        <v>Ana Carolina Cuaspud Getial</v>
      </c>
      <c r="X73" s="25" t="str">
        <f t="shared" si="9"/>
        <v>Ana Carolina Cuaspud Getial</v>
      </c>
      <c r="Y73" s="69" t="str">
        <f t="shared" si="10"/>
        <v>Ana Carolina Cuaspud Getial-1004624337-DUELO</v>
      </c>
    </row>
    <row r="74" spans="1:25" x14ac:dyDescent="0.2">
      <c r="A74" s="19">
        <v>73</v>
      </c>
      <c r="B74" s="20">
        <v>1004624337</v>
      </c>
      <c r="C74" s="20" t="s">
        <v>224</v>
      </c>
      <c r="D74" s="20" t="s">
        <v>218</v>
      </c>
      <c r="E74" s="20" t="s">
        <v>225</v>
      </c>
      <c r="F74" s="20" t="s">
        <v>119</v>
      </c>
      <c r="G74" s="20">
        <v>12</v>
      </c>
      <c r="H74" s="20" t="s">
        <v>56</v>
      </c>
      <c r="I74" s="21" t="s">
        <v>72</v>
      </c>
      <c r="J74" s="21" t="s">
        <v>91</v>
      </c>
      <c r="K74" s="22">
        <v>45702</v>
      </c>
      <c r="L74" s="23">
        <v>25000</v>
      </c>
      <c r="M74" s="20" t="s">
        <v>90</v>
      </c>
      <c r="N74" s="20" t="s">
        <v>57</v>
      </c>
      <c r="O74" s="20" t="s">
        <v>73</v>
      </c>
      <c r="P74" s="20" t="s">
        <v>27</v>
      </c>
      <c r="Q74" s="21">
        <v>36244</v>
      </c>
      <c r="R74" s="20" t="s">
        <v>49</v>
      </c>
      <c r="S74" s="24" t="s">
        <v>74</v>
      </c>
      <c r="T74" s="20">
        <v>3215643009</v>
      </c>
      <c r="U74" s="20" t="s">
        <v>226</v>
      </c>
      <c r="V74" s="25" t="e">
        <f>IF(P74=#REF!,"DIPLOMADO EN ATENCION PRE-HOSPITALARIA",IF(P74=#REF!,"ACOMPAÑAMIENTO Y MANEJO DEL DUELO",IF(P74=#REF!,"ATENCION A VICTIMAS DE ATAQUE CON AGENTES QUIMICOS ",IF(P74=#REF!,"PRIMEROS AUXILIOS ",IF(P74=#REF!,"DIPLOMADO DE UNIDAD DE CUIDADOS INTENSIVOS (UCI)",IF(P74=#REF!,"MODELO DE ATENCION PARA EVENTOS EMERGENTES EN SALUD MENTAL (CODIGO VERDE)",IF(P74=#REF!,"HUMANIZACION EN EL SERVICIO DE LA SALUD Y BUENAS PRACTICAS EN PACIENTE ",IF(P74=#REF!,"CLINICA DE HERIDAS ",IF(P74=#REF!,"TOMA DE CITOLOGIA CERVICO VAGINAL ",IF(P74=#REF!,"SOPORTE CARDIOVASCULAR AVANZADO (ACLS) ",IF(P74=#REF!,"CAMILLERO ",IF(P74=#REF!,"TOMA DE MUESTRAS Y LABORATORIO ",IF(P74=#REF!,"SOPORTE VITAL BASICO (BLS)",IF(P74=#REF!,"ATENCION A VICTIMAS DE VIOLENCIA SEXUAL ",IF(P74=#REF!,"PROGRAMADO AMPLIADO DE INMUNIZACION (PAI - COVID 19)",IF(P74=#REF!,"ATENCION INTEGRAL EN ENFERMEDADES PREVALENTES EN PRIMERA INFANCIA (AIEPI)",IF(P74=#REF!,"ADMINISTRACION DE MEDICAMENTOS, INYECTOLOGIA  Y CANALIZACION ",IF(P74=#REF!,"OPERADOR DE VEHICULOS DE EMERGENCIA (OVE)",IF(P74=#REF!,"INSTITUCIONES AMIGAS DE LA MUJER Y LA INFANCIA (IAMI)",IF(P74=#REF!,"CUIDADO DEL DONANTE DE ORGANOS",IF(P74=#REF!,"ATENCION A VICTIMAS POR VIOLENCIA DE GENERO",IF(P74=#REF!,"IGUALDAD DE GENERO EN LA SALUD",IF(P74=#REF!,"BRIGADA DE EMERGENCIA",IF(P74=#REF!,"MANEJO DEL DOLOR Y CUIDADOS PALIATIVOS",IF(P74=#REF!,"TOMA DE MUESTRAS Y LABORATORIO POCT",IF(P74=#REF!,"IMPLANTE SUBDERMICO DE DISPOSITIVO INTRAUTERINO",IF(P74=#REF!,"SALUD MENTAL",IF(P74=#REF!,"PRIMEROS AUXILIOS PSICOLOGICOS",IF(P74=#REF!,"ATENCION A VICTIMAS POR CONFLICTO ARMADO",IF(P74=#REF!,"MANIPULACION DE ALIMENTOS Y BPM",IF(P74=#REF!,"ATENCION A PERSONAS CON DISCAPACIDAD",IF(P74=#REF!,"CUIDADO INTEGRAL DEL PACIENTE ADULTO",IF(P74=#REF!,"MANEJO DEFENSIVO",IF(P74=#REF!,"SOPORTE CARDIOVASCULAR AVANZADO NEONATAL",IF(P74=#REF!,"SEGURIDAD DEL PACIENTE",IF(P74=#REF!,"MANEJO DE RESIDUOS HOSPITALARIOS"))))))))))))))))))))))))))))))))))))</f>
        <v>#REF!</v>
      </c>
      <c r="W74" s="25" t="str">
        <f t="shared" si="8"/>
        <v>Ana Carolina Cuaspud Getial</v>
      </c>
      <c r="X74" s="25" t="str">
        <f t="shared" si="9"/>
        <v>Ana Carolina Cuaspud Getial</v>
      </c>
      <c r="Y74" s="69" t="str">
        <f t="shared" si="10"/>
        <v>Ana Carolina Cuaspud Getial-1004624337-VIOLENCIA SEXUAL</v>
      </c>
    </row>
    <row r="75" spans="1:25" x14ac:dyDescent="0.2">
      <c r="A75" s="19">
        <v>74</v>
      </c>
      <c r="B75" s="20">
        <v>1004624337</v>
      </c>
      <c r="C75" s="20" t="s">
        <v>224</v>
      </c>
      <c r="D75" s="20" t="s">
        <v>218</v>
      </c>
      <c r="E75" s="20" t="s">
        <v>225</v>
      </c>
      <c r="F75" s="20" t="s">
        <v>119</v>
      </c>
      <c r="G75" s="20">
        <v>12</v>
      </c>
      <c r="H75" s="20" t="s">
        <v>56</v>
      </c>
      <c r="I75" s="21" t="s">
        <v>72</v>
      </c>
      <c r="J75" s="21" t="s">
        <v>91</v>
      </c>
      <c r="K75" s="22">
        <v>45702</v>
      </c>
      <c r="L75" s="23">
        <v>25000</v>
      </c>
      <c r="M75" s="20" t="s">
        <v>90</v>
      </c>
      <c r="N75" s="20" t="s">
        <v>57</v>
      </c>
      <c r="O75" s="20" t="s">
        <v>73</v>
      </c>
      <c r="P75" s="20" t="s">
        <v>21</v>
      </c>
      <c r="Q75" s="21">
        <v>36244</v>
      </c>
      <c r="R75" s="20" t="s">
        <v>49</v>
      </c>
      <c r="S75" s="24" t="s">
        <v>74</v>
      </c>
      <c r="T75" s="20">
        <v>3215643009</v>
      </c>
      <c r="U75" s="20" t="s">
        <v>226</v>
      </c>
      <c r="V75" s="25" t="e">
        <f>IF(P75=#REF!,"DIPLOMADO EN ATENCION PRE-HOSPITALARIA",IF(P75=#REF!,"ACOMPAÑAMIENTO Y MANEJO DEL DUELO",IF(P75=#REF!,"ATENCION A VICTIMAS DE ATAQUE CON AGENTES QUIMICOS ",IF(P75=#REF!,"PRIMEROS AUXILIOS ",IF(P75=#REF!,"DIPLOMADO DE UNIDAD DE CUIDADOS INTENSIVOS (UCI)",IF(P75=#REF!,"MODELO DE ATENCION PARA EVENTOS EMERGENTES EN SALUD MENTAL (CODIGO VERDE)",IF(P75=#REF!,"HUMANIZACION EN EL SERVICIO DE LA SALUD Y BUENAS PRACTICAS EN PACIENTE ",IF(P75=#REF!,"CLINICA DE HERIDAS ",IF(P75=#REF!,"TOMA DE CITOLOGIA CERVICO VAGINAL ",IF(P75=#REF!,"SOPORTE CARDIOVASCULAR AVANZADO (ACLS) ",IF(P75=#REF!,"CAMILLERO ",IF(P75=#REF!,"TOMA DE MUESTRAS Y LABORATORIO ",IF(P75=#REF!,"SOPORTE VITAL BASICO (BLS)",IF(P75=#REF!,"ATENCION A VICTIMAS DE VIOLENCIA SEXUAL ",IF(P75=#REF!,"PROGRAMADO AMPLIADO DE INMUNIZACION (PAI - COVID 19)",IF(P75=#REF!,"ATENCION INTEGRAL EN ENFERMEDADES PREVALENTES EN PRIMERA INFANCIA (AIEPI)",IF(P75=#REF!,"ADMINISTRACION DE MEDICAMENTOS, INYECTOLOGIA  Y CANALIZACION ",IF(P75=#REF!,"OPERADOR DE VEHICULOS DE EMERGENCIA (OVE)",IF(P75=#REF!,"INSTITUCIONES AMIGAS DE LA MUJER Y LA INFANCIA (IAMI)",IF(P75=#REF!,"CUIDADO DEL DONANTE DE ORGANOS",IF(P75=#REF!,"ATENCION A VICTIMAS POR VIOLENCIA DE GENERO",IF(P75=#REF!,"IGUALDAD DE GENERO EN LA SALUD",IF(P75=#REF!,"BRIGADA DE EMERGENCIA",IF(P75=#REF!,"MANEJO DEL DOLOR Y CUIDADOS PALIATIVOS",IF(P75=#REF!,"TOMA DE MUESTRAS Y LABORATORIO POCT",IF(P75=#REF!,"IMPLANTE SUBDERMICO DE DISPOSITIVO INTRAUTERINO",IF(P75=#REF!,"SALUD MENTAL",IF(P75=#REF!,"PRIMEROS AUXILIOS PSICOLOGICOS",IF(P75=#REF!,"ATENCION A VICTIMAS POR CONFLICTO ARMADO",IF(P75=#REF!,"MANIPULACION DE ALIMENTOS Y BPM",IF(P75=#REF!,"ATENCION A PERSONAS CON DISCAPACIDAD",IF(P75=#REF!,"CUIDADO INTEGRAL DEL PACIENTE ADULTO",IF(P75=#REF!,"MANEJO DEFENSIVO",IF(P75=#REF!,"SOPORTE CARDIOVASCULAR AVANZADO NEONATAL",IF(P75=#REF!,"SEGURIDAD DEL PACIENTE",IF(P75=#REF!,"MANEJO DE RESIDUOS HOSPITALARIOS"))))))))))))))))))))))))))))))))))))</f>
        <v>#REF!</v>
      </c>
      <c r="W75" s="25" t="str">
        <f t="shared" si="8"/>
        <v>Ana Carolina Cuaspud Getial</v>
      </c>
      <c r="X75" s="25" t="str">
        <f t="shared" si="9"/>
        <v>Ana Carolina Cuaspud Getial</v>
      </c>
      <c r="Y75" s="69" t="str">
        <f t="shared" si="10"/>
        <v>Ana Carolina Cuaspud Getial-1004624337-QUIMICOS</v>
      </c>
    </row>
    <row r="76" spans="1:25" x14ac:dyDescent="0.2">
      <c r="A76" s="28">
        <v>75</v>
      </c>
      <c r="B76" s="20">
        <v>1004624337</v>
      </c>
      <c r="C76" s="20" t="s">
        <v>224</v>
      </c>
      <c r="D76" s="20" t="s">
        <v>218</v>
      </c>
      <c r="E76" s="20" t="s">
        <v>225</v>
      </c>
      <c r="F76" s="20" t="s">
        <v>119</v>
      </c>
      <c r="G76" s="20">
        <v>14</v>
      </c>
      <c r="H76" s="20" t="s">
        <v>56</v>
      </c>
      <c r="I76" s="21" t="s">
        <v>72</v>
      </c>
      <c r="J76" s="21" t="s">
        <v>91</v>
      </c>
      <c r="K76" s="22">
        <v>45702</v>
      </c>
      <c r="L76" s="23">
        <v>25000</v>
      </c>
      <c r="M76" s="20" t="s">
        <v>90</v>
      </c>
      <c r="N76" s="20" t="s">
        <v>57</v>
      </c>
      <c r="O76" s="20" t="s">
        <v>73</v>
      </c>
      <c r="P76" s="20" t="s">
        <v>19</v>
      </c>
      <c r="Q76" s="21">
        <v>36244</v>
      </c>
      <c r="R76" s="20" t="s">
        <v>49</v>
      </c>
      <c r="S76" s="24" t="s">
        <v>74</v>
      </c>
      <c r="T76" s="20">
        <v>3215643009</v>
      </c>
      <c r="U76" s="20" t="s">
        <v>226</v>
      </c>
      <c r="V76" s="25" t="e">
        <f>IF(P76=#REF!,"DIPLOMADO EN ATENCION PRE-HOSPITALARIA",IF(P76=#REF!,"ACOMPAÑAMIENTO Y MANEJO DEL DUELO",IF(P76=#REF!,"ATENCION A VICTIMAS DE ATAQUE CON AGENTES QUIMICOS ",IF(P76=#REF!,"PRIMEROS AUXILIOS ",IF(P76=#REF!,"DIPLOMADO DE UNIDAD DE CUIDADOS INTENSIVOS (UCI)",IF(P76=#REF!,"MODELO DE ATENCION PARA EVENTOS EMERGENTES EN SALUD MENTAL (CODIGO VERDE)",IF(P76=#REF!,"HUMANIZACION EN EL SERVICIO DE LA SALUD Y BUENAS PRACTICAS EN PACIENTE ",IF(P76=#REF!,"CLINICA DE HERIDAS ",IF(P76=#REF!,"TOMA DE CITOLOGIA CERVICO VAGINAL ",IF(P76=#REF!,"SOPORTE CARDIOVASCULAR AVANZADO (ACLS) ",IF(P76=#REF!,"CAMILLERO ",IF(P76=#REF!,"TOMA DE MUESTRAS Y LABORATORIO ",IF(P76=#REF!,"SOPORTE VITAL BASICO (BLS)",IF(P76=#REF!,"ATENCION A VICTIMAS DE VIOLENCIA SEXUAL ",IF(P76=#REF!,"PROGRAMADO AMPLIADO DE INMUNIZACION (PAI - COVID 19)",IF(P76=#REF!,"ATENCION INTEGRAL EN ENFERMEDADES PREVALENTES EN PRIMERA INFANCIA (AIEPI)",IF(P76=#REF!,"ADMINISTRACION DE MEDICAMENTOS, INYECTOLOGIA  Y CANALIZACION ",IF(P76=#REF!,"OPERADOR DE VEHICULOS DE EMERGENCIA (OVE)",IF(P76=#REF!,"INSTITUCIONES AMIGAS DE LA MUJER Y LA INFANCIA (IAMI)",IF(P76=#REF!,"CUIDADO DEL DONANTE DE ORGANOS",IF(P76=#REF!,"ATENCION A VICTIMAS POR VIOLENCIA DE GENERO",IF(P76=#REF!,"IGUALDAD DE GENERO EN LA SALUD",IF(P76=#REF!,"BRIGADA DE EMERGENCIA",IF(P76=#REF!,"MANEJO DEL DOLOR Y CUIDADOS PALIATIVOS",IF(P76=#REF!,"TOMA DE MUESTRAS Y LABORATORIO POCT",IF(P76=#REF!,"IMPLANTE SUBDERMICO DE DISPOSITIVO INTRAUTERINO",IF(P76=#REF!,"SALUD MENTAL",IF(P76=#REF!,"PRIMEROS AUXILIOS PSICOLOGICOS",IF(P76=#REF!,"ATENCION A VICTIMAS POR CONFLICTO ARMADO",IF(P76=#REF!,"MANIPULACION DE ALIMENTOS Y BPM",IF(P76=#REF!,"ATENCION A PERSONAS CON DISCAPACIDAD",IF(P76=#REF!,"CUIDADO INTEGRAL DEL PACIENTE ADULTO",IF(P76=#REF!,"MANEJO DEFENSIVO",IF(P76=#REF!,"SOPORTE CARDIOVASCULAR AVANZADO NEONATAL",IF(P76=#REF!,"SEGURIDAD DEL PACIENTE",IF(P76=#REF!,"MANEJO DE RESIDUOS HOSPITALARIOS"))))))))))))))))))))))))))))))))))))</f>
        <v>#REF!</v>
      </c>
      <c r="W76" s="25" t="str">
        <f t="shared" si="8"/>
        <v>Ana Carolina Cuaspud Getial</v>
      </c>
      <c r="X76" s="25" t="str">
        <f t="shared" si="9"/>
        <v>Ana Carolina Cuaspud Getial</v>
      </c>
      <c r="Y76" s="69" t="str">
        <f t="shared" si="10"/>
        <v>Ana Carolina Cuaspud Getial-1004624337-BLS</v>
      </c>
    </row>
    <row r="77" spans="1:25" x14ac:dyDescent="0.2">
      <c r="A77" s="19">
        <v>76</v>
      </c>
      <c r="B77" s="20">
        <v>1004624337</v>
      </c>
      <c r="C77" s="20" t="s">
        <v>224</v>
      </c>
      <c r="D77" s="20" t="s">
        <v>218</v>
      </c>
      <c r="E77" s="20" t="s">
        <v>225</v>
      </c>
      <c r="F77" s="20" t="s">
        <v>119</v>
      </c>
      <c r="G77" s="20">
        <v>14</v>
      </c>
      <c r="H77" s="20" t="s">
        <v>56</v>
      </c>
      <c r="I77" s="21" t="s">
        <v>72</v>
      </c>
      <c r="J77" s="21" t="s">
        <v>91</v>
      </c>
      <c r="K77" s="22">
        <v>45702</v>
      </c>
      <c r="L77" s="23">
        <v>25000</v>
      </c>
      <c r="M77" s="20" t="s">
        <v>90</v>
      </c>
      <c r="N77" s="20" t="s">
        <v>57</v>
      </c>
      <c r="O77" s="20" t="s">
        <v>73</v>
      </c>
      <c r="P77" s="20" t="s">
        <v>22</v>
      </c>
      <c r="Q77" s="21">
        <v>36244</v>
      </c>
      <c r="R77" s="20" t="s">
        <v>49</v>
      </c>
      <c r="S77" s="24" t="s">
        <v>74</v>
      </c>
      <c r="T77" s="20">
        <v>3215643009</v>
      </c>
      <c r="U77" s="20" t="s">
        <v>226</v>
      </c>
      <c r="V77" s="25" t="e">
        <f>IF(P77=#REF!,"DIPLOMADO EN ATENCION PRE-HOSPITALARIA",IF(P77=#REF!,"ACOMPAÑAMIENTO Y MANEJO DEL DUELO",IF(P77=#REF!,"ATENCION A VICTIMAS DE ATAQUE CON AGENTES QUIMICOS ",IF(P77=#REF!,"PRIMEROS AUXILIOS ",IF(P77=#REF!,"DIPLOMADO DE UNIDAD DE CUIDADOS INTENSIVOS (UCI)",IF(P77=#REF!,"MODELO DE ATENCION PARA EVENTOS EMERGENTES EN SALUD MENTAL (CODIGO VERDE)",IF(P77=#REF!,"HUMANIZACION EN EL SERVICIO DE LA SALUD Y BUENAS PRACTICAS EN PACIENTE ",IF(P77=#REF!,"CLINICA DE HERIDAS ",IF(P77=#REF!,"TOMA DE CITOLOGIA CERVICO VAGINAL ",IF(P77=#REF!,"SOPORTE CARDIOVASCULAR AVANZADO (ACLS) ",IF(P77=#REF!,"CAMILLERO ",IF(P77=#REF!,"TOMA DE MUESTRAS Y LABORATORIO ",IF(P77=#REF!,"SOPORTE VITAL BASICO (BLS)",IF(P77=#REF!,"ATENCION A VICTIMAS DE VIOLENCIA SEXUAL ",IF(P77=#REF!,"PROGRAMADO AMPLIADO DE INMUNIZACION (PAI - COVID 19)",IF(P77=#REF!,"ATENCION INTEGRAL EN ENFERMEDADES PREVALENTES EN PRIMERA INFANCIA (AIEPI)",IF(P77=#REF!,"ADMINISTRACION DE MEDICAMENTOS, INYECTOLOGIA  Y CANALIZACION ",IF(P77=#REF!,"OPERADOR DE VEHICULOS DE EMERGENCIA (OVE)",IF(P77=#REF!,"INSTITUCIONES AMIGAS DE LA MUJER Y LA INFANCIA (IAMI)",IF(P77=#REF!,"CUIDADO DEL DONANTE DE ORGANOS",IF(P77=#REF!,"ATENCION A VICTIMAS POR VIOLENCIA DE GENERO",IF(P77=#REF!,"IGUALDAD DE GENERO EN LA SALUD",IF(P77=#REF!,"BRIGADA DE EMERGENCIA",IF(P77=#REF!,"MANEJO DEL DOLOR Y CUIDADOS PALIATIVOS",IF(P77=#REF!,"TOMA DE MUESTRAS Y LABORATORIO POCT",IF(P77=#REF!,"IMPLANTE SUBDERMICO DE DISPOSITIVO INTRAUTERINO",IF(P77=#REF!,"SALUD MENTAL",IF(P77=#REF!,"PRIMEROS AUXILIOS PSICOLOGICOS",IF(P77=#REF!,"ATENCION A VICTIMAS POR CONFLICTO ARMADO",IF(P77=#REF!,"MANIPULACION DE ALIMENTOS Y BPM",IF(P77=#REF!,"ATENCION A PERSONAS CON DISCAPACIDAD",IF(P77=#REF!,"CUIDADO INTEGRAL DEL PACIENTE ADULTO",IF(P77=#REF!,"MANEJO DEFENSIVO",IF(P77=#REF!,"SOPORTE CARDIOVASCULAR AVANZADO NEONATAL",IF(P77=#REF!,"SEGURIDAD DEL PACIENTE",IF(P77=#REF!,"MANEJO DE RESIDUOS HOSPITALARIOS"))))))))))))))))))))))))))))))))))))</f>
        <v>#REF!</v>
      </c>
      <c r="W77" s="25" t="str">
        <f t="shared" si="8"/>
        <v>Ana Carolina Cuaspud Getial</v>
      </c>
      <c r="X77" s="25" t="str">
        <f t="shared" si="9"/>
        <v>Ana Carolina Cuaspud Getial</v>
      </c>
      <c r="Y77" s="69" t="str">
        <f t="shared" si="10"/>
        <v>Ana Carolina Cuaspud Getial-1004624337-PRIMEROS AUXILIOS</v>
      </c>
    </row>
    <row r="78" spans="1:25" x14ac:dyDescent="0.2">
      <c r="A78" s="19">
        <v>77</v>
      </c>
      <c r="B78" s="20">
        <v>1089030674</v>
      </c>
      <c r="C78" s="20" t="s">
        <v>218</v>
      </c>
      <c r="D78" s="20" t="s">
        <v>227</v>
      </c>
      <c r="E78" s="20" t="s">
        <v>112</v>
      </c>
      <c r="F78" s="20" t="s">
        <v>228</v>
      </c>
      <c r="G78" s="20">
        <v>10</v>
      </c>
      <c r="H78" s="20" t="s">
        <v>56</v>
      </c>
      <c r="I78" s="21" t="s">
        <v>72</v>
      </c>
      <c r="J78" s="21" t="s">
        <v>91</v>
      </c>
      <c r="K78" s="22">
        <v>45702</v>
      </c>
      <c r="L78" s="23">
        <v>25000</v>
      </c>
      <c r="M78" s="20" t="s">
        <v>90</v>
      </c>
      <c r="N78" s="20" t="s">
        <v>57</v>
      </c>
      <c r="O78" s="20" t="s">
        <v>73</v>
      </c>
      <c r="P78" s="20" t="s">
        <v>23</v>
      </c>
      <c r="Q78" s="21">
        <v>32817</v>
      </c>
      <c r="R78" s="20" t="s">
        <v>49</v>
      </c>
      <c r="S78" s="24" t="s">
        <v>74</v>
      </c>
      <c r="T78" s="24">
        <v>3233346019</v>
      </c>
      <c r="U78" s="24" t="s">
        <v>229</v>
      </c>
      <c r="V78" s="25" t="e">
        <f>IF(P78=#REF!,"DIPLOMADO EN ATENCION PRE-HOSPITALARIA",IF(P78=#REF!,"ACOMPAÑAMIENTO Y MANEJO DEL DUELO",IF(P78=#REF!,"ATENCION A VICTIMAS DE ATAQUE CON AGENTES QUIMICOS ",IF(P78=#REF!,"PRIMEROS AUXILIOS ",IF(P78=#REF!,"DIPLOMADO DE UNIDAD DE CUIDADOS INTENSIVOS (UCI)",IF(P78=#REF!,"MODELO DE ATENCION PARA EVENTOS EMERGENTES EN SALUD MENTAL (CODIGO VERDE)",IF(P78=#REF!,"HUMANIZACION EN EL SERVICIO DE LA SALUD Y BUENAS PRACTICAS EN PACIENTE ",IF(P78=#REF!,"CLINICA DE HERIDAS ",IF(P78=#REF!,"TOMA DE CITOLOGIA CERVICO VAGINAL ",IF(P78=#REF!,"SOPORTE CARDIOVASCULAR AVANZADO (ACLS) ",IF(P78=#REF!,"CAMILLERO ",IF(P78=#REF!,"TOMA DE MUESTRAS Y LABORATORIO ",IF(P78=#REF!,"SOPORTE VITAL BASICO (BLS)",IF(P78=#REF!,"ATENCION A VICTIMAS DE VIOLENCIA SEXUAL ",IF(P78=#REF!,"PROGRAMADO AMPLIADO DE INMUNIZACION (PAI - COVID 19)",IF(P78=#REF!,"ATENCION INTEGRAL EN ENFERMEDADES PREVALENTES EN PRIMERA INFANCIA (AIEPI)",IF(P78=#REF!,"ADMINISTRACION DE MEDICAMENTOS, INYECTOLOGIA  Y CANALIZACION ",IF(P78=#REF!,"OPERADOR DE VEHICULOS DE EMERGENCIA (OVE)",IF(P78=#REF!,"INSTITUCIONES AMIGAS DE LA MUJER Y LA INFANCIA (IAMI)",IF(P78=#REF!,"CUIDADO DEL DONANTE DE ORGANOS",IF(P78=#REF!,"ATENCION A VICTIMAS POR VIOLENCIA DE GENERO",IF(P78=#REF!,"IGUALDAD DE GENERO EN LA SALUD",IF(P78=#REF!,"BRIGADA DE EMERGENCIA",IF(P78=#REF!,"MANEJO DEL DOLOR Y CUIDADOS PALIATIVOS",IF(P78=#REF!,"TOMA DE MUESTRAS Y LABORATORIO POCT",IF(P78=#REF!,"IMPLANTE SUBDERMICO DE DISPOSITIVO INTRAUTERINO",IF(P78=#REF!,"SALUD MENTAL",IF(P78=#REF!,"PRIMEROS AUXILIOS PSICOLOGICOS",IF(P78=#REF!,"ATENCION A VICTIMAS POR CONFLICTO ARMADO",IF(P78=#REF!,"MANIPULACION DE ALIMENTOS Y BPM",IF(P78=#REF!,"ATENCION A PERSONAS CON DISCAPACIDAD",IF(P78=#REF!,"CUIDADO INTEGRAL DEL PACIENTE ADULTO",IF(P78=#REF!,"MANEJO DEFENSIVO",IF(P78=#REF!,"SOPORTE CARDIOVASCULAR AVANZADO NEONATAL",IF(P78=#REF!,"SEGURIDAD DEL PACIENTE",IF(P78=#REF!,"MANEJO DE RESIDUOS HOSPITALARIOS"))))))))))))))))))))))))))))))))))))</f>
        <v>#REF!</v>
      </c>
      <c r="W78" s="25" t="str">
        <f t="shared" si="8"/>
        <v>Maria Edilma Getial Mora</v>
      </c>
      <c r="X78" s="25" t="str">
        <f t="shared" si="9"/>
        <v>Maria Edilma Getial Mora</v>
      </c>
      <c r="Y78" s="69" t="str">
        <f t="shared" si="10"/>
        <v>Maria Edilma Getial Mora-1089030674-HUMANIZACION</v>
      </c>
    </row>
    <row r="79" spans="1:25" x14ac:dyDescent="0.2">
      <c r="A79" s="19">
        <v>78</v>
      </c>
      <c r="B79" s="20">
        <v>1089030674</v>
      </c>
      <c r="C79" s="20" t="s">
        <v>218</v>
      </c>
      <c r="D79" s="20" t="s">
        <v>227</v>
      </c>
      <c r="E79" s="20" t="s">
        <v>112</v>
      </c>
      <c r="F79" s="20" t="s">
        <v>228</v>
      </c>
      <c r="G79" s="20">
        <v>11</v>
      </c>
      <c r="H79" s="20" t="s">
        <v>56</v>
      </c>
      <c r="I79" s="21" t="s">
        <v>72</v>
      </c>
      <c r="J79" s="21" t="s">
        <v>91</v>
      </c>
      <c r="K79" s="22">
        <v>45702</v>
      </c>
      <c r="L79" s="23">
        <v>25000</v>
      </c>
      <c r="M79" s="20" t="s">
        <v>90</v>
      </c>
      <c r="N79" s="20" t="s">
        <v>57</v>
      </c>
      <c r="O79" s="20" t="s">
        <v>73</v>
      </c>
      <c r="P79" s="20" t="s">
        <v>35</v>
      </c>
      <c r="Q79" s="21">
        <v>32817</v>
      </c>
      <c r="R79" s="20" t="s">
        <v>49</v>
      </c>
      <c r="S79" s="24" t="s">
        <v>74</v>
      </c>
      <c r="T79" s="24">
        <v>3233346019</v>
      </c>
      <c r="U79" s="24" t="s">
        <v>229</v>
      </c>
      <c r="V79" s="25" t="e">
        <f>IF(P79=#REF!,"DIPLOMADO EN ATENCION PRE-HOSPITALARIA",IF(P79=#REF!,"ACOMPAÑAMIENTO Y MANEJO DEL DUELO",IF(P79=#REF!,"ATENCION A VICTIMAS DE ATAQUE CON AGENTES QUIMICOS ",IF(P79=#REF!,"PRIMEROS AUXILIOS ",IF(P79=#REF!,"DIPLOMADO DE UNIDAD DE CUIDADOS INTENSIVOS (UCI)",IF(P79=#REF!,"MODELO DE ATENCION PARA EVENTOS EMERGENTES EN SALUD MENTAL (CODIGO VERDE)",IF(P79=#REF!,"HUMANIZACION EN EL SERVICIO DE LA SALUD Y BUENAS PRACTICAS EN PACIENTE ",IF(P79=#REF!,"CLINICA DE HERIDAS ",IF(P79=#REF!,"TOMA DE CITOLOGIA CERVICO VAGINAL ",IF(P79=#REF!,"SOPORTE CARDIOVASCULAR AVANZADO (ACLS) ",IF(P79=#REF!,"CAMILLERO ",IF(P79=#REF!,"TOMA DE MUESTRAS Y LABORATORIO ",IF(P79=#REF!,"SOPORTE VITAL BASICO (BLS)",IF(P79=#REF!,"ATENCION A VICTIMAS DE VIOLENCIA SEXUAL ",IF(P79=#REF!,"PROGRAMADO AMPLIADO DE INMUNIZACION (PAI - COVID 19)",IF(P79=#REF!,"ATENCION INTEGRAL EN ENFERMEDADES PREVALENTES EN PRIMERA INFANCIA (AIEPI)",IF(P79=#REF!,"ADMINISTRACION DE MEDICAMENTOS, INYECTOLOGIA  Y CANALIZACION ",IF(P79=#REF!,"OPERADOR DE VEHICULOS DE EMERGENCIA (OVE)",IF(P79=#REF!,"INSTITUCIONES AMIGAS DE LA MUJER Y LA INFANCIA (IAMI)",IF(P79=#REF!,"CUIDADO DEL DONANTE DE ORGANOS",IF(P79=#REF!,"ATENCION A VICTIMAS POR VIOLENCIA DE GENERO",IF(P79=#REF!,"IGUALDAD DE GENERO EN LA SALUD",IF(P79=#REF!,"BRIGADA DE EMERGENCIA",IF(P79=#REF!,"MANEJO DEL DOLOR Y CUIDADOS PALIATIVOS",IF(P79=#REF!,"TOMA DE MUESTRAS Y LABORATORIO POCT",IF(P79=#REF!,"IMPLANTE SUBDERMICO DE DISPOSITIVO INTRAUTERINO",IF(P79=#REF!,"SALUD MENTAL",IF(P79=#REF!,"PRIMEROS AUXILIOS PSICOLOGICOS",IF(P79=#REF!,"ATENCION A VICTIMAS POR CONFLICTO ARMADO",IF(P79=#REF!,"MANIPULACION DE ALIMENTOS Y BPM",IF(P79=#REF!,"ATENCION A PERSONAS CON DISCAPACIDAD",IF(P79=#REF!,"CUIDADO INTEGRAL DEL PACIENTE ADULTO",IF(P79=#REF!,"MANEJO DEFENSIVO",IF(P79=#REF!,"SOPORTE CARDIOVASCULAR AVANZADO NEONATAL",IF(P79=#REF!,"SEGURIDAD DEL PACIENTE",IF(P79=#REF!,"MANEJO DE RESIDUOS HOSPITALARIOS"))))))))))))))))))))))))))))))))))))</f>
        <v>#REF!</v>
      </c>
      <c r="W79" s="25" t="str">
        <f t="shared" si="8"/>
        <v>Maria Edilma Getial Mora</v>
      </c>
      <c r="X79" s="25" t="str">
        <f t="shared" si="9"/>
        <v>Maria Edilma Getial Mora</v>
      </c>
      <c r="Y79" s="69" t="str">
        <f t="shared" si="10"/>
        <v>Maria Edilma Getial Mora-1089030674-CONFLICTO ARMADO</v>
      </c>
    </row>
    <row r="80" spans="1:25" x14ac:dyDescent="0.2">
      <c r="A80" s="19">
        <v>79</v>
      </c>
      <c r="B80" s="20">
        <v>1089030674</v>
      </c>
      <c r="C80" s="20" t="s">
        <v>218</v>
      </c>
      <c r="D80" s="20" t="s">
        <v>227</v>
      </c>
      <c r="E80" s="20" t="s">
        <v>112</v>
      </c>
      <c r="F80" s="20" t="s">
        <v>228</v>
      </c>
      <c r="G80" s="20">
        <v>13</v>
      </c>
      <c r="H80" s="20" t="s">
        <v>56</v>
      </c>
      <c r="I80" s="21" t="s">
        <v>72</v>
      </c>
      <c r="J80" s="21" t="s">
        <v>91</v>
      </c>
      <c r="K80" s="22">
        <v>45702</v>
      </c>
      <c r="L80" s="23">
        <v>25000</v>
      </c>
      <c r="M80" s="20" t="s">
        <v>90</v>
      </c>
      <c r="N80" s="20" t="s">
        <v>57</v>
      </c>
      <c r="O80" s="20" t="s">
        <v>73</v>
      </c>
      <c r="P80" s="20" t="s">
        <v>20</v>
      </c>
      <c r="Q80" s="21">
        <v>32817</v>
      </c>
      <c r="R80" s="20" t="s">
        <v>49</v>
      </c>
      <c r="S80" s="24" t="s">
        <v>74</v>
      </c>
      <c r="T80" s="24">
        <v>3233346019</v>
      </c>
      <c r="U80" s="24" t="s">
        <v>229</v>
      </c>
      <c r="V80" s="25" t="e">
        <f>IF(P80=#REF!,"DIPLOMADO EN ATENCION PRE-HOSPITALARIA",IF(P80=#REF!,"ACOMPAÑAMIENTO Y MANEJO DEL DUELO",IF(P80=#REF!,"ATENCION A VICTIMAS DE ATAQUE CON AGENTES QUIMICOS ",IF(P80=#REF!,"PRIMEROS AUXILIOS ",IF(P80=#REF!,"DIPLOMADO DE UNIDAD DE CUIDADOS INTENSIVOS (UCI)",IF(P80=#REF!,"MODELO DE ATENCION PARA EVENTOS EMERGENTES EN SALUD MENTAL (CODIGO VERDE)",IF(P80=#REF!,"HUMANIZACION EN EL SERVICIO DE LA SALUD Y BUENAS PRACTICAS EN PACIENTE ",IF(P80=#REF!,"CLINICA DE HERIDAS ",IF(P80=#REF!,"TOMA DE CITOLOGIA CERVICO VAGINAL ",IF(P80=#REF!,"SOPORTE CARDIOVASCULAR AVANZADO (ACLS) ",IF(P80=#REF!,"CAMILLERO ",IF(P80=#REF!,"TOMA DE MUESTRAS Y LABORATORIO ",IF(P80=#REF!,"SOPORTE VITAL BASICO (BLS)",IF(P80=#REF!,"ATENCION A VICTIMAS DE VIOLENCIA SEXUAL ",IF(P80=#REF!,"PROGRAMADO AMPLIADO DE INMUNIZACION (PAI - COVID 19)",IF(P80=#REF!,"ATENCION INTEGRAL EN ENFERMEDADES PREVALENTES EN PRIMERA INFANCIA (AIEPI)",IF(P80=#REF!,"ADMINISTRACION DE MEDICAMENTOS, INYECTOLOGIA  Y CANALIZACION ",IF(P80=#REF!,"OPERADOR DE VEHICULOS DE EMERGENCIA (OVE)",IF(P80=#REF!,"INSTITUCIONES AMIGAS DE LA MUJER Y LA INFANCIA (IAMI)",IF(P80=#REF!,"CUIDADO DEL DONANTE DE ORGANOS",IF(P80=#REF!,"ATENCION A VICTIMAS POR VIOLENCIA DE GENERO",IF(P80=#REF!,"IGUALDAD DE GENERO EN LA SALUD",IF(P80=#REF!,"BRIGADA DE EMERGENCIA",IF(P80=#REF!,"MANEJO DEL DOLOR Y CUIDADOS PALIATIVOS",IF(P80=#REF!,"TOMA DE MUESTRAS Y LABORATORIO POCT",IF(P80=#REF!,"IMPLANTE SUBDERMICO DE DISPOSITIVO INTRAUTERINO",IF(P80=#REF!,"SALUD MENTAL",IF(P80=#REF!,"PRIMEROS AUXILIOS PSICOLOGICOS",IF(P80=#REF!,"ATENCION A VICTIMAS POR CONFLICTO ARMADO",IF(P80=#REF!,"MANIPULACION DE ALIMENTOS Y BPM",IF(P80=#REF!,"ATENCION A PERSONAS CON DISCAPACIDAD",IF(P80=#REF!,"CUIDADO INTEGRAL DEL PACIENTE ADULTO",IF(P80=#REF!,"MANEJO DEFENSIVO",IF(P80=#REF!,"SOPORTE CARDIOVASCULAR AVANZADO NEONATAL",IF(P80=#REF!,"SEGURIDAD DEL PACIENTE",IF(P80=#REF!,"MANEJO DE RESIDUOS HOSPITALARIOS"))))))))))))))))))))))))))))))))))))</f>
        <v>#REF!</v>
      </c>
      <c r="W80" s="25" t="str">
        <f t="shared" ref="W80:W143" si="11">CONCATENATE(E80," ",F80," ",C80," ",D80)</f>
        <v>Maria Edilma Getial Mora</v>
      </c>
      <c r="X80" s="25" t="str">
        <f t="shared" ref="X80:X143" si="12">PROPER(W80)</f>
        <v>Maria Edilma Getial Mora</v>
      </c>
      <c r="Y80" s="69" t="str">
        <f t="shared" ref="Y80:Y143" si="13">CONCATENATE(W80,"-",B80,"-",P80)</f>
        <v>Maria Edilma Getial Mora-1089030674-DUELO</v>
      </c>
    </row>
    <row r="81" spans="1:25" x14ac:dyDescent="0.2">
      <c r="A81" s="19">
        <v>80</v>
      </c>
      <c r="B81" s="20">
        <v>1089030674</v>
      </c>
      <c r="C81" s="20" t="s">
        <v>218</v>
      </c>
      <c r="D81" s="20" t="s">
        <v>227</v>
      </c>
      <c r="E81" s="20" t="s">
        <v>112</v>
      </c>
      <c r="F81" s="20" t="s">
        <v>228</v>
      </c>
      <c r="G81" s="20">
        <v>12</v>
      </c>
      <c r="H81" s="20" t="s">
        <v>56</v>
      </c>
      <c r="I81" s="21" t="s">
        <v>72</v>
      </c>
      <c r="J81" s="21" t="s">
        <v>91</v>
      </c>
      <c r="K81" s="22">
        <v>45702</v>
      </c>
      <c r="L81" s="23">
        <v>25000</v>
      </c>
      <c r="M81" s="20" t="s">
        <v>90</v>
      </c>
      <c r="N81" s="20" t="s">
        <v>57</v>
      </c>
      <c r="O81" s="20" t="s">
        <v>73</v>
      </c>
      <c r="P81" s="20" t="s">
        <v>27</v>
      </c>
      <c r="Q81" s="21">
        <v>32817</v>
      </c>
      <c r="R81" s="20" t="s">
        <v>49</v>
      </c>
      <c r="S81" s="24" t="s">
        <v>74</v>
      </c>
      <c r="T81" s="24">
        <v>3233346019</v>
      </c>
      <c r="U81" s="24" t="s">
        <v>229</v>
      </c>
      <c r="V81" s="25" t="e">
        <f>IF(P81=#REF!,"DIPLOMADO EN ATENCION PRE-HOSPITALARIA",IF(P81=#REF!,"ACOMPAÑAMIENTO Y MANEJO DEL DUELO",IF(P81=#REF!,"ATENCION A VICTIMAS DE ATAQUE CON AGENTES QUIMICOS ",IF(P81=#REF!,"PRIMEROS AUXILIOS ",IF(P81=#REF!,"DIPLOMADO DE UNIDAD DE CUIDADOS INTENSIVOS (UCI)",IF(P81=#REF!,"MODELO DE ATENCION PARA EVENTOS EMERGENTES EN SALUD MENTAL (CODIGO VERDE)",IF(P81=#REF!,"HUMANIZACION EN EL SERVICIO DE LA SALUD Y BUENAS PRACTICAS EN PACIENTE ",IF(P81=#REF!,"CLINICA DE HERIDAS ",IF(P81=#REF!,"TOMA DE CITOLOGIA CERVICO VAGINAL ",IF(P81=#REF!,"SOPORTE CARDIOVASCULAR AVANZADO (ACLS) ",IF(P81=#REF!,"CAMILLERO ",IF(P81=#REF!,"TOMA DE MUESTRAS Y LABORATORIO ",IF(P81=#REF!,"SOPORTE VITAL BASICO (BLS)",IF(P81=#REF!,"ATENCION A VICTIMAS DE VIOLENCIA SEXUAL ",IF(P81=#REF!,"PROGRAMADO AMPLIADO DE INMUNIZACION (PAI - COVID 19)",IF(P81=#REF!,"ATENCION INTEGRAL EN ENFERMEDADES PREVALENTES EN PRIMERA INFANCIA (AIEPI)",IF(P81=#REF!,"ADMINISTRACION DE MEDICAMENTOS, INYECTOLOGIA  Y CANALIZACION ",IF(P81=#REF!,"OPERADOR DE VEHICULOS DE EMERGENCIA (OVE)",IF(P81=#REF!,"INSTITUCIONES AMIGAS DE LA MUJER Y LA INFANCIA (IAMI)",IF(P81=#REF!,"CUIDADO DEL DONANTE DE ORGANOS",IF(P81=#REF!,"ATENCION A VICTIMAS POR VIOLENCIA DE GENERO",IF(P81=#REF!,"IGUALDAD DE GENERO EN LA SALUD",IF(P81=#REF!,"BRIGADA DE EMERGENCIA",IF(P81=#REF!,"MANEJO DEL DOLOR Y CUIDADOS PALIATIVOS",IF(P81=#REF!,"TOMA DE MUESTRAS Y LABORATORIO POCT",IF(P81=#REF!,"IMPLANTE SUBDERMICO DE DISPOSITIVO INTRAUTERINO",IF(P81=#REF!,"SALUD MENTAL",IF(P81=#REF!,"PRIMEROS AUXILIOS PSICOLOGICOS",IF(P81=#REF!,"ATENCION A VICTIMAS POR CONFLICTO ARMADO",IF(P81=#REF!,"MANIPULACION DE ALIMENTOS Y BPM",IF(P81=#REF!,"ATENCION A PERSONAS CON DISCAPACIDAD",IF(P81=#REF!,"CUIDADO INTEGRAL DEL PACIENTE ADULTO",IF(P81=#REF!,"MANEJO DEFENSIVO",IF(P81=#REF!,"SOPORTE CARDIOVASCULAR AVANZADO NEONATAL",IF(P81=#REF!,"SEGURIDAD DEL PACIENTE",IF(P81=#REF!,"MANEJO DE RESIDUOS HOSPITALARIOS"))))))))))))))))))))))))))))))))))))</f>
        <v>#REF!</v>
      </c>
      <c r="W81" s="25" t="str">
        <f t="shared" si="11"/>
        <v>Maria Edilma Getial Mora</v>
      </c>
      <c r="X81" s="25" t="str">
        <f t="shared" si="12"/>
        <v>Maria Edilma Getial Mora</v>
      </c>
      <c r="Y81" s="69" t="str">
        <f t="shared" si="13"/>
        <v>Maria Edilma Getial Mora-1089030674-VIOLENCIA SEXUAL</v>
      </c>
    </row>
    <row r="82" spans="1:25" x14ac:dyDescent="0.2">
      <c r="A82" s="19">
        <v>81</v>
      </c>
      <c r="B82" s="20">
        <v>1089030674</v>
      </c>
      <c r="C82" s="20" t="s">
        <v>218</v>
      </c>
      <c r="D82" s="20" t="s">
        <v>227</v>
      </c>
      <c r="E82" s="20" t="s">
        <v>112</v>
      </c>
      <c r="F82" s="20" t="s">
        <v>228</v>
      </c>
      <c r="G82" s="20">
        <v>12</v>
      </c>
      <c r="H82" s="20" t="s">
        <v>56</v>
      </c>
      <c r="I82" s="21" t="s">
        <v>72</v>
      </c>
      <c r="J82" s="21" t="s">
        <v>91</v>
      </c>
      <c r="K82" s="22">
        <v>45702</v>
      </c>
      <c r="L82" s="23">
        <v>25000</v>
      </c>
      <c r="M82" s="20" t="s">
        <v>90</v>
      </c>
      <c r="N82" s="20" t="s">
        <v>57</v>
      </c>
      <c r="O82" s="20" t="s">
        <v>73</v>
      </c>
      <c r="P82" s="20" t="s">
        <v>21</v>
      </c>
      <c r="Q82" s="21">
        <v>32817</v>
      </c>
      <c r="R82" s="20" t="s">
        <v>49</v>
      </c>
      <c r="S82" s="24" t="s">
        <v>74</v>
      </c>
      <c r="T82" s="24">
        <v>3233346019</v>
      </c>
      <c r="U82" s="24" t="s">
        <v>229</v>
      </c>
      <c r="V82" s="25" t="e">
        <f>IF(P82=#REF!,"DIPLOMADO EN ATENCION PRE-HOSPITALARIA",IF(P82=#REF!,"ACOMPAÑAMIENTO Y MANEJO DEL DUELO",IF(P82=#REF!,"ATENCION A VICTIMAS DE ATAQUE CON AGENTES QUIMICOS ",IF(P82=#REF!,"PRIMEROS AUXILIOS ",IF(P82=#REF!,"DIPLOMADO DE UNIDAD DE CUIDADOS INTENSIVOS (UCI)",IF(P82=#REF!,"MODELO DE ATENCION PARA EVENTOS EMERGENTES EN SALUD MENTAL (CODIGO VERDE)",IF(P82=#REF!,"HUMANIZACION EN EL SERVICIO DE LA SALUD Y BUENAS PRACTICAS EN PACIENTE ",IF(P82=#REF!,"CLINICA DE HERIDAS ",IF(P82=#REF!,"TOMA DE CITOLOGIA CERVICO VAGINAL ",IF(P82=#REF!,"SOPORTE CARDIOVASCULAR AVANZADO (ACLS) ",IF(P82=#REF!,"CAMILLERO ",IF(P82=#REF!,"TOMA DE MUESTRAS Y LABORATORIO ",IF(P82=#REF!,"SOPORTE VITAL BASICO (BLS)",IF(P82=#REF!,"ATENCION A VICTIMAS DE VIOLENCIA SEXUAL ",IF(P82=#REF!,"PROGRAMADO AMPLIADO DE INMUNIZACION (PAI - COVID 19)",IF(P82=#REF!,"ATENCION INTEGRAL EN ENFERMEDADES PREVALENTES EN PRIMERA INFANCIA (AIEPI)",IF(P82=#REF!,"ADMINISTRACION DE MEDICAMENTOS, INYECTOLOGIA  Y CANALIZACION ",IF(P82=#REF!,"OPERADOR DE VEHICULOS DE EMERGENCIA (OVE)",IF(P82=#REF!,"INSTITUCIONES AMIGAS DE LA MUJER Y LA INFANCIA (IAMI)",IF(P82=#REF!,"CUIDADO DEL DONANTE DE ORGANOS",IF(P82=#REF!,"ATENCION A VICTIMAS POR VIOLENCIA DE GENERO",IF(P82=#REF!,"IGUALDAD DE GENERO EN LA SALUD",IF(P82=#REF!,"BRIGADA DE EMERGENCIA",IF(P82=#REF!,"MANEJO DEL DOLOR Y CUIDADOS PALIATIVOS",IF(P82=#REF!,"TOMA DE MUESTRAS Y LABORATORIO POCT",IF(P82=#REF!,"IMPLANTE SUBDERMICO DE DISPOSITIVO INTRAUTERINO",IF(P82=#REF!,"SALUD MENTAL",IF(P82=#REF!,"PRIMEROS AUXILIOS PSICOLOGICOS",IF(P82=#REF!,"ATENCION A VICTIMAS POR CONFLICTO ARMADO",IF(P82=#REF!,"MANIPULACION DE ALIMENTOS Y BPM",IF(P82=#REF!,"ATENCION A PERSONAS CON DISCAPACIDAD",IF(P82=#REF!,"CUIDADO INTEGRAL DEL PACIENTE ADULTO",IF(P82=#REF!,"MANEJO DEFENSIVO",IF(P82=#REF!,"SOPORTE CARDIOVASCULAR AVANZADO NEONATAL",IF(P82=#REF!,"SEGURIDAD DEL PACIENTE",IF(P82=#REF!,"MANEJO DE RESIDUOS HOSPITALARIOS"))))))))))))))))))))))))))))))))))))</f>
        <v>#REF!</v>
      </c>
      <c r="W82" s="25" t="str">
        <f t="shared" si="11"/>
        <v>Maria Edilma Getial Mora</v>
      </c>
      <c r="X82" s="25" t="str">
        <f t="shared" si="12"/>
        <v>Maria Edilma Getial Mora</v>
      </c>
      <c r="Y82" s="69" t="str">
        <f t="shared" si="13"/>
        <v>Maria Edilma Getial Mora-1089030674-QUIMICOS</v>
      </c>
    </row>
    <row r="83" spans="1:25" x14ac:dyDescent="0.2">
      <c r="A83" s="19">
        <v>82</v>
      </c>
      <c r="B83" s="20">
        <v>1089030674</v>
      </c>
      <c r="C83" s="20" t="s">
        <v>218</v>
      </c>
      <c r="D83" s="20" t="s">
        <v>227</v>
      </c>
      <c r="E83" s="20" t="s">
        <v>112</v>
      </c>
      <c r="F83" s="20" t="s">
        <v>228</v>
      </c>
      <c r="G83" s="20">
        <v>14</v>
      </c>
      <c r="H83" s="20" t="s">
        <v>56</v>
      </c>
      <c r="I83" s="21" t="s">
        <v>72</v>
      </c>
      <c r="J83" s="21" t="s">
        <v>91</v>
      </c>
      <c r="K83" s="22">
        <v>45702</v>
      </c>
      <c r="L83" s="23">
        <v>25000</v>
      </c>
      <c r="M83" s="20" t="s">
        <v>90</v>
      </c>
      <c r="N83" s="20" t="s">
        <v>57</v>
      </c>
      <c r="O83" s="20" t="s">
        <v>73</v>
      </c>
      <c r="P83" s="20" t="s">
        <v>19</v>
      </c>
      <c r="Q83" s="21">
        <v>32817</v>
      </c>
      <c r="R83" s="20" t="s">
        <v>49</v>
      </c>
      <c r="S83" s="24" t="s">
        <v>74</v>
      </c>
      <c r="T83" s="24">
        <v>3233346019</v>
      </c>
      <c r="U83" s="24" t="s">
        <v>229</v>
      </c>
      <c r="V83" s="25" t="e">
        <f>IF(P83=#REF!,"DIPLOMADO EN ATENCION PRE-HOSPITALARIA",IF(P83=#REF!,"ACOMPAÑAMIENTO Y MANEJO DEL DUELO",IF(P83=#REF!,"ATENCION A VICTIMAS DE ATAQUE CON AGENTES QUIMICOS ",IF(P83=#REF!,"PRIMEROS AUXILIOS ",IF(P83=#REF!,"DIPLOMADO DE UNIDAD DE CUIDADOS INTENSIVOS (UCI)",IF(P83=#REF!,"MODELO DE ATENCION PARA EVENTOS EMERGENTES EN SALUD MENTAL (CODIGO VERDE)",IF(P83=#REF!,"HUMANIZACION EN EL SERVICIO DE LA SALUD Y BUENAS PRACTICAS EN PACIENTE ",IF(P83=#REF!,"CLINICA DE HERIDAS ",IF(P83=#REF!,"TOMA DE CITOLOGIA CERVICO VAGINAL ",IF(P83=#REF!,"SOPORTE CARDIOVASCULAR AVANZADO (ACLS) ",IF(P83=#REF!,"CAMILLERO ",IF(P83=#REF!,"TOMA DE MUESTRAS Y LABORATORIO ",IF(P83=#REF!,"SOPORTE VITAL BASICO (BLS)",IF(P83=#REF!,"ATENCION A VICTIMAS DE VIOLENCIA SEXUAL ",IF(P83=#REF!,"PROGRAMADO AMPLIADO DE INMUNIZACION (PAI - COVID 19)",IF(P83=#REF!,"ATENCION INTEGRAL EN ENFERMEDADES PREVALENTES EN PRIMERA INFANCIA (AIEPI)",IF(P83=#REF!,"ADMINISTRACION DE MEDICAMENTOS, INYECTOLOGIA  Y CANALIZACION ",IF(P83=#REF!,"OPERADOR DE VEHICULOS DE EMERGENCIA (OVE)",IF(P83=#REF!,"INSTITUCIONES AMIGAS DE LA MUJER Y LA INFANCIA (IAMI)",IF(P83=#REF!,"CUIDADO DEL DONANTE DE ORGANOS",IF(P83=#REF!,"ATENCION A VICTIMAS POR VIOLENCIA DE GENERO",IF(P83=#REF!,"IGUALDAD DE GENERO EN LA SALUD",IF(P83=#REF!,"BRIGADA DE EMERGENCIA",IF(P83=#REF!,"MANEJO DEL DOLOR Y CUIDADOS PALIATIVOS",IF(P83=#REF!,"TOMA DE MUESTRAS Y LABORATORIO POCT",IF(P83=#REF!,"IMPLANTE SUBDERMICO DE DISPOSITIVO INTRAUTERINO",IF(P83=#REF!,"SALUD MENTAL",IF(P83=#REF!,"PRIMEROS AUXILIOS PSICOLOGICOS",IF(P83=#REF!,"ATENCION A VICTIMAS POR CONFLICTO ARMADO",IF(P83=#REF!,"MANIPULACION DE ALIMENTOS Y BPM",IF(P83=#REF!,"ATENCION A PERSONAS CON DISCAPACIDAD",IF(P83=#REF!,"CUIDADO INTEGRAL DEL PACIENTE ADULTO",IF(P83=#REF!,"MANEJO DEFENSIVO",IF(P83=#REF!,"SOPORTE CARDIOVASCULAR AVANZADO NEONATAL",IF(P83=#REF!,"SEGURIDAD DEL PACIENTE",IF(P83=#REF!,"MANEJO DE RESIDUOS HOSPITALARIOS"))))))))))))))))))))))))))))))))))))</f>
        <v>#REF!</v>
      </c>
      <c r="W83" s="25" t="str">
        <f t="shared" si="11"/>
        <v>Maria Edilma Getial Mora</v>
      </c>
      <c r="X83" s="25" t="str">
        <f t="shared" si="12"/>
        <v>Maria Edilma Getial Mora</v>
      </c>
      <c r="Y83" s="69" t="str">
        <f t="shared" si="13"/>
        <v>Maria Edilma Getial Mora-1089030674-BLS</v>
      </c>
    </row>
    <row r="84" spans="1:25" x14ac:dyDescent="0.2">
      <c r="A84" s="19">
        <v>83</v>
      </c>
      <c r="B84" s="20">
        <v>1089030674</v>
      </c>
      <c r="C84" s="20" t="s">
        <v>218</v>
      </c>
      <c r="D84" s="20" t="s">
        <v>227</v>
      </c>
      <c r="E84" s="20" t="s">
        <v>112</v>
      </c>
      <c r="F84" s="20" t="s">
        <v>228</v>
      </c>
      <c r="G84" s="20">
        <v>14</v>
      </c>
      <c r="H84" s="20" t="s">
        <v>56</v>
      </c>
      <c r="I84" s="21" t="s">
        <v>72</v>
      </c>
      <c r="J84" s="21" t="s">
        <v>91</v>
      </c>
      <c r="K84" s="22">
        <v>45702</v>
      </c>
      <c r="L84" s="23">
        <v>25000</v>
      </c>
      <c r="M84" s="20" t="s">
        <v>90</v>
      </c>
      <c r="N84" s="20" t="s">
        <v>57</v>
      </c>
      <c r="O84" s="20" t="s">
        <v>73</v>
      </c>
      <c r="P84" s="20" t="s">
        <v>22</v>
      </c>
      <c r="Q84" s="21">
        <v>32817</v>
      </c>
      <c r="R84" s="20" t="s">
        <v>49</v>
      </c>
      <c r="S84" s="24" t="s">
        <v>74</v>
      </c>
      <c r="T84" s="24">
        <v>3233346019</v>
      </c>
      <c r="U84" s="24" t="s">
        <v>229</v>
      </c>
      <c r="V84" s="25" t="e">
        <f>IF(P84=#REF!,"DIPLOMADO EN ATENCION PRE-HOSPITALARIA",IF(P84=#REF!,"ACOMPAÑAMIENTO Y MANEJO DEL DUELO",IF(P84=#REF!,"ATENCION A VICTIMAS DE ATAQUE CON AGENTES QUIMICOS ",IF(P84=#REF!,"PRIMEROS AUXILIOS ",IF(P84=#REF!,"DIPLOMADO DE UNIDAD DE CUIDADOS INTENSIVOS (UCI)",IF(P84=#REF!,"MODELO DE ATENCION PARA EVENTOS EMERGENTES EN SALUD MENTAL (CODIGO VERDE)",IF(P84=#REF!,"HUMANIZACION EN EL SERVICIO DE LA SALUD Y BUENAS PRACTICAS EN PACIENTE ",IF(P84=#REF!,"CLINICA DE HERIDAS ",IF(P84=#REF!,"TOMA DE CITOLOGIA CERVICO VAGINAL ",IF(P84=#REF!,"SOPORTE CARDIOVASCULAR AVANZADO (ACLS) ",IF(P84=#REF!,"CAMILLERO ",IF(P84=#REF!,"TOMA DE MUESTRAS Y LABORATORIO ",IF(P84=#REF!,"SOPORTE VITAL BASICO (BLS)",IF(P84=#REF!,"ATENCION A VICTIMAS DE VIOLENCIA SEXUAL ",IF(P84=#REF!,"PROGRAMADO AMPLIADO DE INMUNIZACION (PAI - COVID 19)",IF(P84=#REF!,"ATENCION INTEGRAL EN ENFERMEDADES PREVALENTES EN PRIMERA INFANCIA (AIEPI)",IF(P84=#REF!,"ADMINISTRACION DE MEDICAMENTOS, INYECTOLOGIA  Y CANALIZACION ",IF(P84=#REF!,"OPERADOR DE VEHICULOS DE EMERGENCIA (OVE)",IF(P84=#REF!,"INSTITUCIONES AMIGAS DE LA MUJER Y LA INFANCIA (IAMI)",IF(P84=#REF!,"CUIDADO DEL DONANTE DE ORGANOS",IF(P84=#REF!,"ATENCION A VICTIMAS POR VIOLENCIA DE GENERO",IF(P84=#REF!,"IGUALDAD DE GENERO EN LA SALUD",IF(P84=#REF!,"BRIGADA DE EMERGENCIA",IF(P84=#REF!,"MANEJO DEL DOLOR Y CUIDADOS PALIATIVOS",IF(P84=#REF!,"TOMA DE MUESTRAS Y LABORATORIO POCT",IF(P84=#REF!,"IMPLANTE SUBDERMICO DE DISPOSITIVO INTRAUTERINO",IF(P84=#REF!,"SALUD MENTAL",IF(P84=#REF!,"PRIMEROS AUXILIOS PSICOLOGICOS",IF(P84=#REF!,"ATENCION A VICTIMAS POR CONFLICTO ARMADO",IF(P84=#REF!,"MANIPULACION DE ALIMENTOS Y BPM",IF(P84=#REF!,"ATENCION A PERSONAS CON DISCAPACIDAD",IF(P84=#REF!,"CUIDADO INTEGRAL DEL PACIENTE ADULTO",IF(P84=#REF!,"MANEJO DEFENSIVO",IF(P84=#REF!,"SOPORTE CARDIOVASCULAR AVANZADO NEONATAL",IF(P84=#REF!,"SEGURIDAD DEL PACIENTE",IF(P84=#REF!,"MANEJO DE RESIDUOS HOSPITALARIOS"))))))))))))))))))))))))))))))))))))</f>
        <v>#REF!</v>
      </c>
      <c r="W84" s="25" t="str">
        <f t="shared" si="11"/>
        <v>Maria Edilma Getial Mora</v>
      </c>
      <c r="X84" s="25" t="str">
        <f t="shared" si="12"/>
        <v>Maria Edilma Getial Mora</v>
      </c>
      <c r="Y84" s="69" t="str">
        <f t="shared" si="13"/>
        <v>Maria Edilma Getial Mora-1089030674-PRIMEROS AUXILIOS</v>
      </c>
    </row>
    <row r="85" spans="1:25" x14ac:dyDescent="0.2">
      <c r="A85" s="19">
        <v>84</v>
      </c>
      <c r="B85" s="20">
        <v>1085324308</v>
      </c>
      <c r="C85" s="20" t="s">
        <v>165</v>
      </c>
      <c r="D85" s="20" t="s">
        <v>231</v>
      </c>
      <c r="E85" s="20" t="s">
        <v>232</v>
      </c>
      <c r="F85" s="20" t="s">
        <v>233</v>
      </c>
      <c r="G85" s="20">
        <v>14</v>
      </c>
      <c r="H85" s="20" t="s">
        <v>56</v>
      </c>
      <c r="I85" s="21" t="s">
        <v>72</v>
      </c>
      <c r="J85" s="21" t="s">
        <v>91</v>
      </c>
      <c r="K85" s="22">
        <v>45702</v>
      </c>
      <c r="L85" s="40">
        <v>80000</v>
      </c>
      <c r="M85" s="20" t="s">
        <v>90</v>
      </c>
      <c r="N85" s="20" t="s">
        <v>57</v>
      </c>
      <c r="O85" s="20" t="s">
        <v>73</v>
      </c>
      <c r="P85" s="41" t="s">
        <v>24</v>
      </c>
      <c r="Q85" s="21">
        <v>34993</v>
      </c>
      <c r="R85" s="21" t="s">
        <v>49</v>
      </c>
      <c r="S85" s="47" t="s">
        <v>95</v>
      </c>
      <c r="T85" s="24">
        <v>3168692690</v>
      </c>
      <c r="U85" s="20" t="s">
        <v>230</v>
      </c>
      <c r="V85" s="25" t="e">
        <f>IF(P85=#REF!,"DIPLOMADO EN ATENCION PRE-HOSPITALARIA",IF(P85=#REF!,"ACOMPAÑAMIENTO Y MANEJO DEL DUELO",IF(P85=#REF!,"ATENCION A VICTIMAS DE ATAQUE CON AGENTES QUIMICOS ",IF(P85=#REF!,"PRIMEROS AUXILIOS ",IF(P85=#REF!,"DIPLOMADO DE UNIDAD DE CUIDADOS INTENSIVOS (UCI)",IF(P85=#REF!,"MODELO DE ATENCION PARA EVENTOS EMERGENTES EN SALUD MENTAL (CODIGO VERDE)",IF(P85=#REF!,"HUMANIZACION EN EL SERVICIO DE LA SALUD Y BUENAS PRACTICAS EN PACIENTE ",IF(P85=#REF!,"CLINICA DE HERIDAS ",IF(P85=#REF!,"TOMA DE CITOLOGIA CERVICO VAGINAL ",IF(P85=#REF!,"SOPORTE CARDIOVASCULAR AVANZADO (ACLS) ",IF(P85=#REF!,"CAMILLERO ",IF(P85=#REF!,"TOMA DE MUESTRAS Y LABORATORIO ",IF(P85=#REF!,"SOPORTE VITAL BASICO (BLS)",IF(P85=#REF!,"ATENCION A VICTIMAS DE VIOLENCIA SEXUAL ",IF(P85=#REF!,"PROGRAMADO AMPLIADO DE INMUNIZACION (PAI - COVID 19)",IF(P85=#REF!,"ATENCION INTEGRAL EN ENFERMEDADES PREVALENTES EN PRIMERA INFANCIA (AIEPI)",IF(P85=#REF!,"ADMINISTRACION DE MEDICAMENTOS, INYECTOLOGIA  Y CANALIZACION ",IF(P85=#REF!,"OPERADOR DE VEHICULOS DE EMERGENCIA (OVE)",IF(P85=#REF!,"INSTITUCIONES AMIGAS DE LA MUJER Y LA INFANCIA (IAMI)",IF(P85=#REF!,"CUIDADO DEL DONANTE DE ORGANOS",IF(P85=#REF!,"ATENCION A VICTIMAS POR VIOLENCIA DE GENERO",IF(P85=#REF!,"IGUALDAD DE GENERO EN LA SALUD",IF(P85=#REF!,"BRIGADA DE EMERGENCIA",IF(P85=#REF!,"MANEJO DEL DOLOR Y CUIDADOS PALIATIVOS",IF(P85=#REF!,"TOMA DE MUESTRAS Y LABORATORIO POCT",IF(P85=#REF!,"IMPLANTE SUBDERMICO DE DISPOSITIVO INTRAUTERINO",IF(P85=#REF!,"SALUD MENTAL",IF(P85=#REF!,"PRIMEROS AUXILIOS PSICOLOGICOS",IF(P85=#REF!,"ATENCION A VICTIMAS POR CONFLICTO ARMADO",IF(P85=#REF!,"MANIPULACION DE ALIMENTOS Y BPM",IF(P85=#REF!,"ATENCION A PERSONAS CON DISCAPACIDAD",IF(P85=#REF!,"CUIDADO INTEGRAL DEL PACIENTE ADULTO",IF(P85=#REF!,"MANEJO DEFENSIVO",IF(P85=#REF!,"SOPORTE CARDIOVASCULAR AVANZADO NEONATAL",IF(P85=#REF!,"SEGURIDAD DEL PACIENTE",IF(P85=#REF!,"MANEJO DE RESIDUOS HOSPITALARIOS"))))))))))))))))))))))))))))))))))))</f>
        <v>#REF!</v>
      </c>
      <c r="W85" s="25" t="str">
        <f t="shared" si="11"/>
        <v>Dayana Stephanny Timana Gomez</v>
      </c>
      <c r="X85" s="25" t="str">
        <f t="shared" si="12"/>
        <v>Dayana Stephanny Timana Gomez</v>
      </c>
      <c r="Y85" s="69" t="str">
        <f t="shared" si="13"/>
        <v>Dayana Stephanny Timana Gomez-1085324308-ACLS</v>
      </c>
    </row>
    <row r="86" spans="1:25" x14ac:dyDescent="0.2">
      <c r="A86" s="28">
        <v>85</v>
      </c>
      <c r="B86" s="20">
        <v>1085324308</v>
      </c>
      <c r="C86" s="20" t="s">
        <v>165</v>
      </c>
      <c r="D86" s="20" t="s">
        <v>231</v>
      </c>
      <c r="E86" s="20" t="s">
        <v>232</v>
      </c>
      <c r="F86" s="20" t="s">
        <v>233</v>
      </c>
      <c r="G86" s="20">
        <v>14</v>
      </c>
      <c r="H86" s="20" t="s">
        <v>56</v>
      </c>
      <c r="I86" s="21" t="s">
        <v>72</v>
      </c>
      <c r="J86" s="21" t="s">
        <v>91</v>
      </c>
      <c r="K86" s="22">
        <v>45702</v>
      </c>
      <c r="L86" s="40">
        <v>20000</v>
      </c>
      <c r="M86" s="20" t="s">
        <v>90</v>
      </c>
      <c r="N86" s="20" t="s">
        <v>57</v>
      </c>
      <c r="O86" s="20" t="s">
        <v>73</v>
      </c>
      <c r="P86" s="41" t="s">
        <v>19</v>
      </c>
      <c r="Q86" s="21">
        <v>34993</v>
      </c>
      <c r="R86" s="21" t="s">
        <v>49</v>
      </c>
      <c r="S86" s="47" t="s">
        <v>95</v>
      </c>
      <c r="T86" s="24">
        <v>3168692690</v>
      </c>
      <c r="U86" s="20" t="s">
        <v>230</v>
      </c>
      <c r="V86" s="25" t="e">
        <f>IF(P86=#REF!,"DIPLOMADO EN ATENCION PRE-HOSPITALARIA",IF(P86=#REF!,"ACOMPAÑAMIENTO Y MANEJO DEL DUELO",IF(P86=#REF!,"ATENCION A VICTIMAS DE ATAQUE CON AGENTES QUIMICOS ",IF(P86=#REF!,"PRIMEROS AUXILIOS ",IF(P86=#REF!,"DIPLOMADO DE UNIDAD DE CUIDADOS INTENSIVOS (UCI)",IF(P86=#REF!,"MODELO DE ATENCION PARA EVENTOS EMERGENTES EN SALUD MENTAL (CODIGO VERDE)",IF(P86=#REF!,"HUMANIZACION EN EL SERVICIO DE LA SALUD Y BUENAS PRACTICAS EN PACIENTE ",IF(P86=#REF!,"CLINICA DE HERIDAS ",IF(P86=#REF!,"TOMA DE CITOLOGIA CERVICO VAGINAL ",IF(P86=#REF!,"SOPORTE CARDIOVASCULAR AVANZADO (ACLS) ",IF(P86=#REF!,"CAMILLERO ",IF(P86=#REF!,"TOMA DE MUESTRAS Y LABORATORIO ",IF(P86=#REF!,"SOPORTE VITAL BASICO (BLS)",IF(P86=#REF!,"ATENCION A VICTIMAS DE VIOLENCIA SEXUAL ",IF(P86=#REF!,"PROGRAMADO AMPLIADO DE INMUNIZACION (PAI - COVID 19)",IF(P86=#REF!,"ATENCION INTEGRAL EN ENFERMEDADES PREVALENTES EN PRIMERA INFANCIA (AIEPI)",IF(P86=#REF!,"ADMINISTRACION DE MEDICAMENTOS, INYECTOLOGIA  Y CANALIZACION ",IF(P86=#REF!,"OPERADOR DE VEHICULOS DE EMERGENCIA (OVE)",IF(P86=#REF!,"INSTITUCIONES AMIGAS DE LA MUJER Y LA INFANCIA (IAMI)",IF(P86=#REF!,"CUIDADO DEL DONANTE DE ORGANOS",IF(P86=#REF!,"ATENCION A VICTIMAS POR VIOLENCIA DE GENERO",IF(P86=#REF!,"IGUALDAD DE GENERO EN LA SALUD",IF(P86=#REF!,"BRIGADA DE EMERGENCIA",IF(P86=#REF!,"MANEJO DEL DOLOR Y CUIDADOS PALIATIVOS",IF(P86=#REF!,"TOMA DE MUESTRAS Y LABORATORIO POCT",IF(P86=#REF!,"IMPLANTE SUBDERMICO DE DISPOSITIVO INTRAUTERINO",IF(P86=#REF!,"SALUD MENTAL",IF(P86=#REF!,"PRIMEROS AUXILIOS PSICOLOGICOS",IF(P86=#REF!,"ATENCION A VICTIMAS POR CONFLICTO ARMADO",IF(P86=#REF!,"MANIPULACION DE ALIMENTOS Y BPM",IF(P86=#REF!,"ATENCION A PERSONAS CON DISCAPACIDAD",IF(P86=#REF!,"CUIDADO INTEGRAL DEL PACIENTE ADULTO",IF(P86=#REF!,"MANEJO DEFENSIVO",IF(P86=#REF!,"SOPORTE CARDIOVASCULAR AVANZADO NEONATAL",IF(P86=#REF!,"SEGURIDAD DEL PACIENTE",IF(P86=#REF!,"MANEJO DE RESIDUOS HOSPITALARIOS"))))))))))))))))))))))))))))))))))))</f>
        <v>#REF!</v>
      </c>
      <c r="W86" s="25" t="str">
        <f t="shared" si="11"/>
        <v>Dayana Stephanny Timana Gomez</v>
      </c>
      <c r="X86" s="25" t="str">
        <f t="shared" si="12"/>
        <v>Dayana Stephanny Timana Gomez</v>
      </c>
      <c r="Y86" s="69" t="str">
        <f t="shared" si="13"/>
        <v>Dayana Stephanny Timana Gomez-1085324308-BLS</v>
      </c>
    </row>
    <row r="87" spans="1:25" x14ac:dyDescent="0.2">
      <c r="A87" s="19">
        <v>86</v>
      </c>
      <c r="B87" s="20">
        <v>1085324308</v>
      </c>
      <c r="C87" s="20" t="s">
        <v>165</v>
      </c>
      <c r="D87" s="20" t="s">
        <v>231</v>
      </c>
      <c r="E87" s="20" t="s">
        <v>232</v>
      </c>
      <c r="F87" s="20" t="s">
        <v>233</v>
      </c>
      <c r="G87" s="20">
        <v>12</v>
      </c>
      <c r="H87" s="20" t="s">
        <v>56</v>
      </c>
      <c r="I87" s="21" t="s">
        <v>72</v>
      </c>
      <c r="J87" s="21" t="s">
        <v>91</v>
      </c>
      <c r="K87" s="22">
        <v>45702</v>
      </c>
      <c r="L87" s="40">
        <v>25000</v>
      </c>
      <c r="M87" s="20" t="s">
        <v>90</v>
      </c>
      <c r="N87" s="20" t="s">
        <v>57</v>
      </c>
      <c r="O87" s="20" t="s">
        <v>73</v>
      </c>
      <c r="P87" s="41" t="s">
        <v>27</v>
      </c>
      <c r="Q87" s="21">
        <v>34993</v>
      </c>
      <c r="R87" s="21" t="s">
        <v>49</v>
      </c>
      <c r="S87" s="47" t="s">
        <v>95</v>
      </c>
      <c r="T87" s="24">
        <v>3168692690</v>
      </c>
      <c r="U87" s="20" t="s">
        <v>230</v>
      </c>
      <c r="V87" s="25" t="e">
        <f>IF(P87=#REF!,"DIPLOMADO EN ATENCION PRE-HOSPITALARIA",IF(P87=#REF!,"ACOMPAÑAMIENTO Y MANEJO DEL DUELO",IF(P87=#REF!,"ATENCION A VICTIMAS DE ATAQUE CON AGENTES QUIMICOS ",IF(P87=#REF!,"PRIMEROS AUXILIOS ",IF(P87=#REF!,"DIPLOMADO DE UNIDAD DE CUIDADOS INTENSIVOS (UCI)",IF(P87=#REF!,"MODELO DE ATENCION PARA EVENTOS EMERGENTES EN SALUD MENTAL (CODIGO VERDE)",IF(P87=#REF!,"HUMANIZACION EN EL SERVICIO DE LA SALUD Y BUENAS PRACTICAS EN PACIENTE ",IF(P87=#REF!,"CLINICA DE HERIDAS ",IF(P87=#REF!,"TOMA DE CITOLOGIA CERVICO VAGINAL ",IF(P87=#REF!,"SOPORTE CARDIOVASCULAR AVANZADO (ACLS) ",IF(P87=#REF!,"CAMILLERO ",IF(P87=#REF!,"TOMA DE MUESTRAS Y LABORATORIO ",IF(P87=#REF!,"SOPORTE VITAL BASICO (BLS)",IF(P87=#REF!,"ATENCION A VICTIMAS DE VIOLENCIA SEXUAL ",IF(P87=#REF!,"PROGRAMADO AMPLIADO DE INMUNIZACION (PAI - COVID 19)",IF(P87=#REF!,"ATENCION INTEGRAL EN ENFERMEDADES PREVALENTES EN PRIMERA INFANCIA (AIEPI)",IF(P87=#REF!,"ADMINISTRACION DE MEDICAMENTOS, INYECTOLOGIA  Y CANALIZACION ",IF(P87=#REF!,"OPERADOR DE VEHICULOS DE EMERGENCIA (OVE)",IF(P87=#REF!,"INSTITUCIONES AMIGAS DE LA MUJER Y LA INFANCIA (IAMI)",IF(P87=#REF!,"CUIDADO DEL DONANTE DE ORGANOS",IF(P87=#REF!,"ATENCION A VICTIMAS POR VIOLENCIA DE GENERO",IF(P87=#REF!,"IGUALDAD DE GENERO EN LA SALUD",IF(P87=#REF!,"BRIGADA DE EMERGENCIA",IF(P87=#REF!,"MANEJO DEL DOLOR Y CUIDADOS PALIATIVOS",IF(P87=#REF!,"TOMA DE MUESTRAS Y LABORATORIO POCT",IF(P87=#REF!,"IMPLANTE SUBDERMICO DE DISPOSITIVO INTRAUTERINO",IF(P87=#REF!,"SALUD MENTAL",IF(P87=#REF!,"PRIMEROS AUXILIOS PSICOLOGICOS",IF(P87=#REF!,"ATENCION A VICTIMAS POR CONFLICTO ARMADO",IF(P87=#REF!,"MANIPULACION DE ALIMENTOS Y BPM",IF(P87=#REF!,"ATENCION A PERSONAS CON DISCAPACIDAD",IF(P87=#REF!,"CUIDADO INTEGRAL DEL PACIENTE ADULTO",IF(P87=#REF!,"MANEJO DEFENSIVO",IF(P87=#REF!,"SOPORTE CARDIOVASCULAR AVANZADO NEONATAL",IF(P87=#REF!,"SEGURIDAD DEL PACIENTE",IF(P87=#REF!,"MANEJO DE RESIDUOS HOSPITALARIOS"))))))))))))))))))))))))))))))))))))</f>
        <v>#REF!</v>
      </c>
      <c r="W87" s="25" t="str">
        <f t="shared" si="11"/>
        <v>Dayana Stephanny Timana Gomez</v>
      </c>
      <c r="X87" s="25" t="str">
        <f t="shared" si="12"/>
        <v>Dayana Stephanny Timana Gomez</v>
      </c>
      <c r="Y87" s="69" t="str">
        <f t="shared" si="13"/>
        <v>Dayana Stephanny Timana Gomez-1085324308-VIOLENCIA SEXUAL</v>
      </c>
    </row>
    <row r="88" spans="1:25" x14ac:dyDescent="0.2">
      <c r="A88" s="19">
        <v>87</v>
      </c>
      <c r="B88" s="20">
        <v>1085324308</v>
      </c>
      <c r="C88" s="20" t="s">
        <v>165</v>
      </c>
      <c r="D88" s="20" t="s">
        <v>231</v>
      </c>
      <c r="E88" s="20" t="s">
        <v>232</v>
      </c>
      <c r="F88" s="20" t="s">
        <v>233</v>
      </c>
      <c r="G88" s="20">
        <v>12</v>
      </c>
      <c r="H88" s="20" t="s">
        <v>56</v>
      </c>
      <c r="I88" s="21" t="s">
        <v>72</v>
      </c>
      <c r="J88" s="21" t="s">
        <v>91</v>
      </c>
      <c r="K88" s="22">
        <v>45702</v>
      </c>
      <c r="L88" s="40">
        <v>25000</v>
      </c>
      <c r="M88" s="20" t="s">
        <v>90</v>
      </c>
      <c r="N88" s="20" t="s">
        <v>57</v>
      </c>
      <c r="O88" s="20" t="s">
        <v>73</v>
      </c>
      <c r="P88" s="41" t="s">
        <v>21</v>
      </c>
      <c r="Q88" s="21">
        <v>34993</v>
      </c>
      <c r="R88" s="21" t="s">
        <v>49</v>
      </c>
      <c r="S88" s="47" t="s">
        <v>95</v>
      </c>
      <c r="T88" s="24">
        <v>3168692690</v>
      </c>
      <c r="U88" s="20" t="s">
        <v>230</v>
      </c>
      <c r="V88" s="25" t="e">
        <f>IF(P88=#REF!,"DIPLOMADO EN ATENCION PRE-HOSPITALARIA",IF(P88=#REF!,"ACOMPAÑAMIENTO Y MANEJO DEL DUELO",IF(P88=#REF!,"ATENCION A VICTIMAS DE ATAQUE CON AGENTES QUIMICOS ",IF(P88=#REF!,"PRIMEROS AUXILIOS ",IF(P88=#REF!,"DIPLOMADO DE UNIDAD DE CUIDADOS INTENSIVOS (UCI)",IF(P88=#REF!,"MODELO DE ATENCION PARA EVENTOS EMERGENTES EN SALUD MENTAL (CODIGO VERDE)",IF(P88=#REF!,"HUMANIZACION EN EL SERVICIO DE LA SALUD Y BUENAS PRACTICAS EN PACIENTE ",IF(P88=#REF!,"CLINICA DE HERIDAS ",IF(P88=#REF!,"TOMA DE CITOLOGIA CERVICO VAGINAL ",IF(P88=#REF!,"SOPORTE CARDIOVASCULAR AVANZADO (ACLS) ",IF(P88=#REF!,"CAMILLERO ",IF(P88=#REF!,"TOMA DE MUESTRAS Y LABORATORIO ",IF(P88=#REF!,"SOPORTE VITAL BASICO (BLS)",IF(P88=#REF!,"ATENCION A VICTIMAS DE VIOLENCIA SEXUAL ",IF(P88=#REF!,"PROGRAMADO AMPLIADO DE INMUNIZACION (PAI - COVID 19)",IF(P88=#REF!,"ATENCION INTEGRAL EN ENFERMEDADES PREVALENTES EN PRIMERA INFANCIA (AIEPI)",IF(P88=#REF!,"ADMINISTRACION DE MEDICAMENTOS, INYECTOLOGIA  Y CANALIZACION ",IF(P88=#REF!,"OPERADOR DE VEHICULOS DE EMERGENCIA (OVE)",IF(P88=#REF!,"INSTITUCIONES AMIGAS DE LA MUJER Y LA INFANCIA (IAMI)",IF(P88=#REF!,"CUIDADO DEL DONANTE DE ORGANOS",IF(P88=#REF!,"ATENCION A VICTIMAS POR VIOLENCIA DE GENERO",IF(P88=#REF!,"IGUALDAD DE GENERO EN LA SALUD",IF(P88=#REF!,"BRIGADA DE EMERGENCIA",IF(P88=#REF!,"MANEJO DEL DOLOR Y CUIDADOS PALIATIVOS",IF(P88=#REF!,"TOMA DE MUESTRAS Y LABORATORIO POCT",IF(P88=#REF!,"IMPLANTE SUBDERMICO DE DISPOSITIVO INTRAUTERINO",IF(P88=#REF!,"SALUD MENTAL",IF(P88=#REF!,"PRIMEROS AUXILIOS PSICOLOGICOS",IF(P88=#REF!,"ATENCION A VICTIMAS POR CONFLICTO ARMADO",IF(P88=#REF!,"MANIPULACION DE ALIMENTOS Y BPM",IF(P88=#REF!,"ATENCION A PERSONAS CON DISCAPACIDAD",IF(P88=#REF!,"CUIDADO INTEGRAL DEL PACIENTE ADULTO",IF(P88=#REF!,"MANEJO DEFENSIVO",IF(P88=#REF!,"SOPORTE CARDIOVASCULAR AVANZADO NEONATAL",IF(P88=#REF!,"SEGURIDAD DEL PACIENTE",IF(P88=#REF!,"MANEJO DE RESIDUOS HOSPITALARIOS"))))))))))))))))))))))))))))))))))))</f>
        <v>#REF!</v>
      </c>
      <c r="W88" s="25" t="str">
        <f t="shared" si="11"/>
        <v>Dayana Stephanny Timana Gomez</v>
      </c>
      <c r="X88" s="25" t="str">
        <f t="shared" si="12"/>
        <v>Dayana Stephanny Timana Gomez</v>
      </c>
      <c r="Y88" s="69" t="str">
        <f t="shared" si="13"/>
        <v>Dayana Stephanny Timana Gomez-1085324308-QUIMICOS</v>
      </c>
    </row>
    <row r="89" spans="1:25" x14ac:dyDescent="0.2">
      <c r="A89" s="19">
        <v>88</v>
      </c>
      <c r="B89" s="20">
        <v>1085324308</v>
      </c>
      <c r="C89" s="20" t="s">
        <v>165</v>
      </c>
      <c r="D89" s="20" t="s">
        <v>231</v>
      </c>
      <c r="E89" s="20" t="s">
        <v>232</v>
      </c>
      <c r="F89" s="20" t="s">
        <v>233</v>
      </c>
      <c r="G89" s="20">
        <v>13</v>
      </c>
      <c r="H89" s="20" t="s">
        <v>56</v>
      </c>
      <c r="I89" s="21" t="s">
        <v>72</v>
      </c>
      <c r="J89" s="21" t="s">
        <v>91</v>
      </c>
      <c r="K89" s="22">
        <v>45702</v>
      </c>
      <c r="L89" s="40">
        <v>25000</v>
      </c>
      <c r="M89" s="20" t="s">
        <v>90</v>
      </c>
      <c r="N89" s="20" t="s">
        <v>57</v>
      </c>
      <c r="O89" s="20" t="s">
        <v>73</v>
      </c>
      <c r="P89" s="20" t="s">
        <v>20</v>
      </c>
      <c r="Q89" s="21">
        <v>34993</v>
      </c>
      <c r="R89" s="21" t="s">
        <v>49</v>
      </c>
      <c r="S89" s="47" t="s">
        <v>95</v>
      </c>
      <c r="T89" s="24">
        <v>3168692690</v>
      </c>
      <c r="U89" s="20" t="s">
        <v>230</v>
      </c>
      <c r="V89" s="25" t="e">
        <f>IF(P89=#REF!,"DIPLOMADO EN ATENCION PRE-HOSPITALARIA",IF(P89=#REF!,"ACOMPAÑAMIENTO Y MANEJO DEL DUELO",IF(P89=#REF!,"ATENCION A VICTIMAS DE ATAQUE CON AGENTES QUIMICOS ",IF(P89=#REF!,"PRIMEROS AUXILIOS ",IF(P89=#REF!,"DIPLOMADO DE UNIDAD DE CUIDADOS INTENSIVOS (UCI)",IF(P89=#REF!,"MODELO DE ATENCION PARA EVENTOS EMERGENTES EN SALUD MENTAL (CODIGO VERDE)",IF(P89=#REF!,"HUMANIZACION EN EL SERVICIO DE LA SALUD Y BUENAS PRACTICAS EN PACIENTE ",IF(P89=#REF!,"CLINICA DE HERIDAS ",IF(P89=#REF!,"TOMA DE CITOLOGIA CERVICO VAGINAL ",IF(P89=#REF!,"SOPORTE CARDIOVASCULAR AVANZADO (ACLS) ",IF(P89=#REF!,"CAMILLERO ",IF(P89=#REF!,"TOMA DE MUESTRAS Y LABORATORIO ",IF(P89=#REF!,"SOPORTE VITAL BASICO (BLS)",IF(P89=#REF!,"ATENCION A VICTIMAS DE VIOLENCIA SEXUAL ",IF(P89=#REF!,"PROGRAMADO AMPLIADO DE INMUNIZACION (PAI - COVID 19)",IF(P89=#REF!,"ATENCION INTEGRAL EN ENFERMEDADES PREVALENTES EN PRIMERA INFANCIA (AIEPI)",IF(P89=#REF!,"ADMINISTRACION DE MEDICAMENTOS, INYECTOLOGIA  Y CANALIZACION ",IF(P89=#REF!,"OPERADOR DE VEHICULOS DE EMERGENCIA (OVE)",IF(P89=#REF!,"INSTITUCIONES AMIGAS DE LA MUJER Y LA INFANCIA (IAMI)",IF(P89=#REF!,"CUIDADO DEL DONANTE DE ORGANOS",IF(P89=#REF!,"ATENCION A VICTIMAS POR VIOLENCIA DE GENERO",IF(P89=#REF!,"IGUALDAD DE GENERO EN LA SALUD",IF(P89=#REF!,"BRIGADA DE EMERGENCIA",IF(P89=#REF!,"MANEJO DEL DOLOR Y CUIDADOS PALIATIVOS",IF(P89=#REF!,"TOMA DE MUESTRAS Y LABORATORIO POCT",IF(P89=#REF!,"IMPLANTE SUBDERMICO DE DISPOSITIVO INTRAUTERINO",IF(P89=#REF!,"SALUD MENTAL",IF(P89=#REF!,"PRIMEROS AUXILIOS PSICOLOGICOS",IF(P89=#REF!,"ATENCION A VICTIMAS POR CONFLICTO ARMADO",IF(P89=#REF!,"MANIPULACION DE ALIMENTOS Y BPM",IF(P89=#REF!,"ATENCION A PERSONAS CON DISCAPACIDAD",IF(P89=#REF!,"CUIDADO INTEGRAL DEL PACIENTE ADULTO",IF(P89=#REF!,"MANEJO DEFENSIVO",IF(P89=#REF!,"SOPORTE CARDIOVASCULAR AVANZADO NEONATAL",IF(P89=#REF!,"SEGURIDAD DEL PACIENTE",IF(P89=#REF!,"MANEJO DE RESIDUOS HOSPITALARIOS"))))))))))))))))))))))))))))))))))))</f>
        <v>#REF!</v>
      </c>
      <c r="W89" s="25" t="str">
        <f t="shared" si="11"/>
        <v>Dayana Stephanny Timana Gomez</v>
      </c>
      <c r="X89" s="25" t="str">
        <f t="shared" si="12"/>
        <v>Dayana Stephanny Timana Gomez</v>
      </c>
      <c r="Y89" s="69" t="str">
        <f t="shared" si="13"/>
        <v>Dayana Stephanny Timana Gomez-1085324308-DUELO</v>
      </c>
    </row>
    <row r="90" spans="1:25" x14ac:dyDescent="0.2">
      <c r="A90" s="19">
        <v>89</v>
      </c>
      <c r="B90" s="20">
        <v>1085324308</v>
      </c>
      <c r="C90" s="20" t="s">
        <v>165</v>
      </c>
      <c r="D90" s="20" t="s">
        <v>231</v>
      </c>
      <c r="E90" s="20" t="s">
        <v>232</v>
      </c>
      <c r="F90" s="20" t="s">
        <v>233</v>
      </c>
      <c r="G90" s="20">
        <v>10</v>
      </c>
      <c r="H90" s="20" t="s">
        <v>56</v>
      </c>
      <c r="I90" s="21" t="s">
        <v>72</v>
      </c>
      <c r="J90" s="21" t="s">
        <v>91</v>
      </c>
      <c r="K90" s="22">
        <v>45702</v>
      </c>
      <c r="L90" s="40">
        <v>25000</v>
      </c>
      <c r="M90" s="20" t="s">
        <v>90</v>
      </c>
      <c r="N90" s="20" t="s">
        <v>57</v>
      </c>
      <c r="O90" s="20" t="s">
        <v>73</v>
      </c>
      <c r="P90" s="20" t="s">
        <v>23</v>
      </c>
      <c r="Q90" s="21">
        <v>34993</v>
      </c>
      <c r="R90" s="21" t="s">
        <v>49</v>
      </c>
      <c r="S90" s="47" t="s">
        <v>95</v>
      </c>
      <c r="T90" s="24">
        <v>3168692690</v>
      </c>
      <c r="U90" s="20" t="s">
        <v>230</v>
      </c>
      <c r="V90" s="25" t="e">
        <f>IF(P90=#REF!,"DIPLOMADO EN ATENCION PRE-HOSPITALARIA",IF(P90=#REF!,"ACOMPAÑAMIENTO Y MANEJO DEL DUELO",IF(P90=#REF!,"ATENCION A VICTIMAS DE ATAQUE CON AGENTES QUIMICOS ",IF(P90=#REF!,"PRIMEROS AUXILIOS ",IF(P90=#REF!,"DIPLOMADO DE UNIDAD DE CUIDADOS INTENSIVOS (UCI)",IF(P90=#REF!,"MODELO DE ATENCION PARA EVENTOS EMERGENTES EN SALUD MENTAL (CODIGO VERDE)",IF(P90=#REF!,"HUMANIZACION EN EL SERVICIO DE LA SALUD Y BUENAS PRACTICAS EN PACIENTE ",IF(P90=#REF!,"CLINICA DE HERIDAS ",IF(P90=#REF!,"TOMA DE CITOLOGIA CERVICO VAGINAL ",IF(P90=#REF!,"SOPORTE CARDIOVASCULAR AVANZADO (ACLS) ",IF(P90=#REF!,"CAMILLERO ",IF(P90=#REF!,"TOMA DE MUESTRAS Y LABORATORIO ",IF(P90=#REF!,"SOPORTE VITAL BASICO (BLS)",IF(P90=#REF!,"ATENCION A VICTIMAS DE VIOLENCIA SEXUAL ",IF(P90=#REF!,"PROGRAMADO AMPLIADO DE INMUNIZACION (PAI - COVID 19)",IF(P90=#REF!,"ATENCION INTEGRAL EN ENFERMEDADES PREVALENTES EN PRIMERA INFANCIA (AIEPI)",IF(P90=#REF!,"ADMINISTRACION DE MEDICAMENTOS, INYECTOLOGIA  Y CANALIZACION ",IF(P90=#REF!,"OPERADOR DE VEHICULOS DE EMERGENCIA (OVE)",IF(P90=#REF!,"INSTITUCIONES AMIGAS DE LA MUJER Y LA INFANCIA (IAMI)",IF(P90=#REF!,"CUIDADO DEL DONANTE DE ORGANOS",IF(P90=#REF!,"ATENCION A VICTIMAS POR VIOLENCIA DE GENERO",IF(P90=#REF!,"IGUALDAD DE GENERO EN LA SALUD",IF(P90=#REF!,"BRIGADA DE EMERGENCIA",IF(P90=#REF!,"MANEJO DEL DOLOR Y CUIDADOS PALIATIVOS",IF(P90=#REF!,"TOMA DE MUESTRAS Y LABORATORIO POCT",IF(P90=#REF!,"IMPLANTE SUBDERMICO DE DISPOSITIVO INTRAUTERINO",IF(P90=#REF!,"SALUD MENTAL",IF(P90=#REF!,"PRIMEROS AUXILIOS PSICOLOGICOS",IF(P90=#REF!,"ATENCION A VICTIMAS POR CONFLICTO ARMADO",IF(P90=#REF!,"MANIPULACION DE ALIMENTOS Y BPM",IF(P90=#REF!,"ATENCION A PERSONAS CON DISCAPACIDAD",IF(P90=#REF!,"CUIDADO INTEGRAL DEL PACIENTE ADULTO",IF(P90=#REF!,"MANEJO DEFENSIVO",IF(P90=#REF!,"SOPORTE CARDIOVASCULAR AVANZADO NEONATAL",IF(P90=#REF!,"SEGURIDAD DEL PACIENTE",IF(P90=#REF!,"MANEJO DE RESIDUOS HOSPITALARIOS"))))))))))))))))))))))))))))))))))))</f>
        <v>#REF!</v>
      </c>
      <c r="W90" s="25" t="str">
        <f t="shared" si="11"/>
        <v>Dayana Stephanny Timana Gomez</v>
      </c>
      <c r="X90" s="25" t="str">
        <f t="shared" si="12"/>
        <v>Dayana Stephanny Timana Gomez</v>
      </c>
      <c r="Y90" s="69" t="str">
        <f t="shared" si="13"/>
        <v>Dayana Stephanny Timana Gomez-1085324308-HUMANIZACION</v>
      </c>
    </row>
    <row r="91" spans="1:25" s="76" customFormat="1" x14ac:dyDescent="0.2">
      <c r="A91" s="19">
        <v>90</v>
      </c>
      <c r="B91" s="20">
        <v>1004561037</v>
      </c>
      <c r="C91" s="20" t="s">
        <v>234</v>
      </c>
      <c r="D91" s="20" t="s">
        <v>235</v>
      </c>
      <c r="E91" s="20" t="s">
        <v>236</v>
      </c>
      <c r="F91" s="20" t="s">
        <v>237</v>
      </c>
      <c r="G91" s="20">
        <v>14</v>
      </c>
      <c r="H91" s="20" t="s">
        <v>56</v>
      </c>
      <c r="I91" s="21" t="s">
        <v>72</v>
      </c>
      <c r="J91" s="21" t="s">
        <v>91</v>
      </c>
      <c r="K91" s="22">
        <v>45702</v>
      </c>
      <c r="L91" s="40">
        <v>25000</v>
      </c>
      <c r="M91" s="20" t="s">
        <v>90</v>
      </c>
      <c r="N91" s="20" t="s">
        <v>57</v>
      </c>
      <c r="O91" s="20" t="s">
        <v>73</v>
      </c>
      <c r="P91" s="20" t="s">
        <v>22</v>
      </c>
      <c r="Q91" s="21">
        <v>31939</v>
      </c>
      <c r="R91" s="20" t="s">
        <v>85</v>
      </c>
      <c r="S91" s="20" t="s">
        <v>74</v>
      </c>
      <c r="T91" s="20">
        <v>3212871895</v>
      </c>
      <c r="U91" s="20" t="s">
        <v>238</v>
      </c>
      <c r="V91" s="25" t="e">
        <f>IF(P91=#REF!,"DIPLOMADO EN ATENCION PRE-HOSPITALARIA",IF(P91=#REF!,"ACOMPAÑAMIENTO Y MANEJO DEL DUELO",IF(P91=#REF!,"ATENCION A VICTIMAS DE ATAQUE CON AGENTES QUIMICOS ",IF(P91=#REF!,"PRIMEROS AUXILIOS ",IF(P91=#REF!,"DIPLOMADO DE UNIDAD DE CUIDADOS INTENSIVOS (UCI)",IF(P91=#REF!,"MODELO DE ATENCION PARA EVENTOS EMERGENTES EN SALUD MENTAL (CODIGO VERDE)",IF(P91=#REF!,"HUMANIZACION EN EL SERVICIO DE LA SALUD Y BUENAS PRACTICAS EN PACIENTE ",IF(P91=#REF!,"CLINICA DE HERIDAS ",IF(P91=#REF!,"TOMA DE CITOLOGIA CERVICO VAGINAL ",IF(P91=#REF!,"SOPORTE CARDIOVASCULAR AVANZADO (ACLS) ",IF(P91=#REF!,"CAMILLERO ",IF(P91=#REF!,"TOMA DE MUESTRAS Y LABORATORIO ",IF(P91=#REF!,"SOPORTE VITAL BASICO (BLS)",IF(P91=#REF!,"ATENCION A VICTIMAS DE VIOLENCIA SEXUAL ",IF(P91=#REF!,"PROGRAMADO AMPLIADO DE INMUNIZACION (PAI - COVID 19)",IF(P91=#REF!,"ATENCION INTEGRAL EN ENFERMEDADES PREVALENTES EN PRIMERA INFANCIA (AIEPI)",IF(P91=#REF!,"ADMINISTRACION DE MEDICAMENTOS, INYECTOLOGIA  Y CANALIZACION ",IF(P91=#REF!,"OPERADOR DE VEHICULOS DE EMERGENCIA (OVE)",IF(P91=#REF!,"INSTITUCIONES AMIGAS DE LA MUJER Y LA INFANCIA (IAMI)",IF(P91=#REF!,"CUIDADO DEL DONANTE DE ORGANOS",IF(P91=#REF!,"ATENCION A VICTIMAS POR VIOLENCIA DE GENERO",IF(P91=#REF!,"IGUALDAD DE GENERO EN LA SALUD",IF(P91=#REF!,"BRIGADA DE EMERGENCIA",IF(P91=#REF!,"MANEJO DEL DOLOR Y CUIDADOS PALIATIVOS",IF(P91=#REF!,"TOMA DE MUESTRAS Y LABORATORIO POCT",IF(P91=#REF!,"IMPLANTE SUBDERMICO DE DISPOSITIVO INTRAUTERINO",IF(P91=#REF!,"SALUD MENTAL",IF(P91=#REF!,"PRIMEROS AUXILIOS PSICOLOGICOS",IF(P91=#REF!,"ATENCION A VICTIMAS POR CONFLICTO ARMADO",IF(P91=#REF!,"MANIPULACION DE ALIMENTOS Y BPM",IF(P91=#REF!,"ATENCION A PERSONAS CON DISCAPACIDAD",IF(P91=#REF!,"CUIDADO INTEGRAL DEL PACIENTE ADULTO",IF(P91=#REF!,"MANEJO DEFENSIVO",IF(P91=#REF!,"SOPORTE CARDIOVASCULAR AVANZADO NEONATAL",IF(P91=#REF!,"SEGURIDAD DEL PACIENTE",IF(P91=#REF!,"MANEJO DE RESIDUOS HOSPITALARIOS"))))))))))))))))))))))))))))))))))))</f>
        <v>#REF!</v>
      </c>
      <c r="W91" s="25" t="str">
        <f t="shared" si="11"/>
        <v>John Jairo Rosero Ruales</v>
      </c>
      <c r="X91" s="25" t="str">
        <f t="shared" si="12"/>
        <v>John Jairo Rosero Ruales</v>
      </c>
      <c r="Y91" s="69" t="str">
        <f t="shared" si="13"/>
        <v>John Jairo Rosero Ruales-1004561037-PRIMEROS AUXILIOS</v>
      </c>
    </row>
    <row r="92" spans="1:25" s="76" customFormat="1" x14ac:dyDescent="0.2">
      <c r="A92" s="19">
        <v>91</v>
      </c>
      <c r="B92" s="20">
        <v>1004561037</v>
      </c>
      <c r="C92" s="20" t="s">
        <v>234</v>
      </c>
      <c r="D92" s="20" t="s">
        <v>235</v>
      </c>
      <c r="E92" s="20" t="s">
        <v>236</v>
      </c>
      <c r="F92" s="20" t="s">
        <v>237</v>
      </c>
      <c r="G92" s="20">
        <v>14</v>
      </c>
      <c r="H92" s="20" t="s">
        <v>56</v>
      </c>
      <c r="I92" s="21" t="s">
        <v>72</v>
      </c>
      <c r="J92" s="21" t="s">
        <v>91</v>
      </c>
      <c r="K92" s="22">
        <v>45702</v>
      </c>
      <c r="L92" s="40">
        <v>25000</v>
      </c>
      <c r="M92" s="20" t="s">
        <v>90</v>
      </c>
      <c r="N92" s="20" t="s">
        <v>57</v>
      </c>
      <c r="O92" s="20" t="s">
        <v>73</v>
      </c>
      <c r="P92" s="20" t="s">
        <v>19</v>
      </c>
      <c r="Q92" s="21">
        <v>31939</v>
      </c>
      <c r="R92" s="20" t="s">
        <v>85</v>
      </c>
      <c r="S92" s="20" t="s">
        <v>74</v>
      </c>
      <c r="T92" s="20">
        <v>3212871895</v>
      </c>
      <c r="U92" s="20" t="s">
        <v>238</v>
      </c>
      <c r="V92" s="25" t="e">
        <f>IF(P92=#REF!,"DIPLOMADO EN ATENCION PRE-HOSPITALARIA",IF(P92=#REF!,"ACOMPAÑAMIENTO Y MANEJO DEL DUELO",IF(P92=#REF!,"ATENCION A VICTIMAS DE ATAQUE CON AGENTES QUIMICOS ",IF(P92=#REF!,"PRIMEROS AUXILIOS ",IF(P92=#REF!,"DIPLOMADO DE UNIDAD DE CUIDADOS INTENSIVOS (UCI)",IF(P92=#REF!,"MODELO DE ATENCION PARA EVENTOS EMERGENTES EN SALUD MENTAL (CODIGO VERDE)",IF(P92=#REF!,"HUMANIZACION EN EL SERVICIO DE LA SALUD Y BUENAS PRACTICAS EN PACIENTE ",IF(P92=#REF!,"CLINICA DE HERIDAS ",IF(P92=#REF!,"TOMA DE CITOLOGIA CERVICO VAGINAL ",IF(P92=#REF!,"SOPORTE CARDIOVASCULAR AVANZADO (ACLS) ",IF(P92=#REF!,"CAMILLERO ",IF(P92=#REF!,"TOMA DE MUESTRAS Y LABORATORIO ",IF(P92=#REF!,"SOPORTE VITAL BASICO (BLS)",IF(P92=#REF!,"ATENCION A VICTIMAS DE VIOLENCIA SEXUAL ",IF(P92=#REF!,"PROGRAMADO AMPLIADO DE INMUNIZACION (PAI - COVID 19)",IF(P92=#REF!,"ATENCION INTEGRAL EN ENFERMEDADES PREVALENTES EN PRIMERA INFANCIA (AIEPI)",IF(P92=#REF!,"ADMINISTRACION DE MEDICAMENTOS, INYECTOLOGIA  Y CANALIZACION ",IF(P92=#REF!,"OPERADOR DE VEHICULOS DE EMERGENCIA (OVE)",IF(P92=#REF!,"INSTITUCIONES AMIGAS DE LA MUJER Y LA INFANCIA (IAMI)",IF(P92=#REF!,"CUIDADO DEL DONANTE DE ORGANOS",IF(P92=#REF!,"ATENCION A VICTIMAS POR VIOLENCIA DE GENERO",IF(P92=#REF!,"IGUALDAD DE GENERO EN LA SALUD",IF(P92=#REF!,"BRIGADA DE EMERGENCIA",IF(P92=#REF!,"MANEJO DEL DOLOR Y CUIDADOS PALIATIVOS",IF(P92=#REF!,"TOMA DE MUESTRAS Y LABORATORIO POCT",IF(P92=#REF!,"IMPLANTE SUBDERMICO DE DISPOSITIVO INTRAUTERINO",IF(P92=#REF!,"SALUD MENTAL",IF(P92=#REF!,"PRIMEROS AUXILIOS PSICOLOGICOS",IF(P92=#REF!,"ATENCION A VICTIMAS POR CONFLICTO ARMADO",IF(P92=#REF!,"MANIPULACION DE ALIMENTOS Y BPM",IF(P92=#REF!,"ATENCION A PERSONAS CON DISCAPACIDAD",IF(P92=#REF!,"CUIDADO INTEGRAL DEL PACIENTE ADULTO",IF(P92=#REF!,"MANEJO DEFENSIVO",IF(P92=#REF!,"SOPORTE CARDIOVASCULAR AVANZADO NEONATAL",IF(P92=#REF!,"SEGURIDAD DEL PACIENTE",IF(P92=#REF!,"MANEJO DE RESIDUOS HOSPITALARIOS"))))))))))))))))))))))))))))))))))))</f>
        <v>#REF!</v>
      </c>
      <c r="W92" s="25" t="str">
        <f t="shared" si="11"/>
        <v>John Jairo Rosero Ruales</v>
      </c>
      <c r="X92" s="25" t="str">
        <f t="shared" si="12"/>
        <v>John Jairo Rosero Ruales</v>
      </c>
      <c r="Y92" s="69" t="str">
        <f t="shared" si="13"/>
        <v>John Jairo Rosero Ruales-1004561037-BLS</v>
      </c>
    </row>
    <row r="93" spans="1:25" s="76" customFormat="1" x14ac:dyDescent="0.2">
      <c r="A93" s="19">
        <v>92</v>
      </c>
      <c r="B93" s="20">
        <v>1084846797</v>
      </c>
      <c r="C93" s="20" t="s">
        <v>101</v>
      </c>
      <c r="D93" s="20" t="s">
        <v>122</v>
      </c>
      <c r="E93" s="20" t="s">
        <v>176</v>
      </c>
      <c r="F93" s="20" t="s">
        <v>239</v>
      </c>
      <c r="G93" s="20">
        <v>13</v>
      </c>
      <c r="H93" s="20" t="s">
        <v>56</v>
      </c>
      <c r="I93" s="21" t="s">
        <v>72</v>
      </c>
      <c r="J93" s="21"/>
      <c r="K93" s="22">
        <v>45702</v>
      </c>
      <c r="L93" s="40">
        <v>32500</v>
      </c>
      <c r="M93" s="20" t="s">
        <v>61</v>
      </c>
      <c r="N93" s="20" t="s">
        <v>57</v>
      </c>
      <c r="O93" s="20" t="s">
        <v>48</v>
      </c>
      <c r="P93" s="20" t="s">
        <v>27</v>
      </c>
      <c r="Q93" s="21">
        <v>32956</v>
      </c>
      <c r="R93" s="20" t="s">
        <v>85</v>
      </c>
      <c r="S93" s="24" t="s">
        <v>86</v>
      </c>
      <c r="T93" s="20">
        <v>3183683213</v>
      </c>
      <c r="U93" s="20" t="s">
        <v>240</v>
      </c>
      <c r="V93" s="25" t="e">
        <f>IF(P93=#REF!,"DIPLOMADO EN ATENCION PRE-HOSPITALARIA",IF(P93=#REF!,"ACOMPAÑAMIENTO Y MANEJO DEL DUELO",IF(P93=#REF!,"ATENCION A VICTIMAS DE ATAQUE CON AGENTES QUIMICOS ",IF(P93=#REF!,"PRIMEROS AUXILIOS ",IF(P93=#REF!,"DIPLOMADO DE UNIDAD DE CUIDADOS INTENSIVOS (UCI)",IF(P93=#REF!,"MODELO DE ATENCION PARA EVENTOS EMERGENTES EN SALUD MENTAL (CODIGO VERDE)",IF(P93=#REF!,"HUMANIZACION EN EL SERVICIO DE LA SALUD Y BUENAS PRACTICAS EN PACIENTE ",IF(P93=#REF!,"CLINICA DE HERIDAS ",IF(P93=#REF!,"TOMA DE CITOLOGIA CERVICO VAGINAL ",IF(P93=#REF!,"SOPORTE CARDIOVASCULAR AVANZADO (ACLS) ",IF(P93=#REF!,"CAMILLERO ",IF(P93=#REF!,"TOMA DE MUESTRAS Y LABORATORIO ",IF(P93=#REF!,"SOPORTE VITAL BASICO (BLS)",IF(P93=#REF!,"ATENCION A VICTIMAS DE VIOLENCIA SEXUAL ",IF(P93=#REF!,"PROGRAMADO AMPLIADO DE INMUNIZACION (PAI - COVID 19)",IF(P93=#REF!,"ATENCION INTEGRAL EN ENFERMEDADES PREVALENTES EN PRIMERA INFANCIA (AIEPI)",IF(P93=#REF!,"ADMINISTRACION DE MEDICAMENTOS, INYECTOLOGIA  Y CANALIZACION ",IF(P93=#REF!,"OPERADOR DE VEHICULOS DE EMERGENCIA (OVE)",IF(P93=#REF!,"INSTITUCIONES AMIGAS DE LA MUJER Y LA INFANCIA (IAMI)",IF(P93=#REF!,"CUIDADO DEL DONANTE DE ORGANOS",IF(P93=#REF!,"ATENCION A VICTIMAS POR VIOLENCIA DE GENERO",IF(P93=#REF!,"IGUALDAD DE GENERO EN LA SALUD",IF(P93=#REF!,"BRIGADA DE EMERGENCIA",IF(P93=#REF!,"MANEJO DEL DOLOR Y CUIDADOS PALIATIVOS",IF(P93=#REF!,"TOMA DE MUESTRAS Y LABORATORIO POCT",IF(P93=#REF!,"IMPLANTE SUBDERMICO DE DISPOSITIVO INTRAUTERINO",IF(P93=#REF!,"SALUD MENTAL",IF(P93=#REF!,"PRIMEROS AUXILIOS PSICOLOGICOS",IF(P93=#REF!,"ATENCION A VICTIMAS POR CONFLICTO ARMADO",IF(P93=#REF!,"MANIPULACION DE ALIMENTOS Y BPM",IF(P93=#REF!,"ATENCION A PERSONAS CON DISCAPACIDAD",IF(P93=#REF!,"CUIDADO INTEGRAL DEL PACIENTE ADULTO",IF(P93=#REF!,"MANEJO DEFENSIVO",IF(P93=#REF!,"SOPORTE CARDIOVASCULAR AVANZADO NEONATAL",IF(P93=#REF!,"SEGURIDAD DEL PACIENTE",IF(P93=#REF!,"MANEJO DE RESIDUOS HOSPITALARIOS"))))))))))))))))))))))))))))))))))))</f>
        <v>#REF!</v>
      </c>
      <c r="W93" s="25" t="str">
        <f t="shared" si="11"/>
        <v>Jose Alfredo Hernandez Orbes</v>
      </c>
      <c r="X93" s="25" t="str">
        <f t="shared" si="12"/>
        <v>Jose Alfredo Hernandez Orbes</v>
      </c>
      <c r="Y93" s="69" t="str">
        <f t="shared" si="13"/>
        <v>Jose Alfredo Hernandez Orbes-1084846797-VIOLENCIA SEXUAL</v>
      </c>
    </row>
    <row r="94" spans="1:25" s="76" customFormat="1" x14ac:dyDescent="0.2">
      <c r="A94" s="19">
        <v>93</v>
      </c>
      <c r="B94" s="20">
        <v>1084846797</v>
      </c>
      <c r="C94" s="20" t="s">
        <v>101</v>
      </c>
      <c r="D94" s="20" t="s">
        <v>122</v>
      </c>
      <c r="E94" s="20" t="s">
        <v>176</v>
      </c>
      <c r="F94" s="20" t="s">
        <v>239</v>
      </c>
      <c r="G94" s="20">
        <v>13</v>
      </c>
      <c r="H94" s="20" t="s">
        <v>56</v>
      </c>
      <c r="I94" s="21" t="s">
        <v>72</v>
      </c>
      <c r="J94" s="21"/>
      <c r="K94" s="22">
        <v>45702</v>
      </c>
      <c r="L94" s="40">
        <v>32500</v>
      </c>
      <c r="M94" s="20" t="s">
        <v>61</v>
      </c>
      <c r="N94" s="20" t="s">
        <v>57</v>
      </c>
      <c r="O94" s="20" t="s">
        <v>48</v>
      </c>
      <c r="P94" s="20" t="s">
        <v>21</v>
      </c>
      <c r="Q94" s="21">
        <v>32956</v>
      </c>
      <c r="R94" s="20" t="s">
        <v>85</v>
      </c>
      <c r="S94" s="24" t="s">
        <v>86</v>
      </c>
      <c r="T94" s="20">
        <v>3183683213</v>
      </c>
      <c r="U94" s="20" t="s">
        <v>240</v>
      </c>
      <c r="V94" s="25" t="e">
        <f>IF(P94=#REF!,"DIPLOMADO EN ATENCION PRE-HOSPITALARIA",IF(P94=#REF!,"ACOMPAÑAMIENTO Y MANEJO DEL DUELO",IF(P94=#REF!,"ATENCION A VICTIMAS DE ATAQUE CON AGENTES QUIMICOS ",IF(P94=#REF!,"PRIMEROS AUXILIOS ",IF(P94=#REF!,"DIPLOMADO DE UNIDAD DE CUIDADOS INTENSIVOS (UCI)",IF(P94=#REF!,"MODELO DE ATENCION PARA EVENTOS EMERGENTES EN SALUD MENTAL (CODIGO VERDE)",IF(P94=#REF!,"HUMANIZACION EN EL SERVICIO DE LA SALUD Y BUENAS PRACTICAS EN PACIENTE ",IF(P94=#REF!,"CLINICA DE HERIDAS ",IF(P94=#REF!,"TOMA DE CITOLOGIA CERVICO VAGINAL ",IF(P94=#REF!,"SOPORTE CARDIOVASCULAR AVANZADO (ACLS) ",IF(P94=#REF!,"CAMILLERO ",IF(P94=#REF!,"TOMA DE MUESTRAS Y LABORATORIO ",IF(P94=#REF!,"SOPORTE VITAL BASICO (BLS)",IF(P94=#REF!,"ATENCION A VICTIMAS DE VIOLENCIA SEXUAL ",IF(P94=#REF!,"PROGRAMADO AMPLIADO DE INMUNIZACION (PAI - COVID 19)",IF(P94=#REF!,"ATENCION INTEGRAL EN ENFERMEDADES PREVALENTES EN PRIMERA INFANCIA (AIEPI)",IF(P94=#REF!,"ADMINISTRACION DE MEDICAMENTOS, INYECTOLOGIA  Y CANALIZACION ",IF(P94=#REF!,"OPERADOR DE VEHICULOS DE EMERGENCIA (OVE)",IF(P94=#REF!,"INSTITUCIONES AMIGAS DE LA MUJER Y LA INFANCIA (IAMI)",IF(P94=#REF!,"CUIDADO DEL DONANTE DE ORGANOS",IF(P94=#REF!,"ATENCION A VICTIMAS POR VIOLENCIA DE GENERO",IF(P94=#REF!,"IGUALDAD DE GENERO EN LA SALUD",IF(P94=#REF!,"BRIGADA DE EMERGENCIA",IF(P94=#REF!,"MANEJO DEL DOLOR Y CUIDADOS PALIATIVOS",IF(P94=#REF!,"TOMA DE MUESTRAS Y LABORATORIO POCT",IF(P94=#REF!,"IMPLANTE SUBDERMICO DE DISPOSITIVO INTRAUTERINO",IF(P94=#REF!,"SALUD MENTAL",IF(P94=#REF!,"PRIMEROS AUXILIOS PSICOLOGICOS",IF(P94=#REF!,"ATENCION A VICTIMAS POR CONFLICTO ARMADO",IF(P94=#REF!,"MANIPULACION DE ALIMENTOS Y BPM",IF(P94=#REF!,"ATENCION A PERSONAS CON DISCAPACIDAD",IF(P94=#REF!,"CUIDADO INTEGRAL DEL PACIENTE ADULTO",IF(P94=#REF!,"MANEJO DEFENSIVO",IF(P94=#REF!,"SOPORTE CARDIOVASCULAR AVANZADO NEONATAL",IF(P94=#REF!,"SEGURIDAD DEL PACIENTE",IF(P94=#REF!,"MANEJO DE RESIDUOS HOSPITALARIOS"))))))))))))))))))))))))))))))))))))</f>
        <v>#REF!</v>
      </c>
      <c r="W94" s="25" t="str">
        <f t="shared" si="11"/>
        <v>Jose Alfredo Hernandez Orbes</v>
      </c>
      <c r="X94" s="25" t="str">
        <f t="shared" si="12"/>
        <v>Jose Alfredo Hernandez Orbes</v>
      </c>
      <c r="Y94" s="69" t="str">
        <f t="shared" si="13"/>
        <v>Jose Alfredo Hernandez Orbes-1084846797-QUIMICOS</v>
      </c>
    </row>
    <row r="95" spans="1:25" s="76" customFormat="1" x14ac:dyDescent="0.2">
      <c r="A95" s="19">
        <v>94</v>
      </c>
      <c r="B95" s="20">
        <v>1084846797</v>
      </c>
      <c r="C95" s="20" t="s">
        <v>101</v>
      </c>
      <c r="D95" s="20" t="s">
        <v>122</v>
      </c>
      <c r="E95" s="20" t="s">
        <v>176</v>
      </c>
      <c r="F95" s="20" t="s">
        <v>239</v>
      </c>
      <c r="G95" s="20">
        <v>13</v>
      </c>
      <c r="H95" s="20" t="s">
        <v>56</v>
      </c>
      <c r="I95" s="21" t="s">
        <v>72</v>
      </c>
      <c r="J95" s="21"/>
      <c r="K95" s="22">
        <v>45702</v>
      </c>
      <c r="L95" s="40">
        <v>32500</v>
      </c>
      <c r="M95" s="20" t="s">
        <v>61</v>
      </c>
      <c r="N95" s="20" t="s">
        <v>57</v>
      </c>
      <c r="O95" s="20" t="s">
        <v>48</v>
      </c>
      <c r="P95" s="20" t="s">
        <v>20</v>
      </c>
      <c r="Q95" s="21">
        <v>32956</v>
      </c>
      <c r="R95" s="20" t="s">
        <v>85</v>
      </c>
      <c r="S95" s="24" t="s">
        <v>86</v>
      </c>
      <c r="T95" s="20">
        <v>3183683213</v>
      </c>
      <c r="U95" s="20" t="s">
        <v>240</v>
      </c>
      <c r="V95" s="25" t="e">
        <f>IF(P95=#REF!,"DIPLOMADO EN ATENCION PRE-HOSPITALARIA",IF(P95=#REF!,"ACOMPAÑAMIENTO Y MANEJO DEL DUELO",IF(P95=#REF!,"ATENCION A VICTIMAS DE ATAQUE CON AGENTES QUIMICOS ",IF(P95=#REF!,"PRIMEROS AUXILIOS ",IF(P95=#REF!,"DIPLOMADO DE UNIDAD DE CUIDADOS INTENSIVOS (UCI)",IF(P95=#REF!,"MODELO DE ATENCION PARA EVENTOS EMERGENTES EN SALUD MENTAL (CODIGO VERDE)",IF(P95=#REF!,"HUMANIZACION EN EL SERVICIO DE LA SALUD Y BUENAS PRACTICAS EN PACIENTE ",IF(P95=#REF!,"CLINICA DE HERIDAS ",IF(P95=#REF!,"TOMA DE CITOLOGIA CERVICO VAGINAL ",IF(P95=#REF!,"SOPORTE CARDIOVASCULAR AVANZADO (ACLS) ",IF(P95=#REF!,"CAMILLERO ",IF(P95=#REF!,"TOMA DE MUESTRAS Y LABORATORIO ",IF(P95=#REF!,"SOPORTE VITAL BASICO (BLS)",IF(P95=#REF!,"ATENCION A VICTIMAS DE VIOLENCIA SEXUAL ",IF(P95=#REF!,"PROGRAMADO AMPLIADO DE INMUNIZACION (PAI - COVID 19)",IF(P95=#REF!,"ATENCION INTEGRAL EN ENFERMEDADES PREVALENTES EN PRIMERA INFANCIA (AIEPI)",IF(P95=#REF!,"ADMINISTRACION DE MEDICAMENTOS, INYECTOLOGIA  Y CANALIZACION ",IF(P95=#REF!,"OPERADOR DE VEHICULOS DE EMERGENCIA (OVE)",IF(P95=#REF!,"INSTITUCIONES AMIGAS DE LA MUJER Y LA INFANCIA (IAMI)",IF(P95=#REF!,"CUIDADO DEL DONANTE DE ORGANOS",IF(P95=#REF!,"ATENCION A VICTIMAS POR VIOLENCIA DE GENERO",IF(P95=#REF!,"IGUALDAD DE GENERO EN LA SALUD",IF(P95=#REF!,"BRIGADA DE EMERGENCIA",IF(P95=#REF!,"MANEJO DEL DOLOR Y CUIDADOS PALIATIVOS",IF(P95=#REF!,"TOMA DE MUESTRAS Y LABORATORIO POCT",IF(P95=#REF!,"IMPLANTE SUBDERMICO DE DISPOSITIVO INTRAUTERINO",IF(P95=#REF!,"SALUD MENTAL",IF(P95=#REF!,"PRIMEROS AUXILIOS PSICOLOGICOS",IF(P95=#REF!,"ATENCION A VICTIMAS POR CONFLICTO ARMADO",IF(P95=#REF!,"MANIPULACION DE ALIMENTOS Y BPM",IF(P95=#REF!,"ATENCION A PERSONAS CON DISCAPACIDAD",IF(P95=#REF!,"CUIDADO INTEGRAL DEL PACIENTE ADULTO",IF(P95=#REF!,"MANEJO DEFENSIVO",IF(P95=#REF!,"SOPORTE CARDIOVASCULAR AVANZADO NEONATAL",IF(P95=#REF!,"SEGURIDAD DEL PACIENTE",IF(P95=#REF!,"MANEJO DE RESIDUOS HOSPITALARIOS"))))))))))))))))))))))))))))))))))))</f>
        <v>#REF!</v>
      </c>
      <c r="W95" s="25" t="str">
        <f t="shared" si="11"/>
        <v>Jose Alfredo Hernandez Orbes</v>
      </c>
      <c r="X95" s="25" t="str">
        <f t="shared" si="12"/>
        <v>Jose Alfredo Hernandez Orbes</v>
      </c>
      <c r="Y95" s="69" t="str">
        <f t="shared" si="13"/>
        <v>Jose Alfredo Hernandez Orbes-1084846797-DUELO</v>
      </c>
    </row>
    <row r="96" spans="1:25" s="76" customFormat="1" x14ac:dyDescent="0.2">
      <c r="A96" s="28">
        <v>95</v>
      </c>
      <c r="B96" s="20">
        <v>1084846797</v>
      </c>
      <c r="C96" s="20" t="s">
        <v>101</v>
      </c>
      <c r="D96" s="20" t="s">
        <v>122</v>
      </c>
      <c r="E96" s="20" t="s">
        <v>176</v>
      </c>
      <c r="F96" s="20" t="s">
        <v>239</v>
      </c>
      <c r="G96" s="20">
        <v>13</v>
      </c>
      <c r="H96" s="20" t="s">
        <v>56</v>
      </c>
      <c r="I96" s="21" t="s">
        <v>72</v>
      </c>
      <c r="J96" s="21"/>
      <c r="K96" s="22">
        <v>45702</v>
      </c>
      <c r="L96" s="40">
        <v>32500</v>
      </c>
      <c r="M96" s="20" t="s">
        <v>61</v>
      </c>
      <c r="N96" s="20" t="s">
        <v>57</v>
      </c>
      <c r="O96" s="20" t="s">
        <v>48</v>
      </c>
      <c r="P96" s="20" t="s">
        <v>32</v>
      </c>
      <c r="Q96" s="21">
        <v>32956</v>
      </c>
      <c r="R96" s="20" t="s">
        <v>85</v>
      </c>
      <c r="S96" s="24" t="s">
        <v>86</v>
      </c>
      <c r="T96" s="20">
        <v>3183683213</v>
      </c>
      <c r="U96" s="20" t="s">
        <v>240</v>
      </c>
      <c r="V96" s="25" t="e">
        <f>IF(P96=#REF!,"DIPLOMADO EN ATENCION PRE-HOSPITALARIA",IF(P96=#REF!,"ACOMPAÑAMIENTO Y MANEJO DEL DUELO",IF(P96=#REF!,"ATENCION A VICTIMAS DE ATAQUE CON AGENTES QUIMICOS ",IF(P96=#REF!,"PRIMEROS AUXILIOS ",IF(P96=#REF!,"DIPLOMADO DE UNIDAD DE CUIDADOS INTENSIVOS (UCI)",IF(P96=#REF!,"MODELO DE ATENCION PARA EVENTOS EMERGENTES EN SALUD MENTAL (CODIGO VERDE)",IF(P96=#REF!,"HUMANIZACION EN EL SERVICIO DE LA SALUD Y BUENAS PRACTICAS EN PACIENTE ",IF(P96=#REF!,"CLINICA DE HERIDAS ",IF(P96=#REF!,"TOMA DE CITOLOGIA CERVICO VAGINAL ",IF(P96=#REF!,"SOPORTE CARDIOVASCULAR AVANZADO (ACLS) ",IF(P96=#REF!,"CAMILLERO ",IF(P96=#REF!,"TOMA DE MUESTRAS Y LABORATORIO ",IF(P96=#REF!,"SOPORTE VITAL BASICO (BLS)",IF(P96=#REF!,"ATENCION A VICTIMAS DE VIOLENCIA SEXUAL ",IF(P96=#REF!,"PROGRAMADO AMPLIADO DE INMUNIZACION (PAI - COVID 19)",IF(P96=#REF!,"ATENCION INTEGRAL EN ENFERMEDADES PREVALENTES EN PRIMERA INFANCIA (AIEPI)",IF(P96=#REF!,"ADMINISTRACION DE MEDICAMENTOS, INYECTOLOGIA  Y CANALIZACION ",IF(P96=#REF!,"OPERADOR DE VEHICULOS DE EMERGENCIA (OVE)",IF(P96=#REF!,"INSTITUCIONES AMIGAS DE LA MUJER Y LA INFANCIA (IAMI)",IF(P96=#REF!,"CUIDADO DEL DONANTE DE ORGANOS",IF(P96=#REF!,"ATENCION A VICTIMAS POR VIOLENCIA DE GENERO",IF(P96=#REF!,"IGUALDAD DE GENERO EN LA SALUD",IF(P96=#REF!,"BRIGADA DE EMERGENCIA",IF(P96=#REF!,"MANEJO DEL DOLOR Y CUIDADOS PALIATIVOS",IF(P96=#REF!,"TOMA DE MUESTRAS Y LABORATORIO POCT",IF(P96=#REF!,"IMPLANTE SUBDERMICO DE DISPOSITIVO INTRAUTERINO",IF(P96=#REF!,"SALUD MENTAL",IF(P96=#REF!,"PRIMEROS AUXILIOS PSICOLOGICOS",IF(P96=#REF!,"ATENCION A VICTIMAS POR CONFLICTO ARMADO",IF(P96=#REF!,"MANIPULACION DE ALIMENTOS Y BPM",IF(P96=#REF!,"ATENCION A PERSONAS CON DISCAPACIDAD",IF(P96=#REF!,"CUIDADO INTEGRAL DEL PACIENTE ADULTO",IF(P96=#REF!,"MANEJO DEFENSIVO",IF(P96=#REF!,"SOPORTE CARDIOVASCULAR AVANZADO NEONATAL",IF(P96=#REF!,"SEGURIDAD DEL PACIENTE",IF(P96=#REF!,"MANEJO DE RESIDUOS HOSPITALARIOS"))))))))))))))))))))))))))))))))))))</f>
        <v>#REF!</v>
      </c>
      <c r="W96" s="25" t="str">
        <f t="shared" si="11"/>
        <v>Jose Alfredo Hernandez Orbes</v>
      </c>
      <c r="X96" s="25" t="str">
        <f t="shared" si="12"/>
        <v>Jose Alfredo Hernandez Orbes</v>
      </c>
      <c r="Y96" s="69" t="str">
        <f t="shared" si="13"/>
        <v>Jose Alfredo Hernandez Orbes-1084846797-DONANTE</v>
      </c>
    </row>
    <row r="97" spans="1:25" s="76" customFormat="1" x14ac:dyDescent="0.2">
      <c r="A97" s="19">
        <v>96</v>
      </c>
      <c r="B97" s="20">
        <v>1085336394</v>
      </c>
      <c r="C97" s="20" t="s">
        <v>132</v>
      </c>
      <c r="D97" s="20" t="s">
        <v>241</v>
      </c>
      <c r="E97" s="20" t="s">
        <v>242</v>
      </c>
      <c r="F97" s="20" t="s">
        <v>172</v>
      </c>
      <c r="G97" s="20">
        <v>15</v>
      </c>
      <c r="H97" s="20" t="s">
        <v>56</v>
      </c>
      <c r="I97" s="21" t="s">
        <v>47</v>
      </c>
      <c r="J97" s="21"/>
      <c r="K97" s="22">
        <v>45703</v>
      </c>
      <c r="L97" s="40">
        <v>80000</v>
      </c>
      <c r="M97" s="20" t="s">
        <v>141</v>
      </c>
      <c r="N97" s="20" t="s">
        <v>57</v>
      </c>
      <c r="O97" s="20" t="s">
        <v>48</v>
      </c>
      <c r="P97" s="20" t="s">
        <v>29</v>
      </c>
      <c r="Q97" s="21">
        <v>35656</v>
      </c>
      <c r="R97" s="20" t="s">
        <v>49</v>
      </c>
      <c r="S97" s="20" t="s">
        <v>243</v>
      </c>
      <c r="T97" s="20">
        <v>3103611729</v>
      </c>
      <c r="U97" s="20" t="s">
        <v>244</v>
      </c>
      <c r="V97" s="25" t="e">
        <f>IF(P97=#REF!,"DIPLOMADO EN ATENCION PRE-HOSPITALARIA",IF(P97=#REF!,"ACOMPAÑAMIENTO Y MANEJO DEL DUELO",IF(P97=#REF!,"ATENCION A VICTIMAS DE ATAQUE CON AGENTES QUIMICOS ",IF(P97=#REF!,"PRIMEROS AUXILIOS ",IF(P97=#REF!,"DIPLOMADO DE UNIDAD DE CUIDADOS INTENSIVOS (UCI)",IF(P97=#REF!,"MODELO DE ATENCION PARA EVENTOS EMERGENTES EN SALUD MENTAL (CODIGO VERDE)",IF(P97=#REF!,"HUMANIZACION EN EL SERVICIO DE LA SALUD Y BUENAS PRACTICAS EN PACIENTE ",IF(P97=#REF!,"CLINICA DE HERIDAS ",IF(P97=#REF!,"TOMA DE CITOLOGIA CERVICO VAGINAL ",IF(P97=#REF!,"SOPORTE CARDIOVASCULAR AVANZADO (ACLS) ",IF(P97=#REF!,"CAMILLERO ",IF(P97=#REF!,"TOMA DE MUESTRAS Y LABORATORIO ",IF(P97=#REF!,"SOPORTE VITAL BASICO (BLS)",IF(P97=#REF!,"ATENCION A VICTIMAS DE VIOLENCIA SEXUAL ",IF(P97=#REF!,"PROGRAMADO AMPLIADO DE INMUNIZACION (PAI - COVID 19)",IF(P97=#REF!,"ATENCION INTEGRAL EN ENFERMEDADES PREVALENTES EN PRIMERA INFANCIA (AIEPI)",IF(P97=#REF!,"ADMINISTRACION DE MEDICAMENTOS, INYECTOLOGIA  Y CANALIZACION ",IF(P97=#REF!,"OPERADOR DE VEHICULOS DE EMERGENCIA (OVE)",IF(P97=#REF!,"INSTITUCIONES AMIGAS DE LA MUJER Y LA INFANCIA (IAMI)",IF(P97=#REF!,"CUIDADO DEL DONANTE DE ORGANOS",IF(P97=#REF!,"ATENCION A VICTIMAS POR VIOLENCIA DE GENERO",IF(P97=#REF!,"IGUALDAD DE GENERO EN LA SALUD",IF(P97=#REF!,"BRIGADA DE EMERGENCIA",IF(P97=#REF!,"MANEJO DEL DOLOR Y CUIDADOS PALIATIVOS",IF(P97=#REF!,"TOMA DE MUESTRAS Y LABORATORIO POCT",IF(P97=#REF!,"IMPLANTE SUBDERMICO DE DISPOSITIVO INTRAUTERINO",IF(P97=#REF!,"SALUD MENTAL",IF(P97=#REF!,"PRIMEROS AUXILIOS PSICOLOGICOS",IF(P97=#REF!,"ATENCION A VICTIMAS POR CONFLICTO ARMADO",IF(P97=#REF!,"MANIPULACION DE ALIMENTOS Y BPM",IF(P97=#REF!,"ATENCION A PERSONAS CON DISCAPACIDAD",IF(P97=#REF!,"CUIDADO INTEGRAL DEL PACIENTE ADULTO",IF(P97=#REF!,"MANEJO DEFENSIVO",IF(P97=#REF!,"SOPORTE CARDIOVASCULAR AVANZADO NEONATAL",IF(P97=#REF!,"SEGURIDAD DEL PACIENTE",IF(P97=#REF!,"MANEJO DE RESIDUOS HOSPITALARIOS"))))))))))))))))))))))))))))))))))))</f>
        <v>#REF!</v>
      </c>
      <c r="W97" s="25" t="str">
        <f t="shared" si="11"/>
        <v>Diana Katherine Paz Coral</v>
      </c>
      <c r="X97" s="25" t="str">
        <f t="shared" si="12"/>
        <v>Diana Katherine Paz Coral</v>
      </c>
      <c r="Y97" s="69" t="str">
        <f t="shared" si="13"/>
        <v>Diana Katherine Paz Coral-1085336394-ADMON DE MEDICAMENTOS</v>
      </c>
    </row>
    <row r="98" spans="1:25" s="76" customFormat="1" x14ac:dyDescent="0.2">
      <c r="A98" s="19">
        <v>97</v>
      </c>
      <c r="B98" s="20">
        <v>1193479507</v>
      </c>
      <c r="C98" s="20" t="s">
        <v>245</v>
      </c>
      <c r="D98" s="20" t="s">
        <v>190</v>
      </c>
      <c r="E98" s="20" t="s">
        <v>246</v>
      </c>
      <c r="F98" s="20" t="s">
        <v>247</v>
      </c>
      <c r="G98" s="20">
        <v>15</v>
      </c>
      <c r="H98" s="20" t="s">
        <v>56</v>
      </c>
      <c r="I98" s="21" t="s">
        <v>47</v>
      </c>
      <c r="J98" s="21"/>
      <c r="K98" s="22">
        <v>45703</v>
      </c>
      <c r="L98" s="40">
        <v>70000</v>
      </c>
      <c r="M98" s="20" t="s">
        <v>141</v>
      </c>
      <c r="N98" s="20" t="s">
        <v>57</v>
      </c>
      <c r="O98" s="20" t="s">
        <v>48</v>
      </c>
      <c r="P98" s="20" t="s">
        <v>25</v>
      </c>
      <c r="Q98" s="21">
        <v>36686</v>
      </c>
      <c r="R98" s="20" t="s">
        <v>49</v>
      </c>
      <c r="S98" s="20" t="s">
        <v>248</v>
      </c>
      <c r="T98" s="24">
        <v>3124754343</v>
      </c>
      <c r="U98" s="20" t="s">
        <v>249</v>
      </c>
      <c r="V98" s="25" t="e">
        <f>IF(P98=#REF!,"DIPLOMADO EN ATENCION PRE-HOSPITALARIA",IF(P98=#REF!,"ACOMPAÑAMIENTO Y MANEJO DEL DUELO",IF(P98=#REF!,"ATENCION A VICTIMAS DE ATAQUE CON AGENTES QUIMICOS ",IF(P98=#REF!,"PRIMEROS AUXILIOS ",IF(P98=#REF!,"DIPLOMADO DE UNIDAD DE CUIDADOS INTENSIVOS (UCI)",IF(P98=#REF!,"MODELO DE ATENCION PARA EVENTOS EMERGENTES EN SALUD MENTAL (CODIGO VERDE)",IF(P98=#REF!,"HUMANIZACION EN EL SERVICIO DE LA SALUD Y BUENAS PRACTICAS EN PACIENTE ",IF(P98=#REF!,"CLINICA DE HERIDAS ",IF(P98=#REF!,"TOMA DE CITOLOGIA CERVICO VAGINAL ",IF(P98=#REF!,"SOPORTE CARDIOVASCULAR AVANZADO (ACLS) ",IF(P98=#REF!,"CAMILLERO ",IF(P98=#REF!,"TOMA DE MUESTRAS Y LABORATORIO ",IF(P98=#REF!,"SOPORTE VITAL BASICO (BLS)",IF(P98=#REF!,"ATENCION A VICTIMAS DE VIOLENCIA SEXUAL ",IF(P98=#REF!,"PROGRAMADO AMPLIADO DE INMUNIZACION (PAI - COVID 19)",IF(P98=#REF!,"ATENCION INTEGRAL EN ENFERMEDADES PREVALENTES EN PRIMERA INFANCIA (AIEPI)",IF(P98=#REF!,"ADMINISTRACION DE MEDICAMENTOS, INYECTOLOGIA  Y CANALIZACION ",IF(P98=#REF!,"OPERADOR DE VEHICULOS DE EMERGENCIA (OVE)",IF(P98=#REF!,"INSTITUCIONES AMIGAS DE LA MUJER Y LA INFANCIA (IAMI)",IF(P98=#REF!,"CUIDADO DEL DONANTE DE ORGANOS",IF(P98=#REF!,"ATENCION A VICTIMAS POR VIOLENCIA DE GENERO",IF(P98=#REF!,"IGUALDAD DE GENERO EN LA SALUD",IF(P98=#REF!,"BRIGADA DE EMERGENCIA",IF(P98=#REF!,"MANEJO DEL DOLOR Y CUIDADOS PALIATIVOS",IF(P98=#REF!,"TOMA DE MUESTRAS Y LABORATORIO POCT",IF(P98=#REF!,"IMPLANTE SUBDERMICO DE DISPOSITIVO INTRAUTERINO",IF(P98=#REF!,"SALUD MENTAL",IF(P98=#REF!,"PRIMEROS AUXILIOS PSICOLOGICOS",IF(P98=#REF!,"ATENCION A VICTIMAS POR CONFLICTO ARMADO",IF(P98=#REF!,"MANIPULACION DE ALIMENTOS Y BPM",IF(P98=#REF!,"ATENCION A PERSONAS CON DISCAPACIDAD",IF(P98=#REF!,"CUIDADO INTEGRAL DEL PACIENTE ADULTO",IF(P98=#REF!,"MANEJO DEFENSIVO",IF(P98=#REF!,"SOPORTE CARDIOVASCULAR AVANZADO NEONATAL",IF(P98=#REF!,"SEGURIDAD DEL PACIENTE",IF(P98=#REF!,"MANEJO DE RESIDUOS HOSPITALARIOS"))))))))))))))))))))))))))))))))))))</f>
        <v>#REF!</v>
      </c>
      <c r="W98" s="25" t="str">
        <f t="shared" si="11"/>
        <v>Paola Estefania Toro Mera</v>
      </c>
      <c r="X98" s="25" t="str">
        <f t="shared" si="12"/>
        <v>Paola Estefania Toro Mera</v>
      </c>
      <c r="Y98" s="69" t="str">
        <f t="shared" si="13"/>
        <v>Paola Estefania Toro Mera-1193479507-CAMILLERO</v>
      </c>
    </row>
    <row r="99" spans="1:25" s="76" customFormat="1" x14ac:dyDescent="0.2">
      <c r="A99" s="19">
        <v>98</v>
      </c>
      <c r="B99" s="20">
        <v>1193479507</v>
      </c>
      <c r="C99" s="20" t="s">
        <v>245</v>
      </c>
      <c r="D99" s="20" t="s">
        <v>190</v>
      </c>
      <c r="E99" s="20" t="s">
        <v>246</v>
      </c>
      <c r="F99" s="20" t="s">
        <v>247</v>
      </c>
      <c r="G99" s="20">
        <v>15</v>
      </c>
      <c r="H99" s="20" t="s">
        <v>56</v>
      </c>
      <c r="I99" s="21" t="s">
        <v>47</v>
      </c>
      <c r="J99" s="21"/>
      <c r="K99" s="22">
        <v>45703</v>
      </c>
      <c r="L99" s="40">
        <v>70000</v>
      </c>
      <c r="M99" s="20" t="s">
        <v>141</v>
      </c>
      <c r="N99" s="20" t="s">
        <v>57</v>
      </c>
      <c r="O99" s="20" t="s">
        <v>48</v>
      </c>
      <c r="P99" s="20" t="s">
        <v>22</v>
      </c>
      <c r="Q99" s="21">
        <v>36686</v>
      </c>
      <c r="R99" s="20" t="s">
        <v>49</v>
      </c>
      <c r="S99" s="20" t="s">
        <v>248</v>
      </c>
      <c r="T99" s="24">
        <v>3124754343</v>
      </c>
      <c r="U99" s="20" t="s">
        <v>249</v>
      </c>
      <c r="V99" s="25" t="e">
        <f>IF(P99=#REF!,"DIPLOMADO EN ATENCION PRE-HOSPITALARIA",IF(P99=#REF!,"ACOMPAÑAMIENTO Y MANEJO DEL DUELO",IF(P99=#REF!,"ATENCION A VICTIMAS DE ATAQUE CON AGENTES QUIMICOS ",IF(P99=#REF!,"PRIMEROS AUXILIOS ",IF(P99=#REF!,"DIPLOMADO DE UNIDAD DE CUIDADOS INTENSIVOS (UCI)",IF(P99=#REF!,"MODELO DE ATENCION PARA EVENTOS EMERGENTES EN SALUD MENTAL (CODIGO VERDE)",IF(P99=#REF!,"HUMANIZACION EN EL SERVICIO DE LA SALUD Y BUENAS PRACTICAS EN PACIENTE ",IF(P99=#REF!,"CLINICA DE HERIDAS ",IF(P99=#REF!,"TOMA DE CITOLOGIA CERVICO VAGINAL ",IF(P99=#REF!,"SOPORTE CARDIOVASCULAR AVANZADO (ACLS) ",IF(P99=#REF!,"CAMILLERO ",IF(P99=#REF!,"TOMA DE MUESTRAS Y LABORATORIO ",IF(P99=#REF!,"SOPORTE VITAL BASICO (BLS)",IF(P99=#REF!,"ATENCION A VICTIMAS DE VIOLENCIA SEXUAL ",IF(P99=#REF!,"PROGRAMADO AMPLIADO DE INMUNIZACION (PAI - COVID 19)",IF(P99=#REF!,"ATENCION INTEGRAL EN ENFERMEDADES PREVALENTES EN PRIMERA INFANCIA (AIEPI)",IF(P99=#REF!,"ADMINISTRACION DE MEDICAMENTOS, INYECTOLOGIA  Y CANALIZACION ",IF(P99=#REF!,"OPERADOR DE VEHICULOS DE EMERGENCIA (OVE)",IF(P99=#REF!,"INSTITUCIONES AMIGAS DE LA MUJER Y LA INFANCIA (IAMI)",IF(P99=#REF!,"CUIDADO DEL DONANTE DE ORGANOS",IF(P99=#REF!,"ATENCION A VICTIMAS POR VIOLENCIA DE GENERO",IF(P99=#REF!,"IGUALDAD DE GENERO EN LA SALUD",IF(P99=#REF!,"BRIGADA DE EMERGENCIA",IF(P99=#REF!,"MANEJO DEL DOLOR Y CUIDADOS PALIATIVOS",IF(P99=#REF!,"TOMA DE MUESTRAS Y LABORATORIO POCT",IF(P99=#REF!,"IMPLANTE SUBDERMICO DE DISPOSITIVO INTRAUTERINO",IF(P99=#REF!,"SALUD MENTAL",IF(P99=#REF!,"PRIMEROS AUXILIOS PSICOLOGICOS",IF(P99=#REF!,"ATENCION A VICTIMAS POR CONFLICTO ARMADO",IF(P99=#REF!,"MANIPULACION DE ALIMENTOS Y BPM",IF(P99=#REF!,"ATENCION A PERSONAS CON DISCAPACIDAD",IF(P99=#REF!,"CUIDADO INTEGRAL DEL PACIENTE ADULTO",IF(P99=#REF!,"MANEJO DEFENSIVO",IF(P99=#REF!,"SOPORTE CARDIOVASCULAR AVANZADO NEONATAL",IF(P99=#REF!,"SEGURIDAD DEL PACIENTE",IF(P99=#REF!,"MANEJO DE RESIDUOS HOSPITALARIOS"))))))))))))))))))))))))))))))))))))</f>
        <v>#REF!</v>
      </c>
      <c r="W99" s="25" t="str">
        <f t="shared" si="11"/>
        <v>Paola Estefania Toro Mera</v>
      </c>
      <c r="X99" s="25" t="str">
        <f t="shared" si="12"/>
        <v>Paola Estefania Toro Mera</v>
      </c>
      <c r="Y99" s="69" t="str">
        <f t="shared" si="13"/>
        <v>Paola Estefania Toro Mera-1193479507-PRIMEROS AUXILIOS</v>
      </c>
    </row>
    <row r="100" spans="1:25" s="76" customFormat="1" x14ac:dyDescent="0.2">
      <c r="A100" s="19">
        <v>99</v>
      </c>
      <c r="B100" s="20">
        <v>1233188825</v>
      </c>
      <c r="C100" s="20" t="s">
        <v>250</v>
      </c>
      <c r="D100" s="20" t="s">
        <v>251</v>
      </c>
      <c r="E100" s="20" t="s">
        <v>252</v>
      </c>
      <c r="F100" s="20" t="s">
        <v>253</v>
      </c>
      <c r="G100" s="20">
        <v>15</v>
      </c>
      <c r="H100" s="20" t="s">
        <v>56</v>
      </c>
      <c r="I100" s="21" t="s">
        <v>47</v>
      </c>
      <c r="J100" s="21"/>
      <c r="K100" s="22" t="s">
        <v>275</v>
      </c>
      <c r="L100" s="40">
        <v>80000</v>
      </c>
      <c r="M100" s="20" t="s">
        <v>115</v>
      </c>
      <c r="N100" s="20" t="s">
        <v>57</v>
      </c>
      <c r="O100" s="20" t="s">
        <v>48</v>
      </c>
      <c r="P100" s="42" t="s">
        <v>29</v>
      </c>
      <c r="Q100" s="21">
        <v>35520</v>
      </c>
      <c r="R100" s="20" t="s">
        <v>49</v>
      </c>
      <c r="S100" s="20" t="s">
        <v>254</v>
      </c>
      <c r="T100" s="20">
        <v>3166390908</v>
      </c>
      <c r="U100" s="20" t="s">
        <v>255</v>
      </c>
      <c r="V100" s="25" t="e">
        <f>IF(P100=#REF!,"DIPLOMADO EN ATENCION PRE-HOSPITALARIA",IF(P100=#REF!,"ACOMPAÑAMIENTO Y MANEJO DEL DUELO",IF(P100=#REF!,"ATENCION A VICTIMAS DE ATAQUE CON AGENTES QUIMICOS ",IF(P100=#REF!,"PRIMEROS AUXILIOS ",IF(P100=#REF!,"DIPLOMADO DE UNIDAD DE CUIDADOS INTENSIVOS (UCI)",IF(P100=#REF!,"MODELO DE ATENCION PARA EVENTOS EMERGENTES EN SALUD MENTAL (CODIGO VERDE)",IF(P100=#REF!,"HUMANIZACION EN EL SERVICIO DE LA SALUD Y BUENAS PRACTICAS EN PACIENTE ",IF(P100=#REF!,"CLINICA DE HERIDAS ",IF(P100=#REF!,"TOMA DE CITOLOGIA CERVICO VAGINAL ",IF(P100=#REF!,"SOPORTE CARDIOVASCULAR AVANZADO (ACLS) ",IF(P100=#REF!,"CAMILLERO ",IF(P100=#REF!,"TOMA DE MUESTRAS Y LABORATORIO ",IF(P100=#REF!,"SOPORTE VITAL BASICO (BLS)",IF(P100=#REF!,"ATENCION A VICTIMAS DE VIOLENCIA SEXUAL ",IF(P100=#REF!,"PROGRAMADO AMPLIADO DE INMUNIZACION (PAI - COVID 19)",IF(P100=#REF!,"ATENCION INTEGRAL EN ENFERMEDADES PREVALENTES EN PRIMERA INFANCIA (AIEPI)",IF(P100=#REF!,"ADMINISTRACION DE MEDICAMENTOS, INYECTOLOGIA  Y CANALIZACION ",IF(P100=#REF!,"OPERADOR DE VEHICULOS DE EMERGENCIA (OVE)",IF(P100=#REF!,"INSTITUCIONES AMIGAS DE LA MUJER Y LA INFANCIA (IAMI)",IF(P100=#REF!,"CUIDADO DEL DONANTE DE ORGANOS",IF(P100=#REF!,"ATENCION A VICTIMAS POR VIOLENCIA DE GENERO",IF(P100=#REF!,"IGUALDAD DE GENERO EN LA SALUD",IF(P100=#REF!,"BRIGADA DE EMERGENCIA",IF(P100=#REF!,"MANEJO DEL DOLOR Y CUIDADOS PALIATIVOS",IF(P100=#REF!,"TOMA DE MUESTRAS Y LABORATORIO POCT",IF(P100=#REF!,"IMPLANTE SUBDERMICO DE DISPOSITIVO INTRAUTERINO",IF(P100=#REF!,"SALUD MENTAL",IF(P100=#REF!,"PRIMEROS AUXILIOS PSICOLOGICOS",IF(P100=#REF!,"ATENCION A VICTIMAS POR CONFLICTO ARMADO",IF(P100=#REF!,"MANIPULACION DE ALIMENTOS Y BPM",IF(P100=#REF!,"ATENCION A PERSONAS CON DISCAPACIDAD",IF(P100=#REF!,"CUIDADO INTEGRAL DEL PACIENTE ADULTO",IF(P100=#REF!,"MANEJO DEFENSIVO",IF(P100=#REF!,"SOPORTE CARDIOVASCULAR AVANZADO NEONATAL",IF(P100=#REF!,"SEGURIDAD DEL PACIENTE",IF(P100=#REF!,"MANEJO DE RESIDUOS HOSPITALARIOS"))))))))))))))))))))))))))))))))))))</f>
        <v>#REF!</v>
      </c>
      <c r="W100" s="25" t="str">
        <f t="shared" si="11"/>
        <v>Jhosvan Danilo Torres Lopez</v>
      </c>
      <c r="X100" s="25" t="str">
        <f t="shared" si="12"/>
        <v>Jhosvan Danilo Torres Lopez</v>
      </c>
      <c r="Y100" s="69" t="str">
        <f t="shared" si="13"/>
        <v>Jhosvan Danilo Torres Lopez-1233188825-ADMON DE MEDICAMENTOS</v>
      </c>
    </row>
    <row r="101" spans="1:25" s="76" customFormat="1" x14ac:dyDescent="0.2">
      <c r="A101" s="19">
        <v>100</v>
      </c>
      <c r="B101" s="20">
        <v>1004214249</v>
      </c>
      <c r="C101" s="20" t="s">
        <v>296</v>
      </c>
      <c r="D101" s="20" t="s">
        <v>256</v>
      </c>
      <c r="E101" s="20" t="s">
        <v>257</v>
      </c>
      <c r="F101" s="20" t="s">
        <v>258</v>
      </c>
      <c r="G101" s="20">
        <v>15</v>
      </c>
      <c r="H101" s="20" t="s">
        <v>56</v>
      </c>
      <c r="I101" s="21" t="s">
        <v>47</v>
      </c>
      <c r="J101" s="21"/>
      <c r="K101" s="22">
        <v>45703</v>
      </c>
      <c r="L101" s="23">
        <v>80000</v>
      </c>
      <c r="M101" s="20" t="s">
        <v>61</v>
      </c>
      <c r="N101" s="20" t="s">
        <v>57</v>
      </c>
      <c r="O101" s="20" t="s">
        <v>48</v>
      </c>
      <c r="P101" s="20" t="s">
        <v>19</v>
      </c>
      <c r="Q101" s="21">
        <v>35501</v>
      </c>
      <c r="R101" s="20" t="s">
        <v>85</v>
      </c>
      <c r="S101" s="20" t="s">
        <v>74</v>
      </c>
      <c r="T101" s="20">
        <v>3172423132</v>
      </c>
      <c r="U101" s="24" t="s">
        <v>259</v>
      </c>
      <c r="V101" s="25" t="e">
        <f>IF(P101=#REF!,"DIPLOMADO EN ATENCION PRE-HOSPITALARIA",IF(P101=#REF!,"ACOMPAÑAMIENTO Y MANEJO DEL DUELO",IF(P101=#REF!,"ATENCION A VICTIMAS DE ATAQUE CON AGENTES QUIMICOS ",IF(P101=#REF!,"PRIMEROS AUXILIOS ",IF(P101=#REF!,"DIPLOMADO DE UNIDAD DE CUIDADOS INTENSIVOS (UCI)",IF(P101=#REF!,"MODELO DE ATENCION PARA EVENTOS EMERGENTES EN SALUD MENTAL (CODIGO VERDE)",IF(P101=#REF!,"HUMANIZACION EN EL SERVICIO DE LA SALUD Y BUENAS PRACTICAS EN PACIENTE ",IF(P101=#REF!,"CLINICA DE HERIDAS ",IF(P101=#REF!,"TOMA DE CITOLOGIA CERVICO VAGINAL ",IF(P101=#REF!,"SOPORTE CARDIOVASCULAR AVANZADO (ACLS) ",IF(P101=#REF!,"CAMILLERO ",IF(P101=#REF!,"TOMA DE MUESTRAS Y LABORATORIO ",IF(P101=#REF!,"SOPORTE VITAL BASICO (BLS)",IF(P101=#REF!,"ATENCION A VICTIMAS DE VIOLENCIA SEXUAL ",IF(P101=#REF!,"PROGRAMADO AMPLIADO DE INMUNIZACION (PAI - COVID 19)",IF(P101=#REF!,"ATENCION INTEGRAL EN ENFERMEDADES PREVALENTES EN PRIMERA INFANCIA (AIEPI)",IF(P101=#REF!,"ADMINISTRACION DE MEDICAMENTOS, INYECTOLOGIA  Y CANALIZACION ",IF(P101=#REF!,"OPERADOR DE VEHICULOS DE EMERGENCIA (OVE)",IF(P101=#REF!,"INSTITUCIONES AMIGAS DE LA MUJER Y LA INFANCIA (IAMI)",IF(P101=#REF!,"CUIDADO DEL DONANTE DE ORGANOS",IF(P101=#REF!,"ATENCION A VICTIMAS POR VIOLENCIA DE GENERO",IF(P101=#REF!,"IGUALDAD DE GENERO EN LA SALUD",IF(P101=#REF!,"BRIGADA DE EMERGENCIA",IF(P101=#REF!,"MANEJO DEL DOLOR Y CUIDADOS PALIATIVOS",IF(P101=#REF!,"TOMA DE MUESTRAS Y LABORATORIO POCT",IF(P101=#REF!,"IMPLANTE SUBDERMICO DE DISPOSITIVO INTRAUTERINO",IF(P101=#REF!,"SALUD MENTAL",IF(P101=#REF!,"PRIMEROS AUXILIOS PSICOLOGICOS",IF(P101=#REF!,"ATENCION A VICTIMAS POR CONFLICTO ARMADO",IF(P101=#REF!,"MANIPULACION DE ALIMENTOS Y BPM",IF(P101=#REF!,"ATENCION A PERSONAS CON DISCAPACIDAD",IF(P101=#REF!,"CUIDADO INTEGRAL DEL PACIENTE ADULTO",IF(P101=#REF!,"MANEJO DEFENSIVO",IF(P101=#REF!,"SOPORTE CARDIOVASCULAR AVANZADO NEONATAL",IF(P101=#REF!,"SEGURIDAD DEL PACIENTE",IF(P101=#REF!,"MANEJO DE RESIDUOS HOSPITALARIOS"))))))))))))))))))))))))))))))))))))</f>
        <v>#REF!</v>
      </c>
      <c r="W101" s="25" t="str">
        <f t="shared" si="11"/>
        <v>Juan David   Villota</v>
      </c>
      <c r="X101" s="25" t="str">
        <f t="shared" si="12"/>
        <v>Juan David   Villota</v>
      </c>
      <c r="Y101" s="69" t="str">
        <f t="shared" si="13"/>
        <v>Juan David   Villota-1004214249-BLS</v>
      </c>
    </row>
    <row r="102" spans="1:25" s="76" customFormat="1" x14ac:dyDescent="0.2">
      <c r="A102" s="19">
        <v>101</v>
      </c>
      <c r="B102" s="20">
        <v>1193272978</v>
      </c>
      <c r="C102" s="42" t="s">
        <v>260</v>
      </c>
      <c r="D102" s="42" t="s">
        <v>251</v>
      </c>
      <c r="E102" s="42" t="s">
        <v>261</v>
      </c>
      <c r="F102" s="42" t="s">
        <v>262</v>
      </c>
      <c r="G102" s="42">
        <v>17</v>
      </c>
      <c r="H102" s="20" t="s">
        <v>56</v>
      </c>
      <c r="I102" s="43" t="s">
        <v>72</v>
      </c>
      <c r="J102" s="43" t="s">
        <v>91</v>
      </c>
      <c r="K102" s="22">
        <v>45705</v>
      </c>
      <c r="L102" s="23">
        <v>30000</v>
      </c>
      <c r="M102" s="20" t="s">
        <v>61</v>
      </c>
      <c r="N102" s="20" t="s">
        <v>57</v>
      </c>
      <c r="O102" s="20" t="s">
        <v>120</v>
      </c>
      <c r="P102" s="42" t="s">
        <v>19</v>
      </c>
      <c r="Q102" s="42"/>
      <c r="R102" s="42" t="s">
        <v>49</v>
      </c>
      <c r="S102" s="42" t="s">
        <v>74</v>
      </c>
      <c r="T102" s="44">
        <v>3044589859</v>
      </c>
      <c r="U102" s="20" t="s">
        <v>263</v>
      </c>
      <c r="V102" s="25" t="e">
        <f>IF(P102=#REF!,"DIPLOMADO EN ATENCION PRE-HOSPITALARIA",IF(P102=#REF!,"ACOMPAÑAMIENTO Y MANEJO DEL DUELO",IF(P102=#REF!,"ATENCION A VICTIMAS DE ATAQUE CON AGENTES QUIMICOS ",IF(P102=#REF!,"PRIMEROS AUXILIOS ",IF(P102=#REF!,"DIPLOMADO DE UNIDAD DE CUIDADOS INTENSIVOS (UCI)",IF(P102=#REF!,"MODELO DE ATENCION PARA EVENTOS EMERGENTES EN SALUD MENTAL (CODIGO VERDE)",IF(P102=#REF!,"HUMANIZACION EN EL SERVICIO DE LA SALUD Y BUENAS PRACTICAS EN PACIENTE ",IF(P102=#REF!,"CLINICA DE HERIDAS ",IF(P102=#REF!,"TOMA DE CITOLOGIA CERVICO VAGINAL ",IF(P102=#REF!,"SOPORTE CARDIOVASCULAR AVANZADO (ACLS) ",IF(P102=#REF!,"CAMILLERO ",IF(P102=#REF!,"TOMA DE MUESTRAS Y LABORATORIO ",IF(P102=#REF!,"SOPORTE VITAL BASICO (BLS)",IF(P102=#REF!,"ATENCION A VICTIMAS DE VIOLENCIA SEXUAL ",IF(P102=#REF!,"PROGRAMADO AMPLIADO DE INMUNIZACION (PAI - COVID 19)",IF(P102=#REF!,"ATENCION INTEGRAL EN ENFERMEDADES PREVALENTES EN PRIMERA INFANCIA (AIEPI)",IF(P102=#REF!,"ADMINISTRACION DE MEDICAMENTOS, INYECTOLOGIA  Y CANALIZACION ",IF(P102=#REF!,"OPERADOR DE VEHICULOS DE EMERGENCIA (OVE)",IF(P102=#REF!,"INSTITUCIONES AMIGAS DE LA MUJER Y LA INFANCIA (IAMI)",IF(P102=#REF!,"CUIDADO DEL DONANTE DE ORGANOS",IF(P102=#REF!,"ATENCION A VICTIMAS POR VIOLENCIA DE GENERO",IF(P102=#REF!,"IGUALDAD DE GENERO EN LA SALUD",IF(P102=#REF!,"BRIGADA DE EMERGENCIA",IF(P102=#REF!,"MANEJO DEL DOLOR Y CUIDADOS PALIATIVOS",IF(P102=#REF!,"TOMA DE MUESTRAS Y LABORATORIO POCT",IF(P102=#REF!,"IMPLANTE SUBDERMICO DE DISPOSITIVO INTRAUTERINO",IF(P102=#REF!,"SALUD MENTAL",IF(P102=#REF!,"PRIMEROS AUXILIOS PSICOLOGICOS",IF(P102=#REF!,"ATENCION A VICTIMAS POR CONFLICTO ARMADO",IF(P102=#REF!,"MANIPULACION DE ALIMENTOS Y BPM",IF(P102=#REF!,"ATENCION A PERSONAS CON DISCAPACIDAD",IF(P102=#REF!,"CUIDADO INTEGRAL DEL PACIENTE ADULTO",IF(P102=#REF!,"MANEJO DEFENSIVO",IF(P102=#REF!,"SOPORTE CARDIOVASCULAR AVANZADO NEONATAL",IF(P102=#REF!,"SEGURIDAD DEL PACIENTE",IF(P102=#REF!,"MANEJO DE RESIDUOS HOSPITALARIOS"))))))))))))))))))))))))))))))))))))</f>
        <v>#REF!</v>
      </c>
      <c r="W102" s="25" t="str">
        <f t="shared" si="11"/>
        <v>Camila Andrea Ramirez Lopez</v>
      </c>
      <c r="X102" s="25" t="str">
        <f t="shared" si="12"/>
        <v>Camila Andrea Ramirez Lopez</v>
      </c>
      <c r="Y102" s="69" t="str">
        <f t="shared" si="13"/>
        <v>Camila Andrea Ramirez Lopez-1193272978-BLS</v>
      </c>
    </row>
    <row r="103" spans="1:25" s="76" customFormat="1" x14ac:dyDescent="0.2">
      <c r="A103" s="19">
        <v>102</v>
      </c>
      <c r="B103" s="20">
        <v>1193272978</v>
      </c>
      <c r="C103" s="42" t="s">
        <v>260</v>
      </c>
      <c r="D103" s="42" t="s">
        <v>251</v>
      </c>
      <c r="E103" s="42" t="s">
        <v>261</v>
      </c>
      <c r="F103" s="42" t="s">
        <v>262</v>
      </c>
      <c r="G103" s="42">
        <v>13</v>
      </c>
      <c r="H103" s="20" t="s">
        <v>56</v>
      </c>
      <c r="I103" s="43" t="s">
        <v>72</v>
      </c>
      <c r="J103" s="43" t="s">
        <v>91</v>
      </c>
      <c r="K103" s="22">
        <v>45705</v>
      </c>
      <c r="L103" s="23">
        <v>30000</v>
      </c>
      <c r="M103" s="20" t="s">
        <v>61</v>
      </c>
      <c r="N103" s="20" t="s">
        <v>57</v>
      </c>
      <c r="O103" s="20" t="s">
        <v>120</v>
      </c>
      <c r="P103" s="42" t="s">
        <v>21</v>
      </c>
      <c r="Q103" s="42"/>
      <c r="R103" s="42" t="s">
        <v>49</v>
      </c>
      <c r="S103" s="42" t="s">
        <v>74</v>
      </c>
      <c r="T103" s="44">
        <v>3044589859</v>
      </c>
      <c r="U103" s="20" t="s">
        <v>263</v>
      </c>
      <c r="V103" s="25" t="e">
        <f>IF(P103=#REF!,"DIPLOMADO EN ATENCION PRE-HOSPITALARIA",IF(P103=#REF!,"ACOMPAÑAMIENTO Y MANEJO DEL DUELO",IF(P103=#REF!,"ATENCION A VICTIMAS DE ATAQUE CON AGENTES QUIMICOS ",IF(P103=#REF!,"PRIMEROS AUXILIOS ",IF(P103=#REF!,"DIPLOMADO DE UNIDAD DE CUIDADOS INTENSIVOS (UCI)",IF(P103=#REF!,"MODELO DE ATENCION PARA EVENTOS EMERGENTES EN SALUD MENTAL (CODIGO VERDE)",IF(P103=#REF!,"HUMANIZACION EN EL SERVICIO DE LA SALUD Y BUENAS PRACTICAS EN PACIENTE ",IF(P103=#REF!,"CLINICA DE HERIDAS ",IF(P103=#REF!,"TOMA DE CITOLOGIA CERVICO VAGINAL ",IF(P103=#REF!,"SOPORTE CARDIOVASCULAR AVANZADO (ACLS) ",IF(P103=#REF!,"CAMILLERO ",IF(P103=#REF!,"TOMA DE MUESTRAS Y LABORATORIO ",IF(P103=#REF!,"SOPORTE VITAL BASICO (BLS)",IF(P103=#REF!,"ATENCION A VICTIMAS DE VIOLENCIA SEXUAL ",IF(P103=#REF!,"PROGRAMADO AMPLIADO DE INMUNIZACION (PAI - COVID 19)",IF(P103=#REF!,"ATENCION INTEGRAL EN ENFERMEDADES PREVALENTES EN PRIMERA INFANCIA (AIEPI)",IF(P103=#REF!,"ADMINISTRACION DE MEDICAMENTOS, INYECTOLOGIA  Y CANALIZACION ",IF(P103=#REF!,"OPERADOR DE VEHICULOS DE EMERGENCIA (OVE)",IF(P103=#REF!,"INSTITUCIONES AMIGAS DE LA MUJER Y LA INFANCIA (IAMI)",IF(P103=#REF!,"CUIDADO DEL DONANTE DE ORGANOS",IF(P103=#REF!,"ATENCION A VICTIMAS POR VIOLENCIA DE GENERO",IF(P103=#REF!,"IGUALDAD DE GENERO EN LA SALUD",IF(P103=#REF!,"BRIGADA DE EMERGENCIA",IF(P103=#REF!,"MANEJO DEL DOLOR Y CUIDADOS PALIATIVOS",IF(P103=#REF!,"TOMA DE MUESTRAS Y LABORATORIO POCT",IF(P103=#REF!,"IMPLANTE SUBDERMICO DE DISPOSITIVO INTRAUTERINO",IF(P103=#REF!,"SALUD MENTAL",IF(P103=#REF!,"PRIMEROS AUXILIOS PSICOLOGICOS",IF(P103=#REF!,"ATENCION A VICTIMAS POR CONFLICTO ARMADO",IF(P103=#REF!,"MANIPULACION DE ALIMENTOS Y BPM",IF(P103=#REF!,"ATENCION A PERSONAS CON DISCAPACIDAD",IF(P103=#REF!,"CUIDADO INTEGRAL DEL PACIENTE ADULTO",IF(P103=#REF!,"MANEJO DEFENSIVO",IF(P103=#REF!,"SOPORTE CARDIOVASCULAR AVANZADO NEONATAL",IF(P103=#REF!,"SEGURIDAD DEL PACIENTE",IF(P103=#REF!,"MANEJO DE RESIDUOS HOSPITALARIOS"))))))))))))))))))))))))))))))))))))</f>
        <v>#REF!</v>
      </c>
      <c r="W103" s="25" t="str">
        <f t="shared" si="11"/>
        <v>Camila Andrea Ramirez Lopez</v>
      </c>
      <c r="X103" s="25" t="str">
        <f t="shared" si="12"/>
        <v>Camila Andrea Ramirez Lopez</v>
      </c>
      <c r="Y103" s="69" t="str">
        <f t="shared" si="13"/>
        <v>Camila Andrea Ramirez Lopez-1193272978-QUIMICOS</v>
      </c>
    </row>
    <row r="104" spans="1:25" s="76" customFormat="1" x14ac:dyDescent="0.2">
      <c r="A104" s="19">
        <v>103</v>
      </c>
      <c r="B104" s="20">
        <v>1193272978</v>
      </c>
      <c r="C104" s="42" t="s">
        <v>260</v>
      </c>
      <c r="D104" s="42" t="s">
        <v>251</v>
      </c>
      <c r="E104" s="42" t="s">
        <v>261</v>
      </c>
      <c r="F104" s="42" t="s">
        <v>262</v>
      </c>
      <c r="G104" s="42">
        <v>14</v>
      </c>
      <c r="H104" s="20" t="s">
        <v>56</v>
      </c>
      <c r="I104" s="43" t="s">
        <v>72</v>
      </c>
      <c r="J104" s="43" t="s">
        <v>91</v>
      </c>
      <c r="K104" s="22">
        <v>45705</v>
      </c>
      <c r="L104" s="23">
        <v>30000</v>
      </c>
      <c r="M104" s="20" t="s">
        <v>61</v>
      </c>
      <c r="N104" s="20" t="s">
        <v>57</v>
      </c>
      <c r="O104" s="20" t="s">
        <v>120</v>
      </c>
      <c r="P104" s="42" t="s">
        <v>26</v>
      </c>
      <c r="Q104" s="42"/>
      <c r="R104" s="42" t="s">
        <v>49</v>
      </c>
      <c r="S104" s="42" t="s">
        <v>74</v>
      </c>
      <c r="T104" s="44">
        <v>3044589859</v>
      </c>
      <c r="U104" s="20" t="s">
        <v>263</v>
      </c>
      <c r="V104" s="25" t="e">
        <f>IF(P104=#REF!,"DIPLOMADO EN ATENCION PRE-HOSPITALARIA",IF(P104=#REF!,"ACOMPAÑAMIENTO Y MANEJO DEL DUELO",IF(P104=#REF!,"ATENCION A VICTIMAS DE ATAQUE CON AGENTES QUIMICOS ",IF(P104=#REF!,"PRIMEROS AUXILIOS ",IF(P104=#REF!,"DIPLOMADO DE UNIDAD DE CUIDADOS INTENSIVOS (UCI)",IF(P104=#REF!,"MODELO DE ATENCION PARA EVENTOS EMERGENTES EN SALUD MENTAL (CODIGO VERDE)",IF(P104=#REF!,"HUMANIZACION EN EL SERVICIO DE LA SALUD Y BUENAS PRACTICAS EN PACIENTE ",IF(P104=#REF!,"CLINICA DE HERIDAS ",IF(P104=#REF!,"TOMA DE CITOLOGIA CERVICO VAGINAL ",IF(P104=#REF!,"SOPORTE CARDIOVASCULAR AVANZADO (ACLS) ",IF(P104=#REF!,"CAMILLERO ",IF(P104=#REF!,"TOMA DE MUESTRAS Y LABORATORIO ",IF(P104=#REF!,"SOPORTE VITAL BASICO (BLS)",IF(P104=#REF!,"ATENCION A VICTIMAS DE VIOLENCIA SEXUAL ",IF(P104=#REF!,"PROGRAMADO AMPLIADO DE INMUNIZACION (PAI - COVID 19)",IF(P104=#REF!,"ATENCION INTEGRAL EN ENFERMEDADES PREVALENTES EN PRIMERA INFANCIA (AIEPI)",IF(P104=#REF!,"ADMINISTRACION DE MEDICAMENTOS, INYECTOLOGIA  Y CANALIZACION ",IF(P104=#REF!,"OPERADOR DE VEHICULOS DE EMERGENCIA (OVE)",IF(P104=#REF!,"INSTITUCIONES AMIGAS DE LA MUJER Y LA INFANCIA (IAMI)",IF(P104=#REF!,"CUIDADO DEL DONANTE DE ORGANOS",IF(P104=#REF!,"ATENCION A VICTIMAS POR VIOLENCIA DE GENERO",IF(P104=#REF!,"IGUALDAD DE GENERO EN LA SALUD",IF(P104=#REF!,"BRIGADA DE EMERGENCIA",IF(P104=#REF!,"MANEJO DEL DOLOR Y CUIDADOS PALIATIVOS",IF(P104=#REF!,"TOMA DE MUESTRAS Y LABORATORIO POCT",IF(P104=#REF!,"IMPLANTE SUBDERMICO DE DISPOSITIVO INTRAUTERINO",IF(P104=#REF!,"SALUD MENTAL",IF(P104=#REF!,"PRIMEROS AUXILIOS PSICOLOGICOS",IF(P104=#REF!,"ATENCION A VICTIMAS POR CONFLICTO ARMADO",IF(P104=#REF!,"MANIPULACION DE ALIMENTOS Y BPM",IF(P104=#REF!,"ATENCION A PERSONAS CON DISCAPACIDAD",IF(P104=#REF!,"CUIDADO INTEGRAL DEL PACIENTE ADULTO",IF(P104=#REF!,"MANEJO DEFENSIVO",IF(P104=#REF!,"SOPORTE CARDIOVASCULAR AVANZADO NEONATAL",IF(P104=#REF!,"SEGURIDAD DEL PACIENTE",IF(P104=#REF!,"MANEJO DE RESIDUOS HOSPITALARIOS"))))))))))))))))))))))))))))))))))))</f>
        <v>#REF!</v>
      </c>
      <c r="W104" s="25" t="str">
        <f t="shared" si="11"/>
        <v>Camila Andrea Ramirez Lopez</v>
      </c>
      <c r="X104" s="25" t="str">
        <f t="shared" si="12"/>
        <v>Camila Andrea Ramirez Lopez</v>
      </c>
      <c r="Y104" s="69" t="str">
        <f t="shared" si="13"/>
        <v>Camila Andrea Ramirez Lopez-1193272978-TOMA DE MUESTRAS</v>
      </c>
    </row>
    <row r="105" spans="1:25" s="76" customFormat="1" x14ac:dyDescent="0.2">
      <c r="A105" s="19">
        <v>104</v>
      </c>
      <c r="B105" s="20">
        <v>1080044892</v>
      </c>
      <c r="C105" s="42" t="s">
        <v>264</v>
      </c>
      <c r="D105" s="42" t="s">
        <v>81</v>
      </c>
      <c r="E105" s="42" t="s">
        <v>265</v>
      </c>
      <c r="F105" s="42" t="s">
        <v>168</v>
      </c>
      <c r="G105" s="42">
        <v>17</v>
      </c>
      <c r="H105" s="20" t="s">
        <v>56</v>
      </c>
      <c r="I105" s="43" t="s">
        <v>72</v>
      </c>
      <c r="J105" s="43" t="s">
        <v>91</v>
      </c>
      <c r="K105" s="22">
        <v>45705</v>
      </c>
      <c r="L105" s="23">
        <v>25000</v>
      </c>
      <c r="M105" s="20" t="s">
        <v>61</v>
      </c>
      <c r="N105" s="20" t="s">
        <v>57</v>
      </c>
      <c r="O105" s="20" t="s">
        <v>120</v>
      </c>
      <c r="P105" s="42" t="s">
        <v>34</v>
      </c>
      <c r="Q105" s="42"/>
      <c r="R105" s="42" t="s">
        <v>85</v>
      </c>
      <c r="S105" s="42"/>
      <c r="T105" s="44"/>
      <c r="U105" s="20"/>
      <c r="V105" s="25" t="e">
        <f>IF(P105=#REF!,"DIPLOMADO EN ATENCION PRE-HOSPITALARIA",IF(P105=#REF!,"ACOMPAÑAMIENTO Y MANEJO DEL DUELO",IF(P105=#REF!,"ATENCION A VICTIMAS DE ATAQUE CON AGENTES QUIMICOS ",IF(P105=#REF!,"PRIMEROS AUXILIOS ",IF(P105=#REF!,"DIPLOMADO DE UNIDAD DE CUIDADOS INTENSIVOS (UCI)",IF(P105=#REF!,"MODELO DE ATENCION PARA EVENTOS EMERGENTES EN SALUD MENTAL (CODIGO VERDE)",IF(P105=#REF!,"HUMANIZACION EN EL SERVICIO DE LA SALUD Y BUENAS PRACTICAS EN PACIENTE ",IF(P105=#REF!,"CLINICA DE HERIDAS ",IF(P105=#REF!,"TOMA DE CITOLOGIA CERVICO VAGINAL ",IF(P105=#REF!,"SOPORTE CARDIOVASCULAR AVANZADO (ACLS) ",IF(P105=#REF!,"CAMILLERO ",IF(P105=#REF!,"TOMA DE MUESTRAS Y LABORATORIO ",IF(P105=#REF!,"SOPORTE VITAL BASICO (BLS)",IF(P105=#REF!,"ATENCION A VICTIMAS DE VIOLENCIA SEXUAL ",IF(P105=#REF!,"PROGRAMADO AMPLIADO DE INMUNIZACION (PAI - COVID 19)",IF(P105=#REF!,"ATENCION INTEGRAL EN ENFERMEDADES PREVALENTES EN PRIMERA INFANCIA (AIEPI)",IF(P105=#REF!,"ADMINISTRACION DE MEDICAMENTOS, INYECTOLOGIA  Y CANALIZACION ",IF(P105=#REF!,"OPERADOR DE VEHICULOS DE EMERGENCIA (OVE)",IF(P105=#REF!,"INSTITUCIONES AMIGAS DE LA MUJER Y LA INFANCIA (IAMI)",IF(P105=#REF!,"CUIDADO DEL DONANTE DE ORGANOS",IF(P105=#REF!,"ATENCION A VICTIMAS POR VIOLENCIA DE GENERO",IF(P105=#REF!,"IGUALDAD DE GENERO EN LA SALUD",IF(P105=#REF!,"BRIGADA DE EMERGENCIA",IF(P105=#REF!,"MANEJO DEL DOLOR Y CUIDADOS PALIATIVOS",IF(P105=#REF!,"TOMA DE MUESTRAS Y LABORATORIO POCT",IF(P105=#REF!,"IMPLANTE SUBDERMICO DE DISPOSITIVO INTRAUTERINO",IF(P105=#REF!,"SALUD MENTAL",IF(P105=#REF!,"PRIMEROS AUXILIOS PSICOLOGICOS",IF(P105=#REF!,"ATENCION A VICTIMAS POR CONFLICTO ARMADO",IF(P105=#REF!,"MANIPULACION DE ALIMENTOS Y BPM",IF(P105=#REF!,"ATENCION A PERSONAS CON DISCAPACIDAD",IF(P105=#REF!,"CUIDADO INTEGRAL DEL PACIENTE ADULTO",IF(P105=#REF!,"MANEJO DEFENSIVO",IF(P105=#REF!,"SOPORTE CARDIOVASCULAR AVANZADO NEONATAL",IF(P105=#REF!,"SEGURIDAD DEL PACIENTE",IF(P105=#REF!,"MANEJO DE RESIDUOS HOSPITALARIOS"))))))))))))))))))))))))))))))))))))</f>
        <v>#REF!</v>
      </c>
      <c r="W105" s="25" t="str">
        <f t="shared" si="11"/>
        <v>Kevin Mauricio Pianda Benavides</v>
      </c>
      <c r="X105" s="25" t="str">
        <f t="shared" si="12"/>
        <v>Kevin Mauricio Pianda Benavides</v>
      </c>
      <c r="Y105" s="69" t="str">
        <f t="shared" si="13"/>
        <v>Kevin Mauricio Pianda Benavides-1080044892-POCT</v>
      </c>
    </row>
    <row r="106" spans="1:25" s="76" customFormat="1" x14ac:dyDescent="0.2">
      <c r="A106" s="28">
        <v>105</v>
      </c>
      <c r="B106" s="42">
        <v>1080044813</v>
      </c>
      <c r="C106" s="42" t="s">
        <v>234</v>
      </c>
      <c r="D106" s="42" t="s">
        <v>266</v>
      </c>
      <c r="E106" s="42" t="s">
        <v>98</v>
      </c>
      <c r="F106" s="42" t="s">
        <v>99</v>
      </c>
      <c r="G106" s="42">
        <v>17</v>
      </c>
      <c r="H106" s="20" t="s">
        <v>56</v>
      </c>
      <c r="I106" s="43" t="s">
        <v>72</v>
      </c>
      <c r="J106" s="43" t="s">
        <v>91</v>
      </c>
      <c r="K106" s="22">
        <v>45705</v>
      </c>
      <c r="L106" s="23">
        <v>25000</v>
      </c>
      <c r="M106" s="20" t="s">
        <v>61</v>
      </c>
      <c r="N106" s="20" t="s">
        <v>57</v>
      </c>
      <c r="O106" s="20" t="s">
        <v>120</v>
      </c>
      <c r="P106" s="42" t="s">
        <v>34</v>
      </c>
      <c r="Q106" s="43"/>
      <c r="R106" s="42" t="s">
        <v>49</v>
      </c>
      <c r="S106" s="44"/>
      <c r="T106" s="42"/>
      <c r="U106" s="20"/>
      <c r="V106" s="25" t="e">
        <f>IF(P106=#REF!,"DIPLOMADO EN ATENCION PRE-HOSPITALARIA",IF(P106=#REF!,"ACOMPAÑAMIENTO Y MANEJO DEL DUELO",IF(P106=#REF!,"ATENCION A VICTIMAS DE ATAQUE CON AGENTES QUIMICOS ",IF(P106=#REF!,"PRIMEROS AUXILIOS ",IF(P106=#REF!,"DIPLOMADO DE UNIDAD DE CUIDADOS INTENSIVOS (UCI)",IF(P106=#REF!,"MODELO DE ATENCION PARA EVENTOS EMERGENTES EN SALUD MENTAL (CODIGO VERDE)",IF(P106=#REF!,"HUMANIZACION EN EL SERVICIO DE LA SALUD Y BUENAS PRACTICAS EN PACIENTE ",IF(P106=#REF!,"CLINICA DE HERIDAS ",IF(P106=#REF!,"TOMA DE CITOLOGIA CERVICO VAGINAL ",IF(P106=#REF!,"SOPORTE CARDIOVASCULAR AVANZADO (ACLS) ",IF(P106=#REF!,"CAMILLERO ",IF(P106=#REF!,"TOMA DE MUESTRAS Y LABORATORIO ",IF(P106=#REF!,"SOPORTE VITAL BASICO (BLS)",IF(P106=#REF!,"ATENCION A VICTIMAS DE VIOLENCIA SEXUAL ",IF(P106=#REF!,"PROGRAMADO AMPLIADO DE INMUNIZACION (PAI - COVID 19)",IF(P106=#REF!,"ATENCION INTEGRAL EN ENFERMEDADES PREVALENTES EN PRIMERA INFANCIA (AIEPI)",IF(P106=#REF!,"ADMINISTRACION DE MEDICAMENTOS, INYECTOLOGIA  Y CANALIZACION ",IF(P106=#REF!,"OPERADOR DE VEHICULOS DE EMERGENCIA (OVE)",IF(P106=#REF!,"INSTITUCIONES AMIGAS DE LA MUJER Y LA INFANCIA (IAMI)",IF(P106=#REF!,"CUIDADO DEL DONANTE DE ORGANOS",IF(P106=#REF!,"ATENCION A VICTIMAS POR VIOLENCIA DE GENERO",IF(P106=#REF!,"IGUALDAD DE GENERO EN LA SALUD",IF(P106=#REF!,"BRIGADA DE EMERGENCIA",IF(P106=#REF!,"MANEJO DEL DOLOR Y CUIDADOS PALIATIVOS",IF(P106=#REF!,"TOMA DE MUESTRAS Y LABORATORIO POCT",IF(P106=#REF!,"IMPLANTE SUBDERMICO DE DISPOSITIVO INTRAUTERINO",IF(P106=#REF!,"SALUD MENTAL",IF(P106=#REF!,"PRIMEROS AUXILIOS PSICOLOGICOS",IF(P106=#REF!,"ATENCION A VICTIMAS POR CONFLICTO ARMADO",IF(P106=#REF!,"MANIPULACION DE ALIMENTOS Y BPM",IF(P106=#REF!,"ATENCION A PERSONAS CON DISCAPACIDAD",IF(P106=#REF!,"CUIDADO INTEGRAL DEL PACIENTE ADULTO",IF(P106=#REF!,"MANEJO DEFENSIVO",IF(P106=#REF!,"SOPORTE CARDIOVASCULAR AVANZADO NEONATAL",IF(P106=#REF!,"SEGURIDAD DEL PACIENTE",IF(P106=#REF!,"MANEJO DE RESIDUOS HOSPITALARIOS"))))))))))))))))))))))))))))))))))))</f>
        <v>#REF!</v>
      </c>
      <c r="W106" s="25" t="str">
        <f t="shared" si="11"/>
        <v>Luisa Fernanda Rosero Chinchajoa</v>
      </c>
      <c r="X106" s="25" t="str">
        <f t="shared" si="12"/>
        <v>Luisa Fernanda Rosero Chinchajoa</v>
      </c>
      <c r="Y106" s="69" t="str">
        <f t="shared" si="13"/>
        <v>Luisa Fernanda Rosero Chinchajoa-1080044813-POCT</v>
      </c>
    </row>
    <row r="107" spans="1:25" s="76" customFormat="1" x14ac:dyDescent="0.2">
      <c r="A107" s="19">
        <v>106</v>
      </c>
      <c r="B107" s="42">
        <v>1085280319</v>
      </c>
      <c r="C107" s="42" t="s">
        <v>267</v>
      </c>
      <c r="D107" s="42" t="s">
        <v>268</v>
      </c>
      <c r="E107" s="42" t="s">
        <v>269</v>
      </c>
      <c r="F107" s="42" t="s">
        <v>270</v>
      </c>
      <c r="G107" s="42">
        <v>17</v>
      </c>
      <c r="H107" s="20" t="s">
        <v>56</v>
      </c>
      <c r="I107" s="43" t="s">
        <v>72</v>
      </c>
      <c r="J107" s="43" t="s">
        <v>88</v>
      </c>
      <c r="K107" s="45">
        <v>45705</v>
      </c>
      <c r="L107" s="46">
        <v>35000</v>
      </c>
      <c r="M107" s="42" t="s">
        <v>61</v>
      </c>
      <c r="N107" s="20" t="s">
        <v>57</v>
      </c>
      <c r="O107" s="20" t="s">
        <v>48</v>
      </c>
      <c r="P107" s="42" t="s">
        <v>19</v>
      </c>
      <c r="Q107" s="43">
        <v>32940</v>
      </c>
      <c r="R107" s="42" t="s">
        <v>85</v>
      </c>
      <c r="S107" s="44" t="s">
        <v>74</v>
      </c>
      <c r="T107" s="42">
        <v>3146330423</v>
      </c>
      <c r="U107" s="20" t="s">
        <v>271</v>
      </c>
      <c r="V107" s="25" t="e">
        <f>IF(P107=#REF!,"DIPLOMADO EN ATENCION PRE-HOSPITALARIA",IF(P107=#REF!,"ACOMPAÑAMIENTO Y MANEJO DEL DUELO",IF(P107=#REF!,"ATENCION A VICTIMAS DE ATAQUE CON AGENTES QUIMICOS ",IF(P107=#REF!,"PRIMEROS AUXILIOS ",IF(P107=#REF!,"DIPLOMADO DE UNIDAD DE CUIDADOS INTENSIVOS (UCI)",IF(P107=#REF!,"MODELO DE ATENCION PARA EVENTOS EMERGENTES EN SALUD MENTAL (CODIGO VERDE)",IF(P107=#REF!,"HUMANIZACION EN EL SERVICIO DE LA SALUD Y BUENAS PRACTICAS EN PACIENTE ",IF(P107=#REF!,"CLINICA DE HERIDAS ",IF(P107=#REF!,"TOMA DE CITOLOGIA CERVICO VAGINAL ",IF(P107=#REF!,"SOPORTE CARDIOVASCULAR AVANZADO (ACLS) ",IF(P107=#REF!,"CAMILLERO ",IF(P107=#REF!,"TOMA DE MUESTRAS Y LABORATORIO ",IF(P107=#REF!,"SOPORTE VITAL BASICO (BLS)",IF(P107=#REF!,"ATENCION A VICTIMAS DE VIOLENCIA SEXUAL ",IF(P107=#REF!,"PROGRAMADO AMPLIADO DE INMUNIZACION (PAI - COVID 19)",IF(P107=#REF!,"ATENCION INTEGRAL EN ENFERMEDADES PREVALENTES EN PRIMERA INFANCIA (AIEPI)",IF(P107=#REF!,"ADMINISTRACION DE MEDICAMENTOS, INYECTOLOGIA  Y CANALIZACION ",IF(P107=#REF!,"OPERADOR DE VEHICULOS DE EMERGENCIA (OVE)",IF(P107=#REF!,"INSTITUCIONES AMIGAS DE LA MUJER Y LA INFANCIA (IAMI)",IF(P107=#REF!,"CUIDADO DEL DONANTE DE ORGANOS",IF(P107=#REF!,"ATENCION A VICTIMAS POR VIOLENCIA DE GENERO",IF(P107=#REF!,"IGUALDAD DE GENERO EN LA SALUD",IF(P107=#REF!,"BRIGADA DE EMERGENCIA",IF(P107=#REF!,"MANEJO DEL DOLOR Y CUIDADOS PALIATIVOS",IF(P107=#REF!,"TOMA DE MUESTRAS Y LABORATORIO POCT",IF(P107=#REF!,"IMPLANTE SUBDERMICO DE DISPOSITIVO INTRAUTERINO",IF(P107=#REF!,"SALUD MENTAL",IF(P107=#REF!,"PRIMEROS AUXILIOS PSICOLOGICOS",IF(P107=#REF!,"ATENCION A VICTIMAS POR CONFLICTO ARMADO",IF(P107=#REF!,"MANIPULACION DE ALIMENTOS Y BPM",IF(P107=#REF!,"ATENCION A PERSONAS CON DISCAPACIDAD",IF(P107=#REF!,"CUIDADO INTEGRAL DEL PACIENTE ADULTO",IF(P107=#REF!,"MANEJO DEFENSIVO",IF(P107=#REF!,"SOPORTE CARDIOVASCULAR AVANZADO NEONATAL",IF(P107=#REF!,"SEGURIDAD DEL PACIENTE",IF(P107=#REF!,"MANEJO DE RESIDUOS HOSPITALARIOS"))))))))))))))))))))))))))))))))))))</f>
        <v>#REF!</v>
      </c>
      <c r="W107" s="25" t="str">
        <f t="shared" si="11"/>
        <v>Yeimi Olivo Pusil Manchabajoy</v>
      </c>
      <c r="X107" s="25" t="str">
        <f t="shared" si="12"/>
        <v>Yeimi Olivo Pusil Manchabajoy</v>
      </c>
      <c r="Y107" s="69" t="str">
        <f t="shared" si="13"/>
        <v>Yeimi Olivo Pusil Manchabajoy-1085280319-BLS</v>
      </c>
    </row>
    <row r="108" spans="1:25" s="76" customFormat="1" x14ac:dyDescent="0.2">
      <c r="A108" s="19">
        <v>107</v>
      </c>
      <c r="B108" s="42">
        <v>1085280319</v>
      </c>
      <c r="C108" s="42" t="s">
        <v>267</v>
      </c>
      <c r="D108" s="42" t="s">
        <v>268</v>
      </c>
      <c r="E108" s="42" t="s">
        <v>269</v>
      </c>
      <c r="F108" s="42" t="s">
        <v>270</v>
      </c>
      <c r="G108" s="42">
        <v>17</v>
      </c>
      <c r="H108" s="20" t="s">
        <v>56</v>
      </c>
      <c r="I108" s="43" t="s">
        <v>72</v>
      </c>
      <c r="J108" s="43" t="s">
        <v>88</v>
      </c>
      <c r="K108" s="45">
        <v>45705</v>
      </c>
      <c r="L108" s="46">
        <v>35000</v>
      </c>
      <c r="M108" s="42" t="s">
        <v>61</v>
      </c>
      <c r="N108" s="20" t="s">
        <v>57</v>
      </c>
      <c r="O108" s="20" t="s">
        <v>48</v>
      </c>
      <c r="P108" s="42" t="s">
        <v>27</v>
      </c>
      <c r="Q108" s="43">
        <v>32940</v>
      </c>
      <c r="R108" s="42" t="s">
        <v>85</v>
      </c>
      <c r="S108" s="44" t="s">
        <v>74</v>
      </c>
      <c r="T108" s="42">
        <v>3146330423</v>
      </c>
      <c r="U108" s="20" t="s">
        <v>271</v>
      </c>
      <c r="V108" s="25" t="e">
        <f>IF(P108=#REF!,"DIPLOMADO EN ATENCION PRE-HOSPITALARIA",IF(P108=#REF!,"ACOMPAÑAMIENTO Y MANEJO DEL DUELO",IF(P108=#REF!,"ATENCION A VICTIMAS DE ATAQUE CON AGENTES QUIMICOS ",IF(P108=#REF!,"PRIMEROS AUXILIOS ",IF(P108=#REF!,"DIPLOMADO DE UNIDAD DE CUIDADOS INTENSIVOS (UCI)",IF(P108=#REF!,"MODELO DE ATENCION PARA EVENTOS EMERGENTES EN SALUD MENTAL (CODIGO VERDE)",IF(P108=#REF!,"HUMANIZACION EN EL SERVICIO DE LA SALUD Y BUENAS PRACTICAS EN PACIENTE ",IF(P108=#REF!,"CLINICA DE HERIDAS ",IF(P108=#REF!,"TOMA DE CITOLOGIA CERVICO VAGINAL ",IF(P108=#REF!,"SOPORTE CARDIOVASCULAR AVANZADO (ACLS) ",IF(P108=#REF!,"CAMILLERO ",IF(P108=#REF!,"TOMA DE MUESTRAS Y LABORATORIO ",IF(P108=#REF!,"SOPORTE VITAL BASICO (BLS)",IF(P108=#REF!,"ATENCION A VICTIMAS DE VIOLENCIA SEXUAL ",IF(P108=#REF!,"PROGRAMADO AMPLIADO DE INMUNIZACION (PAI - COVID 19)",IF(P108=#REF!,"ATENCION INTEGRAL EN ENFERMEDADES PREVALENTES EN PRIMERA INFANCIA (AIEPI)",IF(P108=#REF!,"ADMINISTRACION DE MEDICAMENTOS, INYECTOLOGIA  Y CANALIZACION ",IF(P108=#REF!,"OPERADOR DE VEHICULOS DE EMERGENCIA (OVE)",IF(P108=#REF!,"INSTITUCIONES AMIGAS DE LA MUJER Y LA INFANCIA (IAMI)",IF(P108=#REF!,"CUIDADO DEL DONANTE DE ORGANOS",IF(P108=#REF!,"ATENCION A VICTIMAS POR VIOLENCIA DE GENERO",IF(P108=#REF!,"IGUALDAD DE GENERO EN LA SALUD",IF(P108=#REF!,"BRIGADA DE EMERGENCIA",IF(P108=#REF!,"MANEJO DEL DOLOR Y CUIDADOS PALIATIVOS",IF(P108=#REF!,"TOMA DE MUESTRAS Y LABORATORIO POCT",IF(P108=#REF!,"IMPLANTE SUBDERMICO DE DISPOSITIVO INTRAUTERINO",IF(P108=#REF!,"SALUD MENTAL",IF(P108=#REF!,"PRIMEROS AUXILIOS PSICOLOGICOS",IF(P108=#REF!,"ATENCION A VICTIMAS POR CONFLICTO ARMADO",IF(P108=#REF!,"MANIPULACION DE ALIMENTOS Y BPM",IF(P108=#REF!,"ATENCION A PERSONAS CON DISCAPACIDAD",IF(P108=#REF!,"CUIDADO INTEGRAL DEL PACIENTE ADULTO",IF(P108=#REF!,"MANEJO DEFENSIVO",IF(P108=#REF!,"SOPORTE CARDIOVASCULAR AVANZADO NEONATAL",IF(P108=#REF!,"SEGURIDAD DEL PACIENTE",IF(P108=#REF!,"MANEJO DE RESIDUOS HOSPITALARIOS"))))))))))))))))))))))))))))))))))))</f>
        <v>#REF!</v>
      </c>
      <c r="W108" s="25" t="str">
        <f t="shared" si="11"/>
        <v>Yeimi Olivo Pusil Manchabajoy</v>
      </c>
      <c r="X108" s="25" t="str">
        <f t="shared" si="12"/>
        <v>Yeimi Olivo Pusil Manchabajoy</v>
      </c>
      <c r="Y108" s="69" t="str">
        <f t="shared" si="13"/>
        <v>Yeimi Olivo Pusil Manchabajoy-1085280319-VIOLENCIA SEXUAL</v>
      </c>
    </row>
    <row r="109" spans="1:25" s="76" customFormat="1" x14ac:dyDescent="0.2">
      <c r="A109" s="19">
        <v>108</v>
      </c>
      <c r="B109" s="42">
        <v>12748177</v>
      </c>
      <c r="C109" s="42" t="s">
        <v>272</v>
      </c>
      <c r="D109" s="42" t="s">
        <v>234</v>
      </c>
      <c r="E109" s="42" t="s">
        <v>176</v>
      </c>
      <c r="F109" s="42" t="s">
        <v>107</v>
      </c>
      <c r="G109" s="42">
        <v>17</v>
      </c>
      <c r="H109" s="20" t="s">
        <v>56</v>
      </c>
      <c r="I109" s="43" t="s">
        <v>72</v>
      </c>
      <c r="J109" s="43" t="s">
        <v>91</v>
      </c>
      <c r="K109" s="22">
        <v>45707</v>
      </c>
      <c r="L109" s="23">
        <v>32666</v>
      </c>
      <c r="M109" s="20" t="s">
        <v>90</v>
      </c>
      <c r="N109" s="20" t="s">
        <v>57</v>
      </c>
      <c r="O109" s="20" t="s">
        <v>73</v>
      </c>
      <c r="P109" s="42" t="s">
        <v>28</v>
      </c>
      <c r="Q109" s="43">
        <v>29009</v>
      </c>
      <c r="R109" s="42" t="s">
        <v>49</v>
      </c>
      <c r="S109" s="42" t="s">
        <v>274</v>
      </c>
      <c r="T109" s="44">
        <v>3102482200</v>
      </c>
      <c r="U109" s="20" t="s">
        <v>273</v>
      </c>
      <c r="V109" s="25" t="e">
        <f>IF(P109=#REF!,"DIPLOMADO EN ATENCION PRE-HOSPITALARIA",IF(P109=#REF!,"ACOMPAÑAMIENTO Y MANEJO DEL DUELO",IF(P109=#REF!,"ATENCION A VICTIMAS DE ATAQUE CON AGENTES QUIMICOS ",IF(P109=#REF!,"PRIMEROS AUXILIOS ",IF(P109=#REF!,"DIPLOMADO DE UNIDAD DE CUIDADOS INTENSIVOS (UCI)",IF(P109=#REF!,"MODELO DE ATENCION PARA EVENTOS EMERGENTES EN SALUD MENTAL (CODIGO VERDE)",IF(P109=#REF!,"HUMANIZACION EN EL SERVICIO DE LA SALUD Y BUENAS PRACTICAS EN PACIENTE ",IF(P109=#REF!,"CLINICA DE HERIDAS ",IF(P109=#REF!,"TOMA DE CITOLOGIA CERVICO VAGINAL ",IF(P109=#REF!,"SOPORTE CARDIOVASCULAR AVANZADO (ACLS) ",IF(P109=#REF!,"CAMILLERO ",IF(P109=#REF!,"TOMA DE MUESTRAS Y LABORATORIO ",IF(P109=#REF!,"SOPORTE VITAL BASICO (BLS)",IF(P109=#REF!,"ATENCION A VICTIMAS DE VIOLENCIA SEXUAL ",IF(P109=#REF!,"PROGRAMADO AMPLIADO DE INMUNIZACION (PAI - COVID 19)",IF(P109=#REF!,"ATENCION INTEGRAL EN ENFERMEDADES PREVALENTES EN PRIMERA INFANCIA (AIEPI)",IF(P109=#REF!,"ADMINISTRACION DE MEDICAMENTOS, INYECTOLOGIA  Y CANALIZACION ",IF(P109=#REF!,"OPERADOR DE VEHICULOS DE EMERGENCIA (OVE)",IF(P109=#REF!,"INSTITUCIONES AMIGAS DE LA MUJER Y LA INFANCIA (IAMI)",IF(P109=#REF!,"CUIDADO DEL DONANTE DE ORGANOS",IF(P109=#REF!,"ATENCION A VICTIMAS POR VIOLENCIA DE GENERO",IF(P109=#REF!,"IGUALDAD DE GENERO EN LA SALUD",IF(P109=#REF!,"BRIGADA DE EMERGENCIA",IF(P109=#REF!,"MANEJO DEL DOLOR Y CUIDADOS PALIATIVOS",IF(P109=#REF!,"TOMA DE MUESTRAS Y LABORATORIO POCT",IF(P109=#REF!,"IMPLANTE SUBDERMICO DE DISPOSITIVO INTRAUTERINO",IF(P109=#REF!,"SALUD MENTAL",IF(P109=#REF!,"PRIMEROS AUXILIOS PSICOLOGICOS",IF(P109=#REF!,"ATENCION A VICTIMAS POR CONFLICTO ARMADO",IF(P109=#REF!,"MANIPULACION DE ALIMENTOS Y BPM",IF(P109=#REF!,"ATENCION A PERSONAS CON DISCAPACIDAD",IF(P109=#REF!,"CUIDADO INTEGRAL DEL PACIENTE ADULTO",IF(P109=#REF!,"MANEJO DEFENSIVO",IF(P109=#REF!,"SOPORTE CARDIOVASCULAR AVANZADO NEONATAL",IF(P109=#REF!,"SEGURIDAD DEL PACIENTE",IF(P109=#REF!,"MANEJO DE RESIDUOS HOSPITALARIOS"))))))))))))))))))))))))))))))))))))</f>
        <v>#REF!</v>
      </c>
      <c r="W109" s="25" t="str">
        <f t="shared" si="11"/>
        <v>Jose Fernando Quenguan Rosero</v>
      </c>
      <c r="X109" s="25" t="str">
        <f t="shared" si="12"/>
        <v>Jose Fernando Quenguan Rosero</v>
      </c>
      <c r="Y109" s="69" t="str">
        <f t="shared" si="13"/>
        <v>Jose Fernando Quenguan Rosero-12748177-AIEPI</v>
      </c>
    </row>
    <row r="110" spans="1:25" s="76" customFormat="1" x14ac:dyDescent="0.2">
      <c r="A110" s="19">
        <v>109</v>
      </c>
      <c r="B110" s="42">
        <v>12748177</v>
      </c>
      <c r="C110" s="42" t="s">
        <v>272</v>
      </c>
      <c r="D110" s="42" t="s">
        <v>234</v>
      </c>
      <c r="E110" s="42" t="s">
        <v>176</v>
      </c>
      <c r="F110" s="42" t="s">
        <v>107</v>
      </c>
      <c r="G110" s="42">
        <v>14</v>
      </c>
      <c r="H110" s="20" t="s">
        <v>56</v>
      </c>
      <c r="I110" s="43" t="s">
        <v>72</v>
      </c>
      <c r="J110" s="43" t="s">
        <v>91</v>
      </c>
      <c r="K110" s="22">
        <v>45707</v>
      </c>
      <c r="L110" s="23">
        <v>32667</v>
      </c>
      <c r="M110" s="20" t="s">
        <v>90</v>
      </c>
      <c r="N110" s="20" t="s">
        <v>57</v>
      </c>
      <c r="O110" s="20" t="s">
        <v>73</v>
      </c>
      <c r="P110" s="20" t="s">
        <v>23</v>
      </c>
      <c r="Q110" s="43">
        <v>29009</v>
      </c>
      <c r="R110" s="42" t="s">
        <v>49</v>
      </c>
      <c r="S110" s="42" t="s">
        <v>274</v>
      </c>
      <c r="T110" s="44">
        <v>3102482200</v>
      </c>
      <c r="U110" s="20" t="s">
        <v>273</v>
      </c>
      <c r="V110" s="25" t="e">
        <f>IF(P110=#REF!,"DIPLOMADO EN ATENCION PRE-HOSPITALARIA",IF(P110=#REF!,"ACOMPAÑAMIENTO Y MANEJO DEL DUELO",IF(P110=#REF!,"ATENCION A VICTIMAS DE ATAQUE CON AGENTES QUIMICOS ",IF(P110=#REF!,"PRIMEROS AUXILIOS ",IF(P110=#REF!,"DIPLOMADO DE UNIDAD DE CUIDADOS INTENSIVOS (UCI)",IF(P110=#REF!,"MODELO DE ATENCION PARA EVENTOS EMERGENTES EN SALUD MENTAL (CODIGO VERDE)",IF(P110=#REF!,"HUMANIZACION EN EL SERVICIO DE LA SALUD Y BUENAS PRACTICAS EN PACIENTE ",IF(P110=#REF!,"CLINICA DE HERIDAS ",IF(P110=#REF!,"TOMA DE CITOLOGIA CERVICO VAGINAL ",IF(P110=#REF!,"SOPORTE CARDIOVASCULAR AVANZADO (ACLS) ",IF(P110=#REF!,"CAMILLERO ",IF(P110=#REF!,"TOMA DE MUESTRAS Y LABORATORIO ",IF(P110=#REF!,"SOPORTE VITAL BASICO (BLS)",IF(P110=#REF!,"ATENCION A VICTIMAS DE VIOLENCIA SEXUAL ",IF(P110=#REF!,"PROGRAMADO AMPLIADO DE INMUNIZACION (PAI - COVID 19)",IF(P110=#REF!,"ATENCION INTEGRAL EN ENFERMEDADES PREVALENTES EN PRIMERA INFANCIA (AIEPI)",IF(P110=#REF!,"ADMINISTRACION DE MEDICAMENTOS, INYECTOLOGIA  Y CANALIZACION ",IF(P110=#REF!,"OPERADOR DE VEHICULOS DE EMERGENCIA (OVE)",IF(P110=#REF!,"INSTITUCIONES AMIGAS DE LA MUJER Y LA INFANCIA (IAMI)",IF(P110=#REF!,"CUIDADO DEL DONANTE DE ORGANOS",IF(P110=#REF!,"ATENCION A VICTIMAS POR VIOLENCIA DE GENERO",IF(P110=#REF!,"IGUALDAD DE GENERO EN LA SALUD",IF(P110=#REF!,"BRIGADA DE EMERGENCIA",IF(P110=#REF!,"MANEJO DEL DOLOR Y CUIDADOS PALIATIVOS",IF(P110=#REF!,"TOMA DE MUESTRAS Y LABORATORIO POCT",IF(P110=#REF!,"IMPLANTE SUBDERMICO DE DISPOSITIVO INTRAUTERINO",IF(P110=#REF!,"SALUD MENTAL",IF(P110=#REF!,"PRIMEROS AUXILIOS PSICOLOGICOS",IF(P110=#REF!,"ATENCION A VICTIMAS POR CONFLICTO ARMADO",IF(P110=#REF!,"MANIPULACION DE ALIMENTOS Y BPM",IF(P110=#REF!,"ATENCION A PERSONAS CON DISCAPACIDAD",IF(P110=#REF!,"CUIDADO INTEGRAL DEL PACIENTE ADULTO",IF(P110=#REF!,"MANEJO DEFENSIVO",IF(P110=#REF!,"SOPORTE CARDIOVASCULAR AVANZADO NEONATAL",IF(P110=#REF!,"SEGURIDAD DEL PACIENTE",IF(P110=#REF!,"MANEJO DE RESIDUOS HOSPITALARIOS"))))))))))))))))))))))))))))))))))))</f>
        <v>#REF!</v>
      </c>
      <c r="W110" s="25" t="str">
        <f t="shared" si="11"/>
        <v>Jose Fernando Quenguan Rosero</v>
      </c>
      <c r="X110" s="25" t="str">
        <f t="shared" si="12"/>
        <v>Jose Fernando Quenguan Rosero</v>
      </c>
      <c r="Y110" s="69" t="str">
        <f t="shared" si="13"/>
        <v>Jose Fernando Quenguan Rosero-12748177-HUMANIZACION</v>
      </c>
    </row>
    <row r="111" spans="1:25" s="76" customFormat="1" x14ac:dyDescent="0.2">
      <c r="A111" s="19">
        <v>110</v>
      </c>
      <c r="B111" s="42">
        <v>12748177</v>
      </c>
      <c r="C111" s="42" t="s">
        <v>272</v>
      </c>
      <c r="D111" s="42" t="s">
        <v>234</v>
      </c>
      <c r="E111" s="42" t="s">
        <v>176</v>
      </c>
      <c r="F111" s="42" t="s">
        <v>107</v>
      </c>
      <c r="G111" s="42">
        <v>15</v>
      </c>
      <c r="H111" s="20" t="s">
        <v>56</v>
      </c>
      <c r="I111" s="43" t="s">
        <v>72</v>
      </c>
      <c r="J111" s="43" t="s">
        <v>91</v>
      </c>
      <c r="K111" s="22">
        <v>45707</v>
      </c>
      <c r="L111" s="23">
        <v>32667</v>
      </c>
      <c r="M111" s="20" t="s">
        <v>90</v>
      </c>
      <c r="N111" s="20" t="s">
        <v>57</v>
      </c>
      <c r="O111" s="20" t="s">
        <v>73</v>
      </c>
      <c r="P111" s="20" t="s">
        <v>35</v>
      </c>
      <c r="Q111" s="43">
        <v>29009</v>
      </c>
      <c r="R111" s="42" t="s">
        <v>49</v>
      </c>
      <c r="S111" s="42" t="s">
        <v>274</v>
      </c>
      <c r="T111" s="44">
        <v>3102482200</v>
      </c>
      <c r="U111" s="20" t="s">
        <v>273</v>
      </c>
      <c r="V111" s="25" t="e">
        <f>IF(P111=#REF!,"DIPLOMADO EN ATENCION PRE-HOSPITALARIA",IF(P111=#REF!,"ACOMPAÑAMIENTO Y MANEJO DEL DUELO",IF(P111=#REF!,"ATENCION A VICTIMAS DE ATAQUE CON AGENTES QUIMICOS ",IF(P111=#REF!,"PRIMEROS AUXILIOS ",IF(P111=#REF!,"DIPLOMADO DE UNIDAD DE CUIDADOS INTENSIVOS (UCI)",IF(P111=#REF!,"MODELO DE ATENCION PARA EVENTOS EMERGENTES EN SALUD MENTAL (CODIGO VERDE)",IF(P111=#REF!,"HUMANIZACION EN EL SERVICIO DE LA SALUD Y BUENAS PRACTICAS EN PACIENTE ",IF(P111=#REF!,"CLINICA DE HERIDAS ",IF(P111=#REF!,"TOMA DE CITOLOGIA CERVICO VAGINAL ",IF(P111=#REF!,"SOPORTE CARDIOVASCULAR AVANZADO (ACLS) ",IF(P111=#REF!,"CAMILLERO ",IF(P111=#REF!,"TOMA DE MUESTRAS Y LABORATORIO ",IF(P111=#REF!,"SOPORTE VITAL BASICO (BLS)",IF(P111=#REF!,"ATENCION A VICTIMAS DE VIOLENCIA SEXUAL ",IF(P111=#REF!,"PROGRAMADO AMPLIADO DE INMUNIZACION (PAI - COVID 19)",IF(P111=#REF!,"ATENCION INTEGRAL EN ENFERMEDADES PREVALENTES EN PRIMERA INFANCIA (AIEPI)",IF(P111=#REF!,"ADMINISTRACION DE MEDICAMENTOS, INYECTOLOGIA  Y CANALIZACION ",IF(P111=#REF!,"OPERADOR DE VEHICULOS DE EMERGENCIA (OVE)",IF(P111=#REF!,"INSTITUCIONES AMIGAS DE LA MUJER Y LA INFANCIA (IAMI)",IF(P111=#REF!,"CUIDADO DEL DONANTE DE ORGANOS",IF(P111=#REF!,"ATENCION A VICTIMAS POR VIOLENCIA DE GENERO",IF(P111=#REF!,"IGUALDAD DE GENERO EN LA SALUD",IF(P111=#REF!,"BRIGADA DE EMERGENCIA",IF(P111=#REF!,"MANEJO DEL DOLOR Y CUIDADOS PALIATIVOS",IF(P111=#REF!,"TOMA DE MUESTRAS Y LABORATORIO POCT",IF(P111=#REF!,"IMPLANTE SUBDERMICO DE DISPOSITIVO INTRAUTERINO",IF(P111=#REF!,"SALUD MENTAL",IF(P111=#REF!,"PRIMEROS AUXILIOS PSICOLOGICOS",IF(P111=#REF!,"ATENCION A VICTIMAS POR CONFLICTO ARMADO",IF(P111=#REF!,"MANIPULACION DE ALIMENTOS Y BPM",IF(P111=#REF!,"ATENCION A PERSONAS CON DISCAPACIDAD",IF(P111=#REF!,"CUIDADO INTEGRAL DEL PACIENTE ADULTO",IF(P111=#REF!,"MANEJO DEFENSIVO",IF(P111=#REF!,"SOPORTE CARDIOVASCULAR AVANZADO NEONATAL",IF(P111=#REF!,"SEGURIDAD DEL PACIENTE",IF(P111=#REF!,"MANEJO DE RESIDUOS HOSPITALARIOS"))))))))))))))))))))))))))))))))))))</f>
        <v>#REF!</v>
      </c>
      <c r="W111" s="25" t="str">
        <f t="shared" si="11"/>
        <v>Jose Fernando Quenguan Rosero</v>
      </c>
      <c r="X111" s="25" t="str">
        <f t="shared" si="12"/>
        <v>Jose Fernando Quenguan Rosero</v>
      </c>
      <c r="Y111" s="69" t="str">
        <f t="shared" si="13"/>
        <v>Jose Fernando Quenguan Rosero-12748177-CONFLICTO ARMADO</v>
      </c>
    </row>
    <row r="112" spans="1:25" x14ac:dyDescent="0.2">
      <c r="A112" s="19">
        <v>111</v>
      </c>
      <c r="B112" s="42">
        <v>1085342883</v>
      </c>
      <c r="C112" s="42" t="s">
        <v>276</v>
      </c>
      <c r="D112" s="42" t="s">
        <v>211</v>
      </c>
      <c r="E112" s="42" t="s">
        <v>277</v>
      </c>
      <c r="F112" s="42"/>
      <c r="G112" s="42">
        <v>17</v>
      </c>
      <c r="H112" s="20" t="s">
        <v>56</v>
      </c>
      <c r="I112" s="43" t="s">
        <v>47</v>
      </c>
      <c r="J112" s="43" t="s">
        <v>279</v>
      </c>
      <c r="K112" s="22">
        <v>45705</v>
      </c>
      <c r="L112" s="23">
        <v>65000</v>
      </c>
      <c r="M112" s="20" t="s">
        <v>141</v>
      </c>
      <c r="N112" s="20" t="s">
        <v>57</v>
      </c>
      <c r="O112" s="20" t="s">
        <v>48</v>
      </c>
      <c r="P112" s="20" t="s">
        <v>27</v>
      </c>
      <c r="Q112" s="21">
        <v>36070</v>
      </c>
      <c r="R112" s="42" t="s">
        <v>49</v>
      </c>
      <c r="S112" s="42" t="s">
        <v>74</v>
      </c>
      <c r="T112" s="44">
        <v>3216685631</v>
      </c>
      <c r="U112" s="20" t="s">
        <v>278</v>
      </c>
      <c r="V112" s="25" t="e">
        <f>IF(P112=#REF!,"DIPLOMADO EN ATENCION PRE-HOSPITALARIA",IF(P112=#REF!,"ACOMPAÑAMIENTO Y MANEJO DEL DUELO",IF(P112=#REF!,"ATENCION A VICTIMAS DE ATAQUE CON AGENTES QUIMICOS ",IF(P112=#REF!,"PRIMEROS AUXILIOS ",IF(P112=#REF!,"DIPLOMADO DE UNIDAD DE CUIDADOS INTENSIVOS (UCI)",IF(P112=#REF!,"MODELO DE ATENCION PARA EVENTOS EMERGENTES EN SALUD MENTAL (CODIGO VERDE)",IF(P112=#REF!,"HUMANIZACION EN EL SERVICIO DE LA SALUD Y BUENAS PRACTICAS EN PACIENTE ",IF(P112=#REF!,"CLINICA DE HERIDAS ",IF(P112=#REF!,"TOMA DE CITOLOGIA CERVICO VAGINAL ",IF(P112=#REF!,"SOPORTE CARDIOVASCULAR AVANZADO (ACLS) ",IF(P112=#REF!,"CAMILLERO ",IF(P112=#REF!,"TOMA DE MUESTRAS Y LABORATORIO ",IF(P112=#REF!,"SOPORTE VITAL BASICO (BLS)",IF(P112=#REF!,"ATENCION A VICTIMAS DE VIOLENCIA SEXUAL ",IF(P112=#REF!,"PROGRAMADO AMPLIADO DE INMUNIZACION (PAI - COVID 19)",IF(P112=#REF!,"ATENCION INTEGRAL EN ENFERMEDADES PREVALENTES EN PRIMERA INFANCIA (AIEPI)",IF(P112=#REF!,"ADMINISTRACION DE MEDICAMENTOS, INYECTOLOGIA  Y CANALIZACION ",IF(P112=#REF!,"OPERADOR DE VEHICULOS DE EMERGENCIA (OVE)",IF(P112=#REF!,"INSTITUCIONES AMIGAS DE LA MUJER Y LA INFANCIA (IAMI)",IF(P112=#REF!,"CUIDADO DEL DONANTE DE ORGANOS",IF(P112=#REF!,"ATENCION A VICTIMAS POR VIOLENCIA DE GENERO",IF(P112=#REF!,"IGUALDAD DE GENERO EN LA SALUD",IF(P112=#REF!,"BRIGADA DE EMERGENCIA",IF(P112=#REF!,"MANEJO DEL DOLOR Y CUIDADOS PALIATIVOS",IF(P112=#REF!,"TOMA DE MUESTRAS Y LABORATORIO POCT",IF(P112=#REF!,"IMPLANTE SUBDERMICO DE DISPOSITIVO INTRAUTERINO",IF(P112=#REF!,"SALUD MENTAL",IF(P112=#REF!,"PRIMEROS AUXILIOS PSICOLOGICOS",IF(P112=#REF!,"ATENCION A VICTIMAS POR CONFLICTO ARMADO",IF(P112=#REF!,"MANIPULACION DE ALIMENTOS Y BPM",IF(P112=#REF!,"ATENCION A PERSONAS CON DISCAPACIDAD",IF(P112=#REF!,"CUIDADO INTEGRAL DEL PACIENTE ADULTO",IF(P112=#REF!,"MANEJO DEFENSIVO",IF(P112=#REF!,"SOPORTE CARDIOVASCULAR AVANZADO NEONATAL",IF(P112=#REF!,"SEGURIDAD DEL PACIENTE",IF(P112=#REF!,"MANEJO DE RESIDUOS HOSPITALARIOS"))))))))))))))))))))))))))))))))))))</f>
        <v>#REF!</v>
      </c>
      <c r="W112" s="25" t="str">
        <f t="shared" si="11"/>
        <v>Jenny  Guancha Diaz</v>
      </c>
      <c r="X112" s="25" t="str">
        <f t="shared" si="12"/>
        <v>Jenny  Guancha Diaz</v>
      </c>
      <c r="Y112" s="69" t="str">
        <f t="shared" si="13"/>
        <v>Jenny  Guancha Diaz-1085342883-VIOLENCIA SEXUAL</v>
      </c>
    </row>
    <row r="113" spans="1:25" x14ac:dyDescent="0.2">
      <c r="A113" s="19">
        <v>112</v>
      </c>
      <c r="B113" s="42">
        <v>1085342883</v>
      </c>
      <c r="C113" s="42" t="s">
        <v>276</v>
      </c>
      <c r="D113" s="42" t="s">
        <v>211</v>
      </c>
      <c r="E113" s="42" t="s">
        <v>277</v>
      </c>
      <c r="F113" s="42"/>
      <c r="G113" s="42">
        <v>14</v>
      </c>
      <c r="H113" s="20" t="s">
        <v>56</v>
      </c>
      <c r="I113" s="43" t="s">
        <v>47</v>
      </c>
      <c r="J113" s="43" t="s">
        <v>279</v>
      </c>
      <c r="K113" s="22">
        <v>45705</v>
      </c>
      <c r="L113" s="23">
        <v>65000</v>
      </c>
      <c r="M113" s="20" t="s">
        <v>141</v>
      </c>
      <c r="N113" s="20" t="s">
        <v>57</v>
      </c>
      <c r="O113" s="20" t="s">
        <v>48</v>
      </c>
      <c r="P113" s="20" t="s">
        <v>21</v>
      </c>
      <c r="Q113" s="21">
        <v>36070</v>
      </c>
      <c r="R113" s="42" t="s">
        <v>49</v>
      </c>
      <c r="S113" s="42" t="s">
        <v>74</v>
      </c>
      <c r="T113" s="44">
        <v>3216685631</v>
      </c>
      <c r="U113" s="20" t="s">
        <v>278</v>
      </c>
      <c r="V113" s="25" t="e">
        <f>IF(P113=#REF!,"DIPLOMADO EN ATENCION PRE-HOSPITALARIA",IF(P113=#REF!,"ACOMPAÑAMIENTO Y MANEJO DEL DUELO",IF(P113=#REF!,"ATENCION A VICTIMAS DE ATAQUE CON AGENTES QUIMICOS ",IF(P113=#REF!,"PRIMEROS AUXILIOS ",IF(P113=#REF!,"DIPLOMADO DE UNIDAD DE CUIDADOS INTENSIVOS (UCI)",IF(P113=#REF!,"MODELO DE ATENCION PARA EVENTOS EMERGENTES EN SALUD MENTAL (CODIGO VERDE)",IF(P113=#REF!,"HUMANIZACION EN EL SERVICIO DE LA SALUD Y BUENAS PRACTICAS EN PACIENTE ",IF(P113=#REF!,"CLINICA DE HERIDAS ",IF(P113=#REF!,"TOMA DE CITOLOGIA CERVICO VAGINAL ",IF(P113=#REF!,"SOPORTE CARDIOVASCULAR AVANZADO (ACLS) ",IF(P113=#REF!,"CAMILLERO ",IF(P113=#REF!,"TOMA DE MUESTRAS Y LABORATORIO ",IF(P113=#REF!,"SOPORTE VITAL BASICO (BLS)",IF(P113=#REF!,"ATENCION A VICTIMAS DE VIOLENCIA SEXUAL ",IF(P113=#REF!,"PROGRAMADO AMPLIADO DE INMUNIZACION (PAI - COVID 19)",IF(P113=#REF!,"ATENCION INTEGRAL EN ENFERMEDADES PREVALENTES EN PRIMERA INFANCIA (AIEPI)",IF(P113=#REF!,"ADMINISTRACION DE MEDICAMENTOS, INYECTOLOGIA  Y CANALIZACION ",IF(P113=#REF!,"OPERADOR DE VEHICULOS DE EMERGENCIA (OVE)",IF(P113=#REF!,"INSTITUCIONES AMIGAS DE LA MUJER Y LA INFANCIA (IAMI)",IF(P113=#REF!,"CUIDADO DEL DONANTE DE ORGANOS",IF(P113=#REF!,"ATENCION A VICTIMAS POR VIOLENCIA DE GENERO",IF(P113=#REF!,"IGUALDAD DE GENERO EN LA SALUD",IF(P113=#REF!,"BRIGADA DE EMERGENCIA",IF(P113=#REF!,"MANEJO DEL DOLOR Y CUIDADOS PALIATIVOS",IF(P113=#REF!,"TOMA DE MUESTRAS Y LABORATORIO POCT",IF(P113=#REF!,"IMPLANTE SUBDERMICO DE DISPOSITIVO INTRAUTERINO",IF(P113=#REF!,"SALUD MENTAL",IF(P113=#REF!,"PRIMEROS AUXILIOS PSICOLOGICOS",IF(P113=#REF!,"ATENCION A VICTIMAS POR CONFLICTO ARMADO",IF(P113=#REF!,"MANIPULACION DE ALIMENTOS Y BPM",IF(P113=#REF!,"ATENCION A PERSONAS CON DISCAPACIDAD",IF(P113=#REF!,"CUIDADO INTEGRAL DEL PACIENTE ADULTO",IF(P113=#REF!,"MANEJO DEFENSIVO",IF(P113=#REF!,"SOPORTE CARDIOVASCULAR AVANZADO NEONATAL",IF(P113=#REF!,"SEGURIDAD DEL PACIENTE",IF(P113=#REF!,"MANEJO DE RESIDUOS HOSPITALARIOS"))))))))))))))))))))))))))))))))))))</f>
        <v>#REF!</v>
      </c>
      <c r="W113" s="25" t="str">
        <f t="shared" si="11"/>
        <v>Jenny  Guancha Diaz</v>
      </c>
      <c r="X113" s="25" t="str">
        <f t="shared" si="12"/>
        <v>Jenny  Guancha Diaz</v>
      </c>
      <c r="Y113" s="69" t="str">
        <f t="shared" si="13"/>
        <v>Jenny  Guancha Diaz-1085342883-QUIMICOS</v>
      </c>
    </row>
    <row r="114" spans="1:25" x14ac:dyDescent="0.2">
      <c r="A114" s="19">
        <v>113</v>
      </c>
      <c r="B114" s="42">
        <v>1085342883</v>
      </c>
      <c r="C114" s="42" t="s">
        <v>276</v>
      </c>
      <c r="D114" s="42" t="s">
        <v>211</v>
      </c>
      <c r="E114" s="42" t="s">
        <v>277</v>
      </c>
      <c r="F114" s="42"/>
      <c r="G114" s="42">
        <v>13</v>
      </c>
      <c r="H114" s="20" t="s">
        <v>56</v>
      </c>
      <c r="I114" s="43" t="s">
        <v>47</v>
      </c>
      <c r="J114" s="43" t="s">
        <v>279</v>
      </c>
      <c r="K114" s="22">
        <v>45705</v>
      </c>
      <c r="L114" s="23">
        <v>65000</v>
      </c>
      <c r="M114" s="20" t="s">
        <v>141</v>
      </c>
      <c r="N114" s="20" t="s">
        <v>57</v>
      </c>
      <c r="O114" s="20" t="s">
        <v>48</v>
      </c>
      <c r="P114" s="20" t="s">
        <v>20</v>
      </c>
      <c r="Q114" s="21">
        <v>36070</v>
      </c>
      <c r="R114" s="42" t="s">
        <v>49</v>
      </c>
      <c r="S114" s="42" t="s">
        <v>74</v>
      </c>
      <c r="T114" s="44">
        <v>3216685631</v>
      </c>
      <c r="U114" s="20" t="s">
        <v>278</v>
      </c>
      <c r="V114" s="25" t="e">
        <f>IF(P114=#REF!,"DIPLOMADO EN ATENCION PRE-HOSPITALARIA",IF(P114=#REF!,"ACOMPAÑAMIENTO Y MANEJO DEL DUELO",IF(P114=#REF!,"ATENCION A VICTIMAS DE ATAQUE CON AGENTES QUIMICOS ",IF(P114=#REF!,"PRIMEROS AUXILIOS ",IF(P114=#REF!,"DIPLOMADO DE UNIDAD DE CUIDADOS INTENSIVOS (UCI)",IF(P114=#REF!,"MODELO DE ATENCION PARA EVENTOS EMERGENTES EN SALUD MENTAL (CODIGO VERDE)",IF(P114=#REF!,"HUMANIZACION EN EL SERVICIO DE LA SALUD Y BUENAS PRACTICAS EN PACIENTE ",IF(P114=#REF!,"CLINICA DE HERIDAS ",IF(P114=#REF!,"TOMA DE CITOLOGIA CERVICO VAGINAL ",IF(P114=#REF!,"SOPORTE CARDIOVASCULAR AVANZADO (ACLS) ",IF(P114=#REF!,"CAMILLERO ",IF(P114=#REF!,"TOMA DE MUESTRAS Y LABORATORIO ",IF(P114=#REF!,"SOPORTE VITAL BASICO (BLS)",IF(P114=#REF!,"ATENCION A VICTIMAS DE VIOLENCIA SEXUAL ",IF(P114=#REF!,"PROGRAMADO AMPLIADO DE INMUNIZACION (PAI - COVID 19)",IF(P114=#REF!,"ATENCION INTEGRAL EN ENFERMEDADES PREVALENTES EN PRIMERA INFANCIA (AIEPI)",IF(P114=#REF!,"ADMINISTRACION DE MEDICAMENTOS, INYECTOLOGIA  Y CANALIZACION ",IF(P114=#REF!,"OPERADOR DE VEHICULOS DE EMERGENCIA (OVE)",IF(P114=#REF!,"INSTITUCIONES AMIGAS DE LA MUJER Y LA INFANCIA (IAMI)",IF(P114=#REF!,"CUIDADO DEL DONANTE DE ORGANOS",IF(P114=#REF!,"ATENCION A VICTIMAS POR VIOLENCIA DE GENERO",IF(P114=#REF!,"IGUALDAD DE GENERO EN LA SALUD",IF(P114=#REF!,"BRIGADA DE EMERGENCIA",IF(P114=#REF!,"MANEJO DEL DOLOR Y CUIDADOS PALIATIVOS",IF(P114=#REF!,"TOMA DE MUESTRAS Y LABORATORIO POCT",IF(P114=#REF!,"IMPLANTE SUBDERMICO DE DISPOSITIVO INTRAUTERINO",IF(P114=#REF!,"SALUD MENTAL",IF(P114=#REF!,"PRIMEROS AUXILIOS PSICOLOGICOS",IF(P114=#REF!,"ATENCION A VICTIMAS POR CONFLICTO ARMADO",IF(P114=#REF!,"MANIPULACION DE ALIMENTOS Y BPM",IF(P114=#REF!,"ATENCION A PERSONAS CON DISCAPACIDAD",IF(P114=#REF!,"CUIDADO INTEGRAL DEL PACIENTE ADULTO",IF(P114=#REF!,"MANEJO DEFENSIVO",IF(P114=#REF!,"SOPORTE CARDIOVASCULAR AVANZADO NEONATAL",IF(P114=#REF!,"SEGURIDAD DEL PACIENTE",IF(P114=#REF!,"MANEJO DE RESIDUOS HOSPITALARIOS"))))))))))))))))))))))))))))))))))))</f>
        <v>#REF!</v>
      </c>
      <c r="W114" s="25" t="str">
        <f t="shared" si="11"/>
        <v>Jenny  Guancha Diaz</v>
      </c>
      <c r="X114" s="25" t="str">
        <f t="shared" si="12"/>
        <v>Jenny  Guancha Diaz</v>
      </c>
      <c r="Y114" s="69" t="str">
        <f t="shared" si="13"/>
        <v>Jenny  Guancha Diaz-1085342883-DUELO</v>
      </c>
    </row>
    <row r="115" spans="1:25" x14ac:dyDescent="0.2">
      <c r="A115" s="19">
        <v>114</v>
      </c>
      <c r="B115" s="42">
        <v>1085342883</v>
      </c>
      <c r="C115" s="42" t="s">
        <v>276</v>
      </c>
      <c r="D115" s="42" t="s">
        <v>211</v>
      </c>
      <c r="E115" s="42" t="s">
        <v>277</v>
      </c>
      <c r="F115" s="42"/>
      <c r="G115" s="42">
        <v>12</v>
      </c>
      <c r="H115" s="20" t="s">
        <v>56</v>
      </c>
      <c r="I115" s="43" t="s">
        <v>47</v>
      </c>
      <c r="J115" s="43" t="s">
        <v>279</v>
      </c>
      <c r="K115" s="22">
        <v>45705</v>
      </c>
      <c r="L115" s="23">
        <v>65000</v>
      </c>
      <c r="M115" s="20" t="s">
        <v>141</v>
      </c>
      <c r="N115" s="20" t="s">
        <v>57</v>
      </c>
      <c r="O115" s="20" t="s">
        <v>48</v>
      </c>
      <c r="P115" s="20" t="s">
        <v>29</v>
      </c>
      <c r="Q115" s="21">
        <v>36070</v>
      </c>
      <c r="R115" s="42" t="s">
        <v>49</v>
      </c>
      <c r="S115" s="42" t="s">
        <v>74</v>
      </c>
      <c r="T115" s="44">
        <v>3216685631</v>
      </c>
      <c r="U115" s="20" t="s">
        <v>278</v>
      </c>
      <c r="V115" s="25" t="e">
        <f>IF(P115=#REF!,"DIPLOMADO EN ATENCION PRE-HOSPITALARIA",IF(P115=#REF!,"ACOMPAÑAMIENTO Y MANEJO DEL DUELO",IF(P115=#REF!,"ATENCION A VICTIMAS DE ATAQUE CON AGENTES QUIMICOS ",IF(P115=#REF!,"PRIMEROS AUXILIOS ",IF(P115=#REF!,"DIPLOMADO DE UNIDAD DE CUIDADOS INTENSIVOS (UCI)",IF(P115=#REF!,"MODELO DE ATENCION PARA EVENTOS EMERGENTES EN SALUD MENTAL (CODIGO VERDE)",IF(P115=#REF!,"HUMANIZACION EN EL SERVICIO DE LA SALUD Y BUENAS PRACTICAS EN PACIENTE ",IF(P115=#REF!,"CLINICA DE HERIDAS ",IF(P115=#REF!,"TOMA DE CITOLOGIA CERVICO VAGINAL ",IF(P115=#REF!,"SOPORTE CARDIOVASCULAR AVANZADO (ACLS) ",IF(P115=#REF!,"CAMILLERO ",IF(P115=#REF!,"TOMA DE MUESTRAS Y LABORATORIO ",IF(P115=#REF!,"SOPORTE VITAL BASICO (BLS)",IF(P115=#REF!,"ATENCION A VICTIMAS DE VIOLENCIA SEXUAL ",IF(P115=#REF!,"PROGRAMADO AMPLIADO DE INMUNIZACION (PAI - COVID 19)",IF(P115=#REF!,"ATENCION INTEGRAL EN ENFERMEDADES PREVALENTES EN PRIMERA INFANCIA (AIEPI)",IF(P115=#REF!,"ADMINISTRACION DE MEDICAMENTOS, INYECTOLOGIA  Y CANALIZACION ",IF(P115=#REF!,"OPERADOR DE VEHICULOS DE EMERGENCIA (OVE)",IF(P115=#REF!,"INSTITUCIONES AMIGAS DE LA MUJER Y LA INFANCIA (IAMI)",IF(P115=#REF!,"CUIDADO DEL DONANTE DE ORGANOS",IF(P115=#REF!,"ATENCION A VICTIMAS POR VIOLENCIA DE GENERO",IF(P115=#REF!,"IGUALDAD DE GENERO EN LA SALUD",IF(P115=#REF!,"BRIGADA DE EMERGENCIA",IF(P115=#REF!,"MANEJO DEL DOLOR Y CUIDADOS PALIATIVOS",IF(P115=#REF!,"TOMA DE MUESTRAS Y LABORATORIO POCT",IF(P115=#REF!,"IMPLANTE SUBDERMICO DE DISPOSITIVO INTRAUTERINO",IF(P115=#REF!,"SALUD MENTAL",IF(P115=#REF!,"PRIMEROS AUXILIOS PSICOLOGICOS",IF(P115=#REF!,"ATENCION A VICTIMAS POR CONFLICTO ARMADO",IF(P115=#REF!,"MANIPULACION DE ALIMENTOS Y BPM",IF(P115=#REF!,"ATENCION A PERSONAS CON DISCAPACIDAD",IF(P115=#REF!,"CUIDADO INTEGRAL DEL PACIENTE ADULTO",IF(P115=#REF!,"MANEJO DEFENSIVO",IF(P115=#REF!,"SOPORTE CARDIOVASCULAR AVANZADO NEONATAL",IF(P115=#REF!,"SEGURIDAD DEL PACIENTE",IF(P115=#REF!,"MANEJO DE RESIDUOS HOSPITALARIOS"))))))))))))))))))))))))))))))))))))</f>
        <v>#REF!</v>
      </c>
      <c r="W115" s="25" t="str">
        <f t="shared" si="11"/>
        <v>Jenny  Guancha Diaz</v>
      </c>
      <c r="X115" s="25" t="str">
        <f t="shared" si="12"/>
        <v>Jenny  Guancha Diaz</v>
      </c>
      <c r="Y115" s="69" t="str">
        <f t="shared" si="13"/>
        <v>Jenny  Guancha Diaz-1085342883-ADMON DE MEDICAMENTOS</v>
      </c>
    </row>
    <row r="116" spans="1:25" x14ac:dyDescent="0.2">
      <c r="A116" s="28">
        <v>115</v>
      </c>
      <c r="B116" s="42">
        <v>1085342883</v>
      </c>
      <c r="C116" s="42" t="s">
        <v>276</v>
      </c>
      <c r="D116" s="42" t="s">
        <v>211</v>
      </c>
      <c r="E116" s="42" t="s">
        <v>277</v>
      </c>
      <c r="F116" s="42"/>
      <c r="G116" s="42">
        <v>11</v>
      </c>
      <c r="H116" s="20" t="s">
        <v>56</v>
      </c>
      <c r="I116" s="43" t="s">
        <v>47</v>
      </c>
      <c r="J116" s="43" t="s">
        <v>279</v>
      </c>
      <c r="K116" s="22">
        <v>45705</v>
      </c>
      <c r="L116" s="23">
        <v>65000</v>
      </c>
      <c r="M116" s="20" t="s">
        <v>141</v>
      </c>
      <c r="N116" s="20" t="s">
        <v>57</v>
      </c>
      <c r="O116" s="20" t="s">
        <v>48</v>
      </c>
      <c r="P116" s="20" t="s">
        <v>40</v>
      </c>
      <c r="Q116" s="21">
        <v>36070</v>
      </c>
      <c r="R116" s="42" t="s">
        <v>49</v>
      </c>
      <c r="S116" s="42" t="s">
        <v>74</v>
      </c>
      <c r="T116" s="44">
        <v>3216685631</v>
      </c>
      <c r="U116" s="20" t="s">
        <v>278</v>
      </c>
      <c r="V116" s="25" t="e">
        <f>IF(P116=#REF!,"DIPLOMADO EN ATENCION PRE-HOSPITALARIA",IF(P116=#REF!,"ACOMPAÑAMIENTO Y MANEJO DEL DUELO",IF(P116=#REF!,"ATENCION A VICTIMAS DE ATAQUE CON AGENTES QUIMICOS ",IF(P116=#REF!,"PRIMEROS AUXILIOS ",IF(P116=#REF!,"DIPLOMADO DE UNIDAD DE CUIDADOS INTENSIVOS (UCI)",IF(P116=#REF!,"MODELO DE ATENCION PARA EVENTOS EMERGENTES EN SALUD MENTAL (CODIGO VERDE)",IF(P116=#REF!,"HUMANIZACION EN EL SERVICIO DE LA SALUD Y BUENAS PRACTICAS EN PACIENTE ",IF(P116=#REF!,"CLINICA DE HERIDAS ",IF(P116=#REF!,"TOMA DE CITOLOGIA CERVICO VAGINAL ",IF(P116=#REF!,"SOPORTE CARDIOVASCULAR AVANZADO (ACLS) ",IF(P116=#REF!,"CAMILLERO ",IF(P116=#REF!,"TOMA DE MUESTRAS Y LABORATORIO ",IF(P116=#REF!,"SOPORTE VITAL BASICO (BLS)",IF(P116=#REF!,"ATENCION A VICTIMAS DE VIOLENCIA SEXUAL ",IF(P116=#REF!,"PROGRAMADO AMPLIADO DE INMUNIZACION (PAI - COVID 19)",IF(P116=#REF!,"ATENCION INTEGRAL EN ENFERMEDADES PREVALENTES EN PRIMERA INFANCIA (AIEPI)",IF(P116=#REF!,"ADMINISTRACION DE MEDICAMENTOS, INYECTOLOGIA  Y CANALIZACION ",IF(P116=#REF!,"OPERADOR DE VEHICULOS DE EMERGENCIA (OVE)",IF(P116=#REF!,"INSTITUCIONES AMIGAS DE LA MUJER Y LA INFANCIA (IAMI)",IF(P116=#REF!,"CUIDADO DEL DONANTE DE ORGANOS",IF(P116=#REF!,"ATENCION A VICTIMAS POR VIOLENCIA DE GENERO",IF(P116=#REF!,"IGUALDAD DE GENERO EN LA SALUD",IF(P116=#REF!,"BRIGADA DE EMERGENCIA",IF(P116=#REF!,"MANEJO DEL DOLOR Y CUIDADOS PALIATIVOS",IF(P116=#REF!,"TOMA DE MUESTRAS Y LABORATORIO POCT",IF(P116=#REF!,"IMPLANTE SUBDERMICO DE DISPOSITIVO INTRAUTERINO",IF(P116=#REF!,"SALUD MENTAL",IF(P116=#REF!,"PRIMEROS AUXILIOS PSICOLOGICOS",IF(P116=#REF!,"ATENCION A VICTIMAS POR CONFLICTO ARMADO",IF(P116=#REF!,"MANIPULACION DE ALIMENTOS Y BPM",IF(P116=#REF!,"ATENCION A PERSONAS CON DISCAPACIDAD",IF(P116=#REF!,"CUIDADO INTEGRAL DEL PACIENTE ADULTO",IF(P116=#REF!,"MANEJO DEFENSIVO",IF(P116=#REF!,"SOPORTE CARDIOVASCULAR AVANZADO NEONATAL",IF(P116=#REF!,"SEGURIDAD DEL PACIENTE",IF(P116=#REF!,"MANEJO DE RESIDUOS HOSPITALARIOS"))))))))))))))))))))))))))))))))))))</f>
        <v>#REF!</v>
      </c>
      <c r="W116" s="25" t="str">
        <f t="shared" si="11"/>
        <v>Jenny  Guancha Diaz</v>
      </c>
      <c r="X116" s="25" t="str">
        <f t="shared" si="12"/>
        <v>Jenny  Guancha Diaz</v>
      </c>
      <c r="Y116" s="69" t="str">
        <f t="shared" si="13"/>
        <v>Jenny  Guancha Diaz-1085342883-PAI</v>
      </c>
    </row>
    <row r="117" spans="1:25" x14ac:dyDescent="0.2">
      <c r="A117" s="19">
        <v>116</v>
      </c>
      <c r="B117" s="42">
        <v>1085342883</v>
      </c>
      <c r="C117" s="42" t="s">
        <v>276</v>
      </c>
      <c r="D117" s="42" t="s">
        <v>211</v>
      </c>
      <c r="E117" s="42" t="s">
        <v>277</v>
      </c>
      <c r="F117" s="42"/>
      <c r="G117" s="42">
        <v>10</v>
      </c>
      <c r="H117" s="20" t="s">
        <v>56</v>
      </c>
      <c r="I117" s="43" t="s">
        <v>47</v>
      </c>
      <c r="J117" s="43" t="s">
        <v>279</v>
      </c>
      <c r="K117" s="22">
        <v>45705</v>
      </c>
      <c r="L117" s="23">
        <v>65000</v>
      </c>
      <c r="M117" s="20" t="s">
        <v>141</v>
      </c>
      <c r="N117" s="20" t="s">
        <v>57</v>
      </c>
      <c r="O117" s="20" t="s">
        <v>48</v>
      </c>
      <c r="P117" s="20" t="s">
        <v>33</v>
      </c>
      <c r="Q117" s="21">
        <v>36070</v>
      </c>
      <c r="R117" s="42" t="s">
        <v>49</v>
      </c>
      <c r="S117" s="42" t="s">
        <v>74</v>
      </c>
      <c r="T117" s="44">
        <v>3216685631</v>
      </c>
      <c r="U117" s="20" t="s">
        <v>278</v>
      </c>
      <c r="V117" s="25" t="e">
        <f>IF(P117=#REF!,"DIPLOMADO EN ATENCION PRE-HOSPITALARIA",IF(P117=#REF!,"ACOMPAÑAMIENTO Y MANEJO DEL DUELO",IF(P117=#REF!,"ATENCION A VICTIMAS DE ATAQUE CON AGENTES QUIMICOS ",IF(P117=#REF!,"PRIMEROS AUXILIOS ",IF(P117=#REF!,"DIPLOMADO DE UNIDAD DE CUIDADOS INTENSIVOS (UCI)",IF(P117=#REF!,"MODELO DE ATENCION PARA EVENTOS EMERGENTES EN SALUD MENTAL (CODIGO VERDE)",IF(P117=#REF!,"HUMANIZACION EN EL SERVICIO DE LA SALUD Y BUENAS PRACTICAS EN PACIENTE ",IF(P117=#REF!,"CLINICA DE HERIDAS ",IF(P117=#REF!,"TOMA DE CITOLOGIA CERVICO VAGINAL ",IF(P117=#REF!,"SOPORTE CARDIOVASCULAR AVANZADO (ACLS) ",IF(P117=#REF!,"CAMILLERO ",IF(P117=#REF!,"TOMA DE MUESTRAS Y LABORATORIO ",IF(P117=#REF!,"SOPORTE VITAL BASICO (BLS)",IF(P117=#REF!,"ATENCION A VICTIMAS DE VIOLENCIA SEXUAL ",IF(P117=#REF!,"PROGRAMADO AMPLIADO DE INMUNIZACION (PAI - COVID 19)",IF(P117=#REF!,"ATENCION INTEGRAL EN ENFERMEDADES PREVALENTES EN PRIMERA INFANCIA (AIEPI)",IF(P117=#REF!,"ADMINISTRACION DE MEDICAMENTOS, INYECTOLOGIA  Y CANALIZACION ",IF(P117=#REF!,"OPERADOR DE VEHICULOS DE EMERGENCIA (OVE)",IF(P117=#REF!,"INSTITUCIONES AMIGAS DE LA MUJER Y LA INFANCIA (IAMI)",IF(P117=#REF!,"CUIDADO DEL DONANTE DE ORGANOS",IF(P117=#REF!,"ATENCION A VICTIMAS POR VIOLENCIA DE GENERO",IF(P117=#REF!,"IGUALDAD DE GENERO EN LA SALUD",IF(P117=#REF!,"BRIGADA DE EMERGENCIA",IF(P117=#REF!,"MANEJO DEL DOLOR Y CUIDADOS PALIATIVOS",IF(P117=#REF!,"TOMA DE MUESTRAS Y LABORATORIO POCT",IF(P117=#REF!,"IMPLANTE SUBDERMICO DE DISPOSITIVO INTRAUTERINO",IF(P117=#REF!,"SALUD MENTAL",IF(P117=#REF!,"PRIMEROS AUXILIOS PSICOLOGICOS",IF(P117=#REF!,"ATENCION A VICTIMAS POR CONFLICTO ARMADO",IF(P117=#REF!,"MANIPULACION DE ALIMENTOS Y BPM",IF(P117=#REF!,"ATENCION A PERSONAS CON DISCAPACIDAD",IF(P117=#REF!,"CUIDADO INTEGRAL DEL PACIENTE ADULTO",IF(P117=#REF!,"MANEJO DEFENSIVO",IF(P117=#REF!,"SOPORTE CARDIOVASCULAR AVANZADO NEONATAL",IF(P117=#REF!,"SEGURIDAD DEL PACIENTE",IF(P117=#REF!,"MANEJO DE RESIDUOS HOSPITALARIOS"))))))))))))))))))))))))))))))))))))</f>
        <v>#REF!</v>
      </c>
      <c r="W117" s="25" t="str">
        <f t="shared" si="11"/>
        <v>Jenny  Guancha Diaz</v>
      </c>
      <c r="X117" s="25" t="str">
        <f t="shared" si="12"/>
        <v>Jenny  Guancha Diaz</v>
      </c>
      <c r="Y117" s="69" t="str">
        <f t="shared" si="13"/>
        <v>Jenny  Guancha Diaz-1085342883-PALIATIVOS</v>
      </c>
    </row>
    <row r="118" spans="1:25" x14ac:dyDescent="0.2">
      <c r="A118" s="19">
        <v>117</v>
      </c>
      <c r="B118" s="20">
        <v>59314543</v>
      </c>
      <c r="C118" s="42" t="s">
        <v>128</v>
      </c>
      <c r="D118" s="42" t="s">
        <v>280</v>
      </c>
      <c r="E118" s="42" t="s">
        <v>242</v>
      </c>
      <c r="F118" s="42" t="s">
        <v>281</v>
      </c>
      <c r="G118" s="42">
        <v>17</v>
      </c>
      <c r="H118" s="20" t="s">
        <v>283</v>
      </c>
      <c r="I118" s="43" t="s">
        <v>72</v>
      </c>
      <c r="J118" s="43" t="s">
        <v>91</v>
      </c>
      <c r="K118" s="22">
        <v>45706</v>
      </c>
      <c r="L118" s="23">
        <v>30000</v>
      </c>
      <c r="M118" s="20" t="s">
        <v>61</v>
      </c>
      <c r="N118" s="20" t="s">
        <v>57</v>
      </c>
      <c r="O118" s="20" t="s">
        <v>282</v>
      </c>
      <c r="P118" s="20" t="s">
        <v>21</v>
      </c>
      <c r="Q118" s="21">
        <v>30824</v>
      </c>
      <c r="R118" s="42" t="s">
        <v>49</v>
      </c>
      <c r="S118" s="20" t="s">
        <v>50</v>
      </c>
      <c r="T118" s="20">
        <v>3185956164</v>
      </c>
      <c r="U118" s="20" t="s">
        <v>284</v>
      </c>
      <c r="V118" s="25" t="e">
        <f>IF(P118=#REF!,"DIPLOMADO EN ATENCION PRE-HOSPITALARIA",IF(P118=#REF!,"ACOMPAÑAMIENTO Y MANEJO DEL DUELO",IF(P118=#REF!,"ATENCION A VICTIMAS DE ATAQUE CON AGENTES QUIMICOS ",IF(P118=#REF!,"PRIMEROS AUXILIOS ",IF(P118=#REF!,"DIPLOMADO DE UNIDAD DE CUIDADOS INTENSIVOS (UCI)",IF(P118=#REF!,"MODELO DE ATENCION PARA EVENTOS EMERGENTES EN SALUD MENTAL (CODIGO VERDE)",IF(P118=#REF!,"HUMANIZACION EN EL SERVICIO DE LA SALUD Y BUENAS PRACTICAS EN PACIENTE ",IF(P118=#REF!,"CLINICA DE HERIDAS ",IF(P118=#REF!,"TOMA DE CITOLOGIA CERVICO VAGINAL ",IF(P118=#REF!,"SOPORTE CARDIOVASCULAR AVANZADO (ACLS) ",IF(P118=#REF!,"CAMILLERO ",IF(P118=#REF!,"TOMA DE MUESTRAS Y LABORATORIO ",IF(P118=#REF!,"SOPORTE VITAL BASICO (BLS)",IF(P118=#REF!,"ATENCION A VICTIMAS DE VIOLENCIA SEXUAL ",IF(P118=#REF!,"PROGRAMADO AMPLIADO DE INMUNIZACION (PAI - COVID 19)",IF(P118=#REF!,"ATENCION INTEGRAL EN ENFERMEDADES PREVALENTES EN PRIMERA INFANCIA (AIEPI)",IF(P118=#REF!,"ADMINISTRACION DE MEDICAMENTOS, INYECTOLOGIA  Y CANALIZACION ",IF(P118=#REF!,"OPERADOR DE VEHICULOS DE EMERGENCIA (OVE)",IF(P118=#REF!,"INSTITUCIONES AMIGAS DE LA MUJER Y LA INFANCIA (IAMI)",IF(P118=#REF!,"CUIDADO DEL DONANTE DE ORGANOS",IF(P118=#REF!,"ATENCION A VICTIMAS POR VIOLENCIA DE GENERO",IF(P118=#REF!,"IGUALDAD DE GENERO EN LA SALUD",IF(P118=#REF!,"BRIGADA DE EMERGENCIA",IF(P118=#REF!,"MANEJO DEL DOLOR Y CUIDADOS PALIATIVOS",IF(P118=#REF!,"TOMA DE MUESTRAS Y LABORATORIO POCT",IF(P118=#REF!,"IMPLANTE SUBDERMICO DE DISPOSITIVO INTRAUTERINO",IF(P118=#REF!,"SALUD MENTAL",IF(P118=#REF!,"PRIMEROS AUXILIOS PSICOLOGICOS",IF(P118=#REF!,"ATENCION A VICTIMAS POR CONFLICTO ARMADO",IF(P118=#REF!,"MANIPULACION DE ALIMENTOS Y BPM",IF(P118=#REF!,"ATENCION A PERSONAS CON DISCAPACIDAD",IF(P118=#REF!,"CUIDADO INTEGRAL DEL PACIENTE ADULTO",IF(P118=#REF!,"MANEJO DEFENSIVO",IF(P118=#REF!,"SOPORTE CARDIOVASCULAR AVANZADO NEONATAL",IF(P118=#REF!,"SEGURIDAD DEL PACIENTE",IF(P118=#REF!,"MANEJO DE RESIDUOS HOSPITALARIOS"))))))))))))))))))))))))))))))))))))</f>
        <v>#REF!</v>
      </c>
      <c r="W118" s="25" t="str">
        <f t="shared" si="11"/>
        <v>Diana Milena Delgado Ibarra</v>
      </c>
      <c r="X118" s="25" t="str">
        <f t="shared" si="12"/>
        <v>Diana Milena Delgado Ibarra</v>
      </c>
      <c r="Y118" s="69" t="str">
        <f t="shared" si="13"/>
        <v>Diana Milena Delgado Ibarra-59314543-QUIMICOS</v>
      </c>
    </row>
    <row r="119" spans="1:25" x14ac:dyDescent="0.2">
      <c r="A119" s="19">
        <v>118</v>
      </c>
      <c r="B119" s="20">
        <v>1087674637</v>
      </c>
      <c r="C119" s="42" t="s">
        <v>285</v>
      </c>
      <c r="D119" s="42" t="s">
        <v>286</v>
      </c>
      <c r="E119" s="42" t="s">
        <v>287</v>
      </c>
      <c r="F119" s="42" t="s">
        <v>288</v>
      </c>
      <c r="G119" s="42">
        <v>17</v>
      </c>
      <c r="H119" s="20" t="s">
        <v>56</v>
      </c>
      <c r="I119" s="43" t="s">
        <v>72</v>
      </c>
      <c r="J119" s="43" t="s">
        <v>197</v>
      </c>
      <c r="K119" s="22">
        <v>45706</v>
      </c>
      <c r="L119" s="23">
        <v>40000</v>
      </c>
      <c r="M119" s="20" t="s">
        <v>90</v>
      </c>
      <c r="N119" s="20" t="s">
        <v>57</v>
      </c>
      <c r="O119" s="20" t="s">
        <v>48</v>
      </c>
      <c r="P119" s="20" t="s">
        <v>23</v>
      </c>
      <c r="Q119" s="21">
        <v>35250</v>
      </c>
      <c r="R119" s="42" t="s">
        <v>49</v>
      </c>
      <c r="S119" s="24" t="s">
        <v>289</v>
      </c>
      <c r="T119" s="20">
        <v>3204256614</v>
      </c>
      <c r="U119" s="24" t="s">
        <v>290</v>
      </c>
      <c r="V119" s="25" t="e">
        <f>IF(P119=#REF!,"DIPLOMADO EN ATENCION PRE-HOSPITALARIA",IF(P119=#REF!,"ACOMPAÑAMIENTO Y MANEJO DEL DUELO",IF(P119=#REF!,"ATENCION A VICTIMAS DE ATAQUE CON AGENTES QUIMICOS ",IF(P119=#REF!,"PRIMEROS AUXILIOS ",IF(P119=#REF!,"DIPLOMADO DE UNIDAD DE CUIDADOS INTENSIVOS (UCI)",IF(P119=#REF!,"MODELO DE ATENCION PARA EVENTOS EMERGENTES EN SALUD MENTAL (CODIGO VERDE)",IF(P119=#REF!,"HUMANIZACION EN EL SERVICIO DE LA SALUD Y BUENAS PRACTICAS EN PACIENTE ",IF(P119=#REF!,"CLINICA DE HERIDAS ",IF(P119=#REF!,"TOMA DE CITOLOGIA CERVICO VAGINAL ",IF(P119=#REF!,"SOPORTE CARDIOVASCULAR AVANZADO (ACLS) ",IF(P119=#REF!,"CAMILLERO ",IF(P119=#REF!,"TOMA DE MUESTRAS Y LABORATORIO ",IF(P119=#REF!,"SOPORTE VITAL BASICO (BLS)",IF(P119=#REF!,"ATENCION A VICTIMAS DE VIOLENCIA SEXUAL ",IF(P119=#REF!,"PROGRAMADO AMPLIADO DE INMUNIZACION (PAI - COVID 19)",IF(P119=#REF!,"ATENCION INTEGRAL EN ENFERMEDADES PREVALENTES EN PRIMERA INFANCIA (AIEPI)",IF(P119=#REF!,"ADMINISTRACION DE MEDICAMENTOS, INYECTOLOGIA  Y CANALIZACION ",IF(P119=#REF!,"OPERADOR DE VEHICULOS DE EMERGENCIA (OVE)",IF(P119=#REF!,"INSTITUCIONES AMIGAS DE LA MUJER Y LA INFANCIA (IAMI)",IF(P119=#REF!,"CUIDADO DEL DONANTE DE ORGANOS",IF(P119=#REF!,"ATENCION A VICTIMAS POR VIOLENCIA DE GENERO",IF(P119=#REF!,"IGUALDAD DE GENERO EN LA SALUD",IF(P119=#REF!,"BRIGADA DE EMERGENCIA",IF(P119=#REF!,"MANEJO DEL DOLOR Y CUIDADOS PALIATIVOS",IF(P119=#REF!,"TOMA DE MUESTRAS Y LABORATORIO POCT",IF(P119=#REF!,"IMPLANTE SUBDERMICO DE DISPOSITIVO INTRAUTERINO",IF(P119=#REF!,"SALUD MENTAL",IF(P119=#REF!,"PRIMEROS AUXILIOS PSICOLOGICOS",IF(P119=#REF!,"ATENCION A VICTIMAS POR CONFLICTO ARMADO",IF(P119=#REF!,"MANIPULACION DE ALIMENTOS Y BPM",IF(P119=#REF!,"ATENCION A PERSONAS CON DISCAPACIDAD",IF(P119=#REF!,"CUIDADO INTEGRAL DEL PACIENTE ADULTO",IF(P119=#REF!,"MANEJO DEFENSIVO",IF(P119=#REF!,"SOPORTE CARDIOVASCULAR AVANZADO NEONATAL",IF(P119=#REF!,"SEGURIDAD DEL PACIENTE",IF(P119=#REF!,"MANEJO DE RESIDUOS HOSPITALARIOS"))))))))))))))))))))))))))))))))))))</f>
        <v>#REF!</v>
      </c>
      <c r="W119" s="25" t="str">
        <f t="shared" si="11"/>
        <v>Adriana Mabel Revelo Cuaspa</v>
      </c>
      <c r="X119" s="25" t="str">
        <f t="shared" si="12"/>
        <v>Adriana Mabel Revelo Cuaspa</v>
      </c>
      <c r="Y119" s="69" t="str">
        <f t="shared" si="13"/>
        <v>Adriana Mabel Revelo Cuaspa-1087674637-HUMANIZACION</v>
      </c>
    </row>
    <row r="120" spans="1:25" x14ac:dyDescent="0.2">
      <c r="A120" s="19">
        <v>119</v>
      </c>
      <c r="B120" s="48">
        <v>1087674637</v>
      </c>
      <c r="C120" s="42" t="s">
        <v>285</v>
      </c>
      <c r="D120" s="42" t="s">
        <v>286</v>
      </c>
      <c r="E120" s="42" t="s">
        <v>287</v>
      </c>
      <c r="F120" s="42" t="s">
        <v>288</v>
      </c>
      <c r="G120" s="42">
        <v>18</v>
      </c>
      <c r="H120" s="20" t="s">
        <v>56</v>
      </c>
      <c r="I120" s="43" t="s">
        <v>72</v>
      </c>
      <c r="J120" s="43" t="s">
        <v>197</v>
      </c>
      <c r="K120" s="22">
        <v>45706</v>
      </c>
      <c r="L120" s="23">
        <v>40000</v>
      </c>
      <c r="M120" s="20" t="s">
        <v>90</v>
      </c>
      <c r="N120" s="20" t="s">
        <v>57</v>
      </c>
      <c r="O120" s="20" t="s">
        <v>48</v>
      </c>
      <c r="P120" s="20" t="s">
        <v>27</v>
      </c>
      <c r="Q120" s="21">
        <v>35250</v>
      </c>
      <c r="R120" s="42" t="s">
        <v>49</v>
      </c>
      <c r="S120" s="24" t="s">
        <v>289</v>
      </c>
      <c r="T120" s="20">
        <v>3204256614</v>
      </c>
      <c r="U120" s="20" t="s">
        <v>290</v>
      </c>
      <c r="V120" s="25" t="e">
        <f>IF(P120=#REF!,"DIPLOMADO EN ATENCION PRE-HOSPITALARIA",IF(P120=#REF!,"ACOMPAÑAMIENTO Y MANEJO DEL DUELO",IF(P120=#REF!,"ATENCION A VICTIMAS DE ATAQUE CON AGENTES QUIMICOS ",IF(P120=#REF!,"PRIMEROS AUXILIOS ",IF(P120=#REF!,"DIPLOMADO DE UNIDAD DE CUIDADOS INTENSIVOS (UCI)",IF(P120=#REF!,"MODELO DE ATENCION PARA EVENTOS EMERGENTES EN SALUD MENTAL (CODIGO VERDE)",IF(P120=#REF!,"HUMANIZACION EN EL SERVICIO DE LA SALUD Y BUENAS PRACTICAS EN PACIENTE ",IF(P120=#REF!,"CLINICA DE HERIDAS ",IF(P120=#REF!,"TOMA DE CITOLOGIA CERVICO VAGINAL ",IF(P120=#REF!,"SOPORTE CARDIOVASCULAR AVANZADO (ACLS) ",IF(P120=#REF!,"CAMILLERO ",IF(P120=#REF!,"TOMA DE MUESTRAS Y LABORATORIO ",IF(P120=#REF!,"SOPORTE VITAL BASICO (BLS)",IF(P120=#REF!,"ATENCION A VICTIMAS DE VIOLENCIA SEXUAL ",IF(P120=#REF!,"PROGRAMADO AMPLIADO DE INMUNIZACION (PAI - COVID 19)",IF(P120=#REF!,"ATENCION INTEGRAL EN ENFERMEDADES PREVALENTES EN PRIMERA INFANCIA (AIEPI)",IF(P120=#REF!,"ADMINISTRACION DE MEDICAMENTOS, INYECTOLOGIA  Y CANALIZACION ",IF(P120=#REF!,"OPERADOR DE VEHICULOS DE EMERGENCIA (OVE)",IF(P120=#REF!,"INSTITUCIONES AMIGAS DE LA MUJER Y LA INFANCIA (IAMI)",IF(P120=#REF!,"CUIDADO DEL DONANTE DE ORGANOS",IF(P120=#REF!,"ATENCION A VICTIMAS POR VIOLENCIA DE GENERO",IF(P120=#REF!,"IGUALDAD DE GENERO EN LA SALUD",IF(P120=#REF!,"BRIGADA DE EMERGENCIA",IF(P120=#REF!,"MANEJO DEL DOLOR Y CUIDADOS PALIATIVOS",IF(P120=#REF!,"TOMA DE MUESTRAS Y LABORATORIO POCT",IF(P120=#REF!,"IMPLANTE SUBDERMICO DE DISPOSITIVO INTRAUTERINO",IF(P120=#REF!,"SALUD MENTAL",IF(P120=#REF!,"PRIMEROS AUXILIOS PSICOLOGICOS",IF(P120=#REF!,"ATENCION A VICTIMAS POR CONFLICTO ARMADO",IF(P120=#REF!,"MANIPULACION DE ALIMENTOS Y BPM",IF(P120=#REF!,"ATENCION A PERSONAS CON DISCAPACIDAD",IF(P120=#REF!,"CUIDADO INTEGRAL DEL PACIENTE ADULTO",IF(P120=#REF!,"MANEJO DEFENSIVO",IF(P120=#REF!,"SOPORTE CARDIOVASCULAR AVANZADO NEONATAL",IF(P120=#REF!,"SEGURIDAD DEL PACIENTE",IF(P120=#REF!,"MANEJO DE RESIDUOS HOSPITALARIOS"))))))))))))))))))))))))))))))))))))</f>
        <v>#REF!</v>
      </c>
      <c r="W120" s="25" t="str">
        <f t="shared" si="11"/>
        <v>Adriana Mabel Revelo Cuaspa</v>
      </c>
      <c r="X120" s="25" t="str">
        <f t="shared" si="12"/>
        <v>Adriana Mabel Revelo Cuaspa</v>
      </c>
      <c r="Y120" s="69" t="str">
        <f t="shared" si="13"/>
        <v>Adriana Mabel Revelo Cuaspa-1087674637-VIOLENCIA SEXUAL</v>
      </c>
    </row>
    <row r="121" spans="1:25" x14ac:dyDescent="0.2">
      <c r="A121" s="19">
        <v>120</v>
      </c>
      <c r="B121" s="20">
        <v>1085280340</v>
      </c>
      <c r="C121" s="42" t="s">
        <v>291</v>
      </c>
      <c r="D121" s="42" t="s">
        <v>202</v>
      </c>
      <c r="E121" s="42" t="s">
        <v>292</v>
      </c>
      <c r="F121" s="42" t="s">
        <v>293</v>
      </c>
      <c r="G121" s="42">
        <v>17</v>
      </c>
      <c r="H121" s="20" t="s">
        <v>56</v>
      </c>
      <c r="I121" s="43" t="s">
        <v>72</v>
      </c>
      <c r="J121" s="43" t="s">
        <v>279</v>
      </c>
      <c r="K121" s="22">
        <v>45706</v>
      </c>
      <c r="L121" s="23">
        <v>32500</v>
      </c>
      <c r="M121" s="20" t="s">
        <v>61</v>
      </c>
      <c r="N121" s="20" t="s">
        <v>57</v>
      </c>
      <c r="O121" s="20" t="s">
        <v>48</v>
      </c>
      <c r="P121" s="20" t="s">
        <v>33</v>
      </c>
      <c r="Q121" s="21">
        <v>32971</v>
      </c>
      <c r="R121" s="42" t="s">
        <v>49</v>
      </c>
      <c r="S121" s="27" t="s">
        <v>86</v>
      </c>
      <c r="T121" s="24">
        <v>3197480548</v>
      </c>
      <c r="U121" s="20" t="s">
        <v>294</v>
      </c>
      <c r="V121" s="25" t="e">
        <f>IF(P121=#REF!,"DIPLOMADO EN ATENCION PRE-HOSPITALARIA",IF(P121=#REF!,"ACOMPAÑAMIENTO Y MANEJO DEL DUELO",IF(P121=#REF!,"ATENCION A VICTIMAS DE ATAQUE CON AGENTES QUIMICOS ",IF(P121=#REF!,"PRIMEROS AUXILIOS ",IF(P121=#REF!,"DIPLOMADO DE UNIDAD DE CUIDADOS INTENSIVOS (UCI)",IF(P121=#REF!,"MODELO DE ATENCION PARA EVENTOS EMERGENTES EN SALUD MENTAL (CODIGO VERDE)",IF(P121=#REF!,"HUMANIZACION EN EL SERVICIO DE LA SALUD Y BUENAS PRACTICAS EN PACIENTE ",IF(P121=#REF!,"CLINICA DE HERIDAS ",IF(P121=#REF!,"TOMA DE CITOLOGIA CERVICO VAGINAL ",IF(P121=#REF!,"SOPORTE CARDIOVASCULAR AVANZADO (ACLS) ",IF(P121=#REF!,"CAMILLERO ",IF(P121=#REF!,"TOMA DE MUESTRAS Y LABORATORIO ",IF(P121=#REF!,"SOPORTE VITAL BASICO (BLS)",IF(P121=#REF!,"ATENCION A VICTIMAS DE VIOLENCIA SEXUAL ",IF(P121=#REF!,"PROGRAMADO AMPLIADO DE INMUNIZACION (PAI - COVID 19)",IF(P121=#REF!,"ATENCION INTEGRAL EN ENFERMEDADES PREVALENTES EN PRIMERA INFANCIA (AIEPI)",IF(P121=#REF!,"ADMINISTRACION DE MEDICAMENTOS, INYECTOLOGIA  Y CANALIZACION ",IF(P121=#REF!,"OPERADOR DE VEHICULOS DE EMERGENCIA (OVE)",IF(P121=#REF!,"INSTITUCIONES AMIGAS DE LA MUJER Y LA INFANCIA (IAMI)",IF(P121=#REF!,"CUIDADO DEL DONANTE DE ORGANOS",IF(P121=#REF!,"ATENCION A VICTIMAS POR VIOLENCIA DE GENERO",IF(P121=#REF!,"IGUALDAD DE GENERO EN LA SALUD",IF(P121=#REF!,"BRIGADA DE EMERGENCIA",IF(P121=#REF!,"MANEJO DEL DOLOR Y CUIDADOS PALIATIVOS",IF(P121=#REF!,"TOMA DE MUESTRAS Y LABORATORIO POCT",IF(P121=#REF!,"IMPLANTE SUBDERMICO DE DISPOSITIVO INTRAUTERINO",IF(P121=#REF!,"SALUD MENTAL",IF(P121=#REF!,"PRIMEROS AUXILIOS PSICOLOGICOS",IF(P121=#REF!,"ATENCION A VICTIMAS POR CONFLICTO ARMADO",IF(P121=#REF!,"MANIPULACION DE ALIMENTOS Y BPM",IF(P121=#REF!,"ATENCION A PERSONAS CON DISCAPACIDAD",IF(P121=#REF!,"CUIDADO INTEGRAL DEL PACIENTE ADULTO",IF(P121=#REF!,"MANEJO DEFENSIVO",IF(P121=#REF!,"SOPORTE CARDIOVASCULAR AVANZADO NEONATAL",IF(P121=#REF!,"SEGURIDAD DEL PACIENTE",IF(P121=#REF!,"MANEJO DE RESIDUOS HOSPITALARIOS"))))))))))))))))))))))))))))))))))))</f>
        <v>#REF!</v>
      </c>
      <c r="W121" s="25" t="str">
        <f t="shared" si="11"/>
        <v>Fabio Andres Aguirre Valencia</v>
      </c>
      <c r="X121" s="25" t="str">
        <f t="shared" si="12"/>
        <v>Fabio Andres Aguirre Valencia</v>
      </c>
      <c r="Y121" s="69" t="str">
        <f t="shared" si="13"/>
        <v>Fabio Andres Aguirre Valencia-1085280340-PALIATIVOS</v>
      </c>
    </row>
    <row r="122" spans="1:25" x14ac:dyDescent="0.2">
      <c r="A122" s="19">
        <v>121</v>
      </c>
      <c r="B122" s="20">
        <v>1085280340</v>
      </c>
      <c r="C122" s="42" t="s">
        <v>291</v>
      </c>
      <c r="D122" s="42" t="s">
        <v>202</v>
      </c>
      <c r="E122" s="42" t="s">
        <v>292</v>
      </c>
      <c r="F122" s="42" t="s">
        <v>293</v>
      </c>
      <c r="G122" s="42">
        <v>18</v>
      </c>
      <c r="H122" s="20" t="s">
        <v>56</v>
      </c>
      <c r="I122" s="43" t="s">
        <v>72</v>
      </c>
      <c r="J122" s="43" t="s">
        <v>279</v>
      </c>
      <c r="K122" s="22">
        <v>45706</v>
      </c>
      <c r="L122" s="23">
        <v>32500</v>
      </c>
      <c r="M122" s="20" t="s">
        <v>61</v>
      </c>
      <c r="N122" s="20" t="s">
        <v>57</v>
      </c>
      <c r="O122" s="20" t="s">
        <v>48</v>
      </c>
      <c r="P122" s="20" t="s">
        <v>20</v>
      </c>
      <c r="Q122" s="21">
        <v>32971</v>
      </c>
      <c r="R122" s="42" t="s">
        <v>49</v>
      </c>
      <c r="S122" s="27" t="s">
        <v>86</v>
      </c>
      <c r="T122" s="24">
        <v>3197480548</v>
      </c>
      <c r="U122" s="20" t="s">
        <v>294</v>
      </c>
      <c r="V122" s="25" t="e">
        <f>IF(P122=#REF!,"DIPLOMADO EN ATENCION PRE-HOSPITALARIA",IF(P122=#REF!,"ACOMPAÑAMIENTO Y MANEJO DEL DUELO",IF(P122=#REF!,"ATENCION A VICTIMAS DE ATAQUE CON AGENTES QUIMICOS ",IF(P122=#REF!,"PRIMEROS AUXILIOS ",IF(P122=#REF!,"DIPLOMADO DE UNIDAD DE CUIDADOS INTENSIVOS (UCI)",IF(P122=#REF!,"MODELO DE ATENCION PARA EVENTOS EMERGENTES EN SALUD MENTAL (CODIGO VERDE)",IF(P122=#REF!,"HUMANIZACION EN EL SERVICIO DE LA SALUD Y BUENAS PRACTICAS EN PACIENTE ",IF(P122=#REF!,"CLINICA DE HERIDAS ",IF(P122=#REF!,"TOMA DE CITOLOGIA CERVICO VAGINAL ",IF(P122=#REF!,"SOPORTE CARDIOVASCULAR AVANZADO (ACLS) ",IF(P122=#REF!,"CAMILLERO ",IF(P122=#REF!,"TOMA DE MUESTRAS Y LABORATORIO ",IF(P122=#REF!,"SOPORTE VITAL BASICO (BLS)",IF(P122=#REF!,"ATENCION A VICTIMAS DE VIOLENCIA SEXUAL ",IF(P122=#REF!,"PROGRAMADO AMPLIADO DE INMUNIZACION (PAI - COVID 19)",IF(P122=#REF!,"ATENCION INTEGRAL EN ENFERMEDADES PREVALENTES EN PRIMERA INFANCIA (AIEPI)",IF(P122=#REF!,"ADMINISTRACION DE MEDICAMENTOS, INYECTOLOGIA  Y CANALIZACION ",IF(P122=#REF!,"OPERADOR DE VEHICULOS DE EMERGENCIA (OVE)",IF(P122=#REF!,"INSTITUCIONES AMIGAS DE LA MUJER Y LA INFANCIA (IAMI)",IF(P122=#REF!,"CUIDADO DEL DONANTE DE ORGANOS",IF(P122=#REF!,"ATENCION A VICTIMAS POR VIOLENCIA DE GENERO",IF(P122=#REF!,"IGUALDAD DE GENERO EN LA SALUD",IF(P122=#REF!,"BRIGADA DE EMERGENCIA",IF(P122=#REF!,"MANEJO DEL DOLOR Y CUIDADOS PALIATIVOS",IF(P122=#REF!,"TOMA DE MUESTRAS Y LABORATORIO POCT",IF(P122=#REF!,"IMPLANTE SUBDERMICO DE DISPOSITIVO INTRAUTERINO",IF(P122=#REF!,"SALUD MENTAL",IF(P122=#REF!,"PRIMEROS AUXILIOS PSICOLOGICOS",IF(P122=#REF!,"ATENCION A VICTIMAS POR CONFLICTO ARMADO",IF(P122=#REF!,"MANIPULACION DE ALIMENTOS Y BPM",IF(P122=#REF!,"ATENCION A PERSONAS CON DISCAPACIDAD",IF(P122=#REF!,"CUIDADO INTEGRAL DEL PACIENTE ADULTO",IF(P122=#REF!,"MANEJO DEFENSIVO",IF(P122=#REF!,"SOPORTE CARDIOVASCULAR AVANZADO NEONATAL",IF(P122=#REF!,"SEGURIDAD DEL PACIENTE",IF(P122=#REF!,"MANEJO DE RESIDUOS HOSPITALARIOS"))))))))))))))))))))))))))))))))))))</f>
        <v>#REF!</v>
      </c>
      <c r="W122" s="25" t="str">
        <f t="shared" si="11"/>
        <v>Fabio Andres Aguirre Valencia</v>
      </c>
      <c r="X122" s="25" t="str">
        <f t="shared" si="12"/>
        <v>Fabio Andres Aguirre Valencia</v>
      </c>
      <c r="Y122" s="69" t="str">
        <f t="shared" si="13"/>
        <v>Fabio Andres Aguirre Valencia-1085280340-DUELO</v>
      </c>
    </row>
    <row r="123" spans="1:25" x14ac:dyDescent="0.2">
      <c r="A123" s="19">
        <v>122</v>
      </c>
      <c r="B123" s="20">
        <v>1085280340</v>
      </c>
      <c r="C123" s="42" t="s">
        <v>291</v>
      </c>
      <c r="D123" s="42" t="s">
        <v>202</v>
      </c>
      <c r="E123" s="42" t="s">
        <v>292</v>
      </c>
      <c r="F123" s="42" t="s">
        <v>293</v>
      </c>
      <c r="G123" s="42">
        <v>15</v>
      </c>
      <c r="H123" s="20" t="s">
        <v>56</v>
      </c>
      <c r="I123" s="43" t="s">
        <v>72</v>
      </c>
      <c r="J123" s="43" t="s">
        <v>279</v>
      </c>
      <c r="K123" s="22">
        <v>45706</v>
      </c>
      <c r="L123" s="23">
        <v>32500</v>
      </c>
      <c r="M123" s="20" t="s">
        <v>61</v>
      </c>
      <c r="N123" s="20" t="s">
        <v>57</v>
      </c>
      <c r="O123" s="20" t="s">
        <v>48</v>
      </c>
      <c r="P123" s="20" t="s">
        <v>35</v>
      </c>
      <c r="Q123" s="21">
        <v>32971</v>
      </c>
      <c r="R123" s="42" t="s">
        <v>49</v>
      </c>
      <c r="S123" s="27" t="s">
        <v>86</v>
      </c>
      <c r="T123" s="24">
        <v>3197480548</v>
      </c>
      <c r="U123" s="20" t="s">
        <v>294</v>
      </c>
      <c r="V123" s="25" t="e">
        <f>IF(P123=#REF!,"DIPLOMADO EN ATENCION PRE-HOSPITALARIA",IF(P123=#REF!,"ACOMPAÑAMIENTO Y MANEJO DEL DUELO",IF(P123=#REF!,"ATENCION A VICTIMAS DE ATAQUE CON AGENTES QUIMICOS ",IF(P123=#REF!,"PRIMEROS AUXILIOS ",IF(P123=#REF!,"DIPLOMADO DE UNIDAD DE CUIDADOS INTENSIVOS (UCI)",IF(P123=#REF!,"MODELO DE ATENCION PARA EVENTOS EMERGENTES EN SALUD MENTAL (CODIGO VERDE)",IF(P123=#REF!,"HUMANIZACION EN EL SERVICIO DE LA SALUD Y BUENAS PRACTICAS EN PACIENTE ",IF(P123=#REF!,"CLINICA DE HERIDAS ",IF(P123=#REF!,"TOMA DE CITOLOGIA CERVICO VAGINAL ",IF(P123=#REF!,"SOPORTE CARDIOVASCULAR AVANZADO (ACLS) ",IF(P123=#REF!,"CAMILLERO ",IF(P123=#REF!,"TOMA DE MUESTRAS Y LABORATORIO ",IF(P123=#REF!,"SOPORTE VITAL BASICO (BLS)",IF(P123=#REF!,"ATENCION A VICTIMAS DE VIOLENCIA SEXUAL ",IF(P123=#REF!,"PROGRAMADO AMPLIADO DE INMUNIZACION (PAI - COVID 19)",IF(P123=#REF!,"ATENCION INTEGRAL EN ENFERMEDADES PREVALENTES EN PRIMERA INFANCIA (AIEPI)",IF(P123=#REF!,"ADMINISTRACION DE MEDICAMENTOS, INYECTOLOGIA  Y CANALIZACION ",IF(P123=#REF!,"OPERADOR DE VEHICULOS DE EMERGENCIA (OVE)",IF(P123=#REF!,"INSTITUCIONES AMIGAS DE LA MUJER Y LA INFANCIA (IAMI)",IF(P123=#REF!,"CUIDADO DEL DONANTE DE ORGANOS",IF(P123=#REF!,"ATENCION A VICTIMAS POR VIOLENCIA DE GENERO",IF(P123=#REF!,"IGUALDAD DE GENERO EN LA SALUD",IF(P123=#REF!,"BRIGADA DE EMERGENCIA",IF(P123=#REF!,"MANEJO DEL DOLOR Y CUIDADOS PALIATIVOS",IF(P123=#REF!,"TOMA DE MUESTRAS Y LABORATORIO POCT",IF(P123=#REF!,"IMPLANTE SUBDERMICO DE DISPOSITIVO INTRAUTERINO",IF(P123=#REF!,"SALUD MENTAL",IF(P123=#REF!,"PRIMEROS AUXILIOS PSICOLOGICOS",IF(P123=#REF!,"ATENCION A VICTIMAS POR CONFLICTO ARMADO",IF(P123=#REF!,"MANIPULACION DE ALIMENTOS Y BPM",IF(P123=#REF!,"ATENCION A PERSONAS CON DISCAPACIDAD",IF(P123=#REF!,"CUIDADO INTEGRAL DEL PACIENTE ADULTO",IF(P123=#REF!,"MANEJO DEFENSIVO",IF(P123=#REF!,"SOPORTE CARDIOVASCULAR AVANZADO NEONATAL",IF(P123=#REF!,"SEGURIDAD DEL PACIENTE",IF(P123=#REF!,"MANEJO DE RESIDUOS HOSPITALARIOS"))))))))))))))))))))))))))))))))))))</f>
        <v>#REF!</v>
      </c>
      <c r="W123" s="25" t="str">
        <f t="shared" si="11"/>
        <v>Fabio Andres Aguirre Valencia</v>
      </c>
      <c r="X123" s="25" t="str">
        <f t="shared" si="12"/>
        <v>Fabio Andres Aguirre Valencia</v>
      </c>
      <c r="Y123" s="69" t="str">
        <f t="shared" si="13"/>
        <v>Fabio Andres Aguirre Valencia-1085280340-CONFLICTO ARMADO</v>
      </c>
    </row>
    <row r="124" spans="1:25" x14ac:dyDescent="0.2">
      <c r="A124" s="19">
        <v>123</v>
      </c>
      <c r="B124" s="20">
        <v>1085280340</v>
      </c>
      <c r="C124" s="42" t="s">
        <v>291</v>
      </c>
      <c r="D124" s="42" t="s">
        <v>202</v>
      </c>
      <c r="E124" s="42" t="s">
        <v>292</v>
      </c>
      <c r="F124" s="42" t="s">
        <v>293</v>
      </c>
      <c r="G124" s="42">
        <v>14</v>
      </c>
      <c r="H124" s="20" t="s">
        <v>56</v>
      </c>
      <c r="I124" s="43" t="s">
        <v>72</v>
      </c>
      <c r="J124" s="43" t="s">
        <v>279</v>
      </c>
      <c r="K124" s="22">
        <v>45706</v>
      </c>
      <c r="L124" s="23">
        <v>32500</v>
      </c>
      <c r="M124" s="20" t="s">
        <v>61</v>
      </c>
      <c r="N124" s="20" t="s">
        <v>57</v>
      </c>
      <c r="O124" s="20" t="s">
        <v>48</v>
      </c>
      <c r="P124" s="42" t="s">
        <v>21</v>
      </c>
      <c r="Q124" s="21">
        <v>32971</v>
      </c>
      <c r="R124" s="42" t="s">
        <v>49</v>
      </c>
      <c r="S124" s="27" t="s">
        <v>86</v>
      </c>
      <c r="T124" s="24">
        <v>3197480548</v>
      </c>
      <c r="U124" s="20" t="s">
        <v>294</v>
      </c>
      <c r="V124" s="25" t="e">
        <f>IF(P124=#REF!,"DIPLOMADO EN ATENCION PRE-HOSPITALARIA",IF(P124=#REF!,"ACOMPAÑAMIENTO Y MANEJO DEL DUELO",IF(P124=#REF!,"ATENCION A VICTIMAS DE ATAQUE CON AGENTES QUIMICOS ",IF(P124=#REF!,"PRIMEROS AUXILIOS ",IF(P124=#REF!,"DIPLOMADO DE UNIDAD DE CUIDADOS INTENSIVOS (UCI)",IF(P124=#REF!,"MODELO DE ATENCION PARA EVENTOS EMERGENTES EN SALUD MENTAL (CODIGO VERDE)",IF(P124=#REF!,"HUMANIZACION EN EL SERVICIO DE LA SALUD Y BUENAS PRACTICAS EN PACIENTE ",IF(P124=#REF!,"CLINICA DE HERIDAS ",IF(P124=#REF!,"TOMA DE CITOLOGIA CERVICO VAGINAL ",IF(P124=#REF!,"SOPORTE CARDIOVASCULAR AVANZADO (ACLS) ",IF(P124=#REF!,"CAMILLERO ",IF(P124=#REF!,"TOMA DE MUESTRAS Y LABORATORIO ",IF(P124=#REF!,"SOPORTE VITAL BASICO (BLS)",IF(P124=#REF!,"ATENCION A VICTIMAS DE VIOLENCIA SEXUAL ",IF(P124=#REF!,"PROGRAMADO AMPLIADO DE INMUNIZACION (PAI - COVID 19)",IF(P124=#REF!,"ATENCION INTEGRAL EN ENFERMEDADES PREVALENTES EN PRIMERA INFANCIA (AIEPI)",IF(P124=#REF!,"ADMINISTRACION DE MEDICAMENTOS, INYECTOLOGIA  Y CANALIZACION ",IF(P124=#REF!,"OPERADOR DE VEHICULOS DE EMERGENCIA (OVE)",IF(P124=#REF!,"INSTITUCIONES AMIGAS DE LA MUJER Y LA INFANCIA (IAMI)",IF(P124=#REF!,"CUIDADO DEL DONANTE DE ORGANOS",IF(P124=#REF!,"ATENCION A VICTIMAS POR VIOLENCIA DE GENERO",IF(P124=#REF!,"IGUALDAD DE GENERO EN LA SALUD",IF(P124=#REF!,"BRIGADA DE EMERGENCIA",IF(P124=#REF!,"MANEJO DEL DOLOR Y CUIDADOS PALIATIVOS",IF(P124=#REF!,"TOMA DE MUESTRAS Y LABORATORIO POCT",IF(P124=#REF!,"IMPLANTE SUBDERMICO DE DISPOSITIVO INTRAUTERINO",IF(P124=#REF!,"SALUD MENTAL",IF(P124=#REF!,"PRIMEROS AUXILIOS PSICOLOGICOS",IF(P124=#REF!,"ATENCION A VICTIMAS POR CONFLICTO ARMADO",IF(P124=#REF!,"MANIPULACION DE ALIMENTOS Y BPM",IF(P124=#REF!,"ATENCION A PERSONAS CON DISCAPACIDAD",IF(P124=#REF!,"CUIDADO INTEGRAL DEL PACIENTE ADULTO",IF(P124=#REF!,"MANEJO DEFENSIVO",IF(P124=#REF!,"SOPORTE CARDIOVASCULAR AVANZADO NEONATAL",IF(P124=#REF!,"SEGURIDAD DEL PACIENTE",IF(P124=#REF!,"MANEJO DE RESIDUOS HOSPITALARIOS"))))))))))))))))))))))))))))))))))))</f>
        <v>#REF!</v>
      </c>
      <c r="W124" s="25" t="str">
        <f t="shared" si="11"/>
        <v>Fabio Andres Aguirre Valencia</v>
      </c>
      <c r="X124" s="25" t="str">
        <f t="shared" si="12"/>
        <v>Fabio Andres Aguirre Valencia</v>
      </c>
      <c r="Y124" s="69" t="str">
        <f t="shared" si="13"/>
        <v>Fabio Andres Aguirre Valencia-1085280340-QUIMICOS</v>
      </c>
    </row>
    <row r="125" spans="1:25" x14ac:dyDescent="0.2">
      <c r="A125" s="19">
        <v>124</v>
      </c>
      <c r="B125" s="29">
        <v>59314543</v>
      </c>
      <c r="C125" s="50" t="s">
        <v>128</v>
      </c>
      <c r="D125" s="50" t="s">
        <v>280</v>
      </c>
      <c r="E125" s="50" t="s">
        <v>242</v>
      </c>
      <c r="F125" s="50" t="s">
        <v>281</v>
      </c>
      <c r="G125" s="50">
        <v>18</v>
      </c>
      <c r="H125" s="29" t="s">
        <v>283</v>
      </c>
      <c r="I125" s="51" t="s">
        <v>72</v>
      </c>
      <c r="J125" s="51" t="s">
        <v>91</v>
      </c>
      <c r="K125" s="31">
        <v>45706</v>
      </c>
      <c r="L125" s="32">
        <v>30000</v>
      </c>
      <c r="M125" s="29" t="s">
        <v>61</v>
      </c>
      <c r="N125" s="29" t="s">
        <v>57</v>
      </c>
      <c r="O125" s="29" t="s">
        <v>282</v>
      </c>
      <c r="P125" s="29" t="s">
        <v>295</v>
      </c>
      <c r="Q125" s="30">
        <v>30824</v>
      </c>
      <c r="R125" s="50" t="s">
        <v>49</v>
      </c>
      <c r="S125" s="29" t="s">
        <v>50</v>
      </c>
      <c r="T125" s="29">
        <v>3185956164</v>
      </c>
      <c r="U125" s="29" t="s">
        <v>284</v>
      </c>
      <c r="V125" s="52" t="s">
        <v>295</v>
      </c>
      <c r="W125" s="52" t="str">
        <f t="shared" si="11"/>
        <v>Diana Milena Delgado Ibarra</v>
      </c>
      <c r="X125" s="52" t="str">
        <f t="shared" si="12"/>
        <v>Diana Milena Delgado Ibarra</v>
      </c>
      <c r="Y125" s="74" t="str">
        <f t="shared" si="13"/>
        <v>Diana Milena Delgado Ibarra-59314543-LAVADO DE MANOS</v>
      </c>
    </row>
    <row r="126" spans="1:25" x14ac:dyDescent="0.2">
      <c r="A126" s="28">
        <v>125</v>
      </c>
      <c r="B126" s="20">
        <v>37087485</v>
      </c>
      <c r="C126" s="42" t="s">
        <v>297</v>
      </c>
      <c r="D126" s="42" t="s">
        <v>227</v>
      </c>
      <c r="E126" s="42" t="s">
        <v>298</v>
      </c>
      <c r="F126" s="42" t="s">
        <v>99</v>
      </c>
      <c r="G126" s="42">
        <v>19</v>
      </c>
      <c r="H126" s="20" t="s">
        <v>56</v>
      </c>
      <c r="I126" s="43" t="s">
        <v>72</v>
      </c>
      <c r="J126" s="43" t="s">
        <v>91</v>
      </c>
      <c r="K126" s="22">
        <v>45707</v>
      </c>
      <c r="L126" s="40">
        <v>30000</v>
      </c>
      <c r="M126" s="42" t="s">
        <v>61</v>
      </c>
      <c r="N126" s="20" t="s">
        <v>57</v>
      </c>
      <c r="O126" s="20" t="s">
        <v>282</v>
      </c>
      <c r="P126" s="42" t="s">
        <v>35</v>
      </c>
      <c r="Q126" s="21">
        <v>31652</v>
      </c>
      <c r="R126" s="42" t="s">
        <v>49</v>
      </c>
      <c r="S126" s="53" t="s">
        <v>86</v>
      </c>
      <c r="T126" s="42">
        <v>3135266934</v>
      </c>
      <c r="U126" s="24" t="s">
        <v>299</v>
      </c>
      <c r="V126" s="25" t="e">
        <f>IF(P126=#REF!,"DIPLOMADO EN ATENCION PRE-HOSPITALARIA",IF(P126=#REF!,"ACOMPAÑAMIENTO Y MANEJO DEL DUELO",IF(P126=#REF!,"ATENCION A VICTIMAS DE ATAQUE CON AGENTES QUIMICOS ",IF(P126=#REF!,"PRIMEROS AUXILIOS ",IF(P126=#REF!,"DIPLOMADO DE UNIDAD DE CUIDADOS INTENSIVOS (UCI)",IF(P126=#REF!,"MODELO DE ATENCION PARA EVENTOS EMERGENTES EN SALUD MENTAL (CODIGO VERDE)",IF(P126=#REF!,"HUMANIZACION EN EL SERVICIO DE LA SALUD Y BUENAS PRACTICAS EN PACIENTE ",IF(P126=#REF!,"CLINICA DE HERIDAS ",IF(P126=#REF!,"TOMA DE CITOLOGIA CERVICO VAGINAL ",IF(P126=#REF!,"SOPORTE CARDIOVASCULAR AVANZADO (ACLS) ",IF(P126=#REF!,"CAMILLERO ",IF(P126=#REF!,"TOMA DE MUESTRAS Y LABORATORIO ",IF(P126=#REF!,"SOPORTE VITAL BASICO (BLS)",IF(P126=#REF!,"ATENCION A VICTIMAS DE VIOLENCIA SEXUAL ",IF(P126=#REF!,"PROGRAMADO AMPLIADO DE INMUNIZACION (PAI - COVID 19)",IF(P126=#REF!,"ATENCION INTEGRAL EN ENFERMEDADES PREVALENTES EN PRIMERA INFANCIA (AIEPI)",IF(P126=#REF!,"ADMINISTRACION DE MEDICAMENTOS, INYECTOLOGIA  Y CANALIZACION ",IF(P126=#REF!,"OPERADOR DE VEHICULOS DE EMERGENCIA (OVE)",IF(P126=#REF!,"INSTITUCIONES AMIGAS DE LA MUJER Y LA INFANCIA (IAMI)",IF(P126=#REF!,"CUIDADO DEL DONANTE DE ORGANOS",IF(P126=#REF!,"ATENCION A VICTIMAS POR VIOLENCIA DE GENERO",IF(P126=#REF!,"IGUALDAD DE GENERO EN LA SALUD",IF(P126=#REF!,"BRIGADA DE EMERGENCIA",IF(P126=#REF!,"MANEJO DEL DOLOR Y CUIDADOS PALIATIVOS",IF(P126=#REF!,"TOMA DE MUESTRAS Y LABORATORIO POCT",IF(P126=#REF!,"IMPLANTE SUBDERMICO DE DISPOSITIVO INTRAUTERINO",IF(P126=#REF!,"SALUD MENTAL",IF(P126=#REF!,"PRIMEROS AUXILIOS PSICOLOGICOS",IF(P126=#REF!,"ATENCION A VICTIMAS POR CONFLICTO ARMADO",IF(P126=#REF!,"MANIPULACION DE ALIMENTOS Y BPM",IF(P126=#REF!,"ATENCION A PERSONAS CON DISCAPACIDAD",IF(P126=#REF!,"CUIDADO INTEGRAL DEL PACIENTE ADULTO",IF(P126=#REF!,"MANEJO DEFENSIVO",IF(P126=#REF!,"SOPORTE CARDIOVASCULAR AVANZADO NEONATAL",IF(P126=#REF!,"SEGURIDAD DEL PACIENTE",IF(P126=#REF!,"MANEJO DE RESIDUOS HOSPITALARIOS"))))))))))))))))))))))))))))))))))))</f>
        <v>#REF!</v>
      </c>
      <c r="W126" s="25" t="str">
        <f t="shared" si="11"/>
        <v>Lizeth Fernanda Florez Mora</v>
      </c>
      <c r="X126" s="25" t="str">
        <f t="shared" si="12"/>
        <v>Lizeth Fernanda Florez Mora</v>
      </c>
      <c r="Y126" s="69" t="str">
        <f t="shared" si="13"/>
        <v>Lizeth Fernanda Florez Mora-37087485-CONFLICTO ARMADO</v>
      </c>
    </row>
    <row r="127" spans="1:25" x14ac:dyDescent="0.2">
      <c r="A127" s="19">
        <v>126</v>
      </c>
      <c r="B127" s="20">
        <v>37087485</v>
      </c>
      <c r="C127" s="42" t="s">
        <v>297</v>
      </c>
      <c r="D127" s="42" t="s">
        <v>227</v>
      </c>
      <c r="E127" s="42" t="s">
        <v>298</v>
      </c>
      <c r="F127" s="42" t="s">
        <v>99</v>
      </c>
      <c r="G127" s="42">
        <v>15</v>
      </c>
      <c r="H127" s="20" t="s">
        <v>56</v>
      </c>
      <c r="I127" s="43" t="s">
        <v>72</v>
      </c>
      <c r="J127" s="43" t="s">
        <v>91</v>
      </c>
      <c r="K127" s="22">
        <v>45707</v>
      </c>
      <c r="L127" s="40">
        <v>30000</v>
      </c>
      <c r="M127" s="42" t="s">
        <v>61</v>
      </c>
      <c r="N127" s="20" t="s">
        <v>57</v>
      </c>
      <c r="O127" s="20" t="s">
        <v>282</v>
      </c>
      <c r="P127" s="20" t="s">
        <v>21</v>
      </c>
      <c r="Q127" s="21">
        <v>31652</v>
      </c>
      <c r="R127" s="42" t="s">
        <v>49</v>
      </c>
      <c r="S127" s="53" t="s">
        <v>86</v>
      </c>
      <c r="T127" s="42">
        <v>3135266934</v>
      </c>
      <c r="U127" s="24" t="s">
        <v>299</v>
      </c>
      <c r="V127" s="25" t="e">
        <f>IF(P127=#REF!,"DIPLOMADO EN ATENCION PRE-HOSPITALARIA",IF(P127=#REF!,"ACOMPAÑAMIENTO Y MANEJO DEL DUELO",IF(P127=#REF!,"ATENCION A VICTIMAS DE ATAQUE CON AGENTES QUIMICOS ",IF(P127=#REF!,"PRIMEROS AUXILIOS ",IF(P127=#REF!,"DIPLOMADO DE UNIDAD DE CUIDADOS INTENSIVOS (UCI)",IF(P127=#REF!,"MODELO DE ATENCION PARA EVENTOS EMERGENTES EN SALUD MENTAL (CODIGO VERDE)",IF(P127=#REF!,"HUMANIZACION EN EL SERVICIO DE LA SALUD Y BUENAS PRACTICAS EN PACIENTE ",IF(P127=#REF!,"CLINICA DE HERIDAS ",IF(P127=#REF!,"TOMA DE CITOLOGIA CERVICO VAGINAL ",IF(P127=#REF!,"SOPORTE CARDIOVASCULAR AVANZADO (ACLS) ",IF(P127=#REF!,"CAMILLERO ",IF(P127=#REF!,"TOMA DE MUESTRAS Y LABORATORIO ",IF(P127=#REF!,"SOPORTE VITAL BASICO (BLS)",IF(P127=#REF!,"ATENCION A VICTIMAS DE VIOLENCIA SEXUAL ",IF(P127=#REF!,"PROGRAMADO AMPLIADO DE INMUNIZACION (PAI - COVID 19)",IF(P127=#REF!,"ATENCION INTEGRAL EN ENFERMEDADES PREVALENTES EN PRIMERA INFANCIA (AIEPI)",IF(P127=#REF!,"ADMINISTRACION DE MEDICAMENTOS, INYECTOLOGIA  Y CANALIZACION ",IF(P127=#REF!,"OPERADOR DE VEHICULOS DE EMERGENCIA (OVE)",IF(P127=#REF!,"INSTITUCIONES AMIGAS DE LA MUJER Y LA INFANCIA (IAMI)",IF(P127=#REF!,"CUIDADO DEL DONANTE DE ORGANOS",IF(P127=#REF!,"ATENCION A VICTIMAS POR VIOLENCIA DE GENERO",IF(P127=#REF!,"IGUALDAD DE GENERO EN LA SALUD",IF(P127=#REF!,"BRIGADA DE EMERGENCIA",IF(P127=#REF!,"MANEJO DEL DOLOR Y CUIDADOS PALIATIVOS",IF(P127=#REF!,"TOMA DE MUESTRAS Y LABORATORIO POCT",IF(P127=#REF!,"IMPLANTE SUBDERMICO DE DISPOSITIVO INTRAUTERINO",IF(P127=#REF!,"SALUD MENTAL",IF(P127=#REF!,"PRIMEROS AUXILIOS PSICOLOGICOS",IF(P127=#REF!,"ATENCION A VICTIMAS POR CONFLICTO ARMADO",IF(P127=#REF!,"MANIPULACION DE ALIMENTOS Y BPM",IF(P127=#REF!,"ATENCION A PERSONAS CON DISCAPACIDAD",IF(P127=#REF!,"CUIDADO INTEGRAL DEL PACIENTE ADULTO",IF(P127=#REF!,"MANEJO DEFENSIVO",IF(P127=#REF!,"SOPORTE CARDIOVASCULAR AVANZADO NEONATAL",IF(P127=#REF!,"SEGURIDAD DEL PACIENTE",IF(P127=#REF!,"MANEJO DE RESIDUOS HOSPITALARIOS"))))))))))))))))))))))))))))))))))))</f>
        <v>#REF!</v>
      </c>
      <c r="W127" s="25" t="str">
        <f t="shared" si="11"/>
        <v>Lizeth Fernanda Florez Mora</v>
      </c>
      <c r="X127" s="25" t="str">
        <f t="shared" si="12"/>
        <v>Lizeth Fernanda Florez Mora</v>
      </c>
      <c r="Y127" s="69" t="str">
        <f t="shared" si="13"/>
        <v>Lizeth Fernanda Florez Mora-37087485-QUIMICOS</v>
      </c>
    </row>
    <row r="128" spans="1:25" x14ac:dyDescent="0.2">
      <c r="A128" s="19">
        <v>127</v>
      </c>
      <c r="B128" s="20">
        <v>37087485</v>
      </c>
      <c r="C128" s="42" t="s">
        <v>297</v>
      </c>
      <c r="D128" s="42" t="s">
        <v>227</v>
      </c>
      <c r="E128" s="42" t="s">
        <v>298</v>
      </c>
      <c r="F128" s="42" t="s">
        <v>99</v>
      </c>
      <c r="G128" s="42">
        <v>17</v>
      </c>
      <c r="H128" s="20" t="s">
        <v>56</v>
      </c>
      <c r="I128" s="43" t="s">
        <v>72</v>
      </c>
      <c r="J128" s="43" t="s">
        <v>91</v>
      </c>
      <c r="K128" s="22">
        <v>45707</v>
      </c>
      <c r="L128" s="40">
        <v>30000</v>
      </c>
      <c r="M128" s="42" t="s">
        <v>61</v>
      </c>
      <c r="N128" s="20" t="s">
        <v>57</v>
      </c>
      <c r="O128" s="20" t="s">
        <v>282</v>
      </c>
      <c r="P128" s="20" t="s">
        <v>295</v>
      </c>
      <c r="Q128" s="21">
        <v>31652</v>
      </c>
      <c r="R128" s="42" t="s">
        <v>49</v>
      </c>
      <c r="S128" s="53" t="s">
        <v>86</v>
      </c>
      <c r="T128" s="42">
        <v>3135266934</v>
      </c>
      <c r="U128" s="24" t="s">
        <v>299</v>
      </c>
      <c r="V128" s="25" t="e">
        <f>IF(P128=#REF!,"DIPLOMADO EN ATENCION PRE-HOSPITALARIA",IF(P128=#REF!,"ACOMPAÑAMIENTO Y MANEJO DEL DUELO",IF(P128=#REF!,"ATENCION A VICTIMAS DE ATAQUE CON AGENTES QUIMICOS ",IF(P128=#REF!,"PRIMEROS AUXILIOS ",IF(P128=#REF!,"DIPLOMADO DE UNIDAD DE CUIDADOS INTENSIVOS (UCI)",IF(P128=#REF!,"MODELO DE ATENCION PARA EVENTOS EMERGENTES EN SALUD MENTAL (CODIGO VERDE)",IF(P128=#REF!,"HUMANIZACION EN EL SERVICIO DE LA SALUD Y BUENAS PRACTICAS EN PACIENTE ",IF(P128=#REF!,"CLINICA DE HERIDAS ",IF(P128=#REF!,"TOMA DE CITOLOGIA CERVICO VAGINAL ",IF(P128=#REF!,"SOPORTE CARDIOVASCULAR AVANZADO (ACLS) ",IF(P128=#REF!,"CAMILLERO ",IF(P128=#REF!,"TOMA DE MUESTRAS Y LABORATORIO ",IF(P128=#REF!,"SOPORTE VITAL BASICO (BLS)",IF(P128=#REF!,"ATENCION A VICTIMAS DE VIOLENCIA SEXUAL ",IF(P128=#REF!,"PROGRAMADO AMPLIADO DE INMUNIZACION (PAI - COVID 19)",IF(P128=#REF!,"ATENCION INTEGRAL EN ENFERMEDADES PREVALENTES EN PRIMERA INFANCIA (AIEPI)",IF(P128=#REF!,"ADMINISTRACION DE MEDICAMENTOS, INYECTOLOGIA  Y CANALIZACION ",IF(P128=#REF!,"OPERADOR DE VEHICULOS DE EMERGENCIA (OVE)",IF(P128=#REF!,"INSTITUCIONES AMIGAS DE LA MUJER Y LA INFANCIA (IAMI)",IF(P128=#REF!,"CUIDADO DEL DONANTE DE ORGANOS",IF(P128=#REF!,"ATENCION A VICTIMAS POR VIOLENCIA DE GENERO",IF(P128=#REF!,"IGUALDAD DE GENERO EN LA SALUD",IF(P128=#REF!,"BRIGADA DE EMERGENCIA",IF(P128=#REF!,"MANEJO DEL DOLOR Y CUIDADOS PALIATIVOS",IF(P128=#REF!,"TOMA DE MUESTRAS Y LABORATORIO POCT",IF(P128=#REF!,"IMPLANTE SUBDERMICO DE DISPOSITIVO INTRAUTERINO",IF(P128=#REF!,"SALUD MENTAL",IF(P128=#REF!,"PRIMEROS AUXILIOS PSICOLOGICOS",IF(P128=#REF!,"ATENCION A VICTIMAS POR CONFLICTO ARMADO",IF(P128=#REF!,"MANIPULACION DE ALIMENTOS Y BPM",IF(P128=#REF!,"ATENCION A PERSONAS CON DISCAPACIDAD",IF(P128=#REF!,"CUIDADO INTEGRAL DEL PACIENTE ADULTO",IF(P128=#REF!,"MANEJO DEFENSIVO",IF(P128=#REF!,"SOPORTE CARDIOVASCULAR AVANZADO NEONATAL",IF(P128=#REF!,"SEGURIDAD DEL PACIENTE",IF(P128=#REF!,"MANEJO DE RESIDUOS HOSPITALARIOS"))))))))))))))))))))))))))))))))))))</f>
        <v>#REF!</v>
      </c>
      <c r="W128" s="25" t="str">
        <f t="shared" si="11"/>
        <v>Lizeth Fernanda Florez Mora</v>
      </c>
      <c r="X128" s="25" t="str">
        <f t="shared" si="12"/>
        <v>Lizeth Fernanda Florez Mora</v>
      </c>
      <c r="Y128" s="69" t="str">
        <f t="shared" si="13"/>
        <v>Lizeth Fernanda Florez Mora-37087485-LAVADO DE MANOS</v>
      </c>
    </row>
    <row r="129" spans="1:25" x14ac:dyDescent="0.2">
      <c r="A129" s="19">
        <v>128</v>
      </c>
      <c r="B129" s="20">
        <v>37087485</v>
      </c>
      <c r="C129" s="42" t="s">
        <v>297</v>
      </c>
      <c r="D129" s="42" t="s">
        <v>227</v>
      </c>
      <c r="E129" s="42" t="s">
        <v>298</v>
      </c>
      <c r="F129" s="42" t="s">
        <v>99</v>
      </c>
      <c r="G129" s="42">
        <v>18</v>
      </c>
      <c r="H129" s="20" t="s">
        <v>56</v>
      </c>
      <c r="I129" s="43" t="s">
        <v>72</v>
      </c>
      <c r="J129" s="43" t="s">
        <v>91</v>
      </c>
      <c r="K129" s="22">
        <v>45707</v>
      </c>
      <c r="L129" s="40">
        <v>30000</v>
      </c>
      <c r="M129" s="42" t="s">
        <v>61</v>
      </c>
      <c r="N129" s="20" t="s">
        <v>57</v>
      </c>
      <c r="O129" s="20" t="s">
        <v>282</v>
      </c>
      <c r="P129" s="20" t="s">
        <v>23</v>
      </c>
      <c r="Q129" s="21">
        <v>31652</v>
      </c>
      <c r="R129" s="42" t="s">
        <v>49</v>
      </c>
      <c r="S129" s="53" t="s">
        <v>86</v>
      </c>
      <c r="T129" s="42">
        <v>3135266934</v>
      </c>
      <c r="U129" s="24" t="s">
        <v>299</v>
      </c>
      <c r="V129" s="25" t="e">
        <f>IF(P129=#REF!,"DIPLOMADO EN ATENCION PRE-HOSPITALARIA",IF(P129=#REF!,"ACOMPAÑAMIENTO Y MANEJO DEL DUELO",IF(P129=#REF!,"ATENCION A VICTIMAS DE ATAQUE CON AGENTES QUIMICOS ",IF(P129=#REF!,"PRIMEROS AUXILIOS ",IF(P129=#REF!,"DIPLOMADO DE UNIDAD DE CUIDADOS INTENSIVOS (UCI)",IF(P129=#REF!,"MODELO DE ATENCION PARA EVENTOS EMERGENTES EN SALUD MENTAL (CODIGO VERDE)",IF(P129=#REF!,"HUMANIZACION EN EL SERVICIO DE LA SALUD Y BUENAS PRACTICAS EN PACIENTE ",IF(P129=#REF!,"CLINICA DE HERIDAS ",IF(P129=#REF!,"TOMA DE CITOLOGIA CERVICO VAGINAL ",IF(P129=#REF!,"SOPORTE CARDIOVASCULAR AVANZADO (ACLS) ",IF(P129=#REF!,"CAMILLERO ",IF(P129=#REF!,"TOMA DE MUESTRAS Y LABORATORIO ",IF(P129=#REF!,"SOPORTE VITAL BASICO (BLS)",IF(P129=#REF!,"ATENCION A VICTIMAS DE VIOLENCIA SEXUAL ",IF(P129=#REF!,"PROGRAMADO AMPLIADO DE INMUNIZACION (PAI - COVID 19)",IF(P129=#REF!,"ATENCION INTEGRAL EN ENFERMEDADES PREVALENTES EN PRIMERA INFANCIA (AIEPI)",IF(P129=#REF!,"ADMINISTRACION DE MEDICAMENTOS, INYECTOLOGIA  Y CANALIZACION ",IF(P129=#REF!,"OPERADOR DE VEHICULOS DE EMERGENCIA (OVE)",IF(P129=#REF!,"INSTITUCIONES AMIGAS DE LA MUJER Y LA INFANCIA (IAMI)",IF(P129=#REF!,"CUIDADO DEL DONANTE DE ORGANOS",IF(P129=#REF!,"ATENCION A VICTIMAS POR VIOLENCIA DE GENERO",IF(P129=#REF!,"IGUALDAD DE GENERO EN LA SALUD",IF(P129=#REF!,"BRIGADA DE EMERGENCIA",IF(P129=#REF!,"MANEJO DEL DOLOR Y CUIDADOS PALIATIVOS",IF(P129=#REF!,"TOMA DE MUESTRAS Y LABORATORIO POCT",IF(P129=#REF!,"IMPLANTE SUBDERMICO DE DISPOSITIVO INTRAUTERINO",IF(P129=#REF!,"SALUD MENTAL",IF(P129=#REF!,"PRIMEROS AUXILIOS PSICOLOGICOS",IF(P129=#REF!,"ATENCION A VICTIMAS POR CONFLICTO ARMADO",IF(P129=#REF!,"MANIPULACION DE ALIMENTOS Y BPM",IF(P129=#REF!,"ATENCION A PERSONAS CON DISCAPACIDAD",IF(P129=#REF!,"CUIDADO INTEGRAL DEL PACIENTE ADULTO",IF(P129=#REF!,"MANEJO DEFENSIVO",IF(P129=#REF!,"SOPORTE CARDIOVASCULAR AVANZADO NEONATAL",IF(P129=#REF!,"SEGURIDAD DEL PACIENTE",IF(P129=#REF!,"MANEJO DE RESIDUOS HOSPITALARIOS"))))))))))))))))))))))))))))))))))))</f>
        <v>#REF!</v>
      </c>
      <c r="W129" s="25" t="str">
        <f t="shared" si="11"/>
        <v>Lizeth Fernanda Florez Mora</v>
      </c>
      <c r="X129" s="25" t="str">
        <f t="shared" si="12"/>
        <v>Lizeth Fernanda Florez Mora</v>
      </c>
      <c r="Y129" s="69" t="str">
        <f t="shared" si="13"/>
        <v>Lizeth Fernanda Florez Mora-37087485-HUMANIZACION</v>
      </c>
    </row>
    <row r="130" spans="1:25" x14ac:dyDescent="0.2">
      <c r="A130" s="19">
        <v>129</v>
      </c>
      <c r="B130" s="20">
        <v>1085274303</v>
      </c>
      <c r="C130" s="42" t="s">
        <v>300</v>
      </c>
      <c r="D130" s="42" t="s">
        <v>301</v>
      </c>
      <c r="E130" s="42" t="s">
        <v>302</v>
      </c>
      <c r="F130" s="42" t="s">
        <v>303</v>
      </c>
      <c r="G130" s="42">
        <v>18</v>
      </c>
      <c r="H130" s="20" t="s">
        <v>56</v>
      </c>
      <c r="I130" s="43" t="s">
        <v>72</v>
      </c>
      <c r="J130" s="43" t="s">
        <v>279</v>
      </c>
      <c r="K130" s="22">
        <v>45707</v>
      </c>
      <c r="L130" s="23">
        <v>40000</v>
      </c>
      <c r="M130" s="20" t="s">
        <v>61</v>
      </c>
      <c r="N130" s="20" t="s">
        <v>57</v>
      </c>
      <c r="O130" s="20" t="s">
        <v>48</v>
      </c>
      <c r="P130" s="20" t="s">
        <v>21</v>
      </c>
      <c r="Q130" s="21">
        <v>32022</v>
      </c>
      <c r="R130" s="42" t="s">
        <v>49</v>
      </c>
      <c r="S130" s="20" t="s">
        <v>74</v>
      </c>
      <c r="T130" s="20">
        <v>3125368523</v>
      </c>
      <c r="U130" s="20" t="s">
        <v>304</v>
      </c>
      <c r="V130" s="25" t="e">
        <f>IF(P130=#REF!,"DIPLOMADO EN ATENCION PRE-HOSPITALARIA",IF(P130=#REF!,"ACOMPAÑAMIENTO Y MANEJO DEL DUELO",IF(P130=#REF!,"ATENCION A VICTIMAS DE ATAQUE CON AGENTES QUIMICOS ",IF(P130=#REF!,"PRIMEROS AUXILIOS ",IF(P130=#REF!,"DIPLOMADO DE UNIDAD DE CUIDADOS INTENSIVOS (UCI)",IF(P130=#REF!,"MODELO DE ATENCION PARA EVENTOS EMERGENTES EN SALUD MENTAL (CODIGO VERDE)",IF(P130=#REF!,"HUMANIZACION EN EL SERVICIO DE LA SALUD Y BUENAS PRACTICAS EN PACIENTE ",IF(P130=#REF!,"CLINICA DE HERIDAS ",IF(P130=#REF!,"TOMA DE CITOLOGIA CERVICO VAGINAL ",IF(P130=#REF!,"SOPORTE CARDIOVASCULAR AVANZADO (ACLS) ",IF(P130=#REF!,"CAMILLERO ",IF(P130=#REF!,"TOMA DE MUESTRAS Y LABORATORIO ",IF(P130=#REF!,"SOPORTE VITAL BASICO (BLS)",IF(P130=#REF!,"ATENCION A VICTIMAS DE VIOLENCIA SEXUAL ",IF(P130=#REF!,"PROGRAMADO AMPLIADO DE INMUNIZACION (PAI - COVID 19)",IF(P130=#REF!,"ATENCION INTEGRAL EN ENFERMEDADES PREVALENTES EN PRIMERA INFANCIA (AIEPI)",IF(P130=#REF!,"ADMINISTRACION DE MEDICAMENTOS, INYECTOLOGIA  Y CANALIZACION ",IF(P130=#REF!,"OPERADOR DE VEHICULOS DE EMERGENCIA (OVE)",IF(P130=#REF!,"INSTITUCIONES AMIGAS DE LA MUJER Y LA INFANCIA (IAMI)",IF(P130=#REF!,"CUIDADO DEL DONANTE DE ORGANOS",IF(P130=#REF!,"ATENCION A VICTIMAS POR VIOLENCIA DE GENERO",IF(P130=#REF!,"IGUALDAD DE GENERO EN LA SALUD",IF(P130=#REF!,"BRIGADA DE EMERGENCIA",IF(P130=#REF!,"MANEJO DEL DOLOR Y CUIDADOS PALIATIVOS",IF(P130=#REF!,"TOMA DE MUESTRAS Y LABORATORIO POCT",IF(P130=#REF!,"IMPLANTE SUBDERMICO DE DISPOSITIVO INTRAUTERINO",IF(P130=#REF!,"SALUD MENTAL",IF(P130=#REF!,"PRIMEROS AUXILIOS PSICOLOGICOS",IF(P130=#REF!,"ATENCION A VICTIMAS POR CONFLICTO ARMADO",IF(P130=#REF!,"MANIPULACION DE ALIMENTOS Y BPM",IF(P130=#REF!,"ATENCION A PERSONAS CON DISCAPACIDAD",IF(P130=#REF!,"CUIDADO INTEGRAL DEL PACIENTE ADULTO",IF(P130=#REF!,"MANEJO DEFENSIVO",IF(P130=#REF!,"SOPORTE CARDIOVASCULAR AVANZADO NEONATAL",IF(P130=#REF!,"SEGURIDAD DEL PACIENTE",IF(P130=#REF!,"MANEJO DE RESIDUOS HOSPITALARIOS"))))))))))))))))))))))))))))))))))))</f>
        <v>#REF!</v>
      </c>
      <c r="W130" s="25" t="str">
        <f t="shared" si="11"/>
        <v>Yecid Nayive Lagos Sanchez</v>
      </c>
      <c r="X130" s="25" t="str">
        <f t="shared" si="12"/>
        <v>Yecid Nayive Lagos Sanchez</v>
      </c>
      <c r="Y130" s="69" t="str">
        <f t="shared" si="13"/>
        <v>Yecid Nayive Lagos Sanchez-1085274303-QUIMICOS</v>
      </c>
    </row>
    <row r="131" spans="1:25" x14ac:dyDescent="0.2">
      <c r="A131" s="19">
        <v>130</v>
      </c>
      <c r="B131" s="20">
        <v>1004716257</v>
      </c>
      <c r="C131" s="42" t="s">
        <v>305</v>
      </c>
      <c r="D131" s="42" t="s">
        <v>306</v>
      </c>
      <c r="E131" s="42" t="s">
        <v>307</v>
      </c>
      <c r="F131" s="42" t="s">
        <v>246</v>
      </c>
      <c r="G131" s="42">
        <v>19</v>
      </c>
      <c r="H131" s="20" t="s">
        <v>56</v>
      </c>
      <c r="I131" s="43" t="s">
        <v>72</v>
      </c>
      <c r="J131" s="43" t="s">
        <v>279</v>
      </c>
      <c r="K131" s="22">
        <v>45707</v>
      </c>
      <c r="L131" s="23">
        <v>30000</v>
      </c>
      <c r="M131" s="20" t="s">
        <v>90</v>
      </c>
      <c r="N131" s="20" t="s">
        <v>57</v>
      </c>
      <c r="O131" s="20" t="s">
        <v>48</v>
      </c>
      <c r="P131" s="20" t="s">
        <v>35</v>
      </c>
      <c r="Q131" s="21">
        <v>36685</v>
      </c>
      <c r="R131" s="42" t="s">
        <v>49</v>
      </c>
      <c r="S131" s="20" t="s">
        <v>74</v>
      </c>
      <c r="T131" s="20">
        <v>3216671626</v>
      </c>
      <c r="U131" s="20" t="s">
        <v>308</v>
      </c>
      <c r="V131" s="25" t="e">
        <f>IF(P131=#REF!,"DIPLOMADO EN ATENCION PRE-HOSPITALARIA",IF(P131=#REF!,"ACOMPAÑAMIENTO Y MANEJO DEL DUELO",IF(P131=#REF!,"ATENCION A VICTIMAS DE ATAQUE CON AGENTES QUIMICOS ",IF(P131=#REF!,"PRIMEROS AUXILIOS ",IF(P131=#REF!,"DIPLOMADO DE UNIDAD DE CUIDADOS INTENSIVOS (UCI)",IF(P131=#REF!,"MODELO DE ATENCION PARA EVENTOS EMERGENTES EN SALUD MENTAL (CODIGO VERDE)",IF(P131=#REF!,"HUMANIZACION EN EL SERVICIO DE LA SALUD Y BUENAS PRACTICAS EN PACIENTE ",IF(P131=#REF!,"CLINICA DE HERIDAS ",IF(P131=#REF!,"TOMA DE CITOLOGIA CERVICO VAGINAL ",IF(P131=#REF!,"SOPORTE CARDIOVASCULAR AVANZADO (ACLS) ",IF(P131=#REF!,"CAMILLERO ",IF(P131=#REF!,"TOMA DE MUESTRAS Y LABORATORIO ",IF(P131=#REF!,"SOPORTE VITAL BASICO (BLS)",IF(P131=#REF!,"ATENCION A VICTIMAS DE VIOLENCIA SEXUAL ",IF(P131=#REF!,"PROGRAMADO AMPLIADO DE INMUNIZACION (PAI - COVID 19)",IF(P131=#REF!,"ATENCION INTEGRAL EN ENFERMEDADES PREVALENTES EN PRIMERA INFANCIA (AIEPI)",IF(P131=#REF!,"ADMINISTRACION DE MEDICAMENTOS, INYECTOLOGIA  Y CANALIZACION ",IF(P131=#REF!,"OPERADOR DE VEHICULOS DE EMERGENCIA (OVE)",IF(P131=#REF!,"INSTITUCIONES AMIGAS DE LA MUJER Y LA INFANCIA (IAMI)",IF(P131=#REF!,"CUIDADO DEL DONANTE DE ORGANOS",IF(P131=#REF!,"ATENCION A VICTIMAS POR VIOLENCIA DE GENERO",IF(P131=#REF!,"IGUALDAD DE GENERO EN LA SALUD",IF(P131=#REF!,"BRIGADA DE EMERGENCIA",IF(P131=#REF!,"MANEJO DEL DOLOR Y CUIDADOS PALIATIVOS",IF(P131=#REF!,"TOMA DE MUESTRAS Y LABORATORIO POCT",IF(P131=#REF!,"IMPLANTE SUBDERMICO DE DISPOSITIVO INTRAUTERINO",IF(P131=#REF!,"SALUD MENTAL",IF(P131=#REF!,"PRIMEROS AUXILIOS PSICOLOGICOS",IF(P131=#REF!,"ATENCION A VICTIMAS POR CONFLICTO ARMADO",IF(P131=#REF!,"MANIPULACION DE ALIMENTOS Y BPM",IF(P131=#REF!,"ATENCION A PERSONAS CON DISCAPACIDAD",IF(P131=#REF!,"CUIDADO INTEGRAL DEL PACIENTE ADULTO",IF(P131=#REF!,"MANEJO DEFENSIVO",IF(P131=#REF!,"SOPORTE CARDIOVASCULAR AVANZADO NEONATAL",IF(P131=#REF!,"SEGURIDAD DEL PACIENTE",IF(P131=#REF!,"MANEJO DE RESIDUOS HOSPITALARIOS"))))))))))))))))))))))))))))))))))))</f>
        <v>#REF!</v>
      </c>
      <c r="W131" s="25" t="str">
        <f t="shared" si="11"/>
        <v>Jessica Paola Maldonado Ortiz</v>
      </c>
      <c r="X131" s="25" t="str">
        <f t="shared" si="12"/>
        <v>Jessica Paola Maldonado Ortiz</v>
      </c>
      <c r="Y131" s="69" t="str">
        <f t="shared" si="13"/>
        <v>Jessica Paola Maldonado Ortiz-1004716257-CONFLICTO ARMADO</v>
      </c>
    </row>
    <row r="132" spans="1:25" x14ac:dyDescent="0.2">
      <c r="A132" s="19">
        <v>131</v>
      </c>
      <c r="B132" s="20">
        <v>1085257731</v>
      </c>
      <c r="C132" s="20" t="s">
        <v>309</v>
      </c>
      <c r="D132" s="20" t="s">
        <v>165</v>
      </c>
      <c r="E132" s="42" t="s">
        <v>225</v>
      </c>
      <c r="F132" s="20" t="s">
        <v>71</v>
      </c>
      <c r="G132" s="42">
        <v>19</v>
      </c>
      <c r="H132" s="20" t="s">
        <v>56</v>
      </c>
      <c r="I132" s="43" t="s">
        <v>72</v>
      </c>
      <c r="J132" s="43" t="s">
        <v>279</v>
      </c>
      <c r="K132" s="22">
        <v>45707</v>
      </c>
      <c r="L132" s="23">
        <v>40000</v>
      </c>
      <c r="M132" s="20" t="s">
        <v>61</v>
      </c>
      <c r="N132" s="20" t="s">
        <v>57</v>
      </c>
      <c r="O132" s="20" t="s">
        <v>48</v>
      </c>
      <c r="P132" s="20" t="s">
        <v>27</v>
      </c>
      <c r="Q132" s="21">
        <v>31487</v>
      </c>
      <c r="R132" s="20" t="s">
        <v>49</v>
      </c>
      <c r="S132" s="24" t="s">
        <v>289</v>
      </c>
      <c r="T132" s="20">
        <v>3213623130</v>
      </c>
      <c r="U132" s="20" t="s">
        <v>310</v>
      </c>
      <c r="V132" s="25" t="e">
        <f>IF(P132=#REF!,"DIPLOMADO EN ATENCION PRE-HOSPITALARIA",IF(P132=#REF!,"ACOMPAÑAMIENTO Y MANEJO DEL DUELO",IF(P132=#REF!,"ATENCION A VICTIMAS DE ATAQUE CON AGENTES QUIMICOS ",IF(P132=#REF!,"PRIMEROS AUXILIOS ",IF(P132=#REF!,"DIPLOMADO DE UNIDAD DE CUIDADOS INTENSIVOS (UCI)",IF(P132=#REF!,"MODELO DE ATENCION PARA EVENTOS EMERGENTES EN SALUD MENTAL (CODIGO VERDE)",IF(P132=#REF!,"HUMANIZACION EN EL SERVICIO DE LA SALUD Y BUENAS PRACTICAS EN PACIENTE ",IF(P132=#REF!,"CLINICA DE HERIDAS ",IF(P132=#REF!,"TOMA DE CITOLOGIA CERVICO VAGINAL ",IF(P132=#REF!,"SOPORTE CARDIOVASCULAR AVANZADO (ACLS) ",IF(P132=#REF!,"CAMILLERO ",IF(P132=#REF!,"TOMA DE MUESTRAS Y LABORATORIO ",IF(P132=#REF!,"SOPORTE VITAL BASICO (BLS)",IF(P132=#REF!,"ATENCION A VICTIMAS DE VIOLENCIA SEXUAL ",IF(P132=#REF!,"PROGRAMADO AMPLIADO DE INMUNIZACION (PAI - COVID 19)",IF(P132=#REF!,"ATENCION INTEGRAL EN ENFERMEDADES PREVALENTES EN PRIMERA INFANCIA (AIEPI)",IF(P132=#REF!,"ADMINISTRACION DE MEDICAMENTOS, INYECTOLOGIA  Y CANALIZACION ",IF(P132=#REF!,"OPERADOR DE VEHICULOS DE EMERGENCIA (OVE)",IF(P132=#REF!,"INSTITUCIONES AMIGAS DE LA MUJER Y LA INFANCIA (IAMI)",IF(P132=#REF!,"CUIDADO DEL DONANTE DE ORGANOS",IF(P132=#REF!,"ATENCION A VICTIMAS POR VIOLENCIA DE GENERO",IF(P132=#REF!,"IGUALDAD DE GENERO EN LA SALUD",IF(P132=#REF!,"BRIGADA DE EMERGENCIA",IF(P132=#REF!,"MANEJO DEL DOLOR Y CUIDADOS PALIATIVOS",IF(P132=#REF!,"TOMA DE MUESTRAS Y LABORATORIO POCT",IF(P132=#REF!,"IMPLANTE SUBDERMICO DE DISPOSITIVO INTRAUTERINO",IF(P132=#REF!,"SALUD MENTAL",IF(P132=#REF!,"PRIMEROS AUXILIOS PSICOLOGICOS",IF(P132=#REF!,"ATENCION A VICTIMAS POR CONFLICTO ARMADO",IF(P132=#REF!,"MANIPULACION DE ALIMENTOS Y BPM",IF(P132=#REF!,"ATENCION A PERSONAS CON DISCAPACIDAD",IF(P132=#REF!,"CUIDADO INTEGRAL DEL PACIENTE ADULTO",IF(P132=#REF!,"MANEJO DEFENSIVO",IF(P132=#REF!,"SOPORTE CARDIOVASCULAR AVANZADO NEONATAL",IF(P132=#REF!,"SEGURIDAD DEL PACIENTE",IF(P132=#REF!,"MANEJO DE RESIDUOS HOSPITALARIOS"))))))))))))))))))))))))))))))))))))</f>
        <v>#REF!</v>
      </c>
      <c r="W132" s="25" t="str">
        <f t="shared" si="11"/>
        <v>Ana Elizabeth Castillo Timana</v>
      </c>
      <c r="X132" s="25" t="str">
        <f t="shared" si="12"/>
        <v>Ana Elizabeth Castillo Timana</v>
      </c>
      <c r="Y132" s="69" t="str">
        <f t="shared" si="13"/>
        <v>Ana Elizabeth Castillo Timana-1085257731-VIOLENCIA SEXUAL</v>
      </c>
    </row>
    <row r="133" spans="1:25" x14ac:dyDescent="0.2">
      <c r="A133" s="19">
        <v>132</v>
      </c>
      <c r="B133" s="20">
        <v>1088735354</v>
      </c>
      <c r="C133" s="20" t="s">
        <v>110</v>
      </c>
      <c r="D133" s="20" t="s">
        <v>111</v>
      </c>
      <c r="E133" s="42" t="s">
        <v>112</v>
      </c>
      <c r="F133" s="20" t="s">
        <v>113</v>
      </c>
      <c r="G133" s="20">
        <v>19</v>
      </c>
      <c r="H133" s="20" t="s">
        <v>56</v>
      </c>
      <c r="I133" s="21" t="s">
        <v>72</v>
      </c>
      <c r="J133" s="21" t="s">
        <v>91</v>
      </c>
      <c r="K133" s="22">
        <v>45709</v>
      </c>
      <c r="L133" s="40">
        <v>20000</v>
      </c>
      <c r="M133" s="42" t="s">
        <v>90</v>
      </c>
      <c r="N133" s="20" t="s">
        <v>57</v>
      </c>
      <c r="O133" s="20" t="s">
        <v>73</v>
      </c>
      <c r="P133" s="20" t="s">
        <v>19</v>
      </c>
      <c r="Q133" s="21">
        <v>36800</v>
      </c>
      <c r="R133" s="20" t="s">
        <v>49</v>
      </c>
      <c r="S133" s="24" t="s">
        <v>74</v>
      </c>
      <c r="T133" s="20">
        <v>3176090444</v>
      </c>
      <c r="U133" s="20" t="s">
        <v>114</v>
      </c>
      <c r="V133" s="25" t="e">
        <f>IF(P133=#REF!,"DIPLOMADO EN ATENCION PRE-HOSPITALARIA",IF(P133=#REF!,"ACOMPAÑAMIENTO Y MANEJO DEL DUELO",IF(P133=#REF!,"ATENCION A VICTIMAS DE ATAQUE CON AGENTES QUIMICOS ",IF(P133=#REF!,"PRIMEROS AUXILIOS ",IF(P133=#REF!,"DIPLOMADO DE UNIDAD DE CUIDADOS INTENSIVOS (UCI)",IF(P133=#REF!,"MODELO DE ATENCION PARA EVENTOS EMERGENTES EN SALUD MENTAL (CODIGO VERDE)",IF(P133=#REF!,"HUMANIZACION EN EL SERVICIO DE LA SALUD Y BUENAS PRACTICAS EN PACIENTE ",IF(P133=#REF!,"CLINICA DE HERIDAS ",IF(P133=#REF!,"TOMA DE CITOLOGIA CERVICO VAGINAL ",IF(P133=#REF!,"SOPORTE CARDIOVASCULAR AVANZADO (ACLS) ",IF(P133=#REF!,"CAMILLERO ",IF(P133=#REF!,"TOMA DE MUESTRAS Y LABORATORIO ",IF(P133=#REF!,"SOPORTE VITAL BASICO (BLS)",IF(P133=#REF!,"ATENCION A VICTIMAS DE VIOLENCIA SEXUAL ",IF(P133=#REF!,"PROGRAMADO AMPLIADO DE INMUNIZACION (PAI - COVID 19)",IF(P133=#REF!,"ATENCION INTEGRAL EN ENFERMEDADES PREVALENTES EN PRIMERA INFANCIA (AIEPI)",IF(P133=#REF!,"ADMINISTRACION DE MEDICAMENTOS, INYECTOLOGIA  Y CANALIZACION ",IF(P133=#REF!,"OPERADOR DE VEHICULOS DE EMERGENCIA (OVE)",IF(P133=#REF!,"INSTITUCIONES AMIGAS DE LA MUJER Y LA INFANCIA (IAMI)",IF(P133=#REF!,"CUIDADO DEL DONANTE DE ORGANOS",IF(P133=#REF!,"ATENCION A VICTIMAS POR VIOLENCIA DE GENERO",IF(P133=#REF!,"IGUALDAD DE GENERO EN LA SALUD",IF(P133=#REF!,"BRIGADA DE EMERGENCIA",IF(P133=#REF!,"MANEJO DEL DOLOR Y CUIDADOS PALIATIVOS",IF(P133=#REF!,"TOMA DE MUESTRAS Y LABORATORIO POCT",IF(P133=#REF!,"IMPLANTE SUBDERMICO DE DISPOSITIVO INTRAUTERINO",IF(P133=#REF!,"SALUD MENTAL",IF(P133=#REF!,"PRIMEROS AUXILIOS PSICOLOGICOS",IF(P133=#REF!,"ATENCION A VICTIMAS POR CONFLICTO ARMADO",IF(P133=#REF!,"MANIPULACION DE ALIMENTOS Y BPM",IF(P133=#REF!,"ATENCION A PERSONAS CON DISCAPACIDAD",IF(P133=#REF!,"CUIDADO INTEGRAL DEL PACIENTE ADULTO",IF(P133=#REF!,"MANEJO DEFENSIVO",IF(P133=#REF!,"SOPORTE CARDIOVASCULAR AVANZADO NEONATAL",IF(P133=#REF!,"SEGURIDAD DEL PACIENTE",IF(P133=#REF!,"MANEJO DE RESIDUOS HOSPITALARIOS"))))))))))))))))))))))))))))))))))))</f>
        <v>#REF!</v>
      </c>
      <c r="W133" s="25" t="str">
        <f t="shared" si="11"/>
        <v>Maria Alexandra Nastacuas Taicus</v>
      </c>
      <c r="X133" s="25" t="str">
        <f t="shared" si="12"/>
        <v>Maria Alexandra Nastacuas Taicus</v>
      </c>
      <c r="Y133" s="69" t="str">
        <f t="shared" si="13"/>
        <v>Maria Alexandra Nastacuas Taicus-1088735354-BLS</v>
      </c>
    </row>
    <row r="134" spans="1:25" x14ac:dyDescent="0.2">
      <c r="A134" s="19">
        <v>133</v>
      </c>
      <c r="B134" s="20">
        <v>1088735354</v>
      </c>
      <c r="C134" s="20" t="s">
        <v>110</v>
      </c>
      <c r="D134" s="20" t="s">
        <v>111</v>
      </c>
      <c r="E134" s="42" t="s">
        <v>112</v>
      </c>
      <c r="F134" s="20" t="s">
        <v>113</v>
      </c>
      <c r="G134" s="20">
        <v>20</v>
      </c>
      <c r="H134" s="20" t="s">
        <v>56</v>
      </c>
      <c r="I134" s="21" t="s">
        <v>72</v>
      </c>
      <c r="J134" s="21" t="s">
        <v>91</v>
      </c>
      <c r="K134" s="22">
        <v>45709</v>
      </c>
      <c r="L134" s="40">
        <v>80000</v>
      </c>
      <c r="M134" s="20" t="s">
        <v>90</v>
      </c>
      <c r="N134" s="20" t="s">
        <v>57</v>
      </c>
      <c r="O134" s="20" t="s">
        <v>73</v>
      </c>
      <c r="P134" s="20" t="s">
        <v>24</v>
      </c>
      <c r="Q134" s="21">
        <v>36800</v>
      </c>
      <c r="R134" s="20" t="s">
        <v>49</v>
      </c>
      <c r="S134" s="24" t="s">
        <v>74</v>
      </c>
      <c r="T134" s="20">
        <v>3176090444</v>
      </c>
      <c r="U134" s="20" t="s">
        <v>114</v>
      </c>
      <c r="V134" s="25" t="e">
        <f>IF(P134=#REF!,"DIPLOMADO EN ATENCION PRE-HOSPITALARIA",IF(P134=#REF!,"ACOMPAÑAMIENTO Y MANEJO DEL DUELO",IF(P134=#REF!,"ATENCION A VICTIMAS DE ATAQUE CON AGENTES QUIMICOS ",IF(P134=#REF!,"PRIMEROS AUXILIOS ",IF(P134=#REF!,"DIPLOMADO DE UNIDAD DE CUIDADOS INTENSIVOS (UCI)",IF(P134=#REF!,"MODELO DE ATENCION PARA EVENTOS EMERGENTES EN SALUD MENTAL (CODIGO VERDE)",IF(P134=#REF!,"HUMANIZACION EN EL SERVICIO DE LA SALUD Y BUENAS PRACTICAS EN PACIENTE ",IF(P134=#REF!,"CLINICA DE HERIDAS ",IF(P134=#REF!,"TOMA DE CITOLOGIA CERVICO VAGINAL ",IF(P134=#REF!,"SOPORTE CARDIOVASCULAR AVANZADO (ACLS) ",IF(P134=#REF!,"CAMILLERO ",IF(P134=#REF!,"TOMA DE MUESTRAS Y LABORATORIO ",IF(P134=#REF!,"SOPORTE VITAL BASICO (BLS)",IF(P134=#REF!,"ATENCION A VICTIMAS DE VIOLENCIA SEXUAL ",IF(P134=#REF!,"PROGRAMADO AMPLIADO DE INMUNIZACION (PAI - COVID 19)",IF(P134=#REF!,"ATENCION INTEGRAL EN ENFERMEDADES PREVALENTES EN PRIMERA INFANCIA (AIEPI)",IF(P134=#REF!,"ADMINISTRACION DE MEDICAMENTOS, INYECTOLOGIA  Y CANALIZACION ",IF(P134=#REF!,"OPERADOR DE VEHICULOS DE EMERGENCIA (OVE)",IF(P134=#REF!,"INSTITUCIONES AMIGAS DE LA MUJER Y LA INFANCIA (IAMI)",IF(P134=#REF!,"CUIDADO DEL DONANTE DE ORGANOS",IF(P134=#REF!,"ATENCION A VICTIMAS POR VIOLENCIA DE GENERO",IF(P134=#REF!,"IGUALDAD DE GENERO EN LA SALUD",IF(P134=#REF!,"BRIGADA DE EMERGENCIA",IF(P134=#REF!,"MANEJO DEL DOLOR Y CUIDADOS PALIATIVOS",IF(P134=#REF!,"TOMA DE MUESTRAS Y LABORATORIO POCT",IF(P134=#REF!,"IMPLANTE SUBDERMICO DE DISPOSITIVO INTRAUTERINO",IF(P134=#REF!,"SALUD MENTAL",IF(P134=#REF!,"PRIMEROS AUXILIOS PSICOLOGICOS",IF(P134=#REF!,"ATENCION A VICTIMAS POR CONFLICTO ARMADO",IF(P134=#REF!,"MANIPULACION DE ALIMENTOS Y BPM",IF(P134=#REF!,"ATENCION A PERSONAS CON DISCAPACIDAD",IF(P134=#REF!,"CUIDADO INTEGRAL DEL PACIENTE ADULTO",IF(P134=#REF!,"MANEJO DEFENSIVO",IF(P134=#REF!,"SOPORTE CARDIOVASCULAR AVANZADO NEONATAL",IF(P134=#REF!,"SEGURIDAD DEL PACIENTE",IF(P134=#REF!,"MANEJO DE RESIDUOS HOSPITALARIOS"))))))))))))))))))))))))))))))))))))</f>
        <v>#REF!</v>
      </c>
      <c r="W134" s="25" t="str">
        <f t="shared" si="11"/>
        <v>Maria Alexandra Nastacuas Taicus</v>
      </c>
      <c r="X134" s="25" t="str">
        <f t="shared" si="12"/>
        <v>Maria Alexandra Nastacuas Taicus</v>
      </c>
      <c r="Y134" s="69" t="str">
        <f t="shared" si="13"/>
        <v>Maria Alexandra Nastacuas Taicus-1088735354-ACLS</v>
      </c>
    </row>
    <row r="135" spans="1:25" x14ac:dyDescent="0.2">
      <c r="A135" s="19">
        <v>134</v>
      </c>
      <c r="B135" s="20">
        <v>1088735354</v>
      </c>
      <c r="C135" s="20" t="s">
        <v>110</v>
      </c>
      <c r="D135" s="20" t="s">
        <v>111</v>
      </c>
      <c r="E135" s="42" t="s">
        <v>112</v>
      </c>
      <c r="F135" s="20" t="s">
        <v>113</v>
      </c>
      <c r="G135" s="20">
        <v>18</v>
      </c>
      <c r="H135" s="20" t="s">
        <v>56</v>
      </c>
      <c r="I135" s="21" t="s">
        <v>72</v>
      </c>
      <c r="J135" s="21" t="s">
        <v>91</v>
      </c>
      <c r="K135" s="22">
        <v>45709</v>
      </c>
      <c r="L135" s="40">
        <v>25000</v>
      </c>
      <c r="M135" s="20" t="s">
        <v>90</v>
      </c>
      <c r="N135" s="20" t="s">
        <v>57</v>
      </c>
      <c r="O135" s="20" t="s">
        <v>73</v>
      </c>
      <c r="P135" s="20" t="s">
        <v>26</v>
      </c>
      <c r="Q135" s="21">
        <v>36800</v>
      </c>
      <c r="R135" s="20" t="s">
        <v>49</v>
      </c>
      <c r="S135" s="24" t="s">
        <v>74</v>
      </c>
      <c r="T135" s="20">
        <v>3176090444</v>
      </c>
      <c r="U135" s="20" t="s">
        <v>114</v>
      </c>
      <c r="V135" s="25" t="e">
        <f>IF(P135=#REF!,"DIPLOMADO EN ATENCION PRE-HOSPITALARIA",IF(P135=#REF!,"ACOMPAÑAMIENTO Y MANEJO DEL DUELO",IF(P135=#REF!,"ATENCION A VICTIMAS DE ATAQUE CON AGENTES QUIMICOS ",IF(P135=#REF!,"PRIMEROS AUXILIOS ",IF(P135=#REF!,"DIPLOMADO DE UNIDAD DE CUIDADOS INTENSIVOS (UCI)",IF(P135=#REF!,"MODELO DE ATENCION PARA EVENTOS EMERGENTES EN SALUD MENTAL (CODIGO VERDE)",IF(P135=#REF!,"HUMANIZACION EN EL SERVICIO DE LA SALUD Y BUENAS PRACTICAS EN PACIENTE ",IF(P135=#REF!,"CLINICA DE HERIDAS ",IF(P135=#REF!,"TOMA DE CITOLOGIA CERVICO VAGINAL ",IF(P135=#REF!,"SOPORTE CARDIOVASCULAR AVANZADO (ACLS) ",IF(P135=#REF!,"CAMILLERO ",IF(P135=#REF!,"TOMA DE MUESTRAS Y LABORATORIO ",IF(P135=#REF!,"SOPORTE VITAL BASICO (BLS)",IF(P135=#REF!,"ATENCION A VICTIMAS DE VIOLENCIA SEXUAL ",IF(P135=#REF!,"PROGRAMADO AMPLIADO DE INMUNIZACION (PAI - COVID 19)",IF(P135=#REF!,"ATENCION INTEGRAL EN ENFERMEDADES PREVALENTES EN PRIMERA INFANCIA (AIEPI)",IF(P135=#REF!,"ADMINISTRACION DE MEDICAMENTOS, INYECTOLOGIA  Y CANALIZACION ",IF(P135=#REF!,"OPERADOR DE VEHICULOS DE EMERGENCIA (OVE)",IF(P135=#REF!,"INSTITUCIONES AMIGAS DE LA MUJER Y LA INFANCIA (IAMI)",IF(P135=#REF!,"CUIDADO DEL DONANTE DE ORGANOS",IF(P135=#REF!,"ATENCION A VICTIMAS POR VIOLENCIA DE GENERO",IF(P135=#REF!,"IGUALDAD DE GENERO EN LA SALUD",IF(P135=#REF!,"BRIGADA DE EMERGENCIA",IF(P135=#REF!,"MANEJO DEL DOLOR Y CUIDADOS PALIATIVOS",IF(P135=#REF!,"TOMA DE MUESTRAS Y LABORATORIO POCT",IF(P135=#REF!,"IMPLANTE SUBDERMICO DE DISPOSITIVO INTRAUTERINO",IF(P135=#REF!,"SALUD MENTAL",IF(P135=#REF!,"PRIMEROS AUXILIOS PSICOLOGICOS",IF(P135=#REF!,"ATENCION A VICTIMAS POR CONFLICTO ARMADO",IF(P135=#REF!,"MANIPULACION DE ALIMENTOS Y BPM",IF(P135=#REF!,"ATENCION A PERSONAS CON DISCAPACIDAD",IF(P135=#REF!,"CUIDADO INTEGRAL DEL PACIENTE ADULTO",IF(P135=#REF!,"MANEJO DEFENSIVO",IF(P135=#REF!,"SOPORTE CARDIOVASCULAR AVANZADO NEONATAL",IF(P135=#REF!,"SEGURIDAD DEL PACIENTE",IF(P135=#REF!,"MANEJO DE RESIDUOS HOSPITALARIOS"))))))))))))))))))))))))))))))))))))</f>
        <v>#REF!</v>
      </c>
      <c r="W135" s="25" t="str">
        <f t="shared" si="11"/>
        <v>Maria Alexandra Nastacuas Taicus</v>
      </c>
      <c r="X135" s="25" t="str">
        <f t="shared" si="12"/>
        <v>Maria Alexandra Nastacuas Taicus</v>
      </c>
      <c r="Y135" s="69" t="str">
        <f t="shared" si="13"/>
        <v>Maria Alexandra Nastacuas Taicus-1088735354-TOMA DE MUESTRAS</v>
      </c>
    </row>
    <row r="136" spans="1:25" x14ac:dyDescent="0.2">
      <c r="A136" s="28">
        <v>135</v>
      </c>
      <c r="B136" s="20">
        <v>1088735354</v>
      </c>
      <c r="C136" s="20" t="s">
        <v>110</v>
      </c>
      <c r="D136" s="20" t="s">
        <v>111</v>
      </c>
      <c r="E136" s="42" t="s">
        <v>112</v>
      </c>
      <c r="F136" s="20" t="s">
        <v>113</v>
      </c>
      <c r="G136" s="20">
        <v>17</v>
      </c>
      <c r="H136" s="20" t="s">
        <v>56</v>
      </c>
      <c r="I136" s="21" t="s">
        <v>72</v>
      </c>
      <c r="J136" s="21" t="s">
        <v>91</v>
      </c>
      <c r="K136" s="22">
        <v>45709</v>
      </c>
      <c r="L136" s="40">
        <v>25000</v>
      </c>
      <c r="M136" s="20" t="s">
        <v>90</v>
      </c>
      <c r="N136" s="20" t="s">
        <v>57</v>
      </c>
      <c r="O136" s="20" t="s">
        <v>73</v>
      </c>
      <c r="P136" s="20" t="s">
        <v>20</v>
      </c>
      <c r="Q136" s="21">
        <v>36800</v>
      </c>
      <c r="R136" s="20" t="s">
        <v>49</v>
      </c>
      <c r="S136" s="24" t="s">
        <v>74</v>
      </c>
      <c r="T136" s="20">
        <v>3176090444</v>
      </c>
      <c r="U136" s="20" t="s">
        <v>114</v>
      </c>
      <c r="V136" s="25" t="e">
        <f>IF(P136=#REF!,"DIPLOMADO EN ATENCION PRE-HOSPITALARIA",IF(P136=#REF!,"ACOMPAÑAMIENTO Y MANEJO DEL DUELO",IF(P136=#REF!,"ATENCION A VICTIMAS DE ATAQUE CON AGENTES QUIMICOS ",IF(P136=#REF!,"PRIMEROS AUXILIOS ",IF(P136=#REF!,"DIPLOMADO DE UNIDAD DE CUIDADOS INTENSIVOS (UCI)",IF(P136=#REF!,"MODELO DE ATENCION PARA EVENTOS EMERGENTES EN SALUD MENTAL (CODIGO VERDE)",IF(P136=#REF!,"HUMANIZACION EN EL SERVICIO DE LA SALUD Y BUENAS PRACTICAS EN PACIENTE ",IF(P136=#REF!,"CLINICA DE HERIDAS ",IF(P136=#REF!,"TOMA DE CITOLOGIA CERVICO VAGINAL ",IF(P136=#REF!,"SOPORTE CARDIOVASCULAR AVANZADO (ACLS) ",IF(P136=#REF!,"CAMILLERO ",IF(P136=#REF!,"TOMA DE MUESTRAS Y LABORATORIO ",IF(P136=#REF!,"SOPORTE VITAL BASICO (BLS)",IF(P136=#REF!,"ATENCION A VICTIMAS DE VIOLENCIA SEXUAL ",IF(P136=#REF!,"PROGRAMADO AMPLIADO DE INMUNIZACION (PAI - COVID 19)",IF(P136=#REF!,"ATENCION INTEGRAL EN ENFERMEDADES PREVALENTES EN PRIMERA INFANCIA (AIEPI)",IF(P136=#REF!,"ADMINISTRACION DE MEDICAMENTOS, INYECTOLOGIA  Y CANALIZACION ",IF(P136=#REF!,"OPERADOR DE VEHICULOS DE EMERGENCIA (OVE)",IF(P136=#REF!,"INSTITUCIONES AMIGAS DE LA MUJER Y LA INFANCIA (IAMI)",IF(P136=#REF!,"CUIDADO DEL DONANTE DE ORGANOS",IF(P136=#REF!,"ATENCION A VICTIMAS POR VIOLENCIA DE GENERO",IF(P136=#REF!,"IGUALDAD DE GENERO EN LA SALUD",IF(P136=#REF!,"BRIGADA DE EMERGENCIA",IF(P136=#REF!,"MANEJO DEL DOLOR Y CUIDADOS PALIATIVOS",IF(P136=#REF!,"TOMA DE MUESTRAS Y LABORATORIO POCT",IF(P136=#REF!,"IMPLANTE SUBDERMICO DE DISPOSITIVO INTRAUTERINO",IF(P136=#REF!,"SALUD MENTAL",IF(P136=#REF!,"PRIMEROS AUXILIOS PSICOLOGICOS",IF(P136=#REF!,"ATENCION A VICTIMAS POR CONFLICTO ARMADO",IF(P136=#REF!,"MANIPULACION DE ALIMENTOS Y BPM",IF(P136=#REF!,"ATENCION A PERSONAS CON DISCAPACIDAD",IF(P136=#REF!,"CUIDADO INTEGRAL DEL PACIENTE ADULTO",IF(P136=#REF!,"MANEJO DEFENSIVO",IF(P136=#REF!,"SOPORTE CARDIOVASCULAR AVANZADO NEONATAL",IF(P136=#REF!,"SEGURIDAD DEL PACIENTE",IF(P136=#REF!,"MANEJO DE RESIDUOS HOSPITALARIOS"))))))))))))))))))))))))))))))))))))</f>
        <v>#REF!</v>
      </c>
      <c r="W136" s="25" t="str">
        <f t="shared" si="11"/>
        <v>Maria Alexandra Nastacuas Taicus</v>
      </c>
      <c r="X136" s="25" t="str">
        <f t="shared" si="12"/>
        <v>Maria Alexandra Nastacuas Taicus</v>
      </c>
      <c r="Y136" s="69" t="str">
        <f t="shared" si="13"/>
        <v>Maria Alexandra Nastacuas Taicus-1088735354-DUELO</v>
      </c>
    </row>
    <row r="137" spans="1:25" x14ac:dyDescent="0.2">
      <c r="A137" s="19">
        <v>136</v>
      </c>
      <c r="B137" s="20">
        <v>1088735354</v>
      </c>
      <c r="C137" s="20" t="s">
        <v>110</v>
      </c>
      <c r="D137" s="20" t="s">
        <v>111</v>
      </c>
      <c r="E137" s="42" t="s">
        <v>112</v>
      </c>
      <c r="F137" s="20" t="s">
        <v>113</v>
      </c>
      <c r="G137" s="20">
        <v>15</v>
      </c>
      <c r="H137" s="20" t="s">
        <v>56</v>
      </c>
      <c r="I137" s="21" t="s">
        <v>72</v>
      </c>
      <c r="J137" s="21" t="s">
        <v>91</v>
      </c>
      <c r="K137" s="22">
        <v>45709</v>
      </c>
      <c r="L137" s="40">
        <v>25000</v>
      </c>
      <c r="M137" s="20" t="s">
        <v>90</v>
      </c>
      <c r="N137" s="20" t="s">
        <v>57</v>
      </c>
      <c r="O137" s="20" t="s">
        <v>73</v>
      </c>
      <c r="P137" s="20" t="s">
        <v>21</v>
      </c>
      <c r="Q137" s="21">
        <v>36800</v>
      </c>
      <c r="R137" s="20" t="s">
        <v>49</v>
      </c>
      <c r="S137" s="24" t="s">
        <v>74</v>
      </c>
      <c r="T137" s="20">
        <v>3176090444</v>
      </c>
      <c r="U137" s="20" t="s">
        <v>114</v>
      </c>
      <c r="V137" s="25" t="e">
        <f>IF(P137=#REF!,"DIPLOMADO EN ATENCION PRE-HOSPITALARIA",IF(P137=#REF!,"ACOMPAÑAMIENTO Y MANEJO DEL DUELO",IF(P137=#REF!,"ATENCION A VICTIMAS DE ATAQUE CON AGENTES QUIMICOS ",IF(P137=#REF!,"PRIMEROS AUXILIOS ",IF(P137=#REF!,"DIPLOMADO DE UNIDAD DE CUIDADOS INTENSIVOS (UCI)",IF(P137=#REF!,"MODELO DE ATENCION PARA EVENTOS EMERGENTES EN SALUD MENTAL (CODIGO VERDE)",IF(P137=#REF!,"HUMANIZACION EN EL SERVICIO DE LA SALUD Y BUENAS PRACTICAS EN PACIENTE ",IF(P137=#REF!,"CLINICA DE HERIDAS ",IF(P137=#REF!,"TOMA DE CITOLOGIA CERVICO VAGINAL ",IF(P137=#REF!,"SOPORTE CARDIOVASCULAR AVANZADO (ACLS) ",IF(P137=#REF!,"CAMILLERO ",IF(P137=#REF!,"TOMA DE MUESTRAS Y LABORATORIO ",IF(P137=#REF!,"SOPORTE VITAL BASICO (BLS)",IF(P137=#REF!,"ATENCION A VICTIMAS DE VIOLENCIA SEXUAL ",IF(P137=#REF!,"PROGRAMADO AMPLIADO DE INMUNIZACION (PAI - COVID 19)",IF(P137=#REF!,"ATENCION INTEGRAL EN ENFERMEDADES PREVALENTES EN PRIMERA INFANCIA (AIEPI)",IF(P137=#REF!,"ADMINISTRACION DE MEDICAMENTOS, INYECTOLOGIA  Y CANALIZACION ",IF(P137=#REF!,"OPERADOR DE VEHICULOS DE EMERGENCIA (OVE)",IF(P137=#REF!,"INSTITUCIONES AMIGAS DE LA MUJER Y LA INFANCIA (IAMI)",IF(P137=#REF!,"CUIDADO DEL DONANTE DE ORGANOS",IF(P137=#REF!,"ATENCION A VICTIMAS POR VIOLENCIA DE GENERO",IF(P137=#REF!,"IGUALDAD DE GENERO EN LA SALUD",IF(P137=#REF!,"BRIGADA DE EMERGENCIA",IF(P137=#REF!,"MANEJO DEL DOLOR Y CUIDADOS PALIATIVOS",IF(P137=#REF!,"TOMA DE MUESTRAS Y LABORATORIO POCT",IF(P137=#REF!,"IMPLANTE SUBDERMICO DE DISPOSITIVO INTRAUTERINO",IF(P137=#REF!,"SALUD MENTAL",IF(P137=#REF!,"PRIMEROS AUXILIOS PSICOLOGICOS",IF(P137=#REF!,"ATENCION A VICTIMAS POR CONFLICTO ARMADO",IF(P137=#REF!,"MANIPULACION DE ALIMENTOS Y BPM",IF(P137=#REF!,"ATENCION A PERSONAS CON DISCAPACIDAD",IF(P137=#REF!,"CUIDADO INTEGRAL DEL PACIENTE ADULTO",IF(P137=#REF!,"MANEJO DEFENSIVO",IF(P137=#REF!,"SOPORTE CARDIOVASCULAR AVANZADO NEONATAL",IF(P137=#REF!,"SEGURIDAD DEL PACIENTE",IF(P137=#REF!,"MANEJO DE RESIDUOS HOSPITALARIOS"))))))))))))))))))))))))))))))))))))</f>
        <v>#REF!</v>
      </c>
      <c r="W137" s="25" t="str">
        <f t="shared" si="11"/>
        <v>Maria Alexandra Nastacuas Taicus</v>
      </c>
      <c r="X137" s="25" t="str">
        <f t="shared" si="12"/>
        <v>Maria Alexandra Nastacuas Taicus</v>
      </c>
      <c r="Y137" s="69" t="str">
        <f t="shared" si="13"/>
        <v>Maria Alexandra Nastacuas Taicus-1088735354-QUIMICOS</v>
      </c>
    </row>
    <row r="138" spans="1:25" x14ac:dyDescent="0.2">
      <c r="A138" s="19">
        <v>137</v>
      </c>
      <c r="B138" s="20">
        <v>1088735354</v>
      </c>
      <c r="C138" s="20" t="s">
        <v>110</v>
      </c>
      <c r="D138" s="20" t="s">
        <v>111</v>
      </c>
      <c r="E138" s="42" t="s">
        <v>112</v>
      </c>
      <c r="F138" s="20" t="s">
        <v>113</v>
      </c>
      <c r="G138" s="20">
        <v>14</v>
      </c>
      <c r="H138" s="20" t="s">
        <v>56</v>
      </c>
      <c r="I138" s="21" t="s">
        <v>72</v>
      </c>
      <c r="J138" s="21" t="s">
        <v>91</v>
      </c>
      <c r="K138" s="22">
        <v>45709</v>
      </c>
      <c r="L138" s="40">
        <v>25000</v>
      </c>
      <c r="M138" s="20" t="s">
        <v>90</v>
      </c>
      <c r="N138" s="20" t="s">
        <v>57</v>
      </c>
      <c r="O138" s="20" t="s">
        <v>73</v>
      </c>
      <c r="P138" s="20" t="s">
        <v>23</v>
      </c>
      <c r="Q138" s="21">
        <v>36800</v>
      </c>
      <c r="R138" s="20" t="s">
        <v>49</v>
      </c>
      <c r="S138" s="24" t="s">
        <v>74</v>
      </c>
      <c r="T138" s="20">
        <v>3176090444</v>
      </c>
      <c r="U138" s="20" t="s">
        <v>114</v>
      </c>
      <c r="V138" s="25" t="e">
        <f>IF(P138=#REF!,"DIPLOMADO EN ATENCION PRE-HOSPITALARIA",IF(P138=#REF!,"ACOMPAÑAMIENTO Y MANEJO DEL DUELO",IF(P138=#REF!,"ATENCION A VICTIMAS DE ATAQUE CON AGENTES QUIMICOS ",IF(P138=#REF!,"PRIMEROS AUXILIOS ",IF(P138=#REF!,"DIPLOMADO DE UNIDAD DE CUIDADOS INTENSIVOS (UCI)",IF(P138=#REF!,"MODELO DE ATENCION PARA EVENTOS EMERGENTES EN SALUD MENTAL (CODIGO VERDE)",IF(P138=#REF!,"HUMANIZACION EN EL SERVICIO DE LA SALUD Y BUENAS PRACTICAS EN PACIENTE ",IF(P138=#REF!,"CLINICA DE HERIDAS ",IF(P138=#REF!,"TOMA DE CITOLOGIA CERVICO VAGINAL ",IF(P138=#REF!,"SOPORTE CARDIOVASCULAR AVANZADO (ACLS) ",IF(P138=#REF!,"CAMILLERO ",IF(P138=#REF!,"TOMA DE MUESTRAS Y LABORATORIO ",IF(P138=#REF!,"SOPORTE VITAL BASICO (BLS)",IF(P138=#REF!,"ATENCION A VICTIMAS DE VIOLENCIA SEXUAL ",IF(P138=#REF!,"PROGRAMADO AMPLIADO DE INMUNIZACION (PAI - COVID 19)",IF(P138=#REF!,"ATENCION INTEGRAL EN ENFERMEDADES PREVALENTES EN PRIMERA INFANCIA (AIEPI)",IF(P138=#REF!,"ADMINISTRACION DE MEDICAMENTOS, INYECTOLOGIA  Y CANALIZACION ",IF(P138=#REF!,"OPERADOR DE VEHICULOS DE EMERGENCIA (OVE)",IF(P138=#REF!,"INSTITUCIONES AMIGAS DE LA MUJER Y LA INFANCIA (IAMI)",IF(P138=#REF!,"CUIDADO DEL DONANTE DE ORGANOS",IF(P138=#REF!,"ATENCION A VICTIMAS POR VIOLENCIA DE GENERO",IF(P138=#REF!,"IGUALDAD DE GENERO EN LA SALUD",IF(P138=#REF!,"BRIGADA DE EMERGENCIA",IF(P138=#REF!,"MANEJO DEL DOLOR Y CUIDADOS PALIATIVOS",IF(P138=#REF!,"TOMA DE MUESTRAS Y LABORATORIO POCT",IF(P138=#REF!,"IMPLANTE SUBDERMICO DE DISPOSITIVO INTRAUTERINO",IF(P138=#REF!,"SALUD MENTAL",IF(P138=#REF!,"PRIMEROS AUXILIOS PSICOLOGICOS",IF(P138=#REF!,"ATENCION A VICTIMAS POR CONFLICTO ARMADO",IF(P138=#REF!,"MANIPULACION DE ALIMENTOS Y BPM",IF(P138=#REF!,"ATENCION A PERSONAS CON DISCAPACIDAD",IF(P138=#REF!,"CUIDADO INTEGRAL DEL PACIENTE ADULTO",IF(P138=#REF!,"MANEJO DEFENSIVO",IF(P138=#REF!,"SOPORTE CARDIOVASCULAR AVANZADO NEONATAL",IF(P138=#REF!,"SEGURIDAD DEL PACIENTE",IF(P138=#REF!,"MANEJO DE RESIDUOS HOSPITALARIOS"))))))))))))))))))))))))))))))))))))</f>
        <v>#REF!</v>
      </c>
      <c r="W138" s="25" t="str">
        <f t="shared" si="11"/>
        <v>Maria Alexandra Nastacuas Taicus</v>
      </c>
      <c r="X138" s="25" t="str">
        <f t="shared" si="12"/>
        <v>Maria Alexandra Nastacuas Taicus</v>
      </c>
      <c r="Y138" s="69" t="str">
        <f t="shared" si="13"/>
        <v>Maria Alexandra Nastacuas Taicus-1088735354-HUMANIZACION</v>
      </c>
    </row>
    <row r="139" spans="1:25" x14ac:dyDescent="0.2">
      <c r="A139" s="19">
        <v>138</v>
      </c>
      <c r="B139" s="20">
        <v>1088735354</v>
      </c>
      <c r="C139" s="20" t="s">
        <v>110</v>
      </c>
      <c r="D139" s="20" t="s">
        <v>111</v>
      </c>
      <c r="E139" s="42" t="s">
        <v>112</v>
      </c>
      <c r="F139" s="20" t="s">
        <v>113</v>
      </c>
      <c r="G139" s="20">
        <v>13</v>
      </c>
      <c r="H139" s="20" t="s">
        <v>56</v>
      </c>
      <c r="I139" s="21" t="s">
        <v>72</v>
      </c>
      <c r="J139" s="21" t="s">
        <v>91</v>
      </c>
      <c r="K139" s="22">
        <v>45709</v>
      </c>
      <c r="L139" s="40">
        <v>25000</v>
      </c>
      <c r="M139" s="20" t="s">
        <v>90</v>
      </c>
      <c r="N139" s="20" t="s">
        <v>57</v>
      </c>
      <c r="O139" s="20" t="s">
        <v>73</v>
      </c>
      <c r="P139" s="20" t="s">
        <v>41</v>
      </c>
      <c r="Q139" s="21">
        <v>36800</v>
      </c>
      <c r="R139" s="20" t="s">
        <v>49</v>
      </c>
      <c r="S139" s="24" t="s">
        <v>74</v>
      </c>
      <c r="T139" s="20">
        <v>3176090444</v>
      </c>
      <c r="U139" s="20" t="s">
        <v>114</v>
      </c>
      <c r="V139" s="25" t="e">
        <f>IF(P139=#REF!,"DIPLOMADO EN ATENCION PRE-HOSPITALARIA",IF(P139=#REF!,"ACOMPAÑAMIENTO Y MANEJO DEL DUELO",IF(P139=#REF!,"ATENCION A VICTIMAS DE ATAQUE CON AGENTES QUIMICOS ",IF(P139=#REF!,"PRIMEROS AUXILIOS ",IF(P139=#REF!,"DIPLOMADO DE UNIDAD DE CUIDADOS INTENSIVOS (UCI)",IF(P139=#REF!,"MODELO DE ATENCION PARA EVENTOS EMERGENTES EN SALUD MENTAL (CODIGO VERDE)",IF(P139=#REF!,"HUMANIZACION EN EL SERVICIO DE LA SALUD Y BUENAS PRACTICAS EN PACIENTE ",IF(P139=#REF!,"CLINICA DE HERIDAS ",IF(P139=#REF!,"TOMA DE CITOLOGIA CERVICO VAGINAL ",IF(P139=#REF!,"SOPORTE CARDIOVASCULAR AVANZADO (ACLS) ",IF(P139=#REF!,"CAMILLERO ",IF(P139=#REF!,"TOMA DE MUESTRAS Y LABORATORIO ",IF(P139=#REF!,"SOPORTE VITAL BASICO (BLS)",IF(P139=#REF!,"ATENCION A VICTIMAS DE VIOLENCIA SEXUAL ",IF(P139=#REF!,"PROGRAMADO AMPLIADO DE INMUNIZACION (PAI - COVID 19)",IF(P139=#REF!,"ATENCION INTEGRAL EN ENFERMEDADES PREVALENTES EN PRIMERA INFANCIA (AIEPI)",IF(P139=#REF!,"ADMINISTRACION DE MEDICAMENTOS, INYECTOLOGIA  Y CANALIZACION ",IF(P139=#REF!,"OPERADOR DE VEHICULOS DE EMERGENCIA (OVE)",IF(P139=#REF!,"INSTITUCIONES AMIGAS DE LA MUJER Y LA INFANCIA (IAMI)",IF(P139=#REF!,"CUIDADO DEL DONANTE DE ORGANOS",IF(P139=#REF!,"ATENCION A VICTIMAS POR VIOLENCIA DE GENERO",IF(P139=#REF!,"IGUALDAD DE GENERO EN LA SALUD",IF(P139=#REF!,"BRIGADA DE EMERGENCIA",IF(P139=#REF!,"MANEJO DEL DOLOR Y CUIDADOS PALIATIVOS",IF(P139=#REF!,"TOMA DE MUESTRAS Y LABORATORIO POCT",IF(P139=#REF!,"IMPLANTE SUBDERMICO DE DISPOSITIVO INTRAUTERINO",IF(P139=#REF!,"SALUD MENTAL",IF(P139=#REF!,"PRIMEROS AUXILIOS PSICOLOGICOS",IF(P139=#REF!,"ATENCION A VICTIMAS POR CONFLICTO ARMADO",IF(P139=#REF!,"MANIPULACION DE ALIMENTOS Y BPM",IF(P139=#REF!,"ATENCION A PERSONAS CON DISCAPACIDAD",IF(P139=#REF!,"CUIDADO INTEGRAL DEL PACIENTE ADULTO",IF(P139=#REF!,"MANEJO DEFENSIVO",IF(P139=#REF!,"SOPORTE CARDIOVASCULAR AVANZADO NEONATAL",IF(P139=#REF!,"SEGURIDAD DEL PACIENTE",IF(P139=#REF!,"MANEJO DE RESIDUOS HOSPITALARIOS"))))))))))))))))))))))))))))))))))))</f>
        <v>#REF!</v>
      </c>
      <c r="W139" s="25" t="str">
        <f t="shared" si="11"/>
        <v>Maria Alexandra Nastacuas Taicus</v>
      </c>
      <c r="X139" s="25" t="str">
        <f t="shared" si="12"/>
        <v>Maria Alexandra Nastacuas Taicus</v>
      </c>
      <c r="Y139" s="69" t="str">
        <f t="shared" si="13"/>
        <v>Maria Alexandra Nastacuas Taicus-1088735354-PACIENTE</v>
      </c>
    </row>
    <row r="140" spans="1:25" x14ac:dyDescent="0.2">
      <c r="A140" s="19">
        <v>139</v>
      </c>
      <c r="B140" s="20">
        <v>59310336</v>
      </c>
      <c r="C140" s="20" t="s">
        <v>75</v>
      </c>
      <c r="D140" s="20" t="s">
        <v>264</v>
      </c>
      <c r="E140" s="20" t="s">
        <v>311</v>
      </c>
      <c r="F140" s="20" t="s">
        <v>192</v>
      </c>
      <c r="G140" s="20">
        <v>20</v>
      </c>
      <c r="H140" s="20" t="s">
        <v>56</v>
      </c>
      <c r="I140" s="21" t="s">
        <v>72</v>
      </c>
      <c r="J140" s="21" t="s">
        <v>279</v>
      </c>
      <c r="K140" s="22">
        <v>45708</v>
      </c>
      <c r="L140" s="23">
        <v>33000</v>
      </c>
      <c r="M140" s="20" t="s">
        <v>61</v>
      </c>
      <c r="N140" s="20" t="s">
        <v>57</v>
      </c>
      <c r="O140" s="20" t="s">
        <v>48</v>
      </c>
      <c r="P140" s="20" t="s">
        <v>19</v>
      </c>
      <c r="Q140" s="21">
        <v>30450</v>
      </c>
      <c r="R140" s="20" t="s">
        <v>49</v>
      </c>
      <c r="S140" s="20" t="s">
        <v>74</v>
      </c>
      <c r="T140" s="20">
        <v>3168690329</v>
      </c>
      <c r="U140" s="20" t="s">
        <v>312</v>
      </c>
      <c r="V140" s="25" t="e">
        <f>IF(P140=#REF!,"DIPLOMADO EN ATENCION PRE-HOSPITALARIA",IF(P140=#REF!,"ACOMPAÑAMIENTO Y MANEJO DEL DUELO",IF(P140=#REF!,"ATENCION A VICTIMAS DE ATAQUE CON AGENTES QUIMICOS ",IF(P140=#REF!,"PRIMEROS AUXILIOS ",IF(P140=#REF!,"DIPLOMADO DE UNIDAD DE CUIDADOS INTENSIVOS (UCI)",IF(P140=#REF!,"MODELO DE ATENCION PARA EVENTOS EMERGENTES EN SALUD MENTAL (CODIGO VERDE)",IF(P140=#REF!,"HUMANIZACION EN EL SERVICIO DE LA SALUD Y BUENAS PRACTICAS EN PACIENTE ",IF(P140=#REF!,"CLINICA DE HERIDAS ",IF(P140=#REF!,"TOMA DE CITOLOGIA CERVICO VAGINAL ",IF(P140=#REF!,"SOPORTE CARDIOVASCULAR AVANZADO (ACLS) ",IF(P140=#REF!,"CAMILLERO ",IF(P140=#REF!,"TOMA DE MUESTRAS Y LABORATORIO ",IF(P140=#REF!,"SOPORTE VITAL BASICO (BLS)",IF(P140=#REF!,"ATENCION A VICTIMAS DE VIOLENCIA SEXUAL ",IF(P140=#REF!,"PROGRAMADO AMPLIADO DE INMUNIZACION (PAI - COVID 19)",IF(P140=#REF!,"ATENCION INTEGRAL EN ENFERMEDADES PREVALENTES EN PRIMERA INFANCIA (AIEPI)",IF(P140=#REF!,"ADMINISTRACION DE MEDICAMENTOS, INYECTOLOGIA  Y CANALIZACION ",IF(P140=#REF!,"OPERADOR DE VEHICULOS DE EMERGENCIA (OVE)",IF(P140=#REF!,"INSTITUCIONES AMIGAS DE LA MUJER Y LA INFANCIA (IAMI)",IF(P140=#REF!,"CUIDADO DEL DONANTE DE ORGANOS",IF(P140=#REF!,"ATENCION A VICTIMAS POR VIOLENCIA DE GENERO",IF(P140=#REF!,"IGUALDAD DE GENERO EN LA SALUD",IF(P140=#REF!,"BRIGADA DE EMERGENCIA",IF(P140=#REF!,"MANEJO DEL DOLOR Y CUIDADOS PALIATIVOS",IF(P140=#REF!,"TOMA DE MUESTRAS Y LABORATORIO POCT",IF(P140=#REF!,"IMPLANTE SUBDERMICO DE DISPOSITIVO INTRAUTERINO",IF(P140=#REF!,"SALUD MENTAL",IF(P140=#REF!,"PRIMEROS AUXILIOS PSICOLOGICOS",IF(P140=#REF!,"ATENCION A VICTIMAS POR CONFLICTO ARMADO",IF(P140=#REF!,"MANIPULACION DE ALIMENTOS Y BPM",IF(P140=#REF!,"ATENCION A PERSONAS CON DISCAPACIDAD",IF(P140=#REF!,"CUIDADO INTEGRAL DEL PACIENTE ADULTO",IF(P140=#REF!,"MANEJO DEFENSIVO",IF(P140=#REF!,"SOPORTE CARDIOVASCULAR AVANZADO NEONATAL",IF(P140=#REF!,"SEGURIDAD DEL PACIENTE",IF(P140=#REF!,"MANEJO DE RESIDUOS HOSPITALARIOS"))))))))))))))))))))))))))))))))))))</f>
        <v>#REF!</v>
      </c>
      <c r="W140" s="25" t="str">
        <f t="shared" si="11"/>
        <v>Johana Lorena Narvaez Pianda</v>
      </c>
      <c r="X140" s="25" t="str">
        <f t="shared" si="12"/>
        <v>Johana Lorena Narvaez Pianda</v>
      </c>
      <c r="Y140" s="69" t="str">
        <f t="shared" si="13"/>
        <v>Johana Lorena Narvaez Pianda-59310336-BLS</v>
      </c>
    </row>
    <row r="141" spans="1:25" x14ac:dyDescent="0.2">
      <c r="A141" s="19">
        <v>140</v>
      </c>
      <c r="B141" s="20">
        <v>59310336</v>
      </c>
      <c r="C141" s="20" t="s">
        <v>75</v>
      </c>
      <c r="D141" s="20" t="s">
        <v>264</v>
      </c>
      <c r="E141" s="20" t="s">
        <v>311</v>
      </c>
      <c r="F141" s="20" t="s">
        <v>192</v>
      </c>
      <c r="G141" s="20">
        <v>19</v>
      </c>
      <c r="H141" s="20" t="s">
        <v>56</v>
      </c>
      <c r="I141" s="21" t="s">
        <v>72</v>
      </c>
      <c r="J141" s="21" t="s">
        <v>279</v>
      </c>
      <c r="K141" s="22">
        <v>45708</v>
      </c>
      <c r="L141" s="23">
        <v>33000</v>
      </c>
      <c r="M141" s="20" t="s">
        <v>61</v>
      </c>
      <c r="N141" s="20" t="s">
        <v>57</v>
      </c>
      <c r="O141" s="20" t="s">
        <v>48</v>
      </c>
      <c r="P141" s="20" t="s">
        <v>27</v>
      </c>
      <c r="Q141" s="21">
        <v>30450</v>
      </c>
      <c r="R141" s="20" t="s">
        <v>49</v>
      </c>
      <c r="S141" s="20" t="s">
        <v>74</v>
      </c>
      <c r="T141" s="20">
        <v>3168690329</v>
      </c>
      <c r="U141" s="20" t="s">
        <v>312</v>
      </c>
      <c r="V141" s="25" t="e">
        <f>IF(P141=#REF!,"DIPLOMADO EN ATENCION PRE-HOSPITALARIA",IF(P141=#REF!,"ACOMPAÑAMIENTO Y MANEJO DEL DUELO",IF(P141=#REF!,"ATENCION A VICTIMAS DE ATAQUE CON AGENTES QUIMICOS ",IF(P141=#REF!,"PRIMEROS AUXILIOS ",IF(P141=#REF!,"DIPLOMADO DE UNIDAD DE CUIDADOS INTENSIVOS (UCI)",IF(P141=#REF!,"MODELO DE ATENCION PARA EVENTOS EMERGENTES EN SALUD MENTAL (CODIGO VERDE)",IF(P141=#REF!,"HUMANIZACION EN EL SERVICIO DE LA SALUD Y BUENAS PRACTICAS EN PACIENTE ",IF(P141=#REF!,"CLINICA DE HERIDAS ",IF(P141=#REF!,"TOMA DE CITOLOGIA CERVICO VAGINAL ",IF(P141=#REF!,"SOPORTE CARDIOVASCULAR AVANZADO (ACLS) ",IF(P141=#REF!,"CAMILLERO ",IF(P141=#REF!,"TOMA DE MUESTRAS Y LABORATORIO ",IF(P141=#REF!,"SOPORTE VITAL BASICO (BLS)",IF(P141=#REF!,"ATENCION A VICTIMAS DE VIOLENCIA SEXUAL ",IF(P141=#REF!,"PROGRAMADO AMPLIADO DE INMUNIZACION (PAI - COVID 19)",IF(P141=#REF!,"ATENCION INTEGRAL EN ENFERMEDADES PREVALENTES EN PRIMERA INFANCIA (AIEPI)",IF(P141=#REF!,"ADMINISTRACION DE MEDICAMENTOS, INYECTOLOGIA  Y CANALIZACION ",IF(P141=#REF!,"OPERADOR DE VEHICULOS DE EMERGENCIA (OVE)",IF(P141=#REF!,"INSTITUCIONES AMIGAS DE LA MUJER Y LA INFANCIA (IAMI)",IF(P141=#REF!,"CUIDADO DEL DONANTE DE ORGANOS",IF(P141=#REF!,"ATENCION A VICTIMAS POR VIOLENCIA DE GENERO",IF(P141=#REF!,"IGUALDAD DE GENERO EN LA SALUD",IF(P141=#REF!,"BRIGADA DE EMERGENCIA",IF(P141=#REF!,"MANEJO DEL DOLOR Y CUIDADOS PALIATIVOS",IF(P141=#REF!,"TOMA DE MUESTRAS Y LABORATORIO POCT",IF(P141=#REF!,"IMPLANTE SUBDERMICO DE DISPOSITIVO INTRAUTERINO",IF(P141=#REF!,"SALUD MENTAL",IF(P141=#REF!,"PRIMEROS AUXILIOS PSICOLOGICOS",IF(P141=#REF!,"ATENCION A VICTIMAS POR CONFLICTO ARMADO",IF(P141=#REF!,"MANIPULACION DE ALIMENTOS Y BPM",IF(P141=#REF!,"ATENCION A PERSONAS CON DISCAPACIDAD",IF(P141=#REF!,"CUIDADO INTEGRAL DEL PACIENTE ADULTO",IF(P141=#REF!,"MANEJO DEFENSIVO",IF(P141=#REF!,"SOPORTE CARDIOVASCULAR AVANZADO NEONATAL",IF(P141=#REF!,"SEGURIDAD DEL PACIENTE",IF(P141=#REF!,"MANEJO DE RESIDUOS HOSPITALARIOS"))))))))))))))))))))))))))))))))))))</f>
        <v>#REF!</v>
      </c>
      <c r="W141" s="25" t="str">
        <f t="shared" si="11"/>
        <v>Johana Lorena Narvaez Pianda</v>
      </c>
      <c r="X141" s="25" t="str">
        <f t="shared" si="12"/>
        <v>Johana Lorena Narvaez Pianda</v>
      </c>
      <c r="Y141" s="69" t="str">
        <f t="shared" si="13"/>
        <v>Johana Lorena Narvaez Pianda-59310336-VIOLENCIA SEXUAL</v>
      </c>
    </row>
    <row r="142" spans="1:25" x14ac:dyDescent="0.2">
      <c r="A142" s="19">
        <v>141</v>
      </c>
      <c r="B142" s="20">
        <v>59310336</v>
      </c>
      <c r="C142" s="20" t="s">
        <v>75</v>
      </c>
      <c r="D142" s="20" t="s">
        <v>264</v>
      </c>
      <c r="E142" s="20" t="s">
        <v>311</v>
      </c>
      <c r="F142" s="20" t="s">
        <v>192</v>
      </c>
      <c r="G142" s="20">
        <v>18</v>
      </c>
      <c r="H142" s="20" t="s">
        <v>56</v>
      </c>
      <c r="I142" s="21" t="s">
        <v>72</v>
      </c>
      <c r="J142" s="21" t="s">
        <v>279</v>
      </c>
      <c r="K142" s="22">
        <v>45708</v>
      </c>
      <c r="L142" s="23">
        <v>33000</v>
      </c>
      <c r="M142" s="20" t="s">
        <v>61</v>
      </c>
      <c r="N142" s="20" t="s">
        <v>57</v>
      </c>
      <c r="O142" s="20" t="s">
        <v>48</v>
      </c>
      <c r="P142" s="20" t="s">
        <v>21</v>
      </c>
      <c r="Q142" s="21">
        <v>30450</v>
      </c>
      <c r="R142" s="20" t="s">
        <v>49</v>
      </c>
      <c r="S142" s="20" t="s">
        <v>74</v>
      </c>
      <c r="T142" s="20">
        <v>3168690329</v>
      </c>
      <c r="U142" s="20" t="s">
        <v>312</v>
      </c>
      <c r="V142" s="25" t="e">
        <f>IF(P142=#REF!,"DIPLOMADO EN ATENCION PRE-HOSPITALARIA",IF(P142=#REF!,"ACOMPAÑAMIENTO Y MANEJO DEL DUELO",IF(P142=#REF!,"ATENCION A VICTIMAS DE ATAQUE CON AGENTES QUIMICOS ",IF(P142=#REF!,"PRIMEROS AUXILIOS ",IF(P142=#REF!,"DIPLOMADO DE UNIDAD DE CUIDADOS INTENSIVOS (UCI)",IF(P142=#REF!,"MODELO DE ATENCION PARA EVENTOS EMERGENTES EN SALUD MENTAL (CODIGO VERDE)",IF(P142=#REF!,"HUMANIZACION EN EL SERVICIO DE LA SALUD Y BUENAS PRACTICAS EN PACIENTE ",IF(P142=#REF!,"CLINICA DE HERIDAS ",IF(P142=#REF!,"TOMA DE CITOLOGIA CERVICO VAGINAL ",IF(P142=#REF!,"SOPORTE CARDIOVASCULAR AVANZADO (ACLS) ",IF(P142=#REF!,"CAMILLERO ",IF(P142=#REF!,"TOMA DE MUESTRAS Y LABORATORIO ",IF(P142=#REF!,"SOPORTE VITAL BASICO (BLS)",IF(P142=#REF!,"ATENCION A VICTIMAS DE VIOLENCIA SEXUAL ",IF(P142=#REF!,"PROGRAMADO AMPLIADO DE INMUNIZACION (PAI - COVID 19)",IF(P142=#REF!,"ATENCION INTEGRAL EN ENFERMEDADES PREVALENTES EN PRIMERA INFANCIA (AIEPI)",IF(P142=#REF!,"ADMINISTRACION DE MEDICAMENTOS, INYECTOLOGIA  Y CANALIZACION ",IF(P142=#REF!,"OPERADOR DE VEHICULOS DE EMERGENCIA (OVE)",IF(P142=#REF!,"INSTITUCIONES AMIGAS DE LA MUJER Y LA INFANCIA (IAMI)",IF(P142=#REF!,"CUIDADO DEL DONANTE DE ORGANOS",IF(P142=#REF!,"ATENCION A VICTIMAS POR VIOLENCIA DE GENERO",IF(P142=#REF!,"IGUALDAD DE GENERO EN LA SALUD",IF(P142=#REF!,"BRIGADA DE EMERGENCIA",IF(P142=#REF!,"MANEJO DEL DOLOR Y CUIDADOS PALIATIVOS",IF(P142=#REF!,"TOMA DE MUESTRAS Y LABORATORIO POCT",IF(P142=#REF!,"IMPLANTE SUBDERMICO DE DISPOSITIVO INTRAUTERINO",IF(P142=#REF!,"SALUD MENTAL",IF(P142=#REF!,"PRIMEROS AUXILIOS PSICOLOGICOS",IF(P142=#REF!,"ATENCION A VICTIMAS POR CONFLICTO ARMADO",IF(P142=#REF!,"MANIPULACION DE ALIMENTOS Y BPM",IF(P142=#REF!,"ATENCION A PERSONAS CON DISCAPACIDAD",IF(P142=#REF!,"CUIDADO INTEGRAL DEL PACIENTE ADULTO",IF(P142=#REF!,"MANEJO DEFENSIVO",IF(P142=#REF!,"SOPORTE CARDIOVASCULAR AVANZADO NEONATAL",IF(P142=#REF!,"SEGURIDAD DEL PACIENTE",IF(P142=#REF!,"MANEJO DE RESIDUOS HOSPITALARIOS"))))))))))))))))))))))))))))))))))))</f>
        <v>#REF!</v>
      </c>
      <c r="W142" s="25" t="str">
        <f t="shared" si="11"/>
        <v>Johana Lorena Narvaez Pianda</v>
      </c>
      <c r="X142" s="25" t="str">
        <f t="shared" si="12"/>
        <v>Johana Lorena Narvaez Pianda</v>
      </c>
      <c r="Y142" s="69" t="str">
        <f t="shared" si="13"/>
        <v>Johana Lorena Narvaez Pianda-59310336-QUIMICOS</v>
      </c>
    </row>
    <row r="143" spans="1:25" x14ac:dyDescent="0.2">
      <c r="A143" s="19">
        <v>142</v>
      </c>
      <c r="B143" s="20">
        <v>1004547401</v>
      </c>
      <c r="C143" s="20" t="s">
        <v>251</v>
      </c>
      <c r="D143" s="20" t="s">
        <v>313</v>
      </c>
      <c r="E143" s="20" t="s">
        <v>314</v>
      </c>
      <c r="F143" s="20" t="s">
        <v>315</v>
      </c>
      <c r="G143" s="20">
        <v>20</v>
      </c>
      <c r="H143" s="20" t="s">
        <v>56</v>
      </c>
      <c r="I143" s="21" t="s">
        <v>47</v>
      </c>
      <c r="J143" s="21"/>
      <c r="K143" s="22" t="s">
        <v>418</v>
      </c>
      <c r="L143" s="23">
        <v>63000</v>
      </c>
      <c r="M143" s="20" t="s">
        <v>115</v>
      </c>
      <c r="N143" s="20" t="s">
        <v>57</v>
      </c>
      <c r="O143" s="20" t="s">
        <v>48</v>
      </c>
      <c r="P143" s="20" t="s">
        <v>29</v>
      </c>
      <c r="Q143" s="21">
        <v>37612</v>
      </c>
      <c r="R143" s="42" t="s">
        <v>85</v>
      </c>
      <c r="S143" s="20" t="s">
        <v>74</v>
      </c>
      <c r="T143" s="20">
        <v>3177074654</v>
      </c>
      <c r="U143" s="24" t="s">
        <v>316</v>
      </c>
      <c r="V143" s="25" t="e">
        <f>IF(P143=#REF!,"DIPLOMADO EN ATENCION PRE-HOSPITALARIA",IF(P143=#REF!,"ACOMPAÑAMIENTO Y MANEJO DEL DUELO",IF(P143=#REF!,"ATENCION A VICTIMAS DE ATAQUE CON AGENTES QUIMICOS ",IF(P143=#REF!,"PRIMEROS AUXILIOS ",IF(P143=#REF!,"DIPLOMADO DE UNIDAD DE CUIDADOS INTENSIVOS (UCI)",IF(P143=#REF!,"MODELO DE ATENCION PARA EVENTOS EMERGENTES EN SALUD MENTAL (CODIGO VERDE)",IF(P143=#REF!,"HUMANIZACION EN EL SERVICIO DE LA SALUD Y BUENAS PRACTICAS EN PACIENTE ",IF(P143=#REF!,"CLINICA DE HERIDAS ",IF(P143=#REF!,"TOMA DE CITOLOGIA CERVICO VAGINAL ",IF(P143=#REF!,"SOPORTE CARDIOVASCULAR AVANZADO (ACLS) ",IF(P143=#REF!,"CAMILLERO ",IF(P143=#REF!,"TOMA DE MUESTRAS Y LABORATORIO ",IF(P143=#REF!,"SOPORTE VITAL BASICO (BLS)",IF(P143=#REF!,"ATENCION A VICTIMAS DE VIOLENCIA SEXUAL ",IF(P143=#REF!,"PROGRAMADO AMPLIADO DE INMUNIZACION (PAI - COVID 19)",IF(P143=#REF!,"ATENCION INTEGRAL EN ENFERMEDADES PREVALENTES EN PRIMERA INFANCIA (AIEPI)",IF(P143=#REF!,"ADMINISTRACION DE MEDICAMENTOS, INYECTOLOGIA  Y CANALIZACION ",IF(P143=#REF!,"OPERADOR DE VEHICULOS DE EMERGENCIA (OVE)",IF(P143=#REF!,"INSTITUCIONES AMIGAS DE LA MUJER Y LA INFANCIA (IAMI)",IF(P143=#REF!,"CUIDADO DEL DONANTE DE ORGANOS",IF(P143=#REF!,"ATENCION A VICTIMAS POR VIOLENCIA DE GENERO",IF(P143=#REF!,"IGUALDAD DE GENERO EN LA SALUD",IF(P143=#REF!,"BRIGADA DE EMERGENCIA",IF(P143=#REF!,"MANEJO DEL DOLOR Y CUIDADOS PALIATIVOS",IF(P143=#REF!,"TOMA DE MUESTRAS Y LABORATORIO POCT",IF(P143=#REF!,"IMPLANTE SUBDERMICO DE DISPOSITIVO INTRAUTERINO",IF(P143=#REF!,"SALUD MENTAL",IF(P143=#REF!,"PRIMEROS AUXILIOS PSICOLOGICOS",IF(P143=#REF!,"ATENCION A VICTIMAS POR CONFLICTO ARMADO",IF(P143=#REF!,"MANIPULACION DE ALIMENTOS Y BPM",IF(P143=#REF!,"ATENCION A PERSONAS CON DISCAPACIDAD",IF(P143=#REF!,"CUIDADO INTEGRAL DEL PACIENTE ADULTO",IF(P143=#REF!,"MANEJO DEFENSIVO",IF(P143=#REF!,"SOPORTE CARDIOVASCULAR AVANZADO NEONATAL",IF(P143=#REF!,"SEGURIDAD DEL PACIENTE",IF(P143=#REF!,"MANEJO DE RESIDUOS HOSPITALARIOS"))))))))))))))))))))))))))))))))))))</f>
        <v>#REF!</v>
      </c>
      <c r="W143" s="25" t="str">
        <f t="shared" si="11"/>
        <v>Ivan Dario Lopez Nandar</v>
      </c>
      <c r="X143" s="25" t="str">
        <f t="shared" si="12"/>
        <v>Ivan Dario Lopez Nandar</v>
      </c>
      <c r="Y143" s="69" t="str">
        <f t="shared" si="13"/>
        <v>Ivan Dario Lopez Nandar-1004547401-ADMON DE MEDICAMENTOS</v>
      </c>
    </row>
    <row r="144" spans="1:25" x14ac:dyDescent="0.2">
      <c r="A144" s="19">
        <v>143</v>
      </c>
      <c r="B144" s="20">
        <v>1004695233</v>
      </c>
      <c r="C144" s="20" t="s">
        <v>231</v>
      </c>
      <c r="D144" s="20" t="s">
        <v>317</v>
      </c>
      <c r="E144" s="20" t="s">
        <v>318</v>
      </c>
      <c r="F144" s="20" t="s">
        <v>319</v>
      </c>
      <c r="G144" s="20">
        <v>20</v>
      </c>
      <c r="H144" s="20" t="s">
        <v>56</v>
      </c>
      <c r="I144" s="21" t="s">
        <v>72</v>
      </c>
      <c r="J144" s="21" t="s">
        <v>91</v>
      </c>
      <c r="K144" s="22">
        <v>45709</v>
      </c>
      <c r="L144" s="40">
        <v>25000</v>
      </c>
      <c r="M144" s="20" t="s">
        <v>90</v>
      </c>
      <c r="N144" s="20" t="s">
        <v>57</v>
      </c>
      <c r="O144" s="20" t="s">
        <v>73</v>
      </c>
      <c r="P144" s="20" t="s">
        <v>27</v>
      </c>
      <c r="Q144" s="21"/>
      <c r="R144" s="42" t="s">
        <v>49</v>
      </c>
      <c r="S144" s="20" t="s">
        <v>74</v>
      </c>
      <c r="T144" s="20">
        <v>3205165593</v>
      </c>
      <c r="U144" s="24" t="s">
        <v>320</v>
      </c>
      <c r="V144" s="25" t="e">
        <f>IF(P144=#REF!,"DIPLOMADO EN ATENCION PRE-HOSPITALARIA",IF(P144=#REF!,"ACOMPAÑAMIENTO Y MANEJO DEL DUELO",IF(P144=#REF!,"ATENCION A VICTIMAS DE ATAQUE CON AGENTES QUIMICOS ",IF(P144=#REF!,"PRIMEROS AUXILIOS ",IF(P144=#REF!,"DIPLOMADO DE UNIDAD DE CUIDADOS INTENSIVOS (UCI)",IF(P144=#REF!,"MODELO DE ATENCION PARA EVENTOS EMERGENTES EN SALUD MENTAL (CODIGO VERDE)",IF(P144=#REF!,"HUMANIZACION EN EL SERVICIO DE LA SALUD Y BUENAS PRACTICAS EN PACIENTE ",IF(P144=#REF!,"CLINICA DE HERIDAS ",IF(P144=#REF!,"TOMA DE CITOLOGIA CERVICO VAGINAL ",IF(P144=#REF!,"SOPORTE CARDIOVASCULAR AVANZADO (ACLS) ",IF(P144=#REF!,"CAMILLERO ",IF(P144=#REF!,"TOMA DE MUESTRAS Y LABORATORIO ",IF(P144=#REF!,"SOPORTE VITAL BASICO (BLS)",IF(P144=#REF!,"ATENCION A VICTIMAS DE VIOLENCIA SEXUAL ",IF(P144=#REF!,"PROGRAMADO AMPLIADO DE INMUNIZACION (PAI - COVID 19)",IF(P144=#REF!,"ATENCION INTEGRAL EN ENFERMEDADES PREVALENTES EN PRIMERA INFANCIA (AIEPI)",IF(P144=#REF!,"ADMINISTRACION DE MEDICAMENTOS, INYECTOLOGIA  Y CANALIZACION ",IF(P144=#REF!,"OPERADOR DE VEHICULOS DE EMERGENCIA (OVE)",IF(P144=#REF!,"INSTITUCIONES AMIGAS DE LA MUJER Y LA INFANCIA (IAMI)",IF(P144=#REF!,"CUIDADO DEL DONANTE DE ORGANOS",IF(P144=#REF!,"ATENCION A VICTIMAS POR VIOLENCIA DE GENERO",IF(P144=#REF!,"IGUALDAD DE GENERO EN LA SALUD",IF(P144=#REF!,"BRIGADA DE EMERGENCIA",IF(P144=#REF!,"MANEJO DEL DOLOR Y CUIDADOS PALIATIVOS",IF(P144=#REF!,"TOMA DE MUESTRAS Y LABORATORIO POCT",IF(P144=#REF!,"IMPLANTE SUBDERMICO DE DISPOSITIVO INTRAUTERINO",IF(P144=#REF!,"SALUD MENTAL",IF(P144=#REF!,"PRIMEROS AUXILIOS PSICOLOGICOS",IF(P144=#REF!,"ATENCION A VICTIMAS POR CONFLICTO ARMADO",IF(P144=#REF!,"MANIPULACION DE ALIMENTOS Y BPM",IF(P144=#REF!,"ATENCION A PERSONAS CON DISCAPACIDAD",IF(P144=#REF!,"CUIDADO INTEGRAL DEL PACIENTE ADULTO",IF(P144=#REF!,"MANEJO DEFENSIVO",IF(P144=#REF!,"SOPORTE CARDIOVASCULAR AVANZADO NEONATAL",IF(P144=#REF!,"SEGURIDAD DEL PACIENTE",IF(P144=#REF!,"MANEJO DE RESIDUOS HOSPITALARIOS"))))))))))))))))))))))))))))))))))))</f>
        <v>#REF!</v>
      </c>
      <c r="W144" s="25" t="str">
        <f t="shared" ref="W144:W206" si="14">CONCATENATE(E144," ",F144," ",C144," ",D144)</f>
        <v>Magaly Yohana Gomez Betancur</v>
      </c>
      <c r="X144" s="25" t="str">
        <f t="shared" ref="X144:X206" si="15">PROPER(W144)</f>
        <v>Magaly Yohana Gomez Betancur</v>
      </c>
      <c r="Y144" s="69" t="str">
        <f t="shared" ref="Y144:Y206" si="16">CONCATENATE(W144,"-",B144,"-",P144)</f>
        <v>Magaly Yohana Gomez Betancur-1004695233-VIOLENCIA SEXUAL</v>
      </c>
    </row>
    <row r="145" spans="1:25" x14ac:dyDescent="0.2">
      <c r="A145" s="19">
        <v>144</v>
      </c>
      <c r="B145" s="20">
        <v>1004695233</v>
      </c>
      <c r="C145" s="20" t="s">
        <v>231</v>
      </c>
      <c r="D145" s="20" t="s">
        <v>317</v>
      </c>
      <c r="E145" s="20" t="s">
        <v>318</v>
      </c>
      <c r="F145" s="20" t="s">
        <v>319</v>
      </c>
      <c r="G145" s="20">
        <v>19</v>
      </c>
      <c r="H145" s="20" t="s">
        <v>56</v>
      </c>
      <c r="I145" s="21" t="s">
        <v>72</v>
      </c>
      <c r="J145" s="21" t="s">
        <v>91</v>
      </c>
      <c r="K145" s="22">
        <v>45709</v>
      </c>
      <c r="L145" s="40">
        <v>25000</v>
      </c>
      <c r="M145" s="20" t="s">
        <v>90</v>
      </c>
      <c r="N145" s="20" t="s">
        <v>57</v>
      </c>
      <c r="O145" s="20" t="s">
        <v>73</v>
      </c>
      <c r="P145" s="20" t="s">
        <v>20</v>
      </c>
      <c r="Q145" s="21"/>
      <c r="R145" s="42" t="s">
        <v>49</v>
      </c>
      <c r="S145" s="20" t="s">
        <v>74</v>
      </c>
      <c r="T145" s="20">
        <v>3205165593</v>
      </c>
      <c r="U145" s="24" t="s">
        <v>320</v>
      </c>
      <c r="V145" s="25" t="e">
        <f>IF(P145=#REF!,"DIPLOMADO EN ATENCION PRE-HOSPITALARIA",IF(P145=#REF!,"ACOMPAÑAMIENTO Y MANEJO DEL DUELO",IF(P145=#REF!,"ATENCION A VICTIMAS DE ATAQUE CON AGENTES QUIMICOS ",IF(P145=#REF!,"PRIMEROS AUXILIOS ",IF(P145=#REF!,"DIPLOMADO DE UNIDAD DE CUIDADOS INTENSIVOS (UCI)",IF(P145=#REF!,"MODELO DE ATENCION PARA EVENTOS EMERGENTES EN SALUD MENTAL (CODIGO VERDE)",IF(P145=#REF!,"HUMANIZACION EN EL SERVICIO DE LA SALUD Y BUENAS PRACTICAS EN PACIENTE ",IF(P145=#REF!,"CLINICA DE HERIDAS ",IF(P145=#REF!,"TOMA DE CITOLOGIA CERVICO VAGINAL ",IF(P145=#REF!,"SOPORTE CARDIOVASCULAR AVANZADO (ACLS) ",IF(P145=#REF!,"CAMILLERO ",IF(P145=#REF!,"TOMA DE MUESTRAS Y LABORATORIO ",IF(P145=#REF!,"SOPORTE VITAL BASICO (BLS)",IF(P145=#REF!,"ATENCION A VICTIMAS DE VIOLENCIA SEXUAL ",IF(P145=#REF!,"PROGRAMADO AMPLIADO DE INMUNIZACION (PAI - COVID 19)",IF(P145=#REF!,"ATENCION INTEGRAL EN ENFERMEDADES PREVALENTES EN PRIMERA INFANCIA (AIEPI)",IF(P145=#REF!,"ADMINISTRACION DE MEDICAMENTOS, INYECTOLOGIA  Y CANALIZACION ",IF(P145=#REF!,"OPERADOR DE VEHICULOS DE EMERGENCIA (OVE)",IF(P145=#REF!,"INSTITUCIONES AMIGAS DE LA MUJER Y LA INFANCIA (IAMI)",IF(P145=#REF!,"CUIDADO DEL DONANTE DE ORGANOS",IF(P145=#REF!,"ATENCION A VICTIMAS POR VIOLENCIA DE GENERO",IF(P145=#REF!,"IGUALDAD DE GENERO EN LA SALUD",IF(P145=#REF!,"BRIGADA DE EMERGENCIA",IF(P145=#REF!,"MANEJO DEL DOLOR Y CUIDADOS PALIATIVOS",IF(P145=#REF!,"TOMA DE MUESTRAS Y LABORATORIO POCT",IF(P145=#REF!,"IMPLANTE SUBDERMICO DE DISPOSITIVO INTRAUTERINO",IF(P145=#REF!,"SALUD MENTAL",IF(P145=#REF!,"PRIMEROS AUXILIOS PSICOLOGICOS",IF(P145=#REF!,"ATENCION A VICTIMAS POR CONFLICTO ARMADO",IF(P145=#REF!,"MANIPULACION DE ALIMENTOS Y BPM",IF(P145=#REF!,"ATENCION A PERSONAS CON DISCAPACIDAD",IF(P145=#REF!,"CUIDADO INTEGRAL DEL PACIENTE ADULTO",IF(P145=#REF!,"MANEJO DEFENSIVO",IF(P145=#REF!,"SOPORTE CARDIOVASCULAR AVANZADO NEONATAL",IF(P145=#REF!,"SEGURIDAD DEL PACIENTE",IF(P145=#REF!,"MANEJO DE RESIDUOS HOSPITALARIOS"))))))))))))))))))))))))))))))))))))</f>
        <v>#REF!</v>
      </c>
      <c r="W145" s="25" t="str">
        <f t="shared" si="14"/>
        <v>Magaly Yohana Gomez Betancur</v>
      </c>
      <c r="X145" s="25" t="str">
        <f t="shared" si="15"/>
        <v>Magaly Yohana Gomez Betancur</v>
      </c>
      <c r="Y145" s="69" t="str">
        <f t="shared" si="16"/>
        <v>Magaly Yohana Gomez Betancur-1004695233-DUELO</v>
      </c>
    </row>
    <row r="146" spans="1:25" x14ac:dyDescent="0.2">
      <c r="A146" s="28">
        <v>145</v>
      </c>
      <c r="B146" s="20">
        <v>1004695233</v>
      </c>
      <c r="C146" s="20" t="s">
        <v>231</v>
      </c>
      <c r="D146" s="20" t="s">
        <v>317</v>
      </c>
      <c r="E146" s="20" t="s">
        <v>318</v>
      </c>
      <c r="F146" s="20" t="s">
        <v>319</v>
      </c>
      <c r="G146" s="20">
        <v>18</v>
      </c>
      <c r="H146" s="20" t="s">
        <v>56</v>
      </c>
      <c r="I146" s="21" t="s">
        <v>72</v>
      </c>
      <c r="J146" s="21" t="s">
        <v>91</v>
      </c>
      <c r="K146" s="22">
        <v>45709</v>
      </c>
      <c r="L146" s="40">
        <v>25000</v>
      </c>
      <c r="M146" s="20" t="s">
        <v>90</v>
      </c>
      <c r="N146" s="20" t="s">
        <v>57</v>
      </c>
      <c r="O146" s="20" t="s">
        <v>73</v>
      </c>
      <c r="P146" s="20" t="s">
        <v>41</v>
      </c>
      <c r="Q146" s="21"/>
      <c r="R146" s="42" t="s">
        <v>49</v>
      </c>
      <c r="S146" s="20" t="s">
        <v>74</v>
      </c>
      <c r="T146" s="20">
        <v>3205165593</v>
      </c>
      <c r="U146" s="24" t="s">
        <v>320</v>
      </c>
      <c r="V146" s="25" t="e">
        <f>IF(P146=#REF!,"DIPLOMADO EN ATENCION PRE-HOSPITALARIA",IF(P146=#REF!,"ACOMPAÑAMIENTO Y MANEJO DEL DUELO",IF(P146=#REF!,"ATENCION A VICTIMAS DE ATAQUE CON AGENTES QUIMICOS ",IF(P146=#REF!,"PRIMEROS AUXILIOS ",IF(P146=#REF!,"DIPLOMADO DE UNIDAD DE CUIDADOS INTENSIVOS (UCI)",IF(P146=#REF!,"MODELO DE ATENCION PARA EVENTOS EMERGENTES EN SALUD MENTAL (CODIGO VERDE)",IF(P146=#REF!,"HUMANIZACION EN EL SERVICIO DE LA SALUD Y BUENAS PRACTICAS EN PACIENTE ",IF(P146=#REF!,"CLINICA DE HERIDAS ",IF(P146=#REF!,"TOMA DE CITOLOGIA CERVICO VAGINAL ",IF(P146=#REF!,"SOPORTE CARDIOVASCULAR AVANZADO (ACLS) ",IF(P146=#REF!,"CAMILLERO ",IF(P146=#REF!,"TOMA DE MUESTRAS Y LABORATORIO ",IF(P146=#REF!,"SOPORTE VITAL BASICO (BLS)",IF(P146=#REF!,"ATENCION A VICTIMAS DE VIOLENCIA SEXUAL ",IF(P146=#REF!,"PROGRAMADO AMPLIADO DE INMUNIZACION (PAI - COVID 19)",IF(P146=#REF!,"ATENCION INTEGRAL EN ENFERMEDADES PREVALENTES EN PRIMERA INFANCIA (AIEPI)",IF(P146=#REF!,"ADMINISTRACION DE MEDICAMENTOS, INYECTOLOGIA  Y CANALIZACION ",IF(P146=#REF!,"OPERADOR DE VEHICULOS DE EMERGENCIA (OVE)",IF(P146=#REF!,"INSTITUCIONES AMIGAS DE LA MUJER Y LA INFANCIA (IAMI)",IF(P146=#REF!,"CUIDADO DEL DONANTE DE ORGANOS",IF(P146=#REF!,"ATENCION A VICTIMAS POR VIOLENCIA DE GENERO",IF(P146=#REF!,"IGUALDAD DE GENERO EN LA SALUD",IF(P146=#REF!,"BRIGADA DE EMERGENCIA",IF(P146=#REF!,"MANEJO DEL DOLOR Y CUIDADOS PALIATIVOS",IF(P146=#REF!,"TOMA DE MUESTRAS Y LABORATORIO POCT",IF(P146=#REF!,"IMPLANTE SUBDERMICO DE DISPOSITIVO INTRAUTERINO",IF(P146=#REF!,"SALUD MENTAL",IF(P146=#REF!,"PRIMEROS AUXILIOS PSICOLOGICOS",IF(P146=#REF!,"ATENCION A VICTIMAS POR CONFLICTO ARMADO",IF(P146=#REF!,"MANIPULACION DE ALIMENTOS Y BPM",IF(P146=#REF!,"ATENCION A PERSONAS CON DISCAPACIDAD",IF(P146=#REF!,"CUIDADO INTEGRAL DEL PACIENTE ADULTO",IF(P146=#REF!,"MANEJO DEFENSIVO",IF(P146=#REF!,"SOPORTE CARDIOVASCULAR AVANZADO NEONATAL",IF(P146=#REF!,"SEGURIDAD DEL PACIENTE",IF(P146=#REF!,"MANEJO DE RESIDUOS HOSPITALARIOS"))))))))))))))))))))))))))))))))))))</f>
        <v>#REF!</v>
      </c>
      <c r="W146" s="25" t="str">
        <f t="shared" si="14"/>
        <v>Magaly Yohana Gomez Betancur</v>
      </c>
      <c r="X146" s="25" t="str">
        <f t="shared" si="15"/>
        <v>Magaly Yohana Gomez Betancur</v>
      </c>
      <c r="Y146" s="69" t="str">
        <f t="shared" si="16"/>
        <v>Magaly Yohana Gomez Betancur-1004695233-PACIENTE</v>
      </c>
    </row>
    <row r="147" spans="1:25" x14ac:dyDescent="0.2">
      <c r="A147" s="19">
        <v>146</v>
      </c>
      <c r="B147" s="20">
        <v>1087674637</v>
      </c>
      <c r="C147" s="42" t="s">
        <v>285</v>
      </c>
      <c r="D147" s="42" t="s">
        <v>286</v>
      </c>
      <c r="E147" s="42" t="s">
        <v>287</v>
      </c>
      <c r="F147" s="42" t="s">
        <v>288</v>
      </c>
      <c r="G147" s="42">
        <v>20</v>
      </c>
      <c r="H147" s="20" t="s">
        <v>56</v>
      </c>
      <c r="I147" s="43" t="s">
        <v>47</v>
      </c>
      <c r="J147" s="43" t="s">
        <v>197</v>
      </c>
      <c r="K147" s="22">
        <v>45708</v>
      </c>
      <c r="L147" s="23">
        <v>75000</v>
      </c>
      <c r="M147" s="20" t="s">
        <v>90</v>
      </c>
      <c r="N147" s="20" t="s">
        <v>57</v>
      </c>
      <c r="O147" s="20" t="s">
        <v>48</v>
      </c>
      <c r="P147" s="20" t="s">
        <v>21</v>
      </c>
      <c r="Q147" s="21">
        <v>35250</v>
      </c>
      <c r="R147" s="42" t="s">
        <v>49</v>
      </c>
      <c r="S147" s="24" t="s">
        <v>289</v>
      </c>
      <c r="T147" s="20">
        <v>3204256614</v>
      </c>
      <c r="U147" s="24" t="s">
        <v>290</v>
      </c>
      <c r="V147" s="25" t="e">
        <f>IF(P147=#REF!,"DIPLOMADO EN ATENCION PRE-HOSPITALARIA",IF(P147=#REF!,"ACOMPAÑAMIENTO Y MANEJO DEL DUELO",IF(P147=#REF!,"ATENCION A VICTIMAS DE ATAQUE CON AGENTES QUIMICOS ",IF(P147=#REF!,"PRIMEROS AUXILIOS ",IF(P147=#REF!,"DIPLOMADO DE UNIDAD DE CUIDADOS INTENSIVOS (UCI)",IF(P147=#REF!,"MODELO DE ATENCION PARA EVENTOS EMERGENTES EN SALUD MENTAL (CODIGO VERDE)",IF(P147=#REF!,"HUMANIZACION EN EL SERVICIO DE LA SALUD Y BUENAS PRACTICAS EN PACIENTE ",IF(P147=#REF!,"CLINICA DE HERIDAS ",IF(P147=#REF!,"TOMA DE CITOLOGIA CERVICO VAGINAL ",IF(P147=#REF!,"SOPORTE CARDIOVASCULAR AVANZADO (ACLS) ",IF(P147=#REF!,"CAMILLERO ",IF(P147=#REF!,"TOMA DE MUESTRAS Y LABORATORIO ",IF(P147=#REF!,"SOPORTE VITAL BASICO (BLS)",IF(P147=#REF!,"ATENCION A VICTIMAS DE VIOLENCIA SEXUAL ",IF(P147=#REF!,"PROGRAMADO AMPLIADO DE INMUNIZACION (PAI - COVID 19)",IF(P147=#REF!,"ATENCION INTEGRAL EN ENFERMEDADES PREVALENTES EN PRIMERA INFANCIA (AIEPI)",IF(P147=#REF!,"ADMINISTRACION DE MEDICAMENTOS, INYECTOLOGIA  Y CANALIZACION ",IF(P147=#REF!,"OPERADOR DE VEHICULOS DE EMERGENCIA (OVE)",IF(P147=#REF!,"INSTITUCIONES AMIGAS DE LA MUJER Y LA INFANCIA (IAMI)",IF(P147=#REF!,"CUIDADO DEL DONANTE DE ORGANOS",IF(P147=#REF!,"ATENCION A VICTIMAS POR VIOLENCIA DE GENERO",IF(P147=#REF!,"IGUALDAD DE GENERO EN LA SALUD",IF(P147=#REF!,"BRIGADA DE EMERGENCIA",IF(P147=#REF!,"MANEJO DEL DOLOR Y CUIDADOS PALIATIVOS",IF(P147=#REF!,"TOMA DE MUESTRAS Y LABORATORIO POCT",IF(P147=#REF!,"IMPLANTE SUBDERMICO DE DISPOSITIVO INTRAUTERINO",IF(P147=#REF!,"SALUD MENTAL",IF(P147=#REF!,"PRIMEROS AUXILIOS PSICOLOGICOS",IF(P147=#REF!,"ATENCION A VICTIMAS POR CONFLICTO ARMADO",IF(P147=#REF!,"MANIPULACION DE ALIMENTOS Y BPM",IF(P147=#REF!,"ATENCION A PERSONAS CON DISCAPACIDAD",IF(P147=#REF!,"CUIDADO INTEGRAL DEL PACIENTE ADULTO",IF(P147=#REF!,"MANEJO DEFENSIVO",IF(P147=#REF!,"SOPORTE CARDIOVASCULAR AVANZADO NEONATAL",IF(P147=#REF!,"SEGURIDAD DEL PACIENTE",IF(P147=#REF!,"MANEJO DE RESIDUOS HOSPITALARIOS"))))))))))))))))))))))))))))))))))))</f>
        <v>#REF!</v>
      </c>
      <c r="W147" s="25" t="str">
        <f t="shared" si="14"/>
        <v>Adriana Mabel Revelo Cuaspa</v>
      </c>
      <c r="X147" s="25" t="str">
        <f t="shared" si="15"/>
        <v>Adriana Mabel Revelo Cuaspa</v>
      </c>
      <c r="Y147" s="69" t="str">
        <f t="shared" si="16"/>
        <v>Adriana Mabel Revelo Cuaspa-1087674637-QUIMICOS</v>
      </c>
    </row>
    <row r="148" spans="1:25" x14ac:dyDescent="0.2">
      <c r="A148" s="19">
        <v>147</v>
      </c>
      <c r="B148" s="20">
        <v>1087412296</v>
      </c>
      <c r="C148" s="20" t="s">
        <v>325</v>
      </c>
      <c r="D148" s="20" t="s">
        <v>326</v>
      </c>
      <c r="E148" s="20" t="s">
        <v>293</v>
      </c>
      <c r="F148" s="20" t="s">
        <v>84</v>
      </c>
      <c r="G148" s="20">
        <v>20</v>
      </c>
      <c r="H148" s="20" t="s">
        <v>56</v>
      </c>
      <c r="I148" s="21" t="s">
        <v>72</v>
      </c>
      <c r="J148" s="21" t="s">
        <v>91</v>
      </c>
      <c r="K148" s="22">
        <v>45709</v>
      </c>
      <c r="L148" s="40">
        <v>25000</v>
      </c>
      <c r="M148" s="20" t="s">
        <v>90</v>
      </c>
      <c r="N148" s="20" t="s">
        <v>57</v>
      </c>
      <c r="O148" s="20" t="s">
        <v>73</v>
      </c>
      <c r="P148" s="20" t="s">
        <v>23</v>
      </c>
      <c r="Q148" s="21">
        <v>39093</v>
      </c>
      <c r="R148" s="20" t="s">
        <v>85</v>
      </c>
      <c r="S148" s="20" t="s">
        <v>74</v>
      </c>
      <c r="T148" s="24">
        <v>3167033948</v>
      </c>
      <c r="U148" s="20" t="s">
        <v>327</v>
      </c>
      <c r="V148" s="25" t="e">
        <f>IF(P148=#REF!,"DIPLOMADO EN ATENCION PRE-HOSPITALARIA",IF(P148=#REF!,"ACOMPAÑAMIENTO Y MANEJO DEL DUELO",IF(P148=#REF!,"ATENCION A VICTIMAS DE ATAQUE CON AGENTES QUIMICOS ",IF(P148=#REF!,"PRIMEROS AUXILIOS ",IF(P148=#REF!,"DIPLOMADO DE UNIDAD DE CUIDADOS INTENSIVOS (UCI)",IF(P148=#REF!,"MODELO DE ATENCION PARA EVENTOS EMERGENTES EN SALUD MENTAL (CODIGO VERDE)",IF(P148=#REF!,"HUMANIZACION EN EL SERVICIO DE LA SALUD Y BUENAS PRACTICAS EN PACIENTE ",IF(P148=#REF!,"CLINICA DE HERIDAS ",IF(P148=#REF!,"TOMA DE CITOLOGIA CERVICO VAGINAL ",IF(P148=#REF!,"SOPORTE CARDIOVASCULAR AVANZADO (ACLS) ",IF(P148=#REF!,"CAMILLERO ",IF(P148=#REF!,"TOMA DE MUESTRAS Y LABORATORIO ",IF(P148=#REF!,"SOPORTE VITAL BASICO (BLS)",IF(P148=#REF!,"ATENCION A VICTIMAS DE VIOLENCIA SEXUAL ",IF(P148=#REF!,"PROGRAMADO AMPLIADO DE INMUNIZACION (PAI - COVID 19)",IF(P148=#REF!,"ATENCION INTEGRAL EN ENFERMEDADES PREVALENTES EN PRIMERA INFANCIA (AIEPI)",IF(P148=#REF!,"ADMINISTRACION DE MEDICAMENTOS, INYECTOLOGIA  Y CANALIZACION ",IF(P148=#REF!,"OPERADOR DE VEHICULOS DE EMERGENCIA (OVE)",IF(P148=#REF!,"INSTITUCIONES AMIGAS DE LA MUJER Y LA INFANCIA (IAMI)",IF(P148=#REF!,"CUIDADO DEL DONANTE DE ORGANOS",IF(P148=#REF!,"ATENCION A VICTIMAS POR VIOLENCIA DE GENERO",IF(P148=#REF!,"IGUALDAD DE GENERO EN LA SALUD",IF(P148=#REF!,"BRIGADA DE EMERGENCIA",IF(P148=#REF!,"MANEJO DEL DOLOR Y CUIDADOS PALIATIVOS",IF(P148=#REF!,"TOMA DE MUESTRAS Y LABORATORIO POCT",IF(P148=#REF!,"IMPLANTE SUBDERMICO DE DISPOSITIVO INTRAUTERINO",IF(P148=#REF!,"SALUD MENTAL",IF(P148=#REF!,"PRIMEROS AUXILIOS PSICOLOGICOS",IF(P148=#REF!,"ATENCION A VICTIMAS POR CONFLICTO ARMADO",IF(P148=#REF!,"MANIPULACION DE ALIMENTOS Y BPM",IF(P148=#REF!,"ATENCION A PERSONAS CON DISCAPACIDAD",IF(P148=#REF!,"CUIDADO INTEGRAL DEL PACIENTE ADULTO",IF(P148=#REF!,"MANEJO DEFENSIVO",IF(P148=#REF!,"SOPORTE CARDIOVASCULAR AVANZADO NEONATAL",IF(P148=#REF!,"SEGURIDAD DEL PACIENTE",IF(P148=#REF!,"MANEJO DE RESIDUOS HOSPITALARIOS"))))))))))))))))))))))))))))))))))))</f>
        <v>#REF!</v>
      </c>
      <c r="W148" s="25" t="str">
        <f t="shared" si="14"/>
        <v>Andres Alexander Cortes Igua</v>
      </c>
      <c r="X148" s="25" t="str">
        <f t="shared" si="15"/>
        <v>Andres Alexander Cortes Igua</v>
      </c>
      <c r="Y148" s="69" t="str">
        <f t="shared" si="16"/>
        <v>Andres Alexander Cortes Igua-1087412296-HUMANIZACION</v>
      </c>
    </row>
    <row r="149" spans="1:25" x14ac:dyDescent="0.2">
      <c r="A149" s="19">
        <v>148</v>
      </c>
      <c r="B149" s="20">
        <v>1004564013</v>
      </c>
      <c r="C149" s="20" t="s">
        <v>142</v>
      </c>
      <c r="D149" s="20" t="s">
        <v>321</v>
      </c>
      <c r="E149" s="20" t="s">
        <v>215</v>
      </c>
      <c r="F149" s="20" t="s">
        <v>322</v>
      </c>
      <c r="G149" s="20">
        <v>20</v>
      </c>
      <c r="H149" s="20" t="s">
        <v>56</v>
      </c>
      <c r="I149" s="21" t="s">
        <v>72</v>
      </c>
      <c r="J149" s="21" t="s">
        <v>91</v>
      </c>
      <c r="K149" s="22">
        <v>45709</v>
      </c>
      <c r="L149" s="40">
        <v>25000</v>
      </c>
      <c r="M149" s="20" t="s">
        <v>90</v>
      </c>
      <c r="N149" s="20" t="s">
        <v>57</v>
      </c>
      <c r="O149" s="20" t="s">
        <v>73</v>
      </c>
      <c r="P149" s="20" t="s">
        <v>23</v>
      </c>
      <c r="Q149" s="21">
        <v>36925</v>
      </c>
      <c r="R149" s="20" t="s">
        <v>49</v>
      </c>
      <c r="S149" s="27" t="s">
        <v>323</v>
      </c>
      <c r="T149" s="24">
        <v>3172936492</v>
      </c>
      <c r="U149" s="20" t="s">
        <v>324</v>
      </c>
      <c r="V149" s="25" t="e">
        <f>IF(P149=#REF!,"DIPLOMADO EN ATENCION PRE-HOSPITALARIA",IF(P149=#REF!,"ACOMPAÑAMIENTO Y MANEJO DEL DUELO",IF(P149=#REF!,"ATENCION A VICTIMAS DE ATAQUE CON AGENTES QUIMICOS ",IF(P149=#REF!,"PRIMEROS AUXILIOS ",IF(P149=#REF!,"DIPLOMADO DE UNIDAD DE CUIDADOS INTENSIVOS (UCI)",IF(P149=#REF!,"MODELO DE ATENCION PARA EVENTOS EMERGENTES EN SALUD MENTAL (CODIGO VERDE)",IF(P149=#REF!,"HUMANIZACION EN EL SERVICIO DE LA SALUD Y BUENAS PRACTICAS EN PACIENTE ",IF(P149=#REF!,"CLINICA DE HERIDAS ",IF(P149=#REF!,"TOMA DE CITOLOGIA CERVICO VAGINAL ",IF(P149=#REF!,"SOPORTE CARDIOVASCULAR AVANZADO (ACLS) ",IF(P149=#REF!,"CAMILLERO ",IF(P149=#REF!,"TOMA DE MUESTRAS Y LABORATORIO ",IF(P149=#REF!,"SOPORTE VITAL BASICO (BLS)",IF(P149=#REF!,"ATENCION A VICTIMAS DE VIOLENCIA SEXUAL ",IF(P149=#REF!,"PROGRAMADO AMPLIADO DE INMUNIZACION (PAI - COVID 19)",IF(P149=#REF!,"ATENCION INTEGRAL EN ENFERMEDADES PREVALENTES EN PRIMERA INFANCIA (AIEPI)",IF(P149=#REF!,"ADMINISTRACION DE MEDICAMENTOS, INYECTOLOGIA  Y CANALIZACION ",IF(P149=#REF!,"OPERADOR DE VEHICULOS DE EMERGENCIA (OVE)",IF(P149=#REF!,"INSTITUCIONES AMIGAS DE LA MUJER Y LA INFANCIA (IAMI)",IF(P149=#REF!,"CUIDADO DEL DONANTE DE ORGANOS",IF(P149=#REF!,"ATENCION A VICTIMAS POR VIOLENCIA DE GENERO",IF(P149=#REF!,"IGUALDAD DE GENERO EN LA SALUD",IF(P149=#REF!,"BRIGADA DE EMERGENCIA",IF(P149=#REF!,"MANEJO DEL DOLOR Y CUIDADOS PALIATIVOS",IF(P149=#REF!,"TOMA DE MUESTRAS Y LABORATORIO POCT",IF(P149=#REF!,"IMPLANTE SUBDERMICO DE DISPOSITIVO INTRAUTERINO",IF(P149=#REF!,"SALUD MENTAL",IF(P149=#REF!,"PRIMEROS AUXILIOS PSICOLOGICOS",IF(P149=#REF!,"ATENCION A VICTIMAS POR CONFLICTO ARMADO",IF(P149=#REF!,"MANIPULACION DE ALIMENTOS Y BPM",IF(P149=#REF!,"ATENCION A PERSONAS CON DISCAPACIDAD",IF(P149=#REF!,"CUIDADO INTEGRAL DEL PACIENTE ADULTO",IF(P149=#REF!,"MANEJO DEFENSIVO",IF(P149=#REF!,"SOPORTE CARDIOVASCULAR AVANZADO NEONATAL",IF(P149=#REF!,"SEGURIDAD DEL PACIENTE",IF(P149=#REF!,"MANEJO DE RESIDUOS HOSPITALARIOS"))))))))))))))))))))))))))))))))))))</f>
        <v>#REF!</v>
      </c>
      <c r="W149" s="25" t="str">
        <f t="shared" si="14"/>
        <v>Angie Daniela Riascos Ascuntar</v>
      </c>
      <c r="X149" s="25" t="str">
        <f t="shared" si="15"/>
        <v>Angie Daniela Riascos Ascuntar</v>
      </c>
      <c r="Y149" s="69" t="str">
        <f t="shared" si="16"/>
        <v>Angie Daniela Riascos Ascuntar-1004564013-HUMANIZACION</v>
      </c>
    </row>
    <row r="150" spans="1:25" x14ac:dyDescent="0.2">
      <c r="A150" s="19">
        <v>149</v>
      </c>
      <c r="B150" s="20">
        <v>1004547401</v>
      </c>
      <c r="C150" s="20" t="s">
        <v>251</v>
      </c>
      <c r="D150" s="20" t="s">
        <v>313</v>
      </c>
      <c r="E150" s="20" t="s">
        <v>314</v>
      </c>
      <c r="F150" s="20" t="s">
        <v>315</v>
      </c>
      <c r="G150" s="20">
        <v>20</v>
      </c>
      <c r="H150" s="20" t="s">
        <v>56</v>
      </c>
      <c r="I150" s="21" t="s">
        <v>72</v>
      </c>
      <c r="J150" s="21"/>
      <c r="K150" s="22">
        <v>45708</v>
      </c>
      <c r="L150" s="23">
        <v>40000</v>
      </c>
      <c r="M150" s="20" t="s">
        <v>141</v>
      </c>
      <c r="N150" s="20" t="s">
        <v>57</v>
      </c>
      <c r="O150" s="20" t="s">
        <v>48</v>
      </c>
      <c r="P150" s="20" t="s">
        <v>23</v>
      </c>
      <c r="Q150" s="21">
        <v>37612</v>
      </c>
      <c r="R150" s="42" t="s">
        <v>85</v>
      </c>
      <c r="S150" s="20" t="s">
        <v>74</v>
      </c>
      <c r="T150" s="20">
        <v>3177074654</v>
      </c>
      <c r="U150" s="24" t="s">
        <v>316</v>
      </c>
      <c r="V150" s="25" t="e">
        <f>IF(P150=#REF!,"DIPLOMADO EN ATENCION PRE-HOSPITALARIA",IF(P150=#REF!,"ACOMPAÑAMIENTO Y MANEJO DEL DUELO",IF(P150=#REF!,"ATENCION A VICTIMAS DE ATAQUE CON AGENTES QUIMICOS ",IF(P150=#REF!,"PRIMEROS AUXILIOS ",IF(P150=#REF!,"DIPLOMADO DE UNIDAD DE CUIDADOS INTENSIVOS (UCI)",IF(P150=#REF!,"MODELO DE ATENCION PARA EVENTOS EMERGENTES EN SALUD MENTAL (CODIGO VERDE)",IF(P150=#REF!,"HUMANIZACION EN EL SERVICIO DE LA SALUD Y BUENAS PRACTICAS EN PACIENTE ",IF(P150=#REF!,"CLINICA DE HERIDAS ",IF(P150=#REF!,"TOMA DE CITOLOGIA CERVICO VAGINAL ",IF(P150=#REF!,"SOPORTE CARDIOVASCULAR AVANZADO (ACLS) ",IF(P150=#REF!,"CAMILLERO ",IF(P150=#REF!,"TOMA DE MUESTRAS Y LABORATORIO ",IF(P150=#REF!,"SOPORTE VITAL BASICO (BLS)",IF(P150=#REF!,"ATENCION A VICTIMAS DE VIOLENCIA SEXUAL ",IF(P150=#REF!,"PROGRAMADO AMPLIADO DE INMUNIZACION (PAI - COVID 19)",IF(P150=#REF!,"ATENCION INTEGRAL EN ENFERMEDADES PREVALENTES EN PRIMERA INFANCIA (AIEPI)",IF(P150=#REF!,"ADMINISTRACION DE MEDICAMENTOS, INYECTOLOGIA  Y CANALIZACION ",IF(P150=#REF!,"OPERADOR DE VEHICULOS DE EMERGENCIA (OVE)",IF(P150=#REF!,"INSTITUCIONES AMIGAS DE LA MUJER Y LA INFANCIA (IAMI)",IF(P150=#REF!,"CUIDADO DEL DONANTE DE ORGANOS",IF(P150=#REF!,"ATENCION A VICTIMAS POR VIOLENCIA DE GENERO",IF(P150=#REF!,"IGUALDAD DE GENERO EN LA SALUD",IF(P150=#REF!,"BRIGADA DE EMERGENCIA",IF(P150=#REF!,"MANEJO DEL DOLOR Y CUIDADOS PALIATIVOS",IF(P150=#REF!,"TOMA DE MUESTRAS Y LABORATORIO POCT",IF(P150=#REF!,"IMPLANTE SUBDERMICO DE DISPOSITIVO INTRAUTERINO",IF(P150=#REF!,"SALUD MENTAL",IF(P150=#REF!,"PRIMEROS AUXILIOS PSICOLOGICOS",IF(P150=#REF!,"ATENCION A VICTIMAS POR CONFLICTO ARMADO",IF(P150=#REF!,"MANIPULACION DE ALIMENTOS Y BPM",IF(P150=#REF!,"ATENCION A PERSONAS CON DISCAPACIDAD",IF(P150=#REF!,"CUIDADO INTEGRAL DEL PACIENTE ADULTO",IF(P150=#REF!,"MANEJO DEFENSIVO",IF(P150=#REF!,"SOPORTE CARDIOVASCULAR AVANZADO NEONATAL",IF(P150=#REF!,"SEGURIDAD DEL PACIENTE",IF(P150=#REF!,"MANEJO DE RESIDUOS HOSPITALARIOS"))))))))))))))))))))))))))))))))))))</f>
        <v>#REF!</v>
      </c>
      <c r="W150" s="25" t="str">
        <f t="shared" si="14"/>
        <v>Ivan Dario Lopez Nandar</v>
      </c>
      <c r="X150" s="25" t="str">
        <f t="shared" si="15"/>
        <v>Ivan Dario Lopez Nandar</v>
      </c>
      <c r="Y150" s="69" t="str">
        <f t="shared" si="16"/>
        <v>Ivan Dario Lopez Nandar-1004547401-HUMANIZACION</v>
      </c>
    </row>
    <row r="151" spans="1:25" x14ac:dyDescent="0.2">
      <c r="A151" s="19">
        <v>150</v>
      </c>
      <c r="B151" s="20">
        <v>1004547401</v>
      </c>
      <c r="C151" s="20" t="s">
        <v>251</v>
      </c>
      <c r="D151" s="20" t="s">
        <v>313</v>
      </c>
      <c r="E151" s="20" t="s">
        <v>314</v>
      </c>
      <c r="F151" s="20" t="s">
        <v>315</v>
      </c>
      <c r="G151" s="20">
        <v>20</v>
      </c>
      <c r="H151" s="20" t="s">
        <v>56</v>
      </c>
      <c r="I151" s="21" t="s">
        <v>72</v>
      </c>
      <c r="J151" s="21"/>
      <c r="K151" s="22">
        <v>45708</v>
      </c>
      <c r="L151" s="23">
        <v>40000</v>
      </c>
      <c r="M151" s="20" t="s">
        <v>141</v>
      </c>
      <c r="N151" s="20" t="s">
        <v>57</v>
      </c>
      <c r="O151" s="20" t="s">
        <v>48</v>
      </c>
      <c r="P151" s="20" t="s">
        <v>20</v>
      </c>
      <c r="Q151" s="21">
        <v>37612</v>
      </c>
      <c r="R151" s="42" t="s">
        <v>85</v>
      </c>
      <c r="S151" s="20" t="s">
        <v>74</v>
      </c>
      <c r="T151" s="20">
        <v>3177074654</v>
      </c>
      <c r="U151" s="24" t="s">
        <v>316</v>
      </c>
      <c r="V151" s="25" t="e">
        <f>IF(P151=#REF!,"DIPLOMADO EN ATENCION PRE-HOSPITALARIA",IF(P151=#REF!,"ACOMPAÑAMIENTO Y MANEJO DEL DUELO",IF(P151=#REF!,"ATENCION A VICTIMAS DE ATAQUE CON AGENTES QUIMICOS ",IF(P151=#REF!,"PRIMEROS AUXILIOS ",IF(P151=#REF!,"DIPLOMADO DE UNIDAD DE CUIDADOS INTENSIVOS (UCI)",IF(P151=#REF!,"MODELO DE ATENCION PARA EVENTOS EMERGENTES EN SALUD MENTAL (CODIGO VERDE)",IF(P151=#REF!,"HUMANIZACION EN EL SERVICIO DE LA SALUD Y BUENAS PRACTICAS EN PACIENTE ",IF(P151=#REF!,"CLINICA DE HERIDAS ",IF(P151=#REF!,"TOMA DE CITOLOGIA CERVICO VAGINAL ",IF(P151=#REF!,"SOPORTE CARDIOVASCULAR AVANZADO (ACLS) ",IF(P151=#REF!,"CAMILLERO ",IF(P151=#REF!,"TOMA DE MUESTRAS Y LABORATORIO ",IF(P151=#REF!,"SOPORTE VITAL BASICO (BLS)",IF(P151=#REF!,"ATENCION A VICTIMAS DE VIOLENCIA SEXUAL ",IF(P151=#REF!,"PROGRAMADO AMPLIADO DE INMUNIZACION (PAI - COVID 19)",IF(P151=#REF!,"ATENCION INTEGRAL EN ENFERMEDADES PREVALENTES EN PRIMERA INFANCIA (AIEPI)",IF(P151=#REF!,"ADMINISTRACION DE MEDICAMENTOS, INYECTOLOGIA  Y CANALIZACION ",IF(P151=#REF!,"OPERADOR DE VEHICULOS DE EMERGENCIA (OVE)",IF(P151=#REF!,"INSTITUCIONES AMIGAS DE LA MUJER Y LA INFANCIA (IAMI)",IF(P151=#REF!,"CUIDADO DEL DONANTE DE ORGANOS",IF(P151=#REF!,"ATENCION A VICTIMAS POR VIOLENCIA DE GENERO",IF(P151=#REF!,"IGUALDAD DE GENERO EN LA SALUD",IF(P151=#REF!,"BRIGADA DE EMERGENCIA",IF(P151=#REF!,"MANEJO DEL DOLOR Y CUIDADOS PALIATIVOS",IF(P151=#REF!,"TOMA DE MUESTRAS Y LABORATORIO POCT",IF(P151=#REF!,"IMPLANTE SUBDERMICO DE DISPOSITIVO INTRAUTERINO",IF(P151=#REF!,"SALUD MENTAL",IF(P151=#REF!,"PRIMEROS AUXILIOS PSICOLOGICOS",IF(P151=#REF!,"ATENCION A VICTIMAS POR CONFLICTO ARMADO",IF(P151=#REF!,"MANIPULACION DE ALIMENTOS Y BPM",IF(P151=#REF!,"ATENCION A PERSONAS CON DISCAPACIDAD",IF(P151=#REF!,"CUIDADO INTEGRAL DEL PACIENTE ADULTO",IF(P151=#REF!,"MANEJO DEFENSIVO",IF(P151=#REF!,"SOPORTE CARDIOVASCULAR AVANZADO NEONATAL",IF(P151=#REF!,"SEGURIDAD DEL PACIENTE",IF(P151=#REF!,"MANEJO DE RESIDUOS HOSPITALARIOS"))))))))))))))))))))))))))))))))))))</f>
        <v>#REF!</v>
      </c>
      <c r="W151" s="25" t="str">
        <f t="shared" si="14"/>
        <v>Ivan Dario Lopez Nandar</v>
      </c>
      <c r="X151" s="25" t="str">
        <f t="shared" si="15"/>
        <v>Ivan Dario Lopez Nandar</v>
      </c>
      <c r="Y151" s="69" t="str">
        <f t="shared" si="16"/>
        <v>Ivan Dario Lopez Nandar-1004547401-DUELO</v>
      </c>
    </row>
    <row r="152" spans="1:25" x14ac:dyDescent="0.2">
      <c r="A152" s="19">
        <v>151</v>
      </c>
      <c r="B152" s="20">
        <v>1004547401</v>
      </c>
      <c r="C152" s="20" t="s">
        <v>251</v>
      </c>
      <c r="D152" s="20" t="s">
        <v>313</v>
      </c>
      <c r="E152" s="20" t="s">
        <v>314</v>
      </c>
      <c r="F152" s="20" t="s">
        <v>315</v>
      </c>
      <c r="G152" s="20">
        <v>20</v>
      </c>
      <c r="H152" s="20" t="s">
        <v>56</v>
      </c>
      <c r="I152" s="21" t="s">
        <v>72</v>
      </c>
      <c r="J152" s="21"/>
      <c r="K152" s="22">
        <v>45708</v>
      </c>
      <c r="L152" s="23">
        <v>40000</v>
      </c>
      <c r="M152" s="20" t="s">
        <v>141</v>
      </c>
      <c r="N152" s="20" t="s">
        <v>57</v>
      </c>
      <c r="O152" s="20" t="s">
        <v>48</v>
      </c>
      <c r="P152" s="20" t="s">
        <v>21</v>
      </c>
      <c r="Q152" s="21">
        <v>37612</v>
      </c>
      <c r="R152" s="42" t="s">
        <v>85</v>
      </c>
      <c r="S152" s="20" t="s">
        <v>74</v>
      </c>
      <c r="T152" s="20">
        <v>3177074654</v>
      </c>
      <c r="U152" s="24" t="s">
        <v>316</v>
      </c>
      <c r="V152" s="25" t="e">
        <f>IF(P152=#REF!,"DIPLOMADO EN ATENCION PRE-HOSPITALARIA",IF(P152=#REF!,"ACOMPAÑAMIENTO Y MANEJO DEL DUELO",IF(P152=#REF!,"ATENCION A VICTIMAS DE ATAQUE CON AGENTES QUIMICOS ",IF(P152=#REF!,"PRIMEROS AUXILIOS ",IF(P152=#REF!,"DIPLOMADO DE UNIDAD DE CUIDADOS INTENSIVOS (UCI)",IF(P152=#REF!,"MODELO DE ATENCION PARA EVENTOS EMERGENTES EN SALUD MENTAL (CODIGO VERDE)",IF(P152=#REF!,"HUMANIZACION EN EL SERVICIO DE LA SALUD Y BUENAS PRACTICAS EN PACIENTE ",IF(P152=#REF!,"CLINICA DE HERIDAS ",IF(P152=#REF!,"TOMA DE CITOLOGIA CERVICO VAGINAL ",IF(P152=#REF!,"SOPORTE CARDIOVASCULAR AVANZADO (ACLS) ",IF(P152=#REF!,"CAMILLERO ",IF(P152=#REF!,"TOMA DE MUESTRAS Y LABORATORIO ",IF(P152=#REF!,"SOPORTE VITAL BASICO (BLS)",IF(P152=#REF!,"ATENCION A VICTIMAS DE VIOLENCIA SEXUAL ",IF(P152=#REF!,"PROGRAMADO AMPLIADO DE INMUNIZACION (PAI - COVID 19)",IF(P152=#REF!,"ATENCION INTEGRAL EN ENFERMEDADES PREVALENTES EN PRIMERA INFANCIA (AIEPI)",IF(P152=#REF!,"ADMINISTRACION DE MEDICAMENTOS, INYECTOLOGIA  Y CANALIZACION ",IF(P152=#REF!,"OPERADOR DE VEHICULOS DE EMERGENCIA (OVE)",IF(P152=#REF!,"INSTITUCIONES AMIGAS DE LA MUJER Y LA INFANCIA (IAMI)",IF(P152=#REF!,"CUIDADO DEL DONANTE DE ORGANOS",IF(P152=#REF!,"ATENCION A VICTIMAS POR VIOLENCIA DE GENERO",IF(P152=#REF!,"IGUALDAD DE GENERO EN LA SALUD",IF(P152=#REF!,"BRIGADA DE EMERGENCIA",IF(P152=#REF!,"MANEJO DEL DOLOR Y CUIDADOS PALIATIVOS",IF(P152=#REF!,"TOMA DE MUESTRAS Y LABORATORIO POCT",IF(P152=#REF!,"IMPLANTE SUBDERMICO DE DISPOSITIVO INTRAUTERINO",IF(P152=#REF!,"SALUD MENTAL",IF(P152=#REF!,"PRIMEROS AUXILIOS PSICOLOGICOS",IF(P152=#REF!,"ATENCION A VICTIMAS POR CONFLICTO ARMADO",IF(P152=#REF!,"MANIPULACION DE ALIMENTOS Y BPM",IF(P152=#REF!,"ATENCION A PERSONAS CON DISCAPACIDAD",IF(P152=#REF!,"CUIDADO INTEGRAL DEL PACIENTE ADULTO",IF(P152=#REF!,"MANEJO DEFENSIVO",IF(P152=#REF!,"SOPORTE CARDIOVASCULAR AVANZADO NEONATAL",IF(P152=#REF!,"SEGURIDAD DEL PACIENTE",IF(P152=#REF!,"MANEJO DE RESIDUOS HOSPITALARIOS"))))))))))))))))))))))))))))))))))))</f>
        <v>#REF!</v>
      </c>
      <c r="W152" s="25" t="str">
        <f t="shared" si="14"/>
        <v>Ivan Dario Lopez Nandar</v>
      </c>
      <c r="X152" s="25" t="str">
        <f t="shared" si="15"/>
        <v>Ivan Dario Lopez Nandar</v>
      </c>
      <c r="Y152" s="69" t="str">
        <f t="shared" si="16"/>
        <v>Ivan Dario Lopez Nandar-1004547401-QUIMICOS</v>
      </c>
    </row>
    <row r="153" spans="1:25" x14ac:dyDescent="0.2">
      <c r="A153" s="19">
        <v>152</v>
      </c>
      <c r="B153" s="20">
        <v>1004547401</v>
      </c>
      <c r="C153" s="20" t="s">
        <v>251</v>
      </c>
      <c r="D153" s="20" t="s">
        <v>313</v>
      </c>
      <c r="E153" s="20" t="s">
        <v>314</v>
      </c>
      <c r="F153" s="20" t="s">
        <v>315</v>
      </c>
      <c r="G153" s="20">
        <v>20</v>
      </c>
      <c r="H153" s="20" t="s">
        <v>56</v>
      </c>
      <c r="I153" s="21" t="s">
        <v>72</v>
      </c>
      <c r="J153" s="21"/>
      <c r="K153" s="22">
        <v>45708</v>
      </c>
      <c r="L153" s="23">
        <v>40000</v>
      </c>
      <c r="M153" s="20" t="s">
        <v>141</v>
      </c>
      <c r="N153" s="20" t="s">
        <v>57</v>
      </c>
      <c r="O153" s="20" t="s">
        <v>48</v>
      </c>
      <c r="P153" s="20" t="s">
        <v>27</v>
      </c>
      <c r="Q153" s="21">
        <v>37612</v>
      </c>
      <c r="R153" s="42" t="s">
        <v>85</v>
      </c>
      <c r="S153" s="20" t="s">
        <v>74</v>
      </c>
      <c r="T153" s="20">
        <v>3177074654</v>
      </c>
      <c r="U153" s="24" t="s">
        <v>316</v>
      </c>
      <c r="V153" s="25" t="e">
        <f>IF(P153=#REF!,"DIPLOMADO EN ATENCION PRE-HOSPITALARIA",IF(P153=#REF!,"ACOMPAÑAMIENTO Y MANEJO DEL DUELO",IF(P153=#REF!,"ATENCION A VICTIMAS DE ATAQUE CON AGENTES QUIMICOS ",IF(P153=#REF!,"PRIMEROS AUXILIOS ",IF(P153=#REF!,"DIPLOMADO DE UNIDAD DE CUIDADOS INTENSIVOS (UCI)",IF(P153=#REF!,"MODELO DE ATENCION PARA EVENTOS EMERGENTES EN SALUD MENTAL (CODIGO VERDE)",IF(P153=#REF!,"HUMANIZACION EN EL SERVICIO DE LA SALUD Y BUENAS PRACTICAS EN PACIENTE ",IF(P153=#REF!,"CLINICA DE HERIDAS ",IF(P153=#REF!,"TOMA DE CITOLOGIA CERVICO VAGINAL ",IF(P153=#REF!,"SOPORTE CARDIOVASCULAR AVANZADO (ACLS) ",IF(P153=#REF!,"CAMILLERO ",IF(P153=#REF!,"TOMA DE MUESTRAS Y LABORATORIO ",IF(P153=#REF!,"SOPORTE VITAL BASICO (BLS)",IF(P153=#REF!,"ATENCION A VICTIMAS DE VIOLENCIA SEXUAL ",IF(P153=#REF!,"PROGRAMADO AMPLIADO DE INMUNIZACION (PAI - COVID 19)",IF(P153=#REF!,"ATENCION INTEGRAL EN ENFERMEDADES PREVALENTES EN PRIMERA INFANCIA (AIEPI)",IF(P153=#REF!,"ADMINISTRACION DE MEDICAMENTOS, INYECTOLOGIA  Y CANALIZACION ",IF(P153=#REF!,"OPERADOR DE VEHICULOS DE EMERGENCIA (OVE)",IF(P153=#REF!,"INSTITUCIONES AMIGAS DE LA MUJER Y LA INFANCIA (IAMI)",IF(P153=#REF!,"CUIDADO DEL DONANTE DE ORGANOS",IF(P153=#REF!,"ATENCION A VICTIMAS POR VIOLENCIA DE GENERO",IF(P153=#REF!,"IGUALDAD DE GENERO EN LA SALUD",IF(P153=#REF!,"BRIGADA DE EMERGENCIA",IF(P153=#REF!,"MANEJO DEL DOLOR Y CUIDADOS PALIATIVOS",IF(P153=#REF!,"TOMA DE MUESTRAS Y LABORATORIO POCT",IF(P153=#REF!,"IMPLANTE SUBDERMICO DE DISPOSITIVO INTRAUTERINO",IF(P153=#REF!,"SALUD MENTAL",IF(P153=#REF!,"PRIMEROS AUXILIOS PSICOLOGICOS",IF(P153=#REF!,"ATENCION A VICTIMAS POR CONFLICTO ARMADO",IF(P153=#REF!,"MANIPULACION DE ALIMENTOS Y BPM",IF(P153=#REF!,"ATENCION A PERSONAS CON DISCAPACIDAD",IF(P153=#REF!,"CUIDADO INTEGRAL DEL PACIENTE ADULTO",IF(P153=#REF!,"MANEJO DEFENSIVO",IF(P153=#REF!,"SOPORTE CARDIOVASCULAR AVANZADO NEONATAL",IF(P153=#REF!,"SEGURIDAD DEL PACIENTE",IF(P153=#REF!,"MANEJO DE RESIDUOS HOSPITALARIOS"))))))))))))))))))))))))))))))))))))</f>
        <v>#REF!</v>
      </c>
      <c r="W153" s="25" t="str">
        <f t="shared" si="14"/>
        <v>Ivan Dario Lopez Nandar</v>
      </c>
      <c r="X153" s="25" t="str">
        <f t="shared" si="15"/>
        <v>Ivan Dario Lopez Nandar</v>
      </c>
      <c r="Y153" s="69" t="str">
        <f t="shared" si="16"/>
        <v>Ivan Dario Lopez Nandar-1004547401-VIOLENCIA SEXUAL</v>
      </c>
    </row>
    <row r="154" spans="1:25" x14ac:dyDescent="0.2">
      <c r="A154" s="19">
        <v>153</v>
      </c>
      <c r="B154" s="20">
        <v>1085300415</v>
      </c>
      <c r="C154" s="20" t="s">
        <v>241</v>
      </c>
      <c r="D154" s="20" t="s">
        <v>330</v>
      </c>
      <c r="E154" s="20" t="s">
        <v>112</v>
      </c>
      <c r="F154" s="20" t="s">
        <v>331</v>
      </c>
      <c r="G154" s="20">
        <v>20</v>
      </c>
      <c r="H154" s="20" t="s">
        <v>56</v>
      </c>
      <c r="I154" s="21" t="s">
        <v>47</v>
      </c>
      <c r="J154" s="21" t="s">
        <v>279</v>
      </c>
      <c r="K154" s="22">
        <v>45705</v>
      </c>
      <c r="L154" s="23">
        <v>80000</v>
      </c>
      <c r="M154" s="20" t="s">
        <v>159</v>
      </c>
      <c r="N154" s="20" t="s">
        <v>57</v>
      </c>
      <c r="O154" s="20" t="s">
        <v>48</v>
      </c>
      <c r="P154" s="20" t="s">
        <v>34</v>
      </c>
      <c r="Q154" s="21">
        <v>33906</v>
      </c>
      <c r="R154" s="20" t="s">
        <v>49</v>
      </c>
      <c r="S154" s="27" t="s">
        <v>86</v>
      </c>
      <c r="T154" s="24">
        <v>3016590132</v>
      </c>
      <c r="U154" s="20" t="s">
        <v>332</v>
      </c>
      <c r="V154" s="25" t="e">
        <f>IF(P154=#REF!,"DIPLOMADO EN ATENCION PRE-HOSPITALARIA",IF(P154=#REF!,"ACOMPAÑAMIENTO Y MANEJO DEL DUELO",IF(P154=#REF!,"ATENCION A VICTIMAS DE ATAQUE CON AGENTES QUIMICOS ",IF(P154=#REF!,"PRIMEROS AUXILIOS ",IF(P154=#REF!,"DIPLOMADO DE UNIDAD DE CUIDADOS INTENSIVOS (UCI)",IF(P154=#REF!,"MODELO DE ATENCION PARA EVENTOS EMERGENTES EN SALUD MENTAL (CODIGO VERDE)",IF(P154=#REF!,"HUMANIZACION EN EL SERVICIO DE LA SALUD Y BUENAS PRACTICAS EN PACIENTE ",IF(P154=#REF!,"CLINICA DE HERIDAS ",IF(P154=#REF!,"TOMA DE CITOLOGIA CERVICO VAGINAL ",IF(P154=#REF!,"SOPORTE CARDIOVASCULAR AVANZADO (ACLS) ",IF(P154=#REF!,"CAMILLERO ",IF(P154=#REF!,"TOMA DE MUESTRAS Y LABORATORIO ",IF(P154=#REF!,"SOPORTE VITAL BASICO (BLS)",IF(P154=#REF!,"ATENCION A VICTIMAS DE VIOLENCIA SEXUAL ",IF(P154=#REF!,"PROGRAMADO AMPLIADO DE INMUNIZACION (PAI - COVID 19)",IF(P154=#REF!,"ATENCION INTEGRAL EN ENFERMEDADES PREVALENTES EN PRIMERA INFANCIA (AIEPI)",IF(P154=#REF!,"ADMINISTRACION DE MEDICAMENTOS, INYECTOLOGIA  Y CANALIZACION ",IF(P154=#REF!,"OPERADOR DE VEHICULOS DE EMERGENCIA (OVE)",IF(P154=#REF!,"INSTITUCIONES AMIGAS DE LA MUJER Y LA INFANCIA (IAMI)",IF(P154=#REF!,"CUIDADO DEL DONANTE DE ORGANOS",IF(P154=#REF!,"ATENCION A VICTIMAS POR VIOLENCIA DE GENERO",IF(P154=#REF!,"IGUALDAD DE GENERO EN LA SALUD",IF(P154=#REF!,"BRIGADA DE EMERGENCIA",IF(P154=#REF!,"MANEJO DEL DOLOR Y CUIDADOS PALIATIVOS",IF(P154=#REF!,"TOMA DE MUESTRAS Y LABORATORIO POCT",IF(P154=#REF!,"IMPLANTE SUBDERMICO DE DISPOSITIVO INTRAUTERINO",IF(P154=#REF!,"SALUD MENTAL",IF(P154=#REF!,"PRIMEROS AUXILIOS PSICOLOGICOS",IF(P154=#REF!,"ATENCION A VICTIMAS POR CONFLICTO ARMADO",IF(P154=#REF!,"MANIPULACION DE ALIMENTOS Y BPM",IF(P154=#REF!,"ATENCION A PERSONAS CON DISCAPACIDAD",IF(P154=#REF!,"CUIDADO INTEGRAL DEL PACIENTE ADULTO",IF(P154=#REF!,"MANEJO DEFENSIVO",IF(P154=#REF!,"SOPORTE CARDIOVASCULAR AVANZADO NEONATAL",IF(P154=#REF!,"SEGURIDAD DEL PACIENTE",IF(P154=#REF!,"MANEJO DE RESIDUOS HOSPITALARIOS"))))))))))))))))))))))))))))))))))))</f>
        <v>#REF!</v>
      </c>
      <c r="W154" s="25" t="str">
        <f t="shared" si="14"/>
        <v>Maria Alejandra Coral Manzano</v>
      </c>
      <c r="X154" s="25" t="str">
        <f t="shared" si="15"/>
        <v>Maria Alejandra Coral Manzano</v>
      </c>
      <c r="Y154" s="69" t="str">
        <f t="shared" si="16"/>
        <v>Maria Alejandra Coral Manzano-1085300415-POCT</v>
      </c>
    </row>
    <row r="155" spans="1:25" x14ac:dyDescent="0.2">
      <c r="A155" s="19">
        <v>154</v>
      </c>
      <c r="B155" s="20">
        <v>1004716257</v>
      </c>
      <c r="C155" s="20" t="s">
        <v>305</v>
      </c>
      <c r="D155" s="20" t="s">
        <v>306</v>
      </c>
      <c r="E155" s="20" t="s">
        <v>307</v>
      </c>
      <c r="F155" s="20" t="s">
        <v>246</v>
      </c>
      <c r="G155" s="42">
        <v>21</v>
      </c>
      <c r="H155" s="20" t="s">
        <v>56</v>
      </c>
      <c r="I155" s="21" t="s">
        <v>47</v>
      </c>
      <c r="J155" s="43" t="s">
        <v>279</v>
      </c>
      <c r="K155" s="22">
        <v>45707</v>
      </c>
      <c r="L155" s="23">
        <v>70000</v>
      </c>
      <c r="M155" s="20" t="s">
        <v>90</v>
      </c>
      <c r="N155" s="20" t="s">
        <v>57</v>
      </c>
      <c r="O155" s="20" t="s">
        <v>48</v>
      </c>
      <c r="P155" s="20" t="s">
        <v>33</v>
      </c>
      <c r="Q155" s="21">
        <v>36685</v>
      </c>
      <c r="R155" s="42" t="s">
        <v>49</v>
      </c>
      <c r="S155" s="20" t="s">
        <v>74</v>
      </c>
      <c r="T155" s="20">
        <v>3216671626</v>
      </c>
      <c r="U155" s="20" t="s">
        <v>308</v>
      </c>
      <c r="V155" s="25" t="e">
        <f>IF(P155=#REF!,"DIPLOMADO EN ATENCION PRE-HOSPITALARIA",IF(P155=#REF!,"ACOMPAÑAMIENTO Y MANEJO DEL DUELO",IF(P155=#REF!,"ATENCION A VICTIMAS DE ATAQUE CON AGENTES QUIMICOS ",IF(P155=#REF!,"PRIMEROS AUXILIOS ",IF(P155=#REF!,"DIPLOMADO DE UNIDAD DE CUIDADOS INTENSIVOS (UCI)",IF(P155=#REF!,"MODELO DE ATENCION PARA EVENTOS EMERGENTES EN SALUD MENTAL (CODIGO VERDE)",IF(P155=#REF!,"HUMANIZACION EN EL SERVICIO DE LA SALUD Y BUENAS PRACTICAS EN PACIENTE ",IF(P155=#REF!,"CLINICA DE HERIDAS ",IF(P155=#REF!,"TOMA DE CITOLOGIA CERVICO VAGINAL ",IF(P155=#REF!,"SOPORTE CARDIOVASCULAR AVANZADO (ACLS) ",IF(P155=#REF!,"CAMILLERO ",IF(P155=#REF!,"TOMA DE MUESTRAS Y LABORATORIO ",IF(P155=#REF!,"SOPORTE VITAL BASICO (BLS)",IF(P155=#REF!,"ATENCION A VICTIMAS DE VIOLENCIA SEXUAL ",IF(P155=#REF!,"PROGRAMADO AMPLIADO DE INMUNIZACION (PAI - COVID 19)",IF(P155=#REF!,"ATENCION INTEGRAL EN ENFERMEDADES PREVALENTES EN PRIMERA INFANCIA (AIEPI)",IF(P155=#REF!,"ADMINISTRACION DE MEDICAMENTOS, INYECTOLOGIA  Y CANALIZACION ",IF(P155=#REF!,"OPERADOR DE VEHICULOS DE EMERGENCIA (OVE)",IF(P155=#REF!,"INSTITUCIONES AMIGAS DE LA MUJER Y LA INFANCIA (IAMI)",IF(P155=#REF!,"CUIDADO DEL DONANTE DE ORGANOS",IF(P155=#REF!,"ATENCION A VICTIMAS POR VIOLENCIA DE GENERO",IF(P155=#REF!,"IGUALDAD DE GENERO EN LA SALUD",IF(P155=#REF!,"BRIGADA DE EMERGENCIA",IF(P155=#REF!,"MANEJO DEL DOLOR Y CUIDADOS PALIATIVOS",IF(P155=#REF!,"TOMA DE MUESTRAS Y LABORATORIO POCT",IF(P155=#REF!,"IMPLANTE SUBDERMICO DE DISPOSITIVO INTRAUTERINO",IF(P155=#REF!,"SALUD MENTAL",IF(P155=#REF!,"PRIMEROS AUXILIOS PSICOLOGICOS",IF(P155=#REF!,"ATENCION A VICTIMAS POR CONFLICTO ARMADO",IF(P155=#REF!,"MANIPULACION DE ALIMENTOS Y BPM",IF(P155=#REF!,"ATENCION A PERSONAS CON DISCAPACIDAD",IF(P155=#REF!,"CUIDADO INTEGRAL DEL PACIENTE ADULTO",IF(P155=#REF!,"MANEJO DEFENSIVO",IF(P155=#REF!,"SOPORTE CARDIOVASCULAR AVANZADO NEONATAL",IF(P155=#REF!,"SEGURIDAD DEL PACIENTE",IF(P155=#REF!,"MANEJO DE RESIDUOS HOSPITALARIOS"))))))))))))))))))))))))))))))))))))</f>
        <v>#REF!</v>
      </c>
      <c r="W155" s="25" t="str">
        <f t="shared" si="14"/>
        <v>Jessica Paola Maldonado Ortiz</v>
      </c>
      <c r="X155" s="25" t="str">
        <f t="shared" si="15"/>
        <v>Jessica Paola Maldonado Ortiz</v>
      </c>
      <c r="Y155" s="69" t="str">
        <f t="shared" si="16"/>
        <v>Jessica Paola Maldonado Ortiz-1004716257-PALIATIVOS</v>
      </c>
    </row>
    <row r="156" spans="1:25" x14ac:dyDescent="0.2">
      <c r="A156" s="28">
        <v>155</v>
      </c>
      <c r="B156" s="20">
        <v>1004547401</v>
      </c>
      <c r="C156" s="20" t="s">
        <v>251</v>
      </c>
      <c r="D156" s="20" t="s">
        <v>313</v>
      </c>
      <c r="E156" s="20" t="s">
        <v>314</v>
      </c>
      <c r="F156" s="20" t="s">
        <v>315</v>
      </c>
      <c r="G156" s="20">
        <v>22</v>
      </c>
      <c r="H156" s="20" t="s">
        <v>56</v>
      </c>
      <c r="I156" s="21" t="s">
        <v>47</v>
      </c>
      <c r="J156" s="21"/>
      <c r="K156" s="22">
        <v>45708</v>
      </c>
      <c r="L156" s="23">
        <v>63000</v>
      </c>
      <c r="M156" s="20" t="s">
        <v>141</v>
      </c>
      <c r="N156" s="20" t="s">
        <v>57</v>
      </c>
      <c r="O156" s="20" t="s">
        <v>48</v>
      </c>
      <c r="P156" s="20" t="s">
        <v>19</v>
      </c>
      <c r="Q156" s="21">
        <v>37612</v>
      </c>
      <c r="R156" s="42" t="s">
        <v>85</v>
      </c>
      <c r="S156" s="20" t="s">
        <v>74</v>
      </c>
      <c r="T156" s="20">
        <v>3177074654</v>
      </c>
      <c r="U156" s="24" t="s">
        <v>316</v>
      </c>
      <c r="V156" s="25" t="e">
        <f>IF(P156=#REF!,"DIPLOMADO EN ATENCION PRE-HOSPITALARIA",IF(P156=#REF!,"ACOMPAÑAMIENTO Y MANEJO DEL DUELO",IF(P156=#REF!,"ATENCION A VICTIMAS DE ATAQUE CON AGENTES QUIMICOS ",IF(P156=#REF!,"PRIMEROS AUXILIOS ",IF(P156=#REF!,"DIPLOMADO DE UNIDAD DE CUIDADOS INTENSIVOS (UCI)",IF(P156=#REF!,"MODELO DE ATENCION PARA EVENTOS EMERGENTES EN SALUD MENTAL (CODIGO VERDE)",IF(P156=#REF!,"HUMANIZACION EN EL SERVICIO DE LA SALUD Y BUENAS PRACTICAS EN PACIENTE ",IF(P156=#REF!,"CLINICA DE HERIDAS ",IF(P156=#REF!,"TOMA DE CITOLOGIA CERVICO VAGINAL ",IF(P156=#REF!,"SOPORTE CARDIOVASCULAR AVANZADO (ACLS) ",IF(P156=#REF!,"CAMILLERO ",IF(P156=#REF!,"TOMA DE MUESTRAS Y LABORATORIO ",IF(P156=#REF!,"SOPORTE VITAL BASICO (BLS)",IF(P156=#REF!,"ATENCION A VICTIMAS DE VIOLENCIA SEXUAL ",IF(P156=#REF!,"PROGRAMADO AMPLIADO DE INMUNIZACION (PAI - COVID 19)",IF(P156=#REF!,"ATENCION INTEGRAL EN ENFERMEDADES PREVALENTES EN PRIMERA INFANCIA (AIEPI)",IF(P156=#REF!,"ADMINISTRACION DE MEDICAMENTOS, INYECTOLOGIA  Y CANALIZACION ",IF(P156=#REF!,"OPERADOR DE VEHICULOS DE EMERGENCIA (OVE)",IF(P156=#REF!,"INSTITUCIONES AMIGAS DE LA MUJER Y LA INFANCIA (IAMI)",IF(P156=#REF!,"CUIDADO DEL DONANTE DE ORGANOS",IF(P156=#REF!,"ATENCION A VICTIMAS POR VIOLENCIA DE GENERO",IF(P156=#REF!,"IGUALDAD DE GENERO EN LA SALUD",IF(P156=#REF!,"BRIGADA DE EMERGENCIA",IF(P156=#REF!,"MANEJO DEL DOLOR Y CUIDADOS PALIATIVOS",IF(P156=#REF!,"TOMA DE MUESTRAS Y LABORATORIO POCT",IF(P156=#REF!,"IMPLANTE SUBDERMICO DE DISPOSITIVO INTRAUTERINO",IF(P156=#REF!,"SALUD MENTAL",IF(P156=#REF!,"PRIMEROS AUXILIOS PSICOLOGICOS",IF(P156=#REF!,"ATENCION A VICTIMAS POR CONFLICTO ARMADO",IF(P156=#REF!,"MANIPULACION DE ALIMENTOS Y BPM",IF(P156=#REF!,"ATENCION A PERSONAS CON DISCAPACIDAD",IF(P156=#REF!,"CUIDADO INTEGRAL DEL PACIENTE ADULTO",IF(P156=#REF!,"MANEJO DEFENSIVO",IF(P156=#REF!,"SOPORTE CARDIOVASCULAR AVANZADO NEONATAL",IF(P156=#REF!,"SEGURIDAD DEL PACIENTE",IF(P156=#REF!,"MANEJO DE RESIDUOS HOSPITALARIOS"))))))))))))))))))))))))))))))))))))</f>
        <v>#REF!</v>
      </c>
      <c r="W156" s="25" t="str">
        <f t="shared" si="14"/>
        <v>Ivan Dario Lopez Nandar</v>
      </c>
      <c r="X156" s="25" t="str">
        <f t="shared" si="15"/>
        <v>Ivan Dario Lopez Nandar</v>
      </c>
      <c r="Y156" s="69" t="str">
        <f t="shared" si="16"/>
        <v>Ivan Dario Lopez Nandar-1004547401-BLS</v>
      </c>
    </row>
    <row r="157" spans="1:25" s="67" customFormat="1" x14ac:dyDescent="0.2">
      <c r="A157" s="55">
        <v>156</v>
      </c>
      <c r="B157" s="56">
        <v>1010072028</v>
      </c>
      <c r="C157" s="56" t="s">
        <v>203</v>
      </c>
      <c r="D157" s="56" t="s">
        <v>251</v>
      </c>
      <c r="E157" s="56" t="s">
        <v>246</v>
      </c>
      <c r="F157" s="56" t="s">
        <v>331</v>
      </c>
      <c r="G157" s="56">
        <v>22</v>
      </c>
      <c r="H157" s="56" t="s">
        <v>56</v>
      </c>
      <c r="I157" s="57" t="s">
        <v>47</v>
      </c>
      <c r="J157" s="57" t="s">
        <v>279</v>
      </c>
      <c r="K157" s="59"/>
      <c r="L157" s="60"/>
      <c r="M157" s="56"/>
      <c r="N157" s="56" t="s">
        <v>57</v>
      </c>
      <c r="O157" s="56" t="s">
        <v>48</v>
      </c>
      <c r="P157" s="56" t="s">
        <v>19</v>
      </c>
      <c r="Q157" s="57">
        <v>36827</v>
      </c>
      <c r="R157" s="56" t="s">
        <v>49</v>
      </c>
      <c r="S157" s="56" t="s">
        <v>333</v>
      </c>
      <c r="T157" s="56">
        <v>3177923953</v>
      </c>
      <c r="U157" s="56" t="s">
        <v>334</v>
      </c>
      <c r="V157" s="58" t="e">
        <f>IF(P157=#REF!,"DIPLOMADO EN ATENCION PRE-HOSPITALARIA",IF(P157=#REF!,"ACOMPAÑAMIENTO Y MANEJO DEL DUELO",IF(P157=#REF!,"ATENCION A VICTIMAS DE ATAQUE CON AGENTES QUIMICOS ",IF(P157=#REF!,"PRIMEROS AUXILIOS ",IF(P157=#REF!,"DIPLOMADO DE UNIDAD DE CUIDADOS INTENSIVOS (UCI)",IF(P157=#REF!,"MODELO DE ATENCION PARA EVENTOS EMERGENTES EN SALUD MENTAL (CODIGO VERDE)",IF(P157=#REF!,"HUMANIZACION EN EL SERVICIO DE LA SALUD Y BUENAS PRACTICAS EN PACIENTE ",IF(P157=#REF!,"CLINICA DE HERIDAS ",IF(P157=#REF!,"TOMA DE CITOLOGIA CERVICO VAGINAL ",IF(P157=#REF!,"SOPORTE CARDIOVASCULAR AVANZADO (ACLS) ",IF(P157=#REF!,"CAMILLERO ",IF(P157=#REF!,"TOMA DE MUESTRAS Y LABORATORIO ",IF(P157=#REF!,"SOPORTE VITAL BASICO (BLS)",IF(P157=#REF!,"ATENCION A VICTIMAS DE VIOLENCIA SEXUAL ",IF(P157=#REF!,"PROGRAMADO AMPLIADO DE INMUNIZACION (PAI - COVID 19)",IF(P157=#REF!,"ATENCION INTEGRAL EN ENFERMEDADES PREVALENTES EN PRIMERA INFANCIA (AIEPI)",IF(P157=#REF!,"ADMINISTRACION DE MEDICAMENTOS, INYECTOLOGIA  Y CANALIZACION ",IF(P157=#REF!,"OPERADOR DE VEHICULOS DE EMERGENCIA (OVE)",IF(P157=#REF!,"INSTITUCIONES AMIGAS DE LA MUJER Y LA INFANCIA (IAMI)",IF(P157=#REF!,"CUIDADO DEL DONANTE DE ORGANOS",IF(P157=#REF!,"ATENCION A VICTIMAS POR VIOLENCIA DE GENERO",IF(P157=#REF!,"IGUALDAD DE GENERO EN LA SALUD",IF(P157=#REF!,"BRIGADA DE EMERGENCIA",IF(P157=#REF!,"MANEJO DEL DOLOR Y CUIDADOS PALIATIVOS",IF(P157=#REF!,"TOMA DE MUESTRAS Y LABORATORIO POCT",IF(P157=#REF!,"IMPLANTE SUBDERMICO DE DISPOSITIVO INTRAUTERINO",IF(P157=#REF!,"SALUD MENTAL",IF(P157=#REF!,"PRIMEROS AUXILIOS PSICOLOGICOS",IF(P157=#REF!,"ATENCION A VICTIMAS POR CONFLICTO ARMADO",IF(P157=#REF!,"MANIPULACION DE ALIMENTOS Y BPM",IF(P157=#REF!,"ATENCION A PERSONAS CON DISCAPACIDAD",IF(P157=#REF!,"CUIDADO INTEGRAL DEL PACIENTE ADULTO",IF(P157=#REF!,"MANEJO DEFENSIVO",IF(P157=#REF!,"SOPORTE CARDIOVASCULAR AVANZADO NEONATAL",IF(P157=#REF!,"SEGURIDAD DEL PACIENTE",IF(P157=#REF!,"MANEJO DE RESIDUOS HOSPITALARIOS"))))))))))))))))))))))))))))))))))))</f>
        <v>#REF!</v>
      </c>
      <c r="W157" s="58" t="str">
        <f t="shared" si="14"/>
        <v>Paola Alejandra Ordoñez Lopez</v>
      </c>
      <c r="X157" s="58" t="str">
        <f t="shared" si="15"/>
        <v>Paola Alejandra Ordoñez Lopez</v>
      </c>
      <c r="Y157" s="72" t="str">
        <f t="shared" si="16"/>
        <v>Paola Alejandra Ordoñez Lopez-1010072028-BLS</v>
      </c>
    </row>
    <row r="158" spans="1:25" x14ac:dyDescent="0.2">
      <c r="A158" s="19">
        <v>157</v>
      </c>
      <c r="B158" s="20">
        <v>1193458385</v>
      </c>
      <c r="C158" s="20" t="s">
        <v>285</v>
      </c>
      <c r="D158" s="20" t="s">
        <v>335</v>
      </c>
      <c r="E158" s="20" t="s">
        <v>336</v>
      </c>
      <c r="F158" s="20" t="s">
        <v>337</v>
      </c>
      <c r="G158" s="20">
        <v>22</v>
      </c>
      <c r="H158" s="20" t="s">
        <v>56</v>
      </c>
      <c r="I158" s="21" t="s">
        <v>47</v>
      </c>
      <c r="J158" s="21" t="s">
        <v>363</v>
      </c>
      <c r="K158" s="22">
        <v>45710</v>
      </c>
      <c r="L158" s="40">
        <v>35000</v>
      </c>
      <c r="M158" s="20" t="s">
        <v>141</v>
      </c>
      <c r="N158" s="20" t="s">
        <v>57</v>
      </c>
      <c r="O158" s="20" t="s">
        <v>48</v>
      </c>
      <c r="P158" s="20" t="s">
        <v>19</v>
      </c>
      <c r="Q158" s="21">
        <v>37127</v>
      </c>
      <c r="R158" s="20" t="s">
        <v>85</v>
      </c>
      <c r="S158" s="24" t="s">
        <v>333</v>
      </c>
      <c r="T158" s="20">
        <v>3206539389</v>
      </c>
      <c r="U158" s="20" t="s">
        <v>338</v>
      </c>
      <c r="V158" s="25" t="e">
        <f>IF(P158=#REF!,"DIPLOMADO EN ATENCION PRE-HOSPITALARIA",IF(P158=#REF!,"ACOMPAÑAMIENTO Y MANEJO DEL DUELO",IF(P158=#REF!,"ATENCION A VICTIMAS DE ATAQUE CON AGENTES QUIMICOS ",IF(P158=#REF!,"PRIMEROS AUXILIOS ",IF(P158=#REF!,"DIPLOMADO DE UNIDAD DE CUIDADOS INTENSIVOS (UCI)",IF(P158=#REF!,"MODELO DE ATENCION PARA EVENTOS EMERGENTES EN SALUD MENTAL (CODIGO VERDE)",IF(P158=#REF!,"HUMANIZACION EN EL SERVICIO DE LA SALUD Y BUENAS PRACTICAS EN PACIENTE ",IF(P158=#REF!,"CLINICA DE HERIDAS ",IF(P158=#REF!,"TOMA DE CITOLOGIA CERVICO VAGINAL ",IF(P158=#REF!,"SOPORTE CARDIOVASCULAR AVANZADO (ACLS) ",IF(P158=#REF!,"CAMILLERO ",IF(P158=#REF!,"TOMA DE MUESTRAS Y LABORATORIO ",IF(P158=#REF!,"SOPORTE VITAL BASICO (BLS)",IF(P158=#REF!,"ATENCION A VICTIMAS DE VIOLENCIA SEXUAL ",IF(P158=#REF!,"PROGRAMADO AMPLIADO DE INMUNIZACION (PAI - COVID 19)",IF(P158=#REF!,"ATENCION INTEGRAL EN ENFERMEDADES PREVALENTES EN PRIMERA INFANCIA (AIEPI)",IF(P158=#REF!,"ADMINISTRACION DE MEDICAMENTOS, INYECTOLOGIA  Y CANALIZACION ",IF(P158=#REF!,"OPERADOR DE VEHICULOS DE EMERGENCIA (OVE)",IF(P158=#REF!,"INSTITUCIONES AMIGAS DE LA MUJER Y LA INFANCIA (IAMI)",IF(P158=#REF!,"CUIDADO DEL DONANTE DE ORGANOS",IF(P158=#REF!,"ATENCION A VICTIMAS POR VIOLENCIA DE GENERO",IF(P158=#REF!,"IGUALDAD DE GENERO EN LA SALUD",IF(P158=#REF!,"BRIGADA DE EMERGENCIA",IF(P158=#REF!,"MANEJO DEL DOLOR Y CUIDADOS PALIATIVOS",IF(P158=#REF!,"TOMA DE MUESTRAS Y LABORATORIO POCT",IF(P158=#REF!,"IMPLANTE SUBDERMICO DE DISPOSITIVO INTRAUTERINO",IF(P158=#REF!,"SALUD MENTAL",IF(P158=#REF!,"PRIMEROS AUXILIOS PSICOLOGICOS",IF(P158=#REF!,"ATENCION A VICTIMAS POR CONFLICTO ARMADO",IF(P158=#REF!,"MANIPULACION DE ALIMENTOS Y BPM",IF(P158=#REF!,"ATENCION A PERSONAS CON DISCAPACIDAD",IF(P158=#REF!,"CUIDADO INTEGRAL DEL PACIENTE ADULTO",IF(P158=#REF!,"MANEJO DEFENSIVO",IF(P158=#REF!,"SOPORTE CARDIOVASCULAR AVANZADO NEONATAL",IF(P158=#REF!,"SEGURIDAD DEL PACIENTE",IF(P158=#REF!,"MANEJO DE RESIDUOS HOSPITALARIOS"))))))))))))))))))))))))))))))))))))</f>
        <v>#REF!</v>
      </c>
      <c r="W158" s="25" t="str">
        <f t="shared" si="14"/>
        <v>Julian Esteban Revelo Enriquez</v>
      </c>
      <c r="X158" s="25" t="str">
        <f t="shared" si="15"/>
        <v>Julian Esteban Revelo Enriquez</v>
      </c>
      <c r="Y158" s="69" t="str">
        <f t="shared" si="16"/>
        <v>Julian Esteban Revelo Enriquez-1193458385-BLS</v>
      </c>
    </row>
    <row r="159" spans="1:25" x14ac:dyDescent="0.2">
      <c r="A159" s="19">
        <v>158</v>
      </c>
      <c r="B159" s="20">
        <v>1004133930</v>
      </c>
      <c r="C159" s="20" t="s">
        <v>339</v>
      </c>
      <c r="D159" s="20" t="s">
        <v>340</v>
      </c>
      <c r="E159" s="20" t="s">
        <v>293</v>
      </c>
      <c r="F159" s="20" t="s">
        <v>168</v>
      </c>
      <c r="G159" s="20">
        <v>22</v>
      </c>
      <c r="H159" s="20" t="s">
        <v>56</v>
      </c>
      <c r="I159" s="21" t="s">
        <v>47</v>
      </c>
      <c r="J159" s="21" t="s">
        <v>363</v>
      </c>
      <c r="K159" s="22">
        <v>45710</v>
      </c>
      <c r="L159" s="40">
        <v>35000</v>
      </c>
      <c r="M159" s="20" t="s">
        <v>141</v>
      </c>
      <c r="N159" s="20" t="s">
        <v>57</v>
      </c>
      <c r="O159" s="20" t="s">
        <v>48</v>
      </c>
      <c r="P159" s="20" t="s">
        <v>19</v>
      </c>
      <c r="Q159" s="21">
        <v>36650</v>
      </c>
      <c r="R159" s="20" t="s">
        <v>85</v>
      </c>
      <c r="S159" s="20" t="s">
        <v>333</v>
      </c>
      <c r="T159" s="20">
        <v>3176628832</v>
      </c>
      <c r="U159" s="20" t="s">
        <v>341</v>
      </c>
      <c r="V159" s="25" t="e">
        <f>IF(P159=#REF!,"DIPLOMADO EN ATENCION PRE-HOSPITALARIA",IF(P159=#REF!,"ACOMPAÑAMIENTO Y MANEJO DEL DUELO",IF(P159=#REF!,"ATENCION A VICTIMAS DE ATAQUE CON AGENTES QUIMICOS ",IF(P159=#REF!,"PRIMEROS AUXILIOS ",IF(P159=#REF!,"DIPLOMADO DE UNIDAD DE CUIDADOS INTENSIVOS (UCI)",IF(P159=#REF!,"MODELO DE ATENCION PARA EVENTOS EMERGENTES EN SALUD MENTAL (CODIGO VERDE)",IF(P159=#REF!,"HUMANIZACION EN EL SERVICIO DE LA SALUD Y BUENAS PRACTICAS EN PACIENTE ",IF(P159=#REF!,"CLINICA DE HERIDAS ",IF(P159=#REF!,"TOMA DE CITOLOGIA CERVICO VAGINAL ",IF(P159=#REF!,"SOPORTE CARDIOVASCULAR AVANZADO (ACLS) ",IF(P159=#REF!,"CAMILLERO ",IF(P159=#REF!,"TOMA DE MUESTRAS Y LABORATORIO ",IF(P159=#REF!,"SOPORTE VITAL BASICO (BLS)",IF(P159=#REF!,"ATENCION A VICTIMAS DE VIOLENCIA SEXUAL ",IF(P159=#REF!,"PROGRAMADO AMPLIADO DE INMUNIZACION (PAI - COVID 19)",IF(P159=#REF!,"ATENCION INTEGRAL EN ENFERMEDADES PREVALENTES EN PRIMERA INFANCIA (AIEPI)",IF(P159=#REF!,"ADMINISTRACION DE MEDICAMENTOS, INYECTOLOGIA  Y CANALIZACION ",IF(P159=#REF!,"OPERADOR DE VEHICULOS DE EMERGENCIA (OVE)",IF(P159=#REF!,"INSTITUCIONES AMIGAS DE LA MUJER Y LA INFANCIA (IAMI)",IF(P159=#REF!,"CUIDADO DEL DONANTE DE ORGANOS",IF(P159=#REF!,"ATENCION A VICTIMAS POR VIOLENCIA DE GENERO",IF(P159=#REF!,"IGUALDAD DE GENERO EN LA SALUD",IF(P159=#REF!,"BRIGADA DE EMERGENCIA",IF(P159=#REF!,"MANEJO DEL DOLOR Y CUIDADOS PALIATIVOS",IF(P159=#REF!,"TOMA DE MUESTRAS Y LABORATORIO POCT",IF(P159=#REF!,"IMPLANTE SUBDERMICO DE DISPOSITIVO INTRAUTERINO",IF(P159=#REF!,"SALUD MENTAL",IF(P159=#REF!,"PRIMEROS AUXILIOS PSICOLOGICOS",IF(P159=#REF!,"ATENCION A VICTIMAS POR CONFLICTO ARMADO",IF(P159=#REF!,"MANIPULACION DE ALIMENTOS Y BPM",IF(P159=#REF!,"ATENCION A PERSONAS CON DISCAPACIDAD",IF(P159=#REF!,"CUIDADO INTEGRAL DEL PACIENTE ADULTO",IF(P159=#REF!,"MANEJO DEFENSIVO",IF(P159=#REF!,"SOPORTE CARDIOVASCULAR AVANZADO NEONATAL",IF(P159=#REF!,"SEGURIDAD DEL PACIENTE",IF(P159=#REF!,"MANEJO DE RESIDUOS HOSPITALARIOS"))))))))))))))))))))))))))))))))))))</f>
        <v>#REF!</v>
      </c>
      <c r="W159" s="25" t="str">
        <f t="shared" si="14"/>
        <v>Andres Mauricio Barrero Perez</v>
      </c>
      <c r="X159" s="25" t="str">
        <f t="shared" si="15"/>
        <v>Andres Mauricio Barrero Perez</v>
      </c>
      <c r="Y159" s="69" t="str">
        <f t="shared" si="16"/>
        <v>Andres Mauricio Barrero Perez-1004133930-BLS</v>
      </c>
    </row>
    <row r="160" spans="1:25" x14ac:dyDescent="0.2">
      <c r="A160" s="19">
        <v>159</v>
      </c>
      <c r="B160" s="20">
        <v>1087419325</v>
      </c>
      <c r="C160" s="20" t="s">
        <v>342</v>
      </c>
      <c r="D160" s="20" t="s">
        <v>343</v>
      </c>
      <c r="E160" s="20" t="s">
        <v>315</v>
      </c>
      <c r="F160" s="20" t="s">
        <v>107</v>
      </c>
      <c r="G160" s="20">
        <v>21</v>
      </c>
      <c r="H160" s="20" t="s">
        <v>56</v>
      </c>
      <c r="I160" s="21" t="s">
        <v>72</v>
      </c>
      <c r="J160" s="21" t="s">
        <v>91</v>
      </c>
      <c r="K160" s="22">
        <v>45709</v>
      </c>
      <c r="L160" s="40">
        <v>25000</v>
      </c>
      <c r="M160" s="20" t="s">
        <v>90</v>
      </c>
      <c r="N160" s="20" t="s">
        <v>57</v>
      </c>
      <c r="O160" s="20" t="s">
        <v>73</v>
      </c>
      <c r="P160" s="20" t="s">
        <v>34</v>
      </c>
      <c r="Q160" s="21">
        <v>34183</v>
      </c>
      <c r="R160" s="20" t="s">
        <v>85</v>
      </c>
      <c r="S160" s="20" t="s">
        <v>74</v>
      </c>
      <c r="T160" s="20">
        <v>3176182014</v>
      </c>
      <c r="U160" s="20" t="s">
        <v>344</v>
      </c>
      <c r="V160" s="25" t="e">
        <f>IF(P160=#REF!,"DIPLOMADO EN ATENCION PRE-HOSPITALARIA",IF(P160=#REF!,"ACOMPAÑAMIENTO Y MANEJO DEL DUELO",IF(P160=#REF!,"ATENCION A VICTIMAS DE ATAQUE CON AGENTES QUIMICOS ",IF(P160=#REF!,"PRIMEROS AUXILIOS ",IF(P160=#REF!,"DIPLOMADO DE UNIDAD DE CUIDADOS INTENSIVOS (UCI)",IF(P160=#REF!,"MODELO DE ATENCION PARA EVENTOS EMERGENTES EN SALUD MENTAL (CODIGO VERDE)",IF(P160=#REF!,"HUMANIZACION EN EL SERVICIO DE LA SALUD Y BUENAS PRACTICAS EN PACIENTE ",IF(P160=#REF!,"CLINICA DE HERIDAS ",IF(P160=#REF!,"TOMA DE CITOLOGIA CERVICO VAGINAL ",IF(P160=#REF!,"SOPORTE CARDIOVASCULAR AVANZADO (ACLS) ",IF(P160=#REF!,"CAMILLERO ",IF(P160=#REF!,"TOMA DE MUESTRAS Y LABORATORIO ",IF(P160=#REF!,"SOPORTE VITAL BASICO (BLS)",IF(P160=#REF!,"ATENCION A VICTIMAS DE VIOLENCIA SEXUAL ",IF(P160=#REF!,"PROGRAMADO AMPLIADO DE INMUNIZACION (PAI - COVID 19)",IF(P160=#REF!,"ATENCION INTEGRAL EN ENFERMEDADES PREVALENTES EN PRIMERA INFANCIA (AIEPI)",IF(P160=#REF!,"ADMINISTRACION DE MEDICAMENTOS, INYECTOLOGIA  Y CANALIZACION ",IF(P160=#REF!,"OPERADOR DE VEHICULOS DE EMERGENCIA (OVE)",IF(P160=#REF!,"INSTITUCIONES AMIGAS DE LA MUJER Y LA INFANCIA (IAMI)",IF(P160=#REF!,"CUIDADO DEL DONANTE DE ORGANOS",IF(P160=#REF!,"ATENCION A VICTIMAS POR VIOLENCIA DE GENERO",IF(P160=#REF!,"IGUALDAD DE GENERO EN LA SALUD",IF(P160=#REF!,"BRIGADA DE EMERGENCIA",IF(P160=#REF!,"MANEJO DEL DOLOR Y CUIDADOS PALIATIVOS",IF(P160=#REF!,"TOMA DE MUESTRAS Y LABORATORIO POCT",IF(P160=#REF!,"IMPLANTE SUBDERMICO DE DISPOSITIVO INTRAUTERINO",IF(P160=#REF!,"SALUD MENTAL",IF(P160=#REF!,"PRIMEROS AUXILIOS PSICOLOGICOS",IF(P160=#REF!,"ATENCION A VICTIMAS POR CONFLICTO ARMADO",IF(P160=#REF!,"MANIPULACION DE ALIMENTOS Y BPM",IF(P160=#REF!,"ATENCION A PERSONAS CON DISCAPACIDAD",IF(P160=#REF!,"CUIDADO INTEGRAL DEL PACIENTE ADULTO",IF(P160=#REF!,"MANEJO DEFENSIVO",IF(P160=#REF!,"SOPORTE CARDIOVASCULAR AVANZADO NEONATAL",IF(P160=#REF!,"SEGURIDAD DEL PACIENTE",IF(P160=#REF!,"MANEJO DE RESIDUOS HOSPITALARIOS"))))))))))))))))))))))))))))))))))))</f>
        <v>#REF!</v>
      </c>
      <c r="W160" s="25" t="str">
        <f t="shared" si="14"/>
        <v>Dario Fernando Cucas Asmaza</v>
      </c>
      <c r="X160" s="25" t="str">
        <f t="shared" si="15"/>
        <v>Dario Fernando Cucas Asmaza</v>
      </c>
      <c r="Y160" s="69" t="str">
        <f t="shared" si="16"/>
        <v>Dario Fernando Cucas Asmaza-1087419325-POCT</v>
      </c>
    </row>
    <row r="161" spans="1:25" x14ac:dyDescent="0.2">
      <c r="A161" s="19">
        <v>160</v>
      </c>
      <c r="B161" s="20">
        <v>1081572042</v>
      </c>
      <c r="C161" s="20" t="s">
        <v>175</v>
      </c>
      <c r="D161" s="20" t="s">
        <v>214</v>
      </c>
      <c r="E161" s="20" t="s">
        <v>215</v>
      </c>
      <c r="F161" s="20" t="s">
        <v>119</v>
      </c>
      <c r="G161" s="20">
        <v>21</v>
      </c>
      <c r="H161" s="20" t="s">
        <v>56</v>
      </c>
      <c r="I161" s="21" t="s">
        <v>47</v>
      </c>
      <c r="J161" s="21" t="s">
        <v>197</v>
      </c>
      <c r="K161" s="22" t="s">
        <v>345</v>
      </c>
      <c r="L161" s="23">
        <v>75000</v>
      </c>
      <c r="M161" s="20" t="s">
        <v>61</v>
      </c>
      <c r="N161" s="20" t="s">
        <v>57</v>
      </c>
      <c r="O161" s="20" t="s">
        <v>48</v>
      </c>
      <c r="P161" s="20" t="s">
        <v>26</v>
      </c>
      <c r="Q161" s="21">
        <v>38336</v>
      </c>
      <c r="R161" s="20" t="s">
        <v>49</v>
      </c>
      <c r="S161" s="20" t="s">
        <v>74</v>
      </c>
      <c r="T161" s="20">
        <v>3043241025</v>
      </c>
      <c r="U161" s="20" t="s">
        <v>217</v>
      </c>
      <c r="V161" s="25" t="e">
        <f>IF(P161=#REF!,"DIPLOMADO EN ATENCION PRE-HOSPITALARIA",IF(P161=#REF!,"ACOMPAÑAMIENTO Y MANEJO DEL DUELO",IF(P161=#REF!,"ATENCION A VICTIMAS DE ATAQUE CON AGENTES QUIMICOS ",IF(P161=#REF!,"PRIMEROS AUXILIOS ",IF(P161=#REF!,"DIPLOMADO DE UNIDAD DE CUIDADOS INTENSIVOS (UCI)",IF(P161=#REF!,"MODELO DE ATENCION PARA EVENTOS EMERGENTES EN SALUD MENTAL (CODIGO VERDE)",IF(P161=#REF!,"HUMANIZACION EN EL SERVICIO DE LA SALUD Y BUENAS PRACTICAS EN PACIENTE ",IF(P161=#REF!,"CLINICA DE HERIDAS ",IF(P161=#REF!,"TOMA DE CITOLOGIA CERVICO VAGINAL ",IF(P161=#REF!,"SOPORTE CARDIOVASCULAR AVANZADO (ACLS) ",IF(P161=#REF!,"CAMILLERO ",IF(P161=#REF!,"TOMA DE MUESTRAS Y LABORATORIO ",IF(P161=#REF!,"SOPORTE VITAL BASICO (BLS)",IF(P161=#REF!,"ATENCION A VICTIMAS DE VIOLENCIA SEXUAL ",IF(P161=#REF!,"PROGRAMADO AMPLIADO DE INMUNIZACION (PAI - COVID 19)",IF(P161=#REF!,"ATENCION INTEGRAL EN ENFERMEDADES PREVALENTES EN PRIMERA INFANCIA (AIEPI)",IF(P161=#REF!,"ADMINISTRACION DE MEDICAMENTOS, INYECTOLOGIA  Y CANALIZACION ",IF(P161=#REF!,"OPERADOR DE VEHICULOS DE EMERGENCIA (OVE)",IF(P161=#REF!,"INSTITUCIONES AMIGAS DE LA MUJER Y LA INFANCIA (IAMI)",IF(P161=#REF!,"CUIDADO DEL DONANTE DE ORGANOS",IF(P161=#REF!,"ATENCION A VICTIMAS POR VIOLENCIA DE GENERO",IF(P161=#REF!,"IGUALDAD DE GENERO EN LA SALUD",IF(P161=#REF!,"BRIGADA DE EMERGENCIA",IF(P161=#REF!,"MANEJO DEL DOLOR Y CUIDADOS PALIATIVOS",IF(P161=#REF!,"TOMA DE MUESTRAS Y LABORATORIO POCT",IF(P161=#REF!,"IMPLANTE SUBDERMICO DE DISPOSITIVO INTRAUTERINO",IF(P161=#REF!,"SALUD MENTAL",IF(P161=#REF!,"PRIMEROS AUXILIOS PSICOLOGICOS",IF(P161=#REF!,"ATENCION A VICTIMAS POR CONFLICTO ARMADO",IF(P161=#REF!,"MANIPULACION DE ALIMENTOS Y BPM",IF(P161=#REF!,"ATENCION A PERSONAS CON DISCAPACIDAD",IF(P161=#REF!,"CUIDADO INTEGRAL DEL PACIENTE ADULTO",IF(P161=#REF!,"MANEJO DEFENSIVO",IF(P161=#REF!,"SOPORTE CARDIOVASCULAR AVANZADO NEONATAL",IF(P161=#REF!,"SEGURIDAD DEL PACIENTE",IF(P161=#REF!,"MANEJO DE RESIDUOS HOSPITALARIOS"))))))))))))))))))))))))))))))))))))</f>
        <v>#REF!</v>
      </c>
      <c r="W161" s="25" t="str">
        <f t="shared" si="14"/>
        <v>Angie Carolina Yaqueno Criollo</v>
      </c>
      <c r="X161" s="25" t="str">
        <f t="shared" si="15"/>
        <v>Angie Carolina Yaqueno Criollo</v>
      </c>
      <c r="Y161" s="69" t="str">
        <f t="shared" si="16"/>
        <v>Angie Carolina Yaqueno Criollo-1081572042-TOMA DE MUESTRAS</v>
      </c>
    </row>
    <row r="162" spans="1:25" x14ac:dyDescent="0.2">
      <c r="A162" s="19">
        <v>161</v>
      </c>
      <c r="B162" s="20">
        <v>10693196</v>
      </c>
      <c r="C162" s="20" t="s">
        <v>346</v>
      </c>
      <c r="D162" s="20" t="s">
        <v>231</v>
      </c>
      <c r="E162" s="20" t="s">
        <v>347</v>
      </c>
      <c r="F162" s="20"/>
      <c r="G162" s="20">
        <v>21</v>
      </c>
      <c r="H162" s="20" t="s">
        <v>56</v>
      </c>
      <c r="I162" s="21" t="s">
        <v>72</v>
      </c>
      <c r="J162" s="21" t="s">
        <v>279</v>
      </c>
      <c r="K162" s="22">
        <v>45709</v>
      </c>
      <c r="L162" s="40">
        <v>130000</v>
      </c>
      <c r="M162" s="20" t="s">
        <v>90</v>
      </c>
      <c r="N162" s="20" t="s">
        <v>57</v>
      </c>
      <c r="O162" s="20" t="s">
        <v>48</v>
      </c>
      <c r="P162" s="20" t="s">
        <v>24</v>
      </c>
      <c r="Q162" s="21">
        <v>26368</v>
      </c>
      <c r="R162" s="20" t="s">
        <v>85</v>
      </c>
      <c r="S162" s="27" t="s">
        <v>86</v>
      </c>
      <c r="T162" s="20">
        <v>3127214021</v>
      </c>
      <c r="U162" s="20" t="s">
        <v>348</v>
      </c>
      <c r="V162" s="25" t="e">
        <f>IF(P162=#REF!,"DIPLOMADO EN ATENCION PRE-HOSPITALARIA",IF(P162=#REF!,"ACOMPAÑAMIENTO Y MANEJO DEL DUELO",IF(P162=#REF!,"ATENCION A VICTIMAS DE ATAQUE CON AGENTES QUIMICOS ",IF(P162=#REF!,"PRIMEROS AUXILIOS ",IF(P162=#REF!,"DIPLOMADO DE UNIDAD DE CUIDADOS INTENSIVOS (UCI)",IF(P162=#REF!,"MODELO DE ATENCION PARA EVENTOS EMERGENTES EN SALUD MENTAL (CODIGO VERDE)",IF(P162=#REF!,"HUMANIZACION EN EL SERVICIO DE LA SALUD Y BUENAS PRACTICAS EN PACIENTE ",IF(P162=#REF!,"CLINICA DE HERIDAS ",IF(P162=#REF!,"TOMA DE CITOLOGIA CERVICO VAGINAL ",IF(P162=#REF!,"SOPORTE CARDIOVASCULAR AVANZADO (ACLS) ",IF(P162=#REF!,"CAMILLERO ",IF(P162=#REF!,"TOMA DE MUESTRAS Y LABORATORIO ",IF(P162=#REF!,"SOPORTE VITAL BASICO (BLS)",IF(P162=#REF!,"ATENCION A VICTIMAS DE VIOLENCIA SEXUAL ",IF(P162=#REF!,"PROGRAMADO AMPLIADO DE INMUNIZACION (PAI - COVID 19)",IF(P162=#REF!,"ATENCION INTEGRAL EN ENFERMEDADES PREVALENTES EN PRIMERA INFANCIA (AIEPI)",IF(P162=#REF!,"ADMINISTRACION DE MEDICAMENTOS, INYECTOLOGIA  Y CANALIZACION ",IF(P162=#REF!,"OPERADOR DE VEHICULOS DE EMERGENCIA (OVE)",IF(P162=#REF!,"INSTITUCIONES AMIGAS DE LA MUJER Y LA INFANCIA (IAMI)",IF(P162=#REF!,"CUIDADO DEL DONANTE DE ORGANOS",IF(P162=#REF!,"ATENCION A VICTIMAS POR VIOLENCIA DE GENERO",IF(P162=#REF!,"IGUALDAD DE GENERO EN LA SALUD",IF(P162=#REF!,"BRIGADA DE EMERGENCIA",IF(P162=#REF!,"MANEJO DEL DOLOR Y CUIDADOS PALIATIVOS",IF(P162=#REF!,"TOMA DE MUESTRAS Y LABORATORIO POCT",IF(P162=#REF!,"IMPLANTE SUBDERMICO DE DISPOSITIVO INTRAUTERINO",IF(P162=#REF!,"SALUD MENTAL",IF(P162=#REF!,"PRIMEROS AUXILIOS PSICOLOGICOS",IF(P162=#REF!,"ATENCION A VICTIMAS POR CONFLICTO ARMADO",IF(P162=#REF!,"MANIPULACION DE ALIMENTOS Y BPM",IF(P162=#REF!,"ATENCION A PERSONAS CON DISCAPACIDAD",IF(P162=#REF!,"CUIDADO INTEGRAL DEL PACIENTE ADULTO",IF(P162=#REF!,"MANEJO DEFENSIVO",IF(P162=#REF!,"SOPORTE CARDIOVASCULAR AVANZADO NEONATAL",IF(P162=#REF!,"SEGURIDAD DEL PACIENTE",IF(P162=#REF!,"MANEJO DE RESIDUOS HOSPITALARIOS"))))))))))))))))))))))))))))))))))))</f>
        <v>#REF!</v>
      </c>
      <c r="W162" s="25" t="str">
        <f t="shared" si="14"/>
        <v>Robinson  Ortega Gomez</v>
      </c>
      <c r="X162" s="25" t="str">
        <f t="shared" si="15"/>
        <v>Robinson  Ortega Gomez</v>
      </c>
      <c r="Y162" s="69" t="str">
        <f t="shared" si="16"/>
        <v>Robinson  Ortega Gomez-10693196-ACLS</v>
      </c>
    </row>
    <row r="163" spans="1:25" x14ac:dyDescent="0.2">
      <c r="A163" s="19">
        <v>162</v>
      </c>
      <c r="B163" s="20">
        <v>1004564013</v>
      </c>
      <c r="C163" s="20" t="s">
        <v>142</v>
      </c>
      <c r="D163" s="20" t="s">
        <v>321</v>
      </c>
      <c r="E163" s="20" t="s">
        <v>215</v>
      </c>
      <c r="F163" s="20" t="s">
        <v>322</v>
      </c>
      <c r="G163" s="20">
        <v>22</v>
      </c>
      <c r="H163" s="20" t="s">
        <v>56</v>
      </c>
      <c r="I163" s="21" t="s">
        <v>72</v>
      </c>
      <c r="J163" s="21" t="s">
        <v>91</v>
      </c>
      <c r="K163" s="22">
        <v>45712</v>
      </c>
      <c r="L163" s="40">
        <v>32000</v>
      </c>
      <c r="M163" s="20" t="s">
        <v>90</v>
      </c>
      <c r="N163" s="20" t="s">
        <v>57</v>
      </c>
      <c r="O163" s="20" t="s">
        <v>73</v>
      </c>
      <c r="P163" s="20" t="s">
        <v>28</v>
      </c>
      <c r="Q163" s="21">
        <v>37106</v>
      </c>
      <c r="R163" s="20" t="s">
        <v>49</v>
      </c>
      <c r="S163" s="27" t="s">
        <v>323</v>
      </c>
      <c r="T163" s="20">
        <v>3172936492</v>
      </c>
      <c r="U163" s="20" t="s">
        <v>324</v>
      </c>
      <c r="V163" s="25" t="e">
        <f>IF(P163=#REF!,"DIPLOMADO EN ATENCION PRE-HOSPITALARIA",IF(P163=#REF!,"ACOMPAÑAMIENTO Y MANEJO DEL DUELO",IF(P163=#REF!,"ATENCION A VICTIMAS DE ATAQUE CON AGENTES QUIMICOS ",IF(P163=#REF!,"PRIMEROS AUXILIOS ",IF(P163=#REF!,"DIPLOMADO DE UNIDAD DE CUIDADOS INTENSIVOS (UCI)",IF(P163=#REF!,"MODELO DE ATENCION PARA EVENTOS EMERGENTES EN SALUD MENTAL (CODIGO VERDE)",IF(P163=#REF!,"HUMANIZACION EN EL SERVICIO DE LA SALUD Y BUENAS PRACTICAS EN PACIENTE ",IF(P163=#REF!,"CLINICA DE HERIDAS ",IF(P163=#REF!,"TOMA DE CITOLOGIA CERVICO VAGINAL ",IF(P163=#REF!,"SOPORTE CARDIOVASCULAR AVANZADO (ACLS) ",IF(P163=#REF!,"CAMILLERO ",IF(P163=#REF!,"TOMA DE MUESTRAS Y LABORATORIO ",IF(P163=#REF!,"SOPORTE VITAL BASICO (BLS)",IF(P163=#REF!,"ATENCION A VICTIMAS DE VIOLENCIA SEXUAL ",IF(P163=#REF!,"PROGRAMADO AMPLIADO DE INMUNIZACION (PAI - COVID 19)",IF(P163=#REF!,"ATENCION INTEGRAL EN ENFERMEDADES PREVALENTES EN PRIMERA INFANCIA (AIEPI)",IF(P163=#REF!,"ADMINISTRACION DE MEDICAMENTOS, INYECTOLOGIA  Y CANALIZACION ",IF(P163=#REF!,"OPERADOR DE VEHICULOS DE EMERGENCIA (OVE)",IF(P163=#REF!,"INSTITUCIONES AMIGAS DE LA MUJER Y LA INFANCIA (IAMI)",IF(P163=#REF!,"CUIDADO DEL DONANTE DE ORGANOS",IF(P163=#REF!,"ATENCION A VICTIMAS POR VIOLENCIA DE GENERO",IF(P163=#REF!,"IGUALDAD DE GENERO EN LA SALUD",IF(P163=#REF!,"BRIGADA DE EMERGENCIA",IF(P163=#REF!,"MANEJO DEL DOLOR Y CUIDADOS PALIATIVOS",IF(P163=#REF!,"TOMA DE MUESTRAS Y LABORATORIO POCT",IF(P163=#REF!,"IMPLANTE SUBDERMICO DE DISPOSITIVO INTRAUTERINO",IF(P163=#REF!,"SALUD MENTAL",IF(P163=#REF!,"PRIMEROS AUXILIOS PSICOLOGICOS",IF(P163=#REF!,"ATENCION A VICTIMAS POR CONFLICTO ARMADO",IF(P163=#REF!,"MANIPULACION DE ALIMENTOS Y BPM",IF(P163=#REF!,"ATENCION A PERSONAS CON DISCAPACIDAD",IF(P163=#REF!,"CUIDADO INTEGRAL DEL PACIENTE ADULTO",IF(P163=#REF!,"MANEJO DEFENSIVO",IF(P163=#REF!,"SOPORTE CARDIOVASCULAR AVANZADO NEONATAL",IF(P163=#REF!,"SEGURIDAD DEL PACIENTE",IF(P163=#REF!,"MANEJO DE RESIDUOS HOSPITALARIOS"))))))))))))))))))))))))))))))))))))</f>
        <v>#REF!</v>
      </c>
      <c r="W163" s="25" t="str">
        <f t="shared" si="14"/>
        <v>Angie Daniela Riascos Ascuntar</v>
      </c>
      <c r="X163" s="25" t="str">
        <f t="shared" si="15"/>
        <v>Angie Daniela Riascos Ascuntar</v>
      </c>
      <c r="Y163" s="69" t="str">
        <f t="shared" si="16"/>
        <v>Angie Daniela Riascos Ascuntar-1004564013-AIEPI</v>
      </c>
    </row>
    <row r="164" spans="1:25" x14ac:dyDescent="0.2">
      <c r="A164" s="19">
        <v>163</v>
      </c>
      <c r="B164" s="20">
        <v>1004625728</v>
      </c>
      <c r="C164" s="20" t="s">
        <v>82</v>
      </c>
      <c r="D164" s="20" t="s">
        <v>234</v>
      </c>
      <c r="E164" s="20" t="s">
        <v>349</v>
      </c>
      <c r="F164" s="20" t="s">
        <v>350</v>
      </c>
      <c r="G164" s="20">
        <v>22</v>
      </c>
      <c r="H164" s="20" t="s">
        <v>56</v>
      </c>
      <c r="I164" s="21" t="s">
        <v>72</v>
      </c>
      <c r="J164" s="21" t="s">
        <v>91</v>
      </c>
      <c r="K164" s="22">
        <v>45712</v>
      </c>
      <c r="L164" s="40">
        <v>32000</v>
      </c>
      <c r="M164" s="20" t="s">
        <v>90</v>
      </c>
      <c r="N164" s="20" t="s">
        <v>57</v>
      </c>
      <c r="O164" s="20" t="s">
        <v>73</v>
      </c>
      <c r="P164" s="20" t="s">
        <v>23</v>
      </c>
      <c r="Q164" s="21">
        <v>36963</v>
      </c>
      <c r="R164" s="20" t="s">
        <v>49</v>
      </c>
      <c r="S164" s="20" t="s">
        <v>74</v>
      </c>
      <c r="T164" s="20">
        <v>3224989037</v>
      </c>
      <c r="U164" s="20" t="s">
        <v>351</v>
      </c>
      <c r="V164" s="25" t="e">
        <f>IF(P164=#REF!,"DIPLOMADO EN ATENCION PRE-HOSPITALARIA",IF(P164=#REF!,"ACOMPAÑAMIENTO Y MANEJO DEL DUELO",IF(P164=#REF!,"ATENCION A VICTIMAS DE ATAQUE CON AGENTES QUIMICOS ",IF(P164=#REF!,"PRIMEROS AUXILIOS ",IF(P164=#REF!,"DIPLOMADO DE UNIDAD DE CUIDADOS INTENSIVOS (UCI)",IF(P164=#REF!,"MODELO DE ATENCION PARA EVENTOS EMERGENTES EN SALUD MENTAL (CODIGO VERDE)",IF(P164=#REF!,"HUMANIZACION EN EL SERVICIO DE LA SALUD Y BUENAS PRACTICAS EN PACIENTE ",IF(P164=#REF!,"CLINICA DE HERIDAS ",IF(P164=#REF!,"TOMA DE CITOLOGIA CERVICO VAGINAL ",IF(P164=#REF!,"SOPORTE CARDIOVASCULAR AVANZADO (ACLS) ",IF(P164=#REF!,"CAMILLERO ",IF(P164=#REF!,"TOMA DE MUESTRAS Y LABORATORIO ",IF(P164=#REF!,"SOPORTE VITAL BASICO (BLS)",IF(P164=#REF!,"ATENCION A VICTIMAS DE VIOLENCIA SEXUAL ",IF(P164=#REF!,"PROGRAMADO AMPLIADO DE INMUNIZACION (PAI - COVID 19)",IF(P164=#REF!,"ATENCION INTEGRAL EN ENFERMEDADES PREVALENTES EN PRIMERA INFANCIA (AIEPI)",IF(P164=#REF!,"ADMINISTRACION DE MEDICAMENTOS, INYECTOLOGIA  Y CANALIZACION ",IF(P164=#REF!,"OPERADOR DE VEHICULOS DE EMERGENCIA (OVE)",IF(P164=#REF!,"INSTITUCIONES AMIGAS DE LA MUJER Y LA INFANCIA (IAMI)",IF(P164=#REF!,"CUIDADO DEL DONANTE DE ORGANOS",IF(P164=#REF!,"ATENCION A VICTIMAS POR VIOLENCIA DE GENERO",IF(P164=#REF!,"IGUALDAD DE GENERO EN LA SALUD",IF(P164=#REF!,"BRIGADA DE EMERGENCIA",IF(P164=#REF!,"MANEJO DEL DOLOR Y CUIDADOS PALIATIVOS",IF(P164=#REF!,"TOMA DE MUESTRAS Y LABORATORIO POCT",IF(P164=#REF!,"IMPLANTE SUBDERMICO DE DISPOSITIVO INTRAUTERINO",IF(P164=#REF!,"SALUD MENTAL",IF(P164=#REF!,"PRIMEROS AUXILIOS PSICOLOGICOS",IF(P164=#REF!,"ATENCION A VICTIMAS POR CONFLICTO ARMADO",IF(P164=#REF!,"MANIPULACION DE ALIMENTOS Y BPM",IF(P164=#REF!,"ATENCION A PERSONAS CON DISCAPACIDAD",IF(P164=#REF!,"CUIDADO INTEGRAL DEL PACIENTE ADULTO",IF(P164=#REF!,"MANEJO DEFENSIVO",IF(P164=#REF!,"SOPORTE CARDIOVASCULAR AVANZADO NEONATAL",IF(P164=#REF!,"SEGURIDAD DEL PACIENTE",IF(P164=#REF!,"MANEJO DE RESIDUOS HOSPITALARIOS"))))))))))))))))))))))))))))))))))))</f>
        <v>#REF!</v>
      </c>
      <c r="W164" s="25" t="str">
        <f t="shared" si="14"/>
        <v>Daira Yisela Portillo Rosero</v>
      </c>
      <c r="X164" s="25" t="str">
        <f t="shared" si="15"/>
        <v>Daira Yisela Portillo Rosero</v>
      </c>
      <c r="Y164" s="69" t="str">
        <f t="shared" si="16"/>
        <v>Daira Yisela Portillo Rosero-1004625728-HUMANIZACION</v>
      </c>
    </row>
    <row r="165" spans="1:25" x14ac:dyDescent="0.2">
      <c r="A165" s="19">
        <v>164</v>
      </c>
      <c r="B165" s="20">
        <v>1004625728</v>
      </c>
      <c r="C165" s="20" t="s">
        <v>82</v>
      </c>
      <c r="D165" s="20" t="s">
        <v>234</v>
      </c>
      <c r="E165" s="20" t="s">
        <v>349</v>
      </c>
      <c r="F165" s="20" t="s">
        <v>350</v>
      </c>
      <c r="G165" s="20">
        <v>22</v>
      </c>
      <c r="H165" s="20" t="s">
        <v>56</v>
      </c>
      <c r="I165" s="21" t="s">
        <v>72</v>
      </c>
      <c r="J165" s="21" t="s">
        <v>91</v>
      </c>
      <c r="K165" s="22">
        <v>45712</v>
      </c>
      <c r="L165" s="40">
        <v>32000</v>
      </c>
      <c r="M165" s="20" t="s">
        <v>90</v>
      </c>
      <c r="N165" s="20" t="s">
        <v>57</v>
      </c>
      <c r="O165" s="20" t="s">
        <v>73</v>
      </c>
      <c r="P165" s="20" t="s">
        <v>20</v>
      </c>
      <c r="Q165" s="21">
        <v>36963</v>
      </c>
      <c r="R165" s="20" t="s">
        <v>49</v>
      </c>
      <c r="S165" s="20" t="s">
        <v>74</v>
      </c>
      <c r="T165" s="20">
        <v>3224989037</v>
      </c>
      <c r="U165" s="20" t="s">
        <v>351</v>
      </c>
      <c r="V165" s="25" t="e">
        <f>IF(P165=#REF!,"DIPLOMADO EN ATENCION PRE-HOSPITALARIA",IF(P165=#REF!,"ACOMPAÑAMIENTO Y MANEJO DEL DUELO",IF(P165=#REF!,"ATENCION A VICTIMAS DE ATAQUE CON AGENTES QUIMICOS ",IF(P165=#REF!,"PRIMEROS AUXILIOS ",IF(P165=#REF!,"DIPLOMADO DE UNIDAD DE CUIDADOS INTENSIVOS (UCI)",IF(P165=#REF!,"MODELO DE ATENCION PARA EVENTOS EMERGENTES EN SALUD MENTAL (CODIGO VERDE)",IF(P165=#REF!,"HUMANIZACION EN EL SERVICIO DE LA SALUD Y BUENAS PRACTICAS EN PACIENTE ",IF(P165=#REF!,"CLINICA DE HERIDAS ",IF(P165=#REF!,"TOMA DE CITOLOGIA CERVICO VAGINAL ",IF(P165=#REF!,"SOPORTE CARDIOVASCULAR AVANZADO (ACLS) ",IF(P165=#REF!,"CAMILLERO ",IF(P165=#REF!,"TOMA DE MUESTRAS Y LABORATORIO ",IF(P165=#REF!,"SOPORTE VITAL BASICO (BLS)",IF(P165=#REF!,"ATENCION A VICTIMAS DE VIOLENCIA SEXUAL ",IF(P165=#REF!,"PROGRAMADO AMPLIADO DE INMUNIZACION (PAI - COVID 19)",IF(P165=#REF!,"ATENCION INTEGRAL EN ENFERMEDADES PREVALENTES EN PRIMERA INFANCIA (AIEPI)",IF(P165=#REF!,"ADMINISTRACION DE MEDICAMENTOS, INYECTOLOGIA  Y CANALIZACION ",IF(P165=#REF!,"OPERADOR DE VEHICULOS DE EMERGENCIA (OVE)",IF(P165=#REF!,"INSTITUCIONES AMIGAS DE LA MUJER Y LA INFANCIA (IAMI)",IF(P165=#REF!,"CUIDADO DEL DONANTE DE ORGANOS",IF(P165=#REF!,"ATENCION A VICTIMAS POR VIOLENCIA DE GENERO",IF(P165=#REF!,"IGUALDAD DE GENERO EN LA SALUD",IF(P165=#REF!,"BRIGADA DE EMERGENCIA",IF(P165=#REF!,"MANEJO DEL DOLOR Y CUIDADOS PALIATIVOS",IF(P165=#REF!,"TOMA DE MUESTRAS Y LABORATORIO POCT",IF(P165=#REF!,"IMPLANTE SUBDERMICO DE DISPOSITIVO INTRAUTERINO",IF(P165=#REF!,"SALUD MENTAL",IF(P165=#REF!,"PRIMEROS AUXILIOS PSICOLOGICOS",IF(P165=#REF!,"ATENCION A VICTIMAS POR CONFLICTO ARMADO",IF(P165=#REF!,"MANIPULACION DE ALIMENTOS Y BPM",IF(P165=#REF!,"ATENCION A PERSONAS CON DISCAPACIDAD",IF(P165=#REF!,"CUIDADO INTEGRAL DEL PACIENTE ADULTO",IF(P165=#REF!,"MANEJO DEFENSIVO",IF(P165=#REF!,"SOPORTE CARDIOVASCULAR AVANZADO NEONATAL",IF(P165=#REF!,"SEGURIDAD DEL PACIENTE",IF(P165=#REF!,"MANEJO DE RESIDUOS HOSPITALARIOS"))))))))))))))))))))))))))))))))))))</f>
        <v>#REF!</v>
      </c>
      <c r="W165" s="25" t="str">
        <f t="shared" si="14"/>
        <v>Daira Yisela Portillo Rosero</v>
      </c>
      <c r="X165" s="25" t="str">
        <f t="shared" si="15"/>
        <v>Daira Yisela Portillo Rosero</v>
      </c>
      <c r="Y165" s="69" t="str">
        <f t="shared" si="16"/>
        <v>Daira Yisela Portillo Rosero-1004625728-DUELO</v>
      </c>
    </row>
    <row r="166" spans="1:25" x14ac:dyDescent="0.2">
      <c r="A166" s="28">
        <v>165</v>
      </c>
      <c r="B166" s="20">
        <v>1004625728</v>
      </c>
      <c r="C166" s="20" t="s">
        <v>82</v>
      </c>
      <c r="D166" s="20" t="s">
        <v>234</v>
      </c>
      <c r="E166" s="20" t="s">
        <v>349</v>
      </c>
      <c r="F166" s="20" t="s">
        <v>350</v>
      </c>
      <c r="G166" s="20">
        <v>22</v>
      </c>
      <c r="H166" s="20" t="s">
        <v>56</v>
      </c>
      <c r="I166" s="21" t="s">
        <v>72</v>
      </c>
      <c r="J166" s="21" t="s">
        <v>91</v>
      </c>
      <c r="K166" s="22">
        <v>45712</v>
      </c>
      <c r="L166" s="40">
        <v>32000</v>
      </c>
      <c r="M166" s="20" t="s">
        <v>90</v>
      </c>
      <c r="N166" s="20" t="s">
        <v>57</v>
      </c>
      <c r="O166" s="20" t="s">
        <v>73</v>
      </c>
      <c r="P166" s="20" t="s">
        <v>27</v>
      </c>
      <c r="Q166" s="21">
        <v>36963</v>
      </c>
      <c r="R166" s="20" t="s">
        <v>49</v>
      </c>
      <c r="S166" s="20" t="s">
        <v>74</v>
      </c>
      <c r="T166" s="20">
        <v>3224989037</v>
      </c>
      <c r="U166" s="20" t="s">
        <v>351</v>
      </c>
      <c r="V166" s="25" t="e">
        <f>IF(P166=#REF!,"DIPLOMADO EN ATENCION PRE-HOSPITALARIA",IF(P166=#REF!,"ACOMPAÑAMIENTO Y MANEJO DEL DUELO",IF(P166=#REF!,"ATENCION A VICTIMAS DE ATAQUE CON AGENTES QUIMICOS ",IF(P166=#REF!,"PRIMEROS AUXILIOS ",IF(P166=#REF!,"DIPLOMADO DE UNIDAD DE CUIDADOS INTENSIVOS (UCI)",IF(P166=#REF!,"MODELO DE ATENCION PARA EVENTOS EMERGENTES EN SALUD MENTAL (CODIGO VERDE)",IF(P166=#REF!,"HUMANIZACION EN EL SERVICIO DE LA SALUD Y BUENAS PRACTICAS EN PACIENTE ",IF(P166=#REF!,"CLINICA DE HERIDAS ",IF(P166=#REF!,"TOMA DE CITOLOGIA CERVICO VAGINAL ",IF(P166=#REF!,"SOPORTE CARDIOVASCULAR AVANZADO (ACLS) ",IF(P166=#REF!,"CAMILLERO ",IF(P166=#REF!,"TOMA DE MUESTRAS Y LABORATORIO ",IF(P166=#REF!,"SOPORTE VITAL BASICO (BLS)",IF(P166=#REF!,"ATENCION A VICTIMAS DE VIOLENCIA SEXUAL ",IF(P166=#REF!,"PROGRAMADO AMPLIADO DE INMUNIZACION (PAI - COVID 19)",IF(P166=#REF!,"ATENCION INTEGRAL EN ENFERMEDADES PREVALENTES EN PRIMERA INFANCIA (AIEPI)",IF(P166=#REF!,"ADMINISTRACION DE MEDICAMENTOS, INYECTOLOGIA  Y CANALIZACION ",IF(P166=#REF!,"OPERADOR DE VEHICULOS DE EMERGENCIA (OVE)",IF(P166=#REF!,"INSTITUCIONES AMIGAS DE LA MUJER Y LA INFANCIA (IAMI)",IF(P166=#REF!,"CUIDADO DEL DONANTE DE ORGANOS",IF(P166=#REF!,"ATENCION A VICTIMAS POR VIOLENCIA DE GENERO",IF(P166=#REF!,"IGUALDAD DE GENERO EN LA SALUD",IF(P166=#REF!,"BRIGADA DE EMERGENCIA",IF(P166=#REF!,"MANEJO DEL DOLOR Y CUIDADOS PALIATIVOS",IF(P166=#REF!,"TOMA DE MUESTRAS Y LABORATORIO POCT",IF(P166=#REF!,"IMPLANTE SUBDERMICO DE DISPOSITIVO INTRAUTERINO",IF(P166=#REF!,"SALUD MENTAL",IF(P166=#REF!,"PRIMEROS AUXILIOS PSICOLOGICOS",IF(P166=#REF!,"ATENCION A VICTIMAS POR CONFLICTO ARMADO",IF(P166=#REF!,"MANIPULACION DE ALIMENTOS Y BPM",IF(P166=#REF!,"ATENCION A PERSONAS CON DISCAPACIDAD",IF(P166=#REF!,"CUIDADO INTEGRAL DEL PACIENTE ADULTO",IF(P166=#REF!,"MANEJO DEFENSIVO",IF(P166=#REF!,"SOPORTE CARDIOVASCULAR AVANZADO NEONATAL",IF(P166=#REF!,"SEGURIDAD DEL PACIENTE",IF(P166=#REF!,"MANEJO DE RESIDUOS HOSPITALARIOS"))))))))))))))))))))))))))))))))))))</f>
        <v>#REF!</v>
      </c>
      <c r="W166" s="25" t="str">
        <f t="shared" si="14"/>
        <v>Daira Yisela Portillo Rosero</v>
      </c>
      <c r="X166" s="25" t="str">
        <f t="shared" si="15"/>
        <v>Daira Yisela Portillo Rosero</v>
      </c>
      <c r="Y166" s="69" t="str">
        <f t="shared" si="16"/>
        <v>Daira Yisela Portillo Rosero-1004625728-VIOLENCIA SEXUAL</v>
      </c>
    </row>
    <row r="167" spans="1:25" x14ac:dyDescent="0.2">
      <c r="A167" s="19">
        <v>166</v>
      </c>
      <c r="B167" s="20">
        <v>1004625728</v>
      </c>
      <c r="C167" s="20" t="s">
        <v>82</v>
      </c>
      <c r="D167" s="20" t="s">
        <v>234</v>
      </c>
      <c r="E167" s="20" t="s">
        <v>349</v>
      </c>
      <c r="F167" s="20" t="s">
        <v>350</v>
      </c>
      <c r="G167" s="20">
        <v>22</v>
      </c>
      <c r="H167" s="20" t="s">
        <v>56</v>
      </c>
      <c r="I167" s="21" t="s">
        <v>72</v>
      </c>
      <c r="J167" s="21" t="s">
        <v>91</v>
      </c>
      <c r="K167" s="22">
        <v>45712</v>
      </c>
      <c r="L167" s="40">
        <v>32000</v>
      </c>
      <c r="M167" s="20" t="s">
        <v>90</v>
      </c>
      <c r="N167" s="20" t="s">
        <v>57</v>
      </c>
      <c r="O167" s="20" t="s">
        <v>73</v>
      </c>
      <c r="P167" s="20" t="s">
        <v>21</v>
      </c>
      <c r="Q167" s="21">
        <v>36963</v>
      </c>
      <c r="R167" s="20" t="s">
        <v>49</v>
      </c>
      <c r="S167" s="20" t="s">
        <v>74</v>
      </c>
      <c r="T167" s="20">
        <v>3224989037</v>
      </c>
      <c r="U167" s="20" t="s">
        <v>351</v>
      </c>
      <c r="V167" s="25" t="e">
        <f>IF(P167=#REF!,"DIPLOMADO EN ATENCION PRE-HOSPITALARIA",IF(P167=#REF!,"ACOMPAÑAMIENTO Y MANEJO DEL DUELO",IF(P167=#REF!,"ATENCION A VICTIMAS DE ATAQUE CON AGENTES QUIMICOS ",IF(P167=#REF!,"PRIMEROS AUXILIOS ",IF(P167=#REF!,"DIPLOMADO DE UNIDAD DE CUIDADOS INTENSIVOS (UCI)",IF(P167=#REF!,"MODELO DE ATENCION PARA EVENTOS EMERGENTES EN SALUD MENTAL (CODIGO VERDE)",IF(P167=#REF!,"HUMANIZACION EN EL SERVICIO DE LA SALUD Y BUENAS PRACTICAS EN PACIENTE ",IF(P167=#REF!,"CLINICA DE HERIDAS ",IF(P167=#REF!,"TOMA DE CITOLOGIA CERVICO VAGINAL ",IF(P167=#REF!,"SOPORTE CARDIOVASCULAR AVANZADO (ACLS) ",IF(P167=#REF!,"CAMILLERO ",IF(P167=#REF!,"TOMA DE MUESTRAS Y LABORATORIO ",IF(P167=#REF!,"SOPORTE VITAL BASICO (BLS)",IF(P167=#REF!,"ATENCION A VICTIMAS DE VIOLENCIA SEXUAL ",IF(P167=#REF!,"PROGRAMADO AMPLIADO DE INMUNIZACION (PAI - COVID 19)",IF(P167=#REF!,"ATENCION INTEGRAL EN ENFERMEDADES PREVALENTES EN PRIMERA INFANCIA (AIEPI)",IF(P167=#REF!,"ADMINISTRACION DE MEDICAMENTOS, INYECTOLOGIA  Y CANALIZACION ",IF(P167=#REF!,"OPERADOR DE VEHICULOS DE EMERGENCIA (OVE)",IF(P167=#REF!,"INSTITUCIONES AMIGAS DE LA MUJER Y LA INFANCIA (IAMI)",IF(P167=#REF!,"CUIDADO DEL DONANTE DE ORGANOS",IF(P167=#REF!,"ATENCION A VICTIMAS POR VIOLENCIA DE GENERO",IF(P167=#REF!,"IGUALDAD DE GENERO EN LA SALUD",IF(P167=#REF!,"BRIGADA DE EMERGENCIA",IF(P167=#REF!,"MANEJO DEL DOLOR Y CUIDADOS PALIATIVOS",IF(P167=#REF!,"TOMA DE MUESTRAS Y LABORATORIO POCT",IF(P167=#REF!,"IMPLANTE SUBDERMICO DE DISPOSITIVO INTRAUTERINO",IF(P167=#REF!,"SALUD MENTAL",IF(P167=#REF!,"PRIMEROS AUXILIOS PSICOLOGICOS",IF(P167=#REF!,"ATENCION A VICTIMAS POR CONFLICTO ARMADO",IF(P167=#REF!,"MANIPULACION DE ALIMENTOS Y BPM",IF(P167=#REF!,"ATENCION A PERSONAS CON DISCAPACIDAD",IF(P167=#REF!,"CUIDADO INTEGRAL DEL PACIENTE ADULTO",IF(P167=#REF!,"MANEJO DEFENSIVO",IF(P167=#REF!,"SOPORTE CARDIOVASCULAR AVANZADO NEONATAL",IF(P167=#REF!,"SEGURIDAD DEL PACIENTE",IF(P167=#REF!,"MANEJO DE RESIDUOS HOSPITALARIOS"))))))))))))))))))))))))))))))))))))</f>
        <v>#REF!</v>
      </c>
      <c r="W167" s="25" t="str">
        <f t="shared" si="14"/>
        <v>Daira Yisela Portillo Rosero</v>
      </c>
      <c r="X167" s="25" t="str">
        <f t="shared" si="15"/>
        <v>Daira Yisela Portillo Rosero</v>
      </c>
      <c r="Y167" s="69" t="str">
        <f t="shared" si="16"/>
        <v>Daira Yisela Portillo Rosero-1004625728-QUIMICOS</v>
      </c>
    </row>
    <row r="168" spans="1:25" x14ac:dyDescent="0.2">
      <c r="A168" s="19">
        <v>167</v>
      </c>
      <c r="B168" s="20">
        <v>1085950484</v>
      </c>
      <c r="C168" s="20" t="s">
        <v>198</v>
      </c>
      <c r="D168" s="20" t="s">
        <v>199</v>
      </c>
      <c r="E168" s="20" t="s">
        <v>200</v>
      </c>
      <c r="F168" s="20" t="s">
        <v>107</v>
      </c>
      <c r="G168" s="20">
        <v>22</v>
      </c>
      <c r="H168" s="20" t="s">
        <v>56</v>
      </c>
      <c r="I168" s="21" t="s">
        <v>47</v>
      </c>
      <c r="J168" s="21" t="s">
        <v>279</v>
      </c>
      <c r="K168" s="22">
        <v>45700</v>
      </c>
      <c r="L168" s="23">
        <v>65000</v>
      </c>
      <c r="M168" s="20" t="s">
        <v>61</v>
      </c>
      <c r="N168" s="20" t="s">
        <v>57</v>
      </c>
      <c r="O168" s="20" t="s">
        <v>48</v>
      </c>
      <c r="P168" s="20" t="s">
        <v>19</v>
      </c>
      <c r="Q168" s="21">
        <v>36168</v>
      </c>
      <c r="R168" s="20" t="s">
        <v>85</v>
      </c>
      <c r="S168" s="39" t="s">
        <v>182</v>
      </c>
      <c r="T168" s="20">
        <v>3003129942</v>
      </c>
      <c r="U168" s="20" t="s">
        <v>201</v>
      </c>
      <c r="V168" s="25" t="e">
        <f>IF(P168=#REF!,"DIPLOMADO EN ATENCION PRE-HOSPITALARIA",IF(P168=#REF!,"ACOMPAÑAMIENTO Y MANEJO DEL DUELO",IF(P168=#REF!,"ATENCION A VICTIMAS DE ATAQUE CON AGENTES QUIMICOS ",IF(P168=#REF!,"PRIMEROS AUXILIOS ",IF(P168=#REF!,"DIPLOMADO DE UNIDAD DE CUIDADOS INTENSIVOS (UCI)",IF(P168=#REF!,"MODELO DE ATENCION PARA EVENTOS EMERGENTES EN SALUD MENTAL (CODIGO VERDE)",IF(P168=#REF!,"HUMANIZACION EN EL SERVICIO DE LA SALUD Y BUENAS PRACTICAS EN PACIENTE ",IF(P168=#REF!,"CLINICA DE HERIDAS ",IF(P168=#REF!,"TOMA DE CITOLOGIA CERVICO VAGINAL ",IF(P168=#REF!,"SOPORTE CARDIOVASCULAR AVANZADO (ACLS) ",IF(P168=#REF!,"CAMILLERO ",IF(P168=#REF!,"TOMA DE MUESTRAS Y LABORATORIO ",IF(P168=#REF!,"SOPORTE VITAL BASICO (BLS)",IF(P168=#REF!,"ATENCION A VICTIMAS DE VIOLENCIA SEXUAL ",IF(P168=#REF!,"PROGRAMADO AMPLIADO DE INMUNIZACION (PAI - COVID 19)",IF(P168=#REF!,"ATENCION INTEGRAL EN ENFERMEDADES PREVALENTES EN PRIMERA INFANCIA (AIEPI)",IF(P168=#REF!,"ADMINISTRACION DE MEDICAMENTOS, INYECTOLOGIA  Y CANALIZACION ",IF(P168=#REF!,"OPERADOR DE VEHICULOS DE EMERGENCIA (OVE)",IF(P168=#REF!,"INSTITUCIONES AMIGAS DE LA MUJER Y LA INFANCIA (IAMI)",IF(P168=#REF!,"CUIDADO DEL DONANTE DE ORGANOS",IF(P168=#REF!,"ATENCION A VICTIMAS POR VIOLENCIA DE GENERO",IF(P168=#REF!,"IGUALDAD DE GENERO EN LA SALUD",IF(P168=#REF!,"BRIGADA DE EMERGENCIA",IF(P168=#REF!,"MANEJO DEL DOLOR Y CUIDADOS PALIATIVOS",IF(P168=#REF!,"TOMA DE MUESTRAS Y LABORATORIO POCT",IF(P168=#REF!,"IMPLANTE SUBDERMICO DE DISPOSITIVO INTRAUTERINO",IF(P168=#REF!,"SALUD MENTAL",IF(P168=#REF!,"PRIMEROS AUXILIOS PSICOLOGICOS",IF(P168=#REF!,"ATENCION A VICTIMAS POR CONFLICTO ARMADO",IF(P168=#REF!,"MANIPULACION DE ALIMENTOS Y BPM",IF(P168=#REF!,"ATENCION A PERSONAS CON DISCAPACIDAD",IF(P168=#REF!,"CUIDADO INTEGRAL DEL PACIENTE ADULTO",IF(P168=#REF!,"MANEJO DEFENSIVO",IF(P168=#REF!,"SOPORTE CARDIOVASCULAR AVANZADO NEONATAL",IF(P168=#REF!,"SEGURIDAD DEL PACIENTE",IF(P168=#REF!,"MANEJO DE RESIDUOS HOSPITALARIOS"))))))))))))))))))))))))))))))))))))</f>
        <v>#REF!</v>
      </c>
      <c r="W168" s="25" t="str">
        <f t="shared" si="14"/>
        <v>Roman Fernando Mueses Yandun</v>
      </c>
      <c r="X168" s="25" t="str">
        <f t="shared" si="15"/>
        <v>Roman Fernando Mueses Yandun</v>
      </c>
      <c r="Y168" s="69" t="str">
        <f t="shared" si="16"/>
        <v>Roman Fernando Mueses Yandun-1085950484-BLS</v>
      </c>
    </row>
    <row r="169" spans="1:25" x14ac:dyDescent="0.2">
      <c r="A169" s="19">
        <v>168</v>
      </c>
      <c r="B169" s="20">
        <v>1085950484</v>
      </c>
      <c r="C169" s="20" t="s">
        <v>198</v>
      </c>
      <c r="D169" s="20" t="s">
        <v>199</v>
      </c>
      <c r="E169" s="20" t="s">
        <v>200</v>
      </c>
      <c r="F169" s="20" t="s">
        <v>107</v>
      </c>
      <c r="G169" s="20">
        <v>22</v>
      </c>
      <c r="H169" s="20" t="s">
        <v>56</v>
      </c>
      <c r="I169" s="21" t="s">
        <v>47</v>
      </c>
      <c r="J169" s="21" t="s">
        <v>279</v>
      </c>
      <c r="K169" s="22" t="s">
        <v>357</v>
      </c>
      <c r="L169" s="23">
        <v>65000</v>
      </c>
      <c r="M169" s="20" t="s">
        <v>61</v>
      </c>
      <c r="N169" s="20" t="s">
        <v>57</v>
      </c>
      <c r="O169" s="20" t="s">
        <v>48</v>
      </c>
      <c r="P169" s="20" t="s">
        <v>21</v>
      </c>
      <c r="Q169" s="21">
        <v>36168</v>
      </c>
      <c r="R169" s="20" t="s">
        <v>85</v>
      </c>
      <c r="S169" s="39" t="s">
        <v>182</v>
      </c>
      <c r="T169" s="20">
        <v>3003129942</v>
      </c>
      <c r="U169" s="20" t="s">
        <v>201</v>
      </c>
      <c r="V169" s="25" t="e">
        <f>IF(P169=#REF!,"DIPLOMADO EN ATENCION PRE-HOSPITALARIA",IF(P169=#REF!,"ACOMPAÑAMIENTO Y MANEJO DEL DUELO",IF(P169=#REF!,"ATENCION A VICTIMAS DE ATAQUE CON AGENTES QUIMICOS ",IF(P169=#REF!,"PRIMEROS AUXILIOS ",IF(P169=#REF!,"DIPLOMADO DE UNIDAD DE CUIDADOS INTENSIVOS (UCI)",IF(P169=#REF!,"MODELO DE ATENCION PARA EVENTOS EMERGENTES EN SALUD MENTAL (CODIGO VERDE)",IF(P169=#REF!,"HUMANIZACION EN EL SERVICIO DE LA SALUD Y BUENAS PRACTICAS EN PACIENTE ",IF(P169=#REF!,"CLINICA DE HERIDAS ",IF(P169=#REF!,"TOMA DE CITOLOGIA CERVICO VAGINAL ",IF(P169=#REF!,"SOPORTE CARDIOVASCULAR AVANZADO (ACLS) ",IF(P169=#REF!,"CAMILLERO ",IF(P169=#REF!,"TOMA DE MUESTRAS Y LABORATORIO ",IF(P169=#REF!,"SOPORTE VITAL BASICO (BLS)",IF(P169=#REF!,"ATENCION A VICTIMAS DE VIOLENCIA SEXUAL ",IF(P169=#REF!,"PROGRAMADO AMPLIADO DE INMUNIZACION (PAI - COVID 19)",IF(P169=#REF!,"ATENCION INTEGRAL EN ENFERMEDADES PREVALENTES EN PRIMERA INFANCIA (AIEPI)",IF(P169=#REF!,"ADMINISTRACION DE MEDICAMENTOS, INYECTOLOGIA  Y CANALIZACION ",IF(P169=#REF!,"OPERADOR DE VEHICULOS DE EMERGENCIA (OVE)",IF(P169=#REF!,"INSTITUCIONES AMIGAS DE LA MUJER Y LA INFANCIA (IAMI)",IF(P169=#REF!,"CUIDADO DEL DONANTE DE ORGANOS",IF(P169=#REF!,"ATENCION A VICTIMAS POR VIOLENCIA DE GENERO",IF(P169=#REF!,"IGUALDAD DE GENERO EN LA SALUD",IF(P169=#REF!,"BRIGADA DE EMERGENCIA",IF(P169=#REF!,"MANEJO DEL DOLOR Y CUIDADOS PALIATIVOS",IF(P169=#REF!,"TOMA DE MUESTRAS Y LABORATORIO POCT",IF(P169=#REF!,"IMPLANTE SUBDERMICO DE DISPOSITIVO INTRAUTERINO",IF(P169=#REF!,"SALUD MENTAL",IF(P169=#REF!,"PRIMEROS AUXILIOS PSICOLOGICOS",IF(P169=#REF!,"ATENCION A VICTIMAS POR CONFLICTO ARMADO",IF(P169=#REF!,"MANIPULACION DE ALIMENTOS Y BPM",IF(P169=#REF!,"ATENCION A PERSONAS CON DISCAPACIDAD",IF(P169=#REF!,"CUIDADO INTEGRAL DEL PACIENTE ADULTO",IF(P169=#REF!,"MANEJO DEFENSIVO",IF(P169=#REF!,"SOPORTE CARDIOVASCULAR AVANZADO NEONATAL",IF(P169=#REF!,"SEGURIDAD DEL PACIENTE",IF(P169=#REF!,"MANEJO DE RESIDUOS HOSPITALARIOS"))))))))))))))))))))))))))))))))))))</f>
        <v>#REF!</v>
      </c>
      <c r="W169" s="25" t="str">
        <f t="shared" si="14"/>
        <v>Roman Fernando Mueses Yandun</v>
      </c>
      <c r="X169" s="25" t="str">
        <f t="shared" si="15"/>
        <v>Roman Fernando Mueses Yandun</v>
      </c>
      <c r="Y169" s="69" t="str">
        <f t="shared" si="16"/>
        <v>Roman Fernando Mueses Yandun-1085950484-QUIMICOS</v>
      </c>
    </row>
    <row r="170" spans="1:25" x14ac:dyDescent="0.2">
      <c r="A170" s="19">
        <v>169</v>
      </c>
      <c r="B170" s="20">
        <v>1085950484</v>
      </c>
      <c r="C170" s="20" t="s">
        <v>198</v>
      </c>
      <c r="D170" s="20" t="s">
        <v>199</v>
      </c>
      <c r="E170" s="20" t="s">
        <v>200</v>
      </c>
      <c r="F170" s="20" t="s">
        <v>107</v>
      </c>
      <c r="G170" s="20">
        <v>22</v>
      </c>
      <c r="H170" s="20" t="s">
        <v>56</v>
      </c>
      <c r="I170" s="21" t="s">
        <v>47</v>
      </c>
      <c r="J170" s="21" t="s">
        <v>279</v>
      </c>
      <c r="K170" s="22">
        <v>45712</v>
      </c>
      <c r="L170" s="23">
        <v>65000</v>
      </c>
      <c r="M170" s="20" t="s">
        <v>61</v>
      </c>
      <c r="N170" s="20" t="s">
        <v>57</v>
      </c>
      <c r="O170" s="20" t="s">
        <v>48</v>
      </c>
      <c r="P170" s="20" t="s">
        <v>23</v>
      </c>
      <c r="Q170" s="21">
        <v>36168</v>
      </c>
      <c r="R170" s="20" t="s">
        <v>85</v>
      </c>
      <c r="S170" s="39" t="s">
        <v>182</v>
      </c>
      <c r="T170" s="20">
        <v>3003129942</v>
      </c>
      <c r="U170" s="20" t="s">
        <v>201</v>
      </c>
      <c r="V170" s="25" t="e">
        <f>IF(P170=#REF!,"DIPLOMADO EN ATENCION PRE-HOSPITALARIA",IF(P170=#REF!,"ACOMPAÑAMIENTO Y MANEJO DEL DUELO",IF(P170=#REF!,"ATENCION A VICTIMAS DE ATAQUE CON AGENTES QUIMICOS ",IF(P170=#REF!,"PRIMEROS AUXILIOS ",IF(P170=#REF!,"DIPLOMADO DE UNIDAD DE CUIDADOS INTENSIVOS (UCI)",IF(P170=#REF!,"MODELO DE ATENCION PARA EVENTOS EMERGENTES EN SALUD MENTAL (CODIGO VERDE)",IF(P170=#REF!,"HUMANIZACION EN EL SERVICIO DE LA SALUD Y BUENAS PRACTICAS EN PACIENTE ",IF(P170=#REF!,"CLINICA DE HERIDAS ",IF(P170=#REF!,"TOMA DE CITOLOGIA CERVICO VAGINAL ",IF(P170=#REF!,"SOPORTE CARDIOVASCULAR AVANZADO (ACLS) ",IF(P170=#REF!,"CAMILLERO ",IF(P170=#REF!,"TOMA DE MUESTRAS Y LABORATORIO ",IF(P170=#REF!,"SOPORTE VITAL BASICO (BLS)",IF(P170=#REF!,"ATENCION A VICTIMAS DE VIOLENCIA SEXUAL ",IF(P170=#REF!,"PROGRAMADO AMPLIADO DE INMUNIZACION (PAI - COVID 19)",IF(P170=#REF!,"ATENCION INTEGRAL EN ENFERMEDADES PREVALENTES EN PRIMERA INFANCIA (AIEPI)",IF(P170=#REF!,"ADMINISTRACION DE MEDICAMENTOS, INYECTOLOGIA  Y CANALIZACION ",IF(P170=#REF!,"OPERADOR DE VEHICULOS DE EMERGENCIA (OVE)",IF(P170=#REF!,"INSTITUCIONES AMIGAS DE LA MUJER Y LA INFANCIA (IAMI)",IF(P170=#REF!,"CUIDADO DEL DONANTE DE ORGANOS",IF(P170=#REF!,"ATENCION A VICTIMAS POR VIOLENCIA DE GENERO",IF(P170=#REF!,"IGUALDAD DE GENERO EN LA SALUD",IF(P170=#REF!,"BRIGADA DE EMERGENCIA",IF(P170=#REF!,"MANEJO DEL DOLOR Y CUIDADOS PALIATIVOS",IF(P170=#REF!,"TOMA DE MUESTRAS Y LABORATORIO POCT",IF(P170=#REF!,"IMPLANTE SUBDERMICO DE DISPOSITIVO INTRAUTERINO",IF(P170=#REF!,"SALUD MENTAL",IF(P170=#REF!,"PRIMEROS AUXILIOS PSICOLOGICOS",IF(P170=#REF!,"ATENCION A VICTIMAS POR CONFLICTO ARMADO",IF(P170=#REF!,"MANIPULACION DE ALIMENTOS Y BPM",IF(P170=#REF!,"ATENCION A PERSONAS CON DISCAPACIDAD",IF(P170=#REF!,"CUIDADO INTEGRAL DEL PACIENTE ADULTO",IF(P170=#REF!,"MANEJO DEFENSIVO",IF(P170=#REF!,"SOPORTE CARDIOVASCULAR AVANZADO NEONATAL",IF(P170=#REF!,"SEGURIDAD DEL PACIENTE",IF(P170=#REF!,"MANEJO DE RESIDUOS HOSPITALARIOS"))))))))))))))))))))))))))))))))))))</f>
        <v>#REF!</v>
      </c>
      <c r="W170" s="25" t="str">
        <f t="shared" si="14"/>
        <v>Roman Fernando Mueses Yandun</v>
      </c>
      <c r="X170" s="25" t="str">
        <f t="shared" si="15"/>
        <v>Roman Fernando Mueses Yandun</v>
      </c>
      <c r="Y170" s="69" t="str">
        <f t="shared" si="16"/>
        <v>Roman Fernando Mueses Yandun-1085950484-HUMANIZACION</v>
      </c>
    </row>
    <row r="171" spans="1:25" x14ac:dyDescent="0.2">
      <c r="A171" s="19">
        <v>170</v>
      </c>
      <c r="B171" s="20">
        <v>27281486</v>
      </c>
      <c r="C171" s="20" t="s">
        <v>352</v>
      </c>
      <c r="D171" s="20" t="s">
        <v>353</v>
      </c>
      <c r="E171" s="20" t="s">
        <v>354</v>
      </c>
      <c r="F171" s="20"/>
      <c r="G171" s="20">
        <v>24</v>
      </c>
      <c r="H171" s="20" t="s">
        <v>56</v>
      </c>
      <c r="I171" s="21" t="s">
        <v>72</v>
      </c>
      <c r="J171" s="21"/>
      <c r="K171" s="22">
        <v>45712</v>
      </c>
      <c r="L171" s="40">
        <v>35000</v>
      </c>
      <c r="M171" s="20" t="s">
        <v>90</v>
      </c>
      <c r="N171" s="20" t="s">
        <v>57</v>
      </c>
      <c r="O171" s="20" t="s">
        <v>48</v>
      </c>
      <c r="P171" s="20" t="s">
        <v>26</v>
      </c>
      <c r="Q171" s="21">
        <v>29573</v>
      </c>
      <c r="R171" s="20" t="s">
        <v>49</v>
      </c>
      <c r="S171" s="39" t="s">
        <v>355</v>
      </c>
      <c r="T171" s="20">
        <v>3127727981</v>
      </c>
      <c r="U171" s="20" t="s">
        <v>356</v>
      </c>
      <c r="V171" s="25" t="e">
        <f>IF(P171=#REF!,"DIPLOMADO EN ATENCION PRE-HOSPITALARIA",IF(P171=#REF!,"ACOMPAÑAMIENTO Y MANEJO DEL DUELO",IF(P171=#REF!,"ATENCION A VICTIMAS DE ATAQUE CON AGENTES QUIMICOS ",IF(P171=#REF!,"PRIMEROS AUXILIOS ",IF(P171=#REF!,"DIPLOMADO DE UNIDAD DE CUIDADOS INTENSIVOS (UCI)",IF(P171=#REF!,"MODELO DE ATENCION PARA EVENTOS EMERGENTES EN SALUD MENTAL (CODIGO VERDE)",IF(P171=#REF!,"HUMANIZACION EN EL SERVICIO DE LA SALUD Y BUENAS PRACTICAS EN PACIENTE ",IF(P171=#REF!,"CLINICA DE HERIDAS ",IF(P171=#REF!,"TOMA DE CITOLOGIA CERVICO VAGINAL ",IF(P171=#REF!,"SOPORTE CARDIOVASCULAR AVANZADO (ACLS) ",IF(P171=#REF!,"CAMILLERO ",IF(P171=#REF!,"TOMA DE MUESTRAS Y LABORATORIO ",IF(P171=#REF!,"SOPORTE VITAL BASICO (BLS)",IF(P171=#REF!,"ATENCION A VICTIMAS DE VIOLENCIA SEXUAL ",IF(P171=#REF!,"PROGRAMADO AMPLIADO DE INMUNIZACION (PAI - COVID 19)",IF(P171=#REF!,"ATENCION INTEGRAL EN ENFERMEDADES PREVALENTES EN PRIMERA INFANCIA (AIEPI)",IF(P171=#REF!,"ADMINISTRACION DE MEDICAMENTOS, INYECTOLOGIA  Y CANALIZACION ",IF(P171=#REF!,"OPERADOR DE VEHICULOS DE EMERGENCIA (OVE)",IF(P171=#REF!,"INSTITUCIONES AMIGAS DE LA MUJER Y LA INFANCIA (IAMI)",IF(P171=#REF!,"CUIDADO DEL DONANTE DE ORGANOS",IF(P171=#REF!,"ATENCION A VICTIMAS POR VIOLENCIA DE GENERO",IF(P171=#REF!,"IGUALDAD DE GENERO EN LA SALUD",IF(P171=#REF!,"BRIGADA DE EMERGENCIA",IF(P171=#REF!,"MANEJO DEL DOLOR Y CUIDADOS PALIATIVOS",IF(P171=#REF!,"TOMA DE MUESTRAS Y LABORATORIO POCT",IF(P171=#REF!,"IMPLANTE SUBDERMICO DE DISPOSITIVO INTRAUTERINO",IF(P171=#REF!,"SALUD MENTAL",IF(P171=#REF!,"PRIMEROS AUXILIOS PSICOLOGICOS",IF(P171=#REF!,"ATENCION A VICTIMAS POR CONFLICTO ARMADO",IF(P171=#REF!,"MANIPULACION DE ALIMENTOS Y BPM",IF(P171=#REF!,"ATENCION A PERSONAS CON DISCAPACIDAD",IF(P171=#REF!,"CUIDADO INTEGRAL DEL PACIENTE ADULTO",IF(P171=#REF!,"MANEJO DEFENSIVO",IF(P171=#REF!,"SOPORTE CARDIOVASCULAR AVANZADO NEONATAL",IF(P171=#REF!,"SEGURIDAD DEL PACIENTE",IF(P171=#REF!,"MANEJO DE RESIDUOS HOSPITALARIOS"))))))))))))))))))))))))))))))))))))</f>
        <v>#REF!</v>
      </c>
      <c r="W171" s="25" t="str">
        <f t="shared" si="14"/>
        <v>Marinela  Aguilar Rangel</v>
      </c>
      <c r="X171" s="25" t="str">
        <f t="shared" si="15"/>
        <v>Marinela  Aguilar Rangel</v>
      </c>
      <c r="Y171" s="69" t="str">
        <f t="shared" si="16"/>
        <v>Marinela  Aguilar Rangel-27281486-TOMA DE MUESTRAS</v>
      </c>
    </row>
    <row r="172" spans="1:25" x14ac:dyDescent="0.2">
      <c r="A172" s="19">
        <v>171</v>
      </c>
      <c r="B172" s="20">
        <v>27281486</v>
      </c>
      <c r="C172" s="20" t="s">
        <v>352</v>
      </c>
      <c r="D172" s="20" t="s">
        <v>353</v>
      </c>
      <c r="E172" s="20" t="s">
        <v>354</v>
      </c>
      <c r="F172" s="20"/>
      <c r="G172" s="20">
        <v>24</v>
      </c>
      <c r="H172" s="20" t="s">
        <v>56</v>
      </c>
      <c r="I172" s="21" t="s">
        <v>72</v>
      </c>
      <c r="J172" s="21"/>
      <c r="K172" s="22">
        <v>45712</v>
      </c>
      <c r="L172" s="40">
        <v>35000</v>
      </c>
      <c r="M172" s="20" t="s">
        <v>90</v>
      </c>
      <c r="N172" s="20" t="s">
        <v>57</v>
      </c>
      <c r="O172" s="20" t="s">
        <v>48</v>
      </c>
      <c r="P172" s="20" t="s">
        <v>23</v>
      </c>
      <c r="Q172" s="21">
        <v>29573</v>
      </c>
      <c r="R172" s="20" t="s">
        <v>49</v>
      </c>
      <c r="S172" s="39" t="s">
        <v>355</v>
      </c>
      <c r="T172" s="20">
        <v>3127727981</v>
      </c>
      <c r="U172" s="20" t="s">
        <v>356</v>
      </c>
      <c r="V172" s="25" t="e">
        <f>IF(P172=#REF!,"DIPLOMADO EN ATENCION PRE-HOSPITALARIA",IF(P172=#REF!,"ACOMPAÑAMIENTO Y MANEJO DEL DUELO",IF(P172=#REF!,"ATENCION A VICTIMAS DE ATAQUE CON AGENTES QUIMICOS ",IF(P172=#REF!,"PRIMEROS AUXILIOS ",IF(P172=#REF!,"DIPLOMADO DE UNIDAD DE CUIDADOS INTENSIVOS (UCI)",IF(P172=#REF!,"MODELO DE ATENCION PARA EVENTOS EMERGENTES EN SALUD MENTAL (CODIGO VERDE)",IF(P172=#REF!,"HUMANIZACION EN EL SERVICIO DE LA SALUD Y BUENAS PRACTICAS EN PACIENTE ",IF(P172=#REF!,"CLINICA DE HERIDAS ",IF(P172=#REF!,"TOMA DE CITOLOGIA CERVICO VAGINAL ",IF(P172=#REF!,"SOPORTE CARDIOVASCULAR AVANZADO (ACLS) ",IF(P172=#REF!,"CAMILLERO ",IF(P172=#REF!,"TOMA DE MUESTRAS Y LABORATORIO ",IF(P172=#REF!,"SOPORTE VITAL BASICO (BLS)",IF(P172=#REF!,"ATENCION A VICTIMAS DE VIOLENCIA SEXUAL ",IF(P172=#REF!,"PROGRAMADO AMPLIADO DE INMUNIZACION (PAI - COVID 19)",IF(P172=#REF!,"ATENCION INTEGRAL EN ENFERMEDADES PREVALENTES EN PRIMERA INFANCIA (AIEPI)",IF(P172=#REF!,"ADMINISTRACION DE MEDICAMENTOS, INYECTOLOGIA  Y CANALIZACION ",IF(P172=#REF!,"OPERADOR DE VEHICULOS DE EMERGENCIA (OVE)",IF(P172=#REF!,"INSTITUCIONES AMIGAS DE LA MUJER Y LA INFANCIA (IAMI)",IF(P172=#REF!,"CUIDADO DEL DONANTE DE ORGANOS",IF(P172=#REF!,"ATENCION A VICTIMAS POR VIOLENCIA DE GENERO",IF(P172=#REF!,"IGUALDAD DE GENERO EN LA SALUD",IF(P172=#REF!,"BRIGADA DE EMERGENCIA",IF(P172=#REF!,"MANEJO DEL DOLOR Y CUIDADOS PALIATIVOS",IF(P172=#REF!,"TOMA DE MUESTRAS Y LABORATORIO POCT",IF(P172=#REF!,"IMPLANTE SUBDERMICO DE DISPOSITIVO INTRAUTERINO",IF(P172=#REF!,"SALUD MENTAL",IF(P172=#REF!,"PRIMEROS AUXILIOS PSICOLOGICOS",IF(P172=#REF!,"ATENCION A VICTIMAS POR CONFLICTO ARMADO",IF(P172=#REF!,"MANIPULACION DE ALIMENTOS Y BPM",IF(P172=#REF!,"ATENCION A PERSONAS CON DISCAPACIDAD",IF(P172=#REF!,"CUIDADO INTEGRAL DEL PACIENTE ADULTO",IF(P172=#REF!,"MANEJO DEFENSIVO",IF(P172=#REF!,"SOPORTE CARDIOVASCULAR AVANZADO NEONATAL",IF(P172=#REF!,"SEGURIDAD DEL PACIENTE",IF(P172=#REF!,"MANEJO DE RESIDUOS HOSPITALARIOS"))))))))))))))))))))))))))))))))))))</f>
        <v>#REF!</v>
      </c>
      <c r="W172" s="25" t="str">
        <f t="shared" si="14"/>
        <v>Marinela  Aguilar Rangel</v>
      </c>
      <c r="X172" s="25" t="str">
        <f t="shared" si="15"/>
        <v>Marinela  Aguilar Rangel</v>
      </c>
      <c r="Y172" s="69" t="str">
        <f t="shared" si="16"/>
        <v>Marinela  Aguilar Rangel-27281486-HUMANIZACION</v>
      </c>
    </row>
    <row r="173" spans="1:25" x14ac:dyDescent="0.2">
      <c r="A173" s="19">
        <v>172</v>
      </c>
      <c r="B173" s="20">
        <v>1010078464</v>
      </c>
      <c r="C173" s="20" t="s">
        <v>358</v>
      </c>
      <c r="D173" s="20" t="s">
        <v>359</v>
      </c>
      <c r="E173" s="20" t="s">
        <v>360</v>
      </c>
      <c r="F173" s="20" t="s">
        <v>361</v>
      </c>
      <c r="G173" s="20">
        <v>24</v>
      </c>
      <c r="H173" s="20" t="s">
        <v>56</v>
      </c>
      <c r="I173" s="21" t="s">
        <v>72</v>
      </c>
      <c r="J173" s="21" t="s">
        <v>363</v>
      </c>
      <c r="K173" s="22">
        <v>45692</v>
      </c>
      <c r="L173" s="40">
        <v>35000</v>
      </c>
      <c r="M173" s="20" t="s">
        <v>61</v>
      </c>
      <c r="N173" s="20" t="s">
        <v>57</v>
      </c>
      <c r="O173" s="20" t="s">
        <v>48</v>
      </c>
      <c r="P173" s="20" t="s">
        <v>29</v>
      </c>
      <c r="Q173" s="21">
        <v>36407</v>
      </c>
      <c r="R173" s="20" t="s">
        <v>85</v>
      </c>
      <c r="S173" s="39" t="s">
        <v>333</v>
      </c>
      <c r="T173" s="20">
        <v>3123736020</v>
      </c>
      <c r="U173" s="24" t="s">
        <v>362</v>
      </c>
      <c r="V173" s="25" t="e">
        <f>IF(P173=#REF!,"DIPLOMADO EN ATENCION PRE-HOSPITALARIA",IF(P173=#REF!,"ACOMPAÑAMIENTO Y MANEJO DEL DUELO",IF(P173=#REF!,"ATENCION A VICTIMAS DE ATAQUE CON AGENTES QUIMICOS ",IF(P173=#REF!,"PRIMEROS AUXILIOS ",IF(P173=#REF!,"DIPLOMADO DE UNIDAD DE CUIDADOS INTENSIVOS (UCI)",IF(P173=#REF!,"MODELO DE ATENCION PARA EVENTOS EMERGENTES EN SALUD MENTAL (CODIGO VERDE)",IF(P173=#REF!,"HUMANIZACION EN EL SERVICIO DE LA SALUD Y BUENAS PRACTICAS EN PACIENTE ",IF(P173=#REF!,"CLINICA DE HERIDAS ",IF(P173=#REF!,"TOMA DE CITOLOGIA CERVICO VAGINAL ",IF(P173=#REF!,"SOPORTE CARDIOVASCULAR AVANZADO (ACLS) ",IF(P173=#REF!,"CAMILLERO ",IF(P173=#REF!,"TOMA DE MUESTRAS Y LABORATORIO ",IF(P173=#REF!,"SOPORTE VITAL BASICO (BLS)",IF(P173=#REF!,"ATENCION A VICTIMAS DE VIOLENCIA SEXUAL ",IF(P173=#REF!,"PROGRAMADO AMPLIADO DE INMUNIZACION (PAI - COVID 19)",IF(P173=#REF!,"ATENCION INTEGRAL EN ENFERMEDADES PREVALENTES EN PRIMERA INFANCIA (AIEPI)",IF(P173=#REF!,"ADMINISTRACION DE MEDICAMENTOS, INYECTOLOGIA  Y CANALIZACION ",IF(P173=#REF!,"OPERADOR DE VEHICULOS DE EMERGENCIA (OVE)",IF(P173=#REF!,"INSTITUCIONES AMIGAS DE LA MUJER Y LA INFANCIA (IAMI)",IF(P173=#REF!,"CUIDADO DEL DONANTE DE ORGANOS",IF(P173=#REF!,"ATENCION A VICTIMAS POR VIOLENCIA DE GENERO",IF(P173=#REF!,"IGUALDAD DE GENERO EN LA SALUD",IF(P173=#REF!,"BRIGADA DE EMERGENCIA",IF(P173=#REF!,"MANEJO DEL DOLOR Y CUIDADOS PALIATIVOS",IF(P173=#REF!,"TOMA DE MUESTRAS Y LABORATORIO POCT",IF(P173=#REF!,"IMPLANTE SUBDERMICO DE DISPOSITIVO INTRAUTERINO",IF(P173=#REF!,"SALUD MENTAL",IF(P173=#REF!,"PRIMEROS AUXILIOS PSICOLOGICOS",IF(P173=#REF!,"ATENCION A VICTIMAS POR CONFLICTO ARMADO",IF(P173=#REF!,"MANIPULACION DE ALIMENTOS Y BPM",IF(P173=#REF!,"ATENCION A PERSONAS CON DISCAPACIDAD",IF(P173=#REF!,"CUIDADO INTEGRAL DEL PACIENTE ADULTO",IF(P173=#REF!,"MANEJO DEFENSIVO",IF(P173=#REF!,"SOPORTE CARDIOVASCULAR AVANZADO NEONATAL",IF(P173=#REF!,"SEGURIDAD DEL PACIENTE",IF(P173=#REF!,"MANEJO DE RESIDUOS HOSPITALARIOS"))))))))))))))))))))))))))))))))))))</f>
        <v>#REF!</v>
      </c>
      <c r="W173" s="25" t="str">
        <f t="shared" si="14"/>
        <v>Luis Sebastian Josa Potosi</v>
      </c>
      <c r="X173" s="25" t="str">
        <f t="shared" si="15"/>
        <v>Luis Sebastian Josa Potosi</v>
      </c>
      <c r="Y173" s="69" t="str">
        <f t="shared" si="16"/>
        <v>Luis Sebastian Josa Potosi-1010078464-ADMON DE MEDICAMENTOS</v>
      </c>
    </row>
    <row r="174" spans="1:25" x14ac:dyDescent="0.2">
      <c r="A174" s="19">
        <v>173</v>
      </c>
      <c r="B174" s="20">
        <v>59827623</v>
      </c>
      <c r="C174" s="20" t="s">
        <v>53</v>
      </c>
      <c r="D174" s="20" t="s">
        <v>75</v>
      </c>
      <c r="E174" s="20" t="s">
        <v>364</v>
      </c>
      <c r="F174" s="20" t="s">
        <v>365</v>
      </c>
      <c r="G174" s="20">
        <v>24</v>
      </c>
      <c r="H174" s="20" t="s">
        <v>56</v>
      </c>
      <c r="I174" s="21" t="s">
        <v>47</v>
      </c>
      <c r="J174" s="21"/>
      <c r="K174" s="22">
        <v>45712</v>
      </c>
      <c r="L174" s="40">
        <v>80000</v>
      </c>
      <c r="M174" s="20" t="s">
        <v>61</v>
      </c>
      <c r="N174" s="20" t="s">
        <v>57</v>
      </c>
      <c r="O174" s="20" t="s">
        <v>48</v>
      </c>
      <c r="P174" s="20" t="s">
        <v>34</v>
      </c>
      <c r="Q174" s="21">
        <v>27310</v>
      </c>
      <c r="R174" s="20" t="s">
        <v>49</v>
      </c>
      <c r="S174" s="54" t="s">
        <v>323</v>
      </c>
      <c r="T174" s="20">
        <v>3113666444</v>
      </c>
      <c r="U174" s="20" t="s">
        <v>366</v>
      </c>
      <c r="V174" s="25" t="e">
        <f>IF(P174=#REF!,"DIPLOMADO EN ATENCION PRE-HOSPITALARIA",IF(P174=#REF!,"ACOMPAÑAMIENTO Y MANEJO DEL DUELO",IF(P174=#REF!,"ATENCION A VICTIMAS DE ATAQUE CON AGENTES QUIMICOS ",IF(P174=#REF!,"PRIMEROS AUXILIOS ",IF(P174=#REF!,"DIPLOMADO DE UNIDAD DE CUIDADOS INTENSIVOS (UCI)",IF(P174=#REF!,"MODELO DE ATENCION PARA EVENTOS EMERGENTES EN SALUD MENTAL (CODIGO VERDE)",IF(P174=#REF!,"HUMANIZACION EN EL SERVICIO DE LA SALUD Y BUENAS PRACTICAS EN PACIENTE ",IF(P174=#REF!,"CLINICA DE HERIDAS ",IF(P174=#REF!,"TOMA DE CITOLOGIA CERVICO VAGINAL ",IF(P174=#REF!,"SOPORTE CARDIOVASCULAR AVANZADO (ACLS) ",IF(P174=#REF!,"CAMILLERO ",IF(P174=#REF!,"TOMA DE MUESTRAS Y LABORATORIO ",IF(P174=#REF!,"SOPORTE VITAL BASICO (BLS)",IF(P174=#REF!,"ATENCION A VICTIMAS DE VIOLENCIA SEXUAL ",IF(P174=#REF!,"PROGRAMADO AMPLIADO DE INMUNIZACION (PAI - COVID 19)",IF(P174=#REF!,"ATENCION INTEGRAL EN ENFERMEDADES PREVALENTES EN PRIMERA INFANCIA (AIEPI)",IF(P174=#REF!,"ADMINISTRACION DE MEDICAMENTOS, INYECTOLOGIA  Y CANALIZACION ",IF(P174=#REF!,"OPERADOR DE VEHICULOS DE EMERGENCIA (OVE)",IF(P174=#REF!,"INSTITUCIONES AMIGAS DE LA MUJER Y LA INFANCIA (IAMI)",IF(P174=#REF!,"CUIDADO DEL DONANTE DE ORGANOS",IF(P174=#REF!,"ATENCION A VICTIMAS POR VIOLENCIA DE GENERO",IF(P174=#REF!,"IGUALDAD DE GENERO EN LA SALUD",IF(P174=#REF!,"BRIGADA DE EMERGENCIA",IF(P174=#REF!,"MANEJO DEL DOLOR Y CUIDADOS PALIATIVOS",IF(P174=#REF!,"TOMA DE MUESTRAS Y LABORATORIO POCT",IF(P174=#REF!,"IMPLANTE SUBDERMICO DE DISPOSITIVO INTRAUTERINO",IF(P174=#REF!,"SALUD MENTAL",IF(P174=#REF!,"PRIMEROS AUXILIOS PSICOLOGICOS",IF(P174=#REF!,"ATENCION A VICTIMAS POR CONFLICTO ARMADO",IF(P174=#REF!,"MANIPULACION DE ALIMENTOS Y BPM",IF(P174=#REF!,"ATENCION A PERSONAS CON DISCAPACIDAD",IF(P174=#REF!,"CUIDADO INTEGRAL DEL PACIENTE ADULTO",IF(P174=#REF!,"MANEJO DEFENSIVO",IF(P174=#REF!,"SOPORTE CARDIOVASCULAR AVANZADO NEONATAL",IF(P174=#REF!,"SEGURIDAD DEL PACIENTE",IF(P174=#REF!,"MANEJO DE RESIDUOS HOSPITALARIOS"))))))))))))))))))))))))))))))))))))</f>
        <v>#REF!</v>
      </c>
      <c r="W174" s="25" t="str">
        <f t="shared" si="14"/>
        <v>Luz Elena Cabrera Narvaez</v>
      </c>
      <c r="X174" s="25" t="str">
        <f t="shared" si="15"/>
        <v>Luz Elena Cabrera Narvaez</v>
      </c>
      <c r="Y174" s="69" t="str">
        <f t="shared" si="16"/>
        <v>Luz Elena Cabrera Narvaez-59827623-POCT</v>
      </c>
    </row>
    <row r="175" spans="1:25" x14ac:dyDescent="0.2">
      <c r="A175" s="19">
        <v>174</v>
      </c>
      <c r="B175" s="20">
        <v>1004630559</v>
      </c>
      <c r="C175" s="20" t="s">
        <v>367</v>
      </c>
      <c r="D175" s="20" t="s">
        <v>231</v>
      </c>
      <c r="E175" s="20" t="s">
        <v>242</v>
      </c>
      <c r="F175" s="20" t="s">
        <v>368</v>
      </c>
      <c r="G175" s="20">
        <v>24</v>
      </c>
      <c r="H175" s="20" t="s">
        <v>56</v>
      </c>
      <c r="I175" s="21" t="s">
        <v>47</v>
      </c>
      <c r="J175" s="21"/>
      <c r="K175" s="22" t="s">
        <v>417</v>
      </c>
      <c r="L175" s="40">
        <v>80000</v>
      </c>
      <c r="M175" s="20" t="s">
        <v>115</v>
      </c>
      <c r="N175" s="20" t="s">
        <v>57</v>
      </c>
      <c r="O175" s="20" t="s">
        <v>48</v>
      </c>
      <c r="P175" s="20" t="s">
        <v>29</v>
      </c>
      <c r="Q175" s="21">
        <v>37351</v>
      </c>
      <c r="R175" s="20" t="s">
        <v>49</v>
      </c>
      <c r="S175" s="54" t="s">
        <v>323</v>
      </c>
      <c r="T175" s="20">
        <v>3106450233</v>
      </c>
      <c r="U175" s="20" t="s">
        <v>369</v>
      </c>
      <c r="V175" s="25" t="e">
        <f>IF(P175=#REF!,"DIPLOMADO EN ATENCION PRE-HOSPITALARIA",IF(P175=#REF!,"ACOMPAÑAMIENTO Y MANEJO DEL DUELO",IF(P175=#REF!,"ATENCION A VICTIMAS DE ATAQUE CON AGENTES QUIMICOS ",IF(P175=#REF!,"PRIMEROS AUXILIOS ",IF(P175=#REF!,"DIPLOMADO DE UNIDAD DE CUIDADOS INTENSIVOS (UCI)",IF(P175=#REF!,"MODELO DE ATENCION PARA EVENTOS EMERGENTES EN SALUD MENTAL (CODIGO VERDE)",IF(P175=#REF!,"HUMANIZACION EN EL SERVICIO DE LA SALUD Y BUENAS PRACTICAS EN PACIENTE ",IF(P175=#REF!,"CLINICA DE HERIDAS ",IF(P175=#REF!,"TOMA DE CITOLOGIA CERVICO VAGINAL ",IF(P175=#REF!,"SOPORTE CARDIOVASCULAR AVANZADO (ACLS) ",IF(P175=#REF!,"CAMILLERO ",IF(P175=#REF!,"TOMA DE MUESTRAS Y LABORATORIO ",IF(P175=#REF!,"SOPORTE VITAL BASICO (BLS)",IF(P175=#REF!,"ATENCION A VICTIMAS DE VIOLENCIA SEXUAL ",IF(P175=#REF!,"PROGRAMADO AMPLIADO DE INMUNIZACION (PAI - COVID 19)",IF(P175=#REF!,"ATENCION INTEGRAL EN ENFERMEDADES PREVALENTES EN PRIMERA INFANCIA (AIEPI)",IF(P175=#REF!,"ADMINISTRACION DE MEDICAMENTOS, INYECTOLOGIA  Y CANALIZACION ",IF(P175=#REF!,"OPERADOR DE VEHICULOS DE EMERGENCIA (OVE)",IF(P175=#REF!,"INSTITUCIONES AMIGAS DE LA MUJER Y LA INFANCIA (IAMI)",IF(P175=#REF!,"CUIDADO DEL DONANTE DE ORGANOS",IF(P175=#REF!,"ATENCION A VICTIMAS POR VIOLENCIA DE GENERO",IF(P175=#REF!,"IGUALDAD DE GENERO EN LA SALUD",IF(P175=#REF!,"BRIGADA DE EMERGENCIA",IF(P175=#REF!,"MANEJO DEL DOLOR Y CUIDADOS PALIATIVOS",IF(P175=#REF!,"TOMA DE MUESTRAS Y LABORATORIO POCT",IF(P175=#REF!,"IMPLANTE SUBDERMICO DE DISPOSITIVO INTRAUTERINO",IF(P175=#REF!,"SALUD MENTAL",IF(P175=#REF!,"PRIMEROS AUXILIOS PSICOLOGICOS",IF(P175=#REF!,"ATENCION A VICTIMAS POR CONFLICTO ARMADO",IF(P175=#REF!,"MANIPULACION DE ALIMENTOS Y BPM",IF(P175=#REF!,"ATENCION A PERSONAS CON DISCAPACIDAD",IF(P175=#REF!,"CUIDADO INTEGRAL DEL PACIENTE ADULTO",IF(P175=#REF!,"MANEJO DEFENSIVO",IF(P175=#REF!,"SOPORTE CARDIOVASCULAR AVANZADO NEONATAL",IF(P175=#REF!,"SEGURIDAD DEL PACIENTE",IF(P175=#REF!,"MANEJO DE RESIDUOS HOSPITALARIOS"))))))))))))))))))))))))))))))))))))</f>
        <v>#REF!</v>
      </c>
      <c r="W175" s="25" t="str">
        <f t="shared" si="14"/>
        <v>Diana Lucia Muñoz Gomez</v>
      </c>
      <c r="X175" s="25" t="str">
        <f t="shared" si="15"/>
        <v>Diana Lucia Muñoz Gomez</v>
      </c>
      <c r="Y175" s="69" t="str">
        <f t="shared" si="16"/>
        <v>Diana Lucia Muñoz Gomez-1004630559-ADMON DE MEDICAMENTOS</v>
      </c>
    </row>
    <row r="176" spans="1:25" x14ac:dyDescent="0.2">
      <c r="A176" s="28">
        <v>175</v>
      </c>
      <c r="B176" s="20">
        <v>1004624113</v>
      </c>
      <c r="C176" s="20" t="s">
        <v>211</v>
      </c>
      <c r="D176" s="20" t="s">
        <v>370</v>
      </c>
      <c r="E176" s="20" t="s">
        <v>371</v>
      </c>
      <c r="F176" s="20" t="s">
        <v>372</v>
      </c>
      <c r="G176" s="20">
        <v>24</v>
      </c>
      <c r="H176" s="20" t="s">
        <v>56</v>
      </c>
      <c r="I176" s="21" t="s">
        <v>47</v>
      </c>
      <c r="J176" s="21"/>
      <c r="K176" s="22" t="s">
        <v>417</v>
      </c>
      <c r="L176" s="40">
        <v>80000</v>
      </c>
      <c r="M176" s="20" t="s">
        <v>115</v>
      </c>
      <c r="N176" s="20" t="s">
        <v>57</v>
      </c>
      <c r="O176" s="20" t="s">
        <v>48</v>
      </c>
      <c r="P176" s="20" t="s">
        <v>29</v>
      </c>
      <c r="Q176" s="21">
        <v>37279</v>
      </c>
      <c r="R176" s="20" t="s">
        <v>49</v>
      </c>
      <c r="S176" s="54" t="s">
        <v>323</v>
      </c>
      <c r="T176" s="20">
        <v>3165022359</v>
      </c>
      <c r="U176" s="20" t="s">
        <v>373</v>
      </c>
      <c r="V176" s="25" t="e">
        <f>IF(P176=#REF!,"DIPLOMADO EN ATENCION PRE-HOSPITALARIA",IF(P176=#REF!,"ACOMPAÑAMIENTO Y MANEJO DEL DUELO",IF(P176=#REF!,"ATENCION A VICTIMAS DE ATAQUE CON AGENTES QUIMICOS ",IF(P176=#REF!,"PRIMEROS AUXILIOS ",IF(P176=#REF!,"DIPLOMADO DE UNIDAD DE CUIDADOS INTENSIVOS (UCI)",IF(P176=#REF!,"MODELO DE ATENCION PARA EVENTOS EMERGENTES EN SALUD MENTAL (CODIGO VERDE)",IF(P176=#REF!,"HUMANIZACION EN EL SERVICIO DE LA SALUD Y BUENAS PRACTICAS EN PACIENTE ",IF(P176=#REF!,"CLINICA DE HERIDAS ",IF(P176=#REF!,"TOMA DE CITOLOGIA CERVICO VAGINAL ",IF(P176=#REF!,"SOPORTE CARDIOVASCULAR AVANZADO (ACLS) ",IF(P176=#REF!,"CAMILLERO ",IF(P176=#REF!,"TOMA DE MUESTRAS Y LABORATORIO ",IF(P176=#REF!,"SOPORTE VITAL BASICO (BLS)",IF(P176=#REF!,"ATENCION A VICTIMAS DE VIOLENCIA SEXUAL ",IF(P176=#REF!,"PROGRAMADO AMPLIADO DE INMUNIZACION (PAI - COVID 19)",IF(P176=#REF!,"ATENCION INTEGRAL EN ENFERMEDADES PREVALENTES EN PRIMERA INFANCIA (AIEPI)",IF(P176=#REF!,"ADMINISTRACION DE MEDICAMENTOS, INYECTOLOGIA  Y CANALIZACION ",IF(P176=#REF!,"OPERADOR DE VEHICULOS DE EMERGENCIA (OVE)",IF(P176=#REF!,"INSTITUCIONES AMIGAS DE LA MUJER Y LA INFANCIA (IAMI)",IF(P176=#REF!,"CUIDADO DEL DONANTE DE ORGANOS",IF(P176=#REF!,"ATENCION A VICTIMAS POR VIOLENCIA DE GENERO",IF(P176=#REF!,"IGUALDAD DE GENERO EN LA SALUD",IF(P176=#REF!,"BRIGADA DE EMERGENCIA",IF(P176=#REF!,"MANEJO DEL DOLOR Y CUIDADOS PALIATIVOS",IF(P176=#REF!,"TOMA DE MUESTRAS Y LABORATORIO POCT",IF(P176=#REF!,"IMPLANTE SUBDERMICO DE DISPOSITIVO INTRAUTERINO",IF(P176=#REF!,"SALUD MENTAL",IF(P176=#REF!,"PRIMEROS AUXILIOS PSICOLOGICOS",IF(P176=#REF!,"ATENCION A VICTIMAS POR CONFLICTO ARMADO",IF(P176=#REF!,"MANIPULACION DE ALIMENTOS Y BPM",IF(P176=#REF!,"ATENCION A PERSONAS CON DISCAPACIDAD",IF(P176=#REF!,"CUIDADO INTEGRAL DEL PACIENTE ADULTO",IF(P176=#REF!,"MANEJO DEFENSIVO",IF(P176=#REF!,"SOPORTE CARDIOVASCULAR AVANZADO NEONATAL",IF(P176=#REF!,"SEGURIDAD DEL PACIENTE",IF(P176=#REF!,"MANEJO DE RESIDUOS HOSPITALARIOS"))))))))))))))))))))))))))))))))))))</f>
        <v>#REF!</v>
      </c>
      <c r="W176" s="25" t="str">
        <f t="shared" si="14"/>
        <v>Gina Vanessa Diaz Pantoja</v>
      </c>
      <c r="X176" s="25" t="str">
        <f t="shared" si="15"/>
        <v>Gina Vanessa Diaz Pantoja</v>
      </c>
      <c r="Y176" s="69" t="str">
        <f t="shared" si="16"/>
        <v>Gina Vanessa Diaz Pantoja-1004624113-ADMON DE MEDICAMENTOS</v>
      </c>
    </row>
    <row r="177" spans="1:25" x14ac:dyDescent="0.2">
      <c r="A177" s="19">
        <v>176</v>
      </c>
      <c r="B177" s="20">
        <v>1004133930</v>
      </c>
      <c r="C177" s="20" t="s">
        <v>339</v>
      </c>
      <c r="D177" s="20" t="s">
        <v>340</v>
      </c>
      <c r="E177" s="20" t="s">
        <v>293</v>
      </c>
      <c r="F177" s="20" t="s">
        <v>168</v>
      </c>
      <c r="G177" s="20">
        <v>22</v>
      </c>
      <c r="H177" s="20" t="s">
        <v>56</v>
      </c>
      <c r="I177" s="21" t="s">
        <v>47</v>
      </c>
      <c r="J177" s="21" t="s">
        <v>363</v>
      </c>
      <c r="K177" s="22">
        <v>45712</v>
      </c>
      <c r="L177" s="40">
        <v>35000</v>
      </c>
      <c r="M177" s="20" t="s">
        <v>141</v>
      </c>
      <c r="N177" s="20" t="s">
        <v>57</v>
      </c>
      <c r="O177" s="20" t="s">
        <v>48</v>
      </c>
      <c r="P177" s="20" t="s">
        <v>29</v>
      </c>
      <c r="Q177" s="21">
        <v>36650</v>
      </c>
      <c r="R177" s="20" t="s">
        <v>85</v>
      </c>
      <c r="S177" s="20" t="s">
        <v>333</v>
      </c>
      <c r="T177" s="20">
        <v>3176628832</v>
      </c>
      <c r="U177" s="20" t="s">
        <v>341</v>
      </c>
      <c r="V177" s="25" t="e">
        <f>IF(P177=#REF!,"DIPLOMADO EN ATENCION PRE-HOSPITALARIA",IF(P177=#REF!,"ACOMPAÑAMIENTO Y MANEJO DEL DUELO",IF(P177=#REF!,"ATENCION A VICTIMAS DE ATAQUE CON AGENTES QUIMICOS ",IF(P177=#REF!,"PRIMEROS AUXILIOS ",IF(P177=#REF!,"DIPLOMADO DE UNIDAD DE CUIDADOS INTENSIVOS (UCI)",IF(P177=#REF!,"MODELO DE ATENCION PARA EVENTOS EMERGENTES EN SALUD MENTAL (CODIGO VERDE)",IF(P177=#REF!,"HUMANIZACION EN EL SERVICIO DE LA SALUD Y BUENAS PRACTICAS EN PACIENTE ",IF(P177=#REF!,"CLINICA DE HERIDAS ",IF(P177=#REF!,"TOMA DE CITOLOGIA CERVICO VAGINAL ",IF(P177=#REF!,"SOPORTE CARDIOVASCULAR AVANZADO (ACLS) ",IF(P177=#REF!,"CAMILLERO ",IF(P177=#REF!,"TOMA DE MUESTRAS Y LABORATORIO ",IF(P177=#REF!,"SOPORTE VITAL BASICO (BLS)",IF(P177=#REF!,"ATENCION A VICTIMAS DE VIOLENCIA SEXUAL ",IF(P177=#REF!,"PROGRAMADO AMPLIADO DE INMUNIZACION (PAI - COVID 19)",IF(P177=#REF!,"ATENCION INTEGRAL EN ENFERMEDADES PREVALENTES EN PRIMERA INFANCIA (AIEPI)",IF(P177=#REF!,"ADMINISTRACION DE MEDICAMENTOS, INYECTOLOGIA  Y CANALIZACION ",IF(P177=#REF!,"OPERADOR DE VEHICULOS DE EMERGENCIA (OVE)",IF(P177=#REF!,"INSTITUCIONES AMIGAS DE LA MUJER Y LA INFANCIA (IAMI)",IF(P177=#REF!,"CUIDADO DEL DONANTE DE ORGANOS",IF(P177=#REF!,"ATENCION A VICTIMAS POR VIOLENCIA DE GENERO",IF(P177=#REF!,"IGUALDAD DE GENERO EN LA SALUD",IF(P177=#REF!,"BRIGADA DE EMERGENCIA",IF(P177=#REF!,"MANEJO DEL DOLOR Y CUIDADOS PALIATIVOS",IF(P177=#REF!,"TOMA DE MUESTRAS Y LABORATORIO POCT",IF(P177=#REF!,"IMPLANTE SUBDERMICO DE DISPOSITIVO INTRAUTERINO",IF(P177=#REF!,"SALUD MENTAL",IF(P177=#REF!,"PRIMEROS AUXILIOS PSICOLOGICOS",IF(P177=#REF!,"ATENCION A VICTIMAS POR CONFLICTO ARMADO",IF(P177=#REF!,"MANIPULACION DE ALIMENTOS Y BPM",IF(P177=#REF!,"ATENCION A PERSONAS CON DISCAPACIDAD",IF(P177=#REF!,"CUIDADO INTEGRAL DEL PACIENTE ADULTO",IF(P177=#REF!,"MANEJO DEFENSIVO",IF(P177=#REF!,"SOPORTE CARDIOVASCULAR AVANZADO NEONATAL",IF(P177=#REF!,"SEGURIDAD DEL PACIENTE",IF(P177=#REF!,"MANEJO DE RESIDUOS HOSPITALARIOS"))))))))))))))))))))))))))))))))))))</f>
        <v>#REF!</v>
      </c>
      <c r="W177" s="25" t="str">
        <f t="shared" si="14"/>
        <v>Andres Mauricio Barrero Perez</v>
      </c>
      <c r="X177" s="25" t="str">
        <f t="shared" si="15"/>
        <v>Andres Mauricio Barrero Perez</v>
      </c>
      <c r="Y177" s="69" t="str">
        <f t="shared" si="16"/>
        <v>Andres Mauricio Barrero Perez-1004133930-ADMON DE MEDICAMENTOS</v>
      </c>
    </row>
    <row r="178" spans="1:25" x14ac:dyDescent="0.2">
      <c r="A178" s="19">
        <v>177</v>
      </c>
      <c r="B178" s="20">
        <v>1193458385</v>
      </c>
      <c r="C178" s="20" t="s">
        <v>285</v>
      </c>
      <c r="D178" s="20" t="s">
        <v>335</v>
      </c>
      <c r="E178" s="20" t="s">
        <v>336</v>
      </c>
      <c r="F178" s="20" t="s">
        <v>337</v>
      </c>
      <c r="G178" s="20">
        <v>22</v>
      </c>
      <c r="H178" s="20" t="s">
        <v>56</v>
      </c>
      <c r="I178" s="21" t="s">
        <v>47</v>
      </c>
      <c r="J178" s="21" t="s">
        <v>363</v>
      </c>
      <c r="K178" s="22">
        <v>45712</v>
      </c>
      <c r="L178" s="40">
        <v>35000</v>
      </c>
      <c r="M178" s="20" t="s">
        <v>141</v>
      </c>
      <c r="N178" s="20" t="s">
        <v>57</v>
      </c>
      <c r="O178" s="20" t="s">
        <v>48</v>
      </c>
      <c r="P178" s="20" t="s">
        <v>29</v>
      </c>
      <c r="Q178" s="21">
        <v>37127</v>
      </c>
      <c r="R178" s="20" t="s">
        <v>85</v>
      </c>
      <c r="S178" s="24" t="s">
        <v>333</v>
      </c>
      <c r="T178" s="20">
        <v>3206539389</v>
      </c>
      <c r="U178" s="20" t="s">
        <v>338</v>
      </c>
      <c r="V178" s="25" t="e">
        <f>IF(P178=#REF!,"DIPLOMADO EN ATENCION PRE-HOSPITALARIA",IF(P178=#REF!,"ACOMPAÑAMIENTO Y MANEJO DEL DUELO",IF(P178=#REF!,"ATENCION A VICTIMAS DE ATAQUE CON AGENTES QUIMICOS ",IF(P178=#REF!,"PRIMEROS AUXILIOS ",IF(P178=#REF!,"DIPLOMADO DE UNIDAD DE CUIDADOS INTENSIVOS (UCI)",IF(P178=#REF!,"MODELO DE ATENCION PARA EVENTOS EMERGENTES EN SALUD MENTAL (CODIGO VERDE)",IF(P178=#REF!,"HUMANIZACION EN EL SERVICIO DE LA SALUD Y BUENAS PRACTICAS EN PACIENTE ",IF(P178=#REF!,"CLINICA DE HERIDAS ",IF(P178=#REF!,"TOMA DE CITOLOGIA CERVICO VAGINAL ",IF(P178=#REF!,"SOPORTE CARDIOVASCULAR AVANZADO (ACLS) ",IF(P178=#REF!,"CAMILLERO ",IF(P178=#REF!,"TOMA DE MUESTRAS Y LABORATORIO ",IF(P178=#REF!,"SOPORTE VITAL BASICO (BLS)",IF(P178=#REF!,"ATENCION A VICTIMAS DE VIOLENCIA SEXUAL ",IF(P178=#REF!,"PROGRAMADO AMPLIADO DE INMUNIZACION (PAI - COVID 19)",IF(P178=#REF!,"ATENCION INTEGRAL EN ENFERMEDADES PREVALENTES EN PRIMERA INFANCIA (AIEPI)",IF(P178=#REF!,"ADMINISTRACION DE MEDICAMENTOS, INYECTOLOGIA  Y CANALIZACION ",IF(P178=#REF!,"OPERADOR DE VEHICULOS DE EMERGENCIA (OVE)",IF(P178=#REF!,"INSTITUCIONES AMIGAS DE LA MUJER Y LA INFANCIA (IAMI)",IF(P178=#REF!,"CUIDADO DEL DONANTE DE ORGANOS",IF(P178=#REF!,"ATENCION A VICTIMAS POR VIOLENCIA DE GENERO",IF(P178=#REF!,"IGUALDAD DE GENERO EN LA SALUD",IF(P178=#REF!,"BRIGADA DE EMERGENCIA",IF(P178=#REF!,"MANEJO DEL DOLOR Y CUIDADOS PALIATIVOS",IF(P178=#REF!,"TOMA DE MUESTRAS Y LABORATORIO POCT",IF(P178=#REF!,"IMPLANTE SUBDERMICO DE DISPOSITIVO INTRAUTERINO",IF(P178=#REF!,"SALUD MENTAL",IF(P178=#REF!,"PRIMEROS AUXILIOS PSICOLOGICOS",IF(P178=#REF!,"ATENCION A VICTIMAS POR CONFLICTO ARMADO",IF(P178=#REF!,"MANIPULACION DE ALIMENTOS Y BPM",IF(P178=#REF!,"ATENCION A PERSONAS CON DISCAPACIDAD",IF(P178=#REF!,"CUIDADO INTEGRAL DEL PACIENTE ADULTO",IF(P178=#REF!,"MANEJO DEFENSIVO",IF(P178=#REF!,"SOPORTE CARDIOVASCULAR AVANZADO NEONATAL",IF(P178=#REF!,"SEGURIDAD DEL PACIENTE",IF(P178=#REF!,"MANEJO DE RESIDUOS HOSPITALARIOS"))))))))))))))))))))))))))))))))))))</f>
        <v>#REF!</v>
      </c>
      <c r="W178" s="25" t="str">
        <f t="shared" si="14"/>
        <v>Julian Esteban Revelo Enriquez</v>
      </c>
      <c r="X178" s="25" t="str">
        <f t="shared" si="15"/>
        <v>Julian Esteban Revelo Enriquez</v>
      </c>
      <c r="Y178" s="69" t="str">
        <f t="shared" si="16"/>
        <v>Julian Esteban Revelo Enriquez-1193458385-ADMON DE MEDICAMENTOS</v>
      </c>
    </row>
    <row r="179" spans="1:25" x14ac:dyDescent="0.2">
      <c r="A179" s="19">
        <v>178</v>
      </c>
      <c r="B179" s="20">
        <v>98345037</v>
      </c>
      <c r="C179" s="20" t="s">
        <v>374</v>
      </c>
      <c r="D179" s="20" t="s">
        <v>375</v>
      </c>
      <c r="E179" s="20" t="s">
        <v>376</v>
      </c>
      <c r="F179" s="20" t="s">
        <v>377</v>
      </c>
      <c r="G179" s="20">
        <v>24</v>
      </c>
      <c r="H179" s="20" t="s">
        <v>56</v>
      </c>
      <c r="I179" s="21" t="s">
        <v>72</v>
      </c>
      <c r="J179" s="21" t="s">
        <v>279</v>
      </c>
      <c r="K179" s="22">
        <v>45712</v>
      </c>
      <c r="L179" s="40">
        <v>35000</v>
      </c>
      <c r="M179" s="20" t="s">
        <v>90</v>
      </c>
      <c r="N179" s="20" t="s">
        <v>57</v>
      </c>
      <c r="O179" s="20" t="s">
        <v>48</v>
      </c>
      <c r="P179" s="20" t="s">
        <v>21</v>
      </c>
      <c r="Q179" s="21">
        <v>23795</v>
      </c>
      <c r="R179" s="20" t="s">
        <v>85</v>
      </c>
      <c r="S179" s="20" t="s">
        <v>74</v>
      </c>
      <c r="T179" s="20">
        <v>3233001362</v>
      </c>
      <c r="U179" s="20" t="s">
        <v>378</v>
      </c>
      <c r="V179" s="25" t="e">
        <f>IF(P179=#REF!,"DIPLOMADO EN ATENCION PRE-HOSPITALARIA",IF(P179=#REF!,"ACOMPAÑAMIENTO Y MANEJO DEL DUELO",IF(P179=#REF!,"ATENCION A VICTIMAS DE ATAQUE CON AGENTES QUIMICOS ",IF(P179=#REF!,"PRIMEROS AUXILIOS ",IF(P179=#REF!,"DIPLOMADO DE UNIDAD DE CUIDADOS INTENSIVOS (UCI)",IF(P179=#REF!,"MODELO DE ATENCION PARA EVENTOS EMERGENTES EN SALUD MENTAL (CODIGO VERDE)",IF(P179=#REF!,"HUMANIZACION EN EL SERVICIO DE LA SALUD Y BUENAS PRACTICAS EN PACIENTE ",IF(P179=#REF!,"CLINICA DE HERIDAS ",IF(P179=#REF!,"TOMA DE CITOLOGIA CERVICO VAGINAL ",IF(P179=#REF!,"SOPORTE CARDIOVASCULAR AVANZADO (ACLS) ",IF(P179=#REF!,"CAMILLERO ",IF(P179=#REF!,"TOMA DE MUESTRAS Y LABORATORIO ",IF(P179=#REF!,"SOPORTE VITAL BASICO (BLS)",IF(P179=#REF!,"ATENCION A VICTIMAS DE VIOLENCIA SEXUAL ",IF(P179=#REF!,"PROGRAMADO AMPLIADO DE INMUNIZACION (PAI - COVID 19)",IF(P179=#REF!,"ATENCION INTEGRAL EN ENFERMEDADES PREVALENTES EN PRIMERA INFANCIA (AIEPI)",IF(P179=#REF!,"ADMINISTRACION DE MEDICAMENTOS, INYECTOLOGIA  Y CANALIZACION ",IF(P179=#REF!,"OPERADOR DE VEHICULOS DE EMERGENCIA (OVE)",IF(P179=#REF!,"INSTITUCIONES AMIGAS DE LA MUJER Y LA INFANCIA (IAMI)",IF(P179=#REF!,"CUIDADO DEL DONANTE DE ORGANOS",IF(P179=#REF!,"ATENCION A VICTIMAS POR VIOLENCIA DE GENERO",IF(P179=#REF!,"IGUALDAD DE GENERO EN LA SALUD",IF(P179=#REF!,"BRIGADA DE EMERGENCIA",IF(P179=#REF!,"MANEJO DEL DOLOR Y CUIDADOS PALIATIVOS",IF(P179=#REF!,"TOMA DE MUESTRAS Y LABORATORIO POCT",IF(P179=#REF!,"IMPLANTE SUBDERMICO DE DISPOSITIVO INTRAUTERINO",IF(P179=#REF!,"SALUD MENTAL",IF(P179=#REF!,"PRIMEROS AUXILIOS PSICOLOGICOS",IF(P179=#REF!,"ATENCION A VICTIMAS POR CONFLICTO ARMADO",IF(P179=#REF!,"MANIPULACION DE ALIMENTOS Y BPM",IF(P179=#REF!,"ATENCION A PERSONAS CON DISCAPACIDAD",IF(P179=#REF!,"CUIDADO INTEGRAL DEL PACIENTE ADULTO",IF(P179=#REF!,"MANEJO DEFENSIVO",IF(P179=#REF!,"SOPORTE CARDIOVASCULAR AVANZADO NEONATAL",IF(P179=#REF!,"SEGURIDAD DEL PACIENTE",IF(P179=#REF!,"MANEJO DE RESIDUOS HOSPITALARIOS"))))))))))))))))))))))))))))))))))))</f>
        <v>#REF!</v>
      </c>
      <c r="W179" s="25" t="str">
        <f t="shared" si="14"/>
        <v>Hugo Hernan Burbano Sotelo</v>
      </c>
      <c r="X179" s="25" t="str">
        <f t="shared" si="15"/>
        <v>Hugo Hernan Burbano Sotelo</v>
      </c>
      <c r="Y179" s="69" t="str">
        <f t="shared" si="16"/>
        <v>Hugo Hernan Burbano Sotelo-98345037-QUIMICOS</v>
      </c>
    </row>
    <row r="180" spans="1:25" x14ac:dyDescent="0.2">
      <c r="A180" s="19">
        <v>179</v>
      </c>
      <c r="B180" s="20">
        <v>98345037</v>
      </c>
      <c r="C180" s="20" t="s">
        <v>374</v>
      </c>
      <c r="D180" s="20" t="s">
        <v>375</v>
      </c>
      <c r="E180" s="20" t="s">
        <v>376</v>
      </c>
      <c r="F180" s="20" t="s">
        <v>377</v>
      </c>
      <c r="G180" s="20">
        <v>22</v>
      </c>
      <c r="H180" s="20" t="s">
        <v>56</v>
      </c>
      <c r="I180" s="21" t="s">
        <v>72</v>
      </c>
      <c r="J180" s="21" t="s">
        <v>279</v>
      </c>
      <c r="K180" s="22">
        <v>45712</v>
      </c>
      <c r="L180" s="40">
        <v>35000</v>
      </c>
      <c r="M180" s="20" t="s">
        <v>90</v>
      </c>
      <c r="N180" s="20" t="s">
        <v>57</v>
      </c>
      <c r="O180" s="20" t="s">
        <v>48</v>
      </c>
      <c r="P180" s="20" t="s">
        <v>27</v>
      </c>
      <c r="Q180" s="21">
        <v>23795</v>
      </c>
      <c r="R180" s="20" t="s">
        <v>85</v>
      </c>
      <c r="S180" s="20" t="s">
        <v>74</v>
      </c>
      <c r="T180" s="20">
        <v>3233001362</v>
      </c>
      <c r="U180" s="20" t="s">
        <v>378</v>
      </c>
      <c r="V180" s="25" t="e">
        <f>IF(P180=#REF!,"DIPLOMADO EN ATENCION PRE-HOSPITALARIA",IF(P180=#REF!,"ACOMPAÑAMIENTO Y MANEJO DEL DUELO",IF(P180=#REF!,"ATENCION A VICTIMAS DE ATAQUE CON AGENTES QUIMICOS ",IF(P180=#REF!,"PRIMEROS AUXILIOS ",IF(P180=#REF!,"DIPLOMADO DE UNIDAD DE CUIDADOS INTENSIVOS (UCI)",IF(P180=#REF!,"MODELO DE ATENCION PARA EVENTOS EMERGENTES EN SALUD MENTAL (CODIGO VERDE)",IF(P180=#REF!,"HUMANIZACION EN EL SERVICIO DE LA SALUD Y BUENAS PRACTICAS EN PACIENTE ",IF(P180=#REF!,"CLINICA DE HERIDAS ",IF(P180=#REF!,"TOMA DE CITOLOGIA CERVICO VAGINAL ",IF(P180=#REF!,"SOPORTE CARDIOVASCULAR AVANZADO (ACLS) ",IF(P180=#REF!,"CAMILLERO ",IF(P180=#REF!,"TOMA DE MUESTRAS Y LABORATORIO ",IF(P180=#REF!,"SOPORTE VITAL BASICO (BLS)",IF(P180=#REF!,"ATENCION A VICTIMAS DE VIOLENCIA SEXUAL ",IF(P180=#REF!,"PROGRAMADO AMPLIADO DE INMUNIZACION (PAI - COVID 19)",IF(P180=#REF!,"ATENCION INTEGRAL EN ENFERMEDADES PREVALENTES EN PRIMERA INFANCIA (AIEPI)",IF(P180=#REF!,"ADMINISTRACION DE MEDICAMENTOS, INYECTOLOGIA  Y CANALIZACION ",IF(P180=#REF!,"OPERADOR DE VEHICULOS DE EMERGENCIA (OVE)",IF(P180=#REF!,"INSTITUCIONES AMIGAS DE LA MUJER Y LA INFANCIA (IAMI)",IF(P180=#REF!,"CUIDADO DEL DONANTE DE ORGANOS",IF(P180=#REF!,"ATENCION A VICTIMAS POR VIOLENCIA DE GENERO",IF(P180=#REF!,"IGUALDAD DE GENERO EN LA SALUD",IF(P180=#REF!,"BRIGADA DE EMERGENCIA",IF(P180=#REF!,"MANEJO DEL DOLOR Y CUIDADOS PALIATIVOS",IF(P180=#REF!,"TOMA DE MUESTRAS Y LABORATORIO POCT",IF(P180=#REF!,"IMPLANTE SUBDERMICO DE DISPOSITIVO INTRAUTERINO",IF(P180=#REF!,"SALUD MENTAL",IF(P180=#REF!,"PRIMEROS AUXILIOS PSICOLOGICOS",IF(P180=#REF!,"ATENCION A VICTIMAS POR CONFLICTO ARMADO",IF(P180=#REF!,"MANIPULACION DE ALIMENTOS Y BPM",IF(P180=#REF!,"ATENCION A PERSONAS CON DISCAPACIDAD",IF(P180=#REF!,"CUIDADO INTEGRAL DEL PACIENTE ADULTO",IF(P180=#REF!,"MANEJO DEFENSIVO",IF(P180=#REF!,"SOPORTE CARDIOVASCULAR AVANZADO NEONATAL",IF(P180=#REF!,"SEGURIDAD DEL PACIENTE",IF(P180=#REF!,"MANEJO DE RESIDUOS HOSPITALARIOS"))))))))))))))))))))))))))))))))))))</f>
        <v>#REF!</v>
      </c>
      <c r="W180" s="25" t="str">
        <f t="shared" si="14"/>
        <v>Hugo Hernan Burbano Sotelo</v>
      </c>
      <c r="X180" s="25" t="str">
        <f t="shared" si="15"/>
        <v>Hugo Hernan Burbano Sotelo</v>
      </c>
      <c r="Y180" s="69" t="str">
        <f t="shared" si="16"/>
        <v>Hugo Hernan Burbano Sotelo-98345037-VIOLENCIA SEXUAL</v>
      </c>
    </row>
    <row r="181" spans="1:25" x14ac:dyDescent="0.2">
      <c r="A181" s="19">
        <v>180</v>
      </c>
      <c r="B181" s="20">
        <v>1087408219</v>
      </c>
      <c r="C181" s="20" t="s">
        <v>75</v>
      </c>
      <c r="D181" s="20" t="s">
        <v>128</v>
      </c>
      <c r="E181" s="20" t="s">
        <v>322</v>
      </c>
      <c r="F181" s="20"/>
      <c r="G181" s="20">
        <v>24</v>
      </c>
      <c r="H181" s="20" t="s">
        <v>56</v>
      </c>
      <c r="I181" s="21" t="s">
        <v>47</v>
      </c>
      <c r="J181" s="21"/>
      <c r="K181" s="22">
        <v>45708</v>
      </c>
      <c r="L181" s="40">
        <v>70000</v>
      </c>
      <c r="M181" s="20" t="s">
        <v>61</v>
      </c>
      <c r="N181" s="20" t="s">
        <v>57</v>
      </c>
      <c r="O181" s="20" t="s">
        <v>48</v>
      </c>
      <c r="P181" s="20" t="s">
        <v>29</v>
      </c>
      <c r="Q181" s="21">
        <v>36797</v>
      </c>
      <c r="R181" s="20" t="s">
        <v>49</v>
      </c>
      <c r="S181" s="20" t="s">
        <v>74</v>
      </c>
      <c r="T181" s="20">
        <v>3175813240</v>
      </c>
      <c r="U181" s="20" t="s">
        <v>379</v>
      </c>
      <c r="V181" s="25" t="e">
        <f>IF(P181=#REF!,"DIPLOMADO EN ATENCION PRE-HOSPITALARIA",IF(P181=#REF!,"ACOMPAÑAMIENTO Y MANEJO DEL DUELO",IF(P181=#REF!,"ATENCION A VICTIMAS DE ATAQUE CON AGENTES QUIMICOS ",IF(P181=#REF!,"PRIMEROS AUXILIOS ",IF(P181=#REF!,"DIPLOMADO DE UNIDAD DE CUIDADOS INTENSIVOS (UCI)",IF(P181=#REF!,"MODELO DE ATENCION PARA EVENTOS EMERGENTES EN SALUD MENTAL (CODIGO VERDE)",IF(P181=#REF!,"HUMANIZACION EN EL SERVICIO DE LA SALUD Y BUENAS PRACTICAS EN PACIENTE ",IF(P181=#REF!,"CLINICA DE HERIDAS ",IF(P181=#REF!,"TOMA DE CITOLOGIA CERVICO VAGINAL ",IF(P181=#REF!,"SOPORTE CARDIOVASCULAR AVANZADO (ACLS) ",IF(P181=#REF!,"CAMILLERO ",IF(P181=#REF!,"TOMA DE MUESTRAS Y LABORATORIO ",IF(P181=#REF!,"SOPORTE VITAL BASICO (BLS)",IF(P181=#REF!,"ATENCION A VICTIMAS DE VIOLENCIA SEXUAL ",IF(P181=#REF!,"PROGRAMADO AMPLIADO DE INMUNIZACION (PAI - COVID 19)",IF(P181=#REF!,"ATENCION INTEGRAL EN ENFERMEDADES PREVALENTES EN PRIMERA INFANCIA (AIEPI)",IF(P181=#REF!,"ADMINISTRACION DE MEDICAMENTOS, INYECTOLOGIA  Y CANALIZACION ",IF(P181=#REF!,"OPERADOR DE VEHICULOS DE EMERGENCIA (OVE)",IF(P181=#REF!,"INSTITUCIONES AMIGAS DE LA MUJER Y LA INFANCIA (IAMI)",IF(P181=#REF!,"CUIDADO DEL DONANTE DE ORGANOS",IF(P181=#REF!,"ATENCION A VICTIMAS POR VIOLENCIA DE GENERO",IF(P181=#REF!,"IGUALDAD DE GENERO EN LA SALUD",IF(P181=#REF!,"BRIGADA DE EMERGENCIA",IF(P181=#REF!,"MANEJO DEL DOLOR Y CUIDADOS PALIATIVOS",IF(P181=#REF!,"TOMA DE MUESTRAS Y LABORATORIO POCT",IF(P181=#REF!,"IMPLANTE SUBDERMICO DE DISPOSITIVO INTRAUTERINO",IF(P181=#REF!,"SALUD MENTAL",IF(P181=#REF!,"PRIMEROS AUXILIOS PSICOLOGICOS",IF(P181=#REF!,"ATENCION A VICTIMAS POR CONFLICTO ARMADO",IF(P181=#REF!,"MANIPULACION DE ALIMENTOS Y BPM",IF(P181=#REF!,"ATENCION A PERSONAS CON DISCAPACIDAD",IF(P181=#REF!,"CUIDADO INTEGRAL DEL PACIENTE ADULTO",IF(P181=#REF!,"MANEJO DEFENSIVO",IF(P181=#REF!,"SOPORTE CARDIOVASCULAR AVANZADO NEONATAL",IF(P181=#REF!,"SEGURIDAD DEL PACIENTE",IF(P181=#REF!,"MANEJO DE RESIDUOS HOSPITALARIOS"))))))))))))))))))))))))))))))))))))</f>
        <v>#REF!</v>
      </c>
      <c r="W181" s="25" t="str">
        <f t="shared" si="14"/>
        <v>Daniela  Narvaez Delgado</v>
      </c>
      <c r="X181" s="25" t="str">
        <f t="shared" si="15"/>
        <v>Daniela  Narvaez Delgado</v>
      </c>
      <c r="Y181" s="69" t="str">
        <f t="shared" si="16"/>
        <v>Daniela  Narvaez Delgado-1087408219-ADMON DE MEDICAMENTOS</v>
      </c>
    </row>
    <row r="182" spans="1:25" x14ac:dyDescent="0.2">
      <c r="A182" s="19">
        <v>181</v>
      </c>
      <c r="B182" s="20">
        <v>1085259976</v>
      </c>
      <c r="C182" s="20" t="s">
        <v>380</v>
      </c>
      <c r="D182" s="20" t="s">
        <v>68</v>
      </c>
      <c r="E182" s="20" t="s">
        <v>381</v>
      </c>
      <c r="F182" s="20" t="s">
        <v>139</v>
      </c>
      <c r="G182" s="20">
        <v>24</v>
      </c>
      <c r="H182" s="20" t="s">
        <v>56</v>
      </c>
      <c r="I182" s="21" t="s">
        <v>72</v>
      </c>
      <c r="J182" s="21" t="s">
        <v>279</v>
      </c>
      <c r="K182" s="22">
        <v>45712</v>
      </c>
      <c r="L182" s="40">
        <v>30000</v>
      </c>
      <c r="M182" s="20" t="s">
        <v>90</v>
      </c>
      <c r="N182" s="20" t="s">
        <v>57</v>
      </c>
      <c r="O182" s="20" t="s">
        <v>48</v>
      </c>
      <c r="P182" s="20" t="s">
        <v>27</v>
      </c>
      <c r="Q182" s="21">
        <v>31927</v>
      </c>
      <c r="R182" s="20" t="s">
        <v>49</v>
      </c>
      <c r="S182" s="54" t="s">
        <v>323</v>
      </c>
      <c r="T182" s="20">
        <v>3183784092</v>
      </c>
      <c r="U182" s="27" t="s">
        <v>382</v>
      </c>
      <c r="V182" s="25" t="e">
        <f>IF(P182=#REF!,"DIPLOMADO EN ATENCION PRE-HOSPITALARIA",IF(P182=#REF!,"ACOMPAÑAMIENTO Y MANEJO DEL DUELO",IF(P182=#REF!,"ATENCION A VICTIMAS DE ATAQUE CON AGENTES QUIMICOS ",IF(P182=#REF!,"PRIMEROS AUXILIOS ",IF(P182=#REF!,"DIPLOMADO DE UNIDAD DE CUIDADOS INTENSIVOS (UCI)",IF(P182=#REF!,"MODELO DE ATENCION PARA EVENTOS EMERGENTES EN SALUD MENTAL (CODIGO VERDE)",IF(P182=#REF!,"HUMANIZACION EN EL SERVICIO DE LA SALUD Y BUENAS PRACTICAS EN PACIENTE ",IF(P182=#REF!,"CLINICA DE HERIDAS ",IF(P182=#REF!,"TOMA DE CITOLOGIA CERVICO VAGINAL ",IF(P182=#REF!,"SOPORTE CARDIOVASCULAR AVANZADO (ACLS) ",IF(P182=#REF!,"CAMILLERO ",IF(P182=#REF!,"TOMA DE MUESTRAS Y LABORATORIO ",IF(P182=#REF!,"SOPORTE VITAL BASICO (BLS)",IF(P182=#REF!,"ATENCION A VICTIMAS DE VIOLENCIA SEXUAL ",IF(P182=#REF!,"PROGRAMADO AMPLIADO DE INMUNIZACION (PAI - COVID 19)",IF(P182=#REF!,"ATENCION INTEGRAL EN ENFERMEDADES PREVALENTES EN PRIMERA INFANCIA (AIEPI)",IF(P182=#REF!,"ADMINISTRACION DE MEDICAMENTOS, INYECTOLOGIA  Y CANALIZACION ",IF(P182=#REF!,"OPERADOR DE VEHICULOS DE EMERGENCIA (OVE)",IF(P182=#REF!,"INSTITUCIONES AMIGAS DE LA MUJER Y LA INFANCIA (IAMI)",IF(P182=#REF!,"CUIDADO DEL DONANTE DE ORGANOS",IF(P182=#REF!,"ATENCION A VICTIMAS POR VIOLENCIA DE GENERO",IF(P182=#REF!,"IGUALDAD DE GENERO EN LA SALUD",IF(P182=#REF!,"BRIGADA DE EMERGENCIA",IF(P182=#REF!,"MANEJO DEL DOLOR Y CUIDADOS PALIATIVOS",IF(P182=#REF!,"TOMA DE MUESTRAS Y LABORATORIO POCT",IF(P182=#REF!,"IMPLANTE SUBDERMICO DE DISPOSITIVO INTRAUTERINO",IF(P182=#REF!,"SALUD MENTAL",IF(P182=#REF!,"PRIMEROS AUXILIOS PSICOLOGICOS",IF(P182=#REF!,"ATENCION A VICTIMAS POR CONFLICTO ARMADO",IF(P182=#REF!,"MANIPULACION DE ALIMENTOS Y BPM",IF(P182=#REF!,"ATENCION A PERSONAS CON DISCAPACIDAD",IF(P182=#REF!,"CUIDADO INTEGRAL DEL PACIENTE ADULTO",IF(P182=#REF!,"MANEJO DEFENSIVO",IF(P182=#REF!,"SOPORTE CARDIOVASCULAR AVANZADO NEONATAL",IF(P182=#REF!,"SEGURIDAD DEL PACIENTE",IF(P182=#REF!,"MANEJO DE RESIDUOS HOSPITALARIOS"))))))))))))))))))))))))))))))))))))</f>
        <v>#REF!</v>
      </c>
      <c r="W182" s="25" t="str">
        <f t="shared" si="14"/>
        <v>Lady Johanna Fajardo Rodriguez</v>
      </c>
      <c r="X182" s="25" t="str">
        <f t="shared" si="15"/>
        <v>Lady Johanna Fajardo Rodriguez</v>
      </c>
      <c r="Y182" s="69" t="str">
        <f t="shared" si="16"/>
        <v>Lady Johanna Fajardo Rodriguez-1085259976-VIOLENCIA SEXUAL</v>
      </c>
    </row>
    <row r="183" spans="1:25" x14ac:dyDescent="0.2">
      <c r="A183" s="19">
        <v>182</v>
      </c>
      <c r="B183" s="20">
        <v>1085259976</v>
      </c>
      <c r="C183" s="20" t="s">
        <v>380</v>
      </c>
      <c r="D183" s="20" t="s">
        <v>68</v>
      </c>
      <c r="E183" s="20" t="s">
        <v>381</v>
      </c>
      <c r="F183" s="20" t="s">
        <v>139</v>
      </c>
      <c r="G183" s="20">
        <v>24</v>
      </c>
      <c r="H183" s="20" t="s">
        <v>56</v>
      </c>
      <c r="I183" s="21" t="s">
        <v>72</v>
      </c>
      <c r="J183" s="21" t="s">
        <v>279</v>
      </c>
      <c r="K183" s="22">
        <v>45712</v>
      </c>
      <c r="L183" s="40">
        <v>30000</v>
      </c>
      <c r="M183" s="20" t="s">
        <v>90</v>
      </c>
      <c r="N183" s="20" t="s">
        <v>57</v>
      </c>
      <c r="O183" s="20" t="s">
        <v>48</v>
      </c>
      <c r="P183" s="20" t="s">
        <v>21</v>
      </c>
      <c r="Q183" s="21">
        <v>31927</v>
      </c>
      <c r="R183" s="20" t="s">
        <v>49</v>
      </c>
      <c r="S183" s="54" t="s">
        <v>323</v>
      </c>
      <c r="T183" s="20">
        <v>3183784092</v>
      </c>
      <c r="U183" s="24" t="s">
        <v>382</v>
      </c>
      <c r="V183" s="25" t="e">
        <f>IF(P183=#REF!,"DIPLOMADO EN ATENCION PRE-HOSPITALARIA",IF(P183=#REF!,"ACOMPAÑAMIENTO Y MANEJO DEL DUELO",IF(P183=#REF!,"ATENCION A VICTIMAS DE ATAQUE CON AGENTES QUIMICOS ",IF(P183=#REF!,"PRIMEROS AUXILIOS ",IF(P183=#REF!,"DIPLOMADO DE UNIDAD DE CUIDADOS INTENSIVOS (UCI)",IF(P183=#REF!,"MODELO DE ATENCION PARA EVENTOS EMERGENTES EN SALUD MENTAL (CODIGO VERDE)",IF(P183=#REF!,"HUMANIZACION EN EL SERVICIO DE LA SALUD Y BUENAS PRACTICAS EN PACIENTE ",IF(P183=#REF!,"CLINICA DE HERIDAS ",IF(P183=#REF!,"TOMA DE CITOLOGIA CERVICO VAGINAL ",IF(P183=#REF!,"SOPORTE CARDIOVASCULAR AVANZADO (ACLS) ",IF(P183=#REF!,"CAMILLERO ",IF(P183=#REF!,"TOMA DE MUESTRAS Y LABORATORIO ",IF(P183=#REF!,"SOPORTE VITAL BASICO (BLS)",IF(P183=#REF!,"ATENCION A VICTIMAS DE VIOLENCIA SEXUAL ",IF(P183=#REF!,"PROGRAMADO AMPLIADO DE INMUNIZACION (PAI - COVID 19)",IF(P183=#REF!,"ATENCION INTEGRAL EN ENFERMEDADES PREVALENTES EN PRIMERA INFANCIA (AIEPI)",IF(P183=#REF!,"ADMINISTRACION DE MEDICAMENTOS, INYECTOLOGIA  Y CANALIZACION ",IF(P183=#REF!,"OPERADOR DE VEHICULOS DE EMERGENCIA (OVE)",IF(P183=#REF!,"INSTITUCIONES AMIGAS DE LA MUJER Y LA INFANCIA (IAMI)",IF(P183=#REF!,"CUIDADO DEL DONANTE DE ORGANOS",IF(P183=#REF!,"ATENCION A VICTIMAS POR VIOLENCIA DE GENERO",IF(P183=#REF!,"IGUALDAD DE GENERO EN LA SALUD",IF(P183=#REF!,"BRIGADA DE EMERGENCIA",IF(P183=#REF!,"MANEJO DEL DOLOR Y CUIDADOS PALIATIVOS",IF(P183=#REF!,"TOMA DE MUESTRAS Y LABORATORIO POCT",IF(P183=#REF!,"IMPLANTE SUBDERMICO DE DISPOSITIVO INTRAUTERINO",IF(P183=#REF!,"SALUD MENTAL",IF(P183=#REF!,"PRIMEROS AUXILIOS PSICOLOGICOS",IF(P183=#REF!,"ATENCION A VICTIMAS POR CONFLICTO ARMADO",IF(P183=#REF!,"MANIPULACION DE ALIMENTOS Y BPM",IF(P183=#REF!,"ATENCION A PERSONAS CON DISCAPACIDAD",IF(P183=#REF!,"CUIDADO INTEGRAL DEL PACIENTE ADULTO",IF(P183=#REF!,"MANEJO DEFENSIVO",IF(P183=#REF!,"SOPORTE CARDIOVASCULAR AVANZADO NEONATAL",IF(P183=#REF!,"SEGURIDAD DEL PACIENTE",IF(P183=#REF!,"MANEJO DE RESIDUOS HOSPITALARIOS"))))))))))))))))))))))))))))))))))))</f>
        <v>#REF!</v>
      </c>
      <c r="W183" s="25" t="str">
        <f t="shared" si="14"/>
        <v>Lady Johanna Fajardo Rodriguez</v>
      </c>
      <c r="X183" s="25" t="str">
        <f t="shared" si="15"/>
        <v>Lady Johanna Fajardo Rodriguez</v>
      </c>
      <c r="Y183" s="69" t="str">
        <f t="shared" si="16"/>
        <v>Lady Johanna Fajardo Rodriguez-1085259976-QUIMICOS</v>
      </c>
    </row>
    <row r="184" spans="1:25" x14ac:dyDescent="0.2">
      <c r="A184" s="19">
        <v>183</v>
      </c>
      <c r="B184" s="20">
        <v>1085259976</v>
      </c>
      <c r="C184" s="20" t="s">
        <v>380</v>
      </c>
      <c r="D184" s="20" t="s">
        <v>68</v>
      </c>
      <c r="E184" s="20" t="s">
        <v>381</v>
      </c>
      <c r="F184" s="20" t="s">
        <v>139</v>
      </c>
      <c r="G184" s="20">
        <v>24</v>
      </c>
      <c r="H184" s="20" t="s">
        <v>56</v>
      </c>
      <c r="I184" s="21" t="s">
        <v>72</v>
      </c>
      <c r="J184" s="21" t="s">
        <v>279</v>
      </c>
      <c r="K184" s="22">
        <v>45712</v>
      </c>
      <c r="L184" s="40">
        <v>30000</v>
      </c>
      <c r="M184" s="20" t="s">
        <v>90</v>
      </c>
      <c r="N184" s="20" t="s">
        <v>57</v>
      </c>
      <c r="O184" s="20" t="s">
        <v>48</v>
      </c>
      <c r="P184" s="20" t="s">
        <v>20</v>
      </c>
      <c r="Q184" s="21">
        <v>31927</v>
      </c>
      <c r="R184" s="20" t="s">
        <v>49</v>
      </c>
      <c r="S184" s="54" t="s">
        <v>323</v>
      </c>
      <c r="T184" s="20">
        <v>3183784092</v>
      </c>
      <c r="U184" s="24" t="s">
        <v>382</v>
      </c>
      <c r="V184" s="25" t="e">
        <f>IF(P184=#REF!,"DIPLOMADO EN ATENCION PRE-HOSPITALARIA",IF(P184=#REF!,"ACOMPAÑAMIENTO Y MANEJO DEL DUELO",IF(P184=#REF!,"ATENCION A VICTIMAS DE ATAQUE CON AGENTES QUIMICOS ",IF(P184=#REF!,"PRIMEROS AUXILIOS ",IF(P184=#REF!,"DIPLOMADO DE UNIDAD DE CUIDADOS INTENSIVOS (UCI)",IF(P184=#REF!,"MODELO DE ATENCION PARA EVENTOS EMERGENTES EN SALUD MENTAL (CODIGO VERDE)",IF(P184=#REF!,"HUMANIZACION EN EL SERVICIO DE LA SALUD Y BUENAS PRACTICAS EN PACIENTE ",IF(P184=#REF!,"CLINICA DE HERIDAS ",IF(P184=#REF!,"TOMA DE CITOLOGIA CERVICO VAGINAL ",IF(P184=#REF!,"SOPORTE CARDIOVASCULAR AVANZADO (ACLS) ",IF(P184=#REF!,"CAMILLERO ",IF(P184=#REF!,"TOMA DE MUESTRAS Y LABORATORIO ",IF(P184=#REF!,"SOPORTE VITAL BASICO (BLS)",IF(P184=#REF!,"ATENCION A VICTIMAS DE VIOLENCIA SEXUAL ",IF(P184=#REF!,"PROGRAMADO AMPLIADO DE INMUNIZACION (PAI - COVID 19)",IF(P184=#REF!,"ATENCION INTEGRAL EN ENFERMEDADES PREVALENTES EN PRIMERA INFANCIA (AIEPI)",IF(P184=#REF!,"ADMINISTRACION DE MEDICAMENTOS, INYECTOLOGIA  Y CANALIZACION ",IF(P184=#REF!,"OPERADOR DE VEHICULOS DE EMERGENCIA (OVE)",IF(P184=#REF!,"INSTITUCIONES AMIGAS DE LA MUJER Y LA INFANCIA (IAMI)",IF(P184=#REF!,"CUIDADO DEL DONANTE DE ORGANOS",IF(P184=#REF!,"ATENCION A VICTIMAS POR VIOLENCIA DE GENERO",IF(P184=#REF!,"IGUALDAD DE GENERO EN LA SALUD",IF(P184=#REF!,"BRIGADA DE EMERGENCIA",IF(P184=#REF!,"MANEJO DEL DOLOR Y CUIDADOS PALIATIVOS",IF(P184=#REF!,"TOMA DE MUESTRAS Y LABORATORIO POCT",IF(P184=#REF!,"IMPLANTE SUBDERMICO DE DISPOSITIVO INTRAUTERINO",IF(P184=#REF!,"SALUD MENTAL",IF(P184=#REF!,"PRIMEROS AUXILIOS PSICOLOGICOS",IF(P184=#REF!,"ATENCION A VICTIMAS POR CONFLICTO ARMADO",IF(P184=#REF!,"MANIPULACION DE ALIMENTOS Y BPM",IF(P184=#REF!,"ATENCION A PERSONAS CON DISCAPACIDAD",IF(P184=#REF!,"CUIDADO INTEGRAL DEL PACIENTE ADULTO",IF(P184=#REF!,"MANEJO DEFENSIVO",IF(P184=#REF!,"SOPORTE CARDIOVASCULAR AVANZADO NEONATAL",IF(P184=#REF!,"SEGURIDAD DEL PACIENTE",IF(P184=#REF!,"MANEJO DE RESIDUOS HOSPITALARIOS"))))))))))))))))))))))))))))))))))))</f>
        <v>#REF!</v>
      </c>
      <c r="W184" s="25" t="str">
        <f t="shared" si="14"/>
        <v>Lady Johanna Fajardo Rodriguez</v>
      </c>
      <c r="X184" s="25" t="str">
        <f t="shared" si="15"/>
        <v>Lady Johanna Fajardo Rodriguez</v>
      </c>
      <c r="Y184" s="69" t="str">
        <f t="shared" si="16"/>
        <v>Lady Johanna Fajardo Rodriguez-1085259976-DUELO</v>
      </c>
    </row>
    <row r="185" spans="1:25" x14ac:dyDescent="0.2">
      <c r="A185" s="19">
        <v>184</v>
      </c>
      <c r="B185" s="20">
        <v>1004134227</v>
      </c>
      <c r="C185" s="20" t="s">
        <v>383</v>
      </c>
      <c r="D185" s="20" t="s">
        <v>234</v>
      </c>
      <c r="E185" s="20" t="s">
        <v>360</v>
      </c>
      <c r="F185" s="20" t="s">
        <v>151</v>
      </c>
      <c r="G185" s="20">
        <v>24</v>
      </c>
      <c r="H185" s="20" t="s">
        <v>56</v>
      </c>
      <c r="I185" s="21" t="s">
        <v>47</v>
      </c>
      <c r="J185" s="21"/>
      <c r="K185" s="22">
        <v>45713</v>
      </c>
      <c r="L185" s="40">
        <v>70000</v>
      </c>
      <c r="M185" s="20" t="s">
        <v>61</v>
      </c>
      <c r="N185" s="20" t="s">
        <v>52</v>
      </c>
      <c r="O185" s="20" t="s">
        <v>48</v>
      </c>
      <c r="P185" s="20" t="s">
        <v>19</v>
      </c>
      <c r="Q185" s="21">
        <v>36552</v>
      </c>
      <c r="R185" s="20" t="s">
        <v>85</v>
      </c>
      <c r="S185" s="20" t="s">
        <v>74</v>
      </c>
      <c r="T185" s="20">
        <v>3147580678</v>
      </c>
      <c r="U185" s="20" t="s">
        <v>384</v>
      </c>
      <c r="V185" s="25" t="e">
        <f>IF(P185=#REF!,"DIPLOMADO EN ATENCION PRE-HOSPITALARIA",IF(P185=#REF!,"ACOMPAÑAMIENTO Y MANEJO DEL DUELO",IF(P185=#REF!,"ATENCION A VICTIMAS DE ATAQUE CON AGENTES QUIMICOS ",IF(P185=#REF!,"PRIMEROS AUXILIOS ",IF(P185=#REF!,"DIPLOMADO DE UNIDAD DE CUIDADOS INTENSIVOS (UCI)",IF(P185=#REF!,"MODELO DE ATENCION PARA EVENTOS EMERGENTES EN SALUD MENTAL (CODIGO VERDE)",IF(P185=#REF!,"HUMANIZACION EN EL SERVICIO DE LA SALUD Y BUENAS PRACTICAS EN PACIENTE ",IF(P185=#REF!,"CLINICA DE HERIDAS ",IF(P185=#REF!,"TOMA DE CITOLOGIA CERVICO VAGINAL ",IF(P185=#REF!,"SOPORTE CARDIOVASCULAR AVANZADO (ACLS) ",IF(P185=#REF!,"CAMILLERO ",IF(P185=#REF!,"TOMA DE MUESTRAS Y LABORATORIO ",IF(P185=#REF!,"SOPORTE VITAL BASICO (BLS)",IF(P185=#REF!,"ATENCION A VICTIMAS DE VIOLENCIA SEXUAL ",IF(P185=#REF!,"PROGRAMADO AMPLIADO DE INMUNIZACION (PAI - COVID 19)",IF(P185=#REF!,"ATENCION INTEGRAL EN ENFERMEDADES PREVALENTES EN PRIMERA INFANCIA (AIEPI)",IF(P185=#REF!,"ADMINISTRACION DE MEDICAMENTOS, INYECTOLOGIA  Y CANALIZACION ",IF(P185=#REF!,"OPERADOR DE VEHICULOS DE EMERGENCIA (OVE)",IF(P185=#REF!,"INSTITUCIONES AMIGAS DE LA MUJER Y LA INFANCIA (IAMI)",IF(P185=#REF!,"CUIDADO DEL DONANTE DE ORGANOS",IF(P185=#REF!,"ATENCION A VICTIMAS POR VIOLENCIA DE GENERO",IF(P185=#REF!,"IGUALDAD DE GENERO EN LA SALUD",IF(P185=#REF!,"BRIGADA DE EMERGENCIA",IF(P185=#REF!,"MANEJO DEL DOLOR Y CUIDADOS PALIATIVOS",IF(P185=#REF!,"TOMA DE MUESTRAS Y LABORATORIO POCT",IF(P185=#REF!,"IMPLANTE SUBDERMICO DE DISPOSITIVO INTRAUTERINO",IF(P185=#REF!,"SALUD MENTAL",IF(P185=#REF!,"PRIMEROS AUXILIOS PSICOLOGICOS",IF(P185=#REF!,"ATENCION A VICTIMAS POR CONFLICTO ARMADO",IF(P185=#REF!,"MANIPULACION DE ALIMENTOS Y BPM",IF(P185=#REF!,"ATENCION A PERSONAS CON DISCAPACIDAD",IF(P185=#REF!,"CUIDADO INTEGRAL DEL PACIENTE ADULTO",IF(P185=#REF!,"MANEJO DEFENSIVO",IF(P185=#REF!,"SOPORTE CARDIOVASCULAR AVANZADO NEONATAL",IF(P185=#REF!,"SEGURIDAD DEL PACIENTE",IF(P185=#REF!,"MANEJO DE RESIDUOS HOSPITALARIOS"))))))))))))))))))))))))))))))))))))</f>
        <v>#REF!</v>
      </c>
      <c r="W185" s="25" t="str">
        <f t="shared" si="14"/>
        <v>Luis Carlos Tulcanas Rosero</v>
      </c>
      <c r="X185" s="25" t="str">
        <f t="shared" si="15"/>
        <v>Luis Carlos Tulcanas Rosero</v>
      </c>
      <c r="Y185" s="69" t="str">
        <f t="shared" si="16"/>
        <v>Luis Carlos Tulcanas Rosero-1004134227-BLS</v>
      </c>
    </row>
    <row r="186" spans="1:25" x14ac:dyDescent="0.2">
      <c r="A186" s="28">
        <v>185</v>
      </c>
      <c r="B186" s="20">
        <v>1004134227</v>
      </c>
      <c r="C186" s="20" t="s">
        <v>383</v>
      </c>
      <c r="D186" s="20" t="s">
        <v>234</v>
      </c>
      <c r="E186" s="20" t="s">
        <v>360</v>
      </c>
      <c r="F186" s="20" t="s">
        <v>151</v>
      </c>
      <c r="G186" s="20">
        <v>24</v>
      </c>
      <c r="H186" s="20" t="s">
        <v>56</v>
      </c>
      <c r="I186" s="21" t="s">
        <v>47</v>
      </c>
      <c r="J186" s="21"/>
      <c r="K186" s="22">
        <v>45713</v>
      </c>
      <c r="L186" s="40">
        <v>70000</v>
      </c>
      <c r="M186" s="20" t="s">
        <v>61</v>
      </c>
      <c r="N186" s="20" t="s">
        <v>52</v>
      </c>
      <c r="O186" s="20" t="s">
        <v>48</v>
      </c>
      <c r="P186" s="20" t="s">
        <v>30</v>
      </c>
      <c r="Q186" s="21">
        <v>36552</v>
      </c>
      <c r="R186" s="20" t="s">
        <v>85</v>
      </c>
      <c r="S186" s="20" t="s">
        <v>74</v>
      </c>
      <c r="T186" s="20">
        <v>3147580678</v>
      </c>
      <c r="U186" s="20" t="s">
        <v>384</v>
      </c>
      <c r="V186" s="25" t="e">
        <f>IF(P186=#REF!,"DIPLOMADO EN ATENCION PRE-HOSPITALARIA",IF(P186=#REF!,"ACOMPAÑAMIENTO Y MANEJO DEL DUELO",IF(P186=#REF!,"ATENCION A VICTIMAS DE ATAQUE CON AGENTES QUIMICOS ",IF(P186=#REF!,"PRIMEROS AUXILIOS ",IF(P186=#REF!,"DIPLOMADO DE UNIDAD DE CUIDADOS INTENSIVOS (UCI)",IF(P186=#REF!,"MODELO DE ATENCION PARA EVENTOS EMERGENTES EN SALUD MENTAL (CODIGO VERDE)",IF(P186=#REF!,"HUMANIZACION EN EL SERVICIO DE LA SALUD Y BUENAS PRACTICAS EN PACIENTE ",IF(P186=#REF!,"CLINICA DE HERIDAS ",IF(P186=#REF!,"TOMA DE CITOLOGIA CERVICO VAGINAL ",IF(P186=#REF!,"SOPORTE CARDIOVASCULAR AVANZADO (ACLS) ",IF(P186=#REF!,"CAMILLERO ",IF(P186=#REF!,"TOMA DE MUESTRAS Y LABORATORIO ",IF(P186=#REF!,"SOPORTE VITAL BASICO (BLS)",IF(P186=#REF!,"ATENCION A VICTIMAS DE VIOLENCIA SEXUAL ",IF(P186=#REF!,"PROGRAMADO AMPLIADO DE INMUNIZACION (PAI - COVID 19)",IF(P186=#REF!,"ATENCION INTEGRAL EN ENFERMEDADES PREVALENTES EN PRIMERA INFANCIA (AIEPI)",IF(P186=#REF!,"ADMINISTRACION DE MEDICAMENTOS, INYECTOLOGIA  Y CANALIZACION ",IF(P186=#REF!,"OPERADOR DE VEHICULOS DE EMERGENCIA (OVE)",IF(P186=#REF!,"INSTITUCIONES AMIGAS DE LA MUJER Y LA INFANCIA (IAMI)",IF(P186=#REF!,"CUIDADO DEL DONANTE DE ORGANOS",IF(P186=#REF!,"ATENCION A VICTIMAS POR VIOLENCIA DE GENERO",IF(P186=#REF!,"IGUALDAD DE GENERO EN LA SALUD",IF(P186=#REF!,"BRIGADA DE EMERGENCIA",IF(P186=#REF!,"MANEJO DEL DOLOR Y CUIDADOS PALIATIVOS",IF(P186=#REF!,"TOMA DE MUESTRAS Y LABORATORIO POCT",IF(P186=#REF!,"IMPLANTE SUBDERMICO DE DISPOSITIVO INTRAUTERINO",IF(P186=#REF!,"SALUD MENTAL",IF(P186=#REF!,"PRIMEROS AUXILIOS PSICOLOGICOS",IF(P186=#REF!,"ATENCION A VICTIMAS POR CONFLICTO ARMADO",IF(P186=#REF!,"MANIPULACION DE ALIMENTOS Y BPM",IF(P186=#REF!,"ATENCION A PERSONAS CON DISCAPACIDAD",IF(P186=#REF!,"CUIDADO INTEGRAL DEL PACIENTE ADULTO",IF(P186=#REF!,"MANEJO DEFENSIVO",IF(P186=#REF!,"SOPORTE CARDIOVASCULAR AVANZADO NEONATAL",IF(P186=#REF!,"SEGURIDAD DEL PACIENTE",IF(P186=#REF!,"MANEJO DE RESIDUOS HOSPITALARIOS"))))))))))))))))))))))))))))))))))))</f>
        <v>#REF!</v>
      </c>
      <c r="W186" s="25" t="str">
        <f t="shared" si="14"/>
        <v>Luis Carlos Tulcanas Rosero</v>
      </c>
      <c r="X186" s="25" t="str">
        <f t="shared" si="15"/>
        <v>Luis Carlos Tulcanas Rosero</v>
      </c>
      <c r="Y186" s="69" t="str">
        <f t="shared" si="16"/>
        <v>Luis Carlos Tulcanas Rosero-1004134227-OVE</v>
      </c>
    </row>
    <row r="187" spans="1:25" x14ac:dyDescent="0.2">
      <c r="A187" s="19">
        <v>186</v>
      </c>
      <c r="B187" s="20">
        <v>37083427</v>
      </c>
      <c r="C187" s="20" t="s">
        <v>385</v>
      </c>
      <c r="D187" s="20" t="s">
        <v>306</v>
      </c>
      <c r="E187" s="20" t="s">
        <v>287</v>
      </c>
      <c r="F187" s="20" t="s">
        <v>386</v>
      </c>
      <c r="G187" s="20">
        <v>25</v>
      </c>
      <c r="H187" s="20" t="s">
        <v>56</v>
      </c>
      <c r="I187" s="21" t="s">
        <v>72</v>
      </c>
      <c r="J187" s="21"/>
      <c r="K187" s="22">
        <v>45713</v>
      </c>
      <c r="L187" s="40">
        <v>40000</v>
      </c>
      <c r="M187" s="20" t="s">
        <v>61</v>
      </c>
      <c r="N187" s="20" t="s">
        <v>57</v>
      </c>
      <c r="O187" s="20" t="s">
        <v>48</v>
      </c>
      <c r="P187" s="20" t="s">
        <v>19</v>
      </c>
      <c r="Q187" s="21">
        <v>30465</v>
      </c>
      <c r="R187" s="20" t="s">
        <v>49</v>
      </c>
      <c r="S187" s="20" t="s">
        <v>74</v>
      </c>
      <c r="T187" s="39">
        <v>3166215065</v>
      </c>
      <c r="U187" s="20" t="s">
        <v>387</v>
      </c>
      <c r="V187" s="25" t="e">
        <f>IF(P187=#REF!,"DIPLOMADO EN ATENCION PRE-HOSPITALARIA",IF(P187=#REF!,"ACOMPAÑAMIENTO Y MANEJO DEL DUELO",IF(P187=#REF!,"ATENCION A VICTIMAS DE ATAQUE CON AGENTES QUIMICOS ",IF(P187=#REF!,"PRIMEROS AUXILIOS ",IF(P187=#REF!,"DIPLOMADO DE UNIDAD DE CUIDADOS INTENSIVOS (UCI)",IF(P187=#REF!,"MODELO DE ATENCION PARA EVENTOS EMERGENTES EN SALUD MENTAL (CODIGO VERDE)",IF(P187=#REF!,"HUMANIZACION EN EL SERVICIO DE LA SALUD Y BUENAS PRACTICAS EN PACIENTE ",IF(P187=#REF!,"CLINICA DE HERIDAS ",IF(P187=#REF!,"TOMA DE CITOLOGIA CERVICO VAGINAL ",IF(P187=#REF!,"SOPORTE CARDIOVASCULAR AVANZADO (ACLS) ",IF(P187=#REF!,"CAMILLERO ",IF(P187=#REF!,"TOMA DE MUESTRAS Y LABORATORIO ",IF(P187=#REF!,"SOPORTE VITAL BASICO (BLS)",IF(P187=#REF!,"ATENCION A VICTIMAS DE VIOLENCIA SEXUAL ",IF(P187=#REF!,"PROGRAMADO AMPLIADO DE INMUNIZACION (PAI - COVID 19)",IF(P187=#REF!,"ATENCION INTEGRAL EN ENFERMEDADES PREVALENTES EN PRIMERA INFANCIA (AIEPI)",IF(P187=#REF!,"ADMINISTRACION DE MEDICAMENTOS, INYECTOLOGIA  Y CANALIZACION ",IF(P187=#REF!,"OPERADOR DE VEHICULOS DE EMERGENCIA (OVE)",IF(P187=#REF!,"INSTITUCIONES AMIGAS DE LA MUJER Y LA INFANCIA (IAMI)",IF(P187=#REF!,"CUIDADO DEL DONANTE DE ORGANOS",IF(P187=#REF!,"ATENCION A VICTIMAS POR VIOLENCIA DE GENERO",IF(P187=#REF!,"IGUALDAD DE GENERO EN LA SALUD",IF(P187=#REF!,"BRIGADA DE EMERGENCIA",IF(P187=#REF!,"MANEJO DEL DOLOR Y CUIDADOS PALIATIVOS",IF(P187=#REF!,"TOMA DE MUESTRAS Y LABORATORIO POCT",IF(P187=#REF!,"IMPLANTE SUBDERMICO DE DISPOSITIVO INTRAUTERINO",IF(P187=#REF!,"SALUD MENTAL",IF(P187=#REF!,"PRIMEROS AUXILIOS PSICOLOGICOS",IF(P187=#REF!,"ATENCION A VICTIMAS POR CONFLICTO ARMADO",IF(P187=#REF!,"MANIPULACION DE ALIMENTOS Y BPM",IF(P187=#REF!,"ATENCION A PERSONAS CON DISCAPACIDAD",IF(P187=#REF!,"CUIDADO INTEGRAL DEL PACIENTE ADULTO",IF(P187=#REF!,"MANEJO DEFENSIVO",IF(P187=#REF!,"SOPORTE CARDIOVASCULAR AVANZADO NEONATAL",IF(P187=#REF!,"SEGURIDAD DEL PACIENTE",IF(P187=#REF!,"MANEJO DE RESIDUOS HOSPITALARIOS"))))))))))))))))))))))))))))))))))))</f>
        <v>#REF!</v>
      </c>
      <c r="W187" s="25" t="str">
        <f t="shared" si="14"/>
        <v>Adriana Jakeline Urbano Ortiz</v>
      </c>
      <c r="X187" s="25" t="str">
        <f t="shared" si="15"/>
        <v>Adriana Jakeline Urbano Ortiz</v>
      </c>
      <c r="Y187" s="69" t="str">
        <f t="shared" si="16"/>
        <v>Adriana Jakeline Urbano Ortiz-37083427-BLS</v>
      </c>
    </row>
    <row r="188" spans="1:25" x14ac:dyDescent="0.2">
      <c r="A188" s="19">
        <v>187</v>
      </c>
      <c r="B188" s="20">
        <v>27309556</v>
      </c>
      <c r="C188" s="20" t="s">
        <v>227</v>
      </c>
      <c r="D188" s="20" t="s">
        <v>179</v>
      </c>
      <c r="E188" s="20" t="s">
        <v>103</v>
      </c>
      <c r="F188" s="20" t="s">
        <v>281</v>
      </c>
      <c r="G188" s="20">
        <v>25</v>
      </c>
      <c r="H188" s="20" t="s">
        <v>56</v>
      </c>
      <c r="I188" s="21" t="s">
        <v>72</v>
      </c>
      <c r="J188" s="21" t="s">
        <v>91</v>
      </c>
      <c r="K188" s="22">
        <v>45715</v>
      </c>
      <c r="L188" s="40">
        <v>32000</v>
      </c>
      <c r="M188" s="20" t="s">
        <v>90</v>
      </c>
      <c r="N188" s="20" t="s">
        <v>57</v>
      </c>
      <c r="O188" s="20" t="s">
        <v>73</v>
      </c>
      <c r="P188" s="20" t="s">
        <v>23</v>
      </c>
      <c r="Q188" s="21">
        <v>30668</v>
      </c>
      <c r="R188" s="20" t="s">
        <v>49</v>
      </c>
      <c r="S188" s="54" t="s">
        <v>323</v>
      </c>
      <c r="T188" s="39">
        <v>3235073403</v>
      </c>
      <c r="U188" s="20" t="s">
        <v>388</v>
      </c>
      <c r="V188" s="25" t="e">
        <f>IF(P188=#REF!,"DIPLOMADO EN ATENCION PRE-HOSPITALARIA",IF(P188=#REF!,"ACOMPAÑAMIENTO Y MANEJO DEL DUELO",IF(P188=#REF!,"ATENCION A VICTIMAS DE ATAQUE CON AGENTES QUIMICOS ",IF(P188=#REF!,"PRIMEROS AUXILIOS ",IF(P188=#REF!,"DIPLOMADO DE UNIDAD DE CUIDADOS INTENSIVOS (UCI)",IF(P188=#REF!,"MODELO DE ATENCION PARA EVENTOS EMERGENTES EN SALUD MENTAL (CODIGO VERDE)",IF(P188=#REF!,"HUMANIZACION EN EL SERVICIO DE LA SALUD Y BUENAS PRACTICAS EN PACIENTE ",IF(P188=#REF!,"CLINICA DE HERIDAS ",IF(P188=#REF!,"TOMA DE CITOLOGIA CERVICO VAGINAL ",IF(P188=#REF!,"SOPORTE CARDIOVASCULAR AVANZADO (ACLS) ",IF(P188=#REF!,"CAMILLERO ",IF(P188=#REF!,"TOMA DE MUESTRAS Y LABORATORIO ",IF(P188=#REF!,"SOPORTE VITAL BASICO (BLS)",IF(P188=#REF!,"ATENCION A VICTIMAS DE VIOLENCIA SEXUAL ",IF(P188=#REF!,"PROGRAMADO AMPLIADO DE INMUNIZACION (PAI - COVID 19)",IF(P188=#REF!,"ATENCION INTEGRAL EN ENFERMEDADES PREVALENTES EN PRIMERA INFANCIA (AIEPI)",IF(P188=#REF!,"ADMINISTRACION DE MEDICAMENTOS, INYECTOLOGIA  Y CANALIZACION ",IF(P188=#REF!,"OPERADOR DE VEHICULOS DE EMERGENCIA (OVE)",IF(P188=#REF!,"INSTITUCIONES AMIGAS DE LA MUJER Y LA INFANCIA (IAMI)",IF(P188=#REF!,"CUIDADO DEL DONANTE DE ORGANOS",IF(P188=#REF!,"ATENCION A VICTIMAS POR VIOLENCIA DE GENERO",IF(P188=#REF!,"IGUALDAD DE GENERO EN LA SALUD",IF(P188=#REF!,"BRIGADA DE EMERGENCIA",IF(P188=#REF!,"MANEJO DEL DOLOR Y CUIDADOS PALIATIVOS",IF(P188=#REF!,"TOMA DE MUESTRAS Y LABORATORIO POCT",IF(P188=#REF!,"IMPLANTE SUBDERMICO DE DISPOSITIVO INTRAUTERINO",IF(P188=#REF!,"SALUD MENTAL",IF(P188=#REF!,"PRIMEROS AUXILIOS PSICOLOGICOS",IF(P188=#REF!,"ATENCION A VICTIMAS POR CONFLICTO ARMADO",IF(P188=#REF!,"MANIPULACION DE ALIMENTOS Y BPM",IF(P188=#REF!,"ATENCION A PERSONAS CON DISCAPACIDAD",IF(P188=#REF!,"CUIDADO INTEGRAL DEL PACIENTE ADULTO",IF(P188=#REF!,"MANEJO DEFENSIVO",IF(P188=#REF!,"SOPORTE CARDIOVASCULAR AVANZADO NEONATAL",IF(P188=#REF!,"SEGURIDAD DEL PACIENTE",IF(P188=#REF!,"MANEJO DE RESIDUOS HOSPITALARIOS"))))))))))))))))))))))))))))))))))))</f>
        <v>#REF!</v>
      </c>
      <c r="W188" s="25" t="str">
        <f t="shared" si="14"/>
        <v>Sandra Milena Mora Oviedo</v>
      </c>
      <c r="X188" s="25" t="str">
        <f t="shared" si="15"/>
        <v>Sandra Milena Mora Oviedo</v>
      </c>
      <c r="Y188" s="69" t="str">
        <f t="shared" si="16"/>
        <v>Sandra Milena Mora Oviedo-27309556-HUMANIZACION</v>
      </c>
    </row>
    <row r="189" spans="1:25" x14ac:dyDescent="0.2">
      <c r="A189" s="19">
        <v>188</v>
      </c>
      <c r="B189" s="20">
        <v>59828054</v>
      </c>
      <c r="C189" s="20" t="s">
        <v>389</v>
      </c>
      <c r="D189" s="20" t="s">
        <v>390</v>
      </c>
      <c r="E189" s="20" t="s">
        <v>391</v>
      </c>
      <c r="F189" s="20" t="s">
        <v>392</v>
      </c>
      <c r="G189" s="20">
        <v>25</v>
      </c>
      <c r="H189" s="20" t="s">
        <v>56</v>
      </c>
      <c r="I189" s="21" t="s">
        <v>72</v>
      </c>
      <c r="J189" s="21" t="s">
        <v>91</v>
      </c>
      <c r="K189" s="22">
        <v>45713</v>
      </c>
      <c r="L189" s="40">
        <v>40000</v>
      </c>
      <c r="M189" s="20" t="s">
        <v>90</v>
      </c>
      <c r="N189" s="20" t="s">
        <v>57</v>
      </c>
      <c r="O189" s="20" t="s">
        <v>120</v>
      </c>
      <c r="P189" s="20" t="s">
        <v>21</v>
      </c>
      <c r="Q189" s="21">
        <v>27445</v>
      </c>
      <c r="R189" s="20" t="s">
        <v>49</v>
      </c>
      <c r="S189" s="54" t="s">
        <v>323</v>
      </c>
      <c r="T189" s="39">
        <v>3173559885</v>
      </c>
      <c r="U189" s="27" t="s">
        <v>393</v>
      </c>
      <c r="V189" s="25" t="e">
        <f>IF(P189=#REF!,"DIPLOMADO EN ATENCION PRE-HOSPITALARIA",IF(P189=#REF!,"ACOMPAÑAMIENTO Y MANEJO DEL DUELO",IF(P189=#REF!,"ATENCION A VICTIMAS DE ATAQUE CON AGENTES QUIMICOS ",IF(P189=#REF!,"PRIMEROS AUXILIOS ",IF(P189=#REF!,"DIPLOMADO DE UNIDAD DE CUIDADOS INTENSIVOS (UCI)",IF(P189=#REF!,"MODELO DE ATENCION PARA EVENTOS EMERGENTES EN SALUD MENTAL (CODIGO VERDE)",IF(P189=#REF!,"HUMANIZACION EN EL SERVICIO DE LA SALUD Y BUENAS PRACTICAS EN PACIENTE ",IF(P189=#REF!,"CLINICA DE HERIDAS ",IF(P189=#REF!,"TOMA DE CITOLOGIA CERVICO VAGINAL ",IF(P189=#REF!,"SOPORTE CARDIOVASCULAR AVANZADO (ACLS) ",IF(P189=#REF!,"CAMILLERO ",IF(P189=#REF!,"TOMA DE MUESTRAS Y LABORATORIO ",IF(P189=#REF!,"SOPORTE VITAL BASICO (BLS)",IF(P189=#REF!,"ATENCION A VICTIMAS DE VIOLENCIA SEXUAL ",IF(P189=#REF!,"PROGRAMADO AMPLIADO DE INMUNIZACION (PAI - COVID 19)",IF(P189=#REF!,"ATENCION INTEGRAL EN ENFERMEDADES PREVALENTES EN PRIMERA INFANCIA (AIEPI)",IF(P189=#REF!,"ADMINISTRACION DE MEDICAMENTOS, INYECTOLOGIA  Y CANALIZACION ",IF(P189=#REF!,"OPERADOR DE VEHICULOS DE EMERGENCIA (OVE)",IF(P189=#REF!,"INSTITUCIONES AMIGAS DE LA MUJER Y LA INFANCIA (IAMI)",IF(P189=#REF!,"CUIDADO DEL DONANTE DE ORGANOS",IF(P189=#REF!,"ATENCION A VICTIMAS POR VIOLENCIA DE GENERO",IF(P189=#REF!,"IGUALDAD DE GENERO EN LA SALUD",IF(P189=#REF!,"BRIGADA DE EMERGENCIA",IF(P189=#REF!,"MANEJO DEL DOLOR Y CUIDADOS PALIATIVOS",IF(P189=#REF!,"TOMA DE MUESTRAS Y LABORATORIO POCT",IF(P189=#REF!,"IMPLANTE SUBDERMICO DE DISPOSITIVO INTRAUTERINO",IF(P189=#REF!,"SALUD MENTAL",IF(P189=#REF!,"PRIMEROS AUXILIOS PSICOLOGICOS",IF(P189=#REF!,"ATENCION A VICTIMAS POR CONFLICTO ARMADO",IF(P189=#REF!,"MANIPULACION DE ALIMENTOS Y BPM",IF(P189=#REF!,"ATENCION A PERSONAS CON DISCAPACIDAD",IF(P189=#REF!,"CUIDADO INTEGRAL DEL PACIENTE ADULTO",IF(P189=#REF!,"MANEJO DEFENSIVO",IF(P189=#REF!,"SOPORTE CARDIOVASCULAR AVANZADO NEONATAL",IF(P189=#REF!,"SEGURIDAD DEL PACIENTE",IF(P189=#REF!,"MANEJO DE RESIDUOS HOSPITALARIOS"))))))))))))))))))))))))))))))))))))</f>
        <v>#REF!</v>
      </c>
      <c r="W189" s="25" t="str">
        <f t="shared" si="14"/>
        <v>Carmenza Gabriela Imbacuan Jativa</v>
      </c>
      <c r="X189" s="25" t="str">
        <f t="shared" si="15"/>
        <v>Carmenza Gabriela Imbacuan Jativa</v>
      </c>
      <c r="Y189" s="69" t="str">
        <f t="shared" si="16"/>
        <v>Carmenza Gabriela Imbacuan Jativa-59828054-QUIMICOS</v>
      </c>
    </row>
    <row r="190" spans="1:25" x14ac:dyDescent="0.2">
      <c r="A190" s="19">
        <v>189</v>
      </c>
      <c r="B190" s="20">
        <v>1085332107</v>
      </c>
      <c r="C190" s="20" t="s">
        <v>394</v>
      </c>
      <c r="D190" s="20" t="s">
        <v>370</v>
      </c>
      <c r="E190" s="20" t="s">
        <v>257</v>
      </c>
      <c r="F190" s="20" t="s">
        <v>395</v>
      </c>
      <c r="G190" s="20">
        <v>25</v>
      </c>
      <c r="H190" s="20" t="s">
        <v>56</v>
      </c>
      <c r="I190" s="21" t="s">
        <v>72</v>
      </c>
      <c r="J190" s="21" t="s">
        <v>91</v>
      </c>
      <c r="K190" s="22">
        <v>45715</v>
      </c>
      <c r="L190" s="40">
        <v>32000</v>
      </c>
      <c r="M190" s="20" t="s">
        <v>90</v>
      </c>
      <c r="N190" s="20" t="s">
        <v>57</v>
      </c>
      <c r="O190" s="20" t="s">
        <v>73</v>
      </c>
      <c r="P190" s="20" t="s">
        <v>21</v>
      </c>
      <c r="Q190" s="21"/>
      <c r="R190" s="20" t="s">
        <v>85</v>
      </c>
      <c r="S190" s="39" t="s">
        <v>248</v>
      </c>
      <c r="T190" s="39"/>
      <c r="U190" s="20" t="s">
        <v>396</v>
      </c>
      <c r="V190" s="25" t="e">
        <f>IF(P190=#REF!,"DIPLOMADO EN ATENCION PRE-HOSPITALARIA",IF(P190=#REF!,"ACOMPAÑAMIENTO Y MANEJO DEL DUELO",IF(P190=#REF!,"ATENCION A VICTIMAS DE ATAQUE CON AGENTES QUIMICOS ",IF(P190=#REF!,"PRIMEROS AUXILIOS ",IF(P190=#REF!,"DIPLOMADO DE UNIDAD DE CUIDADOS INTENSIVOS (UCI)",IF(P190=#REF!,"MODELO DE ATENCION PARA EVENTOS EMERGENTES EN SALUD MENTAL (CODIGO VERDE)",IF(P190=#REF!,"HUMANIZACION EN EL SERVICIO DE LA SALUD Y BUENAS PRACTICAS EN PACIENTE ",IF(P190=#REF!,"CLINICA DE HERIDAS ",IF(P190=#REF!,"TOMA DE CITOLOGIA CERVICO VAGINAL ",IF(P190=#REF!,"SOPORTE CARDIOVASCULAR AVANZADO (ACLS) ",IF(P190=#REF!,"CAMILLERO ",IF(P190=#REF!,"TOMA DE MUESTRAS Y LABORATORIO ",IF(P190=#REF!,"SOPORTE VITAL BASICO (BLS)",IF(P190=#REF!,"ATENCION A VICTIMAS DE VIOLENCIA SEXUAL ",IF(P190=#REF!,"PROGRAMADO AMPLIADO DE INMUNIZACION (PAI - COVID 19)",IF(P190=#REF!,"ATENCION INTEGRAL EN ENFERMEDADES PREVALENTES EN PRIMERA INFANCIA (AIEPI)",IF(P190=#REF!,"ADMINISTRACION DE MEDICAMENTOS, INYECTOLOGIA  Y CANALIZACION ",IF(P190=#REF!,"OPERADOR DE VEHICULOS DE EMERGENCIA (OVE)",IF(P190=#REF!,"INSTITUCIONES AMIGAS DE LA MUJER Y LA INFANCIA (IAMI)",IF(P190=#REF!,"CUIDADO DEL DONANTE DE ORGANOS",IF(P190=#REF!,"ATENCION A VICTIMAS POR VIOLENCIA DE GENERO",IF(P190=#REF!,"IGUALDAD DE GENERO EN LA SALUD",IF(P190=#REF!,"BRIGADA DE EMERGENCIA",IF(P190=#REF!,"MANEJO DEL DOLOR Y CUIDADOS PALIATIVOS",IF(P190=#REF!,"TOMA DE MUESTRAS Y LABORATORIO POCT",IF(P190=#REF!,"IMPLANTE SUBDERMICO DE DISPOSITIVO INTRAUTERINO",IF(P190=#REF!,"SALUD MENTAL",IF(P190=#REF!,"PRIMEROS AUXILIOS PSICOLOGICOS",IF(P190=#REF!,"ATENCION A VICTIMAS POR CONFLICTO ARMADO",IF(P190=#REF!,"MANIPULACION DE ALIMENTOS Y BPM",IF(P190=#REF!,"ATENCION A PERSONAS CON DISCAPACIDAD",IF(P190=#REF!,"CUIDADO INTEGRAL DEL PACIENTE ADULTO",IF(P190=#REF!,"MANEJO DEFENSIVO",IF(P190=#REF!,"SOPORTE CARDIOVASCULAR AVANZADO NEONATAL",IF(P190=#REF!,"SEGURIDAD DEL PACIENTE",IF(P190=#REF!,"MANEJO DE RESIDUOS HOSPITALARIOS"))))))))))))))))))))))))))))))))))))</f>
        <v>#REF!</v>
      </c>
      <c r="W190" s="25" t="str">
        <f t="shared" si="14"/>
        <v>Juan Diego Salcedo Pantoja</v>
      </c>
      <c r="X190" s="25" t="str">
        <f t="shared" si="15"/>
        <v>Juan Diego Salcedo Pantoja</v>
      </c>
      <c r="Y190" s="69" t="str">
        <f t="shared" si="16"/>
        <v>Juan Diego Salcedo Pantoja-1085332107-QUIMICOS</v>
      </c>
    </row>
    <row r="191" spans="1:25" x14ac:dyDescent="0.2">
      <c r="A191" s="19">
        <v>190</v>
      </c>
      <c r="B191" s="20">
        <v>59122992</v>
      </c>
      <c r="C191" s="20" t="s">
        <v>397</v>
      </c>
      <c r="D191" s="20" t="s">
        <v>398</v>
      </c>
      <c r="E191" s="20" t="s">
        <v>399</v>
      </c>
      <c r="F191" s="20" t="s">
        <v>400</v>
      </c>
      <c r="G191" s="20">
        <v>26</v>
      </c>
      <c r="H191" s="20" t="s">
        <v>56</v>
      </c>
      <c r="I191" s="21" t="s">
        <v>72</v>
      </c>
      <c r="J191" s="21" t="s">
        <v>91</v>
      </c>
      <c r="K191" s="22">
        <v>45713</v>
      </c>
      <c r="L191" s="40">
        <v>30000</v>
      </c>
      <c r="M191" s="20" t="s">
        <v>61</v>
      </c>
      <c r="N191" s="20" t="s">
        <v>57</v>
      </c>
      <c r="O191" s="20" t="s">
        <v>282</v>
      </c>
      <c r="P191" s="20" t="s">
        <v>27</v>
      </c>
      <c r="Q191" s="21">
        <v>29388</v>
      </c>
      <c r="R191" s="20" t="s">
        <v>49</v>
      </c>
      <c r="S191" s="39" t="s">
        <v>74</v>
      </c>
      <c r="T191" s="39">
        <v>3173910701</v>
      </c>
      <c r="U191" s="20" t="s">
        <v>401</v>
      </c>
      <c r="V191" s="25" t="e">
        <f>IF(P191=#REF!,"DIPLOMADO EN ATENCION PRE-HOSPITALARIA",IF(P191=#REF!,"ACOMPAÑAMIENTO Y MANEJO DEL DUELO",IF(P191=#REF!,"ATENCION A VICTIMAS DE ATAQUE CON AGENTES QUIMICOS ",IF(P191=#REF!,"PRIMEROS AUXILIOS ",IF(P191=#REF!,"DIPLOMADO DE UNIDAD DE CUIDADOS INTENSIVOS (UCI)",IF(P191=#REF!,"MODELO DE ATENCION PARA EVENTOS EMERGENTES EN SALUD MENTAL (CODIGO VERDE)",IF(P191=#REF!,"HUMANIZACION EN EL SERVICIO DE LA SALUD Y BUENAS PRACTICAS EN PACIENTE ",IF(P191=#REF!,"CLINICA DE HERIDAS ",IF(P191=#REF!,"TOMA DE CITOLOGIA CERVICO VAGINAL ",IF(P191=#REF!,"SOPORTE CARDIOVASCULAR AVANZADO (ACLS) ",IF(P191=#REF!,"CAMILLERO ",IF(P191=#REF!,"TOMA DE MUESTRAS Y LABORATORIO ",IF(P191=#REF!,"SOPORTE VITAL BASICO (BLS)",IF(P191=#REF!,"ATENCION A VICTIMAS DE VIOLENCIA SEXUAL ",IF(P191=#REF!,"PROGRAMADO AMPLIADO DE INMUNIZACION (PAI - COVID 19)",IF(P191=#REF!,"ATENCION INTEGRAL EN ENFERMEDADES PREVALENTES EN PRIMERA INFANCIA (AIEPI)",IF(P191=#REF!,"ADMINISTRACION DE MEDICAMENTOS, INYECTOLOGIA  Y CANALIZACION ",IF(P191=#REF!,"OPERADOR DE VEHICULOS DE EMERGENCIA (OVE)",IF(P191=#REF!,"INSTITUCIONES AMIGAS DE LA MUJER Y LA INFANCIA (IAMI)",IF(P191=#REF!,"CUIDADO DEL DONANTE DE ORGANOS",IF(P191=#REF!,"ATENCION A VICTIMAS POR VIOLENCIA DE GENERO",IF(P191=#REF!,"IGUALDAD DE GENERO EN LA SALUD",IF(P191=#REF!,"BRIGADA DE EMERGENCIA",IF(P191=#REF!,"MANEJO DEL DOLOR Y CUIDADOS PALIATIVOS",IF(P191=#REF!,"TOMA DE MUESTRAS Y LABORATORIO POCT",IF(P191=#REF!,"IMPLANTE SUBDERMICO DE DISPOSITIVO INTRAUTERINO",IF(P191=#REF!,"SALUD MENTAL",IF(P191=#REF!,"PRIMEROS AUXILIOS PSICOLOGICOS",IF(P191=#REF!,"ATENCION A VICTIMAS POR CONFLICTO ARMADO",IF(P191=#REF!,"MANIPULACION DE ALIMENTOS Y BPM",IF(P191=#REF!,"ATENCION A PERSONAS CON DISCAPACIDAD",IF(P191=#REF!,"CUIDADO INTEGRAL DEL PACIENTE ADULTO",IF(P191=#REF!,"MANEJO DEFENSIVO",IF(P191=#REF!,"SOPORTE CARDIOVASCULAR AVANZADO NEONATAL",IF(P191=#REF!,"SEGURIDAD DEL PACIENTE",IF(P191=#REF!,"MANEJO DE RESIDUOS HOSPITALARIOS"))))))))))))))))))))))))))))))))))))</f>
        <v>#REF!</v>
      </c>
      <c r="W191" s="25" t="str">
        <f t="shared" si="14"/>
        <v>Francia Aide Melo Guerrero</v>
      </c>
      <c r="X191" s="25" t="str">
        <f t="shared" si="15"/>
        <v>Francia Aide Melo Guerrero</v>
      </c>
      <c r="Y191" s="69" t="str">
        <f t="shared" si="16"/>
        <v>Francia Aide Melo Guerrero-59122992-VIOLENCIA SEXUAL</v>
      </c>
    </row>
    <row r="192" spans="1:25" x14ac:dyDescent="0.2">
      <c r="A192" s="19">
        <v>191</v>
      </c>
      <c r="B192" s="20">
        <v>59122992</v>
      </c>
      <c r="C192" s="20" t="s">
        <v>397</v>
      </c>
      <c r="D192" s="20" t="s">
        <v>398</v>
      </c>
      <c r="E192" s="20" t="s">
        <v>399</v>
      </c>
      <c r="F192" s="20" t="s">
        <v>400</v>
      </c>
      <c r="G192" s="20">
        <v>26</v>
      </c>
      <c r="H192" s="20" t="s">
        <v>56</v>
      </c>
      <c r="I192" s="21" t="s">
        <v>72</v>
      </c>
      <c r="J192" s="21" t="s">
        <v>91</v>
      </c>
      <c r="K192" s="22">
        <v>45713</v>
      </c>
      <c r="L192" s="40">
        <v>30000</v>
      </c>
      <c r="M192" s="20" t="s">
        <v>61</v>
      </c>
      <c r="N192" s="20" t="s">
        <v>57</v>
      </c>
      <c r="O192" s="20" t="s">
        <v>282</v>
      </c>
      <c r="P192" s="20" t="s">
        <v>21</v>
      </c>
      <c r="Q192" s="21">
        <v>29388</v>
      </c>
      <c r="R192" s="20" t="s">
        <v>49</v>
      </c>
      <c r="S192" s="39" t="s">
        <v>74</v>
      </c>
      <c r="T192" s="39">
        <v>3173910701</v>
      </c>
      <c r="U192" s="20" t="s">
        <v>401</v>
      </c>
      <c r="V192" s="25" t="e">
        <f>IF(P192=#REF!,"DIPLOMADO EN ATENCION PRE-HOSPITALARIA",IF(P192=#REF!,"ACOMPAÑAMIENTO Y MANEJO DEL DUELO",IF(P192=#REF!,"ATENCION A VICTIMAS DE ATAQUE CON AGENTES QUIMICOS ",IF(P192=#REF!,"PRIMEROS AUXILIOS ",IF(P192=#REF!,"DIPLOMADO DE UNIDAD DE CUIDADOS INTENSIVOS (UCI)",IF(P192=#REF!,"MODELO DE ATENCION PARA EVENTOS EMERGENTES EN SALUD MENTAL (CODIGO VERDE)",IF(P192=#REF!,"HUMANIZACION EN EL SERVICIO DE LA SALUD Y BUENAS PRACTICAS EN PACIENTE ",IF(P192=#REF!,"CLINICA DE HERIDAS ",IF(P192=#REF!,"TOMA DE CITOLOGIA CERVICO VAGINAL ",IF(P192=#REF!,"SOPORTE CARDIOVASCULAR AVANZADO (ACLS) ",IF(P192=#REF!,"CAMILLERO ",IF(P192=#REF!,"TOMA DE MUESTRAS Y LABORATORIO ",IF(P192=#REF!,"SOPORTE VITAL BASICO (BLS)",IF(P192=#REF!,"ATENCION A VICTIMAS DE VIOLENCIA SEXUAL ",IF(P192=#REF!,"PROGRAMADO AMPLIADO DE INMUNIZACION (PAI - COVID 19)",IF(P192=#REF!,"ATENCION INTEGRAL EN ENFERMEDADES PREVALENTES EN PRIMERA INFANCIA (AIEPI)",IF(P192=#REF!,"ADMINISTRACION DE MEDICAMENTOS, INYECTOLOGIA  Y CANALIZACION ",IF(P192=#REF!,"OPERADOR DE VEHICULOS DE EMERGENCIA (OVE)",IF(P192=#REF!,"INSTITUCIONES AMIGAS DE LA MUJER Y LA INFANCIA (IAMI)",IF(P192=#REF!,"CUIDADO DEL DONANTE DE ORGANOS",IF(P192=#REF!,"ATENCION A VICTIMAS POR VIOLENCIA DE GENERO",IF(P192=#REF!,"IGUALDAD DE GENERO EN LA SALUD",IF(P192=#REF!,"BRIGADA DE EMERGENCIA",IF(P192=#REF!,"MANEJO DEL DOLOR Y CUIDADOS PALIATIVOS",IF(P192=#REF!,"TOMA DE MUESTRAS Y LABORATORIO POCT",IF(P192=#REF!,"IMPLANTE SUBDERMICO DE DISPOSITIVO INTRAUTERINO",IF(P192=#REF!,"SALUD MENTAL",IF(P192=#REF!,"PRIMEROS AUXILIOS PSICOLOGICOS",IF(P192=#REF!,"ATENCION A VICTIMAS POR CONFLICTO ARMADO",IF(P192=#REF!,"MANIPULACION DE ALIMENTOS Y BPM",IF(P192=#REF!,"ATENCION A PERSONAS CON DISCAPACIDAD",IF(P192=#REF!,"CUIDADO INTEGRAL DEL PACIENTE ADULTO",IF(P192=#REF!,"MANEJO DEFENSIVO",IF(P192=#REF!,"SOPORTE CARDIOVASCULAR AVANZADO NEONATAL",IF(P192=#REF!,"SEGURIDAD DEL PACIENTE",IF(P192=#REF!,"MANEJO DE RESIDUOS HOSPITALARIOS"))))))))))))))))))))))))))))))))))))</f>
        <v>#REF!</v>
      </c>
      <c r="W192" s="25" t="str">
        <f t="shared" si="14"/>
        <v>Francia Aide Melo Guerrero</v>
      </c>
      <c r="X192" s="25" t="str">
        <f t="shared" si="15"/>
        <v>Francia Aide Melo Guerrero</v>
      </c>
      <c r="Y192" s="69" t="str">
        <f t="shared" si="16"/>
        <v>Francia Aide Melo Guerrero-59122992-QUIMICOS</v>
      </c>
    </row>
    <row r="193" spans="1:25" s="67" customFormat="1" x14ac:dyDescent="0.2">
      <c r="A193" s="55">
        <v>192</v>
      </c>
      <c r="B193" s="56">
        <v>1085246134</v>
      </c>
      <c r="C193" s="56" t="s">
        <v>234</v>
      </c>
      <c r="D193" s="56" t="s">
        <v>402</v>
      </c>
      <c r="E193" s="56" t="s">
        <v>242</v>
      </c>
      <c r="F193" s="56" t="s">
        <v>119</v>
      </c>
      <c r="G193" s="56">
        <v>26</v>
      </c>
      <c r="H193" s="56" t="s">
        <v>56</v>
      </c>
      <c r="I193" s="57" t="s">
        <v>72</v>
      </c>
      <c r="J193" s="57" t="s">
        <v>91</v>
      </c>
      <c r="K193" s="59"/>
      <c r="L193" s="60"/>
      <c r="M193" s="56"/>
      <c r="N193" s="56" t="s">
        <v>57</v>
      </c>
      <c r="O193" s="56" t="s">
        <v>48</v>
      </c>
      <c r="P193" s="56" t="s">
        <v>24</v>
      </c>
      <c r="Q193" s="57">
        <v>31408</v>
      </c>
      <c r="R193" s="56" t="s">
        <v>49</v>
      </c>
      <c r="S193" s="62" t="s">
        <v>323</v>
      </c>
      <c r="T193" s="56">
        <v>3176477166</v>
      </c>
      <c r="U193" s="56" t="s">
        <v>405</v>
      </c>
      <c r="V193" s="58" t="e">
        <f>IF(P193=#REF!,"DIPLOMADO EN ATENCION PRE-HOSPITALARIA",IF(P193=#REF!,"ACOMPAÑAMIENTO Y MANEJO DEL DUELO",IF(P193=#REF!,"ATENCION A VICTIMAS DE ATAQUE CON AGENTES QUIMICOS ",IF(P193=#REF!,"PRIMEROS AUXILIOS ",IF(P193=#REF!,"DIPLOMADO DE UNIDAD DE CUIDADOS INTENSIVOS (UCI)",IF(P193=#REF!,"MODELO DE ATENCION PARA EVENTOS EMERGENTES EN SALUD MENTAL (CODIGO VERDE)",IF(P193=#REF!,"HUMANIZACION EN EL SERVICIO DE LA SALUD Y BUENAS PRACTICAS EN PACIENTE ",IF(P193=#REF!,"CLINICA DE HERIDAS ",IF(P193=#REF!,"TOMA DE CITOLOGIA CERVICO VAGINAL ",IF(P193=#REF!,"SOPORTE CARDIOVASCULAR AVANZADO (ACLS) ",IF(P193=#REF!,"CAMILLERO ",IF(P193=#REF!,"TOMA DE MUESTRAS Y LABORATORIO ",IF(P193=#REF!,"SOPORTE VITAL BASICO (BLS)",IF(P193=#REF!,"ATENCION A VICTIMAS DE VIOLENCIA SEXUAL ",IF(P193=#REF!,"PROGRAMADO AMPLIADO DE INMUNIZACION (PAI - COVID 19)",IF(P193=#REF!,"ATENCION INTEGRAL EN ENFERMEDADES PREVALENTES EN PRIMERA INFANCIA (AIEPI)",IF(P193=#REF!,"ADMINISTRACION DE MEDICAMENTOS, INYECTOLOGIA  Y CANALIZACION ",IF(P193=#REF!,"OPERADOR DE VEHICULOS DE EMERGENCIA (OVE)",IF(P193=#REF!,"INSTITUCIONES AMIGAS DE LA MUJER Y LA INFANCIA (IAMI)",IF(P193=#REF!,"CUIDADO DEL DONANTE DE ORGANOS",IF(P193=#REF!,"ATENCION A VICTIMAS POR VIOLENCIA DE GENERO",IF(P193=#REF!,"IGUALDAD DE GENERO EN LA SALUD",IF(P193=#REF!,"BRIGADA DE EMERGENCIA",IF(P193=#REF!,"MANEJO DEL DOLOR Y CUIDADOS PALIATIVOS",IF(P193=#REF!,"TOMA DE MUESTRAS Y LABORATORIO POCT",IF(P193=#REF!,"IMPLANTE SUBDERMICO DE DISPOSITIVO INTRAUTERINO",IF(P193=#REF!,"SALUD MENTAL",IF(P193=#REF!,"PRIMEROS AUXILIOS PSICOLOGICOS",IF(P193=#REF!,"ATENCION A VICTIMAS POR CONFLICTO ARMADO",IF(P193=#REF!,"MANIPULACION DE ALIMENTOS Y BPM",IF(P193=#REF!,"ATENCION A PERSONAS CON DISCAPACIDAD",IF(P193=#REF!,"CUIDADO INTEGRAL DEL PACIENTE ADULTO",IF(P193=#REF!,"MANEJO DEFENSIVO",IF(P193=#REF!,"SOPORTE CARDIOVASCULAR AVANZADO NEONATAL",IF(P193=#REF!,"SEGURIDAD DEL PACIENTE",IF(P193=#REF!,"MANEJO DE RESIDUOS HOSPITALARIOS"))))))))))))))))))))))))))))))))))))</f>
        <v>#REF!</v>
      </c>
      <c r="W193" s="58" t="str">
        <f t="shared" si="14"/>
        <v>Diana Carolina Rosero Concha</v>
      </c>
      <c r="X193" s="58" t="str">
        <f t="shared" si="15"/>
        <v>Diana Carolina Rosero Concha</v>
      </c>
      <c r="Y193" s="72" t="str">
        <f t="shared" si="16"/>
        <v>Diana Carolina Rosero Concha-1085246134-ACLS</v>
      </c>
    </row>
    <row r="194" spans="1:25" s="67" customFormat="1" x14ac:dyDescent="0.2">
      <c r="A194" s="55">
        <v>193</v>
      </c>
      <c r="B194" s="56">
        <v>1085246134</v>
      </c>
      <c r="C194" s="56" t="s">
        <v>234</v>
      </c>
      <c r="D194" s="56" t="s">
        <v>402</v>
      </c>
      <c r="E194" s="56" t="s">
        <v>242</v>
      </c>
      <c r="F194" s="56" t="s">
        <v>119</v>
      </c>
      <c r="G194" s="56">
        <v>25</v>
      </c>
      <c r="H194" s="56" t="s">
        <v>56</v>
      </c>
      <c r="I194" s="57" t="s">
        <v>72</v>
      </c>
      <c r="J194" s="57" t="s">
        <v>91</v>
      </c>
      <c r="K194" s="59"/>
      <c r="L194" s="60"/>
      <c r="M194" s="56"/>
      <c r="N194" s="56" t="s">
        <v>57</v>
      </c>
      <c r="O194" s="56" t="s">
        <v>48</v>
      </c>
      <c r="P194" s="56" t="s">
        <v>27</v>
      </c>
      <c r="Q194" s="57">
        <v>31408</v>
      </c>
      <c r="R194" s="56" t="s">
        <v>49</v>
      </c>
      <c r="S194" s="62" t="s">
        <v>323</v>
      </c>
      <c r="T194" s="56">
        <v>3176477166</v>
      </c>
      <c r="U194" s="56" t="s">
        <v>405</v>
      </c>
      <c r="V194" s="58" t="e">
        <f>IF(P194=#REF!,"DIPLOMADO EN ATENCION PRE-HOSPITALARIA",IF(P194=#REF!,"ACOMPAÑAMIENTO Y MANEJO DEL DUELO",IF(P194=#REF!,"ATENCION A VICTIMAS DE ATAQUE CON AGENTES QUIMICOS ",IF(P194=#REF!,"PRIMEROS AUXILIOS ",IF(P194=#REF!,"DIPLOMADO DE UNIDAD DE CUIDADOS INTENSIVOS (UCI)",IF(P194=#REF!,"MODELO DE ATENCION PARA EVENTOS EMERGENTES EN SALUD MENTAL (CODIGO VERDE)",IF(P194=#REF!,"HUMANIZACION EN EL SERVICIO DE LA SALUD Y BUENAS PRACTICAS EN PACIENTE ",IF(P194=#REF!,"CLINICA DE HERIDAS ",IF(P194=#REF!,"TOMA DE CITOLOGIA CERVICO VAGINAL ",IF(P194=#REF!,"SOPORTE CARDIOVASCULAR AVANZADO (ACLS) ",IF(P194=#REF!,"CAMILLERO ",IF(P194=#REF!,"TOMA DE MUESTRAS Y LABORATORIO ",IF(P194=#REF!,"SOPORTE VITAL BASICO (BLS)",IF(P194=#REF!,"ATENCION A VICTIMAS DE VIOLENCIA SEXUAL ",IF(P194=#REF!,"PROGRAMADO AMPLIADO DE INMUNIZACION (PAI - COVID 19)",IF(P194=#REF!,"ATENCION INTEGRAL EN ENFERMEDADES PREVALENTES EN PRIMERA INFANCIA (AIEPI)",IF(P194=#REF!,"ADMINISTRACION DE MEDICAMENTOS, INYECTOLOGIA  Y CANALIZACION ",IF(P194=#REF!,"OPERADOR DE VEHICULOS DE EMERGENCIA (OVE)",IF(P194=#REF!,"INSTITUCIONES AMIGAS DE LA MUJER Y LA INFANCIA (IAMI)",IF(P194=#REF!,"CUIDADO DEL DONANTE DE ORGANOS",IF(P194=#REF!,"ATENCION A VICTIMAS POR VIOLENCIA DE GENERO",IF(P194=#REF!,"IGUALDAD DE GENERO EN LA SALUD",IF(P194=#REF!,"BRIGADA DE EMERGENCIA",IF(P194=#REF!,"MANEJO DEL DOLOR Y CUIDADOS PALIATIVOS",IF(P194=#REF!,"TOMA DE MUESTRAS Y LABORATORIO POCT",IF(P194=#REF!,"IMPLANTE SUBDERMICO DE DISPOSITIVO INTRAUTERINO",IF(P194=#REF!,"SALUD MENTAL",IF(P194=#REF!,"PRIMEROS AUXILIOS PSICOLOGICOS",IF(P194=#REF!,"ATENCION A VICTIMAS POR CONFLICTO ARMADO",IF(P194=#REF!,"MANIPULACION DE ALIMENTOS Y BPM",IF(P194=#REF!,"ATENCION A PERSONAS CON DISCAPACIDAD",IF(P194=#REF!,"CUIDADO INTEGRAL DEL PACIENTE ADULTO",IF(P194=#REF!,"MANEJO DEFENSIVO",IF(P194=#REF!,"SOPORTE CARDIOVASCULAR AVANZADO NEONATAL",IF(P194=#REF!,"SEGURIDAD DEL PACIENTE",IF(P194=#REF!,"MANEJO DE RESIDUOS HOSPITALARIOS"))))))))))))))))))))))))))))))))))))</f>
        <v>#REF!</v>
      </c>
      <c r="W194" s="58" t="str">
        <f t="shared" si="14"/>
        <v>Diana Carolina Rosero Concha</v>
      </c>
      <c r="X194" s="58" t="str">
        <f t="shared" si="15"/>
        <v>Diana Carolina Rosero Concha</v>
      </c>
      <c r="Y194" s="72" t="str">
        <f t="shared" si="16"/>
        <v>Diana Carolina Rosero Concha-1085246134-VIOLENCIA SEXUAL</v>
      </c>
    </row>
    <row r="195" spans="1:25" s="67" customFormat="1" x14ac:dyDescent="0.2">
      <c r="A195" s="55">
        <v>194</v>
      </c>
      <c r="B195" s="56">
        <v>1085246134</v>
      </c>
      <c r="C195" s="56" t="s">
        <v>234</v>
      </c>
      <c r="D195" s="56" t="s">
        <v>402</v>
      </c>
      <c r="E195" s="56" t="s">
        <v>242</v>
      </c>
      <c r="F195" s="56" t="s">
        <v>119</v>
      </c>
      <c r="G195" s="56">
        <v>24</v>
      </c>
      <c r="H195" s="56" t="s">
        <v>56</v>
      </c>
      <c r="I195" s="57" t="s">
        <v>72</v>
      </c>
      <c r="J195" s="57" t="s">
        <v>91</v>
      </c>
      <c r="K195" s="59"/>
      <c r="L195" s="60"/>
      <c r="M195" s="56"/>
      <c r="N195" s="56" t="s">
        <v>57</v>
      </c>
      <c r="O195" s="56" t="s">
        <v>48</v>
      </c>
      <c r="P195" s="56" t="s">
        <v>21</v>
      </c>
      <c r="Q195" s="57">
        <v>31408</v>
      </c>
      <c r="R195" s="56" t="s">
        <v>49</v>
      </c>
      <c r="S195" s="62" t="s">
        <v>323</v>
      </c>
      <c r="T195" s="56">
        <v>3176477166</v>
      </c>
      <c r="U195" s="56" t="s">
        <v>405</v>
      </c>
      <c r="V195" s="58" t="e">
        <f>IF(P195=#REF!,"DIPLOMADO EN ATENCION PRE-HOSPITALARIA",IF(P195=#REF!,"ACOMPAÑAMIENTO Y MANEJO DEL DUELO",IF(P195=#REF!,"ATENCION A VICTIMAS DE ATAQUE CON AGENTES QUIMICOS ",IF(P195=#REF!,"PRIMEROS AUXILIOS ",IF(P195=#REF!,"DIPLOMADO DE UNIDAD DE CUIDADOS INTENSIVOS (UCI)",IF(P195=#REF!,"MODELO DE ATENCION PARA EVENTOS EMERGENTES EN SALUD MENTAL (CODIGO VERDE)",IF(P195=#REF!,"HUMANIZACION EN EL SERVICIO DE LA SALUD Y BUENAS PRACTICAS EN PACIENTE ",IF(P195=#REF!,"CLINICA DE HERIDAS ",IF(P195=#REF!,"TOMA DE CITOLOGIA CERVICO VAGINAL ",IF(P195=#REF!,"SOPORTE CARDIOVASCULAR AVANZADO (ACLS) ",IF(P195=#REF!,"CAMILLERO ",IF(P195=#REF!,"TOMA DE MUESTRAS Y LABORATORIO ",IF(P195=#REF!,"SOPORTE VITAL BASICO (BLS)",IF(P195=#REF!,"ATENCION A VICTIMAS DE VIOLENCIA SEXUAL ",IF(P195=#REF!,"PROGRAMADO AMPLIADO DE INMUNIZACION (PAI - COVID 19)",IF(P195=#REF!,"ATENCION INTEGRAL EN ENFERMEDADES PREVALENTES EN PRIMERA INFANCIA (AIEPI)",IF(P195=#REF!,"ADMINISTRACION DE MEDICAMENTOS, INYECTOLOGIA  Y CANALIZACION ",IF(P195=#REF!,"OPERADOR DE VEHICULOS DE EMERGENCIA (OVE)",IF(P195=#REF!,"INSTITUCIONES AMIGAS DE LA MUJER Y LA INFANCIA (IAMI)",IF(P195=#REF!,"CUIDADO DEL DONANTE DE ORGANOS",IF(P195=#REF!,"ATENCION A VICTIMAS POR VIOLENCIA DE GENERO",IF(P195=#REF!,"IGUALDAD DE GENERO EN LA SALUD",IF(P195=#REF!,"BRIGADA DE EMERGENCIA",IF(P195=#REF!,"MANEJO DEL DOLOR Y CUIDADOS PALIATIVOS",IF(P195=#REF!,"TOMA DE MUESTRAS Y LABORATORIO POCT",IF(P195=#REF!,"IMPLANTE SUBDERMICO DE DISPOSITIVO INTRAUTERINO",IF(P195=#REF!,"SALUD MENTAL",IF(P195=#REF!,"PRIMEROS AUXILIOS PSICOLOGICOS",IF(P195=#REF!,"ATENCION A VICTIMAS POR CONFLICTO ARMADO",IF(P195=#REF!,"MANIPULACION DE ALIMENTOS Y BPM",IF(P195=#REF!,"ATENCION A PERSONAS CON DISCAPACIDAD",IF(P195=#REF!,"CUIDADO INTEGRAL DEL PACIENTE ADULTO",IF(P195=#REF!,"MANEJO DEFENSIVO",IF(P195=#REF!,"SOPORTE CARDIOVASCULAR AVANZADO NEONATAL",IF(P195=#REF!,"SEGURIDAD DEL PACIENTE",IF(P195=#REF!,"MANEJO DE RESIDUOS HOSPITALARIOS"))))))))))))))))))))))))))))))))))))</f>
        <v>#REF!</v>
      </c>
      <c r="W195" s="58" t="str">
        <f t="shared" si="14"/>
        <v>Diana Carolina Rosero Concha</v>
      </c>
      <c r="X195" s="58" t="str">
        <f t="shared" si="15"/>
        <v>Diana Carolina Rosero Concha</v>
      </c>
      <c r="Y195" s="72" t="str">
        <f t="shared" si="16"/>
        <v>Diana Carolina Rosero Concha-1085246134-QUIMICOS</v>
      </c>
    </row>
    <row r="196" spans="1:25" s="67" customFormat="1" x14ac:dyDescent="0.2">
      <c r="A196" s="61">
        <v>195</v>
      </c>
      <c r="B196" s="56">
        <v>1085246134</v>
      </c>
      <c r="C196" s="56" t="s">
        <v>234</v>
      </c>
      <c r="D196" s="56" t="s">
        <v>402</v>
      </c>
      <c r="E196" s="56" t="s">
        <v>242</v>
      </c>
      <c r="F196" s="56" t="s">
        <v>119</v>
      </c>
      <c r="G196" s="56">
        <v>22</v>
      </c>
      <c r="H196" s="56" t="s">
        <v>56</v>
      </c>
      <c r="I196" s="57" t="s">
        <v>72</v>
      </c>
      <c r="J196" s="57" t="s">
        <v>91</v>
      </c>
      <c r="K196" s="59"/>
      <c r="L196" s="60"/>
      <c r="M196" s="56"/>
      <c r="N196" s="56" t="s">
        <v>57</v>
      </c>
      <c r="O196" s="56" t="s">
        <v>48</v>
      </c>
      <c r="P196" s="56" t="s">
        <v>403</v>
      </c>
      <c r="Q196" s="57">
        <v>31408</v>
      </c>
      <c r="R196" s="56" t="s">
        <v>49</v>
      </c>
      <c r="S196" s="62" t="s">
        <v>323</v>
      </c>
      <c r="T196" s="56">
        <v>3176477166</v>
      </c>
      <c r="U196" s="56" t="s">
        <v>405</v>
      </c>
      <c r="V196" s="58" t="s">
        <v>404</v>
      </c>
      <c r="W196" s="58" t="str">
        <f t="shared" si="14"/>
        <v>Diana Carolina Rosero Concha</v>
      </c>
      <c r="X196" s="58" t="str">
        <f t="shared" si="15"/>
        <v>Diana Carolina Rosero Concha</v>
      </c>
      <c r="Y196" s="72" t="str">
        <f t="shared" si="16"/>
        <v>Diana Carolina Rosero Concha-1085246134-CONSUMO</v>
      </c>
    </row>
    <row r="197" spans="1:25" x14ac:dyDescent="0.2">
      <c r="A197" s="19">
        <v>196</v>
      </c>
      <c r="B197" s="20">
        <v>1085313043</v>
      </c>
      <c r="C197" s="20" t="s">
        <v>68</v>
      </c>
      <c r="D197" s="20" t="s">
        <v>65</v>
      </c>
      <c r="E197" s="20" t="s">
        <v>207</v>
      </c>
      <c r="F197" s="20" t="s">
        <v>130</v>
      </c>
      <c r="G197" s="20">
        <v>26</v>
      </c>
      <c r="H197" s="20" t="s">
        <v>56</v>
      </c>
      <c r="I197" s="21" t="s">
        <v>47</v>
      </c>
      <c r="J197" s="21" t="s">
        <v>197</v>
      </c>
      <c r="K197" s="22">
        <v>45714</v>
      </c>
      <c r="L197" s="40">
        <v>80000</v>
      </c>
      <c r="M197" s="20" t="s">
        <v>159</v>
      </c>
      <c r="N197" s="20" t="s">
        <v>57</v>
      </c>
      <c r="O197" s="20" t="s">
        <v>48</v>
      </c>
      <c r="P197" s="20" t="s">
        <v>28</v>
      </c>
      <c r="Q197" s="21">
        <v>34497</v>
      </c>
      <c r="R197" s="20" t="s">
        <v>49</v>
      </c>
      <c r="S197" s="54" t="s">
        <v>86</v>
      </c>
      <c r="T197" s="20">
        <v>3128399675</v>
      </c>
      <c r="U197" s="20" t="s">
        <v>210</v>
      </c>
      <c r="V197" s="25" t="e">
        <f>IF(P197=#REF!,"DIPLOMADO EN ATENCION PRE-HOSPITALARIA",IF(P197=#REF!,"ACOMPAÑAMIENTO Y MANEJO DEL DUELO",IF(P197=#REF!,"ATENCION A VICTIMAS DE ATAQUE CON AGENTES QUIMICOS ",IF(P197=#REF!,"PRIMEROS AUXILIOS ",IF(P197=#REF!,"DIPLOMADO DE UNIDAD DE CUIDADOS INTENSIVOS (UCI)",IF(P197=#REF!,"MODELO DE ATENCION PARA EVENTOS EMERGENTES EN SALUD MENTAL (CODIGO VERDE)",IF(P197=#REF!,"HUMANIZACION EN EL SERVICIO DE LA SALUD Y BUENAS PRACTICAS EN PACIENTE ",IF(P197=#REF!,"CLINICA DE HERIDAS ",IF(P197=#REF!,"TOMA DE CITOLOGIA CERVICO VAGINAL ",IF(P197=#REF!,"SOPORTE CARDIOVASCULAR AVANZADO (ACLS) ",IF(P197=#REF!,"CAMILLERO ",IF(P197=#REF!,"TOMA DE MUESTRAS Y LABORATORIO ",IF(P197=#REF!,"SOPORTE VITAL BASICO (BLS)",IF(P197=#REF!,"ATENCION A VICTIMAS DE VIOLENCIA SEXUAL ",IF(P197=#REF!,"PROGRAMADO AMPLIADO DE INMUNIZACION (PAI - COVID 19)",IF(P197=#REF!,"ATENCION INTEGRAL EN ENFERMEDADES PREVALENTES EN PRIMERA INFANCIA (AIEPI)",IF(P197=#REF!,"ADMINISTRACION DE MEDICAMENTOS, INYECTOLOGIA  Y CANALIZACION ",IF(P197=#REF!,"OPERADOR DE VEHICULOS DE EMERGENCIA (OVE)",IF(P197=#REF!,"INSTITUCIONES AMIGAS DE LA MUJER Y LA INFANCIA (IAMI)",IF(P197=#REF!,"CUIDADO DEL DONANTE DE ORGANOS",IF(P197=#REF!,"ATENCION A VICTIMAS POR VIOLENCIA DE GENERO",IF(P197=#REF!,"IGUALDAD DE GENERO EN LA SALUD",IF(P197=#REF!,"BRIGADA DE EMERGENCIA",IF(P197=#REF!,"MANEJO DEL DOLOR Y CUIDADOS PALIATIVOS",IF(P197=#REF!,"TOMA DE MUESTRAS Y LABORATORIO POCT",IF(P197=#REF!,"IMPLANTE SUBDERMICO DE DISPOSITIVO INTRAUTERINO",IF(P197=#REF!,"SALUD MENTAL",IF(P197=#REF!,"PRIMEROS AUXILIOS PSICOLOGICOS",IF(P197=#REF!,"ATENCION A VICTIMAS POR CONFLICTO ARMADO",IF(P197=#REF!,"MANIPULACION DE ALIMENTOS Y BPM",IF(P197=#REF!,"ATENCION A PERSONAS CON DISCAPACIDAD",IF(P197=#REF!,"CUIDADO INTEGRAL DEL PACIENTE ADULTO",IF(P197=#REF!,"MANEJO DEFENSIVO",IF(P197=#REF!,"SOPORTE CARDIOVASCULAR AVANZADO NEONATAL",IF(P197=#REF!,"SEGURIDAD DEL PACIENTE",IF(P197=#REF!,"MANEJO DE RESIDUOS HOSPITALARIOS"))))))))))))))))))))))))))))))))))))</f>
        <v>#REF!</v>
      </c>
      <c r="W197" s="25" t="str">
        <f t="shared" si="14"/>
        <v>Angela Marcela Rodriguez Zambrano</v>
      </c>
      <c r="X197" s="25" t="str">
        <f t="shared" si="15"/>
        <v>Angela Marcela Rodriguez Zambrano</v>
      </c>
      <c r="Y197" s="69" t="str">
        <f t="shared" si="16"/>
        <v>Angela Marcela Rodriguez Zambrano-1085313043-AIEPI</v>
      </c>
    </row>
    <row r="198" spans="1:25" x14ac:dyDescent="0.2">
      <c r="A198" s="19">
        <v>197</v>
      </c>
      <c r="B198" s="20">
        <v>1004547401</v>
      </c>
      <c r="C198" s="20" t="s">
        <v>251</v>
      </c>
      <c r="D198" s="20" t="s">
        <v>313</v>
      </c>
      <c r="E198" s="20" t="s">
        <v>314</v>
      </c>
      <c r="F198" s="20" t="s">
        <v>315</v>
      </c>
      <c r="G198" s="20">
        <v>22</v>
      </c>
      <c r="H198" s="20" t="s">
        <v>56</v>
      </c>
      <c r="I198" s="21" t="s">
        <v>47</v>
      </c>
      <c r="J198" s="21"/>
      <c r="K198" s="22">
        <v>45710</v>
      </c>
      <c r="L198" s="23">
        <v>63000</v>
      </c>
      <c r="M198" s="20" t="s">
        <v>141</v>
      </c>
      <c r="N198" s="20" t="s">
        <v>57</v>
      </c>
      <c r="O198" s="20" t="s">
        <v>48</v>
      </c>
      <c r="P198" s="20" t="s">
        <v>22</v>
      </c>
      <c r="Q198" s="21">
        <v>37612</v>
      </c>
      <c r="R198" s="42" t="s">
        <v>85</v>
      </c>
      <c r="S198" s="20" t="s">
        <v>74</v>
      </c>
      <c r="T198" s="20">
        <v>3177074654</v>
      </c>
      <c r="U198" s="24" t="s">
        <v>316</v>
      </c>
      <c r="V198" s="25" t="e">
        <f>IF(P198=#REF!,"DIPLOMADO EN ATENCION PRE-HOSPITALARIA",IF(P198=#REF!,"ACOMPAÑAMIENTO Y MANEJO DEL DUELO",IF(P198=#REF!,"ATENCION A VICTIMAS DE ATAQUE CON AGENTES QUIMICOS ",IF(P198=#REF!,"PRIMEROS AUXILIOS ",IF(P198=#REF!,"DIPLOMADO DE UNIDAD DE CUIDADOS INTENSIVOS (UCI)",IF(P198=#REF!,"MODELO DE ATENCION PARA EVENTOS EMERGENTES EN SALUD MENTAL (CODIGO VERDE)",IF(P198=#REF!,"HUMANIZACION EN EL SERVICIO DE LA SALUD Y BUENAS PRACTICAS EN PACIENTE ",IF(P198=#REF!,"CLINICA DE HERIDAS ",IF(P198=#REF!,"TOMA DE CITOLOGIA CERVICO VAGINAL ",IF(P198=#REF!,"SOPORTE CARDIOVASCULAR AVANZADO (ACLS) ",IF(P198=#REF!,"CAMILLERO ",IF(P198=#REF!,"TOMA DE MUESTRAS Y LABORATORIO ",IF(P198=#REF!,"SOPORTE VITAL BASICO (BLS)",IF(P198=#REF!,"ATENCION A VICTIMAS DE VIOLENCIA SEXUAL ",IF(P198=#REF!,"PROGRAMADO AMPLIADO DE INMUNIZACION (PAI - COVID 19)",IF(P198=#REF!,"ATENCION INTEGRAL EN ENFERMEDADES PREVALENTES EN PRIMERA INFANCIA (AIEPI)",IF(P198=#REF!,"ADMINISTRACION DE MEDICAMENTOS, INYECTOLOGIA  Y CANALIZACION ",IF(P198=#REF!,"OPERADOR DE VEHICULOS DE EMERGENCIA (OVE)",IF(P198=#REF!,"INSTITUCIONES AMIGAS DE LA MUJER Y LA INFANCIA (IAMI)",IF(P198=#REF!,"CUIDADO DEL DONANTE DE ORGANOS",IF(P198=#REF!,"ATENCION A VICTIMAS POR VIOLENCIA DE GENERO",IF(P198=#REF!,"IGUALDAD DE GENERO EN LA SALUD",IF(P198=#REF!,"BRIGADA DE EMERGENCIA",IF(P198=#REF!,"MANEJO DEL DOLOR Y CUIDADOS PALIATIVOS",IF(P198=#REF!,"TOMA DE MUESTRAS Y LABORATORIO POCT",IF(P198=#REF!,"IMPLANTE SUBDERMICO DE DISPOSITIVO INTRAUTERINO",IF(P198=#REF!,"SALUD MENTAL",IF(P198=#REF!,"PRIMEROS AUXILIOS PSICOLOGICOS",IF(P198=#REF!,"ATENCION A VICTIMAS POR CONFLICTO ARMADO",IF(P198=#REF!,"MANIPULACION DE ALIMENTOS Y BPM",IF(P198=#REF!,"ATENCION A PERSONAS CON DISCAPACIDAD",IF(P198=#REF!,"CUIDADO INTEGRAL DEL PACIENTE ADULTO",IF(P198=#REF!,"MANEJO DEFENSIVO",IF(P198=#REF!,"SOPORTE CARDIOVASCULAR AVANZADO NEONATAL",IF(P198=#REF!,"SEGURIDAD DEL PACIENTE",IF(P198=#REF!,"MANEJO DE RESIDUOS HOSPITALARIOS"))))))))))))))))))))))))))))))))))))</f>
        <v>#REF!</v>
      </c>
      <c r="W198" s="25" t="str">
        <f t="shared" si="14"/>
        <v>Ivan Dario Lopez Nandar</v>
      </c>
      <c r="X198" s="25" t="str">
        <f t="shared" si="15"/>
        <v>Ivan Dario Lopez Nandar</v>
      </c>
      <c r="Y198" s="69" t="str">
        <f t="shared" si="16"/>
        <v>Ivan Dario Lopez Nandar-1004547401-PRIMEROS AUXILIOS</v>
      </c>
    </row>
    <row r="199" spans="1:25" x14ac:dyDescent="0.2">
      <c r="A199" s="19">
        <v>198</v>
      </c>
      <c r="B199" s="20">
        <v>1004547401</v>
      </c>
      <c r="C199" s="20" t="s">
        <v>251</v>
      </c>
      <c r="D199" s="20" t="s">
        <v>313</v>
      </c>
      <c r="E199" s="20" t="s">
        <v>314</v>
      </c>
      <c r="F199" s="20" t="s">
        <v>315</v>
      </c>
      <c r="G199" s="20">
        <v>25</v>
      </c>
      <c r="H199" s="20" t="s">
        <v>56</v>
      </c>
      <c r="I199" s="21" t="s">
        <v>47</v>
      </c>
      <c r="J199" s="21"/>
      <c r="K199" s="22">
        <v>45710</v>
      </c>
      <c r="L199" s="23">
        <v>63000</v>
      </c>
      <c r="M199" s="20" t="s">
        <v>141</v>
      </c>
      <c r="N199" s="20" t="s">
        <v>57</v>
      </c>
      <c r="O199" s="20" t="s">
        <v>48</v>
      </c>
      <c r="P199" s="20" t="s">
        <v>406</v>
      </c>
      <c r="Q199" s="21">
        <v>37612</v>
      </c>
      <c r="R199" s="42" t="s">
        <v>85</v>
      </c>
      <c r="S199" s="20" t="s">
        <v>74</v>
      </c>
      <c r="T199" s="20">
        <v>3177074654</v>
      </c>
      <c r="U199" s="24" t="s">
        <v>316</v>
      </c>
      <c r="V199" s="25" t="s">
        <v>407</v>
      </c>
      <c r="W199" s="25" t="str">
        <f t="shared" si="14"/>
        <v>Ivan Dario Lopez Nandar</v>
      </c>
      <c r="X199" s="25" t="str">
        <f t="shared" si="15"/>
        <v>Ivan Dario Lopez Nandar</v>
      </c>
      <c r="Y199" s="69" t="str">
        <f t="shared" si="16"/>
        <v>Ivan Dario Lopez Nandar-1004547401-ATENCION PRIMARIA</v>
      </c>
    </row>
    <row r="200" spans="1:25" x14ac:dyDescent="0.2">
      <c r="A200" s="19">
        <v>199</v>
      </c>
      <c r="B200" s="20">
        <v>1010078464</v>
      </c>
      <c r="C200" s="20" t="s">
        <v>358</v>
      </c>
      <c r="D200" s="20" t="s">
        <v>359</v>
      </c>
      <c r="E200" s="20" t="s">
        <v>360</v>
      </c>
      <c r="F200" s="20" t="s">
        <v>361</v>
      </c>
      <c r="G200" s="20">
        <v>24</v>
      </c>
      <c r="H200" s="20" t="s">
        <v>56</v>
      </c>
      <c r="I200" s="21" t="s">
        <v>47</v>
      </c>
      <c r="J200" s="21" t="s">
        <v>363</v>
      </c>
      <c r="K200" s="22">
        <v>45714</v>
      </c>
      <c r="L200" s="40">
        <v>35000</v>
      </c>
      <c r="M200" s="20" t="s">
        <v>61</v>
      </c>
      <c r="N200" s="20" t="s">
        <v>57</v>
      </c>
      <c r="O200" s="20" t="s">
        <v>48</v>
      </c>
      <c r="P200" s="20" t="s">
        <v>27</v>
      </c>
      <c r="Q200" s="21">
        <v>36407</v>
      </c>
      <c r="R200" s="20" t="s">
        <v>85</v>
      </c>
      <c r="S200" s="39" t="s">
        <v>333</v>
      </c>
      <c r="T200" s="20">
        <v>3123736020</v>
      </c>
      <c r="U200" s="24" t="s">
        <v>362</v>
      </c>
      <c r="V200" s="25" t="e">
        <f>IF(P200=#REF!,"DIPLOMADO EN ATENCION PRE-HOSPITALARIA",IF(P200=#REF!,"ACOMPAÑAMIENTO Y MANEJO DEL DUELO",IF(P200=#REF!,"ATENCION A VICTIMAS DE ATAQUE CON AGENTES QUIMICOS ",IF(P200=#REF!,"PRIMEROS AUXILIOS ",IF(P200=#REF!,"DIPLOMADO DE UNIDAD DE CUIDADOS INTENSIVOS (UCI)",IF(P200=#REF!,"MODELO DE ATENCION PARA EVENTOS EMERGENTES EN SALUD MENTAL (CODIGO VERDE)",IF(P200=#REF!,"HUMANIZACION EN EL SERVICIO DE LA SALUD Y BUENAS PRACTICAS EN PACIENTE ",IF(P200=#REF!,"CLINICA DE HERIDAS ",IF(P200=#REF!,"TOMA DE CITOLOGIA CERVICO VAGINAL ",IF(P200=#REF!,"SOPORTE CARDIOVASCULAR AVANZADO (ACLS) ",IF(P200=#REF!,"CAMILLERO ",IF(P200=#REF!,"TOMA DE MUESTRAS Y LABORATORIO ",IF(P200=#REF!,"SOPORTE VITAL BASICO (BLS)",IF(P200=#REF!,"ATENCION A VICTIMAS DE VIOLENCIA SEXUAL ",IF(P200=#REF!,"PROGRAMADO AMPLIADO DE INMUNIZACION (PAI - COVID 19)",IF(P200=#REF!,"ATENCION INTEGRAL EN ENFERMEDADES PREVALENTES EN PRIMERA INFANCIA (AIEPI)",IF(P200=#REF!,"ADMINISTRACION DE MEDICAMENTOS, INYECTOLOGIA  Y CANALIZACION ",IF(P200=#REF!,"OPERADOR DE VEHICULOS DE EMERGENCIA (OVE)",IF(P200=#REF!,"INSTITUCIONES AMIGAS DE LA MUJER Y LA INFANCIA (IAMI)",IF(P200=#REF!,"CUIDADO DEL DONANTE DE ORGANOS",IF(P200=#REF!,"ATENCION A VICTIMAS POR VIOLENCIA DE GENERO",IF(P200=#REF!,"IGUALDAD DE GENERO EN LA SALUD",IF(P200=#REF!,"BRIGADA DE EMERGENCIA",IF(P200=#REF!,"MANEJO DEL DOLOR Y CUIDADOS PALIATIVOS",IF(P200=#REF!,"TOMA DE MUESTRAS Y LABORATORIO POCT",IF(P200=#REF!,"IMPLANTE SUBDERMICO DE DISPOSITIVO INTRAUTERINO",IF(P200=#REF!,"SALUD MENTAL",IF(P200=#REF!,"PRIMEROS AUXILIOS PSICOLOGICOS",IF(P200=#REF!,"ATENCION A VICTIMAS POR CONFLICTO ARMADO",IF(P200=#REF!,"MANIPULACION DE ALIMENTOS Y BPM",IF(P200=#REF!,"ATENCION A PERSONAS CON DISCAPACIDAD",IF(P200=#REF!,"CUIDADO INTEGRAL DEL PACIENTE ADULTO",IF(P200=#REF!,"MANEJO DEFENSIVO",IF(P200=#REF!,"SOPORTE CARDIOVASCULAR AVANZADO NEONATAL",IF(P200=#REF!,"SEGURIDAD DEL PACIENTE",IF(P200=#REF!,"MANEJO DE RESIDUOS HOSPITALARIOS"))))))))))))))))))))))))))))))))))))</f>
        <v>#REF!</v>
      </c>
      <c r="W200" s="25" t="str">
        <f t="shared" si="14"/>
        <v>Luis Sebastian Josa Potosi</v>
      </c>
      <c r="X200" s="25" t="str">
        <f t="shared" si="15"/>
        <v>Luis Sebastian Josa Potosi</v>
      </c>
      <c r="Y200" s="69" t="str">
        <f t="shared" si="16"/>
        <v>Luis Sebastian Josa Potosi-1010078464-VIOLENCIA SEXUAL</v>
      </c>
    </row>
    <row r="201" spans="1:25" x14ac:dyDescent="0.2">
      <c r="A201" s="19">
        <v>200</v>
      </c>
      <c r="B201" s="20">
        <v>1085343431</v>
      </c>
      <c r="C201" s="20" t="s">
        <v>408</v>
      </c>
      <c r="D201" s="20" t="s">
        <v>409</v>
      </c>
      <c r="E201" s="20" t="s">
        <v>410</v>
      </c>
      <c r="F201" s="20" t="s">
        <v>247</v>
      </c>
      <c r="G201" s="20">
        <v>27</v>
      </c>
      <c r="H201" s="20" t="s">
        <v>56</v>
      </c>
      <c r="I201" s="21" t="s">
        <v>72</v>
      </c>
      <c r="J201" s="21" t="s">
        <v>91</v>
      </c>
      <c r="K201" s="22">
        <v>45715</v>
      </c>
      <c r="L201" s="40">
        <v>30000</v>
      </c>
      <c r="M201" s="20" t="s">
        <v>61</v>
      </c>
      <c r="N201" s="20" t="s">
        <v>57</v>
      </c>
      <c r="O201" s="20" t="s">
        <v>282</v>
      </c>
      <c r="P201" s="20" t="s">
        <v>19</v>
      </c>
      <c r="Q201" s="21">
        <v>36111</v>
      </c>
      <c r="R201" s="20" t="s">
        <v>49</v>
      </c>
      <c r="S201" s="54" t="s">
        <v>323</v>
      </c>
      <c r="T201" s="20">
        <v>3173382663</v>
      </c>
      <c r="U201" s="20" t="s">
        <v>411</v>
      </c>
      <c r="V201" s="25" t="e">
        <f>IF(P201=#REF!,"DIPLOMADO EN ATENCION PRE-HOSPITALARIA",IF(P201=#REF!,"ACOMPAÑAMIENTO Y MANEJO DEL DUELO",IF(P201=#REF!,"ATENCION A VICTIMAS DE ATAQUE CON AGENTES QUIMICOS ",IF(P201=#REF!,"PRIMEROS AUXILIOS ",IF(P201=#REF!,"DIPLOMADO DE UNIDAD DE CUIDADOS INTENSIVOS (UCI)",IF(P201=#REF!,"MODELO DE ATENCION PARA EVENTOS EMERGENTES EN SALUD MENTAL (CODIGO VERDE)",IF(P201=#REF!,"HUMANIZACION EN EL SERVICIO DE LA SALUD Y BUENAS PRACTICAS EN PACIENTE ",IF(P201=#REF!,"CLINICA DE HERIDAS ",IF(P201=#REF!,"TOMA DE CITOLOGIA CERVICO VAGINAL ",IF(P201=#REF!,"SOPORTE CARDIOVASCULAR AVANZADO (ACLS) ",IF(P201=#REF!,"CAMILLERO ",IF(P201=#REF!,"TOMA DE MUESTRAS Y LABORATORIO ",IF(P201=#REF!,"SOPORTE VITAL BASICO (BLS)",IF(P201=#REF!,"ATENCION A VICTIMAS DE VIOLENCIA SEXUAL ",IF(P201=#REF!,"PROGRAMADO AMPLIADO DE INMUNIZACION (PAI - COVID 19)",IF(P201=#REF!,"ATENCION INTEGRAL EN ENFERMEDADES PREVALENTES EN PRIMERA INFANCIA (AIEPI)",IF(P201=#REF!,"ADMINISTRACION DE MEDICAMENTOS, INYECTOLOGIA  Y CANALIZACION ",IF(P201=#REF!,"OPERADOR DE VEHICULOS DE EMERGENCIA (OVE)",IF(P201=#REF!,"INSTITUCIONES AMIGAS DE LA MUJER Y LA INFANCIA (IAMI)",IF(P201=#REF!,"CUIDADO DEL DONANTE DE ORGANOS",IF(P201=#REF!,"ATENCION A VICTIMAS POR VIOLENCIA DE GENERO",IF(P201=#REF!,"IGUALDAD DE GENERO EN LA SALUD",IF(P201=#REF!,"BRIGADA DE EMERGENCIA",IF(P201=#REF!,"MANEJO DEL DOLOR Y CUIDADOS PALIATIVOS",IF(P201=#REF!,"TOMA DE MUESTRAS Y LABORATORIO POCT",IF(P201=#REF!,"IMPLANTE SUBDERMICO DE DISPOSITIVO INTRAUTERINO",IF(P201=#REF!,"SALUD MENTAL",IF(P201=#REF!,"PRIMEROS AUXILIOS PSICOLOGICOS",IF(P201=#REF!,"ATENCION A VICTIMAS POR CONFLICTO ARMADO",IF(P201=#REF!,"MANIPULACION DE ALIMENTOS Y BPM",IF(P201=#REF!,"ATENCION A PERSONAS CON DISCAPACIDAD",IF(P201=#REF!,"CUIDADO INTEGRAL DEL PACIENTE ADULTO",IF(P201=#REF!,"MANEJO DEFENSIVO",IF(P201=#REF!,"SOPORTE CARDIOVASCULAR AVANZADO NEONATAL",IF(P201=#REF!,"SEGURIDAD DEL PACIENTE",IF(P201=#REF!,"MANEJO DE RESIDUOS HOSPITALARIOS"))))))))))))))))))))))))))))))))))))</f>
        <v>#REF!</v>
      </c>
      <c r="W201" s="25" t="str">
        <f t="shared" si="14"/>
        <v>Julieta Estefania Mesias Achicanoy</v>
      </c>
      <c r="X201" s="25" t="str">
        <f t="shared" si="15"/>
        <v>Julieta Estefania Mesias Achicanoy</v>
      </c>
      <c r="Y201" s="69" t="str">
        <f t="shared" si="16"/>
        <v>Julieta Estefania Mesias Achicanoy-1085343431-BLS</v>
      </c>
    </row>
    <row r="202" spans="1:25" x14ac:dyDescent="0.2">
      <c r="A202" s="19">
        <v>201</v>
      </c>
      <c r="B202" s="20">
        <v>1085343431</v>
      </c>
      <c r="C202" s="20" t="s">
        <v>408</v>
      </c>
      <c r="D202" s="20" t="s">
        <v>409</v>
      </c>
      <c r="E202" s="20" t="s">
        <v>410</v>
      </c>
      <c r="F202" s="20" t="s">
        <v>247</v>
      </c>
      <c r="G202" s="20">
        <v>27</v>
      </c>
      <c r="H202" s="20" t="s">
        <v>56</v>
      </c>
      <c r="I202" s="21" t="s">
        <v>72</v>
      </c>
      <c r="J202" s="21" t="s">
        <v>91</v>
      </c>
      <c r="K202" s="22">
        <v>45715</v>
      </c>
      <c r="L202" s="40">
        <v>30000</v>
      </c>
      <c r="M202" s="20" t="s">
        <v>61</v>
      </c>
      <c r="N202" s="20" t="s">
        <v>57</v>
      </c>
      <c r="O202" s="20" t="s">
        <v>282</v>
      </c>
      <c r="P202" s="20" t="s">
        <v>35</v>
      </c>
      <c r="Q202" s="21">
        <v>36111</v>
      </c>
      <c r="R202" s="20" t="s">
        <v>49</v>
      </c>
      <c r="S202" s="54" t="s">
        <v>323</v>
      </c>
      <c r="T202" s="20">
        <v>3173382663</v>
      </c>
      <c r="U202" s="20" t="s">
        <v>411</v>
      </c>
      <c r="V202" s="25" t="e">
        <f>IF(P202=#REF!,"DIPLOMADO EN ATENCION PRE-HOSPITALARIA",IF(P202=#REF!,"ACOMPAÑAMIENTO Y MANEJO DEL DUELO",IF(P202=#REF!,"ATENCION A VICTIMAS DE ATAQUE CON AGENTES QUIMICOS ",IF(P202=#REF!,"PRIMEROS AUXILIOS ",IF(P202=#REF!,"DIPLOMADO DE UNIDAD DE CUIDADOS INTENSIVOS (UCI)",IF(P202=#REF!,"MODELO DE ATENCION PARA EVENTOS EMERGENTES EN SALUD MENTAL (CODIGO VERDE)",IF(P202=#REF!,"HUMANIZACION EN EL SERVICIO DE LA SALUD Y BUENAS PRACTICAS EN PACIENTE ",IF(P202=#REF!,"CLINICA DE HERIDAS ",IF(P202=#REF!,"TOMA DE CITOLOGIA CERVICO VAGINAL ",IF(P202=#REF!,"SOPORTE CARDIOVASCULAR AVANZADO (ACLS) ",IF(P202=#REF!,"CAMILLERO ",IF(P202=#REF!,"TOMA DE MUESTRAS Y LABORATORIO ",IF(P202=#REF!,"SOPORTE VITAL BASICO (BLS)",IF(P202=#REF!,"ATENCION A VICTIMAS DE VIOLENCIA SEXUAL ",IF(P202=#REF!,"PROGRAMADO AMPLIADO DE INMUNIZACION (PAI - COVID 19)",IF(P202=#REF!,"ATENCION INTEGRAL EN ENFERMEDADES PREVALENTES EN PRIMERA INFANCIA (AIEPI)",IF(P202=#REF!,"ADMINISTRACION DE MEDICAMENTOS, INYECTOLOGIA  Y CANALIZACION ",IF(P202=#REF!,"OPERADOR DE VEHICULOS DE EMERGENCIA (OVE)",IF(P202=#REF!,"INSTITUCIONES AMIGAS DE LA MUJER Y LA INFANCIA (IAMI)",IF(P202=#REF!,"CUIDADO DEL DONANTE DE ORGANOS",IF(P202=#REF!,"ATENCION A VICTIMAS POR VIOLENCIA DE GENERO",IF(P202=#REF!,"IGUALDAD DE GENERO EN LA SALUD",IF(P202=#REF!,"BRIGADA DE EMERGENCIA",IF(P202=#REF!,"MANEJO DEL DOLOR Y CUIDADOS PALIATIVOS",IF(P202=#REF!,"TOMA DE MUESTRAS Y LABORATORIO POCT",IF(P202=#REF!,"IMPLANTE SUBDERMICO DE DISPOSITIVO INTRAUTERINO",IF(P202=#REF!,"SALUD MENTAL",IF(P202=#REF!,"PRIMEROS AUXILIOS PSICOLOGICOS",IF(P202=#REF!,"ATENCION A VICTIMAS POR CONFLICTO ARMADO",IF(P202=#REF!,"MANIPULACION DE ALIMENTOS Y BPM",IF(P202=#REF!,"ATENCION A PERSONAS CON DISCAPACIDAD",IF(P202=#REF!,"CUIDADO INTEGRAL DEL PACIENTE ADULTO",IF(P202=#REF!,"MANEJO DEFENSIVO",IF(P202=#REF!,"SOPORTE CARDIOVASCULAR AVANZADO NEONATAL",IF(P202=#REF!,"SEGURIDAD DEL PACIENTE",IF(P202=#REF!,"MANEJO DE RESIDUOS HOSPITALARIOS"))))))))))))))))))))))))))))))))))))</f>
        <v>#REF!</v>
      </c>
      <c r="W202" s="25" t="str">
        <f t="shared" si="14"/>
        <v>Julieta Estefania Mesias Achicanoy</v>
      </c>
      <c r="X202" s="25" t="str">
        <f t="shared" si="15"/>
        <v>Julieta Estefania Mesias Achicanoy</v>
      </c>
      <c r="Y202" s="69" t="str">
        <f t="shared" si="16"/>
        <v>Julieta Estefania Mesias Achicanoy-1085343431-CONFLICTO ARMADO</v>
      </c>
    </row>
    <row r="203" spans="1:25" x14ac:dyDescent="0.2">
      <c r="A203" s="19">
        <v>202</v>
      </c>
      <c r="B203" s="20">
        <v>1193458385</v>
      </c>
      <c r="C203" s="20" t="s">
        <v>285</v>
      </c>
      <c r="D203" s="20" t="s">
        <v>335</v>
      </c>
      <c r="E203" s="20" t="s">
        <v>336</v>
      </c>
      <c r="F203" s="20" t="s">
        <v>337</v>
      </c>
      <c r="G203" s="20">
        <v>22</v>
      </c>
      <c r="H203" s="20" t="s">
        <v>56</v>
      </c>
      <c r="I203" s="21" t="s">
        <v>47</v>
      </c>
      <c r="J203" s="21" t="s">
        <v>279</v>
      </c>
      <c r="K203" s="22">
        <v>45712</v>
      </c>
      <c r="L203" s="40">
        <v>35000</v>
      </c>
      <c r="M203" s="20" t="s">
        <v>141</v>
      </c>
      <c r="N203" s="20" t="s">
        <v>57</v>
      </c>
      <c r="O203" s="20" t="s">
        <v>48</v>
      </c>
      <c r="P203" s="20" t="s">
        <v>27</v>
      </c>
      <c r="Q203" s="21">
        <v>37127</v>
      </c>
      <c r="R203" s="20" t="s">
        <v>85</v>
      </c>
      <c r="S203" s="24" t="s">
        <v>333</v>
      </c>
      <c r="T203" s="20">
        <v>3206539389</v>
      </c>
      <c r="U203" s="20" t="s">
        <v>338</v>
      </c>
      <c r="V203" s="25" t="e">
        <f>IF(P203=#REF!,"DIPLOMADO EN ATENCION PRE-HOSPITALARIA",IF(P203=#REF!,"ACOMPAÑAMIENTO Y MANEJO DEL DUELO",IF(P203=#REF!,"ATENCION A VICTIMAS DE ATAQUE CON AGENTES QUIMICOS ",IF(P203=#REF!,"PRIMEROS AUXILIOS ",IF(P203=#REF!,"DIPLOMADO DE UNIDAD DE CUIDADOS INTENSIVOS (UCI)",IF(P203=#REF!,"MODELO DE ATENCION PARA EVENTOS EMERGENTES EN SALUD MENTAL (CODIGO VERDE)",IF(P203=#REF!,"HUMANIZACION EN EL SERVICIO DE LA SALUD Y BUENAS PRACTICAS EN PACIENTE ",IF(P203=#REF!,"CLINICA DE HERIDAS ",IF(P203=#REF!,"TOMA DE CITOLOGIA CERVICO VAGINAL ",IF(P203=#REF!,"SOPORTE CARDIOVASCULAR AVANZADO (ACLS) ",IF(P203=#REF!,"CAMILLERO ",IF(P203=#REF!,"TOMA DE MUESTRAS Y LABORATORIO ",IF(P203=#REF!,"SOPORTE VITAL BASICO (BLS)",IF(P203=#REF!,"ATENCION A VICTIMAS DE VIOLENCIA SEXUAL ",IF(P203=#REF!,"PROGRAMADO AMPLIADO DE INMUNIZACION (PAI - COVID 19)",IF(P203=#REF!,"ATENCION INTEGRAL EN ENFERMEDADES PREVALENTES EN PRIMERA INFANCIA (AIEPI)",IF(P203=#REF!,"ADMINISTRACION DE MEDICAMENTOS, INYECTOLOGIA  Y CANALIZACION ",IF(P203=#REF!,"OPERADOR DE VEHICULOS DE EMERGENCIA (OVE)",IF(P203=#REF!,"INSTITUCIONES AMIGAS DE LA MUJER Y LA INFANCIA (IAMI)",IF(P203=#REF!,"CUIDADO DEL DONANTE DE ORGANOS",IF(P203=#REF!,"ATENCION A VICTIMAS POR VIOLENCIA DE GENERO",IF(P203=#REF!,"IGUALDAD DE GENERO EN LA SALUD",IF(P203=#REF!,"BRIGADA DE EMERGENCIA",IF(P203=#REF!,"MANEJO DEL DOLOR Y CUIDADOS PALIATIVOS",IF(P203=#REF!,"TOMA DE MUESTRAS Y LABORATORIO POCT",IF(P203=#REF!,"IMPLANTE SUBDERMICO DE DISPOSITIVO INTRAUTERINO",IF(P203=#REF!,"SALUD MENTAL",IF(P203=#REF!,"PRIMEROS AUXILIOS PSICOLOGICOS",IF(P203=#REF!,"ATENCION A VICTIMAS POR CONFLICTO ARMADO",IF(P203=#REF!,"MANIPULACION DE ALIMENTOS Y BPM",IF(P203=#REF!,"ATENCION A PERSONAS CON DISCAPACIDAD",IF(P203=#REF!,"CUIDADO INTEGRAL DEL PACIENTE ADULTO",IF(P203=#REF!,"MANEJO DEFENSIVO",IF(P203=#REF!,"SOPORTE CARDIOVASCULAR AVANZADO NEONATAL",IF(P203=#REF!,"SEGURIDAD DEL PACIENTE",IF(P203=#REF!,"MANEJO DE RESIDUOS HOSPITALARIOS"))))))))))))))))))))))))))))))))))))</f>
        <v>#REF!</v>
      </c>
      <c r="W203" s="25" t="str">
        <f t="shared" si="14"/>
        <v>Julian Esteban Revelo Enriquez</v>
      </c>
      <c r="X203" s="25" t="str">
        <f t="shared" si="15"/>
        <v>Julian Esteban Revelo Enriquez</v>
      </c>
      <c r="Y203" s="69" t="str">
        <f t="shared" si="16"/>
        <v>Julian Esteban Revelo Enriquez-1193458385-VIOLENCIA SEXUAL</v>
      </c>
    </row>
    <row r="204" spans="1:25" x14ac:dyDescent="0.2">
      <c r="A204" s="19">
        <v>203</v>
      </c>
      <c r="B204" s="20">
        <v>1004133930</v>
      </c>
      <c r="C204" s="20" t="s">
        <v>339</v>
      </c>
      <c r="D204" s="20" t="s">
        <v>340</v>
      </c>
      <c r="E204" s="20" t="s">
        <v>293</v>
      </c>
      <c r="F204" s="20" t="s">
        <v>168</v>
      </c>
      <c r="G204" s="20">
        <v>22</v>
      </c>
      <c r="H204" s="20" t="s">
        <v>56</v>
      </c>
      <c r="I204" s="21" t="s">
        <v>47</v>
      </c>
      <c r="J204" s="21" t="s">
        <v>279</v>
      </c>
      <c r="K204" s="22">
        <v>45716</v>
      </c>
      <c r="L204" s="40">
        <v>35000</v>
      </c>
      <c r="M204" s="20" t="s">
        <v>61</v>
      </c>
      <c r="N204" s="20" t="s">
        <v>57</v>
      </c>
      <c r="O204" s="20" t="s">
        <v>48</v>
      </c>
      <c r="P204" s="20" t="s">
        <v>27</v>
      </c>
      <c r="Q204" s="21">
        <v>36650</v>
      </c>
      <c r="R204" s="20" t="s">
        <v>85</v>
      </c>
      <c r="S204" s="20" t="s">
        <v>333</v>
      </c>
      <c r="T204" s="20">
        <v>3176628832</v>
      </c>
      <c r="U204" s="20" t="s">
        <v>341</v>
      </c>
      <c r="V204" s="25" t="e">
        <f>IF(P204=#REF!,"DIPLOMADO EN ATENCION PRE-HOSPITALARIA",IF(P204=#REF!,"ACOMPAÑAMIENTO Y MANEJO DEL DUELO",IF(P204=#REF!,"ATENCION A VICTIMAS DE ATAQUE CON AGENTES QUIMICOS ",IF(P204=#REF!,"PRIMEROS AUXILIOS ",IF(P204=#REF!,"DIPLOMADO DE UNIDAD DE CUIDADOS INTENSIVOS (UCI)",IF(P204=#REF!,"MODELO DE ATENCION PARA EVENTOS EMERGENTES EN SALUD MENTAL (CODIGO VERDE)",IF(P204=#REF!,"HUMANIZACION EN EL SERVICIO DE LA SALUD Y BUENAS PRACTICAS EN PACIENTE ",IF(P204=#REF!,"CLINICA DE HERIDAS ",IF(P204=#REF!,"TOMA DE CITOLOGIA CERVICO VAGINAL ",IF(P204=#REF!,"SOPORTE CARDIOVASCULAR AVANZADO (ACLS) ",IF(P204=#REF!,"CAMILLERO ",IF(P204=#REF!,"TOMA DE MUESTRAS Y LABORATORIO ",IF(P204=#REF!,"SOPORTE VITAL BASICO (BLS)",IF(P204=#REF!,"ATENCION A VICTIMAS DE VIOLENCIA SEXUAL ",IF(P204=#REF!,"PROGRAMADO AMPLIADO DE INMUNIZACION (PAI - COVID 19)",IF(P204=#REF!,"ATENCION INTEGRAL EN ENFERMEDADES PREVALENTES EN PRIMERA INFANCIA (AIEPI)",IF(P204=#REF!,"ADMINISTRACION DE MEDICAMENTOS, INYECTOLOGIA  Y CANALIZACION ",IF(P204=#REF!,"OPERADOR DE VEHICULOS DE EMERGENCIA (OVE)",IF(P204=#REF!,"INSTITUCIONES AMIGAS DE LA MUJER Y LA INFANCIA (IAMI)",IF(P204=#REF!,"CUIDADO DEL DONANTE DE ORGANOS",IF(P204=#REF!,"ATENCION A VICTIMAS POR VIOLENCIA DE GENERO",IF(P204=#REF!,"IGUALDAD DE GENERO EN LA SALUD",IF(P204=#REF!,"BRIGADA DE EMERGENCIA",IF(P204=#REF!,"MANEJO DEL DOLOR Y CUIDADOS PALIATIVOS",IF(P204=#REF!,"TOMA DE MUESTRAS Y LABORATORIO POCT",IF(P204=#REF!,"IMPLANTE SUBDERMICO DE DISPOSITIVO INTRAUTERINO",IF(P204=#REF!,"SALUD MENTAL",IF(P204=#REF!,"PRIMEROS AUXILIOS PSICOLOGICOS",IF(P204=#REF!,"ATENCION A VICTIMAS POR CONFLICTO ARMADO",IF(P204=#REF!,"MANIPULACION DE ALIMENTOS Y BPM",IF(P204=#REF!,"ATENCION A PERSONAS CON DISCAPACIDAD",IF(P204=#REF!,"CUIDADO INTEGRAL DEL PACIENTE ADULTO",IF(P204=#REF!,"MANEJO DEFENSIVO",IF(P204=#REF!,"SOPORTE CARDIOVASCULAR AVANZADO NEONATAL",IF(P204=#REF!,"SEGURIDAD DEL PACIENTE",IF(P204=#REF!,"MANEJO DE RESIDUOS HOSPITALARIOS"))))))))))))))))))))))))))))))))))))</f>
        <v>#REF!</v>
      </c>
      <c r="W204" s="25" t="str">
        <f t="shared" si="14"/>
        <v>Andres Mauricio Barrero Perez</v>
      </c>
      <c r="X204" s="25" t="str">
        <f t="shared" si="15"/>
        <v>Andres Mauricio Barrero Perez</v>
      </c>
      <c r="Y204" s="69" t="str">
        <f t="shared" si="16"/>
        <v>Andres Mauricio Barrero Perez-1004133930-VIOLENCIA SEXUAL</v>
      </c>
    </row>
    <row r="205" spans="1:25" x14ac:dyDescent="0.2">
      <c r="A205" s="19">
        <v>204</v>
      </c>
      <c r="B205" s="20">
        <v>27549443</v>
      </c>
      <c r="C205" s="20" t="s">
        <v>256</v>
      </c>
      <c r="D205" s="20" t="s">
        <v>161</v>
      </c>
      <c r="E205" s="20" t="s">
        <v>364</v>
      </c>
      <c r="F205" s="20" t="s">
        <v>412</v>
      </c>
      <c r="G205" s="20">
        <v>27</v>
      </c>
      <c r="H205" s="20" t="s">
        <v>56</v>
      </c>
      <c r="I205" s="43" t="s">
        <v>72</v>
      </c>
      <c r="J205" s="43" t="s">
        <v>91</v>
      </c>
      <c r="K205" s="22">
        <v>45715</v>
      </c>
      <c r="L205" s="40">
        <v>35000</v>
      </c>
      <c r="M205" s="20" t="s">
        <v>61</v>
      </c>
      <c r="N205" s="20" t="s">
        <v>57</v>
      </c>
      <c r="O205" s="20" t="s">
        <v>48</v>
      </c>
      <c r="P205" s="20" t="s">
        <v>27</v>
      </c>
      <c r="Q205" s="21">
        <v>28928</v>
      </c>
      <c r="R205" s="20" t="s">
        <v>49</v>
      </c>
      <c r="S205" s="20" t="s">
        <v>74</v>
      </c>
      <c r="T205" s="20">
        <v>3167411122</v>
      </c>
      <c r="U205" s="20" t="s">
        <v>413</v>
      </c>
      <c r="V205" s="25" t="e">
        <f>IF(P205=#REF!,"DIPLOMADO EN ATENCION PRE-HOSPITALARIA",IF(P205=#REF!,"ACOMPAÑAMIENTO Y MANEJO DEL DUELO",IF(P205=#REF!,"ATENCION A VICTIMAS DE ATAQUE CON AGENTES QUIMICOS ",IF(P205=#REF!,"PRIMEROS AUXILIOS ",IF(P205=#REF!,"DIPLOMADO DE UNIDAD DE CUIDADOS INTENSIVOS (UCI)",IF(P205=#REF!,"MODELO DE ATENCION PARA EVENTOS EMERGENTES EN SALUD MENTAL (CODIGO VERDE)",IF(P205=#REF!,"HUMANIZACION EN EL SERVICIO DE LA SALUD Y BUENAS PRACTICAS EN PACIENTE ",IF(P205=#REF!,"CLINICA DE HERIDAS ",IF(P205=#REF!,"TOMA DE CITOLOGIA CERVICO VAGINAL ",IF(P205=#REF!,"SOPORTE CARDIOVASCULAR AVANZADO (ACLS) ",IF(P205=#REF!,"CAMILLERO ",IF(P205=#REF!,"TOMA DE MUESTRAS Y LABORATORIO ",IF(P205=#REF!,"SOPORTE VITAL BASICO (BLS)",IF(P205=#REF!,"ATENCION A VICTIMAS DE VIOLENCIA SEXUAL ",IF(P205=#REF!,"PROGRAMADO AMPLIADO DE INMUNIZACION (PAI - COVID 19)",IF(P205=#REF!,"ATENCION INTEGRAL EN ENFERMEDADES PREVALENTES EN PRIMERA INFANCIA (AIEPI)",IF(P205=#REF!,"ADMINISTRACION DE MEDICAMENTOS, INYECTOLOGIA  Y CANALIZACION ",IF(P205=#REF!,"OPERADOR DE VEHICULOS DE EMERGENCIA (OVE)",IF(P205=#REF!,"INSTITUCIONES AMIGAS DE LA MUJER Y LA INFANCIA (IAMI)",IF(P205=#REF!,"CUIDADO DEL DONANTE DE ORGANOS",IF(P205=#REF!,"ATENCION A VICTIMAS POR VIOLENCIA DE GENERO",IF(P205=#REF!,"IGUALDAD DE GENERO EN LA SALUD",IF(P205=#REF!,"BRIGADA DE EMERGENCIA",IF(P205=#REF!,"MANEJO DEL DOLOR Y CUIDADOS PALIATIVOS",IF(P205=#REF!,"TOMA DE MUESTRAS Y LABORATORIO POCT",IF(P205=#REF!,"IMPLANTE SUBDERMICO DE DISPOSITIVO INTRAUTERINO",IF(P205=#REF!,"SALUD MENTAL",IF(P205=#REF!,"PRIMEROS AUXILIOS PSICOLOGICOS",IF(P205=#REF!,"ATENCION A VICTIMAS POR CONFLICTO ARMADO",IF(P205=#REF!,"MANIPULACION DE ALIMENTOS Y BPM",IF(P205=#REF!,"ATENCION A PERSONAS CON DISCAPACIDAD",IF(P205=#REF!,"CUIDADO INTEGRAL DEL PACIENTE ADULTO",IF(P205=#REF!,"MANEJO DEFENSIVO",IF(P205=#REF!,"SOPORTE CARDIOVASCULAR AVANZADO NEONATAL",IF(P205=#REF!,"SEGURIDAD DEL PACIENTE",IF(P205=#REF!,"MANEJO DE RESIDUOS HOSPITALARIOS"))))))))))))))))))))))))))))))))))))</f>
        <v>#REF!</v>
      </c>
      <c r="W205" s="25" t="str">
        <f t="shared" si="14"/>
        <v>Luz Dary Villota Portilla</v>
      </c>
      <c r="X205" s="25" t="str">
        <f t="shared" si="15"/>
        <v>Luz Dary Villota Portilla</v>
      </c>
      <c r="Y205" s="69" t="str">
        <f t="shared" si="16"/>
        <v>Luz Dary Villota Portilla-27549443-VIOLENCIA SEXUAL</v>
      </c>
    </row>
    <row r="206" spans="1:25" x14ac:dyDescent="0.2">
      <c r="A206" s="19">
        <v>205</v>
      </c>
      <c r="B206" s="20">
        <v>27549443</v>
      </c>
      <c r="C206" s="20" t="s">
        <v>256</v>
      </c>
      <c r="D206" s="20" t="s">
        <v>161</v>
      </c>
      <c r="E206" s="20" t="s">
        <v>364</v>
      </c>
      <c r="F206" s="20" t="s">
        <v>412</v>
      </c>
      <c r="G206" s="20">
        <v>27</v>
      </c>
      <c r="H206" s="20" t="s">
        <v>56</v>
      </c>
      <c r="I206" s="43" t="s">
        <v>72</v>
      </c>
      <c r="J206" s="43" t="s">
        <v>91</v>
      </c>
      <c r="K206" s="22">
        <v>45715</v>
      </c>
      <c r="L206" s="40">
        <v>35000</v>
      </c>
      <c r="M206" s="20" t="s">
        <v>61</v>
      </c>
      <c r="N206" s="20" t="s">
        <v>57</v>
      </c>
      <c r="O206" s="20" t="s">
        <v>48</v>
      </c>
      <c r="P206" s="20" t="s">
        <v>21</v>
      </c>
      <c r="Q206" s="21">
        <v>28928</v>
      </c>
      <c r="R206" s="20" t="s">
        <v>49</v>
      </c>
      <c r="S206" s="20" t="s">
        <v>74</v>
      </c>
      <c r="T206" s="20">
        <v>3167411122</v>
      </c>
      <c r="U206" s="20" t="s">
        <v>413</v>
      </c>
      <c r="V206" s="25" t="e">
        <f>IF(P206=#REF!,"DIPLOMADO EN ATENCION PRE-HOSPITALARIA",IF(P206=#REF!,"ACOMPAÑAMIENTO Y MANEJO DEL DUELO",IF(P206=#REF!,"ATENCION A VICTIMAS DE ATAQUE CON AGENTES QUIMICOS ",IF(P206=#REF!,"PRIMEROS AUXILIOS ",IF(P206=#REF!,"DIPLOMADO DE UNIDAD DE CUIDADOS INTENSIVOS (UCI)",IF(P206=#REF!,"MODELO DE ATENCION PARA EVENTOS EMERGENTES EN SALUD MENTAL (CODIGO VERDE)",IF(P206=#REF!,"HUMANIZACION EN EL SERVICIO DE LA SALUD Y BUENAS PRACTICAS EN PACIENTE ",IF(P206=#REF!,"CLINICA DE HERIDAS ",IF(P206=#REF!,"TOMA DE CITOLOGIA CERVICO VAGINAL ",IF(P206=#REF!,"SOPORTE CARDIOVASCULAR AVANZADO (ACLS) ",IF(P206=#REF!,"CAMILLERO ",IF(P206=#REF!,"TOMA DE MUESTRAS Y LABORATORIO ",IF(P206=#REF!,"SOPORTE VITAL BASICO (BLS)",IF(P206=#REF!,"ATENCION A VICTIMAS DE VIOLENCIA SEXUAL ",IF(P206=#REF!,"PROGRAMADO AMPLIADO DE INMUNIZACION (PAI - COVID 19)",IF(P206=#REF!,"ATENCION INTEGRAL EN ENFERMEDADES PREVALENTES EN PRIMERA INFANCIA (AIEPI)",IF(P206=#REF!,"ADMINISTRACION DE MEDICAMENTOS, INYECTOLOGIA  Y CANALIZACION ",IF(P206=#REF!,"OPERADOR DE VEHICULOS DE EMERGENCIA (OVE)",IF(P206=#REF!,"INSTITUCIONES AMIGAS DE LA MUJER Y LA INFANCIA (IAMI)",IF(P206=#REF!,"CUIDADO DEL DONANTE DE ORGANOS",IF(P206=#REF!,"ATENCION A VICTIMAS POR VIOLENCIA DE GENERO",IF(P206=#REF!,"IGUALDAD DE GENERO EN LA SALUD",IF(P206=#REF!,"BRIGADA DE EMERGENCIA",IF(P206=#REF!,"MANEJO DEL DOLOR Y CUIDADOS PALIATIVOS",IF(P206=#REF!,"TOMA DE MUESTRAS Y LABORATORIO POCT",IF(P206=#REF!,"IMPLANTE SUBDERMICO DE DISPOSITIVO INTRAUTERINO",IF(P206=#REF!,"SALUD MENTAL",IF(P206=#REF!,"PRIMEROS AUXILIOS PSICOLOGICOS",IF(P206=#REF!,"ATENCION A VICTIMAS POR CONFLICTO ARMADO",IF(P206=#REF!,"MANIPULACION DE ALIMENTOS Y BPM",IF(P206=#REF!,"ATENCION A PERSONAS CON DISCAPACIDAD",IF(P206=#REF!,"CUIDADO INTEGRAL DEL PACIENTE ADULTO",IF(P206=#REF!,"MANEJO DEFENSIVO",IF(P206=#REF!,"SOPORTE CARDIOVASCULAR AVANZADO NEONATAL",IF(P206=#REF!,"SEGURIDAD DEL PACIENTE",IF(P206=#REF!,"MANEJO DE RESIDUOS HOSPITALARIOS"))))))))))))))))))))))))))))))))))))</f>
        <v>#REF!</v>
      </c>
      <c r="W206" s="25" t="str">
        <f t="shared" si="14"/>
        <v>Luz Dary Villota Portilla</v>
      </c>
      <c r="X206" s="25" t="str">
        <f t="shared" si="15"/>
        <v>Luz Dary Villota Portilla</v>
      </c>
      <c r="Y206" s="69" t="str">
        <f t="shared" si="16"/>
        <v>Luz Dary Villota Portilla-27549443-QUIMICOS</v>
      </c>
    </row>
    <row r="207" spans="1:25" x14ac:dyDescent="0.2">
      <c r="A207" s="28">
        <v>206</v>
      </c>
      <c r="B207" s="29">
        <v>1107530805</v>
      </c>
      <c r="C207" s="29" t="s">
        <v>414</v>
      </c>
      <c r="D207" s="29" t="s">
        <v>251</v>
      </c>
      <c r="E207" s="29" t="s">
        <v>337</v>
      </c>
      <c r="F207" s="29" t="s">
        <v>176</v>
      </c>
      <c r="G207" s="29">
        <v>27</v>
      </c>
      <c r="H207" s="29" t="s">
        <v>56</v>
      </c>
      <c r="I207" s="51" t="s">
        <v>47</v>
      </c>
      <c r="J207" s="51"/>
      <c r="K207" s="31">
        <v>45715</v>
      </c>
      <c r="L207" s="77">
        <v>80000</v>
      </c>
      <c r="M207" s="29" t="s">
        <v>61</v>
      </c>
      <c r="N207" s="29" t="s">
        <v>57</v>
      </c>
      <c r="O207" s="29" t="s">
        <v>48</v>
      </c>
      <c r="P207" s="29" t="s">
        <v>27</v>
      </c>
      <c r="Q207" s="30">
        <v>36498</v>
      </c>
      <c r="R207" s="29" t="s">
        <v>85</v>
      </c>
      <c r="S207" s="29" t="s">
        <v>415</v>
      </c>
      <c r="T207" s="29">
        <v>3016042944</v>
      </c>
      <c r="U207" s="29" t="s">
        <v>416</v>
      </c>
      <c r="V207" s="34" t="e">
        <f>IF(P207=#REF!,"DIPLOMADO EN ATENCION PRE-HOSPITALARIA",IF(P207=#REF!,"ACOMPAÑAMIENTO Y MANEJO DEL DUELO",IF(P207=#REF!,"ATENCION A VICTIMAS DE ATAQUE CON AGENTES QUIMICOS ",IF(P207=#REF!,"PRIMEROS AUXILIOS ",IF(P207=#REF!,"DIPLOMADO DE UNIDAD DE CUIDADOS INTENSIVOS (UCI)",IF(P207=#REF!,"MODELO DE ATENCION PARA EVENTOS EMERGENTES EN SALUD MENTAL (CODIGO VERDE)",IF(P207=#REF!,"HUMANIZACION EN EL SERVICIO DE LA SALUD Y BUENAS PRACTICAS EN PACIENTE ",IF(P207=#REF!,"CLINICA DE HERIDAS ",IF(P207=#REF!,"TOMA DE CITOLOGIA CERVICO VAGINAL ",IF(P207=#REF!,"SOPORTE CARDIOVASCULAR AVANZADO (ACLS) ",IF(P207=#REF!,"CAMILLERO ",IF(P207=#REF!,"TOMA DE MUESTRAS Y LABORATORIO ",IF(P207=#REF!,"SOPORTE VITAL BASICO (BLS)",IF(P207=#REF!,"ATENCION A VICTIMAS DE VIOLENCIA SEXUAL ",IF(P207=#REF!,"PROGRAMADO AMPLIADO DE INMUNIZACION (PAI - COVID 19)",IF(P207=#REF!,"ATENCION INTEGRAL EN ENFERMEDADES PREVALENTES EN PRIMERA INFANCIA (AIEPI)",IF(P207=#REF!,"ADMINISTRACION DE MEDICAMENTOS, INYECTOLOGIA  Y CANALIZACION ",IF(P207=#REF!,"OPERADOR DE VEHICULOS DE EMERGENCIA (OVE)",IF(P207=#REF!,"INSTITUCIONES AMIGAS DE LA MUJER Y LA INFANCIA (IAMI)",IF(P207=#REF!,"CUIDADO DEL DONANTE DE ORGANOS",IF(P207=#REF!,"ATENCION A VICTIMAS POR VIOLENCIA DE GENERO",IF(P207=#REF!,"IGUALDAD DE GENERO EN LA SALUD",IF(P207=#REF!,"BRIGADA DE EMERGENCIA",IF(P207=#REF!,"MANEJO DEL DOLOR Y CUIDADOS PALIATIVOS",IF(P207=#REF!,"TOMA DE MUESTRAS Y LABORATORIO POCT",IF(P207=#REF!,"IMPLANTE SUBDERMICO DE DISPOSITIVO INTRAUTERINO",IF(P207=#REF!,"SALUD MENTAL",IF(P207=#REF!,"PRIMEROS AUXILIOS PSICOLOGICOS",IF(P207=#REF!,"ATENCION A VICTIMAS POR CONFLICTO ARMADO",IF(P207=#REF!,"MANIPULACION DE ALIMENTOS Y BPM",IF(P207=#REF!,"ATENCION A PERSONAS CON DISCAPACIDAD",IF(P207=#REF!,"CUIDADO INTEGRAL DEL PACIENTE ADULTO",IF(P207=#REF!,"MANEJO DEFENSIVO",IF(P207=#REF!,"SOPORTE CARDIOVASCULAR AVANZADO NEONATAL",IF(P207=#REF!,"SEGURIDAD DEL PACIENTE",IF(P207=#REF!,"MANEJO DE RESIDUOS HOSPITALARIOS"))))))))))))))))))))))))))))))))))))</f>
        <v>#REF!</v>
      </c>
      <c r="W207" s="34" t="str">
        <f t="shared" ref="W207:W243" si="17">CONCATENATE(E207," ",F207," ",C207," ",D207)</f>
        <v>Esteban Jose Puentes Lopez</v>
      </c>
      <c r="X207" s="34" t="str">
        <f t="shared" ref="X207:X243" si="18">PROPER(W207)</f>
        <v>Esteban Jose Puentes Lopez</v>
      </c>
      <c r="Y207" s="70" t="str">
        <f t="shared" ref="Y207:Y243" si="19">CONCATENATE(W207,"-",B207,"-",P207)</f>
        <v>Esteban Jose Puentes Lopez-1107530805-VIOLENCIA SEXUAL</v>
      </c>
    </row>
    <row r="208" spans="1:25" s="78" customFormat="1" x14ac:dyDescent="0.2">
      <c r="A208" s="19">
        <v>207</v>
      </c>
      <c r="B208" s="20">
        <v>12976895</v>
      </c>
      <c r="C208" s="20" t="s">
        <v>419</v>
      </c>
      <c r="D208" s="20" t="s">
        <v>250</v>
      </c>
      <c r="E208" s="20" t="s">
        <v>420</v>
      </c>
      <c r="F208" s="20" t="s">
        <v>421</v>
      </c>
      <c r="G208" s="20">
        <v>28</v>
      </c>
      <c r="H208" s="20" t="s">
        <v>56</v>
      </c>
      <c r="I208" s="21" t="s">
        <v>72</v>
      </c>
      <c r="J208" s="21" t="s">
        <v>88</v>
      </c>
      <c r="K208" s="22">
        <v>45716</v>
      </c>
      <c r="L208" s="40">
        <v>122000</v>
      </c>
      <c r="M208" s="20" t="s">
        <v>61</v>
      </c>
      <c r="N208" s="20" t="s">
        <v>57</v>
      </c>
      <c r="O208" s="20" t="s">
        <v>48</v>
      </c>
      <c r="P208" s="20" t="s">
        <v>24</v>
      </c>
      <c r="Q208" s="21"/>
      <c r="R208" s="20" t="s">
        <v>85</v>
      </c>
      <c r="S208" s="20" t="s">
        <v>422</v>
      </c>
      <c r="T208" s="20">
        <v>3172282345</v>
      </c>
      <c r="U208" s="20" t="s">
        <v>423</v>
      </c>
      <c r="V208" s="25" t="e">
        <f>IF(P208=#REF!,"DIPLOMADO EN ATENCION PRE-HOSPITALARIA",IF(P208=#REF!,"ACOMPAÑAMIENTO Y MANEJO DEL DUELO",IF(P208=#REF!,"ATENCION A VICTIMAS DE ATAQUE CON AGENTES QUIMICOS ",IF(P208=#REF!,"PRIMEROS AUXILIOS ",IF(P208=#REF!,"DIPLOMADO DE UNIDAD DE CUIDADOS INTENSIVOS (UCI)",IF(P208=#REF!,"MODELO DE ATENCION PARA EVENTOS EMERGENTES EN SALUD MENTAL (CODIGO VERDE)",IF(P208=#REF!,"HUMANIZACION EN EL SERVICIO DE LA SALUD Y BUENAS PRACTICAS EN PACIENTE ",IF(P208=#REF!,"CLINICA DE HERIDAS ",IF(P208=#REF!,"TOMA DE CITOLOGIA CERVICO VAGINAL ",IF(P208=#REF!,"SOPORTE CARDIOVASCULAR AVANZADO (ACLS) ",IF(P208=#REF!,"CAMILLERO ",IF(P208=#REF!,"TOMA DE MUESTRAS Y LABORATORIO ",IF(P208=#REF!,"SOPORTE VITAL BASICO (BLS)",IF(P208=#REF!,"ATENCION A VICTIMAS DE VIOLENCIA SEXUAL ",IF(P208=#REF!,"PROGRAMADO AMPLIADO DE INMUNIZACION (PAI - COVID 19)",IF(P208=#REF!,"ATENCION INTEGRAL EN ENFERMEDADES PREVALENTES EN PRIMERA INFANCIA (AIEPI)",IF(P208=#REF!,"ADMINISTRACION DE MEDICAMENTOS, INYECTOLOGIA  Y CANALIZACION ",IF(P208=#REF!,"OPERADOR DE VEHICULOS DE EMERGENCIA (OVE)",IF(P208=#REF!,"INSTITUCIONES AMIGAS DE LA MUJER Y LA INFANCIA (IAMI)",IF(P208=#REF!,"CUIDADO DEL DONANTE DE ORGANOS",IF(P208=#REF!,"ATENCION A VICTIMAS POR VIOLENCIA DE GENERO",IF(P208=#REF!,"IGUALDAD DE GENERO EN LA SALUD",IF(P208=#REF!,"BRIGADA DE EMERGENCIA",IF(P208=#REF!,"MANEJO DEL DOLOR Y CUIDADOS PALIATIVOS",IF(P208=#REF!,"TOMA DE MUESTRAS Y LABORATORIO POCT",IF(P208=#REF!,"IMPLANTE SUBDERMICO DE DISPOSITIVO INTRAUTERINO",IF(P208=#REF!,"SALUD MENTAL",IF(P208=#REF!,"PRIMEROS AUXILIOS PSICOLOGICOS",IF(P208=#REF!,"ATENCION A VICTIMAS POR CONFLICTO ARMADO",IF(P208=#REF!,"MANIPULACION DE ALIMENTOS Y BPM",IF(P208=#REF!,"ATENCION A PERSONAS CON DISCAPACIDAD",IF(P208=#REF!,"CUIDADO INTEGRAL DEL PACIENTE ADULTO",IF(P208=#REF!,"MANEJO DEFENSIVO",IF(P208=#REF!,"SOPORTE CARDIOVASCULAR AVANZADO NEONATAL",IF(P208=#REF!,"SEGURIDAD DEL PACIENTE",IF(P208=#REF!,"MANEJO DE RESIDUOS HOSPITALARIOS"))))))))))))))))))))))))))))))))))))</f>
        <v>#REF!</v>
      </c>
      <c r="W208" s="25" t="str">
        <f t="shared" si="17"/>
        <v>Emilio Hipolito Moreno Torres</v>
      </c>
      <c r="X208" s="25" t="str">
        <f t="shared" si="18"/>
        <v>Emilio Hipolito Moreno Torres</v>
      </c>
      <c r="Y208" s="25" t="str">
        <f t="shared" si="19"/>
        <v>Emilio Hipolito Moreno Torres-12976895-ACLS</v>
      </c>
    </row>
    <row r="209" spans="1:25" s="78" customFormat="1" x14ac:dyDescent="0.2">
      <c r="A209" s="19">
        <v>208</v>
      </c>
      <c r="B209" s="20">
        <v>12976895</v>
      </c>
      <c r="C209" s="20" t="s">
        <v>419</v>
      </c>
      <c r="D209" s="20" t="s">
        <v>250</v>
      </c>
      <c r="E209" s="20" t="s">
        <v>420</v>
      </c>
      <c r="F209" s="20" t="s">
        <v>421</v>
      </c>
      <c r="G209" s="20">
        <v>27</v>
      </c>
      <c r="H209" s="20" t="s">
        <v>56</v>
      </c>
      <c r="I209" s="21" t="s">
        <v>72</v>
      </c>
      <c r="J209" s="21" t="s">
        <v>88</v>
      </c>
      <c r="K209" s="22">
        <v>45716</v>
      </c>
      <c r="L209" s="40">
        <v>26000</v>
      </c>
      <c r="M209" s="20" t="s">
        <v>61</v>
      </c>
      <c r="N209" s="20" t="s">
        <v>57</v>
      </c>
      <c r="O209" s="20" t="s">
        <v>48</v>
      </c>
      <c r="P209" s="20" t="s">
        <v>20</v>
      </c>
      <c r="Q209" s="21"/>
      <c r="R209" s="20" t="s">
        <v>85</v>
      </c>
      <c r="S209" s="20" t="s">
        <v>422</v>
      </c>
      <c r="T209" s="20">
        <v>3172282345</v>
      </c>
      <c r="U209" s="20" t="s">
        <v>423</v>
      </c>
      <c r="V209" s="25" t="e">
        <f>IF(P209=#REF!,"DIPLOMADO EN ATENCION PRE-HOSPITALARIA",IF(P209=#REF!,"ACOMPAÑAMIENTO Y MANEJO DEL DUELO",IF(P209=#REF!,"ATENCION A VICTIMAS DE ATAQUE CON AGENTES QUIMICOS ",IF(P209=#REF!,"PRIMEROS AUXILIOS ",IF(P209=#REF!,"DIPLOMADO DE UNIDAD DE CUIDADOS INTENSIVOS (UCI)",IF(P209=#REF!,"MODELO DE ATENCION PARA EVENTOS EMERGENTES EN SALUD MENTAL (CODIGO VERDE)",IF(P209=#REF!,"HUMANIZACION EN EL SERVICIO DE LA SALUD Y BUENAS PRACTICAS EN PACIENTE ",IF(P209=#REF!,"CLINICA DE HERIDAS ",IF(P209=#REF!,"TOMA DE CITOLOGIA CERVICO VAGINAL ",IF(P209=#REF!,"SOPORTE CARDIOVASCULAR AVANZADO (ACLS) ",IF(P209=#REF!,"CAMILLERO ",IF(P209=#REF!,"TOMA DE MUESTRAS Y LABORATORIO ",IF(P209=#REF!,"SOPORTE VITAL BASICO (BLS)",IF(P209=#REF!,"ATENCION A VICTIMAS DE VIOLENCIA SEXUAL ",IF(P209=#REF!,"PROGRAMADO AMPLIADO DE INMUNIZACION (PAI - COVID 19)",IF(P209=#REF!,"ATENCION INTEGRAL EN ENFERMEDADES PREVALENTES EN PRIMERA INFANCIA (AIEPI)",IF(P209=#REF!,"ADMINISTRACION DE MEDICAMENTOS, INYECTOLOGIA  Y CANALIZACION ",IF(P209=#REF!,"OPERADOR DE VEHICULOS DE EMERGENCIA (OVE)",IF(P209=#REF!,"INSTITUCIONES AMIGAS DE LA MUJER Y LA INFANCIA (IAMI)",IF(P209=#REF!,"CUIDADO DEL DONANTE DE ORGANOS",IF(P209=#REF!,"ATENCION A VICTIMAS POR VIOLENCIA DE GENERO",IF(P209=#REF!,"IGUALDAD DE GENERO EN LA SALUD",IF(P209=#REF!,"BRIGADA DE EMERGENCIA",IF(P209=#REF!,"MANEJO DEL DOLOR Y CUIDADOS PALIATIVOS",IF(P209=#REF!,"TOMA DE MUESTRAS Y LABORATORIO POCT",IF(P209=#REF!,"IMPLANTE SUBDERMICO DE DISPOSITIVO INTRAUTERINO",IF(P209=#REF!,"SALUD MENTAL",IF(P209=#REF!,"PRIMEROS AUXILIOS PSICOLOGICOS",IF(P209=#REF!,"ATENCION A VICTIMAS POR CONFLICTO ARMADO",IF(P209=#REF!,"MANIPULACION DE ALIMENTOS Y BPM",IF(P209=#REF!,"ATENCION A PERSONAS CON DISCAPACIDAD",IF(P209=#REF!,"CUIDADO INTEGRAL DEL PACIENTE ADULTO",IF(P209=#REF!,"MANEJO DEFENSIVO",IF(P209=#REF!,"SOPORTE CARDIOVASCULAR AVANZADO NEONATAL",IF(P209=#REF!,"SEGURIDAD DEL PACIENTE",IF(P209=#REF!,"MANEJO DE RESIDUOS HOSPITALARIOS"))))))))))))))))))))))))))))))))))))</f>
        <v>#REF!</v>
      </c>
      <c r="W209" s="25" t="str">
        <f t="shared" si="17"/>
        <v>Emilio Hipolito Moreno Torres</v>
      </c>
      <c r="X209" s="25" t="str">
        <f t="shared" si="18"/>
        <v>Emilio Hipolito Moreno Torres</v>
      </c>
      <c r="Y209" s="25" t="str">
        <f t="shared" si="19"/>
        <v>Emilio Hipolito Moreno Torres-12976895-DUELO</v>
      </c>
    </row>
    <row r="210" spans="1:25" s="78" customFormat="1" x14ac:dyDescent="0.2">
      <c r="A210" s="19">
        <v>209</v>
      </c>
      <c r="B210" s="20">
        <v>12976895</v>
      </c>
      <c r="C210" s="20" t="s">
        <v>419</v>
      </c>
      <c r="D210" s="20" t="s">
        <v>250</v>
      </c>
      <c r="E210" s="20" t="s">
        <v>420</v>
      </c>
      <c r="F210" s="20" t="s">
        <v>421</v>
      </c>
      <c r="G210" s="20">
        <v>26</v>
      </c>
      <c r="H210" s="20" t="s">
        <v>56</v>
      </c>
      <c r="I210" s="21" t="s">
        <v>72</v>
      </c>
      <c r="J210" s="21" t="s">
        <v>88</v>
      </c>
      <c r="K210" s="22">
        <v>45716</v>
      </c>
      <c r="L210" s="40">
        <v>26000</v>
      </c>
      <c r="M210" s="20" t="s">
        <v>61</v>
      </c>
      <c r="N210" s="20" t="s">
        <v>57</v>
      </c>
      <c r="O210" s="20" t="s">
        <v>48</v>
      </c>
      <c r="P210" s="20" t="s">
        <v>23</v>
      </c>
      <c r="Q210" s="21"/>
      <c r="R210" s="20" t="s">
        <v>85</v>
      </c>
      <c r="S210" s="20" t="s">
        <v>422</v>
      </c>
      <c r="T210" s="20">
        <v>3172282345</v>
      </c>
      <c r="U210" s="20" t="s">
        <v>423</v>
      </c>
      <c r="V210" s="25" t="e">
        <f>IF(P210=#REF!,"DIPLOMADO EN ATENCION PRE-HOSPITALARIA",IF(P210=#REF!,"ACOMPAÑAMIENTO Y MANEJO DEL DUELO",IF(P210=#REF!,"ATENCION A VICTIMAS DE ATAQUE CON AGENTES QUIMICOS ",IF(P210=#REF!,"PRIMEROS AUXILIOS ",IF(P210=#REF!,"DIPLOMADO DE UNIDAD DE CUIDADOS INTENSIVOS (UCI)",IF(P210=#REF!,"MODELO DE ATENCION PARA EVENTOS EMERGENTES EN SALUD MENTAL (CODIGO VERDE)",IF(P210=#REF!,"HUMANIZACION EN EL SERVICIO DE LA SALUD Y BUENAS PRACTICAS EN PACIENTE ",IF(P210=#REF!,"CLINICA DE HERIDAS ",IF(P210=#REF!,"TOMA DE CITOLOGIA CERVICO VAGINAL ",IF(P210=#REF!,"SOPORTE CARDIOVASCULAR AVANZADO (ACLS) ",IF(P210=#REF!,"CAMILLERO ",IF(P210=#REF!,"TOMA DE MUESTRAS Y LABORATORIO ",IF(P210=#REF!,"SOPORTE VITAL BASICO (BLS)",IF(P210=#REF!,"ATENCION A VICTIMAS DE VIOLENCIA SEXUAL ",IF(P210=#REF!,"PROGRAMADO AMPLIADO DE INMUNIZACION (PAI - COVID 19)",IF(P210=#REF!,"ATENCION INTEGRAL EN ENFERMEDADES PREVALENTES EN PRIMERA INFANCIA (AIEPI)",IF(P210=#REF!,"ADMINISTRACION DE MEDICAMENTOS, INYECTOLOGIA  Y CANALIZACION ",IF(P210=#REF!,"OPERADOR DE VEHICULOS DE EMERGENCIA (OVE)",IF(P210=#REF!,"INSTITUCIONES AMIGAS DE LA MUJER Y LA INFANCIA (IAMI)",IF(P210=#REF!,"CUIDADO DEL DONANTE DE ORGANOS",IF(P210=#REF!,"ATENCION A VICTIMAS POR VIOLENCIA DE GENERO",IF(P210=#REF!,"IGUALDAD DE GENERO EN LA SALUD",IF(P210=#REF!,"BRIGADA DE EMERGENCIA",IF(P210=#REF!,"MANEJO DEL DOLOR Y CUIDADOS PALIATIVOS",IF(P210=#REF!,"TOMA DE MUESTRAS Y LABORATORIO POCT",IF(P210=#REF!,"IMPLANTE SUBDERMICO DE DISPOSITIVO INTRAUTERINO",IF(P210=#REF!,"SALUD MENTAL",IF(P210=#REF!,"PRIMEROS AUXILIOS PSICOLOGICOS",IF(P210=#REF!,"ATENCION A VICTIMAS POR CONFLICTO ARMADO",IF(P210=#REF!,"MANIPULACION DE ALIMENTOS Y BPM",IF(P210=#REF!,"ATENCION A PERSONAS CON DISCAPACIDAD",IF(P210=#REF!,"CUIDADO INTEGRAL DEL PACIENTE ADULTO",IF(P210=#REF!,"MANEJO DEFENSIVO",IF(P210=#REF!,"SOPORTE CARDIOVASCULAR AVANZADO NEONATAL",IF(P210=#REF!,"SEGURIDAD DEL PACIENTE",IF(P210=#REF!,"MANEJO DE RESIDUOS HOSPITALARIOS"))))))))))))))))))))))))))))))))))))</f>
        <v>#REF!</v>
      </c>
      <c r="W210" s="25" t="str">
        <f t="shared" si="17"/>
        <v>Emilio Hipolito Moreno Torres</v>
      </c>
      <c r="X210" s="25" t="str">
        <f t="shared" si="18"/>
        <v>Emilio Hipolito Moreno Torres</v>
      </c>
      <c r="Y210" s="25" t="str">
        <f t="shared" si="19"/>
        <v>Emilio Hipolito Moreno Torres-12976895-HUMANIZACION</v>
      </c>
    </row>
    <row r="211" spans="1:25" s="78" customFormat="1" x14ac:dyDescent="0.2">
      <c r="A211" s="19">
        <v>210</v>
      </c>
      <c r="B211" s="20">
        <v>12976895</v>
      </c>
      <c r="C211" s="20" t="s">
        <v>419</v>
      </c>
      <c r="D211" s="20" t="s">
        <v>250</v>
      </c>
      <c r="E211" s="20" t="s">
        <v>420</v>
      </c>
      <c r="F211" s="20" t="s">
        <v>421</v>
      </c>
      <c r="G211" s="20">
        <v>25</v>
      </c>
      <c r="H211" s="20" t="s">
        <v>56</v>
      </c>
      <c r="I211" s="21" t="s">
        <v>72</v>
      </c>
      <c r="J211" s="21" t="s">
        <v>88</v>
      </c>
      <c r="K211" s="22">
        <v>45716</v>
      </c>
      <c r="L211" s="40">
        <v>26000</v>
      </c>
      <c r="M211" s="20" t="s">
        <v>61</v>
      </c>
      <c r="N211" s="20" t="s">
        <v>57</v>
      </c>
      <c r="O211" s="20" t="s">
        <v>48</v>
      </c>
      <c r="P211" s="20" t="s">
        <v>33</v>
      </c>
      <c r="Q211" s="21"/>
      <c r="R211" s="20" t="s">
        <v>85</v>
      </c>
      <c r="S211" s="20" t="s">
        <v>422</v>
      </c>
      <c r="T211" s="20">
        <v>3172282345</v>
      </c>
      <c r="U211" s="20" t="s">
        <v>423</v>
      </c>
      <c r="V211" s="25" t="e">
        <f>IF(P211=#REF!,"DIPLOMADO EN ATENCION PRE-HOSPITALARIA",IF(P211=#REF!,"ACOMPAÑAMIENTO Y MANEJO DEL DUELO",IF(P211=#REF!,"ATENCION A VICTIMAS DE ATAQUE CON AGENTES QUIMICOS ",IF(P211=#REF!,"PRIMEROS AUXILIOS ",IF(P211=#REF!,"DIPLOMADO DE UNIDAD DE CUIDADOS INTENSIVOS (UCI)",IF(P211=#REF!,"MODELO DE ATENCION PARA EVENTOS EMERGENTES EN SALUD MENTAL (CODIGO VERDE)",IF(P211=#REF!,"HUMANIZACION EN EL SERVICIO DE LA SALUD Y BUENAS PRACTICAS EN PACIENTE ",IF(P211=#REF!,"CLINICA DE HERIDAS ",IF(P211=#REF!,"TOMA DE CITOLOGIA CERVICO VAGINAL ",IF(P211=#REF!,"SOPORTE CARDIOVASCULAR AVANZADO (ACLS) ",IF(P211=#REF!,"CAMILLERO ",IF(P211=#REF!,"TOMA DE MUESTRAS Y LABORATORIO ",IF(P211=#REF!,"SOPORTE VITAL BASICO (BLS)",IF(P211=#REF!,"ATENCION A VICTIMAS DE VIOLENCIA SEXUAL ",IF(P211=#REF!,"PROGRAMADO AMPLIADO DE INMUNIZACION (PAI - COVID 19)",IF(P211=#REF!,"ATENCION INTEGRAL EN ENFERMEDADES PREVALENTES EN PRIMERA INFANCIA (AIEPI)",IF(P211=#REF!,"ADMINISTRACION DE MEDICAMENTOS, INYECTOLOGIA  Y CANALIZACION ",IF(P211=#REF!,"OPERADOR DE VEHICULOS DE EMERGENCIA (OVE)",IF(P211=#REF!,"INSTITUCIONES AMIGAS DE LA MUJER Y LA INFANCIA (IAMI)",IF(P211=#REF!,"CUIDADO DEL DONANTE DE ORGANOS",IF(P211=#REF!,"ATENCION A VICTIMAS POR VIOLENCIA DE GENERO",IF(P211=#REF!,"IGUALDAD DE GENERO EN LA SALUD",IF(P211=#REF!,"BRIGADA DE EMERGENCIA",IF(P211=#REF!,"MANEJO DEL DOLOR Y CUIDADOS PALIATIVOS",IF(P211=#REF!,"TOMA DE MUESTRAS Y LABORATORIO POCT",IF(P211=#REF!,"IMPLANTE SUBDERMICO DE DISPOSITIVO INTRAUTERINO",IF(P211=#REF!,"SALUD MENTAL",IF(P211=#REF!,"PRIMEROS AUXILIOS PSICOLOGICOS",IF(P211=#REF!,"ATENCION A VICTIMAS POR CONFLICTO ARMADO",IF(P211=#REF!,"MANIPULACION DE ALIMENTOS Y BPM",IF(P211=#REF!,"ATENCION A PERSONAS CON DISCAPACIDAD",IF(P211=#REF!,"CUIDADO INTEGRAL DEL PACIENTE ADULTO",IF(P211=#REF!,"MANEJO DEFENSIVO",IF(P211=#REF!,"SOPORTE CARDIOVASCULAR AVANZADO NEONATAL",IF(P211=#REF!,"SEGURIDAD DEL PACIENTE",IF(P211=#REF!,"MANEJO DE RESIDUOS HOSPITALARIOS"))))))))))))))))))))))))))))))))))))</f>
        <v>#REF!</v>
      </c>
      <c r="W211" s="25" t="str">
        <f t="shared" si="17"/>
        <v>Emilio Hipolito Moreno Torres</v>
      </c>
      <c r="X211" s="25" t="str">
        <f t="shared" si="18"/>
        <v>Emilio Hipolito Moreno Torres</v>
      </c>
      <c r="Y211" s="25" t="str">
        <f t="shared" si="19"/>
        <v>Emilio Hipolito Moreno Torres-12976895-PALIATIVOS</v>
      </c>
    </row>
    <row r="212" spans="1:25" s="78" customFormat="1" x14ac:dyDescent="0.2">
      <c r="A212" s="19">
        <v>211</v>
      </c>
      <c r="B212" s="20">
        <v>1088731474</v>
      </c>
      <c r="C212" s="20" t="s">
        <v>251</v>
      </c>
      <c r="D212" s="20" t="s">
        <v>69</v>
      </c>
      <c r="E212" s="20" t="s">
        <v>103</v>
      </c>
      <c r="F212" s="20" t="s">
        <v>424</v>
      </c>
      <c r="G212" s="20">
        <v>28</v>
      </c>
      <c r="H212" s="20" t="s">
        <v>56</v>
      </c>
      <c r="I212" s="21" t="s">
        <v>72</v>
      </c>
      <c r="J212" s="21" t="s">
        <v>91</v>
      </c>
      <c r="K212" s="22">
        <v>45716</v>
      </c>
      <c r="L212" s="40">
        <v>32000</v>
      </c>
      <c r="M212" s="20" t="s">
        <v>90</v>
      </c>
      <c r="N212" s="20" t="s">
        <v>57</v>
      </c>
      <c r="O212" s="20" t="s">
        <v>73</v>
      </c>
      <c r="P212" s="20" t="s">
        <v>27</v>
      </c>
      <c r="Q212" s="21">
        <v>32324</v>
      </c>
      <c r="R212" s="20" t="s">
        <v>49</v>
      </c>
      <c r="S212" s="20" t="s">
        <v>78</v>
      </c>
      <c r="T212" s="20">
        <v>3127032464</v>
      </c>
      <c r="U212" s="20" t="s">
        <v>425</v>
      </c>
      <c r="V212" s="25" t="e">
        <f>IF(P212=#REF!,"DIPLOMADO EN ATENCION PRE-HOSPITALARIA",IF(P212=#REF!,"ACOMPAÑAMIENTO Y MANEJO DEL DUELO",IF(P212=#REF!,"ATENCION A VICTIMAS DE ATAQUE CON AGENTES QUIMICOS ",IF(P212=#REF!,"PRIMEROS AUXILIOS ",IF(P212=#REF!,"DIPLOMADO DE UNIDAD DE CUIDADOS INTENSIVOS (UCI)",IF(P212=#REF!,"MODELO DE ATENCION PARA EVENTOS EMERGENTES EN SALUD MENTAL (CODIGO VERDE)",IF(P212=#REF!,"HUMANIZACION EN EL SERVICIO DE LA SALUD Y BUENAS PRACTICAS EN PACIENTE ",IF(P212=#REF!,"CLINICA DE HERIDAS ",IF(P212=#REF!,"TOMA DE CITOLOGIA CERVICO VAGINAL ",IF(P212=#REF!,"SOPORTE CARDIOVASCULAR AVANZADO (ACLS) ",IF(P212=#REF!,"CAMILLERO ",IF(P212=#REF!,"TOMA DE MUESTRAS Y LABORATORIO ",IF(P212=#REF!,"SOPORTE VITAL BASICO (BLS)",IF(P212=#REF!,"ATENCION A VICTIMAS DE VIOLENCIA SEXUAL ",IF(P212=#REF!,"PROGRAMADO AMPLIADO DE INMUNIZACION (PAI - COVID 19)",IF(P212=#REF!,"ATENCION INTEGRAL EN ENFERMEDADES PREVALENTES EN PRIMERA INFANCIA (AIEPI)",IF(P212=#REF!,"ADMINISTRACION DE MEDICAMENTOS, INYECTOLOGIA  Y CANALIZACION ",IF(P212=#REF!,"OPERADOR DE VEHICULOS DE EMERGENCIA (OVE)",IF(P212=#REF!,"INSTITUCIONES AMIGAS DE LA MUJER Y LA INFANCIA (IAMI)",IF(P212=#REF!,"CUIDADO DEL DONANTE DE ORGANOS",IF(P212=#REF!,"ATENCION A VICTIMAS POR VIOLENCIA DE GENERO",IF(P212=#REF!,"IGUALDAD DE GENERO EN LA SALUD",IF(P212=#REF!,"BRIGADA DE EMERGENCIA",IF(P212=#REF!,"MANEJO DEL DOLOR Y CUIDADOS PALIATIVOS",IF(P212=#REF!,"TOMA DE MUESTRAS Y LABORATORIO POCT",IF(P212=#REF!,"IMPLANTE SUBDERMICO DE DISPOSITIVO INTRAUTERINO",IF(P212=#REF!,"SALUD MENTAL",IF(P212=#REF!,"PRIMEROS AUXILIOS PSICOLOGICOS",IF(P212=#REF!,"ATENCION A VICTIMAS POR CONFLICTO ARMADO",IF(P212=#REF!,"MANIPULACION DE ALIMENTOS Y BPM",IF(P212=#REF!,"ATENCION A PERSONAS CON DISCAPACIDAD",IF(P212=#REF!,"CUIDADO INTEGRAL DEL PACIENTE ADULTO",IF(P212=#REF!,"MANEJO DEFENSIVO",IF(P212=#REF!,"SOPORTE CARDIOVASCULAR AVANZADO NEONATAL",IF(P212=#REF!,"SEGURIDAD DEL PACIENTE",IF(P212=#REF!,"MANEJO DE RESIDUOS HOSPITALARIOS"))))))))))))))))))))))))))))))))))))</f>
        <v>#REF!</v>
      </c>
      <c r="W212" s="25" t="str">
        <f t="shared" si="17"/>
        <v>Sandra Floribel Lopez Andrade</v>
      </c>
      <c r="X212" s="25" t="str">
        <f t="shared" si="18"/>
        <v>Sandra Floribel Lopez Andrade</v>
      </c>
      <c r="Y212" s="25" t="str">
        <f t="shared" si="19"/>
        <v>Sandra Floribel Lopez Andrade-1088731474-VIOLENCIA SEXUAL</v>
      </c>
    </row>
    <row r="213" spans="1:25" s="78" customFormat="1" x14ac:dyDescent="0.2">
      <c r="A213" s="19">
        <v>212</v>
      </c>
      <c r="B213" s="20">
        <v>1004630806</v>
      </c>
      <c r="C213" s="20" t="s">
        <v>203</v>
      </c>
      <c r="D213" s="20" t="s">
        <v>231</v>
      </c>
      <c r="E213" s="20" t="s">
        <v>207</v>
      </c>
      <c r="F213" s="20" t="s">
        <v>426</v>
      </c>
      <c r="G213" s="20">
        <v>28</v>
      </c>
      <c r="H213" s="20" t="s">
        <v>56</v>
      </c>
      <c r="I213" s="20" t="s">
        <v>47</v>
      </c>
      <c r="J213" s="20"/>
      <c r="K213" s="22" t="s">
        <v>427</v>
      </c>
      <c r="L213" s="40">
        <v>80000</v>
      </c>
      <c r="M213" s="20"/>
      <c r="N213" s="20" t="s">
        <v>57</v>
      </c>
      <c r="O213" s="20" t="s">
        <v>48</v>
      </c>
      <c r="P213" s="20" t="s">
        <v>26</v>
      </c>
      <c r="Q213" s="21" t="s">
        <v>296</v>
      </c>
      <c r="R213" s="20" t="s">
        <v>49</v>
      </c>
      <c r="S213" s="39" t="s">
        <v>428</v>
      </c>
      <c r="T213" s="20">
        <v>3104630757</v>
      </c>
      <c r="U213" s="20" t="s">
        <v>429</v>
      </c>
      <c r="V213" s="25" t="e">
        <f>IF(P213=#REF!,"DIPLOMADO EN ATENCION PRE-HOSPITALARIA",IF(P213=#REF!,"ACOMPAÑAMIENTO Y MANEJO DEL DUELO",IF(P213=#REF!,"ATENCION A VICTIMAS DE ATAQUE CON AGENTES QUIMICOS ",IF(P213=#REF!,"PRIMEROS AUXILIOS ",IF(P213=#REF!,"DIPLOMADO DE UNIDAD DE CUIDADOS INTENSIVOS (UCI)",IF(P213=#REF!,"MODELO DE ATENCION PARA EVENTOS EMERGENTES EN SALUD MENTAL (CODIGO VERDE)",IF(P213=#REF!,"HUMANIZACION EN EL SERVICIO DE LA SALUD Y BUENAS PRACTICAS EN PACIENTE ",IF(P213=#REF!,"CLINICA DE HERIDAS ",IF(P213=#REF!,"TOMA DE CITOLOGIA CERVICO VAGINAL ",IF(P213=#REF!,"SOPORTE CARDIOVASCULAR AVANZADO (ACLS) ",IF(P213=#REF!,"CAMILLERO ",IF(P213=#REF!,"TOMA DE MUESTRAS Y LABORATORIO ",IF(P213=#REF!,"SOPORTE VITAL BASICO (BLS)",IF(P213=#REF!,"ATENCION A VICTIMAS DE VIOLENCIA SEXUAL ",IF(P213=#REF!,"PROGRAMADO AMPLIADO DE INMUNIZACION (PAI - COVID 19)",IF(P213=#REF!,"ATENCION INTEGRAL EN ENFERMEDADES PREVALENTES EN PRIMERA INFANCIA (AIEPI)",IF(P213=#REF!,"ADMINISTRACION DE MEDICAMENTOS, INYECTOLOGIA  Y CANALIZACION ",IF(P213=#REF!,"OPERADOR DE VEHICULOS DE EMERGENCIA (OVE)",IF(P213=#REF!,"INSTITUCIONES AMIGAS DE LA MUJER Y LA INFANCIA (IAMI)",IF(P213=#REF!,"CUIDADO DEL DONANTE DE ORGANOS",IF(P213=#REF!,"ATENCION A VICTIMAS POR VIOLENCIA DE GENERO",IF(P213=#REF!,"IGUALDAD DE GENERO EN LA SALUD",IF(P213=#REF!,"BRIGADA DE EMERGENCIA",IF(P213=#REF!,"MANEJO DEL DOLOR Y CUIDADOS PALIATIVOS",IF(P213=#REF!,"TOMA DE MUESTRAS Y LABORATORIO POCT",IF(P213=#REF!,"IMPLANTE SUBDERMICO DE DISPOSITIVO INTRAUTERINO",IF(P213=#REF!,"SALUD MENTAL",IF(P213=#REF!,"PRIMEROS AUXILIOS PSICOLOGICOS",IF(P213=#REF!,"ATENCION A VICTIMAS POR CONFLICTO ARMADO",IF(P213=#REF!,"MANIPULACION DE ALIMENTOS Y BPM",IF(P213=#REF!,"ATENCION A PERSONAS CON DISCAPACIDAD",IF(P213=#REF!,"CUIDADO INTEGRAL DEL PACIENTE ADULTO",IF(P213=#REF!,"MANEJO DEFENSIVO",IF(P213=#REF!,"SOPORTE CARDIOVASCULAR AVANZADO NEONATAL",IF(P213=#REF!,"SEGURIDAD DEL PACIENTE",IF(P213=#REF!,"MANEJO DE RESIDUOS HOSPITALARIOS"))))))))))))))))))))))))))))))))))))</f>
        <v>#REF!</v>
      </c>
      <c r="W213" s="25" t="str">
        <f t="shared" si="17"/>
        <v>Angela Sofia Ordoñez Gomez</v>
      </c>
      <c r="X213" s="25" t="str">
        <f t="shared" si="18"/>
        <v>Angela Sofia Ordoñez Gomez</v>
      </c>
      <c r="Y213" s="25" t="str">
        <f t="shared" si="19"/>
        <v>Angela Sofia Ordoñez Gomez-1004630806-TOMA DE MUESTRAS</v>
      </c>
    </row>
    <row r="214" spans="1:25" x14ac:dyDescent="0.2">
      <c r="A214" s="80">
        <v>213</v>
      </c>
      <c r="B214" s="2">
        <v>1087408219</v>
      </c>
      <c r="C214" s="2" t="s">
        <v>75</v>
      </c>
      <c r="D214" s="2" t="s">
        <v>128</v>
      </c>
      <c r="E214" s="2" t="s">
        <v>322</v>
      </c>
      <c r="G214" s="2">
        <v>28</v>
      </c>
      <c r="H214" s="2" t="s">
        <v>56</v>
      </c>
      <c r="I214" s="7" t="s">
        <v>47</v>
      </c>
      <c r="J214" s="7"/>
      <c r="L214" s="5">
        <v>70000</v>
      </c>
      <c r="N214" s="2" t="s">
        <v>57</v>
      </c>
      <c r="O214" s="2" t="s">
        <v>48</v>
      </c>
      <c r="P214" s="2" t="s">
        <v>20</v>
      </c>
      <c r="Q214" s="7">
        <v>36797</v>
      </c>
      <c r="R214" s="2" t="s">
        <v>49</v>
      </c>
      <c r="S214" s="2" t="s">
        <v>74</v>
      </c>
      <c r="T214" s="2">
        <v>3175813240</v>
      </c>
      <c r="U214" s="2" t="s">
        <v>379</v>
      </c>
      <c r="V214" s="6" t="e">
        <f>IF(P214=#REF!,"DIPLOMADO EN ATENCION PRE-HOSPITALARIA",IF(P214=#REF!,"ACOMPAÑAMIENTO Y MANEJO DEL DUELO",IF(P214=#REF!,"ATENCION A VICTIMAS DE ATAQUE CON AGENTES QUIMICOS ",IF(P214=#REF!,"PRIMEROS AUXILIOS ",IF(P214=#REF!,"DIPLOMADO DE UNIDAD DE CUIDADOS INTENSIVOS (UCI)",IF(P214=#REF!,"MODELO DE ATENCION PARA EVENTOS EMERGENTES EN SALUD MENTAL (CODIGO VERDE)",IF(P214=#REF!,"HUMANIZACION EN EL SERVICIO DE LA SALUD Y BUENAS PRACTICAS EN PACIENTE ",IF(P214=#REF!,"CLINICA DE HERIDAS ",IF(P214=#REF!,"TOMA DE CITOLOGIA CERVICO VAGINAL ",IF(P214=#REF!,"SOPORTE CARDIOVASCULAR AVANZADO (ACLS) ",IF(P214=#REF!,"CAMILLERO ",IF(P214=#REF!,"TOMA DE MUESTRAS Y LABORATORIO ",IF(P214=#REF!,"SOPORTE VITAL BASICO (BLS)",IF(P214=#REF!,"ATENCION A VICTIMAS DE VIOLENCIA SEXUAL ",IF(P214=#REF!,"PROGRAMADO AMPLIADO DE INMUNIZACION (PAI - COVID 19)",IF(P214=#REF!,"ATENCION INTEGRAL EN ENFERMEDADES PREVALENTES EN PRIMERA INFANCIA (AIEPI)",IF(P214=#REF!,"ADMINISTRACION DE MEDICAMENTOS, INYECTOLOGIA  Y CANALIZACION ",IF(P214=#REF!,"OPERADOR DE VEHICULOS DE EMERGENCIA (OVE)",IF(P214=#REF!,"INSTITUCIONES AMIGAS DE LA MUJER Y LA INFANCIA (IAMI)",IF(P214=#REF!,"CUIDADO DEL DONANTE DE ORGANOS",IF(P214=#REF!,"ATENCION A VICTIMAS POR VIOLENCIA DE GENERO",IF(P214=#REF!,"IGUALDAD DE GENERO EN LA SALUD",IF(P214=#REF!,"BRIGADA DE EMERGENCIA",IF(P214=#REF!,"MANEJO DEL DOLOR Y CUIDADOS PALIATIVOS",IF(P214=#REF!,"TOMA DE MUESTRAS Y LABORATORIO POCT",IF(P214=#REF!,"IMPLANTE SUBDERMICO DE DISPOSITIVO INTRAUTERINO",IF(P214=#REF!,"SALUD MENTAL",IF(P214=#REF!,"PRIMEROS AUXILIOS PSICOLOGICOS",IF(P214=#REF!,"ATENCION A VICTIMAS POR CONFLICTO ARMADO",IF(P214=#REF!,"MANIPULACION DE ALIMENTOS Y BPM",IF(P214=#REF!,"ATENCION A PERSONAS CON DISCAPACIDAD",IF(P214=#REF!,"CUIDADO INTEGRAL DEL PACIENTE ADULTO",IF(P214=#REF!,"MANEJO DEFENSIVO",IF(P214=#REF!,"SOPORTE CARDIOVASCULAR AVANZADO NEONATAL",IF(P214=#REF!,"SEGURIDAD DEL PACIENTE",IF(P214=#REF!,"MANEJO DE RESIDUOS HOSPITALARIOS"))))))))))))))))))))))))))))))))))))</f>
        <v>#REF!</v>
      </c>
      <c r="W214" s="6" t="str">
        <f t="shared" si="17"/>
        <v>Daniela  Narvaez Delgado</v>
      </c>
      <c r="X214" s="6" t="str">
        <f t="shared" si="18"/>
        <v>Daniela  Narvaez Delgado</v>
      </c>
      <c r="Y214" s="6" t="str">
        <f t="shared" si="19"/>
        <v>Daniela  Narvaez Delgado-1087408219-DUELO</v>
      </c>
    </row>
    <row r="215" spans="1:25" x14ac:dyDescent="0.2">
      <c r="A215" s="80">
        <v>214</v>
      </c>
      <c r="B215" s="20"/>
      <c r="C215" s="20"/>
      <c r="D215" s="20"/>
      <c r="E215" s="20"/>
      <c r="F215" s="20"/>
      <c r="G215" s="20"/>
      <c r="H215" s="20"/>
      <c r="I215" s="21"/>
      <c r="J215" s="21"/>
      <c r="K215" s="22"/>
      <c r="L215" s="40"/>
      <c r="M215" s="20"/>
      <c r="N215" s="20"/>
      <c r="O215" s="20"/>
      <c r="P215" s="20"/>
      <c r="Q215" s="21"/>
      <c r="R215" s="20"/>
      <c r="S215" s="20"/>
      <c r="T215" s="20"/>
      <c r="U215" s="20"/>
      <c r="V215" s="6" t="e">
        <f>IF(P215=#REF!,"DIPLOMADO EN ATENCION PRE-HOSPITALARIA",IF(P215=#REF!,"ACOMPAÑAMIENTO Y MANEJO DEL DUELO",IF(P215=#REF!,"ATENCION A VICTIMAS DE ATAQUE CON AGENTES QUIMICOS ",IF(P215=#REF!,"PRIMEROS AUXILIOS ",IF(P215=#REF!,"DIPLOMADO DE UNIDAD DE CUIDADOS INTENSIVOS (UCI)",IF(P215=#REF!,"MODELO DE ATENCION PARA EVENTOS EMERGENTES EN SALUD MENTAL (CODIGO VERDE)",IF(P215=#REF!,"HUMANIZACION EN EL SERVICIO DE LA SALUD Y BUENAS PRACTICAS EN PACIENTE ",IF(P215=#REF!,"CLINICA DE HERIDAS ",IF(P215=#REF!,"TOMA DE CITOLOGIA CERVICO VAGINAL ",IF(P215=#REF!,"SOPORTE CARDIOVASCULAR AVANZADO (ACLS) ",IF(P215=#REF!,"CAMILLERO ",IF(P215=#REF!,"TOMA DE MUESTRAS Y LABORATORIO ",IF(P215=#REF!,"SOPORTE VITAL BASICO (BLS)",IF(P215=#REF!,"ATENCION A VICTIMAS DE VIOLENCIA SEXUAL ",IF(P215=#REF!,"PROGRAMADO AMPLIADO DE INMUNIZACION (PAI - COVID 19)",IF(P215=#REF!,"ATENCION INTEGRAL EN ENFERMEDADES PREVALENTES EN PRIMERA INFANCIA (AIEPI)",IF(P215=#REF!,"ADMINISTRACION DE MEDICAMENTOS, INYECTOLOGIA  Y CANALIZACION ",IF(P215=#REF!,"OPERADOR DE VEHICULOS DE EMERGENCIA (OVE)",IF(P215=#REF!,"INSTITUCIONES AMIGAS DE LA MUJER Y LA INFANCIA (IAMI)",IF(P215=#REF!,"CUIDADO DEL DONANTE DE ORGANOS",IF(P215=#REF!,"ATENCION A VICTIMAS POR VIOLENCIA DE GENERO",IF(P215=#REF!,"IGUALDAD DE GENERO EN LA SALUD",IF(P215=#REF!,"BRIGADA DE EMERGENCIA",IF(P215=#REF!,"MANEJO DEL DOLOR Y CUIDADOS PALIATIVOS",IF(P215=#REF!,"TOMA DE MUESTRAS Y LABORATORIO POCT",IF(P215=#REF!,"IMPLANTE SUBDERMICO DE DISPOSITIVO INTRAUTERINO",IF(P215=#REF!,"SALUD MENTAL",IF(P215=#REF!,"PRIMEROS AUXILIOS PSICOLOGICOS",IF(P215=#REF!,"ATENCION A VICTIMAS POR CONFLICTO ARMADO",IF(P215=#REF!,"MANIPULACION DE ALIMENTOS Y BPM",IF(P215=#REF!,"ATENCION A PERSONAS CON DISCAPACIDAD",IF(P215=#REF!,"CUIDADO INTEGRAL DEL PACIENTE ADULTO",IF(P215=#REF!,"MANEJO DEFENSIVO",IF(P215=#REF!,"SOPORTE CARDIOVASCULAR AVANZADO NEONATAL",IF(P215=#REF!,"SEGURIDAD DEL PACIENTE",IF(P215=#REF!,"MANEJO DE RESIDUOS HOSPITALARIOS"))))))))))))))))))))))))))))))))))))</f>
        <v>#REF!</v>
      </c>
      <c r="W215" s="6" t="str">
        <f t="shared" si="17"/>
        <v xml:space="preserve">   </v>
      </c>
      <c r="X215" s="6" t="str">
        <f t="shared" si="18"/>
        <v xml:space="preserve">   </v>
      </c>
      <c r="Y215" s="6" t="str">
        <f t="shared" si="19"/>
        <v xml:space="preserve">   --</v>
      </c>
    </row>
    <row r="216" spans="1:25" x14ac:dyDescent="0.2">
      <c r="A216" s="79">
        <v>215</v>
      </c>
      <c r="Q216" s="7"/>
      <c r="U216" s="8"/>
      <c r="V216" s="6" t="e">
        <f>IF(P216=#REF!,"DIPLOMADO EN ATENCION PRE-HOSPITALARIA",IF(P216=#REF!,"ACOMPAÑAMIENTO Y MANEJO DEL DUELO",IF(P216=#REF!,"ATENCION A VICTIMAS DE ATAQUE CON AGENTES QUIMICOS ",IF(P216=#REF!,"PRIMEROS AUXILIOS ",IF(P216=#REF!,"DIPLOMADO DE UNIDAD DE CUIDADOS INTENSIVOS (UCI)",IF(P216=#REF!,"MODELO DE ATENCION PARA EVENTOS EMERGENTES EN SALUD MENTAL (CODIGO VERDE)",IF(P216=#REF!,"HUMANIZACION EN EL SERVICIO DE LA SALUD Y BUENAS PRACTICAS EN PACIENTE ",IF(P216=#REF!,"CLINICA DE HERIDAS ",IF(P216=#REF!,"TOMA DE CITOLOGIA CERVICO VAGINAL ",IF(P216=#REF!,"SOPORTE CARDIOVASCULAR AVANZADO (ACLS) ",IF(P216=#REF!,"CAMILLERO ",IF(P216=#REF!,"TOMA DE MUESTRAS Y LABORATORIO ",IF(P216=#REF!,"SOPORTE VITAL BASICO (BLS)",IF(P216=#REF!,"ATENCION A VICTIMAS DE VIOLENCIA SEXUAL ",IF(P216=#REF!,"PROGRAMADO AMPLIADO DE INMUNIZACION (PAI - COVID 19)",IF(P216=#REF!,"ATENCION INTEGRAL EN ENFERMEDADES PREVALENTES EN PRIMERA INFANCIA (AIEPI)",IF(P216=#REF!,"ADMINISTRACION DE MEDICAMENTOS, INYECTOLOGIA  Y CANALIZACION ",IF(P216=#REF!,"OPERADOR DE VEHICULOS DE EMERGENCIA (OVE)",IF(P216=#REF!,"INSTITUCIONES AMIGAS DE LA MUJER Y LA INFANCIA (IAMI)",IF(P216=#REF!,"CUIDADO DEL DONANTE DE ORGANOS",IF(P216=#REF!,"ATENCION A VICTIMAS POR VIOLENCIA DE GENERO",IF(P216=#REF!,"IGUALDAD DE GENERO EN LA SALUD",IF(P216=#REF!,"BRIGADA DE EMERGENCIA",IF(P216=#REF!,"MANEJO DEL DOLOR Y CUIDADOS PALIATIVOS",IF(P216=#REF!,"TOMA DE MUESTRAS Y LABORATORIO POCT",IF(P216=#REF!,"IMPLANTE SUBDERMICO DE DISPOSITIVO INTRAUTERINO",IF(P216=#REF!,"SALUD MENTAL",IF(P216=#REF!,"PRIMEROS AUXILIOS PSICOLOGICOS",IF(P216=#REF!,"ATENCION A VICTIMAS POR CONFLICTO ARMADO",IF(P216=#REF!,"MANIPULACION DE ALIMENTOS Y BPM",IF(P216=#REF!,"ATENCION A PERSONAS CON DISCAPACIDAD",IF(P216=#REF!,"CUIDADO INTEGRAL DEL PACIENTE ADULTO",IF(P216=#REF!,"MANEJO DEFENSIVO",IF(P216=#REF!,"SOPORTE CARDIOVASCULAR AVANZADO NEONATAL",IF(P216=#REF!,"SEGURIDAD DEL PACIENTE",IF(P216=#REF!,"MANEJO DE RESIDUOS HOSPITALARIOS"))))))))))))))))))))))))))))))))))))</f>
        <v>#REF!</v>
      </c>
      <c r="W216" s="6" t="str">
        <f t="shared" si="17"/>
        <v xml:space="preserve">   </v>
      </c>
      <c r="X216" s="6" t="str">
        <f t="shared" si="18"/>
        <v xml:space="preserve">   </v>
      </c>
      <c r="Y216" s="6" t="str">
        <f t="shared" si="19"/>
        <v xml:space="preserve">   --</v>
      </c>
    </row>
    <row r="217" spans="1:25" x14ac:dyDescent="0.2">
      <c r="A217" s="19">
        <v>216</v>
      </c>
      <c r="Q217" s="7"/>
      <c r="U217" s="8"/>
      <c r="V217" s="6" t="e">
        <f>IF(P217=#REF!,"DIPLOMADO EN ATENCION PRE-HOSPITALARIA",IF(P217=#REF!,"ACOMPAÑAMIENTO Y MANEJO DEL DUELO",IF(P217=#REF!,"ATENCION A VICTIMAS DE ATAQUE CON AGENTES QUIMICOS ",IF(P217=#REF!,"PRIMEROS AUXILIOS ",IF(P217=#REF!,"DIPLOMADO DE UNIDAD DE CUIDADOS INTENSIVOS (UCI)",IF(P217=#REF!,"MODELO DE ATENCION PARA EVENTOS EMERGENTES EN SALUD MENTAL (CODIGO VERDE)",IF(P217=#REF!,"HUMANIZACION EN EL SERVICIO DE LA SALUD Y BUENAS PRACTICAS EN PACIENTE ",IF(P217=#REF!,"CLINICA DE HERIDAS ",IF(P217=#REF!,"TOMA DE CITOLOGIA CERVICO VAGINAL ",IF(P217=#REF!,"SOPORTE CARDIOVASCULAR AVANZADO (ACLS) ",IF(P217=#REF!,"CAMILLERO ",IF(P217=#REF!,"TOMA DE MUESTRAS Y LABORATORIO ",IF(P217=#REF!,"SOPORTE VITAL BASICO (BLS)",IF(P217=#REF!,"ATENCION A VICTIMAS DE VIOLENCIA SEXUAL ",IF(P217=#REF!,"PROGRAMADO AMPLIADO DE INMUNIZACION (PAI - COVID 19)",IF(P217=#REF!,"ATENCION INTEGRAL EN ENFERMEDADES PREVALENTES EN PRIMERA INFANCIA (AIEPI)",IF(P217=#REF!,"ADMINISTRACION DE MEDICAMENTOS, INYECTOLOGIA  Y CANALIZACION ",IF(P217=#REF!,"OPERADOR DE VEHICULOS DE EMERGENCIA (OVE)",IF(P217=#REF!,"INSTITUCIONES AMIGAS DE LA MUJER Y LA INFANCIA (IAMI)",IF(P217=#REF!,"CUIDADO DEL DONANTE DE ORGANOS",IF(P217=#REF!,"ATENCION A VICTIMAS POR VIOLENCIA DE GENERO",IF(P217=#REF!,"IGUALDAD DE GENERO EN LA SALUD",IF(P217=#REF!,"BRIGADA DE EMERGENCIA",IF(P217=#REF!,"MANEJO DEL DOLOR Y CUIDADOS PALIATIVOS",IF(P217=#REF!,"TOMA DE MUESTRAS Y LABORATORIO POCT",IF(P217=#REF!,"IMPLANTE SUBDERMICO DE DISPOSITIVO INTRAUTERINO",IF(P217=#REF!,"SALUD MENTAL",IF(P217=#REF!,"PRIMEROS AUXILIOS PSICOLOGICOS",IF(P217=#REF!,"ATENCION A VICTIMAS POR CONFLICTO ARMADO",IF(P217=#REF!,"MANIPULACION DE ALIMENTOS Y BPM",IF(P217=#REF!,"ATENCION A PERSONAS CON DISCAPACIDAD",IF(P217=#REF!,"CUIDADO INTEGRAL DEL PACIENTE ADULTO",IF(P217=#REF!,"MANEJO DEFENSIVO",IF(P217=#REF!,"SOPORTE CARDIOVASCULAR AVANZADO NEONATAL",IF(P217=#REF!,"SEGURIDAD DEL PACIENTE",IF(P217=#REF!,"MANEJO DE RESIDUOS HOSPITALARIOS"))))))))))))))))))))))))))))))))))))</f>
        <v>#REF!</v>
      </c>
      <c r="W217" s="6" t="str">
        <f t="shared" si="17"/>
        <v xml:space="preserve">   </v>
      </c>
      <c r="X217" s="6" t="str">
        <f t="shared" si="18"/>
        <v xml:space="preserve">   </v>
      </c>
      <c r="Y217" s="6" t="str">
        <f t="shared" si="19"/>
        <v xml:space="preserve">   --</v>
      </c>
    </row>
    <row r="218" spans="1:25" x14ac:dyDescent="0.2">
      <c r="A218" s="19">
        <v>217</v>
      </c>
      <c r="I218" s="7"/>
      <c r="J218" s="7"/>
      <c r="Q218" s="7"/>
      <c r="U218" s="2"/>
      <c r="V218" s="6" t="e">
        <f>IF(P218=#REF!,"DIPLOMADO EN ATENCION PRE-HOSPITALARIA",IF(P218=#REF!,"ACOMPAÑAMIENTO Y MANEJO DEL DUELO",IF(P218=#REF!,"ATENCION A VICTIMAS DE ATAQUE CON AGENTES QUIMICOS ",IF(P218=#REF!,"PRIMEROS AUXILIOS ",IF(P218=#REF!,"DIPLOMADO DE UNIDAD DE CUIDADOS INTENSIVOS (UCI)",IF(P218=#REF!,"MODELO DE ATENCION PARA EVENTOS EMERGENTES EN SALUD MENTAL (CODIGO VERDE)",IF(P218=#REF!,"HUMANIZACION EN EL SERVICIO DE LA SALUD Y BUENAS PRACTICAS EN PACIENTE ",IF(P218=#REF!,"CLINICA DE HERIDAS ",IF(P218=#REF!,"TOMA DE CITOLOGIA CERVICO VAGINAL ",IF(P218=#REF!,"SOPORTE CARDIOVASCULAR AVANZADO (ACLS) ",IF(P218=#REF!,"CAMILLERO ",IF(P218=#REF!,"TOMA DE MUESTRAS Y LABORATORIO ",IF(P218=#REF!,"SOPORTE VITAL BASICO (BLS)",IF(P218=#REF!,"ATENCION A VICTIMAS DE VIOLENCIA SEXUAL ",IF(P218=#REF!,"PROGRAMADO AMPLIADO DE INMUNIZACION (PAI - COVID 19)",IF(P218=#REF!,"ATENCION INTEGRAL EN ENFERMEDADES PREVALENTES EN PRIMERA INFANCIA (AIEPI)",IF(P218=#REF!,"ADMINISTRACION DE MEDICAMENTOS, INYECTOLOGIA  Y CANALIZACION ",IF(P218=#REF!,"OPERADOR DE VEHICULOS DE EMERGENCIA (OVE)",IF(P218=#REF!,"INSTITUCIONES AMIGAS DE LA MUJER Y LA INFANCIA (IAMI)",IF(P218=#REF!,"CUIDADO DEL DONANTE DE ORGANOS",IF(P218=#REF!,"ATENCION A VICTIMAS POR VIOLENCIA DE GENERO",IF(P218=#REF!,"IGUALDAD DE GENERO EN LA SALUD",IF(P218=#REF!,"BRIGADA DE EMERGENCIA",IF(P218=#REF!,"MANEJO DEL DOLOR Y CUIDADOS PALIATIVOS",IF(P218=#REF!,"TOMA DE MUESTRAS Y LABORATORIO POCT",IF(P218=#REF!,"IMPLANTE SUBDERMICO DE DISPOSITIVO INTRAUTERINO",IF(P218=#REF!,"SALUD MENTAL",IF(P218=#REF!,"PRIMEROS AUXILIOS PSICOLOGICOS",IF(P218=#REF!,"ATENCION A VICTIMAS POR CONFLICTO ARMADO",IF(P218=#REF!,"MANIPULACION DE ALIMENTOS Y BPM",IF(P218=#REF!,"ATENCION A PERSONAS CON DISCAPACIDAD",IF(P218=#REF!,"CUIDADO INTEGRAL DEL PACIENTE ADULTO",IF(P218=#REF!,"MANEJO DEFENSIVO",IF(P218=#REF!,"SOPORTE CARDIOVASCULAR AVANZADO NEONATAL",IF(P218=#REF!,"SEGURIDAD DEL PACIENTE",IF(P218=#REF!,"MANEJO DE RESIDUOS HOSPITALARIOS"))))))))))))))))))))))))))))))))))))</f>
        <v>#REF!</v>
      </c>
      <c r="W218" s="6" t="str">
        <f t="shared" si="17"/>
        <v xml:space="preserve">   </v>
      </c>
      <c r="X218" s="6" t="str">
        <f t="shared" si="18"/>
        <v xml:space="preserve">   </v>
      </c>
      <c r="Y218" s="6" t="str">
        <f t="shared" si="19"/>
        <v xml:space="preserve">   --</v>
      </c>
    </row>
    <row r="219" spans="1:25" x14ac:dyDescent="0.2">
      <c r="A219" s="19">
        <v>218</v>
      </c>
      <c r="I219" s="7"/>
      <c r="J219" s="7"/>
      <c r="Q219" s="7"/>
      <c r="U219" s="2"/>
      <c r="V219" s="6" t="e">
        <f>IF(P219=#REF!,"DIPLOMADO EN ATENCION PRE-HOSPITALARIA",IF(P219=#REF!,"ACOMPAÑAMIENTO Y MANEJO DEL DUELO",IF(P219=#REF!,"ATENCION A VICTIMAS DE ATAQUE CON AGENTES QUIMICOS ",IF(P219=#REF!,"PRIMEROS AUXILIOS ",IF(P219=#REF!,"DIPLOMADO DE UNIDAD DE CUIDADOS INTENSIVOS (UCI)",IF(P219=#REF!,"MODELO DE ATENCION PARA EVENTOS EMERGENTES EN SALUD MENTAL (CODIGO VERDE)",IF(P219=#REF!,"HUMANIZACION EN EL SERVICIO DE LA SALUD Y BUENAS PRACTICAS EN PACIENTE ",IF(P219=#REF!,"CLINICA DE HERIDAS ",IF(P219=#REF!,"TOMA DE CITOLOGIA CERVICO VAGINAL ",IF(P219=#REF!,"SOPORTE CARDIOVASCULAR AVANZADO (ACLS) ",IF(P219=#REF!,"CAMILLERO ",IF(P219=#REF!,"TOMA DE MUESTRAS Y LABORATORIO ",IF(P219=#REF!,"SOPORTE VITAL BASICO (BLS)",IF(P219=#REF!,"ATENCION A VICTIMAS DE VIOLENCIA SEXUAL ",IF(P219=#REF!,"PROGRAMADO AMPLIADO DE INMUNIZACION (PAI - COVID 19)",IF(P219=#REF!,"ATENCION INTEGRAL EN ENFERMEDADES PREVALENTES EN PRIMERA INFANCIA (AIEPI)",IF(P219=#REF!,"ADMINISTRACION DE MEDICAMENTOS, INYECTOLOGIA  Y CANALIZACION ",IF(P219=#REF!,"OPERADOR DE VEHICULOS DE EMERGENCIA (OVE)",IF(P219=#REF!,"INSTITUCIONES AMIGAS DE LA MUJER Y LA INFANCIA (IAMI)",IF(P219=#REF!,"CUIDADO DEL DONANTE DE ORGANOS",IF(P219=#REF!,"ATENCION A VICTIMAS POR VIOLENCIA DE GENERO",IF(P219=#REF!,"IGUALDAD DE GENERO EN LA SALUD",IF(P219=#REF!,"BRIGADA DE EMERGENCIA",IF(P219=#REF!,"MANEJO DEL DOLOR Y CUIDADOS PALIATIVOS",IF(P219=#REF!,"TOMA DE MUESTRAS Y LABORATORIO POCT",IF(P219=#REF!,"IMPLANTE SUBDERMICO DE DISPOSITIVO INTRAUTERINO",IF(P219=#REF!,"SALUD MENTAL",IF(P219=#REF!,"PRIMEROS AUXILIOS PSICOLOGICOS",IF(P219=#REF!,"ATENCION A VICTIMAS POR CONFLICTO ARMADO",IF(P219=#REF!,"MANIPULACION DE ALIMENTOS Y BPM",IF(P219=#REF!,"ATENCION A PERSONAS CON DISCAPACIDAD",IF(P219=#REF!,"CUIDADO INTEGRAL DEL PACIENTE ADULTO",IF(P219=#REF!,"MANEJO DEFENSIVO",IF(P219=#REF!,"SOPORTE CARDIOVASCULAR AVANZADO NEONATAL",IF(P219=#REF!,"SEGURIDAD DEL PACIENTE",IF(P219=#REF!,"MANEJO DE RESIDUOS HOSPITALARIOS"))))))))))))))))))))))))))))))))))))</f>
        <v>#REF!</v>
      </c>
      <c r="W219" s="6" t="str">
        <f t="shared" si="17"/>
        <v xml:space="preserve">   </v>
      </c>
      <c r="X219" s="6" t="str">
        <f t="shared" si="18"/>
        <v xml:space="preserve">   </v>
      </c>
      <c r="Y219" s="6" t="str">
        <f t="shared" si="19"/>
        <v xml:space="preserve">   --</v>
      </c>
    </row>
    <row r="220" spans="1:25" x14ac:dyDescent="0.2">
      <c r="A220" s="19">
        <v>219</v>
      </c>
      <c r="I220" s="7"/>
      <c r="J220" s="7"/>
      <c r="Q220" s="7"/>
      <c r="U220" s="2"/>
      <c r="V220" s="6" t="e">
        <f>IF(P220=#REF!,"DIPLOMADO EN ATENCION PRE-HOSPITALARIA",IF(P220=#REF!,"ACOMPAÑAMIENTO Y MANEJO DEL DUELO",IF(P220=#REF!,"ATENCION A VICTIMAS DE ATAQUE CON AGENTES QUIMICOS ",IF(P220=#REF!,"PRIMEROS AUXILIOS ",IF(P220=#REF!,"DIPLOMADO DE UNIDAD DE CUIDADOS INTENSIVOS (UCI)",IF(P220=#REF!,"MODELO DE ATENCION PARA EVENTOS EMERGENTES EN SALUD MENTAL (CODIGO VERDE)",IF(P220=#REF!,"HUMANIZACION EN EL SERVICIO DE LA SALUD Y BUENAS PRACTICAS EN PACIENTE ",IF(P220=#REF!,"CLINICA DE HERIDAS ",IF(P220=#REF!,"TOMA DE CITOLOGIA CERVICO VAGINAL ",IF(P220=#REF!,"SOPORTE CARDIOVASCULAR AVANZADO (ACLS) ",IF(P220=#REF!,"CAMILLERO ",IF(P220=#REF!,"TOMA DE MUESTRAS Y LABORATORIO ",IF(P220=#REF!,"SOPORTE VITAL BASICO (BLS)",IF(P220=#REF!,"ATENCION A VICTIMAS DE VIOLENCIA SEXUAL ",IF(P220=#REF!,"PROGRAMADO AMPLIADO DE INMUNIZACION (PAI - COVID 19)",IF(P220=#REF!,"ATENCION INTEGRAL EN ENFERMEDADES PREVALENTES EN PRIMERA INFANCIA (AIEPI)",IF(P220=#REF!,"ADMINISTRACION DE MEDICAMENTOS, INYECTOLOGIA  Y CANALIZACION ",IF(P220=#REF!,"OPERADOR DE VEHICULOS DE EMERGENCIA (OVE)",IF(P220=#REF!,"INSTITUCIONES AMIGAS DE LA MUJER Y LA INFANCIA (IAMI)",IF(P220=#REF!,"CUIDADO DEL DONANTE DE ORGANOS",IF(P220=#REF!,"ATENCION A VICTIMAS POR VIOLENCIA DE GENERO",IF(P220=#REF!,"IGUALDAD DE GENERO EN LA SALUD",IF(P220=#REF!,"BRIGADA DE EMERGENCIA",IF(P220=#REF!,"MANEJO DEL DOLOR Y CUIDADOS PALIATIVOS",IF(P220=#REF!,"TOMA DE MUESTRAS Y LABORATORIO POCT",IF(P220=#REF!,"IMPLANTE SUBDERMICO DE DISPOSITIVO INTRAUTERINO",IF(P220=#REF!,"SALUD MENTAL",IF(P220=#REF!,"PRIMEROS AUXILIOS PSICOLOGICOS",IF(P220=#REF!,"ATENCION A VICTIMAS POR CONFLICTO ARMADO",IF(P220=#REF!,"MANIPULACION DE ALIMENTOS Y BPM",IF(P220=#REF!,"ATENCION A PERSONAS CON DISCAPACIDAD",IF(P220=#REF!,"CUIDADO INTEGRAL DEL PACIENTE ADULTO",IF(P220=#REF!,"MANEJO DEFENSIVO",IF(P220=#REF!,"SOPORTE CARDIOVASCULAR AVANZADO NEONATAL",IF(P220=#REF!,"SEGURIDAD DEL PACIENTE",IF(P220=#REF!,"MANEJO DE RESIDUOS HOSPITALARIOS"))))))))))))))))))))))))))))))))))))</f>
        <v>#REF!</v>
      </c>
      <c r="W220" s="6" t="str">
        <f t="shared" si="17"/>
        <v xml:space="preserve">   </v>
      </c>
      <c r="X220" s="6" t="str">
        <f t="shared" si="18"/>
        <v xml:space="preserve">   </v>
      </c>
      <c r="Y220" s="6" t="str">
        <f t="shared" si="19"/>
        <v xml:space="preserve">   --</v>
      </c>
    </row>
    <row r="221" spans="1:25" x14ac:dyDescent="0.2">
      <c r="A221" s="19">
        <v>220</v>
      </c>
      <c r="I221" s="7"/>
      <c r="J221" s="7"/>
      <c r="Q221" s="7"/>
      <c r="U221" s="2"/>
      <c r="V221" s="6" t="e">
        <f>IF(P221=#REF!,"DIPLOMADO EN ATENCION PRE-HOSPITALARIA",IF(P221=#REF!,"ACOMPAÑAMIENTO Y MANEJO DEL DUELO",IF(P221=#REF!,"ATENCION A VICTIMAS DE ATAQUE CON AGENTES QUIMICOS ",IF(P221=#REF!,"PRIMEROS AUXILIOS ",IF(P221=#REF!,"DIPLOMADO DE UNIDAD DE CUIDADOS INTENSIVOS (UCI)",IF(P221=#REF!,"MODELO DE ATENCION PARA EVENTOS EMERGENTES EN SALUD MENTAL (CODIGO VERDE)",IF(P221=#REF!,"HUMANIZACION EN EL SERVICIO DE LA SALUD Y BUENAS PRACTICAS EN PACIENTE ",IF(P221=#REF!,"CLINICA DE HERIDAS ",IF(P221=#REF!,"TOMA DE CITOLOGIA CERVICO VAGINAL ",IF(P221=#REF!,"SOPORTE CARDIOVASCULAR AVANZADO (ACLS) ",IF(P221=#REF!,"CAMILLERO ",IF(P221=#REF!,"TOMA DE MUESTRAS Y LABORATORIO ",IF(P221=#REF!,"SOPORTE VITAL BASICO (BLS)",IF(P221=#REF!,"ATENCION A VICTIMAS DE VIOLENCIA SEXUAL ",IF(P221=#REF!,"PROGRAMADO AMPLIADO DE INMUNIZACION (PAI - COVID 19)",IF(P221=#REF!,"ATENCION INTEGRAL EN ENFERMEDADES PREVALENTES EN PRIMERA INFANCIA (AIEPI)",IF(P221=#REF!,"ADMINISTRACION DE MEDICAMENTOS, INYECTOLOGIA  Y CANALIZACION ",IF(P221=#REF!,"OPERADOR DE VEHICULOS DE EMERGENCIA (OVE)",IF(P221=#REF!,"INSTITUCIONES AMIGAS DE LA MUJER Y LA INFANCIA (IAMI)",IF(P221=#REF!,"CUIDADO DEL DONANTE DE ORGANOS",IF(P221=#REF!,"ATENCION A VICTIMAS POR VIOLENCIA DE GENERO",IF(P221=#REF!,"IGUALDAD DE GENERO EN LA SALUD",IF(P221=#REF!,"BRIGADA DE EMERGENCIA",IF(P221=#REF!,"MANEJO DEL DOLOR Y CUIDADOS PALIATIVOS",IF(P221=#REF!,"TOMA DE MUESTRAS Y LABORATORIO POCT",IF(P221=#REF!,"IMPLANTE SUBDERMICO DE DISPOSITIVO INTRAUTERINO",IF(P221=#REF!,"SALUD MENTAL",IF(P221=#REF!,"PRIMEROS AUXILIOS PSICOLOGICOS",IF(P221=#REF!,"ATENCION A VICTIMAS POR CONFLICTO ARMADO",IF(P221=#REF!,"MANIPULACION DE ALIMENTOS Y BPM",IF(P221=#REF!,"ATENCION A PERSONAS CON DISCAPACIDAD",IF(P221=#REF!,"CUIDADO INTEGRAL DEL PACIENTE ADULTO",IF(P221=#REF!,"MANEJO DEFENSIVO",IF(P221=#REF!,"SOPORTE CARDIOVASCULAR AVANZADO NEONATAL",IF(P221=#REF!,"SEGURIDAD DEL PACIENTE",IF(P221=#REF!,"MANEJO DE RESIDUOS HOSPITALARIOS"))))))))))))))))))))))))))))))))))))</f>
        <v>#REF!</v>
      </c>
      <c r="W221" s="6" t="str">
        <f t="shared" si="17"/>
        <v xml:space="preserve">   </v>
      </c>
      <c r="X221" s="6" t="str">
        <f t="shared" si="18"/>
        <v xml:space="preserve">   </v>
      </c>
      <c r="Y221" s="6" t="str">
        <f t="shared" si="19"/>
        <v xml:space="preserve">   --</v>
      </c>
    </row>
    <row r="222" spans="1:25" x14ac:dyDescent="0.2">
      <c r="A222" s="19">
        <v>221</v>
      </c>
      <c r="I222" s="7"/>
      <c r="J222" s="7"/>
      <c r="Q222" s="7"/>
      <c r="U222" s="2"/>
      <c r="V222" s="6" t="e">
        <f>IF(P222=#REF!,"DIPLOMADO EN ATENCION PRE-HOSPITALARIA",IF(P222=#REF!,"ACOMPAÑAMIENTO Y MANEJO DEL DUELO",IF(P222=#REF!,"ATENCION A VICTIMAS DE ATAQUE CON AGENTES QUIMICOS ",IF(P222=#REF!,"PRIMEROS AUXILIOS ",IF(P222=#REF!,"DIPLOMADO DE UNIDAD DE CUIDADOS INTENSIVOS (UCI)",IF(P222=#REF!,"MODELO DE ATENCION PARA EVENTOS EMERGENTES EN SALUD MENTAL (CODIGO VERDE)",IF(P222=#REF!,"HUMANIZACION EN EL SERVICIO DE LA SALUD Y BUENAS PRACTICAS EN PACIENTE ",IF(P222=#REF!,"CLINICA DE HERIDAS ",IF(P222=#REF!,"TOMA DE CITOLOGIA CERVICO VAGINAL ",IF(P222=#REF!,"SOPORTE CARDIOVASCULAR AVANZADO (ACLS) ",IF(P222=#REF!,"CAMILLERO ",IF(P222=#REF!,"TOMA DE MUESTRAS Y LABORATORIO ",IF(P222=#REF!,"SOPORTE VITAL BASICO (BLS)",IF(P222=#REF!,"ATENCION A VICTIMAS DE VIOLENCIA SEXUAL ",IF(P222=#REF!,"PROGRAMADO AMPLIADO DE INMUNIZACION (PAI - COVID 19)",IF(P222=#REF!,"ATENCION INTEGRAL EN ENFERMEDADES PREVALENTES EN PRIMERA INFANCIA (AIEPI)",IF(P222=#REF!,"ADMINISTRACION DE MEDICAMENTOS, INYECTOLOGIA  Y CANALIZACION ",IF(P222=#REF!,"OPERADOR DE VEHICULOS DE EMERGENCIA (OVE)",IF(P222=#REF!,"INSTITUCIONES AMIGAS DE LA MUJER Y LA INFANCIA (IAMI)",IF(P222=#REF!,"CUIDADO DEL DONANTE DE ORGANOS",IF(P222=#REF!,"ATENCION A VICTIMAS POR VIOLENCIA DE GENERO",IF(P222=#REF!,"IGUALDAD DE GENERO EN LA SALUD",IF(P222=#REF!,"BRIGADA DE EMERGENCIA",IF(P222=#REF!,"MANEJO DEL DOLOR Y CUIDADOS PALIATIVOS",IF(P222=#REF!,"TOMA DE MUESTRAS Y LABORATORIO POCT",IF(P222=#REF!,"IMPLANTE SUBDERMICO DE DISPOSITIVO INTRAUTERINO",IF(P222=#REF!,"SALUD MENTAL",IF(P222=#REF!,"PRIMEROS AUXILIOS PSICOLOGICOS",IF(P222=#REF!,"ATENCION A VICTIMAS POR CONFLICTO ARMADO",IF(P222=#REF!,"MANIPULACION DE ALIMENTOS Y BPM",IF(P222=#REF!,"ATENCION A PERSONAS CON DISCAPACIDAD",IF(P222=#REF!,"CUIDADO INTEGRAL DEL PACIENTE ADULTO",IF(P222=#REF!,"MANEJO DEFENSIVO",IF(P222=#REF!,"SOPORTE CARDIOVASCULAR AVANZADO NEONATAL",IF(P222=#REF!,"SEGURIDAD DEL PACIENTE",IF(P222=#REF!,"MANEJO DE RESIDUOS HOSPITALARIOS"))))))))))))))))))))))))))))))))))))</f>
        <v>#REF!</v>
      </c>
      <c r="W222" s="6" t="str">
        <f t="shared" si="17"/>
        <v xml:space="preserve">   </v>
      </c>
      <c r="X222" s="6" t="str">
        <f t="shared" si="18"/>
        <v xml:space="preserve">   </v>
      </c>
      <c r="Y222" s="6" t="str">
        <f t="shared" si="19"/>
        <v xml:space="preserve">   --</v>
      </c>
    </row>
    <row r="223" spans="1:25" x14ac:dyDescent="0.2">
      <c r="A223" s="19">
        <v>222</v>
      </c>
      <c r="I223" s="7"/>
      <c r="J223" s="7"/>
      <c r="Q223" s="7"/>
      <c r="U223" s="2"/>
      <c r="V223" s="6" t="e">
        <f>IF(P223=#REF!,"DIPLOMADO EN ATENCION PRE-HOSPITALARIA",IF(P223=#REF!,"ACOMPAÑAMIENTO Y MANEJO DEL DUELO",IF(P223=#REF!,"ATENCION A VICTIMAS DE ATAQUE CON AGENTES QUIMICOS ",IF(P223=#REF!,"PRIMEROS AUXILIOS ",IF(P223=#REF!,"DIPLOMADO DE UNIDAD DE CUIDADOS INTENSIVOS (UCI)",IF(P223=#REF!,"MODELO DE ATENCION PARA EVENTOS EMERGENTES EN SALUD MENTAL (CODIGO VERDE)",IF(P223=#REF!,"HUMANIZACION EN EL SERVICIO DE LA SALUD Y BUENAS PRACTICAS EN PACIENTE ",IF(P223=#REF!,"CLINICA DE HERIDAS ",IF(P223=#REF!,"TOMA DE CITOLOGIA CERVICO VAGINAL ",IF(P223=#REF!,"SOPORTE CARDIOVASCULAR AVANZADO (ACLS) ",IF(P223=#REF!,"CAMILLERO ",IF(P223=#REF!,"TOMA DE MUESTRAS Y LABORATORIO ",IF(P223=#REF!,"SOPORTE VITAL BASICO (BLS)",IF(P223=#REF!,"ATENCION A VICTIMAS DE VIOLENCIA SEXUAL ",IF(P223=#REF!,"PROGRAMADO AMPLIADO DE INMUNIZACION (PAI - COVID 19)",IF(P223=#REF!,"ATENCION INTEGRAL EN ENFERMEDADES PREVALENTES EN PRIMERA INFANCIA (AIEPI)",IF(P223=#REF!,"ADMINISTRACION DE MEDICAMENTOS, INYECTOLOGIA  Y CANALIZACION ",IF(P223=#REF!,"OPERADOR DE VEHICULOS DE EMERGENCIA (OVE)",IF(P223=#REF!,"INSTITUCIONES AMIGAS DE LA MUJER Y LA INFANCIA (IAMI)",IF(P223=#REF!,"CUIDADO DEL DONANTE DE ORGANOS",IF(P223=#REF!,"ATENCION A VICTIMAS POR VIOLENCIA DE GENERO",IF(P223=#REF!,"IGUALDAD DE GENERO EN LA SALUD",IF(P223=#REF!,"BRIGADA DE EMERGENCIA",IF(P223=#REF!,"MANEJO DEL DOLOR Y CUIDADOS PALIATIVOS",IF(P223=#REF!,"TOMA DE MUESTRAS Y LABORATORIO POCT",IF(P223=#REF!,"IMPLANTE SUBDERMICO DE DISPOSITIVO INTRAUTERINO",IF(P223=#REF!,"SALUD MENTAL",IF(P223=#REF!,"PRIMEROS AUXILIOS PSICOLOGICOS",IF(P223=#REF!,"ATENCION A VICTIMAS POR CONFLICTO ARMADO",IF(P223=#REF!,"MANIPULACION DE ALIMENTOS Y BPM",IF(P223=#REF!,"ATENCION A PERSONAS CON DISCAPACIDAD",IF(P223=#REF!,"CUIDADO INTEGRAL DEL PACIENTE ADULTO",IF(P223=#REF!,"MANEJO DEFENSIVO",IF(P223=#REF!,"SOPORTE CARDIOVASCULAR AVANZADO NEONATAL",IF(P223=#REF!,"SEGURIDAD DEL PACIENTE",IF(P223=#REF!,"MANEJO DE RESIDUOS HOSPITALARIOS"))))))))))))))))))))))))))))))))))))</f>
        <v>#REF!</v>
      </c>
      <c r="W223" s="6" t="str">
        <f t="shared" si="17"/>
        <v xml:space="preserve">   </v>
      </c>
      <c r="X223" s="6" t="str">
        <f t="shared" si="18"/>
        <v xml:space="preserve">   </v>
      </c>
      <c r="Y223" s="6" t="str">
        <f t="shared" si="19"/>
        <v xml:space="preserve">   --</v>
      </c>
    </row>
    <row r="224" spans="1:25" x14ac:dyDescent="0.2">
      <c r="A224" s="19">
        <v>223</v>
      </c>
      <c r="I224" s="7"/>
      <c r="J224" s="7"/>
      <c r="Q224" s="7"/>
      <c r="U224" s="2"/>
      <c r="V224" s="6" t="e">
        <f>IF(P224=#REF!,"DIPLOMADO EN ATENCION PRE-HOSPITALARIA",IF(P224=#REF!,"ACOMPAÑAMIENTO Y MANEJO DEL DUELO",IF(P224=#REF!,"ATENCION A VICTIMAS DE ATAQUE CON AGENTES QUIMICOS ",IF(P224=#REF!,"PRIMEROS AUXILIOS ",IF(P224=#REF!,"DIPLOMADO DE UNIDAD DE CUIDADOS INTENSIVOS (UCI)",IF(P224=#REF!,"MODELO DE ATENCION PARA EVENTOS EMERGENTES EN SALUD MENTAL (CODIGO VERDE)",IF(P224=#REF!,"HUMANIZACION EN EL SERVICIO DE LA SALUD Y BUENAS PRACTICAS EN PACIENTE ",IF(P224=#REF!,"CLINICA DE HERIDAS ",IF(P224=#REF!,"TOMA DE CITOLOGIA CERVICO VAGINAL ",IF(P224=#REF!,"SOPORTE CARDIOVASCULAR AVANZADO (ACLS) ",IF(P224=#REF!,"CAMILLERO ",IF(P224=#REF!,"TOMA DE MUESTRAS Y LABORATORIO ",IF(P224=#REF!,"SOPORTE VITAL BASICO (BLS)",IF(P224=#REF!,"ATENCION A VICTIMAS DE VIOLENCIA SEXUAL ",IF(P224=#REF!,"PROGRAMADO AMPLIADO DE INMUNIZACION (PAI - COVID 19)",IF(P224=#REF!,"ATENCION INTEGRAL EN ENFERMEDADES PREVALENTES EN PRIMERA INFANCIA (AIEPI)",IF(P224=#REF!,"ADMINISTRACION DE MEDICAMENTOS, INYECTOLOGIA  Y CANALIZACION ",IF(P224=#REF!,"OPERADOR DE VEHICULOS DE EMERGENCIA (OVE)",IF(P224=#REF!,"INSTITUCIONES AMIGAS DE LA MUJER Y LA INFANCIA (IAMI)",IF(P224=#REF!,"CUIDADO DEL DONANTE DE ORGANOS",IF(P224=#REF!,"ATENCION A VICTIMAS POR VIOLENCIA DE GENERO",IF(P224=#REF!,"IGUALDAD DE GENERO EN LA SALUD",IF(P224=#REF!,"BRIGADA DE EMERGENCIA",IF(P224=#REF!,"MANEJO DEL DOLOR Y CUIDADOS PALIATIVOS",IF(P224=#REF!,"TOMA DE MUESTRAS Y LABORATORIO POCT",IF(P224=#REF!,"IMPLANTE SUBDERMICO DE DISPOSITIVO INTRAUTERINO",IF(P224=#REF!,"SALUD MENTAL",IF(P224=#REF!,"PRIMEROS AUXILIOS PSICOLOGICOS",IF(P224=#REF!,"ATENCION A VICTIMAS POR CONFLICTO ARMADO",IF(P224=#REF!,"MANIPULACION DE ALIMENTOS Y BPM",IF(P224=#REF!,"ATENCION A PERSONAS CON DISCAPACIDAD",IF(P224=#REF!,"CUIDADO INTEGRAL DEL PACIENTE ADULTO",IF(P224=#REF!,"MANEJO DEFENSIVO",IF(P224=#REF!,"SOPORTE CARDIOVASCULAR AVANZADO NEONATAL",IF(P224=#REF!,"SEGURIDAD DEL PACIENTE",IF(P224=#REF!,"MANEJO DE RESIDUOS HOSPITALARIOS"))))))))))))))))))))))))))))))))))))</f>
        <v>#REF!</v>
      </c>
      <c r="W224" s="6" t="str">
        <f t="shared" si="17"/>
        <v xml:space="preserve">   </v>
      </c>
      <c r="X224" s="6" t="str">
        <f t="shared" si="18"/>
        <v xml:space="preserve">   </v>
      </c>
      <c r="Y224" s="6" t="str">
        <f t="shared" si="19"/>
        <v xml:space="preserve">   --</v>
      </c>
    </row>
    <row r="225" spans="1:25" x14ac:dyDescent="0.2">
      <c r="A225" s="19">
        <v>224</v>
      </c>
      <c r="I225" s="7"/>
      <c r="J225" s="7"/>
      <c r="Q225" s="7"/>
      <c r="U225" s="2"/>
      <c r="V225" s="6" t="e">
        <f>IF(P225=#REF!,"DIPLOMADO EN ATENCION PRE-HOSPITALARIA",IF(P225=#REF!,"ACOMPAÑAMIENTO Y MANEJO DEL DUELO",IF(P225=#REF!,"ATENCION A VICTIMAS DE ATAQUE CON AGENTES QUIMICOS ",IF(P225=#REF!,"PRIMEROS AUXILIOS ",IF(P225=#REF!,"DIPLOMADO DE UNIDAD DE CUIDADOS INTENSIVOS (UCI)",IF(P225=#REF!,"MODELO DE ATENCION PARA EVENTOS EMERGENTES EN SALUD MENTAL (CODIGO VERDE)",IF(P225=#REF!,"HUMANIZACION EN EL SERVICIO DE LA SALUD Y BUENAS PRACTICAS EN PACIENTE ",IF(P225=#REF!,"CLINICA DE HERIDAS ",IF(P225=#REF!,"TOMA DE CITOLOGIA CERVICO VAGINAL ",IF(P225=#REF!,"SOPORTE CARDIOVASCULAR AVANZADO (ACLS) ",IF(P225=#REF!,"CAMILLERO ",IF(P225=#REF!,"TOMA DE MUESTRAS Y LABORATORIO ",IF(P225=#REF!,"SOPORTE VITAL BASICO (BLS)",IF(P225=#REF!,"ATENCION A VICTIMAS DE VIOLENCIA SEXUAL ",IF(P225=#REF!,"PROGRAMADO AMPLIADO DE INMUNIZACION (PAI - COVID 19)",IF(P225=#REF!,"ATENCION INTEGRAL EN ENFERMEDADES PREVALENTES EN PRIMERA INFANCIA (AIEPI)",IF(P225=#REF!,"ADMINISTRACION DE MEDICAMENTOS, INYECTOLOGIA  Y CANALIZACION ",IF(P225=#REF!,"OPERADOR DE VEHICULOS DE EMERGENCIA (OVE)",IF(P225=#REF!,"INSTITUCIONES AMIGAS DE LA MUJER Y LA INFANCIA (IAMI)",IF(P225=#REF!,"CUIDADO DEL DONANTE DE ORGANOS",IF(P225=#REF!,"ATENCION A VICTIMAS POR VIOLENCIA DE GENERO",IF(P225=#REF!,"IGUALDAD DE GENERO EN LA SALUD",IF(P225=#REF!,"BRIGADA DE EMERGENCIA",IF(P225=#REF!,"MANEJO DEL DOLOR Y CUIDADOS PALIATIVOS",IF(P225=#REF!,"TOMA DE MUESTRAS Y LABORATORIO POCT",IF(P225=#REF!,"IMPLANTE SUBDERMICO DE DISPOSITIVO INTRAUTERINO",IF(P225=#REF!,"SALUD MENTAL",IF(P225=#REF!,"PRIMEROS AUXILIOS PSICOLOGICOS",IF(P225=#REF!,"ATENCION A VICTIMAS POR CONFLICTO ARMADO",IF(P225=#REF!,"MANIPULACION DE ALIMENTOS Y BPM",IF(P225=#REF!,"ATENCION A PERSONAS CON DISCAPACIDAD",IF(P225=#REF!,"CUIDADO INTEGRAL DEL PACIENTE ADULTO",IF(P225=#REF!,"MANEJO DEFENSIVO",IF(P225=#REF!,"SOPORTE CARDIOVASCULAR AVANZADO NEONATAL",IF(P225=#REF!,"SEGURIDAD DEL PACIENTE",IF(P225=#REF!,"MANEJO DE RESIDUOS HOSPITALARIOS"))))))))))))))))))))))))))))))))))))</f>
        <v>#REF!</v>
      </c>
      <c r="W225" s="6" t="str">
        <f t="shared" si="17"/>
        <v xml:space="preserve">   </v>
      </c>
      <c r="X225" s="6" t="str">
        <f t="shared" si="18"/>
        <v xml:space="preserve">   </v>
      </c>
      <c r="Y225" s="6" t="str">
        <f t="shared" si="19"/>
        <v xml:space="preserve">   --</v>
      </c>
    </row>
    <row r="226" spans="1:25" x14ac:dyDescent="0.2">
      <c r="A226" s="28">
        <v>225</v>
      </c>
      <c r="I226" s="7"/>
      <c r="J226" s="7"/>
      <c r="Q226" s="7"/>
      <c r="U226" s="2"/>
      <c r="V226" s="6" t="e">
        <f>IF(P226=#REF!,"DIPLOMADO EN ATENCION PRE-HOSPITALARIA",IF(P226=#REF!,"ACOMPAÑAMIENTO Y MANEJO DEL DUELO",IF(P226=#REF!,"ATENCION A VICTIMAS DE ATAQUE CON AGENTES QUIMICOS ",IF(P226=#REF!,"PRIMEROS AUXILIOS ",IF(P226=#REF!,"DIPLOMADO DE UNIDAD DE CUIDADOS INTENSIVOS (UCI)",IF(P226=#REF!,"MODELO DE ATENCION PARA EVENTOS EMERGENTES EN SALUD MENTAL (CODIGO VERDE)",IF(P226=#REF!,"HUMANIZACION EN EL SERVICIO DE LA SALUD Y BUENAS PRACTICAS EN PACIENTE ",IF(P226=#REF!,"CLINICA DE HERIDAS ",IF(P226=#REF!,"TOMA DE CITOLOGIA CERVICO VAGINAL ",IF(P226=#REF!,"SOPORTE CARDIOVASCULAR AVANZADO (ACLS) ",IF(P226=#REF!,"CAMILLERO ",IF(P226=#REF!,"TOMA DE MUESTRAS Y LABORATORIO ",IF(P226=#REF!,"SOPORTE VITAL BASICO (BLS)",IF(P226=#REF!,"ATENCION A VICTIMAS DE VIOLENCIA SEXUAL ",IF(P226=#REF!,"PROGRAMADO AMPLIADO DE INMUNIZACION (PAI - COVID 19)",IF(P226=#REF!,"ATENCION INTEGRAL EN ENFERMEDADES PREVALENTES EN PRIMERA INFANCIA (AIEPI)",IF(P226=#REF!,"ADMINISTRACION DE MEDICAMENTOS, INYECTOLOGIA  Y CANALIZACION ",IF(P226=#REF!,"OPERADOR DE VEHICULOS DE EMERGENCIA (OVE)",IF(P226=#REF!,"INSTITUCIONES AMIGAS DE LA MUJER Y LA INFANCIA (IAMI)",IF(P226=#REF!,"CUIDADO DEL DONANTE DE ORGANOS",IF(P226=#REF!,"ATENCION A VICTIMAS POR VIOLENCIA DE GENERO",IF(P226=#REF!,"IGUALDAD DE GENERO EN LA SALUD",IF(P226=#REF!,"BRIGADA DE EMERGENCIA",IF(P226=#REF!,"MANEJO DEL DOLOR Y CUIDADOS PALIATIVOS",IF(P226=#REF!,"TOMA DE MUESTRAS Y LABORATORIO POCT",IF(P226=#REF!,"IMPLANTE SUBDERMICO DE DISPOSITIVO INTRAUTERINO",IF(P226=#REF!,"SALUD MENTAL",IF(P226=#REF!,"PRIMEROS AUXILIOS PSICOLOGICOS",IF(P226=#REF!,"ATENCION A VICTIMAS POR CONFLICTO ARMADO",IF(P226=#REF!,"MANIPULACION DE ALIMENTOS Y BPM",IF(P226=#REF!,"ATENCION A PERSONAS CON DISCAPACIDAD",IF(P226=#REF!,"CUIDADO INTEGRAL DEL PACIENTE ADULTO",IF(P226=#REF!,"MANEJO DEFENSIVO",IF(P226=#REF!,"SOPORTE CARDIOVASCULAR AVANZADO NEONATAL",IF(P226=#REF!,"SEGURIDAD DEL PACIENTE",IF(P226=#REF!,"MANEJO DE RESIDUOS HOSPITALARIOS"))))))))))))))))))))))))))))))))))))</f>
        <v>#REF!</v>
      </c>
      <c r="W226" s="6" t="str">
        <f t="shared" si="17"/>
        <v xml:space="preserve">   </v>
      </c>
      <c r="X226" s="6" t="str">
        <f t="shared" si="18"/>
        <v xml:space="preserve">   </v>
      </c>
      <c r="Y226" s="6" t="str">
        <f t="shared" si="19"/>
        <v xml:space="preserve">   --</v>
      </c>
    </row>
    <row r="227" spans="1:25" x14ac:dyDescent="0.2">
      <c r="A227" s="19">
        <v>226</v>
      </c>
      <c r="I227" s="7"/>
      <c r="J227" s="7"/>
      <c r="Q227" s="7"/>
      <c r="U227" s="2"/>
      <c r="V227" s="6" t="e">
        <f>IF(P227=#REF!,"DIPLOMADO EN ATENCION PRE-HOSPITALARIA",IF(P227=#REF!,"ACOMPAÑAMIENTO Y MANEJO DEL DUELO",IF(P227=#REF!,"ATENCION A VICTIMAS DE ATAQUE CON AGENTES QUIMICOS ",IF(P227=#REF!,"PRIMEROS AUXILIOS ",IF(P227=#REF!,"DIPLOMADO DE UNIDAD DE CUIDADOS INTENSIVOS (UCI)",IF(P227=#REF!,"MODELO DE ATENCION PARA EVENTOS EMERGENTES EN SALUD MENTAL (CODIGO VERDE)",IF(P227=#REF!,"HUMANIZACION EN EL SERVICIO DE LA SALUD Y BUENAS PRACTICAS EN PACIENTE ",IF(P227=#REF!,"CLINICA DE HERIDAS ",IF(P227=#REF!,"TOMA DE CITOLOGIA CERVICO VAGINAL ",IF(P227=#REF!,"SOPORTE CARDIOVASCULAR AVANZADO (ACLS) ",IF(P227=#REF!,"CAMILLERO ",IF(P227=#REF!,"TOMA DE MUESTRAS Y LABORATORIO ",IF(P227=#REF!,"SOPORTE VITAL BASICO (BLS)",IF(P227=#REF!,"ATENCION A VICTIMAS DE VIOLENCIA SEXUAL ",IF(P227=#REF!,"PROGRAMADO AMPLIADO DE INMUNIZACION (PAI - COVID 19)",IF(P227=#REF!,"ATENCION INTEGRAL EN ENFERMEDADES PREVALENTES EN PRIMERA INFANCIA (AIEPI)",IF(P227=#REF!,"ADMINISTRACION DE MEDICAMENTOS, INYECTOLOGIA  Y CANALIZACION ",IF(P227=#REF!,"OPERADOR DE VEHICULOS DE EMERGENCIA (OVE)",IF(P227=#REF!,"INSTITUCIONES AMIGAS DE LA MUJER Y LA INFANCIA (IAMI)",IF(P227=#REF!,"CUIDADO DEL DONANTE DE ORGANOS",IF(P227=#REF!,"ATENCION A VICTIMAS POR VIOLENCIA DE GENERO",IF(P227=#REF!,"IGUALDAD DE GENERO EN LA SALUD",IF(P227=#REF!,"BRIGADA DE EMERGENCIA",IF(P227=#REF!,"MANEJO DEL DOLOR Y CUIDADOS PALIATIVOS",IF(P227=#REF!,"TOMA DE MUESTRAS Y LABORATORIO POCT",IF(P227=#REF!,"IMPLANTE SUBDERMICO DE DISPOSITIVO INTRAUTERINO",IF(P227=#REF!,"SALUD MENTAL",IF(P227=#REF!,"PRIMEROS AUXILIOS PSICOLOGICOS",IF(P227=#REF!,"ATENCION A VICTIMAS POR CONFLICTO ARMADO",IF(P227=#REF!,"MANIPULACION DE ALIMENTOS Y BPM",IF(P227=#REF!,"ATENCION A PERSONAS CON DISCAPACIDAD",IF(P227=#REF!,"CUIDADO INTEGRAL DEL PACIENTE ADULTO",IF(P227=#REF!,"MANEJO DEFENSIVO",IF(P227=#REF!,"SOPORTE CARDIOVASCULAR AVANZADO NEONATAL",IF(P227=#REF!,"SEGURIDAD DEL PACIENTE",IF(P227=#REF!,"MANEJO DE RESIDUOS HOSPITALARIOS"))))))))))))))))))))))))))))))))))))</f>
        <v>#REF!</v>
      </c>
      <c r="W227" s="6" t="str">
        <f t="shared" si="17"/>
        <v xml:space="preserve">   </v>
      </c>
      <c r="X227" s="6" t="str">
        <f t="shared" si="18"/>
        <v xml:space="preserve">   </v>
      </c>
      <c r="Y227" s="6" t="str">
        <f t="shared" si="19"/>
        <v xml:space="preserve">   --</v>
      </c>
    </row>
    <row r="228" spans="1:25" x14ac:dyDescent="0.2">
      <c r="A228" s="19">
        <v>227</v>
      </c>
      <c r="I228" s="7"/>
      <c r="J228" s="7"/>
      <c r="Q228" s="7"/>
      <c r="S228" s="9"/>
      <c r="U228" s="2"/>
      <c r="V228" s="6" t="e">
        <f>IF(P228=#REF!,"DIPLOMADO EN ATENCION PRE-HOSPITALARIA",IF(P228=#REF!,"ACOMPAÑAMIENTO Y MANEJO DEL DUELO",IF(P228=#REF!,"ATENCION A VICTIMAS DE ATAQUE CON AGENTES QUIMICOS ",IF(P228=#REF!,"PRIMEROS AUXILIOS ",IF(P228=#REF!,"DIPLOMADO DE UNIDAD DE CUIDADOS INTENSIVOS (UCI)",IF(P228=#REF!,"MODELO DE ATENCION PARA EVENTOS EMERGENTES EN SALUD MENTAL (CODIGO VERDE)",IF(P228=#REF!,"HUMANIZACION EN EL SERVICIO DE LA SALUD Y BUENAS PRACTICAS EN PACIENTE ",IF(P228=#REF!,"CLINICA DE HERIDAS ",IF(P228=#REF!,"TOMA DE CITOLOGIA CERVICO VAGINAL ",IF(P228=#REF!,"SOPORTE CARDIOVASCULAR AVANZADO (ACLS) ",IF(P228=#REF!,"CAMILLERO ",IF(P228=#REF!,"TOMA DE MUESTRAS Y LABORATORIO ",IF(P228=#REF!,"SOPORTE VITAL BASICO (BLS)",IF(P228=#REF!,"ATENCION A VICTIMAS DE VIOLENCIA SEXUAL ",IF(P228=#REF!,"PROGRAMADO AMPLIADO DE INMUNIZACION (PAI - COVID 19)",IF(P228=#REF!,"ATENCION INTEGRAL EN ENFERMEDADES PREVALENTES EN PRIMERA INFANCIA (AIEPI)",IF(P228=#REF!,"ADMINISTRACION DE MEDICAMENTOS, INYECTOLOGIA  Y CANALIZACION ",IF(P228=#REF!,"OPERADOR DE VEHICULOS DE EMERGENCIA (OVE)",IF(P228=#REF!,"INSTITUCIONES AMIGAS DE LA MUJER Y LA INFANCIA (IAMI)",IF(P228=#REF!,"CUIDADO DEL DONANTE DE ORGANOS",IF(P228=#REF!,"ATENCION A VICTIMAS POR VIOLENCIA DE GENERO",IF(P228=#REF!,"IGUALDAD DE GENERO EN LA SALUD",IF(P228=#REF!,"BRIGADA DE EMERGENCIA",IF(P228=#REF!,"MANEJO DEL DOLOR Y CUIDADOS PALIATIVOS",IF(P228=#REF!,"TOMA DE MUESTRAS Y LABORATORIO POCT",IF(P228=#REF!,"IMPLANTE SUBDERMICO DE DISPOSITIVO INTRAUTERINO",IF(P228=#REF!,"SALUD MENTAL",IF(P228=#REF!,"PRIMEROS AUXILIOS PSICOLOGICOS",IF(P228=#REF!,"ATENCION A VICTIMAS POR CONFLICTO ARMADO",IF(P228=#REF!,"MANIPULACION DE ALIMENTOS Y BPM",IF(P228=#REF!,"ATENCION A PERSONAS CON DISCAPACIDAD",IF(P228=#REF!,"CUIDADO INTEGRAL DEL PACIENTE ADULTO",IF(P228=#REF!,"MANEJO DEFENSIVO",IF(P228=#REF!,"SOPORTE CARDIOVASCULAR AVANZADO NEONATAL",IF(P228=#REF!,"SEGURIDAD DEL PACIENTE",IF(P228=#REF!,"MANEJO DE RESIDUOS HOSPITALARIOS"))))))))))))))))))))))))))))))))))))</f>
        <v>#REF!</v>
      </c>
      <c r="W228" s="6" t="str">
        <f t="shared" si="17"/>
        <v xml:space="preserve">   </v>
      </c>
      <c r="X228" s="6" t="str">
        <f t="shared" si="18"/>
        <v xml:space="preserve">   </v>
      </c>
      <c r="Y228" s="6" t="str">
        <f t="shared" si="19"/>
        <v xml:space="preserve">   --</v>
      </c>
    </row>
    <row r="229" spans="1:25" x14ac:dyDescent="0.2">
      <c r="A229" s="19">
        <v>228</v>
      </c>
      <c r="I229" s="7"/>
      <c r="J229" s="7"/>
      <c r="Q229" s="7"/>
      <c r="S229" s="8"/>
      <c r="U229" s="2"/>
      <c r="V229" s="6" t="e">
        <f>IF(P229=#REF!,"DIPLOMADO EN ATENCION PRE-HOSPITALARIA",IF(P229=#REF!,"ACOMPAÑAMIENTO Y MANEJO DEL DUELO",IF(P229=#REF!,"ATENCION A VICTIMAS DE ATAQUE CON AGENTES QUIMICOS ",IF(P229=#REF!,"PRIMEROS AUXILIOS ",IF(P229=#REF!,"DIPLOMADO DE UNIDAD DE CUIDADOS INTENSIVOS (UCI)",IF(P229=#REF!,"MODELO DE ATENCION PARA EVENTOS EMERGENTES EN SALUD MENTAL (CODIGO VERDE)",IF(P229=#REF!,"HUMANIZACION EN EL SERVICIO DE LA SALUD Y BUENAS PRACTICAS EN PACIENTE ",IF(P229=#REF!,"CLINICA DE HERIDAS ",IF(P229=#REF!,"TOMA DE CITOLOGIA CERVICO VAGINAL ",IF(P229=#REF!,"SOPORTE CARDIOVASCULAR AVANZADO (ACLS) ",IF(P229=#REF!,"CAMILLERO ",IF(P229=#REF!,"TOMA DE MUESTRAS Y LABORATORIO ",IF(P229=#REF!,"SOPORTE VITAL BASICO (BLS)",IF(P229=#REF!,"ATENCION A VICTIMAS DE VIOLENCIA SEXUAL ",IF(P229=#REF!,"PROGRAMADO AMPLIADO DE INMUNIZACION (PAI - COVID 19)",IF(P229=#REF!,"ATENCION INTEGRAL EN ENFERMEDADES PREVALENTES EN PRIMERA INFANCIA (AIEPI)",IF(P229=#REF!,"ADMINISTRACION DE MEDICAMENTOS, INYECTOLOGIA  Y CANALIZACION ",IF(P229=#REF!,"OPERADOR DE VEHICULOS DE EMERGENCIA (OVE)",IF(P229=#REF!,"INSTITUCIONES AMIGAS DE LA MUJER Y LA INFANCIA (IAMI)",IF(P229=#REF!,"CUIDADO DEL DONANTE DE ORGANOS",IF(P229=#REF!,"ATENCION A VICTIMAS POR VIOLENCIA DE GENERO",IF(P229=#REF!,"IGUALDAD DE GENERO EN LA SALUD",IF(P229=#REF!,"BRIGADA DE EMERGENCIA",IF(P229=#REF!,"MANEJO DEL DOLOR Y CUIDADOS PALIATIVOS",IF(P229=#REF!,"TOMA DE MUESTRAS Y LABORATORIO POCT",IF(P229=#REF!,"IMPLANTE SUBDERMICO DE DISPOSITIVO INTRAUTERINO",IF(P229=#REF!,"SALUD MENTAL",IF(P229=#REF!,"PRIMEROS AUXILIOS PSICOLOGICOS",IF(P229=#REF!,"ATENCION A VICTIMAS POR CONFLICTO ARMADO",IF(P229=#REF!,"MANIPULACION DE ALIMENTOS Y BPM",IF(P229=#REF!,"ATENCION A PERSONAS CON DISCAPACIDAD",IF(P229=#REF!,"CUIDADO INTEGRAL DEL PACIENTE ADULTO",IF(P229=#REF!,"MANEJO DEFENSIVO",IF(P229=#REF!,"SOPORTE CARDIOVASCULAR AVANZADO NEONATAL",IF(P229=#REF!,"SEGURIDAD DEL PACIENTE",IF(P229=#REF!,"MANEJO DE RESIDUOS HOSPITALARIOS"))))))))))))))))))))))))))))))))))))</f>
        <v>#REF!</v>
      </c>
      <c r="W229" s="6" t="str">
        <f t="shared" si="17"/>
        <v xml:space="preserve">   </v>
      </c>
      <c r="X229" s="6" t="str">
        <f t="shared" si="18"/>
        <v xml:space="preserve">   </v>
      </c>
      <c r="Y229" s="6" t="str">
        <f t="shared" si="19"/>
        <v xml:space="preserve">   --</v>
      </c>
    </row>
    <row r="230" spans="1:25" x14ac:dyDescent="0.2">
      <c r="A230" s="19">
        <v>229</v>
      </c>
      <c r="I230" s="7"/>
      <c r="J230" s="7"/>
      <c r="Q230" s="7"/>
      <c r="S230" s="8"/>
      <c r="U230" s="2"/>
      <c r="V230" s="6" t="e">
        <f>IF(P230=#REF!,"DIPLOMADO EN ATENCION PRE-HOSPITALARIA",IF(P230=#REF!,"ACOMPAÑAMIENTO Y MANEJO DEL DUELO",IF(P230=#REF!,"ATENCION A VICTIMAS DE ATAQUE CON AGENTES QUIMICOS ",IF(P230=#REF!,"PRIMEROS AUXILIOS ",IF(P230=#REF!,"DIPLOMADO DE UNIDAD DE CUIDADOS INTENSIVOS (UCI)",IF(P230=#REF!,"MODELO DE ATENCION PARA EVENTOS EMERGENTES EN SALUD MENTAL (CODIGO VERDE)",IF(P230=#REF!,"HUMANIZACION EN EL SERVICIO DE LA SALUD Y BUENAS PRACTICAS EN PACIENTE ",IF(P230=#REF!,"CLINICA DE HERIDAS ",IF(P230=#REF!,"TOMA DE CITOLOGIA CERVICO VAGINAL ",IF(P230=#REF!,"SOPORTE CARDIOVASCULAR AVANZADO (ACLS) ",IF(P230=#REF!,"CAMILLERO ",IF(P230=#REF!,"TOMA DE MUESTRAS Y LABORATORIO ",IF(P230=#REF!,"SOPORTE VITAL BASICO (BLS)",IF(P230=#REF!,"ATENCION A VICTIMAS DE VIOLENCIA SEXUAL ",IF(P230=#REF!,"PROGRAMADO AMPLIADO DE INMUNIZACION (PAI - COVID 19)",IF(P230=#REF!,"ATENCION INTEGRAL EN ENFERMEDADES PREVALENTES EN PRIMERA INFANCIA (AIEPI)",IF(P230=#REF!,"ADMINISTRACION DE MEDICAMENTOS, INYECTOLOGIA  Y CANALIZACION ",IF(P230=#REF!,"OPERADOR DE VEHICULOS DE EMERGENCIA (OVE)",IF(P230=#REF!,"INSTITUCIONES AMIGAS DE LA MUJER Y LA INFANCIA (IAMI)",IF(P230=#REF!,"CUIDADO DEL DONANTE DE ORGANOS",IF(P230=#REF!,"ATENCION A VICTIMAS POR VIOLENCIA DE GENERO",IF(P230=#REF!,"IGUALDAD DE GENERO EN LA SALUD",IF(P230=#REF!,"BRIGADA DE EMERGENCIA",IF(P230=#REF!,"MANEJO DEL DOLOR Y CUIDADOS PALIATIVOS",IF(P230=#REF!,"TOMA DE MUESTRAS Y LABORATORIO POCT",IF(P230=#REF!,"IMPLANTE SUBDERMICO DE DISPOSITIVO INTRAUTERINO",IF(P230=#REF!,"SALUD MENTAL",IF(P230=#REF!,"PRIMEROS AUXILIOS PSICOLOGICOS",IF(P230=#REF!,"ATENCION A VICTIMAS POR CONFLICTO ARMADO",IF(P230=#REF!,"MANIPULACION DE ALIMENTOS Y BPM",IF(P230=#REF!,"ATENCION A PERSONAS CON DISCAPACIDAD",IF(P230=#REF!,"CUIDADO INTEGRAL DEL PACIENTE ADULTO",IF(P230=#REF!,"MANEJO DEFENSIVO",IF(P230=#REF!,"SOPORTE CARDIOVASCULAR AVANZADO NEONATAL",IF(P230=#REF!,"SEGURIDAD DEL PACIENTE",IF(P230=#REF!,"MANEJO DE RESIDUOS HOSPITALARIOS"))))))))))))))))))))))))))))))))))))</f>
        <v>#REF!</v>
      </c>
      <c r="W230" s="6" t="str">
        <f t="shared" si="17"/>
        <v xml:space="preserve">   </v>
      </c>
      <c r="X230" s="6" t="str">
        <f t="shared" si="18"/>
        <v xml:space="preserve">   </v>
      </c>
      <c r="Y230" s="6" t="str">
        <f t="shared" si="19"/>
        <v xml:space="preserve">   --</v>
      </c>
    </row>
    <row r="231" spans="1:25" x14ac:dyDescent="0.2">
      <c r="A231" s="19">
        <v>230</v>
      </c>
      <c r="Q231" s="7"/>
      <c r="V231" s="6" t="e">
        <f>IF(P231=#REF!,"DIPLOMADO EN ATENCION PRE-HOSPITALARIA",IF(P231=#REF!,"ACOMPAÑAMIENTO Y MANEJO DEL DUELO",IF(P231=#REF!,"ATENCION A VICTIMAS DE ATAQUE CON AGENTES QUIMICOS ",IF(P231=#REF!,"PRIMEROS AUXILIOS ",IF(P231=#REF!,"DIPLOMADO DE UNIDAD DE CUIDADOS INTENSIVOS (UCI)",IF(P231=#REF!,"MODELO DE ATENCION PARA EVENTOS EMERGENTES EN SALUD MENTAL (CODIGO VERDE)",IF(P231=#REF!,"HUMANIZACION EN EL SERVICIO DE LA SALUD Y BUENAS PRACTICAS EN PACIENTE ",IF(P231=#REF!,"CLINICA DE HERIDAS ",IF(P231=#REF!,"TOMA DE CITOLOGIA CERVICO VAGINAL ",IF(P231=#REF!,"SOPORTE CARDIOVASCULAR AVANZADO (ACLS) ",IF(P231=#REF!,"CAMILLERO ",IF(P231=#REF!,"TOMA DE MUESTRAS Y LABORATORIO ",IF(P231=#REF!,"SOPORTE VITAL BASICO (BLS)",IF(P231=#REF!,"ATENCION A VICTIMAS DE VIOLENCIA SEXUAL ",IF(P231=#REF!,"PROGRAMADO AMPLIADO DE INMUNIZACION (PAI - COVID 19)",IF(P231=#REF!,"ATENCION INTEGRAL EN ENFERMEDADES PREVALENTES EN PRIMERA INFANCIA (AIEPI)",IF(P231=#REF!,"ADMINISTRACION DE MEDICAMENTOS, INYECTOLOGIA  Y CANALIZACION ",IF(P231=#REF!,"OPERADOR DE VEHICULOS DE EMERGENCIA (OVE)",IF(P231=#REF!,"INSTITUCIONES AMIGAS DE LA MUJER Y LA INFANCIA (IAMI)",IF(P231=#REF!,"CUIDADO DEL DONANTE DE ORGANOS",IF(P231=#REF!,"ATENCION A VICTIMAS POR VIOLENCIA DE GENERO",IF(P231=#REF!,"IGUALDAD DE GENERO EN LA SALUD",IF(P231=#REF!,"BRIGADA DE EMERGENCIA",IF(P231=#REF!,"MANEJO DEL DOLOR Y CUIDADOS PALIATIVOS",IF(P231=#REF!,"TOMA DE MUESTRAS Y LABORATORIO POCT",IF(P231=#REF!,"IMPLANTE SUBDERMICO DE DISPOSITIVO INTRAUTERINO",IF(P231=#REF!,"SALUD MENTAL",IF(P231=#REF!,"PRIMEROS AUXILIOS PSICOLOGICOS",IF(P231=#REF!,"ATENCION A VICTIMAS POR CONFLICTO ARMADO",IF(P231=#REF!,"MANIPULACION DE ALIMENTOS Y BPM",IF(P231=#REF!,"ATENCION A PERSONAS CON DISCAPACIDAD",IF(P231=#REF!,"CUIDADO INTEGRAL DEL PACIENTE ADULTO",IF(P231=#REF!,"MANEJO DEFENSIVO",IF(P231=#REF!,"SOPORTE CARDIOVASCULAR AVANZADO NEONATAL",IF(P231=#REF!,"SEGURIDAD DEL PACIENTE",IF(P231=#REF!,"MANEJO DE RESIDUOS HOSPITALARIOS"))))))))))))))))))))))))))))))))))))</f>
        <v>#REF!</v>
      </c>
      <c r="W231" s="6" t="str">
        <f t="shared" si="17"/>
        <v xml:space="preserve">   </v>
      </c>
      <c r="X231" s="6" t="str">
        <f t="shared" si="18"/>
        <v xml:space="preserve">   </v>
      </c>
      <c r="Y231" s="6" t="str">
        <f t="shared" si="19"/>
        <v xml:space="preserve">   --</v>
      </c>
    </row>
    <row r="232" spans="1:25" x14ac:dyDescent="0.2">
      <c r="A232" s="19">
        <v>231</v>
      </c>
      <c r="Q232" s="7"/>
      <c r="V232" s="6" t="e">
        <f>IF(P232=#REF!,"DIPLOMADO EN ATENCION PRE-HOSPITALARIA",IF(P232=#REF!,"ACOMPAÑAMIENTO Y MANEJO DEL DUELO",IF(P232=#REF!,"ATENCION A VICTIMAS DE ATAQUE CON AGENTES QUIMICOS ",IF(P232=#REF!,"PRIMEROS AUXILIOS ",IF(P232=#REF!,"DIPLOMADO DE UNIDAD DE CUIDADOS INTENSIVOS (UCI)",IF(P232=#REF!,"MODELO DE ATENCION PARA EVENTOS EMERGENTES EN SALUD MENTAL (CODIGO VERDE)",IF(P232=#REF!,"HUMANIZACION EN EL SERVICIO DE LA SALUD Y BUENAS PRACTICAS EN PACIENTE ",IF(P232=#REF!,"CLINICA DE HERIDAS ",IF(P232=#REF!,"TOMA DE CITOLOGIA CERVICO VAGINAL ",IF(P232=#REF!,"SOPORTE CARDIOVASCULAR AVANZADO (ACLS) ",IF(P232=#REF!,"CAMILLERO ",IF(P232=#REF!,"TOMA DE MUESTRAS Y LABORATORIO ",IF(P232=#REF!,"SOPORTE VITAL BASICO (BLS)",IF(P232=#REF!,"ATENCION A VICTIMAS DE VIOLENCIA SEXUAL ",IF(P232=#REF!,"PROGRAMADO AMPLIADO DE INMUNIZACION (PAI - COVID 19)",IF(P232=#REF!,"ATENCION INTEGRAL EN ENFERMEDADES PREVALENTES EN PRIMERA INFANCIA (AIEPI)",IF(P232=#REF!,"ADMINISTRACION DE MEDICAMENTOS, INYECTOLOGIA  Y CANALIZACION ",IF(P232=#REF!,"OPERADOR DE VEHICULOS DE EMERGENCIA (OVE)",IF(P232=#REF!,"INSTITUCIONES AMIGAS DE LA MUJER Y LA INFANCIA (IAMI)",IF(P232=#REF!,"CUIDADO DEL DONANTE DE ORGANOS",IF(P232=#REF!,"ATENCION A VICTIMAS POR VIOLENCIA DE GENERO",IF(P232=#REF!,"IGUALDAD DE GENERO EN LA SALUD",IF(P232=#REF!,"BRIGADA DE EMERGENCIA",IF(P232=#REF!,"MANEJO DEL DOLOR Y CUIDADOS PALIATIVOS",IF(P232=#REF!,"TOMA DE MUESTRAS Y LABORATORIO POCT",IF(P232=#REF!,"IMPLANTE SUBDERMICO DE DISPOSITIVO INTRAUTERINO",IF(P232=#REF!,"SALUD MENTAL",IF(P232=#REF!,"PRIMEROS AUXILIOS PSICOLOGICOS",IF(P232=#REF!,"ATENCION A VICTIMAS POR CONFLICTO ARMADO",IF(P232=#REF!,"MANIPULACION DE ALIMENTOS Y BPM",IF(P232=#REF!,"ATENCION A PERSONAS CON DISCAPACIDAD",IF(P232=#REF!,"CUIDADO INTEGRAL DEL PACIENTE ADULTO",IF(P232=#REF!,"MANEJO DEFENSIVO",IF(P232=#REF!,"SOPORTE CARDIOVASCULAR AVANZADO NEONATAL",IF(P232=#REF!,"SEGURIDAD DEL PACIENTE",IF(P232=#REF!,"MANEJO DE RESIDUOS HOSPITALARIOS"))))))))))))))))))))))))))))))))))))</f>
        <v>#REF!</v>
      </c>
      <c r="W232" s="6" t="str">
        <f t="shared" si="17"/>
        <v xml:space="preserve">   </v>
      </c>
      <c r="X232" s="6" t="str">
        <f t="shared" si="18"/>
        <v xml:space="preserve">   </v>
      </c>
      <c r="Y232" s="6" t="str">
        <f t="shared" si="19"/>
        <v xml:space="preserve">   --</v>
      </c>
    </row>
    <row r="233" spans="1:25" x14ac:dyDescent="0.2">
      <c r="A233" s="19">
        <v>232</v>
      </c>
      <c r="Q233" s="7"/>
      <c r="V233" s="6" t="e">
        <f>IF(P233=#REF!,"DIPLOMADO EN ATENCION PRE-HOSPITALARIA",IF(P233=#REF!,"ACOMPAÑAMIENTO Y MANEJO DEL DUELO",IF(P233=#REF!,"ATENCION A VICTIMAS DE ATAQUE CON AGENTES QUIMICOS ",IF(P233=#REF!,"PRIMEROS AUXILIOS ",IF(P233=#REF!,"DIPLOMADO DE UNIDAD DE CUIDADOS INTENSIVOS (UCI)",IF(P233=#REF!,"MODELO DE ATENCION PARA EVENTOS EMERGENTES EN SALUD MENTAL (CODIGO VERDE)",IF(P233=#REF!,"HUMANIZACION EN EL SERVICIO DE LA SALUD Y BUENAS PRACTICAS EN PACIENTE ",IF(P233=#REF!,"CLINICA DE HERIDAS ",IF(P233=#REF!,"TOMA DE CITOLOGIA CERVICO VAGINAL ",IF(P233=#REF!,"SOPORTE CARDIOVASCULAR AVANZADO (ACLS) ",IF(P233=#REF!,"CAMILLERO ",IF(P233=#REF!,"TOMA DE MUESTRAS Y LABORATORIO ",IF(P233=#REF!,"SOPORTE VITAL BASICO (BLS)",IF(P233=#REF!,"ATENCION A VICTIMAS DE VIOLENCIA SEXUAL ",IF(P233=#REF!,"PROGRAMADO AMPLIADO DE INMUNIZACION (PAI - COVID 19)",IF(P233=#REF!,"ATENCION INTEGRAL EN ENFERMEDADES PREVALENTES EN PRIMERA INFANCIA (AIEPI)",IF(P233=#REF!,"ADMINISTRACION DE MEDICAMENTOS, INYECTOLOGIA  Y CANALIZACION ",IF(P233=#REF!,"OPERADOR DE VEHICULOS DE EMERGENCIA (OVE)",IF(P233=#REF!,"INSTITUCIONES AMIGAS DE LA MUJER Y LA INFANCIA (IAMI)",IF(P233=#REF!,"CUIDADO DEL DONANTE DE ORGANOS",IF(P233=#REF!,"ATENCION A VICTIMAS POR VIOLENCIA DE GENERO",IF(P233=#REF!,"IGUALDAD DE GENERO EN LA SALUD",IF(P233=#REF!,"BRIGADA DE EMERGENCIA",IF(P233=#REF!,"MANEJO DEL DOLOR Y CUIDADOS PALIATIVOS",IF(P233=#REF!,"TOMA DE MUESTRAS Y LABORATORIO POCT",IF(P233=#REF!,"IMPLANTE SUBDERMICO DE DISPOSITIVO INTRAUTERINO",IF(P233=#REF!,"SALUD MENTAL",IF(P233=#REF!,"PRIMEROS AUXILIOS PSICOLOGICOS",IF(P233=#REF!,"ATENCION A VICTIMAS POR CONFLICTO ARMADO",IF(P233=#REF!,"MANIPULACION DE ALIMENTOS Y BPM",IF(P233=#REF!,"ATENCION A PERSONAS CON DISCAPACIDAD",IF(P233=#REF!,"CUIDADO INTEGRAL DEL PACIENTE ADULTO",IF(P233=#REF!,"MANEJO DEFENSIVO",IF(P233=#REF!,"SOPORTE CARDIOVASCULAR AVANZADO NEONATAL",IF(P233=#REF!,"SEGURIDAD DEL PACIENTE",IF(P233=#REF!,"MANEJO DE RESIDUOS HOSPITALARIOS"))))))))))))))))))))))))))))))))))))</f>
        <v>#REF!</v>
      </c>
      <c r="W233" s="6" t="str">
        <f t="shared" si="17"/>
        <v xml:space="preserve">   </v>
      </c>
      <c r="X233" s="6" t="str">
        <f t="shared" si="18"/>
        <v xml:space="preserve">   </v>
      </c>
      <c r="Y233" s="6" t="str">
        <f t="shared" si="19"/>
        <v xml:space="preserve">   --</v>
      </c>
    </row>
    <row r="234" spans="1:25" x14ac:dyDescent="0.2">
      <c r="A234" s="19">
        <v>233</v>
      </c>
      <c r="Q234" s="7"/>
      <c r="V234" s="6" t="e">
        <f>IF(P234=#REF!,"DIPLOMADO EN ATENCION PRE-HOSPITALARIA",IF(P234=#REF!,"ACOMPAÑAMIENTO Y MANEJO DEL DUELO",IF(P234=#REF!,"ATENCION A VICTIMAS DE ATAQUE CON AGENTES QUIMICOS ",IF(P234=#REF!,"PRIMEROS AUXILIOS ",IF(P234=#REF!,"DIPLOMADO DE UNIDAD DE CUIDADOS INTENSIVOS (UCI)",IF(P234=#REF!,"MODELO DE ATENCION PARA EVENTOS EMERGENTES EN SALUD MENTAL (CODIGO VERDE)",IF(P234=#REF!,"HUMANIZACION EN EL SERVICIO DE LA SALUD Y BUENAS PRACTICAS EN PACIENTE ",IF(P234=#REF!,"CLINICA DE HERIDAS ",IF(P234=#REF!,"TOMA DE CITOLOGIA CERVICO VAGINAL ",IF(P234=#REF!,"SOPORTE CARDIOVASCULAR AVANZADO (ACLS) ",IF(P234=#REF!,"CAMILLERO ",IF(P234=#REF!,"TOMA DE MUESTRAS Y LABORATORIO ",IF(P234=#REF!,"SOPORTE VITAL BASICO (BLS)",IF(P234=#REF!,"ATENCION A VICTIMAS DE VIOLENCIA SEXUAL ",IF(P234=#REF!,"PROGRAMADO AMPLIADO DE INMUNIZACION (PAI - COVID 19)",IF(P234=#REF!,"ATENCION INTEGRAL EN ENFERMEDADES PREVALENTES EN PRIMERA INFANCIA (AIEPI)",IF(P234=#REF!,"ADMINISTRACION DE MEDICAMENTOS, INYECTOLOGIA  Y CANALIZACION ",IF(P234=#REF!,"OPERADOR DE VEHICULOS DE EMERGENCIA (OVE)",IF(P234=#REF!,"INSTITUCIONES AMIGAS DE LA MUJER Y LA INFANCIA (IAMI)",IF(P234=#REF!,"CUIDADO DEL DONANTE DE ORGANOS",IF(P234=#REF!,"ATENCION A VICTIMAS POR VIOLENCIA DE GENERO",IF(P234=#REF!,"IGUALDAD DE GENERO EN LA SALUD",IF(P234=#REF!,"BRIGADA DE EMERGENCIA",IF(P234=#REF!,"MANEJO DEL DOLOR Y CUIDADOS PALIATIVOS",IF(P234=#REF!,"TOMA DE MUESTRAS Y LABORATORIO POCT",IF(P234=#REF!,"IMPLANTE SUBDERMICO DE DISPOSITIVO INTRAUTERINO",IF(P234=#REF!,"SALUD MENTAL",IF(P234=#REF!,"PRIMEROS AUXILIOS PSICOLOGICOS",IF(P234=#REF!,"ATENCION A VICTIMAS POR CONFLICTO ARMADO",IF(P234=#REF!,"MANIPULACION DE ALIMENTOS Y BPM",IF(P234=#REF!,"ATENCION A PERSONAS CON DISCAPACIDAD",IF(P234=#REF!,"CUIDADO INTEGRAL DEL PACIENTE ADULTO",IF(P234=#REF!,"MANEJO DEFENSIVO",IF(P234=#REF!,"SOPORTE CARDIOVASCULAR AVANZADO NEONATAL",IF(P234=#REF!,"SEGURIDAD DEL PACIENTE",IF(P234=#REF!,"MANEJO DE RESIDUOS HOSPITALARIOS"))))))))))))))))))))))))))))))))))))</f>
        <v>#REF!</v>
      </c>
      <c r="W234" s="6" t="str">
        <f t="shared" si="17"/>
        <v xml:space="preserve">   </v>
      </c>
      <c r="X234" s="6" t="str">
        <f t="shared" si="18"/>
        <v xml:space="preserve">   </v>
      </c>
      <c r="Y234" s="6" t="str">
        <f t="shared" si="19"/>
        <v xml:space="preserve">   --</v>
      </c>
    </row>
    <row r="235" spans="1:25" x14ac:dyDescent="0.2">
      <c r="A235" s="19">
        <v>234</v>
      </c>
      <c r="Q235" s="7"/>
      <c r="V235" s="6" t="e">
        <f>IF(P235=#REF!,"DIPLOMADO EN ATENCION PRE-HOSPITALARIA",IF(P235=#REF!,"ACOMPAÑAMIENTO Y MANEJO DEL DUELO",IF(P235=#REF!,"ATENCION A VICTIMAS DE ATAQUE CON AGENTES QUIMICOS ",IF(P235=#REF!,"PRIMEROS AUXILIOS ",IF(P235=#REF!,"DIPLOMADO DE UNIDAD DE CUIDADOS INTENSIVOS (UCI)",IF(P235=#REF!,"MODELO DE ATENCION PARA EVENTOS EMERGENTES EN SALUD MENTAL (CODIGO VERDE)",IF(P235=#REF!,"HUMANIZACION EN EL SERVICIO DE LA SALUD Y BUENAS PRACTICAS EN PACIENTE ",IF(P235=#REF!,"CLINICA DE HERIDAS ",IF(P235=#REF!,"TOMA DE CITOLOGIA CERVICO VAGINAL ",IF(P235=#REF!,"SOPORTE CARDIOVASCULAR AVANZADO (ACLS) ",IF(P235=#REF!,"CAMILLERO ",IF(P235=#REF!,"TOMA DE MUESTRAS Y LABORATORIO ",IF(P235=#REF!,"SOPORTE VITAL BASICO (BLS)",IF(P235=#REF!,"ATENCION A VICTIMAS DE VIOLENCIA SEXUAL ",IF(P235=#REF!,"PROGRAMADO AMPLIADO DE INMUNIZACION (PAI - COVID 19)",IF(P235=#REF!,"ATENCION INTEGRAL EN ENFERMEDADES PREVALENTES EN PRIMERA INFANCIA (AIEPI)",IF(P235=#REF!,"ADMINISTRACION DE MEDICAMENTOS, INYECTOLOGIA  Y CANALIZACION ",IF(P235=#REF!,"OPERADOR DE VEHICULOS DE EMERGENCIA (OVE)",IF(P235=#REF!,"INSTITUCIONES AMIGAS DE LA MUJER Y LA INFANCIA (IAMI)",IF(P235=#REF!,"CUIDADO DEL DONANTE DE ORGANOS",IF(P235=#REF!,"ATENCION A VICTIMAS POR VIOLENCIA DE GENERO",IF(P235=#REF!,"IGUALDAD DE GENERO EN LA SALUD",IF(P235=#REF!,"BRIGADA DE EMERGENCIA",IF(P235=#REF!,"MANEJO DEL DOLOR Y CUIDADOS PALIATIVOS",IF(P235=#REF!,"TOMA DE MUESTRAS Y LABORATORIO POCT",IF(P235=#REF!,"IMPLANTE SUBDERMICO DE DISPOSITIVO INTRAUTERINO",IF(P235=#REF!,"SALUD MENTAL",IF(P235=#REF!,"PRIMEROS AUXILIOS PSICOLOGICOS",IF(P235=#REF!,"ATENCION A VICTIMAS POR CONFLICTO ARMADO",IF(P235=#REF!,"MANIPULACION DE ALIMENTOS Y BPM",IF(P235=#REF!,"ATENCION A PERSONAS CON DISCAPACIDAD",IF(P235=#REF!,"CUIDADO INTEGRAL DEL PACIENTE ADULTO",IF(P235=#REF!,"MANEJO DEFENSIVO",IF(P235=#REF!,"SOPORTE CARDIOVASCULAR AVANZADO NEONATAL",IF(P235=#REF!,"SEGURIDAD DEL PACIENTE",IF(P235=#REF!,"MANEJO DE RESIDUOS HOSPITALARIOS"))))))))))))))))))))))))))))))))))))</f>
        <v>#REF!</v>
      </c>
      <c r="W235" s="6" t="str">
        <f t="shared" si="17"/>
        <v xml:space="preserve">   </v>
      </c>
      <c r="X235" s="6" t="str">
        <f t="shared" si="18"/>
        <v xml:space="preserve">   </v>
      </c>
      <c r="Y235" s="6" t="str">
        <f t="shared" si="19"/>
        <v xml:space="preserve">   --</v>
      </c>
    </row>
    <row r="236" spans="1:25" x14ac:dyDescent="0.2">
      <c r="A236" s="28">
        <v>235</v>
      </c>
      <c r="Q236" s="7"/>
      <c r="V236" s="6" t="e">
        <f>IF(P236=#REF!,"DIPLOMADO EN ATENCION PRE-HOSPITALARIA",IF(P236=#REF!,"ACOMPAÑAMIENTO Y MANEJO DEL DUELO",IF(P236=#REF!,"ATENCION A VICTIMAS DE ATAQUE CON AGENTES QUIMICOS ",IF(P236=#REF!,"PRIMEROS AUXILIOS ",IF(P236=#REF!,"DIPLOMADO DE UNIDAD DE CUIDADOS INTENSIVOS (UCI)",IF(P236=#REF!,"MODELO DE ATENCION PARA EVENTOS EMERGENTES EN SALUD MENTAL (CODIGO VERDE)",IF(P236=#REF!,"HUMANIZACION EN EL SERVICIO DE LA SALUD Y BUENAS PRACTICAS EN PACIENTE ",IF(P236=#REF!,"CLINICA DE HERIDAS ",IF(P236=#REF!,"TOMA DE CITOLOGIA CERVICO VAGINAL ",IF(P236=#REF!,"SOPORTE CARDIOVASCULAR AVANZADO (ACLS) ",IF(P236=#REF!,"CAMILLERO ",IF(P236=#REF!,"TOMA DE MUESTRAS Y LABORATORIO ",IF(P236=#REF!,"SOPORTE VITAL BASICO (BLS)",IF(P236=#REF!,"ATENCION A VICTIMAS DE VIOLENCIA SEXUAL ",IF(P236=#REF!,"PROGRAMADO AMPLIADO DE INMUNIZACION (PAI - COVID 19)",IF(P236=#REF!,"ATENCION INTEGRAL EN ENFERMEDADES PREVALENTES EN PRIMERA INFANCIA (AIEPI)",IF(P236=#REF!,"ADMINISTRACION DE MEDICAMENTOS, INYECTOLOGIA  Y CANALIZACION ",IF(P236=#REF!,"OPERADOR DE VEHICULOS DE EMERGENCIA (OVE)",IF(P236=#REF!,"INSTITUCIONES AMIGAS DE LA MUJER Y LA INFANCIA (IAMI)",IF(P236=#REF!,"CUIDADO DEL DONANTE DE ORGANOS",IF(P236=#REF!,"ATENCION A VICTIMAS POR VIOLENCIA DE GENERO",IF(P236=#REF!,"IGUALDAD DE GENERO EN LA SALUD",IF(P236=#REF!,"BRIGADA DE EMERGENCIA",IF(P236=#REF!,"MANEJO DEL DOLOR Y CUIDADOS PALIATIVOS",IF(P236=#REF!,"TOMA DE MUESTRAS Y LABORATORIO POCT",IF(P236=#REF!,"IMPLANTE SUBDERMICO DE DISPOSITIVO INTRAUTERINO",IF(P236=#REF!,"SALUD MENTAL",IF(P236=#REF!,"PRIMEROS AUXILIOS PSICOLOGICOS",IF(P236=#REF!,"ATENCION A VICTIMAS POR CONFLICTO ARMADO",IF(P236=#REF!,"MANIPULACION DE ALIMENTOS Y BPM",IF(P236=#REF!,"ATENCION A PERSONAS CON DISCAPACIDAD",IF(P236=#REF!,"CUIDADO INTEGRAL DEL PACIENTE ADULTO",IF(P236=#REF!,"MANEJO DEFENSIVO",IF(P236=#REF!,"SOPORTE CARDIOVASCULAR AVANZADO NEONATAL",IF(P236=#REF!,"SEGURIDAD DEL PACIENTE",IF(P236=#REF!,"MANEJO DE RESIDUOS HOSPITALARIOS"))))))))))))))))))))))))))))))))))))</f>
        <v>#REF!</v>
      </c>
      <c r="W236" s="6" t="str">
        <f t="shared" si="17"/>
        <v xml:space="preserve">   </v>
      </c>
      <c r="X236" s="6" t="str">
        <f t="shared" si="18"/>
        <v xml:space="preserve">   </v>
      </c>
      <c r="Y236" s="6" t="str">
        <f t="shared" si="19"/>
        <v xml:space="preserve">   --</v>
      </c>
    </row>
    <row r="237" spans="1:25" x14ac:dyDescent="0.2">
      <c r="A237" s="19">
        <v>236</v>
      </c>
      <c r="Q237" s="7"/>
      <c r="V237" s="6" t="e">
        <f>IF(P237=#REF!,"DIPLOMADO EN ATENCION PRE-HOSPITALARIA",IF(P237=#REF!,"ACOMPAÑAMIENTO Y MANEJO DEL DUELO",IF(P237=#REF!,"ATENCION A VICTIMAS DE ATAQUE CON AGENTES QUIMICOS ",IF(P237=#REF!,"PRIMEROS AUXILIOS ",IF(P237=#REF!,"DIPLOMADO DE UNIDAD DE CUIDADOS INTENSIVOS (UCI)",IF(P237=#REF!,"MODELO DE ATENCION PARA EVENTOS EMERGENTES EN SALUD MENTAL (CODIGO VERDE)",IF(P237=#REF!,"HUMANIZACION EN EL SERVICIO DE LA SALUD Y BUENAS PRACTICAS EN PACIENTE ",IF(P237=#REF!,"CLINICA DE HERIDAS ",IF(P237=#REF!,"TOMA DE CITOLOGIA CERVICO VAGINAL ",IF(P237=#REF!,"SOPORTE CARDIOVASCULAR AVANZADO (ACLS) ",IF(P237=#REF!,"CAMILLERO ",IF(P237=#REF!,"TOMA DE MUESTRAS Y LABORATORIO ",IF(P237=#REF!,"SOPORTE VITAL BASICO (BLS)",IF(P237=#REF!,"ATENCION A VICTIMAS DE VIOLENCIA SEXUAL ",IF(P237=#REF!,"PROGRAMADO AMPLIADO DE INMUNIZACION (PAI - COVID 19)",IF(P237=#REF!,"ATENCION INTEGRAL EN ENFERMEDADES PREVALENTES EN PRIMERA INFANCIA (AIEPI)",IF(P237=#REF!,"ADMINISTRACION DE MEDICAMENTOS, INYECTOLOGIA  Y CANALIZACION ",IF(P237=#REF!,"OPERADOR DE VEHICULOS DE EMERGENCIA (OVE)",IF(P237=#REF!,"INSTITUCIONES AMIGAS DE LA MUJER Y LA INFANCIA (IAMI)",IF(P237=#REF!,"CUIDADO DEL DONANTE DE ORGANOS",IF(P237=#REF!,"ATENCION A VICTIMAS POR VIOLENCIA DE GENERO",IF(P237=#REF!,"IGUALDAD DE GENERO EN LA SALUD",IF(P237=#REF!,"BRIGADA DE EMERGENCIA",IF(P237=#REF!,"MANEJO DEL DOLOR Y CUIDADOS PALIATIVOS",IF(P237=#REF!,"TOMA DE MUESTRAS Y LABORATORIO POCT",IF(P237=#REF!,"IMPLANTE SUBDERMICO DE DISPOSITIVO INTRAUTERINO",IF(P237=#REF!,"SALUD MENTAL",IF(P237=#REF!,"PRIMEROS AUXILIOS PSICOLOGICOS",IF(P237=#REF!,"ATENCION A VICTIMAS POR CONFLICTO ARMADO",IF(P237=#REF!,"MANIPULACION DE ALIMENTOS Y BPM",IF(P237=#REF!,"ATENCION A PERSONAS CON DISCAPACIDAD",IF(P237=#REF!,"CUIDADO INTEGRAL DEL PACIENTE ADULTO",IF(P237=#REF!,"MANEJO DEFENSIVO",IF(P237=#REF!,"SOPORTE CARDIOVASCULAR AVANZADO NEONATAL",IF(P237=#REF!,"SEGURIDAD DEL PACIENTE",IF(P237=#REF!,"MANEJO DE RESIDUOS HOSPITALARIOS"))))))))))))))))))))))))))))))))))))</f>
        <v>#REF!</v>
      </c>
      <c r="W237" s="6" t="str">
        <f t="shared" si="17"/>
        <v xml:space="preserve">   </v>
      </c>
      <c r="X237" s="6" t="str">
        <f t="shared" si="18"/>
        <v xml:space="preserve">   </v>
      </c>
      <c r="Y237" s="6" t="str">
        <f t="shared" si="19"/>
        <v xml:space="preserve">   --</v>
      </c>
    </row>
    <row r="238" spans="1:25" x14ac:dyDescent="0.2">
      <c r="A238" s="19">
        <v>237</v>
      </c>
      <c r="Q238" s="7"/>
      <c r="V238" s="6" t="e">
        <f>IF(P238=#REF!,"DIPLOMADO EN ATENCION PRE-HOSPITALARIA",IF(P238=#REF!,"ACOMPAÑAMIENTO Y MANEJO DEL DUELO",IF(P238=#REF!,"ATENCION A VICTIMAS DE ATAQUE CON AGENTES QUIMICOS ",IF(P238=#REF!,"PRIMEROS AUXILIOS ",IF(P238=#REF!,"DIPLOMADO DE UNIDAD DE CUIDADOS INTENSIVOS (UCI)",IF(P238=#REF!,"MODELO DE ATENCION PARA EVENTOS EMERGENTES EN SALUD MENTAL (CODIGO VERDE)",IF(P238=#REF!,"HUMANIZACION EN EL SERVICIO DE LA SALUD Y BUENAS PRACTICAS EN PACIENTE ",IF(P238=#REF!,"CLINICA DE HERIDAS ",IF(P238=#REF!,"TOMA DE CITOLOGIA CERVICO VAGINAL ",IF(P238=#REF!,"SOPORTE CARDIOVASCULAR AVANZADO (ACLS) ",IF(P238=#REF!,"CAMILLERO ",IF(P238=#REF!,"TOMA DE MUESTRAS Y LABORATORIO ",IF(P238=#REF!,"SOPORTE VITAL BASICO (BLS)",IF(P238=#REF!,"ATENCION A VICTIMAS DE VIOLENCIA SEXUAL ",IF(P238=#REF!,"PROGRAMADO AMPLIADO DE INMUNIZACION (PAI - COVID 19)",IF(P238=#REF!,"ATENCION INTEGRAL EN ENFERMEDADES PREVALENTES EN PRIMERA INFANCIA (AIEPI)",IF(P238=#REF!,"ADMINISTRACION DE MEDICAMENTOS, INYECTOLOGIA  Y CANALIZACION ",IF(P238=#REF!,"OPERADOR DE VEHICULOS DE EMERGENCIA (OVE)",IF(P238=#REF!,"INSTITUCIONES AMIGAS DE LA MUJER Y LA INFANCIA (IAMI)",IF(P238=#REF!,"CUIDADO DEL DONANTE DE ORGANOS",IF(P238=#REF!,"ATENCION A VICTIMAS POR VIOLENCIA DE GENERO",IF(P238=#REF!,"IGUALDAD DE GENERO EN LA SALUD",IF(P238=#REF!,"BRIGADA DE EMERGENCIA",IF(P238=#REF!,"MANEJO DEL DOLOR Y CUIDADOS PALIATIVOS",IF(P238=#REF!,"TOMA DE MUESTRAS Y LABORATORIO POCT",IF(P238=#REF!,"IMPLANTE SUBDERMICO DE DISPOSITIVO INTRAUTERINO",IF(P238=#REF!,"SALUD MENTAL",IF(P238=#REF!,"PRIMEROS AUXILIOS PSICOLOGICOS",IF(P238=#REF!,"ATENCION A VICTIMAS POR CONFLICTO ARMADO",IF(P238=#REF!,"MANIPULACION DE ALIMENTOS Y BPM",IF(P238=#REF!,"ATENCION A PERSONAS CON DISCAPACIDAD",IF(P238=#REF!,"CUIDADO INTEGRAL DEL PACIENTE ADULTO",IF(P238=#REF!,"MANEJO DEFENSIVO",IF(P238=#REF!,"SOPORTE CARDIOVASCULAR AVANZADO NEONATAL",IF(P238=#REF!,"SEGURIDAD DEL PACIENTE",IF(P238=#REF!,"MANEJO DE RESIDUOS HOSPITALARIOS"))))))))))))))))))))))))))))))))))))</f>
        <v>#REF!</v>
      </c>
      <c r="W238" s="6" t="str">
        <f t="shared" si="17"/>
        <v xml:space="preserve">   </v>
      </c>
      <c r="X238" s="6" t="str">
        <f t="shared" si="18"/>
        <v xml:space="preserve">   </v>
      </c>
      <c r="Y238" s="6" t="str">
        <f t="shared" si="19"/>
        <v xml:space="preserve">   --</v>
      </c>
    </row>
    <row r="239" spans="1:25" x14ac:dyDescent="0.2">
      <c r="A239" s="19">
        <v>238</v>
      </c>
      <c r="V239" s="6" t="e">
        <f>IF(P239=#REF!,"DIPLOMADO EN ATENCION PRE-HOSPITALARIA",IF(P239=#REF!,"ACOMPAÑAMIENTO Y MANEJO DEL DUELO",IF(P239=#REF!,"ATENCION A VICTIMAS DE ATAQUE CON AGENTES QUIMICOS ",IF(P239=#REF!,"PRIMEROS AUXILIOS ",IF(P239=#REF!,"DIPLOMADO DE UNIDAD DE CUIDADOS INTENSIVOS (UCI)",IF(P239=#REF!,"MODELO DE ATENCION PARA EVENTOS EMERGENTES EN SALUD MENTAL (CODIGO VERDE)",IF(P239=#REF!,"HUMANIZACION EN EL SERVICIO DE LA SALUD Y BUENAS PRACTICAS EN PACIENTE ",IF(P239=#REF!,"CLINICA DE HERIDAS ",IF(P239=#REF!,"TOMA DE CITOLOGIA CERVICO VAGINAL ",IF(P239=#REF!,"SOPORTE CARDIOVASCULAR AVANZADO (ACLS) ",IF(P239=#REF!,"CAMILLERO ",IF(P239=#REF!,"TOMA DE MUESTRAS Y LABORATORIO ",IF(P239=#REF!,"SOPORTE VITAL BASICO (BLS)",IF(P239=#REF!,"ATENCION A VICTIMAS DE VIOLENCIA SEXUAL ",IF(P239=#REF!,"PROGRAMADO AMPLIADO DE INMUNIZACION (PAI - COVID 19)",IF(P239=#REF!,"ATENCION INTEGRAL EN ENFERMEDADES PREVALENTES EN PRIMERA INFANCIA (AIEPI)",IF(P239=#REF!,"ADMINISTRACION DE MEDICAMENTOS, INYECTOLOGIA  Y CANALIZACION ",IF(P239=#REF!,"OPERADOR DE VEHICULOS DE EMERGENCIA (OVE)",IF(P239=#REF!,"INSTITUCIONES AMIGAS DE LA MUJER Y LA INFANCIA (IAMI)",IF(P239=#REF!,"CUIDADO DEL DONANTE DE ORGANOS",IF(P239=#REF!,"ATENCION A VICTIMAS POR VIOLENCIA DE GENERO",IF(P239=#REF!,"IGUALDAD DE GENERO EN LA SALUD",IF(P239=#REF!,"BRIGADA DE EMERGENCIA",IF(P239=#REF!,"MANEJO DEL DOLOR Y CUIDADOS PALIATIVOS",IF(P239=#REF!,"TOMA DE MUESTRAS Y LABORATORIO POCT",IF(P239=#REF!,"IMPLANTE SUBDERMICO DE DISPOSITIVO INTRAUTERINO",IF(P239=#REF!,"SALUD MENTAL",IF(P239=#REF!,"PRIMEROS AUXILIOS PSICOLOGICOS",IF(P239=#REF!,"ATENCION A VICTIMAS POR CONFLICTO ARMADO",IF(P239=#REF!,"MANIPULACION DE ALIMENTOS Y BPM",IF(P239=#REF!,"ATENCION A PERSONAS CON DISCAPACIDAD",IF(P239=#REF!,"CUIDADO INTEGRAL DEL PACIENTE ADULTO",IF(P239=#REF!,"MANEJO DEFENSIVO",IF(P239=#REF!,"SOPORTE CARDIOVASCULAR AVANZADO NEONATAL",IF(P239=#REF!,"SEGURIDAD DEL PACIENTE",IF(P239=#REF!,"MANEJO DE RESIDUOS HOSPITALARIOS"))))))))))))))))))))))))))))))))))))</f>
        <v>#REF!</v>
      </c>
      <c r="W239" s="6" t="str">
        <f t="shared" si="17"/>
        <v xml:space="preserve">   </v>
      </c>
      <c r="X239" s="6" t="str">
        <f t="shared" si="18"/>
        <v xml:space="preserve">   </v>
      </c>
      <c r="Y239" s="6" t="str">
        <f t="shared" si="19"/>
        <v xml:space="preserve">   --</v>
      </c>
    </row>
    <row r="240" spans="1:25" x14ac:dyDescent="0.2">
      <c r="A240" s="19">
        <v>239</v>
      </c>
      <c r="V240" s="6" t="e">
        <f>IF(P240=#REF!,"DIPLOMADO EN ATENCION PRE-HOSPITALARIA",IF(P240=#REF!,"ACOMPAÑAMIENTO Y MANEJO DEL DUELO",IF(P240=#REF!,"ATENCION A VICTIMAS DE ATAQUE CON AGENTES QUIMICOS ",IF(P240=#REF!,"PRIMEROS AUXILIOS ",IF(P240=#REF!,"DIPLOMADO DE UNIDAD DE CUIDADOS INTENSIVOS (UCI)",IF(P240=#REF!,"MODELO DE ATENCION PARA EVENTOS EMERGENTES EN SALUD MENTAL (CODIGO VERDE)",IF(P240=#REF!,"HUMANIZACION EN EL SERVICIO DE LA SALUD Y BUENAS PRACTICAS EN PACIENTE ",IF(P240=#REF!,"CLINICA DE HERIDAS ",IF(P240=#REF!,"TOMA DE CITOLOGIA CERVICO VAGINAL ",IF(P240=#REF!,"SOPORTE CARDIOVASCULAR AVANZADO (ACLS) ",IF(P240=#REF!,"CAMILLERO ",IF(P240=#REF!,"TOMA DE MUESTRAS Y LABORATORIO ",IF(P240=#REF!,"SOPORTE VITAL BASICO (BLS)",IF(P240=#REF!,"ATENCION A VICTIMAS DE VIOLENCIA SEXUAL ",IF(P240=#REF!,"PROGRAMADO AMPLIADO DE INMUNIZACION (PAI - COVID 19)",IF(P240=#REF!,"ATENCION INTEGRAL EN ENFERMEDADES PREVALENTES EN PRIMERA INFANCIA (AIEPI)",IF(P240=#REF!,"ADMINISTRACION DE MEDICAMENTOS, INYECTOLOGIA  Y CANALIZACION ",IF(P240=#REF!,"OPERADOR DE VEHICULOS DE EMERGENCIA (OVE)",IF(P240=#REF!,"INSTITUCIONES AMIGAS DE LA MUJER Y LA INFANCIA (IAMI)",IF(P240=#REF!,"CUIDADO DEL DONANTE DE ORGANOS",IF(P240=#REF!,"ATENCION A VICTIMAS POR VIOLENCIA DE GENERO",IF(P240=#REF!,"IGUALDAD DE GENERO EN LA SALUD",IF(P240=#REF!,"BRIGADA DE EMERGENCIA",IF(P240=#REF!,"MANEJO DEL DOLOR Y CUIDADOS PALIATIVOS",IF(P240=#REF!,"TOMA DE MUESTRAS Y LABORATORIO POCT",IF(P240=#REF!,"IMPLANTE SUBDERMICO DE DISPOSITIVO INTRAUTERINO",IF(P240=#REF!,"SALUD MENTAL",IF(P240=#REF!,"PRIMEROS AUXILIOS PSICOLOGICOS",IF(P240=#REF!,"ATENCION A VICTIMAS POR CONFLICTO ARMADO",IF(P240=#REF!,"MANIPULACION DE ALIMENTOS Y BPM",IF(P240=#REF!,"ATENCION A PERSONAS CON DISCAPACIDAD",IF(P240=#REF!,"CUIDADO INTEGRAL DEL PACIENTE ADULTO",IF(P240=#REF!,"MANEJO DEFENSIVO",IF(P240=#REF!,"SOPORTE CARDIOVASCULAR AVANZADO NEONATAL",IF(P240=#REF!,"SEGURIDAD DEL PACIENTE",IF(P240=#REF!,"MANEJO DE RESIDUOS HOSPITALARIOS"))))))))))))))))))))))))))))))))))))</f>
        <v>#REF!</v>
      </c>
      <c r="W240" s="6" t="str">
        <f t="shared" si="17"/>
        <v xml:space="preserve">   </v>
      </c>
      <c r="X240" s="6" t="str">
        <f t="shared" si="18"/>
        <v xml:space="preserve">   </v>
      </c>
      <c r="Y240" s="6" t="str">
        <f t="shared" si="19"/>
        <v xml:space="preserve">   --</v>
      </c>
    </row>
    <row r="241" spans="1:25" x14ac:dyDescent="0.2">
      <c r="A241" s="19">
        <v>240</v>
      </c>
      <c r="V241" s="6" t="e">
        <f>IF(P241=#REF!,"DIPLOMADO EN ATENCION PRE-HOSPITALARIA",IF(P241=#REF!,"ACOMPAÑAMIENTO Y MANEJO DEL DUELO",IF(P241=#REF!,"ATENCION A VICTIMAS DE ATAQUE CON AGENTES QUIMICOS ",IF(P241=#REF!,"PRIMEROS AUXILIOS ",IF(P241=#REF!,"DIPLOMADO DE UNIDAD DE CUIDADOS INTENSIVOS (UCI)",IF(P241=#REF!,"MODELO DE ATENCION PARA EVENTOS EMERGENTES EN SALUD MENTAL (CODIGO VERDE)",IF(P241=#REF!,"HUMANIZACION EN EL SERVICIO DE LA SALUD Y BUENAS PRACTICAS EN PACIENTE ",IF(P241=#REF!,"CLINICA DE HERIDAS ",IF(P241=#REF!,"TOMA DE CITOLOGIA CERVICO VAGINAL ",IF(P241=#REF!,"SOPORTE CARDIOVASCULAR AVANZADO (ACLS) ",IF(P241=#REF!,"CAMILLERO ",IF(P241=#REF!,"TOMA DE MUESTRAS Y LABORATORIO ",IF(P241=#REF!,"SOPORTE VITAL BASICO (BLS)",IF(P241=#REF!,"ATENCION A VICTIMAS DE VIOLENCIA SEXUAL ",IF(P241=#REF!,"PROGRAMADO AMPLIADO DE INMUNIZACION (PAI - COVID 19)",IF(P241=#REF!,"ATENCION INTEGRAL EN ENFERMEDADES PREVALENTES EN PRIMERA INFANCIA (AIEPI)",IF(P241=#REF!,"ADMINISTRACION DE MEDICAMENTOS, INYECTOLOGIA  Y CANALIZACION ",IF(P241=#REF!,"OPERADOR DE VEHICULOS DE EMERGENCIA (OVE)",IF(P241=#REF!,"INSTITUCIONES AMIGAS DE LA MUJER Y LA INFANCIA (IAMI)",IF(P241=#REF!,"CUIDADO DEL DONANTE DE ORGANOS",IF(P241=#REF!,"ATENCION A VICTIMAS POR VIOLENCIA DE GENERO",IF(P241=#REF!,"IGUALDAD DE GENERO EN LA SALUD",IF(P241=#REF!,"BRIGADA DE EMERGENCIA",IF(P241=#REF!,"MANEJO DEL DOLOR Y CUIDADOS PALIATIVOS",IF(P241=#REF!,"TOMA DE MUESTRAS Y LABORATORIO POCT",IF(P241=#REF!,"IMPLANTE SUBDERMICO DE DISPOSITIVO INTRAUTERINO",IF(P241=#REF!,"SALUD MENTAL",IF(P241=#REF!,"PRIMEROS AUXILIOS PSICOLOGICOS",IF(P241=#REF!,"ATENCION A VICTIMAS POR CONFLICTO ARMADO",IF(P241=#REF!,"MANIPULACION DE ALIMENTOS Y BPM",IF(P241=#REF!,"ATENCION A PERSONAS CON DISCAPACIDAD",IF(P241=#REF!,"CUIDADO INTEGRAL DEL PACIENTE ADULTO",IF(P241=#REF!,"MANEJO DEFENSIVO",IF(P241=#REF!,"SOPORTE CARDIOVASCULAR AVANZADO NEONATAL",IF(P241=#REF!,"SEGURIDAD DEL PACIENTE",IF(P241=#REF!,"MANEJO DE RESIDUOS HOSPITALARIOS"))))))))))))))))))))))))))))))))))))</f>
        <v>#REF!</v>
      </c>
      <c r="W241" s="6" t="str">
        <f t="shared" si="17"/>
        <v xml:space="preserve">   </v>
      </c>
      <c r="X241" s="6" t="str">
        <f t="shared" si="18"/>
        <v xml:space="preserve">   </v>
      </c>
      <c r="Y241" s="6" t="str">
        <f t="shared" si="19"/>
        <v xml:space="preserve">   --</v>
      </c>
    </row>
    <row r="242" spans="1:25" x14ac:dyDescent="0.2">
      <c r="A242" s="19">
        <v>241</v>
      </c>
      <c r="V242" s="26" t="e">
        <f>IF(P242=#REF!,"DIPLOMADO EN ATENCION PRE-HOSPITALARIA",IF(P242=#REF!,"ACOMPAÑAMIENTO Y MANEJO DEL DUELO",IF(P242=#REF!,"ATENCION A VICTIMAS DE ATAQUE CON AGENTES QUIMICOS ",IF(P242=#REF!,"PRIMEROS AUXILIOS ",IF(P242=#REF!,"DIPLOMADO DE UNIDAD DE CUIDADOS INTENSIVOS (UCI)",IF(P242=#REF!,"MODELO DE ATENCION PARA EVENTOS EMERGENTES EN SALUD MENTAL (CODIGO VERDE)",IF(P242=#REF!,"HUMANIZACION EN EL SERVICIO DE LA SALUD Y BUENAS PRACTICAS EN PACIENTE ",IF(P242=#REF!,"CLINICA DE HERIDAS ",IF(P242=#REF!,"TOMA DE CITOLOGIA CERVICO VAGINAL ",IF(P242=#REF!,"SOPORTE CARDIOVASCULAR AVANZADO (ACLS) ",IF(P242=#REF!,"CAMILLERO ",IF(P242=#REF!,"TOMA DE MUESTRAS Y LABORATORIO ",IF(P242=#REF!,"SOPORTE VITAL BASICO (BLS)",IF(P242=#REF!,"ATENCION A VICTIMAS DE VIOLENCIA SEXUAL ",IF(P242=#REF!,"PROGRAMADO AMPLIADO DE INMUNIZACION (PAI - COVID 19)",IF(P242=#REF!,"ATENCION INTEGRAL EN ENFERMEDADES PREVALENTES EN PRIMERA INFANCIA (AIEPI)",IF(P242=#REF!,"ADMINISTRACION DE MEDICAMENTOS, INYECTOLOGIA  Y CANALIZACION ",IF(P242=#REF!,"OPERADOR DE VEHICULOS DE EMERGENCIA (OVE)",IF(P242=#REF!,"INSTITUCIONES AMIGAS DE LA MUJER Y LA INFANCIA (IAMI)",IF(P242=#REF!,"CUIDADO DEL DONANTE DE ORGANOS",IF(P242=#REF!,"ATENCION A VICTIMAS POR VIOLENCIA DE GENERO",IF(P242=#REF!,"IGUALDAD DE GENERO EN LA SALUD",IF(P242=#REF!,"BRIGADA DE EMERGENCIA",IF(P242=#REF!,"MANEJO DEL DOLOR Y CUIDADOS PALIATIVOS",IF(P242=#REF!,"TOMA DE MUESTRAS Y LABORATORIO POCT",IF(P242=#REF!,"IMPLANTE SUBDERMICO DE DISPOSITIVO INTRAUTERINO",IF(P242=#REF!,"SALUD MENTAL",IF(P242=#REF!,"PRIMEROS AUXILIOS PSICOLOGICOS",IF(P242=#REF!,"ATENCION A VICTIMAS POR CONFLICTO ARMADO",IF(P242=#REF!,"MANIPULACION DE ALIMENTOS Y BPM",IF(P242=#REF!,"ATENCION A PERSONAS CON DISCAPACIDAD",IF(P242=#REF!,"CUIDADO INTEGRAL DEL PACIENTE ADULTO",IF(P242=#REF!,"MANEJO DEFENSIVO",IF(P242=#REF!,"SOPORTE CARDIOVASCULAR AVANZADO NEONATAL",IF(P242=#REF!,"SEGURIDAD DEL PACIENTE",IF(P242=#REF!,"MANEJO DE RESIDUOS HOSPITALARIOS"))))))))))))))))))))))))))))))))))))</f>
        <v>#REF!</v>
      </c>
      <c r="W242" s="26" t="str">
        <f t="shared" si="17"/>
        <v xml:space="preserve">   </v>
      </c>
      <c r="X242" s="26" t="str">
        <f t="shared" si="18"/>
        <v xml:space="preserve">   </v>
      </c>
      <c r="Y242" s="75" t="str">
        <f t="shared" si="19"/>
        <v xml:space="preserve">   --</v>
      </c>
    </row>
    <row r="243" spans="1:25" x14ac:dyDescent="0.2">
      <c r="A243" s="19">
        <v>242</v>
      </c>
      <c r="V243" s="25" t="e">
        <f>IF(P243=#REF!,"DIPLOMADO EN ATENCION PRE-HOSPITALARIA",IF(P243=#REF!,"ACOMPAÑAMIENTO Y MANEJO DEL DUELO",IF(P243=#REF!,"ATENCION A VICTIMAS DE ATAQUE CON AGENTES QUIMICOS ",IF(P243=#REF!,"PRIMEROS AUXILIOS ",IF(P243=#REF!,"DIPLOMADO DE UNIDAD DE CUIDADOS INTENSIVOS (UCI)",IF(P243=#REF!,"MODELO DE ATENCION PARA EVENTOS EMERGENTES EN SALUD MENTAL (CODIGO VERDE)",IF(P243=#REF!,"HUMANIZACION EN EL SERVICIO DE LA SALUD Y BUENAS PRACTICAS EN PACIENTE ",IF(P243=#REF!,"CLINICA DE HERIDAS ",IF(P243=#REF!,"TOMA DE CITOLOGIA CERVICO VAGINAL ",IF(P243=#REF!,"SOPORTE CARDIOVASCULAR AVANZADO (ACLS) ",IF(P243=#REF!,"CAMILLERO ",IF(P243=#REF!,"TOMA DE MUESTRAS Y LABORATORIO ",IF(P243=#REF!,"SOPORTE VITAL BASICO (BLS)",IF(P243=#REF!,"ATENCION A VICTIMAS DE VIOLENCIA SEXUAL ",IF(P243=#REF!,"PROGRAMADO AMPLIADO DE INMUNIZACION (PAI - COVID 19)",IF(P243=#REF!,"ATENCION INTEGRAL EN ENFERMEDADES PREVALENTES EN PRIMERA INFANCIA (AIEPI)",IF(P243=#REF!,"ADMINISTRACION DE MEDICAMENTOS, INYECTOLOGIA  Y CANALIZACION ",IF(P243=#REF!,"OPERADOR DE VEHICULOS DE EMERGENCIA (OVE)",IF(P243=#REF!,"INSTITUCIONES AMIGAS DE LA MUJER Y LA INFANCIA (IAMI)",IF(P243=#REF!,"CUIDADO DEL DONANTE DE ORGANOS",IF(P243=#REF!,"ATENCION A VICTIMAS POR VIOLENCIA DE GENERO",IF(P243=#REF!,"IGUALDAD DE GENERO EN LA SALUD",IF(P243=#REF!,"BRIGADA DE EMERGENCIA",IF(P243=#REF!,"MANEJO DEL DOLOR Y CUIDADOS PALIATIVOS",IF(P243=#REF!,"TOMA DE MUESTRAS Y LABORATORIO POCT",IF(P243=#REF!,"IMPLANTE SUBDERMICO DE DISPOSITIVO INTRAUTERINO",IF(P243=#REF!,"SALUD MENTAL",IF(P243=#REF!,"PRIMEROS AUXILIOS PSICOLOGICOS",IF(P243=#REF!,"ATENCION A VICTIMAS POR CONFLICTO ARMADO",IF(P243=#REF!,"MANIPULACION DE ALIMENTOS Y BPM",IF(P243=#REF!,"ATENCION A PERSONAS CON DISCAPACIDAD",IF(P243=#REF!,"CUIDADO INTEGRAL DEL PACIENTE ADULTO",IF(P243=#REF!,"MANEJO DEFENSIVO",IF(P243=#REF!,"SOPORTE CARDIOVASCULAR AVANZADO NEONATAL",IF(P243=#REF!,"SEGURIDAD DEL PACIENTE",IF(P243=#REF!,"MANEJO DE RESIDUOS HOSPITALARIOS"))))))))))))))))))))))))))))))))))))</f>
        <v>#REF!</v>
      </c>
      <c r="W243" s="25" t="str">
        <f t="shared" si="17"/>
        <v xml:space="preserve">   </v>
      </c>
      <c r="X243" s="25" t="str">
        <f t="shared" si="18"/>
        <v xml:space="preserve">   </v>
      </c>
      <c r="Y243" s="69" t="str">
        <f t="shared" si="19"/>
        <v xml:space="preserve">   --</v>
      </c>
    </row>
    <row r="244" spans="1:25" x14ac:dyDescent="0.2">
      <c r="A244" s="19">
        <v>243</v>
      </c>
    </row>
    <row r="245" spans="1:25" x14ac:dyDescent="0.2">
      <c r="A245" s="19">
        <v>244</v>
      </c>
    </row>
    <row r="246" spans="1:25" x14ac:dyDescent="0.2">
      <c r="A246" s="28">
        <v>245</v>
      </c>
    </row>
    <row r="247" spans="1:25" x14ac:dyDescent="0.2">
      <c r="A247" s="19">
        <v>246</v>
      </c>
    </row>
    <row r="248" spans="1:25" x14ac:dyDescent="0.2">
      <c r="A248" s="19">
        <v>247</v>
      </c>
    </row>
    <row r="249" spans="1:25" x14ac:dyDescent="0.2">
      <c r="A249" s="19">
        <v>248</v>
      </c>
    </row>
    <row r="250" spans="1:25" x14ac:dyDescent="0.2">
      <c r="A250" s="19">
        <v>249</v>
      </c>
    </row>
    <row r="251" spans="1:25" x14ac:dyDescent="0.2">
      <c r="A251" s="19">
        <v>250</v>
      </c>
    </row>
    <row r="252" spans="1:25" x14ac:dyDescent="0.2">
      <c r="A252" s="19">
        <v>251</v>
      </c>
    </row>
    <row r="253" spans="1:25" x14ac:dyDescent="0.2">
      <c r="A253" s="19">
        <v>252</v>
      </c>
    </row>
    <row r="254" spans="1:25" x14ac:dyDescent="0.2">
      <c r="A254" s="19">
        <v>253</v>
      </c>
    </row>
    <row r="255" spans="1:25" x14ac:dyDescent="0.2">
      <c r="A255" s="19">
        <v>254</v>
      </c>
    </row>
    <row r="256" spans="1:25" x14ac:dyDescent="0.2">
      <c r="A256" s="28">
        <v>255</v>
      </c>
    </row>
    <row r="257" spans="1:1" x14ac:dyDescent="0.2">
      <c r="A257" s="19">
        <v>256</v>
      </c>
    </row>
    <row r="258" spans="1:1" x14ac:dyDescent="0.2">
      <c r="A258" s="19">
        <v>257</v>
      </c>
    </row>
    <row r="259" spans="1:1" x14ac:dyDescent="0.2">
      <c r="A259" s="19">
        <v>258</v>
      </c>
    </row>
    <row r="260" spans="1:1" x14ac:dyDescent="0.2">
      <c r="A260" s="19">
        <v>259</v>
      </c>
    </row>
    <row r="261" spans="1:1" x14ac:dyDescent="0.2">
      <c r="A261" s="19">
        <v>260</v>
      </c>
    </row>
    <row r="262" spans="1:1" x14ac:dyDescent="0.2">
      <c r="A262" s="19">
        <v>261</v>
      </c>
    </row>
    <row r="263" spans="1:1" x14ac:dyDescent="0.2">
      <c r="A263" s="19">
        <v>262</v>
      </c>
    </row>
    <row r="264" spans="1:1" x14ac:dyDescent="0.2">
      <c r="A264" s="19">
        <v>263</v>
      </c>
    </row>
    <row r="265" spans="1:1" x14ac:dyDescent="0.2">
      <c r="A265" s="19">
        <v>264</v>
      </c>
    </row>
    <row r="266" spans="1:1" x14ac:dyDescent="0.2">
      <c r="A266" s="28">
        <v>265</v>
      </c>
    </row>
    <row r="267" spans="1:1" x14ac:dyDescent="0.2">
      <c r="A267" s="19">
        <v>266</v>
      </c>
    </row>
    <row r="268" spans="1:1" x14ac:dyDescent="0.2">
      <c r="A268" s="19">
        <v>267</v>
      </c>
    </row>
    <row r="269" spans="1:1" x14ac:dyDescent="0.2">
      <c r="A269" s="19">
        <v>268</v>
      </c>
    </row>
    <row r="270" spans="1:1" x14ac:dyDescent="0.2">
      <c r="A270" s="19">
        <v>269</v>
      </c>
    </row>
    <row r="271" spans="1:1" x14ac:dyDescent="0.2">
      <c r="A271" s="19">
        <v>270</v>
      </c>
    </row>
    <row r="272" spans="1:1" x14ac:dyDescent="0.2">
      <c r="A272" s="19">
        <v>271</v>
      </c>
    </row>
    <row r="273" spans="1:1" x14ac:dyDescent="0.2">
      <c r="A273" s="19">
        <v>272</v>
      </c>
    </row>
    <row r="274" spans="1:1" x14ac:dyDescent="0.2">
      <c r="A274" s="19">
        <v>273</v>
      </c>
    </row>
    <row r="275" spans="1:1" x14ac:dyDescent="0.2">
      <c r="A275" s="19">
        <v>274</v>
      </c>
    </row>
    <row r="276" spans="1:1" x14ac:dyDescent="0.2">
      <c r="A276" s="28">
        <v>275</v>
      </c>
    </row>
    <row r="277" spans="1:1" x14ac:dyDescent="0.2">
      <c r="A277" s="19">
        <v>276</v>
      </c>
    </row>
    <row r="278" spans="1:1" x14ac:dyDescent="0.2">
      <c r="A278" s="19">
        <v>277</v>
      </c>
    </row>
    <row r="279" spans="1:1" x14ac:dyDescent="0.2">
      <c r="A279" s="19">
        <v>278</v>
      </c>
    </row>
    <row r="280" spans="1:1" x14ac:dyDescent="0.2">
      <c r="A280" s="19">
        <v>279</v>
      </c>
    </row>
    <row r="281" spans="1:1" x14ac:dyDescent="0.2">
      <c r="A281" s="19">
        <v>280</v>
      </c>
    </row>
    <row r="282" spans="1:1" x14ac:dyDescent="0.2">
      <c r="A282" s="19">
        <v>281</v>
      </c>
    </row>
    <row r="283" spans="1:1" x14ac:dyDescent="0.2">
      <c r="A283" s="19">
        <v>282</v>
      </c>
    </row>
    <row r="284" spans="1:1" x14ac:dyDescent="0.2">
      <c r="A284" s="19">
        <v>283</v>
      </c>
    </row>
    <row r="285" spans="1:1" x14ac:dyDescent="0.2">
      <c r="A285" s="19">
        <v>284</v>
      </c>
    </row>
    <row r="286" spans="1:1" x14ac:dyDescent="0.2">
      <c r="A286" s="28">
        <v>285</v>
      </c>
    </row>
    <row r="287" spans="1:1" x14ac:dyDescent="0.2">
      <c r="A287" s="19">
        <v>286</v>
      </c>
    </row>
    <row r="288" spans="1:1" x14ac:dyDescent="0.2">
      <c r="A288" s="19">
        <v>287</v>
      </c>
    </row>
    <row r="289" spans="1:1" x14ac:dyDescent="0.2">
      <c r="A289" s="19">
        <v>288</v>
      </c>
    </row>
    <row r="290" spans="1:1" x14ac:dyDescent="0.2">
      <c r="A290" s="19">
        <v>289</v>
      </c>
    </row>
    <row r="291" spans="1:1" x14ac:dyDescent="0.2">
      <c r="A291" s="19">
        <v>290</v>
      </c>
    </row>
    <row r="292" spans="1:1" x14ac:dyDescent="0.2">
      <c r="A292" s="19">
        <v>291</v>
      </c>
    </row>
    <row r="293" spans="1:1" x14ac:dyDescent="0.2">
      <c r="A293" s="19">
        <v>292</v>
      </c>
    </row>
    <row r="294" spans="1:1" x14ac:dyDescent="0.2">
      <c r="A294" s="19">
        <v>293</v>
      </c>
    </row>
    <row r="295" spans="1:1" x14ac:dyDescent="0.2">
      <c r="A295" s="19">
        <v>294</v>
      </c>
    </row>
    <row r="296" spans="1:1" x14ac:dyDescent="0.2">
      <c r="A296" s="28">
        <v>295</v>
      </c>
    </row>
    <row r="297" spans="1:1" x14ac:dyDescent="0.2">
      <c r="A297" s="19">
        <v>296</v>
      </c>
    </row>
    <row r="298" spans="1:1" x14ac:dyDescent="0.2">
      <c r="A298" s="19">
        <v>297</v>
      </c>
    </row>
    <row r="299" spans="1:1" x14ac:dyDescent="0.2">
      <c r="A299" s="19">
        <v>298</v>
      </c>
    </row>
    <row r="300" spans="1:1" x14ac:dyDescent="0.2">
      <c r="A300" s="19">
        <v>299</v>
      </c>
    </row>
    <row r="301" spans="1:1" x14ac:dyDescent="0.2">
      <c r="A301" s="19">
        <v>300</v>
      </c>
    </row>
    <row r="302" spans="1:1" x14ac:dyDescent="0.2">
      <c r="A302" s="19">
        <v>301</v>
      </c>
    </row>
    <row r="303" spans="1:1" x14ac:dyDescent="0.2">
      <c r="A303" s="19">
        <v>302</v>
      </c>
    </row>
    <row r="304" spans="1:1" x14ac:dyDescent="0.2">
      <c r="A304" s="19">
        <v>303</v>
      </c>
    </row>
    <row r="305" spans="1:1" x14ac:dyDescent="0.2">
      <c r="A305" s="19">
        <v>304</v>
      </c>
    </row>
    <row r="306" spans="1:1" x14ac:dyDescent="0.2">
      <c r="A306" s="28">
        <v>305</v>
      </c>
    </row>
    <row r="307" spans="1:1" x14ac:dyDescent="0.2">
      <c r="A307" s="19">
        <v>306</v>
      </c>
    </row>
    <row r="308" spans="1:1" x14ac:dyDescent="0.2">
      <c r="A308" s="19">
        <v>307</v>
      </c>
    </row>
    <row r="309" spans="1:1" x14ac:dyDescent="0.2">
      <c r="A309" s="19">
        <v>308</v>
      </c>
    </row>
    <row r="310" spans="1:1" x14ac:dyDescent="0.2">
      <c r="A310" s="19">
        <v>309</v>
      </c>
    </row>
    <row r="311" spans="1:1" x14ac:dyDescent="0.2">
      <c r="A311" s="19">
        <v>310</v>
      </c>
    </row>
    <row r="312" spans="1:1" x14ac:dyDescent="0.2">
      <c r="A312" s="19">
        <v>311</v>
      </c>
    </row>
    <row r="313" spans="1:1" x14ac:dyDescent="0.2">
      <c r="A313" s="19">
        <v>312</v>
      </c>
    </row>
    <row r="314" spans="1:1" x14ac:dyDescent="0.2">
      <c r="A314" s="19">
        <v>313</v>
      </c>
    </row>
    <row r="315" spans="1:1" x14ac:dyDescent="0.2">
      <c r="A315" s="19">
        <v>314</v>
      </c>
    </row>
    <row r="316" spans="1:1" x14ac:dyDescent="0.2">
      <c r="A316" s="28">
        <v>315</v>
      </c>
    </row>
    <row r="317" spans="1:1" x14ac:dyDescent="0.2">
      <c r="A317" s="19">
        <v>316</v>
      </c>
    </row>
    <row r="318" spans="1:1" x14ac:dyDescent="0.2">
      <c r="A318" s="19">
        <v>317</v>
      </c>
    </row>
    <row r="319" spans="1:1" x14ac:dyDescent="0.2">
      <c r="A319" s="19">
        <v>318</v>
      </c>
    </row>
    <row r="320" spans="1:1" x14ac:dyDescent="0.2">
      <c r="A320" s="19">
        <v>319</v>
      </c>
    </row>
    <row r="321" spans="1:1" x14ac:dyDescent="0.2">
      <c r="A321" s="19">
        <v>320</v>
      </c>
    </row>
    <row r="322" spans="1:1" x14ac:dyDescent="0.2">
      <c r="A322" s="19">
        <v>321</v>
      </c>
    </row>
    <row r="323" spans="1:1" x14ac:dyDescent="0.2">
      <c r="A323" s="19">
        <v>322</v>
      </c>
    </row>
    <row r="324" spans="1:1" x14ac:dyDescent="0.2">
      <c r="A324" s="19">
        <v>323</v>
      </c>
    </row>
    <row r="325" spans="1:1" x14ac:dyDescent="0.2">
      <c r="A325" s="19">
        <v>324</v>
      </c>
    </row>
    <row r="326" spans="1:1" x14ac:dyDescent="0.2">
      <c r="A326" s="28">
        <v>325</v>
      </c>
    </row>
    <row r="327" spans="1:1" x14ac:dyDescent="0.2">
      <c r="A327" s="19">
        <v>326</v>
      </c>
    </row>
    <row r="328" spans="1:1" x14ac:dyDescent="0.2">
      <c r="A328" s="19">
        <v>327</v>
      </c>
    </row>
    <row r="329" spans="1:1" x14ac:dyDescent="0.2">
      <c r="A329" s="19">
        <v>328</v>
      </c>
    </row>
    <row r="1048556" spans="2:7" x14ac:dyDescent="0.2">
      <c r="B1048556" s="1"/>
      <c r="C1048556" s="1"/>
      <c r="D1048556" s="1"/>
      <c r="E1048556" s="1"/>
      <c r="F1048556" s="1"/>
      <c r="G1048556" s="1"/>
    </row>
  </sheetData>
  <autoFilter ref="A1:Y329" xr:uid="{00000000-0001-0000-0000-000000000000}"/>
  <phoneticPr fontId="3" type="noConversion"/>
  <hyperlinks>
    <hyperlink ref="S14" r:id="rId1" xr:uid="{00000000-0004-0000-0000-000000000000}"/>
    <hyperlink ref="S15" r:id="rId2" xr:uid="{00000000-0004-0000-0000-000001000000}"/>
    <hyperlink ref="S19" r:id="rId3" xr:uid="{00000000-0004-0000-0000-000002000000}"/>
    <hyperlink ref="S25" r:id="rId4" xr:uid="{00000000-0004-0000-0000-000003000000}"/>
    <hyperlink ref="S26" r:id="rId5" xr:uid="{00000000-0004-0000-0000-000004000000}"/>
    <hyperlink ref="U27" r:id="rId6" xr:uid="{00000000-0004-0000-0000-000005000000}"/>
    <hyperlink ref="S35" r:id="rId7" xr:uid="{F0C4AD9F-2982-4329-A993-C367D7B43F7D}"/>
    <hyperlink ref="S36" r:id="rId8" xr:uid="{FC6D06D9-B3FB-4F75-A75C-F722E7602665}"/>
    <hyperlink ref="S37" r:id="rId9" xr:uid="{441719A5-C562-46B7-9689-115D77CDFAAE}"/>
    <hyperlink ref="S38" r:id="rId10" xr:uid="{780D0323-D29F-4D37-87B7-3CA3DFDD5F2C}"/>
    <hyperlink ref="S45" r:id="rId11" xr:uid="{B50E31BF-AE7D-43EC-8B1B-357E7EEF02A2}"/>
    <hyperlink ref="S48" r:id="rId12" xr:uid="{C5E7B14E-788C-4BBB-A8F9-9BA81B0EFAC2}"/>
    <hyperlink ref="S49" r:id="rId13" xr:uid="{D4078923-0BBC-42D3-9D64-E114AFA6A7E8}"/>
    <hyperlink ref="S50" r:id="rId14" xr:uid="{8FADA898-AE90-4155-A66C-C942A28E99C4}"/>
    <hyperlink ref="S51" r:id="rId15" xr:uid="{B0823406-64C8-4CE9-A525-A42BCEBE92E9}"/>
    <hyperlink ref="S52" r:id="rId16" xr:uid="{230E7ADD-B25E-47E1-A44C-06F1A84E2720}"/>
    <hyperlink ref="S53" r:id="rId17" xr:uid="{3AF96F36-3C86-4CE8-A414-DACFA3EDB4CC}"/>
    <hyperlink ref="S54" r:id="rId18" xr:uid="{78A5543E-EA35-4BE5-B397-7080468C6F1A}"/>
    <hyperlink ref="S55" r:id="rId19" xr:uid="{1C8D877E-8BD6-47F6-84B3-DB3A72D05D01}"/>
    <hyperlink ref="U78" r:id="rId20" xr:uid="{5D4AF2F7-13AA-47D4-8B01-BF976D951116}"/>
    <hyperlink ref="U79" r:id="rId21" xr:uid="{1ED31A9B-0C35-44F4-93F9-EED800C44ACD}"/>
    <hyperlink ref="U80" r:id="rId22" xr:uid="{5542D987-3232-4BA0-B437-71023EA35F5D}"/>
    <hyperlink ref="U81" r:id="rId23" xr:uid="{A20D6986-BCE4-4E78-896D-5C5258D755D9}"/>
    <hyperlink ref="U82" r:id="rId24" xr:uid="{050D7E7E-9DE0-462D-A884-F1A8BC1BE8FD}"/>
    <hyperlink ref="U83" r:id="rId25" xr:uid="{74B75C35-2AED-47C9-9F46-EABDEC6ABA70}"/>
    <hyperlink ref="U84" r:id="rId26" xr:uid="{147CC174-19F3-41DD-9A44-1B777369444D}"/>
    <hyperlink ref="S85" r:id="rId27" xr:uid="{A579C6BB-96DA-4D81-93C9-4C5D275D2DF8}"/>
    <hyperlink ref="S86" r:id="rId28" xr:uid="{6360671B-9B77-4BA2-A31F-31B3204ED4AC}"/>
    <hyperlink ref="S87" r:id="rId29" xr:uid="{D8D556E1-1456-42B5-94BF-7076A2D91DFC}"/>
    <hyperlink ref="S88" r:id="rId30" xr:uid="{ED3A2953-2E6F-4191-9E70-806433DE716A}"/>
    <hyperlink ref="S89" r:id="rId31" xr:uid="{9A2E9379-52A9-42F9-A1DB-A0F0BEA88432}"/>
    <hyperlink ref="S90" r:id="rId32" xr:uid="{461E7BD8-386C-490D-8270-6166881E1BEB}"/>
    <hyperlink ref="S93" r:id="rId33" xr:uid="{C024D9DB-5D94-41D0-9D77-E664DB8ED519}"/>
    <hyperlink ref="S94" r:id="rId34" xr:uid="{556B9DCF-593B-4AFB-89C7-7BA8DA269F10}"/>
    <hyperlink ref="S95" r:id="rId35" xr:uid="{69E0EEEE-9A69-4CC2-A1AC-277F6F3C067E}"/>
    <hyperlink ref="S96" r:id="rId36" xr:uid="{24467E6F-6793-4CDF-989F-75A5E5C02016}"/>
    <hyperlink ref="U119" r:id="rId37" xr:uid="{EBBA2487-0676-4431-AF9E-360FB46D4926}"/>
    <hyperlink ref="S121" r:id="rId38" xr:uid="{BEB66A50-C74F-42A3-864B-C2BC3D5E1474}"/>
    <hyperlink ref="S122" r:id="rId39" xr:uid="{8EA5E361-ABD3-4240-9FEE-541C68055276}"/>
    <hyperlink ref="S123" r:id="rId40" xr:uid="{1EB47FCB-41A5-4A84-8FBE-1FFB41FD4530}"/>
    <hyperlink ref="S124" r:id="rId41" xr:uid="{F87CBD9B-AF46-43B9-B481-A8F85CE9AD9B}"/>
    <hyperlink ref="S126" r:id="rId42" xr:uid="{522138BC-9AB9-4F63-AF0F-5A0FC64989F9}"/>
    <hyperlink ref="S127" r:id="rId43" xr:uid="{0165555A-9744-4C29-83C3-0F0F77F30038}"/>
    <hyperlink ref="S128" r:id="rId44" xr:uid="{1B2BC15C-553F-4C2A-AE28-2477E93E3ED0}"/>
    <hyperlink ref="S129" r:id="rId45" xr:uid="{800323DA-6220-4AA7-991E-B63ABF5D032C}"/>
    <hyperlink ref="U147" r:id="rId46" xr:uid="{B07155DB-D94D-4D8B-AA59-7054EB0085D1}"/>
    <hyperlink ref="S149" r:id="rId47" xr:uid="{E7F7568B-9809-41A7-ADCC-74BAD8B86233}"/>
    <hyperlink ref="S154" r:id="rId48" xr:uid="{2297B56E-5537-467C-BEA7-08FC403CE390}"/>
    <hyperlink ref="S162" r:id="rId49" xr:uid="{C801BF9F-89DA-4F09-B9DA-0A0AD5EB5CA9}"/>
    <hyperlink ref="S163" r:id="rId50" xr:uid="{EE977E1C-4BC6-439E-A9BC-41607C553EB9}"/>
    <hyperlink ref="S174" r:id="rId51" xr:uid="{FF46DA49-FD0E-4794-A5D6-0081D1D35268}"/>
    <hyperlink ref="S175" r:id="rId52" xr:uid="{F76F06A7-B6D7-4FF3-91A3-5AB52AC31627}"/>
    <hyperlink ref="S176" r:id="rId53" xr:uid="{2E899A9E-1D16-47DE-BBF1-582ABC279407}"/>
    <hyperlink ref="S182" r:id="rId54" xr:uid="{CF8641A5-2A76-442F-A44A-25E8D17B625D}"/>
    <hyperlink ref="S183" r:id="rId55" xr:uid="{951505A7-FA38-44D5-BC00-37A2BE2F1F25}"/>
    <hyperlink ref="S184" r:id="rId56" xr:uid="{0E31841A-3BB2-470A-B6EC-3AC393A8ACD3}"/>
    <hyperlink ref="U182" r:id="rId57" xr:uid="{31093129-9807-49DA-96F1-3129F4CE695E}"/>
    <hyperlink ref="S188" r:id="rId58" xr:uid="{FF801A1A-53C7-4ECD-9715-07708275C2EF}"/>
    <hyperlink ref="S189" r:id="rId59" xr:uid="{DB7EFE6D-4AC6-44C5-B725-0055B741A8D9}"/>
    <hyperlink ref="U189" r:id="rId60" xr:uid="{11C19384-BFB5-401B-8F62-C2ECFC0211D4}"/>
    <hyperlink ref="S193" r:id="rId61" xr:uid="{6222FEEF-8F54-4B87-9747-C81C5F496873}"/>
    <hyperlink ref="S194" r:id="rId62" xr:uid="{E721DDA4-F654-4B4D-9C51-84E022F9FBB0}"/>
    <hyperlink ref="S195" r:id="rId63" xr:uid="{4BACFC0E-A1EC-4D5E-A796-CF8B95EE1BDF}"/>
    <hyperlink ref="S196" r:id="rId64" xr:uid="{63ED9B29-9CCF-4692-BFEE-C3E093D965F6}"/>
    <hyperlink ref="S197" r:id="rId65" xr:uid="{0048BBDD-BF94-4854-B4D8-465A095225BF}"/>
    <hyperlink ref="S201" r:id="rId66" xr:uid="{F324A969-3585-494D-BA8A-0A4FB03AF021}"/>
    <hyperlink ref="S202" r:id="rId67" xr:uid="{F6ECEBC4-65CC-4507-AA0F-6693071B9FA7}"/>
  </hyperlinks>
  <pageMargins left="0.7" right="0.7" top="0.75" bottom="0.75" header="0.3" footer="0.3"/>
  <pageSetup paperSize="9" scale="12" orientation="portrait" r:id="rId6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INSCRITOS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2025-08-06T02:20:44Z</dcterms:modified>
</cp:coreProperties>
</file>