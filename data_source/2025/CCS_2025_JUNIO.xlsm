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CCS\CCS\2.Certificado\2025\6.JUNIO\"/>
    </mc:Choice>
  </mc:AlternateContent>
  <xr:revisionPtr revIDLastSave="0" documentId="13_ncr:1_{B69836DD-E3BF-4628-BB70-42B15C20CAAD}" xr6:coauthVersionLast="47" xr6:coauthVersionMax="47" xr10:uidLastSave="{00000000-0000-0000-0000-000000000000}"/>
  <bookViews>
    <workbookView xWindow="-120" yWindow="-120" windowWidth="29040" windowHeight="15840" tabRatio="574" xr2:uid="{00000000-000D-0000-FFFF-FFFF00000000}"/>
  </bookViews>
  <sheets>
    <sheet name="INSCRITOS" sheetId="1" r:id="rId1"/>
    <sheet name="CURSOS" sheetId="2" r:id="rId2"/>
    <sheet name="LINK" sheetId="7" r:id="rId3"/>
  </sheets>
  <functionGroups builtInGroupCount="19"/>
  <definedNames>
    <definedName name="_xlnm._FilterDatabase" localSheetId="0" hidden="1">INSCRITOS!$A$1:$Y$248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99" i="1" l="1"/>
  <c r="W99" i="1"/>
  <c r="X99" i="1" s="1"/>
  <c r="V100" i="1"/>
  <c r="W100" i="1"/>
  <c r="X100" i="1" s="1"/>
  <c r="V101" i="1"/>
  <c r="W101" i="1"/>
  <c r="V102" i="1"/>
  <c r="W102" i="1"/>
  <c r="X102" i="1" s="1"/>
  <c r="W103" i="1"/>
  <c r="V104" i="1"/>
  <c r="W104" i="1"/>
  <c r="X104" i="1" s="1"/>
  <c r="V105" i="1"/>
  <c r="W105" i="1"/>
  <c r="V106" i="1"/>
  <c r="W106" i="1"/>
  <c r="X106" i="1" s="1"/>
  <c r="V107" i="1"/>
  <c r="W107" i="1"/>
  <c r="V108" i="1"/>
  <c r="W108" i="1"/>
  <c r="X108" i="1" s="1"/>
  <c r="V109" i="1"/>
  <c r="W109" i="1"/>
  <c r="V110" i="1"/>
  <c r="W110" i="1"/>
  <c r="X110" i="1" s="1"/>
  <c r="V111" i="1"/>
  <c r="W111" i="1"/>
  <c r="V112" i="1"/>
  <c r="V113" i="1"/>
  <c r="W113" i="1"/>
  <c r="V114" i="1"/>
  <c r="W114" i="1"/>
  <c r="X114" i="1" s="1"/>
  <c r="V115" i="1"/>
  <c r="W115" i="1"/>
  <c r="V116" i="1"/>
  <c r="W116" i="1"/>
  <c r="X116" i="1" s="1"/>
  <c r="V117" i="1"/>
  <c r="W117" i="1"/>
  <c r="V118" i="1"/>
  <c r="W118" i="1"/>
  <c r="X118" i="1" s="1"/>
  <c r="V119" i="1"/>
  <c r="W119" i="1"/>
  <c r="V120" i="1"/>
  <c r="W120" i="1"/>
  <c r="X120" i="1" s="1"/>
  <c r="W121" i="1"/>
  <c r="V122" i="1"/>
  <c r="W122" i="1"/>
  <c r="X122" i="1" s="1"/>
  <c r="V123" i="1"/>
  <c r="W123" i="1"/>
  <c r="V124" i="1"/>
  <c r="W124" i="1"/>
  <c r="X124" i="1" s="1"/>
  <c r="V125" i="1"/>
  <c r="W125" i="1"/>
  <c r="X125" i="1" s="1"/>
  <c r="V126" i="1"/>
  <c r="W126" i="1"/>
  <c r="X126" i="1" s="1"/>
  <c r="V127" i="1"/>
  <c r="W127" i="1"/>
  <c r="X127" i="1" s="1"/>
  <c r="V128" i="1"/>
  <c r="W128" i="1"/>
  <c r="X128" i="1" s="1"/>
  <c r="V129" i="1"/>
  <c r="W129" i="1"/>
  <c r="X129" i="1" s="1"/>
  <c r="V130" i="1"/>
  <c r="W130" i="1"/>
  <c r="X130" i="1" s="1"/>
  <c r="V131" i="1"/>
  <c r="W131" i="1"/>
  <c r="X131" i="1" s="1"/>
  <c r="V132" i="1"/>
  <c r="W132" i="1"/>
  <c r="X132" i="1" s="1"/>
  <c r="V133" i="1"/>
  <c r="W133" i="1"/>
  <c r="X133" i="1" s="1"/>
  <c r="V134" i="1"/>
  <c r="W134" i="1"/>
  <c r="X134" i="1" s="1"/>
  <c r="V135" i="1"/>
  <c r="W135" i="1"/>
  <c r="X135" i="1" s="1"/>
  <c r="V136" i="1"/>
  <c r="W136" i="1"/>
  <c r="X136" i="1" s="1"/>
  <c r="V137" i="1"/>
  <c r="W137" i="1"/>
  <c r="X137" i="1" s="1"/>
  <c r="V138" i="1"/>
  <c r="W138" i="1"/>
  <c r="X138" i="1" s="1"/>
  <c r="V139" i="1"/>
  <c r="W139" i="1"/>
  <c r="X139" i="1" s="1"/>
  <c r="V140" i="1"/>
  <c r="W140" i="1"/>
  <c r="X140" i="1" s="1"/>
  <c r="V141" i="1"/>
  <c r="W141" i="1"/>
  <c r="X141" i="1" s="1"/>
  <c r="V142" i="1"/>
  <c r="W142" i="1"/>
  <c r="X142" i="1" s="1"/>
  <c r="V143" i="1"/>
  <c r="W143" i="1"/>
  <c r="X143" i="1" s="1"/>
  <c r="V144" i="1"/>
  <c r="W144" i="1"/>
  <c r="X144" i="1" s="1"/>
  <c r="V145" i="1"/>
  <c r="W145" i="1"/>
  <c r="X145" i="1" s="1"/>
  <c r="V146" i="1"/>
  <c r="W146" i="1"/>
  <c r="X146" i="1" s="1"/>
  <c r="V147" i="1"/>
  <c r="W147" i="1"/>
  <c r="X147" i="1" s="1"/>
  <c r="Y147" i="1"/>
  <c r="V148" i="1"/>
  <c r="W148" i="1"/>
  <c r="V149" i="1"/>
  <c r="W149" i="1"/>
  <c r="X149" i="1" s="1"/>
  <c r="V150" i="1"/>
  <c r="W150" i="1"/>
  <c r="V151" i="1"/>
  <c r="W151" i="1"/>
  <c r="X151" i="1" s="1"/>
  <c r="V152" i="1"/>
  <c r="W152" i="1"/>
  <c r="V153" i="1"/>
  <c r="W153" i="1"/>
  <c r="X153" i="1" s="1"/>
  <c r="V154" i="1"/>
  <c r="W154" i="1"/>
  <c r="V155" i="1"/>
  <c r="W155" i="1"/>
  <c r="X155" i="1" s="1"/>
  <c r="V156" i="1"/>
  <c r="W156" i="1"/>
  <c r="V157" i="1"/>
  <c r="W157" i="1"/>
  <c r="X157" i="1" s="1"/>
  <c r="V158" i="1"/>
  <c r="W158" i="1"/>
  <c r="V159" i="1"/>
  <c r="W159" i="1"/>
  <c r="X159" i="1" s="1"/>
  <c r="V160" i="1"/>
  <c r="W160" i="1"/>
  <c r="V161" i="1"/>
  <c r="W161" i="1"/>
  <c r="X161" i="1" s="1"/>
  <c r="V162" i="1"/>
  <c r="W162" i="1"/>
  <c r="V163" i="1"/>
  <c r="W163" i="1"/>
  <c r="X163" i="1" s="1"/>
  <c r="V164" i="1"/>
  <c r="W164" i="1"/>
  <c r="V165" i="1"/>
  <c r="W165" i="1"/>
  <c r="X165" i="1" s="1"/>
  <c r="V166" i="1"/>
  <c r="W166" i="1"/>
  <c r="V167" i="1"/>
  <c r="W167" i="1"/>
  <c r="X167" i="1" s="1"/>
  <c r="V168" i="1"/>
  <c r="W168" i="1"/>
  <c r="V169" i="1"/>
  <c r="W169" i="1"/>
  <c r="X169" i="1" s="1"/>
  <c r="V170" i="1"/>
  <c r="W170" i="1"/>
  <c r="V171" i="1"/>
  <c r="W171" i="1"/>
  <c r="X171" i="1" s="1"/>
  <c r="V172" i="1"/>
  <c r="W172" i="1"/>
  <c r="V173" i="1"/>
  <c r="W173" i="1"/>
  <c r="X173" i="1" s="1"/>
  <c r="V174" i="1"/>
  <c r="W174" i="1"/>
  <c r="V175" i="1"/>
  <c r="W175" i="1"/>
  <c r="X175" i="1" s="1"/>
  <c r="Y175" i="1"/>
  <c r="V176" i="1"/>
  <c r="W176" i="1"/>
  <c r="V177" i="1"/>
  <c r="W177" i="1"/>
  <c r="X177" i="1" s="1"/>
  <c r="V178" i="1"/>
  <c r="W178" i="1"/>
  <c r="V179" i="1"/>
  <c r="W179" i="1"/>
  <c r="X179" i="1" s="1"/>
  <c r="V180" i="1"/>
  <c r="W180" i="1"/>
  <c r="V181" i="1"/>
  <c r="W181" i="1"/>
  <c r="X181" i="1" s="1"/>
  <c r="V182" i="1"/>
  <c r="W182" i="1"/>
  <c r="V183" i="1"/>
  <c r="W183" i="1"/>
  <c r="X183" i="1" s="1"/>
  <c r="V184" i="1"/>
  <c r="W184" i="1"/>
  <c r="V185" i="1"/>
  <c r="W185" i="1"/>
  <c r="X185" i="1" s="1"/>
  <c r="V186" i="1"/>
  <c r="W186" i="1"/>
  <c r="V187" i="1"/>
  <c r="W187" i="1"/>
  <c r="X187" i="1" s="1"/>
  <c r="Y187" i="1"/>
  <c r="V188" i="1"/>
  <c r="W188" i="1"/>
  <c r="V189" i="1"/>
  <c r="W189" i="1"/>
  <c r="X189" i="1" s="1"/>
  <c r="V190" i="1"/>
  <c r="W190" i="1"/>
  <c r="V191" i="1"/>
  <c r="W191" i="1"/>
  <c r="X191" i="1" s="1"/>
  <c r="V192" i="1"/>
  <c r="W192" i="1"/>
  <c r="V193" i="1"/>
  <c r="W193" i="1"/>
  <c r="X193" i="1" s="1"/>
  <c r="V194" i="1"/>
  <c r="W194" i="1"/>
  <c r="V195" i="1"/>
  <c r="W195" i="1"/>
  <c r="X195" i="1" s="1"/>
  <c r="V196" i="1"/>
  <c r="W196" i="1"/>
  <c r="V197" i="1"/>
  <c r="W197" i="1"/>
  <c r="X197" i="1" s="1"/>
  <c r="V198" i="1"/>
  <c r="W198" i="1"/>
  <c r="V199" i="1"/>
  <c r="W199" i="1"/>
  <c r="X199" i="1" s="1"/>
  <c r="V200" i="1"/>
  <c r="W200" i="1"/>
  <c r="V201" i="1"/>
  <c r="W201" i="1"/>
  <c r="X201" i="1" s="1"/>
  <c r="V202" i="1"/>
  <c r="W202" i="1"/>
  <c r="V203" i="1"/>
  <c r="W203" i="1"/>
  <c r="X203" i="1" s="1"/>
  <c r="V204" i="1"/>
  <c r="W204" i="1"/>
  <c r="V205" i="1"/>
  <c r="W205" i="1"/>
  <c r="X205" i="1" s="1"/>
  <c r="V206" i="1"/>
  <c r="W206" i="1"/>
  <c r="V207" i="1"/>
  <c r="W207" i="1"/>
  <c r="X207" i="1" s="1"/>
  <c r="V208" i="1"/>
  <c r="W208" i="1"/>
  <c r="V209" i="1"/>
  <c r="W209" i="1"/>
  <c r="X209" i="1" s="1"/>
  <c r="V210" i="1"/>
  <c r="W210" i="1"/>
  <c r="V211" i="1"/>
  <c r="W211" i="1"/>
  <c r="X211" i="1" s="1"/>
  <c r="V212" i="1"/>
  <c r="W212" i="1"/>
  <c r="V213" i="1"/>
  <c r="W213" i="1"/>
  <c r="X213" i="1" s="1"/>
  <c r="Y213" i="1"/>
  <c r="V214" i="1"/>
  <c r="W214" i="1"/>
  <c r="V215" i="1"/>
  <c r="W215" i="1"/>
  <c r="X215" i="1" s="1"/>
  <c r="V216" i="1"/>
  <c r="W216" i="1"/>
  <c r="V217" i="1"/>
  <c r="W217" i="1"/>
  <c r="X217" i="1" s="1"/>
  <c r="V218" i="1"/>
  <c r="W218" i="1"/>
  <c r="V219" i="1"/>
  <c r="W219" i="1"/>
  <c r="X219" i="1" s="1"/>
  <c r="V220" i="1"/>
  <c r="W220" i="1"/>
  <c r="V221" i="1"/>
  <c r="W221" i="1"/>
  <c r="X221" i="1" s="1"/>
  <c r="V222" i="1"/>
  <c r="W222" i="1"/>
  <c r="V223" i="1"/>
  <c r="W223" i="1"/>
  <c r="X223" i="1" s="1"/>
  <c r="Y223" i="1"/>
  <c r="V224" i="1"/>
  <c r="W224" i="1"/>
  <c r="V225" i="1"/>
  <c r="W225" i="1"/>
  <c r="X225" i="1" s="1"/>
  <c r="V226" i="1"/>
  <c r="W226" i="1"/>
  <c r="V227" i="1"/>
  <c r="W227" i="1"/>
  <c r="X227" i="1" s="1"/>
  <c r="V228" i="1"/>
  <c r="W228" i="1"/>
  <c r="V229" i="1"/>
  <c r="W229" i="1"/>
  <c r="X229" i="1" s="1"/>
  <c r="V230" i="1"/>
  <c r="W230" i="1"/>
  <c r="V231" i="1"/>
  <c r="W231" i="1"/>
  <c r="X231" i="1" s="1"/>
  <c r="V232" i="1"/>
  <c r="W232" i="1"/>
  <c r="V233" i="1"/>
  <c r="W233" i="1"/>
  <c r="X233" i="1" s="1"/>
  <c r="V234" i="1"/>
  <c r="W234" i="1"/>
  <c r="V235" i="1"/>
  <c r="W235" i="1"/>
  <c r="X235" i="1" s="1"/>
  <c r="V236" i="1"/>
  <c r="W236" i="1"/>
  <c r="V237" i="1"/>
  <c r="W237" i="1"/>
  <c r="X237" i="1" s="1"/>
  <c r="V238" i="1"/>
  <c r="W238" i="1"/>
  <c r="V239" i="1"/>
  <c r="W239" i="1"/>
  <c r="X239" i="1" s="1"/>
  <c r="V240" i="1"/>
  <c r="W240" i="1"/>
  <c r="V241" i="1"/>
  <c r="W241" i="1"/>
  <c r="X241" i="1" s="1"/>
  <c r="V242" i="1"/>
  <c r="W242" i="1"/>
  <c r="V243" i="1"/>
  <c r="W243" i="1"/>
  <c r="X243" i="1" s="1"/>
  <c r="V244" i="1"/>
  <c r="W244" i="1"/>
  <c r="V69" i="1"/>
  <c r="V70" i="1"/>
  <c r="V71" i="1"/>
  <c r="V7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73" i="1"/>
  <c r="V74" i="1"/>
  <c r="V75" i="1"/>
  <c r="V76" i="1"/>
  <c r="V77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2" i="1"/>
  <c r="B334" i="7"/>
  <c r="A40" i="7"/>
  <c r="C40" i="7"/>
  <c r="A41" i="7"/>
  <c r="B41" i="7" s="1"/>
  <c r="C41" i="7"/>
  <c r="A42" i="7"/>
  <c r="B42" i="7" s="1"/>
  <c r="C42" i="7"/>
  <c r="A43" i="7"/>
  <c r="B43" i="7" s="1"/>
  <c r="C43" i="7"/>
  <c r="A44" i="7"/>
  <c r="C44" i="7"/>
  <c r="A45" i="7"/>
  <c r="B45" i="7" s="1"/>
  <c r="C45" i="7"/>
  <c r="A46" i="7"/>
  <c r="B46" i="7" s="1"/>
  <c r="C46" i="7"/>
  <c r="A47" i="7"/>
  <c r="B47" i="7" s="1"/>
  <c r="C47" i="7"/>
  <c r="A48" i="7"/>
  <c r="C48" i="7"/>
  <c r="A49" i="7"/>
  <c r="B49" i="7" s="1"/>
  <c r="C49" i="7"/>
  <c r="A50" i="7"/>
  <c r="B50" i="7" s="1"/>
  <c r="C50" i="7"/>
  <c r="A51" i="7"/>
  <c r="B51" i="7" s="1"/>
  <c r="C51" i="7"/>
  <c r="A52" i="7"/>
  <c r="B52" i="7" s="1"/>
  <c r="C52" i="7"/>
  <c r="A53" i="7"/>
  <c r="B53" i="7" s="1"/>
  <c r="C53" i="7"/>
  <c r="A54" i="7"/>
  <c r="B54" i="7" s="1"/>
  <c r="C54" i="7"/>
  <c r="A55" i="7"/>
  <c r="C55" i="7"/>
  <c r="A56" i="7"/>
  <c r="B56" i="7" s="1"/>
  <c r="C56" i="7"/>
  <c r="A57" i="7"/>
  <c r="B57" i="7" s="1"/>
  <c r="C57" i="7"/>
  <c r="A58" i="7"/>
  <c r="B58" i="7" s="1"/>
  <c r="C58" i="7"/>
  <c r="A59" i="7"/>
  <c r="B59" i="7" s="1"/>
  <c r="C59" i="7"/>
  <c r="A60" i="7"/>
  <c r="B60" i="7" s="1"/>
  <c r="C60" i="7"/>
  <c r="A61" i="7"/>
  <c r="B61" i="7" s="1"/>
  <c r="C61" i="7"/>
  <c r="A62" i="7"/>
  <c r="B62" i="7" s="1"/>
  <c r="C62" i="7"/>
  <c r="A63" i="7"/>
  <c r="B63" i="7" s="1"/>
  <c r="C63" i="7"/>
  <c r="A64" i="7"/>
  <c r="B64" i="7" s="1"/>
  <c r="C64" i="7"/>
  <c r="A65" i="7"/>
  <c r="B65" i="7" s="1"/>
  <c r="C65" i="7"/>
  <c r="A66" i="7"/>
  <c r="B66" i="7" s="1"/>
  <c r="C66" i="7"/>
  <c r="A67" i="7"/>
  <c r="C67" i="7"/>
  <c r="A68" i="7"/>
  <c r="B68" i="7" s="1"/>
  <c r="C68" i="7"/>
  <c r="A69" i="7"/>
  <c r="B69" i="7" s="1"/>
  <c r="C69" i="7"/>
  <c r="A70" i="7"/>
  <c r="B70" i="7" s="1"/>
  <c r="C70" i="7"/>
  <c r="A71" i="7"/>
  <c r="B71" i="7" s="1"/>
  <c r="C71" i="7"/>
  <c r="A72" i="7"/>
  <c r="B72" i="7" s="1"/>
  <c r="C72" i="7"/>
  <c r="A73" i="7"/>
  <c r="B73" i="7" s="1"/>
  <c r="C73" i="7"/>
  <c r="A74" i="7"/>
  <c r="C74" i="7"/>
  <c r="A75" i="7"/>
  <c r="B75" i="7" s="1"/>
  <c r="C75" i="7"/>
  <c r="A76" i="7"/>
  <c r="B76" i="7" s="1"/>
  <c r="C76" i="7"/>
  <c r="A77" i="7"/>
  <c r="B77" i="7" s="1"/>
  <c r="C77" i="7"/>
  <c r="A78" i="7"/>
  <c r="C78" i="7"/>
  <c r="A79" i="7"/>
  <c r="B79" i="7" s="1"/>
  <c r="C79" i="7"/>
  <c r="A80" i="7"/>
  <c r="B80" i="7" s="1"/>
  <c r="C80" i="7"/>
  <c r="A81" i="7"/>
  <c r="C81" i="7"/>
  <c r="A82" i="7"/>
  <c r="C82" i="7"/>
  <c r="A83" i="7"/>
  <c r="B83" i="7" s="1"/>
  <c r="C83" i="7"/>
  <c r="A84" i="7"/>
  <c r="B84" i="7" s="1"/>
  <c r="C84" i="7"/>
  <c r="A85" i="7"/>
  <c r="B85" i="7" s="1"/>
  <c r="C85" i="7"/>
  <c r="A86" i="7"/>
  <c r="B86" i="7" s="1"/>
  <c r="C86" i="7"/>
  <c r="A87" i="7"/>
  <c r="B87" i="7" s="1"/>
  <c r="C87" i="7"/>
  <c r="A88" i="7"/>
  <c r="C88" i="7"/>
  <c r="A89" i="7"/>
  <c r="C89" i="7"/>
  <c r="A90" i="7"/>
  <c r="B90" i="7" s="1"/>
  <c r="C90" i="7"/>
  <c r="A91" i="7"/>
  <c r="B91" i="7" s="1"/>
  <c r="C91" i="7"/>
  <c r="A92" i="7"/>
  <c r="B92" i="7" s="1"/>
  <c r="C92" i="7"/>
  <c r="A93" i="7"/>
  <c r="B93" i="7" s="1"/>
  <c r="C93" i="7"/>
  <c r="A94" i="7"/>
  <c r="B94" i="7" s="1"/>
  <c r="C94" i="7"/>
  <c r="A95" i="7"/>
  <c r="B95" i="7" s="1"/>
  <c r="C95" i="7"/>
  <c r="A96" i="7"/>
  <c r="C96" i="7"/>
  <c r="A97" i="7"/>
  <c r="C97" i="7"/>
  <c r="A98" i="7"/>
  <c r="B98" i="7" s="1"/>
  <c r="C98" i="7"/>
  <c r="A99" i="7"/>
  <c r="B99" i="7" s="1"/>
  <c r="C99" i="7"/>
  <c r="A100" i="7"/>
  <c r="B100" i="7" s="1"/>
  <c r="C100" i="7"/>
  <c r="A101" i="7"/>
  <c r="B101" i="7" s="1"/>
  <c r="C101" i="7"/>
  <c r="A102" i="7"/>
  <c r="C102" i="7"/>
  <c r="A103" i="7"/>
  <c r="B103" i="7" s="1"/>
  <c r="C103" i="7"/>
  <c r="A104" i="7"/>
  <c r="C104" i="7"/>
  <c r="A105" i="7"/>
  <c r="B105" i="7" s="1"/>
  <c r="C105" i="7"/>
  <c r="A106" i="7"/>
  <c r="B106" i="7" s="1"/>
  <c r="C106" i="7"/>
  <c r="A107" i="7"/>
  <c r="C107" i="7"/>
  <c r="A108" i="7"/>
  <c r="C108" i="7"/>
  <c r="A109" i="7"/>
  <c r="B109" i="7" s="1"/>
  <c r="C109" i="7"/>
  <c r="A110" i="7"/>
  <c r="B110" i="7" s="1"/>
  <c r="C110" i="7"/>
  <c r="A111" i="7"/>
  <c r="B111" i="7" s="1"/>
  <c r="C111" i="7"/>
  <c r="A112" i="7"/>
  <c r="C112" i="7"/>
  <c r="A113" i="7"/>
  <c r="B113" i="7" s="1"/>
  <c r="C113" i="7"/>
  <c r="A114" i="7"/>
  <c r="B114" i="7" s="1"/>
  <c r="C114" i="7"/>
  <c r="A115" i="7"/>
  <c r="C115" i="7"/>
  <c r="A116" i="7"/>
  <c r="B116" i="7" s="1"/>
  <c r="C116" i="7"/>
  <c r="A117" i="7"/>
  <c r="B117" i="7" s="1"/>
  <c r="C117" i="7"/>
  <c r="A118" i="7"/>
  <c r="B118" i="7" s="1"/>
  <c r="C118" i="7"/>
  <c r="A119" i="7"/>
  <c r="C119" i="7"/>
  <c r="A120" i="7"/>
  <c r="B120" i="7" s="1"/>
  <c r="C120" i="7"/>
  <c r="A121" i="7"/>
  <c r="B121" i="7" s="1"/>
  <c r="C121" i="7"/>
  <c r="A122" i="7"/>
  <c r="B122" i="7" s="1"/>
  <c r="C122" i="7"/>
  <c r="A123" i="7"/>
  <c r="B123" i="7" s="1"/>
  <c r="C123" i="7"/>
  <c r="A124" i="7"/>
  <c r="B124" i="7" s="1"/>
  <c r="C124" i="7"/>
  <c r="A125" i="7"/>
  <c r="B125" i="7" s="1"/>
  <c r="C125" i="7"/>
  <c r="A126" i="7"/>
  <c r="B126" i="7" s="1"/>
  <c r="C126" i="7"/>
  <c r="A127" i="7"/>
  <c r="B127" i="7" s="1"/>
  <c r="C127" i="7"/>
  <c r="A128" i="7"/>
  <c r="B128" i="7" s="1"/>
  <c r="C128" i="7"/>
  <c r="A129" i="7"/>
  <c r="B129" i="7" s="1"/>
  <c r="C129" i="7"/>
  <c r="A130" i="7"/>
  <c r="B130" i="7" s="1"/>
  <c r="C130" i="7"/>
  <c r="A131" i="7"/>
  <c r="C131" i="7"/>
  <c r="A132" i="7"/>
  <c r="B132" i="7" s="1"/>
  <c r="C132" i="7"/>
  <c r="A133" i="7"/>
  <c r="B133" i="7" s="1"/>
  <c r="C133" i="7"/>
  <c r="A134" i="7"/>
  <c r="B134" i="7" s="1"/>
  <c r="C134" i="7"/>
  <c r="A135" i="7"/>
  <c r="B135" i="7" s="1"/>
  <c r="C135" i="7"/>
  <c r="A136" i="7"/>
  <c r="B136" i="7" s="1"/>
  <c r="C136" i="7"/>
  <c r="A137" i="7"/>
  <c r="C137" i="7"/>
  <c r="A138" i="7"/>
  <c r="C138" i="7"/>
  <c r="A139" i="7"/>
  <c r="B139" i="7" s="1"/>
  <c r="C139" i="7"/>
  <c r="A140" i="7"/>
  <c r="C140" i="7"/>
  <c r="A141" i="7"/>
  <c r="B141" i="7" s="1"/>
  <c r="C141" i="7"/>
  <c r="A142" i="7"/>
  <c r="C142" i="7"/>
  <c r="A143" i="7"/>
  <c r="B143" i="7" s="1"/>
  <c r="C143" i="7"/>
  <c r="A144" i="7"/>
  <c r="B144" i="7" s="1"/>
  <c r="C144" i="7"/>
  <c r="A145" i="7"/>
  <c r="C145" i="7"/>
  <c r="A146" i="7"/>
  <c r="B146" i="7" s="1"/>
  <c r="C146" i="7"/>
  <c r="A147" i="7"/>
  <c r="B147" i="7" s="1"/>
  <c r="C147" i="7"/>
  <c r="A148" i="7"/>
  <c r="B148" i="7" s="1"/>
  <c r="C148" i="7"/>
  <c r="A149" i="7"/>
  <c r="C149" i="7"/>
  <c r="A150" i="7"/>
  <c r="B150" i="7" s="1"/>
  <c r="C150" i="7"/>
  <c r="A151" i="7"/>
  <c r="B151" i="7" s="1"/>
  <c r="C151" i="7"/>
  <c r="A152" i="7"/>
  <c r="B152" i="7" s="1"/>
  <c r="C152" i="7"/>
  <c r="A153" i="7"/>
  <c r="C153" i="7"/>
  <c r="A154" i="7"/>
  <c r="B154" i="7" s="1"/>
  <c r="C154" i="7"/>
  <c r="A155" i="7"/>
  <c r="B155" i="7" s="1"/>
  <c r="C155" i="7"/>
  <c r="A156" i="7"/>
  <c r="B156" i="7" s="1"/>
  <c r="C156" i="7"/>
  <c r="A157" i="7"/>
  <c r="B157" i="7" s="1"/>
  <c r="C157" i="7"/>
  <c r="A158" i="7"/>
  <c r="C158" i="7"/>
  <c r="A159" i="7"/>
  <c r="B159" i="7" s="1"/>
  <c r="C159" i="7"/>
  <c r="A160" i="7"/>
  <c r="B160" i="7" s="1"/>
  <c r="C160" i="7"/>
  <c r="A161" i="7"/>
  <c r="B161" i="7" s="1"/>
  <c r="C161" i="7"/>
  <c r="A162" i="7"/>
  <c r="B162" i="7" s="1"/>
  <c r="C162" i="7"/>
  <c r="A163" i="7"/>
  <c r="B163" i="7" s="1"/>
  <c r="C163" i="7"/>
  <c r="A164" i="7"/>
  <c r="B164" i="7" s="1"/>
  <c r="C164" i="7"/>
  <c r="A165" i="7"/>
  <c r="B165" i="7" s="1"/>
  <c r="C165" i="7"/>
  <c r="A166" i="7"/>
  <c r="B166" i="7" s="1"/>
  <c r="C166" i="7"/>
  <c r="A167" i="7"/>
  <c r="B167" i="7" s="1"/>
  <c r="C167" i="7"/>
  <c r="A168" i="7"/>
  <c r="B168" i="7" s="1"/>
  <c r="C168" i="7"/>
  <c r="A169" i="7"/>
  <c r="B169" i="7" s="1"/>
  <c r="C169" i="7"/>
  <c r="A170" i="7"/>
  <c r="C170" i="7"/>
  <c r="A171" i="7"/>
  <c r="B171" i="7" s="1"/>
  <c r="C171" i="7"/>
  <c r="A172" i="7"/>
  <c r="B172" i="7" s="1"/>
  <c r="C172" i="7"/>
  <c r="A173" i="7"/>
  <c r="C173" i="7"/>
  <c r="A174" i="7"/>
  <c r="B174" i="7" s="1"/>
  <c r="C174" i="7"/>
  <c r="A175" i="7"/>
  <c r="B175" i="7" s="1"/>
  <c r="C175" i="7"/>
  <c r="A176" i="7"/>
  <c r="B176" i="7" s="1"/>
  <c r="C176" i="7"/>
  <c r="A177" i="7"/>
  <c r="B177" i="7" s="1"/>
  <c r="C177" i="7"/>
  <c r="A178" i="7"/>
  <c r="B178" i="7" s="1"/>
  <c r="C178" i="7"/>
  <c r="A179" i="7"/>
  <c r="B179" i="7" s="1"/>
  <c r="C179" i="7"/>
  <c r="A180" i="7"/>
  <c r="B180" i="7" s="1"/>
  <c r="C180" i="7"/>
  <c r="A181" i="7"/>
  <c r="B181" i="7" s="1"/>
  <c r="C181" i="7"/>
  <c r="A182" i="7"/>
  <c r="B182" i="7" s="1"/>
  <c r="C182" i="7"/>
  <c r="A183" i="7"/>
  <c r="B183" i="7" s="1"/>
  <c r="C183" i="7"/>
  <c r="A184" i="7"/>
  <c r="B184" i="7" s="1"/>
  <c r="C184" i="7"/>
  <c r="A185" i="7"/>
  <c r="B185" i="7" s="1"/>
  <c r="C185" i="7"/>
  <c r="A186" i="7"/>
  <c r="C186" i="7"/>
  <c r="A187" i="7"/>
  <c r="B187" i="7" s="1"/>
  <c r="C187" i="7"/>
  <c r="A188" i="7"/>
  <c r="B188" i="7" s="1"/>
  <c r="C188" i="7"/>
  <c r="A189" i="7"/>
  <c r="B189" i="7" s="1"/>
  <c r="C189" i="7"/>
  <c r="A190" i="7"/>
  <c r="B190" i="7" s="1"/>
  <c r="C190" i="7"/>
  <c r="A191" i="7"/>
  <c r="B191" i="7" s="1"/>
  <c r="C191" i="7"/>
  <c r="A192" i="7"/>
  <c r="B192" i="7" s="1"/>
  <c r="C192" i="7"/>
  <c r="A193" i="7"/>
  <c r="B193" i="7" s="1"/>
  <c r="C193" i="7"/>
  <c r="A194" i="7"/>
  <c r="B194" i="7" s="1"/>
  <c r="C194" i="7"/>
  <c r="A195" i="7"/>
  <c r="B195" i="7" s="1"/>
  <c r="C195" i="7"/>
  <c r="A196" i="7"/>
  <c r="B196" i="7" s="1"/>
  <c r="C196" i="7"/>
  <c r="A197" i="7"/>
  <c r="B197" i="7" s="1"/>
  <c r="C197" i="7"/>
  <c r="A198" i="7"/>
  <c r="B198" i="7" s="1"/>
  <c r="C198" i="7"/>
  <c r="A199" i="7"/>
  <c r="B199" i="7" s="1"/>
  <c r="C199" i="7"/>
  <c r="A200" i="7"/>
  <c r="B200" i="7" s="1"/>
  <c r="C200" i="7"/>
  <c r="A201" i="7"/>
  <c r="B201" i="7" s="1"/>
  <c r="C201" i="7"/>
  <c r="A202" i="7"/>
  <c r="B202" i="7" s="1"/>
  <c r="C202" i="7"/>
  <c r="A203" i="7"/>
  <c r="B203" i="7" s="1"/>
  <c r="C203" i="7"/>
  <c r="A204" i="7"/>
  <c r="B204" i="7" s="1"/>
  <c r="C204" i="7"/>
  <c r="A205" i="7"/>
  <c r="B205" i="7" s="1"/>
  <c r="C205" i="7"/>
  <c r="A206" i="7"/>
  <c r="C206" i="7"/>
  <c r="A207" i="7"/>
  <c r="B207" i="7" s="1"/>
  <c r="C207" i="7"/>
  <c r="A208" i="7"/>
  <c r="B208" i="7" s="1"/>
  <c r="C208" i="7"/>
  <c r="A209" i="7"/>
  <c r="C209" i="7"/>
  <c r="A210" i="7"/>
  <c r="C210" i="7"/>
  <c r="A211" i="7"/>
  <c r="B211" i="7" s="1"/>
  <c r="C211" i="7"/>
  <c r="A212" i="7"/>
  <c r="B212" i="7" s="1"/>
  <c r="C212" i="7"/>
  <c r="A213" i="7"/>
  <c r="B213" i="7" s="1"/>
  <c r="C213" i="7"/>
  <c r="A214" i="7"/>
  <c r="B214" i="7" s="1"/>
  <c r="C214" i="7"/>
  <c r="A215" i="7"/>
  <c r="B215" i="7" s="1"/>
  <c r="C215" i="7"/>
  <c r="A216" i="7"/>
  <c r="B216" i="7" s="1"/>
  <c r="C216" i="7"/>
  <c r="A217" i="7"/>
  <c r="C217" i="7"/>
  <c r="A218" i="7"/>
  <c r="B218" i="7" s="1"/>
  <c r="C218" i="7"/>
  <c r="A219" i="7"/>
  <c r="B219" i="7" s="1"/>
  <c r="C219" i="7"/>
  <c r="A220" i="7"/>
  <c r="B220" i="7" s="1"/>
  <c r="C220" i="7"/>
  <c r="A221" i="7"/>
  <c r="B221" i="7" s="1"/>
  <c r="C221" i="7"/>
  <c r="A222" i="7"/>
  <c r="B222" i="7" s="1"/>
  <c r="C222" i="7"/>
  <c r="A223" i="7"/>
  <c r="B223" i="7" s="1"/>
  <c r="C223" i="7"/>
  <c r="A224" i="7"/>
  <c r="B224" i="7" s="1"/>
  <c r="C224" i="7"/>
  <c r="A225" i="7"/>
  <c r="B225" i="7" s="1"/>
  <c r="C225" i="7"/>
  <c r="A226" i="7"/>
  <c r="B226" i="7" s="1"/>
  <c r="C226" i="7"/>
  <c r="A227" i="7"/>
  <c r="B227" i="7" s="1"/>
  <c r="C227" i="7"/>
  <c r="A228" i="7"/>
  <c r="B228" i="7" s="1"/>
  <c r="C228" i="7"/>
  <c r="A229" i="7"/>
  <c r="B229" i="7" s="1"/>
  <c r="C229" i="7"/>
  <c r="A230" i="7"/>
  <c r="C230" i="7"/>
  <c r="A231" i="7"/>
  <c r="B231" i="7" s="1"/>
  <c r="C231" i="7"/>
  <c r="A232" i="7"/>
  <c r="C232" i="7"/>
  <c r="A233" i="7"/>
  <c r="B233" i="7" s="1"/>
  <c r="C233" i="7"/>
  <c r="A234" i="7"/>
  <c r="B234" i="7" s="1"/>
  <c r="C234" i="7"/>
  <c r="A235" i="7"/>
  <c r="B235" i="7" s="1"/>
  <c r="C235" i="7"/>
  <c r="A236" i="7"/>
  <c r="B236" i="7" s="1"/>
  <c r="C236" i="7"/>
  <c r="A237" i="7"/>
  <c r="B237" i="7" s="1"/>
  <c r="C237" i="7"/>
  <c r="A238" i="7"/>
  <c r="B238" i="7" s="1"/>
  <c r="C238" i="7"/>
  <c r="A239" i="7"/>
  <c r="B239" i="7" s="1"/>
  <c r="C239" i="7"/>
  <c r="A240" i="7"/>
  <c r="B240" i="7" s="1"/>
  <c r="C240" i="7"/>
  <c r="A241" i="7"/>
  <c r="B241" i="7" s="1"/>
  <c r="C241" i="7"/>
  <c r="A242" i="7"/>
  <c r="B242" i="7" s="1"/>
  <c r="C242" i="7"/>
  <c r="A243" i="7"/>
  <c r="B243" i="7" s="1"/>
  <c r="C243" i="7"/>
  <c r="A244" i="7"/>
  <c r="B244" i="7" s="1"/>
  <c r="C244" i="7"/>
  <c r="A245" i="7"/>
  <c r="B245" i="7" s="1"/>
  <c r="C245" i="7"/>
  <c r="A246" i="7"/>
  <c r="B246" i="7" s="1"/>
  <c r="C246" i="7"/>
  <c r="A247" i="7"/>
  <c r="B247" i="7" s="1"/>
  <c r="C247" i="7"/>
  <c r="A248" i="7"/>
  <c r="B248" i="7" s="1"/>
  <c r="C248" i="7"/>
  <c r="A249" i="7"/>
  <c r="B249" i="7" s="1"/>
  <c r="C249" i="7"/>
  <c r="A250" i="7"/>
  <c r="B250" i="7" s="1"/>
  <c r="C250" i="7"/>
  <c r="A251" i="7"/>
  <c r="B251" i="7" s="1"/>
  <c r="C251" i="7"/>
  <c r="A252" i="7"/>
  <c r="B252" i="7" s="1"/>
  <c r="C252" i="7"/>
  <c r="A253" i="7"/>
  <c r="B253" i="7" s="1"/>
  <c r="C253" i="7"/>
  <c r="A254" i="7"/>
  <c r="B254" i="7" s="1"/>
  <c r="C254" i="7"/>
  <c r="A255" i="7"/>
  <c r="B255" i="7" s="1"/>
  <c r="C255" i="7"/>
  <c r="A256" i="7"/>
  <c r="B256" i="7" s="1"/>
  <c r="C256" i="7"/>
  <c r="A257" i="7"/>
  <c r="B257" i="7" s="1"/>
  <c r="C257" i="7"/>
  <c r="A258" i="7"/>
  <c r="B258" i="7" s="1"/>
  <c r="C258" i="7"/>
  <c r="A259" i="7"/>
  <c r="B259" i="7" s="1"/>
  <c r="C259" i="7"/>
  <c r="A260" i="7"/>
  <c r="B260" i="7" s="1"/>
  <c r="C260" i="7"/>
  <c r="A261" i="7"/>
  <c r="C261" i="7"/>
  <c r="A262" i="7"/>
  <c r="B262" i="7" s="1"/>
  <c r="C262" i="7"/>
  <c r="A263" i="7"/>
  <c r="B263" i="7" s="1"/>
  <c r="C263" i="7"/>
  <c r="A264" i="7"/>
  <c r="B264" i="7" s="1"/>
  <c r="C264" i="7"/>
  <c r="A265" i="7"/>
  <c r="B265" i="7" s="1"/>
  <c r="C265" i="7"/>
  <c r="A266" i="7"/>
  <c r="B266" i="7" s="1"/>
  <c r="C266" i="7"/>
  <c r="A267" i="7"/>
  <c r="B267" i="7" s="1"/>
  <c r="C267" i="7"/>
  <c r="A268" i="7"/>
  <c r="B268" i="7" s="1"/>
  <c r="C268" i="7"/>
  <c r="A269" i="7"/>
  <c r="B269" i="7" s="1"/>
  <c r="C269" i="7"/>
  <c r="A270" i="7"/>
  <c r="B270" i="7" s="1"/>
  <c r="C270" i="7"/>
  <c r="A271" i="7"/>
  <c r="B271" i="7" s="1"/>
  <c r="C271" i="7"/>
  <c r="A272" i="7"/>
  <c r="B272" i="7" s="1"/>
  <c r="C272" i="7"/>
  <c r="A273" i="7"/>
  <c r="B273" i="7" s="1"/>
  <c r="C273" i="7"/>
  <c r="A274" i="7"/>
  <c r="B274" i="7" s="1"/>
  <c r="C274" i="7"/>
  <c r="A275" i="7"/>
  <c r="B275" i="7" s="1"/>
  <c r="C275" i="7"/>
  <c r="A276" i="7"/>
  <c r="B276" i="7" s="1"/>
  <c r="C276" i="7"/>
  <c r="A277" i="7"/>
  <c r="C277" i="7"/>
  <c r="A278" i="7"/>
  <c r="B278" i="7" s="1"/>
  <c r="C278" i="7"/>
  <c r="A279" i="7"/>
  <c r="B279" i="7" s="1"/>
  <c r="C279" i="7"/>
  <c r="A280" i="7"/>
  <c r="B280" i="7" s="1"/>
  <c r="C280" i="7"/>
  <c r="A281" i="7"/>
  <c r="C281" i="7"/>
  <c r="A282" i="7"/>
  <c r="B282" i="7" s="1"/>
  <c r="C282" i="7"/>
  <c r="A283" i="7"/>
  <c r="B283" i="7" s="1"/>
  <c r="C283" i="7"/>
  <c r="A284" i="7"/>
  <c r="B284" i="7" s="1"/>
  <c r="C284" i="7"/>
  <c r="A285" i="7"/>
  <c r="C285" i="7"/>
  <c r="A286" i="7"/>
  <c r="C286" i="7"/>
  <c r="A287" i="7"/>
  <c r="B287" i="7" s="1"/>
  <c r="C287" i="7"/>
  <c r="A288" i="7"/>
  <c r="B288" i="7" s="1"/>
  <c r="C288" i="7"/>
  <c r="A289" i="7"/>
  <c r="B289" i="7" s="1"/>
  <c r="C289" i="7"/>
  <c r="A290" i="7"/>
  <c r="B290" i="7" s="1"/>
  <c r="C290" i="7"/>
  <c r="A291" i="7"/>
  <c r="B291" i="7" s="1"/>
  <c r="C291" i="7"/>
  <c r="A292" i="7"/>
  <c r="B292" i="7" s="1"/>
  <c r="C292" i="7"/>
  <c r="A293" i="7"/>
  <c r="C293" i="7"/>
  <c r="A294" i="7"/>
  <c r="B294" i="7" s="1"/>
  <c r="C294" i="7"/>
  <c r="A295" i="7"/>
  <c r="B295" i="7" s="1"/>
  <c r="C295" i="7"/>
  <c r="A296" i="7"/>
  <c r="B296" i="7" s="1"/>
  <c r="C296" i="7"/>
  <c r="A297" i="7"/>
  <c r="B297" i="7" s="1"/>
  <c r="C297" i="7"/>
  <c r="A298" i="7"/>
  <c r="B298" i="7" s="1"/>
  <c r="C298" i="7"/>
  <c r="A299" i="7"/>
  <c r="B299" i="7" s="1"/>
  <c r="C299" i="7"/>
  <c r="A300" i="7"/>
  <c r="B300" i="7" s="1"/>
  <c r="C300" i="7"/>
  <c r="A301" i="7"/>
  <c r="B301" i="7" s="1"/>
  <c r="C301" i="7"/>
  <c r="A302" i="7"/>
  <c r="B302" i="7" s="1"/>
  <c r="C302" i="7"/>
  <c r="A303" i="7"/>
  <c r="B303" i="7" s="1"/>
  <c r="C303" i="7"/>
  <c r="A304" i="7"/>
  <c r="B304" i="7" s="1"/>
  <c r="C304" i="7"/>
  <c r="A305" i="7"/>
  <c r="B305" i="7" s="1"/>
  <c r="C305" i="7"/>
  <c r="A306" i="7"/>
  <c r="B306" i="7" s="1"/>
  <c r="C306" i="7"/>
  <c r="A307" i="7"/>
  <c r="B307" i="7" s="1"/>
  <c r="C307" i="7"/>
  <c r="A308" i="7"/>
  <c r="C308" i="7"/>
  <c r="A309" i="7"/>
  <c r="C309" i="7"/>
  <c r="A310" i="7"/>
  <c r="B310" i="7" s="1"/>
  <c r="C310" i="7"/>
  <c r="A311" i="7"/>
  <c r="B311" i="7" s="1"/>
  <c r="C311" i="7"/>
  <c r="A312" i="7"/>
  <c r="B312" i="7" s="1"/>
  <c r="C312" i="7"/>
  <c r="A313" i="7"/>
  <c r="B313" i="7" s="1"/>
  <c r="C313" i="7"/>
  <c r="A314" i="7"/>
  <c r="B314" i="7" s="1"/>
  <c r="C314" i="7"/>
  <c r="A315" i="7"/>
  <c r="C315" i="7"/>
  <c r="A316" i="7"/>
  <c r="B316" i="7" s="1"/>
  <c r="C316" i="7"/>
  <c r="A317" i="7"/>
  <c r="C317" i="7"/>
  <c r="A318" i="7"/>
  <c r="B318" i="7" s="1"/>
  <c r="C318" i="7"/>
  <c r="A319" i="7"/>
  <c r="B319" i="7" s="1"/>
  <c r="C319" i="7"/>
  <c r="A320" i="7"/>
  <c r="B320" i="7" s="1"/>
  <c r="C320" i="7"/>
  <c r="A321" i="7"/>
  <c r="B321" i="7" s="1"/>
  <c r="C321" i="7"/>
  <c r="A322" i="7"/>
  <c r="B322" i="7" s="1"/>
  <c r="C322" i="7"/>
  <c r="A323" i="7"/>
  <c r="B323" i="7" s="1"/>
  <c r="C323" i="7"/>
  <c r="A324" i="7"/>
  <c r="B324" i="7" s="1"/>
  <c r="C324" i="7"/>
  <c r="A325" i="7"/>
  <c r="B325" i="7" s="1"/>
  <c r="C325" i="7"/>
  <c r="A326" i="7"/>
  <c r="B326" i="7" s="1"/>
  <c r="C326" i="7"/>
  <c r="A327" i="7"/>
  <c r="B327" i="7" s="1"/>
  <c r="C327" i="7"/>
  <c r="A328" i="7"/>
  <c r="C328" i="7"/>
  <c r="A329" i="7"/>
  <c r="B329" i="7" s="1"/>
  <c r="C329" i="7"/>
  <c r="A330" i="7"/>
  <c r="B330" i="7" s="1"/>
  <c r="C330" i="7"/>
  <c r="A331" i="7"/>
  <c r="B331" i="7" s="1"/>
  <c r="C331" i="7"/>
  <c r="A332" i="7"/>
  <c r="B332" i="7" s="1"/>
  <c r="C332" i="7"/>
  <c r="A333" i="7"/>
  <c r="B333" i="7" s="1"/>
  <c r="C333" i="7"/>
  <c r="A334" i="7"/>
  <c r="C334" i="7"/>
  <c r="A335" i="7"/>
  <c r="B335" i="7" s="1"/>
  <c r="C335" i="7"/>
  <c r="A336" i="7"/>
  <c r="B336" i="7" s="1"/>
  <c r="C336" i="7"/>
  <c r="A337" i="7"/>
  <c r="B337" i="7" s="1"/>
  <c r="C337" i="7"/>
  <c r="A338" i="7"/>
  <c r="B338" i="7" s="1"/>
  <c r="C338" i="7"/>
  <c r="A339" i="7"/>
  <c r="B339" i="7" s="1"/>
  <c r="C339" i="7"/>
  <c r="A340" i="7"/>
  <c r="B340" i="7" s="1"/>
  <c r="C340" i="7"/>
  <c r="A341" i="7"/>
  <c r="B341" i="7" s="1"/>
  <c r="C341" i="7"/>
  <c r="A342" i="7"/>
  <c r="C342" i="7"/>
  <c r="A343" i="7"/>
  <c r="B343" i="7" s="1"/>
  <c r="C343" i="7"/>
  <c r="A344" i="7"/>
  <c r="B344" i="7" s="1"/>
  <c r="C344" i="7"/>
  <c r="A345" i="7"/>
  <c r="B345" i="7" s="1"/>
  <c r="C345" i="7"/>
  <c r="A346" i="7"/>
  <c r="B346" i="7" s="1"/>
  <c r="C346" i="7"/>
  <c r="A347" i="7"/>
  <c r="B347" i="7" s="1"/>
  <c r="C347" i="7"/>
  <c r="A348" i="7"/>
  <c r="B348" i="7" s="1"/>
  <c r="C348" i="7"/>
  <c r="A349" i="7"/>
  <c r="B349" i="7" s="1"/>
  <c r="C349" i="7"/>
  <c r="A350" i="7"/>
  <c r="C350" i="7"/>
  <c r="A351" i="7"/>
  <c r="B351" i="7" s="1"/>
  <c r="C351" i="7"/>
  <c r="A352" i="7"/>
  <c r="C352" i="7"/>
  <c r="A353" i="7"/>
  <c r="B353" i="7" s="1"/>
  <c r="C353" i="7"/>
  <c r="A354" i="7"/>
  <c r="B354" i="7" s="1"/>
  <c r="C354" i="7"/>
  <c r="A355" i="7"/>
  <c r="B355" i="7" s="1"/>
  <c r="C355" i="7"/>
  <c r="W3" i="1"/>
  <c r="X3" i="1" s="1"/>
  <c r="W4" i="1"/>
  <c r="X4" i="1" s="1"/>
  <c r="W5" i="1"/>
  <c r="X5" i="1" s="1"/>
  <c r="W6" i="1"/>
  <c r="X6" i="1" s="1"/>
  <c r="W7" i="1"/>
  <c r="X7" i="1" s="1"/>
  <c r="W8" i="1"/>
  <c r="X8" i="1" s="1"/>
  <c r="W9" i="1"/>
  <c r="X9" i="1" s="1"/>
  <c r="W10" i="1"/>
  <c r="X10" i="1" s="1"/>
  <c r="W11" i="1"/>
  <c r="X11" i="1" s="1"/>
  <c r="W12" i="1"/>
  <c r="X12" i="1" s="1"/>
  <c r="W13" i="1"/>
  <c r="X13" i="1" s="1"/>
  <c r="W14" i="1"/>
  <c r="X14" i="1" s="1"/>
  <c r="W15" i="1"/>
  <c r="X15" i="1" s="1"/>
  <c r="W16" i="1"/>
  <c r="X16" i="1" s="1"/>
  <c r="W17" i="1"/>
  <c r="X17" i="1" s="1"/>
  <c r="W18" i="1"/>
  <c r="X18" i="1" s="1"/>
  <c r="W19" i="1"/>
  <c r="X19" i="1" s="1"/>
  <c r="W20" i="1"/>
  <c r="X20" i="1" s="1"/>
  <c r="W21" i="1"/>
  <c r="X21" i="1" s="1"/>
  <c r="W22" i="1"/>
  <c r="X22" i="1" s="1"/>
  <c r="W23" i="1"/>
  <c r="X23" i="1" s="1"/>
  <c r="W24" i="1"/>
  <c r="X24" i="1" s="1"/>
  <c r="W25" i="1"/>
  <c r="X25" i="1" s="1"/>
  <c r="W26" i="1"/>
  <c r="X26" i="1" s="1"/>
  <c r="W27" i="1"/>
  <c r="X27" i="1" s="1"/>
  <c r="W28" i="1"/>
  <c r="X28" i="1" s="1"/>
  <c r="W29" i="1"/>
  <c r="X29" i="1" s="1"/>
  <c r="W30" i="1"/>
  <c r="X30" i="1" s="1"/>
  <c r="W31" i="1"/>
  <c r="X31" i="1" s="1"/>
  <c r="W32" i="1"/>
  <c r="X32" i="1" s="1"/>
  <c r="W33" i="1"/>
  <c r="X33" i="1" s="1"/>
  <c r="W34" i="1"/>
  <c r="X34" i="1" s="1"/>
  <c r="W35" i="1"/>
  <c r="X35" i="1" s="1"/>
  <c r="W36" i="1"/>
  <c r="X36" i="1" s="1"/>
  <c r="W37" i="1"/>
  <c r="X37" i="1" s="1"/>
  <c r="W38" i="1"/>
  <c r="X38" i="1" s="1"/>
  <c r="W39" i="1"/>
  <c r="X39" i="1" s="1"/>
  <c r="W40" i="1"/>
  <c r="X40" i="1" s="1"/>
  <c r="W41" i="1"/>
  <c r="X41" i="1" s="1"/>
  <c r="W42" i="1"/>
  <c r="X42" i="1" s="1"/>
  <c r="W43" i="1"/>
  <c r="W44" i="1"/>
  <c r="X44" i="1" s="1"/>
  <c r="W45" i="1"/>
  <c r="W46" i="1"/>
  <c r="X46" i="1" s="1"/>
  <c r="W47" i="1"/>
  <c r="W48" i="1"/>
  <c r="X48" i="1" s="1"/>
  <c r="W49" i="1"/>
  <c r="W50" i="1"/>
  <c r="X50" i="1" s="1"/>
  <c r="W51" i="1"/>
  <c r="W52" i="1"/>
  <c r="X52" i="1" s="1"/>
  <c r="W53" i="1"/>
  <c r="W54" i="1"/>
  <c r="X54" i="1" s="1"/>
  <c r="W55" i="1"/>
  <c r="W56" i="1"/>
  <c r="X56" i="1" s="1"/>
  <c r="W57" i="1"/>
  <c r="W58" i="1"/>
  <c r="X58" i="1" s="1"/>
  <c r="W59" i="1"/>
  <c r="W60" i="1"/>
  <c r="X60" i="1" s="1"/>
  <c r="W61" i="1"/>
  <c r="W62" i="1"/>
  <c r="X62" i="1" s="1"/>
  <c r="W63" i="1"/>
  <c r="W64" i="1"/>
  <c r="X64" i="1" s="1"/>
  <c r="W65" i="1"/>
  <c r="W66" i="1"/>
  <c r="X66" i="1" s="1"/>
  <c r="W67" i="1"/>
  <c r="W68" i="1"/>
  <c r="X68" i="1" s="1"/>
  <c r="W69" i="1"/>
  <c r="W70" i="1"/>
  <c r="X70" i="1" s="1"/>
  <c r="W71" i="1"/>
  <c r="W72" i="1"/>
  <c r="X72" i="1" s="1"/>
  <c r="W73" i="1"/>
  <c r="W74" i="1"/>
  <c r="X74" i="1" s="1"/>
  <c r="W75" i="1"/>
  <c r="W76" i="1"/>
  <c r="X76" i="1" s="1"/>
  <c r="W77" i="1"/>
  <c r="W78" i="1"/>
  <c r="X78" i="1" s="1"/>
  <c r="W79" i="1"/>
  <c r="W80" i="1"/>
  <c r="X80" i="1" s="1"/>
  <c r="W81" i="1"/>
  <c r="W82" i="1"/>
  <c r="X82" i="1" s="1"/>
  <c r="W83" i="1"/>
  <c r="W84" i="1"/>
  <c r="X84" i="1" s="1"/>
  <c r="W85" i="1"/>
  <c r="W86" i="1"/>
  <c r="X86" i="1" s="1"/>
  <c r="W87" i="1"/>
  <c r="W88" i="1"/>
  <c r="X88" i="1" s="1"/>
  <c r="W89" i="1"/>
  <c r="W90" i="1"/>
  <c r="X90" i="1" s="1"/>
  <c r="W91" i="1"/>
  <c r="W92" i="1"/>
  <c r="X92" i="1" s="1"/>
  <c r="W93" i="1"/>
  <c r="W94" i="1"/>
  <c r="X94" i="1" s="1"/>
  <c r="W95" i="1"/>
  <c r="W96" i="1"/>
  <c r="X96" i="1" s="1"/>
  <c r="W97" i="1"/>
  <c r="W98" i="1"/>
  <c r="X98" i="1" s="1"/>
  <c r="Y199" i="1" l="1"/>
  <c r="Y133" i="1"/>
  <c r="Y159" i="1"/>
  <c r="Y135" i="1"/>
  <c r="D252" i="7"/>
  <c r="D248" i="7"/>
  <c r="D228" i="7"/>
  <c r="D220" i="7"/>
  <c r="D216" i="7"/>
  <c r="Y235" i="1"/>
  <c r="Y207" i="1"/>
  <c r="Y179" i="1"/>
  <c r="Y149" i="1"/>
  <c r="Y215" i="1"/>
  <c r="Y191" i="1"/>
  <c r="Y163" i="1"/>
  <c r="D355" i="7"/>
  <c r="Y231" i="1"/>
  <c r="Y171" i="1"/>
  <c r="Y143" i="1"/>
  <c r="Y227" i="1"/>
  <c r="Y195" i="1"/>
  <c r="Y181" i="1"/>
  <c r="Y167" i="1"/>
  <c r="Y139" i="1"/>
  <c r="D133" i="7"/>
  <c r="D109" i="7"/>
  <c r="D69" i="7"/>
  <c r="Y243" i="1"/>
  <c r="Y229" i="1"/>
  <c r="Y197" i="1"/>
  <c r="Y183" i="1"/>
  <c r="Y155" i="1"/>
  <c r="Y131" i="1"/>
  <c r="Y239" i="1"/>
  <c r="Y211" i="1"/>
  <c r="Y151" i="1"/>
  <c r="Y127" i="1"/>
  <c r="W112" i="1"/>
  <c r="X112" i="1" s="1"/>
  <c r="D141" i="7"/>
  <c r="X244" i="1"/>
  <c r="Y244" i="1"/>
  <c r="X228" i="1"/>
  <c r="Y228" i="1"/>
  <c r="X164" i="1"/>
  <c r="Y164" i="1"/>
  <c r="X148" i="1"/>
  <c r="Y148" i="1"/>
  <c r="Y237" i="1"/>
  <c r="X234" i="1"/>
  <c r="Y234" i="1"/>
  <c r="Y221" i="1"/>
  <c r="X218" i="1"/>
  <c r="Y218" i="1"/>
  <c r="Y205" i="1"/>
  <c r="X202" i="1"/>
  <c r="Y202" i="1"/>
  <c r="Y189" i="1"/>
  <c r="X186" i="1"/>
  <c r="Y186" i="1"/>
  <c r="Y173" i="1"/>
  <c r="X170" i="1"/>
  <c r="Y170" i="1"/>
  <c r="Y157" i="1"/>
  <c r="X154" i="1"/>
  <c r="Y154" i="1"/>
  <c r="Y141" i="1"/>
  <c r="Y125" i="1"/>
  <c r="X208" i="1"/>
  <c r="Y208" i="1"/>
  <c r="X121" i="1"/>
  <c r="Y121" i="1"/>
  <c r="X105" i="1"/>
  <c r="Y105" i="1"/>
  <c r="X101" i="1"/>
  <c r="Y101" i="1"/>
  <c r="Y233" i="1"/>
  <c r="X230" i="1"/>
  <c r="Y230" i="1"/>
  <c r="Y217" i="1"/>
  <c r="X214" i="1"/>
  <c r="Y214" i="1"/>
  <c r="Y201" i="1"/>
  <c r="X198" i="1"/>
  <c r="Y198" i="1"/>
  <c r="Y185" i="1"/>
  <c r="X182" i="1"/>
  <c r="Y182" i="1"/>
  <c r="Y169" i="1"/>
  <c r="X166" i="1"/>
  <c r="Y166" i="1"/>
  <c r="Y153" i="1"/>
  <c r="X150" i="1"/>
  <c r="Y150" i="1"/>
  <c r="Y137" i="1"/>
  <c r="X192" i="1"/>
  <c r="Y192" i="1"/>
  <c r="X236" i="1"/>
  <c r="Y236" i="1"/>
  <c r="X220" i="1"/>
  <c r="Y220" i="1"/>
  <c r="X204" i="1"/>
  <c r="Y204" i="1"/>
  <c r="X188" i="1"/>
  <c r="Y188" i="1"/>
  <c r="X172" i="1"/>
  <c r="Y172" i="1"/>
  <c r="X156" i="1"/>
  <c r="Y156" i="1"/>
  <c r="X113" i="1"/>
  <c r="Y113" i="1"/>
  <c r="X242" i="1"/>
  <c r="Y242" i="1"/>
  <c r="X226" i="1"/>
  <c r="Y226" i="1"/>
  <c r="X210" i="1"/>
  <c r="Y210" i="1"/>
  <c r="X194" i="1"/>
  <c r="Y194" i="1"/>
  <c r="X178" i="1"/>
  <c r="Y178" i="1"/>
  <c r="Y165" i="1"/>
  <c r="X162" i="1"/>
  <c r="Y162" i="1"/>
  <c r="X212" i="1"/>
  <c r="Y212" i="1"/>
  <c r="X180" i="1"/>
  <c r="Y180" i="1"/>
  <c r="X240" i="1"/>
  <c r="Y240" i="1"/>
  <c r="X176" i="1"/>
  <c r="Y176" i="1"/>
  <c r="X109" i="1"/>
  <c r="Y109" i="1"/>
  <c r="X232" i="1"/>
  <c r="Y232" i="1"/>
  <c r="Y219" i="1"/>
  <c r="X216" i="1"/>
  <c r="Y216" i="1"/>
  <c r="Y203" i="1"/>
  <c r="X200" i="1"/>
  <c r="Y200" i="1"/>
  <c r="X184" i="1"/>
  <c r="Y184" i="1"/>
  <c r="X168" i="1"/>
  <c r="Y168" i="1"/>
  <c r="X152" i="1"/>
  <c r="Y152" i="1"/>
  <c r="X123" i="1"/>
  <c r="Y123" i="1"/>
  <c r="X119" i="1"/>
  <c r="Y119" i="1"/>
  <c r="X115" i="1"/>
  <c r="Y115" i="1"/>
  <c r="X111" i="1"/>
  <c r="Y111" i="1"/>
  <c r="X107" i="1"/>
  <c r="Y107" i="1"/>
  <c r="X103" i="1"/>
  <c r="Y103" i="1"/>
  <c r="X196" i="1"/>
  <c r="Y196" i="1"/>
  <c r="X224" i="1"/>
  <c r="Y224" i="1"/>
  <c r="X160" i="1"/>
  <c r="Y160" i="1"/>
  <c r="X117" i="1"/>
  <c r="Y117" i="1"/>
  <c r="Y241" i="1"/>
  <c r="X238" i="1"/>
  <c r="Y238" i="1"/>
  <c r="Y225" i="1"/>
  <c r="X222" i="1"/>
  <c r="Y222" i="1"/>
  <c r="Y209" i="1"/>
  <c r="X206" i="1"/>
  <c r="Y206" i="1"/>
  <c r="Y193" i="1"/>
  <c r="X190" i="1"/>
  <c r="Y190" i="1"/>
  <c r="Y177" i="1"/>
  <c r="X174" i="1"/>
  <c r="Y174" i="1"/>
  <c r="Y161" i="1"/>
  <c r="X158" i="1"/>
  <c r="Y158" i="1"/>
  <c r="Y145" i="1"/>
  <c r="Y129" i="1"/>
  <c r="Y146" i="1"/>
  <c r="Y144" i="1"/>
  <c r="Y142" i="1"/>
  <c r="Y140" i="1"/>
  <c r="Y138" i="1"/>
  <c r="Y136" i="1"/>
  <c r="Y134" i="1"/>
  <c r="Y132" i="1"/>
  <c r="Y130" i="1"/>
  <c r="Y128" i="1"/>
  <c r="Y126" i="1"/>
  <c r="Y124" i="1"/>
  <c r="Y122" i="1"/>
  <c r="Y120" i="1"/>
  <c r="Y118" i="1"/>
  <c r="Y116" i="1"/>
  <c r="Y114" i="1"/>
  <c r="Y110" i="1"/>
  <c r="Y108" i="1"/>
  <c r="Y106" i="1"/>
  <c r="Y104" i="1"/>
  <c r="Y102" i="1"/>
  <c r="Y100" i="1"/>
  <c r="Y99" i="1"/>
  <c r="Y98" i="1"/>
  <c r="D125" i="7"/>
  <c r="D351" i="7"/>
  <c r="D347" i="7"/>
  <c r="D343" i="7"/>
  <c r="D339" i="7"/>
  <c r="D335" i="7"/>
  <c r="D327" i="7"/>
  <c r="D322" i="7"/>
  <c r="D353" i="7"/>
  <c r="D349" i="7"/>
  <c r="D345" i="7"/>
  <c r="D341" i="7"/>
  <c r="D337" i="7"/>
  <c r="D333" i="7"/>
  <c r="D329" i="7"/>
  <c r="D325" i="7"/>
  <c r="D321" i="7"/>
  <c r="D297" i="7"/>
  <c r="D289" i="7"/>
  <c r="D331" i="7"/>
  <c r="D320" i="7"/>
  <c r="D312" i="7"/>
  <c r="D304" i="7"/>
  <c r="D296" i="7"/>
  <c r="D288" i="7"/>
  <c r="D280" i="7"/>
  <c r="D272" i="7"/>
  <c r="D260" i="7"/>
  <c r="D117" i="7"/>
  <c r="Y78" i="1"/>
  <c r="D93" i="7"/>
  <c r="D85" i="7"/>
  <c r="D101" i="7"/>
  <c r="Y58" i="1"/>
  <c r="D77" i="7"/>
  <c r="Y40" i="1"/>
  <c r="Y36" i="1"/>
  <c r="Y24" i="1"/>
  <c r="D61" i="7"/>
  <c r="D332" i="7"/>
  <c r="D300" i="7"/>
  <c r="B315" i="7"/>
  <c r="D315" i="7" s="1"/>
  <c r="B131" i="7"/>
  <c r="D131" i="7" s="1"/>
  <c r="B67" i="7"/>
  <c r="D67" i="7" s="1"/>
  <c r="Y16" i="1"/>
  <c r="D307" i="7"/>
  <c r="D278" i="7"/>
  <c r="D244" i="7"/>
  <c r="D236" i="7"/>
  <c r="D134" i="7"/>
  <c r="D123" i="7"/>
  <c r="D70" i="7"/>
  <c r="D59" i="7"/>
  <c r="B210" i="7"/>
  <c r="D210" i="7" s="1"/>
  <c r="B186" i="7"/>
  <c r="D186" i="7" s="1"/>
  <c r="B170" i="7"/>
  <c r="D170" i="7" s="1"/>
  <c r="B138" i="7"/>
  <c r="D138" i="7" s="1"/>
  <c r="B82" i="7"/>
  <c r="D82" i="7" s="1"/>
  <c r="B74" i="7"/>
  <c r="D74" i="7" s="1"/>
  <c r="Y28" i="1"/>
  <c r="D348" i="7"/>
  <c r="D338" i="7"/>
  <c r="D318" i="7"/>
  <c r="D299" i="7"/>
  <c r="D292" i="7"/>
  <c r="D270" i="7"/>
  <c r="D262" i="7"/>
  <c r="D130" i="7"/>
  <c r="D126" i="7"/>
  <c r="D115" i="7"/>
  <c r="D66" i="7"/>
  <c r="D62" i="7"/>
  <c r="B281" i="7"/>
  <c r="D281" i="7" s="1"/>
  <c r="B217" i="7"/>
  <c r="D217" i="7" s="1"/>
  <c r="B209" i="7"/>
  <c r="D209" i="7" s="1"/>
  <c r="B153" i="7"/>
  <c r="D153" i="7" s="1"/>
  <c r="B145" i="7"/>
  <c r="D145" i="7" s="1"/>
  <c r="B97" i="7"/>
  <c r="D97" i="7" s="1"/>
  <c r="B89" i="7"/>
  <c r="D89" i="7" s="1"/>
  <c r="B81" i="7"/>
  <c r="D81" i="7" s="1"/>
  <c r="D334" i="7"/>
  <c r="D324" i="7"/>
  <c r="D310" i="7"/>
  <c r="D273" i="7"/>
  <c r="D269" i="7"/>
  <c r="D254" i="7"/>
  <c r="D137" i="7"/>
  <c r="D122" i="7"/>
  <c r="D118" i="7"/>
  <c r="D107" i="7"/>
  <c r="D73" i="7"/>
  <c r="D58" i="7"/>
  <c r="B352" i="7"/>
  <c r="D352" i="7" s="1"/>
  <c r="B328" i="7"/>
  <c r="D328" i="7" s="1"/>
  <c r="B232" i="7"/>
  <c r="D232" i="7" s="1"/>
  <c r="B112" i="7"/>
  <c r="D112" i="7" s="1"/>
  <c r="B104" i="7"/>
  <c r="D104" i="7" s="1"/>
  <c r="B96" i="7"/>
  <c r="D96" i="7" s="1"/>
  <c r="B88" i="7"/>
  <c r="D88" i="7" s="1"/>
  <c r="Y90" i="1"/>
  <c r="Y46" i="1"/>
  <c r="Y20" i="1"/>
  <c r="D354" i="7"/>
  <c r="D344" i="7"/>
  <c r="D313" i="7"/>
  <c r="D302" i="7"/>
  <c r="D291" i="7"/>
  <c r="D284" i="7"/>
  <c r="D212" i="7"/>
  <c r="D208" i="7"/>
  <c r="D188" i="7"/>
  <c r="D184" i="7"/>
  <c r="D172" i="7"/>
  <c r="D168" i="7"/>
  <c r="D156" i="7"/>
  <c r="D152" i="7"/>
  <c r="D148" i="7"/>
  <c r="D144" i="7"/>
  <c r="D129" i="7"/>
  <c r="D114" i="7"/>
  <c r="D110" i="7"/>
  <c r="D99" i="7"/>
  <c r="D80" i="7"/>
  <c r="D65" i="7"/>
  <c r="B119" i="7"/>
  <c r="D119" i="7" s="1"/>
  <c r="D336" i="7"/>
  <c r="Y32" i="1"/>
  <c r="D340" i="7"/>
  <c r="D330" i="7"/>
  <c r="D323" i="7"/>
  <c r="D305" i="7"/>
  <c r="D301" i="7"/>
  <c r="D276" i="7"/>
  <c r="D242" i="7"/>
  <c r="D136" i="7"/>
  <c r="D121" i="7"/>
  <c r="D106" i="7"/>
  <c r="D91" i="7"/>
  <c r="D72" i="7"/>
  <c r="D57" i="7"/>
  <c r="B350" i="7"/>
  <c r="D350" i="7" s="1"/>
  <c r="B342" i="7"/>
  <c r="D342" i="7" s="1"/>
  <c r="B286" i="7"/>
  <c r="D286" i="7" s="1"/>
  <c r="B230" i="7"/>
  <c r="D230" i="7" s="1"/>
  <c r="B206" i="7"/>
  <c r="D206" i="7" s="1"/>
  <c r="B142" i="7"/>
  <c r="D142" i="7" s="1"/>
  <c r="B102" i="7"/>
  <c r="D102" i="7" s="1"/>
  <c r="B78" i="7"/>
  <c r="D78" i="7" s="1"/>
  <c r="Y66" i="1"/>
  <c r="D326" i="7"/>
  <c r="D316" i="7"/>
  <c r="D294" i="7"/>
  <c r="D283" i="7"/>
  <c r="D268" i="7"/>
  <c r="D264" i="7"/>
  <c r="D249" i="7"/>
  <c r="D222" i="7"/>
  <c r="D155" i="7"/>
  <c r="D147" i="7"/>
  <c r="D128" i="7"/>
  <c r="D113" i="7"/>
  <c r="D98" i="7"/>
  <c r="D94" i="7"/>
  <c r="D83" i="7"/>
  <c r="D64" i="7"/>
  <c r="B317" i="7"/>
  <c r="D317" i="7" s="1"/>
  <c r="B309" i="7"/>
  <c r="D309" i="7" s="1"/>
  <c r="B293" i="7"/>
  <c r="D293" i="7" s="1"/>
  <c r="B285" i="7"/>
  <c r="D285" i="7" s="1"/>
  <c r="B277" i="7"/>
  <c r="D277" i="7" s="1"/>
  <c r="B261" i="7"/>
  <c r="D261" i="7" s="1"/>
  <c r="B173" i="7"/>
  <c r="D173" i="7" s="1"/>
  <c r="B149" i="7"/>
  <c r="D149" i="7" s="1"/>
  <c r="D346" i="7"/>
  <c r="D275" i="7"/>
  <c r="D241" i="7"/>
  <c r="D229" i="7"/>
  <c r="D139" i="7"/>
  <c r="D120" i="7"/>
  <c r="D105" i="7"/>
  <c r="D90" i="7"/>
  <c r="D86" i="7"/>
  <c r="D75" i="7"/>
  <c r="D56" i="7"/>
  <c r="B308" i="7"/>
  <c r="D308" i="7" s="1"/>
  <c r="B55" i="7"/>
  <c r="D55" i="7" s="1"/>
  <c r="D54" i="7"/>
  <c r="D53" i="7"/>
  <c r="D51" i="7"/>
  <c r="D50" i="7"/>
  <c r="Y12" i="1"/>
  <c r="D49" i="7"/>
  <c r="B48" i="7"/>
  <c r="D48" i="7" s="1"/>
  <c r="D46" i="7"/>
  <c r="Y8" i="1"/>
  <c r="D45" i="7"/>
  <c r="B44" i="7"/>
  <c r="D44" i="7" s="1"/>
  <c r="D43" i="7"/>
  <c r="D42" i="7"/>
  <c r="D41" i="7"/>
  <c r="Y4" i="1"/>
  <c r="B40" i="7"/>
  <c r="D40" i="7" s="1"/>
  <c r="D111" i="7"/>
  <c r="D47" i="7"/>
  <c r="D103" i="7"/>
  <c r="D95" i="7"/>
  <c r="D199" i="7"/>
  <c r="D183" i="7"/>
  <c r="D87" i="7"/>
  <c r="D207" i="7"/>
  <c r="D167" i="7"/>
  <c r="D151" i="7"/>
  <c r="D143" i="7"/>
  <c r="D79" i="7"/>
  <c r="D135" i="7"/>
  <c r="D71" i="7"/>
  <c r="D127" i="7"/>
  <c r="D63" i="7"/>
  <c r="Y94" i="1"/>
  <c r="Y74" i="1"/>
  <c r="Y30" i="1"/>
  <c r="Y14" i="1"/>
  <c r="D295" i="7"/>
  <c r="D245" i="7"/>
  <c r="D238" i="7"/>
  <c r="D214" i="7"/>
  <c r="D203" i="7"/>
  <c r="D195" i="7"/>
  <c r="D191" i="7"/>
  <c r="D180" i="7"/>
  <c r="D176" i="7"/>
  <c r="D165" i="7"/>
  <c r="D161" i="7"/>
  <c r="D150" i="7"/>
  <c r="D116" i="7"/>
  <c r="D84" i="7"/>
  <c r="D52" i="7"/>
  <c r="Y34" i="1"/>
  <c r="Y18" i="1"/>
  <c r="D303" i="7"/>
  <c r="D271" i="7"/>
  <c r="D265" i="7"/>
  <c r="D258" i="7"/>
  <c r="D213" i="7"/>
  <c r="D202" i="7"/>
  <c r="D198" i="7"/>
  <c r="D190" i="7"/>
  <c r="D179" i="7"/>
  <c r="D175" i="7"/>
  <c r="D164" i="7"/>
  <c r="D160" i="7"/>
  <c r="D124" i="7"/>
  <c r="D92" i="7"/>
  <c r="D60" i="7"/>
  <c r="Y50" i="1"/>
  <c r="Y38" i="1"/>
  <c r="Y22" i="1"/>
  <c r="Y6" i="1"/>
  <c r="D311" i="7"/>
  <c r="D279" i="7"/>
  <c r="D257" i="7"/>
  <c r="D233" i="7"/>
  <c r="D226" i="7"/>
  <c r="D197" i="7"/>
  <c r="D193" i="7"/>
  <c r="D182" i="7"/>
  <c r="D174" i="7"/>
  <c r="D163" i="7"/>
  <c r="D159" i="7"/>
  <c r="D132" i="7"/>
  <c r="D100" i="7"/>
  <c r="D68" i="7"/>
  <c r="Y82" i="1"/>
  <c r="Y62" i="1"/>
  <c r="Y42" i="1"/>
  <c r="Y26" i="1"/>
  <c r="Y10" i="1"/>
  <c r="D319" i="7"/>
  <c r="D287" i="7"/>
  <c r="D246" i="7"/>
  <c r="D225" i="7"/>
  <c r="D204" i="7"/>
  <c r="D200" i="7"/>
  <c r="D196" i="7"/>
  <c r="D192" i="7"/>
  <c r="D181" i="7"/>
  <c r="D177" i="7"/>
  <c r="D166" i="7"/>
  <c r="D158" i="7"/>
  <c r="D108" i="7"/>
  <c r="D76" i="7"/>
  <c r="D314" i="7"/>
  <c r="D306" i="7"/>
  <c r="D298" i="7"/>
  <c r="D290" i="7"/>
  <c r="D282" i="7"/>
  <c r="D274" i="7"/>
  <c r="D256" i="7"/>
  <c r="D253" i="7"/>
  <c r="D240" i="7"/>
  <c r="D237" i="7"/>
  <c r="D224" i="7"/>
  <c r="D221" i="7"/>
  <c r="D201" i="7"/>
  <c r="D194" i="7"/>
  <c r="D187" i="7"/>
  <c r="D169" i="7"/>
  <c r="D162" i="7"/>
  <c r="D259" i="7"/>
  <c r="D243" i="7"/>
  <c r="D227" i="7"/>
  <c r="D211" i="7"/>
  <c r="D255" i="7"/>
  <c r="D239" i="7"/>
  <c r="D223" i="7"/>
  <c r="D189" i="7"/>
  <c r="D157" i="7"/>
  <c r="D185" i="7"/>
  <c r="D178" i="7"/>
  <c r="D171" i="7"/>
  <c r="D267" i="7"/>
  <c r="D251" i="7"/>
  <c r="D235" i="7"/>
  <c r="D219" i="7"/>
  <c r="D266" i="7"/>
  <c r="D263" i="7"/>
  <c r="D250" i="7"/>
  <c r="D247" i="7"/>
  <c r="D234" i="7"/>
  <c r="D231" i="7"/>
  <c r="D218" i="7"/>
  <c r="D215" i="7"/>
  <c r="D205" i="7"/>
  <c r="D154" i="7"/>
  <c r="D146" i="7"/>
  <c r="D140" i="7"/>
  <c r="Y88" i="1"/>
  <c r="X85" i="1"/>
  <c r="Y85" i="1"/>
  <c r="Y72" i="1"/>
  <c r="X69" i="1"/>
  <c r="Y69" i="1"/>
  <c r="Y56" i="1"/>
  <c r="X53" i="1"/>
  <c r="Y53" i="1"/>
  <c r="X47" i="1"/>
  <c r="Y47" i="1"/>
  <c r="X91" i="1"/>
  <c r="Y91" i="1"/>
  <c r="X75" i="1"/>
  <c r="Y75" i="1"/>
  <c r="X59" i="1"/>
  <c r="Y59" i="1"/>
  <c r="X43" i="1"/>
  <c r="Y43" i="1"/>
  <c r="X95" i="1"/>
  <c r="Y95" i="1"/>
  <c r="X97" i="1"/>
  <c r="Y97" i="1"/>
  <c r="Y84" i="1"/>
  <c r="X81" i="1"/>
  <c r="Y81" i="1"/>
  <c r="Y68" i="1"/>
  <c r="X65" i="1"/>
  <c r="Y65" i="1"/>
  <c r="Y52" i="1"/>
  <c r="X49" i="1"/>
  <c r="Y49" i="1"/>
  <c r="X79" i="1"/>
  <c r="Y79" i="1"/>
  <c r="X87" i="1"/>
  <c r="Y87" i="1"/>
  <c r="X71" i="1"/>
  <c r="Y71" i="1"/>
  <c r="X55" i="1"/>
  <c r="Y55" i="1"/>
  <c r="X63" i="1"/>
  <c r="Y63" i="1"/>
  <c r="Y96" i="1"/>
  <c r="X93" i="1"/>
  <c r="Y93" i="1"/>
  <c r="Y80" i="1"/>
  <c r="X77" i="1"/>
  <c r="Y77" i="1"/>
  <c r="Y64" i="1"/>
  <c r="X61" i="1"/>
  <c r="Y61" i="1"/>
  <c r="Y48" i="1"/>
  <c r="X45" i="1"/>
  <c r="Y45" i="1"/>
  <c r="Y86" i="1"/>
  <c r="X83" i="1"/>
  <c r="Y83" i="1"/>
  <c r="Y70" i="1"/>
  <c r="X67" i="1"/>
  <c r="Y67" i="1"/>
  <c r="Y54" i="1"/>
  <c r="X51" i="1"/>
  <c r="Y51" i="1"/>
  <c r="Y92" i="1"/>
  <c r="X89" i="1"/>
  <c r="Y89" i="1"/>
  <c r="Y76" i="1"/>
  <c r="X73" i="1"/>
  <c r="Y73" i="1"/>
  <c r="Y60" i="1"/>
  <c r="X57" i="1"/>
  <c r="Y57" i="1"/>
  <c r="Y44" i="1"/>
  <c r="Y41" i="1"/>
  <c r="Y39" i="1"/>
  <c r="Y37" i="1"/>
  <c r="Y35" i="1"/>
  <c r="Y33" i="1"/>
  <c r="Y31" i="1"/>
  <c r="Y29" i="1"/>
  <c r="Y27" i="1"/>
  <c r="Y25" i="1"/>
  <c r="Y23" i="1"/>
  <c r="Y21" i="1"/>
  <c r="Y19" i="1"/>
  <c r="Y17" i="1"/>
  <c r="Y15" i="1"/>
  <c r="Y13" i="1"/>
  <c r="Y11" i="1"/>
  <c r="Y9" i="1"/>
  <c r="Y7" i="1"/>
  <c r="Y5" i="1"/>
  <c r="Y3" i="1"/>
  <c r="Y112" i="1" l="1"/>
  <c r="W2" i="1"/>
  <c r="Y2" i="1" s="1"/>
  <c r="C39" i="7"/>
  <c r="A39" i="7" l="1"/>
  <c r="B39" i="7" s="1"/>
  <c r="X2" i="1" l="1"/>
  <c r="D39" i="7" l="1"/>
</calcChain>
</file>

<file path=xl/sharedStrings.xml><?xml version="1.0" encoding="utf-8"?>
<sst xmlns="http://schemas.openxmlformats.org/spreadsheetml/2006/main" count="1898" uniqueCount="393">
  <si>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</si>
  <si>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</si>
  <si>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</si>
  <si>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</si>
  <si>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</si>
  <si>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</si>
  <si>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</si>
  <si>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</si>
  <si>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</si>
  <si>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</si>
  <si>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</si>
  <si>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</si>
  <si>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</si>
  <si>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</si>
  <si>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</si>
  <si>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</si>
  <si>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</si>
  <si>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</si>
  <si>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</si>
  <si>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</si>
  <si>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</si>
  <si>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</si>
  <si>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</si>
  <si>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</si>
  <si>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</si>
  <si>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</si>
  <si>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</si>
  <si>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</si>
  <si>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</si>
  <si>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</si>
  <si>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</si>
  <si>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</si>
  <si>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</si>
  <si>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</si>
  <si>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</si>
  <si>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</si>
  <si>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</si>
  <si>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</si>
  <si>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>CAMILLERO</t>
  </si>
  <si>
    <t xml:space="preserve">CAMILLERO </t>
  </si>
  <si>
    <t>TOMA DE MUESTRAS</t>
  </si>
  <si>
    <t>SOPORTE VITAL BASICO (BLS)</t>
  </si>
  <si>
    <t>VIOLENCIA SEXUAL</t>
  </si>
  <si>
    <t>PROGRAMADO AMPLIADO DE INMUNIZACION (PAI - COVID 19)</t>
  </si>
  <si>
    <t>AIEPI</t>
  </si>
  <si>
    <t>ADMON DE MEDICAMENTOS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</si>
  <si>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</si>
  <si>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</si>
  <si>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</si>
  <si>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</si>
  <si>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</si>
  <si>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</si>
  <si>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</si>
  <si>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</si>
  <si>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</si>
  <si>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</si>
  <si>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</si>
  <si>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</si>
  <si>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</si>
  <si>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</si>
  <si>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IMPLANTE</t>
  </si>
  <si>
    <t>SALUD MENTAL</t>
  </si>
  <si>
    <t>PRIMEROS AUXILIOS P</t>
  </si>
  <si>
    <t>PRIMEROS AUXILIOS PSICOLOGICOS</t>
  </si>
  <si>
    <t>CONFLICTO ARMADO</t>
  </si>
  <si>
    <t>ATENCION A VICTIMAS POR CONFLICTO ARMADO</t>
  </si>
  <si>
    <t>FECHA DE NACIMIENTO</t>
  </si>
  <si>
    <t>X</t>
  </si>
  <si>
    <t>ELABORO</t>
  </si>
  <si>
    <t xml:space="preserve">CORREO </t>
  </si>
  <si>
    <t>LINK BASE</t>
  </si>
  <si>
    <t>CEDULA</t>
  </si>
  <si>
    <t>LINK</t>
  </si>
  <si>
    <t>PAI</t>
  </si>
  <si>
    <t>MANIPULACION DE ALIMENTOS</t>
  </si>
  <si>
    <t>MANIPULACION DE ALIMENTOS Y BPM</t>
  </si>
  <si>
    <t>ATENCION A PERSONAS CON DISCAPACIDAD</t>
  </si>
  <si>
    <t>DISCAPACIDAD</t>
  </si>
  <si>
    <t>ADULTO MAYOR</t>
  </si>
  <si>
    <t>CUIDADO INTEGRAL DEL PACIENTE ADULTO</t>
  </si>
  <si>
    <t>MANEJO DEFENSIVO</t>
  </si>
  <si>
    <t>ACLSN</t>
  </si>
  <si>
    <t>SOPORTE CARDIOVASCULAR AVANZADO NEONATAL</t>
  </si>
  <si>
    <t>SOPORTE CARDIOVASCULAR AVANZADO (ACLS)</t>
  </si>
  <si>
    <t>TOMA DE MUESTRAS Y LABORATORIO POCT</t>
  </si>
  <si>
    <t>IMPLANTE SUBDERMICO DE DISPOSITIVO INTRAUTERINO</t>
  </si>
  <si>
    <t>SEGURIDAD DEL PACIENTE</t>
  </si>
  <si>
    <t>PACIENTE</t>
  </si>
  <si>
    <t>MODALIDAD</t>
  </si>
  <si>
    <t>TOMA DE MUESTRAS Y LABORATORIO CLINICO</t>
  </si>
  <si>
    <t>RESIDUOS</t>
  </si>
  <si>
    <t>MANEJO DE RESIDUOS HOSPITALARIOS</t>
  </si>
  <si>
    <t>https://centrodecapacitaciondelsur.com/manejo-de-residuos-hospitalarios-</t>
  </si>
  <si>
    <t xml:space="preserve">ATENCIÓN A VÍCTIMAS DE ATAQUE CON AGENTES QUIMICOS </t>
  </si>
  <si>
    <t xml:space="preserve">HUMANIZACIÓN EN EL SERVICIO DE LA SALUD Y BUENAS PRACTICAS EN PACIENTE </t>
  </si>
  <si>
    <t xml:space="preserve">ATENCIÓN A VÍCTIMAS DE VIOLENCIA SEXUAL </t>
  </si>
  <si>
    <t>ATENCIÓN INTEGRAL EN ENFERMEDADES PREVALENTES EN PRIMERA INFANCIA (AIEPI)</t>
  </si>
  <si>
    <t xml:space="preserve">ADMINISTRACIÓN DE MEDICAMENTOS, INYECTOLOGIA  Y CANALIZACION </t>
  </si>
  <si>
    <t>ATENCIÓN A VICTIMAS POR VIOLENCIA DE GENERO</t>
  </si>
  <si>
    <t>FUENTE</t>
  </si>
  <si>
    <t>Junio</t>
  </si>
  <si>
    <t>SUSTANCIAS</t>
  </si>
  <si>
    <t>ATENCION DE PACIENTE POR CONSUMO SUSTANCIAS PSICOACTIVAS Y ADICCIONES</t>
  </si>
  <si>
    <t>Ortega</t>
  </si>
  <si>
    <t>Enriquez</t>
  </si>
  <si>
    <t>Yeraldhyn</t>
  </si>
  <si>
    <t>Yamileth</t>
  </si>
  <si>
    <t>CAPACITACION</t>
  </si>
  <si>
    <t>CCS</t>
  </si>
  <si>
    <t>F</t>
  </si>
  <si>
    <t>ESTETICISTA</t>
  </si>
  <si>
    <t>yeraldhynortega0504@gmail.com</t>
  </si>
  <si>
    <t>Buesaquillo</t>
  </si>
  <si>
    <t>Santacruz</t>
  </si>
  <si>
    <t>Angela</t>
  </si>
  <si>
    <t>Fernanda</t>
  </si>
  <si>
    <t>angelitab425@gmail.com</t>
  </si>
  <si>
    <t>Luna</t>
  </si>
  <si>
    <t>Garcia</t>
  </si>
  <si>
    <t>Leidy</t>
  </si>
  <si>
    <t>Johana</t>
  </si>
  <si>
    <t>AUXILIAR DE LABORATORIO</t>
  </si>
  <si>
    <t>miau884@hotmail.com</t>
  </si>
  <si>
    <t>NEQUI</t>
  </si>
  <si>
    <t>RECOMENDACIÓN</t>
  </si>
  <si>
    <t>Mejia</t>
  </si>
  <si>
    <t>Fuertes</t>
  </si>
  <si>
    <t>Evelyn</t>
  </si>
  <si>
    <t>Lisbeth</t>
  </si>
  <si>
    <t>RENOVACIÓN</t>
  </si>
  <si>
    <t>AUX DE ENFERMERIA</t>
  </si>
  <si>
    <t>evelyn.mejia@cun.edu.co</t>
  </si>
  <si>
    <t>Pinza</t>
  </si>
  <si>
    <t>Chamorro</t>
  </si>
  <si>
    <t>Martha</t>
  </si>
  <si>
    <t>Leonor</t>
  </si>
  <si>
    <t xml:space="preserve">leonorpinza@gmail.com </t>
  </si>
  <si>
    <t>Burbano</t>
  </si>
  <si>
    <t>Zenon</t>
  </si>
  <si>
    <t>Efrain</t>
  </si>
  <si>
    <t>SEBAS</t>
  </si>
  <si>
    <t>M</t>
  </si>
  <si>
    <t>CONDUCTOR</t>
  </si>
  <si>
    <t>Zenonefrainburbano@gmail.com</t>
  </si>
  <si>
    <t>Alvarez</t>
  </si>
  <si>
    <t>Estrada</t>
  </si>
  <si>
    <t>Derly</t>
  </si>
  <si>
    <t>Thalia</t>
  </si>
  <si>
    <t>COLABORADOR</t>
  </si>
  <si>
    <t>YURANI</t>
  </si>
  <si>
    <t>317 8834999</t>
  </si>
  <si>
    <t xml:space="preserve">derlythalia02@gmail.com </t>
  </si>
  <si>
    <t>Useche</t>
  </si>
  <si>
    <t>Becerra</t>
  </si>
  <si>
    <t>John</t>
  </si>
  <si>
    <t>Javier</t>
  </si>
  <si>
    <t>MEDIC@</t>
  </si>
  <si>
    <t>John.javier.useche@gmail.com</t>
  </si>
  <si>
    <t>Zambrano</t>
  </si>
  <si>
    <t>Valenzuela</t>
  </si>
  <si>
    <t>Juan</t>
  </si>
  <si>
    <t>Jose</t>
  </si>
  <si>
    <t>LINA</t>
  </si>
  <si>
    <t>jzambranov@unal.edu.co</t>
  </si>
  <si>
    <t>Vallejo</t>
  </si>
  <si>
    <t>Torres</t>
  </si>
  <si>
    <t>Raquel</t>
  </si>
  <si>
    <t>raquelvallejo1519@gmail.com</t>
  </si>
  <si>
    <t>BANCOLOMBIA</t>
  </si>
  <si>
    <t>Benavides</t>
  </si>
  <si>
    <t>Rincones</t>
  </si>
  <si>
    <t>Mario</t>
  </si>
  <si>
    <t>Fernando</t>
  </si>
  <si>
    <t>mariobenavides66@gmail.com</t>
  </si>
  <si>
    <t>Diaz</t>
  </si>
  <si>
    <t>Bastidas</t>
  </si>
  <si>
    <t>Daissy</t>
  </si>
  <si>
    <t>DAVIPLATA</t>
  </si>
  <si>
    <t>ferchita1703@hotmail.com</t>
  </si>
  <si>
    <t>Mora</t>
  </si>
  <si>
    <t>Tequin</t>
  </si>
  <si>
    <t>Paola</t>
  </si>
  <si>
    <t>Lorena</t>
  </si>
  <si>
    <t xml:space="preserve">paolitalmorat@gmail.com </t>
  </si>
  <si>
    <t>Zamora</t>
  </si>
  <si>
    <t>Apraez</t>
  </si>
  <si>
    <t>Maria</t>
  </si>
  <si>
    <t>LUIS PINTA</t>
  </si>
  <si>
    <t>ENFERMER@</t>
  </si>
  <si>
    <t>mafezam2405@hotmail.com</t>
  </si>
  <si>
    <t>30000-50000</t>
  </si>
  <si>
    <t>20000-50000</t>
  </si>
  <si>
    <t>Parada</t>
  </si>
  <si>
    <t>Montes</t>
  </si>
  <si>
    <t>Dazly</t>
  </si>
  <si>
    <t>Katherine</t>
  </si>
  <si>
    <t>Botina</t>
  </si>
  <si>
    <t>Pava</t>
  </si>
  <si>
    <t>Kelly</t>
  </si>
  <si>
    <t>ESTUDIANTE</t>
  </si>
  <si>
    <t>botinakelly9@gmail.com</t>
  </si>
  <si>
    <t>Paradadazly@gmail.com</t>
  </si>
  <si>
    <t>Pastas</t>
  </si>
  <si>
    <t>Andrade</t>
  </si>
  <si>
    <t>Karen</t>
  </si>
  <si>
    <t>Alexandra</t>
  </si>
  <si>
    <t>karenpastas2020@gmail.com</t>
  </si>
  <si>
    <t>CAMI</t>
  </si>
  <si>
    <t>NICO</t>
  </si>
  <si>
    <t>20000-60000</t>
  </si>
  <si>
    <t>Chalpartar</t>
  </si>
  <si>
    <t>Pulistar</t>
  </si>
  <si>
    <t>Dayana</t>
  </si>
  <si>
    <t>TERAPEUTA OCUPACIONAL</t>
  </si>
  <si>
    <t>karendaya1612@gmail.com</t>
  </si>
  <si>
    <t>Barbosa</t>
  </si>
  <si>
    <t>Meriño</t>
  </si>
  <si>
    <t>Luis</t>
  </si>
  <si>
    <t>Daniel</t>
  </si>
  <si>
    <t xml:space="preserve"> luisdanielbarbosa@yahoo.com</t>
  </si>
  <si>
    <t>Yanguatin</t>
  </si>
  <si>
    <t>Criollo</t>
  </si>
  <si>
    <t>Daniela</t>
  </si>
  <si>
    <t>daniela7fernanda70@gmail.com</t>
  </si>
  <si>
    <t>PROINSALUD</t>
  </si>
  <si>
    <t>Coral</t>
  </si>
  <si>
    <t>Solarte</t>
  </si>
  <si>
    <t>Edgar</t>
  </si>
  <si>
    <t>Mauricio</t>
  </si>
  <si>
    <t>PSICOLOG@</t>
  </si>
  <si>
    <t>mcoral17@gmail.com</t>
  </si>
  <si>
    <t>Ortiz</t>
  </si>
  <si>
    <t>Claudia</t>
  </si>
  <si>
    <t>Ximena</t>
  </si>
  <si>
    <t xml:space="preserve">xmenortega1227@gmail.com </t>
  </si>
  <si>
    <t>CLIENTE</t>
  </si>
  <si>
    <t>Acosta</t>
  </si>
  <si>
    <t>Gonzalo</t>
  </si>
  <si>
    <t>fercholuisafer@hotmail.com</t>
  </si>
  <si>
    <t>Cuastumal</t>
  </si>
  <si>
    <t>Quenan</t>
  </si>
  <si>
    <t>Jorge</t>
  </si>
  <si>
    <t>Alexander</t>
  </si>
  <si>
    <t>Palacios</t>
  </si>
  <si>
    <t>Mercedes</t>
  </si>
  <si>
    <t xml:space="preserve">Mercedessolartep@hotmail.com </t>
  </si>
  <si>
    <t>Ceron</t>
  </si>
  <si>
    <t>Monica</t>
  </si>
  <si>
    <t>Alejandra</t>
  </si>
  <si>
    <t>aleja1910ceron@hotmail.com</t>
  </si>
  <si>
    <t>Moreno</t>
  </si>
  <si>
    <t>Ceballos</t>
  </si>
  <si>
    <t>Soffia</t>
  </si>
  <si>
    <t>Valeria</t>
  </si>
  <si>
    <t>soffiamorenoc@gmail.com</t>
  </si>
  <si>
    <t>Moncayo</t>
  </si>
  <si>
    <t>Judith</t>
  </si>
  <si>
    <t>Amalia</t>
  </si>
  <si>
    <t>FRANCISCO</t>
  </si>
  <si>
    <t>jamaliamoncayo1@gmail.com</t>
  </si>
  <si>
    <t>Montoya</t>
  </si>
  <si>
    <t>Caicedo</t>
  </si>
  <si>
    <t>Sebastian</t>
  </si>
  <si>
    <t>juansebastianmontoya052@gmail.com</t>
  </si>
  <si>
    <t>3/4/2025-7/6/2025</t>
  </si>
  <si>
    <t>3/6/2025-7/6/2025</t>
  </si>
  <si>
    <t>5/06/2025-7/6/2025</t>
  </si>
  <si>
    <t>CAJA/NEQUI</t>
  </si>
  <si>
    <t>EFECTIVO</t>
  </si>
  <si>
    <t>Morales</t>
  </si>
  <si>
    <t>Nathaly</t>
  </si>
  <si>
    <t>Shirley</t>
  </si>
  <si>
    <t>nathaly.cha29@gmail.com</t>
  </si>
  <si>
    <t>APOYO</t>
  </si>
  <si>
    <t>INTEGRACION</t>
  </si>
  <si>
    <t>INTRODUCCIÓN DE LA SALUD MENTAL Y APOYO PSICOSOCIAL EN SITUACIONES DE EMERGENCIA CON SUSTANCIAS PSICOATIVAS</t>
  </si>
  <si>
    <t>INTEGRACIÓN EN LA SALUD MENTAL EN APS</t>
  </si>
  <si>
    <t>https://centrodecapacitaciondelsur.com/salus-mental-</t>
  </si>
  <si>
    <t>https://centrodecapacitaciondelsur.com/atencion-de-paciente-por-consumo-sustancias-psicoactivas-y-adicciones-</t>
  </si>
  <si>
    <t>Martinez</t>
  </si>
  <si>
    <t>Sierra</t>
  </si>
  <si>
    <t>De los angeles</t>
  </si>
  <si>
    <t>mariadelos_2012@hotmail.com</t>
  </si>
  <si>
    <t>BACTERIOLOGA</t>
  </si>
  <si>
    <t>Hernandez</t>
  </si>
  <si>
    <t>Gaviria</t>
  </si>
  <si>
    <t>Ligia</t>
  </si>
  <si>
    <t>Janneth</t>
  </si>
  <si>
    <t>AUXILIAR DE HIGIENE ORAL</t>
  </si>
  <si>
    <t>ligis_11@hotmail.com</t>
  </si>
  <si>
    <t>Jessica</t>
  </si>
  <si>
    <t>Vannesa</t>
  </si>
  <si>
    <t xml:space="preserve">vanesitadiaz1996@gmail.com </t>
  </si>
  <si>
    <t>ATENCION AL USUARIO</t>
  </si>
  <si>
    <t>Rosas</t>
  </si>
  <si>
    <t>Cabrera</t>
  </si>
  <si>
    <t>Ivan</t>
  </si>
  <si>
    <t>Alejandro</t>
  </si>
  <si>
    <t>alejandrorosascabrera10@gmail.com</t>
  </si>
  <si>
    <t>Espinosa</t>
  </si>
  <si>
    <t>Andrea</t>
  </si>
  <si>
    <t>paolaespinosaburbano08@gmail.com</t>
  </si>
  <si>
    <t>Chavez</t>
  </si>
  <si>
    <t>Puerres</t>
  </si>
  <si>
    <t>Marcela</t>
  </si>
  <si>
    <t>chavezmarcela742@gmail.com</t>
  </si>
  <si>
    <t>https://centrodecapacitaciondelsur.com/atencion-al-usuario-</t>
  </si>
  <si>
    <t>318 7045011</t>
  </si>
  <si>
    <t>315 6486303</t>
  </si>
  <si>
    <t>De la portilla</t>
  </si>
  <si>
    <t>Lucero</t>
  </si>
  <si>
    <t>Ines</t>
  </si>
  <si>
    <t xml:space="preserve">luceroedlp1402@gmail.com </t>
  </si>
  <si>
    <t>Sanchez</t>
  </si>
  <si>
    <t>España</t>
  </si>
  <si>
    <t>Del Socorro</t>
  </si>
  <si>
    <t>Tecnico Integral en Sistemas</t>
  </si>
  <si>
    <t>andreasanchezespana28@gmail.com</t>
  </si>
  <si>
    <t>Pantoja</t>
  </si>
  <si>
    <t>Angie</t>
  </si>
  <si>
    <t xml:space="preserve">angiemorapantoja18@gmail.com </t>
  </si>
  <si>
    <t>Luisa</t>
  </si>
  <si>
    <t>luisaandrade.icetex@gmail.com</t>
  </si>
  <si>
    <t>Melo</t>
  </si>
  <si>
    <t>German</t>
  </si>
  <si>
    <t>Ricardo</t>
  </si>
  <si>
    <t>PAOLA</t>
  </si>
  <si>
    <t>Guerrero</t>
  </si>
  <si>
    <t>Francisco</t>
  </si>
  <si>
    <t>Obando</t>
  </si>
  <si>
    <t>Andres</t>
  </si>
  <si>
    <t>Geovanny</t>
  </si>
  <si>
    <t>Andres_obando46@hotmail.com</t>
  </si>
  <si>
    <t>Galvis</t>
  </si>
  <si>
    <t>Barrera</t>
  </si>
  <si>
    <t>Yoli</t>
  </si>
  <si>
    <t>Elizabeth</t>
  </si>
  <si>
    <t>TECNOLOGO EN PROMOCION</t>
  </si>
  <si>
    <t>yoligalvis42@gmail.com</t>
  </si>
  <si>
    <t>Ahumada</t>
  </si>
  <si>
    <t>Cortez</t>
  </si>
  <si>
    <t>Anyelly</t>
  </si>
  <si>
    <t>Astrid</t>
  </si>
  <si>
    <t>anyellyastrid@hotmail.com</t>
  </si>
  <si>
    <t>17/6/2025-19/6/2025</t>
  </si>
  <si>
    <t>https://centrodecapacitaciondelsur.com/manejo-de-extinciones-</t>
  </si>
  <si>
    <t>REDES SOCIALES</t>
  </si>
  <si>
    <t>LGBTI</t>
  </si>
  <si>
    <t>ATENCIÓN DIFERENCIAL EN SALUD A PERSONAS LGBTI</t>
  </si>
  <si>
    <t>https://centrodecapacitaciondelsur.com/atencion-diferencial-en-salud-a-personas-lgbti-</t>
  </si>
  <si>
    <t>Yela</t>
  </si>
  <si>
    <t>Yessica</t>
  </si>
  <si>
    <t>Yessicamorales1910@gmail.com</t>
  </si>
  <si>
    <t>Cuatin</t>
  </si>
  <si>
    <t>Paspur</t>
  </si>
  <si>
    <t>Yury</t>
  </si>
  <si>
    <t>Liliana</t>
  </si>
  <si>
    <t>AUXILIAR DE ODONTOLOGIA</t>
  </si>
  <si>
    <t xml:space="preserve">yurycuatin04@gmail.com </t>
  </si>
  <si>
    <t>junio</t>
  </si>
  <si>
    <t>320 2621081</t>
  </si>
  <si>
    <t>ana.caipe@uniminuto.edu.co</t>
  </si>
  <si>
    <t>Caipe</t>
  </si>
  <si>
    <t>Ana</t>
  </si>
  <si>
    <t>Isabel</t>
  </si>
  <si>
    <t>Arias</t>
  </si>
  <si>
    <t>Crespo</t>
  </si>
  <si>
    <t>nathalyalejandraariascrespo@gmail.com</t>
  </si>
  <si>
    <t>Realpe</t>
  </si>
  <si>
    <t>Arcos</t>
  </si>
  <si>
    <t xml:space="preserve">Maria </t>
  </si>
  <si>
    <t>Camila</t>
  </si>
  <si>
    <t>NUTRICIONISTA Y DIETETICA</t>
  </si>
  <si>
    <t>realpecamila39@gmail.com</t>
  </si>
  <si>
    <t>Giselly</t>
  </si>
  <si>
    <t>gisellypantoja903@gmail.com</t>
  </si>
  <si>
    <t>Castillo</t>
  </si>
  <si>
    <t>Cortes</t>
  </si>
  <si>
    <t>Cindy</t>
  </si>
  <si>
    <t>Bibiana</t>
  </si>
  <si>
    <t>SERVICIOS GENERALES</t>
  </si>
  <si>
    <t>Castillocindy0923@gmail.com</t>
  </si>
  <si>
    <t>Manchabajoy</t>
  </si>
  <si>
    <t>Ronaldo</t>
  </si>
  <si>
    <t xml:space="preserve">criolloronaldo98@gmail.com </t>
  </si>
  <si>
    <t>Cifuentes</t>
  </si>
  <si>
    <t>Angulo</t>
  </si>
  <si>
    <t>Yeroly</t>
  </si>
  <si>
    <t xml:space="preserve">Yerolyangulocifuentes@gmail.com </t>
  </si>
  <si>
    <t>Randa.lk07@gmail.com</t>
  </si>
  <si>
    <t>Jenny</t>
  </si>
  <si>
    <t>Tatiana</t>
  </si>
  <si>
    <t>tatiana104.19.tm@gmail.com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</si>
</sst>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</numFmts>
  <fonts count="14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b/>
      <sz val="12"/>
      <color theme="1"/>
      <name val="Arial"/>
      <family val="2"/>
    </font>
    <font>
      <u/>
      <sz val="12"/>
      <color theme="10"/>
      <name val="Arial"/>
      <family val="2"/>
    </font>
    <font>
      <sz val="12"/>
      <color rgb="FFFF0000"/>
      <name val="Arial"/>
      <family val="2"/>
    </font>
    <font>
      <sz val="12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5" fillId="0" borderId="7" xfId="0" applyFont="1" applyBorder="1"/>
    <xf numFmtId="0" fontId="5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8" fillId="0" borderId="0" xfId="3"/>
    <xf numFmtId="0" fontId="2" fillId="0" borderId="9" xfId="0" applyFont="1" applyBorder="1" applyAlignment="1">
      <alignment horizontal="center"/>
    </xf>
    <xf numFmtId="0" fontId="4" fillId="2" borderId="8" xfId="0" applyFont="1" applyFill="1" applyBorder="1"/>
    <xf numFmtId="0" fontId="2" fillId="0" borderId="10" xfId="0" applyFont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5" fillId="0" borderId="14" xfId="0" applyFont="1" applyBorder="1" applyAlignment="1">
      <alignment horizontal="center"/>
    </xf>
    <xf numFmtId="0" fontId="5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5" fillId="0" borderId="7" xfId="0" applyFont="1" applyFill="1" applyBorder="1"/>
    <xf numFmtId="0" fontId="0" fillId="0" borderId="6" xfId="0" applyFill="1" applyBorder="1" applyAlignment="1">
      <alignment horizontal="center"/>
    </xf>
    <xf numFmtId="0" fontId="5" fillId="0" borderId="16" xfId="0" applyFont="1" applyFill="1" applyBorder="1"/>
    <xf numFmtId="14" fontId="4" fillId="2" borderId="8" xfId="0" applyNumberFormat="1" applyFont="1" applyFill="1" applyBorder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/>
    <xf numFmtId="0" fontId="9" fillId="0" borderId="6" xfId="0" applyFont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4" fillId="0" borderId="7" xfId="0" applyFont="1" applyBorder="1"/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/>
    <xf numFmtId="0" fontId="9" fillId="0" borderId="7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Fill="1" applyBorder="1"/>
    <xf numFmtId="0" fontId="9" fillId="2" borderId="0" xfId="0" applyFont="1" applyFill="1" applyBorder="1" applyAlignment="1">
      <alignment horizontal="center" vertical="center" wrapText="1"/>
    </xf>
    <xf numFmtId="0" fontId="9" fillId="2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14" fontId="9" fillId="2" borderId="0" xfId="1" applyNumberFormat="1" applyFont="1" applyFill="1" applyBorder="1" applyAlignment="1">
      <alignment horizontal="center" vertical="center"/>
    </xf>
    <xf numFmtId="44" fontId="9" fillId="2" borderId="0" xfId="0" applyNumberFormat="1" applyFont="1" applyFill="1" applyBorder="1" applyAlignment="1">
      <alignment horizontal="center" vertical="center"/>
    </xf>
    <xf numFmtId="0" fontId="9" fillId="3" borderId="0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1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14" fontId="9" fillId="2" borderId="0" xfId="0" applyNumberFormat="1" applyFont="1" applyFill="1" applyBorder="1" applyAlignment="1">
      <alignment horizontal="center" vertical="center"/>
    </xf>
    <xf numFmtId="44" fontId="9" fillId="2" borderId="0" xfId="1" applyNumberFormat="1" applyFont="1" applyFill="1" applyBorder="1" applyAlignment="1">
      <alignment horizontal="center" vertical="center"/>
    </xf>
    <xf numFmtId="0" fontId="9" fillId="2" borderId="0" xfId="3" applyFont="1" applyFill="1" applyBorder="1" applyAlignment="1">
      <alignment horizontal="center" vertical="center"/>
    </xf>
    <xf numFmtId="0" fontId="9" fillId="2" borderId="0" xfId="3" applyNumberFormat="1" applyFont="1" applyFill="1" applyBorder="1" applyAlignment="1">
      <alignment horizontal="center" vertical="center"/>
    </xf>
    <xf numFmtId="14" fontId="9" fillId="2" borderId="0" xfId="0" applyNumberFormat="1" applyFont="1" applyFill="1" applyBorder="1" applyAlignment="1">
      <alignment horizontal="center" vertical="center" wrapText="1"/>
    </xf>
    <xf numFmtId="14" fontId="9" fillId="2" borderId="0" xfId="1" applyNumberFormat="1" applyFont="1" applyFill="1" applyBorder="1" applyAlignment="1">
      <alignment horizontal="center" vertical="center" wrapText="1"/>
    </xf>
    <xf numFmtId="0" fontId="8" fillId="2" borderId="0" xfId="3" applyFill="1" applyBorder="1" applyAlignment="1">
      <alignment horizontal="center" vertical="center"/>
    </xf>
    <xf numFmtId="0" fontId="8" fillId="2" borderId="0" xfId="3" applyNumberForma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2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3" fillId="2" borderId="1" xfId="2" applyNumberFormat="1" applyFont="1" applyFill="1" applyBorder="1" applyAlignment="1" applyProtection="1">
      <alignment horizontal="center" vertical="center"/>
      <protection locked="0"/>
    </xf>
    <xf numFmtId="44" fontId="3" fillId="2" borderId="1" xfId="1" applyNumberFormat="1" applyFont="1" applyFill="1" applyBorder="1" applyAlignment="1" applyProtection="1">
      <alignment horizontal="center" vertical="center"/>
      <protection locked="0"/>
    </xf>
    <xf numFmtId="0" fontId="3" fillId="2" borderId="1" xfId="0" applyNumberFormat="1" applyFont="1" applyFill="1" applyBorder="1" applyAlignment="1" applyProtection="1">
      <alignment horizontal="center" vertical="center"/>
      <protection locked="0"/>
    </xf>
    <xf numFmtId="14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4" fontId="9" fillId="2" borderId="1" xfId="0" applyNumberFormat="1" applyFont="1" applyFill="1" applyBorder="1" applyAlignment="1">
      <alignment horizontal="center" vertical="center"/>
    </xf>
    <xf numFmtId="14" fontId="9" fillId="2" borderId="1" xfId="1" applyNumberFormat="1" applyFont="1" applyFill="1" applyBorder="1" applyAlignment="1">
      <alignment horizontal="center" vertical="center"/>
    </xf>
    <xf numFmtId="44" fontId="9" fillId="2" borderId="1" xfId="1" applyNumberFormat="1" applyFont="1" applyFill="1" applyBorder="1" applyAlignment="1">
      <alignment horizontal="center" vertical="center"/>
    </xf>
    <xf numFmtId="0" fontId="9" fillId="2" borderId="1" xfId="0" applyNumberFormat="1" applyFont="1" applyFill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/>
    </xf>
    <xf numFmtId="0" fontId="11" fillId="2" borderId="1" xfId="3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/>
    </xf>
    <xf numFmtId="0" fontId="8" fillId="2" borderId="1" xfId="3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14" fontId="9" fillId="2" borderId="17" xfId="0" applyNumberFormat="1" applyFont="1" applyFill="1" applyBorder="1" applyAlignment="1">
      <alignment horizontal="center" vertical="center"/>
    </xf>
    <xf numFmtId="44" fontId="9" fillId="2" borderId="17" xfId="1" applyNumberFormat="1" applyFont="1" applyFill="1" applyBorder="1" applyAlignment="1">
      <alignment horizontal="center" vertical="center"/>
    </xf>
    <xf numFmtId="0" fontId="9" fillId="2" borderId="17" xfId="0" applyNumberFormat="1" applyFont="1" applyFill="1" applyBorder="1" applyAlignment="1">
      <alignment horizontal="center" vertical="center"/>
    </xf>
    <xf numFmtId="0" fontId="9" fillId="2" borderId="17" xfId="3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8" fillId="2" borderId="1" xfId="3" applyNumberFormat="1" applyFill="1" applyBorder="1" applyAlignment="1">
      <alignment horizontal="center" vertical="center"/>
    </xf>
    <xf numFmtId="0" fontId="9" fillId="2" borderId="1" xfId="3" applyNumberFormat="1" applyFont="1" applyFill="1" applyBorder="1" applyAlignment="1">
      <alignment horizontal="center" vertical="center"/>
    </xf>
    <xf numFmtId="44" fontId="9" fillId="2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/>
    <xf numFmtId="0" fontId="0" fillId="0" borderId="7" xfId="0" applyBorder="1"/>
    <xf numFmtId="0" fontId="13" fillId="0" borderId="7" xfId="0" applyFont="1" applyBorder="1" applyAlignment="1">
      <alignment vertical="center"/>
    </xf>
    <xf numFmtId="0" fontId="0" fillId="0" borderId="15" xfId="0" applyFill="1" applyBorder="1"/>
    <xf numFmtId="0" fontId="9" fillId="5" borderId="1" xfId="0" applyNumberFormat="1" applyFont="1" applyFill="1" applyBorder="1" applyAlignment="1">
      <alignment horizontal="center" vertical="center"/>
    </xf>
    <xf numFmtId="0" fontId="9" fillId="5" borderId="1" xfId="3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" fontId="12" fillId="2" borderId="1" xfId="0" applyNumberFormat="1" applyFont="1" applyFill="1" applyBorder="1" applyAlignment="1">
      <alignment horizontal="center" vertical="center"/>
    </xf>
    <xf numFmtId="0" fontId="12" fillId="2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NumberFormat="1" applyFont="1" applyFill="1" applyBorder="1" applyAlignment="1">
      <alignment horizontal="center" vertical="center" wrapText="1"/>
    </xf>
    <xf numFmtId="0" fontId="0" fillId="0" borderId="16" xfId="0" applyFill="1" applyBorder="1"/>
    <xf numFmtId="14" fontId="9" fillId="2" borderId="1" xfId="0" applyNumberFormat="1" applyFont="1" applyFill="1" applyBorder="1" applyAlignment="1">
      <alignment horizontal="center" vertical="center" wrapText="1"/>
    </xf>
    <xf numFmtId="0" fontId="9" fillId="2" borderId="1" xfId="3" applyFont="1" applyFill="1" applyBorder="1" applyAlignment="1">
      <alignment horizontal="center" vertical="center" wrapText="1"/>
    </xf>
    <xf numFmtId="14" fontId="9" fillId="2" borderId="1" xfId="1" applyNumberFormat="1" applyFont="1" applyFill="1" applyBorder="1" applyAlignment="1">
      <alignment horizontal="center" vertical="center" wrapText="1"/>
    </xf>
    <xf numFmtId="44" fontId="9" fillId="2" borderId="1" xfId="0" applyNumberFormat="1" applyFont="1" applyFill="1" applyBorder="1" applyAlignment="1">
      <alignment horizontal="center" vertical="center" wrapText="1"/>
    </xf>
    <xf numFmtId="0" fontId="8" fillId="2" borderId="1" xfId="3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4" fontId="9" fillId="2" borderId="17" xfId="0" applyNumberFormat="1" applyFont="1" applyFill="1" applyBorder="1" applyAlignment="1">
      <alignment horizontal="center" vertical="center" wrapText="1"/>
    </xf>
    <xf numFmtId="0" fontId="9" fillId="2" borderId="17" xfId="0" applyNumberFormat="1" applyFont="1" applyFill="1" applyBorder="1" applyAlignment="1">
      <alignment horizontal="center" vertical="center" wrapText="1"/>
    </xf>
    <xf numFmtId="0" fontId="9" fillId="2" borderId="17" xfId="3" applyFont="1" applyFill="1" applyBorder="1" applyAlignment="1">
      <alignment horizontal="center" vertical="center" wrapText="1"/>
    </xf>
  </cellXfs>
  <cellStyles count="4">
    <cellStyle name="Hipervínculo" xfId="3" builtinId="8"/>
    <cellStyle name="Millares" xfId="1" builtinId="3"/>
    <cellStyle name="Millares [0]" xfId="2" builtinId="6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98244</xdr:colOff>
      <xdr:row>136</xdr:row>
      <xdr:rowOff>45851</xdr:rowOff>
    </xdr:from>
    <xdr:to>
      <xdr:col>4</xdr:col>
      <xdr:colOff>1559107</xdr:colOff>
      <xdr:row>136</xdr:row>
      <xdr:rowOff>1506714</xdr:rowOff>
    </xdr:to>
    <xdr:grpSp>
      <xdr:nvGrpSpPr>
        <xdr:cNvPr id="547" name="$E$137" descr="QuickResponse barcode, level L, version 4, mode binary, 33x33 cells" title="https://centrodecapacitaciondelsur.com/manejo-de-extinciones-1085303056/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GrpSpPr>
          <a:grpSpLocks noChangeAspect="1"/>
        </xdr:cNvGrpSpPr>
      </xdr:nvGrpSpPr>
      <xdr:grpSpPr>
        <a:xfrm>
          <a:off x="21243744" y="161056451"/>
          <a:ext cx="1460863" cy="1460863"/>
          <a:chOff x="0" y="0"/>
          <a:chExt cx="419100" cy="419100"/>
        </a:xfrm>
      </xdr:grpSpPr>
      <xdr:sp macro="" textlink="">
        <xdr:nvSpPr>
          <xdr:cNvPr id="2" name="$E$137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" name="$E$137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" name="$E$137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$E$137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" name="$E$137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" name="$E$137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" name="$E$13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" name="$E$137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" name="$E$137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" name="$E$137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" name="$E$137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3" name="$E$137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4" name="$E$137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5" name="$E$137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6" name="$E$137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7" name="$E$13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8" name="$E$13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9" name="$E$137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0" name="$E$137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1" name="$E$13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2" name="$E$137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3" name="$E$137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4" name="$E$137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5" name="$E$137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6" name="$E$137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7" name="$E$137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8" name="$E$13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9" name="$E$137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0" name="$E$137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1" name="$E$137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2" name="$E$137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3" name="$E$137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/>
        </xdr:nvSpPr>
        <xdr:spPr>
          <a:xfrm>
            <a:off x="304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4" name="$E$137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5" name="$E$137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6" name="$E$137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7" name="$E$137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8" name="$E$1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9" name="$E$137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0" name="$E$137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1" name="$E$137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2" name="$E$137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3" name="$E$137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4" name="$E$137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5" name="$E$137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6" name="$E$137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7" name="$E$137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8" name="$E$13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9" name="$E$137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0" name="$E$137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1" name="$E$137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2" name="$E$137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3" name="$E$137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4" name="$E$137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5" name="$E$137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6" name="$E$137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7" name="$E$137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8" name="$E$13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9" name="$E$137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0" name="$E$137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1" name="$E$137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2" name="$E$137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3" name="$E$137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4" name="$E$137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5" name="$E$137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6" name="$E$137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7" name="$E$137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8" name="$E$137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9" name="$E$137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0" name="$E$137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1" name="$E$137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2" name="$E$137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3" name="$E$137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4" name="$E$137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5" name="$E$137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6" name="$E$137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7" name="$E$137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8" name="$E$13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9" name="$E$137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0" name="$E$137"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1" name="$E$137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2" name="$E$137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3" name="$E$137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4" name="$E$137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5" name="$E$137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6" name="$E$137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7" name="$E$137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8" name="$E$13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9" name="$E$137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0" name="$E$137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1" name="$E$137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2" name="$E$137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3" name="$E$137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4" name="$E$137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5" name="$E$137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6" name="$E$137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7" name="$E$137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/>
        </xdr:nvSpPr>
        <xdr:spPr>
          <a:xfrm>
            <a:off x="241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8" name="$E$13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9" name="$E$137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0" name="$E$137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1" name="$E$137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SpPr/>
        </xdr:nvSpPr>
        <xdr:spPr>
          <a:xfrm>
            <a:off x="304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2" name="$E$137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3" name="$E$137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4" name="$E$137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5" name="$E$137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6" name="$E$137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7" name="$E$137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8" name="$E$13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9" name="$E$137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0" name="$E$137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1" name="$E$137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2" name="$E$137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3" name="$E$137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4" name="$E$137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" name="$E$137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" name="$E$137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" name="$E$137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" name="$E$13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" name="$E$137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" name="$E$137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" name="$E$137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" name="$E$137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3" name="$E$137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4" name="$E$137">
            <a:extLst>
              <a:ext uri="{FF2B5EF4-FFF2-40B4-BE49-F238E27FC236}">
                <a16:creationId xmlns:a16="http://schemas.microsoft.com/office/drawing/2014/main" id="{00000000-0008-0000-0200-00007C00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5" name="$E$137">
            <a:extLst>
              <a:ext uri="{FF2B5EF4-FFF2-40B4-BE49-F238E27FC236}">
                <a16:creationId xmlns:a16="http://schemas.microsoft.com/office/drawing/2014/main" id="{00000000-0008-0000-0200-00007D00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6" name="$E$137">
            <a:extLst>
              <a:ext uri="{FF2B5EF4-FFF2-40B4-BE49-F238E27FC236}">
                <a16:creationId xmlns:a16="http://schemas.microsoft.com/office/drawing/2014/main" id="{00000000-0008-0000-0200-00007E00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7" name="$E$137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8" name="$E$137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9" name="$E$137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30" name="$E$137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31" name="$E$137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SpPr/>
        </xdr:nvSpPr>
        <xdr:spPr>
          <a:xfrm>
            <a:off x="215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32" name="$E$137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33" name="$E$137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34" name="$E$137">
            <a:extLst>
              <a:ext uri="{FF2B5EF4-FFF2-40B4-BE49-F238E27FC236}">
                <a16:creationId xmlns:a16="http://schemas.microsoft.com/office/drawing/2014/main" id="{00000000-0008-0000-0200-000086000000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35" name="$E$137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36" name="$E$137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/>
        </xdr:nvSpPr>
        <xdr:spPr>
          <a:xfrm>
            <a:off x="279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37" name="$E$137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SpPr/>
        </xdr:nvSpPr>
        <xdr:spPr>
          <a:xfrm>
            <a:off x="292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38" name="$E$137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39" name="$E$137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40" name="$E$137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41" name="$E$137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42" name="$E$137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43" name="$E$137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44" name="$E$137"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45" name="$E$137"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46" name="$E$137">
            <a:extLst>
              <a:ext uri="{FF2B5EF4-FFF2-40B4-BE49-F238E27FC236}">
                <a16:creationId xmlns:a16="http://schemas.microsoft.com/office/drawing/2014/main" id="{00000000-0008-0000-0200-0000920000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47" name="$E$137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48" name="$E$13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49" name="$E$137">
            <a:extLst>
              <a:ext uri="{FF2B5EF4-FFF2-40B4-BE49-F238E27FC236}">
                <a16:creationId xmlns:a16="http://schemas.microsoft.com/office/drawing/2014/main" id="{00000000-0008-0000-0200-0000950000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50" name="$E$137">
            <a:extLst>
              <a:ext uri="{FF2B5EF4-FFF2-40B4-BE49-F238E27FC236}">
                <a16:creationId xmlns:a16="http://schemas.microsoft.com/office/drawing/2014/main" id="{00000000-0008-0000-0200-0000960000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51" name="$E$137">
            <a:extLst>
              <a:ext uri="{FF2B5EF4-FFF2-40B4-BE49-F238E27FC236}">
                <a16:creationId xmlns:a16="http://schemas.microsoft.com/office/drawing/2014/main" id="{00000000-0008-0000-0200-00009700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52" name="$E$137">
            <a:extLst>
              <a:ext uri="{FF2B5EF4-FFF2-40B4-BE49-F238E27FC236}">
                <a16:creationId xmlns:a16="http://schemas.microsoft.com/office/drawing/2014/main" id="{00000000-0008-0000-0200-000098000000}"/>
              </a:ext>
            </a:extLst>
          </xdr:cNvPr>
          <xdr:cNvSpPr/>
        </xdr:nvSpPr>
        <xdr:spPr>
          <a:xfrm>
            <a:off x="330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53" name="$E$137">
            <a:extLst>
              <a:ext uri="{FF2B5EF4-FFF2-40B4-BE49-F238E27FC236}">
                <a16:creationId xmlns:a16="http://schemas.microsoft.com/office/drawing/2014/main" id="{00000000-0008-0000-0200-000099000000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54" name="$E$137">
            <a:extLst>
              <a:ext uri="{FF2B5EF4-FFF2-40B4-BE49-F238E27FC236}">
                <a16:creationId xmlns:a16="http://schemas.microsoft.com/office/drawing/2014/main" id="{00000000-0008-0000-0200-00009A000000}"/>
              </a:ext>
            </a:extLst>
          </xdr:cNvPr>
          <xdr:cNvSpPr/>
        </xdr:nvSpPr>
        <xdr:spPr>
          <a:xfrm>
            <a:off x="355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55" name="$E$137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381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56" name="$E$137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57" name="$E$137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58" name="$E$13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59" name="$E$137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60" name="$E$137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61" name="$E$137"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62" name="$E$137">
            <a:extLst>
              <a:ext uri="{FF2B5EF4-FFF2-40B4-BE49-F238E27FC236}">
                <a16:creationId xmlns:a16="http://schemas.microsoft.com/office/drawing/2014/main" id="{00000000-0008-0000-0200-0000A20000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63" name="$E$137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64" name="$E$137">
            <a:extLst>
              <a:ext uri="{FF2B5EF4-FFF2-40B4-BE49-F238E27FC236}">
                <a16:creationId xmlns:a16="http://schemas.microsoft.com/office/drawing/2014/main" id="{00000000-0008-0000-0200-0000A40000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65" name="$E$137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66" name="$E$137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67" name="$E$137"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68" name="$E$137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69" name="$E$137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70" name="$E$137"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71" name="$E$137"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317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72" name="$E$137"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73" name="$E$137">
            <a:extLst>
              <a:ext uri="{FF2B5EF4-FFF2-40B4-BE49-F238E27FC236}">
                <a16:creationId xmlns:a16="http://schemas.microsoft.com/office/drawing/2014/main" id="{00000000-0008-0000-0200-0000AD000000}"/>
              </a:ext>
            </a:extLst>
          </xdr:cNvPr>
          <xdr:cNvSpPr/>
        </xdr:nvSpPr>
        <xdr:spPr>
          <a:xfrm>
            <a:off x="368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74" name="$E$137"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75" name="$E$137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76" name="$E$137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77" name="$E$137">
            <a:extLst>
              <a:ext uri="{FF2B5EF4-FFF2-40B4-BE49-F238E27FC236}">
                <a16:creationId xmlns:a16="http://schemas.microsoft.com/office/drawing/2014/main" id="{00000000-0008-0000-0200-0000B10000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78" name="$E$137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79" name="$E$137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80" name="$E$137"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81" name="$E$137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82" name="$E$137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83" name="$E$137">
            <a:extLst>
              <a:ext uri="{FF2B5EF4-FFF2-40B4-BE49-F238E27FC236}">
                <a16:creationId xmlns:a16="http://schemas.microsoft.com/office/drawing/2014/main" id="{00000000-0008-0000-0200-0000B70000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84" name="$E$137"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85" name="$E$137"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86" name="$E$137">
            <a:extLst>
              <a:ext uri="{FF2B5EF4-FFF2-40B4-BE49-F238E27FC236}">
                <a16:creationId xmlns:a16="http://schemas.microsoft.com/office/drawing/2014/main" id="{00000000-0008-0000-0200-0000BA000000}"/>
              </a:ext>
            </a:extLst>
          </xdr:cNvPr>
          <xdr:cNvSpPr/>
        </xdr:nvSpPr>
        <xdr:spPr>
          <a:xfrm>
            <a:off x="241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87" name="$E$137"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88" name="$E$137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SpPr/>
        </xdr:nvSpPr>
        <xdr:spPr>
          <a:xfrm>
            <a:off x="330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89" name="$E$137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90" name="$E$137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406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91" name="$E$137"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92" name="$E$137"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93" name="$E$137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94" name="$E$137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95" name="$E$137">
            <a:extLst>
              <a:ext uri="{FF2B5EF4-FFF2-40B4-BE49-F238E27FC236}">
                <a16:creationId xmlns:a16="http://schemas.microsoft.com/office/drawing/2014/main" id="{00000000-0008-0000-0200-0000C30000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96" name="$E$137"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97" name="$E$137">
            <a:extLst>
              <a:ext uri="{FF2B5EF4-FFF2-40B4-BE49-F238E27FC236}">
                <a16:creationId xmlns:a16="http://schemas.microsoft.com/office/drawing/2014/main" id="{00000000-0008-0000-0200-0000C500000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98" name="$E$137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99" name="$E$13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00" name="$E$137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01" name="$E$137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02" name="$E$137">
            <a:extLst>
              <a:ext uri="{FF2B5EF4-FFF2-40B4-BE49-F238E27FC236}">
                <a16:creationId xmlns:a16="http://schemas.microsoft.com/office/drawing/2014/main" id="{00000000-0008-0000-0200-0000CA000000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03" name="$E$137">
            <a:extLst>
              <a:ext uri="{FF2B5EF4-FFF2-40B4-BE49-F238E27FC236}">
                <a16:creationId xmlns:a16="http://schemas.microsoft.com/office/drawing/2014/main" id="{00000000-0008-0000-0200-0000CB000000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04" name="$E$137">
            <a:extLst>
              <a:ext uri="{FF2B5EF4-FFF2-40B4-BE49-F238E27FC236}">
                <a16:creationId xmlns:a16="http://schemas.microsoft.com/office/drawing/2014/main" id="{00000000-0008-0000-0200-0000CC0000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05" name="$E$137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06" name="$E$137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07" name="$E$137">
            <a:extLst>
              <a:ext uri="{FF2B5EF4-FFF2-40B4-BE49-F238E27FC236}">
                <a16:creationId xmlns:a16="http://schemas.microsoft.com/office/drawing/2014/main" id="{00000000-0008-0000-0200-0000CF000000}"/>
              </a:ext>
            </a:extLst>
          </xdr:cNvPr>
          <xdr:cNvSpPr/>
        </xdr:nvSpPr>
        <xdr:spPr>
          <a:xfrm>
            <a:off x="330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08" name="$E$137">
            <a:extLst>
              <a:ext uri="{FF2B5EF4-FFF2-40B4-BE49-F238E27FC236}">
                <a16:creationId xmlns:a16="http://schemas.microsoft.com/office/drawing/2014/main" id="{00000000-0008-0000-0200-0000D0000000}"/>
              </a:ext>
            </a:extLst>
          </xdr:cNvPr>
          <xdr:cNvSpPr/>
        </xdr:nvSpPr>
        <xdr:spPr>
          <a:xfrm>
            <a:off x="393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09" name="$E$137">
            <a:extLst>
              <a:ext uri="{FF2B5EF4-FFF2-40B4-BE49-F238E27FC236}">
                <a16:creationId xmlns:a16="http://schemas.microsoft.com/office/drawing/2014/main" id="{00000000-0008-0000-0200-0000D1000000}"/>
              </a:ext>
            </a:extLst>
          </xdr:cNvPr>
          <xdr:cNvSpPr/>
        </xdr:nvSpPr>
        <xdr:spPr>
          <a:xfrm>
            <a:off x="406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10" name="$E$137">
            <a:extLst>
              <a:ext uri="{FF2B5EF4-FFF2-40B4-BE49-F238E27FC236}">
                <a16:creationId xmlns:a16="http://schemas.microsoft.com/office/drawing/2014/main" id="{00000000-0008-0000-0200-0000D20000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11" name="$E$1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12" name="$E$137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13" name="$E$137">
            <a:extLst>
              <a:ext uri="{FF2B5EF4-FFF2-40B4-BE49-F238E27FC236}">
                <a16:creationId xmlns:a16="http://schemas.microsoft.com/office/drawing/2014/main" id="{00000000-0008-0000-0200-0000D50000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14" name="$E$137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15" name="$E$137">
            <a:extLst>
              <a:ext uri="{FF2B5EF4-FFF2-40B4-BE49-F238E27FC236}">
                <a16:creationId xmlns:a16="http://schemas.microsoft.com/office/drawing/2014/main" id="{00000000-0008-0000-0200-0000D70000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16" name="$E$137">
            <a:extLst>
              <a:ext uri="{FF2B5EF4-FFF2-40B4-BE49-F238E27FC236}">
                <a16:creationId xmlns:a16="http://schemas.microsoft.com/office/drawing/2014/main" id="{00000000-0008-0000-0200-0000D80000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17" name="$E$137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18" name="$E$13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19" name="$E$137">
            <a:extLst>
              <a:ext uri="{FF2B5EF4-FFF2-40B4-BE49-F238E27FC236}">
                <a16:creationId xmlns:a16="http://schemas.microsoft.com/office/drawing/2014/main" id="{00000000-0008-0000-0200-0000DB000000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20" name="$E$137">
            <a:extLst>
              <a:ext uri="{FF2B5EF4-FFF2-40B4-BE49-F238E27FC236}">
                <a16:creationId xmlns:a16="http://schemas.microsoft.com/office/drawing/2014/main" id="{00000000-0008-0000-0200-0000DC0000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21" name="$E$137">
            <a:extLst>
              <a:ext uri="{FF2B5EF4-FFF2-40B4-BE49-F238E27FC236}">
                <a16:creationId xmlns:a16="http://schemas.microsoft.com/office/drawing/2014/main" id="{00000000-0008-0000-0200-0000DD0000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22" name="$E$137">
            <a:extLst>
              <a:ext uri="{FF2B5EF4-FFF2-40B4-BE49-F238E27FC236}">
                <a16:creationId xmlns:a16="http://schemas.microsoft.com/office/drawing/2014/main" id="{00000000-0008-0000-0200-0000DE0000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23" name="$E$13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24" name="$E$137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25" name="$E$137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/>
        </xdr:nvSpPr>
        <xdr:spPr>
          <a:xfrm>
            <a:off x="266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26" name="$E$137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27" name="$E$137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28" name="$E$137">
            <a:extLst>
              <a:ext uri="{FF2B5EF4-FFF2-40B4-BE49-F238E27FC236}">
                <a16:creationId xmlns:a16="http://schemas.microsoft.com/office/drawing/2014/main" id="{00000000-0008-0000-0200-0000E4000000}"/>
              </a:ext>
            </a:extLst>
          </xdr:cNvPr>
          <xdr:cNvSpPr/>
        </xdr:nvSpPr>
        <xdr:spPr>
          <a:xfrm>
            <a:off x="330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29" name="$E$137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30" name="$E$137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/>
        </xdr:nvSpPr>
        <xdr:spPr>
          <a:xfrm>
            <a:off x="406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31" name="$E$137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32" name="$E$137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33" name="$E$137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34" name="$E$137">
            <a:extLst>
              <a:ext uri="{FF2B5EF4-FFF2-40B4-BE49-F238E27FC236}">
                <a16:creationId xmlns:a16="http://schemas.microsoft.com/office/drawing/2014/main" id="{00000000-0008-0000-0200-0000EA0000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35" name="$E$13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36" name="$E$137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37" name="$E$137">
            <a:extLst>
              <a:ext uri="{FF2B5EF4-FFF2-40B4-BE49-F238E27FC236}">
                <a16:creationId xmlns:a16="http://schemas.microsoft.com/office/drawing/2014/main" id="{00000000-0008-0000-0200-0000ED0000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38" name="$E$1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39" name="$E$137">
            <a:extLst>
              <a:ext uri="{FF2B5EF4-FFF2-40B4-BE49-F238E27FC236}">
                <a16:creationId xmlns:a16="http://schemas.microsoft.com/office/drawing/2014/main" id="{00000000-0008-0000-0200-0000EF000000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40" name="$E$137">
            <a:extLst>
              <a:ext uri="{FF2B5EF4-FFF2-40B4-BE49-F238E27FC236}">
                <a16:creationId xmlns:a16="http://schemas.microsoft.com/office/drawing/2014/main" id="{00000000-0008-0000-0200-0000F000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41" name="$E$137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42" name="$E$137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43" name="$E$137">
            <a:extLst>
              <a:ext uri="{FF2B5EF4-FFF2-40B4-BE49-F238E27FC236}">
                <a16:creationId xmlns:a16="http://schemas.microsoft.com/office/drawing/2014/main" id="{00000000-0008-0000-0200-0000F300000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44" name="$E$137">
            <a:extLst>
              <a:ext uri="{FF2B5EF4-FFF2-40B4-BE49-F238E27FC236}">
                <a16:creationId xmlns:a16="http://schemas.microsoft.com/office/drawing/2014/main" id="{00000000-0008-0000-0200-0000F4000000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45" name="$E$137">
            <a:extLst>
              <a:ext uri="{FF2B5EF4-FFF2-40B4-BE49-F238E27FC236}">
                <a16:creationId xmlns:a16="http://schemas.microsoft.com/office/drawing/2014/main" id="{00000000-0008-0000-0200-0000F5000000}"/>
              </a:ext>
            </a:extLst>
          </xdr:cNvPr>
          <xdr:cNvSpPr/>
        </xdr:nvSpPr>
        <xdr:spPr>
          <a:xfrm>
            <a:off x="368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46" name="$E$137">
            <a:extLst>
              <a:ext uri="{FF2B5EF4-FFF2-40B4-BE49-F238E27FC236}">
                <a16:creationId xmlns:a16="http://schemas.microsoft.com/office/drawing/2014/main" id="{00000000-0008-0000-0200-0000F6000000}"/>
              </a:ext>
            </a:extLst>
          </xdr:cNvPr>
          <xdr:cNvSpPr/>
        </xdr:nvSpPr>
        <xdr:spPr>
          <a:xfrm>
            <a:off x="381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47" name="$E$137">
            <a:extLst>
              <a:ext uri="{FF2B5EF4-FFF2-40B4-BE49-F238E27FC236}">
                <a16:creationId xmlns:a16="http://schemas.microsoft.com/office/drawing/2014/main" id="{00000000-0008-0000-0200-0000F700000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48" name="$E$137">
            <a:extLst>
              <a:ext uri="{FF2B5EF4-FFF2-40B4-BE49-F238E27FC236}">
                <a16:creationId xmlns:a16="http://schemas.microsoft.com/office/drawing/2014/main" id="{00000000-0008-0000-0200-0000F8000000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49" name="$E$137">
            <a:extLst>
              <a:ext uri="{FF2B5EF4-FFF2-40B4-BE49-F238E27FC236}">
                <a16:creationId xmlns:a16="http://schemas.microsoft.com/office/drawing/2014/main" id="{00000000-0008-0000-0200-0000F90000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50" name="$E$137">
            <a:extLst>
              <a:ext uri="{FF2B5EF4-FFF2-40B4-BE49-F238E27FC236}">
                <a16:creationId xmlns:a16="http://schemas.microsoft.com/office/drawing/2014/main" id="{00000000-0008-0000-0200-0000FA0000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51" name="$E$137">
            <a:extLst>
              <a:ext uri="{FF2B5EF4-FFF2-40B4-BE49-F238E27FC236}">
                <a16:creationId xmlns:a16="http://schemas.microsoft.com/office/drawing/2014/main" id="{00000000-0008-0000-0200-0000FB0000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52" name="$E$137">
            <a:extLst>
              <a:ext uri="{FF2B5EF4-FFF2-40B4-BE49-F238E27FC236}">
                <a16:creationId xmlns:a16="http://schemas.microsoft.com/office/drawing/2014/main" id="{00000000-0008-0000-0200-0000FC0000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53" name="$E$137">
            <a:extLst>
              <a:ext uri="{FF2B5EF4-FFF2-40B4-BE49-F238E27FC236}">
                <a16:creationId xmlns:a16="http://schemas.microsoft.com/office/drawing/2014/main" id="{00000000-0008-0000-0200-0000FD00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54" name="$E$137">
            <a:extLst>
              <a:ext uri="{FF2B5EF4-FFF2-40B4-BE49-F238E27FC236}">
                <a16:creationId xmlns:a16="http://schemas.microsoft.com/office/drawing/2014/main" id="{00000000-0008-0000-0200-0000FE000000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55" name="$E$137">
            <a:extLst>
              <a:ext uri="{FF2B5EF4-FFF2-40B4-BE49-F238E27FC236}">
                <a16:creationId xmlns:a16="http://schemas.microsoft.com/office/drawing/2014/main" id="{00000000-0008-0000-0200-0000FF0000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56" name="$E$137">
            <a:extLst>
              <a:ext uri="{FF2B5EF4-FFF2-40B4-BE49-F238E27FC236}">
                <a16:creationId xmlns:a16="http://schemas.microsoft.com/office/drawing/2014/main" id="{00000000-0008-0000-0200-000000010000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57" name="$E$137">
            <a:extLst>
              <a:ext uri="{FF2B5EF4-FFF2-40B4-BE49-F238E27FC236}">
                <a16:creationId xmlns:a16="http://schemas.microsoft.com/office/drawing/2014/main" id="{00000000-0008-0000-0200-000001010000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58" name="$E$137">
            <a:extLst>
              <a:ext uri="{FF2B5EF4-FFF2-40B4-BE49-F238E27FC236}">
                <a16:creationId xmlns:a16="http://schemas.microsoft.com/office/drawing/2014/main" id="{00000000-0008-0000-0200-0000020100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59" name="$E$137">
            <a:extLst>
              <a:ext uri="{FF2B5EF4-FFF2-40B4-BE49-F238E27FC236}">
                <a16:creationId xmlns:a16="http://schemas.microsoft.com/office/drawing/2014/main" id="{00000000-0008-0000-0200-0000030100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60" name="$E$137">
            <a:extLst>
              <a:ext uri="{FF2B5EF4-FFF2-40B4-BE49-F238E27FC236}">
                <a16:creationId xmlns:a16="http://schemas.microsoft.com/office/drawing/2014/main" id="{00000000-0008-0000-0200-000004010000}"/>
              </a:ext>
            </a:extLst>
          </xdr:cNvPr>
          <xdr:cNvSpPr/>
        </xdr:nvSpPr>
        <xdr:spPr>
          <a:xfrm>
            <a:off x="292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61" name="$E$13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62" name="$E$137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SpPr/>
        </xdr:nvSpPr>
        <xdr:spPr>
          <a:xfrm>
            <a:off x="368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63" name="$E$137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64" name="$E$137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65" name="$E$137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66" name="$E$137">
            <a:extLst>
              <a:ext uri="{FF2B5EF4-FFF2-40B4-BE49-F238E27FC236}">
                <a16:creationId xmlns:a16="http://schemas.microsoft.com/office/drawing/2014/main" id="{00000000-0008-0000-0200-00000A0100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67" name="$E$137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68" name="$E$13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69" name="$E$13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70" name="$E$137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71" name="$E$137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72" name="$E$137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73" name="$E$13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74" name="$E$137">
            <a:extLst>
              <a:ext uri="{FF2B5EF4-FFF2-40B4-BE49-F238E27FC236}">
                <a16:creationId xmlns:a16="http://schemas.microsoft.com/office/drawing/2014/main" id="{00000000-0008-0000-0200-0000120100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75" name="$E$137">
            <a:extLst>
              <a:ext uri="{FF2B5EF4-FFF2-40B4-BE49-F238E27FC236}">
                <a16:creationId xmlns:a16="http://schemas.microsoft.com/office/drawing/2014/main" id="{00000000-0008-0000-0200-0000130100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76" name="$E$137">
            <a:extLst>
              <a:ext uri="{FF2B5EF4-FFF2-40B4-BE49-F238E27FC236}">
                <a16:creationId xmlns:a16="http://schemas.microsoft.com/office/drawing/2014/main" id="{00000000-0008-0000-0200-0000140100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77" name="$E$137">
            <a:extLst>
              <a:ext uri="{FF2B5EF4-FFF2-40B4-BE49-F238E27FC236}">
                <a16:creationId xmlns:a16="http://schemas.microsoft.com/office/drawing/2014/main" id="{00000000-0008-0000-0200-000015010000}"/>
              </a:ext>
            </a:extLst>
          </xdr:cNvPr>
          <xdr:cNvSpPr/>
        </xdr:nvSpPr>
        <xdr:spPr>
          <a:xfrm>
            <a:off x="292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78" name="$E$137">
            <a:extLst>
              <a:ext uri="{FF2B5EF4-FFF2-40B4-BE49-F238E27FC236}">
                <a16:creationId xmlns:a16="http://schemas.microsoft.com/office/drawing/2014/main" id="{00000000-0008-0000-0200-00001601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79" name="$E$137">
            <a:extLst>
              <a:ext uri="{FF2B5EF4-FFF2-40B4-BE49-F238E27FC236}">
                <a16:creationId xmlns:a16="http://schemas.microsoft.com/office/drawing/2014/main" id="{00000000-0008-0000-0200-0000170100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80" name="$E$137">
            <a:extLst>
              <a:ext uri="{FF2B5EF4-FFF2-40B4-BE49-F238E27FC236}">
                <a16:creationId xmlns:a16="http://schemas.microsoft.com/office/drawing/2014/main" id="{00000000-0008-0000-0200-000018010000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81" name="$E$137">
            <a:extLst>
              <a:ext uri="{FF2B5EF4-FFF2-40B4-BE49-F238E27FC236}">
                <a16:creationId xmlns:a16="http://schemas.microsoft.com/office/drawing/2014/main" id="{00000000-0008-0000-0200-000019010000}"/>
              </a:ext>
            </a:extLst>
          </xdr:cNvPr>
          <xdr:cNvSpPr/>
        </xdr:nvSpPr>
        <xdr:spPr>
          <a:xfrm>
            <a:off x="393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82" name="$E$137">
            <a:extLst>
              <a:ext uri="{FF2B5EF4-FFF2-40B4-BE49-F238E27FC236}">
                <a16:creationId xmlns:a16="http://schemas.microsoft.com/office/drawing/2014/main" id="{00000000-0008-0000-0200-00001A0100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83" name="$E$137">
            <a:extLst>
              <a:ext uri="{FF2B5EF4-FFF2-40B4-BE49-F238E27FC236}">
                <a16:creationId xmlns:a16="http://schemas.microsoft.com/office/drawing/2014/main" id="{00000000-0008-0000-0200-00001B0100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84" name="$E$137">
            <a:extLst>
              <a:ext uri="{FF2B5EF4-FFF2-40B4-BE49-F238E27FC236}">
                <a16:creationId xmlns:a16="http://schemas.microsoft.com/office/drawing/2014/main" id="{00000000-0008-0000-0200-00001C0100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85" name="$E$137">
            <a:extLst>
              <a:ext uri="{FF2B5EF4-FFF2-40B4-BE49-F238E27FC236}">
                <a16:creationId xmlns:a16="http://schemas.microsoft.com/office/drawing/2014/main" id="{00000000-0008-0000-0200-00001D01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86" name="$E$137">
            <a:extLst>
              <a:ext uri="{FF2B5EF4-FFF2-40B4-BE49-F238E27FC236}">
                <a16:creationId xmlns:a16="http://schemas.microsoft.com/office/drawing/2014/main" id="{00000000-0008-0000-0200-00001E0100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87" name="$E$137">
            <a:extLst>
              <a:ext uri="{FF2B5EF4-FFF2-40B4-BE49-F238E27FC236}">
                <a16:creationId xmlns:a16="http://schemas.microsoft.com/office/drawing/2014/main" id="{00000000-0008-0000-0200-00001F010000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88" name="$E$137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89" name="$E$137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90" name="$E$137">
            <a:extLst>
              <a:ext uri="{FF2B5EF4-FFF2-40B4-BE49-F238E27FC236}">
                <a16:creationId xmlns:a16="http://schemas.microsoft.com/office/drawing/2014/main" id="{00000000-0008-0000-0200-000022010000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91" name="$E$137">
            <a:extLst>
              <a:ext uri="{FF2B5EF4-FFF2-40B4-BE49-F238E27FC236}">
                <a16:creationId xmlns:a16="http://schemas.microsoft.com/office/drawing/2014/main" id="{00000000-0008-0000-0200-000023010000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92" name="$E$137">
            <a:extLst>
              <a:ext uri="{FF2B5EF4-FFF2-40B4-BE49-F238E27FC236}">
                <a16:creationId xmlns:a16="http://schemas.microsoft.com/office/drawing/2014/main" id="{00000000-0008-0000-0200-0000240100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93" name="$E$137">
            <a:extLst>
              <a:ext uri="{FF2B5EF4-FFF2-40B4-BE49-F238E27FC236}">
                <a16:creationId xmlns:a16="http://schemas.microsoft.com/office/drawing/2014/main" id="{00000000-0008-0000-0200-0000250100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94" name="$E$137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95" name="$E$137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96" name="$E$137">
            <a:extLst>
              <a:ext uri="{FF2B5EF4-FFF2-40B4-BE49-F238E27FC236}">
                <a16:creationId xmlns:a16="http://schemas.microsoft.com/office/drawing/2014/main" id="{00000000-0008-0000-0200-00002801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97" name="$E$137">
            <a:extLst>
              <a:ext uri="{FF2B5EF4-FFF2-40B4-BE49-F238E27FC236}">
                <a16:creationId xmlns:a16="http://schemas.microsoft.com/office/drawing/2014/main" id="{00000000-0008-0000-0200-000029010000}"/>
              </a:ext>
            </a:extLst>
          </xdr:cNvPr>
          <xdr:cNvSpPr/>
        </xdr:nvSpPr>
        <xdr:spPr>
          <a:xfrm>
            <a:off x="330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98" name="$E$137">
            <a:extLst>
              <a:ext uri="{FF2B5EF4-FFF2-40B4-BE49-F238E27FC236}">
                <a16:creationId xmlns:a16="http://schemas.microsoft.com/office/drawing/2014/main" id="{00000000-0008-0000-0200-00002A0100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299" name="$E$137">
            <a:extLst>
              <a:ext uri="{FF2B5EF4-FFF2-40B4-BE49-F238E27FC236}">
                <a16:creationId xmlns:a16="http://schemas.microsoft.com/office/drawing/2014/main" id="{00000000-0008-0000-0200-00002B010000}"/>
              </a:ext>
            </a:extLst>
          </xdr:cNvPr>
          <xdr:cNvSpPr/>
        </xdr:nvSpPr>
        <xdr:spPr>
          <a:xfrm>
            <a:off x="406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00" name="$E$137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01" name="$E$137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02" name="$E$137">
            <a:extLst>
              <a:ext uri="{FF2B5EF4-FFF2-40B4-BE49-F238E27FC236}">
                <a16:creationId xmlns:a16="http://schemas.microsoft.com/office/drawing/2014/main" id="{00000000-0008-0000-0200-00002E0100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03" name="$E$137">
            <a:extLst>
              <a:ext uri="{FF2B5EF4-FFF2-40B4-BE49-F238E27FC236}">
                <a16:creationId xmlns:a16="http://schemas.microsoft.com/office/drawing/2014/main" id="{00000000-0008-0000-0200-00002F010000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04" name="$E$137">
            <a:extLst>
              <a:ext uri="{FF2B5EF4-FFF2-40B4-BE49-F238E27FC236}">
                <a16:creationId xmlns:a16="http://schemas.microsoft.com/office/drawing/2014/main" id="{00000000-0008-0000-0200-0000300100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05" name="$E$137">
            <a:extLst>
              <a:ext uri="{FF2B5EF4-FFF2-40B4-BE49-F238E27FC236}">
                <a16:creationId xmlns:a16="http://schemas.microsoft.com/office/drawing/2014/main" id="{00000000-0008-0000-0200-0000310100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06" name="$E$137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07" name="$E$137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08" name="$E$137">
            <a:extLst>
              <a:ext uri="{FF2B5EF4-FFF2-40B4-BE49-F238E27FC236}">
                <a16:creationId xmlns:a16="http://schemas.microsoft.com/office/drawing/2014/main" id="{00000000-0008-0000-0200-00003401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09" name="$E$137">
            <a:extLst>
              <a:ext uri="{FF2B5EF4-FFF2-40B4-BE49-F238E27FC236}">
                <a16:creationId xmlns:a16="http://schemas.microsoft.com/office/drawing/2014/main" id="{00000000-0008-0000-0200-00003501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10" name="$E$137">
            <a:extLst>
              <a:ext uri="{FF2B5EF4-FFF2-40B4-BE49-F238E27FC236}">
                <a16:creationId xmlns:a16="http://schemas.microsoft.com/office/drawing/2014/main" id="{00000000-0008-0000-0200-0000360100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11" name="$E$137">
            <a:extLst>
              <a:ext uri="{FF2B5EF4-FFF2-40B4-BE49-F238E27FC236}">
                <a16:creationId xmlns:a16="http://schemas.microsoft.com/office/drawing/2014/main" id="{00000000-0008-0000-0200-0000370100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12" name="$E$137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13" name="$E$137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/>
        </xdr:nvSpPr>
        <xdr:spPr>
          <a:xfrm>
            <a:off x="381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14" name="$E$137">
            <a:extLst>
              <a:ext uri="{FF2B5EF4-FFF2-40B4-BE49-F238E27FC236}">
                <a16:creationId xmlns:a16="http://schemas.microsoft.com/office/drawing/2014/main" id="{00000000-0008-0000-0200-00003A0100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15" name="$E$137">
            <a:extLst>
              <a:ext uri="{FF2B5EF4-FFF2-40B4-BE49-F238E27FC236}">
                <a16:creationId xmlns:a16="http://schemas.microsoft.com/office/drawing/2014/main" id="{00000000-0008-0000-0200-00003B01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16" name="$E$137">
            <a:extLst>
              <a:ext uri="{FF2B5EF4-FFF2-40B4-BE49-F238E27FC236}">
                <a16:creationId xmlns:a16="http://schemas.microsoft.com/office/drawing/2014/main" id="{00000000-0008-0000-0200-00003C010000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17" name="$E$137">
            <a:extLst>
              <a:ext uri="{FF2B5EF4-FFF2-40B4-BE49-F238E27FC236}">
                <a16:creationId xmlns:a16="http://schemas.microsoft.com/office/drawing/2014/main" id="{00000000-0008-0000-0200-00003D01000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18" name="$E$137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19" name="$E$137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20" name="$E$137">
            <a:extLst>
              <a:ext uri="{FF2B5EF4-FFF2-40B4-BE49-F238E27FC236}">
                <a16:creationId xmlns:a16="http://schemas.microsoft.com/office/drawing/2014/main" id="{00000000-0008-0000-0200-000040010000}"/>
              </a:ext>
            </a:extLst>
          </xdr:cNvPr>
          <xdr:cNvSpPr/>
        </xdr:nvSpPr>
        <xdr:spPr>
          <a:xfrm>
            <a:off x="266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21" name="$E$137">
            <a:extLst>
              <a:ext uri="{FF2B5EF4-FFF2-40B4-BE49-F238E27FC236}">
                <a16:creationId xmlns:a16="http://schemas.microsoft.com/office/drawing/2014/main" id="{00000000-0008-0000-0200-0000410100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22" name="$E$137">
            <a:extLst>
              <a:ext uri="{FF2B5EF4-FFF2-40B4-BE49-F238E27FC236}">
                <a16:creationId xmlns:a16="http://schemas.microsoft.com/office/drawing/2014/main" id="{00000000-0008-0000-0200-000042010000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23" name="$E$137">
            <a:extLst>
              <a:ext uri="{FF2B5EF4-FFF2-40B4-BE49-F238E27FC236}">
                <a16:creationId xmlns:a16="http://schemas.microsoft.com/office/drawing/2014/main" id="{00000000-0008-0000-0200-0000430100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24" name="$E$137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25" name="$E$137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26" name="$E$137">
            <a:extLst>
              <a:ext uri="{FF2B5EF4-FFF2-40B4-BE49-F238E27FC236}">
                <a16:creationId xmlns:a16="http://schemas.microsoft.com/office/drawing/2014/main" id="{00000000-0008-0000-0200-000046010000}"/>
              </a:ext>
            </a:extLst>
          </xdr:cNvPr>
          <xdr:cNvSpPr/>
        </xdr:nvSpPr>
        <xdr:spPr>
          <a:xfrm>
            <a:off x="406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27" name="$E$137">
            <a:extLst>
              <a:ext uri="{FF2B5EF4-FFF2-40B4-BE49-F238E27FC236}">
                <a16:creationId xmlns:a16="http://schemas.microsoft.com/office/drawing/2014/main" id="{00000000-0008-0000-0200-00004701000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28" name="$E$137">
            <a:extLst>
              <a:ext uri="{FF2B5EF4-FFF2-40B4-BE49-F238E27FC236}">
                <a16:creationId xmlns:a16="http://schemas.microsoft.com/office/drawing/2014/main" id="{00000000-0008-0000-0200-0000480100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29" name="$E$137">
            <a:extLst>
              <a:ext uri="{FF2B5EF4-FFF2-40B4-BE49-F238E27FC236}">
                <a16:creationId xmlns:a16="http://schemas.microsoft.com/office/drawing/2014/main" id="{00000000-0008-0000-0200-0000490100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30" name="$E$137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31" name="$E$137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32" name="$E$137">
            <a:extLst>
              <a:ext uri="{FF2B5EF4-FFF2-40B4-BE49-F238E27FC236}">
                <a16:creationId xmlns:a16="http://schemas.microsoft.com/office/drawing/2014/main" id="{00000000-0008-0000-0200-00004C0100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33" name="$E$137">
            <a:extLst>
              <a:ext uri="{FF2B5EF4-FFF2-40B4-BE49-F238E27FC236}">
                <a16:creationId xmlns:a16="http://schemas.microsoft.com/office/drawing/2014/main" id="{00000000-0008-0000-0200-00004D010000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34" name="$E$137">
            <a:extLst>
              <a:ext uri="{FF2B5EF4-FFF2-40B4-BE49-F238E27FC236}">
                <a16:creationId xmlns:a16="http://schemas.microsoft.com/office/drawing/2014/main" id="{00000000-0008-0000-0200-00004E0100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35" name="$E$137">
            <a:extLst>
              <a:ext uri="{FF2B5EF4-FFF2-40B4-BE49-F238E27FC236}">
                <a16:creationId xmlns:a16="http://schemas.microsoft.com/office/drawing/2014/main" id="{00000000-0008-0000-0200-00004F0100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36" name="$E$137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SpPr/>
        </xdr:nvSpPr>
        <xdr:spPr>
          <a:xfrm>
            <a:off x="292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37" name="$E$137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38" name="$E$137">
            <a:extLst>
              <a:ext uri="{FF2B5EF4-FFF2-40B4-BE49-F238E27FC236}">
                <a16:creationId xmlns:a16="http://schemas.microsoft.com/office/drawing/2014/main" id="{00000000-0008-0000-0200-00005201000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39" name="$E$137">
            <a:extLst>
              <a:ext uri="{FF2B5EF4-FFF2-40B4-BE49-F238E27FC236}">
                <a16:creationId xmlns:a16="http://schemas.microsoft.com/office/drawing/2014/main" id="{00000000-0008-0000-0200-0000530100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40" name="$E$137">
            <a:extLst>
              <a:ext uri="{FF2B5EF4-FFF2-40B4-BE49-F238E27FC236}">
                <a16:creationId xmlns:a16="http://schemas.microsoft.com/office/drawing/2014/main" id="{00000000-0008-0000-0200-000054010000}"/>
              </a:ext>
            </a:extLst>
          </xdr:cNvPr>
          <xdr:cNvSpPr/>
        </xdr:nvSpPr>
        <xdr:spPr>
          <a:xfrm>
            <a:off x="355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41" name="$E$137">
            <a:extLst>
              <a:ext uri="{FF2B5EF4-FFF2-40B4-BE49-F238E27FC236}">
                <a16:creationId xmlns:a16="http://schemas.microsoft.com/office/drawing/2014/main" id="{00000000-0008-0000-0200-000055010000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42" name="$E$137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43" name="$E$137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44" name="$E$137">
            <a:extLst>
              <a:ext uri="{FF2B5EF4-FFF2-40B4-BE49-F238E27FC236}">
                <a16:creationId xmlns:a16="http://schemas.microsoft.com/office/drawing/2014/main" id="{00000000-0008-0000-0200-0000580100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45" name="$E$137">
            <a:extLst>
              <a:ext uri="{FF2B5EF4-FFF2-40B4-BE49-F238E27FC236}">
                <a16:creationId xmlns:a16="http://schemas.microsoft.com/office/drawing/2014/main" id="{00000000-0008-0000-0200-00005901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46" name="$E$137">
            <a:extLst>
              <a:ext uri="{FF2B5EF4-FFF2-40B4-BE49-F238E27FC236}">
                <a16:creationId xmlns:a16="http://schemas.microsoft.com/office/drawing/2014/main" id="{00000000-0008-0000-0200-00005A010000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47" name="$E$137">
            <a:extLst>
              <a:ext uri="{FF2B5EF4-FFF2-40B4-BE49-F238E27FC236}">
                <a16:creationId xmlns:a16="http://schemas.microsoft.com/office/drawing/2014/main" id="{00000000-0008-0000-0200-00005B0100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48" name="$E$137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49" name="$E$137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50" name="$E$137">
            <a:extLst>
              <a:ext uri="{FF2B5EF4-FFF2-40B4-BE49-F238E27FC236}">
                <a16:creationId xmlns:a16="http://schemas.microsoft.com/office/drawing/2014/main" id="{00000000-0008-0000-0200-00005E0100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51" name="$E$137">
            <a:extLst>
              <a:ext uri="{FF2B5EF4-FFF2-40B4-BE49-F238E27FC236}">
                <a16:creationId xmlns:a16="http://schemas.microsoft.com/office/drawing/2014/main" id="{00000000-0008-0000-0200-00005F010000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52" name="$E$137">
            <a:extLst>
              <a:ext uri="{FF2B5EF4-FFF2-40B4-BE49-F238E27FC236}">
                <a16:creationId xmlns:a16="http://schemas.microsoft.com/office/drawing/2014/main" id="{00000000-0008-0000-0200-0000600100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53" name="$E$137">
            <a:extLst>
              <a:ext uri="{FF2B5EF4-FFF2-40B4-BE49-F238E27FC236}">
                <a16:creationId xmlns:a16="http://schemas.microsoft.com/office/drawing/2014/main" id="{00000000-0008-0000-0200-0000610100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54" name="$E$137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55" name="$E$137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/>
        </xdr:nvSpPr>
        <xdr:spPr>
          <a:xfrm>
            <a:off x="342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56" name="$E$137">
            <a:extLst>
              <a:ext uri="{FF2B5EF4-FFF2-40B4-BE49-F238E27FC236}">
                <a16:creationId xmlns:a16="http://schemas.microsoft.com/office/drawing/2014/main" id="{00000000-0008-0000-0200-000064010000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57" name="$E$137">
            <a:extLst>
              <a:ext uri="{FF2B5EF4-FFF2-40B4-BE49-F238E27FC236}">
                <a16:creationId xmlns:a16="http://schemas.microsoft.com/office/drawing/2014/main" id="{00000000-0008-0000-0200-000065010000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58" name="$E$137">
            <a:extLst>
              <a:ext uri="{FF2B5EF4-FFF2-40B4-BE49-F238E27FC236}">
                <a16:creationId xmlns:a16="http://schemas.microsoft.com/office/drawing/2014/main" id="{00000000-0008-0000-0200-000066010000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59" name="$E$137">
            <a:extLst>
              <a:ext uri="{FF2B5EF4-FFF2-40B4-BE49-F238E27FC236}">
                <a16:creationId xmlns:a16="http://schemas.microsoft.com/office/drawing/2014/main" id="{00000000-0008-0000-0200-000067010000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60" name="$E$137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SpPr/>
        </xdr:nvSpPr>
        <xdr:spPr>
          <a:xfrm>
            <a:off x="88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61" name="$E$137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62" name="$E$137">
            <a:extLst>
              <a:ext uri="{FF2B5EF4-FFF2-40B4-BE49-F238E27FC236}">
                <a16:creationId xmlns:a16="http://schemas.microsoft.com/office/drawing/2014/main" id="{00000000-0008-0000-0200-00006A010000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63" name="$E$137">
            <a:extLst>
              <a:ext uri="{FF2B5EF4-FFF2-40B4-BE49-F238E27FC236}">
                <a16:creationId xmlns:a16="http://schemas.microsoft.com/office/drawing/2014/main" id="{00000000-0008-0000-0200-00006B0100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64" name="$E$137">
            <a:extLst>
              <a:ext uri="{FF2B5EF4-FFF2-40B4-BE49-F238E27FC236}">
                <a16:creationId xmlns:a16="http://schemas.microsoft.com/office/drawing/2014/main" id="{00000000-0008-0000-0200-00006C010000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65" name="$E$137">
            <a:extLst>
              <a:ext uri="{FF2B5EF4-FFF2-40B4-BE49-F238E27FC236}">
                <a16:creationId xmlns:a16="http://schemas.microsoft.com/office/drawing/2014/main" id="{00000000-0008-0000-0200-00006D010000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66" name="$E$137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67" name="$E$137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68" name="$E$13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69" name="$E$137">
            <a:extLst>
              <a:ext uri="{FF2B5EF4-FFF2-40B4-BE49-F238E27FC236}">
                <a16:creationId xmlns:a16="http://schemas.microsoft.com/office/drawing/2014/main" id="{00000000-0008-0000-0200-000071010000}"/>
              </a:ext>
            </a:extLst>
          </xdr:cNvPr>
          <xdr:cNvSpPr/>
        </xdr:nvSpPr>
        <xdr:spPr>
          <a:xfrm>
            <a:off x="381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70" name="$E$137">
            <a:extLst>
              <a:ext uri="{FF2B5EF4-FFF2-40B4-BE49-F238E27FC236}">
                <a16:creationId xmlns:a16="http://schemas.microsoft.com/office/drawing/2014/main" id="{00000000-0008-0000-0200-000072010000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71" name="$E$137">
            <a:extLst>
              <a:ext uri="{FF2B5EF4-FFF2-40B4-BE49-F238E27FC236}">
                <a16:creationId xmlns:a16="http://schemas.microsoft.com/office/drawing/2014/main" id="{00000000-0008-0000-0200-0000730100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72" name="$E$137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73" name="$E$137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74" name="$E$137">
            <a:extLst>
              <a:ext uri="{FF2B5EF4-FFF2-40B4-BE49-F238E27FC236}">
                <a16:creationId xmlns:a16="http://schemas.microsoft.com/office/drawing/2014/main" id="{00000000-0008-0000-0200-0000760100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75" name="$E$137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76" name="$E$137">
            <a:extLst>
              <a:ext uri="{FF2B5EF4-FFF2-40B4-BE49-F238E27FC236}">
                <a16:creationId xmlns:a16="http://schemas.microsoft.com/office/drawing/2014/main" id="{00000000-0008-0000-0200-000078010000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77" name="$E$137">
            <a:extLst>
              <a:ext uri="{FF2B5EF4-FFF2-40B4-BE49-F238E27FC236}">
                <a16:creationId xmlns:a16="http://schemas.microsoft.com/office/drawing/2014/main" id="{00000000-0008-0000-0200-000079010000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78" name="$E$137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79" name="$E$137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/>
        </xdr:nvSpPr>
        <xdr:spPr>
          <a:xfrm>
            <a:off x="241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80" name="$E$13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81" name="$E$137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82" name="$E$137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/>
        </xdr:nvSpPr>
        <xdr:spPr>
          <a:xfrm>
            <a:off x="330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83" name="$E$137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84" name="$E$13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SpPr/>
        </xdr:nvSpPr>
        <xdr:spPr>
          <a:xfrm>
            <a:off x="406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85" name="$E$137">
            <a:extLst>
              <a:ext uri="{FF2B5EF4-FFF2-40B4-BE49-F238E27FC236}">
                <a16:creationId xmlns:a16="http://schemas.microsoft.com/office/drawing/2014/main" id="{00000000-0008-0000-0200-000081010000}"/>
              </a:ext>
            </a:extLst>
          </xdr:cNvPr>
          <xdr:cNvSpPr/>
        </xdr:nvSpPr>
        <xdr:spPr>
          <a:xfrm>
            <a:off x="12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86" name="$E$137">
            <a:extLst>
              <a:ext uri="{FF2B5EF4-FFF2-40B4-BE49-F238E27FC236}">
                <a16:creationId xmlns:a16="http://schemas.microsoft.com/office/drawing/2014/main" id="{00000000-0008-0000-0200-000082010000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87" name="$E$137">
            <a:extLst>
              <a:ext uri="{FF2B5EF4-FFF2-40B4-BE49-F238E27FC236}">
                <a16:creationId xmlns:a16="http://schemas.microsoft.com/office/drawing/2014/main" id="{00000000-0008-0000-0200-000083010000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88" name="$E$137">
            <a:extLst>
              <a:ext uri="{FF2B5EF4-FFF2-40B4-BE49-F238E27FC236}">
                <a16:creationId xmlns:a16="http://schemas.microsoft.com/office/drawing/2014/main" id="{00000000-0008-0000-0200-000084010000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89" name="$E$137">
            <a:extLst>
              <a:ext uri="{FF2B5EF4-FFF2-40B4-BE49-F238E27FC236}">
                <a16:creationId xmlns:a16="http://schemas.microsoft.com/office/drawing/2014/main" id="{00000000-0008-0000-0200-000085010000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90" name="$E$137">
            <a:extLst>
              <a:ext uri="{FF2B5EF4-FFF2-40B4-BE49-F238E27FC236}">
                <a16:creationId xmlns:a16="http://schemas.microsoft.com/office/drawing/2014/main" id="{00000000-0008-0000-0200-0000860100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91" name="$E$137">
            <a:extLst>
              <a:ext uri="{FF2B5EF4-FFF2-40B4-BE49-F238E27FC236}">
                <a16:creationId xmlns:a16="http://schemas.microsoft.com/office/drawing/2014/main" id="{00000000-0008-0000-0200-000087010000}"/>
              </a:ext>
            </a:extLst>
          </xdr:cNvPr>
          <xdr:cNvSpPr/>
        </xdr:nvSpPr>
        <xdr:spPr>
          <a:xfrm>
            <a:off x="165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92" name="$E$137">
            <a:extLst>
              <a:ext uri="{FF2B5EF4-FFF2-40B4-BE49-F238E27FC236}">
                <a16:creationId xmlns:a16="http://schemas.microsoft.com/office/drawing/2014/main" id="{00000000-0008-0000-0200-0000880100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93" name="$E$137">
            <a:extLst>
              <a:ext uri="{FF2B5EF4-FFF2-40B4-BE49-F238E27FC236}">
                <a16:creationId xmlns:a16="http://schemas.microsoft.com/office/drawing/2014/main" id="{00000000-0008-0000-0200-000089010000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94" name="$E$137">
            <a:extLst>
              <a:ext uri="{FF2B5EF4-FFF2-40B4-BE49-F238E27FC236}">
                <a16:creationId xmlns:a16="http://schemas.microsoft.com/office/drawing/2014/main" id="{00000000-0008-0000-0200-00008A010000}"/>
              </a:ext>
            </a:extLst>
          </xdr:cNvPr>
          <xdr:cNvSpPr/>
        </xdr:nvSpPr>
        <xdr:spPr>
          <a:xfrm>
            <a:off x="241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95" name="$E$137">
            <a:extLst>
              <a:ext uri="{FF2B5EF4-FFF2-40B4-BE49-F238E27FC236}">
                <a16:creationId xmlns:a16="http://schemas.microsoft.com/office/drawing/2014/main" id="{00000000-0008-0000-0200-00008B0100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96" name="$E$137">
            <a:extLst>
              <a:ext uri="{FF2B5EF4-FFF2-40B4-BE49-F238E27FC236}">
                <a16:creationId xmlns:a16="http://schemas.microsoft.com/office/drawing/2014/main" id="{00000000-0008-0000-0200-00008C010000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97" name="$E$137">
            <a:extLst>
              <a:ext uri="{FF2B5EF4-FFF2-40B4-BE49-F238E27FC236}">
                <a16:creationId xmlns:a16="http://schemas.microsoft.com/office/drawing/2014/main" id="{00000000-0008-0000-0200-00008D0100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98" name="$E$137">
            <a:extLst>
              <a:ext uri="{FF2B5EF4-FFF2-40B4-BE49-F238E27FC236}">
                <a16:creationId xmlns:a16="http://schemas.microsoft.com/office/drawing/2014/main" id="{00000000-0008-0000-0200-00008E010000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99" name="$E$137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00" name="$E$137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01" name="$E$13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/>
        </xdr:nvSpPr>
        <xdr:spPr>
          <a:xfrm>
            <a:off x="406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02" name="$E$137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03" name="$E$137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04" name="$E$137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05" name="$E$13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06" name="$E$137">
            <a:extLst>
              <a:ext uri="{FF2B5EF4-FFF2-40B4-BE49-F238E27FC236}">
                <a16:creationId xmlns:a16="http://schemas.microsoft.com/office/drawing/2014/main" id="{00000000-0008-0000-0200-000096010000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07" name="$E$137">
            <a:extLst>
              <a:ext uri="{FF2B5EF4-FFF2-40B4-BE49-F238E27FC236}">
                <a16:creationId xmlns:a16="http://schemas.microsoft.com/office/drawing/2014/main" id="{00000000-0008-0000-0200-0000970100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08" name="$E$137">
            <a:extLst>
              <a:ext uri="{FF2B5EF4-FFF2-40B4-BE49-F238E27FC236}">
                <a16:creationId xmlns:a16="http://schemas.microsoft.com/office/drawing/2014/main" id="{00000000-0008-0000-0200-000098010000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09" name="$E$137">
            <a:extLst>
              <a:ext uri="{FF2B5EF4-FFF2-40B4-BE49-F238E27FC236}">
                <a16:creationId xmlns:a16="http://schemas.microsoft.com/office/drawing/2014/main" id="{00000000-0008-0000-0200-000099010000}"/>
              </a:ext>
            </a:extLst>
          </xdr:cNvPr>
          <xdr:cNvSpPr/>
        </xdr:nvSpPr>
        <xdr:spPr>
          <a:xfrm>
            <a:off x="177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10" name="$E$137">
            <a:extLst>
              <a:ext uri="{FF2B5EF4-FFF2-40B4-BE49-F238E27FC236}">
                <a16:creationId xmlns:a16="http://schemas.microsoft.com/office/drawing/2014/main" id="{00000000-0008-0000-0200-00009A0100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11" name="$E$137">
            <a:extLst>
              <a:ext uri="{FF2B5EF4-FFF2-40B4-BE49-F238E27FC236}">
                <a16:creationId xmlns:a16="http://schemas.microsoft.com/office/drawing/2014/main" id="{00000000-0008-0000-0200-00009B010000}"/>
              </a:ext>
            </a:extLst>
          </xdr:cNvPr>
          <xdr:cNvSpPr/>
        </xdr:nvSpPr>
        <xdr:spPr>
          <a:xfrm>
            <a:off x="203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12" name="$E$137">
            <a:extLst>
              <a:ext uri="{FF2B5EF4-FFF2-40B4-BE49-F238E27FC236}">
                <a16:creationId xmlns:a16="http://schemas.microsoft.com/office/drawing/2014/main" id="{00000000-0008-0000-0200-00009C0100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13" name="$E$137">
            <a:extLst>
              <a:ext uri="{FF2B5EF4-FFF2-40B4-BE49-F238E27FC236}">
                <a16:creationId xmlns:a16="http://schemas.microsoft.com/office/drawing/2014/main" id="{00000000-0008-0000-0200-00009D0100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14" name="$E$137">
            <a:extLst>
              <a:ext uri="{FF2B5EF4-FFF2-40B4-BE49-F238E27FC236}">
                <a16:creationId xmlns:a16="http://schemas.microsoft.com/office/drawing/2014/main" id="{00000000-0008-0000-0200-00009E0100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15" name="$E$137">
            <a:extLst>
              <a:ext uri="{FF2B5EF4-FFF2-40B4-BE49-F238E27FC236}">
                <a16:creationId xmlns:a16="http://schemas.microsoft.com/office/drawing/2014/main" id="{00000000-0008-0000-0200-00009F0100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16" name="$E$137">
            <a:extLst>
              <a:ext uri="{FF2B5EF4-FFF2-40B4-BE49-F238E27FC236}">
                <a16:creationId xmlns:a16="http://schemas.microsoft.com/office/drawing/2014/main" id="{00000000-0008-0000-0200-0000A00100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17" name="$E$137">
            <a:extLst>
              <a:ext uri="{FF2B5EF4-FFF2-40B4-BE49-F238E27FC236}">
                <a16:creationId xmlns:a16="http://schemas.microsoft.com/office/drawing/2014/main" id="{00000000-0008-0000-0200-0000A101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18" name="$E$137">
            <a:extLst>
              <a:ext uri="{FF2B5EF4-FFF2-40B4-BE49-F238E27FC236}">
                <a16:creationId xmlns:a16="http://schemas.microsoft.com/office/drawing/2014/main" id="{00000000-0008-0000-0200-0000A201000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19" name="$E$137">
            <a:extLst>
              <a:ext uri="{FF2B5EF4-FFF2-40B4-BE49-F238E27FC236}">
                <a16:creationId xmlns:a16="http://schemas.microsoft.com/office/drawing/2014/main" id="{00000000-0008-0000-0200-0000A30100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20" name="$E$137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21" name="$E$137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22" name="$E$13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23" name="$E$137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24" name="$E$137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25" name="$E$137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/>
        </xdr:nvSpPr>
        <xdr:spPr>
          <a:xfrm>
            <a:off x="215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26" name="$E$13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27" name="$E$137">
            <a:extLst>
              <a:ext uri="{FF2B5EF4-FFF2-40B4-BE49-F238E27FC236}">
                <a16:creationId xmlns:a16="http://schemas.microsoft.com/office/drawing/2014/main" id="{00000000-0008-0000-0200-0000AB0100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28" name="$E$137">
            <a:extLst>
              <a:ext uri="{FF2B5EF4-FFF2-40B4-BE49-F238E27FC236}">
                <a16:creationId xmlns:a16="http://schemas.microsoft.com/office/drawing/2014/main" id="{00000000-0008-0000-0200-0000AC0100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29" name="$E$137">
            <a:extLst>
              <a:ext uri="{FF2B5EF4-FFF2-40B4-BE49-F238E27FC236}">
                <a16:creationId xmlns:a16="http://schemas.microsoft.com/office/drawing/2014/main" id="{00000000-0008-0000-0200-0000AD010000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30" name="$E$137">
            <a:extLst>
              <a:ext uri="{FF2B5EF4-FFF2-40B4-BE49-F238E27FC236}">
                <a16:creationId xmlns:a16="http://schemas.microsoft.com/office/drawing/2014/main" id="{00000000-0008-0000-0200-0000AE0100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31" name="$E$137">
            <a:extLst>
              <a:ext uri="{FF2B5EF4-FFF2-40B4-BE49-F238E27FC236}">
                <a16:creationId xmlns:a16="http://schemas.microsoft.com/office/drawing/2014/main" id="{00000000-0008-0000-0200-0000AF01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32" name="$E$137">
            <a:extLst>
              <a:ext uri="{FF2B5EF4-FFF2-40B4-BE49-F238E27FC236}">
                <a16:creationId xmlns:a16="http://schemas.microsoft.com/office/drawing/2014/main" id="{00000000-0008-0000-0200-0000B0010000}"/>
              </a:ext>
            </a:extLst>
          </xdr:cNvPr>
          <xdr:cNvSpPr/>
        </xdr:nvSpPr>
        <xdr:spPr>
          <a:xfrm>
            <a:off x="368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33" name="$E$137">
            <a:extLst>
              <a:ext uri="{FF2B5EF4-FFF2-40B4-BE49-F238E27FC236}">
                <a16:creationId xmlns:a16="http://schemas.microsoft.com/office/drawing/2014/main" id="{00000000-0008-0000-0200-0000B1010000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34" name="$E$137">
            <a:extLst>
              <a:ext uri="{FF2B5EF4-FFF2-40B4-BE49-F238E27FC236}">
                <a16:creationId xmlns:a16="http://schemas.microsoft.com/office/drawing/2014/main" id="{00000000-0008-0000-0200-0000B201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35" name="$E$137">
            <a:extLst>
              <a:ext uri="{FF2B5EF4-FFF2-40B4-BE49-F238E27FC236}">
                <a16:creationId xmlns:a16="http://schemas.microsoft.com/office/drawing/2014/main" id="{00000000-0008-0000-0200-0000B3010000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36" name="$E$137">
            <a:extLst>
              <a:ext uri="{FF2B5EF4-FFF2-40B4-BE49-F238E27FC236}">
                <a16:creationId xmlns:a16="http://schemas.microsoft.com/office/drawing/2014/main" id="{00000000-0008-0000-0200-0000B40100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37" name="$E$137">
            <a:extLst>
              <a:ext uri="{FF2B5EF4-FFF2-40B4-BE49-F238E27FC236}">
                <a16:creationId xmlns:a16="http://schemas.microsoft.com/office/drawing/2014/main" id="{00000000-0008-0000-0200-0000B501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38" name="$E$137">
            <a:extLst>
              <a:ext uri="{FF2B5EF4-FFF2-40B4-BE49-F238E27FC236}">
                <a16:creationId xmlns:a16="http://schemas.microsoft.com/office/drawing/2014/main" id="{00000000-0008-0000-0200-0000B60100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39" name="$E$137">
            <a:extLst>
              <a:ext uri="{FF2B5EF4-FFF2-40B4-BE49-F238E27FC236}">
                <a16:creationId xmlns:a16="http://schemas.microsoft.com/office/drawing/2014/main" id="{00000000-0008-0000-0200-0000B7010000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40" name="$E$137">
            <a:extLst>
              <a:ext uri="{FF2B5EF4-FFF2-40B4-BE49-F238E27FC236}">
                <a16:creationId xmlns:a16="http://schemas.microsoft.com/office/drawing/2014/main" id="{00000000-0008-0000-0200-0000B801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41" name="$E$137">
            <a:extLst>
              <a:ext uri="{FF2B5EF4-FFF2-40B4-BE49-F238E27FC236}">
                <a16:creationId xmlns:a16="http://schemas.microsoft.com/office/drawing/2014/main" id="{00000000-0008-0000-0200-0000B901000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42" name="$E$137">
            <a:extLst>
              <a:ext uri="{FF2B5EF4-FFF2-40B4-BE49-F238E27FC236}">
                <a16:creationId xmlns:a16="http://schemas.microsoft.com/office/drawing/2014/main" id="{00000000-0008-0000-0200-0000BA0100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43" name="$E$137">
            <a:extLst>
              <a:ext uri="{FF2B5EF4-FFF2-40B4-BE49-F238E27FC236}">
                <a16:creationId xmlns:a16="http://schemas.microsoft.com/office/drawing/2014/main" id="{00000000-0008-0000-0200-0000BB0100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44" name="$E$137">
            <a:extLst>
              <a:ext uri="{FF2B5EF4-FFF2-40B4-BE49-F238E27FC236}">
                <a16:creationId xmlns:a16="http://schemas.microsoft.com/office/drawing/2014/main" id="{00000000-0008-0000-0200-0000BC0100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45" name="$E$137">
            <a:extLst>
              <a:ext uri="{FF2B5EF4-FFF2-40B4-BE49-F238E27FC236}">
                <a16:creationId xmlns:a16="http://schemas.microsoft.com/office/drawing/2014/main" id="{00000000-0008-0000-0200-0000BD0100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46" name="$E$137">
            <a:extLst>
              <a:ext uri="{FF2B5EF4-FFF2-40B4-BE49-F238E27FC236}">
                <a16:creationId xmlns:a16="http://schemas.microsoft.com/office/drawing/2014/main" id="{00000000-0008-0000-0200-0000BE0100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47" name="$E$137">
            <a:extLst>
              <a:ext uri="{FF2B5EF4-FFF2-40B4-BE49-F238E27FC236}">
                <a16:creationId xmlns:a16="http://schemas.microsoft.com/office/drawing/2014/main" id="{00000000-0008-0000-0200-0000BF0100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48" name="$E$137">
            <a:extLst>
              <a:ext uri="{FF2B5EF4-FFF2-40B4-BE49-F238E27FC236}">
                <a16:creationId xmlns:a16="http://schemas.microsoft.com/office/drawing/2014/main" id="{00000000-0008-0000-0200-0000C00100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49" name="$E$137">
            <a:extLst>
              <a:ext uri="{FF2B5EF4-FFF2-40B4-BE49-F238E27FC236}">
                <a16:creationId xmlns:a16="http://schemas.microsoft.com/office/drawing/2014/main" id="{00000000-0008-0000-0200-0000C10100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50" name="$E$137">
            <a:extLst>
              <a:ext uri="{FF2B5EF4-FFF2-40B4-BE49-F238E27FC236}">
                <a16:creationId xmlns:a16="http://schemas.microsoft.com/office/drawing/2014/main" id="{00000000-0008-0000-0200-0000C201000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51" name="$E$137">
            <a:extLst>
              <a:ext uri="{FF2B5EF4-FFF2-40B4-BE49-F238E27FC236}">
                <a16:creationId xmlns:a16="http://schemas.microsoft.com/office/drawing/2014/main" id="{00000000-0008-0000-0200-0000C301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52" name="$E$137">
            <a:extLst>
              <a:ext uri="{FF2B5EF4-FFF2-40B4-BE49-F238E27FC236}">
                <a16:creationId xmlns:a16="http://schemas.microsoft.com/office/drawing/2014/main" id="{00000000-0008-0000-0200-0000C40100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53" name="$E$137">
            <a:extLst>
              <a:ext uri="{FF2B5EF4-FFF2-40B4-BE49-F238E27FC236}">
                <a16:creationId xmlns:a16="http://schemas.microsoft.com/office/drawing/2014/main" id="{00000000-0008-0000-0200-0000C5010000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54" name="$E$137">
            <a:extLst>
              <a:ext uri="{FF2B5EF4-FFF2-40B4-BE49-F238E27FC236}">
                <a16:creationId xmlns:a16="http://schemas.microsoft.com/office/drawing/2014/main" id="{00000000-0008-0000-0200-0000C601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55" name="$E$137">
            <a:extLst>
              <a:ext uri="{FF2B5EF4-FFF2-40B4-BE49-F238E27FC236}">
                <a16:creationId xmlns:a16="http://schemas.microsoft.com/office/drawing/2014/main" id="{00000000-0008-0000-0200-0000C70100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56" name="$E$137">
            <a:extLst>
              <a:ext uri="{FF2B5EF4-FFF2-40B4-BE49-F238E27FC236}">
                <a16:creationId xmlns:a16="http://schemas.microsoft.com/office/drawing/2014/main" id="{00000000-0008-0000-0200-0000C8010000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57" name="$E$137">
            <a:extLst>
              <a:ext uri="{FF2B5EF4-FFF2-40B4-BE49-F238E27FC236}">
                <a16:creationId xmlns:a16="http://schemas.microsoft.com/office/drawing/2014/main" id="{00000000-0008-0000-0200-0000C90100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58" name="$E$137">
            <a:extLst>
              <a:ext uri="{FF2B5EF4-FFF2-40B4-BE49-F238E27FC236}">
                <a16:creationId xmlns:a16="http://schemas.microsoft.com/office/drawing/2014/main" id="{00000000-0008-0000-0200-0000CA0100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59" name="$E$137">
            <a:extLst>
              <a:ext uri="{FF2B5EF4-FFF2-40B4-BE49-F238E27FC236}">
                <a16:creationId xmlns:a16="http://schemas.microsoft.com/office/drawing/2014/main" id="{00000000-0008-0000-0200-0000CB0100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60" name="$E$137">
            <a:extLst>
              <a:ext uri="{FF2B5EF4-FFF2-40B4-BE49-F238E27FC236}">
                <a16:creationId xmlns:a16="http://schemas.microsoft.com/office/drawing/2014/main" id="{00000000-0008-0000-0200-0000CC010000}"/>
              </a:ext>
            </a:extLst>
          </xdr:cNvPr>
          <xdr:cNvSpPr/>
        </xdr:nvSpPr>
        <xdr:spPr>
          <a:xfrm>
            <a:off x="215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61" name="$E$137">
            <a:extLst>
              <a:ext uri="{FF2B5EF4-FFF2-40B4-BE49-F238E27FC236}">
                <a16:creationId xmlns:a16="http://schemas.microsoft.com/office/drawing/2014/main" id="{00000000-0008-0000-0200-0000CD010000}"/>
              </a:ext>
            </a:extLst>
          </xdr:cNvPr>
          <xdr:cNvSpPr/>
        </xdr:nvSpPr>
        <xdr:spPr>
          <a:xfrm>
            <a:off x="228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62" name="$E$137">
            <a:extLst>
              <a:ext uri="{FF2B5EF4-FFF2-40B4-BE49-F238E27FC236}">
                <a16:creationId xmlns:a16="http://schemas.microsoft.com/office/drawing/2014/main" id="{00000000-0008-0000-0200-0000CE0100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63" name="$E$137">
            <a:extLst>
              <a:ext uri="{FF2B5EF4-FFF2-40B4-BE49-F238E27FC236}">
                <a16:creationId xmlns:a16="http://schemas.microsoft.com/office/drawing/2014/main" id="{00000000-0008-0000-0200-0000CF0100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64" name="$E$137">
            <a:extLst>
              <a:ext uri="{FF2B5EF4-FFF2-40B4-BE49-F238E27FC236}">
                <a16:creationId xmlns:a16="http://schemas.microsoft.com/office/drawing/2014/main" id="{00000000-0008-0000-0200-0000D00100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65" name="$E$137">
            <a:extLst>
              <a:ext uri="{FF2B5EF4-FFF2-40B4-BE49-F238E27FC236}">
                <a16:creationId xmlns:a16="http://schemas.microsoft.com/office/drawing/2014/main" id="{00000000-0008-0000-0200-0000D10100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66" name="$E$137">
            <a:extLst>
              <a:ext uri="{FF2B5EF4-FFF2-40B4-BE49-F238E27FC236}">
                <a16:creationId xmlns:a16="http://schemas.microsoft.com/office/drawing/2014/main" id="{00000000-0008-0000-0200-0000D2010000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67" name="$E$137">
            <a:extLst>
              <a:ext uri="{FF2B5EF4-FFF2-40B4-BE49-F238E27FC236}">
                <a16:creationId xmlns:a16="http://schemas.microsoft.com/office/drawing/2014/main" id="{00000000-0008-0000-0200-0000D301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68" name="$E$137">
            <a:extLst>
              <a:ext uri="{FF2B5EF4-FFF2-40B4-BE49-F238E27FC236}">
                <a16:creationId xmlns:a16="http://schemas.microsoft.com/office/drawing/2014/main" id="{00000000-0008-0000-0200-0000D40100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69" name="$E$137">
            <a:extLst>
              <a:ext uri="{FF2B5EF4-FFF2-40B4-BE49-F238E27FC236}">
                <a16:creationId xmlns:a16="http://schemas.microsoft.com/office/drawing/2014/main" id="{00000000-0008-0000-0200-0000D501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70" name="$E$137">
            <a:extLst>
              <a:ext uri="{FF2B5EF4-FFF2-40B4-BE49-F238E27FC236}">
                <a16:creationId xmlns:a16="http://schemas.microsoft.com/office/drawing/2014/main" id="{00000000-0008-0000-0200-0000D60100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71" name="$E$137">
            <a:extLst>
              <a:ext uri="{FF2B5EF4-FFF2-40B4-BE49-F238E27FC236}">
                <a16:creationId xmlns:a16="http://schemas.microsoft.com/office/drawing/2014/main" id="{00000000-0008-0000-0200-0000D701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72" name="$E$137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73" name="$E$137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74" name="$E$137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75" name="$E$137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76" name="$E$137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/>
        </xdr:nvSpPr>
        <xdr:spPr>
          <a:xfrm>
            <a:off x="254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77" name="$E$137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/>
        </xdr:nvSpPr>
        <xdr:spPr>
          <a:xfrm>
            <a:off x="266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78" name="$E$137">
            <a:extLst>
              <a:ext uri="{FF2B5EF4-FFF2-40B4-BE49-F238E27FC236}">
                <a16:creationId xmlns:a16="http://schemas.microsoft.com/office/drawing/2014/main" id="{00000000-0008-0000-0200-0000DE01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79" name="$E$137">
            <a:extLst>
              <a:ext uri="{FF2B5EF4-FFF2-40B4-BE49-F238E27FC236}">
                <a16:creationId xmlns:a16="http://schemas.microsoft.com/office/drawing/2014/main" id="{00000000-0008-0000-0200-0000DF01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80" name="$E$137">
            <a:extLst>
              <a:ext uri="{FF2B5EF4-FFF2-40B4-BE49-F238E27FC236}">
                <a16:creationId xmlns:a16="http://schemas.microsoft.com/office/drawing/2014/main" id="{00000000-0008-0000-0200-0000E0010000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81" name="$E$137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82" name="$E$137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83" name="$E$137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84" name="$E$137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85" name="$E$137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86" name="$E$137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87" name="$E$137">
            <a:extLst>
              <a:ext uri="{FF2B5EF4-FFF2-40B4-BE49-F238E27FC236}">
                <a16:creationId xmlns:a16="http://schemas.microsoft.com/office/drawing/2014/main" id="{00000000-0008-0000-0200-0000E7010000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88" name="$E$137">
            <a:extLst>
              <a:ext uri="{FF2B5EF4-FFF2-40B4-BE49-F238E27FC236}">
                <a16:creationId xmlns:a16="http://schemas.microsoft.com/office/drawing/2014/main" id="{00000000-0008-0000-0200-0000E8010000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89" name="$E$137">
            <a:extLst>
              <a:ext uri="{FF2B5EF4-FFF2-40B4-BE49-F238E27FC236}">
                <a16:creationId xmlns:a16="http://schemas.microsoft.com/office/drawing/2014/main" id="{00000000-0008-0000-0200-0000E901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90" name="$E$137">
            <a:extLst>
              <a:ext uri="{FF2B5EF4-FFF2-40B4-BE49-F238E27FC236}">
                <a16:creationId xmlns:a16="http://schemas.microsoft.com/office/drawing/2014/main" id="{00000000-0008-0000-0200-0000EA010000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91" name="$E$137">
            <a:extLst>
              <a:ext uri="{FF2B5EF4-FFF2-40B4-BE49-F238E27FC236}">
                <a16:creationId xmlns:a16="http://schemas.microsoft.com/office/drawing/2014/main" id="{00000000-0008-0000-0200-0000EB010000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92" name="$E$137">
            <a:extLst>
              <a:ext uri="{FF2B5EF4-FFF2-40B4-BE49-F238E27FC236}">
                <a16:creationId xmlns:a16="http://schemas.microsoft.com/office/drawing/2014/main" id="{00000000-0008-0000-0200-0000EC0100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93" name="$E$137">
            <a:extLst>
              <a:ext uri="{FF2B5EF4-FFF2-40B4-BE49-F238E27FC236}">
                <a16:creationId xmlns:a16="http://schemas.microsoft.com/office/drawing/2014/main" id="{00000000-0008-0000-0200-0000ED010000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94" name="$E$137">
            <a:extLst>
              <a:ext uri="{FF2B5EF4-FFF2-40B4-BE49-F238E27FC236}">
                <a16:creationId xmlns:a16="http://schemas.microsoft.com/office/drawing/2014/main" id="{00000000-0008-0000-0200-0000EE01000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95" name="$E$137">
            <a:extLst>
              <a:ext uri="{FF2B5EF4-FFF2-40B4-BE49-F238E27FC236}">
                <a16:creationId xmlns:a16="http://schemas.microsoft.com/office/drawing/2014/main" id="{00000000-0008-0000-0200-0000EF01000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96" name="$E$137">
            <a:extLst>
              <a:ext uri="{FF2B5EF4-FFF2-40B4-BE49-F238E27FC236}">
                <a16:creationId xmlns:a16="http://schemas.microsoft.com/office/drawing/2014/main" id="{00000000-0008-0000-0200-0000F0010000}"/>
              </a:ext>
            </a:extLst>
          </xdr:cNvPr>
          <xdr:cNvSpPr/>
        </xdr:nvSpPr>
        <xdr:spPr>
          <a:xfrm>
            <a:off x="304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97" name="$E$137">
            <a:extLst>
              <a:ext uri="{FF2B5EF4-FFF2-40B4-BE49-F238E27FC236}">
                <a16:creationId xmlns:a16="http://schemas.microsoft.com/office/drawing/2014/main" id="{00000000-0008-0000-0200-0000F1010000}"/>
              </a:ext>
            </a:extLst>
          </xdr:cNvPr>
          <xdr:cNvSpPr/>
        </xdr:nvSpPr>
        <xdr:spPr>
          <a:xfrm>
            <a:off x="330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98" name="$E$137">
            <a:extLst>
              <a:ext uri="{FF2B5EF4-FFF2-40B4-BE49-F238E27FC236}">
                <a16:creationId xmlns:a16="http://schemas.microsoft.com/office/drawing/2014/main" id="{00000000-0008-0000-0200-0000F201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99" name="$E$137">
            <a:extLst>
              <a:ext uri="{FF2B5EF4-FFF2-40B4-BE49-F238E27FC236}">
                <a16:creationId xmlns:a16="http://schemas.microsoft.com/office/drawing/2014/main" id="{00000000-0008-0000-0200-0000F3010000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00" name="$E$137">
            <a:extLst>
              <a:ext uri="{FF2B5EF4-FFF2-40B4-BE49-F238E27FC236}">
                <a16:creationId xmlns:a16="http://schemas.microsoft.com/office/drawing/2014/main" id="{00000000-0008-0000-0200-0000F4010000}"/>
              </a:ext>
            </a:extLst>
          </xdr:cNvPr>
          <xdr:cNvSpPr/>
        </xdr:nvSpPr>
        <xdr:spPr>
          <a:xfrm>
            <a:off x="393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01" name="$E$137">
            <a:extLst>
              <a:ext uri="{FF2B5EF4-FFF2-40B4-BE49-F238E27FC236}">
                <a16:creationId xmlns:a16="http://schemas.microsoft.com/office/drawing/2014/main" id="{00000000-0008-0000-0200-0000F5010000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02" name="$E$137">
            <a:extLst>
              <a:ext uri="{FF2B5EF4-FFF2-40B4-BE49-F238E27FC236}">
                <a16:creationId xmlns:a16="http://schemas.microsoft.com/office/drawing/2014/main" id="{00000000-0008-0000-0200-0000F601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03" name="$E$137">
            <a:extLst>
              <a:ext uri="{FF2B5EF4-FFF2-40B4-BE49-F238E27FC236}">
                <a16:creationId xmlns:a16="http://schemas.microsoft.com/office/drawing/2014/main" id="{00000000-0008-0000-0200-0000F701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04" name="$E$137">
            <a:extLst>
              <a:ext uri="{FF2B5EF4-FFF2-40B4-BE49-F238E27FC236}">
                <a16:creationId xmlns:a16="http://schemas.microsoft.com/office/drawing/2014/main" id="{00000000-0008-0000-0200-0000F801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05" name="$E$137">
            <a:extLst>
              <a:ext uri="{FF2B5EF4-FFF2-40B4-BE49-F238E27FC236}">
                <a16:creationId xmlns:a16="http://schemas.microsoft.com/office/drawing/2014/main" id="{00000000-0008-0000-0200-0000F901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06" name="$E$137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07" name="$E$137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08" name="$E$137">
            <a:extLst>
              <a:ext uri="{FF2B5EF4-FFF2-40B4-BE49-F238E27FC236}">
                <a16:creationId xmlns:a16="http://schemas.microsoft.com/office/drawing/2014/main" id="{00000000-0008-0000-0200-0000FC0100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09" name="$E$137">
            <a:extLst>
              <a:ext uri="{FF2B5EF4-FFF2-40B4-BE49-F238E27FC236}">
                <a16:creationId xmlns:a16="http://schemas.microsoft.com/office/drawing/2014/main" id="{00000000-0008-0000-0200-0000FD010000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10" name="$E$137">
            <a:extLst>
              <a:ext uri="{FF2B5EF4-FFF2-40B4-BE49-F238E27FC236}">
                <a16:creationId xmlns:a16="http://schemas.microsoft.com/office/drawing/2014/main" id="{00000000-0008-0000-0200-0000FE010000}"/>
              </a:ext>
            </a:extLst>
          </xdr:cNvPr>
          <xdr:cNvSpPr/>
        </xdr:nvSpPr>
        <xdr:spPr>
          <a:xfrm>
            <a:off x="228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11" name="$E$137">
            <a:extLst>
              <a:ext uri="{FF2B5EF4-FFF2-40B4-BE49-F238E27FC236}">
                <a16:creationId xmlns:a16="http://schemas.microsoft.com/office/drawing/2014/main" id="{00000000-0008-0000-0200-0000FF010000}"/>
              </a:ext>
            </a:extLst>
          </xdr:cNvPr>
          <xdr:cNvSpPr/>
        </xdr:nvSpPr>
        <xdr:spPr>
          <a:xfrm>
            <a:off x="266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12" name="$E$137">
            <a:extLst>
              <a:ext uri="{FF2B5EF4-FFF2-40B4-BE49-F238E27FC236}">
                <a16:creationId xmlns:a16="http://schemas.microsoft.com/office/drawing/2014/main" id="{00000000-0008-0000-0200-000000020000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13" name="$E$137">
            <a:extLst>
              <a:ext uri="{FF2B5EF4-FFF2-40B4-BE49-F238E27FC236}">
                <a16:creationId xmlns:a16="http://schemas.microsoft.com/office/drawing/2014/main" id="{00000000-0008-0000-0200-000001020000}"/>
              </a:ext>
            </a:extLst>
          </xdr:cNvPr>
          <xdr:cNvSpPr/>
        </xdr:nvSpPr>
        <xdr:spPr>
          <a:xfrm>
            <a:off x="342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14" name="$E$137">
            <a:extLst>
              <a:ext uri="{FF2B5EF4-FFF2-40B4-BE49-F238E27FC236}">
                <a16:creationId xmlns:a16="http://schemas.microsoft.com/office/drawing/2014/main" id="{00000000-0008-0000-0200-000002020000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15" name="$E$137">
            <a:extLst>
              <a:ext uri="{FF2B5EF4-FFF2-40B4-BE49-F238E27FC236}">
                <a16:creationId xmlns:a16="http://schemas.microsoft.com/office/drawing/2014/main" id="{00000000-0008-0000-0200-000003020000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16" name="$E$137">
            <a:extLst>
              <a:ext uri="{FF2B5EF4-FFF2-40B4-BE49-F238E27FC236}">
                <a16:creationId xmlns:a16="http://schemas.microsoft.com/office/drawing/2014/main" id="{00000000-0008-0000-0200-00000402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17" name="$E$137">
            <a:extLst>
              <a:ext uri="{FF2B5EF4-FFF2-40B4-BE49-F238E27FC236}">
                <a16:creationId xmlns:a16="http://schemas.microsoft.com/office/drawing/2014/main" id="{00000000-0008-0000-0200-000005020000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18" name="$E$137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19" name="$E$137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20" name="$E$137">
            <a:extLst>
              <a:ext uri="{FF2B5EF4-FFF2-40B4-BE49-F238E27FC236}">
                <a16:creationId xmlns:a16="http://schemas.microsoft.com/office/drawing/2014/main" id="{00000000-0008-0000-0200-00000802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21" name="$E$137">
            <a:extLst>
              <a:ext uri="{FF2B5EF4-FFF2-40B4-BE49-F238E27FC236}">
                <a16:creationId xmlns:a16="http://schemas.microsoft.com/office/drawing/2014/main" id="{00000000-0008-0000-0200-000009020000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22" name="$E$137">
            <a:extLst>
              <a:ext uri="{FF2B5EF4-FFF2-40B4-BE49-F238E27FC236}">
                <a16:creationId xmlns:a16="http://schemas.microsoft.com/office/drawing/2014/main" id="{00000000-0008-0000-0200-00000A020000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23" name="$E$137">
            <a:extLst>
              <a:ext uri="{FF2B5EF4-FFF2-40B4-BE49-F238E27FC236}">
                <a16:creationId xmlns:a16="http://schemas.microsoft.com/office/drawing/2014/main" id="{00000000-0008-0000-0200-00000B020000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24" name="$E$137">
            <a:extLst>
              <a:ext uri="{FF2B5EF4-FFF2-40B4-BE49-F238E27FC236}">
                <a16:creationId xmlns:a16="http://schemas.microsoft.com/office/drawing/2014/main" id="{00000000-0008-0000-0200-00000C020000}"/>
              </a:ext>
            </a:extLst>
          </xdr:cNvPr>
          <xdr:cNvSpPr/>
        </xdr:nvSpPr>
        <xdr:spPr>
          <a:xfrm>
            <a:off x="215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25" name="$E$137">
            <a:extLst>
              <a:ext uri="{FF2B5EF4-FFF2-40B4-BE49-F238E27FC236}">
                <a16:creationId xmlns:a16="http://schemas.microsoft.com/office/drawing/2014/main" id="{00000000-0008-0000-0200-00000D0200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26" name="$E$137">
            <a:extLst>
              <a:ext uri="{FF2B5EF4-FFF2-40B4-BE49-F238E27FC236}">
                <a16:creationId xmlns:a16="http://schemas.microsoft.com/office/drawing/2014/main" id="{00000000-0008-0000-0200-00000E0200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27" name="$E$137">
            <a:extLst>
              <a:ext uri="{FF2B5EF4-FFF2-40B4-BE49-F238E27FC236}">
                <a16:creationId xmlns:a16="http://schemas.microsoft.com/office/drawing/2014/main" id="{00000000-0008-0000-0200-00000F020000}"/>
              </a:ext>
            </a:extLst>
          </xdr:cNvPr>
          <xdr:cNvSpPr/>
        </xdr:nvSpPr>
        <xdr:spPr>
          <a:xfrm>
            <a:off x="279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28" name="$E$137">
            <a:extLst>
              <a:ext uri="{FF2B5EF4-FFF2-40B4-BE49-F238E27FC236}">
                <a16:creationId xmlns:a16="http://schemas.microsoft.com/office/drawing/2014/main" id="{00000000-0008-0000-0200-000010020000}"/>
              </a:ext>
            </a:extLst>
          </xdr:cNvPr>
          <xdr:cNvSpPr/>
        </xdr:nvSpPr>
        <xdr:spPr>
          <a:xfrm>
            <a:off x="292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29" name="$E$137">
            <a:extLst>
              <a:ext uri="{FF2B5EF4-FFF2-40B4-BE49-F238E27FC236}">
                <a16:creationId xmlns:a16="http://schemas.microsoft.com/office/drawing/2014/main" id="{00000000-0008-0000-0200-000011020000}"/>
              </a:ext>
            </a:extLst>
          </xdr:cNvPr>
          <xdr:cNvSpPr/>
        </xdr:nvSpPr>
        <xdr:spPr>
          <a:xfrm>
            <a:off x="304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30" name="$E$137">
            <a:extLst>
              <a:ext uri="{FF2B5EF4-FFF2-40B4-BE49-F238E27FC236}">
                <a16:creationId xmlns:a16="http://schemas.microsoft.com/office/drawing/2014/main" id="{00000000-0008-0000-0200-00001202000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31" name="$E$137">
            <a:extLst>
              <a:ext uri="{FF2B5EF4-FFF2-40B4-BE49-F238E27FC236}">
                <a16:creationId xmlns:a16="http://schemas.microsoft.com/office/drawing/2014/main" id="{00000000-0008-0000-0200-00001302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32" name="$E$137">
            <a:extLst>
              <a:ext uri="{FF2B5EF4-FFF2-40B4-BE49-F238E27FC236}">
                <a16:creationId xmlns:a16="http://schemas.microsoft.com/office/drawing/2014/main" id="{00000000-0008-0000-0200-000014020000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33" name="$E$137">
            <a:extLst>
              <a:ext uri="{FF2B5EF4-FFF2-40B4-BE49-F238E27FC236}">
                <a16:creationId xmlns:a16="http://schemas.microsoft.com/office/drawing/2014/main" id="{00000000-0008-0000-0200-00001502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34" name="$E$137">
            <a:extLst>
              <a:ext uri="{FF2B5EF4-FFF2-40B4-BE49-F238E27FC236}">
                <a16:creationId xmlns:a16="http://schemas.microsoft.com/office/drawing/2014/main" id="{00000000-0008-0000-0200-00001602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35" name="$E$137">
            <a:extLst>
              <a:ext uri="{FF2B5EF4-FFF2-40B4-BE49-F238E27FC236}">
                <a16:creationId xmlns:a16="http://schemas.microsoft.com/office/drawing/2014/main" id="{00000000-0008-0000-0200-00001702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36" name="$E$137">
            <a:extLst>
              <a:ext uri="{FF2B5EF4-FFF2-40B4-BE49-F238E27FC236}">
                <a16:creationId xmlns:a16="http://schemas.microsoft.com/office/drawing/2014/main" id="{00000000-0008-0000-0200-000018020000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37" name="$E$137">
            <a:extLst>
              <a:ext uri="{FF2B5EF4-FFF2-40B4-BE49-F238E27FC236}">
                <a16:creationId xmlns:a16="http://schemas.microsoft.com/office/drawing/2014/main" id="{00000000-0008-0000-0200-00001902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38" name="$E$137">
            <a:extLst>
              <a:ext uri="{FF2B5EF4-FFF2-40B4-BE49-F238E27FC236}">
                <a16:creationId xmlns:a16="http://schemas.microsoft.com/office/drawing/2014/main" id="{00000000-0008-0000-0200-00001A02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39" name="$E$137">
            <a:extLst>
              <a:ext uri="{FF2B5EF4-FFF2-40B4-BE49-F238E27FC236}">
                <a16:creationId xmlns:a16="http://schemas.microsoft.com/office/drawing/2014/main" id="{00000000-0008-0000-0200-00001B020000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40" name="$E$137">
            <a:extLst>
              <a:ext uri="{FF2B5EF4-FFF2-40B4-BE49-F238E27FC236}">
                <a16:creationId xmlns:a16="http://schemas.microsoft.com/office/drawing/2014/main" id="{00000000-0008-0000-0200-00001C020000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41" name="$E$137">
            <a:extLst>
              <a:ext uri="{FF2B5EF4-FFF2-40B4-BE49-F238E27FC236}">
                <a16:creationId xmlns:a16="http://schemas.microsoft.com/office/drawing/2014/main" id="{00000000-0008-0000-0200-00001D020000}"/>
              </a:ext>
            </a:extLst>
          </xdr:cNvPr>
          <xdr:cNvSpPr/>
        </xdr:nvSpPr>
        <xdr:spPr>
          <a:xfrm>
            <a:off x="266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42" name="$E$137">
            <a:extLst>
              <a:ext uri="{FF2B5EF4-FFF2-40B4-BE49-F238E27FC236}">
                <a16:creationId xmlns:a16="http://schemas.microsoft.com/office/drawing/2014/main" id="{00000000-0008-0000-0200-00001E02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43" name="$E$137">
            <a:extLst>
              <a:ext uri="{FF2B5EF4-FFF2-40B4-BE49-F238E27FC236}">
                <a16:creationId xmlns:a16="http://schemas.microsoft.com/office/drawing/2014/main" id="{00000000-0008-0000-0200-00001F02000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44" name="$E$137">
            <a:extLst>
              <a:ext uri="{FF2B5EF4-FFF2-40B4-BE49-F238E27FC236}">
                <a16:creationId xmlns:a16="http://schemas.microsoft.com/office/drawing/2014/main" id="{00000000-0008-0000-0200-000020020000}"/>
              </a:ext>
            </a:extLst>
          </xdr:cNvPr>
          <xdr:cNvSpPr/>
        </xdr:nvSpPr>
        <xdr:spPr>
          <a:xfrm>
            <a:off x="342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45" name="$E$137">
            <a:extLst>
              <a:ext uri="{FF2B5EF4-FFF2-40B4-BE49-F238E27FC236}">
                <a16:creationId xmlns:a16="http://schemas.microsoft.com/office/drawing/2014/main" id="{00000000-0008-0000-0200-000021020000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46" name="$E$137">
            <a:extLst>
              <a:ext uri="{FF2B5EF4-FFF2-40B4-BE49-F238E27FC236}">
                <a16:creationId xmlns:a16="http://schemas.microsoft.com/office/drawing/2014/main" id="{00000000-0008-0000-0200-00002202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</xdr:grpSp>
    <xdr:clientData/>
  </xdr:twoCellAnchor>
  <xdr:twoCellAnchor editAs="oneCell">
    <xdr:from>
      <xdr:col>4</xdr:col>
      <xdr:colOff>93703</xdr:colOff>
      <xdr:row>139</xdr:row>
      <xdr:rowOff>41312</xdr:rowOff>
    </xdr:from>
    <xdr:to>
      <xdr:col>4</xdr:col>
      <xdr:colOff>1563647</xdr:colOff>
      <xdr:row>139</xdr:row>
      <xdr:rowOff>1511256</xdr:rowOff>
    </xdr:to>
    <xdr:grpSp>
      <xdr:nvGrpSpPr>
        <xdr:cNvPr id="1246" name="$E$140" descr="QuickResponse barcode, level L, version 5, mode binary, 37x37 cells" title="https://centrodecapacitaciondelsur.com/atencion-diferencial-en-salud-a-personas-lgbti-1088733829/">
          <a:extLst>
            <a:ext uri="{FF2B5EF4-FFF2-40B4-BE49-F238E27FC236}">
              <a16:creationId xmlns:a16="http://schemas.microsoft.com/office/drawing/2014/main" id="{00000000-0008-0000-0200-0000DE040000}"/>
            </a:ext>
          </a:extLst>
        </xdr:cNvPr>
        <xdr:cNvGrpSpPr>
          <a:grpSpLocks noChangeAspect="1"/>
        </xdr:cNvGrpSpPr>
      </xdr:nvGrpSpPr>
      <xdr:grpSpPr>
        <a:xfrm>
          <a:off x="21239203" y="165738212"/>
          <a:ext cx="1469944" cy="1469944"/>
          <a:chOff x="0" y="0"/>
          <a:chExt cx="469900" cy="469900"/>
        </a:xfrm>
      </xdr:grpSpPr>
      <xdr:sp macro="" textlink="">
        <xdr:nvSpPr>
          <xdr:cNvPr id="548" name="$E$140">
            <a:extLst>
              <a:ext uri="{FF2B5EF4-FFF2-40B4-BE49-F238E27FC236}">
                <a16:creationId xmlns:a16="http://schemas.microsoft.com/office/drawing/2014/main" id="{00000000-0008-0000-0200-00002402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49" name="$E$140">
            <a:extLst>
              <a:ext uri="{FF2B5EF4-FFF2-40B4-BE49-F238E27FC236}">
                <a16:creationId xmlns:a16="http://schemas.microsoft.com/office/drawing/2014/main" id="{00000000-0008-0000-0200-00002502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50" name="$E$140">
            <a:extLst>
              <a:ext uri="{FF2B5EF4-FFF2-40B4-BE49-F238E27FC236}">
                <a16:creationId xmlns:a16="http://schemas.microsoft.com/office/drawing/2014/main" id="{00000000-0008-0000-0200-00002602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51" name="$E$140">
            <a:extLst>
              <a:ext uri="{FF2B5EF4-FFF2-40B4-BE49-F238E27FC236}">
                <a16:creationId xmlns:a16="http://schemas.microsoft.com/office/drawing/2014/main" id="{00000000-0008-0000-0200-00002702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52" name="$E$140">
            <a:extLst>
              <a:ext uri="{FF2B5EF4-FFF2-40B4-BE49-F238E27FC236}">
                <a16:creationId xmlns:a16="http://schemas.microsoft.com/office/drawing/2014/main" id="{00000000-0008-0000-0200-00002802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53" name="$E$140">
            <a:extLst>
              <a:ext uri="{FF2B5EF4-FFF2-40B4-BE49-F238E27FC236}">
                <a16:creationId xmlns:a16="http://schemas.microsoft.com/office/drawing/2014/main" id="{00000000-0008-0000-0200-00002902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54" name="$E$140">
            <a:extLst>
              <a:ext uri="{FF2B5EF4-FFF2-40B4-BE49-F238E27FC236}">
                <a16:creationId xmlns:a16="http://schemas.microsoft.com/office/drawing/2014/main" id="{00000000-0008-0000-0200-00002A02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55" name="$E$140">
            <a:extLst>
              <a:ext uri="{FF2B5EF4-FFF2-40B4-BE49-F238E27FC236}">
                <a16:creationId xmlns:a16="http://schemas.microsoft.com/office/drawing/2014/main" id="{00000000-0008-0000-0200-00002B020000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56" name="$E$140">
            <a:extLst>
              <a:ext uri="{FF2B5EF4-FFF2-40B4-BE49-F238E27FC236}">
                <a16:creationId xmlns:a16="http://schemas.microsoft.com/office/drawing/2014/main" id="{00000000-0008-0000-0200-00002C02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57" name="$E$140">
            <a:extLst>
              <a:ext uri="{FF2B5EF4-FFF2-40B4-BE49-F238E27FC236}">
                <a16:creationId xmlns:a16="http://schemas.microsoft.com/office/drawing/2014/main" id="{00000000-0008-0000-0200-00002D02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58" name="$E$140">
            <a:extLst>
              <a:ext uri="{FF2B5EF4-FFF2-40B4-BE49-F238E27FC236}">
                <a16:creationId xmlns:a16="http://schemas.microsoft.com/office/drawing/2014/main" id="{00000000-0008-0000-0200-00002E02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59" name="$E$140">
            <a:extLst>
              <a:ext uri="{FF2B5EF4-FFF2-40B4-BE49-F238E27FC236}">
                <a16:creationId xmlns:a16="http://schemas.microsoft.com/office/drawing/2014/main" id="{00000000-0008-0000-0200-00002F020000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60" name="$E$140">
            <a:extLst>
              <a:ext uri="{FF2B5EF4-FFF2-40B4-BE49-F238E27FC236}">
                <a16:creationId xmlns:a16="http://schemas.microsoft.com/office/drawing/2014/main" id="{00000000-0008-0000-0200-00003002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61" name="$E$140">
            <a:extLst>
              <a:ext uri="{FF2B5EF4-FFF2-40B4-BE49-F238E27FC236}">
                <a16:creationId xmlns:a16="http://schemas.microsoft.com/office/drawing/2014/main" id="{00000000-0008-0000-0200-0000310200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62" name="$E$140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63" name="$E$140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64" name="$E$140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65" name="$E$140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66" name="$E$140">
            <a:extLst>
              <a:ext uri="{FF2B5EF4-FFF2-40B4-BE49-F238E27FC236}">
                <a16:creationId xmlns:a16="http://schemas.microsoft.com/office/drawing/2014/main" id="{00000000-0008-0000-0200-00003602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67" name="$E$140">
            <a:extLst>
              <a:ext uri="{FF2B5EF4-FFF2-40B4-BE49-F238E27FC236}">
                <a16:creationId xmlns:a16="http://schemas.microsoft.com/office/drawing/2014/main" id="{00000000-0008-0000-0200-00003702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68" name="$E$140">
            <a:extLst>
              <a:ext uri="{FF2B5EF4-FFF2-40B4-BE49-F238E27FC236}">
                <a16:creationId xmlns:a16="http://schemas.microsoft.com/office/drawing/2014/main" id="{00000000-0008-0000-0200-00003802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69" name="$E$140">
            <a:extLst>
              <a:ext uri="{FF2B5EF4-FFF2-40B4-BE49-F238E27FC236}">
                <a16:creationId xmlns:a16="http://schemas.microsoft.com/office/drawing/2014/main" id="{00000000-0008-0000-0200-000039020000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70" name="$E$140">
            <a:extLst>
              <a:ext uri="{FF2B5EF4-FFF2-40B4-BE49-F238E27FC236}">
                <a16:creationId xmlns:a16="http://schemas.microsoft.com/office/drawing/2014/main" id="{00000000-0008-0000-0200-00003A020000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71" name="$E$140">
            <a:extLst>
              <a:ext uri="{FF2B5EF4-FFF2-40B4-BE49-F238E27FC236}">
                <a16:creationId xmlns:a16="http://schemas.microsoft.com/office/drawing/2014/main" id="{00000000-0008-0000-0200-00003B020000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72" name="$E$140">
            <a:extLst>
              <a:ext uri="{FF2B5EF4-FFF2-40B4-BE49-F238E27FC236}">
                <a16:creationId xmlns:a16="http://schemas.microsoft.com/office/drawing/2014/main" id="{00000000-0008-0000-0200-00003C020000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73" name="$E$140">
            <a:extLst>
              <a:ext uri="{FF2B5EF4-FFF2-40B4-BE49-F238E27FC236}">
                <a16:creationId xmlns:a16="http://schemas.microsoft.com/office/drawing/2014/main" id="{00000000-0008-0000-0200-00003D02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74" name="$E$140">
            <a:extLst>
              <a:ext uri="{FF2B5EF4-FFF2-40B4-BE49-F238E27FC236}">
                <a16:creationId xmlns:a16="http://schemas.microsoft.com/office/drawing/2014/main" id="{00000000-0008-0000-0200-00003E02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75" name="$E$140">
            <a:extLst>
              <a:ext uri="{FF2B5EF4-FFF2-40B4-BE49-F238E27FC236}">
                <a16:creationId xmlns:a16="http://schemas.microsoft.com/office/drawing/2014/main" id="{00000000-0008-0000-0200-00003F020000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76" name="$E$140">
            <a:extLst>
              <a:ext uri="{FF2B5EF4-FFF2-40B4-BE49-F238E27FC236}">
                <a16:creationId xmlns:a16="http://schemas.microsoft.com/office/drawing/2014/main" id="{00000000-0008-0000-0200-00004002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77" name="$E$140">
            <a:extLst>
              <a:ext uri="{FF2B5EF4-FFF2-40B4-BE49-F238E27FC236}">
                <a16:creationId xmlns:a16="http://schemas.microsoft.com/office/drawing/2014/main" id="{00000000-0008-0000-0200-000041020000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78" name="$E$140">
            <a:extLst>
              <a:ext uri="{FF2B5EF4-FFF2-40B4-BE49-F238E27FC236}">
                <a16:creationId xmlns:a16="http://schemas.microsoft.com/office/drawing/2014/main" id="{00000000-0008-0000-0200-0000420200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79" name="$E$140">
            <a:extLst>
              <a:ext uri="{FF2B5EF4-FFF2-40B4-BE49-F238E27FC236}">
                <a16:creationId xmlns:a16="http://schemas.microsoft.com/office/drawing/2014/main" id="{00000000-0008-0000-0200-00004302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80" name="$E$140">
            <a:extLst>
              <a:ext uri="{FF2B5EF4-FFF2-40B4-BE49-F238E27FC236}">
                <a16:creationId xmlns:a16="http://schemas.microsoft.com/office/drawing/2014/main" id="{00000000-0008-0000-0200-00004402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81" name="$E$140">
            <a:extLst>
              <a:ext uri="{FF2B5EF4-FFF2-40B4-BE49-F238E27FC236}">
                <a16:creationId xmlns:a16="http://schemas.microsoft.com/office/drawing/2014/main" id="{00000000-0008-0000-0200-0000450200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82" name="$E$140">
            <a:extLst>
              <a:ext uri="{FF2B5EF4-FFF2-40B4-BE49-F238E27FC236}">
                <a16:creationId xmlns:a16="http://schemas.microsoft.com/office/drawing/2014/main" id="{00000000-0008-0000-0200-000046020000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83" name="$E$140">
            <a:extLst>
              <a:ext uri="{FF2B5EF4-FFF2-40B4-BE49-F238E27FC236}">
                <a16:creationId xmlns:a16="http://schemas.microsoft.com/office/drawing/2014/main" id="{00000000-0008-0000-0200-00004702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84" name="$E$140">
            <a:extLst>
              <a:ext uri="{FF2B5EF4-FFF2-40B4-BE49-F238E27FC236}">
                <a16:creationId xmlns:a16="http://schemas.microsoft.com/office/drawing/2014/main" id="{00000000-0008-0000-0200-000048020000}"/>
              </a:ext>
            </a:extLst>
          </xdr:cNvPr>
          <xdr:cNvSpPr/>
        </xdr:nvSpPr>
        <xdr:spPr>
          <a:xfrm>
            <a:off x="317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85" name="$E$140">
            <a:extLst>
              <a:ext uri="{FF2B5EF4-FFF2-40B4-BE49-F238E27FC236}">
                <a16:creationId xmlns:a16="http://schemas.microsoft.com/office/drawing/2014/main" id="{00000000-0008-0000-0200-00004902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86" name="$E$140">
            <a:extLst>
              <a:ext uri="{FF2B5EF4-FFF2-40B4-BE49-F238E27FC236}">
                <a16:creationId xmlns:a16="http://schemas.microsoft.com/office/drawing/2014/main" id="{00000000-0008-0000-0200-00004A020000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87" name="$E$140">
            <a:extLst>
              <a:ext uri="{FF2B5EF4-FFF2-40B4-BE49-F238E27FC236}">
                <a16:creationId xmlns:a16="http://schemas.microsoft.com/office/drawing/2014/main" id="{00000000-0008-0000-0200-00004B020000}"/>
              </a:ext>
            </a:extLst>
          </xdr:cNvPr>
          <xdr:cNvSpPr/>
        </xdr:nvSpPr>
        <xdr:spPr>
          <a:xfrm>
            <a:off x="457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88" name="$E$140">
            <a:extLst>
              <a:ext uri="{FF2B5EF4-FFF2-40B4-BE49-F238E27FC236}">
                <a16:creationId xmlns:a16="http://schemas.microsoft.com/office/drawing/2014/main" id="{00000000-0008-0000-0200-00004C02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89" name="$E$140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90" name="$E$140">
            <a:extLst>
              <a:ext uri="{FF2B5EF4-FFF2-40B4-BE49-F238E27FC236}">
                <a16:creationId xmlns:a16="http://schemas.microsoft.com/office/drawing/2014/main" id="{00000000-0008-0000-0200-00004E02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91" name="$E$14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92" name="$E$140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93" name="$E$140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94" name="$E$140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95" name="$E$140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96" name="$E$140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97" name="$E$140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98" name="$E$140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99" name="$E$140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00" name="$E$140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01" name="$E$14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02" name="$E$140">
            <a:extLst>
              <a:ext uri="{FF2B5EF4-FFF2-40B4-BE49-F238E27FC236}">
                <a16:creationId xmlns:a16="http://schemas.microsoft.com/office/drawing/2014/main" id="{00000000-0008-0000-0200-00005A0200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03" name="$E$140">
            <a:extLst>
              <a:ext uri="{FF2B5EF4-FFF2-40B4-BE49-F238E27FC236}">
                <a16:creationId xmlns:a16="http://schemas.microsoft.com/office/drawing/2014/main" id="{00000000-0008-0000-0200-00005B0200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04" name="$E$140">
            <a:extLst>
              <a:ext uri="{FF2B5EF4-FFF2-40B4-BE49-F238E27FC236}">
                <a16:creationId xmlns:a16="http://schemas.microsoft.com/office/drawing/2014/main" id="{00000000-0008-0000-0200-00005C0200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05" name="$E$140">
            <a:extLst>
              <a:ext uri="{FF2B5EF4-FFF2-40B4-BE49-F238E27FC236}">
                <a16:creationId xmlns:a16="http://schemas.microsoft.com/office/drawing/2014/main" id="{00000000-0008-0000-0200-00005D0200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06" name="$E$140">
            <a:extLst>
              <a:ext uri="{FF2B5EF4-FFF2-40B4-BE49-F238E27FC236}">
                <a16:creationId xmlns:a16="http://schemas.microsoft.com/office/drawing/2014/main" id="{00000000-0008-0000-0200-00005E02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07" name="$E$140">
            <a:extLst>
              <a:ext uri="{FF2B5EF4-FFF2-40B4-BE49-F238E27FC236}">
                <a16:creationId xmlns:a16="http://schemas.microsoft.com/office/drawing/2014/main" id="{00000000-0008-0000-0200-00005F02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08" name="$E$140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419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09" name="$E$140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10" name="$E$140">
            <a:extLst>
              <a:ext uri="{FF2B5EF4-FFF2-40B4-BE49-F238E27FC236}">
                <a16:creationId xmlns:a16="http://schemas.microsoft.com/office/drawing/2014/main" id="{00000000-0008-0000-0200-000062020000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11" name="$E$140">
            <a:extLst>
              <a:ext uri="{FF2B5EF4-FFF2-40B4-BE49-F238E27FC236}">
                <a16:creationId xmlns:a16="http://schemas.microsoft.com/office/drawing/2014/main" id="{00000000-0008-0000-0200-00006302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12" name="$E$140">
            <a:extLst>
              <a:ext uri="{FF2B5EF4-FFF2-40B4-BE49-F238E27FC236}">
                <a16:creationId xmlns:a16="http://schemas.microsoft.com/office/drawing/2014/main" id="{00000000-0008-0000-0200-00006402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13" name="$E$140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14" name="$E$140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15" name="$E$140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16" name="$E$140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17" name="$E$140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18" name="$E$140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19" name="$E$140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20" name="$E$140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21" name="$E$14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22" name="$E$140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23" name="$E$140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24" name="$E$140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/>
        </xdr:nvSpPr>
        <xdr:spPr>
          <a:xfrm>
            <a:off x="266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25" name="$E$140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26" name="$E$140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27" name="$E$140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28" name="$E$140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29" name="$E$140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30" name="$E$140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SpPr/>
        </xdr:nvSpPr>
        <xdr:spPr>
          <a:xfrm>
            <a:off x="419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31" name="$E$14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32" name="$E$140">
            <a:extLst>
              <a:ext uri="{FF2B5EF4-FFF2-40B4-BE49-F238E27FC236}">
                <a16:creationId xmlns:a16="http://schemas.microsoft.com/office/drawing/2014/main" id="{00000000-0008-0000-0200-000078020000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33" name="$E$140">
            <a:extLst>
              <a:ext uri="{FF2B5EF4-FFF2-40B4-BE49-F238E27FC236}">
                <a16:creationId xmlns:a16="http://schemas.microsoft.com/office/drawing/2014/main" id="{00000000-0008-0000-0200-00007902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34" name="$E$140">
            <a:extLst>
              <a:ext uri="{FF2B5EF4-FFF2-40B4-BE49-F238E27FC236}">
                <a16:creationId xmlns:a16="http://schemas.microsoft.com/office/drawing/2014/main" id="{00000000-0008-0000-0200-00007A02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35" name="$E$140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36" name="$E$140">
            <a:extLst>
              <a:ext uri="{FF2B5EF4-FFF2-40B4-BE49-F238E27FC236}">
                <a16:creationId xmlns:a16="http://schemas.microsoft.com/office/drawing/2014/main" id="{00000000-0008-0000-0200-00007C02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37" name="$E$140">
            <a:extLst>
              <a:ext uri="{FF2B5EF4-FFF2-40B4-BE49-F238E27FC236}">
                <a16:creationId xmlns:a16="http://schemas.microsoft.com/office/drawing/2014/main" id="{00000000-0008-0000-0200-00007D02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38" name="$E$140">
            <a:extLst>
              <a:ext uri="{FF2B5EF4-FFF2-40B4-BE49-F238E27FC236}">
                <a16:creationId xmlns:a16="http://schemas.microsoft.com/office/drawing/2014/main" id="{00000000-0008-0000-0200-00007E0200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39" name="$E$140">
            <a:extLst>
              <a:ext uri="{FF2B5EF4-FFF2-40B4-BE49-F238E27FC236}">
                <a16:creationId xmlns:a16="http://schemas.microsoft.com/office/drawing/2014/main" id="{00000000-0008-0000-0200-00007F020000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40" name="$E$140">
            <a:extLst>
              <a:ext uri="{FF2B5EF4-FFF2-40B4-BE49-F238E27FC236}">
                <a16:creationId xmlns:a16="http://schemas.microsoft.com/office/drawing/2014/main" id="{00000000-0008-0000-0200-0000800200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41" name="$E$140">
            <a:extLst>
              <a:ext uri="{FF2B5EF4-FFF2-40B4-BE49-F238E27FC236}">
                <a16:creationId xmlns:a16="http://schemas.microsoft.com/office/drawing/2014/main" id="{00000000-0008-0000-0200-0000810200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42" name="$E$140">
            <a:extLst>
              <a:ext uri="{FF2B5EF4-FFF2-40B4-BE49-F238E27FC236}">
                <a16:creationId xmlns:a16="http://schemas.microsoft.com/office/drawing/2014/main" id="{00000000-0008-0000-0200-0000820200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43" name="$E$140">
            <a:extLst>
              <a:ext uri="{FF2B5EF4-FFF2-40B4-BE49-F238E27FC236}">
                <a16:creationId xmlns:a16="http://schemas.microsoft.com/office/drawing/2014/main" id="{00000000-0008-0000-0200-00008302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44" name="$E$140">
            <a:extLst>
              <a:ext uri="{FF2B5EF4-FFF2-40B4-BE49-F238E27FC236}">
                <a16:creationId xmlns:a16="http://schemas.microsoft.com/office/drawing/2014/main" id="{00000000-0008-0000-0200-0000840200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45" name="$E$140">
            <a:extLst>
              <a:ext uri="{FF2B5EF4-FFF2-40B4-BE49-F238E27FC236}">
                <a16:creationId xmlns:a16="http://schemas.microsoft.com/office/drawing/2014/main" id="{00000000-0008-0000-0200-0000850200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46" name="$E$140">
            <a:extLst>
              <a:ext uri="{FF2B5EF4-FFF2-40B4-BE49-F238E27FC236}">
                <a16:creationId xmlns:a16="http://schemas.microsoft.com/office/drawing/2014/main" id="{00000000-0008-0000-0200-00008602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47" name="$E$140">
            <a:extLst>
              <a:ext uri="{FF2B5EF4-FFF2-40B4-BE49-F238E27FC236}">
                <a16:creationId xmlns:a16="http://schemas.microsoft.com/office/drawing/2014/main" id="{00000000-0008-0000-0200-00008702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48" name="$E$140">
            <a:extLst>
              <a:ext uri="{FF2B5EF4-FFF2-40B4-BE49-F238E27FC236}">
                <a16:creationId xmlns:a16="http://schemas.microsoft.com/office/drawing/2014/main" id="{00000000-0008-0000-0200-000088020000}"/>
              </a:ext>
            </a:extLst>
          </xdr:cNvPr>
          <xdr:cNvSpPr/>
        </xdr:nvSpPr>
        <xdr:spPr>
          <a:xfrm>
            <a:off x="419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49" name="$E$140">
            <a:extLst>
              <a:ext uri="{FF2B5EF4-FFF2-40B4-BE49-F238E27FC236}">
                <a16:creationId xmlns:a16="http://schemas.microsoft.com/office/drawing/2014/main" id="{00000000-0008-0000-0200-000089020000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50" name="$E$140">
            <a:extLst>
              <a:ext uri="{FF2B5EF4-FFF2-40B4-BE49-F238E27FC236}">
                <a16:creationId xmlns:a16="http://schemas.microsoft.com/office/drawing/2014/main" id="{00000000-0008-0000-0200-00008A020000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51" name="$E$140">
            <a:extLst>
              <a:ext uri="{FF2B5EF4-FFF2-40B4-BE49-F238E27FC236}">
                <a16:creationId xmlns:a16="http://schemas.microsoft.com/office/drawing/2014/main" id="{00000000-0008-0000-0200-00008B02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52" name="$E$140">
            <a:extLst>
              <a:ext uri="{FF2B5EF4-FFF2-40B4-BE49-F238E27FC236}">
                <a16:creationId xmlns:a16="http://schemas.microsoft.com/office/drawing/2014/main" id="{00000000-0008-0000-0200-00008C02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53" name="$E$140">
            <a:extLst>
              <a:ext uri="{FF2B5EF4-FFF2-40B4-BE49-F238E27FC236}">
                <a16:creationId xmlns:a16="http://schemas.microsoft.com/office/drawing/2014/main" id="{00000000-0008-0000-0200-00008D020000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54" name="$E$140">
            <a:extLst>
              <a:ext uri="{FF2B5EF4-FFF2-40B4-BE49-F238E27FC236}">
                <a16:creationId xmlns:a16="http://schemas.microsoft.com/office/drawing/2014/main" id="{00000000-0008-0000-0200-00008E0200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55" name="$E$140">
            <a:extLst>
              <a:ext uri="{FF2B5EF4-FFF2-40B4-BE49-F238E27FC236}">
                <a16:creationId xmlns:a16="http://schemas.microsoft.com/office/drawing/2014/main" id="{00000000-0008-0000-0200-00008F020000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56" name="$E$140">
            <a:extLst>
              <a:ext uri="{FF2B5EF4-FFF2-40B4-BE49-F238E27FC236}">
                <a16:creationId xmlns:a16="http://schemas.microsoft.com/office/drawing/2014/main" id="{00000000-0008-0000-0200-000090020000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57" name="$E$140">
            <a:extLst>
              <a:ext uri="{FF2B5EF4-FFF2-40B4-BE49-F238E27FC236}">
                <a16:creationId xmlns:a16="http://schemas.microsoft.com/office/drawing/2014/main" id="{00000000-0008-0000-0200-0000910200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58" name="$E$140">
            <a:extLst>
              <a:ext uri="{FF2B5EF4-FFF2-40B4-BE49-F238E27FC236}">
                <a16:creationId xmlns:a16="http://schemas.microsoft.com/office/drawing/2014/main" id="{00000000-0008-0000-0200-000092020000}"/>
              </a:ext>
            </a:extLst>
          </xdr:cNvPr>
          <xdr:cNvSpPr/>
        </xdr:nvSpPr>
        <xdr:spPr>
          <a:xfrm>
            <a:off x="292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59" name="$E$140">
            <a:extLst>
              <a:ext uri="{FF2B5EF4-FFF2-40B4-BE49-F238E27FC236}">
                <a16:creationId xmlns:a16="http://schemas.microsoft.com/office/drawing/2014/main" id="{00000000-0008-0000-0200-000093020000}"/>
              </a:ext>
            </a:extLst>
          </xdr:cNvPr>
          <xdr:cNvSpPr/>
        </xdr:nvSpPr>
        <xdr:spPr>
          <a:xfrm>
            <a:off x="304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60" name="$E$140">
            <a:extLst>
              <a:ext uri="{FF2B5EF4-FFF2-40B4-BE49-F238E27FC236}">
                <a16:creationId xmlns:a16="http://schemas.microsoft.com/office/drawing/2014/main" id="{00000000-0008-0000-0200-000094020000}"/>
              </a:ext>
            </a:extLst>
          </xdr:cNvPr>
          <xdr:cNvSpPr/>
        </xdr:nvSpPr>
        <xdr:spPr>
          <a:xfrm>
            <a:off x="317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61" name="$E$140">
            <a:extLst>
              <a:ext uri="{FF2B5EF4-FFF2-40B4-BE49-F238E27FC236}">
                <a16:creationId xmlns:a16="http://schemas.microsoft.com/office/drawing/2014/main" id="{00000000-0008-0000-0200-0000950200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62" name="$E$140">
            <a:extLst>
              <a:ext uri="{FF2B5EF4-FFF2-40B4-BE49-F238E27FC236}">
                <a16:creationId xmlns:a16="http://schemas.microsoft.com/office/drawing/2014/main" id="{00000000-0008-0000-0200-000096020000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63" name="$E$140">
            <a:extLst>
              <a:ext uri="{FF2B5EF4-FFF2-40B4-BE49-F238E27FC236}">
                <a16:creationId xmlns:a16="http://schemas.microsoft.com/office/drawing/2014/main" id="{00000000-0008-0000-0200-000097020000}"/>
              </a:ext>
            </a:extLst>
          </xdr:cNvPr>
          <xdr:cNvSpPr/>
        </xdr:nvSpPr>
        <xdr:spPr>
          <a:xfrm>
            <a:off x="457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64" name="$E$140">
            <a:extLst>
              <a:ext uri="{FF2B5EF4-FFF2-40B4-BE49-F238E27FC236}">
                <a16:creationId xmlns:a16="http://schemas.microsoft.com/office/drawing/2014/main" id="{00000000-0008-0000-0200-00009802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65" name="$E$140">
            <a:extLst>
              <a:ext uri="{FF2B5EF4-FFF2-40B4-BE49-F238E27FC236}">
                <a16:creationId xmlns:a16="http://schemas.microsoft.com/office/drawing/2014/main" id="{00000000-0008-0000-0200-00009902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66" name="$E$140">
            <a:extLst>
              <a:ext uri="{FF2B5EF4-FFF2-40B4-BE49-F238E27FC236}">
                <a16:creationId xmlns:a16="http://schemas.microsoft.com/office/drawing/2014/main" id="{00000000-0008-0000-0200-00009A02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67" name="$E$140">
            <a:extLst>
              <a:ext uri="{FF2B5EF4-FFF2-40B4-BE49-F238E27FC236}">
                <a16:creationId xmlns:a16="http://schemas.microsoft.com/office/drawing/2014/main" id="{00000000-0008-0000-0200-00009B02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68" name="$E$140">
            <a:extLst>
              <a:ext uri="{FF2B5EF4-FFF2-40B4-BE49-F238E27FC236}">
                <a16:creationId xmlns:a16="http://schemas.microsoft.com/office/drawing/2014/main" id="{00000000-0008-0000-0200-00009C02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69" name="$E$140">
            <a:extLst>
              <a:ext uri="{FF2B5EF4-FFF2-40B4-BE49-F238E27FC236}">
                <a16:creationId xmlns:a16="http://schemas.microsoft.com/office/drawing/2014/main" id="{00000000-0008-0000-0200-00009D02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70" name="$E$140">
            <a:extLst>
              <a:ext uri="{FF2B5EF4-FFF2-40B4-BE49-F238E27FC236}">
                <a16:creationId xmlns:a16="http://schemas.microsoft.com/office/drawing/2014/main" id="{00000000-0008-0000-0200-00009E02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71" name="$E$140">
            <a:extLst>
              <a:ext uri="{FF2B5EF4-FFF2-40B4-BE49-F238E27FC236}">
                <a16:creationId xmlns:a16="http://schemas.microsoft.com/office/drawing/2014/main" id="{00000000-0008-0000-0200-00009F02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72" name="$E$140">
            <a:extLst>
              <a:ext uri="{FF2B5EF4-FFF2-40B4-BE49-F238E27FC236}">
                <a16:creationId xmlns:a16="http://schemas.microsoft.com/office/drawing/2014/main" id="{00000000-0008-0000-0200-0000A002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73" name="$E$140">
            <a:extLst>
              <a:ext uri="{FF2B5EF4-FFF2-40B4-BE49-F238E27FC236}">
                <a16:creationId xmlns:a16="http://schemas.microsoft.com/office/drawing/2014/main" id="{00000000-0008-0000-0200-0000A102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74" name="$E$140">
            <a:extLst>
              <a:ext uri="{FF2B5EF4-FFF2-40B4-BE49-F238E27FC236}">
                <a16:creationId xmlns:a16="http://schemas.microsoft.com/office/drawing/2014/main" id="{00000000-0008-0000-0200-0000A202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75" name="$E$140">
            <a:extLst>
              <a:ext uri="{FF2B5EF4-FFF2-40B4-BE49-F238E27FC236}">
                <a16:creationId xmlns:a16="http://schemas.microsoft.com/office/drawing/2014/main" id="{00000000-0008-0000-0200-0000A302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76" name="$E$140">
            <a:extLst>
              <a:ext uri="{FF2B5EF4-FFF2-40B4-BE49-F238E27FC236}">
                <a16:creationId xmlns:a16="http://schemas.microsoft.com/office/drawing/2014/main" id="{00000000-0008-0000-0200-0000A402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77" name="$E$140">
            <a:extLst>
              <a:ext uri="{FF2B5EF4-FFF2-40B4-BE49-F238E27FC236}">
                <a16:creationId xmlns:a16="http://schemas.microsoft.com/office/drawing/2014/main" id="{00000000-0008-0000-0200-0000A502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78" name="$E$140">
            <a:extLst>
              <a:ext uri="{FF2B5EF4-FFF2-40B4-BE49-F238E27FC236}">
                <a16:creationId xmlns:a16="http://schemas.microsoft.com/office/drawing/2014/main" id="{00000000-0008-0000-0200-0000A602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79" name="$E$140">
            <a:extLst>
              <a:ext uri="{FF2B5EF4-FFF2-40B4-BE49-F238E27FC236}">
                <a16:creationId xmlns:a16="http://schemas.microsoft.com/office/drawing/2014/main" id="{00000000-0008-0000-0200-0000A702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80" name="$E$140">
            <a:extLst>
              <a:ext uri="{FF2B5EF4-FFF2-40B4-BE49-F238E27FC236}">
                <a16:creationId xmlns:a16="http://schemas.microsoft.com/office/drawing/2014/main" id="{00000000-0008-0000-0200-0000A802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81" name="$E$140">
            <a:extLst>
              <a:ext uri="{FF2B5EF4-FFF2-40B4-BE49-F238E27FC236}">
                <a16:creationId xmlns:a16="http://schemas.microsoft.com/office/drawing/2014/main" id="{00000000-0008-0000-0200-0000A902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82" name="$E$140">
            <a:extLst>
              <a:ext uri="{FF2B5EF4-FFF2-40B4-BE49-F238E27FC236}">
                <a16:creationId xmlns:a16="http://schemas.microsoft.com/office/drawing/2014/main" id="{00000000-0008-0000-0200-0000AA02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83" name="$E$140">
            <a:extLst>
              <a:ext uri="{FF2B5EF4-FFF2-40B4-BE49-F238E27FC236}">
                <a16:creationId xmlns:a16="http://schemas.microsoft.com/office/drawing/2014/main" id="{00000000-0008-0000-0200-0000AB02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84" name="$E$140">
            <a:extLst>
              <a:ext uri="{FF2B5EF4-FFF2-40B4-BE49-F238E27FC236}">
                <a16:creationId xmlns:a16="http://schemas.microsoft.com/office/drawing/2014/main" id="{00000000-0008-0000-0200-0000AC02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85" name="$E$140">
            <a:extLst>
              <a:ext uri="{FF2B5EF4-FFF2-40B4-BE49-F238E27FC236}">
                <a16:creationId xmlns:a16="http://schemas.microsoft.com/office/drawing/2014/main" id="{00000000-0008-0000-0200-0000AD020000}"/>
              </a:ext>
            </a:extLst>
          </xdr:cNvPr>
          <xdr:cNvSpPr/>
        </xdr:nvSpPr>
        <xdr:spPr>
          <a:xfrm>
            <a:off x="419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86" name="$E$140">
            <a:extLst>
              <a:ext uri="{FF2B5EF4-FFF2-40B4-BE49-F238E27FC236}">
                <a16:creationId xmlns:a16="http://schemas.microsoft.com/office/drawing/2014/main" id="{00000000-0008-0000-0200-0000AE020000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87" name="$E$140">
            <a:extLst>
              <a:ext uri="{FF2B5EF4-FFF2-40B4-BE49-F238E27FC236}">
                <a16:creationId xmlns:a16="http://schemas.microsoft.com/office/drawing/2014/main" id="{00000000-0008-0000-0200-0000AF020000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88" name="$E$140">
            <a:extLst>
              <a:ext uri="{FF2B5EF4-FFF2-40B4-BE49-F238E27FC236}">
                <a16:creationId xmlns:a16="http://schemas.microsoft.com/office/drawing/2014/main" id="{00000000-0008-0000-0200-0000B0020000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89" name="$E$140">
            <a:extLst>
              <a:ext uri="{FF2B5EF4-FFF2-40B4-BE49-F238E27FC236}">
                <a16:creationId xmlns:a16="http://schemas.microsoft.com/office/drawing/2014/main" id="{00000000-0008-0000-0200-0000B1020000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90" name="$E$140">
            <a:extLst>
              <a:ext uri="{FF2B5EF4-FFF2-40B4-BE49-F238E27FC236}">
                <a16:creationId xmlns:a16="http://schemas.microsoft.com/office/drawing/2014/main" id="{00000000-0008-0000-0200-0000B20200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91" name="$E$140">
            <a:extLst>
              <a:ext uri="{FF2B5EF4-FFF2-40B4-BE49-F238E27FC236}">
                <a16:creationId xmlns:a16="http://schemas.microsoft.com/office/drawing/2014/main" id="{00000000-0008-0000-0200-0000B30200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92" name="$E$140">
            <a:extLst>
              <a:ext uri="{FF2B5EF4-FFF2-40B4-BE49-F238E27FC236}">
                <a16:creationId xmlns:a16="http://schemas.microsoft.com/office/drawing/2014/main" id="{00000000-0008-0000-0200-0000B40200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93" name="$E$140">
            <a:extLst>
              <a:ext uri="{FF2B5EF4-FFF2-40B4-BE49-F238E27FC236}">
                <a16:creationId xmlns:a16="http://schemas.microsoft.com/office/drawing/2014/main" id="{00000000-0008-0000-0200-0000B50200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94" name="$E$140">
            <a:extLst>
              <a:ext uri="{FF2B5EF4-FFF2-40B4-BE49-F238E27FC236}">
                <a16:creationId xmlns:a16="http://schemas.microsoft.com/office/drawing/2014/main" id="{00000000-0008-0000-0200-0000B6020000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95" name="$E$140">
            <a:extLst>
              <a:ext uri="{FF2B5EF4-FFF2-40B4-BE49-F238E27FC236}">
                <a16:creationId xmlns:a16="http://schemas.microsoft.com/office/drawing/2014/main" id="{00000000-0008-0000-0200-0000B7020000}"/>
              </a:ext>
            </a:extLst>
          </xdr:cNvPr>
          <xdr:cNvSpPr/>
        </xdr:nvSpPr>
        <xdr:spPr>
          <a:xfrm>
            <a:off x="279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96" name="$E$140">
            <a:extLst>
              <a:ext uri="{FF2B5EF4-FFF2-40B4-BE49-F238E27FC236}">
                <a16:creationId xmlns:a16="http://schemas.microsoft.com/office/drawing/2014/main" id="{00000000-0008-0000-0200-0000B8020000}"/>
              </a:ext>
            </a:extLst>
          </xdr:cNvPr>
          <xdr:cNvSpPr/>
        </xdr:nvSpPr>
        <xdr:spPr>
          <a:xfrm>
            <a:off x="317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97" name="$E$140">
            <a:extLst>
              <a:ext uri="{FF2B5EF4-FFF2-40B4-BE49-F238E27FC236}">
                <a16:creationId xmlns:a16="http://schemas.microsoft.com/office/drawing/2014/main" id="{00000000-0008-0000-0200-0000B9020000}"/>
              </a:ext>
            </a:extLst>
          </xdr:cNvPr>
          <xdr:cNvSpPr/>
        </xdr:nvSpPr>
        <xdr:spPr>
          <a:xfrm>
            <a:off x="330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98" name="$E$140">
            <a:extLst>
              <a:ext uri="{FF2B5EF4-FFF2-40B4-BE49-F238E27FC236}">
                <a16:creationId xmlns:a16="http://schemas.microsoft.com/office/drawing/2014/main" id="{00000000-0008-0000-0200-0000BA020000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699" name="$E$140">
            <a:extLst>
              <a:ext uri="{FF2B5EF4-FFF2-40B4-BE49-F238E27FC236}">
                <a16:creationId xmlns:a16="http://schemas.microsoft.com/office/drawing/2014/main" id="{00000000-0008-0000-0200-0000BB02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00" name="$E$140">
            <a:extLst>
              <a:ext uri="{FF2B5EF4-FFF2-40B4-BE49-F238E27FC236}">
                <a16:creationId xmlns:a16="http://schemas.microsoft.com/office/drawing/2014/main" id="{00000000-0008-0000-0200-0000BC0200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01" name="$E$140">
            <a:extLst>
              <a:ext uri="{FF2B5EF4-FFF2-40B4-BE49-F238E27FC236}">
                <a16:creationId xmlns:a16="http://schemas.microsoft.com/office/drawing/2014/main" id="{00000000-0008-0000-0200-0000BD0200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02" name="$E$140">
            <a:extLst>
              <a:ext uri="{FF2B5EF4-FFF2-40B4-BE49-F238E27FC236}">
                <a16:creationId xmlns:a16="http://schemas.microsoft.com/office/drawing/2014/main" id="{00000000-0008-0000-0200-0000BE0200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03" name="$E$140">
            <a:extLst>
              <a:ext uri="{FF2B5EF4-FFF2-40B4-BE49-F238E27FC236}">
                <a16:creationId xmlns:a16="http://schemas.microsoft.com/office/drawing/2014/main" id="{00000000-0008-0000-0200-0000BF02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04" name="$E$140">
            <a:extLst>
              <a:ext uri="{FF2B5EF4-FFF2-40B4-BE49-F238E27FC236}">
                <a16:creationId xmlns:a16="http://schemas.microsoft.com/office/drawing/2014/main" id="{00000000-0008-0000-0200-0000C00200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05" name="$E$140">
            <a:extLst>
              <a:ext uri="{FF2B5EF4-FFF2-40B4-BE49-F238E27FC236}">
                <a16:creationId xmlns:a16="http://schemas.microsoft.com/office/drawing/2014/main" id="{00000000-0008-0000-0200-0000C10200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06" name="$E$140">
            <a:extLst>
              <a:ext uri="{FF2B5EF4-FFF2-40B4-BE49-F238E27FC236}">
                <a16:creationId xmlns:a16="http://schemas.microsoft.com/office/drawing/2014/main" id="{00000000-0008-0000-0200-0000C202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07" name="$E$140">
            <a:extLst>
              <a:ext uri="{FF2B5EF4-FFF2-40B4-BE49-F238E27FC236}">
                <a16:creationId xmlns:a16="http://schemas.microsoft.com/office/drawing/2014/main" id="{00000000-0008-0000-0200-0000C30200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08" name="$E$140">
            <a:extLst>
              <a:ext uri="{FF2B5EF4-FFF2-40B4-BE49-F238E27FC236}">
                <a16:creationId xmlns:a16="http://schemas.microsoft.com/office/drawing/2014/main" id="{00000000-0008-0000-0200-0000C40200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09" name="$E$140">
            <a:extLst>
              <a:ext uri="{FF2B5EF4-FFF2-40B4-BE49-F238E27FC236}">
                <a16:creationId xmlns:a16="http://schemas.microsoft.com/office/drawing/2014/main" id="{00000000-0008-0000-0200-0000C50200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10" name="$E$140">
            <a:extLst>
              <a:ext uri="{FF2B5EF4-FFF2-40B4-BE49-F238E27FC236}">
                <a16:creationId xmlns:a16="http://schemas.microsoft.com/office/drawing/2014/main" id="{00000000-0008-0000-0200-0000C602000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11" name="$E$140">
            <a:extLst>
              <a:ext uri="{FF2B5EF4-FFF2-40B4-BE49-F238E27FC236}">
                <a16:creationId xmlns:a16="http://schemas.microsoft.com/office/drawing/2014/main" id="{00000000-0008-0000-0200-0000C702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12" name="$E$140">
            <a:extLst>
              <a:ext uri="{FF2B5EF4-FFF2-40B4-BE49-F238E27FC236}">
                <a16:creationId xmlns:a16="http://schemas.microsoft.com/office/drawing/2014/main" id="{00000000-0008-0000-0200-0000C8020000}"/>
              </a:ext>
            </a:extLst>
          </xdr:cNvPr>
          <xdr:cNvSpPr/>
        </xdr:nvSpPr>
        <xdr:spPr>
          <a:xfrm>
            <a:off x="355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13" name="$E$140">
            <a:extLst>
              <a:ext uri="{FF2B5EF4-FFF2-40B4-BE49-F238E27FC236}">
                <a16:creationId xmlns:a16="http://schemas.microsoft.com/office/drawing/2014/main" id="{00000000-0008-0000-0200-0000C9020000}"/>
              </a:ext>
            </a:extLst>
          </xdr:cNvPr>
          <xdr:cNvSpPr/>
        </xdr:nvSpPr>
        <xdr:spPr>
          <a:xfrm>
            <a:off x="381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14" name="$E$140">
            <a:extLst>
              <a:ext uri="{FF2B5EF4-FFF2-40B4-BE49-F238E27FC236}">
                <a16:creationId xmlns:a16="http://schemas.microsoft.com/office/drawing/2014/main" id="{00000000-0008-0000-0200-0000CA020000}"/>
              </a:ext>
            </a:extLst>
          </xdr:cNvPr>
          <xdr:cNvSpPr/>
        </xdr:nvSpPr>
        <xdr:spPr>
          <a:xfrm>
            <a:off x="457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15" name="$E$140">
            <a:extLst>
              <a:ext uri="{FF2B5EF4-FFF2-40B4-BE49-F238E27FC236}">
                <a16:creationId xmlns:a16="http://schemas.microsoft.com/office/drawing/2014/main" id="{00000000-0008-0000-0200-0000CB0200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16" name="$E$140">
            <a:extLst>
              <a:ext uri="{FF2B5EF4-FFF2-40B4-BE49-F238E27FC236}">
                <a16:creationId xmlns:a16="http://schemas.microsoft.com/office/drawing/2014/main" id="{00000000-0008-0000-0200-0000CC0200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17" name="$E$140">
            <a:extLst>
              <a:ext uri="{FF2B5EF4-FFF2-40B4-BE49-F238E27FC236}">
                <a16:creationId xmlns:a16="http://schemas.microsoft.com/office/drawing/2014/main" id="{00000000-0008-0000-0200-0000CD0200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18" name="$E$140">
            <a:extLst>
              <a:ext uri="{FF2B5EF4-FFF2-40B4-BE49-F238E27FC236}">
                <a16:creationId xmlns:a16="http://schemas.microsoft.com/office/drawing/2014/main" id="{00000000-0008-0000-0200-0000CE0200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19" name="$E$140">
            <a:extLst>
              <a:ext uri="{FF2B5EF4-FFF2-40B4-BE49-F238E27FC236}">
                <a16:creationId xmlns:a16="http://schemas.microsoft.com/office/drawing/2014/main" id="{00000000-0008-0000-0200-0000CF0200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20" name="$E$140">
            <a:extLst>
              <a:ext uri="{FF2B5EF4-FFF2-40B4-BE49-F238E27FC236}">
                <a16:creationId xmlns:a16="http://schemas.microsoft.com/office/drawing/2014/main" id="{00000000-0008-0000-0200-0000D0020000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21" name="$E$140">
            <a:extLst>
              <a:ext uri="{FF2B5EF4-FFF2-40B4-BE49-F238E27FC236}">
                <a16:creationId xmlns:a16="http://schemas.microsoft.com/office/drawing/2014/main" id="{00000000-0008-0000-0200-0000D10200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22" name="$E$140">
            <a:extLst>
              <a:ext uri="{FF2B5EF4-FFF2-40B4-BE49-F238E27FC236}">
                <a16:creationId xmlns:a16="http://schemas.microsoft.com/office/drawing/2014/main" id="{00000000-0008-0000-0200-0000D20200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23" name="$E$140">
            <a:extLst>
              <a:ext uri="{FF2B5EF4-FFF2-40B4-BE49-F238E27FC236}">
                <a16:creationId xmlns:a16="http://schemas.microsoft.com/office/drawing/2014/main" id="{00000000-0008-0000-0200-0000D30200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24" name="$E$140">
            <a:extLst>
              <a:ext uri="{FF2B5EF4-FFF2-40B4-BE49-F238E27FC236}">
                <a16:creationId xmlns:a16="http://schemas.microsoft.com/office/drawing/2014/main" id="{00000000-0008-0000-0200-0000D40200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25" name="$E$140">
            <a:extLst>
              <a:ext uri="{FF2B5EF4-FFF2-40B4-BE49-F238E27FC236}">
                <a16:creationId xmlns:a16="http://schemas.microsoft.com/office/drawing/2014/main" id="{00000000-0008-0000-0200-0000D502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26" name="$E$140">
            <a:extLst>
              <a:ext uri="{FF2B5EF4-FFF2-40B4-BE49-F238E27FC236}">
                <a16:creationId xmlns:a16="http://schemas.microsoft.com/office/drawing/2014/main" id="{00000000-0008-0000-0200-0000D602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27" name="$E$140">
            <a:extLst>
              <a:ext uri="{FF2B5EF4-FFF2-40B4-BE49-F238E27FC236}">
                <a16:creationId xmlns:a16="http://schemas.microsoft.com/office/drawing/2014/main" id="{00000000-0008-0000-0200-0000D7020000}"/>
              </a:ext>
            </a:extLst>
          </xdr:cNvPr>
          <xdr:cNvSpPr/>
        </xdr:nvSpPr>
        <xdr:spPr>
          <a:xfrm>
            <a:off x="317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28" name="$E$140">
            <a:extLst>
              <a:ext uri="{FF2B5EF4-FFF2-40B4-BE49-F238E27FC236}">
                <a16:creationId xmlns:a16="http://schemas.microsoft.com/office/drawing/2014/main" id="{00000000-0008-0000-0200-0000D80200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29" name="$E$140">
            <a:extLst>
              <a:ext uri="{FF2B5EF4-FFF2-40B4-BE49-F238E27FC236}">
                <a16:creationId xmlns:a16="http://schemas.microsoft.com/office/drawing/2014/main" id="{00000000-0008-0000-0200-0000D9020000}"/>
              </a:ext>
            </a:extLst>
          </xdr:cNvPr>
          <xdr:cNvSpPr/>
        </xdr:nvSpPr>
        <xdr:spPr>
          <a:xfrm>
            <a:off x="342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30" name="$E$140">
            <a:extLst>
              <a:ext uri="{FF2B5EF4-FFF2-40B4-BE49-F238E27FC236}">
                <a16:creationId xmlns:a16="http://schemas.microsoft.com/office/drawing/2014/main" id="{00000000-0008-0000-0200-0000DA020000}"/>
              </a:ext>
            </a:extLst>
          </xdr:cNvPr>
          <xdr:cNvSpPr/>
        </xdr:nvSpPr>
        <xdr:spPr>
          <a:xfrm>
            <a:off x="368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31" name="$E$140">
            <a:extLst>
              <a:ext uri="{FF2B5EF4-FFF2-40B4-BE49-F238E27FC236}">
                <a16:creationId xmlns:a16="http://schemas.microsoft.com/office/drawing/2014/main" id="{00000000-0008-0000-0200-0000DB02000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32" name="$E$140">
            <a:extLst>
              <a:ext uri="{FF2B5EF4-FFF2-40B4-BE49-F238E27FC236}">
                <a16:creationId xmlns:a16="http://schemas.microsoft.com/office/drawing/2014/main" id="{00000000-0008-0000-0200-0000DC0200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33" name="$E$140">
            <a:extLst>
              <a:ext uri="{FF2B5EF4-FFF2-40B4-BE49-F238E27FC236}">
                <a16:creationId xmlns:a16="http://schemas.microsoft.com/office/drawing/2014/main" id="{00000000-0008-0000-0200-0000DD020000}"/>
              </a:ext>
            </a:extLst>
          </xdr:cNvPr>
          <xdr:cNvSpPr/>
        </xdr:nvSpPr>
        <xdr:spPr>
          <a:xfrm>
            <a:off x="444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34" name="$E$140">
            <a:extLst>
              <a:ext uri="{FF2B5EF4-FFF2-40B4-BE49-F238E27FC236}">
                <a16:creationId xmlns:a16="http://schemas.microsoft.com/office/drawing/2014/main" id="{00000000-0008-0000-0200-0000DE0200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35" name="$E$140">
            <a:extLst>
              <a:ext uri="{FF2B5EF4-FFF2-40B4-BE49-F238E27FC236}">
                <a16:creationId xmlns:a16="http://schemas.microsoft.com/office/drawing/2014/main" id="{00000000-0008-0000-0200-0000DF02000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36" name="$E$140">
            <a:extLst>
              <a:ext uri="{FF2B5EF4-FFF2-40B4-BE49-F238E27FC236}">
                <a16:creationId xmlns:a16="http://schemas.microsoft.com/office/drawing/2014/main" id="{00000000-0008-0000-0200-0000E002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37" name="$E$140">
            <a:extLst>
              <a:ext uri="{FF2B5EF4-FFF2-40B4-BE49-F238E27FC236}">
                <a16:creationId xmlns:a16="http://schemas.microsoft.com/office/drawing/2014/main" id="{00000000-0008-0000-0200-0000E10200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38" name="$E$140">
            <a:extLst>
              <a:ext uri="{FF2B5EF4-FFF2-40B4-BE49-F238E27FC236}">
                <a16:creationId xmlns:a16="http://schemas.microsoft.com/office/drawing/2014/main" id="{00000000-0008-0000-0200-0000E2020000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39" name="$E$140">
            <a:extLst>
              <a:ext uri="{FF2B5EF4-FFF2-40B4-BE49-F238E27FC236}">
                <a16:creationId xmlns:a16="http://schemas.microsoft.com/office/drawing/2014/main" id="{00000000-0008-0000-0200-0000E3020000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40" name="$E$140">
            <a:extLst>
              <a:ext uri="{FF2B5EF4-FFF2-40B4-BE49-F238E27FC236}">
                <a16:creationId xmlns:a16="http://schemas.microsoft.com/office/drawing/2014/main" id="{00000000-0008-0000-0200-0000E40200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41" name="$E$140">
            <a:extLst>
              <a:ext uri="{FF2B5EF4-FFF2-40B4-BE49-F238E27FC236}">
                <a16:creationId xmlns:a16="http://schemas.microsoft.com/office/drawing/2014/main" id="{00000000-0008-0000-0200-0000E50200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42" name="$E$140">
            <a:extLst>
              <a:ext uri="{FF2B5EF4-FFF2-40B4-BE49-F238E27FC236}">
                <a16:creationId xmlns:a16="http://schemas.microsoft.com/office/drawing/2014/main" id="{00000000-0008-0000-0200-0000E60200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43" name="$E$140">
            <a:extLst>
              <a:ext uri="{FF2B5EF4-FFF2-40B4-BE49-F238E27FC236}">
                <a16:creationId xmlns:a16="http://schemas.microsoft.com/office/drawing/2014/main" id="{00000000-0008-0000-0200-0000E70200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44" name="$E$140">
            <a:extLst>
              <a:ext uri="{FF2B5EF4-FFF2-40B4-BE49-F238E27FC236}">
                <a16:creationId xmlns:a16="http://schemas.microsoft.com/office/drawing/2014/main" id="{00000000-0008-0000-0200-0000E80200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45" name="$E$140">
            <a:extLst>
              <a:ext uri="{FF2B5EF4-FFF2-40B4-BE49-F238E27FC236}">
                <a16:creationId xmlns:a16="http://schemas.microsoft.com/office/drawing/2014/main" id="{00000000-0008-0000-0200-0000E90200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46" name="$E$140">
            <a:extLst>
              <a:ext uri="{FF2B5EF4-FFF2-40B4-BE49-F238E27FC236}">
                <a16:creationId xmlns:a16="http://schemas.microsoft.com/office/drawing/2014/main" id="{00000000-0008-0000-0200-0000EA0200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47" name="$E$140">
            <a:extLst>
              <a:ext uri="{FF2B5EF4-FFF2-40B4-BE49-F238E27FC236}">
                <a16:creationId xmlns:a16="http://schemas.microsoft.com/office/drawing/2014/main" id="{00000000-0008-0000-0200-0000EB0200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48" name="$E$140">
            <a:extLst>
              <a:ext uri="{FF2B5EF4-FFF2-40B4-BE49-F238E27FC236}">
                <a16:creationId xmlns:a16="http://schemas.microsoft.com/office/drawing/2014/main" id="{00000000-0008-0000-0200-0000EC020000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49" name="$E$140">
            <a:extLst>
              <a:ext uri="{FF2B5EF4-FFF2-40B4-BE49-F238E27FC236}">
                <a16:creationId xmlns:a16="http://schemas.microsoft.com/office/drawing/2014/main" id="{00000000-0008-0000-0200-0000ED020000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50" name="$E$140">
            <a:extLst>
              <a:ext uri="{FF2B5EF4-FFF2-40B4-BE49-F238E27FC236}">
                <a16:creationId xmlns:a16="http://schemas.microsoft.com/office/drawing/2014/main" id="{00000000-0008-0000-0200-0000EE020000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51" name="$E$140">
            <a:extLst>
              <a:ext uri="{FF2B5EF4-FFF2-40B4-BE49-F238E27FC236}">
                <a16:creationId xmlns:a16="http://schemas.microsoft.com/office/drawing/2014/main" id="{00000000-0008-0000-0200-0000EF020000}"/>
              </a:ext>
            </a:extLst>
          </xdr:cNvPr>
          <xdr:cNvSpPr/>
        </xdr:nvSpPr>
        <xdr:spPr>
          <a:xfrm>
            <a:off x="406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52" name="$E$140">
            <a:extLst>
              <a:ext uri="{FF2B5EF4-FFF2-40B4-BE49-F238E27FC236}">
                <a16:creationId xmlns:a16="http://schemas.microsoft.com/office/drawing/2014/main" id="{00000000-0008-0000-0200-0000F0020000}"/>
              </a:ext>
            </a:extLst>
          </xdr:cNvPr>
          <xdr:cNvSpPr/>
        </xdr:nvSpPr>
        <xdr:spPr>
          <a:xfrm>
            <a:off x="419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53" name="$E$140">
            <a:extLst>
              <a:ext uri="{FF2B5EF4-FFF2-40B4-BE49-F238E27FC236}">
                <a16:creationId xmlns:a16="http://schemas.microsoft.com/office/drawing/2014/main" id="{00000000-0008-0000-0200-0000F1020000}"/>
              </a:ext>
            </a:extLst>
          </xdr:cNvPr>
          <xdr:cNvSpPr/>
        </xdr:nvSpPr>
        <xdr:spPr>
          <a:xfrm>
            <a:off x="431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54" name="$E$140">
            <a:extLst>
              <a:ext uri="{FF2B5EF4-FFF2-40B4-BE49-F238E27FC236}">
                <a16:creationId xmlns:a16="http://schemas.microsoft.com/office/drawing/2014/main" id="{00000000-0008-0000-0200-0000F2020000}"/>
              </a:ext>
            </a:extLst>
          </xdr:cNvPr>
          <xdr:cNvSpPr/>
        </xdr:nvSpPr>
        <xdr:spPr>
          <a:xfrm>
            <a:off x="444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55" name="$E$140">
            <a:extLst>
              <a:ext uri="{FF2B5EF4-FFF2-40B4-BE49-F238E27FC236}">
                <a16:creationId xmlns:a16="http://schemas.microsoft.com/office/drawing/2014/main" id="{00000000-0008-0000-0200-0000F3020000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56" name="$E$140">
            <a:extLst>
              <a:ext uri="{FF2B5EF4-FFF2-40B4-BE49-F238E27FC236}">
                <a16:creationId xmlns:a16="http://schemas.microsoft.com/office/drawing/2014/main" id="{00000000-0008-0000-0200-0000F4020000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57" name="$E$140">
            <a:extLst>
              <a:ext uri="{FF2B5EF4-FFF2-40B4-BE49-F238E27FC236}">
                <a16:creationId xmlns:a16="http://schemas.microsoft.com/office/drawing/2014/main" id="{00000000-0008-0000-0200-0000F5020000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58" name="$E$140">
            <a:extLst>
              <a:ext uri="{FF2B5EF4-FFF2-40B4-BE49-F238E27FC236}">
                <a16:creationId xmlns:a16="http://schemas.microsoft.com/office/drawing/2014/main" id="{00000000-0008-0000-0200-0000F60200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59" name="$E$140">
            <a:extLst>
              <a:ext uri="{FF2B5EF4-FFF2-40B4-BE49-F238E27FC236}">
                <a16:creationId xmlns:a16="http://schemas.microsoft.com/office/drawing/2014/main" id="{00000000-0008-0000-0200-0000F70200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60" name="$E$140">
            <a:extLst>
              <a:ext uri="{FF2B5EF4-FFF2-40B4-BE49-F238E27FC236}">
                <a16:creationId xmlns:a16="http://schemas.microsoft.com/office/drawing/2014/main" id="{00000000-0008-0000-0200-0000F80200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61" name="$E$140">
            <a:extLst>
              <a:ext uri="{FF2B5EF4-FFF2-40B4-BE49-F238E27FC236}">
                <a16:creationId xmlns:a16="http://schemas.microsoft.com/office/drawing/2014/main" id="{00000000-0008-0000-0200-0000F9020000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62" name="$E$140">
            <a:extLst>
              <a:ext uri="{FF2B5EF4-FFF2-40B4-BE49-F238E27FC236}">
                <a16:creationId xmlns:a16="http://schemas.microsoft.com/office/drawing/2014/main" id="{00000000-0008-0000-0200-0000FA02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63" name="$E$140">
            <a:extLst>
              <a:ext uri="{FF2B5EF4-FFF2-40B4-BE49-F238E27FC236}">
                <a16:creationId xmlns:a16="http://schemas.microsoft.com/office/drawing/2014/main" id="{00000000-0008-0000-0200-0000FB0200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64" name="$E$140">
            <a:extLst>
              <a:ext uri="{FF2B5EF4-FFF2-40B4-BE49-F238E27FC236}">
                <a16:creationId xmlns:a16="http://schemas.microsoft.com/office/drawing/2014/main" id="{00000000-0008-0000-0200-0000FC020000}"/>
              </a:ext>
            </a:extLst>
          </xdr:cNvPr>
          <xdr:cNvSpPr/>
        </xdr:nvSpPr>
        <xdr:spPr>
          <a:xfrm>
            <a:off x="368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65" name="$E$140">
            <a:extLst>
              <a:ext uri="{FF2B5EF4-FFF2-40B4-BE49-F238E27FC236}">
                <a16:creationId xmlns:a16="http://schemas.microsoft.com/office/drawing/2014/main" id="{00000000-0008-0000-0200-0000FD0200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66" name="$E$140">
            <a:extLst>
              <a:ext uri="{FF2B5EF4-FFF2-40B4-BE49-F238E27FC236}">
                <a16:creationId xmlns:a16="http://schemas.microsoft.com/office/drawing/2014/main" id="{00000000-0008-0000-0200-0000FE020000}"/>
              </a:ext>
            </a:extLst>
          </xdr:cNvPr>
          <xdr:cNvSpPr/>
        </xdr:nvSpPr>
        <xdr:spPr>
          <a:xfrm>
            <a:off x="431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67" name="$E$140">
            <a:extLst>
              <a:ext uri="{FF2B5EF4-FFF2-40B4-BE49-F238E27FC236}">
                <a16:creationId xmlns:a16="http://schemas.microsoft.com/office/drawing/2014/main" id="{00000000-0008-0000-0200-0000FF02000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68" name="$E$140">
            <a:extLst>
              <a:ext uri="{FF2B5EF4-FFF2-40B4-BE49-F238E27FC236}">
                <a16:creationId xmlns:a16="http://schemas.microsoft.com/office/drawing/2014/main" id="{00000000-0008-0000-0200-000000030000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69" name="$E$140">
            <a:extLst>
              <a:ext uri="{FF2B5EF4-FFF2-40B4-BE49-F238E27FC236}">
                <a16:creationId xmlns:a16="http://schemas.microsoft.com/office/drawing/2014/main" id="{00000000-0008-0000-0200-0000010300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70" name="$E$140">
            <a:extLst>
              <a:ext uri="{FF2B5EF4-FFF2-40B4-BE49-F238E27FC236}">
                <a16:creationId xmlns:a16="http://schemas.microsoft.com/office/drawing/2014/main" id="{00000000-0008-0000-0200-00000203000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71" name="$E$140">
            <a:extLst>
              <a:ext uri="{FF2B5EF4-FFF2-40B4-BE49-F238E27FC236}">
                <a16:creationId xmlns:a16="http://schemas.microsoft.com/office/drawing/2014/main" id="{00000000-0008-0000-0200-0000030300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72" name="$E$140">
            <a:extLst>
              <a:ext uri="{FF2B5EF4-FFF2-40B4-BE49-F238E27FC236}">
                <a16:creationId xmlns:a16="http://schemas.microsoft.com/office/drawing/2014/main" id="{00000000-0008-0000-0200-00000403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73" name="$E$140">
            <a:extLst>
              <a:ext uri="{FF2B5EF4-FFF2-40B4-BE49-F238E27FC236}">
                <a16:creationId xmlns:a16="http://schemas.microsoft.com/office/drawing/2014/main" id="{00000000-0008-0000-0200-0000050300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74" name="$E$140">
            <a:extLst>
              <a:ext uri="{FF2B5EF4-FFF2-40B4-BE49-F238E27FC236}">
                <a16:creationId xmlns:a16="http://schemas.microsoft.com/office/drawing/2014/main" id="{00000000-0008-0000-0200-0000060300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75" name="$E$140">
            <a:extLst>
              <a:ext uri="{FF2B5EF4-FFF2-40B4-BE49-F238E27FC236}">
                <a16:creationId xmlns:a16="http://schemas.microsoft.com/office/drawing/2014/main" id="{00000000-0008-0000-0200-0000070300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76" name="$E$140">
            <a:extLst>
              <a:ext uri="{FF2B5EF4-FFF2-40B4-BE49-F238E27FC236}">
                <a16:creationId xmlns:a16="http://schemas.microsoft.com/office/drawing/2014/main" id="{00000000-0008-0000-0200-0000080300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77" name="$E$140">
            <a:extLst>
              <a:ext uri="{FF2B5EF4-FFF2-40B4-BE49-F238E27FC236}">
                <a16:creationId xmlns:a16="http://schemas.microsoft.com/office/drawing/2014/main" id="{00000000-0008-0000-0200-0000090300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78" name="$E$140">
            <a:extLst>
              <a:ext uri="{FF2B5EF4-FFF2-40B4-BE49-F238E27FC236}">
                <a16:creationId xmlns:a16="http://schemas.microsoft.com/office/drawing/2014/main" id="{00000000-0008-0000-0200-00000A0300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79" name="$E$140">
            <a:extLst>
              <a:ext uri="{FF2B5EF4-FFF2-40B4-BE49-F238E27FC236}">
                <a16:creationId xmlns:a16="http://schemas.microsoft.com/office/drawing/2014/main" id="{00000000-0008-0000-0200-00000B03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80" name="$E$140">
            <a:extLst>
              <a:ext uri="{FF2B5EF4-FFF2-40B4-BE49-F238E27FC236}">
                <a16:creationId xmlns:a16="http://schemas.microsoft.com/office/drawing/2014/main" id="{00000000-0008-0000-0200-00000C0300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81" name="$E$140">
            <a:extLst>
              <a:ext uri="{FF2B5EF4-FFF2-40B4-BE49-F238E27FC236}">
                <a16:creationId xmlns:a16="http://schemas.microsoft.com/office/drawing/2014/main" id="{00000000-0008-0000-0200-00000D0300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82" name="$E$140">
            <a:extLst>
              <a:ext uri="{FF2B5EF4-FFF2-40B4-BE49-F238E27FC236}">
                <a16:creationId xmlns:a16="http://schemas.microsoft.com/office/drawing/2014/main" id="{00000000-0008-0000-0200-00000E030000}"/>
              </a:ext>
            </a:extLst>
          </xdr:cNvPr>
          <xdr:cNvSpPr/>
        </xdr:nvSpPr>
        <xdr:spPr>
          <a:xfrm>
            <a:off x="381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83" name="$E$140">
            <a:extLst>
              <a:ext uri="{FF2B5EF4-FFF2-40B4-BE49-F238E27FC236}">
                <a16:creationId xmlns:a16="http://schemas.microsoft.com/office/drawing/2014/main" id="{00000000-0008-0000-0200-00000F030000}"/>
              </a:ext>
            </a:extLst>
          </xdr:cNvPr>
          <xdr:cNvSpPr/>
        </xdr:nvSpPr>
        <xdr:spPr>
          <a:xfrm>
            <a:off x="393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84" name="$E$140">
            <a:extLst>
              <a:ext uri="{FF2B5EF4-FFF2-40B4-BE49-F238E27FC236}">
                <a16:creationId xmlns:a16="http://schemas.microsoft.com/office/drawing/2014/main" id="{00000000-0008-0000-0200-000010030000}"/>
              </a:ext>
            </a:extLst>
          </xdr:cNvPr>
          <xdr:cNvSpPr/>
        </xdr:nvSpPr>
        <xdr:spPr>
          <a:xfrm>
            <a:off x="419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85" name="$E$140">
            <a:extLst>
              <a:ext uri="{FF2B5EF4-FFF2-40B4-BE49-F238E27FC236}">
                <a16:creationId xmlns:a16="http://schemas.microsoft.com/office/drawing/2014/main" id="{00000000-0008-0000-0200-000011030000}"/>
              </a:ext>
            </a:extLst>
          </xdr:cNvPr>
          <xdr:cNvSpPr/>
        </xdr:nvSpPr>
        <xdr:spPr>
          <a:xfrm>
            <a:off x="444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86" name="$E$140">
            <a:extLst>
              <a:ext uri="{FF2B5EF4-FFF2-40B4-BE49-F238E27FC236}">
                <a16:creationId xmlns:a16="http://schemas.microsoft.com/office/drawing/2014/main" id="{00000000-0008-0000-0200-000012030000}"/>
              </a:ext>
            </a:extLst>
          </xdr:cNvPr>
          <xdr:cNvSpPr/>
        </xdr:nvSpPr>
        <xdr:spPr>
          <a:xfrm>
            <a:off x="457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87" name="$E$140">
            <a:extLst>
              <a:ext uri="{FF2B5EF4-FFF2-40B4-BE49-F238E27FC236}">
                <a16:creationId xmlns:a16="http://schemas.microsoft.com/office/drawing/2014/main" id="{00000000-0008-0000-0200-0000130300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88" name="$E$140">
            <a:extLst>
              <a:ext uri="{FF2B5EF4-FFF2-40B4-BE49-F238E27FC236}">
                <a16:creationId xmlns:a16="http://schemas.microsoft.com/office/drawing/2014/main" id="{00000000-0008-0000-0200-000014030000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89" name="$E$140">
            <a:extLst>
              <a:ext uri="{FF2B5EF4-FFF2-40B4-BE49-F238E27FC236}">
                <a16:creationId xmlns:a16="http://schemas.microsoft.com/office/drawing/2014/main" id="{00000000-0008-0000-0200-000015030000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90" name="$E$140">
            <a:extLst>
              <a:ext uri="{FF2B5EF4-FFF2-40B4-BE49-F238E27FC236}">
                <a16:creationId xmlns:a16="http://schemas.microsoft.com/office/drawing/2014/main" id="{00000000-0008-0000-0200-0000160300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91" name="$E$140">
            <a:extLst>
              <a:ext uri="{FF2B5EF4-FFF2-40B4-BE49-F238E27FC236}">
                <a16:creationId xmlns:a16="http://schemas.microsoft.com/office/drawing/2014/main" id="{00000000-0008-0000-0200-0000170300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92" name="$E$140">
            <a:extLst>
              <a:ext uri="{FF2B5EF4-FFF2-40B4-BE49-F238E27FC236}">
                <a16:creationId xmlns:a16="http://schemas.microsoft.com/office/drawing/2014/main" id="{00000000-0008-0000-0200-0000180300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93" name="$E$140">
            <a:extLst>
              <a:ext uri="{FF2B5EF4-FFF2-40B4-BE49-F238E27FC236}">
                <a16:creationId xmlns:a16="http://schemas.microsoft.com/office/drawing/2014/main" id="{00000000-0008-0000-0200-000019030000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94" name="$E$140">
            <a:extLst>
              <a:ext uri="{FF2B5EF4-FFF2-40B4-BE49-F238E27FC236}">
                <a16:creationId xmlns:a16="http://schemas.microsoft.com/office/drawing/2014/main" id="{00000000-0008-0000-0200-00001A0300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95" name="$E$140">
            <a:extLst>
              <a:ext uri="{FF2B5EF4-FFF2-40B4-BE49-F238E27FC236}">
                <a16:creationId xmlns:a16="http://schemas.microsoft.com/office/drawing/2014/main" id="{00000000-0008-0000-0200-00001B030000}"/>
              </a:ext>
            </a:extLst>
          </xdr:cNvPr>
          <xdr:cNvSpPr/>
        </xdr:nvSpPr>
        <xdr:spPr>
          <a:xfrm>
            <a:off x="317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96" name="$E$140">
            <a:extLst>
              <a:ext uri="{FF2B5EF4-FFF2-40B4-BE49-F238E27FC236}">
                <a16:creationId xmlns:a16="http://schemas.microsoft.com/office/drawing/2014/main" id="{00000000-0008-0000-0200-00001C03000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97" name="$E$140">
            <a:extLst>
              <a:ext uri="{FF2B5EF4-FFF2-40B4-BE49-F238E27FC236}">
                <a16:creationId xmlns:a16="http://schemas.microsoft.com/office/drawing/2014/main" id="{00000000-0008-0000-0200-00001D0300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98" name="$E$140">
            <a:extLst>
              <a:ext uri="{FF2B5EF4-FFF2-40B4-BE49-F238E27FC236}">
                <a16:creationId xmlns:a16="http://schemas.microsoft.com/office/drawing/2014/main" id="{00000000-0008-0000-0200-00001E030000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99" name="$E$140">
            <a:extLst>
              <a:ext uri="{FF2B5EF4-FFF2-40B4-BE49-F238E27FC236}">
                <a16:creationId xmlns:a16="http://schemas.microsoft.com/office/drawing/2014/main" id="{00000000-0008-0000-0200-00001F030000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00" name="$E$140">
            <a:extLst>
              <a:ext uri="{FF2B5EF4-FFF2-40B4-BE49-F238E27FC236}">
                <a16:creationId xmlns:a16="http://schemas.microsoft.com/office/drawing/2014/main" id="{00000000-0008-0000-0200-000020030000}"/>
              </a:ext>
            </a:extLst>
          </xdr:cNvPr>
          <xdr:cNvSpPr/>
        </xdr:nvSpPr>
        <xdr:spPr>
          <a:xfrm>
            <a:off x="419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01" name="$E$140">
            <a:extLst>
              <a:ext uri="{FF2B5EF4-FFF2-40B4-BE49-F238E27FC236}">
                <a16:creationId xmlns:a16="http://schemas.microsoft.com/office/drawing/2014/main" id="{00000000-0008-0000-0200-000021030000}"/>
              </a:ext>
            </a:extLst>
          </xdr:cNvPr>
          <xdr:cNvSpPr/>
        </xdr:nvSpPr>
        <xdr:spPr>
          <a:xfrm>
            <a:off x="431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02" name="$E$140">
            <a:extLst>
              <a:ext uri="{FF2B5EF4-FFF2-40B4-BE49-F238E27FC236}">
                <a16:creationId xmlns:a16="http://schemas.microsoft.com/office/drawing/2014/main" id="{00000000-0008-0000-0200-000022030000}"/>
              </a:ext>
            </a:extLst>
          </xdr:cNvPr>
          <xdr:cNvSpPr/>
        </xdr:nvSpPr>
        <xdr:spPr>
          <a:xfrm>
            <a:off x="444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03" name="$E$140">
            <a:extLst>
              <a:ext uri="{FF2B5EF4-FFF2-40B4-BE49-F238E27FC236}">
                <a16:creationId xmlns:a16="http://schemas.microsoft.com/office/drawing/2014/main" id="{00000000-0008-0000-0200-00002303000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04" name="$E$140">
            <a:extLst>
              <a:ext uri="{FF2B5EF4-FFF2-40B4-BE49-F238E27FC236}">
                <a16:creationId xmlns:a16="http://schemas.microsoft.com/office/drawing/2014/main" id="{00000000-0008-0000-0200-00002403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05" name="$E$140">
            <a:extLst>
              <a:ext uri="{FF2B5EF4-FFF2-40B4-BE49-F238E27FC236}">
                <a16:creationId xmlns:a16="http://schemas.microsoft.com/office/drawing/2014/main" id="{00000000-0008-0000-0200-000025030000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06" name="$E$140">
            <a:extLst>
              <a:ext uri="{FF2B5EF4-FFF2-40B4-BE49-F238E27FC236}">
                <a16:creationId xmlns:a16="http://schemas.microsoft.com/office/drawing/2014/main" id="{00000000-0008-0000-0200-0000260300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07" name="$E$140">
            <a:extLst>
              <a:ext uri="{FF2B5EF4-FFF2-40B4-BE49-F238E27FC236}">
                <a16:creationId xmlns:a16="http://schemas.microsoft.com/office/drawing/2014/main" id="{00000000-0008-0000-0200-0000270300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08" name="$E$140">
            <a:extLst>
              <a:ext uri="{FF2B5EF4-FFF2-40B4-BE49-F238E27FC236}">
                <a16:creationId xmlns:a16="http://schemas.microsoft.com/office/drawing/2014/main" id="{00000000-0008-0000-0200-0000280300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09" name="$E$140">
            <a:extLst>
              <a:ext uri="{FF2B5EF4-FFF2-40B4-BE49-F238E27FC236}">
                <a16:creationId xmlns:a16="http://schemas.microsoft.com/office/drawing/2014/main" id="{00000000-0008-0000-0200-0000290300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10" name="$E$140">
            <a:extLst>
              <a:ext uri="{FF2B5EF4-FFF2-40B4-BE49-F238E27FC236}">
                <a16:creationId xmlns:a16="http://schemas.microsoft.com/office/drawing/2014/main" id="{00000000-0008-0000-0200-00002A0300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11" name="$E$140">
            <a:extLst>
              <a:ext uri="{FF2B5EF4-FFF2-40B4-BE49-F238E27FC236}">
                <a16:creationId xmlns:a16="http://schemas.microsoft.com/office/drawing/2014/main" id="{00000000-0008-0000-0200-00002B0300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12" name="$E$140">
            <a:extLst>
              <a:ext uri="{FF2B5EF4-FFF2-40B4-BE49-F238E27FC236}">
                <a16:creationId xmlns:a16="http://schemas.microsoft.com/office/drawing/2014/main" id="{00000000-0008-0000-0200-00002C030000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13" name="$E$140">
            <a:extLst>
              <a:ext uri="{FF2B5EF4-FFF2-40B4-BE49-F238E27FC236}">
                <a16:creationId xmlns:a16="http://schemas.microsoft.com/office/drawing/2014/main" id="{00000000-0008-0000-0200-00002D030000}"/>
              </a:ext>
            </a:extLst>
          </xdr:cNvPr>
          <xdr:cNvSpPr/>
        </xdr:nvSpPr>
        <xdr:spPr>
          <a:xfrm>
            <a:off x="304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14" name="$E$140">
            <a:extLst>
              <a:ext uri="{FF2B5EF4-FFF2-40B4-BE49-F238E27FC236}">
                <a16:creationId xmlns:a16="http://schemas.microsoft.com/office/drawing/2014/main" id="{00000000-0008-0000-0200-00002E0300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15" name="$E$140">
            <a:extLst>
              <a:ext uri="{FF2B5EF4-FFF2-40B4-BE49-F238E27FC236}">
                <a16:creationId xmlns:a16="http://schemas.microsoft.com/office/drawing/2014/main" id="{00000000-0008-0000-0200-00002F03000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16" name="$E$140">
            <a:extLst>
              <a:ext uri="{FF2B5EF4-FFF2-40B4-BE49-F238E27FC236}">
                <a16:creationId xmlns:a16="http://schemas.microsoft.com/office/drawing/2014/main" id="{00000000-0008-0000-0200-000030030000}"/>
              </a:ext>
            </a:extLst>
          </xdr:cNvPr>
          <xdr:cNvSpPr/>
        </xdr:nvSpPr>
        <xdr:spPr>
          <a:xfrm>
            <a:off x="381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17" name="$E$140">
            <a:extLst>
              <a:ext uri="{FF2B5EF4-FFF2-40B4-BE49-F238E27FC236}">
                <a16:creationId xmlns:a16="http://schemas.microsoft.com/office/drawing/2014/main" id="{00000000-0008-0000-0200-000031030000}"/>
              </a:ext>
            </a:extLst>
          </xdr:cNvPr>
          <xdr:cNvSpPr/>
        </xdr:nvSpPr>
        <xdr:spPr>
          <a:xfrm>
            <a:off x="406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18" name="$E$140">
            <a:extLst>
              <a:ext uri="{FF2B5EF4-FFF2-40B4-BE49-F238E27FC236}">
                <a16:creationId xmlns:a16="http://schemas.microsoft.com/office/drawing/2014/main" id="{00000000-0008-0000-0200-000032030000}"/>
              </a:ext>
            </a:extLst>
          </xdr:cNvPr>
          <xdr:cNvSpPr/>
        </xdr:nvSpPr>
        <xdr:spPr>
          <a:xfrm>
            <a:off x="444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19" name="$E$140">
            <a:extLst>
              <a:ext uri="{FF2B5EF4-FFF2-40B4-BE49-F238E27FC236}">
                <a16:creationId xmlns:a16="http://schemas.microsoft.com/office/drawing/2014/main" id="{00000000-0008-0000-0200-000033030000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20" name="$E$140">
            <a:extLst>
              <a:ext uri="{FF2B5EF4-FFF2-40B4-BE49-F238E27FC236}">
                <a16:creationId xmlns:a16="http://schemas.microsoft.com/office/drawing/2014/main" id="{00000000-0008-0000-0200-0000340300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21" name="$E$140">
            <a:extLst>
              <a:ext uri="{FF2B5EF4-FFF2-40B4-BE49-F238E27FC236}">
                <a16:creationId xmlns:a16="http://schemas.microsoft.com/office/drawing/2014/main" id="{00000000-0008-0000-0200-0000350300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22" name="$E$140">
            <a:extLst>
              <a:ext uri="{FF2B5EF4-FFF2-40B4-BE49-F238E27FC236}">
                <a16:creationId xmlns:a16="http://schemas.microsoft.com/office/drawing/2014/main" id="{00000000-0008-0000-0200-0000360300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23" name="$E$140">
            <a:extLst>
              <a:ext uri="{FF2B5EF4-FFF2-40B4-BE49-F238E27FC236}">
                <a16:creationId xmlns:a16="http://schemas.microsoft.com/office/drawing/2014/main" id="{00000000-0008-0000-0200-000037030000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24" name="$E$140">
            <a:extLst>
              <a:ext uri="{FF2B5EF4-FFF2-40B4-BE49-F238E27FC236}">
                <a16:creationId xmlns:a16="http://schemas.microsoft.com/office/drawing/2014/main" id="{00000000-0008-0000-0200-0000380300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25" name="$E$140">
            <a:extLst>
              <a:ext uri="{FF2B5EF4-FFF2-40B4-BE49-F238E27FC236}">
                <a16:creationId xmlns:a16="http://schemas.microsoft.com/office/drawing/2014/main" id="{00000000-0008-0000-0200-00003903000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26" name="$E$140">
            <a:extLst>
              <a:ext uri="{FF2B5EF4-FFF2-40B4-BE49-F238E27FC236}">
                <a16:creationId xmlns:a16="http://schemas.microsoft.com/office/drawing/2014/main" id="{00000000-0008-0000-0200-00003A0300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27" name="$E$140">
            <a:extLst>
              <a:ext uri="{FF2B5EF4-FFF2-40B4-BE49-F238E27FC236}">
                <a16:creationId xmlns:a16="http://schemas.microsoft.com/office/drawing/2014/main" id="{00000000-0008-0000-0200-00003B030000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28" name="$E$140">
            <a:extLst>
              <a:ext uri="{FF2B5EF4-FFF2-40B4-BE49-F238E27FC236}">
                <a16:creationId xmlns:a16="http://schemas.microsoft.com/office/drawing/2014/main" id="{00000000-0008-0000-0200-00003C0300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29" name="$E$140">
            <a:extLst>
              <a:ext uri="{FF2B5EF4-FFF2-40B4-BE49-F238E27FC236}">
                <a16:creationId xmlns:a16="http://schemas.microsoft.com/office/drawing/2014/main" id="{00000000-0008-0000-0200-00003D0300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30" name="$E$140">
            <a:extLst>
              <a:ext uri="{FF2B5EF4-FFF2-40B4-BE49-F238E27FC236}">
                <a16:creationId xmlns:a16="http://schemas.microsoft.com/office/drawing/2014/main" id="{00000000-0008-0000-0200-00003E030000}"/>
              </a:ext>
            </a:extLst>
          </xdr:cNvPr>
          <xdr:cNvSpPr/>
        </xdr:nvSpPr>
        <xdr:spPr>
          <a:xfrm>
            <a:off x="292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31" name="$E$140">
            <a:extLst>
              <a:ext uri="{FF2B5EF4-FFF2-40B4-BE49-F238E27FC236}">
                <a16:creationId xmlns:a16="http://schemas.microsoft.com/office/drawing/2014/main" id="{00000000-0008-0000-0200-00003F030000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32" name="$E$140">
            <a:extLst>
              <a:ext uri="{FF2B5EF4-FFF2-40B4-BE49-F238E27FC236}">
                <a16:creationId xmlns:a16="http://schemas.microsoft.com/office/drawing/2014/main" id="{00000000-0008-0000-0200-0000400300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33" name="$E$140">
            <a:extLst>
              <a:ext uri="{FF2B5EF4-FFF2-40B4-BE49-F238E27FC236}">
                <a16:creationId xmlns:a16="http://schemas.microsoft.com/office/drawing/2014/main" id="{00000000-0008-0000-0200-000041030000}"/>
              </a:ext>
            </a:extLst>
          </xdr:cNvPr>
          <xdr:cNvSpPr/>
        </xdr:nvSpPr>
        <xdr:spPr>
          <a:xfrm>
            <a:off x="406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34" name="$E$140">
            <a:extLst>
              <a:ext uri="{FF2B5EF4-FFF2-40B4-BE49-F238E27FC236}">
                <a16:creationId xmlns:a16="http://schemas.microsoft.com/office/drawing/2014/main" id="{00000000-0008-0000-0200-000042030000}"/>
              </a:ext>
            </a:extLst>
          </xdr:cNvPr>
          <xdr:cNvSpPr/>
        </xdr:nvSpPr>
        <xdr:spPr>
          <a:xfrm>
            <a:off x="431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35" name="$E$140">
            <a:extLst>
              <a:ext uri="{FF2B5EF4-FFF2-40B4-BE49-F238E27FC236}">
                <a16:creationId xmlns:a16="http://schemas.microsoft.com/office/drawing/2014/main" id="{00000000-0008-0000-0200-000043030000}"/>
              </a:ext>
            </a:extLst>
          </xdr:cNvPr>
          <xdr:cNvSpPr/>
        </xdr:nvSpPr>
        <xdr:spPr>
          <a:xfrm>
            <a:off x="457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36" name="$E$140">
            <a:extLst>
              <a:ext uri="{FF2B5EF4-FFF2-40B4-BE49-F238E27FC236}">
                <a16:creationId xmlns:a16="http://schemas.microsoft.com/office/drawing/2014/main" id="{00000000-0008-0000-0200-0000440300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37" name="$E$140">
            <a:extLst>
              <a:ext uri="{FF2B5EF4-FFF2-40B4-BE49-F238E27FC236}">
                <a16:creationId xmlns:a16="http://schemas.microsoft.com/office/drawing/2014/main" id="{00000000-0008-0000-0200-0000450300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38" name="$E$140">
            <a:extLst>
              <a:ext uri="{FF2B5EF4-FFF2-40B4-BE49-F238E27FC236}">
                <a16:creationId xmlns:a16="http://schemas.microsoft.com/office/drawing/2014/main" id="{00000000-0008-0000-0200-00004603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39" name="$E$140">
            <a:extLst>
              <a:ext uri="{FF2B5EF4-FFF2-40B4-BE49-F238E27FC236}">
                <a16:creationId xmlns:a16="http://schemas.microsoft.com/office/drawing/2014/main" id="{00000000-0008-0000-0200-0000470300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40" name="$E$140">
            <a:extLst>
              <a:ext uri="{FF2B5EF4-FFF2-40B4-BE49-F238E27FC236}">
                <a16:creationId xmlns:a16="http://schemas.microsoft.com/office/drawing/2014/main" id="{00000000-0008-0000-0200-000048030000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41" name="$E$140">
            <a:extLst>
              <a:ext uri="{FF2B5EF4-FFF2-40B4-BE49-F238E27FC236}">
                <a16:creationId xmlns:a16="http://schemas.microsoft.com/office/drawing/2014/main" id="{00000000-0008-0000-0200-0000490300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42" name="$E$140">
            <a:extLst>
              <a:ext uri="{FF2B5EF4-FFF2-40B4-BE49-F238E27FC236}">
                <a16:creationId xmlns:a16="http://schemas.microsoft.com/office/drawing/2014/main" id="{00000000-0008-0000-0200-00004A0300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43" name="$E$140">
            <a:extLst>
              <a:ext uri="{FF2B5EF4-FFF2-40B4-BE49-F238E27FC236}">
                <a16:creationId xmlns:a16="http://schemas.microsoft.com/office/drawing/2014/main" id="{00000000-0008-0000-0200-00004B0300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44" name="$E$140">
            <a:extLst>
              <a:ext uri="{FF2B5EF4-FFF2-40B4-BE49-F238E27FC236}">
                <a16:creationId xmlns:a16="http://schemas.microsoft.com/office/drawing/2014/main" id="{00000000-0008-0000-0200-00004C030000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45" name="$E$140">
            <a:extLst>
              <a:ext uri="{FF2B5EF4-FFF2-40B4-BE49-F238E27FC236}">
                <a16:creationId xmlns:a16="http://schemas.microsoft.com/office/drawing/2014/main" id="{00000000-0008-0000-0200-00004D030000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46" name="$E$140">
            <a:extLst>
              <a:ext uri="{FF2B5EF4-FFF2-40B4-BE49-F238E27FC236}">
                <a16:creationId xmlns:a16="http://schemas.microsoft.com/office/drawing/2014/main" id="{00000000-0008-0000-0200-00004E0300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47" name="$E$140">
            <a:extLst>
              <a:ext uri="{FF2B5EF4-FFF2-40B4-BE49-F238E27FC236}">
                <a16:creationId xmlns:a16="http://schemas.microsoft.com/office/drawing/2014/main" id="{00000000-0008-0000-0200-00004F0300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48" name="$E$140">
            <a:extLst>
              <a:ext uri="{FF2B5EF4-FFF2-40B4-BE49-F238E27FC236}">
                <a16:creationId xmlns:a16="http://schemas.microsoft.com/office/drawing/2014/main" id="{00000000-0008-0000-0200-00005003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49" name="$E$140">
            <a:extLst>
              <a:ext uri="{FF2B5EF4-FFF2-40B4-BE49-F238E27FC236}">
                <a16:creationId xmlns:a16="http://schemas.microsoft.com/office/drawing/2014/main" id="{00000000-0008-0000-0200-0000510300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50" name="$E$140">
            <a:extLst>
              <a:ext uri="{FF2B5EF4-FFF2-40B4-BE49-F238E27FC236}">
                <a16:creationId xmlns:a16="http://schemas.microsoft.com/office/drawing/2014/main" id="{00000000-0008-0000-0200-0000520300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51" name="$E$140">
            <a:extLst>
              <a:ext uri="{FF2B5EF4-FFF2-40B4-BE49-F238E27FC236}">
                <a16:creationId xmlns:a16="http://schemas.microsoft.com/office/drawing/2014/main" id="{00000000-0008-0000-0200-000053030000}"/>
              </a:ext>
            </a:extLst>
          </xdr:cNvPr>
          <xdr:cNvSpPr/>
        </xdr:nvSpPr>
        <xdr:spPr>
          <a:xfrm>
            <a:off x="381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52" name="$E$140">
            <a:extLst>
              <a:ext uri="{FF2B5EF4-FFF2-40B4-BE49-F238E27FC236}">
                <a16:creationId xmlns:a16="http://schemas.microsoft.com/office/drawing/2014/main" id="{00000000-0008-0000-0200-000054030000}"/>
              </a:ext>
            </a:extLst>
          </xdr:cNvPr>
          <xdr:cNvSpPr/>
        </xdr:nvSpPr>
        <xdr:spPr>
          <a:xfrm>
            <a:off x="419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53" name="$E$140">
            <a:extLst>
              <a:ext uri="{FF2B5EF4-FFF2-40B4-BE49-F238E27FC236}">
                <a16:creationId xmlns:a16="http://schemas.microsoft.com/office/drawing/2014/main" id="{00000000-0008-0000-0200-000055030000}"/>
              </a:ext>
            </a:extLst>
          </xdr:cNvPr>
          <xdr:cNvSpPr/>
        </xdr:nvSpPr>
        <xdr:spPr>
          <a:xfrm>
            <a:off x="431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54" name="$E$140">
            <a:extLst>
              <a:ext uri="{FF2B5EF4-FFF2-40B4-BE49-F238E27FC236}">
                <a16:creationId xmlns:a16="http://schemas.microsoft.com/office/drawing/2014/main" id="{00000000-0008-0000-0200-000056030000}"/>
              </a:ext>
            </a:extLst>
          </xdr:cNvPr>
          <xdr:cNvSpPr/>
        </xdr:nvSpPr>
        <xdr:spPr>
          <a:xfrm>
            <a:off x="444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55" name="$E$140">
            <a:extLst>
              <a:ext uri="{FF2B5EF4-FFF2-40B4-BE49-F238E27FC236}">
                <a16:creationId xmlns:a16="http://schemas.microsoft.com/office/drawing/2014/main" id="{00000000-0008-0000-0200-000057030000}"/>
              </a:ext>
            </a:extLst>
          </xdr:cNvPr>
          <xdr:cNvSpPr/>
        </xdr:nvSpPr>
        <xdr:spPr>
          <a:xfrm>
            <a:off x="457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56" name="$E$140">
            <a:extLst>
              <a:ext uri="{FF2B5EF4-FFF2-40B4-BE49-F238E27FC236}">
                <a16:creationId xmlns:a16="http://schemas.microsoft.com/office/drawing/2014/main" id="{00000000-0008-0000-0200-000058030000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57" name="$E$140">
            <a:extLst>
              <a:ext uri="{FF2B5EF4-FFF2-40B4-BE49-F238E27FC236}">
                <a16:creationId xmlns:a16="http://schemas.microsoft.com/office/drawing/2014/main" id="{00000000-0008-0000-0200-0000590300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58" name="$E$140">
            <a:extLst>
              <a:ext uri="{FF2B5EF4-FFF2-40B4-BE49-F238E27FC236}">
                <a16:creationId xmlns:a16="http://schemas.microsoft.com/office/drawing/2014/main" id="{00000000-0008-0000-0200-00005A0300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59" name="$E$140">
            <a:extLst>
              <a:ext uri="{FF2B5EF4-FFF2-40B4-BE49-F238E27FC236}">
                <a16:creationId xmlns:a16="http://schemas.microsoft.com/office/drawing/2014/main" id="{00000000-0008-0000-0200-00005B0300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60" name="$E$140">
            <a:extLst>
              <a:ext uri="{FF2B5EF4-FFF2-40B4-BE49-F238E27FC236}">
                <a16:creationId xmlns:a16="http://schemas.microsoft.com/office/drawing/2014/main" id="{00000000-0008-0000-0200-00005C0300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61" name="$E$140">
            <a:extLst>
              <a:ext uri="{FF2B5EF4-FFF2-40B4-BE49-F238E27FC236}">
                <a16:creationId xmlns:a16="http://schemas.microsoft.com/office/drawing/2014/main" id="{00000000-0008-0000-0200-00005D0300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62" name="$E$140">
            <a:extLst>
              <a:ext uri="{FF2B5EF4-FFF2-40B4-BE49-F238E27FC236}">
                <a16:creationId xmlns:a16="http://schemas.microsoft.com/office/drawing/2014/main" id="{00000000-0008-0000-0200-00005E030000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63" name="$E$140">
            <a:extLst>
              <a:ext uri="{FF2B5EF4-FFF2-40B4-BE49-F238E27FC236}">
                <a16:creationId xmlns:a16="http://schemas.microsoft.com/office/drawing/2014/main" id="{00000000-0008-0000-0200-00005F030000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64" name="$E$140">
            <a:extLst>
              <a:ext uri="{FF2B5EF4-FFF2-40B4-BE49-F238E27FC236}">
                <a16:creationId xmlns:a16="http://schemas.microsoft.com/office/drawing/2014/main" id="{00000000-0008-0000-0200-000060030000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65" name="$E$140">
            <a:extLst>
              <a:ext uri="{FF2B5EF4-FFF2-40B4-BE49-F238E27FC236}">
                <a16:creationId xmlns:a16="http://schemas.microsoft.com/office/drawing/2014/main" id="{00000000-0008-0000-0200-00006103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66" name="$E$140">
            <a:extLst>
              <a:ext uri="{FF2B5EF4-FFF2-40B4-BE49-F238E27FC236}">
                <a16:creationId xmlns:a16="http://schemas.microsoft.com/office/drawing/2014/main" id="{00000000-0008-0000-0200-0000620300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67" name="$E$140">
            <a:extLst>
              <a:ext uri="{FF2B5EF4-FFF2-40B4-BE49-F238E27FC236}">
                <a16:creationId xmlns:a16="http://schemas.microsoft.com/office/drawing/2014/main" id="{00000000-0008-0000-0200-0000630300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68" name="$E$140">
            <a:extLst>
              <a:ext uri="{FF2B5EF4-FFF2-40B4-BE49-F238E27FC236}">
                <a16:creationId xmlns:a16="http://schemas.microsoft.com/office/drawing/2014/main" id="{00000000-0008-0000-0200-00006403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69" name="$E$140">
            <a:extLst>
              <a:ext uri="{FF2B5EF4-FFF2-40B4-BE49-F238E27FC236}">
                <a16:creationId xmlns:a16="http://schemas.microsoft.com/office/drawing/2014/main" id="{00000000-0008-0000-0200-0000650300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70" name="$E$140">
            <a:extLst>
              <a:ext uri="{FF2B5EF4-FFF2-40B4-BE49-F238E27FC236}">
                <a16:creationId xmlns:a16="http://schemas.microsoft.com/office/drawing/2014/main" id="{00000000-0008-0000-0200-0000660300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71" name="$E$140">
            <a:extLst>
              <a:ext uri="{FF2B5EF4-FFF2-40B4-BE49-F238E27FC236}">
                <a16:creationId xmlns:a16="http://schemas.microsoft.com/office/drawing/2014/main" id="{00000000-0008-0000-0200-000067030000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72" name="$E$140">
            <a:extLst>
              <a:ext uri="{FF2B5EF4-FFF2-40B4-BE49-F238E27FC236}">
                <a16:creationId xmlns:a16="http://schemas.microsoft.com/office/drawing/2014/main" id="{00000000-0008-0000-0200-0000680300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73" name="$E$140">
            <a:extLst>
              <a:ext uri="{FF2B5EF4-FFF2-40B4-BE49-F238E27FC236}">
                <a16:creationId xmlns:a16="http://schemas.microsoft.com/office/drawing/2014/main" id="{00000000-0008-0000-0200-000069030000}"/>
              </a:ext>
            </a:extLst>
          </xdr:cNvPr>
          <xdr:cNvSpPr/>
        </xdr:nvSpPr>
        <xdr:spPr>
          <a:xfrm>
            <a:off x="419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74" name="$E$140">
            <a:extLst>
              <a:ext uri="{FF2B5EF4-FFF2-40B4-BE49-F238E27FC236}">
                <a16:creationId xmlns:a16="http://schemas.microsoft.com/office/drawing/2014/main" id="{00000000-0008-0000-0200-00006A0300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75" name="$E$140">
            <a:extLst>
              <a:ext uri="{FF2B5EF4-FFF2-40B4-BE49-F238E27FC236}">
                <a16:creationId xmlns:a16="http://schemas.microsoft.com/office/drawing/2014/main" id="{00000000-0008-0000-0200-00006B030000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76" name="$E$140">
            <a:extLst>
              <a:ext uri="{FF2B5EF4-FFF2-40B4-BE49-F238E27FC236}">
                <a16:creationId xmlns:a16="http://schemas.microsoft.com/office/drawing/2014/main" id="{00000000-0008-0000-0200-00006C0300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77" name="$E$140">
            <a:extLst>
              <a:ext uri="{FF2B5EF4-FFF2-40B4-BE49-F238E27FC236}">
                <a16:creationId xmlns:a16="http://schemas.microsoft.com/office/drawing/2014/main" id="{00000000-0008-0000-0200-00006D0300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78" name="$E$140">
            <a:extLst>
              <a:ext uri="{FF2B5EF4-FFF2-40B4-BE49-F238E27FC236}">
                <a16:creationId xmlns:a16="http://schemas.microsoft.com/office/drawing/2014/main" id="{00000000-0008-0000-0200-00006E0300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79" name="$E$140">
            <a:extLst>
              <a:ext uri="{FF2B5EF4-FFF2-40B4-BE49-F238E27FC236}">
                <a16:creationId xmlns:a16="http://schemas.microsoft.com/office/drawing/2014/main" id="{00000000-0008-0000-0200-00006F030000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80" name="$E$140">
            <a:extLst>
              <a:ext uri="{FF2B5EF4-FFF2-40B4-BE49-F238E27FC236}">
                <a16:creationId xmlns:a16="http://schemas.microsoft.com/office/drawing/2014/main" id="{00000000-0008-0000-0200-00007003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81" name="$E$140">
            <a:extLst>
              <a:ext uri="{FF2B5EF4-FFF2-40B4-BE49-F238E27FC236}">
                <a16:creationId xmlns:a16="http://schemas.microsoft.com/office/drawing/2014/main" id="{00000000-0008-0000-0200-000071030000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82" name="$E$140">
            <a:extLst>
              <a:ext uri="{FF2B5EF4-FFF2-40B4-BE49-F238E27FC236}">
                <a16:creationId xmlns:a16="http://schemas.microsoft.com/office/drawing/2014/main" id="{00000000-0008-0000-0200-00007203000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83" name="$E$140">
            <a:extLst>
              <a:ext uri="{FF2B5EF4-FFF2-40B4-BE49-F238E27FC236}">
                <a16:creationId xmlns:a16="http://schemas.microsoft.com/office/drawing/2014/main" id="{00000000-0008-0000-0200-0000730300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84" name="$E$140">
            <a:extLst>
              <a:ext uri="{FF2B5EF4-FFF2-40B4-BE49-F238E27FC236}">
                <a16:creationId xmlns:a16="http://schemas.microsoft.com/office/drawing/2014/main" id="{00000000-0008-0000-0200-000074030000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85" name="$E$140">
            <a:extLst>
              <a:ext uri="{FF2B5EF4-FFF2-40B4-BE49-F238E27FC236}">
                <a16:creationId xmlns:a16="http://schemas.microsoft.com/office/drawing/2014/main" id="{00000000-0008-0000-0200-0000750300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86" name="$E$140">
            <a:extLst>
              <a:ext uri="{FF2B5EF4-FFF2-40B4-BE49-F238E27FC236}">
                <a16:creationId xmlns:a16="http://schemas.microsoft.com/office/drawing/2014/main" id="{00000000-0008-0000-0200-000076030000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87" name="$E$140">
            <a:extLst>
              <a:ext uri="{FF2B5EF4-FFF2-40B4-BE49-F238E27FC236}">
                <a16:creationId xmlns:a16="http://schemas.microsoft.com/office/drawing/2014/main" id="{00000000-0008-0000-0200-0000770300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88" name="$E$140">
            <a:extLst>
              <a:ext uri="{FF2B5EF4-FFF2-40B4-BE49-F238E27FC236}">
                <a16:creationId xmlns:a16="http://schemas.microsoft.com/office/drawing/2014/main" id="{00000000-0008-0000-0200-000078030000}"/>
              </a:ext>
            </a:extLst>
          </xdr:cNvPr>
          <xdr:cNvSpPr/>
        </xdr:nvSpPr>
        <xdr:spPr>
          <a:xfrm>
            <a:off x="292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89" name="$E$140">
            <a:extLst>
              <a:ext uri="{FF2B5EF4-FFF2-40B4-BE49-F238E27FC236}">
                <a16:creationId xmlns:a16="http://schemas.microsoft.com/office/drawing/2014/main" id="{00000000-0008-0000-0200-0000790300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90" name="$E$140">
            <a:extLst>
              <a:ext uri="{FF2B5EF4-FFF2-40B4-BE49-F238E27FC236}">
                <a16:creationId xmlns:a16="http://schemas.microsoft.com/office/drawing/2014/main" id="{00000000-0008-0000-0200-00007A0300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91" name="$E$140">
            <a:extLst>
              <a:ext uri="{FF2B5EF4-FFF2-40B4-BE49-F238E27FC236}">
                <a16:creationId xmlns:a16="http://schemas.microsoft.com/office/drawing/2014/main" id="{00000000-0008-0000-0200-00007B03000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92" name="$E$140">
            <a:extLst>
              <a:ext uri="{FF2B5EF4-FFF2-40B4-BE49-F238E27FC236}">
                <a16:creationId xmlns:a16="http://schemas.microsoft.com/office/drawing/2014/main" id="{00000000-0008-0000-0200-00007C030000}"/>
              </a:ext>
            </a:extLst>
          </xdr:cNvPr>
          <xdr:cNvSpPr/>
        </xdr:nvSpPr>
        <xdr:spPr>
          <a:xfrm>
            <a:off x="381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93" name="$E$140">
            <a:extLst>
              <a:ext uri="{FF2B5EF4-FFF2-40B4-BE49-F238E27FC236}">
                <a16:creationId xmlns:a16="http://schemas.microsoft.com/office/drawing/2014/main" id="{00000000-0008-0000-0200-00007D030000}"/>
              </a:ext>
            </a:extLst>
          </xdr:cNvPr>
          <xdr:cNvSpPr/>
        </xdr:nvSpPr>
        <xdr:spPr>
          <a:xfrm>
            <a:off x="406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94" name="$E$140">
            <a:extLst>
              <a:ext uri="{FF2B5EF4-FFF2-40B4-BE49-F238E27FC236}">
                <a16:creationId xmlns:a16="http://schemas.microsoft.com/office/drawing/2014/main" id="{00000000-0008-0000-0200-00007E030000}"/>
              </a:ext>
            </a:extLst>
          </xdr:cNvPr>
          <xdr:cNvSpPr/>
        </xdr:nvSpPr>
        <xdr:spPr>
          <a:xfrm>
            <a:off x="457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95" name="$E$140">
            <a:extLst>
              <a:ext uri="{FF2B5EF4-FFF2-40B4-BE49-F238E27FC236}">
                <a16:creationId xmlns:a16="http://schemas.microsoft.com/office/drawing/2014/main" id="{00000000-0008-0000-0200-00007F03000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96" name="$E$140">
            <a:extLst>
              <a:ext uri="{FF2B5EF4-FFF2-40B4-BE49-F238E27FC236}">
                <a16:creationId xmlns:a16="http://schemas.microsoft.com/office/drawing/2014/main" id="{00000000-0008-0000-0200-0000800300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97" name="$E$140">
            <a:extLst>
              <a:ext uri="{FF2B5EF4-FFF2-40B4-BE49-F238E27FC236}">
                <a16:creationId xmlns:a16="http://schemas.microsoft.com/office/drawing/2014/main" id="{00000000-0008-0000-0200-0000810300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98" name="$E$140">
            <a:extLst>
              <a:ext uri="{FF2B5EF4-FFF2-40B4-BE49-F238E27FC236}">
                <a16:creationId xmlns:a16="http://schemas.microsoft.com/office/drawing/2014/main" id="{00000000-0008-0000-0200-0000820300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899" name="$E$140">
            <a:extLst>
              <a:ext uri="{FF2B5EF4-FFF2-40B4-BE49-F238E27FC236}">
                <a16:creationId xmlns:a16="http://schemas.microsoft.com/office/drawing/2014/main" id="{00000000-0008-0000-0200-0000830300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00" name="$E$140">
            <a:extLst>
              <a:ext uri="{FF2B5EF4-FFF2-40B4-BE49-F238E27FC236}">
                <a16:creationId xmlns:a16="http://schemas.microsoft.com/office/drawing/2014/main" id="{00000000-0008-0000-0200-000084030000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01" name="$E$140">
            <a:extLst>
              <a:ext uri="{FF2B5EF4-FFF2-40B4-BE49-F238E27FC236}">
                <a16:creationId xmlns:a16="http://schemas.microsoft.com/office/drawing/2014/main" id="{00000000-0008-0000-0200-0000850300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02" name="$E$140">
            <a:extLst>
              <a:ext uri="{FF2B5EF4-FFF2-40B4-BE49-F238E27FC236}">
                <a16:creationId xmlns:a16="http://schemas.microsoft.com/office/drawing/2014/main" id="{00000000-0008-0000-0200-0000860300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03" name="$E$140">
            <a:extLst>
              <a:ext uri="{FF2B5EF4-FFF2-40B4-BE49-F238E27FC236}">
                <a16:creationId xmlns:a16="http://schemas.microsoft.com/office/drawing/2014/main" id="{00000000-0008-0000-0200-0000870300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04" name="$E$140">
            <a:extLst>
              <a:ext uri="{FF2B5EF4-FFF2-40B4-BE49-F238E27FC236}">
                <a16:creationId xmlns:a16="http://schemas.microsoft.com/office/drawing/2014/main" id="{00000000-0008-0000-0200-000088030000}"/>
              </a:ext>
            </a:extLst>
          </xdr:cNvPr>
          <xdr:cNvSpPr/>
        </xdr:nvSpPr>
        <xdr:spPr>
          <a:xfrm>
            <a:off x="292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05" name="$E$140">
            <a:extLst>
              <a:ext uri="{FF2B5EF4-FFF2-40B4-BE49-F238E27FC236}">
                <a16:creationId xmlns:a16="http://schemas.microsoft.com/office/drawing/2014/main" id="{00000000-0008-0000-0200-00008903000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06" name="$E$140">
            <a:extLst>
              <a:ext uri="{FF2B5EF4-FFF2-40B4-BE49-F238E27FC236}">
                <a16:creationId xmlns:a16="http://schemas.microsoft.com/office/drawing/2014/main" id="{00000000-0008-0000-0200-00008A0300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07" name="$E$140">
            <a:extLst>
              <a:ext uri="{FF2B5EF4-FFF2-40B4-BE49-F238E27FC236}">
                <a16:creationId xmlns:a16="http://schemas.microsoft.com/office/drawing/2014/main" id="{00000000-0008-0000-0200-00008B030000}"/>
              </a:ext>
            </a:extLst>
          </xdr:cNvPr>
          <xdr:cNvSpPr/>
        </xdr:nvSpPr>
        <xdr:spPr>
          <a:xfrm>
            <a:off x="355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08" name="$E$140">
            <a:extLst>
              <a:ext uri="{FF2B5EF4-FFF2-40B4-BE49-F238E27FC236}">
                <a16:creationId xmlns:a16="http://schemas.microsoft.com/office/drawing/2014/main" id="{00000000-0008-0000-0200-00008C030000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09" name="$E$140">
            <a:extLst>
              <a:ext uri="{FF2B5EF4-FFF2-40B4-BE49-F238E27FC236}">
                <a16:creationId xmlns:a16="http://schemas.microsoft.com/office/drawing/2014/main" id="{00000000-0008-0000-0200-00008D030000}"/>
              </a:ext>
            </a:extLst>
          </xdr:cNvPr>
          <xdr:cNvSpPr/>
        </xdr:nvSpPr>
        <xdr:spPr>
          <a:xfrm>
            <a:off x="406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10" name="$E$140">
            <a:extLst>
              <a:ext uri="{FF2B5EF4-FFF2-40B4-BE49-F238E27FC236}">
                <a16:creationId xmlns:a16="http://schemas.microsoft.com/office/drawing/2014/main" id="{00000000-0008-0000-0200-00008E030000}"/>
              </a:ext>
            </a:extLst>
          </xdr:cNvPr>
          <xdr:cNvSpPr/>
        </xdr:nvSpPr>
        <xdr:spPr>
          <a:xfrm>
            <a:off x="419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11" name="$E$140">
            <a:extLst>
              <a:ext uri="{FF2B5EF4-FFF2-40B4-BE49-F238E27FC236}">
                <a16:creationId xmlns:a16="http://schemas.microsoft.com/office/drawing/2014/main" id="{00000000-0008-0000-0200-00008F030000}"/>
              </a:ext>
            </a:extLst>
          </xdr:cNvPr>
          <xdr:cNvSpPr/>
        </xdr:nvSpPr>
        <xdr:spPr>
          <a:xfrm>
            <a:off x="457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12" name="$E$140">
            <a:extLst>
              <a:ext uri="{FF2B5EF4-FFF2-40B4-BE49-F238E27FC236}">
                <a16:creationId xmlns:a16="http://schemas.microsoft.com/office/drawing/2014/main" id="{00000000-0008-0000-0200-0000900300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13" name="$E$140">
            <a:extLst>
              <a:ext uri="{FF2B5EF4-FFF2-40B4-BE49-F238E27FC236}">
                <a16:creationId xmlns:a16="http://schemas.microsoft.com/office/drawing/2014/main" id="{00000000-0008-0000-0200-0000910300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14" name="$E$140">
            <a:extLst>
              <a:ext uri="{FF2B5EF4-FFF2-40B4-BE49-F238E27FC236}">
                <a16:creationId xmlns:a16="http://schemas.microsoft.com/office/drawing/2014/main" id="{00000000-0008-0000-0200-0000920300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15" name="$E$140">
            <a:extLst>
              <a:ext uri="{FF2B5EF4-FFF2-40B4-BE49-F238E27FC236}">
                <a16:creationId xmlns:a16="http://schemas.microsoft.com/office/drawing/2014/main" id="{00000000-0008-0000-0200-00009303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16" name="$E$140">
            <a:extLst>
              <a:ext uri="{FF2B5EF4-FFF2-40B4-BE49-F238E27FC236}">
                <a16:creationId xmlns:a16="http://schemas.microsoft.com/office/drawing/2014/main" id="{00000000-0008-0000-0200-000094030000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17" name="$E$140">
            <a:extLst>
              <a:ext uri="{FF2B5EF4-FFF2-40B4-BE49-F238E27FC236}">
                <a16:creationId xmlns:a16="http://schemas.microsoft.com/office/drawing/2014/main" id="{00000000-0008-0000-0200-0000950300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18" name="$E$140">
            <a:extLst>
              <a:ext uri="{FF2B5EF4-FFF2-40B4-BE49-F238E27FC236}">
                <a16:creationId xmlns:a16="http://schemas.microsoft.com/office/drawing/2014/main" id="{00000000-0008-0000-0200-000096030000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19" name="$E$140">
            <a:extLst>
              <a:ext uri="{FF2B5EF4-FFF2-40B4-BE49-F238E27FC236}">
                <a16:creationId xmlns:a16="http://schemas.microsoft.com/office/drawing/2014/main" id="{00000000-0008-0000-0200-000097030000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20" name="$E$140">
            <a:extLst>
              <a:ext uri="{FF2B5EF4-FFF2-40B4-BE49-F238E27FC236}">
                <a16:creationId xmlns:a16="http://schemas.microsoft.com/office/drawing/2014/main" id="{00000000-0008-0000-0200-00009803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21" name="$E$140">
            <a:extLst>
              <a:ext uri="{FF2B5EF4-FFF2-40B4-BE49-F238E27FC236}">
                <a16:creationId xmlns:a16="http://schemas.microsoft.com/office/drawing/2014/main" id="{00000000-0008-0000-0200-000099030000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22" name="$E$140">
            <a:extLst>
              <a:ext uri="{FF2B5EF4-FFF2-40B4-BE49-F238E27FC236}">
                <a16:creationId xmlns:a16="http://schemas.microsoft.com/office/drawing/2014/main" id="{00000000-0008-0000-0200-00009A0300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23" name="$E$140">
            <a:extLst>
              <a:ext uri="{FF2B5EF4-FFF2-40B4-BE49-F238E27FC236}">
                <a16:creationId xmlns:a16="http://schemas.microsoft.com/office/drawing/2014/main" id="{00000000-0008-0000-0200-00009B0300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24" name="$E$140">
            <a:extLst>
              <a:ext uri="{FF2B5EF4-FFF2-40B4-BE49-F238E27FC236}">
                <a16:creationId xmlns:a16="http://schemas.microsoft.com/office/drawing/2014/main" id="{00000000-0008-0000-0200-00009C0300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25" name="$E$140">
            <a:extLst>
              <a:ext uri="{FF2B5EF4-FFF2-40B4-BE49-F238E27FC236}">
                <a16:creationId xmlns:a16="http://schemas.microsoft.com/office/drawing/2014/main" id="{00000000-0008-0000-0200-00009D030000}"/>
              </a:ext>
            </a:extLst>
          </xdr:cNvPr>
          <xdr:cNvSpPr/>
        </xdr:nvSpPr>
        <xdr:spPr>
          <a:xfrm>
            <a:off x="330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26" name="$E$140">
            <a:extLst>
              <a:ext uri="{FF2B5EF4-FFF2-40B4-BE49-F238E27FC236}">
                <a16:creationId xmlns:a16="http://schemas.microsoft.com/office/drawing/2014/main" id="{00000000-0008-0000-0200-00009E030000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27" name="$E$140">
            <a:extLst>
              <a:ext uri="{FF2B5EF4-FFF2-40B4-BE49-F238E27FC236}">
                <a16:creationId xmlns:a16="http://schemas.microsoft.com/office/drawing/2014/main" id="{00000000-0008-0000-0200-00009F030000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28" name="$E$140">
            <a:extLst>
              <a:ext uri="{FF2B5EF4-FFF2-40B4-BE49-F238E27FC236}">
                <a16:creationId xmlns:a16="http://schemas.microsoft.com/office/drawing/2014/main" id="{00000000-0008-0000-0200-0000A0030000}"/>
              </a:ext>
            </a:extLst>
          </xdr:cNvPr>
          <xdr:cNvSpPr/>
        </xdr:nvSpPr>
        <xdr:spPr>
          <a:xfrm>
            <a:off x="381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29" name="$E$140">
            <a:extLst>
              <a:ext uri="{FF2B5EF4-FFF2-40B4-BE49-F238E27FC236}">
                <a16:creationId xmlns:a16="http://schemas.microsoft.com/office/drawing/2014/main" id="{00000000-0008-0000-0200-0000A1030000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30" name="$E$140">
            <a:extLst>
              <a:ext uri="{FF2B5EF4-FFF2-40B4-BE49-F238E27FC236}">
                <a16:creationId xmlns:a16="http://schemas.microsoft.com/office/drawing/2014/main" id="{00000000-0008-0000-0200-0000A2030000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31" name="$E$140">
            <a:extLst>
              <a:ext uri="{FF2B5EF4-FFF2-40B4-BE49-F238E27FC236}">
                <a16:creationId xmlns:a16="http://schemas.microsoft.com/office/drawing/2014/main" id="{00000000-0008-0000-0200-0000A3030000}"/>
              </a:ext>
            </a:extLst>
          </xdr:cNvPr>
          <xdr:cNvSpPr/>
        </xdr:nvSpPr>
        <xdr:spPr>
          <a:xfrm>
            <a:off x="419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32" name="$E$140">
            <a:extLst>
              <a:ext uri="{FF2B5EF4-FFF2-40B4-BE49-F238E27FC236}">
                <a16:creationId xmlns:a16="http://schemas.microsoft.com/office/drawing/2014/main" id="{00000000-0008-0000-0200-0000A4030000}"/>
              </a:ext>
            </a:extLst>
          </xdr:cNvPr>
          <xdr:cNvSpPr/>
        </xdr:nvSpPr>
        <xdr:spPr>
          <a:xfrm>
            <a:off x="444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33" name="$E$140">
            <a:extLst>
              <a:ext uri="{FF2B5EF4-FFF2-40B4-BE49-F238E27FC236}">
                <a16:creationId xmlns:a16="http://schemas.microsoft.com/office/drawing/2014/main" id="{00000000-0008-0000-0200-0000A5030000}"/>
              </a:ext>
            </a:extLst>
          </xdr:cNvPr>
          <xdr:cNvSpPr/>
        </xdr:nvSpPr>
        <xdr:spPr>
          <a:xfrm>
            <a:off x="457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34" name="$E$140">
            <a:extLst>
              <a:ext uri="{FF2B5EF4-FFF2-40B4-BE49-F238E27FC236}">
                <a16:creationId xmlns:a16="http://schemas.microsoft.com/office/drawing/2014/main" id="{00000000-0008-0000-0200-0000A6030000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35" name="$E$140">
            <a:extLst>
              <a:ext uri="{FF2B5EF4-FFF2-40B4-BE49-F238E27FC236}">
                <a16:creationId xmlns:a16="http://schemas.microsoft.com/office/drawing/2014/main" id="{00000000-0008-0000-0200-0000A7030000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36" name="$E$140">
            <a:extLst>
              <a:ext uri="{FF2B5EF4-FFF2-40B4-BE49-F238E27FC236}">
                <a16:creationId xmlns:a16="http://schemas.microsoft.com/office/drawing/2014/main" id="{00000000-0008-0000-0200-0000A80300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37" name="$E$140">
            <a:extLst>
              <a:ext uri="{FF2B5EF4-FFF2-40B4-BE49-F238E27FC236}">
                <a16:creationId xmlns:a16="http://schemas.microsoft.com/office/drawing/2014/main" id="{00000000-0008-0000-0200-0000A90300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38" name="$E$140">
            <a:extLst>
              <a:ext uri="{FF2B5EF4-FFF2-40B4-BE49-F238E27FC236}">
                <a16:creationId xmlns:a16="http://schemas.microsoft.com/office/drawing/2014/main" id="{00000000-0008-0000-0200-0000AA030000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39" name="$E$140">
            <a:extLst>
              <a:ext uri="{FF2B5EF4-FFF2-40B4-BE49-F238E27FC236}">
                <a16:creationId xmlns:a16="http://schemas.microsoft.com/office/drawing/2014/main" id="{00000000-0008-0000-0200-0000AB030000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40" name="$E$140">
            <a:extLst>
              <a:ext uri="{FF2B5EF4-FFF2-40B4-BE49-F238E27FC236}">
                <a16:creationId xmlns:a16="http://schemas.microsoft.com/office/drawing/2014/main" id="{00000000-0008-0000-0200-0000AC0300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41" name="$E$140">
            <a:extLst>
              <a:ext uri="{FF2B5EF4-FFF2-40B4-BE49-F238E27FC236}">
                <a16:creationId xmlns:a16="http://schemas.microsoft.com/office/drawing/2014/main" id="{00000000-0008-0000-0200-0000AD0300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42" name="$E$140">
            <a:extLst>
              <a:ext uri="{FF2B5EF4-FFF2-40B4-BE49-F238E27FC236}">
                <a16:creationId xmlns:a16="http://schemas.microsoft.com/office/drawing/2014/main" id="{00000000-0008-0000-0200-0000AE0300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43" name="$E$140">
            <a:extLst>
              <a:ext uri="{FF2B5EF4-FFF2-40B4-BE49-F238E27FC236}">
                <a16:creationId xmlns:a16="http://schemas.microsoft.com/office/drawing/2014/main" id="{00000000-0008-0000-0200-0000AF03000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44" name="$E$140">
            <a:extLst>
              <a:ext uri="{FF2B5EF4-FFF2-40B4-BE49-F238E27FC236}">
                <a16:creationId xmlns:a16="http://schemas.microsoft.com/office/drawing/2014/main" id="{00000000-0008-0000-0200-0000B0030000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45" name="$E$140">
            <a:extLst>
              <a:ext uri="{FF2B5EF4-FFF2-40B4-BE49-F238E27FC236}">
                <a16:creationId xmlns:a16="http://schemas.microsoft.com/office/drawing/2014/main" id="{00000000-0008-0000-0200-0000B103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46" name="$E$140">
            <a:extLst>
              <a:ext uri="{FF2B5EF4-FFF2-40B4-BE49-F238E27FC236}">
                <a16:creationId xmlns:a16="http://schemas.microsoft.com/office/drawing/2014/main" id="{00000000-0008-0000-0200-0000B2030000}"/>
              </a:ext>
            </a:extLst>
          </xdr:cNvPr>
          <xdr:cNvSpPr/>
        </xdr:nvSpPr>
        <xdr:spPr>
          <a:xfrm>
            <a:off x="342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47" name="$E$140">
            <a:extLst>
              <a:ext uri="{FF2B5EF4-FFF2-40B4-BE49-F238E27FC236}">
                <a16:creationId xmlns:a16="http://schemas.microsoft.com/office/drawing/2014/main" id="{00000000-0008-0000-0200-0000B30300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48" name="$E$140">
            <a:extLst>
              <a:ext uri="{FF2B5EF4-FFF2-40B4-BE49-F238E27FC236}">
                <a16:creationId xmlns:a16="http://schemas.microsoft.com/office/drawing/2014/main" id="{00000000-0008-0000-0200-0000B4030000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49" name="$E$140">
            <a:extLst>
              <a:ext uri="{FF2B5EF4-FFF2-40B4-BE49-F238E27FC236}">
                <a16:creationId xmlns:a16="http://schemas.microsoft.com/office/drawing/2014/main" id="{00000000-0008-0000-0200-0000B5030000}"/>
              </a:ext>
            </a:extLst>
          </xdr:cNvPr>
          <xdr:cNvSpPr/>
        </xdr:nvSpPr>
        <xdr:spPr>
          <a:xfrm>
            <a:off x="431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50" name="$E$140">
            <a:extLst>
              <a:ext uri="{FF2B5EF4-FFF2-40B4-BE49-F238E27FC236}">
                <a16:creationId xmlns:a16="http://schemas.microsoft.com/office/drawing/2014/main" id="{00000000-0008-0000-0200-0000B6030000}"/>
              </a:ext>
            </a:extLst>
          </xdr:cNvPr>
          <xdr:cNvSpPr/>
        </xdr:nvSpPr>
        <xdr:spPr>
          <a:xfrm>
            <a:off x="444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51" name="$E$140">
            <a:extLst>
              <a:ext uri="{FF2B5EF4-FFF2-40B4-BE49-F238E27FC236}">
                <a16:creationId xmlns:a16="http://schemas.microsoft.com/office/drawing/2014/main" id="{00000000-0008-0000-0200-0000B70300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52" name="$E$140">
            <a:extLst>
              <a:ext uri="{FF2B5EF4-FFF2-40B4-BE49-F238E27FC236}">
                <a16:creationId xmlns:a16="http://schemas.microsoft.com/office/drawing/2014/main" id="{00000000-0008-0000-0200-0000B80300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53" name="$E$140">
            <a:extLst>
              <a:ext uri="{FF2B5EF4-FFF2-40B4-BE49-F238E27FC236}">
                <a16:creationId xmlns:a16="http://schemas.microsoft.com/office/drawing/2014/main" id="{00000000-0008-0000-0200-0000B903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54" name="$E$140">
            <a:extLst>
              <a:ext uri="{FF2B5EF4-FFF2-40B4-BE49-F238E27FC236}">
                <a16:creationId xmlns:a16="http://schemas.microsoft.com/office/drawing/2014/main" id="{00000000-0008-0000-0200-0000BA030000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55" name="$E$140">
            <a:extLst>
              <a:ext uri="{FF2B5EF4-FFF2-40B4-BE49-F238E27FC236}">
                <a16:creationId xmlns:a16="http://schemas.microsoft.com/office/drawing/2014/main" id="{00000000-0008-0000-0200-0000BB0300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56" name="$E$140">
            <a:extLst>
              <a:ext uri="{FF2B5EF4-FFF2-40B4-BE49-F238E27FC236}">
                <a16:creationId xmlns:a16="http://schemas.microsoft.com/office/drawing/2014/main" id="{00000000-0008-0000-0200-0000BC030000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57" name="$E$140">
            <a:extLst>
              <a:ext uri="{FF2B5EF4-FFF2-40B4-BE49-F238E27FC236}">
                <a16:creationId xmlns:a16="http://schemas.microsoft.com/office/drawing/2014/main" id="{00000000-0008-0000-0200-0000BD030000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58" name="$E$140">
            <a:extLst>
              <a:ext uri="{FF2B5EF4-FFF2-40B4-BE49-F238E27FC236}">
                <a16:creationId xmlns:a16="http://schemas.microsoft.com/office/drawing/2014/main" id="{00000000-0008-0000-0200-0000BE030000}"/>
              </a:ext>
            </a:extLst>
          </xdr:cNvPr>
          <xdr:cNvSpPr/>
        </xdr:nvSpPr>
        <xdr:spPr>
          <a:xfrm>
            <a:off x="177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59" name="$E$140">
            <a:extLst>
              <a:ext uri="{FF2B5EF4-FFF2-40B4-BE49-F238E27FC236}">
                <a16:creationId xmlns:a16="http://schemas.microsoft.com/office/drawing/2014/main" id="{00000000-0008-0000-0200-0000BF0300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60" name="$E$140">
            <a:extLst>
              <a:ext uri="{FF2B5EF4-FFF2-40B4-BE49-F238E27FC236}">
                <a16:creationId xmlns:a16="http://schemas.microsoft.com/office/drawing/2014/main" id="{00000000-0008-0000-0200-0000C0030000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61" name="$E$140">
            <a:extLst>
              <a:ext uri="{FF2B5EF4-FFF2-40B4-BE49-F238E27FC236}">
                <a16:creationId xmlns:a16="http://schemas.microsoft.com/office/drawing/2014/main" id="{00000000-0008-0000-0200-0000C1030000}"/>
              </a:ext>
            </a:extLst>
          </xdr:cNvPr>
          <xdr:cNvSpPr/>
        </xdr:nvSpPr>
        <xdr:spPr>
          <a:xfrm>
            <a:off x="292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62" name="$E$140">
            <a:extLst>
              <a:ext uri="{FF2B5EF4-FFF2-40B4-BE49-F238E27FC236}">
                <a16:creationId xmlns:a16="http://schemas.microsoft.com/office/drawing/2014/main" id="{00000000-0008-0000-0200-0000C20300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63" name="$E$140">
            <a:extLst>
              <a:ext uri="{FF2B5EF4-FFF2-40B4-BE49-F238E27FC236}">
                <a16:creationId xmlns:a16="http://schemas.microsoft.com/office/drawing/2014/main" id="{00000000-0008-0000-0200-0000C3030000}"/>
              </a:ext>
            </a:extLst>
          </xdr:cNvPr>
          <xdr:cNvSpPr/>
        </xdr:nvSpPr>
        <xdr:spPr>
          <a:xfrm>
            <a:off x="355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64" name="$E$140">
            <a:extLst>
              <a:ext uri="{FF2B5EF4-FFF2-40B4-BE49-F238E27FC236}">
                <a16:creationId xmlns:a16="http://schemas.microsoft.com/office/drawing/2014/main" id="{00000000-0008-0000-0200-0000C4030000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65" name="$E$140">
            <a:extLst>
              <a:ext uri="{FF2B5EF4-FFF2-40B4-BE49-F238E27FC236}">
                <a16:creationId xmlns:a16="http://schemas.microsoft.com/office/drawing/2014/main" id="{00000000-0008-0000-0200-0000C5030000}"/>
              </a:ext>
            </a:extLst>
          </xdr:cNvPr>
          <xdr:cNvSpPr/>
        </xdr:nvSpPr>
        <xdr:spPr>
          <a:xfrm>
            <a:off x="406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66" name="$E$140">
            <a:extLst>
              <a:ext uri="{FF2B5EF4-FFF2-40B4-BE49-F238E27FC236}">
                <a16:creationId xmlns:a16="http://schemas.microsoft.com/office/drawing/2014/main" id="{00000000-0008-0000-0200-0000C6030000}"/>
              </a:ext>
            </a:extLst>
          </xdr:cNvPr>
          <xdr:cNvSpPr/>
        </xdr:nvSpPr>
        <xdr:spPr>
          <a:xfrm>
            <a:off x="431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67" name="$E$140">
            <a:extLst>
              <a:ext uri="{FF2B5EF4-FFF2-40B4-BE49-F238E27FC236}">
                <a16:creationId xmlns:a16="http://schemas.microsoft.com/office/drawing/2014/main" id="{00000000-0008-0000-0200-0000C7030000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68" name="$E$140">
            <a:extLst>
              <a:ext uri="{FF2B5EF4-FFF2-40B4-BE49-F238E27FC236}">
                <a16:creationId xmlns:a16="http://schemas.microsoft.com/office/drawing/2014/main" id="{00000000-0008-0000-0200-0000C8030000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69" name="$E$140">
            <a:extLst>
              <a:ext uri="{FF2B5EF4-FFF2-40B4-BE49-F238E27FC236}">
                <a16:creationId xmlns:a16="http://schemas.microsoft.com/office/drawing/2014/main" id="{00000000-0008-0000-0200-0000C9030000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70" name="$E$140">
            <a:extLst>
              <a:ext uri="{FF2B5EF4-FFF2-40B4-BE49-F238E27FC236}">
                <a16:creationId xmlns:a16="http://schemas.microsoft.com/office/drawing/2014/main" id="{00000000-0008-0000-0200-0000CA030000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71" name="$E$140">
            <a:extLst>
              <a:ext uri="{FF2B5EF4-FFF2-40B4-BE49-F238E27FC236}">
                <a16:creationId xmlns:a16="http://schemas.microsoft.com/office/drawing/2014/main" id="{00000000-0008-0000-0200-0000CB030000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72" name="$E$140">
            <a:extLst>
              <a:ext uri="{FF2B5EF4-FFF2-40B4-BE49-F238E27FC236}">
                <a16:creationId xmlns:a16="http://schemas.microsoft.com/office/drawing/2014/main" id="{00000000-0008-0000-0200-0000CC0300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73" name="$E$140">
            <a:extLst>
              <a:ext uri="{FF2B5EF4-FFF2-40B4-BE49-F238E27FC236}">
                <a16:creationId xmlns:a16="http://schemas.microsoft.com/office/drawing/2014/main" id="{00000000-0008-0000-0200-0000CD0300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74" name="$E$140">
            <a:extLst>
              <a:ext uri="{FF2B5EF4-FFF2-40B4-BE49-F238E27FC236}">
                <a16:creationId xmlns:a16="http://schemas.microsoft.com/office/drawing/2014/main" id="{00000000-0008-0000-0200-0000CE0300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75" name="$E$140">
            <a:extLst>
              <a:ext uri="{FF2B5EF4-FFF2-40B4-BE49-F238E27FC236}">
                <a16:creationId xmlns:a16="http://schemas.microsoft.com/office/drawing/2014/main" id="{00000000-0008-0000-0200-0000CF030000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76" name="$E$140">
            <a:extLst>
              <a:ext uri="{FF2B5EF4-FFF2-40B4-BE49-F238E27FC236}">
                <a16:creationId xmlns:a16="http://schemas.microsoft.com/office/drawing/2014/main" id="{00000000-0008-0000-0200-0000D00300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77" name="$E$140">
            <a:extLst>
              <a:ext uri="{FF2B5EF4-FFF2-40B4-BE49-F238E27FC236}">
                <a16:creationId xmlns:a16="http://schemas.microsoft.com/office/drawing/2014/main" id="{00000000-0008-0000-0200-0000D1030000}"/>
              </a:ext>
            </a:extLst>
          </xdr:cNvPr>
          <xdr:cNvSpPr/>
        </xdr:nvSpPr>
        <xdr:spPr>
          <a:xfrm>
            <a:off x="292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78" name="$E$140">
            <a:extLst>
              <a:ext uri="{FF2B5EF4-FFF2-40B4-BE49-F238E27FC236}">
                <a16:creationId xmlns:a16="http://schemas.microsoft.com/office/drawing/2014/main" id="{00000000-0008-0000-0200-0000D20300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79" name="$E$140">
            <a:extLst>
              <a:ext uri="{FF2B5EF4-FFF2-40B4-BE49-F238E27FC236}">
                <a16:creationId xmlns:a16="http://schemas.microsoft.com/office/drawing/2014/main" id="{00000000-0008-0000-0200-0000D3030000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80" name="$E$140">
            <a:extLst>
              <a:ext uri="{FF2B5EF4-FFF2-40B4-BE49-F238E27FC236}">
                <a16:creationId xmlns:a16="http://schemas.microsoft.com/office/drawing/2014/main" id="{00000000-0008-0000-0200-0000D4030000}"/>
              </a:ext>
            </a:extLst>
          </xdr:cNvPr>
          <xdr:cNvSpPr/>
        </xdr:nvSpPr>
        <xdr:spPr>
          <a:xfrm>
            <a:off x="342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81" name="$E$140">
            <a:extLst>
              <a:ext uri="{FF2B5EF4-FFF2-40B4-BE49-F238E27FC236}">
                <a16:creationId xmlns:a16="http://schemas.microsoft.com/office/drawing/2014/main" id="{00000000-0008-0000-0200-0000D50300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82" name="$E$140">
            <a:extLst>
              <a:ext uri="{FF2B5EF4-FFF2-40B4-BE49-F238E27FC236}">
                <a16:creationId xmlns:a16="http://schemas.microsoft.com/office/drawing/2014/main" id="{00000000-0008-0000-0200-0000D6030000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83" name="$E$140">
            <a:extLst>
              <a:ext uri="{FF2B5EF4-FFF2-40B4-BE49-F238E27FC236}">
                <a16:creationId xmlns:a16="http://schemas.microsoft.com/office/drawing/2014/main" id="{00000000-0008-0000-0200-0000D7030000}"/>
              </a:ext>
            </a:extLst>
          </xdr:cNvPr>
          <xdr:cNvSpPr/>
        </xdr:nvSpPr>
        <xdr:spPr>
          <a:xfrm>
            <a:off x="419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84" name="$E$140">
            <a:extLst>
              <a:ext uri="{FF2B5EF4-FFF2-40B4-BE49-F238E27FC236}">
                <a16:creationId xmlns:a16="http://schemas.microsoft.com/office/drawing/2014/main" id="{00000000-0008-0000-0200-0000D8030000}"/>
              </a:ext>
            </a:extLst>
          </xdr:cNvPr>
          <xdr:cNvSpPr/>
        </xdr:nvSpPr>
        <xdr:spPr>
          <a:xfrm>
            <a:off x="431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85" name="$E$140">
            <a:extLst>
              <a:ext uri="{FF2B5EF4-FFF2-40B4-BE49-F238E27FC236}">
                <a16:creationId xmlns:a16="http://schemas.microsoft.com/office/drawing/2014/main" id="{00000000-0008-0000-0200-0000D9030000}"/>
              </a:ext>
            </a:extLst>
          </xdr:cNvPr>
          <xdr:cNvSpPr/>
        </xdr:nvSpPr>
        <xdr:spPr>
          <a:xfrm>
            <a:off x="444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86" name="$E$140">
            <a:extLst>
              <a:ext uri="{FF2B5EF4-FFF2-40B4-BE49-F238E27FC236}">
                <a16:creationId xmlns:a16="http://schemas.microsoft.com/office/drawing/2014/main" id="{00000000-0008-0000-0200-0000DA030000}"/>
              </a:ext>
            </a:extLst>
          </xdr:cNvPr>
          <xdr:cNvSpPr/>
        </xdr:nvSpPr>
        <xdr:spPr>
          <a:xfrm>
            <a:off x="457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87" name="$E$140">
            <a:extLst>
              <a:ext uri="{FF2B5EF4-FFF2-40B4-BE49-F238E27FC236}">
                <a16:creationId xmlns:a16="http://schemas.microsoft.com/office/drawing/2014/main" id="{00000000-0008-0000-0200-0000DB03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88" name="$E$140">
            <a:extLst>
              <a:ext uri="{FF2B5EF4-FFF2-40B4-BE49-F238E27FC236}">
                <a16:creationId xmlns:a16="http://schemas.microsoft.com/office/drawing/2014/main" id="{00000000-0008-0000-0200-0000DC030000}"/>
              </a:ext>
            </a:extLst>
          </xdr:cNvPr>
          <xdr:cNvSpPr/>
        </xdr:nvSpPr>
        <xdr:spPr>
          <a:xfrm>
            <a:off x="12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89" name="$E$140">
            <a:extLst>
              <a:ext uri="{FF2B5EF4-FFF2-40B4-BE49-F238E27FC236}">
                <a16:creationId xmlns:a16="http://schemas.microsoft.com/office/drawing/2014/main" id="{00000000-0008-0000-0200-0000DD0300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90" name="$E$140">
            <a:extLst>
              <a:ext uri="{FF2B5EF4-FFF2-40B4-BE49-F238E27FC236}">
                <a16:creationId xmlns:a16="http://schemas.microsoft.com/office/drawing/2014/main" id="{00000000-0008-0000-0200-0000DE03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91" name="$E$140">
            <a:extLst>
              <a:ext uri="{FF2B5EF4-FFF2-40B4-BE49-F238E27FC236}">
                <a16:creationId xmlns:a16="http://schemas.microsoft.com/office/drawing/2014/main" id="{00000000-0008-0000-0200-0000DF030000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92" name="$E$140">
            <a:extLst>
              <a:ext uri="{FF2B5EF4-FFF2-40B4-BE49-F238E27FC236}">
                <a16:creationId xmlns:a16="http://schemas.microsoft.com/office/drawing/2014/main" id="{00000000-0008-0000-0200-0000E00300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93" name="$E$140">
            <a:extLst>
              <a:ext uri="{FF2B5EF4-FFF2-40B4-BE49-F238E27FC236}">
                <a16:creationId xmlns:a16="http://schemas.microsoft.com/office/drawing/2014/main" id="{00000000-0008-0000-0200-0000E10300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94" name="$E$140">
            <a:extLst>
              <a:ext uri="{FF2B5EF4-FFF2-40B4-BE49-F238E27FC236}">
                <a16:creationId xmlns:a16="http://schemas.microsoft.com/office/drawing/2014/main" id="{00000000-0008-0000-0200-0000E2030000}"/>
              </a:ext>
            </a:extLst>
          </xdr:cNvPr>
          <xdr:cNvSpPr/>
        </xdr:nvSpPr>
        <xdr:spPr>
          <a:xfrm>
            <a:off x="152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95" name="$E$140">
            <a:extLst>
              <a:ext uri="{FF2B5EF4-FFF2-40B4-BE49-F238E27FC236}">
                <a16:creationId xmlns:a16="http://schemas.microsoft.com/office/drawing/2014/main" id="{00000000-0008-0000-0200-0000E3030000}"/>
              </a:ext>
            </a:extLst>
          </xdr:cNvPr>
          <xdr:cNvSpPr/>
        </xdr:nvSpPr>
        <xdr:spPr>
          <a:xfrm>
            <a:off x="177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96" name="$E$140">
            <a:extLst>
              <a:ext uri="{FF2B5EF4-FFF2-40B4-BE49-F238E27FC236}">
                <a16:creationId xmlns:a16="http://schemas.microsoft.com/office/drawing/2014/main" id="{00000000-0008-0000-0200-0000E4030000}"/>
              </a:ext>
            </a:extLst>
          </xdr:cNvPr>
          <xdr:cNvSpPr/>
        </xdr:nvSpPr>
        <xdr:spPr>
          <a:xfrm>
            <a:off x="203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97" name="$E$140">
            <a:extLst>
              <a:ext uri="{FF2B5EF4-FFF2-40B4-BE49-F238E27FC236}">
                <a16:creationId xmlns:a16="http://schemas.microsoft.com/office/drawing/2014/main" id="{00000000-0008-0000-0200-0000E50300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98" name="$E$140">
            <a:extLst>
              <a:ext uri="{FF2B5EF4-FFF2-40B4-BE49-F238E27FC236}">
                <a16:creationId xmlns:a16="http://schemas.microsoft.com/office/drawing/2014/main" id="{00000000-0008-0000-0200-0000E603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99" name="$E$140">
            <a:extLst>
              <a:ext uri="{FF2B5EF4-FFF2-40B4-BE49-F238E27FC236}">
                <a16:creationId xmlns:a16="http://schemas.microsoft.com/office/drawing/2014/main" id="{00000000-0008-0000-0200-0000E70300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00" name="$E$140">
            <a:extLst>
              <a:ext uri="{FF2B5EF4-FFF2-40B4-BE49-F238E27FC236}">
                <a16:creationId xmlns:a16="http://schemas.microsoft.com/office/drawing/2014/main" id="{00000000-0008-0000-0200-0000E80300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01" name="$E$140">
            <a:extLst>
              <a:ext uri="{FF2B5EF4-FFF2-40B4-BE49-F238E27FC236}">
                <a16:creationId xmlns:a16="http://schemas.microsoft.com/office/drawing/2014/main" id="{00000000-0008-0000-0200-0000E9030000}"/>
              </a:ext>
            </a:extLst>
          </xdr:cNvPr>
          <xdr:cNvSpPr/>
        </xdr:nvSpPr>
        <xdr:spPr>
          <a:xfrm>
            <a:off x="381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02" name="$E$140">
            <a:extLst>
              <a:ext uri="{FF2B5EF4-FFF2-40B4-BE49-F238E27FC236}">
                <a16:creationId xmlns:a16="http://schemas.microsoft.com/office/drawing/2014/main" id="{00000000-0008-0000-0200-0000EA030000}"/>
              </a:ext>
            </a:extLst>
          </xdr:cNvPr>
          <xdr:cNvSpPr/>
        </xdr:nvSpPr>
        <xdr:spPr>
          <a:xfrm>
            <a:off x="393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03" name="$E$140">
            <a:extLst>
              <a:ext uri="{FF2B5EF4-FFF2-40B4-BE49-F238E27FC236}">
                <a16:creationId xmlns:a16="http://schemas.microsoft.com/office/drawing/2014/main" id="{00000000-0008-0000-0200-0000EB030000}"/>
              </a:ext>
            </a:extLst>
          </xdr:cNvPr>
          <xdr:cNvSpPr/>
        </xdr:nvSpPr>
        <xdr:spPr>
          <a:xfrm>
            <a:off x="419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04" name="$E$140">
            <a:extLst>
              <a:ext uri="{FF2B5EF4-FFF2-40B4-BE49-F238E27FC236}">
                <a16:creationId xmlns:a16="http://schemas.microsoft.com/office/drawing/2014/main" id="{00000000-0008-0000-0200-0000EC030000}"/>
              </a:ext>
            </a:extLst>
          </xdr:cNvPr>
          <xdr:cNvSpPr/>
        </xdr:nvSpPr>
        <xdr:spPr>
          <a:xfrm>
            <a:off x="457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05" name="$E$140">
            <a:extLst>
              <a:ext uri="{FF2B5EF4-FFF2-40B4-BE49-F238E27FC236}">
                <a16:creationId xmlns:a16="http://schemas.microsoft.com/office/drawing/2014/main" id="{00000000-0008-0000-0200-0000ED0300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06" name="$E$140">
            <a:extLst>
              <a:ext uri="{FF2B5EF4-FFF2-40B4-BE49-F238E27FC236}">
                <a16:creationId xmlns:a16="http://schemas.microsoft.com/office/drawing/2014/main" id="{00000000-0008-0000-0200-0000EE030000}"/>
              </a:ext>
            </a:extLst>
          </xdr:cNvPr>
          <xdr:cNvSpPr/>
        </xdr:nvSpPr>
        <xdr:spPr>
          <a:xfrm>
            <a:off x="63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07" name="$E$140">
            <a:extLst>
              <a:ext uri="{FF2B5EF4-FFF2-40B4-BE49-F238E27FC236}">
                <a16:creationId xmlns:a16="http://schemas.microsoft.com/office/drawing/2014/main" id="{00000000-0008-0000-0200-0000EF030000}"/>
              </a:ext>
            </a:extLst>
          </xdr:cNvPr>
          <xdr:cNvSpPr/>
        </xdr:nvSpPr>
        <xdr:spPr>
          <a:xfrm>
            <a:off x="88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08" name="$E$140">
            <a:extLst>
              <a:ext uri="{FF2B5EF4-FFF2-40B4-BE49-F238E27FC236}">
                <a16:creationId xmlns:a16="http://schemas.microsoft.com/office/drawing/2014/main" id="{00000000-0008-0000-0200-0000F00300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09" name="$E$140">
            <a:extLst>
              <a:ext uri="{FF2B5EF4-FFF2-40B4-BE49-F238E27FC236}">
                <a16:creationId xmlns:a16="http://schemas.microsoft.com/office/drawing/2014/main" id="{00000000-0008-0000-0200-0000F1030000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10" name="$E$140">
            <a:extLst>
              <a:ext uri="{FF2B5EF4-FFF2-40B4-BE49-F238E27FC236}">
                <a16:creationId xmlns:a16="http://schemas.microsoft.com/office/drawing/2014/main" id="{00000000-0008-0000-0200-0000F20300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11" name="$E$140">
            <a:extLst>
              <a:ext uri="{FF2B5EF4-FFF2-40B4-BE49-F238E27FC236}">
                <a16:creationId xmlns:a16="http://schemas.microsoft.com/office/drawing/2014/main" id="{00000000-0008-0000-0200-0000F30300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12" name="$E$140">
            <a:extLst>
              <a:ext uri="{FF2B5EF4-FFF2-40B4-BE49-F238E27FC236}">
                <a16:creationId xmlns:a16="http://schemas.microsoft.com/office/drawing/2014/main" id="{00000000-0008-0000-0200-0000F40300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13" name="$E$140">
            <a:extLst>
              <a:ext uri="{FF2B5EF4-FFF2-40B4-BE49-F238E27FC236}">
                <a16:creationId xmlns:a16="http://schemas.microsoft.com/office/drawing/2014/main" id="{00000000-0008-0000-0200-0000F50300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14" name="$E$140">
            <a:extLst>
              <a:ext uri="{FF2B5EF4-FFF2-40B4-BE49-F238E27FC236}">
                <a16:creationId xmlns:a16="http://schemas.microsoft.com/office/drawing/2014/main" id="{00000000-0008-0000-0200-0000F60300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15" name="$E$140">
            <a:extLst>
              <a:ext uri="{FF2B5EF4-FFF2-40B4-BE49-F238E27FC236}">
                <a16:creationId xmlns:a16="http://schemas.microsoft.com/office/drawing/2014/main" id="{00000000-0008-0000-0200-0000F7030000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16" name="$E$140">
            <a:extLst>
              <a:ext uri="{FF2B5EF4-FFF2-40B4-BE49-F238E27FC236}">
                <a16:creationId xmlns:a16="http://schemas.microsoft.com/office/drawing/2014/main" id="{00000000-0008-0000-0200-0000F80300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17" name="$E$140">
            <a:extLst>
              <a:ext uri="{FF2B5EF4-FFF2-40B4-BE49-F238E27FC236}">
                <a16:creationId xmlns:a16="http://schemas.microsoft.com/office/drawing/2014/main" id="{00000000-0008-0000-0200-0000F90300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18" name="$E$140">
            <a:extLst>
              <a:ext uri="{FF2B5EF4-FFF2-40B4-BE49-F238E27FC236}">
                <a16:creationId xmlns:a16="http://schemas.microsoft.com/office/drawing/2014/main" id="{00000000-0008-0000-0200-0000FA03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19" name="$E$140">
            <a:extLst>
              <a:ext uri="{FF2B5EF4-FFF2-40B4-BE49-F238E27FC236}">
                <a16:creationId xmlns:a16="http://schemas.microsoft.com/office/drawing/2014/main" id="{00000000-0008-0000-0200-0000FB030000}"/>
              </a:ext>
            </a:extLst>
          </xdr:cNvPr>
          <xdr:cNvSpPr/>
        </xdr:nvSpPr>
        <xdr:spPr>
          <a:xfrm>
            <a:off x="368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20" name="$E$140">
            <a:extLst>
              <a:ext uri="{FF2B5EF4-FFF2-40B4-BE49-F238E27FC236}">
                <a16:creationId xmlns:a16="http://schemas.microsoft.com/office/drawing/2014/main" id="{00000000-0008-0000-0200-0000FC030000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21" name="$E$140">
            <a:extLst>
              <a:ext uri="{FF2B5EF4-FFF2-40B4-BE49-F238E27FC236}">
                <a16:creationId xmlns:a16="http://schemas.microsoft.com/office/drawing/2014/main" id="{00000000-0008-0000-0200-0000FD030000}"/>
              </a:ext>
            </a:extLst>
          </xdr:cNvPr>
          <xdr:cNvSpPr/>
        </xdr:nvSpPr>
        <xdr:spPr>
          <a:xfrm>
            <a:off x="419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22" name="$E$140">
            <a:extLst>
              <a:ext uri="{FF2B5EF4-FFF2-40B4-BE49-F238E27FC236}">
                <a16:creationId xmlns:a16="http://schemas.microsoft.com/office/drawing/2014/main" id="{00000000-0008-0000-0200-0000FE030000}"/>
              </a:ext>
            </a:extLst>
          </xdr:cNvPr>
          <xdr:cNvSpPr/>
        </xdr:nvSpPr>
        <xdr:spPr>
          <a:xfrm>
            <a:off x="444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23" name="$E$140">
            <a:extLst>
              <a:ext uri="{FF2B5EF4-FFF2-40B4-BE49-F238E27FC236}">
                <a16:creationId xmlns:a16="http://schemas.microsoft.com/office/drawing/2014/main" id="{00000000-0008-0000-0200-0000FF03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24" name="$E$140">
            <a:extLst>
              <a:ext uri="{FF2B5EF4-FFF2-40B4-BE49-F238E27FC236}">
                <a16:creationId xmlns:a16="http://schemas.microsoft.com/office/drawing/2014/main" id="{00000000-0008-0000-0200-000000040000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25" name="$E$140">
            <a:extLst>
              <a:ext uri="{FF2B5EF4-FFF2-40B4-BE49-F238E27FC236}">
                <a16:creationId xmlns:a16="http://schemas.microsoft.com/office/drawing/2014/main" id="{00000000-0008-0000-0200-00000104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26" name="$E$140">
            <a:extLst>
              <a:ext uri="{FF2B5EF4-FFF2-40B4-BE49-F238E27FC236}">
                <a16:creationId xmlns:a16="http://schemas.microsoft.com/office/drawing/2014/main" id="{00000000-0008-0000-0200-0000020400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27" name="$E$140">
            <a:extLst>
              <a:ext uri="{FF2B5EF4-FFF2-40B4-BE49-F238E27FC236}">
                <a16:creationId xmlns:a16="http://schemas.microsoft.com/office/drawing/2014/main" id="{00000000-0008-0000-0200-00000304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28" name="$E$140">
            <a:extLst>
              <a:ext uri="{FF2B5EF4-FFF2-40B4-BE49-F238E27FC236}">
                <a16:creationId xmlns:a16="http://schemas.microsoft.com/office/drawing/2014/main" id="{00000000-0008-0000-0200-000004040000}"/>
              </a:ext>
            </a:extLst>
          </xdr:cNvPr>
          <xdr:cNvSpPr/>
        </xdr:nvSpPr>
        <xdr:spPr>
          <a:xfrm>
            <a:off x="88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29" name="$E$140">
            <a:extLst>
              <a:ext uri="{FF2B5EF4-FFF2-40B4-BE49-F238E27FC236}">
                <a16:creationId xmlns:a16="http://schemas.microsoft.com/office/drawing/2014/main" id="{00000000-0008-0000-0200-00000504000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30" name="$E$140">
            <a:extLst>
              <a:ext uri="{FF2B5EF4-FFF2-40B4-BE49-F238E27FC236}">
                <a16:creationId xmlns:a16="http://schemas.microsoft.com/office/drawing/2014/main" id="{00000000-0008-0000-0200-0000060400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31" name="$E$140">
            <a:extLst>
              <a:ext uri="{FF2B5EF4-FFF2-40B4-BE49-F238E27FC236}">
                <a16:creationId xmlns:a16="http://schemas.microsoft.com/office/drawing/2014/main" id="{00000000-0008-0000-0200-0000070400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32" name="$E$140">
            <a:extLst>
              <a:ext uri="{FF2B5EF4-FFF2-40B4-BE49-F238E27FC236}">
                <a16:creationId xmlns:a16="http://schemas.microsoft.com/office/drawing/2014/main" id="{00000000-0008-0000-0200-0000080400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33" name="$E$140">
            <a:extLst>
              <a:ext uri="{FF2B5EF4-FFF2-40B4-BE49-F238E27FC236}">
                <a16:creationId xmlns:a16="http://schemas.microsoft.com/office/drawing/2014/main" id="{00000000-0008-0000-0200-0000090400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34" name="$E$140">
            <a:extLst>
              <a:ext uri="{FF2B5EF4-FFF2-40B4-BE49-F238E27FC236}">
                <a16:creationId xmlns:a16="http://schemas.microsoft.com/office/drawing/2014/main" id="{00000000-0008-0000-0200-00000A040000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35" name="$E$140">
            <a:extLst>
              <a:ext uri="{FF2B5EF4-FFF2-40B4-BE49-F238E27FC236}">
                <a16:creationId xmlns:a16="http://schemas.microsoft.com/office/drawing/2014/main" id="{00000000-0008-0000-0200-00000B0400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36" name="$E$140">
            <a:extLst>
              <a:ext uri="{FF2B5EF4-FFF2-40B4-BE49-F238E27FC236}">
                <a16:creationId xmlns:a16="http://schemas.microsoft.com/office/drawing/2014/main" id="{00000000-0008-0000-0200-00000C0400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37" name="$E$140">
            <a:extLst>
              <a:ext uri="{FF2B5EF4-FFF2-40B4-BE49-F238E27FC236}">
                <a16:creationId xmlns:a16="http://schemas.microsoft.com/office/drawing/2014/main" id="{00000000-0008-0000-0200-00000D0400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38" name="$E$140">
            <a:extLst>
              <a:ext uri="{FF2B5EF4-FFF2-40B4-BE49-F238E27FC236}">
                <a16:creationId xmlns:a16="http://schemas.microsoft.com/office/drawing/2014/main" id="{00000000-0008-0000-0200-00000E04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39" name="$E$140">
            <a:extLst>
              <a:ext uri="{FF2B5EF4-FFF2-40B4-BE49-F238E27FC236}">
                <a16:creationId xmlns:a16="http://schemas.microsoft.com/office/drawing/2014/main" id="{00000000-0008-0000-0200-00000F040000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40" name="$E$140">
            <a:extLst>
              <a:ext uri="{FF2B5EF4-FFF2-40B4-BE49-F238E27FC236}">
                <a16:creationId xmlns:a16="http://schemas.microsoft.com/office/drawing/2014/main" id="{00000000-0008-0000-0200-0000100400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41" name="$E$140">
            <a:extLst>
              <a:ext uri="{FF2B5EF4-FFF2-40B4-BE49-F238E27FC236}">
                <a16:creationId xmlns:a16="http://schemas.microsoft.com/office/drawing/2014/main" id="{00000000-0008-0000-0200-000011040000}"/>
              </a:ext>
            </a:extLst>
          </xdr:cNvPr>
          <xdr:cNvSpPr/>
        </xdr:nvSpPr>
        <xdr:spPr>
          <a:xfrm>
            <a:off x="381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42" name="$E$140">
            <a:extLst>
              <a:ext uri="{FF2B5EF4-FFF2-40B4-BE49-F238E27FC236}">
                <a16:creationId xmlns:a16="http://schemas.microsoft.com/office/drawing/2014/main" id="{00000000-0008-0000-0200-000012040000}"/>
              </a:ext>
            </a:extLst>
          </xdr:cNvPr>
          <xdr:cNvSpPr/>
        </xdr:nvSpPr>
        <xdr:spPr>
          <a:xfrm>
            <a:off x="406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43" name="$E$140">
            <a:extLst>
              <a:ext uri="{FF2B5EF4-FFF2-40B4-BE49-F238E27FC236}">
                <a16:creationId xmlns:a16="http://schemas.microsoft.com/office/drawing/2014/main" id="{00000000-0008-0000-0200-000013040000}"/>
              </a:ext>
            </a:extLst>
          </xdr:cNvPr>
          <xdr:cNvSpPr/>
        </xdr:nvSpPr>
        <xdr:spPr>
          <a:xfrm>
            <a:off x="431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44" name="$E$140">
            <a:extLst>
              <a:ext uri="{FF2B5EF4-FFF2-40B4-BE49-F238E27FC236}">
                <a16:creationId xmlns:a16="http://schemas.microsoft.com/office/drawing/2014/main" id="{00000000-0008-0000-0200-000014040000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45" name="$E$140">
            <a:extLst>
              <a:ext uri="{FF2B5EF4-FFF2-40B4-BE49-F238E27FC236}">
                <a16:creationId xmlns:a16="http://schemas.microsoft.com/office/drawing/2014/main" id="{00000000-0008-0000-0200-000015040000}"/>
              </a:ext>
            </a:extLst>
          </xdr:cNvPr>
          <xdr:cNvSpPr/>
        </xdr:nvSpPr>
        <xdr:spPr>
          <a:xfrm>
            <a:off x="457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46" name="$E$140">
            <a:extLst>
              <a:ext uri="{FF2B5EF4-FFF2-40B4-BE49-F238E27FC236}">
                <a16:creationId xmlns:a16="http://schemas.microsoft.com/office/drawing/2014/main" id="{00000000-0008-0000-0200-00001604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47" name="$E$140">
            <a:extLst>
              <a:ext uri="{FF2B5EF4-FFF2-40B4-BE49-F238E27FC236}">
                <a16:creationId xmlns:a16="http://schemas.microsoft.com/office/drawing/2014/main" id="{00000000-0008-0000-0200-000017040000}"/>
              </a:ext>
            </a:extLst>
          </xdr:cNvPr>
          <xdr:cNvSpPr/>
        </xdr:nvSpPr>
        <xdr:spPr>
          <a:xfrm>
            <a:off x="25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48" name="$E$140">
            <a:extLst>
              <a:ext uri="{FF2B5EF4-FFF2-40B4-BE49-F238E27FC236}">
                <a16:creationId xmlns:a16="http://schemas.microsoft.com/office/drawing/2014/main" id="{00000000-0008-0000-0200-000018040000}"/>
              </a:ext>
            </a:extLst>
          </xdr:cNvPr>
          <xdr:cNvSpPr/>
        </xdr:nvSpPr>
        <xdr:spPr>
          <a:xfrm>
            <a:off x="38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49" name="$E$140">
            <a:extLst>
              <a:ext uri="{FF2B5EF4-FFF2-40B4-BE49-F238E27FC236}">
                <a16:creationId xmlns:a16="http://schemas.microsoft.com/office/drawing/2014/main" id="{00000000-0008-0000-0200-000019040000}"/>
              </a:ext>
            </a:extLst>
          </xdr:cNvPr>
          <xdr:cNvSpPr/>
        </xdr:nvSpPr>
        <xdr:spPr>
          <a:xfrm>
            <a:off x="50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50" name="$E$140">
            <a:extLst>
              <a:ext uri="{FF2B5EF4-FFF2-40B4-BE49-F238E27FC236}">
                <a16:creationId xmlns:a16="http://schemas.microsoft.com/office/drawing/2014/main" id="{00000000-0008-0000-0200-00001A040000}"/>
              </a:ext>
            </a:extLst>
          </xdr:cNvPr>
          <xdr:cNvSpPr/>
        </xdr:nvSpPr>
        <xdr:spPr>
          <a:xfrm>
            <a:off x="88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51" name="$E$140">
            <a:extLst>
              <a:ext uri="{FF2B5EF4-FFF2-40B4-BE49-F238E27FC236}">
                <a16:creationId xmlns:a16="http://schemas.microsoft.com/office/drawing/2014/main" id="{00000000-0008-0000-0200-00001B040000}"/>
              </a:ext>
            </a:extLst>
          </xdr:cNvPr>
          <xdr:cNvSpPr/>
        </xdr:nvSpPr>
        <xdr:spPr>
          <a:xfrm>
            <a:off x="101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52" name="$E$140">
            <a:extLst>
              <a:ext uri="{FF2B5EF4-FFF2-40B4-BE49-F238E27FC236}">
                <a16:creationId xmlns:a16="http://schemas.microsoft.com/office/drawing/2014/main" id="{00000000-0008-0000-0200-00001C040000}"/>
              </a:ext>
            </a:extLst>
          </xdr:cNvPr>
          <xdr:cNvSpPr/>
        </xdr:nvSpPr>
        <xdr:spPr>
          <a:xfrm>
            <a:off x="114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53" name="$E$140">
            <a:extLst>
              <a:ext uri="{FF2B5EF4-FFF2-40B4-BE49-F238E27FC236}">
                <a16:creationId xmlns:a16="http://schemas.microsoft.com/office/drawing/2014/main" id="{00000000-0008-0000-0200-00001D040000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54" name="$E$140">
            <a:extLst>
              <a:ext uri="{FF2B5EF4-FFF2-40B4-BE49-F238E27FC236}">
                <a16:creationId xmlns:a16="http://schemas.microsoft.com/office/drawing/2014/main" id="{00000000-0008-0000-0200-00001E040000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55" name="$E$140">
            <a:extLst>
              <a:ext uri="{FF2B5EF4-FFF2-40B4-BE49-F238E27FC236}">
                <a16:creationId xmlns:a16="http://schemas.microsoft.com/office/drawing/2014/main" id="{00000000-0008-0000-0200-00001F04000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56" name="$E$140">
            <a:extLst>
              <a:ext uri="{FF2B5EF4-FFF2-40B4-BE49-F238E27FC236}">
                <a16:creationId xmlns:a16="http://schemas.microsoft.com/office/drawing/2014/main" id="{00000000-0008-0000-0200-0000200400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57" name="$E$140">
            <a:extLst>
              <a:ext uri="{FF2B5EF4-FFF2-40B4-BE49-F238E27FC236}">
                <a16:creationId xmlns:a16="http://schemas.microsoft.com/office/drawing/2014/main" id="{00000000-0008-0000-0200-0000210400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58" name="$E$140">
            <a:extLst>
              <a:ext uri="{FF2B5EF4-FFF2-40B4-BE49-F238E27FC236}">
                <a16:creationId xmlns:a16="http://schemas.microsoft.com/office/drawing/2014/main" id="{00000000-0008-0000-0200-0000220400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59" name="$E$140">
            <a:extLst>
              <a:ext uri="{FF2B5EF4-FFF2-40B4-BE49-F238E27FC236}">
                <a16:creationId xmlns:a16="http://schemas.microsoft.com/office/drawing/2014/main" id="{00000000-0008-0000-0200-000023040000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60" name="$E$140">
            <a:extLst>
              <a:ext uri="{FF2B5EF4-FFF2-40B4-BE49-F238E27FC236}">
                <a16:creationId xmlns:a16="http://schemas.microsoft.com/office/drawing/2014/main" id="{00000000-0008-0000-0200-000024040000}"/>
              </a:ext>
            </a:extLst>
          </xdr:cNvPr>
          <xdr:cNvSpPr/>
        </xdr:nvSpPr>
        <xdr:spPr>
          <a:xfrm>
            <a:off x="419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61" name="$E$140">
            <a:extLst>
              <a:ext uri="{FF2B5EF4-FFF2-40B4-BE49-F238E27FC236}">
                <a16:creationId xmlns:a16="http://schemas.microsoft.com/office/drawing/2014/main" id="{00000000-0008-0000-0200-000025040000}"/>
              </a:ext>
            </a:extLst>
          </xdr:cNvPr>
          <xdr:cNvSpPr/>
        </xdr:nvSpPr>
        <xdr:spPr>
          <a:xfrm>
            <a:off x="431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62" name="$E$140">
            <a:extLst>
              <a:ext uri="{FF2B5EF4-FFF2-40B4-BE49-F238E27FC236}">
                <a16:creationId xmlns:a16="http://schemas.microsoft.com/office/drawing/2014/main" id="{00000000-0008-0000-0200-000026040000}"/>
              </a:ext>
            </a:extLst>
          </xdr:cNvPr>
          <xdr:cNvSpPr/>
        </xdr:nvSpPr>
        <xdr:spPr>
          <a:xfrm>
            <a:off x="457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63" name="$E$140">
            <a:extLst>
              <a:ext uri="{FF2B5EF4-FFF2-40B4-BE49-F238E27FC236}">
                <a16:creationId xmlns:a16="http://schemas.microsoft.com/office/drawing/2014/main" id="{00000000-0008-0000-0200-00002704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64" name="$E$140">
            <a:extLst>
              <a:ext uri="{FF2B5EF4-FFF2-40B4-BE49-F238E27FC236}">
                <a16:creationId xmlns:a16="http://schemas.microsoft.com/office/drawing/2014/main" id="{00000000-0008-0000-0200-00002804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65" name="$E$140">
            <a:extLst>
              <a:ext uri="{FF2B5EF4-FFF2-40B4-BE49-F238E27FC236}">
                <a16:creationId xmlns:a16="http://schemas.microsoft.com/office/drawing/2014/main" id="{00000000-0008-0000-0200-0000290400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66" name="$E$140">
            <a:extLst>
              <a:ext uri="{FF2B5EF4-FFF2-40B4-BE49-F238E27FC236}">
                <a16:creationId xmlns:a16="http://schemas.microsoft.com/office/drawing/2014/main" id="{00000000-0008-0000-0200-00002A0400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67" name="$E$140">
            <a:extLst>
              <a:ext uri="{FF2B5EF4-FFF2-40B4-BE49-F238E27FC236}">
                <a16:creationId xmlns:a16="http://schemas.microsoft.com/office/drawing/2014/main" id="{00000000-0008-0000-0200-00002B04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68" name="$E$140">
            <a:extLst>
              <a:ext uri="{FF2B5EF4-FFF2-40B4-BE49-F238E27FC236}">
                <a16:creationId xmlns:a16="http://schemas.microsoft.com/office/drawing/2014/main" id="{00000000-0008-0000-0200-00002C040000}"/>
              </a:ext>
            </a:extLst>
          </xdr:cNvPr>
          <xdr:cNvSpPr/>
        </xdr:nvSpPr>
        <xdr:spPr>
          <a:xfrm>
            <a:off x="88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69" name="$E$140">
            <a:extLst>
              <a:ext uri="{FF2B5EF4-FFF2-40B4-BE49-F238E27FC236}">
                <a16:creationId xmlns:a16="http://schemas.microsoft.com/office/drawing/2014/main" id="{00000000-0008-0000-0200-00002D0400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70" name="$E$140">
            <a:extLst>
              <a:ext uri="{FF2B5EF4-FFF2-40B4-BE49-F238E27FC236}">
                <a16:creationId xmlns:a16="http://schemas.microsoft.com/office/drawing/2014/main" id="{00000000-0008-0000-0200-00002E0400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71" name="$E$140">
            <a:extLst>
              <a:ext uri="{FF2B5EF4-FFF2-40B4-BE49-F238E27FC236}">
                <a16:creationId xmlns:a16="http://schemas.microsoft.com/office/drawing/2014/main" id="{00000000-0008-0000-0200-00002F0400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72" name="$E$140">
            <a:extLst>
              <a:ext uri="{FF2B5EF4-FFF2-40B4-BE49-F238E27FC236}">
                <a16:creationId xmlns:a16="http://schemas.microsoft.com/office/drawing/2014/main" id="{00000000-0008-0000-0200-000030040000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73" name="$E$140">
            <a:extLst>
              <a:ext uri="{FF2B5EF4-FFF2-40B4-BE49-F238E27FC236}">
                <a16:creationId xmlns:a16="http://schemas.microsoft.com/office/drawing/2014/main" id="{00000000-0008-0000-0200-0000310400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74" name="$E$140">
            <a:extLst>
              <a:ext uri="{FF2B5EF4-FFF2-40B4-BE49-F238E27FC236}">
                <a16:creationId xmlns:a16="http://schemas.microsoft.com/office/drawing/2014/main" id="{00000000-0008-0000-0200-000032040000}"/>
              </a:ext>
            </a:extLst>
          </xdr:cNvPr>
          <xdr:cNvSpPr/>
        </xdr:nvSpPr>
        <xdr:spPr>
          <a:xfrm>
            <a:off x="254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75" name="$E$140">
            <a:extLst>
              <a:ext uri="{FF2B5EF4-FFF2-40B4-BE49-F238E27FC236}">
                <a16:creationId xmlns:a16="http://schemas.microsoft.com/office/drawing/2014/main" id="{00000000-0008-0000-0200-0000330400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76" name="$E$140">
            <a:extLst>
              <a:ext uri="{FF2B5EF4-FFF2-40B4-BE49-F238E27FC236}">
                <a16:creationId xmlns:a16="http://schemas.microsoft.com/office/drawing/2014/main" id="{00000000-0008-0000-0200-000034040000}"/>
              </a:ext>
            </a:extLst>
          </xdr:cNvPr>
          <xdr:cNvSpPr/>
        </xdr:nvSpPr>
        <xdr:spPr>
          <a:xfrm>
            <a:off x="292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77" name="$E$140">
            <a:extLst>
              <a:ext uri="{FF2B5EF4-FFF2-40B4-BE49-F238E27FC236}">
                <a16:creationId xmlns:a16="http://schemas.microsoft.com/office/drawing/2014/main" id="{00000000-0008-0000-0200-00003504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78" name="$E$140">
            <a:extLst>
              <a:ext uri="{FF2B5EF4-FFF2-40B4-BE49-F238E27FC236}">
                <a16:creationId xmlns:a16="http://schemas.microsoft.com/office/drawing/2014/main" id="{00000000-0008-0000-0200-00003604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79" name="$E$140">
            <a:extLst>
              <a:ext uri="{FF2B5EF4-FFF2-40B4-BE49-F238E27FC236}">
                <a16:creationId xmlns:a16="http://schemas.microsoft.com/office/drawing/2014/main" id="{00000000-0008-0000-0200-00003704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80" name="$E$140">
            <a:extLst>
              <a:ext uri="{FF2B5EF4-FFF2-40B4-BE49-F238E27FC236}">
                <a16:creationId xmlns:a16="http://schemas.microsoft.com/office/drawing/2014/main" id="{00000000-0008-0000-0200-000038040000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81" name="$E$140">
            <a:extLst>
              <a:ext uri="{FF2B5EF4-FFF2-40B4-BE49-F238E27FC236}">
                <a16:creationId xmlns:a16="http://schemas.microsoft.com/office/drawing/2014/main" id="{00000000-0008-0000-0200-000039040000}"/>
              </a:ext>
            </a:extLst>
          </xdr:cNvPr>
          <xdr:cNvSpPr/>
        </xdr:nvSpPr>
        <xdr:spPr>
          <a:xfrm>
            <a:off x="381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82" name="$E$140">
            <a:extLst>
              <a:ext uri="{FF2B5EF4-FFF2-40B4-BE49-F238E27FC236}">
                <a16:creationId xmlns:a16="http://schemas.microsoft.com/office/drawing/2014/main" id="{00000000-0008-0000-0200-00003A040000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83" name="$E$140">
            <a:extLst>
              <a:ext uri="{FF2B5EF4-FFF2-40B4-BE49-F238E27FC236}">
                <a16:creationId xmlns:a16="http://schemas.microsoft.com/office/drawing/2014/main" id="{00000000-0008-0000-0200-00003B040000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84" name="$E$140">
            <a:extLst>
              <a:ext uri="{FF2B5EF4-FFF2-40B4-BE49-F238E27FC236}">
                <a16:creationId xmlns:a16="http://schemas.microsoft.com/office/drawing/2014/main" id="{00000000-0008-0000-0200-00003C040000}"/>
              </a:ext>
            </a:extLst>
          </xdr:cNvPr>
          <xdr:cNvSpPr/>
        </xdr:nvSpPr>
        <xdr:spPr>
          <a:xfrm>
            <a:off x="419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85" name="$E$140">
            <a:extLst>
              <a:ext uri="{FF2B5EF4-FFF2-40B4-BE49-F238E27FC236}">
                <a16:creationId xmlns:a16="http://schemas.microsoft.com/office/drawing/2014/main" id="{00000000-0008-0000-0200-00003D040000}"/>
              </a:ext>
            </a:extLst>
          </xdr:cNvPr>
          <xdr:cNvSpPr/>
        </xdr:nvSpPr>
        <xdr:spPr>
          <a:xfrm>
            <a:off x="431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86" name="$E$140">
            <a:extLst>
              <a:ext uri="{FF2B5EF4-FFF2-40B4-BE49-F238E27FC236}">
                <a16:creationId xmlns:a16="http://schemas.microsoft.com/office/drawing/2014/main" id="{00000000-0008-0000-0200-00003E040000}"/>
              </a:ext>
            </a:extLst>
          </xdr:cNvPr>
          <xdr:cNvSpPr/>
        </xdr:nvSpPr>
        <xdr:spPr>
          <a:xfrm>
            <a:off x="444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87" name="$E$140">
            <a:extLst>
              <a:ext uri="{FF2B5EF4-FFF2-40B4-BE49-F238E27FC236}">
                <a16:creationId xmlns:a16="http://schemas.microsoft.com/office/drawing/2014/main" id="{00000000-0008-0000-0200-00003F04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88" name="$E$140">
            <a:extLst>
              <a:ext uri="{FF2B5EF4-FFF2-40B4-BE49-F238E27FC236}">
                <a16:creationId xmlns:a16="http://schemas.microsoft.com/office/drawing/2014/main" id="{00000000-0008-0000-0200-000040040000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89" name="$E$140">
            <a:extLst>
              <a:ext uri="{FF2B5EF4-FFF2-40B4-BE49-F238E27FC236}">
                <a16:creationId xmlns:a16="http://schemas.microsoft.com/office/drawing/2014/main" id="{00000000-0008-0000-0200-000041040000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90" name="$E$140">
            <a:extLst>
              <a:ext uri="{FF2B5EF4-FFF2-40B4-BE49-F238E27FC236}">
                <a16:creationId xmlns:a16="http://schemas.microsoft.com/office/drawing/2014/main" id="{00000000-0008-0000-0200-000042040000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91" name="$E$140">
            <a:extLst>
              <a:ext uri="{FF2B5EF4-FFF2-40B4-BE49-F238E27FC236}">
                <a16:creationId xmlns:a16="http://schemas.microsoft.com/office/drawing/2014/main" id="{00000000-0008-0000-0200-000043040000}"/>
              </a:ext>
            </a:extLst>
          </xdr:cNvPr>
          <xdr:cNvSpPr/>
        </xdr:nvSpPr>
        <xdr:spPr>
          <a:xfrm>
            <a:off x="177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92" name="$E$140">
            <a:extLst>
              <a:ext uri="{FF2B5EF4-FFF2-40B4-BE49-F238E27FC236}">
                <a16:creationId xmlns:a16="http://schemas.microsoft.com/office/drawing/2014/main" id="{00000000-0008-0000-0200-000044040000}"/>
              </a:ext>
            </a:extLst>
          </xdr:cNvPr>
          <xdr:cNvSpPr/>
        </xdr:nvSpPr>
        <xdr:spPr>
          <a:xfrm>
            <a:off x="190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93" name="$E$140">
            <a:extLst>
              <a:ext uri="{FF2B5EF4-FFF2-40B4-BE49-F238E27FC236}">
                <a16:creationId xmlns:a16="http://schemas.microsoft.com/office/drawing/2014/main" id="{00000000-0008-0000-0200-0000450400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94" name="$E$140">
            <a:extLst>
              <a:ext uri="{FF2B5EF4-FFF2-40B4-BE49-F238E27FC236}">
                <a16:creationId xmlns:a16="http://schemas.microsoft.com/office/drawing/2014/main" id="{00000000-0008-0000-0200-00004604000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95" name="$E$140">
            <a:extLst>
              <a:ext uri="{FF2B5EF4-FFF2-40B4-BE49-F238E27FC236}">
                <a16:creationId xmlns:a16="http://schemas.microsoft.com/office/drawing/2014/main" id="{00000000-0008-0000-0200-000047040000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96" name="$E$140">
            <a:extLst>
              <a:ext uri="{FF2B5EF4-FFF2-40B4-BE49-F238E27FC236}">
                <a16:creationId xmlns:a16="http://schemas.microsoft.com/office/drawing/2014/main" id="{00000000-0008-0000-0200-00004804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97" name="$E$140">
            <a:extLst>
              <a:ext uri="{FF2B5EF4-FFF2-40B4-BE49-F238E27FC236}">
                <a16:creationId xmlns:a16="http://schemas.microsoft.com/office/drawing/2014/main" id="{00000000-0008-0000-0200-000049040000}"/>
              </a:ext>
            </a:extLst>
          </xdr:cNvPr>
          <xdr:cNvSpPr/>
        </xdr:nvSpPr>
        <xdr:spPr>
          <a:xfrm>
            <a:off x="279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98" name="$E$140">
            <a:extLst>
              <a:ext uri="{FF2B5EF4-FFF2-40B4-BE49-F238E27FC236}">
                <a16:creationId xmlns:a16="http://schemas.microsoft.com/office/drawing/2014/main" id="{00000000-0008-0000-0200-00004A04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99" name="$E$140">
            <a:extLst>
              <a:ext uri="{FF2B5EF4-FFF2-40B4-BE49-F238E27FC236}">
                <a16:creationId xmlns:a16="http://schemas.microsoft.com/office/drawing/2014/main" id="{00000000-0008-0000-0200-00004B040000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00" name="$E$140">
            <a:extLst>
              <a:ext uri="{FF2B5EF4-FFF2-40B4-BE49-F238E27FC236}">
                <a16:creationId xmlns:a16="http://schemas.microsoft.com/office/drawing/2014/main" id="{00000000-0008-0000-0200-00004C040000}"/>
              </a:ext>
            </a:extLst>
          </xdr:cNvPr>
          <xdr:cNvSpPr/>
        </xdr:nvSpPr>
        <xdr:spPr>
          <a:xfrm>
            <a:off x="419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01" name="$E$140">
            <a:extLst>
              <a:ext uri="{FF2B5EF4-FFF2-40B4-BE49-F238E27FC236}">
                <a16:creationId xmlns:a16="http://schemas.microsoft.com/office/drawing/2014/main" id="{00000000-0008-0000-0200-00004D040000}"/>
              </a:ext>
            </a:extLst>
          </xdr:cNvPr>
          <xdr:cNvSpPr/>
        </xdr:nvSpPr>
        <xdr:spPr>
          <a:xfrm>
            <a:off x="444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02" name="$E$140">
            <a:extLst>
              <a:ext uri="{FF2B5EF4-FFF2-40B4-BE49-F238E27FC236}">
                <a16:creationId xmlns:a16="http://schemas.microsoft.com/office/drawing/2014/main" id="{00000000-0008-0000-0200-00004E04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03" name="$E$140">
            <a:extLst>
              <a:ext uri="{FF2B5EF4-FFF2-40B4-BE49-F238E27FC236}">
                <a16:creationId xmlns:a16="http://schemas.microsoft.com/office/drawing/2014/main" id="{00000000-0008-0000-0200-00004F040000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04" name="$E$140">
            <a:extLst>
              <a:ext uri="{FF2B5EF4-FFF2-40B4-BE49-F238E27FC236}">
                <a16:creationId xmlns:a16="http://schemas.microsoft.com/office/drawing/2014/main" id="{00000000-0008-0000-0200-00005004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05" name="$E$140">
            <a:extLst>
              <a:ext uri="{FF2B5EF4-FFF2-40B4-BE49-F238E27FC236}">
                <a16:creationId xmlns:a16="http://schemas.microsoft.com/office/drawing/2014/main" id="{00000000-0008-0000-0200-00005104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06" name="$E$140">
            <a:extLst>
              <a:ext uri="{FF2B5EF4-FFF2-40B4-BE49-F238E27FC236}">
                <a16:creationId xmlns:a16="http://schemas.microsoft.com/office/drawing/2014/main" id="{00000000-0008-0000-0200-00005204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07" name="$E$140">
            <a:extLst>
              <a:ext uri="{FF2B5EF4-FFF2-40B4-BE49-F238E27FC236}">
                <a16:creationId xmlns:a16="http://schemas.microsoft.com/office/drawing/2014/main" id="{00000000-0008-0000-0200-000053040000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08" name="$E$140">
            <a:extLst>
              <a:ext uri="{FF2B5EF4-FFF2-40B4-BE49-F238E27FC236}">
                <a16:creationId xmlns:a16="http://schemas.microsoft.com/office/drawing/2014/main" id="{00000000-0008-0000-0200-00005404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09" name="$E$140">
            <a:extLst>
              <a:ext uri="{FF2B5EF4-FFF2-40B4-BE49-F238E27FC236}">
                <a16:creationId xmlns:a16="http://schemas.microsoft.com/office/drawing/2014/main" id="{00000000-0008-0000-0200-000055040000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10" name="$E$140">
            <a:extLst>
              <a:ext uri="{FF2B5EF4-FFF2-40B4-BE49-F238E27FC236}">
                <a16:creationId xmlns:a16="http://schemas.microsoft.com/office/drawing/2014/main" id="{00000000-0008-0000-0200-000056040000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11" name="$E$140">
            <a:extLst>
              <a:ext uri="{FF2B5EF4-FFF2-40B4-BE49-F238E27FC236}">
                <a16:creationId xmlns:a16="http://schemas.microsoft.com/office/drawing/2014/main" id="{00000000-0008-0000-0200-000057040000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12" name="$E$140">
            <a:extLst>
              <a:ext uri="{FF2B5EF4-FFF2-40B4-BE49-F238E27FC236}">
                <a16:creationId xmlns:a16="http://schemas.microsoft.com/office/drawing/2014/main" id="{00000000-0008-0000-0200-0000580400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13" name="$E$140">
            <a:extLst>
              <a:ext uri="{FF2B5EF4-FFF2-40B4-BE49-F238E27FC236}">
                <a16:creationId xmlns:a16="http://schemas.microsoft.com/office/drawing/2014/main" id="{00000000-0008-0000-0200-0000590400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14" name="$E$140">
            <a:extLst>
              <a:ext uri="{FF2B5EF4-FFF2-40B4-BE49-F238E27FC236}">
                <a16:creationId xmlns:a16="http://schemas.microsoft.com/office/drawing/2014/main" id="{00000000-0008-0000-0200-00005A040000}"/>
              </a:ext>
            </a:extLst>
          </xdr:cNvPr>
          <xdr:cNvSpPr/>
        </xdr:nvSpPr>
        <xdr:spPr>
          <a:xfrm>
            <a:off x="241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15" name="$E$140">
            <a:extLst>
              <a:ext uri="{FF2B5EF4-FFF2-40B4-BE49-F238E27FC236}">
                <a16:creationId xmlns:a16="http://schemas.microsoft.com/office/drawing/2014/main" id="{00000000-0008-0000-0200-00005B040000}"/>
              </a:ext>
            </a:extLst>
          </xdr:cNvPr>
          <xdr:cNvSpPr/>
        </xdr:nvSpPr>
        <xdr:spPr>
          <a:xfrm>
            <a:off x="266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16" name="$E$140">
            <a:extLst>
              <a:ext uri="{FF2B5EF4-FFF2-40B4-BE49-F238E27FC236}">
                <a16:creationId xmlns:a16="http://schemas.microsoft.com/office/drawing/2014/main" id="{00000000-0008-0000-0200-00005C0400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17" name="$E$140">
            <a:extLst>
              <a:ext uri="{FF2B5EF4-FFF2-40B4-BE49-F238E27FC236}">
                <a16:creationId xmlns:a16="http://schemas.microsoft.com/office/drawing/2014/main" id="{00000000-0008-0000-0200-00005D040000}"/>
              </a:ext>
            </a:extLst>
          </xdr:cNvPr>
          <xdr:cNvSpPr/>
        </xdr:nvSpPr>
        <xdr:spPr>
          <a:xfrm>
            <a:off x="292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18" name="$E$140">
            <a:extLst>
              <a:ext uri="{FF2B5EF4-FFF2-40B4-BE49-F238E27FC236}">
                <a16:creationId xmlns:a16="http://schemas.microsoft.com/office/drawing/2014/main" id="{00000000-0008-0000-0200-00005E040000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19" name="$E$140">
            <a:extLst>
              <a:ext uri="{FF2B5EF4-FFF2-40B4-BE49-F238E27FC236}">
                <a16:creationId xmlns:a16="http://schemas.microsoft.com/office/drawing/2014/main" id="{00000000-0008-0000-0200-00005F040000}"/>
              </a:ext>
            </a:extLst>
          </xdr:cNvPr>
          <xdr:cNvSpPr/>
        </xdr:nvSpPr>
        <xdr:spPr>
          <a:xfrm>
            <a:off x="317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20" name="$E$140">
            <a:extLst>
              <a:ext uri="{FF2B5EF4-FFF2-40B4-BE49-F238E27FC236}">
                <a16:creationId xmlns:a16="http://schemas.microsoft.com/office/drawing/2014/main" id="{00000000-0008-0000-0200-0000600400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21" name="$E$140">
            <a:extLst>
              <a:ext uri="{FF2B5EF4-FFF2-40B4-BE49-F238E27FC236}">
                <a16:creationId xmlns:a16="http://schemas.microsoft.com/office/drawing/2014/main" id="{00000000-0008-0000-0200-000061040000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22" name="$E$140">
            <a:extLst>
              <a:ext uri="{FF2B5EF4-FFF2-40B4-BE49-F238E27FC236}">
                <a16:creationId xmlns:a16="http://schemas.microsoft.com/office/drawing/2014/main" id="{00000000-0008-0000-0200-00006204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23" name="$E$140">
            <a:extLst>
              <a:ext uri="{FF2B5EF4-FFF2-40B4-BE49-F238E27FC236}">
                <a16:creationId xmlns:a16="http://schemas.microsoft.com/office/drawing/2014/main" id="{00000000-0008-0000-0200-000063040000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24" name="$E$140">
            <a:extLst>
              <a:ext uri="{FF2B5EF4-FFF2-40B4-BE49-F238E27FC236}">
                <a16:creationId xmlns:a16="http://schemas.microsoft.com/office/drawing/2014/main" id="{00000000-0008-0000-0200-000064040000}"/>
              </a:ext>
            </a:extLst>
          </xdr:cNvPr>
          <xdr:cNvSpPr/>
        </xdr:nvSpPr>
        <xdr:spPr>
          <a:xfrm>
            <a:off x="419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25" name="$E$140">
            <a:extLst>
              <a:ext uri="{FF2B5EF4-FFF2-40B4-BE49-F238E27FC236}">
                <a16:creationId xmlns:a16="http://schemas.microsoft.com/office/drawing/2014/main" id="{00000000-0008-0000-0200-000065040000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26" name="$E$140">
            <a:extLst>
              <a:ext uri="{FF2B5EF4-FFF2-40B4-BE49-F238E27FC236}">
                <a16:creationId xmlns:a16="http://schemas.microsoft.com/office/drawing/2014/main" id="{00000000-0008-0000-0200-00006604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27" name="$E$140">
            <a:extLst>
              <a:ext uri="{FF2B5EF4-FFF2-40B4-BE49-F238E27FC236}">
                <a16:creationId xmlns:a16="http://schemas.microsoft.com/office/drawing/2014/main" id="{00000000-0008-0000-0200-00006704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28" name="$E$140">
            <a:extLst>
              <a:ext uri="{FF2B5EF4-FFF2-40B4-BE49-F238E27FC236}">
                <a16:creationId xmlns:a16="http://schemas.microsoft.com/office/drawing/2014/main" id="{00000000-0008-0000-0200-000068040000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29" name="$E$140">
            <a:extLst>
              <a:ext uri="{FF2B5EF4-FFF2-40B4-BE49-F238E27FC236}">
                <a16:creationId xmlns:a16="http://schemas.microsoft.com/office/drawing/2014/main" id="{00000000-0008-0000-0200-000069040000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30" name="$E$140">
            <a:extLst>
              <a:ext uri="{FF2B5EF4-FFF2-40B4-BE49-F238E27FC236}">
                <a16:creationId xmlns:a16="http://schemas.microsoft.com/office/drawing/2014/main" id="{00000000-0008-0000-0200-00006A040000}"/>
              </a:ext>
            </a:extLst>
          </xdr:cNvPr>
          <xdr:cNvSpPr/>
        </xdr:nvSpPr>
        <xdr:spPr>
          <a:xfrm>
            <a:off x="165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31" name="$E$140">
            <a:extLst>
              <a:ext uri="{FF2B5EF4-FFF2-40B4-BE49-F238E27FC236}">
                <a16:creationId xmlns:a16="http://schemas.microsoft.com/office/drawing/2014/main" id="{00000000-0008-0000-0200-00006B0400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32" name="$E$140">
            <a:extLst>
              <a:ext uri="{FF2B5EF4-FFF2-40B4-BE49-F238E27FC236}">
                <a16:creationId xmlns:a16="http://schemas.microsoft.com/office/drawing/2014/main" id="{00000000-0008-0000-0200-00006C040000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33" name="$E$140">
            <a:extLst>
              <a:ext uri="{FF2B5EF4-FFF2-40B4-BE49-F238E27FC236}">
                <a16:creationId xmlns:a16="http://schemas.microsoft.com/office/drawing/2014/main" id="{00000000-0008-0000-0200-00006D0400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34" name="$E$140">
            <a:extLst>
              <a:ext uri="{FF2B5EF4-FFF2-40B4-BE49-F238E27FC236}">
                <a16:creationId xmlns:a16="http://schemas.microsoft.com/office/drawing/2014/main" id="{00000000-0008-0000-0200-00006E040000}"/>
              </a:ext>
            </a:extLst>
          </xdr:cNvPr>
          <xdr:cNvSpPr/>
        </xdr:nvSpPr>
        <xdr:spPr>
          <a:xfrm>
            <a:off x="279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35" name="$E$140">
            <a:extLst>
              <a:ext uri="{FF2B5EF4-FFF2-40B4-BE49-F238E27FC236}">
                <a16:creationId xmlns:a16="http://schemas.microsoft.com/office/drawing/2014/main" id="{00000000-0008-0000-0200-00006F040000}"/>
              </a:ext>
            </a:extLst>
          </xdr:cNvPr>
          <xdr:cNvSpPr/>
        </xdr:nvSpPr>
        <xdr:spPr>
          <a:xfrm>
            <a:off x="292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36" name="$E$140">
            <a:extLst>
              <a:ext uri="{FF2B5EF4-FFF2-40B4-BE49-F238E27FC236}">
                <a16:creationId xmlns:a16="http://schemas.microsoft.com/office/drawing/2014/main" id="{00000000-0008-0000-0200-000070040000}"/>
              </a:ext>
            </a:extLst>
          </xdr:cNvPr>
          <xdr:cNvSpPr/>
        </xdr:nvSpPr>
        <xdr:spPr>
          <a:xfrm>
            <a:off x="317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37" name="$E$140">
            <a:extLst>
              <a:ext uri="{FF2B5EF4-FFF2-40B4-BE49-F238E27FC236}">
                <a16:creationId xmlns:a16="http://schemas.microsoft.com/office/drawing/2014/main" id="{00000000-0008-0000-0200-00007104000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38" name="$E$140">
            <a:extLst>
              <a:ext uri="{FF2B5EF4-FFF2-40B4-BE49-F238E27FC236}">
                <a16:creationId xmlns:a16="http://schemas.microsoft.com/office/drawing/2014/main" id="{00000000-0008-0000-0200-0000720400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39" name="$E$140">
            <a:extLst>
              <a:ext uri="{FF2B5EF4-FFF2-40B4-BE49-F238E27FC236}">
                <a16:creationId xmlns:a16="http://schemas.microsoft.com/office/drawing/2014/main" id="{00000000-0008-0000-0200-000073040000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40" name="$E$140">
            <a:extLst>
              <a:ext uri="{FF2B5EF4-FFF2-40B4-BE49-F238E27FC236}">
                <a16:creationId xmlns:a16="http://schemas.microsoft.com/office/drawing/2014/main" id="{00000000-0008-0000-0200-000074040000}"/>
              </a:ext>
            </a:extLst>
          </xdr:cNvPr>
          <xdr:cNvSpPr/>
        </xdr:nvSpPr>
        <xdr:spPr>
          <a:xfrm>
            <a:off x="419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41" name="$E$140">
            <a:extLst>
              <a:ext uri="{FF2B5EF4-FFF2-40B4-BE49-F238E27FC236}">
                <a16:creationId xmlns:a16="http://schemas.microsoft.com/office/drawing/2014/main" id="{00000000-0008-0000-0200-000075040000}"/>
              </a:ext>
            </a:extLst>
          </xdr:cNvPr>
          <xdr:cNvSpPr/>
        </xdr:nvSpPr>
        <xdr:spPr>
          <a:xfrm>
            <a:off x="444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42" name="$E$140">
            <a:extLst>
              <a:ext uri="{FF2B5EF4-FFF2-40B4-BE49-F238E27FC236}">
                <a16:creationId xmlns:a16="http://schemas.microsoft.com/office/drawing/2014/main" id="{00000000-0008-0000-0200-000076040000}"/>
              </a:ext>
            </a:extLst>
          </xdr:cNvPr>
          <xdr:cNvSpPr/>
        </xdr:nvSpPr>
        <xdr:spPr>
          <a:xfrm>
            <a:off x="457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43" name="$E$140">
            <a:extLst>
              <a:ext uri="{FF2B5EF4-FFF2-40B4-BE49-F238E27FC236}">
                <a16:creationId xmlns:a16="http://schemas.microsoft.com/office/drawing/2014/main" id="{00000000-0008-0000-0200-00007704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44" name="$E$140">
            <a:extLst>
              <a:ext uri="{FF2B5EF4-FFF2-40B4-BE49-F238E27FC236}">
                <a16:creationId xmlns:a16="http://schemas.microsoft.com/office/drawing/2014/main" id="{00000000-0008-0000-0200-00007804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45" name="$E$140">
            <a:extLst>
              <a:ext uri="{FF2B5EF4-FFF2-40B4-BE49-F238E27FC236}">
                <a16:creationId xmlns:a16="http://schemas.microsoft.com/office/drawing/2014/main" id="{00000000-0008-0000-0200-00007904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46" name="$E$140">
            <a:extLst>
              <a:ext uri="{FF2B5EF4-FFF2-40B4-BE49-F238E27FC236}">
                <a16:creationId xmlns:a16="http://schemas.microsoft.com/office/drawing/2014/main" id="{00000000-0008-0000-0200-00007A04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47" name="$E$140">
            <a:extLst>
              <a:ext uri="{FF2B5EF4-FFF2-40B4-BE49-F238E27FC236}">
                <a16:creationId xmlns:a16="http://schemas.microsoft.com/office/drawing/2014/main" id="{00000000-0008-0000-0200-00007B04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48" name="$E$140">
            <a:extLst>
              <a:ext uri="{FF2B5EF4-FFF2-40B4-BE49-F238E27FC236}">
                <a16:creationId xmlns:a16="http://schemas.microsoft.com/office/drawing/2014/main" id="{00000000-0008-0000-0200-00007C04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49" name="$E$140">
            <a:extLst>
              <a:ext uri="{FF2B5EF4-FFF2-40B4-BE49-F238E27FC236}">
                <a16:creationId xmlns:a16="http://schemas.microsoft.com/office/drawing/2014/main" id="{00000000-0008-0000-0200-00007D040000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0" name="$E$140">
            <a:extLst>
              <a:ext uri="{FF2B5EF4-FFF2-40B4-BE49-F238E27FC236}">
                <a16:creationId xmlns:a16="http://schemas.microsoft.com/office/drawing/2014/main" id="{00000000-0008-0000-0200-00007E040000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1" name="$E$140">
            <a:extLst>
              <a:ext uri="{FF2B5EF4-FFF2-40B4-BE49-F238E27FC236}">
                <a16:creationId xmlns:a16="http://schemas.microsoft.com/office/drawing/2014/main" id="{00000000-0008-0000-0200-00007F040000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2" name="$E$140">
            <a:extLst>
              <a:ext uri="{FF2B5EF4-FFF2-40B4-BE49-F238E27FC236}">
                <a16:creationId xmlns:a16="http://schemas.microsoft.com/office/drawing/2014/main" id="{00000000-0008-0000-0200-000080040000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3" name="$E$140">
            <a:extLst>
              <a:ext uri="{FF2B5EF4-FFF2-40B4-BE49-F238E27FC236}">
                <a16:creationId xmlns:a16="http://schemas.microsoft.com/office/drawing/2014/main" id="{00000000-0008-0000-0200-000081040000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4" name="$E$140">
            <a:extLst>
              <a:ext uri="{FF2B5EF4-FFF2-40B4-BE49-F238E27FC236}">
                <a16:creationId xmlns:a16="http://schemas.microsoft.com/office/drawing/2014/main" id="{00000000-0008-0000-0200-00008204000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5" name="$E$140">
            <a:extLst>
              <a:ext uri="{FF2B5EF4-FFF2-40B4-BE49-F238E27FC236}">
                <a16:creationId xmlns:a16="http://schemas.microsoft.com/office/drawing/2014/main" id="{00000000-0008-0000-0200-000083040000}"/>
              </a:ext>
            </a:extLst>
          </xdr:cNvPr>
          <xdr:cNvSpPr/>
        </xdr:nvSpPr>
        <xdr:spPr>
          <a:xfrm>
            <a:off x="241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6" name="$E$140">
            <a:extLst>
              <a:ext uri="{FF2B5EF4-FFF2-40B4-BE49-F238E27FC236}">
                <a16:creationId xmlns:a16="http://schemas.microsoft.com/office/drawing/2014/main" id="{00000000-0008-0000-0200-000084040000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7" name="$E$140">
            <a:extLst>
              <a:ext uri="{FF2B5EF4-FFF2-40B4-BE49-F238E27FC236}">
                <a16:creationId xmlns:a16="http://schemas.microsoft.com/office/drawing/2014/main" id="{00000000-0008-0000-0200-00008504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8" name="$E$140">
            <a:extLst>
              <a:ext uri="{FF2B5EF4-FFF2-40B4-BE49-F238E27FC236}">
                <a16:creationId xmlns:a16="http://schemas.microsoft.com/office/drawing/2014/main" id="{00000000-0008-0000-0200-000086040000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9" name="$E$140">
            <a:extLst>
              <a:ext uri="{FF2B5EF4-FFF2-40B4-BE49-F238E27FC236}">
                <a16:creationId xmlns:a16="http://schemas.microsoft.com/office/drawing/2014/main" id="{00000000-0008-0000-0200-000087040000}"/>
              </a:ext>
            </a:extLst>
          </xdr:cNvPr>
          <xdr:cNvSpPr/>
        </xdr:nvSpPr>
        <xdr:spPr>
          <a:xfrm>
            <a:off x="342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0" name="$E$140">
            <a:extLst>
              <a:ext uri="{FF2B5EF4-FFF2-40B4-BE49-F238E27FC236}">
                <a16:creationId xmlns:a16="http://schemas.microsoft.com/office/drawing/2014/main" id="{00000000-0008-0000-0200-00008804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1" name="$E$140">
            <a:extLst>
              <a:ext uri="{FF2B5EF4-FFF2-40B4-BE49-F238E27FC236}">
                <a16:creationId xmlns:a16="http://schemas.microsoft.com/office/drawing/2014/main" id="{00000000-0008-0000-0200-000089040000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2" name="$E$140">
            <a:extLst>
              <a:ext uri="{FF2B5EF4-FFF2-40B4-BE49-F238E27FC236}">
                <a16:creationId xmlns:a16="http://schemas.microsoft.com/office/drawing/2014/main" id="{00000000-0008-0000-0200-00008A040000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3" name="$E$140">
            <a:extLst>
              <a:ext uri="{FF2B5EF4-FFF2-40B4-BE49-F238E27FC236}">
                <a16:creationId xmlns:a16="http://schemas.microsoft.com/office/drawing/2014/main" id="{00000000-0008-0000-0200-00008B04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4" name="$E$140">
            <a:extLst>
              <a:ext uri="{FF2B5EF4-FFF2-40B4-BE49-F238E27FC236}">
                <a16:creationId xmlns:a16="http://schemas.microsoft.com/office/drawing/2014/main" id="{00000000-0008-0000-0200-00008C040000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5" name="$E$140">
            <a:extLst>
              <a:ext uri="{FF2B5EF4-FFF2-40B4-BE49-F238E27FC236}">
                <a16:creationId xmlns:a16="http://schemas.microsoft.com/office/drawing/2014/main" id="{00000000-0008-0000-0200-00008D040000}"/>
              </a:ext>
            </a:extLst>
          </xdr:cNvPr>
          <xdr:cNvSpPr/>
        </xdr:nvSpPr>
        <xdr:spPr>
          <a:xfrm>
            <a:off x="457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6" name="$E$140">
            <a:extLst>
              <a:ext uri="{FF2B5EF4-FFF2-40B4-BE49-F238E27FC236}">
                <a16:creationId xmlns:a16="http://schemas.microsoft.com/office/drawing/2014/main" id="{00000000-0008-0000-0200-00008E040000}"/>
              </a:ext>
            </a:extLst>
          </xdr:cNvPr>
          <xdr:cNvSpPr/>
        </xdr:nvSpPr>
        <xdr:spPr>
          <a:xfrm>
            <a:off x="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7" name="$E$140">
            <a:extLst>
              <a:ext uri="{FF2B5EF4-FFF2-40B4-BE49-F238E27FC236}">
                <a16:creationId xmlns:a16="http://schemas.microsoft.com/office/drawing/2014/main" id="{00000000-0008-0000-0200-00008F040000}"/>
              </a:ext>
            </a:extLst>
          </xdr:cNvPr>
          <xdr:cNvSpPr/>
        </xdr:nvSpPr>
        <xdr:spPr>
          <a:xfrm>
            <a:off x="25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8" name="$E$140">
            <a:extLst>
              <a:ext uri="{FF2B5EF4-FFF2-40B4-BE49-F238E27FC236}">
                <a16:creationId xmlns:a16="http://schemas.microsoft.com/office/drawing/2014/main" id="{00000000-0008-0000-0200-000090040000}"/>
              </a:ext>
            </a:extLst>
          </xdr:cNvPr>
          <xdr:cNvSpPr/>
        </xdr:nvSpPr>
        <xdr:spPr>
          <a:xfrm>
            <a:off x="38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9" name="$E$140">
            <a:extLst>
              <a:ext uri="{FF2B5EF4-FFF2-40B4-BE49-F238E27FC236}">
                <a16:creationId xmlns:a16="http://schemas.microsoft.com/office/drawing/2014/main" id="{00000000-0008-0000-0200-000091040000}"/>
              </a:ext>
            </a:extLst>
          </xdr:cNvPr>
          <xdr:cNvSpPr/>
        </xdr:nvSpPr>
        <xdr:spPr>
          <a:xfrm>
            <a:off x="50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0" name="$E$140">
            <a:extLst>
              <a:ext uri="{FF2B5EF4-FFF2-40B4-BE49-F238E27FC236}">
                <a16:creationId xmlns:a16="http://schemas.microsoft.com/office/drawing/2014/main" id="{00000000-0008-0000-0200-000092040000}"/>
              </a:ext>
            </a:extLst>
          </xdr:cNvPr>
          <xdr:cNvSpPr/>
        </xdr:nvSpPr>
        <xdr:spPr>
          <a:xfrm>
            <a:off x="76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1" name="$E$140">
            <a:extLst>
              <a:ext uri="{FF2B5EF4-FFF2-40B4-BE49-F238E27FC236}">
                <a16:creationId xmlns:a16="http://schemas.microsoft.com/office/drawing/2014/main" id="{00000000-0008-0000-0200-000093040000}"/>
              </a:ext>
            </a:extLst>
          </xdr:cNvPr>
          <xdr:cNvSpPr/>
        </xdr:nvSpPr>
        <xdr:spPr>
          <a:xfrm>
            <a:off x="101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2" name="$E$140">
            <a:extLst>
              <a:ext uri="{FF2B5EF4-FFF2-40B4-BE49-F238E27FC236}">
                <a16:creationId xmlns:a16="http://schemas.microsoft.com/office/drawing/2014/main" id="{00000000-0008-0000-0200-000094040000}"/>
              </a:ext>
            </a:extLst>
          </xdr:cNvPr>
          <xdr:cNvSpPr/>
        </xdr:nvSpPr>
        <xdr:spPr>
          <a:xfrm>
            <a:off x="114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3" name="$E$140">
            <a:extLst>
              <a:ext uri="{FF2B5EF4-FFF2-40B4-BE49-F238E27FC236}">
                <a16:creationId xmlns:a16="http://schemas.microsoft.com/office/drawing/2014/main" id="{00000000-0008-0000-0200-000095040000}"/>
              </a:ext>
            </a:extLst>
          </xdr:cNvPr>
          <xdr:cNvSpPr/>
        </xdr:nvSpPr>
        <xdr:spPr>
          <a:xfrm>
            <a:off x="1397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4" name="$E$140">
            <a:extLst>
              <a:ext uri="{FF2B5EF4-FFF2-40B4-BE49-F238E27FC236}">
                <a16:creationId xmlns:a16="http://schemas.microsoft.com/office/drawing/2014/main" id="{00000000-0008-0000-0200-000096040000}"/>
              </a:ext>
            </a:extLst>
          </xdr:cNvPr>
          <xdr:cNvSpPr/>
        </xdr:nvSpPr>
        <xdr:spPr>
          <a:xfrm>
            <a:off x="152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5" name="$E$140">
            <a:extLst>
              <a:ext uri="{FF2B5EF4-FFF2-40B4-BE49-F238E27FC236}">
                <a16:creationId xmlns:a16="http://schemas.microsoft.com/office/drawing/2014/main" id="{00000000-0008-0000-0200-000097040000}"/>
              </a:ext>
            </a:extLst>
          </xdr:cNvPr>
          <xdr:cNvSpPr/>
        </xdr:nvSpPr>
        <xdr:spPr>
          <a:xfrm>
            <a:off x="190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6" name="$E$140">
            <a:extLst>
              <a:ext uri="{FF2B5EF4-FFF2-40B4-BE49-F238E27FC236}">
                <a16:creationId xmlns:a16="http://schemas.microsoft.com/office/drawing/2014/main" id="{00000000-0008-0000-0200-000098040000}"/>
              </a:ext>
            </a:extLst>
          </xdr:cNvPr>
          <xdr:cNvSpPr/>
        </xdr:nvSpPr>
        <xdr:spPr>
          <a:xfrm>
            <a:off x="215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7" name="$E$140">
            <a:extLst>
              <a:ext uri="{FF2B5EF4-FFF2-40B4-BE49-F238E27FC236}">
                <a16:creationId xmlns:a16="http://schemas.microsoft.com/office/drawing/2014/main" id="{00000000-0008-0000-0200-000099040000}"/>
              </a:ext>
            </a:extLst>
          </xdr:cNvPr>
          <xdr:cNvSpPr/>
        </xdr:nvSpPr>
        <xdr:spPr>
          <a:xfrm>
            <a:off x="228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8" name="$E$140">
            <a:extLst>
              <a:ext uri="{FF2B5EF4-FFF2-40B4-BE49-F238E27FC236}">
                <a16:creationId xmlns:a16="http://schemas.microsoft.com/office/drawing/2014/main" id="{00000000-0008-0000-0200-00009A040000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9" name="$E$140">
            <a:extLst>
              <a:ext uri="{FF2B5EF4-FFF2-40B4-BE49-F238E27FC236}">
                <a16:creationId xmlns:a16="http://schemas.microsoft.com/office/drawing/2014/main" id="{00000000-0008-0000-0200-00009B040000}"/>
              </a:ext>
            </a:extLst>
          </xdr:cNvPr>
          <xdr:cNvSpPr/>
        </xdr:nvSpPr>
        <xdr:spPr>
          <a:xfrm>
            <a:off x="2667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0" name="$E$140">
            <a:extLst>
              <a:ext uri="{FF2B5EF4-FFF2-40B4-BE49-F238E27FC236}">
                <a16:creationId xmlns:a16="http://schemas.microsoft.com/office/drawing/2014/main" id="{00000000-0008-0000-0200-00009C040000}"/>
              </a:ext>
            </a:extLst>
          </xdr:cNvPr>
          <xdr:cNvSpPr/>
        </xdr:nvSpPr>
        <xdr:spPr>
          <a:xfrm>
            <a:off x="279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1" name="$E$140">
            <a:extLst>
              <a:ext uri="{FF2B5EF4-FFF2-40B4-BE49-F238E27FC236}">
                <a16:creationId xmlns:a16="http://schemas.microsoft.com/office/drawing/2014/main" id="{00000000-0008-0000-0200-00009D040000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2" name="$E$140">
            <a:extLst>
              <a:ext uri="{FF2B5EF4-FFF2-40B4-BE49-F238E27FC236}">
                <a16:creationId xmlns:a16="http://schemas.microsoft.com/office/drawing/2014/main" id="{00000000-0008-0000-0200-00009E040000}"/>
              </a:ext>
            </a:extLst>
          </xdr:cNvPr>
          <xdr:cNvSpPr/>
        </xdr:nvSpPr>
        <xdr:spPr>
          <a:xfrm>
            <a:off x="342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3" name="$E$140">
            <a:extLst>
              <a:ext uri="{FF2B5EF4-FFF2-40B4-BE49-F238E27FC236}">
                <a16:creationId xmlns:a16="http://schemas.microsoft.com/office/drawing/2014/main" id="{00000000-0008-0000-0200-00009F040000}"/>
              </a:ext>
            </a:extLst>
          </xdr:cNvPr>
          <xdr:cNvSpPr/>
        </xdr:nvSpPr>
        <xdr:spPr>
          <a:xfrm>
            <a:off x="368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4" name="$E$140">
            <a:extLst>
              <a:ext uri="{FF2B5EF4-FFF2-40B4-BE49-F238E27FC236}">
                <a16:creationId xmlns:a16="http://schemas.microsoft.com/office/drawing/2014/main" id="{00000000-0008-0000-0200-0000A0040000}"/>
              </a:ext>
            </a:extLst>
          </xdr:cNvPr>
          <xdr:cNvSpPr/>
        </xdr:nvSpPr>
        <xdr:spPr>
          <a:xfrm>
            <a:off x="381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5" name="$E$140">
            <a:extLst>
              <a:ext uri="{FF2B5EF4-FFF2-40B4-BE49-F238E27FC236}">
                <a16:creationId xmlns:a16="http://schemas.microsoft.com/office/drawing/2014/main" id="{00000000-0008-0000-0200-0000A1040000}"/>
              </a:ext>
            </a:extLst>
          </xdr:cNvPr>
          <xdr:cNvSpPr/>
        </xdr:nvSpPr>
        <xdr:spPr>
          <a:xfrm>
            <a:off x="419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6" name="$E$140">
            <a:extLst>
              <a:ext uri="{FF2B5EF4-FFF2-40B4-BE49-F238E27FC236}">
                <a16:creationId xmlns:a16="http://schemas.microsoft.com/office/drawing/2014/main" id="{00000000-0008-0000-0200-0000A2040000}"/>
              </a:ext>
            </a:extLst>
          </xdr:cNvPr>
          <xdr:cNvSpPr/>
        </xdr:nvSpPr>
        <xdr:spPr>
          <a:xfrm>
            <a:off x="431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7" name="$E$140">
            <a:extLst>
              <a:ext uri="{FF2B5EF4-FFF2-40B4-BE49-F238E27FC236}">
                <a16:creationId xmlns:a16="http://schemas.microsoft.com/office/drawing/2014/main" id="{00000000-0008-0000-0200-0000A3040000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8" name="$E$140">
            <a:extLst>
              <a:ext uri="{FF2B5EF4-FFF2-40B4-BE49-F238E27FC236}">
                <a16:creationId xmlns:a16="http://schemas.microsoft.com/office/drawing/2014/main" id="{00000000-0008-0000-0200-0000A4040000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9" name="$E$140">
            <a:extLst>
              <a:ext uri="{FF2B5EF4-FFF2-40B4-BE49-F238E27FC236}">
                <a16:creationId xmlns:a16="http://schemas.microsoft.com/office/drawing/2014/main" id="{00000000-0008-0000-0200-0000A5040000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0" name="$E$140">
            <a:extLst>
              <a:ext uri="{FF2B5EF4-FFF2-40B4-BE49-F238E27FC236}">
                <a16:creationId xmlns:a16="http://schemas.microsoft.com/office/drawing/2014/main" id="{00000000-0008-0000-0200-0000A6040000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1" name="$E$140">
            <a:extLst>
              <a:ext uri="{FF2B5EF4-FFF2-40B4-BE49-F238E27FC236}">
                <a16:creationId xmlns:a16="http://schemas.microsoft.com/office/drawing/2014/main" id="{00000000-0008-0000-0200-0000A7040000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2" name="$E$140">
            <a:extLst>
              <a:ext uri="{FF2B5EF4-FFF2-40B4-BE49-F238E27FC236}">
                <a16:creationId xmlns:a16="http://schemas.microsoft.com/office/drawing/2014/main" id="{00000000-0008-0000-0200-0000A8040000}"/>
              </a:ext>
            </a:extLst>
          </xdr:cNvPr>
          <xdr:cNvSpPr/>
        </xdr:nvSpPr>
        <xdr:spPr>
          <a:xfrm>
            <a:off x="127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3" name="$E$140">
            <a:extLst>
              <a:ext uri="{FF2B5EF4-FFF2-40B4-BE49-F238E27FC236}">
                <a16:creationId xmlns:a16="http://schemas.microsoft.com/office/drawing/2014/main" id="{00000000-0008-0000-0200-0000A9040000}"/>
              </a:ext>
            </a:extLst>
          </xdr:cNvPr>
          <xdr:cNvSpPr/>
        </xdr:nvSpPr>
        <xdr:spPr>
          <a:xfrm>
            <a:off x="139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4" name="$E$140">
            <a:extLst>
              <a:ext uri="{FF2B5EF4-FFF2-40B4-BE49-F238E27FC236}">
                <a16:creationId xmlns:a16="http://schemas.microsoft.com/office/drawing/2014/main" id="{00000000-0008-0000-0200-0000AA040000}"/>
              </a:ext>
            </a:extLst>
          </xdr:cNvPr>
          <xdr:cNvSpPr/>
        </xdr:nvSpPr>
        <xdr:spPr>
          <a:xfrm>
            <a:off x="165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5" name="$E$140">
            <a:extLst>
              <a:ext uri="{FF2B5EF4-FFF2-40B4-BE49-F238E27FC236}">
                <a16:creationId xmlns:a16="http://schemas.microsoft.com/office/drawing/2014/main" id="{00000000-0008-0000-0200-0000AB040000}"/>
              </a:ext>
            </a:extLst>
          </xdr:cNvPr>
          <xdr:cNvSpPr/>
        </xdr:nvSpPr>
        <xdr:spPr>
          <a:xfrm>
            <a:off x="177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6" name="$E$140">
            <a:extLst>
              <a:ext uri="{FF2B5EF4-FFF2-40B4-BE49-F238E27FC236}">
                <a16:creationId xmlns:a16="http://schemas.microsoft.com/office/drawing/2014/main" id="{00000000-0008-0000-0200-0000AC040000}"/>
              </a:ext>
            </a:extLst>
          </xdr:cNvPr>
          <xdr:cNvSpPr/>
        </xdr:nvSpPr>
        <xdr:spPr>
          <a:xfrm>
            <a:off x="190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7" name="$E$140">
            <a:extLst>
              <a:ext uri="{FF2B5EF4-FFF2-40B4-BE49-F238E27FC236}">
                <a16:creationId xmlns:a16="http://schemas.microsoft.com/office/drawing/2014/main" id="{00000000-0008-0000-0200-0000AD040000}"/>
              </a:ext>
            </a:extLst>
          </xdr:cNvPr>
          <xdr:cNvSpPr/>
        </xdr:nvSpPr>
        <xdr:spPr>
          <a:xfrm>
            <a:off x="203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8" name="$E$140">
            <a:extLst>
              <a:ext uri="{FF2B5EF4-FFF2-40B4-BE49-F238E27FC236}">
                <a16:creationId xmlns:a16="http://schemas.microsoft.com/office/drawing/2014/main" id="{00000000-0008-0000-0200-0000AE040000}"/>
              </a:ext>
            </a:extLst>
          </xdr:cNvPr>
          <xdr:cNvSpPr/>
        </xdr:nvSpPr>
        <xdr:spPr>
          <a:xfrm>
            <a:off x="266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9" name="$E$140">
            <a:extLst>
              <a:ext uri="{FF2B5EF4-FFF2-40B4-BE49-F238E27FC236}">
                <a16:creationId xmlns:a16="http://schemas.microsoft.com/office/drawing/2014/main" id="{00000000-0008-0000-0200-0000AF040000}"/>
              </a:ext>
            </a:extLst>
          </xdr:cNvPr>
          <xdr:cNvSpPr/>
        </xdr:nvSpPr>
        <xdr:spPr>
          <a:xfrm>
            <a:off x="279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0" name="$E$140">
            <a:extLst>
              <a:ext uri="{FF2B5EF4-FFF2-40B4-BE49-F238E27FC236}">
                <a16:creationId xmlns:a16="http://schemas.microsoft.com/office/drawing/2014/main" id="{00000000-0008-0000-0200-0000B0040000}"/>
              </a:ext>
            </a:extLst>
          </xdr:cNvPr>
          <xdr:cNvSpPr/>
        </xdr:nvSpPr>
        <xdr:spPr>
          <a:xfrm>
            <a:off x="292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1" name="$E$140">
            <a:extLst>
              <a:ext uri="{FF2B5EF4-FFF2-40B4-BE49-F238E27FC236}">
                <a16:creationId xmlns:a16="http://schemas.microsoft.com/office/drawing/2014/main" id="{00000000-0008-0000-0200-0000B1040000}"/>
              </a:ext>
            </a:extLst>
          </xdr:cNvPr>
          <xdr:cNvSpPr/>
        </xdr:nvSpPr>
        <xdr:spPr>
          <a:xfrm>
            <a:off x="3429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2" name="$E$140">
            <a:extLst>
              <a:ext uri="{FF2B5EF4-FFF2-40B4-BE49-F238E27FC236}">
                <a16:creationId xmlns:a16="http://schemas.microsoft.com/office/drawing/2014/main" id="{00000000-0008-0000-0200-0000B2040000}"/>
              </a:ext>
            </a:extLst>
          </xdr:cNvPr>
          <xdr:cNvSpPr/>
        </xdr:nvSpPr>
        <xdr:spPr>
          <a:xfrm>
            <a:off x="368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3" name="$E$140">
            <a:extLst>
              <a:ext uri="{FF2B5EF4-FFF2-40B4-BE49-F238E27FC236}">
                <a16:creationId xmlns:a16="http://schemas.microsoft.com/office/drawing/2014/main" id="{00000000-0008-0000-0200-0000B3040000}"/>
              </a:ext>
            </a:extLst>
          </xdr:cNvPr>
          <xdr:cNvSpPr/>
        </xdr:nvSpPr>
        <xdr:spPr>
          <a:xfrm>
            <a:off x="393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4" name="$E$140">
            <a:extLst>
              <a:ext uri="{FF2B5EF4-FFF2-40B4-BE49-F238E27FC236}">
                <a16:creationId xmlns:a16="http://schemas.microsoft.com/office/drawing/2014/main" id="{00000000-0008-0000-0200-0000B4040000}"/>
              </a:ext>
            </a:extLst>
          </xdr:cNvPr>
          <xdr:cNvSpPr/>
        </xdr:nvSpPr>
        <xdr:spPr>
          <a:xfrm>
            <a:off x="406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5" name="$E$140">
            <a:extLst>
              <a:ext uri="{FF2B5EF4-FFF2-40B4-BE49-F238E27FC236}">
                <a16:creationId xmlns:a16="http://schemas.microsoft.com/office/drawing/2014/main" id="{00000000-0008-0000-0200-0000B5040000}"/>
              </a:ext>
            </a:extLst>
          </xdr:cNvPr>
          <xdr:cNvSpPr/>
        </xdr:nvSpPr>
        <xdr:spPr>
          <a:xfrm>
            <a:off x="419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6" name="$E$140">
            <a:extLst>
              <a:ext uri="{FF2B5EF4-FFF2-40B4-BE49-F238E27FC236}">
                <a16:creationId xmlns:a16="http://schemas.microsoft.com/office/drawing/2014/main" id="{00000000-0008-0000-0200-0000B6040000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7" name="$E$140">
            <a:extLst>
              <a:ext uri="{FF2B5EF4-FFF2-40B4-BE49-F238E27FC236}">
                <a16:creationId xmlns:a16="http://schemas.microsoft.com/office/drawing/2014/main" id="{00000000-0008-0000-0200-0000B7040000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8" name="$E$140">
            <a:extLst>
              <a:ext uri="{FF2B5EF4-FFF2-40B4-BE49-F238E27FC236}">
                <a16:creationId xmlns:a16="http://schemas.microsoft.com/office/drawing/2014/main" id="{00000000-0008-0000-0200-0000B8040000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9" name="$E$140">
            <a:extLst>
              <a:ext uri="{FF2B5EF4-FFF2-40B4-BE49-F238E27FC236}">
                <a16:creationId xmlns:a16="http://schemas.microsoft.com/office/drawing/2014/main" id="{00000000-0008-0000-0200-0000B9040000}"/>
              </a:ext>
            </a:extLst>
          </xdr:cNvPr>
          <xdr:cNvSpPr/>
        </xdr:nvSpPr>
        <xdr:spPr>
          <a:xfrm>
            <a:off x="101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0" name="$E$140">
            <a:extLst>
              <a:ext uri="{FF2B5EF4-FFF2-40B4-BE49-F238E27FC236}">
                <a16:creationId xmlns:a16="http://schemas.microsoft.com/office/drawing/2014/main" id="{00000000-0008-0000-0200-0000BA040000}"/>
              </a:ext>
            </a:extLst>
          </xdr:cNvPr>
          <xdr:cNvSpPr/>
        </xdr:nvSpPr>
        <xdr:spPr>
          <a:xfrm>
            <a:off x="139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1" name="$E$140">
            <a:extLst>
              <a:ext uri="{FF2B5EF4-FFF2-40B4-BE49-F238E27FC236}">
                <a16:creationId xmlns:a16="http://schemas.microsoft.com/office/drawing/2014/main" id="{00000000-0008-0000-0200-0000BB040000}"/>
              </a:ext>
            </a:extLst>
          </xdr:cNvPr>
          <xdr:cNvSpPr/>
        </xdr:nvSpPr>
        <xdr:spPr>
          <a:xfrm>
            <a:off x="152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2" name="$E$140">
            <a:extLst>
              <a:ext uri="{FF2B5EF4-FFF2-40B4-BE49-F238E27FC236}">
                <a16:creationId xmlns:a16="http://schemas.microsoft.com/office/drawing/2014/main" id="{00000000-0008-0000-0200-0000BC040000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3" name="$E$140">
            <a:extLst>
              <a:ext uri="{FF2B5EF4-FFF2-40B4-BE49-F238E27FC236}">
                <a16:creationId xmlns:a16="http://schemas.microsoft.com/office/drawing/2014/main" id="{00000000-0008-0000-0200-0000BD040000}"/>
              </a:ext>
            </a:extLst>
          </xdr:cNvPr>
          <xdr:cNvSpPr/>
        </xdr:nvSpPr>
        <xdr:spPr>
          <a:xfrm>
            <a:off x="2159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4" name="$E$140">
            <a:extLst>
              <a:ext uri="{FF2B5EF4-FFF2-40B4-BE49-F238E27FC236}">
                <a16:creationId xmlns:a16="http://schemas.microsoft.com/office/drawing/2014/main" id="{00000000-0008-0000-0200-0000BE040000}"/>
              </a:ext>
            </a:extLst>
          </xdr:cNvPr>
          <xdr:cNvSpPr/>
        </xdr:nvSpPr>
        <xdr:spPr>
          <a:xfrm>
            <a:off x="228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5" name="$E$140">
            <a:extLst>
              <a:ext uri="{FF2B5EF4-FFF2-40B4-BE49-F238E27FC236}">
                <a16:creationId xmlns:a16="http://schemas.microsoft.com/office/drawing/2014/main" id="{00000000-0008-0000-0200-0000BF040000}"/>
              </a:ext>
            </a:extLst>
          </xdr:cNvPr>
          <xdr:cNvSpPr/>
        </xdr:nvSpPr>
        <xdr:spPr>
          <a:xfrm>
            <a:off x="254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6" name="$E$140">
            <a:extLst>
              <a:ext uri="{FF2B5EF4-FFF2-40B4-BE49-F238E27FC236}">
                <a16:creationId xmlns:a16="http://schemas.microsoft.com/office/drawing/2014/main" id="{00000000-0008-0000-0200-0000C0040000}"/>
              </a:ext>
            </a:extLst>
          </xdr:cNvPr>
          <xdr:cNvSpPr/>
        </xdr:nvSpPr>
        <xdr:spPr>
          <a:xfrm>
            <a:off x="279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7" name="$E$140">
            <a:extLst>
              <a:ext uri="{FF2B5EF4-FFF2-40B4-BE49-F238E27FC236}">
                <a16:creationId xmlns:a16="http://schemas.microsoft.com/office/drawing/2014/main" id="{00000000-0008-0000-0200-0000C1040000}"/>
              </a:ext>
            </a:extLst>
          </xdr:cNvPr>
          <xdr:cNvSpPr/>
        </xdr:nvSpPr>
        <xdr:spPr>
          <a:xfrm>
            <a:off x="2921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8" name="$E$140">
            <a:extLst>
              <a:ext uri="{FF2B5EF4-FFF2-40B4-BE49-F238E27FC236}">
                <a16:creationId xmlns:a16="http://schemas.microsoft.com/office/drawing/2014/main" id="{00000000-0008-0000-0200-0000C2040000}"/>
              </a:ext>
            </a:extLst>
          </xdr:cNvPr>
          <xdr:cNvSpPr/>
        </xdr:nvSpPr>
        <xdr:spPr>
          <a:xfrm>
            <a:off x="368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9" name="$E$140">
            <a:extLst>
              <a:ext uri="{FF2B5EF4-FFF2-40B4-BE49-F238E27FC236}">
                <a16:creationId xmlns:a16="http://schemas.microsoft.com/office/drawing/2014/main" id="{00000000-0008-0000-0200-0000C3040000}"/>
              </a:ext>
            </a:extLst>
          </xdr:cNvPr>
          <xdr:cNvSpPr/>
        </xdr:nvSpPr>
        <xdr:spPr>
          <a:xfrm>
            <a:off x="381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0" name="$E$140">
            <a:extLst>
              <a:ext uri="{FF2B5EF4-FFF2-40B4-BE49-F238E27FC236}">
                <a16:creationId xmlns:a16="http://schemas.microsoft.com/office/drawing/2014/main" id="{00000000-0008-0000-0200-0000C4040000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1" name="$E$140">
            <a:extLst>
              <a:ext uri="{FF2B5EF4-FFF2-40B4-BE49-F238E27FC236}">
                <a16:creationId xmlns:a16="http://schemas.microsoft.com/office/drawing/2014/main" id="{00000000-0008-0000-0200-0000C5040000}"/>
              </a:ext>
            </a:extLst>
          </xdr:cNvPr>
          <xdr:cNvSpPr/>
        </xdr:nvSpPr>
        <xdr:spPr>
          <a:xfrm>
            <a:off x="4191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2" name="$E$140">
            <a:extLst>
              <a:ext uri="{FF2B5EF4-FFF2-40B4-BE49-F238E27FC236}">
                <a16:creationId xmlns:a16="http://schemas.microsoft.com/office/drawing/2014/main" id="{00000000-0008-0000-0200-0000C6040000}"/>
              </a:ext>
            </a:extLst>
          </xdr:cNvPr>
          <xdr:cNvSpPr/>
        </xdr:nvSpPr>
        <xdr:spPr>
          <a:xfrm>
            <a:off x="431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3" name="$E$140">
            <a:extLst>
              <a:ext uri="{FF2B5EF4-FFF2-40B4-BE49-F238E27FC236}">
                <a16:creationId xmlns:a16="http://schemas.microsoft.com/office/drawing/2014/main" id="{00000000-0008-0000-0200-0000C7040000}"/>
              </a:ext>
            </a:extLst>
          </xdr:cNvPr>
          <xdr:cNvSpPr/>
        </xdr:nvSpPr>
        <xdr:spPr>
          <a:xfrm>
            <a:off x="4445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4" name="$E$140">
            <a:extLst>
              <a:ext uri="{FF2B5EF4-FFF2-40B4-BE49-F238E27FC236}">
                <a16:creationId xmlns:a16="http://schemas.microsoft.com/office/drawing/2014/main" id="{00000000-0008-0000-0200-0000C8040000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5" name="$E$140">
            <a:extLst>
              <a:ext uri="{FF2B5EF4-FFF2-40B4-BE49-F238E27FC236}">
                <a16:creationId xmlns:a16="http://schemas.microsoft.com/office/drawing/2014/main" id="{00000000-0008-0000-0200-0000C9040000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6" name="$E$140">
            <a:extLst>
              <a:ext uri="{FF2B5EF4-FFF2-40B4-BE49-F238E27FC236}">
                <a16:creationId xmlns:a16="http://schemas.microsoft.com/office/drawing/2014/main" id="{00000000-0008-0000-0200-0000CA040000}"/>
              </a:ext>
            </a:extLst>
          </xdr:cNvPr>
          <xdr:cNvSpPr/>
        </xdr:nvSpPr>
        <xdr:spPr>
          <a:xfrm>
            <a:off x="12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7" name="$E$140">
            <a:extLst>
              <a:ext uri="{FF2B5EF4-FFF2-40B4-BE49-F238E27FC236}">
                <a16:creationId xmlns:a16="http://schemas.microsoft.com/office/drawing/2014/main" id="{00000000-0008-0000-0200-0000CB040000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8" name="$E$140">
            <a:extLst>
              <a:ext uri="{FF2B5EF4-FFF2-40B4-BE49-F238E27FC236}">
                <a16:creationId xmlns:a16="http://schemas.microsoft.com/office/drawing/2014/main" id="{00000000-0008-0000-0200-0000CC040000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9" name="$E$140">
            <a:extLst>
              <a:ext uri="{FF2B5EF4-FFF2-40B4-BE49-F238E27FC236}">
                <a16:creationId xmlns:a16="http://schemas.microsoft.com/office/drawing/2014/main" id="{00000000-0008-0000-0200-0000CD040000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30" name="$E$140">
            <a:extLst>
              <a:ext uri="{FF2B5EF4-FFF2-40B4-BE49-F238E27FC236}">
                <a16:creationId xmlns:a16="http://schemas.microsoft.com/office/drawing/2014/main" id="{00000000-0008-0000-0200-0000CE040000}"/>
              </a:ext>
            </a:extLst>
          </xdr:cNvPr>
          <xdr:cNvSpPr/>
        </xdr:nvSpPr>
        <xdr:spPr>
          <a:xfrm>
            <a:off x="63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31" name="$E$140">
            <a:extLst>
              <a:ext uri="{FF2B5EF4-FFF2-40B4-BE49-F238E27FC236}">
                <a16:creationId xmlns:a16="http://schemas.microsoft.com/office/drawing/2014/main" id="{00000000-0008-0000-0200-0000CF040000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32" name="$E$140">
            <a:extLst>
              <a:ext uri="{FF2B5EF4-FFF2-40B4-BE49-F238E27FC236}">
                <a16:creationId xmlns:a16="http://schemas.microsoft.com/office/drawing/2014/main" id="{00000000-0008-0000-0200-0000D0040000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33" name="$E$140">
            <a:extLst>
              <a:ext uri="{FF2B5EF4-FFF2-40B4-BE49-F238E27FC236}">
                <a16:creationId xmlns:a16="http://schemas.microsoft.com/office/drawing/2014/main" id="{00000000-0008-0000-0200-0000D1040000}"/>
              </a:ext>
            </a:extLst>
          </xdr:cNvPr>
          <xdr:cNvSpPr/>
        </xdr:nvSpPr>
        <xdr:spPr>
          <a:xfrm>
            <a:off x="127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34" name="$E$140">
            <a:extLst>
              <a:ext uri="{FF2B5EF4-FFF2-40B4-BE49-F238E27FC236}">
                <a16:creationId xmlns:a16="http://schemas.microsoft.com/office/drawing/2014/main" id="{00000000-0008-0000-0200-0000D2040000}"/>
              </a:ext>
            </a:extLst>
          </xdr:cNvPr>
          <xdr:cNvSpPr/>
        </xdr:nvSpPr>
        <xdr:spPr>
          <a:xfrm>
            <a:off x="177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35" name="$E$140">
            <a:extLst>
              <a:ext uri="{FF2B5EF4-FFF2-40B4-BE49-F238E27FC236}">
                <a16:creationId xmlns:a16="http://schemas.microsoft.com/office/drawing/2014/main" id="{00000000-0008-0000-0200-0000D3040000}"/>
              </a:ext>
            </a:extLst>
          </xdr:cNvPr>
          <xdr:cNvSpPr/>
        </xdr:nvSpPr>
        <xdr:spPr>
          <a:xfrm>
            <a:off x="190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36" name="$E$140">
            <a:extLst>
              <a:ext uri="{FF2B5EF4-FFF2-40B4-BE49-F238E27FC236}">
                <a16:creationId xmlns:a16="http://schemas.microsoft.com/office/drawing/2014/main" id="{00000000-0008-0000-0200-0000D4040000}"/>
              </a:ext>
            </a:extLst>
          </xdr:cNvPr>
          <xdr:cNvSpPr/>
        </xdr:nvSpPr>
        <xdr:spPr>
          <a:xfrm>
            <a:off x="203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37" name="$E$140">
            <a:extLst>
              <a:ext uri="{FF2B5EF4-FFF2-40B4-BE49-F238E27FC236}">
                <a16:creationId xmlns:a16="http://schemas.microsoft.com/office/drawing/2014/main" id="{00000000-0008-0000-0200-0000D5040000}"/>
              </a:ext>
            </a:extLst>
          </xdr:cNvPr>
          <xdr:cNvSpPr/>
        </xdr:nvSpPr>
        <xdr:spPr>
          <a:xfrm>
            <a:off x="254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38" name="$E$140">
            <a:extLst>
              <a:ext uri="{FF2B5EF4-FFF2-40B4-BE49-F238E27FC236}">
                <a16:creationId xmlns:a16="http://schemas.microsoft.com/office/drawing/2014/main" id="{00000000-0008-0000-0200-0000D6040000}"/>
              </a:ext>
            </a:extLst>
          </xdr:cNvPr>
          <xdr:cNvSpPr/>
        </xdr:nvSpPr>
        <xdr:spPr>
          <a:xfrm>
            <a:off x="279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39" name="$E$140">
            <a:extLst>
              <a:ext uri="{FF2B5EF4-FFF2-40B4-BE49-F238E27FC236}">
                <a16:creationId xmlns:a16="http://schemas.microsoft.com/office/drawing/2014/main" id="{00000000-0008-0000-0200-0000D7040000}"/>
              </a:ext>
            </a:extLst>
          </xdr:cNvPr>
          <xdr:cNvSpPr/>
        </xdr:nvSpPr>
        <xdr:spPr>
          <a:xfrm>
            <a:off x="292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40" name="$E$140">
            <a:extLst>
              <a:ext uri="{FF2B5EF4-FFF2-40B4-BE49-F238E27FC236}">
                <a16:creationId xmlns:a16="http://schemas.microsoft.com/office/drawing/2014/main" id="{00000000-0008-0000-0200-0000D8040000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41" name="$E$140">
            <a:extLst>
              <a:ext uri="{FF2B5EF4-FFF2-40B4-BE49-F238E27FC236}">
                <a16:creationId xmlns:a16="http://schemas.microsoft.com/office/drawing/2014/main" id="{00000000-0008-0000-0200-0000D9040000}"/>
              </a:ext>
            </a:extLst>
          </xdr:cNvPr>
          <xdr:cNvSpPr/>
        </xdr:nvSpPr>
        <xdr:spPr>
          <a:xfrm>
            <a:off x="355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42" name="$E$140">
            <a:extLst>
              <a:ext uri="{FF2B5EF4-FFF2-40B4-BE49-F238E27FC236}">
                <a16:creationId xmlns:a16="http://schemas.microsoft.com/office/drawing/2014/main" id="{00000000-0008-0000-0200-0000DA040000}"/>
              </a:ext>
            </a:extLst>
          </xdr:cNvPr>
          <xdr:cNvSpPr/>
        </xdr:nvSpPr>
        <xdr:spPr>
          <a:xfrm>
            <a:off x="381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43" name="$E$140">
            <a:extLst>
              <a:ext uri="{FF2B5EF4-FFF2-40B4-BE49-F238E27FC236}">
                <a16:creationId xmlns:a16="http://schemas.microsoft.com/office/drawing/2014/main" id="{00000000-0008-0000-0200-0000DB040000}"/>
              </a:ext>
            </a:extLst>
          </xdr:cNvPr>
          <xdr:cNvSpPr/>
        </xdr:nvSpPr>
        <xdr:spPr>
          <a:xfrm>
            <a:off x="393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44" name="$E$140">
            <a:extLst>
              <a:ext uri="{FF2B5EF4-FFF2-40B4-BE49-F238E27FC236}">
                <a16:creationId xmlns:a16="http://schemas.microsoft.com/office/drawing/2014/main" id="{00000000-0008-0000-0200-0000DC040000}"/>
              </a:ext>
            </a:extLst>
          </xdr:cNvPr>
          <xdr:cNvSpPr/>
        </xdr:nvSpPr>
        <xdr:spPr>
          <a:xfrm>
            <a:off x="406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45" name="$E$140">
            <a:extLst>
              <a:ext uri="{FF2B5EF4-FFF2-40B4-BE49-F238E27FC236}">
                <a16:creationId xmlns:a16="http://schemas.microsoft.com/office/drawing/2014/main" id="{00000000-0008-0000-0200-0000DD040000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MEDIC@" TargetMode="External"/><Relationship Id="rId13" Type="http://schemas.openxmlformats.org/officeDocument/2006/relationships/hyperlink" Target="mailto:MEDIC@" TargetMode="External"/><Relationship Id="rId18" Type="http://schemas.openxmlformats.org/officeDocument/2006/relationships/hyperlink" Target="mailto:alejandrorosascabrera10@gmail.com" TargetMode="External"/><Relationship Id="rId26" Type="http://schemas.openxmlformats.org/officeDocument/2006/relationships/hyperlink" Target="mailto:MEDIC@" TargetMode="External"/><Relationship Id="rId3" Type="http://schemas.openxmlformats.org/officeDocument/2006/relationships/hyperlink" Target="mailto:MEDIC@" TargetMode="External"/><Relationship Id="rId21" Type="http://schemas.openxmlformats.org/officeDocument/2006/relationships/hyperlink" Target="mailto:MEDIC@" TargetMode="External"/><Relationship Id="rId7" Type="http://schemas.openxmlformats.org/officeDocument/2006/relationships/hyperlink" Target="mailto:MEDIC@" TargetMode="External"/><Relationship Id="rId12" Type="http://schemas.openxmlformats.org/officeDocument/2006/relationships/hyperlink" Target="mailto:MEDIC@" TargetMode="External"/><Relationship Id="rId17" Type="http://schemas.openxmlformats.org/officeDocument/2006/relationships/hyperlink" Target="mailto:PSICOLOG@" TargetMode="External"/><Relationship Id="rId25" Type="http://schemas.openxmlformats.org/officeDocument/2006/relationships/hyperlink" Target="mailto:MEDIC@" TargetMode="External"/><Relationship Id="rId2" Type="http://schemas.openxmlformats.org/officeDocument/2006/relationships/hyperlink" Target="mailto:MEDIC@" TargetMode="External"/><Relationship Id="rId16" Type="http://schemas.openxmlformats.org/officeDocument/2006/relationships/hyperlink" Target="mailto:PSICOLOG@" TargetMode="External"/><Relationship Id="rId20" Type="http://schemas.openxmlformats.org/officeDocument/2006/relationships/hyperlink" Target="mailto:chavezmarcela742@gmail.com" TargetMode="External"/><Relationship Id="rId29" Type="http://schemas.openxmlformats.org/officeDocument/2006/relationships/printerSettings" Target="../printerSettings/printerSettings1.bin"/><Relationship Id="rId1" Type="http://schemas.openxmlformats.org/officeDocument/2006/relationships/hyperlink" Target="mailto:Zenonefrainburbano@gmail.com" TargetMode="External"/><Relationship Id="rId6" Type="http://schemas.openxmlformats.org/officeDocument/2006/relationships/hyperlink" Target="mailto:MEDIC@" TargetMode="External"/><Relationship Id="rId11" Type="http://schemas.openxmlformats.org/officeDocument/2006/relationships/hyperlink" Target="mailto:ENFERMER@" TargetMode="External"/><Relationship Id="rId24" Type="http://schemas.openxmlformats.org/officeDocument/2006/relationships/hyperlink" Target="mailto:ENFERMER@" TargetMode="External"/><Relationship Id="rId5" Type="http://schemas.openxmlformats.org/officeDocument/2006/relationships/hyperlink" Target="mailto:MEDIC@" TargetMode="External"/><Relationship Id="rId15" Type="http://schemas.openxmlformats.org/officeDocument/2006/relationships/hyperlink" Target="mailto:PSICOLOG@" TargetMode="External"/><Relationship Id="rId23" Type="http://schemas.openxmlformats.org/officeDocument/2006/relationships/hyperlink" Target="mailto:MEDIC@" TargetMode="External"/><Relationship Id="rId28" Type="http://schemas.openxmlformats.org/officeDocument/2006/relationships/hyperlink" Target="mailto:MEDIC@" TargetMode="External"/><Relationship Id="rId10" Type="http://schemas.openxmlformats.org/officeDocument/2006/relationships/hyperlink" Target="mailto:ENFERMER@" TargetMode="External"/><Relationship Id="rId19" Type="http://schemas.openxmlformats.org/officeDocument/2006/relationships/hyperlink" Target="mailto:paolaespinosaburbano08@gmail.com" TargetMode="External"/><Relationship Id="rId4" Type="http://schemas.openxmlformats.org/officeDocument/2006/relationships/hyperlink" Target="mailto:MEDIC@" TargetMode="External"/><Relationship Id="rId9" Type="http://schemas.openxmlformats.org/officeDocument/2006/relationships/hyperlink" Target="mailto:ENFERMER@" TargetMode="External"/><Relationship Id="rId14" Type="http://schemas.openxmlformats.org/officeDocument/2006/relationships/hyperlink" Target="mailto:MEDIC@" TargetMode="External"/><Relationship Id="rId22" Type="http://schemas.openxmlformats.org/officeDocument/2006/relationships/hyperlink" Target="mailto:MEDIC@" TargetMode="External"/><Relationship Id="rId27" Type="http://schemas.openxmlformats.org/officeDocument/2006/relationships/hyperlink" Target="mailto:MEDIC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centrodecapacitaciondelsur.com/manejo-de-residuos-hospitalarios-" TargetMode="External"/><Relationship Id="rId1" Type="http://schemas.openxmlformats.org/officeDocument/2006/relationships/hyperlink" Target="https://centrodecapacitaciondelsur.com/soporte-basico-de-vida-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1048576"/>
  <sheetViews>
    <sheetView tabSelected="1" zoomScale="50" zoomScaleNormal="50" workbookViewId="0">
      <pane xSplit="1" ySplit="1" topLeftCell="B62" activePane="bottomRight" state="frozen"/>
      <selection pane="topRight"/>
      <selection pane="bottomLeft"/>
      <selection pane="bottomRight" activeCell="K127" sqref="K127:M127"/>
    </sheetView>
  </sheetViews>
  <sheetFormatPr baseColWidth="10" defaultRowHeight="15" x14ac:dyDescent="0.2"/>
  <cols>
    <col min="1" max="1" width="4.77734375" style="39" customWidth="1"/>
    <col min="2" max="2" width="34.5546875" style="39" bestFit="1" customWidth="1"/>
    <col min="3" max="3" width="21.44140625" style="39" bestFit="1" customWidth="1"/>
    <col min="4" max="4" width="23.44140625" style="39" bestFit="1" customWidth="1"/>
    <col min="5" max="5" width="20.77734375" style="39" bestFit="1" customWidth="1"/>
    <col min="6" max="6" width="22.77734375" style="39" bestFit="1" customWidth="1"/>
    <col min="7" max="7" width="5.6640625" style="39" bestFit="1" customWidth="1"/>
    <col min="8" max="8" width="10.5546875" style="39" bestFit="1" customWidth="1"/>
    <col min="9" max="9" width="15" style="39" bestFit="1" customWidth="1"/>
    <col min="10" max="10" width="17.88671875" style="39" bestFit="1" customWidth="1"/>
    <col min="11" max="11" width="19.44140625" style="41" bestFit="1" customWidth="1"/>
    <col min="12" max="12" width="22.33203125" style="42" bestFit="1" customWidth="1"/>
    <col min="13" max="13" width="19.44140625" style="39" bestFit="1" customWidth="1"/>
    <col min="14" max="14" width="12.109375" style="39" bestFit="1" customWidth="1"/>
    <col min="15" max="15" width="17.44140625" style="39" bestFit="1" customWidth="1"/>
    <col min="16" max="16" width="29.44140625" style="39" bestFit="1" customWidth="1"/>
    <col min="17" max="17" width="27.44140625" style="39" bestFit="1" customWidth="1"/>
    <col min="18" max="18" width="10.77734375" style="39" bestFit="1" customWidth="1"/>
    <col min="19" max="19" width="39.44140625" style="39" bestFit="1" customWidth="1"/>
    <col min="20" max="20" width="13.6640625" style="39" bestFit="1" customWidth="1"/>
    <col min="21" max="21" width="32.5546875" style="43" bestFit="1" customWidth="1"/>
    <col min="22" max="22" width="81.44140625" style="43" bestFit="1" customWidth="1"/>
    <col min="23" max="24" width="33.21875" style="43" bestFit="1" customWidth="1"/>
    <col min="25" max="25" width="72.33203125" style="40" bestFit="1" customWidth="1"/>
    <col min="26" max="16384" width="11.5546875" style="40"/>
  </cols>
  <sheetData>
    <row r="1" spans="1:25" s="66" customFormat="1" ht="15.75" x14ac:dyDescent="0.2">
      <c r="A1" s="56" t="s">
        <v>67</v>
      </c>
      <c r="B1" s="57" t="s">
        <v>0</v>
      </c>
      <c r="C1" s="58" t="s">
        <v>1</v>
      </c>
      <c r="D1" s="58" t="s">
        <v>2</v>
      </c>
      <c r="E1" s="58" t="s">
        <v>3</v>
      </c>
      <c r="F1" s="58" t="s">
        <v>4</v>
      </c>
      <c r="G1" s="59" t="s">
        <v>5</v>
      </c>
      <c r="H1" s="59" t="s">
        <v>6</v>
      </c>
      <c r="I1" s="60" t="s">
        <v>88</v>
      </c>
      <c r="J1" s="60" t="s">
        <v>99</v>
      </c>
      <c r="K1" s="61" t="s">
        <v>7</v>
      </c>
      <c r="L1" s="62" t="s">
        <v>8</v>
      </c>
      <c r="M1" s="58" t="s">
        <v>9</v>
      </c>
      <c r="N1" s="58" t="s">
        <v>68</v>
      </c>
      <c r="O1" s="58" t="s">
        <v>10</v>
      </c>
      <c r="P1" s="63" t="s">
        <v>11</v>
      </c>
      <c r="Q1" s="64" t="s">
        <v>66</v>
      </c>
      <c r="R1" s="58" t="s">
        <v>12</v>
      </c>
      <c r="S1" s="58" t="s">
        <v>13</v>
      </c>
      <c r="T1" s="58" t="s">
        <v>14</v>
      </c>
      <c r="U1" s="58" t="s">
        <v>69</v>
      </c>
      <c r="V1" s="65" t="s">
        <v>15</v>
      </c>
      <c r="W1" s="65" t="s">
        <v>16</v>
      </c>
      <c r="X1" s="65" t="s">
        <v>17</v>
      </c>
      <c r="Y1" s="65" t="s">
        <v>18</v>
      </c>
    </row>
    <row r="2" spans="1:25" s="76" customFormat="1" x14ac:dyDescent="0.2">
      <c r="A2" s="67">
        <v>1</v>
      </c>
      <c r="B2" s="68">
        <v>1087425603</v>
      </c>
      <c r="C2" s="68" t="s">
        <v>103</v>
      </c>
      <c r="D2" s="68" t="s">
        <v>104</v>
      </c>
      <c r="E2" s="68" t="s">
        <v>105</v>
      </c>
      <c r="F2" s="68" t="s">
        <v>106</v>
      </c>
      <c r="G2" s="68">
        <v>7</v>
      </c>
      <c r="H2" s="68" t="s">
        <v>100</v>
      </c>
      <c r="I2" s="68" t="s">
        <v>107</v>
      </c>
      <c r="J2" s="69"/>
      <c r="K2" s="70" t="s">
        <v>264</v>
      </c>
      <c r="L2" s="71" t="s">
        <v>191</v>
      </c>
      <c r="M2" s="68" t="s">
        <v>267</v>
      </c>
      <c r="N2" s="68" t="s">
        <v>207</v>
      </c>
      <c r="O2" s="68" t="s">
        <v>108</v>
      </c>
      <c r="P2" s="72" t="s">
        <v>45</v>
      </c>
      <c r="Q2" s="69">
        <v>35919</v>
      </c>
      <c r="R2" s="68" t="s">
        <v>109</v>
      </c>
      <c r="S2" s="68" t="s">
        <v>110</v>
      </c>
      <c r="T2" s="73">
        <v>3242690004</v>
      </c>
      <c r="U2" s="74" t="s">
        <v>111</v>
      </c>
      <c r="V2" s="75" t="str">
        <f>IF(P2=CURSOS!$D$3,"DIPLOMADO EN ATENCION PRE-HOSPITALARIA",IF(P2=CURSOS!$D$4,"ACOMPAÑAMIENTO Y MANEJO DEL DUELO",IF(P2=CURSOS!$D$5,"ATENCION A VICTIMAS DE ATAQUE CON AGENTES QUIMICOS ",IF(P2=CURSOS!$D$6,"PRIMEROS AUXILIOS ",IF(P2=CURSOS!$D$7,"DIPLOMADO DE UNIDAD DE CUIDADOS INTENSIVOS (UCI)",IF(P2=CURSOS!$D$8,"MODELO DE ATENCION PARA EVENTOS EMERGENTES EN SALUD MENTAL (CODIGO VERDE)",IF(P2=CURSOS!$D$9,"HUMANIZACION EN EL SERVICIO DE LA SALUD Y BUENAS PRACTICAS EN PACIENTE ",IF(P2=CURSOS!$D$10,"CLINICA DE HERIDAS ",IF(P2=CURSOS!$D$11,"TOMA DE CITOLOGIA CERVICO VAGINAL ",IF(P2=CURSOS!$D$12,"SOPORTE CARDIOVASCULAR AVANZADO (ACLS) ",IF(P2=CURSOS!$D$13,"CAMILLERO ",IF(P2=CURSOS!$D$14,"TOMA DE MUESTRAS Y LABORATORIO ",IF(P2=CURSOS!$D$15,"SOPORTE VITAL BASICO (BLS)",IF(P2=CURSOS!$D$16,"ATENCION A VICTIMAS DE VIOLENCIA SEXUAL ",IF(P2=CURSOS!$D$17,"PROGRAMADO AMPLIADO DE INMUNIZACION (PAI - COVID 19)",IF(P2=CURSOS!$D$18,"ATENCION INTEGRAL EN ENFERMEDADES PREVALENTES EN PRIMERA INFANCIA (AIEPI)",IF(P2=CURSOS!$D$19,"ADMINISTRACION DE MEDICAMENTOS, INYECTOLOGIA  Y CANALIZACION ",IF(P2=CURSOS!$D$20,"OPERADOR DE VEHICULOS DE EMERGENCIA (OVE)",IF(P2=CURSOS!$D$21,"INSTITUCIONES AMIGAS DE LA MUJER Y LA INFANCIA (IAMI)",IF(P2=CURSOS!$D$22,"CUIDADO DEL DONANTE DE ORGANOS",IF(P2=CURSOS!$D$23,"ATENCION A VICTIMAS POR VIOLENCIA DE GENERO",IF(P2=CURSOS!$D$24,"IGUALDAD DE GENERO EN LA SALUD",IF(P2=CURSOS!$D$25,"BRIGADA DE EMERGENCIA",IF(P2=CURSOS!$D$26,"MANEJO DEL DOLOR Y CUIDADOS PALIATIVOS",IF(P2=CURSOS!$D$27,"TOMA DE MUESTRAS Y LABORATORIO POCT",IF(P2=CURSOS!$D$28,"IMPLANTE SUBDERMICO DE DISPOSITIVO INTRAUTERINO",IF(P2=CURSOS!$D$29,"SALUD MENTAL",IF(P2=CURSOS!$D$30,"PRIMEROS AUXILIOS PSICOLOGICOS",IF(P2=CURSOS!$D$31,"ATENCION A VICTIMAS POR CONFLICTO ARMADO",IF(P2=CURSOS!$D$32,"MANIPULACION DE ALIMENTOS Y BPM",IF(P2=CURSOS!$D$33,"ATENCION A PERSONAS CON DISCAPACIDAD",IF(P2=CURSOS!$D$34,"CUIDADO INTEGRAL DEL PACIENTE ADULTO",IF(P2=CURSOS!$D$35,"MANEJO DEFENSIVO",IF(P2=CURSOS!$D$36,"SOPORTE CARDIOVASCULAR AVANZADO NEONATAL",IF(P2=CURSOS!$D$37,"SEGURIDAD DEL PACIENTE",IF(P2=CURSOS!$D$38,"MANEJO DE RESIDUOS HOSPITALARIOS",IF(P2=CURSOS!$D$39,"ATENCION DE PACIENTE POR CONSUMO SUSTANCIAS PSICOACTIVAS Y ADICCIONES")))))))))))))))))))))))))))))))))))))</f>
        <v xml:space="preserve">ADMINISTRACION DE MEDICAMENTOS, INYECTOLOGIA  Y CANALIZACION </v>
      </c>
      <c r="W2" s="75" t="str">
        <f>CONCATENATE(E2," ",F2," ",C2," ",D2)</f>
        <v>Yeraldhyn Yamileth Ortega Enriquez</v>
      </c>
      <c r="X2" s="75" t="str">
        <f>PROPER(W2)</f>
        <v>Yeraldhyn Yamileth Ortega Enriquez</v>
      </c>
      <c r="Y2" s="75" t="str">
        <f>CONCATENATE(W2,"-",B2,"-",P2)</f>
        <v>Yeraldhyn Yamileth Ortega Enriquez-1087425603-ADMON DE MEDICAMENTOS</v>
      </c>
    </row>
    <row r="3" spans="1:25" s="76" customFormat="1" x14ac:dyDescent="0.2">
      <c r="A3" s="67">
        <v>2</v>
      </c>
      <c r="B3" s="72">
        <v>1085346464</v>
      </c>
      <c r="C3" s="68" t="s">
        <v>112</v>
      </c>
      <c r="D3" s="68" t="s">
        <v>113</v>
      </c>
      <c r="E3" s="68" t="s">
        <v>114</v>
      </c>
      <c r="F3" s="68" t="s">
        <v>115</v>
      </c>
      <c r="G3" s="68">
        <v>7</v>
      </c>
      <c r="H3" s="68" t="s">
        <v>100</v>
      </c>
      <c r="I3" s="68" t="s">
        <v>107</v>
      </c>
      <c r="J3" s="69"/>
      <c r="K3" s="70" t="s">
        <v>265</v>
      </c>
      <c r="L3" s="71" t="s">
        <v>190</v>
      </c>
      <c r="M3" s="68" t="s">
        <v>267</v>
      </c>
      <c r="N3" s="68" t="s">
        <v>207</v>
      </c>
      <c r="O3" s="68" t="s">
        <v>108</v>
      </c>
      <c r="P3" s="72" t="s">
        <v>45</v>
      </c>
      <c r="Q3" s="69">
        <v>36320</v>
      </c>
      <c r="R3" s="68" t="s">
        <v>109</v>
      </c>
      <c r="S3" s="68" t="s">
        <v>110</v>
      </c>
      <c r="T3" s="73">
        <v>3168492722</v>
      </c>
      <c r="U3" s="68" t="s">
        <v>116</v>
      </c>
      <c r="V3" s="75" t="str">
        <f>IF(P3=CURSOS!$D$3,"DIPLOMADO EN ATENCION PRE-HOSPITALARIA",IF(P3=CURSOS!$D$4,"ACOMPAÑAMIENTO Y MANEJO DEL DUELO",IF(P3=CURSOS!$D$5,"ATENCION A VICTIMAS DE ATAQUE CON AGENTES QUIMICOS ",IF(P3=CURSOS!$D$6,"PRIMEROS AUXILIOS ",IF(P3=CURSOS!$D$7,"DIPLOMADO DE UNIDAD DE CUIDADOS INTENSIVOS (UCI)",IF(P3=CURSOS!$D$8,"MODELO DE ATENCION PARA EVENTOS EMERGENTES EN SALUD MENTAL (CODIGO VERDE)",IF(P3=CURSOS!$D$9,"HUMANIZACION EN EL SERVICIO DE LA SALUD Y BUENAS PRACTICAS EN PACIENTE ",IF(P3=CURSOS!$D$10,"CLINICA DE HERIDAS ",IF(P3=CURSOS!$D$11,"TOMA DE CITOLOGIA CERVICO VAGINAL ",IF(P3=CURSOS!$D$12,"SOPORTE CARDIOVASCULAR AVANZADO (ACLS) ",IF(P3=CURSOS!$D$13,"CAMILLERO ",IF(P3=CURSOS!$D$14,"TOMA DE MUESTRAS Y LABORATORIO ",IF(P3=CURSOS!$D$15,"SOPORTE VITAL BASICO (BLS)",IF(P3=CURSOS!$D$16,"ATENCION A VICTIMAS DE VIOLENCIA SEXUAL ",IF(P3=CURSOS!$D$17,"PROGRAMADO AMPLIADO DE INMUNIZACION (PAI - COVID 19)",IF(P3=CURSOS!$D$18,"ATENCION INTEGRAL EN ENFERMEDADES PREVALENTES EN PRIMERA INFANCIA (AIEPI)",IF(P3=CURSOS!$D$19,"ADMINISTRACION DE MEDICAMENTOS, INYECTOLOGIA  Y CANALIZACION ",IF(P3=CURSOS!$D$20,"OPERADOR DE VEHICULOS DE EMERGENCIA (OVE)",IF(P3=CURSOS!$D$21,"INSTITUCIONES AMIGAS DE LA MUJER Y LA INFANCIA (IAMI)",IF(P3=CURSOS!$D$22,"CUIDADO DEL DONANTE DE ORGANOS",IF(P3=CURSOS!$D$23,"ATENCION A VICTIMAS POR VIOLENCIA DE GENERO",IF(P3=CURSOS!$D$24,"IGUALDAD DE GENERO EN LA SALUD",IF(P3=CURSOS!$D$25,"BRIGADA DE EMERGENCIA",IF(P3=CURSOS!$D$26,"MANEJO DEL DOLOR Y CUIDADOS PALIATIVOS",IF(P3=CURSOS!$D$27,"TOMA DE MUESTRAS Y LABORATORIO POCT",IF(P3=CURSOS!$D$28,"IMPLANTE SUBDERMICO DE DISPOSITIVO INTRAUTERINO",IF(P3=CURSOS!$D$29,"SALUD MENTAL",IF(P3=CURSOS!$D$30,"PRIMEROS AUXILIOS PSICOLOGICOS",IF(P3=CURSOS!$D$31,"ATENCION A VICTIMAS POR CONFLICTO ARMADO",IF(P3=CURSOS!$D$32,"MANIPULACION DE ALIMENTOS Y BPM",IF(P3=CURSOS!$D$33,"ATENCION A PERSONAS CON DISCAPACIDAD",IF(P3=CURSOS!$D$34,"CUIDADO INTEGRAL DEL PACIENTE ADULTO",IF(P3=CURSOS!$D$35,"MANEJO DEFENSIVO",IF(P3=CURSOS!$D$36,"SOPORTE CARDIOVASCULAR AVANZADO NEONATAL",IF(P3=CURSOS!$D$37,"SEGURIDAD DEL PACIENTE",IF(P3=CURSOS!$D$38,"MANEJO DE RESIDUOS HOSPITALARIOS",IF(P3=CURSOS!$D$39,"ATENCION DE PACIENTE POR CONSUMO SUSTANCIAS PSICOACTIVAS Y ADICCIONES")))))))))))))))))))))))))))))))))))))</f>
        <v xml:space="preserve">ADMINISTRACION DE MEDICAMENTOS, INYECTOLOGIA  Y CANALIZACION </v>
      </c>
      <c r="W3" s="75" t="str">
        <f t="shared" ref="W3:W66" si="0">CONCATENATE(E3," ",F3," ",C3," ",D3)</f>
        <v>Angela Fernanda Buesaquillo Santacruz</v>
      </c>
      <c r="X3" s="75" t="str">
        <f t="shared" ref="X3:X66" si="1">PROPER(W3)</f>
        <v>Angela Fernanda Buesaquillo Santacruz</v>
      </c>
      <c r="Y3" s="75" t="str">
        <f t="shared" ref="Y3:Y66" si="2">CONCATENATE(W3,"-",B3,"-",P3)</f>
        <v>Angela Fernanda Buesaquillo Santacruz-1085346464-ADMON DE MEDICAMENTOS</v>
      </c>
    </row>
    <row r="4" spans="1:25" s="76" customFormat="1" x14ac:dyDescent="0.2">
      <c r="A4" s="67">
        <v>3</v>
      </c>
      <c r="B4" s="72">
        <v>59653351</v>
      </c>
      <c r="C4" s="68" t="s">
        <v>117</v>
      </c>
      <c r="D4" s="68" t="s">
        <v>118</v>
      </c>
      <c r="E4" s="68" t="s">
        <v>119</v>
      </c>
      <c r="F4" s="68" t="s">
        <v>120</v>
      </c>
      <c r="G4" s="68">
        <v>7</v>
      </c>
      <c r="H4" s="68" t="s">
        <v>100</v>
      </c>
      <c r="I4" s="68" t="s">
        <v>107</v>
      </c>
      <c r="J4" s="69" t="s">
        <v>124</v>
      </c>
      <c r="K4" s="70">
        <v>45811</v>
      </c>
      <c r="L4" s="71">
        <v>64000</v>
      </c>
      <c r="M4" s="68" t="s">
        <v>123</v>
      </c>
      <c r="N4" s="68" t="s">
        <v>207</v>
      </c>
      <c r="O4" s="68" t="s">
        <v>108</v>
      </c>
      <c r="P4" s="72" t="s">
        <v>45</v>
      </c>
      <c r="Q4" s="69">
        <v>30720</v>
      </c>
      <c r="R4" s="68" t="s">
        <v>109</v>
      </c>
      <c r="S4" s="68" t="s">
        <v>121</v>
      </c>
      <c r="T4" s="73">
        <v>3165595435</v>
      </c>
      <c r="U4" s="73" t="s">
        <v>122</v>
      </c>
      <c r="V4" s="75" t="str">
        <f>IF(P4=CURSOS!$D$3,"DIPLOMADO EN ATENCION PRE-HOSPITALARIA",IF(P4=CURSOS!$D$4,"ACOMPAÑAMIENTO Y MANEJO DEL DUELO",IF(P4=CURSOS!$D$5,"ATENCION A VICTIMAS DE ATAQUE CON AGENTES QUIMICOS ",IF(P4=CURSOS!$D$6,"PRIMEROS AUXILIOS ",IF(P4=CURSOS!$D$7,"DIPLOMADO DE UNIDAD DE CUIDADOS INTENSIVOS (UCI)",IF(P4=CURSOS!$D$8,"MODELO DE ATENCION PARA EVENTOS EMERGENTES EN SALUD MENTAL (CODIGO VERDE)",IF(P4=CURSOS!$D$9,"HUMANIZACION EN EL SERVICIO DE LA SALUD Y BUENAS PRACTICAS EN PACIENTE ",IF(P4=CURSOS!$D$10,"CLINICA DE HERIDAS ",IF(P4=CURSOS!$D$11,"TOMA DE CITOLOGIA CERVICO VAGINAL ",IF(P4=CURSOS!$D$12,"SOPORTE CARDIOVASCULAR AVANZADO (ACLS) ",IF(P4=CURSOS!$D$13,"CAMILLERO ",IF(P4=CURSOS!$D$14,"TOMA DE MUESTRAS Y LABORATORIO ",IF(P4=CURSOS!$D$15,"SOPORTE VITAL BASICO (BLS)",IF(P4=CURSOS!$D$16,"ATENCION A VICTIMAS DE VIOLENCIA SEXUAL ",IF(P4=CURSOS!$D$17,"PROGRAMADO AMPLIADO DE INMUNIZACION (PAI - COVID 19)",IF(P4=CURSOS!$D$18,"ATENCION INTEGRAL EN ENFERMEDADES PREVALENTES EN PRIMERA INFANCIA (AIEPI)",IF(P4=CURSOS!$D$19,"ADMINISTRACION DE MEDICAMENTOS, INYECTOLOGIA  Y CANALIZACION ",IF(P4=CURSOS!$D$20,"OPERADOR DE VEHICULOS DE EMERGENCIA (OVE)",IF(P4=CURSOS!$D$21,"INSTITUCIONES AMIGAS DE LA MUJER Y LA INFANCIA (IAMI)",IF(P4=CURSOS!$D$22,"CUIDADO DEL DONANTE DE ORGANOS",IF(P4=CURSOS!$D$23,"ATENCION A VICTIMAS POR VIOLENCIA DE GENERO",IF(P4=CURSOS!$D$24,"IGUALDAD DE GENERO EN LA SALUD",IF(P4=CURSOS!$D$25,"BRIGADA DE EMERGENCIA",IF(P4=CURSOS!$D$26,"MANEJO DEL DOLOR Y CUIDADOS PALIATIVOS",IF(P4=CURSOS!$D$27,"TOMA DE MUESTRAS Y LABORATORIO POCT",IF(P4=CURSOS!$D$28,"IMPLANTE SUBDERMICO DE DISPOSITIVO INTRAUTERINO",IF(P4=CURSOS!$D$29,"SALUD MENTAL",IF(P4=CURSOS!$D$30,"PRIMEROS AUXILIOS PSICOLOGICOS",IF(P4=CURSOS!$D$31,"ATENCION A VICTIMAS POR CONFLICTO ARMADO",IF(P4=CURSOS!$D$32,"MANIPULACION DE ALIMENTOS Y BPM",IF(P4=CURSOS!$D$33,"ATENCION A PERSONAS CON DISCAPACIDAD",IF(P4=CURSOS!$D$34,"CUIDADO INTEGRAL DEL PACIENTE ADULTO",IF(P4=CURSOS!$D$35,"MANEJO DEFENSIVO",IF(P4=CURSOS!$D$36,"SOPORTE CARDIOVASCULAR AVANZADO NEONATAL",IF(P4=CURSOS!$D$37,"SEGURIDAD DEL PACIENTE",IF(P4=CURSOS!$D$38,"MANEJO DE RESIDUOS HOSPITALARIOS",IF(P4=CURSOS!$D$39,"ATENCION DE PACIENTE POR CONSUMO SUSTANCIAS PSICOACTIVAS Y ADICCIONES")))))))))))))))))))))))))))))))))))))</f>
        <v xml:space="preserve">ADMINISTRACION DE MEDICAMENTOS, INYECTOLOGIA  Y CANALIZACION </v>
      </c>
      <c r="W4" s="75" t="str">
        <f t="shared" si="0"/>
        <v>Leidy Johana Luna Garcia</v>
      </c>
      <c r="X4" s="75" t="str">
        <f t="shared" si="1"/>
        <v>Leidy Johana Luna Garcia</v>
      </c>
      <c r="Y4" s="75" t="str">
        <f t="shared" si="2"/>
        <v>Leidy Johana Luna Garcia-59653351-ADMON DE MEDICAMENTOS</v>
      </c>
    </row>
    <row r="5" spans="1:25" s="76" customFormat="1" x14ac:dyDescent="0.2">
      <c r="A5" s="67">
        <v>4</v>
      </c>
      <c r="B5" s="72">
        <v>1085899275</v>
      </c>
      <c r="C5" s="68" t="s">
        <v>125</v>
      </c>
      <c r="D5" s="68" t="s">
        <v>126</v>
      </c>
      <c r="E5" s="68" t="s">
        <v>127</v>
      </c>
      <c r="F5" s="68" t="s">
        <v>128</v>
      </c>
      <c r="G5" s="68">
        <v>4</v>
      </c>
      <c r="H5" s="68" t="s">
        <v>100</v>
      </c>
      <c r="I5" s="68" t="s">
        <v>129</v>
      </c>
      <c r="J5" s="69"/>
      <c r="K5" s="70">
        <v>45812</v>
      </c>
      <c r="L5" s="71">
        <v>40000</v>
      </c>
      <c r="M5" s="68" t="s">
        <v>123</v>
      </c>
      <c r="N5" s="68" t="s">
        <v>207</v>
      </c>
      <c r="O5" s="68" t="s">
        <v>108</v>
      </c>
      <c r="P5" s="72" t="s">
        <v>19</v>
      </c>
      <c r="Q5" s="69">
        <v>36391</v>
      </c>
      <c r="R5" s="68" t="s">
        <v>109</v>
      </c>
      <c r="S5" s="68" t="s">
        <v>130</v>
      </c>
      <c r="T5" s="73">
        <v>3164058833</v>
      </c>
      <c r="U5" s="73" t="s">
        <v>131</v>
      </c>
      <c r="V5" s="75" t="str">
        <f>IF(P5=CURSOS!$D$3,"DIPLOMADO EN ATENCION PRE-HOSPITALARIA",IF(P5=CURSOS!$D$4,"ACOMPAÑAMIENTO Y MANEJO DEL DUELO",IF(P5=CURSOS!$D$5,"ATENCION A VICTIMAS DE ATAQUE CON AGENTES QUIMICOS ",IF(P5=CURSOS!$D$6,"PRIMEROS AUXILIOS ",IF(P5=CURSOS!$D$7,"DIPLOMADO DE UNIDAD DE CUIDADOS INTENSIVOS (UCI)",IF(P5=CURSOS!$D$8,"MODELO DE ATENCION PARA EVENTOS EMERGENTES EN SALUD MENTAL (CODIGO VERDE)",IF(P5=CURSOS!$D$9,"HUMANIZACION EN EL SERVICIO DE LA SALUD Y BUENAS PRACTICAS EN PACIENTE ",IF(P5=CURSOS!$D$10,"CLINICA DE HERIDAS ",IF(P5=CURSOS!$D$11,"TOMA DE CITOLOGIA CERVICO VAGINAL ",IF(P5=CURSOS!$D$12,"SOPORTE CARDIOVASCULAR AVANZADO (ACLS) ",IF(P5=CURSOS!$D$13,"CAMILLERO ",IF(P5=CURSOS!$D$14,"TOMA DE MUESTRAS Y LABORATORIO ",IF(P5=CURSOS!$D$15,"SOPORTE VITAL BASICO (BLS)",IF(P5=CURSOS!$D$16,"ATENCION A VICTIMAS DE VIOLENCIA SEXUAL ",IF(P5=CURSOS!$D$17,"PROGRAMADO AMPLIADO DE INMUNIZACION (PAI - COVID 19)",IF(P5=CURSOS!$D$18,"ATENCION INTEGRAL EN ENFERMEDADES PREVALENTES EN PRIMERA INFANCIA (AIEPI)",IF(P5=CURSOS!$D$19,"ADMINISTRACION DE MEDICAMENTOS, INYECTOLOGIA  Y CANALIZACION ",IF(P5=CURSOS!$D$20,"OPERADOR DE VEHICULOS DE EMERGENCIA (OVE)",IF(P5=CURSOS!$D$21,"INSTITUCIONES AMIGAS DE LA MUJER Y LA INFANCIA (IAMI)",IF(P5=CURSOS!$D$22,"CUIDADO DEL DONANTE DE ORGANOS",IF(P5=CURSOS!$D$23,"ATENCION A VICTIMAS POR VIOLENCIA DE GENERO",IF(P5=CURSOS!$D$24,"IGUALDAD DE GENERO EN LA SALUD",IF(P5=CURSOS!$D$25,"BRIGADA DE EMERGENCIA",IF(P5=CURSOS!$D$26,"MANEJO DEL DOLOR Y CUIDADOS PALIATIVOS",IF(P5=CURSOS!$D$27,"TOMA DE MUESTRAS Y LABORATORIO POCT",IF(P5=CURSOS!$D$28,"IMPLANTE SUBDERMICO DE DISPOSITIVO INTRAUTERINO",IF(P5=CURSOS!$D$29,"SALUD MENTAL",IF(P5=CURSOS!$D$30,"PRIMEROS AUXILIOS PSICOLOGICOS",IF(P5=CURSOS!$D$31,"ATENCION A VICTIMAS POR CONFLICTO ARMADO",IF(P5=CURSOS!$D$32,"MANIPULACION DE ALIMENTOS Y BPM",IF(P5=CURSOS!$D$33,"ATENCION A PERSONAS CON DISCAPACIDAD",IF(P5=CURSOS!$D$34,"CUIDADO INTEGRAL DEL PACIENTE ADULTO",IF(P5=CURSOS!$D$35,"MANEJO DEFENSIVO",IF(P5=CURSOS!$D$36,"SOPORTE CARDIOVASCULAR AVANZADO NEONATAL",IF(P5=CURSOS!$D$37,"SEGURIDAD DEL PACIENTE",IF(P5=CURSOS!$D$38,"MANEJO DE RESIDUOS HOSPITALARIOS",IF(P5=CURSOS!$D$39,"ATENCION DE PACIENTE POR CONSUMO SUSTANCIAS PSICOACTIVAS Y ADICCIONES")))))))))))))))))))))))))))))))))))))</f>
        <v>SOPORTE VITAL BASICO (BLS)</v>
      </c>
      <c r="W5" s="75" t="str">
        <f t="shared" si="0"/>
        <v>Evelyn Lisbeth Mejia Fuertes</v>
      </c>
      <c r="X5" s="75" t="str">
        <f t="shared" si="1"/>
        <v>Evelyn Lisbeth Mejia Fuertes</v>
      </c>
      <c r="Y5" s="75" t="str">
        <f t="shared" si="2"/>
        <v>Evelyn Lisbeth Mejia Fuertes-1085899275-BLS</v>
      </c>
    </row>
    <row r="6" spans="1:25" s="76" customFormat="1" x14ac:dyDescent="0.2">
      <c r="A6" s="67">
        <v>5</v>
      </c>
      <c r="B6" s="72">
        <v>37080147</v>
      </c>
      <c r="C6" s="68" t="s">
        <v>132</v>
      </c>
      <c r="D6" s="68" t="s">
        <v>133</v>
      </c>
      <c r="E6" s="68" t="s">
        <v>134</v>
      </c>
      <c r="F6" s="68" t="s">
        <v>135</v>
      </c>
      <c r="G6" s="68">
        <v>4</v>
      </c>
      <c r="H6" s="68" t="s">
        <v>100</v>
      </c>
      <c r="I6" s="68" t="s">
        <v>129</v>
      </c>
      <c r="J6" s="69"/>
      <c r="K6" s="70">
        <v>45812</v>
      </c>
      <c r="L6" s="71">
        <v>40000</v>
      </c>
      <c r="M6" s="68" t="s">
        <v>123</v>
      </c>
      <c r="N6" s="68" t="s">
        <v>207</v>
      </c>
      <c r="O6" s="68" t="s">
        <v>108</v>
      </c>
      <c r="P6" s="72" t="s">
        <v>19</v>
      </c>
      <c r="Q6" s="69"/>
      <c r="R6" s="68" t="s">
        <v>109</v>
      </c>
      <c r="S6" s="68" t="s">
        <v>130</v>
      </c>
      <c r="T6" s="73">
        <v>3163517362</v>
      </c>
      <c r="U6" s="73" t="s">
        <v>136</v>
      </c>
      <c r="V6" s="75" t="str">
        <f>IF(P6=CURSOS!$D$3,"DIPLOMADO EN ATENCION PRE-HOSPITALARIA",IF(P6=CURSOS!$D$4,"ACOMPAÑAMIENTO Y MANEJO DEL DUELO",IF(P6=CURSOS!$D$5,"ATENCION A VICTIMAS DE ATAQUE CON AGENTES QUIMICOS ",IF(P6=CURSOS!$D$6,"PRIMEROS AUXILIOS ",IF(P6=CURSOS!$D$7,"DIPLOMADO DE UNIDAD DE CUIDADOS INTENSIVOS (UCI)",IF(P6=CURSOS!$D$8,"MODELO DE ATENCION PARA EVENTOS EMERGENTES EN SALUD MENTAL (CODIGO VERDE)",IF(P6=CURSOS!$D$9,"HUMANIZACION EN EL SERVICIO DE LA SALUD Y BUENAS PRACTICAS EN PACIENTE ",IF(P6=CURSOS!$D$10,"CLINICA DE HERIDAS ",IF(P6=CURSOS!$D$11,"TOMA DE CITOLOGIA CERVICO VAGINAL ",IF(P6=CURSOS!$D$12,"SOPORTE CARDIOVASCULAR AVANZADO (ACLS) ",IF(P6=CURSOS!$D$13,"CAMILLERO ",IF(P6=CURSOS!$D$14,"TOMA DE MUESTRAS Y LABORATORIO ",IF(P6=CURSOS!$D$15,"SOPORTE VITAL BASICO (BLS)",IF(P6=CURSOS!$D$16,"ATENCION A VICTIMAS DE VIOLENCIA SEXUAL ",IF(P6=CURSOS!$D$17,"PROGRAMADO AMPLIADO DE INMUNIZACION (PAI - COVID 19)",IF(P6=CURSOS!$D$18,"ATENCION INTEGRAL EN ENFERMEDADES PREVALENTES EN PRIMERA INFANCIA (AIEPI)",IF(P6=CURSOS!$D$19,"ADMINISTRACION DE MEDICAMENTOS, INYECTOLOGIA  Y CANALIZACION ",IF(P6=CURSOS!$D$20,"OPERADOR DE VEHICULOS DE EMERGENCIA (OVE)",IF(P6=CURSOS!$D$21,"INSTITUCIONES AMIGAS DE LA MUJER Y LA INFANCIA (IAMI)",IF(P6=CURSOS!$D$22,"CUIDADO DEL DONANTE DE ORGANOS",IF(P6=CURSOS!$D$23,"ATENCION A VICTIMAS POR VIOLENCIA DE GENERO",IF(P6=CURSOS!$D$24,"IGUALDAD DE GENERO EN LA SALUD",IF(P6=CURSOS!$D$25,"BRIGADA DE EMERGENCIA",IF(P6=CURSOS!$D$26,"MANEJO DEL DOLOR Y CUIDADOS PALIATIVOS",IF(P6=CURSOS!$D$27,"TOMA DE MUESTRAS Y LABORATORIO POCT",IF(P6=CURSOS!$D$28,"IMPLANTE SUBDERMICO DE DISPOSITIVO INTRAUTERINO",IF(P6=CURSOS!$D$29,"SALUD MENTAL",IF(P6=CURSOS!$D$30,"PRIMEROS AUXILIOS PSICOLOGICOS",IF(P6=CURSOS!$D$31,"ATENCION A VICTIMAS POR CONFLICTO ARMADO",IF(P6=CURSOS!$D$32,"MANIPULACION DE ALIMENTOS Y BPM",IF(P6=CURSOS!$D$33,"ATENCION A PERSONAS CON DISCAPACIDAD",IF(P6=CURSOS!$D$34,"CUIDADO INTEGRAL DEL PACIENTE ADULTO",IF(P6=CURSOS!$D$35,"MANEJO DEFENSIVO",IF(P6=CURSOS!$D$36,"SOPORTE CARDIOVASCULAR AVANZADO NEONATAL",IF(P6=CURSOS!$D$37,"SEGURIDAD DEL PACIENTE",IF(P6=CURSOS!$D$38,"MANEJO DE RESIDUOS HOSPITALARIOS",IF(P6=CURSOS!$D$39,"ATENCION DE PACIENTE POR CONSUMO SUSTANCIAS PSICOACTIVAS Y ADICCIONES")))))))))))))))))))))))))))))))))))))</f>
        <v>SOPORTE VITAL BASICO (BLS)</v>
      </c>
      <c r="W6" s="75" t="str">
        <f t="shared" si="0"/>
        <v>Martha Leonor Pinza Chamorro</v>
      </c>
      <c r="X6" s="75" t="str">
        <f t="shared" si="1"/>
        <v>Martha Leonor Pinza Chamorro</v>
      </c>
      <c r="Y6" s="75" t="str">
        <f t="shared" si="2"/>
        <v>Martha Leonor Pinza Chamorro-37080147-BLS</v>
      </c>
    </row>
    <row r="7" spans="1:25" s="76" customFormat="1" x14ac:dyDescent="0.2">
      <c r="A7" s="67">
        <v>6</v>
      </c>
      <c r="B7" s="72">
        <v>87550138</v>
      </c>
      <c r="C7" s="68" t="s">
        <v>137</v>
      </c>
      <c r="D7" s="68" t="s">
        <v>118</v>
      </c>
      <c r="E7" s="68" t="s">
        <v>138</v>
      </c>
      <c r="F7" s="68" t="s">
        <v>139</v>
      </c>
      <c r="G7" s="68">
        <v>4</v>
      </c>
      <c r="H7" s="68" t="s">
        <v>100</v>
      </c>
      <c r="I7" s="68" t="s">
        <v>129</v>
      </c>
      <c r="J7" s="69" t="s">
        <v>148</v>
      </c>
      <c r="K7" s="70">
        <v>45812</v>
      </c>
      <c r="L7" s="71">
        <v>40000</v>
      </c>
      <c r="M7" s="68" t="s">
        <v>123</v>
      </c>
      <c r="N7" s="68" t="s">
        <v>207</v>
      </c>
      <c r="O7" s="68" t="s">
        <v>140</v>
      </c>
      <c r="P7" s="72" t="s">
        <v>46</v>
      </c>
      <c r="Q7" s="69">
        <v>22939</v>
      </c>
      <c r="R7" s="68" t="s">
        <v>141</v>
      </c>
      <c r="S7" s="68" t="s">
        <v>142</v>
      </c>
      <c r="T7" s="73">
        <v>3166315709</v>
      </c>
      <c r="U7" s="77" t="s">
        <v>143</v>
      </c>
      <c r="V7" s="75" t="str">
        <f>IF(P7=CURSOS!$D$3,"DIPLOMADO EN ATENCION PRE-HOSPITALARIA",IF(P7=CURSOS!$D$4,"ACOMPAÑAMIENTO Y MANEJO DEL DUELO",IF(P7=CURSOS!$D$5,"ATENCION A VICTIMAS DE ATAQUE CON AGENTES QUIMICOS ",IF(P7=CURSOS!$D$6,"PRIMEROS AUXILIOS ",IF(P7=CURSOS!$D$7,"DIPLOMADO DE UNIDAD DE CUIDADOS INTENSIVOS (UCI)",IF(P7=CURSOS!$D$8,"MODELO DE ATENCION PARA EVENTOS EMERGENTES EN SALUD MENTAL (CODIGO VERDE)",IF(P7=CURSOS!$D$9,"HUMANIZACION EN EL SERVICIO DE LA SALUD Y BUENAS PRACTICAS EN PACIENTE ",IF(P7=CURSOS!$D$10,"CLINICA DE HERIDAS ",IF(P7=CURSOS!$D$11,"TOMA DE CITOLOGIA CERVICO VAGINAL ",IF(P7=CURSOS!$D$12,"SOPORTE CARDIOVASCULAR AVANZADO (ACLS) ",IF(P7=CURSOS!$D$13,"CAMILLERO ",IF(P7=CURSOS!$D$14,"TOMA DE MUESTRAS Y LABORATORIO ",IF(P7=CURSOS!$D$15,"SOPORTE VITAL BASICO (BLS)",IF(P7=CURSOS!$D$16,"ATENCION A VICTIMAS DE VIOLENCIA SEXUAL ",IF(P7=CURSOS!$D$17,"PROGRAMADO AMPLIADO DE INMUNIZACION (PAI - COVID 19)",IF(P7=CURSOS!$D$18,"ATENCION INTEGRAL EN ENFERMEDADES PREVALENTES EN PRIMERA INFANCIA (AIEPI)",IF(P7=CURSOS!$D$19,"ADMINISTRACION DE MEDICAMENTOS, INYECTOLOGIA  Y CANALIZACION ",IF(P7=CURSOS!$D$20,"OPERADOR DE VEHICULOS DE EMERGENCIA (OVE)",IF(P7=CURSOS!$D$21,"INSTITUCIONES AMIGAS DE LA MUJER Y LA INFANCIA (IAMI)",IF(P7=CURSOS!$D$22,"CUIDADO DEL DONANTE DE ORGANOS",IF(P7=CURSOS!$D$23,"ATENCION A VICTIMAS POR VIOLENCIA DE GENERO",IF(P7=CURSOS!$D$24,"IGUALDAD DE GENERO EN LA SALUD",IF(P7=CURSOS!$D$25,"BRIGADA DE EMERGENCIA",IF(P7=CURSOS!$D$26,"MANEJO DEL DOLOR Y CUIDADOS PALIATIVOS",IF(P7=CURSOS!$D$27,"TOMA DE MUESTRAS Y LABORATORIO POCT",IF(P7=CURSOS!$D$28,"IMPLANTE SUBDERMICO DE DISPOSITIVO INTRAUTERINO",IF(P7=CURSOS!$D$29,"SALUD MENTAL",IF(P7=CURSOS!$D$30,"PRIMEROS AUXILIOS PSICOLOGICOS",IF(P7=CURSOS!$D$31,"ATENCION A VICTIMAS POR CONFLICTO ARMADO",IF(P7=CURSOS!$D$32,"MANIPULACION DE ALIMENTOS Y BPM",IF(P7=CURSOS!$D$33,"ATENCION A PERSONAS CON DISCAPACIDAD",IF(P7=CURSOS!$D$34,"CUIDADO INTEGRAL DEL PACIENTE ADULTO",IF(P7=CURSOS!$D$35,"MANEJO DEFENSIVO",IF(P7=CURSOS!$D$36,"SOPORTE CARDIOVASCULAR AVANZADO NEONATAL",IF(P7=CURSOS!$D$37,"SEGURIDAD DEL PACIENTE",IF(P7=CURSOS!$D$38,"MANEJO DE RESIDUOS HOSPITALARIOS",IF(P7=CURSOS!$D$39,"ATENCION DE PACIENTE POR CONSUMO SUSTANCIAS PSICOACTIVAS Y ADICCIONES")))))))))))))))))))))))))))))))))))))</f>
        <v>OPERADOR DE VEHICULOS DE EMERGENCIA (OVE)</v>
      </c>
      <c r="W7" s="75" t="str">
        <f t="shared" si="0"/>
        <v>Zenon Efrain Burbano Garcia</v>
      </c>
      <c r="X7" s="75" t="str">
        <f t="shared" si="1"/>
        <v>Zenon Efrain Burbano Garcia</v>
      </c>
      <c r="Y7" s="75" t="str">
        <f t="shared" si="2"/>
        <v>Zenon Efrain Burbano Garcia-87550138-OVE</v>
      </c>
    </row>
    <row r="8" spans="1:25" s="76" customFormat="1" x14ac:dyDescent="0.2">
      <c r="A8" s="67">
        <v>7</v>
      </c>
      <c r="B8" s="72">
        <v>1004695160</v>
      </c>
      <c r="C8" s="68" t="s">
        <v>144</v>
      </c>
      <c r="D8" s="68" t="s">
        <v>145</v>
      </c>
      <c r="E8" s="68" t="s">
        <v>146</v>
      </c>
      <c r="F8" s="68" t="s">
        <v>147</v>
      </c>
      <c r="G8" s="68">
        <v>5</v>
      </c>
      <c r="H8" s="68" t="s">
        <v>100</v>
      </c>
      <c r="I8" s="68" t="s">
        <v>129</v>
      </c>
      <c r="J8" s="69" t="s">
        <v>148</v>
      </c>
      <c r="K8" s="70">
        <v>45813</v>
      </c>
      <c r="L8" s="71">
        <v>32000</v>
      </c>
      <c r="M8" s="68" t="s">
        <v>123</v>
      </c>
      <c r="N8" s="68" t="s">
        <v>207</v>
      </c>
      <c r="O8" s="68" t="s">
        <v>149</v>
      </c>
      <c r="P8" s="72" t="s">
        <v>19</v>
      </c>
      <c r="Q8" s="69">
        <v>38293</v>
      </c>
      <c r="R8" s="68" t="s">
        <v>109</v>
      </c>
      <c r="S8" s="68" t="s">
        <v>130</v>
      </c>
      <c r="T8" s="73" t="s">
        <v>150</v>
      </c>
      <c r="U8" s="72" t="s">
        <v>151</v>
      </c>
      <c r="V8" s="75" t="str">
        <f>IF(P8=CURSOS!$D$3,"DIPLOMADO EN ATENCION PRE-HOSPITALARIA",IF(P8=CURSOS!$D$4,"ACOMPAÑAMIENTO Y MANEJO DEL DUELO",IF(P8=CURSOS!$D$5,"ATENCION A VICTIMAS DE ATAQUE CON AGENTES QUIMICOS ",IF(P8=CURSOS!$D$6,"PRIMEROS AUXILIOS ",IF(P8=CURSOS!$D$7,"DIPLOMADO DE UNIDAD DE CUIDADOS INTENSIVOS (UCI)",IF(P8=CURSOS!$D$8,"MODELO DE ATENCION PARA EVENTOS EMERGENTES EN SALUD MENTAL (CODIGO VERDE)",IF(P8=CURSOS!$D$9,"HUMANIZACION EN EL SERVICIO DE LA SALUD Y BUENAS PRACTICAS EN PACIENTE ",IF(P8=CURSOS!$D$10,"CLINICA DE HERIDAS ",IF(P8=CURSOS!$D$11,"TOMA DE CITOLOGIA CERVICO VAGINAL ",IF(P8=CURSOS!$D$12,"SOPORTE CARDIOVASCULAR AVANZADO (ACLS) ",IF(P8=CURSOS!$D$13,"CAMILLERO ",IF(P8=CURSOS!$D$14,"TOMA DE MUESTRAS Y LABORATORIO ",IF(P8=CURSOS!$D$15,"SOPORTE VITAL BASICO (BLS)",IF(P8=CURSOS!$D$16,"ATENCION A VICTIMAS DE VIOLENCIA SEXUAL ",IF(P8=CURSOS!$D$17,"PROGRAMADO AMPLIADO DE INMUNIZACION (PAI - COVID 19)",IF(P8=CURSOS!$D$18,"ATENCION INTEGRAL EN ENFERMEDADES PREVALENTES EN PRIMERA INFANCIA (AIEPI)",IF(P8=CURSOS!$D$19,"ADMINISTRACION DE MEDICAMENTOS, INYECTOLOGIA  Y CANALIZACION ",IF(P8=CURSOS!$D$20,"OPERADOR DE VEHICULOS DE EMERGENCIA (OVE)",IF(P8=CURSOS!$D$21,"INSTITUCIONES AMIGAS DE LA MUJER Y LA INFANCIA (IAMI)",IF(P8=CURSOS!$D$22,"CUIDADO DEL DONANTE DE ORGANOS",IF(P8=CURSOS!$D$23,"ATENCION A VICTIMAS POR VIOLENCIA DE GENERO",IF(P8=CURSOS!$D$24,"IGUALDAD DE GENERO EN LA SALUD",IF(P8=CURSOS!$D$25,"BRIGADA DE EMERGENCIA",IF(P8=CURSOS!$D$26,"MANEJO DEL DOLOR Y CUIDADOS PALIATIVOS",IF(P8=CURSOS!$D$27,"TOMA DE MUESTRAS Y LABORATORIO POCT",IF(P8=CURSOS!$D$28,"IMPLANTE SUBDERMICO DE DISPOSITIVO INTRAUTERINO",IF(P8=CURSOS!$D$29,"SALUD MENTAL",IF(P8=CURSOS!$D$30,"PRIMEROS AUXILIOS PSICOLOGICOS",IF(P8=CURSOS!$D$31,"ATENCION A VICTIMAS POR CONFLICTO ARMADO",IF(P8=CURSOS!$D$32,"MANIPULACION DE ALIMENTOS Y BPM",IF(P8=CURSOS!$D$33,"ATENCION A PERSONAS CON DISCAPACIDAD",IF(P8=CURSOS!$D$34,"CUIDADO INTEGRAL DEL PACIENTE ADULTO",IF(P8=CURSOS!$D$35,"MANEJO DEFENSIVO",IF(P8=CURSOS!$D$36,"SOPORTE CARDIOVASCULAR AVANZADO NEONATAL",IF(P8=CURSOS!$D$37,"SEGURIDAD DEL PACIENTE",IF(P8=CURSOS!$D$38,"MANEJO DE RESIDUOS HOSPITALARIOS",IF(P8=CURSOS!$D$39,"ATENCION DE PACIENTE POR CONSUMO SUSTANCIAS PSICOACTIVAS Y ADICCIONES")))))))))))))))))))))))))))))))))))))</f>
        <v>SOPORTE VITAL BASICO (BLS)</v>
      </c>
      <c r="W8" s="75" t="str">
        <f t="shared" si="0"/>
        <v>Derly Thalia Alvarez Estrada</v>
      </c>
      <c r="X8" s="75" t="str">
        <f t="shared" si="1"/>
        <v>Derly Thalia Alvarez Estrada</v>
      </c>
      <c r="Y8" s="75" t="str">
        <f t="shared" si="2"/>
        <v>Derly Thalia Alvarez Estrada-1004695160-BLS</v>
      </c>
    </row>
    <row r="9" spans="1:25" s="76" customFormat="1" x14ac:dyDescent="0.2">
      <c r="A9" s="67">
        <v>8</v>
      </c>
      <c r="B9" s="68">
        <v>79748529</v>
      </c>
      <c r="C9" s="68" t="s">
        <v>152</v>
      </c>
      <c r="D9" s="68" t="s">
        <v>153</v>
      </c>
      <c r="E9" s="68" t="s">
        <v>154</v>
      </c>
      <c r="F9" s="68" t="s">
        <v>155</v>
      </c>
      <c r="G9" s="68">
        <v>3</v>
      </c>
      <c r="H9" s="68" t="s">
        <v>100</v>
      </c>
      <c r="I9" s="68" t="s">
        <v>129</v>
      </c>
      <c r="J9" s="69" t="s">
        <v>148</v>
      </c>
      <c r="K9" s="70">
        <v>45813</v>
      </c>
      <c r="L9" s="71">
        <v>32000</v>
      </c>
      <c r="M9" s="68" t="s">
        <v>123</v>
      </c>
      <c r="N9" s="68" t="s">
        <v>207</v>
      </c>
      <c r="O9" s="68" t="s">
        <v>149</v>
      </c>
      <c r="P9" s="72" t="s">
        <v>23</v>
      </c>
      <c r="Q9" s="69">
        <v>28212</v>
      </c>
      <c r="R9" s="68" t="s">
        <v>141</v>
      </c>
      <c r="S9" s="77" t="s">
        <v>156</v>
      </c>
      <c r="T9" s="73">
        <v>3183002987</v>
      </c>
      <c r="U9" s="68" t="s">
        <v>157</v>
      </c>
      <c r="V9" s="75" t="str">
        <f>IF(P9=CURSOS!$D$3,"DIPLOMADO EN ATENCION PRE-HOSPITALARIA",IF(P9=CURSOS!$D$4,"ACOMPAÑAMIENTO Y MANEJO DEL DUELO",IF(P9=CURSOS!$D$5,"ATENCION A VICTIMAS DE ATAQUE CON AGENTES QUIMICOS ",IF(P9=CURSOS!$D$6,"PRIMEROS AUXILIOS ",IF(P9=CURSOS!$D$7,"DIPLOMADO DE UNIDAD DE CUIDADOS INTENSIVOS (UCI)",IF(P9=CURSOS!$D$8,"MODELO DE ATENCION PARA EVENTOS EMERGENTES EN SALUD MENTAL (CODIGO VERDE)",IF(P9=CURSOS!$D$9,"HUMANIZACION EN EL SERVICIO DE LA SALUD Y BUENAS PRACTICAS EN PACIENTE ",IF(P9=CURSOS!$D$10,"CLINICA DE HERIDAS ",IF(P9=CURSOS!$D$11,"TOMA DE CITOLOGIA CERVICO VAGINAL ",IF(P9=CURSOS!$D$12,"SOPORTE CARDIOVASCULAR AVANZADO (ACLS) ",IF(P9=CURSOS!$D$13,"CAMILLERO ",IF(P9=CURSOS!$D$14,"TOMA DE MUESTRAS Y LABORATORIO ",IF(P9=CURSOS!$D$15,"SOPORTE VITAL BASICO (BLS)",IF(P9=CURSOS!$D$16,"ATENCION A VICTIMAS DE VIOLENCIA SEXUAL ",IF(P9=CURSOS!$D$17,"PROGRAMADO AMPLIADO DE INMUNIZACION (PAI - COVID 19)",IF(P9=CURSOS!$D$18,"ATENCION INTEGRAL EN ENFERMEDADES PREVALENTES EN PRIMERA INFANCIA (AIEPI)",IF(P9=CURSOS!$D$19,"ADMINISTRACION DE MEDICAMENTOS, INYECTOLOGIA  Y CANALIZACION ",IF(P9=CURSOS!$D$20,"OPERADOR DE VEHICULOS DE EMERGENCIA (OVE)",IF(P9=CURSOS!$D$21,"INSTITUCIONES AMIGAS DE LA MUJER Y LA INFANCIA (IAMI)",IF(P9=CURSOS!$D$22,"CUIDADO DEL DONANTE DE ORGANOS",IF(P9=CURSOS!$D$23,"ATENCION A VICTIMAS POR VIOLENCIA DE GENERO",IF(P9=CURSOS!$D$24,"IGUALDAD DE GENERO EN LA SALUD",IF(P9=CURSOS!$D$25,"BRIGADA DE EMERGENCIA",IF(P9=CURSOS!$D$26,"MANEJO DEL DOLOR Y CUIDADOS PALIATIVOS",IF(P9=CURSOS!$D$27,"TOMA DE MUESTRAS Y LABORATORIO POCT",IF(P9=CURSOS!$D$28,"IMPLANTE SUBDERMICO DE DISPOSITIVO INTRAUTERINO",IF(P9=CURSOS!$D$29,"SALUD MENTAL",IF(P9=CURSOS!$D$30,"PRIMEROS AUXILIOS PSICOLOGICOS",IF(P9=CURSOS!$D$31,"ATENCION A VICTIMAS POR CONFLICTO ARMADO",IF(P9=CURSOS!$D$32,"MANIPULACION DE ALIMENTOS Y BPM",IF(P9=CURSOS!$D$33,"ATENCION A PERSONAS CON DISCAPACIDAD",IF(P9=CURSOS!$D$34,"CUIDADO INTEGRAL DEL PACIENTE ADULTO",IF(P9=CURSOS!$D$35,"MANEJO DEFENSIVO",IF(P9=CURSOS!$D$36,"SOPORTE CARDIOVASCULAR AVANZADO NEONATAL",IF(P9=CURSOS!$D$37,"SEGURIDAD DEL PACIENTE",IF(P9=CURSOS!$D$38,"MANEJO DE RESIDUOS HOSPITALARIOS",IF(P9=CURSOS!$D$39,"ATENCION DE PACIENTE POR CONSUMO SUSTANCIAS PSICOACTIVAS Y ADICCIONES")))))))))))))))))))))))))))))))))))))</f>
        <v>ACOMPAÑAMIENTO Y MANEJO DEL DUELO</v>
      </c>
      <c r="W9" s="75" t="str">
        <f t="shared" si="0"/>
        <v>John Javier Useche Becerra</v>
      </c>
      <c r="X9" s="75" t="str">
        <f t="shared" si="1"/>
        <v>John Javier Useche Becerra</v>
      </c>
      <c r="Y9" s="75" t="str">
        <f t="shared" si="2"/>
        <v>John Javier Useche Becerra-79748529-DUELO</v>
      </c>
    </row>
    <row r="10" spans="1:25" s="76" customFormat="1" x14ac:dyDescent="0.2">
      <c r="A10" s="67">
        <v>9</v>
      </c>
      <c r="B10" s="68">
        <v>79748529</v>
      </c>
      <c r="C10" s="68" t="s">
        <v>152</v>
      </c>
      <c r="D10" s="68" t="s">
        <v>153</v>
      </c>
      <c r="E10" s="68" t="s">
        <v>154</v>
      </c>
      <c r="F10" s="68" t="s">
        <v>155</v>
      </c>
      <c r="G10" s="68">
        <v>5</v>
      </c>
      <c r="H10" s="68" t="s">
        <v>100</v>
      </c>
      <c r="I10" s="68" t="s">
        <v>129</v>
      </c>
      <c r="J10" s="69" t="s">
        <v>148</v>
      </c>
      <c r="K10" s="70">
        <v>45813</v>
      </c>
      <c r="L10" s="71">
        <v>32000</v>
      </c>
      <c r="M10" s="68" t="s">
        <v>123</v>
      </c>
      <c r="N10" s="68" t="s">
        <v>207</v>
      </c>
      <c r="O10" s="68" t="s">
        <v>149</v>
      </c>
      <c r="P10" s="72" t="s">
        <v>25</v>
      </c>
      <c r="Q10" s="69">
        <v>28212</v>
      </c>
      <c r="R10" s="68" t="s">
        <v>141</v>
      </c>
      <c r="S10" s="77" t="s">
        <v>156</v>
      </c>
      <c r="T10" s="73">
        <v>3183002987</v>
      </c>
      <c r="U10" s="68" t="s">
        <v>157</v>
      </c>
      <c r="V10" s="75" t="str">
        <f>IF(P10=CURSOS!$D$3,"DIPLOMADO EN ATENCION PRE-HOSPITALARIA",IF(P10=CURSOS!$D$4,"ACOMPAÑAMIENTO Y MANEJO DEL DUELO",IF(P10=CURSOS!$D$5,"ATENCION A VICTIMAS DE ATAQUE CON AGENTES QUIMICOS ",IF(P10=CURSOS!$D$6,"PRIMEROS AUXILIOS ",IF(P10=CURSOS!$D$7,"DIPLOMADO DE UNIDAD DE CUIDADOS INTENSIVOS (UCI)",IF(P10=CURSOS!$D$8,"MODELO DE ATENCION PARA EVENTOS EMERGENTES EN SALUD MENTAL (CODIGO VERDE)",IF(P10=CURSOS!$D$9,"HUMANIZACION EN EL SERVICIO DE LA SALUD Y BUENAS PRACTICAS EN PACIENTE ",IF(P10=CURSOS!$D$10,"CLINICA DE HERIDAS ",IF(P10=CURSOS!$D$11,"TOMA DE CITOLOGIA CERVICO VAGINAL ",IF(P10=CURSOS!$D$12,"SOPORTE CARDIOVASCULAR AVANZADO (ACLS) ",IF(P10=CURSOS!$D$13,"CAMILLERO ",IF(P10=CURSOS!$D$14,"TOMA DE MUESTRAS Y LABORATORIO ",IF(P10=CURSOS!$D$15,"SOPORTE VITAL BASICO (BLS)",IF(P10=CURSOS!$D$16,"ATENCION A VICTIMAS DE VIOLENCIA SEXUAL ",IF(P10=CURSOS!$D$17,"PROGRAMADO AMPLIADO DE INMUNIZACION (PAI - COVID 19)",IF(P10=CURSOS!$D$18,"ATENCION INTEGRAL EN ENFERMEDADES PREVALENTES EN PRIMERA INFANCIA (AIEPI)",IF(P10=CURSOS!$D$19,"ADMINISTRACION DE MEDICAMENTOS, INYECTOLOGIA  Y CANALIZACION ",IF(P10=CURSOS!$D$20,"OPERADOR DE VEHICULOS DE EMERGENCIA (OVE)",IF(P10=CURSOS!$D$21,"INSTITUCIONES AMIGAS DE LA MUJER Y LA INFANCIA (IAMI)",IF(P10=CURSOS!$D$22,"CUIDADO DEL DONANTE DE ORGANOS",IF(P10=CURSOS!$D$23,"ATENCION A VICTIMAS POR VIOLENCIA DE GENERO",IF(P10=CURSOS!$D$24,"IGUALDAD DE GENERO EN LA SALUD",IF(P10=CURSOS!$D$25,"BRIGADA DE EMERGENCIA",IF(P10=CURSOS!$D$26,"MANEJO DEL DOLOR Y CUIDADOS PALIATIVOS",IF(P10=CURSOS!$D$27,"TOMA DE MUESTRAS Y LABORATORIO POCT",IF(P10=CURSOS!$D$28,"IMPLANTE SUBDERMICO DE DISPOSITIVO INTRAUTERINO",IF(P10=CURSOS!$D$29,"SALUD MENTAL",IF(P10=CURSOS!$D$30,"PRIMEROS AUXILIOS PSICOLOGICOS",IF(P10=CURSOS!$D$31,"ATENCION A VICTIMAS POR CONFLICTO ARMADO",IF(P10=CURSOS!$D$32,"MANIPULACION DE ALIMENTOS Y BPM",IF(P10=CURSOS!$D$33,"ATENCION A PERSONAS CON DISCAPACIDAD",IF(P10=CURSOS!$D$34,"CUIDADO INTEGRAL DEL PACIENTE ADULTO",IF(P10=CURSOS!$D$35,"MANEJO DEFENSIVO",IF(P10=CURSOS!$D$36,"SOPORTE CARDIOVASCULAR AVANZADO NEONATAL",IF(P10=CURSOS!$D$37,"SEGURIDAD DEL PACIENTE",IF(P10=CURSOS!$D$38,"MANEJO DE RESIDUOS HOSPITALARIOS",IF(P10=CURSOS!$D$39,"ATENCION DE PACIENTE POR CONSUMO SUSTANCIAS PSICOACTIVAS Y ADICCIONES")))))))))))))))))))))))))))))))))))))</f>
        <v xml:space="preserve">ATENCION A VICTIMAS DE ATAQUE CON AGENTES QUIMICOS </v>
      </c>
      <c r="W10" s="75" t="str">
        <f t="shared" si="0"/>
        <v>John Javier Useche Becerra</v>
      </c>
      <c r="X10" s="75" t="str">
        <f t="shared" si="1"/>
        <v>John Javier Useche Becerra</v>
      </c>
      <c r="Y10" s="75" t="str">
        <f t="shared" si="2"/>
        <v>John Javier Useche Becerra-79748529-QUIMICOS</v>
      </c>
    </row>
    <row r="11" spans="1:25" s="76" customFormat="1" x14ac:dyDescent="0.2">
      <c r="A11" s="67">
        <v>10</v>
      </c>
      <c r="B11" s="68">
        <v>79748529</v>
      </c>
      <c r="C11" s="68" t="s">
        <v>152</v>
      </c>
      <c r="D11" s="68" t="s">
        <v>153</v>
      </c>
      <c r="E11" s="68" t="s">
        <v>154</v>
      </c>
      <c r="F11" s="68" t="s">
        <v>155</v>
      </c>
      <c r="G11" s="68">
        <v>4</v>
      </c>
      <c r="H11" s="68" t="s">
        <v>100</v>
      </c>
      <c r="I11" s="68" t="s">
        <v>129</v>
      </c>
      <c r="J11" s="69" t="s">
        <v>148</v>
      </c>
      <c r="K11" s="70">
        <v>45813</v>
      </c>
      <c r="L11" s="71">
        <v>32000</v>
      </c>
      <c r="M11" s="68" t="s">
        <v>123</v>
      </c>
      <c r="N11" s="68" t="s">
        <v>207</v>
      </c>
      <c r="O11" s="68" t="s">
        <v>149</v>
      </c>
      <c r="P11" s="72" t="s">
        <v>44</v>
      </c>
      <c r="Q11" s="69">
        <v>28212</v>
      </c>
      <c r="R11" s="68" t="s">
        <v>141</v>
      </c>
      <c r="S11" s="77" t="s">
        <v>156</v>
      </c>
      <c r="T11" s="73">
        <v>3183002987</v>
      </c>
      <c r="U11" s="68" t="s">
        <v>157</v>
      </c>
      <c r="V11" s="75" t="str">
        <f>IF(P11=CURSOS!$D$3,"DIPLOMADO EN ATENCION PRE-HOSPITALARIA",IF(P11=CURSOS!$D$4,"ACOMPAÑAMIENTO Y MANEJO DEL DUELO",IF(P11=CURSOS!$D$5,"ATENCION A VICTIMAS DE ATAQUE CON AGENTES QUIMICOS ",IF(P11=CURSOS!$D$6,"PRIMEROS AUXILIOS ",IF(P11=CURSOS!$D$7,"DIPLOMADO DE UNIDAD DE CUIDADOS INTENSIVOS (UCI)",IF(P11=CURSOS!$D$8,"MODELO DE ATENCION PARA EVENTOS EMERGENTES EN SALUD MENTAL (CODIGO VERDE)",IF(P11=CURSOS!$D$9,"HUMANIZACION EN EL SERVICIO DE LA SALUD Y BUENAS PRACTICAS EN PACIENTE ",IF(P11=CURSOS!$D$10,"CLINICA DE HERIDAS ",IF(P11=CURSOS!$D$11,"TOMA DE CITOLOGIA CERVICO VAGINAL ",IF(P11=CURSOS!$D$12,"SOPORTE CARDIOVASCULAR AVANZADO (ACLS) ",IF(P11=CURSOS!$D$13,"CAMILLERO ",IF(P11=CURSOS!$D$14,"TOMA DE MUESTRAS Y LABORATORIO ",IF(P11=CURSOS!$D$15,"SOPORTE VITAL BASICO (BLS)",IF(P11=CURSOS!$D$16,"ATENCION A VICTIMAS DE VIOLENCIA SEXUAL ",IF(P11=CURSOS!$D$17,"PROGRAMADO AMPLIADO DE INMUNIZACION (PAI - COVID 19)",IF(P11=CURSOS!$D$18,"ATENCION INTEGRAL EN ENFERMEDADES PREVALENTES EN PRIMERA INFANCIA (AIEPI)",IF(P11=CURSOS!$D$19,"ADMINISTRACION DE MEDICAMENTOS, INYECTOLOGIA  Y CANALIZACION ",IF(P11=CURSOS!$D$20,"OPERADOR DE VEHICULOS DE EMERGENCIA (OVE)",IF(P11=CURSOS!$D$21,"INSTITUCIONES AMIGAS DE LA MUJER Y LA INFANCIA (IAMI)",IF(P11=CURSOS!$D$22,"CUIDADO DEL DONANTE DE ORGANOS",IF(P11=CURSOS!$D$23,"ATENCION A VICTIMAS POR VIOLENCIA DE GENERO",IF(P11=CURSOS!$D$24,"IGUALDAD DE GENERO EN LA SALUD",IF(P11=CURSOS!$D$25,"BRIGADA DE EMERGENCIA",IF(P11=CURSOS!$D$26,"MANEJO DEL DOLOR Y CUIDADOS PALIATIVOS",IF(P11=CURSOS!$D$27,"TOMA DE MUESTRAS Y LABORATORIO POCT",IF(P11=CURSOS!$D$28,"IMPLANTE SUBDERMICO DE DISPOSITIVO INTRAUTERINO",IF(P11=CURSOS!$D$29,"SALUD MENTAL",IF(P11=CURSOS!$D$30,"PRIMEROS AUXILIOS PSICOLOGICOS",IF(P11=CURSOS!$D$31,"ATENCION A VICTIMAS POR CONFLICTO ARMADO",IF(P11=CURSOS!$D$32,"MANIPULACION DE ALIMENTOS Y BPM",IF(P11=CURSOS!$D$33,"ATENCION A PERSONAS CON DISCAPACIDAD",IF(P11=CURSOS!$D$34,"CUIDADO INTEGRAL DEL PACIENTE ADULTO",IF(P11=CURSOS!$D$35,"MANEJO DEFENSIVO",IF(P11=CURSOS!$D$36,"SOPORTE CARDIOVASCULAR AVANZADO NEONATAL",IF(P11=CURSOS!$D$37,"SEGURIDAD DEL PACIENTE",IF(P11=CURSOS!$D$38,"MANEJO DE RESIDUOS HOSPITALARIOS",IF(P11=CURSOS!$D$39,"ATENCION DE PACIENTE POR CONSUMO SUSTANCIAS PSICOACTIVAS Y ADICCIONES")))))))))))))))))))))))))))))))))))))</f>
        <v>ATENCION INTEGRAL EN ENFERMEDADES PREVALENTES EN PRIMERA INFANCIA (AIEPI)</v>
      </c>
      <c r="W11" s="75" t="str">
        <f t="shared" si="0"/>
        <v>John Javier Useche Becerra</v>
      </c>
      <c r="X11" s="75" t="str">
        <f t="shared" si="1"/>
        <v>John Javier Useche Becerra</v>
      </c>
      <c r="Y11" s="75" t="str">
        <f t="shared" si="2"/>
        <v>John Javier Useche Becerra-79748529-AIEPI</v>
      </c>
    </row>
    <row r="12" spans="1:25" s="76" customFormat="1" x14ac:dyDescent="0.2">
      <c r="A12" s="67">
        <v>11</v>
      </c>
      <c r="B12" s="68">
        <v>1085345702</v>
      </c>
      <c r="C12" s="68" t="s">
        <v>158</v>
      </c>
      <c r="D12" s="68" t="s">
        <v>159</v>
      </c>
      <c r="E12" s="68" t="s">
        <v>160</v>
      </c>
      <c r="F12" s="68" t="s">
        <v>161</v>
      </c>
      <c r="G12" s="68">
        <v>5</v>
      </c>
      <c r="H12" s="68" t="s">
        <v>100</v>
      </c>
      <c r="I12" s="68" t="s">
        <v>129</v>
      </c>
      <c r="J12" s="69" t="s">
        <v>148</v>
      </c>
      <c r="K12" s="70">
        <v>45813</v>
      </c>
      <c r="L12" s="71">
        <v>40000</v>
      </c>
      <c r="M12" s="68" t="s">
        <v>123</v>
      </c>
      <c r="N12" s="68" t="s">
        <v>207</v>
      </c>
      <c r="O12" s="68" t="s">
        <v>162</v>
      </c>
      <c r="P12" s="72" t="s">
        <v>64</v>
      </c>
      <c r="Q12" s="69">
        <v>36239</v>
      </c>
      <c r="R12" s="68" t="s">
        <v>141</v>
      </c>
      <c r="S12" s="77" t="s">
        <v>156</v>
      </c>
      <c r="T12" s="73">
        <v>3188299303</v>
      </c>
      <c r="U12" s="68" t="s">
        <v>163</v>
      </c>
      <c r="V12" s="75" t="str">
        <f>IF(P12=CURSOS!$D$3,"DIPLOMADO EN ATENCION PRE-HOSPITALARIA",IF(P12=CURSOS!$D$4,"ACOMPAÑAMIENTO Y MANEJO DEL DUELO",IF(P12=CURSOS!$D$5,"ATENCION A VICTIMAS DE ATAQUE CON AGENTES QUIMICOS ",IF(P12=CURSOS!$D$6,"PRIMEROS AUXILIOS ",IF(P12=CURSOS!$D$7,"DIPLOMADO DE UNIDAD DE CUIDADOS INTENSIVOS (UCI)",IF(P12=CURSOS!$D$8,"MODELO DE ATENCION PARA EVENTOS EMERGENTES EN SALUD MENTAL (CODIGO VERDE)",IF(P12=CURSOS!$D$9,"HUMANIZACION EN EL SERVICIO DE LA SALUD Y BUENAS PRACTICAS EN PACIENTE ",IF(P12=CURSOS!$D$10,"CLINICA DE HERIDAS ",IF(P12=CURSOS!$D$11,"TOMA DE CITOLOGIA CERVICO VAGINAL ",IF(P12=CURSOS!$D$12,"SOPORTE CARDIOVASCULAR AVANZADO (ACLS) ",IF(P12=CURSOS!$D$13,"CAMILLERO ",IF(P12=CURSOS!$D$14,"TOMA DE MUESTRAS Y LABORATORIO ",IF(P12=CURSOS!$D$15,"SOPORTE VITAL BASICO (BLS)",IF(P12=CURSOS!$D$16,"ATENCION A VICTIMAS DE VIOLENCIA SEXUAL ",IF(P12=CURSOS!$D$17,"PROGRAMADO AMPLIADO DE INMUNIZACION (PAI - COVID 19)",IF(P12=CURSOS!$D$18,"ATENCION INTEGRAL EN ENFERMEDADES PREVALENTES EN PRIMERA INFANCIA (AIEPI)",IF(P12=CURSOS!$D$19,"ADMINISTRACION DE MEDICAMENTOS, INYECTOLOGIA  Y CANALIZACION ",IF(P12=CURSOS!$D$20,"OPERADOR DE VEHICULOS DE EMERGENCIA (OVE)",IF(P12=CURSOS!$D$21,"INSTITUCIONES AMIGAS DE LA MUJER Y LA INFANCIA (IAMI)",IF(P12=CURSOS!$D$22,"CUIDADO DEL DONANTE DE ORGANOS",IF(P12=CURSOS!$D$23,"ATENCION A VICTIMAS POR VIOLENCIA DE GENERO",IF(P12=CURSOS!$D$24,"IGUALDAD DE GENERO EN LA SALUD",IF(P12=CURSOS!$D$25,"BRIGADA DE EMERGENCIA",IF(P12=CURSOS!$D$26,"MANEJO DEL DOLOR Y CUIDADOS PALIATIVOS",IF(P12=CURSOS!$D$27,"TOMA DE MUESTRAS Y LABORATORIO POCT",IF(P12=CURSOS!$D$28,"IMPLANTE SUBDERMICO DE DISPOSITIVO INTRAUTERINO",IF(P12=CURSOS!$D$29,"SALUD MENTAL",IF(P12=CURSOS!$D$30,"PRIMEROS AUXILIOS PSICOLOGICOS",IF(P12=CURSOS!$D$31,"ATENCION A VICTIMAS POR CONFLICTO ARMADO",IF(P12=CURSOS!$D$32,"MANIPULACION DE ALIMENTOS Y BPM",IF(P12=CURSOS!$D$33,"ATENCION A PERSONAS CON DISCAPACIDAD",IF(P12=CURSOS!$D$34,"CUIDADO INTEGRAL DEL PACIENTE ADULTO",IF(P12=CURSOS!$D$35,"MANEJO DEFENSIVO",IF(P12=CURSOS!$D$36,"SOPORTE CARDIOVASCULAR AVANZADO NEONATAL",IF(P12=CURSOS!$D$37,"SEGURIDAD DEL PACIENTE",IF(P12=CURSOS!$D$38,"MANEJO DE RESIDUOS HOSPITALARIOS",IF(P12=CURSOS!$D$39,"ATENCION DE PACIENTE POR CONSUMO SUSTANCIAS PSICOACTIVAS Y ADICCIONES")))))))))))))))))))))))))))))))))))))</f>
        <v>ATENCION A VICTIMAS POR CONFLICTO ARMADO</v>
      </c>
      <c r="W12" s="75" t="str">
        <f t="shared" si="0"/>
        <v>Juan Jose Zambrano Valenzuela</v>
      </c>
      <c r="X12" s="75" t="str">
        <f t="shared" si="1"/>
        <v>Juan Jose Zambrano Valenzuela</v>
      </c>
      <c r="Y12" s="75" t="str">
        <f t="shared" si="2"/>
        <v>Juan Jose Zambrano Valenzuela-1085345702-CONFLICTO ARMADO</v>
      </c>
    </row>
    <row r="13" spans="1:25" s="76" customFormat="1" x14ac:dyDescent="0.2">
      <c r="A13" s="67">
        <v>12</v>
      </c>
      <c r="B13" s="68">
        <v>1085345702</v>
      </c>
      <c r="C13" s="68" t="s">
        <v>158</v>
      </c>
      <c r="D13" s="68" t="s">
        <v>159</v>
      </c>
      <c r="E13" s="68" t="s">
        <v>160</v>
      </c>
      <c r="F13" s="68" t="s">
        <v>161</v>
      </c>
      <c r="G13" s="68">
        <v>4</v>
      </c>
      <c r="H13" s="68" t="s">
        <v>100</v>
      </c>
      <c r="I13" s="68" t="s">
        <v>129</v>
      </c>
      <c r="J13" s="69" t="s">
        <v>148</v>
      </c>
      <c r="K13" s="70">
        <v>45813</v>
      </c>
      <c r="L13" s="71">
        <v>40000</v>
      </c>
      <c r="M13" s="68" t="s">
        <v>123</v>
      </c>
      <c r="N13" s="68" t="s">
        <v>207</v>
      </c>
      <c r="O13" s="68" t="s">
        <v>162</v>
      </c>
      <c r="P13" s="72" t="s">
        <v>57</v>
      </c>
      <c r="Q13" s="69">
        <v>36239</v>
      </c>
      <c r="R13" s="68" t="s">
        <v>141</v>
      </c>
      <c r="S13" s="77" t="s">
        <v>156</v>
      </c>
      <c r="T13" s="73">
        <v>3188299303</v>
      </c>
      <c r="U13" s="68" t="s">
        <v>163</v>
      </c>
      <c r="V13" s="75" t="str">
        <f>IF(P13=CURSOS!$D$3,"DIPLOMADO EN ATENCION PRE-HOSPITALARIA",IF(P13=CURSOS!$D$4,"ACOMPAÑAMIENTO Y MANEJO DEL DUELO",IF(P13=CURSOS!$D$5,"ATENCION A VICTIMAS DE ATAQUE CON AGENTES QUIMICOS ",IF(P13=CURSOS!$D$6,"PRIMEROS AUXILIOS ",IF(P13=CURSOS!$D$7,"DIPLOMADO DE UNIDAD DE CUIDADOS INTENSIVOS (UCI)",IF(P13=CURSOS!$D$8,"MODELO DE ATENCION PARA EVENTOS EMERGENTES EN SALUD MENTAL (CODIGO VERDE)",IF(P13=CURSOS!$D$9,"HUMANIZACION EN EL SERVICIO DE LA SALUD Y BUENAS PRACTICAS EN PACIENTE ",IF(P13=CURSOS!$D$10,"CLINICA DE HERIDAS ",IF(P13=CURSOS!$D$11,"TOMA DE CITOLOGIA CERVICO VAGINAL ",IF(P13=CURSOS!$D$12,"SOPORTE CARDIOVASCULAR AVANZADO (ACLS) ",IF(P13=CURSOS!$D$13,"CAMILLERO ",IF(P13=CURSOS!$D$14,"TOMA DE MUESTRAS Y LABORATORIO ",IF(P13=CURSOS!$D$15,"SOPORTE VITAL BASICO (BLS)",IF(P13=CURSOS!$D$16,"ATENCION A VICTIMAS DE VIOLENCIA SEXUAL ",IF(P13=CURSOS!$D$17,"PROGRAMADO AMPLIADO DE INMUNIZACION (PAI - COVID 19)",IF(P13=CURSOS!$D$18,"ATENCION INTEGRAL EN ENFERMEDADES PREVALENTES EN PRIMERA INFANCIA (AIEPI)",IF(P13=CURSOS!$D$19,"ADMINISTRACION DE MEDICAMENTOS, INYECTOLOGIA  Y CANALIZACION ",IF(P13=CURSOS!$D$20,"OPERADOR DE VEHICULOS DE EMERGENCIA (OVE)",IF(P13=CURSOS!$D$21,"INSTITUCIONES AMIGAS DE LA MUJER Y LA INFANCIA (IAMI)",IF(P13=CURSOS!$D$22,"CUIDADO DEL DONANTE DE ORGANOS",IF(P13=CURSOS!$D$23,"ATENCION A VICTIMAS POR VIOLENCIA DE GENERO",IF(P13=CURSOS!$D$24,"IGUALDAD DE GENERO EN LA SALUD",IF(P13=CURSOS!$D$25,"BRIGADA DE EMERGENCIA",IF(P13=CURSOS!$D$26,"MANEJO DEL DOLOR Y CUIDADOS PALIATIVOS",IF(P13=CURSOS!$D$27,"TOMA DE MUESTRAS Y LABORATORIO POCT",IF(P13=CURSOS!$D$28,"IMPLANTE SUBDERMICO DE DISPOSITIVO INTRAUTERINO",IF(P13=CURSOS!$D$29,"SALUD MENTAL",IF(P13=CURSOS!$D$30,"PRIMEROS AUXILIOS PSICOLOGICOS",IF(P13=CURSOS!$D$31,"ATENCION A VICTIMAS POR CONFLICTO ARMADO",IF(P13=CURSOS!$D$32,"MANIPULACION DE ALIMENTOS Y BPM",IF(P13=CURSOS!$D$33,"ATENCION A PERSONAS CON DISCAPACIDAD",IF(P13=CURSOS!$D$34,"CUIDADO INTEGRAL DEL PACIENTE ADULTO",IF(P13=CURSOS!$D$35,"MANEJO DEFENSIVO",IF(P13=CURSOS!$D$36,"SOPORTE CARDIOVASCULAR AVANZADO NEONATAL",IF(P13=CURSOS!$D$37,"SEGURIDAD DEL PACIENTE",IF(P13=CURSOS!$D$38,"MANEJO DE RESIDUOS HOSPITALARIOS",IF(P13=CURSOS!$D$39,"ATENCION DE PACIENTE POR CONSUMO SUSTANCIAS PSICOACTIVAS Y ADICCIONES")))))))))))))))))))))))))))))))))))))</f>
        <v>MANEJO DEL DOLOR Y CUIDADOS PALIATIVOS</v>
      </c>
      <c r="W13" s="75" t="str">
        <f t="shared" si="0"/>
        <v>Juan Jose Zambrano Valenzuela</v>
      </c>
      <c r="X13" s="75" t="str">
        <f t="shared" si="1"/>
        <v>Juan Jose Zambrano Valenzuela</v>
      </c>
      <c r="Y13" s="75" t="str">
        <f t="shared" si="2"/>
        <v>Juan Jose Zambrano Valenzuela-1085345702-PALIATIVOS</v>
      </c>
    </row>
    <row r="14" spans="1:25" s="76" customFormat="1" x14ac:dyDescent="0.2">
      <c r="A14" s="67">
        <v>13</v>
      </c>
      <c r="B14" s="78">
        <v>1087786860</v>
      </c>
      <c r="C14" s="78" t="s">
        <v>164</v>
      </c>
      <c r="D14" s="78" t="s">
        <v>165</v>
      </c>
      <c r="E14" s="78" t="s">
        <v>166</v>
      </c>
      <c r="F14" s="78"/>
      <c r="G14" s="78">
        <v>5</v>
      </c>
      <c r="H14" s="78" t="s">
        <v>100</v>
      </c>
      <c r="I14" s="78" t="s">
        <v>129</v>
      </c>
      <c r="J14" s="79" t="s">
        <v>124</v>
      </c>
      <c r="K14" s="41"/>
      <c r="L14" s="80">
        <v>60000</v>
      </c>
      <c r="M14" s="78" t="s">
        <v>168</v>
      </c>
      <c r="N14" s="78" t="s">
        <v>207</v>
      </c>
      <c r="O14" s="78" t="s">
        <v>108</v>
      </c>
      <c r="P14" s="81" t="s">
        <v>35</v>
      </c>
      <c r="Q14" s="79">
        <v>38597</v>
      </c>
      <c r="R14" s="78" t="s">
        <v>109</v>
      </c>
      <c r="S14" s="78" t="s">
        <v>130</v>
      </c>
      <c r="T14" s="82">
        <v>3142827634</v>
      </c>
      <c r="U14" s="78" t="s">
        <v>167</v>
      </c>
      <c r="V14" s="83" t="str">
        <f>IF(P14=CURSOS!$D$3,"DIPLOMADO EN ATENCION PRE-HOSPITALARIA",IF(P14=CURSOS!$D$4,"ACOMPAÑAMIENTO Y MANEJO DEL DUELO",IF(P14=CURSOS!$D$5,"ATENCION A VICTIMAS DE ATAQUE CON AGENTES QUIMICOS ",IF(P14=CURSOS!$D$6,"PRIMEROS AUXILIOS ",IF(P14=CURSOS!$D$7,"DIPLOMADO DE UNIDAD DE CUIDADOS INTENSIVOS (UCI)",IF(P14=CURSOS!$D$8,"MODELO DE ATENCION PARA EVENTOS EMERGENTES EN SALUD MENTAL (CODIGO VERDE)",IF(P14=CURSOS!$D$9,"HUMANIZACION EN EL SERVICIO DE LA SALUD Y BUENAS PRACTICAS EN PACIENTE ",IF(P14=CURSOS!$D$10,"CLINICA DE HERIDAS ",IF(P14=CURSOS!$D$11,"TOMA DE CITOLOGIA CERVICO VAGINAL ",IF(P14=CURSOS!$D$12,"SOPORTE CARDIOVASCULAR AVANZADO (ACLS) ",IF(P14=CURSOS!$D$13,"CAMILLERO ",IF(P14=CURSOS!$D$14,"TOMA DE MUESTRAS Y LABORATORIO ",IF(P14=CURSOS!$D$15,"SOPORTE VITAL BASICO (BLS)",IF(P14=CURSOS!$D$16,"ATENCION A VICTIMAS DE VIOLENCIA SEXUAL ",IF(P14=CURSOS!$D$17,"PROGRAMADO AMPLIADO DE INMUNIZACION (PAI - COVID 19)",IF(P14=CURSOS!$D$18,"ATENCION INTEGRAL EN ENFERMEDADES PREVALENTES EN PRIMERA INFANCIA (AIEPI)",IF(P14=CURSOS!$D$19,"ADMINISTRACION DE MEDICAMENTOS, INYECTOLOGIA  Y CANALIZACION ",IF(P14=CURSOS!$D$20,"OPERADOR DE VEHICULOS DE EMERGENCIA (OVE)",IF(P14=CURSOS!$D$21,"INSTITUCIONES AMIGAS DE LA MUJER Y LA INFANCIA (IAMI)",IF(P14=CURSOS!$D$22,"CUIDADO DEL DONANTE DE ORGANOS",IF(P14=CURSOS!$D$23,"ATENCION A VICTIMAS POR VIOLENCIA DE GENERO",IF(P14=CURSOS!$D$24,"IGUALDAD DE GENERO EN LA SALUD",IF(P14=CURSOS!$D$25,"BRIGADA DE EMERGENCIA",IF(P14=CURSOS!$D$26,"MANEJO DEL DOLOR Y CUIDADOS PALIATIVOS",IF(P14=CURSOS!$D$27,"TOMA DE MUESTRAS Y LABORATORIO POCT",IF(P14=CURSOS!$D$28,"IMPLANTE SUBDERMICO DE DISPOSITIVO INTRAUTERINO",IF(P14=CURSOS!$D$29,"SALUD MENTAL",IF(P14=CURSOS!$D$30,"PRIMEROS AUXILIOS PSICOLOGICOS",IF(P14=CURSOS!$D$31,"ATENCION A VICTIMAS POR CONFLICTO ARMADO",IF(P14=CURSOS!$D$32,"MANIPULACION DE ALIMENTOS Y BPM",IF(P14=CURSOS!$D$33,"ATENCION A PERSONAS CON DISCAPACIDAD",IF(P14=CURSOS!$D$34,"CUIDADO INTEGRAL DEL PACIENTE ADULTO",IF(P14=CURSOS!$D$35,"MANEJO DEFENSIVO",IF(P14=CURSOS!$D$36,"SOPORTE CARDIOVASCULAR AVANZADO NEONATAL",IF(P14=CURSOS!$D$37,"SEGURIDAD DEL PACIENTE",IF(P14=CURSOS!$D$38,"MANEJO DE RESIDUOS HOSPITALARIOS",IF(P14=CURSOS!$D$39,"ATENCION DE PACIENTE POR CONSUMO SUSTANCIAS PSICOACTIVAS Y ADICCIONES")))))))))))))))))))))))))))))))))))))</f>
        <v xml:space="preserve">TOMA DE CITOLOGIA CERVICO VAGINAL </v>
      </c>
      <c r="W14" s="83" t="str">
        <f t="shared" si="0"/>
        <v>Raquel  Vallejo Torres</v>
      </c>
      <c r="X14" s="83" t="str">
        <f t="shared" si="1"/>
        <v>Raquel  Vallejo Torres</v>
      </c>
      <c r="Y14" s="83" t="str">
        <f t="shared" si="2"/>
        <v>Raquel  Vallejo Torres-1087786860-CITOLOGIA</v>
      </c>
    </row>
    <row r="15" spans="1:25" s="76" customFormat="1" x14ac:dyDescent="0.2">
      <c r="A15" s="67">
        <v>14</v>
      </c>
      <c r="B15" s="68">
        <v>12752278</v>
      </c>
      <c r="C15" s="68" t="s">
        <v>169</v>
      </c>
      <c r="D15" s="68" t="s">
        <v>170</v>
      </c>
      <c r="E15" s="68" t="s">
        <v>171</v>
      </c>
      <c r="F15" s="68" t="s">
        <v>172</v>
      </c>
      <c r="G15" s="68">
        <v>5</v>
      </c>
      <c r="H15" s="68" t="s">
        <v>100</v>
      </c>
      <c r="I15" s="68" t="s">
        <v>129</v>
      </c>
      <c r="J15" s="69"/>
      <c r="K15" s="70">
        <v>45813</v>
      </c>
      <c r="L15" s="71">
        <v>35000</v>
      </c>
      <c r="M15" s="68" t="s">
        <v>123</v>
      </c>
      <c r="N15" s="68" t="s">
        <v>207</v>
      </c>
      <c r="O15" s="68" t="s">
        <v>108</v>
      </c>
      <c r="P15" s="72" t="s">
        <v>48</v>
      </c>
      <c r="Q15" s="69">
        <v>30003</v>
      </c>
      <c r="R15" s="68" t="s">
        <v>109</v>
      </c>
      <c r="S15" s="77" t="s">
        <v>156</v>
      </c>
      <c r="T15" s="73">
        <v>3017871556</v>
      </c>
      <c r="U15" s="68" t="s">
        <v>173</v>
      </c>
      <c r="V15" s="75" t="str">
        <f>IF(P15=CURSOS!$D$3,"DIPLOMADO EN ATENCION PRE-HOSPITALARIA",IF(P15=CURSOS!$D$4,"ACOMPAÑAMIENTO Y MANEJO DEL DUELO",IF(P15=CURSOS!$D$5,"ATENCION A VICTIMAS DE ATAQUE CON AGENTES QUIMICOS ",IF(P15=CURSOS!$D$6,"PRIMEROS AUXILIOS ",IF(P15=CURSOS!$D$7,"DIPLOMADO DE UNIDAD DE CUIDADOS INTENSIVOS (UCI)",IF(P15=CURSOS!$D$8,"MODELO DE ATENCION PARA EVENTOS EMERGENTES EN SALUD MENTAL (CODIGO VERDE)",IF(P15=CURSOS!$D$9,"HUMANIZACION EN EL SERVICIO DE LA SALUD Y BUENAS PRACTICAS EN PACIENTE ",IF(P15=CURSOS!$D$10,"CLINICA DE HERIDAS ",IF(P15=CURSOS!$D$11,"TOMA DE CITOLOGIA CERVICO VAGINAL ",IF(P15=CURSOS!$D$12,"SOPORTE CARDIOVASCULAR AVANZADO (ACLS) ",IF(P15=CURSOS!$D$13,"CAMILLERO ",IF(P15=CURSOS!$D$14,"TOMA DE MUESTRAS Y LABORATORIO ",IF(P15=CURSOS!$D$15,"SOPORTE VITAL BASICO (BLS)",IF(P15=CURSOS!$D$16,"ATENCION A VICTIMAS DE VIOLENCIA SEXUAL ",IF(P15=CURSOS!$D$17,"PROGRAMADO AMPLIADO DE INMUNIZACION (PAI - COVID 19)",IF(P15=CURSOS!$D$18,"ATENCION INTEGRAL EN ENFERMEDADES PREVALENTES EN PRIMERA INFANCIA (AIEPI)",IF(P15=CURSOS!$D$19,"ADMINISTRACION DE MEDICAMENTOS, INYECTOLOGIA  Y CANALIZACION ",IF(P15=CURSOS!$D$20,"OPERADOR DE VEHICULOS DE EMERGENCIA (OVE)",IF(P15=CURSOS!$D$21,"INSTITUCIONES AMIGAS DE LA MUJER Y LA INFANCIA (IAMI)",IF(P15=CURSOS!$D$22,"CUIDADO DEL DONANTE DE ORGANOS",IF(P15=CURSOS!$D$23,"ATENCION A VICTIMAS POR VIOLENCIA DE GENERO",IF(P15=CURSOS!$D$24,"IGUALDAD DE GENERO EN LA SALUD",IF(P15=CURSOS!$D$25,"BRIGADA DE EMERGENCIA",IF(P15=CURSOS!$D$26,"MANEJO DEL DOLOR Y CUIDADOS PALIATIVOS",IF(P15=CURSOS!$D$27,"TOMA DE MUESTRAS Y LABORATORIO POCT",IF(P15=CURSOS!$D$28,"IMPLANTE SUBDERMICO DE DISPOSITIVO INTRAUTERINO",IF(P15=CURSOS!$D$29,"SALUD MENTAL",IF(P15=CURSOS!$D$30,"PRIMEROS AUXILIOS PSICOLOGICOS",IF(P15=CURSOS!$D$31,"ATENCION A VICTIMAS POR CONFLICTO ARMADO",IF(P15=CURSOS!$D$32,"MANIPULACION DE ALIMENTOS Y BPM",IF(P15=CURSOS!$D$33,"ATENCION A PERSONAS CON DISCAPACIDAD",IF(P15=CURSOS!$D$34,"CUIDADO INTEGRAL DEL PACIENTE ADULTO",IF(P15=CURSOS!$D$35,"MANEJO DEFENSIVO",IF(P15=CURSOS!$D$36,"SOPORTE CARDIOVASCULAR AVANZADO NEONATAL",IF(P15=CURSOS!$D$37,"SEGURIDAD DEL PACIENTE",IF(P15=CURSOS!$D$38,"MANEJO DE RESIDUOS HOSPITALARIOS",IF(P15=CURSOS!$D$39,"ATENCION DE PACIENTE POR CONSUMO SUSTANCIAS PSICOACTIVAS Y ADICCIONES")))))))))))))))))))))))))))))))))))))</f>
        <v>INSTITUCIONES AMIGAS DE LA MUJER Y LA INFANCIA (IAMI)</v>
      </c>
      <c r="W15" s="75" t="str">
        <f t="shared" si="0"/>
        <v>Mario Fernando Benavides Rincones</v>
      </c>
      <c r="X15" s="75" t="str">
        <f t="shared" si="1"/>
        <v>Mario Fernando Benavides Rincones</v>
      </c>
      <c r="Y15" s="75" t="str">
        <f t="shared" si="2"/>
        <v>Mario Fernando Benavides Rincones-12752278-IAMI</v>
      </c>
    </row>
    <row r="16" spans="1:25" s="76" customFormat="1" x14ac:dyDescent="0.2">
      <c r="A16" s="67">
        <v>15</v>
      </c>
      <c r="B16" s="68">
        <v>12752278</v>
      </c>
      <c r="C16" s="68" t="s">
        <v>169</v>
      </c>
      <c r="D16" s="68" t="s">
        <v>170</v>
      </c>
      <c r="E16" s="68" t="s">
        <v>171</v>
      </c>
      <c r="F16" s="68" t="s">
        <v>172</v>
      </c>
      <c r="G16" s="68">
        <v>4</v>
      </c>
      <c r="H16" s="68" t="s">
        <v>100</v>
      </c>
      <c r="I16" s="68" t="s">
        <v>129</v>
      </c>
      <c r="J16" s="69" t="s">
        <v>148</v>
      </c>
      <c r="K16" s="70">
        <v>45813</v>
      </c>
      <c r="L16" s="71">
        <v>35000</v>
      </c>
      <c r="M16" s="68" t="s">
        <v>123</v>
      </c>
      <c r="N16" s="68" t="s">
        <v>207</v>
      </c>
      <c r="O16" s="68" t="s">
        <v>208</v>
      </c>
      <c r="P16" s="72" t="s">
        <v>44</v>
      </c>
      <c r="Q16" s="69">
        <v>30003</v>
      </c>
      <c r="R16" s="68" t="s">
        <v>109</v>
      </c>
      <c r="S16" s="77" t="s">
        <v>156</v>
      </c>
      <c r="T16" s="73">
        <v>3017871556</v>
      </c>
      <c r="U16" s="68" t="s">
        <v>173</v>
      </c>
      <c r="V16" s="75" t="str">
        <f>IF(P16=CURSOS!$D$3,"DIPLOMADO EN ATENCION PRE-HOSPITALARIA",IF(P16=CURSOS!$D$4,"ACOMPAÑAMIENTO Y MANEJO DEL DUELO",IF(P16=CURSOS!$D$5,"ATENCION A VICTIMAS DE ATAQUE CON AGENTES QUIMICOS ",IF(P16=CURSOS!$D$6,"PRIMEROS AUXILIOS ",IF(P16=CURSOS!$D$7,"DIPLOMADO DE UNIDAD DE CUIDADOS INTENSIVOS (UCI)",IF(P16=CURSOS!$D$8,"MODELO DE ATENCION PARA EVENTOS EMERGENTES EN SALUD MENTAL (CODIGO VERDE)",IF(P16=CURSOS!$D$9,"HUMANIZACION EN EL SERVICIO DE LA SALUD Y BUENAS PRACTICAS EN PACIENTE ",IF(P16=CURSOS!$D$10,"CLINICA DE HERIDAS ",IF(P16=CURSOS!$D$11,"TOMA DE CITOLOGIA CERVICO VAGINAL ",IF(P16=CURSOS!$D$12,"SOPORTE CARDIOVASCULAR AVANZADO (ACLS) ",IF(P16=CURSOS!$D$13,"CAMILLERO ",IF(P16=CURSOS!$D$14,"TOMA DE MUESTRAS Y LABORATORIO ",IF(P16=CURSOS!$D$15,"SOPORTE VITAL BASICO (BLS)",IF(P16=CURSOS!$D$16,"ATENCION A VICTIMAS DE VIOLENCIA SEXUAL ",IF(P16=CURSOS!$D$17,"PROGRAMADO AMPLIADO DE INMUNIZACION (PAI - COVID 19)",IF(P16=CURSOS!$D$18,"ATENCION INTEGRAL EN ENFERMEDADES PREVALENTES EN PRIMERA INFANCIA (AIEPI)",IF(P16=CURSOS!$D$19,"ADMINISTRACION DE MEDICAMENTOS, INYECTOLOGIA  Y CANALIZACION ",IF(P16=CURSOS!$D$20,"OPERADOR DE VEHICULOS DE EMERGENCIA (OVE)",IF(P16=CURSOS!$D$21,"INSTITUCIONES AMIGAS DE LA MUJER Y LA INFANCIA (IAMI)",IF(P16=CURSOS!$D$22,"CUIDADO DEL DONANTE DE ORGANOS",IF(P16=CURSOS!$D$23,"ATENCION A VICTIMAS POR VIOLENCIA DE GENERO",IF(P16=CURSOS!$D$24,"IGUALDAD DE GENERO EN LA SALUD",IF(P16=CURSOS!$D$25,"BRIGADA DE EMERGENCIA",IF(P16=CURSOS!$D$26,"MANEJO DEL DOLOR Y CUIDADOS PALIATIVOS",IF(P16=CURSOS!$D$27,"TOMA DE MUESTRAS Y LABORATORIO POCT",IF(P16=CURSOS!$D$28,"IMPLANTE SUBDERMICO DE DISPOSITIVO INTRAUTERINO",IF(P16=CURSOS!$D$29,"SALUD MENTAL",IF(P16=CURSOS!$D$30,"PRIMEROS AUXILIOS PSICOLOGICOS",IF(P16=CURSOS!$D$31,"ATENCION A VICTIMAS POR CONFLICTO ARMADO",IF(P16=CURSOS!$D$32,"MANIPULACION DE ALIMENTOS Y BPM",IF(P16=CURSOS!$D$33,"ATENCION A PERSONAS CON DISCAPACIDAD",IF(P16=CURSOS!$D$34,"CUIDADO INTEGRAL DEL PACIENTE ADULTO",IF(P16=CURSOS!$D$35,"MANEJO DEFENSIVO",IF(P16=CURSOS!$D$36,"SOPORTE CARDIOVASCULAR AVANZADO NEONATAL",IF(P16=CURSOS!$D$37,"SEGURIDAD DEL PACIENTE",IF(P16=CURSOS!$D$38,"MANEJO DE RESIDUOS HOSPITALARIOS",IF(P16=CURSOS!$D$39,"ATENCION DE PACIENTE POR CONSUMO SUSTANCIAS PSICOACTIVAS Y ADICCIONES")))))))))))))))))))))))))))))))))))))</f>
        <v>ATENCION INTEGRAL EN ENFERMEDADES PREVALENTES EN PRIMERA INFANCIA (AIEPI)</v>
      </c>
      <c r="W16" s="75" t="str">
        <f t="shared" si="0"/>
        <v>Mario Fernando Benavides Rincones</v>
      </c>
      <c r="X16" s="75" t="str">
        <f t="shared" si="1"/>
        <v>Mario Fernando Benavides Rincones</v>
      </c>
      <c r="Y16" s="75" t="str">
        <f t="shared" si="2"/>
        <v>Mario Fernando Benavides Rincones-12752278-AIEPI</v>
      </c>
    </row>
    <row r="17" spans="1:25" s="76" customFormat="1" x14ac:dyDescent="0.2">
      <c r="A17" s="67">
        <v>16</v>
      </c>
      <c r="B17" s="68">
        <v>1085305306</v>
      </c>
      <c r="C17" s="68" t="s">
        <v>174</v>
      </c>
      <c r="D17" s="68" t="s">
        <v>175</v>
      </c>
      <c r="E17" s="68" t="s">
        <v>176</v>
      </c>
      <c r="F17" s="68" t="s">
        <v>115</v>
      </c>
      <c r="G17" s="68">
        <v>5</v>
      </c>
      <c r="H17" s="68" t="s">
        <v>100</v>
      </c>
      <c r="I17" s="68" t="s">
        <v>129</v>
      </c>
      <c r="J17" s="69" t="s">
        <v>148</v>
      </c>
      <c r="K17" s="70">
        <v>45813</v>
      </c>
      <c r="L17" s="71">
        <v>37500</v>
      </c>
      <c r="M17" s="68" t="s">
        <v>177</v>
      </c>
      <c r="N17" s="68" t="s">
        <v>140</v>
      </c>
      <c r="O17" s="68" t="s">
        <v>208</v>
      </c>
      <c r="P17" s="72" t="s">
        <v>48</v>
      </c>
      <c r="Q17" s="69">
        <v>34045</v>
      </c>
      <c r="R17" s="68" t="s">
        <v>109</v>
      </c>
      <c r="S17" s="77" t="s">
        <v>156</v>
      </c>
      <c r="T17" s="73">
        <v>3143376075</v>
      </c>
      <c r="U17" s="73" t="s">
        <v>178</v>
      </c>
      <c r="V17" s="75" t="str">
        <f>IF(P17=CURSOS!$D$3,"DIPLOMADO EN ATENCION PRE-HOSPITALARIA",IF(P17=CURSOS!$D$4,"ACOMPAÑAMIENTO Y MANEJO DEL DUELO",IF(P17=CURSOS!$D$5,"ATENCION A VICTIMAS DE ATAQUE CON AGENTES QUIMICOS ",IF(P17=CURSOS!$D$6,"PRIMEROS AUXILIOS ",IF(P17=CURSOS!$D$7,"DIPLOMADO DE UNIDAD DE CUIDADOS INTENSIVOS (UCI)",IF(P17=CURSOS!$D$8,"MODELO DE ATENCION PARA EVENTOS EMERGENTES EN SALUD MENTAL (CODIGO VERDE)",IF(P17=CURSOS!$D$9,"HUMANIZACION EN EL SERVICIO DE LA SALUD Y BUENAS PRACTICAS EN PACIENTE ",IF(P17=CURSOS!$D$10,"CLINICA DE HERIDAS ",IF(P17=CURSOS!$D$11,"TOMA DE CITOLOGIA CERVICO VAGINAL ",IF(P17=CURSOS!$D$12,"SOPORTE CARDIOVASCULAR AVANZADO (ACLS) ",IF(P17=CURSOS!$D$13,"CAMILLERO ",IF(P17=CURSOS!$D$14,"TOMA DE MUESTRAS Y LABORATORIO ",IF(P17=CURSOS!$D$15,"SOPORTE VITAL BASICO (BLS)",IF(P17=CURSOS!$D$16,"ATENCION A VICTIMAS DE VIOLENCIA SEXUAL ",IF(P17=CURSOS!$D$17,"PROGRAMADO AMPLIADO DE INMUNIZACION (PAI - COVID 19)",IF(P17=CURSOS!$D$18,"ATENCION INTEGRAL EN ENFERMEDADES PREVALENTES EN PRIMERA INFANCIA (AIEPI)",IF(P17=CURSOS!$D$19,"ADMINISTRACION DE MEDICAMENTOS, INYECTOLOGIA  Y CANALIZACION ",IF(P17=CURSOS!$D$20,"OPERADOR DE VEHICULOS DE EMERGENCIA (OVE)",IF(P17=CURSOS!$D$21,"INSTITUCIONES AMIGAS DE LA MUJER Y LA INFANCIA (IAMI)",IF(P17=CURSOS!$D$22,"CUIDADO DEL DONANTE DE ORGANOS",IF(P17=CURSOS!$D$23,"ATENCION A VICTIMAS POR VIOLENCIA DE GENERO",IF(P17=CURSOS!$D$24,"IGUALDAD DE GENERO EN LA SALUD",IF(P17=CURSOS!$D$25,"BRIGADA DE EMERGENCIA",IF(P17=CURSOS!$D$26,"MANEJO DEL DOLOR Y CUIDADOS PALIATIVOS",IF(P17=CURSOS!$D$27,"TOMA DE MUESTRAS Y LABORATORIO POCT",IF(P17=CURSOS!$D$28,"IMPLANTE SUBDERMICO DE DISPOSITIVO INTRAUTERINO",IF(P17=CURSOS!$D$29,"SALUD MENTAL",IF(P17=CURSOS!$D$30,"PRIMEROS AUXILIOS PSICOLOGICOS",IF(P17=CURSOS!$D$31,"ATENCION A VICTIMAS POR CONFLICTO ARMADO",IF(P17=CURSOS!$D$32,"MANIPULACION DE ALIMENTOS Y BPM",IF(P17=CURSOS!$D$33,"ATENCION A PERSONAS CON DISCAPACIDAD",IF(P17=CURSOS!$D$34,"CUIDADO INTEGRAL DEL PACIENTE ADULTO",IF(P17=CURSOS!$D$35,"MANEJO DEFENSIVO",IF(P17=CURSOS!$D$36,"SOPORTE CARDIOVASCULAR AVANZADO NEONATAL",IF(P17=CURSOS!$D$37,"SEGURIDAD DEL PACIENTE",IF(P17=CURSOS!$D$38,"MANEJO DE RESIDUOS HOSPITALARIOS",IF(P17=CURSOS!$D$39,"ATENCION DE PACIENTE POR CONSUMO SUSTANCIAS PSICOACTIVAS Y ADICCIONES")))))))))))))))))))))))))))))))))))))</f>
        <v>INSTITUCIONES AMIGAS DE LA MUJER Y LA INFANCIA (IAMI)</v>
      </c>
      <c r="W17" s="75" t="str">
        <f t="shared" si="0"/>
        <v>Daissy Fernanda Diaz Bastidas</v>
      </c>
      <c r="X17" s="75" t="str">
        <f t="shared" si="1"/>
        <v>Daissy Fernanda Diaz Bastidas</v>
      </c>
      <c r="Y17" s="75" t="str">
        <f t="shared" si="2"/>
        <v>Daissy Fernanda Diaz Bastidas-1085305306-IAMI</v>
      </c>
    </row>
    <row r="18" spans="1:25" s="76" customFormat="1" x14ac:dyDescent="0.2">
      <c r="A18" s="67">
        <v>17</v>
      </c>
      <c r="B18" s="68">
        <v>1085305306</v>
      </c>
      <c r="C18" s="68" t="s">
        <v>174</v>
      </c>
      <c r="D18" s="68" t="s">
        <v>175</v>
      </c>
      <c r="E18" s="68" t="s">
        <v>176</v>
      </c>
      <c r="F18" s="68" t="s">
        <v>115</v>
      </c>
      <c r="G18" s="68">
        <v>5</v>
      </c>
      <c r="H18" s="68" t="s">
        <v>100</v>
      </c>
      <c r="I18" s="68" t="s">
        <v>129</v>
      </c>
      <c r="J18" s="69" t="s">
        <v>148</v>
      </c>
      <c r="K18" s="70">
        <v>45813</v>
      </c>
      <c r="L18" s="71">
        <v>37500</v>
      </c>
      <c r="M18" s="68" t="s">
        <v>177</v>
      </c>
      <c r="N18" s="68" t="s">
        <v>140</v>
      </c>
      <c r="O18" s="68" t="s">
        <v>208</v>
      </c>
      <c r="P18" s="72" t="s">
        <v>44</v>
      </c>
      <c r="Q18" s="69">
        <v>34045</v>
      </c>
      <c r="R18" s="68" t="s">
        <v>109</v>
      </c>
      <c r="S18" s="77" t="s">
        <v>156</v>
      </c>
      <c r="T18" s="73">
        <v>3143376075</v>
      </c>
      <c r="U18" s="73" t="s">
        <v>178</v>
      </c>
      <c r="V18" s="75" t="str">
        <f>IF(P18=CURSOS!$D$3,"DIPLOMADO EN ATENCION PRE-HOSPITALARIA",IF(P18=CURSOS!$D$4,"ACOMPAÑAMIENTO Y MANEJO DEL DUELO",IF(P18=CURSOS!$D$5,"ATENCION A VICTIMAS DE ATAQUE CON AGENTES QUIMICOS ",IF(P18=CURSOS!$D$6,"PRIMEROS AUXILIOS ",IF(P18=CURSOS!$D$7,"DIPLOMADO DE UNIDAD DE CUIDADOS INTENSIVOS (UCI)",IF(P18=CURSOS!$D$8,"MODELO DE ATENCION PARA EVENTOS EMERGENTES EN SALUD MENTAL (CODIGO VERDE)",IF(P18=CURSOS!$D$9,"HUMANIZACION EN EL SERVICIO DE LA SALUD Y BUENAS PRACTICAS EN PACIENTE ",IF(P18=CURSOS!$D$10,"CLINICA DE HERIDAS ",IF(P18=CURSOS!$D$11,"TOMA DE CITOLOGIA CERVICO VAGINAL ",IF(P18=CURSOS!$D$12,"SOPORTE CARDIOVASCULAR AVANZADO (ACLS) ",IF(P18=CURSOS!$D$13,"CAMILLERO ",IF(P18=CURSOS!$D$14,"TOMA DE MUESTRAS Y LABORATORIO ",IF(P18=CURSOS!$D$15,"SOPORTE VITAL BASICO (BLS)",IF(P18=CURSOS!$D$16,"ATENCION A VICTIMAS DE VIOLENCIA SEXUAL ",IF(P18=CURSOS!$D$17,"PROGRAMADO AMPLIADO DE INMUNIZACION (PAI - COVID 19)",IF(P18=CURSOS!$D$18,"ATENCION INTEGRAL EN ENFERMEDADES PREVALENTES EN PRIMERA INFANCIA (AIEPI)",IF(P18=CURSOS!$D$19,"ADMINISTRACION DE MEDICAMENTOS, INYECTOLOGIA  Y CANALIZACION ",IF(P18=CURSOS!$D$20,"OPERADOR DE VEHICULOS DE EMERGENCIA (OVE)",IF(P18=CURSOS!$D$21,"INSTITUCIONES AMIGAS DE LA MUJER Y LA INFANCIA (IAMI)",IF(P18=CURSOS!$D$22,"CUIDADO DEL DONANTE DE ORGANOS",IF(P18=CURSOS!$D$23,"ATENCION A VICTIMAS POR VIOLENCIA DE GENERO",IF(P18=CURSOS!$D$24,"IGUALDAD DE GENERO EN LA SALUD",IF(P18=CURSOS!$D$25,"BRIGADA DE EMERGENCIA",IF(P18=CURSOS!$D$26,"MANEJO DEL DOLOR Y CUIDADOS PALIATIVOS",IF(P18=CURSOS!$D$27,"TOMA DE MUESTRAS Y LABORATORIO POCT",IF(P18=CURSOS!$D$28,"IMPLANTE SUBDERMICO DE DISPOSITIVO INTRAUTERINO",IF(P18=CURSOS!$D$29,"SALUD MENTAL",IF(P18=CURSOS!$D$30,"PRIMEROS AUXILIOS PSICOLOGICOS",IF(P18=CURSOS!$D$31,"ATENCION A VICTIMAS POR CONFLICTO ARMADO",IF(P18=CURSOS!$D$32,"MANIPULACION DE ALIMENTOS Y BPM",IF(P18=CURSOS!$D$33,"ATENCION A PERSONAS CON DISCAPACIDAD",IF(P18=CURSOS!$D$34,"CUIDADO INTEGRAL DEL PACIENTE ADULTO",IF(P18=CURSOS!$D$35,"MANEJO DEFENSIVO",IF(P18=CURSOS!$D$36,"SOPORTE CARDIOVASCULAR AVANZADO NEONATAL",IF(P18=CURSOS!$D$37,"SEGURIDAD DEL PACIENTE",IF(P18=CURSOS!$D$38,"MANEJO DE RESIDUOS HOSPITALARIOS",IF(P18=CURSOS!$D$39,"ATENCION DE PACIENTE POR CONSUMO SUSTANCIAS PSICOACTIVAS Y ADICCIONES")))))))))))))))))))))))))))))))))))))</f>
        <v>ATENCION INTEGRAL EN ENFERMEDADES PREVALENTES EN PRIMERA INFANCIA (AIEPI)</v>
      </c>
      <c r="W18" s="75" t="str">
        <f t="shared" si="0"/>
        <v>Daissy Fernanda Diaz Bastidas</v>
      </c>
      <c r="X18" s="75" t="str">
        <f t="shared" si="1"/>
        <v>Daissy Fernanda Diaz Bastidas</v>
      </c>
      <c r="Y18" s="75" t="str">
        <f t="shared" si="2"/>
        <v>Daissy Fernanda Diaz Bastidas-1085305306-AIEPI</v>
      </c>
    </row>
    <row r="19" spans="1:25" s="76" customFormat="1" x14ac:dyDescent="0.2">
      <c r="A19" s="67">
        <v>18</v>
      </c>
      <c r="B19" s="68">
        <v>1087418167</v>
      </c>
      <c r="C19" s="68" t="s">
        <v>179</v>
      </c>
      <c r="D19" s="68" t="s">
        <v>180</v>
      </c>
      <c r="E19" s="68" t="s">
        <v>181</v>
      </c>
      <c r="F19" s="68" t="s">
        <v>182</v>
      </c>
      <c r="G19" s="68">
        <v>6</v>
      </c>
      <c r="H19" s="68" t="s">
        <v>100</v>
      </c>
      <c r="I19" s="68" t="s">
        <v>129</v>
      </c>
      <c r="J19" s="69" t="s">
        <v>124</v>
      </c>
      <c r="K19" s="70">
        <v>45814</v>
      </c>
      <c r="L19" s="71">
        <v>30000</v>
      </c>
      <c r="M19" s="68" t="s">
        <v>123</v>
      </c>
      <c r="N19" s="68" t="s">
        <v>207</v>
      </c>
      <c r="O19" s="68" t="s">
        <v>108</v>
      </c>
      <c r="P19" s="72" t="s">
        <v>32</v>
      </c>
      <c r="Q19" s="69">
        <v>33876</v>
      </c>
      <c r="R19" s="68" t="s">
        <v>109</v>
      </c>
      <c r="S19" s="68" t="s">
        <v>130</v>
      </c>
      <c r="T19" s="73">
        <v>3178120337</v>
      </c>
      <c r="U19" s="73" t="s">
        <v>183</v>
      </c>
      <c r="V19" s="75" t="str">
        <f>IF(P19=CURSOS!$D$3,"DIPLOMADO EN ATENCION PRE-HOSPITALARIA",IF(P19=CURSOS!$D$4,"ACOMPAÑAMIENTO Y MANEJO DEL DUELO",IF(P19=CURSOS!$D$5,"ATENCION A VICTIMAS DE ATAQUE CON AGENTES QUIMICOS ",IF(P19=CURSOS!$D$6,"PRIMEROS AUXILIOS ",IF(P19=CURSOS!$D$7,"DIPLOMADO DE UNIDAD DE CUIDADOS INTENSIVOS (UCI)",IF(P19=CURSOS!$D$8,"MODELO DE ATENCION PARA EVENTOS EMERGENTES EN SALUD MENTAL (CODIGO VERDE)",IF(P19=CURSOS!$D$9,"HUMANIZACION EN EL SERVICIO DE LA SALUD Y BUENAS PRACTICAS EN PACIENTE ",IF(P19=CURSOS!$D$10,"CLINICA DE HERIDAS ",IF(P19=CURSOS!$D$11,"TOMA DE CITOLOGIA CERVICO VAGINAL ",IF(P19=CURSOS!$D$12,"SOPORTE CARDIOVASCULAR AVANZADO (ACLS) ",IF(P19=CURSOS!$D$13,"CAMILLERO ",IF(P19=CURSOS!$D$14,"TOMA DE MUESTRAS Y LABORATORIO ",IF(P19=CURSOS!$D$15,"SOPORTE VITAL BASICO (BLS)",IF(P19=CURSOS!$D$16,"ATENCION A VICTIMAS DE VIOLENCIA SEXUAL ",IF(P19=CURSOS!$D$17,"PROGRAMADO AMPLIADO DE INMUNIZACION (PAI - COVID 19)",IF(P19=CURSOS!$D$18,"ATENCION INTEGRAL EN ENFERMEDADES PREVALENTES EN PRIMERA INFANCIA (AIEPI)",IF(P19=CURSOS!$D$19,"ADMINISTRACION DE MEDICAMENTOS, INYECTOLOGIA  Y CANALIZACION ",IF(P19=CURSOS!$D$20,"OPERADOR DE VEHICULOS DE EMERGENCIA (OVE)",IF(P19=CURSOS!$D$21,"INSTITUCIONES AMIGAS DE LA MUJER Y LA INFANCIA (IAMI)",IF(P19=CURSOS!$D$22,"CUIDADO DEL DONANTE DE ORGANOS",IF(P19=CURSOS!$D$23,"ATENCION A VICTIMAS POR VIOLENCIA DE GENERO",IF(P19=CURSOS!$D$24,"IGUALDAD DE GENERO EN LA SALUD",IF(P19=CURSOS!$D$25,"BRIGADA DE EMERGENCIA",IF(P19=CURSOS!$D$26,"MANEJO DEL DOLOR Y CUIDADOS PALIATIVOS",IF(P19=CURSOS!$D$27,"TOMA DE MUESTRAS Y LABORATORIO POCT",IF(P19=CURSOS!$D$28,"IMPLANTE SUBDERMICO DE DISPOSITIVO INTRAUTERINO",IF(P19=CURSOS!$D$29,"SALUD MENTAL",IF(P19=CURSOS!$D$30,"PRIMEROS AUXILIOS PSICOLOGICOS",IF(P19=CURSOS!$D$31,"ATENCION A VICTIMAS POR CONFLICTO ARMADO",IF(P19=CURSOS!$D$32,"MANIPULACION DE ALIMENTOS Y BPM",IF(P19=CURSOS!$D$33,"ATENCION A PERSONAS CON DISCAPACIDAD",IF(P19=CURSOS!$D$34,"CUIDADO INTEGRAL DEL PACIENTE ADULTO",IF(P19=CURSOS!$D$35,"MANEJO DEFENSIVO",IF(P19=CURSOS!$D$36,"SOPORTE CARDIOVASCULAR AVANZADO NEONATAL",IF(P19=CURSOS!$D$37,"SEGURIDAD DEL PACIENTE",IF(P19=CURSOS!$D$38,"MANEJO DE RESIDUOS HOSPITALARIOS",IF(P19=CURSOS!$D$39,"ATENCION DE PACIENTE POR CONSUMO SUSTANCIAS PSICOACTIVAS Y ADICCIONES")))))))))))))))))))))))))))))))))))))</f>
        <v xml:space="preserve">HUMANIZACION EN EL SERVICIO DE LA SALUD Y BUENAS PRACTICAS EN PACIENTE </v>
      </c>
      <c r="W19" s="75" t="str">
        <f t="shared" si="0"/>
        <v>Paola Lorena Mora Tequin</v>
      </c>
      <c r="X19" s="75" t="str">
        <f t="shared" si="1"/>
        <v>Paola Lorena Mora Tequin</v>
      </c>
      <c r="Y19" s="75" t="str">
        <f t="shared" si="2"/>
        <v>Paola Lorena Mora Tequin-1087418167-HUMANIZACION</v>
      </c>
    </row>
    <row r="20" spans="1:25" s="76" customFormat="1" x14ac:dyDescent="0.2">
      <c r="A20" s="67">
        <v>19</v>
      </c>
      <c r="B20" s="68">
        <v>1087418167</v>
      </c>
      <c r="C20" s="68" t="s">
        <v>179</v>
      </c>
      <c r="D20" s="68" t="s">
        <v>180</v>
      </c>
      <c r="E20" s="68" t="s">
        <v>181</v>
      </c>
      <c r="F20" s="68" t="s">
        <v>182</v>
      </c>
      <c r="G20" s="68">
        <v>5</v>
      </c>
      <c r="H20" s="68" t="s">
        <v>100</v>
      </c>
      <c r="I20" s="68" t="s">
        <v>129</v>
      </c>
      <c r="J20" s="69" t="s">
        <v>124</v>
      </c>
      <c r="K20" s="70">
        <v>45814</v>
      </c>
      <c r="L20" s="71">
        <v>30000</v>
      </c>
      <c r="M20" s="68" t="s">
        <v>123</v>
      </c>
      <c r="N20" s="68" t="s">
        <v>207</v>
      </c>
      <c r="O20" s="68" t="s">
        <v>108</v>
      </c>
      <c r="P20" s="72" t="s">
        <v>23</v>
      </c>
      <c r="Q20" s="69">
        <v>33876</v>
      </c>
      <c r="R20" s="68" t="s">
        <v>109</v>
      </c>
      <c r="S20" s="68" t="s">
        <v>130</v>
      </c>
      <c r="T20" s="73">
        <v>3178120337</v>
      </c>
      <c r="U20" s="73" t="s">
        <v>183</v>
      </c>
      <c r="V20" s="75" t="str">
        <f>IF(P20=CURSOS!$D$3,"DIPLOMADO EN ATENCION PRE-HOSPITALARIA",IF(P20=CURSOS!$D$4,"ACOMPAÑAMIENTO Y MANEJO DEL DUELO",IF(P20=CURSOS!$D$5,"ATENCION A VICTIMAS DE ATAQUE CON AGENTES QUIMICOS ",IF(P20=CURSOS!$D$6,"PRIMEROS AUXILIOS ",IF(P20=CURSOS!$D$7,"DIPLOMADO DE UNIDAD DE CUIDADOS INTENSIVOS (UCI)",IF(P20=CURSOS!$D$8,"MODELO DE ATENCION PARA EVENTOS EMERGENTES EN SALUD MENTAL (CODIGO VERDE)",IF(P20=CURSOS!$D$9,"HUMANIZACION EN EL SERVICIO DE LA SALUD Y BUENAS PRACTICAS EN PACIENTE ",IF(P20=CURSOS!$D$10,"CLINICA DE HERIDAS ",IF(P20=CURSOS!$D$11,"TOMA DE CITOLOGIA CERVICO VAGINAL ",IF(P20=CURSOS!$D$12,"SOPORTE CARDIOVASCULAR AVANZADO (ACLS) ",IF(P20=CURSOS!$D$13,"CAMILLERO ",IF(P20=CURSOS!$D$14,"TOMA DE MUESTRAS Y LABORATORIO ",IF(P20=CURSOS!$D$15,"SOPORTE VITAL BASICO (BLS)",IF(P20=CURSOS!$D$16,"ATENCION A VICTIMAS DE VIOLENCIA SEXUAL ",IF(P20=CURSOS!$D$17,"PROGRAMADO AMPLIADO DE INMUNIZACION (PAI - COVID 19)",IF(P20=CURSOS!$D$18,"ATENCION INTEGRAL EN ENFERMEDADES PREVALENTES EN PRIMERA INFANCIA (AIEPI)",IF(P20=CURSOS!$D$19,"ADMINISTRACION DE MEDICAMENTOS, INYECTOLOGIA  Y CANALIZACION ",IF(P20=CURSOS!$D$20,"OPERADOR DE VEHICULOS DE EMERGENCIA (OVE)",IF(P20=CURSOS!$D$21,"INSTITUCIONES AMIGAS DE LA MUJER Y LA INFANCIA (IAMI)",IF(P20=CURSOS!$D$22,"CUIDADO DEL DONANTE DE ORGANOS",IF(P20=CURSOS!$D$23,"ATENCION A VICTIMAS POR VIOLENCIA DE GENERO",IF(P20=CURSOS!$D$24,"IGUALDAD DE GENERO EN LA SALUD",IF(P20=CURSOS!$D$25,"BRIGADA DE EMERGENCIA",IF(P20=CURSOS!$D$26,"MANEJO DEL DOLOR Y CUIDADOS PALIATIVOS",IF(P20=CURSOS!$D$27,"TOMA DE MUESTRAS Y LABORATORIO POCT",IF(P20=CURSOS!$D$28,"IMPLANTE SUBDERMICO DE DISPOSITIVO INTRAUTERINO",IF(P20=CURSOS!$D$29,"SALUD MENTAL",IF(P20=CURSOS!$D$30,"PRIMEROS AUXILIOS PSICOLOGICOS",IF(P20=CURSOS!$D$31,"ATENCION A VICTIMAS POR CONFLICTO ARMADO",IF(P20=CURSOS!$D$32,"MANIPULACION DE ALIMENTOS Y BPM",IF(P20=CURSOS!$D$33,"ATENCION A PERSONAS CON DISCAPACIDAD",IF(P20=CURSOS!$D$34,"CUIDADO INTEGRAL DEL PACIENTE ADULTO",IF(P20=CURSOS!$D$35,"MANEJO DEFENSIVO",IF(P20=CURSOS!$D$36,"SOPORTE CARDIOVASCULAR AVANZADO NEONATAL",IF(P20=CURSOS!$D$37,"SEGURIDAD DEL PACIENTE",IF(P20=CURSOS!$D$38,"MANEJO DE RESIDUOS HOSPITALARIOS",IF(P20=CURSOS!$D$39,"ATENCION DE PACIENTE POR CONSUMO SUSTANCIAS PSICOACTIVAS Y ADICCIONES")))))))))))))))))))))))))))))))))))))</f>
        <v>ACOMPAÑAMIENTO Y MANEJO DEL DUELO</v>
      </c>
      <c r="W20" s="75" t="str">
        <f t="shared" si="0"/>
        <v>Paola Lorena Mora Tequin</v>
      </c>
      <c r="X20" s="75" t="str">
        <f t="shared" si="1"/>
        <v>Paola Lorena Mora Tequin</v>
      </c>
      <c r="Y20" s="75" t="str">
        <f t="shared" si="2"/>
        <v>Paola Lorena Mora Tequin-1087418167-DUELO</v>
      </c>
    </row>
    <row r="21" spans="1:25" s="76" customFormat="1" x14ac:dyDescent="0.2">
      <c r="A21" s="67">
        <v>20</v>
      </c>
      <c r="B21" s="68">
        <v>1087418167</v>
      </c>
      <c r="C21" s="68" t="s">
        <v>179</v>
      </c>
      <c r="D21" s="68" t="s">
        <v>180</v>
      </c>
      <c r="E21" s="68" t="s">
        <v>181</v>
      </c>
      <c r="F21" s="68" t="s">
        <v>182</v>
      </c>
      <c r="G21" s="68">
        <v>4</v>
      </c>
      <c r="H21" s="68" t="s">
        <v>100</v>
      </c>
      <c r="I21" s="68" t="s">
        <v>129</v>
      </c>
      <c r="J21" s="69" t="s">
        <v>124</v>
      </c>
      <c r="K21" s="70">
        <v>45814</v>
      </c>
      <c r="L21" s="71">
        <v>30000</v>
      </c>
      <c r="M21" s="68" t="s">
        <v>123</v>
      </c>
      <c r="N21" s="68" t="s">
        <v>207</v>
      </c>
      <c r="O21" s="68" t="s">
        <v>108</v>
      </c>
      <c r="P21" s="72" t="s">
        <v>25</v>
      </c>
      <c r="Q21" s="69">
        <v>33876</v>
      </c>
      <c r="R21" s="68" t="s">
        <v>109</v>
      </c>
      <c r="S21" s="68" t="s">
        <v>130</v>
      </c>
      <c r="T21" s="73">
        <v>3178120337</v>
      </c>
      <c r="U21" s="73" t="s">
        <v>183</v>
      </c>
      <c r="V21" s="75" t="str">
        <f>IF(P21=CURSOS!$D$3,"DIPLOMADO EN ATENCION PRE-HOSPITALARIA",IF(P21=CURSOS!$D$4,"ACOMPAÑAMIENTO Y MANEJO DEL DUELO",IF(P21=CURSOS!$D$5,"ATENCION A VICTIMAS DE ATAQUE CON AGENTES QUIMICOS ",IF(P21=CURSOS!$D$6,"PRIMEROS AUXILIOS ",IF(P21=CURSOS!$D$7,"DIPLOMADO DE UNIDAD DE CUIDADOS INTENSIVOS (UCI)",IF(P21=CURSOS!$D$8,"MODELO DE ATENCION PARA EVENTOS EMERGENTES EN SALUD MENTAL (CODIGO VERDE)",IF(P21=CURSOS!$D$9,"HUMANIZACION EN EL SERVICIO DE LA SALUD Y BUENAS PRACTICAS EN PACIENTE ",IF(P21=CURSOS!$D$10,"CLINICA DE HERIDAS ",IF(P21=CURSOS!$D$11,"TOMA DE CITOLOGIA CERVICO VAGINAL ",IF(P21=CURSOS!$D$12,"SOPORTE CARDIOVASCULAR AVANZADO (ACLS) ",IF(P21=CURSOS!$D$13,"CAMILLERO ",IF(P21=CURSOS!$D$14,"TOMA DE MUESTRAS Y LABORATORIO ",IF(P21=CURSOS!$D$15,"SOPORTE VITAL BASICO (BLS)",IF(P21=CURSOS!$D$16,"ATENCION A VICTIMAS DE VIOLENCIA SEXUAL ",IF(P21=CURSOS!$D$17,"PROGRAMADO AMPLIADO DE INMUNIZACION (PAI - COVID 19)",IF(P21=CURSOS!$D$18,"ATENCION INTEGRAL EN ENFERMEDADES PREVALENTES EN PRIMERA INFANCIA (AIEPI)",IF(P21=CURSOS!$D$19,"ADMINISTRACION DE MEDICAMENTOS, INYECTOLOGIA  Y CANALIZACION ",IF(P21=CURSOS!$D$20,"OPERADOR DE VEHICULOS DE EMERGENCIA (OVE)",IF(P21=CURSOS!$D$21,"INSTITUCIONES AMIGAS DE LA MUJER Y LA INFANCIA (IAMI)",IF(P21=CURSOS!$D$22,"CUIDADO DEL DONANTE DE ORGANOS",IF(P21=CURSOS!$D$23,"ATENCION A VICTIMAS POR VIOLENCIA DE GENERO",IF(P21=CURSOS!$D$24,"IGUALDAD DE GENERO EN LA SALUD",IF(P21=CURSOS!$D$25,"BRIGADA DE EMERGENCIA",IF(P21=CURSOS!$D$26,"MANEJO DEL DOLOR Y CUIDADOS PALIATIVOS",IF(P21=CURSOS!$D$27,"TOMA DE MUESTRAS Y LABORATORIO POCT",IF(P21=CURSOS!$D$28,"IMPLANTE SUBDERMICO DE DISPOSITIVO INTRAUTERINO",IF(P21=CURSOS!$D$29,"SALUD MENTAL",IF(P21=CURSOS!$D$30,"PRIMEROS AUXILIOS PSICOLOGICOS",IF(P21=CURSOS!$D$31,"ATENCION A VICTIMAS POR CONFLICTO ARMADO",IF(P21=CURSOS!$D$32,"MANIPULACION DE ALIMENTOS Y BPM",IF(P21=CURSOS!$D$33,"ATENCION A PERSONAS CON DISCAPACIDAD",IF(P21=CURSOS!$D$34,"CUIDADO INTEGRAL DEL PACIENTE ADULTO",IF(P21=CURSOS!$D$35,"MANEJO DEFENSIVO",IF(P21=CURSOS!$D$36,"SOPORTE CARDIOVASCULAR AVANZADO NEONATAL",IF(P21=CURSOS!$D$37,"SEGURIDAD DEL PACIENTE",IF(P21=CURSOS!$D$38,"MANEJO DE RESIDUOS HOSPITALARIOS",IF(P21=CURSOS!$D$39,"ATENCION DE PACIENTE POR CONSUMO SUSTANCIAS PSICOACTIVAS Y ADICCIONES")))))))))))))))))))))))))))))))))))))</f>
        <v xml:space="preserve">ATENCION A VICTIMAS DE ATAQUE CON AGENTES QUIMICOS </v>
      </c>
      <c r="W21" s="75" t="str">
        <f t="shared" si="0"/>
        <v>Paola Lorena Mora Tequin</v>
      </c>
      <c r="X21" s="75" t="str">
        <f t="shared" si="1"/>
        <v>Paola Lorena Mora Tequin</v>
      </c>
      <c r="Y21" s="75" t="str">
        <f t="shared" si="2"/>
        <v>Paola Lorena Mora Tequin-1087418167-QUIMICOS</v>
      </c>
    </row>
    <row r="22" spans="1:25" s="76" customFormat="1" x14ac:dyDescent="0.2">
      <c r="A22" s="67">
        <v>21</v>
      </c>
      <c r="B22" s="68">
        <v>1087418167</v>
      </c>
      <c r="C22" s="68" t="s">
        <v>179</v>
      </c>
      <c r="D22" s="68" t="s">
        <v>180</v>
      </c>
      <c r="E22" s="68" t="s">
        <v>181</v>
      </c>
      <c r="F22" s="68" t="s">
        <v>182</v>
      </c>
      <c r="G22" s="68">
        <v>3</v>
      </c>
      <c r="H22" s="68" t="s">
        <v>100</v>
      </c>
      <c r="I22" s="68" t="s">
        <v>129</v>
      </c>
      <c r="J22" s="69" t="s">
        <v>124</v>
      </c>
      <c r="K22" s="70">
        <v>45814</v>
      </c>
      <c r="L22" s="71">
        <v>30000</v>
      </c>
      <c r="M22" s="68" t="s">
        <v>123</v>
      </c>
      <c r="N22" s="68" t="s">
        <v>207</v>
      </c>
      <c r="O22" s="68" t="s">
        <v>108</v>
      </c>
      <c r="P22" s="72" t="s">
        <v>42</v>
      </c>
      <c r="Q22" s="69">
        <v>33876</v>
      </c>
      <c r="R22" s="68" t="s">
        <v>109</v>
      </c>
      <c r="S22" s="68" t="s">
        <v>130</v>
      </c>
      <c r="T22" s="73">
        <v>3178120337</v>
      </c>
      <c r="U22" s="73" t="s">
        <v>183</v>
      </c>
      <c r="V22" s="75" t="str">
        <f>IF(P22=CURSOS!$D$3,"DIPLOMADO EN ATENCION PRE-HOSPITALARIA",IF(P22=CURSOS!$D$4,"ACOMPAÑAMIENTO Y MANEJO DEL DUELO",IF(P22=CURSOS!$D$5,"ATENCION A VICTIMAS DE ATAQUE CON AGENTES QUIMICOS ",IF(P22=CURSOS!$D$6,"PRIMEROS AUXILIOS ",IF(P22=CURSOS!$D$7,"DIPLOMADO DE UNIDAD DE CUIDADOS INTENSIVOS (UCI)",IF(P22=CURSOS!$D$8,"MODELO DE ATENCION PARA EVENTOS EMERGENTES EN SALUD MENTAL (CODIGO VERDE)",IF(P22=CURSOS!$D$9,"HUMANIZACION EN EL SERVICIO DE LA SALUD Y BUENAS PRACTICAS EN PACIENTE ",IF(P22=CURSOS!$D$10,"CLINICA DE HERIDAS ",IF(P22=CURSOS!$D$11,"TOMA DE CITOLOGIA CERVICO VAGINAL ",IF(P22=CURSOS!$D$12,"SOPORTE CARDIOVASCULAR AVANZADO (ACLS) ",IF(P22=CURSOS!$D$13,"CAMILLERO ",IF(P22=CURSOS!$D$14,"TOMA DE MUESTRAS Y LABORATORIO ",IF(P22=CURSOS!$D$15,"SOPORTE VITAL BASICO (BLS)",IF(P22=CURSOS!$D$16,"ATENCION A VICTIMAS DE VIOLENCIA SEXUAL ",IF(P22=CURSOS!$D$17,"PROGRAMADO AMPLIADO DE INMUNIZACION (PAI - COVID 19)",IF(P22=CURSOS!$D$18,"ATENCION INTEGRAL EN ENFERMEDADES PREVALENTES EN PRIMERA INFANCIA (AIEPI)",IF(P22=CURSOS!$D$19,"ADMINISTRACION DE MEDICAMENTOS, INYECTOLOGIA  Y CANALIZACION ",IF(P22=CURSOS!$D$20,"OPERADOR DE VEHICULOS DE EMERGENCIA (OVE)",IF(P22=CURSOS!$D$21,"INSTITUCIONES AMIGAS DE LA MUJER Y LA INFANCIA (IAMI)",IF(P22=CURSOS!$D$22,"CUIDADO DEL DONANTE DE ORGANOS",IF(P22=CURSOS!$D$23,"ATENCION A VICTIMAS POR VIOLENCIA DE GENERO",IF(P22=CURSOS!$D$24,"IGUALDAD DE GENERO EN LA SALUD",IF(P22=CURSOS!$D$25,"BRIGADA DE EMERGENCIA",IF(P22=CURSOS!$D$26,"MANEJO DEL DOLOR Y CUIDADOS PALIATIVOS",IF(P22=CURSOS!$D$27,"TOMA DE MUESTRAS Y LABORATORIO POCT",IF(P22=CURSOS!$D$28,"IMPLANTE SUBDERMICO DE DISPOSITIVO INTRAUTERINO",IF(P22=CURSOS!$D$29,"SALUD MENTAL",IF(P22=CURSOS!$D$30,"PRIMEROS AUXILIOS PSICOLOGICOS",IF(P22=CURSOS!$D$31,"ATENCION A VICTIMAS POR CONFLICTO ARMADO",IF(P22=CURSOS!$D$32,"MANIPULACION DE ALIMENTOS Y BPM",IF(P22=CURSOS!$D$33,"ATENCION A PERSONAS CON DISCAPACIDAD",IF(P22=CURSOS!$D$34,"CUIDADO INTEGRAL DEL PACIENTE ADULTO",IF(P22=CURSOS!$D$35,"MANEJO DEFENSIVO",IF(P22=CURSOS!$D$36,"SOPORTE CARDIOVASCULAR AVANZADO NEONATAL",IF(P22=CURSOS!$D$37,"SEGURIDAD DEL PACIENTE",IF(P22=CURSOS!$D$38,"MANEJO DE RESIDUOS HOSPITALARIOS",IF(P22=CURSOS!$D$39,"ATENCION DE PACIENTE POR CONSUMO SUSTANCIAS PSICOACTIVAS Y ADICCIONES")))))))))))))))))))))))))))))))))))))</f>
        <v xml:space="preserve">ATENCION A VICTIMAS DE VIOLENCIA SEXUAL </v>
      </c>
      <c r="W22" s="75" t="str">
        <f t="shared" si="0"/>
        <v>Paola Lorena Mora Tequin</v>
      </c>
      <c r="X22" s="75" t="str">
        <f t="shared" si="1"/>
        <v>Paola Lorena Mora Tequin</v>
      </c>
      <c r="Y22" s="75" t="str">
        <f t="shared" si="2"/>
        <v>Paola Lorena Mora Tequin-1087418167-VIOLENCIA SEXUAL</v>
      </c>
    </row>
    <row r="23" spans="1:25" s="76" customFormat="1" x14ac:dyDescent="0.2">
      <c r="A23" s="67">
        <v>22</v>
      </c>
      <c r="B23" s="72">
        <v>1086359492</v>
      </c>
      <c r="C23" s="68" t="s">
        <v>184</v>
      </c>
      <c r="D23" s="68" t="s">
        <v>185</v>
      </c>
      <c r="E23" s="68" t="s">
        <v>186</v>
      </c>
      <c r="F23" s="68" t="s">
        <v>115</v>
      </c>
      <c r="G23" s="68">
        <v>6</v>
      </c>
      <c r="H23" s="68" t="s">
        <v>100</v>
      </c>
      <c r="I23" s="68" t="s">
        <v>129</v>
      </c>
      <c r="J23" s="69" t="s">
        <v>148</v>
      </c>
      <c r="K23" s="70">
        <v>45815</v>
      </c>
      <c r="L23" s="71">
        <v>100000</v>
      </c>
      <c r="M23" s="68" t="s">
        <v>123</v>
      </c>
      <c r="N23" s="68" t="s">
        <v>207</v>
      </c>
      <c r="O23" s="68" t="s">
        <v>187</v>
      </c>
      <c r="P23" s="72" t="s">
        <v>37</v>
      </c>
      <c r="Q23" s="69">
        <v>32287</v>
      </c>
      <c r="R23" s="68" t="s">
        <v>109</v>
      </c>
      <c r="S23" s="77" t="s">
        <v>188</v>
      </c>
      <c r="T23" s="72">
        <v>3127173548</v>
      </c>
      <c r="U23" s="68" t="s">
        <v>189</v>
      </c>
      <c r="V23" s="75" t="str">
        <f>IF(P23=CURSOS!$D$3,"DIPLOMADO EN ATENCION PRE-HOSPITALARIA",IF(P23=CURSOS!$D$4,"ACOMPAÑAMIENTO Y MANEJO DEL DUELO",IF(P23=CURSOS!$D$5,"ATENCION A VICTIMAS DE ATAQUE CON AGENTES QUIMICOS ",IF(P23=CURSOS!$D$6,"PRIMEROS AUXILIOS ",IF(P23=CURSOS!$D$7,"DIPLOMADO DE UNIDAD DE CUIDADOS INTENSIVOS (UCI)",IF(P23=CURSOS!$D$8,"MODELO DE ATENCION PARA EVENTOS EMERGENTES EN SALUD MENTAL (CODIGO VERDE)",IF(P23=CURSOS!$D$9,"HUMANIZACION EN EL SERVICIO DE LA SALUD Y BUENAS PRACTICAS EN PACIENTE ",IF(P23=CURSOS!$D$10,"CLINICA DE HERIDAS ",IF(P23=CURSOS!$D$11,"TOMA DE CITOLOGIA CERVICO VAGINAL ",IF(P23=CURSOS!$D$12,"SOPORTE CARDIOVASCULAR AVANZADO (ACLS) ",IF(P23=CURSOS!$D$13,"CAMILLERO ",IF(P23=CURSOS!$D$14,"TOMA DE MUESTRAS Y LABORATORIO ",IF(P23=CURSOS!$D$15,"SOPORTE VITAL BASICO (BLS)",IF(P23=CURSOS!$D$16,"ATENCION A VICTIMAS DE VIOLENCIA SEXUAL ",IF(P23=CURSOS!$D$17,"PROGRAMADO AMPLIADO DE INMUNIZACION (PAI - COVID 19)",IF(P23=CURSOS!$D$18,"ATENCION INTEGRAL EN ENFERMEDADES PREVALENTES EN PRIMERA INFANCIA (AIEPI)",IF(P23=CURSOS!$D$19,"ADMINISTRACION DE MEDICAMENTOS, INYECTOLOGIA  Y CANALIZACION ",IF(P23=CURSOS!$D$20,"OPERADOR DE VEHICULOS DE EMERGENCIA (OVE)",IF(P23=CURSOS!$D$21,"INSTITUCIONES AMIGAS DE LA MUJER Y LA INFANCIA (IAMI)",IF(P23=CURSOS!$D$22,"CUIDADO DEL DONANTE DE ORGANOS",IF(P23=CURSOS!$D$23,"ATENCION A VICTIMAS POR VIOLENCIA DE GENERO",IF(P23=CURSOS!$D$24,"IGUALDAD DE GENERO EN LA SALUD",IF(P23=CURSOS!$D$25,"BRIGADA DE EMERGENCIA",IF(P23=CURSOS!$D$26,"MANEJO DEL DOLOR Y CUIDADOS PALIATIVOS",IF(P23=CURSOS!$D$27,"TOMA DE MUESTRAS Y LABORATORIO POCT",IF(P23=CURSOS!$D$28,"IMPLANTE SUBDERMICO DE DISPOSITIVO INTRAUTERINO",IF(P23=CURSOS!$D$29,"SALUD MENTAL",IF(P23=CURSOS!$D$30,"PRIMEROS AUXILIOS PSICOLOGICOS",IF(P23=CURSOS!$D$31,"ATENCION A VICTIMAS POR CONFLICTO ARMADO",IF(P23=CURSOS!$D$32,"MANIPULACION DE ALIMENTOS Y BPM",IF(P23=CURSOS!$D$33,"ATENCION A PERSONAS CON DISCAPACIDAD",IF(P23=CURSOS!$D$34,"CUIDADO INTEGRAL DEL PACIENTE ADULTO",IF(P23=CURSOS!$D$35,"MANEJO DEFENSIVO",IF(P23=CURSOS!$D$36,"SOPORTE CARDIOVASCULAR AVANZADO NEONATAL",IF(P23=CURSOS!$D$37,"SEGURIDAD DEL PACIENTE",IF(P23=CURSOS!$D$38,"MANEJO DE RESIDUOS HOSPITALARIOS",IF(P23=CURSOS!$D$39,"ATENCION DE PACIENTE POR CONSUMO SUSTANCIAS PSICOACTIVAS Y ADICCIONES")))))))))))))))))))))))))))))))))))))</f>
        <v xml:space="preserve">SOPORTE CARDIOVASCULAR AVANZADO (ACLS) </v>
      </c>
      <c r="W23" s="75" t="str">
        <f t="shared" si="0"/>
        <v>Maria Fernanda Zamora Apraez</v>
      </c>
      <c r="X23" s="75" t="str">
        <f t="shared" si="1"/>
        <v>Maria Fernanda Zamora Apraez</v>
      </c>
      <c r="Y23" s="75" t="str">
        <f t="shared" si="2"/>
        <v>Maria Fernanda Zamora Apraez-1086359492-ACLS</v>
      </c>
    </row>
    <row r="24" spans="1:25" s="76" customFormat="1" x14ac:dyDescent="0.2">
      <c r="A24" s="67">
        <v>23</v>
      </c>
      <c r="B24" s="72">
        <v>1086359492</v>
      </c>
      <c r="C24" s="68" t="s">
        <v>184</v>
      </c>
      <c r="D24" s="68" t="s">
        <v>185</v>
      </c>
      <c r="E24" s="68" t="s">
        <v>186</v>
      </c>
      <c r="F24" s="68" t="s">
        <v>115</v>
      </c>
      <c r="G24" s="68">
        <v>5</v>
      </c>
      <c r="H24" s="68" t="s">
        <v>100</v>
      </c>
      <c r="I24" s="68" t="s">
        <v>129</v>
      </c>
      <c r="J24" s="69" t="s">
        <v>148</v>
      </c>
      <c r="K24" s="70">
        <v>45815</v>
      </c>
      <c r="L24" s="71">
        <v>30000</v>
      </c>
      <c r="M24" s="68" t="s">
        <v>123</v>
      </c>
      <c r="N24" s="68" t="s">
        <v>207</v>
      </c>
      <c r="O24" s="68" t="s">
        <v>187</v>
      </c>
      <c r="P24" s="72" t="s">
        <v>32</v>
      </c>
      <c r="Q24" s="69">
        <v>32287</v>
      </c>
      <c r="R24" s="68" t="s">
        <v>109</v>
      </c>
      <c r="S24" s="77" t="s">
        <v>188</v>
      </c>
      <c r="T24" s="72">
        <v>3127173548</v>
      </c>
      <c r="U24" s="68" t="s">
        <v>189</v>
      </c>
      <c r="V24" s="75" t="str">
        <f>IF(P24=CURSOS!$D$3,"DIPLOMADO EN ATENCION PRE-HOSPITALARIA",IF(P24=CURSOS!$D$4,"ACOMPAÑAMIENTO Y MANEJO DEL DUELO",IF(P24=CURSOS!$D$5,"ATENCION A VICTIMAS DE ATAQUE CON AGENTES QUIMICOS ",IF(P24=CURSOS!$D$6,"PRIMEROS AUXILIOS ",IF(P24=CURSOS!$D$7,"DIPLOMADO DE UNIDAD DE CUIDADOS INTENSIVOS (UCI)",IF(P24=CURSOS!$D$8,"MODELO DE ATENCION PARA EVENTOS EMERGENTES EN SALUD MENTAL (CODIGO VERDE)",IF(P24=CURSOS!$D$9,"HUMANIZACION EN EL SERVICIO DE LA SALUD Y BUENAS PRACTICAS EN PACIENTE ",IF(P24=CURSOS!$D$10,"CLINICA DE HERIDAS ",IF(P24=CURSOS!$D$11,"TOMA DE CITOLOGIA CERVICO VAGINAL ",IF(P24=CURSOS!$D$12,"SOPORTE CARDIOVASCULAR AVANZADO (ACLS) ",IF(P24=CURSOS!$D$13,"CAMILLERO ",IF(P24=CURSOS!$D$14,"TOMA DE MUESTRAS Y LABORATORIO ",IF(P24=CURSOS!$D$15,"SOPORTE VITAL BASICO (BLS)",IF(P24=CURSOS!$D$16,"ATENCION A VICTIMAS DE VIOLENCIA SEXUAL ",IF(P24=CURSOS!$D$17,"PROGRAMADO AMPLIADO DE INMUNIZACION (PAI - COVID 19)",IF(P24=CURSOS!$D$18,"ATENCION INTEGRAL EN ENFERMEDADES PREVALENTES EN PRIMERA INFANCIA (AIEPI)",IF(P24=CURSOS!$D$19,"ADMINISTRACION DE MEDICAMENTOS, INYECTOLOGIA  Y CANALIZACION ",IF(P24=CURSOS!$D$20,"OPERADOR DE VEHICULOS DE EMERGENCIA (OVE)",IF(P24=CURSOS!$D$21,"INSTITUCIONES AMIGAS DE LA MUJER Y LA INFANCIA (IAMI)",IF(P24=CURSOS!$D$22,"CUIDADO DEL DONANTE DE ORGANOS",IF(P24=CURSOS!$D$23,"ATENCION A VICTIMAS POR VIOLENCIA DE GENERO",IF(P24=CURSOS!$D$24,"IGUALDAD DE GENERO EN LA SALUD",IF(P24=CURSOS!$D$25,"BRIGADA DE EMERGENCIA",IF(P24=CURSOS!$D$26,"MANEJO DEL DOLOR Y CUIDADOS PALIATIVOS",IF(P24=CURSOS!$D$27,"TOMA DE MUESTRAS Y LABORATORIO POCT",IF(P24=CURSOS!$D$28,"IMPLANTE SUBDERMICO DE DISPOSITIVO INTRAUTERINO",IF(P24=CURSOS!$D$29,"SALUD MENTAL",IF(P24=CURSOS!$D$30,"PRIMEROS AUXILIOS PSICOLOGICOS",IF(P24=CURSOS!$D$31,"ATENCION A VICTIMAS POR CONFLICTO ARMADO",IF(P24=CURSOS!$D$32,"MANIPULACION DE ALIMENTOS Y BPM",IF(P24=CURSOS!$D$33,"ATENCION A PERSONAS CON DISCAPACIDAD",IF(P24=CURSOS!$D$34,"CUIDADO INTEGRAL DEL PACIENTE ADULTO",IF(P24=CURSOS!$D$35,"MANEJO DEFENSIVO",IF(P24=CURSOS!$D$36,"SOPORTE CARDIOVASCULAR AVANZADO NEONATAL",IF(P24=CURSOS!$D$37,"SEGURIDAD DEL PACIENTE",IF(P24=CURSOS!$D$38,"MANEJO DE RESIDUOS HOSPITALARIOS",IF(P24=CURSOS!$D$39,"ATENCION DE PACIENTE POR CONSUMO SUSTANCIAS PSICOACTIVAS Y ADICCIONES")))))))))))))))))))))))))))))))))))))</f>
        <v xml:space="preserve">HUMANIZACION EN EL SERVICIO DE LA SALUD Y BUENAS PRACTICAS EN PACIENTE </v>
      </c>
      <c r="W24" s="75" t="str">
        <f t="shared" si="0"/>
        <v>Maria Fernanda Zamora Apraez</v>
      </c>
      <c r="X24" s="75" t="str">
        <f t="shared" si="1"/>
        <v>Maria Fernanda Zamora Apraez</v>
      </c>
      <c r="Y24" s="75" t="str">
        <f t="shared" si="2"/>
        <v>Maria Fernanda Zamora Apraez-1086359492-HUMANIZACION</v>
      </c>
    </row>
    <row r="25" spans="1:25" s="76" customFormat="1" x14ac:dyDescent="0.2">
      <c r="A25" s="67">
        <v>24</v>
      </c>
      <c r="B25" s="72">
        <v>1086359492</v>
      </c>
      <c r="C25" s="68" t="s">
        <v>184</v>
      </c>
      <c r="D25" s="68" t="s">
        <v>185</v>
      </c>
      <c r="E25" s="68" t="s">
        <v>186</v>
      </c>
      <c r="F25" s="68" t="s">
        <v>115</v>
      </c>
      <c r="G25" s="68">
        <v>4</v>
      </c>
      <c r="H25" s="68" t="s">
        <v>100</v>
      </c>
      <c r="I25" s="68" t="s">
        <v>129</v>
      </c>
      <c r="J25" s="69" t="s">
        <v>148</v>
      </c>
      <c r="K25" s="70">
        <v>45815</v>
      </c>
      <c r="L25" s="71">
        <v>30000</v>
      </c>
      <c r="M25" s="68" t="s">
        <v>123</v>
      </c>
      <c r="N25" s="68" t="s">
        <v>207</v>
      </c>
      <c r="O25" s="68" t="s">
        <v>187</v>
      </c>
      <c r="P25" s="72" t="s">
        <v>25</v>
      </c>
      <c r="Q25" s="69">
        <v>32287</v>
      </c>
      <c r="R25" s="68" t="s">
        <v>109</v>
      </c>
      <c r="S25" s="77" t="s">
        <v>188</v>
      </c>
      <c r="T25" s="72">
        <v>3127173548</v>
      </c>
      <c r="U25" s="68" t="s">
        <v>189</v>
      </c>
      <c r="V25" s="75" t="str">
        <f>IF(P25=CURSOS!$D$3,"DIPLOMADO EN ATENCION PRE-HOSPITALARIA",IF(P25=CURSOS!$D$4,"ACOMPAÑAMIENTO Y MANEJO DEL DUELO",IF(P25=CURSOS!$D$5,"ATENCION A VICTIMAS DE ATAQUE CON AGENTES QUIMICOS ",IF(P25=CURSOS!$D$6,"PRIMEROS AUXILIOS ",IF(P25=CURSOS!$D$7,"DIPLOMADO DE UNIDAD DE CUIDADOS INTENSIVOS (UCI)",IF(P25=CURSOS!$D$8,"MODELO DE ATENCION PARA EVENTOS EMERGENTES EN SALUD MENTAL (CODIGO VERDE)",IF(P25=CURSOS!$D$9,"HUMANIZACION EN EL SERVICIO DE LA SALUD Y BUENAS PRACTICAS EN PACIENTE ",IF(P25=CURSOS!$D$10,"CLINICA DE HERIDAS ",IF(P25=CURSOS!$D$11,"TOMA DE CITOLOGIA CERVICO VAGINAL ",IF(P25=CURSOS!$D$12,"SOPORTE CARDIOVASCULAR AVANZADO (ACLS) ",IF(P25=CURSOS!$D$13,"CAMILLERO ",IF(P25=CURSOS!$D$14,"TOMA DE MUESTRAS Y LABORATORIO ",IF(P25=CURSOS!$D$15,"SOPORTE VITAL BASICO (BLS)",IF(P25=CURSOS!$D$16,"ATENCION A VICTIMAS DE VIOLENCIA SEXUAL ",IF(P25=CURSOS!$D$17,"PROGRAMADO AMPLIADO DE INMUNIZACION (PAI - COVID 19)",IF(P25=CURSOS!$D$18,"ATENCION INTEGRAL EN ENFERMEDADES PREVALENTES EN PRIMERA INFANCIA (AIEPI)",IF(P25=CURSOS!$D$19,"ADMINISTRACION DE MEDICAMENTOS, INYECTOLOGIA  Y CANALIZACION ",IF(P25=CURSOS!$D$20,"OPERADOR DE VEHICULOS DE EMERGENCIA (OVE)",IF(P25=CURSOS!$D$21,"INSTITUCIONES AMIGAS DE LA MUJER Y LA INFANCIA (IAMI)",IF(P25=CURSOS!$D$22,"CUIDADO DEL DONANTE DE ORGANOS",IF(P25=CURSOS!$D$23,"ATENCION A VICTIMAS POR VIOLENCIA DE GENERO",IF(P25=CURSOS!$D$24,"IGUALDAD DE GENERO EN LA SALUD",IF(P25=CURSOS!$D$25,"BRIGADA DE EMERGENCIA",IF(P25=CURSOS!$D$26,"MANEJO DEL DOLOR Y CUIDADOS PALIATIVOS",IF(P25=CURSOS!$D$27,"TOMA DE MUESTRAS Y LABORATORIO POCT",IF(P25=CURSOS!$D$28,"IMPLANTE SUBDERMICO DE DISPOSITIVO INTRAUTERINO",IF(P25=CURSOS!$D$29,"SALUD MENTAL",IF(P25=CURSOS!$D$30,"PRIMEROS AUXILIOS PSICOLOGICOS",IF(P25=CURSOS!$D$31,"ATENCION A VICTIMAS POR CONFLICTO ARMADO",IF(P25=CURSOS!$D$32,"MANIPULACION DE ALIMENTOS Y BPM",IF(P25=CURSOS!$D$33,"ATENCION A PERSONAS CON DISCAPACIDAD",IF(P25=CURSOS!$D$34,"CUIDADO INTEGRAL DEL PACIENTE ADULTO",IF(P25=CURSOS!$D$35,"MANEJO DEFENSIVO",IF(P25=CURSOS!$D$36,"SOPORTE CARDIOVASCULAR AVANZADO NEONATAL",IF(P25=CURSOS!$D$37,"SEGURIDAD DEL PACIENTE",IF(P25=CURSOS!$D$38,"MANEJO DE RESIDUOS HOSPITALARIOS",IF(P25=CURSOS!$D$39,"ATENCION DE PACIENTE POR CONSUMO SUSTANCIAS PSICOACTIVAS Y ADICCIONES")))))))))))))))))))))))))))))))))))))</f>
        <v xml:space="preserve">ATENCION A VICTIMAS DE ATAQUE CON AGENTES QUIMICOS </v>
      </c>
      <c r="W25" s="75" t="str">
        <f t="shared" si="0"/>
        <v>Maria Fernanda Zamora Apraez</v>
      </c>
      <c r="X25" s="75" t="str">
        <f t="shared" si="1"/>
        <v>Maria Fernanda Zamora Apraez</v>
      </c>
      <c r="Y25" s="75" t="str">
        <f t="shared" si="2"/>
        <v>Maria Fernanda Zamora Apraez-1086359492-QUIMICOS</v>
      </c>
    </row>
    <row r="26" spans="1:25" s="76" customFormat="1" x14ac:dyDescent="0.2">
      <c r="A26" s="67">
        <v>25</v>
      </c>
      <c r="B26" s="72">
        <v>1094279414</v>
      </c>
      <c r="C26" s="68" t="s">
        <v>192</v>
      </c>
      <c r="D26" s="68" t="s">
        <v>193</v>
      </c>
      <c r="E26" s="68" t="s">
        <v>194</v>
      </c>
      <c r="F26" s="68" t="s">
        <v>195</v>
      </c>
      <c r="G26" s="68">
        <v>7</v>
      </c>
      <c r="H26" s="68" t="s">
        <v>100</v>
      </c>
      <c r="I26" s="68" t="s">
        <v>107</v>
      </c>
      <c r="J26" s="69" t="s">
        <v>124</v>
      </c>
      <c r="K26" s="70">
        <v>45815</v>
      </c>
      <c r="L26" s="71">
        <v>80000</v>
      </c>
      <c r="M26" s="68" t="s">
        <v>268</v>
      </c>
      <c r="N26" s="68" t="s">
        <v>207</v>
      </c>
      <c r="O26" s="68" t="s">
        <v>108</v>
      </c>
      <c r="P26" s="72" t="s">
        <v>45</v>
      </c>
      <c r="Q26" s="70">
        <v>35581</v>
      </c>
      <c r="R26" s="68" t="s">
        <v>109</v>
      </c>
      <c r="S26" s="68" t="s">
        <v>130</v>
      </c>
      <c r="T26" s="68">
        <v>3124195725</v>
      </c>
      <c r="U26" s="68" t="s">
        <v>201</v>
      </c>
      <c r="V26" s="75" t="str">
        <f>IF(P26=CURSOS!$D$3,"DIPLOMADO EN ATENCION PRE-HOSPITALARIA",IF(P26=CURSOS!$D$4,"ACOMPAÑAMIENTO Y MANEJO DEL DUELO",IF(P26=CURSOS!$D$5,"ATENCION A VICTIMAS DE ATAQUE CON AGENTES QUIMICOS ",IF(P26=CURSOS!$D$6,"PRIMEROS AUXILIOS ",IF(P26=CURSOS!$D$7,"DIPLOMADO DE UNIDAD DE CUIDADOS INTENSIVOS (UCI)",IF(P26=CURSOS!$D$8,"MODELO DE ATENCION PARA EVENTOS EMERGENTES EN SALUD MENTAL (CODIGO VERDE)",IF(P26=CURSOS!$D$9,"HUMANIZACION EN EL SERVICIO DE LA SALUD Y BUENAS PRACTICAS EN PACIENTE ",IF(P26=CURSOS!$D$10,"CLINICA DE HERIDAS ",IF(P26=CURSOS!$D$11,"TOMA DE CITOLOGIA CERVICO VAGINAL ",IF(P26=CURSOS!$D$12,"SOPORTE CARDIOVASCULAR AVANZADO (ACLS) ",IF(P26=CURSOS!$D$13,"CAMILLERO ",IF(P26=CURSOS!$D$14,"TOMA DE MUESTRAS Y LABORATORIO ",IF(P26=CURSOS!$D$15,"SOPORTE VITAL BASICO (BLS)",IF(P26=CURSOS!$D$16,"ATENCION A VICTIMAS DE VIOLENCIA SEXUAL ",IF(P26=CURSOS!$D$17,"PROGRAMADO AMPLIADO DE INMUNIZACION (PAI - COVID 19)",IF(P26=CURSOS!$D$18,"ATENCION INTEGRAL EN ENFERMEDADES PREVALENTES EN PRIMERA INFANCIA (AIEPI)",IF(P26=CURSOS!$D$19,"ADMINISTRACION DE MEDICAMENTOS, INYECTOLOGIA  Y CANALIZACION ",IF(P26=CURSOS!$D$20,"OPERADOR DE VEHICULOS DE EMERGENCIA (OVE)",IF(P26=CURSOS!$D$21,"INSTITUCIONES AMIGAS DE LA MUJER Y LA INFANCIA (IAMI)",IF(P26=CURSOS!$D$22,"CUIDADO DEL DONANTE DE ORGANOS",IF(P26=CURSOS!$D$23,"ATENCION A VICTIMAS POR VIOLENCIA DE GENERO",IF(P26=CURSOS!$D$24,"IGUALDAD DE GENERO EN LA SALUD",IF(P26=CURSOS!$D$25,"BRIGADA DE EMERGENCIA",IF(P26=CURSOS!$D$26,"MANEJO DEL DOLOR Y CUIDADOS PALIATIVOS",IF(P26=CURSOS!$D$27,"TOMA DE MUESTRAS Y LABORATORIO POCT",IF(P26=CURSOS!$D$28,"IMPLANTE SUBDERMICO DE DISPOSITIVO INTRAUTERINO",IF(P26=CURSOS!$D$29,"SALUD MENTAL",IF(P26=CURSOS!$D$30,"PRIMEROS AUXILIOS PSICOLOGICOS",IF(P26=CURSOS!$D$31,"ATENCION A VICTIMAS POR CONFLICTO ARMADO",IF(P26=CURSOS!$D$32,"MANIPULACION DE ALIMENTOS Y BPM",IF(P26=CURSOS!$D$33,"ATENCION A PERSONAS CON DISCAPACIDAD",IF(P26=CURSOS!$D$34,"CUIDADO INTEGRAL DEL PACIENTE ADULTO",IF(P26=CURSOS!$D$35,"MANEJO DEFENSIVO",IF(P26=CURSOS!$D$36,"SOPORTE CARDIOVASCULAR AVANZADO NEONATAL",IF(P26=CURSOS!$D$37,"SEGURIDAD DEL PACIENTE",IF(P26=CURSOS!$D$38,"MANEJO DE RESIDUOS HOSPITALARIOS",IF(P26=CURSOS!$D$39,"ATENCION DE PACIENTE POR CONSUMO SUSTANCIAS PSICOACTIVAS Y ADICCIONES")))))))))))))))))))))))))))))))))))))</f>
        <v xml:space="preserve">ADMINISTRACION DE MEDICAMENTOS, INYECTOLOGIA  Y CANALIZACION </v>
      </c>
      <c r="W26" s="75" t="str">
        <f t="shared" si="0"/>
        <v>Dazly Katherine Parada Montes</v>
      </c>
      <c r="X26" s="75" t="str">
        <f t="shared" si="1"/>
        <v>Dazly Katherine Parada Montes</v>
      </c>
      <c r="Y26" s="75" t="str">
        <f t="shared" si="2"/>
        <v>Dazly Katherine Parada Montes-1094279414-ADMON DE MEDICAMENTOS</v>
      </c>
    </row>
    <row r="27" spans="1:25" s="76" customFormat="1" x14ac:dyDescent="0.2">
      <c r="A27" s="67">
        <v>26</v>
      </c>
      <c r="B27" s="72">
        <v>1106772307</v>
      </c>
      <c r="C27" s="68" t="s">
        <v>196</v>
      </c>
      <c r="D27" s="68" t="s">
        <v>197</v>
      </c>
      <c r="E27" s="68" t="s">
        <v>198</v>
      </c>
      <c r="F27" s="68" t="s">
        <v>120</v>
      </c>
      <c r="G27" s="68">
        <v>7</v>
      </c>
      <c r="H27" s="68" t="s">
        <v>100</v>
      </c>
      <c r="I27" s="68" t="s">
        <v>107</v>
      </c>
      <c r="J27" s="69" t="s">
        <v>124</v>
      </c>
      <c r="K27" s="70" t="s">
        <v>266</v>
      </c>
      <c r="L27" s="71" t="s">
        <v>209</v>
      </c>
      <c r="M27" s="68" t="s">
        <v>267</v>
      </c>
      <c r="N27" s="68" t="s">
        <v>207</v>
      </c>
      <c r="O27" s="68" t="s">
        <v>108</v>
      </c>
      <c r="P27" s="72" t="s">
        <v>45</v>
      </c>
      <c r="Q27" s="69">
        <v>38715</v>
      </c>
      <c r="R27" s="68" t="s">
        <v>109</v>
      </c>
      <c r="S27" s="68" t="s">
        <v>199</v>
      </c>
      <c r="T27" s="73">
        <v>3244478099</v>
      </c>
      <c r="U27" s="68" t="s">
        <v>200</v>
      </c>
      <c r="V27" s="75" t="str">
        <f>IF(P27=CURSOS!$D$3,"DIPLOMADO EN ATENCION PRE-HOSPITALARIA",IF(P27=CURSOS!$D$4,"ACOMPAÑAMIENTO Y MANEJO DEL DUELO",IF(P27=CURSOS!$D$5,"ATENCION A VICTIMAS DE ATAQUE CON AGENTES QUIMICOS ",IF(P27=CURSOS!$D$6,"PRIMEROS AUXILIOS ",IF(P27=CURSOS!$D$7,"DIPLOMADO DE UNIDAD DE CUIDADOS INTENSIVOS (UCI)",IF(P27=CURSOS!$D$8,"MODELO DE ATENCION PARA EVENTOS EMERGENTES EN SALUD MENTAL (CODIGO VERDE)",IF(P27=CURSOS!$D$9,"HUMANIZACION EN EL SERVICIO DE LA SALUD Y BUENAS PRACTICAS EN PACIENTE ",IF(P27=CURSOS!$D$10,"CLINICA DE HERIDAS ",IF(P27=CURSOS!$D$11,"TOMA DE CITOLOGIA CERVICO VAGINAL ",IF(P27=CURSOS!$D$12,"SOPORTE CARDIOVASCULAR AVANZADO (ACLS) ",IF(P27=CURSOS!$D$13,"CAMILLERO ",IF(P27=CURSOS!$D$14,"TOMA DE MUESTRAS Y LABORATORIO ",IF(P27=CURSOS!$D$15,"SOPORTE VITAL BASICO (BLS)",IF(P27=CURSOS!$D$16,"ATENCION A VICTIMAS DE VIOLENCIA SEXUAL ",IF(P27=CURSOS!$D$17,"PROGRAMADO AMPLIADO DE INMUNIZACION (PAI - COVID 19)",IF(P27=CURSOS!$D$18,"ATENCION INTEGRAL EN ENFERMEDADES PREVALENTES EN PRIMERA INFANCIA (AIEPI)",IF(P27=CURSOS!$D$19,"ADMINISTRACION DE MEDICAMENTOS, INYECTOLOGIA  Y CANALIZACION ",IF(P27=CURSOS!$D$20,"OPERADOR DE VEHICULOS DE EMERGENCIA (OVE)",IF(P27=CURSOS!$D$21,"INSTITUCIONES AMIGAS DE LA MUJER Y LA INFANCIA (IAMI)",IF(P27=CURSOS!$D$22,"CUIDADO DEL DONANTE DE ORGANOS",IF(P27=CURSOS!$D$23,"ATENCION A VICTIMAS POR VIOLENCIA DE GENERO",IF(P27=CURSOS!$D$24,"IGUALDAD DE GENERO EN LA SALUD",IF(P27=CURSOS!$D$25,"BRIGADA DE EMERGENCIA",IF(P27=CURSOS!$D$26,"MANEJO DEL DOLOR Y CUIDADOS PALIATIVOS",IF(P27=CURSOS!$D$27,"TOMA DE MUESTRAS Y LABORATORIO POCT",IF(P27=CURSOS!$D$28,"IMPLANTE SUBDERMICO DE DISPOSITIVO INTRAUTERINO",IF(P27=CURSOS!$D$29,"SALUD MENTAL",IF(P27=CURSOS!$D$30,"PRIMEROS AUXILIOS PSICOLOGICOS",IF(P27=CURSOS!$D$31,"ATENCION A VICTIMAS POR CONFLICTO ARMADO",IF(P27=CURSOS!$D$32,"MANIPULACION DE ALIMENTOS Y BPM",IF(P27=CURSOS!$D$33,"ATENCION A PERSONAS CON DISCAPACIDAD",IF(P27=CURSOS!$D$34,"CUIDADO INTEGRAL DEL PACIENTE ADULTO",IF(P27=CURSOS!$D$35,"MANEJO DEFENSIVO",IF(P27=CURSOS!$D$36,"SOPORTE CARDIOVASCULAR AVANZADO NEONATAL",IF(P27=CURSOS!$D$37,"SEGURIDAD DEL PACIENTE",IF(P27=CURSOS!$D$38,"MANEJO DE RESIDUOS HOSPITALARIOS",IF(P27=CURSOS!$D$39,"ATENCION DE PACIENTE POR CONSUMO SUSTANCIAS PSICOACTIVAS Y ADICCIONES")))))))))))))))))))))))))))))))))))))</f>
        <v xml:space="preserve">ADMINISTRACION DE MEDICAMENTOS, INYECTOLOGIA  Y CANALIZACION </v>
      </c>
      <c r="W27" s="75" t="str">
        <f t="shared" si="0"/>
        <v>Kelly Johana Botina Pava</v>
      </c>
      <c r="X27" s="75" t="str">
        <f t="shared" si="1"/>
        <v>Kelly Johana Botina Pava</v>
      </c>
      <c r="Y27" s="75" t="str">
        <f t="shared" si="2"/>
        <v>Kelly Johana Botina Pava-1106772307-ADMON DE MEDICAMENTOS</v>
      </c>
    </row>
    <row r="28" spans="1:25" s="76" customFormat="1" x14ac:dyDescent="0.2">
      <c r="A28" s="67">
        <v>27</v>
      </c>
      <c r="B28" s="72">
        <v>1083752320</v>
      </c>
      <c r="C28" s="68" t="s">
        <v>202</v>
      </c>
      <c r="D28" s="68" t="s">
        <v>203</v>
      </c>
      <c r="E28" s="68" t="s">
        <v>204</v>
      </c>
      <c r="F28" s="68" t="s">
        <v>205</v>
      </c>
      <c r="G28" s="68">
        <v>7</v>
      </c>
      <c r="H28" s="68" t="s">
        <v>100</v>
      </c>
      <c r="I28" s="68" t="s">
        <v>107</v>
      </c>
      <c r="J28" s="69" t="s">
        <v>124</v>
      </c>
      <c r="K28" s="70" t="s">
        <v>266</v>
      </c>
      <c r="L28" s="71" t="s">
        <v>209</v>
      </c>
      <c r="M28" s="68" t="s">
        <v>267</v>
      </c>
      <c r="N28" s="68" t="s">
        <v>207</v>
      </c>
      <c r="O28" s="68" t="s">
        <v>108</v>
      </c>
      <c r="P28" s="72" t="s">
        <v>45</v>
      </c>
      <c r="Q28" s="69">
        <v>38341</v>
      </c>
      <c r="R28" s="68" t="s">
        <v>109</v>
      </c>
      <c r="S28" s="68" t="s">
        <v>130</v>
      </c>
      <c r="T28" s="73">
        <v>3178627695</v>
      </c>
      <c r="U28" s="68" t="s">
        <v>206</v>
      </c>
      <c r="V28" s="75" t="str">
        <f>IF(P28=CURSOS!$D$3,"DIPLOMADO EN ATENCION PRE-HOSPITALARIA",IF(P28=CURSOS!$D$4,"ACOMPAÑAMIENTO Y MANEJO DEL DUELO",IF(P28=CURSOS!$D$5,"ATENCION A VICTIMAS DE ATAQUE CON AGENTES QUIMICOS ",IF(P28=CURSOS!$D$6,"PRIMEROS AUXILIOS ",IF(P28=CURSOS!$D$7,"DIPLOMADO DE UNIDAD DE CUIDADOS INTENSIVOS (UCI)",IF(P28=CURSOS!$D$8,"MODELO DE ATENCION PARA EVENTOS EMERGENTES EN SALUD MENTAL (CODIGO VERDE)",IF(P28=CURSOS!$D$9,"HUMANIZACION EN EL SERVICIO DE LA SALUD Y BUENAS PRACTICAS EN PACIENTE ",IF(P28=CURSOS!$D$10,"CLINICA DE HERIDAS ",IF(P28=CURSOS!$D$11,"TOMA DE CITOLOGIA CERVICO VAGINAL ",IF(P28=CURSOS!$D$12,"SOPORTE CARDIOVASCULAR AVANZADO (ACLS) ",IF(P28=CURSOS!$D$13,"CAMILLERO ",IF(P28=CURSOS!$D$14,"TOMA DE MUESTRAS Y LABORATORIO ",IF(P28=CURSOS!$D$15,"SOPORTE VITAL BASICO (BLS)",IF(P28=CURSOS!$D$16,"ATENCION A VICTIMAS DE VIOLENCIA SEXUAL ",IF(P28=CURSOS!$D$17,"PROGRAMADO AMPLIADO DE INMUNIZACION (PAI - COVID 19)",IF(P28=CURSOS!$D$18,"ATENCION INTEGRAL EN ENFERMEDADES PREVALENTES EN PRIMERA INFANCIA (AIEPI)",IF(P28=CURSOS!$D$19,"ADMINISTRACION DE MEDICAMENTOS, INYECTOLOGIA  Y CANALIZACION ",IF(P28=CURSOS!$D$20,"OPERADOR DE VEHICULOS DE EMERGENCIA (OVE)",IF(P28=CURSOS!$D$21,"INSTITUCIONES AMIGAS DE LA MUJER Y LA INFANCIA (IAMI)",IF(P28=CURSOS!$D$22,"CUIDADO DEL DONANTE DE ORGANOS",IF(P28=CURSOS!$D$23,"ATENCION A VICTIMAS POR VIOLENCIA DE GENERO",IF(P28=CURSOS!$D$24,"IGUALDAD DE GENERO EN LA SALUD",IF(P28=CURSOS!$D$25,"BRIGADA DE EMERGENCIA",IF(P28=CURSOS!$D$26,"MANEJO DEL DOLOR Y CUIDADOS PALIATIVOS",IF(P28=CURSOS!$D$27,"TOMA DE MUESTRAS Y LABORATORIO POCT",IF(P28=CURSOS!$D$28,"IMPLANTE SUBDERMICO DE DISPOSITIVO INTRAUTERINO",IF(P28=CURSOS!$D$29,"SALUD MENTAL",IF(P28=CURSOS!$D$30,"PRIMEROS AUXILIOS PSICOLOGICOS",IF(P28=CURSOS!$D$31,"ATENCION A VICTIMAS POR CONFLICTO ARMADO",IF(P28=CURSOS!$D$32,"MANIPULACION DE ALIMENTOS Y BPM",IF(P28=CURSOS!$D$33,"ATENCION A PERSONAS CON DISCAPACIDAD",IF(P28=CURSOS!$D$34,"CUIDADO INTEGRAL DEL PACIENTE ADULTO",IF(P28=CURSOS!$D$35,"MANEJO DEFENSIVO",IF(P28=CURSOS!$D$36,"SOPORTE CARDIOVASCULAR AVANZADO NEONATAL",IF(P28=CURSOS!$D$37,"SEGURIDAD DEL PACIENTE",IF(P28=CURSOS!$D$38,"MANEJO DE RESIDUOS HOSPITALARIOS",IF(P28=CURSOS!$D$39,"ATENCION DE PACIENTE POR CONSUMO SUSTANCIAS PSICOACTIVAS Y ADICCIONES")))))))))))))))))))))))))))))))))))))</f>
        <v xml:space="preserve">ADMINISTRACION DE MEDICAMENTOS, INYECTOLOGIA  Y CANALIZACION </v>
      </c>
      <c r="W28" s="75" t="str">
        <f t="shared" si="0"/>
        <v>Karen Alexandra Pastas Andrade</v>
      </c>
      <c r="X28" s="75" t="str">
        <f t="shared" si="1"/>
        <v>Karen Alexandra Pastas Andrade</v>
      </c>
      <c r="Y28" s="75" t="str">
        <f t="shared" si="2"/>
        <v>Karen Alexandra Pastas Andrade-1083752320-ADMON DE MEDICAMENTOS</v>
      </c>
    </row>
    <row r="29" spans="1:25" s="76" customFormat="1" x14ac:dyDescent="0.2">
      <c r="A29" s="67">
        <v>28</v>
      </c>
      <c r="B29" s="72">
        <v>1087419788</v>
      </c>
      <c r="C29" s="68" t="s">
        <v>210</v>
      </c>
      <c r="D29" s="68" t="s">
        <v>211</v>
      </c>
      <c r="E29" s="68" t="s">
        <v>204</v>
      </c>
      <c r="F29" s="68" t="s">
        <v>212</v>
      </c>
      <c r="G29" s="68">
        <v>9</v>
      </c>
      <c r="H29" s="68" t="s">
        <v>100</v>
      </c>
      <c r="I29" s="68" t="s">
        <v>107</v>
      </c>
      <c r="J29" s="69" t="s">
        <v>124</v>
      </c>
      <c r="K29" s="70">
        <v>45812</v>
      </c>
      <c r="L29" s="71">
        <v>68000</v>
      </c>
      <c r="M29" s="68" t="s">
        <v>123</v>
      </c>
      <c r="N29" s="68" t="s">
        <v>207</v>
      </c>
      <c r="O29" s="68" t="s">
        <v>108</v>
      </c>
      <c r="P29" s="72" t="s">
        <v>19</v>
      </c>
      <c r="Q29" s="69">
        <v>34319</v>
      </c>
      <c r="R29" s="68" t="s">
        <v>109</v>
      </c>
      <c r="S29" s="68" t="s">
        <v>213</v>
      </c>
      <c r="T29" s="73">
        <v>3156822543</v>
      </c>
      <c r="U29" s="68" t="s">
        <v>214</v>
      </c>
      <c r="V29" s="75" t="str">
        <f>IF(P29=CURSOS!$D$3,"DIPLOMADO EN ATENCION PRE-HOSPITALARIA",IF(P29=CURSOS!$D$4,"ACOMPAÑAMIENTO Y MANEJO DEL DUELO",IF(P29=CURSOS!$D$5,"ATENCION A VICTIMAS DE ATAQUE CON AGENTES QUIMICOS ",IF(P29=CURSOS!$D$6,"PRIMEROS AUXILIOS ",IF(P29=CURSOS!$D$7,"DIPLOMADO DE UNIDAD DE CUIDADOS INTENSIVOS (UCI)",IF(P29=CURSOS!$D$8,"MODELO DE ATENCION PARA EVENTOS EMERGENTES EN SALUD MENTAL (CODIGO VERDE)",IF(P29=CURSOS!$D$9,"HUMANIZACION EN EL SERVICIO DE LA SALUD Y BUENAS PRACTICAS EN PACIENTE ",IF(P29=CURSOS!$D$10,"CLINICA DE HERIDAS ",IF(P29=CURSOS!$D$11,"TOMA DE CITOLOGIA CERVICO VAGINAL ",IF(P29=CURSOS!$D$12,"SOPORTE CARDIOVASCULAR AVANZADO (ACLS) ",IF(P29=CURSOS!$D$13,"CAMILLERO ",IF(P29=CURSOS!$D$14,"TOMA DE MUESTRAS Y LABORATORIO ",IF(P29=CURSOS!$D$15,"SOPORTE VITAL BASICO (BLS)",IF(P29=CURSOS!$D$16,"ATENCION A VICTIMAS DE VIOLENCIA SEXUAL ",IF(P29=CURSOS!$D$17,"PROGRAMADO AMPLIADO DE INMUNIZACION (PAI - COVID 19)",IF(P29=CURSOS!$D$18,"ATENCION INTEGRAL EN ENFERMEDADES PREVALENTES EN PRIMERA INFANCIA (AIEPI)",IF(P29=CURSOS!$D$19,"ADMINISTRACION DE MEDICAMENTOS, INYECTOLOGIA  Y CANALIZACION ",IF(P29=CURSOS!$D$20,"OPERADOR DE VEHICULOS DE EMERGENCIA (OVE)",IF(P29=CURSOS!$D$21,"INSTITUCIONES AMIGAS DE LA MUJER Y LA INFANCIA (IAMI)",IF(P29=CURSOS!$D$22,"CUIDADO DEL DONANTE DE ORGANOS",IF(P29=CURSOS!$D$23,"ATENCION A VICTIMAS POR VIOLENCIA DE GENERO",IF(P29=CURSOS!$D$24,"IGUALDAD DE GENERO EN LA SALUD",IF(P29=CURSOS!$D$25,"BRIGADA DE EMERGENCIA",IF(P29=CURSOS!$D$26,"MANEJO DEL DOLOR Y CUIDADOS PALIATIVOS",IF(P29=CURSOS!$D$27,"TOMA DE MUESTRAS Y LABORATORIO POCT",IF(P29=CURSOS!$D$28,"IMPLANTE SUBDERMICO DE DISPOSITIVO INTRAUTERINO",IF(P29=CURSOS!$D$29,"SALUD MENTAL",IF(P29=CURSOS!$D$30,"PRIMEROS AUXILIOS PSICOLOGICOS",IF(P29=CURSOS!$D$31,"ATENCION A VICTIMAS POR CONFLICTO ARMADO",IF(P29=CURSOS!$D$32,"MANIPULACION DE ALIMENTOS Y BPM",IF(P29=CURSOS!$D$33,"ATENCION A PERSONAS CON DISCAPACIDAD",IF(P29=CURSOS!$D$34,"CUIDADO INTEGRAL DEL PACIENTE ADULTO",IF(P29=CURSOS!$D$35,"MANEJO DEFENSIVO",IF(P29=CURSOS!$D$36,"SOPORTE CARDIOVASCULAR AVANZADO NEONATAL",IF(P29=CURSOS!$D$37,"SEGURIDAD DEL PACIENTE",IF(P29=CURSOS!$D$38,"MANEJO DE RESIDUOS HOSPITALARIOS",IF(P29=CURSOS!$D$39,"ATENCION DE PACIENTE POR CONSUMO SUSTANCIAS PSICOACTIVAS Y ADICCIONES")))))))))))))))))))))))))))))))))))))</f>
        <v>SOPORTE VITAL BASICO (BLS)</v>
      </c>
      <c r="W29" s="75" t="str">
        <f t="shared" si="0"/>
        <v>Karen Dayana Chalpartar Pulistar</v>
      </c>
      <c r="X29" s="75" t="str">
        <f t="shared" si="1"/>
        <v>Karen Dayana Chalpartar Pulistar</v>
      </c>
      <c r="Y29" s="75" t="str">
        <f t="shared" si="2"/>
        <v>Karen Dayana Chalpartar Pulistar-1087419788-BLS</v>
      </c>
    </row>
    <row r="30" spans="1:25" s="76" customFormat="1" x14ac:dyDescent="0.2">
      <c r="A30" s="67">
        <v>29</v>
      </c>
      <c r="B30" s="72">
        <v>1087419788</v>
      </c>
      <c r="C30" s="68" t="s">
        <v>210</v>
      </c>
      <c r="D30" s="68" t="s">
        <v>211</v>
      </c>
      <c r="E30" s="68" t="s">
        <v>204</v>
      </c>
      <c r="F30" s="68" t="s">
        <v>212</v>
      </c>
      <c r="G30" s="68">
        <v>6</v>
      </c>
      <c r="H30" s="68" t="s">
        <v>100</v>
      </c>
      <c r="I30" s="68" t="s">
        <v>107</v>
      </c>
      <c r="J30" s="69" t="s">
        <v>124</v>
      </c>
      <c r="K30" s="70">
        <v>45812</v>
      </c>
      <c r="L30" s="71">
        <v>68000</v>
      </c>
      <c r="M30" s="68" t="s">
        <v>123</v>
      </c>
      <c r="N30" s="68" t="s">
        <v>207</v>
      </c>
      <c r="O30" s="68" t="s">
        <v>108</v>
      </c>
      <c r="P30" s="72" t="s">
        <v>32</v>
      </c>
      <c r="Q30" s="69">
        <v>34319</v>
      </c>
      <c r="R30" s="68" t="s">
        <v>109</v>
      </c>
      <c r="S30" s="68" t="s">
        <v>213</v>
      </c>
      <c r="T30" s="73">
        <v>3156822543</v>
      </c>
      <c r="U30" s="68" t="s">
        <v>214</v>
      </c>
      <c r="V30" s="75" t="str">
        <f>IF(P30=CURSOS!$D$3,"DIPLOMADO EN ATENCION PRE-HOSPITALARIA",IF(P30=CURSOS!$D$4,"ACOMPAÑAMIENTO Y MANEJO DEL DUELO",IF(P30=CURSOS!$D$5,"ATENCION A VICTIMAS DE ATAQUE CON AGENTES QUIMICOS ",IF(P30=CURSOS!$D$6,"PRIMEROS AUXILIOS ",IF(P30=CURSOS!$D$7,"DIPLOMADO DE UNIDAD DE CUIDADOS INTENSIVOS (UCI)",IF(P30=CURSOS!$D$8,"MODELO DE ATENCION PARA EVENTOS EMERGENTES EN SALUD MENTAL (CODIGO VERDE)",IF(P30=CURSOS!$D$9,"HUMANIZACION EN EL SERVICIO DE LA SALUD Y BUENAS PRACTICAS EN PACIENTE ",IF(P30=CURSOS!$D$10,"CLINICA DE HERIDAS ",IF(P30=CURSOS!$D$11,"TOMA DE CITOLOGIA CERVICO VAGINAL ",IF(P30=CURSOS!$D$12,"SOPORTE CARDIOVASCULAR AVANZADO (ACLS) ",IF(P30=CURSOS!$D$13,"CAMILLERO ",IF(P30=CURSOS!$D$14,"TOMA DE MUESTRAS Y LABORATORIO ",IF(P30=CURSOS!$D$15,"SOPORTE VITAL BASICO (BLS)",IF(P30=CURSOS!$D$16,"ATENCION A VICTIMAS DE VIOLENCIA SEXUAL ",IF(P30=CURSOS!$D$17,"PROGRAMADO AMPLIADO DE INMUNIZACION (PAI - COVID 19)",IF(P30=CURSOS!$D$18,"ATENCION INTEGRAL EN ENFERMEDADES PREVALENTES EN PRIMERA INFANCIA (AIEPI)",IF(P30=CURSOS!$D$19,"ADMINISTRACION DE MEDICAMENTOS, INYECTOLOGIA  Y CANALIZACION ",IF(P30=CURSOS!$D$20,"OPERADOR DE VEHICULOS DE EMERGENCIA (OVE)",IF(P30=CURSOS!$D$21,"INSTITUCIONES AMIGAS DE LA MUJER Y LA INFANCIA (IAMI)",IF(P30=CURSOS!$D$22,"CUIDADO DEL DONANTE DE ORGANOS",IF(P30=CURSOS!$D$23,"ATENCION A VICTIMAS POR VIOLENCIA DE GENERO",IF(P30=CURSOS!$D$24,"IGUALDAD DE GENERO EN LA SALUD",IF(P30=CURSOS!$D$25,"BRIGADA DE EMERGENCIA",IF(P30=CURSOS!$D$26,"MANEJO DEL DOLOR Y CUIDADOS PALIATIVOS",IF(P30=CURSOS!$D$27,"TOMA DE MUESTRAS Y LABORATORIO POCT",IF(P30=CURSOS!$D$28,"IMPLANTE SUBDERMICO DE DISPOSITIVO INTRAUTERINO",IF(P30=CURSOS!$D$29,"SALUD MENTAL",IF(P30=CURSOS!$D$30,"PRIMEROS AUXILIOS PSICOLOGICOS",IF(P30=CURSOS!$D$31,"ATENCION A VICTIMAS POR CONFLICTO ARMADO",IF(P30=CURSOS!$D$32,"MANIPULACION DE ALIMENTOS Y BPM",IF(P30=CURSOS!$D$33,"ATENCION A PERSONAS CON DISCAPACIDAD",IF(P30=CURSOS!$D$34,"CUIDADO INTEGRAL DEL PACIENTE ADULTO",IF(P30=CURSOS!$D$35,"MANEJO DEFENSIVO",IF(P30=CURSOS!$D$36,"SOPORTE CARDIOVASCULAR AVANZADO NEONATAL",IF(P30=CURSOS!$D$37,"SEGURIDAD DEL PACIENTE",IF(P30=CURSOS!$D$38,"MANEJO DE RESIDUOS HOSPITALARIOS",IF(P30=CURSOS!$D$39,"ATENCION DE PACIENTE POR CONSUMO SUSTANCIAS PSICOACTIVAS Y ADICCIONES")))))))))))))))))))))))))))))))))))))</f>
        <v xml:space="preserve">HUMANIZACION EN EL SERVICIO DE LA SALUD Y BUENAS PRACTICAS EN PACIENTE </v>
      </c>
      <c r="W30" s="75" t="str">
        <f t="shared" si="0"/>
        <v>Karen Dayana Chalpartar Pulistar</v>
      </c>
      <c r="X30" s="75" t="str">
        <f t="shared" si="1"/>
        <v>Karen Dayana Chalpartar Pulistar</v>
      </c>
      <c r="Y30" s="75" t="str">
        <f t="shared" si="2"/>
        <v>Karen Dayana Chalpartar Pulistar-1087419788-HUMANIZACION</v>
      </c>
    </row>
    <row r="31" spans="1:25" s="76" customFormat="1" x14ac:dyDescent="0.2">
      <c r="A31" s="67">
        <v>30</v>
      </c>
      <c r="B31" s="72">
        <v>1087419788</v>
      </c>
      <c r="C31" s="68" t="s">
        <v>210</v>
      </c>
      <c r="D31" s="68" t="s">
        <v>211</v>
      </c>
      <c r="E31" s="68" t="s">
        <v>204</v>
      </c>
      <c r="F31" s="68" t="s">
        <v>212</v>
      </c>
      <c r="G31" s="68">
        <v>10</v>
      </c>
      <c r="H31" s="68" t="s">
        <v>100</v>
      </c>
      <c r="I31" s="68" t="s">
        <v>107</v>
      </c>
      <c r="J31" s="69" t="s">
        <v>124</v>
      </c>
      <c r="K31" s="70">
        <v>45812</v>
      </c>
      <c r="L31" s="71">
        <v>68000</v>
      </c>
      <c r="M31" s="68" t="s">
        <v>123</v>
      </c>
      <c r="N31" s="68" t="s">
        <v>207</v>
      </c>
      <c r="O31" s="68" t="s">
        <v>108</v>
      </c>
      <c r="P31" s="72" t="s">
        <v>42</v>
      </c>
      <c r="Q31" s="69">
        <v>34319</v>
      </c>
      <c r="R31" s="68" t="s">
        <v>109</v>
      </c>
      <c r="S31" s="68" t="s">
        <v>213</v>
      </c>
      <c r="T31" s="73">
        <v>3156822543</v>
      </c>
      <c r="U31" s="68" t="s">
        <v>214</v>
      </c>
      <c r="V31" s="75" t="str">
        <f>IF(P31=CURSOS!$D$3,"DIPLOMADO EN ATENCION PRE-HOSPITALARIA",IF(P31=CURSOS!$D$4,"ACOMPAÑAMIENTO Y MANEJO DEL DUELO",IF(P31=CURSOS!$D$5,"ATENCION A VICTIMAS DE ATAQUE CON AGENTES QUIMICOS ",IF(P31=CURSOS!$D$6,"PRIMEROS AUXILIOS ",IF(P31=CURSOS!$D$7,"DIPLOMADO DE UNIDAD DE CUIDADOS INTENSIVOS (UCI)",IF(P31=CURSOS!$D$8,"MODELO DE ATENCION PARA EVENTOS EMERGENTES EN SALUD MENTAL (CODIGO VERDE)",IF(P31=CURSOS!$D$9,"HUMANIZACION EN EL SERVICIO DE LA SALUD Y BUENAS PRACTICAS EN PACIENTE ",IF(P31=CURSOS!$D$10,"CLINICA DE HERIDAS ",IF(P31=CURSOS!$D$11,"TOMA DE CITOLOGIA CERVICO VAGINAL ",IF(P31=CURSOS!$D$12,"SOPORTE CARDIOVASCULAR AVANZADO (ACLS) ",IF(P31=CURSOS!$D$13,"CAMILLERO ",IF(P31=CURSOS!$D$14,"TOMA DE MUESTRAS Y LABORATORIO ",IF(P31=CURSOS!$D$15,"SOPORTE VITAL BASICO (BLS)",IF(P31=CURSOS!$D$16,"ATENCION A VICTIMAS DE VIOLENCIA SEXUAL ",IF(P31=CURSOS!$D$17,"PROGRAMADO AMPLIADO DE INMUNIZACION (PAI - COVID 19)",IF(P31=CURSOS!$D$18,"ATENCION INTEGRAL EN ENFERMEDADES PREVALENTES EN PRIMERA INFANCIA (AIEPI)",IF(P31=CURSOS!$D$19,"ADMINISTRACION DE MEDICAMENTOS, INYECTOLOGIA  Y CANALIZACION ",IF(P31=CURSOS!$D$20,"OPERADOR DE VEHICULOS DE EMERGENCIA (OVE)",IF(P31=CURSOS!$D$21,"INSTITUCIONES AMIGAS DE LA MUJER Y LA INFANCIA (IAMI)",IF(P31=CURSOS!$D$22,"CUIDADO DEL DONANTE DE ORGANOS",IF(P31=CURSOS!$D$23,"ATENCION A VICTIMAS POR VIOLENCIA DE GENERO",IF(P31=CURSOS!$D$24,"IGUALDAD DE GENERO EN LA SALUD",IF(P31=CURSOS!$D$25,"BRIGADA DE EMERGENCIA",IF(P31=CURSOS!$D$26,"MANEJO DEL DOLOR Y CUIDADOS PALIATIVOS",IF(P31=CURSOS!$D$27,"TOMA DE MUESTRAS Y LABORATORIO POCT",IF(P31=CURSOS!$D$28,"IMPLANTE SUBDERMICO DE DISPOSITIVO INTRAUTERINO",IF(P31=CURSOS!$D$29,"SALUD MENTAL",IF(P31=CURSOS!$D$30,"PRIMEROS AUXILIOS PSICOLOGICOS",IF(P31=CURSOS!$D$31,"ATENCION A VICTIMAS POR CONFLICTO ARMADO",IF(P31=CURSOS!$D$32,"MANIPULACION DE ALIMENTOS Y BPM",IF(P31=CURSOS!$D$33,"ATENCION A PERSONAS CON DISCAPACIDAD",IF(P31=CURSOS!$D$34,"CUIDADO INTEGRAL DEL PACIENTE ADULTO",IF(P31=CURSOS!$D$35,"MANEJO DEFENSIVO",IF(P31=CURSOS!$D$36,"SOPORTE CARDIOVASCULAR AVANZADO NEONATAL",IF(P31=CURSOS!$D$37,"SEGURIDAD DEL PACIENTE",IF(P31=CURSOS!$D$38,"MANEJO DE RESIDUOS HOSPITALARIOS",IF(P31=CURSOS!$D$39,"ATENCION DE PACIENTE POR CONSUMO SUSTANCIAS PSICOACTIVAS Y ADICCIONES")))))))))))))))))))))))))))))))))))))</f>
        <v xml:space="preserve">ATENCION A VICTIMAS DE VIOLENCIA SEXUAL </v>
      </c>
      <c r="W31" s="75" t="str">
        <f t="shared" si="0"/>
        <v>Karen Dayana Chalpartar Pulistar</v>
      </c>
      <c r="X31" s="75" t="str">
        <f t="shared" si="1"/>
        <v>Karen Dayana Chalpartar Pulistar</v>
      </c>
      <c r="Y31" s="75" t="str">
        <f t="shared" si="2"/>
        <v>Karen Dayana Chalpartar Pulistar-1087419788-VIOLENCIA SEXUAL</v>
      </c>
    </row>
    <row r="32" spans="1:25" s="76" customFormat="1" x14ac:dyDescent="0.2">
      <c r="A32" s="67">
        <v>31</v>
      </c>
      <c r="B32" s="72">
        <v>1087419788</v>
      </c>
      <c r="C32" s="68" t="s">
        <v>210</v>
      </c>
      <c r="D32" s="68" t="s">
        <v>211</v>
      </c>
      <c r="E32" s="68" t="s">
        <v>204</v>
      </c>
      <c r="F32" s="68" t="s">
        <v>212</v>
      </c>
      <c r="G32" s="68">
        <v>7</v>
      </c>
      <c r="H32" s="68" t="s">
        <v>100</v>
      </c>
      <c r="I32" s="68" t="s">
        <v>107</v>
      </c>
      <c r="J32" s="69" t="s">
        <v>124</v>
      </c>
      <c r="K32" s="70">
        <v>45812</v>
      </c>
      <c r="L32" s="71">
        <v>68000</v>
      </c>
      <c r="M32" s="68" t="s">
        <v>123</v>
      </c>
      <c r="N32" s="68" t="s">
        <v>207</v>
      </c>
      <c r="O32" s="68" t="s">
        <v>108</v>
      </c>
      <c r="P32" s="72" t="s">
        <v>87</v>
      </c>
      <c r="Q32" s="69">
        <v>34319</v>
      </c>
      <c r="R32" s="68" t="s">
        <v>109</v>
      </c>
      <c r="S32" s="68" t="s">
        <v>213</v>
      </c>
      <c r="T32" s="73">
        <v>3156822543</v>
      </c>
      <c r="U32" s="68" t="s">
        <v>214</v>
      </c>
      <c r="V32" s="75" t="str">
        <f>IF(P32=CURSOS!$D$3,"DIPLOMADO EN ATENCION PRE-HOSPITALARIA",IF(P32=CURSOS!$D$4,"ACOMPAÑAMIENTO Y MANEJO DEL DUELO",IF(P32=CURSOS!$D$5,"ATENCION A VICTIMAS DE ATAQUE CON AGENTES QUIMICOS ",IF(P32=CURSOS!$D$6,"PRIMEROS AUXILIOS ",IF(P32=CURSOS!$D$7,"DIPLOMADO DE UNIDAD DE CUIDADOS INTENSIVOS (UCI)",IF(P32=CURSOS!$D$8,"MODELO DE ATENCION PARA EVENTOS EMERGENTES EN SALUD MENTAL (CODIGO VERDE)",IF(P32=CURSOS!$D$9,"HUMANIZACION EN EL SERVICIO DE LA SALUD Y BUENAS PRACTICAS EN PACIENTE ",IF(P32=CURSOS!$D$10,"CLINICA DE HERIDAS ",IF(P32=CURSOS!$D$11,"TOMA DE CITOLOGIA CERVICO VAGINAL ",IF(P32=CURSOS!$D$12,"SOPORTE CARDIOVASCULAR AVANZADO (ACLS) ",IF(P32=CURSOS!$D$13,"CAMILLERO ",IF(P32=CURSOS!$D$14,"TOMA DE MUESTRAS Y LABORATORIO ",IF(P32=CURSOS!$D$15,"SOPORTE VITAL BASICO (BLS)",IF(P32=CURSOS!$D$16,"ATENCION A VICTIMAS DE VIOLENCIA SEXUAL ",IF(P32=CURSOS!$D$17,"PROGRAMADO AMPLIADO DE INMUNIZACION (PAI - COVID 19)",IF(P32=CURSOS!$D$18,"ATENCION INTEGRAL EN ENFERMEDADES PREVALENTES EN PRIMERA INFANCIA (AIEPI)",IF(P32=CURSOS!$D$19,"ADMINISTRACION DE MEDICAMENTOS, INYECTOLOGIA  Y CANALIZACION ",IF(P32=CURSOS!$D$20,"OPERADOR DE VEHICULOS DE EMERGENCIA (OVE)",IF(P32=CURSOS!$D$21,"INSTITUCIONES AMIGAS DE LA MUJER Y LA INFANCIA (IAMI)",IF(P32=CURSOS!$D$22,"CUIDADO DEL DONANTE DE ORGANOS",IF(P32=CURSOS!$D$23,"ATENCION A VICTIMAS POR VIOLENCIA DE GENERO",IF(P32=CURSOS!$D$24,"IGUALDAD DE GENERO EN LA SALUD",IF(P32=CURSOS!$D$25,"BRIGADA DE EMERGENCIA",IF(P32=CURSOS!$D$26,"MANEJO DEL DOLOR Y CUIDADOS PALIATIVOS",IF(P32=CURSOS!$D$27,"TOMA DE MUESTRAS Y LABORATORIO POCT",IF(P32=CURSOS!$D$28,"IMPLANTE SUBDERMICO DE DISPOSITIVO INTRAUTERINO",IF(P32=CURSOS!$D$29,"SALUD MENTAL",IF(P32=CURSOS!$D$30,"PRIMEROS AUXILIOS PSICOLOGICOS",IF(P32=CURSOS!$D$31,"ATENCION A VICTIMAS POR CONFLICTO ARMADO",IF(P32=CURSOS!$D$32,"MANIPULACION DE ALIMENTOS Y BPM",IF(P32=CURSOS!$D$33,"ATENCION A PERSONAS CON DISCAPACIDAD",IF(P32=CURSOS!$D$34,"CUIDADO INTEGRAL DEL PACIENTE ADULTO",IF(P32=CURSOS!$D$35,"MANEJO DEFENSIVO",IF(P32=CURSOS!$D$36,"SOPORTE CARDIOVASCULAR AVANZADO NEONATAL",IF(P32=CURSOS!$D$37,"SEGURIDAD DEL PACIENTE",IF(P32=CURSOS!$D$38,"MANEJO DE RESIDUOS HOSPITALARIOS",IF(P32=CURSOS!$D$39,"ATENCION DE PACIENTE POR CONSUMO SUSTANCIAS PSICOACTIVAS Y ADICCIONES")))))))))))))))))))))))))))))))))))))</f>
        <v>SEGURIDAD DEL PACIENTE</v>
      </c>
      <c r="W32" s="75" t="str">
        <f t="shared" si="0"/>
        <v>Karen Dayana Chalpartar Pulistar</v>
      </c>
      <c r="X32" s="75" t="str">
        <f t="shared" si="1"/>
        <v>Karen Dayana Chalpartar Pulistar</v>
      </c>
      <c r="Y32" s="75" t="str">
        <f t="shared" si="2"/>
        <v>Karen Dayana Chalpartar Pulistar-1087419788-PACIENTE</v>
      </c>
    </row>
    <row r="33" spans="1:25" s="76" customFormat="1" x14ac:dyDescent="0.2">
      <c r="A33" s="67">
        <v>32</v>
      </c>
      <c r="B33" s="72">
        <v>1082839318</v>
      </c>
      <c r="C33" s="68" t="s">
        <v>215</v>
      </c>
      <c r="D33" s="68" t="s">
        <v>216</v>
      </c>
      <c r="E33" s="68" t="s">
        <v>217</v>
      </c>
      <c r="F33" s="68" t="s">
        <v>218</v>
      </c>
      <c r="G33" s="68">
        <v>9</v>
      </c>
      <c r="H33" s="68" t="s">
        <v>100</v>
      </c>
      <c r="I33" s="68" t="s">
        <v>129</v>
      </c>
      <c r="J33" s="69" t="s">
        <v>124</v>
      </c>
      <c r="K33" s="70">
        <v>45816</v>
      </c>
      <c r="L33" s="71">
        <v>100000</v>
      </c>
      <c r="M33" s="68" t="s">
        <v>123</v>
      </c>
      <c r="N33" s="68" t="s">
        <v>207</v>
      </c>
      <c r="O33" s="68" t="s">
        <v>224</v>
      </c>
      <c r="P33" s="72" t="s">
        <v>37</v>
      </c>
      <c r="Q33" s="69">
        <v>31428</v>
      </c>
      <c r="R33" s="68" t="s">
        <v>141</v>
      </c>
      <c r="S33" s="77" t="s">
        <v>156</v>
      </c>
      <c r="T33" s="68">
        <v>3004845932</v>
      </c>
      <c r="U33" s="68" t="s">
        <v>219</v>
      </c>
      <c r="V33" s="75" t="str">
        <f>IF(P33=CURSOS!$D$3,"DIPLOMADO EN ATENCION PRE-HOSPITALARIA",IF(P33=CURSOS!$D$4,"ACOMPAÑAMIENTO Y MANEJO DEL DUELO",IF(P33=CURSOS!$D$5,"ATENCION A VICTIMAS DE ATAQUE CON AGENTES QUIMICOS ",IF(P33=CURSOS!$D$6,"PRIMEROS AUXILIOS ",IF(P33=CURSOS!$D$7,"DIPLOMADO DE UNIDAD DE CUIDADOS INTENSIVOS (UCI)",IF(P33=CURSOS!$D$8,"MODELO DE ATENCION PARA EVENTOS EMERGENTES EN SALUD MENTAL (CODIGO VERDE)",IF(P33=CURSOS!$D$9,"HUMANIZACION EN EL SERVICIO DE LA SALUD Y BUENAS PRACTICAS EN PACIENTE ",IF(P33=CURSOS!$D$10,"CLINICA DE HERIDAS ",IF(P33=CURSOS!$D$11,"TOMA DE CITOLOGIA CERVICO VAGINAL ",IF(P33=CURSOS!$D$12,"SOPORTE CARDIOVASCULAR AVANZADO (ACLS) ",IF(P33=CURSOS!$D$13,"CAMILLERO ",IF(P33=CURSOS!$D$14,"TOMA DE MUESTRAS Y LABORATORIO ",IF(P33=CURSOS!$D$15,"SOPORTE VITAL BASICO (BLS)",IF(P33=CURSOS!$D$16,"ATENCION A VICTIMAS DE VIOLENCIA SEXUAL ",IF(P33=CURSOS!$D$17,"PROGRAMADO AMPLIADO DE INMUNIZACION (PAI - COVID 19)",IF(P33=CURSOS!$D$18,"ATENCION INTEGRAL EN ENFERMEDADES PREVALENTES EN PRIMERA INFANCIA (AIEPI)",IF(P33=CURSOS!$D$19,"ADMINISTRACION DE MEDICAMENTOS, INYECTOLOGIA  Y CANALIZACION ",IF(P33=CURSOS!$D$20,"OPERADOR DE VEHICULOS DE EMERGENCIA (OVE)",IF(P33=CURSOS!$D$21,"INSTITUCIONES AMIGAS DE LA MUJER Y LA INFANCIA (IAMI)",IF(P33=CURSOS!$D$22,"CUIDADO DEL DONANTE DE ORGANOS",IF(P33=CURSOS!$D$23,"ATENCION A VICTIMAS POR VIOLENCIA DE GENERO",IF(P33=CURSOS!$D$24,"IGUALDAD DE GENERO EN LA SALUD",IF(P33=CURSOS!$D$25,"BRIGADA DE EMERGENCIA",IF(P33=CURSOS!$D$26,"MANEJO DEL DOLOR Y CUIDADOS PALIATIVOS",IF(P33=CURSOS!$D$27,"TOMA DE MUESTRAS Y LABORATORIO POCT",IF(P33=CURSOS!$D$28,"IMPLANTE SUBDERMICO DE DISPOSITIVO INTRAUTERINO",IF(P33=CURSOS!$D$29,"SALUD MENTAL",IF(P33=CURSOS!$D$30,"PRIMEROS AUXILIOS PSICOLOGICOS",IF(P33=CURSOS!$D$31,"ATENCION A VICTIMAS POR CONFLICTO ARMADO",IF(P33=CURSOS!$D$32,"MANIPULACION DE ALIMENTOS Y BPM",IF(P33=CURSOS!$D$33,"ATENCION A PERSONAS CON DISCAPACIDAD",IF(P33=CURSOS!$D$34,"CUIDADO INTEGRAL DEL PACIENTE ADULTO",IF(P33=CURSOS!$D$35,"MANEJO DEFENSIVO",IF(P33=CURSOS!$D$36,"SOPORTE CARDIOVASCULAR AVANZADO NEONATAL",IF(P33=CURSOS!$D$37,"SEGURIDAD DEL PACIENTE",IF(P33=CURSOS!$D$38,"MANEJO DE RESIDUOS HOSPITALARIOS",IF(P33=CURSOS!$D$39,"ATENCION DE PACIENTE POR CONSUMO SUSTANCIAS PSICOACTIVAS Y ADICCIONES")))))))))))))))))))))))))))))))))))))</f>
        <v xml:space="preserve">SOPORTE CARDIOVASCULAR AVANZADO (ACLS) </v>
      </c>
      <c r="W33" s="75" t="str">
        <f t="shared" si="0"/>
        <v>Luis Daniel Barbosa Meriño</v>
      </c>
      <c r="X33" s="75" t="str">
        <f t="shared" si="1"/>
        <v>Luis Daniel Barbosa Meriño</v>
      </c>
      <c r="Y33" s="75" t="str">
        <f t="shared" si="2"/>
        <v>Luis Daniel Barbosa Meriño-1082839318-ACLS</v>
      </c>
    </row>
    <row r="34" spans="1:25" s="76" customFormat="1" x14ac:dyDescent="0.2">
      <c r="A34" s="67">
        <v>33</v>
      </c>
      <c r="B34" s="72">
        <v>1082839318</v>
      </c>
      <c r="C34" s="68" t="s">
        <v>215</v>
      </c>
      <c r="D34" s="68" t="s">
        <v>216</v>
      </c>
      <c r="E34" s="68" t="s">
        <v>217</v>
      </c>
      <c r="F34" s="68" t="s">
        <v>218</v>
      </c>
      <c r="G34" s="68">
        <v>10</v>
      </c>
      <c r="H34" s="68" t="s">
        <v>100</v>
      </c>
      <c r="I34" s="68" t="s">
        <v>129</v>
      </c>
      <c r="J34" s="69" t="s">
        <v>124</v>
      </c>
      <c r="K34" s="70">
        <v>45816</v>
      </c>
      <c r="L34" s="71">
        <v>36000</v>
      </c>
      <c r="M34" s="68" t="s">
        <v>123</v>
      </c>
      <c r="N34" s="68" t="s">
        <v>207</v>
      </c>
      <c r="O34" s="68" t="s">
        <v>224</v>
      </c>
      <c r="P34" s="72" t="s">
        <v>25</v>
      </c>
      <c r="Q34" s="69">
        <v>31428</v>
      </c>
      <c r="R34" s="68" t="s">
        <v>141</v>
      </c>
      <c r="S34" s="77" t="s">
        <v>156</v>
      </c>
      <c r="T34" s="68">
        <v>3004845932</v>
      </c>
      <c r="U34" s="68" t="s">
        <v>219</v>
      </c>
      <c r="V34" s="75" t="str">
        <f>IF(P34=CURSOS!$D$3,"DIPLOMADO EN ATENCION PRE-HOSPITALARIA",IF(P34=CURSOS!$D$4,"ACOMPAÑAMIENTO Y MANEJO DEL DUELO",IF(P34=CURSOS!$D$5,"ATENCION A VICTIMAS DE ATAQUE CON AGENTES QUIMICOS ",IF(P34=CURSOS!$D$6,"PRIMEROS AUXILIOS ",IF(P34=CURSOS!$D$7,"DIPLOMADO DE UNIDAD DE CUIDADOS INTENSIVOS (UCI)",IF(P34=CURSOS!$D$8,"MODELO DE ATENCION PARA EVENTOS EMERGENTES EN SALUD MENTAL (CODIGO VERDE)",IF(P34=CURSOS!$D$9,"HUMANIZACION EN EL SERVICIO DE LA SALUD Y BUENAS PRACTICAS EN PACIENTE ",IF(P34=CURSOS!$D$10,"CLINICA DE HERIDAS ",IF(P34=CURSOS!$D$11,"TOMA DE CITOLOGIA CERVICO VAGINAL ",IF(P34=CURSOS!$D$12,"SOPORTE CARDIOVASCULAR AVANZADO (ACLS) ",IF(P34=CURSOS!$D$13,"CAMILLERO ",IF(P34=CURSOS!$D$14,"TOMA DE MUESTRAS Y LABORATORIO ",IF(P34=CURSOS!$D$15,"SOPORTE VITAL BASICO (BLS)",IF(P34=CURSOS!$D$16,"ATENCION A VICTIMAS DE VIOLENCIA SEXUAL ",IF(P34=CURSOS!$D$17,"PROGRAMADO AMPLIADO DE INMUNIZACION (PAI - COVID 19)",IF(P34=CURSOS!$D$18,"ATENCION INTEGRAL EN ENFERMEDADES PREVALENTES EN PRIMERA INFANCIA (AIEPI)",IF(P34=CURSOS!$D$19,"ADMINISTRACION DE MEDICAMENTOS, INYECTOLOGIA  Y CANALIZACION ",IF(P34=CURSOS!$D$20,"OPERADOR DE VEHICULOS DE EMERGENCIA (OVE)",IF(P34=CURSOS!$D$21,"INSTITUCIONES AMIGAS DE LA MUJER Y LA INFANCIA (IAMI)",IF(P34=CURSOS!$D$22,"CUIDADO DEL DONANTE DE ORGANOS",IF(P34=CURSOS!$D$23,"ATENCION A VICTIMAS POR VIOLENCIA DE GENERO",IF(P34=CURSOS!$D$24,"IGUALDAD DE GENERO EN LA SALUD",IF(P34=CURSOS!$D$25,"BRIGADA DE EMERGENCIA",IF(P34=CURSOS!$D$26,"MANEJO DEL DOLOR Y CUIDADOS PALIATIVOS",IF(P34=CURSOS!$D$27,"TOMA DE MUESTRAS Y LABORATORIO POCT",IF(P34=CURSOS!$D$28,"IMPLANTE SUBDERMICO DE DISPOSITIVO INTRAUTERINO",IF(P34=CURSOS!$D$29,"SALUD MENTAL",IF(P34=CURSOS!$D$30,"PRIMEROS AUXILIOS PSICOLOGICOS",IF(P34=CURSOS!$D$31,"ATENCION A VICTIMAS POR CONFLICTO ARMADO",IF(P34=CURSOS!$D$32,"MANIPULACION DE ALIMENTOS Y BPM",IF(P34=CURSOS!$D$33,"ATENCION A PERSONAS CON DISCAPACIDAD",IF(P34=CURSOS!$D$34,"CUIDADO INTEGRAL DEL PACIENTE ADULTO",IF(P34=CURSOS!$D$35,"MANEJO DEFENSIVO",IF(P34=CURSOS!$D$36,"SOPORTE CARDIOVASCULAR AVANZADO NEONATAL",IF(P34=CURSOS!$D$37,"SEGURIDAD DEL PACIENTE",IF(P34=CURSOS!$D$38,"MANEJO DE RESIDUOS HOSPITALARIOS",IF(P34=CURSOS!$D$39,"ATENCION DE PACIENTE POR CONSUMO SUSTANCIAS PSICOACTIVAS Y ADICCIONES")))))))))))))))))))))))))))))))))))))</f>
        <v xml:space="preserve">ATENCION A VICTIMAS DE ATAQUE CON AGENTES QUIMICOS </v>
      </c>
      <c r="W34" s="75" t="str">
        <f t="shared" si="0"/>
        <v>Luis Daniel Barbosa Meriño</v>
      </c>
      <c r="X34" s="75" t="str">
        <f t="shared" si="1"/>
        <v>Luis Daniel Barbosa Meriño</v>
      </c>
      <c r="Y34" s="75" t="str">
        <f t="shared" si="2"/>
        <v>Luis Daniel Barbosa Meriño-1082839318-QUIMICOS</v>
      </c>
    </row>
    <row r="35" spans="1:25" s="76" customFormat="1" x14ac:dyDescent="0.2">
      <c r="A35" s="67">
        <v>34</v>
      </c>
      <c r="B35" s="72">
        <v>1082839318</v>
      </c>
      <c r="C35" s="68" t="s">
        <v>215</v>
      </c>
      <c r="D35" s="68" t="s">
        <v>216</v>
      </c>
      <c r="E35" s="68" t="s">
        <v>217</v>
      </c>
      <c r="F35" s="68" t="s">
        <v>218</v>
      </c>
      <c r="G35" s="68">
        <v>7</v>
      </c>
      <c r="H35" s="68" t="s">
        <v>100</v>
      </c>
      <c r="I35" s="68" t="s">
        <v>107</v>
      </c>
      <c r="J35" s="69" t="s">
        <v>124</v>
      </c>
      <c r="K35" s="70">
        <v>45816</v>
      </c>
      <c r="L35" s="71">
        <v>64000</v>
      </c>
      <c r="M35" s="68" t="s">
        <v>123</v>
      </c>
      <c r="N35" s="68" t="s">
        <v>207</v>
      </c>
      <c r="O35" s="68" t="s">
        <v>224</v>
      </c>
      <c r="P35" s="72" t="s">
        <v>23</v>
      </c>
      <c r="Q35" s="69">
        <v>31428</v>
      </c>
      <c r="R35" s="68" t="s">
        <v>141</v>
      </c>
      <c r="S35" s="77" t="s">
        <v>156</v>
      </c>
      <c r="T35" s="68">
        <v>3004845932</v>
      </c>
      <c r="U35" s="68" t="s">
        <v>219</v>
      </c>
      <c r="V35" s="75" t="str">
        <f>IF(P35=CURSOS!$D$3,"DIPLOMADO EN ATENCION PRE-HOSPITALARIA",IF(P35=CURSOS!$D$4,"ACOMPAÑAMIENTO Y MANEJO DEL DUELO",IF(P35=CURSOS!$D$5,"ATENCION A VICTIMAS DE ATAQUE CON AGENTES QUIMICOS ",IF(P35=CURSOS!$D$6,"PRIMEROS AUXILIOS ",IF(P35=CURSOS!$D$7,"DIPLOMADO DE UNIDAD DE CUIDADOS INTENSIVOS (UCI)",IF(P35=CURSOS!$D$8,"MODELO DE ATENCION PARA EVENTOS EMERGENTES EN SALUD MENTAL (CODIGO VERDE)",IF(P35=CURSOS!$D$9,"HUMANIZACION EN EL SERVICIO DE LA SALUD Y BUENAS PRACTICAS EN PACIENTE ",IF(P35=CURSOS!$D$10,"CLINICA DE HERIDAS ",IF(P35=CURSOS!$D$11,"TOMA DE CITOLOGIA CERVICO VAGINAL ",IF(P35=CURSOS!$D$12,"SOPORTE CARDIOVASCULAR AVANZADO (ACLS) ",IF(P35=CURSOS!$D$13,"CAMILLERO ",IF(P35=CURSOS!$D$14,"TOMA DE MUESTRAS Y LABORATORIO ",IF(P35=CURSOS!$D$15,"SOPORTE VITAL BASICO (BLS)",IF(P35=CURSOS!$D$16,"ATENCION A VICTIMAS DE VIOLENCIA SEXUAL ",IF(P35=CURSOS!$D$17,"PROGRAMADO AMPLIADO DE INMUNIZACION (PAI - COVID 19)",IF(P35=CURSOS!$D$18,"ATENCION INTEGRAL EN ENFERMEDADES PREVALENTES EN PRIMERA INFANCIA (AIEPI)",IF(P35=CURSOS!$D$19,"ADMINISTRACION DE MEDICAMENTOS, INYECTOLOGIA  Y CANALIZACION ",IF(P35=CURSOS!$D$20,"OPERADOR DE VEHICULOS DE EMERGENCIA (OVE)",IF(P35=CURSOS!$D$21,"INSTITUCIONES AMIGAS DE LA MUJER Y LA INFANCIA (IAMI)",IF(P35=CURSOS!$D$22,"CUIDADO DEL DONANTE DE ORGANOS",IF(P35=CURSOS!$D$23,"ATENCION A VICTIMAS POR VIOLENCIA DE GENERO",IF(P35=CURSOS!$D$24,"IGUALDAD DE GENERO EN LA SALUD",IF(P35=CURSOS!$D$25,"BRIGADA DE EMERGENCIA",IF(P35=CURSOS!$D$26,"MANEJO DEL DOLOR Y CUIDADOS PALIATIVOS",IF(P35=CURSOS!$D$27,"TOMA DE MUESTRAS Y LABORATORIO POCT",IF(P35=CURSOS!$D$28,"IMPLANTE SUBDERMICO DE DISPOSITIVO INTRAUTERINO",IF(P35=CURSOS!$D$29,"SALUD MENTAL",IF(P35=CURSOS!$D$30,"PRIMEROS AUXILIOS PSICOLOGICOS",IF(P35=CURSOS!$D$31,"ATENCION A VICTIMAS POR CONFLICTO ARMADO",IF(P35=CURSOS!$D$32,"MANIPULACION DE ALIMENTOS Y BPM",IF(P35=CURSOS!$D$33,"ATENCION A PERSONAS CON DISCAPACIDAD",IF(P35=CURSOS!$D$34,"CUIDADO INTEGRAL DEL PACIENTE ADULTO",IF(P35=CURSOS!$D$35,"MANEJO DEFENSIVO",IF(P35=CURSOS!$D$36,"SOPORTE CARDIOVASCULAR AVANZADO NEONATAL",IF(P35=CURSOS!$D$37,"SEGURIDAD DEL PACIENTE",IF(P35=CURSOS!$D$38,"MANEJO DE RESIDUOS HOSPITALARIOS",IF(P35=CURSOS!$D$39,"ATENCION DE PACIENTE POR CONSUMO SUSTANCIAS PSICOACTIVAS Y ADICCIONES")))))))))))))))))))))))))))))))))))))</f>
        <v>ACOMPAÑAMIENTO Y MANEJO DEL DUELO</v>
      </c>
      <c r="W35" s="75" t="str">
        <f t="shared" si="0"/>
        <v>Luis Daniel Barbosa Meriño</v>
      </c>
      <c r="X35" s="75" t="str">
        <f t="shared" si="1"/>
        <v>Luis Daniel Barbosa Meriño</v>
      </c>
      <c r="Y35" s="75" t="str">
        <f t="shared" si="2"/>
        <v>Luis Daniel Barbosa Meriño-1082839318-DUELO</v>
      </c>
    </row>
    <row r="36" spans="1:25" s="76" customFormat="1" x14ac:dyDescent="0.2">
      <c r="A36" s="67">
        <v>35</v>
      </c>
      <c r="B36" s="68">
        <v>1081572038</v>
      </c>
      <c r="C36" s="68" t="s">
        <v>220</v>
      </c>
      <c r="D36" s="68" t="s">
        <v>221</v>
      </c>
      <c r="E36" s="68" t="s">
        <v>222</v>
      </c>
      <c r="F36" s="68" t="s">
        <v>115</v>
      </c>
      <c r="G36" s="68">
        <v>10</v>
      </c>
      <c r="H36" s="68" t="s">
        <v>100</v>
      </c>
      <c r="I36" s="68" t="s">
        <v>129</v>
      </c>
      <c r="J36" s="69" t="s">
        <v>124</v>
      </c>
      <c r="K36" s="70">
        <v>45818</v>
      </c>
      <c r="L36" s="71">
        <v>30000</v>
      </c>
      <c r="M36" s="68" t="s">
        <v>177</v>
      </c>
      <c r="N36" s="68" t="s">
        <v>207</v>
      </c>
      <c r="O36" s="68" t="s">
        <v>108</v>
      </c>
      <c r="P36" s="72" t="s">
        <v>19</v>
      </c>
      <c r="Q36" s="69">
        <v>38267</v>
      </c>
      <c r="R36" s="68" t="s">
        <v>109</v>
      </c>
      <c r="S36" s="68" t="s">
        <v>130</v>
      </c>
      <c r="T36" s="68">
        <v>3024211630</v>
      </c>
      <c r="U36" s="68" t="s">
        <v>223</v>
      </c>
      <c r="V36" s="75" t="str">
        <f>IF(P36=CURSOS!$D$3,"DIPLOMADO EN ATENCION PRE-HOSPITALARIA",IF(P36=CURSOS!$D$4,"ACOMPAÑAMIENTO Y MANEJO DEL DUELO",IF(P36=CURSOS!$D$5,"ATENCION A VICTIMAS DE ATAQUE CON AGENTES QUIMICOS ",IF(P36=CURSOS!$D$6,"PRIMEROS AUXILIOS ",IF(P36=CURSOS!$D$7,"DIPLOMADO DE UNIDAD DE CUIDADOS INTENSIVOS (UCI)",IF(P36=CURSOS!$D$8,"MODELO DE ATENCION PARA EVENTOS EMERGENTES EN SALUD MENTAL (CODIGO VERDE)",IF(P36=CURSOS!$D$9,"HUMANIZACION EN EL SERVICIO DE LA SALUD Y BUENAS PRACTICAS EN PACIENTE ",IF(P36=CURSOS!$D$10,"CLINICA DE HERIDAS ",IF(P36=CURSOS!$D$11,"TOMA DE CITOLOGIA CERVICO VAGINAL ",IF(P36=CURSOS!$D$12,"SOPORTE CARDIOVASCULAR AVANZADO (ACLS) ",IF(P36=CURSOS!$D$13,"CAMILLERO ",IF(P36=CURSOS!$D$14,"TOMA DE MUESTRAS Y LABORATORIO ",IF(P36=CURSOS!$D$15,"SOPORTE VITAL BASICO (BLS)",IF(P36=CURSOS!$D$16,"ATENCION A VICTIMAS DE VIOLENCIA SEXUAL ",IF(P36=CURSOS!$D$17,"PROGRAMADO AMPLIADO DE INMUNIZACION (PAI - COVID 19)",IF(P36=CURSOS!$D$18,"ATENCION INTEGRAL EN ENFERMEDADES PREVALENTES EN PRIMERA INFANCIA (AIEPI)",IF(P36=CURSOS!$D$19,"ADMINISTRACION DE MEDICAMENTOS, INYECTOLOGIA  Y CANALIZACION ",IF(P36=CURSOS!$D$20,"OPERADOR DE VEHICULOS DE EMERGENCIA (OVE)",IF(P36=CURSOS!$D$21,"INSTITUCIONES AMIGAS DE LA MUJER Y LA INFANCIA (IAMI)",IF(P36=CURSOS!$D$22,"CUIDADO DEL DONANTE DE ORGANOS",IF(P36=CURSOS!$D$23,"ATENCION A VICTIMAS POR VIOLENCIA DE GENERO",IF(P36=CURSOS!$D$24,"IGUALDAD DE GENERO EN LA SALUD",IF(P36=CURSOS!$D$25,"BRIGADA DE EMERGENCIA",IF(P36=CURSOS!$D$26,"MANEJO DEL DOLOR Y CUIDADOS PALIATIVOS",IF(P36=CURSOS!$D$27,"TOMA DE MUESTRAS Y LABORATORIO POCT",IF(P36=CURSOS!$D$28,"IMPLANTE SUBDERMICO DE DISPOSITIVO INTRAUTERINO",IF(P36=CURSOS!$D$29,"SALUD MENTAL",IF(P36=CURSOS!$D$30,"PRIMEROS AUXILIOS PSICOLOGICOS",IF(P36=CURSOS!$D$31,"ATENCION A VICTIMAS POR CONFLICTO ARMADO",IF(P36=CURSOS!$D$32,"MANIPULACION DE ALIMENTOS Y BPM",IF(P36=CURSOS!$D$33,"ATENCION A PERSONAS CON DISCAPACIDAD",IF(P36=CURSOS!$D$34,"CUIDADO INTEGRAL DEL PACIENTE ADULTO",IF(P36=CURSOS!$D$35,"MANEJO DEFENSIVO",IF(P36=CURSOS!$D$36,"SOPORTE CARDIOVASCULAR AVANZADO NEONATAL",IF(P36=CURSOS!$D$37,"SEGURIDAD DEL PACIENTE",IF(P36=CURSOS!$D$38,"MANEJO DE RESIDUOS HOSPITALARIOS",IF(P36=CURSOS!$D$39,"ATENCION DE PACIENTE POR CONSUMO SUSTANCIAS PSICOACTIVAS Y ADICCIONES")))))))))))))))))))))))))))))))))))))</f>
        <v>SOPORTE VITAL BASICO (BLS)</v>
      </c>
      <c r="W36" s="75" t="str">
        <f t="shared" si="0"/>
        <v>Daniela Fernanda Yanguatin Criollo</v>
      </c>
      <c r="X36" s="75" t="str">
        <f t="shared" si="1"/>
        <v>Daniela Fernanda Yanguatin Criollo</v>
      </c>
      <c r="Y36" s="75" t="str">
        <f t="shared" si="2"/>
        <v>Daniela Fernanda Yanguatin Criollo-1081572038-BLS</v>
      </c>
    </row>
    <row r="37" spans="1:25" s="76" customFormat="1" x14ac:dyDescent="0.2">
      <c r="A37" s="67">
        <v>36</v>
      </c>
      <c r="B37" s="68">
        <v>1081572038</v>
      </c>
      <c r="C37" s="68" t="s">
        <v>220</v>
      </c>
      <c r="D37" s="68" t="s">
        <v>221</v>
      </c>
      <c r="E37" s="68" t="s">
        <v>222</v>
      </c>
      <c r="F37" s="68" t="s">
        <v>115</v>
      </c>
      <c r="G37" s="68">
        <v>7</v>
      </c>
      <c r="H37" s="68" t="s">
        <v>100</v>
      </c>
      <c r="I37" s="68" t="s">
        <v>129</v>
      </c>
      <c r="J37" s="69" t="s">
        <v>124</v>
      </c>
      <c r="K37" s="70">
        <v>45818</v>
      </c>
      <c r="L37" s="71">
        <v>30000</v>
      </c>
      <c r="M37" s="68" t="s">
        <v>177</v>
      </c>
      <c r="N37" s="68" t="s">
        <v>207</v>
      </c>
      <c r="O37" s="68" t="s">
        <v>108</v>
      </c>
      <c r="P37" s="72" t="s">
        <v>25</v>
      </c>
      <c r="Q37" s="69">
        <v>38267</v>
      </c>
      <c r="R37" s="68" t="s">
        <v>109</v>
      </c>
      <c r="S37" s="68" t="s">
        <v>130</v>
      </c>
      <c r="T37" s="68">
        <v>3024211630</v>
      </c>
      <c r="U37" s="68" t="s">
        <v>223</v>
      </c>
      <c r="V37" s="75" t="str">
        <f>IF(P37=CURSOS!$D$3,"DIPLOMADO EN ATENCION PRE-HOSPITALARIA",IF(P37=CURSOS!$D$4,"ACOMPAÑAMIENTO Y MANEJO DEL DUELO",IF(P37=CURSOS!$D$5,"ATENCION A VICTIMAS DE ATAQUE CON AGENTES QUIMICOS ",IF(P37=CURSOS!$D$6,"PRIMEROS AUXILIOS ",IF(P37=CURSOS!$D$7,"DIPLOMADO DE UNIDAD DE CUIDADOS INTENSIVOS (UCI)",IF(P37=CURSOS!$D$8,"MODELO DE ATENCION PARA EVENTOS EMERGENTES EN SALUD MENTAL (CODIGO VERDE)",IF(P37=CURSOS!$D$9,"HUMANIZACION EN EL SERVICIO DE LA SALUD Y BUENAS PRACTICAS EN PACIENTE ",IF(P37=CURSOS!$D$10,"CLINICA DE HERIDAS ",IF(P37=CURSOS!$D$11,"TOMA DE CITOLOGIA CERVICO VAGINAL ",IF(P37=CURSOS!$D$12,"SOPORTE CARDIOVASCULAR AVANZADO (ACLS) ",IF(P37=CURSOS!$D$13,"CAMILLERO ",IF(P37=CURSOS!$D$14,"TOMA DE MUESTRAS Y LABORATORIO ",IF(P37=CURSOS!$D$15,"SOPORTE VITAL BASICO (BLS)",IF(P37=CURSOS!$D$16,"ATENCION A VICTIMAS DE VIOLENCIA SEXUAL ",IF(P37=CURSOS!$D$17,"PROGRAMADO AMPLIADO DE INMUNIZACION (PAI - COVID 19)",IF(P37=CURSOS!$D$18,"ATENCION INTEGRAL EN ENFERMEDADES PREVALENTES EN PRIMERA INFANCIA (AIEPI)",IF(P37=CURSOS!$D$19,"ADMINISTRACION DE MEDICAMENTOS, INYECTOLOGIA  Y CANALIZACION ",IF(P37=CURSOS!$D$20,"OPERADOR DE VEHICULOS DE EMERGENCIA (OVE)",IF(P37=CURSOS!$D$21,"INSTITUCIONES AMIGAS DE LA MUJER Y LA INFANCIA (IAMI)",IF(P37=CURSOS!$D$22,"CUIDADO DEL DONANTE DE ORGANOS",IF(P37=CURSOS!$D$23,"ATENCION A VICTIMAS POR VIOLENCIA DE GENERO",IF(P37=CURSOS!$D$24,"IGUALDAD DE GENERO EN LA SALUD",IF(P37=CURSOS!$D$25,"BRIGADA DE EMERGENCIA",IF(P37=CURSOS!$D$26,"MANEJO DEL DOLOR Y CUIDADOS PALIATIVOS",IF(P37=CURSOS!$D$27,"TOMA DE MUESTRAS Y LABORATORIO POCT",IF(P37=CURSOS!$D$28,"IMPLANTE SUBDERMICO DE DISPOSITIVO INTRAUTERINO",IF(P37=CURSOS!$D$29,"SALUD MENTAL",IF(P37=CURSOS!$D$30,"PRIMEROS AUXILIOS PSICOLOGICOS",IF(P37=CURSOS!$D$31,"ATENCION A VICTIMAS POR CONFLICTO ARMADO",IF(P37=CURSOS!$D$32,"MANIPULACION DE ALIMENTOS Y BPM",IF(P37=CURSOS!$D$33,"ATENCION A PERSONAS CON DISCAPACIDAD",IF(P37=CURSOS!$D$34,"CUIDADO INTEGRAL DEL PACIENTE ADULTO",IF(P37=CURSOS!$D$35,"MANEJO DEFENSIVO",IF(P37=CURSOS!$D$36,"SOPORTE CARDIOVASCULAR AVANZADO NEONATAL",IF(P37=CURSOS!$D$37,"SEGURIDAD DEL PACIENTE",IF(P37=CURSOS!$D$38,"MANEJO DE RESIDUOS HOSPITALARIOS",IF(P37=CURSOS!$D$39,"ATENCION DE PACIENTE POR CONSUMO SUSTANCIAS PSICOACTIVAS Y ADICCIONES")))))))))))))))))))))))))))))))))))))</f>
        <v xml:space="preserve">ATENCION A VICTIMAS DE ATAQUE CON AGENTES QUIMICOS </v>
      </c>
      <c r="W37" s="75" t="str">
        <f t="shared" si="0"/>
        <v>Daniela Fernanda Yanguatin Criollo</v>
      </c>
      <c r="X37" s="75" t="str">
        <f t="shared" si="1"/>
        <v>Daniela Fernanda Yanguatin Criollo</v>
      </c>
      <c r="Y37" s="75" t="str">
        <f t="shared" si="2"/>
        <v>Daniela Fernanda Yanguatin Criollo-1081572038-QUIMICOS</v>
      </c>
    </row>
    <row r="38" spans="1:25" s="76" customFormat="1" x14ac:dyDescent="0.2">
      <c r="A38" s="67">
        <v>37</v>
      </c>
      <c r="B38" s="68">
        <v>1081572038</v>
      </c>
      <c r="C38" s="68" t="s">
        <v>220</v>
      </c>
      <c r="D38" s="68" t="s">
        <v>221</v>
      </c>
      <c r="E38" s="68" t="s">
        <v>222</v>
      </c>
      <c r="F38" s="68" t="s">
        <v>115</v>
      </c>
      <c r="G38" s="68">
        <v>7</v>
      </c>
      <c r="H38" s="68" t="s">
        <v>100</v>
      </c>
      <c r="I38" s="68" t="s">
        <v>129</v>
      </c>
      <c r="J38" s="69" t="s">
        <v>124</v>
      </c>
      <c r="K38" s="70">
        <v>45818</v>
      </c>
      <c r="L38" s="71">
        <v>30000</v>
      </c>
      <c r="M38" s="68" t="s">
        <v>177</v>
      </c>
      <c r="N38" s="68" t="s">
        <v>207</v>
      </c>
      <c r="O38" s="68" t="s">
        <v>108</v>
      </c>
      <c r="P38" s="72" t="s">
        <v>42</v>
      </c>
      <c r="Q38" s="69">
        <v>38267</v>
      </c>
      <c r="R38" s="68" t="s">
        <v>109</v>
      </c>
      <c r="S38" s="68" t="s">
        <v>130</v>
      </c>
      <c r="T38" s="68">
        <v>3024211630</v>
      </c>
      <c r="U38" s="68" t="s">
        <v>223</v>
      </c>
      <c r="V38" s="75" t="str">
        <f>IF(P38=CURSOS!$D$3,"DIPLOMADO EN ATENCION PRE-HOSPITALARIA",IF(P38=CURSOS!$D$4,"ACOMPAÑAMIENTO Y MANEJO DEL DUELO",IF(P38=CURSOS!$D$5,"ATENCION A VICTIMAS DE ATAQUE CON AGENTES QUIMICOS ",IF(P38=CURSOS!$D$6,"PRIMEROS AUXILIOS ",IF(P38=CURSOS!$D$7,"DIPLOMADO DE UNIDAD DE CUIDADOS INTENSIVOS (UCI)",IF(P38=CURSOS!$D$8,"MODELO DE ATENCION PARA EVENTOS EMERGENTES EN SALUD MENTAL (CODIGO VERDE)",IF(P38=CURSOS!$D$9,"HUMANIZACION EN EL SERVICIO DE LA SALUD Y BUENAS PRACTICAS EN PACIENTE ",IF(P38=CURSOS!$D$10,"CLINICA DE HERIDAS ",IF(P38=CURSOS!$D$11,"TOMA DE CITOLOGIA CERVICO VAGINAL ",IF(P38=CURSOS!$D$12,"SOPORTE CARDIOVASCULAR AVANZADO (ACLS) ",IF(P38=CURSOS!$D$13,"CAMILLERO ",IF(P38=CURSOS!$D$14,"TOMA DE MUESTRAS Y LABORATORIO ",IF(P38=CURSOS!$D$15,"SOPORTE VITAL BASICO (BLS)",IF(P38=CURSOS!$D$16,"ATENCION A VICTIMAS DE VIOLENCIA SEXUAL ",IF(P38=CURSOS!$D$17,"PROGRAMADO AMPLIADO DE INMUNIZACION (PAI - COVID 19)",IF(P38=CURSOS!$D$18,"ATENCION INTEGRAL EN ENFERMEDADES PREVALENTES EN PRIMERA INFANCIA (AIEPI)",IF(P38=CURSOS!$D$19,"ADMINISTRACION DE MEDICAMENTOS, INYECTOLOGIA  Y CANALIZACION ",IF(P38=CURSOS!$D$20,"OPERADOR DE VEHICULOS DE EMERGENCIA (OVE)",IF(P38=CURSOS!$D$21,"INSTITUCIONES AMIGAS DE LA MUJER Y LA INFANCIA (IAMI)",IF(P38=CURSOS!$D$22,"CUIDADO DEL DONANTE DE ORGANOS",IF(P38=CURSOS!$D$23,"ATENCION A VICTIMAS POR VIOLENCIA DE GENERO",IF(P38=CURSOS!$D$24,"IGUALDAD DE GENERO EN LA SALUD",IF(P38=CURSOS!$D$25,"BRIGADA DE EMERGENCIA",IF(P38=CURSOS!$D$26,"MANEJO DEL DOLOR Y CUIDADOS PALIATIVOS",IF(P38=CURSOS!$D$27,"TOMA DE MUESTRAS Y LABORATORIO POCT",IF(P38=CURSOS!$D$28,"IMPLANTE SUBDERMICO DE DISPOSITIVO INTRAUTERINO",IF(P38=CURSOS!$D$29,"SALUD MENTAL",IF(P38=CURSOS!$D$30,"PRIMEROS AUXILIOS PSICOLOGICOS",IF(P38=CURSOS!$D$31,"ATENCION A VICTIMAS POR CONFLICTO ARMADO",IF(P38=CURSOS!$D$32,"MANIPULACION DE ALIMENTOS Y BPM",IF(P38=CURSOS!$D$33,"ATENCION A PERSONAS CON DISCAPACIDAD",IF(P38=CURSOS!$D$34,"CUIDADO INTEGRAL DEL PACIENTE ADULTO",IF(P38=CURSOS!$D$35,"MANEJO DEFENSIVO",IF(P38=CURSOS!$D$36,"SOPORTE CARDIOVASCULAR AVANZADO NEONATAL",IF(P38=CURSOS!$D$37,"SEGURIDAD DEL PACIENTE",IF(P38=CURSOS!$D$38,"MANEJO DE RESIDUOS HOSPITALARIOS",IF(P38=CURSOS!$D$39,"ATENCION DE PACIENTE POR CONSUMO SUSTANCIAS PSICOACTIVAS Y ADICCIONES")))))))))))))))))))))))))))))))))))))</f>
        <v xml:space="preserve">ATENCION A VICTIMAS DE VIOLENCIA SEXUAL </v>
      </c>
      <c r="W38" s="75" t="str">
        <f t="shared" si="0"/>
        <v>Daniela Fernanda Yanguatin Criollo</v>
      </c>
      <c r="X38" s="75" t="str">
        <f t="shared" si="1"/>
        <v>Daniela Fernanda Yanguatin Criollo</v>
      </c>
      <c r="Y38" s="75" t="str">
        <f t="shared" si="2"/>
        <v>Daniela Fernanda Yanguatin Criollo-1081572038-VIOLENCIA SEXUAL</v>
      </c>
    </row>
    <row r="39" spans="1:25" s="76" customFormat="1" x14ac:dyDescent="0.2">
      <c r="A39" s="67">
        <v>38</v>
      </c>
      <c r="B39" s="68">
        <v>1081572038</v>
      </c>
      <c r="C39" s="68" t="s">
        <v>220</v>
      </c>
      <c r="D39" s="68" t="s">
        <v>221</v>
      </c>
      <c r="E39" s="68" t="s">
        <v>222</v>
      </c>
      <c r="F39" s="68" t="s">
        <v>115</v>
      </c>
      <c r="G39" s="68">
        <v>9</v>
      </c>
      <c r="H39" s="68" t="s">
        <v>100</v>
      </c>
      <c r="I39" s="68" t="s">
        <v>129</v>
      </c>
      <c r="J39" s="69" t="s">
        <v>124</v>
      </c>
      <c r="K39" s="70">
        <v>45818</v>
      </c>
      <c r="L39" s="71">
        <v>30000</v>
      </c>
      <c r="M39" s="68" t="s">
        <v>177</v>
      </c>
      <c r="N39" s="68" t="s">
        <v>207</v>
      </c>
      <c r="O39" s="68" t="s">
        <v>108</v>
      </c>
      <c r="P39" s="72" t="s">
        <v>23</v>
      </c>
      <c r="Q39" s="69">
        <v>38267</v>
      </c>
      <c r="R39" s="68" t="s">
        <v>109</v>
      </c>
      <c r="S39" s="68" t="s">
        <v>130</v>
      </c>
      <c r="T39" s="68">
        <v>3024211630</v>
      </c>
      <c r="U39" s="68" t="s">
        <v>223</v>
      </c>
      <c r="V39" s="75" t="str">
        <f>IF(P39=CURSOS!$D$3,"DIPLOMADO EN ATENCION PRE-HOSPITALARIA",IF(P39=CURSOS!$D$4,"ACOMPAÑAMIENTO Y MANEJO DEL DUELO",IF(P39=CURSOS!$D$5,"ATENCION A VICTIMAS DE ATAQUE CON AGENTES QUIMICOS ",IF(P39=CURSOS!$D$6,"PRIMEROS AUXILIOS ",IF(P39=CURSOS!$D$7,"DIPLOMADO DE UNIDAD DE CUIDADOS INTENSIVOS (UCI)",IF(P39=CURSOS!$D$8,"MODELO DE ATENCION PARA EVENTOS EMERGENTES EN SALUD MENTAL (CODIGO VERDE)",IF(P39=CURSOS!$D$9,"HUMANIZACION EN EL SERVICIO DE LA SALUD Y BUENAS PRACTICAS EN PACIENTE ",IF(P39=CURSOS!$D$10,"CLINICA DE HERIDAS ",IF(P39=CURSOS!$D$11,"TOMA DE CITOLOGIA CERVICO VAGINAL ",IF(P39=CURSOS!$D$12,"SOPORTE CARDIOVASCULAR AVANZADO (ACLS) ",IF(P39=CURSOS!$D$13,"CAMILLERO ",IF(P39=CURSOS!$D$14,"TOMA DE MUESTRAS Y LABORATORIO ",IF(P39=CURSOS!$D$15,"SOPORTE VITAL BASICO (BLS)",IF(P39=CURSOS!$D$16,"ATENCION A VICTIMAS DE VIOLENCIA SEXUAL ",IF(P39=CURSOS!$D$17,"PROGRAMADO AMPLIADO DE INMUNIZACION (PAI - COVID 19)",IF(P39=CURSOS!$D$18,"ATENCION INTEGRAL EN ENFERMEDADES PREVALENTES EN PRIMERA INFANCIA (AIEPI)",IF(P39=CURSOS!$D$19,"ADMINISTRACION DE MEDICAMENTOS, INYECTOLOGIA  Y CANALIZACION ",IF(P39=CURSOS!$D$20,"OPERADOR DE VEHICULOS DE EMERGENCIA (OVE)",IF(P39=CURSOS!$D$21,"INSTITUCIONES AMIGAS DE LA MUJER Y LA INFANCIA (IAMI)",IF(P39=CURSOS!$D$22,"CUIDADO DEL DONANTE DE ORGANOS",IF(P39=CURSOS!$D$23,"ATENCION A VICTIMAS POR VIOLENCIA DE GENERO",IF(P39=CURSOS!$D$24,"IGUALDAD DE GENERO EN LA SALUD",IF(P39=CURSOS!$D$25,"BRIGADA DE EMERGENCIA",IF(P39=CURSOS!$D$26,"MANEJO DEL DOLOR Y CUIDADOS PALIATIVOS",IF(P39=CURSOS!$D$27,"TOMA DE MUESTRAS Y LABORATORIO POCT",IF(P39=CURSOS!$D$28,"IMPLANTE SUBDERMICO DE DISPOSITIVO INTRAUTERINO",IF(P39=CURSOS!$D$29,"SALUD MENTAL",IF(P39=CURSOS!$D$30,"PRIMEROS AUXILIOS PSICOLOGICOS",IF(P39=CURSOS!$D$31,"ATENCION A VICTIMAS POR CONFLICTO ARMADO",IF(P39=CURSOS!$D$32,"MANIPULACION DE ALIMENTOS Y BPM",IF(P39=CURSOS!$D$33,"ATENCION A PERSONAS CON DISCAPACIDAD",IF(P39=CURSOS!$D$34,"CUIDADO INTEGRAL DEL PACIENTE ADULTO",IF(P39=CURSOS!$D$35,"MANEJO DEFENSIVO",IF(P39=CURSOS!$D$36,"SOPORTE CARDIOVASCULAR AVANZADO NEONATAL",IF(P39=CURSOS!$D$37,"SEGURIDAD DEL PACIENTE",IF(P39=CURSOS!$D$38,"MANEJO DE RESIDUOS HOSPITALARIOS",IF(P39=CURSOS!$D$39,"ATENCION DE PACIENTE POR CONSUMO SUSTANCIAS PSICOACTIVAS Y ADICCIONES")))))))))))))))))))))))))))))))))))))</f>
        <v>ACOMPAÑAMIENTO Y MANEJO DEL DUELO</v>
      </c>
      <c r="W39" s="75" t="str">
        <f t="shared" si="0"/>
        <v>Daniela Fernanda Yanguatin Criollo</v>
      </c>
      <c r="X39" s="75" t="str">
        <f t="shared" si="1"/>
        <v>Daniela Fernanda Yanguatin Criollo</v>
      </c>
      <c r="Y39" s="75" t="str">
        <f t="shared" si="2"/>
        <v>Daniela Fernanda Yanguatin Criollo-1081572038-DUELO</v>
      </c>
    </row>
    <row r="40" spans="1:25" s="76" customFormat="1" x14ac:dyDescent="0.2">
      <c r="A40" s="67">
        <v>39</v>
      </c>
      <c r="B40" s="68">
        <v>1081572038</v>
      </c>
      <c r="C40" s="68" t="s">
        <v>220</v>
      </c>
      <c r="D40" s="68" t="s">
        <v>221</v>
      </c>
      <c r="E40" s="68" t="s">
        <v>222</v>
      </c>
      <c r="F40" s="68" t="s">
        <v>115</v>
      </c>
      <c r="G40" s="68">
        <v>6</v>
      </c>
      <c r="H40" s="68" t="s">
        <v>100</v>
      </c>
      <c r="I40" s="68" t="s">
        <v>129</v>
      </c>
      <c r="J40" s="69" t="s">
        <v>124</v>
      </c>
      <c r="K40" s="70">
        <v>45818</v>
      </c>
      <c r="L40" s="71">
        <v>30000</v>
      </c>
      <c r="M40" s="68" t="s">
        <v>177</v>
      </c>
      <c r="N40" s="68" t="s">
        <v>207</v>
      </c>
      <c r="O40" s="68" t="s">
        <v>108</v>
      </c>
      <c r="P40" s="72" t="s">
        <v>32</v>
      </c>
      <c r="Q40" s="69">
        <v>38267</v>
      </c>
      <c r="R40" s="68" t="s">
        <v>109</v>
      </c>
      <c r="S40" s="68" t="s">
        <v>130</v>
      </c>
      <c r="T40" s="68">
        <v>3024211630</v>
      </c>
      <c r="U40" s="68" t="s">
        <v>223</v>
      </c>
      <c r="V40" s="75" t="str">
        <f>IF(P40=CURSOS!$D$3,"DIPLOMADO EN ATENCION PRE-HOSPITALARIA",IF(P40=CURSOS!$D$4,"ACOMPAÑAMIENTO Y MANEJO DEL DUELO",IF(P40=CURSOS!$D$5,"ATENCION A VICTIMAS DE ATAQUE CON AGENTES QUIMICOS ",IF(P40=CURSOS!$D$6,"PRIMEROS AUXILIOS ",IF(P40=CURSOS!$D$7,"DIPLOMADO DE UNIDAD DE CUIDADOS INTENSIVOS (UCI)",IF(P40=CURSOS!$D$8,"MODELO DE ATENCION PARA EVENTOS EMERGENTES EN SALUD MENTAL (CODIGO VERDE)",IF(P40=CURSOS!$D$9,"HUMANIZACION EN EL SERVICIO DE LA SALUD Y BUENAS PRACTICAS EN PACIENTE ",IF(P40=CURSOS!$D$10,"CLINICA DE HERIDAS ",IF(P40=CURSOS!$D$11,"TOMA DE CITOLOGIA CERVICO VAGINAL ",IF(P40=CURSOS!$D$12,"SOPORTE CARDIOVASCULAR AVANZADO (ACLS) ",IF(P40=CURSOS!$D$13,"CAMILLERO ",IF(P40=CURSOS!$D$14,"TOMA DE MUESTRAS Y LABORATORIO ",IF(P40=CURSOS!$D$15,"SOPORTE VITAL BASICO (BLS)",IF(P40=CURSOS!$D$16,"ATENCION A VICTIMAS DE VIOLENCIA SEXUAL ",IF(P40=CURSOS!$D$17,"PROGRAMADO AMPLIADO DE INMUNIZACION (PAI - COVID 19)",IF(P40=CURSOS!$D$18,"ATENCION INTEGRAL EN ENFERMEDADES PREVALENTES EN PRIMERA INFANCIA (AIEPI)",IF(P40=CURSOS!$D$19,"ADMINISTRACION DE MEDICAMENTOS, INYECTOLOGIA  Y CANALIZACION ",IF(P40=CURSOS!$D$20,"OPERADOR DE VEHICULOS DE EMERGENCIA (OVE)",IF(P40=CURSOS!$D$21,"INSTITUCIONES AMIGAS DE LA MUJER Y LA INFANCIA (IAMI)",IF(P40=CURSOS!$D$22,"CUIDADO DEL DONANTE DE ORGANOS",IF(P40=CURSOS!$D$23,"ATENCION A VICTIMAS POR VIOLENCIA DE GENERO",IF(P40=CURSOS!$D$24,"IGUALDAD DE GENERO EN LA SALUD",IF(P40=CURSOS!$D$25,"BRIGADA DE EMERGENCIA",IF(P40=CURSOS!$D$26,"MANEJO DEL DOLOR Y CUIDADOS PALIATIVOS",IF(P40=CURSOS!$D$27,"TOMA DE MUESTRAS Y LABORATORIO POCT",IF(P40=CURSOS!$D$28,"IMPLANTE SUBDERMICO DE DISPOSITIVO INTRAUTERINO",IF(P40=CURSOS!$D$29,"SALUD MENTAL",IF(P40=CURSOS!$D$30,"PRIMEROS AUXILIOS PSICOLOGICOS",IF(P40=CURSOS!$D$31,"ATENCION A VICTIMAS POR CONFLICTO ARMADO",IF(P40=CURSOS!$D$32,"MANIPULACION DE ALIMENTOS Y BPM",IF(P40=CURSOS!$D$33,"ATENCION A PERSONAS CON DISCAPACIDAD",IF(P40=CURSOS!$D$34,"CUIDADO INTEGRAL DEL PACIENTE ADULTO",IF(P40=CURSOS!$D$35,"MANEJO DEFENSIVO",IF(P40=CURSOS!$D$36,"SOPORTE CARDIOVASCULAR AVANZADO NEONATAL",IF(P40=CURSOS!$D$37,"SEGURIDAD DEL PACIENTE",IF(P40=CURSOS!$D$38,"MANEJO DE RESIDUOS HOSPITALARIOS",IF(P40=CURSOS!$D$39,"ATENCION DE PACIENTE POR CONSUMO SUSTANCIAS PSICOACTIVAS Y ADICCIONES")))))))))))))))))))))))))))))))))))))</f>
        <v xml:space="preserve">HUMANIZACION EN EL SERVICIO DE LA SALUD Y BUENAS PRACTICAS EN PACIENTE </v>
      </c>
      <c r="W40" s="75" t="str">
        <f t="shared" si="0"/>
        <v>Daniela Fernanda Yanguatin Criollo</v>
      </c>
      <c r="X40" s="75" t="str">
        <f t="shared" si="1"/>
        <v>Daniela Fernanda Yanguatin Criollo</v>
      </c>
      <c r="Y40" s="75" t="str">
        <f t="shared" si="2"/>
        <v>Daniela Fernanda Yanguatin Criollo-1081572038-HUMANIZACION</v>
      </c>
    </row>
    <row r="41" spans="1:25" s="76" customFormat="1" x14ac:dyDescent="0.2">
      <c r="A41" s="67">
        <v>40</v>
      </c>
      <c r="B41" s="68">
        <v>1081572038</v>
      </c>
      <c r="C41" s="68" t="s">
        <v>220</v>
      </c>
      <c r="D41" s="68" t="s">
        <v>221</v>
      </c>
      <c r="E41" s="68" t="s">
        <v>222</v>
      </c>
      <c r="F41" s="68" t="s">
        <v>115</v>
      </c>
      <c r="G41" s="68">
        <v>5</v>
      </c>
      <c r="H41" s="68" t="s">
        <v>100</v>
      </c>
      <c r="I41" s="68" t="s">
        <v>129</v>
      </c>
      <c r="J41" s="69" t="s">
        <v>124</v>
      </c>
      <c r="K41" s="70">
        <v>45818</v>
      </c>
      <c r="L41" s="71">
        <v>30000</v>
      </c>
      <c r="M41" s="68" t="s">
        <v>177</v>
      </c>
      <c r="N41" s="68" t="s">
        <v>207</v>
      </c>
      <c r="O41" s="68" t="s">
        <v>108</v>
      </c>
      <c r="P41" s="72" t="s">
        <v>57</v>
      </c>
      <c r="Q41" s="69">
        <v>38267</v>
      </c>
      <c r="R41" s="68" t="s">
        <v>109</v>
      </c>
      <c r="S41" s="68" t="s">
        <v>130</v>
      </c>
      <c r="T41" s="68">
        <v>3024211630</v>
      </c>
      <c r="U41" s="68" t="s">
        <v>223</v>
      </c>
      <c r="V41" s="75" t="str">
        <f>IF(P41=CURSOS!$D$3,"DIPLOMADO EN ATENCION PRE-HOSPITALARIA",IF(P41=CURSOS!$D$4,"ACOMPAÑAMIENTO Y MANEJO DEL DUELO",IF(P41=CURSOS!$D$5,"ATENCION A VICTIMAS DE ATAQUE CON AGENTES QUIMICOS ",IF(P41=CURSOS!$D$6,"PRIMEROS AUXILIOS ",IF(P41=CURSOS!$D$7,"DIPLOMADO DE UNIDAD DE CUIDADOS INTENSIVOS (UCI)",IF(P41=CURSOS!$D$8,"MODELO DE ATENCION PARA EVENTOS EMERGENTES EN SALUD MENTAL (CODIGO VERDE)",IF(P41=CURSOS!$D$9,"HUMANIZACION EN EL SERVICIO DE LA SALUD Y BUENAS PRACTICAS EN PACIENTE ",IF(P41=CURSOS!$D$10,"CLINICA DE HERIDAS ",IF(P41=CURSOS!$D$11,"TOMA DE CITOLOGIA CERVICO VAGINAL ",IF(P41=CURSOS!$D$12,"SOPORTE CARDIOVASCULAR AVANZADO (ACLS) ",IF(P41=CURSOS!$D$13,"CAMILLERO ",IF(P41=CURSOS!$D$14,"TOMA DE MUESTRAS Y LABORATORIO ",IF(P41=CURSOS!$D$15,"SOPORTE VITAL BASICO (BLS)",IF(P41=CURSOS!$D$16,"ATENCION A VICTIMAS DE VIOLENCIA SEXUAL ",IF(P41=CURSOS!$D$17,"PROGRAMADO AMPLIADO DE INMUNIZACION (PAI - COVID 19)",IF(P41=CURSOS!$D$18,"ATENCION INTEGRAL EN ENFERMEDADES PREVALENTES EN PRIMERA INFANCIA (AIEPI)",IF(P41=CURSOS!$D$19,"ADMINISTRACION DE MEDICAMENTOS, INYECTOLOGIA  Y CANALIZACION ",IF(P41=CURSOS!$D$20,"OPERADOR DE VEHICULOS DE EMERGENCIA (OVE)",IF(P41=CURSOS!$D$21,"INSTITUCIONES AMIGAS DE LA MUJER Y LA INFANCIA (IAMI)",IF(P41=CURSOS!$D$22,"CUIDADO DEL DONANTE DE ORGANOS",IF(P41=CURSOS!$D$23,"ATENCION A VICTIMAS POR VIOLENCIA DE GENERO",IF(P41=CURSOS!$D$24,"IGUALDAD DE GENERO EN LA SALUD",IF(P41=CURSOS!$D$25,"BRIGADA DE EMERGENCIA",IF(P41=CURSOS!$D$26,"MANEJO DEL DOLOR Y CUIDADOS PALIATIVOS",IF(P41=CURSOS!$D$27,"TOMA DE MUESTRAS Y LABORATORIO POCT",IF(P41=CURSOS!$D$28,"IMPLANTE SUBDERMICO DE DISPOSITIVO INTRAUTERINO",IF(P41=CURSOS!$D$29,"SALUD MENTAL",IF(P41=CURSOS!$D$30,"PRIMEROS AUXILIOS PSICOLOGICOS",IF(P41=CURSOS!$D$31,"ATENCION A VICTIMAS POR CONFLICTO ARMADO",IF(P41=CURSOS!$D$32,"MANIPULACION DE ALIMENTOS Y BPM",IF(P41=CURSOS!$D$33,"ATENCION A PERSONAS CON DISCAPACIDAD",IF(P41=CURSOS!$D$34,"CUIDADO INTEGRAL DEL PACIENTE ADULTO",IF(P41=CURSOS!$D$35,"MANEJO DEFENSIVO",IF(P41=CURSOS!$D$36,"SOPORTE CARDIOVASCULAR AVANZADO NEONATAL",IF(P41=CURSOS!$D$37,"SEGURIDAD DEL PACIENTE",IF(P41=CURSOS!$D$38,"MANEJO DE RESIDUOS HOSPITALARIOS",IF(P41=CURSOS!$D$39,"ATENCION DE PACIENTE POR CONSUMO SUSTANCIAS PSICOACTIVAS Y ADICCIONES")))))))))))))))))))))))))))))))))))))</f>
        <v>MANEJO DEL DOLOR Y CUIDADOS PALIATIVOS</v>
      </c>
      <c r="W41" s="75" t="str">
        <f t="shared" si="0"/>
        <v>Daniela Fernanda Yanguatin Criollo</v>
      </c>
      <c r="X41" s="75" t="str">
        <f t="shared" si="1"/>
        <v>Daniela Fernanda Yanguatin Criollo</v>
      </c>
      <c r="Y41" s="75" t="str">
        <f t="shared" si="2"/>
        <v>Daniela Fernanda Yanguatin Criollo-1081572038-PALIATIVOS</v>
      </c>
    </row>
    <row r="42" spans="1:25" s="76" customFormat="1" x14ac:dyDescent="0.2">
      <c r="A42" s="67">
        <v>41</v>
      </c>
      <c r="B42" s="68">
        <v>37085908</v>
      </c>
      <c r="C42" s="68" t="s">
        <v>103</v>
      </c>
      <c r="D42" s="68" t="s">
        <v>231</v>
      </c>
      <c r="E42" s="68" t="s">
        <v>232</v>
      </c>
      <c r="F42" s="68" t="s">
        <v>233</v>
      </c>
      <c r="G42" s="68">
        <v>7</v>
      </c>
      <c r="H42" s="68" t="s">
        <v>100</v>
      </c>
      <c r="I42" s="68" t="s">
        <v>129</v>
      </c>
      <c r="J42" s="69" t="s">
        <v>235</v>
      </c>
      <c r="K42" s="70">
        <v>45819</v>
      </c>
      <c r="L42" s="71">
        <v>40000</v>
      </c>
      <c r="M42" s="68" t="s">
        <v>168</v>
      </c>
      <c r="N42" s="68" t="s">
        <v>207</v>
      </c>
      <c r="O42" s="68" t="s">
        <v>108</v>
      </c>
      <c r="P42" s="72" t="s">
        <v>28</v>
      </c>
      <c r="Q42" s="69">
        <v>31103</v>
      </c>
      <c r="R42" s="68" t="s">
        <v>109</v>
      </c>
      <c r="S42" s="73" t="s">
        <v>130</v>
      </c>
      <c r="T42" s="68">
        <v>3137365201</v>
      </c>
      <c r="U42" s="68" t="s">
        <v>234</v>
      </c>
      <c r="V42" s="75" t="str">
        <f>IF(P42=CURSOS!$D$3,"DIPLOMADO EN ATENCION PRE-HOSPITALARIA",IF(P42=CURSOS!$D$4,"ACOMPAÑAMIENTO Y MANEJO DEL DUELO",IF(P42=CURSOS!$D$5,"ATENCION A VICTIMAS DE ATAQUE CON AGENTES QUIMICOS ",IF(P42=CURSOS!$D$6,"PRIMEROS AUXILIOS ",IF(P42=CURSOS!$D$7,"DIPLOMADO DE UNIDAD DE CUIDADOS INTENSIVOS (UCI)",IF(P42=CURSOS!$D$8,"MODELO DE ATENCION PARA EVENTOS EMERGENTES EN SALUD MENTAL (CODIGO VERDE)",IF(P42=CURSOS!$D$9,"HUMANIZACION EN EL SERVICIO DE LA SALUD Y BUENAS PRACTICAS EN PACIENTE ",IF(P42=CURSOS!$D$10,"CLINICA DE HERIDAS ",IF(P42=CURSOS!$D$11,"TOMA DE CITOLOGIA CERVICO VAGINAL ",IF(P42=CURSOS!$D$12,"SOPORTE CARDIOVASCULAR AVANZADO (ACLS) ",IF(P42=CURSOS!$D$13,"CAMILLERO ",IF(P42=CURSOS!$D$14,"TOMA DE MUESTRAS Y LABORATORIO ",IF(P42=CURSOS!$D$15,"SOPORTE VITAL BASICO (BLS)",IF(P42=CURSOS!$D$16,"ATENCION A VICTIMAS DE VIOLENCIA SEXUAL ",IF(P42=CURSOS!$D$17,"PROGRAMADO AMPLIADO DE INMUNIZACION (PAI - COVID 19)",IF(P42=CURSOS!$D$18,"ATENCION INTEGRAL EN ENFERMEDADES PREVALENTES EN PRIMERA INFANCIA (AIEPI)",IF(P42=CURSOS!$D$19,"ADMINISTRACION DE MEDICAMENTOS, INYECTOLOGIA  Y CANALIZACION ",IF(P42=CURSOS!$D$20,"OPERADOR DE VEHICULOS DE EMERGENCIA (OVE)",IF(P42=CURSOS!$D$21,"INSTITUCIONES AMIGAS DE LA MUJER Y LA INFANCIA (IAMI)",IF(P42=CURSOS!$D$22,"CUIDADO DEL DONANTE DE ORGANOS",IF(P42=CURSOS!$D$23,"ATENCION A VICTIMAS POR VIOLENCIA DE GENERO",IF(P42=CURSOS!$D$24,"IGUALDAD DE GENERO EN LA SALUD",IF(P42=CURSOS!$D$25,"BRIGADA DE EMERGENCIA",IF(P42=CURSOS!$D$26,"MANEJO DEL DOLOR Y CUIDADOS PALIATIVOS",IF(P42=CURSOS!$D$27,"TOMA DE MUESTRAS Y LABORATORIO POCT",IF(P42=CURSOS!$D$28,"IMPLANTE SUBDERMICO DE DISPOSITIVO INTRAUTERINO",IF(P42=CURSOS!$D$29,"SALUD MENTAL",IF(P42=CURSOS!$D$30,"PRIMEROS AUXILIOS PSICOLOGICOS",IF(P42=CURSOS!$D$31,"ATENCION A VICTIMAS POR CONFLICTO ARMADO",IF(P42=CURSOS!$D$32,"MANIPULACION DE ALIMENTOS Y BPM",IF(P42=CURSOS!$D$33,"ATENCION A PERSONAS CON DISCAPACIDAD",IF(P42=CURSOS!$D$34,"CUIDADO INTEGRAL DEL PACIENTE ADULTO",IF(P42=CURSOS!$D$35,"MANEJO DEFENSIVO",IF(P42=CURSOS!$D$36,"SOPORTE CARDIOVASCULAR AVANZADO NEONATAL",IF(P42=CURSOS!$D$37,"SEGURIDAD DEL PACIENTE",IF(P42=CURSOS!$D$38,"MANEJO DE RESIDUOS HOSPITALARIOS",IF(P42=CURSOS!$D$39,"ATENCION DE PACIENTE POR CONSUMO SUSTANCIAS PSICOACTIVAS Y ADICCIONES")))))))))))))))))))))))))))))))))))))</f>
        <v>DIPLOMADO DE UNIDAD DE CUIDADOS INTENSIVOS (UCI)</v>
      </c>
      <c r="W42" s="75" t="str">
        <f t="shared" si="0"/>
        <v>Claudia Ximena Ortega Ortiz</v>
      </c>
      <c r="X42" s="75" t="str">
        <f t="shared" si="1"/>
        <v>Claudia Ximena Ortega Ortiz</v>
      </c>
      <c r="Y42" s="75" t="str">
        <f t="shared" si="2"/>
        <v>Claudia Ximena Ortega Ortiz-37085908-UCI</v>
      </c>
    </row>
    <row r="43" spans="1:25" s="76" customFormat="1" x14ac:dyDescent="0.2">
      <c r="A43" s="67">
        <v>42</v>
      </c>
      <c r="B43" s="68">
        <v>37085908</v>
      </c>
      <c r="C43" s="68" t="s">
        <v>103</v>
      </c>
      <c r="D43" s="68" t="s">
        <v>231</v>
      </c>
      <c r="E43" s="68" t="s">
        <v>232</v>
      </c>
      <c r="F43" s="68" t="s">
        <v>233</v>
      </c>
      <c r="G43" s="68">
        <v>11</v>
      </c>
      <c r="H43" s="68" t="s">
        <v>100</v>
      </c>
      <c r="I43" s="68" t="s">
        <v>129</v>
      </c>
      <c r="J43" s="69" t="s">
        <v>235</v>
      </c>
      <c r="K43" s="70">
        <v>45819</v>
      </c>
      <c r="L43" s="71">
        <v>40000</v>
      </c>
      <c r="M43" s="68" t="s">
        <v>168</v>
      </c>
      <c r="N43" s="68" t="s">
        <v>207</v>
      </c>
      <c r="O43" s="68" t="s">
        <v>108</v>
      </c>
      <c r="P43" s="72" t="s">
        <v>32</v>
      </c>
      <c r="Q43" s="69">
        <v>31103</v>
      </c>
      <c r="R43" s="68" t="s">
        <v>109</v>
      </c>
      <c r="S43" s="73" t="s">
        <v>130</v>
      </c>
      <c r="T43" s="68">
        <v>3137365201</v>
      </c>
      <c r="U43" s="68" t="s">
        <v>234</v>
      </c>
      <c r="V43" s="75" t="str">
        <f>IF(P43=CURSOS!$D$3,"DIPLOMADO EN ATENCION PRE-HOSPITALARIA",IF(P43=CURSOS!$D$4,"ACOMPAÑAMIENTO Y MANEJO DEL DUELO",IF(P43=CURSOS!$D$5,"ATENCION A VICTIMAS DE ATAQUE CON AGENTES QUIMICOS ",IF(P43=CURSOS!$D$6,"PRIMEROS AUXILIOS ",IF(P43=CURSOS!$D$7,"DIPLOMADO DE UNIDAD DE CUIDADOS INTENSIVOS (UCI)",IF(P43=CURSOS!$D$8,"MODELO DE ATENCION PARA EVENTOS EMERGENTES EN SALUD MENTAL (CODIGO VERDE)",IF(P43=CURSOS!$D$9,"HUMANIZACION EN EL SERVICIO DE LA SALUD Y BUENAS PRACTICAS EN PACIENTE ",IF(P43=CURSOS!$D$10,"CLINICA DE HERIDAS ",IF(P43=CURSOS!$D$11,"TOMA DE CITOLOGIA CERVICO VAGINAL ",IF(P43=CURSOS!$D$12,"SOPORTE CARDIOVASCULAR AVANZADO (ACLS) ",IF(P43=CURSOS!$D$13,"CAMILLERO ",IF(P43=CURSOS!$D$14,"TOMA DE MUESTRAS Y LABORATORIO ",IF(P43=CURSOS!$D$15,"SOPORTE VITAL BASICO (BLS)",IF(P43=CURSOS!$D$16,"ATENCION A VICTIMAS DE VIOLENCIA SEXUAL ",IF(P43=CURSOS!$D$17,"PROGRAMADO AMPLIADO DE INMUNIZACION (PAI - COVID 19)",IF(P43=CURSOS!$D$18,"ATENCION INTEGRAL EN ENFERMEDADES PREVALENTES EN PRIMERA INFANCIA (AIEPI)",IF(P43=CURSOS!$D$19,"ADMINISTRACION DE MEDICAMENTOS, INYECTOLOGIA  Y CANALIZACION ",IF(P43=CURSOS!$D$20,"OPERADOR DE VEHICULOS DE EMERGENCIA (OVE)",IF(P43=CURSOS!$D$21,"INSTITUCIONES AMIGAS DE LA MUJER Y LA INFANCIA (IAMI)",IF(P43=CURSOS!$D$22,"CUIDADO DEL DONANTE DE ORGANOS",IF(P43=CURSOS!$D$23,"ATENCION A VICTIMAS POR VIOLENCIA DE GENERO",IF(P43=CURSOS!$D$24,"IGUALDAD DE GENERO EN LA SALUD",IF(P43=CURSOS!$D$25,"BRIGADA DE EMERGENCIA",IF(P43=CURSOS!$D$26,"MANEJO DEL DOLOR Y CUIDADOS PALIATIVOS",IF(P43=CURSOS!$D$27,"TOMA DE MUESTRAS Y LABORATORIO POCT",IF(P43=CURSOS!$D$28,"IMPLANTE SUBDERMICO DE DISPOSITIVO INTRAUTERINO",IF(P43=CURSOS!$D$29,"SALUD MENTAL",IF(P43=CURSOS!$D$30,"PRIMEROS AUXILIOS PSICOLOGICOS",IF(P43=CURSOS!$D$31,"ATENCION A VICTIMAS POR CONFLICTO ARMADO",IF(P43=CURSOS!$D$32,"MANIPULACION DE ALIMENTOS Y BPM",IF(P43=CURSOS!$D$33,"ATENCION A PERSONAS CON DISCAPACIDAD",IF(P43=CURSOS!$D$34,"CUIDADO INTEGRAL DEL PACIENTE ADULTO",IF(P43=CURSOS!$D$35,"MANEJO DEFENSIVO",IF(P43=CURSOS!$D$36,"SOPORTE CARDIOVASCULAR AVANZADO NEONATAL",IF(P43=CURSOS!$D$37,"SEGURIDAD DEL PACIENTE",IF(P43=CURSOS!$D$38,"MANEJO DE RESIDUOS HOSPITALARIOS",IF(P43=CURSOS!$D$39,"ATENCION DE PACIENTE POR CONSUMO SUSTANCIAS PSICOACTIVAS Y ADICCIONES")))))))))))))))))))))))))))))))))))))</f>
        <v xml:space="preserve">HUMANIZACION EN EL SERVICIO DE LA SALUD Y BUENAS PRACTICAS EN PACIENTE </v>
      </c>
      <c r="W43" s="75" t="str">
        <f t="shared" si="0"/>
        <v>Claudia Ximena Ortega Ortiz</v>
      </c>
      <c r="X43" s="75" t="str">
        <f t="shared" si="1"/>
        <v>Claudia Ximena Ortega Ortiz</v>
      </c>
      <c r="Y43" s="75" t="str">
        <f t="shared" si="2"/>
        <v>Claudia Ximena Ortega Ortiz-37085908-HUMANIZACION</v>
      </c>
    </row>
    <row r="44" spans="1:25" s="76" customFormat="1" x14ac:dyDescent="0.2">
      <c r="A44" s="67">
        <v>43</v>
      </c>
      <c r="B44" s="68">
        <v>37085908</v>
      </c>
      <c r="C44" s="68" t="s">
        <v>103</v>
      </c>
      <c r="D44" s="68" t="s">
        <v>231</v>
      </c>
      <c r="E44" s="68" t="s">
        <v>232</v>
      </c>
      <c r="F44" s="68" t="s">
        <v>233</v>
      </c>
      <c r="G44" s="68">
        <v>9</v>
      </c>
      <c r="H44" s="68" t="s">
        <v>100</v>
      </c>
      <c r="I44" s="68" t="s">
        <v>129</v>
      </c>
      <c r="J44" s="69" t="s">
        <v>235</v>
      </c>
      <c r="K44" s="70">
        <v>45819</v>
      </c>
      <c r="L44" s="71">
        <v>40000</v>
      </c>
      <c r="M44" s="68" t="s">
        <v>168</v>
      </c>
      <c r="N44" s="68" t="s">
        <v>207</v>
      </c>
      <c r="O44" s="68" t="s">
        <v>108</v>
      </c>
      <c r="P44" s="72" t="s">
        <v>25</v>
      </c>
      <c r="Q44" s="69">
        <v>31103</v>
      </c>
      <c r="R44" s="68" t="s">
        <v>109</v>
      </c>
      <c r="S44" s="73" t="s">
        <v>130</v>
      </c>
      <c r="T44" s="68">
        <v>3137365201</v>
      </c>
      <c r="U44" s="68" t="s">
        <v>234</v>
      </c>
      <c r="V44" s="75" t="str">
        <f>IF(P44=CURSOS!$D$3,"DIPLOMADO EN ATENCION PRE-HOSPITALARIA",IF(P44=CURSOS!$D$4,"ACOMPAÑAMIENTO Y MANEJO DEL DUELO",IF(P44=CURSOS!$D$5,"ATENCION A VICTIMAS DE ATAQUE CON AGENTES QUIMICOS ",IF(P44=CURSOS!$D$6,"PRIMEROS AUXILIOS ",IF(P44=CURSOS!$D$7,"DIPLOMADO DE UNIDAD DE CUIDADOS INTENSIVOS (UCI)",IF(P44=CURSOS!$D$8,"MODELO DE ATENCION PARA EVENTOS EMERGENTES EN SALUD MENTAL (CODIGO VERDE)",IF(P44=CURSOS!$D$9,"HUMANIZACION EN EL SERVICIO DE LA SALUD Y BUENAS PRACTICAS EN PACIENTE ",IF(P44=CURSOS!$D$10,"CLINICA DE HERIDAS ",IF(P44=CURSOS!$D$11,"TOMA DE CITOLOGIA CERVICO VAGINAL ",IF(P44=CURSOS!$D$12,"SOPORTE CARDIOVASCULAR AVANZADO (ACLS) ",IF(P44=CURSOS!$D$13,"CAMILLERO ",IF(P44=CURSOS!$D$14,"TOMA DE MUESTRAS Y LABORATORIO ",IF(P44=CURSOS!$D$15,"SOPORTE VITAL BASICO (BLS)",IF(P44=CURSOS!$D$16,"ATENCION A VICTIMAS DE VIOLENCIA SEXUAL ",IF(P44=CURSOS!$D$17,"PROGRAMADO AMPLIADO DE INMUNIZACION (PAI - COVID 19)",IF(P44=CURSOS!$D$18,"ATENCION INTEGRAL EN ENFERMEDADES PREVALENTES EN PRIMERA INFANCIA (AIEPI)",IF(P44=CURSOS!$D$19,"ADMINISTRACION DE MEDICAMENTOS, INYECTOLOGIA  Y CANALIZACION ",IF(P44=CURSOS!$D$20,"OPERADOR DE VEHICULOS DE EMERGENCIA (OVE)",IF(P44=CURSOS!$D$21,"INSTITUCIONES AMIGAS DE LA MUJER Y LA INFANCIA (IAMI)",IF(P44=CURSOS!$D$22,"CUIDADO DEL DONANTE DE ORGANOS",IF(P44=CURSOS!$D$23,"ATENCION A VICTIMAS POR VIOLENCIA DE GENERO",IF(P44=CURSOS!$D$24,"IGUALDAD DE GENERO EN LA SALUD",IF(P44=CURSOS!$D$25,"BRIGADA DE EMERGENCIA",IF(P44=CURSOS!$D$26,"MANEJO DEL DOLOR Y CUIDADOS PALIATIVOS",IF(P44=CURSOS!$D$27,"TOMA DE MUESTRAS Y LABORATORIO POCT",IF(P44=CURSOS!$D$28,"IMPLANTE SUBDERMICO DE DISPOSITIVO INTRAUTERINO",IF(P44=CURSOS!$D$29,"SALUD MENTAL",IF(P44=CURSOS!$D$30,"PRIMEROS AUXILIOS PSICOLOGICOS",IF(P44=CURSOS!$D$31,"ATENCION A VICTIMAS POR CONFLICTO ARMADO",IF(P44=CURSOS!$D$32,"MANIPULACION DE ALIMENTOS Y BPM",IF(P44=CURSOS!$D$33,"ATENCION A PERSONAS CON DISCAPACIDAD",IF(P44=CURSOS!$D$34,"CUIDADO INTEGRAL DEL PACIENTE ADULTO",IF(P44=CURSOS!$D$35,"MANEJO DEFENSIVO",IF(P44=CURSOS!$D$36,"SOPORTE CARDIOVASCULAR AVANZADO NEONATAL",IF(P44=CURSOS!$D$37,"SEGURIDAD DEL PACIENTE",IF(P44=CURSOS!$D$38,"MANEJO DE RESIDUOS HOSPITALARIOS",IF(P44=CURSOS!$D$39,"ATENCION DE PACIENTE POR CONSUMO SUSTANCIAS PSICOACTIVAS Y ADICCIONES")))))))))))))))))))))))))))))))))))))</f>
        <v xml:space="preserve">ATENCION A VICTIMAS DE ATAQUE CON AGENTES QUIMICOS </v>
      </c>
      <c r="W44" s="75" t="str">
        <f t="shared" si="0"/>
        <v>Claudia Ximena Ortega Ortiz</v>
      </c>
      <c r="X44" s="75" t="str">
        <f t="shared" si="1"/>
        <v>Claudia Ximena Ortega Ortiz</v>
      </c>
      <c r="Y44" s="75" t="str">
        <f t="shared" si="2"/>
        <v>Claudia Ximena Ortega Ortiz-37085908-QUIMICOS</v>
      </c>
    </row>
    <row r="45" spans="1:25" s="76" customFormat="1" x14ac:dyDescent="0.2">
      <c r="A45" s="67">
        <v>44</v>
      </c>
      <c r="B45" s="72">
        <v>13071477</v>
      </c>
      <c r="C45" s="68" t="s">
        <v>179</v>
      </c>
      <c r="D45" s="68" t="s">
        <v>236</v>
      </c>
      <c r="E45" s="68" t="s">
        <v>172</v>
      </c>
      <c r="F45" s="68" t="s">
        <v>237</v>
      </c>
      <c r="G45" s="68">
        <v>9</v>
      </c>
      <c r="H45" s="68" t="s">
        <v>100</v>
      </c>
      <c r="I45" s="68" t="s">
        <v>129</v>
      </c>
      <c r="J45" s="69" t="s">
        <v>148</v>
      </c>
      <c r="K45" s="70">
        <v>45819</v>
      </c>
      <c r="L45" s="71">
        <v>28000</v>
      </c>
      <c r="M45" s="68" t="s">
        <v>123</v>
      </c>
      <c r="N45" s="68" t="s">
        <v>207</v>
      </c>
      <c r="O45" s="68" t="s">
        <v>149</v>
      </c>
      <c r="P45" s="72" t="s">
        <v>42</v>
      </c>
      <c r="Q45" s="69">
        <v>29834</v>
      </c>
      <c r="R45" s="68" t="s">
        <v>141</v>
      </c>
      <c r="S45" s="84" t="s">
        <v>156</v>
      </c>
      <c r="T45" s="68">
        <v>3137454675</v>
      </c>
      <c r="U45" s="68" t="s">
        <v>238</v>
      </c>
      <c r="V45" s="75" t="str">
        <f>IF(P45=CURSOS!$D$3,"DIPLOMADO EN ATENCION PRE-HOSPITALARIA",IF(P45=CURSOS!$D$4,"ACOMPAÑAMIENTO Y MANEJO DEL DUELO",IF(P45=CURSOS!$D$5,"ATENCION A VICTIMAS DE ATAQUE CON AGENTES QUIMICOS ",IF(P45=CURSOS!$D$6,"PRIMEROS AUXILIOS ",IF(P45=CURSOS!$D$7,"DIPLOMADO DE UNIDAD DE CUIDADOS INTENSIVOS (UCI)",IF(P45=CURSOS!$D$8,"MODELO DE ATENCION PARA EVENTOS EMERGENTES EN SALUD MENTAL (CODIGO VERDE)",IF(P45=CURSOS!$D$9,"HUMANIZACION EN EL SERVICIO DE LA SALUD Y BUENAS PRACTICAS EN PACIENTE ",IF(P45=CURSOS!$D$10,"CLINICA DE HERIDAS ",IF(P45=CURSOS!$D$11,"TOMA DE CITOLOGIA CERVICO VAGINAL ",IF(P45=CURSOS!$D$12,"SOPORTE CARDIOVASCULAR AVANZADO (ACLS) ",IF(P45=CURSOS!$D$13,"CAMILLERO ",IF(P45=CURSOS!$D$14,"TOMA DE MUESTRAS Y LABORATORIO ",IF(P45=CURSOS!$D$15,"SOPORTE VITAL BASICO (BLS)",IF(P45=CURSOS!$D$16,"ATENCION A VICTIMAS DE VIOLENCIA SEXUAL ",IF(P45=CURSOS!$D$17,"PROGRAMADO AMPLIADO DE INMUNIZACION (PAI - COVID 19)",IF(P45=CURSOS!$D$18,"ATENCION INTEGRAL EN ENFERMEDADES PREVALENTES EN PRIMERA INFANCIA (AIEPI)",IF(P45=CURSOS!$D$19,"ADMINISTRACION DE MEDICAMENTOS, INYECTOLOGIA  Y CANALIZACION ",IF(P45=CURSOS!$D$20,"OPERADOR DE VEHICULOS DE EMERGENCIA (OVE)",IF(P45=CURSOS!$D$21,"INSTITUCIONES AMIGAS DE LA MUJER Y LA INFANCIA (IAMI)",IF(P45=CURSOS!$D$22,"CUIDADO DEL DONANTE DE ORGANOS",IF(P45=CURSOS!$D$23,"ATENCION A VICTIMAS POR VIOLENCIA DE GENERO",IF(P45=CURSOS!$D$24,"IGUALDAD DE GENERO EN LA SALUD",IF(P45=CURSOS!$D$25,"BRIGADA DE EMERGENCIA",IF(P45=CURSOS!$D$26,"MANEJO DEL DOLOR Y CUIDADOS PALIATIVOS",IF(P45=CURSOS!$D$27,"TOMA DE MUESTRAS Y LABORATORIO POCT",IF(P45=CURSOS!$D$28,"IMPLANTE SUBDERMICO DE DISPOSITIVO INTRAUTERINO",IF(P45=CURSOS!$D$29,"SALUD MENTAL",IF(P45=CURSOS!$D$30,"PRIMEROS AUXILIOS PSICOLOGICOS",IF(P45=CURSOS!$D$31,"ATENCION A VICTIMAS POR CONFLICTO ARMADO",IF(P45=CURSOS!$D$32,"MANIPULACION DE ALIMENTOS Y BPM",IF(P45=CURSOS!$D$33,"ATENCION A PERSONAS CON DISCAPACIDAD",IF(P45=CURSOS!$D$34,"CUIDADO INTEGRAL DEL PACIENTE ADULTO",IF(P45=CURSOS!$D$35,"MANEJO DEFENSIVO",IF(P45=CURSOS!$D$36,"SOPORTE CARDIOVASCULAR AVANZADO NEONATAL",IF(P45=CURSOS!$D$37,"SEGURIDAD DEL PACIENTE",IF(P45=CURSOS!$D$38,"MANEJO DE RESIDUOS HOSPITALARIOS",IF(P45=CURSOS!$D$39,"ATENCION DE PACIENTE POR CONSUMO SUSTANCIAS PSICOACTIVAS Y ADICCIONES")))))))))))))))))))))))))))))))))))))</f>
        <v xml:space="preserve">ATENCION A VICTIMAS DE VIOLENCIA SEXUAL </v>
      </c>
      <c r="W45" s="75" t="str">
        <f t="shared" si="0"/>
        <v>Fernando Gonzalo Mora Acosta</v>
      </c>
      <c r="X45" s="75" t="str">
        <f t="shared" si="1"/>
        <v>Fernando Gonzalo Mora Acosta</v>
      </c>
      <c r="Y45" s="75" t="str">
        <f t="shared" si="2"/>
        <v>Fernando Gonzalo Mora Acosta-13071477-VIOLENCIA SEXUAL</v>
      </c>
    </row>
    <row r="46" spans="1:25" s="76" customFormat="1" x14ac:dyDescent="0.2">
      <c r="A46" s="67">
        <v>45</v>
      </c>
      <c r="B46" s="72">
        <v>13071477</v>
      </c>
      <c r="C46" s="68" t="s">
        <v>179</v>
      </c>
      <c r="D46" s="68" t="s">
        <v>236</v>
      </c>
      <c r="E46" s="68" t="s">
        <v>172</v>
      </c>
      <c r="F46" s="68" t="s">
        <v>237</v>
      </c>
      <c r="G46" s="68">
        <v>11</v>
      </c>
      <c r="H46" s="68" t="s">
        <v>100</v>
      </c>
      <c r="I46" s="68" t="s">
        <v>129</v>
      </c>
      <c r="J46" s="69" t="s">
        <v>148</v>
      </c>
      <c r="K46" s="70">
        <v>45819</v>
      </c>
      <c r="L46" s="71">
        <v>28000</v>
      </c>
      <c r="M46" s="68" t="s">
        <v>123</v>
      </c>
      <c r="N46" s="68" t="s">
        <v>207</v>
      </c>
      <c r="O46" s="68" t="s">
        <v>149</v>
      </c>
      <c r="P46" s="72" t="s">
        <v>25</v>
      </c>
      <c r="Q46" s="69">
        <v>29834</v>
      </c>
      <c r="R46" s="68" t="s">
        <v>141</v>
      </c>
      <c r="S46" s="84" t="s">
        <v>156</v>
      </c>
      <c r="T46" s="68">
        <v>3137454675</v>
      </c>
      <c r="U46" s="68" t="s">
        <v>238</v>
      </c>
      <c r="V46" s="75" t="str">
        <f>IF(P46=CURSOS!$D$3,"DIPLOMADO EN ATENCION PRE-HOSPITALARIA",IF(P46=CURSOS!$D$4,"ACOMPAÑAMIENTO Y MANEJO DEL DUELO",IF(P46=CURSOS!$D$5,"ATENCION A VICTIMAS DE ATAQUE CON AGENTES QUIMICOS ",IF(P46=CURSOS!$D$6,"PRIMEROS AUXILIOS ",IF(P46=CURSOS!$D$7,"DIPLOMADO DE UNIDAD DE CUIDADOS INTENSIVOS (UCI)",IF(P46=CURSOS!$D$8,"MODELO DE ATENCION PARA EVENTOS EMERGENTES EN SALUD MENTAL (CODIGO VERDE)",IF(P46=CURSOS!$D$9,"HUMANIZACION EN EL SERVICIO DE LA SALUD Y BUENAS PRACTICAS EN PACIENTE ",IF(P46=CURSOS!$D$10,"CLINICA DE HERIDAS ",IF(P46=CURSOS!$D$11,"TOMA DE CITOLOGIA CERVICO VAGINAL ",IF(P46=CURSOS!$D$12,"SOPORTE CARDIOVASCULAR AVANZADO (ACLS) ",IF(P46=CURSOS!$D$13,"CAMILLERO ",IF(P46=CURSOS!$D$14,"TOMA DE MUESTRAS Y LABORATORIO ",IF(P46=CURSOS!$D$15,"SOPORTE VITAL BASICO (BLS)",IF(P46=CURSOS!$D$16,"ATENCION A VICTIMAS DE VIOLENCIA SEXUAL ",IF(P46=CURSOS!$D$17,"PROGRAMADO AMPLIADO DE INMUNIZACION (PAI - COVID 19)",IF(P46=CURSOS!$D$18,"ATENCION INTEGRAL EN ENFERMEDADES PREVALENTES EN PRIMERA INFANCIA (AIEPI)",IF(P46=CURSOS!$D$19,"ADMINISTRACION DE MEDICAMENTOS, INYECTOLOGIA  Y CANALIZACION ",IF(P46=CURSOS!$D$20,"OPERADOR DE VEHICULOS DE EMERGENCIA (OVE)",IF(P46=CURSOS!$D$21,"INSTITUCIONES AMIGAS DE LA MUJER Y LA INFANCIA (IAMI)",IF(P46=CURSOS!$D$22,"CUIDADO DEL DONANTE DE ORGANOS",IF(P46=CURSOS!$D$23,"ATENCION A VICTIMAS POR VIOLENCIA DE GENERO",IF(P46=CURSOS!$D$24,"IGUALDAD DE GENERO EN LA SALUD",IF(P46=CURSOS!$D$25,"BRIGADA DE EMERGENCIA",IF(P46=CURSOS!$D$26,"MANEJO DEL DOLOR Y CUIDADOS PALIATIVOS",IF(P46=CURSOS!$D$27,"TOMA DE MUESTRAS Y LABORATORIO POCT",IF(P46=CURSOS!$D$28,"IMPLANTE SUBDERMICO DE DISPOSITIVO INTRAUTERINO",IF(P46=CURSOS!$D$29,"SALUD MENTAL",IF(P46=CURSOS!$D$30,"PRIMEROS AUXILIOS PSICOLOGICOS",IF(P46=CURSOS!$D$31,"ATENCION A VICTIMAS POR CONFLICTO ARMADO",IF(P46=CURSOS!$D$32,"MANIPULACION DE ALIMENTOS Y BPM",IF(P46=CURSOS!$D$33,"ATENCION A PERSONAS CON DISCAPACIDAD",IF(P46=CURSOS!$D$34,"CUIDADO INTEGRAL DEL PACIENTE ADULTO",IF(P46=CURSOS!$D$35,"MANEJO DEFENSIVO",IF(P46=CURSOS!$D$36,"SOPORTE CARDIOVASCULAR AVANZADO NEONATAL",IF(P46=CURSOS!$D$37,"SEGURIDAD DEL PACIENTE",IF(P46=CURSOS!$D$38,"MANEJO DE RESIDUOS HOSPITALARIOS",IF(P46=CURSOS!$D$39,"ATENCION DE PACIENTE POR CONSUMO SUSTANCIAS PSICOACTIVAS Y ADICCIONES")))))))))))))))))))))))))))))))))))))</f>
        <v xml:space="preserve">ATENCION A VICTIMAS DE ATAQUE CON AGENTES QUIMICOS </v>
      </c>
      <c r="W46" s="75" t="str">
        <f t="shared" si="0"/>
        <v>Fernando Gonzalo Mora Acosta</v>
      </c>
      <c r="X46" s="75" t="str">
        <f t="shared" si="1"/>
        <v>Fernando Gonzalo Mora Acosta</v>
      </c>
      <c r="Y46" s="75" t="str">
        <f t="shared" si="2"/>
        <v>Fernando Gonzalo Mora Acosta-13071477-QUIMICOS</v>
      </c>
    </row>
    <row r="47" spans="1:25" s="76" customFormat="1" x14ac:dyDescent="0.2">
      <c r="A47" s="67">
        <v>46</v>
      </c>
      <c r="B47" s="72">
        <v>13071477</v>
      </c>
      <c r="C47" s="68" t="s">
        <v>179</v>
      </c>
      <c r="D47" s="68" t="s">
        <v>236</v>
      </c>
      <c r="E47" s="68" t="s">
        <v>172</v>
      </c>
      <c r="F47" s="68" t="s">
        <v>237</v>
      </c>
      <c r="G47" s="68">
        <v>10</v>
      </c>
      <c r="H47" s="68" t="s">
        <v>100</v>
      </c>
      <c r="I47" s="68" t="s">
        <v>129</v>
      </c>
      <c r="J47" s="69" t="s">
        <v>148</v>
      </c>
      <c r="K47" s="70">
        <v>45819</v>
      </c>
      <c r="L47" s="71">
        <v>28000</v>
      </c>
      <c r="M47" s="68" t="s">
        <v>123</v>
      </c>
      <c r="N47" s="68" t="s">
        <v>207</v>
      </c>
      <c r="O47" s="68" t="s">
        <v>149</v>
      </c>
      <c r="P47" s="72" t="s">
        <v>23</v>
      </c>
      <c r="Q47" s="69">
        <v>29834</v>
      </c>
      <c r="R47" s="68" t="s">
        <v>141</v>
      </c>
      <c r="S47" s="84" t="s">
        <v>156</v>
      </c>
      <c r="T47" s="68">
        <v>3137454675</v>
      </c>
      <c r="U47" s="68" t="s">
        <v>238</v>
      </c>
      <c r="V47" s="75" t="str">
        <f>IF(P47=CURSOS!$D$3,"DIPLOMADO EN ATENCION PRE-HOSPITALARIA",IF(P47=CURSOS!$D$4,"ACOMPAÑAMIENTO Y MANEJO DEL DUELO",IF(P47=CURSOS!$D$5,"ATENCION A VICTIMAS DE ATAQUE CON AGENTES QUIMICOS ",IF(P47=CURSOS!$D$6,"PRIMEROS AUXILIOS ",IF(P47=CURSOS!$D$7,"DIPLOMADO DE UNIDAD DE CUIDADOS INTENSIVOS (UCI)",IF(P47=CURSOS!$D$8,"MODELO DE ATENCION PARA EVENTOS EMERGENTES EN SALUD MENTAL (CODIGO VERDE)",IF(P47=CURSOS!$D$9,"HUMANIZACION EN EL SERVICIO DE LA SALUD Y BUENAS PRACTICAS EN PACIENTE ",IF(P47=CURSOS!$D$10,"CLINICA DE HERIDAS ",IF(P47=CURSOS!$D$11,"TOMA DE CITOLOGIA CERVICO VAGINAL ",IF(P47=CURSOS!$D$12,"SOPORTE CARDIOVASCULAR AVANZADO (ACLS) ",IF(P47=CURSOS!$D$13,"CAMILLERO ",IF(P47=CURSOS!$D$14,"TOMA DE MUESTRAS Y LABORATORIO ",IF(P47=CURSOS!$D$15,"SOPORTE VITAL BASICO (BLS)",IF(P47=CURSOS!$D$16,"ATENCION A VICTIMAS DE VIOLENCIA SEXUAL ",IF(P47=CURSOS!$D$17,"PROGRAMADO AMPLIADO DE INMUNIZACION (PAI - COVID 19)",IF(P47=CURSOS!$D$18,"ATENCION INTEGRAL EN ENFERMEDADES PREVALENTES EN PRIMERA INFANCIA (AIEPI)",IF(P47=CURSOS!$D$19,"ADMINISTRACION DE MEDICAMENTOS, INYECTOLOGIA  Y CANALIZACION ",IF(P47=CURSOS!$D$20,"OPERADOR DE VEHICULOS DE EMERGENCIA (OVE)",IF(P47=CURSOS!$D$21,"INSTITUCIONES AMIGAS DE LA MUJER Y LA INFANCIA (IAMI)",IF(P47=CURSOS!$D$22,"CUIDADO DEL DONANTE DE ORGANOS",IF(P47=CURSOS!$D$23,"ATENCION A VICTIMAS POR VIOLENCIA DE GENERO",IF(P47=CURSOS!$D$24,"IGUALDAD DE GENERO EN LA SALUD",IF(P47=CURSOS!$D$25,"BRIGADA DE EMERGENCIA",IF(P47=CURSOS!$D$26,"MANEJO DEL DOLOR Y CUIDADOS PALIATIVOS",IF(P47=CURSOS!$D$27,"TOMA DE MUESTRAS Y LABORATORIO POCT",IF(P47=CURSOS!$D$28,"IMPLANTE SUBDERMICO DE DISPOSITIVO INTRAUTERINO",IF(P47=CURSOS!$D$29,"SALUD MENTAL",IF(P47=CURSOS!$D$30,"PRIMEROS AUXILIOS PSICOLOGICOS",IF(P47=CURSOS!$D$31,"ATENCION A VICTIMAS POR CONFLICTO ARMADO",IF(P47=CURSOS!$D$32,"MANIPULACION DE ALIMENTOS Y BPM",IF(P47=CURSOS!$D$33,"ATENCION A PERSONAS CON DISCAPACIDAD",IF(P47=CURSOS!$D$34,"CUIDADO INTEGRAL DEL PACIENTE ADULTO",IF(P47=CURSOS!$D$35,"MANEJO DEFENSIVO",IF(P47=CURSOS!$D$36,"SOPORTE CARDIOVASCULAR AVANZADO NEONATAL",IF(P47=CURSOS!$D$37,"SEGURIDAD DEL PACIENTE",IF(P47=CURSOS!$D$38,"MANEJO DE RESIDUOS HOSPITALARIOS",IF(P47=CURSOS!$D$39,"ATENCION DE PACIENTE POR CONSUMO SUSTANCIAS PSICOACTIVAS Y ADICCIONES")))))))))))))))))))))))))))))))))))))</f>
        <v>ACOMPAÑAMIENTO Y MANEJO DEL DUELO</v>
      </c>
      <c r="W47" s="75" t="str">
        <f t="shared" si="0"/>
        <v>Fernando Gonzalo Mora Acosta</v>
      </c>
      <c r="X47" s="75" t="str">
        <f t="shared" si="1"/>
        <v>Fernando Gonzalo Mora Acosta</v>
      </c>
      <c r="Y47" s="75" t="str">
        <f t="shared" si="2"/>
        <v>Fernando Gonzalo Mora Acosta-13071477-DUELO</v>
      </c>
    </row>
    <row r="48" spans="1:25" s="76" customFormat="1" x14ac:dyDescent="0.2">
      <c r="A48" s="67">
        <v>47</v>
      </c>
      <c r="B48" s="72">
        <v>1088651573</v>
      </c>
      <c r="C48" s="68" t="s">
        <v>239</v>
      </c>
      <c r="D48" s="68" t="s">
        <v>240</v>
      </c>
      <c r="E48" s="68" t="s">
        <v>241</v>
      </c>
      <c r="F48" s="68" t="s">
        <v>242</v>
      </c>
      <c r="G48" s="68">
        <v>9</v>
      </c>
      <c r="H48" s="68" t="s">
        <v>100</v>
      </c>
      <c r="I48" s="68" t="s">
        <v>129</v>
      </c>
      <c r="J48" s="69" t="s">
        <v>124</v>
      </c>
      <c r="K48" s="70">
        <v>45817</v>
      </c>
      <c r="L48" s="71">
        <v>40000</v>
      </c>
      <c r="M48" s="68" t="s">
        <v>123</v>
      </c>
      <c r="N48" s="68" t="s">
        <v>207</v>
      </c>
      <c r="O48" s="68" t="s">
        <v>108</v>
      </c>
      <c r="P48" s="72" t="s">
        <v>26</v>
      </c>
      <c r="Q48" s="69">
        <v>33715</v>
      </c>
      <c r="R48" s="68" t="s">
        <v>141</v>
      </c>
      <c r="S48" s="85" t="s">
        <v>142</v>
      </c>
      <c r="T48" s="68">
        <v>3216045570</v>
      </c>
      <c r="U48" s="68"/>
      <c r="V48" s="75" t="str">
        <f>IF(P48=CURSOS!$D$3,"DIPLOMADO EN ATENCION PRE-HOSPITALARIA",IF(P48=CURSOS!$D$4,"ACOMPAÑAMIENTO Y MANEJO DEL DUELO",IF(P48=CURSOS!$D$5,"ATENCION A VICTIMAS DE ATAQUE CON AGENTES QUIMICOS ",IF(P48=CURSOS!$D$6,"PRIMEROS AUXILIOS ",IF(P48=CURSOS!$D$7,"DIPLOMADO DE UNIDAD DE CUIDADOS INTENSIVOS (UCI)",IF(P48=CURSOS!$D$8,"MODELO DE ATENCION PARA EVENTOS EMERGENTES EN SALUD MENTAL (CODIGO VERDE)",IF(P48=CURSOS!$D$9,"HUMANIZACION EN EL SERVICIO DE LA SALUD Y BUENAS PRACTICAS EN PACIENTE ",IF(P48=CURSOS!$D$10,"CLINICA DE HERIDAS ",IF(P48=CURSOS!$D$11,"TOMA DE CITOLOGIA CERVICO VAGINAL ",IF(P48=CURSOS!$D$12,"SOPORTE CARDIOVASCULAR AVANZADO (ACLS) ",IF(P48=CURSOS!$D$13,"CAMILLERO ",IF(P48=CURSOS!$D$14,"TOMA DE MUESTRAS Y LABORATORIO ",IF(P48=CURSOS!$D$15,"SOPORTE VITAL BASICO (BLS)",IF(P48=CURSOS!$D$16,"ATENCION A VICTIMAS DE VIOLENCIA SEXUAL ",IF(P48=CURSOS!$D$17,"PROGRAMADO AMPLIADO DE INMUNIZACION (PAI - COVID 19)",IF(P48=CURSOS!$D$18,"ATENCION INTEGRAL EN ENFERMEDADES PREVALENTES EN PRIMERA INFANCIA (AIEPI)",IF(P48=CURSOS!$D$19,"ADMINISTRACION DE MEDICAMENTOS, INYECTOLOGIA  Y CANALIZACION ",IF(P48=CURSOS!$D$20,"OPERADOR DE VEHICULOS DE EMERGENCIA (OVE)",IF(P48=CURSOS!$D$21,"INSTITUCIONES AMIGAS DE LA MUJER Y LA INFANCIA (IAMI)",IF(P48=CURSOS!$D$22,"CUIDADO DEL DONANTE DE ORGANOS",IF(P48=CURSOS!$D$23,"ATENCION A VICTIMAS POR VIOLENCIA DE GENERO",IF(P48=CURSOS!$D$24,"IGUALDAD DE GENERO EN LA SALUD",IF(P48=CURSOS!$D$25,"BRIGADA DE EMERGENCIA",IF(P48=CURSOS!$D$26,"MANEJO DEL DOLOR Y CUIDADOS PALIATIVOS",IF(P48=CURSOS!$D$27,"TOMA DE MUESTRAS Y LABORATORIO POCT",IF(P48=CURSOS!$D$28,"IMPLANTE SUBDERMICO DE DISPOSITIVO INTRAUTERINO",IF(P48=CURSOS!$D$29,"SALUD MENTAL",IF(P48=CURSOS!$D$30,"PRIMEROS AUXILIOS PSICOLOGICOS",IF(P48=CURSOS!$D$31,"ATENCION A VICTIMAS POR CONFLICTO ARMADO",IF(P48=CURSOS!$D$32,"MANIPULACION DE ALIMENTOS Y BPM",IF(P48=CURSOS!$D$33,"ATENCION A PERSONAS CON DISCAPACIDAD",IF(P48=CURSOS!$D$34,"CUIDADO INTEGRAL DEL PACIENTE ADULTO",IF(P48=CURSOS!$D$35,"MANEJO DEFENSIVO",IF(P48=CURSOS!$D$36,"SOPORTE CARDIOVASCULAR AVANZADO NEONATAL",IF(P48=CURSOS!$D$37,"SEGURIDAD DEL PACIENTE",IF(P48=CURSOS!$D$38,"MANEJO DE RESIDUOS HOSPITALARIOS",IF(P48=CURSOS!$D$39,"ATENCION DE PACIENTE POR CONSUMO SUSTANCIAS PSICOACTIVAS Y ADICCIONES")))))))))))))))))))))))))))))))))))))</f>
        <v xml:space="preserve">PRIMEROS AUXILIOS </v>
      </c>
      <c r="W48" s="75" t="str">
        <f t="shared" si="0"/>
        <v>Jorge Alexander Cuastumal Quenan</v>
      </c>
      <c r="X48" s="75" t="str">
        <f t="shared" si="1"/>
        <v>Jorge Alexander Cuastumal Quenan</v>
      </c>
      <c r="Y48" s="75" t="str">
        <f t="shared" si="2"/>
        <v>Jorge Alexander Cuastumal Quenan-1088651573-PRIMEROS AUXILIOS</v>
      </c>
    </row>
    <row r="49" spans="1:25" s="76" customFormat="1" x14ac:dyDescent="0.2">
      <c r="A49" s="67">
        <v>48</v>
      </c>
      <c r="B49" s="72">
        <v>1088651573</v>
      </c>
      <c r="C49" s="68" t="s">
        <v>239</v>
      </c>
      <c r="D49" s="68" t="s">
        <v>240</v>
      </c>
      <c r="E49" s="68" t="s">
        <v>241</v>
      </c>
      <c r="F49" s="68" t="s">
        <v>242</v>
      </c>
      <c r="G49" s="68">
        <v>11</v>
      </c>
      <c r="H49" s="68" t="s">
        <v>100</v>
      </c>
      <c r="I49" s="68" t="s">
        <v>129</v>
      </c>
      <c r="J49" s="69" t="s">
        <v>124</v>
      </c>
      <c r="K49" s="70">
        <v>45817</v>
      </c>
      <c r="L49" s="71">
        <v>80000</v>
      </c>
      <c r="M49" s="68" t="s">
        <v>123</v>
      </c>
      <c r="N49" s="68" t="s">
        <v>207</v>
      </c>
      <c r="O49" s="68" t="s">
        <v>108</v>
      </c>
      <c r="P49" s="72" t="s">
        <v>46</v>
      </c>
      <c r="Q49" s="69">
        <v>33715</v>
      </c>
      <c r="R49" s="68" t="s">
        <v>141</v>
      </c>
      <c r="S49" s="85" t="s">
        <v>142</v>
      </c>
      <c r="T49" s="68">
        <v>3216045570</v>
      </c>
      <c r="U49" s="68"/>
      <c r="V49" s="75" t="str">
        <f>IF(P49=CURSOS!$D$3,"DIPLOMADO EN ATENCION PRE-HOSPITALARIA",IF(P49=CURSOS!$D$4,"ACOMPAÑAMIENTO Y MANEJO DEL DUELO",IF(P49=CURSOS!$D$5,"ATENCION A VICTIMAS DE ATAQUE CON AGENTES QUIMICOS ",IF(P49=CURSOS!$D$6,"PRIMEROS AUXILIOS ",IF(P49=CURSOS!$D$7,"DIPLOMADO DE UNIDAD DE CUIDADOS INTENSIVOS (UCI)",IF(P49=CURSOS!$D$8,"MODELO DE ATENCION PARA EVENTOS EMERGENTES EN SALUD MENTAL (CODIGO VERDE)",IF(P49=CURSOS!$D$9,"HUMANIZACION EN EL SERVICIO DE LA SALUD Y BUENAS PRACTICAS EN PACIENTE ",IF(P49=CURSOS!$D$10,"CLINICA DE HERIDAS ",IF(P49=CURSOS!$D$11,"TOMA DE CITOLOGIA CERVICO VAGINAL ",IF(P49=CURSOS!$D$12,"SOPORTE CARDIOVASCULAR AVANZADO (ACLS) ",IF(P49=CURSOS!$D$13,"CAMILLERO ",IF(P49=CURSOS!$D$14,"TOMA DE MUESTRAS Y LABORATORIO ",IF(P49=CURSOS!$D$15,"SOPORTE VITAL BASICO (BLS)",IF(P49=CURSOS!$D$16,"ATENCION A VICTIMAS DE VIOLENCIA SEXUAL ",IF(P49=CURSOS!$D$17,"PROGRAMADO AMPLIADO DE INMUNIZACION (PAI - COVID 19)",IF(P49=CURSOS!$D$18,"ATENCION INTEGRAL EN ENFERMEDADES PREVALENTES EN PRIMERA INFANCIA (AIEPI)",IF(P49=CURSOS!$D$19,"ADMINISTRACION DE MEDICAMENTOS, INYECTOLOGIA  Y CANALIZACION ",IF(P49=CURSOS!$D$20,"OPERADOR DE VEHICULOS DE EMERGENCIA (OVE)",IF(P49=CURSOS!$D$21,"INSTITUCIONES AMIGAS DE LA MUJER Y LA INFANCIA (IAMI)",IF(P49=CURSOS!$D$22,"CUIDADO DEL DONANTE DE ORGANOS",IF(P49=CURSOS!$D$23,"ATENCION A VICTIMAS POR VIOLENCIA DE GENERO",IF(P49=CURSOS!$D$24,"IGUALDAD DE GENERO EN LA SALUD",IF(P49=CURSOS!$D$25,"BRIGADA DE EMERGENCIA",IF(P49=CURSOS!$D$26,"MANEJO DEL DOLOR Y CUIDADOS PALIATIVOS",IF(P49=CURSOS!$D$27,"TOMA DE MUESTRAS Y LABORATORIO POCT",IF(P49=CURSOS!$D$28,"IMPLANTE SUBDERMICO DE DISPOSITIVO INTRAUTERINO",IF(P49=CURSOS!$D$29,"SALUD MENTAL",IF(P49=CURSOS!$D$30,"PRIMEROS AUXILIOS PSICOLOGICOS",IF(P49=CURSOS!$D$31,"ATENCION A VICTIMAS POR CONFLICTO ARMADO",IF(P49=CURSOS!$D$32,"MANIPULACION DE ALIMENTOS Y BPM",IF(P49=CURSOS!$D$33,"ATENCION A PERSONAS CON DISCAPACIDAD",IF(P49=CURSOS!$D$34,"CUIDADO INTEGRAL DEL PACIENTE ADULTO",IF(P49=CURSOS!$D$35,"MANEJO DEFENSIVO",IF(P49=CURSOS!$D$36,"SOPORTE CARDIOVASCULAR AVANZADO NEONATAL",IF(P49=CURSOS!$D$37,"SEGURIDAD DEL PACIENTE",IF(P49=CURSOS!$D$38,"MANEJO DE RESIDUOS HOSPITALARIOS",IF(P49=CURSOS!$D$39,"ATENCION DE PACIENTE POR CONSUMO SUSTANCIAS PSICOACTIVAS Y ADICCIONES")))))))))))))))))))))))))))))))))))))</f>
        <v>OPERADOR DE VEHICULOS DE EMERGENCIA (OVE)</v>
      </c>
      <c r="W49" s="75" t="str">
        <f t="shared" si="0"/>
        <v>Jorge Alexander Cuastumal Quenan</v>
      </c>
      <c r="X49" s="75" t="str">
        <f t="shared" si="1"/>
        <v>Jorge Alexander Cuastumal Quenan</v>
      </c>
      <c r="Y49" s="75" t="str">
        <f t="shared" si="2"/>
        <v>Jorge Alexander Cuastumal Quenan-1088651573-OVE</v>
      </c>
    </row>
    <row r="50" spans="1:25" s="76" customFormat="1" x14ac:dyDescent="0.2">
      <c r="A50" s="67">
        <v>49</v>
      </c>
      <c r="B50" s="72">
        <v>1088651573</v>
      </c>
      <c r="C50" s="68" t="s">
        <v>239</v>
      </c>
      <c r="D50" s="68" t="s">
        <v>240</v>
      </c>
      <c r="E50" s="68" t="s">
        <v>241</v>
      </c>
      <c r="F50" s="68" t="s">
        <v>242</v>
      </c>
      <c r="G50" s="68">
        <v>10</v>
      </c>
      <c r="H50" s="68" t="s">
        <v>100</v>
      </c>
      <c r="I50" s="68" t="s">
        <v>129</v>
      </c>
      <c r="J50" s="69" t="s">
        <v>124</v>
      </c>
      <c r="K50" s="70">
        <v>45817</v>
      </c>
      <c r="L50" s="71">
        <v>80000</v>
      </c>
      <c r="M50" s="68" t="s">
        <v>123</v>
      </c>
      <c r="N50" s="68" t="s">
        <v>207</v>
      </c>
      <c r="O50" s="68" t="s">
        <v>108</v>
      </c>
      <c r="P50" s="72" t="s">
        <v>80</v>
      </c>
      <c r="Q50" s="69">
        <v>33715</v>
      </c>
      <c r="R50" s="68" t="s">
        <v>141</v>
      </c>
      <c r="S50" s="85" t="s">
        <v>142</v>
      </c>
      <c r="T50" s="68">
        <v>3216045570</v>
      </c>
      <c r="U50" s="68"/>
      <c r="V50" s="75" t="str">
        <f>IF(P50=CURSOS!$D$3,"DIPLOMADO EN ATENCION PRE-HOSPITALARIA",IF(P50=CURSOS!$D$4,"ACOMPAÑAMIENTO Y MANEJO DEL DUELO",IF(P50=CURSOS!$D$5,"ATENCION A VICTIMAS DE ATAQUE CON AGENTES QUIMICOS ",IF(P50=CURSOS!$D$6,"PRIMEROS AUXILIOS ",IF(P50=CURSOS!$D$7,"DIPLOMADO DE UNIDAD DE CUIDADOS INTENSIVOS (UCI)",IF(P50=CURSOS!$D$8,"MODELO DE ATENCION PARA EVENTOS EMERGENTES EN SALUD MENTAL (CODIGO VERDE)",IF(P50=CURSOS!$D$9,"HUMANIZACION EN EL SERVICIO DE LA SALUD Y BUENAS PRACTICAS EN PACIENTE ",IF(P50=CURSOS!$D$10,"CLINICA DE HERIDAS ",IF(P50=CURSOS!$D$11,"TOMA DE CITOLOGIA CERVICO VAGINAL ",IF(P50=CURSOS!$D$12,"SOPORTE CARDIOVASCULAR AVANZADO (ACLS) ",IF(P50=CURSOS!$D$13,"CAMILLERO ",IF(P50=CURSOS!$D$14,"TOMA DE MUESTRAS Y LABORATORIO ",IF(P50=CURSOS!$D$15,"SOPORTE VITAL BASICO (BLS)",IF(P50=CURSOS!$D$16,"ATENCION A VICTIMAS DE VIOLENCIA SEXUAL ",IF(P50=CURSOS!$D$17,"PROGRAMADO AMPLIADO DE INMUNIZACION (PAI - COVID 19)",IF(P50=CURSOS!$D$18,"ATENCION INTEGRAL EN ENFERMEDADES PREVALENTES EN PRIMERA INFANCIA (AIEPI)",IF(P50=CURSOS!$D$19,"ADMINISTRACION DE MEDICAMENTOS, INYECTOLOGIA  Y CANALIZACION ",IF(P50=CURSOS!$D$20,"OPERADOR DE VEHICULOS DE EMERGENCIA (OVE)",IF(P50=CURSOS!$D$21,"INSTITUCIONES AMIGAS DE LA MUJER Y LA INFANCIA (IAMI)",IF(P50=CURSOS!$D$22,"CUIDADO DEL DONANTE DE ORGANOS",IF(P50=CURSOS!$D$23,"ATENCION A VICTIMAS POR VIOLENCIA DE GENERO",IF(P50=CURSOS!$D$24,"IGUALDAD DE GENERO EN LA SALUD",IF(P50=CURSOS!$D$25,"BRIGADA DE EMERGENCIA",IF(P50=CURSOS!$D$26,"MANEJO DEL DOLOR Y CUIDADOS PALIATIVOS",IF(P50=CURSOS!$D$27,"TOMA DE MUESTRAS Y LABORATORIO POCT",IF(P50=CURSOS!$D$28,"IMPLANTE SUBDERMICO DE DISPOSITIVO INTRAUTERINO",IF(P50=CURSOS!$D$29,"SALUD MENTAL",IF(P50=CURSOS!$D$30,"PRIMEROS AUXILIOS PSICOLOGICOS",IF(P50=CURSOS!$D$31,"ATENCION A VICTIMAS POR CONFLICTO ARMADO",IF(P50=CURSOS!$D$32,"MANIPULACION DE ALIMENTOS Y BPM",IF(P50=CURSOS!$D$33,"ATENCION A PERSONAS CON DISCAPACIDAD",IF(P50=CURSOS!$D$34,"CUIDADO INTEGRAL DEL PACIENTE ADULTO",IF(P50=CURSOS!$D$35,"MANEJO DEFENSIVO",IF(P50=CURSOS!$D$36,"SOPORTE CARDIOVASCULAR AVANZADO NEONATAL",IF(P50=CURSOS!$D$37,"SEGURIDAD DEL PACIENTE",IF(P50=CURSOS!$D$38,"MANEJO DE RESIDUOS HOSPITALARIOS",IF(P50=CURSOS!$D$39,"ATENCION DE PACIENTE POR CONSUMO SUSTANCIAS PSICOACTIVAS Y ADICCIONES")))))))))))))))))))))))))))))))))))))</f>
        <v>MANEJO DEFENSIVO</v>
      </c>
      <c r="W50" s="75" t="str">
        <f t="shared" si="0"/>
        <v>Jorge Alexander Cuastumal Quenan</v>
      </c>
      <c r="X50" s="75" t="str">
        <f t="shared" si="1"/>
        <v>Jorge Alexander Cuastumal Quenan</v>
      </c>
      <c r="Y50" s="75" t="str">
        <f t="shared" si="2"/>
        <v>Jorge Alexander Cuastumal Quenan-1088651573-MANEJO DEFENSIVO</v>
      </c>
    </row>
    <row r="51" spans="1:25" s="76" customFormat="1" x14ac:dyDescent="0.2">
      <c r="A51" s="67">
        <v>50</v>
      </c>
      <c r="B51" s="68">
        <v>52702928</v>
      </c>
      <c r="C51" s="68" t="s">
        <v>226</v>
      </c>
      <c r="D51" s="68" t="s">
        <v>243</v>
      </c>
      <c r="E51" s="68" t="s">
        <v>244</v>
      </c>
      <c r="F51" s="68"/>
      <c r="G51" s="68">
        <v>12</v>
      </c>
      <c r="H51" s="68" t="s">
        <v>100</v>
      </c>
      <c r="I51" s="68" t="s">
        <v>129</v>
      </c>
      <c r="J51" s="69" t="s">
        <v>124</v>
      </c>
      <c r="K51" s="70">
        <v>45820</v>
      </c>
      <c r="L51" s="71">
        <v>35000</v>
      </c>
      <c r="M51" s="68" t="s">
        <v>123</v>
      </c>
      <c r="N51" s="68" t="s">
        <v>207</v>
      </c>
      <c r="O51" s="68" t="s">
        <v>108</v>
      </c>
      <c r="P51" s="72" t="s">
        <v>23</v>
      </c>
      <c r="Q51" s="69">
        <v>28936</v>
      </c>
      <c r="R51" s="68" t="s">
        <v>109</v>
      </c>
      <c r="S51" s="77" t="s">
        <v>156</v>
      </c>
      <c r="T51" s="68">
        <v>3206878157</v>
      </c>
      <c r="U51" s="68" t="s">
        <v>245</v>
      </c>
      <c r="V51" s="75" t="str">
        <f>IF(P51=CURSOS!$D$3,"DIPLOMADO EN ATENCION PRE-HOSPITALARIA",IF(P51=CURSOS!$D$4,"ACOMPAÑAMIENTO Y MANEJO DEL DUELO",IF(P51=CURSOS!$D$5,"ATENCION A VICTIMAS DE ATAQUE CON AGENTES QUIMICOS ",IF(P51=CURSOS!$D$6,"PRIMEROS AUXILIOS ",IF(P51=CURSOS!$D$7,"DIPLOMADO DE UNIDAD DE CUIDADOS INTENSIVOS (UCI)",IF(P51=CURSOS!$D$8,"MODELO DE ATENCION PARA EVENTOS EMERGENTES EN SALUD MENTAL (CODIGO VERDE)",IF(P51=CURSOS!$D$9,"HUMANIZACION EN EL SERVICIO DE LA SALUD Y BUENAS PRACTICAS EN PACIENTE ",IF(P51=CURSOS!$D$10,"CLINICA DE HERIDAS ",IF(P51=CURSOS!$D$11,"TOMA DE CITOLOGIA CERVICO VAGINAL ",IF(P51=CURSOS!$D$12,"SOPORTE CARDIOVASCULAR AVANZADO (ACLS) ",IF(P51=CURSOS!$D$13,"CAMILLERO ",IF(P51=CURSOS!$D$14,"TOMA DE MUESTRAS Y LABORATORIO ",IF(P51=CURSOS!$D$15,"SOPORTE VITAL BASICO (BLS)",IF(P51=CURSOS!$D$16,"ATENCION A VICTIMAS DE VIOLENCIA SEXUAL ",IF(P51=CURSOS!$D$17,"PROGRAMADO AMPLIADO DE INMUNIZACION (PAI - COVID 19)",IF(P51=CURSOS!$D$18,"ATENCION INTEGRAL EN ENFERMEDADES PREVALENTES EN PRIMERA INFANCIA (AIEPI)",IF(P51=CURSOS!$D$19,"ADMINISTRACION DE MEDICAMENTOS, INYECTOLOGIA  Y CANALIZACION ",IF(P51=CURSOS!$D$20,"OPERADOR DE VEHICULOS DE EMERGENCIA (OVE)",IF(P51=CURSOS!$D$21,"INSTITUCIONES AMIGAS DE LA MUJER Y LA INFANCIA (IAMI)",IF(P51=CURSOS!$D$22,"CUIDADO DEL DONANTE DE ORGANOS",IF(P51=CURSOS!$D$23,"ATENCION A VICTIMAS POR VIOLENCIA DE GENERO",IF(P51=CURSOS!$D$24,"IGUALDAD DE GENERO EN LA SALUD",IF(P51=CURSOS!$D$25,"BRIGADA DE EMERGENCIA",IF(P51=CURSOS!$D$26,"MANEJO DEL DOLOR Y CUIDADOS PALIATIVOS",IF(P51=CURSOS!$D$27,"TOMA DE MUESTRAS Y LABORATORIO POCT",IF(P51=CURSOS!$D$28,"IMPLANTE SUBDERMICO DE DISPOSITIVO INTRAUTERINO",IF(P51=CURSOS!$D$29,"SALUD MENTAL",IF(P51=CURSOS!$D$30,"PRIMEROS AUXILIOS PSICOLOGICOS",IF(P51=CURSOS!$D$31,"ATENCION A VICTIMAS POR CONFLICTO ARMADO",IF(P51=CURSOS!$D$32,"MANIPULACION DE ALIMENTOS Y BPM",IF(P51=CURSOS!$D$33,"ATENCION A PERSONAS CON DISCAPACIDAD",IF(P51=CURSOS!$D$34,"CUIDADO INTEGRAL DEL PACIENTE ADULTO",IF(P51=CURSOS!$D$35,"MANEJO DEFENSIVO",IF(P51=CURSOS!$D$36,"SOPORTE CARDIOVASCULAR AVANZADO NEONATAL",IF(P51=CURSOS!$D$37,"SEGURIDAD DEL PACIENTE",IF(P51=CURSOS!$D$38,"MANEJO DE RESIDUOS HOSPITALARIOS",IF(P51=CURSOS!$D$39,"ATENCION DE PACIENTE POR CONSUMO SUSTANCIAS PSICOACTIVAS Y ADICCIONES")))))))))))))))))))))))))))))))))))))</f>
        <v>ACOMPAÑAMIENTO Y MANEJO DEL DUELO</v>
      </c>
      <c r="W51" s="75" t="str">
        <f t="shared" si="0"/>
        <v>Mercedes  Solarte Palacios</v>
      </c>
      <c r="X51" s="75" t="str">
        <f t="shared" si="1"/>
        <v>Mercedes  Solarte Palacios</v>
      </c>
      <c r="Y51" s="75" t="str">
        <f t="shared" si="2"/>
        <v>Mercedes  Solarte Palacios-52702928-DUELO</v>
      </c>
    </row>
    <row r="52" spans="1:25" s="76" customFormat="1" x14ac:dyDescent="0.2">
      <c r="A52" s="67">
        <v>51</v>
      </c>
      <c r="B52" s="68">
        <v>52702928</v>
      </c>
      <c r="C52" s="68" t="s">
        <v>226</v>
      </c>
      <c r="D52" s="68" t="s">
        <v>243</v>
      </c>
      <c r="E52" s="68" t="s">
        <v>244</v>
      </c>
      <c r="F52" s="68"/>
      <c r="G52" s="68">
        <v>12</v>
      </c>
      <c r="H52" s="68" t="s">
        <v>100</v>
      </c>
      <c r="I52" s="68" t="s">
        <v>129</v>
      </c>
      <c r="J52" s="69" t="s">
        <v>124</v>
      </c>
      <c r="K52" s="70">
        <v>45820</v>
      </c>
      <c r="L52" s="71">
        <v>35000</v>
      </c>
      <c r="M52" s="68" t="s">
        <v>123</v>
      </c>
      <c r="N52" s="68" t="s">
        <v>207</v>
      </c>
      <c r="O52" s="68" t="s">
        <v>108</v>
      </c>
      <c r="P52" s="72" t="s">
        <v>25</v>
      </c>
      <c r="Q52" s="69">
        <v>28936</v>
      </c>
      <c r="R52" s="68" t="s">
        <v>109</v>
      </c>
      <c r="S52" s="77" t="s">
        <v>156</v>
      </c>
      <c r="T52" s="68">
        <v>3206878157</v>
      </c>
      <c r="U52" s="68" t="s">
        <v>245</v>
      </c>
      <c r="V52" s="75" t="str">
        <f>IF(P52=CURSOS!$D$3,"DIPLOMADO EN ATENCION PRE-HOSPITALARIA",IF(P52=CURSOS!$D$4,"ACOMPAÑAMIENTO Y MANEJO DEL DUELO",IF(P52=CURSOS!$D$5,"ATENCION A VICTIMAS DE ATAQUE CON AGENTES QUIMICOS ",IF(P52=CURSOS!$D$6,"PRIMEROS AUXILIOS ",IF(P52=CURSOS!$D$7,"DIPLOMADO DE UNIDAD DE CUIDADOS INTENSIVOS (UCI)",IF(P52=CURSOS!$D$8,"MODELO DE ATENCION PARA EVENTOS EMERGENTES EN SALUD MENTAL (CODIGO VERDE)",IF(P52=CURSOS!$D$9,"HUMANIZACION EN EL SERVICIO DE LA SALUD Y BUENAS PRACTICAS EN PACIENTE ",IF(P52=CURSOS!$D$10,"CLINICA DE HERIDAS ",IF(P52=CURSOS!$D$11,"TOMA DE CITOLOGIA CERVICO VAGINAL ",IF(P52=CURSOS!$D$12,"SOPORTE CARDIOVASCULAR AVANZADO (ACLS) ",IF(P52=CURSOS!$D$13,"CAMILLERO ",IF(P52=CURSOS!$D$14,"TOMA DE MUESTRAS Y LABORATORIO ",IF(P52=CURSOS!$D$15,"SOPORTE VITAL BASICO (BLS)",IF(P52=CURSOS!$D$16,"ATENCION A VICTIMAS DE VIOLENCIA SEXUAL ",IF(P52=CURSOS!$D$17,"PROGRAMADO AMPLIADO DE INMUNIZACION (PAI - COVID 19)",IF(P52=CURSOS!$D$18,"ATENCION INTEGRAL EN ENFERMEDADES PREVALENTES EN PRIMERA INFANCIA (AIEPI)",IF(P52=CURSOS!$D$19,"ADMINISTRACION DE MEDICAMENTOS, INYECTOLOGIA  Y CANALIZACION ",IF(P52=CURSOS!$D$20,"OPERADOR DE VEHICULOS DE EMERGENCIA (OVE)",IF(P52=CURSOS!$D$21,"INSTITUCIONES AMIGAS DE LA MUJER Y LA INFANCIA (IAMI)",IF(P52=CURSOS!$D$22,"CUIDADO DEL DONANTE DE ORGANOS",IF(P52=CURSOS!$D$23,"ATENCION A VICTIMAS POR VIOLENCIA DE GENERO",IF(P52=CURSOS!$D$24,"IGUALDAD DE GENERO EN LA SALUD",IF(P52=CURSOS!$D$25,"BRIGADA DE EMERGENCIA",IF(P52=CURSOS!$D$26,"MANEJO DEL DOLOR Y CUIDADOS PALIATIVOS",IF(P52=CURSOS!$D$27,"TOMA DE MUESTRAS Y LABORATORIO POCT",IF(P52=CURSOS!$D$28,"IMPLANTE SUBDERMICO DE DISPOSITIVO INTRAUTERINO",IF(P52=CURSOS!$D$29,"SALUD MENTAL",IF(P52=CURSOS!$D$30,"PRIMEROS AUXILIOS PSICOLOGICOS",IF(P52=CURSOS!$D$31,"ATENCION A VICTIMAS POR CONFLICTO ARMADO",IF(P52=CURSOS!$D$32,"MANIPULACION DE ALIMENTOS Y BPM",IF(P52=CURSOS!$D$33,"ATENCION A PERSONAS CON DISCAPACIDAD",IF(P52=CURSOS!$D$34,"CUIDADO INTEGRAL DEL PACIENTE ADULTO",IF(P52=CURSOS!$D$35,"MANEJO DEFENSIVO",IF(P52=CURSOS!$D$36,"SOPORTE CARDIOVASCULAR AVANZADO NEONATAL",IF(P52=CURSOS!$D$37,"SEGURIDAD DEL PACIENTE",IF(P52=CURSOS!$D$38,"MANEJO DE RESIDUOS HOSPITALARIOS",IF(P52=CURSOS!$D$39,"ATENCION DE PACIENTE POR CONSUMO SUSTANCIAS PSICOACTIVAS Y ADICCIONES")))))))))))))))))))))))))))))))))))))</f>
        <v xml:space="preserve">ATENCION A VICTIMAS DE ATAQUE CON AGENTES QUIMICOS </v>
      </c>
      <c r="W52" s="75" t="str">
        <f t="shared" si="0"/>
        <v>Mercedes  Solarte Palacios</v>
      </c>
      <c r="X52" s="75" t="str">
        <f t="shared" si="1"/>
        <v>Mercedes  Solarte Palacios</v>
      </c>
      <c r="Y52" s="75" t="str">
        <f t="shared" si="2"/>
        <v>Mercedes  Solarte Palacios-52702928-QUIMICOS</v>
      </c>
    </row>
    <row r="53" spans="1:25" s="76" customFormat="1" x14ac:dyDescent="0.2">
      <c r="A53" s="67">
        <v>52</v>
      </c>
      <c r="B53" s="68">
        <v>52702928</v>
      </c>
      <c r="C53" s="68" t="s">
        <v>226</v>
      </c>
      <c r="D53" s="68" t="s">
        <v>243</v>
      </c>
      <c r="E53" s="68" t="s">
        <v>244</v>
      </c>
      <c r="F53" s="68"/>
      <c r="G53" s="68">
        <v>12</v>
      </c>
      <c r="H53" s="68" t="s">
        <v>100</v>
      </c>
      <c r="I53" s="68" t="s">
        <v>129</v>
      </c>
      <c r="J53" s="69" t="s">
        <v>124</v>
      </c>
      <c r="K53" s="70">
        <v>45820</v>
      </c>
      <c r="L53" s="71">
        <v>35000</v>
      </c>
      <c r="M53" s="68" t="s">
        <v>123</v>
      </c>
      <c r="N53" s="68" t="s">
        <v>207</v>
      </c>
      <c r="O53" s="68" t="s">
        <v>108</v>
      </c>
      <c r="P53" s="72" t="s">
        <v>32</v>
      </c>
      <c r="Q53" s="69">
        <v>28936</v>
      </c>
      <c r="R53" s="68" t="s">
        <v>109</v>
      </c>
      <c r="S53" s="77" t="s">
        <v>156</v>
      </c>
      <c r="T53" s="68">
        <v>3206878157</v>
      </c>
      <c r="U53" s="68" t="s">
        <v>245</v>
      </c>
      <c r="V53" s="75" t="str">
        <f>IF(P53=CURSOS!$D$3,"DIPLOMADO EN ATENCION PRE-HOSPITALARIA",IF(P53=CURSOS!$D$4,"ACOMPAÑAMIENTO Y MANEJO DEL DUELO",IF(P53=CURSOS!$D$5,"ATENCION A VICTIMAS DE ATAQUE CON AGENTES QUIMICOS ",IF(P53=CURSOS!$D$6,"PRIMEROS AUXILIOS ",IF(P53=CURSOS!$D$7,"DIPLOMADO DE UNIDAD DE CUIDADOS INTENSIVOS (UCI)",IF(P53=CURSOS!$D$8,"MODELO DE ATENCION PARA EVENTOS EMERGENTES EN SALUD MENTAL (CODIGO VERDE)",IF(P53=CURSOS!$D$9,"HUMANIZACION EN EL SERVICIO DE LA SALUD Y BUENAS PRACTICAS EN PACIENTE ",IF(P53=CURSOS!$D$10,"CLINICA DE HERIDAS ",IF(P53=CURSOS!$D$11,"TOMA DE CITOLOGIA CERVICO VAGINAL ",IF(P53=CURSOS!$D$12,"SOPORTE CARDIOVASCULAR AVANZADO (ACLS) ",IF(P53=CURSOS!$D$13,"CAMILLERO ",IF(P53=CURSOS!$D$14,"TOMA DE MUESTRAS Y LABORATORIO ",IF(P53=CURSOS!$D$15,"SOPORTE VITAL BASICO (BLS)",IF(P53=CURSOS!$D$16,"ATENCION A VICTIMAS DE VIOLENCIA SEXUAL ",IF(P53=CURSOS!$D$17,"PROGRAMADO AMPLIADO DE INMUNIZACION (PAI - COVID 19)",IF(P53=CURSOS!$D$18,"ATENCION INTEGRAL EN ENFERMEDADES PREVALENTES EN PRIMERA INFANCIA (AIEPI)",IF(P53=CURSOS!$D$19,"ADMINISTRACION DE MEDICAMENTOS, INYECTOLOGIA  Y CANALIZACION ",IF(P53=CURSOS!$D$20,"OPERADOR DE VEHICULOS DE EMERGENCIA (OVE)",IF(P53=CURSOS!$D$21,"INSTITUCIONES AMIGAS DE LA MUJER Y LA INFANCIA (IAMI)",IF(P53=CURSOS!$D$22,"CUIDADO DEL DONANTE DE ORGANOS",IF(P53=CURSOS!$D$23,"ATENCION A VICTIMAS POR VIOLENCIA DE GENERO",IF(P53=CURSOS!$D$24,"IGUALDAD DE GENERO EN LA SALUD",IF(P53=CURSOS!$D$25,"BRIGADA DE EMERGENCIA",IF(P53=CURSOS!$D$26,"MANEJO DEL DOLOR Y CUIDADOS PALIATIVOS",IF(P53=CURSOS!$D$27,"TOMA DE MUESTRAS Y LABORATORIO POCT",IF(P53=CURSOS!$D$28,"IMPLANTE SUBDERMICO DE DISPOSITIVO INTRAUTERINO",IF(P53=CURSOS!$D$29,"SALUD MENTAL",IF(P53=CURSOS!$D$30,"PRIMEROS AUXILIOS PSICOLOGICOS",IF(P53=CURSOS!$D$31,"ATENCION A VICTIMAS POR CONFLICTO ARMADO",IF(P53=CURSOS!$D$32,"MANIPULACION DE ALIMENTOS Y BPM",IF(P53=CURSOS!$D$33,"ATENCION A PERSONAS CON DISCAPACIDAD",IF(P53=CURSOS!$D$34,"CUIDADO INTEGRAL DEL PACIENTE ADULTO",IF(P53=CURSOS!$D$35,"MANEJO DEFENSIVO",IF(P53=CURSOS!$D$36,"SOPORTE CARDIOVASCULAR AVANZADO NEONATAL",IF(P53=CURSOS!$D$37,"SEGURIDAD DEL PACIENTE",IF(P53=CURSOS!$D$38,"MANEJO DE RESIDUOS HOSPITALARIOS",IF(P53=CURSOS!$D$39,"ATENCION DE PACIENTE POR CONSUMO SUSTANCIAS PSICOACTIVAS Y ADICCIONES")))))))))))))))))))))))))))))))))))))</f>
        <v xml:space="preserve">HUMANIZACION EN EL SERVICIO DE LA SALUD Y BUENAS PRACTICAS EN PACIENTE </v>
      </c>
      <c r="W53" s="75" t="str">
        <f t="shared" si="0"/>
        <v>Mercedes  Solarte Palacios</v>
      </c>
      <c r="X53" s="75" t="str">
        <f t="shared" si="1"/>
        <v>Mercedes  Solarte Palacios</v>
      </c>
      <c r="Y53" s="75" t="str">
        <f t="shared" si="2"/>
        <v>Mercedes  Solarte Palacios-52702928-HUMANIZACION</v>
      </c>
    </row>
    <row r="54" spans="1:25" s="76" customFormat="1" x14ac:dyDescent="0.2">
      <c r="A54" s="67">
        <v>53</v>
      </c>
      <c r="B54" s="68">
        <v>1085300299</v>
      </c>
      <c r="C54" s="68" t="s">
        <v>246</v>
      </c>
      <c r="D54" s="68" t="s">
        <v>169</v>
      </c>
      <c r="E54" s="68" t="s">
        <v>247</v>
      </c>
      <c r="F54" s="68" t="s">
        <v>248</v>
      </c>
      <c r="G54" s="68">
        <v>12</v>
      </c>
      <c r="H54" s="68" t="s">
        <v>100</v>
      </c>
      <c r="I54" s="68" t="s">
        <v>129</v>
      </c>
      <c r="J54" s="69" t="s">
        <v>124</v>
      </c>
      <c r="K54" s="70">
        <v>45820</v>
      </c>
      <c r="L54" s="71">
        <v>120000</v>
      </c>
      <c r="M54" s="68" t="s">
        <v>123</v>
      </c>
      <c r="N54" s="68" t="s">
        <v>207</v>
      </c>
      <c r="O54" s="68" t="s">
        <v>108</v>
      </c>
      <c r="P54" s="72" t="s">
        <v>37</v>
      </c>
      <c r="Q54" s="69">
        <v>33896</v>
      </c>
      <c r="R54" s="68" t="s">
        <v>109</v>
      </c>
      <c r="S54" s="77" t="s">
        <v>156</v>
      </c>
      <c r="T54" s="68">
        <v>3158382457</v>
      </c>
      <c r="U54" s="68" t="s">
        <v>249</v>
      </c>
      <c r="V54" s="75" t="str">
        <f>IF(P54=CURSOS!$D$3,"DIPLOMADO EN ATENCION PRE-HOSPITALARIA",IF(P54=CURSOS!$D$4,"ACOMPAÑAMIENTO Y MANEJO DEL DUELO",IF(P54=CURSOS!$D$5,"ATENCION A VICTIMAS DE ATAQUE CON AGENTES QUIMICOS ",IF(P54=CURSOS!$D$6,"PRIMEROS AUXILIOS ",IF(P54=CURSOS!$D$7,"DIPLOMADO DE UNIDAD DE CUIDADOS INTENSIVOS (UCI)",IF(P54=CURSOS!$D$8,"MODELO DE ATENCION PARA EVENTOS EMERGENTES EN SALUD MENTAL (CODIGO VERDE)",IF(P54=CURSOS!$D$9,"HUMANIZACION EN EL SERVICIO DE LA SALUD Y BUENAS PRACTICAS EN PACIENTE ",IF(P54=CURSOS!$D$10,"CLINICA DE HERIDAS ",IF(P54=CURSOS!$D$11,"TOMA DE CITOLOGIA CERVICO VAGINAL ",IF(P54=CURSOS!$D$12,"SOPORTE CARDIOVASCULAR AVANZADO (ACLS) ",IF(P54=CURSOS!$D$13,"CAMILLERO ",IF(P54=CURSOS!$D$14,"TOMA DE MUESTRAS Y LABORATORIO ",IF(P54=CURSOS!$D$15,"SOPORTE VITAL BASICO (BLS)",IF(P54=CURSOS!$D$16,"ATENCION A VICTIMAS DE VIOLENCIA SEXUAL ",IF(P54=CURSOS!$D$17,"PROGRAMADO AMPLIADO DE INMUNIZACION (PAI - COVID 19)",IF(P54=CURSOS!$D$18,"ATENCION INTEGRAL EN ENFERMEDADES PREVALENTES EN PRIMERA INFANCIA (AIEPI)",IF(P54=CURSOS!$D$19,"ADMINISTRACION DE MEDICAMENTOS, INYECTOLOGIA  Y CANALIZACION ",IF(P54=CURSOS!$D$20,"OPERADOR DE VEHICULOS DE EMERGENCIA (OVE)",IF(P54=CURSOS!$D$21,"INSTITUCIONES AMIGAS DE LA MUJER Y LA INFANCIA (IAMI)",IF(P54=CURSOS!$D$22,"CUIDADO DEL DONANTE DE ORGANOS",IF(P54=CURSOS!$D$23,"ATENCION A VICTIMAS POR VIOLENCIA DE GENERO",IF(P54=CURSOS!$D$24,"IGUALDAD DE GENERO EN LA SALUD",IF(P54=CURSOS!$D$25,"BRIGADA DE EMERGENCIA",IF(P54=CURSOS!$D$26,"MANEJO DEL DOLOR Y CUIDADOS PALIATIVOS",IF(P54=CURSOS!$D$27,"TOMA DE MUESTRAS Y LABORATORIO POCT",IF(P54=CURSOS!$D$28,"IMPLANTE SUBDERMICO DE DISPOSITIVO INTRAUTERINO",IF(P54=CURSOS!$D$29,"SALUD MENTAL",IF(P54=CURSOS!$D$30,"PRIMEROS AUXILIOS PSICOLOGICOS",IF(P54=CURSOS!$D$31,"ATENCION A VICTIMAS POR CONFLICTO ARMADO",IF(P54=CURSOS!$D$32,"MANIPULACION DE ALIMENTOS Y BPM",IF(P54=CURSOS!$D$33,"ATENCION A PERSONAS CON DISCAPACIDAD",IF(P54=CURSOS!$D$34,"CUIDADO INTEGRAL DEL PACIENTE ADULTO",IF(P54=CURSOS!$D$35,"MANEJO DEFENSIVO",IF(P54=CURSOS!$D$36,"SOPORTE CARDIOVASCULAR AVANZADO NEONATAL",IF(P54=CURSOS!$D$37,"SEGURIDAD DEL PACIENTE",IF(P54=CURSOS!$D$38,"MANEJO DE RESIDUOS HOSPITALARIOS",IF(P54=CURSOS!$D$39,"ATENCION DE PACIENTE POR CONSUMO SUSTANCIAS PSICOACTIVAS Y ADICCIONES")))))))))))))))))))))))))))))))))))))</f>
        <v xml:space="preserve">SOPORTE CARDIOVASCULAR AVANZADO (ACLS) </v>
      </c>
      <c r="W54" s="75" t="str">
        <f t="shared" si="0"/>
        <v>Monica Alejandra Ceron Benavides</v>
      </c>
      <c r="X54" s="75" t="str">
        <f t="shared" si="1"/>
        <v>Monica Alejandra Ceron Benavides</v>
      </c>
      <c r="Y54" s="75" t="str">
        <f t="shared" si="2"/>
        <v>Monica Alejandra Ceron Benavides-1085300299-ACLS</v>
      </c>
    </row>
    <row r="55" spans="1:25" s="76" customFormat="1" x14ac:dyDescent="0.2">
      <c r="A55" s="67">
        <v>54</v>
      </c>
      <c r="B55" s="68">
        <v>1085300299</v>
      </c>
      <c r="C55" s="68" t="s">
        <v>246</v>
      </c>
      <c r="D55" s="68" t="s">
        <v>169</v>
      </c>
      <c r="E55" s="68" t="s">
        <v>247</v>
      </c>
      <c r="F55" s="68" t="s">
        <v>248</v>
      </c>
      <c r="G55" s="68">
        <v>10</v>
      </c>
      <c r="H55" s="68" t="s">
        <v>100</v>
      </c>
      <c r="I55" s="68" t="s">
        <v>129</v>
      </c>
      <c r="J55" s="69" t="s">
        <v>124</v>
      </c>
      <c r="K55" s="70">
        <v>45820</v>
      </c>
      <c r="L55" s="71">
        <v>30000</v>
      </c>
      <c r="M55" s="68" t="s">
        <v>123</v>
      </c>
      <c r="N55" s="68" t="s">
        <v>207</v>
      </c>
      <c r="O55" s="68" t="s">
        <v>108</v>
      </c>
      <c r="P55" s="72" t="s">
        <v>23</v>
      </c>
      <c r="Q55" s="69">
        <v>33896</v>
      </c>
      <c r="R55" s="68" t="s">
        <v>109</v>
      </c>
      <c r="S55" s="77" t="s">
        <v>156</v>
      </c>
      <c r="T55" s="68">
        <v>3158382457</v>
      </c>
      <c r="U55" s="68" t="s">
        <v>249</v>
      </c>
      <c r="V55" s="75" t="str">
        <f>IF(P55=CURSOS!$D$3,"DIPLOMADO EN ATENCION PRE-HOSPITALARIA",IF(P55=CURSOS!$D$4,"ACOMPAÑAMIENTO Y MANEJO DEL DUELO",IF(P55=CURSOS!$D$5,"ATENCION A VICTIMAS DE ATAQUE CON AGENTES QUIMICOS ",IF(P55=CURSOS!$D$6,"PRIMEROS AUXILIOS ",IF(P55=CURSOS!$D$7,"DIPLOMADO DE UNIDAD DE CUIDADOS INTENSIVOS (UCI)",IF(P55=CURSOS!$D$8,"MODELO DE ATENCION PARA EVENTOS EMERGENTES EN SALUD MENTAL (CODIGO VERDE)",IF(P55=CURSOS!$D$9,"HUMANIZACION EN EL SERVICIO DE LA SALUD Y BUENAS PRACTICAS EN PACIENTE ",IF(P55=CURSOS!$D$10,"CLINICA DE HERIDAS ",IF(P55=CURSOS!$D$11,"TOMA DE CITOLOGIA CERVICO VAGINAL ",IF(P55=CURSOS!$D$12,"SOPORTE CARDIOVASCULAR AVANZADO (ACLS) ",IF(P55=CURSOS!$D$13,"CAMILLERO ",IF(P55=CURSOS!$D$14,"TOMA DE MUESTRAS Y LABORATORIO ",IF(P55=CURSOS!$D$15,"SOPORTE VITAL BASICO (BLS)",IF(P55=CURSOS!$D$16,"ATENCION A VICTIMAS DE VIOLENCIA SEXUAL ",IF(P55=CURSOS!$D$17,"PROGRAMADO AMPLIADO DE INMUNIZACION (PAI - COVID 19)",IF(P55=CURSOS!$D$18,"ATENCION INTEGRAL EN ENFERMEDADES PREVALENTES EN PRIMERA INFANCIA (AIEPI)",IF(P55=CURSOS!$D$19,"ADMINISTRACION DE MEDICAMENTOS, INYECTOLOGIA  Y CANALIZACION ",IF(P55=CURSOS!$D$20,"OPERADOR DE VEHICULOS DE EMERGENCIA (OVE)",IF(P55=CURSOS!$D$21,"INSTITUCIONES AMIGAS DE LA MUJER Y LA INFANCIA (IAMI)",IF(P55=CURSOS!$D$22,"CUIDADO DEL DONANTE DE ORGANOS",IF(P55=CURSOS!$D$23,"ATENCION A VICTIMAS POR VIOLENCIA DE GENERO",IF(P55=CURSOS!$D$24,"IGUALDAD DE GENERO EN LA SALUD",IF(P55=CURSOS!$D$25,"BRIGADA DE EMERGENCIA",IF(P55=CURSOS!$D$26,"MANEJO DEL DOLOR Y CUIDADOS PALIATIVOS",IF(P55=CURSOS!$D$27,"TOMA DE MUESTRAS Y LABORATORIO POCT",IF(P55=CURSOS!$D$28,"IMPLANTE SUBDERMICO DE DISPOSITIVO INTRAUTERINO",IF(P55=CURSOS!$D$29,"SALUD MENTAL",IF(P55=CURSOS!$D$30,"PRIMEROS AUXILIOS PSICOLOGICOS",IF(P55=CURSOS!$D$31,"ATENCION A VICTIMAS POR CONFLICTO ARMADO",IF(P55=CURSOS!$D$32,"MANIPULACION DE ALIMENTOS Y BPM",IF(P55=CURSOS!$D$33,"ATENCION A PERSONAS CON DISCAPACIDAD",IF(P55=CURSOS!$D$34,"CUIDADO INTEGRAL DEL PACIENTE ADULTO",IF(P55=CURSOS!$D$35,"MANEJO DEFENSIVO",IF(P55=CURSOS!$D$36,"SOPORTE CARDIOVASCULAR AVANZADO NEONATAL",IF(P55=CURSOS!$D$37,"SEGURIDAD DEL PACIENTE",IF(P55=CURSOS!$D$38,"MANEJO DE RESIDUOS HOSPITALARIOS",IF(P55=CURSOS!$D$39,"ATENCION DE PACIENTE POR CONSUMO SUSTANCIAS PSICOACTIVAS Y ADICCIONES")))))))))))))))))))))))))))))))))))))</f>
        <v>ACOMPAÑAMIENTO Y MANEJO DEL DUELO</v>
      </c>
      <c r="W55" s="75" t="str">
        <f t="shared" si="0"/>
        <v>Monica Alejandra Ceron Benavides</v>
      </c>
      <c r="X55" s="75" t="str">
        <f t="shared" si="1"/>
        <v>Monica Alejandra Ceron Benavides</v>
      </c>
      <c r="Y55" s="75" t="str">
        <f t="shared" si="2"/>
        <v>Monica Alejandra Ceron Benavides-1085300299-DUELO</v>
      </c>
    </row>
    <row r="56" spans="1:25" s="76" customFormat="1" x14ac:dyDescent="0.2">
      <c r="A56" s="67">
        <v>55</v>
      </c>
      <c r="B56" s="68">
        <v>1085300299</v>
      </c>
      <c r="C56" s="68" t="s">
        <v>246</v>
      </c>
      <c r="D56" s="68" t="s">
        <v>169</v>
      </c>
      <c r="E56" s="68" t="s">
        <v>247</v>
      </c>
      <c r="F56" s="68" t="s">
        <v>248</v>
      </c>
      <c r="G56" s="68">
        <v>11</v>
      </c>
      <c r="H56" s="68" t="s">
        <v>100</v>
      </c>
      <c r="I56" s="68" t="s">
        <v>129</v>
      </c>
      <c r="J56" s="69" t="s">
        <v>124</v>
      </c>
      <c r="K56" s="70">
        <v>45820</v>
      </c>
      <c r="L56" s="71">
        <v>40000</v>
      </c>
      <c r="M56" s="68" t="s">
        <v>123</v>
      </c>
      <c r="N56" s="68" t="s">
        <v>207</v>
      </c>
      <c r="O56" s="68" t="s">
        <v>108</v>
      </c>
      <c r="P56" s="72" t="s">
        <v>57</v>
      </c>
      <c r="Q56" s="69">
        <v>33896</v>
      </c>
      <c r="R56" s="68" t="s">
        <v>109</v>
      </c>
      <c r="S56" s="77" t="s">
        <v>156</v>
      </c>
      <c r="T56" s="68">
        <v>3158382457</v>
      </c>
      <c r="U56" s="68" t="s">
        <v>249</v>
      </c>
      <c r="V56" s="75" t="str">
        <f>IF(P56=CURSOS!$D$3,"DIPLOMADO EN ATENCION PRE-HOSPITALARIA",IF(P56=CURSOS!$D$4,"ACOMPAÑAMIENTO Y MANEJO DEL DUELO",IF(P56=CURSOS!$D$5,"ATENCION A VICTIMAS DE ATAQUE CON AGENTES QUIMICOS ",IF(P56=CURSOS!$D$6,"PRIMEROS AUXILIOS ",IF(P56=CURSOS!$D$7,"DIPLOMADO DE UNIDAD DE CUIDADOS INTENSIVOS (UCI)",IF(P56=CURSOS!$D$8,"MODELO DE ATENCION PARA EVENTOS EMERGENTES EN SALUD MENTAL (CODIGO VERDE)",IF(P56=CURSOS!$D$9,"HUMANIZACION EN EL SERVICIO DE LA SALUD Y BUENAS PRACTICAS EN PACIENTE ",IF(P56=CURSOS!$D$10,"CLINICA DE HERIDAS ",IF(P56=CURSOS!$D$11,"TOMA DE CITOLOGIA CERVICO VAGINAL ",IF(P56=CURSOS!$D$12,"SOPORTE CARDIOVASCULAR AVANZADO (ACLS) ",IF(P56=CURSOS!$D$13,"CAMILLERO ",IF(P56=CURSOS!$D$14,"TOMA DE MUESTRAS Y LABORATORIO ",IF(P56=CURSOS!$D$15,"SOPORTE VITAL BASICO (BLS)",IF(P56=CURSOS!$D$16,"ATENCION A VICTIMAS DE VIOLENCIA SEXUAL ",IF(P56=CURSOS!$D$17,"PROGRAMADO AMPLIADO DE INMUNIZACION (PAI - COVID 19)",IF(P56=CURSOS!$D$18,"ATENCION INTEGRAL EN ENFERMEDADES PREVALENTES EN PRIMERA INFANCIA (AIEPI)",IF(P56=CURSOS!$D$19,"ADMINISTRACION DE MEDICAMENTOS, INYECTOLOGIA  Y CANALIZACION ",IF(P56=CURSOS!$D$20,"OPERADOR DE VEHICULOS DE EMERGENCIA (OVE)",IF(P56=CURSOS!$D$21,"INSTITUCIONES AMIGAS DE LA MUJER Y LA INFANCIA (IAMI)",IF(P56=CURSOS!$D$22,"CUIDADO DEL DONANTE DE ORGANOS",IF(P56=CURSOS!$D$23,"ATENCION A VICTIMAS POR VIOLENCIA DE GENERO",IF(P56=CURSOS!$D$24,"IGUALDAD DE GENERO EN LA SALUD",IF(P56=CURSOS!$D$25,"BRIGADA DE EMERGENCIA",IF(P56=CURSOS!$D$26,"MANEJO DEL DOLOR Y CUIDADOS PALIATIVOS",IF(P56=CURSOS!$D$27,"TOMA DE MUESTRAS Y LABORATORIO POCT",IF(P56=CURSOS!$D$28,"IMPLANTE SUBDERMICO DE DISPOSITIVO INTRAUTERINO",IF(P56=CURSOS!$D$29,"SALUD MENTAL",IF(P56=CURSOS!$D$30,"PRIMEROS AUXILIOS PSICOLOGICOS",IF(P56=CURSOS!$D$31,"ATENCION A VICTIMAS POR CONFLICTO ARMADO",IF(P56=CURSOS!$D$32,"MANIPULACION DE ALIMENTOS Y BPM",IF(P56=CURSOS!$D$33,"ATENCION A PERSONAS CON DISCAPACIDAD",IF(P56=CURSOS!$D$34,"CUIDADO INTEGRAL DEL PACIENTE ADULTO",IF(P56=CURSOS!$D$35,"MANEJO DEFENSIVO",IF(P56=CURSOS!$D$36,"SOPORTE CARDIOVASCULAR AVANZADO NEONATAL",IF(P56=CURSOS!$D$37,"SEGURIDAD DEL PACIENTE",IF(P56=CURSOS!$D$38,"MANEJO DE RESIDUOS HOSPITALARIOS",IF(P56=CURSOS!$D$39,"ATENCION DE PACIENTE POR CONSUMO SUSTANCIAS PSICOACTIVAS Y ADICCIONES")))))))))))))))))))))))))))))))))))))</f>
        <v>MANEJO DEL DOLOR Y CUIDADOS PALIATIVOS</v>
      </c>
      <c r="W56" s="75" t="str">
        <f t="shared" si="0"/>
        <v>Monica Alejandra Ceron Benavides</v>
      </c>
      <c r="X56" s="75" t="str">
        <f t="shared" si="1"/>
        <v>Monica Alejandra Ceron Benavides</v>
      </c>
      <c r="Y56" s="75" t="str">
        <f t="shared" si="2"/>
        <v>Monica Alejandra Ceron Benavides-1085300299-PALIATIVOS</v>
      </c>
    </row>
    <row r="57" spans="1:25" s="76" customFormat="1" x14ac:dyDescent="0.2">
      <c r="A57" s="67">
        <v>56</v>
      </c>
      <c r="B57" s="68">
        <v>1085333921</v>
      </c>
      <c r="C57" s="68" t="s">
        <v>250</v>
      </c>
      <c r="D57" s="68" t="s">
        <v>251</v>
      </c>
      <c r="E57" s="68" t="s">
        <v>252</v>
      </c>
      <c r="F57" s="68" t="s">
        <v>253</v>
      </c>
      <c r="G57" s="68">
        <v>12</v>
      </c>
      <c r="H57" s="68" t="s">
        <v>100</v>
      </c>
      <c r="I57" s="68" t="s">
        <v>129</v>
      </c>
      <c r="J57" s="69" t="s">
        <v>148</v>
      </c>
      <c r="K57" s="70">
        <v>45820</v>
      </c>
      <c r="L57" s="71">
        <v>80000</v>
      </c>
      <c r="M57" s="68" t="s">
        <v>168</v>
      </c>
      <c r="N57" s="68" t="s">
        <v>207</v>
      </c>
      <c r="O57" s="68" t="s">
        <v>140</v>
      </c>
      <c r="P57" s="72" t="s">
        <v>37</v>
      </c>
      <c r="Q57" s="69">
        <v>35305</v>
      </c>
      <c r="R57" s="68" t="s">
        <v>109</v>
      </c>
      <c r="S57" s="77" t="s">
        <v>156</v>
      </c>
      <c r="T57" s="68">
        <v>3182001254</v>
      </c>
      <c r="U57" s="68" t="s">
        <v>254</v>
      </c>
      <c r="V57" s="75" t="str">
        <f>IF(P57=CURSOS!$D$3,"DIPLOMADO EN ATENCION PRE-HOSPITALARIA",IF(P57=CURSOS!$D$4,"ACOMPAÑAMIENTO Y MANEJO DEL DUELO",IF(P57=CURSOS!$D$5,"ATENCION A VICTIMAS DE ATAQUE CON AGENTES QUIMICOS ",IF(P57=CURSOS!$D$6,"PRIMEROS AUXILIOS ",IF(P57=CURSOS!$D$7,"DIPLOMADO DE UNIDAD DE CUIDADOS INTENSIVOS (UCI)",IF(P57=CURSOS!$D$8,"MODELO DE ATENCION PARA EVENTOS EMERGENTES EN SALUD MENTAL (CODIGO VERDE)",IF(P57=CURSOS!$D$9,"HUMANIZACION EN EL SERVICIO DE LA SALUD Y BUENAS PRACTICAS EN PACIENTE ",IF(P57=CURSOS!$D$10,"CLINICA DE HERIDAS ",IF(P57=CURSOS!$D$11,"TOMA DE CITOLOGIA CERVICO VAGINAL ",IF(P57=CURSOS!$D$12,"SOPORTE CARDIOVASCULAR AVANZADO (ACLS) ",IF(P57=CURSOS!$D$13,"CAMILLERO ",IF(P57=CURSOS!$D$14,"TOMA DE MUESTRAS Y LABORATORIO ",IF(P57=CURSOS!$D$15,"SOPORTE VITAL BASICO (BLS)",IF(P57=CURSOS!$D$16,"ATENCION A VICTIMAS DE VIOLENCIA SEXUAL ",IF(P57=CURSOS!$D$17,"PROGRAMADO AMPLIADO DE INMUNIZACION (PAI - COVID 19)",IF(P57=CURSOS!$D$18,"ATENCION INTEGRAL EN ENFERMEDADES PREVALENTES EN PRIMERA INFANCIA (AIEPI)",IF(P57=CURSOS!$D$19,"ADMINISTRACION DE MEDICAMENTOS, INYECTOLOGIA  Y CANALIZACION ",IF(P57=CURSOS!$D$20,"OPERADOR DE VEHICULOS DE EMERGENCIA (OVE)",IF(P57=CURSOS!$D$21,"INSTITUCIONES AMIGAS DE LA MUJER Y LA INFANCIA (IAMI)",IF(P57=CURSOS!$D$22,"CUIDADO DEL DONANTE DE ORGANOS",IF(P57=CURSOS!$D$23,"ATENCION A VICTIMAS POR VIOLENCIA DE GENERO",IF(P57=CURSOS!$D$24,"IGUALDAD DE GENERO EN LA SALUD",IF(P57=CURSOS!$D$25,"BRIGADA DE EMERGENCIA",IF(P57=CURSOS!$D$26,"MANEJO DEL DOLOR Y CUIDADOS PALIATIVOS",IF(P57=CURSOS!$D$27,"TOMA DE MUESTRAS Y LABORATORIO POCT",IF(P57=CURSOS!$D$28,"IMPLANTE SUBDERMICO DE DISPOSITIVO INTRAUTERINO",IF(P57=CURSOS!$D$29,"SALUD MENTAL",IF(P57=CURSOS!$D$30,"PRIMEROS AUXILIOS PSICOLOGICOS",IF(P57=CURSOS!$D$31,"ATENCION A VICTIMAS POR CONFLICTO ARMADO",IF(P57=CURSOS!$D$32,"MANIPULACION DE ALIMENTOS Y BPM",IF(P57=CURSOS!$D$33,"ATENCION A PERSONAS CON DISCAPACIDAD",IF(P57=CURSOS!$D$34,"CUIDADO INTEGRAL DEL PACIENTE ADULTO",IF(P57=CURSOS!$D$35,"MANEJO DEFENSIVO",IF(P57=CURSOS!$D$36,"SOPORTE CARDIOVASCULAR AVANZADO NEONATAL",IF(P57=CURSOS!$D$37,"SEGURIDAD DEL PACIENTE",IF(P57=CURSOS!$D$38,"MANEJO DE RESIDUOS HOSPITALARIOS",IF(P57=CURSOS!$D$39,"ATENCION DE PACIENTE POR CONSUMO SUSTANCIAS PSICOACTIVAS Y ADICCIONES")))))))))))))))))))))))))))))))))))))</f>
        <v xml:space="preserve">SOPORTE CARDIOVASCULAR AVANZADO (ACLS) </v>
      </c>
      <c r="W57" s="75" t="str">
        <f t="shared" si="0"/>
        <v>Soffia Valeria Moreno Ceballos</v>
      </c>
      <c r="X57" s="75" t="str">
        <f t="shared" si="1"/>
        <v>Soffia Valeria Moreno Ceballos</v>
      </c>
      <c r="Y57" s="75" t="str">
        <f t="shared" si="2"/>
        <v>Soffia Valeria Moreno Ceballos-1085333921-ACLS</v>
      </c>
    </row>
    <row r="58" spans="1:25" s="76" customFormat="1" x14ac:dyDescent="0.2">
      <c r="A58" s="67">
        <v>57</v>
      </c>
      <c r="B58" s="68">
        <v>1085333921</v>
      </c>
      <c r="C58" s="68" t="s">
        <v>250</v>
      </c>
      <c r="D58" s="68" t="s">
        <v>251</v>
      </c>
      <c r="E58" s="68" t="s">
        <v>252</v>
      </c>
      <c r="F58" s="68" t="s">
        <v>253</v>
      </c>
      <c r="G58" s="68">
        <v>12</v>
      </c>
      <c r="H58" s="68" t="s">
        <v>100</v>
      </c>
      <c r="I58" s="68" t="s">
        <v>129</v>
      </c>
      <c r="J58" s="69" t="s">
        <v>148</v>
      </c>
      <c r="K58" s="70">
        <v>45820</v>
      </c>
      <c r="L58" s="71">
        <v>20000</v>
      </c>
      <c r="M58" s="68" t="s">
        <v>168</v>
      </c>
      <c r="N58" s="68" t="s">
        <v>207</v>
      </c>
      <c r="O58" s="68" t="s">
        <v>140</v>
      </c>
      <c r="P58" s="72" t="s">
        <v>19</v>
      </c>
      <c r="Q58" s="69">
        <v>35305</v>
      </c>
      <c r="R58" s="68" t="s">
        <v>109</v>
      </c>
      <c r="S58" s="77" t="s">
        <v>156</v>
      </c>
      <c r="T58" s="68">
        <v>3182001254</v>
      </c>
      <c r="U58" s="68" t="s">
        <v>254</v>
      </c>
      <c r="V58" s="75" t="str">
        <f>IF(P58=CURSOS!$D$3,"DIPLOMADO EN ATENCION PRE-HOSPITALARIA",IF(P58=CURSOS!$D$4,"ACOMPAÑAMIENTO Y MANEJO DEL DUELO",IF(P58=CURSOS!$D$5,"ATENCION A VICTIMAS DE ATAQUE CON AGENTES QUIMICOS ",IF(P58=CURSOS!$D$6,"PRIMEROS AUXILIOS ",IF(P58=CURSOS!$D$7,"DIPLOMADO DE UNIDAD DE CUIDADOS INTENSIVOS (UCI)",IF(P58=CURSOS!$D$8,"MODELO DE ATENCION PARA EVENTOS EMERGENTES EN SALUD MENTAL (CODIGO VERDE)",IF(P58=CURSOS!$D$9,"HUMANIZACION EN EL SERVICIO DE LA SALUD Y BUENAS PRACTICAS EN PACIENTE ",IF(P58=CURSOS!$D$10,"CLINICA DE HERIDAS ",IF(P58=CURSOS!$D$11,"TOMA DE CITOLOGIA CERVICO VAGINAL ",IF(P58=CURSOS!$D$12,"SOPORTE CARDIOVASCULAR AVANZADO (ACLS) ",IF(P58=CURSOS!$D$13,"CAMILLERO ",IF(P58=CURSOS!$D$14,"TOMA DE MUESTRAS Y LABORATORIO ",IF(P58=CURSOS!$D$15,"SOPORTE VITAL BASICO (BLS)",IF(P58=CURSOS!$D$16,"ATENCION A VICTIMAS DE VIOLENCIA SEXUAL ",IF(P58=CURSOS!$D$17,"PROGRAMADO AMPLIADO DE INMUNIZACION (PAI - COVID 19)",IF(P58=CURSOS!$D$18,"ATENCION INTEGRAL EN ENFERMEDADES PREVALENTES EN PRIMERA INFANCIA (AIEPI)",IF(P58=CURSOS!$D$19,"ADMINISTRACION DE MEDICAMENTOS, INYECTOLOGIA  Y CANALIZACION ",IF(P58=CURSOS!$D$20,"OPERADOR DE VEHICULOS DE EMERGENCIA (OVE)",IF(P58=CURSOS!$D$21,"INSTITUCIONES AMIGAS DE LA MUJER Y LA INFANCIA (IAMI)",IF(P58=CURSOS!$D$22,"CUIDADO DEL DONANTE DE ORGANOS",IF(P58=CURSOS!$D$23,"ATENCION A VICTIMAS POR VIOLENCIA DE GENERO",IF(P58=CURSOS!$D$24,"IGUALDAD DE GENERO EN LA SALUD",IF(P58=CURSOS!$D$25,"BRIGADA DE EMERGENCIA",IF(P58=CURSOS!$D$26,"MANEJO DEL DOLOR Y CUIDADOS PALIATIVOS",IF(P58=CURSOS!$D$27,"TOMA DE MUESTRAS Y LABORATORIO POCT",IF(P58=CURSOS!$D$28,"IMPLANTE SUBDERMICO DE DISPOSITIVO INTRAUTERINO",IF(P58=CURSOS!$D$29,"SALUD MENTAL",IF(P58=CURSOS!$D$30,"PRIMEROS AUXILIOS PSICOLOGICOS",IF(P58=CURSOS!$D$31,"ATENCION A VICTIMAS POR CONFLICTO ARMADO",IF(P58=CURSOS!$D$32,"MANIPULACION DE ALIMENTOS Y BPM",IF(P58=CURSOS!$D$33,"ATENCION A PERSONAS CON DISCAPACIDAD",IF(P58=CURSOS!$D$34,"CUIDADO INTEGRAL DEL PACIENTE ADULTO",IF(P58=CURSOS!$D$35,"MANEJO DEFENSIVO",IF(P58=CURSOS!$D$36,"SOPORTE CARDIOVASCULAR AVANZADO NEONATAL",IF(P58=CURSOS!$D$37,"SEGURIDAD DEL PACIENTE",IF(P58=CURSOS!$D$38,"MANEJO DE RESIDUOS HOSPITALARIOS",IF(P58=CURSOS!$D$39,"ATENCION DE PACIENTE POR CONSUMO SUSTANCIAS PSICOACTIVAS Y ADICCIONES")))))))))))))))))))))))))))))))))))))</f>
        <v>SOPORTE VITAL BASICO (BLS)</v>
      </c>
      <c r="W58" s="75" t="str">
        <f t="shared" si="0"/>
        <v>Soffia Valeria Moreno Ceballos</v>
      </c>
      <c r="X58" s="75" t="str">
        <f t="shared" si="1"/>
        <v>Soffia Valeria Moreno Ceballos</v>
      </c>
      <c r="Y58" s="75" t="str">
        <f t="shared" si="2"/>
        <v>Soffia Valeria Moreno Ceballos-1085333921-BLS</v>
      </c>
    </row>
    <row r="59" spans="1:25" s="76" customFormat="1" x14ac:dyDescent="0.2">
      <c r="A59" s="67">
        <v>58</v>
      </c>
      <c r="B59" s="68">
        <v>1085333921</v>
      </c>
      <c r="C59" s="68" t="s">
        <v>250</v>
      </c>
      <c r="D59" s="68" t="s">
        <v>251</v>
      </c>
      <c r="E59" s="68" t="s">
        <v>252</v>
      </c>
      <c r="F59" s="68" t="s">
        <v>253</v>
      </c>
      <c r="G59" s="68">
        <v>11</v>
      </c>
      <c r="H59" s="68" t="s">
        <v>100</v>
      </c>
      <c r="I59" s="68" t="s">
        <v>129</v>
      </c>
      <c r="J59" s="69" t="s">
        <v>148</v>
      </c>
      <c r="K59" s="70">
        <v>45820</v>
      </c>
      <c r="L59" s="71">
        <v>30000</v>
      </c>
      <c r="M59" s="68" t="s">
        <v>168</v>
      </c>
      <c r="N59" s="68" t="s">
        <v>207</v>
      </c>
      <c r="O59" s="68" t="s">
        <v>140</v>
      </c>
      <c r="P59" s="72" t="s">
        <v>25</v>
      </c>
      <c r="Q59" s="69">
        <v>35305</v>
      </c>
      <c r="R59" s="68" t="s">
        <v>109</v>
      </c>
      <c r="S59" s="77" t="s">
        <v>156</v>
      </c>
      <c r="T59" s="68">
        <v>3182001254</v>
      </c>
      <c r="U59" s="68" t="s">
        <v>254</v>
      </c>
      <c r="V59" s="75" t="str">
        <f>IF(P59=CURSOS!$D$3,"DIPLOMADO EN ATENCION PRE-HOSPITALARIA",IF(P59=CURSOS!$D$4,"ACOMPAÑAMIENTO Y MANEJO DEL DUELO",IF(P59=CURSOS!$D$5,"ATENCION A VICTIMAS DE ATAQUE CON AGENTES QUIMICOS ",IF(P59=CURSOS!$D$6,"PRIMEROS AUXILIOS ",IF(P59=CURSOS!$D$7,"DIPLOMADO DE UNIDAD DE CUIDADOS INTENSIVOS (UCI)",IF(P59=CURSOS!$D$8,"MODELO DE ATENCION PARA EVENTOS EMERGENTES EN SALUD MENTAL (CODIGO VERDE)",IF(P59=CURSOS!$D$9,"HUMANIZACION EN EL SERVICIO DE LA SALUD Y BUENAS PRACTICAS EN PACIENTE ",IF(P59=CURSOS!$D$10,"CLINICA DE HERIDAS ",IF(P59=CURSOS!$D$11,"TOMA DE CITOLOGIA CERVICO VAGINAL ",IF(P59=CURSOS!$D$12,"SOPORTE CARDIOVASCULAR AVANZADO (ACLS) ",IF(P59=CURSOS!$D$13,"CAMILLERO ",IF(P59=CURSOS!$D$14,"TOMA DE MUESTRAS Y LABORATORIO ",IF(P59=CURSOS!$D$15,"SOPORTE VITAL BASICO (BLS)",IF(P59=CURSOS!$D$16,"ATENCION A VICTIMAS DE VIOLENCIA SEXUAL ",IF(P59=CURSOS!$D$17,"PROGRAMADO AMPLIADO DE INMUNIZACION (PAI - COVID 19)",IF(P59=CURSOS!$D$18,"ATENCION INTEGRAL EN ENFERMEDADES PREVALENTES EN PRIMERA INFANCIA (AIEPI)",IF(P59=CURSOS!$D$19,"ADMINISTRACION DE MEDICAMENTOS, INYECTOLOGIA  Y CANALIZACION ",IF(P59=CURSOS!$D$20,"OPERADOR DE VEHICULOS DE EMERGENCIA (OVE)",IF(P59=CURSOS!$D$21,"INSTITUCIONES AMIGAS DE LA MUJER Y LA INFANCIA (IAMI)",IF(P59=CURSOS!$D$22,"CUIDADO DEL DONANTE DE ORGANOS",IF(P59=CURSOS!$D$23,"ATENCION A VICTIMAS POR VIOLENCIA DE GENERO",IF(P59=CURSOS!$D$24,"IGUALDAD DE GENERO EN LA SALUD",IF(P59=CURSOS!$D$25,"BRIGADA DE EMERGENCIA",IF(P59=CURSOS!$D$26,"MANEJO DEL DOLOR Y CUIDADOS PALIATIVOS",IF(P59=CURSOS!$D$27,"TOMA DE MUESTRAS Y LABORATORIO POCT",IF(P59=CURSOS!$D$28,"IMPLANTE SUBDERMICO DE DISPOSITIVO INTRAUTERINO",IF(P59=CURSOS!$D$29,"SALUD MENTAL",IF(P59=CURSOS!$D$30,"PRIMEROS AUXILIOS PSICOLOGICOS",IF(P59=CURSOS!$D$31,"ATENCION A VICTIMAS POR CONFLICTO ARMADO",IF(P59=CURSOS!$D$32,"MANIPULACION DE ALIMENTOS Y BPM",IF(P59=CURSOS!$D$33,"ATENCION A PERSONAS CON DISCAPACIDAD",IF(P59=CURSOS!$D$34,"CUIDADO INTEGRAL DEL PACIENTE ADULTO",IF(P59=CURSOS!$D$35,"MANEJO DEFENSIVO",IF(P59=CURSOS!$D$36,"SOPORTE CARDIOVASCULAR AVANZADO NEONATAL",IF(P59=CURSOS!$D$37,"SEGURIDAD DEL PACIENTE",IF(P59=CURSOS!$D$38,"MANEJO DE RESIDUOS HOSPITALARIOS",IF(P59=CURSOS!$D$39,"ATENCION DE PACIENTE POR CONSUMO SUSTANCIAS PSICOACTIVAS Y ADICCIONES")))))))))))))))))))))))))))))))))))))</f>
        <v xml:space="preserve">ATENCION A VICTIMAS DE ATAQUE CON AGENTES QUIMICOS </v>
      </c>
      <c r="W59" s="75" t="str">
        <f t="shared" si="0"/>
        <v>Soffia Valeria Moreno Ceballos</v>
      </c>
      <c r="X59" s="75" t="str">
        <f t="shared" si="1"/>
        <v>Soffia Valeria Moreno Ceballos</v>
      </c>
      <c r="Y59" s="75" t="str">
        <f t="shared" si="2"/>
        <v>Soffia Valeria Moreno Ceballos-1085333921-QUIMICOS</v>
      </c>
    </row>
    <row r="60" spans="1:25" s="76" customFormat="1" x14ac:dyDescent="0.2">
      <c r="A60" s="67">
        <v>59</v>
      </c>
      <c r="B60" s="68">
        <v>1085333921</v>
      </c>
      <c r="C60" s="68" t="s">
        <v>250</v>
      </c>
      <c r="D60" s="68" t="s">
        <v>251</v>
      </c>
      <c r="E60" s="68" t="s">
        <v>252</v>
      </c>
      <c r="F60" s="68" t="s">
        <v>253</v>
      </c>
      <c r="G60" s="68">
        <v>10</v>
      </c>
      <c r="H60" s="68" t="s">
        <v>100</v>
      </c>
      <c r="I60" s="68" t="s">
        <v>129</v>
      </c>
      <c r="J60" s="69" t="s">
        <v>148</v>
      </c>
      <c r="K60" s="70">
        <v>45820</v>
      </c>
      <c r="L60" s="71">
        <v>30000</v>
      </c>
      <c r="M60" s="68" t="s">
        <v>168</v>
      </c>
      <c r="N60" s="68" t="s">
        <v>207</v>
      </c>
      <c r="O60" s="68" t="s">
        <v>140</v>
      </c>
      <c r="P60" s="72" t="s">
        <v>42</v>
      </c>
      <c r="Q60" s="69">
        <v>35305</v>
      </c>
      <c r="R60" s="68" t="s">
        <v>109</v>
      </c>
      <c r="S60" s="77" t="s">
        <v>156</v>
      </c>
      <c r="T60" s="68">
        <v>3182001254</v>
      </c>
      <c r="U60" s="68" t="s">
        <v>254</v>
      </c>
      <c r="V60" s="75" t="str">
        <f>IF(P60=CURSOS!$D$3,"DIPLOMADO EN ATENCION PRE-HOSPITALARIA",IF(P60=CURSOS!$D$4,"ACOMPAÑAMIENTO Y MANEJO DEL DUELO",IF(P60=CURSOS!$D$5,"ATENCION A VICTIMAS DE ATAQUE CON AGENTES QUIMICOS ",IF(P60=CURSOS!$D$6,"PRIMEROS AUXILIOS ",IF(P60=CURSOS!$D$7,"DIPLOMADO DE UNIDAD DE CUIDADOS INTENSIVOS (UCI)",IF(P60=CURSOS!$D$8,"MODELO DE ATENCION PARA EVENTOS EMERGENTES EN SALUD MENTAL (CODIGO VERDE)",IF(P60=CURSOS!$D$9,"HUMANIZACION EN EL SERVICIO DE LA SALUD Y BUENAS PRACTICAS EN PACIENTE ",IF(P60=CURSOS!$D$10,"CLINICA DE HERIDAS ",IF(P60=CURSOS!$D$11,"TOMA DE CITOLOGIA CERVICO VAGINAL ",IF(P60=CURSOS!$D$12,"SOPORTE CARDIOVASCULAR AVANZADO (ACLS) ",IF(P60=CURSOS!$D$13,"CAMILLERO ",IF(P60=CURSOS!$D$14,"TOMA DE MUESTRAS Y LABORATORIO ",IF(P60=CURSOS!$D$15,"SOPORTE VITAL BASICO (BLS)",IF(P60=CURSOS!$D$16,"ATENCION A VICTIMAS DE VIOLENCIA SEXUAL ",IF(P60=CURSOS!$D$17,"PROGRAMADO AMPLIADO DE INMUNIZACION (PAI - COVID 19)",IF(P60=CURSOS!$D$18,"ATENCION INTEGRAL EN ENFERMEDADES PREVALENTES EN PRIMERA INFANCIA (AIEPI)",IF(P60=CURSOS!$D$19,"ADMINISTRACION DE MEDICAMENTOS, INYECTOLOGIA  Y CANALIZACION ",IF(P60=CURSOS!$D$20,"OPERADOR DE VEHICULOS DE EMERGENCIA (OVE)",IF(P60=CURSOS!$D$21,"INSTITUCIONES AMIGAS DE LA MUJER Y LA INFANCIA (IAMI)",IF(P60=CURSOS!$D$22,"CUIDADO DEL DONANTE DE ORGANOS",IF(P60=CURSOS!$D$23,"ATENCION A VICTIMAS POR VIOLENCIA DE GENERO",IF(P60=CURSOS!$D$24,"IGUALDAD DE GENERO EN LA SALUD",IF(P60=CURSOS!$D$25,"BRIGADA DE EMERGENCIA",IF(P60=CURSOS!$D$26,"MANEJO DEL DOLOR Y CUIDADOS PALIATIVOS",IF(P60=CURSOS!$D$27,"TOMA DE MUESTRAS Y LABORATORIO POCT",IF(P60=CURSOS!$D$28,"IMPLANTE SUBDERMICO DE DISPOSITIVO INTRAUTERINO",IF(P60=CURSOS!$D$29,"SALUD MENTAL",IF(P60=CURSOS!$D$30,"PRIMEROS AUXILIOS PSICOLOGICOS",IF(P60=CURSOS!$D$31,"ATENCION A VICTIMAS POR CONFLICTO ARMADO",IF(P60=CURSOS!$D$32,"MANIPULACION DE ALIMENTOS Y BPM",IF(P60=CURSOS!$D$33,"ATENCION A PERSONAS CON DISCAPACIDAD",IF(P60=CURSOS!$D$34,"CUIDADO INTEGRAL DEL PACIENTE ADULTO",IF(P60=CURSOS!$D$35,"MANEJO DEFENSIVO",IF(P60=CURSOS!$D$36,"SOPORTE CARDIOVASCULAR AVANZADO NEONATAL",IF(P60=CURSOS!$D$37,"SEGURIDAD DEL PACIENTE",IF(P60=CURSOS!$D$38,"MANEJO DE RESIDUOS HOSPITALARIOS",IF(P60=CURSOS!$D$39,"ATENCION DE PACIENTE POR CONSUMO SUSTANCIAS PSICOACTIVAS Y ADICCIONES")))))))))))))))))))))))))))))))))))))</f>
        <v xml:space="preserve">ATENCION A VICTIMAS DE VIOLENCIA SEXUAL </v>
      </c>
      <c r="W60" s="75" t="str">
        <f t="shared" si="0"/>
        <v>Soffia Valeria Moreno Ceballos</v>
      </c>
      <c r="X60" s="75" t="str">
        <f t="shared" si="1"/>
        <v>Soffia Valeria Moreno Ceballos</v>
      </c>
      <c r="Y60" s="75" t="str">
        <f t="shared" si="2"/>
        <v>Soffia Valeria Moreno Ceballos-1085333921-VIOLENCIA SEXUAL</v>
      </c>
    </row>
    <row r="61" spans="1:25" s="76" customFormat="1" x14ac:dyDescent="0.2">
      <c r="A61" s="67">
        <v>60</v>
      </c>
      <c r="B61" s="68">
        <v>1085333921</v>
      </c>
      <c r="C61" s="68" t="s">
        <v>250</v>
      </c>
      <c r="D61" s="68" t="s">
        <v>251</v>
      </c>
      <c r="E61" s="68" t="s">
        <v>252</v>
      </c>
      <c r="F61" s="68" t="s">
        <v>253</v>
      </c>
      <c r="G61" s="68">
        <v>9</v>
      </c>
      <c r="H61" s="68" t="s">
        <v>100</v>
      </c>
      <c r="I61" s="68" t="s">
        <v>129</v>
      </c>
      <c r="J61" s="69" t="s">
        <v>148</v>
      </c>
      <c r="K61" s="70">
        <v>45820</v>
      </c>
      <c r="L61" s="71">
        <v>30000</v>
      </c>
      <c r="M61" s="68" t="s">
        <v>168</v>
      </c>
      <c r="N61" s="68" t="s">
        <v>207</v>
      </c>
      <c r="O61" s="68" t="s">
        <v>140</v>
      </c>
      <c r="P61" s="72" t="s">
        <v>50</v>
      </c>
      <c r="Q61" s="69">
        <v>35305</v>
      </c>
      <c r="R61" s="68" t="s">
        <v>109</v>
      </c>
      <c r="S61" s="77" t="s">
        <v>156</v>
      </c>
      <c r="T61" s="68">
        <v>3182001254</v>
      </c>
      <c r="U61" s="68" t="s">
        <v>254</v>
      </c>
      <c r="V61" s="75" t="str">
        <f>IF(P61=CURSOS!$D$3,"DIPLOMADO EN ATENCION PRE-HOSPITALARIA",IF(P61=CURSOS!$D$4,"ACOMPAÑAMIENTO Y MANEJO DEL DUELO",IF(P61=CURSOS!$D$5,"ATENCION A VICTIMAS DE ATAQUE CON AGENTES QUIMICOS ",IF(P61=CURSOS!$D$6,"PRIMEROS AUXILIOS ",IF(P61=CURSOS!$D$7,"DIPLOMADO DE UNIDAD DE CUIDADOS INTENSIVOS (UCI)",IF(P61=CURSOS!$D$8,"MODELO DE ATENCION PARA EVENTOS EMERGENTES EN SALUD MENTAL (CODIGO VERDE)",IF(P61=CURSOS!$D$9,"HUMANIZACION EN EL SERVICIO DE LA SALUD Y BUENAS PRACTICAS EN PACIENTE ",IF(P61=CURSOS!$D$10,"CLINICA DE HERIDAS ",IF(P61=CURSOS!$D$11,"TOMA DE CITOLOGIA CERVICO VAGINAL ",IF(P61=CURSOS!$D$12,"SOPORTE CARDIOVASCULAR AVANZADO (ACLS) ",IF(P61=CURSOS!$D$13,"CAMILLERO ",IF(P61=CURSOS!$D$14,"TOMA DE MUESTRAS Y LABORATORIO ",IF(P61=CURSOS!$D$15,"SOPORTE VITAL BASICO (BLS)",IF(P61=CURSOS!$D$16,"ATENCION A VICTIMAS DE VIOLENCIA SEXUAL ",IF(P61=CURSOS!$D$17,"PROGRAMADO AMPLIADO DE INMUNIZACION (PAI - COVID 19)",IF(P61=CURSOS!$D$18,"ATENCION INTEGRAL EN ENFERMEDADES PREVALENTES EN PRIMERA INFANCIA (AIEPI)",IF(P61=CURSOS!$D$19,"ADMINISTRACION DE MEDICAMENTOS, INYECTOLOGIA  Y CANALIZACION ",IF(P61=CURSOS!$D$20,"OPERADOR DE VEHICULOS DE EMERGENCIA (OVE)",IF(P61=CURSOS!$D$21,"INSTITUCIONES AMIGAS DE LA MUJER Y LA INFANCIA (IAMI)",IF(P61=CURSOS!$D$22,"CUIDADO DEL DONANTE DE ORGANOS",IF(P61=CURSOS!$D$23,"ATENCION A VICTIMAS POR VIOLENCIA DE GENERO",IF(P61=CURSOS!$D$24,"IGUALDAD DE GENERO EN LA SALUD",IF(P61=CURSOS!$D$25,"BRIGADA DE EMERGENCIA",IF(P61=CURSOS!$D$26,"MANEJO DEL DOLOR Y CUIDADOS PALIATIVOS",IF(P61=CURSOS!$D$27,"TOMA DE MUESTRAS Y LABORATORIO POCT",IF(P61=CURSOS!$D$28,"IMPLANTE SUBDERMICO DE DISPOSITIVO INTRAUTERINO",IF(P61=CURSOS!$D$29,"SALUD MENTAL",IF(P61=CURSOS!$D$30,"PRIMEROS AUXILIOS PSICOLOGICOS",IF(P61=CURSOS!$D$31,"ATENCION A VICTIMAS POR CONFLICTO ARMADO",IF(P61=CURSOS!$D$32,"MANIPULACION DE ALIMENTOS Y BPM",IF(P61=CURSOS!$D$33,"ATENCION A PERSONAS CON DISCAPACIDAD",IF(P61=CURSOS!$D$34,"CUIDADO INTEGRAL DEL PACIENTE ADULTO",IF(P61=CURSOS!$D$35,"MANEJO DEFENSIVO",IF(P61=CURSOS!$D$36,"SOPORTE CARDIOVASCULAR AVANZADO NEONATAL",IF(P61=CURSOS!$D$37,"SEGURIDAD DEL PACIENTE",IF(P61=CURSOS!$D$38,"MANEJO DE RESIDUOS HOSPITALARIOS",IF(P61=CURSOS!$D$39,"ATENCION DE PACIENTE POR CONSUMO SUSTANCIAS PSICOACTIVAS Y ADICCIONES")))))))))))))))))))))))))))))))))))))</f>
        <v>CUIDADO DEL DONANTE DE ORGANOS</v>
      </c>
      <c r="W61" s="75" t="str">
        <f t="shared" si="0"/>
        <v>Soffia Valeria Moreno Ceballos</v>
      </c>
      <c r="X61" s="75" t="str">
        <f t="shared" si="1"/>
        <v>Soffia Valeria Moreno Ceballos</v>
      </c>
      <c r="Y61" s="75" t="str">
        <f t="shared" si="2"/>
        <v>Soffia Valeria Moreno Ceballos-1085333921-DONANTE</v>
      </c>
    </row>
    <row r="62" spans="1:25" s="76" customFormat="1" x14ac:dyDescent="0.2">
      <c r="A62" s="67">
        <v>61</v>
      </c>
      <c r="B62" s="68">
        <v>36752859</v>
      </c>
      <c r="C62" s="68" t="s">
        <v>255</v>
      </c>
      <c r="D62" s="68" t="s">
        <v>231</v>
      </c>
      <c r="E62" s="68" t="s">
        <v>256</v>
      </c>
      <c r="F62" s="68" t="s">
        <v>257</v>
      </c>
      <c r="G62" s="68">
        <v>13</v>
      </c>
      <c r="H62" s="68" t="s">
        <v>100</v>
      </c>
      <c r="I62" s="68" t="s">
        <v>129</v>
      </c>
      <c r="J62" s="69" t="s">
        <v>148</v>
      </c>
      <c r="K62" s="70">
        <v>45820</v>
      </c>
      <c r="L62" s="71">
        <v>30000</v>
      </c>
      <c r="M62" s="68" t="s">
        <v>123</v>
      </c>
      <c r="N62" s="68" t="s">
        <v>207</v>
      </c>
      <c r="O62" s="68" t="s">
        <v>258</v>
      </c>
      <c r="P62" s="72" t="s">
        <v>19</v>
      </c>
      <c r="Q62" s="69">
        <v>28750</v>
      </c>
      <c r="R62" s="68" t="s">
        <v>109</v>
      </c>
      <c r="S62" s="73"/>
      <c r="T62" s="68">
        <v>3162475169</v>
      </c>
      <c r="U62" s="77" t="s">
        <v>259</v>
      </c>
      <c r="V62" s="75" t="str">
        <f>IF(P62=CURSOS!$D$3,"DIPLOMADO EN ATENCION PRE-HOSPITALARIA",IF(P62=CURSOS!$D$4,"ACOMPAÑAMIENTO Y MANEJO DEL DUELO",IF(P62=CURSOS!$D$5,"ATENCION A VICTIMAS DE ATAQUE CON AGENTES QUIMICOS ",IF(P62=CURSOS!$D$6,"PRIMEROS AUXILIOS ",IF(P62=CURSOS!$D$7,"DIPLOMADO DE UNIDAD DE CUIDADOS INTENSIVOS (UCI)",IF(P62=CURSOS!$D$8,"MODELO DE ATENCION PARA EVENTOS EMERGENTES EN SALUD MENTAL (CODIGO VERDE)",IF(P62=CURSOS!$D$9,"HUMANIZACION EN EL SERVICIO DE LA SALUD Y BUENAS PRACTICAS EN PACIENTE ",IF(P62=CURSOS!$D$10,"CLINICA DE HERIDAS ",IF(P62=CURSOS!$D$11,"TOMA DE CITOLOGIA CERVICO VAGINAL ",IF(P62=CURSOS!$D$12,"SOPORTE CARDIOVASCULAR AVANZADO (ACLS) ",IF(P62=CURSOS!$D$13,"CAMILLERO ",IF(P62=CURSOS!$D$14,"TOMA DE MUESTRAS Y LABORATORIO ",IF(P62=CURSOS!$D$15,"SOPORTE VITAL BASICO (BLS)",IF(P62=CURSOS!$D$16,"ATENCION A VICTIMAS DE VIOLENCIA SEXUAL ",IF(P62=CURSOS!$D$17,"PROGRAMADO AMPLIADO DE INMUNIZACION (PAI - COVID 19)",IF(P62=CURSOS!$D$18,"ATENCION INTEGRAL EN ENFERMEDADES PREVALENTES EN PRIMERA INFANCIA (AIEPI)",IF(P62=CURSOS!$D$19,"ADMINISTRACION DE MEDICAMENTOS, INYECTOLOGIA  Y CANALIZACION ",IF(P62=CURSOS!$D$20,"OPERADOR DE VEHICULOS DE EMERGENCIA (OVE)",IF(P62=CURSOS!$D$21,"INSTITUCIONES AMIGAS DE LA MUJER Y LA INFANCIA (IAMI)",IF(P62=CURSOS!$D$22,"CUIDADO DEL DONANTE DE ORGANOS",IF(P62=CURSOS!$D$23,"ATENCION A VICTIMAS POR VIOLENCIA DE GENERO",IF(P62=CURSOS!$D$24,"IGUALDAD DE GENERO EN LA SALUD",IF(P62=CURSOS!$D$25,"BRIGADA DE EMERGENCIA",IF(P62=CURSOS!$D$26,"MANEJO DEL DOLOR Y CUIDADOS PALIATIVOS",IF(P62=CURSOS!$D$27,"TOMA DE MUESTRAS Y LABORATORIO POCT",IF(P62=CURSOS!$D$28,"IMPLANTE SUBDERMICO DE DISPOSITIVO INTRAUTERINO",IF(P62=CURSOS!$D$29,"SALUD MENTAL",IF(P62=CURSOS!$D$30,"PRIMEROS AUXILIOS PSICOLOGICOS",IF(P62=CURSOS!$D$31,"ATENCION A VICTIMAS POR CONFLICTO ARMADO",IF(P62=CURSOS!$D$32,"MANIPULACION DE ALIMENTOS Y BPM",IF(P62=CURSOS!$D$33,"ATENCION A PERSONAS CON DISCAPACIDAD",IF(P62=CURSOS!$D$34,"CUIDADO INTEGRAL DEL PACIENTE ADULTO",IF(P62=CURSOS!$D$35,"MANEJO DEFENSIVO",IF(P62=CURSOS!$D$36,"SOPORTE CARDIOVASCULAR AVANZADO NEONATAL",IF(P62=CURSOS!$D$37,"SEGURIDAD DEL PACIENTE",IF(P62=CURSOS!$D$38,"MANEJO DE RESIDUOS HOSPITALARIOS",IF(P62=CURSOS!$D$39,"ATENCION DE PACIENTE POR CONSUMO SUSTANCIAS PSICOACTIVAS Y ADICCIONES")))))))))))))))))))))))))))))))))))))</f>
        <v>SOPORTE VITAL BASICO (BLS)</v>
      </c>
      <c r="W62" s="75" t="str">
        <f t="shared" si="0"/>
        <v>Judith Amalia Moncayo Ortiz</v>
      </c>
      <c r="X62" s="75" t="str">
        <f t="shared" si="1"/>
        <v>Judith Amalia Moncayo Ortiz</v>
      </c>
      <c r="Y62" s="75" t="str">
        <f t="shared" si="2"/>
        <v>Judith Amalia Moncayo Ortiz-36752859-BLS</v>
      </c>
    </row>
    <row r="63" spans="1:25" s="76" customFormat="1" x14ac:dyDescent="0.2">
      <c r="A63" s="67">
        <v>62</v>
      </c>
      <c r="B63" s="68">
        <v>36752859</v>
      </c>
      <c r="C63" s="68" t="s">
        <v>255</v>
      </c>
      <c r="D63" s="68" t="s">
        <v>231</v>
      </c>
      <c r="E63" s="68" t="s">
        <v>256</v>
      </c>
      <c r="F63" s="68" t="s">
        <v>257</v>
      </c>
      <c r="G63" s="68">
        <v>12</v>
      </c>
      <c r="H63" s="68" t="s">
        <v>100</v>
      </c>
      <c r="I63" s="68" t="s">
        <v>129</v>
      </c>
      <c r="J63" s="69" t="s">
        <v>148</v>
      </c>
      <c r="K63" s="70">
        <v>45820</v>
      </c>
      <c r="L63" s="71">
        <v>30000</v>
      </c>
      <c r="M63" s="68" t="s">
        <v>123</v>
      </c>
      <c r="N63" s="68" t="s">
        <v>207</v>
      </c>
      <c r="O63" s="68" t="s">
        <v>258</v>
      </c>
      <c r="P63" s="72" t="s">
        <v>42</v>
      </c>
      <c r="Q63" s="69">
        <v>28750</v>
      </c>
      <c r="R63" s="68" t="s">
        <v>109</v>
      </c>
      <c r="S63" s="73"/>
      <c r="T63" s="68">
        <v>3162475169</v>
      </c>
      <c r="U63" s="77" t="s">
        <v>259</v>
      </c>
      <c r="V63" s="75" t="str">
        <f>IF(P63=CURSOS!$D$3,"DIPLOMADO EN ATENCION PRE-HOSPITALARIA",IF(P63=CURSOS!$D$4,"ACOMPAÑAMIENTO Y MANEJO DEL DUELO",IF(P63=CURSOS!$D$5,"ATENCION A VICTIMAS DE ATAQUE CON AGENTES QUIMICOS ",IF(P63=CURSOS!$D$6,"PRIMEROS AUXILIOS ",IF(P63=CURSOS!$D$7,"DIPLOMADO DE UNIDAD DE CUIDADOS INTENSIVOS (UCI)",IF(P63=CURSOS!$D$8,"MODELO DE ATENCION PARA EVENTOS EMERGENTES EN SALUD MENTAL (CODIGO VERDE)",IF(P63=CURSOS!$D$9,"HUMANIZACION EN EL SERVICIO DE LA SALUD Y BUENAS PRACTICAS EN PACIENTE ",IF(P63=CURSOS!$D$10,"CLINICA DE HERIDAS ",IF(P63=CURSOS!$D$11,"TOMA DE CITOLOGIA CERVICO VAGINAL ",IF(P63=CURSOS!$D$12,"SOPORTE CARDIOVASCULAR AVANZADO (ACLS) ",IF(P63=CURSOS!$D$13,"CAMILLERO ",IF(P63=CURSOS!$D$14,"TOMA DE MUESTRAS Y LABORATORIO ",IF(P63=CURSOS!$D$15,"SOPORTE VITAL BASICO (BLS)",IF(P63=CURSOS!$D$16,"ATENCION A VICTIMAS DE VIOLENCIA SEXUAL ",IF(P63=CURSOS!$D$17,"PROGRAMADO AMPLIADO DE INMUNIZACION (PAI - COVID 19)",IF(P63=CURSOS!$D$18,"ATENCION INTEGRAL EN ENFERMEDADES PREVALENTES EN PRIMERA INFANCIA (AIEPI)",IF(P63=CURSOS!$D$19,"ADMINISTRACION DE MEDICAMENTOS, INYECTOLOGIA  Y CANALIZACION ",IF(P63=CURSOS!$D$20,"OPERADOR DE VEHICULOS DE EMERGENCIA (OVE)",IF(P63=CURSOS!$D$21,"INSTITUCIONES AMIGAS DE LA MUJER Y LA INFANCIA (IAMI)",IF(P63=CURSOS!$D$22,"CUIDADO DEL DONANTE DE ORGANOS",IF(P63=CURSOS!$D$23,"ATENCION A VICTIMAS POR VIOLENCIA DE GENERO",IF(P63=CURSOS!$D$24,"IGUALDAD DE GENERO EN LA SALUD",IF(P63=CURSOS!$D$25,"BRIGADA DE EMERGENCIA",IF(P63=CURSOS!$D$26,"MANEJO DEL DOLOR Y CUIDADOS PALIATIVOS",IF(P63=CURSOS!$D$27,"TOMA DE MUESTRAS Y LABORATORIO POCT",IF(P63=CURSOS!$D$28,"IMPLANTE SUBDERMICO DE DISPOSITIVO INTRAUTERINO",IF(P63=CURSOS!$D$29,"SALUD MENTAL",IF(P63=CURSOS!$D$30,"PRIMEROS AUXILIOS PSICOLOGICOS",IF(P63=CURSOS!$D$31,"ATENCION A VICTIMAS POR CONFLICTO ARMADO",IF(P63=CURSOS!$D$32,"MANIPULACION DE ALIMENTOS Y BPM",IF(P63=CURSOS!$D$33,"ATENCION A PERSONAS CON DISCAPACIDAD",IF(P63=CURSOS!$D$34,"CUIDADO INTEGRAL DEL PACIENTE ADULTO",IF(P63=CURSOS!$D$35,"MANEJO DEFENSIVO",IF(P63=CURSOS!$D$36,"SOPORTE CARDIOVASCULAR AVANZADO NEONATAL",IF(P63=CURSOS!$D$37,"SEGURIDAD DEL PACIENTE",IF(P63=CURSOS!$D$38,"MANEJO DE RESIDUOS HOSPITALARIOS",IF(P63=CURSOS!$D$39,"ATENCION DE PACIENTE POR CONSUMO SUSTANCIAS PSICOACTIVAS Y ADICCIONES")))))))))))))))))))))))))))))))))))))</f>
        <v xml:space="preserve">ATENCION A VICTIMAS DE VIOLENCIA SEXUAL </v>
      </c>
      <c r="W63" s="75" t="str">
        <f t="shared" si="0"/>
        <v>Judith Amalia Moncayo Ortiz</v>
      </c>
      <c r="X63" s="75" t="str">
        <f t="shared" si="1"/>
        <v>Judith Amalia Moncayo Ortiz</v>
      </c>
      <c r="Y63" s="75" t="str">
        <f t="shared" si="2"/>
        <v>Judith Amalia Moncayo Ortiz-36752859-VIOLENCIA SEXUAL</v>
      </c>
    </row>
    <row r="64" spans="1:25" s="76" customFormat="1" x14ac:dyDescent="0.2">
      <c r="A64" s="67">
        <v>63</v>
      </c>
      <c r="B64" s="68">
        <v>36752859</v>
      </c>
      <c r="C64" s="68" t="s">
        <v>255</v>
      </c>
      <c r="D64" s="68" t="s">
        <v>231</v>
      </c>
      <c r="E64" s="68" t="s">
        <v>256</v>
      </c>
      <c r="F64" s="68" t="s">
        <v>257</v>
      </c>
      <c r="G64" s="68">
        <v>11</v>
      </c>
      <c r="H64" s="68" t="s">
        <v>100</v>
      </c>
      <c r="I64" s="68" t="s">
        <v>129</v>
      </c>
      <c r="J64" s="69" t="s">
        <v>148</v>
      </c>
      <c r="K64" s="70">
        <v>45820</v>
      </c>
      <c r="L64" s="71">
        <v>30000</v>
      </c>
      <c r="M64" s="68" t="s">
        <v>123</v>
      </c>
      <c r="N64" s="68" t="s">
        <v>207</v>
      </c>
      <c r="O64" s="68" t="s">
        <v>258</v>
      </c>
      <c r="P64" s="72" t="s">
        <v>23</v>
      </c>
      <c r="Q64" s="69">
        <v>28750</v>
      </c>
      <c r="R64" s="68" t="s">
        <v>109</v>
      </c>
      <c r="S64" s="73"/>
      <c r="T64" s="68">
        <v>3162475169</v>
      </c>
      <c r="U64" s="77" t="s">
        <v>259</v>
      </c>
      <c r="V64" s="75" t="str">
        <f>IF(P64=CURSOS!$D$3,"DIPLOMADO EN ATENCION PRE-HOSPITALARIA",IF(P64=CURSOS!$D$4,"ACOMPAÑAMIENTO Y MANEJO DEL DUELO",IF(P64=CURSOS!$D$5,"ATENCION A VICTIMAS DE ATAQUE CON AGENTES QUIMICOS ",IF(P64=CURSOS!$D$6,"PRIMEROS AUXILIOS ",IF(P64=CURSOS!$D$7,"DIPLOMADO DE UNIDAD DE CUIDADOS INTENSIVOS (UCI)",IF(P64=CURSOS!$D$8,"MODELO DE ATENCION PARA EVENTOS EMERGENTES EN SALUD MENTAL (CODIGO VERDE)",IF(P64=CURSOS!$D$9,"HUMANIZACION EN EL SERVICIO DE LA SALUD Y BUENAS PRACTICAS EN PACIENTE ",IF(P64=CURSOS!$D$10,"CLINICA DE HERIDAS ",IF(P64=CURSOS!$D$11,"TOMA DE CITOLOGIA CERVICO VAGINAL ",IF(P64=CURSOS!$D$12,"SOPORTE CARDIOVASCULAR AVANZADO (ACLS) ",IF(P64=CURSOS!$D$13,"CAMILLERO ",IF(P64=CURSOS!$D$14,"TOMA DE MUESTRAS Y LABORATORIO ",IF(P64=CURSOS!$D$15,"SOPORTE VITAL BASICO (BLS)",IF(P64=CURSOS!$D$16,"ATENCION A VICTIMAS DE VIOLENCIA SEXUAL ",IF(P64=CURSOS!$D$17,"PROGRAMADO AMPLIADO DE INMUNIZACION (PAI - COVID 19)",IF(P64=CURSOS!$D$18,"ATENCION INTEGRAL EN ENFERMEDADES PREVALENTES EN PRIMERA INFANCIA (AIEPI)",IF(P64=CURSOS!$D$19,"ADMINISTRACION DE MEDICAMENTOS, INYECTOLOGIA  Y CANALIZACION ",IF(P64=CURSOS!$D$20,"OPERADOR DE VEHICULOS DE EMERGENCIA (OVE)",IF(P64=CURSOS!$D$21,"INSTITUCIONES AMIGAS DE LA MUJER Y LA INFANCIA (IAMI)",IF(P64=CURSOS!$D$22,"CUIDADO DEL DONANTE DE ORGANOS",IF(P64=CURSOS!$D$23,"ATENCION A VICTIMAS POR VIOLENCIA DE GENERO",IF(P64=CURSOS!$D$24,"IGUALDAD DE GENERO EN LA SALUD",IF(P64=CURSOS!$D$25,"BRIGADA DE EMERGENCIA",IF(P64=CURSOS!$D$26,"MANEJO DEL DOLOR Y CUIDADOS PALIATIVOS",IF(P64=CURSOS!$D$27,"TOMA DE MUESTRAS Y LABORATORIO POCT",IF(P64=CURSOS!$D$28,"IMPLANTE SUBDERMICO DE DISPOSITIVO INTRAUTERINO",IF(P64=CURSOS!$D$29,"SALUD MENTAL",IF(P64=CURSOS!$D$30,"PRIMEROS AUXILIOS PSICOLOGICOS",IF(P64=CURSOS!$D$31,"ATENCION A VICTIMAS POR CONFLICTO ARMADO",IF(P64=CURSOS!$D$32,"MANIPULACION DE ALIMENTOS Y BPM",IF(P64=CURSOS!$D$33,"ATENCION A PERSONAS CON DISCAPACIDAD",IF(P64=CURSOS!$D$34,"CUIDADO INTEGRAL DEL PACIENTE ADULTO",IF(P64=CURSOS!$D$35,"MANEJO DEFENSIVO",IF(P64=CURSOS!$D$36,"SOPORTE CARDIOVASCULAR AVANZADO NEONATAL",IF(P64=CURSOS!$D$37,"SEGURIDAD DEL PACIENTE",IF(P64=CURSOS!$D$38,"MANEJO DE RESIDUOS HOSPITALARIOS",IF(P64=CURSOS!$D$39,"ATENCION DE PACIENTE POR CONSUMO SUSTANCIAS PSICOACTIVAS Y ADICCIONES")))))))))))))))))))))))))))))))))))))</f>
        <v>ACOMPAÑAMIENTO Y MANEJO DEL DUELO</v>
      </c>
      <c r="W64" s="75" t="str">
        <f t="shared" si="0"/>
        <v>Judith Amalia Moncayo Ortiz</v>
      </c>
      <c r="X64" s="75" t="str">
        <f t="shared" si="1"/>
        <v>Judith Amalia Moncayo Ortiz</v>
      </c>
      <c r="Y64" s="75" t="str">
        <f t="shared" si="2"/>
        <v>Judith Amalia Moncayo Ortiz-36752859-DUELO</v>
      </c>
    </row>
    <row r="65" spans="1:25" s="76" customFormat="1" x14ac:dyDescent="0.2">
      <c r="A65" s="67">
        <v>64</v>
      </c>
      <c r="B65" s="68">
        <v>36752859</v>
      </c>
      <c r="C65" s="68" t="s">
        <v>255</v>
      </c>
      <c r="D65" s="68" t="s">
        <v>231</v>
      </c>
      <c r="E65" s="68" t="s">
        <v>256</v>
      </c>
      <c r="F65" s="68" t="s">
        <v>257</v>
      </c>
      <c r="G65" s="68">
        <v>10</v>
      </c>
      <c r="H65" s="68" t="s">
        <v>100</v>
      </c>
      <c r="I65" s="68" t="s">
        <v>129</v>
      </c>
      <c r="J65" s="69" t="s">
        <v>148</v>
      </c>
      <c r="K65" s="70">
        <v>45820</v>
      </c>
      <c r="L65" s="71">
        <v>30000</v>
      </c>
      <c r="M65" s="68" t="s">
        <v>123</v>
      </c>
      <c r="N65" s="68" t="s">
        <v>207</v>
      </c>
      <c r="O65" s="68" t="s">
        <v>258</v>
      </c>
      <c r="P65" s="72" t="s">
        <v>25</v>
      </c>
      <c r="Q65" s="69">
        <v>28750</v>
      </c>
      <c r="R65" s="68" t="s">
        <v>109</v>
      </c>
      <c r="S65" s="73"/>
      <c r="T65" s="68">
        <v>3162475169</v>
      </c>
      <c r="U65" s="77" t="s">
        <v>259</v>
      </c>
      <c r="V65" s="75" t="str">
        <f>IF(P65=CURSOS!$D$3,"DIPLOMADO EN ATENCION PRE-HOSPITALARIA",IF(P65=CURSOS!$D$4,"ACOMPAÑAMIENTO Y MANEJO DEL DUELO",IF(P65=CURSOS!$D$5,"ATENCION A VICTIMAS DE ATAQUE CON AGENTES QUIMICOS ",IF(P65=CURSOS!$D$6,"PRIMEROS AUXILIOS ",IF(P65=CURSOS!$D$7,"DIPLOMADO DE UNIDAD DE CUIDADOS INTENSIVOS (UCI)",IF(P65=CURSOS!$D$8,"MODELO DE ATENCION PARA EVENTOS EMERGENTES EN SALUD MENTAL (CODIGO VERDE)",IF(P65=CURSOS!$D$9,"HUMANIZACION EN EL SERVICIO DE LA SALUD Y BUENAS PRACTICAS EN PACIENTE ",IF(P65=CURSOS!$D$10,"CLINICA DE HERIDAS ",IF(P65=CURSOS!$D$11,"TOMA DE CITOLOGIA CERVICO VAGINAL ",IF(P65=CURSOS!$D$12,"SOPORTE CARDIOVASCULAR AVANZADO (ACLS) ",IF(P65=CURSOS!$D$13,"CAMILLERO ",IF(P65=CURSOS!$D$14,"TOMA DE MUESTRAS Y LABORATORIO ",IF(P65=CURSOS!$D$15,"SOPORTE VITAL BASICO (BLS)",IF(P65=CURSOS!$D$16,"ATENCION A VICTIMAS DE VIOLENCIA SEXUAL ",IF(P65=CURSOS!$D$17,"PROGRAMADO AMPLIADO DE INMUNIZACION (PAI - COVID 19)",IF(P65=CURSOS!$D$18,"ATENCION INTEGRAL EN ENFERMEDADES PREVALENTES EN PRIMERA INFANCIA (AIEPI)",IF(P65=CURSOS!$D$19,"ADMINISTRACION DE MEDICAMENTOS, INYECTOLOGIA  Y CANALIZACION ",IF(P65=CURSOS!$D$20,"OPERADOR DE VEHICULOS DE EMERGENCIA (OVE)",IF(P65=CURSOS!$D$21,"INSTITUCIONES AMIGAS DE LA MUJER Y LA INFANCIA (IAMI)",IF(P65=CURSOS!$D$22,"CUIDADO DEL DONANTE DE ORGANOS",IF(P65=CURSOS!$D$23,"ATENCION A VICTIMAS POR VIOLENCIA DE GENERO",IF(P65=CURSOS!$D$24,"IGUALDAD DE GENERO EN LA SALUD",IF(P65=CURSOS!$D$25,"BRIGADA DE EMERGENCIA",IF(P65=CURSOS!$D$26,"MANEJO DEL DOLOR Y CUIDADOS PALIATIVOS",IF(P65=CURSOS!$D$27,"TOMA DE MUESTRAS Y LABORATORIO POCT",IF(P65=CURSOS!$D$28,"IMPLANTE SUBDERMICO DE DISPOSITIVO INTRAUTERINO",IF(P65=CURSOS!$D$29,"SALUD MENTAL",IF(P65=CURSOS!$D$30,"PRIMEROS AUXILIOS PSICOLOGICOS",IF(P65=CURSOS!$D$31,"ATENCION A VICTIMAS POR CONFLICTO ARMADO",IF(P65=CURSOS!$D$32,"MANIPULACION DE ALIMENTOS Y BPM",IF(P65=CURSOS!$D$33,"ATENCION A PERSONAS CON DISCAPACIDAD",IF(P65=CURSOS!$D$34,"CUIDADO INTEGRAL DEL PACIENTE ADULTO",IF(P65=CURSOS!$D$35,"MANEJO DEFENSIVO",IF(P65=CURSOS!$D$36,"SOPORTE CARDIOVASCULAR AVANZADO NEONATAL",IF(P65=CURSOS!$D$37,"SEGURIDAD DEL PACIENTE",IF(P65=CURSOS!$D$38,"MANEJO DE RESIDUOS HOSPITALARIOS",IF(P65=CURSOS!$D$39,"ATENCION DE PACIENTE POR CONSUMO SUSTANCIAS PSICOACTIVAS Y ADICCIONES")))))))))))))))))))))))))))))))))))))</f>
        <v xml:space="preserve">ATENCION A VICTIMAS DE ATAQUE CON AGENTES QUIMICOS </v>
      </c>
      <c r="W65" s="75" t="str">
        <f t="shared" si="0"/>
        <v>Judith Amalia Moncayo Ortiz</v>
      </c>
      <c r="X65" s="75" t="str">
        <f t="shared" si="1"/>
        <v>Judith Amalia Moncayo Ortiz</v>
      </c>
      <c r="Y65" s="75" t="str">
        <f t="shared" si="2"/>
        <v>Judith Amalia Moncayo Ortiz-36752859-QUIMICOS</v>
      </c>
    </row>
    <row r="66" spans="1:25" s="76" customFormat="1" x14ac:dyDescent="0.2">
      <c r="A66" s="67">
        <v>65</v>
      </c>
      <c r="B66" s="68">
        <v>1193384276</v>
      </c>
      <c r="C66" s="68" t="s">
        <v>260</v>
      </c>
      <c r="D66" s="68" t="s">
        <v>261</v>
      </c>
      <c r="E66" s="68" t="s">
        <v>160</v>
      </c>
      <c r="F66" s="68" t="s">
        <v>262</v>
      </c>
      <c r="G66" s="68">
        <v>13</v>
      </c>
      <c r="H66" s="68" t="s">
        <v>100</v>
      </c>
      <c r="I66" s="68" t="s">
        <v>129</v>
      </c>
      <c r="J66" s="69" t="s">
        <v>148</v>
      </c>
      <c r="K66" s="70"/>
      <c r="L66" s="71"/>
      <c r="M66" s="68"/>
      <c r="N66" s="68" t="s">
        <v>207</v>
      </c>
      <c r="O66" s="68" t="s">
        <v>140</v>
      </c>
      <c r="P66" s="72" t="s">
        <v>23</v>
      </c>
      <c r="Q66" s="69">
        <v>36640</v>
      </c>
      <c r="R66" s="68" t="s">
        <v>141</v>
      </c>
      <c r="S66" s="77" t="s">
        <v>156</v>
      </c>
      <c r="T66" s="68">
        <v>3005043438</v>
      </c>
      <c r="U66" s="68" t="s">
        <v>263</v>
      </c>
      <c r="V66" s="75" t="str">
        <f>IF(P66=CURSOS!$D$3,"DIPLOMADO EN ATENCION PRE-HOSPITALARIA",IF(P66=CURSOS!$D$4,"ACOMPAÑAMIENTO Y MANEJO DEL DUELO",IF(P66=CURSOS!$D$5,"ATENCION A VICTIMAS DE ATAQUE CON AGENTES QUIMICOS ",IF(P66=CURSOS!$D$6,"PRIMEROS AUXILIOS ",IF(P66=CURSOS!$D$7,"DIPLOMADO DE UNIDAD DE CUIDADOS INTENSIVOS (UCI)",IF(P66=CURSOS!$D$8,"MODELO DE ATENCION PARA EVENTOS EMERGENTES EN SALUD MENTAL (CODIGO VERDE)",IF(P66=CURSOS!$D$9,"HUMANIZACION EN EL SERVICIO DE LA SALUD Y BUENAS PRACTICAS EN PACIENTE ",IF(P66=CURSOS!$D$10,"CLINICA DE HERIDAS ",IF(P66=CURSOS!$D$11,"TOMA DE CITOLOGIA CERVICO VAGINAL ",IF(P66=CURSOS!$D$12,"SOPORTE CARDIOVASCULAR AVANZADO (ACLS) ",IF(P66=CURSOS!$D$13,"CAMILLERO ",IF(P66=CURSOS!$D$14,"TOMA DE MUESTRAS Y LABORATORIO ",IF(P66=CURSOS!$D$15,"SOPORTE VITAL BASICO (BLS)",IF(P66=CURSOS!$D$16,"ATENCION A VICTIMAS DE VIOLENCIA SEXUAL ",IF(P66=CURSOS!$D$17,"PROGRAMADO AMPLIADO DE INMUNIZACION (PAI - COVID 19)",IF(P66=CURSOS!$D$18,"ATENCION INTEGRAL EN ENFERMEDADES PREVALENTES EN PRIMERA INFANCIA (AIEPI)",IF(P66=CURSOS!$D$19,"ADMINISTRACION DE MEDICAMENTOS, INYECTOLOGIA  Y CANALIZACION ",IF(P66=CURSOS!$D$20,"OPERADOR DE VEHICULOS DE EMERGENCIA (OVE)",IF(P66=CURSOS!$D$21,"INSTITUCIONES AMIGAS DE LA MUJER Y LA INFANCIA (IAMI)",IF(P66=CURSOS!$D$22,"CUIDADO DEL DONANTE DE ORGANOS",IF(P66=CURSOS!$D$23,"ATENCION A VICTIMAS POR VIOLENCIA DE GENERO",IF(P66=CURSOS!$D$24,"IGUALDAD DE GENERO EN LA SALUD",IF(P66=CURSOS!$D$25,"BRIGADA DE EMERGENCIA",IF(P66=CURSOS!$D$26,"MANEJO DEL DOLOR Y CUIDADOS PALIATIVOS",IF(P66=CURSOS!$D$27,"TOMA DE MUESTRAS Y LABORATORIO POCT",IF(P66=CURSOS!$D$28,"IMPLANTE SUBDERMICO DE DISPOSITIVO INTRAUTERINO",IF(P66=CURSOS!$D$29,"SALUD MENTAL",IF(P66=CURSOS!$D$30,"PRIMEROS AUXILIOS PSICOLOGICOS",IF(P66=CURSOS!$D$31,"ATENCION A VICTIMAS POR CONFLICTO ARMADO",IF(P66=CURSOS!$D$32,"MANIPULACION DE ALIMENTOS Y BPM",IF(P66=CURSOS!$D$33,"ATENCION A PERSONAS CON DISCAPACIDAD",IF(P66=CURSOS!$D$34,"CUIDADO INTEGRAL DEL PACIENTE ADULTO",IF(P66=CURSOS!$D$35,"MANEJO DEFENSIVO",IF(P66=CURSOS!$D$36,"SOPORTE CARDIOVASCULAR AVANZADO NEONATAL",IF(P66=CURSOS!$D$37,"SEGURIDAD DEL PACIENTE",IF(P66=CURSOS!$D$38,"MANEJO DE RESIDUOS HOSPITALARIOS",IF(P66=CURSOS!$D$39,"ATENCION DE PACIENTE POR CONSUMO SUSTANCIAS PSICOACTIVAS Y ADICCIONES")))))))))))))))))))))))))))))))))))))</f>
        <v>ACOMPAÑAMIENTO Y MANEJO DEL DUELO</v>
      </c>
      <c r="W66" s="75" t="str">
        <f t="shared" si="0"/>
        <v>Juan Sebastian Montoya Caicedo</v>
      </c>
      <c r="X66" s="75" t="str">
        <f t="shared" si="1"/>
        <v>Juan Sebastian Montoya Caicedo</v>
      </c>
      <c r="Y66" s="75" t="str">
        <f t="shared" si="2"/>
        <v>Juan Sebastian Montoya Caicedo-1193384276-DUELO</v>
      </c>
    </row>
    <row r="67" spans="1:25" s="76" customFormat="1" x14ac:dyDescent="0.2">
      <c r="A67" s="67">
        <v>66</v>
      </c>
      <c r="B67" s="68">
        <v>1233191741</v>
      </c>
      <c r="C67" s="68" t="s">
        <v>133</v>
      </c>
      <c r="D67" s="68" t="s">
        <v>269</v>
      </c>
      <c r="E67" s="68" t="s">
        <v>270</v>
      </c>
      <c r="F67" s="68" t="s">
        <v>271</v>
      </c>
      <c r="G67" s="68">
        <v>13</v>
      </c>
      <c r="H67" s="68" t="s">
        <v>100</v>
      </c>
      <c r="I67" s="68" t="s">
        <v>129</v>
      </c>
      <c r="J67" s="69" t="s">
        <v>124</v>
      </c>
      <c r="K67" s="70">
        <v>45821</v>
      </c>
      <c r="L67" s="86">
        <v>40000</v>
      </c>
      <c r="M67" s="68" t="s">
        <v>168</v>
      </c>
      <c r="N67" s="68" t="s">
        <v>207</v>
      </c>
      <c r="O67" s="68" t="s">
        <v>108</v>
      </c>
      <c r="P67" s="72" t="s">
        <v>19</v>
      </c>
      <c r="Q67" s="69">
        <v>36005</v>
      </c>
      <c r="R67" s="68" t="s">
        <v>109</v>
      </c>
      <c r="S67" s="73" t="s">
        <v>130</v>
      </c>
      <c r="T67" s="68">
        <v>3222520749</v>
      </c>
      <c r="U67" s="68" t="s">
        <v>272</v>
      </c>
      <c r="V67" s="75" t="str">
        <f>IF(P67=CURSOS!$D$3,"DIPLOMADO EN ATENCION PRE-HOSPITALARIA",IF(P67=CURSOS!$D$4,"ACOMPAÑAMIENTO Y MANEJO DEL DUELO",IF(P67=CURSOS!$D$5,"ATENCION A VICTIMAS DE ATAQUE CON AGENTES QUIMICOS ",IF(P67=CURSOS!$D$6,"PRIMEROS AUXILIOS ",IF(P67=CURSOS!$D$7,"DIPLOMADO DE UNIDAD DE CUIDADOS INTENSIVOS (UCI)",IF(P67=CURSOS!$D$8,"MODELO DE ATENCION PARA EVENTOS EMERGENTES EN SALUD MENTAL (CODIGO VERDE)",IF(P67=CURSOS!$D$9,"HUMANIZACION EN EL SERVICIO DE LA SALUD Y BUENAS PRACTICAS EN PACIENTE ",IF(P67=CURSOS!$D$10,"CLINICA DE HERIDAS ",IF(P67=CURSOS!$D$11,"TOMA DE CITOLOGIA CERVICO VAGINAL ",IF(P67=CURSOS!$D$12,"SOPORTE CARDIOVASCULAR AVANZADO (ACLS) ",IF(P67=CURSOS!$D$13,"CAMILLERO ",IF(P67=CURSOS!$D$14,"TOMA DE MUESTRAS Y LABORATORIO ",IF(P67=CURSOS!$D$15,"SOPORTE VITAL BASICO (BLS)",IF(P67=CURSOS!$D$16,"ATENCION A VICTIMAS DE VIOLENCIA SEXUAL ",IF(P67=CURSOS!$D$17,"PROGRAMADO AMPLIADO DE INMUNIZACION (PAI - COVID 19)",IF(P67=CURSOS!$D$18,"ATENCION INTEGRAL EN ENFERMEDADES PREVALENTES EN PRIMERA INFANCIA (AIEPI)",IF(P67=CURSOS!$D$19,"ADMINISTRACION DE MEDICAMENTOS, INYECTOLOGIA  Y CANALIZACION ",IF(P67=CURSOS!$D$20,"OPERADOR DE VEHICULOS DE EMERGENCIA (OVE)",IF(P67=CURSOS!$D$21,"INSTITUCIONES AMIGAS DE LA MUJER Y LA INFANCIA (IAMI)",IF(P67=CURSOS!$D$22,"CUIDADO DEL DONANTE DE ORGANOS",IF(P67=CURSOS!$D$23,"ATENCION A VICTIMAS POR VIOLENCIA DE GENERO",IF(P67=CURSOS!$D$24,"IGUALDAD DE GENERO EN LA SALUD",IF(P67=CURSOS!$D$25,"BRIGADA DE EMERGENCIA",IF(P67=CURSOS!$D$26,"MANEJO DEL DOLOR Y CUIDADOS PALIATIVOS",IF(P67=CURSOS!$D$27,"TOMA DE MUESTRAS Y LABORATORIO POCT",IF(P67=CURSOS!$D$28,"IMPLANTE SUBDERMICO DE DISPOSITIVO INTRAUTERINO",IF(P67=CURSOS!$D$29,"SALUD MENTAL",IF(P67=CURSOS!$D$30,"PRIMEROS AUXILIOS PSICOLOGICOS",IF(P67=CURSOS!$D$31,"ATENCION A VICTIMAS POR CONFLICTO ARMADO",IF(P67=CURSOS!$D$32,"MANIPULACION DE ALIMENTOS Y BPM",IF(P67=CURSOS!$D$33,"ATENCION A PERSONAS CON DISCAPACIDAD",IF(P67=CURSOS!$D$34,"CUIDADO INTEGRAL DEL PACIENTE ADULTO",IF(P67=CURSOS!$D$35,"MANEJO DEFENSIVO",IF(P67=CURSOS!$D$36,"SOPORTE CARDIOVASCULAR AVANZADO NEONATAL",IF(P67=CURSOS!$D$37,"SEGURIDAD DEL PACIENTE",IF(P67=CURSOS!$D$38,"MANEJO DE RESIDUOS HOSPITALARIOS",IF(P67=CURSOS!$D$39,"ATENCION DE PACIENTE POR CONSUMO SUSTANCIAS PSICOACTIVAS Y ADICCIONES")))))))))))))))))))))))))))))))))))))</f>
        <v>SOPORTE VITAL BASICO (BLS)</v>
      </c>
      <c r="W67" s="75" t="str">
        <f t="shared" ref="W67:W98" si="3">CONCATENATE(E67," ",F67," ",C67," ",D67)</f>
        <v>Nathaly Shirley Chamorro Morales</v>
      </c>
      <c r="X67" s="75" t="str">
        <f t="shared" ref="X67:X98" si="4">PROPER(W67)</f>
        <v>Nathaly Shirley Chamorro Morales</v>
      </c>
      <c r="Y67" s="75" t="str">
        <f t="shared" ref="Y67:Y98" si="5">CONCATENATE(W67,"-",B67,"-",P67)</f>
        <v>Nathaly Shirley Chamorro Morales-1233191741-BLS</v>
      </c>
    </row>
    <row r="68" spans="1:25" s="76" customFormat="1" x14ac:dyDescent="0.2">
      <c r="A68" s="67">
        <v>67</v>
      </c>
      <c r="B68" s="68">
        <v>1087421530</v>
      </c>
      <c r="C68" s="68" t="s">
        <v>225</v>
      </c>
      <c r="D68" s="68" t="s">
        <v>226</v>
      </c>
      <c r="E68" s="68" t="s">
        <v>227</v>
      </c>
      <c r="F68" s="68" t="s">
        <v>228</v>
      </c>
      <c r="G68" s="68">
        <v>9</v>
      </c>
      <c r="H68" s="68" t="s">
        <v>100</v>
      </c>
      <c r="I68" s="68" t="s">
        <v>129</v>
      </c>
      <c r="J68" s="69" t="s">
        <v>148</v>
      </c>
      <c r="K68" s="70">
        <v>45819</v>
      </c>
      <c r="L68" s="71">
        <v>28000</v>
      </c>
      <c r="M68" s="68" t="s">
        <v>123</v>
      </c>
      <c r="N68" s="68" t="s">
        <v>207</v>
      </c>
      <c r="O68" s="68" t="s">
        <v>149</v>
      </c>
      <c r="P68" s="72" t="s">
        <v>42</v>
      </c>
      <c r="Q68" s="69">
        <v>34793</v>
      </c>
      <c r="R68" s="68" t="s">
        <v>141</v>
      </c>
      <c r="S68" s="77" t="s">
        <v>229</v>
      </c>
      <c r="T68" s="68">
        <v>3176839293</v>
      </c>
      <c r="U68" s="68" t="s">
        <v>230</v>
      </c>
      <c r="V68" s="75" t="str">
        <f>IF(P68=CURSOS!$D$3,"DIPLOMADO EN ATENCION PRE-HOSPITALARIA",IF(P68=CURSOS!$D$4,"ACOMPAÑAMIENTO Y MANEJO DEL DUELO",IF(P68=CURSOS!$D$5,"ATENCION A VICTIMAS DE ATAQUE CON AGENTES QUIMICOS ",IF(P68=CURSOS!$D$6,"PRIMEROS AUXILIOS ",IF(P68=CURSOS!$D$7,"DIPLOMADO DE UNIDAD DE CUIDADOS INTENSIVOS (UCI)",IF(P68=CURSOS!$D$8,"MODELO DE ATENCION PARA EVENTOS EMERGENTES EN SALUD MENTAL (CODIGO VERDE)",IF(P68=CURSOS!$D$9,"HUMANIZACION EN EL SERVICIO DE LA SALUD Y BUENAS PRACTICAS EN PACIENTE ",IF(P68=CURSOS!$D$10,"CLINICA DE HERIDAS ",IF(P68=CURSOS!$D$11,"TOMA DE CITOLOGIA CERVICO VAGINAL ",IF(P68=CURSOS!$D$12,"SOPORTE CARDIOVASCULAR AVANZADO (ACLS) ",IF(P68=CURSOS!$D$13,"CAMILLERO ",IF(P68=CURSOS!$D$14,"TOMA DE MUESTRAS Y LABORATORIO ",IF(P68=CURSOS!$D$15,"SOPORTE VITAL BASICO (BLS)",IF(P68=CURSOS!$D$16,"ATENCION A VICTIMAS DE VIOLENCIA SEXUAL ",IF(P68=CURSOS!$D$17,"PROGRAMADO AMPLIADO DE INMUNIZACION (PAI - COVID 19)",IF(P68=CURSOS!$D$18,"ATENCION INTEGRAL EN ENFERMEDADES PREVALENTES EN PRIMERA INFANCIA (AIEPI)",IF(P68=CURSOS!$D$19,"ADMINISTRACION DE MEDICAMENTOS, INYECTOLOGIA  Y CANALIZACION ",IF(P68=CURSOS!$D$20,"OPERADOR DE VEHICULOS DE EMERGENCIA (OVE)",IF(P68=CURSOS!$D$21,"INSTITUCIONES AMIGAS DE LA MUJER Y LA INFANCIA (IAMI)",IF(P68=CURSOS!$D$22,"CUIDADO DEL DONANTE DE ORGANOS",IF(P68=CURSOS!$D$23,"ATENCION A VICTIMAS POR VIOLENCIA DE GENERO",IF(P68=CURSOS!$D$24,"IGUALDAD DE GENERO EN LA SALUD",IF(P68=CURSOS!$D$25,"BRIGADA DE EMERGENCIA",IF(P68=CURSOS!$D$26,"MANEJO DEL DOLOR Y CUIDADOS PALIATIVOS",IF(P68=CURSOS!$D$27,"TOMA DE MUESTRAS Y LABORATORIO POCT",IF(P68=CURSOS!$D$28,"IMPLANTE SUBDERMICO DE DISPOSITIVO INTRAUTERINO",IF(P68=CURSOS!$D$29,"SALUD MENTAL",IF(P68=CURSOS!$D$30,"PRIMEROS AUXILIOS PSICOLOGICOS",IF(P68=CURSOS!$D$31,"ATENCION A VICTIMAS POR CONFLICTO ARMADO",IF(P68=CURSOS!$D$32,"MANIPULACION DE ALIMENTOS Y BPM",IF(P68=CURSOS!$D$33,"ATENCION A PERSONAS CON DISCAPACIDAD",IF(P68=CURSOS!$D$34,"CUIDADO INTEGRAL DEL PACIENTE ADULTO",IF(P68=CURSOS!$D$35,"MANEJO DEFENSIVO",IF(P68=CURSOS!$D$36,"SOPORTE CARDIOVASCULAR AVANZADO NEONATAL",IF(P68=CURSOS!$D$37,"SEGURIDAD DEL PACIENTE",IF(P68=CURSOS!$D$38,"MANEJO DE RESIDUOS HOSPITALARIOS",IF(P68=CURSOS!$D$39,"ATENCION DE PACIENTE POR CONSUMO SUSTANCIAS PSICOACTIVAS Y ADICCIONES")))))))))))))))))))))))))))))))))))))</f>
        <v xml:space="preserve">ATENCION A VICTIMAS DE VIOLENCIA SEXUAL </v>
      </c>
      <c r="W68" s="75" t="str">
        <f t="shared" si="3"/>
        <v>Edgar Mauricio Coral Solarte</v>
      </c>
      <c r="X68" s="75" t="str">
        <f t="shared" si="4"/>
        <v>Edgar Mauricio Coral Solarte</v>
      </c>
      <c r="Y68" s="75" t="str">
        <f t="shared" si="5"/>
        <v>Edgar Mauricio Coral Solarte-1087421530-VIOLENCIA SEXUAL</v>
      </c>
    </row>
    <row r="69" spans="1:25" s="76" customFormat="1" x14ac:dyDescent="0.2">
      <c r="A69" s="67">
        <v>68</v>
      </c>
      <c r="B69" s="68">
        <v>1087421530</v>
      </c>
      <c r="C69" s="68" t="s">
        <v>225</v>
      </c>
      <c r="D69" s="68" t="s">
        <v>226</v>
      </c>
      <c r="E69" s="68" t="s">
        <v>227</v>
      </c>
      <c r="F69" s="68" t="s">
        <v>228</v>
      </c>
      <c r="G69" s="68">
        <v>11</v>
      </c>
      <c r="H69" s="68" t="s">
        <v>100</v>
      </c>
      <c r="I69" s="68" t="s">
        <v>129</v>
      </c>
      <c r="J69" s="69" t="s">
        <v>148</v>
      </c>
      <c r="K69" s="70">
        <v>45819</v>
      </c>
      <c r="L69" s="71">
        <v>28000</v>
      </c>
      <c r="M69" s="68" t="s">
        <v>123</v>
      </c>
      <c r="N69" s="68" t="s">
        <v>207</v>
      </c>
      <c r="O69" s="68" t="s">
        <v>149</v>
      </c>
      <c r="P69" s="72" t="s">
        <v>23</v>
      </c>
      <c r="Q69" s="69">
        <v>34793</v>
      </c>
      <c r="R69" s="68" t="s">
        <v>141</v>
      </c>
      <c r="S69" s="77" t="s">
        <v>229</v>
      </c>
      <c r="T69" s="68">
        <v>3176839293</v>
      </c>
      <c r="U69" s="68" t="s">
        <v>230</v>
      </c>
      <c r="V69" s="75" t="str">
        <f>IF(P69=CURSOS!$D$3,"DIPLOMADO EN ATENCION PRE-HOSPITALARIA",IF(P69=CURSOS!$D$4,"ACOMPAÑAMIENTO Y MANEJO DEL DUELO",IF(P69=CURSOS!$D$5,"ATENCION A VICTIMAS DE ATAQUE CON AGENTES QUIMICOS ",IF(P69=CURSOS!$D$6,"PRIMEROS AUXILIOS ",IF(P69=CURSOS!$D$7,"DIPLOMADO DE UNIDAD DE CUIDADOS INTENSIVOS (UCI)",IF(P69=CURSOS!$D$8,"MODELO DE ATENCION PARA EVENTOS EMERGENTES EN SALUD MENTAL (CODIGO VERDE)",IF(P69=CURSOS!$D$9,"HUMANIZACION EN EL SERVICIO DE LA SALUD Y BUENAS PRACTICAS EN PACIENTE ",IF(P69=CURSOS!$D$10,"CLINICA DE HERIDAS ",IF(P69=CURSOS!$D$11,"TOMA DE CITOLOGIA CERVICO VAGINAL ",IF(P69=CURSOS!$D$12,"SOPORTE CARDIOVASCULAR AVANZADO (ACLS) ",IF(P69=CURSOS!$D$13,"CAMILLERO ",IF(P69=CURSOS!$D$14,"TOMA DE MUESTRAS Y LABORATORIO ",IF(P69=CURSOS!$D$15,"SOPORTE VITAL BASICO (BLS)",IF(P69=CURSOS!$D$16,"ATENCION A VICTIMAS DE VIOLENCIA SEXUAL ",IF(P69=CURSOS!$D$17,"PROGRAMADO AMPLIADO DE INMUNIZACION (PAI - COVID 19)",IF(P69=CURSOS!$D$18,"ATENCION INTEGRAL EN ENFERMEDADES PREVALENTES EN PRIMERA INFANCIA (AIEPI)",IF(P69=CURSOS!$D$19,"ADMINISTRACION DE MEDICAMENTOS, INYECTOLOGIA  Y CANALIZACION ",IF(P69=CURSOS!$D$20,"OPERADOR DE VEHICULOS DE EMERGENCIA (OVE)",IF(P69=CURSOS!$D$21,"INSTITUCIONES AMIGAS DE LA MUJER Y LA INFANCIA (IAMI)",IF(P69=CURSOS!$D$22,"CUIDADO DEL DONANTE DE ORGANOS",IF(P69=CURSOS!$D$23,"ATENCION A VICTIMAS POR VIOLENCIA DE GENERO",IF(P69=CURSOS!$D$24,"IGUALDAD DE GENERO EN LA SALUD",IF(P69=CURSOS!$D$25,"BRIGADA DE EMERGENCIA",IF(P69=CURSOS!$D$26,"MANEJO DEL DOLOR Y CUIDADOS PALIATIVOS",IF(P69=CURSOS!$D$27,"TOMA DE MUESTRAS Y LABORATORIO POCT",IF(P69=CURSOS!$D$28,"IMPLANTE SUBDERMICO DE DISPOSITIVO INTRAUTERINO",IF(P69=CURSOS!$D$29,"SALUD MENTAL",IF(P69=CURSOS!$D$30,"PRIMEROS AUXILIOS PSICOLOGICOS",IF(P69=CURSOS!$D$31,"ATENCION A VICTIMAS POR CONFLICTO ARMADO",IF(P69=CURSOS!$D$32,"MANIPULACION DE ALIMENTOS Y BPM",IF(P69=CURSOS!$D$33,"ATENCION A PERSONAS CON DISCAPACIDAD",IF(P69=CURSOS!$D$34,"CUIDADO INTEGRAL DEL PACIENTE ADULTO",IF(P69=CURSOS!$D$35,"MANEJO DEFENSIVO",IF(P69=CURSOS!$D$36,"SOPORTE CARDIOVASCULAR AVANZADO NEONATAL",IF(P69=CURSOS!$D$37,"SEGURIDAD DEL PACIENTE",IF(P69=CURSOS!$D$38,"MANEJO DE RESIDUOS HOSPITALARIOS",IF(P69=CURSOS!$D$39,"ATENCION DE PACIENTE POR CONSUMO SUSTANCIAS PSICOACTIVAS Y ADICCIONES")))))))))))))))))))))))))))))))))))))</f>
        <v>ACOMPAÑAMIENTO Y MANEJO DEL DUELO</v>
      </c>
      <c r="W69" s="75" t="str">
        <f t="shared" si="3"/>
        <v>Edgar Mauricio Coral Solarte</v>
      </c>
      <c r="X69" s="75" t="str">
        <f t="shared" si="4"/>
        <v>Edgar Mauricio Coral Solarte</v>
      </c>
      <c r="Y69" s="75" t="str">
        <f t="shared" si="5"/>
        <v>Edgar Mauricio Coral Solarte-1087421530-DUELO</v>
      </c>
    </row>
    <row r="70" spans="1:25" s="76" customFormat="1" x14ac:dyDescent="0.2">
      <c r="A70" s="67">
        <v>69</v>
      </c>
      <c r="B70" s="68">
        <v>1087421530</v>
      </c>
      <c r="C70" s="68" t="s">
        <v>225</v>
      </c>
      <c r="D70" s="68" t="s">
        <v>226</v>
      </c>
      <c r="E70" s="68" t="s">
        <v>227</v>
      </c>
      <c r="F70" s="68" t="s">
        <v>228</v>
      </c>
      <c r="G70" s="68">
        <v>15</v>
      </c>
      <c r="H70" s="68" t="s">
        <v>100</v>
      </c>
      <c r="I70" s="68" t="s">
        <v>129</v>
      </c>
      <c r="J70" s="69" t="s">
        <v>148</v>
      </c>
      <c r="K70" s="70">
        <v>45819</v>
      </c>
      <c r="L70" s="71">
        <v>28000</v>
      </c>
      <c r="M70" s="68" t="s">
        <v>123</v>
      </c>
      <c r="N70" s="68" t="s">
        <v>207</v>
      </c>
      <c r="O70" s="68" t="s">
        <v>149</v>
      </c>
      <c r="P70" s="72" t="s">
        <v>61</v>
      </c>
      <c r="Q70" s="69">
        <v>34793</v>
      </c>
      <c r="R70" s="68" t="s">
        <v>141</v>
      </c>
      <c r="S70" s="77" t="s">
        <v>229</v>
      </c>
      <c r="T70" s="68">
        <v>3176839293</v>
      </c>
      <c r="U70" s="68" t="s">
        <v>230</v>
      </c>
      <c r="V70" s="75" t="str">
        <f>IF(P70=CURSOS!$D$3,"DIPLOMADO EN ATENCION PRE-HOSPITALARIA",IF(P70=CURSOS!$D$4,"ACOMPAÑAMIENTO Y MANEJO DEL DUELO",IF(P70=CURSOS!$D$5,"ATENCION A VICTIMAS DE ATAQUE CON AGENTES QUIMICOS ",IF(P70=CURSOS!$D$6,"PRIMEROS AUXILIOS ",IF(P70=CURSOS!$D$7,"DIPLOMADO DE UNIDAD DE CUIDADOS INTENSIVOS (UCI)",IF(P70=CURSOS!$D$8,"MODELO DE ATENCION PARA EVENTOS EMERGENTES EN SALUD MENTAL (CODIGO VERDE)",IF(P70=CURSOS!$D$9,"HUMANIZACION EN EL SERVICIO DE LA SALUD Y BUENAS PRACTICAS EN PACIENTE ",IF(P70=CURSOS!$D$10,"CLINICA DE HERIDAS ",IF(P70=CURSOS!$D$11,"TOMA DE CITOLOGIA CERVICO VAGINAL ",IF(P70=CURSOS!$D$12,"SOPORTE CARDIOVASCULAR AVANZADO (ACLS) ",IF(P70=CURSOS!$D$13,"CAMILLERO ",IF(P70=CURSOS!$D$14,"TOMA DE MUESTRAS Y LABORATORIO ",IF(P70=CURSOS!$D$15,"SOPORTE VITAL BASICO (BLS)",IF(P70=CURSOS!$D$16,"ATENCION A VICTIMAS DE VIOLENCIA SEXUAL ",IF(P70=CURSOS!$D$17,"PROGRAMADO AMPLIADO DE INMUNIZACION (PAI - COVID 19)",IF(P70=CURSOS!$D$18,"ATENCION INTEGRAL EN ENFERMEDADES PREVALENTES EN PRIMERA INFANCIA (AIEPI)",IF(P70=CURSOS!$D$19,"ADMINISTRACION DE MEDICAMENTOS, INYECTOLOGIA  Y CANALIZACION ",IF(P70=CURSOS!$D$20,"OPERADOR DE VEHICULOS DE EMERGENCIA (OVE)",IF(P70=CURSOS!$D$21,"INSTITUCIONES AMIGAS DE LA MUJER Y LA INFANCIA (IAMI)",IF(P70=CURSOS!$D$22,"CUIDADO DEL DONANTE DE ORGANOS",IF(P70=CURSOS!$D$23,"ATENCION A VICTIMAS POR VIOLENCIA DE GENERO",IF(P70=CURSOS!$D$24,"IGUALDAD DE GENERO EN LA SALUD",IF(P70=CURSOS!$D$25,"BRIGADA DE EMERGENCIA",IF(P70=CURSOS!$D$26,"MANEJO DEL DOLOR Y CUIDADOS PALIATIVOS",IF(P70=CURSOS!$D$27,"TOMA DE MUESTRAS Y LABORATORIO POCT",IF(P70=CURSOS!$D$28,"IMPLANTE SUBDERMICO DE DISPOSITIVO INTRAUTERINO",IF(P70=CURSOS!$D$29,"SALUD MENTAL",IF(P70=CURSOS!$D$30,"PRIMEROS AUXILIOS PSICOLOGICOS",IF(P70=CURSOS!$D$31,"ATENCION A VICTIMAS POR CONFLICTO ARMADO",IF(P70=CURSOS!$D$32,"MANIPULACION DE ALIMENTOS Y BPM",IF(P70=CURSOS!$D$33,"ATENCION A PERSONAS CON DISCAPACIDAD",IF(P70=CURSOS!$D$34,"CUIDADO INTEGRAL DEL PACIENTE ADULTO",IF(P70=CURSOS!$D$35,"MANEJO DEFENSIVO",IF(P70=CURSOS!$D$36,"SOPORTE CARDIOVASCULAR AVANZADO NEONATAL",IF(P70=CURSOS!$D$37,"SEGURIDAD DEL PACIENTE",IF(P70=CURSOS!$D$38,"MANEJO DE RESIDUOS HOSPITALARIOS",IF(P70=CURSOS!$D$39,"ATENCION DE PACIENTE POR CONSUMO SUSTANCIAS PSICOACTIVAS Y ADICCIONES")))))))))))))))))))))))))))))))))))))</f>
        <v>SALUD MENTAL</v>
      </c>
      <c r="W70" s="75" t="str">
        <f t="shared" si="3"/>
        <v>Edgar Mauricio Coral Solarte</v>
      </c>
      <c r="X70" s="75" t="str">
        <f t="shared" si="4"/>
        <v>Edgar Mauricio Coral Solarte</v>
      </c>
      <c r="Y70" s="75" t="str">
        <f t="shared" si="5"/>
        <v>Edgar Mauricio Coral Solarte-1087421530-SALUD MENTAL</v>
      </c>
    </row>
    <row r="71" spans="1:25" s="76" customFormat="1" x14ac:dyDescent="0.2">
      <c r="A71" s="67">
        <v>70</v>
      </c>
      <c r="B71" s="68">
        <v>1087421530</v>
      </c>
      <c r="C71" s="68" t="s">
        <v>225</v>
      </c>
      <c r="D71" s="68" t="s">
        <v>226</v>
      </c>
      <c r="E71" s="68" t="s">
        <v>227</v>
      </c>
      <c r="F71" s="68" t="s">
        <v>228</v>
      </c>
      <c r="G71" s="68">
        <v>16</v>
      </c>
      <c r="H71" s="68" t="s">
        <v>100</v>
      </c>
      <c r="I71" s="68" t="s">
        <v>129</v>
      </c>
      <c r="J71" s="69" t="s">
        <v>148</v>
      </c>
      <c r="K71" s="70">
        <v>45819</v>
      </c>
      <c r="L71" s="71">
        <v>28000</v>
      </c>
      <c r="M71" s="68" t="s">
        <v>123</v>
      </c>
      <c r="N71" s="68" t="s">
        <v>207</v>
      </c>
      <c r="O71" s="68" t="s">
        <v>149</v>
      </c>
      <c r="P71" s="72" t="s">
        <v>101</v>
      </c>
      <c r="Q71" s="69">
        <v>34793</v>
      </c>
      <c r="R71" s="68" t="s">
        <v>141</v>
      </c>
      <c r="S71" s="77" t="s">
        <v>229</v>
      </c>
      <c r="T71" s="68">
        <v>3176839293</v>
      </c>
      <c r="U71" s="68" t="s">
        <v>230</v>
      </c>
      <c r="V71" s="75" t="str">
        <f>IF(P71=CURSOS!$D$3,"DIPLOMADO EN ATENCION PRE-HOSPITALARIA",IF(P71=CURSOS!$D$4,"ACOMPAÑAMIENTO Y MANEJO DEL DUELO",IF(P71=CURSOS!$D$5,"ATENCION A VICTIMAS DE ATAQUE CON AGENTES QUIMICOS ",IF(P71=CURSOS!$D$6,"PRIMEROS AUXILIOS ",IF(P71=CURSOS!$D$7,"DIPLOMADO DE UNIDAD DE CUIDADOS INTENSIVOS (UCI)",IF(P71=CURSOS!$D$8,"MODELO DE ATENCION PARA EVENTOS EMERGENTES EN SALUD MENTAL (CODIGO VERDE)",IF(P71=CURSOS!$D$9,"HUMANIZACION EN EL SERVICIO DE LA SALUD Y BUENAS PRACTICAS EN PACIENTE ",IF(P71=CURSOS!$D$10,"CLINICA DE HERIDAS ",IF(P71=CURSOS!$D$11,"TOMA DE CITOLOGIA CERVICO VAGINAL ",IF(P71=CURSOS!$D$12,"SOPORTE CARDIOVASCULAR AVANZADO (ACLS) ",IF(P71=CURSOS!$D$13,"CAMILLERO ",IF(P71=CURSOS!$D$14,"TOMA DE MUESTRAS Y LABORATORIO ",IF(P71=CURSOS!$D$15,"SOPORTE VITAL BASICO (BLS)",IF(P71=CURSOS!$D$16,"ATENCION A VICTIMAS DE VIOLENCIA SEXUAL ",IF(P71=CURSOS!$D$17,"PROGRAMADO AMPLIADO DE INMUNIZACION (PAI - COVID 19)",IF(P71=CURSOS!$D$18,"ATENCION INTEGRAL EN ENFERMEDADES PREVALENTES EN PRIMERA INFANCIA (AIEPI)",IF(P71=CURSOS!$D$19,"ADMINISTRACION DE MEDICAMENTOS, INYECTOLOGIA  Y CANALIZACION ",IF(P71=CURSOS!$D$20,"OPERADOR DE VEHICULOS DE EMERGENCIA (OVE)",IF(P71=CURSOS!$D$21,"INSTITUCIONES AMIGAS DE LA MUJER Y LA INFANCIA (IAMI)",IF(P71=CURSOS!$D$22,"CUIDADO DEL DONANTE DE ORGANOS",IF(P71=CURSOS!$D$23,"ATENCION A VICTIMAS POR VIOLENCIA DE GENERO",IF(P71=CURSOS!$D$24,"IGUALDAD DE GENERO EN LA SALUD",IF(P71=CURSOS!$D$25,"BRIGADA DE EMERGENCIA",IF(P71=CURSOS!$D$26,"MANEJO DEL DOLOR Y CUIDADOS PALIATIVOS",IF(P71=CURSOS!$D$27,"TOMA DE MUESTRAS Y LABORATORIO POCT",IF(P71=CURSOS!$D$28,"IMPLANTE SUBDERMICO DE DISPOSITIVO INTRAUTERINO",IF(P71=CURSOS!$D$29,"SALUD MENTAL",IF(P71=CURSOS!$D$30,"PRIMEROS AUXILIOS PSICOLOGICOS",IF(P71=CURSOS!$D$31,"ATENCION A VICTIMAS POR CONFLICTO ARMADO",IF(P71=CURSOS!$D$32,"MANIPULACION DE ALIMENTOS Y BPM",IF(P71=CURSOS!$D$33,"ATENCION A PERSONAS CON DISCAPACIDAD",IF(P71=CURSOS!$D$34,"CUIDADO INTEGRAL DEL PACIENTE ADULTO",IF(P71=CURSOS!$D$35,"MANEJO DEFENSIVO",IF(P71=CURSOS!$D$36,"SOPORTE CARDIOVASCULAR AVANZADO NEONATAL",IF(P71=CURSOS!$D$37,"SEGURIDAD DEL PACIENTE",IF(P71=CURSOS!$D$38,"MANEJO DE RESIDUOS HOSPITALARIOS",IF(P71=CURSOS!$D$39,"ATENCION DE PACIENTE POR CONSUMO SUSTANCIAS PSICOACTIVAS Y ADICCIONES")))))))))))))))))))))))))))))))))))))</f>
        <v>ATENCION DE PACIENTE POR CONSUMO SUSTANCIAS PSICOACTIVAS Y ADICCIONES</v>
      </c>
      <c r="W71" s="75" t="str">
        <f t="shared" si="3"/>
        <v>Edgar Mauricio Coral Solarte</v>
      </c>
      <c r="X71" s="75" t="str">
        <f t="shared" si="4"/>
        <v>Edgar Mauricio Coral Solarte</v>
      </c>
      <c r="Y71" s="75" t="str">
        <f t="shared" si="5"/>
        <v>Edgar Mauricio Coral Solarte-1087421530-SUSTANCIAS</v>
      </c>
    </row>
    <row r="72" spans="1:25" s="76" customFormat="1" x14ac:dyDescent="0.2">
      <c r="A72" s="67">
        <v>71</v>
      </c>
      <c r="B72" s="68">
        <v>1087421530</v>
      </c>
      <c r="C72" s="68" t="s">
        <v>225</v>
      </c>
      <c r="D72" s="68" t="s">
        <v>226</v>
      </c>
      <c r="E72" s="68" t="s">
        <v>227</v>
      </c>
      <c r="F72" s="68" t="s">
        <v>228</v>
      </c>
      <c r="G72" s="68">
        <v>10</v>
      </c>
      <c r="H72" s="68" t="s">
        <v>100</v>
      </c>
      <c r="I72" s="68" t="s">
        <v>129</v>
      </c>
      <c r="J72" s="69" t="s">
        <v>148</v>
      </c>
      <c r="K72" s="70">
        <v>45819</v>
      </c>
      <c r="L72" s="71">
        <v>28000</v>
      </c>
      <c r="M72" s="68" t="s">
        <v>123</v>
      </c>
      <c r="N72" s="68" t="s">
        <v>207</v>
      </c>
      <c r="O72" s="68" t="s">
        <v>149</v>
      </c>
      <c r="P72" s="72" t="s">
        <v>32</v>
      </c>
      <c r="Q72" s="69">
        <v>34793</v>
      </c>
      <c r="R72" s="68" t="s">
        <v>141</v>
      </c>
      <c r="S72" s="77" t="s">
        <v>229</v>
      </c>
      <c r="T72" s="68">
        <v>3176839293</v>
      </c>
      <c r="U72" s="68" t="s">
        <v>230</v>
      </c>
      <c r="V72" s="75" t="str">
        <f>IF(P72=CURSOS!$D$3,"DIPLOMADO EN ATENCION PRE-HOSPITALARIA",IF(P72=CURSOS!$D$4,"ACOMPAÑAMIENTO Y MANEJO DEL DUELO",IF(P72=CURSOS!$D$5,"ATENCION A VICTIMAS DE ATAQUE CON AGENTES QUIMICOS ",IF(P72=CURSOS!$D$6,"PRIMEROS AUXILIOS ",IF(P72=CURSOS!$D$7,"DIPLOMADO DE UNIDAD DE CUIDADOS INTENSIVOS (UCI)",IF(P72=CURSOS!$D$8,"MODELO DE ATENCION PARA EVENTOS EMERGENTES EN SALUD MENTAL (CODIGO VERDE)",IF(P72=CURSOS!$D$9,"HUMANIZACION EN EL SERVICIO DE LA SALUD Y BUENAS PRACTICAS EN PACIENTE ",IF(P72=CURSOS!$D$10,"CLINICA DE HERIDAS ",IF(P72=CURSOS!$D$11,"TOMA DE CITOLOGIA CERVICO VAGINAL ",IF(P72=CURSOS!$D$12,"SOPORTE CARDIOVASCULAR AVANZADO (ACLS) ",IF(P72=CURSOS!$D$13,"CAMILLERO ",IF(P72=CURSOS!$D$14,"TOMA DE MUESTRAS Y LABORATORIO ",IF(P72=CURSOS!$D$15,"SOPORTE VITAL BASICO (BLS)",IF(P72=CURSOS!$D$16,"ATENCION A VICTIMAS DE VIOLENCIA SEXUAL ",IF(P72=CURSOS!$D$17,"PROGRAMADO AMPLIADO DE INMUNIZACION (PAI - COVID 19)",IF(P72=CURSOS!$D$18,"ATENCION INTEGRAL EN ENFERMEDADES PREVALENTES EN PRIMERA INFANCIA (AIEPI)",IF(P72=CURSOS!$D$19,"ADMINISTRACION DE MEDICAMENTOS, INYECTOLOGIA  Y CANALIZACION ",IF(P72=CURSOS!$D$20,"OPERADOR DE VEHICULOS DE EMERGENCIA (OVE)",IF(P72=CURSOS!$D$21,"INSTITUCIONES AMIGAS DE LA MUJER Y LA INFANCIA (IAMI)",IF(P72=CURSOS!$D$22,"CUIDADO DEL DONANTE DE ORGANOS",IF(P72=CURSOS!$D$23,"ATENCION A VICTIMAS POR VIOLENCIA DE GENERO",IF(P72=CURSOS!$D$24,"IGUALDAD DE GENERO EN LA SALUD",IF(P72=CURSOS!$D$25,"BRIGADA DE EMERGENCIA",IF(P72=CURSOS!$D$26,"MANEJO DEL DOLOR Y CUIDADOS PALIATIVOS",IF(P72=CURSOS!$D$27,"TOMA DE MUESTRAS Y LABORATORIO POCT",IF(P72=CURSOS!$D$28,"IMPLANTE SUBDERMICO DE DISPOSITIVO INTRAUTERINO",IF(P72=CURSOS!$D$29,"SALUD MENTAL",IF(P72=CURSOS!$D$30,"PRIMEROS AUXILIOS PSICOLOGICOS",IF(P72=CURSOS!$D$31,"ATENCION A VICTIMAS POR CONFLICTO ARMADO",IF(P72=CURSOS!$D$32,"MANIPULACION DE ALIMENTOS Y BPM",IF(P72=CURSOS!$D$33,"ATENCION A PERSONAS CON DISCAPACIDAD",IF(P72=CURSOS!$D$34,"CUIDADO INTEGRAL DEL PACIENTE ADULTO",IF(P72=CURSOS!$D$35,"MANEJO DEFENSIVO",IF(P72=CURSOS!$D$36,"SOPORTE CARDIOVASCULAR AVANZADO NEONATAL",IF(P72=CURSOS!$D$37,"SEGURIDAD DEL PACIENTE",IF(P72=CURSOS!$D$38,"MANEJO DE RESIDUOS HOSPITALARIOS",IF(P72=CURSOS!$D$39,"ATENCION DE PACIENTE POR CONSUMO SUSTANCIAS PSICOACTIVAS Y ADICCIONES")))))))))))))))))))))))))))))))))))))</f>
        <v xml:space="preserve">HUMANIZACION EN EL SERVICIO DE LA SALUD Y BUENAS PRACTICAS EN PACIENTE </v>
      </c>
      <c r="W72" s="75" t="str">
        <f t="shared" si="3"/>
        <v>Edgar Mauricio Coral Solarte</v>
      </c>
      <c r="X72" s="75" t="str">
        <f t="shared" si="4"/>
        <v>Edgar Mauricio Coral Solarte</v>
      </c>
      <c r="Y72" s="75" t="str">
        <f t="shared" si="5"/>
        <v>Edgar Mauricio Coral Solarte-1087421530-HUMANIZACION</v>
      </c>
    </row>
    <row r="73" spans="1:25" s="76" customFormat="1" x14ac:dyDescent="0.2">
      <c r="A73" s="67">
        <v>72</v>
      </c>
      <c r="B73" s="68">
        <v>1094284464</v>
      </c>
      <c r="C73" s="68" t="s">
        <v>279</v>
      </c>
      <c r="D73" s="68" t="s">
        <v>280</v>
      </c>
      <c r="E73" s="68" t="s">
        <v>186</v>
      </c>
      <c r="F73" s="68" t="s">
        <v>281</v>
      </c>
      <c r="G73" s="68">
        <v>17</v>
      </c>
      <c r="H73" s="68" t="s">
        <v>100</v>
      </c>
      <c r="I73" s="68" t="s">
        <v>129</v>
      </c>
      <c r="J73" s="69" t="s">
        <v>148</v>
      </c>
      <c r="K73" s="70">
        <v>45819</v>
      </c>
      <c r="L73" s="71">
        <v>28000</v>
      </c>
      <c r="M73" s="68" t="s">
        <v>123</v>
      </c>
      <c r="N73" s="68" t="s">
        <v>207</v>
      </c>
      <c r="O73" s="68" t="s">
        <v>149</v>
      </c>
      <c r="P73" s="72" t="s">
        <v>64</v>
      </c>
      <c r="Q73" s="69">
        <v>36350</v>
      </c>
      <c r="R73" s="68" t="s">
        <v>109</v>
      </c>
      <c r="S73" s="77" t="s">
        <v>283</v>
      </c>
      <c r="T73" s="68" t="s">
        <v>308</v>
      </c>
      <c r="U73" s="68" t="s">
        <v>282</v>
      </c>
      <c r="V73" s="75" t="str">
        <f>IF(P73=CURSOS!$D$3,"DIPLOMADO EN ATENCION PRE-HOSPITALARIA",IF(P73=CURSOS!$D$4,"ACOMPAÑAMIENTO Y MANEJO DEL DUELO",IF(P73=CURSOS!$D$5,"ATENCION A VICTIMAS DE ATAQUE CON AGENTES QUIMICOS ",IF(P73=CURSOS!$D$6,"PRIMEROS AUXILIOS ",IF(P73=CURSOS!$D$7,"DIPLOMADO DE UNIDAD DE CUIDADOS INTENSIVOS (UCI)",IF(P73=CURSOS!$D$8,"MODELO DE ATENCION PARA EVENTOS EMERGENTES EN SALUD MENTAL (CODIGO VERDE)",IF(P73=CURSOS!$D$9,"HUMANIZACION EN EL SERVICIO DE LA SALUD Y BUENAS PRACTICAS EN PACIENTE ",IF(P73=CURSOS!$D$10,"CLINICA DE HERIDAS ",IF(P73=CURSOS!$D$11,"TOMA DE CITOLOGIA CERVICO VAGINAL ",IF(P73=CURSOS!$D$12,"SOPORTE CARDIOVASCULAR AVANZADO (ACLS) ",IF(P73=CURSOS!$D$13,"CAMILLERO ",IF(P73=CURSOS!$D$14,"TOMA DE MUESTRAS Y LABORATORIO ",IF(P73=CURSOS!$D$15,"SOPORTE VITAL BASICO (BLS)",IF(P73=CURSOS!$D$16,"ATENCION A VICTIMAS DE VIOLENCIA SEXUAL ",IF(P73=CURSOS!$D$17,"PROGRAMADO AMPLIADO DE INMUNIZACION (PAI - COVID 19)",IF(P73=CURSOS!$D$18,"ATENCION INTEGRAL EN ENFERMEDADES PREVALENTES EN PRIMERA INFANCIA (AIEPI)",IF(P73=CURSOS!$D$19,"ADMINISTRACION DE MEDICAMENTOS, INYECTOLOGIA  Y CANALIZACION ",IF(P73=CURSOS!$D$20,"OPERADOR DE VEHICULOS DE EMERGENCIA (OVE)",IF(P73=CURSOS!$D$21,"INSTITUCIONES AMIGAS DE LA MUJER Y LA INFANCIA (IAMI)",IF(P73=CURSOS!$D$22,"CUIDADO DEL DONANTE DE ORGANOS",IF(P73=CURSOS!$D$23,"ATENCION A VICTIMAS POR VIOLENCIA DE GENERO",IF(P73=CURSOS!$D$24,"IGUALDAD DE GENERO EN LA SALUD",IF(P73=CURSOS!$D$25,"BRIGADA DE EMERGENCIA",IF(P73=CURSOS!$D$26,"MANEJO DEL DOLOR Y CUIDADOS PALIATIVOS",IF(P73=CURSOS!$D$27,"TOMA DE MUESTRAS Y LABORATORIO POCT",IF(P73=CURSOS!$D$28,"IMPLANTE SUBDERMICO DE DISPOSITIVO INTRAUTERINO",IF(P73=CURSOS!$D$29,"SALUD MENTAL",IF(P73=CURSOS!$D$30,"PRIMEROS AUXILIOS PSICOLOGICOS",IF(P73=CURSOS!$D$31,"ATENCION A VICTIMAS POR CONFLICTO ARMADO",IF(P73=CURSOS!$D$32,"MANIPULACION DE ALIMENTOS Y BPM",IF(P73=CURSOS!$D$33,"ATENCION A PERSONAS CON DISCAPACIDAD",IF(P73=CURSOS!$D$34,"CUIDADO INTEGRAL DEL PACIENTE ADULTO",IF(P73=CURSOS!$D$35,"MANEJO DEFENSIVO",IF(P73=CURSOS!$D$36,"SOPORTE CARDIOVASCULAR AVANZADO NEONATAL",IF(P73=CURSOS!$D$37,"SEGURIDAD DEL PACIENTE",IF(P73=CURSOS!$D$38,"MANEJO DE RESIDUOS HOSPITALARIOS",IF(P73=CURSOS!$D$39,"ATENCION DE PACIENTE POR CONSUMO SUSTANCIAS PSICOACTIVAS Y ADICCIONES")))))))))))))))))))))))))))))))))))))</f>
        <v>ATENCION A VICTIMAS POR CONFLICTO ARMADO</v>
      </c>
      <c r="W73" s="75" t="str">
        <f t="shared" si="3"/>
        <v>Maria De los angeles Martinez Sierra</v>
      </c>
      <c r="X73" s="75" t="str">
        <f t="shared" si="4"/>
        <v>Maria De Los Angeles Martinez Sierra</v>
      </c>
      <c r="Y73" s="75" t="str">
        <f t="shared" si="5"/>
        <v>Maria De los angeles Martinez Sierra-1094284464-CONFLICTO ARMADO</v>
      </c>
    </row>
    <row r="74" spans="1:25" s="76" customFormat="1" x14ac:dyDescent="0.2">
      <c r="A74" s="67">
        <v>73</v>
      </c>
      <c r="B74" s="68">
        <v>1094284464</v>
      </c>
      <c r="C74" s="68" t="s">
        <v>279</v>
      </c>
      <c r="D74" s="68" t="s">
        <v>280</v>
      </c>
      <c r="E74" s="68" t="s">
        <v>186</v>
      </c>
      <c r="F74" s="68" t="s">
        <v>281</v>
      </c>
      <c r="G74" s="68">
        <v>16</v>
      </c>
      <c r="H74" s="68" t="s">
        <v>100</v>
      </c>
      <c r="I74" s="68" t="s">
        <v>129</v>
      </c>
      <c r="J74" s="69" t="s">
        <v>148</v>
      </c>
      <c r="K74" s="70">
        <v>45819</v>
      </c>
      <c r="L74" s="71">
        <v>28000</v>
      </c>
      <c r="M74" s="68" t="s">
        <v>123</v>
      </c>
      <c r="N74" s="68" t="s">
        <v>207</v>
      </c>
      <c r="O74" s="68" t="s">
        <v>149</v>
      </c>
      <c r="P74" s="92" t="s">
        <v>40</v>
      </c>
      <c r="Q74" s="69">
        <v>36350</v>
      </c>
      <c r="R74" s="68" t="s">
        <v>109</v>
      </c>
      <c r="S74" s="77" t="s">
        <v>283</v>
      </c>
      <c r="T74" s="68" t="s">
        <v>308</v>
      </c>
      <c r="U74" s="68" t="s">
        <v>282</v>
      </c>
      <c r="V74" s="75" t="str">
        <f>IF(P74=CURSOS!$D$3,"DIPLOMADO EN ATENCION PRE-HOSPITALARIA",IF(P74=CURSOS!$D$4,"ACOMPAÑAMIENTO Y MANEJO DEL DUELO",IF(P74=CURSOS!$D$5,"ATENCION A VICTIMAS DE ATAQUE CON AGENTES QUIMICOS ",IF(P74=CURSOS!$D$6,"PRIMEROS AUXILIOS ",IF(P74=CURSOS!$D$7,"DIPLOMADO DE UNIDAD DE CUIDADOS INTENSIVOS (UCI)",IF(P74=CURSOS!$D$8,"MODELO DE ATENCION PARA EVENTOS EMERGENTES EN SALUD MENTAL (CODIGO VERDE)",IF(P74=CURSOS!$D$9,"HUMANIZACION EN EL SERVICIO DE LA SALUD Y BUENAS PRACTICAS EN PACIENTE ",IF(P74=CURSOS!$D$10,"CLINICA DE HERIDAS ",IF(P74=CURSOS!$D$11,"TOMA DE CITOLOGIA CERVICO VAGINAL ",IF(P74=CURSOS!$D$12,"SOPORTE CARDIOVASCULAR AVANZADO (ACLS) ",IF(P74=CURSOS!$D$13,"CAMILLERO ",IF(P74=CURSOS!$D$14,"TOMA DE MUESTRAS Y LABORATORIO ",IF(P74=CURSOS!$D$15,"SOPORTE VITAL BASICO (BLS)",IF(P74=CURSOS!$D$16,"ATENCION A VICTIMAS DE VIOLENCIA SEXUAL ",IF(P74=CURSOS!$D$17,"PROGRAMADO AMPLIADO DE INMUNIZACION (PAI - COVID 19)",IF(P74=CURSOS!$D$18,"ATENCION INTEGRAL EN ENFERMEDADES PREVALENTES EN PRIMERA INFANCIA (AIEPI)",IF(P74=CURSOS!$D$19,"ADMINISTRACION DE MEDICAMENTOS, INYECTOLOGIA  Y CANALIZACION ",IF(P74=CURSOS!$D$20,"OPERADOR DE VEHICULOS DE EMERGENCIA (OVE)",IF(P74=CURSOS!$D$21,"INSTITUCIONES AMIGAS DE LA MUJER Y LA INFANCIA (IAMI)",IF(P74=CURSOS!$D$22,"CUIDADO DEL DONANTE DE ORGANOS",IF(P74=CURSOS!$D$23,"ATENCION A VICTIMAS POR VIOLENCIA DE GENERO",IF(P74=CURSOS!$D$24,"IGUALDAD DE GENERO EN LA SALUD",IF(P74=CURSOS!$D$25,"BRIGADA DE EMERGENCIA",IF(P74=CURSOS!$D$26,"MANEJO DEL DOLOR Y CUIDADOS PALIATIVOS",IF(P74=CURSOS!$D$27,"TOMA DE MUESTRAS Y LABORATORIO POCT",IF(P74=CURSOS!$D$28,"IMPLANTE SUBDERMICO DE DISPOSITIVO INTRAUTERINO",IF(P74=CURSOS!$D$29,"SALUD MENTAL",IF(P74=CURSOS!$D$30,"PRIMEROS AUXILIOS PSICOLOGICOS",IF(P74=CURSOS!$D$31,"ATENCION A VICTIMAS POR CONFLICTO ARMADO",IF(P74=CURSOS!$D$32,"MANIPULACION DE ALIMENTOS Y BPM",IF(P74=CURSOS!$D$33,"ATENCION A PERSONAS CON DISCAPACIDAD",IF(P74=CURSOS!$D$34,"CUIDADO INTEGRAL DEL PACIENTE ADULTO",IF(P74=CURSOS!$D$35,"MANEJO DEFENSIVO",IF(P74=CURSOS!$D$36,"SOPORTE CARDIOVASCULAR AVANZADO NEONATAL",IF(P74=CURSOS!$D$37,"SEGURIDAD DEL PACIENTE",IF(P74=CURSOS!$D$38,"MANEJO DE RESIDUOS HOSPITALARIOS",IF(P74=CURSOS!$D$39,"ATENCION DE PACIENTE POR CONSUMO SUSTANCIAS PSICOACTIVAS Y ADICCIONES")))))))))))))))))))))))))))))))))))))</f>
        <v xml:space="preserve">TOMA DE MUESTRAS Y LABORATORIO </v>
      </c>
      <c r="W74" s="75" t="str">
        <f t="shared" si="3"/>
        <v>Maria De los angeles Martinez Sierra</v>
      </c>
      <c r="X74" s="75" t="str">
        <f t="shared" si="4"/>
        <v>Maria De Los Angeles Martinez Sierra</v>
      </c>
      <c r="Y74" s="75" t="str">
        <f t="shared" si="5"/>
        <v>Maria De los angeles Martinez Sierra-1094284464-TOMA DE MUESTRAS</v>
      </c>
    </row>
    <row r="75" spans="1:25" s="76" customFormat="1" x14ac:dyDescent="0.2">
      <c r="A75" s="67">
        <v>74</v>
      </c>
      <c r="B75" s="68">
        <v>1131084664</v>
      </c>
      <c r="C75" s="68" t="s">
        <v>284</v>
      </c>
      <c r="D75" s="68" t="s">
        <v>285</v>
      </c>
      <c r="E75" s="68" t="s">
        <v>286</v>
      </c>
      <c r="F75" s="68" t="s">
        <v>287</v>
      </c>
      <c r="G75" s="68">
        <v>17</v>
      </c>
      <c r="H75" s="68" t="s">
        <v>100</v>
      </c>
      <c r="I75" s="68" t="s">
        <v>129</v>
      </c>
      <c r="J75" s="69" t="s">
        <v>124</v>
      </c>
      <c r="K75" s="70">
        <v>45825</v>
      </c>
      <c r="L75" s="86">
        <v>40000</v>
      </c>
      <c r="M75" s="68" t="s">
        <v>123</v>
      </c>
      <c r="N75" s="68" t="s">
        <v>207</v>
      </c>
      <c r="O75" s="68" t="s">
        <v>108</v>
      </c>
      <c r="P75" s="72" t="s">
        <v>42</v>
      </c>
      <c r="Q75" s="69">
        <v>33620</v>
      </c>
      <c r="R75" s="68" t="s">
        <v>109</v>
      </c>
      <c r="S75" s="73" t="s">
        <v>288</v>
      </c>
      <c r="T75" s="93">
        <v>3103783602</v>
      </c>
      <c r="U75" s="68" t="s">
        <v>289</v>
      </c>
      <c r="V75" s="75" t="str">
        <f>IF(P75=CURSOS!$D$3,"DIPLOMADO EN ATENCION PRE-HOSPITALARIA",IF(P75=CURSOS!$D$4,"ACOMPAÑAMIENTO Y MANEJO DEL DUELO",IF(P75=CURSOS!$D$5,"ATENCION A VICTIMAS DE ATAQUE CON AGENTES QUIMICOS ",IF(P75=CURSOS!$D$6,"PRIMEROS AUXILIOS ",IF(P75=CURSOS!$D$7,"DIPLOMADO DE UNIDAD DE CUIDADOS INTENSIVOS (UCI)",IF(P75=CURSOS!$D$8,"MODELO DE ATENCION PARA EVENTOS EMERGENTES EN SALUD MENTAL (CODIGO VERDE)",IF(P75=CURSOS!$D$9,"HUMANIZACION EN EL SERVICIO DE LA SALUD Y BUENAS PRACTICAS EN PACIENTE ",IF(P75=CURSOS!$D$10,"CLINICA DE HERIDAS ",IF(P75=CURSOS!$D$11,"TOMA DE CITOLOGIA CERVICO VAGINAL ",IF(P75=CURSOS!$D$12,"SOPORTE CARDIOVASCULAR AVANZADO (ACLS) ",IF(P75=CURSOS!$D$13,"CAMILLERO ",IF(P75=CURSOS!$D$14,"TOMA DE MUESTRAS Y LABORATORIO ",IF(P75=CURSOS!$D$15,"SOPORTE VITAL BASICO (BLS)",IF(P75=CURSOS!$D$16,"ATENCION A VICTIMAS DE VIOLENCIA SEXUAL ",IF(P75=CURSOS!$D$17,"PROGRAMADO AMPLIADO DE INMUNIZACION (PAI - COVID 19)",IF(P75=CURSOS!$D$18,"ATENCION INTEGRAL EN ENFERMEDADES PREVALENTES EN PRIMERA INFANCIA (AIEPI)",IF(P75=CURSOS!$D$19,"ADMINISTRACION DE MEDICAMENTOS, INYECTOLOGIA  Y CANALIZACION ",IF(P75=CURSOS!$D$20,"OPERADOR DE VEHICULOS DE EMERGENCIA (OVE)",IF(P75=CURSOS!$D$21,"INSTITUCIONES AMIGAS DE LA MUJER Y LA INFANCIA (IAMI)",IF(P75=CURSOS!$D$22,"CUIDADO DEL DONANTE DE ORGANOS",IF(P75=CURSOS!$D$23,"ATENCION A VICTIMAS POR VIOLENCIA DE GENERO",IF(P75=CURSOS!$D$24,"IGUALDAD DE GENERO EN LA SALUD",IF(P75=CURSOS!$D$25,"BRIGADA DE EMERGENCIA",IF(P75=CURSOS!$D$26,"MANEJO DEL DOLOR Y CUIDADOS PALIATIVOS",IF(P75=CURSOS!$D$27,"TOMA DE MUESTRAS Y LABORATORIO POCT",IF(P75=CURSOS!$D$28,"IMPLANTE SUBDERMICO DE DISPOSITIVO INTRAUTERINO",IF(P75=CURSOS!$D$29,"SALUD MENTAL",IF(P75=CURSOS!$D$30,"PRIMEROS AUXILIOS PSICOLOGICOS",IF(P75=CURSOS!$D$31,"ATENCION A VICTIMAS POR CONFLICTO ARMADO",IF(P75=CURSOS!$D$32,"MANIPULACION DE ALIMENTOS Y BPM",IF(P75=CURSOS!$D$33,"ATENCION A PERSONAS CON DISCAPACIDAD",IF(P75=CURSOS!$D$34,"CUIDADO INTEGRAL DEL PACIENTE ADULTO",IF(P75=CURSOS!$D$35,"MANEJO DEFENSIVO",IF(P75=CURSOS!$D$36,"SOPORTE CARDIOVASCULAR AVANZADO NEONATAL",IF(P75=CURSOS!$D$37,"SEGURIDAD DEL PACIENTE",IF(P75=CURSOS!$D$38,"MANEJO DE RESIDUOS HOSPITALARIOS",IF(P75=CURSOS!$D$39,"ATENCION DE PACIENTE POR CONSUMO SUSTANCIAS PSICOACTIVAS Y ADICCIONES")))))))))))))))))))))))))))))))))))))</f>
        <v xml:space="preserve">ATENCION A VICTIMAS DE VIOLENCIA SEXUAL </v>
      </c>
      <c r="W75" s="75" t="str">
        <f t="shared" si="3"/>
        <v>Ligia Janneth Hernandez Gaviria</v>
      </c>
      <c r="X75" s="75" t="str">
        <f t="shared" si="4"/>
        <v>Ligia Janneth Hernandez Gaviria</v>
      </c>
      <c r="Y75" s="75" t="str">
        <f t="shared" si="5"/>
        <v>Ligia Janneth Hernandez Gaviria-1131084664-VIOLENCIA SEXUAL</v>
      </c>
    </row>
    <row r="76" spans="1:25" s="76" customFormat="1" x14ac:dyDescent="0.2">
      <c r="A76" s="67">
        <v>75</v>
      </c>
      <c r="B76" s="68">
        <v>1061794220</v>
      </c>
      <c r="C76" s="68" t="s">
        <v>174</v>
      </c>
      <c r="D76" s="68" t="s">
        <v>113</v>
      </c>
      <c r="E76" s="68" t="s">
        <v>290</v>
      </c>
      <c r="F76" s="68" t="s">
        <v>291</v>
      </c>
      <c r="G76" s="68">
        <v>17</v>
      </c>
      <c r="H76" s="68" t="s">
        <v>100</v>
      </c>
      <c r="I76" s="68" t="s">
        <v>129</v>
      </c>
      <c r="J76" s="69" t="s">
        <v>124</v>
      </c>
      <c r="K76" s="70">
        <v>45825</v>
      </c>
      <c r="L76" s="86">
        <v>35000</v>
      </c>
      <c r="M76" s="68" t="s">
        <v>123</v>
      </c>
      <c r="N76" s="68" t="s">
        <v>207</v>
      </c>
      <c r="O76" s="68" t="s">
        <v>108</v>
      </c>
      <c r="P76" s="72" t="s">
        <v>19</v>
      </c>
      <c r="Q76" s="69">
        <v>35313</v>
      </c>
      <c r="R76" s="68" t="s">
        <v>109</v>
      </c>
      <c r="S76" s="73" t="s">
        <v>130</v>
      </c>
      <c r="T76" s="73">
        <v>3103603640</v>
      </c>
      <c r="U76" s="68" t="s">
        <v>292</v>
      </c>
      <c r="V76" s="75" t="str">
        <f>IF(P76=CURSOS!$D$3,"DIPLOMADO EN ATENCION PRE-HOSPITALARIA",IF(P76=CURSOS!$D$4,"ACOMPAÑAMIENTO Y MANEJO DEL DUELO",IF(P76=CURSOS!$D$5,"ATENCION A VICTIMAS DE ATAQUE CON AGENTES QUIMICOS ",IF(P76=CURSOS!$D$6,"PRIMEROS AUXILIOS ",IF(P76=CURSOS!$D$7,"DIPLOMADO DE UNIDAD DE CUIDADOS INTENSIVOS (UCI)",IF(P76=CURSOS!$D$8,"MODELO DE ATENCION PARA EVENTOS EMERGENTES EN SALUD MENTAL (CODIGO VERDE)",IF(P76=CURSOS!$D$9,"HUMANIZACION EN EL SERVICIO DE LA SALUD Y BUENAS PRACTICAS EN PACIENTE ",IF(P76=CURSOS!$D$10,"CLINICA DE HERIDAS ",IF(P76=CURSOS!$D$11,"TOMA DE CITOLOGIA CERVICO VAGINAL ",IF(P76=CURSOS!$D$12,"SOPORTE CARDIOVASCULAR AVANZADO (ACLS) ",IF(P76=CURSOS!$D$13,"CAMILLERO ",IF(P76=CURSOS!$D$14,"TOMA DE MUESTRAS Y LABORATORIO ",IF(P76=CURSOS!$D$15,"SOPORTE VITAL BASICO (BLS)",IF(P76=CURSOS!$D$16,"ATENCION A VICTIMAS DE VIOLENCIA SEXUAL ",IF(P76=CURSOS!$D$17,"PROGRAMADO AMPLIADO DE INMUNIZACION (PAI - COVID 19)",IF(P76=CURSOS!$D$18,"ATENCION INTEGRAL EN ENFERMEDADES PREVALENTES EN PRIMERA INFANCIA (AIEPI)",IF(P76=CURSOS!$D$19,"ADMINISTRACION DE MEDICAMENTOS, INYECTOLOGIA  Y CANALIZACION ",IF(P76=CURSOS!$D$20,"OPERADOR DE VEHICULOS DE EMERGENCIA (OVE)",IF(P76=CURSOS!$D$21,"INSTITUCIONES AMIGAS DE LA MUJER Y LA INFANCIA (IAMI)",IF(P76=CURSOS!$D$22,"CUIDADO DEL DONANTE DE ORGANOS",IF(P76=CURSOS!$D$23,"ATENCION A VICTIMAS POR VIOLENCIA DE GENERO",IF(P76=CURSOS!$D$24,"IGUALDAD DE GENERO EN LA SALUD",IF(P76=CURSOS!$D$25,"BRIGADA DE EMERGENCIA",IF(P76=CURSOS!$D$26,"MANEJO DEL DOLOR Y CUIDADOS PALIATIVOS",IF(P76=CURSOS!$D$27,"TOMA DE MUESTRAS Y LABORATORIO POCT",IF(P76=CURSOS!$D$28,"IMPLANTE SUBDERMICO DE DISPOSITIVO INTRAUTERINO",IF(P76=CURSOS!$D$29,"SALUD MENTAL",IF(P76=CURSOS!$D$30,"PRIMEROS AUXILIOS PSICOLOGICOS",IF(P76=CURSOS!$D$31,"ATENCION A VICTIMAS POR CONFLICTO ARMADO",IF(P76=CURSOS!$D$32,"MANIPULACION DE ALIMENTOS Y BPM",IF(P76=CURSOS!$D$33,"ATENCION A PERSONAS CON DISCAPACIDAD",IF(P76=CURSOS!$D$34,"CUIDADO INTEGRAL DEL PACIENTE ADULTO",IF(P76=CURSOS!$D$35,"MANEJO DEFENSIVO",IF(P76=CURSOS!$D$36,"SOPORTE CARDIOVASCULAR AVANZADO NEONATAL",IF(P76=CURSOS!$D$37,"SEGURIDAD DEL PACIENTE",IF(P76=CURSOS!$D$38,"MANEJO DE RESIDUOS HOSPITALARIOS",IF(P76=CURSOS!$D$39,"ATENCION DE PACIENTE POR CONSUMO SUSTANCIAS PSICOACTIVAS Y ADICCIONES")))))))))))))))))))))))))))))))))))))</f>
        <v>SOPORTE VITAL BASICO (BLS)</v>
      </c>
      <c r="W76" s="75" t="str">
        <f t="shared" si="3"/>
        <v>Jessica Vannesa Diaz Santacruz</v>
      </c>
      <c r="X76" s="75" t="str">
        <f t="shared" si="4"/>
        <v>Jessica Vannesa Diaz Santacruz</v>
      </c>
      <c r="Y76" s="75" t="str">
        <f t="shared" si="5"/>
        <v>Jessica Vannesa Diaz Santacruz-1061794220-BLS</v>
      </c>
    </row>
    <row r="77" spans="1:25" s="76" customFormat="1" x14ac:dyDescent="0.2">
      <c r="A77" s="67">
        <v>76</v>
      </c>
      <c r="B77" s="68">
        <v>1061794220</v>
      </c>
      <c r="C77" s="68" t="s">
        <v>174</v>
      </c>
      <c r="D77" s="68" t="s">
        <v>113</v>
      </c>
      <c r="E77" s="68" t="s">
        <v>290</v>
      </c>
      <c r="F77" s="68" t="s">
        <v>291</v>
      </c>
      <c r="G77" s="68">
        <v>16</v>
      </c>
      <c r="H77" s="68" t="s">
        <v>100</v>
      </c>
      <c r="I77" s="68" t="s">
        <v>129</v>
      </c>
      <c r="J77" s="69" t="s">
        <v>124</v>
      </c>
      <c r="K77" s="70">
        <v>45825</v>
      </c>
      <c r="L77" s="86">
        <v>35000</v>
      </c>
      <c r="M77" s="68" t="s">
        <v>123</v>
      </c>
      <c r="N77" s="68" t="s">
        <v>207</v>
      </c>
      <c r="O77" s="68" t="s">
        <v>108</v>
      </c>
      <c r="P77" s="72" t="s">
        <v>23</v>
      </c>
      <c r="Q77" s="69">
        <v>35313</v>
      </c>
      <c r="R77" s="68" t="s">
        <v>109</v>
      </c>
      <c r="S77" s="73" t="s">
        <v>130</v>
      </c>
      <c r="T77" s="73">
        <v>3103603640</v>
      </c>
      <c r="U77" s="68" t="s">
        <v>292</v>
      </c>
      <c r="V77" s="75" t="str">
        <f>IF(P77=CURSOS!$D$3,"DIPLOMADO EN ATENCION PRE-HOSPITALARIA",IF(P77=CURSOS!$D$4,"ACOMPAÑAMIENTO Y MANEJO DEL DUELO",IF(P77=CURSOS!$D$5,"ATENCION A VICTIMAS DE ATAQUE CON AGENTES QUIMICOS ",IF(P77=CURSOS!$D$6,"PRIMEROS AUXILIOS ",IF(P77=CURSOS!$D$7,"DIPLOMADO DE UNIDAD DE CUIDADOS INTENSIVOS (UCI)",IF(P77=CURSOS!$D$8,"MODELO DE ATENCION PARA EVENTOS EMERGENTES EN SALUD MENTAL (CODIGO VERDE)",IF(P77=CURSOS!$D$9,"HUMANIZACION EN EL SERVICIO DE LA SALUD Y BUENAS PRACTICAS EN PACIENTE ",IF(P77=CURSOS!$D$10,"CLINICA DE HERIDAS ",IF(P77=CURSOS!$D$11,"TOMA DE CITOLOGIA CERVICO VAGINAL ",IF(P77=CURSOS!$D$12,"SOPORTE CARDIOVASCULAR AVANZADO (ACLS) ",IF(P77=CURSOS!$D$13,"CAMILLERO ",IF(P77=CURSOS!$D$14,"TOMA DE MUESTRAS Y LABORATORIO ",IF(P77=CURSOS!$D$15,"SOPORTE VITAL BASICO (BLS)",IF(P77=CURSOS!$D$16,"ATENCION A VICTIMAS DE VIOLENCIA SEXUAL ",IF(P77=CURSOS!$D$17,"PROGRAMADO AMPLIADO DE INMUNIZACION (PAI - COVID 19)",IF(P77=CURSOS!$D$18,"ATENCION INTEGRAL EN ENFERMEDADES PREVALENTES EN PRIMERA INFANCIA (AIEPI)",IF(P77=CURSOS!$D$19,"ADMINISTRACION DE MEDICAMENTOS, INYECTOLOGIA  Y CANALIZACION ",IF(P77=CURSOS!$D$20,"OPERADOR DE VEHICULOS DE EMERGENCIA (OVE)",IF(P77=CURSOS!$D$21,"INSTITUCIONES AMIGAS DE LA MUJER Y LA INFANCIA (IAMI)",IF(P77=CURSOS!$D$22,"CUIDADO DEL DONANTE DE ORGANOS",IF(P77=CURSOS!$D$23,"ATENCION A VICTIMAS POR VIOLENCIA DE GENERO",IF(P77=CURSOS!$D$24,"IGUALDAD DE GENERO EN LA SALUD",IF(P77=CURSOS!$D$25,"BRIGADA DE EMERGENCIA",IF(P77=CURSOS!$D$26,"MANEJO DEL DOLOR Y CUIDADOS PALIATIVOS",IF(P77=CURSOS!$D$27,"TOMA DE MUESTRAS Y LABORATORIO POCT",IF(P77=CURSOS!$D$28,"IMPLANTE SUBDERMICO DE DISPOSITIVO INTRAUTERINO",IF(P77=CURSOS!$D$29,"SALUD MENTAL",IF(P77=CURSOS!$D$30,"PRIMEROS AUXILIOS PSICOLOGICOS",IF(P77=CURSOS!$D$31,"ATENCION A VICTIMAS POR CONFLICTO ARMADO",IF(P77=CURSOS!$D$32,"MANIPULACION DE ALIMENTOS Y BPM",IF(P77=CURSOS!$D$33,"ATENCION A PERSONAS CON DISCAPACIDAD",IF(P77=CURSOS!$D$34,"CUIDADO INTEGRAL DEL PACIENTE ADULTO",IF(P77=CURSOS!$D$35,"MANEJO DEFENSIVO",IF(P77=CURSOS!$D$36,"SOPORTE CARDIOVASCULAR AVANZADO NEONATAL",IF(P77=CURSOS!$D$37,"SEGURIDAD DEL PACIENTE",IF(P77=CURSOS!$D$38,"MANEJO DE RESIDUOS HOSPITALARIOS",IF(P77=CURSOS!$D$39,"ATENCION DE PACIENTE POR CONSUMO SUSTANCIAS PSICOACTIVAS Y ADICCIONES")))))))))))))))))))))))))))))))))))))</f>
        <v>ACOMPAÑAMIENTO Y MANEJO DEL DUELO</v>
      </c>
      <c r="W77" s="75" t="str">
        <f t="shared" si="3"/>
        <v>Jessica Vannesa Diaz Santacruz</v>
      </c>
      <c r="X77" s="75" t="str">
        <f t="shared" si="4"/>
        <v>Jessica Vannesa Diaz Santacruz</v>
      </c>
      <c r="Y77" s="75" t="str">
        <f t="shared" si="5"/>
        <v>Jessica Vannesa Diaz Santacruz-1061794220-DUELO</v>
      </c>
    </row>
    <row r="78" spans="1:25" s="76" customFormat="1" x14ac:dyDescent="0.2">
      <c r="A78" s="67">
        <v>77</v>
      </c>
      <c r="B78" s="68">
        <v>1094284464</v>
      </c>
      <c r="C78" s="68" t="s">
        <v>279</v>
      </c>
      <c r="D78" s="68" t="s">
        <v>280</v>
      </c>
      <c r="E78" s="68" t="s">
        <v>186</v>
      </c>
      <c r="F78" s="68" t="s">
        <v>281</v>
      </c>
      <c r="G78" s="68">
        <v>18</v>
      </c>
      <c r="H78" s="68" t="s">
        <v>100</v>
      </c>
      <c r="I78" s="68" t="s">
        <v>129</v>
      </c>
      <c r="J78" s="69" t="s">
        <v>148</v>
      </c>
      <c r="K78" s="70">
        <v>45828</v>
      </c>
      <c r="L78" s="71">
        <v>32000</v>
      </c>
      <c r="M78" s="68" t="s">
        <v>123</v>
      </c>
      <c r="N78" s="68" t="s">
        <v>207</v>
      </c>
      <c r="O78" s="68" t="s">
        <v>149</v>
      </c>
      <c r="P78" s="72" t="s">
        <v>293</v>
      </c>
      <c r="Q78" s="69">
        <v>36350</v>
      </c>
      <c r="R78" s="68" t="s">
        <v>109</v>
      </c>
      <c r="S78" s="77" t="s">
        <v>283</v>
      </c>
      <c r="T78" s="68" t="s">
        <v>308</v>
      </c>
      <c r="U78" s="68" t="s">
        <v>282</v>
      </c>
      <c r="V78" s="75" t="s">
        <v>293</v>
      </c>
      <c r="W78" s="75" t="str">
        <f t="shared" si="3"/>
        <v>Maria De los angeles Martinez Sierra</v>
      </c>
      <c r="X78" s="75" t="str">
        <f t="shared" si="4"/>
        <v>Maria De Los Angeles Martinez Sierra</v>
      </c>
      <c r="Y78" s="75" t="str">
        <f t="shared" si="5"/>
        <v>Maria De los angeles Martinez Sierra-1094284464-ATENCION AL USUARIO</v>
      </c>
    </row>
    <row r="79" spans="1:25" s="76" customFormat="1" x14ac:dyDescent="0.2">
      <c r="A79" s="67">
        <v>78</v>
      </c>
      <c r="B79" s="68">
        <v>1004696558</v>
      </c>
      <c r="C79" s="68" t="s">
        <v>294</v>
      </c>
      <c r="D79" s="68" t="s">
        <v>295</v>
      </c>
      <c r="E79" s="68" t="s">
        <v>296</v>
      </c>
      <c r="F79" s="68" t="s">
        <v>297</v>
      </c>
      <c r="G79" s="68">
        <v>18</v>
      </c>
      <c r="H79" s="68" t="s">
        <v>100</v>
      </c>
      <c r="I79" s="68" t="s">
        <v>129</v>
      </c>
      <c r="J79" s="69" t="s">
        <v>148</v>
      </c>
      <c r="K79" s="70">
        <v>45828</v>
      </c>
      <c r="L79" s="71">
        <v>32000</v>
      </c>
      <c r="M79" s="68" t="s">
        <v>123</v>
      </c>
      <c r="N79" s="68" t="s">
        <v>207</v>
      </c>
      <c r="O79" s="68" t="s">
        <v>149</v>
      </c>
      <c r="P79" s="72" t="s">
        <v>26</v>
      </c>
      <c r="Q79" s="69">
        <v>37538</v>
      </c>
      <c r="R79" s="68" t="s">
        <v>141</v>
      </c>
      <c r="S79" s="73"/>
      <c r="T79" s="73" t="s">
        <v>307</v>
      </c>
      <c r="U79" s="77" t="s">
        <v>298</v>
      </c>
      <c r="V79" s="75" t="str">
        <f>IF(P79=CURSOS!$D$3,"DIPLOMADO EN ATENCION PRE-HOSPITALARIA",IF(P79=CURSOS!$D$4,"ACOMPAÑAMIENTO Y MANEJO DEL DUELO",IF(P79=CURSOS!$D$5,"ATENCION A VICTIMAS DE ATAQUE CON AGENTES QUIMICOS ",IF(P79=CURSOS!$D$6,"PRIMEROS AUXILIOS ",IF(P79=CURSOS!$D$7,"DIPLOMADO DE UNIDAD DE CUIDADOS INTENSIVOS (UCI)",IF(P79=CURSOS!$D$8,"MODELO DE ATENCION PARA EVENTOS EMERGENTES EN SALUD MENTAL (CODIGO VERDE)",IF(P79=CURSOS!$D$9,"HUMANIZACION EN EL SERVICIO DE LA SALUD Y BUENAS PRACTICAS EN PACIENTE ",IF(P79=CURSOS!$D$10,"CLINICA DE HERIDAS ",IF(P79=CURSOS!$D$11,"TOMA DE CITOLOGIA CERVICO VAGINAL ",IF(P79=CURSOS!$D$12,"SOPORTE CARDIOVASCULAR AVANZADO (ACLS) ",IF(P79=CURSOS!$D$13,"CAMILLERO ",IF(P79=CURSOS!$D$14,"TOMA DE MUESTRAS Y LABORATORIO ",IF(P79=CURSOS!$D$15,"SOPORTE VITAL BASICO (BLS)",IF(P79=CURSOS!$D$16,"ATENCION A VICTIMAS DE VIOLENCIA SEXUAL ",IF(P79=CURSOS!$D$17,"PROGRAMADO AMPLIADO DE INMUNIZACION (PAI - COVID 19)",IF(P79=CURSOS!$D$18,"ATENCION INTEGRAL EN ENFERMEDADES PREVALENTES EN PRIMERA INFANCIA (AIEPI)",IF(P79=CURSOS!$D$19,"ADMINISTRACION DE MEDICAMENTOS, INYECTOLOGIA  Y CANALIZACION ",IF(P79=CURSOS!$D$20,"OPERADOR DE VEHICULOS DE EMERGENCIA (OVE)",IF(P79=CURSOS!$D$21,"INSTITUCIONES AMIGAS DE LA MUJER Y LA INFANCIA (IAMI)",IF(P79=CURSOS!$D$22,"CUIDADO DEL DONANTE DE ORGANOS",IF(P79=CURSOS!$D$23,"ATENCION A VICTIMAS POR VIOLENCIA DE GENERO",IF(P79=CURSOS!$D$24,"IGUALDAD DE GENERO EN LA SALUD",IF(P79=CURSOS!$D$25,"BRIGADA DE EMERGENCIA",IF(P79=CURSOS!$D$26,"MANEJO DEL DOLOR Y CUIDADOS PALIATIVOS",IF(P79=CURSOS!$D$27,"TOMA DE MUESTRAS Y LABORATORIO POCT",IF(P79=CURSOS!$D$28,"IMPLANTE SUBDERMICO DE DISPOSITIVO INTRAUTERINO",IF(P79=CURSOS!$D$29,"SALUD MENTAL",IF(P79=CURSOS!$D$30,"PRIMEROS AUXILIOS PSICOLOGICOS",IF(P79=CURSOS!$D$31,"ATENCION A VICTIMAS POR CONFLICTO ARMADO",IF(P79=CURSOS!$D$32,"MANIPULACION DE ALIMENTOS Y BPM",IF(P79=CURSOS!$D$33,"ATENCION A PERSONAS CON DISCAPACIDAD",IF(P79=CURSOS!$D$34,"CUIDADO INTEGRAL DEL PACIENTE ADULTO",IF(P79=CURSOS!$D$35,"MANEJO DEFENSIVO",IF(P79=CURSOS!$D$36,"SOPORTE CARDIOVASCULAR AVANZADO NEONATAL",IF(P79=CURSOS!$D$37,"SEGURIDAD DEL PACIENTE",IF(P79=CURSOS!$D$38,"MANEJO DE RESIDUOS HOSPITALARIOS",IF(P79=CURSOS!$D$39,"ATENCION DE PACIENTE POR CONSUMO SUSTANCIAS PSICOACTIVAS Y ADICCIONES")))))))))))))))))))))))))))))))))))))</f>
        <v xml:space="preserve">PRIMEROS AUXILIOS </v>
      </c>
      <c r="W79" s="75" t="str">
        <f t="shared" si="3"/>
        <v>Ivan Alejandro Rosas Cabrera</v>
      </c>
      <c r="X79" s="75" t="str">
        <f t="shared" si="4"/>
        <v>Ivan Alejandro Rosas Cabrera</v>
      </c>
      <c r="Y79" s="75" t="str">
        <f t="shared" si="5"/>
        <v>Ivan Alejandro Rosas Cabrera-1004696558-PRIMEROS AUXILIOS</v>
      </c>
    </row>
    <row r="80" spans="1:25" s="76" customFormat="1" x14ac:dyDescent="0.2">
      <c r="A80" s="67">
        <v>79</v>
      </c>
      <c r="B80" s="68">
        <v>1004696558</v>
      </c>
      <c r="C80" s="68" t="s">
        <v>294</v>
      </c>
      <c r="D80" s="68" t="s">
        <v>295</v>
      </c>
      <c r="E80" s="68" t="s">
        <v>296</v>
      </c>
      <c r="F80" s="68" t="s">
        <v>297</v>
      </c>
      <c r="G80" s="68">
        <v>17</v>
      </c>
      <c r="H80" s="68" t="s">
        <v>100</v>
      </c>
      <c r="I80" s="68" t="s">
        <v>129</v>
      </c>
      <c r="J80" s="69" t="s">
        <v>148</v>
      </c>
      <c r="K80" s="70">
        <v>45829</v>
      </c>
      <c r="L80" s="71">
        <v>32000</v>
      </c>
      <c r="M80" s="68" t="s">
        <v>123</v>
      </c>
      <c r="N80" s="68" t="s">
        <v>207</v>
      </c>
      <c r="O80" s="68" t="s">
        <v>149</v>
      </c>
      <c r="P80" s="72" t="s">
        <v>19</v>
      </c>
      <c r="Q80" s="69">
        <v>37538</v>
      </c>
      <c r="R80" s="68" t="s">
        <v>141</v>
      </c>
      <c r="S80" s="73"/>
      <c r="T80" s="73" t="s">
        <v>307</v>
      </c>
      <c r="U80" s="68" t="s">
        <v>298</v>
      </c>
      <c r="V80" s="75" t="str">
        <f>IF(P80=CURSOS!$D$3,"DIPLOMADO EN ATENCION PRE-HOSPITALARIA",IF(P80=CURSOS!$D$4,"ACOMPAÑAMIENTO Y MANEJO DEL DUELO",IF(P80=CURSOS!$D$5,"ATENCION A VICTIMAS DE ATAQUE CON AGENTES QUIMICOS ",IF(P80=CURSOS!$D$6,"PRIMEROS AUXILIOS ",IF(P80=CURSOS!$D$7,"DIPLOMADO DE UNIDAD DE CUIDADOS INTENSIVOS (UCI)",IF(P80=CURSOS!$D$8,"MODELO DE ATENCION PARA EVENTOS EMERGENTES EN SALUD MENTAL (CODIGO VERDE)",IF(P80=CURSOS!$D$9,"HUMANIZACION EN EL SERVICIO DE LA SALUD Y BUENAS PRACTICAS EN PACIENTE ",IF(P80=CURSOS!$D$10,"CLINICA DE HERIDAS ",IF(P80=CURSOS!$D$11,"TOMA DE CITOLOGIA CERVICO VAGINAL ",IF(P80=CURSOS!$D$12,"SOPORTE CARDIOVASCULAR AVANZADO (ACLS) ",IF(P80=CURSOS!$D$13,"CAMILLERO ",IF(P80=CURSOS!$D$14,"TOMA DE MUESTRAS Y LABORATORIO ",IF(P80=CURSOS!$D$15,"SOPORTE VITAL BASICO (BLS)",IF(P80=CURSOS!$D$16,"ATENCION A VICTIMAS DE VIOLENCIA SEXUAL ",IF(P80=CURSOS!$D$17,"PROGRAMADO AMPLIADO DE INMUNIZACION (PAI - COVID 19)",IF(P80=CURSOS!$D$18,"ATENCION INTEGRAL EN ENFERMEDADES PREVALENTES EN PRIMERA INFANCIA (AIEPI)",IF(P80=CURSOS!$D$19,"ADMINISTRACION DE MEDICAMENTOS, INYECTOLOGIA  Y CANALIZACION ",IF(P80=CURSOS!$D$20,"OPERADOR DE VEHICULOS DE EMERGENCIA (OVE)",IF(P80=CURSOS!$D$21,"INSTITUCIONES AMIGAS DE LA MUJER Y LA INFANCIA (IAMI)",IF(P80=CURSOS!$D$22,"CUIDADO DEL DONANTE DE ORGANOS",IF(P80=CURSOS!$D$23,"ATENCION A VICTIMAS POR VIOLENCIA DE GENERO",IF(P80=CURSOS!$D$24,"IGUALDAD DE GENERO EN LA SALUD",IF(P80=CURSOS!$D$25,"BRIGADA DE EMERGENCIA",IF(P80=CURSOS!$D$26,"MANEJO DEL DOLOR Y CUIDADOS PALIATIVOS",IF(P80=CURSOS!$D$27,"TOMA DE MUESTRAS Y LABORATORIO POCT",IF(P80=CURSOS!$D$28,"IMPLANTE SUBDERMICO DE DISPOSITIVO INTRAUTERINO",IF(P80=CURSOS!$D$29,"SALUD MENTAL",IF(P80=CURSOS!$D$30,"PRIMEROS AUXILIOS PSICOLOGICOS",IF(P80=CURSOS!$D$31,"ATENCION A VICTIMAS POR CONFLICTO ARMADO",IF(P80=CURSOS!$D$32,"MANIPULACION DE ALIMENTOS Y BPM",IF(P80=CURSOS!$D$33,"ATENCION A PERSONAS CON DISCAPACIDAD",IF(P80=CURSOS!$D$34,"CUIDADO INTEGRAL DEL PACIENTE ADULTO",IF(P80=CURSOS!$D$35,"MANEJO DEFENSIVO",IF(P80=CURSOS!$D$36,"SOPORTE CARDIOVASCULAR AVANZADO NEONATAL",IF(P80=CURSOS!$D$37,"SEGURIDAD DEL PACIENTE",IF(P80=CURSOS!$D$38,"MANEJO DE RESIDUOS HOSPITALARIOS",IF(P80=CURSOS!$D$39,"ATENCION DE PACIENTE POR CONSUMO SUSTANCIAS PSICOACTIVAS Y ADICCIONES")))))))))))))))))))))))))))))))))))))</f>
        <v>SOPORTE VITAL BASICO (BLS)</v>
      </c>
      <c r="W80" s="75" t="str">
        <f t="shared" si="3"/>
        <v>Ivan Alejandro Rosas Cabrera</v>
      </c>
      <c r="X80" s="75" t="str">
        <f t="shared" si="4"/>
        <v>Ivan Alejandro Rosas Cabrera</v>
      </c>
      <c r="Y80" s="75" t="str">
        <f t="shared" si="5"/>
        <v>Ivan Alejandro Rosas Cabrera-1004696558-BLS</v>
      </c>
    </row>
    <row r="81" spans="1:25" s="76" customFormat="1" x14ac:dyDescent="0.2">
      <c r="A81" s="67">
        <v>80</v>
      </c>
      <c r="B81" s="68">
        <v>27091114</v>
      </c>
      <c r="C81" s="68" t="s">
        <v>299</v>
      </c>
      <c r="D81" s="68" t="s">
        <v>137</v>
      </c>
      <c r="E81" s="68" t="s">
        <v>181</v>
      </c>
      <c r="F81" s="68" t="s">
        <v>300</v>
      </c>
      <c r="G81" s="68">
        <v>18</v>
      </c>
      <c r="H81" s="68" t="s">
        <v>100</v>
      </c>
      <c r="I81" s="68" t="s">
        <v>129</v>
      </c>
      <c r="J81" s="69"/>
      <c r="K81" s="70">
        <v>45826</v>
      </c>
      <c r="L81" s="86">
        <v>40000</v>
      </c>
      <c r="M81" s="70" t="s">
        <v>123</v>
      </c>
      <c r="N81" s="68" t="s">
        <v>207</v>
      </c>
      <c r="O81" s="68" t="s">
        <v>108</v>
      </c>
      <c r="P81" s="72" t="s">
        <v>25</v>
      </c>
      <c r="Q81" s="69">
        <v>29137</v>
      </c>
      <c r="R81" s="68" t="s">
        <v>109</v>
      </c>
      <c r="S81" s="73" t="s">
        <v>130</v>
      </c>
      <c r="T81" s="73">
        <v>3003370688</v>
      </c>
      <c r="U81" s="77" t="s">
        <v>301</v>
      </c>
      <c r="V81" s="75" t="str">
        <f>IF(P81=CURSOS!$D$3,"DIPLOMADO EN ATENCION PRE-HOSPITALARIA",IF(P81=CURSOS!$D$4,"ACOMPAÑAMIENTO Y MANEJO DEL DUELO",IF(P81=CURSOS!$D$5,"ATENCION A VICTIMAS DE ATAQUE CON AGENTES QUIMICOS ",IF(P81=CURSOS!$D$6,"PRIMEROS AUXILIOS ",IF(P81=CURSOS!$D$7,"DIPLOMADO DE UNIDAD DE CUIDADOS INTENSIVOS (UCI)",IF(P81=CURSOS!$D$8,"MODELO DE ATENCION PARA EVENTOS EMERGENTES EN SALUD MENTAL (CODIGO VERDE)",IF(P81=CURSOS!$D$9,"HUMANIZACION EN EL SERVICIO DE LA SALUD Y BUENAS PRACTICAS EN PACIENTE ",IF(P81=CURSOS!$D$10,"CLINICA DE HERIDAS ",IF(P81=CURSOS!$D$11,"TOMA DE CITOLOGIA CERVICO VAGINAL ",IF(P81=CURSOS!$D$12,"SOPORTE CARDIOVASCULAR AVANZADO (ACLS) ",IF(P81=CURSOS!$D$13,"CAMILLERO ",IF(P81=CURSOS!$D$14,"TOMA DE MUESTRAS Y LABORATORIO ",IF(P81=CURSOS!$D$15,"SOPORTE VITAL BASICO (BLS)",IF(P81=CURSOS!$D$16,"ATENCION A VICTIMAS DE VIOLENCIA SEXUAL ",IF(P81=CURSOS!$D$17,"PROGRAMADO AMPLIADO DE INMUNIZACION (PAI - COVID 19)",IF(P81=CURSOS!$D$18,"ATENCION INTEGRAL EN ENFERMEDADES PREVALENTES EN PRIMERA INFANCIA (AIEPI)",IF(P81=CURSOS!$D$19,"ADMINISTRACION DE MEDICAMENTOS, INYECTOLOGIA  Y CANALIZACION ",IF(P81=CURSOS!$D$20,"OPERADOR DE VEHICULOS DE EMERGENCIA (OVE)",IF(P81=CURSOS!$D$21,"INSTITUCIONES AMIGAS DE LA MUJER Y LA INFANCIA (IAMI)",IF(P81=CURSOS!$D$22,"CUIDADO DEL DONANTE DE ORGANOS",IF(P81=CURSOS!$D$23,"ATENCION A VICTIMAS POR VIOLENCIA DE GENERO",IF(P81=CURSOS!$D$24,"IGUALDAD DE GENERO EN LA SALUD",IF(P81=CURSOS!$D$25,"BRIGADA DE EMERGENCIA",IF(P81=CURSOS!$D$26,"MANEJO DEL DOLOR Y CUIDADOS PALIATIVOS",IF(P81=CURSOS!$D$27,"TOMA DE MUESTRAS Y LABORATORIO POCT",IF(P81=CURSOS!$D$28,"IMPLANTE SUBDERMICO DE DISPOSITIVO INTRAUTERINO",IF(P81=CURSOS!$D$29,"SALUD MENTAL",IF(P81=CURSOS!$D$30,"PRIMEROS AUXILIOS PSICOLOGICOS",IF(P81=CURSOS!$D$31,"ATENCION A VICTIMAS POR CONFLICTO ARMADO",IF(P81=CURSOS!$D$32,"MANIPULACION DE ALIMENTOS Y BPM",IF(P81=CURSOS!$D$33,"ATENCION A PERSONAS CON DISCAPACIDAD",IF(P81=CURSOS!$D$34,"CUIDADO INTEGRAL DEL PACIENTE ADULTO",IF(P81=CURSOS!$D$35,"MANEJO DEFENSIVO",IF(P81=CURSOS!$D$36,"SOPORTE CARDIOVASCULAR AVANZADO NEONATAL",IF(P81=CURSOS!$D$37,"SEGURIDAD DEL PACIENTE",IF(P81=CURSOS!$D$38,"MANEJO DE RESIDUOS HOSPITALARIOS",IF(P81=CURSOS!$D$39,"ATENCION DE PACIENTE POR CONSUMO SUSTANCIAS PSICOACTIVAS Y ADICCIONES")))))))))))))))))))))))))))))))))))))</f>
        <v xml:space="preserve">ATENCION A VICTIMAS DE ATAQUE CON AGENTES QUIMICOS </v>
      </c>
      <c r="W81" s="75" t="str">
        <f t="shared" si="3"/>
        <v>Paola Andrea Espinosa Burbano</v>
      </c>
      <c r="X81" s="75" t="str">
        <f t="shared" si="4"/>
        <v>Paola Andrea Espinosa Burbano</v>
      </c>
      <c r="Y81" s="75" t="str">
        <f t="shared" si="5"/>
        <v>Paola Andrea Espinosa Burbano-27091114-QUIMICOS</v>
      </c>
    </row>
    <row r="82" spans="1:25" s="76" customFormat="1" x14ac:dyDescent="0.2">
      <c r="A82" s="67">
        <v>81</v>
      </c>
      <c r="B82" s="68">
        <v>1004131876</v>
      </c>
      <c r="C82" s="68" t="s">
        <v>302</v>
      </c>
      <c r="D82" s="68" t="s">
        <v>303</v>
      </c>
      <c r="E82" s="68" t="s">
        <v>114</v>
      </c>
      <c r="F82" s="68" t="s">
        <v>304</v>
      </c>
      <c r="G82" s="68">
        <v>18</v>
      </c>
      <c r="H82" s="68" t="s">
        <v>100</v>
      </c>
      <c r="I82" s="68" t="s">
        <v>129</v>
      </c>
      <c r="J82" s="69" t="s">
        <v>124</v>
      </c>
      <c r="K82" s="70">
        <v>45826</v>
      </c>
      <c r="L82" s="86">
        <v>35000</v>
      </c>
      <c r="M82" s="70" t="s">
        <v>123</v>
      </c>
      <c r="N82" s="68" t="s">
        <v>207</v>
      </c>
      <c r="O82" s="68" t="s">
        <v>108</v>
      </c>
      <c r="P82" s="72" t="s">
        <v>19</v>
      </c>
      <c r="Q82" s="69">
        <v>36631</v>
      </c>
      <c r="R82" s="68" t="s">
        <v>109</v>
      </c>
      <c r="S82" s="73" t="s">
        <v>130</v>
      </c>
      <c r="T82" s="73">
        <v>3123747155</v>
      </c>
      <c r="U82" s="77" t="s">
        <v>305</v>
      </c>
      <c r="V82" s="75" t="str">
        <f>IF(P82=CURSOS!$D$3,"DIPLOMADO EN ATENCION PRE-HOSPITALARIA",IF(P82=CURSOS!$D$4,"ACOMPAÑAMIENTO Y MANEJO DEL DUELO",IF(P82=CURSOS!$D$5,"ATENCION A VICTIMAS DE ATAQUE CON AGENTES QUIMICOS ",IF(P82=CURSOS!$D$6,"PRIMEROS AUXILIOS ",IF(P82=CURSOS!$D$7,"DIPLOMADO DE UNIDAD DE CUIDADOS INTENSIVOS (UCI)",IF(P82=CURSOS!$D$8,"MODELO DE ATENCION PARA EVENTOS EMERGENTES EN SALUD MENTAL (CODIGO VERDE)",IF(P82=CURSOS!$D$9,"HUMANIZACION EN EL SERVICIO DE LA SALUD Y BUENAS PRACTICAS EN PACIENTE ",IF(P82=CURSOS!$D$10,"CLINICA DE HERIDAS ",IF(P82=CURSOS!$D$11,"TOMA DE CITOLOGIA CERVICO VAGINAL ",IF(P82=CURSOS!$D$12,"SOPORTE CARDIOVASCULAR AVANZADO (ACLS) ",IF(P82=CURSOS!$D$13,"CAMILLERO ",IF(P82=CURSOS!$D$14,"TOMA DE MUESTRAS Y LABORATORIO ",IF(P82=CURSOS!$D$15,"SOPORTE VITAL BASICO (BLS)",IF(P82=CURSOS!$D$16,"ATENCION A VICTIMAS DE VIOLENCIA SEXUAL ",IF(P82=CURSOS!$D$17,"PROGRAMADO AMPLIADO DE INMUNIZACION (PAI - COVID 19)",IF(P82=CURSOS!$D$18,"ATENCION INTEGRAL EN ENFERMEDADES PREVALENTES EN PRIMERA INFANCIA (AIEPI)",IF(P82=CURSOS!$D$19,"ADMINISTRACION DE MEDICAMENTOS, INYECTOLOGIA  Y CANALIZACION ",IF(P82=CURSOS!$D$20,"OPERADOR DE VEHICULOS DE EMERGENCIA (OVE)",IF(P82=CURSOS!$D$21,"INSTITUCIONES AMIGAS DE LA MUJER Y LA INFANCIA (IAMI)",IF(P82=CURSOS!$D$22,"CUIDADO DEL DONANTE DE ORGANOS",IF(P82=CURSOS!$D$23,"ATENCION A VICTIMAS POR VIOLENCIA DE GENERO",IF(P82=CURSOS!$D$24,"IGUALDAD DE GENERO EN LA SALUD",IF(P82=CURSOS!$D$25,"BRIGADA DE EMERGENCIA",IF(P82=CURSOS!$D$26,"MANEJO DEL DOLOR Y CUIDADOS PALIATIVOS",IF(P82=CURSOS!$D$27,"TOMA DE MUESTRAS Y LABORATORIO POCT",IF(P82=CURSOS!$D$28,"IMPLANTE SUBDERMICO DE DISPOSITIVO INTRAUTERINO",IF(P82=CURSOS!$D$29,"SALUD MENTAL",IF(P82=CURSOS!$D$30,"PRIMEROS AUXILIOS PSICOLOGICOS",IF(P82=CURSOS!$D$31,"ATENCION A VICTIMAS POR CONFLICTO ARMADO",IF(P82=CURSOS!$D$32,"MANIPULACION DE ALIMENTOS Y BPM",IF(P82=CURSOS!$D$33,"ATENCION A PERSONAS CON DISCAPACIDAD",IF(P82=CURSOS!$D$34,"CUIDADO INTEGRAL DEL PACIENTE ADULTO",IF(P82=CURSOS!$D$35,"MANEJO DEFENSIVO",IF(P82=CURSOS!$D$36,"SOPORTE CARDIOVASCULAR AVANZADO NEONATAL",IF(P82=CURSOS!$D$37,"SEGURIDAD DEL PACIENTE",IF(P82=CURSOS!$D$38,"MANEJO DE RESIDUOS HOSPITALARIOS",IF(P82=CURSOS!$D$39,"ATENCION DE PACIENTE POR CONSUMO SUSTANCIAS PSICOACTIVAS Y ADICCIONES")))))))))))))))))))))))))))))))))))))</f>
        <v>SOPORTE VITAL BASICO (BLS)</v>
      </c>
      <c r="W82" s="75" t="str">
        <f t="shared" si="3"/>
        <v>Angela Marcela Chavez Puerres</v>
      </c>
      <c r="X82" s="75" t="str">
        <f t="shared" si="4"/>
        <v>Angela Marcela Chavez Puerres</v>
      </c>
      <c r="Y82" s="75" t="str">
        <f t="shared" si="5"/>
        <v>Angela Marcela Chavez Puerres-1004131876-BLS</v>
      </c>
    </row>
    <row r="83" spans="1:25" s="76" customFormat="1" x14ac:dyDescent="0.2">
      <c r="A83" s="67">
        <v>82</v>
      </c>
      <c r="B83" s="68">
        <v>1004131876</v>
      </c>
      <c r="C83" s="68" t="s">
        <v>302</v>
      </c>
      <c r="D83" s="68" t="s">
        <v>303</v>
      </c>
      <c r="E83" s="68" t="s">
        <v>114</v>
      </c>
      <c r="F83" s="68" t="s">
        <v>304</v>
      </c>
      <c r="G83" s="68">
        <v>17</v>
      </c>
      <c r="H83" s="68" t="s">
        <v>100</v>
      </c>
      <c r="I83" s="68" t="s">
        <v>129</v>
      </c>
      <c r="J83" s="69" t="s">
        <v>124</v>
      </c>
      <c r="K83" s="70">
        <v>45826</v>
      </c>
      <c r="L83" s="86">
        <v>35000</v>
      </c>
      <c r="M83" s="70" t="s">
        <v>123</v>
      </c>
      <c r="N83" s="68" t="s">
        <v>207</v>
      </c>
      <c r="O83" s="68" t="s">
        <v>108</v>
      </c>
      <c r="P83" s="92" t="s">
        <v>23</v>
      </c>
      <c r="Q83" s="69">
        <v>36631</v>
      </c>
      <c r="R83" s="68" t="s">
        <v>109</v>
      </c>
      <c r="S83" s="73" t="s">
        <v>130</v>
      </c>
      <c r="T83" s="73">
        <v>3123747155</v>
      </c>
      <c r="U83" s="68" t="s">
        <v>305</v>
      </c>
      <c r="V83" s="75" t="str">
        <f>IF(P83=CURSOS!$D$3,"DIPLOMADO EN ATENCION PRE-HOSPITALARIA",IF(P83=CURSOS!$D$4,"ACOMPAÑAMIENTO Y MANEJO DEL DUELO",IF(P83=CURSOS!$D$5,"ATENCION A VICTIMAS DE ATAQUE CON AGENTES QUIMICOS ",IF(P83=CURSOS!$D$6,"PRIMEROS AUXILIOS ",IF(P83=CURSOS!$D$7,"DIPLOMADO DE UNIDAD DE CUIDADOS INTENSIVOS (UCI)",IF(P83=CURSOS!$D$8,"MODELO DE ATENCION PARA EVENTOS EMERGENTES EN SALUD MENTAL (CODIGO VERDE)",IF(P83=CURSOS!$D$9,"HUMANIZACION EN EL SERVICIO DE LA SALUD Y BUENAS PRACTICAS EN PACIENTE ",IF(P83=CURSOS!$D$10,"CLINICA DE HERIDAS ",IF(P83=CURSOS!$D$11,"TOMA DE CITOLOGIA CERVICO VAGINAL ",IF(P83=CURSOS!$D$12,"SOPORTE CARDIOVASCULAR AVANZADO (ACLS) ",IF(P83=CURSOS!$D$13,"CAMILLERO ",IF(P83=CURSOS!$D$14,"TOMA DE MUESTRAS Y LABORATORIO ",IF(P83=CURSOS!$D$15,"SOPORTE VITAL BASICO (BLS)",IF(P83=CURSOS!$D$16,"ATENCION A VICTIMAS DE VIOLENCIA SEXUAL ",IF(P83=CURSOS!$D$17,"PROGRAMADO AMPLIADO DE INMUNIZACION (PAI - COVID 19)",IF(P83=CURSOS!$D$18,"ATENCION INTEGRAL EN ENFERMEDADES PREVALENTES EN PRIMERA INFANCIA (AIEPI)",IF(P83=CURSOS!$D$19,"ADMINISTRACION DE MEDICAMENTOS, INYECTOLOGIA  Y CANALIZACION ",IF(P83=CURSOS!$D$20,"OPERADOR DE VEHICULOS DE EMERGENCIA (OVE)",IF(P83=CURSOS!$D$21,"INSTITUCIONES AMIGAS DE LA MUJER Y LA INFANCIA (IAMI)",IF(P83=CURSOS!$D$22,"CUIDADO DEL DONANTE DE ORGANOS",IF(P83=CURSOS!$D$23,"ATENCION A VICTIMAS POR VIOLENCIA DE GENERO",IF(P83=CURSOS!$D$24,"IGUALDAD DE GENERO EN LA SALUD",IF(P83=CURSOS!$D$25,"BRIGADA DE EMERGENCIA",IF(P83=CURSOS!$D$26,"MANEJO DEL DOLOR Y CUIDADOS PALIATIVOS",IF(P83=CURSOS!$D$27,"TOMA DE MUESTRAS Y LABORATORIO POCT",IF(P83=CURSOS!$D$28,"IMPLANTE SUBDERMICO DE DISPOSITIVO INTRAUTERINO",IF(P83=CURSOS!$D$29,"SALUD MENTAL",IF(P83=CURSOS!$D$30,"PRIMEROS AUXILIOS PSICOLOGICOS",IF(P83=CURSOS!$D$31,"ATENCION A VICTIMAS POR CONFLICTO ARMADO",IF(P83=CURSOS!$D$32,"MANIPULACION DE ALIMENTOS Y BPM",IF(P83=CURSOS!$D$33,"ATENCION A PERSONAS CON DISCAPACIDAD",IF(P83=CURSOS!$D$34,"CUIDADO INTEGRAL DEL PACIENTE ADULTO",IF(P83=CURSOS!$D$35,"MANEJO DEFENSIVO",IF(P83=CURSOS!$D$36,"SOPORTE CARDIOVASCULAR AVANZADO NEONATAL",IF(P83=CURSOS!$D$37,"SEGURIDAD DEL PACIENTE",IF(P83=CURSOS!$D$38,"MANEJO DE RESIDUOS HOSPITALARIOS",IF(P83=CURSOS!$D$39,"ATENCION DE PACIENTE POR CONSUMO SUSTANCIAS PSICOACTIVAS Y ADICCIONES")))))))))))))))))))))))))))))))))))))</f>
        <v>ACOMPAÑAMIENTO Y MANEJO DEL DUELO</v>
      </c>
      <c r="W83" s="75" t="str">
        <f t="shared" si="3"/>
        <v>Angela Marcela Chavez Puerres</v>
      </c>
      <c r="X83" s="75" t="str">
        <f t="shared" si="4"/>
        <v>Angela Marcela Chavez Puerres</v>
      </c>
      <c r="Y83" s="75" t="str">
        <f t="shared" si="5"/>
        <v>Angela Marcela Chavez Puerres-1004131876-DUELO</v>
      </c>
    </row>
    <row r="84" spans="1:25" s="76" customFormat="1" x14ac:dyDescent="0.2">
      <c r="A84" s="67">
        <v>83</v>
      </c>
      <c r="B84" s="68">
        <v>1004131876</v>
      </c>
      <c r="C84" s="68" t="s">
        <v>302</v>
      </c>
      <c r="D84" s="68" t="s">
        <v>303</v>
      </c>
      <c r="E84" s="68" t="s">
        <v>114</v>
      </c>
      <c r="F84" s="68" t="s">
        <v>304</v>
      </c>
      <c r="G84" s="68">
        <v>16</v>
      </c>
      <c r="H84" s="68" t="s">
        <v>100</v>
      </c>
      <c r="I84" s="68" t="s">
        <v>129</v>
      </c>
      <c r="J84" s="69" t="s">
        <v>124</v>
      </c>
      <c r="K84" s="70">
        <v>45826</v>
      </c>
      <c r="L84" s="86">
        <v>35000</v>
      </c>
      <c r="M84" s="70" t="s">
        <v>123</v>
      </c>
      <c r="N84" s="68" t="s">
        <v>207</v>
      </c>
      <c r="O84" s="68" t="s">
        <v>108</v>
      </c>
      <c r="P84" s="92" t="s">
        <v>42</v>
      </c>
      <c r="Q84" s="69">
        <v>36631</v>
      </c>
      <c r="R84" s="68" t="s">
        <v>109</v>
      </c>
      <c r="S84" s="73" t="s">
        <v>130</v>
      </c>
      <c r="T84" s="73">
        <v>3123747155</v>
      </c>
      <c r="U84" s="68" t="s">
        <v>305</v>
      </c>
      <c r="V84" s="75" t="str">
        <f>IF(P84=CURSOS!$D$3,"DIPLOMADO EN ATENCION PRE-HOSPITALARIA",IF(P84=CURSOS!$D$4,"ACOMPAÑAMIENTO Y MANEJO DEL DUELO",IF(P84=CURSOS!$D$5,"ATENCION A VICTIMAS DE ATAQUE CON AGENTES QUIMICOS ",IF(P84=CURSOS!$D$6,"PRIMEROS AUXILIOS ",IF(P84=CURSOS!$D$7,"DIPLOMADO DE UNIDAD DE CUIDADOS INTENSIVOS (UCI)",IF(P84=CURSOS!$D$8,"MODELO DE ATENCION PARA EVENTOS EMERGENTES EN SALUD MENTAL (CODIGO VERDE)",IF(P84=CURSOS!$D$9,"HUMANIZACION EN EL SERVICIO DE LA SALUD Y BUENAS PRACTICAS EN PACIENTE ",IF(P84=CURSOS!$D$10,"CLINICA DE HERIDAS ",IF(P84=CURSOS!$D$11,"TOMA DE CITOLOGIA CERVICO VAGINAL ",IF(P84=CURSOS!$D$12,"SOPORTE CARDIOVASCULAR AVANZADO (ACLS) ",IF(P84=CURSOS!$D$13,"CAMILLERO ",IF(P84=CURSOS!$D$14,"TOMA DE MUESTRAS Y LABORATORIO ",IF(P84=CURSOS!$D$15,"SOPORTE VITAL BASICO (BLS)",IF(P84=CURSOS!$D$16,"ATENCION A VICTIMAS DE VIOLENCIA SEXUAL ",IF(P84=CURSOS!$D$17,"PROGRAMADO AMPLIADO DE INMUNIZACION (PAI - COVID 19)",IF(P84=CURSOS!$D$18,"ATENCION INTEGRAL EN ENFERMEDADES PREVALENTES EN PRIMERA INFANCIA (AIEPI)",IF(P84=CURSOS!$D$19,"ADMINISTRACION DE MEDICAMENTOS, INYECTOLOGIA  Y CANALIZACION ",IF(P84=CURSOS!$D$20,"OPERADOR DE VEHICULOS DE EMERGENCIA (OVE)",IF(P84=CURSOS!$D$21,"INSTITUCIONES AMIGAS DE LA MUJER Y LA INFANCIA (IAMI)",IF(P84=CURSOS!$D$22,"CUIDADO DEL DONANTE DE ORGANOS",IF(P84=CURSOS!$D$23,"ATENCION A VICTIMAS POR VIOLENCIA DE GENERO",IF(P84=CURSOS!$D$24,"IGUALDAD DE GENERO EN LA SALUD",IF(P84=CURSOS!$D$25,"BRIGADA DE EMERGENCIA",IF(P84=CURSOS!$D$26,"MANEJO DEL DOLOR Y CUIDADOS PALIATIVOS",IF(P84=CURSOS!$D$27,"TOMA DE MUESTRAS Y LABORATORIO POCT",IF(P84=CURSOS!$D$28,"IMPLANTE SUBDERMICO DE DISPOSITIVO INTRAUTERINO",IF(P84=CURSOS!$D$29,"SALUD MENTAL",IF(P84=CURSOS!$D$30,"PRIMEROS AUXILIOS PSICOLOGICOS",IF(P84=CURSOS!$D$31,"ATENCION A VICTIMAS POR CONFLICTO ARMADO",IF(P84=CURSOS!$D$32,"MANIPULACION DE ALIMENTOS Y BPM",IF(P84=CURSOS!$D$33,"ATENCION A PERSONAS CON DISCAPACIDAD",IF(P84=CURSOS!$D$34,"CUIDADO INTEGRAL DEL PACIENTE ADULTO",IF(P84=CURSOS!$D$35,"MANEJO DEFENSIVO",IF(P84=CURSOS!$D$36,"SOPORTE CARDIOVASCULAR AVANZADO NEONATAL",IF(P84=CURSOS!$D$37,"SEGURIDAD DEL PACIENTE",IF(P84=CURSOS!$D$38,"MANEJO DE RESIDUOS HOSPITALARIOS",IF(P84=CURSOS!$D$39,"ATENCION DE PACIENTE POR CONSUMO SUSTANCIAS PSICOACTIVAS Y ADICCIONES")))))))))))))))))))))))))))))))))))))</f>
        <v xml:space="preserve">ATENCION A VICTIMAS DE VIOLENCIA SEXUAL </v>
      </c>
      <c r="W84" s="75" t="str">
        <f t="shared" si="3"/>
        <v>Angela Marcela Chavez Puerres</v>
      </c>
      <c r="X84" s="75" t="str">
        <f t="shared" si="4"/>
        <v>Angela Marcela Chavez Puerres</v>
      </c>
      <c r="Y84" s="75" t="str">
        <f t="shared" si="5"/>
        <v>Angela Marcela Chavez Puerres-1004131876-VIOLENCIA SEXUAL</v>
      </c>
    </row>
    <row r="85" spans="1:25" s="76" customFormat="1" x14ac:dyDescent="0.2">
      <c r="A85" s="67">
        <v>84</v>
      </c>
      <c r="B85" s="68">
        <v>59825213</v>
      </c>
      <c r="C85" s="68" t="s">
        <v>104</v>
      </c>
      <c r="D85" s="68" t="s">
        <v>309</v>
      </c>
      <c r="E85" s="68" t="s">
        <v>310</v>
      </c>
      <c r="F85" s="68" t="s">
        <v>311</v>
      </c>
      <c r="G85" s="68">
        <v>18</v>
      </c>
      <c r="H85" s="68" t="s">
        <v>100</v>
      </c>
      <c r="I85" s="68" t="s">
        <v>129</v>
      </c>
      <c r="J85" s="69" t="s">
        <v>346</v>
      </c>
      <c r="K85" s="70">
        <v>45826</v>
      </c>
      <c r="L85" s="86">
        <v>40000</v>
      </c>
      <c r="M85" s="68" t="s">
        <v>123</v>
      </c>
      <c r="N85" s="68" t="s">
        <v>207</v>
      </c>
      <c r="O85" s="68" t="s">
        <v>108</v>
      </c>
      <c r="P85" s="92" t="s">
        <v>19</v>
      </c>
      <c r="Q85" s="69">
        <v>27074</v>
      </c>
      <c r="R85" s="69" t="s">
        <v>109</v>
      </c>
      <c r="S85" s="93" t="s">
        <v>130</v>
      </c>
      <c r="T85" s="73">
        <v>3208140922</v>
      </c>
      <c r="U85" s="68" t="s">
        <v>312</v>
      </c>
      <c r="V85" s="75" t="str">
        <f>IF(P85=CURSOS!$D$3,"DIPLOMADO EN ATENCION PRE-HOSPITALARIA",IF(P85=CURSOS!$D$4,"ACOMPAÑAMIENTO Y MANEJO DEL DUELO",IF(P85=CURSOS!$D$5,"ATENCION A VICTIMAS DE ATAQUE CON AGENTES QUIMICOS ",IF(P85=CURSOS!$D$6,"PRIMEROS AUXILIOS ",IF(P85=CURSOS!$D$7,"DIPLOMADO DE UNIDAD DE CUIDADOS INTENSIVOS (UCI)",IF(P85=CURSOS!$D$8,"MODELO DE ATENCION PARA EVENTOS EMERGENTES EN SALUD MENTAL (CODIGO VERDE)",IF(P85=CURSOS!$D$9,"HUMANIZACION EN EL SERVICIO DE LA SALUD Y BUENAS PRACTICAS EN PACIENTE ",IF(P85=CURSOS!$D$10,"CLINICA DE HERIDAS ",IF(P85=CURSOS!$D$11,"TOMA DE CITOLOGIA CERVICO VAGINAL ",IF(P85=CURSOS!$D$12,"SOPORTE CARDIOVASCULAR AVANZADO (ACLS) ",IF(P85=CURSOS!$D$13,"CAMILLERO ",IF(P85=CURSOS!$D$14,"TOMA DE MUESTRAS Y LABORATORIO ",IF(P85=CURSOS!$D$15,"SOPORTE VITAL BASICO (BLS)",IF(P85=CURSOS!$D$16,"ATENCION A VICTIMAS DE VIOLENCIA SEXUAL ",IF(P85=CURSOS!$D$17,"PROGRAMADO AMPLIADO DE INMUNIZACION (PAI - COVID 19)",IF(P85=CURSOS!$D$18,"ATENCION INTEGRAL EN ENFERMEDADES PREVALENTES EN PRIMERA INFANCIA (AIEPI)",IF(P85=CURSOS!$D$19,"ADMINISTRACION DE MEDICAMENTOS, INYECTOLOGIA  Y CANALIZACION ",IF(P85=CURSOS!$D$20,"OPERADOR DE VEHICULOS DE EMERGENCIA (OVE)",IF(P85=CURSOS!$D$21,"INSTITUCIONES AMIGAS DE LA MUJER Y LA INFANCIA (IAMI)",IF(P85=CURSOS!$D$22,"CUIDADO DEL DONANTE DE ORGANOS",IF(P85=CURSOS!$D$23,"ATENCION A VICTIMAS POR VIOLENCIA DE GENERO",IF(P85=CURSOS!$D$24,"IGUALDAD DE GENERO EN LA SALUD",IF(P85=CURSOS!$D$25,"BRIGADA DE EMERGENCIA",IF(P85=CURSOS!$D$26,"MANEJO DEL DOLOR Y CUIDADOS PALIATIVOS",IF(P85=CURSOS!$D$27,"TOMA DE MUESTRAS Y LABORATORIO POCT",IF(P85=CURSOS!$D$28,"IMPLANTE SUBDERMICO DE DISPOSITIVO INTRAUTERINO",IF(P85=CURSOS!$D$29,"SALUD MENTAL",IF(P85=CURSOS!$D$30,"PRIMEROS AUXILIOS PSICOLOGICOS",IF(P85=CURSOS!$D$31,"ATENCION A VICTIMAS POR CONFLICTO ARMADO",IF(P85=CURSOS!$D$32,"MANIPULACION DE ALIMENTOS Y BPM",IF(P85=CURSOS!$D$33,"ATENCION A PERSONAS CON DISCAPACIDAD",IF(P85=CURSOS!$D$34,"CUIDADO INTEGRAL DEL PACIENTE ADULTO",IF(P85=CURSOS!$D$35,"MANEJO DEFENSIVO",IF(P85=CURSOS!$D$36,"SOPORTE CARDIOVASCULAR AVANZADO NEONATAL",IF(P85=CURSOS!$D$37,"SEGURIDAD DEL PACIENTE",IF(P85=CURSOS!$D$38,"MANEJO DE RESIDUOS HOSPITALARIOS",IF(P85=CURSOS!$D$39,"ATENCION DE PACIENTE POR CONSUMO SUSTANCIAS PSICOACTIVAS Y ADICCIONES")))))))))))))))))))))))))))))))))))))</f>
        <v>SOPORTE VITAL BASICO (BLS)</v>
      </c>
      <c r="W85" s="75" t="str">
        <f t="shared" si="3"/>
        <v>Lucero Ines Enriquez De la portilla</v>
      </c>
      <c r="X85" s="75" t="str">
        <f t="shared" si="4"/>
        <v>Lucero Ines Enriquez De La Portilla</v>
      </c>
      <c r="Y85" s="75" t="str">
        <f t="shared" si="5"/>
        <v>Lucero Ines Enriquez De la portilla-59825213-BLS</v>
      </c>
    </row>
    <row r="86" spans="1:25" s="76" customFormat="1" x14ac:dyDescent="0.2">
      <c r="A86" s="67">
        <v>85</v>
      </c>
      <c r="B86" s="72">
        <v>59705846</v>
      </c>
      <c r="C86" s="68" t="s">
        <v>313</v>
      </c>
      <c r="D86" s="68" t="s">
        <v>314</v>
      </c>
      <c r="E86" s="68" t="s">
        <v>300</v>
      </c>
      <c r="F86" s="68" t="s">
        <v>315</v>
      </c>
      <c r="G86" s="68">
        <v>18</v>
      </c>
      <c r="H86" s="68" t="s">
        <v>100</v>
      </c>
      <c r="I86" s="68" t="s">
        <v>107</v>
      </c>
      <c r="J86" s="69"/>
      <c r="K86" s="70">
        <v>45827</v>
      </c>
      <c r="L86" s="86">
        <v>80000</v>
      </c>
      <c r="M86" s="68" t="s">
        <v>168</v>
      </c>
      <c r="N86" s="68" t="s">
        <v>140</v>
      </c>
      <c r="O86" s="68" t="s">
        <v>108</v>
      </c>
      <c r="P86" s="92" t="s">
        <v>32</v>
      </c>
      <c r="Q86" s="69">
        <v>27732</v>
      </c>
      <c r="R86" s="69" t="s">
        <v>109</v>
      </c>
      <c r="S86" s="93" t="s">
        <v>316</v>
      </c>
      <c r="T86" s="73">
        <v>3105447874</v>
      </c>
      <c r="U86" s="68" t="s">
        <v>317</v>
      </c>
      <c r="V86" s="75" t="str">
        <f>IF(P86=CURSOS!$D$3,"DIPLOMADO EN ATENCION PRE-HOSPITALARIA",IF(P86=CURSOS!$D$4,"ACOMPAÑAMIENTO Y MANEJO DEL DUELO",IF(P86=CURSOS!$D$5,"ATENCION A VICTIMAS DE ATAQUE CON AGENTES QUIMICOS ",IF(P86=CURSOS!$D$6,"PRIMEROS AUXILIOS ",IF(P86=CURSOS!$D$7,"DIPLOMADO DE UNIDAD DE CUIDADOS INTENSIVOS (UCI)",IF(P86=CURSOS!$D$8,"MODELO DE ATENCION PARA EVENTOS EMERGENTES EN SALUD MENTAL (CODIGO VERDE)",IF(P86=CURSOS!$D$9,"HUMANIZACION EN EL SERVICIO DE LA SALUD Y BUENAS PRACTICAS EN PACIENTE ",IF(P86=CURSOS!$D$10,"CLINICA DE HERIDAS ",IF(P86=CURSOS!$D$11,"TOMA DE CITOLOGIA CERVICO VAGINAL ",IF(P86=CURSOS!$D$12,"SOPORTE CARDIOVASCULAR AVANZADO (ACLS) ",IF(P86=CURSOS!$D$13,"CAMILLERO ",IF(P86=CURSOS!$D$14,"TOMA DE MUESTRAS Y LABORATORIO ",IF(P86=CURSOS!$D$15,"SOPORTE VITAL BASICO (BLS)",IF(P86=CURSOS!$D$16,"ATENCION A VICTIMAS DE VIOLENCIA SEXUAL ",IF(P86=CURSOS!$D$17,"PROGRAMADO AMPLIADO DE INMUNIZACION (PAI - COVID 19)",IF(P86=CURSOS!$D$18,"ATENCION INTEGRAL EN ENFERMEDADES PREVALENTES EN PRIMERA INFANCIA (AIEPI)",IF(P86=CURSOS!$D$19,"ADMINISTRACION DE MEDICAMENTOS, INYECTOLOGIA  Y CANALIZACION ",IF(P86=CURSOS!$D$20,"OPERADOR DE VEHICULOS DE EMERGENCIA (OVE)",IF(P86=CURSOS!$D$21,"INSTITUCIONES AMIGAS DE LA MUJER Y LA INFANCIA (IAMI)",IF(P86=CURSOS!$D$22,"CUIDADO DEL DONANTE DE ORGANOS",IF(P86=CURSOS!$D$23,"ATENCION A VICTIMAS POR VIOLENCIA DE GENERO",IF(P86=CURSOS!$D$24,"IGUALDAD DE GENERO EN LA SALUD",IF(P86=CURSOS!$D$25,"BRIGADA DE EMERGENCIA",IF(P86=CURSOS!$D$26,"MANEJO DEL DOLOR Y CUIDADOS PALIATIVOS",IF(P86=CURSOS!$D$27,"TOMA DE MUESTRAS Y LABORATORIO POCT",IF(P86=CURSOS!$D$28,"IMPLANTE SUBDERMICO DE DISPOSITIVO INTRAUTERINO",IF(P86=CURSOS!$D$29,"SALUD MENTAL",IF(P86=CURSOS!$D$30,"PRIMEROS AUXILIOS PSICOLOGICOS",IF(P86=CURSOS!$D$31,"ATENCION A VICTIMAS POR CONFLICTO ARMADO",IF(P86=CURSOS!$D$32,"MANIPULACION DE ALIMENTOS Y BPM",IF(P86=CURSOS!$D$33,"ATENCION A PERSONAS CON DISCAPACIDAD",IF(P86=CURSOS!$D$34,"CUIDADO INTEGRAL DEL PACIENTE ADULTO",IF(P86=CURSOS!$D$35,"MANEJO DEFENSIVO",IF(P86=CURSOS!$D$36,"SOPORTE CARDIOVASCULAR AVANZADO NEONATAL",IF(P86=CURSOS!$D$37,"SEGURIDAD DEL PACIENTE",IF(P86=CURSOS!$D$38,"MANEJO DE RESIDUOS HOSPITALARIOS",IF(P86=CURSOS!$D$39,"ATENCION DE PACIENTE POR CONSUMO SUSTANCIAS PSICOACTIVAS Y ADICCIONES")))))))))))))))))))))))))))))))))))))</f>
        <v xml:space="preserve">HUMANIZACION EN EL SERVICIO DE LA SALUD Y BUENAS PRACTICAS EN PACIENTE </v>
      </c>
      <c r="W86" s="75" t="str">
        <f t="shared" si="3"/>
        <v>Andrea Del Socorro Sanchez España</v>
      </c>
      <c r="X86" s="75" t="str">
        <f t="shared" si="4"/>
        <v>Andrea Del Socorro Sanchez España</v>
      </c>
      <c r="Y86" s="75" t="str">
        <f t="shared" si="5"/>
        <v>Andrea Del Socorro Sanchez España-59705846-HUMANIZACION</v>
      </c>
    </row>
    <row r="87" spans="1:25" s="76" customFormat="1" x14ac:dyDescent="0.2">
      <c r="A87" s="67">
        <v>86</v>
      </c>
      <c r="B87" s="68">
        <v>1004625305</v>
      </c>
      <c r="C87" s="68" t="s">
        <v>179</v>
      </c>
      <c r="D87" s="68" t="s">
        <v>318</v>
      </c>
      <c r="E87" s="68" t="s">
        <v>319</v>
      </c>
      <c r="F87" s="68" t="s">
        <v>182</v>
      </c>
      <c r="G87" s="68">
        <v>19</v>
      </c>
      <c r="H87" s="68" t="s">
        <v>100</v>
      </c>
      <c r="I87" s="68" t="s">
        <v>129</v>
      </c>
      <c r="J87" s="69" t="s">
        <v>235</v>
      </c>
      <c r="K87" s="70">
        <v>45827</v>
      </c>
      <c r="L87" s="86">
        <v>28000</v>
      </c>
      <c r="M87" s="68" t="s">
        <v>268</v>
      </c>
      <c r="N87" s="68" t="s">
        <v>207</v>
      </c>
      <c r="O87" s="94" t="s">
        <v>108</v>
      </c>
      <c r="P87" s="92" t="s">
        <v>42</v>
      </c>
      <c r="Q87" s="69">
        <v>37578</v>
      </c>
      <c r="R87" s="69" t="s">
        <v>109</v>
      </c>
      <c r="S87" s="93" t="s">
        <v>130</v>
      </c>
      <c r="T87" s="73">
        <v>3154809692</v>
      </c>
      <c r="U87" s="68" t="s">
        <v>320</v>
      </c>
      <c r="V87" s="75" t="str">
        <f>IF(P87=CURSOS!$D$3,"DIPLOMADO EN ATENCION PRE-HOSPITALARIA",IF(P87=CURSOS!$D$4,"ACOMPAÑAMIENTO Y MANEJO DEL DUELO",IF(P87=CURSOS!$D$5,"ATENCION A VICTIMAS DE ATAQUE CON AGENTES QUIMICOS ",IF(P87=CURSOS!$D$6,"PRIMEROS AUXILIOS ",IF(P87=CURSOS!$D$7,"DIPLOMADO DE UNIDAD DE CUIDADOS INTENSIVOS (UCI)",IF(P87=CURSOS!$D$8,"MODELO DE ATENCION PARA EVENTOS EMERGENTES EN SALUD MENTAL (CODIGO VERDE)",IF(P87=CURSOS!$D$9,"HUMANIZACION EN EL SERVICIO DE LA SALUD Y BUENAS PRACTICAS EN PACIENTE ",IF(P87=CURSOS!$D$10,"CLINICA DE HERIDAS ",IF(P87=CURSOS!$D$11,"TOMA DE CITOLOGIA CERVICO VAGINAL ",IF(P87=CURSOS!$D$12,"SOPORTE CARDIOVASCULAR AVANZADO (ACLS) ",IF(P87=CURSOS!$D$13,"CAMILLERO ",IF(P87=CURSOS!$D$14,"TOMA DE MUESTRAS Y LABORATORIO ",IF(P87=CURSOS!$D$15,"SOPORTE VITAL BASICO (BLS)",IF(P87=CURSOS!$D$16,"ATENCION A VICTIMAS DE VIOLENCIA SEXUAL ",IF(P87=CURSOS!$D$17,"PROGRAMADO AMPLIADO DE INMUNIZACION (PAI - COVID 19)",IF(P87=CURSOS!$D$18,"ATENCION INTEGRAL EN ENFERMEDADES PREVALENTES EN PRIMERA INFANCIA (AIEPI)",IF(P87=CURSOS!$D$19,"ADMINISTRACION DE MEDICAMENTOS, INYECTOLOGIA  Y CANALIZACION ",IF(P87=CURSOS!$D$20,"OPERADOR DE VEHICULOS DE EMERGENCIA (OVE)",IF(P87=CURSOS!$D$21,"INSTITUCIONES AMIGAS DE LA MUJER Y LA INFANCIA (IAMI)",IF(P87=CURSOS!$D$22,"CUIDADO DEL DONANTE DE ORGANOS",IF(P87=CURSOS!$D$23,"ATENCION A VICTIMAS POR VIOLENCIA DE GENERO",IF(P87=CURSOS!$D$24,"IGUALDAD DE GENERO EN LA SALUD",IF(P87=CURSOS!$D$25,"BRIGADA DE EMERGENCIA",IF(P87=CURSOS!$D$26,"MANEJO DEL DOLOR Y CUIDADOS PALIATIVOS",IF(P87=CURSOS!$D$27,"TOMA DE MUESTRAS Y LABORATORIO POCT",IF(P87=CURSOS!$D$28,"IMPLANTE SUBDERMICO DE DISPOSITIVO INTRAUTERINO",IF(P87=CURSOS!$D$29,"SALUD MENTAL",IF(P87=CURSOS!$D$30,"PRIMEROS AUXILIOS PSICOLOGICOS",IF(P87=CURSOS!$D$31,"ATENCION A VICTIMAS POR CONFLICTO ARMADO",IF(P87=CURSOS!$D$32,"MANIPULACION DE ALIMENTOS Y BPM",IF(P87=CURSOS!$D$33,"ATENCION A PERSONAS CON DISCAPACIDAD",IF(P87=CURSOS!$D$34,"CUIDADO INTEGRAL DEL PACIENTE ADULTO",IF(P87=CURSOS!$D$35,"MANEJO DEFENSIVO",IF(P87=CURSOS!$D$36,"SOPORTE CARDIOVASCULAR AVANZADO NEONATAL",IF(P87=CURSOS!$D$37,"SEGURIDAD DEL PACIENTE",IF(P87=CURSOS!$D$38,"MANEJO DE RESIDUOS HOSPITALARIOS",IF(P87=CURSOS!$D$39,"ATENCION DE PACIENTE POR CONSUMO SUSTANCIAS PSICOACTIVAS Y ADICCIONES")))))))))))))))))))))))))))))))))))))</f>
        <v xml:space="preserve">ATENCION A VICTIMAS DE VIOLENCIA SEXUAL </v>
      </c>
      <c r="W87" s="75" t="str">
        <f t="shared" si="3"/>
        <v>Angie Lorena Mora Pantoja</v>
      </c>
      <c r="X87" s="75" t="str">
        <f t="shared" si="4"/>
        <v>Angie Lorena Mora Pantoja</v>
      </c>
      <c r="Y87" s="75" t="str">
        <f t="shared" si="5"/>
        <v>Angie Lorena Mora Pantoja-1004625305-VIOLENCIA SEXUAL</v>
      </c>
    </row>
    <row r="88" spans="1:25" s="76" customFormat="1" x14ac:dyDescent="0.2">
      <c r="A88" s="67">
        <v>87</v>
      </c>
      <c r="B88" s="68">
        <v>1004625305</v>
      </c>
      <c r="C88" s="68" t="s">
        <v>179</v>
      </c>
      <c r="D88" s="68" t="s">
        <v>318</v>
      </c>
      <c r="E88" s="68" t="s">
        <v>319</v>
      </c>
      <c r="F88" s="68" t="s">
        <v>182</v>
      </c>
      <c r="G88" s="68">
        <v>19</v>
      </c>
      <c r="H88" s="68" t="s">
        <v>100</v>
      </c>
      <c r="I88" s="68" t="s">
        <v>129</v>
      </c>
      <c r="J88" s="69" t="s">
        <v>235</v>
      </c>
      <c r="K88" s="70">
        <v>45827</v>
      </c>
      <c r="L88" s="86">
        <v>28000</v>
      </c>
      <c r="M88" s="68" t="s">
        <v>268</v>
      </c>
      <c r="N88" s="68" t="s">
        <v>207</v>
      </c>
      <c r="O88" s="94" t="s">
        <v>108</v>
      </c>
      <c r="P88" s="92" t="s">
        <v>25</v>
      </c>
      <c r="Q88" s="69">
        <v>37578</v>
      </c>
      <c r="R88" s="69" t="s">
        <v>109</v>
      </c>
      <c r="S88" s="93" t="s">
        <v>130</v>
      </c>
      <c r="T88" s="73">
        <v>3154809692</v>
      </c>
      <c r="U88" s="68" t="s">
        <v>320</v>
      </c>
      <c r="V88" s="75" t="str">
        <f>IF(P88=CURSOS!$D$3,"DIPLOMADO EN ATENCION PRE-HOSPITALARIA",IF(P88=CURSOS!$D$4,"ACOMPAÑAMIENTO Y MANEJO DEL DUELO",IF(P88=CURSOS!$D$5,"ATENCION A VICTIMAS DE ATAQUE CON AGENTES QUIMICOS ",IF(P88=CURSOS!$D$6,"PRIMEROS AUXILIOS ",IF(P88=CURSOS!$D$7,"DIPLOMADO DE UNIDAD DE CUIDADOS INTENSIVOS (UCI)",IF(P88=CURSOS!$D$8,"MODELO DE ATENCION PARA EVENTOS EMERGENTES EN SALUD MENTAL (CODIGO VERDE)",IF(P88=CURSOS!$D$9,"HUMANIZACION EN EL SERVICIO DE LA SALUD Y BUENAS PRACTICAS EN PACIENTE ",IF(P88=CURSOS!$D$10,"CLINICA DE HERIDAS ",IF(P88=CURSOS!$D$11,"TOMA DE CITOLOGIA CERVICO VAGINAL ",IF(P88=CURSOS!$D$12,"SOPORTE CARDIOVASCULAR AVANZADO (ACLS) ",IF(P88=CURSOS!$D$13,"CAMILLERO ",IF(P88=CURSOS!$D$14,"TOMA DE MUESTRAS Y LABORATORIO ",IF(P88=CURSOS!$D$15,"SOPORTE VITAL BASICO (BLS)",IF(P88=CURSOS!$D$16,"ATENCION A VICTIMAS DE VIOLENCIA SEXUAL ",IF(P88=CURSOS!$D$17,"PROGRAMADO AMPLIADO DE INMUNIZACION (PAI - COVID 19)",IF(P88=CURSOS!$D$18,"ATENCION INTEGRAL EN ENFERMEDADES PREVALENTES EN PRIMERA INFANCIA (AIEPI)",IF(P88=CURSOS!$D$19,"ADMINISTRACION DE MEDICAMENTOS, INYECTOLOGIA  Y CANALIZACION ",IF(P88=CURSOS!$D$20,"OPERADOR DE VEHICULOS DE EMERGENCIA (OVE)",IF(P88=CURSOS!$D$21,"INSTITUCIONES AMIGAS DE LA MUJER Y LA INFANCIA (IAMI)",IF(P88=CURSOS!$D$22,"CUIDADO DEL DONANTE DE ORGANOS",IF(P88=CURSOS!$D$23,"ATENCION A VICTIMAS POR VIOLENCIA DE GENERO",IF(P88=CURSOS!$D$24,"IGUALDAD DE GENERO EN LA SALUD",IF(P88=CURSOS!$D$25,"BRIGADA DE EMERGENCIA",IF(P88=CURSOS!$D$26,"MANEJO DEL DOLOR Y CUIDADOS PALIATIVOS",IF(P88=CURSOS!$D$27,"TOMA DE MUESTRAS Y LABORATORIO POCT",IF(P88=CURSOS!$D$28,"IMPLANTE SUBDERMICO DE DISPOSITIVO INTRAUTERINO",IF(P88=CURSOS!$D$29,"SALUD MENTAL",IF(P88=CURSOS!$D$30,"PRIMEROS AUXILIOS PSICOLOGICOS",IF(P88=CURSOS!$D$31,"ATENCION A VICTIMAS POR CONFLICTO ARMADO",IF(P88=CURSOS!$D$32,"MANIPULACION DE ALIMENTOS Y BPM",IF(P88=CURSOS!$D$33,"ATENCION A PERSONAS CON DISCAPACIDAD",IF(P88=CURSOS!$D$34,"CUIDADO INTEGRAL DEL PACIENTE ADULTO",IF(P88=CURSOS!$D$35,"MANEJO DEFENSIVO",IF(P88=CURSOS!$D$36,"SOPORTE CARDIOVASCULAR AVANZADO NEONATAL",IF(P88=CURSOS!$D$37,"SEGURIDAD DEL PACIENTE",IF(P88=CURSOS!$D$38,"MANEJO DE RESIDUOS HOSPITALARIOS",IF(P88=CURSOS!$D$39,"ATENCION DE PACIENTE POR CONSUMO SUSTANCIAS PSICOACTIVAS Y ADICCIONES")))))))))))))))))))))))))))))))))))))</f>
        <v xml:space="preserve">ATENCION A VICTIMAS DE ATAQUE CON AGENTES QUIMICOS </v>
      </c>
      <c r="W88" s="75" t="str">
        <f t="shared" si="3"/>
        <v>Angie Lorena Mora Pantoja</v>
      </c>
      <c r="X88" s="75" t="str">
        <f t="shared" si="4"/>
        <v>Angie Lorena Mora Pantoja</v>
      </c>
      <c r="Y88" s="75" t="str">
        <f t="shared" si="5"/>
        <v>Angie Lorena Mora Pantoja-1004625305-QUIMICOS</v>
      </c>
    </row>
    <row r="89" spans="1:25" s="76" customFormat="1" x14ac:dyDescent="0.2">
      <c r="A89" s="67">
        <v>88</v>
      </c>
      <c r="B89" s="68">
        <v>1004625305</v>
      </c>
      <c r="C89" s="68" t="s">
        <v>179</v>
      </c>
      <c r="D89" s="68" t="s">
        <v>318</v>
      </c>
      <c r="E89" s="68" t="s">
        <v>319</v>
      </c>
      <c r="F89" s="68" t="s">
        <v>182</v>
      </c>
      <c r="G89" s="68">
        <v>17</v>
      </c>
      <c r="H89" s="68" t="s">
        <v>100</v>
      </c>
      <c r="I89" s="68" t="s">
        <v>129</v>
      </c>
      <c r="J89" s="69" t="s">
        <v>235</v>
      </c>
      <c r="K89" s="70">
        <v>45827</v>
      </c>
      <c r="L89" s="86">
        <v>28000</v>
      </c>
      <c r="M89" s="68" t="s">
        <v>268</v>
      </c>
      <c r="N89" s="68" t="s">
        <v>207</v>
      </c>
      <c r="O89" s="94" t="s">
        <v>108</v>
      </c>
      <c r="P89" s="72" t="s">
        <v>23</v>
      </c>
      <c r="Q89" s="69">
        <v>37578</v>
      </c>
      <c r="R89" s="69" t="s">
        <v>109</v>
      </c>
      <c r="S89" s="93" t="s">
        <v>130</v>
      </c>
      <c r="T89" s="73">
        <v>3154809692</v>
      </c>
      <c r="U89" s="68" t="s">
        <v>320</v>
      </c>
      <c r="V89" s="75" t="str">
        <f>IF(P89=CURSOS!$D$3,"DIPLOMADO EN ATENCION PRE-HOSPITALARIA",IF(P89=CURSOS!$D$4,"ACOMPAÑAMIENTO Y MANEJO DEL DUELO",IF(P89=CURSOS!$D$5,"ATENCION A VICTIMAS DE ATAQUE CON AGENTES QUIMICOS ",IF(P89=CURSOS!$D$6,"PRIMEROS AUXILIOS ",IF(P89=CURSOS!$D$7,"DIPLOMADO DE UNIDAD DE CUIDADOS INTENSIVOS (UCI)",IF(P89=CURSOS!$D$8,"MODELO DE ATENCION PARA EVENTOS EMERGENTES EN SALUD MENTAL (CODIGO VERDE)",IF(P89=CURSOS!$D$9,"HUMANIZACION EN EL SERVICIO DE LA SALUD Y BUENAS PRACTICAS EN PACIENTE ",IF(P89=CURSOS!$D$10,"CLINICA DE HERIDAS ",IF(P89=CURSOS!$D$11,"TOMA DE CITOLOGIA CERVICO VAGINAL ",IF(P89=CURSOS!$D$12,"SOPORTE CARDIOVASCULAR AVANZADO (ACLS) ",IF(P89=CURSOS!$D$13,"CAMILLERO ",IF(P89=CURSOS!$D$14,"TOMA DE MUESTRAS Y LABORATORIO ",IF(P89=CURSOS!$D$15,"SOPORTE VITAL BASICO (BLS)",IF(P89=CURSOS!$D$16,"ATENCION A VICTIMAS DE VIOLENCIA SEXUAL ",IF(P89=CURSOS!$D$17,"PROGRAMADO AMPLIADO DE INMUNIZACION (PAI - COVID 19)",IF(P89=CURSOS!$D$18,"ATENCION INTEGRAL EN ENFERMEDADES PREVALENTES EN PRIMERA INFANCIA (AIEPI)",IF(P89=CURSOS!$D$19,"ADMINISTRACION DE MEDICAMENTOS, INYECTOLOGIA  Y CANALIZACION ",IF(P89=CURSOS!$D$20,"OPERADOR DE VEHICULOS DE EMERGENCIA (OVE)",IF(P89=CURSOS!$D$21,"INSTITUCIONES AMIGAS DE LA MUJER Y LA INFANCIA (IAMI)",IF(P89=CURSOS!$D$22,"CUIDADO DEL DONANTE DE ORGANOS",IF(P89=CURSOS!$D$23,"ATENCION A VICTIMAS POR VIOLENCIA DE GENERO",IF(P89=CURSOS!$D$24,"IGUALDAD DE GENERO EN LA SALUD",IF(P89=CURSOS!$D$25,"BRIGADA DE EMERGENCIA",IF(P89=CURSOS!$D$26,"MANEJO DEL DOLOR Y CUIDADOS PALIATIVOS",IF(P89=CURSOS!$D$27,"TOMA DE MUESTRAS Y LABORATORIO POCT",IF(P89=CURSOS!$D$28,"IMPLANTE SUBDERMICO DE DISPOSITIVO INTRAUTERINO",IF(P89=CURSOS!$D$29,"SALUD MENTAL",IF(P89=CURSOS!$D$30,"PRIMEROS AUXILIOS PSICOLOGICOS",IF(P89=CURSOS!$D$31,"ATENCION A VICTIMAS POR CONFLICTO ARMADO",IF(P89=CURSOS!$D$32,"MANIPULACION DE ALIMENTOS Y BPM",IF(P89=CURSOS!$D$33,"ATENCION A PERSONAS CON DISCAPACIDAD",IF(P89=CURSOS!$D$34,"CUIDADO INTEGRAL DEL PACIENTE ADULTO",IF(P89=CURSOS!$D$35,"MANEJO DEFENSIVO",IF(P89=CURSOS!$D$36,"SOPORTE CARDIOVASCULAR AVANZADO NEONATAL",IF(P89=CURSOS!$D$37,"SEGURIDAD DEL PACIENTE",IF(P89=CURSOS!$D$38,"MANEJO DE RESIDUOS HOSPITALARIOS",IF(P89=CURSOS!$D$39,"ATENCION DE PACIENTE POR CONSUMO SUSTANCIAS PSICOACTIVAS Y ADICCIONES")))))))))))))))))))))))))))))))))))))</f>
        <v>ACOMPAÑAMIENTO Y MANEJO DEL DUELO</v>
      </c>
      <c r="W89" s="75" t="str">
        <f t="shared" si="3"/>
        <v>Angie Lorena Mora Pantoja</v>
      </c>
      <c r="X89" s="75" t="str">
        <f t="shared" si="4"/>
        <v>Angie Lorena Mora Pantoja</v>
      </c>
      <c r="Y89" s="75" t="str">
        <f t="shared" si="5"/>
        <v>Angie Lorena Mora Pantoja-1004625305-DUELO</v>
      </c>
    </row>
    <row r="90" spans="1:25" s="76" customFormat="1" x14ac:dyDescent="0.2">
      <c r="A90" s="67">
        <v>89</v>
      </c>
      <c r="B90" s="68">
        <v>1004625305</v>
      </c>
      <c r="C90" s="68" t="s">
        <v>179</v>
      </c>
      <c r="D90" s="68" t="s">
        <v>318</v>
      </c>
      <c r="E90" s="68" t="s">
        <v>319</v>
      </c>
      <c r="F90" s="68" t="s">
        <v>182</v>
      </c>
      <c r="G90" s="68">
        <v>16</v>
      </c>
      <c r="H90" s="68" t="s">
        <v>100</v>
      </c>
      <c r="I90" s="68" t="s">
        <v>129</v>
      </c>
      <c r="J90" s="69" t="s">
        <v>235</v>
      </c>
      <c r="K90" s="70">
        <v>45827</v>
      </c>
      <c r="L90" s="86">
        <v>28000</v>
      </c>
      <c r="M90" s="68" t="s">
        <v>268</v>
      </c>
      <c r="N90" s="68" t="s">
        <v>207</v>
      </c>
      <c r="O90" s="94" t="s">
        <v>108</v>
      </c>
      <c r="P90" s="72" t="s">
        <v>32</v>
      </c>
      <c r="Q90" s="69">
        <v>37578</v>
      </c>
      <c r="R90" s="69" t="s">
        <v>109</v>
      </c>
      <c r="S90" s="93" t="s">
        <v>130</v>
      </c>
      <c r="T90" s="73">
        <v>3154809692</v>
      </c>
      <c r="U90" s="68" t="s">
        <v>320</v>
      </c>
      <c r="V90" s="75" t="str">
        <f>IF(P90=CURSOS!$D$3,"DIPLOMADO EN ATENCION PRE-HOSPITALARIA",IF(P90=CURSOS!$D$4,"ACOMPAÑAMIENTO Y MANEJO DEL DUELO",IF(P90=CURSOS!$D$5,"ATENCION A VICTIMAS DE ATAQUE CON AGENTES QUIMICOS ",IF(P90=CURSOS!$D$6,"PRIMEROS AUXILIOS ",IF(P90=CURSOS!$D$7,"DIPLOMADO DE UNIDAD DE CUIDADOS INTENSIVOS (UCI)",IF(P90=CURSOS!$D$8,"MODELO DE ATENCION PARA EVENTOS EMERGENTES EN SALUD MENTAL (CODIGO VERDE)",IF(P90=CURSOS!$D$9,"HUMANIZACION EN EL SERVICIO DE LA SALUD Y BUENAS PRACTICAS EN PACIENTE ",IF(P90=CURSOS!$D$10,"CLINICA DE HERIDAS ",IF(P90=CURSOS!$D$11,"TOMA DE CITOLOGIA CERVICO VAGINAL ",IF(P90=CURSOS!$D$12,"SOPORTE CARDIOVASCULAR AVANZADO (ACLS) ",IF(P90=CURSOS!$D$13,"CAMILLERO ",IF(P90=CURSOS!$D$14,"TOMA DE MUESTRAS Y LABORATORIO ",IF(P90=CURSOS!$D$15,"SOPORTE VITAL BASICO (BLS)",IF(P90=CURSOS!$D$16,"ATENCION A VICTIMAS DE VIOLENCIA SEXUAL ",IF(P90=CURSOS!$D$17,"PROGRAMADO AMPLIADO DE INMUNIZACION (PAI - COVID 19)",IF(P90=CURSOS!$D$18,"ATENCION INTEGRAL EN ENFERMEDADES PREVALENTES EN PRIMERA INFANCIA (AIEPI)",IF(P90=CURSOS!$D$19,"ADMINISTRACION DE MEDICAMENTOS, INYECTOLOGIA  Y CANALIZACION ",IF(P90=CURSOS!$D$20,"OPERADOR DE VEHICULOS DE EMERGENCIA (OVE)",IF(P90=CURSOS!$D$21,"INSTITUCIONES AMIGAS DE LA MUJER Y LA INFANCIA (IAMI)",IF(P90=CURSOS!$D$22,"CUIDADO DEL DONANTE DE ORGANOS",IF(P90=CURSOS!$D$23,"ATENCION A VICTIMAS POR VIOLENCIA DE GENERO",IF(P90=CURSOS!$D$24,"IGUALDAD DE GENERO EN LA SALUD",IF(P90=CURSOS!$D$25,"BRIGADA DE EMERGENCIA",IF(P90=CURSOS!$D$26,"MANEJO DEL DOLOR Y CUIDADOS PALIATIVOS",IF(P90=CURSOS!$D$27,"TOMA DE MUESTRAS Y LABORATORIO POCT",IF(P90=CURSOS!$D$28,"IMPLANTE SUBDERMICO DE DISPOSITIVO INTRAUTERINO",IF(P90=CURSOS!$D$29,"SALUD MENTAL",IF(P90=CURSOS!$D$30,"PRIMEROS AUXILIOS PSICOLOGICOS",IF(P90=CURSOS!$D$31,"ATENCION A VICTIMAS POR CONFLICTO ARMADO",IF(P90=CURSOS!$D$32,"MANIPULACION DE ALIMENTOS Y BPM",IF(P90=CURSOS!$D$33,"ATENCION A PERSONAS CON DISCAPACIDAD",IF(P90=CURSOS!$D$34,"CUIDADO INTEGRAL DEL PACIENTE ADULTO",IF(P90=CURSOS!$D$35,"MANEJO DEFENSIVO",IF(P90=CURSOS!$D$36,"SOPORTE CARDIOVASCULAR AVANZADO NEONATAL",IF(P90=CURSOS!$D$37,"SEGURIDAD DEL PACIENTE",IF(P90=CURSOS!$D$38,"MANEJO DE RESIDUOS HOSPITALARIOS",IF(P90=CURSOS!$D$39,"ATENCION DE PACIENTE POR CONSUMO SUSTANCIAS PSICOACTIVAS Y ADICCIONES")))))))))))))))))))))))))))))))))))))</f>
        <v xml:space="preserve">HUMANIZACION EN EL SERVICIO DE LA SALUD Y BUENAS PRACTICAS EN PACIENTE </v>
      </c>
      <c r="W90" s="75" t="str">
        <f t="shared" si="3"/>
        <v>Angie Lorena Mora Pantoja</v>
      </c>
      <c r="X90" s="75" t="str">
        <f t="shared" si="4"/>
        <v>Angie Lorena Mora Pantoja</v>
      </c>
      <c r="Y90" s="75" t="str">
        <f t="shared" si="5"/>
        <v>Angie Lorena Mora Pantoja-1004625305-HUMANIZACION</v>
      </c>
    </row>
    <row r="91" spans="1:25" s="97" customFormat="1" x14ac:dyDescent="0.2">
      <c r="A91" s="95">
        <v>90</v>
      </c>
      <c r="B91" s="68">
        <v>1004625305</v>
      </c>
      <c r="C91" s="68" t="s">
        <v>179</v>
      </c>
      <c r="D91" s="68" t="s">
        <v>318</v>
      </c>
      <c r="E91" s="68" t="s">
        <v>319</v>
      </c>
      <c r="F91" s="68" t="s">
        <v>182</v>
      </c>
      <c r="G91" s="68">
        <v>18</v>
      </c>
      <c r="H91" s="68" t="s">
        <v>100</v>
      </c>
      <c r="I91" s="68" t="s">
        <v>129</v>
      </c>
      <c r="J91" s="69" t="s">
        <v>235</v>
      </c>
      <c r="K91" s="70">
        <v>45827</v>
      </c>
      <c r="L91" s="86">
        <v>28000</v>
      </c>
      <c r="M91" s="68" t="s">
        <v>268</v>
      </c>
      <c r="N91" s="68" t="s">
        <v>207</v>
      </c>
      <c r="O91" s="94" t="s">
        <v>108</v>
      </c>
      <c r="P91" s="96" t="s">
        <v>19</v>
      </c>
      <c r="Q91" s="69">
        <v>37578</v>
      </c>
      <c r="R91" s="69" t="s">
        <v>109</v>
      </c>
      <c r="S91" s="93" t="s">
        <v>130</v>
      </c>
      <c r="T91" s="73">
        <v>3154809692</v>
      </c>
      <c r="U91" s="68" t="s">
        <v>320</v>
      </c>
      <c r="V91" s="75" t="str">
        <f>IF(P91=CURSOS!$D$3,"DIPLOMADO EN ATENCION PRE-HOSPITALARIA",IF(P91=CURSOS!$D$4,"ACOMPAÑAMIENTO Y MANEJO DEL DUELO",IF(P91=CURSOS!$D$5,"ATENCION A VICTIMAS DE ATAQUE CON AGENTES QUIMICOS ",IF(P91=CURSOS!$D$6,"PRIMEROS AUXILIOS ",IF(P91=CURSOS!$D$7,"DIPLOMADO DE UNIDAD DE CUIDADOS INTENSIVOS (UCI)",IF(P91=CURSOS!$D$8,"MODELO DE ATENCION PARA EVENTOS EMERGENTES EN SALUD MENTAL (CODIGO VERDE)",IF(P91=CURSOS!$D$9,"HUMANIZACION EN EL SERVICIO DE LA SALUD Y BUENAS PRACTICAS EN PACIENTE ",IF(P91=CURSOS!$D$10,"CLINICA DE HERIDAS ",IF(P91=CURSOS!$D$11,"TOMA DE CITOLOGIA CERVICO VAGINAL ",IF(P91=CURSOS!$D$12,"SOPORTE CARDIOVASCULAR AVANZADO (ACLS) ",IF(P91=CURSOS!$D$13,"CAMILLERO ",IF(P91=CURSOS!$D$14,"TOMA DE MUESTRAS Y LABORATORIO ",IF(P91=CURSOS!$D$15,"SOPORTE VITAL BASICO (BLS)",IF(P91=CURSOS!$D$16,"ATENCION A VICTIMAS DE VIOLENCIA SEXUAL ",IF(P91=CURSOS!$D$17,"PROGRAMADO AMPLIADO DE INMUNIZACION (PAI - COVID 19)",IF(P91=CURSOS!$D$18,"ATENCION INTEGRAL EN ENFERMEDADES PREVALENTES EN PRIMERA INFANCIA (AIEPI)",IF(P91=CURSOS!$D$19,"ADMINISTRACION DE MEDICAMENTOS, INYECTOLOGIA  Y CANALIZACION ",IF(P91=CURSOS!$D$20,"OPERADOR DE VEHICULOS DE EMERGENCIA (OVE)",IF(P91=CURSOS!$D$21,"INSTITUCIONES AMIGAS DE LA MUJER Y LA INFANCIA (IAMI)",IF(P91=CURSOS!$D$22,"CUIDADO DEL DONANTE DE ORGANOS",IF(P91=CURSOS!$D$23,"ATENCION A VICTIMAS POR VIOLENCIA DE GENERO",IF(P91=CURSOS!$D$24,"IGUALDAD DE GENERO EN LA SALUD",IF(P91=CURSOS!$D$25,"BRIGADA DE EMERGENCIA",IF(P91=CURSOS!$D$26,"MANEJO DEL DOLOR Y CUIDADOS PALIATIVOS",IF(P91=CURSOS!$D$27,"TOMA DE MUESTRAS Y LABORATORIO POCT",IF(P91=CURSOS!$D$28,"IMPLANTE SUBDERMICO DE DISPOSITIVO INTRAUTERINO",IF(P91=CURSOS!$D$29,"SALUD MENTAL",IF(P91=CURSOS!$D$30,"PRIMEROS AUXILIOS PSICOLOGICOS",IF(P91=CURSOS!$D$31,"ATENCION A VICTIMAS POR CONFLICTO ARMADO",IF(P91=CURSOS!$D$32,"MANIPULACION DE ALIMENTOS Y BPM",IF(P91=CURSOS!$D$33,"ATENCION A PERSONAS CON DISCAPACIDAD",IF(P91=CURSOS!$D$34,"CUIDADO INTEGRAL DEL PACIENTE ADULTO",IF(P91=CURSOS!$D$35,"MANEJO DEFENSIVO",IF(P91=CURSOS!$D$36,"SOPORTE CARDIOVASCULAR AVANZADO NEONATAL",IF(P91=CURSOS!$D$37,"SEGURIDAD DEL PACIENTE",IF(P91=CURSOS!$D$38,"MANEJO DE RESIDUOS HOSPITALARIOS",IF(P91=CURSOS!$D$39,"ATENCION DE PACIENTE POR CONSUMO SUSTANCIAS PSICOACTIVAS Y ADICCIONES")))))))))))))))))))))))))))))))))))))</f>
        <v>SOPORTE VITAL BASICO (BLS)</v>
      </c>
      <c r="W91" s="75" t="str">
        <f t="shared" si="3"/>
        <v>Angie Lorena Mora Pantoja</v>
      </c>
      <c r="X91" s="75" t="str">
        <f t="shared" si="4"/>
        <v>Angie Lorena Mora Pantoja</v>
      </c>
      <c r="Y91" s="75" t="str">
        <f t="shared" si="5"/>
        <v>Angie Lorena Mora Pantoja-1004625305-BLS</v>
      </c>
    </row>
    <row r="92" spans="1:25" s="97" customFormat="1" x14ac:dyDescent="0.2">
      <c r="A92" s="67">
        <v>91</v>
      </c>
      <c r="B92" s="68">
        <v>1087417050</v>
      </c>
      <c r="C92" s="68" t="s">
        <v>203</v>
      </c>
      <c r="D92" s="68" t="s">
        <v>179</v>
      </c>
      <c r="E92" s="68" t="s">
        <v>321</v>
      </c>
      <c r="F92" s="68" t="s">
        <v>205</v>
      </c>
      <c r="G92" s="68">
        <v>16</v>
      </c>
      <c r="H92" s="68" t="s">
        <v>100</v>
      </c>
      <c r="I92" s="68" t="s">
        <v>129</v>
      </c>
      <c r="J92" s="69" t="s">
        <v>148</v>
      </c>
      <c r="K92" s="70">
        <v>45828</v>
      </c>
      <c r="L92" s="71">
        <v>28000</v>
      </c>
      <c r="M92" s="68" t="s">
        <v>123</v>
      </c>
      <c r="N92" s="68" t="s">
        <v>207</v>
      </c>
      <c r="O92" s="94" t="s">
        <v>149</v>
      </c>
      <c r="P92" s="72" t="s">
        <v>32</v>
      </c>
      <c r="Q92" s="69">
        <v>33595</v>
      </c>
      <c r="R92" s="68" t="s">
        <v>109</v>
      </c>
      <c r="S92" s="68" t="s">
        <v>130</v>
      </c>
      <c r="T92" s="68">
        <v>3128963910</v>
      </c>
      <c r="U92" s="68" t="s">
        <v>322</v>
      </c>
      <c r="V92" s="75" t="str">
        <f>IF(P92=CURSOS!$D$3,"DIPLOMADO EN ATENCION PRE-HOSPITALARIA",IF(P92=CURSOS!$D$4,"ACOMPAÑAMIENTO Y MANEJO DEL DUELO",IF(P92=CURSOS!$D$5,"ATENCION A VICTIMAS DE ATAQUE CON AGENTES QUIMICOS ",IF(P92=CURSOS!$D$6,"PRIMEROS AUXILIOS ",IF(P92=CURSOS!$D$7,"DIPLOMADO DE UNIDAD DE CUIDADOS INTENSIVOS (UCI)",IF(P92=CURSOS!$D$8,"MODELO DE ATENCION PARA EVENTOS EMERGENTES EN SALUD MENTAL (CODIGO VERDE)",IF(P92=CURSOS!$D$9,"HUMANIZACION EN EL SERVICIO DE LA SALUD Y BUENAS PRACTICAS EN PACIENTE ",IF(P92=CURSOS!$D$10,"CLINICA DE HERIDAS ",IF(P92=CURSOS!$D$11,"TOMA DE CITOLOGIA CERVICO VAGINAL ",IF(P92=CURSOS!$D$12,"SOPORTE CARDIOVASCULAR AVANZADO (ACLS) ",IF(P92=CURSOS!$D$13,"CAMILLERO ",IF(P92=CURSOS!$D$14,"TOMA DE MUESTRAS Y LABORATORIO ",IF(P92=CURSOS!$D$15,"SOPORTE VITAL BASICO (BLS)",IF(P92=CURSOS!$D$16,"ATENCION A VICTIMAS DE VIOLENCIA SEXUAL ",IF(P92=CURSOS!$D$17,"PROGRAMADO AMPLIADO DE INMUNIZACION (PAI - COVID 19)",IF(P92=CURSOS!$D$18,"ATENCION INTEGRAL EN ENFERMEDADES PREVALENTES EN PRIMERA INFANCIA (AIEPI)",IF(P92=CURSOS!$D$19,"ADMINISTRACION DE MEDICAMENTOS, INYECTOLOGIA  Y CANALIZACION ",IF(P92=CURSOS!$D$20,"OPERADOR DE VEHICULOS DE EMERGENCIA (OVE)",IF(P92=CURSOS!$D$21,"INSTITUCIONES AMIGAS DE LA MUJER Y LA INFANCIA (IAMI)",IF(P92=CURSOS!$D$22,"CUIDADO DEL DONANTE DE ORGANOS",IF(P92=CURSOS!$D$23,"ATENCION A VICTIMAS POR VIOLENCIA DE GENERO",IF(P92=CURSOS!$D$24,"IGUALDAD DE GENERO EN LA SALUD",IF(P92=CURSOS!$D$25,"BRIGADA DE EMERGENCIA",IF(P92=CURSOS!$D$26,"MANEJO DEL DOLOR Y CUIDADOS PALIATIVOS",IF(P92=CURSOS!$D$27,"TOMA DE MUESTRAS Y LABORATORIO POCT",IF(P92=CURSOS!$D$28,"IMPLANTE SUBDERMICO DE DISPOSITIVO INTRAUTERINO",IF(P92=CURSOS!$D$29,"SALUD MENTAL",IF(P92=CURSOS!$D$30,"PRIMEROS AUXILIOS PSICOLOGICOS",IF(P92=CURSOS!$D$31,"ATENCION A VICTIMAS POR CONFLICTO ARMADO",IF(P92=CURSOS!$D$32,"MANIPULACION DE ALIMENTOS Y BPM",IF(P92=CURSOS!$D$33,"ATENCION A PERSONAS CON DISCAPACIDAD",IF(P92=CURSOS!$D$34,"CUIDADO INTEGRAL DEL PACIENTE ADULTO",IF(P92=CURSOS!$D$35,"MANEJO DEFENSIVO",IF(P92=CURSOS!$D$36,"SOPORTE CARDIOVASCULAR AVANZADO NEONATAL",IF(P92=CURSOS!$D$37,"SEGURIDAD DEL PACIENTE",IF(P92=CURSOS!$D$38,"MANEJO DE RESIDUOS HOSPITALARIOS",IF(P92=CURSOS!$D$39,"ATENCION DE PACIENTE POR CONSUMO SUSTANCIAS PSICOACTIVAS Y ADICCIONES")))))))))))))))))))))))))))))))))))))</f>
        <v xml:space="preserve">HUMANIZACION EN EL SERVICIO DE LA SALUD Y BUENAS PRACTICAS EN PACIENTE </v>
      </c>
      <c r="W92" s="75" t="str">
        <f t="shared" si="3"/>
        <v>Luisa Alexandra Andrade Mora</v>
      </c>
      <c r="X92" s="75" t="str">
        <f t="shared" si="4"/>
        <v>Luisa Alexandra Andrade Mora</v>
      </c>
      <c r="Y92" s="75" t="str">
        <f t="shared" si="5"/>
        <v>Luisa Alexandra Andrade Mora-1087417050-HUMANIZACION</v>
      </c>
    </row>
    <row r="93" spans="1:25" s="97" customFormat="1" x14ac:dyDescent="0.2">
      <c r="A93" s="67">
        <v>92</v>
      </c>
      <c r="B93" s="68">
        <v>1087417050</v>
      </c>
      <c r="C93" s="68" t="s">
        <v>203</v>
      </c>
      <c r="D93" s="68" t="s">
        <v>179</v>
      </c>
      <c r="E93" s="68" t="s">
        <v>321</v>
      </c>
      <c r="F93" s="68" t="s">
        <v>205</v>
      </c>
      <c r="G93" s="68">
        <v>19</v>
      </c>
      <c r="H93" s="68" t="s">
        <v>100</v>
      </c>
      <c r="I93" s="68" t="s">
        <v>129</v>
      </c>
      <c r="J93" s="69" t="s">
        <v>148</v>
      </c>
      <c r="K93" s="70">
        <v>45828</v>
      </c>
      <c r="L93" s="71">
        <v>28000</v>
      </c>
      <c r="M93" s="68" t="s">
        <v>123</v>
      </c>
      <c r="N93" s="68" t="s">
        <v>207</v>
      </c>
      <c r="O93" s="94" t="s">
        <v>149</v>
      </c>
      <c r="P93" s="72" t="s">
        <v>42</v>
      </c>
      <c r="Q93" s="69">
        <v>33595</v>
      </c>
      <c r="R93" s="68" t="s">
        <v>109</v>
      </c>
      <c r="S93" s="68" t="s">
        <v>130</v>
      </c>
      <c r="T93" s="68">
        <v>3128963910</v>
      </c>
      <c r="U93" s="68" t="s">
        <v>322</v>
      </c>
      <c r="V93" s="75" t="str">
        <f>IF(P93=CURSOS!$D$3,"DIPLOMADO EN ATENCION PRE-HOSPITALARIA",IF(P93=CURSOS!$D$4,"ACOMPAÑAMIENTO Y MANEJO DEL DUELO",IF(P93=CURSOS!$D$5,"ATENCION A VICTIMAS DE ATAQUE CON AGENTES QUIMICOS ",IF(P93=CURSOS!$D$6,"PRIMEROS AUXILIOS ",IF(P93=CURSOS!$D$7,"DIPLOMADO DE UNIDAD DE CUIDADOS INTENSIVOS (UCI)",IF(P93=CURSOS!$D$8,"MODELO DE ATENCION PARA EVENTOS EMERGENTES EN SALUD MENTAL (CODIGO VERDE)",IF(P93=CURSOS!$D$9,"HUMANIZACION EN EL SERVICIO DE LA SALUD Y BUENAS PRACTICAS EN PACIENTE ",IF(P93=CURSOS!$D$10,"CLINICA DE HERIDAS ",IF(P93=CURSOS!$D$11,"TOMA DE CITOLOGIA CERVICO VAGINAL ",IF(P93=CURSOS!$D$12,"SOPORTE CARDIOVASCULAR AVANZADO (ACLS) ",IF(P93=CURSOS!$D$13,"CAMILLERO ",IF(P93=CURSOS!$D$14,"TOMA DE MUESTRAS Y LABORATORIO ",IF(P93=CURSOS!$D$15,"SOPORTE VITAL BASICO (BLS)",IF(P93=CURSOS!$D$16,"ATENCION A VICTIMAS DE VIOLENCIA SEXUAL ",IF(P93=CURSOS!$D$17,"PROGRAMADO AMPLIADO DE INMUNIZACION (PAI - COVID 19)",IF(P93=CURSOS!$D$18,"ATENCION INTEGRAL EN ENFERMEDADES PREVALENTES EN PRIMERA INFANCIA (AIEPI)",IF(P93=CURSOS!$D$19,"ADMINISTRACION DE MEDICAMENTOS, INYECTOLOGIA  Y CANALIZACION ",IF(P93=CURSOS!$D$20,"OPERADOR DE VEHICULOS DE EMERGENCIA (OVE)",IF(P93=CURSOS!$D$21,"INSTITUCIONES AMIGAS DE LA MUJER Y LA INFANCIA (IAMI)",IF(P93=CURSOS!$D$22,"CUIDADO DEL DONANTE DE ORGANOS",IF(P93=CURSOS!$D$23,"ATENCION A VICTIMAS POR VIOLENCIA DE GENERO",IF(P93=CURSOS!$D$24,"IGUALDAD DE GENERO EN LA SALUD",IF(P93=CURSOS!$D$25,"BRIGADA DE EMERGENCIA",IF(P93=CURSOS!$D$26,"MANEJO DEL DOLOR Y CUIDADOS PALIATIVOS",IF(P93=CURSOS!$D$27,"TOMA DE MUESTRAS Y LABORATORIO POCT",IF(P93=CURSOS!$D$28,"IMPLANTE SUBDERMICO DE DISPOSITIVO INTRAUTERINO",IF(P93=CURSOS!$D$29,"SALUD MENTAL",IF(P93=CURSOS!$D$30,"PRIMEROS AUXILIOS PSICOLOGICOS",IF(P93=CURSOS!$D$31,"ATENCION A VICTIMAS POR CONFLICTO ARMADO",IF(P93=CURSOS!$D$32,"MANIPULACION DE ALIMENTOS Y BPM",IF(P93=CURSOS!$D$33,"ATENCION A PERSONAS CON DISCAPACIDAD",IF(P93=CURSOS!$D$34,"CUIDADO INTEGRAL DEL PACIENTE ADULTO",IF(P93=CURSOS!$D$35,"MANEJO DEFENSIVO",IF(P93=CURSOS!$D$36,"SOPORTE CARDIOVASCULAR AVANZADO NEONATAL",IF(P93=CURSOS!$D$37,"SEGURIDAD DEL PACIENTE",IF(P93=CURSOS!$D$38,"MANEJO DE RESIDUOS HOSPITALARIOS",IF(P93=CURSOS!$D$39,"ATENCION DE PACIENTE POR CONSUMO SUSTANCIAS PSICOACTIVAS Y ADICCIONES")))))))))))))))))))))))))))))))))))))</f>
        <v xml:space="preserve">ATENCION A VICTIMAS DE VIOLENCIA SEXUAL </v>
      </c>
      <c r="W93" s="75" t="str">
        <f t="shared" si="3"/>
        <v>Luisa Alexandra Andrade Mora</v>
      </c>
      <c r="X93" s="75" t="str">
        <f t="shared" si="4"/>
        <v>Luisa Alexandra Andrade Mora</v>
      </c>
      <c r="Y93" s="75" t="str">
        <f t="shared" si="5"/>
        <v>Luisa Alexandra Andrade Mora-1087417050-VIOLENCIA SEXUAL</v>
      </c>
    </row>
    <row r="94" spans="1:25" s="97" customFormat="1" x14ac:dyDescent="0.2">
      <c r="A94" s="67">
        <v>93</v>
      </c>
      <c r="B94" s="68">
        <v>1087417050</v>
      </c>
      <c r="C94" s="68" t="s">
        <v>203</v>
      </c>
      <c r="D94" s="68" t="s">
        <v>179</v>
      </c>
      <c r="E94" s="68" t="s">
        <v>321</v>
      </c>
      <c r="F94" s="68" t="s">
        <v>205</v>
      </c>
      <c r="G94" s="68">
        <v>19</v>
      </c>
      <c r="H94" s="68" t="s">
        <v>100</v>
      </c>
      <c r="I94" s="68" t="s">
        <v>129</v>
      </c>
      <c r="J94" s="69" t="s">
        <v>148</v>
      </c>
      <c r="K94" s="70">
        <v>45828</v>
      </c>
      <c r="L94" s="71">
        <v>28000</v>
      </c>
      <c r="M94" s="68" t="s">
        <v>123</v>
      </c>
      <c r="N94" s="68" t="s">
        <v>207</v>
      </c>
      <c r="O94" s="68" t="s">
        <v>149</v>
      </c>
      <c r="P94" s="72" t="s">
        <v>25</v>
      </c>
      <c r="Q94" s="69">
        <v>33595</v>
      </c>
      <c r="R94" s="68" t="s">
        <v>109</v>
      </c>
      <c r="S94" s="68" t="s">
        <v>130</v>
      </c>
      <c r="T94" s="68">
        <v>3128963910</v>
      </c>
      <c r="U94" s="68" t="s">
        <v>322</v>
      </c>
      <c r="V94" s="75" t="str">
        <f>IF(P94=CURSOS!$D$3,"DIPLOMADO EN ATENCION PRE-HOSPITALARIA",IF(P94=CURSOS!$D$4,"ACOMPAÑAMIENTO Y MANEJO DEL DUELO",IF(P94=CURSOS!$D$5,"ATENCION A VICTIMAS DE ATAQUE CON AGENTES QUIMICOS ",IF(P94=CURSOS!$D$6,"PRIMEROS AUXILIOS ",IF(P94=CURSOS!$D$7,"DIPLOMADO DE UNIDAD DE CUIDADOS INTENSIVOS (UCI)",IF(P94=CURSOS!$D$8,"MODELO DE ATENCION PARA EVENTOS EMERGENTES EN SALUD MENTAL (CODIGO VERDE)",IF(P94=CURSOS!$D$9,"HUMANIZACION EN EL SERVICIO DE LA SALUD Y BUENAS PRACTICAS EN PACIENTE ",IF(P94=CURSOS!$D$10,"CLINICA DE HERIDAS ",IF(P94=CURSOS!$D$11,"TOMA DE CITOLOGIA CERVICO VAGINAL ",IF(P94=CURSOS!$D$12,"SOPORTE CARDIOVASCULAR AVANZADO (ACLS) ",IF(P94=CURSOS!$D$13,"CAMILLERO ",IF(P94=CURSOS!$D$14,"TOMA DE MUESTRAS Y LABORATORIO ",IF(P94=CURSOS!$D$15,"SOPORTE VITAL BASICO (BLS)",IF(P94=CURSOS!$D$16,"ATENCION A VICTIMAS DE VIOLENCIA SEXUAL ",IF(P94=CURSOS!$D$17,"PROGRAMADO AMPLIADO DE INMUNIZACION (PAI - COVID 19)",IF(P94=CURSOS!$D$18,"ATENCION INTEGRAL EN ENFERMEDADES PREVALENTES EN PRIMERA INFANCIA (AIEPI)",IF(P94=CURSOS!$D$19,"ADMINISTRACION DE MEDICAMENTOS, INYECTOLOGIA  Y CANALIZACION ",IF(P94=CURSOS!$D$20,"OPERADOR DE VEHICULOS DE EMERGENCIA (OVE)",IF(P94=CURSOS!$D$21,"INSTITUCIONES AMIGAS DE LA MUJER Y LA INFANCIA (IAMI)",IF(P94=CURSOS!$D$22,"CUIDADO DEL DONANTE DE ORGANOS",IF(P94=CURSOS!$D$23,"ATENCION A VICTIMAS POR VIOLENCIA DE GENERO",IF(P94=CURSOS!$D$24,"IGUALDAD DE GENERO EN LA SALUD",IF(P94=CURSOS!$D$25,"BRIGADA DE EMERGENCIA",IF(P94=CURSOS!$D$26,"MANEJO DEL DOLOR Y CUIDADOS PALIATIVOS",IF(P94=CURSOS!$D$27,"TOMA DE MUESTRAS Y LABORATORIO POCT",IF(P94=CURSOS!$D$28,"IMPLANTE SUBDERMICO DE DISPOSITIVO INTRAUTERINO",IF(P94=CURSOS!$D$29,"SALUD MENTAL",IF(P94=CURSOS!$D$30,"PRIMEROS AUXILIOS PSICOLOGICOS",IF(P94=CURSOS!$D$31,"ATENCION A VICTIMAS POR CONFLICTO ARMADO",IF(P94=CURSOS!$D$32,"MANIPULACION DE ALIMENTOS Y BPM",IF(P94=CURSOS!$D$33,"ATENCION A PERSONAS CON DISCAPACIDAD",IF(P94=CURSOS!$D$34,"CUIDADO INTEGRAL DEL PACIENTE ADULTO",IF(P94=CURSOS!$D$35,"MANEJO DEFENSIVO",IF(P94=CURSOS!$D$36,"SOPORTE CARDIOVASCULAR AVANZADO NEONATAL",IF(P94=CURSOS!$D$37,"SEGURIDAD DEL PACIENTE",IF(P94=CURSOS!$D$38,"MANEJO DE RESIDUOS HOSPITALARIOS",IF(P94=CURSOS!$D$39,"ATENCION DE PACIENTE POR CONSUMO SUSTANCIAS PSICOACTIVAS Y ADICCIONES")))))))))))))))))))))))))))))))))))))</f>
        <v xml:space="preserve">ATENCION A VICTIMAS DE ATAQUE CON AGENTES QUIMICOS </v>
      </c>
      <c r="W94" s="75" t="str">
        <f t="shared" si="3"/>
        <v>Luisa Alexandra Andrade Mora</v>
      </c>
      <c r="X94" s="75" t="str">
        <f t="shared" si="4"/>
        <v>Luisa Alexandra Andrade Mora</v>
      </c>
      <c r="Y94" s="75" t="str">
        <f t="shared" si="5"/>
        <v>Luisa Alexandra Andrade Mora-1087417050-QUIMICOS</v>
      </c>
    </row>
    <row r="95" spans="1:25" s="97" customFormat="1" x14ac:dyDescent="0.2">
      <c r="A95" s="67">
        <v>94</v>
      </c>
      <c r="B95" s="72">
        <v>98383105</v>
      </c>
      <c r="C95" s="68" t="s">
        <v>118</v>
      </c>
      <c r="D95" s="68" t="s">
        <v>323</v>
      </c>
      <c r="E95" s="68" t="s">
        <v>324</v>
      </c>
      <c r="F95" s="68" t="s">
        <v>325</v>
      </c>
      <c r="G95" s="68">
        <v>18</v>
      </c>
      <c r="H95" s="68" t="s">
        <v>100</v>
      </c>
      <c r="I95" s="68" t="s">
        <v>129</v>
      </c>
      <c r="J95" s="69" t="s">
        <v>148</v>
      </c>
      <c r="K95" s="70">
        <v>45828</v>
      </c>
      <c r="L95" s="86">
        <v>32000</v>
      </c>
      <c r="M95" s="68" t="s">
        <v>123</v>
      </c>
      <c r="N95" s="68" t="s">
        <v>207</v>
      </c>
      <c r="O95" s="68" t="s">
        <v>326</v>
      </c>
      <c r="P95" s="72" t="s">
        <v>26</v>
      </c>
      <c r="Q95" s="69"/>
      <c r="R95" s="68"/>
      <c r="S95" s="85"/>
      <c r="T95" s="68"/>
      <c r="U95" s="68"/>
      <c r="V95" s="75" t="str">
        <f>IF(P95=CURSOS!$D$3,"DIPLOMADO EN ATENCION PRE-HOSPITALARIA",IF(P95=CURSOS!$D$4,"ACOMPAÑAMIENTO Y MANEJO DEL DUELO",IF(P95=CURSOS!$D$5,"ATENCION A VICTIMAS DE ATAQUE CON AGENTES QUIMICOS ",IF(P95=CURSOS!$D$6,"PRIMEROS AUXILIOS ",IF(P95=CURSOS!$D$7,"DIPLOMADO DE UNIDAD DE CUIDADOS INTENSIVOS (UCI)",IF(P95=CURSOS!$D$8,"MODELO DE ATENCION PARA EVENTOS EMERGENTES EN SALUD MENTAL (CODIGO VERDE)",IF(P95=CURSOS!$D$9,"HUMANIZACION EN EL SERVICIO DE LA SALUD Y BUENAS PRACTICAS EN PACIENTE ",IF(P95=CURSOS!$D$10,"CLINICA DE HERIDAS ",IF(P95=CURSOS!$D$11,"TOMA DE CITOLOGIA CERVICO VAGINAL ",IF(P95=CURSOS!$D$12,"SOPORTE CARDIOVASCULAR AVANZADO (ACLS) ",IF(P95=CURSOS!$D$13,"CAMILLERO ",IF(P95=CURSOS!$D$14,"TOMA DE MUESTRAS Y LABORATORIO ",IF(P95=CURSOS!$D$15,"SOPORTE VITAL BASICO (BLS)",IF(P95=CURSOS!$D$16,"ATENCION A VICTIMAS DE VIOLENCIA SEXUAL ",IF(P95=CURSOS!$D$17,"PROGRAMADO AMPLIADO DE INMUNIZACION (PAI - COVID 19)",IF(P95=CURSOS!$D$18,"ATENCION INTEGRAL EN ENFERMEDADES PREVALENTES EN PRIMERA INFANCIA (AIEPI)",IF(P95=CURSOS!$D$19,"ADMINISTRACION DE MEDICAMENTOS, INYECTOLOGIA  Y CANALIZACION ",IF(P95=CURSOS!$D$20,"OPERADOR DE VEHICULOS DE EMERGENCIA (OVE)",IF(P95=CURSOS!$D$21,"INSTITUCIONES AMIGAS DE LA MUJER Y LA INFANCIA (IAMI)",IF(P95=CURSOS!$D$22,"CUIDADO DEL DONANTE DE ORGANOS",IF(P95=CURSOS!$D$23,"ATENCION A VICTIMAS POR VIOLENCIA DE GENERO",IF(P95=CURSOS!$D$24,"IGUALDAD DE GENERO EN LA SALUD",IF(P95=CURSOS!$D$25,"BRIGADA DE EMERGENCIA",IF(P95=CURSOS!$D$26,"MANEJO DEL DOLOR Y CUIDADOS PALIATIVOS",IF(P95=CURSOS!$D$27,"TOMA DE MUESTRAS Y LABORATORIO POCT",IF(P95=CURSOS!$D$28,"IMPLANTE SUBDERMICO DE DISPOSITIVO INTRAUTERINO",IF(P95=CURSOS!$D$29,"SALUD MENTAL",IF(P95=CURSOS!$D$30,"PRIMEROS AUXILIOS PSICOLOGICOS",IF(P95=CURSOS!$D$31,"ATENCION A VICTIMAS POR CONFLICTO ARMADO",IF(P95=CURSOS!$D$32,"MANIPULACION DE ALIMENTOS Y BPM",IF(P95=CURSOS!$D$33,"ATENCION A PERSONAS CON DISCAPACIDAD",IF(P95=CURSOS!$D$34,"CUIDADO INTEGRAL DEL PACIENTE ADULTO",IF(P95=CURSOS!$D$35,"MANEJO DEFENSIVO",IF(P95=CURSOS!$D$36,"SOPORTE CARDIOVASCULAR AVANZADO NEONATAL",IF(P95=CURSOS!$D$37,"SEGURIDAD DEL PACIENTE",IF(P95=CURSOS!$D$38,"MANEJO DE RESIDUOS HOSPITALARIOS",IF(P95=CURSOS!$D$39,"ATENCION DE PACIENTE POR CONSUMO SUSTANCIAS PSICOACTIVAS Y ADICCIONES")))))))))))))))))))))))))))))))))))))</f>
        <v xml:space="preserve">PRIMEROS AUXILIOS </v>
      </c>
      <c r="W95" s="75" t="str">
        <f t="shared" si="3"/>
        <v>German Ricardo Garcia Melo</v>
      </c>
      <c r="X95" s="75" t="str">
        <f t="shared" si="4"/>
        <v>German Ricardo Garcia Melo</v>
      </c>
      <c r="Y95" s="75" t="str">
        <f t="shared" si="5"/>
        <v>German Ricardo Garcia Melo-98383105-PRIMEROS AUXILIOS</v>
      </c>
    </row>
    <row r="96" spans="1:25" s="97" customFormat="1" x14ac:dyDescent="0.2">
      <c r="A96" s="67">
        <v>95</v>
      </c>
      <c r="B96" s="72">
        <v>13072732</v>
      </c>
      <c r="C96" s="68" t="s">
        <v>327</v>
      </c>
      <c r="D96" s="68" t="s">
        <v>104</v>
      </c>
      <c r="E96" s="68" t="s">
        <v>328</v>
      </c>
      <c r="F96" s="68" t="s">
        <v>242</v>
      </c>
      <c r="G96" s="68">
        <v>18</v>
      </c>
      <c r="H96" s="68" t="s">
        <v>100</v>
      </c>
      <c r="I96" s="68" t="s">
        <v>129</v>
      </c>
      <c r="J96" s="69" t="s">
        <v>148</v>
      </c>
      <c r="K96" s="70">
        <v>45828</v>
      </c>
      <c r="L96" s="86">
        <v>32000</v>
      </c>
      <c r="M96" s="68" t="s">
        <v>123</v>
      </c>
      <c r="N96" s="68" t="s">
        <v>207</v>
      </c>
      <c r="O96" s="68" t="s">
        <v>326</v>
      </c>
      <c r="P96" s="72" t="s">
        <v>26</v>
      </c>
      <c r="Q96" s="69"/>
      <c r="R96" s="68"/>
      <c r="S96" s="85"/>
      <c r="T96" s="68"/>
      <c r="U96" s="68"/>
      <c r="V96" s="75" t="str">
        <f>IF(P96=CURSOS!$D$3,"DIPLOMADO EN ATENCION PRE-HOSPITALARIA",IF(P96=CURSOS!$D$4,"ACOMPAÑAMIENTO Y MANEJO DEL DUELO",IF(P96=CURSOS!$D$5,"ATENCION A VICTIMAS DE ATAQUE CON AGENTES QUIMICOS ",IF(P96=CURSOS!$D$6,"PRIMEROS AUXILIOS ",IF(P96=CURSOS!$D$7,"DIPLOMADO DE UNIDAD DE CUIDADOS INTENSIVOS (UCI)",IF(P96=CURSOS!$D$8,"MODELO DE ATENCION PARA EVENTOS EMERGENTES EN SALUD MENTAL (CODIGO VERDE)",IF(P96=CURSOS!$D$9,"HUMANIZACION EN EL SERVICIO DE LA SALUD Y BUENAS PRACTICAS EN PACIENTE ",IF(P96=CURSOS!$D$10,"CLINICA DE HERIDAS ",IF(P96=CURSOS!$D$11,"TOMA DE CITOLOGIA CERVICO VAGINAL ",IF(P96=CURSOS!$D$12,"SOPORTE CARDIOVASCULAR AVANZADO (ACLS) ",IF(P96=CURSOS!$D$13,"CAMILLERO ",IF(P96=CURSOS!$D$14,"TOMA DE MUESTRAS Y LABORATORIO ",IF(P96=CURSOS!$D$15,"SOPORTE VITAL BASICO (BLS)",IF(P96=CURSOS!$D$16,"ATENCION A VICTIMAS DE VIOLENCIA SEXUAL ",IF(P96=CURSOS!$D$17,"PROGRAMADO AMPLIADO DE INMUNIZACION (PAI - COVID 19)",IF(P96=CURSOS!$D$18,"ATENCION INTEGRAL EN ENFERMEDADES PREVALENTES EN PRIMERA INFANCIA (AIEPI)",IF(P96=CURSOS!$D$19,"ADMINISTRACION DE MEDICAMENTOS, INYECTOLOGIA  Y CANALIZACION ",IF(P96=CURSOS!$D$20,"OPERADOR DE VEHICULOS DE EMERGENCIA (OVE)",IF(P96=CURSOS!$D$21,"INSTITUCIONES AMIGAS DE LA MUJER Y LA INFANCIA (IAMI)",IF(P96=CURSOS!$D$22,"CUIDADO DEL DONANTE DE ORGANOS",IF(P96=CURSOS!$D$23,"ATENCION A VICTIMAS POR VIOLENCIA DE GENERO",IF(P96=CURSOS!$D$24,"IGUALDAD DE GENERO EN LA SALUD",IF(P96=CURSOS!$D$25,"BRIGADA DE EMERGENCIA",IF(P96=CURSOS!$D$26,"MANEJO DEL DOLOR Y CUIDADOS PALIATIVOS",IF(P96=CURSOS!$D$27,"TOMA DE MUESTRAS Y LABORATORIO POCT",IF(P96=CURSOS!$D$28,"IMPLANTE SUBDERMICO DE DISPOSITIVO INTRAUTERINO",IF(P96=CURSOS!$D$29,"SALUD MENTAL",IF(P96=CURSOS!$D$30,"PRIMEROS AUXILIOS PSICOLOGICOS",IF(P96=CURSOS!$D$31,"ATENCION A VICTIMAS POR CONFLICTO ARMADO",IF(P96=CURSOS!$D$32,"MANIPULACION DE ALIMENTOS Y BPM",IF(P96=CURSOS!$D$33,"ATENCION A PERSONAS CON DISCAPACIDAD",IF(P96=CURSOS!$D$34,"CUIDADO INTEGRAL DEL PACIENTE ADULTO",IF(P96=CURSOS!$D$35,"MANEJO DEFENSIVO",IF(P96=CURSOS!$D$36,"SOPORTE CARDIOVASCULAR AVANZADO NEONATAL",IF(P96=CURSOS!$D$37,"SEGURIDAD DEL PACIENTE",IF(P96=CURSOS!$D$38,"MANEJO DE RESIDUOS HOSPITALARIOS",IF(P96=CURSOS!$D$39,"ATENCION DE PACIENTE POR CONSUMO SUSTANCIAS PSICOACTIVAS Y ADICCIONES")))))))))))))))))))))))))))))))))))))</f>
        <v xml:space="preserve">PRIMEROS AUXILIOS </v>
      </c>
      <c r="W96" s="75" t="str">
        <f t="shared" si="3"/>
        <v>Francisco Alexander Guerrero Enriquez</v>
      </c>
      <c r="X96" s="75" t="str">
        <f t="shared" si="4"/>
        <v>Francisco Alexander Guerrero Enriquez</v>
      </c>
      <c r="Y96" s="75" t="str">
        <f t="shared" si="5"/>
        <v>Francisco Alexander Guerrero Enriquez-13072732-PRIMEROS AUXILIOS</v>
      </c>
    </row>
    <row r="97" spans="1:25" s="97" customFormat="1" x14ac:dyDescent="0.2">
      <c r="A97" s="67">
        <v>96</v>
      </c>
      <c r="B97" s="68">
        <v>1088733829</v>
      </c>
      <c r="C97" s="68" t="s">
        <v>329</v>
      </c>
      <c r="D97" s="68" t="s">
        <v>169</v>
      </c>
      <c r="E97" s="68" t="s">
        <v>330</v>
      </c>
      <c r="F97" s="68" t="s">
        <v>331</v>
      </c>
      <c r="G97" s="68">
        <v>20</v>
      </c>
      <c r="H97" s="68" t="s">
        <v>100</v>
      </c>
      <c r="I97" s="68" t="s">
        <v>129</v>
      </c>
      <c r="J97" s="69" t="s">
        <v>148</v>
      </c>
      <c r="K97" s="70">
        <v>45828</v>
      </c>
      <c r="L97" s="71">
        <v>28000</v>
      </c>
      <c r="M97" s="68" t="s">
        <v>123</v>
      </c>
      <c r="N97" s="68" t="s">
        <v>207</v>
      </c>
      <c r="O97" s="94" t="s">
        <v>149</v>
      </c>
      <c r="P97" s="72" t="s">
        <v>59</v>
      </c>
      <c r="Q97" s="69">
        <v>33186</v>
      </c>
      <c r="R97" s="68" t="s">
        <v>141</v>
      </c>
      <c r="S97" s="77" t="s">
        <v>156</v>
      </c>
      <c r="T97" s="68">
        <v>3165738387</v>
      </c>
      <c r="U97" s="68" t="s">
        <v>332</v>
      </c>
      <c r="V97" s="75" t="str">
        <f>IF(P97=CURSOS!$D$3,"DIPLOMADO EN ATENCION PRE-HOSPITALARIA",IF(P97=CURSOS!$D$4,"ACOMPAÑAMIENTO Y MANEJO DEL DUELO",IF(P97=CURSOS!$D$5,"ATENCION A VICTIMAS DE ATAQUE CON AGENTES QUIMICOS ",IF(P97=CURSOS!$D$6,"PRIMEROS AUXILIOS ",IF(P97=CURSOS!$D$7,"DIPLOMADO DE UNIDAD DE CUIDADOS INTENSIVOS (UCI)",IF(P97=CURSOS!$D$8,"MODELO DE ATENCION PARA EVENTOS EMERGENTES EN SALUD MENTAL (CODIGO VERDE)",IF(P97=CURSOS!$D$9,"HUMANIZACION EN EL SERVICIO DE LA SALUD Y BUENAS PRACTICAS EN PACIENTE ",IF(P97=CURSOS!$D$10,"CLINICA DE HERIDAS ",IF(P97=CURSOS!$D$11,"TOMA DE CITOLOGIA CERVICO VAGINAL ",IF(P97=CURSOS!$D$12,"SOPORTE CARDIOVASCULAR AVANZADO (ACLS) ",IF(P97=CURSOS!$D$13,"CAMILLERO ",IF(P97=CURSOS!$D$14,"TOMA DE MUESTRAS Y LABORATORIO ",IF(P97=CURSOS!$D$15,"SOPORTE VITAL BASICO (BLS)",IF(P97=CURSOS!$D$16,"ATENCION A VICTIMAS DE VIOLENCIA SEXUAL ",IF(P97=CURSOS!$D$17,"PROGRAMADO AMPLIADO DE INMUNIZACION (PAI - COVID 19)",IF(P97=CURSOS!$D$18,"ATENCION INTEGRAL EN ENFERMEDADES PREVALENTES EN PRIMERA INFANCIA (AIEPI)",IF(P97=CURSOS!$D$19,"ADMINISTRACION DE MEDICAMENTOS, INYECTOLOGIA  Y CANALIZACION ",IF(P97=CURSOS!$D$20,"OPERADOR DE VEHICULOS DE EMERGENCIA (OVE)",IF(P97=CURSOS!$D$21,"INSTITUCIONES AMIGAS DE LA MUJER Y LA INFANCIA (IAMI)",IF(P97=CURSOS!$D$22,"CUIDADO DEL DONANTE DE ORGANOS",IF(P97=CURSOS!$D$23,"ATENCION A VICTIMAS POR VIOLENCIA DE GENERO",IF(P97=CURSOS!$D$24,"IGUALDAD DE GENERO EN LA SALUD",IF(P97=CURSOS!$D$25,"BRIGADA DE EMERGENCIA",IF(P97=CURSOS!$D$26,"MANEJO DEL DOLOR Y CUIDADOS PALIATIVOS",IF(P97=CURSOS!$D$27,"TOMA DE MUESTRAS Y LABORATORIO POCT",IF(P97=CURSOS!$D$28,"IMPLANTE SUBDERMICO DE DISPOSITIVO INTRAUTERINO",IF(P97=CURSOS!$D$29,"SALUD MENTAL",IF(P97=CURSOS!$D$30,"PRIMEROS AUXILIOS PSICOLOGICOS",IF(P97=CURSOS!$D$31,"ATENCION A VICTIMAS POR CONFLICTO ARMADO",IF(P97=CURSOS!$D$32,"MANIPULACION DE ALIMENTOS Y BPM",IF(P97=CURSOS!$D$33,"ATENCION A PERSONAS CON DISCAPACIDAD",IF(P97=CURSOS!$D$34,"CUIDADO INTEGRAL DEL PACIENTE ADULTO",IF(P97=CURSOS!$D$35,"MANEJO DEFENSIVO",IF(P97=CURSOS!$D$36,"SOPORTE CARDIOVASCULAR AVANZADO NEONATAL",IF(P97=CURSOS!$D$37,"SEGURIDAD DEL PACIENTE",IF(P97=CURSOS!$D$38,"MANEJO DE RESIDUOS HOSPITALARIOS",IF(P97=CURSOS!$D$39,"ATENCION DE PACIENTE POR CONSUMO SUSTANCIAS PSICOACTIVAS Y ADICCIONES")))))))))))))))))))))))))))))))))))))</f>
        <v>TOMA DE MUESTRAS Y LABORATORIO POCT</v>
      </c>
      <c r="W97" s="75" t="str">
        <f t="shared" si="3"/>
        <v>Andres Geovanny Obando Benavides</v>
      </c>
      <c r="X97" s="75" t="str">
        <f t="shared" si="4"/>
        <v>Andres Geovanny Obando Benavides</v>
      </c>
      <c r="Y97" s="75" t="str">
        <f t="shared" si="5"/>
        <v>Andres Geovanny Obando Benavides-1088733829-POCT</v>
      </c>
    </row>
    <row r="98" spans="1:25" s="97" customFormat="1" x14ac:dyDescent="0.2">
      <c r="A98" s="67">
        <v>97</v>
      </c>
      <c r="B98" s="68">
        <v>1088733829</v>
      </c>
      <c r="C98" s="68" t="s">
        <v>329</v>
      </c>
      <c r="D98" s="68" t="s">
        <v>169</v>
      </c>
      <c r="E98" s="68" t="s">
        <v>330</v>
      </c>
      <c r="F98" s="68" t="s">
        <v>331</v>
      </c>
      <c r="G98" s="68">
        <v>19</v>
      </c>
      <c r="H98" s="68" t="s">
        <v>100</v>
      </c>
      <c r="I98" s="68" t="s">
        <v>129</v>
      </c>
      <c r="J98" s="69" t="s">
        <v>148</v>
      </c>
      <c r="K98" s="70">
        <v>45828</v>
      </c>
      <c r="L98" s="71">
        <v>28000</v>
      </c>
      <c r="M98" s="68" t="s">
        <v>123</v>
      </c>
      <c r="N98" s="68" t="s">
        <v>207</v>
      </c>
      <c r="O98" s="94" t="s">
        <v>149</v>
      </c>
      <c r="P98" s="72" t="s">
        <v>52</v>
      </c>
      <c r="Q98" s="69">
        <v>33186</v>
      </c>
      <c r="R98" s="68" t="s">
        <v>141</v>
      </c>
      <c r="S98" s="77" t="s">
        <v>156</v>
      </c>
      <c r="T98" s="68">
        <v>3165738387</v>
      </c>
      <c r="U98" s="68" t="s">
        <v>332</v>
      </c>
      <c r="V98" s="75" t="str">
        <f>IF(P98=CURSOS!$D$3,"DIPLOMADO EN ATENCION PRE-HOSPITALARIA",IF(P98=CURSOS!$D$4,"ACOMPAÑAMIENTO Y MANEJO DEL DUELO",IF(P98=CURSOS!$D$5,"ATENCION A VICTIMAS DE ATAQUE CON AGENTES QUIMICOS ",IF(P98=CURSOS!$D$6,"PRIMEROS AUXILIOS ",IF(P98=CURSOS!$D$7,"DIPLOMADO DE UNIDAD DE CUIDADOS INTENSIVOS (UCI)",IF(P98=CURSOS!$D$8,"MODELO DE ATENCION PARA EVENTOS EMERGENTES EN SALUD MENTAL (CODIGO VERDE)",IF(P98=CURSOS!$D$9,"HUMANIZACION EN EL SERVICIO DE LA SALUD Y BUENAS PRACTICAS EN PACIENTE ",IF(P98=CURSOS!$D$10,"CLINICA DE HERIDAS ",IF(P98=CURSOS!$D$11,"TOMA DE CITOLOGIA CERVICO VAGINAL ",IF(P98=CURSOS!$D$12,"SOPORTE CARDIOVASCULAR AVANZADO (ACLS) ",IF(P98=CURSOS!$D$13,"CAMILLERO ",IF(P98=CURSOS!$D$14,"TOMA DE MUESTRAS Y LABORATORIO ",IF(P98=CURSOS!$D$15,"SOPORTE VITAL BASICO (BLS)",IF(P98=CURSOS!$D$16,"ATENCION A VICTIMAS DE VIOLENCIA SEXUAL ",IF(P98=CURSOS!$D$17,"PROGRAMADO AMPLIADO DE INMUNIZACION (PAI - COVID 19)",IF(P98=CURSOS!$D$18,"ATENCION INTEGRAL EN ENFERMEDADES PREVALENTES EN PRIMERA INFANCIA (AIEPI)",IF(P98=CURSOS!$D$19,"ADMINISTRACION DE MEDICAMENTOS, INYECTOLOGIA  Y CANALIZACION ",IF(P98=CURSOS!$D$20,"OPERADOR DE VEHICULOS DE EMERGENCIA (OVE)",IF(P98=CURSOS!$D$21,"INSTITUCIONES AMIGAS DE LA MUJER Y LA INFANCIA (IAMI)",IF(P98=CURSOS!$D$22,"CUIDADO DEL DONANTE DE ORGANOS",IF(P98=CURSOS!$D$23,"ATENCION A VICTIMAS POR VIOLENCIA DE GENERO",IF(P98=CURSOS!$D$24,"IGUALDAD DE GENERO EN LA SALUD",IF(P98=CURSOS!$D$25,"BRIGADA DE EMERGENCIA",IF(P98=CURSOS!$D$26,"MANEJO DEL DOLOR Y CUIDADOS PALIATIVOS",IF(P98=CURSOS!$D$27,"TOMA DE MUESTRAS Y LABORATORIO POCT",IF(P98=CURSOS!$D$28,"IMPLANTE SUBDERMICO DE DISPOSITIVO INTRAUTERINO",IF(P98=CURSOS!$D$29,"SALUD MENTAL",IF(P98=CURSOS!$D$30,"PRIMEROS AUXILIOS PSICOLOGICOS",IF(P98=CURSOS!$D$31,"ATENCION A VICTIMAS POR CONFLICTO ARMADO",IF(P98=CURSOS!$D$32,"MANIPULACION DE ALIMENTOS Y BPM",IF(P98=CURSOS!$D$33,"ATENCION A PERSONAS CON DISCAPACIDAD",IF(P98=CURSOS!$D$34,"CUIDADO INTEGRAL DEL PACIENTE ADULTO",IF(P98=CURSOS!$D$35,"MANEJO DEFENSIVO",IF(P98=CURSOS!$D$36,"SOPORTE CARDIOVASCULAR AVANZADO NEONATAL",IF(P98=CURSOS!$D$37,"SEGURIDAD DEL PACIENTE",IF(P98=CURSOS!$D$38,"MANEJO DE RESIDUOS HOSPITALARIOS",IF(P98=CURSOS!$D$39,"ATENCION DE PACIENTE POR CONSUMO SUSTANCIAS PSICOACTIVAS Y ADICCIONES")))))))))))))))))))))))))))))))))))))</f>
        <v>ATENCION A VICTIMAS POR VIOLENCIA DE GENERO</v>
      </c>
      <c r="W98" s="75" t="str">
        <f t="shared" si="3"/>
        <v>Andres Geovanny Obando Benavides</v>
      </c>
      <c r="X98" s="75" t="str">
        <f t="shared" si="4"/>
        <v>Andres Geovanny Obando Benavides</v>
      </c>
      <c r="Y98" s="75" t="str">
        <f t="shared" si="5"/>
        <v>Andres Geovanny Obando Benavides-1088733829-VIOLENCIA DE GENERO</v>
      </c>
    </row>
    <row r="99" spans="1:25" s="97" customFormat="1" x14ac:dyDescent="0.2">
      <c r="A99" s="67">
        <v>98</v>
      </c>
      <c r="B99" s="68">
        <v>1088733829</v>
      </c>
      <c r="C99" s="68" t="s">
        <v>329</v>
      </c>
      <c r="D99" s="68" t="s">
        <v>169</v>
      </c>
      <c r="E99" s="68" t="s">
        <v>330</v>
      </c>
      <c r="F99" s="68" t="s">
        <v>331</v>
      </c>
      <c r="G99" s="68">
        <v>18</v>
      </c>
      <c r="H99" s="68" t="s">
        <v>100</v>
      </c>
      <c r="I99" s="68" t="s">
        <v>129</v>
      </c>
      <c r="J99" s="69" t="s">
        <v>148</v>
      </c>
      <c r="K99" s="70">
        <v>45828</v>
      </c>
      <c r="L99" s="71">
        <v>28000</v>
      </c>
      <c r="M99" s="68" t="s">
        <v>123</v>
      </c>
      <c r="N99" s="68" t="s">
        <v>207</v>
      </c>
      <c r="O99" s="94" t="s">
        <v>149</v>
      </c>
      <c r="P99" s="72" t="s">
        <v>44</v>
      </c>
      <c r="Q99" s="69">
        <v>33186</v>
      </c>
      <c r="R99" s="68" t="s">
        <v>141</v>
      </c>
      <c r="S99" s="77" t="s">
        <v>156</v>
      </c>
      <c r="T99" s="68">
        <v>3165738387</v>
      </c>
      <c r="U99" s="68" t="s">
        <v>332</v>
      </c>
      <c r="V99" s="75" t="str">
        <f>IF(P99=CURSOS!$D$3,"DIPLOMADO EN ATENCION PRE-HOSPITALARIA",IF(P99=CURSOS!$D$4,"ACOMPAÑAMIENTO Y MANEJO DEL DUELO",IF(P99=CURSOS!$D$5,"ATENCION A VICTIMAS DE ATAQUE CON AGENTES QUIMICOS ",IF(P99=CURSOS!$D$6,"PRIMEROS AUXILIOS ",IF(P99=CURSOS!$D$7,"DIPLOMADO DE UNIDAD DE CUIDADOS INTENSIVOS (UCI)",IF(P99=CURSOS!$D$8,"MODELO DE ATENCION PARA EVENTOS EMERGENTES EN SALUD MENTAL (CODIGO VERDE)",IF(P99=CURSOS!$D$9,"HUMANIZACION EN EL SERVICIO DE LA SALUD Y BUENAS PRACTICAS EN PACIENTE ",IF(P99=CURSOS!$D$10,"CLINICA DE HERIDAS ",IF(P99=CURSOS!$D$11,"TOMA DE CITOLOGIA CERVICO VAGINAL ",IF(P99=CURSOS!$D$12,"SOPORTE CARDIOVASCULAR AVANZADO (ACLS) ",IF(P99=CURSOS!$D$13,"CAMILLERO ",IF(P99=CURSOS!$D$14,"TOMA DE MUESTRAS Y LABORATORIO ",IF(P99=CURSOS!$D$15,"SOPORTE VITAL BASICO (BLS)",IF(P99=CURSOS!$D$16,"ATENCION A VICTIMAS DE VIOLENCIA SEXUAL ",IF(P99=CURSOS!$D$17,"PROGRAMADO AMPLIADO DE INMUNIZACION (PAI - COVID 19)",IF(P99=CURSOS!$D$18,"ATENCION INTEGRAL EN ENFERMEDADES PREVALENTES EN PRIMERA INFANCIA (AIEPI)",IF(P99=CURSOS!$D$19,"ADMINISTRACION DE MEDICAMENTOS, INYECTOLOGIA  Y CANALIZACION ",IF(P99=CURSOS!$D$20,"OPERADOR DE VEHICULOS DE EMERGENCIA (OVE)",IF(P99=CURSOS!$D$21,"INSTITUCIONES AMIGAS DE LA MUJER Y LA INFANCIA (IAMI)",IF(P99=CURSOS!$D$22,"CUIDADO DEL DONANTE DE ORGANOS",IF(P99=CURSOS!$D$23,"ATENCION A VICTIMAS POR VIOLENCIA DE GENERO",IF(P99=CURSOS!$D$24,"IGUALDAD DE GENERO EN LA SALUD",IF(P99=CURSOS!$D$25,"BRIGADA DE EMERGENCIA",IF(P99=CURSOS!$D$26,"MANEJO DEL DOLOR Y CUIDADOS PALIATIVOS",IF(P99=CURSOS!$D$27,"TOMA DE MUESTRAS Y LABORATORIO POCT",IF(P99=CURSOS!$D$28,"IMPLANTE SUBDERMICO DE DISPOSITIVO INTRAUTERINO",IF(P99=CURSOS!$D$29,"SALUD MENTAL",IF(P99=CURSOS!$D$30,"PRIMEROS AUXILIOS PSICOLOGICOS",IF(P99=CURSOS!$D$31,"ATENCION A VICTIMAS POR CONFLICTO ARMADO",IF(P99=CURSOS!$D$32,"MANIPULACION DE ALIMENTOS Y BPM",IF(P99=CURSOS!$D$33,"ATENCION A PERSONAS CON DISCAPACIDAD",IF(P99=CURSOS!$D$34,"CUIDADO INTEGRAL DEL PACIENTE ADULTO",IF(P99=CURSOS!$D$35,"MANEJO DEFENSIVO",IF(P99=CURSOS!$D$36,"SOPORTE CARDIOVASCULAR AVANZADO NEONATAL",IF(P99=CURSOS!$D$37,"SEGURIDAD DEL PACIENTE",IF(P99=CURSOS!$D$38,"MANEJO DE RESIDUOS HOSPITALARIOS",IF(P99=CURSOS!$D$39,"ATENCION DE PACIENTE POR CONSUMO SUSTANCIAS PSICOACTIVAS Y ADICCIONES")))))))))))))))))))))))))))))))))))))</f>
        <v>ATENCION INTEGRAL EN ENFERMEDADES PREVALENTES EN PRIMERA INFANCIA (AIEPI)</v>
      </c>
      <c r="W99" s="75" t="str">
        <f t="shared" ref="W99:W162" si="6">CONCATENATE(E99," ",F99," ",C99," ",D99)</f>
        <v>Andres Geovanny Obando Benavides</v>
      </c>
      <c r="X99" s="75" t="str">
        <f t="shared" ref="X99:X162" si="7">PROPER(W99)</f>
        <v>Andres Geovanny Obando Benavides</v>
      </c>
      <c r="Y99" s="75" t="str">
        <f t="shared" ref="Y99:Y162" si="8">CONCATENATE(W99,"-",B99,"-",P99)</f>
        <v>Andres Geovanny Obando Benavides-1088733829-AIEPI</v>
      </c>
    </row>
    <row r="100" spans="1:25" s="97" customFormat="1" x14ac:dyDescent="0.2">
      <c r="A100" s="67">
        <v>99</v>
      </c>
      <c r="B100" s="68">
        <v>1085303056</v>
      </c>
      <c r="C100" s="68" t="s">
        <v>333</v>
      </c>
      <c r="D100" s="68" t="s">
        <v>334</v>
      </c>
      <c r="E100" s="68" t="s">
        <v>335</v>
      </c>
      <c r="F100" s="68" t="s">
        <v>336</v>
      </c>
      <c r="G100" s="68">
        <v>20</v>
      </c>
      <c r="H100" s="68" t="s">
        <v>100</v>
      </c>
      <c r="I100" s="68" t="s">
        <v>129</v>
      </c>
      <c r="J100" s="69"/>
      <c r="K100" s="70">
        <v>45828</v>
      </c>
      <c r="L100" s="86">
        <v>35000</v>
      </c>
      <c r="M100" s="68" t="s">
        <v>123</v>
      </c>
      <c r="N100" s="68" t="s">
        <v>207</v>
      </c>
      <c r="O100" s="94" t="s">
        <v>108</v>
      </c>
      <c r="P100" s="98" t="s">
        <v>26</v>
      </c>
      <c r="Q100" s="69">
        <v>35106</v>
      </c>
      <c r="R100" s="68" t="s">
        <v>109</v>
      </c>
      <c r="S100" s="68" t="s">
        <v>337</v>
      </c>
      <c r="T100" s="68">
        <v>3213823317</v>
      </c>
      <c r="U100" s="68" t="s">
        <v>338</v>
      </c>
      <c r="V100" s="75" t="str">
        <f>IF(P100=CURSOS!$D$3,"DIPLOMADO EN ATENCION PRE-HOSPITALARIA",IF(P100=CURSOS!$D$4,"ACOMPAÑAMIENTO Y MANEJO DEL DUELO",IF(P100=CURSOS!$D$5,"ATENCION A VICTIMAS DE ATAQUE CON AGENTES QUIMICOS ",IF(P100=CURSOS!$D$6,"PRIMEROS AUXILIOS ",IF(P100=CURSOS!$D$7,"DIPLOMADO DE UNIDAD DE CUIDADOS INTENSIVOS (UCI)",IF(P100=CURSOS!$D$8,"MODELO DE ATENCION PARA EVENTOS EMERGENTES EN SALUD MENTAL (CODIGO VERDE)",IF(P100=CURSOS!$D$9,"HUMANIZACION EN EL SERVICIO DE LA SALUD Y BUENAS PRACTICAS EN PACIENTE ",IF(P100=CURSOS!$D$10,"CLINICA DE HERIDAS ",IF(P100=CURSOS!$D$11,"TOMA DE CITOLOGIA CERVICO VAGINAL ",IF(P100=CURSOS!$D$12,"SOPORTE CARDIOVASCULAR AVANZADO (ACLS) ",IF(P100=CURSOS!$D$13,"CAMILLERO ",IF(P100=CURSOS!$D$14,"TOMA DE MUESTRAS Y LABORATORIO ",IF(P100=CURSOS!$D$15,"SOPORTE VITAL BASICO (BLS)",IF(P100=CURSOS!$D$16,"ATENCION A VICTIMAS DE VIOLENCIA SEXUAL ",IF(P100=CURSOS!$D$17,"PROGRAMADO AMPLIADO DE INMUNIZACION (PAI - COVID 19)",IF(P100=CURSOS!$D$18,"ATENCION INTEGRAL EN ENFERMEDADES PREVALENTES EN PRIMERA INFANCIA (AIEPI)",IF(P100=CURSOS!$D$19,"ADMINISTRACION DE MEDICAMENTOS, INYECTOLOGIA  Y CANALIZACION ",IF(P100=CURSOS!$D$20,"OPERADOR DE VEHICULOS DE EMERGENCIA (OVE)",IF(P100=CURSOS!$D$21,"INSTITUCIONES AMIGAS DE LA MUJER Y LA INFANCIA (IAMI)",IF(P100=CURSOS!$D$22,"CUIDADO DEL DONANTE DE ORGANOS",IF(P100=CURSOS!$D$23,"ATENCION A VICTIMAS POR VIOLENCIA DE GENERO",IF(P100=CURSOS!$D$24,"IGUALDAD DE GENERO EN LA SALUD",IF(P100=CURSOS!$D$25,"BRIGADA DE EMERGENCIA",IF(P100=CURSOS!$D$26,"MANEJO DEL DOLOR Y CUIDADOS PALIATIVOS",IF(P100=CURSOS!$D$27,"TOMA DE MUESTRAS Y LABORATORIO POCT",IF(P100=CURSOS!$D$28,"IMPLANTE SUBDERMICO DE DISPOSITIVO INTRAUTERINO",IF(P100=CURSOS!$D$29,"SALUD MENTAL",IF(P100=CURSOS!$D$30,"PRIMEROS AUXILIOS PSICOLOGICOS",IF(P100=CURSOS!$D$31,"ATENCION A VICTIMAS POR CONFLICTO ARMADO",IF(P100=CURSOS!$D$32,"MANIPULACION DE ALIMENTOS Y BPM",IF(P100=CURSOS!$D$33,"ATENCION A PERSONAS CON DISCAPACIDAD",IF(P100=CURSOS!$D$34,"CUIDADO INTEGRAL DEL PACIENTE ADULTO",IF(P100=CURSOS!$D$35,"MANEJO DEFENSIVO",IF(P100=CURSOS!$D$36,"SOPORTE CARDIOVASCULAR AVANZADO NEONATAL",IF(P100=CURSOS!$D$37,"SEGURIDAD DEL PACIENTE",IF(P100=CURSOS!$D$38,"MANEJO DE RESIDUOS HOSPITALARIOS",IF(P100=CURSOS!$D$39,"ATENCION DE PACIENTE POR CONSUMO SUSTANCIAS PSICOACTIVAS Y ADICCIONES")))))))))))))))))))))))))))))))))))))</f>
        <v xml:space="preserve">PRIMEROS AUXILIOS </v>
      </c>
      <c r="W100" s="75" t="str">
        <f t="shared" si="6"/>
        <v>Yoli Elizabeth Galvis Barrera</v>
      </c>
      <c r="X100" s="75" t="str">
        <f t="shared" si="7"/>
        <v>Yoli Elizabeth Galvis Barrera</v>
      </c>
      <c r="Y100" s="75" t="str">
        <f t="shared" si="8"/>
        <v>Yoli Elizabeth Galvis Barrera-1085303056-PRIMEROS AUXILIOS</v>
      </c>
    </row>
    <row r="101" spans="1:25" s="97" customFormat="1" x14ac:dyDescent="0.2">
      <c r="A101" s="67">
        <v>100</v>
      </c>
      <c r="B101" s="68">
        <v>1085296543</v>
      </c>
      <c r="C101" s="68" t="s">
        <v>339</v>
      </c>
      <c r="D101" s="68" t="s">
        <v>340</v>
      </c>
      <c r="E101" s="68" t="s">
        <v>341</v>
      </c>
      <c r="F101" s="68" t="s">
        <v>342</v>
      </c>
      <c r="G101" s="68">
        <v>19</v>
      </c>
      <c r="H101" s="68" t="s">
        <v>100</v>
      </c>
      <c r="I101" s="68" t="s">
        <v>107</v>
      </c>
      <c r="J101" s="69"/>
      <c r="K101" s="70" t="s">
        <v>344</v>
      </c>
      <c r="L101" s="71" t="s">
        <v>209</v>
      </c>
      <c r="M101" s="68" t="s">
        <v>168</v>
      </c>
      <c r="N101" s="68" t="s">
        <v>207</v>
      </c>
      <c r="O101" s="68" t="s">
        <v>108</v>
      </c>
      <c r="P101" s="72" t="s">
        <v>23</v>
      </c>
      <c r="Q101" s="69">
        <v>33718</v>
      </c>
      <c r="R101" s="68" t="s">
        <v>109</v>
      </c>
      <c r="S101" s="77" t="s">
        <v>188</v>
      </c>
      <c r="T101" s="68">
        <v>3175643588</v>
      </c>
      <c r="U101" s="73" t="s">
        <v>343</v>
      </c>
      <c r="V101" s="75" t="str">
        <f>IF(P101=CURSOS!$D$3,"DIPLOMADO EN ATENCION PRE-HOSPITALARIA",IF(P101=CURSOS!$D$4,"ACOMPAÑAMIENTO Y MANEJO DEL DUELO",IF(P101=CURSOS!$D$5,"ATENCION A VICTIMAS DE ATAQUE CON AGENTES QUIMICOS ",IF(P101=CURSOS!$D$6,"PRIMEROS AUXILIOS ",IF(P101=CURSOS!$D$7,"DIPLOMADO DE UNIDAD DE CUIDADOS INTENSIVOS (UCI)",IF(P101=CURSOS!$D$8,"MODELO DE ATENCION PARA EVENTOS EMERGENTES EN SALUD MENTAL (CODIGO VERDE)",IF(P101=CURSOS!$D$9,"HUMANIZACION EN EL SERVICIO DE LA SALUD Y BUENAS PRACTICAS EN PACIENTE ",IF(P101=CURSOS!$D$10,"CLINICA DE HERIDAS ",IF(P101=CURSOS!$D$11,"TOMA DE CITOLOGIA CERVICO VAGINAL ",IF(P101=CURSOS!$D$12,"SOPORTE CARDIOVASCULAR AVANZADO (ACLS) ",IF(P101=CURSOS!$D$13,"CAMILLERO ",IF(P101=CURSOS!$D$14,"TOMA DE MUESTRAS Y LABORATORIO ",IF(P101=CURSOS!$D$15,"SOPORTE VITAL BASICO (BLS)",IF(P101=CURSOS!$D$16,"ATENCION A VICTIMAS DE VIOLENCIA SEXUAL ",IF(P101=CURSOS!$D$17,"PROGRAMADO AMPLIADO DE INMUNIZACION (PAI - COVID 19)",IF(P101=CURSOS!$D$18,"ATENCION INTEGRAL EN ENFERMEDADES PREVALENTES EN PRIMERA INFANCIA (AIEPI)",IF(P101=CURSOS!$D$19,"ADMINISTRACION DE MEDICAMENTOS, INYECTOLOGIA  Y CANALIZACION ",IF(P101=CURSOS!$D$20,"OPERADOR DE VEHICULOS DE EMERGENCIA (OVE)",IF(P101=CURSOS!$D$21,"INSTITUCIONES AMIGAS DE LA MUJER Y LA INFANCIA (IAMI)",IF(P101=CURSOS!$D$22,"CUIDADO DEL DONANTE DE ORGANOS",IF(P101=CURSOS!$D$23,"ATENCION A VICTIMAS POR VIOLENCIA DE GENERO",IF(P101=CURSOS!$D$24,"IGUALDAD DE GENERO EN LA SALUD",IF(P101=CURSOS!$D$25,"BRIGADA DE EMERGENCIA",IF(P101=CURSOS!$D$26,"MANEJO DEL DOLOR Y CUIDADOS PALIATIVOS",IF(P101=CURSOS!$D$27,"TOMA DE MUESTRAS Y LABORATORIO POCT",IF(P101=CURSOS!$D$28,"IMPLANTE SUBDERMICO DE DISPOSITIVO INTRAUTERINO",IF(P101=CURSOS!$D$29,"SALUD MENTAL",IF(P101=CURSOS!$D$30,"PRIMEROS AUXILIOS PSICOLOGICOS",IF(P101=CURSOS!$D$31,"ATENCION A VICTIMAS POR CONFLICTO ARMADO",IF(P101=CURSOS!$D$32,"MANIPULACION DE ALIMENTOS Y BPM",IF(P101=CURSOS!$D$33,"ATENCION A PERSONAS CON DISCAPACIDAD",IF(P101=CURSOS!$D$34,"CUIDADO INTEGRAL DEL PACIENTE ADULTO",IF(P101=CURSOS!$D$35,"MANEJO DEFENSIVO",IF(P101=CURSOS!$D$36,"SOPORTE CARDIOVASCULAR AVANZADO NEONATAL",IF(P101=CURSOS!$D$37,"SEGURIDAD DEL PACIENTE",IF(P101=CURSOS!$D$38,"MANEJO DE RESIDUOS HOSPITALARIOS",IF(P101=CURSOS!$D$39,"ATENCION DE PACIENTE POR CONSUMO SUSTANCIAS PSICOACTIVAS Y ADICCIONES")))))))))))))))))))))))))))))))))))))</f>
        <v>ACOMPAÑAMIENTO Y MANEJO DEL DUELO</v>
      </c>
      <c r="W101" s="75" t="str">
        <f t="shared" si="6"/>
        <v>Anyelly Astrid Ahumada Cortez</v>
      </c>
      <c r="X101" s="75" t="str">
        <f t="shared" si="7"/>
        <v>Anyelly Astrid Ahumada Cortez</v>
      </c>
      <c r="Y101" s="75" t="str">
        <f t="shared" si="8"/>
        <v>Anyelly Astrid Ahumada Cortez-1085296543-DUELO</v>
      </c>
    </row>
    <row r="102" spans="1:25" s="97" customFormat="1" x14ac:dyDescent="0.2">
      <c r="A102" s="67">
        <v>101</v>
      </c>
      <c r="B102" s="68">
        <v>1088733829</v>
      </c>
      <c r="C102" s="68" t="s">
        <v>329</v>
      </c>
      <c r="D102" s="68" t="s">
        <v>169</v>
      </c>
      <c r="E102" s="68" t="s">
        <v>330</v>
      </c>
      <c r="F102" s="68" t="s">
        <v>331</v>
      </c>
      <c r="G102" s="68">
        <v>18</v>
      </c>
      <c r="H102" s="68" t="s">
        <v>100</v>
      </c>
      <c r="I102" s="68" t="s">
        <v>129</v>
      </c>
      <c r="J102" s="69" t="s">
        <v>148</v>
      </c>
      <c r="K102" s="70">
        <v>45828</v>
      </c>
      <c r="L102" s="71">
        <v>28000</v>
      </c>
      <c r="M102" s="68" t="s">
        <v>123</v>
      </c>
      <c r="N102" s="68" t="s">
        <v>207</v>
      </c>
      <c r="O102" s="94" t="s">
        <v>149</v>
      </c>
      <c r="P102" s="72" t="s">
        <v>57</v>
      </c>
      <c r="Q102" s="69">
        <v>33186</v>
      </c>
      <c r="R102" s="68" t="s">
        <v>141</v>
      </c>
      <c r="S102" s="77" t="s">
        <v>156</v>
      </c>
      <c r="T102" s="68">
        <v>3165738387</v>
      </c>
      <c r="U102" s="68" t="s">
        <v>332</v>
      </c>
      <c r="V102" s="75" t="str">
        <f>IF(P102=CURSOS!$D$3,"DIPLOMADO EN ATENCION PRE-HOSPITALARIA",IF(P102=CURSOS!$D$4,"ACOMPAÑAMIENTO Y MANEJO DEL DUELO",IF(P102=CURSOS!$D$5,"ATENCION A VICTIMAS DE ATAQUE CON AGENTES QUIMICOS ",IF(P102=CURSOS!$D$6,"PRIMEROS AUXILIOS ",IF(P102=CURSOS!$D$7,"DIPLOMADO DE UNIDAD DE CUIDADOS INTENSIVOS (UCI)",IF(P102=CURSOS!$D$8,"MODELO DE ATENCION PARA EVENTOS EMERGENTES EN SALUD MENTAL (CODIGO VERDE)",IF(P102=CURSOS!$D$9,"HUMANIZACION EN EL SERVICIO DE LA SALUD Y BUENAS PRACTICAS EN PACIENTE ",IF(P102=CURSOS!$D$10,"CLINICA DE HERIDAS ",IF(P102=CURSOS!$D$11,"TOMA DE CITOLOGIA CERVICO VAGINAL ",IF(P102=CURSOS!$D$12,"SOPORTE CARDIOVASCULAR AVANZADO (ACLS) ",IF(P102=CURSOS!$D$13,"CAMILLERO ",IF(P102=CURSOS!$D$14,"TOMA DE MUESTRAS Y LABORATORIO ",IF(P102=CURSOS!$D$15,"SOPORTE VITAL BASICO (BLS)",IF(P102=CURSOS!$D$16,"ATENCION A VICTIMAS DE VIOLENCIA SEXUAL ",IF(P102=CURSOS!$D$17,"PROGRAMADO AMPLIADO DE INMUNIZACION (PAI - COVID 19)",IF(P102=CURSOS!$D$18,"ATENCION INTEGRAL EN ENFERMEDADES PREVALENTES EN PRIMERA INFANCIA (AIEPI)",IF(P102=CURSOS!$D$19,"ADMINISTRACION DE MEDICAMENTOS, INYECTOLOGIA  Y CANALIZACION ",IF(P102=CURSOS!$D$20,"OPERADOR DE VEHICULOS DE EMERGENCIA (OVE)",IF(P102=CURSOS!$D$21,"INSTITUCIONES AMIGAS DE LA MUJER Y LA INFANCIA (IAMI)",IF(P102=CURSOS!$D$22,"CUIDADO DEL DONANTE DE ORGANOS",IF(P102=CURSOS!$D$23,"ATENCION A VICTIMAS POR VIOLENCIA DE GENERO",IF(P102=CURSOS!$D$24,"IGUALDAD DE GENERO EN LA SALUD",IF(P102=CURSOS!$D$25,"BRIGADA DE EMERGENCIA",IF(P102=CURSOS!$D$26,"MANEJO DEL DOLOR Y CUIDADOS PALIATIVOS",IF(P102=CURSOS!$D$27,"TOMA DE MUESTRAS Y LABORATORIO POCT",IF(P102=CURSOS!$D$28,"IMPLANTE SUBDERMICO DE DISPOSITIVO INTRAUTERINO",IF(P102=CURSOS!$D$29,"SALUD MENTAL",IF(P102=CURSOS!$D$30,"PRIMEROS AUXILIOS PSICOLOGICOS",IF(P102=CURSOS!$D$31,"ATENCION A VICTIMAS POR CONFLICTO ARMADO",IF(P102=CURSOS!$D$32,"MANIPULACION DE ALIMENTOS Y BPM",IF(P102=CURSOS!$D$33,"ATENCION A PERSONAS CON DISCAPACIDAD",IF(P102=CURSOS!$D$34,"CUIDADO INTEGRAL DEL PACIENTE ADULTO",IF(P102=CURSOS!$D$35,"MANEJO DEFENSIVO",IF(P102=CURSOS!$D$36,"SOPORTE CARDIOVASCULAR AVANZADO NEONATAL",IF(P102=CURSOS!$D$37,"SEGURIDAD DEL PACIENTE",IF(P102=CURSOS!$D$38,"MANEJO DE RESIDUOS HOSPITALARIOS",IF(P102=CURSOS!$D$39,"ATENCION DE PACIENTE POR CONSUMO SUSTANCIAS PSICOACTIVAS Y ADICCIONES")))))))))))))))))))))))))))))))))))))</f>
        <v>MANEJO DEL DOLOR Y CUIDADOS PALIATIVOS</v>
      </c>
      <c r="W102" s="75" t="str">
        <f t="shared" si="6"/>
        <v>Andres Geovanny Obando Benavides</v>
      </c>
      <c r="X102" s="75" t="str">
        <f t="shared" si="7"/>
        <v>Andres Geovanny Obando Benavides</v>
      </c>
      <c r="Y102" s="75" t="str">
        <f t="shared" si="8"/>
        <v>Andres Geovanny Obando Benavides-1088733829-PALIATIVOS</v>
      </c>
    </row>
    <row r="103" spans="1:25" s="97" customFormat="1" x14ac:dyDescent="0.2">
      <c r="A103" s="67">
        <v>102</v>
      </c>
      <c r="B103" s="68">
        <v>1088733829</v>
      </c>
      <c r="C103" s="68" t="s">
        <v>329</v>
      </c>
      <c r="D103" s="68" t="s">
        <v>169</v>
      </c>
      <c r="E103" s="68" t="s">
        <v>330</v>
      </c>
      <c r="F103" s="68" t="s">
        <v>331</v>
      </c>
      <c r="G103" s="68">
        <v>21</v>
      </c>
      <c r="H103" s="68" t="s">
        <v>100</v>
      </c>
      <c r="I103" s="68" t="s">
        <v>129</v>
      </c>
      <c r="J103" s="69" t="s">
        <v>148</v>
      </c>
      <c r="K103" s="70">
        <v>45828</v>
      </c>
      <c r="L103" s="71">
        <v>28000</v>
      </c>
      <c r="M103" s="68" t="s">
        <v>123</v>
      </c>
      <c r="N103" s="68" t="s">
        <v>207</v>
      </c>
      <c r="O103" s="94" t="s">
        <v>149</v>
      </c>
      <c r="P103" s="72" t="s">
        <v>347</v>
      </c>
      <c r="Q103" s="69">
        <v>33186</v>
      </c>
      <c r="R103" s="68" t="s">
        <v>141</v>
      </c>
      <c r="S103" s="77" t="s">
        <v>156</v>
      </c>
      <c r="T103" s="68">
        <v>3165738387</v>
      </c>
      <c r="U103" s="68" t="s">
        <v>332</v>
      </c>
      <c r="V103" s="75" t="s">
        <v>348</v>
      </c>
      <c r="W103" s="75" t="str">
        <f t="shared" si="6"/>
        <v>Andres Geovanny Obando Benavides</v>
      </c>
      <c r="X103" s="75" t="str">
        <f t="shared" si="7"/>
        <v>Andres Geovanny Obando Benavides</v>
      </c>
      <c r="Y103" s="75" t="str">
        <f t="shared" si="8"/>
        <v>Andres Geovanny Obando Benavides-1088733829-LGBTI</v>
      </c>
    </row>
    <row r="104" spans="1:25" s="97" customFormat="1" x14ac:dyDescent="0.2">
      <c r="A104" s="67">
        <v>103</v>
      </c>
      <c r="B104" s="68">
        <v>1007282389</v>
      </c>
      <c r="C104" s="94" t="s">
        <v>269</v>
      </c>
      <c r="D104" s="94" t="s">
        <v>350</v>
      </c>
      <c r="E104" s="94" t="s">
        <v>351</v>
      </c>
      <c r="F104" s="94" t="s">
        <v>300</v>
      </c>
      <c r="G104" s="94">
        <v>24</v>
      </c>
      <c r="H104" s="68" t="s">
        <v>100</v>
      </c>
      <c r="I104" s="68" t="s">
        <v>129</v>
      </c>
      <c r="J104" s="100" t="s">
        <v>148</v>
      </c>
      <c r="K104" s="70">
        <v>45828</v>
      </c>
      <c r="L104" s="71">
        <v>28000</v>
      </c>
      <c r="M104" s="68" t="s">
        <v>123</v>
      </c>
      <c r="N104" s="68" t="s">
        <v>207</v>
      </c>
      <c r="O104" s="94" t="s">
        <v>149</v>
      </c>
      <c r="P104" s="98" t="s">
        <v>23</v>
      </c>
      <c r="Q104" s="100">
        <v>36818</v>
      </c>
      <c r="R104" s="94" t="s">
        <v>109</v>
      </c>
      <c r="S104" s="94" t="s">
        <v>130</v>
      </c>
      <c r="T104" s="101">
        <v>3124308978</v>
      </c>
      <c r="U104" s="68" t="s">
        <v>352</v>
      </c>
      <c r="V104" s="75" t="str">
        <f>IF(P104=CURSOS!$D$3,"DIPLOMADO EN ATENCION PRE-HOSPITALARIA",IF(P104=CURSOS!$D$4,"ACOMPAÑAMIENTO Y MANEJO DEL DUELO",IF(P104=CURSOS!$D$5,"ATENCION A VICTIMAS DE ATAQUE CON AGENTES QUIMICOS ",IF(P104=CURSOS!$D$6,"PRIMEROS AUXILIOS ",IF(P104=CURSOS!$D$7,"DIPLOMADO DE UNIDAD DE CUIDADOS INTENSIVOS (UCI)",IF(P104=CURSOS!$D$8,"MODELO DE ATENCION PARA EVENTOS EMERGENTES EN SALUD MENTAL (CODIGO VERDE)",IF(P104=CURSOS!$D$9,"HUMANIZACION EN EL SERVICIO DE LA SALUD Y BUENAS PRACTICAS EN PACIENTE ",IF(P104=CURSOS!$D$10,"CLINICA DE HERIDAS ",IF(P104=CURSOS!$D$11,"TOMA DE CITOLOGIA CERVICO VAGINAL ",IF(P104=CURSOS!$D$12,"SOPORTE CARDIOVASCULAR AVANZADO (ACLS) ",IF(P104=CURSOS!$D$13,"CAMILLERO ",IF(P104=CURSOS!$D$14,"TOMA DE MUESTRAS Y LABORATORIO ",IF(P104=CURSOS!$D$15,"SOPORTE VITAL BASICO (BLS)",IF(P104=CURSOS!$D$16,"ATENCION A VICTIMAS DE VIOLENCIA SEXUAL ",IF(P104=CURSOS!$D$17,"PROGRAMADO AMPLIADO DE INMUNIZACION (PAI - COVID 19)",IF(P104=CURSOS!$D$18,"ATENCION INTEGRAL EN ENFERMEDADES PREVALENTES EN PRIMERA INFANCIA (AIEPI)",IF(P104=CURSOS!$D$19,"ADMINISTRACION DE MEDICAMENTOS, INYECTOLOGIA  Y CANALIZACION ",IF(P104=CURSOS!$D$20,"OPERADOR DE VEHICULOS DE EMERGENCIA (OVE)",IF(P104=CURSOS!$D$21,"INSTITUCIONES AMIGAS DE LA MUJER Y LA INFANCIA (IAMI)",IF(P104=CURSOS!$D$22,"CUIDADO DEL DONANTE DE ORGANOS",IF(P104=CURSOS!$D$23,"ATENCION A VICTIMAS POR VIOLENCIA DE GENERO",IF(P104=CURSOS!$D$24,"IGUALDAD DE GENERO EN LA SALUD",IF(P104=CURSOS!$D$25,"BRIGADA DE EMERGENCIA",IF(P104=CURSOS!$D$26,"MANEJO DEL DOLOR Y CUIDADOS PALIATIVOS",IF(P104=CURSOS!$D$27,"TOMA DE MUESTRAS Y LABORATORIO POCT",IF(P104=CURSOS!$D$28,"IMPLANTE SUBDERMICO DE DISPOSITIVO INTRAUTERINO",IF(P104=CURSOS!$D$29,"SALUD MENTAL",IF(P104=CURSOS!$D$30,"PRIMEROS AUXILIOS PSICOLOGICOS",IF(P104=CURSOS!$D$31,"ATENCION A VICTIMAS POR CONFLICTO ARMADO",IF(P104=CURSOS!$D$32,"MANIPULACION DE ALIMENTOS Y BPM",IF(P104=CURSOS!$D$33,"ATENCION A PERSONAS CON DISCAPACIDAD",IF(P104=CURSOS!$D$34,"CUIDADO INTEGRAL DEL PACIENTE ADULTO",IF(P104=CURSOS!$D$35,"MANEJO DEFENSIVO",IF(P104=CURSOS!$D$36,"SOPORTE CARDIOVASCULAR AVANZADO NEONATAL",IF(P104=CURSOS!$D$37,"SEGURIDAD DEL PACIENTE",IF(P104=CURSOS!$D$38,"MANEJO DE RESIDUOS HOSPITALARIOS",IF(P104=CURSOS!$D$39,"ATENCION DE PACIENTE POR CONSUMO SUSTANCIAS PSICOACTIVAS Y ADICCIONES")))))))))))))))))))))))))))))))))))))</f>
        <v>ACOMPAÑAMIENTO Y MANEJO DEL DUELO</v>
      </c>
      <c r="W104" s="75" t="str">
        <f t="shared" si="6"/>
        <v>Yessica Andrea Morales Yela</v>
      </c>
      <c r="X104" s="75" t="str">
        <f t="shared" si="7"/>
        <v>Yessica Andrea Morales Yela</v>
      </c>
      <c r="Y104" s="75" t="str">
        <f t="shared" si="8"/>
        <v>Yessica Andrea Morales Yela-1007282389-DUELO</v>
      </c>
    </row>
    <row r="105" spans="1:25" s="97" customFormat="1" x14ac:dyDescent="0.2">
      <c r="A105" s="67">
        <v>104</v>
      </c>
      <c r="B105" s="68">
        <v>1007282389</v>
      </c>
      <c r="C105" s="94" t="s">
        <v>269</v>
      </c>
      <c r="D105" s="94" t="s">
        <v>350</v>
      </c>
      <c r="E105" s="94" t="s">
        <v>351</v>
      </c>
      <c r="F105" s="94" t="s">
        <v>300</v>
      </c>
      <c r="G105" s="94">
        <v>24</v>
      </c>
      <c r="H105" s="68" t="s">
        <v>100</v>
      </c>
      <c r="I105" s="68" t="s">
        <v>129</v>
      </c>
      <c r="J105" s="100" t="s">
        <v>148</v>
      </c>
      <c r="K105" s="70">
        <v>45828</v>
      </c>
      <c r="L105" s="71">
        <v>28000</v>
      </c>
      <c r="M105" s="68" t="s">
        <v>123</v>
      </c>
      <c r="N105" s="68" t="s">
        <v>207</v>
      </c>
      <c r="O105" s="94" t="s">
        <v>149</v>
      </c>
      <c r="P105" s="98" t="s">
        <v>42</v>
      </c>
      <c r="Q105" s="100">
        <v>36818</v>
      </c>
      <c r="R105" s="94" t="s">
        <v>109</v>
      </c>
      <c r="S105" s="94" t="s">
        <v>130</v>
      </c>
      <c r="T105" s="101">
        <v>3124308978</v>
      </c>
      <c r="U105" s="68" t="s">
        <v>352</v>
      </c>
      <c r="V105" s="75" t="str">
        <f>IF(P105=CURSOS!$D$3,"DIPLOMADO EN ATENCION PRE-HOSPITALARIA",IF(P105=CURSOS!$D$4,"ACOMPAÑAMIENTO Y MANEJO DEL DUELO",IF(P105=CURSOS!$D$5,"ATENCION A VICTIMAS DE ATAQUE CON AGENTES QUIMICOS ",IF(P105=CURSOS!$D$6,"PRIMEROS AUXILIOS ",IF(P105=CURSOS!$D$7,"DIPLOMADO DE UNIDAD DE CUIDADOS INTENSIVOS (UCI)",IF(P105=CURSOS!$D$8,"MODELO DE ATENCION PARA EVENTOS EMERGENTES EN SALUD MENTAL (CODIGO VERDE)",IF(P105=CURSOS!$D$9,"HUMANIZACION EN EL SERVICIO DE LA SALUD Y BUENAS PRACTICAS EN PACIENTE ",IF(P105=CURSOS!$D$10,"CLINICA DE HERIDAS ",IF(P105=CURSOS!$D$11,"TOMA DE CITOLOGIA CERVICO VAGINAL ",IF(P105=CURSOS!$D$12,"SOPORTE CARDIOVASCULAR AVANZADO (ACLS) ",IF(P105=CURSOS!$D$13,"CAMILLERO ",IF(P105=CURSOS!$D$14,"TOMA DE MUESTRAS Y LABORATORIO ",IF(P105=CURSOS!$D$15,"SOPORTE VITAL BASICO (BLS)",IF(P105=CURSOS!$D$16,"ATENCION A VICTIMAS DE VIOLENCIA SEXUAL ",IF(P105=CURSOS!$D$17,"PROGRAMADO AMPLIADO DE INMUNIZACION (PAI - COVID 19)",IF(P105=CURSOS!$D$18,"ATENCION INTEGRAL EN ENFERMEDADES PREVALENTES EN PRIMERA INFANCIA (AIEPI)",IF(P105=CURSOS!$D$19,"ADMINISTRACION DE MEDICAMENTOS, INYECTOLOGIA  Y CANALIZACION ",IF(P105=CURSOS!$D$20,"OPERADOR DE VEHICULOS DE EMERGENCIA (OVE)",IF(P105=CURSOS!$D$21,"INSTITUCIONES AMIGAS DE LA MUJER Y LA INFANCIA (IAMI)",IF(P105=CURSOS!$D$22,"CUIDADO DEL DONANTE DE ORGANOS",IF(P105=CURSOS!$D$23,"ATENCION A VICTIMAS POR VIOLENCIA DE GENERO",IF(P105=CURSOS!$D$24,"IGUALDAD DE GENERO EN LA SALUD",IF(P105=CURSOS!$D$25,"BRIGADA DE EMERGENCIA",IF(P105=CURSOS!$D$26,"MANEJO DEL DOLOR Y CUIDADOS PALIATIVOS",IF(P105=CURSOS!$D$27,"TOMA DE MUESTRAS Y LABORATORIO POCT",IF(P105=CURSOS!$D$28,"IMPLANTE SUBDERMICO DE DISPOSITIVO INTRAUTERINO",IF(P105=CURSOS!$D$29,"SALUD MENTAL",IF(P105=CURSOS!$D$30,"PRIMEROS AUXILIOS PSICOLOGICOS",IF(P105=CURSOS!$D$31,"ATENCION A VICTIMAS POR CONFLICTO ARMADO",IF(P105=CURSOS!$D$32,"MANIPULACION DE ALIMENTOS Y BPM",IF(P105=CURSOS!$D$33,"ATENCION A PERSONAS CON DISCAPACIDAD",IF(P105=CURSOS!$D$34,"CUIDADO INTEGRAL DEL PACIENTE ADULTO",IF(P105=CURSOS!$D$35,"MANEJO DEFENSIVO",IF(P105=CURSOS!$D$36,"SOPORTE CARDIOVASCULAR AVANZADO NEONATAL",IF(P105=CURSOS!$D$37,"SEGURIDAD DEL PACIENTE",IF(P105=CURSOS!$D$38,"MANEJO DE RESIDUOS HOSPITALARIOS",IF(P105=CURSOS!$D$39,"ATENCION DE PACIENTE POR CONSUMO SUSTANCIAS PSICOACTIVAS Y ADICCIONES")))))))))))))))))))))))))))))))))))))</f>
        <v xml:space="preserve">ATENCION A VICTIMAS DE VIOLENCIA SEXUAL </v>
      </c>
      <c r="W105" s="75" t="str">
        <f t="shared" si="6"/>
        <v>Yessica Andrea Morales Yela</v>
      </c>
      <c r="X105" s="75" t="str">
        <f t="shared" si="7"/>
        <v>Yessica Andrea Morales Yela</v>
      </c>
      <c r="Y105" s="75" t="str">
        <f t="shared" si="8"/>
        <v>Yessica Andrea Morales Yela-1007282389-VIOLENCIA SEXUAL</v>
      </c>
    </row>
    <row r="106" spans="1:25" s="97" customFormat="1" x14ac:dyDescent="0.2">
      <c r="A106" s="67">
        <v>105</v>
      </c>
      <c r="B106" s="68">
        <v>1007282389</v>
      </c>
      <c r="C106" s="94" t="s">
        <v>269</v>
      </c>
      <c r="D106" s="94" t="s">
        <v>350</v>
      </c>
      <c r="E106" s="94" t="s">
        <v>351</v>
      </c>
      <c r="F106" s="94" t="s">
        <v>300</v>
      </c>
      <c r="G106" s="94">
        <v>24</v>
      </c>
      <c r="H106" s="68" t="s">
        <v>100</v>
      </c>
      <c r="I106" s="68" t="s">
        <v>129</v>
      </c>
      <c r="J106" s="100" t="s">
        <v>148</v>
      </c>
      <c r="K106" s="70">
        <v>45829</v>
      </c>
      <c r="L106" s="71">
        <v>32000</v>
      </c>
      <c r="M106" s="68" t="s">
        <v>123</v>
      </c>
      <c r="N106" s="68" t="s">
        <v>207</v>
      </c>
      <c r="O106" s="94" t="s">
        <v>149</v>
      </c>
      <c r="P106" s="98" t="s">
        <v>25</v>
      </c>
      <c r="Q106" s="100">
        <v>36818</v>
      </c>
      <c r="R106" s="94" t="s">
        <v>109</v>
      </c>
      <c r="S106" s="94" t="s">
        <v>130</v>
      </c>
      <c r="T106" s="101">
        <v>3124308978</v>
      </c>
      <c r="U106" s="68" t="s">
        <v>352</v>
      </c>
      <c r="V106" s="75" t="str">
        <f>IF(P106=CURSOS!$D$3,"DIPLOMADO EN ATENCION PRE-HOSPITALARIA",IF(P106=CURSOS!$D$4,"ACOMPAÑAMIENTO Y MANEJO DEL DUELO",IF(P106=CURSOS!$D$5,"ATENCION A VICTIMAS DE ATAQUE CON AGENTES QUIMICOS ",IF(P106=CURSOS!$D$6,"PRIMEROS AUXILIOS ",IF(P106=CURSOS!$D$7,"DIPLOMADO DE UNIDAD DE CUIDADOS INTENSIVOS (UCI)",IF(P106=CURSOS!$D$8,"MODELO DE ATENCION PARA EVENTOS EMERGENTES EN SALUD MENTAL (CODIGO VERDE)",IF(P106=CURSOS!$D$9,"HUMANIZACION EN EL SERVICIO DE LA SALUD Y BUENAS PRACTICAS EN PACIENTE ",IF(P106=CURSOS!$D$10,"CLINICA DE HERIDAS ",IF(P106=CURSOS!$D$11,"TOMA DE CITOLOGIA CERVICO VAGINAL ",IF(P106=CURSOS!$D$12,"SOPORTE CARDIOVASCULAR AVANZADO (ACLS) ",IF(P106=CURSOS!$D$13,"CAMILLERO ",IF(P106=CURSOS!$D$14,"TOMA DE MUESTRAS Y LABORATORIO ",IF(P106=CURSOS!$D$15,"SOPORTE VITAL BASICO (BLS)",IF(P106=CURSOS!$D$16,"ATENCION A VICTIMAS DE VIOLENCIA SEXUAL ",IF(P106=CURSOS!$D$17,"PROGRAMADO AMPLIADO DE INMUNIZACION (PAI - COVID 19)",IF(P106=CURSOS!$D$18,"ATENCION INTEGRAL EN ENFERMEDADES PREVALENTES EN PRIMERA INFANCIA (AIEPI)",IF(P106=CURSOS!$D$19,"ADMINISTRACION DE MEDICAMENTOS, INYECTOLOGIA  Y CANALIZACION ",IF(P106=CURSOS!$D$20,"OPERADOR DE VEHICULOS DE EMERGENCIA (OVE)",IF(P106=CURSOS!$D$21,"INSTITUCIONES AMIGAS DE LA MUJER Y LA INFANCIA (IAMI)",IF(P106=CURSOS!$D$22,"CUIDADO DEL DONANTE DE ORGANOS",IF(P106=CURSOS!$D$23,"ATENCION A VICTIMAS POR VIOLENCIA DE GENERO",IF(P106=CURSOS!$D$24,"IGUALDAD DE GENERO EN LA SALUD",IF(P106=CURSOS!$D$25,"BRIGADA DE EMERGENCIA",IF(P106=CURSOS!$D$26,"MANEJO DEL DOLOR Y CUIDADOS PALIATIVOS",IF(P106=CURSOS!$D$27,"TOMA DE MUESTRAS Y LABORATORIO POCT",IF(P106=CURSOS!$D$28,"IMPLANTE SUBDERMICO DE DISPOSITIVO INTRAUTERINO",IF(P106=CURSOS!$D$29,"SALUD MENTAL",IF(P106=CURSOS!$D$30,"PRIMEROS AUXILIOS PSICOLOGICOS",IF(P106=CURSOS!$D$31,"ATENCION A VICTIMAS POR CONFLICTO ARMADO",IF(P106=CURSOS!$D$32,"MANIPULACION DE ALIMENTOS Y BPM",IF(P106=CURSOS!$D$33,"ATENCION A PERSONAS CON DISCAPACIDAD",IF(P106=CURSOS!$D$34,"CUIDADO INTEGRAL DEL PACIENTE ADULTO",IF(P106=CURSOS!$D$35,"MANEJO DEFENSIVO",IF(P106=CURSOS!$D$36,"SOPORTE CARDIOVASCULAR AVANZADO NEONATAL",IF(P106=CURSOS!$D$37,"SEGURIDAD DEL PACIENTE",IF(P106=CURSOS!$D$38,"MANEJO DE RESIDUOS HOSPITALARIOS",IF(P106=CURSOS!$D$39,"ATENCION DE PACIENTE POR CONSUMO SUSTANCIAS PSICOACTIVAS Y ADICCIONES")))))))))))))))))))))))))))))))))))))</f>
        <v xml:space="preserve">ATENCION A VICTIMAS DE ATAQUE CON AGENTES QUIMICOS </v>
      </c>
      <c r="W106" s="75" t="str">
        <f t="shared" si="6"/>
        <v>Yessica Andrea Morales Yela</v>
      </c>
      <c r="X106" s="75" t="str">
        <f t="shared" si="7"/>
        <v>Yessica Andrea Morales Yela</v>
      </c>
      <c r="Y106" s="75" t="str">
        <f t="shared" si="8"/>
        <v>Yessica Andrea Morales Yela-1007282389-QUIMICOS</v>
      </c>
    </row>
    <row r="107" spans="1:25" s="97" customFormat="1" x14ac:dyDescent="0.2">
      <c r="A107" s="67">
        <v>106</v>
      </c>
      <c r="B107" s="94">
        <v>1004691913</v>
      </c>
      <c r="C107" s="94" t="s">
        <v>353</v>
      </c>
      <c r="D107" s="94" t="s">
        <v>354</v>
      </c>
      <c r="E107" s="94" t="s">
        <v>355</v>
      </c>
      <c r="F107" s="94" t="s">
        <v>356</v>
      </c>
      <c r="G107" s="94">
        <v>24</v>
      </c>
      <c r="H107" s="68" t="s">
        <v>100</v>
      </c>
      <c r="I107" s="68" t="s">
        <v>129</v>
      </c>
      <c r="J107" s="100" t="s">
        <v>148</v>
      </c>
      <c r="K107" s="102"/>
      <c r="L107" s="103"/>
      <c r="M107" s="94"/>
      <c r="N107" s="68" t="s">
        <v>207</v>
      </c>
      <c r="O107" s="94" t="s">
        <v>258</v>
      </c>
      <c r="P107" s="98" t="s">
        <v>42</v>
      </c>
      <c r="Q107" s="100">
        <v>37665</v>
      </c>
      <c r="R107" s="94" t="s">
        <v>109</v>
      </c>
      <c r="S107" s="104" t="s">
        <v>357</v>
      </c>
      <c r="T107" s="94">
        <v>3206483491</v>
      </c>
      <c r="U107" s="68" t="s">
        <v>358</v>
      </c>
      <c r="V107" s="75" t="str">
        <f>IF(P107=CURSOS!$D$3,"DIPLOMADO EN ATENCION PRE-HOSPITALARIA",IF(P107=CURSOS!$D$4,"ACOMPAÑAMIENTO Y MANEJO DEL DUELO",IF(P107=CURSOS!$D$5,"ATENCION A VICTIMAS DE ATAQUE CON AGENTES QUIMICOS ",IF(P107=CURSOS!$D$6,"PRIMEROS AUXILIOS ",IF(P107=CURSOS!$D$7,"DIPLOMADO DE UNIDAD DE CUIDADOS INTENSIVOS (UCI)",IF(P107=CURSOS!$D$8,"MODELO DE ATENCION PARA EVENTOS EMERGENTES EN SALUD MENTAL (CODIGO VERDE)",IF(P107=CURSOS!$D$9,"HUMANIZACION EN EL SERVICIO DE LA SALUD Y BUENAS PRACTICAS EN PACIENTE ",IF(P107=CURSOS!$D$10,"CLINICA DE HERIDAS ",IF(P107=CURSOS!$D$11,"TOMA DE CITOLOGIA CERVICO VAGINAL ",IF(P107=CURSOS!$D$12,"SOPORTE CARDIOVASCULAR AVANZADO (ACLS) ",IF(P107=CURSOS!$D$13,"CAMILLERO ",IF(P107=CURSOS!$D$14,"TOMA DE MUESTRAS Y LABORATORIO ",IF(P107=CURSOS!$D$15,"SOPORTE VITAL BASICO (BLS)",IF(P107=CURSOS!$D$16,"ATENCION A VICTIMAS DE VIOLENCIA SEXUAL ",IF(P107=CURSOS!$D$17,"PROGRAMADO AMPLIADO DE INMUNIZACION (PAI - COVID 19)",IF(P107=CURSOS!$D$18,"ATENCION INTEGRAL EN ENFERMEDADES PREVALENTES EN PRIMERA INFANCIA (AIEPI)",IF(P107=CURSOS!$D$19,"ADMINISTRACION DE MEDICAMENTOS, INYECTOLOGIA  Y CANALIZACION ",IF(P107=CURSOS!$D$20,"OPERADOR DE VEHICULOS DE EMERGENCIA (OVE)",IF(P107=CURSOS!$D$21,"INSTITUCIONES AMIGAS DE LA MUJER Y LA INFANCIA (IAMI)",IF(P107=CURSOS!$D$22,"CUIDADO DEL DONANTE DE ORGANOS",IF(P107=CURSOS!$D$23,"ATENCION A VICTIMAS POR VIOLENCIA DE GENERO",IF(P107=CURSOS!$D$24,"IGUALDAD DE GENERO EN LA SALUD",IF(P107=CURSOS!$D$25,"BRIGADA DE EMERGENCIA",IF(P107=CURSOS!$D$26,"MANEJO DEL DOLOR Y CUIDADOS PALIATIVOS",IF(P107=CURSOS!$D$27,"TOMA DE MUESTRAS Y LABORATORIO POCT",IF(P107=CURSOS!$D$28,"IMPLANTE SUBDERMICO DE DISPOSITIVO INTRAUTERINO",IF(P107=CURSOS!$D$29,"SALUD MENTAL",IF(P107=CURSOS!$D$30,"PRIMEROS AUXILIOS PSICOLOGICOS",IF(P107=CURSOS!$D$31,"ATENCION A VICTIMAS POR CONFLICTO ARMADO",IF(P107=CURSOS!$D$32,"MANIPULACION DE ALIMENTOS Y BPM",IF(P107=CURSOS!$D$33,"ATENCION A PERSONAS CON DISCAPACIDAD",IF(P107=CURSOS!$D$34,"CUIDADO INTEGRAL DEL PACIENTE ADULTO",IF(P107=CURSOS!$D$35,"MANEJO DEFENSIVO",IF(P107=CURSOS!$D$36,"SOPORTE CARDIOVASCULAR AVANZADO NEONATAL",IF(P107=CURSOS!$D$37,"SEGURIDAD DEL PACIENTE",IF(P107=CURSOS!$D$38,"MANEJO DE RESIDUOS HOSPITALARIOS",IF(P107=CURSOS!$D$39,"ATENCION DE PACIENTE POR CONSUMO SUSTANCIAS PSICOACTIVAS Y ADICCIONES")))))))))))))))))))))))))))))))))))))</f>
        <v xml:space="preserve">ATENCION A VICTIMAS DE VIOLENCIA SEXUAL </v>
      </c>
      <c r="W107" s="75" t="str">
        <f t="shared" si="6"/>
        <v>Yury Liliana Cuatin Paspur</v>
      </c>
      <c r="X107" s="75" t="str">
        <f t="shared" si="7"/>
        <v>Yury Liliana Cuatin Paspur</v>
      </c>
      <c r="Y107" s="75" t="str">
        <f t="shared" si="8"/>
        <v>Yury Liliana Cuatin Paspur-1004691913-VIOLENCIA SEXUAL</v>
      </c>
    </row>
    <row r="108" spans="1:25" s="97" customFormat="1" x14ac:dyDescent="0.2">
      <c r="A108" s="67">
        <v>107</v>
      </c>
      <c r="B108" s="94">
        <v>1004691913</v>
      </c>
      <c r="C108" s="94" t="s">
        <v>353</v>
      </c>
      <c r="D108" s="94" t="s">
        <v>354</v>
      </c>
      <c r="E108" s="94" t="s">
        <v>355</v>
      </c>
      <c r="F108" s="94" t="s">
        <v>356</v>
      </c>
      <c r="G108" s="94">
        <v>21</v>
      </c>
      <c r="H108" s="68" t="s">
        <v>100</v>
      </c>
      <c r="I108" s="68" t="s">
        <v>129</v>
      </c>
      <c r="J108" s="100" t="s">
        <v>148</v>
      </c>
      <c r="K108" s="102"/>
      <c r="L108" s="103"/>
      <c r="M108" s="94"/>
      <c r="N108" s="68" t="s">
        <v>207</v>
      </c>
      <c r="O108" s="94" t="s">
        <v>258</v>
      </c>
      <c r="P108" s="98" t="s">
        <v>25</v>
      </c>
      <c r="Q108" s="100">
        <v>37665</v>
      </c>
      <c r="R108" s="94" t="s">
        <v>109</v>
      </c>
      <c r="S108" s="104" t="s">
        <v>357</v>
      </c>
      <c r="T108" s="94">
        <v>3206483491</v>
      </c>
      <c r="U108" s="68" t="s">
        <v>358</v>
      </c>
      <c r="V108" s="75" t="str">
        <f>IF(P108=CURSOS!$D$3,"DIPLOMADO EN ATENCION PRE-HOSPITALARIA",IF(P108=CURSOS!$D$4,"ACOMPAÑAMIENTO Y MANEJO DEL DUELO",IF(P108=CURSOS!$D$5,"ATENCION A VICTIMAS DE ATAQUE CON AGENTES QUIMICOS ",IF(P108=CURSOS!$D$6,"PRIMEROS AUXILIOS ",IF(P108=CURSOS!$D$7,"DIPLOMADO DE UNIDAD DE CUIDADOS INTENSIVOS (UCI)",IF(P108=CURSOS!$D$8,"MODELO DE ATENCION PARA EVENTOS EMERGENTES EN SALUD MENTAL (CODIGO VERDE)",IF(P108=CURSOS!$D$9,"HUMANIZACION EN EL SERVICIO DE LA SALUD Y BUENAS PRACTICAS EN PACIENTE ",IF(P108=CURSOS!$D$10,"CLINICA DE HERIDAS ",IF(P108=CURSOS!$D$11,"TOMA DE CITOLOGIA CERVICO VAGINAL ",IF(P108=CURSOS!$D$12,"SOPORTE CARDIOVASCULAR AVANZADO (ACLS) ",IF(P108=CURSOS!$D$13,"CAMILLERO ",IF(P108=CURSOS!$D$14,"TOMA DE MUESTRAS Y LABORATORIO ",IF(P108=CURSOS!$D$15,"SOPORTE VITAL BASICO (BLS)",IF(P108=CURSOS!$D$16,"ATENCION A VICTIMAS DE VIOLENCIA SEXUAL ",IF(P108=CURSOS!$D$17,"PROGRAMADO AMPLIADO DE INMUNIZACION (PAI - COVID 19)",IF(P108=CURSOS!$D$18,"ATENCION INTEGRAL EN ENFERMEDADES PREVALENTES EN PRIMERA INFANCIA (AIEPI)",IF(P108=CURSOS!$D$19,"ADMINISTRACION DE MEDICAMENTOS, INYECTOLOGIA  Y CANALIZACION ",IF(P108=CURSOS!$D$20,"OPERADOR DE VEHICULOS DE EMERGENCIA (OVE)",IF(P108=CURSOS!$D$21,"INSTITUCIONES AMIGAS DE LA MUJER Y LA INFANCIA (IAMI)",IF(P108=CURSOS!$D$22,"CUIDADO DEL DONANTE DE ORGANOS",IF(P108=CURSOS!$D$23,"ATENCION A VICTIMAS POR VIOLENCIA DE GENERO",IF(P108=CURSOS!$D$24,"IGUALDAD DE GENERO EN LA SALUD",IF(P108=CURSOS!$D$25,"BRIGADA DE EMERGENCIA",IF(P108=CURSOS!$D$26,"MANEJO DEL DOLOR Y CUIDADOS PALIATIVOS",IF(P108=CURSOS!$D$27,"TOMA DE MUESTRAS Y LABORATORIO POCT",IF(P108=CURSOS!$D$28,"IMPLANTE SUBDERMICO DE DISPOSITIVO INTRAUTERINO",IF(P108=CURSOS!$D$29,"SALUD MENTAL",IF(P108=CURSOS!$D$30,"PRIMEROS AUXILIOS PSICOLOGICOS",IF(P108=CURSOS!$D$31,"ATENCION A VICTIMAS POR CONFLICTO ARMADO",IF(P108=CURSOS!$D$32,"MANIPULACION DE ALIMENTOS Y BPM",IF(P108=CURSOS!$D$33,"ATENCION A PERSONAS CON DISCAPACIDAD",IF(P108=CURSOS!$D$34,"CUIDADO INTEGRAL DEL PACIENTE ADULTO",IF(P108=CURSOS!$D$35,"MANEJO DEFENSIVO",IF(P108=CURSOS!$D$36,"SOPORTE CARDIOVASCULAR AVANZADO NEONATAL",IF(P108=CURSOS!$D$37,"SEGURIDAD DEL PACIENTE",IF(P108=CURSOS!$D$38,"MANEJO DE RESIDUOS HOSPITALARIOS",IF(P108=CURSOS!$D$39,"ATENCION DE PACIENTE POR CONSUMO SUSTANCIAS PSICOACTIVAS Y ADICCIONES")))))))))))))))))))))))))))))))))))))</f>
        <v xml:space="preserve">ATENCION A VICTIMAS DE ATAQUE CON AGENTES QUIMICOS </v>
      </c>
      <c r="W108" s="75" t="str">
        <f t="shared" si="6"/>
        <v>Yury Liliana Cuatin Paspur</v>
      </c>
      <c r="X108" s="75" t="str">
        <f t="shared" si="7"/>
        <v>Yury Liliana Cuatin Paspur</v>
      </c>
      <c r="Y108" s="75" t="str">
        <f t="shared" si="8"/>
        <v>Yury Liliana Cuatin Paspur-1004691913-QUIMICOS</v>
      </c>
    </row>
    <row r="109" spans="1:25" s="97" customFormat="1" x14ac:dyDescent="0.2">
      <c r="A109" s="67">
        <v>108</v>
      </c>
      <c r="B109" s="94">
        <v>1004691913</v>
      </c>
      <c r="C109" s="94" t="s">
        <v>353</v>
      </c>
      <c r="D109" s="94" t="s">
        <v>354</v>
      </c>
      <c r="E109" s="94" t="s">
        <v>355</v>
      </c>
      <c r="F109" s="94" t="s">
        <v>356</v>
      </c>
      <c r="G109" s="94">
        <v>19</v>
      </c>
      <c r="H109" s="68" t="s">
        <v>100</v>
      </c>
      <c r="I109" s="68" t="s">
        <v>129</v>
      </c>
      <c r="J109" s="100" t="s">
        <v>148</v>
      </c>
      <c r="K109" s="102"/>
      <c r="L109" s="103"/>
      <c r="M109" s="94"/>
      <c r="N109" s="68" t="s">
        <v>207</v>
      </c>
      <c r="O109" s="94" t="s">
        <v>258</v>
      </c>
      <c r="P109" s="72" t="s">
        <v>19</v>
      </c>
      <c r="Q109" s="100">
        <v>37665</v>
      </c>
      <c r="R109" s="94" t="s">
        <v>109</v>
      </c>
      <c r="S109" s="104" t="s">
        <v>357</v>
      </c>
      <c r="T109" s="94">
        <v>3206483491</v>
      </c>
      <c r="U109" s="68" t="s">
        <v>358</v>
      </c>
      <c r="V109" s="75" t="str">
        <f>IF(P109=CURSOS!$D$3,"DIPLOMADO EN ATENCION PRE-HOSPITALARIA",IF(P109=CURSOS!$D$4,"ACOMPAÑAMIENTO Y MANEJO DEL DUELO",IF(P109=CURSOS!$D$5,"ATENCION A VICTIMAS DE ATAQUE CON AGENTES QUIMICOS ",IF(P109=CURSOS!$D$6,"PRIMEROS AUXILIOS ",IF(P109=CURSOS!$D$7,"DIPLOMADO DE UNIDAD DE CUIDADOS INTENSIVOS (UCI)",IF(P109=CURSOS!$D$8,"MODELO DE ATENCION PARA EVENTOS EMERGENTES EN SALUD MENTAL (CODIGO VERDE)",IF(P109=CURSOS!$D$9,"HUMANIZACION EN EL SERVICIO DE LA SALUD Y BUENAS PRACTICAS EN PACIENTE ",IF(P109=CURSOS!$D$10,"CLINICA DE HERIDAS ",IF(P109=CURSOS!$D$11,"TOMA DE CITOLOGIA CERVICO VAGINAL ",IF(P109=CURSOS!$D$12,"SOPORTE CARDIOVASCULAR AVANZADO (ACLS) ",IF(P109=CURSOS!$D$13,"CAMILLERO ",IF(P109=CURSOS!$D$14,"TOMA DE MUESTRAS Y LABORATORIO ",IF(P109=CURSOS!$D$15,"SOPORTE VITAL BASICO (BLS)",IF(P109=CURSOS!$D$16,"ATENCION A VICTIMAS DE VIOLENCIA SEXUAL ",IF(P109=CURSOS!$D$17,"PROGRAMADO AMPLIADO DE INMUNIZACION (PAI - COVID 19)",IF(P109=CURSOS!$D$18,"ATENCION INTEGRAL EN ENFERMEDADES PREVALENTES EN PRIMERA INFANCIA (AIEPI)",IF(P109=CURSOS!$D$19,"ADMINISTRACION DE MEDICAMENTOS, INYECTOLOGIA  Y CANALIZACION ",IF(P109=CURSOS!$D$20,"OPERADOR DE VEHICULOS DE EMERGENCIA (OVE)",IF(P109=CURSOS!$D$21,"INSTITUCIONES AMIGAS DE LA MUJER Y LA INFANCIA (IAMI)",IF(P109=CURSOS!$D$22,"CUIDADO DEL DONANTE DE ORGANOS",IF(P109=CURSOS!$D$23,"ATENCION A VICTIMAS POR VIOLENCIA DE GENERO",IF(P109=CURSOS!$D$24,"IGUALDAD DE GENERO EN LA SALUD",IF(P109=CURSOS!$D$25,"BRIGADA DE EMERGENCIA",IF(P109=CURSOS!$D$26,"MANEJO DEL DOLOR Y CUIDADOS PALIATIVOS",IF(P109=CURSOS!$D$27,"TOMA DE MUESTRAS Y LABORATORIO POCT",IF(P109=CURSOS!$D$28,"IMPLANTE SUBDERMICO DE DISPOSITIVO INTRAUTERINO",IF(P109=CURSOS!$D$29,"SALUD MENTAL",IF(P109=CURSOS!$D$30,"PRIMEROS AUXILIOS PSICOLOGICOS",IF(P109=CURSOS!$D$31,"ATENCION A VICTIMAS POR CONFLICTO ARMADO",IF(P109=CURSOS!$D$32,"MANIPULACION DE ALIMENTOS Y BPM",IF(P109=CURSOS!$D$33,"ATENCION A PERSONAS CON DISCAPACIDAD",IF(P109=CURSOS!$D$34,"CUIDADO INTEGRAL DEL PACIENTE ADULTO",IF(P109=CURSOS!$D$35,"MANEJO DEFENSIVO",IF(P109=CURSOS!$D$36,"SOPORTE CARDIOVASCULAR AVANZADO NEONATAL",IF(P109=CURSOS!$D$37,"SEGURIDAD DEL PACIENTE",IF(P109=CURSOS!$D$38,"MANEJO DE RESIDUOS HOSPITALARIOS",IF(P109=CURSOS!$D$39,"ATENCION DE PACIENTE POR CONSUMO SUSTANCIAS PSICOACTIVAS Y ADICCIONES")))))))))))))))))))))))))))))))))))))</f>
        <v>SOPORTE VITAL BASICO (BLS)</v>
      </c>
      <c r="W109" s="75" t="str">
        <f t="shared" si="6"/>
        <v>Yury Liliana Cuatin Paspur</v>
      </c>
      <c r="X109" s="75" t="str">
        <f t="shared" si="7"/>
        <v>Yury Liliana Cuatin Paspur</v>
      </c>
      <c r="Y109" s="75" t="str">
        <f t="shared" si="8"/>
        <v>Yury Liliana Cuatin Paspur-1004691913-BLS</v>
      </c>
    </row>
    <row r="110" spans="1:25" s="97" customFormat="1" x14ac:dyDescent="0.2">
      <c r="A110" s="67">
        <v>109</v>
      </c>
      <c r="B110" s="94">
        <v>36758868</v>
      </c>
      <c r="C110" s="94" t="s">
        <v>362</v>
      </c>
      <c r="D110" s="94" t="s">
        <v>240</v>
      </c>
      <c r="E110" s="94" t="s">
        <v>363</v>
      </c>
      <c r="F110" s="94" t="s">
        <v>364</v>
      </c>
      <c r="G110" s="94">
        <v>20</v>
      </c>
      <c r="H110" s="68" t="s">
        <v>359</v>
      </c>
      <c r="I110" s="68" t="s">
        <v>129</v>
      </c>
      <c r="J110" s="100" t="s">
        <v>124</v>
      </c>
      <c r="K110" s="102">
        <v>45832</v>
      </c>
      <c r="L110" s="103">
        <v>30000</v>
      </c>
      <c r="M110" s="94" t="s">
        <v>268</v>
      </c>
      <c r="N110" s="68" t="s">
        <v>208</v>
      </c>
      <c r="O110" s="94" t="s">
        <v>108</v>
      </c>
      <c r="P110" s="72" t="s">
        <v>32</v>
      </c>
      <c r="Q110" s="100">
        <v>30013</v>
      </c>
      <c r="R110" s="94" t="s">
        <v>109</v>
      </c>
      <c r="S110" s="104" t="s">
        <v>121</v>
      </c>
      <c r="T110" s="94" t="s">
        <v>360</v>
      </c>
      <c r="U110" s="68" t="s">
        <v>361</v>
      </c>
      <c r="V110" s="75" t="str">
        <f>IF(P110=CURSOS!$D$3,"DIPLOMADO EN ATENCION PRE-HOSPITALARIA",IF(P110=CURSOS!$D$4,"ACOMPAÑAMIENTO Y MANEJO DEL DUELO",IF(P110=CURSOS!$D$5,"ATENCION A VICTIMAS DE ATAQUE CON AGENTES QUIMICOS ",IF(P110=CURSOS!$D$6,"PRIMEROS AUXILIOS ",IF(P110=CURSOS!$D$7,"DIPLOMADO DE UNIDAD DE CUIDADOS INTENSIVOS (UCI)",IF(P110=CURSOS!$D$8,"MODELO DE ATENCION PARA EVENTOS EMERGENTES EN SALUD MENTAL (CODIGO VERDE)",IF(P110=CURSOS!$D$9,"HUMANIZACION EN EL SERVICIO DE LA SALUD Y BUENAS PRACTICAS EN PACIENTE ",IF(P110=CURSOS!$D$10,"CLINICA DE HERIDAS ",IF(P110=CURSOS!$D$11,"TOMA DE CITOLOGIA CERVICO VAGINAL ",IF(P110=CURSOS!$D$12,"SOPORTE CARDIOVASCULAR AVANZADO (ACLS) ",IF(P110=CURSOS!$D$13,"CAMILLERO ",IF(P110=CURSOS!$D$14,"TOMA DE MUESTRAS Y LABORATORIO ",IF(P110=CURSOS!$D$15,"SOPORTE VITAL BASICO (BLS)",IF(P110=CURSOS!$D$16,"ATENCION A VICTIMAS DE VIOLENCIA SEXUAL ",IF(P110=CURSOS!$D$17,"PROGRAMADO AMPLIADO DE INMUNIZACION (PAI - COVID 19)",IF(P110=CURSOS!$D$18,"ATENCION INTEGRAL EN ENFERMEDADES PREVALENTES EN PRIMERA INFANCIA (AIEPI)",IF(P110=CURSOS!$D$19,"ADMINISTRACION DE MEDICAMENTOS, INYECTOLOGIA  Y CANALIZACION ",IF(P110=CURSOS!$D$20,"OPERADOR DE VEHICULOS DE EMERGENCIA (OVE)",IF(P110=CURSOS!$D$21,"INSTITUCIONES AMIGAS DE LA MUJER Y LA INFANCIA (IAMI)",IF(P110=CURSOS!$D$22,"CUIDADO DEL DONANTE DE ORGANOS",IF(P110=CURSOS!$D$23,"ATENCION A VICTIMAS POR VIOLENCIA DE GENERO",IF(P110=CURSOS!$D$24,"IGUALDAD DE GENERO EN LA SALUD",IF(P110=CURSOS!$D$25,"BRIGADA DE EMERGENCIA",IF(P110=CURSOS!$D$26,"MANEJO DEL DOLOR Y CUIDADOS PALIATIVOS",IF(P110=CURSOS!$D$27,"TOMA DE MUESTRAS Y LABORATORIO POCT",IF(P110=CURSOS!$D$28,"IMPLANTE SUBDERMICO DE DISPOSITIVO INTRAUTERINO",IF(P110=CURSOS!$D$29,"SALUD MENTAL",IF(P110=CURSOS!$D$30,"PRIMEROS AUXILIOS PSICOLOGICOS",IF(P110=CURSOS!$D$31,"ATENCION A VICTIMAS POR CONFLICTO ARMADO",IF(P110=CURSOS!$D$32,"MANIPULACION DE ALIMENTOS Y BPM",IF(P110=CURSOS!$D$33,"ATENCION A PERSONAS CON DISCAPACIDAD",IF(P110=CURSOS!$D$34,"CUIDADO INTEGRAL DEL PACIENTE ADULTO",IF(P110=CURSOS!$D$35,"MANEJO DEFENSIVO",IF(P110=CURSOS!$D$36,"SOPORTE CARDIOVASCULAR AVANZADO NEONATAL",IF(P110=CURSOS!$D$37,"SEGURIDAD DEL PACIENTE",IF(P110=CURSOS!$D$38,"MANEJO DE RESIDUOS HOSPITALARIOS",IF(P110=CURSOS!$D$39,"ATENCION DE PACIENTE POR CONSUMO SUSTANCIAS PSICOACTIVAS Y ADICCIONES")))))))))))))))))))))))))))))))))))))</f>
        <v xml:space="preserve">HUMANIZACION EN EL SERVICIO DE LA SALUD Y BUENAS PRACTICAS EN PACIENTE </v>
      </c>
      <c r="W110" s="75" t="str">
        <f t="shared" si="6"/>
        <v>Ana Isabel Caipe Quenan</v>
      </c>
      <c r="X110" s="75" t="str">
        <f t="shared" si="7"/>
        <v>Ana Isabel Caipe Quenan</v>
      </c>
      <c r="Y110" s="75" t="str">
        <f t="shared" si="8"/>
        <v>Ana Isabel Caipe Quenan-36758868-HUMANIZACION</v>
      </c>
    </row>
    <row r="111" spans="1:25" s="97" customFormat="1" x14ac:dyDescent="0.2">
      <c r="A111" s="67">
        <v>110</v>
      </c>
      <c r="B111" s="94">
        <v>36758868</v>
      </c>
      <c r="C111" s="94" t="s">
        <v>362</v>
      </c>
      <c r="D111" s="94" t="s">
        <v>240</v>
      </c>
      <c r="E111" s="94" t="s">
        <v>363</v>
      </c>
      <c r="F111" s="94" t="s">
        <v>364</v>
      </c>
      <c r="G111" s="94">
        <v>21</v>
      </c>
      <c r="H111" s="68" t="s">
        <v>359</v>
      </c>
      <c r="I111" s="68" t="s">
        <v>129</v>
      </c>
      <c r="J111" s="100" t="s">
        <v>124</v>
      </c>
      <c r="K111" s="102">
        <v>45832</v>
      </c>
      <c r="L111" s="71">
        <v>30000</v>
      </c>
      <c r="M111" s="68" t="s">
        <v>268</v>
      </c>
      <c r="N111" s="68" t="s">
        <v>208</v>
      </c>
      <c r="O111" s="94" t="s">
        <v>108</v>
      </c>
      <c r="P111" s="72" t="s">
        <v>42</v>
      </c>
      <c r="Q111" s="69">
        <v>30013</v>
      </c>
      <c r="R111" s="94" t="s">
        <v>109</v>
      </c>
      <c r="S111" s="94" t="s">
        <v>121</v>
      </c>
      <c r="T111" s="94" t="s">
        <v>360</v>
      </c>
      <c r="U111" s="68" t="s">
        <v>361</v>
      </c>
      <c r="V111" s="75" t="str">
        <f>IF(P111=CURSOS!$D$3,"DIPLOMADO EN ATENCION PRE-HOSPITALARIA",IF(P111=CURSOS!$D$4,"ACOMPAÑAMIENTO Y MANEJO DEL DUELO",IF(P111=CURSOS!$D$5,"ATENCION A VICTIMAS DE ATAQUE CON AGENTES QUIMICOS ",IF(P111=CURSOS!$D$6,"PRIMEROS AUXILIOS ",IF(P111=CURSOS!$D$7,"DIPLOMADO DE UNIDAD DE CUIDADOS INTENSIVOS (UCI)",IF(P111=CURSOS!$D$8,"MODELO DE ATENCION PARA EVENTOS EMERGENTES EN SALUD MENTAL (CODIGO VERDE)",IF(P111=CURSOS!$D$9,"HUMANIZACION EN EL SERVICIO DE LA SALUD Y BUENAS PRACTICAS EN PACIENTE ",IF(P111=CURSOS!$D$10,"CLINICA DE HERIDAS ",IF(P111=CURSOS!$D$11,"TOMA DE CITOLOGIA CERVICO VAGINAL ",IF(P111=CURSOS!$D$12,"SOPORTE CARDIOVASCULAR AVANZADO (ACLS) ",IF(P111=CURSOS!$D$13,"CAMILLERO ",IF(P111=CURSOS!$D$14,"TOMA DE MUESTRAS Y LABORATORIO ",IF(P111=CURSOS!$D$15,"SOPORTE VITAL BASICO (BLS)",IF(P111=CURSOS!$D$16,"ATENCION A VICTIMAS DE VIOLENCIA SEXUAL ",IF(P111=CURSOS!$D$17,"PROGRAMADO AMPLIADO DE INMUNIZACION (PAI - COVID 19)",IF(P111=CURSOS!$D$18,"ATENCION INTEGRAL EN ENFERMEDADES PREVALENTES EN PRIMERA INFANCIA (AIEPI)",IF(P111=CURSOS!$D$19,"ADMINISTRACION DE MEDICAMENTOS, INYECTOLOGIA  Y CANALIZACION ",IF(P111=CURSOS!$D$20,"OPERADOR DE VEHICULOS DE EMERGENCIA (OVE)",IF(P111=CURSOS!$D$21,"INSTITUCIONES AMIGAS DE LA MUJER Y LA INFANCIA (IAMI)",IF(P111=CURSOS!$D$22,"CUIDADO DEL DONANTE DE ORGANOS",IF(P111=CURSOS!$D$23,"ATENCION A VICTIMAS POR VIOLENCIA DE GENERO",IF(P111=CURSOS!$D$24,"IGUALDAD DE GENERO EN LA SALUD",IF(P111=CURSOS!$D$25,"BRIGADA DE EMERGENCIA",IF(P111=CURSOS!$D$26,"MANEJO DEL DOLOR Y CUIDADOS PALIATIVOS",IF(P111=CURSOS!$D$27,"TOMA DE MUESTRAS Y LABORATORIO POCT",IF(P111=CURSOS!$D$28,"IMPLANTE SUBDERMICO DE DISPOSITIVO INTRAUTERINO",IF(P111=CURSOS!$D$29,"SALUD MENTAL",IF(P111=CURSOS!$D$30,"PRIMEROS AUXILIOS PSICOLOGICOS",IF(P111=CURSOS!$D$31,"ATENCION A VICTIMAS POR CONFLICTO ARMADO",IF(P111=CURSOS!$D$32,"MANIPULACION DE ALIMENTOS Y BPM",IF(P111=CURSOS!$D$33,"ATENCION A PERSONAS CON DISCAPACIDAD",IF(P111=CURSOS!$D$34,"CUIDADO INTEGRAL DEL PACIENTE ADULTO",IF(P111=CURSOS!$D$35,"MANEJO DEFENSIVO",IF(P111=CURSOS!$D$36,"SOPORTE CARDIOVASCULAR AVANZADO NEONATAL",IF(P111=CURSOS!$D$37,"SEGURIDAD DEL PACIENTE",IF(P111=CURSOS!$D$38,"MANEJO DE RESIDUOS HOSPITALARIOS",IF(P111=CURSOS!$D$39,"ATENCION DE PACIENTE POR CONSUMO SUSTANCIAS PSICOACTIVAS Y ADICCIONES")))))))))))))))))))))))))))))))))))))</f>
        <v xml:space="preserve">ATENCION A VICTIMAS DE VIOLENCIA SEXUAL </v>
      </c>
      <c r="W111" s="75" t="str">
        <f t="shared" si="6"/>
        <v>Ana Isabel Caipe Quenan</v>
      </c>
      <c r="X111" s="75" t="str">
        <f t="shared" si="7"/>
        <v>Ana Isabel Caipe Quenan</v>
      </c>
      <c r="Y111" s="75" t="str">
        <f t="shared" si="8"/>
        <v>Ana Isabel Caipe Quenan-36758868-VIOLENCIA SEXUAL</v>
      </c>
    </row>
    <row r="112" spans="1:25" s="76" customFormat="1" x14ac:dyDescent="0.2">
      <c r="A112" s="67">
        <v>111</v>
      </c>
      <c r="B112" s="94">
        <v>1004216298</v>
      </c>
      <c r="C112" s="94" t="s">
        <v>365</v>
      </c>
      <c r="D112" s="94" t="s">
        <v>366</v>
      </c>
      <c r="E112" s="94" t="s">
        <v>270</v>
      </c>
      <c r="F112" s="94" t="s">
        <v>248</v>
      </c>
      <c r="G112" s="94">
        <v>25</v>
      </c>
      <c r="H112" s="68" t="s">
        <v>100</v>
      </c>
      <c r="I112" s="68" t="s">
        <v>129</v>
      </c>
      <c r="J112" s="100" t="s">
        <v>346</v>
      </c>
      <c r="K112" s="70">
        <v>45833</v>
      </c>
      <c r="L112" s="71">
        <v>40000</v>
      </c>
      <c r="M112" s="68" t="s">
        <v>123</v>
      </c>
      <c r="N112" s="68" t="s">
        <v>207</v>
      </c>
      <c r="O112" s="94" t="s">
        <v>108</v>
      </c>
      <c r="P112" s="72" t="s">
        <v>19</v>
      </c>
      <c r="Q112" s="69">
        <v>37500</v>
      </c>
      <c r="R112" s="94" t="s">
        <v>109</v>
      </c>
      <c r="S112" s="94" t="s">
        <v>130</v>
      </c>
      <c r="T112" s="101">
        <v>3138539467</v>
      </c>
      <c r="U112" s="68" t="s">
        <v>367</v>
      </c>
      <c r="V112" s="75" t="str">
        <f>IF(P112=CURSOS!$D$3,"DIPLOMADO EN ATENCION PRE-HOSPITALARIA",IF(P112=CURSOS!$D$4,"ACOMPAÑAMIENTO Y MANEJO DEL DUELO",IF(P112=CURSOS!$D$5,"ATENCION A VICTIMAS DE ATAQUE CON AGENTES QUIMICOS ",IF(P112=CURSOS!$D$6,"PRIMEROS AUXILIOS ",IF(P112=CURSOS!$D$7,"DIPLOMADO DE UNIDAD DE CUIDADOS INTENSIVOS (UCI)",IF(P112=CURSOS!$D$8,"MODELO DE ATENCION PARA EVENTOS EMERGENTES EN SALUD MENTAL (CODIGO VERDE)",IF(P112=CURSOS!$D$9,"HUMANIZACION EN EL SERVICIO DE LA SALUD Y BUENAS PRACTICAS EN PACIENTE ",IF(P112=CURSOS!$D$10,"CLINICA DE HERIDAS ",IF(P112=CURSOS!$D$11,"TOMA DE CITOLOGIA CERVICO VAGINAL ",IF(P112=CURSOS!$D$12,"SOPORTE CARDIOVASCULAR AVANZADO (ACLS) ",IF(P112=CURSOS!$D$13,"CAMILLERO ",IF(P112=CURSOS!$D$14,"TOMA DE MUESTRAS Y LABORATORIO ",IF(P112=CURSOS!$D$15,"SOPORTE VITAL BASICO (BLS)",IF(P112=CURSOS!$D$16,"ATENCION A VICTIMAS DE VIOLENCIA SEXUAL ",IF(P112=CURSOS!$D$17,"PROGRAMADO AMPLIADO DE INMUNIZACION (PAI - COVID 19)",IF(P112=CURSOS!$D$18,"ATENCION INTEGRAL EN ENFERMEDADES PREVALENTES EN PRIMERA INFANCIA (AIEPI)",IF(P112=CURSOS!$D$19,"ADMINISTRACION DE MEDICAMENTOS, INYECTOLOGIA  Y CANALIZACION ",IF(P112=CURSOS!$D$20,"OPERADOR DE VEHICULOS DE EMERGENCIA (OVE)",IF(P112=CURSOS!$D$21,"INSTITUCIONES AMIGAS DE LA MUJER Y LA INFANCIA (IAMI)",IF(P112=CURSOS!$D$22,"CUIDADO DEL DONANTE DE ORGANOS",IF(P112=CURSOS!$D$23,"ATENCION A VICTIMAS POR VIOLENCIA DE GENERO",IF(P112=CURSOS!$D$24,"IGUALDAD DE GENERO EN LA SALUD",IF(P112=CURSOS!$D$25,"BRIGADA DE EMERGENCIA",IF(P112=CURSOS!$D$26,"MANEJO DEL DOLOR Y CUIDADOS PALIATIVOS",IF(P112=CURSOS!$D$27,"TOMA DE MUESTRAS Y LABORATORIO POCT",IF(P112=CURSOS!$D$28,"IMPLANTE SUBDERMICO DE DISPOSITIVO INTRAUTERINO",IF(P112=CURSOS!$D$29,"SALUD MENTAL",IF(P112=CURSOS!$D$30,"PRIMEROS AUXILIOS PSICOLOGICOS",IF(P112=CURSOS!$D$31,"ATENCION A VICTIMAS POR CONFLICTO ARMADO",IF(P112=CURSOS!$D$32,"MANIPULACION DE ALIMENTOS Y BPM",IF(P112=CURSOS!$D$33,"ATENCION A PERSONAS CON DISCAPACIDAD",IF(P112=CURSOS!$D$34,"CUIDADO INTEGRAL DEL PACIENTE ADULTO",IF(P112=CURSOS!$D$35,"MANEJO DEFENSIVO",IF(P112=CURSOS!$D$36,"SOPORTE CARDIOVASCULAR AVANZADO NEONATAL",IF(P112=CURSOS!$D$37,"SEGURIDAD DEL PACIENTE",IF(P112=CURSOS!$D$38,"MANEJO DE RESIDUOS HOSPITALARIOS",IF(P112=CURSOS!$D$39,"ATENCION DE PACIENTE POR CONSUMO SUSTANCIAS PSICOACTIVAS Y ADICCIONES")))))))))))))))))))))))))))))))))))))</f>
        <v>SOPORTE VITAL BASICO (BLS)</v>
      </c>
      <c r="W112" s="75" t="str">
        <f t="shared" si="6"/>
        <v>Nathaly Alejandra Arias Crespo</v>
      </c>
      <c r="X112" s="75" t="str">
        <f t="shared" si="7"/>
        <v>Nathaly Alejandra Arias Crespo</v>
      </c>
      <c r="Y112" s="75" t="str">
        <f t="shared" si="8"/>
        <v>Nathaly Alejandra Arias Crespo-1004216298-BLS</v>
      </c>
    </row>
    <row r="113" spans="1:25" s="76" customFormat="1" x14ac:dyDescent="0.2">
      <c r="A113" s="67">
        <v>112</v>
      </c>
      <c r="B113" s="94">
        <v>1004690328</v>
      </c>
      <c r="C113" s="94" t="s">
        <v>368</v>
      </c>
      <c r="D113" s="94" t="s">
        <v>369</v>
      </c>
      <c r="E113" s="94" t="s">
        <v>370</v>
      </c>
      <c r="F113" s="94" t="s">
        <v>371</v>
      </c>
      <c r="G113" s="94">
        <v>24</v>
      </c>
      <c r="H113" s="68" t="s">
        <v>100</v>
      </c>
      <c r="I113" s="68" t="s">
        <v>107</v>
      </c>
      <c r="J113" s="100" t="s">
        <v>124</v>
      </c>
      <c r="K113" s="70">
        <v>45833</v>
      </c>
      <c r="L113" s="71">
        <v>80000</v>
      </c>
      <c r="M113" s="68" t="s">
        <v>123</v>
      </c>
      <c r="N113" s="68" t="s">
        <v>140</v>
      </c>
      <c r="O113" s="94" t="s">
        <v>108</v>
      </c>
      <c r="P113" s="72" t="s">
        <v>32</v>
      </c>
      <c r="Q113" s="69">
        <v>37227</v>
      </c>
      <c r="R113" s="94" t="s">
        <v>109</v>
      </c>
      <c r="S113" s="94" t="s">
        <v>372</v>
      </c>
      <c r="T113" s="101">
        <v>3113092133</v>
      </c>
      <c r="U113" s="68" t="s">
        <v>373</v>
      </c>
      <c r="V113" s="75" t="str">
        <f>IF(P113=CURSOS!$D$3,"DIPLOMADO EN ATENCION PRE-HOSPITALARIA",IF(P113=CURSOS!$D$4,"ACOMPAÑAMIENTO Y MANEJO DEL DUELO",IF(P113=CURSOS!$D$5,"ATENCION A VICTIMAS DE ATAQUE CON AGENTES QUIMICOS ",IF(P113=CURSOS!$D$6,"PRIMEROS AUXILIOS ",IF(P113=CURSOS!$D$7,"DIPLOMADO DE UNIDAD DE CUIDADOS INTENSIVOS (UCI)",IF(P113=CURSOS!$D$8,"MODELO DE ATENCION PARA EVENTOS EMERGENTES EN SALUD MENTAL (CODIGO VERDE)",IF(P113=CURSOS!$D$9,"HUMANIZACION EN EL SERVICIO DE LA SALUD Y BUENAS PRACTICAS EN PACIENTE ",IF(P113=CURSOS!$D$10,"CLINICA DE HERIDAS ",IF(P113=CURSOS!$D$11,"TOMA DE CITOLOGIA CERVICO VAGINAL ",IF(P113=CURSOS!$D$12,"SOPORTE CARDIOVASCULAR AVANZADO (ACLS) ",IF(P113=CURSOS!$D$13,"CAMILLERO ",IF(P113=CURSOS!$D$14,"TOMA DE MUESTRAS Y LABORATORIO ",IF(P113=CURSOS!$D$15,"SOPORTE VITAL BASICO (BLS)",IF(P113=CURSOS!$D$16,"ATENCION A VICTIMAS DE VIOLENCIA SEXUAL ",IF(P113=CURSOS!$D$17,"PROGRAMADO AMPLIADO DE INMUNIZACION (PAI - COVID 19)",IF(P113=CURSOS!$D$18,"ATENCION INTEGRAL EN ENFERMEDADES PREVALENTES EN PRIMERA INFANCIA (AIEPI)",IF(P113=CURSOS!$D$19,"ADMINISTRACION DE MEDICAMENTOS, INYECTOLOGIA  Y CANALIZACION ",IF(P113=CURSOS!$D$20,"OPERADOR DE VEHICULOS DE EMERGENCIA (OVE)",IF(P113=CURSOS!$D$21,"INSTITUCIONES AMIGAS DE LA MUJER Y LA INFANCIA (IAMI)",IF(P113=CURSOS!$D$22,"CUIDADO DEL DONANTE DE ORGANOS",IF(P113=CURSOS!$D$23,"ATENCION A VICTIMAS POR VIOLENCIA DE GENERO",IF(P113=CURSOS!$D$24,"IGUALDAD DE GENERO EN LA SALUD",IF(P113=CURSOS!$D$25,"BRIGADA DE EMERGENCIA",IF(P113=CURSOS!$D$26,"MANEJO DEL DOLOR Y CUIDADOS PALIATIVOS",IF(P113=CURSOS!$D$27,"TOMA DE MUESTRAS Y LABORATORIO POCT",IF(P113=CURSOS!$D$28,"IMPLANTE SUBDERMICO DE DISPOSITIVO INTRAUTERINO",IF(P113=CURSOS!$D$29,"SALUD MENTAL",IF(P113=CURSOS!$D$30,"PRIMEROS AUXILIOS PSICOLOGICOS",IF(P113=CURSOS!$D$31,"ATENCION A VICTIMAS POR CONFLICTO ARMADO",IF(P113=CURSOS!$D$32,"MANIPULACION DE ALIMENTOS Y BPM",IF(P113=CURSOS!$D$33,"ATENCION A PERSONAS CON DISCAPACIDAD",IF(P113=CURSOS!$D$34,"CUIDADO INTEGRAL DEL PACIENTE ADULTO",IF(P113=CURSOS!$D$35,"MANEJO DEFENSIVO",IF(P113=CURSOS!$D$36,"SOPORTE CARDIOVASCULAR AVANZADO NEONATAL",IF(P113=CURSOS!$D$37,"SEGURIDAD DEL PACIENTE",IF(P113=CURSOS!$D$38,"MANEJO DE RESIDUOS HOSPITALARIOS",IF(P113=CURSOS!$D$39,"ATENCION DE PACIENTE POR CONSUMO SUSTANCIAS PSICOACTIVAS Y ADICCIONES")))))))))))))))))))))))))))))))))))))</f>
        <v xml:space="preserve">HUMANIZACION EN EL SERVICIO DE LA SALUD Y BUENAS PRACTICAS EN PACIENTE </v>
      </c>
      <c r="W113" s="75" t="str">
        <f t="shared" si="6"/>
        <v>Maria  Camila Realpe Arcos</v>
      </c>
      <c r="X113" s="75" t="str">
        <f t="shared" si="7"/>
        <v>Maria  Camila Realpe Arcos</v>
      </c>
      <c r="Y113" s="75" t="str">
        <f t="shared" si="8"/>
        <v>Maria  Camila Realpe Arcos-1004690328-HUMANIZACION</v>
      </c>
    </row>
    <row r="114" spans="1:25" s="76" customFormat="1" x14ac:dyDescent="0.2">
      <c r="A114" s="67">
        <v>113</v>
      </c>
      <c r="B114" s="94">
        <v>1087406886</v>
      </c>
      <c r="C114" s="94" t="s">
        <v>318</v>
      </c>
      <c r="D114" s="94" t="s">
        <v>313</v>
      </c>
      <c r="E114" s="94" t="s">
        <v>363</v>
      </c>
      <c r="F114" s="94" t="s">
        <v>374</v>
      </c>
      <c r="G114" s="94">
        <v>25</v>
      </c>
      <c r="H114" s="68" t="s">
        <v>100</v>
      </c>
      <c r="I114" s="68" t="s">
        <v>129</v>
      </c>
      <c r="J114" s="100" t="s">
        <v>148</v>
      </c>
      <c r="K114" s="70">
        <v>45828</v>
      </c>
      <c r="L114" s="71">
        <v>28000</v>
      </c>
      <c r="M114" s="68" t="s">
        <v>123</v>
      </c>
      <c r="N114" s="68" t="s">
        <v>140</v>
      </c>
      <c r="O114" s="94" t="s">
        <v>149</v>
      </c>
      <c r="P114" s="72" t="s">
        <v>23</v>
      </c>
      <c r="Q114" s="69">
        <v>36437</v>
      </c>
      <c r="R114" s="94" t="s">
        <v>109</v>
      </c>
      <c r="S114" s="94" t="s">
        <v>130</v>
      </c>
      <c r="T114" s="101">
        <v>3176809857</v>
      </c>
      <c r="U114" s="68" t="s">
        <v>375</v>
      </c>
      <c r="V114" s="75" t="str">
        <f>IF(P114=CURSOS!$D$3,"DIPLOMADO EN ATENCION PRE-HOSPITALARIA",IF(P114=CURSOS!$D$4,"ACOMPAÑAMIENTO Y MANEJO DEL DUELO",IF(P114=CURSOS!$D$5,"ATENCION A VICTIMAS DE ATAQUE CON AGENTES QUIMICOS ",IF(P114=CURSOS!$D$6,"PRIMEROS AUXILIOS ",IF(P114=CURSOS!$D$7,"DIPLOMADO DE UNIDAD DE CUIDADOS INTENSIVOS (UCI)",IF(P114=CURSOS!$D$8,"MODELO DE ATENCION PARA EVENTOS EMERGENTES EN SALUD MENTAL (CODIGO VERDE)",IF(P114=CURSOS!$D$9,"HUMANIZACION EN EL SERVICIO DE LA SALUD Y BUENAS PRACTICAS EN PACIENTE ",IF(P114=CURSOS!$D$10,"CLINICA DE HERIDAS ",IF(P114=CURSOS!$D$11,"TOMA DE CITOLOGIA CERVICO VAGINAL ",IF(P114=CURSOS!$D$12,"SOPORTE CARDIOVASCULAR AVANZADO (ACLS) ",IF(P114=CURSOS!$D$13,"CAMILLERO ",IF(P114=CURSOS!$D$14,"TOMA DE MUESTRAS Y LABORATORIO ",IF(P114=CURSOS!$D$15,"SOPORTE VITAL BASICO (BLS)",IF(P114=CURSOS!$D$16,"ATENCION A VICTIMAS DE VIOLENCIA SEXUAL ",IF(P114=CURSOS!$D$17,"PROGRAMADO AMPLIADO DE INMUNIZACION (PAI - COVID 19)",IF(P114=CURSOS!$D$18,"ATENCION INTEGRAL EN ENFERMEDADES PREVALENTES EN PRIMERA INFANCIA (AIEPI)",IF(P114=CURSOS!$D$19,"ADMINISTRACION DE MEDICAMENTOS, INYECTOLOGIA  Y CANALIZACION ",IF(P114=CURSOS!$D$20,"OPERADOR DE VEHICULOS DE EMERGENCIA (OVE)",IF(P114=CURSOS!$D$21,"INSTITUCIONES AMIGAS DE LA MUJER Y LA INFANCIA (IAMI)",IF(P114=CURSOS!$D$22,"CUIDADO DEL DONANTE DE ORGANOS",IF(P114=CURSOS!$D$23,"ATENCION A VICTIMAS POR VIOLENCIA DE GENERO",IF(P114=CURSOS!$D$24,"IGUALDAD DE GENERO EN LA SALUD",IF(P114=CURSOS!$D$25,"BRIGADA DE EMERGENCIA",IF(P114=CURSOS!$D$26,"MANEJO DEL DOLOR Y CUIDADOS PALIATIVOS",IF(P114=CURSOS!$D$27,"TOMA DE MUESTRAS Y LABORATORIO POCT",IF(P114=CURSOS!$D$28,"IMPLANTE SUBDERMICO DE DISPOSITIVO INTRAUTERINO",IF(P114=CURSOS!$D$29,"SALUD MENTAL",IF(P114=CURSOS!$D$30,"PRIMEROS AUXILIOS PSICOLOGICOS",IF(P114=CURSOS!$D$31,"ATENCION A VICTIMAS POR CONFLICTO ARMADO",IF(P114=CURSOS!$D$32,"MANIPULACION DE ALIMENTOS Y BPM",IF(P114=CURSOS!$D$33,"ATENCION A PERSONAS CON DISCAPACIDAD",IF(P114=CURSOS!$D$34,"CUIDADO INTEGRAL DEL PACIENTE ADULTO",IF(P114=CURSOS!$D$35,"MANEJO DEFENSIVO",IF(P114=CURSOS!$D$36,"SOPORTE CARDIOVASCULAR AVANZADO NEONATAL",IF(P114=CURSOS!$D$37,"SEGURIDAD DEL PACIENTE",IF(P114=CURSOS!$D$38,"MANEJO DE RESIDUOS HOSPITALARIOS",IF(P114=CURSOS!$D$39,"ATENCION DE PACIENTE POR CONSUMO SUSTANCIAS PSICOACTIVAS Y ADICCIONES")))))))))))))))))))))))))))))))))))))</f>
        <v>ACOMPAÑAMIENTO Y MANEJO DEL DUELO</v>
      </c>
      <c r="W114" s="75" t="str">
        <f t="shared" si="6"/>
        <v>Ana Giselly Pantoja Sanchez</v>
      </c>
      <c r="X114" s="75" t="str">
        <f t="shared" si="7"/>
        <v>Ana Giselly Pantoja Sanchez</v>
      </c>
      <c r="Y114" s="75" t="str">
        <f t="shared" si="8"/>
        <v>Ana Giselly Pantoja Sanchez-1087406886-DUELO</v>
      </c>
    </row>
    <row r="115" spans="1:25" s="76" customFormat="1" x14ac:dyDescent="0.2">
      <c r="A115" s="67">
        <v>114</v>
      </c>
      <c r="B115" s="94">
        <v>1087406886</v>
      </c>
      <c r="C115" s="94" t="s">
        <v>318</v>
      </c>
      <c r="D115" s="94" t="s">
        <v>313</v>
      </c>
      <c r="E115" s="94" t="s">
        <v>363</v>
      </c>
      <c r="F115" s="94" t="s">
        <v>374</v>
      </c>
      <c r="G115" s="94">
        <v>25</v>
      </c>
      <c r="H115" s="68" t="s">
        <v>100</v>
      </c>
      <c r="I115" s="68" t="s">
        <v>129</v>
      </c>
      <c r="J115" s="100" t="s">
        <v>148</v>
      </c>
      <c r="K115" s="70">
        <v>45828</v>
      </c>
      <c r="L115" s="71">
        <v>28000</v>
      </c>
      <c r="M115" s="68" t="s">
        <v>123</v>
      </c>
      <c r="N115" s="68" t="s">
        <v>140</v>
      </c>
      <c r="O115" s="94" t="s">
        <v>149</v>
      </c>
      <c r="P115" s="72" t="s">
        <v>42</v>
      </c>
      <c r="Q115" s="69">
        <v>36437</v>
      </c>
      <c r="R115" s="94" t="s">
        <v>109</v>
      </c>
      <c r="S115" s="94" t="s">
        <v>130</v>
      </c>
      <c r="T115" s="101">
        <v>3176809857</v>
      </c>
      <c r="U115" s="68" t="s">
        <v>375</v>
      </c>
      <c r="V115" s="75" t="str">
        <f>IF(P115=CURSOS!$D$3,"DIPLOMADO EN ATENCION PRE-HOSPITALARIA",IF(P115=CURSOS!$D$4,"ACOMPAÑAMIENTO Y MANEJO DEL DUELO",IF(P115=CURSOS!$D$5,"ATENCION A VICTIMAS DE ATAQUE CON AGENTES QUIMICOS ",IF(P115=CURSOS!$D$6,"PRIMEROS AUXILIOS ",IF(P115=CURSOS!$D$7,"DIPLOMADO DE UNIDAD DE CUIDADOS INTENSIVOS (UCI)",IF(P115=CURSOS!$D$8,"MODELO DE ATENCION PARA EVENTOS EMERGENTES EN SALUD MENTAL (CODIGO VERDE)",IF(P115=CURSOS!$D$9,"HUMANIZACION EN EL SERVICIO DE LA SALUD Y BUENAS PRACTICAS EN PACIENTE ",IF(P115=CURSOS!$D$10,"CLINICA DE HERIDAS ",IF(P115=CURSOS!$D$11,"TOMA DE CITOLOGIA CERVICO VAGINAL ",IF(P115=CURSOS!$D$12,"SOPORTE CARDIOVASCULAR AVANZADO (ACLS) ",IF(P115=CURSOS!$D$13,"CAMILLERO ",IF(P115=CURSOS!$D$14,"TOMA DE MUESTRAS Y LABORATORIO ",IF(P115=CURSOS!$D$15,"SOPORTE VITAL BASICO (BLS)",IF(P115=CURSOS!$D$16,"ATENCION A VICTIMAS DE VIOLENCIA SEXUAL ",IF(P115=CURSOS!$D$17,"PROGRAMADO AMPLIADO DE INMUNIZACION (PAI - COVID 19)",IF(P115=CURSOS!$D$18,"ATENCION INTEGRAL EN ENFERMEDADES PREVALENTES EN PRIMERA INFANCIA (AIEPI)",IF(P115=CURSOS!$D$19,"ADMINISTRACION DE MEDICAMENTOS, INYECTOLOGIA  Y CANALIZACION ",IF(P115=CURSOS!$D$20,"OPERADOR DE VEHICULOS DE EMERGENCIA (OVE)",IF(P115=CURSOS!$D$21,"INSTITUCIONES AMIGAS DE LA MUJER Y LA INFANCIA (IAMI)",IF(P115=CURSOS!$D$22,"CUIDADO DEL DONANTE DE ORGANOS",IF(P115=CURSOS!$D$23,"ATENCION A VICTIMAS POR VIOLENCIA DE GENERO",IF(P115=CURSOS!$D$24,"IGUALDAD DE GENERO EN LA SALUD",IF(P115=CURSOS!$D$25,"BRIGADA DE EMERGENCIA",IF(P115=CURSOS!$D$26,"MANEJO DEL DOLOR Y CUIDADOS PALIATIVOS",IF(P115=CURSOS!$D$27,"TOMA DE MUESTRAS Y LABORATORIO POCT",IF(P115=CURSOS!$D$28,"IMPLANTE SUBDERMICO DE DISPOSITIVO INTRAUTERINO",IF(P115=CURSOS!$D$29,"SALUD MENTAL",IF(P115=CURSOS!$D$30,"PRIMEROS AUXILIOS PSICOLOGICOS",IF(P115=CURSOS!$D$31,"ATENCION A VICTIMAS POR CONFLICTO ARMADO",IF(P115=CURSOS!$D$32,"MANIPULACION DE ALIMENTOS Y BPM",IF(P115=CURSOS!$D$33,"ATENCION A PERSONAS CON DISCAPACIDAD",IF(P115=CURSOS!$D$34,"CUIDADO INTEGRAL DEL PACIENTE ADULTO",IF(P115=CURSOS!$D$35,"MANEJO DEFENSIVO",IF(P115=CURSOS!$D$36,"SOPORTE CARDIOVASCULAR AVANZADO NEONATAL",IF(P115=CURSOS!$D$37,"SEGURIDAD DEL PACIENTE",IF(P115=CURSOS!$D$38,"MANEJO DE RESIDUOS HOSPITALARIOS",IF(P115=CURSOS!$D$39,"ATENCION DE PACIENTE POR CONSUMO SUSTANCIAS PSICOACTIVAS Y ADICCIONES")))))))))))))))))))))))))))))))))))))</f>
        <v xml:space="preserve">ATENCION A VICTIMAS DE VIOLENCIA SEXUAL </v>
      </c>
      <c r="W115" s="75" t="str">
        <f t="shared" si="6"/>
        <v>Ana Giselly Pantoja Sanchez</v>
      </c>
      <c r="X115" s="75" t="str">
        <f t="shared" si="7"/>
        <v>Ana Giselly Pantoja Sanchez</v>
      </c>
      <c r="Y115" s="75" t="str">
        <f t="shared" si="8"/>
        <v>Ana Giselly Pantoja Sanchez-1087406886-VIOLENCIA SEXUAL</v>
      </c>
    </row>
    <row r="116" spans="1:25" s="76" customFormat="1" x14ac:dyDescent="0.2">
      <c r="A116" s="67">
        <v>115</v>
      </c>
      <c r="B116" s="68">
        <v>1082690798</v>
      </c>
      <c r="C116" s="94" t="s">
        <v>376</v>
      </c>
      <c r="D116" s="94" t="s">
        <v>377</v>
      </c>
      <c r="E116" s="94" t="s">
        <v>378</v>
      </c>
      <c r="F116" s="94" t="s">
        <v>379</v>
      </c>
      <c r="G116" s="94">
        <v>25</v>
      </c>
      <c r="H116" s="68" t="s">
        <v>100</v>
      </c>
      <c r="I116" s="68" t="s">
        <v>107</v>
      </c>
      <c r="J116" s="100" t="s">
        <v>124</v>
      </c>
      <c r="K116" s="70">
        <v>45834</v>
      </c>
      <c r="L116" s="71">
        <v>70000</v>
      </c>
      <c r="M116" s="68" t="s">
        <v>123</v>
      </c>
      <c r="N116" s="68" t="s">
        <v>140</v>
      </c>
      <c r="O116" s="68" t="s">
        <v>224</v>
      </c>
      <c r="P116" s="72" t="s">
        <v>32</v>
      </c>
      <c r="Q116" s="69">
        <v>11734</v>
      </c>
      <c r="R116" s="94" t="s">
        <v>109</v>
      </c>
      <c r="S116" s="68" t="s">
        <v>380</v>
      </c>
      <c r="T116" s="68">
        <v>3238501959</v>
      </c>
      <c r="U116" s="68" t="s">
        <v>381</v>
      </c>
      <c r="V116" s="75" t="str">
        <f>IF(P116=CURSOS!$D$3,"DIPLOMADO EN ATENCION PRE-HOSPITALARIA",IF(P116=CURSOS!$D$4,"ACOMPAÑAMIENTO Y MANEJO DEL DUELO",IF(P116=CURSOS!$D$5,"ATENCION A VICTIMAS DE ATAQUE CON AGENTES QUIMICOS ",IF(P116=CURSOS!$D$6,"PRIMEROS AUXILIOS ",IF(P116=CURSOS!$D$7,"DIPLOMADO DE UNIDAD DE CUIDADOS INTENSIVOS (UCI)",IF(P116=CURSOS!$D$8,"MODELO DE ATENCION PARA EVENTOS EMERGENTES EN SALUD MENTAL (CODIGO VERDE)",IF(P116=CURSOS!$D$9,"HUMANIZACION EN EL SERVICIO DE LA SALUD Y BUENAS PRACTICAS EN PACIENTE ",IF(P116=CURSOS!$D$10,"CLINICA DE HERIDAS ",IF(P116=CURSOS!$D$11,"TOMA DE CITOLOGIA CERVICO VAGINAL ",IF(P116=CURSOS!$D$12,"SOPORTE CARDIOVASCULAR AVANZADO (ACLS) ",IF(P116=CURSOS!$D$13,"CAMILLERO ",IF(P116=CURSOS!$D$14,"TOMA DE MUESTRAS Y LABORATORIO ",IF(P116=CURSOS!$D$15,"SOPORTE VITAL BASICO (BLS)",IF(P116=CURSOS!$D$16,"ATENCION A VICTIMAS DE VIOLENCIA SEXUAL ",IF(P116=CURSOS!$D$17,"PROGRAMADO AMPLIADO DE INMUNIZACION (PAI - COVID 19)",IF(P116=CURSOS!$D$18,"ATENCION INTEGRAL EN ENFERMEDADES PREVALENTES EN PRIMERA INFANCIA (AIEPI)",IF(P116=CURSOS!$D$19,"ADMINISTRACION DE MEDICAMENTOS, INYECTOLOGIA  Y CANALIZACION ",IF(P116=CURSOS!$D$20,"OPERADOR DE VEHICULOS DE EMERGENCIA (OVE)",IF(P116=CURSOS!$D$21,"INSTITUCIONES AMIGAS DE LA MUJER Y LA INFANCIA (IAMI)",IF(P116=CURSOS!$D$22,"CUIDADO DEL DONANTE DE ORGANOS",IF(P116=CURSOS!$D$23,"ATENCION A VICTIMAS POR VIOLENCIA DE GENERO",IF(P116=CURSOS!$D$24,"IGUALDAD DE GENERO EN LA SALUD",IF(P116=CURSOS!$D$25,"BRIGADA DE EMERGENCIA",IF(P116=CURSOS!$D$26,"MANEJO DEL DOLOR Y CUIDADOS PALIATIVOS",IF(P116=CURSOS!$D$27,"TOMA DE MUESTRAS Y LABORATORIO POCT",IF(P116=CURSOS!$D$28,"IMPLANTE SUBDERMICO DE DISPOSITIVO INTRAUTERINO",IF(P116=CURSOS!$D$29,"SALUD MENTAL",IF(P116=CURSOS!$D$30,"PRIMEROS AUXILIOS PSICOLOGICOS",IF(P116=CURSOS!$D$31,"ATENCION A VICTIMAS POR CONFLICTO ARMADO",IF(P116=CURSOS!$D$32,"MANIPULACION DE ALIMENTOS Y BPM",IF(P116=CURSOS!$D$33,"ATENCION A PERSONAS CON DISCAPACIDAD",IF(P116=CURSOS!$D$34,"CUIDADO INTEGRAL DEL PACIENTE ADULTO",IF(P116=CURSOS!$D$35,"MANEJO DEFENSIVO",IF(P116=CURSOS!$D$36,"SOPORTE CARDIOVASCULAR AVANZADO NEONATAL",IF(P116=CURSOS!$D$37,"SEGURIDAD DEL PACIENTE",IF(P116=CURSOS!$D$38,"MANEJO DE RESIDUOS HOSPITALARIOS",IF(P116=CURSOS!$D$39,"ATENCION DE PACIENTE POR CONSUMO SUSTANCIAS PSICOACTIVAS Y ADICCIONES")))))))))))))))))))))))))))))))))))))</f>
        <v xml:space="preserve">HUMANIZACION EN EL SERVICIO DE LA SALUD Y BUENAS PRACTICAS EN PACIENTE </v>
      </c>
      <c r="W116" s="75" t="str">
        <f t="shared" si="6"/>
        <v>Cindy Bibiana Castillo Cortes</v>
      </c>
      <c r="X116" s="75" t="str">
        <f t="shared" si="7"/>
        <v>Cindy Bibiana Castillo Cortes</v>
      </c>
      <c r="Y116" s="75" t="str">
        <f t="shared" si="8"/>
        <v>Cindy Bibiana Castillo Cortes-1082690798-HUMANIZACION</v>
      </c>
    </row>
    <row r="117" spans="1:25" s="76" customFormat="1" x14ac:dyDescent="0.2">
      <c r="A117" s="67">
        <v>116</v>
      </c>
      <c r="B117" s="68">
        <v>1082690798</v>
      </c>
      <c r="C117" s="94" t="s">
        <v>376</v>
      </c>
      <c r="D117" s="94" t="s">
        <v>377</v>
      </c>
      <c r="E117" s="94" t="s">
        <v>378</v>
      </c>
      <c r="F117" s="94" t="s">
        <v>379</v>
      </c>
      <c r="G117" s="94">
        <v>25</v>
      </c>
      <c r="H117" s="68" t="s">
        <v>100</v>
      </c>
      <c r="I117" s="68" t="s">
        <v>107</v>
      </c>
      <c r="J117" s="100" t="s">
        <v>124</v>
      </c>
      <c r="K117" s="70">
        <v>45834</v>
      </c>
      <c r="L117" s="71">
        <v>70000</v>
      </c>
      <c r="M117" s="68" t="s">
        <v>123</v>
      </c>
      <c r="N117" s="68" t="s">
        <v>140</v>
      </c>
      <c r="O117" s="68" t="s">
        <v>224</v>
      </c>
      <c r="P117" s="72" t="s">
        <v>90</v>
      </c>
      <c r="Q117" s="69">
        <v>11734</v>
      </c>
      <c r="R117" s="94" t="s">
        <v>109</v>
      </c>
      <c r="S117" s="68" t="s">
        <v>380</v>
      </c>
      <c r="T117" s="68">
        <v>3238501959</v>
      </c>
      <c r="U117" s="68" t="s">
        <v>381</v>
      </c>
      <c r="V117" s="75" t="str">
        <f>IF(P117=CURSOS!$D$3,"DIPLOMADO EN ATENCION PRE-HOSPITALARIA",IF(P117=CURSOS!$D$4,"ACOMPAÑAMIENTO Y MANEJO DEL DUELO",IF(P117=CURSOS!$D$5,"ATENCION A VICTIMAS DE ATAQUE CON AGENTES QUIMICOS ",IF(P117=CURSOS!$D$6,"PRIMEROS AUXILIOS ",IF(P117=CURSOS!$D$7,"DIPLOMADO DE UNIDAD DE CUIDADOS INTENSIVOS (UCI)",IF(P117=CURSOS!$D$8,"MODELO DE ATENCION PARA EVENTOS EMERGENTES EN SALUD MENTAL (CODIGO VERDE)",IF(P117=CURSOS!$D$9,"HUMANIZACION EN EL SERVICIO DE LA SALUD Y BUENAS PRACTICAS EN PACIENTE ",IF(P117=CURSOS!$D$10,"CLINICA DE HERIDAS ",IF(P117=CURSOS!$D$11,"TOMA DE CITOLOGIA CERVICO VAGINAL ",IF(P117=CURSOS!$D$12,"SOPORTE CARDIOVASCULAR AVANZADO (ACLS) ",IF(P117=CURSOS!$D$13,"CAMILLERO ",IF(P117=CURSOS!$D$14,"TOMA DE MUESTRAS Y LABORATORIO ",IF(P117=CURSOS!$D$15,"SOPORTE VITAL BASICO (BLS)",IF(P117=CURSOS!$D$16,"ATENCION A VICTIMAS DE VIOLENCIA SEXUAL ",IF(P117=CURSOS!$D$17,"PROGRAMADO AMPLIADO DE INMUNIZACION (PAI - COVID 19)",IF(P117=CURSOS!$D$18,"ATENCION INTEGRAL EN ENFERMEDADES PREVALENTES EN PRIMERA INFANCIA (AIEPI)",IF(P117=CURSOS!$D$19,"ADMINISTRACION DE MEDICAMENTOS, INYECTOLOGIA  Y CANALIZACION ",IF(P117=CURSOS!$D$20,"OPERADOR DE VEHICULOS DE EMERGENCIA (OVE)",IF(P117=CURSOS!$D$21,"INSTITUCIONES AMIGAS DE LA MUJER Y LA INFANCIA (IAMI)",IF(P117=CURSOS!$D$22,"CUIDADO DEL DONANTE DE ORGANOS",IF(P117=CURSOS!$D$23,"ATENCION A VICTIMAS POR VIOLENCIA DE GENERO",IF(P117=CURSOS!$D$24,"IGUALDAD DE GENERO EN LA SALUD",IF(P117=CURSOS!$D$25,"BRIGADA DE EMERGENCIA",IF(P117=CURSOS!$D$26,"MANEJO DEL DOLOR Y CUIDADOS PALIATIVOS",IF(P117=CURSOS!$D$27,"TOMA DE MUESTRAS Y LABORATORIO POCT",IF(P117=CURSOS!$D$28,"IMPLANTE SUBDERMICO DE DISPOSITIVO INTRAUTERINO",IF(P117=CURSOS!$D$29,"SALUD MENTAL",IF(P117=CURSOS!$D$30,"PRIMEROS AUXILIOS PSICOLOGICOS",IF(P117=CURSOS!$D$31,"ATENCION A VICTIMAS POR CONFLICTO ARMADO",IF(P117=CURSOS!$D$32,"MANIPULACION DE ALIMENTOS Y BPM",IF(P117=CURSOS!$D$33,"ATENCION A PERSONAS CON DISCAPACIDAD",IF(P117=CURSOS!$D$34,"CUIDADO INTEGRAL DEL PACIENTE ADULTO",IF(P117=CURSOS!$D$35,"MANEJO DEFENSIVO",IF(P117=CURSOS!$D$36,"SOPORTE CARDIOVASCULAR AVANZADO NEONATAL",IF(P117=CURSOS!$D$37,"SEGURIDAD DEL PACIENTE",IF(P117=CURSOS!$D$38,"MANEJO DE RESIDUOS HOSPITALARIOS",IF(P117=CURSOS!$D$39,"ATENCION DE PACIENTE POR CONSUMO SUSTANCIAS PSICOACTIVAS Y ADICCIONES")))))))))))))))))))))))))))))))))))))</f>
        <v>MANEJO DE RESIDUOS HOSPITALARIOS</v>
      </c>
      <c r="W117" s="75" t="str">
        <f t="shared" si="6"/>
        <v>Cindy Bibiana Castillo Cortes</v>
      </c>
      <c r="X117" s="75" t="str">
        <f t="shared" si="7"/>
        <v>Cindy Bibiana Castillo Cortes</v>
      </c>
      <c r="Y117" s="75" t="str">
        <f t="shared" si="8"/>
        <v>Cindy Bibiana Castillo Cortes-1082690798-RESIDUOS</v>
      </c>
    </row>
    <row r="118" spans="1:25" s="76" customFormat="1" x14ac:dyDescent="0.2">
      <c r="A118" s="67">
        <v>117</v>
      </c>
      <c r="B118" s="68">
        <v>1234192018</v>
      </c>
      <c r="C118" s="94" t="s">
        <v>382</v>
      </c>
      <c r="D118" s="94" t="s">
        <v>221</v>
      </c>
      <c r="E118" s="94" t="s">
        <v>383</v>
      </c>
      <c r="F118" s="94"/>
      <c r="G118" s="94">
        <v>26</v>
      </c>
      <c r="H118" s="68" t="s">
        <v>100</v>
      </c>
      <c r="I118" s="68" t="s">
        <v>129</v>
      </c>
      <c r="J118" s="100" t="s">
        <v>148</v>
      </c>
      <c r="K118" s="70">
        <v>45828</v>
      </c>
      <c r="L118" s="71">
        <v>28000</v>
      </c>
      <c r="M118" s="68" t="s">
        <v>123</v>
      </c>
      <c r="N118" s="68" t="s">
        <v>207</v>
      </c>
      <c r="O118" s="68" t="s">
        <v>149</v>
      </c>
      <c r="P118" s="72" t="s">
        <v>32</v>
      </c>
      <c r="Q118" s="69">
        <v>35934</v>
      </c>
      <c r="R118" s="94" t="s">
        <v>141</v>
      </c>
      <c r="S118" s="77" t="s">
        <v>156</v>
      </c>
      <c r="T118" s="68">
        <v>3145628290</v>
      </c>
      <c r="U118" s="68" t="s">
        <v>384</v>
      </c>
      <c r="V118" s="75" t="str">
        <f>IF(P118=CURSOS!$D$3,"DIPLOMADO EN ATENCION PRE-HOSPITALARIA",IF(P118=CURSOS!$D$4,"ACOMPAÑAMIENTO Y MANEJO DEL DUELO",IF(P118=CURSOS!$D$5,"ATENCION A VICTIMAS DE ATAQUE CON AGENTES QUIMICOS ",IF(P118=CURSOS!$D$6,"PRIMEROS AUXILIOS ",IF(P118=CURSOS!$D$7,"DIPLOMADO DE UNIDAD DE CUIDADOS INTENSIVOS (UCI)",IF(P118=CURSOS!$D$8,"MODELO DE ATENCION PARA EVENTOS EMERGENTES EN SALUD MENTAL (CODIGO VERDE)",IF(P118=CURSOS!$D$9,"HUMANIZACION EN EL SERVICIO DE LA SALUD Y BUENAS PRACTICAS EN PACIENTE ",IF(P118=CURSOS!$D$10,"CLINICA DE HERIDAS ",IF(P118=CURSOS!$D$11,"TOMA DE CITOLOGIA CERVICO VAGINAL ",IF(P118=CURSOS!$D$12,"SOPORTE CARDIOVASCULAR AVANZADO (ACLS) ",IF(P118=CURSOS!$D$13,"CAMILLERO ",IF(P118=CURSOS!$D$14,"TOMA DE MUESTRAS Y LABORATORIO ",IF(P118=CURSOS!$D$15,"SOPORTE VITAL BASICO (BLS)",IF(P118=CURSOS!$D$16,"ATENCION A VICTIMAS DE VIOLENCIA SEXUAL ",IF(P118=CURSOS!$D$17,"PROGRAMADO AMPLIADO DE INMUNIZACION (PAI - COVID 19)",IF(P118=CURSOS!$D$18,"ATENCION INTEGRAL EN ENFERMEDADES PREVALENTES EN PRIMERA INFANCIA (AIEPI)",IF(P118=CURSOS!$D$19,"ADMINISTRACION DE MEDICAMENTOS, INYECTOLOGIA  Y CANALIZACION ",IF(P118=CURSOS!$D$20,"OPERADOR DE VEHICULOS DE EMERGENCIA (OVE)",IF(P118=CURSOS!$D$21,"INSTITUCIONES AMIGAS DE LA MUJER Y LA INFANCIA (IAMI)",IF(P118=CURSOS!$D$22,"CUIDADO DEL DONANTE DE ORGANOS",IF(P118=CURSOS!$D$23,"ATENCION A VICTIMAS POR VIOLENCIA DE GENERO",IF(P118=CURSOS!$D$24,"IGUALDAD DE GENERO EN LA SALUD",IF(P118=CURSOS!$D$25,"BRIGADA DE EMERGENCIA",IF(P118=CURSOS!$D$26,"MANEJO DEL DOLOR Y CUIDADOS PALIATIVOS",IF(P118=CURSOS!$D$27,"TOMA DE MUESTRAS Y LABORATORIO POCT",IF(P118=CURSOS!$D$28,"IMPLANTE SUBDERMICO DE DISPOSITIVO INTRAUTERINO",IF(P118=CURSOS!$D$29,"SALUD MENTAL",IF(P118=CURSOS!$D$30,"PRIMEROS AUXILIOS PSICOLOGICOS",IF(P118=CURSOS!$D$31,"ATENCION A VICTIMAS POR CONFLICTO ARMADO",IF(P118=CURSOS!$D$32,"MANIPULACION DE ALIMENTOS Y BPM",IF(P118=CURSOS!$D$33,"ATENCION A PERSONAS CON DISCAPACIDAD",IF(P118=CURSOS!$D$34,"CUIDADO INTEGRAL DEL PACIENTE ADULTO",IF(P118=CURSOS!$D$35,"MANEJO DEFENSIVO",IF(P118=CURSOS!$D$36,"SOPORTE CARDIOVASCULAR AVANZADO NEONATAL",IF(P118=CURSOS!$D$37,"SEGURIDAD DEL PACIENTE",IF(P118=CURSOS!$D$38,"MANEJO DE RESIDUOS HOSPITALARIOS",IF(P118=CURSOS!$D$39,"ATENCION DE PACIENTE POR CONSUMO SUSTANCIAS PSICOACTIVAS Y ADICCIONES")))))))))))))))))))))))))))))))))))))</f>
        <v xml:space="preserve">HUMANIZACION EN EL SERVICIO DE LA SALUD Y BUENAS PRACTICAS EN PACIENTE </v>
      </c>
      <c r="W118" s="75" t="str">
        <f t="shared" si="6"/>
        <v>Ronaldo  Manchabajoy Criollo</v>
      </c>
      <c r="X118" s="75" t="str">
        <f t="shared" si="7"/>
        <v>Ronaldo  Manchabajoy Criollo</v>
      </c>
      <c r="Y118" s="75" t="str">
        <f t="shared" si="8"/>
        <v>Ronaldo  Manchabajoy Criollo-1234192018-HUMANIZACION</v>
      </c>
    </row>
    <row r="119" spans="1:25" s="76" customFormat="1" x14ac:dyDescent="0.2">
      <c r="A119" s="67">
        <v>118</v>
      </c>
      <c r="B119" s="68">
        <v>1234192018</v>
      </c>
      <c r="C119" s="94" t="s">
        <v>382</v>
      </c>
      <c r="D119" s="94" t="s">
        <v>221</v>
      </c>
      <c r="E119" s="94" t="s">
        <v>383</v>
      </c>
      <c r="F119" s="94"/>
      <c r="G119" s="94">
        <v>25</v>
      </c>
      <c r="H119" s="68" t="s">
        <v>100</v>
      </c>
      <c r="I119" s="68" t="s">
        <v>129</v>
      </c>
      <c r="J119" s="100" t="s">
        <v>148</v>
      </c>
      <c r="K119" s="70">
        <v>45828</v>
      </c>
      <c r="L119" s="71">
        <v>28000</v>
      </c>
      <c r="M119" s="68" t="s">
        <v>123</v>
      </c>
      <c r="N119" s="68" t="s">
        <v>207</v>
      </c>
      <c r="O119" s="68" t="s">
        <v>149</v>
      </c>
      <c r="P119" s="72" t="s">
        <v>44</v>
      </c>
      <c r="Q119" s="69">
        <v>35934</v>
      </c>
      <c r="R119" s="94" t="s">
        <v>141</v>
      </c>
      <c r="S119" s="77" t="s">
        <v>156</v>
      </c>
      <c r="T119" s="68">
        <v>3145628290</v>
      </c>
      <c r="U119" s="68" t="s">
        <v>384</v>
      </c>
      <c r="V119" s="75" t="str">
        <f>IF(P119=CURSOS!$D$3,"DIPLOMADO EN ATENCION PRE-HOSPITALARIA",IF(P119=CURSOS!$D$4,"ACOMPAÑAMIENTO Y MANEJO DEL DUELO",IF(P119=CURSOS!$D$5,"ATENCION A VICTIMAS DE ATAQUE CON AGENTES QUIMICOS ",IF(P119=CURSOS!$D$6,"PRIMEROS AUXILIOS ",IF(P119=CURSOS!$D$7,"DIPLOMADO DE UNIDAD DE CUIDADOS INTENSIVOS (UCI)",IF(P119=CURSOS!$D$8,"MODELO DE ATENCION PARA EVENTOS EMERGENTES EN SALUD MENTAL (CODIGO VERDE)",IF(P119=CURSOS!$D$9,"HUMANIZACION EN EL SERVICIO DE LA SALUD Y BUENAS PRACTICAS EN PACIENTE ",IF(P119=CURSOS!$D$10,"CLINICA DE HERIDAS ",IF(P119=CURSOS!$D$11,"TOMA DE CITOLOGIA CERVICO VAGINAL ",IF(P119=CURSOS!$D$12,"SOPORTE CARDIOVASCULAR AVANZADO (ACLS) ",IF(P119=CURSOS!$D$13,"CAMILLERO ",IF(P119=CURSOS!$D$14,"TOMA DE MUESTRAS Y LABORATORIO ",IF(P119=CURSOS!$D$15,"SOPORTE VITAL BASICO (BLS)",IF(P119=CURSOS!$D$16,"ATENCION A VICTIMAS DE VIOLENCIA SEXUAL ",IF(P119=CURSOS!$D$17,"PROGRAMADO AMPLIADO DE INMUNIZACION (PAI - COVID 19)",IF(P119=CURSOS!$D$18,"ATENCION INTEGRAL EN ENFERMEDADES PREVALENTES EN PRIMERA INFANCIA (AIEPI)",IF(P119=CURSOS!$D$19,"ADMINISTRACION DE MEDICAMENTOS, INYECTOLOGIA  Y CANALIZACION ",IF(P119=CURSOS!$D$20,"OPERADOR DE VEHICULOS DE EMERGENCIA (OVE)",IF(P119=CURSOS!$D$21,"INSTITUCIONES AMIGAS DE LA MUJER Y LA INFANCIA (IAMI)",IF(P119=CURSOS!$D$22,"CUIDADO DEL DONANTE DE ORGANOS",IF(P119=CURSOS!$D$23,"ATENCION A VICTIMAS POR VIOLENCIA DE GENERO",IF(P119=CURSOS!$D$24,"IGUALDAD DE GENERO EN LA SALUD",IF(P119=CURSOS!$D$25,"BRIGADA DE EMERGENCIA",IF(P119=CURSOS!$D$26,"MANEJO DEL DOLOR Y CUIDADOS PALIATIVOS",IF(P119=CURSOS!$D$27,"TOMA DE MUESTRAS Y LABORATORIO POCT",IF(P119=CURSOS!$D$28,"IMPLANTE SUBDERMICO DE DISPOSITIVO INTRAUTERINO",IF(P119=CURSOS!$D$29,"SALUD MENTAL",IF(P119=CURSOS!$D$30,"PRIMEROS AUXILIOS PSICOLOGICOS",IF(P119=CURSOS!$D$31,"ATENCION A VICTIMAS POR CONFLICTO ARMADO",IF(P119=CURSOS!$D$32,"MANIPULACION DE ALIMENTOS Y BPM",IF(P119=CURSOS!$D$33,"ATENCION A PERSONAS CON DISCAPACIDAD",IF(P119=CURSOS!$D$34,"CUIDADO INTEGRAL DEL PACIENTE ADULTO",IF(P119=CURSOS!$D$35,"MANEJO DEFENSIVO",IF(P119=CURSOS!$D$36,"SOPORTE CARDIOVASCULAR AVANZADO NEONATAL",IF(P119=CURSOS!$D$37,"SEGURIDAD DEL PACIENTE",IF(P119=CURSOS!$D$38,"MANEJO DE RESIDUOS HOSPITALARIOS",IF(P119=CURSOS!$D$39,"ATENCION DE PACIENTE POR CONSUMO SUSTANCIAS PSICOACTIVAS Y ADICCIONES")))))))))))))))))))))))))))))))))))))</f>
        <v>ATENCION INTEGRAL EN ENFERMEDADES PREVALENTES EN PRIMERA INFANCIA (AIEPI)</v>
      </c>
      <c r="W119" s="75" t="str">
        <f t="shared" si="6"/>
        <v>Ronaldo  Manchabajoy Criollo</v>
      </c>
      <c r="X119" s="75" t="str">
        <f t="shared" si="7"/>
        <v>Ronaldo  Manchabajoy Criollo</v>
      </c>
      <c r="Y119" s="75" t="str">
        <f t="shared" si="8"/>
        <v>Ronaldo  Manchabajoy Criollo-1234192018-AIEPI</v>
      </c>
    </row>
    <row r="120" spans="1:25" x14ac:dyDescent="0.2">
      <c r="A120" s="45">
        <v>119</v>
      </c>
      <c r="B120" s="78">
        <v>1007282389</v>
      </c>
      <c r="C120" s="105" t="s">
        <v>269</v>
      </c>
      <c r="D120" s="105" t="s">
        <v>350</v>
      </c>
      <c r="E120" s="105" t="s">
        <v>351</v>
      </c>
      <c r="F120" s="105" t="s">
        <v>300</v>
      </c>
      <c r="G120" s="105">
        <v>26</v>
      </c>
      <c r="H120" s="78" t="s">
        <v>100</v>
      </c>
      <c r="I120" s="78" t="s">
        <v>129</v>
      </c>
      <c r="J120" s="106" t="s">
        <v>148</v>
      </c>
      <c r="K120" s="70">
        <v>45828</v>
      </c>
      <c r="L120" s="71">
        <v>28000</v>
      </c>
      <c r="M120" s="68" t="s">
        <v>123</v>
      </c>
      <c r="N120" s="78" t="s">
        <v>207</v>
      </c>
      <c r="O120" s="105" t="s">
        <v>149</v>
      </c>
      <c r="P120" s="107" t="s">
        <v>19</v>
      </c>
      <c r="Q120" s="106">
        <v>36818</v>
      </c>
      <c r="R120" s="105" t="s">
        <v>109</v>
      </c>
      <c r="S120" s="105" t="s">
        <v>130</v>
      </c>
      <c r="T120" s="108">
        <v>3124308978</v>
      </c>
      <c r="U120" s="78" t="s">
        <v>352</v>
      </c>
      <c r="V120" s="44" t="str">
        <f>IF(P120=CURSOS!$D$3,"DIPLOMADO EN ATENCION PRE-HOSPITALARIA",IF(P120=CURSOS!$D$4,"ACOMPAÑAMIENTO Y MANEJO DEL DUELO",IF(P120=CURSOS!$D$5,"ATENCION A VICTIMAS DE ATAQUE CON AGENTES QUIMICOS ",IF(P120=CURSOS!$D$6,"PRIMEROS AUXILIOS ",IF(P120=CURSOS!$D$7,"DIPLOMADO DE UNIDAD DE CUIDADOS INTENSIVOS (UCI)",IF(P120=CURSOS!$D$8,"MODELO DE ATENCION PARA EVENTOS EMERGENTES EN SALUD MENTAL (CODIGO VERDE)",IF(P120=CURSOS!$D$9,"HUMANIZACION EN EL SERVICIO DE LA SALUD Y BUENAS PRACTICAS EN PACIENTE ",IF(P120=CURSOS!$D$10,"CLINICA DE HERIDAS ",IF(P120=CURSOS!$D$11,"TOMA DE CITOLOGIA CERVICO VAGINAL ",IF(P120=CURSOS!$D$12,"SOPORTE CARDIOVASCULAR AVANZADO (ACLS) ",IF(P120=CURSOS!$D$13,"CAMILLERO ",IF(P120=CURSOS!$D$14,"TOMA DE MUESTRAS Y LABORATORIO ",IF(P120=CURSOS!$D$15,"SOPORTE VITAL BASICO (BLS)",IF(P120=CURSOS!$D$16,"ATENCION A VICTIMAS DE VIOLENCIA SEXUAL ",IF(P120=CURSOS!$D$17,"PROGRAMADO AMPLIADO DE INMUNIZACION (PAI - COVID 19)",IF(P120=CURSOS!$D$18,"ATENCION INTEGRAL EN ENFERMEDADES PREVALENTES EN PRIMERA INFANCIA (AIEPI)",IF(P120=CURSOS!$D$19,"ADMINISTRACION DE MEDICAMENTOS, INYECTOLOGIA  Y CANALIZACION ",IF(P120=CURSOS!$D$20,"OPERADOR DE VEHICULOS DE EMERGENCIA (OVE)",IF(P120=CURSOS!$D$21,"INSTITUCIONES AMIGAS DE LA MUJER Y LA INFANCIA (IAMI)",IF(P120=CURSOS!$D$22,"CUIDADO DEL DONANTE DE ORGANOS",IF(P120=CURSOS!$D$23,"ATENCION A VICTIMAS POR VIOLENCIA DE GENERO",IF(P120=CURSOS!$D$24,"IGUALDAD DE GENERO EN LA SALUD",IF(P120=CURSOS!$D$25,"BRIGADA DE EMERGENCIA",IF(P120=CURSOS!$D$26,"MANEJO DEL DOLOR Y CUIDADOS PALIATIVOS",IF(P120=CURSOS!$D$27,"TOMA DE MUESTRAS Y LABORATORIO POCT",IF(P120=CURSOS!$D$28,"IMPLANTE SUBDERMICO DE DISPOSITIVO INTRAUTERINO",IF(P120=CURSOS!$D$29,"SALUD MENTAL",IF(P120=CURSOS!$D$30,"PRIMEROS AUXILIOS PSICOLOGICOS",IF(P120=CURSOS!$D$31,"ATENCION A VICTIMAS POR CONFLICTO ARMADO",IF(P120=CURSOS!$D$32,"MANIPULACION DE ALIMENTOS Y BPM",IF(P120=CURSOS!$D$33,"ATENCION A PERSONAS CON DISCAPACIDAD",IF(P120=CURSOS!$D$34,"CUIDADO INTEGRAL DEL PACIENTE ADULTO",IF(P120=CURSOS!$D$35,"MANEJO DEFENSIVO",IF(P120=CURSOS!$D$36,"SOPORTE CARDIOVASCULAR AVANZADO NEONATAL",IF(P120=CURSOS!$D$37,"SEGURIDAD DEL PACIENTE",IF(P120=CURSOS!$D$38,"MANEJO DE RESIDUOS HOSPITALARIOS",IF(P120=CURSOS!$D$39,"ATENCION DE PACIENTE POR CONSUMO SUSTANCIAS PSICOACTIVAS Y ADICCIONES")))))))))))))))))))))))))))))))))))))</f>
        <v>SOPORTE VITAL BASICO (BLS)</v>
      </c>
      <c r="W120" s="44" t="str">
        <f t="shared" si="6"/>
        <v>Yessica Andrea Morales Yela</v>
      </c>
      <c r="X120" s="44" t="str">
        <f t="shared" si="7"/>
        <v>Yessica Andrea Morales Yela</v>
      </c>
      <c r="Y120" s="44" t="str">
        <f t="shared" si="8"/>
        <v>Yessica Andrea Morales Yela-1007282389-BLS</v>
      </c>
    </row>
    <row r="121" spans="1:25" s="76" customFormat="1" x14ac:dyDescent="0.2">
      <c r="A121" s="67">
        <v>120</v>
      </c>
      <c r="B121" s="68">
        <v>1086042215</v>
      </c>
      <c r="C121" s="94" t="s">
        <v>385</v>
      </c>
      <c r="D121" s="94" t="s">
        <v>386</v>
      </c>
      <c r="E121" s="94" t="s">
        <v>387</v>
      </c>
      <c r="F121" s="94"/>
      <c r="G121" s="94">
        <v>20</v>
      </c>
      <c r="H121" s="68" t="s">
        <v>100</v>
      </c>
      <c r="I121" s="68" t="s">
        <v>129</v>
      </c>
      <c r="J121" s="100"/>
      <c r="K121" s="70">
        <v>45835</v>
      </c>
      <c r="L121" s="71">
        <v>56000</v>
      </c>
      <c r="M121" s="68" t="s">
        <v>168</v>
      </c>
      <c r="N121" s="68" t="s">
        <v>207</v>
      </c>
      <c r="O121" s="68" t="s">
        <v>108</v>
      </c>
      <c r="P121" s="72" t="s">
        <v>347</v>
      </c>
      <c r="Q121" s="69">
        <v>36419</v>
      </c>
      <c r="R121" s="94" t="s">
        <v>109</v>
      </c>
      <c r="S121" s="77" t="s">
        <v>130</v>
      </c>
      <c r="T121" s="73">
        <v>3247165754</v>
      </c>
      <c r="U121" s="68" t="s">
        <v>388</v>
      </c>
      <c r="V121" s="75" t="s">
        <v>348</v>
      </c>
      <c r="W121" s="75" t="str">
        <f t="shared" si="6"/>
        <v>Yeroly  Cifuentes Angulo</v>
      </c>
      <c r="X121" s="75" t="str">
        <f t="shared" si="7"/>
        <v>Yeroly  Cifuentes Angulo</v>
      </c>
      <c r="Y121" s="75" t="str">
        <f t="shared" si="8"/>
        <v>Yeroly  Cifuentes Angulo-1086042215-LGBTI</v>
      </c>
    </row>
    <row r="122" spans="1:25" s="76" customFormat="1" x14ac:dyDescent="0.2">
      <c r="A122" s="67">
        <v>121</v>
      </c>
      <c r="B122" s="68">
        <v>1086042215</v>
      </c>
      <c r="C122" s="94" t="s">
        <v>385</v>
      </c>
      <c r="D122" s="94" t="s">
        <v>386</v>
      </c>
      <c r="E122" s="94" t="s">
        <v>387</v>
      </c>
      <c r="F122" s="94"/>
      <c r="G122" s="94">
        <v>26</v>
      </c>
      <c r="H122" s="68" t="s">
        <v>100</v>
      </c>
      <c r="I122" s="68" t="s">
        <v>129</v>
      </c>
      <c r="J122" s="100"/>
      <c r="K122" s="70">
        <v>45835</v>
      </c>
      <c r="L122" s="71">
        <v>56000</v>
      </c>
      <c r="M122" s="68" t="s">
        <v>168</v>
      </c>
      <c r="N122" s="68" t="s">
        <v>207</v>
      </c>
      <c r="O122" s="68" t="s">
        <v>108</v>
      </c>
      <c r="P122" s="72" t="s">
        <v>44</v>
      </c>
      <c r="Q122" s="69">
        <v>36419</v>
      </c>
      <c r="R122" s="94" t="s">
        <v>109</v>
      </c>
      <c r="S122" s="77" t="s">
        <v>130</v>
      </c>
      <c r="T122" s="73">
        <v>3247165754</v>
      </c>
      <c r="U122" s="68" t="s">
        <v>388</v>
      </c>
      <c r="V122" s="75" t="str">
        <f>IF(P122=CURSOS!$D$3,"DIPLOMADO EN ATENCION PRE-HOSPITALARIA",IF(P122=CURSOS!$D$4,"ACOMPAÑAMIENTO Y MANEJO DEL DUELO",IF(P122=CURSOS!$D$5,"ATENCION A VICTIMAS DE ATAQUE CON AGENTES QUIMICOS ",IF(P122=CURSOS!$D$6,"PRIMEROS AUXILIOS ",IF(P122=CURSOS!$D$7,"DIPLOMADO DE UNIDAD DE CUIDADOS INTENSIVOS (UCI)",IF(P122=CURSOS!$D$8,"MODELO DE ATENCION PARA EVENTOS EMERGENTES EN SALUD MENTAL (CODIGO VERDE)",IF(P122=CURSOS!$D$9,"HUMANIZACION EN EL SERVICIO DE LA SALUD Y BUENAS PRACTICAS EN PACIENTE ",IF(P122=CURSOS!$D$10,"CLINICA DE HERIDAS ",IF(P122=CURSOS!$D$11,"TOMA DE CITOLOGIA CERVICO VAGINAL ",IF(P122=CURSOS!$D$12,"SOPORTE CARDIOVASCULAR AVANZADO (ACLS) ",IF(P122=CURSOS!$D$13,"CAMILLERO ",IF(P122=CURSOS!$D$14,"TOMA DE MUESTRAS Y LABORATORIO ",IF(P122=CURSOS!$D$15,"SOPORTE VITAL BASICO (BLS)",IF(P122=CURSOS!$D$16,"ATENCION A VICTIMAS DE VIOLENCIA SEXUAL ",IF(P122=CURSOS!$D$17,"PROGRAMADO AMPLIADO DE INMUNIZACION (PAI - COVID 19)",IF(P122=CURSOS!$D$18,"ATENCION INTEGRAL EN ENFERMEDADES PREVALENTES EN PRIMERA INFANCIA (AIEPI)",IF(P122=CURSOS!$D$19,"ADMINISTRACION DE MEDICAMENTOS, INYECTOLOGIA  Y CANALIZACION ",IF(P122=CURSOS!$D$20,"OPERADOR DE VEHICULOS DE EMERGENCIA (OVE)",IF(P122=CURSOS!$D$21,"INSTITUCIONES AMIGAS DE LA MUJER Y LA INFANCIA (IAMI)",IF(P122=CURSOS!$D$22,"CUIDADO DEL DONANTE DE ORGANOS",IF(P122=CURSOS!$D$23,"ATENCION A VICTIMAS POR VIOLENCIA DE GENERO",IF(P122=CURSOS!$D$24,"IGUALDAD DE GENERO EN LA SALUD",IF(P122=CURSOS!$D$25,"BRIGADA DE EMERGENCIA",IF(P122=CURSOS!$D$26,"MANEJO DEL DOLOR Y CUIDADOS PALIATIVOS",IF(P122=CURSOS!$D$27,"TOMA DE MUESTRAS Y LABORATORIO POCT",IF(P122=CURSOS!$D$28,"IMPLANTE SUBDERMICO DE DISPOSITIVO INTRAUTERINO",IF(P122=CURSOS!$D$29,"SALUD MENTAL",IF(P122=CURSOS!$D$30,"PRIMEROS AUXILIOS PSICOLOGICOS",IF(P122=CURSOS!$D$31,"ATENCION A VICTIMAS POR CONFLICTO ARMADO",IF(P122=CURSOS!$D$32,"MANIPULACION DE ALIMENTOS Y BPM",IF(P122=CURSOS!$D$33,"ATENCION A PERSONAS CON DISCAPACIDAD",IF(P122=CURSOS!$D$34,"CUIDADO INTEGRAL DEL PACIENTE ADULTO",IF(P122=CURSOS!$D$35,"MANEJO DEFENSIVO",IF(P122=CURSOS!$D$36,"SOPORTE CARDIOVASCULAR AVANZADO NEONATAL",IF(P122=CURSOS!$D$37,"SEGURIDAD DEL PACIENTE",IF(P122=CURSOS!$D$38,"MANEJO DE RESIDUOS HOSPITALARIOS",IF(P122=CURSOS!$D$39,"ATENCION DE PACIENTE POR CONSUMO SUSTANCIAS PSICOACTIVAS Y ADICCIONES")))))))))))))))))))))))))))))))))))))</f>
        <v>ATENCION INTEGRAL EN ENFERMEDADES PREVALENTES EN PRIMERA INFANCIA (AIEPI)</v>
      </c>
      <c r="W122" s="75" t="str">
        <f t="shared" si="6"/>
        <v>Yeroly  Cifuentes Angulo</v>
      </c>
      <c r="X122" s="75" t="str">
        <f t="shared" si="7"/>
        <v>Yeroly  Cifuentes Angulo</v>
      </c>
      <c r="Y122" s="75" t="str">
        <f t="shared" si="8"/>
        <v>Yeroly  Cifuentes Angulo-1086042215-AIEPI</v>
      </c>
    </row>
    <row r="123" spans="1:25" s="76" customFormat="1" x14ac:dyDescent="0.2">
      <c r="A123" s="67">
        <v>122</v>
      </c>
      <c r="B123" s="68">
        <v>1086042215</v>
      </c>
      <c r="C123" s="94" t="s">
        <v>385</v>
      </c>
      <c r="D123" s="94" t="s">
        <v>386</v>
      </c>
      <c r="E123" s="94" t="s">
        <v>387</v>
      </c>
      <c r="F123" s="94"/>
      <c r="G123" s="94">
        <v>25</v>
      </c>
      <c r="H123" s="68" t="s">
        <v>100</v>
      </c>
      <c r="I123" s="68" t="s">
        <v>129</v>
      </c>
      <c r="J123" s="100"/>
      <c r="K123" s="70">
        <v>45835</v>
      </c>
      <c r="L123" s="71">
        <v>56000</v>
      </c>
      <c r="M123" s="68" t="s">
        <v>168</v>
      </c>
      <c r="N123" s="68" t="s">
        <v>207</v>
      </c>
      <c r="O123" s="68" t="s">
        <v>108</v>
      </c>
      <c r="P123" s="72" t="s">
        <v>59</v>
      </c>
      <c r="Q123" s="69">
        <v>36419</v>
      </c>
      <c r="R123" s="94" t="s">
        <v>109</v>
      </c>
      <c r="S123" s="77" t="s">
        <v>130</v>
      </c>
      <c r="T123" s="73">
        <v>3247165754</v>
      </c>
      <c r="U123" s="68" t="s">
        <v>388</v>
      </c>
      <c r="V123" s="75" t="str">
        <f>IF(P123=CURSOS!$D$3,"DIPLOMADO EN ATENCION PRE-HOSPITALARIA",IF(P123=CURSOS!$D$4,"ACOMPAÑAMIENTO Y MANEJO DEL DUELO",IF(P123=CURSOS!$D$5,"ATENCION A VICTIMAS DE ATAQUE CON AGENTES QUIMICOS ",IF(P123=CURSOS!$D$6,"PRIMEROS AUXILIOS ",IF(P123=CURSOS!$D$7,"DIPLOMADO DE UNIDAD DE CUIDADOS INTENSIVOS (UCI)",IF(P123=CURSOS!$D$8,"MODELO DE ATENCION PARA EVENTOS EMERGENTES EN SALUD MENTAL (CODIGO VERDE)",IF(P123=CURSOS!$D$9,"HUMANIZACION EN EL SERVICIO DE LA SALUD Y BUENAS PRACTICAS EN PACIENTE ",IF(P123=CURSOS!$D$10,"CLINICA DE HERIDAS ",IF(P123=CURSOS!$D$11,"TOMA DE CITOLOGIA CERVICO VAGINAL ",IF(P123=CURSOS!$D$12,"SOPORTE CARDIOVASCULAR AVANZADO (ACLS) ",IF(P123=CURSOS!$D$13,"CAMILLERO ",IF(P123=CURSOS!$D$14,"TOMA DE MUESTRAS Y LABORATORIO ",IF(P123=CURSOS!$D$15,"SOPORTE VITAL BASICO (BLS)",IF(P123=CURSOS!$D$16,"ATENCION A VICTIMAS DE VIOLENCIA SEXUAL ",IF(P123=CURSOS!$D$17,"PROGRAMADO AMPLIADO DE INMUNIZACION (PAI - COVID 19)",IF(P123=CURSOS!$D$18,"ATENCION INTEGRAL EN ENFERMEDADES PREVALENTES EN PRIMERA INFANCIA (AIEPI)",IF(P123=CURSOS!$D$19,"ADMINISTRACION DE MEDICAMENTOS, INYECTOLOGIA  Y CANALIZACION ",IF(P123=CURSOS!$D$20,"OPERADOR DE VEHICULOS DE EMERGENCIA (OVE)",IF(P123=CURSOS!$D$21,"INSTITUCIONES AMIGAS DE LA MUJER Y LA INFANCIA (IAMI)",IF(P123=CURSOS!$D$22,"CUIDADO DEL DONANTE DE ORGANOS",IF(P123=CURSOS!$D$23,"ATENCION A VICTIMAS POR VIOLENCIA DE GENERO",IF(P123=CURSOS!$D$24,"IGUALDAD DE GENERO EN LA SALUD",IF(P123=CURSOS!$D$25,"BRIGADA DE EMERGENCIA",IF(P123=CURSOS!$D$26,"MANEJO DEL DOLOR Y CUIDADOS PALIATIVOS",IF(P123=CURSOS!$D$27,"TOMA DE MUESTRAS Y LABORATORIO POCT",IF(P123=CURSOS!$D$28,"IMPLANTE SUBDERMICO DE DISPOSITIVO INTRAUTERINO",IF(P123=CURSOS!$D$29,"SALUD MENTAL",IF(P123=CURSOS!$D$30,"PRIMEROS AUXILIOS PSICOLOGICOS",IF(P123=CURSOS!$D$31,"ATENCION A VICTIMAS POR CONFLICTO ARMADO",IF(P123=CURSOS!$D$32,"MANIPULACION DE ALIMENTOS Y BPM",IF(P123=CURSOS!$D$33,"ATENCION A PERSONAS CON DISCAPACIDAD",IF(P123=CURSOS!$D$34,"CUIDADO INTEGRAL DEL PACIENTE ADULTO",IF(P123=CURSOS!$D$35,"MANEJO DEFENSIVO",IF(P123=CURSOS!$D$36,"SOPORTE CARDIOVASCULAR AVANZADO NEONATAL",IF(P123=CURSOS!$D$37,"SEGURIDAD DEL PACIENTE",IF(P123=CURSOS!$D$38,"MANEJO DE RESIDUOS HOSPITALARIOS",IF(P123=CURSOS!$D$39,"ATENCION DE PACIENTE POR CONSUMO SUSTANCIAS PSICOACTIVAS Y ADICCIONES")))))))))))))))))))))))))))))))))))))</f>
        <v>TOMA DE MUESTRAS Y LABORATORIO POCT</v>
      </c>
      <c r="W123" s="75" t="str">
        <f t="shared" si="6"/>
        <v>Yeroly  Cifuentes Angulo</v>
      </c>
      <c r="X123" s="75" t="str">
        <f t="shared" si="7"/>
        <v>Yeroly  Cifuentes Angulo</v>
      </c>
      <c r="Y123" s="75" t="str">
        <f t="shared" si="8"/>
        <v>Yeroly  Cifuentes Angulo-1086042215-POCT</v>
      </c>
    </row>
    <row r="124" spans="1:25" s="76" customFormat="1" x14ac:dyDescent="0.2">
      <c r="A124" s="67">
        <v>123</v>
      </c>
      <c r="B124" s="68">
        <v>1086042215</v>
      </c>
      <c r="C124" s="94" t="s">
        <v>385</v>
      </c>
      <c r="D124" s="94" t="s">
        <v>386</v>
      </c>
      <c r="E124" s="94" t="s">
        <v>387</v>
      </c>
      <c r="F124" s="94"/>
      <c r="G124" s="94">
        <v>24</v>
      </c>
      <c r="H124" s="68" t="s">
        <v>100</v>
      </c>
      <c r="I124" s="68" t="s">
        <v>129</v>
      </c>
      <c r="J124" s="100"/>
      <c r="K124" s="70">
        <v>45835</v>
      </c>
      <c r="L124" s="71">
        <v>56000</v>
      </c>
      <c r="M124" s="68" t="s">
        <v>168</v>
      </c>
      <c r="N124" s="68" t="s">
        <v>207</v>
      </c>
      <c r="O124" s="68" t="s">
        <v>108</v>
      </c>
      <c r="P124" s="98" t="s">
        <v>42</v>
      </c>
      <c r="Q124" s="69">
        <v>36419</v>
      </c>
      <c r="R124" s="94" t="s">
        <v>109</v>
      </c>
      <c r="S124" s="77" t="s">
        <v>130</v>
      </c>
      <c r="T124" s="73">
        <v>3247165754</v>
      </c>
      <c r="U124" s="68" t="s">
        <v>388</v>
      </c>
      <c r="V124" s="75" t="str">
        <f>IF(P124=CURSOS!$D$3,"DIPLOMADO EN ATENCION PRE-HOSPITALARIA",IF(P124=CURSOS!$D$4,"ACOMPAÑAMIENTO Y MANEJO DEL DUELO",IF(P124=CURSOS!$D$5,"ATENCION A VICTIMAS DE ATAQUE CON AGENTES QUIMICOS ",IF(P124=CURSOS!$D$6,"PRIMEROS AUXILIOS ",IF(P124=CURSOS!$D$7,"DIPLOMADO DE UNIDAD DE CUIDADOS INTENSIVOS (UCI)",IF(P124=CURSOS!$D$8,"MODELO DE ATENCION PARA EVENTOS EMERGENTES EN SALUD MENTAL (CODIGO VERDE)",IF(P124=CURSOS!$D$9,"HUMANIZACION EN EL SERVICIO DE LA SALUD Y BUENAS PRACTICAS EN PACIENTE ",IF(P124=CURSOS!$D$10,"CLINICA DE HERIDAS ",IF(P124=CURSOS!$D$11,"TOMA DE CITOLOGIA CERVICO VAGINAL ",IF(P124=CURSOS!$D$12,"SOPORTE CARDIOVASCULAR AVANZADO (ACLS) ",IF(P124=CURSOS!$D$13,"CAMILLERO ",IF(P124=CURSOS!$D$14,"TOMA DE MUESTRAS Y LABORATORIO ",IF(P124=CURSOS!$D$15,"SOPORTE VITAL BASICO (BLS)",IF(P124=CURSOS!$D$16,"ATENCION A VICTIMAS DE VIOLENCIA SEXUAL ",IF(P124=CURSOS!$D$17,"PROGRAMADO AMPLIADO DE INMUNIZACION (PAI - COVID 19)",IF(P124=CURSOS!$D$18,"ATENCION INTEGRAL EN ENFERMEDADES PREVALENTES EN PRIMERA INFANCIA (AIEPI)",IF(P124=CURSOS!$D$19,"ADMINISTRACION DE MEDICAMENTOS, INYECTOLOGIA  Y CANALIZACION ",IF(P124=CURSOS!$D$20,"OPERADOR DE VEHICULOS DE EMERGENCIA (OVE)",IF(P124=CURSOS!$D$21,"INSTITUCIONES AMIGAS DE LA MUJER Y LA INFANCIA (IAMI)",IF(P124=CURSOS!$D$22,"CUIDADO DEL DONANTE DE ORGANOS",IF(P124=CURSOS!$D$23,"ATENCION A VICTIMAS POR VIOLENCIA DE GENERO",IF(P124=CURSOS!$D$24,"IGUALDAD DE GENERO EN LA SALUD",IF(P124=CURSOS!$D$25,"BRIGADA DE EMERGENCIA",IF(P124=CURSOS!$D$26,"MANEJO DEL DOLOR Y CUIDADOS PALIATIVOS",IF(P124=CURSOS!$D$27,"TOMA DE MUESTRAS Y LABORATORIO POCT",IF(P124=CURSOS!$D$28,"IMPLANTE SUBDERMICO DE DISPOSITIVO INTRAUTERINO",IF(P124=CURSOS!$D$29,"SALUD MENTAL",IF(P124=CURSOS!$D$30,"PRIMEROS AUXILIOS PSICOLOGICOS",IF(P124=CURSOS!$D$31,"ATENCION A VICTIMAS POR CONFLICTO ARMADO",IF(P124=CURSOS!$D$32,"MANIPULACION DE ALIMENTOS Y BPM",IF(P124=CURSOS!$D$33,"ATENCION A PERSONAS CON DISCAPACIDAD",IF(P124=CURSOS!$D$34,"CUIDADO INTEGRAL DEL PACIENTE ADULTO",IF(P124=CURSOS!$D$35,"MANEJO DEFENSIVO",IF(P124=CURSOS!$D$36,"SOPORTE CARDIOVASCULAR AVANZADO NEONATAL",IF(P124=CURSOS!$D$37,"SEGURIDAD DEL PACIENTE",IF(P124=CURSOS!$D$38,"MANEJO DE RESIDUOS HOSPITALARIOS",IF(P124=CURSOS!$D$39,"ATENCION DE PACIENTE POR CONSUMO SUSTANCIAS PSICOACTIVAS Y ADICCIONES")))))))))))))))))))))))))))))))))))))</f>
        <v xml:space="preserve">ATENCION A VICTIMAS DE VIOLENCIA SEXUAL </v>
      </c>
      <c r="W124" s="75" t="str">
        <f t="shared" si="6"/>
        <v>Yeroly  Cifuentes Angulo</v>
      </c>
      <c r="X124" s="75" t="str">
        <f t="shared" si="7"/>
        <v>Yeroly  Cifuentes Angulo</v>
      </c>
      <c r="Y124" s="75" t="str">
        <f t="shared" si="8"/>
        <v>Yeroly  Cifuentes Angulo-1086042215-VIOLENCIA SEXUAL</v>
      </c>
    </row>
    <row r="125" spans="1:25" s="76" customFormat="1" x14ac:dyDescent="0.2">
      <c r="A125" s="67">
        <v>124</v>
      </c>
      <c r="B125" s="68">
        <v>1086042215</v>
      </c>
      <c r="C125" s="94" t="s">
        <v>385</v>
      </c>
      <c r="D125" s="94" t="s">
        <v>386</v>
      </c>
      <c r="E125" s="94" t="s">
        <v>387</v>
      </c>
      <c r="F125" s="94"/>
      <c r="G125" s="94">
        <v>21</v>
      </c>
      <c r="H125" s="68" t="s">
        <v>100</v>
      </c>
      <c r="I125" s="68" t="s">
        <v>129</v>
      </c>
      <c r="J125" s="100"/>
      <c r="K125" s="70">
        <v>45835</v>
      </c>
      <c r="L125" s="71">
        <v>56000</v>
      </c>
      <c r="M125" s="68" t="s">
        <v>168</v>
      </c>
      <c r="N125" s="68" t="s">
        <v>207</v>
      </c>
      <c r="O125" s="68" t="s">
        <v>108</v>
      </c>
      <c r="P125" s="98" t="s">
        <v>52</v>
      </c>
      <c r="Q125" s="69">
        <v>36419</v>
      </c>
      <c r="R125" s="94" t="s">
        <v>109</v>
      </c>
      <c r="S125" s="77" t="s">
        <v>130</v>
      </c>
      <c r="T125" s="73">
        <v>3247165754</v>
      </c>
      <c r="U125" s="68" t="s">
        <v>388</v>
      </c>
      <c r="V125" s="75" t="str">
        <f>IF(P125=CURSOS!$D$3,"DIPLOMADO EN ATENCION PRE-HOSPITALARIA",IF(P125=CURSOS!$D$4,"ACOMPAÑAMIENTO Y MANEJO DEL DUELO",IF(P125=CURSOS!$D$5,"ATENCION A VICTIMAS DE ATAQUE CON AGENTES QUIMICOS ",IF(P125=CURSOS!$D$6,"PRIMEROS AUXILIOS ",IF(P125=CURSOS!$D$7,"DIPLOMADO DE UNIDAD DE CUIDADOS INTENSIVOS (UCI)",IF(P125=CURSOS!$D$8,"MODELO DE ATENCION PARA EVENTOS EMERGENTES EN SALUD MENTAL (CODIGO VERDE)",IF(P125=CURSOS!$D$9,"HUMANIZACION EN EL SERVICIO DE LA SALUD Y BUENAS PRACTICAS EN PACIENTE ",IF(P125=CURSOS!$D$10,"CLINICA DE HERIDAS ",IF(P125=CURSOS!$D$11,"TOMA DE CITOLOGIA CERVICO VAGINAL ",IF(P125=CURSOS!$D$12,"SOPORTE CARDIOVASCULAR AVANZADO (ACLS) ",IF(P125=CURSOS!$D$13,"CAMILLERO ",IF(P125=CURSOS!$D$14,"TOMA DE MUESTRAS Y LABORATORIO ",IF(P125=CURSOS!$D$15,"SOPORTE VITAL BASICO (BLS)",IF(P125=CURSOS!$D$16,"ATENCION A VICTIMAS DE VIOLENCIA SEXUAL ",IF(P125=CURSOS!$D$17,"PROGRAMADO AMPLIADO DE INMUNIZACION (PAI - COVID 19)",IF(P125=CURSOS!$D$18,"ATENCION INTEGRAL EN ENFERMEDADES PREVALENTES EN PRIMERA INFANCIA (AIEPI)",IF(P125=CURSOS!$D$19,"ADMINISTRACION DE MEDICAMENTOS, INYECTOLOGIA  Y CANALIZACION ",IF(P125=CURSOS!$D$20,"OPERADOR DE VEHICULOS DE EMERGENCIA (OVE)",IF(P125=CURSOS!$D$21,"INSTITUCIONES AMIGAS DE LA MUJER Y LA INFANCIA (IAMI)",IF(P125=CURSOS!$D$22,"CUIDADO DEL DONANTE DE ORGANOS",IF(P125=CURSOS!$D$23,"ATENCION A VICTIMAS POR VIOLENCIA DE GENERO",IF(P125=CURSOS!$D$24,"IGUALDAD DE GENERO EN LA SALUD",IF(P125=CURSOS!$D$25,"BRIGADA DE EMERGENCIA",IF(P125=CURSOS!$D$26,"MANEJO DEL DOLOR Y CUIDADOS PALIATIVOS",IF(P125=CURSOS!$D$27,"TOMA DE MUESTRAS Y LABORATORIO POCT",IF(P125=CURSOS!$D$28,"IMPLANTE SUBDERMICO DE DISPOSITIVO INTRAUTERINO",IF(P125=CURSOS!$D$29,"SALUD MENTAL",IF(P125=CURSOS!$D$30,"PRIMEROS AUXILIOS PSICOLOGICOS",IF(P125=CURSOS!$D$31,"ATENCION A VICTIMAS POR CONFLICTO ARMADO",IF(P125=CURSOS!$D$32,"MANIPULACION DE ALIMENTOS Y BPM",IF(P125=CURSOS!$D$33,"ATENCION A PERSONAS CON DISCAPACIDAD",IF(P125=CURSOS!$D$34,"CUIDADO INTEGRAL DEL PACIENTE ADULTO",IF(P125=CURSOS!$D$35,"MANEJO DEFENSIVO",IF(P125=CURSOS!$D$36,"SOPORTE CARDIOVASCULAR AVANZADO NEONATAL",IF(P125=CURSOS!$D$37,"SEGURIDAD DEL PACIENTE",IF(P125=CURSOS!$D$38,"MANEJO DE RESIDUOS HOSPITALARIOS",IF(P125=CURSOS!$D$39,"ATENCION DE PACIENTE POR CONSUMO SUSTANCIAS PSICOACTIVAS Y ADICCIONES")))))))))))))))))))))))))))))))))))))</f>
        <v>ATENCION A VICTIMAS POR VIOLENCIA DE GENERO</v>
      </c>
      <c r="W125" s="75" t="str">
        <f t="shared" si="6"/>
        <v>Yeroly  Cifuentes Angulo</v>
      </c>
      <c r="X125" s="75" t="str">
        <f t="shared" si="7"/>
        <v>Yeroly  Cifuentes Angulo</v>
      </c>
      <c r="Y125" s="75" t="str">
        <f t="shared" si="8"/>
        <v>Yeroly  Cifuentes Angulo-1086042215-VIOLENCIA DE GENERO</v>
      </c>
    </row>
    <row r="126" spans="1:25" s="76" customFormat="1" x14ac:dyDescent="0.2">
      <c r="A126" s="67">
        <v>125</v>
      </c>
      <c r="B126" s="68">
        <v>1088735367</v>
      </c>
      <c r="C126" s="94" t="s">
        <v>365</v>
      </c>
      <c r="D126" s="94" t="s">
        <v>295</v>
      </c>
      <c r="E126" s="94" t="s">
        <v>233</v>
      </c>
      <c r="F126" s="94" t="s">
        <v>205</v>
      </c>
      <c r="G126" s="94">
        <v>27</v>
      </c>
      <c r="H126" s="68" t="s">
        <v>100</v>
      </c>
      <c r="I126" s="68" t="s">
        <v>129</v>
      </c>
      <c r="J126" s="100" t="s">
        <v>148</v>
      </c>
      <c r="K126" s="70">
        <v>45828</v>
      </c>
      <c r="L126" s="71">
        <v>28000</v>
      </c>
      <c r="M126" s="68" t="s">
        <v>123</v>
      </c>
      <c r="N126" s="68" t="s">
        <v>207</v>
      </c>
      <c r="O126" s="94" t="s">
        <v>149</v>
      </c>
      <c r="P126" s="98" t="s">
        <v>42</v>
      </c>
      <c r="Q126" s="69">
        <v>33812</v>
      </c>
      <c r="R126" s="94" t="s">
        <v>109</v>
      </c>
      <c r="S126" s="104" t="s">
        <v>130</v>
      </c>
      <c r="T126" s="94">
        <v>3135817583</v>
      </c>
      <c r="U126" s="77" t="s">
        <v>389</v>
      </c>
      <c r="V126" s="75" t="str">
        <f>IF(P126=CURSOS!$D$3,"DIPLOMADO EN ATENCION PRE-HOSPITALARIA",IF(P126=CURSOS!$D$4,"ACOMPAÑAMIENTO Y MANEJO DEL DUELO",IF(P126=CURSOS!$D$5,"ATENCION A VICTIMAS DE ATAQUE CON AGENTES QUIMICOS ",IF(P126=CURSOS!$D$6,"PRIMEROS AUXILIOS ",IF(P126=CURSOS!$D$7,"DIPLOMADO DE UNIDAD DE CUIDADOS INTENSIVOS (UCI)",IF(P126=CURSOS!$D$8,"MODELO DE ATENCION PARA EVENTOS EMERGENTES EN SALUD MENTAL (CODIGO VERDE)",IF(P126=CURSOS!$D$9,"HUMANIZACION EN EL SERVICIO DE LA SALUD Y BUENAS PRACTICAS EN PACIENTE ",IF(P126=CURSOS!$D$10,"CLINICA DE HERIDAS ",IF(P126=CURSOS!$D$11,"TOMA DE CITOLOGIA CERVICO VAGINAL ",IF(P126=CURSOS!$D$12,"SOPORTE CARDIOVASCULAR AVANZADO (ACLS) ",IF(P126=CURSOS!$D$13,"CAMILLERO ",IF(P126=CURSOS!$D$14,"TOMA DE MUESTRAS Y LABORATORIO ",IF(P126=CURSOS!$D$15,"SOPORTE VITAL BASICO (BLS)",IF(P126=CURSOS!$D$16,"ATENCION A VICTIMAS DE VIOLENCIA SEXUAL ",IF(P126=CURSOS!$D$17,"PROGRAMADO AMPLIADO DE INMUNIZACION (PAI - COVID 19)",IF(P126=CURSOS!$D$18,"ATENCION INTEGRAL EN ENFERMEDADES PREVALENTES EN PRIMERA INFANCIA (AIEPI)",IF(P126=CURSOS!$D$19,"ADMINISTRACION DE MEDICAMENTOS, INYECTOLOGIA  Y CANALIZACION ",IF(P126=CURSOS!$D$20,"OPERADOR DE VEHICULOS DE EMERGENCIA (OVE)",IF(P126=CURSOS!$D$21,"INSTITUCIONES AMIGAS DE LA MUJER Y LA INFANCIA (IAMI)",IF(P126=CURSOS!$D$22,"CUIDADO DEL DONANTE DE ORGANOS",IF(P126=CURSOS!$D$23,"ATENCION A VICTIMAS POR VIOLENCIA DE GENERO",IF(P126=CURSOS!$D$24,"IGUALDAD DE GENERO EN LA SALUD",IF(P126=CURSOS!$D$25,"BRIGADA DE EMERGENCIA",IF(P126=CURSOS!$D$26,"MANEJO DEL DOLOR Y CUIDADOS PALIATIVOS",IF(P126=CURSOS!$D$27,"TOMA DE MUESTRAS Y LABORATORIO POCT",IF(P126=CURSOS!$D$28,"IMPLANTE SUBDERMICO DE DISPOSITIVO INTRAUTERINO",IF(P126=CURSOS!$D$29,"SALUD MENTAL",IF(P126=CURSOS!$D$30,"PRIMEROS AUXILIOS PSICOLOGICOS",IF(P126=CURSOS!$D$31,"ATENCION A VICTIMAS POR CONFLICTO ARMADO",IF(P126=CURSOS!$D$32,"MANIPULACION DE ALIMENTOS Y BPM",IF(P126=CURSOS!$D$33,"ATENCION A PERSONAS CON DISCAPACIDAD",IF(P126=CURSOS!$D$34,"CUIDADO INTEGRAL DEL PACIENTE ADULTO",IF(P126=CURSOS!$D$35,"MANEJO DEFENSIVO",IF(P126=CURSOS!$D$36,"SOPORTE CARDIOVASCULAR AVANZADO NEONATAL",IF(P126=CURSOS!$D$37,"SEGURIDAD DEL PACIENTE",IF(P126=CURSOS!$D$38,"MANEJO DE RESIDUOS HOSPITALARIOS",IF(P126=CURSOS!$D$39,"ATENCION DE PACIENTE POR CONSUMO SUSTANCIAS PSICOACTIVAS Y ADICCIONES")))))))))))))))))))))))))))))))))))))</f>
        <v xml:space="preserve">ATENCION A VICTIMAS DE VIOLENCIA SEXUAL </v>
      </c>
      <c r="W126" s="75" t="str">
        <f t="shared" si="6"/>
        <v>Ximena Alexandra Arias Cabrera</v>
      </c>
      <c r="X126" s="75" t="str">
        <f t="shared" si="7"/>
        <v>Ximena Alexandra Arias Cabrera</v>
      </c>
      <c r="Y126" s="75" t="str">
        <f t="shared" si="8"/>
        <v>Ximena Alexandra Arias Cabrera-1088735367-VIOLENCIA SEXUAL</v>
      </c>
    </row>
    <row r="127" spans="1:25" s="76" customFormat="1" x14ac:dyDescent="0.2">
      <c r="A127" s="67">
        <v>126</v>
      </c>
      <c r="B127" s="68">
        <v>1086500104</v>
      </c>
      <c r="C127" s="94" t="s">
        <v>279</v>
      </c>
      <c r="D127" s="94" t="s">
        <v>250</v>
      </c>
      <c r="E127" s="94" t="s">
        <v>390</v>
      </c>
      <c r="F127" s="94" t="s">
        <v>391</v>
      </c>
      <c r="G127" s="94">
        <v>27</v>
      </c>
      <c r="H127" s="68" t="s">
        <v>100</v>
      </c>
      <c r="I127" s="68" t="s">
        <v>129</v>
      </c>
      <c r="J127" s="100" t="s">
        <v>148</v>
      </c>
      <c r="K127" s="70">
        <v>45828</v>
      </c>
      <c r="L127" s="71">
        <v>28000</v>
      </c>
      <c r="M127" s="68" t="s">
        <v>123</v>
      </c>
      <c r="N127" s="68" t="s">
        <v>207</v>
      </c>
      <c r="O127" s="68" t="s">
        <v>149</v>
      </c>
      <c r="P127" s="72" t="s">
        <v>25</v>
      </c>
      <c r="Q127" s="69">
        <v>35388</v>
      </c>
      <c r="R127" s="94" t="s">
        <v>109</v>
      </c>
      <c r="S127" s="104" t="s">
        <v>283</v>
      </c>
      <c r="T127" s="94">
        <v>3165810753</v>
      </c>
      <c r="U127" s="77" t="s">
        <v>392</v>
      </c>
      <c r="V127" s="75" t="str">
        <f>IF(P127=CURSOS!$D$3,"DIPLOMADO EN ATENCION PRE-HOSPITALARIA",IF(P127=CURSOS!$D$4,"ACOMPAÑAMIENTO Y MANEJO DEL DUELO",IF(P127=CURSOS!$D$5,"ATENCION A VICTIMAS DE ATAQUE CON AGENTES QUIMICOS ",IF(P127=CURSOS!$D$6,"PRIMEROS AUXILIOS ",IF(P127=CURSOS!$D$7,"DIPLOMADO DE UNIDAD DE CUIDADOS INTENSIVOS (UCI)",IF(P127=CURSOS!$D$8,"MODELO DE ATENCION PARA EVENTOS EMERGENTES EN SALUD MENTAL (CODIGO VERDE)",IF(P127=CURSOS!$D$9,"HUMANIZACION EN EL SERVICIO DE LA SALUD Y BUENAS PRACTICAS EN PACIENTE ",IF(P127=CURSOS!$D$10,"CLINICA DE HERIDAS ",IF(P127=CURSOS!$D$11,"TOMA DE CITOLOGIA CERVICO VAGINAL ",IF(P127=CURSOS!$D$12,"SOPORTE CARDIOVASCULAR AVANZADO (ACLS) ",IF(P127=CURSOS!$D$13,"CAMILLERO ",IF(P127=CURSOS!$D$14,"TOMA DE MUESTRAS Y LABORATORIO ",IF(P127=CURSOS!$D$15,"SOPORTE VITAL BASICO (BLS)",IF(P127=CURSOS!$D$16,"ATENCION A VICTIMAS DE VIOLENCIA SEXUAL ",IF(P127=CURSOS!$D$17,"PROGRAMADO AMPLIADO DE INMUNIZACION (PAI - COVID 19)",IF(P127=CURSOS!$D$18,"ATENCION INTEGRAL EN ENFERMEDADES PREVALENTES EN PRIMERA INFANCIA (AIEPI)",IF(P127=CURSOS!$D$19,"ADMINISTRACION DE MEDICAMENTOS, INYECTOLOGIA  Y CANALIZACION ",IF(P127=CURSOS!$D$20,"OPERADOR DE VEHICULOS DE EMERGENCIA (OVE)",IF(P127=CURSOS!$D$21,"INSTITUCIONES AMIGAS DE LA MUJER Y LA INFANCIA (IAMI)",IF(P127=CURSOS!$D$22,"CUIDADO DEL DONANTE DE ORGANOS",IF(P127=CURSOS!$D$23,"ATENCION A VICTIMAS POR VIOLENCIA DE GENERO",IF(P127=CURSOS!$D$24,"IGUALDAD DE GENERO EN LA SALUD",IF(P127=CURSOS!$D$25,"BRIGADA DE EMERGENCIA",IF(P127=CURSOS!$D$26,"MANEJO DEL DOLOR Y CUIDADOS PALIATIVOS",IF(P127=CURSOS!$D$27,"TOMA DE MUESTRAS Y LABORATORIO POCT",IF(P127=CURSOS!$D$28,"IMPLANTE SUBDERMICO DE DISPOSITIVO INTRAUTERINO",IF(P127=CURSOS!$D$29,"SALUD MENTAL",IF(P127=CURSOS!$D$30,"PRIMEROS AUXILIOS PSICOLOGICOS",IF(P127=CURSOS!$D$31,"ATENCION A VICTIMAS POR CONFLICTO ARMADO",IF(P127=CURSOS!$D$32,"MANIPULACION DE ALIMENTOS Y BPM",IF(P127=CURSOS!$D$33,"ATENCION A PERSONAS CON DISCAPACIDAD",IF(P127=CURSOS!$D$34,"CUIDADO INTEGRAL DEL PACIENTE ADULTO",IF(P127=CURSOS!$D$35,"MANEJO DEFENSIVO",IF(P127=CURSOS!$D$36,"SOPORTE CARDIOVASCULAR AVANZADO NEONATAL",IF(P127=CURSOS!$D$37,"SEGURIDAD DEL PACIENTE",IF(P127=CURSOS!$D$38,"MANEJO DE RESIDUOS HOSPITALARIOS",IF(P127=CURSOS!$D$39,"ATENCION DE PACIENTE POR CONSUMO SUSTANCIAS PSICOACTIVAS Y ADICCIONES")))))))))))))))))))))))))))))))))))))</f>
        <v xml:space="preserve">ATENCION A VICTIMAS DE ATAQUE CON AGENTES QUIMICOS </v>
      </c>
      <c r="W127" s="75" t="str">
        <f t="shared" si="6"/>
        <v>Jenny Tatiana Martinez Moreno</v>
      </c>
      <c r="X127" s="75" t="str">
        <f t="shared" si="7"/>
        <v>Jenny Tatiana Martinez Moreno</v>
      </c>
      <c r="Y127" s="75" t="str">
        <f t="shared" si="8"/>
        <v>Jenny Tatiana Martinez Moreno-1086500104-QUIMICOS</v>
      </c>
    </row>
    <row r="128" spans="1:25" x14ac:dyDescent="0.2">
      <c r="A128" s="45">
        <v>127</v>
      </c>
      <c r="C128" s="38"/>
      <c r="D128" s="38"/>
      <c r="E128" s="38"/>
      <c r="F128" s="38"/>
      <c r="G128" s="38"/>
      <c r="H128" s="46"/>
      <c r="I128" s="46"/>
      <c r="J128" s="51"/>
      <c r="M128" s="38"/>
      <c r="N128" s="46"/>
      <c r="O128" s="46"/>
      <c r="Q128" s="47"/>
      <c r="R128" s="38"/>
      <c r="S128" s="46"/>
      <c r="T128" s="46"/>
      <c r="U128" s="46"/>
      <c r="V128" s="44" t="b">
        <f>IF(P128=CURSOS!$D$3,"DIPLOMADO EN ATENCION PRE-HOSPITALARIA",IF(P128=CURSOS!$D$4,"ACOMPAÑAMIENTO Y MANEJO DEL DUELO",IF(P128=CURSOS!$D$5,"ATENCION A VICTIMAS DE ATAQUE CON AGENTES QUIMICOS ",IF(P128=CURSOS!$D$6,"PRIMEROS AUXILIOS ",IF(P128=CURSOS!$D$7,"DIPLOMADO DE UNIDAD DE CUIDADOS INTENSIVOS (UCI)",IF(P128=CURSOS!$D$8,"MODELO DE ATENCION PARA EVENTOS EMERGENTES EN SALUD MENTAL (CODIGO VERDE)",IF(P128=CURSOS!$D$9,"HUMANIZACION EN EL SERVICIO DE LA SALUD Y BUENAS PRACTICAS EN PACIENTE ",IF(P128=CURSOS!$D$10,"CLINICA DE HERIDAS ",IF(P128=CURSOS!$D$11,"TOMA DE CITOLOGIA CERVICO VAGINAL ",IF(P128=CURSOS!$D$12,"SOPORTE CARDIOVASCULAR AVANZADO (ACLS) ",IF(P128=CURSOS!$D$13,"CAMILLERO ",IF(P128=CURSOS!$D$14,"TOMA DE MUESTRAS Y LABORATORIO ",IF(P128=CURSOS!$D$15,"SOPORTE VITAL BASICO (BLS)",IF(P128=CURSOS!$D$16,"ATENCION A VICTIMAS DE VIOLENCIA SEXUAL ",IF(P128=CURSOS!$D$17,"PROGRAMADO AMPLIADO DE INMUNIZACION (PAI - COVID 19)",IF(P128=CURSOS!$D$18,"ATENCION INTEGRAL EN ENFERMEDADES PREVALENTES EN PRIMERA INFANCIA (AIEPI)",IF(P128=CURSOS!$D$19,"ADMINISTRACION DE MEDICAMENTOS, INYECTOLOGIA  Y CANALIZACION ",IF(P128=CURSOS!$D$20,"OPERADOR DE VEHICULOS DE EMERGENCIA (OVE)",IF(P128=CURSOS!$D$21,"INSTITUCIONES AMIGAS DE LA MUJER Y LA INFANCIA (IAMI)",IF(P128=CURSOS!$D$22,"CUIDADO DEL DONANTE DE ORGANOS",IF(P128=CURSOS!$D$23,"ATENCION A VICTIMAS POR VIOLENCIA DE GENERO",IF(P128=CURSOS!$D$24,"IGUALDAD DE GENERO EN LA SALUD",IF(P128=CURSOS!$D$25,"BRIGADA DE EMERGENCIA",IF(P128=CURSOS!$D$26,"MANEJO DEL DOLOR Y CUIDADOS PALIATIVOS",IF(P128=CURSOS!$D$27,"TOMA DE MUESTRAS Y LABORATORIO POCT",IF(P128=CURSOS!$D$28,"IMPLANTE SUBDERMICO DE DISPOSITIVO INTRAUTERINO",IF(P128=CURSOS!$D$29,"SALUD MENTAL",IF(P128=CURSOS!$D$30,"PRIMEROS AUXILIOS PSICOLOGICOS",IF(P128=CURSOS!$D$31,"ATENCION A VICTIMAS POR CONFLICTO ARMADO",IF(P128=CURSOS!$D$32,"MANIPULACION DE ALIMENTOS Y BPM",IF(P128=CURSOS!$D$33,"ATENCION A PERSONAS CON DISCAPACIDAD",IF(P128=CURSOS!$D$34,"CUIDADO INTEGRAL DEL PACIENTE ADULTO",IF(P128=CURSOS!$D$35,"MANEJO DEFENSIVO",IF(P128=CURSOS!$D$36,"SOPORTE CARDIOVASCULAR AVANZADO NEONATAL",IF(P128=CURSOS!$D$37,"SEGURIDAD DEL PACIENTE",IF(P128=CURSOS!$D$38,"MANEJO DE RESIDUOS HOSPITALARIOS",IF(P128=CURSOS!$D$39,"ATENCION DE PACIENTE POR CONSUMO SUSTANCIAS PSICOACTIVAS Y ADICCIONES")))))))))))))))))))))))))))))))))))))</f>
        <v>0</v>
      </c>
      <c r="W128" s="44" t="str">
        <f t="shared" si="6"/>
        <v xml:space="preserve">   </v>
      </c>
      <c r="X128" s="44" t="str">
        <f t="shared" si="7"/>
        <v xml:space="preserve">   </v>
      </c>
      <c r="Y128" s="44" t="str">
        <f t="shared" si="8"/>
        <v xml:space="preserve">   --</v>
      </c>
    </row>
    <row r="129" spans="1:25" x14ac:dyDescent="0.2">
      <c r="A129" s="45">
        <v>128</v>
      </c>
      <c r="B129" s="46"/>
      <c r="C129" s="38"/>
      <c r="D129" s="38"/>
      <c r="E129" s="38"/>
      <c r="F129" s="38"/>
      <c r="G129" s="38"/>
      <c r="H129" s="46"/>
      <c r="I129" s="46"/>
      <c r="J129" s="51"/>
      <c r="L129" s="48"/>
      <c r="M129" s="46"/>
      <c r="N129" s="46"/>
      <c r="O129" s="46"/>
      <c r="Q129" s="47"/>
      <c r="R129" s="38"/>
      <c r="S129" s="46"/>
      <c r="T129" s="46"/>
      <c r="U129" s="53"/>
      <c r="V129" s="44" t="b">
        <f>IF(P129=CURSOS!$D$3,"DIPLOMADO EN ATENCION PRE-HOSPITALARIA",IF(P129=CURSOS!$D$4,"ACOMPAÑAMIENTO Y MANEJO DEL DUELO",IF(P129=CURSOS!$D$5,"ATENCION A VICTIMAS DE ATAQUE CON AGENTES QUIMICOS ",IF(P129=CURSOS!$D$6,"PRIMEROS AUXILIOS ",IF(P129=CURSOS!$D$7,"DIPLOMADO DE UNIDAD DE CUIDADOS INTENSIVOS (UCI)",IF(P129=CURSOS!$D$8,"MODELO DE ATENCION PARA EVENTOS EMERGENTES EN SALUD MENTAL (CODIGO VERDE)",IF(P129=CURSOS!$D$9,"HUMANIZACION EN EL SERVICIO DE LA SALUD Y BUENAS PRACTICAS EN PACIENTE ",IF(P129=CURSOS!$D$10,"CLINICA DE HERIDAS ",IF(P129=CURSOS!$D$11,"TOMA DE CITOLOGIA CERVICO VAGINAL ",IF(P129=CURSOS!$D$12,"SOPORTE CARDIOVASCULAR AVANZADO (ACLS) ",IF(P129=CURSOS!$D$13,"CAMILLERO ",IF(P129=CURSOS!$D$14,"TOMA DE MUESTRAS Y LABORATORIO ",IF(P129=CURSOS!$D$15,"SOPORTE VITAL BASICO (BLS)",IF(P129=CURSOS!$D$16,"ATENCION A VICTIMAS DE VIOLENCIA SEXUAL ",IF(P129=CURSOS!$D$17,"PROGRAMADO AMPLIADO DE INMUNIZACION (PAI - COVID 19)",IF(P129=CURSOS!$D$18,"ATENCION INTEGRAL EN ENFERMEDADES PREVALENTES EN PRIMERA INFANCIA (AIEPI)",IF(P129=CURSOS!$D$19,"ADMINISTRACION DE MEDICAMENTOS, INYECTOLOGIA  Y CANALIZACION ",IF(P129=CURSOS!$D$20,"OPERADOR DE VEHICULOS DE EMERGENCIA (OVE)",IF(P129=CURSOS!$D$21,"INSTITUCIONES AMIGAS DE LA MUJER Y LA INFANCIA (IAMI)",IF(P129=CURSOS!$D$22,"CUIDADO DEL DONANTE DE ORGANOS",IF(P129=CURSOS!$D$23,"ATENCION A VICTIMAS POR VIOLENCIA DE GENERO",IF(P129=CURSOS!$D$24,"IGUALDAD DE GENERO EN LA SALUD",IF(P129=CURSOS!$D$25,"BRIGADA DE EMERGENCIA",IF(P129=CURSOS!$D$26,"MANEJO DEL DOLOR Y CUIDADOS PALIATIVOS",IF(P129=CURSOS!$D$27,"TOMA DE MUESTRAS Y LABORATORIO POCT",IF(P129=CURSOS!$D$28,"IMPLANTE SUBDERMICO DE DISPOSITIVO INTRAUTERINO",IF(P129=CURSOS!$D$29,"SALUD MENTAL",IF(P129=CURSOS!$D$30,"PRIMEROS AUXILIOS PSICOLOGICOS",IF(P129=CURSOS!$D$31,"ATENCION A VICTIMAS POR CONFLICTO ARMADO",IF(P129=CURSOS!$D$32,"MANIPULACION DE ALIMENTOS Y BPM",IF(P129=CURSOS!$D$33,"ATENCION A PERSONAS CON DISCAPACIDAD",IF(P129=CURSOS!$D$34,"CUIDADO INTEGRAL DEL PACIENTE ADULTO",IF(P129=CURSOS!$D$35,"MANEJO DEFENSIVO",IF(P129=CURSOS!$D$36,"SOPORTE CARDIOVASCULAR AVANZADO NEONATAL",IF(P129=CURSOS!$D$37,"SEGURIDAD DEL PACIENTE",IF(P129=CURSOS!$D$38,"MANEJO DE RESIDUOS HOSPITALARIOS",IF(P129=CURSOS!$D$39,"ATENCION DE PACIENTE POR CONSUMO SUSTANCIAS PSICOACTIVAS Y ADICCIONES")))))))))))))))))))))))))))))))))))))</f>
        <v>0</v>
      </c>
      <c r="W129" s="44" t="str">
        <f t="shared" si="6"/>
        <v xml:space="preserve">   </v>
      </c>
      <c r="X129" s="44" t="str">
        <f t="shared" si="7"/>
        <v xml:space="preserve">   </v>
      </c>
      <c r="Y129" s="44" t="str">
        <f t="shared" si="8"/>
        <v xml:space="preserve">   --</v>
      </c>
    </row>
    <row r="130" spans="1:25" x14ac:dyDescent="0.2">
      <c r="A130" s="45">
        <v>129</v>
      </c>
      <c r="B130" s="46"/>
      <c r="C130" s="38"/>
      <c r="D130" s="38"/>
      <c r="E130" s="38"/>
      <c r="F130" s="38"/>
      <c r="G130" s="38"/>
      <c r="H130" s="46"/>
      <c r="I130" s="46"/>
      <c r="J130" s="51"/>
      <c r="L130" s="48"/>
      <c r="M130" s="46"/>
      <c r="N130" s="46"/>
      <c r="O130" s="46"/>
      <c r="Q130" s="47"/>
      <c r="R130" s="38"/>
      <c r="S130" s="46"/>
      <c r="T130" s="46"/>
      <c r="U130" s="46"/>
      <c r="V130" s="44" t="b">
        <f>IF(P130=CURSOS!$D$3,"DIPLOMADO EN ATENCION PRE-HOSPITALARIA",IF(P130=CURSOS!$D$4,"ACOMPAÑAMIENTO Y MANEJO DEL DUELO",IF(P130=CURSOS!$D$5,"ATENCION A VICTIMAS DE ATAQUE CON AGENTES QUIMICOS ",IF(P130=CURSOS!$D$6,"PRIMEROS AUXILIOS ",IF(P130=CURSOS!$D$7,"DIPLOMADO DE UNIDAD DE CUIDADOS INTENSIVOS (UCI)",IF(P130=CURSOS!$D$8,"MODELO DE ATENCION PARA EVENTOS EMERGENTES EN SALUD MENTAL (CODIGO VERDE)",IF(P130=CURSOS!$D$9,"HUMANIZACION EN EL SERVICIO DE LA SALUD Y BUENAS PRACTICAS EN PACIENTE ",IF(P130=CURSOS!$D$10,"CLINICA DE HERIDAS ",IF(P130=CURSOS!$D$11,"TOMA DE CITOLOGIA CERVICO VAGINAL ",IF(P130=CURSOS!$D$12,"SOPORTE CARDIOVASCULAR AVANZADO (ACLS) ",IF(P130=CURSOS!$D$13,"CAMILLERO ",IF(P130=CURSOS!$D$14,"TOMA DE MUESTRAS Y LABORATORIO ",IF(P130=CURSOS!$D$15,"SOPORTE VITAL BASICO (BLS)",IF(P130=CURSOS!$D$16,"ATENCION A VICTIMAS DE VIOLENCIA SEXUAL ",IF(P130=CURSOS!$D$17,"PROGRAMADO AMPLIADO DE INMUNIZACION (PAI - COVID 19)",IF(P130=CURSOS!$D$18,"ATENCION INTEGRAL EN ENFERMEDADES PREVALENTES EN PRIMERA INFANCIA (AIEPI)",IF(P130=CURSOS!$D$19,"ADMINISTRACION DE MEDICAMENTOS, INYECTOLOGIA  Y CANALIZACION ",IF(P130=CURSOS!$D$20,"OPERADOR DE VEHICULOS DE EMERGENCIA (OVE)",IF(P130=CURSOS!$D$21,"INSTITUCIONES AMIGAS DE LA MUJER Y LA INFANCIA (IAMI)",IF(P130=CURSOS!$D$22,"CUIDADO DEL DONANTE DE ORGANOS",IF(P130=CURSOS!$D$23,"ATENCION A VICTIMAS POR VIOLENCIA DE GENERO",IF(P130=CURSOS!$D$24,"IGUALDAD DE GENERO EN LA SALUD",IF(P130=CURSOS!$D$25,"BRIGADA DE EMERGENCIA",IF(P130=CURSOS!$D$26,"MANEJO DEL DOLOR Y CUIDADOS PALIATIVOS",IF(P130=CURSOS!$D$27,"TOMA DE MUESTRAS Y LABORATORIO POCT",IF(P130=CURSOS!$D$28,"IMPLANTE SUBDERMICO DE DISPOSITIVO INTRAUTERINO",IF(P130=CURSOS!$D$29,"SALUD MENTAL",IF(P130=CURSOS!$D$30,"PRIMEROS AUXILIOS PSICOLOGICOS",IF(P130=CURSOS!$D$31,"ATENCION A VICTIMAS POR CONFLICTO ARMADO",IF(P130=CURSOS!$D$32,"MANIPULACION DE ALIMENTOS Y BPM",IF(P130=CURSOS!$D$33,"ATENCION A PERSONAS CON DISCAPACIDAD",IF(P130=CURSOS!$D$34,"CUIDADO INTEGRAL DEL PACIENTE ADULTO",IF(P130=CURSOS!$D$35,"MANEJO DEFENSIVO",IF(P130=CURSOS!$D$36,"SOPORTE CARDIOVASCULAR AVANZADO NEONATAL",IF(P130=CURSOS!$D$37,"SEGURIDAD DEL PACIENTE",IF(P130=CURSOS!$D$38,"MANEJO DE RESIDUOS HOSPITALARIOS",IF(P130=CURSOS!$D$39,"ATENCION DE PACIENTE POR CONSUMO SUSTANCIAS PSICOACTIVAS Y ADICCIONES")))))))))))))))))))))))))))))))))))))</f>
        <v>0</v>
      </c>
      <c r="W130" s="44" t="str">
        <f t="shared" si="6"/>
        <v xml:space="preserve">   </v>
      </c>
      <c r="X130" s="44" t="str">
        <f t="shared" si="7"/>
        <v xml:space="preserve">   </v>
      </c>
      <c r="Y130" s="44" t="str">
        <f t="shared" si="8"/>
        <v xml:space="preserve">   --</v>
      </c>
    </row>
    <row r="131" spans="1:25" x14ac:dyDescent="0.2">
      <c r="A131" s="45">
        <v>130</v>
      </c>
      <c r="B131" s="46"/>
      <c r="C131" s="38"/>
      <c r="D131" s="38"/>
      <c r="E131" s="38"/>
      <c r="F131" s="38"/>
      <c r="G131" s="38"/>
      <c r="H131" s="46"/>
      <c r="I131" s="46"/>
      <c r="J131" s="51"/>
      <c r="L131" s="48"/>
      <c r="M131" s="46"/>
      <c r="N131" s="46"/>
      <c r="O131" s="46"/>
      <c r="Q131" s="47"/>
      <c r="R131" s="38"/>
      <c r="S131" s="46"/>
      <c r="T131" s="46"/>
      <c r="U131" s="46"/>
      <c r="V131" s="44" t="b">
        <f>IF(P131=CURSOS!$D$3,"DIPLOMADO EN ATENCION PRE-HOSPITALARIA",IF(P131=CURSOS!$D$4,"ACOMPAÑAMIENTO Y MANEJO DEL DUELO",IF(P131=CURSOS!$D$5,"ATENCION A VICTIMAS DE ATAQUE CON AGENTES QUIMICOS ",IF(P131=CURSOS!$D$6,"PRIMEROS AUXILIOS ",IF(P131=CURSOS!$D$7,"DIPLOMADO DE UNIDAD DE CUIDADOS INTENSIVOS (UCI)",IF(P131=CURSOS!$D$8,"MODELO DE ATENCION PARA EVENTOS EMERGENTES EN SALUD MENTAL (CODIGO VERDE)",IF(P131=CURSOS!$D$9,"HUMANIZACION EN EL SERVICIO DE LA SALUD Y BUENAS PRACTICAS EN PACIENTE ",IF(P131=CURSOS!$D$10,"CLINICA DE HERIDAS ",IF(P131=CURSOS!$D$11,"TOMA DE CITOLOGIA CERVICO VAGINAL ",IF(P131=CURSOS!$D$12,"SOPORTE CARDIOVASCULAR AVANZADO (ACLS) ",IF(P131=CURSOS!$D$13,"CAMILLERO ",IF(P131=CURSOS!$D$14,"TOMA DE MUESTRAS Y LABORATORIO ",IF(P131=CURSOS!$D$15,"SOPORTE VITAL BASICO (BLS)",IF(P131=CURSOS!$D$16,"ATENCION A VICTIMAS DE VIOLENCIA SEXUAL ",IF(P131=CURSOS!$D$17,"PROGRAMADO AMPLIADO DE INMUNIZACION (PAI - COVID 19)",IF(P131=CURSOS!$D$18,"ATENCION INTEGRAL EN ENFERMEDADES PREVALENTES EN PRIMERA INFANCIA (AIEPI)",IF(P131=CURSOS!$D$19,"ADMINISTRACION DE MEDICAMENTOS, INYECTOLOGIA  Y CANALIZACION ",IF(P131=CURSOS!$D$20,"OPERADOR DE VEHICULOS DE EMERGENCIA (OVE)",IF(P131=CURSOS!$D$21,"INSTITUCIONES AMIGAS DE LA MUJER Y LA INFANCIA (IAMI)",IF(P131=CURSOS!$D$22,"CUIDADO DEL DONANTE DE ORGANOS",IF(P131=CURSOS!$D$23,"ATENCION A VICTIMAS POR VIOLENCIA DE GENERO",IF(P131=CURSOS!$D$24,"IGUALDAD DE GENERO EN LA SALUD",IF(P131=CURSOS!$D$25,"BRIGADA DE EMERGENCIA",IF(P131=CURSOS!$D$26,"MANEJO DEL DOLOR Y CUIDADOS PALIATIVOS",IF(P131=CURSOS!$D$27,"TOMA DE MUESTRAS Y LABORATORIO POCT",IF(P131=CURSOS!$D$28,"IMPLANTE SUBDERMICO DE DISPOSITIVO INTRAUTERINO",IF(P131=CURSOS!$D$29,"SALUD MENTAL",IF(P131=CURSOS!$D$30,"PRIMEROS AUXILIOS PSICOLOGICOS",IF(P131=CURSOS!$D$31,"ATENCION A VICTIMAS POR CONFLICTO ARMADO",IF(P131=CURSOS!$D$32,"MANIPULACION DE ALIMENTOS Y BPM",IF(P131=CURSOS!$D$33,"ATENCION A PERSONAS CON DISCAPACIDAD",IF(P131=CURSOS!$D$34,"CUIDADO INTEGRAL DEL PACIENTE ADULTO",IF(P131=CURSOS!$D$35,"MANEJO DEFENSIVO",IF(P131=CURSOS!$D$36,"SOPORTE CARDIOVASCULAR AVANZADO NEONATAL",IF(P131=CURSOS!$D$37,"SEGURIDAD DEL PACIENTE",IF(P131=CURSOS!$D$38,"MANEJO DE RESIDUOS HOSPITALARIOS",IF(P131=CURSOS!$D$39,"ATENCION DE PACIENTE POR CONSUMO SUSTANCIAS PSICOACTIVAS Y ADICCIONES")))))))))))))))))))))))))))))))))))))</f>
        <v>0</v>
      </c>
      <c r="W131" s="44" t="str">
        <f t="shared" si="6"/>
        <v xml:space="preserve">   </v>
      </c>
      <c r="X131" s="44" t="str">
        <f t="shared" si="7"/>
        <v xml:space="preserve">   </v>
      </c>
      <c r="Y131" s="44" t="str">
        <f t="shared" si="8"/>
        <v xml:space="preserve">   --</v>
      </c>
    </row>
    <row r="132" spans="1:25" x14ac:dyDescent="0.2">
      <c r="A132" s="45">
        <v>131</v>
      </c>
      <c r="B132" s="46"/>
      <c r="C132" s="46"/>
      <c r="D132" s="46"/>
      <c r="E132" s="38"/>
      <c r="F132" s="46"/>
      <c r="G132" s="38"/>
      <c r="H132" s="46"/>
      <c r="I132" s="46"/>
      <c r="J132" s="51"/>
      <c r="L132" s="48"/>
      <c r="M132" s="46"/>
      <c r="N132" s="46"/>
      <c r="O132" s="46"/>
      <c r="Q132" s="47"/>
      <c r="R132" s="46"/>
      <c r="S132" s="53"/>
      <c r="T132" s="46"/>
      <c r="U132" s="46"/>
      <c r="V132" s="44" t="b">
        <f>IF(P132=CURSOS!$D$3,"DIPLOMADO EN ATENCION PRE-HOSPITALARIA",IF(P132=CURSOS!$D$4,"ACOMPAÑAMIENTO Y MANEJO DEL DUELO",IF(P132=CURSOS!$D$5,"ATENCION A VICTIMAS DE ATAQUE CON AGENTES QUIMICOS ",IF(P132=CURSOS!$D$6,"PRIMEROS AUXILIOS ",IF(P132=CURSOS!$D$7,"DIPLOMADO DE UNIDAD DE CUIDADOS INTENSIVOS (UCI)",IF(P132=CURSOS!$D$8,"MODELO DE ATENCION PARA EVENTOS EMERGENTES EN SALUD MENTAL (CODIGO VERDE)",IF(P132=CURSOS!$D$9,"HUMANIZACION EN EL SERVICIO DE LA SALUD Y BUENAS PRACTICAS EN PACIENTE ",IF(P132=CURSOS!$D$10,"CLINICA DE HERIDAS ",IF(P132=CURSOS!$D$11,"TOMA DE CITOLOGIA CERVICO VAGINAL ",IF(P132=CURSOS!$D$12,"SOPORTE CARDIOVASCULAR AVANZADO (ACLS) ",IF(P132=CURSOS!$D$13,"CAMILLERO ",IF(P132=CURSOS!$D$14,"TOMA DE MUESTRAS Y LABORATORIO ",IF(P132=CURSOS!$D$15,"SOPORTE VITAL BASICO (BLS)",IF(P132=CURSOS!$D$16,"ATENCION A VICTIMAS DE VIOLENCIA SEXUAL ",IF(P132=CURSOS!$D$17,"PROGRAMADO AMPLIADO DE INMUNIZACION (PAI - COVID 19)",IF(P132=CURSOS!$D$18,"ATENCION INTEGRAL EN ENFERMEDADES PREVALENTES EN PRIMERA INFANCIA (AIEPI)",IF(P132=CURSOS!$D$19,"ADMINISTRACION DE MEDICAMENTOS, INYECTOLOGIA  Y CANALIZACION ",IF(P132=CURSOS!$D$20,"OPERADOR DE VEHICULOS DE EMERGENCIA (OVE)",IF(P132=CURSOS!$D$21,"INSTITUCIONES AMIGAS DE LA MUJER Y LA INFANCIA (IAMI)",IF(P132=CURSOS!$D$22,"CUIDADO DEL DONANTE DE ORGANOS",IF(P132=CURSOS!$D$23,"ATENCION A VICTIMAS POR VIOLENCIA DE GENERO",IF(P132=CURSOS!$D$24,"IGUALDAD DE GENERO EN LA SALUD",IF(P132=CURSOS!$D$25,"BRIGADA DE EMERGENCIA",IF(P132=CURSOS!$D$26,"MANEJO DEL DOLOR Y CUIDADOS PALIATIVOS",IF(P132=CURSOS!$D$27,"TOMA DE MUESTRAS Y LABORATORIO POCT",IF(P132=CURSOS!$D$28,"IMPLANTE SUBDERMICO DE DISPOSITIVO INTRAUTERINO",IF(P132=CURSOS!$D$29,"SALUD MENTAL",IF(P132=CURSOS!$D$30,"PRIMEROS AUXILIOS PSICOLOGICOS",IF(P132=CURSOS!$D$31,"ATENCION A VICTIMAS POR CONFLICTO ARMADO",IF(P132=CURSOS!$D$32,"MANIPULACION DE ALIMENTOS Y BPM",IF(P132=CURSOS!$D$33,"ATENCION A PERSONAS CON DISCAPACIDAD",IF(P132=CURSOS!$D$34,"CUIDADO INTEGRAL DEL PACIENTE ADULTO",IF(P132=CURSOS!$D$35,"MANEJO DEFENSIVO",IF(P132=CURSOS!$D$36,"SOPORTE CARDIOVASCULAR AVANZADO NEONATAL",IF(P132=CURSOS!$D$37,"SEGURIDAD DEL PACIENTE",IF(P132=CURSOS!$D$38,"MANEJO DE RESIDUOS HOSPITALARIOS",IF(P132=CURSOS!$D$39,"ATENCION DE PACIENTE POR CONSUMO SUSTANCIAS PSICOACTIVAS Y ADICCIONES")))))))))))))))))))))))))))))))))))))</f>
        <v>0</v>
      </c>
      <c r="W132" s="44" t="str">
        <f t="shared" si="6"/>
        <v xml:space="preserve">   </v>
      </c>
      <c r="X132" s="44" t="str">
        <f t="shared" si="7"/>
        <v xml:space="preserve">   </v>
      </c>
      <c r="Y132" s="44" t="str">
        <f t="shared" si="8"/>
        <v xml:space="preserve">   --</v>
      </c>
    </row>
    <row r="133" spans="1:25" x14ac:dyDescent="0.2">
      <c r="A133" s="45">
        <v>132</v>
      </c>
      <c r="B133" s="46"/>
      <c r="C133" s="46"/>
      <c r="D133" s="46"/>
      <c r="E133" s="38"/>
      <c r="F133" s="46"/>
      <c r="G133" s="46"/>
      <c r="H133" s="46"/>
      <c r="I133" s="46"/>
      <c r="J133" s="47"/>
      <c r="M133" s="38"/>
      <c r="N133" s="46"/>
      <c r="O133" s="46"/>
      <c r="Q133" s="47"/>
      <c r="R133" s="46"/>
      <c r="S133" s="53"/>
      <c r="T133" s="46"/>
      <c r="U133" s="46"/>
      <c r="V133" s="44" t="b">
        <f>IF(P133=CURSOS!$D$3,"DIPLOMADO EN ATENCION PRE-HOSPITALARIA",IF(P133=CURSOS!$D$4,"ACOMPAÑAMIENTO Y MANEJO DEL DUELO",IF(P133=CURSOS!$D$5,"ATENCION A VICTIMAS DE ATAQUE CON AGENTES QUIMICOS ",IF(P133=CURSOS!$D$6,"PRIMEROS AUXILIOS ",IF(P133=CURSOS!$D$7,"DIPLOMADO DE UNIDAD DE CUIDADOS INTENSIVOS (UCI)",IF(P133=CURSOS!$D$8,"MODELO DE ATENCION PARA EVENTOS EMERGENTES EN SALUD MENTAL (CODIGO VERDE)",IF(P133=CURSOS!$D$9,"HUMANIZACION EN EL SERVICIO DE LA SALUD Y BUENAS PRACTICAS EN PACIENTE ",IF(P133=CURSOS!$D$10,"CLINICA DE HERIDAS ",IF(P133=CURSOS!$D$11,"TOMA DE CITOLOGIA CERVICO VAGINAL ",IF(P133=CURSOS!$D$12,"SOPORTE CARDIOVASCULAR AVANZADO (ACLS) ",IF(P133=CURSOS!$D$13,"CAMILLERO ",IF(P133=CURSOS!$D$14,"TOMA DE MUESTRAS Y LABORATORIO ",IF(P133=CURSOS!$D$15,"SOPORTE VITAL BASICO (BLS)",IF(P133=CURSOS!$D$16,"ATENCION A VICTIMAS DE VIOLENCIA SEXUAL ",IF(P133=CURSOS!$D$17,"PROGRAMADO AMPLIADO DE INMUNIZACION (PAI - COVID 19)",IF(P133=CURSOS!$D$18,"ATENCION INTEGRAL EN ENFERMEDADES PREVALENTES EN PRIMERA INFANCIA (AIEPI)",IF(P133=CURSOS!$D$19,"ADMINISTRACION DE MEDICAMENTOS, INYECTOLOGIA  Y CANALIZACION ",IF(P133=CURSOS!$D$20,"OPERADOR DE VEHICULOS DE EMERGENCIA (OVE)",IF(P133=CURSOS!$D$21,"INSTITUCIONES AMIGAS DE LA MUJER Y LA INFANCIA (IAMI)",IF(P133=CURSOS!$D$22,"CUIDADO DEL DONANTE DE ORGANOS",IF(P133=CURSOS!$D$23,"ATENCION A VICTIMAS POR VIOLENCIA DE GENERO",IF(P133=CURSOS!$D$24,"IGUALDAD DE GENERO EN LA SALUD",IF(P133=CURSOS!$D$25,"BRIGADA DE EMERGENCIA",IF(P133=CURSOS!$D$26,"MANEJO DEL DOLOR Y CUIDADOS PALIATIVOS",IF(P133=CURSOS!$D$27,"TOMA DE MUESTRAS Y LABORATORIO POCT",IF(P133=CURSOS!$D$28,"IMPLANTE SUBDERMICO DE DISPOSITIVO INTRAUTERINO",IF(P133=CURSOS!$D$29,"SALUD MENTAL",IF(P133=CURSOS!$D$30,"PRIMEROS AUXILIOS PSICOLOGICOS",IF(P133=CURSOS!$D$31,"ATENCION A VICTIMAS POR CONFLICTO ARMADO",IF(P133=CURSOS!$D$32,"MANIPULACION DE ALIMENTOS Y BPM",IF(P133=CURSOS!$D$33,"ATENCION A PERSONAS CON DISCAPACIDAD",IF(P133=CURSOS!$D$34,"CUIDADO INTEGRAL DEL PACIENTE ADULTO",IF(P133=CURSOS!$D$35,"MANEJO DEFENSIVO",IF(P133=CURSOS!$D$36,"SOPORTE CARDIOVASCULAR AVANZADO NEONATAL",IF(P133=CURSOS!$D$37,"SEGURIDAD DEL PACIENTE",IF(P133=CURSOS!$D$38,"MANEJO DE RESIDUOS HOSPITALARIOS",IF(P133=CURSOS!$D$39,"ATENCION DE PACIENTE POR CONSUMO SUSTANCIAS PSICOACTIVAS Y ADICCIONES")))))))))))))))))))))))))))))))))))))</f>
        <v>0</v>
      </c>
      <c r="W133" s="44" t="str">
        <f t="shared" si="6"/>
        <v xml:space="preserve">   </v>
      </c>
      <c r="X133" s="44" t="str">
        <f t="shared" si="7"/>
        <v xml:space="preserve">   </v>
      </c>
      <c r="Y133" s="44" t="str">
        <f t="shared" si="8"/>
        <v xml:space="preserve">   --</v>
      </c>
    </row>
    <row r="134" spans="1:25" x14ac:dyDescent="0.2">
      <c r="A134" s="45">
        <v>133</v>
      </c>
      <c r="B134" s="46"/>
      <c r="C134" s="46"/>
      <c r="D134" s="46"/>
      <c r="E134" s="38"/>
      <c r="F134" s="46"/>
      <c r="G134" s="46"/>
      <c r="H134" s="46"/>
      <c r="I134" s="46"/>
      <c r="J134" s="51"/>
      <c r="L134" s="48"/>
      <c r="M134" s="46"/>
      <c r="N134" s="46"/>
      <c r="O134" s="46"/>
      <c r="Q134" s="47"/>
      <c r="R134" s="46"/>
      <c r="S134" s="53"/>
      <c r="T134" s="46"/>
      <c r="U134" s="46"/>
      <c r="V134" s="44" t="b">
        <f>IF(P134=CURSOS!$D$3,"DIPLOMADO EN ATENCION PRE-HOSPITALARIA",IF(P134=CURSOS!$D$4,"ACOMPAÑAMIENTO Y MANEJO DEL DUELO",IF(P134=CURSOS!$D$5,"ATENCION A VICTIMAS DE ATAQUE CON AGENTES QUIMICOS ",IF(P134=CURSOS!$D$6,"PRIMEROS AUXILIOS ",IF(P134=CURSOS!$D$7,"DIPLOMADO DE UNIDAD DE CUIDADOS INTENSIVOS (UCI)",IF(P134=CURSOS!$D$8,"MODELO DE ATENCION PARA EVENTOS EMERGENTES EN SALUD MENTAL (CODIGO VERDE)",IF(P134=CURSOS!$D$9,"HUMANIZACION EN EL SERVICIO DE LA SALUD Y BUENAS PRACTICAS EN PACIENTE ",IF(P134=CURSOS!$D$10,"CLINICA DE HERIDAS ",IF(P134=CURSOS!$D$11,"TOMA DE CITOLOGIA CERVICO VAGINAL ",IF(P134=CURSOS!$D$12,"SOPORTE CARDIOVASCULAR AVANZADO (ACLS) ",IF(P134=CURSOS!$D$13,"CAMILLERO ",IF(P134=CURSOS!$D$14,"TOMA DE MUESTRAS Y LABORATORIO ",IF(P134=CURSOS!$D$15,"SOPORTE VITAL BASICO (BLS)",IF(P134=CURSOS!$D$16,"ATENCION A VICTIMAS DE VIOLENCIA SEXUAL ",IF(P134=CURSOS!$D$17,"PROGRAMADO AMPLIADO DE INMUNIZACION (PAI - COVID 19)",IF(P134=CURSOS!$D$18,"ATENCION INTEGRAL EN ENFERMEDADES PREVALENTES EN PRIMERA INFANCIA (AIEPI)",IF(P134=CURSOS!$D$19,"ADMINISTRACION DE MEDICAMENTOS, INYECTOLOGIA  Y CANALIZACION ",IF(P134=CURSOS!$D$20,"OPERADOR DE VEHICULOS DE EMERGENCIA (OVE)",IF(P134=CURSOS!$D$21,"INSTITUCIONES AMIGAS DE LA MUJER Y LA INFANCIA (IAMI)",IF(P134=CURSOS!$D$22,"CUIDADO DEL DONANTE DE ORGANOS",IF(P134=CURSOS!$D$23,"ATENCION A VICTIMAS POR VIOLENCIA DE GENERO",IF(P134=CURSOS!$D$24,"IGUALDAD DE GENERO EN LA SALUD",IF(P134=CURSOS!$D$25,"BRIGADA DE EMERGENCIA",IF(P134=CURSOS!$D$26,"MANEJO DEL DOLOR Y CUIDADOS PALIATIVOS",IF(P134=CURSOS!$D$27,"TOMA DE MUESTRAS Y LABORATORIO POCT",IF(P134=CURSOS!$D$28,"IMPLANTE SUBDERMICO DE DISPOSITIVO INTRAUTERINO",IF(P134=CURSOS!$D$29,"SALUD MENTAL",IF(P134=CURSOS!$D$30,"PRIMEROS AUXILIOS PSICOLOGICOS",IF(P134=CURSOS!$D$31,"ATENCION A VICTIMAS POR CONFLICTO ARMADO",IF(P134=CURSOS!$D$32,"MANIPULACION DE ALIMENTOS Y BPM",IF(P134=CURSOS!$D$33,"ATENCION A PERSONAS CON DISCAPACIDAD",IF(P134=CURSOS!$D$34,"CUIDADO INTEGRAL DEL PACIENTE ADULTO",IF(P134=CURSOS!$D$35,"MANEJO DEFENSIVO",IF(P134=CURSOS!$D$36,"SOPORTE CARDIOVASCULAR AVANZADO NEONATAL",IF(P134=CURSOS!$D$37,"SEGURIDAD DEL PACIENTE",IF(P134=CURSOS!$D$38,"MANEJO DE RESIDUOS HOSPITALARIOS",IF(P134=CURSOS!$D$39,"ATENCION DE PACIENTE POR CONSUMO SUSTANCIAS PSICOACTIVAS Y ADICCIONES")))))))))))))))))))))))))))))))))))))</f>
        <v>0</v>
      </c>
      <c r="W134" s="44" t="str">
        <f t="shared" si="6"/>
        <v xml:space="preserve">   </v>
      </c>
      <c r="X134" s="44" t="str">
        <f t="shared" si="7"/>
        <v xml:space="preserve">   </v>
      </c>
      <c r="Y134" s="44" t="str">
        <f t="shared" si="8"/>
        <v xml:space="preserve">   --</v>
      </c>
    </row>
    <row r="135" spans="1:25" x14ac:dyDescent="0.2">
      <c r="A135" s="45">
        <v>134</v>
      </c>
      <c r="B135" s="46"/>
      <c r="C135" s="46"/>
      <c r="D135" s="46"/>
      <c r="E135" s="38"/>
      <c r="F135" s="46"/>
      <c r="G135" s="46"/>
      <c r="H135" s="46"/>
      <c r="I135" s="46"/>
      <c r="J135" s="51"/>
      <c r="L135" s="48"/>
      <c r="M135" s="46"/>
      <c r="N135" s="46"/>
      <c r="O135" s="46"/>
      <c r="Q135" s="47"/>
      <c r="R135" s="46"/>
      <c r="S135" s="53"/>
      <c r="T135" s="46"/>
      <c r="U135" s="46"/>
      <c r="V135" s="44" t="b">
        <f>IF(P135=CURSOS!$D$3,"DIPLOMADO EN ATENCION PRE-HOSPITALARIA",IF(P135=CURSOS!$D$4,"ACOMPAÑAMIENTO Y MANEJO DEL DUELO",IF(P135=CURSOS!$D$5,"ATENCION A VICTIMAS DE ATAQUE CON AGENTES QUIMICOS ",IF(P135=CURSOS!$D$6,"PRIMEROS AUXILIOS ",IF(P135=CURSOS!$D$7,"DIPLOMADO DE UNIDAD DE CUIDADOS INTENSIVOS (UCI)",IF(P135=CURSOS!$D$8,"MODELO DE ATENCION PARA EVENTOS EMERGENTES EN SALUD MENTAL (CODIGO VERDE)",IF(P135=CURSOS!$D$9,"HUMANIZACION EN EL SERVICIO DE LA SALUD Y BUENAS PRACTICAS EN PACIENTE ",IF(P135=CURSOS!$D$10,"CLINICA DE HERIDAS ",IF(P135=CURSOS!$D$11,"TOMA DE CITOLOGIA CERVICO VAGINAL ",IF(P135=CURSOS!$D$12,"SOPORTE CARDIOVASCULAR AVANZADO (ACLS) ",IF(P135=CURSOS!$D$13,"CAMILLERO ",IF(P135=CURSOS!$D$14,"TOMA DE MUESTRAS Y LABORATORIO ",IF(P135=CURSOS!$D$15,"SOPORTE VITAL BASICO (BLS)",IF(P135=CURSOS!$D$16,"ATENCION A VICTIMAS DE VIOLENCIA SEXUAL ",IF(P135=CURSOS!$D$17,"PROGRAMADO AMPLIADO DE INMUNIZACION (PAI - COVID 19)",IF(P135=CURSOS!$D$18,"ATENCION INTEGRAL EN ENFERMEDADES PREVALENTES EN PRIMERA INFANCIA (AIEPI)",IF(P135=CURSOS!$D$19,"ADMINISTRACION DE MEDICAMENTOS, INYECTOLOGIA  Y CANALIZACION ",IF(P135=CURSOS!$D$20,"OPERADOR DE VEHICULOS DE EMERGENCIA (OVE)",IF(P135=CURSOS!$D$21,"INSTITUCIONES AMIGAS DE LA MUJER Y LA INFANCIA (IAMI)",IF(P135=CURSOS!$D$22,"CUIDADO DEL DONANTE DE ORGANOS",IF(P135=CURSOS!$D$23,"ATENCION A VICTIMAS POR VIOLENCIA DE GENERO",IF(P135=CURSOS!$D$24,"IGUALDAD DE GENERO EN LA SALUD",IF(P135=CURSOS!$D$25,"BRIGADA DE EMERGENCIA",IF(P135=CURSOS!$D$26,"MANEJO DEL DOLOR Y CUIDADOS PALIATIVOS",IF(P135=CURSOS!$D$27,"TOMA DE MUESTRAS Y LABORATORIO POCT",IF(P135=CURSOS!$D$28,"IMPLANTE SUBDERMICO DE DISPOSITIVO INTRAUTERINO",IF(P135=CURSOS!$D$29,"SALUD MENTAL",IF(P135=CURSOS!$D$30,"PRIMEROS AUXILIOS PSICOLOGICOS",IF(P135=CURSOS!$D$31,"ATENCION A VICTIMAS POR CONFLICTO ARMADO",IF(P135=CURSOS!$D$32,"MANIPULACION DE ALIMENTOS Y BPM",IF(P135=CURSOS!$D$33,"ATENCION A PERSONAS CON DISCAPACIDAD",IF(P135=CURSOS!$D$34,"CUIDADO INTEGRAL DEL PACIENTE ADULTO",IF(P135=CURSOS!$D$35,"MANEJO DEFENSIVO",IF(P135=CURSOS!$D$36,"SOPORTE CARDIOVASCULAR AVANZADO NEONATAL",IF(P135=CURSOS!$D$37,"SEGURIDAD DEL PACIENTE",IF(P135=CURSOS!$D$38,"MANEJO DE RESIDUOS HOSPITALARIOS",IF(P135=CURSOS!$D$39,"ATENCION DE PACIENTE POR CONSUMO SUSTANCIAS PSICOACTIVAS Y ADICCIONES")))))))))))))))))))))))))))))))))))))</f>
        <v>0</v>
      </c>
      <c r="W135" s="44" t="str">
        <f t="shared" si="6"/>
        <v xml:space="preserve">   </v>
      </c>
      <c r="X135" s="44" t="str">
        <f t="shared" si="7"/>
        <v xml:space="preserve">   </v>
      </c>
      <c r="Y135" s="44" t="str">
        <f t="shared" si="8"/>
        <v xml:space="preserve">   --</v>
      </c>
    </row>
    <row r="136" spans="1:25" x14ac:dyDescent="0.2">
      <c r="A136" s="45">
        <v>135</v>
      </c>
      <c r="B136" s="46"/>
      <c r="C136" s="38"/>
      <c r="D136" s="38"/>
      <c r="E136" s="38"/>
      <c r="F136" s="38"/>
      <c r="G136" s="38"/>
      <c r="H136" s="46"/>
      <c r="I136" s="46"/>
      <c r="J136" s="51"/>
      <c r="L136" s="48"/>
      <c r="M136" s="46"/>
      <c r="N136" s="46"/>
      <c r="O136" s="46"/>
      <c r="Q136" s="47"/>
      <c r="R136" s="38"/>
      <c r="S136" s="46"/>
      <c r="T136" s="46"/>
      <c r="U136" s="53"/>
      <c r="V136" s="44" t="b">
        <f>IF(P136=CURSOS!$D$3,"DIPLOMADO EN ATENCION PRE-HOSPITALARIA",IF(P136=CURSOS!$D$4,"ACOMPAÑAMIENTO Y MANEJO DEL DUELO",IF(P136=CURSOS!$D$5,"ATENCION A VICTIMAS DE ATAQUE CON AGENTES QUIMICOS ",IF(P136=CURSOS!$D$6,"PRIMEROS AUXILIOS ",IF(P136=CURSOS!$D$7,"DIPLOMADO DE UNIDAD DE CUIDADOS INTENSIVOS (UCI)",IF(P136=CURSOS!$D$8,"MODELO DE ATENCION PARA EVENTOS EMERGENTES EN SALUD MENTAL (CODIGO VERDE)",IF(P136=CURSOS!$D$9,"HUMANIZACION EN EL SERVICIO DE LA SALUD Y BUENAS PRACTICAS EN PACIENTE ",IF(P136=CURSOS!$D$10,"CLINICA DE HERIDAS ",IF(P136=CURSOS!$D$11,"TOMA DE CITOLOGIA CERVICO VAGINAL ",IF(P136=CURSOS!$D$12,"SOPORTE CARDIOVASCULAR AVANZADO (ACLS) ",IF(P136=CURSOS!$D$13,"CAMILLERO ",IF(P136=CURSOS!$D$14,"TOMA DE MUESTRAS Y LABORATORIO ",IF(P136=CURSOS!$D$15,"SOPORTE VITAL BASICO (BLS)",IF(P136=CURSOS!$D$16,"ATENCION A VICTIMAS DE VIOLENCIA SEXUAL ",IF(P136=CURSOS!$D$17,"PROGRAMADO AMPLIADO DE INMUNIZACION (PAI - COVID 19)",IF(P136=CURSOS!$D$18,"ATENCION INTEGRAL EN ENFERMEDADES PREVALENTES EN PRIMERA INFANCIA (AIEPI)",IF(P136=CURSOS!$D$19,"ADMINISTRACION DE MEDICAMENTOS, INYECTOLOGIA  Y CANALIZACION ",IF(P136=CURSOS!$D$20,"OPERADOR DE VEHICULOS DE EMERGENCIA (OVE)",IF(P136=CURSOS!$D$21,"INSTITUCIONES AMIGAS DE LA MUJER Y LA INFANCIA (IAMI)",IF(P136=CURSOS!$D$22,"CUIDADO DEL DONANTE DE ORGANOS",IF(P136=CURSOS!$D$23,"ATENCION A VICTIMAS POR VIOLENCIA DE GENERO",IF(P136=CURSOS!$D$24,"IGUALDAD DE GENERO EN LA SALUD",IF(P136=CURSOS!$D$25,"BRIGADA DE EMERGENCIA",IF(P136=CURSOS!$D$26,"MANEJO DEL DOLOR Y CUIDADOS PALIATIVOS",IF(P136=CURSOS!$D$27,"TOMA DE MUESTRAS Y LABORATORIO POCT",IF(P136=CURSOS!$D$28,"IMPLANTE SUBDERMICO DE DISPOSITIVO INTRAUTERINO",IF(P136=CURSOS!$D$29,"SALUD MENTAL",IF(P136=CURSOS!$D$30,"PRIMEROS AUXILIOS PSICOLOGICOS",IF(P136=CURSOS!$D$31,"ATENCION A VICTIMAS POR CONFLICTO ARMADO",IF(P136=CURSOS!$D$32,"MANIPULACION DE ALIMENTOS Y BPM",IF(P136=CURSOS!$D$33,"ATENCION A PERSONAS CON DISCAPACIDAD",IF(P136=CURSOS!$D$34,"CUIDADO INTEGRAL DEL PACIENTE ADULTO",IF(P136=CURSOS!$D$35,"MANEJO DEFENSIVO",IF(P136=CURSOS!$D$36,"SOPORTE CARDIOVASCULAR AVANZADO NEONATAL",IF(P136=CURSOS!$D$37,"SEGURIDAD DEL PACIENTE",IF(P136=CURSOS!$D$38,"MANEJO DE RESIDUOS HOSPITALARIOS",IF(P136=CURSOS!$D$39,"ATENCION DE PACIENTE POR CONSUMO SUSTANCIAS PSICOACTIVAS Y ADICCIONES")))))))))))))))))))))))))))))))))))))</f>
        <v>0</v>
      </c>
      <c r="W136" s="44" t="str">
        <f t="shared" si="6"/>
        <v xml:space="preserve">   </v>
      </c>
      <c r="X136" s="44" t="str">
        <f t="shared" si="7"/>
        <v xml:space="preserve">   </v>
      </c>
      <c r="Y136" s="44" t="str">
        <f t="shared" si="8"/>
        <v xml:space="preserve">   --</v>
      </c>
    </row>
    <row r="137" spans="1:25" x14ac:dyDescent="0.2">
      <c r="A137" s="45">
        <v>136</v>
      </c>
      <c r="B137" s="46"/>
      <c r="C137" s="46"/>
      <c r="D137" s="46"/>
      <c r="E137" s="46"/>
      <c r="F137" s="46"/>
      <c r="G137" s="46"/>
      <c r="H137" s="46"/>
      <c r="I137" s="46"/>
      <c r="J137" s="51"/>
      <c r="M137" s="46"/>
      <c r="N137" s="46"/>
      <c r="O137" s="46"/>
      <c r="Q137" s="47"/>
      <c r="R137" s="46"/>
      <c r="S137" s="46"/>
      <c r="T137" s="46"/>
      <c r="U137" s="53"/>
      <c r="V137" s="44" t="b">
        <f>IF(P137=CURSOS!$D$3,"DIPLOMADO EN ATENCION PRE-HOSPITALARIA",IF(P137=CURSOS!$D$4,"ACOMPAÑAMIENTO Y MANEJO DEL DUELO",IF(P137=CURSOS!$D$5,"ATENCION A VICTIMAS DE ATAQUE CON AGENTES QUIMICOS ",IF(P137=CURSOS!$D$6,"PRIMEROS AUXILIOS ",IF(P137=CURSOS!$D$7,"DIPLOMADO DE UNIDAD DE CUIDADOS INTENSIVOS (UCI)",IF(P137=CURSOS!$D$8,"MODELO DE ATENCION PARA EVENTOS EMERGENTES EN SALUD MENTAL (CODIGO VERDE)",IF(P137=CURSOS!$D$9,"HUMANIZACION EN EL SERVICIO DE LA SALUD Y BUENAS PRACTICAS EN PACIENTE ",IF(P137=CURSOS!$D$10,"CLINICA DE HERIDAS ",IF(P137=CURSOS!$D$11,"TOMA DE CITOLOGIA CERVICO VAGINAL ",IF(P137=CURSOS!$D$12,"SOPORTE CARDIOVASCULAR AVANZADO (ACLS) ",IF(P137=CURSOS!$D$13,"CAMILLERO ",IF(P137=CURSOS!$D$14,"TOMA DE MUESTRAS Y LABORATORIO ",IF(P137=CURSOS!$D$15,"SOPORTE VITAL BASICO (BLS)",IF(P137=CURSOS!$D$16,"ATENCION A VICTIMAS DE VIOLENCIA SEXUAL ",IF(P137=CURSOS!$D$17,"PROGRAMADO AMPLIADO DE INMUNIZACION (PAI - COVID 19)",IF(P137=CURSOS!$D$18,"ATENCION INTEGRAL EN ENFERMEDADES PREVALENTES EN PRIMERA INFANCIA (AIEPI)",IF(P137=CURSOS!$D$19,"ADMINISTRACION DE MEDICAMENTOS, INYECTOLOGIA  Y CANALIZACION ",IF(P137=CURSOS!$D$20,"OPERADOR DE VEHICULOS DE EMERGENCIA (OVE)",IF(P137=CURSOS!$D$21,"INSTITUCIONES AMIGAS DE LA MUJER Y LA INFANCIA (IAMI)",IF(P137=CURSOS!$D$22,"CUIDADO DEL DONANTE DE ORGANOS",IF(P137=CURSOS!$D$23,"ATENCION A VICTIMAS POR VIOLENCIA DE GENERO",IF(P137=CURSOS!$D$24,"IGUALDAD DE GENERO EN LA SALUD",IF(P137=CURSOS!$D$25,"BRIGADA DE EMERGENCIA",IF(P137=CURSOS!$D$26,"MANEJO DEL DOLOR Y CUIDADOS PALIATIVOS",IF(P137=CURSOS!$D$27,"TOMA DE MUESTRAS Y LABORATORIO POCT",IF(P137=CURSOS!$D$28,"IMPLANTE SUBDERMICO DE DISPOSITIVO INTRAUTERINO",IF(P137=CURSOS!$D$29,"SALUD MENTAL",IF(P137=CURSOS!$D$30,"PRIMEROS AUXILIOS PSICOLOGICOS",IF(P137=CURSOS!$D$31,"ATENCION A VICTIMAS POR CONFLICTO ARMADO",IF(P137=CURSOS!$D$32,"MANIPULACION DE ALIMENTOS Y BPM",IF(P137=CURSOS!$D$33,"ATENCION A PERSONAS CON DISCAPACIDAD",IF(P137=CURSOS!$D$34,"CUIDADO INTEGRAL DEL PACIENTE ADULTO",IF(P137=CURSOS!$D$35,"MANEJO DEFENSIVO",IF(P137=CURSOS!$D$36,"SOPORTE CARDIOVASCULAR AVANZADO NEONATAL",IF(P137=CURSOS!$D$37,"SEGURIDAD DEL PACIENTE",IF(P137=CURSOS!$D$38,"MANEJO DE RESIDUOS HOSPITALARIOS",IF(P137=CURSOS!$D$39,"ATENCION DE PACIENTE POR CONSUMO SUSTANCIAS PSICOACTIVAS Y ADICCIONES")))))))))))))))))))))))))))))))))))))</f>
        <v>0</v>
      </c>
      <c r="W137" s="44" t="str">
        <f t="shared" si="6"/>
        <v xml:space="preserve">   </v>
      </c>
      <c r="X137" s="44" t="str">
        <f t="shared" si="7"/>
        <v xml:space="preserve">   </v>
      </c>
      <c r="Y137" s="44" t="str">
        <f t="shared" si="8"/>
        <v xml:space="preserve">   --</v>
      </c>
    </row>
    <row r="138" spans="1:25" x14ac:dyDescent="0.2">
      <c r="A138" s="45">
        <v>137</v>
      </c>
      <c r="B138" s="46"/>
      <c r="C138" s="46"/>
      <c r="D138" s="46"/>
      <c r="E138" s="38"/>
      <c r="F138" s="46"/>
      <c r="G138" s="46"/>
      <c r="H138" s="46"/>
      <c r="I138" s="46"/>
      <c r="J138" s="51"/>
      <c r="L138" s="48"/>
      <c r="M138" s="46"/>
      <c r="N138" s="46"/>
      <c r="O138" s="46"/>
      <c r="Q138" s="47"/>
      <c r="R138" s="46"/>
      <c r="S138" s="53"/>
      <c r="T138" s="46"/>
      <c r="U138" s="46"/>
      <c r="V138" s="44" t="b">
        <f>IF(P138=CURSOS!$D$3,"DIPLOMADO EN ATENCION PRE-HOSPITALARIA",IF(P138=CURSOS!$D$4,"ACOMPAÑAMIENTO Y MANEJO DEL DUELO",IF(P138=CURSOS!$D$5,"ATENCION A VICTIMAS DE ATAQUE CON AGENTES QUIMICOS ",IF(P138=CURSOS!$D$6,"PRIMEROS AUXILIOS ",IF(P138=CURSOS!$D$7,"DIPLOMADO DE UNIDAD DE CUIDADOS INTENSIVOS (UCI)",IF(P138=CURSOS!$D$8,"MODELO DE ATENCION PARA EVENTOS EMERGENTES EN SALUD MENTAL (CODIGO VERDE)",IF(P138=CURSOS!$D$9,"HUMANIZACION EN EL SERVICIO DE LA SALUD Y BUENAS PRACTICAS EN PACIENTE ",IF(P138=CURSOS!$D$10,"CLINICA DE HERIDAS ",IF(P138=CURSOS!$D$11,"TOMA DE CITOLOGIA CERVICO VAGINAL ",IF(P138=CURSOS!$D$12,"SOPORTE CARDIOVASCULAR AVANZADO (ACLS) ",IF(P138=CURSOS!$D$13,"CAMILLERO ",IF(P138=CURSOS!$D$14,"TOMA DE MUESTRAS Y LABORATORIO ",IF(P138=CURSOS!$D$15,"SOPORTE VITAL BASICO (BLS)",IF(P138=CURSOS!$D$16,"ATENCION A VICTIMAS DE VIOLENCIA SEXUAL ",IF(P138=CURSOS!$D$17,"PROGRAMADO AMPLIADO DE INMUNIZACION (PAI - COVID 19)",IF(P138=CURSOS!$D$18,"ATENCION INTEGRAL EN ENFERMEDADES PREVALENTES EN PRIMERA INFANCIA (AIEPI)",IF(P138=CURSOS!$D$19,"ADMINISTRACION DE MEDICAMENTOS, INYECTOLOGIA  Y CANALIZACION ",IF(P138=CURSOS!$D$20,"OPERADOR DE VEHICULOS DE EMERGENCIA (OVE)",IF(P138=CURSOS!$D$21,"INSTITUCIONES AMIGAS DE LA MUJER Y LA INFANCIA (IAMI)",IF(P138=CURSOS!$D$22,"CUIDADO DEL DONANTE DE ORGANOS",IF(P138=CURSOS!$D$23,"ATENCION A VICTIMAS POR VIOLENCIA DE GENERO",IF(P138=CURSOS!$D$24,"IGUALDAD DE GENERO EN LA SALUD",IF(P138=CURSOS!$D$25,"BRIGADA DE EMERGENCIA",IF(P138=CURSOS!$D$26,"MANEJO DEL DOLOR Y CUIDADOS PALIATIVOS",IF(P138=CURSOS!$D$27,"TOMA DE MUESTRAS Y LABORATORIO POCT",IF(P138=CURSOS!$D$28,"IMPLANTE SUBDERMICO DE DISPOSITIVO INTRAUTERINO",IF(P138=CURSOS!$D$29,"SALUD MENTAL",IF(P138=CURSOS!$D$30,"PRIMEROS AUXILIOS PSICOLOGICOS",IF(P138=CURSOS!$D$31,"ATENCION A VICTIMAS POR CONFLICTO ARMADO",IF(P138=CURSOS!$D$32,"MANIPULACION DE ALIMENTOS Y BPM",IF(P138=CURSOS!$D$33,"ATENCION A PERSONAS CON DISCAPACIDAD",IF(P138=CURSOS!$D$34,"CUIDADO INTEGRAL DEL PACIENTE ADULTO",IF(P138=CURSOS!$D$35,"MANEJO DEFENSIVO",IF(P138=CURSOS!$D$36,"SOPORTE CARDIOVASCULAR AVANZADO NEONATAL",IF(P138=CURSOS!$D$37,"SEGURIDAD DEL PACIENTE",IF(P138=CURSOS!$D$38,"MANEJO DE RESIDUOS HOSPITALARIOS",IF(P138=CURSOS!$D$39,"ATENCION DE PACIENTE POR CONSUMO SUSTANCIAS PSICOACTIVAS Y ADICCIONES")))))))))))))))))))))))))))))))))))))</f>
        <v>0</v>
      </c>
      <c r="W138" s="44" t="str">
        <f t="shared" si="6"/>
        <v xml:space="preserve">   </v>
      </c>
      <c r="X138" s="44" t="str">
        <f t="shared" si="7"/>
        <v xml:space="preserve">   </v>
      </c>
      <c r="Y138" s="44" t="str">
        <f t="shared" si="8"/>
        <v xml:space="preserve">   --</v>
      </c>
    </row>
    <row r="139" spans="1:25" x14ac:dyDescent="0.2">
      <c r="A139" s="45">
        <v>138</v>
      </c>
      <c r="B139" s="46"/>
      <c r="C139" s="46"/>
      <c r="D139" s="46"/>
      <c r="E139" s="46"/>
      <c r="F139" s="46"/>
      <c r="G139" s="46"/>
      <c r="H139" s="46"/>
      <c r="I139" s="46"/>
      <c r="J139" s="51"/>
      <c r="L139" s="48"/>
      <c r="M139" s="46"/>
      <c r="N139" s="46"/>
      <c r="O139" s="46"/>
      <c r="Q139" s="47"/>
      <c r="R139" s="46"/>
      <c r="S139" s="46"/>
      <c r="T139" s="46"/>
      <c r="U139" s="46"/>
      <c r="V139" s="44" t="b">
        <f>IF(P139=CURSOS!$D$3,"DIPLOMADO EN ATENCION PRE-HOSPITALARIA",IF(P139=CURSOS!$D$4,"ACOMPAÑAMIENTO Y MANEJO DEL DUELO",IF(P139=CURSOS!$D$5,"ATENCION A VICTIMAS DE ATAQUE CON AGENTES QUIMICOS ",IF(P139=CURSOS!$D$6,"PRIMEROS AUXILIOS ",IF(P139=CURSOS!$D$7,"DIPLOMADO DE UNIDAD DE CUIDADOS INTENSIVOS (UCI)",IF(P139=CURSOS!$D$8,"MODELO DE ATENCION PARA EVENTOS EMERGENTES EN SALUD MENTAL (CODIGO VERDE)",IF(P139=CURSOS!$D$9,"HUMANIZACION EN EL SERVICIO DE LA SALUD Y BUENAS PRACTICAS EN PACIENTE ",IF(P139=CURSOS!$D$10,"CLINICA DE HERIDAS ",IF(P139=CURSOS!$D$11,"TOMA DE CITOLOGIA CERVICO VAGINAL ",IF(P139=CURSOS!$D$12,"SOPORTE CARDIOVASCULAR AVANZADO (ACLS) ",IF(P139=CURSOS!$D$13,"CAMILLERO ",IF(P139=CURSOS!$D$14,"TOMA DE MUESTRAS Y LABORATORIO ",IF(P139=CURSOS!$D$15,"SOPORTE VITAL BASICO (BLS)",IF(P139=CURSOS!$D$16,"ATENCION A VICTIMAS DE VIOLENCIA SEXUAL ",IF(P139=CURSOS!$D$17,"PROGRAMADO AMPLIADO DE INMUNIZACION (PAI - COVID 19)",IF(P139=CURSOS!$D$18,"ATENCION INTEGRAL EN ENFERMEDADES PREVALENTES EN PRIMERA INFANCIA (AIEPI)",IF(P139=CURSOS!$D$19,"ADMINISTRACION DE MEDICAMENTOS, INYECTOLOGIA  Y CANALIZACION ",IF(P139=CURSOS!$D$20,"OPERADOR DE VEHICULOS DE EMERGENCIA (OVE)",IF(P139=CURSOS!$D$21,"INSTITUCIONES AMIGAS DE LA MUJER Y LA INFANCIA (IAMI)",IF(P139=CURSOS!$D$22,"CUIDADO DEL DONANTE DE ORGANOS",IF(P139=CURSOS!$D$23,"ATENCION A VICTIMAS POR VIOLENCIA DE GENERO",IF(P139=CURSOS!$D$24,"IGUALDAD DE GENERO EN LA SALUD",IF(P139=CURSOS!$D$25,"BRIGADA DE EMERGENCIA",IF(P139=CURSOS!$D$26,"MANEJO DEL DOLOR Y CUIDADOS PALIATIVOS",IF(P139=CURSOS!$D$27,"TOMA DE MUESTRAS Y LABORATORIO POCT",IF(P139=CURSOS!$D$28,"IMPLANTE SUBDERMICO DE DISPOSITIVO INTRAUTERINO",IF(P139=CURSOS!$D$29,"SALUD MENTAL",IF(P139=CURSOS!$D$30,"PRIMEROS AUXILIOS PSICOLOGICOS",IF(P139=CURSOS!$D$31,"ATENCION A VICTIMAS POR CONFLICTO ARMADO",IF(P139=CURSOS!$D$32,"MANIPULACION DE ALIMENTOS Y BPM",IF(P139=CURSOS!$D$33,"ATENCION A PERSONAS CON DISCAPACIDAD",IF(P139=CURSOS!$D$34,"CUIDADO INTEGRAL DEL PACIENTE ADULTO",IF(P139=CURSOS!$D$35,"MANEJO DEFENSIVO",IF(P139=CURSOS!$D$36,"SOPORTE CARDIOVASCULAR AVANZADO NEONATAL",IF(P139=CURSOS!$D$37,"SEGURIDAD DEL PACIENTE",IF(P139=CURSOS!$D$38,"MANEJO DE RESIDUOS HOSPITALARIOS",IF(P139=CURSOS!$D$39,"ATENCION DE PACIENTE POR CONSUMO SUSTANCIAS PSICOACTIVAS Y ADICCIONES")))))))))))))))))))))))))))))))))))))</f>
        <v>0</v>
      </c>
      <c r="W139" s="44" t="str">
        <f t="shared" si="6"/>
        <v xml:space="preserve">   </v>
      </c>
      <c r="X139" s="44" t="str">
        <f t="shared" si="7"/>
        <v xml:space="preserve">   </v>
      </c>
      <c r="Y139" s="44" t="str">
        <f t="shared" si="8"/>
        <v xml:space="preserve">   --</v>
      </c>
    </row>
    <row r="140" spans="1:25" x14ac:dyDescent="0.2">
      <c r="A140" s="45">
        <v>139</v>
      </c>
      <c r="B140" s="46"/>
      <c r="C140" s="46"/>
      <c r="D140" s="46"/>
      <c r="E140" s="46"/>
      <c r="F140" s="46"/>
      <c r="G140" s="46"/>
      <c r="H140" s="46"/>
      <c r="I140" s="46"/>
      <c r="J140" s="47"/>
      <c r="L140" s="48"/>
      <c r="M140" s="46"/>
      <c r="N140" s="46"/>
      <c r="O140" s="46"/>
      <c r="Q140" s="47"/>
      <c r="R140" s="46"/>
      <c r="S140" s="46"/>
      <c r="T140" s="46"/>
      <c r="U140" s="46"/>
      <c r="V140" s="44" t="b">
        <f>IF(P140=CURSOS!$D$3,"DIPLOMADO EN ATENCION PRE-HOSPITALARIA",IF(P140=CURSOS!$D$4,"ACOMPAÑAMIENTO Y MANEJO DEL DUELO",IF(P140=CURSOS!$D$5,"ATENCION A VICTIMAS DE ATAQUE CON AGENTES QUIMICOS ",IF(P140=CURSOS!$D$6,"PRIMEROS AUXILIOS ",IF(P140=CURSOS!$D$7,"DIPLOMADO DE UNIDAD DE CUIDADOS INTENSIVOS (UCI)",IF(P140=CURSOS!$D$8,"MODELO DE ATENCION PARA EVENTOS EMERGENTES EN SALUD MENTAL (CODIGO VERDE)",IF(P140=CURSOS!$D$9,"HUMANIZACION EN EL SERVICIO DE LA SALUD Y BUENAS PRACTICAS EN PACIENTE ",IF(P140=CURSOS!$D$10,"CLINICA DE HERIDAS ",IF(P140=CURSOS!$D$11,"TOMA DE CITOLOGIA CERVICO VAGINAL ",IF(P140=CURSOS!$D$12,"SOPORTE CARDIOVASCULAR AVANZADO (ACLS) ",IF(P140=CURSOS!$D$13,"CAMILLERO ",IF(P140=CURSOS!$D$14,"TOMA DE MUESTRAS Y LABORATORIO ",IF(P140=CURSOS!$D$15,"SOPORTE VITAL BASICO (BLS)",IF(P140=CURSOS!$D$16,"ATENCION A VICTIMAS DE VIOLENCIA SEXUAL ",IF(P140=CURSOS!$D$17,"PROGRAMADO AMPLIADO DE INMUNIZACION (PAI - COVID 19)",IF(P140=CURSOS!$D$18,"ATENCION INTEGRAL EN ENFERMEDADES PREVALENTES EN PRIMERA INFANCIA (AIEPI)",IF(P140=CURSOS!$D$19,"ADMINISTRACION DE MEDICAMENTOS, INYECTOLOGIA  Y CANALIZACION ",IF(P140=CURSOS!$D$20,"OPERADOR DE VEHICULOS DE EMERGENCIA (OVE)",IF(P140=CURSOS!$D$21,"INSTITUCIONES AMIGAS DE LA MUJER Y LA INFANCIA (IAMI)",IF(P140=CURSOS!$D$22,"CUIDADO DEL DONANTE DE ORGANOS",IF(P140=CURSOS!$D$23,"ATENCION A VICTIMAS POR VIOLENCIA DE GENERO",IF(P140=CURSOS!$D$24,"IGUALDAD DE GENERO EN LA SALUD",IF(P140=CURSOS!$D$25,"BRIGADA DE EMERGENCIA",IF(P140=CURSOS!$D$26,"MANEJO DEL DOLOR Y CUIDADOS PALIATIVOS",IF(P140=CURSOS!$D$27,"TOMA DE MUESTRAS Y LABORATORIO POCT",IF(P140=CURSOS!$D$28,"IMPLANTE SUBDERMICO DE DISPOSITIVO INTRAUTERINO",IF(P140=CURSOS!$D$29,"SALUD MENTAL",IF(P140=CURSOS!$D$30,"PRIMEROS AUXILIOS PSICOLOGICOS",IF(P140=CURSOS!$D$31,"ATENCION A VICTIMAS POR CONFLICTO ARMADO",IF(P140=CURSOS!$D$32,"MANIPULACION DE ALIMENTOS Y BPM",IF(P140=CURSOS!$D$33,"ATENCION A PERSONAS CON DISCAPACIDAD",IF(P140=CURSOS!$D$34,"CUIDADO INTEGRAL DEL PACIENTE ADULTO",IF(P140=CURSOS!$D$35,"MANEJO DEFENSIVO",IF(P140=CURSOS!$D$36,"SOPORTE CARDIOVASCULAR AVANZADO NEONATAL",IF(P140=CURSOS!$D$37,"SEGURIDAD DEL PACIENTE",IF(P140=CURSOS!$D$38,"MANEJO DE RESIDUOS HOSPITALARIOS",IF(P140=CURSOS!$D$39,"ATENCION DE PACIENTE POR CONSUMO SUSTANCIAS PSICOACTIVAS Y ADICCIONES")))))))))))))))))))))))))))))))))))))</f>
        <v>0</v>
      </c>
      <c r="W140" s="44" t="str">
        <f t="shared" si="6"/>
        <v xml:space="preserve">   </v>
      </c>
      <c r="X140" s="44" t="str">
        <f t="shared" si="7"/>
        <v xml:space="preserve">   </v>
      </c>
      <c r="Y140" s="44" t="str">
        <f t="shared" si="8"/>
        <v xml:space="preserve">   --</v>
      </c>
    </row>
    <row r="141" spans="1:25" x14ac:dyDescent="0.2">
      <c r="A141" s="45">
        <v>140</v>
      </c>
      <c r="B141" s="46"/>
      <c r="C141" s="46"/>
      <c r="D141" s="46"/>
      <c r="E141" s="46"/>
      <c r="F141" s="46"/>
      <c r="G141" s="46"/>
      <c r="H141" s="46"/>
      <c r="I141" s="46"/>
      <c r="J141" s="47"/>
      <c r="L141" s="48"/>
      <c r="M141" s="46"/>
      <c r="N141" s="46"/>
      <c r="O141" s="46"/>
      <c r="Q141" s="47"/>
      <c r="R141" s="46"/>
      <c r="S141" s="46"/>
      <c r="T141" s="46"/>
      <c r="U141" s="46"/>
      <c r="V141" s="44" t="b">
        <f>IF(P141=CURSOS!$D$3,"DIPLOMADO EN ATENCION PRE-HOSPITALARIA",IF(P141=CURSOS!$D$4,"ACOMPAÑAMIENTO Y MANEJO DEL DUELO",IF(P141=CURSOS!$D$5,"ATENCION A VICTIMAS DE ATAQUE CON AGENTES QUIMICOS ",IF(P141=CURSOS!$D$6,"PRIMEROS AUXILIOS ",IF(P141=CURSOS!$D$7,"DIPLOMADO DE UNIDAD DE CUIDADOS INTENSIVOS (UCI)",IF(P141=CURSOS!$D$8,"MODELO DE ATENCION PARA EVENTOS EMERGENTES EN SALUD MENTAL (CODIGO VERDE)",IF(P141=CURSOS!$D$9,"HUMANIZACION EN EL SERVICIO DE LA SALUD Y BUENAS PRACTICAS EN PACIENTE ",IF(P141=CURSOS!$D$10,"CLINICA DE HERIDAS ",IF(P141=CURSOS!$D$11,"TOMA DE CITOLOGIA CERVICO VAGINAL ",IF(P141=CURSOS!$D$12,"SOPORTE CARDIOVASCULAR AVANZADO (ACLS) ",IF(P141=CURSOS!$D$13,"CAMILLERO ",IF(P141=CURSOS!$D$14,"TOMA DE MUESTRAS Y LABORATORIO ",IF(P141=CURSOS!$D$15,"SOPORTE VITAL BASICO (BLS)",IF(P141=CURSOS!$D$16,"ATENCION A VICTIMAS DE VIOLENCIA SEXUAL ",IF(P141=CURSOS!$D$17,"PROGRAMADO AMPLIADO DE INMUNIZACION (PAI - COVID 19)",IF(P141=CURSOS!$D$18,"ATENCION INTEGRAL EN ENFERMEDADES PREVALENTES EN PRIMERA INFANCIA (AIEPI)",IF(P141=CURSOS!$D$19,"ADMINISTRACION DE MEDICAMENTOS, INYECTOLOGIA  Y CANALIZACION ",IF(P141=CURSOS!$D$20,"OPERADOR DE VEHICULOS DE EMERGENCIA (OVE)",IF(P141=CURSOS!$D$21,"INSTITUCIONES AMIGAS DE LA MUJER Y LA INFANCIA (IAMI)",IF(P141=CURSOS!$D$22,"CUIDADO DEL DONANTE DE ORGANOS",IF(P141=CURSOS!$D$23,"ATENCION A VICTIMAS POR VIOLENCIA DE GENERO",IF(P141=CURSOS!$D$24,"IGUALDAD DE GENERO EN LA SALUD",IF(P141=CURSOS!$D$25,"BRIGADA DE EMERGENCIA",IF(P141=CURSOS!$D$26,"MANEJO DEL DOLOR Y CUIDADOS PALIATIVOS",IF(P141=CURSOS!$D$27,"TOMA DE MUESTRAS Y LABORATORIO POCT",IF(P141=CURSOS!$D$28,"IMPLANTE SUBDERMICO DE DISPOSITIVO INTRAUTERINO",IF(P141=CURSOS!$D$29,"SALUD MENTAL",IF(P141=CURSOS!$D$30,"PRIMEROS AUXILIOS PSICOLOGICOS",IF(P141=CURSOS!$D$31,"ATENCION A VICTIMAS POR CONFLICTO ARMADO",IF(P141=CURSOS!$D$32,"MANIPULACION DE ALIMENTOS Y BPM",IF(P141=CURSOS!$D$33,"ATENCION A PERSONAS CON DISCAPACIDAD",IF(P141=CURSOS!$D$34,"CUIDADO INTEGRAL DEL PACIENTE ADULTO",IF(P141=CURSOS!$D$35,"MANEJO DEFENSIVO",IF(P141=CURSOS!$D$36,"SOPORTE CARDIOVASCULAR AVANZADO NEONATAL",IF(P141=CURSOS!$D$37,"SEGURIDAD DEL PACIENTE",IF(P141=CURSOS!$D$38,"MANEJO DE RESIDUOS HOSPITALARIOS",IF(P141=CURSOS!$D$39,"ATENCION DE PACIENTE POR CONSUMO SUSTANCIAS PSICOACTIVAS Y ADICCIONES")))))))))))))))))))))))))))))))))))))</f>
        <v>0</v>
      </c>
      <c r="W141" s="44" t="str">
        <f t="shared" si="6"/>
        <v xml:space="preserve">   </v>
      </c>
      <c r="X141" s="44" t="str">
        <f t="shared" si="7"/>
        <v xml:space="preserve">   </v>
      </c>
      <c r="Y141" s="44" t="str">
        <f t="shared" si="8"/>
        <v xml:space="preserve">   --</v>
      </c>
    </row>
    <row r="142" spans="1:25" x14ac:dyDescent="0.2">
      <c r="A142" s="45">
        <v>141</v>
      </c>
      <c r="B142" s="46"/>
      <c r="C142" s="46"/>
      <c r="D142" s="46"/>
      <c r="E142" s="46"/>
      <c r="F142" s="46"/>
      <c r="G142" s="46"/>
      <c r="H142" s="46"/>
      <c r="I142" s="46"/>
      <c r="J142" s="47"/>
      <c r="L142" s="48"/>
      <c r="M142" s="46"/>
      <c r="N142" s="46"/>
      <c r="O142" s="46"/>
      <c r="Q142" s="47"/>
      <c r="R142" s="38"/>
      <c r="S142" s="46"/>
      <c r="T142" s="46"/>
      <c r="U142" s="46"/>
      <c r="V142" s="44" t="b">
        <f>IF(P142=CURSOS!$D$3,"DIPLOMADO EN ATENCION PRE-HOSPITALARIA",IF(P142=CURSOS!$D$4,"ACOMPAÑAMIENTO Y MANEJO DEL DUELO",IF(P142=CURSOS!$D$5,"ATENCION A VICTIMAS DE ATAQUE CON AGENTES QUIMICOS ",IF(P142=CURSOS!$D$6,"PRIMEROS AUXILIOS ",IF(P142=CURSOS!$D$7,"DIPLOMADO DE UNIDAD DE CUIDADOS INTENSIVOS (UCI)",IF(P142=CURSOS!$D$8,"MODELO DE ATENCION PARA EVENTOS EMERGENTES EN SALUD MENTAL (CODIGO VERDE)",IF(P142=CURSOS!$D$9,"HUMANIZACION EN EL SERVICIO DE LA SALUD Y BUENAS PRACTICAS EN PACIENTE ",IF(P142=CURSOS!$D$10,"CLINICA DE HERIDAS ",IF(P142=CURSOS!$D$11,"TOMA DE CITOLOGIA CERVICO VAGINAL ",IF(P142=CURSOS!$D$12,"SOPORTE CARDIOVASCULAR AVANZADO (ACLS) ",IF(P142=CURSOS!$D$13,"CAMILLERO ",IF(P142=CURSOS!$D$14,"TOMA DE MUESTRAS Y LABORATORIO ",IF(P142=CURSOS!$D$15,"SOPORTE VITAL BASICO (BLS)",IF(P142=CURSOS!$D$16,"ATENCION A VICTIMAS DE VIOLENCIA SEXUAL ",IF(P142=CURSOS!$D$17,"PROGRAMADO AMPLIADO DE INMUNIZACION (PAI - COVID 19)",IF(P142=CURSOS!$D$18,"ATENCION INTEGRAL EN ENFERMEDADES PREVALENTES EN PRIMERA INFANCIA (AIEPI)",IF(P142=CURSOS!$D$19,"ADMINISTRACION DE MEDICAMENTOS, INYECTOLOGIA  Y CANALIZACION ",IF(P142=CURSOS!$D$20,"OPERADOR DE VEHICULOS DE EMERGENCIA (OVE)",IF(P142=CURSOS!$D$21,"INSTITUCIONES AMIGAS DE LA MUJER Y LA INFANCIA (IAMI)",IF(P142=CURSOS!$D$22,"CUIDADO DEL DONANTE DE ORGANOS",IF(P142=CURSOS!$D$23,"ATENCION A VICTIMAS POR VIOLENCIA DE GENERO",IF(P142=CURSOS!$D$24,"IGUALDAD DE GENERO EN LA SALUD",IF(P142=CURSOS!$D$25,"BRIGADA DE EMERGENCIA",IF(P142=CURSOS!$D$26,"MANEJO DEL DOLOR Y CUIDADOS PALIATIVOS",IF(P142=CURSOS!$D$27,"TOMA DE MUESTRAS Y LABORATORIO POCT",IF(P142=CURSOS!$D$28,"IMPLANTE SUBDERMICO DE DISPOSITIVO INTRAUTERINO",IF(P142=CURSOS!$D$29,"SALUD MENTAL",IF(P142=CURSOS!$D$30,"PRIMEROS AUXILIOS PSICOLOGICOS",IF(P142=CURSOS!$D$31,"ATENCION A VICTIMAS POR CONFLICTO ARMADO",IF(P142=CURSOS!$D$32,"MANIPULACION DE ALIMENTOS Y BPM",IF(P142=CURSOS!$D$33,"ATENCION A PERSONAS CON DISCAPACIDAD",IF(P142=CURSOS!$D$34,"CUIDADO INTEGRAL DEL PACIENTE ADULTO",IF(P142=CURSOS!$D$35,"MANEJO DEFENSIVO",IF(P142=CURSOS!$D$36,"SOPORTE CARDIOVASCULAR AVANZADO NEONATAL",IF(P142=CURSOS!$D$37,"SEGURIDAD DEL PACIENTE",IF(P142=CURSOS!$D$38,"MANEJO DE RESIDUOS HOSPITALARIOS",IF(P142=CURSOS!$D$39,"ATENCION DE PACIENTE POR CONSUMO SUSTANCIAS PSICOACTIVAS Y ADICCIONES")))))))))))))))))))))))))))))))))))))</f>
        <v>0</v>
      </c>
      <c r="W142" s="44" t="str">
        <f t="shared" si="6"/>
        <v xml:space="preserve">   </v>
      </c>
      <c r="X142" s="44" t="str">
        <f t="shared" si="7"/>
        <v xml:space="preserve">   </v>
      </c>
      <c r="Y142" s="44" t="str">
        <f t="shared" si="8"/>
        <v xml:space="preserve">   --</v>
      </c>
    </row>
    <row r="143" spans="1:25" x14ac:dyDescent="0.2">
      <c r="A143" s="45">
        <v>142</v>
      </c>
      <c r="B143" s="46"/>
      <c r="C143" s="46"/>
      <c r="D143" s="46"/>
      <c r="E143" s="46"/>
      <c r="F143" s="46"/>
      <c r="G143" s="46"/>
      <c r="H143" s="46"/>
      <c r="I143" s="46"/>
      <c r="J143" s="47"/>
      <c r="L143" s="48"/>
      <c r="M143" s="46"/>
      <c r="N143" s="46"/>
      <c r="O143" s="46"/>
      <c r="Q143" s="47"/>
      <c r="R143" s="38"/>
      <c r="S143" s="46"/>
      <c r="T143" s="46"/>
      <c r="U143" s="53"/>
      <c r="V143" s="44" t="b">
        <f>IF(P143=CURSOS!$D$3,"DIPLOMADO EN ATENCION PRE-HOSPITALARIA",IF(P143=CURSOS!$D$4,"ACOMPAÑAMIENTO Y MANEJO DEL DUELO",IF(P143=CURSOS!$D$5,"ATENCION A VICTIMAS DE ATAQUE CON AGENTES QUIMICOS ",IF(P143=CURSOS!$D$6,"PRIMEROS AUXILIOS ",IF(P143=CURSOS!$D$7,"DIPLOMADO DE UNIDAD DE CUIDADOS INTENSIVOS (UCI)",IF(P143=CURSOS!$D$8,"MODELO DE ATENCION PARA EVENTOS EMERGENTES EN SALUD MENTAL (CODIGO VERDE)",IF(P143=CURSOS!$D$9,"HUMANIZACION EN EL SERVICIO DE LA SALUD Y BUENAS PRACTICAS EN PACIENTE ",IF(P143=CURSOS!$D$10,"CLINICA DE HERIDAS ",IF(P143=CURSOS!$D$11,"TOMA DE CITOLOGIA CERVICO VAGINAL ",IF(P143=CURSOS!$D$12,"SOPORTE CARDIOVASCULAR AVANZADO (ACLS) ",IF(P143=CURSOS!$D$13,"CAMILLERO ",IF(P143=CURSOS!$D$14,"TOMA DE MUESTRAS Y LABORATORIO ",IF(P143=CURSOS!$D$15,"SOPORTE VITAL BASICO (BLS)",IF(P143=CURSOS!$D$16,"ATENCION A VICTIMAS DE VIOLENCIA SEXUAL ",IF(P143=CURSOS!$D$17,"PROGRAMADO AMPLIADO DE INMUNIZACION (PAI - COVID 19)",IF(P143=CURSOS!$D$18,"ATENCION INTEGRAL EN ENFERMEDADES PREVALENTES EN PRIMERA INFANCIA (AIEPI)",IF(P143=CURSOS!$D$19,"ADMINISTRACION DE MEDICAMENTOS, INYECTOLOGIA  Y CANALIZACION ",IF(P143=CURSOS!$D$20,"OPERADOR DE VEHICULOS DE EMERGENCIA (OVE)",IF(P143=CURSOS!$D$21,"INSTITUCIONES AMIGAS DE LA MUJER Y LA INFANCIA (IAMI)",IF(P143=CURSOS!$D$22,"CUIDADO DEL DONANTE DE ORGANOS",IF(P143=CURSOS!$D$23,"ATENCION A VICTIMAS POR VIOLENCIA DE GENERO",IF(P143=CURSOS!$D$24,"IGUALDAD DE GENERO EN LA SALUD",IF(P143=CURSOS!$D$25,"BRIGADA DE EMERGENCIA",IF(P143=CURSOS!$D$26,"MANEJO DEL DOLOR Y CUIDADOS PALIATIVOS",IF(P143=CURSOS!$D$27,"TOMA DE MUESTRAS Y LABORATORIO POCT",IF(P143=CURSOS!$D$28,"IMPLANTE SUBDERMICO DE DISPOSITIVO INTRAUTERINO",IF(P143=CURSOS!$D$29,"SALUD MENTAL",IF(P143=CURSOS!$D$30,"PRIMEROS AUXILIOS PSICOLOGICOS",IF(P143=CURSOS!$D$31,"ATENCION A VICTIMAS POR CONFLICTO ARMADO",IF(P143=CURSOS!$D$32,"MANIPULACION DE ALIMENTOS Y BPM",IF(P143=CURSOS!$D$33,"ATENCION A PERSONAS CON DISCAPACIDAD",IF(P143=CURSOS!$D$34,"CUIDADO INTEGRAL DEL PACIENTE ADULTO",IF(P143=CURSOS!$D$35,"MANEJO DEFENSIVO",IF(P143=CURSOS!$D$36,"SOPORTE CARDIOVASCULAR AVANZADO NEONATAL",IF(P143=CURSOS!$D$37,"SEGURIDAD DEL PACIENTE",IF(P143=CURSOS!$D$38,"MANEJO DE RESIDUOS HOSPITALARIOS",IF(P143=CURSOS!$D$39,"ATENCION DE PACIENTE POR CONSUMO SUSTANCIAS PSICOACTIVAS Y ADICCIONES")))))))))))))))))))))))))))))))))))))</f>
        <v>0</v>
      </c>
      <c r="W143" s="44" t="str">
        <f t="shared" si="6"/>
        <v xml:space="preserve">   </v>
      </c>
      <c r="X143" s="44" t="str">
        <f t="shared" si="7"/>
        <v xml:space="preserve">   </v>
      </c>
      <c r="Y143" s="44" t="str">
        <f t="shared" si="8"/>
        <v xml:space="preserve">   --</v>
      </c>
    </row>
    <row r="144" spans="1:25" x14ac:dyDescent="0.2">
      <c r="A144" s="45">
        <v>143</v>
      </c>
      <c r="B144" s="46"/>
      <c r="C144" s="46"/>
      <c r="D144" s="46"/>
      <c r="E144" s="46"/>
      <c r="F144" s="46"/>
      <c r="G144" s="46"/>
      <c r="H144" s="46"/>
      <c r="I144" s="46"/>
      <c r="J144" s="47"/>
      <c r="L144" s="48"/>
      <c r="M144" s="46"/>
      <c r="N144" s="46"/>
      <c r="O144" s="46"/>
      <c r="Q144" s="47"/>
      <c r="R144" s="38"/>
      <c r="S144" s="46"/>
      <c r="T144" s="46"/>
      <c r="U144" s="53"/>
      <c r="V144" s="44" t="b">
        <f>IF(P144=CURSOS!$D$3,"DIPLOMADO EN ATENCION PRE-HOSPITALARIA",IF(P144=CURSOS!$D$4,"ACOMPAÑAMIENTO Y MANEJO DEL DUELO",IF(P144=CURSOS!$D$5,"ATENCION A VICTIMAS DE ATAQUE CON AGENTES QUIMICOS ",IF(P144=CURSOS!$D$6,"PRIMEROS AUXILIOS ",IF(P144=CURSOS!$D$7,"DIPLOMADO DE UNIDAD DE CUIDADOS INTENSIVOS (UCI)",IF(P144=CURSOS!$D$8,"MODELO DE ATENCION PARA EVENTOS EMERGENTES EN SALUD MENTAL (CODIGO VERDE)",IF(P144=CURSOS!$D$9,"HUMANIZACION EN EL SERVICIO DE LA SALUD Y BUENAS PRACTICAS EN PACIENTE ",IF(P144=CURSOS!$D$10,"CLINICA DE HERIDAS ",IF(P144=CURSOS!$D$11,"TOMA DE CITOLOGIA CERVICO VAGINAL ",IF(P144=CURSOS!$D$12,"SOPORTE CARDIOVASCULAR AVANZADO (ACLS) ",IF(P144=CURSOS!$D$13,"CAMILLERO ",IF(P144=CURSOS!$D$14,"TOMA DE MUESTRAS Y LABORATORIO ",IF(P144=CURSOS!$D$15,"SOPORTE VITAL BASICO (BLS)",IF(P144=CURSOS!$D$16,"ATENCION A VICTIMAS DE VIOLENCIA SEXUAL ",IF(P144=CURSOS!$D$17,"PROGRAMADO AMPLIADO DE INMUNIZACION (PAI - COVID 19)",IF(P144=CURSOS!$D$18,"ATENCION INTEGRAL EN ENFERMEDADES PREVALENTES EN PRIMERA INFANCIA (AIEPI)",IF(P144=CURSOS!$D$19,"ADMINISTRACION DE MEDICAMENTOS, INYECTOLOGIA  Y CANALIZACION ",IF(P144=CURSOS!$D$20,"OPERADOR DE VEHICULOS DE EMERGENCIA (OVE)",IF(P144=CURSOS!$D$21,"INSTITUCIONES AMIGAS DE LA MUJER Y LA INFANCIA (IAMI)",IF(P144=CURSOS!$D$22,"CUIDADO DEL DONANTE DE ORGANOS",IF(P144=CURSOS!$D$23,"ATENCION A VICTIMAS POR VIOLENCIA DE GENERO",IF(P144=CURSOS!$D$24,"IGUALDAD DE GENERO EN LA SALUD",IF(P144=CURSOS!$D$25,"BRIGADA DE EMERGENCIA",IF(P144=CURSOS!$D$26,"MANEJO DEL DOLOR Y CUIDADOS PALIATIVOS",IF(P144=CURSOS!$D$27,"TOMA DE MUESTRAS Y LABORATORIO POCT",IF(P144=CURSOS!$D$28,"IMPLANTE SUBDERMICO DE DISPOSITIVO INTRAUTERINO",IF(P144=CURSOS!$D$29,"SALUD MENTAL",IF(P144=CURSOS!$D$30,"PRIMEROS AUXILIOS PSICOLOGICOS",IF(P144=CURSOS!$D$31,"ATENCION A VICTIMAS POR CONFLICTO ARMADO",IF(P144=CURSOS!$D$32,"MANIPULACION DE ALIMENTOS Y BPM",IF(P144=CURSOS!$D$33,"ATENCION A PERSONAS CON DISCAPACIDAD",IF(P144=CURSOS!$D$34,"CUIDADO INTEGRAL DEL PACIENTE ADULTO",IF(P144=CURSOS!$D$35,"MANEJO DEFENSIVO",IF(P144=CURSOS!$D$36,"SOPORTE CARDIOVASCULAR AVANZADO NEONATAL",IF(P144=CURSOS!$D$37,"SEGURIDAD DEL PACIENTE",IF(P144=CURSOS!$D$38,"MANEJO DE RESIDUOS HOSPITALARIOS",IF(P144=CURSOS!$D$39,"ATENCION DE PACIENTE POR CONSUMO SUSTANCIAS PSICOACTIVAS Y ADICCIONES")))))))))))))))))))))))))))))))))))))</f>
        <v>0</v>
      </c>
      <c r="W144" s="44" t="str">
        <f t="shared" si="6"/>
        <v xml:space="preserve">   </v>
      </c>
      <c r="X144" s="44" t="str">
        <f t="shared" si="7"/>
        <v xml:space="preserve">   </v>
      </c>
      <c r="Y144" s="44" t="str">
        <f t="shared" si="8"/>
        <v xml:space="preserve">   --</v>
      </c>
    </row>
    <row r="145" spans="1:25" x14ac:dyDescent="0.2">
      <c r="A145" s="45">
        <v>144</v>
      </c>
      <c r="B145" s="46"/>
      <c r="C145" s="46"/>
      <c r="D145" s="46"/>
      <c r="E145" s="46"/>
      <c r="F145" s="46"/>
      <c r="G145" s="46"/>
      <c r="H145" s="46"/>
      <c r="I145" s="46"/>
      <c r="J145" s="47"/>
      <c r="M145" s="46"/>
      <c r="N145" s="46"/>
      <c r="O145" s="46"/>
      <c r="Q145" s="47"/>
      <c r="R145" s="46"/>
      <c r="S145" s="46"/>
      <c r="T145" s="46"/>
      <c r="U145" s="46"/>
      <c r="V145" s="44" t="b">
        <f>IF(P145=CURSOS!$D$3,"DIPLOMADO EN ATENCION PRE-HOSPITALARIA",IF(P145=CURSOS!$D$4,"ACOMPAÑAMIENTO Y MANEJO DEL DUELO",IF(P145=CURSOS!$D$5,"ATENCION A VICTIMAS DE ATAQUE CON AGENTES QUIMICOS ",IF(P145=CURSOS!$D$6,"PRIMEROS AUXILIOS ",IF(P145=CURSOS!$D$7,"DIPLOMADO DE UNIDAD DE CUIDADOS INTENSIVOS (UCI)",IF(P145=CURSOS!$D$8,"MODELO DE ATENCION PARA EVENTOS EMERGENTES EN SALUD MENTAL (CODIGO VERDE)",IF(P145=CURSOS!$D$9,"HUMANIZACION EN EL SERVICIO DE LA SALUD Y BUENAS PRACTICAS EN PACIENTE ",IF(P145=CURSOS!$D$10,"CLINICA DE HERIDAS ",IF(P145=CURSOS!$D$11,"TOMA DE CITOLOGIA CERVICO VAGINAL ",IF(P145=CURSOS!$D$12,"SOPORTE CARDIOVASCULAR AVANZADO (ACLS) ",IF(P145=CURSOS!$D$13,"CAMILLERO ",IF(P145=CURSOS!$D$14,"TOMA DE MUESTRAS Y LABORATORIO ",IF(P145=CURSOS!$D$15,"SOPORTE VITAL BASICO (BLS)",IF(P145=CURSOS!$D$16,"ATENCION A VICTIMAS DE VIOLENCIA SEXUAL ",IF(P145=CURSOS!$D$17,"PROGRAMADO AMPLIADO DE INMUNIZACION (PAI - COVID 19)",IF(P145=CURSOS!$D$18,"ATENCION INTEGRAL EN ENFERMEDADES PREVALENTES EN PRIMERA INFANCIA (AIEPI)",IF(P145=CURSOS!$D$19,"ADMINISTRACION DE MEDICAMENTOS, INYECTOLOGIA  Y CANALIZACION ",IF(P145=CURSOS!$D$20,"OPERADOR DE VEHICULOS DE EMERGENCIA (OVE)",IF(P145=CURSOS!$D$21,"INSTITUCIONES AMIGAS DE LA MUJER Y LA INFANCIA (IAMI)",IF(P145=CURSOS!$D$22,"CUIDADO DEL DONANTE DE ORGANOS",IF(P145=CURSOS!$D$23,"ATENCION A VICTIMAS POR VIOLENCIA DE GENERO",IF(P145=CURSOS!$D$24,"IGUALDAD DE GENERO EN LA SALUD",IF(P145=CURSOS!$D$25,"BRIGADA DE EMERGENCIA",IF(P145=CURSOS!$D$26,"MANEJO DEL DOLOR Y CUIDADOS PALIATIVOS",IF(P145=CURSOS!$D$27,"TOMA DE MUESTRAS Y LABORATORIO POCT",IF(P145=CURSOS!$D$28,"IMPLANTE SUBDERMICO DE DISPOSITIVO INTRAUTERINO",IF(P145=CURSOS!$D$29,"SALUD MENTAL",IF(P145=CURSOS!$D$30,"PRIMEROS AUXILIOS PSICOLOGICOS",IF(P145=CURSOS!$D$31,"ATENCION A VICTIMAS POR CONFLICTO ARMADO",IF(P145=CURSOS!$D$32,"MANIPULACION DE ALIMENTOS Y BPM",IF(P145=CURSOS!$D$33,"ATENCION A PERSONAS CON DISCAPACIDAD",IF(P145=CURSOS!$D$34,"CUIDADO INTEGRAL DEL PACIENTE ADULTO",IF(P145=CURSOS!$D$35,"MANEJO DEFENSIVO",IF(P145=CURSOS!$D$36,"SOPORTE CARDIOVASCULAR AVANZADO NEONATAL",IF(P145=CURSOS!$D$37,"SEGURIDAD DEL PACIENTE",IF(P145=CURSOS!$D$38,"MANEJO DE RESIDUOS HOSPITALARIOS",IF(P145=CURSOS!$D$39,"ATENCION DE PACIENTE POR CONSUMO SUSTANCIAS PSICOACTIVAS Y ADICCIONES")))))))))))))))))))))))))))))))))))))</f>
        <v>0</v>
      </c>
      <c r="W145" s="44" t="str">
        <f t="shared" si="6"/>
        <v xml:space="preserve">   </v>
      </c>
      <c r="X145" s="44" t="str">
        <f t="shared" si="7"/>
        <v xml:space="preserve">   </v>
      </c>
      <c r="Y145" s="44" t="str">
        <f t="shared" si="8"/>
        <v xml:space="preserve">   --</v>
      </c>
    </row>
    <row r="146" spans="1:25" x14ac:dyDescent="0.2">
      <c r="A146" s="45">
        <v>145</v>
      </c>
      <c r="B146" s="46"/>
      <c r="C146" s="38"/>
      <c r="D146" s="38"/>
      <c r="E146" s="38"/>
      <c r="F146" s="38"/>
      <c r="G146" s="38"/>
      <c r="H146" s="46"/>
      <c r="I146" s="46"/>
      <c r="J146" s="51"/>
      <c r="K146" s="52"/>
      <c r="M146" s="38"/>
      <c r="N146" s="46"/>
      <c r="O146" s="46"/>
      <c r="Q146" s="47"/>
      <c r="R146" s="38"/>
      <c r="S146" s="46"/>
      <c r="T146" s="49"/>
      <c r="U146" s="46"/>
      <c r="V146" s="44" t="b">
        <f>IF(P146=CURSOS!$D$3,"DIPLOMADO EN ATENCION PRE-HOSPITALARIA",IF(P146=CURSOS!$D$4,"ACOMPAÑAMIENTO Y MANEJO DEL DUELO",IF(P146=CURSOS!$D$5,"ATENCION A VICTIMAS DE ATAQUE CON AGENTES QUIMICOS ",IF(P146=CURSOS!$D$6,"PRIMEROS AUXILIOS ",IF(P146=CURSOS!$D$7,"DIPLOMADO DE UNIDAD DE CUIDADOS INTENSIVOS (UCI)",IF(P146=CURSOS!$D$8,"MODELO DE ATENCION PARA EVENTOS EMERGENTES EN SALUD MENTAL (CODIGO VERDE)",IF(P146=CURSOS!$D$9,"HUMANIZACION EN EL SERVICIO DE LA SALUD Y BUENAS PRACTICAS EN PACIENTE ",IF(P146=CURSOS!$D$10,"CLINICA DE HERIDAS ",IF(P146=CURSOS!$D$11,"TOMA DE CITOLOGIA CERVICO VAGINAL ",IF(P146=CURSOS!$D$12,"SOPORTE CARDIOVASCULAR AVANZADO (ACLS) ",IF(P146=CURSOS!$D$13,"CAMILLERO ",IF(P146=CURSOS!$D$14,"TOMA DE MUESTRAS Y LABORATORIO ",IF(P146=CURSOS!$D$15,"SOPORTE VITAL BASICO (BLS)",IF(P146=CURSOS!$D$16,"ATENCION A VICTIMAS DE VIOLENCIA SEXUAL ",IF(P146=CURSOS!$D$17,"PROGRAMADO AMPLIADO DE INMUNIZACION (PAI - COVID 19)",IF(P146=CURSOS!$D$18,"ATENCION INTEGRAL EN ENFERMEDADES PREVALENTES EN PRIMERA INFANCIA (AIEPI)",IF(P146=CURSOS!$D$19,"ADMINISTRACION DE MEDICAMENTOS, INYECTOLOGIA  Y CANALIZACION ",IF(P146=CURSOS!$D$20,"OPERADOR DE VEHICULOS DE EMERGENCIA (OVE)",IF(P146=CURSOS!$D$21,"INSTITUCIONES AMIGAS DE LA MUJER Y LA INFANCIA (IAMI)",IF(P146=CURSOS!$D$22,"CUIDADO DEL DONANTE DE ORGANOS",IF(P146=CURSOS!$D$23,"ATENCION A VICTIMAS POR VIOLENCIA DE GENERO",IF(P146=CURSOS!$D$24,"IGUALDAD DE GENERO EN LA SALUD",IF(P146=CURSOS!$D$25,"BRIGADA DE EMERGENCIA",IF(P146=CURSOS!$D$26,"MANEJO DEL DOLOR Y CUIDADOS PALIATIVOS",IF(P146=CURSOS!$D$27,"TOMA DE MUESTRAS Y LABORATORIO POCT",IF(P146=CURSOS!$D$28,"IMPLANTE SUBDERMICO DE DISPOSITIVO INTRAUTERINO",IF(P146=CURSOS!$D$29,"SALUD MENTAL",IF(P146=CURSOS!$D$30,"PRIMEROS AUXILIOS PSICOLOGICOS",IF(P146=CURSOS!$D$31,"ATENCION A VICTIMAS POR CONFLICTO ARMADO",IF(P146=CURSOS!$D$32,"MANIPULACION DE ALIMENTOS Y BPM",IF(P146=CURSOS!$D$33,"ATENCION A PERSONAS CON DISCAPACIDAD",IF(P146=CURSOS!$D$34,"CUIDADO INTEGRAL DEL PACIENTE ADULTO",IF(P146=CURSOS!$D$35,"MANEJO DEFENSIVO",IF(P146=CURSOS!$D$36,"SOPORTE CARDIOVASCULAR AVANZADO NEONATAL",IF(P146=CURSOS!$D$37,"SEGURIDAD DEL PACIENTE",IF(P146=CURSOS!$D$38,"MANEJO DE RESIDUOS HOSPITALARIOS",IF(P146=CURSOS!$D$39,"ATENCION DE PACIENTE POR CONSUMO SUSTANCIAS PSICOACTIVAS Y ADICCIONES")))))))))))))))))))))))))))))))))))))</f>
        <v>0</v>
      </c>
      <c r="W146" s="44" t="str">
        <f t="shared" si="6"/>
        <v xml:space="preserve">   </v>
      </c>
      <c r="X146" s="44" t="str">
        <f t="shared" si="7"/>
        <v xml:space="preserve">   </v>
      </c>
      <c r="Y146" s="44" t="str">
        <f t="shared" si="8"/>
        <v xml:space="preserve">   --</v>
      </c>
    </row>
    <row r="147" spans="1:25" x14ac:dyDescent="0.2">
      <c r="A147" s="45">
        <v>146</v>
      </c>
      <c r="B147" s="46"/>
      <c r="C147" s="38"/>
      <c r="D147" s="38"/>
      <c r="E147" s="38"/>
      <c r="F147" s="38"/>
      <c r="G147" s="38"/>
      <c r="H147" s="46"/>
      <c r="I147" s="46"/>
      <c r="J147" s="51"/>
      <c r="K147" s="52"/>
      <c r="M147" s="38"/>
      <c r="N147" s="46"/>
      <c r="O147" s="46"/>
      <c r="Q147" s="47"/>
      <c r="R147" s="38"/>
      <c r="S147" s="46"/>
      <c r="T147" s="49"/>
      <c r="U147" s="46"/>
      <c r="V147" s="44" t="b">
        <f>IF(P147=CURSOS!$D$3,"DIPLOMADO EN ATENCION PRE-HOSPITALARIA",IF(P147=CURSOS!$D$4,"ACOMPAÑAMIENTO Y MANEJO DEL DUELO",IF(P147=CURSOS!$D$5,"ATENCION A VICTIMAS DE ATAQUE CON AGENTES QUIMICOS ",IF(P147=CURSOS!$D$6,"PRIMEROS AUXILIOS ",IF(P147=CURSOS!$D$7,"DIPLOMADO DE UNIDAD DE CUIDADOS INTENSIVOS (UCI)",IF(P147=CURSOS!$D$8,"MODELO DE ATENCION PARA EVENTOS EMERGENTES EN SALUD MENTAL (CODIGO VERDE)",IF(P147=CURSOS!$D$9,"HUMANIZACION EN EL SERVICIO DE LA SALUD Y BUENAS PRACTICAS EN PACIENTE ",IF(P147=CURSOS!$D$10,"CLINICA DE HERIDAS ",IF(P147=CURSOS!$D$11,"TOMA DE CITOLOGIA CERVICO VAGINAL ",IF(P147=CURSOS!$D$12,"SOPORTE CARDIOVASCULAR AVANZADO (ACLS) ",IF(P147=CURSOS!$D$13,"CAMILLERO ",IF(P147=CURSOS!$D$14,"TOMA DE MUESTRAS Y LABORATORIO ",IF(P147=CURSOS!$D$15,"SOPORTE VITAL BASICO (BLS)",IF(P147=CURSOS!$D$16,"ATENCION A VICTIMAS DE VIOLENCIA SEXUAL ",IF(P147=CURSOS!$D$17,"PROGRAMADO AMPLIADO DE INMUNIZACION (PAI - COVID 19)",IF(P147=CURSOS!$D$18,"ATENCION INTEGRAL EN ENFERMEDADES PREVALENTES EN PRIMERA INFANCIA (AIEPI)",IF(P147=CURSOS!$D$19,"ADMINISTRACION DE MEDICAMENTOS, INYECTOLOGIA  Y CANALIZACION ",IF(P147=CURSOS!$D$20,"OPERADOR DE VEHICULOS DE EMERGENCIA (OVE)",IF(P147=CURSOS!$D$21,"INSTITUCIONES AMIGAS DE LA MUJER Y LA INFANCIA (IAMI)",IF(P147=CURSOS!$D$22,"CUIDADO DEL DONANTE DE ORGANOS",IF(P147=CURSOS!$D$23,"ATENCION A VICTIMAS POR VIOLENCIA DE GENERO",IF(P147=CURSOS!$D$24,"IGUALDAD DE GENERO EN LA SALUD",IF(P147=CURSOS!$D$25,"BRIGADA DE EMERGENCIA",IF(P147=CURSOS!$D$26,"MANEJO DEL DOLOR Y CUIDADOS PALIATIVOS",IF(P147=CURSOS!$D$27,"TOMA DE MUESTRAS Y LABORATORIO POCT",IF(P147=CURSOS!$D$28,"IMPLANTE SUBDERMICO DE DISPOSITIVO INTRAUTERINO",IF(P147=CURSOS!$D$29,"SALUD MENTAL",IF(P147=CURSOS!$D$30,"PRIMEROS AUXILIOS PSICOLOGICOS",IF(P147=CURSOS!$D$31,"ATENCION A VICTIMAS POR CONFLICTO ARMADO",IF(P147=CURSOS!$D$32,"MANIPULACION DE ALIMENTOS Y BPM",IF(P147=CURSOS!$D$33,"ATENCION A PERSONAS CON DISCAPACIDAD",IF(P147=CURSOS!$D$34,"CUIDADO INTEGRAL DEL PACIENTE ADULTO",IF(P147=CURSOS!$D$35,"MANEJO DEFENSIVO",IF(P147=CURSOS!$D$36,"SOPORTE CARDIOVASCULAR AVANZADO NEONATAL",IF(P147=CURSOS!$D$37,"SEGURIDAD DEL PACIENTE",IF(P147=CURSOS!$D$38,"MANEJO DE RESIDUOS HOSPITALARIOS",IF(P147=CURSOS!$D$39,"ATENCION DE PACIENTE POR CONSUMO SUSTANCIAS PSICOACTIVAS Y ADICCIONES")))))))))))))))))))))))))))))))))))))</f>
        <v>0</v>
      </c>
      <c r="W147" s="44" t="str">
        <f t="shared" si="6"/>
        <v xml:space="preserve">   </v>
      </c>
      <c r="X147" s="44" t="str">
        <f t="shared" si="7"/>
        <v xml:space="preserve">   </v>
      </c>
      <c r="Y147" s="44" t="str">
        <f t="shared" si="8"/>
        <v xml:space="preserve">   --</v>
      </c>
    </row>
    <row r="148" spans="1:25" x14ac:dyDescent="0.2">
      <c r="A148" s="45">
        <v>147</v>
      </c>
      <c r="B148" s="46"/>
      <c r="C148" s="46"/>
      <c r="D148" s="46"/>
      <c r="E148" s="46"/>
      <c r="F148" s="46"/>
      <c r="G148" s="46"/>
      <c r="H148" s="46"/>
      <c r="I148" s="46"/>
      <c r="J148" s="47"/>
      <c r="M148" s="46"/>
      <c r="N148" s="46"/>
      <c r="O148" s="46"/>
      <c r="Q148" s="47"/>
      <c r="R148" s="46"/>
      <c r="S148" s="46"/>
      <c r="T148" s="49"/>
      <c r="U148" s="46"/>
      <c r="V148" s="44" t="b">
        <f>IF(P148=CURSOS!$D$3,"DIPLOMADO EN ATENCION PRE-HOSPITALARIA",IF(P148=CURSOS!$D$4,"ACOMPAÑAMIENTO Y MANEJO DEL DUELO",IF(P148=CURSOS!$D$5,"ATENCION A VICTIMAS DE ATAQUE CON AGENTES QUIMICOS ",IF(P148=CURSOS!$D$6,"PRIMEROS AUXILIOS ",IF(P148=CURSOS!$D$7,"DIPLOMADO DE UNIDAD DE CUIDADOS INTENSIVOS (UCI)",IF(P148=CURSOS!$D$8,"MODELO DE ATENCION PARA EVENTOS EMERGENTES EN SALUD MENTAL (CODIGO VERDE)",IF(P148=CURSOS!$D$9,"HUMANIZACION EN EL SERVICIO DE LA SALUD Y BUENAS PRACTICAS EN PACIENTE ",IF(P148=CURSOS!$D$10,"CLINICA DE HERIDAS ",IF(P148=CURSOS!$D$11,"TOMA DE CITOLOGIA CERVICO VAGINAL ",IF(P148=CURSOS!$D$12,"SOPORTE CARDIOVASCULAR AVANZADO (ACLS) ",IF(P148=CURSOS!$D$13,"CAMILLERO ",IF(P148=CURSOS!$D$14,"TOMA DE MUESTRAS Y LABORATORIO ",IF(P148=CURSOS!$D$15,"SOPORTE VITAL BASICO (BLS)",IF(P148=CURSOS!$D$16,"ATENCION A VICTIMAS DE VIOLENCIA SEXUAL ",IF(P148=CURSOS!$D$17,"PROGRAMADO AMPLIADO DE INMUNIZACION (PAI - COVID 19)",IF(P148=CURSOS!$D$18,"ATENCION INTEGRAL EN ENFERMEDADES PREVALENTES EN PRIMERA INFANCIA (AIEPI)",IF(P148=CURSOS!$D$19,"ADMINISTRACION DE MEDICAMENTOS, INYECTOLOGIA  Y CANALIZACION ",IF(P148=CURSOS!$D$20,"OPERADOR DE VEHICULOS DE EMERGENCIA (OVE)",IF(P148=CURSOS!$D$21,"INSTITUCIONES AMIGAS DE LA MUJER Y LA INFANCIA (IAMI)",IF(P148=CURSOS!$D$22,"CUIDADO DEL DONANTE DE ORGANOS",IF(P148=CURSOS!$D$23,"ATENCION A VICTIMAS POR VIOLENCIA DE GENERO",IF(P148=CURSOS!$D$24,"IGUALDAD DE GENERO EN LA SALUD",IF(P148=CURSOS!$D$25,"BRIGADA DE EMERGENCIA",IF(P148=CURSOS!$D$26,"MANEJO DEL DOLOR Y CUIDADOS PALIATIVOS",IF(P148=CURSOS!$D$27,"TOMA DE MUESTRAS Y LABORATORIO POCT",IF(P148=CURSOS!$D$28,"IMPLANTE SUBDERMICO DE DISPOSITIVO INTRAUTERINO",IF(P148=CURSOS!$D$29,"SALUD MENTAL",IF(P148=CURSOS!$D$30,"PRIMEROS AUXILIOS PSICOLOGICOS",IF(P148=CURSOS!$D$31,"ATENCION A VICTIMAS POR CONFLICTO ARMADO",IF(P148=CURSOS!$D$32,"MANIPULACION DE ALIMENTOS Y BPM",IF(P148=CURSOS!$D$33,"ATENCION A PERSONAS CON DISCAPACIDAD",IF(P148=CURSOS!$D$34,"CUIDADO INTEGRAL DEL PACIENTE ADULTO",IF(P148=CURSOS!$D$35,"MANEJO DEFENSIVO",IF(P148=CURSOS!$D$36,"SOPORTE CARDIOVASCULAR AVANZADO NEONATAL",IF(P148=CURSOS!$D$37,"SEGURIDAD DEL PACIENTE",IF(P148=CURSOS!$D$38,"MANEJO DE RESIDUOS HOSPITALARIOS",IF(P148=CURSOS!$D$39,"ATENCION DE PACIENTE POR CONSUMO SUSTANCIAS PSICOACTIVAS Y ADICCIONES")))))))))))))))))))))))))))))))))))))</f>
        <v>0</v>
      </c>
      <c r="W148" s="44" t="str">
        <f t="shared" si="6"/>
        <v xml:space="preserve">   </v>
      </c>
      <c r="X148" s="44" t="str">
        <f t="shared" si="7"/>
        <v xml:space="preserve">   </v>
      </c>
      <c r="Y148" s="44" t="str">
        <f t="shared" si="8"/>
        <v xml:space="preserve">   --</v>
      </c>
    </row>
    <row r="149" spans="1:25" x14ac:dyDescent="0.2">
      <c r="A149" s="45">
        <v>148</v>
      </c>
      <c r="B149" s="46"/>
      <c r="C149" s="46"/>
      <c r="D149" s="46"/>
      <c r="E149" s="46"/>
      <c r="F149" s="46"/>
      <c r="G149" s="46"/>
      <c r="H149" s="46"/>
      <c r="I149" s="46"/>
      <c r="J149" s="47"/>
      <c r="M149" s="46"/>
      <c r="N149" s="46"/>
      <c r="O149" s="46"/>
      <c r="Q149" s="47"/>
      <c r="R149" s="46"/>
      <c r="S149" s="53"/>
      <c r="T149" s="49"/>
      <c r="U149" s="46"/>
      <c r="V149" s="44" t="b">
        <f>IF(P149=CURSOS!$D$3,"DIPLOMADO EN ATENCION PRE-HOSPITALARIA",IF(P149=CURSOS!$D$4,"ACOMPAÑAMIENTO Y MANEJO DEL DUELO",IF(P149=CURSOS!$D$5,"ATENCION A VICTIMAS DE ATAQUE CON AGENTES QUIMICOS ",IF(P149=CURSOS!$D$6,"PRIMEROS AUXILIOS ",IF(P149=CURSOS!$D$7,"DIPLOMADO DE UNIDAD DE CUIDADOS INTENSIVOS (UCI)",IF(P149=CURSOS!$D$8,"MODELO DE ATENCION PARA EVENTOS EMERGENTES EN SALUD MENTAL (CODIGO VERDE)",IF(P149=CURSOS!$D$9,"HUMANIZACION EN EL SERVICIO DE LA SALUD Y BUENAS PRACTICAS EN PACIENTE ",IF(P149=CURSOS!$D$10,"CLINICA DE HERIDAS ",IF(P149=CURSOS!$D$11,"TOMA DE CITOLOGIA CERVICO VAGINAL ",IF(P149=CURSOS!$D$12,"SOPORTE CARDIOVASCULAR AVANZADO (ACLS) ",IF(P149=CURSOS!$D$13,"CAMILLERO ",IF(P149=CURSOS!$D$14,"TOMA DE MUESTRAS Y LABORATORIO ",IF(P149=CURSOS!$D$15,"SOPORTE VITAL BASICO (BLS)",IF(P149=CURSOS!$D$16,"ATENCION A VICTIMAS DE VIOLENCIA SEXUAL ",IF(P149=CURSOS!$D$17,"PROGRAMADO AMPLIADO DE INMUNIZACION (PAI - COVID 19)",IF(P149=CURSOS!$D$18,"ATENCION INTEGRAL EN ENFERMEDADES PREVALENTES EN PRIMERA INFANCIA (AIEPI)",IF(P149=CURSOS!$D$19,"ADMINISTRACION DE MEDICAMENTOS, INYECTOLOGIA  Y CANALIZACION ",IF(P149=CURSOS!$D$20,"OPERADOR DE VEHICULOS DE EMERGENCIA (OVE)",IF(P149=CURSOS!$D$21,"INSTITUCIONES AMIGAS DE LA MUJER Y LA INFANCIA (IAMI)",IF(P149=CURSOS!$D$22,"CUIDADO DEL DONANTE DE ORGANOS",IF(P149=CURSOS!$D$23,"ATENCION A VICTIMAS POR VIOLENCIA DE GENERO",IF(P149=CURSOS!$D$24,"IGUALDAD DE GENERO EN LA SALUD",IF(P149=CURSOS!$D$25,"BRIGADA DE EMERGENCIA",IF(P149=CURSOS!$D$26,"MANEJO DEL DOLOR Y CUIDADOS PALIATIVOS",IF(P149=CURSOS!$D$27,"TOMA DE MUESTRAS Y LABORATORIO POCT",IF(P149=CURSOS!$D$28,"IMPLANTE SUBDERMICO DE DISPOSITIVO INTRAUTERINO",IF(P149=CURSOS!$D$29,"SALUD MENTAL",IF(P149=CURSOS!$D$30,"PRIMEROS AUXILIOS PSICOLOGICOS",IF(P149=CURSOS!$D$31,"ATENCION A VICTIMAS POR CONFLICTO ARMADO",IF(P149=CURSOS!$D$32,"MANIPULACION DE ALIMENTOS Y BPM",IF(P149=CURSOS!$D$33,"ATENCION A PERSONAS CON DISCAPACIDAD",IF(P149=CURSOS!$D$34,"CUIDADO INTEGRAL DEL PACIENTE ADULTO",IF(P149=CURSOS!$D$35,"MANEJO DEFENSIVO",IF(P149=CURSOS!$D$36,"SOPORTE CARDIOVASCULAR AVANZADO NEONATAL",IF(P149=CURSOS!$D$37,"SEGURIDAD DEL PACIENTE",IF(P149=CURSOS!$D$38,"MANEJO DE RESIDUOS HOSPITALARIOS",IF(P149=CURSOS!$D$39,"ATENCION DE PACIENTE POR CONSUMO SUSTANCIAS PSICOACTIVAS Y ADICCIONES")))))))))))))))))))))))))))))))))))))</f>
        <v>0</v>
      </c>
      <c r="W149" s="44" t="str">
        <f t="shared" si="6"/>
        <v xml:space="preserve">   </v>
      </c>
      <c r="X149" s="44" t="str">
        <f t="shared" si="7"/>
        <v xml:space="preserve">   </v>
      </c>
      <c r="Y149" s="44" t="str">
        <f t="shared" si="8"/>
        <v xml:space="preserve">   --</v>
      </c>
    </row>
    <row r="150" spans="1:25" x14ac:dyDescent="0.2">
      <c r="A150" s="45">
        <v>149</v>
      </c>
      <c r="B150" s="46"/>
      <c r="C150" s="46"/>
      <c r="D150" s="46"/>
      <c r="E150" s="46"/>
      <c r="F150" s="46"/>
      <c r="G150" s="46"/>
      <c r="H150" s="46"/>
      <c r="I150" s="46"/>
      <c r="J150" s="47"/>
      <c r="L150" s="48"/>
      <c r="M150" s="46"/>
      <c r="N150" s="46"/>
      <c r="O150" s="46"/>
      <c r="Q150" s="47"/>
      <c r="R150" s="46"/>
      <c r="S150" s="53"/>
      <c r="T150" s="49"/>
      <c r="U150" s="46"/>
      <c r="V150" s="44" t="b">
        <f>IF(P150=CURSOS!$D$3,"DIPLOMADO EN ATENCION PRE-HOSPITALARIA",IF(P150=CURSOS!$D$4,"ACOMPAÑAMIENTO Y MANEJO DEL DUELO",IF(P150=CURSOS!$D$5,"ATENCION A VICTIMAS DE ATAQUE CON AGENTES QUIMICOS ",IF(P150=CURSOS!$D$6,"PRIMEROS AUXILIOS ",IF(P150=CURSOS!$D$7,"DIPLOMADO DE UNIDAD DE CUIDADOS INTENSIVOS (UCI)",IF(P150=CURSOS!$D$8,"MODELO DE ATENCION PARA EVENTOS EMERGENTES EN SALUD MENTAL (CODIGO VERDE)",IF(P150=CURSOS!$D$9,"HUMANIZACION EN EL SERVICIO DE LA SALUD Y BUENAS PRACTICAS EN PACIENTE ",IF(P150=CURSOS!$D$10,"CLINICA DE HERIDAS ",IF(P150=CURSOS!$D$11,"TOMA DE CITOLOGIA CERVICO VAGINAL ",IF(P150=CURSOS!$D$12,"SOPORTE CARDIOVASCULAR AVANZADO (ACLS) ",IF(P150=CURSOS!$D$13,"CAMILLERO ",IF(P150=CURSOS!$D$14,"TOMA DE MUESTRAS Y LABORATORIO ",IF(P150=CURSOS!$D$15,"SOPORTE VITAL BASICO (BLS)",IF(P150=CURSOS!$D$16,"ATENCION A VICTIMAS DE VIOLENCIA SEXUAL ",IF(P150=CURSOS!$D$17,"PROGRAMADO AMPLIADO DE INMUNIZACION (PAI - COVID 19)",IF(P150=CURSOS!$D$18,"ATENCION INTEGRAL EN ENFERMEDADES PREVALENTES EN PRIMERA INFANCIA (AIEPI)",IF(P150=CURSOS!$D$19,"ADMINISTRACION DE MEDICAMENTOS, INYECTOLOGIA  Y CANALIZACION ",IF(P150=CURSOS!$D$20,"OPERADOR DE VEHICULOS DE EMERGENCIA (OVE)",IF(P150=CURSOS!$D$21,"INSTITUCIONES AMIGAS DE LA MUJER Y LA INFANCIA (IAMI)",IF(P150=CURSOS!$D$22,"CUIDADO DEL DONANTE DE ORGANOS",IF(P150=CURSOS!$D$23,"ATENCION A VICTIMAS POR VIOLENCIA DE GENERO",IF(P150=CURSOS!$D$24,"IGUALDAD DE GENERO EN LA SALUD",IF(P150=CURSOS!$D$25,"BRIGADA DE EMERGENCIA",IF(P150=CURSOS!$D$26,"MANEJO DEL DOLOR Y CUIDADOS PALIATIVOS",IF(P150=CURSOS!$D$27,"TOMA DE MUESTRAS Y LABORATORIO POCT",IF(P150=CURSOS!$D$28,"IMPLANTE SUBDERMICO DE DISPOSITIVO INTRAUTERINO",IF(P150=CURSOS!$D$29,"SALUD MENTAL",IF(P150=CURSOS!$D$30,"PRIMEROS AUXILIOS PSICOLOGICOS",IF(P150=CURSOS!$D$31,"ATENCION A VICTIMAS POR CONFLICTO ARMADO",IF(P150=CURSOS!$D$32,"MANIPULACION DE ALIMENTOS Y BPM",IF(P150=CURSOS!$D$33,"ATENCION A PERSONAS CON DISCAPACIDAD",IF(P150=CURSOS!$D$34,"CUIDADO INTEGRAL DEL PACIENTE ADULTO",IF(P150=CURSOS!$D$35,"MANEJO DEFENSIVO",IF(P150=CURSOS!$D$36,"SOPORTE CARDIOVASCULAR AVANZADO NEONATAL",IF(P150=CURSOS!$D$37,"SEGURIDAD DEL PACIENTE",IF(P150=CURSOS!$D$38,"MANEJO DE RESIDUOS HOSPITALARIOS",IF(P150=CURSOS!$D$39,"ATENCION DE PACIENTE POR CONSUMO SUSTANCIAS PSICOACTIVAS Y ADICCIONES")))))))))))))))))))))))))))))))))))))</f>
        <v>0</v>
      </c>
      <c r="W150" s="44" t="str">
        <f t="shared" si="6"/>
        <v xml:space="preserve">   </v>
      </c>
      <c r="X150" s="44" t="str">
        <f t="shared" si="7"/>
        <v xml:space="preserve">   </v>
      </c>
      <c r="Y150" s="44" t="str">
        <f t="shared" si="8"/>
        <v xml:space="preserve">   --</v>
      </c>
    </row>
    <row r="151" spans="1:25" x14ac:dyDescent="0.2">
      <c r="A151" s="45">
        <v>150</v>
      </c>
      <c r="B151" s="46"/>
      <c r="C151" s="46"/>
      <c r="D151" s="46"/>
      <c r="E151" s="46"/>
      <c r="F151" s="46"/>
      <c r="G151" s="46"/>
      <c r="H151" s="46"/>
      <c r="I151" s="46"/>
      <c r="J151" s="47"/>
      <c r="L151" s="48"/>
      <c r="M151" s="46"/>
      <c r="N151" s="46"/>
      <c r="O151" s="46"/>
      <c r="Q151" s="47"/>
      <c r="R151" s="46"/>
      <c r="S151" s="53"/>
      <c r="T151" s="49"/>
      <c r="U151" s="46"/>
      <c r="V151" s="44" t="b">
        <f>IF(P151=CURSOS!$D$3,"DIPLOMADO EN ATENCION PRE-HOSPITALARIA",IF(P151=CURSOS!$D$4,"ACOMPAÑAMIENTO Y MANEJO DEL DUELO",IF(P151=CURSOS!$D$5,"ATENCION A VICTIMAS DE ATAQUE CON AGENTES QUIMICOS ",IF(P151=CURSOS!$D$6,"PRIMEROS AUXILIOS ",IF(P151=CURSOS!$D$7,"DIPLOMADO DE UNIDAD DE CUIDADOS INTENSIVOS (UCI)",IF(P151=CURSOS!$D$8,"MODELO DE ATENCION PARA EVENTOS EMERGENTES EN SALUD MENTAL (CODIGO VERDE)",IF(P151=CURSOS!$D$9,"HUMANIZACION EN EL SERVICIO DE LA SALUD Y BUENAS PRACTICAS EN PACIENTE ",IF(P151=CURSOS!$D$10,"CLINICA DE HERIDAS ",IF(P151=CURSOS!$D$11,"TOMA DE CITOLOGIA CERVICO VAGINAL ",IF(P151=CURSOS!$D$12,"SOPORTE CARDIOVASCULAR AVANZADO (ACLS) ",IF(P151=CURSOS!$D$13,"CAMILLERO ",IF(P151=CURSOS!$D$14,"TOMA DE MUESTRAS Y LABORATORIO ",IF(P151=CURSOS!$D$15,"SOPORTE VITAL BASICO (BLS)",IF(P151=CURSOS!$D$16,"ATENCION A VICTIMAS DE VIOLENCIA SEXUAL ",IF(P151=CURSOS!$D$17,"PROGRAMADO AMPLIADO DE INMUNIZACION (PAI - COVID 19)",IF(P151=CURSOS!$D$18,"ATENCION INTEGRAL EN ENFERMEDADES PREVALENTES EN PRIMERA INFANCIA (AIEPI)",IF(P151=CURSOS!$D$19,"ADMINISTRACION DE MEDICAMENTOS, INYECTOLOGIA  Y CANALIZACION ",IF(P151=CURSOS!$D$20,"OPERADOR DE VEHICULOS DE EMERGENCIA (OVE)",IF(P151=CURSOS!$D$21,"INSTITUCIONES AMIGAS DE LA MUJER Y LA INFANCIA (IAMI)",IF(P151=CURSOS!$D$22,"CUIDADO DEL DONANTE DE ORGANOS",IF(P151=CURSOS!$D$23,"ATENCION A VICTIMAS POR VIOLENCIA DE GENERO",IF(P151=CURSOS!$D$24,"IGUALDAD DE GENERO EN LA SALUD",IF(P151=CURSOS!$D$25,"BRIGADA DE EMERGENCIA",IF(P151=CURSOS!$D$26,"MANEJO DEL DOLOR Y CUIDADOS PALIATIVOS",IF(P151=CURSOS!$D$27,"TOMA DE MUESTRAS Y LABORATORIO POCT",IF(P151=CURSOS!$D$28,"IMPLANTE SUBDERMICO DE DISPOSITIVO INTRAUTERINO",IF(P151=CURSOS!$D$29,"SALUD MENTAL",IF(P151=CURSOS!$D$30,"PRIMEROS AUXILIOS PSICOLOGICOS",IF(P151=CURSOS!$D$31,"ATENCION A VICTIMAS POR CONFLICTO ARMADO",IF(P151=CURSOS!$D$32,"MANIPULACION DE ALIMENTOS Y BPM",IF(P151=CURSOS!$D$33,"ATENCION A PERSONAS CON DISCAPACIDAD",IF(P151=CURSOS!$D$34,"CUIDADO INTEGRAL DEL PACIENTE ADULTO",IF(P151=CURSOS!$D$35,"MANEJO DEFENSIVO",IF(P151=CURSOS!$D$36,"SOPORTE CARDIOVASCULAR AVANZADO NEONATAL",IF(P151=CURSOS!$D$37,"SEGURIDAD DEL PACIENTE",IF(P151=CURSOS!$D$38,"MANEJO DE RESIDUOS HOSPITALARIOS",IF(P151=CURSOS!$D$39,"ATENCION DE PACIENTE POR CONSUMO SUSTANCIAS PSICOACTIVAS Y ADICCIONES")))))))))))))))))))))))))))))))))))))</f>
        <v>0</v>
      </c>
      <c r="W151" s="44" t="str">
        <f t="shared" si="6"/>
        <v xml:space="preserve">   </v>
      </c>
      <c r="X151" s="44" t="str">
        <f t="shared" si="7"/>
        <v xml:space="preserve">   </v>
      </c>
      <c r="Y151" s="44" t="str">
        <f t="shared" si="8"/>
        <v xml:space="preserve">   --</v>
      </c>
    </row>
    <row r="152" spans="1:25" x14ac:dyDescent="0.2">
      <c r="A152" s="45">
        <v>151</v>
      </c>
      <c r="B152" s="46"/>
      <c r="C152" s="46"/>
      <c r="D152" s="46"/>
      <c r="E152" s="46"/>
      <c r="F152" s="46"/>
      <c r="G152" s="46"/>
      <c r="H152" s="46"/>
      <c r="I152" s="46"/>
      <c r="J152" s="47"/>
      <c r="L152" s="48"/>
      <c r="M152" s="46"/>
      <c r="N152" s="46"/>
      <c r="O152" s="46"/>
      <c r="Q152" s="47"/>
      <c r="R152" s="46"/>
      <c r="S152" s="53"/>
      <c r="T152" s="49"/>
      <c r="U152" s="46"/>
      <c r="V152" s="44" t="b">
        <f>IF(P152=CURSOS!$D$3,"DIPLOMADO EN ATENCION PRE-HOSPITALARIA",IF(P152=CURSOS!$D$4,"ACOMPAÑAMIENTO Y MANEJO DEL DUELO",IF(P152=CURSOS!$D$5,"ATENCION A VICTIMAS DE ATAQUE CON AGENTES QUIMICOS ",IF(P152=CURSOS!$D$6,"PRIMEROS AUXILIOS ",IF(P152=CURSOS!$D$7,"DIPLOMADO DE UNIDAD DE CUIDADOS INTENSIVOS (UCI)",IF(P152=CURSOS!$D$8,"MODELO DE ATENCION PARA EVENTOS EMERGENTES EN SALUD MENTAL (CODIGO VERDE)",IF(P152=CURSOS!$D$9,"HUMANIZACION EN EL SERVICIO DE LA SALUD Y BUENAS PRACTICAS EN PACIENTE ",IF(P152=CURSOS!$D$10,"CLINICA DE HERIDAS ",IF(P152=CURSOS!$D$11,"TOMA DE CITOLOGIA CERVICO VAGINAL ",IF(P152=CURSOS!$D$12,"SOPORTE CARDIOVASCULAR AVANZADO (ACLS) ",IF(P152=CURSOS!$D$13,"CAMILLERO ",IF(P152=CURSOS!$D$14,"TOMA DE MUESTRAS Y LABORATORIO ",IF(P152=CURSOS!$D$15,"SOPORTE VITAL BASICO (BLS)",IF(P152=CURSOS!$D$16,"ATENCION A VICTIMAS DE VIOLENCIA SEXUAL ",IF(P152=CURSOS!$D$17,"PROGRAMADO AMPLIADO DE INMUNIZACION (PAI - COVID 19)",IF(P152=CURSOS!$D$18,"ATENCION INTEGRAL EN ENFERMEDADES PREVALENTES EN PRIMERA INFANCIA (AIEPI)",IF(P152=CURSOS!$D$19,"ADMINISTRACION DE MEDICAMENTOS, INYECTOLOGIA  Y CANALIZACION ",IF(P152=CURSOS!$D$20,"OPERADOR DE VEHICULOS DE EMERGENCIA (OVE)",IF(P152=CURSOS!$D$21,"INSTITUCIONES AMIGAS DE LA MUJER Y LA INFANCIA (IAMI)",IF(P152=CURSOS!$D$22,"CUIDADO DEL DONANTE DE ORGANOS",IF(P152=CURSOS!$D$23,"ATENCION A VICTIMAS POR VIOLENCIA DE GENERO",IF(P152=CURSOS!$D$24,"IGUALDAD DE GENERO EN LA SALUD",IF(P152=CURSOS!$D$25,"BRIGADA DE EMERGENCIA",IF(P152=CURSOS!$D$26,"MANEJO DEL DOLOR Y CUIDADOS PALIATIVOS",IF(P152=CURSOS!$D$27,"TOMA DE MUESTRAS Y LABORATORIO POCT",IF(P152=CURSOS!$D$28,"IMPLANTE SUBDERMICO DE DISPOSITIVO INTRAUTERINO",IF(P152=CURSOS!$D$29,"SALUD MENTAL",IF(P152=CURSOS!$D$30,"PRIMEROS AUXILIOS PSICOLOGICOS",IF(P152=CURSOS!$D$31,"ATENCION A VICTIMAS POR CONFLICTO ARMADO",IF(P152=CURSOS!$D$32,"MANIPULACION DE ALIMENTOS Y BPM",IF(P152=CURSOS!$D$33,"ATENCION A PERSONAS CON DISCAPACIDAD",IF(P152=CURSOS!$D$34,"CUIDADO INTEGRAL DEL PACIENTE ADULTO",IF(P152=CURSOS!$D$35,"MANEJO DEFENSIVO",IF(P152=CURSOS!$D$36,"SOPORTE CARDIOVASCULAR AVANZADO NEONATAL",IF(P152=CURSOS!$D$37,"SEGURIDAD DEL PACIENTE",IF(P152=CURSOS!$D$38,"MANEJO DE RESIDUOS HOSPITALARIOS",IF(P152=CURSOS!$D$39,"ATENCION DE PACIENTE POR CONSUMO SUSTANCIAS PSICOACTIVAS Y ADICCIONES")))))))))))))))))))))))))))))))))))))</f>
        <v>0</v>
      </c>
      <c r="W152" s="44" t="str">
        <f t="shared" si="6"/>
        <v xml:space="preserve">   </v>
      </c>
      <c r="X152" s="44" t="str">
        <f t="shared" si="7"/>
        <v xml:space="preserve">   </v>
      </c>
      <c r="Y152" s="44" t="str">
        <f t="shared" si="8"/>
        <v xml:space="preserve">   --</v>
      </c>
    </row>
    <row r="153" spans="1:25" x14ac:dyDescent="0.2">
      <c r="A153" s="45">
        <v>152</v>
      </c>
      <c r="B153" s="46"/>
      <c r="C153" s="46"/>
      <c r="D153" s="46"/>
      <c r="E153" s="46"/>
      <c r="F153" s="46"/>
      <c r="G153" s="46"/>
      <c r="H153" s="46"/>
      <c r="I153" s="46"/>
      <c r="J153" s="47"/>
      <c r="L153" s="48"/>
      <c r="M153" s="46"/>
      <c r="N153" s="46"/>
      <c r="O153" s="46"/>
      <c r="Q153" s="47"/>
      <c r="R153" s="46"/>
      <c r="S153" s="53"/>
      <c r="T153" s="49"/>
      <c r="U153" s="46"/>
      <c r="V153" s="44" t="b">
        <f>IF(P153=CURSOS!$D$3,"DIPLOMADO EN ATENCION PRE-HOSPITALARIA",IF(P153=CURSOS!$D$4,"ACOMPAÑAMIENTO Y MANEJO DEL DUELO",IF(P153=CURSOS!$D$5,"ATENCION A VICTIMAS DE ATAQUE CON AGENTES QUIMICOS ",IF(P153=CURSOS!$D$6,"PRIMEROS AUXILIOS ",IF(P153=CURSOS!$D$7,"DIPLOMADO DE UNIDAD DE CUIDADOS INTENSIVOS (UCI)",IF(P153=CURSOS!$D$8,"MODELO DE ATENCION PARA EVENTOS EMERGENTES EN SALUD MENTAL (CODIGO VERDE)",IF(P153=CURSOS!$D$9,"HUMANIZACION EN EL SERVICIO DE LA SALUD Y BUENAS PRACTICAS EN PACIENTE ",IF(P153=CURSOS!$D$10,"CLINICA DE HERIDAS ",IF(P153=CURSOS!$D$11,"TOMA DE CITOLOGIA CERVICO VAGINAL ",IF(P153=CURSOS!$D$12,"SOPORTE CARDIOVASCULAR AVANZADO (ACLS) ",IF(P153=CURSOS!$D$13,"CAMILLERO ",IF(P153=CURSOS!$D$14,"TOMA DE MUESTRAS Y LABORATORIO ",IF(P153=CURSOS!$D$15,"SOPORTE VITAL BASICO (BLS)",IF(P153=CURSOS!$D$16,"ATENCION A VICTIMAS DE VIOLENCIA SEXUAL ",IF(P153=CURSOS!$D$17,"PROGRAMADO AMPLIADO DE INMUNIZACION (PAI - COVID 19)",IF(P153=CURSOS!$D$18,"ATENCION INTEGRAL EN ENFERMEDADES PREVALENTES EN PRIMERA INFANCIA (AIEPI)",IF(P153=CURSOS!$D$19,"ADMINISTRACION DE MEDICAMENTOS, INYECTOLOGIA  Y CANALIZACION ",IF(P153=CURSOS!$D$20,"OPERADOR DE VEHICULOS DE EMERGENCIA (OVE)",IF(P153=CURSOS!$D$21,"INSTITUCIONES AMIGAS DE LA MUJER Y LA INFANCIA (IAMI)",IF(P153=CURSOS!$D$22,"CUIDADO DEL DONANTE DE ORGANOS",IF(P153=CURSOS!$D$23,"ATENCION A VICTIMAS POR VIOLENCIA DE GENERO",IF(P153=CURSOS!$D$24,"IGUALDAD DE GENERO EN LA SALUD",IF(P153=CURSOS!$D$25,"BRIGADA DE EMERGENCIA",IF(P153=CURSOS!$D$26,"MANEJO DEL DOLOR Y CUIDADOS PALIATIVOS",IF(P153=CURSOS!$D$27,"TOMA DE MUESTRAS Y LABORATORIO POCT",IF(P153=CURSOS!$D$28,"IMPLANTE SUBDERMICO DE DISPOSITIVO INTRAUTERINO",IF(P153=CURSOS!$D$29,"SALUD MENTAL",IF(P153=CURSOS!$D$30,"PRIMEROS AUXILIOS PSICOLOGICOS",IF(P153=CURSOS!$D$31,"ATENCION A VICTIMAS POR CONFLICTO ARMADO",IF(P153=CURSOS!$D$32,"MANIPULACION DE ALIMENTOS Y BPM",IF(P153=CURSOS!$D$33,"ATENCION A PERSONAS CON DISCAPACIDAD",IF(P153=CURSOS!$D$34,"CUIDADO INTEGRAL DEL PACIENTE ADULTO",IF(P153=CURSOS!$D$35,"MANEJO DEFENSIVO",IF(P153=CURSOS!$D$36,"SOPORTE CARDIOVASCULAR AVANZADO NEONATAL",IF(P153=CURSOS!$D$37,"SEGURIDAD DEL PACIENTE",IF(P153=CURSOS!$D$38,"MANEJO DE RESIDUOS HOSPITALARIOS",IF(P153=CURSOS!$D$39,"ATENCION DE PACIENTE POR CONSUMO SUSTANCIAS PSICOACTIVAS Y ADICCIONES")))))))))))))))))))))))))))))))))))))</f>
        <v>0</v>
      </c>
      <c r="W153" s="44" t="str">
        <f t="shared" si="6"/>
        <v xml:space="preserve">   </v>
      </c>
      <c r="X153" s="44" t="str">
        <f t="shared" si="7"/>
        <v xml:space="preserve">   </v>
      </c>
      <c r="Y153" s="44" t="str">
        <f t="shared" si="8"/>
        <v xml:space="preserve">   --</v>
      </c>
    </row>
    <row r="154" spans="1:25" x14ac:dyDescent="0.2">
      <c r="A154" s="45">
        <v>153</v>
      </c>
      <c r="B154" s="46"/>
      <c r="C154" s="46"/>
      <c r="D154" s="46"/>
      <c r="E154" s="46"/>
      <c r="F154" s="46"/>
      <c r="G154" s="46"/>
      <c r="H154" s="46"/>
      <c r="I154" s="46"/>
      <c r="J154" s="47"/>
      <c r="L154" s="48"/>
      <c r="M154" s="46"/>
      <c r="N154" s="46"/>
      <c r="O154" s="46"/>
      <c r="Q154" s="47"/>
      <c r="R154" s="46"/>
      <c r="S154" s="53"/>
      <c r="T154" s="49"/>
      <c r="U154" s="46"/>
      <c r="V154" s="44" t="b">
        <f>IF(P154=CURSOS!$D$3,"DIPLOMADO EN ATENCION PRE-HOSPITALARIA",IF(P154=CURSOS!$D$4,"ACOMPAÑAMIENTO Y MANEJO DEL DUELO",IF(P154=CURSOS!$D$5,"ATENCION A VICTIMAS DE ATAQUE CON AGENTES QUIMICOS ",IF(P154=CURSOS!$D$6,"PRIMEROS AUXILIOS ",IF(P154=CURSOS!$D$7,"DIPLOMADO DE UNIDAD DE CUIDADOS INTENSIVOS (UCI)",IF(P154=CURSOS!$D$8,"MODELO DE ATENCION PARA EVENTOS EMERGENTES EN SALUD MENTAL (CODIGO VERDE)",IF(P154=CURSOS!$D$9,"HUMANIZACION EN EL SERVICIO DE LA SALUD Y BUENAS PRACTICAS EN PACIENTE ",IF(P154=CURSOS!$D$10,"CLINICA DE HERIDAS ",IF(P154=CURSOS!$D$11,"TOMA DE CITOLOGIA CERVICO VAGINAL ",IF(P154=CURSOS!$D$12,"SOPORTE CARDIOVASCULAR AVANZADO (ACLS) ",IF(P154=CURSOS!$D$13,"CAMILLERO ",IF(P154=CURSOS!$D$14,"TOMA DE MUESTRAS Y LABORATORIO ",IF(P154=CURSOS!$D$15,"SOPORTE VITAL BASICO (BLS)",IF(P154=CURSOS!$D$16,"ATENCION A VICTIMAS DE VIOLENCIA SEXUAL ",IF(P154=CURSOS!$D$17,"PROGRAMADO AMPLIADO DE INMUNIZACION (PAI - COVID 19)",IF(P154=CURSOS!$D$18,"ATENCION INTEGRAL EN ENFERMEDADES PREVALENTES EN PRIMERA INFANCIA (AIEPI)",IF(P154=CURSOS!$D$19,"ADMINISTRACION DE MEDICAMENTOS, INYECTOLOGIA  Y CANALIZACION ",IF(P154=CURSOS!$D$20,"OPERADOR DE VEHICULOS DE EMERGENCIA (OVE)",IF(P154=CURSOS!$D$21,"INSTITUCIONES AMIGAS DE LA MUJER Y LA INFANCIA (IAMI)",IF(P154=CURSOS!$D$22,"CUIDADO DEL DONANTE DE ORGANOS",IF(P154=CURSOS!$D$23,"ATENCION A VICTIMAS POR VIOLENCIA DE GENERO",IF(P154=CURSOS!$D$24,"IGUALDAD DE GENERO EN LA SALUD",IF(P154=CURSOS!$D$25,"BRIGADA DE EMERGENCIA",IF(P154=CURSOS!$D$26,"MANEJO DEL DOLOR Y CUIDADOS PALIATIVOS",IF(P154=CURSOS!$D$27,"TOMA DE MUESTRAS Y LABORATORIO POCT",IF(P154=CURSOS!$D$28,"IMPLANTE SUBDERMICO DE DISPOSITIVO INTRAUTERINO",IF(P154=CURSOS!$D$29,"SALUD MENTAL",IF(P154=CURSOS!$D$30,"PRIMEROS AUXILIOS PSICOLOGICOS",IF(P154=CURSOS!$D$31,"ATENCION A VICTIMAS POR CONFLICTO ARMADO",IF(P154=CURSOS!$D$32,"MANIPULACION DE ALIMENTOS Y BPM",IF(P154=CURSOS!$D$33,"ATENCION A PERSONAS CON DISCAPACIDAD",IF(P154=CURSOS!$D$34,"CUIDADO INTEGRAL DEL PACIENTE ADULTO",IF(P154=CURSOS!$D$35,"MANEJO DEFENSIVO",IF(P154=CURSOS!$D$36,"SOPORTE CARDIOVASCULAR AVANZADO NEONATAL",IF(P154=CURSOS!$D$37,"SEGURIDAD DEL PACIENTE",IF(P154=CURSOS!$D$38,"MANEJO DE RESIDUOS HOSPITALARIOS",IF(P154=CURSOS!$D$39,"ATENCION DE PACIENTE POR CONSUMO SUSTANCIAS PSICOACTIVAS Y ADICCIONES")))))))))))))))))))))))))))))))))))))</f>
        <v>0</v>
      </c>
      <c r="W154" s="44" t="str">
        <f t="shared" si="6"/>
        <v xml:space="preserve">   </v>
      </c>
      <c r="X154" s="44" t="str">
        <f t="shared" si="7"/>
        <v xml:space="preserve">   </v>
      </c>
      <c r="Y154" s="44" t="str">
        <f t="shared" si="8"/>
        <v xml:space="preserve">   --</v>
      </c>
    </row>
    <row r="155" spans="1:25" x14ac:dyDescent="0.2">
      <c r="A155" s="45">
        <v>154</v>
      </c>
      <c r="B155" s="46"/>
      <c r="C155" s="46"/>
      <c r="D155" s="46"/>
      <c r="E155" s="46"/>
      <c r="F155" s="46"/>
      <c r="G155" s="46"/>
      <c r="H155" s="46"/>
      <c r="I155" s="46"/>
      <c r="J155" s="47"/>
      <c r="M155" s="46"/>
      <c r="N155" s="46"/>
      <c r="O155" s="46"/>
      <c r="Q155" s="47"/>
      <c r="R155" s="46"/>
      <c r="S155" s="53"/>
      <c r="T155" s="49"/>
      <c r="U155" s="46"/>
      <c r="V155" s="44" t="b">
        <f>IF(P155=CURSOS!$D$3,"DIPLOMADO EN ATENCION PRE-HOSPITALARIA",IF(P155=CURSOS!$D$4,"ACOMPAÑAMIENTO Y MANEJO DEL DUELO",IF(P155=CURSOS!$D$5,"ATENCION A VICTIMAS DE ATAQUE CON AGENTES QUIMICOS ",IF(P155=CURSOS!$D$6,"PRIMEROS AUXILIOS ",IF(P155=CURSOS!$D$7,"DIPLOMADO DE UNIDAD DE CUIDADOS INTENSIVOS (UCI)",IF(P155=CURSOS!$D$8,"MODELO DE ATENCION PARA EVENTOS EMERGENTES EN SALUD MENTAL (CODIGO VERDE)",IF(P155=CURSOS!$D$9,"HUMANIZACION EN EL SERVICIO DE LA SALUD Y BUENAS PRACTICAS EN PACIENTE ",IF(P155=CURSOS!$D$10,"CLINICA DE HERIDAS ",IF(P155=CURSOS!$D$11,"TOMA DE CITOLOGIA CERVICO VAGINAL ",IF(P155=CURSOS!$D$12,"SOPORTE CARDIOVASCULAR AVANZADO (ACLS) ",IF(P155=CURSOS!$D$13,"CAMILLERO ",IF(P155=CURSOS!$D$14,"TOMA DE MUESTRAS Y LABORATORIO ",IF(P155=CURSOS!$D$15,"SOPORTE VITAL BASICO (BLS)",IF(P155=CURSOS!$D$16,"ATENCION A VICTIMAS DE VIOLENCIA SEXUAL ",IF(P155=CURSOS!$D$17,"PROGRAMADO AMPLIADO DE INMUNIZACION (PAI - COVID 19)",IF(P155=CURSOS!$D$18,"ATENCION INTEGRAL EN ENFERMEDADES PREVALENTES EN PRIMERA INFANCIA (AIEPI)",IF(P155=CURSOS!$D$19,"ADMINISTRACION DE MEDICAMENTOS, INYECTOLOGIA  Y CANALIZACION ",IF(P155=CURSOS!$D$20,"OPERADOR DE VEHICULOS DE EMERGENCIA (OVE)",IF(P155=CURSOS!$D$21,"INSTITUCIONES AMIGAS DE LA MUJER Y LA INFANCIA (IAMI)",IF(P155=CURSOS!$D$22,"CUIDADO DEL DONANTE DE ORGANOS",IF(P155=CURSOS!$D$23,"ATENCION A VICTIMAS POR VIOLENCIA DE GENERO",IF(P155=CURSOS!$D$24,"IGUALDAD DE GENERO EN LA SALUD",IF(P155=CURSOS!$D$25,"BRIGADA DE EMERGENCIA",IF(P155=CURSOS!$D$26,"MANEJO DEL DOLOR Y CUIDADOS PALIATIVOS",IF(P155=CURSOS!$D$27,"TOMA DE MUESTRAS Y LABORATORIO POCT",IF(P155=CURSOS!$D$28,"IMPLANTE SUBDERMICO DE DISPOSITIVO INTRAUTERINO",IF(P155=CURSOS!$D$29,"SALUD MENTAL",IF(P155=CURSOS!$D$30,"PRIMEROS AUXILIOS PSICOLOGICOS",IF(P155=CURSOS!$D$31,"ATENCION A VICTIMAS POR CONFLICTO ARMADO",IF(P155=CURSOS!$D$32,"MANIPULACION DE ALIMENTOS Y BPM",IF(P155=CURSOS!$D$33,"ATENCION A PERSONAS CON DISCAPACIDAD",IF(P155=CURSOS!$D$34,"CUIDADO INTEGRAL DEL PACIENTE ADULTO",IF(P155=CURSOS!$D$35,"MANEJO DEFENSIVO",IF(P155=CURSOS!$D$36,"SOPORTE CARDIOVASCULAR AVANZADO NEONATAL",IF(P155=CURSOS!$D$37,"SEGURIDAD DEL PACIENTE",IF(P155=CURSOS!$D$38,"MANEJO DE RESIDUOS HOSPITALARIOS",IF(P155=CURSOS!$D$39,"ATENCION DE PACIENTE POR CONSUMO SUSTANCIAS PSICOACTIVAS Y ADICCIONES")))))))))))))))))))))))))))))))))))))</f>
        <v>0</v>
      </c>
      <c r="W155" s="44" t="str">
        <f t="shared" si="6"/>
        <v xml:space="preserve">   </v>
      </c>
      <c r="X155" s="44" t="str">
        <f t="shared" si="7"/>
        <v xml:space="preserve">   </v>
      </c>
      <c r="Y155" s="44" t="str">
        <f t="shared" si="8"/>
        <v xml:space="preserve">   --</v>
      </c>
    </row>
    <row r="156" spans="1:25" x14ac:dyDescent="0.2">
      <c r="A156" s="45">
        <v>155</v>
      </c>
      <c r="B156" s="46"/>
      <c r="C156" s="46"/>
      <c r="D156" s="46"/>
      <c r="E156" s="46"/>
      <c r="F156" s="46"/>
      <c r="G156" s="46"/>
      <c r="H156" s="46"/>
      <c r="I156" s="46"/>
      <c r="J156" s="47"/>
      <c r="M156" s="46"/>
      <c r="N156" s="46"/>
      <c r="O156" s="46"/>
      <c r="Q156" s="47"/>
      <c r="R156" s="46"/>
      <c r="S156" s="46"/>
      <c r="T156" s="46"/>
      <c r="U156" s="46"/>
      <c r="V156" s="44" t="b">
        <f>IF(P156=CURSOS!$D$3,"DIPLOMADO EN ATENCION PRE-HOSPITALARIA",IF(P156=CURSOS!$D$4,"ACOMPAÑAMIENTO Y MANEJO DEL DUELO",IF(P156=CURSOS!$D$5,"ATENCION A VICTIMAS DE ATAQUE CON AGENTES QUIMICOS ",IF(P156=CURSOS!$D$6,"PRIMEROS AUXILIOS ",IF(P156=CURSOS!$D$7,"DIPLOMADO DE UNIDAD DE CUIDADOS INTENSIVOS (UCI)",IF(P156=CURSOS!$D$8,"MODELO DE ATENCION PARA EVENTOS EMERGENTES EN SALUD MENTAL (CODIGO VERDE)",IF(P156=CURSOS!$D$9,"HUMANIZACION EN EL SERVICIO DE LA SALUD Y BUENAS PRACTICAS EN PACIENTE ",IF(P156=CURSOS!$D$10,"CLINICA DE HERIDAS ",IF(P156=CURSOS!$D$11,"TOMA DE CITOLOGIA CERVICO VAGINAL ",IF(P156=CURSOS!$D$12,"SOPORTE CARDIOVASCULAR AVANZADO (ACLS) ",IF(P156=CURSOS!$D$13,"CAMILLERO ",IF(P156=CURSOS!$D$14,"TOMA DE MUESTRAS Y LABORATORIO ",IF(P156=CURSOS!$D$15,"SOPORTE VITAL BASICO (BLS)",IF(P156=CURSOS!$D$16,"ATENCION A VICTIMAS DE VIOLENCIA SEXUAL ",IF(P156=CURSOS!$D$17,"PROGRAMADO AMPLIADO DE INMUNIZACION (PAI - COVID 19)",IF(P156=CURSOS!$D$18,"ATENCION INTEGRAL EN ENFERMEDADES PREVALENTES EN PRIMERA INFANCIA (AIEPI)",IF(P156=CURSOS!$D$19,"ADMINISTRACION DE MEDICAMENTOS, INYECTOLOGIA  Y CANALIZACION ",IF(P156=CURSOS!$D$20,"OPERADOR DE VEHICULOS DE EMERGENCIA (OVE)",IF(P156=CURSOS!$D$21,"INSTITUCIONES AMIGAS DE LA MUJER Y LA INFANCIA (IAMI)",IF(P156=CURSOS!$D$22,"CUIDADO DEL DONANTE DE ORGANOS",IF(P156=CURSOS!$D$23,"ATENCION A VICTIMAS POR VIOLENCIA DE GENERO",IF(P156=CURSOS!$D$24,"IGUALDAD DE GENERO EN LA SALUD",IF(P156=CURSOS!$D$25,"BRIGADA DE EMERGENCIA",IF(P156=CURSOS!$D$26,"MANEJO DEL DOLOR Y CUIDADOS PALIATIVOS",IF(P156=CURSOS!$D$27,"TOMA DE MUESTRAS Y LABORATORIO POCT",IF(P156=CURSOS!$D$28,"IMPLANTE SUBDERMICO DE DISPOSITIVO INTRAUTERINO",IF(P156=CURSOS!$D$29,"SALUD MENTAL",IF(P156=CURSOS!$D$30,"PRIMEROS AUXILIOS PSICOLOGICOS",IF(P156=CURSOS!$D$31,"ATENCION A VICTIMAS POR CONFLICTO ARMADO",IF(P156=CURSOS!$D$32,"MANIPULACION DE ALIMENTOS Y BPM",IF(P156=CURSOS!$D$33,"ATENCION A PERSONAS CON DISCAPACIDAD",IF(P156=CURSOS!$D$34,"CUIDADO INTEGRAL DEL PACIENTE ADULTO",IF(P156=CURSOS!$D$35,"MANEJO DEFENSIVO",IF(P156=CURSOS!$D$36,"SOPORTE CARDIOVASCULAR AVANZADO NEONATAL",IF(P156=CURSOS!$D$37,"SEGURIDAD DEL PACIENTE",IF(P156=CURSOS!$D$38,"MANEJO DE RESIDUOS HOSPITALARIOS",IF(P156=CURSOS!$D$39,"ATENCION DE PACIENTE POR CONSUMO SUSTANCIAS PSICOACTIVAS Y ADICCIONES")))))))))))))))))))))))))))))))))))))</f>
        <v>0</v>
      </c>
      <c r="W156" s="44" t="str">
        <f t="shared" si="6"/>
        <v xml:space="preserve">   </v>
      </c>
      <c r="X156" s="44" t="str">
        <f t="shared" si="7"/>
        <v xml:space="preserve">   </v>
      </c>
      <c r="Y156" s="44" t="str">
        <f t="shared" si="8"/>
        <v xml:space="preserve">   --</v>
      </c>
    </row>
    <row r="157" spans="1:25" x14ac:dyDescent="0.2">
      <c r="A157" s="45">
        <v>156</v>
      </c>
      <c r="B157" s="46"/>
      <c r="C157" s="46"/>
      <c r="D157" s="46"/>
      <c r="E157" s="46"/>
      <c r="F157" s="46"/>
      <c r="G157" s="46"/>
      <c r="H157" s="46"/>
      <c r="I157" s="46"/>
      <c r="J157" s="47"/>
      <c r="M157" s="46"/>
      <c r="N157" s="46"/>
      <c r="O157" s="46"/>
      <c r="Q157" s="47"/>
      <c r="R157" s="46"/>
      <c r="S157" s="46"/>
      <c r="T157" s="46"/>
      <c r="U157" s="46"/>
      <c r="V157" s="44" t="b">
        <f>IF(P157=CURSOS!$D$3,"DIPLOMADO EN ATENCION PRE-HOSPITALARIA",IF(P157=CURSOS!$D$4,"ACOMPAÑAMIENTO Y MANEJO DEL DUELO",IF(P157=CURSOS!$D$5,"ATENCION A VICTIMAS DE ATAQUE CON AGENTES QUIMICOS ",IF(P157=CURSOS!$D$6,"PRIMEROS AUXILIOS ",IF(P157=CURSOS!$D$7,"DIPLOMADO DE UNIDAD DE CUIDADOS INTENSIVOS (UCI)",IF(P157=CURSOS!$D$8,"MODELO DE ATENCION PARA EVENTOS EMERGENTES EN SALUD MENTAL (CODIGO VERDE)",IF(P157=CURSOS!$D$9,"HUMANIZACION EN EL SERVICIO DE LA SALUD Y BUENAS PRACTICAS EN PACIENTE ",IF(P157=CURSOS!$D$10,"CLINICA DE HERIDAS ",IF(P157=CURSOS!$D$11,"TOMA DE CITOLOGIA CERVICO VAGINAL ",IF(P157=CURSOS!$D$12,"SOPORTE CARDIOVASCULAR AVANZADO (ACLS) ",IF(P157=CURSOS!$D$13,"CAMILLERO ",IF(P157=CURSOS!$D$14,"TOMA DE MUESTRAS Y LABORATORIO ",IF(P157=CURSOS!$D$15,"SOPORTE VITAL BASICO (BLS)",IF(P157=CURSOS!$D$16,"ATENCION A VICTIMAS DE VIOLENCIA SEXUAL ",IF(P157=CURSOS!$D$17,"PROGRAMADO AMPLIADO DE INMUNIZACION (PAI - COVID 19)",IF(P157=CURSOS!$D$18,"ATENCION INTEGRAL EN ENFERMEDADES PREVALENTES EN PRIMERA INFANCIA (AIEPI)",IF(P157=CURSOS!$D$19,"ADMINISTRACION DE MEDICAMENTOS, INYECTOLOGIA  Y CANALIZACION ",IF(P157=CURSOS!$D$20,"OPERADOR DE VEHICULOS DE EMERGENCIA (OVE)",IF(P157=CURSOS!$D$21,"INSTITUCIONES AMIGAS DE LA MUJER Y LA INFANCIA (IAMI)",IF(P157=CURSOS!$D$22,"CUIDADO DEL DONANTE DE ORGANOS",IF(P157=CURSOS!$D$23,"ATENCION A VICTIMAS POR VIOLENCIA DE GENERO",IF(P157=CURSOS!$D$24,"IGUALDAD DE GENERO EN LA SALUD",IF(P157=CURSOS!$D$25,"BRIGADA DE EMERGENCIA",IF(P157=CURSOS!$D$26,"MANEJO DEL DOLOR Y CUIDADOS PALIATIVOS",IF(P157=CURSOS!$D$27,"TOMA DE MUESTRAS Y LABORATORIO POCT",IF(P157=CURSOS!$D$28,"IMPLANTE SUBDERMICO DE DISPOSITIVO INTRAUTERINO",IF(P157=CURSOS!$D$29,"SALUD MENTAL",IF(P157=CURSOS!$D$30,"PRIMEROS AUXILIOS PSICOLOGICOS",IF(P157=CURSOS!$D$31,"ATENCION A VICTIMAS POR CONFLICTO ARMADO",IF(P157=CURSOS!$D$32,"MANIPULACION DE ALIMENTOS Y BPM",IF(P157=CURSOS!$D$33,"ATENCION A PERSONAS CON DISCAPACIDAD",IF(P157=CURSOS!$D$34,"CUIDADO INTEGRAL DEL PACIENTE ADULTO",IF(P157=CURSOS!$D$35,"MANEJO DEFENSIVO",IF(P157=CURSOS!$D$36,"SOPORTE CARDIOVASCULAR AVANZADO NEONATAL",IF(P157=CURSOS!$D$37,"SEGURIDAD DEL PACIENTE",IF(P157=CURSOS!$D$38,"MANEJO DE RESIDUOS HOSPITALARIOS",IF(P157=CURSOS!$D$39,"ATENCION DE PACIENTE POR CONSUMO SUSTANCIAS PSICOACTIVAS Y ADICCIONES")))))))))))))))))))))))))))))))))))))</f>
        <v>0</v>
      </c>
      <c r="W157" s="44" t="str">
        <f t="shared" si="6"/>
        <v xml:space="preserve">   </v>
      </c>
      <c r="X157" s="44" t="str">
        <f t="shared" si="7"/>
        <v xml:space="preserve">   </v>
      </c>
      <c r="Y157" s="44" t="str">
        <f t="shared" si="8"/>
        <v xml:space="preserve">   --</v>
      </c>
    </row>
    <row r="158" spans="1:25" x14ac:dyDescent="0.2">
      <c r="A158" s="45">
        <v>157</v>
      </c>
      <c r="B158" s="46"/>
      <c r="C158" s="46"/>
      <c r="D158" s="46"/>
      <c r="E158" s="46"/>
      <c r="F158" s="46"/>
      <c r="G158" s="46"/>
      <c r="H158" s="46"/>
      <c r="I158" s="46"/>
      <c r="J158" s="47"/>
      <c r="M158" s="46"/>
      <c r="N158" s="46"/>
      <c r="O158" s="46"/>
      <c r="Q158" s="47"/>
      <c r="R158" s="46"/>
      <c r="S158" s="53"/>
      <c r="T158" s="46"/>
      <c r="U158" s="46"/>
      <c r="V158" s="44" t="b">
        <f>IF(P158=CURSOS!$D$3,"DIPLOMADO EN ATENCION PRE-HOSPITALARIA",IF(P158=CURSOS!$D$4,"ACOMPAÑAMIENTO Y MANEJO DEL DUELO",IF(P158=CURSOS!$D$5,"ATENCION A VICTIMAS DE ATAQUE CON AGENTES QUIMICOS ",IF(P158=CURSOS!$D$6,"PRIMEROS AUXILIOS ",IF(P158=CURSOS!$D$7,"DIPLOMADO DE UNIDAD DE CUIDADOS INTENSIVOS (UCI)",IF(P158=CURSOS!$D$8,"MODELO DE ATENCION PARA EVENTOS EMERGENTES EN SALUD MENTAL (CODIGO VERDE)",IF(P158=CURSOS!$D$9,"HUMANIZACION EN EL SERVICIO DE LA SALUD Y BUENAS PRACTICAS EN PACIENTE ",IF(P158=CURSOS!$D$10,"CLINICA DE HERIDAS ",IF(P158=CURSOS!$D$11,"TOMA DE CITOLOGIA CERVICO VAGINAL ",IF(P158=CURSOS!$D$12,"SOPORTE CARDIOVASCULAR AVANZADO (ACLS) ",IF(P158=CURSOS!$D$13,"CAMILLERO ",IF(P158=CURSOS!$D$14,"TOMA DE MUESTRAS Y LABORATORIO ",IF(P158=CURSOS!$D$15,"SOPORTE VITAL BASICO (BLS)",IF(P158=CURSOS!$D$16,"ATENCION A VICTIMAS DE VIOLENCIA SEXUAL ",IF(P158=CURSOS!$D$17,"PROGRAMADO AMPLIADO DE INMUNIZACION (PAI - COVID 19)",IF(P158=CURSOS!$D$18,"ATENCION INTEGRAL EN ENFERMEDADES PREVALENTES EN PRIMERA INFANCIA (AIEPI)",IF(P158=CURSOS!$D$19,"ADMINISTRACION DE MEDICAMENTOS, INYECTOLOGIA  Y CANALIZACION ",IF(P158=CURSOS!$D$20,"OPERADOR DE VEHICULOS DE EMERGENCIA (OVE)",IF(P158=CURSOS!$D$21,"INSTITUCIONES AMIGAS DE LA MUJER Y LA INFANCIA (IAMI)",IF(P158=CURSOS!$D$22,"CUIDADO DEL DONANTE DE ORGANOS",IF(P158=CURSOS!$D$23,"ATENCION A VICTIMAS POR VIOLENCIA DE GENERO",IF(P158=CURSOS!$D$24,"IGUALDAD DE GENERO EN LA SALUD",IF(P158=CURSOS!$D$25,"BRIGADA DE EMERGENCIA",IF(P158=CURSOS!$D$26,"MANEJO DEL DOLOR Y CUIDADOS PALIATIVOS",IF(P158=CURSOS!$D$27,"TOMA DE MUESTRAS Y LABORATORIO POCT",IF(P158=CURSOS!$D$28,"IMPLANTE SUBDERMICO DE DISPOSITIVO INTRAUTERINO",IF(P158=CURSOS!$D$29,"SALUD MENTAL",IF(P158=CURSOS!$D$30,"PRIMEROS AUXILIOS PSICOLOGICOS",IF(P158=CURSOS!$D$31,"ATENCION A VICTIMAS POR CONFLICTO ARMADO",IF(P158=CURSOS!$D$32,"MANIPULACION DE ALIMENTOS Y BPM",IF(P158=CURSOS!$D$33,"ATENCION A PERSONAS CON DISCAPACIDAD",IF(P158=CURSOS!$D$34,"CUIDADO INTEGRAL DEL PACIENTE ADULTO",IF(P158=CURSOS!$D$35,"MANEJO DEFENSIVO",IF(P158=CURSOS!$D$36,"SOPORTE CARDIOVASCULAR AVANZADO NEONATAL",IF(P158=CURSOS!$D$37,"SEGURIDAD DEL PACIENTE",IF(P158=CURSOS!$D$38,"MANEJO DE RESIDUOS HOSPITALARIOS",IF(P158=CURSOS!$D$39,"ATENCION DE PACIENTE POR CONSUMO SUSTANCIAS PSICOACTIVAS Y ADICCIONES")))))))))))))))))))))))))))))))))))))</f>
        <v>0</v>
      </c>
      <c r="W158" s="44" t="str">
        <f t="shared" si="6"/>
        <v xml:space="preserve">   </v>
      </c>
      <c r="X158" s="44" t="str">
        <f t="shared" si="7"/>
        <v xml:space="preserve">   </v>
      </c>
      <c r="Y158" s="44" t="str">
        <f t="shared" si="8"/>
        <v xml:space="preserve">   --</v>
      </c>
    </row>
    <row r="159" spans="1:25" x14ac:dyDescent="0.2">
      <c r="A159" s="45">
        <v>158</v>
      </c>
      <c r="B159" s="46"/>
      <c r="C159" s="46"/>
      <c r="D159" s="46"/>
      <c r="E159" s="46"/>
      <c r="F159" s="46"/>
      <c r="G159" s="46"/>
      <c r="H159" s="46"/>
      <c r="I159" s="46"/>
      <c r="J159" s="47"/>
      <c r="M159" s="46"/>
      <c r="N159" s="46"/>
      <c r="O159" s="46"/>
      <c r="Q159" s="47"/>
      <c r="R159" s="46"/>
      <c r="S159" s="46"/>
      <c r="T159" s="46"/>
      <c r="U159" s="46"/>
      <c r="V159" s="44" t="b">
        <f>IF(P159=CURSOS!$D$3,"DIPLOMADO EN ATENCION PRE-HOSPITALARIA",IF(P159=CURSOS!$D$4,"ACOMPAÑAMIENTO Y MANEJO DEL DUELO",IF(P159=CURSOS!$D$5,"ATENCION A VICTIMAS DE ATAQUE CON AGENTES QUIMICOS ",IF(P159=CURSOS!$D$6,"PRIMEROS AUXILIOS ",IF(P159=CURSOS!$D$7,"DIPLOMADO DE UNIDAD DE CUIDADOS INTENSIVOS (UCI)",IF(P159=CURSOS!$D$8,"MODELO DE ATENCION PARA EVENTOS EMERGENTES EN SALUD MENTAL (CODIGO VERDE)",IF(P159=CURSOS!$D$9,"HUMANIZACION EN EL SERVICIO DE LA SALUD Y BUENAS PRACTICAS EN PACIENTE ",IF(P159=CURSOS!$D$10,"CLINICA DE HERIDAS ",IF(P159=CURSOS!$D$11,"TOMA DE CITOLOGIA CERVICO VAGINAL ",IF(P159=CURSOS!$D$12,"SOPORTE CARDIOVASCULAR AVANZADO (ACLS) ",IF(P159=CURSOS!$D$13,"CAMILLERO ",IF(P159=CURSOS!$D$14,"TOMA DE MUESTRAS Y LABORATORIO ",IF(P159=CURSOS!$D$15,"SOPORTE VITAL BASICO (BLS)",IF(P159=CURSOS!$D$16,"ATENCION A VICTIMAS DE VIOLENCIA SEXUAL ",IF(P159=CURSOS!$D$17,"PROGRAMADO AMPLIADO DE INMUNIZACION (PAI - COVID 19)",IF(P159=CURSOS!$D$18,"ATENCION INTEGRAL EN ENFERMEDADES PREVALENTES EN PRIMERA INFANCIA (AIEPI)",IF(P159=CURSOS!$D$19,"ADMINISTRACION DE MEDICAMENTOS, INYECTOLOGIA  Y CANALIZACION ",IF(P159=CURSOS!$D$20,"OPERADOR DE VEHICULOS DE EMERGENCIA (OVE)",IF(P159=CURSOS!$D$21,"INSTITUCIONES AMIGAS DE LA MUJER Y LA INFANCIA (IAMI)",IF(P159=CURSOS!$D$22,"CUIDADO DEL DONANTE DE ORGANOS",IF(P159=CURSOS!$D$23,"ATENCION A VICTIMAS POR VIOLENCIA DE GENERO",IF(P159=CURSOS!$D$24,"IGUALDAD DE GENERO EN LA SALUD",IF(P159=CURSOS!$D$25,"BRIGADA DE EMERGENCIA",IF(P159=CURSOS!$D$26,"MANEJO DEL DOLOR Y CUIDADOS PALIATIVOS",IF(P159=CURSOS!$D$27,"TOMA DE MUESTRAS Y LABORATORIO POCT",IF(P159=CURSOS!$D$28,"IMPLANTE SUBDERMICO DE DISPOSITIVO INTRAUTERINO",IF(P159=CURSOS!$D$29,"SALUD MENTAL",IF(P159=CURSOS!$D$30,"PRIMEROS AUXILIOS PSICOLOGICOS",IF(P159=CURSOS!$D$31,"ATENCION A VICTIMAS POR CONFLICTO ARMADO",IF(P159=CURSOS!$D$32,"MANIPULACION DE ALIMENTOS Y BPM",IF(P159=CURSOS!$D$33,"ATENCION A PERSONAS CON DISCAPACIDAD",IF(P159=CURSOS!$D$34,"CUIDADO INTEGRAL DEL PACIENTE ADULTO",IF(P159=CURSOS!$D$35,"MANEJO DEFENSIVO",IF(P159=CURSOS!$D$36,"SOPORTE CARDIOVASCULAR AVANZADO NEONATAL",IF(P159=CURSOS!$D$37,"SEGURIDAD DEL PACIENTE",IF(P159=CURSOS!$D$38,"MANEJO DE RESIDUOS HOSPITALARIOS",IF(P159=CURSOS!$D$39,"ATENCION DE PACIENTE POR CONSUMO SUSTANCIAS PSICOACTIVAS Y ADICCIONES")))))))))))))))))))))))))))))))))))))</f>
        <v>0</v>
      </c>
      <c r="W159" s="44" t="str">
        <f t="shared" si="6"/>
        <v xml:space="preserve">   </v>
      </c>
      <c r="X159" s="44" t="str">
        <f t="shared" si="7"/>
        <v xml:space="preserve">   </v>
      </c>
      <c r="Y159" s="44" t="str">
        <f t="shared" si="8"/>
        <v xml:space="preserve">   --</v>
      </c>
    </row>
    <row r="160" spans="1:25" x14ac:dyDescent="0.2">
      <c r="A160" s="45">
        <v>159</v>
      </c>
      <c r="B160" s="46"/>
      <c r="C160" s="46"/>
      <c r="D160" s="46"/>
      <c r="E160" s="46"/>
      <c r="F160" s="46"/>
      <c r="G160" s="46"/>
      <c r="H160" s="46"/>
      <c r="I160" s="46"/>
      <c r="J160" s="47"/>
      <c r="M160" s="46"/>
      <c r="N160" s="46"/>
      <c r="O160" s="46"/>
      <c r="Q160" s="47"/>
      <c r="R160" s="46"/>
      <c r="S160" s="46"/>
      <c r="T160" s="46"/>
      <c r="U160" s="46"/>
      <c r="V160" s="44" t="b">
        <f>IF(P160=CURSOS!$D$3,"DIPLOMADO EN ATENCION PRE-HOSPITALARIA",IF(P160=CURSOS!$D$4,"ACOMPAÑAMIENTO Y MANEJO DEL DUELO",IF(P160=CURSOS!$D$5,"ATENCION A VICTIMAS DE ATAQUE CON AGENTES QUIMICOS ",IF(P160=CURSOS!$D$6,"PRIMEROS AUXILIOS ",IF(P160=CURSOS!$D$7,"DIPLOMADO DE UNIDAD DE CUIDADOS INTENSIVOS (UCI)",IF(P160=CURSOS!$D$8,"MODELO DE ATENCION PARA EVENTOS EMERGENTES EN SALUD MENTAL (CODIGO VERDE)",IF(P160=CURSOS!$D$9,"HUMANIZACION EN EL SERVICIO DE LA SALUD Y BUENAS PRACTICAS EN PACIENTE ",IF(P160=CURSOS!$D$10,"CLINICA DE HERIDAS ",IF(P160=CURSOS!$D$11,"TOMA DE CITOLOGIA CERVICO VAGINAL ",IF(P160=CURSOS!$D$12,"SOPORTE CARDIOVASCULAR AVANZADO (ACLS) ",IF(P160=CURSOS!$D$13,"CAMILLERO ",IF(P160=CURSOS!$D$14,"TOMA DE MUESTRAS Y LABORATORIO ",IF(P160=CURSOS!$D$15,"SOPORTE VITAL BASICO (BLS)",IF(P160=CURSOS!$D$16,"ATENCION A VICTIMAS DE VIOLENCIA SEXUAL ",IF(P160=CURSOS!$D$17,"PROGRAMADO AMPLIADO DE INMUNIZACION (PAI - COVID 19)",IF(P160=CURSOS!$D$18,"ATENCION INTEGRAL EN ENFERMEDADES PREVALENTES EN PRIMERA INFANCIA (AIEPI)",IF(P160=CURSOS!$D$19,"ADMINISTRACION DE MEDICAMENTOS, INYECTOLOGIA  Y CANALIZACION ",IF(P160=CURSOS!$D$20,"OPERADOR DE VEHICULOS DE EMERGENCIA (OVE)",IF(P160=CURSOS!$D$21,"INSTITUCIONES AMIGAS DE LA MUJER Y LA INFANCIA (IAMI)",IF(P160=CURSOS!$D$22,"CUIDADO DEL DONANTE DE ORGANOS",IF(P160=CURSOS!$D$23,"ATENCION A VICTIMAS POR VIOLENCIA DE GENERO",IF(P160=CURSOS!$D$24,"IGUALDAD DE GENERO EN LA SALUD",IF(P160=CURSOS!$D$25,"BRIGADA DE EMERGENCIA",IF(P160=CURSOS!$D$26,"MANEJO DEL DOLOR Y CUIDADOS PALIATIVOS",IF(P160=CURSOS!$D$27,"TOMA DE MUESTRAS Y LABORATORIO POCT",IF(P160=CURSOS!$D$28,"IMPLANTE SUBDERMICO DE DISPOSITIVO INTRAUTERINO",IF(P160=CURSOS!$D$29,"SALUD MENTAL",IF(P160=CURSOS!$D$30,"PRIMEROS AUXILIOS PSICOLOGICOS",IF(P160=CURSOS!$D$31,"ATENCION A VICTIMAS POR CONFLICTO ARMADO",IF(P160=CURSOS!$D$32,"MANIPULACION DE ALIMENTOS Y BPM",IF(P160=CURSOS!$D$33,"ATENCION A PERSONAS CON DISCAPACIDAD",IF(P160=CURSOS!$D$34,"CUIDADO INTEGRAL DEL PACIENTE ADULTO",IF(P160=CURSOS!$D$35,"MANEJO DEFENSIVO",IF(P160=CURSOS!$D$36,"SOPORTE CARDIOVASCULAR AVANZADO NEONATAL",IF(P160=CURSOS!$D$37,"SEGURIDAD DEL PACIENTE",IF(P160=CURSOS!$D$38,"MANEJO DE RESIDUOS HOSPITALARIOS",IF(P160=CURSOS!$D$39,"ATENCION DE PACIENTE POR CONSUMO SUSTANCIAS PSICOACTIVAS Y ADICCIONES")))))))))))))))))))))))))))))))))))))</f>
        <v>0</v>
      </c>
      <c r="W160" s="44" t="str">
        <f t="shared" si="6"/>
        <v xml:space="preserve">   </v>
      </c>
      <c r="X160" s="44" t="str">
        <f t="shared" si="7"/>
        <v xml:space="preserve">   </v>
      </c>
      <c r="Y160" s="44" t="str">
        <f t="shared" si="8"/>
        <v xml:space="preserve">   --</v>
      </c>
    </row>
    <row r="161" spans="1:25" x14ac:dyDescent="0.2">
      <c r="A161" s="45">
        <v>160</v>
      </c>
      <c r="B161" s="46"/>
      <c r="C161" s="46"/>
      <c r="D161" s="46"/>
      <c r="E161" s="46"/>
      <c r="F161" s="46"/>
      <c r="G161" s="46"/>
      <c r="H161" s="46"/>
      <c r="I161" s="46"/>
      <c r="J161" s="47"/>
      <c r="M161" s="46"/>
      <c r="N161" s="46"/>
      <c r="O161" s="46"/>
      <c r="Q161" s="47"/>
      <c r="R161" s="46"/>
      <c r="S161" s="46"/>
      <c r="T161" s="46"/>
      <c r="U161" s="46"/>
      <c r="V161" s="44" t="b">
        <f>IF(P161=CURSOS!$D$3,"DIPLOMADO EN ATENCION PRE-HOSPITALARIA",IF(P161=CURSOS!$D$4,"ACOMPAÑAMIENTO Y MANEJO DEL DUELO",IF(P161=CURSOS!$D$5,"ATENCION A VICTIMAS DE ATAQUE CON AGENTES QUIMICOS ",IF(P161=CURSOS!$D$6,"PRIMEROS AUXILIOS ",IF(P161=CURSOS!$D$7,"DIPLOMADO DE UNIDAD DE CUIDADOS INTENSIVOS (UCI)",IF(P161=CURSOS!$D$8,"MODELO DE ATENCION PARA EVENTOS EMERGENTES EN SALUD MENTAL (CODIGO VERDE)",IF(P161=CURSOS!$D$9,"HUMANIZACION EN EL SERVICIO DE LA SALUD Y BUENAS PRACTICAS EN PACIENTE ",IF(P161=CURSOS!$D$10,"CLINICA DE HERIDAS ",IF(P161=CURSOS!$D$11,"TOMA DE CITOLOGIA CERVICO VAGINAL ",IF(P161=CURSOS!$D$12,"SOPORTE CARDIOVASCULAR AVANZADO (ACLS) ",IF(P161=CURSOS!$D$13,"CAMILLERO ",IF(P161=CURSOS!$D$14,"TOMA DE MUESTRAS Y LABORATORIO ",IF(P161=CURSOS!$D$15,"SOPORTE VITAL BASICO (BLS)",IF(P161=CURSOS!$D$16,"ATENCION A VICTIMAS DE VIOLENCIA SEXUAL ",IF(P161=CURSOS!$D$17,"PROGRAMADO AMPLIADO DE INMUNIZACION (PAI - COVID 19)",IF(P161=CURSOS!$D$18,"ATENCION INTEGRAL EN ENFERMEDADES PREVALENTES EN PRIMERA INFANCIA (AIEPI)",IF(P161=CURSOS!$D$19,"ADMINISTRACION DE MEDICAMENTOS, INYECTOLOGIA  Y CANALIZACION ",IF(P161=CURSOS!$D$20,"OPERADOR DE VEHICULOS DE EMERGENCIA (OVE)",IF(P161=CURSOS!$D$21,"INSTITUCIONES AMIGAS DE LA MUJER Y LA INFANCIA (IAMI)",IF(P161=CURSOS!$D$22,"CUIDADO DEL DONANTE DE ORGANOS",IF(P161=CURSOS!$D$23,"ATENCION A VICTIMAS POR VIOLENCIA DE GENERO",IF(P161=CURSOS!$D$24,"IGUALDAD DE GENERO EN LA SALUD",IF(P161=CURSOS!$D$25,"BRIGADA DE EMERGENCIA",IF(P161=CURSOS!$D$26,"MANEJO DEL DOLOR Y CUIDADOS PALIATIVOS",IF(P161=CURSOS!$D$27,"TOMA DE MUESTRAS Y LABORATORIO POCT",IF(P161=CURSOS!$D$28,"IMPLANTE SUBDERMICO DE DISPOSITIVO INTRAUTERINO",IF(P161=CURSOS!$D$29,"SALUD MENTAL",IF(P161=CURSOS!$D$30,"PRIMEROS AUXILIOS PSICOLOGICOS",IF(P161=CURSOS!$D$31,"ATENCION A VICTIMAS POR CONFLICTO ARMADO",IF(P161=CURSOS!$D$32,"MANIPULACION DE ALIMENTOS Y BPM",IF(P161=CURSOS!$D$33,"ATENCION A PERSONAS CON DISCAPACIDAD",IF(P161=CURSOS!$D$34,"CUIDADO INTEGRAL DEL PACIENTE ADULTO",IF(P161=CURSOS!$D$35,"MANEJO DEFENSIVO",IF(P161=CURSOS!$D$36,"SOPORTE CARDIOVASCULAR AVANZADO NEONATAL",IF(P161=CURSOS!$D$37,"SEGURIDAD DEL PACIENTE",IF(P161=CURSOS!$D$38,"MANEJO DE RESIDUOS HOSPITALARIOS",IF(P161=CURSOS!$D$39,"ATENCION DE PACIENTE POR CONSUMO SUSTANCIAS PSICOACTIVAS Y ADICCIONES")))))))))))))))))))))))))))))))))))))</f>
        <v>0</v>
      </c>
      <c r="W161" s="44" t="str">
        <f t="shared" si="6"/>
        <v xml:space="preserve">   </v>
      </c>
      <c r="X161" s="44" t="str">
        <f t="shared" si="7"/>
        <v xml:space="preserve">   </v>
      </c>
      <c r="Y161" s="44" t="str">
        <f t="shared" si="8"/>
        <v xml:space="preserve">   --</v>
      </c>
    </row>
    <row r="162" spans="1:25" x14ac:dyDescent="0.2">
      <c r="A162" s="45">
        <v>161</v>
      </c>
      <c r="B162" s="46"/>
      <c r="C162" s="46"/>
      <c r="D162" s="46"/>
      <c r="E162" s="46"/>
      <c r="F162" s="46"/>
      <c r="G162" s="46"/>
      <c r="H162" s="46"/>
      <c r="I162" s="46"/>
      <c r="J162" s="47"/>
      <c r="M162" s="46"/>
      <c r="N162" s="46"/>
      <c r="O162" s="46"/>
      <c r="Q162" s="47"/>
      <c r="R162" s="46"/>
      <c r="S162" s="46"/>
      <c r="T162" s="46"/>
      <c r="U162" s="46"/>
      <c r="V162" s="44" t="b">
        <f>IF(P162=CURSOS!$D$3,"DIPLOMADO EN ATENCION PRE-HOSPITALARIA",IF(P162=CURSOS!$D$4,"ACOMPAÑAMIENTO Y MANEJO DEL DUELO",IF(P162=CURSOS!$D$5,"ATENCION A VICTIMAS DE ATAQUE CON AGENTES QUIMICOS ",IF(P162=CURSOS!$D$6,"PRIMEROS AUXILIOS ",IF(P162=CURSOS!$D$7,"DIPLOMADO DE UNIDAD DE CUIDADOS INTENSIVOS (UCI)",IF(P162=CURSOS!$D$8,"MODELO DE ATENCION PARA EVENTOS EMERGENTES EN SALUD MENTAL (CODIGO VERDE)",IF(P162=CURSOS!$D$9,"HUMANIZACION EN EL SERVICIO DE LA SALUD Y BUENAS PRACTICAS EN PACIENTE ",IF(P162=CURSOS!$D$10,"CLINICA DE HERIDAS ",IF(P162=CURSOS!$D$11,"TOMA DE CITOLOGIA CERVICO VAGINAL ",IF(P162=CURSOS!$D$12,"SOPORTE CARDIOVASCULAR AVANZADO (ACLS) ",IF(P162=CURSOS!$D$13,"CAMILLERO ",IF(P162=CURSOS!$D$14,"TOMA DE MUESTRAS Y LABORATORIO ",IF(P162=CURSOS!$D$15,"SOPORTE VITAL BASICO (BLS)",IF(P162=CURSOS!$D$16,"ATENCION A VICTIMAS DE VIOLENCIA SEXUAL ",IF(P162=CURSOS!$D$17,"PROGRAMADO AMPLIADO DE INMUNIZACION (PAI - COVID 19)",IF(P162=CURSOS!$D$18,"ATENCION INTEGRAL EN ENFERMEDADES PREVALENTES EN PRIMERA INFANCIA (AIEPI)",IF(P162=CURSOS!$D$19,"ADMINISTRACION DE MEDICAMENTOS, INYECTOLOGIA  Y CANALIZACION ",IF(P162=CURSOS!$D$20,"OPERADOR DE VEHICULOS DE EMERGENCIA (OVE)",IF(P162=CURSOS!$D$21,"INSTITUCIONES AMIGAS DE LA MUJER Y LA INFANCIA (IAMI)",IF(P162=CURSOS!$D$22,"CUIDADO DEL DONANTE DE ORGANOS",IF(P162=CURSOS!$D$23,"ATENCION A VICTIMAS POR VIOLENCIA DE GENERO",IF(P162=CURSOS!$D$24,"IGUALDAD DE GENERO EN LA SALUD",IF(P162=CURSOS!$D$25,"BRIGADA DE EMERGENCIA",IF(P162=CURSOS!$D$26,"MANEJO DEL DOLOR Y CUIDADOS PALIATIVOS",IF(P162=CURSOS!$D$27,"TOMA DE MUESTRAS Y LABORATORIO POCT",IF(P162=CURSOS!$D$28,"IMPLANTE SUBDERMICO DE DISPOSITIVO INTRAUTERINO",IF(P162=CURSOS!$D$29,"SALUD MENTAL",IF(P162=CURSOS!$D$30,"PRIMEROS AUXILIOS PSICOLOGICOS",IF(P162=CURSOS!$D$31,"ATENCION A VICTIMAS POR CONFLICTO ARMADO",IF(P162=CURSOS!$D$32,"MANIPULACION DE ALIMENTOS Y BPM",IF(P162=CURSOS!$D$33,"ATENCION A PERSONAS CON DISCAPACIDAD",IF(P162=CURSOS!$D$34,"CUIDADO INTEGRAL DEL PACIENTE ADULTO",IF(P162=CURSOS!$D$35,"MANEJO DEFENSIVO",IF(P162=CURSOS!$D$36,"SOPORTE CARDIOVASCULAR AVANZADO NEONATAL",IF(P162=CURSOS!$D$37,"SEGURIDAD DEL PACIENTE",IF(P162=CURSOS!$D$38,"MANEJO DE RESIDUOS HOSPITALARIOS",IF(P162=CURSOS!$D$39,"ATENCION DE PACIENTE POR CONSUMO SUSTANCIAS PSICOACTIVAS Y ADICCIONES")))))))))))))))))))))))))))))))))))))</f>
        <v>0</v>
      </c>
      <c r="W162" s="44" t="str">
        <f t="shared" si="6"/>
        <v xml:space="preserve">   </v>
      </c>
      <c r="X162" s="44" t="str">
        <f t="shared" si="7"/>
        <v xml:space="preserve">   </v>
      </c>
      <c r="Y162" s="44" t="str">
        <f t="shared" si="8"/>
        <v xml:space="preserve">   --</v>
      </c>
    </row>
    <row r="163" spans="1:25" x14ac:dyDescent="0.2">
      <c r="A163" s="45">
        <v>162</v>
      </c>
      <c r="B163" s="46"/>
      <c r="C163" s="46"/>
      <c r="D163" s="46"/>
      <c r="E163" s="46"/>
      <c r="F163" s="46"/>
      <c r="G163" s="46"/>
      <c r="H163" s="46"/>
      <c r="I163" s="46"/>
      <c r="J163" s="47"/>
      <c r="M163" s="46"/>
      <c r="N163" s="46"/>
      <c r="O163" s="46"/>
      <c r="Q163" s="47"/>
      <c r="R163" s="46"/>
      <c r="S163" s="46"/>
      <c r="T163" s="46"/>
      <c r="U163" s="46"/>
      <c r="V163" s="44" t="b">
        <f>IF(P163=CURSOS!$D$3,"DIPLOMADO EN ATENCION PRE-HOSPITALARIA",IF(P163=CURSOS!$D$4,"ACOMPAÑAMIENTO Y MANEJO DEL DUELO",IF(P163=CURSOS!$D$5,"ATENCION A VICTIMAS DE ATAQUE CON AGENTES QUIMICOS ",IF(P163=CURSOS!$D$6,"PRIMEROS AUXILIOS ",IF(P163=CURSOS!$D$7,"DIPLOMADO DE UNIDAD DE CUIDADOS INTENSIVOS (UCI)",IF(P163=CURSOS!$D$8,"MODELO DE ATENCION PARA EVENTOS EMERGENTES EN SALUD MENTAL (CODIGO VERDE)",IF(P163=CURSOS!$D$9,"HUMANIZACION EN EL SERVICIO DE LA SALUD Y BUENAS PRACTICAS EN PACIENTE ",IF(P163=CURSOS!$D$10,"CLINICA DE HERIDAS ",IF(P163=CURSOS!$D$11,"TOMA DE CITOLOGIA CERVICO VAGINAL ",IF(P163=CURSOS!$D$12,"SOPORTE CARDIOVASCULAR AVANZADO (ACLS) ",IF(P163=CURSOS!$D$13,"CAMILLERO ",IF(P163=CURSOS!$D$14,"TOMA DE MUESTRAS Y LABORATORIO ",IF(P163=CURSOS!$D$15,"SOPORTE VITAL BASICO (BLS)",IF(P163=CURSOS!$D$16,"ATENCION A VICTIMAS DE VIOLENCIA SEXUAL ",IF(P163=CURSOS!$D$17,"PROGRAMADO AMPLIADO DE INMUNIZACION (PAI - COVID 19)",IF(P163=CURSOS!$D$18,"ATENCION INTEGRAL EN ENFERMEDADES PREVALENTES EN PRIMERA INFANCIA (AIEPI)",IF(P163=CURSOS!$D$19,"ADMINISTRACION DE MEDICAMENTOS, INYECTOLOGIA  Y CANALIZACION ",IF(P163=CURSOS!$D$20,"OPERADOR DE VEHICULOS DE EMERGENCIA (OVE)",IF(P163=CURSOS!$D$21,"INSTITUCIONES AMIGAS DE LA MUJER Y LA INFANCIA (IAMI)",IF(P163=CURSOS!$D$22,"CUIDADO DEL DONANTE DE ORGANOS",IF(P163=CURSOS!$D$23,"ATENCION A VICTIMAS POR VIOLENCIA DE GENERO",IF(P163=CURSOS!$D$24,"IGUALDAD DE GENERO EN LA SALUD",IF(P163=CURSOS!$D$25,"BRIGADA DE EMERGENCIA",IF(P163=CURSOS!$D$26,"MANEJO DEL DOLOR Y CUIDADOS PALIATIVOS",IF(P163=CURSOS!$D$27,"TOMA DE MUESTRAS Y LABORATORIO POCT",IF(P163=CURSOS!$D$28,"IMPLANTE SUBDERMICO DE DISPOSITIVO INTRAUTERINO",IF(P163=CURSOS!$D$29,"SALUD MENTAL",IF(P163=CURSOS!$D$30,"PRIMEROS AUXILIOS PSICOLOGICOS",IF(P163=CURSOS!$D$31,"ATENCION A VICTIMAS POR CONFLICTO ARMADO",IF(P163=CURSOS!$D$32,"MANIPULACION DE ALIMENTOS Y BPM",IF(P163=CURSOS!$D$33,"ATENCION A PERSONAS CON DISCAPACIDAD",IF(P163=CURSOS!$D$34,"CUIDADO INTEGRAL DEL PACIENTE ADULTO",IF(P163=CURSOS!$D$35,"MANEJO DEFENSIVO",IF(P163=CURSOS!$D$36,"SOPORTE CARDIOVASCULAR AVANZADO NEONATAL",IF(P163=CURSOS!$D$37,"SEGURIDAD DEL PACIENTE",IF(P163=CURSOS!$D$38,"MANEJO DE RESIDUOS HOSPITALARIOS",IF(P163=CURSOS!$D$39,"ATENCION DE PACIENTE POR CONSUMO SUSTANCIAS PSICOACTIVAS Y ADICCIONES")))))))))))))))))))))))))))))))))))))</f>
        <v>0</v>
      </c>
      <c r="W163" s="44" t="str">
        <f t="shared" ref="W163:W226" si="9">CONCATENATE(E163," ",F163," ",C163," ",D163)</f>
        <v xml:space="preserve">   </v>
      </c>
      <c r="X163" s="44" t="str">
        <f t="shared" ref="X163:X226" si="10">PROPER(W163)</f>
        <v xml:space="preserve">   </v>
      </c>
      <c r="Y163" s="44" t="str">
        <f t="shared" ref="Y163:Y226" si="11">CONCATENATE(W163,"-",B163,"-",P163)</f>
        <v xml:space="preserve">   --</v>
      </c>
    </row>
    <row r="164" spans="1:25" x14ac:dyDescent="0.2">
      <c r="A164" s="45">
        <v>163</v>
      </c>
      <c r="B164" s="46"/>
      <c r="C164" s="46"/>
      <c r="D164" s="46"/>
      <c r="E164" s="46"/>
      <c r="F164" s="46"/>
      <c r="G164" s="46"/>
      <c r="H164" s="46"/>
      <c r="I164" s="46"/>
      <c r="J164" s="47"/>
      <c r="M164" s="46"/>
      <c r="N164" s="46"/>
      <c r="O164" s="46"/>
      <c r="Q164" s="47"/>
      <c r="R164" s="46"/>
      <c r="S164" s="46"/>
      <c r="T164" s="46"/>
      <c r="U164" s="46"/>
      <c r="V164" s="44" t="b">
        <f>IF(P164=CURSOS!$D$3,"DIPLOMADO EN ATENCION PRE-HOSPITALARIA",IF(P164=CURSOS!$D$4,"ACOMPAÑAMIENTO Y MANEJO DEL DUELO",IF(P164=CURSOS!$D$5,"ATENCION A VICTIMAS DE ATAQUE CON AGENTES QUIMICOS ",IF(P164=CURSOS!$D$6,"PRIMEROS AUXILIOS ",IF(P164=CURSOS!$D$7,"DIPLOMADO DE UNIDAD DE CUIDADOS INTENSIVOS (UCI)",IF(P164=CURSOS!$D$8,"MODELO DE ATENCION PARA EVENTOS EMERGENTES EN SALUD MENTAL (CODIGO VERDE)",IF(P164=CURSOS!$D$9,"HUMANIZACION EN EL SERVICIO DE LA SALUD Y BUENAS PRACTICAS EN PACIENTE ",IF(P164=CURSOS!$D$10,"CLINICA DE HERIDAS ",IF(P164=CURSOS!$D$11,"TOMA DE CITOLOGIA CERVICO VAGINAL ",IF(P164=CURSOS!$D$12,"SOPORTE CARDIOVASCULAR AVANZADO (ACLS) ",IF(P164=CURSOS!$D$13,"CAMILLERO ",IF(P164=CURSOS!$D$14,"TOMA DE MUESTRAS Y LABORATORIO ",IF(P164=CURSOS!$D$15,"SOPORTE VITAL BASICO (BLS)",IF(P164=CURSOS!$D$16,"ATENCION A VICTIMAS DE VIOLENCIA SEXUAL ",IF(P164=CURSOS!$D$17,"PROGRAMADO AMPLIADO DE INMUNIZACION (PAI - COVID 19)",IF(P164=CURSOS!$D$18,"ATENCION INTEGRAL EN ENFERMEDADES PREVALENTES EN PRIMERA INFANCIA (AIEPI)",IF(P164=CURSOS!$D$19,"ADMINISTRACION DE MEDICAMENTOS, INYECTOLOGIA  Y CANALIZACION ",IF(P164=CURSOS!$D$20,"OPERADOR DE VEHICULOS DE EMERGENCIA (OVE)",IF(P164=CURSOS!$D$21,"INSTITUCIONES AMIGAS DE LA MUJER Y LA INFANCIA (IAMI)",IF(P164=CURSOS!$D$22,"CUIDADO DEL DONANTE DE ORGANOS",IF(P164=CURSOS!$D$23,"ATENCION A VICTIMAS POR VIOLENCIA DE GENERO",IF(P164=CURSOS!$D$24,"IGUALDAD DE GENERO EN LA SALUD",IF(P164=CURSOS!$D$25,"BRIGADA DE EMERGENCIA",IF(P164=CURSOS!$D$26,"MANEJO DEL DOLOR Y CUIDADOS PALIATIVOS",IF(P164=CURSOS!$D$27,"TOMA DE MUESTRAS Y LABORATORIO POCT",IF(P164=CURSOS!$D$28,"IMPLANTE SUBDERMICO DE DISPOSITIVO INTRAUTERINO",IF(P164=CURSOS!$D$29,"SALUD MENTAL",IF(P164=CURSOS!$D$30,"PRIMEROS AUXILIOS PSICOLOGICOS",IF(P164=CURSOS!$D$31,"ATENCION A VICTIMAS POR CONFLICTO ARMADO",IF(P164=CURSOS!$D$32,"MANIPULACION DE ALIMENTOS Y BPM",IF(P164=CURSOS!$D$33,"ATENCION A PERSONAS CON DISCAPACIDAD",IF(P164=CURSOS!$D$34,"CUIDADO INTEGRAL DEL PACIENTE ADULTO",IF(P164=CURSOS!$D$35,"MANEJO DEFENSIVO",IF(P164=CURSOS!$D$36,"SOPORTE CARDIOVASCULAR AVANZADO NEONATAL",IF(P164=CURSOS!$D$37,"SEGURIDAD DEL PACIENTE",IF(P164=CURSOS!$D$38,"MANEJO DE RESIDUOS HOSPITALARIOS",IF(P164=CURSOS!$D$39,"ATENCION DE PACIENTE POR CONSUMO SUSTANCIAS PSICOACTIVAS Y ADICCIONES")))))))))))))))))))))))))))))))))))))</f>
        <v>0</v>
      </c>
      <c r="W164" s="44" t="str">
        <f t="shared" si="9"/>
        <v xml:space="preserve">   </v>
      </c>
      <c r="X164" s="44" t="str">
        <f t="shared" si="10"/>
        <v xml:space="preserve">   </v>
      </c>
      <c r="Y164" s="44" t="str">
        <f t="shared" si="11"/>
        <v xml:space="preserve">   --</v>
      </c>
    </row>
    <row r="165" spans="1:25" x14ac:dyDescent="0.2">
      <c r="A165" s="45">
        <v>164</v>
      </c>
      <c r="B165" s="46"/>
      <c r="C165" s="46"/>
      <c r="D165" s="46"/>
      <c r="E165" s="46"/>
      <c r="F165" s="46"/>
      <c r="G165" s="46"/>
      <c r="H165" s="46"/>
      <c r="I165" s="46"/>
      <c r="J165" s="47"/>
      <c r="M165" s="46"/>
      <c r="N165" s="46"/>
      <c r="O165" s="46"/>
      <c r="Q165" s="47"/>
      <c r="R165" s="46"/>
      <c r="S165" s="53"/>
      <c r="T165" s="46"/>
      <c r="U165" s="46"/>
      <c r="V165" s="44" t="b">
        <f>IF(P165=CURSOS!$D$3,"DIPLOMADO EN ATENCION PRE-HOSPITALARIA",IF(P165=CURSOS!$D$4,"ACOMPAÑAMIENTO Y MANEJO DEL DUELO",IF(P165=CURSOS!$D$5,"ATENCION A VICTIMAS DE ATAQUE CON AGENTES QUIMICOS ",IF(P165=CURSOS!$D$6,"PRIMEROS AUXILIOS ",IF(P165=CURSOS!$D$7,"DIPLOMADO DE UNIDAD DE CUIDADOS INTENSIVOS (UCI)",IF(P165=CURSOS!$D$8,"MODELO DE ATENCION PARA EVENTOS EMERGENTES EN SALUD MENTAL (CODIGO VERDE)",IF(P165=CURSOS!$D$9,"HUMANIZACION EN EL SERVICIO DE LA SALUD Y BUENAS PRACTICAS EN PACIENTE ",IF(P165=CURSOS!$D$10,"CLINICA DE HERIDAS ",IF(P165=CURSOS!$D$11,"TOMA DE CITOLOGIA CERVICO VAGINAL ",IF(P165=CURSOS!$D$12,"SOPORTE CARDIOVASCULAR AVANZADO (ACLS) ",IF(P165=CURSOS!$D$13,"CAMILLERO ",IF(P165=CURSOS!$D$14,"TOMA DE MUESTRAS Y LABORATORIO ",IF(P165=CURSOS!$D$15,"SOPORTE VITAL BASICO (BLS)",IF(P165=CURSOS!$D$16,"ATENCION A VICTIMAS DE VIOLENCIA SEXUAL ",IF(P165=CURSOS!$D$17,"PROGRAMADO AMPLIADO DE INMUNIZACION (PAI - COVID 19)",IF(P165=CURSOS!$D$18,"ATENCION INTEGRAL EN ENFERMEDADES PREVALENTES EN PRIMERA INFANCIA (AIEPI)",IF(P165=CURSOS!$D$19,"ADMINISTRACION DE MEDICAMENTOS, INYECTOLOGIA  Y CANALIZACION ",IF(P165=CURSOS!$D$20,"OPERADOR DE VEHICULOS DE EMERGENCIA (OVE)",IF(P165=CURSOS!$D$21,"INSTITUCIONES AMIGAS DE LA MUJER Y LA INFANCIA (IAMI)",IF(P165=CURSOS!$D$22,"CUIDADO DEL DONANTE DE ORGANOS",IF(P165=CURSOS!$D$23,"ATENCION A VICTIMAS POR VIOLENCIA DE GENERO",IF(P165=CURSOS!$D$24,"IGUALDAD DE GENERO EN LA SALUD",IF(P165=CURSOS!$D$25,"BRIGADA DE EMERGENCIA",IF(P165=CURSOS!$D$26,"MANEJO DEL DOLOR Y CUIDADOS PALIATIVOS",IF(P165=CURSOS!$D$27,"TOMA DE MUESTRAS Y LABORATORIO POCT",IF(P165=CURSOS!$D$28,"IMPLANTE SUBDERMICO DE DISPOSITIVO INTRAUTERINO",IF(P165=CURSOS!$D$29,"SALUD MENTAL",IF(P165=CURSOS!$D$30,"PRIMEROS AUXILIOS PSICOLOGICOS",IF(P165=CURSOS!$D$31,"ATENCION A VICTIMAS POR CONFLICTO ARMADO",IF(P165=CURSOS!$D$32,"MANIPULACION DE ALIMENTOS Y BPM",IF(P165=CURSOS!$D$33,"ATENCION A PERSONAS CON DISCAPACIDAD",IF(P165=CURSOS!$D$34,"CUIDADO INTEGRAL DEL PACIENTE ADULTO",IF(P165=CURSOS!$D$35,"MANEJO DEFENSIVO",IF(P165=CURSOS!$D$36,"SOPORTE CARDIOVASCULAR AVANZADO NEONATAL",IF(P165=CURSOS!$D$37,"SEGURIDAD DEL PACIENTE",IF(P165=CURSOS!$D$38,"MANEJO DE RESIDUOS HOSPITALARIOS",IF(P165=CURSOS!$D$39,"ATENCION DE PACIENTE POR CONSUMO SUSTANCIAS PSICOACTIVAS Y ADICCIONES")))))))))))))))))))))))))))))))))))))</f>
        <v>0</v>
      </c>
      <c r="W165" s="44" t="str">
        <f t="shared" si="9"/>
        <v xml:space="preserve">   </v>
      </c>
      <c r="X165" s="44" t="str">
        <f t="shared" si="10"/>
        <v xml:space="preserve">   </v>
      </c>
      <c r="Y165" s="44" t="str">
        <f t="shared" si="11"/>
        <v xml:space="preserve">   --</v>
      </c>
    </row>
    <row r="166" spans="1:25" x14ac:dyDescent="0.2">
      <c r="A166" s="45">
        <v>165</v>
      </c>
      <c r="J166" s="47"/>
      <c r="Q166" s="47"/>
      <c r="S166" s="54"/>
      <c r="U166" s="46"/>
      <c r="V166" s="44" t="b">
        <f>IF(P166=CURSOS!$D$3,"DIPLOMADO EN ATENCION PRE-HOSPITALARIA",IF(P166=CURSOS!$D$4,"ACOMPAÑAMIENTO Y MANEJO DEL DUELO",IF(P166=CURSOS!$D$5,"ATENCION A VICTIMAS DE ATAQUE CON AGENTES QUIMICOS ",IF(P166=CURSOS!$D$6,"PRIMEROS AUXILIOS ",IF(P166=CURSOS!$D$7,"DIPLOMADO DE UNIDAD DE CUIDADOS INTENSIVOS (UCI)",IF(P166=CURSOS!$D$8,"MODELO DE ATENCION PARA EVENTOS EMERGENTES EN SALUD MENTAL (CODIGO VERDE)",IF(P166=CURSOS!$D$9,"HUMANIZACION EN EL SERVICIO DE LA SALUD Y BUENAS PRACTICAS EN PACIENTE ",IF(P166=CURSOS!$D$10,"CLINICA DE HERIDAS ",IF(P166=CURSOS!$D$11,"TOMA DE CITOLOGIA CERVICO VAGINAL ",IF(P166=CURSOS!$D$12,"SOPORTE CARDIOVASCULAR AVANZADO (ACLS) ",IF(P166=CURSOS!$D$13,"CAMILLERO ",IF(P166=CURSOS!$D$14,"TOMA DE MUESTRAS Y LABORATORIO ",IF(P166=CURSOS!$D$15,"SOPORTE VITAL BASICO (BLS)",IF(P166=CURSOS!$D$16,"ATENCION A VICTIMAS DE VIOLENCIA SEXUAL ",IF(P166=CURSOS!$D$17,"PROGRAMADO AMPLIADO DE INMUNIZACION (PAI - COVID 19)",IF(P166=CURSOS!$D$18,"ATENCION INTEGRAL EN ENFERMEDADES PREVALENTES EN PRIMERA INFANCIA (AIEPI)",IF(P166=CURSOS!$D$19,"ADMINISTRACION DE MEDICAMENTOS, INYECTOLOGIA  Y CANALIZACION ",IF(P166=CURSOS!$D$20,"OPERADOR DE VEHICULOS DE EMERGENCIA (OVE)",IF(P166=CURSOS!$D$21,"INSTITUCIONES AMIGAS DE LA MUJER Y LA INFANCIA (IAMI)",IF(P166=CURSOS!$D$22,"CUIDADO DEL DONANTE DE ORGANOS",IF(P166=CURSOS!$D$23,"ATENCION A VICTIMAS POR VIOLENCIA DE GENERO",IF(P166=CURSOS!$D$24,"IGUALDAD DE GENERO EN LA SALUD",IF(P166=CURSOS!$D$25,"BRIGADA DE EMERGENCIA",IF(P166=CURSOS!$D$26,"MANEJO DEL DOLOR Y CUIDADOS PALIATIVOS",IF(P166=CURSOS!$D$27,"TOMA DE MUESTRAS Y LABORATORIO POCT",IF(P166=CURSOS!$D$28,"IMPLANTE SUBDERMICO DE DISPOSITIVO INTRAUTERINO",IF(P166=CURSOS!$D$29,"SALUD MENTAL",IF(P166=CURSOS!$D$30,"PRIMEROS AUXILIOS PSICOLOGICOS",IF(P166=CURSOS!$D$31,"ATENCION A VICTIMAS POR CONFLICTO ARMADO",IF(P166=CURSOS!$D$32,"MANIPULACION DE ALIMENTOS Y BPM",IF(P166=CURSOS!$D$33,"ATENCION A PERSONAS CON DISCAPACIDAD",IF(P166=CURSOS!$D$34,"CUIDADO INTEGRAL DEL PACIENTE ADULTO",IF(P166=CURSOS!$D$35,"MANEJO DEFENSIVO",IF(P166=CURSOS!$D$36,"SOPORTE CARDIOVASCULAR AVANZADO NEONATAL",IF(P166=CURSOS!$D$37,"SEGURIDAD DEL PACIENTE",IF(P166=CURSOS!$D$38,"MANEJO DE RESIDUOS HOSPITALARIOS",IF(P166=CURSOS!$D$39,"ATENCION DE PACIENTE POR CONSUMO SUSTANCIAS PSICOACTIVAS Y ADICCIONES")))))))))))))))))))))))))))))))))))))</f>
        <v>0</v>
      </c>
      <c r="W166" s="44" t="str">
        <f t="shared" si="9"/>
        <v xml:space="preserve">   </v>
      </c>
      <c r="X166" s="44" t="str">
        <f t="shared" si="10"/>
        <v xml:space="preserve">   </v>
      </c>
      <c r="Y166" s="44" t="str">
        <f t="shared" si="11"/>
        <v xml:space="preserve">   --</v>
      </c>
    </row>
    <row r="167" spans="1:25" x14ac:dyDescent="0.2">
      <c r="A167" s="45">
        <v>166</v>
      </c>
      <c r="J167" s="47"/>
      <c r="Q167" s="47"/>
      <c r="S167" s="54"/>
      <c r="U167" s="46"/>
      <c r="V167" s="44" t="b">
        <f>IF(P167=CURSOS!$D$3,"DIPLOMADO EN ATENCION PRE-HOSPITALARIA",IF(P167=CURSOS!$D$4,"ACOMPAÑAMIENTO Y MANEJO DEL DUELO",IF(P167=CURSOS!$D$5,"ATENCION A VICTIMAS DE ATAQUE CON AGENTES QUIMICOS ",IF(P167=CURSOS!$D$6,"PRIMEROS AUXILIOS ",IF(P167=CURSOS!$D$7,"DIPLOMADO DE UNIDAD DE CUIDADOS INTENSIVOS (UCI)",IF(P167=CURSOS!$D$8,"MODELO DE ATENCION PARA EVENTOS EMERGENTES EN SALUD MENTAL (CODIGO VERDE)",IF(P167=CURSOS!$D$9,"HUMANIZACION EN EL SERVICIO DE LA SALUD Y BUENAS PRACTICAS EN PACIENTE ",IF(P167=CURSOS!$D$10,"CLINICA DE HERIDAS ",IF(P167=CURSOS!$D$11,"TOMA DE CITOLOGIA CERVICO VAGINAL ",IF(P167=CURSOS!$D$12,"SOPORTE CARDIOVASCULAR AVANZADO (ACLS) ",IF(P167=CURSOS!$D$13,"CAMILLERO ",IF(P167=CURSOS!$D$14,"TOMA DE MUESTRAS Y LABORATORIO ",IF(P167=CURSOS!$D$15,"SOPORTE VITAL BASICO (BLS)",IF(P167=CURSOS!$D$16,"ATENCION A VICTIMAS DE VIOLENCIA SEXUAL ",IF(P167=CURSOS!$D$17,"PROGRAMADO AMPLIADO DE INMUNIZACION (PAI - COVID 19)",IF(P167=CURSOS!$D$18,"ATENCION INTEGRAL EN ENFERMEDADES PREVALENTES EN PRIMERA INFANCIA (AIEPI)",IF(P167=CURSOS!$D$19,"ADMINISTRACION DE MEDICAMENTOS, INYECTOLOGIA  Y CANALIZACION ",IF(P167=CURSOS!$D$20,"OPERADOR DE VEHICULOS DE EMERGENCIA (OVE)",IF(P167=CURSOS!$D$21,"INSTITUCIONES AMIGAS DE LA MUJER Y LA INFANCIA (IAMI)",IF(P167=CURSOS!$D$22,"CUIDADO DEL DONANTE DE ORGANOS",IF(P167=CURSOS!$D$23,"ATENCION A VICTIMAS POR VIOLENCIA DE GENERO",IF(P167=CURSOS!$D$24,"IGUALDAD DE GENERO EN LA SALUD",IF(P167=CURSOS!$D$25,"BRIGADA DE EMERGENCIA",IF(P167=CURSOS!$D$26,"MANEJO DEL DOLOR Y CUIDADOS PALIATIVOS",IF(P167=CURSOS!$D$27,"TOMA DE MUESTRAS Y LABORATORIO POCT",IF(P167=CURSOS!$D$28,"IMPLANTE SUBDERMICO DE DISPOSITIVO INTRAUTERINO",IF(P167=CURSOS!$D$29,"SALUD MENTAL",IF(P167=CURSOS!$D$30,"PRIMEROS AUXILIOS PSICOLOGICOS",IF(P167=CURSOS!$D$31,"ATENCION A VICTIMAS POR CONFLICTO ARMADO",IF(P167=CURSOS!$D$32,"MANIPULACION DE ALIMENTOS Y BPM",IF(P167=CURSOS!$D$33,"ATENCION A PERSONAS CON DISCAPACIDAD",IF(P167=CURSOS!$D$34,"CUIDADO INTEGRAL DEL PACIENTE ADULTO",IF(P167=CURSOS!$D$35,"MANEJO DEFENSIVO",IF(P167=CURSOS!$D$36,"SOPORTE CARDIOVASCULAR AVANZADO NEONATAL",IF(P167=CURSOS!$D$37,"SEGURIDAD DEL PACIENTE",IF(P167=CURSOS!$D$38,"MANEJO DE RESIDUOS HOSPITALARIOS",IF(P167=CURSOS!$D$39,"ATENCION DE PACIENTE POR CONSUMO SUSTANCIAS PSICOACTIVAS Y ADICCIONES")))))))))))))))))))))))))))))))))))))</f>
        <v>0</v>
      </c>
      <c r="W167" s="44" t="str">
        <f t="shared" si="9"/>
        <v xml:space="preserve">   </v>
      </c>
      <c r="X167" s="44" t="str">
        <f t="shared" si="10"/>
        <v xml:space="preserve">   </v>
      </c>
      <c r="Y167" s="44" t="str">
        <f t="shared" si="11"/>
        <v xml:space="preserve">   --</v>
      </c>
    </row>
    <row r="168" spans="1:25" x14ac:dyDescent="0.2">
      <c r="A168" s="45">
        <v>167</v>
      </c>
      <c r="J168" s="47"/>
      <c r="Q168" s="47"/>
      <c r="S168" s="54"/>
      <c r="U168" s="46"/>
      <c r="V168" s="44" t="b">
        <f>IF(P168=CURSOS!$D$3,"DIPLOMADO EN ATENCION PRE-HOSPITALARIA",IF(P168=CURSOS!$D$4,"ACOMPAÑAMIENTO Y MANEJO DEL DUELO",IF(P168=CURSOS!$D$5,"ATENCION A VICTIMAS DE ATAQUE CON AGENTES QUIMICOS ",IF(P168=CURSOS!$D$6,"PRIMEROS AUXILIOS ",IF(P168=CURSOS!$D$7,"DIPLOMADO DE UNIDAD DE CUIDADOS INTENSIVOS (UCI)",IF(P168=CURSOS!$D$8,"MODELO DE ATENCION PARA EVENTOS EMERGENTES EN SALUD MENTAL (CODIGO VERDE)",IF(P168=CURSOS!$D$9,"HUMANIZACION EN EL SERVICIO DE LA SALUD Y BUENAS PRACTICAS EN PACIENTE ",IF(P168=CURSOS!$D$10,"CLINICA DE HERIDAS ",IF(P168=CURSOS!$D$11,"TOMA DE CITOLOGIA CERVICO VAGINAL ",IF(P168=CURSOS!$D$12,"SOPORTE CARDIOVASCULAR AVANZADO (ACLS) ",IF(P168=CURSOS!$D$13,"CAMILLERO ",IF(P168=CURSOS!$D$14,"TOMA DE MUESTRAS Y LABORATORIO ",IF(P168=CURSOS!$D$15,"SOPORTE VITAL BASICO (BLS)",IF(P168=CURSOS!$D$16,"ATENCION A VICTIMAS DE VIOLENCIA SEXUAL ",IF(P168=CURSOS!$D$17,"PROGRAMADO AMPLIADO DE INMUNIZACION (PAI - COVID 19)",IF(P168=CURSOS!$D$18,"ATENCION INTEGRAL EN ENFERMEDADES PREVALENTES EN PRIMERA INFANCIA (AIEPI)",IF(P168=CURSOS!$D$19,"ADMINISTRACION DE MEDICAMENTOS, INYECTOLOGIA  Y CANALIZACION ",IF(P168=CURSOS!$D$20,"OPERADOR DE VEHICULOS DE EMERGENCIA (OVE)",IF(P168=CURSOS!$D$21,"INSTITUCIONES AMIGAS DE LA MUJER Y LA INFANCIA (IAMI)",IF(P168=CURSOS!$D$22,"CUIDADO DEL DONANTE DE ORGANOS",IF(P168=CURSOS!$D$23,"ATENCION A VICTIMAS POR VIOLENCIA DE GENERO",IF(P168=CURSOS!$D$24,"IGUALDAD DE GENERO EN LA SALUD",IF(P168=CURSOS!$D$25,"BRIGADA DE EMERGENCIA",IF(P168=CURSOS!$D$26,"MANEJO DEL DOLOR Y CUIDADOS PALIATIVOS",IF(P168=CURSOS!$D$27,"TOMA DE MUESTRAS Y LABORATORIO POCT",IF(P168=CURSOS!$D$28,"IMPLANTE SUBDERMICO DE DISPOSITIVO INTRAUTERINO",IF(P168=CURSOS!$D$29,"SALUD MENTAL",IF(P168=CURSOS!$D$30,"PRIMEROS AUXILIOS PSICOLOGICOS",IF(P168=CURSOS!$D$31,"ATENCION A VICTIMAS POR CONFLICTO ARMADO",IF(P168=CURSOS!$D$32,"MANIPULACION DE ALIMENTOS Y BPM",IF(P168=CURSOS!$D$33,"ATENCION A PERSONAS CON DISCAPACIDAD",IF(P168=CURSOS!$D$34,"CUIDADO INTEGRAL DEL PACIENTE ADULTO",IF(P168=CURSOS!$D$35,"MANEJO DEFENSIVO",IF(P168=CURSOS!$D$36,"SOPORTE CARDIOVASCULAR AVANZADO NEONATAL",IF(P168=CURSOS!$D$37,"SEGURIDAD DEL PACIENTE",IF(P168=CURSOS!$D$38,"MANEJO DE RESIDUOS HOSPITALARIOS",IF(P168=CURSOS!$D$39,"ATENCION DE PACIENTE POR CONSUMO SUSTANCIAS PSICOACTIVAS Y ADICCIONES")))))))))))))))))))))))))))))))))))))</f>
        <v>0</v>
      </c>
      <c r="W168" s="44" t="str">
        <f t="shared" si="9"/>
        <v xml:space="preserve">   </v>
      </c>
      <c r="X168" s="44" t="str">
        <f t="shared" si="10"/>
        <v xml:space="preserve">   </v>
      </c>
      <c r="Y168" s="44" t="str">
        <f t="shared" si="11"/>
        <v xml:space="preserve">   --</v>
      </c>
    </row>
    <row r="169" spans="1:25" x14ac:dyDescent="0.2">
      <c r="A169" s="45">
        <v>168</v>
      </c>
      <c r="J169" s="47"/>
      <c r="Q169" s="47"/>
      <c r="S169" s="54"/>
      <c r="U169" s="46"/>
      <c r="V169" s="44" t="b">
        <f>IF(P169=CURSOS!$D$3,"DIPLOMADO EN ATENCION PRE-HOSPITALARIA",IF(P169=CURSOS!$D$4,"ACOMPAÑAMIENTO Y MANEJO DEL DUELO",IF(P169=CURSOS!$D$5,"ATENCION A VICTIMAS DE ATAQUE CON AGENTES QUIMICOS ",IF(P169=CURSOS!$D$6,"PRIMEROS AUXILIOS ",IF(P169=CURSOS!$D$7,"DIPLOMADO DE UNIDAD DE CUIDADOS INTENSIVOS (UCI)",IF(P169=CURSOS!$D$8,"MODELO DE ATENCION PARA EVENTOS EMERGENTES EN SALUD MENTAL (CODIGO VERDE)",IF(P169=CURSOS!$D$9,"HUMANIZACION EN EL SERVICIO DE LA SALUD Y BUENAS PRACTICAS EN PACIENTE ",IF(P169=CURSOS!$D$10,"CLINICA DE HERIDAS ",IF(P169=CURSOS!$D$11,"TOMA DE CITOLOGIA CERVICO VAGINAL ",IF(P169=CURSOS!$D$12,"SOPORTE CARDIOVASCULAR AVANZADO (ACLS) ",IF(P169=CURSOS!$D$13,"CAMILLERO ",IF(P169=CURSOS!$D$14,"TOMA DE MUESTRAS Y LABORATORIO ",IF(P169=CURSOS!$D$15,"SOPORTE VITAL BASICO (BLS)",IF(P169=CURSOS!$D$16,"ATENCION A VICTIMAS DE VIOLENCIA SEXUAL ",IF(P169=CURSOS!$D$17,"PROGRAMADO AMPLIADO DE INMUNIZACION (PAI - COVID 19)",IF(P169=CURSOS!$D$18,"ATENCION INTEGRAL EN ENFERMEDADES PREVALENTES EN PRIMERA INFANCIA (AIEPI)",IF(P169=CURSOS!$D$19,"ADMINISTRACION DE MEDICAMENTOS, INYECTOLOGIA  Y CANALIZACION ",IF(P169=CURSOS!$D$20,"OPERADOR DE VEHICULOS DE EMERGENCIA (OVE)",IF(P169=CURSOS!$D$21,"INSTITUCIONES AMIGAS DE LA MUJER Y LA INFANCIA (IAMI)",IF(P169=CURSOS!$D$22,"CUIDADO DEL DONANTE DE ORGANOS",IF(P169=CURSOS!$D$23,"ATENCION A VICTIMAS POR VIOLENCIA DE GENERO",IF(P169=CURSOS!$D$24,"IGUALDAD DE GENERO EN LA SALUD",IF(P169=CURSOS!$D$25,"BRIGADA DE EMERGENCIA",IF(P169=CURSOS!$D$26,"MANEJO DEL DOLOR Y CUIDADOS PALIATIVOS",IF(P169=CURSOS!$D$27,"TOMA DE MUESTRAS Y LABORATORIO POCT",IF(P169=CURSOS!$D$28,"IMPLANTE SUBDERMICO DE DISPOSITIVO INTRAUTERINO",IF(P169=CURSOS!$D$29,"SALUD MENTAL",IF(P169=CURSOS!$D$30,"PRIMEROS AUXILIOS PSICOLOGICOS",IF(P169=CURSOS!$D$31,"ATENCION A VICTIMAS POR CONFLICTO ARMADO",IF(P169=CURSOS!$D$32,"MANIPULACION DE ALIMENTOS Y BPM",IF(P169=CURSOS!$D$33,"ATENCION A PERSONAS CON DISCAPACIDAD",IF(P169=CURSOS!$D$34,"CUIDADO INTEGRAL DEL PACIENTE ADULTO",IF(P169=CURSOS!$D$35,"MANEJO DEFENSIVO",IF(P169=CURSOS!$D$36,"SOPORTE CARDIOVASCULAR AVANZADO NEONATAL",IF(P169=CURSOS!$D$37,"SEGURIDAD DEL PACIENTE",IF(P169=CURSOS!$D$38,"MANEJO DE RESIDUOS HOSPITALARIOS",IF(P169=CURSOS!$D$39,"ATENCION DE PACIENTE POR CONSUMO SUSTANCIAS PSICOACTIVAS Y ADICCIONES")))))))))))))))))))))))))))))))))))))</f>
        <v>0</v>
      </c>
      <c r="W169" s="44" t="str">
        <f t="shared" si="9"/>
        <v xml:space="preserve">   </v>
      </c>
      <c r="X169" s="44" t="str">
        <f t="shared" si="10"/>
        <v xml:space="preserve">   </v>
      </c>
      <c r="Y169" s="44" t="str">
        <f t="shared" si="11"/>
        <v xml:space="preserve">   --</v>
      </c>
    </row>
    <row r="170" spans="1:25" x14ac:dyDescent="0.2">
      <c r="A170" s="45">
        <v>169</v>
      </c>
      <c r="J170" s="47"/>
      <c r="Q170" s="47"/>
      <c r="S170" s="54"/>
      <c r="U170" s="46"/>
      <c r="V170" s="44" t="b">
        <f>IF(P170=CURSOS!$D$3,"DIPLOMADO EN ATENCION PRE-HOSPITALARIA",IF(P170=CURSOS!$D$4,"ACOMPAÑAMIENTO Y MANEJO DEL DUELO",IF(P170=CURSOS!$D$5,"ATENCION A VICTIMAS DE ATAQUE CON AGENTES QUIMICOS ",IF(P170=CURSOS!$D$6,"PRIMEROS AUXILIOS ",IF(P170=CURSOS!$D$7,"DIPLOMADO DE UNIDAD DE CUIDADOS INTENSIVOS (UCI)",IF(P170=CURSOS!$D$8,"MODELO DE ATENCION PARA EVENTOS EMERGENTES EN SALUD MENTAL (CODIGO VERDE)",IF(P170=CURSOS!$D$9,"HUMANIZACION EN EL SERVICIO DE LA SALUD Y BUENAS PRACTICAS EN PACIENTE ",IF(P170=CURSOS!$D$10,"CLINICA DE HERIDAS ",IF(P170=CURSOS!$D$11,"TOMA DE CITOLOGIA CERVICO VAGINAL ",IF(P170=CURSOS!$D$12,"SOPORTE CARDIOVASCULAR AVANZADO (ACLS) ",IF(P170=CURSOS!$D$13,"CAMILLERO ",IF(P170=CURSOS!$D$14,"TOMA DE MUESTRAS Y LABORATORIO ",IF(P170=CURSOS!$D$15,"SOPORTE VITAL BASICO (BLS)",IF(P170=CURSOS!$D$16,"ATENCION A VICTIMAS DE VIOLENCIA SEXUAL ",IF(P170=CURSOS!$D$17,"PROGRAMADO AMPLIADO DE INMUNIZACION (PAI - COVID 19)",IF(P170=CURSOS!$D$18,"ATENCION INTEGRAL EN ENFERMEDADES PREVALENTES EN PRIMERA INFANCIA (AIEPI)",IF(P170=CURSOS!$D$19,"ADMINISTRACION DE MEDICAMENTOS, INYECTOLOGIA  Y CANALIZACION ",IF(P170=CURSOS!$D$20,"OPERADOR DE VEHICULOS DE EMERGENCIA (OVE)",IF(P170=CURSOS!$D$21,"INSTITUCIONES AMIGAS DE LA MUJER Y LA INFANCIA (IAMI)",IF(P170=CURSOS!$D$22,"CUIDADO DEL DONANTE DE ORGANOS",IF(P170=CURSOS!$D$23,"ATENCION A VICTIMAS POR VIOLENCIA DE GENERO",IF(P170=CURSOS!$D$24,"IGUALDAD DE GENERO EN LA SALUD",IF(P170=CURSOS!$D$25,"BRIGADA DE EMERGENCIA",IF(P170=CURSOS!$D$26,"MANEJO DEL DOLOR Y CUIDADOS PALIATIVOS",IF(P170=CURSOS!$D$27,"TOMA DE MUESTRAS Y LABORATORIO POCT",IF(P170=CURSOS!$D$28,"IMPLANTE SUBDERMICO DE DISPOSITIVO INTRAUTERINO",IF(P170=CURSOS!$D$29,"SALUD MENTAL",IF(P170=CURSOS!$D$30,"PRIMEROS AUXILIOS PSICOLOGICOS",IF(P170=CURSOS!$D$31,"ATENCION A VICTIMAS POR CONFLICTO ARMADO",IF(P170=CURSOS!$D$32,"MANIPULACION DE ALIMENTOS Y BPM",IF(P170=CURSOS!$D$33,"ATENCION A PERSONAS CON DISCAPACIDAD",IF(P170=CURSOS!$D$34,"CUIDADO INTEGRAL DEL PACIENTE ADULTO",IF(P170=CURSOS!$D$35,"MANEJO DEFENSIVO",IF(P170=CURSOS!$D$36,"SOPORTE CARDIOVASCULAR AVANZADO NEONATAL",IF(P170=CURSOS!$D$37,"SEGURIDAD DEL PACIENTE",IF(P170=CURSOS!$D$38,"MANEJO DE RESIDUOS HOSPITALARIOS",IF(P170=CURSOS!$D$39,"ATENCION DE PACIENTE POR CONSUMO SUSTANCIAS PSICOACTIVAS Y ADICCIONES")))))))))))))))))))))))))))))))))))))</f>
        <v>0</v>
      </c>
      <c r="W170" s="44" t="str">
        <f t="shared" si="9"/>
        <v xml:space="preserve">   </v>
      </c>
      <c r="X170" s="44" t="str">
        <f t="shared" si="10"/>
        <v xml:space="preserve">   </v>
      </c>
      <c r="Y170" s="44" t="str">
        <f t="shared" si="11"/>
        <v xml:space="preserve">   --</v>
      </c>
    </row>
    <row r="171" spans="1:25" x14ac:dyDescent="0.2">
      <c r="A171" s="45">
        <v>170</v>
      </c>
      <c r="J171" s="47"/>
      <c r="Q171" s="47"/>
      <c r="S171" s="54"/>
      <c r="U171" s="46"/>
      <c r="V171" s="44" t="b">
        <f>IF(P171=CURSOS!$D$3,"DIPLOMADO EN ATENCION PRE-HOSPITALARIA",IF(P171=CURSOS!$D$4,"ACOMPAÑAMIENTO Y MANEJO DEL DUELO",IF(P171=CURSOS!$D$5,"ATENCION A VICTIMAS DE ATAQUE CON AGENTES QUIMICOS ",IF(P171=CURSOS!$D$6,"PRIMEROS AUXILIOS ",IF(P171=CURSOS!$D$7,"DIPLOMADO DE UNIDAD DE CUIDADOS INTENSIVOS (UCI)",IF(P171=CURSOS!$D$8,"MODELO DE ATENCION PARA EVENTOS EMERGENTES EN SALUD MENTAL (CODIGO VERDE)",IF(P171=CURSOS!$D$9,"HUMANIZACION EN EL SERVICIO DE LA SALUD Y BUENAS PRACTICAS EN PACIENTE ",IF(P171=CURSOS!$D$10,"CLINICA DE HERIDAS ",IF(P171=CURSOS!$D$11,"TOMA DE CITOLOGIA CERVICO VAGINAL ",IF(P171=CURSOS!$D$12,"SOPORTE CARDIOVASCULAR AVANZADO (ACLS) ",IF(P171=CURSOS!$D$13,"CAMILLERO ",IF(P171=CURSOS!$D$14,"TOMA DE MUESTRAS Y LABORATORIO ",IF(P171=CURSOS!$D$15,"SOPORTE VITAL BASICO (BLS)",IF(P171=CURSOS!$D$16,"ATENCION A VICTIMAS DE VIOLENCIA SEXUAL ",IF(P171=CURSOS!$D$17,"PROGRAMADO AMPLIADO DE INMUNIZACION (PAI - COVID 19)",IF(P171=CURSOS!$D$18,"ATENCION INTEGRAL EN ENFERMEDADES PREVALENTES EN PRIMERA INFANCIA (AIEPI)",IF(P171=CURSOS!$D$19,"ADMINISTRACION DE MEDICAMENTOS, INYECTOLOGIA  Y CANALIZACION ",IF(P171=CURSOS!$D$20,"OPERADOR DE VEHICULOS DE EMERGENCIA (OVE)",IF(P171=CURSOS!$D$21,"INSTITUCIONES AMIGAS DE LA MUJER Y LA INFANCIA (IAMI)",IF(P171=CURSOS!$D$22,"CUIDADO DEL DONANTE DE ORGANOS",IF(P171=CURSOS!$D$23,"ATENCION A VICTIMAS POR VIOLENCIA DE GENERO",IF(P171=CURSOS!$D$24,"IGUALDAD DE GENERO EN LA SALUD",IF(P171=CURSOS!$D$25,"BRIGADA DE EMERGENCIA",IF(P171=CURSOS!$D$26,"MANEJO DEL DOLOR Y CUIDADOS PALIATIVOS",IF(P171=CURSOS!$D$27,"TOMA DE MUESTRAS Y LABORATORIO POCT",IF(P171=CURSOS!$D$28,"IMPLANTE SUBDERMICO DE DISPOSITIVO INTRAUTERINO",IF(P171=CURSOS!$D$29,"SALUD MENTAL",IF(P171=CURSOS!$D$30,"PRIMEROS AUXILIOS PSICOLOGICOS",IF(P171=CURSOS!$D$31,"ATENCION A VICTIMAS POR CONFLICTO ARMADO",IF(P171=CURSOS!$D$32,"MANIPULACION DE ALIMENTOS Y BPM",IF(P171=CURSOS!$D$33,"ATENCION A PERSONAS CON DISCAPACIDAD",IF(P171=CURSOS!$D$34,"CUIDADO INTEGRAL DEL PACIENTE ADULTO",IF(P171=CURSOS!$D$35,"MANEJO DEFENSIVO",IF(P171=CURSOS!$D$36,"SOPORTE CARDIOVASCULAR AVANZADO NEONATAL",IF(P171=CURSOS!$D$37,"SEGURIDAD DEL PACIENTE",IF(P171=CURSOS!$D$38,"MANEJO DE RESIDUOS HOSPITALARIOS",IF(P171=CURSOS!$D$39,"ATENCION DE PACIENTE POR CONSUMO SUSTANCIAS PSICOACTIVAS Y ADICCIONES")))))))))))))))))))))))))))))))))))))</f>
        <v>0</v>
      </c>
      <c r="W171" s="44" t="str">
        <f t="shared" si="9"/>
        <v xml:space="preserve">   </v>
      </c>
      <c r="X171" s="44" t="str">
        <f t="shared" si="10"/>
        <v xml:space="preserve">   </v>
      </c>
      <c r="Y171" s="44" t="str">
        <f t="shared" si="11"/>
        <v xml:space="preserve">   --</v>
      </c>
    </row>
    <row r="172" spans="1:25" x14ac:dyDescent="0.2">
      <c r="A172" s="45">
        <v>171</v>
      </c>
      <c r="J172" s="47"/>
      <c r="Q172" s="47"/>
      <c r="S172" s="54"/>
      <c r="U172" s="46"/>
      <c r="V172" s="44" t="b">
        <f>IF(P172=CURSOS!$D$3,"DIPLOMADO EN ATENCION PRE-HOSPITALARIA",IF(P172=CURSOS!$D$4,"ACOMPAÑAMIENTO Y MANEJO DEL DUELO",IF(P172=CURSOS!$D$5,"ATENCION A VICTIMAS DE ATAQUE CON AGENTES QUIMICOS ",IF(P172=CURSOS!$D$6,"PRIMEROS AUXILIOS ",IF(P172=CURSOS!$D$7,"DIPLOMADO DE UNIDAD DE CUIDADOS INTENSIVOS (UCI)",IF(P172=CURSOS!$D$8,"MODELO DE ATENCION PARA EVENTOS EMERGENTES EN SALUD MENTAL (CODIGO VERDE)",IF(P172=CURSOS!$D$9,"HUMANIZACION EN EL SERVICIO DE LA SALUD Y BUENAS PRACTICAS EN PACIENTE ",IF(P172=CURSOS!$D$10,"CLINICA DE HERIDAS ",IF(P172=CURSOS!$D$11,"TOMA DE CITOLOGIA CERVICO VAGINAL ",IF(P172=CURSOS!$D$12,"SOPORTE CARDIOVASCULAR AVANZADO (ACLS) ",IF(P172=CURSOS!$D$13,"CAMILLERO ",IF(P172=CURSOS!$D$14,"TOMA DE MUESTRAS Y LABORATORIO ",IF(P172=CURSOS!$D$15,"SOPORTE VITAL BASICO (BLS)",IF(P172=CURSOS!$D$16,"ATENCION A VICTIMAS DE VIOLENCIA SEXUAL ",IF(P172=CURSOS!$D$17,"PROGRAMADO AMPLIADO DE INMUNIZACION (PAI - COVID 19)",IF(P172=CURSOS!$D$18,"ATENCION INTEGRAL EN ENFERMEDADES PREVALENTES EN PRIMERA INFANCIA (AIEPI)",IF(P172=CURSOS!$D$19,"ADMINISTRACION DE MEDICAMENTOS, INYECTOLOGIA  Y CANALIZACION ",IF(P172=CURSOS!$D$20,"OPERADOR DE VEHICULOS DE EMERGENCIA (OVE)",IF(P172=CURSOS!$D$21,"INSTITUCIONES AMIGAS DE LA MUJER Y LA INFANCIA (IAMI)",IF(P172=CURSOS!$D$22,"CUIDADO DEL DONANTE DE ORGANOS",IF(P172=CURSOS!$D$23,"ATENCION A VICTIMAS POR VIOLENCIA DE GENERO",IF(P172=CURSOS!$D$24,"IGUALDAD DE GENERO EN LA SALUD",IF(P172=CURSOS!$D$25,"BRIGADA DE EMERGENCIA",IF(P172=CURSOS!$D$26,"MANEJO DEL DOLOR Y CUIDADOS PALIATIVOS",IF(P172=CURSOS!$D$27,"TOMA DE MUESTRAS Y LABORATORIO POCT",IF(P172=CURSOS!$D$28,"IMPLANTE SUBDERMICO DE DISPOSITIVO INTRAUTERINO",IF(P172=CURSOS!$D$29,"SALUD MENTAL",IF(P172=CURSOS!$D$30,"PRIMEROS AUXILIOS PSICOLOGICOS",IF(P172=CURSOS!$D$31,"ATENCION A VICTIMAS POR CONFLICTO ARMADO",IF(P172=CURSOS!$D$32,"MANIPULACION DE ALIMENTOS Y BPM",IF(P172=CURSOS!$D$33,"ATENCION A PERSONAS CON DISCAPACIDAD",IF(P172=CURSOS!$D$34,"CUIDADO INTEGRAL DEL PACIENTE ADULTO",IF(P172=CURSOS!$D$35,"MANEJO DEFENSIVO",IF(P172=CURSOS!$D$36,"SOPORTE CARDIOVASCULAR AVANZADO NEONATAL",IF(P172=CURSOS!$D$37,"SEGURIDAD DEL PACIENTE",IF(P172=CURSOS!$D$38,"MANEJO DE RESIDUOS HOSPITALARIOS",IF(P172=CURSOS!$D$39,"ATENCION DE PACIENTE POR CONSUMO SUSTANCIAS PSICOACTIVAS Y ADICCIONES")))))))))))))))))))))))))))))))))))))</f>
        <v>0</v>
      </c>
      <c r="W172" s="44" t="str">
        <f t="shared" si="9"/>
        <v xml:space="preserve">   </v>
      </c>
      <c r="X172" s="44" t="str">
        <f t="shared" si="10"/>
        <v xml:space="preserve">   </v>
      </c>
      <c r="Y172" s="44" t="str">
        <f t="shared" si="11"/>
        <v xml:space="preserve">   --</v>
      </c>
    </row>
    <row r="173" spans="1:25" x14ac:dyDescent="0.2">
      <c r="A173" s="45">
        <v>172</v>
      </c>
      <c r="J173" s="47"/>
      <c r="Q173" s="47"/>
      <c r="S173" s="54"/>
      <c r="U173" s="53"/>
      <c r="V173" s="44" t="b">
        <f>IF(P173=CURSOS!$D$3,"DIPLOMADO EN ATENCION PRE-HOSPITALARIA",IF(P173=CURSOS!$D$4,"ACOMPAÑAMIENTO Y MANEJO DEL DUELO",IF(P173=CURSOS!$D$5,"ATENCION A VICTIMAS DE ATAQUE CON AGENTES QUIMICOS ",IF(P173=CURSOS!$D$6,"PRIMEROS AUXILIOS ",IF(P173=CURSOS!$D$7,"DIPLOMADO DE UNIDAD DE CUIDADOS INTENSIVOS (UCI)",IF(P173=CURSOS!$D$8,"MODELO DE ATENCION PARA EVENTOS EMERGENTES EN SALUD MENTAL (CODIGO VERDE)",IF(P173=CURSOS!$D$9,"HUMANIZACION EN EL SERVICIO DE LA SALUD Y BUENAS PRACTICAS EN PACIENTE ",IF(P173=CURSOS!$D$10,"CLINICA DE HERIDAS ",IF(P173=CURSOS!$D$11,"TOMA DE CITOLOGIA CERVICO VAGINAL ",IF(P173=CURSOS!$D$12,"SOPORTE CARDIOVASCULAR AVANZADO (ACLS) ",IF(P173=CURSOS!$D$13,"CAMILLERO ",IF(P173=CURSOS!$D$14,"TOMA DE MUESTRAS Y LABORATORIO ",IF(P173=CURSOS!$D$15,"SOPORTE VITAL BASICO (BLS)",IF(P173=CURSOS!$D$16,"ATENCION A VICTIMAS DE VIOLENCIA SEXUAL ",IF(P173=CURSOS!$D$17,"PROGRAMADO AMPLIADO DE INMUNIZACION (PAI - COVID 19)",IF(P173=CURSOS!$D$18,"ATENCION INTEGRAL EN ENFERMEDADES PREVALENTES EN PRIMERA INFANCIA (AIEPI)",IF(P173=CURSOS!$D$19,"ADMINISTRACION DE MEDICAMENTOS, INYECTOLOGIA  Y CANALIZACION ",IF(P173=CURSOS!$D$20,"OPERADOR DE VEHICULOS DE EMERGENCIA (OVE)",IF(P173=CURSOS!$D$21,"INSTITUCIONES AMIGAS DE LA MUJER Y LA INFANCIA (IAMI)",IF(P173=CURSOS!$D$22,"CUIDADO DEL DONANTE DE ORGANOS",IF(P173=CURSOS!$D$23,"ATENCION A VICTIMAS POR VIOLENCIA DE GENERO",IF(P173=CURSOS!$D$24,"IGUALDAD DE GENERO EN LA SALUD",IF(P173=CURSOS!$D$25,"BRIGADA DE EMERGENCIA",IF(P173=CURSOS!$D$26,"MANEJO DEL DOLOR Y CUIDADOS PALIATIVOS",IF(P173=CURSOS!$D$27,"TOMA DE MUESTRAS Y LABORATORIO POCT",IF(P173=CURSOS!$D$28,"IMPLANTE SUBDERMICO DE DISPOSITIVO INTRAUTERINO",IF(P173=CURSOS!$D$29,"SALUD MENTAL",IF(P173=CURSOS!$D$30,"PRIMEROS AUXILIOS PSICOLOGICOS",IF(P173=CURSOS!$D$31,"ATENCION A VICTIMAS POR CONFLICTO ARMADO",IF(P173=CURSOS!$D$32,"MANIPULACION DE ALIMENTOS Y BPM",IF(P173=CURSOS!$D$33,"ATENCION A PERSONAS CON DISCAPACIDAD",IF(P173=CURSOS!$D$34,"CUIDADO INTEGRAL DEL PACIENTE ADULTO",IF(P173=CURSOS!$D$35,"MANEJO DEFENSIVO",IF(P173=CURSOS!$D$36,"SOPORTE CARDIOVASCULAR AVANZADO NEONATAL",IF(P173=CURSOS!$D$37,"SEGURIDAD DEL PACIENTE",IF(P173=CURSOS!$D$38,"MANEJO DE RESIDUOS HOSPITALARIOS",IF(P173=CURSOS!$D$39,"ATENCION DE PACIENTE POR CONSUMO SUSTANCIAS PSICOACTIVAS Y ADICCIONES")))))))))))))))))))))))))))))))))))))</f>
        <v>0</v>
      </c>
      <c r="W173" s="44" t="str">
        <f t="shared" si="9"/>
        <v xml:space="preserve">   </v>
      </c>
      <c r="X173" s="44" t="str">
        <f t="shared" si="10"/>
        <v xml:space="preserve">   </v>
      </c>
      <c r="Y173" s="44" t="str">
        <f t="shared" si="11"/>
        <v xml:space="preserve">   --</v>
      </c>
    </row>
    <row r="174" spans="1:25" x14ac:dyDescent="0.2">
      <c r="A174" s="45">
        <v>173</v>
      </c>
      <c r="J174" s="47"/>
      <c r="Q174" s="47"/>
      <c r="S174" s="54"/>
      <c r="U174" s="46"/>
      <c r="V174" s="44" t="b">
        <f>IF(P174=CURSOS!$D$3,"DIPLOMADO EN ATENCION PRE-HOSPITALARIA",IF(P174=CURSOS!$D$4,"ACOMPAÑAMIENTO Y MANEJO DEL DUELO",IF(P174=CURSOS!$D$5,"ATENCION A VICTIMAS DE ATAQUE CON AGENTES QUIMICOS ",IF(P174=CURSOS!$D$6,"PRIMEROS AUXILIOS ",IF(P174=CURSOS!$D$7,"DIPLOMADO DE UNIDAD DE CUIDADOS INTENSIVOS (UCI)",IF(P174=CURSOS!$D$8,"MODELO DE ATENCION PARA EVENTOS EMERGENTES EN SALUD MENTAL (CODIGO VERDE)",IF(P174=CURSOS!$D$9,"HUMANIZACION EN EL SERVICIO DE LA SALUD Y BUENAS PRACTICAS EN PACIENTE ",IF(P174=CURSOS!$D$10,"CLINICA DE HERIDAS ",IF(P174=CURSOS!$D$11,"TOMA DE CITOLOGIA CERVICO VAGINAL ",IF(P174=CURSOS!$D$12,"SOPORTE CARDIOVASCULAR AVANZADO (ACLS) ",IF(P174=CURSOS!$D$13,"CAMILLERO ",IF(P174=CURSOS!$D$14,"TOMA DE MUESTRAS Y LABORATORIO ",IF(P174=CURSOS!$D$15,"SOPORTE VITAL BASICO (BLS)",IF(P174=CURSOS!$D$16,"ATENCION A VICTIMAS DE VIOLENCIA SEXUAL ",IF(P174=CURSOS!$D$17,"PROGRAMADO AMPLIADO DE INMUNIZACION (PAI - COVID 19)",IF(P174=CURSOS!$D$18,"ATENCION INTEGRAL EN ENFERMEDADES PREVALENTES EN PRIMERA INFANCIA (AIEPI)",IF(P174=CURSOS!$D$19,"ADMINISTRACION DE MEDICAMENTOS, INYECTOLOGIA  Y CANALIZACION ",IF(P174=CURSOS!$D$20,"OPERADOR DE VEHICULOS DE EMERGENCIA (OVE)",IF(P174=CURSOS!$D$21,"INSTITUCIONES AMIGAS DE LA MUJER Y LA INFANCIA (IAMI)",IF(P174=CURSOS!$D$22,"CUIDADO DEL DONANTE DE ORGANOS",IF(P174=CURSOS!$D$23,"ATENCION A VICTIMAS POR VIOLENCIA DE GENERO",IF(P174=CURSOS!$D$24,"IGUALDAD DE GENERO EN LA SALUD",IF(P174=CURSOS!$D$25,"BRIGADA DE EMERGENCIA",IF(P174=CURSOS!$D$26,"MANEJO DEL DOLOR Y CUIDADOS PALIATIVOS",IF(P174=CURSOS!$D$27,"TOMA DE MUESTRAS Y LABORATORIO POCT",IF(P174=CURSOS!$D$28,"IMPLANTE SUBDERMICO DE DISPOSITIVO INTRAUTERINO",IF(P174=CURSOS!$D$29,"SALUD MENTAL",IF(P174=CURSOS!$D$30,"PRIMEROS AUXILIOS PSICOLOGICOS",IF(P174=CURSOS!$D$31,"ATENCION A VICTIMAS POR CONFLICTO ARMADO",IF(P174=CURSOS!$D$32,"MANIPULACION DE ALIMENTOS Y BPM",IF(P174=CURSOS!$D$33,"ATENCION A PERSONAS CON DISCAPACIDAD",IF(P174=CURSOS!$D$34,"CUIDADO INTEGRAL DEL PACIENTE ADULTO",IF(P174=CURSOS!$D$35,"MANEJO DEFENSIVO",IF(P174=CURSOS!$D$36,"SOPORTE CARDIOVASCULAR AVANZADO NEONATAL",IF(P174=CURSOS!$D$37,"SEGURIDAD DEL PACIENTE",IF(P174=CURSOS!$D$38,"MANEJO DE RESIDUOS HOSPITALARIOS",IF(P174=CURSOS!$D$39,"ATENCION DE PACIENTE POR CONSUMO SUSTANCIAS PSICOACTIVAS Y ADICCIONES")))))))))))))))))))))))))))))))))))))</f>
        <v>0</v>
      </c>
      <c r="W174" s="44" t="str">
        <f t="shared" si="9"/>
        <v xml:space="preserve">   </v>
      </c>
      <c r="X174" s="44" t="str">
        <f t="shared" si="10"/>
        <v xml:space="preserve">   </v>
      </c>
      <c r="Y174" s="44" t="str">
        <f t="shared" si="11"/>
        <v xml:space="preserve">   --</v>
      </c>
    </row>
    <row r="175" spans="1:25" x14ac:dyDescent="0.2">
      <c r="A175" s="45">
        <v>174</v>
      </c>
      <c r="J175" s="47"/>
      <c r="Q175" s="47"/>
      <c r="U175" s="46"/>
      <c r="V175" s="44" t="b">
        <f>IF(P175=CURSOS!$D$3,"DIPLOMADO EN ATENCION PRE-HOSPITALARIA",IF(P175=CURSOS!$D$4,"ACOMPAÑAMIENTO Y MANEJO DEL DUELO",IF(P175=CURSOS!$D$5,"ATENCION A VICTIMAS DE ATAQUE CON AGENTES QUIMICOS ",IF(P175=CURSOS!$D$6,"PRIMEROS AUXILIOS ",IF(P175=CURSOS!$D$7,"DIPLOMADO DE UNIDAD DE CUIDADOS INTENSIVOS (UCI)",IF(P175=CURSOS!$D$8,"MODELO DE ATENCION PARA EVENTOS EMERGENTES EN SALUD MENTAL (CODIGO VERDE)",IF(P175=CURSOS!$D$9,"HUMANIZACION EN EL SERVICIO DE LA SALUD Y BUENAS PRACTICAS EN PACIENTE ",IF(P175=CURSOS!$D$10,"CLINICA DE HERIDAS ",IF(P175=CURSOS!$D$11,"TOMA DE CITOLOGIA CERVICO VAGINAL ",IF(P175=CURSOS!$D$12,"SOPORTE CARDIOVASCULAR AVANZADO (ACLS) ",IF(P175=CURSOS!$D$13,"CAMILLERO ",IF(P175=CURSOS!$D$14,"TOMA DE MUESTRAS Y LABORATORIO ",IF(P175=CURSOS!$D$15,"SOPORTE VITAL BASICO (BLS)",IF(P175=CURSOS!$D$16,"ATENCION A VICTIMAS DE VIOLENCIA SEXUAL ",IF(P175=CURSOS!$D$17,"PROGRAMADO AMPLIADO DE INMUNIZACION (PAI - COVID 19)",IF(P175=CURSOS!$D$18,"ATENCION INTEGRAL EN ENFERMEDADES PREVALENTES EN PRIMERA INFANCIA (AIEPI)",IF(P175=CURSOS!$D$19,"ADMINISTRACION DE MEDICAMENTOS, INYECTOLOGIA  Y CANALIZACION ",IF(P175=CURSOS!$D$20,"OPERADOR DE VEHICULOS DE EMERGENCIA (OVE)",IF(P175=CURSOS!$D$21,"INSTITUCIONES AMIGAS DE LA MUJER Y LA INFANCIA (IAMI)",IF(P175=CURSOS!$D$22,"CUIDADO DEL DONANTE DE ORGANOS",IF(P175=CURSOS!$D$23,"ATENCION A VICTIMAS POR VIOLENCIA DE GENERO",IF(P175=CURSOS!$D$24,"IGUALDAD DE GENERO EN LA SALUD",IF(P175=CURSOS!$D$25,"BRIGADA DE EMERGENCIA",IF(P175=CURSOS!$D$26,"MANEJO DEL DOLOR Y CUIDADOS PALIATIVOS",IF(P175=CURSOS!$D$27,"TOMA DE MUESTRAS Y LABORATORIO POCT",IF(P175=CURSOS!$D$28,"IMPLANTE SUBDERMICO DE DISPOSITIVO INTRAUTERINO",IF(P175=CURSOS!$D$29,"SALUD MENTAL",IF(P175=CURSOS!$D$30,"PRIMEROS AUXILIOS PSICOLOGICOS",IF(P175=CURSOS!$D$31,"ATENCION A VICTIMAS POR CONFLICTO ARMADO",IF(P175=CURSOS!$D$32,"MANIPULACION DE ALIMENTOS Y BPM",IF(P175=CURSOS!$D$33,"ATENCION A PERSONAS CON DISCAPACIDAD",IF(P175=CURSOS!$D$34,"CUIDADO INTEGRAL DEL PACIENTE ADULTO",IF(P175=CURSOS!$D$35,"MANEJO DEFENSIVO",IF(P175=CURSOS!$D$36,"SOPORTE CARDIOVASCULAR AVANZADO NEONATAL",IF(P175=CURSOS!$D$37,"SEGURIDAD DEL PACIENTE",IF(P175=CURSOS!$D$38,"MANEJO DE RESIDUOS HOSPITALARIOS",IF(P175=CURSOS!$D$39,"ATENCION DE PACIENTE POR CONSUMO SUSTANCIAS PSICOACTIVAS Y ADICCIONES")))))))))))))))))))))))))))))))))))))</f>
        <v>0</v>
      </c>
      <c r="W175" s="44" t="str">
        <f t="shared" si="9"/>
        <v xml:space="preserve">   </v>
      </c>
      <c r="X175" s="44" t="str">
        <f t="shared" si="10"/>
        <v xml:space="preserve">   </v>
      </c>
      <c r="Y175" s="44" t="str">
        <f t="shared" si="11"/>
        <v xml:space="preserve">   --</v>
      </c>
    </row>
    <row r="176" spans="1:25" x14ac:dyDescent="0.2">
      <c r="A176" s="45">
        <v>175</v>
      </c>
      <c r="J176" s="47"/>
      <c r="Q176" s="47"/>
      <c r="U176" s="46"/>
      <c r="V176" s="44" t="b">
        <f>IF(P176=CURSOS!$D$3,"DIPLOMADO EN ATENCION PRE-HOSPITALARIA",IF(P176=CURSOS!$D$4,"ACOMPAÑAMIENTO Y MANEJO DEL DUELO",IF(P176=CURSOS!$D$5,"ATENCION A VICTIMAS DE ATAQUE CON AGENTES QUIMICOS ",IF(P176=CURSOS!$D$6,"PRIMEROS AUXILIOS ",IF(P176=CURSOS!$D$7,"DIPLOMADO DE UNIDAD DE CUIDADOS INTENSIVOS (UCI)",IF(P176=CURSOS!$D$8,"MODELO DE ATENCION PARA EVENTOS EMERGENTES EN SALUD MENTAL (CODIGO VERDE)",IF(P176=CURSOS!$D$9,"HUMANIZACION EN EL SERVICIO DE LA SALUD Y BUENAS PRACTICAS EN PACIENTE ",IF(P176=CURSOS!$D$10,"CLINICA DE HERIDAS ",IF(P176=CURSOS!$D$11,"TOMA DE CITOLOGIA CERVICO VAGINAL ",IF(P176=CURSOS!$D$12,"SOPORTE CARDIOVASCULAR AVANZADO (ACLS) ",IF(P176=CURSOS!$D$13,"CAMILLERO ",IF(P176=CURSOS!$D$14,"TOMA DE MUESTRAS Y LABORATORIO ",IF(P176=CURSOS!$D$15,"SOPORTE VITAL BASICO (BLS)",IF(P176=CURSOS!$D$16,"ATENCION A VICTIMAS DE VIOLENCIA SEXUAL ",IF(P176=CURSOS!$D$17,"PROGRAMADO AMPLIADO DE INMUNIZACION (PAI - COVID 19)",IF(P176=CURSOS!$D$18,"ATENCION INTEGRAL EN ENFERMEDADES PREVALENTES EN PRIMERA INFANCIA (AIEPI)",IF(P176=CURSOS!$D$19,"ADMINISTRACION DE MEDICAMENTOS, INYECTOLOGIA  Y CANALIZACION ",IF(P176=CURSOS!$D$20,"OPERADOR DE VEHICULOS DE EMERGENCIA (OVE)",IF(P176=CURSOS!$D$21,"INSTITUCIONES AMIGAS DE LA MUJER Y LA INFANCIA (IAMI)",IF(P176=CURSOS!$D$22,"CUIDADO DEL DONANTE DE ORGANOS",IF(P176=CURSOS!$D$23,"ATENCION A VICTIMAS POR VIOLENCIA DE GENERO",IF(P176=CURSOS!$D$24,"IGUALDAD DE GENERO EN LA SALUD",IF(P176=CURSOS!$D$25,"BRIGADA DE EMERGENCIA",IF(P176=CURSOS!$D$26,"MANEJO DEL DOLOR Y CUIDADOS PALIATIVOS",IF(P176=CURSOS!$D$27,"TOMA DE MUESTRAS Y LABORATORIO POCT",IF(P176=CURSOS!$D$28,"IMPLANTE SUBDERMICO DE DISPOSITIVO INTRAUTERINO",IF(P176=CURSOS!$D$29,"SALUD MENTAL",IF(P176=CURSOS!$D$30,"PRIMEROS AUXILIOS PSICOLOGICOS",IF(P176=CURSOS!$D$31,"ATENCION A VICTIMAS POR CONFLICTO ARMADO",IF(P176=CURSOS!$D$32,"MANIPULACION DE ALIMENTOS Y BPM",IF(P176=CURSOS!$D$33,"ATENCION A PERSONAS CON DISCAPACIDAD",IF(P176=CURSOS!$D$34,"CUIDADO INTEGRAL DEL PACIENTE ADULTO",IF(P176=CURSOS!$D$35,"MANEJO DEFENSIVO",IF(P176=CURSOS!$D$36,"SOPORTE CARDIOVASCULAR AVANZADO NEONATAL",IF(P176=CURSOS!$D$37,"SEGURIDAD DEL PACIENTE",IF(P176=CURSOS!$D$38,"MANEJO DE RESIDUOS HOSPITALARIOS",IF(P176=CURSOS!$D$39,"ATENCION DE PACIENTE POR CONSUMO SUSTANCIAS PSICOACTIVAS Y ADICCIONES")))))))))))))))))))))))))))))))))))))</f>
        <v>0</v>
      </c>
      <c r="W176" s="44" t="str">
        <f t="shared" si="9"/>
        <v xml:space="preserve">   </v>
      </c>
      <c r="X176" s="44" t="str">
        <f t="shared" si="10"/>
        <v xml:space="preserve">   </v>
      </c>
      <c r="Y176" s="44" t="str">
        <f t="shared" si="11"/>
        <v xml:space="preserve">   --</v>
      </c>
    </row>
    <row r="177" spans="1:25" x14ac:dyDescent="0.2">
      <c r="A177" s="45">
        <v>176</v>
      </c>
      <c r="J177" s="47"/>
      <c r="Q177" s="47"/>
      <c r="S177" s="54"/>
      <c r="U177" s="46"/>
      <c r="V177" s="44" t="b">
        <f>IF(P177=CURSOS!$D$3,"DIPLOMADO EN ATENCION PRE-HOSPITALARIA",IF(P177=CURSOS!$D$4,"ACOMPAÑAMIENTO Y MANEJO DEL DUELO",IF(P177=CURSOS!$D$5,"ATENCION A VICTIMAS DE ATAQUE CON AGENTES QUIMICOS ",IF(P177=CURSOS!$D$6,"PRIMEROS AUXILIOS ",IF(P177=CURSOS!$D$7,"DIPLOMADO DE UNIDAD DE CUIDADOS INTENSIVOS (UCI)",IF(P177=CURSOS!$D$8,"MODELO DE ATENCION PARA EVENTOS EMERGENTES EN SALUD MENTAL (CODIGO VERDE)",IF(P177=CURSOS!$D$9,"HUMANIZACION EN EL SERVICIO DE LA SALUD Y BUENAS PRACTICAS EN PACIENTE ",IF(P177=CURSOS!$D$10,"CLINICA DE HERIDAS ",IF(P177=CURSOS!$D$11,"TOMA DE CITOLOGIA CERVICO VAGINAL ",IF(P177=CURSOS!$D$12,"SOPORTE CARDIOVASCULAR AVANZADO (ACLS) ",IF(P177=CURSOS!$D$13,"CAMILLERO ",IF(P177=CURSOS!$D$14,"TOMA DE MUESTRAS Y LABORATORIO ",IF(P177=CURSOS!$D$15,"SOPORTE VITAL BASICO (BLS)",IF(P177=CURSOS!$D$16,"ATENCION A VICTIMAS DE VIOLENCIA SEXUAL ",IF(P177=CURSOS!$D$17,"PROGRAMADO AMPLIADO DE INMUNIZACION (PAI - COVID 19)",IF(P177=CURSOS!$D$18,"ATENCION INTEGRAL EN ENFERMEDADES PREVALENTES EN PRIMERA INFANCIA (AIEPI)",IF(P177=CURSOS!$D$19,"ADMINISTRACION DE MEDICAMENTOS, INYECTOLOGIA  Y CANALIZACION ",IF(P177=CURSOS!$D$20,"OPERADOR DE VEHICULOS DE EMERGENCIA (OVE)",IF(P177=CURSOS!$D$21,"INSTITUCIONES AMIGAS DE LA MUJER Y LA INFANCIA (IAMI)",IF(P177=CURSOS!$D$22,"CUIDADO DEL DONANTE DE ORGANOS",IF(P177=CURSOS!$D$23,"ATENCION A VICTIMAS POR VIOLENCIA DE GENERO",IF(P177=CURSOS!$D$24,"IGUALDAD DE GENERO EN LA SALUD",IF(P177=CURSOS!$D$25,"BRIGADA DE EMERGENCIA",IF(P177=CURSOS!$D$26,"MANEJO DEL DOLOR Y CUIDADOS PALIATIVOS",IF(P177=CURSOS!$D$27,"TOMA DE MUESTRAS Y LABORATORIO POCT",IF(P177=CURSOS!$D$28,"IMPLANTE SUBDERMICO DE DISPOSITIVO INTRAUTERINO",IF(P177=CURSOS!$D$29,"SALUD MENTAL",IF(P177=CURSOS!$D$30,"PRIMEROS AUXILIOS PSICOLOGICOS",IF(P177=CURSOS!$D$31,"ATENCION A VICTIMAS POR CONFLICTO ARMADO",IF(P177=CURSOS!$D$32,"MANIPULACION DE ALIMENTOS Y BPM",IF(P177=CURSOS!$D$33,"ATENCION A PERSONAS CON DISCAPACIDAD",IF(P177=CURSOS!$D$34,"CUIDADO INTEGRAL DEL PACIENTE ADULTO",IF(P177=CURSOS!$D$35,"MANEJO DEFENSIVO",IF(P177=CURSOS!$D$36,"SOPORTE CARDIOVASCULAR AVANZADO NEONATAL",IF(P177=CURSOS!$D$37,"SEGURIDAD DEL PACIENTE",IF(P177=CURSOS!$D$38,"MANEJO DE RESIDUOS HOSPITALARIOS",IF(P177=CURSOS!$D$39,"ATENCION DE PACIENTE POR CONSUMO SUSTANCIAS PSICOACTIVAS Y ADICCIONES")))))))))))))))))))))))))))))))))))))</f>
        <v>0</v>
      </c>
      <c r="W177" s="44" t="str">
        <f t="shared" si="9"/>
        <v xml:space="preserve">   </v>
      </c>
      <c r="X177" s="44" t="str">
        <f t="shared" si="10"/>
        <v xml:space="preserve">   </v>
      </c>
      <c r="Y177" s="44" t="str">
        <f t="shared" si="11"/>
        <v xml:space="preserve">   --</v>
      </c>
    </row>
    <row r="178" spans="1:25" x14ac:dyDescent="0.2">
      <c r="A178" s="45">
        <v>177</v>
      </c>
      <c r="J178" s="47"/>
      <c r="Q178" s="47"/>
      <c r="S178" s="54"/>
      <c r="U178" s="46"/>
      <c r="V178" s="44" t="b">
        <f>IF(P178=CURSOS!$D$3,"DIPLOMADO EN ATENCION PRE-HOSPITALARIA",IF(P178=CURSOS!$D$4,"ACOMPAÑAMIENTO Y MANEJO DEL DUELO",IF(P178=CURSOS!$D$5,"ATENCION A VICTIMAS DE ATAQUE CON AGENTES QUIMICOS ",IF(P178=CURSOS!$D$6,"PRIMEROS AUXILIOS ",IF(P178=CURSOS!$D$7,"DIPLOMADO DE UNIDAD DE CUIDADOS INTENSIVOS (UCI)",IF(P178=CURSOS!$D$8,"MODELO DE ATENCION PARA EVENTOS EMERGENTES EN SALUD MENTAL (CODIGO VERDE)",IF(P178=CURSOS!$D$9,"HUMANIZACION EN EL SERVICIO DE LA SALUD Y BUENAS PRACTICAS EN PACIENTE ",IF(P178=CURSOS!$D$10,"CLINICA DE HERIDAS ",IF(P178=CURSOS!$D$11,"TOMA DE CITOLOGIA CERVICO VAGINAL ",IF(P178=CURSOS!$D$12,"SOPORTE CARDIOVASCULAR AVANZADO (ACLS) ",IF(P178=CURSOS!$D$13,"CAMILLERO ",IF(P178=CURSOS!$D$14,"TOMA DE MUESTRAS Y LABORATORIO ",IF(P178=CURSOS!$D$15,"SOPORTE VITAL BASICO (BLS)",IF(P178=CURSOS!$D$16,"ATENCION A VICTIMAS DE VIOLENCIA SEXUAL ",IF(P178=CURSOS!$D$17,"PROGRAMADO AMPLIADO DE INMUNIZACION (PAI - COVID 19)",IF(P178=CURSOS!$D$18,"ATENCION INTEGRAL EN ENFERMEDADES PREVALENTES EN PRIMERA INFANCIA (AIEPI)",IF(P178=CURSOS!$D$19,"ADMINISTRACION DE MEDICAMENTOS, INYECTOLOGIA  Y CANALIZACION ",IF(P178=CURSOS!$D$20,"OPERADOR DE VEHICULOS DE EMERGENCIA (OVE)",IF(P178=CURSOS!$D$21,"INSTITUCIONES AMIGAS DE LA MUJER Y LA INFANCIA (IAMI)",IF(P178=CURSOS!$D$22,"CUIDADO DEL DONANTE DE ORGANOS",IF(P178=CURSOS!$D$23,"ATENCION A VICTIMAS POR VIOLENCIA DE GENERO",IF(P178=CURSOS!$D$24,"IGUALDAD DE GENERO EN LA SALUD",IF(P178=CURSOS!$D$25,"BRIGADA DE EMERGENCIA",IF(P178=CURSOS!$D$26,"MANEJO DEL DOLOR Y CUIDADOS PALIATIVOS",IF(P178=CURSOS!$D$27,"TOMA DE MUESTRAS Y LABORATORIO POCT",IF(P178=CURSOS!$D$28,"IMPLANTE SUBDERMICO DE DISPOSITIVO INTRAUTERINO",IF(P178=CURSOS!$D$29,"SALUD MENTAL",IF(P178=CURSOS!$D$30,"PRIMEROS AUXILIOS PSICOLOGICOS",IF(P178=CURSOS!$D$31,"ATENCION A VICTIMAS POR CONFLICTO ARMADO",IF(P178=CURSOS!$D$32,"MANIPULACION DE ALIMENTOS Y BPM",IF(P178=CURSOS!$D$33,"ATENCION A PERSONAS CON DISCAPACIDAD",IF(P178=CURSOS!$D$34,"CUIDADO INTEGRAL DEL PACIENTE ADULTO",IF(P178=CURSOS!$D$35,"MANEJO DEFENSIVO",IF(P178=CURSOS!$D$36,"SOPORTE CARDIOVASCULAR AVANZADO NEONATAL",IF(P178=CURSOS!$D$37,"SEGURIDAD DEL PACIENTE",IF(P178=CURSOS!$D$38,"MANEJO DE RESIDUOS HOSPITALARIOS",IF(P178=CURSOS!$D$39,"ATENCION DE PACIENTE POR CONSUMO SUSTANCIAS PSICOACTIVAS Y ADICCIONES")))))))))))))))))))))))))))))))))))))</f>
        <v>0</v>
      </c>
      <c r="W178" s="44" t="str">
        <f t="shared" si="9"/>
        <v xml:space="preserve">   </v>
      </c>
      <c r="X178" s="44" t="str">
        <f t="shared" si="10"/>
        <v xml:space="preserve">   </v>
      </c>
      <c r="Y178" s="44" t="str">
        <f t="shared" si="11"/>
        <v xml:space="preserve">   --</v>
      </c>
    </row>
    <row r="179" spans="1:25" x14ac:dyDescent="0.2">
      <c r="A179" s="45">
        <v>178</v>
      </c>
      <c r="J179" s="47"/>
      <c r="Q179" s="47"/>
      <c r="U179" s="46"/>
      <c r="V179" s="44" t="b">
        <f>IF(P179=CURSOS!$D$3,"DIPLOMADO EN ATENCION PRE-HOSPITALARIA",IF(P179=CURSOS!$D$4,"ACOMPAÑAMIENTO Y MANEJO DEL DUELO",IF(P179=CURSOS!$D$5,"ATENCION A VICTIMAS DE ATAQUE CON AGENTES QUIMICOS ",IF(P179=CURSOS!$D$6,"PRIMEROS AUXILIOS ",IF(P179=CURSOS!$D$7,"DIPLOMADO DE UNIDAD DE CUIDADOS INTENSIVOS (UCI)",IF(P179=CURSOS!$D$8,"MODELO DE ATENCION PARA EVENTOS EMERGENTES EN SALUD MENTAL (CODIGO VERDE)",IF(P179=CURSOS!$D$9,"HUMANIZACION EN EL SERVICIO DE LA SALUD Y BUENAS PRACTICAS EN PACIENTE ",IF(P179=CURSOS!$D$10,"CLINICA DE HERIDAS ",IF(P179=CURSOS!$D$11,"TOMA DE CITOLOGIA CERVICO VAGINAL ",IF(P179=CURSOS!$D$12,"SOPORTE CARDIOVASCULAR AVANZADO (ACLS) ",IF(P179=CURSOS!$D$13,"CAMILLERO ",IF(P179=CURSOS!$D$14,"TOMA DE MUESTRAS Y LABORATORIO ",IF(P179=CURSOS!$D$15,"SOPORTE VITAL BASICO (BLS)",IF(P179=CURSOS!$D$16,"ATENCION A VICTIMAS DE VIOLENCIA SEXUAL ",IF(P179=CURSOS!$D$17,"PROGRAMADO AMPLIADO DE INMUNIZACION (PAI - COVID 19)",IF(P179=CURSOS!$D$18,"ATENCION INTEGRAL EN ENFERMEDADES PREVALENTES EN PRIMERA INFANCIA (AIEPI)",IF(P179=CURSOS!$D$19,"ADMINISTRACION DE MEDICAMENTOS, INYECTOLOGIA  Y CANALIZACION ",IF(P179=CURSOS!$D$20,"OPERADOR DE VEHICULOS DE EMERGENCIA (OVE)",IF(P179=CURSOS!$D$21,"INSTITUCIONES AMIGAS DE LA MUJER Y LA INFANCIA (IAMI)",IF(P179=CURSOS!$D$22,"CUIDADO DEL DONANTE DE ORGANOS",IF(P179=CURSOS!$D$23,"ATENCION A VICTIMAS POR VIOLENCIA DE GENERO",IF(P179=CURSOS!$D$24,"IGUALDAD DE GENERO EN LA SALUD",IF(P179=CURSOS!$D$25,"BRIGADA DE EMERGENCIA",IF(P179=CURSOS!$D$26,"MANEJO DEL DOLOR Y CUIDADOS PALIATIVOS",IF(P179=CURSOS!$D$27,"TOMA DE MUESTRAS Y LABORATORIO POCT",IF(P179=CURSOS!$D$28,"IMPLANTE SUBDERMICO DE DISPOSITIVO INTRAUTERINO",IF(P179=CURSOS!$D$29,"SALUD MENTAL",IF(P179=CURSOS!$D$30,"PRIMEROS AUXILIOS PSICOLOGICOS",IF(P179=CURSOS!$D$31,"ATENCION A VICTIMAS POR CONFLICTO ARMADO",IF(P179=CURSOS!$D$32,"MANIPULACION DE ALIMENTOS Y BPM",IF(P179=CURSOS!$D$33,"ATENCION A PERSONAS CON DISCAPACIDAD",IF(P179=CURSOS!$D$34,"CUIDADO INTEGRAL DEL PACIENTE ADULTO",IF(P179=CURSOS!$D$35,"MANEJO DEFENSIVO",IF(P179=CURSOS!$D$36,"SOPORTE CARDIOVASCULAR AVANZADO NEONATAL",IF(P179=CURSOS!$D$37,"SEGURIDAD DEL PACIENTE",IF(P179=CURSOS!$D$38,"MANEJO DE RESIDUOS HOSPITALARIOS",IF(P179=CURSOS!$D$39,"ATENCION DE PACIENTE POR CONSUMO SUSTANCIAS PSICOACTIVAS Y ADICCIONES")))))))))))))))))))))))))))))))))))))</f>
        <v>0</v>
      </c>
      <c r="W179" s="44" t="str">
        <f t="shared" si="9"/>
        <v xml:space="preserve">   </v>
      </c>
      <c r="X179" s="44" t="str">
        <f t="shared" si="10"/>
        <v xml:space="preserve">   </v>
      </c>
      <c r="Y179" s="44" t="str">
        <f t="shared" si="11"/>
        <v xml:space="preserve">   --</v>
      </c>
    </row>
    <row r="180" spans="1:25" x14ac:dyDescent="0.2">
      <c r="A180" s="45">
        <v>179</v>
      </c>
      <c r="J180" s="47"/>
      <c r="Q180" s="47"/>
      <c r="U180" s="46"/>
      <c r="V180" s="44" t="b">
        <f>IF(P180=CURSOS!$D$3,"DIPLOMADO EN ATENCION PRE-HOSPITALARIA",IF(P180=CURSOS!$D$4,"ACOMPAÑAMIENTO Y MANEJO DEL DUELO",IF(P180=CURSOS!$D$5,"ATENCION A VICTIMAS DE ATAQUE CON AGENTES QUIMICOS ",IF(P180=CURSOS!$D$6,"PRIMEROS AUXILIOS ",IF(P180=CURSOS!$D$7,"DIPLOMADO DE UNIDAD DE CUIDADOS INTENSIVOS (UCI)",IF(P180=CURSOS!$D$8,"MODELO DE ATENCION PARA EVENTOS EMERGENTES EN SALUD MENTAL (CODIGO VERDE)",IF(P180=CURSOS!$D$9,"HUMANIZACION EN EL SERVICIO DE LA SALUD Y BUENAS PRACTICAS EN PACIENTE ",IF(P180=CURSOS!$D$10,"CLINICA DE HERIDAS ",IF(P180=CURSOS!$D$11,"TOMA DE CITOLOGIA CERVICO VAGINAL ",IF(P180=CURSOS!$D$12,"SOPORTE CARDIOVASCULAR AVANZADO (ACLS) ",IF(P180=CURSOS!$D$13,"CAMILLERO ",IF(P180=CURSOS!$D$14,"TOMA DE MUESTRAS Y LABORATORIO ",IF(P180=CURSOS!$D$15,"SOPORTE VITAL BASICO (BLS)",IF(P180=CURSOS!$D$16,"ATENCION A VICTIMAS DE VIOLENCIA SEXUAL ",IF(P180=CURSOS!$D$17,"PROGRAMADO AMPLIADO DE INMUNIZACION (PAI - COVID 19)",IF(P180=CURSOS!$D$18,"ATENCION INTEGRAL EN ENFERMEDADES PREVALENTES EN PRIMERA INFANCIA (AIEPI)",IF(P180=CURSOS!$D$19,"ADMINISTRACION DE MEDICAMENTOS, INYECTOLOGIA  Y CANALIZACION ",IF(P180=CURSOS!$D$20,"OPERADOR DE VEHICULOS DE EMERGENCIA (OVE)",IF(P180=CURSOS!$D$21,"INSTITUCIONES AMIGAS DE LA MUJER Y LA INFANCIA (IAMI)",IF(P180=CURSOS!$D$22,"CUIDADO DEL DONANTE DE ORGANOS",IF(P180=CURSOS!$D$23,"ATENCION A VICTIMAS POR VIOLENCIA DE GENERO",IF(P180=CURSOS!$D$24,"IGUALDAD DE GENERO EN LA SALUD",IF(P180=CURSOS!$D$25,"BRIGADA DE EMERGENCIA",IF(P180=CURSOS!$D$26,"MANEJO DEL DOLOR Y CUIDADOS PALIATIVOS",IF(P180=CURSOS!$D$27,"TOMA DE MUESTRAS Y LABORATORIO POCT",IF(P180=CURSOS!$D$28,"IMPLANTE SUBDERMICO DE DISPOSITIVO INTRAUTERINO",IF(P180=CURSOS!$D$29,"SALUD MENTAL",IF(P180=CURSOS!$D$30,"PRIMEROS AUXILIOS PSICOLOGICOS",IF(P180=CURSOS!$D$31,"ATENCION A VICTIMAS POR CONFLICTO ARMADO",IF(P180=CURSOS!$D$32,"MANIPULACION DE ALIMENTOS Y BPM",IF(P180=CURSOS!$D$33,"ATENCION A PERSONAS CON DISCAPACIDAD",IF(P180=CURSOS!$D$34,"CUIDADO INTEGRAL DEL PACIENTE ADULTO",IF(P180=CURSOS!$D$35,"MANEJO DEFENSIVO",IF(P180=CURSOS!$D$36,"SOPORTE CARDIOVASCULAR AVANZADO NEONATAL",IF(P180=CURSOS!$D$37,"SEGURIDAD DEL PACIENTE",IF(P180=CURSOS!$D$38,"MANEJO DE RESIDUOS HOSPITALARIOS",IF(P180=CURSOS!$D$39,"ATENCION DE PACIENTE POR CONSUMO SUSTANCIAS PSICOACTIVAS Y ADICCIONES")))))))))))))))))))))))))))))))))))))</f>
        <v>0</v>
      </c>
      <c r="W180" s="44" t="str">
        <f t="shared" si="9"/>
        <v xml:space="preserve">   </v>
      </c>
      <c r="X180" s="44" t="str">
        <f t="shared" si="10"/>
        <v xml:space="preserve">   </v>
      </c>
      <c r="Y180" s="44" t="str">
        <f t="shared" si="11"/>
        <v xml:space="preserve">   --</v>
      </c>
    </row>
    <row r="181" spans="1:25" x14ac:dyDescent="0.2">
      <c r="A181" s="45">
        <v>180</v>
      </c>
      <c r="J181" s="47"/>
      <c r="Q181" s="47"/>
      <c r="U181" s="46"/>
      <c r="V181" s="44" t="b">
        <f>IF(P181=CURSOS!$D$3,"DIPLOMADO EN ATENCION PRE-HOSPITALARIA",IF(P181=CURSOS!$D$4,"ACOMPAÑAMIENTO Y MANEJO DEL DUELO",IF(P181=CURSOS!$D$5,"ATENCION A VICTIMAS DE ATAQUE CON AGENTES QUIMICOS ",IF(P181=CURSOS!$D$6,"PRIMEROS AUXILIOS ",IF(P181=CURSOS!$D$7,"DIPLOMADO DE UNIDAD DE CUIDADOS INTENSIVOS (UCI)",IF(P181=CURSOS!$D$8,"MODELO DE ATENCION PARA EVENTOS EMERGENTES EN SALUD MENTAL (CODIGO VERDE)",IF(P181=CURSOS!$D$9,"HUMANIZACION EN EL SERVICIO DE LA SALUD Y BUENAS PRACTICAS EN PACIENTE ",IF(P181=CURSOS!$D$10,"CLINICA DE HERIDAS ",IF(P181=CURSOS!$D$11,"TOMA DE CITOLOGIA CERVICO VAGINAL ",IF(P181=CURSOS!$D$12,"SOPORTE CARDIOVASCULAR AVANZADO (ACLS) ",IF(P181=CURSOS!$D$13,"CAMILLERO ",IF(P181=CURSOS!$D$14,"TOMA DE MUESTRAS Y LABORATORIO ",IF(P181=CURSOS!$D$15,"SOPORTE VITAL BASICO (BLS)",IF(P181=CURSOS!$D$16,"ATENCION A VICTIMAS DE VIOLENCIA SEXUAL ",IF(P181=CURSOS!$D$17,"PROGRAMADO AMPLIADO DE INMUNIZACION (PAI - COVID 19)",IF(P181=CURSOS!$D$18,"ATENCION INTEGRAL EN ENFERMEDADES PREVALENTES EN PRIMERA INFANCIA (AIEPI)",IF(P181=CURSOS!$D$19,"ADMINISTRACION DE MEDICAMENTOS, INYECTOLOGIA  Y CANALIZACION ",IF(P181=CURSOS!$D$20,"OPERADOR DE VEHICULOS DE EMERGENCIA (OVE)",IF(P181=CURSOS!$D$21,"INSTITUCIONES AMIGAS DE LA MUJER Y LA INFANCIA (IAMI)",IF(P181=CURSOS!$D$22,"CUIDADO DEL DONANTE DE ORGANOS",IF(P181=CURSOS!$D$23,"ATENCION A VICTIMAS POR VIOLENCIA DE GENERO",IF(P181=CURSOS!$D$24,"IGUALDAD DE GENERO EN LA SALUD",IF(P181=CURSOS!$D$25,"BRIGADA DE EMERGENCIA",IF(P181=CURSOS!$D$26,"MANEJO DEL DOLOR Y CUIDADOS PALIATIVOS",IF(P181=CURSOS!$D$27,"TOMA DE MUESTRAS Y LABORATORIO POCT",IF(P181=CURSOS!$D$28,"IMPLANTE SUBDERMICO DE DISPOSITIVO INTRAUTERINO",IF(P181=CURSOS!$D$29,"SALUD MENTAL",IF(P181=CURSOS!$D$30,"PRIMEROS AUXILIOS PSICOLOGICOS",IF(P181=CURSOS!$D$31,"ATENCION A VICTIMAS POR CONFLICTO ARMADO",IF(P181=CURSOS!$D$32,"MANIPULACION DE ALIMENTOS Y BPM",IF(P181=CURSOS!$D$33,"ATENCION A PERSONAS CON DISCAPACIDAD",IF(P181=CURSOS!$D$34,"CUIDADO INTEGRAL DEL PACIENTE ADULTO",IF(P181=CURSOS!$D$35,"MANEJO DEFENSIVO",IF(P181=CURSOS!$D$36,"SOPORTE CARDIOVASCULAR AVANZADO NEONATAL",IF(P181=CURSOS!$D$37,"SEGURIDAD DEL PACIENTE",IF(P181=CURSOS!$D$38,"MANEJO DE RESIDUOS HOSPITALARIOS",IF(P181=CURSOS!$D$39,"ATENCION DE PACIENTE POR CONSUMO SUSTANCIAS PSICOACTIVAS Y ADICCIONES")))))))))))))))))))))))))))))))))))))</f>
        <v>0</v>
      </c>
      <c r="W181" s="44" t="str">
        <f t="shared" si="9"/>
        <v xml:space="preserve">   </v>
      </c>
      <c r="X181" s="44" t="str">
        <f t="shared" si="10"/>
        <v xml:space="preserve">   </v>
      </c>
      <c r="Y181" s="44" t="str">
        <f t="shared" si="11"/>
        <v xml:space="preserve">   --</v>
      </c>
    </row>
    <row r="182" spans="1:25" x14ac:dyDescent="0.2">
      <c r="A182" s="45">
        <v>181</v>
      </c>
      <c r="J182" s="47"/>
      <c r="Q182" s="47"/>
      <c r="U182" s="53"/>
      <c r="V182" s="44" t="b">
        <f>IF(P182=CURSOS!$D$3,"DIPLOMADO EN ATENCION PRE-HOSPITALARIA",IF(P182=CURSOS!$D$4,"ACOMPAÑAMIENTO Y MANEJO DEL DUELO",IF(P182=CURSOS!$D$5,"ATENCION A VICTIMAS DE ATAQUE CON AGENTES QUIMICOS ",IF(P182=CURSOS!$D$6,"PRIMEROS AUXILIOS ",IF(P182=CURSOS!$D$7,"DIPLOMADO DE UNIDAD DE CUIDADOS INTENSIVOS (UCI)",IF(P182=CURSOS!$D$8,"MODELO DE ATENCION PARA EVENTOS EMERGENTES EN SALUD MENTAL (CODIGO VERDE)",IF(P182=CURSOS!$D$9,"HUMANIZACION EN EL SERVICIO DE LA SALUD Y BUENAS PRACTICAS EN PACIENTE ",IF(P182=CURSOS!$D$10,"CLINICA DE HERIDAS ",IF(P182=CURSOS!$D$11,"TOMA DE CITOLOGIA CERVICO VAGINAL ",IF(P182=CURSOS!$D$12,"SOPORTE CARDIOVASCULAR AVANZADO (ACLS) ",IF(P182=CURSOS!$D$13,"CAMILLERO ",IF(P182=CURSOS!$D$14,"TOMA DE MUESTRAS Y LABORATORIO ",IF(P182=CURSOS!$D$15,"SOPORTE VITAL BASICO (BLS)",IF(P182=CURSOS!$D$16,"ATENCION A VICTIMAS DE VIOLENCIA SEXUAL ",IF(P182=CURSOS!$D$17,"PROGRAMADO AMPLIADO DE INMUNIZACION (PAI - COVID 19)",IF(P182=CURSOS!$D$18,"ATENCION INTEGRAL EN ENFERMEDADES PREVALENTES EN PRIMERA INFANCIA (AIEPI)",IF(P182=CURSOS!$D$19,"ADMINISTRACION DE MEDICAMENTOS, INYECTOLOGIA  Y CANALIZACION ",IF(P182=CURSOS!$D$20,"OPERADOR DE VEHICULOS DE EMERGENCIA (OVE)",IF(P182=CURSOS!$D$21,"INSTITUCIONES AMIGAS DE LA MUJER Y LA INFANCIA (IAMI)",IF(P182=CURSOS!$D$22,"CUIDADO DEL DONANTE DE ORGANOS",IF(P182=CURSOS!$D$23,"ATENCION A VICTIMAS POR VIOLENCIA DE GENERO",IF(P182=CURSOS!$D$24,"IGUALDAD DE GENERO EN LA SALUD",IF(P182=CURSOS!$D$25,"BRIGADA DE EMERGENCIA",IF(P182=CURSOS!$D$26,"MANEJO DEL DOLOR Y CUIDADOS PALIATIVOS",IF(P182=CURSOS!$D$27,"TOMA DE MUESTRAS Y LABORATORIO POCT",IF(P182=CURSOS!$D$28,"IMPLANTE SUBDERMICO DE DISPOSITIVO INTRAUTERINO",IF(P182=CURSOS!$D$29,"SALUD MENTAL",IF(P182=CURSOS!$D$30,"PRIMEROS AUXILIOS PSICOLOGICOS",IF(P182=CURSOS!$D$31,"ATENCION A VICTIMAS POR CONFLICTO ARMADO",IF(P182=CURSOS!$D$32,"MANIPULACION DE ALIMENTOS Y BPM",IF(P182=CURSOS!$D$33,"ATENCION A PERSONAS CON DISCAPACIDAD",IF(P182=CURSOS!$D$34,"CUIDADO INTEGRAL DEL PACIENTE ADULTO",IF(P182=CURSOS!$D$35,"MANEJO DEFENSIVO",IF(P182=CURSOS!$D$36,"SOPORTE CARDIOVASCULAR AVANZADO NEONATAL",IF(P182=CURSOS!$D$37,"SEGURIDAD DEL PACIENTE",IF(P182=CURSOS!$D$38,"MANEJO DE RESIDUOS HOSPITALARIOS",IF(P182=CURSOS!$D$39,"ATENCION DE PACIENTE POR CONSUMO SUSTANCIAS PSICOACTIVAS Y ADICCIONES")))))))))))))))))))))))))))))))))))))</f>
        <v>0</v>
      </c>
      <c r="W182" s="44" t="str">
        <f t="shared" si="9"/>
        <v xml:space="preserve">   </v>
      </c>
      <c r="X182" s="44" t="str">
        <f t="shared" si="10"/>
        <v xml:space="preserve">   </v>
      </c>
      <c r="Y182" s="44" t="str">
        <f t="shared" si="11"/>
        <v xml:space="preserve">   --</v>
      </c>
    </row>
    <row r="183" spans="1:25" x14ac:dyDescent="0.2">
      <c r="A183" s="45">
        <v>182</v>
      </c>
      <c r="J183" s="47"/>
      <c r="Q183" s="47"/>
      <c r="U183" s="53"/>
      <c r="V183" s="44" t="b">
        <f>IF(P183=CURSOS!$D$3,"DIPLOMADO EN ATENCION PRE-HOSPITALARIA",IF(P183=CURSOS!$D$4,"ACOMPAÑAMIENTO Y MANEJO DEL DUELO",IF(P183=CURSOS!$D$5,"ATENCION A VICTIMAS DE ATAQUE CON AGENTES QUIMICOS ",IF(P183=CURSOS!$D$6,"PRIMEROS AUXILIOS ",IF(P183=CURSOS!$D$7,"DIPLOMADO DE UNIDAD DE CUIDADOS INTENSIVOS (UCI)",IF(P183=CURSOS!$D$8,"MODELO DE ATENCION PARA EVENTOS EMERGENTES EN SALUD MENTAL (CODIGO VERDE)",IF(P183=CURSOS!$D$9,"HUMANIZACION EN EL SERVICIO DE LA SALUD Y BUENAS PRACTICAS EN PACIENTE ",IF(P183=CURSOS!$D$10,"CLINICA DE HERIDAS ",IF(P183=CURSOS!$D$11,"TOMA DE CITOLOGIA CERVICO VAGINAL ",IF(P183=CURSOS!$D$12,"SOPORTE CARDIOVASCULAR AVANZADO (ACLS) ",IF(P183=CURSOS!$D$13,"CAMILLERO ",IF(P183=CURSOS!$D$14,"TOMA DE MUESTRAS Y LABORATORIO ",IF(P183=CURSOS!$D$15,"SOPORTE VITAL BASICO (BLS)",IF(P183=CURSOS!$D$16,"ATENCION A VICTIMAS DE VIOLENCIA SEXUAL ",IF(P183=CURSOS!$D$17,"PROGRAMADO AMPLIADO DE INMUNIZACION (PAI - COVID 19)",IF(P183=CURSOS!$D$18,"ATENCION INTEGRAL EN ENFERMEDADES PREVALENTES EN PRIMERA INFANCIA (AIEPI)",IF(P183=CURSOS!$D$19,"ADMINISTRACION DE MEDICAMENTOS, INYECTOLOGIA  Y CANALIZACION ",IF(P183=CURSOS!$D$20,"OPERADOR DE VEHICULOS DE EMERGENCIA (OVE)",IF(P183=CURSOS!$D$21,"INSTITUCIONES AMIGAS DE LA MUJER Y LA INFANCIA (IAMI)",IF(P183=CURSOS!$D$22,"CUIDADO DEL DONANTE DE ORGANOS",IF(P183=CURSOS!$D$23,"ATENCION A VICTIMAS POR VIOLENCIA DE GENERO",IF(P183=CURSOS!$D$24,"IGUALDAD DE GENERO EN LA SALUD",IF(P183=CURSOS!$D$25,"BRIGADA DE EMERGENCIA",IF(P183=CURSOS!$D$26,"MANEJO DEL DOLOR Y CUIDADOS PALIATIVOS",IF(P183=CURSOS!$D$27,"TOMA DE MUESTRAS Y LABORATORIO POCT",IF(P183=CURSOS!$D$28,"IMPLANTE SUBDERMICO DE DISPOSITIVO INTRAUTERINO",IF(P183=CURSOS!$D$29,"SALUD MENTAL",IF(P183=CURSOS!$D$30,"PRIMEROS AUXILIOS PSICOLOGICOS",IF(P183=CURSOS!$D$31,"ATENCION A VICTIMAS POR CONFLICTO ARMADO",IF(P183=CURSOS!$D$32,"MANIPULACION DE ALIMENTOS Y BPM",IF(P183=CURSOS!$D$33,"ATENCION A PERSONAS CON DISCAPACIDAD",IF(P183=CURSOS!$D$34,"CUIDADO INTEGRAL DEL PACIENTE ADULTO",IF(P183=CURSOS!$D$35,"MANEJO DEFENSIVO",IF(P183=CURSOS!$D$36,"SOPORTE CARDIOVASCULAR AVANZADO NEONATAL",IF(P183=CURSOS!$D$37,"SEGURIDAD DEL PACIENTE",IF(P183=CURSOS!$D$38,"MANEJO DE RESIDUOS HOSPITALARIOS",IF(P183=CURSOS!$D$39,"ATENCION DE PACIENTE POR CONSUMO SUSTANCIAS PSICOACTIVAS Y ADICCIONES")))))))))))))))))))))))))))))))))))))</f>
        <v>0</v>
      </c>
      <c r="W183" s="44" t="str">
        <f t="shared" si="9"/>
        <v xml:space="preserve">   </v>
      </c>
      <c r="X183" s="44" t="str">
        <f t="shared" si="10"/>
        <v xml:space="preserve">   </v>
      </c>
      <c r="Y183" s="44" t="str">
        <f t="shared" si="11"/>
        <v xml:space="preserve">   --</v>
      </c>
    </row>
    <row r="184" spans="1:25" x14ac:dyDescent="0.2">
      <c r="A184" s="45">
        <v>183</v>
      </c>
      <c r="J184" s="47"/>
      <c r="Q184" s="47"/>
      <c r="U184" s="46"/>
      <c r="V184" s="44" t="b">
        <f>IF(P184=CURSOS!$D$3,"DIPLOMADO EN ATENCION PRE-HOSPITALARIA",IF(P184=CURSOS!$D$4,"ACOMPAÑAMIENTO Y MANEJO DEL DUELO",IF(P184=CURSOS!$D$5,"ATENCION A VICTIMAS DE ATAQUE CON AGENTES QUIMICOS ",IF(P184=CURSOS!$D$6,"PRIMEROS AUXILIOS ",IF(P184=CURSOS!$D$7,"DIPLOMADO DE UNIDAD DE CUIDADOS INTENSIVOS (UCI)",IF(P184=CURSOS!$D$8,"MODELO DE ATENCION PARA EVENTOS EMERGENTES EN SALUD MENTAL (CODIGO VERDE)",IF(P184=CURSOS!$D$9,"HUMANIZACION EN EL SERVICIO DE LA SALUD Y BUENAS PRACTICAS EN PACIENTE ",IF(P184=CURSOS!$D$10,"CLINICA DE HERIDAS ",IF(P184=CURSOS!$D$11,"TOMA DE CITOLOGIA CERVICO VAGINAL ",IF(P184=CURSOS!$D$12,"SOPORTE CARDIOVASCULAR AVANZADO (ACLS) ",IF(P184=CURSOS!$D$13,"CAMILLERO ",IF(P184=CURSOS!$D$14,"TOMA DE MUESTRAS Y LABORATORIO ",IF(P184=CURSOS!$D$15,"SOPORTE VITAL BASICO (BLS)",IF(P184=CURSOS!$D$16,"ATENCION A VICTIMAS DE VIOLENCIA SEXUAL ",IF(P184=CURSOS!$D$17,"PROGRAMADO AMPLIADO DE INMUNIZACION (PAI - COVID 19)",IF(P184=CURSOS!$D$18,"ATENCION INTEGRAL EN ENFERMEDADES PREVALENTES EN PRIMERA INFANCIA (AIEPI)",IF(P184=CURSOS!$D$19,"ADMINISTRACION DE MEDICAMENTOS, INYECTOLOGIA  Y CANALIZACION ",IF(P184=CURSOS!$D$20,"OPERADOR DE VEHICULOS DE EMERGENCIA (OVE)",IF(P184=CURSOS!$D$21,"INSTITUCIONES AMIGAS DE LA MUJER Y LA INFANCIA (IAMI)",IF(P184=CURSOS!$D$22,"CUIDADO DEL DONANTE DE ORGANOS",IF(P184=CURSOS!$D$23,"ATENCION A VICTIMAS POR VIOLENCIA DE GENERO",IF(P184=CURSOS!$D$24,"IGUALDAD DE GENERO EN LA SALUD",IF(P184=CURSOS!$D$25,"BRIGADA DE EMERGENCIA",IF(P184=CURSOS!$D$26,"MANEJO DEL DOLOR Y CUIDADOS PALIATIVOS",IF(P184=CURSOS!$D$27,"TOMA DE MUESTRAS Y LABORATORIO POCT",IF(P184=CURSOS!$D$28,"IMPLANTE SUBDERMICO DE DISPOSITIVO INTRAUTERINO",IF(P184=CURSOS!$D$29,"SALUD MENTAL",IF(P184=CURSOS!$D$30,"PRIMEROS AUXILIOS PSICOLOGICOS",IF(P184=CURSOS!$D$31,"ATENCION A VICTIMAS POR CONFLICTO ARMADO",IF(P184=CURSOS!$D$32,"MANIPULACION DE ALIMENTOS Y BPM",IF(P184=CURSOS!$D$33,"ATENCION A PERSONAS CON DISCAPACIDAD",IF(P184=CURSOS!$D$34,"CUIDADO INTEGRAL DEL PACIENTE ADULTO",IF(P184=CURSOS!$D$35,"MANEJO DEFENSIVO",IF(P184=CURSOS!$D$36,"SOPORTE CARDIOVASCULAR AVANZADO NEONATAL",IF(P184=CURSOS!$D$37,"SEGURIDAD DEL PACIENTE",IF(P184=CURSOS!$D$38,"MANEJO DE RESIDUOS HOSPITALARIOS",IF(P184=CURSOS!$D$39,"ATENCION DE PACIENTE POR CONSUMO SUSTANCIAS PSICOACTIVAS Y ADICCIONES")))))))))))))))))))))))))))))))))))))</f>
        <v>0</v>
      </c>
      <c r="W184" s="44" t="str">
        <f t="shared" si="9"/>
        <v xml:space="preserve">   </v>
      </c>
      <c r="X184" s="44" t="str">
        <f t="shared" si="10"/>
        <v xml:space="preserve">   </v>
      </c>
      <c r="Y184" s="44" t="str">
        <f t="shared" si="11"/>
        <v xml:space="preserve">   --</v>
      </c>
    </row>
    <row r="185" spans="1:25" x14ac:dyDescent="0.2">
      <c r="A185" s="45">
        <v>184</v>
      </c>
      <c r="J185" s="47"/>
      <c r="Q185" s="47"/>
      <c r="U185" s="46"/>
      <c r="V185" s="44" t="b">
        <f>IF(P185=CURSOS!$D$3,"DIPLOMADO EN ATENCION PRE-HOSPITALARIA",IF(P185=CURSOS!$D$4,"ACOMPAÑAMIENTO Y MANEJO DEL DUELO",IF(P185=CURSOS!$D$5,"ATENCION A VICTIMAS DE ATAQUE CON AGENTES QUIMICOS ",IF(P185=CURSOS!$D$6,"PRIMEROS AUXILIOS ",IF(P185=CURSOS!$D$7,"DIPLOMADO DE UNIDAD DE CUIDADOS INTENSIVOS (UCI)",IF(P185=CURSOS!$D$8,"MODELO DE ATENCION PARA EVENTOS EMERGENTES EN SALUD MENTAL (CODIGO VERDE)",IF(P185=CURSOS!$D$9,"HUMANIZACION EN EL SERVICIO DE LA SALUD Y BUENAS PRACTICAS EN PACIENTE ",IF(P185=CURSOS!$D$10,"CLINICA DE HERIDAS ",IF(P185=CURSOS!$D$11,"TOMA DE CITOLOGIA CERVICO VAGINAL ",IF(P185=CURSOS!$D$12,"SOPORTE CARDIOVASCULAR AVANZADO (ACLS) ",IF(P185=CURSOS!$D$13,"CAMILLERO ",IF(P185=CURSOS!$D$14,"TOMA DE MUESTRAS Y LABORATORIO ",IF(P185=CURSOS!$D$15,"SOPORTE VITAL BASICO (BLS)",IF(P185=CURSOS!$D$16,"ATENCION A VICTIMAS DE VIOLENCIA SEXUAL ",IF(P185=CURSOS!$D$17,"PROGRAMADO AMPLIADO DE INMUNIZACION (PAI - COVID 19)",IF(P185=CURSOS!$D$18,"ATENCION INTEGRAL EN ENFERMEDADES PREVALENTES EN PRIMERA INFANCIA (AIEPI)",IF(P185=CURSOS!$D$19,"ADMINISTRACION DE MEDICAMENTOS, INYECTOLOGIA  Y CANALIZACION ",IF(P185=CURSOS!$D$20,"OPERADOR DE VEHICULOS DE EMERGENCIA (OVE)",IF(P185=CURSOS!$D$21,"INSTITUCIONES AMIGAS DE LA MUJER Y LA INFANCIA (IAMI)",IF(P185=CURSOS!$D$22,"CUIDADO DEL DONANTE DE ORGANOS",IF(P185=CURSOS!$D$23,"ATENCION A VICTIMAS POR VIOLENCIA DE GENERO",IF(P185=CURSOS!$D$24,"IGUALDAD DE GENERO EN LA SALUD",IF(P185=CURSOS!$D$25,"BRIGADA DE EMERGENCIA",IF(P185=CURSOS!$D$26,"MANEJO DEL DOLOR Y CUIDADOS PALIATIVOS",IF(P185=CURSOS!$D$27,"TOMA DE MUESTRAS Y LABORATORIO POCT",IF(P185=CURSOS!$D$28,"IMPLANTE SUBDERMICO DE DISPOSITIVO INTRAUTERINO",IF(P185=CURSOS!$D$29,"SALUD MENTAL",IF(P185=CURSOS!$D$30,"PRIMEROS AUXILIOS PSICOLOGICOS",IF(P185=CURSOS!$D$31,"ATENCION A VICTIMAS POR CONFLICTO ARMADO",IF(P185=CURSOS!$D$32,"MANIPULACION DE ALIMENTOS Y BPM",IF(P185=CURSOS!$D$33,"ATENCION A PERSONAS CON DISCAPACIDAD",IF(P185=CURSOS!$D$34,"CUIDADO INTEGRAL DEL PACIENTE ADULTO",IF(P185=CURSOS!$D$35,"MANEJO DEFENSIVO",IF(P185=CURSOS!$D$36,"SOPORTE CARDIOVASCULAR AVANZADO NEONATAL",IF(P185=CURSOS!$D$37,"SEGURIDAD DEL PACIENTE",IF(P185=CURSOS!$D$38,"MANEJO DE RESIDUOS HOSPITALARIOS",IF(P185=CURSOS!$D$39,"ATENCION DE PACIENTE POR CONSUMO SUSTANCIAS PSICOACTIVAS Y ADICCIONES")))))))))))))))))))))))))))))))))))))</f>
        <v>0</v>
      </c>
      <c r="W185" s="44" t="str">
        <f t="shared" si="9"/>
        <v xml:space="preserve">   </v>
      </c>
      <c r="X185" s="44" t="str">
        <f t="shared" si="10"/>
        <v xml:space="preserve">   </v>
      </c>
      <c r="Y185" s="44" t="str">
        <f t="shared" si="11"/>
        <v xml:space="preserve">   --</v>
      </c>
    </row>
    <row r="186" spans="1:25" x14ac:dyDescent="0.2">
      <c r="A186" s="45">
        <v>185</v>
      </c>
      <c r="J186" s="47"/>
      <c r="Q186" s="47"/>
      <c r="U186" s="46"/>
      <c r="V186" s="44" t="b">
        <f>IF(P186=CURSOS!$D$3,"DIPLOMADO EN ATENCION PRE-HOSPITALARIA",IF(P186=CURSOS!$D$4,"ACOMPAÑAMIENTO Y MANEJO DEL DUELO",IF(P186=CURSOS!$D$5,"ATENCION A VICTIMAS DE ATAQUE CON AGENTES QUIMICOS ",IF(P186=CURSOS!$D$6,"PRIMEROS AUXILIOS ",IF(P186=CURSOS!$D$7,"DIPLOMADO DE UNIDAD DE CUIDADOS INTENSIVOS (UCI)",IF(P186=CURSOS!$D$8,"MODELO DE ATENCION PARA EVENTOS EMERGENTES EN SALUD MENTAL (CODIGO VERDE)",IF(P186=CURSOS!$D$9,"HUMANIZACION EN EL SERVICIO DE LA SALUD Y BUENAS PRACTICAS EN PACIENTE ",IF(P186=CURSOS!$D$10,"CLINICA DE HERIDAS ",IF(P186=CURSOS!$D$11,"TOMA DE CITOLOGIA CERVICO VAGINAL ",IF(P186=CURSOS!$D$12,"SOPORTE CARDIOVASCULAR AVANZADO (ACLS) ",IF(P186=CURSOS!$D$13,"CAMILLERO ",IF(P186=CURSOS!$D$14,"TOMA DE MUESTRAS Y LABORATORIO ",IF(P186=CURSOS!$D$15,"SOPORTE VITAL BASICO (BLS)",IF(P186=CURSOS!$D$16,"ATENCION A VICTIMAS DE VIOLENCIA SEXUAL ",IF(P186=CURSOS!$D$17,"PROGRAMADO AMPLIADO DE INMUNIZACION (PAI - COVID 19)",IF(P186=CURSOS!$D$18,"ATENCION INTEGRAL EN ENFERMEDADES PREVALENTES EN PRIMERA INFANCIA (AIEPI)",IF(P186=CURSOS!$D$19,"ADMINISTRACION DE MEDICAMENTOS, INYECTOLOGIA  Y CANALIZACION ",IF(P186=CURSOS!$D$20,"OPERADOR DE VEHICULOS DE EMERGENCIA (OVE)",IF(P186=CURSOS!$D$21,"INSTITUCIONES AMIGAS DE LA MUJER Y LA INFANCIA (IAMI)",IF(P186=CURSOS!$D$22,"CUIDADO DEL DONANTE DE ORGANOS",IF(P186=CURSOS!$D$23,"ATENCION A VICTIMAS POR VIOLENCIA DE GENERO",IF(P186=CURSOS!$D$24,"IGUALDAD DE GENERO EN LA SALUD",IF(P186=CURSOS!$D$25,"BRIGADA DE EMERGENCIA",IF(P186=CURSOS!$D$26,"MANEJO DEL DOLOR Y CUIDADOS PALIATIVOS",IF(P186=CURSOS!$D$27,"TOMA DE MUESTRAS Y LABORATORIO POCT",IF(P186=CURSOS!$D$28,"IMPLANTE SUBDERMICO DE DISPOSITIVO INTRAUTERINO",IF(P186=CURSOS!$D$29,"SALUD MENTAL",IF(P186=CURSOS!$D$30,"PRIMEROS AUXILIOS PSICOLOGICOS",IF(P186=CURSOS!$D$31,"ATENCION A VICTIMAS POR CONFLICTO ARMADO",IF(P186=CURSOS!$D$32,"MANIPULACION DE ALIMENTOS Y BPM",IF(P186=CURSOS!$D$33,"ATENCION A PERSONAS CON DISCAPACIDAD",IF(P186=CURSOS!$D$34,"CUIDADO INTEGRAL DEL PACIENTE ADULTO",IF(P186=CURSOS!$D$35,"MANEJO DEFENSIVO",IF(P186=CURSOS!$D$36,"SOPORTE CARDIOVASCULAR AVANZADO NEONATAL",IF(P186=CURSOS!$D$37,"SEGURIDAD DEL PACIENTE",IF(P186=CURSOS!$D$38,"MANEJO DE RESIDUOS HOSPITALARIOS",IF(P186=CURSOS!$D$39,"ATENCION DE PACIENTE POR CONSUMO SUSTANCIAS PSICOACTIVAS Y ADICCIONES")))))))))))))))))))))))))))))))))))))</f>
        <v>0</v>
      </c>
      <c r="W186" s="44" t="str">
        <f t="shared" si="9"/>
        <v xml:space="preserve">   </v>
      </c>
      <c r="X186" s="44" t="str">
        <f t="shared" si="10"/>
        <v xml:space="preserve">   </v>
      </c>
      <c r="Y186" s="44" t="str">
        <f t="shared" si="11"/>
        <v xml:space="preserve">   --</v>
      </c>
    </row>
    <row r="187" spans="1:25" x14ac:dyDescent="0.2">
      <c r="A187" s="45">
        <v>186</v>
      </c>
      <c r="J187" s="47"/>
      <c r="Q187" s="47"/>
      <c r="T187" s="50"/>
      <c r="U187" s="46"/>
      <c r="V187" s="44" t="b">
        <f>IF(P187=CURSOS!$D$3,"DIPLOMADO EN ATENCION PRE-HOSPITALARIA",IF(P187=CURSOS!$D$4,"ACOMPAÑAMIENTO Y MANEJO DEL DUELO",IF(P187=CURSOS!$D$5,"ATENCION A VICTIMAS DE ATAQUE CON AGENTES QUIMICOS ",IF(P187=CURSOS!$D$6,"PRIMEROS AUXILIOS ",IF(P187=CURSOS!$D$7,"DIPLOMADO DE UNIDAD DE CUIDADOS INTENSIVOS (UCI)",IF(P187=CURSOS!$D$8,"MODELO DE ATENCION PARA EVENTOS EMERGENTES EN SALUD MENTAL (CODIGO VERDE)",IF(P187=CURSOS!$D$9,"HUMANIZACION EN EL SERVICIO DE LA SALUD Y BUENAS PRACTICAS EN PACIENTE ",IF(P187=CURSOS!$D$10,"CLINICA DE HERIDAS ",IF(P187=CURSOS!$D$11,"TOMA DE CITOLOGIA CERVICO VAGINAL ",IF(P187=CURSOS!$D$12,"SOPORTE CARDIOVASCULAR AVANZADO (ACLS) ",IF(P187=CURSOS!$D$13,"CAMILLERO ",IF(P187=CURSOS!$D$14,"TOMA DE MUESTRAS Y LABORATORIO ",IF(P187=CURSOS!$D$15,"SOPORTE VITAL BASICO (BLS)",IF(P187=CURSOS!$D$16,"ATENCION A VICTIMAS DE VIOLENCIA SEXUAL ",IF(P187=CURSOS!$D$17,"PROGRAMADO AMPLIADO DE INMUNIZACION (PAI - COVID 19)",IF(P187=CURSOS!$D$18,"ATENCION INTEGRAL EN ENFERMEDADES PREVALENTES EN PRIMERA INFANCIA (AIEPI)",IF(P187=CURSOS!$D$19,"ADMINISTRACION DE MEDICAMENTOS, INYECTOLOGIA  Y CANALIZACION ",IF(P187=CURSOS!$D$20,"OPERADOR DE VEHICULOS DE EMERGENCIA (OVE)",IF(P187=CURSOS!$D$21,"INSTITUCIONES AMIGAS DE LA MUJER Y LA INFANCIA (IAMI)",IF(P187=CURSOS!$D$22,"CUIDADO DEL DONANTE DE ORGANOS",IF(P187=CURSOS!$D$23,"ATENCION A VICTIMAS POR VIOLENCIA DE GENERO",IF(P187=CURSOS!$D$24,"IGUALDAD DE GENERO EN LA SALUD",IF(P187=CURSOS!$D$25,"BRIGADA DE EMERGENCIA",IF(P187=CURSOS!$D$26,"MANEJO DEL DOLOR Y CUIDADOS PALIATIVOS",IF(P187=CURSOS!$D$27,"TOMA DE MUESTRAS Y LABORATORIO POCT",IF(P187=CURSOS!$D$28,"IMPLANTE SUBDERMICO DE DISPOSITIVO INTRAUTERINO",IF(P187=CURSOS!$D$29,"SALUD MENTAL",IF(P187=CURSOS!$D$30,"PRIMEROS AUXILIOS PSICOLOGICOS",IF(P187=CURSOS!$D$31,"ATENCION A VICTIMAS POR CONFLICTO ARMADO",IF(P187=CURSOS!$D$32,"MANIPULACION DE ALIMENTOS Y BPM",IF(P187=CURSOS!$D$33,"ATENCION A PERSONAS CON DISCAPACIDAD",IF(P187=CURSOS!$D$34,"CUIDADO INTEGRAL DEL PACIENTE ADULTO",IF(P187=CURSOS!$D$35,"MANEJO DEFENSIVO",IF(P187=CURSOS!$D$36,"SOPORTE CARDIOVASCULAR AVANZADO NEONATAL",IF(P187=CURSOS!$D$37,"SEGURIDAD DEL PACIENTE",IF(P187=CURSOS!$D$38,"MANEJO DE RESIDUOS HOSPITALARIOS",IF(P187=CURSOS!$D$39,"ATENCION DE PACIENTE POR CONSUMO SUSTANCIAS PSICOACTIVAS Y ADICCIONES")))))))))))))))))))))))))))))))))))))</f>
        <v>0</v>
      </c>
      <c r="W187" s="44" t="str">
        <f t="shared" si="9"/>
        <v xml:space="preserve">   </v>
      </c>
      <c r="X187" s="44" t="str">
        <f t="shared" si="10"/>
        <v xml:space="preserve">   </v>
      </c>
      <c r="Y187" s="44" t="str">
        <f t="shared" si="11"/>
        <v xml:space="preserve">   --</v>
      </c>
    </row>
    <row r="188" spans="1:25" x14ac:dyDescent="0.2">
      <c r="A188" s="45">
        <v>187</v>
      </c>
      <c r="J188" s="47"/>
      <c r="Q188" s="47"/>
      <c r="T188" s="50"/>
      <c r="U188" s="46"/>
      <c r="V188" s="44" t="b">
        <f>IF(P188=CURSOS!$D$3,"DIPLOMADO EN ATENCION PRE-HOSPITALARIA",IF(P188=CURSOS!$D$4,"ACOMPAÑAMIENTO Y MANEJO DEL DUELO",IF(P188=CURSOS!$D$5,"ATENCION A VICTIMAS DE ATAQUE CON AGENTES QUIMICOS ",IF(P188=CURSOS!$D$6,"PRIMEROS AUXILIOS ",IF(P188=CURSOS!$D$7,"DIPLOMADO DE UNIDAD DE CUIDADOS INTENSIVOS (UCI)",IF(P188=CURSOS!$D$8,"MODELO DE ATENCION PARA EVENTOS EMERGENTES EN SALUD MENTAL (CODIGO VERDE)",IF(P188=CURSOS!$D$9,"HUMANIZACION EN EL SERVICIO DE LA SALUD Y BUENAS PRACTICAS EN PACIENTE ",IF(P188=CURSOS!$D$10,"CLINICA DE HERIDAS ",IF(P188=CURSOS!$D$11,"TOMA DE CITOLOGIA CERVICO VAGINAL ",IF(P188=CURSOS!$D$12,"SOPORTE CARDIOVASCULAR AVANZADO (ACLS) ",IF(P188=CURSOS!$D$13,"CAMILLERO ",IF(P188=CURSOS!$D$14,"TOMA DE MUESTRAS Y LABORATORIO ",IF(P188=CURSOS!$D$15,"SOPORTE VITAL BASICO (BLS)",IF(P188=CURSOS!$D$16,"ATENCION A VICTIMAS DE VIOLENCIA SEXUAL ",IF(P188=CURSOS!$D$17,"PROGRAMADO AMPLIADO DE INMUNIZACION (PAI - COVID 19)",IF(P188=CURSOS!$D$18,"ATENCION INTEGRAL EN ENFERMEDADES PREVALENTES EN PRIMERA INFANCIA (AIEPI)",IF(P188=CURSOS!$D$19,"ADMINISTRACION DE MEDICAMENTOS, INYECTOLOGIA  Y CANALIZACION ",IF(P188=CURSOS!$D$20,"OPERADOR DE VEHICULOS DE EMERGENCIA (OVE)",IF(P188=CURSOS!$D$21,"INSTITUCIONES AMIGAS DE LA MUJER Y LA INFANCIA (IAMI)",IF(P188=CURSOS!$D$22,"CUIDADO DEL DONANTE DE ORGANOS",IF(P188=CURSOS!$D$23,"ATENCION A VICTIMAS POR VIOLENCIA DE GENERO",IF(P188=CURSOS!$D$24,"IGUALDAD DE GENERO EN LA SALUD",IF(P188=CURSOS!$D$25,"BRIGADA DE EMERGENCIA",IF(P188=CURSOS!$D$26,"MANEJO DEL DOLOR Y CUIDADOS PALIATIVOS",IF(P188=CURSOS!$D$27,"TOMA DE MUESTRAS Y LABORATORIO POCT",IF(P188=CURSOS!$D$28,"IMPLANTE SUBDERMICO DE DISPOSITIVO INTRAUTERINO",IF(P188=CURSOS!$D$29,"SALUD MENTAL",IF(P188=CURSOS!$D$30,"PRIMEROS AUXILIOS PSICOLOGICOS",IF(P188=CURSOS!$D$31,"ATENCION A VICTIMAS POR CONFLICTO ARMADO",IF(P188=CURSOS!$D$32,"MANIPULACION DE ALIMENTOS Y BPM",IF(P188=CURSOS!$D$33,"ATENCION A PERSONAS CON DISCAPACIDAD",IF(P188=CURSOS!$D$34,"CUIDADO INTEGRAL DEL PACIENTE ADULTO",IF(P188=CURSOS!$D$35,"MANEJO DEFENSIVO",IF(P188=CURSOS!$D$36,"SOPORTE CARDIOVASCULAR AVANZADO NEONATAL",IF(P188=CURSOS!$D$37,"SEGURIDAD DEL PACIENTE",IF(P188=CURSOS!$D$38,"MANEJO DE RESIDUOS HOSPITALARIOS",IF(P188=CURSOS!$D$39,"ATENCION DE PACIENTE POR CONSUMO SUSTANCIAS PSICOACTIVAS Y ADICCIONES")))))))))))))))))))))))))))))))))))))</f>
        <v>0</v>
      </c>
      <c r="W188" s="44" t="str">
        <f t="shared" si="9"/>
        <v xml:space="preserve">   </v>
      </c>
      <c r="X188" s="44" t="str">
        <f t="shared" si="10"/>
        <v xml:space="preserve">   </v>
      </c>
      <c r="Y188" s="44" t="str">
        <f t="shared" si="11"/>
        <v xml:space="preserve">   --</v>
      </c>
    </row>
    <row r="189" spans="1:25" x14ac:dyDescent="0.2">
      <c r="A189" s="45">
        <v>188</v>
      </c>
      <c r="J189" s="47"/>
      <c r="Q189" s="47"/>
      <c r="T189" s="50"/>
      <c r="U189" s="46"/>
      <c r="V189" s="44" t="b">
        <f>IF(P189=CURSOS!$D$3,"DIPLOMADO EN ATENCION PRE-HOSPITALARIA",IF(P189=CURSOS!$D$4,"ACOMPAÑAMIENTO Y MANEJO DEL DUELO",IF(P189=CURSOS!$D$5,"ATENCION A VICTIMAS DE ATAQUE CON AGENTES QUIMICOS ",IF(P189=CURSOS!$D$6,"PRIMEROS AUXILIOS ",IF(P189=CURSOS!$D$7,"DIPLOMADO DE UNIDAD DE CUIDADOS INTENSIVOS (UCI)",IF(P189=CURSOS!$D$8,"MODELO DE ATENCION PARA EVENTOS EMERGENTES EN SALUD MENTAL (CODIGO VERDE)",IF(P189=CURSOS!$D$9,"HUMANIZACION EN EL SERVICIO DE LA SALUD Y BUENAS PRACTICAS EN PACIENTE ",IF(P189=CURSOS!$D$10,"CLINICA DE HERIDAS ",IF(P189=CURSOS!$D$11,"TOMA DE CITOLOGIA CERVICO VAGINAL ",IF(P189=CURSOS!$D$12,"SOPORTE CARDIOVASCULAR AVANZADO (ACLS) ",IF(P189=CURSOS!$D$13,"CAMILLERO ",IF(P189=CURSOS!$D$14,"TOMA DE MUESTRAS Y LABORATORIO ",IF(P189=CURSOS!$D$15,"SOPORTE VITAL BASICO (BLS)",IF(P189=CURSOS!$D$16,"ATENCION A VICTIMAS DE VIOLENCIA SEXUAL ",IF(P189=CURSOS!$D$17,"PROGRAMADO AMPLIADO DE INMUNIZACION (PAI - COVID 19)",IF(P189=CURSOS!$D$18,"ATENCION INTEGRAL EN ENFERMEDADES PREVALENTES EN PRIMERA INFANCIA (AIEPI)",IF(P189=CURSOS!$D$19,"ADMINISTRACION DE MEDICAMENTOS, INYECTOLOGIA  Y CANALIZACION ",IF(P189=CURSOS!$D$20,"OPERADOR DE VEHICULOS DE EMERGENCIA (OVE)",IF(P189=CURSOS!$D$21,"INSTITUCIONES AMIGAS DE LA MUJER Y LA INFANCIA (IAMI)",IF(P189=CURSOS!$D$22,"CUIDADO DEL DONANTE DE ORGANOS",IF(P189=CURSOS!$D$23,"ATENCION A VICTIMAS POR VIOLENCIA DE GENERO",IF(P189=CURSOS!$D$24,"IGUALDAD DE GENERO EN LA SALUD",IF(P189=CURSOS!$D$25,"BRIGADA DE EMERGENCIA",IF(P189=CURSOS!$D$26,"MANEJO DEL DOLOR Y CUIDADOS PALIATIVOS",IF(P189=CURSOS!$D$27,"TOMA DE MUESTRAS Y LABORATORIO POCT",IF(P189=CURSOS!$D$28,"IMPLANTE SUBDERMICO DE DISPOSITIVO INTRAUTERINO",IF(P189=CURSOS!$D$29,"SALUD MENTAL",IF(P189=CURSOS!$D$30,"PRIMEROS AUXILIOS PSICOLOGICOS",IF(P189=CURSOS!$D$31,"ATENCION A VICTIMAS POR CONFLICTO ARMADO",IF(P189=CURSOS!$D$32,"MANIPULACION DE ALIMENTOS Y BPM",IF(P189=CURSOS!$D$33,"ATENCION A PERSONAS CON DISCAPACIDAD",IF(P189=CURSOS!$D$34,"CUIDADO INTEGRAL DEL PACIENTE ADULTO",IF(P189=CURSOS!$D$35,"MANEJO DEFENSIVO",IF(P189=CURSOS!$D$36,"SOPORTE CARDIOVASCULAR AVANZADO NEONATAL",IF(P189=CURSOS!$D$37,"SEGURIDAD DEL PACIENTE",IF(P189=CURSOS!$D$38,"MANEJO DE RESIDUOS HOSPITALARIOS",IF(P189=CURSOS!$D$39,"ATENCION DE PACIENTE POR CONSUMO SUSTANCIAS PSICOACTIVAS Y ADICCIONES")))))))))))))))))))))))))))))))))))))</f>
        <v>0</v>
      </c>
      <c r="W189" s="44" t="str">
        <f t="shared" si="9"/>
        <v xml:space="preserve">   </v>
      </c>
      <c r="X189" s="44" t="str">
        <f t="shared" si="10"/>
        <v xml:space="preserve">   </v>
      </c>
      <c r="Y189" s="44" t="str">
        <f t="shared" si="11"/>
        <v xml:space="preserve">   --</v>
      </c>
    </row>
    <row r="190" spans="1:25" x14ac:dyDescent="0.2">
      <c r="A190" s="45">
        <v>189</v>
      </c>
      <c r="J190" s="47"/>
      <c r="Q190" s="47"/>
      <c r="S190" s="54"/>
      <c r="T190" s="50"/>
      <c r="U190" s="46"/>
      <c r="V190" s="44" t="b">
        <f>IF(P190=CURSOS!$D$3,"DIPLOMADO EN ATENCION PRE-HOSPITALARIA",IF(P190=CURSOS!$D$4,"ACOMPAÑAMIENTO Y MANEJO DEL DUELO",IF(P190=CURSOS!$D$5,"ATENCION A VICTIMAS DE ATAQUE CON AGENTES QUIMICOS ",IF(P190=CURSOS!$D$6,"PRIMEROS AUXILIOS ",IF(P190=CURSOS!$D$7,"DIPLOMADO DE UNIDAD DE CUIDADOS INTENSIVOS (UCI)",IF(P190=CURSOS!$D$8,"MODELO DE ATENCION PARA EVENTOS EMERGENTES EN SALUD MENTAL (CODIGO VERDE)",IF(P190=CURSOS!$D$9,"HUMANIZACION EN EL SERVICIO DE LA SALUD Y BUENAS PRACTICAS EN PACIENTE ",IF(P190=CURSOS!$D$10,"CLINICA DE HERIDAS ",IF(P190=CURSOS!$D$11,"TOMA DE CITOLOGIA CERVICO VAGINAL ",IF(P190=CURSOS!$D$12,"SOPORTE CARDIOVASCULAR AVANZADO (ACLS) ",IF(P190=CURSOS!$D$13,"CAMILLERO ",IF(P190=CURSOS!$D$14,"TOMA DE MUESTRAS Y LABORATORIO ",IF(P190=CURSOS!$D$15,"SOPORTE VITAL BASICO (BLS)",IF(P190=CURSOS!$D$16,"ATENCION A VICTIMAS DE VIOLENCIA SEXUAL ",IF(P190=CURSOS!$D$17,"PROGRAMADO AMPLIADO DE INMUNIZACION (PAI - COVID 19)",IF(P190=CURSOS!$D$18,"ATENCION INTEGRAL EN ENFERMEDADES PREVALENTES EN PRIMERA INFANCIA (AIEPI)",IF(P190=CURSOS!$D$19,"ADMINISTRACION DE MEDICAMENTOS, INYECTOLOGIA  Y CANALIZACION ",IF(P190=CURSOS!$D$20,"OPERADOR DE VEHICULOS DE EMERGENCIA (OVE)",IF(P190=CURSOS!$D$21,"INSTITUCIONES AMIGAS DE LA MUJER Y LA INFANCIA (IAMI)",IF(P190=CURSOS!$D$22,"CUIDADO DEL DONANTE DE ORGANOS",IF(P190=CURSOS!$D$23,"ATENCION A VICTIMAS POR VIOLENCIA DE GENERO",IF(P190=CURSOS!$D$24,"IGUALDAD DE GENERO EN LA SALUD",IF(P190=CURSOS!$D$25,"BRIGADA DE EMERGENCIA",IF(P190=CURSOS!$D$26,"MANEJO DEL DOLOR Y CUIDADOS PALIATIVOS",IF(P190=CURSOS!$D$27,"TOMA DE MUESTRAS Y LABORATORIO POCT",IF(P190=CURSOS!$D$28,"IMPLANTE SUBDERMICO DE DISPOSITIVO INTRAUTERINO",IF(P190=CURSOS!$D$29,"SALUD MENTAL",IF(P190=CURSOS!$D$30,"PRIMEROS AUXILIOS PSICOLOGICOS",IF(P190=CURSOS!$D$31,"ATENCION A VICTIMAS POR CONFLICTO ARMADO",IF(P190=CURSOS!$D$32,"MANIPULACION DE ALIMENTOS Y BPM",IF(P190=CURSOS!$D$33,"ATENCION A PERSONAS CON DISCAPACIDAD",IF(P190=CURSOS!$D$34,"CUIDADO INTEGRAL DEL PACIENTE ADULTO",IF(P190=CURSOS!$D$35,"MANEJO DEFENSIVO",IF(P190=CURSOS!$D$36,"SOPORTE CARDIOVASCULAR AVANZADO NEONATAL",IF(P190=CURSOS!$D$37,"SEGURIDAD DEL PACIENTE",IF(P190=CURSOS!$D$38,"MANEJO DE RESIDUOS HOSPITALARIOS",IF(P190=CURSOS!$D$39,"ATENCION DE PACIENTE POR CONSUMO SUSTANCIAS PSICOACTIVAS Y ADICCIONES")))))))))))))))))))))))))))))))))))))</f>
        <v>0</v>
      </c>
      <c r="W190" s="44" t="str">
        <f t="shared" si="9"/>
        <v xml:space="preserve">   </v>
      </c>
      <c r="X190" s="44" t="str">
        <f t="shared" si="10"/>
        <v xml:space="preserve">   </v>
      </c>
      <c r="Y190" s="44" t="str">
        <f t="shared" si="11"/>
        <v xml:space="preserve">   --</v>
      </c>
    </row>
    <row r="191" spans="1:25" x14ac:dyDescent="0.2">
      <c r="A191" s="45">
        <v>190</v>
      </c>
      <c r="J191" s="47"/>
      <c r="Q191" s="47"/>
      <c r="S191" s="54"/>
      <c r="T191" s="50"/>
      <c r="U191" s="46"/>
      <c r="V191" s="44" t="b">
        <f>IF(P191=CURSOS!$D$3,"DIPLOMADO EN ATENCION PRE-HOSPITALARIA",IF(P191=CURSOS!$D$4,"ACOMPAÑAMIENTO Y MANEJO DEL DUELO",IF(P191=CURSOS!$D$5,"ATENCION A VICTIMAS DE ATAQUE CON AGENTES QUIMICOS ",IF(P191=CURSOS!$D$6,"PRIMEROS AUXILIOS ",IF(P191=CURSOS!$D$7,"DIPLOMADO DE UNIDAD DE CUIDADOS INTENSIVOS (UCI)",IF(P191=CURSOS!$D$8,"MODELO DE ATENCION PARA EVENTOS EMERGENTES EN SALUD MENTAL (CODIGO VERDE)",IF(P191=CURSOS!$D$9,"HUMANIZACION EN EL SERVICIO DE LA SALUD Y BUENAS PRACTICAS EN PACIENTE ",IF(P191=CURSOS!$D$10,"CLINICA DE HERIDAS ",IF(P191=CURSOS!$D$11,"TOMA DE CITOLOGIA CERVICO VAGINAL ",IF(P191=CURSOS!$D$12,"SOPORTE CARDIOVASCULAR AVANZADO (ACLS) ",IF(P191=CURSOS!$D$13,"CAMILLERO ",IF(P191=CURSOS!$D$14,"TOMA DE MUESTRAS Y LABORATORIO ",IF(P191=CURSOS!$D$15,"SOPORTE VITAL BASICO (BLS)",IF(P191=CURSOS!$D$16,"ATENCION A VICTIMAS DE VIOLENCIA SEXUAL ",IF(P191=CURSOS!$D$17,"PROGRAMADO AMPLIADO DE INMUNIZACION (PAI - COVID 19)",IF(P191=CURSOS!$D$18,"ATENCION INTEGRAL EN ENFERMEDADES PREVALENTES EN PRIMERA INFANCIA (AIEPI)",IF(P191=CURSOS!$D$19,"ADMINISTRACION DE MEDICAMENTOS, INYECTOLOGIA  Y CANALIZACION ",IF(P191=CURSOS!$D$20,"OPERADOR DE VEHICULOS DE EMERGENCIA (OVE)",IF(P191=CURSOS!$D$21,"INSTITUCIONES AMIGAS DE LA MUJER Y LA INFANCIA (IAMI)",IF(P191=CURSOS!$D$22,"CUIDADO DEL DONANTE DE ORGANOS",IF(P191=CURSOS!$D$23,"ATENCION A VICTIMAS POR VIOLENCIA DE GENERO",IF(P191=CURSOS!$D$24,"IGUALDAD DE GENERO EN LA SALUD",IF(P191=CURSOS!$D$25,"BRIGADA DE EMERGENCIA",IF(P191=CURSOS!$D$26,"MANEJO DEL DOLOR Y CUIDADOS PALIATIVOS",IF(P191=CURSOS!$D$27,"TOMA DE MUESTRAS Y LABORATORIO POCT",IF(P191=CURSOS!$D$28,"IMPLANTE SUBDERMICO DE DISPOSITIVO INTRAUTERINO",IF(P191=CURSOS!$D$29,"SALUD MENTAL",IF(P191=CURSOS!$D$30,"PRIMEROS AUXILIOS PSICOLOGICOS",IF(P191=CURSOS!$D$31,"ATENCION A VICTIMAS POR CONFLICTO ARMADO",IF(P191=CURSOS!$D$32,"MANIPULACION DE ALIMENTOS Y BPM",IF(P191=CURSOS!$D$33,"ATENCION A PERSONAS CON DISCAPACIDAD",IF(P191=CURSOS!$D$34,"CUIDADO INTEGRAL DEL PACIENTE ADULTO",IF(P191=CURSOS!$D$35,"MANEJO DEFENSIVO",IF(P191=CURSOS!$D$36,"SOPORTE CARDIOVASCULAR AVANZADO NEONATAL",IF(P191=CURSOS!$D$37,"SEGURIDAD DEL PACIENTE",IF(P191=CURSOS!$D$38,"MANEJO DE RESIDUOS HOSPITALARIOS",IF(P191=CURSOS!$D$39,"ATENCION DE PACIENTE POR CONSUMO SUSTANCIAS PSICOACTIVAS Y ADICCIONES")))))))))))))))))))))))))))))))))))))</f>
        <v>0</v>
      </c>
      <c r="W191" s="44" t="str">
        <f t="shared" si="9"/>
        <v xml:space="preserve">   </v>
      </c>
      <c r="X191" s="44" t="str">
        <f t="shared" si="10"/>
        <v xml:space="preserve">   </v>
      </c>
      <c r="Y191" s="44" t="str">
        <f t="shared" si="11"/>
        <v xml:space="preserve">   --</v>
      </c>
    </row>
    <row r="192" spans="1:25" x14ac:dyDescent="0.2">
      <c r="A192" s="45">
        <v>191</v>
      </c>
      <c r="J192" s="47"/>
      <c r="Q192" s="47"/>
      <c r="S192" s="54"/>
      <c r="T192" s="50"/>
      <c r="U192" s="46"/>
      <c r="V192" s="44" t="b">
        <f>IF(P192=CURSOS!$D$3,"DIPLOMADO EN ATENCION PRE-HOSPITALARIA",IF(P192=CURSOS!$D$4,"ACOMPAÑAMIENTO Y MANEJO DEL DUELO",IF(P192=CURSOS!$D$5,"ATENCION A VICTIMAS DE ATAQUE CON AGENTES QUIMICOS ",IF(P192=CURSOS!$D$6,"PRIMEROS AUXILIOS ",IF(P192=CURSOS!$D$7,"DIPLOMADO DE UNIDAD DE CUIDADOS INTENSIVOS (UCI)",IF(P192=CURSOS!$D$8,"MODELO DE ATENCION PARA EVENTOS EMERGENTES EN SALUD MENTAL (CODIGO VERDE)",IF(P192=CURSOS!$D$9,"HUMANIZACION EN EL SERVICIO DE LA SALUD Y BUENAS PRACTICAS EN PACIENTE ",IF(P192=CURSOS!$D$10,"CLINICA DE HERIDAS ",IF(P192=CURSOS!$D$11,"TOMA DE CITOLOGIA CERVICO VAGINAL ",IF(P192=CURSOS!$D$12,"SOPORTE CARDIOVASCULAR AVANZADO (ACLS) ",IF(P192=CURSOS!$D$13,"CAMILLERO ",IF(P192=CURSOS!$D$14,"TOMA DE MUESTRAS Y LABORATORIO ",IF(P192=CURSOS!$D$15,"SOPORTE VITAL BASICO (BLS)",IF(P192=CURSOS!$D$16,"ATENCION A VICTIMAS DE VIOLENCIA SEXUAL ",IF(P192=CURSOS!$D$17,"PROGRAMADO AMPLIADO DE INMUNIZACION (PAI - COVID 19)",IF(P192=CURSOS!$D$18,"ATENCION INTEGRAL EN ENFERMEDADES PREVALENTES EN PRIMERA INFANCIA (AIEPI)",IF(P192=CURSOS!$D$19,"ADMINISTRACION DE MEDICAMENTOS, INYECTOLOGIA  Y CANALIZACION ",IF(P192=CURSOS!$D$20,"OPERADOR DE VEHICULOS DE EMERGENCIA (OVE)",IF(P192=CURSOS!$D$21,"INSTITUCIONES AMIGAS DE LA MUJER Y LA INFANCIA (IAMI)",IF(P192=CURSOS!$D$22,"CUIDADO DEL DONANTE DE ORGANOS",IF(P192=CURSOS!$D$23,"ATENCION A VICTIMAS POR VIOLENCIA DE GENERO",IF(P192=CURSOS!$D$24,"IGUALDAD DE GENERO EN LA SALUD",IF(P192=CURSOS!$D$25,"BRIGADA DE EMERGENCIA",IF(P192=CURSOS!$D$26,"MANEJO DEL DOLOR Y CUIDADOS PALIATIVOS",IF(P192=CURSOS!$D$27,"TOMA DE MUESTRAS Y LABORATORIO POCT",IF(P192=CURSOS!$D$28,"IMPLANTE SUBDERMICO DE DISPOSITIVO INTRAUTERINO",IF(P192=CURSOS!$D$29,"SALUD MENTAL",IF(P192=CURSOS!$D$30,"PRIMEROS AUXILIOS PSICOLOGICOS",IF(P192=CURSOS!$D$31,"ATENCION A VICTIMAS POR CONFLICTO ARMADO",IF(P192=CURSOS!$D$32,"MANIPULACION DE ALIMENTOS Y BPM",IF(P192=CURSOS!$D$33,"ATENCION A PERSONAS CON DISCAPACIDAD",IF(P192=CURSOS!$D$34,"CUIDADO INTEGRAL DEL PACIENTE ADULTO",IF(P192=CURSOS!$D$35,"MANEJO DEFENSIVO",IF(P192=CURSOS!$D$36,"SOPORTE CARDIOVASCULAR AVANZADO NEONATAL",IF(P192=CURSOS!$D$37,"SEGURIDAD DEL PACIENTE",IF(P192=CURSOS!$D$38,"MANEJO DE RESIDUOS HOSPITALARIOS",IF(P192=CURSOS!$D$39,"ATENCION DE PACIENTE POR CONSUMO SUSTANCIAS PSICOACTIVAS Y ADICCIONES")))))))))))))))))))))))))))))))))))))</f>
        <v>0</v>
      </c>
      <c r="W192" s="44" t="str">
        <f t="shared" si="9"/>
        <v xml:space="preserve">   </v>
      </c>
      <c r="X192" s="44" t="str">
        <f t="shared" si="10"/>
        <v xml:space="preserve">   </v>
      </c>
      <c r="Y192" s="44" t="str">
        <f t="shared" si="11"/>
        <v xml:space="preserve">   --</v>
      </c>
    </row>
    <row r="193" spans="1:25" x14ac:dyDescent="0.2">
      <c r="A193" s="45">
        <v>192</v>
      </c>
      <c r="J193" s="47"/>
      <c r="Q193" s="47"/>
      <c r="S193" s="54"/>
      <c r="U193" s="46"/>
      <c r="V193" s="44" t="b">
        <f>IF(P193=CURSOS!$D$3,"DIPLOMADO EN ATENCION PRE-HOSPITALARIA",IF(P193=CURSOS!$D$4,"ACOMPAÑAMIENTO Y MANEJO DEL DUELO",IF(P193=CURSOS!$D$5,"ATENCION A VICTIMAS DE ATAQUE CON AGENTES QUIMICOS ",IF(P193=CURSOS!$D$6,"PRIMEROS AUXILIOS ",IF(P193=CURSOS!$D$7,"DIPLOMADO DE UNIDAD DE CUIDADOS INTENSIVOS (UCI)",IF(P193=CURSOS!$D$8,"MODELO DE ATENCION PARA EVENTOS EMERGENTES EN SALUD MENTAL (CODIGO VERDE)",IF(P193=CURSOS!$D$9,"HUMANIZACION EN EL SERVICIO DE LA SALUD Y BUENAS PRACTICAS EN PACIENTE ",IF(P193=CURSOS!$D$10,"CLINICA DE HERIDAS ",IF(P193=CURSOS!$D$11,"TOMA DE CITOLOGIA CERVICO VAGINAL ",IF(P193=CURSOS!$D$12,"SOPORTE CARDIOVASCULAR AVANZADO (ACLS) ",IF(P193=CURSOS!$D$13,"CAMILLERO ",IF(P193=CURSOS!$D$14,"TOMA DE MUESTRAS Y LABORATORIO ",IF(P193=CURSOS!$D$15,"SOPORTE VITAL BASICO (BLS)",IF(P193=CURSOS!$D$16,"ATENCION A VICTIMAS DE VIOLENCIA SEXUAL ",IF(P193=CURSOS!$D$17,"PROGRAMADO AMPLIADO DE INMUNIZACION (PAI - COVID 19)",IF(P193=CURSOS!$D$18,"ATENCION INTEGRAL EN ENFERMEDADES PREVALENTES EN PRIMERA INFANCIA (AIEPI)",IF(P193=CURSOS!$D$19,"ADMINISTRACION DE MEDICAMENTOS, INYECTOLOGIA  Y CANALIZACION ",IF(P193=CURSOS!$D$20,"OPERADOR DE VEHICULOS DE EMERGENCIA (OVE)",IF(P193=CURSOS!$D$21,"INSTITUCIONES AMIGAS DE LA MUJER Y LA INFANCIA (IAMI)",IF(P193=CURSOS!$D$22,"CUIDADO DEL DONANTE DE ORGANOS",IF(P193=CURSOS!$D$23,"ATENCION A VICTIMAS POR VIOLENCIA DE GENERO",IF(P193=CURSOS!$D$24,"IGUALDAD DE GENERO EN LA SALUD",IF(P193=CURSOS!$D$25,"BRIGADA DE EMERGENCIA",IF(P193=CURSOS!$D$26,"MANEJO DEL DOLOR Y CUIDADOS PALIATIVOS",IF(P193=CURSOS!$D$27,"TOMA DE MUESTRAS Y LABORATORIO POCT",IF(P193=CURSOS!$D$28,"IMPLANTE SUBDERMICO DE DISPOSITIVO INTRAUTERINO",IF(P193=CURSOS!$D$29,"SALUD MENTAL",IF(P193=CURSOS!$D$30,"PRIMEROS AUXILIOS PSICOLOGICOS",IF(P193=CURSOS!$D$31,"ATENCION A VICTIMAS POR CONFLICTO ARMADO",IF(P193=CURSOS!$D$32,"MANIPULACION DE ALIMENTOS Y BPM",IF(P193=CURSOS!$D$33,"ATENCION A PERSONAS CON DISCAPACIDAD",IF(P193=CURSOS!$D$34,"CUIDADO INTEGRAL DEL PACIENTE ADULTO",IF(P193=CURSOS!$D$35,"MANEJO DEFENSIVO",IF(P193=CURSOS!$D$36,"SOPORTE CARDIOVASCULAR AVANZADO NEONATAL",IF(P193=CURSOS!$D$37,"SEGURIDAD DEL PACIENTE",IF(P193=CURSOS!$D$38,"MANEJO DE RESIDUOS HOSPITALARIOS",IF(P193=CURSOS!$D$39,"ATENCION DE PACIENTE POR CONSUMO SUSTANCIAS PSICOACTIVAS Y ADICCIONES")))))))))))))))))))))))))))))))))))))</f>
        <v>0</v>
      </c>
      <c r="W193" s="44" t="str">
        <f t="shared" si="9"/>
        <v xml:space="preserve">   </v>
      </c>
      <c r="X193" s="44" t="str">
        <f t="shared" si="10"/>
        <v xml:space="preserve">   </v>
      </c>
      <c r="Y193" s="44" t="str">
        <f t="shared" si="11"/>
        <v xml:space="preserve">   --</v>
      </c>
    </row>
    <row r="194" spans="1:25" x14ac:dyDescent="0.2">
      <c r="A194" s="45">
        <v>193</v>
      </c>
      <c r="J194" s="47"/>
      <c r="Q194" s="47"/>
      <c r="S194" s="54"/>
      <c r="U194" s="46"/>
      <c r="V194" s="44" t="b">
        <f>IF(P194=CURSOS!$D$3,"DIPLOMADO EN ATENCION PRE-HOSPITALARIA",IF(P194=CURSOS!$D$4,"ACOMPAÑAMIENTO Y MANEJO DEL DUELO",IF(P194=CURSOS!$D$5,"ATENCION A VICTIMAS DE ATAQUE CON AGENTES QUIMICOS ",IF(P194=CURSOS!$D$6,"PRIMEROS AUXILIOS ",IF(P194=CURSOS!$D$7,"DIPLOMADO DE UNIDAD DE CUIDADOS INTENSIVOS (UCI)",IF(P194=CURSOS!$D$8,"MODELO DE ATENCION PARA EVENTOS EMERGENTES EN SALUD MENTAL (CODIGO VERDE)",IF(P194=CURSOS!$D$9,"HUMANIZACION EN EL SERVICIO DE LA SALUD Y BUENAS PRACTICAS EN PACIENTE ",IF(P194=CURSOS!$D$10,"CLINICA DE HERIDAS ",IF(P194=CURSOS!$D$11,"TOMA DE CITOLOGIA CERVICO VAGINAL ",IF(P194=CURSOS!$D$12,"SOPORTE CARDIOVASCULAR AVANZADO (ACLS) ",IF(P194=CURSOS!$D$13,"CAMILLERO ",IF(P194=CURSOS!$D$14,"TOMA DE MUESTRAS Y LABORATORIO ",IF(P194=CURSOS!$D$15,"SOPORTE VITAL BASICO (BLS)",IF(P194=CURSOS!$D$16,"ATENCION A VICTIMAS DE VIOLENCIA SEXUAL ",IF(P194=CURSOS!$D$17,"PROGRAMADO AMPLIADO DE INMUNIZACION (PAI - COVID 19)",IF(P194=CURSOS!$D$18,"ATENCION INTEGRAL EN ENFERMEDADES PREVALENTES EN PRIMERA INFANCIA (AIEPI)",IF(P194=CURSOS!$D$19,"ADMINISTRACION DE MEDICAMENTOS, INYECTOLOGIA  Y CANALIZACION ",IF(P194=CURSOS!$D$20,"OPERADOR DE VEHICULOS DE EMERGENCIA (OVE)",IF(P194=CURSOS!$D$21,"INSTITUCIONES AMIGAS DE LA MUJER Y LA INFANCIA (IAMI)",IF(P194=CURSOS!$D$22,"CUIDADO DEL DONANTE DE ORGANOS",IF(P194=CURSOS!$D$23,"ATENCION A VICTIMAS POR VIOLENCIA DE GENERO",IF(P194=CURSOS!$D$24,"IGUALDAD DE GENERO EN LA SALUD",IF(P194=CURSOS!$D$25,"BRIGADA DE EMERGENCIA",IF(P194=CURSOS!$D$26,"MANEJO DEL DOLOR Y CUIDADOS PALIATIVOS",IF(P194=CURSOS!$D$27,"TOMA DE MUESTRAS Y LABORATORIO POCT",IF(P194=CURSOS!$D$28,"IMPLANTE SUBDERMICO DE DISPOSITIVO INTRAUTERINO",IF(P194=CURSOS!$D$29,"SALUD MENTAL",IF(P194=CURSOS!$D$30,"PRIMEROS AUXILIOS PSICOLOGICOS",IF(P194=CURSOS!$D$31,"ATENCION A VICTIMAS POR CONFLICTO ARMADO",IF(P194=CURSOS!$D$32,"MANIPULACION DE ALIMENTOS Y BPM",IF(P194=CURSOS!$D$33,"ATENCION A PERSONAS CON DISCAPACIDAD",IF(P194=CURSOS!$D$34,"CUIDADO INTEGRAL DEL PACIENTE ADULTO",IF(P194=CURSOS!$D$35,"MANEJO DEFENSIVO",IF(P194=CURSOS!$D$36,"SOPORTE CARDIOVASCULAR AVANZADO NEONATAL",IF(P194=CURSOS!$D$37,"SEGURIDAD DEL PACIENTE",IF(P194=CURSOS!$D$38,"MANEJO DE RESIDUOS HOSPITALARIOS",IF(P194=CURSOS!$D$39,"ATENCION DE PACIENTE POR CONSUMO SUSTANCIAS PSICOACTIVAS Y ADICCIONES")))))))))))))))))))))))))))))))))))))</f>
        <v>0</v>
      </c>
      <c r="W194" s="44" t="str">
        <f t="shared" si="9"/>
        <v xml:space="preserve">   </v>
      </c>
      <c r="X194" s="44" t="str">
        <f t="shared" si="10"/>
        <v xml:space="preserve">   </v>
      </c>
      <c r="Y194" s="44" t="str">
        <f t="shared" si="11"/>
        <v xml:space="preserve">   --</v>
      </c>
    </row>
    <row r="195" spans="1:25" x14ac:dyDescent="0.2">
      <c r="A195" s="45">
        <v>194</v>
      </c>
      <c r="J195" s="47"/>
      <c r="Q195" s="47"/>
      <c r="U195" s="46"/>
      <c r="V195" s="44" t="b">
        <f>IF(P195=CURSOS!$D$3,"DIPLOMADO EN ATENCION PRE-HOSPITALARIA",IF(P195=CURSOS!$D$4,"ACOMPAÑAMIENTO Y MANEJO DEL DUELO",IF(P195=CURSOS!$D$5,"ATENCION A VICTIMAS DE ATAQUE CON AGENTES QUIMICOS ",IF(P195=CURSOS!$D$6,"PRIMEROS AUXILIOS ",IF(P195=CURSOS!$D$7,"DIPLOMADO DE UNIDAD DE CUIDADOS INTENSIVOS (UCI)",IF(P195=CURSOS!$D$8,"MODELO DE ATENCION PARA EVENTOS EMERGENTES EN SALUD MENTAL (CODIGO VERDE)",IF(P195=CURSOS!$D$9,"HUMANIZACION EN EL SERVICIO DE LA SALUD Y BUENAS PRACTICAS EN PACIENTE ",IF(P195=CURSOS!$D$10,"CLINICA DE HERIDAS ",IF(P195=CURSOS!$D$11,"TOMA DE CITOLOGIA CERVICO VAGINAL ",IF(P195=CURSOS!$D$12,"SOPORTE CARDIOVASCULAR AVANZADO (ACLS) ",IF(P195=CURSOS!$D$13,"CAMILLERO ",IF(P195=CURSOS!$D$14,"TOMA DE MUESTRAS Y LABORATORIO ",IF(P195=CURSOS!$D$15,"SOPORTE VITAL BASICO (BLS)",IF(P195=CURSOS!$D$16,"ATENCION A VICTIMAS DE VIOLENCIA SEXUAL ",IF(P195=CURSOS!$D$17,"PROGRAMADO AMPLIADO DE INMUNIZACION (PAI - COVID 19)",IF(P195=CURSOS!$D$18,"ATENCION INTEGRAL EN ENFERMEDADES PREVALENTES EN PRIMERA INFANCIA (AIEPI)",IF(P195=CURSOS!$D$19,"ADMINISTRACION DE MEDICAMENTOS, INYECTOLOGIA  Y CANALIZACION ",IF(P195=CURSOS!$D$20,"OPERADOR DE VEHICULOS DE EMERGENCIA (OVE)",IF(P195=CURSOS!$D$21,"INSTITUCIONES AMIGAS DE LA MUJER Y LA INFANCIA (IAMI)",IF(P195=CURSOS!$D$22,"CUIDADO DEL DONANTE DE ORGANOS",IF(P195=CURSOS!$D$23,"ATENCION A VICTIMAS POR VIOLENCIA DE GENERO",IF(P195=CURSOS!$D$24,"IGUALDAD DE GENERO EN LA SALUD",IF(P195=CURSOS!$D$25,"BRIGADA DE EMERGENCIA",IF(P195=CURSOS!$D$26,"MANEJO DEL DOLOR Y CUIDADOS PALIATIVOS",IF(P195=CURSOS!$D$27,"TOMA DE MUESTRAS Y LABORATORIO POCT",IF(P195=CURSOS!$D$28,"IMPLANTE SUBDERMICO DE DISPOSITIVO INTRAUTERINO",IF(P195=CURSOS!$D$29,"SALUD MENTAL",IF(P195=CURSOS!$D$30,"PRIMEROS AUXILIOS PSICOLOGICOS",IF(P195=CURSOS!$D$31,"ATENCION A VICTIMAS POR CONFLICTO ARMADO",IF(P195=CURSOS!$D$32,"MANIPULACION DE ALIMENTOS Y BPM",IF(P195=CURSOS!$D$33,"ATENCION A PERSONAS CON DISCAPACIDAD",IF(P195=CURSOS!$D$34,"CUIDADO INTEGRAL DEL PACIENTE ADULTO",IF(P195=CURSOS!$D$35,"MANEJO DEFENSIVO",IF(P195=CURSOS!$D$36,"SOPORTE CARDIOVASCULAR AVANZADO NEONATAL",IF(P195=CURSOS!$D$37,"SEGURIDAD DEL PACIENTE",IF(P195=CURSOS!$D$38,"MANEJO DE RESIDUOS HOSPITALARIOS",IF(P195=CURSOS!$D$39,"ATENCION DE PACIENTE POR CONSUMO SUSTANCIAS PSICOACTIVAS Y ADICCIONES")))))))))))))))))))))))))))))))))))))</f>
        <v>0</v>
      </c>
      <c r="W195" s="44" t="str">
        <f t="shared" si="9"/>
        <v xml:space="preserve">   </v>
      </c>
      <c r="X195" s="44" t="str">
        <f t="shared" si="10"/>
        <v xml:space="preserve">   </v>
      </c>
      <c r="Y195" s="44" t="str">
        <f t="shared" si="11"/>
        <v xml:space="preserve">   --</v>
      </c>
    </row>
    <row r="196" spans="1:25" x14ac:dyDescent="0.2">
      <c r="A196" s="45">
        <v>195</v>
      </c>
      <c r="J196" s="47"/>
      <c r="Q196" s="47"/>
      <c r="U196" s="46"/>
      <c r="V196" s="44" t="b">
        <f>IF(P196=CURSOS!$D$3,"DIPLOMADO EN ATENCION PRE-HOSPITALARIA",IF(P196=CURSOS!$D$4,"ACOMPAÑAMIENTO Y MANEJO DEL DUELO",IF(P196=CURSOS!$D$5,"ATENCION A VICTIMAS DE ATAQUE CON AGENTES QUIMICOS ",IF(P196=CURSOS!$D$6,"PRIMEROS AUXILIOS ",IF(P196=CURSOS!$D$7,"DIPLOMADO DE UNIDAD DE CUIDADOS INTENSIVOS (UCI)",IF(P196=CURSOS!$D$8,"MODELO DE ATENCION PARA EVENTOS EMERGENTES EN SALUD MENTAL (CODIGO VERDE)",IF(P196=CURSOS!$D$9,"HUMANIZACION EN EL SERVICIO DE LA SALUD Y BUENAS PRACTICAS EN PACIENTE ",IF(P196=CURSOS!$D$10,"CLINICA DE HERIDAS ",IF(P196=CURSOS!$D$11,"TOMA DE CITOLOGIA CERVICO VAGINAL ",IF(P196=CURSOS!$D$12,"SOPORTE CARDIOVASCULAR AVANZADO (ACLS) ",IF(P196=CURSOS!$D$13,"CAMILLERO ",IF(P196=CURSOS!$D$14,"TOMA DE MUESTRAS Y LABORATORIO ",IF(P196=CURSOS!$D$15,"SOPORTE VITAL BASICO (BLS)",IF(P196=CURSOS!$D$16,"ATENCION A VICTIMAS DE VIOLENCIA SEXUAL ",IF(P196=CURSOS!$D$17,"PROGRAMADO AMPLIADO DE INMUNIZACION (PAI - COVID 19)",IF(P196=CURSOS!$D$18,"ATENCION INTEGRAL EN ENFERMEDADES PREVALENTES EN PRIMERA INFANCIA (AIEPI)",IF(P196=CURSOS!$D$19,"ADMINISTRACION DE MEDICAMENTOS, INYECTOLOGIA  Y CANALIZACION ",IF(P196=CURSOS!$D$20,"OPERADOR DE VEHICULOS DE EMERGENCIA (OVE)",IF(P196=CURSOS!$D$21,"INSTITUCIONES AMIGAS DE LA MUJER Y LA INFANCIA (IAMI)",IF(P196=CURSOS!$D$22,"CUIDADO DEL DONANTE DE ORGANOS",IF(P196=CURSOS!$D$23,"ATENCION A VICTIMAS POR VIOLENCIA DE GENERO",IF(P196=CURSOS!$D$24,"IGUALDAD DE GENERO EN LA SALUD",IF(P196=CURSOS!$D$25,"BRIGADA DE EMERGENCIA",IF(P196=CURSOS!$D$26,"MANEJO DEL DOLOR Y CUIDADOS PALIATIVOS",IF(P196=CURSOS!$D$27,"TOMA DE MUESTRAS Y LABORATORIO POCT",IF(P196=CURSOS!$D$28,"IMPLANTE SUBDERMICO DE DISPOSITIVO INTRAUTERINO",IF(P196=CURSOS!$D$29,"SALUD MENTAL",IF(P196=CURSOS!$D$30,"PRIMEROS AUXILIOS PSICOLOGICOS",IF(P196=CURSOS!$D$31,"ATENCION A VICTIMAS POR CONFLICTO ARMADO",IF(P196=CURSOS!$D$32,"MANIPULACION DE ALIMENTOS Y BPM",IF(P196=CURSOS!$D$33,"ATENCION A PERSONAS CON DISCAPACIDAD",IF(P196=CURSOS!$D$34,"CUIDADO INTEGRAL DEL PACIENTE ADULTO",IF(P196=CURSOS!$D$35,"MANEJO DEFENSIVO",IF(P196=CURSOS!$D$36,"SOPORTE CARDIOVASCULAR AVANZADO NEONATAL",IF(P196=CURSOS!$D$37,"SEGURIDAD DEL PACIENTE",IF(P196=CURSOS!$D$38,"MANEJO DE RESIDUOS HOSPITALARIOS",IF(P196=CURSOS!$D$39,"ATENCION DE PACIENTE POR CONSUMO SUSTANCIAS PSICOACTIVAS Y ADICCIONES")))))))))))))))))))))))))))))))))))))</f>
        <v>0</v>
      </c>
      <c r="W196" s="44" t="str">
        <f t="shared" si="9"/>
        <v xml:space="preserve">   </v>
      </c>
      <c r="X196" s="44" t="str">
        <f t="shared" si="10"/>
        <v xml:space="preserve">   </v>
      </c>
      <c r="Y196" s="44" t="str">
        <f t="shared" si="11"/>
        <v xml:space="preserve">   --</v>
      </c>
    </row>
    <row r="197" spans="1:25" x14ac:dyDescent="0.2">
      <c r="A197" s="45">
        <v>196</v>
      </c>
      <c r="J197" s="47"/>
      <c r="Q197" s="47"/>
      <c r="U197" s="46"/>
      <c r="V197" s="44" t="b">
        <f>IF(P197=CURSOS!$D$3,"DIPLOMADO EN ATENCION PRE-HOSPITALARIA",IF(P197=CURSOS!$D$4,"ACOMPAÑAMIENTO Y MANEJO DEL DUELO",IF(P197=CURSOS!$D$5,"ATENCION A VICTIMAS DE ATAQUE CON AGENTES QUIMICOS ",IF(P197=CURSOS!$D$6,"PRIMEROS AUXILIOS ",IF(P197=CURSOS!$D$7,"DIPLOMADO DE UNIDAD DE CUIDADOS INTENSIVOS (UCI)",IF(P197=CURSOS!$D$8,"MODELO DE ATENCION PARA EVENTOS EMERGENTES EN SALUD MENTAL (CODIGO VERDE)",IF(P197=CURSOS!$D$9,"HUMANIZACION EN EL SERVICIO DE LA SALUD Y BUENAS PRACTICAS EN PACIENTE ",IF(P197=CURSOS!$D$10,"CLINICA DE HERIDAS ",IF(P197=CURSOS!$D$11,"TOMA DE CITOLOGIA CERVICO VAGINAL ",IF(P197=CURSOS!$D$12,"SOPORTE CARDIOVASCULAR AVANZADO (ACLS) ",IF(P197=CURSOS!$D$13,"CAMILLERO ",IF(P197=CURSOS!$D$14,"TOMA DE MUESTRAS Y LABORATORIO ",IF(P197=CURSOS!$D$15,"SOPORTE VITAL BASICO (BLS)",IF(P197=CURSOS!$D$16,"ATENCION A VICTIMAS DE VIOLENCIA SEXUAL ",IF(P197=CURSOS!$D$17,"PROGRAMADO AMPLIADO DE INMUNIZACION (PAI - COVID 19)",IF(P197=CURSOS!$D$18,"ATENCION INTEGRAL EN ENFERMEDADES PREVALENTES EN PRIMERA INFANCIA (AIEPI)",IF(P197=CURSOS!$D$19,"ADMINISTRACION DE MEDICAMENTOS, INYECTOLOGIA  Y CANALIZACION ",IF(P197=CURSOS!$D$20,"OPERADOR DE VEHICULOS DE EMERGENCIA (OVE)",IF(P197=CURSOS!$D$21,"INSTITUCIONES AMIGAS DE LA MUJER Y LA INFANCIA (IAMI)",IF(P197=CURSOS!$D$22,"CUIDADO DEL DONANTE DE ORGANOS",IF(P197=CURSOS!$D$23,"ATENCION A VICTIMAS POR VIOLENCIA DE GENERO",IF(P197=CURSOS!$D$24,"IGUALDAD DE GENERO EN LA SALUD",IF(P197=CURSOS!$D$25,"BRIGADA DE EMERGENCIA",IF(P197=CURSOS!$D$26,"MANEJO DEL DOLOR Y CUIDADOS PALIATIVOS",IF(P197=CURSOS!$D$27,"TOMA DE MUESTRAS Y LABORATORIO POCT",IF(P197=CURSOS!$D$28,"IMPLANTE SUBDERMICO DE DISPOSITIVO INTRAUTERINO",IF(P197=CURSOS!$D$29,"SALUD MENTAL",IF(P197=CURSOS!$D$30,"PRIMEROS AUXILIOS PSICOLOGICOS",IF(P197=CURSOS!$D$31,"ATENCION A VICTIMAS POR CONFLICTO ARMADO",IF(P197=CURSOS!$D$32,"MANIPULACION DE ALIMENTOS Y BPM",IF(P197=CURSOS!$D$33,"ATENCION A PERSONAS CON DISCAPACIDAD",IF(P197=CURSOS!$D$34,"CUIDADO INTEGRAL DEL PACIENTE ADULTO",IF(P197=CURSOS!$D$35,"MANEJO DEFENSIVO",IF(P197=CURSOS!$D$36,"SOPORTE CARDIOVASCULAR AVANZADO NEONATAL",IF(P197=CURSOS!$D$37,"SEGURIDAD DEL PACIENTE",IF(P197=CURSOS!$D$38,"MANEJO DE RESIDUOS HOSPITALARIOS",IF(P197=CURSOS!$D$39,"ATENCION DE PACIENTE POR CONSUMO SUSTANCIAS PSICOACTIVAS Y ADICCIONES")))))))))))))))))))))))))))))))))))))</f>
        <v>0</v>
      </c>
      <c r="W197" s="44" t="str">
        <f t="shared" si="9"/>
        <v xml:space="preserve">   </v>
      </c>
      <c r="X197" s="44" t="str">
        <f t="shared" si="10"/>
        <v xml:space="preserve">   </v>
      </c>
      <c r="Y197" s="44" t="str">
        <f t="shared" si="11"/>
        <v xml:space="preserve">   --</v>
      </c>
    </row>
    <row r="198" spans="1:25" x14ac:dyDescent="0.2">
      <c r="A198" s="45">
        <v>197</v>
      </c>
      <c r="J198" s="47"/>
      <c r="Q198" s="47"/>
      <c r="U198" s="46"/>
      <c r="V198" s="44" t="b">
        <f>IF(P198=CURSOS!$D$3,"DIPLOMADO EN ATENCION PRE-HOSPITALARIA",IF(P198=CURSOS!$D$4,"ACOMPAÑAMIENTO Y MANEJO DEL DUELO",IF(P198=CURSOS!$D$5,"ATENCION A VICTIMAS DE ATAQUE CON AGENTES QUIMICOS ",IF(P198=CURSOS!$D$6,"PRIMEROS AUXILIOS ",IF(P198=CURSOS!$D$7,"DIPLOMADO DE UNIDAD DE CUIDADOS INTENSIVOS (UCI)",IF(P198=CURSOS!$D$8,"MODELO DE ATENCION PARA EVENTOS EMERGENTES EN SALUD MENTAL (CODIGO VERDE)",IF(P198=CURSOS!$D$9,"HUMANIZACION EN EL SERVICIO DE LA SALUD Y BUENAS PRACTICAS EN PACIENTE ",IF(P198=CURSOS!$D$10,"CLINICA DE HERIDAS ",IF(P198=CURSOS!$D$11,"TOMA DE CITOLOGIA CERVICO VAGINAL ",IF(P198=CURSOS!$D$12,"SOPORTE CARDIOVASCULAR AVANZADO (ACLS) ",IF(P198=CURSOS!$D$13,"CAMILLERO ",IF(P198=CURSOS!$D$14,"TOMA DE MUESTRAS Y LABORATORIO ",IF(P198=CURSOS!$D$15,"SOPORTE VITAL BASICO (BLS)",IF(P198=CURSOS!$D$16,"ATENCION A VICTIMAS DE VIOLENCIA SEXUAL ",IF(P198=CURSOS!$D$17,"PROGRAMADO AMPLIADO DE INMUNIZACION (PAI - COVID 19)",IF(P198=CURSOS!$D$18,"ATENCION INTEGRAL EN ENFERMEDADES PREVALENTES EN PRIMERA INFANCIA (AIEPI)",IF(P198=CURSOS!$D$19,"ADMINISTRACION DE MEDICAMENTOS, INYECTOLOGIA  Y CANALIZACION ",IF(P198=CURSOS!$D$20,"OPERADOR DE VEHICULOS DE EMERGENCIA (OVE)",IF(P198=CURSOS!$D$21,"INSTITUCIONES AMIGAS DE LA MUJER Y LA INFANCIA (IAMI)",IF(P198=CURSOS!$D$22,"CUIDADO DEL DONANTE DE ORGANOS",IF(P198=CURSOS!$D$23,"ATENCION A VICTIMAS POR VIOLENCIA DE GENERO",IF(P198=CURSOS!$D$24,"IGUALDAD DE GENERO EN LA SALUD",IF(P198=CURSOS!$D$25,"BRIGADA DE EMERGENCIA",IF(P198=CURSOS!$D$26,"MANEJO DEL DOLOR Y CUIDADOS PALIATIVOS",IF(P198=CURSOS!$D$27,"TOMA DE MUESTRAS Y LABORATORIO POCT",IF(P198=CURSOS!$D$28,"IMPLANTE SUBDERMICO DE DISPOSITIVO INTRAUTERINO",IF(P198=CURSOS!$D$29,"SALUD MENTAL",IF(P198=CURSOS!$D$30,"PRIMEROS AUXILIOS PSICOLOGICOS",IF(P198=CURSOS!$D$31,"ATENCION A VICTIMAS POR CONFLICTO ARMADO",IF(P198=CURSOS!$D$32,"MANIPULACION DE ALIMENTOS Y BPM",IF(P198=CURSOS!$D$33,"ATENCION A PERSONAS CON DISCAPACIDAD",IF(P198=CURSOS!$D$34,"CUIDADO INTEGRAL DEL PACIENTE ADULTO",IF(P198=CURSOS!$D$35,"MANEJO DEFENSIVO",IF(P198=CURSOS!$D$36,"SOPORTE CARDIOVASCULAR AVANZADO NEONATAL",IF(P198=CURSOS!$D$37,"SEGURIDAD DEL PACIENTE",IF(P198=CURSOS!$D$38,"MANEJO DE RESIDUOS HOSPITALARIOS",IF(P198=CURSOS!$D$39,"ATENCION DE PACIENTE POR CONSUMO SUSTANCIAS PSICOACTIVAS Y ADICCIONES")))))))))))))))))))))))))))))))))))))</f>
        <v>0</v>
      </c>
      <c r="W198" s="44" t="str">
        <f t="shared" si="9"/>
        <v xml:space="preserve">   </v>
      </c>
      <c r="X198" s="44" t="str">
        <f t="shared" si="10"/>
        <v xml:space="preserve">   </v>
      </c>
      <c r="Y198" s="44" t="str">
        <f t="shared" si="11"/>
        <v xml:space="preserve">   --</v>
      </c>
    </row>
    <row r="199" spans="1:25" x14ac:dyDescent="0.2">
      <c r="A199" s="45">
        <v>198</v>
      </c>
      <c r="J199" s="47"/>
      <c r="Q199" s="47"/>
      <c r="U199" s="46"/>
      <c r="V199" s="44" t="b">
        <f>IF(P199=CURSOS!$D$3,"DIPLOMADO EN ATENCION PRE-HOSPITALARIA",IF(P199=CURSOS!$D$4,"ACOMPAÑAMIENTO Y MANEJO DEL DUELO",IF(P199=CURSOS!$D$5,"ATENCION A VICTIMAS DE ATAQUE CON AGENTES QUIMICOS ",IF(P199=CURSOS!$D$6,"PRIMEROS AUXILIOS ",IF(P199=CURSOS!$D$7,"DIPLOMADO DE UNIDAD DE CUIDADOS INTENSIVOS (UCI)",IF(P199=CURSOS!$D$8,"MODELO DE ATENCION PARA EVENTOS EMERGENTES EN SALUD MENTAL (CODIGO VERDE)",IF(P199=CURSOS!$D$9,"HUMANIZACION EN EL SERVICIO DE LA SALUD Y BUENAS PRACTICAS EN PACIENTE ",IF(P199=CURSOS!$D$10,"CLINICA DE HERIDAS ",IF(P199=CURSOS!$D$11,"TOMA DE CITOLOGIA CERVICO VAGINAL ",IF(P199=CURSOS!$D$12,"SOPORTE CARDIOVASCULAR AVANZADO (ACLS) ",IF(P199=CURSOS!$D$13,"CAMILLERO ",IF(P199=CURSOS!$D$14,"TOMA DE MUESTRAS Y LABORATORIO ",IF(P199=CURSOS!$D$15,"SOPORTE VITAL BASICO (BLS)",IF(P199=CURSOS!$D$16,"ATENCION A VICTIMAS DE VIOLENCIA SEXUAL ",IF(P199=CURSOS!$D$17,"PROGRAMADO AMPLIADO DE INMUNIZACION (PAI - COVID 19)",IF(P199=CURSOS!$D$18,"ATENCION INTEGRAL EN ENFERMEDADES PREVALENTES EN PRIMERA INFANCIA (AIEPI)",IF(P199=CURSOS!$D$19,"ADMINISTRACION DE MEDICAMENTOS, INYECTOLOGIA  Y CANALIZACION ",IF(P199=CURSOS!$D$20,"OPERADOR DE VEHICULOS DE EMERGENCIA (OVE)",IF(P199=CURSOS!$D$21,"INSTITUCIONES AMIGAS DE LA MUJER Y LA INFANCIA (IAMI)",IF(P199=CURSOS!$D$22,"CUIDADO DEL DONANTE DE ORGANOS",IF(P199=CURSOS!$D$23,"ATENCION A VICTIMAS POR VIOLENCIA DE GENERO",IF(P199=CURSOS!$D$24,"IGUALDAD DE GENERO EN LA SALUD",IF(P199=CURSOS!$D$25,"BRIGADA DE EMERGENCIA",IF(P199=CURSOS!$D$26,"MANEJO DEL DOLOR Y CUIDADOS PALIATIVOS",IF(P199=CURSOS!$D$27,"TOMA DE MUESTRAS Y LABORATORIO POCT",IF(P199=CURSOS!$D$28,"IMPLANTE SUBDERMICO DE DISPOSITIVO INTRAUTERINO",IF(P199=CURSOS!$D$29,"SALUD MENTAL",IF(P199=CURSOS!$D$30,"PRIMEROS AUXILIOS PSICOLOGICOS",IF(P199=CURSOS!$D$31,"ATENCION A VICTIMAS POR CONFLICTO ARMADO",IF(P199=CURSOS!$D$32,"MANIPULACION DE ALIMENTOS Y BPM",IF(P199=CURSOS!$D$33,"ATENCION A PERSONAS CON DISCAPACIDAD",IF(P199=CURSOS!$D$34,"CUIDADO INTEGRAL DEL PACIENTE ADULTO",IF(P199=CURSOS!$D$35,"MANEJO DEFENSIVO",IF(P199=CURSOS!$D$36,"SOPORTE CARDIOVASCULAR AVANZADO NEONATAL",IF(P199=CURSOS!$D$37,"SEGURIDAD DEL PACIENTE",IF(P199=CURSOS!$D$38,"MANEJO DE RESIDUOS HOSPITALARIOS",IF(P199=CURSOS!$D$39,"ATENCION DE PACIENTE POR CONSUMO SUSTANCIAS PSICOACTIVAS Y ADICCIONES")))))))))))))))))))))))))))))))))))))</f>
        <v>0</v>
      </c>
      <c r="W199" s="44" t="str">
        <f t="shared" si="9"/>
        <v xml:space="preserve">   </v>
      </c>
      <c r="X199" s="44" t="str">
        <f t="shared" si="10"/>
        <v xml:space="preserve">   </v>
      </c>
      <c r="Y199" s="44" t="str">
        <f t="shared" si="11"/>
        <v xml:space="preserve">   --</v>
      </c>
    </row>
    <row r="200" spans="1:25" x14ac:dyDescent="0.2">
      <c r="A200" s="45">
        <v>199</v>
      </c>
      <c r="J200" s="47"/>
      <c r="Q200" s="47"/>
      <c r="U200" s="46"/>
      <c r="V200" s="44" t="b">
        <f>IF(P200=CURSOS!$D$3,"DIPLOMADO EN ATENCION PRE-HOSPITALARIA",IF(P200=CURSOS!$D$4,"ACOMPAÑAMIENTO Y MANEJO DEL DUELO",IF(P200=CURSOS!$D$5,"ATENCION A VICTIMAS DE ATAQUE CON AGENTES QUIMICOS ",IF(P200=CURSOS!$D$6,"PRIMEROS AUXILIOS ",IF(P200=CURSOS!$D$7,"DIPLOMADO DE UNIDAD DE CUIDADOS INTENSIVOS (UCI)",IF(P200=CURSOS!$D$8,"MODELO DE ATENCION PARA EVENTOS EMERGENTES EN SALUD MENTAL (CODIGO VERDE)",IF(P200=CURSOS!$D$9,"HUMANIZACION EN EL SERVICIO DE LA SALUD Y BUENAS PRACTICAS EN PACIENTE ",IF(P200=CURSOS!$D$10,"CLINICA DE HERIDAS ",IF(P200=CURSOS!$D$11,"TOMA DE CITOLOGIA CERVICO VAGINAL ",IF(P200=CURSOS!$D$12,"SOPORTE CARDIOVASCULAR AVANZADO (ACLS) ",IF(P200=CURSOS!$D$13,"CAMILLERO ",IF(P200=CURSOS!$D$14,"TOMA DE MUESTRAS Y LABORATORIO ",IF(P200=CURSOS!$D$15,"SOPORTE VITAL BASICO (BLS)",IF(P200=CURSOS!$D$16,"ATENCION A VICTIMAS DE VIOLENCIA SEXUAL ",IF(P200=CURSOS!$D$17,"PROGRAMADO AMPLIADO DE INMUNIZACION (PAI - COVID 19)",IF(P200=CURSOS!$D$18,"ATENCION INTEGRAL EN ENFERMEDADES PREVALENTES EN PRIMERA INFANCIA (AIEPI)",IF(P200=CURSOS!$D$19,"ADMINISTRACION DE MEDICAMENTOS, INYECTOLOGIA  Y CANALIZACION ",IF(P200=CURSOS!$D$20,"OPERADOR DE VEHICULOS DE EMERGENCIA (OVE)",IF(P200=CURSOS!$D$21,"INSTITUCIONES AMIGAS DE LA MUJER Y LA INFANCIA (IAMI)",IF(P200=CURSOS!$D$22,"CUIDADO DEL DONANTE DE ORGANOS",IF(P200=CURSOS!$D$23,"ATENCION A VICTIMAS POR VIOLENCIA DE GENERO",IF(P200=CURSOS!$D$24,"IGUALDAD DE GENERO EN LA SALUD",IF(P200=CURSOS!$D$25,"BRIGADA DE EMERGENCIA",IF(P200=CURSOS!$D$26,"MANEJO DEL DOLOR Y CUIDADOS PALIATIVOS",IF(P200=CURSOS!$D$27,"TOMA DE MUESTRAS Y LABORATORIO POCT",IF(P200=CURSOS!$D$28,"IMPLANTE SUBDERMICO DE DISPOSITIVO INTRAUTERINO",IF(P200=CURSOS!$D$29,"SALUD MENTAL",IF(P200=CURSOS!$D$30,"PRIMEROS AUXILIOS PSICOLOGICOS",IF(P200=CURSOS!$D$31,"ATENCION A VICTIMAS POR CONFLICTO ARMADO",IF(P200=CURSOS!$D$32,"MANIPULACION DE ALIMENTOS Y BPM",IF(P200=CURSOS!$D$33,"ATENCION A PERSONAS CON DISCAPACIDAD",IF(P200=CURSOS!$D$34,"CUIDADO INTEGRAL DEL PACIENTE ADULTO",IF(P200=CURSOS!$D$35,"MANEJO DEFENSIVO",IF(P200=CURSOS!$D$36,"SOPORTE CARDIOVASCULAR AVANZADO NEONATAL",IF(P200=CURSOS!$D$37,"SEGURIDAD DEL PACIENTE",IF(P200=CURSOS!$D$38,"MANEJO DE RESIDUOS HOSPITALARIOS",IF(P200=CURSOS!$D$39,"ATENCION DE PACIENTE POR CONSUMO SUSTANCIAS PSICOACTIVAS Y ADICCIONES")))))))))))))))))))))))))))))))))))))</f>
        <v>0</v>
      </c>
      <c r="W200" s="44" t="str">
        <f t="shared" si="9"/>
        <v xml:space="preserve">   </v>
      </c>
      <c r="X200" s="44" t="str">
        <f t="shared" si="10"/>
        <v xml:space="preserve">   </v>
      </c>
      <c r="Y200" s="44" t="str">
        <f t="shared" si="11"/>
        <v xml:space="preserve">   --</v>
      </c>
    </row>
    <row r="201" spans="1:25" x14ac:dyDescent="0.2">
      <c r="A201" s="45">
        <v>200</v>
      </c>
      <c r="J201" s="47"/>
      <c r="Q201" s="47"/>
      <c r="U201" s="46"/>
      <c r="V201" s="44" t="b">
        <f>IF(P201=CURSOS!$D$3,"DIPLOMADO EN ATENCION PRE-HOSPITALARIA",IF(P201=CURSOS!$D$4,"ACOMPAÑAMIENTO Y MANEJO DEL DUELO",IF(P201=CURSOS!$D$5,"ATENCION A VICTIMAS DE ATAQUE CON AGENTES QUIMICOS ",IF(P201=CURSOS!$D$6,"PRIMEROS AUXILIOS ",IF(P201=CURSOS!$D$7,"DIPLOMADO DE UNIDAD DE CUIDADOS INTENSIVOS (UCI)",IF(P201=CURSOS!$D$8,"MODELO DE ATENCION PARA EVENTOS EMERGENTES EN SALUD MENTAL (CODIGO VERDE)",IF(P201=CURSOS!$D$9,"HUMANIZACION EN EL SERVICIO DE LA SALUD Y BUENAS PRACTICAS EN PACIENTE ",IF(P201=CURSOS!$D$10,"CLINICA DE HERIDAS ",IF(P201=CURSOS!$D$11,"TOMA DE CITOLOGIA CERVICO VAGINAL ",IF(P201=CURSOS!$D$12,"SOPORTE CARDIOVASCULAR AVANZADO (ACLS) ",IF(P201=CURSOS!$D$13,"CAMILLERO ",IF(P201=CURSOS!$D$14,"TOMA DE MUESTRAS Y LABORATORIO ",IF(P201=CURSOS!$D$15,"SOPORTE VITAL BASICO (BLS)",IF(P201=CURSOS!$D$16,"ATENCION A VICTIMAS DE VIOLENCIA SEXUAL ",IF(P201=CURSOS!$D$17,"PROGRAMADO AMPLIADO DE INMUNIZACION (PAI - COVID 19)",IF(P201=CURSOS!$D$18,"ATENCION INTEGRAL EN ENFERMEDADES PREVALENTES EN PRIMERA INFANCIA (AIEPI)",IF(P201=CURSOS!$D$19,"ADMINISTRACION DE MEDICAMENTOS, INYECTOLOGIA  Y CANALIZACION ",IF(P201=CURSOS!$D$20,"OPERADOR DE VEHICULOS DE EMERGENCIA (OVE)",IF(P201=CURSOS!$D$21,"INSTITUCIONES AMIGAS DE LA MUJER Y LA INFANCIA (IAMI)",IF(P201=CURSOS!$D$22,"CUIDADO DEL DONANTE DE ORGANOS",IF(P201=CURSOS!$D$23,"ATENCION A VICTIMAS POR VIOLENCIA DE GENERO",IF(P201=CURSOS!$D$24,"IGUALDAD DE GENERO EN LA SALUD",IF(P201=CURSOS!$D$25,"BRIGADA DE EMERGENCIA",IF(P201=CURSOS!$D$26,"MANEJO DEL DOLOR Y CUIDADOS PALIATIVOS",IF(P201=CURSOS!$D$27,"TOMA DE MUESTRAS Y LABORATORIO POCT",IF(P201=CURSOS!$D$28,"IMPLANTE SUBDERMICO DE DISPOSITIVO INTRAUTERINO",IF(P201=CURSOS!$D$29,"SALUD MENTAL",IF(P201=CURSOS!$D$30,"PRIMEROS AUXILIOS PSICOLOGICOS",IF(P201=CURSOS!$D$31,"ATENCION A VICTIMAS POR CONFLICTO ARMADO",IF(P201=CURSOS!$D$32,"MANIPULACION DE ALIMENTOS Y BPM",IF(P201=CURSOS!$D$33,"ATENCION A PERSONAS CON DISCAPACIDAD",IF(P201=CURSOS!$D$34,"CUIDADO INTEGRAL DEL PACIENTE ADULTO",IF(P201=CURSOS!$D$35,"MANEJO DEFENSIVO",IF(P201=CURSOS!$D$36,"SOPORTE CARDIOVASCULAR AVANZADO NEONATAL",IF(P201=CURSOS!$D$37,"SEGURIDAD DEL PACIENTE",IF(P201=CURSOS!$D$38,"MANEJO DE RESIDUOS HOSPITALARIOS",IF(P201=CURSOS!$D$39,"ATENCION DE PACIENTE POR CONSUMO SUSTANCIAS PSICOACTIVAS Y ADICCIONES")))))))))))))))))))))))))))))))))))))</f>
        <v>0</v>
      </c>
      <c r="W201" s="44" t="str">
        <f t="shared" si="9"/>
        <v xml:space="preserve">   </v>
      </c>
      <c r="X201" s="44" t="str">
        <f t="shared" si="10"/>
        <v xml:space="preserve">   </v>
      </c>
      <c r="Y201" s="44" t="str">
        <f t="shared" si="11"/>
        <v xml:space="preserve">   --</v>
      </c>
    </row>
    <row r="202" spans="1:25" x14ac:dyDescent="0.2">
      <c r="A202" s="45">
        <v>201</v>
      </c>
      <c r="J202" s="47"/>
      <c r="Q202" s="47"/>
      <c r="U202" s="46"/>
      <c r="V202" s="44" t="b">
        <f>IF(P202=CURSOS!$D$3,"DIPLOMADO EN ATENCION PRE-HOSPITALARIA",IF(P202=CURSOS!$D$4,"ACOMPAÑAMIENTO Y MANEJO DEL DUELO",IF(P202=CURSOS!$D$5,"ATENCION A VICTIMAS DE ATAQUE CON AGENTES QUIMICOS ",IF(P202=CURSOS!$D$6,"PRIMEROS AUXILIOS ",IF(P202=CURSOS!$D$7,"DIPLOMADO DE UNIDAD DE CUIDADOS INTENSIVOS (UCI)",IF(P202=CURSOS!$D$8,"MODELO DE ATENCION PARA EVENTOS EMERGENTES EN SALUD MENTAL (CODIGO VERDE)",IF(P202=CURSOS!$D$9,"HUMANIZACION EN EL SERVICIO DE LA SALUD Y BUENAS PRACTICAS EN PACIENTE ",IF(P202=CURSOS!$D$10,"CLINICA DE HERIDAS ",IF(P202=CURSOS!$D$11,"TOMA DE CITOLOGIA CERVICO VAGINAL ",IF(P202=CURSOS!$D$12,"SOPORTE CARDIOVASCULAR AVANZADO (ACLS) ",IF(P202=CURSOS!$D$13,"CAMILLERO ",IF(P202=CURSOS!$D$14,"TOMA DE MUESTRAS Y LABORATORIO ",IF(P202=CURSOS!$D$15,"SOPORTE VITAL BASICO (BLS)",IF(P202=CURSOS!$D$16,"ATENCION A VICTIMAS DE VIOLENCIA SEXUAL ",IF(P202=CURSOS!$D$17,"PROGRAMADO AMPLIADO DE INMUNIZACION (PAI - COVID 19)",IF(P202=CURSOS!$D$18,"ATENCION INTEGRAL EN ENFERMEDADES PREVALENTES EN PRIMERA INFANCIA (AIEPI)",IF(P202=CURSOS!$D$19,"ADMINISTRACION DE MEDICAMENTOS, INYECTOLOGIA  Y CANALIZACION ",IF(P202=CURSOS!$D$20,"OPERADOR DE VEHICULOS DE EMERGENCIA (OVE)",IF(P202=CURSOS!$D$21,"INSTITUCIONES AMIGAS DE LA MUJER Y LA INFANCIA (IAMI)",IF(P202=CURSOS!$D$22,"CUIDADO DEL DONANTE DE ORGANOS",IF(P202=CURSOS!$D$23,"ATENCION A VICTIMAS POR VIOLENCIA DE GENERO",IF(P202=CURSOS!$D$24,"IGUALDAD DE GENERO EN LA SALUD",IF(P202=CURSOS!$D$25,"BRIGADA DE EMERGENCIA",IF(P202=CURSOS!$D$26,"MANEJO DEL DOLOR Y CUIDADOS PALIATIVOS",IF(P202=CURSOS!$D$27,"TOMA DE MUESTRAS Y LABORATORIO POCT",IF(P202=CURSOS!$D$28,"IMPLANTE SUBDERMICO DE DISPOSITIVO INTRAUTERINO",IF(P202=CURSOS!$D$29,"SALUD MENTAL",IF(P202=CURSOS!$D$30,"PRIMEROS AUXILIOS PSICOLOGICOS",IF(P202=CURSOS!$D$31,"ATENCION A VICTIMAS POR CONFLICTO ARMADO",IF(P202=CURSOS!$D$32,"MANIPULACION DE ALIMENTOS Y BPM",IF(P202=CURSOS!$D$33,"ATENCION A PERSONAS CON DISCAPACIDAD",IF(P202=CURSOS!$D$34,"CUIDADO INTEGRAL DEL PACIENTE ADULTO",IF(P202=CURSOS!$D$35,"MANEJO DEFENSIVO",IF(P202=CURSOS!$D$36,"SOPORTE CARDIOVASCULAR AVANZADO NEONATAL",IF(P202=CURSOS!$D$37,"SEGURIDAD DEL PACIENTE",IF(P202=CURSOS!$D$38,"MANEJO DE RESIDUOS HOSPITALARIOS",IF(P202=CURSOS!$D$39,"ATENCION DE PACIENTE POR CONSUMO SUSTANCIAS PSICOACTIVAS Y ADICCIONES")))))))))))))))))))))))))))))))))))))</f>
        <v>0</v>
      </c>
      <c r="W202" s="44" t="str">
        <f t="shared" si="9"/>
        <v xml:space="preserve">   </v>
      </c>
      <c r="X202" s="44" t="str">
        <f t="shared" si="10"/>
        <v xml:space="preserve">   </v>
      </c>
      <c r="Y202" s="44" t="str">
        <f t="shared" si="11"/>
        <v xml:space="preserve">   --</v>
      </c>
    </row>
    <row r="203" spans="1:25" x14ac:dyDescent="0.2">
      <c r="A203" s="45">
        <v>202</v>
      </c>
      <c r="J203" s="47"/>
      <c r="Q203" s="47"/>
      <c r="U203" s="46"/>
      <c r="V203" s="44" t="b">
        <f>IF(P203=CURSOS!$D$3,"DIPLOMADO EN ATENCION PRE-HOSPITALARIA",IF(P203=CURSOS!$D$4,"ACOMPAÑAMIENTO Y MANEJO DEL DUELO",IF(P203=CURSOS!$D$5,"ATENCION A VICTIMAS DE ATAQUE CON AGENTES QUIMICOS ",IF(P203=CURSOS!$D$6,"PRIMEROS AUXILIOS ",IF(P203=CURSOS!$D$7,"DIPLOMADO DE UNIDAD DE CUIDADOS INTENSIVOS (UCI)",IF(P203=CURSOS!$D$8,"MODELO DE ATENCION PARA EVENTOS EMERGENTES EN SALUD MENTAL (CODIGO VERDE)",IF(P203=CURSOS!$D$9,"HUMANIZACION EN EL SERVICIO DE LA SALUD Y BUENAS PRACTICAS EN PACIENTE ",IF(P203=CURSOS!$D$10,"CLINICA DE HERIDAS ",IF(P203=CURSOS!$D$11,"TOMA DE CITOLOGIA CERVICO VAGINAL ",IF(P203=CURSOS!$D$12,"SOPORTE CARDIOVASCULAR AVANZADO (ACLS) ",IF(P203=CURSOS!$D$13,"CAMILLERO ",IF(P203=CURSOS!$D$14,"TOMA DE MUESTRAS Y LABORATORIO ",IF(P203=CURSOS!$D$15,"SOPORTE VITAL BASICO (BLS)",IF(P203=CURSOS!$D$16,"ATENCION A VICTIMAS DE VIOLENCIA SEXUAL ",IF(P203=CURSOS!$D$17,"PROGRAMADO AMPLIADO DE INMUNIZACION (PAI - COVID 19)",IF(P203=CURSOS!$D$18,"ATENCION INTEGRAL EN ENFERMEDADES PREVALENTES EN PRIMERA INFANCIA (AIEPI)",IF(P203=CURSOS!$D$19,"ADMINISTRACION DE MEDICAMENTOS, INYECTOLOGIA  Y CANALIZACION ",IF(P203=CURSOS!$D$20,"OPERADOR DE VEHICULOS DE EMERGENCIA (OVE)",IF(P203=CURSOS!$D$21,"INSTITUCIONES AMIGAS DE LA MUJER Y LA INFANCIA (IAMI)",IF(P203=CURSOS!$D$22,"CUIDADO DEL DONANTE DE ORGANOS",IF(P203=CURSOS!$D$23,"ATENCION A VICTIMAS POR VIOLENCIA DE GENERO",IF(P203=CURSOS!$D$24,"IGUALDAD DE GENERO EN LA SALUD",IF(P203=CURSOS!$D$25,"BRIGADA DE EMERGENCIA",IF(P203=CURSOS!$D$26,"MANEJO DEL DOLOR Y CUIDADOS PALIATIVOS",IF(P203=CURSOS!$D$27,"TOMA DE MUESTRAS Y LABORATORIO POCT",IF(P203=CURSOS!$D$28,"IMPLANTE SUBDERMICO DE DISPOSITIVO INTRAUTERINO",IF(P203=CURSOS!$D$29,"SALUD MENTAL",IF(P203=CURSOS!$D$30,"PRIMEROS AUXILIOS PSICOLOGICOS",IF(P203=CURSOS!$D$31,"ATENCION A VICTIMAS POR CONFLICTO ARMADO",IF(P203=CURSOS!$D$32,"MANIPULACION DE ALIMENTOS Y BPM",IF(P203=CURSOS!$D$33,"ATENCION A PERSONAS CON DISCAPACIDAD",IF(P203=CURSOS!$D$34,"CUIDADO INTEGRAL DEL PACIENTE ADULTO",IF(P203=CURSOS!$D$35,"MANEJO DEFENSIVO",IF(P203=CURSOS!$D$36,"SOPORTE CARDIOVASCULAR AVANZADO NEONATAL",IF(P203=CURSOS!$D$37,"SEGURIDAD DEL PACIENTE",IF(P203=CURSOS!$D$38,"MANEJO DE RESIDUOS HOSPITALARIOS",IF(P203=CURSOS!$D$39,"ATENCION DE PACIENTE POR CONSUMO SUSTANCIAS PSICOACTIVAS Y ADICCIONES")))))))))))))))))))))))))))))))))))))</f>
        <v>0</v>
      </c>
      <c r="W203" s="44" t="str">
        <f t="shared" si="9"/>
        <v xml:space="preserve">   </v>
      </c>
      <c r="X203" s="44" t="str">
        <f t="shared" si="10"/>
        <v xml:space="preserve">   </v>
      </c>
      <c r="Y203" s="44" t="str">
        <f t="shared" si="11"/>
        <v xml:space="preserve">   --</v>
      </c>
    </row>
    <row r="204" spans="1:25" x14ac:dyDescent="0.2">
      <c r="A204" s="45">
        <v>203</v>
      </c>
      <c r="B204" s="46"/>
      <c r="C204" s="46"/>
      <c r="D204" s="46"/>
      <c r="E204" s="46"/>
      <c r="F204" s="46"/>
      <c r="G204" s="46"/>
      <c r="H204" s="46"/>
      <c r="I204" s="46"/>
      <c r="J204" s="47"/>
      <c r="M204" s="46"/>
      <c r="N204" s="46"/>
      <c r="O204" s="46"/>
      <c r="Q204" s="47"/>
      <c r="R204" s="46"/>
      <c r="S204" s="46"/>
      <c r="T204" s="49"/>
      <c r="U204" s="46"/>
      <c r="V204" s="44" t="b">
        <f>IF(P204=CURSOS!$D$3,"DIPLOMADO EN ATENCION PRE-HOSPITALARIA",IF(P204=CURSOS!$D$4,"ACOMPAÑAMIENTO Y MANEJO DEL DUELO",IF(P204=CURSOS!$D$5,"ATENCION A VICTIMAS DE ATAQUE CON AGENTES QUIMICOS ",IF(P204=CURSOS!$D$6,"PRIMEROS AUXILIOS ",IF(P204=CURSOS!$D$7,"DIPLOMADO DE UNIDAD DE CUIDADOS INTENSIVOS (UCI)",IF(P204=CURSOS!$D$8,"MODELO DE ATENCION PARA EVENTOS EMERGENTES EN SALUD MENTAL (CODIGO VERDE)",IF(P204=CURSOS!$D$9,"HUMANIZACION EN EL SERVICIO DE LA SALUD Y BUENAS PRACTICAS EN PACIENTE ",IF(P204=CURSOS!$D$10,"CLINICA DE HERIDAS ",IF(P204=CURSOS!$D$11,"TOMA DE CITOLOGIA CERVICO VAGINAL ",IF(P204=CURSOS!$D$12,"SOPORTE CARDIOVASCULAR AVANZADO (ACLS) ",IF(P204=CURSOS!$D$13,"CAMILLERO ",IF(P204=CURSOS!$D$14,"TOMA DE MUESTRAS Y LABORATORIO ",IF(P204=CURSOS!$D$15,"SOPORTE VITAL BASICO (BLS)",IF(P204=CURSOS!$D$16,"ATENCION A VICTIMAS DE VIOLENCIA SEXUAL ",IF(P204=CURSOS!$D$17,"PROGRAMADO AMPLIADO DE INMUNIZACION (PAI - COVID 19)",IF(P204=CURSOS!$D$18,"ATENCION INTEGRAL EN ENFERMEDADES PREVALENTES EN PRIMERA INFANCIA (AIEPI)",IF(P204=CURSOS!$D$19,"ADMINISTRACION DE MEDICAMENTOS, INYECTOLOGIA  Y CANALIZACION ",IF(P204=CURSOS!$D$20,"OPERADOR DE VEHICULOS DE EMERGENCIA (OVE)",IF(P204=CURSOS!$D$21,"INSTITUCIONES AMIGAS DE LA MUJER Y LA INFANCIA (IAMI)",IF(P204=CURSOS!$D$22,"CUIDADO DEL DONANTE DE ORGANOS",IF(P204=CURSOS!$D$23,"ATENCION A VICTIMAS POR VIOLENCIA DE GENERO",IF(P204=CURSOS!$D$24,"IGUALDAD DE GENERO EN LA SALUD",IF(P204=CURSOS!$D$25,"BRIGADA DE EMERGENCIA",IF(P204=CURSOS!$D$26,"MANEJO DEL DOLOR Y CUIDADOS PALIATIVOS",IF(P204=CURSOS!$D$27,"TOMA DE MUESTRAS Y LABORATORIO POCT",IF(P204=CURSOS!$D$28,"IMPLANTE SUBDERMICO DE DISPOSITIVO INTRAUTERINO",IF(P204=CURSOS!$D$29,"SALUD MENTAL",IF(P204=CURSOS!$D$30,"PRIMEROS AUXILIOS PSICOLOGICOS",IF(P204=CURSOS!$D$31,"ATENCION A VICTIMAS POR CONFLICTO ARMADO",IF(P204=CURSOS!$D$32,"MANIPULACION DE ALIMENTOS Y BPM",IF(P204=CURSOS!$D$33,"ATENCION A PERSONAS CON DISCAPACIDAD",IF(P204=CURSOS!$D$34,"CUIDADO INTEGRAL DEL PACIENTE ADULTO",IF(P204=CURSOS!$D$35,"MANEJO DEFENSIVO",IF(P204=CURSOS!$D$36,"SOPORTE CARDIOVASCULAR AVANZADO NEONATAL",IF(P204=CURSOS!$D$37,"SEGURIDAD DEL PACIENTE",IF(P204=CURSOS!$D$38,"MANEJO DE RESIDUOS HOSPITALARIOS",IF(P204=CURSOS!$D$39,"ATENCION DE PACIENTE POR CONSUMO SUSTANCIAS PSICOACTIVAS Y ADICCIONES")))))))))))))))))))))))))))))))))))))</f>
        <v>0</v>
      </c>
      <c r="W204" s="44" t="str">
        <f t="shared" si="9"/>
        <v xml:space="preserve">   </v>
      </c>
      <c r="X204" s="44" t="str">
        <f t="shared" si="10"/>
        <v xml:space="preserve">   </v>
      </c>
      <c r="Y204" s="44" t="str">
        <f t="shared" si="11"/>
        <v xml:space="preserve">   --</v>
      </c>
    </row>
    <row r="205" spans="1:25" x14ac:dyDescent="0.2">
      <c r="A205" s="45">
        <v>204</v>
      </c>
      <c r="B205" s="46"/>
      <c r="C205" s="46"/>
      <c r="D205" s="46"/>
      <c r="E205" s="46"/>
      <c r="F205" s="46"/>
      <c r="G205" s="46"/>
      <c r="H205" s="46"/>
      <c r="I205" s="46"/>
      <c r="J205" s="47"/>
      <c r="M205" s="46"/>
      <c r="N205" s="46"/>
      <c r="O205" s="46"/>
      <c r="Q205" s="47"/>
      <c r="R205" s="46"/>
      <c r="S205" s="46"/>
      <c r="T205" s="49"/>
      <c r="U205" s="46"/>
      <c r="V205" s="44" t="b">
        <f>IF(P205=CURSOS!$D$3,"DIPLOMADO EN ATENCION PRE-HOSPITALARIA",IF(P205=CURSOS!$D$4,"ACOMPAÑAMIENTO Y MANEJO DEL DUELO",IF(P205=CURSOS!$D$5,"ATENCION A VICTIMAS DE ATAQUE CON AGENTES QUIMICOS ",IF(P205=CURSOS!$D$6,"PRIMEROS AUXILIOS ",IF(P205=CURSOS!$D$7,"DIPLOMADO DE UNIDAD DE CUIDADOS INTENSIVOS (UCI)",IF(P205=CURSOS!$D$8,"MODELO DE ATENCION PARA EVENTOS EMERGENTES EN SALUD MENTAL (CODIGO VERDE)",IF(P205=CURSOS!$D$9,"HUMANIZACION EN EL SERVICIO DE LA SALUD Y BUENAS PRACTICAS EN PACIENTE ",IF(P205=CURSOS!$D$10,"CLINICA DE HERIDAS ",IF(P205=CURSOS!$D$11,"TOMA DE CITOLOGIA CERVICO VAGINAL ",IF(P205=CURSOS!$D$12,"SOPORTE CARDIOVASCULAR AVANZADO (ACLS) ",IF(P205=CURSOS!$D$13,"CAMILLERO ",IF(P205=CURSOS!$D$14,"TOMA DE MUESTRAS Y LABORATORIO ",IF(P205=CURSOS!$D$15,"SOPORTE VITAL BASICO (BLS)",IF(P205=CURSOS!$D$16,"ATENCION A VICTIMAS DE VIOLENCIA SEXUAL ",IF(P205=CURSOS!$D$17,"PROGRAMADO AMPLIADO DE INMUNIZACION (PAI - COVID 19)",IF(P205=CURSOS!$D$18,"ATENCION INTEGRAL EN ENFERMEDADES PREVALENTES EN PRIMERA INFANCIA (AIEPI)",IF(P205=CURSOS!$D$19,"ADMINISTRACION DE MEDICAMENTOS, INYECTOLOGIA  Y CANALIZACION ",IF(P205=CURSOS!$D$20,"OPERADOR DE VEHICULOS DE EMERGENCIA (OVE)",IF(P205=CURSOS!$D$21,"INSTITUCIONES AMIGAS DE LA MUJER Y LA INFANCIA (IAMI)",IF(P205=CURSOS!$D$22,"CUIDADO DEL DONANTE DE ORGANOS",IF(P205=CURSOS!$D$23,"ATENCION A VICTIMAS POR VIOLENCIA DE GENERO",IF(P205=CURSOS!$D$24,"IGUALDAD DE GENERO EN LA SALUD",IF(P205=CURSOS!$D$25,"BRIGADA DE EMERGENCIA",IF(P205=CURSOS!$D$26,"MANEJO DEL DOLOR Y CUIDADOS PALIATIVOS",IF(P205=CURSOS!$D$27,"TOMA DE MUESTRAS Y LABORATORIO POCT",IF(P205=CURSOS!$D$28,"IMPLANTE SUBDERMICO DE DISPOSITIVO INTRAUTERINO",IF(P205=CURSOS!$D$29,"SALUD MENTAL",IF(P205=CURSOS!$D$30,"PRIMEROS AUXILIOS PSICOLOGICOS",IF(P205=CURSOS!$D$31,"ATENCION A VICTIMAS POR CONFLICTO ARMADO",IF(P205=CURSOS!$D$32,"MANIPULACION DE ALIMENTOS Y BPM",IF(P205=CURSOS!$D$33,"ATENCION A PERSONAS CON DISCAPACIDAD",IF(P205=CURSOS!$D$34,"CUIDADO INTEGRAL DEL PACIENTE ADULTO",IF(P205=CURSOS!$D$35,"MANEJO DEFENSIVO",IF(P205=CURSOS!$D$36,"SOPORTE CARDIOVASCULAR AVANZADO NEONATAL",IF(P205=CURSOS!$D$37,"SEGURIDAD DEL PACIENTE",IF(P205=CURSOS!$D$38,"MANEJO DE RESIDUOS HOSPITALARIOS",IF(P205=CURSOS!$D$39,"ATENCION DE PACIENTE POR CONSUMO SUSTANCIAS PSICOACTIVAS Y ADICCIONES")))))))))))))))))))))))))))))))))))))</f>
        <v>0</v>
      </c>
      <c r="W205" s="44" t="str">
        <f t="shared" si="9"/>
        <v xml:space="preserve">   </v>
      </c>
      <c r="X205" s="44" t="str">
        <f t="shared" si="10"/>
        <v xml:space="preserve">   </v>
      </c>
      <c r="Y205" s="44" t="str">
        <f t="shared" si="11"/>
        <v xml:space="preserve">   --</v>
      </c>
    </row>
    <row r="206" spans="1:25" x14ac:dyDescent="0.2">
      <c r="A206" s="45">
        <v>205</v>
      </c>
      <c r="B206" s="46"/>
      <c r="C206" s="46"/>
      <c r="D206" s="46"/>
      <c r="E206" s="46"/>
      <c r="F206" s="46"/>
      <c r="G206" s="46"/>
      <c r="H206" s="46"/>
      <c r="I206" s="46"/>
      <c r="J206" s="51"/>
      <c r="M206" s="46"/>
      <c r="N206" s="46"/>
      <c r="O206" s="46"/>
      <c r="Q206" s="47"/>
      <c r="R206" s="46"/>
      <c r="S206" s="46"/>
      <c r="T206" s="46"/>
      <c r="U206" s="46"/>
      <c r="V206" s="44" t="b">
        <f>IF(P206=CURSOS!$D$3,"DIPLOMADO EN ATENCION PRE-HOSPITALARIA",IF(P206=CURSOS!$D$4,"ACOMPAÑAMIENTO Y MANEJO DEL DUELO",IF(P206=CURSOS!$D$5,"ATENCION A VICTIMAS DE ATAQUE CON AGENTES QUIMICOS ",IF(P206=CURSOS!$D$6,"PRIMEROS AUXILIOS ",IF(P206=CURSOS!$D$7,"DIPLOMADO DE UNIDAD DE CUIDADOS INTENSIVOS (UCI)",IF(P206=CURSOS!$D$8,"MODELO DE ATENCION PARA EVENTOS EMERGENTES EN SALUD MENTAL (CODIGO VERDE)",IF(P206=CURSOS!$D$9,"HUMANIZACION EN EL SERVICIO DE LA SALUD Y BUENAS PRACTICAS EN PACIENTE ",IF(P206=CURSOS!$D$10,"CLINICA DE HERIDAS ",IF(P206=CURSOS!$D$11,"TOMA DE CITOLOGIA CERVICO VAGINAL ",IF(P206=CURSOS!$D$12,"SOPORTE CARDIOVASCULAR AVANZADO (ACLS) ",IF(P206=CURSOS!$D$13,"CAMILLERO ",IF(P206=CURSOS!$D$14,"TOMA DE MUESTRAS Y LABORATORIO ",IF(P206=CURSOS!$D$15,"SOPORTE VITAL BASICO (BLS)",IF(P206=CURSOS!$D$16,"ATENCION A VICTIMAS DE VIOLENCIA SEXUAL ",IF(P206=CURSOS!$D$17,"PROGRAMADO AMPLIADO DE INMUNIZACION (PAI - COVID 19)",IF(P206=CURSOS!$D$18,"ATENCION INTEGRAL EN ENFERMEDADES PREVALENTES EN PRIMERA INFANCIA (AIEPI)",IF(P206=CURSOS!$D$19,"ADMINISTRACION DE MEDICAMENTOS, INYECTOLOGIA  Y CANALIZACION ",IF(P206=CURSOS!$D$20,"OPERADOR DE VEHICULOS DE EMERGENCIA (OVE)",IF(P206=CURSOS!$D$21,"INSTITUCIONES AMIGAS DE LA MUJER Y LA INFANCIA (IAMI)",IF(P206=CURSOS!$D$22,"CUIDADO DEL DONANTE DE ORGANOS",IF(P206=CURSOS!$D$23,"ATENCION A VICTIMAS POR VIOLENCIA DE GENERO",IF(P206=CURSOS!$D$24,"IGUALDAD DE GENERO EN LA SALUD",IF(P206=CURSOS!$D$25,"BRIGADA DE EMERGENCIA",IF(P206=CURSOS!$D$26,"MANEJO DEL DOLOR Y CUIDADOS PALIATIVOS",IF(P206=CURSOS!$D$27,"TOMA DE MUESTRAS Y LABORATORIO POCT",IF(P206=CURSOS!$D$28,"IMPLANTE SUBDERMICO DE DISPOSITIVO INTRAUTERINO",IF(P206=CURSOS!$D$29,"SALUD MENTAL",IF(P206=CURSOS!$D$30,"PRIMEROS AUXILIOS PSICOLOGICOS",IF(P206=CURSOS!$D$31,"ATENCION A VICTIMAS POR CONFLICTO ARMADO",IF(P206=CURSOS!$D$32,"MANIPULACION DE ALIMENTOS Y BPM",IF(P206=CURSOS!$D$33,"ATENCION A PERSONAS CON DISCAPACIDAD",IF(P206=CURSOS!$D$34,"CUIDADO INTEGRAL DEL PACIENTE ADULTO",IF(P206=CURSOS!$D$35,"MANEJO DEFENSIVO",IF(P206=CURSOS!$D$36,"SOPORTE CARDIOVASCULAR AVANZADO NEONATAL",IF(P206=CURSOS!$D$37,"SEGURIDAD DEL PACIENTE",IF(P206=CURSOS!$D$38,"MANEJO DE RESIDUOS HOSPITALARIOS",IF(P206=CURSOS!$D$39,"ATENCION DE PACIENTE POR CONSUMO SUSTANCIAS PSICOACTIVAS Y ADICCIONES")))))))))))))))))))))))))))))))))))))</f>
        <v>0</v>
      </c>
      <c r="W206" s="44" t="str">
        <f t="shared" si="9"/>
        <v xml:space="preserve">   </v>
      </c>
      <c r="X206" s="44" t="str">
        <f t="shared" si="10"/>
        <v xml:space="preserve">   </v>
      </c>
      <c r="Y206" s="44" t="str">
        <f t="shared" si="11"/>
        <v xml:space="preserve">   --</v>
      </c>
    </row>
    <row r="207" spans="1:25" x14ac:dyDescent="0.2">
      <c r="A207" s="45">
        <v>206</v>
      </c>
      <c r="B207" s="46"/>
      <c r="C207" s="46"/>
      <c r="D207" s="46"/>
      <c r="E207" s="46"/>
      <c r="F207" s="46"/>
      <c r="G207" s="46"/>
      <c r="H207" s="46"/>
      <c r="I207" s="46"/>
      <c r="J207" s="51"/>
      <c r="M207" s="46"/>
      <c r="N207" s="46"/>
      <c r="O207" s="46"/>
      <c r="Q207" s="47"/>
      <c r="R207" s="46"/>
      <c r="S207" s="46"/>
      <c r="T207" s="46"/>
      <c r="U207" s="46"/>
      <c r="V207" s="44" t="b">
        <f>IF(P207=CURSOS!$D$3,"DIPLOMADO EN ATENCION PRE-HOSPITALARIA",IF(P207=CURSOS!$D$4,"ACOMPAÑAMIENTO Y MANEJO DEL DUELO",IF(P207=CURSOS!$D$5,"ATENCION A VICTIMAS DE ATAQUE CON AGENTES QUIMICOS ",IF(P207=CURSOS!$D$6,"PRIMEROS AUXILIOS ",IF(P207=CURSOS!$D$7,"DIPLOMADO DE UNIDAD DE CUIDADOS INTENSIVOS (UCI)",IF(P207=CURSOS!$D$8,"MODELO DE ATENCION PARA EVENTOS EMERGENTES EN SALUD MENTAL (CODIGO VERDE)",IF(P207=CURSOS!$D$9,"HUMANIZACION EN EL SERVICIO DE LA SALUD Y BUENAS PRACTICAS EN PACIENTE ",IF(P207=CURSOS!$D$10,"CLINICA DE HERIDAS ",IF(P207=CURSOS!$D$11,"TOMA DE CITOLOGIA CERVICO VAGINAL ",IF(P207=CURSOS!$D$12,"SOPORTE CARDIOVASCULAR AVANZADO (ACLS) ",IF(P207=CURSOS!$D$13,"CAMILLERO ",IF(P207=CURSOS!$D$14,"TOMA DE MUESTRAS Y LABORATORIO ",IF(P207=CURSOS!$D$15,"SOPORTE VITAL BASICO (BLS)",IF(P207=CURSOS!$D$16,"ATENCION A VICTIMAS DE VIOLENCIA SEXUAL ",IF(P207=CURSOS!$D$17,"PROGRAMADO AMPLIADO DE INMUNIZACION (PAI - COVID 19)",IF(P207=CURSOS!$D$18,"ATENCION INTEGRAL EN ENFERMEDADES PREVALENTES EN PRIMERA INFANCIA (AIEPI)",IF(P207=CURSOS!$D$19,"ADMINISTRACION DE MEDICAMENTOS, INYECTOLOGIA  Y CANALIZACION ",IF(P207=CURSOS!$D$20,"OPERADOR DE VEHICULOS DE EMERGENCIA (OVE)",IF(P207=CURSOS!$D$21,"INSTITUCIONES AMIGAS DE LA MUJER Y LA INFANCIA (IAMI)",IF(P207=CURSOS!$D$22,"CUIDADO DEL DONANTE DE ORGANOS",IF(P207=CURSOS!$D$23,"ATENCION A VICTIMAS POR VIOLENCIA DE GENERO",IF(P207=CURSOS!$D$24,"IGUALDAD DE GENERO EN LA SALUD",IF(P207=CURSOS!$D$25,"BRIGADA DE EMERGENCIA",IF(P207=CURSOS!$D$26,"MANEJO DEL DOLOR Y CUIDADOS PALIATIVOS",IF(P207=CURSOS!$D$27,"TOMA DE MUESTRAS Y LABORATORIO POCT",IF(P207=CURSOS!$D$28,"IMPLANTE SUBDERMICO DE DISPOSITIVO INTRAUTERINO",IF(P207=CURSOS!$D$29,"SALUD MENTAL",IF(P207=CURSOS!$D$30,"PRIMEROS AUXILIOS PSICOLOGICOS",IF(P207=CURSOS!$D$31,"ATENCION A VICTIMAS POR CONFLICTO ARMADO",IF(P207=CURSOS!$D$32,"MANIPULACION DE ALIMENTOS Y BPM",IF(P207=CURSOS!$D$33,"ATENCION A PERSONAS CON DISCAPACIDAD",IF(P207=CURSOS!$D$34,"CUIDADO INTEGRAL DEL PACIENTE ADULTO",IF(P207=CURSOS!$D$35,"MANEJO DEFENSIVO",IF(P207=CURSOS!$D$36,"SOPORTE CARDIOVASCULAR AVANZADO NEONATAL",IF(P207=CURSOS!$D$37,"SEGURIDAD DEL PACIENTE",IF(P207=CURSOS!$D$38,"MANEJO DE RESIDUOS HOSPITALARIOS",IF(P207=CURSOS!$D$39,"ATENCION DE PACIENTE POR CONSUMO SUSTANCIAS PSICOACTIVAS Y ADICCIONES")))))))))))))))))))))))))))))))))))))</f>
        <v>0</v>
      </c>
      <c r="W207" s="44" t="str">
        <f t="shared" si="9"/>
        <v xml:space="preserve">   </v>
      </c>
      <c r="X207" s="44" t="str">
        <f t="shared" si="10"/>
        <v xml:space="preserve">   </v>
      </c>
      <c r="Y207" s="44" t="str">
        <f t="shared" si="11"/>
        <v xml:space="preserve">   --</v>
      </c>
    </row>
    <row r="208" spans="1:25" x14ac:dyDescent="0.2">
      <c r="A208" s="45">
        <v>207</v>
      </c>
      <c r="B208" s="46"/>
      <c r="C208" s="46"/>
      <c r="D208" s="46"/>
      <c r="E208" s="46"/>
      <c r="F208" s="46"/>
      <c r="G208" s="46"/>
      <c r="H208" s="46"/>
      <c r="I208" s="46"/>
      <c r="J208" s="51"/>
      <c r="M208" s="46"/>
      <c r="N208" s="46"/>
      <c r="O208" s="46"/>
      <c r="Q208" s="47"/>
      <c r="R208" s="46"/>
      <c r="S208" s="46"/>
      <c r="T208" s="46"/>
      <c r="U208" s="46"/>
      <c r="V208" s="44" t="b">
        <f>IF(P208=CURSOS!$D$3,"DIPLOMADO EN ATENCION PRE-HOSPITALARIA",IF(P208=CURSOS!$D$4,"ACOMPAÑAMIENTO Y MANEJO DEL DUELO",IF(P208=CURSOS!$D$5,"ATENCION A VICTIMAS DE ATAQUE CON AGENTES QUIMICOS ",IF(P208=CURSOS!$D$6,"PRIMEROS AUXILIOS ",IF(P208=CURSOS!$D$7,"DIPLOMADO DE UNIDAD DE CUIDADOS INTENSIVOS (UCI)",IF(P208=CURSOS!$D$8,"MODELO DE ATENCION PARA EVENTOS EMERGENTES EN SALUD MENTAL (CODIGO VERDE)",IF(P208=CURSOS!$D$9,"HUMANIZACION EN EL SERVICIO DE LA SALUD Y BUENAS PRACTICAS EN PACIENTE ",IF(P208=CURSOS!$D$10,"CLINICA DE HERIDAS ",IF(P208=CURSOS!$D$11,"TOMA DE CITOLOGIA CERVICO VAGINAL ",IF(P208=CURSOS!$D$12,"SOPORTE CARDIOVASCULAR AVANZADO (ACLS) ",IF(P208=CURSOS!$D$13,"CAMILLERO ",IF(P208=CURSOS!$D$14,"TOMA DE MUESTRAS Y LABORATORIO ",IF(P208=CURSOS!$D$15,"SOPORTE VITAL BASICO (BLS)",IF(P208=CURSOS!$D$16,"ATENCION A VICTIMAS DE VIOLENCIA SEXUAL ",IF(P208=CURSOS!$D$17,"PROGRAMADO AMPLIADO DE INMUNIZACION (PAI - COVID 19)",IF(P208=CURSOS!$D$18,"ATENCION INTEGRAL EN ENFERMEDADES PREVALENTES EN PRIMERA INFANCIA (AIEPI)",IF(P208=CURSOS!$D$19,"ADMINISTRACION DE MEDICAMENTOS, INYECTOLOGIA  Y CANALIZACION ",IF(P208=CURSOS!$D$20,"OPERADOR DE VEHICULOS DE EMERGENCIA (OVE)",IF(P208=CURSOS!$D$21,"INSTITUCIONES AMIGAS DE LA MUJER Y LA INFANCIA (IAMI)",IF(P208=CURSOS!$D$22,"CUIDADO DEL DONANTE DE ORGANOS",IF(P208=CURSOS!$D$23,"ATENCION A VICTIMAS POR VIOLENCIA DE GENERO",IF(P208=CURSOS!$D$24,"IGUALDAD DE GENERO EN LA SALUD",IF(P208=CURSOS!$D$25,"BRIGADA DE EMERGENCIA",IF(P208=CURSOS!$D$26,"MANEJO DEL DOLOR Y CUIDADOS PALIATIVOS",IF(P208=CURSOS!$D$27,"TOMA DE MUESTRAS Y LABORATORIO POCT",IF(P208=CURSOS!$D$28,"IMPLANTE SUBDERMICO DE DISPOSITIVO INTRAUTERINO",IF(P208=CURSOS!$D$29,"SALUD MENTAL",IF(P208=CURSOS!$D$30,"PRIMEROS AUXILIOS PSICOLOGICOS",IF(P208=CURSOS!$D$31,"ATENCION A VICTIMAS POR CONFLICTO ARMADO",IF(P208=CURSOS!$D$32,"MANIPULACION DE ALIMENTOS Y BPM",IF(P208=CURSOS!$D$33,"ATENCION A PERSONAS CON DISCAPACIDAD",IF(P208=CURSOS!$D$34,"CUIDADO INTEGRAL DEL PACIENTE ADULTO",IF(P208=CURSOS!$D$35,"MANEJO DEFENSIVO",IF(P208=CURSOS!$D$36,"SOPORTE CARDIOVASCULAR AVANZADO NEONATAL",IF(P208=CURSOS!$D$37,"SEGURIDAD DEL PACIENTE",IF(P208=CURSOS!$D$38,"MANEJO DE RESIDUOS HOSPITALARIOS",IF(P208=CURSOS!$D$39,"ATENCION DE PACIENTE POR CONSUMO SUSTANCIAS PSICOACTIVAS Y ADICCIONES")))))))))))))))))))))))))))))))))))))</f>
        <v>0</v>
      </c>
      <c r="W208" s="44" t="str">
        <f t="shared" si="9"/>
        <v xml:space="preserve">   </v>
      </c>
      <c r="X208" s="44" t="str">
        <f t="shared" si="10"/>
        <v xml:space="preserve">   </v>
      </c>
      <c r="Y208" s="44" t="str">
        <f t="shared" si="11"/>
        <v xml:space="preserve">   --</v>
      </c>
    </row>
    <row r="209" spans="1:25" x14ac:dyDescent="0.2">
      <c r="A209" s="45">
        <v>208</v>
      </c>
      <c r="J209" s="47"/>
      <c r="Q209" s="47"/>
      <c r="U209" s="46"/>
      <c r="V209" s="44" t="b">
        <f>IF(P209=CURSOS!$D$3,"DIPLOMADO EN ATENCION PRE-HOSPITALARIA",IF(P209=CURSOS!$D$4,"ACOMPAÑAMIENTO Y MANEJO DEL DUELO",IF(P209=CURSOS!$D$5,"ATENCION A VICTIMAS DE ATAQUE CON AGENTES QUIMICOS ",IF(P209=CURSOS!$D$6,"PRIMEROS AUXILIOS ",IF(P209=CURSOS!$D$7,"DIPLOMADO DE UNIDAD DE CUIDADOS INTENSIVOS (UCI)",IF(P209=CURSOS!$D$8,"MODELO DE ATENCION PARA EVENTOS EMERGENTES EN SALUD MENTAL (CODIGO VERDE)",IF(P209=CURSOS!$D$9,"HUMANIZACION EN EL SERVICIO DE LA SALUD Y BUENAS PRACTICAS EN PACIENTE ",IF(P209=CURSOS!$D$10,"CLINICA DE HERIDAS ",IF(P209=CURSOS!$D$11,"TOMA DE CITOLOGIA CERVICO VAGINAL ",IF(P209=CURSOS!$D$12,"SOPORTE CARDIOVASCULAR AVANZADO (ACLS) ",IF(P209=CURSOS!$D$13,"CAMILLERO ",IF(P209=CURSOS!$D$14,"TOMA DE MUESTRAS Y LABORATORIO ",IF(P209=CURSOS!$D$15,"SOPORTE VITAL BASICO (BLS)",IF(P209=CURSOS!$D$16,"ATENCION A VICTIMAS DE VIOLENCIA SEXUAL ",IF(P209=CURSOS!$D$17,"PROGRAMADO AMPLIADO DE INMUNIZACION (PAI - COVID 19)",IF(P209=CURSOS!$D$18,"ATENCION INTEGRAL EN ENFERMEDADES PREVALENTES EN PRIMERA INFANCIA (AIEPI)",IF(P209=CURSOS!$D$19,"ADMINISTRACION DE MEDICAMENTOS, INYECTOLOGIA  Y CANALIZACION ",IF(P209=CURSOS!$D$20,"OPERADOR DE VEHICULOS DE EMERGENCIA (OVE)",IF(P209=CURSOS!$D$21,"INSTITUCIONES AMIGAS DE LA MUJER Y LA INFANCIA (IAMI)",IF(P209=CURSOS!$D$22,"CUIDADO DEL DONANTE DE ORGANOS",IF(P209=CURSOS!$D$23,"ATENCION A VICTIMAS POR VIOLENCIA DE GENERO",IF(P209=CURSOS!$D$24,"IGUALDAD DE GENERO EN LA SALUD",IF(P209=CURSOS!$D$25,"BRIGADA DE EMERGENCIA",IF(P209=CURSOS!$D$26,"MANEJO DEL DOLOR Y CUIDADOS PALIATIVOS",IF(P209=CURSOS!$D$27,"TOMA DE MUESTRAS Y LABORATORIO POCT",IF(P209=CURSOS!$D$28,"IMPLANTE SUBDERMICO DE DISPOSITIVO INTRAUTERINO",IF(P209=CURSOS!$D$29,"SALUD MENTAL",IF(P209=CURSOS!$D$30,"PRIMEROS AUXILIOS PSICOLOGICOS",IF(P209=CURSOS!$D$31,"ATENCION A VICTIMAS POR CONFLICTO ARMADO",IF(P209=CURSOS!$D$32,"MANIPULACION DE ALIMENTOS Y BPM",IF(P209=CURSOS!$D$33,"ATENCION A PERSONAS CON DISCAPACIDAD",IF(P209=CURSOS!$D$34,"CUIDADO INTEGRAL DEL PACIENTE ADULTO",IF(P209=CURSOS!$D$35,"MANEJO DEFENSIVO",IF(P209=CURSOS!$D$36,"SOPORTE CARDIOVASCULAR AVANZADO NEONATAL",IF(P209=CURSOS!$D$37,"SEGURIDAD DEL PACIENTE",IF(P209=CURSOS!$D$38,"MANEJO DE RESIDUOS HOSPITALARIOS",IF(P209=CURSOS!$D$39,"ATENCION DE PACIENTE POR CONSUMO SUSTANCIAS PSICOACTIVAS Y ADICCIONES")))))))))))))))))))))))))))))))))))))</f>
        <v>0</v>
      </c>
      <c r="W209" s="44" t="str">
        <f t="shared" si="9"/>
        <v xml:space="preserve">   </v>
      </c>
      <c r="X209" s="44" t="str">
        <f t="shared" si="10"/>
        <v xml:space="preserve">   </v>
      </c>
      <c r="Y209" s="44" t="str">
        <f t="shared" si="11"/>
        <v xml:space="preserve">   --</v>
      </c>
    </row>
    <row r="210" spans="1:25" x14ac:dyDescent="0.2">
      <c r="A210" s="45">
        <v>209</v>
      </c>
      <c r="J210" s="47"/>
      <c r="Q210" s="47"/>
      <c r="U210" s="46"/>
      <c r="V210" s="44" t="b">
        <f>IF(P210=CURSOS!$D$3,"DIPLOMADO EN ATENCION PRE-HOSPITALARIA",IF(P210=CURSOS!$D$4,"ACOMPAÑAMIENTO Y MANEJO DEL DUELO",IF(P210=CURSOS!$D$5,"ATENCION A VICTIMAS DE ATAQUE CON AGENTES QUIMICOS ",IF(P210=CURSOS!$D$6,"PRIMEROS AUXILIOS ",IF(P210=CURSOS!$D$7,"DIPLOMADO DE UNIDAD DE CUIDADOS INTENSIVOS (UCI)",IF(P210=CURSOS!$D$8,"MODELO DE ATENCION PARA EVENTOS EMERGENTES EN SALUD MENTAL (CODIGO VERDE)",IF(P210=CURSOS!$D$9,"HUMANIZACION EN EL SERVICIO DE LA SALUD Y BUENAS PRACTICAS EN PACIENTE ",IF(P210=CURSOS!$D$10,"CLINICA DE HERIDAS ",IF(P210=CURSOS!$D$11,"TOMA DE CITOLOGIA CERVICO VAGINAL ",IF(P210=CURSOS!$D$12,"SOPORTE CARDIOVASCULAR AVANZADO (ACLS) ",IF(P210=CURSOS!$D$13,"CAMILLERO ",IF(P210=CURSOS!$D$14,"TOMA DE MUESTRAS Y LABORATORIO ",IF(P210=CURSOS!$D$15,"SOPORTE VITAL BASICO (BLS)",IF(P210=CURSOS!$D$16,"ATENCION A VICTIMAS DE VIOLENCIA SEXUAL ",IF(P210=CURSOS!$D$17,"PROGRAMADO AMPLIADO DE INMUNIZACION (PAI - COVID 19)",IF(P210=CURSOS!$D$18,"ATENCION INTEGRAL EN ENFERMEDADES PREVALENTES EN PRIMERA INFANCIA (AIEPI)",IF(P210=CURSOS!$D$19,"ADMINISTRACION DE MEDICAMENTOS, INYECTOLOGIA  Y CANALIZACION ",IF(P210=CURSOS!$D$20,"OPERADOR DE VEHICULOS DE EMERGENCIA (OVE)",IF(P210=CURSOS!$D$21,"INSTITUCIONES AMIGAS DE LA MUJER Y LA INFANCIA (IAMI)",IF(P210=CURSOS!$D$22,"CUIDADO DEL DONANTE DE ORGANOS",IF(P210=CURSOS!$D$23,"ATENCION A VICTIMAS POR VIOLENCIA DE GENERO",IF(P210=CURSOS!$D$24,"IGUALDAD DE GENERO EN LA SALUD",IF(P210=CURSOS!$D$25,"BRIGADA DE EMERGENCIA",IF(P210=CURSOS!$D$26,"MANEJO DEL DOLOR Y CUIDADOS PALIATIVOS",IF(P210=CURSOS!$D$27,"TOMA DE MUESTRAS Y LABORATORIO POCT",IF(P210=CURSOS!$D$28,"IMPLANTE SUBDERMICO DE DISPOSITIVO INTRAUTERINO",IF(P210=CURSOS!$D$29,"SALUD MENTAL",IF(P210=CURSOS!$D$30,"PRIMEROS AUXILIOS PSICOLOGICOS",IF(P210=CURSOS!$D$31,"ATENCION A VICTIMAS POR CONFLICTO ARMADO",IF(P210=CURSOS!$D$32,"MANIPULACION DE ALIMENTOS Y BPM",IF(P210=CURSOS!$D$33,"ATENCION A PERSONAS CON DISCAPACIDAD",IF(P210=CURSOS!$D$34,"CUIDADO INTEGRAL DEL PACIENTE ADULTO",IF(P210=CURSOS!$D$35,"MANEJO DEFENSIVO",IF(P210=CURSOS!$D$36,"SOPORTE CARDIOVASCULAR AVANZADO NEONATAL",IF(P210=CURSOS!$D$37,"SEGURIDAD DEL PACIENTE",IF(P210=CURSOS!$D$38,"MANEJO DE RESIDUOS HOSPITALARIOS",IF(P210=CURSOS!$D$39,"ATENCION DE PACIENTE POR CONSUMO SUSTANCIAS PSICOACTIVAS Y ADICCIONES")))))))))))))))))))))))))))))))))))))</f>
        <v>0</v>
      </c>
      <c r="W210" s="44" t="str">
        <f t="shared" si="9"/>
        <v xml:space="preserve">   </v>
      </c>
      <c r="X210" s="44" t="str">
        <f t="shared" si="10"/>
        <v xml:space="preserve">   </v>
      </c>
      <c r="Y210" s="44" t="str">
        <f t="shared" si="11"/>
        <v xml:space="preserve">   --</v>
      </c>
    </row>
    <row r="211" spans="1:25" x14ac:dyDescent="0.2">
      <c r="A211" s="45">
        <v>210</v>
      </c>
      <c r="J211" s="47"/>
      <c r="Q211" s="47"/>
      <c r="U211" s="46"/>
      <c r="V211" s="44" t="b">
        <f>IF(P211=CURSOS!$D$3,"DIPLOMADO EN ATENCION PRE-HOSPITALARIA",IF(P211=CURSOS!$D$4,"ACOMPAÑAMIENTO Y MANEJO DEL DUELO",IF(P211=CURSOS!$D$5,"ATENCION A VICTIMAS DE ATAQUE CON AGENTES QUIMICOS ",IF(P211=CURSOS!$D$6,"PRIMEROS AUXILIOS ",IF(P211=CURSOS!$D$7,"DIPLOMADO DE UNIDAD DE CUIDADOS INTENSIVOS (UCI)",IF(P211=CURSOS!$D$8,"MODELO DE ATENCION PARA EVENTOS EMERGENTES EN SALUD MENTAL (CODIGO VERDE)",IF(P211=CURSOS!$D$9,"HUMANIZACION EN EL SERVICIO DE LA SALUD Y BUENAS PRACTICAS EN PACIENTE ",IF(P211=CURSOS!$D$10,"CLINICA DE HERIDAS ",IF(P211=CURSOS!$D$11,"TOMA DE CITOLOGIA CERVICO VAGINAL ",IF(P211=CURSOS!$D$12,"SOPORTE CARDIOVASCULAR AVANZADO (ACLS) ",IF(P211=CURSOS!$D$13,"CAMILLERO ",IF(P211=CURSOS!$D$14,"TOMA DE MUESTRAS Y LABORATORIO ",IF(P211=CURSOS!$D$15,"SOPORTE VITAL BASICO (BLS)",IF(P211=CURSOS!$D$16,"ATENCION A VICTIMAS DE VIOLENCIA SEXUAL ",IF(P211=CURSOS!$D$17,"PROGRAMADO AMPLIADO DE INMUNIZACION (PAI - COVID 19)",IF(P211=CURSOS!$D$18,"ATENCION INTEGRAL EN ENFERMEDADES PREVALENTES EN PRIMERA INFANCIA (AIEPI)",IF(P211=CURSOS!$D$19,"ADMINISTRACION DE MEDICAMENTOS, INYECTOLOGIA  Y CANALIZACION ",IF(P211=CURSOS!$D$20,"OPERADOR DE VEHICULOS DE EMERGENCIA (OVE)",IF(P211=CURSOS!$D$21,"INSTITUCIONES AMIGAS DE LA MUJER Y LA INFANCIA (IAMI)",IF(P211=CURSOS!$D$22,"CUIDADO DEL DONANTE DE ORGANOS",IF(P211=CURSOS!$D$23,"ATENCION A VICTIMAS POR VIOLENCIA DE GENERO",IF(P211=CURSOS!$D$24,"IGUALDAD DE GENERO EN LA SALUD",IF(P211=CURSOS!$D$25,"BRIGADA DE EMERGENCIA",IF(P211=CURSOS!$D$26,"MANEJO DEL DOLOR Y CUIDADOS PALIATIVOS",IF(P211=CURSOS!$D$27,"TOMA DE MUESTRAS Y LABORATORIO POCT",IF(P211=CURSOS!$D$28,"IMPLANTE SUBDERMICO DE DISPOSITIVO INTRAUTERINO",IF(P211=CURSOS!$D$29,"SALUD MENTAL",IF(P211=CURSOS!$D$30,"PRIMEROS AUXILIOS PSICOLOGICOS",IF(P211=CURSOS!$D$31,"ATENCION A VICTIMAS POR CONFLICTO ARMADO",IF(P211=CURSOS!$D$32,"MANIPULACION DE ALIMENTOS Y BPM",IF(P211=CURSOS!$D$33,"ATENCION A PERSONAS CON DISCAPACIDAD",IF(P211=CURSOS!$D$34,"CUIDADO INTEGRAL DEL PACIENTE ADULTO",IF(P211=CURSOS!$D$35,"MANEJO DEFENSIVO",IF(P211=CURSOS!$D$36,"SOPORTE CARDIOVASCULAR AVANZADO NEONATAL",IF(P211=CURSOS!$D$37,"SEGURIDAD DEL PACIENTE",IF(P211=CURSOS!$D$38,"MANEJO DE RESIDUOS HOSPITALARIOS",IF(P211=CURSOS!$D$39,"ATENCION DE PACIENTE POR CONSUMO SUSTANCIAS PSICOACTIVAS Y ADICCIONES")))))))))))))))))))))))))))))))))))))</f>
        <v>0</v>
      </c>
      <c r="W211" s="44" t="str">
        <f t="shared" si="9"/>
        <v xml:space="preserve">   </v>
      </c>
      <c r="X211" s="44" t="str">
        <f t="shared" si="10"/>
        <v xml:space="preserve">   </v>
      </c>
      <c r="Y211" s="44" t="str">
        <f t="shared" si="11"/>
        <v xml:space="preserve">   --</v>
      </c>
    </row>
    <row r="212" spans="1:25" x14ac:dyDescent="0.2">
      <c r="A212" s="45">
        <v>211</v>
      </c>
      <c r="J212" s="47"/>
      <c r="Q212" s="47"/>
      <c r="U212" s="46"/>
      <c r="V212" s="44" t="b">
        <f>IF(P212=CURSOS!$D$3,"DIPLOMADO EN ATENCION PRE-HOSPITALARIA",IF(P212=CURSOS!$D$4,"ACOMPAÑAMIENTO Y MANEJO DEL DUELO",IF(P212=CURSOS!$D$5,"ATENCION A VICTIMAS DE ATAQUE CON AGENTES QUIMICOS ",IF(P212=CURSOS!$D$6,"PRIMEROS AUXILIOS ",IF(P212=CURSOS!$D$7,"DIPLOMADO DE UNIDAD DE CUIDADOS INTENSIVOS (UCI)",IF(P212=CURSOS!$D$8,"MODELO DE ATENCION PARA EVENTOS EMERGENTES EN SALUD MENTAL (CODIGO VERDE)",IF(P212=CURSOS!$D$9,"HUMANIZACION EN EL SERVICIO DE LA SALUD Y BUENAS PRACTICAS EN PACIENTE ",IF(P212=CURSOS!$D$10,"CLINICA DE HERIDAS ",IF(P212=CURSOS!$D$11,"TOMA DE CITOLOGIA CERVICO VAGINAL ",IF(P212=CURSOS!$D$12,"SOPORTE CARDIOVASCULAR AVANZADO (ACLS) ",IF(P212=CURSOS!$D$13,"CAMILLERO ",IF(P212=CURSOS!$D$14,"TOMA DE MUESTRAS Y LABORATORIO ",IF(P212=CURSOS!$D$15,"SOPORTE VITAL BASICO (BLS)",IF(P212=CURSOS!$D$16,"ATENCION A VICTIMAS DE VIOLENCIA SEXUAL ",IF(P212=CURSOS!$D$17,"PROGRAMADO AMPLIADO DE INMUNIZACION (PAI - COVID 19)",IF(P212=CURSOS!$D$18,"ATENCION INTEGRAL EN ENFERMEDADES PREVALENTES EN PRIMERA INFANCIA (AIEPI)",IF(P212=CURSOS!$D$19,"ADMINISTRACION DE MEDICAMENTOS, INYECTOLOGIA  Y CANALIZACION ",IF(P212=CURSOS!$D$20,"OPERADOR DE VEHICULOS DE EMERGENCIA (OVE)",IF(P212=CURSOS!$D$21,"INSTITUCIONES AMIGAS DE LA MUJER Y LA INFANCIA (IAMI)",IF(P212=CURSOS!$D$22,"CUIDADO DEL DONANTE DE ORGANOS",IF(P212=CURSOS!$D$23,"ATENCION A VICTIMAS POR VIOLENCIA DE GENERO",IF(P212=CURSOS!$D$24,"IGUALDAD DE GENERO EN LA SALUD",IF(P212=CURSOS!$D$25,"BRIGADA DE EMERGENCIA",IF(P212=CURSOS!$D$26,"MANEJO DEL DOLOR Y CUIDADOS PALIATIVOS",IF(P212=CURSOS!$D$27,"TOMA DE MUESTRAS Y LABORATORIO POCT",IF(P212=CURSOS!$D$28,"IMPLANTE SUBDERMICO DE DISPOSITIVO INTRAUTERINO",IF(P212=CURSOS!$D$29,"SALUD MENTAL",IF(P212=CURSOS!$D$30,"PRIMEROS AUXILIOS PSICOLOGICOS",IF(P212=CURSOS!$D$31,"ATENCION A VICTIMAS POR CONFLICTO ARMADO",IF(P212=CURSOS!$D$32,"MANIPULACION DE ALIMENTOS Y BPM",IF(P212=CURSOS!$D$33,"ATENCION A PERSONAS CON DISCAPACIDAD",IF(P212=CURSOS!$D$34,"CUIDADO INTEGRAL DEL PACIENTE ADULTO",IF(P212=CURSOS!$D$35,"MANEJO DEFENSIVO",IF(P212=CURSOS!$D$36,"SOPORTE CARDIOVASCULAR AVANZADO NEONATAL",IF(P212=CURSOS!$D$37,"SEGURIDAD DEL PACIENTE",IF(P212=CURSOS!$D$38,"MANEJO DE RESIDUOS HOSPITALARIOS",IF(P212=CURSOS!$D$39,"ATENCION DE PACIENTE POR CONSUMO SUSTANCIAS PSICOACTIVAS Y ADICCIONES")))))))))))))))))))))))))))))))))))))</f>
        <v>0</v>
      </c>
      <c r="W212" s="44" t="str">
        <f t="shared" si="9"/>
        <v xml:space="preserve">   </v>
      </c>
      <c r="X212" s="44" t="str">
        <f t="shared" si="10"/>
        <v xml:space="preserve">   </v>
      </c>
      <c r="Y212" s="44" t="str">
        <f t="shared" si="11"/>
        <v xml:space="preserve">   --</v>
      </c>
    </row>
    <row r="213" spans="1:25" x14ac:dyDescent="0.2">
      <c r="A213" s="45">
        <v>212</v>
      </c>
      <c r="J213" s="47"/>
      <c r="Q213" s="47"/>
      <c r="U213" s="46"/>
      <c r="V213" s="44" t="b">
        <f>IF(P213=CURSOS!$D$3,"DIPLOMADO EN ATENCION PRE-HOSPITALARIA",IF(P213=CURSOS!$D$4,"ACOMPAÑAMIENTO Y MANEJO DEL DUELO",IF(P213=CURSOS!$D$5,"ATENCION A VICTIMAS DE ATAQUE CON AGENTES QUIMICOS ",IF(P213=CURSOS!$D$6,"PRIMEROS AUXILIOS ",IF(P213=CURSOS!$D$7,"DIPLOMADO DE UNIDAD DE CUIDADOS INTENSIVOS (UCI)",IF(P213=CURSOS!$D$8,"MODELO DE ATENCION PARA EVENTOS EMERGENTES EN SALUD MENTAL (CODIGO VERDE)",IF(P213=CURSOS!$D$9,"HUMANIZACION EN EL SERVICIO DE LA SALUD Y BUENAS PRACTICAS EN PACIENTE ",IF(P213=CURSOS!$D$10,"CLINICA DE HERIDAS ",IF(P213=CURSOS!$D$11,"TOMA DE CITOLOGIA CERVICO VAGINAL ",IF(P213=CURSOS!$D$12,"SOPORTE CARDIOVASCULAR AVANZADO (ACLS) ",IF(P213=CURSOS!$D$13,"CAMILLERO ",IF(P213=CURSOS!$D$14,"TOMA DE MUESTRAS Y LABORATORIO ",IF(P213=CURSOS!$D$15,"SOPORTE VITAL BASICO (BLS)",IF(P213=CURSOS!$D$16,"ATENCION A VICTIMAS DE VIOLENCIA SEXUAL ",IF(P213=CURSOS!$D$17,"PROGRAMADO AMPLIADO DE INMUNIZACION (PAI - COVID 19)",IF(P213=CURSOS!$D$18,"ATENCION INTEGRAL EN ENFERMEDADES PREVALENTES EN PRIMERA INFANCIA (AIEPI)",IF(P213=CURSOS!$D$19,"ADMINISTRACION DE MEDICAMENTOS, INYECTOLOGIA  Y CANALIZACION ",IF(P213=CURSOS!$D$20,"OPERADOR DE VEHICULOS DE EMERGENCIA (OVE)",IF(P213=CURSOS!$D$21,"INSTITUCIONES AMIGAS DE LA MUJER Y LA INFANCIA (IAMI)",IF(P213=CURSOS!$D$22,"CUIDADO DEL DONANTE DE ORGANOS",IF(P213=CURSOS!$D$23,"ATENCION A VICTIMAS POR VIOLENCIA DE GENERO",IF(P213=CURSOS!$D$24,"IGUALDAD DE GENERO EN LA SALUD",IF(P213=CURSOS!$D$25,"BRIGADA DE EMERGENCIA",IF(P213=CURSOS!$D$26,"MANEJO DEL DOLOR Y CUIDADOS PALIATIVOS",IF(P213=CURSOS!$D$27,"TOMA DE MUESTRAS Y LABORATORIO POCT",IF(P213=CURSOS!$D$28,"IMPLANTE SUBDERMICO DE DISPOSITIVO INTRAUTERINO",IF(P213=CURSOS!$D$29,"SALUD MENTAL",IF(P213=CURSOS!$D$30,"PRIMEROS AUXILIOS PSICOLOGICOS",IF(P213=CURSOS!$D$31,"ATENCION A VICTIMAS POR CONFLICTO ARMADO",IF(P213=CURSOS!$D$32,"MANIPULACION DE ALIMENTOS Y BPM",IF(P213=CURSOS!$D$33,"ATENCION A PERSONAS CON DISCAPACIDAD",IF(P213=CURSOS!$D$34,"CUIDADO INTEGRAL DEL PACIENTE ADULTO",IF(P213=CURSOS!$D$35,"MANEJO DEFENSIVO",IF(P213=CURSOS!$D$36,"SOPORTE CARDIOVASCULAR AVANZADO NEONATAL",IF(P213=CURSOS!$D$37,"SEGURIDAD DEL PACIENTE",IF(P213=CURSOS!$D$38,"MANEJO DE RESIDUOS HOSPITALARIOS",IF(P213=CURSOS!$D$39,"ATENCION DE PACIENTE POR CONSUMO SUSTANCIAS PSICOACTIVAS Y ADICCIONES")))))))))))))))))))))))))))))))))))))</f>
        <v>0</v>
      </c>
      <c r="W213" s="44" t="str">
        <f t="shared" si="9"/>
        <v xml:space="preserve">   </v>
      </c>
      <c r="X213" s="44" t="str">
        <f t="shared" si="10"/>
        <v xml:space="preserve">   </v>
      </c>
      <c r="Y213" s="44" t="str">
        <f t="shared" si="11"/>
        <v xml:space="preserve">   --</v>
      </c>
    </row>
    <row r="214" spans="1:25" x14ac:dyDescent="0.2">
      <c r="A214" s="45">
        <v>213</v>
      </c>
      <c r="Q214" s="47"/>
      <c r="S214" s="54"/>
      <c r="U214" s="46"/>
      <c r="V214" s="44" t="b">
        <f>IF(P214=CURSOS!$D$3,"DIPLOMADO EN ATENCION PRE-HOSPITALARIA",IF(P214=CURSOS!$D$4,"ACOMPAÑAMIENTO Y MANEJO DEL DUELO",IF(P214=CURSOS!$D$5,"ATENCION A VICTIMAS DE ATAQUE CON AGENTES QUIMICOS ",IF(P214=CURSOS!$D$6,"PRIMEROS AUXILIOS ",IF(P214=CURSOS!$D$7,"DIPLOMADO DE UNIDAD DE CUIDADOS INTENSIVOS (UCI)",IF(P214=CURSOS!$D$8,"MODELO DE ATENCION PARA EVENTOS EMERGENTES EN SALUD MENTAL (CODIGO VERDE)",IF(P214=CURSOS!$D$9,"HUMANIZACION EN EL SERVICIO DE LA SALUD Y BUENAS PRACTICAS EN PACIENTE ",IF(P214=CURSOS!$D$10,"CLINICA DE HERIDAS ",IF(P214=CURSOS!$D$11,"TOMA DE CITOLOGIA CERVICO VAGINAL ",IF(P214=CURSOS!$D$12,"SOPORTE CARDIOVASCULAR AVANZADO (ACLS) ",IF(P214=CURSOS!$D$13,"CAMILLERO ",IF(P214=CURSOS!$D$14,"TOMA DE MUESTRAS Y LABORATORIO ",IF(P214=CURSOS!$D$15,"SOPORTE VITAL BASICO (BLS)",IF(P214=CURSOS!$D$16,"ATENCION A VICTIMAS DE VIOLENCIA SEXUAL ",IF(P214=CURSOS!$D$17,"PROGRAMADO AMPLIADO DE INMUNIZACION (PAI - COVID 19)",IF(P214=CURSOS!$D$18,"ATENCION INTEGRAL EN ENFERMEDADES PREVALENTES EN PRIMERA INFANCIA (AIEPI)",IF(P214=CURSOS!$D$19,"ADMINISTRACION DE MEDICAMENTOS, INYECTOLOGIA  Y CANALIZACION ",IF(P214=CURSOS!$D$20,"OPERADOR DE VEHICULOS DE EMERGENCIA (OVE)",IF(P214=CURSOS!$D$21,"INSTITUCIONES AMIGAS DE LA MUJER Y LA INFANCIA (IAMI)",IF(P214=CURSOS!$D$22,"CUIDADO DEL DONANTE DE ORGANOS",IF(P214=CURSOS!$D$23,"ATENCION A VICTIMAS POR VIOLENCIA DE GENERO",IF(P214=CURSOS!$D$24,"IGUALDAD DE GENERO EN LA SALUD",IF(P214=CURSOS!$D$25,"BRIGADA DE EMERGENCIA",IF(P214=CURSOS!$D$26,"MANEJO DEL DOLOR Y CUIDADOS PALIATIVOS",IF(P214=CURSOS!$D$27,"TOMA DE MUESTRAS Y LABORATORIO POCT",IF(P214=CURSOS!$D$28,"IMPLANTE SUBDERMICO DE DISPOSITIVO INTRAUTERINO",IF(P214=CURSOS!$D$29,"SALUD MENTAL",IF(P214=CURSOS!$D$30,"PRIMEROS AUXILIOS PSICOLOGICOS",IF(P214=CURSOS!$D$31,"ATENCION A VICTIMAS POR CONFLICTO ARMADO",IF(P214=CURSOS!$D$32,"MANIPULACION DE ALIMENTOS Y BPM",IF(P214=CURSOS!$D$33,"ATENCION A PERSONAS CON DISCAPACIDAD",IF(P214=CURSOS!$D$34,"CUIDADO INTEGRAL DEL PACIENTE ADULTO",IF(P214=CURSOS!$D$35,"MANEJO DEFENSIVO",IF(P214=CURSOS!$D$36,"SOPORTE CARDIOVASCULAR AVANZADO NEONATAL",IF(P214=CURSOS!$D$37,"SEGURIDAD DEL PACIENTE",IF(P214=CURSOS!$D$38,"MANEJO DE RESIDUOS HOSPITALARIOS",IF(P214=CURSOS!$D$39,"ATENCION DE PACIENTE POR CONSUMO SUSTANCIAS PSICOACTIVAS Y ADICCIONES")))))))))))))))))))))))))))))))))))))</f>
        <v>0</v>
      </c>
      <c r="W214" s="44" t="str">
        <f t="shared" si="9"/>
        <v xml:space="preserve">   </v>
      </c>
      <c r="X214" s="44" t="str">
        <f t="shared" si="10"/>
        <v xml:space="preserve">   </v>
      </c>
      <c r="Y214" s="44" t="str">
        <f t="shared" si="11"/>
        <v xml:space="preserve">   --</v>
      </c>
    </row>
    <row r="215" spans="1:25" x14ac:dyDescent="0.2">
      <c r="A215" s="45">
        <v>214</v>
      </c>
      <c r="Q215" s="47"/>
      <c r="S215" s="54"/>
      <c r="U215" s="46"/>
      <c r="V215" s="44" t="b">
        <f>IF(P215=CURSOS!$D$3,"DIPLOMADO EN ATENCION PRE-HOSPITALARIA",IF(P215=CURSOS!$D$4,"ACOMPAÑAMIENTO Y MANEJO DEL DUELO",IF(P215=CURSOS!$D$5,"ATENCION A VICTIMAS DE ATAQUE CON AGENTES QUIMICOS ",IF(P215=CURSOS!$D$6,"PRIMEROS AUXILIOS ",IF(P215=CURSOS!$D$7,"DIPLOMADO DE UNIDAD DE CUIDADOS INTENSIVOS (UCI)",IF(P215=CURSOS!$D$8,"MODELO DE ATENCION PARA EVENTOS EMERGENTES EN SALUD MENTAL (CODIGO VERDE)",IF(P215=CURSOS!$D$9,"HUMANIZACION EN EL SERVICIO DE LA SALUD Y BUENAS PRACTICAS EN PACIENTE ",IF(P215=CURSOS!$D$10,"CLINICA DE HERIDAS ",IF(P215=CURSOS!$D$11,"TOMA DE CITOLOGIA CERVICO VAGINAL ",IF(P215=CURSOS!$D$12,"SOPORTE CARDIOVASCULAR AVANZADO (ACLS) ",IF(P215=CURSOS!$D$13,"CAMILLERO ",IF(P215=CURSOS!$D$14,"TOMA DE MUESTRAS Y LABORATORIO ",IF(P215=CURSOS!$D$15,"SOPORTE VITAL BASICO (BLS)",IF(P215=CURSOS!$D$16,"ATENCION A VICTIMAS DE VIOLENCIA SEXUAL ",IF(P215=CURSOS!$D$17,"PROGRAMADO AMPLIADO DE INMUNIZACION (PAI - COVID 19)",IF(P215=CURSOS!$D$18,"ATENCION INTEGRAL EN ENFERMEDADES PREVALENTES EN PRIMERA INFANCIA (AIEPI)",IF(P215=CURSOS!$D$19,"ADMINISTRACION DE MEDICAMENTOS, INYECTOLOGIA  Y CANALIZACION ",IF(P215=CURSOS!$D$20,"OPERADOR DE VEHICULOS DE EMERGENCIA (OVE)",IF(P215=CURSOS!$D$21,"INSTITUCIONES AMIGAS DE LA MUJER Y LA INFANCIA (IAMI)",IF(P215=CURSOS!$D$22,"CUIDADO DEL DONANTE DE ORGANOS",IF(P215=CURSOS!$D$23,"ATENCION A VICTIMAS POR VIOLENCIA DE GENERO",IF(P215=CURSOS!$D$24,"IGUALDAD DE GENERO EN LA SALUD",IF(P215=CURSOS!$D$25,"BRIGADA DE EMERGENCIA",IF(P215=CURSOS!$D$26,"MANEJO DEL DOLOR Y CUIDADOS PALIATIVOS",IF(P215=CURSOS!$D$27,"TOMA DE MUESTRAS Y LABORATORIO POCT",IF(P215=CURSOS!$D$28,"IMPLANTE SUBDERMICO DE DISPOSITIVO INTRAUTERINO",IF(P215=CURSOS!$D$29,"SALUD MENTAL",IF(P215=CURSOS!$D$30,"PRIMEROS AUXILIOS PSICOLOGICOS",IF(P215=CURSOS!$D$31,"ATENCION A VICTIMAS POR CONFLICTO ARMADO",IF(P215=CURSOS!$D$32,"MANIPULACION DE ALIMENTOS Y BPM",IF(P215=CURSOS!$D$33,"ATENCION A PERSONAS CON DISCAPACIDAD",IF(P215=CURSOS!$D$34,"CUIDADO INTEGRAL DEL PACIENTE ADULTO",IF(P215=CURSOS!$D$35,"MANEJO DEFENSIVO",IF(P215=CURSOS!$D$36,"SOPORTE CARDIOVASCULAR AVANZADO NEONATAL",IF(P215=CURSOS!$D$37,"SEGURIDAD DEL PACIENTE",IF(P215=CURSOS!$D$38,"MANEJO DE RESIDUOS HOSPITALARIOS",IF(P215=CURSOS!$D$39,"ATENCION DE PACIENTE POR CONSUMO SUSTANCIAS PSICOACTIVAS Y ADICCIONES")))))))))))))))))))))))))))))))))))))</f>
        <v>0</v>
      </c>
      <c r="W215" s="44" t="str">
        <f t="shared" si="9"/>
        <v xml:space="preserve">   </v>
      </c>
      <c r="X215" s="44" t="str">
        <f t="shared" si="10"/>
        <v xml:space="preserve">   </v>
      </c>
      <c r="Y215" s="44" t="str">
        <f t="shared" si="11"/>
        <v xml:space="preserve">   --</v>
      </c>
    </row>
    <row r="216" spans="1:25" x14ac:dyDescent="0.2">
      <c r="A216" s="45">
        <v>215</v>
      </c>
      <c r="Q216" s="47"/>
      <c r="S216" s="54"/>
      <c r="U216" s="46"/>
      <c r="V216" s="44" t="b">
        <f>IF(P216=CURSOS!$D$3,"DIPLOMADO EN ATENCION PRE-HOSPITALARIA",IF(P216=CURSOS!$D$4,"ACOMPAÑAMIENTO Y MANEJO DEL DUELO",IF(P216=CURSOS!$D$5,"ATENCION A VICTIMAS DE ATAQUE CON AGENTES QUIMICOS ",IF(P216=CURSOS!$D$6,"PRIMEROS AUXILIOS ",IF(P216=CURSOS!$D$7,"DIPLOMADO DE UNIDAD DE CUIDADOS INTENSIVOS (UCI)",IF(P216=CURSOS!$D$8,"MODELO DE ATENCION PARA EVENTOS EMERGENTES EN SALUD MENTAL (CODIGO VERDE)",IF(P216=CURSOS!$D$9,"HUMANIZACION EN EL SERVICIO DE LA SALUD Y BUENAS PRACTICAS EN PACIENTE ",IF(P216=CURSOS!$D$10,"CLINICA DE HERIDAS ",IF(P216=CURSOS!$D$11,"TOMA DE CITOLOGIA CERVICO VAGINAL ",IF(P216=CURSOS!$D$12,"SOPORTE CARDIOVASCULAR AVANZADO (ACLS) ",IF(P216=CURSOS!$D$13,"CAMILLERO ",IF(P216=CURSOS!$D$14,"TOMA DE MUESTRAS Y LABORATORIO ",IF(P216=CURSOS!$D$15,"SOPORTE VITAL BASICO (BLS)",IF(P216=CURSOS!$D$16,"ATENCION A VICTIMAS DE VIOLENCIA SEXUAL ",IF(P216=CURSOS!$D$17,"PROGRAMADO AMPLIADO DE INMUNIZACION (PAI - COVID 19)",IF(P216=CURSOS!$D$18,"ATENCION INTEGRAL EN ENFERMEDADES PREVALENTES EN PRIMERA INFANCIA (AIEPI)",IF(P216=CURSOS!$D$19,"ADMINISTRACION DE MEDICAMENTOS, INYECTOLOGIA  Y CANALIZACION ",IF(P216=CURSOS!$D$20,"OPERADOR DE VEHICULOS DE EMERGENCIA (OVE)",IF(P216=CURSOS!$D$21,"INSTITUCIONES AMIGAS DE LA MUJER Y LA INFANCIA (IAMI)",IF(P216=CURSOS!$D$22,"CUIDADO DEL DONANTE DE ORGANOS",IF(P216=CURSOS!$D$23,"ATENCION A VICTIMAS POR VIOLENCIA DE GENERO",IF(P216=CURSOS!$D$24,"IGUALDAD DE GENERO EN LA SALUD",IF(P216=CURSOS!$D$25,"BRIGADA DE EMERGENCIA",IF(P216=CURSOS!$D$26,"MANEJO DEL DOLOR Y CUIDADOS PALIATIVOS",IF(P216=CURSOS!$D$27,"TOMA DE MUESTRAS Y LABORATORIO POCT",IF(P216=CURSOS!$D$28,"IMPLANTE SUBDERMICO DE DISPOSITIVO INTRAUTERINO",IF(P216=CURSOS!$D$29,"SALUD MENTAL",IF(P216=CURSOS!$D$30,"PRIMEROS AUXILIOS PSICOLOGICOS",IF(P216=CURSOS!$D$31,"ATENCION A VICTIMAS POR CONFLICTO ARMADO",IF(P216=CURSOS!$D$32,"MANIPULACION DE ALIMENTOS Y BPM",IF(P216=CURSOS!$D$33,"ATENCION A PERSONAS CON DISCAPACIDAD",IF(P216=CURSOS!$D$34,"CUIDADO INTEGRAL DEL PACIENTE ADULTO",IF(P216=CURSOS!$D$35,"MANEJO DEFENSIVO",IF(P216=CURSOS!$D$36,"SOPORTE CARDIOVASCULAR AVANZADO NEONATAL",IF(P216=CURSOS!$D$37,"SEGURIDAD DEL PACIENTE",IF(P216=CURSOS!$D$38,"MANEJO DE RESIDUOS HOSPITALARIOS",IF(P216=CURSOS!$D$39,"ATENCION DE PACIENTE POR CONSUMO SUSTANCIAS PSICOACTIVAS Y ADICCIONES")))))))))))))))))))))))))))))))))))))</f>
        <v>0</v>
      </c>
      <c r="W216" s="44" t="str">
        <f t="shared" si="9"/>
        <v xml:space="preserve">   </v>
      </c>
      <c r="X216" s="44" t="str">
        <f t="shared" si="10"/>
        <v xml:space="preserve">   </v>
      </c>
      <c r="Y216" s="44" t="str">
        <f t="shared" si="11"/>
        <v xml:space="preserve">   --</v>
      </c>
    </row>
    <row r="217" spans="1:25" x14ac:dyDescent="0.2">
      <c r="A217" s="45">
        <v>216</v>
      </c>
      <c r="Q217" s="47"/>
      <c r="U217" s="53"/>
      <c r="V217" s="44" t="b">
        <f>IF(P217=CURSOS!$D$3,"DIPLOMADO EN ATENCION PRE-HOSPITALARIA",IF(P217=CURSOS!$D$4,"ACOMPAÑAMIENTO Y MANEJO DEL DUELO",IF(P217=CURSOS!$D$5,"ATENCION A VICTIMAS DE ATAQUE CON AGENTES QUIMICOS ",IF(P217=CURSOS!$D$6,"PRIMEROS AUXILIOS ",IF(P217=CURSOS!$D$7,"DIPLOMADO DE UNIDAD DE CUIDADOS INTENSIVOS (UCI)",IF(P217=CURSOS!$D$8,"MODELO DE ATENCION PARA EVENTOS EMERGENTES EN SALUD MENTAL (CODIGO VERDE)",IF(P217=CURSOS!$D$9,"HUMANIZACION EN EL SERVICIO DE LA SALUD Y BUENAS PRACTICAS EN PACIENTE ",IF(P217=CURSOS!$D$10,"CLINICA DE HERIDAS ",IF(P217=CURSOS!$D$11,"TOMA DE CITOLOGIA CERVICO VAGINAL ",IF(P217=CURSOS!$D$12,"SOPORTE CARDIOVASCULAR AVANZADO (ACLS) ",IF(P217=CURSOS!$D$13,"CAMILLERO ",IF(P217=CURSOS!$D$14,"TOMA DE MUESTRAS Y LABORATORIO ",IF(P217=CURSOS!$D$15,"SOPORTE VITAL BASICO (BLS)",IF(P217=CURSOS!$D$16,"ATENCION A VICTIMAS DE VIOLENCIA SEXUAL ",IF(P217=CURSOS!$D$17,"PROGRAMADO AMPLIADO DE INMUNIZACION (PAI - COVID 19)",IF(P217=CURSOS!$D$18,"ATENCION INTEGRAL EN ENFERMEDADES PREVALENTES EN PRIMERA INFANCIA (AIEPI)",IF(P217=CURSOS!$D$19,"ADMINISTRACION DE MEDICAMENTOS, INYECTOLOGIA  Y CANALIZACION ",IF(P217=CURSOS!$D$20,"OPERADOR DE VEHICULOS DE EMERGENCIA (OVE)",IF(P217=CURSOS!$D$21,"INSTITUCIONES AMIGAS DE LA MUJER Y LA INFANCIA (IAMI)",IF(P217=CURSOS!$D$22,"CUIDADO DEL DONANTE DE ORGANOS",IF(P217=CURSOS!$D$23,"ATENCION A VICTIMAS POR VIOLENCIA DE GENERO",IF(P217=CURSOS!$D$24,"IGUALDAD DE GENERO EN LA SALUD",IF(P217=CURSOS!$D$25,"BRIGADA DE EMERGENCIA",IF(P217=CURSOS!$D$26,"MANEJO DEL DOLOR Y CUIDADOS PALIATIVOS",IF(P217=CURSOS!$D$27,"TOMA DE MUESTRAS Y LABORATORIO POCT",IF(P217=CURSOS!$D$28,"IMPLANTE SUBDERMICO DE DISPOSITIVO INTRAUTERINO",IF(P217=CURSOS!$D$29,"SALUD MENTAL",IF(P217=CURSOS!$D$30,"PRIMEROS AUXILIOS PSICOLOGICOS",IF(P217=CURSOS!$D$31,"ATENCION A VICTIMAS POR CONFLICTO ARMADO",IF(P217=CURSOS!$D$32,"MANIPULACION DE ALIMENTOS Y BPM",IF(P217=CURSOS!$D$33,"ATENCION A PERSONAS CON DISCAPACIDAD",IF(P217=CURSOS!$D$34,"CUIDADO INTEGRAL DEL PACIENTE ADULTO",IF(P217=CURSOS!$D$35,"MANEJO DEFENSIVO",IF(P217=CURSOS!$D$36,"SOPORTE CARDIOVASCULAR AVANZADO NEONATAL",IF(P217=CURSOS!$D$37,"SEGURIDAD DEL PACIENTE",IF(P217=CURSOS!$D$38,"MANEJO DE RESIDUOS HOSPITALARIOS",IF(P217=CURSOS!$D$39,"ATENCION DE PACIENTE POR CONSUMO SUSTANCIAS PSICOACTIVAS Y ADICCIONES")))))))))))))))))))))))))))))))))))))</f>
        <v>0</v>
      </c>
      <c r="W217" s="44" t="str">
        <f t="shared" si="9"/>
        <v xml:space="preserve">   </v>
      </c>
      <c r="X217" s="44" t="str">
        <f t="shared" si="10"/>
        <v xml:space="preserve">   </v>
      </c>
      <c r="Y217" s="44" t="str">
        <f t="shared" si="11"/>
        <v xml:space="preserve">   --</v>
      </c>
    </row>
    <row r="218" spans="1:25" x14ac:dyDescent="0.2">
      <c r="A218" s="45">
        <v>217</v>
      </c>
      <c r="Q218" s="47"/>
      <c r="U218" s="53"/>
      <c r="V218" s="44" t="b">
        <f>IF(P218=CURSOS!$D$3,"DIPLOMADO EN ATENCION PRE-HOSPITALARIA",IF(P218=CURSOS!$D$4,"ACOMPAÑAMIENTO Y MANEJO DEL DUELO",IF(P218=CURSOS!$D$5,"ATENCION A VICTIMAS DE ATAQUE CON AGENTES QUIMICOS ",IF(P218=CURSOS!$D$6,"PRIMEROS AUXILIOS ",IF(P218=CURSOS!$D$7,"DIPLOMADO DE UNIDAD DE CUIDADOS INTENSIVOS (UCI)",IF(P218=CURSOS!$D$8,"MODELO DE ATENCION PARA EVENTOS EMERGENTES EN SALUD MENTAL (CODIGO VERDE)",IF(P218=CURSOS!$D$9,"HUMANIZACION EN EL SERVICIO DE LA SALUD Y BUENAS PRACTICAS EN PACIENTE ",IF(P218=CURSOS!$D$10,"CLINICA DE HERIDAS ",IF(P218=CURSOS!$D$11,"TOMA DE CITOLOGIA CERVICO VAGINAL ",IF(P218=CURSOS!$D$12,"SOPORTE CARDIOVASCULAR AVANZADO (ACLS) ",IF(P218=CURSOS!$D$13,"CAMILLERO ",IF(P218=CURSOS!$D$14,"TOMA DE MUESTRAS Y LABORATORIO ",IF(P218=CURSOS!$D$15,"SOPORTE VITAL BASICO (BLS)",IF(P218=CURSOS!$D$16,"ATENCION A VICTIMAS DE VIOLENCIA SEXUAL ",IF(P218=CURSOS!$D$17,"PROGRAMADO AMPLIADO DE INMUNIZACION (PAI - COVID 19)",IF(P218=CURSOS!$D$18,"ATENCION INTEGRAL EN ENFERMEDADES PREVALENTES EN PRIMERA INFANCIA (AIEPI)",IF(P218=CURSOS!$D$19,"ADMINISTRACION DE MEDICAMENTOS, INYECTOLOGIA  Y CANALIZACION ",IF(P218=CURSOS!$D$20,"OPERADOR DE VEHICULOS DE EMERGENCIA (OVE)",IF(P218=CURSOS!$D$21,"INSTITUCIONES AMIGAS DE LA MUJER Y LA INFANCIA (IAMI)",IF(P218=CURSOS!$D$22,"CUIDADO DEL DONANTE DE ORGANOS",IF(P218=CURSOS!$D$23,"ATENCION A VICTIMAS POR VIOLENCIA DE GENERO",IF(P218=CURSOS!$D$24,"IGUALDAD DE GENERO EN LA SALUD",IF(P218=CURSOS!$D$25,"BRIGADA DE EMERGENCIA",IF(P218=CURSOS!$D$26,"MANEJO DEL DOLOR Y CUIDADOS PALIATIVOS",IF(P218=CURSOS!$D$27,"TOMA DE MUESTRAS Y LABORATORIO POCT",IF(P218=CURSOS!$D$28,"IMPLANTE SUBDERMICO DE DISPOSITIVO INTRAUTERINO",IF(P218=CURSOS!$D$29,"SALUD MENTAL",IF(P218=CURSOS!$D$30,"PRIMEROS AUXILIOS PSICOLOGICOS",IF(P218=CURSOS!$D$31,"ATENCION A VICTIMAS POR CONFLICTO ARMADO",IF(P218=CURSOS!$D$32,"MANIPULACION DE ALIMENTOS Y BPM",IF(P218=CURSOS!$D$33,"ATENCION A PERSONAS CON DISCAPACIDAD",IF(P218=CURSOS!$D$34,"CUIDADO INTEGRAL DEL PACIENTE ADULTO",IF(P218=CURSOS!$D$35,"MANEJO DEFENSIVO",IF(P218=CURSOS!$D$36,"SOPORTE CARDIOVASCULAR AVANZADO NEONATAL",IF(P218=CURSOS!$D$37,"SEGURIDAD DEL PACIENTE",IF(P218=CURSOS!$D$38,"MANEJO DE RESIDUOS HOSPITALARIOS",IF(P218=CURSOS!$D$39,"ATENCION DE PACIENTE POR CONSUMO SUSTANCIAS PSICOACTIVAS Y ADICCIONES")))))))))))))))))))))))))))))))))))))</f>
        <v>0</v>
      </c>
      <c r="W218" s="44" t="str">
        <f t="shared" si="9"/>
        <v xml:space="preserve">   </v>
      </c>
      <c r="X218" s="44" t="str">
        <f t="shared" si="10"/>
        <v xml:space="preserve">   </v>
      </c>
      <c r="Y218" s="44" t="str">
        <f t="shared" si="11"/>
        <v xml:space="preserve">   --</v>
      </c>
    </row>
    <row r="219" spans="1:25" x14ac:dyDescent="0.2">
      <c r="A219" s="45">
        <v>218</v>
      </c>
      <c r="J219" s="47"/>
      <c r="Q219" s="47"/>
      <c r="U219" s="46"/>
      <c r="V219" s="44" t="b">
        <f>IF(P219=CURSOS!$D$3,"DIPLOMADO EN ATENCION PRE-HOSPITALARIA",IF(P219=CURSOS!$D$4,"ACOMPAÑAMIENTO Y MANEJO DEL DUELO",IF(P219=CURSOS!$D$5,"ATENCION A VICTIMAS DE ATAQUE CON AGENTES QUIMICOS ",IF(P219=CURSOS!$D$6,"PRIMEROS AUXILIOS ",IF(P219=CURSOS!$D$7,"DIPLOMADO DE UNIDAD DE CUIDADOS INTENSIVOS (UCI)",IF(P219=CURSOS!$D$8,"MODELO DE ATENCION PARA EVENTOS EMERGENTES EN SALUD MENTAL (CODIGO VERDE)",IF(P219=CURSOS!$D$9,"HUMANIZACION EN EL SERVICIO DE LA SALUD Y BUENAS PRACTICAS EN PACIENTE ",IF(P219=CURSOS!$D$10,"CLINICA DE HERIDAS ",IF(P219=CURSOS!$D$11,"TOMA DE CITOLOGIA CERVICO VAGINAL ",IF(P219=CURSOS!$D$12,"SOPORTE CARDIOVASCULAR AVANZADO (ACLS) ",IF(P219=CURSOS!$D$13,"CAMILLERO ",IF(P219=CURSOS!$D$14,"TOMA DE MUESTRAS Y LABORATORIO ",IF(P219=CURSOS!$D$15,"SOPORTE VITAL BASICO (BLS)",IF(P219=CURSOS!$D$16,"ATENCION A VICTIMAS DE VIOLENCIA SEXUAL ",IF(P219=CURSOS!$D$17,"PROGRAMADO AMPLIADO DE INMUNIZACION (PAI - COVID 19)",IF(P219=CURSOS!$D$18,"ATENCION INTEGRAL EN ENFERMEDADES PREVALENTES EN PRIMERA INFANCIA (AIEPI)",IF(P219=CURSOS!$D$19,"ADMINISTRACION DE MEDICAMENTOS, INYECTOLOGIA  Y CANALIZACION ",IF(P219=CURSOS!$D$20,"OPERADOR DE VEHICULOS DE EMERGENCIA (OVE)",IF(P219=CURSOS!$D$21,"INSTITUCIONES AMIGAS DE LA MUJER Y LA INFANCIA (IAMI)",IF(P219=CURSOS!$D$22,"CUIDADO DEL DONANTE DE ORGANOS",IF(P219=CURSOS!$D$23,"ATENCION A VICTIMAS POR VIOLENCIA DE GENERO",IF(P219=CURSOS!$D$24,"IGUALDAD DE GENERO EN LA SALUD",IF(P219=CURSOS!$D$25,"BRIGADA DE EMERGENCIA",IF(P219=CURSOS!$D$26,"MANEJO DEL DOLOR Y CUIDADOS PALIATIVOS",IF(P219=CURSOS!$D$27,"TOMA DE MUESTRAS Y LABORATORIO POCT",IF(P219=CURSOS!$D$28,"IMPLANTE SUBDERMICO DE DISPOSITIVO INTRAUTERINO",IF(P219=CURSOS!$D$29,"SALUD MENTAL",IF(P219=CURSOS!$D$30,"PRIMEROS AUXILIOS PSICOLOGICOS",IF(P219=CURSOS!$D$31,"ATENCION A VICTIMAS POR CONFLICTO ARMADO",IF(P219=CURSOS!$D$32,"MANIPULACION DE ALIMENTOS Y BPM",IF(P219=CURSOS!$D$33,"ATENCION A PERSONAS CON DISCAPACIDAD",IF(P219=CURSOS!$D$34,"CUIDADO INTEGRAL DEL PACIENTE ADULTO",IF(P219=CURSOS!$D$35,"MANEJO DEFENSIVO",IF(P219=CURSOS!$D$36,"SOPORTE CARDIOVASCULAR AVANZADO NEONATAL",IF(P219=CURSOS!$D$37,"SEGURIDAD DEL PACIENTE",IF(P219=CURSOS!$D$38,"MANEJO DE RESIDUOS HOSPITALARIOS",IF(P219=CURSOS!$D$39,"ATENCION DE PACIENTE POR CONSUMO SUSTANCIAS PSICOACTIVAS Y ADICCIONES")))))))))))))))))))))))))))))))))))))</f>
        <v>0</v>
      </c>
      <c r="W219" s="44" t="str">
        <f t="shared" si="9"/>
        <v xml:space="preserve">   </v>
      </c>
      <c r="X219" s="44" t="str">
        <f t="shared" si="10"/>
        <v xml:space="preserve">   </v>
      </c>
      <c r="Y219" s="44" t="str">
        <f t="shared" si="11"/>
        <v xml:space="preserve">   --</v>
      </c>
    </row>
    <row r="220" spans="1:25" x14ac:dyDescent="0.2">
      <c r="A220" s="45">
        <v>219</v>
      </c>
      <c r="J220" s="47"/>
      <c r="Q220" s="47"/>
      <c r="U220" s="46"/>
      <c r="V220" s="44" t="b">
        <f>IF(P220=CURSOS!$D$3,"DIPLOMADO EN ATENCION PRE-HOSPITALARIA",IF(P220=CURSOS!$D$4,"ACOMPAÑAMIENTO Y MANEJO DEL DUELO",IF(P220=CURSOS!$D$5,"ATENCION A VICTIMAS DE ATAQUE CON AGENTES QUIMICOS ",IF(P220=CURSOS!$D$6,"PRIMEROS AUXILIOS ",IF(P220=CURSOS!$D$7,"DIPLOMADO DE UNIDAD DE CUIDADOS INTENSIVOS (UCI)",IF(P220=CURSOS!$D$8,"MODELO DE ATENCION PARA EVENTOS EMERGENTES EN SALUD MENTAL (CODIGO VERDE)",IF(P220=CURSOS!$D$9,"HUMANIZACION EN EL SERVICIO DE LA SALUD Y BUENAS PRACTICAS EN PACIENTE ",IF(P220=CURSOS!$D$10,"CLINICA DE HERIDAS ",IF(P220=CURSOS!$D$11,"TOMA DE CITOLOGIA CERVICO VAGINAL ",IF(P220=CURSOS!$D$12,"SOPORTE CARDIOVASCULAR AVANZADO (ACLS) ",IF(P220=CURSOS!$D$13,"CAMILLERO ",IF(P220=CURSOS!$D$14,"TOMA DE MUESTRAS Y LABORATORIO ",IF(P220=CURSOS!$D$15,"SOPORTE VITAL BASICO (BLS)",IF(P220=CURSOS!$D$16,"ATENCION A VICTIMAS DE VIOLENCIA SEXUAL ",IF(P220=CURSOS!$D$17,"PROGRAMADO AMPLIADO DE INMUNIZACION (PAI - COVID 19)",IF(P220=CURSOS!$D$18,"ATENCION INTEGRAL EN ENFERMEDADES PREVALENTES EN PRIMERA INFANCIA (AIEPI)",IF(P220=CURSOS!$D$19,"ADMINISTRACION DE MEDICAMENTOS, INYECTOLOGIA  Y CANALIZACION ",IF(P220=CURSOS!$D$20,"OPERADOR DE VEHICULOS DE EMERGENCIA (OVE)",IF(P220=CURSOS!$D$21,"INSTITUCIONES AMIGAS DE LA MUJER Y LA INFANCIA (IAMI)",IF(P220=CURSOS!$D$22,"CUIDADO DEL DONANTE DE ORGANOS",IF(P220=CURSOS!$D$23,"ATENCION A VICTIMAS POR VIOLENCIA DE GENERO",IF(P220=CURSOS!$D$24,"IGUALDAD DE GENERO EN LA SALUD",IF(P220=CURSOS!$D$25,"BRIGADA DE EMERGENCIA",IF(P220=CURSOS!$D$26,"MANEJO DEL DOLOR Y CUIDADOS PALIATIVOS",IF(P220=CURSOS!$D$27,"TOMA DE MUESTRAS Y LABORATORIO POCT",IF(P220=CURSOS!$D$28,"IMPLANTE SUBDERMICO DE DISPOSITIVO INTRAUTERINO",IF(P220=CURSOS!$D$29,"SALUD MENTAL",IF(P220=CURSOS!$D$30,"PRIMEROS AUXILIOS PSICOLOGICOS",IF(P220=CURSOS!$D$31,"ATENCION A VICTIMAS POR CONFLICTO ARMADO",IF(P220=CURSOS!$D$32,"MANIPULACION DE ALIMENTOS Y BPM",IF(P220=CURSOS!$D$33,"ATENCION A PERSONAS CON DISCAPACIDAD",IF(P220=CURSOS!$D$34,"CUIDADO INTEGRAL DEL PACIENTE ADULTO",IF(P220=CURSOS!$D$35,"MANEJO DEFENSIVO",IF(P220=CURSOS!$D$36,"SOPORTE CARDIOVASCULAR AVANZADO NEONATAL",IF(P220=CURSOS!$D$37,"SEGURIDAD DEL PACIENTE",IF(P220=CURSOS!$D$38,"MANEJO DE RESIDUOS HOSPITALARIOS",IF(P220=CURSOS!$D$39,"ATENCION DE PACIENTE POR CONSUMO SUSTANCIAS PSICOACTIVAS Y ADICCIONES")))))))))))))))))))))))))))))))))))))</f>
        <v>0</v>
      </c>
      <c r="W220" s="44" t="str">
        <f t="shared" si="9"/>
        <v xml:space="preserve">   </v>
      </c>
      <c r="X220" s="44" t="str">
        <f t="shared" si="10"/>
        <v xml:space="preserve">   </v>
      </c>
      <c r="Y220" s="44" t="str">
        <f t="shared" si="11"/>
        <v xml:space="preserve">   --</v>
      </c>
    </row>
    <row r="221" spans="1:25" x14ac:dyDescent="0.2">
      <c r="A221" s="45">
        <v>220</v>
      </c>
      <c r="J221" s="47"/>
      <c r="Q221" s="47"/>
      <c r="U221" s="46"/>
      <c r="V221" s="44" t="b">
        <f>IF(P221=CURSOS!$D$3,"DIPLOMADO EN ATENCION PRE-HOSPITALARIA",IF(P221=CURSOS!$D$4,"ACOMPAÑAMIENTO Y MANEJO DEL DUELO",IF(P221=CURSOS!$D$5,"ATENCION A VICTIMAS DE ATAQUE CON AGENTES QUIMICOS ",IF(P221=CURSOS!$D$6,"PRIMEROS AUXILIOS ",IF(P221=CURSOS!$D$7,"DIPLOMADO DE UNIDAD DE CUIDADOS INTENSIVOS (UCI)",IF(P221=CURSOS!$D$8,"MODELO DE ATENCION PARA EVENTOS EMERGENTES EN SALUD MENTAL (CODIGO VERDE)",IF(P221=CURSOS!$D$9,"HUMANIZACION EN EL SERVICIO DE LA SALUD Y BUENAS PRACTICAS EN PACIENTE ",IF(P221=CURSOS!$D$10,"CLINICA DE HERIDAS ",IF(P221=CURSOS!$D$11,"TOMA DE CITOLOGIA CERVICO VAGINAL ",IF(P221=CURSOS!$D$12,"SOPORTE CARDIOVASCULAR AVANZADO (ACLS) ",IF(P221=CURSOS!$D$13,"CAMILLERO ",IF(P221=CURSOS!$D$14,"TOMA DE MUESTRAS Y LABORATORIO ",IF(P221=CURSOS!$D$15,"SOPORTE VITAL BASICO (BLS)",IF(P221=CURSOS!$D$16,"ATENCION A VICTIMAS DE VIOLENCIA SEXUAL ",IF(P221=CURSOS!$D$17,"PROGRAMADO AMPLIADO DE INMUNIZACION (PAI - COVID 19)",IF(P221=CURSOS!$D$18,"ATENCION INTEGRAL EN ENFERMEDADES PREVALENTES EN PRIMERA INFANCIA (AIEPI)",IF(P221=CURSOS!$D$19,"ADMINISTRACION DE MEDICAMENTOS, INYECTOLOGIA  Y CANALIZACION ",IF(P221=CURSOS!$D$20,"OPERADOR DE VEHICULOS DE EMERGENCIA (OVE)",IF(P221=CURSOS!$D$21,"INSTITUCIONES AMIGAS DE LA MUJER Y LA INFANCIA (IAMI)",IF(P221=CURSOS!$D$22,"CUIDADO DEL DONANTE DE ORGANOS",IF(P221=CURSOS!$D$23,"ATENCION A VICTIMAS POR VIOLENCIA DE GENERO",IF(P221=CURSOS!$D$24,"IGUALDAD DE GENERO EN LA SALUD",IF(P221=CURSOS!$D$25,"BRIGADA DE EMERGENCIA",IF(P221=CURSOS!$D$26,"MANEJO DEL DOLOR Y CUIDADOS PALIATIVOS",IF(P221=CURSOS!$D$27,"TOMA DE MUESTRAS Y LABORATORIO POCT",IF(P221=CURSOS!$D$28,"IMPLANTE SUBDERMICO DE DISPOSITIVO INTRAUTERINO",IF(P221=CURSOS!$D$29,"SALUD MENTAL",IF(P221=CURSOS!$D$30,"PRIMEROS AUXILIOS PSICOLOGICOS",IF(P221=CURSOS!$D$31,"ATENCION A VICTIMAS POR CONFLICTO ARMADO",IF(P221=CURSOS!$D$32,"MANIPULACION DE ALIMENTOS Y BPM",IF(P221=CURSOS!$D$33,"ATENCION A PERSONAS CON DISCAPACIDAD",IF(P221=CURSOS!$D$34,"CUIDADO INTEGRAL DEL PACIENTE ADULTO",IF(P221=CURSOS!$D$35,"MANEJO DEFENSIVO",IF(P221=CURSOS!$D$36,"SOPORTE CARDIOVASCULAR AVANZADO NEONATAL",IF(P221=CURSOS!$D$37,"SEGURIDAD DEL PACIENTE",IF(P221=CURSOS!$D$38,"MANEJO DE RESIDUOS HOSPITALARIOS",IF(P221=CURSOS!$D$39,"ATENCION DE PACIENTE POR CONSUMO SUSTANCIAS PSICOACTIVAS Y ADICCIONES")))))))))))))))))))))))))))))))))))))</f>
        <v>0</v>
      </c>
      <c r="W221" s="44" t="str">
        <f t="shared" si="9"/>
        <v xml:space="preserve">   </v>
      </c>
      <c r="X221" s="44" t="str">
        <f t="shared" si="10"/>
        <v xml:space="preserve">   </v>
      </c>
      <c r="Y221" s="44" t="str">
        <f t="shared" si="11"/>
        <v xml:space="preserve">   --</v>
      </c>
    </row>
    <row r="222" spans="1:25" x14ac:dyDescent="0.2">
      <c r="A222" s="45">
        <v>221</v>
      </c>
      <c r="J222" s="47"/>
      <c r="Q222" s="47"/>
      <c r="U222" s="46"/>
      <c r="V222" s="44" t="b">
        <f>IF(P222=CURSOS!$D$3,"DIPLOMADO EN ATENCION PRE-HOSPITALARIA",IF(P222=CURSOS!$D$4,"ACOMPAÑAMIENTO Y MANEJO DEL DUELO",IF(P222=CURSOS!$D$5,"ATENCION A VICTIMAS DE ATAQUE CON AGENTES QUIMICOS ",IF(P222=CURSOS!$D$6,"PRIMEROS AUXILIOS ",IF(P222=CURSOS!$D$7,"DIPLOMADO DE UNIDAD DE CUIDADOS INTENSIVOS (UCI)",IF(P222=CURSOS!$D$8,"MODELO DE ATENCION PARA EVENTOS EMERGENTES EN SALUD MENTAL (CODIGO VERDE)",IF(P222=CURSOS!$D$9,"HUMANIZACION EN EL SERVICIO DE LA SALUD Y BUENAS PRACTICAS EN PACIENTE ",IF(P222=CURSOS!$D$10,"CLINICA DE HERIDAS ",IF(P222=CURSOS!$D$11,"TOMA DE CITOLOGIA CERVICO VAGINAL ",IF(P222=CURSOS!$D$12,"SOPORTE CARDIOVASCULAR AVANZADO (ACLS) ",IF(P222=CURSOS!$D$13,"CAMILLERO ",IF(P222=CURSOS!$D$14,"TOMA DE MUESTRAS Y LABORATORIO ",IF(P222=CURSOS!$D$15,"SOPORTE VITAL BASICO (BLS)",IF(P222=CURSOS!$D$16,"ATENCION A VICTIMAS DE VIOLENCIA SEXUAL ",IF(P222=CURSOS!$D$17,"PROGRAMADO AMPLIADO DE INMUNIZACION (PAI - COVID 19)",IF(P222=CURSOS!$D$18,"ATENCION INTEGRAL EN ENFERMEDADES PREVALENTES EN PRIMERA INFANCIA (AIEPI)",IF(P222=CURSOS!$D$19,"ADMINISTRACION DE MEDICAMENTOS, INYECTOLOGIA  Y CANALIZACION ",IF(P222=CURSOS!$D$20,"OPERADOR DE VEHICULOS DE EMERGENCIA (OVE)",IF(P222=CURSOS!$D$21,"INSTITUCIONES AMIGAS DE LA MUJER Y LA INFANCIA (IAMI)",IF(P222=CURSOS!$D$22,"CUIDADO DEL DONANTE DE ORGANOS",IF(P222=CURSOS!$D$23,"ATENCION A VICTIMAS POR VIOLENCIA DE GENERO",IF(P222=CURSOS!$D$24,"IGUALDAD DE GENERO EN LA SALUD",IF(P222=CURSOS!$D$25,"BRIGADA DE EMERGENCIA",IF(P222=CURSOS!$D$26,"MANEJO DEL DOLOR Y CUIDADOS PALIATIVOS",IF(P222=CURSOS!$D$27,"TOMA DE MUESTRAS Y LABORATORIO POCT",IF(P222=CURSOS!$D$28,"IMPLANTE SUBDERMICO DE DISPOSITIVO INTRAUTERINO",IF(P222=CURSOS!$D$29,"SALUD MENTAL",IF(P222=CURSOS!$D$30,"PRIMEROS AUXILIOS PSICOLOGICOS",IF(P222=CURSOS!$D$31,"ATENCION A VICTIMAS POR CONFLICTO ARMADO",IF(P222=CURSOS!$D$32,"MANIPULACION DE ALIMENTOS Y BPM",IF(P222=CURSOS!$D$33,"ATENCION A PERSONAS CON DISCAPACIDAD",IF(P222=CURSOS!$D$34,"CUIDADO INTEGRAL DEL PACIENTE ADULTO",IF(P222=CURSOS!$D$35,"MANEJO DEFENSIVO",IF(P222=CURSOS!$D$36,"SOPORTE CARDIOVASCULAR AVANZADO NEONATAL",IF(P222=CURSOS!$D$37,"SEGURIDAD DEL PACIENTE",IF(P222=CURSOS!$D$38,"MANEJO DE RESIDUOS HOSPITALARIOS",IF(P222=CURSOS!$D$39,"ATENCION DE PACIENTE POR CONSUMO SUSTANCIAS PSICOACTIVAS Y ADICCIONES")))))))))))))))))))))))))))))))))))))</f>
        <v>0</v>
      </c>
      <c r="W222" s="44" t="str">
        <f t="shared" si="9"/>
        <v xml:space="preserve">   </v>
      </c>
      <c r="X222" s="44" t="str">
        <f t="shared" si="10"/>
        <v xml:space="preserve">   </v>
      </c>
      <c r="Y222" s="44" t="str">
        <f t="shared" si="11"/>
        <v xml:space="preserve">   --</v>
      </c>
    </row>
    <row r="223" spans="1:25" x14ac:dyDescent="0.2">
      <c r="A223" s="45">
        <v>222</v>
      </c>
      <c r="J223" s="47"/>
      <c r="Q223" s="47"/>
      <c r="U223" s="46"/>
      <c r="V223" s="44" t="b">
        <f>IF(P223=CURSOS!$D$3,"DIPLOMADO EN ATENCION PRE-HOSPITALARIA",IF(P223=CURSOS!$D$4,"ACOMPAÑAMIENTO Y MANEJO DEL DUELO",IF(P223=CURSOS!$D$5,"ATENCION A VICTIMAS DE ATAQUE CON AGENTES QUIMICOS ",IF(P223=CURSOS!$D$6,"PRIMEROS AUXILIOS ",IF(P223=CURSOS!$D$7,"DIPLOMADO DE UNIDAD DE CUIDADOS INTENSIVOS (UCI)",IF(P223=CURSOS!$D$8,"MODELO DE ATENCION PARA EVENTOS EMERGENTES EN SALUD MENTAL (CODIGO VERDE)",IF(P223=CURSOS!$D$9,"HUMANIZACION EN EL SERVICIO DE LA SALUD Y BUENAS PRACTICAS EN PACIENTE ",IF(P223=CURSOS!$D$10,"CLINICA DE HERIDAS ",IF(P223=CURSOS!$D$11,"TOMA DE CITOLOGIA CERVICO VAGINAL ",IF(P223=CURSOS!$D$12,"SOPORTE CARDIOVASCULAR AVANZADO (ACLS) ",IF(P223=CURSOS!$D$13,"CAMILLERO ",IF(P223=CURSOS!$D$14,"TOMA DE MUESTRAS Y LABORATORIO ",IF(P223=CURSOS!$D$15,"SOPORTE VITAL BASICO (BLS)",IF(P223=CURSOS!$D$16,"ATENCION A VICTIMAS DE VIOLENCIA SEXUAL ",IF(P223=CURSOS!$D$17,"PROGRAMADO AMPLIADO DE INMUNIZACION (PAI - COVID 19)",IF(P223=CURSOS!$D$18,"ATENCION INTEGRAL EN ENFERMEDADES PREVALENTES EN PRIMERA INFANCIA (AIEPI)",IF(P223=CURSOS!$D$19,"ADMINISTRACION DE MEDICAMENTOS, INYECTOLOGIA  Y CANALIZACION ",IF(P223=CURSOS!$D$20,"OPERADOR DE VEHICULOS DE EMERGENCIA (OVE)",IF(P223=CURSOS!$D$21,"INSTITUCIONES AMIGAS DE LA MUJER Y LA INFANCIA (IAMI)",IF(P223=CURSOS!$D$22,"CUIDADO DEL DONANTE DE ORGANOS",IF(P223=CURSOS!$D$23,"ATENCION A VICTIMAS POR VIOLENCIA DE GENERO",IF(P223=CURSOS!$D$24,"IGUALDAD DE GENERO EN LA SALUD",IF(P223=CURSOS!$D$25,"BRIGADA DE EMERGENCIA",IF(P223=CURSOS!$D$26,"MANEJO DEL DOLOR Y CUIDADOS PALIATIVOS",IF(P223=CURSOS!$D$27,"TOMA DE MUESTRAS Y LABORATORIO POCT",IF(P223=CURSOS!$D$28,"IMPLANTE SUBDERMICO DE DISPOSITIVO INTRAUTERINO",IF(P223=CURSOS!$D$29,"SALUD MENTAL",IF(P223=CURSOS!$D$30,"PRIMEROS AUXILIOS PSICOLOGICOS",IF(P223=CURSOS!$D$31,"ATENCION A VICTIMAS POR CONFLICTO ARMADO",IF(P223=CURSOS!$D$32,"MANIPULACION DE ALIMENTOS Y BPM",IF(P223=CURSOS!$D$33,"ATENCION A PERSONAS CON DISCAPACIDAD",IF(P223=CURSOS!$D$34,"CUIDADO INTEGRAL DEL PACIENTE ADULTO",IF(P223=CURSOS!$D$35,"MANEJO DEFENSIVO",IF(P223=CURSOS!$D$36,"SOPORTE CARDIOVASCULAR AVANZADO NEONATAL",IF(P223=CURSOS!$D$37,"SEGURIDAD DEL PACIENTE",IF(P223=CURSOS!$D$38,"MANEJO DE RESIDUOS HOSPITALARIOS",IF(P223=CURSOS!$D$39,"ATENCION DE PACIENTE POR CONSUMO SUSTANCIAS PSICOACTIVAS Y ADICCIONES")))))))))))))))))))))))))))))))))))))</f>
        <v>0</v>
      </c>
      <c r="W223" s="44" t="str">
        <f t="shared" si="9"/>
        <v xml:space="preserve">   </v>
      </c>
      <c r="X223" s="44" t="str">
        <f t="shared" si="10"/>
        <v xml:space="preserve">   </v>
      </c>
      <c r="Y223" s="44" t="str">
        <f t="shared" si="11"/>
        <v xml:space="preserve">   --</v>
      </c>
    </row>
    <row r="224" spans="1:25" x14ac:dyDescent="0.2">
      <c r="A224" s="45">
        <v>223</v>
      </c>
      <c r="J224" s="47"/>
      <c r="Q224" s="47"/>
      <c r="U224" s="46"/>
      <c r="V224" s="44" t="b">
        <f>IF(P224=CURSOS!$D$3,"DIPLOMADO EN ATENCION PRE-HOSPITALARIA",IF(P224=CURSOS!$D$4,"ACOMPAÑAMIENTO Y MANEJO DEL DUELO",IF(P224=CURSOS!$D$5,"ATENCION A VICTIMAS DE ATAQUE CON AGENTES QUIMICOS ",IF(P224=CURSOS!$D$6,"PRIMEROS AUXILIOS ",IF(P224=CURSOS!$D$7,"DIPLOMADO DE UNIDAD DE CUIDADOS INTENSIVOS (UCI)",IF(P224=CURSOS!$D$8,"MODELO DE ATENCION PARA EVENTOS EMERGENTES EN SALUD MENTAL (CODIGO VERDE)",IF(P224=CURSOS!$D$9,"HUMANIZACION EN EL SERVICIO DE LA SALUD Y BUENAS PRACTICAS EN PACIENTE ",IF(P224=CURSOS!$D$10,"CLINICA DE HERIDAS ",IF(P224=CURSOS!$D$11,"TOMA DE CITOLOGIA CERVICO VAGINAL ",IF(P224=CURSOS!$D$12,"SOPORTE CARDIOVASCULAR AVANZADO (ACLS) ",IF(P224=CURSOS!$D$13,"CAMILLERO ",IF(P224=CURSOS!$D$14,"TOMA DE MUESTRAS Y LABORATORIO ",IF(P224=CURSOS!$D$15,"SOPORTE VITAL BASICO (BLS)",IF(P224=CURSOS!$D$16,"ATENCION A VICTIMAS DE VIOLENCIA SEXUAL ",IF(P224=CURSOS!$D$17,"PROGRAMADO AMPLIADO DE INMUNIZACION (PAI - COVID 19)",IF(P224=CURSOS!$D$18,"ATENCION INTEGRAL EN ENFERMEDADES PREVALENTES EN PRIMERA INFANCIA (AIEPI)",IF(P224=CURSOS!$D$19,"ADMINISTRACION DE MEDICAMENTOS, INYECTOLOGIA  Y CANALIZACION ",IF(P224=CURSOS!$D$20,"OPERADOR DE VEHICULOS DE EMERGENCIA (OVE)",IF(P224=CURSOS!$D$21,"INSTITUCIONES AMIGAS DE LA MUJER Y LA INFANCIA (IAMI)",IF(P224=CURSOS!$D$22,"CUIDADO DEL DONANTE DE ORGANOS",IF(P224=CURSOS!$D$23,"ATENCION A VICTIMAS POR VIOLENCIA DE GENERO",IF(P224=CURSOS!$D$24,"IGUALDAD DE GENERO EN LA SALUD",IF(P224=CURSOS!$D$25,"BRIGADA DE EMERGENCIA",IF(P224=CURSOS!$D$26,"MANEJO DEL DOLOR Y CUIDADOS PALIATIVOS",IF(P224=CURSOS!$D$27,"TOMA DE MUESTRAS Y LABORATORIO POCT",IF(P224=CURSOS!$D$28,"IMPLANTE SUBDERMICO DE DISPOSITIVO INTRAUTERINO",IF(P224=CURSOS!$D$29,"SALUD MENTAL",IF(P224=CURSOS!$D$30,"PRIMEROS AUXILIOS PSICOLOGICOS",IF(P224=CURSOS!$D$31,"ATENCION A VICTIMAS POR CONFLICTO ARMADO",IF(P224=CURSOS!$D$32,"MANIPULACION DE ALIMENTOS Y BPM",IF(P224=CURSOS!$D$33,"ATENCION A PERSONAS CON DISCAPACIDAD",IF(P224=CURSOS!$D$34,"CUIDADO INTEGRAL DEL PACIENTE ADULTO",IF(P224=CURSOS!$D$35,"MANEJO DEFENSIVO",IF(P224=CURSOS!$D$36,"SOPORTE CARDIOVASCULAR AVANZADO NEONATAL",IF(P224=CURSOS!$D$37,"SEGURIDAD DEL PACIENTE",IF(P224=CURSOS!$D$38,"MANEJO DE RESIDUOS HOSPITALARIOS",IF(P224=CURSOS!$D$39,"ATENCION DE PACIENTE POR CONSUMO SUSTANCIAS PSICOACTIVAS Y ADICCIONES")))))))))))))))))))))))))))))))))))))</f>
        <v>0</v>
      </c>
      <c r="W224" s="44" t="str">
        <f t="shared" si="9"/>
        <v xml:space="preserve">   </v>
      </c>
      <c r="X224" s="44" t="str">
        <f t="shared" si="10"/>
        <v xml:space="preserve">   </v>
      </c>
      <c r="Y224" s="44" t="str">
        <f t="shared" si="11"/>
        <v xml:space="preserve">   --</v>
      </c>
    </row>
    <row r="225" spans="1:25" x14ac:dyDescent="0.2">
      <c r="A225" s="45">
        <v>224</v>
      </c>
      <c r="J225" s="47"/>
      <c r="Q225" s="47"/>
      <c r="U225" s="46"/>
      <c r="V225" s="44" t="b">
        <f>IF(P225=CURSOS!$D$3,"DIPLOMADO EN ATENCION PRE-HOSPITALARIA",IF(P225=CURSOS!$D$4,"ACOMPAÑAMIENTO Y MANEJO DEL DUELO",IF(P225=CURSOS!$D$5,"ATENCION A VICTIMAS DE ATAQUE CON AGENTES QUIMICOS ",IF(P225=CURSOS!$D$6,"PRIMEROS AUXILIOS ",IF(P225=CURSOS!$D$7,"DIPLOMADO DE UNIDAD DE CUIDADOS INTENSIVOS (UCI)",IF(P225=CURSOS!$D$8,"MODELO DE ATENCION PARA EVENTOS EMERGENTES EN SALUD MENTAL (CODIGO VERDE)",IF(P225=CURSOS!$D$9,"HUMANIZACION EN EL SERVICIO DE LA SALUD Y BUENAS PRACTICAS EN PACIENTE ",IF(P225=CURSOS!$D$10,"CLINICA DE HERIDAS ",IF(P225=CURSOS!$D$11,"TOMA DE CITOLOGIA CERVICO VAGINAL ",IF(P225=CURSOS!$D$12,"SOPORTE CARDIOVASCULAR AVANZADO (ACLS) ",IF(P225=CURSOS!$D$13,"CAMILLERO ",IF(P225=CURSOS!$D$14,"TOMA DE MUESTRAS Y LABORATORIO ",IF(P225=CURSOS!$D$15,"SOPORTE VITAL BASICO (BLS)",IF(P225=CURSOS!$D$16,"ATENCION A VICTIMAS DE VIOLENCIA SEXUAL ",IF(P225=CURSOS!$D$17,"PROGRAMADO AMPLIADO DE INMUNIZACION (PAI - COVID 19)",IF(P225=CURSOS!$D$18,"ATENCION INTEGRAL EN ENFERMEDADES PREVALENTES EN PRIMERA INFANCIA (AIEPI)",IF(P225=CURSOS!$D$19,"ADMINISTRACION DE MEDICAMENTOS, INYECTOLOGIA  Y CANALIZACION ",IF(P225=CURSOS!$D$20,"OPERADOR DE VEHICULOS DE EMERGENCIA (OVE)",IF(P225=CURSOS!$D$21,"INSTITUCIONES AMIGAS DE LA MUJER Y LA INFANCIA (IAMI)",IF(P225=CURSOS!$D$22,"CUIDADO DEL DONANTE DE ORGANOS",IF(P225=CURSOS!$D$23,"ATENCION A VICTIMAS POR VIOLENCIA DE GENERO",IF(P225=CURSOS!$D$24,"IGUALDAD DE GENERO EN LA SALUD",IF(P225=CURSOS!$D$25,"BRIGADA DE EMERGENCIA",IF(P225=CURSOS!$D$26,"MANEJO DEL DOLOR Y CUIDADOS PALIATIVOS",IF(P225=CURSOS!$D$27,"TOMA DE MUESTRAS Y LABORATORIO POCT",IF(P225=CURSOS!$D$28,"IMPLANTE SUBDERMICO DE DISPOSITIVO INTRAUTERINO",IF(P225=CURSOS!$D$29,"SALUD MENTAL",IF(P225=CURSOS!$D$30,"PRIMEROS AUXILIOS PSICOLOGICOS",IF(P225=CURSOS!$D$31,"ATENCION A VICTIMAS POR CONFLICTO ARMADO",IF(P225=CURSOS!$D$32,"MANIPULACION DE ALIMENTOS Y BPM",IF(P225=CURSOS!$D$33,"ATENCION A PERSONAS CON DISCAPACIDAD",IF(P225=CURSOS!$D$34,"CUIDADO INTEGRAL DEL PACIENTE ADULTO",IF(P225=CURSOS!$D$35,"MANEJO DEFENSIVO",IF(P225=CURSOS!$D$36,"SOPORTE CARDIOVASCULAR AVANZADO NEONATAL",IF(P225=CURSOS!$D$37,"SEGURIDAD DEL PACIENTE",IF(P225=CURSOS!$D$38,"MANEJO DE RESIDUOS HOSPITALARIOS",IF(P225=CURSOS!$D$39,"ATENCION DE PACIENTE POR CONSUMO SUSTANCIAS PSICOACTIVAS Y ADICCIONES")))))))))))))))))))))))))))))))))))))</f>
        <v>0</v>
      </c>
      <c r="W225" s="44" t="str">
        <f t="shared" si="9"/>
        <v xml:space="preserve">   </v>
      </c>
      <c r="X225" s="44" t="str">
        <f t="shared" si="10"/>
        <v xml:space="preserve">   </v>
      </c>
      <c r="Y225" s="44" t="str">
        <f t="shared" si="11"/>
        <v xml:space="preserve">   --</v>
      </c>
    </row>
    <row r="226" spans="1:25" x14ac:dyDescent="0.2">
      <c r="A226" s="45">
        <v>225</v>
      </c>
      <c r="J226" s="47"/>
      <c r="Q226" s="47"/>
      <c r="U226" s="46"/>
      <c r="V226" s="44" t="b">
        <f>IF(P226=CURSOS!$D$3,"DIPLOMADO EN ATENCION PRE-HOSPITALARIA",IF(P226=CURSOS!$D$4,"ACOMPAÑAMIENTO Y MANEJO DEL DUELO",IF(P226=CURSOS!$D$5,"ATENCION A VICTIMAS DE ATAQUE CON AGENTES QUIMICOS ",IF(P226=CURSOS!$D$6,"PRIMEROS AUXILIOS ",IF(P226=CURSOS!$D$7,"DIPLOMADO DE UNIDAD DE CUIDADOS INTENSIVOS (UCI)",IF(P226=CURSOS!$D$8,"MODELO DE ATENCION PARA EVENTOS EMERGENTES EN SALUD MENTAL (CODIGO VERDE)",IF(P226=CURSOS!$D$9,"HUMANIZACION EN EL SERVICIO DE LA SALUD Y BUENAS PRACTICAS EN PACIENTE ",IF(P226=CURSOS!$D$10,"CLINICA DE HERIDAS ",IF(P226=CURSOS!$D$11,"TOMA DE CITOLOGIA CERVICO VAGINAL ",IF(P226=CURSOS!$D$12,"SOPORTE CARDIOVASCULAR AVANZADO (ACLS) ",IF(P226=CURSOS!$D$13,"CAMILLERO ",IF(P226=CURSOS!$D$14,"TOMA DE MUESTRAS Y LABORATORIO ",IF(P226=CURSOS!$D$15,"SOPORTE VITAL BASICO (BLS)",IF(P226=CURSOS!$D$16,"ATENCION A VICTIMAS DE VIOLENCIA SEXUAL ",IF(P226=CURSOS!$D$17,"PROGRAMADO AMPLIADO DE INMUNIZACION (PAI - COVID 19)",IF(P226=CURSOS!$D$18,"ATENCION INTEGRAL EN ENFERMEDADES PREVALENTES EN PRIMERA INFANCIA (AIEPI)",IF(P226=CURSOS!$D$19,"ADMINISTRACION DE MEDICAMENTOS, INYECTOLOGIA  Y CANALIZACION ",IF(P226=CURSOS!$D$20,"OPERADOR DE VEHICULOS DE EMERGENCIA (OVE)",IF(P226=CURSOS!$D$21,"INSTITUCIONES AMIGAS DE LA MUJER Y LA INFANCIA (IAMI)",IF(P226=CURSOS!$D$22,"CUIDADO DEL DONANTE DE ORGANOS",IF(P226=CURSOS!$D$23,"ATENCION A VICTIMAS POR VIOLENCIA DE GENERO",IF(P226=CURSOS!$D$24,"IGUALDAD DE GENERO EN LA SALUD",IF(P226=CURSOS!$D$25,"BRIGADA DE EMERGENCIA",IF(P226=CURSOS!$D$26,"MANEJO DEL DOLOR Y CUIDADOS PALIATIVOS",IF(P226=CURSOS!$D$27,"TOMA DE MUESTRAS Y LABORATORIO POCT",IF(P226=CURSOS!$D$28,"IMPLANTE SUBDERMICO DE DISPOSITIVO INTRAUTERINO",IF(P226=CURSOS!$D$29,"SALUD MENTAL",IF(P226=CURSOS!$D$30,"PRIMEROS AUXILIOS PSICOLOGICOS",IF(P226=CURSOS!$D$31,"ATENCION A VICTIMAS POR CONFLICTO ARMADO",IF(P226=CURSOS!$D$32,"MANIPULACION DE ALIMENTOS Y BPM",IF(P226=CURSOS!$D$33,"ATENCION A PERSONAS CON DISCAPACIDAD",IF(P226=CURSOS!$D$34,"CUIDADO INTEGRAL DEL PACIENTE ADULTO",IF(P226=CURSOS!$D$35,"MANEJO DEFENSIVO",IF(P226=CURSOS!$D$36,"SOPORTE CARDIOVASCULAR AVANZADO NEONATAL",IF(P226=CURSOS!$D$37,"SEGURIDAD DEL PACIENTE",IF(P226=CURSOS!$D$38,"MANEJO DE RESIDUOS HOSPITALARIOS",IF(P226=CURSOS!$D$39,"ATENCION DE PACIENTE POR CONSUMO SUSTANCIAS PSICOACTIVAS Y ADICCIONES")))))))))))))))))))))))))))))))))))))</f>
        <v>0</v>
      </c>
      <c r="W226" s="44" t="str">
        <f t="shared" si="9"/>
        <v xml:space="preserve">   </v>
      </c>
      <c r="X226" s="44" t="str">
        <f t="shared" si="10"/>
        <v xml:space="preserve">   </v>
      </c>
      <c r="Y226" s="44" t="str">
        <f t="shared" si="11"/>
        <v xml:space="preserve">   --</v>
      </c>
    </row>
    <row r="227" spans="1:25" x14ac:dyDescent="0.2">
      <c r="A227" s="45">
        <v>226</v>
      </c>
      <c r="J227" s="47"/>
      <c r="Q227" s="47"/>
      <c r="U227" s="46"/>
      <c r="V227" s="44" t="b">
        <f>IF(P227=CURSOS!$D$3,"DIPLOMADO EN ATENCION PRE-HOSPITALARIA",IF(P227=CURSOS!$D$4,"ACOMPAÑAMIENTO Y MANEJO DEL DUELO",IF(P227=CURSOS!$D$5,"ATENCION A VICTIMAS DE ATAQUE CON AGENTES QUIMICOS ",IF(P227=CURSOS!$D$6,"PRIMEROS AUXILIOS ",IF(P227=CURSOS!$D$7,"DIPLOMADO DE UNIDAD DE CUIDADOS INTENSIVOS (UCI)",IF(P227=CURSOS!$D$8,"MODELO DE ATENCION PARA EVENTOS EMERGENTES EN SALUD MENTAL (CODIGO VERDE)",IF(P227=CURSOS!$D$9,"HUMANIZACION EN EL SERVICIO DE LA SALUD Y BUENAS PRACTICAS EN PACIENTE ",IF(P227=CURSOS!$D$10,"CLINICA DE HERIDAS ",IF(P227=CURSOS!$D$11,"TOMA DE CITOLOGIA CERVICO VAGINAL ",IF(P227=CURSOS!$D$12,"SOPORTE CARDIOVASCULAR AVANZADO (ACLS) ",IF(P227=CURSOS!$D$13,"CAMILLERO ",IF(P227=CURSOS!$D$14,"TOMA DE MUESTRAS Y LABORATORIO ",IF(P227=CURSOS!$D$15,"SOPORTE VITAL BASICO (BLS)",IF(P227=CURSOS!$D$16,"ATENCION A VICTIMAS DE VIOLENCIA SEXUAL ",IF(P227=CURSOS!$D$17,"PROGRAMADO AMPLIADO DE INMUNIZACION (PAI - COVID 19)",IF(P227=CURSOS!$D$18,"ATENCION INTEGRAL EN ENFERMEDADES PREVALENTES EN PRIMERA INFANCIA (AIEPI)",IF(P227=CURSOS!$D$19,"ADMINISTRACION DE MEDICAMENTOS, INYECTOLOGIA  Y CANALIZACION ",IF(P227=CURSOS!$D$20,"OPERADOR DE VEHICULOS DE EMERGENCIA (OVE)",IF(P227=CURSOS!$D$21,"INSTITUCIONES AMIGAS DE LA MUJER Y LA INFANCIA (IAMI)",IF(P227=CURSOS!$D$22,"CUIDADO DEL DONANTE DE ORGANOS",IF(P227=CURSOS!$D$23,"ATENCION A VICTIMAS POR VIOLENCIA DE GENERO",IF(P227=CURSOS!$D$24,"IGUALDAD DE GENERO EN LA SALUD",IF(P227=CURSOS!$D$25,"BRIGADA DE EMERGENCIA",IF(P227=CURSOS!$D$26,"MANEJO DEL DOLOR Y CUIDADOS PALIATIVOS",IF(P227=CURSOS!$D$27,"TOMA DE MUESTRAS Y LABORATORIO POCT",IF(P227=CURSOS!$D$28,"IMPLANTE SUBDERMICO DE DISPOSITIVO INTRAUTERINO",IF(P227=CURSOS!$D$29,"SALUD MENTAL",IF(P227=CURSOS!$D$30,"PRIMEROS AUXILIOS PSICOLOGICOS",IF(P227=CURSOS!$D$31,"ATENCION A VICTIMAS POR CONFLICTO ARMADO",IF(P227=CURSOS!$D$32,"MANIPULACION DE ALIMENTOS Y BPM",IF(P227=CURSOS!$D$33,"ATENCION A PERSONAS CON DISCAPACIDAD",IF(P227=CURSOS!$D$34,"CUIDADO INTEGRAL DEL PACIENTE ADULTO",IF(P227=CURSOS!$D$35,"MANEJO DEFENSIVO",IF(P227=CURSOS!$D$36,"SOPORTE CARDIOVASCULAR AVANZADO NEONATAL",IF(P227=CURSOS!$D$37,"SEGURIDAD DEL PACIENTE",IF(P227=CURSOS!$D$38,"MANEJO DE RESIDUOS HOSPITALARIOS",IF(P227=CURSOS!$D$39,"ATENCION DE PACIENTE POR CONSUMO SUSTANCIAS PSICOACTIVAS Y ADICCIONES")))))))))))))))))))))))))))))))))))))</f>
        <v>0</v>
      </c>
      <c r="W227" s="44" t="str">
        <f t="shared" ref="W227:W244" si="12">CONCATENATE(E227," ",F227," ",C227," ",D227)</f>
        <v xml:space="preserve">   </v>
      </c>
      <c r="X227" s="44" t="str">
        <f t="shared" ref="X227:X244" si="13">PROPER(W227)</f>
        <v xml:space="preserve">   </v>
      </c>
      <c r="Y227" s="44" t="str">
        <f t="shared" ref="Y227:Y244" si="14">CONCATENATE(W227,"-",B227,"-",P227)</f>
        <v xml:space="preserve">   --</v>
      </c>
    </row>
    <row r="228" spans="1:25" x14ac:dyDescent="0.2">
      <c r="A228" s="45">
        <v>227</v>
      </c>
      <c r="J228" s="47"/>
      <c r="Q228" s="47"/>
      <c r="U228" s="46"/>
      <c r="V228" s="44" t="b">
        <f>IF(P228=CURSOS!$D$3,"DIPLOMADO EN ATENCION PRE-HOSPITALARIA",IF(P228=CURSOS!$D$4,"ACOMPAÑAMIENTO Y MANEJO DEL DUELO",IF(P228=CURSOS!$D$5,"ATENCION A VICTIMAS DE ATAQUE CON AGENTES QUIMICOS ",IF(P228=CURSOS!$D$6,"PRIMEROS AUXILIOS ",IF(P228=CURSOS!$D$7,"DIPLOMADO DE UNIDAD DE CUIDADOS INTENSIVOS (UCI)",IF(P228=CURSOS!$D$8,"MODELO DE ATENCION PARA EVENTOS EMERGENTES EN SALUD MENTAL (CODIGO VERDE)",IF(P228=CURSOS!$D$9,"HUMANIZACION EN EL SERVICIO DE LA SALUD Y BUENAS PRACTICAS EN PACIENTE ",IF(P228=CURSOS!$D$10,"CLINICA DE HERIDAS ",IF(P228=CURSOS!$D$11,"TOMA DE CITOLOGIA CERVICO VAGINAL ",IF(P228=CURSOS!$D$12,"SOPORTE CARDIOVASCULAR AVANZADO (ACLS) ",IF(P228=CURSOS!$D$13,"CAMILLERO ",IF(P228=CURSOS!$D$14,"TOMA DE MUESTRAS Y LABORATORIO ",IF(P228=CURSOS!$D$15,"SOPORTE VITAL BASICO (BLS)",IF(P228=CURSOS!$D$16,"ATENCION A VICTIMAS DE VIOLENCIA SEXUAL ",IF(P228=CURSOS!$D$17,"PROGRAMADO AMPLIADO DE INMUNIZACION (PAI - COVID 19)",IF(P228=CURSOS!$D$18,"ATENCION INTEGRAL EN ENFERMEDADES PREVALENTES EN PRIMERA INFANCIA (AIEPI)",IF(P228=CURSOS!$D$19,"ADMINISTRACION DE MEDICAMENTOS, INYECTOLOGIA  Y CANALIZACION ",IF(P228=CURSOS!$D$20,"OPERADOR DE VEHICULOS DE EMERGENCIA (OVE)",IF(P228=CURSOS!$D$21,"INSTITUCIONES AMIGAS DE LA MUJER Y LA INFANCIA (IAMI)",IF(P228=CURSOS!$D$22,"CUIDADO DEL DONANTE DE ORGANOS",IF(P228=CURSOS!$D$23,"ATENCION A VICTIMAS POR VIOLENCIA DE GENERO",IF(P228=CURSOS!$D$24,"IGUALDAD DE GENERO EN LA SALUD",IF(P228=CURSOS!$D$25,"BRIGADA DE EMERGENCIA",IF(P228=CURSOS!$D$26,"MANEJO DEL DOLOR Y CUIDADOS PALIATIVOS",IF(P228=CURSOS!$D$27,"TOMA DE MUESTRAS Y LABORATORIO POCT",IF(P228=CURSOS!$D$28,"IMPLANTE SUBDERMICO DE DISPOSITIVO INTRAUTERINO",IF(P228=CURSOS!$D$29,"SALUD MENTAL",IF(P228=CURSOS!$D$30,"PRIMEROS AUXILIOS PSICOLOGICOS",IF(P228=CURSOS!$D$31,"ATENCION A VICTIMAS POR CONFLICTO ARMADO",IF(P228=CURSOS!$D$32,"MANIPULACION DE ALIMENTOS Y BPM",IF(P228=CURSOS!$D$33,"ATENCION A PERSONAS CON DISCAPACIDAD",IF(P228=CURSOS!$D$34,"CUIDADO INTEGRAL DEL PACIENTE ADULTO",IF(P228=CURSOS!$D$35,"MANEJO DEFENSIVO",IF(P228=CURSOS!$D$36,"SOPORTE CARDIOVASCULAR AVANZADO NEONATAL",IF(P228=CURSOS!$D$37,"SEGURIDAD DEL PACIENTE",IF(P228=CURSOS!$D$38,"MANEJO DE RESIDUOS HOSPITALARIOS",IF(P228=CURSOS!$D$39,"ATENCION DE PACIENTE POR CONSUMO SUSTANCIAS PSICOACTIVAS Y ADICCIONES")))))))))))))))))))))))))))))))))))))</f>
        <v>0</v>
      </c>
      <c r="W228" s="44" t="str">
        <f t="shared" si="12"/>
        <v xml:space="preserve">   </v>
      </c>
      <c r="X228" s="44" t="str">
        <f t="shared" si="13"/>
        <v xml:space="preserve">   </v>
      </c>
      <c r="Y228" s="44" t="str">
        <f t="shared" si="14"/>
        <v xml:space="preserve">   --</v>
      </c>
    </row>
    <row r="229" spans="1:25" x14ac:dyDescent="0.2">
      <c r="A229" s="45">
        <v>228</v>
      </c>
      <c r="J229" s="47"/>
      <c r="Q229" s="47"/>
      <c r="S229" s="54"/>
      <c r="U229" s="46"/>
      <c r="V229" s="44" t="b">
        <f>IF(P229=CURSOS!$D$3,"DIPLOMADO EN ATENCION PRE-HOSPITALARIA",IF(P229=CURSOS!$D$4,"ACOMPAÑAMIENTO Y MANEJO DEL DUELO",IF(P229=CURSOS!$D$5,"ATENCION A VICTIMAS DE ATAQUE CON AGENTES QUIMICOS ",IF(P229=CURSOS!$D$6,"PRIMEROS AUXILIOS ",IF(P229=CURSOS!$D$7,"DIPLOMADO DE UNIDAD DE CUIDADOS INTENSIVOS (UCI)",IF(P229=CURSOS!$D$8,"MODELO DE ATENCION PARA EVENTOS EMERGENTES EN SALUD MENTAL (CODIGO VERDE)",IF(P229=CURSOS!$D$9,"HUMANIZACION EN EL SERVICIO DE LA SALUD Y BUENAS PRACTICAS EN PACIENTE ",IF(P229=CURSOS!$D$10,"CLINICA DE HERIDAS ",IF(P229=CURSOS!$D$11,"TOMA DE CITOLOGIA CERVICO VAGINAL ",IF(P229=CURSOS!$D$12,"SOPORTE CARDIOVASCULAR AVANZADO (ACLS) ",IF(P229=CURSOS!$D$13,"CAMILLERO ",IF(P229=CURSOS!$D$14,"TOMA DE MUESTRAS Y LABORATORIO ",IF(P229=CURSOS!$D$15,"SOPORTE VITAL BASICO (BLS)",IF(P229=CURSOS!$D$16,"ATENCION A VICTIMAS DE VIOLENCIA SEXUAL ",IF(P229=CURSOS!$D$17,"PROGRAMADO AMPLIADO DE INMUNIZACION (PAI - COVID 19)",IF(P229=CURSOS!$D$18,"ATENCION INTEGRAL EN ENFERMEDADES PREVALENTES EN PRIMERA INFANCIA (AIEPI)",IF(P229=CURSOS!$D$19,"ADMINISTRACION DE MEDICAMENTOS, INYECTOLOGIA  Y CANALIZACION ",IF(P229=CURSOS!$D$20,"OPERADOR DE VEHICULOS DE EMERGENCIA (OVE)",IF(P229=CURSOS!$D$21,"INSTITUCIONES AMIGAS DE LA MUJER Y LA INFANCIA (IAMI)",IF(P229=CURSOS!$D$22,"CUIDADO DEL DONANTE DE ORGANOS",IF(P229=CURSOS!$D$23,"ATENCION A VICTIMAS POR VIOLENCIA DE GENERO",IF(P229=CURSOS!$D$24,"IGUALDAD DE GENERO EN LA SALUD",IF(P229=CURSOS!$D$25,"BRIGADA DE EMERGENCIA",IF(P229=CURSOS!$D$26,"MANEJO DEL DOLOR Y CUIDADOS PALIATIVOS",IF(P229=CURSOS!$D$27,"TOMA DE MUESTRAS Y LABORATORIO POCT",IF(P229=CURSOS!$D$28,"IMPLANTE SUBDERMICO DE DISPOSITIVO INTRAUTERINO",IF(P229=CURSOS!$D$29,"SALUD MENTAL",IF(P229=CURSOS!$D$30,"PRIMEROS AUXILIOS PSICOLOGICOS",IF(P229=CURSOS!$D$31,"ATENCION A VICTIMAS POR CONFLICTO ARMADO",IF(P229=CURSOS!$D$32,"MANIPULACION DE ALIMENTOS Y BPM",IF(P229=CURSOS!$D$33,"ATENCION A PERSONAS CON DISCAPACIDAD",IF(P229=CURSOS!$D$34,"CUIDADO INTEGRAL DEL PACIENTE ADULTO",IF(P229=CURSOS!$D$35,"MANEJO DEFENSIVO",IF(P229=CURSOS!$D$36,"SOPORTE CARDIOVASCULAR AVANZADO NEONATAL",IF(P229=CURSOS!$D$37,"SEGURIDAD DEL PACIENTE",IF(P229=CURSOS!$D$38,"MANEJO DE RESIDUOS HOSPITALARIOS",IF(P229=CURSOS!$D$39,"ATENCION DE PACIENTE POR CONSUMO SUSTANCIAS PSICOACTIVAS Y ADICCIONES")))))))))))))))))))))))))))))))))))))</f>
        <v>0</v>
      </c>
      <c r="W229" s="44" t="str">
        <f t="shared" si="12"/>
        <v xml:space="preserve">   </v>
      </c>
      <c r="X229" s="44" t="str">
        <f t="shared" si="13"/>
        <v xml:space="preserve">   </v>
      </c>
      <c r="Y229" s="44" t="str">
        <f t="shared" si="14"/>
        <v xml:space="preserve">   --</v>
      </c>
    </row>
    <row r="230" spans="1:25" x14ac:dyDescent="0.2">
      <c r="A230" s="45">
        <v>229</v>
      </c>
      <c r="B230" s="46"/>
      <c r="C230" s="46"/>
      <c r="D230" s="46"/>
      <c r="E230" s="46"/>
      <c r="F230" s="46"/>
      <c r="G230" s="46"/>
      <c r="H230" s="46"/>
      <c r="I230" s="46"/>
      <c r="J230" s="47"/>
      <c r="M230" s="46"/>
      <c r="N230" s="46"/>
      <c r="O230" s="46"/>
      <c r="Q230" s="47"/>
      <c r="R230" s="46"/>
      <c r="S230" s="53"/>
      <c r="T230" s="46"/>
      <c r="U230" s="46"/>
      <c r="V230" s="44" t="b">
        <f>IF(P230=CURSOS!$D$3,"DIPLOMADO EN ATENCION PRE-HOSPITALARIA",IF(P230=CURSOS!$D$4,"ACOMPAÑAMIENTO Y MANEJO DEL DUELO",IF(P230=CURSOS!$D$5,"ATENCION A VICTIMAS DE ATAQUE CON AGENTES QUIMICOS ",IF(P230=CURSOS!$D$6,"PRIMEROS AUXILIOS ",IF(P230=CURSOS!$D$7,"DIPLOMADO DE UNIDAD DE CUIDADOS INTENSIVOS (UCI)",IF(P230=CURSOS!$D$8,"MODELO DE ATENCION PARA EVENTOS EMERGENTES EN SALUD MENTAL (CODIGO VERDE)",IF(P230=CURSOS!$D$9,"HUMANIZACION EN EL SERVICIO DE LA SALUD Y BUENAS PRACTICAS EN PACIENTE ",IF(P230=CURSOS!$D$10,"CLINICA DE HERIDAS ",IF(P230=CURSOS!$D$11,"TOMA DE CITOLOGIA CERVICO VAGINAL ",IF(P230=CURSOS!$D$12,"SOPORTE CARDIOVASCULAR AVANZADO (ACLS) ",IF(P230=CURSOS!$D$13,"CAMILLERO ",IF(P230=CURSOS!$D$14,"TOMA DE MUESTRAS Y LABORATORIO ",IF(P230=CURSOS!$D$15,"SOPORTE VITAL BASICO (BLS)",IF(P230=CURSOS!$D$16,"ATENCION A VICTIMAS DE VIOLENCIA SEXUAL ",IF(P230=CURSOS!$D$17,"PROGRAMADO AMPLIADO DE INMUNIZACION (PAI - COVID 19)",IF(P230=CURSOS!$D$18,"ATENCION INTEGRAL EN ENFERMEDADES PREVALENTES EN PRIMERA INFANCIA (AIEPI)",IF(P230=CURSOS!$D$19,"ADMINISTRACION DE MEDICAMENTOS, INYECTOLOGIA  Y CANALIZACION ",IF(P230=CURSOS!$D$20,"OPERADOR DE VEHICULOS DE EMERGENCIA (OVE)",IF(P230=CURSOS!$D$21,"INSTITUCIONES AMIGAS DE LA MUJER Y LA INFANCIA (IAMI)",IF(P230=CURSOS!$D$22,"CUIDADO DEL DONANTE DE ORGANOS",IF(P230=CURSOS!$D$23,"ATENCION A VICTIMAS POR VIOLENCIA DE GENERO",IF(P230=CURSOS!$D$24,"IGUALDAD DE GENERO EN LA SALUD",IF(P230=CURSOS!$D$25,"BRIGADA DE EMERGENCIA",IF(P230=CURSOS!$D$26,"MANEJO DEL DOLOR Y CUIDADOS PALIATIVOS",IF(P230=CURSOS!$D$27,"TOMA DE MUESTRAS Y LABORATORIO POCT",IF(P230=CURSOS!$D$28,"IMPLANTE SUBDERMICO DE DISPOSITIVO INTRAUTERINO",IF(P230=CURSOS!$D$29,"SALUD MENTAL",IF(P230=CURSOS!$D$30,"PRIMEROS AUXILIOS PSICOLOGICOS",IF(P230=CURSOS!$D$31,"ATENCION A VICTIMAS POR CONFLICTO ARMADO",IF(P230=CURSOS!$D$32,"MANIPULACION DE ALIMENTOS Y BPM",IF(P230=CURSOS!$D$33,"ATENCION A PERSONAS CON DISCAPACIDAD",IF(P230=CURSOS!$D$34,"CUIDADO INTEGRAL DEL PACIENTE ADULTO",IF(P230=CURSOS!$D$35,"MANEJO DEFENSIVO",IF(P230=CURSOS!$D$36,"SOPORTE CARDIOVASCULAR AVANZADO NEONATAL",IF(P230=CURSOS!$D$37,"SEGURIDAD DEL PACIENTE",IF(P230=CURSOS!$D$38,"MANEJO DE RESIDUOS HOSPITALARIOS",IF(P230=CURSOS!$D$39,"ATENCION DE PACIENTE POR CONSUMO SUSTANCIAS PSICOACTIVAS Y ADICCIONES")))))))))))))))))))))))))))))))))))))</f>
        <v>0</v>
      </c>
      <c r="W230" s="44" t="str">
        <f t="shared" si="12"/>
        <v xml:space="preserve">   </v>
      </c>
      <c r="X230" s="44" t="str">
        <f t="shared" si="13"/>
        <v xml:space="preserve">   </v>
      </c>
      <c r="Y230" s="44" t="str">
        <f t="shared" si="14"/>
        <v xml:space="preserve">   --</v>
      </c>
    </row>
    <row r="231" spans="1:25" x14ac:dyDescent="0.2">
      <c r="A231" s="45">
        <v>230</v>
      </c>
      <c r="B231" s="46"/>
      <c r="C231" s="46"/>
      <c r="D231" s="46"/>
      <c r="E231" s="46"/>
      <c r="F231" s="46"/>
      <c r="G231" s="46"/>
      <c r="H231" s="46"/>
      <c r="I231" s="46"/>
      <c r="J231" s="47"/>
      <c r="M231" s="46"/>
      <c r="N231" s="46"/>
      <c r="O231" s="46"/>
      <c r="Q231" s="47"/>
      <c r="R231" s="46"/>
      <c r="S231" s="53"/>
      <c r="T231" s="46"/>
      <c r="U231" s="46"/>
      <c r="V231" s="44" t="b">
        <f>IF(P231=CURSOS!$D$3,"DIPLOMADO EN ATENCION PRE-HOSPITALARIA",IF(P231=CURSOS!$D$4,"ACOMPAÑAMIENTO Y MANEJO DEL DUELO",IF(P231=CURSOS!$D$5,"ATENCION A VICTIMAS DE ATAQUE CON AGENTES QUIMICOS ",IF(P231=CURSOS!$D$6,"PRIMEROS AUXILIOS ",IF(P231=CURSOS!$D$7,"DIPLOMADO DE UNIDAD DE CUIDADOS INTENSIVOS (UCI)",IF(P231=CURSOS!$D$8,"MODELO DE ATENCION PARA EVENTOS EMERGENTES EN SALUD MENTAL (CODIGO VERDE)",IF(P231=CURSOS!$D$9,"HUMANIZACION EN EL SERVICIO DE LA SALUD Y BUENAS PRACTICAS EN PACIENTE ",IF(P231=CURSOS!$D$10,"CLINICA DE HERIDAS ",IF(P231=CURSOS!$D$11,"TOMA DE CITOLOGIA CERVICO VAGINAL ",IF(P231=CURSOS!$D$12,"SOPORTE CARDIOVASCULAR AVANZADO (ACLS) ",IF(P231=CURSOS!$D$13,"CAMILLERO ",IF(P231=CURSOS!$D$14,"TOMA DE MUESTRAS Y LABORATORIO ",IF(P231=CURSOS!$D$15,"SOPORTE VITAL BASICO (BLS)",IF(P231=CURSOS!$D$16,"ATENCION A VICTIMAS DE VIOLENCIA SEXUAL ",IF(P231=CURSOS!$D$17,"PROGRAMADO AMPLIADO DE INMUNIZACION (PAI - COVID 19)",IF(P231=CURSOS!$D$18,"ATENCION INTEGRAL EN ENFERMEDADES PREVALENTES EN PRIMERA INFANCIA (AIEPI)",IF(P231=CURSOS!$D$19,"ADMINISTRACION DE MEDICAMENTOS, INYECTOLOGIA  Y CANALIZACION ",IF(P231=CURSOS!$D$20,"OPERADOR DE VEHICULOS DE EMERGENCIA (OVE)",IF(P231=CURSOS!$D$21,"INSTITUCIONES AMIGAS DE LA MUJER Y LA INFANCIA (IAMI)",IF(P231=CURSOS!$D$22,"CUIDADO DEL DONANTE DE ORGANOS",IF(P231=CURSOS!$D$23,"ATENCION A VICTIMAS POR VIOLENCIA DE GENERO",IF(P231=CURSOS!$D$24,"IGUALDAD DE GENERO EN LA SALUD",IF(P231=CURSOS!$D$25,"BRIGADA DE EMERGENCIA",IF(P231=CURSOS!$D$26,"MANEJO DEL DOLOR Y CUIDADOS PALIATIVOS",IF(P231=CURSOS!$D$27,"TOMA DE MUESTRAS Y LABORATORIO POCT",IF(P231=CURSOS!$D$28,"IMPLANTE SUBDERMICO DE DISPOSITIVO INTRAUTERINO",IF(P231=CURSOS!$D$29,"SALUD MENTAL",IF(P231=CURSOS!$D$30,"PRIMEROS AUXILIOS PSICOLOGICOS",IF(P231=CURSOS!$D$31,"ATENCION A VICTIMAS POR CONFLICTO ARMADO",IF(P231=CURSOS!$D$32,"MANIPULACION DE ALIMENTOS Y BPM",IF(P231=CURSOS!$D$33,"ATENCION A PERSONAS CON DISCAPACIDAD",IF(P231=CURSOS!$D$34,"CUIDADO INTEGRAL DEL PACIENTE ADULTO",IF(P231=CURSOS!$D$35,"MANEJO DEFENSIVO",IF(P231=CURSOS!$D$36,"SOPORTE CARDIOVASCULAR AVANZADO NEONATAL",IF(P231=CURSOS!$D$37,"SEGURIDAD DEL PACIENTE",IF(P231=CURSOS!$D$38,"MANEJO DE RESIDUOS HOSPITALARIOS",IF(P231=CURSOS!$D$39,"ATENCION DE PACIENTE POR CONSUMO SUSTANCIAS PSICOACTIVAS Y ADICCIONES")))))))))))))))))))))))))))))))))))))</f>
        <v>0</v>
      </c>
      <c r="W231" s="44" t="str">
        <f t="shared" si="12"/>
        <v xml:space="preserve">   </v>
      </c>
      <c r="X231" s="44" t="str">
        <f t="shared" si="13"/>
        <v xml:space="preserve">   </v>
      </c>
      <c r="Y231" s="44" t="str">
        <f t="shared" si="14"/>
        <v xml:space="preserve">   --</v>
      </c>
    </row>
    <row r="232" spans="1:25" x14ac:dyDescent="0.2">
      <c r="A232" s="45">
        <v>231</v>
      </c>
      <c r="Q232" s="47"/>
      <c r="V232" s="44" t="b">
        <f>IF(P232=CURSOS!$D$3,"DIPLOMADO EN ATENCION PRE-HOSPITALARIA",IF(P232=CURSOS!$D$4,"ACOMPAÑAMIENTO Y MANEJO DEL DUELO",IF(P232=CURSOS!$D$5,"ATENCION A VICTIMAS DE ATAQUE CON AGENTES QUIMICOS ",IF(P232=CURSOS!$D$6,"PRIMEROS AUXILIOS ",IF(P232=CURSOS!$D$7,"DIPLOMADO DE UNIDAD DE CUIDADOS INTENSIVOS (UCI)",IF(P232=CURSOS!$D$8,"MODELO DE ATENCION PARA EVENTOS EMERGENTES EN SALUD MENTAL (CODIGO VERDE)",IF(P232=CURSOS!$D$9,"HUMANIZACION EN EL SERVICIO DE LA SALUD Y BUENAS PRACTICAS EN PACIENTE ",IF(P232=CURSOS!$D$10,"CLINICA DE HERIDAS ",IF(P232=CURSOS!$D$11,"TOMA DE CITOLOGIA CERVICO VAGINAL ",IF(P232=CURSOS!$D$12,"SOPORTE CARDIOVASCULAR AVANZADO (ACLS) ",IF(P232=CURSOS!$D$13,"CAMILLERO ",IF(P232=CURSOS!$D$14,"TOMA DE MUESTRAS Y LABORATORIO ",IF(P232=CURSOS!$D$15,"SOPORTE VITAL BASICO (BLS)",IF(P232=CURSOS!$D$16,"ATENCION A VICTIMAS DE VIOLENCIA SEXUAL ",IF(P232=CURSOS!$D$17,"PROGRAMADO AMPLIADO DE INMUNIZACION (PAI - COVID 19)",IF(P232=CURSOS!$D$18,"ATENCION INTEGRAL EN ENFERMEDADES PREVALENTES EN PRIMERA INFANCIA (AIEPI)",IF(P232=CURSOS!$D$19,"ADMINISTRACION DE MEDICAMENTOS, INYECTOLOGIA  Y CANALIZACION ",IF(P232=CURSOS!$D$20,"OPERADOR DE VEHICULOS DE EMERGENCIA (OVE)",IF(P232=CURSOS!$D$21,"INSTITUCIONES AMIGAS DE LA MUJER Y LA INFANCIA (IAMI)",IF(P232=CURSOS!$D$22,"CUIDADO DEL DONANTE DE ORGANOS",IF(P232=CURSOS!$D$23,"ATENCION A VICTIMAS POR VIOLENCIA DE GENERO",IF(P232=CURSOS!$D$24,"IGUALDAD DE GENERO EN LA SALUD",IF(P232=CURSOS!$D$25,"BRIGADA DE EMERGENCIA",IF(P232=CURSOS!$D$26,"MANEJO DEL DOLOR Y CUIDADOS PALIATIVOS",IF(P232=CURSOS!$D$27,"TOMA DE MUESTRAS Y LABORATORIO POCT",IF(P232=CURSOS!$D$28,"IMPLANTE SUBDERMICO DE DISPOSITIVO INTRAUTERINO",IF(P232=CURSOS!$D$29,"SALUD MENTAL",IF(P232=CURSOS!$D$30,"PRIMEROS AUXILIOS PSICOLOGICOS",IF(P232=CURSOS!$D$31,"ATENCION A VICTIMAS POR CONFLICTO ARMADO",IF(P232=CURSOS!$D$32,"MANIPULACION DE ALIMENTOS Y BPM",IF(P232=CURSOS!$D$33,"ATENCION A PERSONAS CON DISCAPACIDAD",IF(P232=CURSOS!$D$34,"CUIDADO INTEGRAL DEL PACIENTE ADULTO",IF(P232=CURSOS!$D$35,"MANEJO DEFENSIVO",IF(P232=CURSOS!$D$36,"SOPORTE CARDIOVASCULAR AVANZADO NEONATAL",IF(P232=CURSOS!$D$37,"SEGURIDAD DEL PACIENTE",IF(P232=CURSOS!$D$38,"MANEJO DE RESIDUOS HOSPITALARIOS",IF(P232=CURSOS!$D$39,"ATENCION DE PACIENTE POR CONSUMO SUSTANCIAS PSICOACTIVAS Y ADICCIONES")))))))))))))))))))))))))))))))))))))</f>
        <v>0</v>
      </c>
      <c r="W232" s="44" t="str">
        <f t="shared" si="12"/>
        <v xml:space="preserve">   </v>
      </c>
      <c r="X232" s="44" t="str">
        <f t="shared" si="13"/>
        <v xml:space="preserve">   </v>
      </c>
      <c r="Y232" s="44" t="str">
        <f t="shared" si="14"/>
        <v xml:space="preserve">   --</v>
      </c>
    </row>
    <row r="233" spans="1:25" x14ac:dyDescent="0.2">
      <c r="A233" s="45">
        <v>232</v>
      </c>
      <c r="Q233" s="47"/>
      <c r="V233" s="44" t="b">
        <f>IF(P233=CURSOS!$D$3,"DIPLOMADO EN ATENCION PRE-HOSPITALARIA",IF(P233=CURSOS!$D$4,"ACOMPAÑAMIENTO Y MANEJO DEL DUELO",IF(P233=CURSOS!$D$5,"ATENCION A VICTIMAS DE ATAQUE CON AGENTES QUIMICOS ",IF(P233=CURSOS!$D$6,"PRIMEROS AUXILIOS ",IF(P233=CURSOS!$D$7,"DIPLOMADO DE UNIDAD DE CUIDADOS INTENSIVOS (UCI)",IF(P233=CURSOS!$D$8,"MODELO DE ATENCION PARA EVENTOS EMERGENTES EN SALUD MENTAL (CODIGO VERDE)",IF(P233=CURSOS!$D$9,"HUMANIZACION EN EL SERVICIO DE LA SALUD Y BUENAS PRACTICAS EN PACIENTE ",IF(P233=CURSOS!$D$10,"CLINICA DE HERIDAS ",IF(P233=CURSOS!$D$11,"TOMA DE CITOLOGIA CERVICO VAGINAL ",IF(P233=CURSOS!$D$12,"SOPORTE CARDIOVASCULAR AVANZADO (ACLS) ",IF(P233=CURSOS!$D$13,"CAMILLERO ",IF(P233=CURSOS!$D$14,"TOMA DE MUESTRAS Y LABORATORIO ",IF(P233=CURSOS!$D$15,"SOPORTE VITAL BASICO (BLS)",IF(P233=CURSOS!$D$16,"ATENCION A VICTIMAS DE VIOLENCIA SEXUAL ",IF(P233=CURSOS!$D$17,"PROGRAMADO AMPLIADO DE INMUNIZACION (PAI - COVID 19)",IF(P233=CURSOS!$D$18,"ATENCION INTEGRAL EN ENFERMEDADES PREVALENTES EN PRIMERA INFANCIA (AIEPI)",IF(P233=CURSOS!$D$19,"ADMINISTRACION DE MEDICAMENTOS, INYECTOLOGIA  Y CANALIZACION ",IF(P233=CURSOS!$D$20,"OPERADOR DE VEHICULOS DE EMERGENCIA (OVE)",IF(P233=CURSOS!$D$21,"INSTITUCIONES AMIGAS DE LA MUJER Y LA INFANCIA (IAMI)",IF(P233=CURSOS!$D$22,"CUIDADO DEL DONANTE DE ORGANOS",IF(P233=CURSOS!$D$23,"ATENCION A VICTIMAS POR VIOLENCIA DE GENERO",IF(P233=CURSOS!$D$24,"IGUALDAD DE GENERO EN LA SALUD",IF(P233=CURSOS!$D$25,"BRIGADA DE EMERGENCIA",IF(P233=CURSOS!$D$26,"MANEJO DEL DOLOR Y CUIDADOS PALIATIVOS",IF(P233=CURSOS!$D$27,"TOMA DE MUESTRAS Y LABORATORIO POCT",IF(P233=CURSOS!$D$28,"IMPLANTE SUBDERMICO DE DISPOSITIVO INTRAUTERINO",IF(P233=CURSOS!$D$29,"SALUD MENTAL",IF(P233=CURSOS!$D$30,"PRIMEROS AUXILIOS PSICOLOGICOS",IF(P233=CURSOS!$D$31,"ATENCION A VICTIMAS POR CONFLICTO ARMADO",IF(P233=CURSOS!$D$32,"MANIPULACION DE ALIMENTOS Y BPM",IF(P233=CURSOS!$D$33,"ATENCION A PERSONAS CON DISCAPACIDAD",IF(P233=CURSOS!$D$34,"CUIDADO INTEGRAL DEL PACIENTE ADULTO",IF(P233=CURSOS!$D$35,"MANEJO DEFENSIVO",IF(P233=CURSOS!$D$36,"SOPORTE CARDIOVASCULAR AVANZADO NEONATAL",IF(P233=CURSOS!$D$37,"SEGURIDAD DEL PACIENTE",IF(P233=CURSOS!$D$38,"MANEJO DE RESIDUOS HOSPITALARIOS",IF(P233=CURSOS!$D$39,"ATENCION DE PACIENTE POR CONSUMO SUSTANCIAS PSICOACTIVAS Y ADICCIONES")))))))))))))))))))))))))))))))))))))</f>
        <v>0</v>
      </c>
      <c r="W233" s="44" t="str">
        <f t="shared" si="12"/>
        <v xml:space="preserve">   </v>
      </c>
      <c r="X233" s="44" t="str">
        <f t="shared" si="13"/>
        <v xml:space="preserve">   </v>
      </c>
      <c r="Y233" s="44" t="str">
        <f t="shared" si="14"/>
        <v xml:space="preserve">   --</v>
      </c>
    </row>
    <row r="234" spans="1:25" x14ac:dyDescent="0.2">
      <c r="A234" s="45">
        <v>233</v>
      </c>
      <c r="Q234" s="47"/>
      <c r="V234" s="44" t="b">
        <f>IF(P234=CURSOS!$D$3,"DIPLOMADO EN ATENCION PRE-HOSPITALARIA",IF(P234=CURSOS!$D$4,"ACOMPAÑAMIENTO Y MANEJO DEL DUELO",IF(P234=CURSOS!$D$5,"ATENCION A VICTIMAS DE ATAQUE CON AGENTES QUIMICOS ",IF(P234=CURSOS!$D$6,"PRIMEROS AUXILIOS ",IF(P234=CURSOS!$D$7,"DIPLOMADO DE UNIDAD DE CUIDADOS INTENSIVOS (UCI)",IF(P234=CURSOS!$D$8,"MODELO DE ATENCION PARA EVENTOS EMERGENTES EN SALUD MENTAL (CODIGO VERDE)",IF(P234=CURSOS!$D$9,"HUMANIZACION EN EL SERVICIO DE LA SALUD Y BUENAS PRACTICAS EN PACIENTE ",IF(P234=CURSOS!$D$10,"CLINICA DE HERIDAS ",IF(P234=CURSOS!$D$11,"TOMA DE CITOLOGIA CERVICO VAGINAL ",IF(P234=CURSOS!$D$12,"SOPORTE CARDIOVASCULAR AVANZADO (ACLS) ",IF(P234=CURSOS!$D$13,"CAMILLERO ",IF(P234=CURSOS!$D$14,"TOMA DE MUESTRAS Y LABORATORIO ",IF(P234=CURSOS!$D$15,"SOPORTE VITAL BASICO (BLS)",IF(P234=CURSOS!$D$16,"ATENCION A VICTIMAS DE VIOLENCIA SEXUAL ",IF(P234=CURSOS!$D$17,"PROGRAMADO AMPLIADO DE INMUNIZACION (PAI - COVID 19)",IF(P234=CURSOS!$D$18,"ATENCION INTEGRAL EN ENFERMEDADES PREVALENTES EN PRIMERA INFANCIA (AIEPI)",IF(P234=CURSOS!$D$19,"ADMINISTRACION DE MEDICAMENTOS, INYECTOLOGIA  Y CANALIZACION ",IF(P234=CURSOS!$D$20,"OPERADOR DE VEHICULOS DE EMERGENCIA (OVE)",IF(P234=CURSOS!$D$21,"INSTITUCIONES AMIGAS DE LA MUJER Y LA INFANCIA (IAMI)",IF(P234=CURSOS!$D$22,"CUIDADO DEL DONANTE DE ORGANOS",IF(P234=CURSOS!$D$23,"ATENCION A VICTIMAS POR VIOLENCIA DE GENERO",IF(P234=CURSOS!$D$24,"IGUALDAD DE GENERO EN LA SALUD",IF(P234=CURSOS!$D$25,"BRIGADA DE EMERGENCIA",IF(P234=CURSOS!$D$26,"MANEJO DEL DOLOR Y CUIDADOS PALIATIVOS",IF(P234=CURSOS!$D$27,"TOMA DE MUESTRAS Y LABORATORIO POCT",IF(P234=CURSOS!$D$28,"IMPLANTE SUBDERMICO DE DISPOSITIVO INTRAUTERINO",IF(P234=CURSOS!$D$29,"SALUD MENTAL",IF(P234=CURSOS!$D$30,"PRIMEROS AUXILIOS PSICOLOGICOS",IF(P234=CURSOS!$D$31,"ATENCION A VICTIMAS POR CONFLICTO ARMADO",IF(P234=CURSOS!$D$32,"MANIPULACION DE ALIMENTOS Y BPM",IF(P234=CURSOS!$D$33,"ATENCION A PERSONAS CON DISCAPACIDAD",IF(P234=CURSOS!$D$34,"CUIDADO INTEGRAL DEL PACIENTE ADULTO",IF(P234=CURSOS!$D$35,"MANEJO DEFENSIVO",IF(P234=CURSOS!$D$36,"SOPORTE CARDIOVASCULAR AVANZADO NEONATAL",IF(P234=CURSOS!$D$37,"SEGURIDAD DEL PACIENTE",IF(P234=CURSOS!$D$38,"MANEJO DE RESIDUOS HOSPITALARIOS",IF(P234=CURSOS!$D$39,"ATENCION DE PACIENTE POR CONSUMO SUSTANCIAS PSICOACTIVAS Y ADICCIONES")))))))))))))))))))))))))))))))))))))</f>
        <v>0</v>
      </c>
      <c r="W234" s="44" t="str">
        <f t="shared" si="12"/>
        <v xml:space="preserve">   </v>
      </c>
      <c r="X234" s="44" t="str">
        <f t="shared" si="13"/>
        <v xml:space="preserve">   </v>
      </c>
      <c r="Y234" s="44" t="str">
        <f t="shared" si="14"/>
        <v xml:space="preserve">   --</v>
      </c>
    </row>
    <row r="235" spans="1:25" x14ac:dyDescent="0.2">
      <c r="A235" s="45">
        <v>234</v>
      </c>
      <c r="Q235" s="47"/>
      <c r="V235" s="44" t="b">
        <f>IF(P235=CURSOS!$D$3,"DIPLOMADO EN ATENCION PRE-HOSPITALARIA",IF(P235=CURSOS!$D$4,"ACOMPAÑAMIENTO Y MANEJO DEL DUELO",IF(P235=CURSOS!$D$5,"ATENCION A VICTIMAS DE ATAQUE CON AGENTES QUIMICOS ",IF(P235=CURSOS!$D$6,"PRIMEROS AUXILIOS ",IF(P235=CURSOS!$D$7,"DIPLOMADO DE UNIDAD DE CUIDADOS INTENSIVOS (UCI)",IF(P235=CURSOS!$D$8,"MODELO DE ATENCION PARA EVENTOS EMERGENTES EN SALUD MENTAL (CODIGO VERDE)",IF(P235=CURSOS!$D$9,"HUMANIZACION EN EL SERVICIO DE LA SALUD Y BUENAS PRACTICAS EN PACIENTE ",IF(P235=CURSOS!$D$10,"CLINICA DE HERIDAS ",IF(P235=CURSOS!$D$11,"TOMA DE CITOLOGIA CERVICO VAGINAL ",IF(P235=CURSOS!$D$12,"SOPORTE CARDIOVASCULAR AVANZADO (ACLS) ",IF(P235=CURSOS!$D$13,"CAMILLERO ",IF(P235=CURSOS!$D$14,"TOMA DE MUESTRAS Y LABORATORIO ",IF(P235=CURSOS!$D$15,"SOPORTE VITAL BASICO (BLS)",IF(P235=CURSOS!$D$16,"ATENCION A VICTIMAS DE VIOLENCIA SEXUAL ",IF(P235=CURSOS!$D$17,"PROGRAMADO AMPLIADO DE INMUNIZACION (PAI - COVID 19)",IF(P235=CURSOS!$D$18,"ATENCION INTEGRAL EN ENFERMEDADES PREVALENTES EN PRIMERA INFANCIA (AIEPI)",IF(P235=CURSOS!$D$19,"ADMINISTRACION DE MEDICAMENTOS, INYECTOLOGIA  Y CANALIZACION ",IF(P235=CURSOS!$D$20,"OPERADOR DE VEHICULOS DE EMERGENCIA (OVE)",IF(P235=CURSOS!$D$21,"INSTITUCIONES AMIGAS DE LA MUJER Y LA INFANCIA (IAMI)",IF(P235=CURSOS!$D$22,"CUIDADO DEL DONANTE DE ORGANOS",IF(P235=CURSOS!$D$23,"ATENCION A VICTIMAS POR VIOLENCIA DE GENERO",IF(P235=CURSOS!$D$24,"IGUALDAD DE GENERO EN LA SALUD",IF(P235=CURSOS!$D$25,"BRIGADA DE EMERGENCIA",IF(P235=CURSOS!$D$26,"MANEJO DEL DOLOR Y CUIDADOS PALIATIVOS",IF(P235=CURSOS!$D$27,"TOMA DE MUESTRAS Y LABORATORIO POCT",IF(P235=CURSOS!$D$28,"IMPLANTE SUBDERMICO DE DISPOSITIVO INTRAUTERINO",IF(P235=CURSOS!$D$29,"SALUD MENTAL",IF(P235=CURSOS!$D$30,"PRIMEROS AUXILIOS PSICOLOGICOS",IF(P235=CURSOS!$D$31,"ATENCION A VICTIMAS POR CONFLICTO ARMADO",IF(P235=CURSOS!$D$32,"MANIPULACION DE ALIMENTOS Y BPM",IF(P235=CURSOS!$D$33,"ATENCION A PERSONAS CON DISCAPACIDAD",IF(P235=CURSOS!$D$34,"CUIDADO INTEGRAL DEL PACIENTE ADULTO",IF(P235=CURSOS!$D$35,"MANEJO DEFENSIVO",IF(P235=CURSOS!$D$36,"SOPORTE CARDIOVASCULAR AVANZADO NEONATAL",IF(P235=CURSOS!$D$37,"SEGURIDAD DEL PACIENTE",IF(P235=CURSOS!$D$38,"MANEJO DE RESIDUOS HOSPITALARIOS",IF(P235=CURSOS!$D$39,"ATENCION DE PACIENTE POR CONSUMO SUSTANCIAS PSICOACTIVAS Y ADICCIONES")))))))))))))))))))))))))))))))))))))</f>
        <v>0</v>
      </c>
      <c r="W235" s="44" t="str">
        <f t="shared" si="12"/>
        <v xml:space="preserve">   </v>
      </c>
      <c r="X235" s="44" t="str">
        <f t="shared" si="13"/>
        <v xml:space="preserve">   </v>
      </c>
      <c r="Y235" s="44" t="str">
        <f t="shared" si="14"/>
        <v xml:space="preserve">   --</v>
      </c>
    </row>
    <row r="236" spans="1:25" x14ac:dyDescent="0.2">
      <c r="A236" s="45">
        <v>235</v>
      </c>
      <c r="Q236" s="47"/>
      <c r="V236" s="44" t="b">
        <f>IF(P236=CURSOS!$D$3,"DIPLOMADO EN ATENCION PRE-HOSPITALARIA",IF(P236=CURSOS!$D$4,"ACOMPAÑAMIENTO Y MANEJO DEL DUELO",IF(P236=CURSOS!$D$5,"ATENCION A VICTIMAS DE ATAQUE CON AGENTES QUIMICOS ",IF(P236=CURSOS!$D$6,"PRIMEROS AUXILIOS ",IF(P236=CURSOS!$D$7,"DIPLOMADO DE UNIDAD DE CUIDADOS INTENSIVOS (UCI)",IF(P236=CURSOS!$D$8,"MODELO DE ATENCION PARA EVENTOS EMERGENTES EN SALUD MENTAL (CODIGO VERDE)",IF(P236=CURSOS!$D$9,"HUMANIZACION EN EL SERVICIO DE LA SALUD Y BUENAS PRACTICAS EN PACIENTE ",IF(P236=CURSOS!$D$10,"CLINICA DE HERIDAS ",IF(P236=CURSOS!$D$11,"TOMA DE CITOLOGIA CERVICO VAGINAL ",IF(P236=CURSOS!$D$12,"SOPORTE CARDIOVASCULAR AVANZADO (ACLS) ",IF(P236=CURSOS!$D$13,"CAMILLERO ",IF(P236=CURSOS!$D$14,"TOMA DE MUESTRAS Y LABORATORIO ",IF(P236=CURSOS!$D$15,"SOPORTE VITAL BASICO (BLS)",IF(P236=CURSOS!$D$16,"ATENCION A VICTIMAS DE VIOLENCIA SEXUAL ",IF(P236=CURSOS!$D$17,"PROGRAMADO AMPLIADO DE INMUNIZACION (PAI - COVID 19)",IF(P236=CURSOS!$D$18,"ATENCION INTEGRAL EN ENFERMEDADES PREVALENTES EN PRIMERA INFANCIA (AIEPI)",IF(P236=CURSOS!$D$19,"ADMINISTRACION DE MEDICAMENTOS, INYECTOLOGIA  Y CANALIZACION ",IF(P236=CURSOS!$D$20,"OPERADOR DE VEHICULOS DE EMERGENCIA (OVE)",IF(P236=CURSOS!$D$21,"INSTITUCIONES AMIGAS DE LA MUJER Y LA INFANCIA (IAMI)",IF(P236=CURSOS!$D$22,"CUIDADO DEL DONANTE DE ORGANOS",IF(P236=CURSOS!$D$23,"ATENCION A VICTIMAS POR VIOLENCIA DE GENERO",IF(P236=CURSOS!$D$24,"IGUALDAD DE GENERO EN LA SALUD",IF(P236=CURSOS!$D$25,"BRIGADA DE EMERGENCIA",IF(P236=CURSOS!$D$26,"MANEJO DEL DOLOR Y CUIDADOS PALIATIVOS",IF(P236=CURSOS!$D$27,"TOMA DE MUESTRAS Y LABORATORIO POCT",IF(P236=CURSOS!$D$28,"IMPLANTE SUBDERMICO DE DISPOSITIVO INTRAUTERINO",IF(P236=CURSOS!$D$29,"SALUD MENTAL",IF(P236=CURSOS!$D$30,"PRIMEROS AUXILIOS PSICOLOGICOS",IF(P236=CURSOS!$D$31,"ATENCION A VICTIMAS POR CONFLICTO ARMADO",IF(P236=CURSOS!$D$32,"MANIPULACION DE ALIMENTOS Y BPM",IF(P236=CURSOS!$D$33,"ATENCION A PERSONAS CON DISCAPACIDAD",IF(P236=CURSOS!$D$34,"CUIDADO INTEGRAL DEL PACIENTE ADULTO",IF(P236=CURSOS!$D$35,"MANEJO DEFENSIVO",IF(P236=CURSOS!$D$36,"SOPORTE CARDIOVASCULAR AVANZADO NEONATAL",IF(P236=CURSOS!$D$37,"SEGURIDAD DEL PACIENTE",IF(P236=CURSOS!$D$38,"MANEJO DE RESIDUOS HOSPITALARIOS",IF(P236=CURSOS!$D$39,"ATENCION DE PACIENTE POR CONSUMO SUSTANCIAS PSICOACTIVAS Y ADICCIONES")))))))))))))))))))))))))))))))))))))</f>
        <v>0</v>
      </c>
      <c r="W236" s="44" t="str">
        <f t="shared" si="12"/>
        <v xml:space="preserve">   </v>
      </c>
      <c r="X236" s="44" t="str">
        <f t="shared" si="13"/>
        <v xml:space="preserve">   </v>
      </c>
      <c r="Y236" s="44" t="str">
        <f t="shared" si="14"/>
        <v xml:space="preserve">   --</v>
      </c>
    </row>
    <row r="237" spans="1:25" x14ac:dyDescent="0.2">
      <c r="A237" s="45">
        <v>236</v>
      </c>
      <c r="Q237" s="47"/>
      <c r="V237" s="44" t="b">
        <f>IF(P237=CURSOS!$D$3,"DIPLOMADO EN ATENCION PRE-HOSPITALARIA",IF(P237=CURSOS!$D$4,"ACOMPAÑAMIENTO Y MANEJO DEL DUELO",IF(P237=CURSOS!$D$5,"ATENCION A VICTIMAS DE ATAQUE CON AGENTES QUIMICOS ",IF(P237=CURSOS!$D$6,"PRIMEROS AUXILIOS ",IF(P237=CURSOS!$D$7,"DIPLOMADO DE UNIDAD DE CUIDADOS INTENSIVOS (UCI)",IF(P237=CURSOS!$D$8,"MODELO DE ATENCION PARA EVENTOS EMERGENTES EN SALUD MENTAL (CODIGO VERDE)",IF(P237=CURSOS!$D$9,"HUMANIZACION EN EL SERVICIO DE LA SALUD Y BUENAS PRACTICAS EN PACIENTE ",IF(P237=CURSOS!$D$10,"CLINICA DE HERIDAS ",IF(P237=CURSOS!$D$11,"TOMA DE CITOLOGIA CERVICO VAGINAL ",IF(P237=CURSOS!$D$12,"SOPORTE CARDIOVASCULAR AVANZADO (ACLS) ",IF(P237=CURSOS!$D$13,"CAMILLERO ",IF(P237=CURSOS!$D$14,"TOMA DE MUESTRAS Y LABORATORIO ",IF(P237=CURSOS!$D$15,"SOPORTE VITAL BASICO (BLS)",IF(P237=CURSOS!$D$16,"ATENCION A VICTIMAS DE VIOLENCIA SEXUAL ",IF(P237=CURSOS!$D$17,"PROGRAMADO AMPLIADO DE INMUNIZACION (PAI - COVID 19)",IF(P237=CURSOS!$D$18,"ATENCION INTEGRAL EN ENFERMEDADES PREVALENTES EN PRIMERA INFANCIA (AIEPI)",IF(P237=CURSOS!$D$19,"ADMINISTRACION DE MEDICAMENTOS, INYECTOLOGIA  Y CANALIZACION ",IF(P237=CURSOS!$D$20,"OPERADOR DE VEHICULOS DE EMERGENCIA (OVE)",IF(P237=CURSOS!$D$21,"INSTITUCIONES AMIGAS DE LA MUJER Y LA INFANCIA (IAMI)",IF(P237=CURSOS!$D$22,"CUIDADO DEL DONANTE DE ORGANOS",IF(P237=CURSOS!$D$23,"ATENCION A VICTIMAS POR VIOLENCIA DE GENERO",IF(P237=CURSOS!$D$24,"IGUALDAD DE GENERO EN LA SALUD",IF(P237=CURSOS!$D$25,"BRIGADA DE EMERGENCIA",IF(P237=CURSOS!$D$26,"MANEJO DEL DOLOR Y CUIDADOS PALIATIVOS",IF(P237=CURSOS!$D$27,"TOMA DE MUESTRAS Y LABORATORIO POCT",IF(P237=CURSOS!$D$28,"IMPLANTE SUBDERMICO DE DISPOSITIVO INTRAUTERINO",IF(P237=CURSOS!$D$29,"SALUD MENTAL",IF(P237=CURSOS!$D$30,"PRIMEROS AUXILIOS PSICOLOGICOS",IF(P237=CURSOS!$D$31,"ATENCION A VICTIMAS POR CONFLICTO ARMADO",IF(P237=CURSOS!$D$32,"MANIPULACION DE ALIMENTOS Y BPM",IF(P237=CURSOS!$D$33,"ATENCION A PERSONAS CON DISCAPACIDAD",IF(P237=CURSOS!$D$34,"CUIDADO INTEGRAL DEL PACIENTE ADULTO",IF(P237=CURSOS!$D$35,"MANEJO DEFENSIVO",IF(P237=CURSOS!$D$36,"SOPORTE CARDIOVASCULAR AVANZADO NEONATAL",IF(P237=CURSOS!$D$37,"SEGURIDAD DEL PACIENTE",IF(P237=CURSOS!$D$38,"MANEJO DE RESIDUOS HOSPITALARIOS",IF(P237=CURSOS!$D$39,"ATENCION DE PACIENTE POR CONSUMO SUSTANCIAS PSICOACTIVAS Y ADICCIONES")))))))))))))))))))))))))))))))))))))</f>
        <v>0</v>
      </c>
      <c r="W237" s="44" t="str">
        <f t="shared" si="12"/>
        <v xml:space="preserve">   </v>
      </c>
      <c r="X237" s="44" t="str">
        <f t="shared" si="13"/>
        <v xml:space="preserve">   </v>
      </c>
      <c r="Y237" s="44" t="str">
        <f t="shared" si="14"/>
        <v xml:space="preserve">   --</v>
      </c>
    </row>
    <row r="238" spans="1:25" x14ac:dyDescent="0.2">
      <c r="A238" s="45">
        <v>236</v>
      </c>
      <c r="Q238" s="47"/>
      <c r="V238" s="44" t="b">
        <f>IF(P238=CURSOS!$D$3,"DIPLOMADO EN ATENCION PRE-HOSPITALARIA",IF(P238=CURSOS!$D$4,"ACOMPAÑAMIENTO Y MANEJO DEL DUELO",IF(P238=CURSOS!$D$5,"ATENCION A VICTIMAS DE ATAQUE CON AGENTES QUIMICOS ",IF(P238=CURSOS!$D$6,"PRIMEROS AUXILIOS ",IF(P238=CURSOS!$D$7,"DIPLOMADO DE UNIDAD DE CUIDADOS INTENSIVOS (UCI)",IF(P238=CURSOS!$D$8,"MODELO DE ATENCION PARA EVENTOS EMERGENTES EN SALUD MENTAL (CODIGO VERDE)",IF(P238=CURSOS!$D$9,"HUMANIZACION EN EL SERVICIO DE LA SALUD Y BUENAS PRACTICAS EN PACIENTE ",IF(P238=CURSOS!$D$10,"CLINICA DE HERIDAS ",IF(P238=CURSOS!$D$11,"TOMA DE CITOLOGIA CERVICO VAGINAL ",IF(P238=CURSOS!$D$12,"SOPORTE CARDIOVASCULAR AVANZADO (ACLS) ",IF(P238=CURSOS!$D$13,"CAMILLERO ",IF(P238=CURSOS!$D$14,"TOMA DE MUESTRAS Y LABORATORIO ",IF(P238=CURSOS!$D$15,"SOPORTE VITAL BASICO (BLS)",IF(P238=CURSOS!$D$16,"ATENCION A VICTIMAS DE VIOLENCIA SEXUAL ",IF(P238=CURSOS!$D$17,"PROGRAMADO AMPLIADO DE INMUNIZACION (PAI - COVID 19)",IF(P238=CURSOS!$D$18,"ATENCION INTEGRAL EN ENFERMEDADES PREVALENTES EN PRIMERA INFANCIA (AIEPI)",IF(P238=CURSOS!$D$19,"ADMINISTRACION DE MEDICAMENTOS, INYECTOLOGIA  Y CANALIZACION ",IF(P238=CURSOS!$D$20,"OPERADOR DE VEHICULOS DE EMERGENCIA (OVE)",IF(P238=CURSOS!$D$21,"INSTITUCIONES AMIGAS DE LA MUJER Y LA INFANCIA (IAMI)",IF(P238=CURSOS!$D$22,"CUIDADO DEL DONANTE DE ORGANOS",IF(P238=CURSOS!$D$23,"ATENCION A VICTIMAS POR VIOLENCIA DE GENERO",IF(P238=CURSOS!$D$24,"IGUALDAD DE GENERO EN LA SALUD",IF(P238=CURSOS!$D$25,"BRIGADA DE EMERGENCIA",IF(P238=CURSOS!$D$26,"MANEJO DEL DOLOR Y CUIDADOS PALIATIVOS",IF(P238=CURSOS!$D$27,"TOMA DE MUESTRAS Y LABORATORIO POCT",IF(P238=CURSOS!$D$28,"IMPLANTE SUBDERMICO DE DISPOSITIVO INTRAUTERINO",IF(P238=CURSOS!$D$29,"SALUD MENTAL",IF(P238=CURSOS!$D$30,"PRIMEROS AUXILIOS PSICOLOGICOS",IF(P238=CURSOS!$D$31,"ATENCION A VICTIMAS POR CONFLICTO ARMADO",IF(P238=CURSOS!$D$32,"MANIPULACION DE ALIMENTOS Y BPM",IF(P238=CURSOS!$D$33,"ATENCION A PERSONAS CON DISCAPACIDAD",IF(P238=CURSOS!$D$34,"CUIDADO INTEGRAL DEL PACIENTE ADULTO",IF(P238=CURSOS!$D$35,"MANEJO DEFENSIVO",IF(P238=CURSOS!$D$36,"SOPORTE CARDIOVASCULAR AVANZADO NEONATAL",IF(P238=CURSOS!$D$37,"SEGURIDAD DEL PACIENTE",IF(P238=CURSOS!$D$38,"MANEJO DE RESIDUOS HOSPITALARIOS",IF(P238=CURSOS!$D$39,"ATENCION DE PACIENTE POR CONSUMO SUSTANCIAS PSICOACTIVAS Y ADICCIONES")))))))))))))))))))))))))))))))))))))</f>
        <v>0</v>
      </c>
      <c r="W238" s="44" t="str">
        <f t="shared" si="12"/>
        <v xml:space="preserve">   </v>
      </c>
      <c r="X238" s="44" t="str">
        <f t="shared" si="13"/>
        <v xml:space="preserve">   </v>
      </c>
      <c r="Y238" s="44" t="str">
        <f t="shared" si="14"/>
        <v xml:space="preserve">   --</v>
      </c>
    </row>
    <row r="239" spans="1:25" x14ac:dyDescent="0.2">
      <c r="A239" s="45">
        <v>236</v>
      </c>
      <c r="Q239" s="47"/>
      <c r="V239" s="44" t="b">
        <f>IF(P239=CURSOS!$D$3,"DIPLOMADO EN ATENCION PRE-HOSPITALARIA",IF(P239=CURSOS!$D$4,"ACOMPAÑAMIENTO Y MANEJO DEL DUELO",IF(P239=CURSOS!$D$5,"ATENCION A VICTIMAS DE ATAQUE CON AGENTES QUIMICOS ",IF(P239=CURSOS!$D$6,"PRIMEROS AUXILIOS ",IF(P239=CURSOS!$D$7,"DIPLOMADO DE UNIDAD DE CUIDADOS INTENSIVOS (UCI)",IF(P239=CURSOS!$D$8,"MODELO DE ATENCION PARA EVENTOS EMERGENTES EN SALUD MENTAL (CODIGO VERDE)",IF(P239=CURSOS!$D$9,"HUMANIZACION EN EL SERVICIO DE LA SALUD Y BUENAS PRACTICAS EN PACIENTE ",IF(P239=CURSOS!$D$10,"CLINICA DE HERIDAS ",IF(P239=CURSOS!$D$11,"TOMA DE CITOLOGIA CERVICO VAGINAL ",IF(P239=CURSOS!$D$12,"SOPORTE CARDIOVASCULAR AVANZADO (ACLS) ",IF(P239=CURSOS!$D$13,"CAMILLERO ",IF(P239=CURSOS!$D$14,"TOMA DE MUESTRAS Y LABORATORIO ",IF(P239=CURSOS!$D$15,"SOPORTE VITAL BASICO (BLS)",IF(P239=CURSOS!$D$16,"ATENCION A VICTIMAS DE VIOLENCIA SEXUAL ",IF(P239=CURSOS!$D$17,"PROGRAMADO AMPLIADO DE INMUNIZACION (PAI - COVID 19)",IF(P239=CURSOS!$D$18,"ATENCION INTEGRAL EN ENFERMEDADES PREVALENTES EN PRIMERA INFANCIA (AIEPI)",IF(P239=CURSOS!$D$19,"ADMINISTRACION DE MEDICAMENTOS, INYECTOLOGIA  Y CANALIZACION ",IF(P239=CURSOS!$D$20,"OPERADOR DE VEHICULOS DE EMERGENCIA (OVE)",IF(P239=CURSOS!$D$21,"INSTITUCIONES AMIGAS DE LA MUJER Y LA INFANCIA (IAMI)",IF(P239=CURSOS!$D$22,"CUIDADO DEL DONANTE DE ORGANOS",IF(P239=CURSOS!$D$23,"ATENCION A VICTIMAS POR VIOLENCIA DE GENERO",IF(P239=CURSOS!$D$24,"IGUALDAD DE GENERO EN LA SALUD",IF(P239=CURSOS!$D$25,"BRIGADA DE EMERGENCIA",IF(P239=CURSOS!$D$26,"MANEJO DEL DOLOR Y CUIDADOS PALIATIVOS",IF(P239=CURSOS!$D$27,"TOMA DE MUESTRAS Y LABORATORIO POCT",IF(P239=CURSOS!$D$28,"IMPLANTE SUBDERMICO DE DISPOSITIVO INTRAUTERINO",IF(P239=CURSOS!$D$29,"SALUD MENTAL",IF(P239=CURSOS!$D$30,"PRIMEROS AUXILIOS PSICOLOGICOS",IF(P239=CURSOS!$D$31,"ATENCION A VICTIMAS POR CONFLICTO ARMADO",IF(P239=CURSOS!$D$32,"MANIPULACION DE ALIMENTOS Y BPM",IF(P239=CURSOS!$D$33,"ATENCION A PERSONAS CON DISCAPACIDAD",IF(P239=CURSOS!$D$34,"CUIDADO INTEGRAL DEL PACIENTE ADULTO",IF(P239=CURSOS!$D$35,"MANEJO DEFENSIVO",IF(P239=CURSOS!$D$36,"SOPORTE CARDIOVASCULAR AVANZADO NEONATAL",IF(P239=CURSOS!$D$37,"SEGURIDAD DEL PACIENTE",IF(P239=CURSOS!$D$38,"MANEJO DE RESIDUOS HOSPITALARIOS",IF(P239=CURSOS!$D$39,"ATENCION DE PACIENTE POR CONSUMO SUSTANCIAS PSICOACTIVAS Y ADICCIONES")))))))))))))))))))))))))))))))))))))</f>
        <v>0</v>
      </c>
      <c r="W239" s="44" t="str">
        <f t="shared" si="12"/>
        <v xml:space="preserve">   </v>
      </c>
      <c r="X239" s="44" t="str">
        <f t="shared" si="13"/>
        <v xml:space="preserve">   </v>
      </c>
      <c r="Y239" s="44" t="str">
        <f t="shared" si="14"/>
        <v xml:space="preserve">   --</v>
      </c>
    </row>
    <row r="240" spans="1:25" x14ac:dyDescent="0.2">
      <c r="A240" s="45">
        <v>239</v>
      </c>
      <c r="V240" s="44" t="b">
        <f>IF(P240=CURSOS!$D$3,"DIPLOMADO EN ATENCION PRE-HOSPITALARIA",IF(P240=CURSOS!$D$4,"ACOMPAÑAMIENTO Y MANEJO DEL DUELO",IF(P240=CURSOS!$D$5,"ATENCION A VICTIMAS DE ATAQUE CON AGENTES QUIMICOS ",IF(P240=CURSOS!$D$6,"PRIMEROS AUXILIOS ",IF(P240=CURSOS!$D$7,"DIPLOMADO DE UNIDAD DE CUIDADOS INTENSIVOS (UCI)",IF(P240=CURSOS!$D$8,"MODELO DE ATENCION PARA EVENTOS EMERGENTES EN SALUD MENTAL (CODIGO VERDE)",IF(P240=CURSOS!$D$9,"HUMANIZACION EN EL SERVICIO DE LA SALUD Y BUENAS PRACTICAS EN PACIENTE ",IF(P240=CURSOS!$D$10,"CLINICA DE HERIDAS ",IF(P240=CURSOS!$D$11,"TOMA DE CITOLOGIA CERVICO VAGINAL ",IF(P240=CURSOS!$D$12,"SOPORTE CARDIOVASCULAR AVANZADO (ACLS) ",IF(P240=CURSOS!$D$13,"CAMILLERO ",IF(P240=CURSOS!$D$14,"TOMA DE MUESTRAS Y LABORATORIO ",IF(P240=CURSOS!$D$15,"SOPORTE VITAL BASICO (BLS)",IF(P240=CURSOS!$D$16,"ATENCION A VICTIMAS DE VIOLENCIA SEXUAL ",IF(P240=CURSOS!$D$17,"PROGRAMADO AMPLIADO DE INMUNIZACION (PAI - COVID 19)",IF(P240=CURSOS!$D$18,"ATENCION INTEGRAL EN ENFERMEDADES PREVALENTES EN PRIMERA INFANCIA (AIEPI)",IF(P240=CURSOS!$D$19,"ADMINISTRACION DE MEDICAMENTOS, INYECTOLOGIA  Y CANALIZACION ",IF(P240=CURSOS!$D$20,"OPERADOR DE VEHICULOS DE EMERGENCIA (OVE)",IF(P240=CURSOS!$D$21,"INSTITUCIONES AMIGAS DE LA MUJER Y LA INFANCIA (IAMI)",IF(P240=CURSOS!$D$22,"CUIDADO DEL DONANTE DE ORGANOS",IF(P240=CURSOS!$D$23,"ATENCION A VICTIMAS POR VIOLENCIA DE GENERO",IF(P240=CURSOS!$D$24,"IGUALDAD DE GENERO EN LA SALUD",IF(P240=CURSOS!$D$25,"BRIGADA DE EMERGENCIA",IF(P240=CURSOS!$D$26,"MANEJO DEL DOLOR Y CUIDADOS PALIATIVOS",IF(P240=CURSOS!$D$27,"TOMA DE MUESTRAS Y LABORATORIO POCT",IF(P240=CURSOS!$D$28,"IMPLANTE SUBDERMICO DE DISPOSITIVO INTRAUTERINO",IF(P240=CURSOS!$D$29,"SALUD MENTAL",IF(P240=CURSOS!$D$30,"PRIMEROS AUXILIOS PSICOLOGICOS",IF(P240=CURSOS!$D$31,"ATENCION A VICTIMAS POR CONFLICTO ARMADO",IF(P240=CURSOS!$D$32,"MANIPULACION DE ALIMENTOS Y BPM",IF(P240=CURSOS!$D$33,"ATENCION A PERSONAS CON DISCAPACIDAD",IF(P240=CURSOS!$D$34,"CUIDADO INTEGRAL DEL PACIENTE ADULTO",IF(P240=CURSOS!$D$35,"MANEJO DEFENSIVO",IF(P240=CURSOS!$D$36,"SOPORTE CARDIOVASCULAR AVANZADO NEONATAL",IF(P240=CURSOS!$D$37,"SEGURIDAD DEL PACIENTE",IF(P240=CURSOS!$D$38,"MANEJO DE RESIDUOS HOSPITALARIOS",IF(P240=CURSOS!$D$39,"ATENCION DE PACIENTE POR CONSUMO SUSTANCIAS PSICOACTIVAS Y ADICCIONES")))))))))))))))))))))))))))))))))))))</f>
        <v>0</v>
      </c>
      <c r="W240" s="44" t="str">
        <f t="shared" si="12"/>
        <v xml:space="preserve">   </v>
      </c>
      <c r="X240" s="44" t="str">
        <f t="shared" si="13"/>
        <v xml:space="preserve">   </v>
      </c>
      <c r="Y240" s="44" t="str">
        <f t="shared" si="14"/>
        <v xml:space="preserve">   --</v>
      </c>
    </row>
    <row r="241" spans="1:25" x14ac:dyDescent="0.2">
      <c r="A241" s="45">
        <v>240</v>
      </c>
      <c r="V241" s="44" t="b">
        <f>IF(P241=CURSOS!$D$3,"DIPLOMADO EN ATENCION PRE-HOSPITALARIA",IF(P241=CURSOS!$D$4,"ACOMPAÑAMIENTO Y MANEJO DEL DUELO",IF(P241=CURSOS!$D$5,"ATENCION A VICTIMAS DE ATAQUE CON AGENTES QUIMICOS ",IF(P241=CURSOS!$D$6,"PRIMEROS AUXILIOS ",IF(P241=CURSOS!$D$7,"DIPLOMADO DE UNIDAD DE CUIDADOS INTENSIVOS (UCI)",IF(P241=CURSOS!$D$8,"MODELO DE ATENCION PARA EVENTOS EMERGENTES EN SALUD MENTAL (CODIGO VERDE)",IF(P241=CURSOS!$D$9,"HUMANIZACION EN EL SERVICIO DE LA SALUD Y BUENAS PRACTICAS EN PACIENTE ",IF(P241=CURSOS!$D$10,"CLINICA DE HERIDAS ",IF(P241=CURSOS!$D$11,"TOMA DE CITOLOGIA CERVICO VAGINAL ",IF(P241=CURSOS!$D$12,"SOPORTE CARDIOVASCULAR AVANZADO (ACLS) ",IF(P241=CURSOS!$D$13,"CAMILLERO ",IF(P241=CURSOS!$D$14,"TOMA DE MUESTRAS Y LABORATORIO ",IF(P241=CURSOS!$D$15,"SOPORTE VITAL BASICO (BLS)",IF(P241=CURSOS!$D$16,"ATENCION A VICTIMAS DE VIOLENCIA SEXUAL ",IF(P241=CURSOS!$D$17,"PROGRAMADO AMPLIADO DE INMUNIZACION (PAI - COVID 19)",IF(P241=CURSOS!$D$18,"ATENCION INTEGRAL EN ENFERMEDADES PREVALENTES EN PRIMERA INFANCIA (AIEPI)",IF(P241=CURSOS!$D$19,"ADMINISTRACION DE MEDICAMENTOS, INYECTOLOGIA  Y CANALIZACION ",IF(P241=CURSOS!$D$20,"OPERADOR DE VEHICULOS DE EMERGENCIA (OVE)",IF(P241=CURSOS!$D$21,"INSTITUCIONES AMIGAS DE LA MUJER Y LA INFANCIA (IAMI)",IF(P241=CURSOS!$D$22,"CUIDADO DEL DONANTE DE ORGANOS",IF(P241=CURSOS!$D$23,"ATENCION A VICTIMAS POR VIOLENCIA DE GENERO",IF(P241=CURSOS!$D$24,"IGUALDAD DE GENERO EN LA SALUD",IF(P241=CURSOS!$D$25,"BRIGADA DE EMERGENCIA",IF(P241=CURSOS!$D$26,"MANEJO DEL DOLOR Y CUIDADOS PALIATIVOS",IF(P241=CURSOS!$D$27,"TOMA DE MUESTRAS Y LABORATORIO POCT",IF(P241=CURSOS!$D$28,"IMPLANTE SUBDERMICO DE DISPOSITIVO INTRAUTERINO",IF(P241=CURSOS!$D$29,"SALUD MENTAL",IF(P241=CURSOS!$D$30,"PRIMEROS AUXILIOS PSICOLOGICOS",IF(P241=CURSOS!$D$31,"ATENCION A VICTIMAS POR CONFLICTO ARMADO",IF(P241=CURSOS!$D$32,"MANIPULACION DE ALIMENTOS Y BPM",IF(P241=CURSOS!$D$33,"ATENCION A PERSONAS CON DISCAPACIDAD",IF(P241=CURSOS!$D$34,"CUIDADO INTEGRAL DEL PACIENTE ADULTO",IF(P241=CURSOS!$D$35,"MANEJO DEFENSIVO",IF(P241=CURSOS!$D$36,"SOPORTE CARDIOVASCULAR AVANZADO NEONATAL",IF(P241=CURSOS!$D$37,"SEGURIDAD DEL PACIENTE",IF(P241=CURSOS!$D$38,"MANEJO DE RESIDUOS HOSPITALARIOS",IF(P241=CURSOS!$D$39,"ATENCION DE PACIENTE POR CONSUMO SUSTANCIAS PSICOACTIVAS Y ADICCIONES")))))))))))))))))))))))))))))))))))))</f>
        <v>0</v>
      </c>
      <c r="W241" s="44" t="str">
        <f t="shared" si="12"/>
        <v xml:space="preserve">   </v>
      </c>
      <c r="X241" s="44" t="str">
        <f t="shared" si="13"/>
        <v xml:space="preserve">   </v>
      </c>
      <c r="Y241" s="44" t="str">
        <f t="shared" si="14"/>
        <v xml:space="preserve">   --</v>
      </c>
    </row>
    <row r="242" spans="1:25" x14ac:dyDescent="0.2">
      <c r="A242" s="45">
        <v>241</v>
      </c>
      <c r="V242" s="44" t="b">
        <f>IF(P242=CURSOS!$D$3,"DIPLOMADO EN ATENCION PRE-HOSPITALARIA",IF(P242=CURSOS!$D$4,"ACOMPAÑAMIENTO Y MANEJO DEL DUELO",IF(P242=CURSOS!$D$5,"ATENCION A VICTIMAS DE ATAQUE CON AGENTES QUIMICOS ",IF(P242=CURSOS!$D$6,"PRIMEROS AUXILIOS ",IF(P242=CURSOS!$D$7,"DIPLOMADO DE UNIDAD DE CUIDADOS INTENSIVOS (UCI)",IF(P242=CURSOS!$D$8,"MODELO DE ATENCION PARA EVENTOS EMERGENTES EN SALUD MENTAL (CODIGO VERDE)",IF(P242=CURSOS!$D$9,"HUMANIZACION EN EL SERVICIO DE LA SALUD Y BUENAS PRACTICAS EN PACIENTE ",IF(P242=CURSOS!$D$10,"CLINICA DE HERIDAS ",IF(P242=CURSOS!$D$11,"TOMA DE CITOLOGIA CERVICO VAGINAL ",IF(P242=CURSOS!$D$12,"SOPORTE CARDIOVASCULAR AVANZADO (ACLS) ",IF(P242=CURSOS!$D$13,"CAMILLERO ",IF(P242=CURSOS!$D$14,"TOMA DE MUESTRAS Y LABORATORIO ",IF(P242=CURSOS!$D$15,"SOPORTE VITAL BASICO (BLS)",IF(P242=CURSOS!$D$16,"ATENCION A VICTIMAS DE VIOLENCIA SEXUAL ",IF(P242=CURSOS!$D$17,"PROGRAMADO AMPLIADO DE INMUNIZACION (PAI - COVID 19)",IF(P242=CURSOS!$D$18,"ATENCION INTEGRAL EN ENFERMEDADES PREVALENTES EN PRIMERA INFANCIA (AIEPI)",IF(P242=CURSOS!$D$19,"ADMINISTRACION DE MEDICAMENTOS, INYECTOLOGIA  Y CANALIZACION ",IF(P242=CURSOS!$D$20,"OPERADOR DE VEHICULOS DE EMERGENCIA (OVE)",IF(P242=CURSOS!$D$21,"INSTITUCIONES AMIGAS DE LA MUJER Y LA INFANCIA (IAMI)",IF(P242=CURSOS!$D$22,"CUIDADO DEL DONANTE DE ORGANOS",IF(P242=CURSOS!$D$23,"ATENCION A VICTIMAS POR VIOLENCIA DE GENERO",IF(P242=CURSOS!$D$24,"IGUALDAD DE GENERO EN LA SALUD",IF(P242=CURSOS!$D$25,"BRIGADA DE EMERGENCIA",IF(P242=CURSOS!$D$26,"MANEJO DEL DOLOR Y CUIDADOS PALIATIVOS",IF(P242=CURSOS!$D$27,"TOMA DE MUESTRAS Y LABORATORIO POCT",IF(P242=CURSOS!$D$28,"IMPLANTE SUBDERMICO DE DISPOSITIVO INTRAUTERINO",IF(P242=CURSOS!$D$29,"SALUD MENTAL",IF(P242=CURSOS!$D$30,"PRIMEROS AUXILIOS PSICOLOGICOS",IF(P242=CURSOS!$D$31,"ATENCION A VICTIMAS POR CONFLICTO ARMADO",IF(P242=CURSOS!$D$32,"MANIPULACION DE ALIMENTOS Y BPM",IF(P242=CURSOS!$D$33,"ATENCION A PERSONAS CON DISCAPACIDAD",IF(P242=CURSOS!$D$34,"CUIDADO INTEGRAL DEL PACIENTE ADULTO",IF(P242=CURSOS!$D$35,"MANEJO DEFENSIVO",IF(P242=CURSOS!$D$36,"SOPORTE CARDIOVASCULAR AVANZADO NEONATAL",IF(P242=CURSOS!$D$37,"SEGURIDAD DEL PACIENTE",IF(P242=CURSOS!$D$38,"MANEJO DE RESIDUOS HOSPITALARIOS",IF(P242=CURSOS!$D$39,"ATENCION DE PACIENTE POR CONSUMO SUSTANCIAS PSICOACTIVAS Y ADICCIONES")))))))))))))))))))))))))))))))))))))</f>
        <v>0</v>
      </c>
      <c r="W242" s="44" t="str">
        <f t="shared" si="12"/>
        <v xml:space="preserve">   </v>
      </c>
      <c r="X242" s="44" t="str">
        <f t="shared" si="13"/>
        <v xml:space="preserve">   </v>
      </c>
      <c r="Y242" s="44" t="str">
        <f t="shared" si="14"/>
        <v xml:space="preserve">   --</v>
      </c>
    </row>
    <row r="243" spans="1:25" x14ac:dyDescent="0.2">
      <c r="A243" s="45">
        <v>242</v>
      </c>
      <c r="V243" s="44" t="b">
        <f>IF(P243=CURSOS!$D$3,"DIPLOMADO EN ATENCION PRE-HOSPITALARIA",IF(P243=CURSOS!$D$4,"ACOMPAÑAMIENTO Y MANEJO DEL DUELO",IF(P243=CURSOS!$D$5,"ATENCION A VICTIMAS DE ATAQUE CON AGENTES QUIMICOS ",IF(P243=CURSOS!$D$6,"PRIMEROS AUXILIOS ",IF(P243=CURSOS!$D$7,"DIPLOMADO DE UNIDAD DE CUIDADOS INTENSIVOS (UCI)",IF(P243=CURSOS!$D$8,"MODELO DE ATENCION PARA EVENTOS EMERGENTES EN SALUD MENTAL (CODIGO VERDE)",IF(P243=CURSOS!$D$9,"HUMANIZACION EN EL SERVICIO DE LA SALUD Y BUENAS PRACTICAS EN PACIENTE ",IF(P243=CURSOS!$D$10,"CLINICA DE HERIDAS ",IF(P243=CURSOS!$D$11,"TOMA DE CITOLOGIA CERVICO VAGINAL ",IF(P243=CURSOS!$D$12,"SOPORTE CARDIOVASCULAR AVANZADO (ACLS) ",IF(P243=CURSOS!$D$13,"CAMILLERO ",IF(P243=CURSOS!$D$14,"TOMA DE MUESTRAS Y LABORATORIO ",IF(P243=CURSOS!$D$15,"SOPORTE VITAL BASICO (BLS)",IF(P243=CURSOS!$D$16,"ATENCION A VICTIMAS DE VIOLENCIA SEXUAL ",IF(P243=CURSOS!$D$17,"PROGRAMADO AMPLIADO DE INMUNIZACION (PAI - COVID 19)",IF(P243=CURSOS!$D$18,"ATENCION INTEGRAL EN ENFERMEDADES PREVALENTES EN PRIMERA INFANCIA (AIEPI)",IF(P243=CURSOS!$D$19,"ADMINISTRACION DE MEDICAMENTOS, INYECTOLOGIA  Y CANALIZACION ",IF(P243=CURSOS!$D$20,"OPERADOR DE VEHICULOS DE EMERGENCIA (OVE)",IF(P243=CURSOS!$D$21,"INSTITUCIONES AMIGAS DE LA MUJER Y LA INFANCIA (IAMI)",IF(P243=CURSOS!$D$22,"CUIDADO DEL DONANTE DE ORGANOS",IF(P243=CURSOS!$D$23,"ATENCION A VICTIMAS POR VIOLENCIA DE GENERO",IF(P243=CURSOS!$D$24,"IGUALDAD DE GENERO EN LA SALUD",IF(P243=CURSOS!$D$25,"BRIGADA DE EMERGENCIA",IF(P243=CURSOS!$D$26,"MANEJO DEL DOLOR Y CUIDADOS PALIATIVOS",IF(P243=CURSOS!$D$27,"TOMA DE MUESTRAS Y LABORATORIO POCT",IF(P243=CURSOS!$D$28,"IMPLANTE SUBDERMICO DE DISPOSITIVO INTRAUTERINO",IF(P243=CURSOS!$D$29,"SALUD MENTAL",IF(P243=CURSOS!$D$30,"PRIMEROS AUXILIOS PSICOLOGICOS",IF(P243=CURSOS!$D$31,"ATENCION A VICTIMAS POR CONFLICTO ARMADO",IF(P243=CURSOS!$D$32,"MANIPULACION DE ALIMENTOS Y BPM",IF(P243=CURSOS!$D$33,"ATENCION A PERSONAS CON DISCAPACIDAD",IF(P243=CURSOS!$D$34,"CUIDADO INTEGRAL DEL PACIENTE ADULTO",IF(P243=CURSOS!$D$35,"MANEJO DEFENSIVO",IF(P243=CURSOS!$D$36,"SOPORTE CARDIOVASCULAR AVANZADO NEONATAL",IF(P243=CURSOS!$D$37,"SEGURIDAD DEL PACIENTE",IF(P243=CURSOS!$D$38,"MANEJO DE RESIDUOS HOSPITALARIOS",IF(P243=CURSOS!$D$39,"ATENCION DE PACIENTE POR CONSUMO SUSTANCIAS PSICOACTIVAS Y ADICCIONES")))))))))))))))))))))))))))))))))))))</f>
        <v>0</v>
      </c>
      <c r="W243" s="44" t="str">
        <f t="shared" si="12"/>
        <v xml:space="preserve">   </v>
      </c>
      <c r="X243" s="44" t="str">
        <f t="shared" si="13"/>
        <v xml:space="preserve">   </v>
      </c>
      <c r="Y243" s="44" t="str">
        <f t="shared" si="14"/>
        <v xml:space="preserve">   --</v>
      </c>
    </row>
    <row r="244" spans="1:25" x14ac:dyDescent="0.2">
      <c r="A244" s="45">
        <v>243</v>
      </c>
      <c r="V244" s="44" t="b">
        <f>IF(P244=CURSOS!$D$3,"DIPLOMADO EN ATENCION PRE-HOSPITALARIA",IF(P244=CURSOS!$D$4,"ACOMPAÑAMIENTO Y MANEJO DEL DUELO",IF(P244=CURSOS!$D$5,"ATENCION A VICTIMAS DE ATAQUE CON AGENTES QUIMICOS ",IF(P244=CURSOS!$D$6,"PRIMEROS AUXILIOS ",IF(P244=CURSOS!$D$7,"DIPLOMADO DE UNIDAD DE CUIDADOS INTENSIVOS (UCI)",IF(P244=CURSOS!$D$8,"MODELO DE ATENCION PARA EVENTOS EMERGENTES EN SALUD MENTAL (CODIGO VERDE)",IF(P244=CURSOS!$D$9,"HUMANIZACION EN EL SERVICIO DE LA SALUD Y BUENAS PRACTICAS EN PACIENTE ",IF(P244=CURSOS!$D$10,"CLINICA DE HERIDAS ",IF(P244=CURSOS!$D$11,"TOMA DE CITOLOGIA CERVICO VAGINAL ",IF(P244=CURSOS!$D$12,"SOPORTE CARDIOVASCULAR AVANZADO (ACLS) ",IF(P244=CURSOS!$D$13,"CAMILLERO ",IF(P244=CURSOS!$D$14,"TOMA DE MUESTRAS Y LABORATORIO ",IF(P244=CURSOS!$D$15,"SOPORTE VITAL BASICO (BLS)",IF(P244=CURSOS!$D$16,"ATENCION A VICTIMAS DE VIOLENCIA SEXUAL ",IF(P244=CURSOS!$D$17,"PROGRAMADO AMPLIADO DE INMUNIZACION (PAI - COVID 19)",IF(P244=CURSOS!$D$18,"ATENCION INTEGRAL EN ENFERMEDADES PREVALENTES EN PRIMERA INFANCIA (AIEPI)",IF(P244=CURSOS!$D$19,"ADMINISTRACION DE MEDICAMENTOS, INYECTOLOGIA  Y CANALIZACION ",IF(P244=CURSOS!$D$20,"OPERADOR DE VEHICULOS DE EMERGENCIA (OVE)",IF(P244=CURSOS!$D$21,"INSTITUCIONES AMIGAS DE LA MUJER Y LA INFANCIA (IAMI)",IF(P244=CURSOS!$D$22,"CUIDADO DEL DONANTE DE ORGANOS",IF(P244=CURSOS!$D$23,"ATENCION A VICTIMAS POR VIOLENCIA DE GENERO",IF(P244=CURSOS!$D$24,"IGUALDAD DE GENERO EN LA SALUD",IF(P244=CURSOS!$D$25,"BRIGADA DE EMERGENCIA",IF(P244=CURSOS!$D$26,"MANEJO DEL DOLOR Y CUIDADOS PALIATIVOS",IF(P244=CURSOS!$D$27,"TOMA DE MUESTRAS Y LABORATORIO POCT",IF(P244=CURSOS!$D$28,"IMPLANTE SUBDERMICO DE DISPOSITIVO INTRAUTERINO",IF(P244=CURSOS!$D$29,"SALUD MENTAL",IF(P244=CURSOS!$D$30,"PRIMEROS AUXILIOS PSICOLOGICOS",IF(P244=CURSOS!$D$31,"ATENCION A VICTIMAS POR CONFLICTO ARMADO",IF(P244=CURSOS!$D$32,"MANIPULACION DE ALIMENTOS Y BPM",IF(P244=CURSOS!$D$33,"ATENCION A PERSONAS CON DISCAPACIDAD",IF(P244=CURSOS!$D$34,"CUIDADO INTEGRAL DEL PACIENTE ADULTO",IF(P244=CURSOS!$D$35,"MANEJO DEFENSIVO",IF(P244=CURSOS!$D$36,"SOPORTE CARDIOVASCULAR AVANZADO NEONATAL",IF(P244=CURSOS!$D$37,"SEGURIDAD DEL PACIENTE",IF(P244=CURSOS!$D$38,"MANEJO DE RESIDUOS HOSPITALARIOS",IF(P244=CURSOS!$D$39,"ATENCION DE PACIENTE POR CONSUMO SUSTANCIAS PSICOACTIVAS Y ADICCIONES")))))))))))))))))))))))))))))))))))))</f>
        <v>0</v>
      </c>
      <c r="W244" s="44" t="str">
        <f t="shared" si="12"/>
        <v xml:space="preserve">   </v>
      </c>
      <c r="X244" s="44" t="str">
        <f t="shared" si="13"/>
        <v xml:space="preserve">   </v>
      </c>
      <c r="Y244" s="44" t="str">
        <f t="shared" si="14"/>
        <v xml:space="preserve">   --</v>
      </c>
    </row>
    <row r="245" spans="1:25" x14ac:dyDescent="0.2">
      <c r="A245" s="45">
        <v>244</v>
      </c>
    </row>
    <row r="246" spans="1:25" x14ac:dyDescent="0.2">
      <c r="A246" s="45">
        <v>245</v>
      </c>
    </row>
    <row r="247" spans="1:25" x14ac:dyDescent="0.2">
      <c r="A247" s="45">
        <v>246</v>
      </c>
    </row>
    <row r="248" spans="1:25" x14ac:dyDescent="0.2">
      <c r="A248" s="45">
        <v>247</v>
      </c>
    </row>
    <row r="1048557" spans="2:7" x14ac:dyDescent="0.2">
      <c r="B1048557" s="38"/>
      <c r="C1048557" s="38"/>
      <c r="D1048557" s="38"/>
      <c r="E1048557" s="38"/>
      <c r="F1048557" s="38"/>
      <c r="G1048557" s="38"/>
    </row>
    <row r="1048576" spans="2:15" x14ac:dyDescent="0.2">
      <c r="B1048576" s="46"/>
      <c r="C1048576" s="38"/>
      <c r="D1048576" s="38"/>
      <c r="E1048576" s="38"/>
      <c r="F1048576" s="38"/>
      <c r="G1048576" s="38"/>
      <c r="H1048576" s="46"/>
      <c r="I1048576" s="46"/>
      <c r="J1048576" s="51"/>
      <c r="L1048576" s="48"/>
      <c r="M1048576" s="46"/>
      <c r="N1048576" s="46"/>
      <c r="O1048576" s="38"/>
    </row>
  </sheetData>
  <autoFilter ref="A1:Y248" xr:uid="{00000000-0001-0000-0000-000000000000}"/>
  <phoneticPr fontId="7" type="noConversion"/>
  <hyperlinks>
    <hyperlink ref="U7" r:id="rId1" xr:uid="{00000000-0004-0000-0000-000000000000}"/>
    <hyperlink ref="S9" r:id="rId2" xr:uid="{00000000-0004-0000-0000-000001000000}"/>
    <hyperlink ref="S10" r:id="rId3" xr:uid="{00000000-0004-0000-0000-000002000000}"/>
    <hyperlink ref="S11" r:id="rId4" xr:uid="{00000000-0004-0000-0000-000003000000}"/>
    <hyperlink ref="S12" r:id="rId5" xr:uid="{00000000-0004-0000-0000-000004000000}"/>
    <hyperlink ref="S13" r:id="rId6" xr:uid="{00000000-0004-0000-0000-000005000000}"/>
    <hyperlink ref="S15" r:id="rId7" xr:uid="{00000000-0004-0000-0000-000006000000}"/>
    <hyperlink ref="S16" r:id="rId8" xr:uid="{00000000-0004-0000-0000-000007000000}"/>
    <hyperlink ref="S23" r:id="rId9" xr:uid="{00000000-0004-0000-0000-000008000000}"/>
    <hyperlink ref="S24" r:id="rId10" xr:uid="{00000000-0004-0000-0000-000009000000}"/>
    <hyperlink ref="S25" r:id="rId11" xr:uid="{00000000-0004-0000-0000-00000A000000}"/>
    <hyperlink ref="S33" r:id="rId12" xr:uid="{00000000-0004-0000-0000-00000B000000}"/>
    <hyperlink ref="S34" r:id="rId13" xr:uid="{00000000-0004-0000-0000-00000C000000}"/>
    <hyperlink ref="S35" r:id="rId14" xr:uid="{00000000-0004-0000-0000-00000D000000}"/>
    <hyperlink ref="S45" r:id="rId15" display="PSICOLOG@" xr:uid="{00000000-0004-0000-0000-00000E000000}"/>
    <hyperlink ref="S46" r:id="rId16" display="PSICOLOG@" xr:uid="{00000000-0004-0000-0000-00000F000000}"/>
    <hyperlink ref="S47" r:id="rId17" display="PSICOLOG@" xr:uid="{00000000-0004-0000-0000-000010000000}"/>
    <hyperlink ref="U79" r:id="rId18" xr:uid="{00000000-0004-0000-0000-000011000000}"/>
    <hyperlink ref="U81" r:id="rId19" xr:uid="{00000000-0004-0000-0000-000012000000}"/>
    <hyperlink ref="U82" r:id="rId20" xr:uid="{00000000-0004-0000-0000-000013000000}"/>
    <hyperlink ref="S97" r:id="rId21" xr:uid="{00000000-0004-0000-0000-000014000000}"/>
    <hyperlink ref="S98" r:id="rId22" xr:uid="{00000000-0004-0000-0000-000015000000}"/>
    <hyperlink ref="S99" r:id="rId23" xr:uid="{00000000-0004-0000-0000-000016000000}"/>
    <hyperlink ref="S101" r:id="rId24" xr:uid="{00000000-0004-0000-0000-000017000000}"/>
    <hyperlink ref="S102" r:id="rId25" xr:uid="{00000000-0004-0000-0000-000018000000}"/>
    <hyperlink ref="S103" r:id="rId26" xr:uid="{00000000-0004-0000-0000-000019000000}"/>
    <hyperlink ref="S118" r:id="rId27" xr:uid="{A413B5ED-1AD9-4FF0-943E-2C9D243C3A38}"/>
    <hyperlink ref="S119" r:id="rId28" xr:uid="{465E0ABA-00B8-4033-B50F-D27709D4B14B}"/>
  </hyperlinks>
  <pageMargins left="0.7" right="0.7" top="0.75" bottom="0.75" header="0.3" footer="0.3"/>
  <pageSetup paperSize="9" scale="12" orientation="portrait" r:id="rId2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C1:E42"/>
  <sheetViews>
    <sheetView topLeftCell="B1" zoomScale="85" zoomScaleNormal="85" workbookViewId="0">
      <selection activeCell="E41" sqref="E41"/>
    </sheetView>
  </sheetViews>
  <sheetFormatPr baseColWidth="10" defaultRowHeight="15" x14ac:dyDescent="0.2"/>
  <cols>
    <col min="3" max="3" width="10.77734375" style="1" customWidth="1"/>
    <col min="4" max="4" width="36.33203125" customWidth="1"/>
    <col min="5" max="5" width="116.88671875" bestFit="1" customWidth="1"/>
  </cols>
  <sheetData>
    <row r="1" spans="3:5" ht="15.75" thickBot="1" x14ac:dyDescent="0.25"/>
    <row r="2" spans="3:5" ht="16.5" thickBot="1" x14ac:dyDescent="0.3">
      <c r="C2" s="34" t="s">
        <v>20</v>
      </c>
      <c r="D2" s="34" t="s">
        <v>11</v>
      </c>
      <c r="E2" s="35" t="s">
        <v>15</v>
      </c>
    </row>
    <row r="3" spans="3:5" x14ac:dyDescent="0.2">
      <c r="C3" s="22">
        <v>1</v>
      </c>
      <c r="D3" s="23" t="s">
        <v>21</v>
      </c>
      <c r="E3" s="24" t="s">
        <v>22</v>
      </c>
    </row>
    <row r="4" spans="3:5" x14ac:dyDescent="0.2">
      <c r="C4" s="25">
        <v>2</v>
      </c>
      <c r="D4" s="26" t="s">
        <v>23</v>
      </c>
      <c r="E4" s="27" t="s">
        <v>24</v>
      </c>
    </row>
    <row r="5" spans="3:5" x14ac:dyDescent="0.2">
      <c r="C5" s="28">
        <v>3</v>
      </c>
      <c r="D5" s="26" t="s">
        <v>25</v>
      </c>
      <c r="E5" s="27" t="s">
        <v>93</v>
      </c>
    </row>
    <row r="6" spans="3:5" x14ac:dyDescent="0.2">
      <c r="C6" s="25">
        <v>4</v>
      </c>
      <c r="D6" s="26" t="s">
        <v>26</v>
      </c>
      <c r="E6" s="27" t="s">
        <v>27</v>
      </c>
    </row>
    <row r="7" spans="3:5" x14ac:dyDescent="0.2">
      <c r="C7" s="28">
        <v>5</v>
      </c>
      <c r="D7" s="26" t="s">
        <v>28</v>
      </c>
      <c r="E7" s="27" t="s">
        <v>29</v>
      </c>
    </row>
    <row r="8" spans="3:5" x14ac:dyDescent="0.2">
      <c r="C8" s="25">
        <v>6</v>
      </c>
      <c r="D8" s="26" t="s">
        <v>30</v>
      </c>
      <c r="E8" s="27" t="s">
        <v>31</v>
      </c>
    </row>
    <row r="9" spans="3:5" x14ac:dyDescent="0.2">
      <c r="C9" s="28">
        <v>7</v>
      </c>
      <c r="D9" s="26" t="s">
        <v>32</v>
      </c>
      <c r="E9" s="27" t="s">
        <v>94</v>
      </c>
    </row>
    <row r="10" spans="3:5" x14ac:dyDescent="0.2">
      <c r="C10" s="25">
        <v>8</v>
      </c>
      <c r="D10" s="26" t="s">
        <v>33</v>
      </c>
      <c r="E10" s="27" t="s">
        <v>34</v>
      </c>
    </row>
    <row r="11" spans="3:5" x14ac:dyDescent="0.2">
      <c r="C11" s="28">
        <v>9</v>
      </c>
      <c r="D11" s="29" t="s">
        <v>35</v>
      </c>
      <c r="E11" s="27" t="s">
        <v>36</v>
      </c>
    </row>
    <row r="12" spans="3:5" x14ac:dyDescent="0.2">
      <c r="C12" s="25">
        <v>10</v>
      </c>
      <c r="D12" s="30" t="s">
        <v>37</v>
      </c>
      <c r="E12" s="27" t="s">
        <v>83</v>
      </c>
    </row>
    <row r="13" spans="3:5" x14ac:dyDescent="0.2">
      <c r="C13" s="28">
        <v>11</v>
      </c>
      <c r="D13" s="30" t="s">
        <v>38</v>
      </c>
      <c r="E13" s="27" t="s">
        <v>39</v>
      </c>
    </row>
    <row r="14" spans="3:5" x14ac:dyDescent="0.2">
      <c r="C14" s="25">
        <v>12</v>
      </c>
      <c r="D14" s="30" t="s">
        <v>40</v>
      </c>
      <c r="E14" s="27" t="s">
        <v>89</v>
      </c>
    </row>
    <row r="15" spans="3:5" x14ac:dyDescent="0.2">
      <c r="C15" s="28">
        <v>13</v>
      </c>
      <c r="D15" s="30" t="s">
        <v>19</v>
      </c>
      <c r="E15" s="27" t="s">
        <v>41</v>
      </c>
    </row>
    <row r="16" spans="3:5" x14ac:dyDescent="0.2">
      <c r="C16" s="25">
        <v>14</v>
      </c>
      <c r="D16" s="30" t="s">
        <v>42</v>
      </c>
      <c r="E16" s="27" t="s">
        <v>95</v>
      </c>
    </row>
    <row r="17" spans="3:5" x14ac:dyDescent="0.2">
      <c r="C17" s="28">
        <v>15</v>
      </c>
      <c r="D17" s="30" t="s">
        <v>73</v>
      </c>
      <c r="E17" s="27" t="s">
        <v>43</v>
      </c>
    </row>
    <row r="18" spans="3:5" x14ac:dyDescent="0.2">
      <c r="C18" s="25">
        <v>16</v>
      </c>
      <c r="D18" s="30" t="s">
        <v>44</v>
      </c>
      <c r="E18" s="27" t="s">
        <v>96</v>
      </c>
    </row>
    <row r="19" spans="3:5" x14ac:dyDescent="0.2">
      <c r="C19" s="28">
        <v>17</v>
      </c>
      <c r="D19" s="30" t="s">
        <v>45</v>
      </c>
      <c r="E19" s="27" t="s">
        <v>97</v>
      </c>
    </row>
    <row r="20" spans="3:5" x14ac:dyDescent="0.2">
      <c r="C20" s="25">
        <v>18</v>
      </c>
      <c r="D20" s="30" t="s">
        <v>46</v>
      </c>
      <c r="E20" s="27" t="s">
        <v>47</v>
      </c>
    </row>
    <row r="21" spans="3:5" x14ac:dyDescent="0.2">
      <c r="C21" s="28">
        <v>19</v>
      </c>
      <c r="D21" s="30" t="s">
        <v>48</v>
      </c>
      <c r="E21" s="31" t="s">
        <v>49</v>
      </c>
    </row>
    <row r="22" spans="3:5" x14ac:dyDescent="0.2">
      <c r="C22" s="25">
        <v>20</v>
      </c>
      <c r="D22" s="30" t="s">
        <v>50</v>
      </c>
      <c r="E22" s="31" t="s">
        <v>51</v>
      </c>
    </row>
    <row r="23" spans="3:5" x14ac:dyDescent="0.2">
      <c r="C23" s="28">
        <v>21</v>
      </c>
      <c r="D23" s="30" t="s">
        <v>52</v>
      </c>
      <c r="E23" s="31" t="s">
        <v>98</v>
      </c>
    </row>
    <row r="24" spans="3:5" x14ac:dyDescent="0.2">
      <c r="C24" s="25">
        <v>22</v>
      </c>
      <c r="D24" s="30" t="s">
        <v>53</v>
      </c>
      <c r="E24" s="32" t="s">
        <v>54</v>
      </c>
    </row>
    <row r="25" spans="3:5" x14ac:dyDescent="0.2">
      <c r="C25" s="33">
        <v>23</v>
      </c>
      <c r="D25" s="30" t="s">
        <v>55</v>
      </c>
      <c r="E25" s="27" t="s">
        <v>56</v>
      </c>
    </row>
    <row r="26" spans="3:5" x14ac:dyDescent="0.2">
      <c r="C26" s="33">
        <v>24</v>
      </c>
      <c r="D26" s="30" t="s">
        <v>57</v>
      </c>
      <c r="E26" s="31" t="s">
        <v>58</v>
      </c>
    </row>
    <row r="27" spans="3:5" x14ac:dyDescent="0.2">
      <c r="C27" s="33">
        <v>25</v>
      </c>
      <c r="D27" s="30" t="s">
        <v>59</v>
      </c>
      <c r="E27" s="27" t="s">
        <v>84</v>
      </c>
    </row>
    <row r="28" spans="3:5" x14ac:dyDescent="0.2">
      <c r="C28" s="33">
        <v>26</v>
      </c>
      <c r="D28" s="30" t="s">
        <v>60</v>
      </c>
      <c r="E28" s="27" t="s">
        <v>85</v>
      </c>
    </row>
    <row r="29" spans="3:5" x14ac:dyDescent="0.2">
      <c r="C29" s="33">
        <v>27</v>
      </c>
      <c r="D29" s="30" t="s">
        <v>61</v>
      </c>
      <c r="E29" s="27" t="s">
        <v>61</v>
      </c>
    </row>
    <row r="30" spans="3:5" x14ac:dyDescent="0.2">
      <c r="C30" s="33">
        <v>28</v>
      </c>
      <c r="D30" s="30" t="s">
        <v>62</v>
      </c>
      <c r="E30" s="27" t="s">
        <v>63</v>
      </c>
    </row>
    <row r="31" spans="3:5" x14ac:dyDescent="0.2">
      <c r="C31" s="33">
        <v>29</v>
      </c>
      <c r="D31" s="30" t="s">
        <v>64</v>
      </c>
      <c r="E31" s="27" t="s">
        <v>65</v>
      </c>
    </row>
    <row r="32" spans="3:5" x14ac:dyDescent="0.2">
      <c r="C32" s="33">
        <v>30</v>
      </c>
      <c r="D32" s="30" t="s">
        <v>74</v>
      </c>
      <c r="E32" s="27" t="s">
        <v>75</v>
      </c>
    </row>
    <row r="33" spans="3:5" x14ac:dyDescent="0.2">
      <c r="C33" s="33">
        <v>31</v>
      </c>
      <c r="D33" s="30" t="s">
        <v>77</v>
      </c>
      <c r="E33" s="27" t="s">
        <v>76</v>
      </c>
    </row>
    <row r="34" spans="3:5" x14ac:dyDescent="0.2">
      <c r="C34" s="33">
        <v>32</v>
      </c>
      <c r="D34" s="30" t="s">
        <v>78</v>
      </c>
      <c r="E34" s="27" t="s">
        <v>79</v>
      </c>
    </row>
    <row r="35" spans="3:5" x14ac:dyDescent="0.2">
      <c r="C35" s="33">
        <v>33</v>
      </c>
      <c r="D35" s="30" t="s">
        <v>80</v>
      </c>
      <c r="E35" s="27" t="s">
        <v>80</v>
      </c>
    </row>
    <row r="36" spans="3:5" x14ac:dyDescent="0.2">
      <c r="C36" s="33">
        <v>34</v>
      </c>
      <c r="D36" s="30" t="s">
        <v>81</v>
      </c>
      <c r="E36" s="27" t="s">
        <v>82</v>
      </c>
    </row>
    <row r="37" spans="3:5" x14ac:dyDescent="0.2">
      <c r="C37" s="33">
        <v>35</v>
      </c>
      <c r="D37" s="30" t="s">
        <v>87</v>
      </c>
      <c r="E37" s="27" t="s">
        <v>86</v>
      </c>
    </row>
    <row r="38" spans="3:5" x14ac:dyDescent="0.2">
      <c r="C38" s="33">
        <v>36</v>
      </c>
      <c r="D38" s="30" t="s">
        <v>90</v>
      </c>
      <c r="E38" s="27" t="s">
        <v>91</v>
      </c>
    </row>
    <row r="39" spans="3:5" x14ac:dyDescent="0.2">
      <c r="C39" s="17">
        <v>37</v>
      </c>
      <c r="D39" s="87" t="s">
        <v>101</v>
      </c>
      <c r="E39" s="89" t="s">
        <v>102</v>
      </c>
    </row>
    <row r="40" spans="3:5" x14ac:dyDescent="0.2">
      <c r="C40" s="17">
        <v>38</v>
      </c>
      <c r="D40" s="88" t="s">
        <v>273</v>
      </c>
      <c r="E40" s="90" t="s">
        <v>275</v>
      </c>
    </row>
    <row r="41" spans="3:5" x14ac:dyDescent="0.2">
      <c r="C41" s="17">
        <v>39</v>
      </c>
      <c r="D41" s="88" t="s">
        <v>274</v>
      </c>
      <c r="E41" s="90" t="s">
        <v>276</v>
      </c>
    </row>
    <row r="42" spans="3:5" ht="15.75" thickBot="1" x14ac:dyDescent="0.25">
      <c r="C42" s="55">
        <v>40</v>
      </c>
      <c r="D42" s="91" t="s">
        <v>347</v>
      </c>
      <c r="E42" s="99" t="s">
        <v>348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H355"/>
  <sheetViews>
    <sheetView topLeftCell="A157" zoomScale="50" zoomScaleNormal="50" workbookViewId="0">
      <selection activeCell="E157" sqref="E1:E1048576"/>
    </sheetView>
  </sheetViews>
  <sheetFormatPr baseColWidth="10" defaultRowHeight="15" customHeight="1" x14ac:dyDescent="0.2"/>
  <cols>
    <col min="1" max="1" width="39.33203125" customWidth="1"/>
    <col min="2" max="2" width="84.21875" customWidth="1"/>
    <col min="3" max="3" width="16.21875" customWidth="1"/>
    <col min="4" max="4" width="106.77734375" bestFit="1" customWidth="1"/>
    <col min="5" max="5" width="19.33203125" customWidth="1"/>
    <col min="6" max="6" width="38.21875" customWidth="1"/>
    <col min="7" max="7" width="11.21875" customWidth="1"/>
    <col min="8" max="8" width="35.109375" customWidth="1"/>
  </cols>
  <sheetData>
    <row r="1" spans="6:8" ht="16.5" thickBot="1" x14ac:dyDescent="0.3">
      <c r="F1" s="8"/>
      <c r="G1" s="11" t="s">
        <v>20</v>
      </c>
      <c r="H1" s="9" t="s">
        <v>11</v>
      </c>
    </row>
    <row r="2" spans="6:8" x14ac:dyDescent="0.2">
      <c r="G2" s="2">
        <v>1</v>
      </c>
      <c r="H2" s="16" t="s">
        <v>21</v>
      </c>
    </row>
    <row r="3" spans="6:8" ht="15" customHeight="1" x14ac:dyDescent="0.2">
      <c r="G3" s="3">
        <v>2</v>
      </c>
      <c r="H3" s="6" t="s">
        <v>23</v>
      </c>
    </row>
    <row r="4" spans="6:8" ht="15" customHeight="1" x14ac:dyDescent="0.2">
      <c r="G4" s="5">
        <v>3</v>
      </c>
      <c r="H4" s="6" t="s">
        <v>25</v>
      </c>
    </row>
    <row r="5" spans="6:8" ht="15" customHeight="1" x14ac:dyDescent="0.2">
      <c r="G5" s="3">
        <v>4</v>
      </c>
      <c r="H5" s="6" t="s">
        <v>26</v>
      </c>
    </row>
    <row r="6" spans="6:8" ht="15" customHeight="1" x14ac:dyDescent="0.2">
      <c r="G6" s="5">
        <v>5</v>
      </c>
      <c r="H6" s="6" t="s">
        <v>28</v>
      </c>
    </row>
    <row r="7" spans="6:8" ht="15" customHeight="1" x14ac:dyDescent="0.2">
      <c r="G7" s="3">
        <v>6</v>
      </c>
      <c r="H7" s="6" t="s">
        <v>30</v>
      </c>
    </row>
    <row r="8" spans="6:8" ht="15" customHeight="1" x14ac:dyDescent="0.2">
      <c r="G8" s="5">
        <v>7</v>
      </c>
      <c r="H8" s="6" t="s">
        <v>32</v>
      </c>
    </row>
    <row r="9" spans="6:8" ht="15" customHeight="1" x14ac:dyDescent="0.2">
      <c r="G9" s="3">
        <v>8</v>
      </c>
      <c r="H9" s="6" t="s">
        <v>33</v>
      </c>
    </row>
    <row r="10" spans="6:8" ht="15" customHeight="1" x14ac:dyDescent="0.2">
      <c r="G10" s="5">
        <v>9</v>
      </c>
      <c r="H10" s="7" t="s">
        <v>35</v>
      </c>
    </row>
    <row r="11" spans="6:8" ht="15" customHeight="1" x14ac:dyDescent="0.2">
      <c r="G11" s="3">
        <v>10</v>
      </c>
      <c r="H11" s="4" t="s">
        <v>37</v>
      </c>
    </row>
    <row r="12" spans="6:8" ht="15" customHeight="1" x14ac:dyDescent="0.2">
      <c r="G12" s="5">
        <v>11</v>
      </c>
      <c r="H12" s="4" t="s">
        <v>38</v>
      </c>
    </row>
    <row r="13" spans="6:8" ht="15" customHeight="1" x14ac:dyDescent="0.2">
      <c r="G13" s="3">
        <v>12</v>
      </c>
      <c r="H13" s="4" t="s">
        <v>40</v>
      </c>
    </row>
    <row r="14" spans="6:8" ht="15" customHeight="1" x14ac:dyDescent="0.2">
      <c r="G14" s="5">
        <v>13</v>
      </c>
      <c r="H14" s="4" t="s">
        <v>19</v>
      </c>
    </row>
    <row r="15" spans="6:8" ht="15" customHeight="1" x14ac:dyDescent="0.2">
      <c r="G15" s="3">
        <v>14</v>
      </c>
      <c r="H15" s="4" t="s">
        <v>42</v>
      </c>
    </row>
    <row r="16" spans="6:8" ht="15" customHeight="1" x14ac:dyDescent="0.2">
      <c r="G16" s="5">
        <v>15</v>
      </c>
      <c r="H16" s="4" t="s">
        <v>73</v>
      </c>
    </row>
    <row r="17" spans="4:8" ht="15" customHeight="1" x14ac:dyDescent="0.2">
      <c r="G17" s="3">
        <v>16</v>
      </c>
      <c r="H17" s="4" t="s">
        <v>44</v>
      </c>
    </row>
    <row r="18" spans="4:8" ht="15" customHeight="1" x14ac:dyDescent="0.2">
      <c r="G18" s="5">
        <v>17</v>
      </c>
      <c r="H18" s="4" t="s">
        <v>45</v>
      </c>
    </row>
    <row r="19" spans="4:8" ht="15" customHeight="1" x14ac:dyDescent="0.2">
      <c r="G19" s="3">
        <v>18</v>
      </c>
      <c r="H19" s="4" t="s">
        <v>46</v>
      </c>
    </row>
    <row r="20" spans="4:8" ht="15" customHeight="1" x14ac:dyDescent="0.2">
      <c r="G20" s="5">
        <v>19</v>
      </c>
      <c r="H20" s="4" t="s">
        <v>48</v>
      </c>
    </row>
    <row r="21" spans="4:8" ht="15" customHeight="1" x14ac:dyDescent="0.2">
      <c r="G21" s="3">
        <v>20</v>
      </c>
      <c r="H21" s="4" t="s">
        <v>50</v>
      </c>
    </row>
    <row r="22" spans="4:8" ht="15" customHeight="1" x14ac:dyDescent="0.2">
      <c r="G22" s="5">
        <v>21</v>
      </c>
      <c r="H22" s="4" t="s">
        <v>52</v>
      </c>
    </row>
    <row r="23" spans="4:8" ht="15" customHeight="1" x14ac:dyDescent="0.2">
      <c r="G23" s="3">
        <v>22</v>
      </c>
      <c r="H23" s="4" t="s">
        <v>53</v>
      </c>
    </row>
    <row r="24" spans="4:8" ht="15" customHeight="1" x14ac:dyDescent="0.2">
      <c r="G24" s="17">
        <v>23</v>
      </c>
      <c r="H24" s="4" t="s">
        <v>55</v>
      </c>
    </row>
    <row r="25" spans="4:8" ht="15" customHeight="1" x14ac:dyDescent="0.2">
      <c r="G25" s="17">
        <v>24</v>
      </c>
      <c r="H25" s="4" t="s">
        <v>57</v>
      </c>
    </row>
    <row r="26" spans="4:8" ht="15" customHeight="1" x14ac:dyDescent="0.2">
      <c r="G26" s="17">
        <v>25</v>
      </c>
      <c r="H26" s="4" t="s">
        <v>59</v>
      </c>
    </row>
    <row r="27" spans="4:8" ht="15" customHeight="1" x14ac:dyDescent="0.2">
      <c r="G27" s="17">
        <v>26</v>
      </c>
      <c r="H27" s="4" t="s">
        <v>60</v>
      </c>
    </row>
    <row r="28" spans="4:8" ht="15" customHeight="1" x14ac:dyDescent="0.2">
      <c r="G28" s="17">
        <v>27</v>
      </c>
      <c r="H28" s="4" t="s">
        <v>61</v>
      </c>
    </row>
    <row r="29" spans="4:8" ht="15" customHeight="1" x14ac:dyDescent="0.2">
      <c r="G29" s="17">
        <v>28</v>
      </c>
      <c r="H29" s="4" t="s">
        <v>62</v>
      </c>
    </row>
    <row r="30" spans="4:8" ht="15" customHeight="1" x14ac:dyDescent="0.2">
      <c r="G30" s="17">
        <v>29</v>
      </c>
      <c r="H30" s="4" t="s">
        <v>64</v>
      </c>
    </row>
    <row r="31" spans="4:8" ht="15" customHeight="1" x14ac:dyDescent="0.2">
      <c r="G31" s="17">
        <v>30</v>
      </c>
      <c r="H31" s="4" t="s">
        <v>74</v>
      </c>
    </row>
    <row r="32" spans="4:8" ht="15" customHeight="1" x14ac:dyDescent="0.25">
      <c r="D32" s="8" t="s">
        <v>92</v>
      </c>
      <c r="G32" s="17">
        <v>31</v>
      </c>
      <c r="H32" s="4" t="s">
        <v>77</v>
      </c>
    </row>
    <row r="33" spans="1:8" x14ac:dyDescent="0.2">
      <c r="G33" s="17">
        <v>32</v>
      </c>
      <c r="H33" s="4" t="s">
        <v>78</v>
      </c>
    </row>
    <row r="34" spans="1:8" x14ac:dyDescent="0.2">
      <c r="G34" s="19">
        <v>33</v>
      </c>
      <c r="H34" s="18" t="s">
        <v>80</v>
      </c>
    </row>
    <row r="35" spans="1:8" x14ac:dyDescent="0.2">
      <c r="G35" s="19">
        <v>34</v>
      </c>
      <c r="H35" s="4" t="s">
        <v>81</v>
      </c>
    </row>
    <row r="36" spans="1:8" ht="15.75" thickBot="1" x14ac:dyDescent="0.25">
      <c r="G36" s="15">
        <v>35</v>
      </c>
      <c r="H36" s="20" t="s">
        <v>87</v>
      </c>
    </row>
    <row r="37" spans="1:8" ht="15.75" thickBot="1" x14ac:dyDescent="0.25">
      <c r="G37" s="36">
        <v>36</v>
      </c>
      <c r="H37" s="37" t="s">
        <v>90</v>
      </c>
    </row>
    <row r="38" spans="1:8" ht="59.25" customHeight="1" thickBot="1" x14ac:dyDescent="0.25">
      <c r="A38" s="12" t="s">
        <v>11</v>
      </c>
      <c r="B38" s="13" t="s">
        <v>70</v>
      </c>
      <c r="C38" s="13" t="s">
        <v>71</v>
      </c>
      <c r="D38" s="13" t="s">
        <v>72</v>
      </c>
      <c r="E38" s="14"/>
    </row>
    <row r="39" spans="1:8" ht="122.25" customHeight="1" x14ac:dyDescent="0.25">
      <c r="A39" s="21" t="str">
        <f>INSCRITOS!P2</f>
        <v>ADMON DE MEDICAMENTOS</v>
      </c>
      <c r="B39" s="8" t="str">
        <f>IF(A39=$H$19,"https://centrodecapacitaciondelsur.com/o-v-e-",IF(A39=$H$2,"https://centrodecapacitaciondelsur.com/aph-",IF(A39=$H$3,"https://centrodecapacitaciondelsur.com/manejo-del-duelo-",IF(A39=$H$4,"https://centrodecapacitaciondelsur.com/victimas-por-agentes-quimicos-",IF(A39=$H$5,"https://centrodecapacitaciondelsur.com/primeros-auxilios-",IF(A39=$H$6,"https://centrodecapacitaciondelsur.com/uci-",IF(A39=$H$8,"https://centrodecapacitaciondelsur.com/humanizacion-",IF(A39=$H$11,"https://centrodecapacitaciondelsur.com/soporte-cardiovascular-avanzado-",IF(A39=$H$12,"https://centrodecapacitaciondelsur.com/camillero-",IF(A39=$H$13,"https://centrodecapacitaciondelsur.com/toma-de-muestras-y-lab-clinico-",IF(A39=$H$14,"https://centrodecapacitaciondelsur.com/soporte-basico-de-vida-",IF(A39=$H$15,"https://centrodecapacitaciondelsur.com/violencia-sexual-",IF(A39=$H$17,"https://centrodecapacitaciondelsur.com/aiepi-",IF(A39=$H$18,"https://centrodecapacitaciondelsur.com/adm-medicamentos-canalizacion-inyectologia-",IF(A39=$H$25,"https://centrodecapacitaciondelsur.com/manejo-del-dolor-y-cuidados-paliativos-",IF(A39=$H$26,"https://centrodecapacitaciondelsur.com/toma-de-muestras-y-lab-clinico-poct-",IF(A39=$H$27,"https://centrodecapacitaciondelsur.com/implante-subdermico-",IF(A39=$H$21,"https://centrodecapacitaciondelsur.com/donante-de-organos-",IF(A39=$H$30,"https://centrodecapacitaciondelsur.com/atencion-a-victimas-del-conflicto-armado-",IF(A39=$H$20,"https://centrodecapacitaciondelsur.com/iami-",IF(A39=$H$22,"https://centrodecapacitaciondelsur.com/violencia-de-genero-",IF(A39=$H$23,"https://centrodecapacitaciondelsur.com/igualdad-de-genero-",IF(A39=$H$16,"https://centrodecapacitaciondelsur.com/pai-",IF(A39=$H$31,"https://centrodecapacitaciondelsur.com/manipulacion-de-alimentos-",IF(A39=$H$32,"https://centrodecapacitaciondelsur.com/atencion-a-personas-con-discapacidad-",IF(A39=$H$33,"https://centrodecapacitaciondelsur.com/atencion-al-adulto-mayor-",IF(A39=$H$34,"https://centrodecapacitaciondelsur.com/manejo-defensivo-",IF(A39=$H$35,"https://centrodecapacitaciondelsur.com/soporte-basico-neonatal-",IF(A39=$H$36,"https://centrodecapacitaciondelsur.com/seguridad-del-paciente-",IF(A39=$H$37,"https://centrodecapacitaciondelsur.com/manejo-de-residuos-hospitalarios-",IF(A39=$H$10,"https://centrodecapacitaciondelsur.com/toma-de-citologia-",IF(A39=$H$29,"https://centrodecapacitaciondelsur.com/primeros-aux-psicologicos-"))))))))))))))))))))))))))))))))</f>
        <v>https://centrodecapacitaciondelsur.com/adm-medicamentos-canalizacion-inyectologia-</v>
      </c>
      <c r="C39" s="10">
        <f>INSCRITOS!B2</f>
        <v>1087425603</v>
      </c>
      <c r="D39" t="str">
        <f>CONCATENATE(B39,C39,"/")</f>
        <v>https://centrodecapacitaciondelsur.com/adm-medicamentos-canalizacion-inyectologia-1087425603/</v>
      </c>
    </row>
    <row r="40" spans="1:8" ht="127.5" customHeight="1" x14ac:dyDescent="0.25">
      <c r="A40" s="21" t="str">
        <f>INSCRITOS!P3</f>
        <v>ADMON DE MEDICAMENTOS</v>
      </c>
      <c r="B40" s="8" t="str">
        <f t="shared" ref="B40:B103" si="0">IF(A40=$H$19,"https://centrodecapacitaciondelsur.com/o-v-e-",IF(A40=$H$2,"https://centrodecapacitaciondelsur.com/aph-",IF(A40=$H$3,"https://centrodecapacitaciondelsur.com/manejo-del-duelo-",IF(A40=$H$4,"https://centrodecapacitaciondelsur.com/victimas-por-agentes-quimicos-",IF(A40=$H$5,"https://centrodecapacitaciondelsur.com/primeros-auxilios-",IF(A40=$H$6,"https://centrodecapacitaciondelsur.com/uci-",IF(A40=$H$8,"https://centrodecapacitaciondelsur.com/humanizacion-",IF(A40=$H$11,"https://centrodecapacitaciondelsur.com/soporte-cardiovascular-avanzado-",IF(A40=$H$12,"https://centrodecapacitaciondelsur.com/camillero-",IF(A40=$H$13,"https://centrodecapacitaciondelsur.com/toma-de-muestras-y-lab-clinico-",IF(A40=$H$14,"https://centrodecapacitaciondelsur.com/soporte-basico-de-vida-",IF(A40=$H$15,"https://centrodecapacitaciondelsur.com/violencia-sexual-",IF(A40=$H$17,"https://centrodecapacitaciondelsur.com/aiepi-",IF(A40=$H$18,"https://centrodecapacitaciondelsur.com/adm-medicamentos-canalizacion-inyectologia-",IF(A40=$H$25,"https://centrodecapacitaciondelsur.com/manejo-del-dolor-y-cuidados-paliativos-",IF(A40=$H$26,"https://centrodecapacitaciondelsur.com/toma-de-muestras-y-lab-clinico-poct-",IF(A40=$H$27,"https://centrodecapacitaciondelsur.com/implante-subdermico-",IF(A40=$H$21,"https://centrodecapacitaciondelsur.com/donante-de-organos-",IF(A40=$H$30,"https://centrodecapacitaciondelsur.com/atencion-a-victimas-del-conflicto-armado-",IF(A40=$H$20,"https://centrodecapacitaciondelsur.com/iami-",IF(A40=$H$22,"https://centrodecapacitaciondelsur.com/violencia-de-genero-",IF(A40=$H$23,"https://centrodecapacitaciondelsur.com/igualdad-de-genero-",IF(A40=$H$16,"https://centrodecapacitaciondelsur.com/pai-",IF(A40=$H$31,"https://centrodecapacitaciondelsur.com/manipulacion-de-alimentos-",IF(A40=$H$32,"https://centrodecapacitaciondelsur.com/atencion-a-personas-con-discapacidad-",IF(A40=$H$33,"https://centrodecapacitaciondelsur.com/atencion-al-adulto-mayor-",IF(A40=$H$34,"https://centrodecapacitaciondelsur.com/manejo-defensivo-",IF(A40=$H$35,"https://centrodecapacitaciondelsur.com/soporte-basico-neonatal-",IF(A40=$H$36,"https://centrodecapacitaciondelsur.com/seguridad-del-paciente-",IF(A40=$H$37,"https://centrodecapacitaciondelsur.com/manejo-de-residuos-hospitalarios-",IF(A40=$H$10,"https://centrodecapacitaciondelsur.com/toma-de-citologia-",IF(A40=$H$29,"https://centrodecapacitaciondelsur.com/primeros-aux-psicologicos-"))))))))))))))))))))))))))))))))</f>
        <v>https://centrodecapacitaciondelsur.com/adm-medicamentos-canalizacion-inyectologia-</v>
      </c>
      <c r="C40" s="10">
        <f>INSCRITOS!B3</f>
        <v>1085346464</v>
      </c>
      <c r="D40" t="str">
        <f t="shared" ref="D40:D103" si="1">CONCATENATE(B40,C40,"/")</f>
        <v>https://centrodecapacitaciondelsur.com/adm-medicamentos-canalizacion-inyectologia-1085346464/</v>
      </c>
    </row>
    <row r="41" spans="1:8" ht="122.25" customHeight="1" x14ac:dyDescent="0.25">
      <c r="A41" s="21" t="str">
        <f>INSCRITOS!P4</f>
        <v>ADMON DE MEDICAMENTOS</v>
      </c>
      <c r="B41" s="8" t="str">
        <f t="shared" si="0"/>
        <v>https://centrodecapacitaciondelsur.com/adm-medicamentos-canalizacion-inyectologia-</v>
      </c>
      <c r="C41" s="10">
        <f>INSCRITOS!B4</f>
        <v>59653351</v>
      </c>
      <c r="D41" t="str">
        <f t="shared" si="1"/>
        <v>https://centrodecapacitaciondelsur.com/adm-medicamentos-canalizacion-inyectologia-59653351/</v>
      </c>
    </row>
    <row r="42" spans="1:8" ht="122.25" customHeight="1" x14ac:dyDescent="0.25">
      <c r="A42" s="21" t="str">
        <f>INSCRITOS!P5</f>
        <v>BLS</v>
      </c>
      <c r="B42" s="8" t="str">
        <f t="shared" si="0"/>
        <v>https://centrodecapacitaciondelsur.com/soporte-basico-de-vida-</v>
      </c>
      <c r="C42" s="10">
        <f>INSCRITOS!B5</f>
        <v>1085899275</v>
      </c>
      <c r="D42" t="str">
        <f t="shared" si="1"/>
        <v>https://centrodecapacitaciondelsur.com/soporte-basico-de-vida-1085899275/</v>
      </c>
    </row>
    <row r="43" spans="1:8" ht="122.25" customHeight="1" x14ac:dyDescent="0.25">
      <c r="A43" s="21" t="str">
        <f>INSCRITOS!P6</f>
        <v>BLS</v>
      </c>
      <c r="B43" s="8" t="str">
        <f t="shared" si="0"/>
        <v>https://centrodecapacitaciondelsur.com/soporte-basico-de-vida-</v>
      </c>
      <c r="C43" s="10">
        <f>INSCRITOS!B6</f>
        <v>37080147</v>
      </c>
      <c r="D43" t="str">
        <f t="shared" si="1"/>
        <v>https://centrodecapacitaciondelsur.com/soporte-basico-de-vida-37080147/</v>
      </c>
    </row>
    <row r="44" spans="1:8" ht="122.25" customHeight="1" x14ac:dyDescent="0.25">
      <c r="A44" s="21" t="str">
        <f>INSCRITOS!P7</f>
        <v>OVE</v>
      </c>
      <c r="B44" s="8" t="str">
        <f t="shared" si="0"/>
        <v>https://centrodecapacitaciondelsur.com/o-v-e-</v>
      </c>
      <c r="C44" s="10">
        <f>INSCRITOS!B7</f>
        <v>87550138</v>
      </c>
      <c r="D44" t="str">
        <f t="shared" si="1"/>
        <v>https://centrodecapacitaciondelsur.com/o-v-e-87550138/</v>
      </c>
    </row>
    <row r="45" spans="1:8" ht="122.25" customHeight="1" x14ac:dyDescent="0.25">
      <c r="A45" s="21" t="str">
        <f>INSCRITOS!P8</f>
        <v>BLS</v>
      </c>
      <c r="B45" s="8" t="str">
        <f t="shared" si="0"/>
        <v>https://centrodecapacitaciondelsur.com/soporte-basico-de-vida-</v>
      </c>
      <c r="C45" s="10">
        <f>INSCRITOS!B8</f>
        <v>1004695160</v>
      </c>
      <c r="D45" t="str">
        <f t="shared" si="1"/>
        <v>https://centrodecapacitaciondelsur.com/soporte-basico-de-vida-1004695160/</v>
      </c>
    </row>
    <row r="46" spans="1:8" ht="122.25" customHeight="1" x14ac:dyDescent="0.25">
      <c r="A46" s="21" t="str">
        <f>INSCRITOS!P9</f>
        <v>DUELO</v>
      </c>
      <c r="B46" s="8" t="str">
        <f t="shared" si="0"/>
        <v>https://centrodecapacitaciondelsur.com/manejo-del-duelo-</v>
      </c>
      <c r="C46" s="10">
        <f>INSCRITOS!B9</f>
        <v>79748529</v>
      </c>
      <c r="D46" t="str">
        <f t="shared" si="1"/>
        <v>https://centrodecapacitaciondelsur.com/manejo-del-duelo-79748529/</v>
      </c>
    </row>
    <row r="47" spans="1:8" ht="122.25" customHeight="1" x14ac:dyDescent="0.25">
      <c r="A47" s="21" t="str">
        <f>INSCRITOS!P10</f>
        <v>QUIMICOS</v>
      </c>
      <c r="B47" s="8" t="str">
        <f t="shared" si="0"/>
        <v>https://centrodecapacitaciondelsur.com/victimas-por-agentes-quimicos-</v>
      </c>
      <c r="C47" s="10">
        <f>INSCRITOS!B10</f>
        <v>79748529</v>
      </c>
      <c r="D47" t="str">
        <f t="shared" si="1"/>
        <v>https://centrodecapacitaciondelsur.com/victimas-por-agentes-quimicos-79748529/</v>
      </c>
    </row>
    <row r="48" spans="1:8" ht="122.25" customHeight="1" x14ac:dyDescent="0.25">
      <c r="A48" s="21" t="str">
        <f>INSCRITOS!P11</f>
        <v>AIEPI</v>
      </c>
      <c r="B48" s="8" t="str">
        <f t="shared" si="0"/>
        <v>https://centrodecapacitaciondelsur.com/aiepi-</v>
      </c>
      <c r="C48" s="10">
        <f>INSCRITOS!B11</f>
        <v>79748529</v>
      </c>
      <c r="D48" t="str">
        <f t="shared" si="1"/>
        <v>https://centrodecapacitaciondelsur.com/aiepi-79748529/</v>
      </c>
    </row>
    <row r="49" spans="1:4" ht="122.25" customHeight="1" x14ac:dyDescent="0.25">
      <c r="A49" s="21" t="str">
        <f>INSCRITOS!P12</f>
        <v>CONFLICTO ARMADO</v>
      </c>
      <c r="B49" s="8" t="str">
        <f t="shared" si="0"/>
        <v>https://centrodecapacitaciondelsur.com/atencion-a-victimas-del-conflicto-armado-</v>
      </c>
      <c r="C49" s="10">
        <f>INSCRITOS!B12</f>
        <v>1085345702</v>
      </c>
      <c r="D49" t="str">
        <f t="shared" si="1"/>
        <v>https://centrodecapacitaciondelsur.com/atencion-a-victimas-del-conflicto-armado-1085345702/</v>
      </c>
    </row>
    <row r="50" spans="1:4" ht="122.25" customHeight="1" x14ac:dyDescent="0.25">
      <c r="A50" s="21" t="str">
        <f>INSCRITOS!P13</f>
        <v>PALIATIVOS</v>
      </c>
      <c r="B50" s="8" t="str">
        <f t="shared" si="0"/>
        <v>https://centrodecapacitaciondelsur.com/manejo-del-dolor-y-cuidados-paliativos-</v>
      </c>
      <c r="C50" s="10">
        <f>INSCRITOS!B13</f>
        <v>1085345702</v>
      </c>
      <c r="D50" t="str">
        <f t="shared" si="1"/>
        <v>https://centrodecapacitaciondelsur.com/manejo-del-dolor-y-cuidados-paliativos-1085345702/</v>
      </c>
    </row>
    <row r="51" spans="1:4" ht="122.25" customHeight="1" x14ac:dyDescent="0.25">
      <c r="A51" s="21" t="str">
        <f>INSCRITOS!P14</f>
        <v>CITOLOGIA</v>
      </c>
      <c r="B51" s="8" t="str">
        <f t="shared" si="0"/>
        <v>https://centrodecapacitaciondelsur.com/toma-de-citologia-</v>
      </c>
      <c r="C51" s="10">
        <f>INSCRITOS!B14</f>
        <v>1087786860</v>
      </c>
      <c r="D51" t="str">
        <f t="shared" si="1"/>
        <v>https://centrodecapacitaciondelsur.com/toma-de-citologia-1087786860/</v>
      </c>
    </row>
    <row r="52" spans="1:4" ht="122.25" customHeight="1" x14ac:dyDescent="0.25">
      <c r="A52" s="21" t="str">
        <f>INSCRITOS!P15</f>
        <v>IAMI</v>
      </c>
      <c r="B52" s="8" t="str">
        <f t="shared" si="0"/>
        <v>https://centrodecapacitaciondelsur.com/iami-</v>
      </c>
      <c r="C52" s="10">
        <f>INSCRITOS!B15</f>
        <v>12752278</v>
      </c>
      <c r="D52" t="str">
        <f t="shared" si="1"/>
        <v>https://centrodecapacitaciondelsur.com/iami-12752278/</v>
      </c>
    </row>
    <row r="53" spans="1:4" ht="122.25" customHeight="1" x14ac:dyDescent="0.25">
      <c r="A53" s="21" t="str">
        <f>INSCRITOS!P16</f>
        <v>AIEPI</v>
      </c>
      <c r="B53" s="8" t="str">
        <f t="shared" si="0"/>
        <v>https://centrodecapacitaciondelsur.com/aiepi-</v>
      </c>
      <c r="C53" s="10">
        <f>INSCRITOS!B16</f>
        <v>12752278</v>
      </c>
      <c r="D53" t="str">
        <f t="shared" si="1"/>
        <v>https://centrodecapacitaciondelsur.com/aiepi-12752278/</v>
      </c>
    </row>
    <row r="54" spans="1:4" ht="122.25" customHeight="1" x14ac:dyDescent="0.25">
      <c r="A54" s="21" t="str">
        <f>INSCRITOS!P17</f>
        <v>IAMI</v>
      </c>
      <c r="B54" s="8" t="str">
        <f t="shared" si="0"/>
        <v>https://centrodecapacitaciondelsur.com/iami-</v>
      </c>
      <c r="C54" s="10">
        <f>INSCRITOS!B17</f>
        <v>1085305306</v>
      </c>
      <c r="D54" t="str">
        <f t="shared" si="1"/>
        <v>https://centrodecapacitaciondelsur.com/iami-1085305306/</v>
      </c>
    </row>
    <row r="55" spans="1:4" ht="122.25" customHeight="1" x14ac:dyDescent="0.25">
      <c r="A55" s="21" t="str">
        <f>INSCRITOS!P18</f>
        <v>AIEPI</v>
      </c>
      <c r="B55" s="8" t="str">
        <f t="shared" si="0"/>
        <v>https://centrodecapacitaciondelsur.com/aiepi-</v>
      </c>
      <c r="C55" s="10">
        <f>INSCRITOS!B18</f>
        <v>1085305306</v>
      </c>
      <c r="D55" t="str">
        <f t="shared" si="1"/>
        <v>https://centrodecapacitaciondelsur.com/aiepi-1085305306/</v>
      </c>
    </row>
    <row r="56" spans="1:4" ht="122.25" customHeight="1" x14ac:dyDescent="0.25">
      <c r="A56" s="21" t="str">
        <f>INSCRITOS!P19</f>
        <v>HUMANIZACION</v>
      </c>
      <c r="B56" s="8" t="str">
        <f t="shared" si="0"/>
        <v>https://centrodecapacitaciondelsur.com/humanizacion-</v>
      </c>
      <c r="C56" s="10">
        <f>INSCRITOS!B19</f>
        <v>1087418167</v>
      </c>
      <c r="D56" t="str">
        <f t="shared" si="1"/>
        <v>https://centrodecapacitaciondelsur.com/humanizacion-1087418167/</v>
      </c>
    </row>
    <row r="57" spans="1:4" ht="122.25" customHeight="1" x14ac:dyDescent="0.25">
      <c r="A57" s="21" t="str">
        <f>INSCRITOS!P20</f>
        <v>DUELO</v>
      </c>
      <c r="B57" s="8" t="str">
        <f t="shared" si="0"/>
        <v>https://centrodecapacitaciondelsur.com/manejo-del-duelo-</v>
      </c>
      <c r="C57" s="10">
        <f>INSCRITOS!B20</f>
        <v>1087418167</v>
      </c>
      <c r="D57" t="str">
        <f t="shared" si="1"/>
        <v>https://centrodecapacitaciondelsur.com/manejo-del-duelo-1087418167/</v>
      </c>
    </row>
    <row r="58" spans="1:4" ht="122.25" customHeight="1" x14ac:dyDescent="0.25">
      <c r="A58" s="21" t="str">
        <f>INSCRITOS!P21</f>
        <v>QUIMICOS</v>
      </c>
      <c r="B58" s="8" t="str">
        <f t="shared" si="0"/>
        <v>https://centrodecapacitaciondelsur.com/victimas-por-agentes-quimicos-</v>
      </c>
      <c r="C58" s="10">
        <f>INSCRITOS!B21</f>
        <v>1087418167</v>
      </c>
      <c r="D58" t="str">
        <f t="shared" si="1"/>
        <v>https://centrodecapacitaciondelsur.com/victimas-por-agentes-quimicos-1087418167/</v>
      </c>
    </row>
    <row r="59" spans="1:4" ht="122.25" customHeight="1" x14ac:dyDescent="0.25">
      <c r="A59" s="21" t="str">
        <f>INSCRITOS!P22</f>
        <v>VIOLENCIA SEXUAL</v>
      </c>
      <c r="B59" s="8" t="str">
        <f t="shared" si="0"/>
        <v>https://centrodecapacitaciondelsur.com/violencia-sexual-</v>
      </c>
      <c r="C59" s="10">
        <f>INSCRITOS!B22</f>
        <v>1087418167</v>
      </c>
      <c r="D59" t="str">
        <f t="shared" si="1"/>
        <v>https://centrodecapacitaciondelsur.com/violencia-sexual-1087418167/</v>
      </c>
    </row>
    <row r="60" spans="1:4" ht="122.25" customHeight="1" x14ac:dyDescent="0.25">
      <c r="A60" s="21" t="str">
        <f>INSCRITOS!P23</f>
        <v>ACLS</v>
      </c>
      <c r="B60" s="8" t="str">
        <f t="shared" si="0"/>
        <v>https://centrodecapacitaciondelsur.com/soporte-cardiovascular-avanzado-</v>
      </c>
      <c r="C60" s="10">
        <f>INSCRITOS!B23</f>
        <v>1086359492</v>
      </c>
      <c r="D60" t="str">
        <f t="shared" si="1"/>
        <v>https://centrodecapacitaciondelsur.com/soporte-cardiovascular-avanzado-1086359492/</v>
      </c>
    </row>
    <row r="61" spans="1:4" ht="122.25" customHeight="1" x14ac:dyDescent="0.25">
      <c r="A61" s="21" t="str">
        <f>INSCRITOS!P24</f>
        <v>HUMANIZACION</v>
      </c>
      <c r="B61" s="8" t="str">
        <f t="shared" si="0"/>
        <v>https://centrodecapacitaciondelsur.com/humanizacion-</v>
      </c>
      <c r="C61" s="10">
        <f>INSCRITOS!B24</f>
        <v>1086359492</v>
      </c>
      <c r="D61" t="str">
        <f t="shared" si="1"/>
        <v>https://centrodecapacitaciondelsur.com/humanizacion-1086359492/</v>
      </c>
    </row>
    <row r="62" spans="1:4" ht="122.25" customHeight="1" x14ac:dyDescent="0.25">
      <c r="A62" s="21" t="str">
        <f>INSCRITOS!P25</f>
        <v>QUIMICOS</v>
      </c>
      <c r="B62" s="8" t="str">
        <f t="shared" si="0"/>
        <v>https://centrodecapacitaciondelsur.com/victimas-por-agentes-quimicos-</v>
      </c>
      <c r="C62" s="10">
        <f>INSCRITOS!B25</f>
        <v>1086359492</v>
      </c>
      <c r="D62" t="str">
        <f t="shared" si="1"/>
        <v>https://centrodecapacitaciondelsur.com/victimas-por-agentes-quimicos-1086359492/</v>
      </c>
    </row>
    <row r="63" spans="1:4" ht="122.25" customHeight="1" x14ac:dyDescent="0.25">
      <c r="A63" s="21" t="str">
        <f>INSCRITOS!P26</f>
        <v>ADMON DE MEDICAMENTOS</v>
      </c>
      <c r="B63" s="8" t="str">
        <f t="shared" si="0"/>
        <v>https://centrodecapacitaciondelsur.com/adm-medicamentos-canalizacion-inyectologia-</v>
      </c>
      <c r="C63" s="10">
        <f>INSCRITOS!B26</f>
        <v>1094279414</v>
      </c>
      <c r="D63" t="str">
        <f t="shared" si="1"/>
        <v>https://centrodecapacitaciondelsur.com/adm-medicamentos-canalizacion-inyectologia-1094279414/</v>
      </c>
    </row>
    <row r="64" spans="1:4" ht="122.25" customHeight="1" x14ac:dyDescent="0.25">
      <c r="A64" s="21" t="str">
        <f>INSCRITOS!P27</f>
        <v>ADMON DE MEDICAMENTOS</v>
      </c>
      <c r="B64" s="8" t="str">
        <f t="shared" si="0"/>
        <v>https://centrodecapacitaciondelsur.com/adm-medicamentos-canalizacion-inyectologia-</v>
      </c>
      <c r="C64" s="10">
        <f>INSCRITOS!B27</f>
        <v>1106772307</v>
      </c>
      <c r="D64" t="str">
        <f t="shared" si="1"/>
        <v>https://centrodecapacitaciondelsur.com/adm-medicamentos-canalizacion-inyectologia-1106772307/</v>
      </c>
    </row>
    <row r="65" spans="1:4" ht="122.25" customHeight="1" x14ac:dyDescent="0.25">
      <c r="A65" s="21" t="str">
        <f>INSCRITOS!P28</f>
        <v>ADMON DE MEDICAMENTOS</v>
      </c>
      <c r="B65" s="8" t="str">
        <f t="shared" si="0"/>
        <v>https://centrodecapacitaciondelsur.com/adm-medicamentos-canalizacion-inyectologia-</v>
      </c>
      <c r="C65" s="10">
        <f>INSCRITOS!B28</f>
        <v>1083752320</v>
      </c>
      <c r="D65" t="str">
        <f t="shared" si="1"/>
        <v>https://centrodecapacitaciondelsur.com/adm-medicamentos-canalizacion-inyectologia-1083752320/</v>
      </c>
    </row>
    <row r="66" spans="1:4" ht="122.25" customHeight="1" x14ac:dyDescent="0.25">
      <c r="A66" s="21" t="str">
        <f>INSCRITOS!P29</f>
        <v>BLS</v>
      </c>
      <c r="B66" s="8" t="str">
        <f t="shared" si="0"/>
        <v>https://centrodecapacitaciondelsur.com/soporte-basico-de-vida-</v>
      </c>
      <c r="C66" s="10">
        <f>INSCRITOS!B29</f>
        <v>1087419788</v>
      </c>
      <c r="D66" t="str">
        <f t="shared" si="1"/>
        <v>https://centrodecapacitaciondelsur.com/soporte-basico-de-vida-1087419788/</v>
      </c>
    </row>
    <row r="67" spans="1:4" ht="122.25" customHeight="1" x14ac:dyDescent="0.25">
      <c r="A67" s="21" t="str">
        <f>INSCRITOS!P30</f>
        <v>HUMANIZACION</v>
      </c>
      <c r="B67" s="8" t="str">
        <f t="shared" si="0"/>
        <v>https://centrodecapacitaciondelsur.com/humanizacion-</v>
      </c>
      <c r="C67" s="10">
        <f>INSCRITOS!B30</f>
        <v>1087419788</v>
      </c>
      <c r="D67" t="str">
        <f t="shared" si="1"/>
        <v>https://centrodecapacitaciondelsur.com/humanizacion-1087419788/</v>
      </c>
    </row>
    <row r="68" spans="1:4" ht="122.25" customHeight="1" x14ac:dyDescent="0.25">
      <c r="A68" s="21" t="str">
        <f>INSCRITOS!P31</f>
        <v>VIOLENCIA SEXUAL</v>
      </c>
      <c r="B68" s="8" t="str">
        <f t="shared" si="0"/>
        <v>https://centrodecapacitaciondelsur.com/violencia-sexual-</v>
      </c>
      <c r="C68" s="10">
        <f>INSCRITOS!B31</f>
        <v>1087419788</v>
      </c>
      <c r="D68" t="str">
        <f t="shared" si="1"/>
        <v>https://centrodecapacitaciondelsur.com/violencia-sexual-1087419788/</v>
      </c>
    </row>
    <row r="69" spans="1:4" ht="122.25" customHeight="1" x14ac:dyDescent="0.25">
      <c r="A69" s="21" t="str">
        <f>INSCRITOS!P32</f>
        <v>PACIENTE</v>
      </c>
      <c r="B69" s="8" t="str">
        <f t="shared" si="0"/>
        <v>https://centrodecapacitaciondelsur.com/seguridad-del-paciente-</v>
      </c>
      <c r="C69" s="10">
        <f>INSCRITOS!B32</f>
        <v>1087419788</v>
      </c>
      <c r="D69" t="str">
        <f t="shared" si="1"/>
        <v>https://centrodecapacitaciondelsur.com/seguridad-del-paciente-1087419788/</v>
      </c>
    </row>
    <row r="70" spans="1:4" ht="122.25" customHeight="1" x14ac:dyDescent="0.25">
      <c r="A70" s="21" t="str">
        <f>INSCRITOS!P33</f>
        <v>ACLS</v>
      </c>
      <c r="B70" s="8" t="str">
        <f t="shared" si="0"/>
        <v>https://centrodecapacitaciondelsur.com/soporte-cardiovascular-avanzado-</v>
      </c>
      <c r="C70" s="10">
        <f>INSCRITOS!B33</f>
        <v>1082839318</v>
      </c>
      <c r="D70" t="str">
        <f t="shared" si="1"/>
        <v>https://centrodecapacitaciondelsur.com/soporte-cardiovascular-avanzado-1082839318/</v>
      </c>
    </row>
    <row r="71" spans="1:4" ht="122.25" customHeight="1" x14ac:dyDescent="0.25">
      <c r="A71" s="21" t="str">
        <f>INSCRITOS!P34</f>
        <v>QUIMICOS</v>
      </c>
      <c r="B71" s="8" t="str">
        <f t="shared" si="0"/>
        <v>https://centrodecapacitaciondelsur.com/victimas-por-agentes-quimicos-</v>
      </c>
      <c r="C71" s="10">
        <f>INSCRITOS!B34</f>
        <v>1082839318</v>
      </c>
      <c r="D71" t="str">
        <f t="shared" si="1"/>
        <v>https://centrodecapacitaciondelsur.com/victimas-por-agentes-quimicos-1082839318/</v>
      </c>
    </row>
    <row r="72" spans="1:4" ht="122.25" customHeight="1" x14ac:dyDescent="0.25">
      <c r="A72" s="21" t="str">
        <f>INSCRITOS!P35</f>
        <v>DUELO</v>
      </c>
      <c r="B72" s="8" t="str">
        <f t="shared" si="0"/>
        <v>https://centrodecapacitaciondelsur.com/manejo-del-duelo-</v>
      </c>
      <c r="C72" s="10">
        <f>INSCRITOS!B35</f>
        <v>1082839318</v>
      </c>
      <c r="D72" t="str">
        <f t="shared" si="1"/>
        <v>https://centrodecapacitaciondelsur.com/manejo-del-duelo-1082839318/</v>
      </c>
    </row>
    <row r="73" spans="1:4" ht="122.25" customHeight="1" x14ac:dyDescent="0.25">
      <c r="A73" s="21" t="str">
        <f>INSCRITOS!P36</f>
        <v>BLS</v>
      </c>
      <c r="B73" s="8" t="str">
        <f t="shared" si="0"/>
        <v>https://centrodecapacitaciondelsur.com/soporte-basico-de-vida-</v>
      </c>
      <c r="C73" s="10">
        <f>INSCRITOS!B36</f>
        <v>1081572038</v>
      </c>
      <c r="D73" t="str">
        <f t="shared" si="1"/>
        <v>https://centrodecapacitaciondelsur.com/soporte-basico-de-vida-1081572038/</v>
      </c>
    </row>
    <row r="74" spans="1:4" ht="122.25" customHeight="1" x14ac:dyDescent="0.25">
      <c r="A74" s="21" t="str">
        <f>INSCRITOS!P37</f>
        <v>QUIMICOS</v>
      </c>
      <c r="B74" s="8" t="str">
        <f t="shared" si="0"/>
        <v>https://centrodecapacitaciondelsur.com/victimas-por-agentes-quimicos-</v>
      </c>
      <c r="C74" s="10">
        <f>INSCRITOS!B37</f>
        <v>1081572038</v>
      </c>
      <c r="D74" t="str">
        <f t="shared" si="1"/>
        <v>https://centrodecapacitaciondelsur.com/victimas-por-agentes-quimicos-1081572038/</v>
      </c>
    </row>
    <row r="75" spans="1:4" ht="122.25" customHeight="1" x14ac:dyDescent="0.25">
      <c r="A75" s="21" t="str">
        <f>INSCRITOS!P38</f>
        <v>VIOLENCIA SEXUAL</v>
      </c>
      <c r="B75" s="8" t="str">
        <f t="shared" si="0"/>
        <v>https://centrodecapacitaciondelsur.com/violencia-sexual-</v>
      </c>
      <c r="C75" s="10">
        <f>INSCRITOS!B38</f>
        <v>1081572038</v>
      </c>
      <c r="D75" t="str">
        <f t="shared" si="1"/>
        <v>https://centrodecapacitaciondelsur.com/violencia-sexual-1081572038/</v>
      </c>
    </row>
    <row r="76" spans="1:4" ht="122.25" customHeight="1" x14ac:dyDescent="0.25">
      <c r="A76" s="21" t="str">
        <f>INSCRITOS!P39</f>
        <v>DUELO</v>
      </c>
      <c r="B76" s="8" t="str">
        <f t="shared" si="0"/>
        <v>https://centrodecapacitaciondelsur.com/manejo-del-duelo-</v>
      </c>
      <c r="C76" s="10">
        <f>INSCRITOS!B39</f>
        <v>1081572038</v>
      </c>
      <c r="D76" t="str">
        <f t="shared" si="1"/>
        <v>https://centrodecapacitaciondelsur.com/manejo-del-duelo-1081572038/</v>
      </c>
    </row>
    <row r="77" spans="1:4" ht="122.25" customHeight="1" x14ac:dyDescent="0.25">
      <c r="A77" s="21" t="str">
        <f>INSCRITOS!P40</f>
        <v>HUMANIZACION</v>
      </c>
      <c r="B77" s="8" t="str">
        <f t="shared" si="0"/>
        <v>https://centrodecapacitaciondelsur.com/humanizacion-</v>
      </c>
      <c r="C77" s="10">
        <f>INSCRITOS!B40</f>
        <v>1081572038</v>
      </c>
      <c r="D77" t="str">
        <f t="shared" si="1"/>
        <v>https://centrodecapacitaciondelsur.com/humanizacion-1081572038/</v>
      </c>
    </row>
    <row r="78" spans="1:4" ht="122.25" customHeight="1" x14ac:dyDescent="0.25">
      <c r="A78" s="21" t="str">
        <f>INSCRITOS!P41</f>
        <v>PALIATIVOS</v>
      </c>
      <c r="B78" s="8" t="str">
        <f t="shared" si="0"/>
        <v>https://centrodecapacitaciondelsur.com/manejo-del-dolor-y-cuidados-paliativos-</v>
      </c>
      <c r="C78" s="10">
        <f>INSCRITOS!B41</f>
        <v>1081572038</v>
      </c>
      <c r="D78" t="str">
        <f t="shared" si="1"/>
        <v>https://centrodecapacitaciondelsur.com/manejo-del-dolor-y-cuidados-paliativos-1081572038/</v>
      </c>
    </row>
    <row r="79" spans="1:4" ht="122.25" customHeight="1" x14ac:dyDescent="0.25">
      <c r="A79" s="21" t="str">
        <f>INSCRITOS!P42</f>
        <v>UCI</v>
      </c>
      <c r="B79" s="8" t="str">
        <f t="shared" si="0"/>
        <v>https://centrodecapacitaciondelsur.com/uci-</v>
      </c>
      <c r="C79" s="10">
        <f>INSCRITOS!B42</f>
        <v>37085908</v>
      </c>
      <c r="D79" t="str">
        <f t="shared" si="1"/>
        <v>https://centrodecapacitaciondelsur.com/uci-37085908/</v>
      </c>
    </row>
    <row r="80" spans="1:4" ht="122.25" customHeight="1" x14ac:dyDescent="0.25">
      <c r="A80" s="21" t="str">
        <f>INSCRITOS!P43</f>
        <v>HUMANIZACION</v>
      </c>
      <c r="B80" s="8" t="str">
        <f t="shared" si="0"/>
        <v>https://centrodecapacitaciondelsur.com/humanizacion-</v>
      </c>
      <c r="C80" s="10">
        <f>INSCRITOS!B43</f>
        <v>37085908</v>
      </c>
      <c r="D80" t="str">
        <f t="shared" si="1"/>
        <v>https://centrodecapacitaciondelsur.com/humanizacion-37085908/</v>
      </c>
    </row>
    <row r="81" spans="1:4" ht="122.25" customHeight="1" x14ac:dyDescent="0.25">
      <c r="A81" s="21" t="str">
        <f>INSCRITOS!P44</f>
        <v>QUIMICOS</v>
      </c>
      <c r="B81" s="8" t="str">
        <f t="shared" si="0"/>
        <v>https://centrodecapacitaciondelsur.com/victimas-por-agentes-quimicos-</v>
      </c>
      <c r="C81" s="10">
        <f>INSCRITOS!B44</f>
        <v>37085908</v>
      </c>
      <c r="D81" t="str">
        <f t="shared" si="1"/>
        <v>https://centrodecapacitaciondelsur.com/victimas-por-agentes-quimicos-37085908/</v>
      </c>
    </row>
    <row r="82" spans="1:4" ht="122.25" customHeight="1" x14ac:dyDescent="0.25">
      <c r="A82" s="21" t="str">
        <f>INSCRITOS!P45</f>
        <v>VIOLENCIA SEXUAL</v>
      </c>
      <c r="B82" s="8" t="str">
        <f t="shared" si="0"/>
        <v>https://centrodecapacitaciondelsur.com/violencia-sexual-</v>
      </c>
      <c r="C82" s="10">
        <f>INSCRITOS!B45</f>
        <v>13071477</v>
      </c>
      <c r="D82" t="str">
        <f t="shared" si="1"/>
        <v>https://centrodecapacitaciondelsur.com/violencia-sexual-13071477/</v>
      </c>
    </row>
    <row r="83" spans="1:4" ht="122.25" customHeight="1" x14ac:dyDescent="0.25">
      <c r="A83" s="21" t="str">
        <f>INSCRITOS!P46</f>
        <v>QUIMICOS</v>
      </c>
      <c r="B83" s="8" t="str">
        <f t="shared" si="0"/>
        <v>https://centrodecapacitaciondelsur.com/victimas-por-agentes-quimicos-</v>
      </c>
      <c r="C83" s="10">
        <f>INSCRITOS!B46</f>
        <v>13071477</v>
      </c>
      <c r="D83" t="str">
        <f t="shared" si="1"/>
        <v>https://centrodecapacitaciondelsur.com/victimas-por-agentes-quimicos-13071477/</v>
      </c>
    </row>
    <row r="84" spans="1:4" ht="122.25" customHeight="1" x14ac:dyDescent="0.25">
      <c r="A84" s="21" t="str">
        <f>INSCRITOS!P47</f>
        <v>DUELO</v>
      </c>
      <c r="B84" s="8" t="str">
        <f t="shared" si="0"/>
        <v>https://centrodecapacitaciondelsur.com/manejo-del-duelo-</v>
      </c>
      <c r="C84" s="10">
        <f>INSCRITOS!B47</f>
        <v>13071477</v>
      </c>
      <c r="D84" t="str">
        <f t="shared" si="1"/>
        <v>https://centrodecapacitaciondelsur.com/manejo-del-duelo-13071477/</v>
      </c>
    </row>
    <row r="85" spans="1:4" ht="122.25" customHeight="1" x14ac:dyDescent="0.25">
      <c r="A85" s="21" t="str">
        <f>INSCRITOS!P48</f>
        <v>PRIMEROS AUXILIOS</v>
      </c>
      <c r="B85" s="8" t="str">
        <f t="shared" si="0"/>
        <v>https://centrodecapacitaciondelsur.com/primeros-auxilios-</v>
      </c>
      <c r="C85" s="10">
        <f>INSCRITOS!B48</f>
        <v>1088651573</v>
      </c>
      <c r="D85" t="str">
        <f t="shared" si="1"/>
        <v>https://centrodecapacitaciondelsur.com/primeros-auxilios-1088651573/</v>
      </c>
    </row>
    <row r="86" spans="1:4" ht="122.25" customHeight="1" x14ac:dyDescent="0.25">
      <c r="A86" s="21" t="str">
        <f>INSCRITOS!P49</f>
        <v>OVE</v>
      </c>
      <c r="B86" s="8" t="str">
        <f t="shared" si="0"/>
        <v>https://centrodecapacitaciondelsur.com/o-v-e-</v>
      </c>
      <c r="C86" s="10">
        <f>INSCRITOS!B49</f>
        <v>1088651573</v>
      </c>
      <c r="D86" t="str">
        <f t="shared" si="1"/>
        <v>https://centrodecapacitaciondelsur.com/o-v-e-1088651573/</v>
      </c>
    </row>
    <row r="87" spans="1:4" ht="122.25" customHeight="1" x14ac:dyDescent="0.25">
      <c r="A87" s="21" t="str">
        <f>INSCRITOS!P50</f>
        <v>MANEJO DEFENSIVO</v>
      </c>
      <c r="B87" s="8" t="str">
        <f t="shared" si="0"/>
        <v>https://centrodecapacitaciondelsur.com/manejo-defensivo-</v>
      </c>
      <c r="C87" s="10">
        <f>INSCRITOS!B50</f>
        <v>1088651573</v>
      </c>
      <c r="D87" t="str">
        <f t="shared" si="1"/>
        <v>https://centrodecapacitaciondelsur.com/manejo-defensivo-1088651573/</v>
      </c>
    </row>
    <row r="88" spans="1:4" ht="122.25" customHeight="1" x14ac:dyDescent="0.25">
      <c r="A88" s="21" t="str">
        <f>INSCRITOS!P51</f>
        <v>DUELO</v>
      </c>
      <c r="B88" s="8" t="str">
        <f t="shared" si="0"/>
        <v>https://centrodecapacitaciondelsur.com/manejo-del-duelo-</v>
      </c>
      <c r="C88" s="10">
        <f>INSCRITOS!B51</f>
        <v>52702928</v>
      </c>
      <c r="D88" t="str">
        <f t="shared" si="1"/>
        <v>https://centrodecapacitaciondelsur.com/manejo-del-duelo-52702928/</v>
      </c>
    </row>
    <row r="89" spans="1:4" ht="122.25" customHeight="1" x14ac:dyDescent="0.25">
      <c r="A89" s="21" t="str">
        <f>INSCRITOS!P52</f>
        <v>QUIMICOS</v>
      </c>
      <c r="B89" s="8" t="str">
        <f t="shared" si="0"/>
        <v>https://centrodecapacitaciondelsur.com/victimas-por-agentes-quimicos-</v>
      </c>
      <c r="C89" s="10">
        <f>INSCRITOS!B52</f>
        <v>52702928</v>
      </c>
      <c r="D89" t="str">
        <f t="shared" si="1"/>
        <v>https://centrodecapacitaciondelsur.com/victimas-por-agentes-quimicos-52702928/</v>
      </c>
    </row>
    <row r="90" spans="1:4" ht="122.25" customHeight="1" x14ac:dyDescent="0.25">
      <c r="A90" s="21" t="str">
        <f>INSCRITOS!P53</f>
        <v>HUMANIZACION</v>
      </c>
      <c r="B90" s="8" t="str">
        <f t="shared" si="0"/>
        <v>https://centrodecapacitaciondelsur.com/humanizacion-</v>
      </c>
      <c r="C90" s="10">
        <f>INSCRITOS!B53</f>
        <v>52702928</v>
      </c>
      <c r="D90" t="str">
        <f t="shared" si="1"/>
        <v>https://centrodecapacitaciondelsur.com/humanizacion-52702928/</v>
      </c>
    </row>
    <row r="91" spans="1:4" ht="122.25" customHeight="1" x14ac:dyDescent="0.25">
      <c r="A91" s="21" t="str">
        <f>INSCRITOS!P54</f>
        <v>ACLS</v>
      </c>
      <c r="B91" s="8" t="str">
        <f t="shared" si="0"/>
        <v>https://centrodecapacitaciondelsur.com/soporte-cardiovascular-avanzado-</v>
      </c>
      <c r="C91" s="10">
        <f>INSCRITOS!B54</f>
        <v>1085300299</v>
      </c>
      <c r="D91" t="str">
        <f t="shared" si="1"/>
        <v>https://centrodecapacitaciondelsur.com/soporte-cardiovascular-avanzado-1085300299/</v>
      </c>
    </row>
    <row r="92" spans="1:4" ht="122.25" customHeight="1" x14ac:dyDescent="0.25">
      <c r="A92" s="21" t="str">
        <f>INSCRITOS!P55</f>
        <v>DUELO</v>
      </c>
      <c r="B92" s="8" t="str">
        <f t="shared" si="0"/>
        <v>https://centrodecapacitaciondelsur.com/manejo-del-duelo-</v>
      </c>
      <c r="C92" s="10">
        <f>INSCRITOS!B55</f>
        <v>1085300299</v>
      </c>
      <c r="D92" t="str">
        <f t="shared" si="1"/>
        <v>https://centrodecapacitaciondelsur.com/manejo-del-duelo-1085300299/</v>
      </c>
    </row>
    <row r="93" spans="1:4" ht="122.25" customHeight="1" x14ac:dyDescent="0.25">
      <c r="A93" s="21" t="str">
        <f>INSCRITOS!P56</f>
        <v>PALIATIVOS</v>
      </c>
      <c r="B93" s="8" t="str">
        <f t="shared" si="0"/>
        <v>https://centrodecapacitaciondelsur.com/manejo-del-dolor-y-cuidados-paliativos-</v>
      </c>
      <c r="C93" s="10">
        <f>INSCRITOS!B56</f>
        <v>1085300299</v>
      </c>
      <c r="D93" t="str">
        <f t="shared" si="1"/>
        <v>https://centrodecapacitaciondelsur.com/manejo-del-dolor-y-cuidados-paliativos-1085300299/</v>
      </c>
    </row>
    <row r="94" spans="1:4" ht="122.25" customHeight="1" x14ac:dyDescent="0.25">
      <c r="A94" s="21" t="str">
        <f>INSCRITOS!P57</f>
        <v>ACLS</v>
      </c>
      <c r="B94" s="8" t="str">
        <f t="shared" si="0"/>
        <v>https://centrodecapacitaciondelsur.com/soporte-cardiovascular-avanzado-</v>
      </c>
      <c r="C94" s="10">
        <f>INSCRITOS!B57</f>
        <v>1085333921</v>
      </c>
      <c r="D94" t="str">
        <f t="shared" si="1"/>
        <v>https://centrodecapacitaciondelsur.com/soporte-cardiovascular-avanzado-1085333921/</v>
      </c>
    </row>
    <row r="95" spans="1:4" ht="122.25" customHeight="1" x14ac:dyDescent="0.25">
      <c r="A95" s="21" t="str">
        <f>INSCRITOS!P58</f>
        <v>BLS</v>
      </c>
      <c r="B95" s="8" t="str">
        <f t="shared" si="0"/>
        <v>https://centrodecapacitaciondelsur.com/soporte-basico-de-vida-</v>
      </c>
      <c r="C95" s="10">
        <f>INSCRITOS!B58</f>
        <v>1085333921</v>
      </c>
      <c r="D95" t="str">
        <f t="shared" si="1"/>
        <v>https://centrodecapacitaciondelsur.com/soporte-basico-de-vida-1085333921/</v>
      </c>
    </row>
    <row r="96" spans="1:4" ht="122.25" customHeight="1" x14ac:dyDescent="0.25">
      <c r="A96" s="21" t="str">
        <f>INSCRITOS!P59</f>
        <v>QUIMICOS</v>
      </c>
      <c r="B96" s="8" t="str">
        <f t="shared" si="0"/>
        <v>https://centrodecapacitaciondelsur.com/victimas-por-agentes-quimicos-</v>
      </c>
      <c r="C96" s="10">
        <f>INSCRITOS!B59</f>
        <v>1085333921</v>
      </c>
      <c r="D96" t="str">
        <f t="shared" si="1"/>
        <v>https://centrodecapacitaciondelsur.com/victimas-por-agentes-quimicos-1085333921/</v>
      </c>
    </row>
    <row r="97" spans="1:4" ht="122.25" customHeight="1" x14ac:dyDescent="0.25">
      <c r="A97" s="21" t="str">
        <f>INSCRITOS!P60</f>
        <v>VIOLENCIA SEXUAL</v>
      </c>
      <c r="B97" s="8" t="str">
        <f t="shared" si="0"/>
        <v>https://centrodecapacitaciondelsur.com/violencia-sexual-</v>
      </c>
      <c r="C97" s="10">
        <f>INSCRITOS!B60</f>
        <v>1085333921</v>
      </c>
      <c r="D97" t="str">
        <f t="shared" si="1"/>
        <v>https://centrodecapacitaciondelsur.com/violencia-sexual-1085333921/</v>
      </c>
    </row>
    <row r="98" spans="1:4" ht="122.25" customHeight="1" x14ac:dyDescent="0.25">
      <c r="A98" s="21" t="str">
        <f>INSCRITOS!P61</f>
        <v>DONANTE</v>
      </c>
      <c r="B98" s="8" t="str">
        <f t="shared" si="0"/>
        <v>https://centrodecapacitaciondelsur.com/donante-de-organos-</v>
      </c>
      <c r="C98" s="10">
        <f>INSCRITOS!B61</f>
        <v>1085333921</v>
      </c>
      <c r="D98" t="str">
        <f t="shared" si="1"/>
        <v>https://centrodecapacitaciondelsur.com/donante-de-organos-1085333921/</v>
      </c>
    </row>
    <row r="99" spans="1:4" ht="122.25" customHeight="1" x14ac:dyDescent="0.25">
      <c r="A99" s="21" t="str">
        <f>INSCRITOS!P62</f>
        <v>BLS</v>
      </c>
      <c r="B99" s="8" t="str">
        <f t="shared" si="0"/>
        <v>https://centrodecapacitaciondelsur.com/soporte-basico-de-vida-</v>
      </c>
      <c r="C99" s="10">
        <f>INSCRITOS!B62</f>
        <v>36752859</v>
      </c>
      <c r="D99" t="str">
        <f t="shared" si="1"/>
        <v>https://centrodecapacitaciondelsur.com/soporte-basico-de-vida-36752859/</v>
      </c>
    </row>
    <row r="100" spans="1:4" ht="122.25" customHeight="1" x14ac:dyDescent="0.25">
      <c r="A100" s="21" t="str">
        <f>INSCRITOS!P63</f>
        <v>VIOLENCIA SEXUAL</v>
      </c>
      <c r="B100" s="8" t="str">
        <f t="shared" si="0"/>
        <v>https://centrodecapacitaciondelsur.com/violencia-sexual-</v>
      </c>
      <c r="C100" s="10">
        <f>INSCRITOS!B63</f>
        <v>36752859</v>
      </c>
      <c r="D100" t="str">
        <f t="shared" si="1"/>
        <v>https://centrodecapacitaciondelsur.com/violencia-sexual-36752859/</v>
      </c>
    </row>
    <row r="101" spans="1:4" ht="122.25" customHeight="1" x14ac:dyDescent="0.25">
      <c r="A101" s="21" t="str">
        <f>INSCRITOS!P64</f>
        <v>DUELO</v>
      </c>
      <c r="B101" s="8" t="str">
        <f t="shared" si="0"/>
        <v>https://centrodecapacitaciondelsur.com/manejo-del-duelo-</v>
      </c>
      <c r="C101" s="10">
        <f>INSCRITOS!B64</f>
        <v>36752859</v>
      </c>
      <c r="D101" t="str">
        <f t="shared" si="1"/>
        <v>https://centrodecapacitaciondelsur.com/manejo-del-duelo-36752859/</v>
      </c>
    </row>
    <row r="102" spans="1:4" ht="122.25" customHeight="1" x14ac:dyDescent="0.25">
      <c r="A102" s="21" t="str">
        <f>INSCRITOS!P65</f>
        <v>QUIMICOS</v>
      </c>
      <c r="B102" s="8" t="str">
        <f t="shared" si="0"/>
        <v>https://centrodecapacitaciondelsur.com/victimas-por-agentes-quimicos-</v>
      </c>
      <c r="C102" s="10">
        <f>INSCRITOS!B65</f>
        <v>36752859</v>
      </c>
      <c r="D102" t="str">
        <f t="shared" si="1"/>
        <v>https://centrodecapacitaciondelsur.com/victimas-por-agentes-quimicos-36752859/</v>
      </c>
    </row>
    <row r="103" spans="1:4" ht="122.25" customHeight="1" x14ac:dyDescent="0.25">
      <c r="A103" s="21" t="str">
        <f>INSCRITOS!P66</f>
        <v>DUELO</v>
      </c>
      <c r="B103" s="8" t="str">
        <f t="shared" si="0"/>
        <v>https://centrodecapacitaciondelsur.com/manejo-del-duelo-</v>
      </c>
      <c r="C103" s="10">
        <f>INSCRITOS!B66</f>
        <v>1193384276</v>
      </c>
      <c r="D103" t="str">
        <f t="shared" si="1"/>
        <v>https://centrodecapacitaciondelsur.com/manejo-del-duelo-1193384276/</v>
      </c>
    </row>
    <row r="104" spans="1:4" ht="122.25" customHeight="1" x14ac:dyDescent="0.25">
      <c r="A104" s="21" t="str">
        <f>INSCRITOS!P67</f>
        <v>BLS</v>
      </c>
      <c r="B104" s="8" t="str">
        <f t="shared" ref="B104:B167" si="2">IF(A104=$H$19,"https://centrodecapacitaciondelsur.com/o-v-e-",IF(A104=$H$2,"https://centrodecapacitaciondelsur.com/aph-",IF(A104=$H$3,"https://centrodecapacitaciondelsur.com/manejo-del-duelo-",IF(A104=$H$4,"https://centrodecapacitaciondelsur.com/victimas-por-agentes-quimicos-",IF(A104=$H$5,"https://centrodecapacitaciondelsur.com/primeros-auxilios-",IF(A104=$H$6,"https://centrodecapacitaciondelsur.com/uci-",IF(A104=$H$8,"https://centrodecapacitaciondelsur.com/humanizacion-",IF(A104=$H$11,"https://centrodecapacitaciondelsur.com/soporte-cardiovascular-avanzado-",IF(A104=$H$12,"https://centrodecapacitaciondelsur.com/camillero-",IF(A104=$H$13,"https://centrodecapacitaciondelsur.com/toma-de-muestras-y-lab-clinico-",IF(A104=$H$14,"https://centrodecapacitaciondelsur.com/soporte-basico-de-vida-",IF(A104=$H$15,"https://centrodecapacitaciondelsur.com/violencia-sexual-",IF(A104=$H$17,"https://centrodecapacitaciondelsur.com/aiepi-",IF(A104=$H$18,"https://centrodecapacitaciondelsur.com/adm-medicamentos-canalizacion-inyectologia-",IF(A104=$H$25,"https://centrodecapacitaciondelsur.com/manejo-del-dolor-y-cuidados-paliativos-",IF(A104=$H$26,"https://centrodecapacitaciondelsur.com/toma-de-muestras-y-lab-clinico-poct-",IF(A104=$H$27,"https://centrodecapacitaciondelsur.com/implante-subdermico-",IF(A104=$H$21,"https://centrodecapacitaciondelsur.com/donante-de-organos-",IF(A104=$H$30,"https://centrodecapacitaciondelsur.com/atencion-a-victimas-del-conflicto-armado-",IF(A104=$H$20,"https://centrodecapacitaciondelsur.com/iami-",IF(A104=$H$22,"https://centrodecapacitaciondelsur.com/violencia-de-genero-",IF(A104=$H$23,"https://centrodecapacitaciondelsur.com/igualdad-de-genero-",IF(A104=$H$16,"https://centrodecapacitaciondelsur.com/pai-",IF(A104=$H$31,"https://centrodecapacitaciondelsur.com/manipulacion-de-alimentos-",IF(A104=$H$32,"https://centrodecapacitaciondelsur.com/atencion-a-personas-con-discapacidad-",IF(A104=$H$33,"https://centrodecapacitaciondelsur.com/atencion-al-adulto-mayor-",IF(A104=$H$34,"https://centrodecapacitaciondelsur.com/manejo-defensivo-",IF(A104=$H$35,"https://centrodecapacitaciondelsur.com/soporte-basico-neonatal-",IF(A104=$H$36,"https://centrodecapacitaciondelsur.com/seguridad-del-paciente-",IF(A104=$H$37,"https://centrodecapacitaciondelsur.com/manejo-de-residuos-hospitalarios-",IF(A104=$H$10,"https://centrodecapacitaciondelsur.com/toma-de-citologia-",IF(A104=$H$29,"https://centrodecapacitaciondelsur.com/primeros-aux-psicologicos-"))))))))))))))))))))))))))))))))</f>
        <v>https://centrodecapacitaciondelsur.com/soporte-basico-de-vida-</v>
      </c>
      <c r="C104" s="10">
        <f>INSCRITOS!B67</f>
        <v>1233191741</v>
      </c>
      <c r="D104" t="str">
        <f>CONCATENATE(B104,C104,"/")</f>
        <v>https://centrodecapacitaciondelsur.com/soporte-basico-de-vida-1233191741/</v>
      </c>
    </row>
    <row r="105" spans="1:4" ht="122.25" customHeight="1" x14ac:dyDescent="0.25">
      <c r="A105" s="21" t="str">
        <f>INSCRITOS!P68</f>
        <v>VIOLENCIA SEXUAL</v>
      </c>
      <c r="B105" s="8" t="str">
        <f t="shared" si="2"/>
        <v>https://centrodecapacitaciondelsur.com/violencia-sexual-</v>
      </c>
      <c r="C105" s="10">
        <f>INSCRITOS!B68</f>
        <v>1087421530</v>
      </c>
      <c r="D105" t="str">
        <f t="shared" ref="D105:D167" si="3">CONCATENATE(B105,C105,"/")</f>
        <v>https://centrodecapacitaciondelsur.com/violencia-sexual-1087421530/</v>
      </c>
    </row>
    <row r="106" spans="1:4" ht="122.25" customHeight="1" x14ac:dyDescent="0.25">
      <c r="A106" s="21" t="str">
        <f>INSCRITOS!P69</f>
        <v>DUELO</v>
      </c>
      <c r="B106" s="8" t="str">
        <f t="shared" si="2"/>
        <v>https://centrodecapacitaciondelsur.com/manejo-del-duelo-</v>
      </c>
      <c r="C106" s="10">
        <f>INSCRITOS!B69</f>
        <v>1087421530</v>
      </c>
      <c r="D106" t="str">
        <f t="shared" si="3"/>
        <v>https://centrodecapacitaciondelsur.com/manejo-del-duelo-1087421530/</v>
      </c>
    </row>
    <row r="107" spans="1:4" ht="122.25" customHeight="1" x14ac:dyDescent="0.25">
      <c r="A107" s="21" t="str">
        <f>INSCRITOS!P70</f>
        <v>SALUD MENTAL</v>
      </c>
      <c r="B107" s="8" t="s">
        <v>277</v>
      </c>
      <c r="C107" s="10">
        <f>INSCRITOS!B70</f>
        <v>1087421530</v>
      </c>
      <c r="D107" t="str">
        <f t="shared" si="3"/>
        <v>https://centrodecapacitaciondelsur.com/salus-mental-1087421530/</v>
      </c>
    </row>
    <row r="108" spans="1:4" ht="122.25" customHeight="1" x14ac:dyDescent="0.25">
      <c r="A108" s="21" t="str">
        <f>INSCRITOS!P71</f>
        <v>SUSTANCIAS</v>
      </c>
      <c r="B108" s="8" t="s">
        <v>278</v>
      </c>
      <c r="C108" s="10">
        <f>INSCRITOS!B71</f>
        <v>1087421530</v>
      </c>
      <c r="D108" t="str">
        <f t="shared" si="3"/>
        <v>https://centrodecapacitaciondelsur.com/atencion-de-paciente-por-consumo-sustancias-psicoactivas-y-adicciones-1087421530/</v>
      </c>
    </row>
    <row r="109" spans="1:4" ht="122.25" customHeight="1" x14ac:dyDescent="0.25">
      <c r="A109" s="21" t="str">
        <f>INSCRITOS!P72</f>
        <v>HUMANIZACION</v>
      </c>
      <c r="B109" s="8" t="str">
        <f t="shared" si="2"/>
        <v>https://centrodecapacitaciondelsur.com/humanizacion-</v>
      </c>
      <c r="C109" s="10">
        <f>INSCRITOS!B72</f>
        <v>1087421530</v>
      </c>
      <c r="D109" t="str">
        <f t="shared" si="3"/>
        <v>https://centrodecapacitaciondelsur.com/humanizacion-1087421530/</v>
      </c>
    </row>
    <row r="110" spans="1:4" ht="122.25" customHeight="1" x14ac:dyDescent="0.25">
      <c r="A110" s="21" t="str">
        <f>INSCRITOS!P73</f>
        <v>CONFLICTO ARMADO</v>
      </c>
      <c r="B110" s="8" t="str">
        <f t="shared" si="2"/>
        <v>https://centrodecapacitaciondelsur.com/atencion-a-victimas-del-conflicto-armado-</v>
      </c>
      <c r="C110" s="10">
        <f>INSCRITOS!B73</f>
        <v>1094284464</v>
      </c>
      <c r="D110" t="str">
        <f t="shared" si="3"/>
        <v>https://centrodecapacitaciondelsur.com/atencion-a-victimas-del-conflicto-armado-1094284464/</v>
      </c>
    </row>
    <row r="111" spans="1:4" ht="122.25" customHeight="1" x14ac:dyDescent="0.25">
      <c r="A111" s="21" t="str">
        <f>INSCRITOS!P74</f>
        <v>TOMA DE MUESTRAS</v>
      </c>
      <c r="B111" s="8" t="str">
        <f t="shared" si="2"/>
        <v>https://centrodecapacitaciondelsur.com/toma-de-muestras-y-lab-clinico-</v>
      </c>
      <c r="C111" s="10">
        <f>INSCRITOS!B74</f>
        <v>1094284464</v>
      </c>
      <c r="D111" t="str">
        <f t="shared" si="3"/>
        <v>https://centrodecapacitaciondelsur.com/toma-de-muestras-y-lab-clinico-1094284464/</v>
      </c>
    </row>
    <row r="112" spans="1:4" ht="122.25" customHeight="1" x14ac:dyDescent="0.25">
      <c r="A112" s="21" t="str">
        <f>INSCRITOS!P75</f>
        <v>VIOLENCIA SEXUAL</v>
      </c>
      <c r="B112" s="8" t="str">
        <f t="shared" si="2"/>
        <v>https://centrodecapacitaciondelsur.com/violencia-sexual-</v>
      </c>
      <c r="C112" s="10">
        <f>INSCRITOS!B75</f>
        <v>1131084664</v>
      </c>
      <c r="D112" t="str">
        <f t="shared" si="3"/>
        <v>https://centrodecapacitaciondelsur.com/violencia-sexual-1131084664/</v>
      </c>
    </row>
    <row r="113" spans="1:4" ht="122.25" customHeight="1" x14ac:dyDescent="0.25">
      <c r="A113" s="21" t="str">
        <f>INSCRITOS!P76</f>
        <v>BLS</v>
      </c>
      <c r="B113" s="8" t="str">
        <f t="shared" si="2"/>
        <v>https://centrodecapacitaciondelsur.com/soporte-basico-de-vida-</v>
      </c>
      <c r="C113" s="10">
        <f>INSCRITOS!B76</f>
        <v>1061794220</v>
      </c>
      <c r="D113" t="str">
        <f t="shared" si="3"/>
        <v>https://centrodecapacitaciondelsur.com/soporte-basico-de-vida-1061794220/</v>
      </c>
    </row>
    <row r="114" spans="1:4" ht="122.25" customHeight="1" x14ac:dyDescent="0.25">
      <c r="A114" s="21" t="str">
        <f>INSCRITOS!P77</f>
        <v>DUELO</v>
      </c>
      <c r="B114" s="8" t="str">
        <f t="shared" si="2"/>
        <v>https://centrodecapacitaciondelsur.com/manejo-del-duelo-</v>
      </c>
      <c r="C114" s="10">
        <f>INSCRITOS!B77</f>
        <v>1061794220</v>
      </c>
      <c r="D114" t="str">
        <f t="shared" si="3"/>
        <v>https://centrodecapacitaciondelsur.com/manejo-del-duelo-1061794220/</v>
      </c>
    </row>
    <row r="115" spans="1:4" ht="122.25" customHeight="1" x14ac:dyDescent="0.25">
      <c r="A115" s="21" t="str">
        <f>INSCRITOS!P78</f>
        <v>ATENCION AL USUARIO</v>
      </c>
      <c r="B115" s="8" t="s">
        <v>306</v>
      </c>
      <c r="C115" s="10">
        <f>INSCRITOS!B78</f>
        <v>1094284464</v>
      </c>
      <c r="D115" t="str">
        <f t="shared" si="3"/>
        <v>https://centrodecapacitaciondelsur.com/atencion-al-usuario-1094284464/</v>
      </c>
    </row>
    <row r="116" spans="1:4" ht="122.25" customHeight="1" x14ac:dyDescent="0.25">
      <c r="A116" s="21" t="str">
        <f>INSCRITOS!P79</f>
        <v>PRIMEROS AUXILIOS</v>
      </c>
      <c r="B116" s="8" t="str">
        <f t="shared" si="2"/>
        <v>https://centrodecapacitaciondelsur.com/primeros-auxilios-</v>
      </c>
      <c r="C116" s="10">
        <f>INSCRITOS!B79</f>
        <v>1004696558</v>
      </c>
      <c r="D116" t="str">
        <f t="shared" si="3"/>
        <v>https://centrodecapacitaciondelsur.com/primeros-auxilios-1004696558/</v>
      </c>
    </row>
    <row r="117" spans="1:4" ht="122.25" customHeight="1" x14ac:dyDescent="0.25">
      <c r="A117" s="21" t="str">
        <f>INSCRITOS!P80</f>
        <v>BLS</v>
      </c>
      <c r="B117" s="8" t="str">
        <f t="shared" si="2"/>
        <v>https://centrodecapacitaciondelsur.com/soporte-basico-de-vida-</v>
      </c>
      <c r="C117" s="10">
        <f>INSCRITOS!B80</f>
        <v>1004696558</v>
      </c>
      <c r="D117" t="str">
        <f t="shared" si="3"/>
        <v>https://centrodecapacitaciondelsur.com/soporte-basico-de-vida-1004696558/</v>
      </c>
    </row>
    <row r="118" spans="1:4" ht="122.25" customHeight="1" x14ac:dyDescent="0.25">
      <c r="A118" s="21" t="str">
        <f>INSCRITOS!P81</f>
        <v>QUIMICOS</v>
      </c>
      <c r="B118" s="8" t="str">
        <f t="shared" si="2"/>
        <v>https://centrodecapacitaciondelsur.com/victimas-por-agentes-quimicos-</v>
      </c>
      <c r="C118" s="10">
        <f>INSCRITOS!B81</f>
        <v>27091114</v>
      </c>
      <c r="D118" t="str">
        <f t="shared" si="3"/>
        <v>https://centrodecapacitaciondelsur.com/victimas-por-agentes-quimicos-27091114/</v>
      </c>
    </row>
    <row r="119" spans="1:4" ht="122.25" customHeight="1" x14ac:dyDescent="0.25">
      <c r="A119" s="21" t="str">
        <f>INSCRITOS!P82</f>
        <v>BLS</v>
      </c>
      <c r="B119" s="8" t="str">
        <f t="shared" si="2"/>
        <v>https://centrodecapacitaciondelsur.com/soporte-basico-de-vida-</v>
      </c>
      <c r="C119" s="10">
        <f>INSCRITOS!B82</f>
        <v>1004131876</v>
      </c>
      <c r="D119" t="str">
        <f t="shared" si="3"/>
        <v>https://centrodecapacitaciondelsur.com/soporte-basico-de-vida-1004131876/</v>
      </c>
    </row>
    <row r="120" spans="1:4" ht="122.25" customHeight="1" x14ac:dyDescent="0.25">
      <c r="A120" s="21" t="str">
        <f>INSCRITOS!P83</f>
        <v>DUELO</v>
      </c>
      <c r="B120" s="8" t="str">
        <f t="shared" si="2"/>
        <v>https://centrodecapacitaciondelsur.com/manejo-del-duelo-</v>
      </c>
      <c r="C120" s="10">
        <f>INSCRITOS!B83</f>
        <v>1004131876</v>
      </c>
      <c r="D120" t="str">
        <f t="shared" si="3"/>
        <v>https://centrodecapacitaciondelsur.com/manejo-del-duelo-1004131876/</v>
      </c>
    </row>
    <row r="121" spans="1:4" ht="122.25" customHeight="1" x14ac:dyDescent="0.25">
      <c r="A121" s="21" t="str">
        <f>INSCRITOS!P84</f>
        <v>VIOLENCIA SEXUAL</v>
      </c>
      <c r="B121" s="8" t="str">
        <f t="shared" si="2"/>
        <v>https://centrodecapacitaciondelsur.com/violencia-sexual-</v>
      </c>
      <c r="C121" s="10">
        <f>INSCRITOS!B84</f>
        <v>1004131876</v>
      </c>
      <c r="D121" t="str">
        <f t="shared" si="3"/>
        <v>https://centrodecapacitaciondelsur.com/violencia-sexual-1004131876/</v>
      </c>
    </row>
    <row r="122" spans="1:4" ht="122.25" customHeight="1" x14ac:dyDescent="0.25">
      <c r="A122" s="21" t="str">
        <f>INSCRITOS!P85</f>
        <v>BLS</v>
      </c>
      <c r="B122" s="8" t="str">
        <f t="shared" si="2"/>
        <v>https://centrodecapacitaciondelsur.com/soporte-basico-de-vida-</v>
      </c>
      <c r="C122" s="10">
        <f>INSCRITOS!B85</f>
        <v>59825213</v>
      </c>
      <c r="D122" t="str">
        <f t="shared" si="3"/>
        <v>https://centrodecapacitaciondelsur.com/soporte-basico-de-vida-59825213/</v>
      </c>
    </row>
    <row r="123" spans="1:4" ht="122.25" customHeight="1" x14ac:dyDescent="0.25">
      <c r="A123" s="21" t="str">
        <f>INSCRITOS!P86</f>
        <v>HUMANIZACION</v>
      </c>
      <c r="B123" s="8" t="str">
        <f t="shared" si="2"/>
        <v>https://centrodecapacitaciondelsur.com/humanizacion-</v>
      </c>
      <c r="C123" s="10">
        <f>INSCRITOS!B86</f>
        <v>59705846</v>
      </c>
      <c r="D123" t="str">
        <f t="shared" si="3"/>
        <v>https://centrodecapacitaciondelsur.com/humanizacion-59705846/</v>
      </c>
    </row>
    <row r="124" spans="1:4" ht="122.25" customHeight="1" x14ac:dyDescent="0.25">
      <c r="A124" s="21" t="str">
        <f>INSCRITOS!P87</f>
        <v>VIOLENCIA SEXUAL</v>
      </c>
      <c r="B124" s="8" t="str">
        <f t="shared" si="2"/>
        <v>https://centrodecapacitaciondelsur.com/violencia-sexual-</v>
      </c>
      <c r="C124" s="10">
        <f>INSCRITOS!B87</f>
        <v>1004625305</v>
      </c>
      <c r="D124" t="str">
        <f t="shared" si="3"/>
        <v>https://centrodecapacitaciondelsur.com/violencia-sexual-1004625305/</v>
      </c>
    </row>
    <row r="125" spans="1:4" ht="122.25" customHeight="1" x14ac:dyDescent="0.25">
      <c r="A125" s="21" t="str">
        <f>INSCRITOS!P88</f>
        <v>QUIMICOS</v>
      </c>
      <c r="B125" s="8" t="str">
        <f t="shared" si="2"/>
        <v>https://centrodecapacitaciondelsur.com/victimas-por-agentes-quimicos-</v>
      </c>
      <c r="C125" s="10">
        <f>INSCRITOS!B88</f>
        <v>1004625305</v>
      </c>
      <c r="D125" t="str">
        <f t="shared" si="3"/>
        <v>https://centrodecapacitaciondelsur.com/victimas-por-agentes-quimicos-1004625305/</v>
      </c>
    </row>
    <row r="126" spans="1:4" ht="122.25" customHeight="1" x14ac:dyDescent="0.25">
      <c r="A126" s="21" t="str">
        <f>INSCRITOS!P89</f>
        <v>DUELO</v>
      </c>
      <c r="B126" s="8" t="str">
        <f t="shared" si="2"/>
        <v>https://centrodecapacitaciondelsur.com/manejo-del-duelo-</v>
      </c>
      <c r="C126" s="10">
        <f>INSCRITOS!B89</f>
        <v>1004625305</v>
      </c>
      <c r="D126" t="str">
        <f t="shared" si="3"/>
        <v>https://centrodecapacitaciondelsur.com/manejo-del-duelo-1004625305/</v>
      </c>
    </row>
    <row r="127" spans="1:4" ht="122.25" customHeight="1" x14ac:dyDescent="0.25">
      <c r="A127" s="21" t="str">
        <f>INSCRITOS!P90</f>
        <v>HUMANIZACION</v>
      </c>
      <c r="B127" s="8" t="str">
        <f t="shared" si="2"/>
        <v>https://centrodecapacitaciondelsur.com/humanizacion-</v>
      </c>
      <c r="C127" s="10">
        <f>INSCRITOS!B90</f>
        <v>1004625305</v>
      </c>
      <c r="D127" t="str">
        <f t="shared" si="3"/>
        <v>https://centrodecapacitaciondelsur.com/humanizacion-1004625305/</v>
      </c>
    </row>
    <row r="128" spans="1:4" ht="122.25" customHeight="1" x14ac:dyDescent="0.25">
      <c r="A128" s="21" t="str">
        <f>INSCRITOS!P91</f>
        <v>BLS</v>
      </c>
      <c r="B128" s="8" t="str">
        <f t="shared" si="2"/>
        <v>https://centrodecapacitaciondelsur.com/soporte-basico-de-vida-</v>
      </c>
      <c r="C128" s="10">
        <f>INSCRITOS!B91</f>
        <v>1004625305</v>
      </c>
      <c r="D128" t="str">
        <f t="shared" si="3"/>
        <v>https://centrodecapacitaciondelsur.com/soporte-basico-de-vida-1004625305/</v>
      </c>
    </row>
    <row r="129" spans="1:4" ht="122.25" customHeight="1" x14ac:dyDescent="0.25">
      <c r="A129" s="21" t="str">
        <f>INSCRITOS!P92</f>
        <v>HUMANIZACION</v>
      </c>
      <c r="B129" s="8" t="str">
        <f t="shared" si="2"/>
        <v>https://centrodecapacitaciondelsur.com/humanizacion-</v>
      </c>
      <c r="C129" s="10">
        <f>INSCRITOS!B92</f>
        <v>1087417050</v>
      </c>
      <c r="D129" t="str">
        <f t="shared" si="3"/>
        <v>https://centrodecapacitaciondelsur.com/humanizacion-1087417050/</v>
      </c>
    </row>
    <row r="130" spans="1:4" ht="122.25" customHeight="1" x14ac:dyDescent="0.25">
      <c r="A130" s="21" t="str">
        <f>INSCRITOS!P93</f>
        <v>VIOLENCIA SEXUAL</v>
      </c>
      <c r="B130" s="8" t="str">
        <f t="shared" si="2"/>
        <v>https://centrodecapacitaciondelsur.com/violencia-sexual-</v>
      </c>
      <c r="C130" s="10">
        <f>INSCRITOS!B93</f>
        <v>1087417050</v>
      </c>
      <c r="D130" t="str">
        <f t="shared" si="3"/>
        <v>https://centrodecapacitaciondelsur.com/violencia-sexual-1087417050/</v>
      </c>
    </row>
    <row r="131" spans="1:4" ht="122.25" customHeight="1" x14ac:dyDescent="0.25">
      <c r="A131" s="21" t="str">
        <f>INSCRITOS!P94</f>
        <v>QUIMICOS</v>
      </c>
      <c r="B131" s="8" t="str">
        <f t="shared" si="2"/>
        <v>https://centrodecapacitaciondelsur.com/victimas-por-agentes-quimicos-</v>
      </c>
      <c r="C131" s="10">
        <f>INSCRITOS!B94</f>
        <v>1087417050</v>
      </c>
      <c r="D131" t="str">
        <f t="shared" si="3"/>
        <v>https://centrodecapacitaciondelsur.com/victimas-por-agentes-quimicos-1087417050/</v>
      </c>
    </row>
    <row r="132" spans="1:4" ht="122.25" customHeight="1" x14ac:dyDescent="0.25">
      <c r="A132" s="21" t="str">
        <f>INSCRITOS!P95</f>
        <v>PRIMEROS AUXILIOS</v>
      </c>
      <c r="B132" s="8" t="str">
        <f t="shared" si="2"/>
        <v>https://centrodecapacitaciondelsur.com/primeros-auxilios-</v>
      </c>
      <c r="C132" s="10">
        <f>INSCRITOS!B95</f>
        <v>98383105</v>
      </c>
      <c r="D132" t="str">
        <f t="shared" si="3"/>
        <v>https://centrodecapacitaciondelsur.com/primeros-auxilios-98383105/</v>
      </c>
    </row>
    <row r="133" spans="1:4" ht="122.25" customHeight="1" x14ac:dyDescent="0.25">
      <c r="A133" s="21" t="str">
        <f>INSCRITOS!P96</f>
        <v>PRIMEROS AUXILIOS</v>
      </c>
      <c r="B133" s="8" t="str">
        <f t="shared" si="2"/>
        <v>https://centrodecapacitaciondelsur.com/primeros-auxilios-</v>
      </c>
      <c r="C133" s="10">
        <f>INSCRITOS!B96</f>
        <v>13072732</v>
      </c>
      <c r="D133" t="str">
        <f t="shared" si="3"/>
        <v>https://centrodecapacitaciondelsur.com/primeros-auxilios-13072732/</v>
      </c>
    </row>
    <row r="134" spans="1:4" ht="122.25" customHeight="1" x14ac:dyDescent="0.25">
      <c r="A134" s="21" t="str">
        <f>INSCRITOS!P97</f>
        <v>POCT</v>
      </c>
      <c r="B134" s="8" t="str">
        <f t="shared" si="2"/>
        <v>https://centrodecapacitaciondelsur.com/toma-de-muestras-y-lab-clinico-poct-</v>
      </c>
      <c r="C134" s="10">
        <f>INSCRITOS!B97</f>
        <v>1088733829</v>
      </c>
      <c r="D134" t="str">
        <f t="shared" si="3"/>
        <v>https://centrodecapacitaciondelsur.com/toma-de-muestras-y-lab-clinico-poct-1088733829/</v>
      </c>
    </row>
    <row r="135" spans="1:4" ht="122.25" customHeight="1" x14ac:dyDescent="0.25">
      <c r="A135" s="21" t="str">
        <f>INSCRITOS!P98</f>
        <v>VIOLENCIA DE GENERO</v>
      </c>
      <c r="B135" s="8" t="str">
        <f t="shared" si="2"/>
        <v>https://centrodecapacitaciondelsur.com/violencia-de-genero-</v>
      </c>
      <c r="C135" s="10">
        <f>INSCRITOS!B98</f>
        <v>1088733829</v>
      </c>
      <c r="D135" t="str">
        <f t="shared" si="3"/>
        <v>https://centrodecapacitaciondelsur.com/violencia-de-genero-1088733829/</v>
      </c>
    </row>
    <row r="136" spans="1:4" ht="122.25" customHeight="1" x14ac:dyDescent="0.25">
      <c r="A136" s="21" t="str">
        <f>INSCRITOS!P99</f>
        <v>AIEPI</v>
      </c>
      <c r="B136" s="8" t="str">
        <f t="shared" si="2"/>
        <v>https://centrodecapacitaciondelsur.com/aiepi-</v>
      </c>
      <c r="C136" s="10">
        <f>INSCRITOS!B99</f>
        <v>1088733829</v>
      </c>
      <c r="D136" t="str">
        <f t="shared" si="3"/>
        <v>https://centrodecapacitaciondelsur.com/aiepi-1088733829/</v>
      </c>
    </row>
    <row r="137" spans="1:4" ht="122.25" customHeight="1" x14ac:dyDescent="0.25">
      <c r="A137" s="21" t="str">
        <f>INSCRITOS!P100</f>
        <v>PRIMEROS AUXILIOS</v>
      </c>
      <c r="B137" s="8" t="s">
        <v>345</v>
      </c>
      <c r="C137" s="10">
        <f>INSCRITOS!B100</f>
        <v>1085303056</v>
      </c>
      <c r="D137" t="str">
        <f t="shared" si="3"/>
        <v>https://centrodecapacitaciondelsur.com/manejo-de-extinciones-1085303056/</v>
      </c>
    </row>
    <row r="138" spans="1:4" ht="122.25" customHeight="1" x14ac:dyDescent="0.25">
      <c r="A138" s="21" t="str">
        <f>INSCRITOS!P101</f>
        <v>DUELO</v>
      </c>
      <c r="B138" s="8" t="str">
        <f t="shared" si="2"/>
        <v>https://centrodecapacitaciondelsur.com/manejo-del-duelo-</v>
      </c>
      <c r="C138" s="10">
        <f>INSCRITOS!B101</f>
        <v>1085296543</v>
      </c>
      <c r="D138" t="str">
        <f t="shared" si="3"/>
        <v>https://centrodecapacitaciondelsur.com/manejo-del-duelo-1085296543/</v>
      </c>
    </row>
    <row r="139" spans="1:4" ht="122.25" customHeight="1" x14ac:dyDescent="0.25">
      <c r="A139" s="21" t="str">
        <f>INSCRITOS!P102</f>
        <v>PALIATIVOS</v>
      </c>
      <c r="B139" s="8" t="str">
        <f t="shared" si="2"/>
        <v>https://centrodecapacitaciondelsur.com/manejo-del-dolor-y-cuidados-paliativos-</v>
      </c>
      <c r="C139" s="10">
        <f>INSCRITOS!B102</f>
        <v>1088733829</v>
      </c>
      <c r="D139" t="str">
        <f t="shared" si="3"/>
        <v>https://centrodecapacitaciondelsur.com/manejo-del-dolor-y-cuidados-paliativos-1088733829/</v>
      </c>
    </row>
    <row r="140" spans="1:4" ht="122.25" customHeight="1" x14ac:dyDescent="0.25">
      <c r="A140" s="21" t="str">
        <f>INSCRITOS!P103</f>
        <v>LGBTI</v>
      </c>
      <c r="B140" s="8" t="s">
        <v>349</v>
      </c>
      <c r="C140" s="10">
        <f>INSCRITOS!B103</f>
        <v>1088733829</v>
      </c>
      <c r="D140" t="str">
        <f t="shared" si="3"/>
        <v>https://centrodecapacitaciondelsur.com/atencion-diferencial-en-salud-a-personas-lgbti-1088733829/</v>
      </c>
    </row>
    <row r="141" spans="1:4" ht="122.25" customHeight="1" x14ac:dyDescent="0.25">
      <c r="A141" s="21" t="str">
        <f>INSCRITOS!P104</f>
        <v>DUELO</v>
      </c>
      <c r="B141" s="8" t="str">
        <f t="shared" si="2"/>
        <v>https://centrodecapacitaciondelsur.com/manejo-del-duelo-</v>
      </c>
      <c r="C141" s="10">
        <f>INSCRITOS!B104</f>
        <v>1007282389</v>
      </c>
      <c r="D141" t="str">
        <f t="shared" si="3"/>
        <v>https://centrodecapacitaciondelsur.com/manejo-del-duelo-1007282389/</v>
      </c>
    </row>
    <row r="142" spans="1:4" ht="122.25" customHeight="1" x14ac:dyDescent="0.25">
      <c r="A142" s="21" t="str">
        <f>INSCRITOS!P105</f>
        <v>VIOLENCIA SEXUAL</v>
      </c>
      <c r="B142" s="8" t="str">
        <f t="shared" si="2"/>
        <v>https://centrodecapacitaciondelsur.com/violencia-sexual-</v>
      </c>
      <c r="C142" s="10">
        <f>INSCRITOS!B105</f>
        <v>1007282389</v>
      </c>
      <c r="D142" t="str">
        <f t="shared" si="3"/>
        <v>https://centrodecapacitaciondelsur.com/violencia-sexual-1007282389/</v>
      </c>
    </row>
    <row r="143" spans="1:4" ht="122.25" customHeight="1" x14ac:dyDescent="0.25">
      <c r="A143" s="21" t="str">
        <f>INSCRITOS!P106</f>
        <v>QUIMICOS</v>
      </c>
      <c r="B143" s="8" t="str">
        <f t="shared" si="2"/>
        <v>https://centrodecapacitaciondelsur.com/victimas-por-agentes-quimicos-</v>
      </c>
      <c r="C143" s="10">
        <f>INSCRITOS!B106</f>
        <v>1007282389</v>
      </c>
      <c r="D143" t="str">
        <f t="shared" si="3"/>
        <v>https://centrodecapacitaciondelsur.com/victimas-por-agentes-quimicos-1007282389/</v>
      </c>
    </row>
    <row r="144" spans="1:4" ht="122.25" customHeight="1" x14ac:dyDescent="0.25">
      <c r="A144" s="21" t="str">
        <f>INSCRITOS!P107</f>
        <v>VIOLENCIA SEXUAL</v>
      </c>
      <c r="B144" s="8" t="str">
        <f t="shared" si="2"/>
        <v>https://centrodecapacitaciondelsur.com/violencia-sexual-</v>
      </c>
      <c r="C144" s="10">
        <f>INSCRITOS!B107</f>
        <v>1004691913</v>
      </c>
      <c r="D144" t="str">
        <f t="shared" si="3"/>
        <v>https://centrodecapacitaciondelsur.com/violencia-sexual-1004691913/</v>
      </c>
    </row>
    <row r="145" spans="1:4" ht="122.25" customHeight="1" x14ac:dyDescent="0.25">
      <c r="A145" s="21" t="str">
        <f>INSCRITOS!P108</f>
        <v>QUIMICOS</v>
      </c>
      <c r="B145" s="8" t="str">
        <f t="shared" si="2"/>
        <v>https://centrodecapacitaciondelsur.com/victimas-por-agentes-quimicos-</v>
      </c>
      <c r="C145" s="10">
        <f>INSCRITOS!B108</f>
        <v>1004691913</v>
      </c>
      <c r="D145" t="str">
        <f t="shared" si="3"/>
        <v>https://centrodecapacitaciondelsur.com/victimas-por-agentes-quimicos-1004691913/</v>
      </c>
    </row>
    <row r="146" spans="1:4" ht="122.25" customHeight="1" x14ac:dyDescent="0.25">
      <c r="A146" s="21" t="str">
        <f>INSCRITOS!P109</f>
        <v>BLS</v>
      </c>
      <c r="B146" s="8" t="str">
        <f t="shared" si="2"/>
        <v>https://centrodecapacitaciondelsur.com/soporte-basico-de-vida-</v>
      </c>
      <c r="C146" s="10">
        <f>INSCRITOS!B109</f>
        <v>1004691913</v>
      </c>
      <c r="D146" t="str">
        <f t="shared" si="3"/>
        <v>https://centrodecapacitaciondelsur.com/soporte-basico-de-vida-1004691913/</v>
      </c>
    </row>
    <row r="147" spans="1:4" ht="122.25" customHeight="1" x14ac:dyDescent="0.25">
      <c r="A147" s="21" t="str">
        <f>INSCRITOS!P110</f>
        <v>HUMANIZACION</v>
      </c>
      <c r="B147" s="8" t="str">
        <f t="shared" si="2"/>
        <v>https://centrodecapacitaciondelsur.com/humanizacion-</v>
      </c>
      <c r="C147" s="10">
        <f>INSCRITOS!B110</f>
        <v>36758868</v>
      </c>
      <c r="D147" t="str">
        <f t="shared" si="3"/>
        <v>https://centrodecapacitaciondelsur.com/humanizacion-36758868/</v>
      </c>
    </row>
    <row r="148" spans="1:4" ht="122.25" customHeight="1" x14ac:dyDescent="0.25">
      <c r="A148" s="21" t="str">
        <f>INSCRITOS!P111</f>
        <v>VIOLENCIA SEXUAL</v>
      </c>
      <c r="B148" s="8" t="str">
        <f t="shared" si="2"/>
        <v>https://centrodecapacitaciondelsur.com/violencia-sexual-</v>
      </c>
      <c r="C148" s="10">
        <f>INSCRITOS!B111</f>
        <v>36758868</v>
      </c>
      <c r="D148" t="str">
        <f t="shared" si="3"/>
        <v>https://centrodecapacitaciondelsur.com/violencia-sexual-36758868/</v>
      </c>
    </row>
    <row r="149" spans="1:4" ht="122.25" customHeight="1" x14ac:dyDescent="0.25">
      <c r="A149" s="21" t="str">
        <f>INSCRITOS!P112</f>
        <v>BLS</v>
      </c>
      <c r="B149" s="8" t="str">
        <f t="shared" si="2"/>
        <v>https://centrodecapacitaciondelsur.com/soporte-basico-de-vida-</v>
      </c>
      <c r="C149" s="10">
        <f>INSCRITOS!B112</f>
        <v>1004216298</v>
      </c>
      <c r="D149" t="str">
        <f t="shared" si="3"/>
        <v>https://centrodecapacitaciondelsur.com/soporte-basico-de-vida-1004216298/</v>
      </c>
    </row>
    <row r="150" spans="1:4" ht="122.25" customHeight="1" x14ac:dyDescent="0.25">
      <c r="A150" s="21" t="str">
        <f>INSCRITOS!P113</f>
        <v>HUMANIZACION</v>
      </c>
      <c r="B150" s="8" t="str">
        <f t="shared" si="2"/>
        <v>https://centrodecapacitaciondelsur.com/humanizacion-</v>
      </c>
      <c r="C150" s="10">
        <f>INSCRITOS!B113</f>
        <v>1004690328</v>
      </c>
      <c r="D150" t="str">
        <f t="shared" si="3"/>
        <v>https://centrodecapacitaciondelsur.com/humanizacion-1004690328/</v>
      </c>
    </row>
    <row r="151" spans="1:4" ht="122.25" customHeight="1" x14ac:dyDescent="0.25">
      <c r="A151" s="21" t="str">
        <f>INSCRITOS!P114</f>
        <v>DUELO</v>
      </c>
      <c r="B151" s="8" t="str">
        <f t="shared" si="2"/>
        <v>https://centrodecapacitaciondelsur.com/manejo-del-duelo-</v>
      </c>
      <c r="C151" s="10">
        <f>INSCRITOS!B114</f>
        <v>1087406886</v>
      </c>
      <c r="D151" t="str">
        <f t="shared" si="3"/>
        <v>https://centrodecapacitaciondelsur.com/manejo-del-duelo-1087406886/</v>
      </c>
    </row>
    <row r="152" spans="1:4" ht="122.25" customHeight="1" x14ac:dyDescent="0.25">
      <c r="A152" s="21" t="str">
        <f>INSCRITOS!P115</f>
        <v>VIOLENCIA SEXUAL</v>
      </c>
      <c r="B152" s="8" t="str">
        <f t="shared" si="2"/>
        <v>https://centrodecapacitaciondelsur.com/violencia-sexual-</v>
      </c>
      <c r="C152" s="10">
        <f>INSCRITOS!B115</f>
        <v>1087406886</v>
      </c>
      <c r="D152" t="str">
        <f t="shared" si="3"/>
        <v>https://centrodecapacitaciondelsur.com/violencia-sexual-1087406886/</v>
      </c>
    </row>
    <row r="153" spans="1:4" ht="122.25" customHeight="1" x14ac:dyDescent="0.25">
      <c r="A153" s="21" t="str">
        <f>INSCRITOS!P116</f>
        <v>HUMANIZACION</v>
      </c>
      <c r="B153" s="8" t="str">
        <f t="shared" si="2"/>
        <v>https://centrodecapacitaciondelsur.com/humanizacion-</v>
      </c>
      <c r="C153" s="10">
        <f>INSCRITOS!B116</f>
        <v>1082690798</v>
      </c>
      <c r="D153" t="str">
        <f t="shared" si="3"/>
        <v>https://centrodecapacitaciondelsur.com/humanizacion-1082690798/</v>
      </c>
    </row>
    <row r="154" spans="1:4" ht="122.25" customHeight="1" x14ac:dyDescent="0.25">
      <c r="A154" s="21" t="str">
        <f>INSCRITOS!P117</f>
        <v>RESIDUOS</v>
      </c>
      <c r="B154" s="8" t="str">
        <f t="shared" si="2"/>
        <v>https://centrodecapacitaciondelsur.com/manejo-de-residuos-hospitalarios-</v>
      </c>
      <c r="C154" s="10">
        <f>INSCRITOS!B117</f>
        <v>1082690798</v>
      </c>
      <c r="D154" t="str">
        <f t="shared" si="3"/>
        <v>https://centrodecapacitaciondelsur.com/manejo-de-residuos-hospitalarios-1082690798/</v>
      </c>
    </row>
    <row r="155" spans="1:4" ht="122.25" customHeight="1" x14ac:dyDescent="0.25">
      <c r="A155" s="21" t="str">
        <f>INSCRITOS!P118</f>
        <v>HUMANIZACION</v>
      </c>
      <c r="B155" s="8" t="str">
        <f t="shared" si="2"/>
        <v>https://centrodecapacitaciondelsur.com/humanizacion-</v>
      </c>
      <c r="C155" s="10">
        <f>INSCRITOS!B118</f>
        <v>1234192018</v>
      </c>
      <c r="D155" t="str">
        <f t="shared" si="3"/>
        <v>https://centrodecapacitaciondelsur.com/humanizacion-1234192018/</v>
      </c>
    </row>
    <row r="156" spans="1:4" ht="122.25" customHeight="1" x14ac:dyDescent="0.25">
      <c r="A156" s="21" t="str">
        <f>INSCRITOS!P119</f>
        <v>AIEPI</v>
      </c>
      <c r="B156" s="8" t="str">
        <f t="shared" si="2"/>
        <v>https://centrodecapacitaciondelsur.com/aiepi-</v>
      </c>
      <c r="C156" s="10">
        <f>INSCRITOS!B119</f>
        <v>1234192018</v>
      </c>
      <c r="D156" t="str">
        <f t="shared" si="3"/>
        <v>https://centrodecapacitaciondelsur.com/aiepi-1234192018/</v>
      </c>
    </row>
    <row r="157" spans="1:4" ht="122.25" customHeight="1" x14ac:dyDescent="0.25">
      <c r="A157" s="21" t="str">
        <f>INSCRITOS!P120</f>
        <v>BLS</v>
      </c>
      <c r="B157" s="8" t="str">
        <f t="shared" si="2"/>
        <v>https://centrodecapacitaciondelsur.com/soporte-basico-de-vida-</v>
      </c>
      <c r="C157" s="10">
        <f>INSCRITOS!B120</f>
        <v>1007282389</v>
      </c>
      <c r="D157" t="str">
        <f t="shared" si="3"/>
        <v>https://centrodecapacitaciondelsur.com/soporte-basico-de-vida-1007282389/</v>
      </c>
    </row>
    <row r="158" spans="1:4" ht="122.25" customHeight="1" x14ac:dyDescent="0.25">
      <c r="A158" s="21" t="str">
        <f>INSCRITOS!P121</f>
        <v>LGBTI</v>
      </c>
      <c r="B158" s="8" t="s">
        <v>349</v>
      </c>
      <c r="C158" s="10">
        <f>INSCRITOS!B121</f>
        <v>1086042215</v>
      </c>
      <c r="D158" t="str">
        <f t="shared" si="3"/>
        <v>https://centrodecapacitaciondelsur.com/atencion-diferencial-en-salud-a-personas-lgbti-1086042215/</v>
      </c>
    </row>
    <row r="159" spans="1:4" ht="122.25" customHeight="1" x14ac:dyDescent="0.25">
      <c r="A159" s="21" t="str">
        <f>INSCRITOS!P122</f>
        <v>AIEPI</v>
      </c>
      <c r="B159" s="8" t="str">
        <f t="shared" si="2"/>
        <v>https://centrodecapacitaciondelsur.com/aiepi-</v>
      </c>
      <c r="C159" s="10">
        <f>INSCRITOS!B122</f>
        <v>1086042215</v>
      </c>
      <c r="D159" t="str">
        <f t="shared" si="3"/>
        <v>https://centrodecapacitaciondelsur.com/aiepi-1086042215/</v>
      </c>
    </row>
    <row r="160" spans="1:4" ht="122.25" customHeight="1" x14ac:dyDescent="0.25">
      <c r="A160" s="21" t="str">
        <f>INSCRITOS!P123</f>
        <v>POCT</v>
      </c>
      <c r="B160" s="8" t="str">
        <f t="shared" si="2"/>
        <v>https://centrodecapacitaciondelsur.com/toma-de-muestras-y-lab-clinico-poct-</v>
      </c>
      <c r="C160" s="10">
        <f>INSCRITOS!B123</f>
        <v>1086042215</v>
      </c>
      <c r="D160" t="str">
        <f t="shared" si="3"/>
        <v>https://centrodecapacitaciondelsur.com/toma-de-muestras-y-lab-clinico-poct-1086042215/</v>
      </c>
    </row>
    <row r="161" spans="1:4" ht="122.25" customHeight="1" x14ac:dyDescent="0.25">
      <c r="A161" s="21" t="str">
        <f>INSCRITOS!P124</f>
        <v>VIOLENCIA SEXUAL</v>
      </c>
      <c r="B161" s="8" t="str">
        <f t="shared" si="2"/>
        <v>https://centrodecapacitaciondelsur.com/violencia-sexual-</v>
      </c>
      <c r="C161" s="10">
        <f>INSCRITOS!B124</f>
        <v>1086042215</v>
      </c>
      <c r="D161" t="str">
        <f t="shared" si="3"/>
        <v>https://centrodecapacitaciondelsur.com/violencia-sexual-1086042215/</v>
      </c>
    </row>
    <row r="162" spans="1:4" ht="122.25" customHeight="1" x14ac:dyDescent="0.25">
      <c r="A162" s="21" t="str">
        <f>INSCRITOS!P125</f>
        <v>VIOLENCIA DE GENERO</v>
      </c>
      <c r="B162" s="8" t="str">
        <f t="shared" si="2"/>
        <v>https://centrodecapacitaciondelsur.com/violencia-de-genero-</v>
      </c>
      <c r="C162" s="10">
        <f>INSCRITOS!B125</f>
        <v>1086042215</v>
      </c>
      <c r="D162" t="str">
        <f t="shared" si="3"/>
        <v>https://centrodecapacitaciondelsur.com/violencia-de-genero-1086042215/</v>
      </c>
    </row>
    <row r="163" spans="1:4" ht="122.25" customHeight="1" x14ac:dyDescent="0.25">
      <c r="A163" s="21" t="str">
        <f>INSCRITOS!P126</f>
        <v>VIOLENCIA SEXUAL</v>
      </c>
      <c r="B163" s="8" t="str">
        <f t="shared" si="2"/>
        <v>https://centrodecapacitaciondelsur.com/violencia-sexual-</v>
      </c>
      <c r="C163" s="10">
        <f>INSCRITOS!B126</f>
        <v>1088735367</v>
      </c>
      <c r="D163" t="str">
        <f t="shared" si="3"/>
        <v>https://centrodecapacitaciondelsur.com/violencia-sexual-1088735367/</v>
      </c>
    </row>
    <row r="164" spans="1:4" ht="122.25" customHeight="1" x14ac:dyDescent="0.25">
      <c r="A164" s="21" t="str">
        <f>INSCRITOS!P127</f>
        <v>QUIMICOS</v>
      </c>
      <c r="B164" s="8" t="str">
        <f t="shared" si="2"/>
        <v>https://centrodecapacitaciondelsur.com/victimas-por-agentes-quimicos-</v>
      </c>
      <c r="C164" s="10">
        <f>INSCRITOS!B127</f>
        <v>1086500104</v>
      </c>
      <c r="D164" t="str">
        <f t="shared" si="3"/>
        <v>https://centrodecapacitaciondelsur.com/victimas-por-agentes-quimicos-1086500104/</v>
      </c>
    </row>
    <row r="165" spans="1:4" ht="122.25" customHeight="1" x14ac:dyDescent="0.25">
      <c r="A165" s="21">
        <f>INSCRITOS!P128</f>
        <v>0</v>
      </c>
      <c r="B165" s="8" t="b">
        <f t="shared" si="2"/>
        <v>0</v>
      </c>
      <c r="C165" s="10">
        <f>INSCRITOS!B128</f>
        <v>0</v>
      </c>
      <c r="D165" t="str">
        <f t="shared" si="3"/>
        <v>FALSO0/</v>
      </c>
    </row>
    <row r="166" spans="1:4" ht="122.25" customHeight="1" x14ac:dyDescent="0.25">
      <c r="A166" s="21">
        <f>INSCRITOS!P129</f>
        <v>0</v>
      </c>
      <c r="B166" s="8" t="b">
        <f t="shared" si="2"/>
        <v>0</v>
      </c>
      <c r="C166" s="10">
        <f>INSCRITOS!B129</f>
        <v>0</v>
      </c>
      <c r="D166" t="str">
        <f t="shared" si="3"/>
        <v>FALSO0/</v>
      </c>
    </row>
    <row r="167" spans="1:4" ht="122.25" customHeight="1" x14ac:dyDescent="0.25">
      <c r="A167" s="21">
        <f>INSCRITOS!P130</f>
        <v>0</v>
      </c>
      <c r="B167" s="8" t="b">
        <f t="shared" si="2"/>
        <v>0</v>
      </c>
      <c r="C167" s="10">
        <f>INSCRITOS!B130</f>
        <v>0</v>
      </c>
      <c r="D167" t="str">
        <f t="shared" si="3"/>
        <v>FALSO0/</v>
      </c>
    </row>
    <row r="168" spans="1:4" ht="122.25" customHeight="1" x14ac:dyDescent="0.25">
      <c r="A168" s="21">
        <f>INSCRITOS!P131</f>
        <v>0</v>
      </c>
      <c r="B168" s="8" t="b">
        <f t="shared" ref="B168:B231" si="4">IF(A168=$H$19,"https://centrodecapacitaciondelsur.com/o-v-e-",IF(A168=$H$2,"https://centrodecapacitaciondelsur.com/aph-",IF(A168=$H$3,"https://centrodecapacitaciondelsur.com/manejo-del-duelo-",IF(A168=$H$4,"https://centrodecapacitaciondelsur.com/victimas-por-agentes-quimicos-",IF(A168=$H$5,"https://centrodecapacitaciondelsur.com/primeros-auxilios-",IF(A168=$H$6,"https://centrodecapacitaciondelsur.com/uci-",IF(A168=$H$8,"https://centrodecapacitaciondelsur.com/humanizacion-",IF(A168=$H$11,"https://centrodecapacitaciondelsur.com/soporte-cardiovascular-avanzado-",IF(A168=$H$12,"https://centrodecapacitaciondelsur.com/camillero-",IF(A168=$H$13,"https://centrodecapacitaciondelsur.com/toma-de-muestras-y-lab-clinico-",IF(A168=$H$14,"https://centrodecapacitaciondelsur.com/soporte-basico-de-vida-",IF(A168=$H$15,"https://centrodecapacitaciondelsur.com/violencia-sexual-",IF(A168=$H$17,"https://centrodecapacitaciondelsur.com/aiepi-",IF(A168=$H$18,"https://centrodecapacitaciondelsur.com/adm-medicamentos-canalizacion-inyectologia-",IF(A168=$H$25,"https://centrodecapacitaciondelsur.com/manejo-del-dolor-y-cuidados-paliativos-",IF(A168=$H$26,"https://centrodecapacitaciondelsur.com/toma-de-muestras-y-lab-clinico-poct-",IF(A168=$H$27,"https://centrodecapacitaciondelsur.com/implante-subdermico-",IF(A168=$H$21,"https://centrodecapacitaciondelsur.com/donante-de-organos-",IF(A168=$H$30,"https://centrodecapacitaciondelsur.com/atencion-a-victimas-del-conflicto-armado-",IF(A168=$H$20,"https://centrodecapacitaciondelsur.com/iami-",IF(A168=$H$22,"https://centrodecapacitaciondelsur.com/violencia-de-genero-",IF(A168=$H$23,"https://centrodecapacitaciondelsur.com/igualdad-de-genero-",IF(A168=$H$16,"https://centrodecapacitaciondelsur.com/pai-",IF(A168=$H$31,"https://centrodecapacitaciondelsur.com/manipulacion-de-alimentos-",IF(A168=$H$32,"https://centrodecapacitaciondelsur.com/atencion-a-personas-con-discapacidad-",IF(A168=$H$33,"https://centrodecapacitaciondelsur.com/atencion-al-adulto-mayor-",IF(A168=$H$34,"https://centrodecapacitaciondelsur.com/manejo-defensivo-",IF(A168=$H$35,"https://centrodecapacitaciondelsur.com/soporte-basico-neonatal-",IF(A168=$H$36,"https://centrodecapacitaciondelsur.com/seguridad-del-paciente-",IF(A168=$H$37,"https://centrodecapacitaciondelsur.com/manejo-de-residuos-hospitalarios-",IF(A168=$H$10,"https://centrodecapacitaciondelsur.com/toma-de-citologia-",IF(A168=$H$29,"https://centrodecapacitaciondelsur.com/primeros-aux-psicologicos-"))))))))))))))))))))))))))))))))</f>
        <v>0</v>
      </c>
      <c r="C168" s="10">
        <f>INSCRITOS!B131</f>
        <v>0</v>
      </c>
      <c r="D168" t="str">
        <f t="shared" ref="D168:D231" si="5">CONCATENATE(B168,C168,"/")</f>
        <v>FALSO0/</v>
      </c>
    </row>
    <row r="169" spans="1:4" ht="122.25" customHeight="1" x14ac:dyDescent="0.25">
      <c r="A169" s="21">
        <f>INSCRITOS!P132</f>
        <v>0</v>
      </c>
      <c r="B169" s="8" t="b">
        <f t="shared" si="4"/>
        <v>0</v>
      </c>
      <c r="C169" s="10">
        <f>INSCRITOS!B132</f>
        <v>0</v>
      </c>
      <c r="D169" t="str">
        <f t="shared" si="5"/>
        <v>FALSO0/</v>
      </c>
    </row>
    <row r="170" spans="1:4" ht="122.25" customHeight="1" x14ac:dyDescent="0.25">
      <c r="A170" s="21">
        <f>INSCRITOS!P133</f>
        <v>0</v>
      </c>
      <c r="B170" s="8" t="b">
        <f t="shared" si="4"/>
        <v>0</v>
      </c>
      <c r="C170" s="10">
        <f>INSCRITOS!B133</f>
        <v>0</v>
      </c>
      <c r="D170" t="str">
        <f t="shared" si="5"/>
        <v>FALSO0/</v>
      </c>
    </row>
    <row r="171" spans="1:4" ht="122.25" customHeight="1" x14ac:dyDescent="0.25">
      <c r="A171" s="21">
        <f>INSCRITOS!P134</f>
        <v>0</v>
      </c>
      <c r="B171" s="8" t="b">
        <f t="shared" si="4"/>
        <v>0</v>
      </c>
      <c r="C171" s="10">
        <f>INSCRITOS!B134</f>
        <v>0</v>
      </c>
      <c r="D171" t="str">
        <f t="shared" si="5"/>
        <v>FALSO0/</v>
      </c>
    </row>
    <row r="172" spans="1:4" ht="122.25" customHeight="1" x14ac:dyDescent="0.25">
      <c r="A172" s="21">
        <f>INSCRITOS!P135</f>
        <v>0</v>
      </c>
      <c r="B172" s="8" t="b">
        <f t="shared" si="4"/>
        <v>0</v>
      </c>
      <c r="C172" s="10">
        <f>INSCRITOS!B135</f>
        <v>0</v>
      </c>
      <c r="D172" t="str">
        <f t="shared" si="5"/>
        <v>FALSO0/</v>
      </c>
    </row>
    <row r="173" spans="1:4" ht="122.25" customHeight="1" x14ac:dyDescent="0.25">
      <c r="A173" s="21">
        <f>INSCRITOS!P136</f>
        <v>0</v>
      </c>
      <c r="B173" s="8" t="b">
        <f t="shared" si="4"/>
        <v>0</v>
      </c>
      <c r="C173" s="10">
        <f>INSCRITOS!B136</f>
        <v>0</v>
      </c>
      <c r="D173" t="str">
        <f t="shared" si="5"/>
        <v>FALSO0/</v>
      </c>
    </row>
    <row r="174" spans="1:4" ht="122.25" customHeight="1" x14ac:dyDescent="0.25">
      <c r="A174" s="21">
        <f>INSCRITOS!P137</f>
        <v>0</v>
      </c>
      <c r="B174" s="8" t="b">
        <f t="shared" si="4"/>
        <v>0</v>
      </c>
      <c r="C174" s="10">
        <f>INSCRITOS!B137</f>
        <v>0</v>
      </c>
      <c r="D174" t="str">
        <f t="shared" si="5"/>
        <v>FALSO0/</v>
      </c>
    </row>
    <row r="175" spans="1:4" ht="122.25" customHeight="1" x14ac:dyDescent="0.25">
      <c r="A175" s="21">
        <f>INSCRITOS!P138</f>
        <v>0</v>
      </c>
      <c r="B175" s="8" t="b">
        <f t="shared" si="4"/>
        <v>0</v>
      </c>
      <c r="C175" s="10">
        <f>INSCRITOS!B138</f>
        <v>0</v>
      </c>
      <c r="D175" t="str">
        <f t="shared" si="5"/>
        <v>FALSO0/</v>
      </c>
    </row>
    <row r="176" spans="1:4" ht="122.25" customHeight="1" x14ac:dyDescent="0.25">
      <c r="A176" s="21">
        <f>INSCRITOS!P139</f>
        <v>0</v>
      </c>
      <c r="B176" s="8" t="b">
        <f t="shared" si="4"/>
        <v>0</v>
      </c>
      <c r="C176" s="10">
        <f>INSCRITOS!B139</f>
        <v>0</v>
      </c>
      <c r="D176" t="str">
        <f t="shared" si="5"/>
        <v>FALSO0/</v>
      </c>
    </row>
    <row r="177" spans="1:4" ht="122.25" customHeight="1" x14ac:dyDescent="0.25">
      <c r="A177" s="21">
        <f>INSCRITOS!P140</f>
        <v>0</v>
      </c>
      <c r="B177" s="8" t="b">
        <f t="shared" si="4"/>
        <v>0</v>
      </c>
      <c r="C177" s="10">
        <f>INSCRITOS!B140</f>
        <v>0</v>
      </c>
      <c r="D177" t="str">
        <f t="shared" si="5"/>
        <v>FALSO0/</v>
      </c>
    </row>
    <row r="178" spans="1:4" ht="122.25" customHeight="1" x14ac:dyDescent="0.25">
      <c r="A178" s="21">
        <f>INSCRITOS!P141</f>
        <v>0</v>
      </c>
      <c r="B178" s="8" t="b">
        <f t="shared" si="4"/>
        <v>0</v>
      </c>
      <c r="C178" s="10">
        <f>INSCRITOS!B141</f>
        <v>0</v>
      </c>
      <c r="D178" t="str">
        <f t="shared" si="5"/>
        <v>FALSO0/</v>
      </c>
    </row>
    <row r="179" spans="1:4" ht="122.25" customHeight="1" x14ac:dyDescent="0.25">
      <c r="A179" s="21">
        <f>INSCRITOS!P142</f>
        <v>0</v>
      </c>
      <c r="B179" s="8" t="b">
        <f t="shared" si="4"/>
        <v>0</v>
      </c>
      <c r="C179" s="10">
        <f>INSCRITOS!B142</f>
        <v>0</v>
      </c>
      <c r="D179" t="str">
        <f t="shared" si="5"/>
        <v>FALSO0/</v>
      </c>
    </row>
    <row r="180" spans="1:4" ht="122.25" customHeight="1" x14ac:dyDescent="0.25">
      <c r="A180" s="21">
        <f>INSCRITOS!P143</f>
        <v>0</v>
      </c>
      <c r="B180" s="8" t="b">
        <f t="shared" si="4"/>
        <v>0</v>
      </c>
      <c r="C180" s="10">
        <f>INSCRITOS!B143</f>
        <v>0</v>
      </c>
      <c r="D180" t="str">
        <f t="shared" si="5"/>
        <v>FALSO0/</v>
      </c>
    </row>
    <row r="181" spans="1:4" ht="122.25" customHeight="1" x14ac:dyDescent="0.25">
      <c r="A181" s="21">
        <f>INSCRITOS!P144</f>
        <v>0</v>
      </c>
      <c r="B181" s="8" t="b">
        <f t="shared" si="4"/>
        <v>0</v>
      </c>
      <c r="C181" s="10">
        <f>INSCRITOS!B144</f>
        <v>0</v>
      </c>
      <c r="D181" t="str">
        <f t="shared" si="5"/>
        <v>FALSO0/</v>
      </c>
    </row>
    <row r="182" spans="1:4" ht="122.25" customHeight="1" x14ac:dyDescent="0.25">
      <c r="A182" s="21">
        <f>INSCRITOS!P145</f>
        <v>0</v>
      </c>
      <c r="B182" s="8" t="b">
        <f t="shared" si="4"/>
        <v>0</v>
      </c>
      <c r="C182" s="10">
        <f>INSCRITOS!B145</f>
        <v>0</v>
      </c>
      <c r="D182" t="str">
        <f t="shared" si="5"/>
        <v>FALSO0/</v>
      </c>
    </row>
    <row r="183" spans="1:4" ht="122.25" customHeight="1" x14ac:dyDescent="0.25">
      <c r="A183" s="21">
        <f>INSCRITOS!P146</f>
        <v>0</v>
      </c>
      <c r="B183" s="8" t="b">
        <f t="shared" si="4"/>
        <v>0</v>
      </c>
      <c r="C183" s="10">
        <f>INSCRITOS!B146</f>
        <v>0</v>
      </c>
      <c r="D183" t="str">
        <f t="shared" si="5"/>
        <v>FALSO0/</v>
      </c>
    </row>
    <row r="184" spans="1:4" ht="122.25" customHeight="1" x14ac:dyDescent="0.25">
      <c r="A184" s="21">
        <f>INSCRITOS!P147</f>
        <v>0</v>
      </c>
      <c r="B184" s="8" t="b">
        <f t="shared" si="4"/>
        <v>0</v>
      </c>
      <c r="C184" s="10">
        <f>INSCRITOS!B147</f>
        <v>0</v>
      </c>
      <c r="D184" t="str">
        <f t="shared" si="5"/>
        <v>FALSO0/</v>
      </c>
    </row>
    <row r="185" spans="1:4" ht="122.25" customHeight="1" x14ac:dyDescent="0.25">
      <c r="A185" s="21">
        <f>INSCRITOS!P148</f>
        <v>0</v>
      </c>
      <c r="B185" s="8" t="b">
        <f t="shared" si="4"/>
        <v>0</v>
      </c>
      <c r="C185" s="10">
        <f>INSCRITOS!B148</f>
        <v>0</v>
      </c>
      <c r="D185" t="str">
        <f t="shared" si="5"/>
        <v>FALSO0/</v>
      </c>
    </row>
    <row r="186" spans="1:4" ht="122.25" customHeight="1" x14ac:dyDescent="0.25">
      <c r="A186" s="21">
        <f>INSCRITOS!P149</f>
        <v>0</v>
      </c>
      <c r="B186" s="8" t="b">
        <f t="shared" si="4"/>
        <v>0</v>
      </c>
      <c r="C186" s="10">
        <f>INSCRITOS!B149</f>
        <v>0</v>
      </c>
      <c r="D186" t="str">
        <f t="shared" si="5"/>
        <v>FALSO0/</v>
      </c>
    </row>
    <row r="187" spans="1:4" ht="122.25" customHeight="1" x14ac:dyDescent="0.25">
      <c r="A187" s="21">
        <f>INSCRITOS!P150</f>
        <v>0</v>
      </c>
      <c r="B187" s="8" t="b">
        <f t="shared" si="4"/>
        <v>0</v>
      </c>
      <c r="C187" s="10">
        <f>INSCRITOS!B150</f>
        <v>0</v>
      </c>
      <c r="D187" t="str">
        <f t="shared" si="5"/>
        <v>FALSO0/</v>
      </c>
    </row>
    <row r="188" spans="1:4" ht="122.25" customHeight="1" x14ac:dyDescent="0.25">
      <c r="A188" s="21">
        <f>INSCRITOS!P151</f>
        <v>0</v>
      </c>
      <c r="B188" s="8" t="b">
        <f t="shared" si="4"/>
        <v>0</v>
      </c>
      <c r="C188" s="10">
        <f>INSCRITOS!B151</f>
        <v>0</v>
      </c>
      <c r="D188" t="str">
        <f t="shared" si="5"/>
        <v>FALSO0/</v>
      </c>
    </row>
    <row r="189" spans="1:4" ht="122.25" customHeight="1" x14ac:dyDescent="0.25">
      <c r="A189" s="21">
        <f>INSCRITOS!P152</f>
        <v>0</v>
      </c>
      <c r="B189" s="8" t="b">
        <f t="shared" si="4"/>
        <v>0</v>
      </c>
      <c r="C189" s="10">
        <f>INSCRITOS!B152</f>
        <v>0</v>
      </c>
      <c r="D189" t="str">
        <f t="shared" si="5"/>
        <v>FALSO0/</v>
      </c>
    </row>
    <row r="190" spans="1:4" ht="122.25" customHeight="1" x14ac:dyDescent="0.25">
      <c r="A190" s="21">
        <f>INSCRITOS!P153</f>
        <v>0</v>
      </c>
      <c r="B190" s="8" t="b">
        <f t="shared" si="4"/>
        <v>0</v>
      </c>
      <c r="C190" s="10">
        <f>INSCRITOS!B153</f>
        <v>0</v>
      </c>
      <c r="D190" t="str">
        <f t="shared" si="5"/>
        <v>FALSO0/</v>
      </c>
    </row>
    <row r="191" spans="1:4" ht="122.25" customHeight="1" x14ac:dyDescent="0.25">
      <c r="A191" s="21">
        <f>INSCRITOS!P154</f>
        <v>0</v>
      </c>
      <c r="B191" s="8" t="b">
        <f t="shared" si="4"/>
        <v>0</v>
      </c>
      <c r="C191" s="10">
        <f>INSCRITOS!B154</f>
        <v>0</v>
      </c>
      <c r="D191" t="str">
        <f t="shared" si="5"/>
        <v>FALSO0/</v>
      </c>
    </row>
    <row r="192" spans="1:4" ht="122.25" customHeight="1" x14ac:dyDescent="0.25">
      <c r="A192" s="21">
        <f>INSCRITOS!P155</f>
        <v>0</v>
      </c>
      <c r="B192" s="8" t="b">
        <f t="shared" si="4"/>
        <v>0</v>
      </c>
      <c r="C192" s="10">
        <f>INSCRITOS!B155</f>
        <v>0</v>
      </c>
      <c r="D192" t="str">
        <f t="shared" si="5"/>
        <v>FALSO0/</v>
      </c>
    </row>
    <row r="193" spans="1:4" ht="122.25" customHeight="1" x14ac:dyDescent="0.25">
      <c r="A193" s="21">
        <f>INSCRITOS!P156</f>
        <v>0</v>
      </c>
      <c r="B193" s="8" t="b">
        <f t="shared" si="4"/>
        <v>0</v>
      </c>
      <c r="C193" s="10">
        <f>INSCRITOS!B156</f>
        <v>0</v>
      </c>
      <c r="D193" t="str">
        <f t="shared" si="5"/>
        <v>FALSO0/</v>
      </c>
    </row>
    <row r="194" spans="1:4" ht="122.25" customHeight="1" x14ac:dyDescent="0.25">
      <c r="A194" s="21">
        <f>INSCRITOS!P157</f>
        <v>0</v>
      </c>
      <c r="B194" s="8" t="b">
        <f t="shared" si="4"/>
        <v>0</v>
      </c>
      <c r="C194" s="10">
        <f>INSCRITOS!B157</f>
        <v>0</v>
      </c>
      <c r="D194" t="str">
        <f t="shared" si="5"/>
        <v>FALSO0/</v>
      </c>
    </row>
    <row r="195" spans="1:4" ht="122.25" customHeight="1" x14ac:dyDescent="0.25">
      <c r="A195" s="21">
        <f>INSCRITOS!P158</f>
        <v>0</v>
      </c>
      <c r="B195" s="8" t="b">
        <f t="shared" si="4"/>
        <v>0</v>
      </c>
      <c r="C195" s="10">
        <f>INSCRITOS!B158</f>
        <v>0</v>
      </c>
      <c r="D195" t="str">
        <f t="shared" si="5"/>
        <v>FALSO0/</v>
      </c>
    </row>
    <row r="196" spans="1:4" ht="122.25" customHeight="1" x14ac:dyDescent="0.25">
      <c r="A196" s="21">
        <f>INSCRITOS!P159</f>
        <v>0</v>
      </c>
      <c r="B196" s="8" t="b">
        <f t="shared" si="4"/>
        <v>0</v>
      </c>
      <c r="C196" s="10">
        <f>INSCRITOS!B159</f>
        <v>0</v>
      </c>
      <c r="D196" t="str">
        <f t="shared" si="5"/>
        <v>FALSO0/</v>
      </c>
    </row>
    <row r="197" spans="1:4" ht="122.25" customHeight="1" x14ac:dyDescent="0.25">
      <c r="A197" s="21">
        <f>INSCRITOS!P160</f>
        <v>0</v>
      </c>
      <c r="B197" s="8" t="b">
        <f t="shared" si="4"/>
        <v>0</v>
      </c>
      <c r="C197" s="10">
        <f>INSCRITOS!B160</f>
        <v>0</v>
      </c>
      <c r="D197" t="str">
        <f t="shared" si="5"/>
        <v>FALSO0/</v>
      </c>
    </row>
    <row r="198" spans="1:4" ht="122.25" customHeight="1" x14ac:dyDescent="0.25">
      <c r="A198" s="21">
        <f>INSCRITOS!P161</f>
        <v>0</v>
      </c>
      <c r="B198" s="8" t="b">
        <f t="shared" si="4"/>
        <v>0</v>
      </c>
      <c r="C198" s="10">
        <f>INSCRITOS!B161</f>
        <v>0</v>
      </c>
      <c r="D198" t="str">
        <f t="shared" si="5"/>
        <v>FALSO0/</v>
      </c>
    </row>
    <row r="199" spans="1:4" ht="122.25" customHeight="1" x14ac:dyDescent="0.25">
      <c r="A199" s="21">
        <f>INSCRITOS!P162</f>
        <v>0</v>
      </c>
      <c r="B199" s="8" t="b">
        <f t="shared" si="4"/>
        <v>0</v>
      </c>
      <c r="C199" s="10">
        <f>INSCRITOS!B162</f>
        <v>0</v>
      </c>
      <c r="D199" t="str">
        <f t="shared" si="5"/>
        <v>FALSO0/</v>
      </c>
    </row>
    <row r="200" spans="1:4" ht="122.25" customHeight="1" x14ac:dyDescent="0.25">
      <c r="A200" s="21">
        <f>INSCRITOS!P163</f>
        <v>0</v>
      </c>
      <c r="B200" s="8" t="b">
        <f t="shared" si="4"/>
        <v>0</v>
      </c>
      <c r="C200" s="10">
        <f>INSCRITOS!B163</f>
        <v>0</v>
      </c>
      <c r="D200" t="str">
        <f t="shared" si="5"/>
        <v>FALSO0/</v>
      </c>
    </row>
    <row r="201" spans="1:4" ht="122.25" customHeight="1" x14ac:dyDescent="0.25">
      <c r="A201" s="21">
        <f>INSCRITOS!P164</f>
        <v>0</v>
      </c>
      <c r="B201" s="8" t="b">
        <f t="shared" si="4"/>
        <v>0</v>
      </c>
      <c r="C201" s="10">
        <f>INSCRITOS!B164</f>
        <v>0</v>
      </c>
      <c r="D201" t="str">
        <f t="shared" si="5"/>
        <v>FALSO0/</v>
      </c>
    </row>
    <row r="202" spans="1:4" ht="122.25" customHeight="1" x14ac:dyDescent="0.25">
      <c r="A202" s="21">
        <f>INSCRITOS!P165</f>
        <v>0</v>
      </c>
      <c r="B202" s="8" t="b">
        <f t="shared" si="4"/>
        <v>0</v>
      </c>
      <c r="C202" s="10">
        <f>INSCRITOS!B165</f>
        <v>0</v>
      </c>
      <c r="D202" t="str">
        <f t="shared" si="5"/>
        <v>FALSO0/</v>
      </c>
    </row>
    <row r="203" spans="1:4" ht="122.25" customHeight="1" x14ac:dyDescent="0.25">
      <c r="A203" s="21">
        <f>INSCRITOS!P166</f>
        <v>0</v>
      </c>
      <c r="B203" s="8" t="b">
        <f t="shared" si="4"/>
        <v>0</v>
      </c>
      <c r="C203" s="10">
        <f>INSCRITOS!B166</f>
        <v>0</v>
      </c>
      <c r="D203" t="str">
        <f t="shared" si="5"/>
        <v>FALSO0/</v>
      </c>
    </row>
    <row r="204" spans="1:4" ht="122.25" customHeight="1" x14ac:dyDescent="0.25">
      <c r="A204" s="21">
        <f>INSCRITOS!P167</f>
        <v>0</v>
      </c>
      <c r="B204" s="8" t="b">
        <f t="shared" si="4"/>
        <v>0</v>
      </c>
      <c r="C204" s="10">
        <f>INSCRITOS!B167</f>
        <v>0</v>
      </c>
      <c r="D204" t="str">
        <f t="shared" si="5"/>
        <v>FALSO0/</v>
      </c>
    </row>
    <row r="205" spans="1:4" ht="122.25" customHeight="1" x14ac:dyDescent="0.25">
      <c r="A205" s="21">
        <f>INSCRITOS!P168</f>
        <v>0</v>
      </c>
      <c r="B205" s="8" t="b">
        <f t="shared" si="4"/>
        <v>0</v>
      </c>
      <c r="C205" s="10">
        <f>INSCRITOS!B168</f>
        <v>0</v>
      </c>
      <c r="D205" t="str">
        <f t="shared" si="5"/>
        <v>FALSO0/</v>
      </c>
    </row>
    <row r="206" spans="1:4" ht="122.25" customHeight="1" x14ac:dyDescent="0.25">
      <c r="A206" s="21">
        <f>INSCRITOS!P169</f>
        <v>0</v>
      </c>
      <c r="B206" s="8" t="b">
        <f t="shared" si="4"/>
        <v>0</v>
      </c>
      <c r="C206" s="10">
        <f>INSCRITOS!B169</f>
        <v>0</v>
      </c>
      <c r="D206" t="str">
        <f t="shared" si="5"/>
        <v>FALSO0/</v>
      </c>
    </row>
    <row r="207" spans="1:4" ht="122.25" customHeight="1" x14ac:dyDescent="0.25">
      <c r="A207" s="21">
        <f>INSCRITOS!P170</f>
        <v>0</v>
      </c>
      <c r="B207" s="8" t="b">
        <f t="shared" si="4"/>
        <v>0</v>
      </c>
      <c r="C207" s="10">
        <f>INSCRITOS!B170</f>
        <v>0</v>
      </c>
      <c r="D207" t="str">
        <f t="shared" si="5"/>
        <v>FALSO0/</v>
      </c>
    </row>
    <row r="208" spans="1:4" ht="122.25" customHeight="1" x14ac:dyDescent="0.25">
      <c r="A208" s="21">
        <f>INSCRITOS!P171</f>
        <v>0</v>
      </c>
      <c r="B208" s="8" t="b">
        <f t="shared" si="4"/>
        <v>0</v>
      </c>
      <c r="C208" s="10">
        <f>INSCRITOS!B171</f>
        <v>0</v>
      </c>
      <c r="D208" t="str">
        <f t="shared" si="5"/>
        <v>FALSO0/</v>
      </c>
    </row>
    <row r="209" spans="1:4" ht="122.25" customHeight="1" x14ac:dyDescent="0.25">
      <c r="A209" s="21">
        <f>INSCRITOS!P172</f>
        <v>0</v>
      </c>
      <c r="B209" s="8" t="b">
        <f t="shared" si="4"/>
        <v>0</v>
      </c>
      <c r="C209" s="10">
        <f>INSCRITOS!B172</f>
        <v>0</v>
      </c>
      <c r="D209" t="str">
        <f t="shared" si="5"/>
        <v>FALSO0/</v>
      </c>
    </row>
    <row r="210" spans="1:4" ht="122.25" customHeight="1" x14ac:dyDescent="0.25">
      <c r="A210" s="21">
        <f>INSCRITOS!P173</f>
        <v>0</v>
      </c>
      <c r="B210" s="8" t="b">
        <f t="shared" si="4"/>
        <v>0</v>
      </c>
      <c r="C210" s="10">
        <f>INSCRITOS!B173</f>
        <v>0</v>
      </c>
      <c r="D210" t="str">
        <f t="shared" si="5"/>
        <v>FALSO0/</v>
      </c>
    </row>
    <row r="211" spans="1:4" ht="122.25" customHeight="1" x14ac:dyDescent="0.25">
      <c r="A211" s="21">
        <f>INSCRITOS!P174</f>
        <v>0</v>
      </c>
      <c r="B211" s="8" t="b">
        <f t="shared" si="4"/>
        <v>0</v>
      </c>
      <c r="C211" s="10">
        <f>INSCRITOS!B174</f>
        <v>0</v>
      </c>
      <c r="D211" t="str">
        <f t="shared" si="5"/>
        <v>FALSO0/</v>
      </c>
    </row>
    <row r="212" spans="1:4" ht="122.25" customHeight="1" x14ac:dyDescent="0.25">
      <c r="A212" s="21">
        <f>INSCRITOS!P175</f>
        <v>0</v>
      </c>
      <c r="B212" s="8" t="b">
        <f t="shared" si="4"/>
        <v>0</v>
      </c>
      <c r="C212" s="10">
        <f>INSCRITOS!B175</f>
        <v>0</v>
      </c>
      <c r="D212" t="str">
        <f t="shared" si="5"/>
        <v>FALSO0/</v>
      </c>
    </row>
    <row r="213" spans="1:4" ht="122.25" customHeight="1" x14ac:dyDescent="0.25">
      <c r="A213" s="21">
        <f>INSCRITOS!P176</f>
        <v>0</v>
      </c>
      <c r="B213" s="8" t="b">
        <f t="shared" si="4"/>
        <v>0</v>
      </c>
      <c r="C213" s="10">
        <f>INSCRITOS!B176</f>
        <v>0</v>
      </c>
      <c r="D213" t="str">
        <f t="shared" si="5"/>
        <v>FALSO0/</v>
      </c>
    </row>
    <row r="214" spans="1:4" ht="122.25" customHeight="1" x14ac:dyDescent="0.25">
      <c r="A214" s="21">
        <f>INSCRITOS!P177</f>
        <v>0</v>
      </c>
      <c r="B214" s="8" t="b">
        <f t="shared" si="4"/>
        <v>0</v>
      </c>
      <c r="C214" s="10">
        <f>INSCRITOS!B177</f>
        <v>0</v>
      </c>
      <c r="D214" t="str">
        <f t="shared" si="5"/>
        <v>FALSO0/</v>
      </c>
    </row>
    <row r="215" spans="1:4" ht="122.25" customHeight="1" x14ac:dyDescent="0.25">
      <c r="A215" s="21">
        <f>INSCRITOS!P178</f>
        <v>0</v>
      </c>
      <c r="B215" s="8" t="b">
        <f t="shared" si="4"/>
        <v>0</v>
      </c>
      <c r="C215" s="10">
        <f>INSCRITOS!B178</f>
        <v>0</v>
      </c>
      <c r="D215" t="str">
        <f t="shared" si="5"/>
        <v>FALSO0/</v>
      </c>
    </row>
    <row r="216" spans="1:4" ht="122.25" customHeight="1" x14ac:dyDescent="0.25">
      <c r="A216" s="21">
        <f>INSCRITOS!P179</f>
        <v>0</v>
      </c>
      <c r="B216" s="8" t="b">
        <f t="shared" si="4"/>
        <v>0</v>
      </c>
      <c r="C216" s="10">
        <f>INSCRITOS!B179</f>
        <v>0</v>
      </c>
      <c r="D216" t="str">
        <f t="shared" si="5"/>
        <v>FALSO0/</v>
      </c>
    </row>
    <row r="217" spans="1:4" ht="122.25" customHeight="1" x14ac:dyDescent="0.25">
      <c r="A217" s="21">
        <f>INSCRITOS!P180</f>
        <v>0</v>
      </c>
      <c r="B217" s="8" t="b">
        <f t="shared" si="4"/>
        <v>0</v>
      </c>
      <c r="C217" s="10">
        <f>INSCRITOS!B180</f>
        <v>0</v>
      </c>
      <c r="D217" t="str">
        <f t="shared" si="5"/>
        <v>FALSO0/</v>
      </c>
    </row>
    <row r="218" spans="1:4" ht="122.25" customHeight="1" x14ac:dyDescent="0.25">
      <c r="A218" s="21">
        <f>INSCRITOS!P181</f>
        <v>0</v>
      </c>
      <c r="B218" s="8" t="b">
        <f t="shared" si="4"/>
        <v>0</v>
      </c>
      <c r="C218" s="10">
        <f>INSCRITOS!B181</f>
        <v>0</v>
      </c>
      <c r="D218" t="str">
        <f t="shared" si="5"/>
        <v>FALSO0/</v>
      </c>
    </row>
    <row r="219" spans="1:4" ht="122.25" customHeight="1" x14ac:dyDescent="0.25">
      <c r="A219" s="21">
        <f>INSCRITOS!P182</f>
        <v>0</v>
      </c>
      <c r="B219" s="8" t="b">
        <f t="shared" si="4"/>
        <v>0</v>
      </c>
      <c r="C219" s="10">
        <f>INSCRITOS!B182</f>
        <v>0</v>
      </c>
      <c r="D219" t="str">
        <f t="shared" si="5"/>
        <v>FALSO0/</v>
      </c>
    </row>
    <row r="220" spans="1:4" ht="122.25" customHeight="1" x14ac:dyDescent="0.25">
      <c r="A220" s="21">
        <f>INSCRITOS!P183</f>
        <v>0</v>
      </c>
      <c r="B220" s="8" t="b">
        <f t="shared" si="4"/>
        <v>0</v>
      </c>
      <c r="C220" s="10">
        <f>INSCRITOS!B183</f>
        <v>0</v>
      </c>
      <c r="D220" t="str">
        <f t="shared" si="5"/>
        <v>FALSO0/</v>
      </c>
    </row>
    <row r="221" spans="1:4" ht="122.25" customHeight="1" x14ac:dyDescent="0.25">
      <c r="A221" s="21">
        <f>INSCRITOS!P184</f>
        <v>0</v>
      </c>
      <c r="B221" s="8" t="b">
        <f t="shared" si="4"/>
        <v>0</v>
      </c>
      <c r="C221" s="10">
        <f>INSCRITOS!B184</f>
        <v>0</v>
      </c>
      <c r="D221" t="str">
        <f t="shared" si="5"/>
        <v>FALSO0/</v>
      </c>
    </row>
    <row r="222" spans="1:4" ht="122.25" customHeight="1" x14ac:dyDescent="0.25">
      <c r="A222" s="21">
        <f>INSCRITOS!P185</f>
        <v>0</v>
      </c>
      <c r="B222" s="8" t="b">
        <f t="shared" si="4"/>
        <v>0</v>
      </c>
      <c r="C222" s="10">
        <f>INSCRITOS!B185</f>
        <v>0</v>
      </c>
      <c r="D222" t="str">
        <f t="shared" si="5"/>
        <v>FALSO0/</v>
      </c>
    </row>
    <row r="223" spans="1:4" ht="122.25" customHeight="1" x14ac:dyDescent="0.25">
      <c r="A223" s="21">
        <f>INSCRITOS!P186</f>
        <v>0</v>
      </c>
      <c r="B223" s="8" t="b">
        <f t="shared" si="4"/>
        <v>0</v>
      </c>
      <c r="C223" s="10">
        <f>INSCRITOS!B186</f>
        <v>0</v>
      </c>
      <c r="D223" t="str">
        <f t="shared" si="5"/>
        <v>FALSO0/</v>
      </c>
    </row>
    <row r="224" spans="1:4" ht="122.25" customHeight="1" x14ac:dyDescent="0.25">
      <c r="A224" s="21">
        <f>INSCRITOS!P187</f>
        <v>0</v>
      </c>
      <c r="B224" s="8" t="b">
        <f t="shared" si="4"/>
        <v>0</v>
      </c>
      <c r="C224" s="10">
        <f>INSCRITOS!B187</f>
        <v>0</v>
      </c>
      <c r="D224" t="str">
        <f t="shared" si="5"/>
        <v>FALSO0/</v>
      </c>
    </row>
    <row r="225" spans="1:4" ht="122.25" customHeight="1" x14ac:dyDescent="0.25">
      <c r="A225" s="21">
        <f>INSCRITOS!P188</f>
        <v>0</v>
      </c>
      <c r="B225" s="8" t="b">
        <f t="shared" si="4"/>
        <v>0</v>
      </c>
      <c r="C225" s="10">
        <f>INSCRITOS!B188</f>
        <v>0</v>
      </c>
      <c r="D225" t="str">
        <f t="shared" si="5"/>
        <v>FALSO0/</v>
      </c>
    </row>
    <row r="226" spans="1:4" ht="122.25" customHeight="1" x14ac:dyDescent="0.25">
      <c r="A226" s="21">
        <f>INSCRITOS!P189</f>
        <v>0</v>
      </c>
      <c r="B226" s="8" t="b">
        <f t="shared" si="4"/>
        <v>0</v>
      </c>
      <c r="C226" s="10">
        <f>INSCRITOS!B189</f>
        <v>0</v>
      </c>
      <c r="D226" t="str">
        <f t="shared" si="5"/>
        <v>FALSO0/</v>
      </c>
    </row>
    <row r="227" spans="1:4" ht="122.25" customHeight="1" x14ac:dyDescent="0.25">
      <c r="A227" s="21">
        <f>INSCRITOS!P190</f>
        <v>0</v>
      </c>
      <c r="B227" s="8" t="b">
        <f t="shared" si="4"/>
        <v>0</v>
      </c>
      <c r="C227" s="10">
        <f>INSCRITOS!B190</f>
        <v>0</v>
      </c>
      <c r="D227" t="str">
        <f t="shared" si="5"/>
        <v>FALSO0/</v>
      </c>
    </row>
    <row r="228" spans="1:4" ht="122.25" customHeight="1" x14ac:dyDescent="0.25">
      <c r="A228" s="21">
        <f>INSCRITOS!P191</f>
        <v>0</v>
      </c>
      <c r="B228" s="8" t="b">
        <f t="shared" si="4"/>
        <v>0</v>
      </c>
      <c r="C228" s="10">
        <f>INSCRITOS!B191</f>
        <v>0</v>
      </c>
      <c r="D228" t="str">
        <f t="shared" si="5"/>
        <v>FALSO0/</v>
      </c>
    </row>
    <row r="229" spans="1:4" ht="122.25" customHeight="1" x14ac:dyDescent="0.25">
      <c r="A229" s="21">
        <f>INSCRITOS!P192</f>
        <v>0</v>
      </c>
      <c r="B229" s="8" t="b">
        <f t="shared" si="4"/>
        <v>0</v>
      </c>
      <c r="C229" s="10">
        <f>INSCRITOS!B192</f>
        <v>0</v>
      </c>
      <c r="D229" t="str">
        <f t="shared" si="5"/>
        <v>FALSO0/</v>
      </c>
    </row>
    <row r="230" spans="1:4" ht="122.25" customHeight="1" x14ac:dyDescent="0.25">
      <c r="A230" s="21">
        <f>INSCRITOS!P193</f>
        <v>0</v>
      </c>
      <c r="B230" s="8" t="b">
        <f t="shared" si="4"/>
        <v>0</v>
      </c>
      <c r="C230" s="10">
        <f>INSCRITOS!B193</f>
        <v>0</v>
      </c>
      <c r="D230" t="str">
        <f t="shared" si="5"/>
        <v>FALSO0/</v>
      </c>
    </row>
    <row r="231" spans="1:4" ht="122.25" customHeight="1" x14ac:dyDescent="0.25">
      <c r="A231" s="21">
        <f>INSCRITOS!P194</f>
        <v>0</v>
      </c>
      <c r="B231" s="8" t="b">
        <f t="shared" si="4"/>
        <v>0</v>
      </c>
      <c r="C231" s="10">
        <f>INSCRITOS!B194</f>
        <v>0</v>
      </c>
      <c r="D231" t="str">
        <f t="shared" si="5"/>
        <v>FALSO0/</v>
      </c>
    </row>
    <row r="232" spans="1:4" ht="122.25" customHeight="1" x14ac:dyDescent="0.25">
      <c r="A232" s="21">
        <f>INSCRITOS!P195</f>
        <v>0</v>
      </c>
      <c r="B232" s="8" t="b">
        <f t="shared" ref="B232:B295" si="6">IF(A232=$H$19,"https://centrodecapacitaciondelsur.com/o-v-e-",IF(A232=$H$2,"https://centrodecapacitaciondelsur.com/aph-",IF(A232=$H$3,"https://centrodecapacitaciondelsur.com/manejo-del-duelo-",IF(A232=$H$4,"https://centrodecapacitaciondelsur.com/victimas-por-agentes-quimicos-",IF(A232=$H$5,"https://centrodecapacitaciondelsur.com/primeros-auxilios-",IF(A232=$H$6,"https://centrodecapacitaciondelsur.com/uci-",IF(A232=$H$8,"https://centrodecapacitaciondelsur.com/humanizacion-",IF(A232=$H$11,"https://centrodecapacitaciondelsur.com/soporte-cardiovascular-avanzado-",IF(A232=$H$12,"https://centrodecapacitaciondelsur.com/camillero-",IF(A232=$H$13,"https://centrodecapacitaciondelsur.com/toma-de-muestras-y-lab-clinico-",IF(A232=$H$14,"https://centrodecapacitaciondelsur.com/soporte-basico-de-vida-",IF(A232=$H$15,"https://centrodecapacitaciondelsur.com/violencia-sexual-",IF(A232=$H$17,"https://centrodecapacitaciondelsur.com/aiepi-",IF(A232=$H$18,"https://centrodecapacitaciondelsur.com/adm-medicamentos-canalizacion-inyectologia-",IF(A232=$H$25,"https://centrodecapacitaciondelsur.com/manejo-del-dolor-y-cuidados-paliativos-",IF(A232=$H$26,"https://centrodecapacitaciondelsur.com/toma-de-muestras-y-lab-clinico-poct-",IF(A232=$H$27,"https://centrodecapacitaciondelsur.com/implante-subdermico-",IF(A232=$H$21,"https://centrodecapacitaciondelsur.com/donante-de-organos-",IF(A232=$H$30,"https://centrodecapacitaciondelsur.com/atencion-a-victimas-del-conflicto-armado-",IF(A232=$H$20,"https://centrodecapacitaciondelsur.com/iami-",IF(A232=$H$22,"https://centrodecapacitaciondelsur.com/violencia-de-genero-",IF(A232=$H$23,"https://centrodecapacitaciondelsur.com/igualdad-de-genero-",IF(A232=$H$16,"https://centrodecapacitaciondelsur.com/pai-",IF(A232=$H$31,"https://centrodecapacitaciondelsur.com/manipulacion-de-alimentos-",IF(A232=$H$32,"https://centrodecapacitaciondelsur.com/atencion-a-personas-con-discapacidad-",IF(A232=$H$33,"https://centrodecapacitaciondelsur.com/atencion-al-adulto-mayor-",IF(A232=$H$34,"https://centrodecapacitaciondelsur.com/manejo-defensivo-",IF(A232=$H$35,"https://centrodecapacitaciondelsur.com/soporte-basico-neonatal-",IF(A232=$H$36,"https://centrodecapacitaciondelsur.com/seguridad-del-paciente-",IF(A232=$H$37,"https://centrodecapacitaciondelsur.com/manejo-de-residuos-hospitalarios-",IF(A232=$H$10,"https://centrodecapacitaciondelsur.com/toma-de-citologia-",IF(A232=$H$29,"https://centrodecapacitaciondelsur.com/primeros-aux-psicologicos-"))))))))))))))))))))))))))))))))</f>
        <v>0</v>
      </c>
      <c r="C232" s="10">
        <f>INSCRITOS!B195</f>
        <v>0</v>
      </c>
      <c r="D232" t="str">
        <f t="shared" ref="D232:D295" si="7">CONCATENATE(B232,C232,"/")</f>
        <v>FALSO0/</v>
      </c>
    </row>
    <row r="233" spans="1:4" ht="122.25" customHeight="1" x14ac:dyDescent="0.25">
      <c r="A233" s="21">
        <f>INSCRITOS!P196</f>
        <v>0</v>
      </c>
      <c r="B233" s="8" t="b">
        <f t="shared" si="6"/>
        <v>0</v>
      </c>
      <c r="C233" s="10">
        <f>INSCRITOS!B196</f>
        <v>0</v>
      </c>
      <c r="D233" t="str">
        <f t="shared" si="7"/>
        <v>FALSO0/</v>
      </c>
    </row>
    <row r="234" spans="1:4" ht="122.25" customHeight="1" x14ac:dyDescent="0.25">
      <c r="A234" s="21">
        <f>INSCRITOS!P197</f>
        <v>0</v>
      </c>
      <c r="B234" s="8" t="b">
        <f t="shared" si="6"/>
        <v>0</v>
      </c>
      <c r="C234" s="10">
        <f>INSCRITOS!B197</f>
        <v>0</v>
      </c>
      <c r="D234" t="str">
        <f t="shared" si="7"/>
        <v>FALSO0/</v>
      </c>
    </row>
    <row r="235" spans="1:4" ht="122.25" customHeight="1" x14ac:dyDescent="0.25">
      <c r="A235" s="21">
        <f>INSCRITOS!P198</f>
        <v>0</v>
      </c>
      <c r="B235" s="8" t="b">
        <f t="shared" si="6"/>
        <v>0</v>
      </c>
      <c r="C235" s="10">
        <f>INSCRITOS!B198</f>
        <v>0</v>
      </c>
      <c r="D235" t="str">
        <f t="shared" si="7"/>
        <v>FALSO0/</v>
      </c>
    </row>
    <row r="236" spans="1:4" ht="122.25" customHeight="1" x14ac:dyDescent="0.25">
      <c r="A236" s="21">
        <f>INSCRITOS!P199</f>
        <v>0</v>
      </c>
      <c r="B236" s="8" t="b">
        <f t="shared" si="6"/>
        <v>0</v>
      </c>
      <c r="C236" s="10">
        <f>INSCRITOS!B199</f>
        <v>0</v>
      </c>
      <c r="D236" t="str">
        <f t="shared" si="7"/>
        <v>FALSO0/</v>
      </c>
    </row>
    <row r="237" spans="1:4" ht="122.25" customHeight="1" x14ac:dyDescent="0.25">
      <c r="A237" s="21">
        <f>INSCRITOS!P200</f>
        <v>0</v>
      </c>
      <c r="B237" s="8" t="b">
        <f t="shared" si="6"/>
        <v>0</v>
      </c>
      <c r="C237" s="10">
        <f>INSCRITOS!B200</f>
        <v>0</v>
      </c>
      <c r="D237" t="str">
        <f t="shared" si="7"/>
        <v>FALSO0/</v>
      </c>
    </row>
    <row r="238" spans="1:4" ht="122.25" customHeight="1" x14ac:dyDescent="0.25">
      <c r="A238" s="21">
        <f>INSCRITOS!P201</f>
        <v>0</v>
      </c>
      <c r="B238" s="8" t="b">
        <f t="shared" si="6"/>
        <v>0</v>
      </c>
      <c r="C238" s="10">
        <f>INSCRITOS!B201</f>
        <v>0</v>
      </c>
      <c r="D238" t="str">
        <f t="shared" si="7"/>
        <v>FALSO0/</v>
      </c>
    </row>
    <row r="239" spans="1:4" ht="122.25" customHeight="1" x14ac:dyDescent="0.25">
      <c r="A239" s="21">
        <f>INSCRITOS!P202</f>
        <v>0</v>
      </c>
      <c r="B239" s="8" t="b">
        <f t="shared" si="6"/>
        <v>0</v>
      </c>
      <c r="C239" s="10">
        <f>INSCRITOS!B202</f>
        <v>0</v>
      </c>
      <c r="D239" t="str">
        <f t="shared" si="7"/>
        <v>FALSO0/</v>
      </c>
    </row>
    <row r="240" spans="1:4" ht="122.25" customHeight="1" x14ac:dyDescent="0.25">
      <c r="A240" s="21">
        <f>INSCRITOS!P203</f>
        <v>0</v>
      </c>
      <c r="B240" s="8" t="b">
        <f t="shared" si="6"/>
        <v>0</v>
      </c>
      <c r="C240" s="10">
        <f>INSCRITOS!B203</f>
        <v>0</v>
      </c>
      <c r="D240" t="str">
        <f t="shared" si="7"/>
        <v>FALSO0/</v>
      </c>
    </row>
    <row r="241" spans="1:4" ht="122.25" customHeight="1" x14ac:dyDescent="0.25">
      <c r="A241" s="21">
        <f>INSCRITOS!P204</f>
        <v>0</v>
      </c>
      <c r="B241" s="8" t="b">
        <f t="shared" si="6"/>
        <v>0</v>
      </c>
      <c r="C241" s="10">
        <f>INSCRITOS!B204</f>
        <v>0</v>
      </c>
      <c r="D241" t="str">
        <f t="shared" si="7"/>
        <v>FALSO0/</v>
      </c>
    </row>
    <row r="242" spans="1:4" ht="122.25" customHeight="1" x14ac:dyDescent="0.25">
      <c r="A242" s="21">
        <f>INSCRITOS!P205</f>
        <v>0</v>
      </c>
      <c r="B242" s="8" t="b">
        <f t="shared" si="6"/>
        <v>0</v>
      </c>
      <c r="C242" s="10">
        <f>INSCRITOS!B205</f>
        <v>0</v>
      </c>
      <c r="D242" t="str">
        <f t="shared" si="7"/>
        <v>FALSO0/</v>
      </c>
    </row>
    <row r="243" spans="1:4" ht="122.25" customHeight="1" x14ac:dyDescent="0.25">
      <c r="A243" s="21">
        <f>INSCRITOS!P206</f>
        <v>0</v>
      </c>
      <c r="B243" s="8" t="b">
        <f t="shared" si="6"/>
        <v>0</v>
      </c>
      <c r="C243" s="10">
        <f>INSCRITOS!B206</f>
        <v>0</v>
      </c>
      <c r="D243" t="str">
        <f t="shared" si="7"/>
        <v>FALSO0/</v>
      </c>
    </row>
    <row r="244" spans="1:4" ht="122.25" customHeight="1" x14ac:dyDescent="0.25">
      <c r="A244" s="21">
        <f>INSCRITOS!P207</f>
        <v>0</v>
      </c>
      <c r="B244" s="8" t="b">
        <f t="shared" si="6"/>
        <v>0</v>
      </c>
      <c r="C244" s="10">
        <f>INSCRITOS!B207</f>
        <v>0</v>
      </c>
      <c r="D244" t="str">
        <f t="shared" si="7"/>
        <v>FALSO0/</v>
      </c>
    </row>
    <row r="245" spans="1:4" ht="122.25" customHeight="1" x14ac:dyDescent="0.25">
      <c r="A245" s="21">
        <f>INSCRITOS!P208</f>
        <v>0</v>
      </c>
      <c r="B245" s="8" t="b">
        <f t="shared" si="6"/>
        <v>0</v>
      </c>
      <c r="C245" s="10">
        <f>INSCRITOS!B208</f>
        <v>0</v>
      </c>
      <c r="D245" t="str">
        <f t="shared" si="7"/>
        <v>FALSO0/</v>
      </c>
    </row>
    <row r="246" spans="1:4" ht="122.25" customHeight="1" x14ac:dyDescent="0.25">
      <c r="A246" s="21">
        <f>INSCRITOS!P209</f>
        <v>0</v>
      </c>
      <c r="B246" s="8" t="b">
        <f t="shared" si="6"/>
        <v>0</v>
      </c>
      <c r="C246" s="10">
        <f>INSCRITOS!B209</f>
        <v>0</v>
      </c>
      <c r="D246" t="str">
        <f t="shared" si="7"/>
        <v>FALSO0/</v>
      </c>
    </row>
    <row r="247" spans="1:4" ht="122.25" customHeight="1" x14ac:dyDescent="0.25">
      <c r="A247" s="21">
        <f>INSCRITOS!P210</f>
        <v>0</v>
      </c>
      <c r="B247" s="8" t="b">
        <f t="shared" si="6"/>
        <v>0</v>
      </c>
      <c r="C247" s="10">
        <f>INSCRITOS!B210</f>
        <v>0</v>
      </c>
      <c r="D247" t="str">
        <f t="shared" si="7"/>
        <v>FALSO0/</v>
      </c>
    </row>
    <row r="248" spans="1:4" ht="122.25" customHeight="1" x14ac:dyDescent="0.25">
      <c r="A248" s="21">
        <f>INSCRITOS!P211</f>
        <v>0</v>
      </c>
      <c r="B248" s="8" t="b">
        <f t="shared" si="6"/>
        <v>0</v>
      </c>
      <c r="C248" s="10">
        <f>INSCRITOS!B211</f>
        <v>0</v>
      </c>
      <c r="D248" t="str">
        <f t="shared" si="7"/>
        <v>FALSO0/</v>
      </c>
    </row>
    <row r="249" spans="1:4" ht="122.25" customHeight="1" x14ac:dyDescent="0.25">
      <c r="A249" s="21">
        <f>INSCRITOS!P212</f>
        <v>0</v>
      </c>
      <c r="B249" s="8" t="b">
        <f t="shared" si="6"/>
        <v>0</v>
      </c>
      <c r="C249" s="10">
        <f>INSCRITOS!B212</f>
        <v>0</v>
      </c>
      <c r="D249" t="str">
        <f t="shared" si="7"/>
        <v>FALSO0/</v>
      </c>
    </row>
    <row r="250" spans="1:4" ht="122.25" customHeight="1" x14ac:dyDescent="0.25">
      <c r="A250" s="21">
        <f>INSCRITOS!P213</f>
        <v>0</v>
      </c>
      <c r="B250" s="8" t="b">
        <f t="shared" si="6"/>
        <v>0</v>
      </c>
      <c r="C250" s="10">
        <f>INSCRITOS!B213</f>
        <v>0</v>
      </c>
      <c r="D250" t="str">
        <f t="shared" si="7"/>
        <v>FALSO0/</v>
      </c>
    </row>
    <row r="251" spans="1:4" ht="122.25" customHeight="1" x14ac:dyDescent="0.25">
      <c r="A251" s="21">
        <f>INSCRITOS!P214</f>
        <v>0</v>
      </c>
      <c r="B251" s="8" t="b">
        <f t="shared" si="6"/>
        <v>0</v>
      </c>
      <c r="C251" s="10">
        <f>INSCRITOS!B214</f>
        <v>0</v>
      </c>
      <c r="D251" t="str">
        <f t="shared" si="7"/>
        <v>FALSO0/</v>
      </c>
    </row>
    <row r="252" spans="1:4" ht="122.25" customHeight="1" x14ac:dyDescent="0.25">
      <c r="A252" s="21">
        <f>INSCRITOS!P215</f>
        <v>0</v>
      </c>
      <c r="B252" s="8" t="b">
        <f t="shared" si="6"/>
        <v>0</v>
      </c>
      <c r="C252" s="10">
        <f>INSCRITOS!B215</f>
        <v>0</v>
      </c>
      <c r="D252" t="str">
        <f t="shared" si="7"/>
        <v>FALSO0/</v>
      </c>
    </row>
    <row r="253" spans="1:4" ht="122.25" customHeight="1" x14ac:dyDescent="0.25">
      <c r="A253" s="21">
        <f>INSCRITOS!P216</f>
        <v>0</v>
      </c>
      <c r="B253" s="8" t="b">
        <f t="shared" si="6"/>
        <v>0</v>
      </c>
      <c r="C253" s="10">
        <f>INSCRITOS!B216</f>
        <v>0</v>
      </c>
      <c r="D253" t="str">
        <f t="shared" si="7"/>
        <v>FALSO0/</v>
      </c>
    </row>
    <row r="254" spans="1:4" ht="122.25" customHeight="1" x14ac:dyDescent="0.25">
      <c r="A254" s="21">
        <f>INSCRITOS!P217</f>
        <v>0</v>
      </c>
      <c r="B254" s="8" t="b">
        <f t="shared" si="6"/>
        <v>0</v>
      </c>
      <c r="C254" s="10">
        <f>INSCRITOS!B217</f>
        <v>0</v>
      </c>
      <c r="D254" t="str">
        <f t="shared" si="7"/>
        <v>FALSO0/</v>
      </c>
    </row>
    <row r="255" spans="1:4" ht="122.25" customHeight="1" x14ac:dyDescent="0.25">
      <c r="A255" s="21">
        <f>INSCRITOS!P218</f>
        <v>0</v>
      </c>
      <c r="B255" s="8" t="b">
        <f t="shared" si="6"/>
        <v>0</v>
      </c>
      <c r="C255" s="10">
        <f>INSCRITOS!B218</f>
        <v>0</v>
      </c>
      <c r="D255" t="str">
        <f t="shared" si="7"/>
        <v>FALSO0/</v>
      </c>
    </row>
    <row r="256" spans="1:4" ht="122.25" customHeight="1" x14ac:dyDescent="0.25">
      <c r="A256" s="21">
        <f>INSCRITOS!P219</f>
        <v>0</v>
      </c>
      <c r="B256" s="8" t="b">
        <f t="shared" si="6"/>
        <v>0</v>
      </c>
      <c r="C256" s="10">
        <f>INSCRITOS!B219</f>
        <v>0</v>
      </c>
      <c r="D256" t="str">
        <f t="shared" si="7"/>
        <v>FALSO0/</v>
      </c>
    </row>
    <row r="257" spans="1:4" ht="122.25" customHeight="1" x14ac:dyDescent="0.25">
      <c r="A257" s="21">
        <f>INSCRITOS!P220</f>
        <v>0</v>
      </c>
      <c r="B257" s="8" t="b">
        <f t="shared" si="6"/>
        <v>0</v>
      </c>
      <c r="C257" s="10">
        <f>INSCRITOS!B220</f>
        <v>0</v>
      </c>
      <c r="D257" t="str">
        <f t="shared" si="7"/>
        <v>FALSO0/</v>
      </c>
    </row>
    <row r="258" spans="1:4" ht="122.25" customHeight="1" x14ac:dyDescent="0.25">
      <c r="A258" s="21">
        <f>INSCRITOS!P221</f>
        <v>0</v>
      </c>
      <c r="B258" s="8" t="b">
        <f t="shared" si="6"/>
        <v>0</v>
      </c>
      <c r="C258" s="10">
        <f>INSCRITOS!B221</f>
        <v>0</v>
      </c>
      <c r="D258" t="str">
        <f t="shared" si="7"/>
        <v>FALSO0/</v>
      </c>
    </row>
    <row r="259" spans="1:4" ht="122.25" customHeight="1" x14ac:dyDescent="0.25">
      <c r="A259" s="21">
        <f>INSCRITOS!P222</f>
        <v>0</v>
      </c>
      <c r="B259" s="8" t="b">
        <f t="shared" si="6"/>
        <v>0</v>
      </c>
      <c r="C259" s="10">
        <f>INSCRITOS!B222</f>
        <v>0</v>
      </c>
      <c r="D259" t="str">
        <f t="shared" si="7"/>
        <v>FALSO0/</v>
      </c>
    </row>
    <row r="260" spans="1:4" ht="122.25" customHeight="1" x14ac:dyDescent="0.25">
      <c r="A260" s="21">
        <f>INSCRITOS!P223</f>
        <v>0</v>
      </c>
      <c r="B260" s="8" t="b">
        <f t="shared" si="6"/>
        <v>0</v>
      </c>
      <c r="C260" s="10">
        <f>INSCRITOS!B223</f>
        <v>0</v>
      </c>
      <c r="D260" t="str">
        <f t="shared" si="7"/>
        <v>FALSO0/</v>
      </c>
    </row>
    <row r="261" spans="1:4" ht="122.25" customHeight="1" x14ac:dyDescent="0.25">
      <c r="A261" s="21">
        <f>INSCRITOS!P224</f>
        <v>0</v>
      </c>
      <c r="B261" s="8" t="b">
        <f t="shared" si="6"/>
        <v>0</v>
      </c>
      <c r="C261" s="10">
        <f>INSCRITOS!B224</f>
        <v>0</v>
      </c>
      <c r="D261" t="str">
        <f t="shared" si="7"/>
        <v>FALSO0/</v>
      </c>
    </row>
    <row r="262" spans="1:4" ht="122.25" customHeight="1" x14ac:dyDescent="0.25">
      <c r="A262" s="21">
        <f>INSCRITOS!P225</f>
        <v>0</v>
      </c>
      <c r="B262" s="8" t="b">
        <f t="shared" si="6"/>
        <v>0</v>
      </c>
      <c r="C262" s="10">
        <f>INSCRITOS!B225</f>
        <v>0</v>
      </c>
      <c r="D262" t="str">
        <f t="shared" si="7"/>
        <v>FALSO0/</v>
      </c>
    </row>
    <row r="263" spans="1:4" ht="122.25" customHeight="1" x14ac:dyDescent="0.25">
      <c r="A263" s="21">
        <f>INSCRITOS!P226</f>
        <v>0</v>
      </c>
      <c r="B263" s="8" t="b">
        <f t="shared" si="6"/>
        <v>0</v>
      </c>
      <c r="C263" s="10">
        <f>INSCRITOS!B226</f>
        <v>0</v>
      </c>
      <c r="D263" t="str">
        <f t="shared" si="7"/>
        <v>FALSO0/</v>
      </c>
    </row>
    <row r="264" spans="1:4" ht="122.25" customHeight="1" x14ac:dyDescent="0.25">
      <c r="A264" s="21">
        <f>INSCRITOS!P227</f>
        <v>0</v>
      </c>
      <c r="B264" s="8" t="b">
        <f t="shared" si="6"/>
        <v>0</v>
      </c>
      <c r="C264" s="10">
        <f>INSCRITOS!B227</f>
        <v>0</v>
      </c>
      <c r="D264" t="str">
        <f t="shared" si="7"/>
        <v>FALSO0/</v>
      </c>
    </row>
    <row r="265" spans="1:4" ht="122.25" customHeight="1" x14ac:dyDescent="0.25">
      <c r="A265" s="21">
        <f>INSCRITOS!P228</f>
        <v>0</v>
      </c>
      <c r="B265" s="8" t="b">
        <f t="shared" si="6"/>
        <v>0</v>
      </c>
      <c r="C265" s="10">
        <f>INSCRITOS!B228</f>
        <v>0</v>
      </c>
      <c r="D265" t="str">
        <f t="shared" si="7"/>
        <v>FALSO0/</v>
      </c>
    </row>
    <row r="266" spans="1:4" ht="122.25" customHeight="1" x14ac:dyDescent="0.25">
      <c r="A266" s="21">
        <f>INSCRITOS!P229</f>
        <v>0</v>
      </c>
      <c r="B266" s="8" t="b">
        <f t="shared" si="6"/>
        <v>0</v>
      </c>
      <c r="C266" s="10">
        <f>INSCRITOS!B229</f>
        <v>0</v>
      </c>
      <c r="D266" t="str">
        <f t="shared" si="7"/>
        <v>FALSO0/</v>
      </c>
    </row>
    <row r="267" spans="1:4" ht="122.25" customHeight="1" x14ac:dyDescent="0.25">
      <c r="A267" s="21">
        <f>INSCRITOS!P230</f>
        <v>0</v>
      </c>
      <c r="B267" s="8" t="b">
        <f t="shared" si="6"/>
        <v>0</v>
      </c>
      <c r="C267" s="10">
        <f>INSCRITOS!B230</f>
        <v>0</v>
      </c>
      <c r="D267" t="str">
        <f t="shared" si="7"/>
        <v>FALSO0/</v>
      </c>
    </row>
    <row r="268" spans="1:4" ht="122.25" customHeight="1" x14ac:dyDescent="0.25">
      <c r="A268" s="21">
        <f>INSCRITOS!P231</f>
        <v>0</v>
      </c>
      <c r="B268" s="8" t="b">
        <f t="shared" si="6"/>
        <v>0</v>
      </c>
      <c r="C268" s="10">
        <f>INSCRITOS!B231</f>
        <v>0</v>
      </c>
      <c r="D268" t="str">
        <f t="shared" si="7"/>
        <v>FALSO0/</v>
      </c>
    </row>
    <row r="269" spans="1:4" ht="122.25" customHeight="1" x14ac:dyDescent="0.25">
      <c r="A269" s="21">
        <f>INSCRITOS!P232</f>
        <v>0</v>
      </c>
      <c r="B269" s="8" t="b">
        <f t="shared" si="6"/>
        <v>0</v>
      </c>
      <c r="C269" s="10">
        <f>INSCRITOS!B232</f>
        <v>0</v>
      </c>
      <c r="D269" t="str">
        <f t="shared" si="7"/>
        <v>FALSO0/</v>
      </c>
    </row>
    <row r="270" spans="1:4" ht="122.25" customHeight="1" x14ac:dyDescent="0.25">
      <c r="A270" s="21">
        <f>INSCRITOS!P233</f>
        <v>0</v>
      </c>
      <c r="B270" s="8" t="b">
        <f t="shared" si="6"/>
        <v>0</v>
      </c>
      <c r="C270" s="10">
        <f>INSCRITOS!B233</f>
        <v>0</v>
      </c>
      <c r="D270" t="str">
        <f t="shared" si="7"/>
        <v>FALSO0/</v>
      </c>
    </row>
    <row r="271" spans="1:4" ht="122.25" customHeight="1" x14ac:dyDescent="0.25">
      <c r="A271" s="21">
        <f>INSCRITOS!P234</f>
        <v>0</v>
      </c>
      <c r="B271" s="8" t="b">
        <f t="shared" si="6"/>
        <v>0</v>
      </c>
      <c r="C271" s="10">
        <f>INSCRITOS!B234</f>
        <v>0</v>
      </c>
      <c r="D271" t="str">
        <f t="shared" si="7"/>
        <v>FALSO0/</v>
      </c>
    </row>
    <row r="272" spans="1:4" ht="122.25" customHeight="1" x14ac:dyDescent="0.25">
      <c r="A272" s="21">
        <f>INSCRITOS!P235</f>
        <v>0</v>
      </c>
      <c r="B272" s="8" t="b">
        <f t="shared" si="6"/>
        <v>0</v>
      </c>
      <c r="C272" s="10">
        <f>INSCRITOS!B235</f>
        <v>0</v>
      </c>
      <c r="D272" t="str">
        <f t="shared" si="7"/>
        <v>FALSO0/</v>
      </c>
    </row>
    <row r="273" spans="1:4" ht="122.25" customHeight="1" x14ac:dyDescent="0.25">
      <c r="A273" s="21">
        <f>INSCRITOS!P236</f>
        <v>0</v>
      </c>
      <c r="B273" s="8" t="b">
        <f t="shared" si="6"/>
        <v>0</v>
      </c>
      <c r="C273" s="10">
        <f>INSCRITOS!B236</f>
        <v>0</v>
      </c>
      <c r="D273" t="str">
        <f t="shared" si="7"/>
        <v>FALSO0/</v>
      </c>
    </row>
    <row r="274" spans="1:4" ht="122.25" customHeight="1" x14ac:dyDescent="0.25">
      <c r="A274" s="21">
        <f>INSCRITOS!P237</f>
        <v>0</v>
      </c>
      <c r="B274" s="8" t="b">
        <f t="shared" si="6"/>
        <v>0</v>
      </c>
      <c r="C274" s="10">
        <f>INSCRITOS!B237</f>
        <v>0</v>
      </c>
      <c r="D274" t="str">
        <f t="shared" si="7"/>
        <v>FALSO0/</v>
      </c>
    </row>
    <row r="275" spans="1:4" ht="122.25" customHeight="1" x14ac:dyDescent="0.25">
      <c r="A275" s="21">
        <f>INSCRITOS!P238</f>
        <v>0</v>
      </c>
      <c r="B275" s="8" t="b">
        <f t="shared" si="6"/>
        <v>0</v>
      </c>
      <c r="C275" s="10">
        <f>INSCRITOS!B238</f>
        <v>0</v>
      </c>
      <c r="D275" t="str">
        <f t="shared" si="7"/>
        <v>FALSO0/</v>
      </c>
    </row>
    <row r="276" spans="1:4" ht="122.25" customHeight="1" x14ac:dyDescent="0.25">
      <c r="A276" s="21">
        <f>INSCRITOS!P239</f>
        <v>0</v>
      </c>
      <c r="B276" s="8" t="b">
        <f t="shared" si="6"/>
        <v>0</v>
      </c>
      <c r="C276" s="10">
        <f>INSCRITOS!B239</f>
        <v>0</v>
      </c>
      <c r="D276" t="str">
        <f t="shared" si="7"/>
        <v>FALSO0/</v>
      </c>
    </row>
    <row r="277" spans="1:4" ht="122.25" customHeight="1" x14ac:dyDescent="0.25">
      <c r="A277" s="21">
        <f>INSCRITOS!P240</f>
        <v>0</v>
      </c>
      <c r="B277" s="8" t="b">
        <f t="shared" si="6"/>
        <v>0</v>
      </c>
      <c r="C277" s="10">
        <f>INSCRITOS!B240</f>
        <v>0</v>
      </c>
      <c r="D277" t="str">
        <f t="shared" si="7"/>
        <v>FALSO0/</v>
      </c>
    </row>
    <row r="278" spans="1:4" ht="122.25" customHeight="1" x14ac:dyDescent="0.25">
      <c r="A278" s="21">
        <f>INSCRITOS!P241</f>
        <v>0</v>
      </c>
      <c r="B278" s="8" t="b">
        <f t="shared" si="6"/>
        <v>0</v>
      </c>
      <c r="C278" s="10">
        <f>INSCRITOS!B241</f>
        <v>0</v>
      </c>
      <c r="D278" t="str">
        <f t="shared" si="7"/>
        <v>FALSO0/</v>
      </c>
    </row>
    <row r="279" spans="1:4" ht="122.25" customHeight="1" x14ac:dyDescent="0.25">
      <c r="A279" s="21">
        <f>INSCRITOS!P242</f>
        <v>0</v>
      </c>
      <c r="B279" s="8" t="b">
        <f t="shared" si="6"/>
        <v>0</v>
      </c>
      <c r="C279" s="10">
        <f>INSCRITOS!B242</f>
        <v>0</v>
      </c>
      <c r="D279" t="str">
        <f t="shared" si="7"/>
        <v>FALSO0/</v>
      </c>
    </row>
    <row r="280" spans="1:4" ht="122.25" customHeight="1" x14ac:dyDescent="0.25">
      <c r="A280" s="21">
        <f>INSCRITOS!P243</f>
        <v>0</v>
      </c>
      <c r="B280" s="8" t="b">
        <f t="shared" si="6"/>
        <v>0</v>
      </c>
      <c r="C280" s="10">
        <f>INSCRITOS!B243</f>
        <v>0</v>
      </c>
      <c r="D280" t="str">
        <f t="shared" si="7"/>
        <v>FALSO0/</v>
      </c>
    </row>
    <row r="281" spans="1:4" ht="122.25" customHeight="1" x14ac:dyDescent="0.25">
      <c r="A281" s="21">
        <f>INSCRITOS!P244</f>
        <v>0</v>
      </c>
      <c r="B281" s="8" t="b">
        <f t="shared" si="6"/>
        <v>0</v>
      </c>
      <c r="C281" s="10">
        <f>INSCRITOS!B244</f>
        <v>0</v>
      </c>
      <c r="D281" t="str">
        <f t="shared" si="7"/>
        <v>FALSO0/</v>
      </c>
    </row>
    <row r="282" spans="1:4" ht="122.25" customHeight="1" x14ac:dyDescent="0.25">
      <c r="A282" s="21">
        <f>INSCRITOS!P245</f>
        <v>0</v>
      </c>
      <c r="B282" s="8" t="b">
        <f t="shared" si="6"/>
        <v>0</v>
      </c>
      <c r="C282" s="10">
        <f>INSCRITOS!B245</f>
        <v>0</v>
      </c>
      <c r="D282" t="str">
        <f t="shared" si="7"/>
        <v>FALSO0/</v>
      </c>
    </row>
    <row r="283" spans="1:4" ht="122.25" customHeight="1" x14ac:dyDescent="0.25">
      <c r="A283" s="21">
        <f>INSCRITOS!P246</f>
        <v>0</v>
      </c>
      <c r="B283" s="8" t="b">
        <f t="shared" si="6"/>
        <v>0</v>
      </c>
      <c r="C283" s="10">
        <f>INSCRITOS!B246</f>
        <v>0</v>
      </c>
      <c r="D283" t="str">
        <f t="shared" si="7"/>
        <v>FALSO0/</v>
      </c>
    </row>
    <row r="284" spans="1:4" ht="122.25" customHeight="1" x14ac:dyDescent="0.25">
      <c r="A284" s="21">
        <f>INSCRITOS!P247</f>
        <v>0</v>
      </c>
      <c r="B284" s="8" t="b">
        <f t="shared" si="6"/>
        <v>0</v>
      </c>
      <c r="C284" s="10">
        <f>INSCRITOS!B247</f>
        <v>0</v>
      </c>
      <c r="D284" t="str">
        <f t="shared" si="7"/>
        <v>FALSO0/</v>
      </c>
    </row>
    <row r="285" spans="1:4" ht="122.25" customHeight="1" x14ac:dyDescent="0.25">
      <c r="A285" s="21">
        <f>INSCRITOS!P248</f>
        <v>0</v>
      </c>
      <c r="B285" s="8" t="b">
        <f t="shared" si="6"/>
        <v>0</v>
      </c>
      <c r="C285" s="10">
        <f>INSCRITOS!B248</f>
        <v>0</v>
      </c>
      <c r="D285" t="str">
        <f t="shared" si="7"/>
        <v>FALSO0/</v>
      </c>
    </row>
    <row r="286" spans="1:4" ht="122.25" customHeight="1" x14ac:dyDescent="0.25">
      <c r="A286" s="21">
        <f>INSCRITOS!P249</f>
        <v>0</v>
      </c>
      <c r="B286" s="8" t="b">
        <f t="shared" si="6"/>
        <v>0</v>
      </c>
      <c r="C286" s="10">
        <f>INSCRITOS!B249</f>
        <v>0</v>
      </c>
      <c r="D286" t="str">
        <f t="shared" si="7"/>
        <v>FALSO0/</v>
      </c>
    </row>
    <row r="287" spans="1:4" ht="122.25" customHeight="1" x14ac:dyDescent="0.25">
      <c r="A287" s="21">
        <f>INSCRITOS!P250</f>
        <v>0</v>
      </c>
      <c r="B287" s="8" t="b">
        <f t="shared" si="6"/>
        <v>0</v>
      </c>
      <c r="C287" s="10">
        <f>INSCRITOS!B250</f>
        <v>0</v>
      </c>
      <c r="D287" t="str">
        <f t="shared" si="7"/>
        <v>FALSO0/</v>
      </c>
    </row>
    <row r="288" spans="1:4" ht="122.25" customHeight="1" x14ac:dyDescent="0.25">
      <c r="A288" s="21">
        <f>INSCRITOS!P251</f>
        <v>0</v>
      </c>
      <c r="B288" s="8" t="b">
        <f t="shared" si="6"/>
        <v>0</v>
      </c>
      <c r="C288" s="10">
        <f>INSCRITOS!B251</f>
        <v>0</v>
      </c>
      <c r="D288" t="str">
        <f t="shared" si="7"/>
        <v>FALSO0/</v>
      </c>
    </row>
    <row r="289" spans="1:4" ht="122.25" customHeight="1" x14ac:dyDescent="0.25">
      <c r="A289" s="21">
        <f>INSCRITOS!P252</f>
        <v>0</v>
      </c>
      <c r="B289" s="8" t="b">
        <f t="shared" si="6"/>
        <v>0</v>
      </c>
      <c r="C289" s="10">
        <f>INSCRITOS!B252</f>
        <v>0</v>
      </c>
      <c r="D289" t="str">
        <f t="shared" si="7"/>
        <v>FALSO0/</v>
      </c>
    </row>
    <row r="290" spans="1:4" ht="122.25" customHeight="1" x14ac:dyDescent="0.25">
      <c r="A290" s="21">
        <f>INSCRITOS!P253</f>
        <v>0</v>
      </c>
      <c r="B290" s="8" t="b">
        <f t="shared" si="6"/>
        <v>0</v>
      </c>
      <c r="C290" s="10">
        <f>INSCRITOS!B253</f>
        <v>0</v>
      </c>
      <c r="D290" t="str">
        <f t="shared" si="7"/>
        <v>FALSO0/</v>
      </c>
    </row>
    <row r="291" spans="1:4" ht="122.25" customHeight="1" x14ac:dyDescent="0.25">
      <c r="A291" s="21">
        <f>INSCRITOS!P254</f>
        <v>0</v>
      </c>
      <c r="B291" s="8" t="b">
        <f t="shared" si="6"/>
        <v>0</v>
      </c>
      <c r="C291" s="10">
        <f>INSCRITOS!B254</f>
        <v>0</v>
      </c>
      <c r="D291" t="str">
        <f t="shared" si="7"/>
        <v>FALSO0/</v>
      </c>
    </row>
    <row r="292" spans="1:4" ht="122.25" customHeight="1" x14ac:dyDescent="0.25">
      <c r="A292" s="21">
        <f>INSCRITOS!P255</f>
        <v>0</v>
      </c>
      <c r="B292" s="8" t="b">
        <f t="shared" si="6"/>
        <v>0</v>
      </c>
      <c r="C292" s="10">
        <f>INSCRITOS!B255</f>
        <v>0</v>
      </c>
      <c r="D292" t="str">
        <f t="shared" si="7"/>
        <v>FALSO0/</v>
      </c>
    </row>
    <row r="293" spans="1:4" ht="122.25" customHeight="1" x14ac:dyDescent="0.25">
      <c r="A293" s="21">
        <f>INSCRITOS!P256</f>
        <v>0</v>
      </c>
      <c r="B293" s="8" t="b">
        <f t="shared" si="6"/>
        <v>0</v>
      </c>
      <c r="C293" s="10">
        <f>INSCRITOS!B256</f>
        <v>0</v>
      </c>
      <c r="D293" t="str">
        <f t="shared" si="7"/>
        <v>FALSO0/</v>
      </c>
    </row>
    <row r="294" spans="1:4" ht="122.25" customHeight="1" x14ac:dyDescent="0.25">
      <c r="A294" s="21">
        <f>INSCRITOS!P257</f>
        <v>0</v>
      </c>
      <c r="B294" s="8" t="b">
        <f t="shared" si="6"/>
        <v>0</v>
      </c>
      <c r="C294" s="10">
        <f>INSCRITOS!B257</f>
        <v>0</v>
      </c>
      <c r="D294" t="str">
        <f t="shared" si="7"/>
        <v>FALSO0/</v>
      </c>
    </row>
    <row r="295" spans="1:4" ht="122.25" customHeight="1" x14ac:dyDescent="0.25">
      <c r="A295" s="21">
        <f>INSCRITOS!P258</f>
        <v>0</v>
      </c>
      <c r="B295" s="8" t="b">
        <f t="shared" si="6"/>
        <v>0</v>
      </c>
      <c r="C295" s="10">
        <f>INSCRITOS!B258</f>
        <v>0</v>
      </c>
      <c r="D295" t="str">
        <f t="shared" si="7"/>
        <v>FALSO0/</v>
      </c>
    </row>
    <row r="296" spans="1:4" ht="122.25" customHeight="1" x14ac:dyDescent="0.25">
      <c r="A296" s="21">
        <f>INSCRITOS!P259</f>
        <v>0</v>
      </c>
      <c r="B296" s="8" t="b">
        <f t="shared" ref="B296:B355" si="8">IF(A296=$H$19,"https://centrodecapacitaciondelsur.com/o-v-e-",IF(A296=$H$2,"https://centrodecapacitaciondelsur.com/aph-",IF(A296=$H$3,"https://centrodecapacitaciondelsur.com/manejo-del-duelo-",IF(A296=$H$4,"https://centrodecapacitaciondelsur.com/victimas-por-agentes-quimicos-",IF(A296=$H$5,"https://centrodecapacitaciondelsur.com/primeros-auxilios-",IF(A296=$H$6,"https://centrodecapacitaciondelsur.com/uci-",IF(A296=$H$8,"https://centrodecapacitaciondelsur.com/humanizacion-",IF(A296=$H$11,"https://centrodecapacitaciondelsur.com/soporte-cardiovascular-avanzado-",IF(A296=$H$12,"https://centrodecapacitaciondelsur.com/camillero-",IF(A296=$H$13,"https://centrodecapacitaciondelsur.com/toma-de-muestras-y-lab-clinico-",IF(A296=$H$14,"https://centrodecapacitaciondelsur.com/soporte-basico-de-vida-",IF(A296=$H$15,"https://centrodecapacitaciondelsur.com/violencia-sexual-",IF(A296=$H$17,"https://centrodecapacitaciondelsur.com/aiepi-",IF(A296=$H$18,"https://centrodecapacitaciondelsur.com/adm-medicamentos-canalizacion-inyectologia-",IF(A296=$H$25,"https://centrodecapacitaciondelsur.com/manejo-del-dolor-y-cuidados-paliativos-",IF(A296=$H$26,"https://centrodecapacitaciondelsur.com/toma-de-muestras-y-lab-clinico-poct-",IF(A296=$H$27,"https://centrodecapacitaciondelsur.com/implante-subdermico-",IF(A296=$H$21,"https://centrodecapacitaciondelsur.com/donante-de-organos-",IF(A296=$H$30,"https://centrodecapacitaciondelsur.com/atencion-a-victimas-del-conflicto-armado-",IF(A296=$H$20,"https://centrodecapacitaciondelsur.com/iami-",IF(A296=$H$22,"https://centrodecapacitaciondelsur.com/violencia-de-genero-",IF(A296=$H$23,"https://centrodecapacitaciondelsur.com/igualdad-de-genero-",IF(A296=$H$16,"https://centrodecapacitaciondelsur.com/pai-",IF(A296=$H$31,"https://centrodecapacitaciondelsur.com/manipulacion-de-alimentos-",IF(A296=$H$32,"https://centrodecapacitaciondelsur.com/atencion-a-personas-con-discapacidad-",IF(A296=$H$33,"https://centrodecapacitaciondelsur.com/atencion-al-adulto-mayor-",IF(A296=$H$34,"https://centrodecapacitaciondelsur.com/manejo-defensivo-",IF(A296=$H$35,"https://centrodecapacitaciondelsur.com/soporte-basico-neonatal-",IF(A296=$H$36,"https://centrodecapacitaciondelsur.com/seguridad-del-paciente-",IF(A296=$H$37,"https://centrodecapacitaciondelsur.com/manejo-de-residuos-hospitalarios-",IF(A296=$H$10,"https://centrodecapacitaciondelsur.com/toma-de-citologia-",IF(A296=$H$29,"https://centrodecapacitaciondelsur.com/primeros-aux-psicologicos-"))))))))))))))))))))))))))))))))</f>
        <v>0</v>
      </c>
      <c r="C296" s="10">
        <f>INSCRITOS!B259</f>
        <v>0</v>
      </c>
      <c r="D296" t="str">
        <f t="shared" ref="D296:D355" si="9">CONCATENATE(B296,C296,"/")</f>
        <v>FALSO0/</v>
      </c>
    </row>
    <row r="297" spans="1:4" ht="122.25" customHeight="1" x14ac:dyDescent="0.25">
      <c r="A297" s="21">
        <f>INSCRITOS!P260</f>
        <v>0</v>
      </c>
      <c r="B297" s="8" t="b">
        <f t="shared" si="8"/>
        <v>0</v>
      </c>
      <c r="C297" s="10">
        <f>INSCRITOS!B260</f>
        <v>0</v>
      </c>
      <c r="D297" t="str">
        <f t="shared" si="9"/>
        <v>FALSO0/</v>
      </c>
    </row>
    <row r="298" spans="1:4" ht="122.25" customHeight="1" x14ac:dyDescent="0.25">
      <c r="A298" s="21">
        <f>INSCRITOS!P261</f>
        <v>0</v>
      </c>
      <c r="B298" s="8" t="b">
        <f t="shared" si="8"/>
        <v>0</v>
      </c>
      <c r="C298" s="10">
        <f>INSCRITOS!B261</f>
        <v>0</v>
      </c>
      <c r="D298" t="str">
        <f t="shared" si="9"/>
        <v>FALSO0/</v>
      </c>
    </row>
    <row r="299" spans="1:4" ht="122.25" customHeight="1" x14ac:dyDescent="0.25">
      <c r="A299" s="21">
        <f>INSCRITOS!P262</f>
        <v>0</v>
      </c>
      <c r="B299" s="8" t="b">
        <f t="shared" si="8"/>
        <v>0</v>
      </c>
      <c r="C299" s="10">
        <f>INSCRITOS!B262</f>
        <v>0</v>
      </c>
      <c r="D299" t="str">
        <f t="shared" si="9"/>
        <v>FALSO0/</v>
      </c>
    </row>
    <row r="300" spans="1:4" ht="122.25" customHeight="1" x14ac:dyDescent="0.25">
      <c r="A300" s="21">
        <f>INSCRITOS!P263</f>
        <v>0</v>
      </c>
      <c r="B300" s="8" t="b">
        <f t="shared" si="8"/>
        <v>0</v>
      </c>
      <c r="C300" s="10">
        <f>INSCRITOS!B263</f>
        <v>0</v>
      </c>
      <c r="D300" t="str">
        <f t="shared" si="9"/>
        <v>FALSO0/</v>
      </c>
    </row>
    <row r="301" spans="1:4" ht="122.25" customHeight="1" x14ac:dyDescent="0.25">
      <c r="A301" s="21">
        <f>INSCRITOS!P264</f>
        <v>0</v>
      </c>
      <c r="B301" s="8" t="b">
        <f t="shared" si="8"/>
        <v>0</v>
      </c>
      <c r="C301" s="10">
        <f>INSCRITOS!B264</f>
        <v>0</v>
      </c>
      <c r="D301" t="str">
        <f t="shared" si="9"/>
        <v>FALSO0/</v>
      </c>
    </row>
    <row r="302" spans="1:4" ht="122.25" customHeight="1" x14ac:dyDescent="0.25">
      <c r="A302" s="21">
        <f>INSCRITOS!P265</f>
        <v>0</v>
      </c>
      <c r="B302" s="8" t="b">
        <f t="shared" si="8"/>
        <v>0</v>
      </c>
      <c r="C302" s="10">
        <f>INSCRITOS!B265</f>
        <v>0</v>
      </c>
      <c r="D302" t="str">
        <f t="shared" si="9"/>
        <v>FALSO0/</v>
      </c>
    </row>
    <row r="303" spans="1:4" ht="122.25" customHeight="1" x14ac:dyDescent="0.25">
      <c r="A303" s="21">
        <f>INSCRITOS!P266</f>
        <v>0</v>
      </c>
      <c r="B303" s="8" t="b">
        <f t="shared" si="8"/>
        <v>0</v>
      </c>
      <c r="C303" s="10">
        <f>INSCRITOS!B266</f>
        <v>0</v>
      </c>
      <c r="D303" t="str">
        <f t="shared" si="9"/>
        <v>FALSO0/</v>
      </c>
    </row>
    <row r="304" spans="1:4" ht="122.25" customHeight="1" x14ac:dyDescent="0.25">
      <c r="A304" s="21">
        <f>INSCRITOS!P267</f>
        <v>0</v>
      </c>
      <c r="B304" s="8" t="b">
        <f t="shared" si="8"/>
        <v>0</v>
      </c>
      <c r="C304" s="10">
        <f>INSCRITOS!B267</f>
        <v>0</v>
      </c>
      <c r="D304" t="str">
        <f t="shared" si="9"/>
        <v>FALSO0/</v>
      </c>
    </row>
    <row r="305" spans="1:4" ht="122.25" customHeight="1" x14ac:dyDescent="0.25">
      <c r="A305" s="21">
        <f>INSCRITOS!P268</f>
        <v>0</v>
      </c>
      <c r="B305" s="8" t="b">
        <f t="shared" si="8"/>
        <v>0</v>
      </c>
      <c r="C305" s="10">
        <f>INSCRITOS!B268</f>
        <v>0</v>
      </c>
      <c r="D305" t="str">
        <f t="shared" si="9"/>
        <v>FALSO0/</v>
      </c>
    </row>
    <row r="306" spans="1:4" ht="122.25" customHeight="1" x14ac:dyDescent="0.25">
      <c r="A306" s="21">
        <f>INSCRITOS!P269</f>
        <v>0</v>
      </c>
      <c r="B306" s="8" t="b">
        <f t="shared" si="8"/>
        <v>0</v>
      </c>
      <c r="C306" s="10">
        <f>INSCRITOS!B269</f>
        <v>0</v>
      </c>
      <c r="D306" t="str">
        <f t="shared" si="9"/>
        <v>FALSO0/</v>
      </c>
    </row>
    <row r="307" spans="1:4" ht="122.25" customHeight="1" x14ac:dyDescent="0.25">
      <c r="A307" s="21">
        <f>INSCRITOS!P270</f>
        <v>0</v>
      </c>
      <c r="B307" s="8" t="b">
        <f t="shared" si="8"/>
        <v>0</v>
      </c>
      <c r="C307" s="10">
        <f>INSCRITOS!B270</f>
        <v>0</v>
      </c>
      <c r="D307" t="str">
        <f t="shared" si="9"/>
        <v>FALSO0/</v>
      </c>
    </row>
    <row r="308" spans="1:4" ht="122.25" customHeight="1" x14ac:dyDescent="0.25">
      <c r="A308" s="21">
        <f>INSCRITOS!P271</f>
        <v>0</v>
      </c>
      <c r="B308" s="8" t="b">
        <f t="shared" si="8"/>
        <v>0</v>
      </c>
      <c r="C308" s="10">
        <f>INSCRITOS!B271</f>
        <v>0</v>
      </c>
      <c r="D308" t="str">
        <f t="shared" si="9"/>
        <v>FALSO0/</v>
      </c>
    </row>
    <row r="309" spans="1:4" ht="122.25" customHeight="1" x14ac:dyDescent="0.25">
      <c r="A309" s="21">
        <f>INSCRITOS!P272</f>
        <v>0</v>
      </c>
      <c r="B309" s="8" t="b">
        <f t="shared" si="8"/>
        <v>0</v>
      </c>
      <c r="C309" s="10">
        <f>INSCRITOS!B272</f>
        <v>0</v>
      </c>
      <c r="D309" t="str">
        <f t="shared" si="9"/>
        <v>FALSO0/</v>
      </c>
    </row>
    <row r="310" spans="1:4" ht="122.25" customHeight="1" x14ac:dyDescent="0.25">
      <c r="A310" s="21">
        <f>INSCRITOS!P273</f>
        <v>0</v>
      </c>
      <c r="B310" s="8" t="b">
        <f t="shared" si="8"/>
        <v>0</v>
      </c>
      <c r="C310" s="10">
        <f>INSCRITOS!B273</f>
        <v>0</v>
      </c>
      <c r="D310" t="str">
        <f t="shared" si="9"/>
        <v>FALSO0/</v>
      </c>
    </row>
    <row r="311" spans="1:4" ht="122.25" customHeight="1" x14ac:dyDescent="0.25">
      <c r="A311" s="21">
        <f>INSCRITOS!P274</f>
        <v>0</v>
      </c>
      <c r="B311" s="8" t="b">
        <f t="shared" si="8"/>
        <v>0</v>
      </c>
      <c r="C311" s="10">
        <f>INSCRITOS!B274</f>
        <v>0</v>
      </c>
      <c r="D311" t="str">
        <f t="shared" si="9"/>
        <v>FALSO0/</v>
      </c>
    </row>
    <row r="312" spans="1:4" ht="122.25" customHeight="1" x14ac:dyDescent="0.25">
      <c r="A312" s="21">
        <f>INSCRITOS!P275</f>
        <v>0</v>
      </c>
      <c r="B312" s="8" t="b">
        <f t="shared" si="8"/>
        <v>0</v>
      </c>
      <c r="C312" s="10">
        <f>INSCRITOS!B275</f>
        <v>0</v>
      </c>
      <c r="D312" t="str">
        <f t="shared" si="9"/>
        <v>FALSO0/</v>
      </c>
    </row>
    <row r="313" spans="1:4" ht="122.25" customHeight="1" x14ac:dyDescent="0.25">
      <c r="A313" s="21">
        <f>INSCRITOS!P276</f>
        <v>0</v>
      </c>
      <c r="B313" s="8" t="b">
        <f t="shared" si="8"/>
        <v>0</v>
      </c>
      <c r="C313" s="10">
        <f>INSCRITOS!B276</f>
        <v>0</v>
      </c>
      <c r="D313" t="str">
        <f t="shared" si="9"/>
        <v>FALSO0/</v>
      </c>
    </row>
    <row r="314" spans="1:4" ht="122.25" customHeight="1" x14ac:dyDescent="0.25">
      <c r="A314" s="21">
        <f>INSCRITOS!P277</f>
        <v>0</v>
      </c>
      <c r="B314" s="8" t="b">
        <f t="shared" si="8"/>
        <v>0</v>
      </c>
      <c r="C314" s="10">
        <f>INSCRITOS!B277</f>
        <v>0</v>
      </c>
      <c r="D314" t="str">
        <f t="shared" si="9"/>
        <v>FALSO0/</v>
      </c>
    </row>
    <row r="315" spans="1:4" ht="122.25" customHeight="1" x14ac:dyDescent="0.25">
      <c r="A315" s="21">
        <f>INSCRITOS!P278</f>
        <v>0</v>
      </c>
      <c r="B315" s="8" t="b">
        <f t="shared" si="8"/>
        <v>0</v>
      </c>
      <c r="C315" s="10">
        <f>INSCRITOS!B278</f>
        <v>0</v>
      </c>
      <c r="D315" t="str">
        <f t="shared" si="9"/>
        <v>FALSO0/</v>
      </c>
    </row>
    <row r="316" spans="1:4" ht="122.25" customHeight="1" x14ac:dyDescent="0.25">
      <c r="A316" s="21">
        <f>INSCRITOS!P279</f>
        <v>0</v>
      </c>
      <c r="B316" s="8" t="b">
        <f t="shared" si="8"/>
        <v>0</v>
      </c>
      <c r="C316" s="10">
        <f>INSCRITOS!B279</f>
        <v>0</v>
      </c>
      <c r="D316" t="str">
        <f t="shared" si="9"/>
        <v>FALSO0/</v>
      </c>
    </row>
    <row r="317" spans="1:4" ht="122.25" customHeight="1" x14ac:dyDescent="0.25">
      <c r="A317" s="21">
        <f>INSCRITOS!P280</f>
        <v>0</v>
      </c>
      <c r="B317" s="8" t="b">
        <f t="shared" si="8"/>
        <v>0</v>
      </c>
      <c r="C317" s="10">
        <f>INSCRITOS!B280</f>
        <v>0</v>
      </c>
      <c r="D317" t="str">
        <f t="shared" si="9"/>
        <v>FALSO0/</v>
      </c>
    </row>
    <row r="318" spans="1:4" ht="122.25" customHeight="1" x14ac:dyDescent="0.25">
      <c r="A318" s="21">
        <f>INSCRITOS!P281</f>
        <v>0</v>
      </c>
      <c r="B318" s="8" t="b">
        <f t="shared" si="8"/>
        <v>0</v>
      </c>
      <c r="C318" s="10">
        <f>INSCRITOS!B281</f>
        <v>0</v>
      </c>
      <c r="D318" t="str">
        <f t="shared" si="9"/>
        <v>FALSO0/</v>
      </c>
    </row>
    <row r="319" spans="1:4" ht="122.25" customHeight="1" x14ac:dyDescent="0.25">
      <c r="A319" s="21">
        <f>INSCRITOS!P282</f>
        <v>0</v>
      </c>
      <c r="B319" s="8" t="b">
        <f t="shared" si="8"/>
        <v>0</v>
      </c>
      <c r="C319" s="10">
        <f>INSCRITOS!B282</f>
        <v>0</v>
      </c>
      <c r="D319" t="str">
        <f t="shared" si="9"/>
        <v>FALSO0/</v>
      </c>
    </row>
    <row r="320" spans="1:4" ht="122.25" customHeight="1" x14ac:dyDescent="0.25">
      <c r="A320" s="21">
        <f>INSCRITOS!P283</f>
        <v>0</v>
      </c>
      <c r="B320" s="8" t="b">
        <f t="shared" si="8"/>
        <v>0</v>
      </c>
      <c r="C320" s="10">
        <f>INSCRITOS!B283</f>
        <v>0</v>
      </c>
      <c r="D320" t="str">
        <f t="shared" si="9"/>
        <v>FALSO0/</v>
      </c>
    </row>
    <row r="321" spans="1:4" ht="122.25" customHeight="1" x14ac:dyDescent="0.25">
      <c r="A321" s="21">
        <f>INSCRITOS!P284</f>
        <v>0</v>
      </c>
      <c r="B321" s="8" t="b">
        <f t="shared" si="8"/>
        <v>0</v>
      </c>
      <c r="C321" s="10">
        <f>INSCRITOS!B284</f>
        <v>0</v>
      </c>
      <c r="D321" t="str">
        <f t="shared" si="9"/>
        <v>FALSO0/</v>
      </c>
    </row>
    <row r="322" spans="1:4" ht="122.25" customHeight="1" x14ac:dyDescent="0.25">
      <c r="A322" s="21">
        <f>INSCRITOS!P285</f>
        <v>0</v>
      </c>
      <c r="B322" s="8" t="b">
        <f t="shared" si="8"/>
        <v>0</v>
      </c>
      <c r="C322" s="10">
        <f>INSCRITOS!B285</f>
        <v>0</v>
      </c>
      <c r="D322" t="str">
        <f t="shared" si="9"/>
        <v>FALSO0/</v>
      </c>
    </row>
    <row r="323" spans="1:4" ht="122.25" customHeight="1" x14ac:dyDescent="0.25">
      <c r="A323" s="21">
        <f>INSCRITOS!P286</f>
        <v>0</v>
      </c>
      <c r="B323" s="8" t="b">
        <f t="shared" si="8"/>
        <v>0</v>
      </c>
      <c r="C323" s="10">
        <f>INSCRITOS!B286</f>
        <v>0</v>
      </c>
      <c r="D323" t="str">
        <f t="shared" si="9"/>
        <v>FALSO0/</v>
      </c>
    </row>
    <row r="324" spans="1:4" ht="122.25" customHeight="1" x14ac:dyDescent="0.25">
      <c r="A324" s="21">
        <f>INSCRITOS!P287</f>
        <v>0</v>
      </c>
      <c r="B324" s="8" t="b">
        <f t="shared" si="8"/>
        <v>0</v>
      </c>
      <c r="C324" s="10">
        <f>INSCRITOS!B287</f>
        <v>0</v>
      </c>
      <c r="D324" t="str">
        <f t="shared" si="9"/>
        <v>FALSO0/</v>
      </c>
    </row>
    <row r="325" spans="1:4" ht="122.25" customHeight="1" x14ac:dyDescent="0.25">
      <c r="A325" s="21">
        <f>INSCRITOS!P288</f>
        <v>0</v>
      </c>
      <c r="B325" s="8" t="b">
        <f t="shared" si="8"/>
        <v>0</v>
      </c>
      <c r="C325" s="10">
        <f>INSCRITOS!B288</f>
        <v>0</v>
      </c>
      <c r="D325" t="str">
        <f t="shared" si="9"/>
        <v>FALSO0/</v>
      </c>
    </row>
    <row r="326" spans="1:4" ht="122.25" customHeight="1" x14ac:dyDescent="0.25">
      <c r="A326" s="21">
        <f>INSCRITOS!P289</f>
        <v>0</v>
      </c>
      <c r="B326" s="8" t="b">
        <f t="shared" si="8"/>
        <v>0</v>
      </c>
      <c r="C326" s="10">
        <f>INSCRITOS!B289</f>
        <v>0</v>
      </c>
      <c r="D326" t="str">
        <f t="shared" si="9"/>
        <v>FALSO0/</v>
      </c>
    </row>
    <row r="327" spans="1:4" ht="122.25" customHeight="1" x14ac:dyDescent="0.25">
      <c r="A327" s="21">
        <f>INSCRITOS!P290</f>
        <v>0</v>
      </c>
      <c r="B327" s="8" t="b">
        <f t="shared" si="8"/>
        <v>0</v>
      </c>
      <c r="C327" s="10">
        <f>INSCRITOS!B290</f>
        <v>0</v>
      </c>
      <c r="D327" t="str">
        <f t="shared" si="9"/>
        <v>FALSO0/</v>
      </c>
    </row>
    <row r="328" spans="1:4" ht="122.25" customHeight="1" x14ac:dyDescent="0.25">
      <c r="A328" s="21">
        <f>INSCRITOS!P291</f>
        <v>0</v>
      </c>
      <c r="B328" s="8" t="b">
        <f t="shared" si="8"/>
        <v>0</v>
      </c>
      <c r="C328" s="10">
        <f>INSCRITOS!B291</f>
        <v>0</v>
      </c>
      <c r="D328" t="str">
        <f t="shared" si="9"/>
        <v>FALSO0/</v>
      </c>
    </row>
    <row r="329" spans="1:4" ht="122.25" customHeight="1" x14ac:dyDescent="0.25">
      <c r="A329" s="21">
        <f>INSCRITOS!P292</f>
        <v>0</v>
      </c>
      <c r="B329" s="8" t="b">
        <f t="shared" si="8"/>
        <v>0</v>
      </c>
      <c r="C329" s="10">
        <f>INSCRITOS!B292</f>
        <v>0</v>
      </c>
      <c r="D329" t="str">
        <f t="shared" si="9"/>
        <v>FALSO0/</v>
      </c>
    </row>
    <row r="330" spans="1:4" ht="122.25" customHeight="1" x14ac:dyDescent="0.25">
      <c r="A330" s="21">
        <f>INSCRITOS!P293</f>
        <v>0</v>
      </c>
      <c r="B330" s="8" t="b">
        <f t="shared" si="8"/>
        <v>0</v>
      </c>
      <c r="C330" s="10">
        <f>INSCRITOS!B293</f>
        <v>0</v>
      </c>
      <c r="D330" t="str">
        <f t="shared" si="9"/>
        <v>FALSO0/</v>
      </c>
    </row>
    <row r="331" spans="1:4" ht="122.25" customHeight="1" x14ac:dyDescent="0.25">
      <c r="A331" s="21">
        <f>INSCRITOS!P294</f>
        <v>0</v>
      </c>
      <c r="B331" s="8" t="b">
        <f t="shared" si="8"/>
        <v>0</v>
      </c>
      <c r="C331" s="10">
        <f>INSCRITOS!B294</f>
        <v>0</v>
      </c>
      <c r="D331" t="str">
        <f t="shared" si="9"/>
        <v>FALSO0/</v>
      </c>
    </row>
    <row r="332" spans="1:4" ht="122.25" customHeight="1" x14ac:dyDescent="0.25">
      <c r="A332" s="21">
        <f>INSCRITOS!P295</f>
        <v>0</v>
      </c>
      <c r="B332" s="8" t="b">
        <f t="shared" si="8"/>
        <v>0</v>
      </c>
      <c r="C332" s="10">
        <f>INSCRITOS!B295</f>
        <v>0</v>
      </c>
      <c r="D332" t="str">
        <f t="shared" si="9"/>
        <v>FALSO0/</v>
      </c>
    </row>
    <row r="333" spans="1:4" ht="122.25" customHeight="1" x14ac:dyDescent="0.25">
      <c r="A333" s="21">
        <f>INSCRITOS!P296</f>
        <v>0</v>
      </c>
      <c r="B333" s="8" t="b">
        <f t="shared" si="8"/>
        <v>0</v>
      </c>
      <c r="C333" s="10">
        <f>INSCRITOS!B296</f>
        <v>0</v>
      </c>
      <c r="D333" t="str">
        <f t="shared" si="9"/>
        <v>FALSO0/</v>
      </c>
    </row>
    <row r="334" spans="1:4" ht="122.25" customHeight="1" x14ac:dyDescent="0.25">
      <c r="A334" s="21">
        <f>INSCRITOS!P297</f>
        <v>0</v>
      </c>
      <c r="B334" s="8" t="b">
        <f t="shared" si="8"/>
        <v>0</v>
      </c>
      <c r="C334" s="10">
        <f>INSCRITOS!B297</f>
        <v>0</v>
      </c>
      <c r="D334" t="str">
        <f t="shared" si="9"/>
        <v>FALSO0/</v>
      </c>
    </row>
    <row r="335" spans="1:4" ht="122.25" customHeight="1" x14ac:dyDescent="0.25">
      <c r="A335" s="21">
        <f>INSCRITOS!P298</f>
        <v>0</v>
      </c>
      <c r="B335" s="8" t="b">
        <f t="shared" si="8"/>
        <v>0</v>
      </c>
      <c r="C335" s="10">
        <f>INSCRITOS!B298</f>
        <v>0</v>
      </c>
      <c r="D335" t="str">
        <f t="shared" si="9"/>
        <v>FALSO0/</v>
      </c>
    </row>
    <row r="336" spans="1:4" ht="122.25" customHeight="1" x14ac:dyDescent="0.25">
      <c r="A336" s="21">
        <f>INSCRITOS!P299</f>
        <v>0</v>
      </c>
      <c r="B336" s="8" t="b">
        <f t="shared" si="8"/>
        <v>0</v>
      </c>
      <c r="C336" s="10">
        <f>INSCRITOS!B299</f>
        <v>0</v>
      </c>
      <c r="D336" t="str">
        <f t="shared" si="9"/>
        <v>FALSO0/</v>
      </c>
    </row>
    <row r="337" spans="1:4" ht="122.25" customHeight="1" x14ac:dyDescent="0.25">
      <c r="A337" s="21">
        <f>INSCRITOS!P300</f>
        <v>0</v>
      </c>
      <c r="B337" s="8" t="b">
        <f t="shared" si="8"/>
        <v>0</v>
      </c>
      <c r="C337" s="10">
        <f>INSCRITOS!B300</f>
        <v>0</v>
      </c>
      <c r="D337" t="str">
        <f t="shared" si="9"/>
        <v>FALSO0/</v>
      </c>
    </row>
    <row r="338" spans="1:4" ht="122.25" customHeight="1" x14ac:dyDescent="0.25">
      <c r="A338" s="21">
        <f>INSCRITOS!P301</f>
        <v>0</v>
      </c>
      <c r="B338" s="8" t="b">
        <f t="shared" si="8"/>
        <v>0</v>
      </c>
      <c r="C338" s="10">
        <f>INSCRITOS!B301</f>
        <v>0</v>
      </c>
      <c r="D338" t="str">
        <f t="shared" si="9"/>
        <v>FALSO0/</v>
      </c>
    </row>
    <row r="339" spans="1:4" ht="122.25" customHeight="1" x14ac:dyDescent="0.25">
      <c r="A339" s="21">
        <f>INSCRITOS!P302</f>
        <v>0</v>
      </c>
      <c r="B339" s="8" t="b">
        <f t="shared" si="8"/>
        <v>0</v>
      </c>
      <c r="C339" s="10">
        <f>INSCRITOS!B302</f>
        <v>0</v>
      </c>
      <c r="D339" t="str">
        <f t="shared" si="9"/>
        <v>FALSO0/</v>
      </c>
    </row>
    <row r="340" spans="1:4" ht="122.25" customHeight="1" x14ac:dyDescent="0.25">
      <c r="A340" s="21">
        <f>INSCRITOS!P303</f>
        <v>0</v>
      </c>
      <c r="B340" s="8" t="b">
        <f t="shared" si="8"/>
        <v>0</v>
      </c>
      <c r="C340" s="10">
        <f>INSCRITOS!B303</f>
        <v>0</v>
      </c>
      <c r="D340" t="str">
        <f t="shared" si="9"/>
        <v>FALSO0/</v>
      </c>
    </row>
    <row r="341" spans="1:4" ht="122.25" customHeight="1" x14ac:dyDescent="0.25">
      <c r="A341" s="21">
        <f>INSCRITOS!P304</f>
        <v>0</v>
      </c>
      <c r="B341" s="8" t="b">
        <f t="shared" si="8"/>
        <v>0</v>
      </c>
      <c r="C341" s="10">
        <f>INSCRITOS!B304</f>
        <v>0</v>
      </c>
      <c r="D341" t="str">
        <f t="shared" si="9"/>
        <v>FALSO0/</v>
      </c>
    </row>
    <row r="342" spans="1:4" ht="122.25" customHeight="1" x14ac:dyDescent="0.25">
      <c r="A342" s="21">
        <f>INSCRITOS!P305</f>
        <v>0</v>
      </c>
      <c r="B342" s="8" t="b">
        <f t="shared" si="8"/>
        <v>0</v>
      </c>
      <c r="C342" s="10">
        <f>INSCRITOS!B305</f>
        <v>0</v>
      </c>
      <c r="D342" t="str">
        <f t="shared" si="9"/>
        <v>FALSO0/</v>
      </c>
    </row>
    <row r="343" spans="1:4" ht="122.25" customHeight="1" x14ac:dyDescent="0.25">
      <c r="A343" s="21">
        <f>INSCRITOS!P306</f>
        <v>0</v>
      </c>
      <c r="B343" s="8" t="b">
        <f t="shared" si="8"/>
        <v>0</v>
      </c>
      <c r="C343" s="10">
        <f>INSCRITOS!B306</f>
        <v>0</v>
      </c>
      <c r="D343" t="str">
        <f t="shared" si="9"/>
        <v>FALSO0/</v>
      </c>
    </row>
    <row r="344" spans="1:4" ht="122.25" customHeight="1" x14ac:dyDescent="0.25">
      <c r="A344" s="21">
        <f>INSCRITOS!P307</f>
        <v>0</v>
      </c>
      <c r="B344" s="8" t="b">
        <f t="shared" si="8"/>
        <v>0</v>
      </c>
      <c r="C344" s="10">
        <f>INSCRITOS!B307</f>
        <v>0</v>
      </c>
      <c r="D344" t="str">
        <f t="shared" si="9"/>
        <v>FALSO0/</v>
      </c>
    </row>
    <row r="345" spans="1:4" ht="122.25" customHeight="1" x14ac:dyDescent="0.25">
      <c r="A345" s="21">
        <f>INSCRITOS!P308</f>
        <v>0</v>
      </c>
      <c r="B345" s="8" t="b">
        <f t="shared" si="8"/>
        <v>0</v>
      </c>
      <c r="C345" s="10">
        <f>INSCRITOS!B308</f>
        <v>0</v>
      </c>
      <c r="D345" t="str">
        <f t="shared" si="9"/>
        <v>FALSO0/</v>
      </c>
    </row>
    <row r="346" spans="1:4" ht="122.25" customHeight="1" x14ac:dyDescent="0.25">
      <c r="A346" s="21">
        <f>INSCRITOS!P309</f>
        <v>0</v>
      </c>
      <c r="B346" s="8" t="b">
        <f t="shared" si="8"/>
        <v>0</v>
      </c>
      <c r="C346" s="10">
        <f>INSCRITOS!B309</f>
        <v>0</v>
      </c>
      <c r="D346" t="str">
        <f t="shared" si="9"/>
        <v>FALSO0/</v>
      </c>
    </row>
    <row r="347" spans="1:4" ht="122.25" customHeight="1" x14ac:dyDescent="0.25">
      <c r="A347" s="21">
        <f>INSCRITOS!P310</f>
        <v>0</v>
      </c>
      <c r="B347" s="8" t="b">
        <f t="shared" si="8"/>
        <v>0</v>
      </c>
      <c r="C347" s="10">
        <f>INSCRITOS!B310</f>
        <v>0</v>
      </c>
      <c r="D347" t="str">
        <f t="shared" si="9"/>
        <v>FALSO0/</v>
      </c>
    </row>
    <row r="348" spans="1:4" ht="122.25" customHeight="1" x14ac:dyDescent="0.25">
      <c r="A348" s="21">
        <f>INSCRITOS!P311</f>
        <v>0</v>
      </c>
      <c r="B348" s="8" t="b">
        <f t="shared" si="8"/>
        <v>0</v>
      </c>
      <c r="C348" s="10">
        <f>INSCRITOS!B311</f>
        <v>0</v>
      </c>
      <c r="D348" t="str">
        <f t="shared" si="9"/>
        <v>FALSO0/</v>
      </c>
    </row>
    <row r="349" spans="1:4" ht="122.25" customHeight="1" x14ac:dyDescent="0.25">
      <c r="A349" s="21">
        <f>INSCRITOS!P312</f>
        <v>0</v>
      </c>
      <c r="B349" s="8" t="b">
        <f t="shared" si="8"/>
        <v>0</v>
      </c>
      <c r="C349" s="10">
        <f>INSCRITOS!B312</f>
        <v>0</v>
      </c>
      <c r="D349" t="str">
        <f t="shared" si="9"/>
        <v>FALSO0/</v>
      </c>
    </row>
    <row r="350" spans="1:4" ht="122.25" customHeight="1" x14ac:dyDescent="0.25">
      <c r="A350" s="21">
        <f>INSCRITOS!P313</f>
        <v>0</v>
      </c>
      <c r="B350" s="8" t="b">
        <f t="shared" si="8"/>
        <v>0</v>
      </c>
      <c r="C350" s="10">
        <f>INSCRITOS!B313</f>
        <v>0</v>
      </c>
      <c r="D350" t="str">
        <f t="shared" si="9"/>
        <v>FALSO0/</v>
      </c>
    </row>
    <row r="351" spans="1:4" ht="122.25" customHeight="1" x14ac:dyDescent="0.25">
      <c r="A351" s="21">
        <f>INSCRITOS!P314</f>
        <v>0</v>
      </c>
      <c r="B351" s="8" t="b">
        <f t="shared" si="8"/>
        <v>0</v>
      </c>
      <c r="C351" s="10">
        <f>INSCRITOS!B314</f>
        <v>0</v>
      </c>
      <c r="D351" t="str">
        <f t="shared" si="9"/>
        <v>FALSO0/</v>
      </c>
    </row>
    <row r="352" spans="1:4" ht="122.25" customHeight="1" x14ac:dyDescent="0.25">
      <c r="A352" s="21">
        <f>INSCRITOS!P315</f>
        <v>0</v>
      </c>
      <c r="B352" s="8" t="b">
        <f t="shared" si="8"/>
        <v>0</v>
      </c>
      <c r="C352" s="10">
        <f>INSCRITOS!B315</f>
        <v>0</v>
      </c>
      <c r="D352" t="str">
        <f t="shared" si="9"/>
        <v>FALSO0/</v>
      </c>
    </row>
    <row r="353" spans="1:4" ht="122.25" customHeight="1" x14ac:dyDescent="0.25">
      <c r="A353" s="21">
        <f>INSCRITOS!P316</f>
        <v>0</v>
      </c>
      <c r="B353" s="8" t="b">
        <f t="shared" si="8"/>
        <v>0</v>
      </c>
      <c r="C353" s="10">
        <f>INSCRITOS!B316</f>
        <v>0</v>
      </c>
      <c r="D353" t="str">
        <f t="shared" si="9"/>
        <v>FALSO0/</v>
      </c>
    </row>
    <row r="354" spans="1:4" ht="122.25" customHeight="1" x14ac:dyDescent="0.25">
      <c r="A354" s="21">
        <f>INSCRITOS!P317</f>
        <v>0</v>
      </c>
      <c r="B354" s="8" t="b">
        <f t="shared" si="8"/>
        <v>0</v>
      </c>
      <c r="C354" s="10">
        <f>INSCRITOS!B317</f>
        <v>0</v>
      </c>
      <c r="D354" t="str">
        <f t="shared" si="9"/>
        <v>FALSO0/</v>
      </c>
    </row>
    <row r="355" spans="1:4" ht="122.25" customHeight="1" x14ac:dyDescent="0.25">
      <c r="A355" s="21">
        <f>INSCRITOS!P318</f>
        <v>0</v>
      </c>
      <c r="B355" s="8" t="b">
        <f t="shared" si="8"/>
        <v>0</v>
      </c>
      <c r="C355" s="10">
        <f>INSCRITOS!B318</f>
        <v>0</v>
      </c>
      <c r="D355" t="str">
        <f t="shared" si="9"/>
        <v>FALSO0/</v>
      </c>
    </row>
  </sheetData>
  <hyperlinks>
    <hyperlink ref="B39" r:id="rId1" display="https://centrodecapacitaciondelsur.com/soporte-basico-de-vida-" xr:uid="{00000000-0004-0000-0200-000000000000}"/>
    <hyperlink ref="D32" r:id="rId2" xr:uid="{00000000-0004-0000-0200-000001000000}"/>
  </hyperlinks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INSCRITOS</vt:lpstr>
      <vt:lpstr>CURSOS</vt:lpstr>
      <vt:lpstr>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CCS-Pc</cp:lastModifiedBy>
  <cp:lastPrinted>2023-10-09T20:56:18Z</cp:lastPrinted>
  <dcterms:created xsi:type="dcterms:W3CDTF">2023-09-02T16:45:54Z</dcterms:created>
  <dcterms:modified xsi:type="dcterms:W3CDTF">2025-07-03T21:03:46Z</dcterms:modified>
</cp:coreProperties>
</file>